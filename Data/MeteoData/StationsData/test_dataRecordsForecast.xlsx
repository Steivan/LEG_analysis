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EG_analysis\Data\MeteoData\StationsData\"/>
    </mc:Choice>
  </mc:AlternateContent>
  <xr:revisionPtr revIDLastSave="0" documentId="13_ncr:9_{3D4E0D61-CF12-4A63-9BAE-9B7BE1E5D1DA}" xr6:coauthVersionLast="47" xr6:coauthVersionMax="47" xr10:uidLastSave="{00000000-0000-0000-0000-000000000000}"/>
  <bookViews>
    <workbookView xWindow="-110" yWindow="-110" windowWidth="38620" windowHeight="21100" activeTab="1" xr2:uid="{D791D9BC-DEC6-4ED1-87A8-F6BF9E032C09}"/>
  </bookViews>
  <sheets>
    <sheet name="test_dataRecordsForecast" sheetId="1" r:id="rId1"/>
    <sheet name="Sheet1" sheetId="2" r:id="rId2"/>
  </sheets>
  <definedNames>
    <definedName name="_xlnm._FilterDatabase" localSheetId="1" hidden="1">Sheet1!$A$1:$AZ$1539</definedName>
  </definedNames>
  <calcPr calcId="0"/>
</workbook>
</file>

<file path=xl/calcChain.xml><?xml version="1.0" encoding="utf-8"?>
<calcChain xmlns="http://schemas.openxmlformats.org/spreadsheetml/2006/main">
  <c r="Q1539" i="2" l="1"/>
  <c r="P1539" i="2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Q1538" i="2"/>
  <c r="P1538" i="2"/>
  <c r="O1538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Q1537" i="2"/>
  <c r="P1537" i="2"/>
  <c r="O1537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Q1536" i="2"/>
  <c r="P1536" i="2"/>
  <c r="O1536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Q1535" i="2"/>
  <c r="P1535" i="2"/>
  <c r="O1535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Q1534" i="2"/>
  <c r="P1534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Q1533" i="2"/>
  <c r="P1533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Q1532" i="2"/>
  <c r="P1532" i="2"/>
  <c r="O1532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Q1531" i="2"/>
  <c r="P1531" i="2"/>
  <c r="O1531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Q1530" i="2"/>
  <c r="P1530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Q1529" i="2"/>
  <c r="P1529" i="2"/>
  <c r="O1529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Q1528" i="2"/>
  <c r="P1528" i="2"/>
  <c r="O1528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Q1527" i="2"/>
  <c r="P1527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Q1526" i="2"/>
  <c r="P1526" i="2"/>
  <c r="O1526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Q1525" i="2"/>
  <c r="P1525" i="2"/>
  <c r="O1525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Q1524" i="2"/>
  <c r="P1524" i="2"/>
  <c r="O1524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Q1523" i="2"/>
  <c r="P1523" i="2"/>
  <c r="O1523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Q1521" i="2"/>
  <c r="P1521" i="2"/>
  <c r="O1521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Q1520" i="2"/>
  <c r="P1520" i="2"/>
  <c r="O1520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Q1519" i="2"/>
  <c r="P1519" i="2"/>
  <c r="O1519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Q1518" i="2"/>
  <c r="P1518" i="2"/>
  <c r="O1518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Q1517" i="2"/>
  <c r="P1517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Q1516" i="2"/>
  <c r="P1516" i="2"/>
  <c r="O1516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Q1515" i="2"/>
  <c r="P1515" i="2"/>
  <c r="O1515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Q1514" i="2"/>
  <c r="P1514" i="2"/>
  <c r="O1514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Q1513" i="2"/>
  <c r="P1513" i="2"/>
  <c r="O1513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Q1512" i="2"/>
  <c r="P1512" i="2"/>
  <c r="O1512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Q1511" i="2"/>
  <c r="P1511" i="2"/>
  <c r="O1511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Q1510" i="2"/>
  <c r="P1510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Q1509" i="2"/>
  <c r="P1509" i="2"/>
  <c r="O1509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Q1508" i="2"/>
  <c r="P1508" i="2"/>
  <c r="O1508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Q1507" i="2"/>
  <c r="P1507" i="2"/>
  <c r="O1507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Q1506" i="2"/>
  <c r="P1506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Q1505" i="2"/>
  <c r="P1505" i="2"/>
  <c r="O1505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Q1504" i="2"/>
  <c r="P1504" i="2"/>
  <c r="O1504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Q1503" i="2"/>
  <c r="P1503" i="2"/>
  <c r="O1503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Q1502" i="2"/>
  <c r="P1502" i="2"/>
  <c r="O1502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Q1501" i="2"/>
  <c r="P1501" i="2"/>
  <c r="O1501" i="2"/>
  <c r="N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Q1500" i="2"/>
  <c r="P1500" i="2"/>
  <c r="O1500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Q1499" i="2"/>
  <c r="P1499" i="2"/>
  <c r="O1499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Q1498" i="2"/>
  <c r="P1498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Q1497" i="2"/>
  <c r="P1497" i="2"/>
  <c r="O1497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Q1496" i="2"/>
  <c r="P1496" i="2"/>
  <c r="O1496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Q1495" i="2"/>
  <c r="P1495" i="2"/>
  <c r="O1495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Q1494" i="2"/>
  <c r="P1494" i="2"/>
  <c r="O1494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Q1493" i="2"/>
  <c r="P1493" i="2"/>
  <c r="O1493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Q1492" i="2"/>
  <c r="P1492" i="2"/>
  <c r="O1492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Q1491" i="2"/>
  <c r="P1491" i="2"/>
  <c r="O1491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Q1490" i="2"/>
  <c r="P1490" i="2"/>
  <c r="O1490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Q1489" i="2"/>
  <c r="P1489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Q1488" i="2"/>
  <c r="P1488" i="2"/>
  <c r="O1488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Q1487" i="2"/>
  <c r="P1487" i="2"/>
  <c r="O1487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Q1485" i="2"/>
  <c r="P1485" i="2"/>
  <c r="O1485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Q1484" i="2"/>
  <c r="P1484" i="2"/>
  <c r="O1484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Q1483" i="2"/>
  <c r="P1483" i="2"/>
  <c r="O1483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Q1482" i="2"/>
  <c r="P1482" i="2"/>
  <c r="O1482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Q1481" i="2"/>
  <c r="P1481" i="2"/>
  <c r="O1481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Q1480" i="2"/>
  <c r="P1480" i="2"/>
  <c r="O1480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Q1479" i="2"/>
  <c r="P1479" i="2"/>
  <c r="O1479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Q1478" i="2"/>
  <c r="P1478" i="2"/>
  <c r="O1478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Q1477" i="2"/>
  <c r="P1477" i="2"/>
  <c r="O1477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Q1476" i="2"/>
  <c r="P1476" i="2"/>
  <c r="O1476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Q1475" i="2"/>
  <c r="P1475" i="2"/>
  <c r="O1475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Q1474" i="2"/>
  <c r="P1474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Q1473" i="2"/>
  <c r="P1473" i="2"/>
  <c r="O1473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Q1472" i="2"/>
  <c r="P1472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Q1471" i="2"/>
  <c r="P1471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Q1470" i="2"/>
  <c r="P1470" i="2"/>
  <c r="O1470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Q1469" i="2"/>
  <c r="P1469" i="2"/>
  <c r="O1469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Q1468" i="2"/>
  <c r="P1468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Q1467" i="2"/>
  <c r="P1467" i="2"/>
  <c r="O1467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Q1466" i="2"/>
  <c r="P1466" i="2"/>
  <c r="O1466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Q1465" i="2"/>
  <c r="P1465" i="2"/>
  <c r="O1465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Q1464" i="2"/>
  <c r="P1464" i="2"/>
  <c r="O1464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Q1463" i="2"/>
  <c r="P1463" i="2"/>
  <c r="O1463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Q1462" i="2"/>
  <c r="P1462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Q1461" i="2"/>
  <c r="P1461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Q1460" i="2"/>
  <c r="P1460" i="2"/>
  <c r="O1460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Q1459" i="2"/>
  <c r="P1459" i="2"/>
  <c r="O1459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Q1458" i="2"/>
  <c r="P1458" i="2"/>
  <c r="O1458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Q1457" i="2"/>
  <c r="P1457" i="2"/>
  <c r="O1457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Q1456" i="2"/>
  <c r="P1456" i="2"/>
  <c r="O1456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Q1455" i="2"/>
  <c r="P1455" i="2"/>
  <c r="O1455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Q1454" i="2"/>
  <c r="P1454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Q1453" i="2"/>
  <c r="P1453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Q1451" i="2"/>
  <c r="P1451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Q1450" i="2"/>
  <c r="P1450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Q1449" i="2"/>
  <c r="P1449" i="2"/>
  <c r="O1449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Q1448" i="2"/>
  <c r="P1448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Q1447" i="2"/>
  <c r="P1447" i="2"/>
  <c r="O1447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Q1446" i="2"/>
  <c r="P1446" i="2"/>
  <c r="O1446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Q1445" i="2"/>
  <c r="P1445" i="2"/>
  <c r="O1445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Q1444" i="2"/>
  <c r="P1444" i="2"/>
  <c r="O1444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Q1443" i="2"/>
  <c r="P1443" i="2"/>
  <c r="O1443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Q1442" i="2"/>
  <c r="P1442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Q1441" i="2"/>
  <c r="P1441" i="2"/>
  <c r="O1441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Q1440" i="2"/>
  <c r="P1440" i="2"/>
  <c r="O1440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Q1439" i="2"/>
  <c r="P1439" i="2"/>
  <c r="O1439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Q1438" i="2"/>
  <c r="P1438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Q1437" i="2"/>
  <c r="P1437" i="2"/>
  <c r="O1437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Q1436" i="2"/>
  <c r="P1436" i="2"/>
  <c r="O1436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Q1435" i="2"/>
  <c r="P1435" i="2"/>
  <c r="O1435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Q1434" i="2"/>
  <c r="P1434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Q1433" i="2"/>
  <c r="P1433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Q1432" i="2"/>
  <c r="P1432" i="2"/>
  <c r="O1432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Q1431" i="2"/>
  <c r="P1431" i="2"/>
  <c r="O1431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Q1430" i="2"/>
  <c r="P1430" i="2"/>
  <c r="O1430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Q1429" i="2"/>
  <c r="P1429" i="2"/>
  <c r="O1429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Q1428" i="2"/>
  <c r="P1428" i="2"/>
  <c r="O1428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Q1427" i="2"/>
  <c r="P1427" i="2"/>
  <c r="O1427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Q1425" i="2"/>
  <c r="P1425" i="2"/>
  <c r="O1425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Q1424" i="2"/>
  <c r="P1424" i="2"/>
  <c r="O1424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Q1423" i="2"/>
  <c r="P1423" i="2"/>
  <c r="O1423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Q1422" i="2"/>
  <c r="P1422" i="2"/>
  <c r="O1422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Q1421" i="2"/>
  <c r="P1421" i="2"/>
  <c r="O1421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Q1420" i="2"/>
  <c r="P1420" i="2"/>
  <c r="O1420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Q1419" i="2"/>
  <c r="P1419" i="2"/>
  <c r="O1419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Q1418" i="2"/>
  <c r="P1418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Q1417" i="2"/>
  <c r="P1417" i="2"/>
  <c r="O1417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Q1416" i="2"/>
  <c r="P1416" i="2"/>
  <c r="O1416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Q1415" i="2"/>
  <c r="P1415" i="2"/>
  <c r="O1415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Q1414" i="2"/>
  <c r="P1414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Q1413" i="2"/>
  <c r="P1413" i="2"/>
  <c r="O1413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Q1412" i="2"/>
  <c r="P1412" i="2"/>
  <c r="O1412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Q1411" i="2"/>
  <c r="P1411" i="2"/>
  <c r="O1411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Q1410" i="2"/>
  <c r="P1410" i="2"/>
  <c r="O1410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Q1409" i="2"/>
  <c r="P1409" i="2"/>
  <c r="O1409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Q1408" i="2"/>
  <c r="P1408" i="2"/>
  <c r="O1408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Q1407" i="2"/>
  <c r="P1407" i="2"/>
  <c r="O1407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Q1406" i="2"/>
  <c r="P1406" i="2"/>
  <c r="O1406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Q1405" i="2"/>
  <c r="P1405" i="2"/>
  <c r="O1405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Q1404" i="2"/>
  <c r="P1404" i="2"/>
  <c r="O1404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Q1403" i="2"/>
  <c r="P1403" i="2"/>
  <c r="O1403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Q1402" i="2"/>
  <c r="P1402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Q1401" i="2"/>
  <c r="P1401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Q1400" i="2"/>
  <c r="P1400" i="2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Q1399" i="2"/>
  <c r="P1399" i="2"/>
  <c r="O1399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Q1398" i="2"/>
  <c r="P1398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Q1397" i="2"/>
  <c r="P1397" i="2"/>
  <c r="O1397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Q1396" i="2"/>
  <c r="P1396" i="2"/>
  <c r="O1396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Q1395" i="2"/>
  <c r="P1395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Q1394" i="2"/>
  <c r="P1394" i="2"/>
  <c r="O1394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Q1393" i="2"/>
  <c r="P1393" i="2"/>
  <c r="O1393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Q1392" i="2"/>
  <c r="P1392" i="2"/>
  <c r="O1392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Q1391" i="2"/>
  <c r="P1391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Q1390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Q1389" i="2"/>
  <c r="P1389" i="2"/>
  <c r="O1389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Q1388" i="2"/>
  <c r="P1388" i="2"/>
  <c r="O1388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Q1387" i="2"/>
  <c r="P1387" i="2"/>
  <c r="O1387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Q1386" i="2"/>
  <c r="P1386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Q1385" i="2"/>
  <c r="P1385" i="2"/>
  <c r="O1385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Q1384" i="2"/>
  <c r="P1384" i="2"/>
  <c r="O1384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Q1383" i="2"/>
  <c r="P1383" i="2"/>
  <c r="O1383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Q1382" i="2"/>
  <c r="P1382" i="2"/>
  <c r="O1382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Q1381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Q1380" i="2"/>
  <c r="P1380" i="2"/>
  <c r="O1380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Q1379" i="2"/>
  <c r="P1379" i="2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Q1378" i="2"/>
  <c r="P1378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Q1377" i="2"/>
  <c r="P1377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Q1376" i="2"/>
  <c r="P1376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Q1375" i="2"/>
  <c r="P1375" i="2"/>
  <c r="O1375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Q1374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Q1373" i="2"/>
  <c r="P1373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Q1372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Q1371" i="2"/>
  <c r="P1371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Q1370" i="2"/>
  <c r="P1370" i="2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Q1369" i="2"/>
  <c r="P1369" i="2"/>
  <c r="O1369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Q1368" i="2"/>
  <c r="P1368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Q1367" i="2"/>
  <c r="P1367" i="2"/>
  <c r="O1367" i="2"/>
  <c r="N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Q1366" i="2"/>
  <c r="P1366" i="2"/>
  <c r="O1366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Q1365" i="2"/>
  <c r="P1365" i="2"/>
  <c r="O1365" i="2"/>
  <c r="N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Q1364" i="2"/>
  <c r="P1364" i="2"/>
  <c r="O1364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Q1363" i="2"/>
  <c r="P1363" i="2"/>
  <c r="O1363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Q1362" i="2"/>
  <c r="P1362" i="2"/>
  <c r="O1362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Q1361" i="2"/>
  <c r="P1361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Q1360" i="2"/>
  <c r="P1360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Q1359" i="2"/>
  <c r="P1359" i="2"/>
  <c r="O1359" i="2"/>
  <c r="N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Q1357" i="2"/>
  <c r="P1357" i="2"/>
  <c r="O1357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Q1356" i="2"/>
  <c r="P1356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Q1355" i="2"/>
  <c r="P1355" i="2"/>
  <c r="O1355" i="2"/>
  <c r="N1355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Q1354" i="2"/>
  <c r="P1354" i="2"/>
  <c r="O1354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Q1353" i="2"/>
  <c r="P1353" i="2"/>
  <c r="O1353" i="2"/>
  <c r="N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Q1352" i="2"/>
  <c r="P1352" i="2"/>
  <c r="O1352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Q1351" i="2"/>
  <c r="P1351" i="2"/>
  <c r="O1351" i="2"/>
  <c r="N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Q1350" i="2"/>
  <c r="P1350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Q1349" i="2"/>
  <c r="P1349" i="2"/>
  <c r="O1349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Q1348" i="2"/>
  <c r="P1348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Q1347" i="2"/>
  <c r="P1347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Q1346" i="2"/>
  <c r="P1346" i="2"/>
  <c r="O1346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Q1345" i="2"/>
  <c r="P1345" i="2"/>
  <c r="O1345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Q1344" i="2"/>
  <c r="P1344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Q1343" i="2"/>
  <c r="P1343" i="2"/>
  <c r="O1343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Q1342" i="2"/>
  <c r="P1342" i="2"/>
  <c r="O1342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Q1340" i="2"/>
  <c r="P1340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Q1339" i="2"/>
  <c r="P1339" i="2"/>
  <c r="O1339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Q1338" i="2"/>
  <c r="P1338" i="2"/>
  <c r="O1338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Q1337" i="2"/>
  <c r="P1337" i="2"/>
  <c r="O1337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Q1336" i="2"/>
  <c r="P1336" i="2"/>
  <c r="O1336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Q1335" i="2"/>
  <c r="P1335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Q1334" i="2"/>
  <c r="P1334" i="2"/>
  <c r="O1334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Q1333" i="2"/>
  <c r="P1333" i="2"/>
  <c r="O1333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Q1332" i="2"/>
  <c r="P1332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Q1331" i="2"/>
  <c r="P1331" i="2"/>
  <c r="O1331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Q1330" i="2"/>
  <c r="P1330" i="2"/>
  <c r="O1330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Q1329" i="2"/>
  <c r="P1329" i="2"/>
  <c r="O1329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Q1328" i="2"/>
  <c r="P1328" i="2"/>
  <c r="O1328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Q1327" i="2"/>
  <c r="P1327" i="2"/>
  <c r="O1327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Q1326" i="2"/>
  <c r="P1326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Q1325" i="2"/>
  <c r="P1325" i="2"/>
  <c r="O1325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Q1324" i="2"/>
  <c r="P1324" i="2"/>
  <c r="O1324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Q1323" i="2"/>
  <c r="P1323" i="2"/>
  <c r="O1323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Q1322" i="2"/>
  <c r="P1322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Q1321" i="2"/>
  <c r="P1321" i="2"/>
  <c r="O1321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Q1320" i="2"/>
  <c r="P1320" i="2"/>
  <c r="O1320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Q1319" i="2"/>
  <c r="P1319" i="2"/>
  <c r="O1319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Q1318" i="2"/>
  <c r="P1318" i="2"/>
  <c r="O1318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Q1317" i="2"/>
  <c r="P1317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Q1316" i="2"/>
  <c r="P1316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Q1315" i="2"/>
  <c r="P1315" i="2"/>
  <c r="O1315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Q1314" i="2"/>
  <c r="P1314" i="2"/>
  <c r="O1314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Q1313" i="2"/>
  <c r="P1313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Q1312" i="2"/>
  <c r="P1312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Q1311" i="2"/>
  <c r="P1311" i="2"/>
  <c r="O1311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Q1310" i="2"/>
  <c r="P1310" i="2"/>
  <c r="O1310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Q1309" i="2"/>
  <c r="P1309" i="2"/>
  <c r="O1309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Q1308" i="2"/>
  <c r="P1308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Q1307" i="2"/>
  <c r="P1307" i="2"/>
  <c r="O1307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Q1306" i="2"/>
  <c r="P1306" i="2"/>
  <c r="O1306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Q1305" i="2"/>
  <c r="P1305" i="2"/>
  <c r="O1305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Q1304" i="2"/>
  <c r="P1304" i="2"/>
  <c r="O1304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Q1303" i="2"/>
  <c r="P1303" i="2"/>
  <c r="O1303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Q1302" i="2"/>
  <c r="P1302" i="2"/>
  <c r="O1302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Q1301" i="2"/>
  <c r="P1301" i="2"/>
  <c r="O1301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Q1300" i="2"/>
  <c r="P1300" i="2"/>
  <c r="O1300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Q1298" i="2"/>
  <c r="P1298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Q1297" i="2"/>
  <c r="P1297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Q1296" i="2"/>
  <c r="P1296" i="2"/>
  <c r="O1296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Q1295" i="2"/>
  <c r="P1295" i="2"/>
  <c r="O1295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Q1294" i="2"/>
  <c r="P1294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Q1293" i="2"/>
  <c r="P1293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Q1292" i="2"/>
  <c r="P1292" i="2"/>
  <c r="O1292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Q1291" i="2"/>
  <c r="P1291" i="2"/>
  <c r="O1291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Q1290" i="2"/>
  <c r="P1290" i="2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Q1289" i="2"/>
  <c r="P1289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Q1288" i="2"/>
  <c r="P1288" i="2"/>
  <c r="O1288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Q1287" i="2"/>
  <c r="P1287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Q1286" i="2"/>
  <c r="P1286" i="2"/>
  <c r="O1286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Q1285" i="2"/>
  <c r="P1285" i="2"/>
  <c r="O1285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Q1284" i="2"/>
  <c r="P1284" i="2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Q1283" i="2"/>
  <c r="P1283" i="2"/>
  <c r="O1283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Q1282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Q1281" i="2"/>
  <c r="P1281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Q1280" i="2"/>
  <c r="P1280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Q1279" i="2"/>
  <c r="P1279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Q1278" i="2"/>
  <c r="P1278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Q1277" i="2"/>
  <c r="P1277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Q1276" i="2"/>
  <c r="P1276" i="2"/>
  <c r="O1276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Q1275" i="2"/>
  <c r="P1275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Q1274" i="2"/>
  <c r="P1274" i="2"/>
  <c r="O1274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Q1273" i="2"/>
  <c r="P1273" i="2"/>
  <c r="O1273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Q1272" i="2"/>
  <c r="P1272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Q1271" i="2"/>
  <c r="P1271" i="2"/>
  <c r="O1271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Q1270" i="2"/>
  <c r="P1270" i="2"/>
  <c r="O1270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Q1269" i="2"/>
  <c r="P1269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Q1268" i="2"/>
  <c r="P1268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Q1267" i="2"/>
  <c r="P1267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Q1266" i="2"/>
  <c r="P1266" i="2"/>
  <c r="O1266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Q1265" i="2"/>
  <c r="P1265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Q1264" i="2"/>
  <c r="P1264" i="2"/>
  <c r="O1264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Q1263" i="2"/>
  <c r="P1263" i="2"/>
  <c r="O1263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Q1262" i="2"/>
  <c r="P1262" i="2"/>
  <c r="O1262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Q1261" i="2"/>
  <c r="P1261" i="2"/>
  <c r="O1261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Q1260" i="2"/>
  <c r="P1260" i="2"/>
  <c r="O1260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Q1259" i="2"/>
  <c r="P1259" i="2"/>
  <c r="O1259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Q1258" i="2"/>
  <c r="P1258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Q1257" i="2"/>
  <c r="P1257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Q1256" i="2"/>
  <c r="P1256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Q1255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Q1254" i="2"/>
  <c r="P1254" i="2"/>
  <c r="O1254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Q1253" i="2"/>
  <c r="P1253" i="2"/>
  <c r="O1253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Q1252" i="2"/>
  <c r="P1252" i="2"/>
  <c r="O1252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Q1251" i="2"/>
  <c r="P1251" i="2"/>
  <c r="O1251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Q1250" i="2"/>
  <c r="P1250" i="2"/>
  <c r="O1250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Q1249" i="2"/>
  <c r="P1249" i="2"/>
  <c r="O1249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Q1248" i="2"/>
  <c r="P1248" i="2"/>
  <c r="O1248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Q1244" i="2"/>
  <c r="P1244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Q1243" i="2"/>
  <c r="P1243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Q1242" i="2"/>
  <c r="P1242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Q1241" i="2"/>
  <c r="P1241" i="2"/>
  <c r="O1241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Q1240" i="2"/>
  <c r="P1240" i="2"/>
  <c r="O1240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Q1239" i="2"/>
  <c r="P1239" i="2"/>
  <c r="O1239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Q1238" i="2"/>
  <c r="P1238" i="2"/>
  <c r="O1238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Q1237" i="2"/>
  <c r="P1237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Q1234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Q1232" i="2"/>
  <c r="P1232" i="2"/>
  <c r="O1232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Q1231" i="2"/>
  <c r="P1231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Q1230" i="2"/>
  <c r="P1230" i="2"/>
  <c r="O1230" i="2"/>
  <c r="N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Q1229" i="2"/>
  <c r="P1229" i="2"/>
  <c r="O1229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Q1228" i="2"/>
  <c r="P1228" i="2"/>
  <c r="O1228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Q1227" i="2"/>
  <c r="P1227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Q1219" i="2"/>
  <c r="P1219" i="2"/>
  <c r="O1219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Q1123" i="2"/>
  <c r="P1123" i="2"/>
  <c r="O1123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Q1119" i="2"/>
  <c r="P1119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Q1117" i="2"/>
  <c r="P1117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Q1113" i="2"/>
  <c r="P1113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Q1111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Q1109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Q1107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Q1103" i="2"/>
  <c r="P1103" i="2"/>
  <c r="O1103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Q1099" i="2"/>
  <c r="P1099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Q1097" i="2"/>
  <c r="P1097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Q1095" i="2"/>
  <c r="P1095" i="2"/>
  <c r="O1095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Q1091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Q1085" i="2"/>
  <c r="P1085" i="2"/>
  <c r="O1085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Q1083" i="2"/>
  <c r="P1083" i="2"/>
  <c r="O1083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Q1079" i="2"/>
  <c r="P1079" i="2"/>
  <c r="O1079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Q1077" i="2"/>
  <c r="P1077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Q1075" i="2"/>
  <c r="P1075" i="2"/>
  <c r="O1075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Q1073" i="2"/>
  <c r="P1073" i="2"/>
  <c r="O1073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Q1069" i="2"/>
  <c r="P1069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Q1063" i="2"/>
  <c r="P1063" i="2"/>
  <c r="O1063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Q1061" i="2"/>
  <c r="P1061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Q1059" i="2"/>
  <c r="P1059" i="2"/>
  <c r="O1059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Q1057" i="2"/>
  <c r="P1057" i="2"/>
  <c r="O1057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Q1055" i="2"/>
  <c r="P1055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Q1053" i="2"/>
  <c r="P1053" i="2"/>
  <c r="O1053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Q1047" i="2"/>
  <c r="P1047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Q1045" i="2"/>
  <c r="P1045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Q1043" i="2"/>
  <c r="P1043" i="2"/>
  <c r="O1043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Q1041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Q1037" i="2"/>
  <c r="P1037" i="2"/>
  <c r="O1037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Q1033" i="2"/>
  <c r="P1033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Q1031" i="2"/>
  <c r="P1031" i="2"/>
  <c r="O1031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Q1029" i="2"/>
  <c r="P1029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Q319" i="2"/>
  <c r="P319" i="2"/>
  <c r="O319" i="2"/>
  <c r="N319" i="2"/>
  <c r="AG319" i="2" s="1"/>
  <c r="M319" i="2"/>
  <c r="L319" i="2"/>
  <c r="K319" i="2"/>
  <c r="J319" i="2"/>
  <c r="I319" i="2"/>
  <c r="H319" i="2"/>
  <c r="G319" i="2"/>
  <c r="F319" i="2"/>
  <c r="E319" i="2"/>
  <c r="D319" i="2"/>
  <c r="C319" i="2"/>
  <c r="B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Q293" i="2"/>
  <c r="P293" i="2"/>
  <c r="AI293" i="2" s="1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Q280" i="2"/>
  <c r="P280" i="2"/>
  <c r="O280" i="2"/>
  <c r="N280" i="2"/>
  <c r="AG280" i="2" s="1"/>
  <c r="M280" i="2"/>
  <c r="L280" i="2"/>
  <c r="K280" i="2"/>
  <c r="J280" i="2"/>
  <c r="I280" i="2"/>
  <c r="H280" i="2"/>
  <c r="G280" i="2"/>
  <c r="F280" i="2"/>
  <c r="E280" i="2"/>
  <c r="D280" i="2"/>
  <c r="C280" i="2"/>
  <c r="B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Q275" i="2"/>
  <c r="P275" i="2"/>
  <c r="O275" i="2"/>
  <c r="N275" i="2"/>
  <c r="M275" i="2"/>
  <c r="L275" i="2"/>
  <c r="K275" i="2"/>
  <c r="J275" i="2"/>
  <c r="AC275" i="2" s="1"/>
  <c r="I275" i="2"/>
  <c r="H275" i="2"/>
  <c r="G275" i="2"/>
  <c r="F275" i="2"/>
  <c r="E275" i="2"/>
  <c r="D275" i="2"/>
  <c r="C275" i="2"/>
  <c r="B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Q259" i="2"/>
  <c r="P259" i="2"/>
  <c r="O259" i="2"/>
  <c r="N259" i="2"/>
  <c r="AG259" i="2" s="1"/>
  <c r="M259" i="2"/>
  <c r="L259" i="2"/>
  <c r="K259" i="2"/>
  <c r="J259" i="2"/>
  <c r="I259" i="2"/>
  <c r="H259" i="2"/>
  <c r="G259" i="2"/>
  <c r="F259" i="2"/>
  <c r="E259" i="2"/>
  <c r="D259" i="2"/>
  <c r="C259" i="2"/>
  <c r="B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Q249" i="2"/>
  <c r="P249" i="2"/>
  <c r="O249" i="2"/>
  <c r="N249" i="2"/>
  <c r="M249" i="2"/>
  <c r="L249" i="2"/>
  <c r="AE249" i="2" s="1"/>
  <c r="K249" i="2"/>
  <c r="J249" i="2"/>
  <c r="I249" i="2"/>
  <c r="H249" i="2"/>
  <c r="G249" i="2"/>
  <c r="F249" i="2"/>
  <c r="E249" i="2"/>
  <c r="D249" i="2"/>
  <c r="C249" i="2"/>
  <c r="B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Q183" i="2"/>
  <c r="P183" i="2"/>
  <c r="O183" i="2"/>
  <c r="N183" i="2"/>
  <c r="M183" i="2"/>
  <c r="L183" i="2"/>
  <c r="AE183" i="2" s="1"/>
  <c r="K183" i="2"/>
  <c r="J183" i="2"/>
  <c r="I183" i="2"/>
  <c r="H183" i="2"/>
  <c r="G183" i="2"/>
  <c r="F183" i="2"/>
  <c r="E183" i="2"/>
  <c r="D183" i="2"/>
  <c r="C183" i="2"/>
  <c r="B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Q161" i="2"/>
  <c r="P161" i="2"/>
  <c r="O161" i="2"/>
  <c r="N161" i="2"/>
  <c r="M161" i="2"/>
  <c r="L161" i="2"/>
  <c r="K161" i="2"/>
  <c r="J161" i="2"/>
  <c r="AC161" i="2" s="1"/>
  <c r="I161" i="2"/>
  <c r="H161" i="2"/>
  <c r="G161" i="2"/>
  <c r="F161" i="2"/>
  <c r="E161" i="2"/>
  <c r="D161" i="2"/>
  <c r="C161" i="2"/>
  <c r="B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Q127" i="2"/>
  <c r="P127" i="2"/>
  <c r="O127" i="2"/>
  <c r="N127" i="2"/>
  <c r="AG127" i="2" s="1"/>
  <c r="M127" i="2"/>
  <c r="L127" i="2"/>
  <c r="K127" i="2"/>
  <c r="J127" i="2"/>
  <c r="I127" i="2"/>
  <c r="H127" i="2"/>
  <c r="G127" i="2"/>
  <c r="F127" i="2"/>
  <c r="E127" i="2"/>
  <c r="D127" i="2"/>
  <c r="C127" i="2"/>
  <c r="B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Q115" i="2"/>
  <c r="P115" i="2"/>
  <c r="O115" i="2"/>
  <c r="AH115" i="2" s="1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Q61" i="2"/>
  <c r="P61" i="2"/>
  <c r="O61" i="2"/>
  <c r="N61" i="2"/>
  <c r="AG61" i="2" s="1"/>
  <c r="M61" i="2"/>
  <c r="L61" i="2"/>
  <c r="AE61" i="2" s="1"/>
  <c r="K61" i="2"/>
  <c r="J61" i="2"/>
  <c r="I61" i="2"/>
  <c r="H61" i="2"/>
  <c r="G61" i="2"/>
  <c r="F61" i="2"/>
  <c r="E61" i="2"/>
  <c r="D61" i="2"/>
  <c r="C61" i="2"/>
  <c r="B61" i="2"/>
  <c r="U61" i="2" s="1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Q52" i="2"/>
  <c r="P52" i="2"/>
  <c r="O52" i="2"/>
  <c r="N52" i="2"/>
  <c r="M52" i="2"/>
  <c r="L52" i="2"/>
  <c r="AE52" i="2" s="1"/>
  <c r="K52" i="2"/>
  <c r="J52" i="2"/>
  <c r="I52" i="2"/>
  <c r="H52" i="2"/>
  <c r="G52" i="2"/>
  <c r="F52" i="2"/>
  <c r="E52" i="2"/>
  <c r="D52" i="2"/>
  <c r="C52" i="2"/>
  <c r="B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Q48" i="2"/>
  <c r="P48" i="2"/>
  <c r="O48" i="2"/>
  <c r="N48" i="2"/>
  <c r="M48" i="2"/>
  <c r="L48" i="2"/>
  <c r="K48" i="2"/>
  <c r="AC48" i="2" s="1"/>
  <c r="J48" i="2"/>
  <c r="I48" i="2"/>
  <c r="H48" i="2"/>
  <c r="G48" i="2"/>
  <c r="F48" i="2"/>
  <c r="E48" i="2"/>
  <c r="D48" i="2"/>
  <c r="C48" i="2"/>
  <c r="B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AF34" i="2" s="1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AH31" i="2" s="1"/>
  <c r="N31" i="2"/>
  <c r="AG31" i="2" s="1"/>
  <c r="M31" i="2"/>
  <c r="L31" i="2"/>
  <c r="K31" i="2"/>
  <c r="J31" i="2"/>
  <c r="I31" i="2"/>
  <c r="H31" i="2"/>
  <c r="G31" i="2"/>
  <c r="F31" i="2"/>
  <c r="E31" i="2"/>
  <c r="D31" i="2"/>
  <c r="C31" i="2"/>
  <c r="V31" i="2" s="1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AC26" i="2" s="1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AD23" i="2" s="1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AF22" i="2" s="1"/>
  <c r="L22" i="2"/>
  <c r="K22" i="2"/>
  <c r="J22" i="2"/>
  <c r="I22" i="2"/>
  <c r="H22" i="2"/>
  <c r="G22" i="2"/>
  <c r="F22" i="2"/>
  <c r="E22" i="2"/>
  <c r="D22" i="2"/>
  <c r="C22" i="2"/>
  <c r="B22" i="2"/>
  <c r="Q21" i="2"/>
  <c r="P21" i="2"/>
  <c r="O21" i="2"/>
  <c r="N21" i="2"/>
  <c r="AF21" i="2" s="1"/>
  <c r="M21" i="2"/>
  <c r="L21" i="2"/>
  <c r="AE21" i="2" s="1"/>
  <c r="K21" i="2"/>
  <c r="J21" i="2"/>
  <c r="I21" i="2"/>
  <c r="H21" i="2"/>
  <c r="G21" i="2"/>
  <c r="F21" i="2"/>
  <c r="E21" i="2"/>
  <c r="D21" i="2"/>
  <c r="C21" i="2"/>
  <c r="B21" i="2"/>
  <c r="Q20" i="2"/>
  <c r="P20" i="2"/>
  <c r="O20" i="2"/>
  <c r="N20" i="2"/>
  <c r="M20" i="2"/>
  <c r="AF20" i="2" s="1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AH19" i="2" s="1"/>
  <c r="N19" i="2"/>
  <c r="M19" i="2"/>
  <c r="L19" i="2"/>
  <c r="K19" i="2"/>
  <c r="J19" i="2"/>
  <c r="I19" i="2"/>
  <c r="H19" i="2"/>
  <c r="G19" i="2"/>
  <c r="F19" i="2"/>
  <c r="E19" i="2"/>
  <c r="D19" i="2"/>
  <c r="C19" i="2"/>
  <c r="V19" i="2" s="1"/>
  <c r="B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AF17" i="2" s="1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C1" i="2"/>
  <c r="AF1" i="2"/>
  <c r="Q3" i="2"/>
  <c r="Q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B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Y3" i="2" l="1"/>
  <c r="W70" i="2"/>
  <c r="AI70" i="2"/>
  <c r="W88" i="2"/>
  <c r="AI88" i="2"/>
  <c r="V8" i="2"/>
  <c r="AH8" i="2"/>
  <c r="AG38" i="2"/>
  <c r="AF182" i="2"/>
  <c r="Z200" i="2"/>
  <c r="AE3" i="2"/>
  <c r="AD315" i="2"/>
  <c r="AD318" i="2"/>
  <c r="V500" i="2"/>
  <c r="AH500" i="2"/>
  <c r="AH21" i="2"/>
  <c r="S61" i="2"/>
  <c r="T61" i="2"/>
  <c r="W39" i="2"/>
  <c r="AI39" i="2"/>
  <c r="AI42" i="2"/>
  <c r="V114" i="2"/>
  <c r="AC4" i="2"/>
  <c r="AG6" i="2"/>
  <c r="AC7" i="2"/>
  <c r="AD120" i="2"/>
  <c r="AC216" i="2"/>
  <c r="AG311" i="2"/>
  <c r="U123" i="2"/>
  <c r="AG123" i="2"/>
  <c r="U126" i="2"/>
  <c r="AG126" i="2"/>
  <c r="AC139" i="2"/>
  <c r="AG162" i="2"/>
  <c r="AG171" i="2"/>
  <c r="AF189" i="2"/>
  <c r="AF198" i="2"/>
  <c r="AF219" i="2"/>
  <c r="AF58" i="2"/>
  <c r="AF73" i="2"/>
  <c r="AI120" i="2"/>
  <c r="AH162" i="2"/>
  <c r="AH165" i="2"/>
  <c r="AD166" i="2"/>
  <c r="V174" i="2"/>
  <c r="AH174" i="2"/>
  <c r="AH177" i="2"/>
  <c r="V180" i="2"/>
  <c r="AH180" i="2"/>
  <c r="AG192" i="2"/>
  <c r="AC193" i="2"/>
  <c r="AG216" i="2"/>
  <c r="AC244" i="2"/>
  <c r="U114" i="2"/>
  <c r="AF3" i="2"/>
  <c r="AG85" i="2"/>
  <c r="AC107" i="2"/>
  <c r="AE121" i="2"/>
  <c r="AA122" i="2"/>
  <c r="W123" i="2"/>
  <c r="AI123" i="2"/>
  <c r="AE124" i="2"/>
  <c r="W132" i="2"/>
  <c r="AE136" i="2"/>
  <c r="W150" i="2"/>
  <c r="AI150" i="2"/>
  <c r="AE163" i="2"/>
  <c r="AE166" i="2"/>
  <c r="AH216" i="2"/>
  <c r="AF9" i="2"/>
  <c r="V73" i="2"/>
  <c r="AH73" i="2"/>
  <c r="AF121" i="2"/>
  <c r="AF136" i="2"/>
  <c r="AF160" i="2"/>
  <c r="V139" i="2"/>
  <c r="AH139" i="2"/>
  <c r="W12" i="2"/>
  <c r="AI12" i="2"/>
  <c r="AI18" i="2"/>
  <c r="W21" i="2"/>
  <c r="AC31" i="2"/>
  <c r="AG36" i="2"/>
  <c r="AC37" i="2"/>
  <c r="AF45" i="2"/>
  <c r="AC96" i="2"/>
  <c r="AG98" i="2"/>
  <c r="AC99" i="2"/>
  <c r="AC102" i="2"/>
  <c r="AG110" i="2"/>
  <c r="AF116" i="2"/>
  <c r="V232" i="2"/>
  <c r="V235" i="2"/>
  <c r="AD72" i="2"/>
  <c r="AB222" i="2"/>
  <c r="AG7" i="2"/>
  <c r="AC8" i="2"/>
  <c r="AE28" i="2"/>
  <c r="V42" i="2"/>
  <c r="X235" i="2"/>
  <c r="X958" i="2"/>
  <c r="AF980" i="2"/>
  <c r="AA134" i="2"/>
  <c r="AC5" i="2"/>
  <c r="U7" i="2"/>
  <c r="AB14" i="2"/>
  <c r="AF16" i="2"/>
  <c r="AG39" i="2"/>
  <c r="AC43" i="2"/>
  <c r="AG45" i="2"/>
  <c r="W59" i="2"/>
  <c r="AI59" i="2"/>
  <c r="AF62" i="2"/>
  <c r="AF65" i="2"/>
  <c r="V123" i="2"/>
  <c r="AH123" i="2"/>
  <c r="AD124" i="2"/>
  <c r="AD198" i="2"/>
  <c r="AD338" i="2"/>
  <c r="AD383" i="2"/>
  <c r="AD395" i="2"/>
  <c r="X118" i="2"/>
  <c r="AA298" i="2"/>
  <c r="Z4" i="2"/>
  <c r="Z7" i="2"/>
  <c r="AC15" i="2"/>
  <c r="AC18" i="2"/>
  <c r="W28" i="2"/>
  <c r="AD32" i="2"/>
  <c r="V46" i="2"/>
  <c r="AH46" i="2"/>
  <c r="AD47" i="2"/>
  <c r="AE105" i="2"/>
  <c r="AD108" i="2"/>
  <c r="AD111" i="2"/>
  <c r="AD155" i="2"/>
  <c r="X165" i="2"/>
  <c r="W204" i="2"/>
  <c r="V231" i="2"/>
  <c r="AH231" i="2"/>
  <c r="AD232" i="2"/>
  <c r="AC289" i="2"/>
  <c r="AF294" i="2"/>
  <c r="X296" i="2"/>
  <c r="AI314" i="2"/>
  <c r="Y182" i="2"/>
  <c r="AF122" i="2"/>
  <c r="W219" i="2"/>
  <c r="V252" i="2"/>
  <c r="AH252" i="2"/>
  <c r="V261" i="2"/>
  <c r="AH261" i="2"/>
  <c r="AD268" i="2"/>
  <c r="AH276" i="2"/>
  <c r="AD289" i="2"/>
  <c r="AF312" i="2"/>
  <c r="AD3" i="2"/>
  <c r="AD64" i="2"/>
  <c r="V66" i="2"/>
  <c r="AC3" i="2"/>
  <c r="AF337" i="2"/>
  <c r="AC36" i="2"/>
  <c r="AB48" i="2"/>
  <c r="AC91" i="2"/>
  <c r="Y92" i="2"/>
  <c r="AG93" i="2"/>
  <c r="AG122" i="2"/>
  <c r="AC135" i="2"/>
  <c r="AD164" i="2"/>
  <c r="AH169" i="2"/>
  <c r="AC191" i="2"/>
  <c r="U199" i="2"/>
  <c r="AG199" i="2"/>
  <c r="AC203" i="2"/>
  <c r="AC209" i="2"/>
  <c r="AE271" i="2"/>
  <c r="W291" i="2"/>
  <c r="AI291" i="2"/>
  <c r="X16" i="2"/>
  <c r="AF12" i="2"/>
  <c r="V23" i="2"/>
  <c r="AD24" i="2"/>
  <c r="AD106" i="2"/>
  <c r="AG108" i="2"/>
  <c r="AG111" i="2"/>
  <c r="AG114" i="2"/>
  <c r="V137" i="2"/>
  <c r="AH137" i="2"/>
  <c r="V152" i="2"/>
  <c r="V155" i="2"/>
  <c r="AH155" i="2"/>
  <c r="AD159" i="2"/>
  <c r="AD188" i="2"/>
  <c r="AC233" i="2"/>
  <c r="AC239" i="2"/>
  <c r="U247" i="2"/>
  <c r="AF256" i="2"/>
  <c r="AF259" i="2"/>
  <c r="X273" i="2"/>
  <c r="AC128" i="2"/>
  <c r="U6" i="2"/>
  <c r="AD4" i="2"/>
  <c r="U21" i="2"/>
  <c r="X75" i="2"/>
  <c r="W105" i="2"/>
  <c r="AD227" i="2"/>
  <c r="Z228" i="2"/>
  <c r="AD230" i="2"/>
  <c r="AB3" i="2"/>
  <c r="X61" i="2"/>
  <c r="AE85" i="2"/>
  <c r="AI105" i="2"/>
  <c r="AC13" i="2"/>
  <c r="V18" i="2"/>
  <c r="X23" i="2"/>
  <c r="AE45" i="2"/>
  <c r="Y61" i="2"/>
  <c r="Z63" i="2"/>
  <c r="AK63" i="2" s="1"/>
  <c r="V64" i="2"/>
  <c r="AH64" i="2"/>
  <c r="V67" i="2"/>
  <c r="AG79" i="2"/>
  <c r="AF81" i="2"/>
  <c r="AE109" i="2"/>
  <c r="AF129" i="2"/>
  <c r="AF206" i="2"/>
  <c r="AE224" i="2"/>
  <c r="AE230" i="2"/>
  <c r="AD284" i="2"/>
  <c r="AB1" i="2"/>
  <c r="AH223" i="2"/>
  <c r="Y100" i="2"/>
  <c r="AE168" i="2"/>
  <c r="AE191" i="2"/>
  <c r="Y207" i="2"/>
  <c r="AE217" i="2"/>
  <c r="AH382" i="2"/>
  <c r="AC1538" i="2"/>
  <c r="Y1539" i="2"/>
  <c r="AB43" i="2"/>
  <c r="Y9" i="2"/>
  <c r="AB22" i="2"/>
  <c r="AB25" i="2"/>
  <c r="AB45" i="2"/>
  <c r="AE320" i="2"/>
  <c r="AE335" i="2"/>
  <c r="Z1539" i="2"/>
  <c r="AB178" i="2"/>
  <c r="U229" i="2"/>
  <c r="AE333" i="2"/>
  <c r="V382" i="2"/>
  <c r="AD335" i="2"/>
  <c r="AE1" i="2"/>
  <c r="V10" i="2"/>
  <c r="AH10" i="2"/>
  <c r="AD11" i="2"/>
  <c r="Z12" i="2"/>
  <c r="AF19" i="2"/>
  <c r="X21" i="2"/>
  <c r="Y23" i="2"/>
  <c r="AG30" i="2"/>
  <c r="AG44" i="2"/>
  <c r="AG47" i="2"/>
  <c r="AE64" i="2"/>
  <c r="X83" i="2"/>
  <c r="AB85" i="2"/>
  <c r="V98" i="2"/>
  <c r="AH98" i="2"/>
  <c r="AE110" i="2"/>
  <c r="AE123" i="2"/>
  <c r="Y136" i="2"/>
  <c r="AE137" i="2"/>
  <c r="AF165" i="2"/>
  <c r="AB166" i="2"/>
  <c r="X167" i="2"/>
  <c r="AF168" i="2"/>
  <c r="X196" i="2"/>
  <c r="V199" i="2"/>
  <c r="AH199" i="2"/>
  <c r="V205" i="2"/>
  <c r="AH205" i="2"/>
  <c r="X219" i="2"/>
  <c r="AD1" i="2"/>
  <c r="Y4" i="2"/>
  <c r="AA9" i="2"/>
  <c r="AI10" i="2"/>
  <c r="Y21" i="2"/>
  <c r="AD28" i="2"/>
  <c r="V30" i="2"/>
  <c r="AH30" i="2"/>
  <c r="AD31" i="2"/>
  <c r="AF33" i="2"/>
  <c r="AB34" i="2"/>
  <c r="AE53" i="2"/>
  <c r="AF67" i="2"/>
  <c r="AB71" i="2"/>
  <c r="AA74" i="2"/>
  <c r="W75" i="2"/>
  <c r="AI75" i="2"/>
  <c r="AE76" i="2"/>
  <c r="AC82" i="2"/>
  <c r="AC85" i="2"/>
  <c r="AE93" i="2"/>
  <c r="AG134" i="2"/>
  <c r="AD135" i="2"/>
  <c r="AF137" i="2"/>
  <c r="AB138" i="2"/>
  <c r="V185" i="2"/>
  <c r="AD186" i="2"/>
  <c r="AG217" i="2"/>
  <c r="AF229" i="2"/>
  <c r="Y284" i="2"/>
  <c r="AF285" i="2"/>
  <c r="Y316" i="2"/>
  <c r="AG317" i="2"/>
  <c r="AB293" i="2"/>
  <c r="AB981" i="2"/>
  <c r="AK981" i="2" s="1"/>
  <c r="X3" i="2"/>
  <c r="AG674" i="2"/>
  <c r="AB23" i="2"/>
  <c r="AB117" i="2"/>
  <c r="AB207" i="2"/>
  <c r="AB216" i="2"/>
  <c r="AB40" i="2"/>
  <c r="AH79" i="2"/>
  <c r="AH90" i="2"/>
  <c r="AB148" i="2"/>
  <c r="AB290" i="2"/>
  <c r="AE516" i="2"/>
  <c r="AE29" i="2"/>
  <c r="AE40" i="2"/>
  <c r="AG51" i="2"/>
  <c r="AG62" i="2"/>
  <c r="AA104" i="2"/>
  <c r="V195" i="2"/>
  <c r="AH195" i="2"/>
  <c r="AB202" i="2"/>
  <c r="AB211" i="2"/>
  <c r="AG227" i="2"/>
  <c r="AB238" i="2"/>
  <c r="AE248" i="2"/>
  <c r="AB54" i="2"/>
  <c r="AB4" i="2"/>
  <c r="AK4" i="2" s="1"/>
  <c r="AC178" i="2"/>
  <c r="AA228" i="2"/>
  <c r="AB52" i="2"/>
  <c r="AE175" i="2"/>
  <c r="AE213" i="2"/>
  <c r="AB13" i="2"/>
  <c r="AB38" i="2"/>
  <c r="U51" i="2"/>
  <c r="AB58" i="2"/>
  <c r="AB61" i="2"/>
  <c r="X79" i="2"/>
  <c r="X102" i="2"/>
  <c r="AG147" i="2"/>
  <c r="AE149" i="2"/>
  <c r="AG161" i="2"/>
  <c r="U227" i="2"/>
  <c r="AB476" i="2"/>
  <c r="AB24" i="2"/>
  <c r="AI28" i="2"/>
  <c r="Y36" i="2"/>
  <c r="U37" i="2"/>
  <c r="AF37" i="2"/>
  <c r="AF40" i="2"/>
  <c r="AD52" i="2"/>
  <c r="AC58" i="2"/>
  <c r="V68" i="2"/>
  <c r="AC75" i="2"/>
  <c r="AG91" i="2"/>
  <c r="AC92" i="2"/>
  <c r="U100" i="2"/>
  <c r="AG100" i="2"/>
  <c r="Y102" i="2"/>
  <c r="AF103" i="2"/>
  <c r="W108" i="2"/>
  <c r="U119" i="2"/>
  <c r="AD148" i="2"/>
  <c r="Z149" i="2"/>
  <c r="U150" i="2"/>
  <c r="AG150" i="2"/>
  <c r="X155" i="2"/>
  <c r="AE156" i="2"/>
  <c r="AA157" i="2"/>
  <c r="AG172" i="2"/>
  <c r="AC173" i="2"/>
  <c r="AC208" i="2"/>
  <c r="V224" i="2"/>
  <c r="AH224" i="2"/>
  <c r="AD225" i="2"/>
  <c r="V227" i="2"/>
  <c r="AH227" i="2"/>
  <c r="AC243" i="2"/>
  <c r="AB246" i="2"/>
  <c r="AB60" i="2"/>
  <c r="AF177" i="2"/>
  <c r="AB184" i="2"/>
  <c r="AB21" i="2"/>
  <c r="AD150" i="2"/>
  <c r="V626" i="2"/>
  <c r="V12" i="2"/>
  <c r="AH12" i="2"/>
  <c r="AG15" i="2"/>
  <c r="AB19" i="2"/>
  <c r="AG26" i="2"/>
  <c r="AC27" i="2"/>
  <c r="AC30" i="2"/>
  <c r="AA33" i="2"/>
  <c r="AI34" i="2"/>
  <c r="AD35" i="2"/>
  <c r="Z36" i="2"/>
  <c r="AD38" i="2"/>
  <c r="AB44" i="2"/>
  <c r="U46" i="2"/>
  <c r="AG46" i="2"/>
  <c r="AC47" i="2"/>
  <c r="AE49" i="2"/>
  <c r="W51" i="2"/>
  <c r="AI51" i="2"/>
  <c r="V57" i="2"/>
  <c r="AH57" i="2"/>
  <c r="V60" i="2"/>
  <c r="AH60" i="2"/>
  <c r="V100" i="2"/>
  <c r="AH100" i="2"/>
  <c r="AB131" i="2"/>
  <c r="Z140" i="2"/>
  <c r="AE145" i="2"/>
  <c r="W147" i="2"/>
  <c r="AI147" i="2"/>
  <c r="Z152" i="2"/>
  <c r="U153" i="2"/>
  <c r="AG153" i="2"/>
  <c r="AC154" i="2"/>
  <c r="Y155" i="2"/>
  <c r="AF156" i="2"/>
  <c r="AF193" i="2"/>
  <c r="AH210" i="2"/>
  <c r="U213" i="2"/>
  <c r="AH213" i="2"/>
  <c r="W221" i="2"/>
  <c r="AH221" i="2"/>
  <c r="AE397" i="2"/>
  <c r="AE475" i="2"/>
  <c r="AA120" i="2"/>
  <c r="AB63" i="2"/>
  <c r="V79" i="2"/>
  <c r="AB120" i="2"/>
  <c r="Y157" i="2"/>
  <c r="AG215" i="2"/>
  <c r="AE13" i="2"/>
  <c r="AB67" i="2"/>
  <c r="AE101" i="2"/>
  <c r="V103" i="2"/>
  <c r="AH103" i="2"/>
  <c r="AF117" i="2"/>
  <c r="X141" i="2"/>
  <c r="AF142" i="2"/>
  <c r="AB146" i="2"/>
  <c r="X147" i="2"/>
  <c r="AB149" i="2"/>
  <c r="AE151" i="2"/>
  <c r="AH153" i="2"/>
  <c r="AF170" i="2"/>
  <c r="AE199" i="2"/>
  <c r="AB220" i="2"/>
  <c r="AF222" i="2"/>
  <c r="AB12" i="2"/>
  <c r="AB122" i="2"/>
  <c r="U32" i="2"/>
  <c r="X37" i="2"/>
  <c r="AF38" i="2"/>
  <c r="AG49" i="2"/>
  <c r="AC67" i="2"/>
  <c r="AG69" i="2"/>
  <c r="AB73" i="2"/>
  <c r="AB76" i="2"/>
  <c r="AF86" i="2"/>
  <c r="X88" i="2"/>
  <c r="X94" i="2"/>
  <c r="AB96" i="2"/>
  <c r="W100" i="2"/>
  <c r="AI100" i="2"/>
  <c r="AF112" i="2"/>
  <c r="Y144" i="2"/>
  <c r="Y147" i="2"/>
  <c r="W207" i="2"/>
  <c r="AF211" i="2"/>
  <c r="AG234" i="2"/>
  <c r="AG391" i="2"/>
  <c r="AC428" i="2"/>
  <c r="AC431" i="2"/>
  <c r="Y432" i="2"/>
  <c r="AC6" i="2"/>
  <c r="V229" i="2"/>
  <c r="V37" i="2"/>
  <c r="AH37" i="2"/>
  <c r="AD49" i="2"/>
  <c r="Z50" i="2"/>
  <c r="V51" i="2"/>
  <c r="AH51" i="2"/>
  <c r="V59" i="2"/>
  <c r="AH59" i="2"/>
  <c r="AD60" i="2"/>
  <c r="Z61" i="2"/>
  <c r="AE62" i="2"/>
  <c r="V70" i="2"/>
  <c r="AH70" i="2"/>
  <c r="AD71" i="2"/>
  <c r="AA75" i="2"/>
  <c r="AA85" i="2"/>
  <c r="U86" i="2"/>
  <c r="AG86" i="2"/>
  <c r="W97" i="2"/>
  <c r="AI97" i="2"/>
  <c r="AA99" i="2"/>
  <c r="U103" i="2"/>
  <c r="AG103" i="2"/>
  <c r="U116" i="2"/>
  <c r="AG116" i="2"/>
  <c r="AC117" i="2"/>
  <c r="AC140" i="2"/>
  <c r="Y141" i="2"/>
  <c r="U142" i="2"/>
  <c r="AG142" i="2"/>
  <c r="AE148" i="2"/>
  <c r="AK149" i="2"/>
  <c r="U177" i="2"/>
  <c r="U180" i="2"/>
  <c r="AF180" i="2"/>
  <c r="W194" i="2"/>
  <c r="AI194" i="2"/>
  <c r="AD195" i="2"/>
  <c r="Y223" i="2"/>
  <c r="X226" i="2"/>
  <c r="AA260" i="2"/>
  <c r="AA281" i="2"/>
  <c r="AD292" i="2"/>
  <c r="Z293" i="2"/>
  <c r="AK293" i="2" s="1"/>
  <c r="AA313" i="2"/>
  <c r="U30" i="2"/>
  <c r="U35" i="2"/>
  <c r="Y37" i="2"/>
  <c r="Z48" i="2"/>
  <c r="AK48" i="2" s="1"/>
  <c r="U62" i="2"/>
  <c r="AB72" i="2"/>
  <c r="W73" i="2"/>
  <c r="W81" i="2"/>
  <c r="AI81" i="2"/>
  <c r="Y94" i="2"/>
  <c r="U95" i="2"/>
  <c r="U98" i="2"/>
  <c r="W116" i="2"/>
  <c r="AI116" i="2"/>
  <c r="AD117" i="2"/>
  <c r="AE117" i="2"/>
  <c r="W134" i="2"/>
  <c r="AI134" i="2"/>
  <c r="Z136" i="2"/>
  <c r="AI139" i="2"/>
  <c r="AI177" i="2"/>
  <c r="U192" i="2"/>
  <c r="Z194" i="2"/>
  <c r="AI219" i="2"/>
  <c r="Y261" i="2"/>
  <c r="U265" i="2"/>
  <c r="Y16" i="2"/>
  <c r="X19" i="2"/>
  <c r="Y29" i="2"/>
  <c r="W32" i="2"/>
  <c r="AI32" i="2"/>
  <c r="AA48" i="2"/>
  <c r="U49" i="2"/>
  <c r="Y59" i="2"/>
  <c r="U68" i="2"/>
  <c r="AC69" i="2"/>
  <c r="Y70" i="2"/>
  <c r="AC72" i="2"/>
  <c r="AD82" i="2"/>
  <c r="Z83" i="2"/>
  <c r="Z94" i="2"/>
  <c r="AD96" i="2"/>
  <c r="Z100" i="2"/>
  <c r="Z111" i="2"/>
  <c r="AC115" i="2"/>
  <c r="V132" i="2"/>
  <c r="AH132" i="2"/>
  <c r="X134" i="2"/>
  <c r="AA136" i="2"/>
  <c r="Y139" i="2"/>
  <c r="W174" i="2"/>
  <c r="AF175" i="2"/>
  <c r="AI180" i="2"/>
  <c r="AI186" i="2"/>
  <c r="V192" i="2"/>
  <c r="AH192" i="2"/>
  <c r="W208" i="2"/>
  <c r="AI208" i="2"/>
  <c r="AB218" i="2"/>
  <c r="AC220" i="2"/>
  <c r="AA221" i="2"/>
  <c r="Z176" i="2"/>
  <c r="AG3" i="2"/>
  <c r="U1466" i="2"/>
  <c r="U1483" i="2"/>
  <c r="U1531" i="2"/>
  <c r="U1376" i="2"/>
  <c r="U1395" i="2"/>
  <c r="U1498" i="2"/>
  <c r="U1368" i="2"/>
  <c r="U1281" i="2"/>
  <c r="U1265" i="2"/>
  <c r="U1500" i="2"/>
  <c r="U1514" i="2"/>
  <c r="U1245" i="2"/>
  <c r="U1261" i="2"/>
  <c r="U1150" i="2"/>
  <c r="U1317" i="2"/>
  <c r="U1231" i="2"/>
  <c r="U1251" i="2"/>
  <c r="U1171" i="2"/>
  <c r="U1140" i="2"/>
  <c r="U1160" i="2"/>
  <c r="U1107" i="2"/>
  <c r="U1051" i="2"/>
  <c r="U1032" i="2"/>
  <c r="U1034" i="2"/>
  <c r="U1164" i="2"/>
  <c r="U1227" i="2"/>
  <c r="U1073" i="2"/>
  <c r="U1040" i="2"/>
  <c r="U998" i="2"/>
  <c r="U887" i="2"/>
  <c r="U984" i="2"/>
  <c r="U977" i="2"/>
  <c r="U827" i="2"/>
  <c r="U791" i="2"/>
  <c r="U774" i="2"/>
  <c r="U941" i="2"/>
  <c r="U837" i="2"/>
  <c r="U761" i="2"/>
  <c r="U871" i="2"/>
  <c r="U844" i="2"/>
  <c r="U839" i="2"/>
  <c r="U801" i="2"/>
  <c r="U808" i="2"/>
  <c r="U858" i="2"/>
  <c r="U730" i="2"/>
  <c r="U1004" i="2"/>
  <c r="U759" i="2"/>
  <c r="U707" i="2"/>
  <c r="U864" i="2"/>
  <c r="U550" i="2"/>
  <c r="U538" i="2"/>
  <c r="U444" i="2"/>
  <c r="U422" i="2"/>
  <c r="U402" i="2"/>
  <c r="U349" i="2"/>
  <c r="U772" i="2"/>
  <c r="U701" i="2"/>
  <c r="U468" i="2"/>
  <c r="U456" i="2"/>
  <c r="U509" i="2"/>
  <c r="U481" i="2"/>
  <c r="U525" i="2"/>
  <c r="U1348" i="2"/>
  <c r="U451" i="2"/>
  <c r="U580" i="2"/>
  <c r="U566" i="2"/>
  <c r="U473" i="2"/>
  <c r="U491" i="2"/>
  <c r="U472" i="2"/>
  <c r="U655" i="2"/>
  <c r="U460" i="2"/>
  <c r="U776" i="2"/>
  <c r="U501" i="2"/>
  <c r="U427" i="2"/>
  <c r="U383" i="2"/>
  <c r="U713" i="2"/>
  <c r="U249" i="2"/>
  <c r="U610" i="2"/>
  <c r="U439" i="2"/>
  <c r="U338" i="2"/>
  <c r="U380" i="2"/>
  <c r="U331" i="2"/>
  <c r="U309" i="2"/>
  <c r="U362" i="2"/>
  <c r="U138" i="2"/>
  <c r="U111" i="2"/>
  <c r="U45" i="2"/>
  <c r="U31" i="2"/>
  <c r="U1" i="2"/>
  <c r="U135" i="2"/>
  <c r="U215" i="2"/>
  <c r="X1522" i="2"/>
  <c r="X1291" i="2"/>
  <c r="X1219" i="2"/>
  <c r="X1154" i="2"/>
  <c r="X1223" i="2"/>
  <c r="X1160" i="2"/>
  <c r="X1117" i="2"/>
  <c r="X1349" i="2"/>
  <c r="X1029" i="2"/>
  <c r="X1004" i="2"/>
  <c r="X1057" i="2"/>
  <c r="X901" i="2"/>
  <c r="X944" i="2"/>
  <c r="X650" i="2"/>
  <c r="X668" i="2"/>
  <c r="X960" i="2"/>
  <c r="X803" i="2"/>
  <c r="X898" i="2"/>
  <c r="X778" i="2"/>
  <c r="X619" i="2"/>
  <c r="X653" i="2"/>
  <c r="X858" i="2"/>
  <c r="X620" i="2"/>
  <c r="X564" i="2"/>
  <c r="X496" i="2"/>
  <c r="X442" i="2"/>
  <c r="X232" i="2"/>
  <c r="X312" i="2"/>
  <c r="X920" i="2"/>
  <c r="X679" i="2"/>
  <c r="X252" i="2"/>
  <c r="X76" i="2"/>
  <c r="X1" i="2"/>
  <c r="X62" i="2"/>
  <c r="X60" i="2"/>
  <c r="X247" i="2"/>
  <c r="AI1515" i="2"/>
  <c r="AI1484" i="2"/>
  <c r="AI1464" i="2"/>
  <c r="AI1419" i="2"/>
  <c r="AI1397" i="2"/>
  <c r="AI1509" i="2"/>
  <c r="AI1522" i="2"/>
  <c r="AI1383" i="2"/>
  <c r="AI1325" i="2"/>
  <c r="AI1386" i="2"/>
  <c r="AI1307" i="2"/>
  <c r="AI1328" i="2"/>
  <c r="AI1253" i="2"/>
  <c r="AI1356" i="2"/>
  <c r="AI1216" i="2"/>
  <c r="AI1310" i="2"/>
  <c r="AI1119" i="2"/>
  <c r="AI1117" i="2"/>
  <c r="AI1136" i="2"/>
  <c r="AI1207" i="2"/>
  <c r="AI1155" i="2"/>
  <c r="AI1076" i="2"/>
  <c r="AI1064" i="2"/>
  <c r="AI1133" i="2"/>
  <c r="AI1092" i="2"/>
  <c r="AI1074" i="2"/>
  <c r="AI1148" i="2"/>
  <c r="AI920" i="2"/>
  <c r="AI1126" i="2"/>
  <c r="AI915" i="2"/>
  <c r="AI895" i="2"/>
  <c r="AI837" i="2"/>
  <c r="AI1480" i="2"/>
  <c r="AI1004" i="2"/>
  <c r="AI1063" i="2"/>
  <c r="AI981" i="2"/>
  <c r="AI763" i="2"/>
  <c r="AI647" i="2"/>
  <c r="AI1271" i="2"/>
  <c r="AI803" i="2"/>
  <c r="AI583" i="2"/>
  <c r="AI766" i="2"/>
  <c r="AI885" i="2"/>
  <c r="AI567" i="2"/>
  <c r="AI1113" i="2"/>
  <c r="AI1025" i="2"/>
  <c r="AI662" i="2"/>
  <c r="AI900" i="2"/>
  <c r="AI631" i="2"/>
  <c r="AI543" i="2"/>
  <c r="AI536" i="2"/>
  <c r="AI444" i="2"/>
  <c r="AI575" i="2"/>
  <c r="AI806" i="2"/>
  <c r="AI613" i="2"/>
  <c r="AI553" i="2"/>
  <c r="AI521" i="2"/>
  <c r="AI485" i="2"/>
  <c r="AI401" i="2"/>
  <c r="AI615" i="2"/>
  <c r="AI574" i="2"/>
  <c r="AI684" i="2"/>
  <c r="AI597" i="2"/>
  <c r="AI846" i="2"/>
  <c r="AI550" i="2"/>
  <c r="AI475" i="2"/>
  <c r="AI675" i="2"/>
  <c r="AI468" i="2"/>
  <c r="AI463" i="2"/>
  <c r="AI454" i="2"/>
  <c r="AI598" i="2"/>
  <c r="AI442" i="2"/>
  <c r="AI1240" i="2"/>
  <c r="AI669" i="2"/>
  <c r="AI796" i="2"/>
  <c r="AI384" i="2"/>
  <c r="AI437" i="2"/>
  <c r="AI353" i="2"/>
  <c r="AI369" i="2"/>
  <c r="AI417" i="2"/>
  <c r="AI402" i="2"/>
  <c r="AI280" i="2"/>
  <c r="AI541" i="2"/>
  <c r="AI1" i="2"/>
  <c r="AI230" i="2"/>
  <c r="AI173" i="2"/>
  <c r="AI211" i="2"/>
  <c r="AI552" i="2"/>
  <c r="AI195" i="2"/>
  <c r="AI185" i="2"/>
  <c r="AI114" i="2"/>
  <c r="W1444" i="2"/>
  <c r="W1459" i="2"/>
  <c r="W1413" i="2"/>
  <c r="W1386" i="2"/>
  <c r="W1498" i="2"/>
  <c r="W1323" i="2"/>
  <c r="W1136" i="2"/>
  <c r="W1126" i="2"/>
  <c r="W1154" i="2"/>
  <c r="W1332" i="2"/>
  <c r="W1147" i="2"/>
  <c r="W1141" i="2"/>
  <c r="W1226" i="2"/>
  <c r="W1117" i="2"/>
  <c r="W1219" i="2"/>
  <c r="W1101" i="2"/>
  <c r="W1083" i="2"/>
  <c r="W1388" i="2"/>
  <c r="W1057" i="2"/>
  <c r="W825" i="2"/>
  <c r="W1216" i="2"/>
  <c r="W837" i="2"/>
  <c r="W738" i="2"/>
  <c r="W1017" i="2"/>
  <c r="W751" i="2"/>
  <c r="W987" i="2"/>
  <c r="W761" i="2"/>
  <c r="W778" i="2"/>
  <c r="W543" i="2"/>
  <c r="W821" i="2"/>
  <c r="W624" i="2"/>
  <c r="W338" i="2"/>
  <c r="W861" i="2"/>
  <c r="W653" i="2"/>
  <c r="W583" i="2"/>
  <c r="W565" i="2"/>
  <c r="W684" i="2"/>
  <c r="W679" i="2"/>
  <c r="W519" i="2"/>
  <c r="W1035" i="2"/>
  <c r="W858" i="2"/>
  <c r="W741" i="2"/>
  <c r="W711" i="2"/>
  <c r="W501" i="2"/>
  <c r="W334" i="2"/>
  <c r="W990" i="2"/>
  <c r="W470" i="2"/>
  <c r="W418" i="2"/>
  <c r="W401" i="2"/>
  <c r="W460" i="2"/>
  <c r="W427" i="2"/>
  <c r="W909" i="2"/>
  <c r="W496" i="2"/>
  <c r="W326" i="2"/>
  <c r="W398" i="2"/>
  <c r="W290" i="2"/>
  <c r="W269" i="2"/>
  <c r="W595" i="2"/>
  <c r="W402" i="2"/>
  <c r="W659" i="2"/>
  <c r="W261" i="2"/>
  <c r="W257" i="2"/>
  <c r="W564" i="2"/>
  <c r="W1" i="2"/>
  <c r="X14" i="2"/>
  <c r="U20" i="2"/>
  <c r="AI57" i="2"/>
  <c r="X81" i="2"/>
  <c r="Y86" i="2"/>
  <c r="U90" i="2"/>
  <c r="U92" i="2"/>
  <c r="X109" i="2"/>
  <c r="Z114" i="2"/>
  <c r="AA126" i="2"/>
  <c r="W127" i="2"/>
  <c r="W129" i="2"/>
  <c r="AA131" i="2"/>
  <c r="AI132" i="2"/>
  <c r="AA188" i="2"/>
  <c r="X189" i="2"/>
  <c r="W192" i="2"/>
  <c r="Z205" i="2"/>
  <c r="U217" i="2"/>
  <c r="AI449" i="2"/>
  <c r="W506" i="2"/>
  <c r="AI506" i="2"/>
  <c r="W515" i="2"/>
  <c r="AI515" i="2"/>
  <c r="Y43" i="2"/>
  <c r="U44" i="2"/>
  <c r="X46" i="2"/>
  <c r="Z51" i="2"/>
  <c r="AA56" i="2"/>
  <c r="Z67" i="2"/>
  <c r="Z70" i="2"/>
  <c r="AE4" i="2"/>
  <c r="Y14" i="2"/>
  <c r="U14" i="2"/>
  <c r="AE15" i="2"/>
  <c r="AA16" i="2"/>
  <c r="AB29" i="2"/>
  <c r="X30" i="2"/>
  <c r="AE31" i="2"/>
  <c r="Z43" i="2"/>
  <c r="V44" i="2"/>
  <c r="AC45" i="2"/>
  <c r="Y46" i="2"/>
  <c r="U47" i="2"/>
  <c r="W49" i="2"/>
  <c r="W52" i="2"/>
  <c r="W60" i="2"/>
  <c r="AE66" i="2"/>
  <c r="AA67" i="2"/>
  <c r="W68" i="2"/>
  <c r="AI68" i="2"/>
  <c r="AE69" i="2"/>
  <c r="Y76" i="2"/>
  <c r="U77" i="2"/>
  <c r="AG77" i="2"/>
  <c r="AC78" i="2"/>
  <c r="W79" i="2"/>
  <c r="Z81" i="2"/>
  <c r="AE82" i="2"/>
  <c r="AF82" i="2"/>
  <c r="X84" i="2"/>
  <c r="Z86" i="2"/>
  <c r="Y89" i="2"/>
  <c r="Z89" i="2"/>
  <c r="V90" i="2"/>
  <c r="AF93" i="2"/>
  <c r="AA94" i="2"/>
  <c r="X95" i="2"/>
  <c r="AC108" i="2"/>
  <c r="AB111" i="2"/>
  <c r="W112" i="2"/>
  <c r="AI112" i="2"/>
  <c r="AE113" i="2"/>
  <c r="AA114" i="2"/>
  <c r="W114" i="2"/>
  <c r="Y169" i="2"/>
  <c r="U169" i="2"/>
  <c r="AB191" i="2"/>
  <c r="X214" i="2"/>
  <c r="W214" i="2"/>
  <c r="X233" i="2"/>
  <c r="Z241" i="2"/>
  <c r="U242" i="2"/>
  <c r="Y247" i="2"/>
  <c r="AA1443" i="2"/>
  <c r="AA1427" i="2"/>
  <c r="AA1452" i="2"/>
  <c r="AA1475" i="2"/>
  <c r="AA1485" i="2"/>
  <c r="AA1303" i="2"/>
  <c r="AA1238" i="2"/>
  <c r="AA1136" i="2"/>
  <c r="AA1401" i="2"/>
  <c r="AA1096" i="2"/>
  <c r="AA1525" i="2"/>
  <c r="AA1178" i="2"/>
  <c r="AA1100" i="2"/>
  <c r="AA1062" i="2"/>
  <c r="AA1197" i="2"/>
  <c r="AA1518" i="2"/>
  <c r="AA1058" i="2"/>
  <c r="AA1144" i="2"/>
  <c r="AA1132" i="2"/>
  <c r="AA1059" i="2"/>
  <c r="AA950" i="2"/>
  <c r="AA905" i="2"/>
  <c r="AA880" i="2"/>
  <c r="AA946" i="2"/>
  <c r="AA949" i="2"/>
  <c r="AA773" i="2"/>
  <c r="AA760" i="2"/>
  <c r="AA1028" i="2"/>
  <c r="AA712" i="2"/>
  <c r="AA708" i="2"/>
  <c r="AA883" i="2"/>
  <c r="AA814" i="2"/>
  <c r="AA731" i="2"/>
  <c r="AA869" i="2"/>
  <c r="AA658" i="2"/>
  <c r="AA1082" i="2"/>
  <c r="AA714" i="2"/>
  <c r="AA573" i="2"/>
  <c r="AA510" i="2"/>
  <c r="AA767" i="2"/>
  <c r="AA609" i="2"/>
  <c r="AA505" i="2"/>
  <c r="AA353" i="2"/>
  <c r="AA536" i="2"/>
  <c r="AA531" i="2"/>
  <c r="AA462" i="2"/>
  <c r="AA421" i="2"/>
  <c r="AA562" i="2"/>
  <c r="AA483" i="2"/>
  <c r="AA558" i="2"/>
  <c r="AA471" i="2"/>
  <c r="AA680" i="2"/>
  <c r="AA480" i="2"/>
  <c r="AA513" i="2"/>
  <c r="AA456" i="2"/>
  <c r="AA413" i="2"/>
  <c r="AA759" i="2"/>
  <c r="AA490" i="2"/>
  <c r="AA459" i="2"/>
  <c r="AA361" i="2"/>
  <c r="AA358" i="2"/>
  <c r="AA341" i="2"/>
  <c r="AA278" i="2"/>
  <c r="AA397" i="2"/>
  <c r="AA259" i="2"/>
  <c r="AA203" i="2"/>
  <c r="AA80" i="2"/>
  <c r="AA49" i="2"/>
  <c r="AA337" i="2"/>
  <c r="AA277" i="2"/>
  <c r="AA73" i="2"/>
  <c r="AA51" i="2"/>
  <c r="AA1" i="2"/>
  <c r="AA72" i="2"/>
  <c r="AH3" i="2"/>
  <c r="Z14" i="2"/>
  <c r="AC29" i="2"/>
  <c r="Y30" i="2"/>
  <c r="AA30" i="2"/>
  <c r="X38" i="2"/>
  <c r="AE42" i="2"/>
  <c r="AA43" i="2"/>
  <c r="W44" i="2"/>
  <c r="AI44" i="2"/>
  <c r="U55" i="2"/>
  <c r="AG55" i="2"/>
  <c r="AH55" i="2"/>
  <c r="W57" i="2"/>
  <c r="Y62" i="2"/>
  <c r="X65" i="2"/>
  <c r="Y65" i="2"/>
  <c r="AF69" i="2"/>
  <c r="AA81" i="2"/>
  <c r="Y84" i="2"/>
  <c r="U85" i="2"/>
  <c r="AA86" i="2"/>
  <c r="AA89" i="2"/>
  <c r="W90" i="2"/>
  <c r="AA92" i="2"/>
  <c r="W104" i="2"/>
  <c r="AI104" i="2"/>
  <c r="Z106" i="2"/>
  <c r="U110" i="2"/>
  <c r="AC126" i="2"/>
  <c r="V127" i="2"/>
  <c r="Z129" i="2"/>
  <c r="Y132" i="2"/>
  <c r="U162" i="2"/>
  <c r="Y164" i="2"/>
  <c r="Z169" i="2"/>
  <c r="W172" i="2"/>
  <c r="AI172" i="2"/>
  <c r="Z186" i="2"/>
  <c r="Z233" i="2"/>
  <c r="U234" i="2"/>
  <c r="Z236" i="2"/>
  <c r="W3" i="2"/>
  <c r="Y1182" i="2"/>
  <c r="Y1072" i="2"/>
  <c r="Y1029" i="2"/>
  <c r="Y1006" i="2"/>
  <c r="Y689" i="2"/>
  <c r="Y854" i="2"/>
  <c r="Y653" i="2"/>
  <c r="Y860" i="2"/>
  <c r="Y765" i="2"/>
  <c r="Y401" i="2"/>
  <c r="Y856" i="2"/>
  <c r="Y1" i="2"/>
  <c r="X9" i="2"/>
  <c r="X52" i="2"/>
  <c r="AA54" i="2"/>
  <c r="W55" i="2"/>
  <c r="Z65" i="2"/>
  <c r="U66" i="2"/>
  <c r="U69" i="2"/>
  <c r="Z76" i="2"/>
  <c r="W77" i="2"/>
  <c r="AF88" i="2"/>
  <c r="U93" i="2"/>
  <c r="X104" i="2"/>
  <c r="AF105" i="2"/>
  <c r="X107" i="2"/>
  <c r="AE108" i="2"/>
  <c r="Z124" i="2"/>
  <c r="Z127" i="2"/>
  <c r="X127" i="2"/>
  <c r="AC131" i="2"/>
  <c r="AD131" i="2"/>
  <c r="Z132" i="2"/>
  <c r="X132" i="2"/>
  <c r="U155" i="2"/>
  <c r="AG155" i="2"/>
  <c r="AE158" i="2"/>
  <c r="W160" i="2"/>
  <c r="AI160" i="2"/>
  <c r="AD161" i="2"/>
  <c r="X162" i="2"/>
  <c r="Z164" i="2"/>
  <c r="U165" i="2"/>
  <c r="AG165" i="2"/>
  <c r="W167" i="2"/>
  <c r="AB171" i="2"/>
  <c r="AC171" i="2"/>
  <c r="W187" i="2"/>
  <c r="Y195" i="2"/>
  <c r="Y200" i="2"/>
  <c r="X203" i="2"/>
  <c r="AI209" i="2"/>
  <c r="AE232" i="2"/>
  <c r="W245" i="2"/>
  <c r="Z11" i="2"/>
  <c r="AA14" i="2"/>
  <c r="U15" i="2"/>
  <c r="Y25" i="2"/>
  <c r="AA25" i="2"/>
  <c r="X12" i="2"/>
  <c r="V28" i="2"/>
  <c r="Z38" i="2"/>
  <c r="U39" i="2"/>
  <c r="Y41" i="2"/>
  <c r="U42" i="2"/>
  <c r="X55" i="2"/>
  <c r="AG66" i="2"/>
  <c r="Y74" i="2"/>
  <c r="Y87" i="2"/>
  <c r="Y90" i="2"/>
  <c r="U91" i="2"/>
  <c r="Y107" i="2"/>
  <c r="W120" i="2"/>
  <c r="Y122" i="2"/>
  <c r="W125" i="2"/>
  <c r="AA129" i="2"/>
  <c r="AI130" i="2"/>
  <c r="U147" i="2"/>
  <c r="W152" i="2"/>
  <c r="AI152" i="2"/>
  <c r="X160" i="2"/>
  <c r="Y198" i="2"/>
  <c r="U198" i="2"/>
  <c r="AI215" i="2"/>
  <c r="AA230" i="2"/>
  <c r="AI234" i="2"/>
  <c r="AD8" i="2"/>
  <c r="AE8" i="2"/>
  <c r="AG37" i="2"/>
  <c r="AH229" i="2"/>
  <c r="Z1448" i="2"/>
  <c r="Z1339" i="2"/>
  <c r="Z1274" i="2"/>
  <c r="Z1291" i="2"/>
  <c r="Z1114" i="2"/>
  <c r="Z1098" i="2"/>
  <c r="Z1084" i="2"/>
  <c r="Z1022" i="2"/>
  <c r="Z1066" i="2"/>
  <c r="Z1008" i="2"/>
  <c r="Z1050" i="2"/>
  <c r="Z956" i="2"/>
  <c r="Z905" i="2"/>
  <c r="Z1055" i="2"/>
  <c r="Z930" i="2"/>
  <c r="Z1190" i="2"/>
  <c r="Z935" i="2"/>
  <c r="Z809" i="2"/>
  <c r="Z756" i="2"/>
  <c r="Z949" i="2"/>
  <c r="Z932" i="2"/>
  <c r="Z966" i="2"/>
  <c r="Z983" i="2"/>
  <c r="Z642" i="2"/>
  <c r="AK642" i="2" s="1"/>
  <c r="Z461" i="2"/>
  <c r="Z856" i="2"/>
  <c r="Z421" i="2"/>
  <c r="Z781" i="2"/>
  <c r="Z530" i="2"/>
  <c r="Z688" i="2"/>
  <c r="Z518" i="2"/>
  <c r="Z628" i="2"/>
  <c r="Z627" i="2"/>
  <c r="Z325" i="2"/>
  <c r="Z33" i="2"/>
  <c r="Z27" i="2"/>
  <c r="Z401" i="2"/>
  <c r="Z457" i="2"/>
  <c r="Z185" i="2"/>
  <c r="Z123" i="2"/>
  <c r="Z1" i="2"/>
  <c r="AA58" i="2"/>
  <c r="AA102" i="2"/>
  <c r="Z118" i="2"/>
  <c r="Z141" i="2"/>
  <c r="Z179" i="2"/>
  <c r="Z290" i="2"/>
  <c r="AK290" i="2" s="1"/>
  <c r="AA293" i="2"/>
  <c r="V3" i="2"/>
  <c r="X5" i="2"/>
  <c r="AA8" i="2"/>
  <c r="AA27" i="2"/>
  <c r="AE10" i="2"/>
  <c r="AF10" i="2"/>
  <c r="Z22" i="2"/>
  <c r="U26" i="2"/>
  <c r="Y28" i="2"/>
  <c r="AF42" i="2"/>
  <c r="Y44" i="2"/>
  <c r="AA44" i="2"/>
  <c r="AI55" i="2"/>
  <c r="AA57" i="2"/>
  <c r="AA65" i="2"/>
  <c r="Z9" i="2"/>
  <c r="Y12" i="2"/>
  <c r="U13" i="2"/>
  <c r="AA17" i="2"/>
  <c r="W18" i="2"/>
  <c r="Z20" i="2"/>
  <c r="W23" i="2"/>
  <c r="AI23" i="2"/>
  <c r="V26" i="2"/>
  <c r="AH26" i="2"/>
  <c r="Z28" i="2"/>
  <c r="W31" i="2"/>
  <c r="AC40" i="2"/>
  <c r="AD40" i="2"/>
  <c r="Z41" i="2"/>
  <c r="U53" i="2"/>
  <c r="AG53" i="2"/>
  <c r="AC54" i="2"/>
  <c r="V55" i="2"/>
  <c r="W66" i="2"/>
  <c r="AI66" i="2"/>
  <c r="V75" i="2"/>
  <c r="AH75" i="2"/>
  <c r="AC76" i="2"/>
  <c r="X77" i="2"/>
  <c r="Z87" i="2"/>
  <c r="U88" i="2"/>
  <c r="AD103" i="2"/>
  <c r="Z104" i="2"/>
  <c r="Z107" i="2"/>
  <c r="U108" i="2"/>
  <c r="AD119" i="2"/>
  <c r="Z120" i="2"/>
  <c r="AC121" i="2"/>
  <c r="AB124" i="2"/>
  <c r="X125" i="2"/>
  <c r="Z143" i="2"/>
  <c r="AD145" i="2"/>
  <c r="Z146" i="2"/>
  <c r="Y149" i="2"/>
  <c r="AF150" i="2"/>
  <c r="AB151" i="2"/>
  <c r="AE153" i="2"/>
  <c r="AA154" i="2"/>
  <c r="AD156" i="2"/>
  <c r="U158" i="2"/>
  <c r="Y160" i="2"/>
  <c r="U185" i="2"/>
  <c r="AG185" i="2"/>
  <c r="AD197" i="2"/>
  <c r="U210" i="2"/>
  <c r="AG229" i="2"/>
  <c r="W325" i="2"/>
  <c r="AI325" i="2"/>
  <c r="X234" i="2"/>
  <c r="AI474" i="2"/>
  <c r="AH1528" i="2"/>
  <c r="AH1405" i="2"/>
  <c r="AH1526" i="2"/>
  <c r="AH1535" i="2"/>
  <c r="AH1466" i="2"/>
  <c r="AH1462" i="2"/>
  <c r="AH1258" i="2"/>
  <c r="AH1338" i="2"/>
  <c r="AH1235" i="2"/>
  <c r="AH1204" i="2"/>
  <c r="AH1113" i="2"/>
  <c r="AH1152" i="2"/>
  <c r="AH1148" i="2"/>
  <c r="AH1231" i="2"/>
  <c r="AH1160" i="2"/>
  <c r="AH1104" i="2"/>
  <c r="AH1083" i="2"/>
  <c r="AH1181" i="2"/>
  <c r="AH1140" i="2"/>
  <c r="AH1135" i="2"/>
  <c r="AH1088" i="2"/>
  <c r="AH1386" i="2"/>
  <c r="AH1155" i="2"/>
  <c r="AH1195" i="2"/>
  <c r="AH1216" i="2"/>
  <c r="AH1119" i="2"/>
  <c r="AH1078" i="2"/>
  <c r="AH1020" i="2"/>
  <c r="AH1240" i="2"/>
  <c r="AH975" i="2"/>
  <c r="AH895" i="2"/>
  <c r="AH839" i="2"/>
  <c r="AH1056" i="2"/>
  <c r="AH872" i="2"/>
  <c r="AH784" i="2"/>
  <c r="AH1328" i="2"/>
  <c r="AH1249" i="2"/>
  <c r="AH1087" i="2"/>
  <c r="AH734" i="2"/>
  <c r="AH675" i="2"/>
  <c r="AH943" i="2"/>
  <c r="AH828" i="2"/>
  <c r="AH904" i="2"/>
  <c r="AH653" i="2"/>
  <c r="AH803" i="2"/>
  <c r="AH680" i="2"/>
  <c r="AH537" i="2"/>
  <c r="AH501" i="2"/>
  <c r="AH491" i="2"/>
  <c r="AH668" i="2"/>
  <c r="AH555" i="2"/>
  <c r="AH783" i="2"/>
  <c r="AH684" i="2"/>
  <c r="AH650" i="2"/>
  <c r="AH749" i="2"/>
  <c r="AH711" i="2"/>
  <c r="AH945" i="2"/>
  <c r="AH536" i="2"/>
  <c r="AH472" i="2"/>
  <c r="AH567" i="2"/>
  <c r="AH944" i="2"/>
  <c r="AH618" i="2"/>
  <c r="AH632" i="2"/>
  <c r="AH743" i="2"/>
  <c r="AH341" i="2"/>
  <c r="AH449" i="2"/>
  <c r="AH414" i="2"/>
  <c r="AH436" i="2"/>
  <c r="AH384" i="2"/>
  <c r="AH318" i="2"/>
  <c r="AH413" i="2"/>
  <c r="AH432" i="2"/>
  <c r="AH361" i="2"/>
  <c r="AH522" i="2"/>
  <c r="AH467" i="2"/>
  <c r="AH273" i="2"/>
  <c r="AH486" i="2"/>
  <c r="AH289" i="2"/>
  <c r="V6" i="2"/>
  <c r="AD7" i="2"/>
  <c r="X10" i="2"/>
  <c r="AI13" i="2"/>
  <c r="AA34" i="2"/>
  <c r="V35" i="2"/>
  <c r="AH35" i="2"/>
  <c r="AE38" i="2"/>
  <c r="AA41" i="2"/>
  <c r="W42" i="2"/>
  <c r="Z44" i="2"/>
  <c r="Z46" i="2"/>
  <c r="V47" i="2"/>
  <c r="Y51" i="2"/>
  <c r="X53" i="2"/>
  <c r="Z57" i="2"/>
  <c r="AI60" i="2"/>
  <c r="AC61" i="2"/>
  <c r="W64" i="2"/>
  <c r="AI64" i="2"/>
  <c r="Z68" i="2"/>
  <c r="W71" i="2"/>
  <c r="Z75" i="2"/>
  <c r="V78" i="2"/>
  <c r="AH78" i="2"/>
  <c r="AB79" i="2"/>
  <c r="U80" i="2"/>
  <c r="AF80" i="2"/>
  <c r="AB83" i="2"/>
  <c r="AK83" i="2" s="1"/>
  <c r="X86" i="2"/>
  <c r="AC87" i="2"/>
  <c r="AE88" i="2"/>
  <c r="AE89" i="2"/>
  <c r="V91" i="2"/>
  <c r="AH91" i="2"/>
  <c r="Y95" i="2"/>
  <c r="AF96" i="2"/>
  <c r="AE99" i="2"/>
  <c r="AB102" i="2"/>
  <c r="X105" i="2"/>
  <c r="AB109" i="2"/>
  <c r="U113" i="2"/>
  <c r="AG113" i="2"/>
  <c r="AC114" i="2"/>
  <c r="AF115" i="2"/>
  <c r="Y116" i="2"/>
  <c r="U117" i="2"/>
  <c r="AC120" i="2"/>
  <c r="V121" i="2"/>
  <c r="AH121" i="2"/>
  <c r="Y125" i="2"/>
  <c r="Z134" i="2"/>
  <c r="Z139" i="2"/>
  <c r="AE140" i="2"/>
  <c r="AD146" i="2"/>
  <c r="Z147" i="2"/>
  <c r="AB167" i="2"/>
  <c r="AC169" i="2"/>
  <c r="W170" i="2"/>
  <c r="AI170" i="2"/>
  <c r="AA174" i="2"/>
  <c r="U188" i="2"/>
  <c r="X190" i="2"/>
  <c r="AB194" i="2"/>
  <c r="AK194" i="2" s="1"/>
  <c r="W197" i="2"/>
  <c r="W199" i="2"/>
  <c r="U201" i="2"/>
  <c r="AC202" i="2"/>
  <c r="Z203" i="2"/>
  <c r="AA205" i="2"/>
  <c r="U206" i="2"/>
  <c r="AC207" i="2"/>
  <c r="Y215" i="2"/>
  <c r="X217" i="2"/>
  <c r="AF218" i="2"/>
  <c r="AB219" i="2"/>
  <c r="Z221" i="2"/>
  <c r="AE225" i="2"/>
  <c r="W232" i="2"/>
  <c r="AI232" i="2"/>
  <c r="U235" i="2"/>
  <c r="AG235" i="2"/>
  <c r="AA236" i="2"/>
  <c r="V237" i="2"/>
  <c r="AH237" i="2"/>
  <c r="AI245" i="2"/>
  <c r="AE263" i="2"/>
  <c r="AG289" i="2"/>
  <c r="V303" i="2"/>
  <c r="AH303" i="2"/>
  <c r="Z308" i="2"/>
  <c r="V309" i="2"/>
  <c r="Z337" i="2"/>
  <c r="X376" i="2"/>
  <c r="AF618" i="2"/>
  <c r="AE627" i="2"/>
  <c r="Z796" i="2"/>
  <c r="W190" i="2"/>
  <c r="W213" i="2"/>
  <c r="AA241" i="2"/>
  <c r="AE11" i="2"/>
  <c r="AI24" i="2"/>
  <c r="AD9" i="2"/>
  <c r="U27" i="2"/>
  <c r="AA37" i="2"/>
  <c r="AE37" i="2"/>
  <c r="AD48" i="2"/>
  <c r="W62" i="2"/>
  <c r="AI62" i="2"/>
  <c r="AD65" i="2"/>
  <c r="AA68" i="2"/>
  <c r="AG76" i="2"/>
  <c r="W78" i="2"/>
  <c r="AI78" i="2"/>
  <c r="V80" i="2"/>
  <c r="AH80" i="2"/>
  <c r="Z84" i="2"/>
  <c r="AF85" i="2"/>
  <c r="AD87" i="2"/>
  <c r="Z88" i="2"/>
  <c r="AF89" i="2"/>
  <c r="AA90" i="2"/>
  <c r="AE92" i="2"/>
  <c r="AD94" i="2"/>
  <c r="AB97" i="2"/>
  <c r="W98" i="2"/>
  <c r="AI98" i="2"/>
  <c r="W103" i="2"/>
  <c r="AI103" i="2"/>
  <c r="AB104" i="2"/>
  <c r="Y105" i="2"/>
  <c r="AF106" i="2"/>
  <c r="AI108" i="2"/>
  <c r="X110" i="2"/>
  <c r="Z112" i="2"/>
  <c r="V113" i="2"/>
  <c r="AH113" i="2"/>
  <c r="U115" i="2"/>
  <c r="AG115" i="2"/>
  <c r="X119" i="2"/>
  <c r="W121" i="2"/>
  <c r="AI121" i="2"/>
  <c r="Y123" i="2"/>
  <c r="AA125" i="2"/>
  <c r="W126" i="2"/>
  <c r="AI126" i="2"/>
  <c r="V128" i="2"/>
  <c r="AH128" i="2"/>
  <c r="AD129" i="2"/>
  <c r="AF131" i="2"/>
  <c r="AA132" i="2"/>
  <c r="AB134" i="2"/>
  <c r="W135" i="2"/>
  <c r="AI135" i="2"/>
  <c r="AD136" i="2"/>
  <c r="X137" i="2"/>
  <c r="AF140" i="2"/>
  <c r="AB141" i="2"/>
  <c r="X153" i="2"/>
  <c r="AF154" i="2"/>
  <c r="AF159" i="2"/>
  <c r="AB160" i="2"/>
  <c r="W161" i="2"/>
  <c r="AI161" i="2"/>
  <c r="AC167" i="2"/>
  <c r="W168" i="2"/>
  <c r="AI168" i="2"/>
  <c r="X170" i="2"/>
  <c r="V178" i="2"/>
  <c r="AH178" i="2"/>
  <c r="X183" i="2"/>
  <c r="U184" i="2"/>
  <c r="AG184" i="2"/>
  <c r="AA187" i="2"/>
  <c r="AA192" i="2"/>
  <c r="X195" i="2"/>
  <c r="AD196" i="2"/>
  <c r="V197" i="2"/>
  <c r="AE198" i="2"/>
  <c r="AE208" i="2"/>
  <c r="AG211" i="2"/>
  <c r="AE214" i="2"/>
  <c r="W222" i="2"/>
  <c r="AC223" i="2"/>
  <c r="X224" i="2"/>
  <c r="AG230" i="2"/>
  <c r="AE238" i="2"/>
  <c r="U240" i="2"/>
  <c r="AG240" i="2"/>
  <c r="AC241" i="2"/>
  <c r="U243" i="2"/>
  <c r="AG243" i="2"/>
  <c r="AB258" i="2"/>
  <c r="AB264" i="2"/>
  <c r="AE278" i="2"/>
  <c r="AI306" i="2"/>
  <c r="AI335" i="2"/>
  <c r="Y611" i="2"/>
  <c r="U615" i="2"/>
  <c r="AC625" i="2"/>
  <c r="W180" i="2"/>
  <c r="AI213" i="2"/>
  <c r="AD220" i="2"/>
  <c r="V1490" i="2"/>
  <c r="V1466" i="2"/>
  <c r="V1499" i="2"/>
  <c r="V1397" i="2"/>
  <c r="V1375" i="2"/>
  <c r="V1300" i="2"/>
  <c r="V1533" i="2"/>
  <c r="V1498" i="2"/>
  <c r="V1331" i="2"/>
  <c r="V1373" i="2"/>
  <c r="V1381" i="2"/>
  <c r="V1290" i="2"/>
  <c r="V1483" i="2"/>
  <c r="V1171" i="2"/>
  <c r="V1155" i="2"/>
  <c r="V1219" i="2"/>
  <c r="V1150" i="2"/>
  <c r="V1126" i="2"/>
  <c r="V1291" i="2"/>
  <c r="V1152" i="2"/>
  <c r="V1356" i="2"/>
  <c r="V1203" i="2"/>
  <c r="V1121" i="2"/>
  <c r="V1131" i="2"/>
  <c r="V1160" i="2"/>
  <c r="V1088" i="2"/>
  <c r="V1073" i="2"/>
  <c r="V1195" i="2"/>
  <c r="V1178" i="2"/>
  <c r="V1072" i="2"/>
  <c r="V1083" i="2"/>
  <c r="V1107" i="2"/>
  <c r="V1112" i="2"/>
  <c r="V1051" i="2"/>
  <c r="V998" i="2"/>
  <c r="V1042" i="2"/>
  <c r="V975" i="2"/>
  <c r="V915" i="2"/>
  <c r="V801" i="2"/>
  <c r="V861" i="2"/>
  <c r="V654" i="2"/>
  <c r="V1023" i="2"/>
  <c r="V844" i="2"/>
  <c r="V839" i="2"/>
  <c r="V749" i="2"/>
  <c r="V837" i="2"/>
  <c r="V692" i="2"/>
  <c r="V776" i="2"/>
  <c r="V579" i="2"/>
  <c r="V653" i="2"/>
  <c r="V1004" i="2"/>
  <c r="V903" i="2"/>
  <c r="V755" i="2"/>
  <c r="V898" i="2"/>
  <c r="V1108" i="2"/>
  <c r="V550" i="2"/>
  <c r="V420" i="2"/>
  <c r="V390" i="2"/>
  <c r="V881" i="2"/>
  <c r="V631" i="2"/>
  <c r="V606" i="2"/>
  <c r="V472" i="2"/>
  <c r="V509" i="2"/>
  <c r="V525" i="2"/>
  <c r="V941" i="2"/>
  <c r="V544" i="2"/>
  <c r="V537" i="2"/>
  <c r="V412" i="2"/>
  <c r="V491" i="2"/>
  <c r="V386" i="2"/>
  <c r="V343" i="2"/>
  <c r="V680" i="2"/>
  <c r="V562" i="2"/>
  <c r="V329" i="2"/>
  <c r="V427" i="2"/>
  <c r="V383" i="2"/>
  <c r="V451" i="2"/>
  <c r="V300" i="2"/>
  <c r="V334" i="2"/>
  <c r="V475" i="2"/>
  <c r="V336" i="2"/>
  <c r="V595" i="2"/>
  <c r="V280" i="2"/>
  <c r="V357" i="2"/>
  <c r="AH6" i="2"/>
  <c r="W13" i="2"/>
  <c r="X17" i="2"/>
  <c r="AE22" i="2"/>
  <c r="W24" i="2"/>
  <c r="Y26" i="2"/>
  <c r="AG1466" i="2"/>
  <c r="AG1505" i="2"/>
  <c r="AG1373" i="2"/>
  <c r="AG1498" i="2"/>
  <c r="AG1533" i="2"/>
  <c r="AG1342" i="2"/>
  <c r="AG1052" i="2"/>
  <c r="AG1090" i="2"/>
  <c r="AG1395" i="2"/>
  <c r="AG1235" i="2"/>
  <c r="AG1209" i="2"/>
  <c r="AG1370" i="2"/>
  <c r="AG1249" i="2"/>
  <c r="AG1193" i="2"/>
  <c r="AG1258" i="2"/>
  <c r="AG1063" i="2"/>
  <c r="AG1150" i="2"/>
  <c r="AG1078" i="2"/>
  <c r="AG1372" i="2"/>
  <c r="AG1204" i="2"/>
  <c r="AG1084" i="2"/>
  <c r="AG1100" i="2"/>
  <c r="AG1215" i="2"/>
  <c r="AG1386" i="2"/>
  <c r="AG1164" i="2"/>
  <c r="AG975" i="2"/>
  <c r="AG1014" i="2"/>
  <c r="AG1281" i="2"/>
  <c r="AG858" i="2"/>
  <c r="AG1203" i="2"/>
  <c r="AG1023" i="2"/>
  <c r="AG1196" i="2"/>
  <c r="AG917" i="2"/>
  <c r="AG982" i="2"/>
  <c r="AG915" i="2"/>
  <c r="AG899" i="2"/>
  <c r="AG995" i="2"/>
  <c r="AG839" i="2"/>
  <c r="AG799" i="2"/>
  <c r="AG1113" i="2"/>
  <c r="AG1073" i="2"/>
  <c r="AG840" i="2"/>
  <c r="AG950" i="2"/>
  <c r="AG523" i="2"/>
  <c r="AG904" i="2"/>
  <c r="AG891" i="2"/>
  <c r="AG808" i="2"/>
  <c r="AG587" i="2"/>
  <c r="AG509" i="2"/>
  <c r="AG481" i="2"/>
  <c r="AG468" i="2"/>
  <c r="AG610" i="2"/>
  <c r="AG688" i="2"/>
  <c r="AG1087" i="2"/>
  <c r="AG633" i="2"/>
  <c r="AG446" i="2"/>
  <c r="AG747" i="2"/>
  <c r="AG737" i="2"/>
  <c r="AG427" i="2"/>
  <c r="AG401" i="2"/>
  <c r="AG855" i="2"/>
  <c r="AG718" i="2"/>
  <c r="AG438" i="2"/>
  <c r="AG557" i="2"/>
  <c r="AG998" i="2"/>
  <c r="AG554" i="2"/>
  <c r="AG739" i="2"/>
  <c r="AG672" i="2"/>
  <c r="AG458" i="2"/>
  <c r="AG422" i="2"/>
  <c r="AG331" i="2"/>
  <c r="AG256" i="2"/>
  <c r="AG288" i="2"/>
  <c r="AG453" i="2"/>
  <c r="AG307" i="2"/>
  <c r="AG994" i="2"/>
  <c r="AG550" i="2"/>
  <c r="AG333" i="2"/>
  <c r="AG337" i="2"/>
  <c r="Y8" i="2"/>
  <c r="Y10" i="2"/>
  <c r="Y17" i="2"/>
  <c r="Z19" i="2"/>
  <c r="V20" i="2"/>
  <c r="AG21" i="2"/>
  <c r="AG27" i="2"/>
  <c r="Z39" i="2"/>
  <c r="W47" i="2"/>
  <c r="AA55" i="2"/>
  <c r="AA70" i="2"/>
  <c r="X71" i="2"/>
  <c r="U76" i="2"/>
  <c r="AC79" i="2"/>
  <c r="AF1514" i="2"/>
  <c r="AF1511" i="2"/>
  <c r="AF1428" i="2"/>
  <c r="AF1355" i="2"/>
  <c r="AF1325" i="2"/>
  <c r="AF1509" i="2"/>
  <c r="AF1201" i="2"/>
  <c r="AF1278" i="2"/>
  <c r="AF1209" i="2"/>
  <c r="AF1290" i="2"/>
  <c r="AF1140" i="2"/>
  <c r="AF1413" i="2"/>
  <c r="AF1206" i="2"/>
  <c r="AF1187" i="2"/>
  <c r="AF1258" i="2"/>
  <c r="AF1133" i="2"/>
  <c r="AF1135" i="2"/>
  <c r="AF1131" i="2"/>
  <c r="AF1233" i="2"/>
  <c r="AF1013" i="2"/>
  <c r="AF998" i="2"/>
  <c r="AF942" i="2"/>
  <c r="AF926" i="2"/>
  <c r="AF887" i="2"/>
  <c r="AF859" i="2"/>
  <c r="AF1198" i="2"/>
  <c r="AF1059" i="2"/>
  <c r="AF1014" i="2"/>
  <c r="AF1003" i="2"/>
  <c r="AF1061" i="2"/>
  <c r="AF1174" i="2"/>
  <c r="AF1113" i="2"/>
  <c r="AF1063" i="2"/>
  <c r="AF955" i="2"/>
  <c r="AF894" i="2"/>
  <c r="AF919" i="2"/>
  <c r="AF917" i="2"/>
  <c r="AF993" i="2"/>
  <c r="AF899" i="2"/>
  <c r="AF870" i="2"/>
  <c r="AF818" i="2"/>
  <c r="AF1097" i="2"/>
  <c r="AF986" i="2"/>
  <c r="AF1169" i="2"/>
  <c r="AF783" i="2"/>
  <c r="AF776" i="2"/>
  <c r="AF1040" i="2"/>
  <c r="AF945" i="2"/>
  <c r="AF1218" i="2"/>
  <c r="AF779" i="2"/>
  <c r="AF1401" i="2"/>
  <c r="AF987" i="2"/>
  <c r="AF1085" i="2"/>
  <c r="AF475" i="2"/>
  <c r="AF766" i="2"/>
  <c r="AF680" i="2"/>
  <c r="AF755" i="2"/>
  <c r="AF730" i="2"/>
  <c r="AF802" i="2"/>
  <c r="AF631" i="2"/>
  <c r="AF570" i="2"/>
  <c r="AF994" i="2"/>
  <c r="AF898" i="2"/>
  <c r="AF791" i="2"/>
  <c r="AF1157" i="2"/>
  <c r="AF467" i="2"/>
  <c r="AF371" i="2"/>
  <c r="AF344" i="2"/>
  <c r="AF309" i="2"/>
  <c r="AF397" i="2"/>
  <c r="AF349" i="2"/>
  <c r="AF448" i="2"/>
  <c r="AF874" i="2"/>
  <c r="AF725" i="2"/>
  <c r="AF463" i="2"/>
  <c r="AF612" i="2"/>
  <c r="AF762" i="2"/>
  <c r="AF458" i="2"/>
  <c r="AF520" i="2"/>
  <c r="AF422" i="2"/>
  <c r="AF451" i="2"/>
  <c r="AF300" i="2"/>
  <c r="AF990" i="2"/>
  <c r="AF302" i="2"/>
  <c r="AF400" i="2"/>
  <c r="AF386" i="2"/>
  <c r="AF914" i="2"/>
  <c r="AF333" i="2"/>
  <c r="AI3" i="2"/>
  <c r="AB5" i="2"/>
  <c r="X6" i="2"/>
  <c r="AF7" i="2"/>
  <c r="Z8" i="2"/>
  <c r="AE9" i="2"/>
  <c r="U11" i="2"/>
  <c r="AG11" i="2"/>
  <c r="AD14" i="2"/>
  <c r="AC16" i="2"/>
  <c r="Z17" i="2"/>
  <c r="U18" i="2"/>
  <c r="AG18" i="2"/>
  <c r="AA19" i="2"/>
  <c r="AC21" i="2"/>
  <c r="U22" i="2"/>
  <c r="AG22" i="2"/>
  <c r="Y24" i="2"/>
  <c r="AF25" i="2"/>
  <c r="V27" i="2"/>
  <c r="AH27" i="2"/>
  <c r="AC28" i="2"/>
  <c r="U29" i="2"/>
  <c r="AG29" i="2"/>
  <c r="AB30" i="2"/>
  <c r="V33" i="2"/>
  <c r="AH33" i="2"/>
  <c r="X35" i="2"/>
  <c r="AB37" i="2"/>
  <c r="AH40" i="2"/>
  <c r="AC41" i="2"/>
  <c r="Y42" i="2"/>
  <c r="AH45" i="2"/>
  <c r="X47" i="2"/>
  <c r="Y49" i="2"/>
  <c r="Y53" i="2"/>
  <c r="V54" i="2"/>
  <c r="AH54" i="2"/>
  <c r="AB55" i="2"/>
  <c r="AE56" i="2"/>
  <c r="Y60" i="2"/>
  <c r="AC63" i="2"/>
  <c r="Y64" i="2"/>
  <c r="AE65" i="2"/>
  <c r="Z66" i="2"/>
  <c r="U67" i="2"/>
  <c r="AG67" i="2"/>
  <c r="Y71" i="2"/>
  <c r="X78" i="2"/>
  <c r="W80" i="2"/>
  <c r="AI80" i="2"/>
  <c r="AD81" i="2"/>
  <c r="AE83" i="2"/>
  <c r="AE87" i="2"/>
  <c r="AA88" i="2"/>
  <c r="U89" i="2"/>
  <c r="AG89" i="2"/>
  <c r="Z93" i="2"/>
  <c r="AE94" i="2"/>
  <c r="AA95" i="2"/>
  <c r="Y98" i="2"/>
  <c r="AB100" i="2"/>
  <c r="X103" i="2"/>
  <c r="AC104" i="2"/>
  <c r="AC109" i="2"/>
  <c r="AF111" i="2"/>
  <c r="W113" i="2"/>
  <c r="AI113" i="2"/>
  <c r="AE114" i="2"/>
  <c r="AA116" i="2"/>
  <c r="V117" i="2"/>
  <c r="AB142" i="2"/>
  <c r="AB144" i="2"/>
  <c r="X145" i="2"/>
  <c r="Z150" i="2"/>
  <c r="V151" i="2"/>
  <c r="AH151" i="2"/>
  <c r="Y153" i="2"/>
  <c r="AE157" i="2"/>
  <c r="Z158" i="2"/>
  <c r="X163" i="2"/>
  <c r="W181" i="2"/>
  <c r="AI181" i="2"/>
  <c r="Y183" i="2"/>
  <c r="V191" i="2"/>
  <c r="AH191" i="2"/>
  <c r="W193" i="2"/>
  <c r="Z197" i="2"/>
  <c r="X199" i="2"/>
  <c r="V204" i="2"/>
  <c r="AH204" i="2"/>
  <c r="AB210" i="2"/>
  <c r="W211" i="2"/>
  <c r="AH211" i="2"/>
  <c r="AD212" i="2"/>
  <c r="Y213" i="2"/>
  <c r="AF213" i="2"/>
  <c r="AA215" i="2"/>
  <c r="AF216" i="2"/>
  <c r="AA229" i="2"/>
  <c r="AC231" i="2"/>
  <c r="AD244" i="2"/>
  <c r="W289" i="2"/>
  <c r="AI289" i="2"/>
  <c r="AH300" i="2"/>
  <c r="AF301" i="2"/>
  <c r="AI318" i="2"/>
  <c r="U413" i="2"/>
  <c r="AG413" i="2"/>
  <c r="Z468" i="2"/>
  <c r="V609" i="2"/>
  <c r="AH609" i="2"/>
  <c r="AF743" i="2"/>
  <c r="AB775" i="2"/>
  <c r="X776" i="2"/>
  <c r="AI776" i="2"/>
  <c r="AB214" i="2"/>
  <c r="U280" i="2"/>
  <c r="W474" i="2"/>
  <c r="AE14" i="2"/>
  <c r="Z24" i="2"/>
  <c r="X31" i="2"/>
  <c r="AI31" i="2"/>
  <c r="AA32" i="2"/>
  <c r="AD34" i="2"/>
  <c r="U36" i="2"/>
  <c r="U38" i="2"/>
  <c r="AD41" i="2"/>
  <c r="U43" i="2"/>
  <c r="AG43" i="2"/>
  <c r="X45" i="2"/>
  <c r="Y47" i="2"/>
  <c r="V52" i="2"/>
  <c r="AH52" i="2"/>
  <c r="W54" i="2"/>
  <c r="AI54" i="2"/>
  <c r="U56" i="2"/>
  <c r="AC57" i="2"/>
  <c r="AI58" i="2"/>
  <c r="AD59" i="2"/>
  <c r="Z60" i="2"/>
  <c r="AD63" i="2"/>
  <c r="Z64" i="2"/>
  <c r="AH67" i="2"/>
  <c r="Y69" i="2"/>
  <c r="AD70" i="2"/>
  <c r="AG72" i="2"/>
  <c r="U74" i="2"/>
  <c r="AG74" i="2"/>
  <c r="V76" i="2"/>
  <c r="AC77" i="2"/>
  <c r="AB78" i="2"/>
  <c r="AE79" i="2"/>
  <c r="Y82" i="2"/>
  <c r="AB84" i="2"/>
  <c r="V85" i="2"/>
  <c r="AB88" i="2"/>
  <c r="AC90" i="2"/>
  <c r="Y91" i="2"/>
  <c r="AA93" i="2"/>
  <c r="AF94" i="2"/>
  <c r="AB95" i="2"/>
  <c r="Z98" i="2"/>
  <c r="AC100" i="2"/>
  <c r="AI101" i="2"/>
  <c r="AE102" i="2"/>
  <c r="Y103" i="2"/>
  <c r="AA105" i="2"/>
  <c r="V106" i="2"/>
  <c r="AH106" i="2"/>
  <c r="V108" i="2"/>
  <c r="AB112" i="2"/>
  <c r="AK112" i="2" s="1"/>
  <c r="X117" i="2"/>
  <c r="AA123" i="2"/>
  <c r="Y126" i="2"/>
  <c r="AE127" i="2"/>
  <c r="X128" i="2"/>
  <c r="AA130" i="2"/>
  <c r="W131" i="2"/>
  <c r="AI131" i="2"/>
  <c r="AD132" i="2"/>
  <c r="AD134" i="2"/>
  <c r="V138" i="2"/>
  <c r="AG138" i="2"/>
  <c r="Z142" i="2"/>
  <c r="U143" i="2"/>
  <c r="AC144" i="2"/>
  <c r="X166" i="2"/>
  <c r="AE167" i="2"/>
  <c r="V168" i="2"/>
  <c r="Z170" i="2"/>
  <c r="AK170" i="2" s="1"/>
  <c r="AB172" i="2"/>
  <c r="AC174" i="2"/>
  <c r="Z175" i="2"/>
  <c r="V176" i="2"/>
  <c r="AH176" i="2"/>
  <c r="AC177" i="2"/>
  <c r="X178" i="2"/>
  <c r="AI178" i="2"/>
  <c r="Z183" i="2"/>
  <c r="V186" i="2"/>
  <c r="AH186" i="2"/>
  <c r="AE189" i="2"/>
  <c r="W191" i="2"/>
  <c r="AI191" i="2"/>
  <c r="X193" i="2"/>
  <c r="AE194" i="2"/>
  <c r="AA197" i="2"/>
  <c r="AF199" i="2"/>
  <c r="AD200" i="2"/>
  <c r="Y201" i="2"/>
  <c r="V209" i="2"/>
  <c r="AH209" i="2"/>
  <c r="AA213" i="2"/>
  <c r="AA217" i="2"/>
  <c r="W218" i="2"/>
  <c r="AI220" i="2"/>
  <c r="AD221" i="2"/>
  <c r="V222" i="2"/>
  <c r="Z224" i="2"/>
  <c r="AB234" i="2"/>
  <c r="Y237" i="2"/>
  <c r="U238" i="2"/>
  <c r="AG238" i="2"/>
  <c r="AB239" i="2"/>
  <c r="V240" i="2"/>
  <c r="AH240" i="2"/>
  <c r="AA242" i="2"/>
  <c r="V257" i="2"/>
  <c r="AH257" i="2"/>
  <c r="V263" i="2"/>
  <c r="AH263" i="2"/>
  <c r="AB288" i="2"/>
  <c r="AD334" i="2"/>
  <c r="AE369" i="2"/>
  <c r="AD405" i="2"/>
  <c r="AD411" i="2"/>
  <c r="U222" i="2"/>
  <c r="Z264" i="2"/>
  <c r="Y279" i="2"/>
  <c r="W4" i="2"/>
  <c r="AA10" i="2"/>
  <c r="AD1481" i="2"/>
  <c r="AD1431" i="2"/>
  <c r="AD1493" i="2"/>
  <c r="AD1411" i="2"/>
  <c r="AD1370" i="2"/>
  <c r="AD1345" i="2"/>
  <c r="AD1530" i="2"/>
  <c r="AD1426" i="2"/>
  <c r="AD1483" i="2"/>
  <c r="AD1377" i="2"/>
  <c r="AD1274" i="2"/>
  <c r="AD1413" i="2"/>
  <c r="AD1315" i="2"/>
  <c r="AD1184" i="2"/>
  <c r="AD1268" i="2"/>
  <c r="AD1294" i="2"/>
  <c r="AD1289" i="2"/>
  <c r="AD1511" i="2"/>
  <c r="AD1285" i="2"/>
  <c r="AD1050" i="2"/>
  <c r="AD1347" i="2"/>
  <c r="AD1225" i="2"/>
  <c r="AD1147" i="2"/>
  <c r="AD1005" i="2"/>
  <c r="AD1171" i="2"/>
  <c r="AD894" i="2"/>
  <c r="AD874" i="2"/>
  <c r="AD1218" i="2"/>
  <c r="AD1052" i="2"/>
  <c r="AD861" i="2"/>
  <c r="AD907" i="2"/>
  <c r="AD1087" i="2"/>
  <c r="AD1037" i="2"/>
  <c r="AD845" i="2"/>
  <c r="AD835" i="2"/>
  <c r="AD919" i="2"/>
  <c r="AD1159" i="2"/>
  <c r="AD953" i="2"/>
  <c r="AD1063" i="2"/>
  <c r="AD986" i="2"/>
  <c r="AD1060" i="2"/>
  <c r="AD1001" i="2"/>
  <c r="AD1408" i="2"/>
  <c r="AD1032" i="2"/>
  <c r="AD1003" i="2"/>
  <c r="AD926" i="2"/>
  <c r="AD898" i="2"/>
  <c r="AD561" i="2"/>
  <c r="AD884" i="2"/>
  <c r="AD667" i="2"/>
  <c r="AD859" i="2"/>
  <c r="AD552" i="2"/>
  <c r="AD520" i="2"/>
  <c r="AD600" i="2"/>
  <c r="AD551" i="2"/>
  <c r="AD544" i="2"/>
  <c r="AD363" i="2"/>
  <c r="AD602" i="2"/>
  <c r="AD494" i="2"/>
  <c r="AD393" i="2"/>
  <c r="AD374" i="2"/>
  <c r="AD522" i="2"/>
  <c r="AD737" i="2"/>
  <c r="AD688" i="2"/>
  <c r="AD576" i="2"/>
  <c r="AD303" i="2"/>
  <c r="AD554" i="2"/>
  <c r="AD298" i="2"/>
  <c r="AD262" i="2"/>
  <c r="AD249" i="2"/>
  <c r="AD251" i="2"/>
  <c r="AD721" i="2"/>
  <c r="AD419" i="2"/>
  <c r="AD469" i="2"/>
  <c r="AD299" i="2"/>
  <c r="W11" i="2"/>
  <c r="Y20" i="2"/>
  <c r="AH29" i="2"/>
  <c r="V36" i="2"/>
  <c r="AH36" i="2"/>
  <c r="AC39" i="2"/>
  <c r="X40" i="2"/>
  <c r="AE41" i="2"/>
  <c r="V43" i="2"/>
  <c r="AH43" i="2"/>
  <c r="AB51" i="2"/>
  <c r="AD55" i="2"/>
  <c r="V56" i="2"/>
  <c r="AH56" i="2"/>
  <c r="X58" i="2"/>
  <c r="AE59" i="2"/>
  <c r="AA64" i="2"/>
  <c r="AD68" i="2"/>
  <c r="Z69" i="2"/>
  <c r="AE70" i="2"/>
  <c r="AA71" i="2"/>
  <c r="W72" i="2"/>
  <c r="AI72" i="2"/>
  <c r="V74" i="2"/>
  <c r="AH74" i="2"/>
  <c r="AD77" i="2"/>
  <c r="AF79" i="2"/>
  <c r="Y80" i="2"/>
  <c r="AC84" i="2"/>
  <c r="AB86" i="2"/>
  <c r="U87" i="2"/>
  <c r="AF87" i="2"/>
  <c r="W89" i="2"/>
  <c r="AI89" i="2"/>
  <c r="Z91" i="2"/>
  <c r="AB93" i="2"/>
  <c r="AC95" i="2"/>
  <c r="W96" i="2"/>
  <c r="AI96" i="2"/>
  <c r="AE97" i="2"/>
  <c r="AD100" i="2"/>
  <c r="X101" i="2"/>
  <c r="AE107" i="2"/>
  <c r="Z108" i="2"/>
  <c r="U120" i="2"/>
  <c r="AH120" i="2"/>
  <c r="AD125" i="2"/>
  <c r="AB126" i="2"/>
  <c r="AF127" i="2"/>
  <c r="Y128" i="2"/>
  <c r="AB130" i="2"/>
  <c r="X131" i="2"/>
  <c r="AE132" i="2"/>
  <c r="Z135" i="2"/>
  <c r="Z137" i="2"/>
  <c r="W138" i="2"/>
  <c r="AD139" i="2"/>
  <c r="W151" i="2"/>
  <c r="X151" i="2"/>
  <c r="AI151" i="2"/>
  <c r="U157" i="2"/>
  <c r="AG157" i="2"/>
  <c r="W159" i="2"/>
  <c r="AI159" i="2"/>
  <c r="AE160" i="2"/>
  <c r="Z161" i="2"/>
  <c r="V162" i="2"/>
  <c r="AF167" i="2"/>
  <c r="Z168" i="2"/>
  <c r="AG169" i="2"/>
  <c r="AA170" i="2"/>
  <c r="AI171" i="2"/>
  <c r="AH173" i="2"/>
  <c r="AE174" i="2"/>
  <c r="AD177" i="2"/>
  <c r="AC180" i="2"/>
  <c r="AB183" i="2"/>
  <c r="AD187" i="2"/>
  <c r="U189" i="2"/>
  <c r="AA190" i="2"/>
  <c r="AD192" i="2"/>
  <c r="Y193" i="2"/>
  <c r="AG193" i="2"/>
  <c r="AF194" i="2"/>
  <c r="AA195" i="2"/>
  <c r="U196" i="2"/>
  <c r="AG196" i="2"/>
  <c r="V198" i="2"/>
  <c r="AH198" i="2"/>
  <c r="AE200" i="2"/>
  <c r="Z201" i="2"/>
  <c r="Z206" i="2"/>
  <c r="U207" i="2"/>
  <c r="AG207" i="2"/>
  <c r="AC215" i="2"/>
  <c r="V216" i="2"/>
  <c r="AE219" i="2"/>
  <c r="Z222" i="2"/>
  <c r="AF223" i="2"/>
  <c r="AI225" i="2"/>
  <c r="AH230" i="2"/>
  <c r="AE231" i="2"/>
  <c r="V233" i="2"/>
  <c r="AH233" i="2"/>
  <c r="V238" i="2"/>
  <c r="AH238" i="2"/>
  <c r="AF241" i="2"/>
  <c r="AB242" i="2"/>
  <c r="AA253" i="2"/>
  <c r="AI257" i="2"/>
  <c r="AA274" i="2"/>
  <c r="W275" i="2"/>
  <c r="AI275" i="2"/>
  <c r="AE299" i="2"/>
  <c r="Y457" i="2"/>
  <c r="X239" i="2"/>
  <c r="Z267" i="2"/>
  <c r="V4" i="2"/>
  <c r="AI11" i="2"/>
  <c r="AI22" i="2"/>
  <c r="X27" i="2"/>
  <c r="W29" i="2"/>
  <c r="AH7" i="2"/>
  <c r="V9" i="2"/>
  <c r="Y27" i="2"/>
  <c r="AE34" i="2"/>
  <c r="AD37" i="2"/>
  <c r="U48" i="2"/>
  <c r="AH50" i="2"/>
  <c r="AE55" i="2"/>
  <c r="AC73" i="2"/>
  <c r="AE77" i="2"/>
  <c r="AA78" i="2"/>
  <c r="U79" i="2"/>
  <c r="V83" i="2"/>
  <c r="AH83" i="2"/>
  <c r="Y85" i="2"/>
  <c r="AC88" i="2"/>
  <c r="AE90" i="2"/>
  <c r="AA91" i="2"/>
  <c r="AI92" i="2"/>
  <c r="V94" i="2"/>
  <c r="AH94" i="2"/>
  <c r="AD95" i="2"/>
  <c r="Y96" i="2"/>
  <c r="AF97" i="2"/>
  <c r="AB98" i="2"/>
  <c r="X99" i="2"/>
  <c r="AB103" i="2"/>
  <c r="AC105" i="2"/>
  <c r="U109" i="2"/>
  <c r="AB110" i="2"/>
  <c r="Z113" i="2"/>
  <c r="Y115" i="2"/>
  <c r="V115" i="2"/>
  <c r="Z117" i="2"/>
  <c r="AG117" i="2"/>
  <c r="AF118" i="2"/>
  <c r="AB119" i="2"/>
  <c r="AA121" i="2"/>
  <c r="AE125" i="2"/>
  <c r="AC130" i="2"/>
  <c r="AF132" i="2"/>
  <c r="X133" i="2"/>
  <c r="U136" i="2"/>
  <c r="AH136" i="2"/>
  <c r="AE147" i="2"/>
  <c r="Z148" i="2"/>
  <c r="AK148" i="2" s="1"/>
  <c r="V149" i="2"/>
  <c r="AB153" i="2"/>
  <c r="Y156" i="2"/>
  <c r="AA161" i="2"/>
  <c r="AA163" i="2"/>
  <c r="AA168" i="2"/>
  <c r="V169" i="2"/>
  <c r="AB170" i="2"/>
  <c r="Z173" i="2"/>
  <c r="AF174" i="2"/>
  <c r="AB175" i="2"/>
  <c r="X176" i="2"/>
  <c r="AE177" i="2"/>
  <c r="AH179" i="2"/>
  <c r="U182" i="2"/>
  <c r="AG182" i="2"/>
  <c r="AD184" i="2"/>
  <c r="AE185" i="2"/>
  <c r="Z188" i="2"/>
  <c r="Z193" i="2"/>
  <c r="AA199" i="2"/>
  <c r="AF200" i="2"/>
  <c r="V202" i="2"/>
  <c r="AI202" i="2"/>
  <c r="AA206" i="2"/>
  <c r="AD208" i="2"/>
  <c r="X209" i="2"/>
  <c r="AI214" i="2"/>
  <c r="AD215" i="2"/>
  <c r="AI216" i="2"/>
  <c r="X218" i="2"/>
  <c r="Y220" i="2"/>
  <c r="AH220" i="2"/>
  <c r="AF231" i="2"/>
  <c r="AB232" i="2"/>
  <c r="W233" i="2"/>
  <c r="AI233" i="2"/>
  <c r="AD234" i="2"/>
  <c r="Z235" i="2"/>
  <c r="AD239" i="2"/>
  <c r="AG241" i="2"/>
  <c r="AB245" i="2"/>
  <c r="AF261" i="2"/>
  <c r="U287" i="2"/>
  <c r="V287" i="2"/>
  <c r="AG287" i="2"/>
  <c r="AC326" i="2"/>
  <c r="AA549" i="2"/>
  <c r="AA194" i="2"/>
  <c r="U232" i="2"/>
  <c r="AE1504" i="2"/>
  <c r="AE1516" i="2"/>
  <c r="AE1533" i="2"/>
  <c r="AE1488" i="2"/>
  <c r="AE1535" i="2"/>
  <c r="AE1399" i="2"/>
  <c r="AE1438" i="2"/>
  <c r="AE1431" i="2"/>
  <c r="AE1323" i="2"/>
  <c r="AE1381" i="2"/>
  <c r="AE1297" i="2"/>
  <c r="AE1317" i="2"/>
  <c r="AE1418" i="2"/>
  <c r="AE1307" i="2"/>
  <c r="AE1333" i="2"/>
  <c r="AE1225" i="2"/>
  <c r="AE1164" i="2"/>
  <c r="AE1142" i="2"/>
  <c r="AE1154" i="2"/>
  <c r="AE1135" i="2"/>
  <c r="AE1201" i="2"/>
  <c r="AE1376" i="2"/>
  <c r="AE1348" i="2"/>
  <c r="AE1193" i="2"/>
  <c r="AE1116" i="2"/>
  <c r="AE1140" i="2"/>
  <c r="AE1372" i="2"/>
  <c r="AE1189" i="2"/>
  <c r="AE1104" i="2"/>
  <c r="AE1006" i="2"/>
  <c r="AE930" i="2"/>
  <c r="AE889" i="2"/>
  <c r="AE862" i="2"/>
  <c r="AE1007" i="2"/>
  <c r="AE1198" i="2"/>
  <c r="AE1080" i="2"/>
  <c r="AE1278" i="2"/>
  <c r="AE1003" i="2"/>
  <c r="AE881" i="2"/>
  <c r="AE1010" i="2"/>
  <c r="AE866" i="2"/>
  <c r="AE855" i="2"/>
  <c r="AE1018" i="2"/>
  <c r="AE919" i="2"/>
  <c r="AE982" i="2"/>
  <c r="AE961" i="2"/>
  <c r="AE1050" i="2"/>
  <c r="AE1013" i="2"/>
  <c r="AE914" i="2"/>
  <c r="AE811" i="2"/>
  <c r="AE1097" i="2"/>
  <c r="AE926" i="2"/>
  <c r="AE907" i="2"/>
  <c r="AE894" i="2"/>
  <c r="AE840" i="2"/>
  <c r="AE774" i="2"/>
  <c r="AE743" i="2"/>
  <c r="AE705" i="2"/>
  <c r="AE1111" i="2"/>
  <c r="AE600" i="2"/>
  <c r="AE942" i="2"/>
  <c r="AE821" i="2"/>
  <c r="AE783" i="2"/>
  <c r="AE614" i="2"/>
  <c r="AE375" i="2"/>
  <c r="AE458" i="2"/>
  <c r="AE802" i="2"/>
  <c r="AE496" i="2"/>
  <c r="AE405" i="2"/>
  <c r="AE592" i="2"/>
  <c r="AE457" i="2"/>
  <c r="AE453" i="2"/>
  <c r="AE508" i="2"/>
  <c r="AE688" i="2"/>
  <c r="AE518" i="2"/>
  <c r="AE310" i="2"/>
  <c r="AE702" i="2"/>
  <c r="AE678" i="2"/>
  <c r="AE520" i="2"/>
  <c r="AE321" i="2"/>
  <c r="AE769" i="2"/>
  <c r="AE422" i="2"/>
  <c r="AE285" i="2"/>
  <c r="AE469" i="2"/>
  <c r="AE352" i="2"/>
  <c r="AE282" i="2"/>
  <c r="AE471" i="2"/>
  <c r="AI4" i="2"/>
  <c r="Y6" i="2"/>
  <c r="Z13" i="2"/>
  <c r="Y15" i="2"/>
  <c r="AE16" i="2"/>
  <c r="AD5" i="2"/>
  <c r="AE12" i="2"/>
  <c r="AA13" i="2"/>
  <c r="Z15" i="2"/>
  <c r="AD21" i="2"/>
  <c r="W22" i="2"/>
  <c r="AA24" i="2"/>
  <c r="Z3" i="2"/>
  <c r="AC1458" i="2"/>
  <c r="AC1453" i="2"/>
  <c r="AC1520" i="2"/>
  <c r="AC1395" i="2"/>
  <c r="AC1398" i="2"/>
  <c r="AC1416" i="2"/>
  <c r="AC1351" i="2"/>
  <c r="AC1449" i="2"/>
  <c r="AC1469" i="2"/>
  <c r="AC1334" i="2"/>
  <c r="AC1374" i="2"/>
  <c r="AC1178" i="2"/>
  <c r="AC1317" i="2"/>
  <c r="AC1503" i="2"/>
  <c r="AC1303" i="2"/>
  <c r="AC1218" i="2"/>
  <c r="AC1212" i="2"/>
  <c r="AC1164" i="2"/>
  <c r="AC1225" i="2"/>
  <c r="AC1060" i="2"/>
  <c r="AC1034" i="2"/>
  <c r="AC1350" i="2"/>
  <c r="AC1087" i="2"/>
  <c r="AC1270" i="2"/>
  <c r="AC1149" i="2"/>
  <c r="AC869" i="2"/>
  <c r="AC861" i="2"/>
  <c r="AC1032" i="2"/>
  <c r="AC1263" i="2"/>
  <c r="AC1070" i="2"/>
  <c r="AC901" i="2"/>
  <c r="AC984" i="2"/>
  <c r="AC1023" i="2"/>
  <c r="AC940" i="2"/>
  <c r="AC884" i="2"/>
  <c r="AC986" i="2"/>
  <c r="AC1003" i="2"/>
  <c r="AC851" i="2"/>
  <c r="AC583" i="2"/>
  <c r="AC614" i="2"/>
  <c r="AC556" i="2"/>
  <c r="AC933" i="2"/>
  <c r="AC487" i="2"/>
  <c r="AC618" i="2"/>
  <c r="AC553" i="2"/>
  <c r="AC544" i="2"/>
  <c r="AC542" i="2"/>
  <c r="AC537" i="2"/>
  <c r="AC345" i="2"/>
  <c r="AC566" i="2"/>
  <c r="AC419" i="2"/>
  <c r="AC718" i="2"/>
  <c r="AC597" i="2"/>
  <c r="AC138" i="2"/>
  <c r="AC395" i="2"/>
  <c r="AC450" i="2"/>
  <c r="AC496" i="2"/>
  <c r="AC768" i="2"/>
  <c r="AC567" i="2"/>
  <c r="AC411" i="2"/>
  <c r="AC1180" i="2"/>
  <c r="AC626" i="2"/>
  <c r="AC716" i="2"/>
  <c r="AC251" i="2"/>
  <c r="AC548" i="2"/>
  <c r="AC638" i="2"/>
  <c r="AC268" i="2"/>
  <c r="AC263" i="2"/>
  <c r="AC438" i="2"/>
  <c r="AH1" i="2"/>
  <c r="V1" i="2"/>
  <c r="AE5" i="2"/>
  <c r="AA6" i="2"/>
  <c r="W7" i="2"/>
  <c r="AC10" i="2"/>
  <c r="AG14" i="2"/>
  <c r="AD19" i="2"/>
  <c r="AD26" i="2"/>
  <c r="Z31" i="2"/>
  <c r="Y33" i="2"/>
  <c r="W36" i="2"/>
  <c r="AI36" i="2"/>
  <c r="Y40" i="2"/>
  <c r="Z45" i="2"/>
  <c r="AA47" i="2"/>
  <c r="AG48" i="2"/>
  <c r="V50" i="2"/>
  <c r="AI52" i="2"/>
  <c r="AC53" i="2"/>
  <c r="Y54" i="2"/>
  <c r="Y58" i="2"/>
  <c r="AA62" i="2"/>
  <c r="V65" i="2"/>
  <c r="AH65" i="2"/>
  <c r="AC66" i="2"/>
  <c r="X67" i="2"/>
  <c r="AI67" i="2"/>
  <c r="AA69" i="2"/>
  <c r="AB1424" i="2"/>
  <c r="AB1504" i="2"/>
  <c r="AB1535" i="2"/>
  <c r="AB1245" i="2"/>
  <c r="AB1382" i="2"/>
  <c r="AB1384" i="2"/>
  <c r="AB1277" i="2"/>
  <c r="AB1371" i="2"/>
  <c r="AB1212" i="2"/>
  <c r="AB1314" i="2"/>
  <c r="AB1316" i="2"/>
  <c r="AB1408" i="2"/>
  <c r="AB1416" i="2"/>
  <c r="AB1325" i="2"/>
  <c r="AB1069" i="2"/>
  <c r="AB1178" i="2"/>
  <c r="AB1082" i="2"/>
  <c r="AB1387" i="2"/>
  <c r="AB946" i="2"/>
  <c r="AB857" i="2"/>
  <c r="AB1003" i="2"/>
  <c r="AB980" i="2"/>
  <c r="AB791" i="2"/>
  <c r="AB773" i="2"/>
  <c r="AB872" i="2"/>
  <c r="AB748" i="2"/>
  <c r="AB738" i="2"/>
  <c r="AB953" i="2"/>
  <c r="AB828" i="2"/>
  <c r="AB820" i="2"/>
  <c r="AB1001" i="2"/>
  <c r="AB955" i="2"/>
  <c r="AB800" i="2"/>
  <c r="AB792" i="2"/>
  <c r="AB957" i="2"/>
  <c r="AB991" i="2"/>
  <c r="AB914" i="2"/>
  <c r="AB940" i="2"/>
  <c r="AB531" i="2"/>
  <c r="AB623" i="2"/>
  <c r="AB587" i="2"/>
  <c r="AB455" i="2"/>
  <c r="AB602" i="2"/>
  <c r="AB419" i="2"/>
  <c r="AB414" i="2"/>
  <c r="AB438" i="2"/>
  <c r="AB454" i="2"/>
  <c r="AB450" i="2"/>
  <c r="AB739" i="2"/>
  <c r="AB396" i="2"/>
  <c r="AK396" i="2" s="1"/>
  <c r="AB426" i="2"/>
  <c r="AB281" i="2"/>
  <c r="AB298" i="2"/>
  <c r="AB433" i="2"/>
  <c r="AB259" i="2"/>
  <c r="AG1" i="2"/>
  <c r="AB6" i="2"/>
  <c r="X7" i="2"/>
  <c r="AB15" i="2"/>
  <c r="AK15" i="2" s="1"/>
  <c r="V16" i="2"/>
  <c r="AD17" i="2"/>
  <c r="AA20" i="2"/>
  <c r="Y22" i="2"/>
  <c r="U23" i="2"/>
  <c r="AG23" i="2"/>
  <c r="AC24" i="2"/>
  <c r="W25" i="2"/>
  <c r="U28" i="2"/>
  <c r="AG28" i="2"/>
  <c r="X29" i="2"/>
  <c r="AF30" i="2"/>
  <c r="AA31" i="2"/>
  <c r="X36" i="2"/>
  <c r="AE39" i="2"/>
  <c r="Z40" i="2"/>
  <c r="U41" i="2"/>
  <c r="AG41" i="2"/>
  <c r="X43" i="2"/>
  <c r="AF46" i="2"/>
  <c r="W48" i="2"/>
  <c r="AI48" i="2"/>
  <c r="AB49" i="2"/>
  <c r="AD53" i="2"/>
  <c r="AF55" i="2"/>
  <c r="X56" i="2"/>
  <c r="AF57" i="2"/>
  <c r="U59" i="2"/>
  <c r="AG59" i="2"/>
  <c r="V61" i="2"/>
  <c r="AB62" i="2"/>
  <c r="U63" i="2"/>
  <c r="AG63" i="2"/>
  <c r="Y67" i="2"/>
  <c r="U70" i="2"/>
  <c r="AG70" i="2"/>
  <c r="Y72" i="2"/>
  <c r="AE73" i="2"/>
  <c r="X74" i="2"/>
  <c r="V81" i="2"/>
  <c r="AH81" i="2"/>
  <c r="AB82" i="2"/>
  <c r="W83" i="2"/>
  <c r="AI83" i="2"/>
  <c r="AE84" i="2"/>
  <c r="Z85" i="2"/>
  <c r="AD86" i="2"/>
  <c r="W87" i="2"/>
  <c r="AI87" i="2"/>
  <c r="X89" i="2"/>
  <c r="AB91" i="2"/>
  <c r="AK91" i="2" s="1"/>
  <c r="W94" i="2"/>
  <c r="AI94" i="2"/>
  <c r="Z96" i="2"/>
  <c r="AK96" i="2" s="1"/>
  <c r="U97" i="2"/>
  <c r="AG97" i="2"/>
  <c r="Y99" i="2"/>
  <c r="AE100" i="2"/>
  <c r="Y101" i="2"/>
  <c r="AC103" i="2"/>
  <c r="V104" i="2"/>
  <c r="U107" i="2"/>
  <c r="AF107" i="2"/>
  <c r="AA108" i="2"/>
  <c r="AE112" i="2"/>
  <c r="AA113" i="2"/>
  <c r="AH114" i="2"/>
  <c r="AE116" i="2"/>
  <c r="U118" i="2"/>
  <c r="AG118" i="2"/>
  <c r="AC119" i="2"/>
  <c r="AB121" i="2"/>
  <c r="X122" i="2"/>
  <c r="AC123" i="2"/>
  <c r="U127" i="2"/>
  <c r="AH127" i="2"/>
  <c r="Z131" i="2"/>
  <c r="AK131" i="2" s="1"/>
  <c r="Y133" i="2"/>
  <c r="W136" i="2"/>
  <c r="AI136" i="2"/>
  <c r="Y138" i="2"/>
  <c r="U141" i="2"/>
  <c r="AG141" i="2"/>
  <c r="Z151" i="2"/>
  <c r="U152" i="2"/>
  <c r="AH152" i="2"/>
  <c r="AH154" i="2"/>
  <c r="AI157" i="2"/>
  <c r="AD158" i="2"/>
  <c r="AB163" i="2"/>
  <c r="AA166" i="2"/>
  <c r="V167" i="2"/>
  <c r="Y171" i="2"/>
  <c r="AE172" i="2"/>
  <c r="U174" i="2"/>
  <c r="AG174" i="2"/>
  <c r="AC175" i="2"/>
  <c r="Y176" i="2"/>
  <c r="AE176" i="2"/>
  <c r="AA181" i="2"/>
  <c r="AI182" i="2"/>
  <c r="AD183" i="2"/>
  <c r="Z184" i="2"/>
  <c r="AE184" i="2"/>
  <c r="V189" i="2"/>
  <c r="W196" i="2"/>
  <c r="AI196" i="2"/>
  <c r="AI198" i="2"/>
  <c r="AF210" i="2"/>
  <c r="AD213" i="2"/>
  <c r="AC227" i="2"/>
  <c r="AE229" i="2"/>
  <c r="U231" i="2"/>
  <c r="AG231" i="2"/>
  <c r="AC232" i="2"/>
  <c r="AI238" i="2"/>
  <c r="AF255" i="2"/>
  <c r="AC256" i="2"/>
  <c r="Y260" i="2"/>
  <c r="U270" i="2"/>
  <c r="X272" i="2"/>
  <c r="AC277" i="2"/>
  <c r="U299" i="2"/>
  <c r="AG299" i="2"/>
  <c r="V328" i="2"/>
  <c r="AH328" i="2"/>
  <c r="AC329" i="2"/>
  <c r="AD400" i="2"/>
  <c r="AF441" i="2"/>
  <c r="AB442" i="2"/>
  <c r="AB445" i="2"/>
  <c r="AA451" i="2"/>
  <c r="Y532" i="2"/>
  <c r="U533" i="2"/>
  <c r="AG533" i="2"/>
  <c r="Y541" i="2"/>
  <c r="AF542" i="2"/>
  <c r="AF545" i="2"/>
  <c r="U685" i="2"/>
  <c r="AG685" i="2"/>
  <c r="AB235" i="2"/>
  <c r="AK235" i="2" s="1"/>
  <c r="W236" i="2"/>
  <c r="AI236" i="2"/>
  <c r="Y238" i="2"/>
  <c r="Z240" i="2"/>
  <c r="V241" i="2"/>
  <c r="AH241" i="2"/>
  <c r="X243" i="2"/>
  <c r="AD253" i="2"/>
  <c r="W263" i="2"/>
  <c r="AI263" i="2"/>
  <c r="AE266" i="2"/>
  <c r="Z272" i="2"/>
  <c r="V273" i="2"/>
  <c r="X275" i="2"/>
  <c r="AE276" i="2"/>
  <c r="Z277" i="2"/>
  <c r="AD283" i="2"/>
  <c r="AD288" i="2"/>
  <c r="X291" i="2"/>
  <c r="AE292" i="2"/>
  <c r="U294" i="2"/>
  <c r="AG294" i="2"/>
  <c r="AC295" i="2"/>
  <c r="AF304" i="2"/>
  <c r="AF307" i="2"/>
  <c r="AF336" i="2"/>
  <c r="AF338" i="2"/>
  <c r="AE341" i="2"/>
  <c r="W365" i="2"/>
  <c r="AI365" i="2"/>
  <c r="X370" i="2"/>
  <c r="AG371" i="2"/>
  <c r="AB378" i="2"/>
  <c r="X379" i="2"/>
  <c r="V388" i="2"/>
  <c r="AH388" i="2"/>
  <c r="V391" i="2"/>
  <c r="AA409" i="2"/>
  <c r="W410" i="2"/>
  <c r="AC420" i="2"/>
  <c r="Z440" i="2"/>
  <c r="Z449" i="2"/>
  <c r="U450" i="2"/>
  <c r="AF472" i="2"/>
  <c r="X512" i="2"/>
  <c r="AA552" i="2"/>
  <c r="AC584" i="2"/>
  <c r="AC587" i="2"/>
  <c r="AA599" i="2"/>
  <c r="W600" i="2"/>
  <c r="AE607" i="2"/>
  <c r="AA608" i="2"/>
  <c r="Y673" i="2"/>
  <c r="U674" i="2"/>
  <c r="W1000" i="2"/>
  <c r="AI1000" i="2"/>
  <c r="AE1001" i="2"/>
  <c r="AE1031" i="2"/>
  <c r="AA1032" i="2"/>
  <c r="AC247" i="2"/>
  <c r="W248" i="2"/>
  <c r="AI248" i="2"/>
  <c r="X250" i="2"/>
  <c r="Y252" i="2"/>
  <c r="AE253" i="2"/>
  <c r="AA254" i="2"/>
  <c r="AE256" i="2"/>
  <c r="X257" i="2"/>
  <c r="AD258" i="2"/>
  <c r="X261" i="2"/>
  <c r="AI261" i="2"/>
  <c r="AC262" i="2"/>
  <c r="AF266" i="2"/>
  <c r="X268" i="2"/>
  <c r="AD269" i="2"/>
  <c r="Y270" i="2"/>
  <c r="AC281" i="2"/>
  <c r="AE283" i="2"/>
  <c r="Z284" i="2"/>
  <c r="AA286" i="2"/>
  <c r="X287" i="2"/>
  <c r="Z289" i="2"/>
  <c r="Y291" i="2"/>
  <c r="U304" i="2"/>
  <c r="AG304" i="2"/>
  <c r="AC305" i="2"/>
  <c r="Y306" i="2"/>
  <c r="U307" i="2"/>
  <c r="AB308" i="2"/>
  <c r="AK308" i="2" s="1"/>
  <c r="W309" i="2"/>
  <c r="AI309" i="2"/>
  <c r="AC316" i="2"/>
  <c r="U323" i="2"/>
  <c r="AG323" i="2"/>
  <c r="Y325" i="2"/>
  <c r="AA333" i="2"/>
  <c r="AF334" i="2"/>
  <c r="AA351" i="2"/>
  <c r="AI352" i="2"/>
  <c r="U355" i="2"/>
  <c r="AG355" i="2"/>
  <c r="AI360" i="2"/>
  <c r="Y362" i="2"/>
  <c r="AB364" i="2"/>
  <c r="Z373" i="2"/>
  <c r="AC384" i="2"/>
  <c r="V402" i="2"/>
  <c r="AB403" i="2"/>
  <c r="AI427" i="2"/>
  <c r="AE448" i="2"/>
  <c r="AF453" i="2"/>
  <c r="AH458" i="2"/>
  <c r="AC465" i="2"/>
  <c r="Z471" i="2"/>
  <c r="Y506" i="2"/>
  <c r="AG510" i="2"/>
  <c r="AI539" i="2"/>
  <c r="W556" i="2"/>
  <c r="AI556" i="2"/>
  <c r="V671" i="2"/>
  <c r="AH671" i="2"/>
  <c r="AD672" i="2"/>
  <c r="AE751" i="2"/>
  <c r="AE754" i="2"/>
  <c r="X248" i="2"/>
  <c r="X255" i="2"/>
  <c r="Y257" i="2"/>
  <c r="Z265" i="2"/>
  <c r="U266" i="2"/>
  <c r="AG266" i="2"/>
  <c r="Y268" i="2"/>
  <c r="U271" i="2"/>
  <c r="AB272" i="2"/>
  <c r="Z275" i="2"/>
  <c r="U276" i="2"/>
  <c r="AG276" i="2"/>
  <c r="V278" i="2"/>
  <c r="AG278" i="2"/>
  <c r="AB279" i="2"/>
  <c r="Y282" i="2"/>
  <c r="W285" i="2"/>
  <c r="AI285" i="2"/>
  <c r="AF288" i="2"/>
  <c r="AE290" i="2"/>
  <c r="V292" i="2"/>
  <c r="W294" i="2"/>
  <c r="AI294" i="2"/>
  <c r="AH297" i="2"/>
  <c r="X299" i="2"/>
  <c r="AE300" i="2"/>
  <c r="X301" i="2"/>
  <c r="AE302" i="2"/>
  <c r="Z306" i="2"/>
  <c r="Y309" i="2"/>
  <c r="W312" i="2"/>
  <c r="AD313" i="2"/>
  <c r="Z314" i="2"/>
  <c r="V315" i="2"/>
  <c r="AH315" i="2"/>
  <c r="AD316" i="2"/>
  <c r="W320" i="2"/>
  <c r="AI320" i="2"/>
  <c r="AD384" i="2"/>
  <c r="AD423" i="2"/>
  <c r="V425" i="2"/>
  <c r="AH425" i="2"/>
  <c r="Z438" i="2"/>
  <c r="AE459" i="2"/>
  <c r="AD505" i="2"/>
  <c r="U522" i="2"/>
  <c r="AG522" i="2"/>
  <c r="AB526" i="2"/>
  <c r="X527" i="2"/>
  <c r="AF528" i="2"/>
  <c r="W571" i="2"/>
  <c r="AG598" i="2"/>
  <c r="X641" i="2"/>
  <c r="AF642" i="2"/>
  <c r="AB643" i="2"/>
  <c r="W668" i="2"/>
  <c r="X709" i="2"/>
  <c r="AF915" i="2"/>
  <c r="X917" i="2"/>
  <c r="AA922" i="2"/>
  <c r="AE924" i="2"/>
  <c r="W944" i="2"/>
  <c r="AI944" i="2"/>
  <c r="Z991" i="2"/>
  <c r="AK991" i="2" s="1"/>
  <c r="Z994" i="2"/>
  <c r="AG237" i="2"/>
  <c r="Y241" i="2"/>
  <c r="AF242" i="2"/>
  <c r="AI244" i="2"/>
  <c r="AF249" i="2"/>
  <c r="V251" i="2"/>
  <c r="AH251" i="2"/>
  <c r="U253" i="2"/>
  <c r="AC254" i="2"/>
  <c r="Y255" i="2"/>
  <c r="U256" i="2"/>
  <c r="Z257" i="2"/>
  <c r="AF258" i="2"/>
  <c r="AE260" i="2"/>
  <c r="Z263" i="2"/>
  <c r="AA265" i="2"/>
  <c r="AF269" i="2"/>
  <c r="V271" i="2"/>
  <c r="AH271" i="2"/>
  <c r="W278" i="2"/>
  <c r="AI278" i="2"/>
  <c r="AC284" i="2"/>
  <c r="Z287" i="2"/>
  <c r="U288" i="2"/>
  <c r="AA289" i="2"/>
  <c r="AF290" i="2"/>
  <c r="AB296" i="2"/>
  <c r="AA303" i="2"/>
  <c r="W304" i="2"/>
  <c r="AI304" i="2"/>
  <c r="AI312" i="2"/>
  <c r="W315" i="2"/>
  <c r="AI315" i="2"/>
  <c r="AA322" i="2"/>
  <c r="AE324" i="2"/>
  <c r="V326" i="2"/>
  <c r="AC351" i="2"/>
  <c r="AC359" i="2"/>
  <c r="Y360" i="2"/>
  <c r="AA362" i="2"/>
  <c r="AD364" i="2"/>
  <c r="AA382" i="2"/>
  <c r="W383" i="2"/>
  <c r="AI383" i="2"/>
  <c r="AE398" i="2"/>
  <c r="Y399" i="2"/>
  <c r="Z399" i="2"/>
  <c r="AD406" i="2"/>
  <c r="V408" i="2"/>
  <c r="AH408" i="2"/>
  <c r="AD409" i="2"/>
  <c r="Z416" i="2"/>
  <c r="V417" i="2"/>
  <c r="AH417" i="2"/>
  <c r="W425" i="2"/>
  <c r="Y433" i="2"/>
  <c r="AF434" i="2"/>
  <c r="AA435" i="2"/>
  <c r="X436" i="2"/>
  <c r="U442" i="2"/>
  <c r="AG442" i="2"/>
  <c r="W461" i="2"/>
  <c r="AI461" i="2"/>
  <c r="AE462" i="2"/>
  <c r="Z469" i="2"/>
  <c r="AF470" i="2"/>
  <c r="AC482" i="2"/>
  <c r="U484" i="2"/>
  <c r="AG484" i="2"/>
  <c r="AF487" i="2"/>
  <c r="AH498" i="2"/>
  <c r="AE502" i="2"/>
  <c r="AB579" i="2"/>
  <c r="X580" i="2"/>
  <c r="AE628" i="2"/>
  <c r="Z629" i="2"/>
  <c r="W677" i="2"/>
  <c r="U680" i="2"/>
  <c r="AG680" i="2"/>
  <c r="AB243" i="2"/>
  <c r="AD245" i="2"/>
  <c r="AF247" i="2"/>
  <c r="Z248" i="2"/>
  <c r="AC252" i="2"/>
  <c r="AA261" i="2"/>
  <c r="AF262" i="2"/>
  <c r="V266" i="2"/>
  <c r="AI266" i="2"/>
  <c r="AD267" i="2"/>
  <c r="AB270" i="2"/>
  <c r="AI271" i="2"/>
  <c r="AD272" i="2"/>
  <c r="AB275" i="2"/>
  <c r="AK275" i="2" s="1"/>
  <c r="Z280" i="2"/>
  <c r="AF281" i="2"/>
  <c r="V283" i="2"/>
  <c r="AA287" i="2"/>
  <c r="U295" i="2"/>
  <c r="AG295" i="2"/>
  <c r="Y297" i="2"/>
  <c r="U298" i="2"/>
  <c r="AG298" i="2"/>
  <c r="U300" i="2"/>
  <c r="AG300" i="2"/>
  <c r="V310" i="2"/>
  <c r="AH310" i="2"/>
  <c r="Y312" i="2"/>
  <c r="AB314" i="2"/>
  <c r="X323" i="2"/>
  <c r="AB325" i="2"/>
  <c r="W329" i="2"/>
  <c r="AI329" i="2"/>
  <c r="W341" i="2"/>
  <c r="AD342" i="2"/>
  <c r="U372" i="2"/>
  <c r="AF372" i="2"/>
  <c r="AG372" i="2"/>
  <c r="AC376" i="2"/>
  <c r="Y377" i="2"/>
  <c r="U378" i="2"/>
  <c r="AG378" i="2"/>
  <c r="AF381" i="2"/>
  <c r="AE403" i="2"/>
  <c r="AE406" i="2"/>
  <c r="AE412" i="2"/>
  <c r="U420" i="2"/>
  <c r="AC421" i="2"/>
  <c r="W428" i="2"/>
  <c r="AI428" i="2"/>
  <c r="W431" i="2"/>
  <c r="V456" i="2"/>
  <c r="AA469" i="2"/>
  <c r="V478" i="2"/>
  <c r="AH478" i="2"/>
  <c r="AB497" i="2"/>
  <c r="X498" i="2"/>
  <c r="V534" i="2"/>
  <c r="AH534" i="2"/>
  <c r="AC547" i="2"/>
  <c r="AF549" i="2"/>
  <c r="AH554" i="2"/>
  <c r="AC570" i="2"/>
  <c r="AC594" i="2"/>
  <c r="Y665" i="2"/>
  <c r="AA732" i="2"/>
  <c r="AA735" i="2"/>
  <c r="W736" i="2"/>
  <c r="AI736" i="2"/>
  <c r="AG247" i="2"/>
  <c r="X251" i="2"/>
  <c r="Z255" i="2"/>
  <c r="W256" i="2"/>
  <c r="U260" i="2"/>
  <c r="AG260" i="2"/>
  <c r="AB263" i="2"/>
  <c r="AB268" i="2"/>
  <c r="AE277" i="2"/>
  <c r="Y278" i="2"/>
  <c r="U281" i="2"/>
  <c r="AG281" i="2"/>
  <c r="AB282" i="2"/>
  <c r="W283" i="2"/>
  <c r="Z285" i="2"/>
  <c r="AF286" i="2"/>
  <c r="V288" i="2"/>
  <c r="AH288" i="2"/>
  <c r="V290" i="2"/>
  <c r="AG290" i="2"/>
  <c r="V295" i="2"/>
  <c r="AH295" i="2"/>
  <c r="AD296" i="2"/>
  <c r="AH298" i="2"/>
  <c r="AB299" i="2"/>
  <c r="AA301" i="2"/>
  <c r="AC303" i="2"/>
  <c r="Y307" i="2"/>
  <c r="AF308" i="2"/>
  <c r="W310" i="2"/>
  <c r="V321" i="2"/>
  <c r="AH321" i="2"/>
  <c r="AC322" i="2"/>
  <c r="AI326" i="2"/>
  <c r="Y336" i="2"/>
  <c r="X338" i="2"/>
  <c r="AB340" i="2"/>
  <c r="AI341" i="2"/>
  <c r="Z371" i="2"/>
  <c r="V372" i="2"/>
  <c r="AH372" i="2"/>
  <c r="AD376" i="2"/>
  <c r="Z377" i="2"/>
  <c r="V378" i="2"/>
  <c r="AD396" i="2"/>
  <c r="AF403" i="2"/>
  <c r="X405" i="2"/>
  <c r="AI414" i="2"/>
  <c r="X439" i="2"/>
  <c r="AC463" i="2"/>
  <c r="AF468" i="2"/>
  <c r="AC474" i="2"/>
  <c r="W481" i="2"/>
  <c r="AG517" i="2"/>
  <c r="U520" i="2"/>
  <c r="AG520" i="2"/>
  <c r="AE523" i="2"/>
  <c r="W525" i="2"/>
  <c r="AH543" i="2"/>
  <c r="AG549" i="2"/>
  <c r="V584" i="2"/>
  <c r="AH584" i="2"/>
  <c r="AD585" i="2"/>
  <c r="AH593" i="2"/>
  <c r="Z595" i="2"/>
  <c r="AE617" i="2"/>
  <c r="W625" i="2"/>
  <c r="AI625" i="2"/>
  <c r="U719" i="2"/>
  <c r="AG719" i="2"/>
  <c r="AC720" i="2"/>
  <c r="AB735" i="2"/>
  <c r="AD773" i="2"/>
  <c r="AD776" i="2"/>
  <c r="X1538" i="2"/>
  <c r="AH104" i="2"/>
  <c r="W111" i="2"/>
  <c r="AI111" i="2"/>
  <c r="Y113" i="2"/>
  <c r="AI115" i="2"/>
  <c r="Y117" i="2"/>
  <c r="Y119" i="2"/>
  <c r="U124" i="2"/>
  <c r="AG124" i="2"/>
  <c r="AD127" i="2"/>
  <c r="W128" i="2"/>
  <c r="AI128" i="2"/>
  <c r="AC132" i="2"/>
  <c r="U133" i="2"/>
  <c r="Y137" i="2"/>
  <c r="AA139" i="2"/>
  <c r="U140" i="2"/>
  <c r="AG140" i="2"/>
  <c r="AC141" i="2"/>
  <c r="Y142" i="2"/>
  <c r="W145" i="2"/>
  <c r="AI145" i="2"/>
  <c r="AE146" i="2"/>
  <c r="AD149" i="2"/>
  <c r="AA152" i="2"/>
  <c r="AE154" i="2"/>
  <c r="Z155" i="2"/>
  <c r="U156" i="2"/>
  <c r="AG156" i="2"/>
  <c r="AE159" i="2"/>
  <c r="AD162" i="2"/>
  <c r="AG163" i="2"/>
  <c r="AA167" i="2"/>
  <c r="U168" i="2"/>
  <c r="X172" i="2"/>
  <c r="AF173" i="2"/>
  <c r="AD176" i="2"/>
  <c r="AE181" i="2"/>
  <c r="V183" i="2"/>
  <c r="AH183" i="2"/>
  <c r="AC184" i="2"/>
  <c r="U195" i="2"/>
  <c r="AG195" i="2"/>
  <c r="AA196" i="2"/>
  <c r="X200" i="2"/>
  <c r="AE201" i="2"/>
  <c r="AE206" i="2"/>
  <c r="Z207" i="2"/>
  <c r="AK207" i="2" s="1"/>
  <c r="U208" i="2"/>
  <c r="W210" i="2"/>
  <c r="Y216" i="2"/>
  <c r="AG221" i="2"/>
  <c r="AA222" i="2"/>
  <c r="V223" i="2"/>
  <c r="AC224" i="2"/>
  <c r="X225" i="2"/>
  <c r="AF226" i="2"/>
  <c r="AB227" i="2"/>
  <c r="V228" i="2"/>
  <c r="AH228" i="2"/>
  <c r="Y230" i="2"/>
  <c r="Z232" i="2"/>
  <c r="AK232" i="2" s="1"/>
  <c r="AA234" i="2"/>
  <c r="W235" i="2"/>
  <c r="AH235" i="2"/>
  <c r="AI242" i="2"/>
  <c r="AD243" i="2"/>
  <c r="AA246" i="2"/>
  <c r="AE252" i="2"/>
  <c r="AE254" i="2"/>
  <c r="AC257" i="2"/>
  <c r="W264" i="2"/>
  <c r="AD265" i="2"/>
  <c r="Y266" i="2"/>
  <c r="AI269" i="2"/>
  <c r="AD270" i="2"/>
  <c r="V274" i="2"/>
  <c r="AH274" i="2"/>
  <c r="Z278" i="2"/>
  <c r="AB280" i="2"/>
  <c r="AC282" i="2"/>
  <c r="AE284" i="2"/>
  <c r="U286" i="2"/>
  <c r="AG286" i="2"/>
  <c r="AC287" i="2"/>
  <c r="AD291" i="2"/>
  <c r="AA294" i="2"/>
  <c r="W295" i="2"/>
  <c r="V305" i="2"/>
  <c r="AH305" i="2"/>
  <c r="AD306" i="2"/>
  <c r="U308" i="2"/>
  <c r="AG308" i="2"/>
  <c r="AC309" i="2"/>
  <c r="V316" i="2"/>
  <c r="AH316" i="2"/>
  <c r="AF319" i="2"/>
  <c r="V324" i="2"/>
  <c r="AH324" i="2"/>
  <c r="X334" i="2"/>
  <c r="W353" i="2"/>
  <c r="AH356" i="2"/>
  <c r="AD357" i="2"/>
  <c r="U367" i="2"/>
  <c r="AE370" i="2"/>
  <c r="W375" i="2"/>
  <c r="AB388" i="2"/>
  <c r="AA394" i="2"/>
  <c r="X395" i="2"/>
  <c r="AF401" i="2"/>
  <c r="U415" i="2"/>
  <c r="AG415" i="2"/>
  <c r="AC416" i="2"/>
  <c r="AF418" i="2"/>
  <c r="U429" i="2"/>
  <c r="AC430" i="2"/>
  <c r="Y439" i="2"/>
  <c r="AA450" i="2"/>
  <c r="Z464" i="2"/>
  <c r="V465" i="2"/>
  <c r="AI478" i="2"/>
  <c r="V514" i="2"/>
  <c r="AH514" i="2"/>
  <c r="AF523" i="2"/>
  <c r="AB562" i="2"/>
  <c r="AI587" i="2"/>
  <c r="W660" i="2"/>
  <c r="AE661" i="2"/>
  <c r="W247" i="2"/>
  <c r="AH247" i="2"/>
  <c r="AC248" i="2"/>
  <c r="Y249" i="2"/>
  <c r="Z251" i="2"/>
  <c r="Y253" i="2"/>
  <c r="U254" i="2"/>
  <c r="AC255" i="2"/>
  <c r="Y256" i="2"/>
  <c r="AD257" i="2"/>
  <c r="AC261" i="2"/>
  <c r="W262" i="2"/>
  <c r="AI262" i="2"/>
  <c r="X264" i="2"/>
  <c r="V267" i="2"/>
  <c r="AH267" i="2"/>
  <c r="Z271" i="2"/>
  <c r="U272" i="2"/>
  <c r="AG272" i="2"/>
  <c r="W274" i="2"/>
  <c r="AG277" i="2"/>
  <c r="AD282" i="2"/>
  <c r="AF284" i="2"/>
  <c r="X290" i="2"/>
  <c r="W293" i="2"/>
  <c r="AH293" i="2"/>
  <c r="AB294" i="2"/>
  <c r="AI295" i="2"/>
  <c r="X298" i="2"/>
  <c r="AC299" i="2"/>
  <c r="W305" i="2"/>
  <c r="AI305" i="2"/>
  <c r="Z307" i="2"/>
  <c r="AE314" i="2"/>
  <c r="Z315" i="2"/>
  <c r="AK315" i="2" s="1"/>
  <c r="V330" i="2"/>
  <c r="U335" i="2"/>
  <c r="AG335" i="2"/>
  <c r="AA336" i="2"/>
  <c r="AD340" i="2"/>
  <c r="Z341" i="2"/>
  <c r="U345" i="2"/>
  <c r="U348" i="2"/>
  <c r="AC349" i="2"/>
  <c r="W356" i="2"/>
  <c r="AI356" i="2"/>
  <c r="AE357" i="2"/>
  <c r="AE362" i="2"/>
  <c r="AH364" i="2"/>
  <c r="V367" i="2"/>
  <c r="AH367" i="2"/>
  <c r="AC368" i="2"/>
  <c r="Z369" i="2"/>
  <c r="AF370" i="2"/>
  <c r="AB371" i="2"/>
  <c r="Z386" i="2"/>
  <c r="AD410" i="2"/>
  <c r="X437" i="2"/>
  <c r="U449" i="2"/>
  <c r="AG449" i="2"/>
  <c r="AE460" i="2"/>
  <c r="AA464" i="2"/>
  <c r="W493" i="2"/>
  <c r="W511" i="2"/>
  <c r="AI511" i="2"/>
  <c r="Z522" i="2"/>
  <c r="AK522" i="2" s="1"/>
  <c r="Y613" i="2"/>
  <c r="U614" i="2"/>
  <c r="AG614" i="2"/>
  <c r="AC624" i="2"/>
  <c r="Y625" i="2"/>
  <c r="AD632" i="2"/>
  <c r="V634" i="2"/>
  <c r="AH634" i="2"/>
  <c r="AG643" i="2"/>
  <c r="AB712" i="2"/>
  <c r="Y713" i="2"/>
  <c r="AF714" i="2"/>
  <c r="X716" i="2"/>
  <c r="AE717" i="2"/>
  <c r="AA718" i="2"/>
  <c r="AF770" i="2"/>
  <c r="AB771" i="2"/>
  <c r="V1008" i="2"/>
  <c r="AH1008" i="2"/>
  <c r="U245" i="2"/>
  <c r="AH245" i="2"/>
  <c r="Z249" i="2"/>
  <c r="AE250" i="2"/>
  <c r="U252" i="2"/>
  <c r="AG252" i="2"/>
  <c r="V254" i="2"/>
  <c r="AE257" i="2"/>
  <c r="Y258" i="2"/>
  <c r="X260" i="2"/>
  <c r="X262" i="2"/>
  <c r="AD263" i="2"/>
  <c r="Y264" i="2"/>
  <c r="AF265" i="2"/>
  <c r="X269" i="2"/>
  <c r="AF289" i="2"/>
  <c r="X305" i="2"/>
  <c r="AB315" i="2"/>
  <c r="AH319" i="2"/>
  <c r="AC320" i="2"/>
  <c r="X321" i="2"/>
  <c r="AI324" i="2"/>
  <c r="AF325" i="2"/>
  <c r="AE328" i="2"/>
  <c r="AA329" i="2"/>
  <c r="Z332" i="2"/>
  <c r="AH333" i="2"/>
  <c r="Z347" i="2"/>
  <c r="V348" i="2"/>
  <c r="AH348" i="2"/>
  <c r="V351" i="2"/>
  <c r="AH351" i="2"/>
  <c r="AD352" i="2"/>
  <c r="AF354" i="2"/>
  <c r="X356" i="2"/>
  <c r="V359" i="2"/>
  <c r="AD360" i="2"/>
  <c r="Z361" i="2"/>
  <c r="AF362" i="2"/>
  <c r="AD388" i="2"/>
  <c r="AH393" i="2"/>
  <c r="AD394" i="2"/>
  <c r="AC436" i="2"/>
  <c r="AF438" i="2"/>
  <c r="AD444" i="2"/>
  <c r="AE452" i="2"/>
  <c r="Y459" i="2"/>
  <c r="W473" i="2"/>
  <c r="AI473" i="2"/>
  <c r="V482" i="2"/>
  <c r="V485" i="2"/>
  <c r="U488" i="2"/>
  <c r="AG488" i="2"/>
  <c r="AC489" i="2"/>
  <c r="U561" i="2"/>
  <c r="AH561" i="2"/>
  <c r="Y575" i="2"/>
  <c r="AE606" i="2"/>
  <c r="V643" i="2"/>
  <c r="AH643" i="2"/>
  <c r="Z707" i="2"/>
  <c r="AD712" i="2"/>
  <c r="Y716" i="2"/>
  <c r="V746" i="2"/>
  <c r="AH746" i="2"/>
  <c r="AH755" i="2"/>
  <c r="AC795" i="2"/>
  <c r="X796" i="2"/>
  <c r="AA798" i="2"/>
  <c r="AE803" i="2"/>
  <c r="AE878" i="2"/>
  <c r="AE261" i="2"/>
  <c r="AB266" i="2"/>
  <c r="W272" i="2"/>
  <c r="AI272" i="2"/>
  <c r="AG275" i="2"/>
  <c r="W279" i="2"/>
  <c r="Y281" i="2"/>
  <c r="AD285" i="2"/>
  <c r="X286" i="2"/>
  <c r="U291" i="2"/>
  <c r="AG291" i="2"/>
  <c r="X293" i="2"/>
  <c r="AC294" i="2"/>
  <c r="AD297" i="2"/>
  <c r="Z300" i="2"/>
  <c r="AE301" i="2"/>
  <c r="Z302" i="2"/>
  <c r="Y313" i="2"/>
  <c r="U314" i="2"/>
  <c r="AC323" i="2"/>
  <c r="AB329" i="2"/>
  <c r="AF331" i="2"/>
  <c r="AI342" i="2"/>
  <c r="AB386" i="2"/>
  <c r="AD397" i="2"/>
  <c r="AF427" i="2"/>
  <c r="AD436" i="2"/>
  <c r="AC510" i="2"/>
  <c r="AI599" i="2"/>
  <c r="AF600" i="2"/>
  <c r="Y628" i="2"/>
  <c r="AG676" i="2"/>
  <c r="AF679" i="2"/>
  <c r="Z778" i="2"/>
  <c r="V785" i="2"/>
  <c r="AH785" i="2"/>
  <c r="AD786" i="2"/>
  <c r="Z787" i="2"/>
  <c r="V788" i="2"/>
  <c r="AD789" i="2"/>
  <c r="Z790" i="2"/>
  <c r="V791" i="2"/>
  <c r="AH791" i="2"/>
  <c r="V794" i="2"/>
  <c r="AH794" i="2"/>
  <c r="Y796" i="2"/>
  <c r="AB798" i="2"/>
  <c r="AI799" i="2"/>
  <c r="Z918" i="2"/>
  <c r="V928" i="2"/>
  <c r="AH928" i="2"/>
  <c r="V931" i="2"/>
  <c r="AH931" i="2"/>
  <c r="AD989" i="2"/>
  <c r="Y990" i="2"/>
  <c r="Z380" i="2"/>
  <c r="U381" i="2"/>
  <c r="AC382" i="2"/>
  <c r="Y383" i="2"/>
  <c r="U386" i="2"/>
  <c r="W388" i="2"/>
  <c r="AI388" i="2"/>
  <c r="W391" i="2"/>
  <c r="AI391" i="2"/>
  <c r="AI394" i="2"/>
  <c r="Y396" i="2"/>
  <c r="AG403" i="2"/>
  <c r="Y405" i="2"/>
  <c r="AH420" i="2"/>
  <c r="AE423" i="2"/>
  <c r="AA424" i="2"/>
  <c r="AI425" i="2"/>
  <c r="AD428" i="2"/>
  <c r="AF433" i="2"/>
  <c r="AA434" i="2"/>
  <c r="U445" i="2"/>
  <c r="AG445" i="2"/>
  <c r="Y447" i="2"/>
  <c r="V463" i="2"/>
  <c r="AH463" i="2"/>
  <c r="AH468" i="2"/>
  <c r="AC473" i="2"/>
  <c r="X474" i="2"/>
  <c r="Z476" i="2"/>
  <c r="AF477" i="2"/>
  <c r="AC478" i="2"/>
  <c r="AA487" i="2"/>
  <c r="AC497" i="2"/>
  <c r="Y498" i="2"/>
  <c r="AG499" i="2"/>
  <c r="Y501" i="2"/>
  <c r="AH510" i="2"/>
  <c r="Z520" i="2"/>
  <c r="AF521" i="2"/>
  <c r="AA542" i="2"/>
  <c r="AA561" i="2"/>
  <c r="AD563" i="2"/>
  <c r="V570" i="2"/>
  <c r="AH570" i="2"/>
  <c r="AG573" i="2"/>
  <c r="X584" i="2"/>
  <c r="AF604" i="2"/>
  <c r="AB605" i="2"/>
  <c r="X606" i="2"/>
  <c r="Z614" i="2"/>
  <c r="AD625" i="2"/>
  <c r="Z626" i="2"/>
  <c r="AK626" i="2" s="1"/>
  <c r="AA639" i="2"/>
  <c r="AE653" i="2"/>
  <c r="U675" i="2"/>
  <c r="AG675" i="2"/>
  <c r="X690" i="2"/>
  <c r="AI705" i="2"/>
  <c r="W765" i="2"/>
  <c r="AC775" i="2"/>
  <c r="AA787" i="2"/>
  <c r="AE789" i="2"/>
  <c r="AE913" i="2"/>
  <c r="U990" i="2"/>
  <c r="AA991" i="2"/>
  <c r="U1163" i="2"/>
  <c r="AG1163" i="2"/>
  <c r="AF1181" i="2"/>
  <c r="X1183" i="2"/>
  <c r="AA1188" i="2"/>
  <c r="X1189" i="2"/>
  <c r="AD1484" i="2"/>
  <c r="AE1484" i="2"/>
  <c r="W1537" i="2"/>
  <c r="AI1537" i="2"/>
  <c r="Y296" i="2"/>
  <c r="V299" i="2"/>
  <c r="AH299" i="2"/>
  <c r="AB300" i="2"/>
  <c r="U301" i="2"/>
  <c r="AD304" i="2"/>
  <c r="AB307" i="2"/>
  <c r="W308" i="2"/>
  <c r="AI308" i="2"/>
  <c r="AE309" i="2"/>
  <c r="X310" i="2"/>
  <c r="AI310" i="2"/>
  <c r="AF320" i="2"/>
  <c r="AF327" i="2"/>
  <c r="AD330" i="2"/>
  <c r="Z331" i="2"/>
  <c r="AF332" i="2"/>
  <c r="AG338" i="2"/>
  <c r="AB339" i="2"/>
  <c r="X340" i="2"/>
  <c r="AH343" i="2"/>
  <c r="AC344" i="2"/>
  <c r="U354" i="2"/>
  <c r="AG354" i="2"/>
  <c r="W359" i="2"/>
  <c r="AI359" i="2"/>
  <c r="AA366" i="2"/>
  <c r="AC371" i="2"/>
  <c r="AF376" i="2"/>
  <c r="V381" i="2"/>
  <c r="AG381" i="2"/>
  <c r="Z383" i="2"/>
  <c r="AG386" i="2"/>
  <c r="AB390" i="2"/>
  <c r="AB402" i="2"/>
  <c r="V403" i="2"/>
  <c r="AH403" i="2"/>
  <c r="AA422" i="2"/>
  <c r="AI430" i="2"/>
  <c r="AD446" i="2"/>
  <c r="U466" i="2"/>
  <c r="AG466" i="2"/>
  <c r="U483" i="2"/>
  <c r="AG483" i="2"/>
  <c r="U486" i="2"/>
  <c r="AG486" i="2"/>
  <c r="Z498" i="2"/>
  <c r="V499" i="2"/>
  <c r="AH499" i="2"/>
  <c r="AD500" i="2"/>
  <c r="AC506" i="2"/>
  <c r="AD517" i="2"/>
  <c r="Y518" i="2"/>
  <c r="V526" i="2"/>
  <c r="AH526" i="2"/>
  <c r="U535" i="2"/>
  <c r="AG535" i="2"/>
  <c r="AC539" i="2"/>
  <c r="Y540" i="2"/>
  <c r="U541" i="2"/>
  <c r="AG541" i="2"/>
  <c r="X546" i="2"/>
  <c r="AF547" i="2"/>
  <c r="AB548" i="2"/>
  <c r="W549" i="2"/>
  <c r="AI549" i="2"/>
  <c r="AB561" i="2"/>
  <c r="AE568" i="2"/>
  <c r="AA569" i="2"/>
  <c r="AH579" i="2"/>
  <c r="AD580" i="2"/>
  <c r="AC586" i="2"/>
  <c r="AI621" i="2"/>
  <c r="U635" i="2"/>
  <c r="Y637" i="2"/>
  <c r="Z663" i="2"/>
  <c r="V664" i="2"/>
  <c r="AH664" i="2"/>
  <c r="X666" i="2"/>
  <c r="AG667" i="2"/>
  <c r="AF670" i="2"/>
  <c r="AC692" i="2"/>
  <c r="Y693" i="2"/>
  <c r="AF694" i="2"/>
  <c r="X705" i="2"/>
  <c r="AA741" i="2"/>
  <c r="AD758" i="2"/>
  <c r="X765" i="2"/>
  <c r="V771" i="2"/>
  <c r="AH771" i="2"/>
  <c r="V774" i="2"/>
  <c r="AH774" i="2"/>
  <c r="V809" i="2"/>
  <c r="AH809" i="2"/>
  <c r="AH824" i="2"/>
  <c r="AF910" i="2"/>
  <c r="AB911" i="2"/>
  <c r="V1172" i="2"/>
  <c r="AH1172" i="2"/>
  <c r="Y1216" i="2"/>
  <c r="AB1242" i="2"/>
  <c r="X1246" i="2"/>
  <c r="AB1248" i="2"/>
  <c r="X1249" i="2"/>
  <c r="U297" i="2"/>
  <c r="AC298" i="2"/>
  <c r="AC300" i="2"/>
  <c r="AH301" i="2"/>
  <c r="AF311" i="2"/>
  <c r="Z312" i="2"/>
  <c r="AD314" i="2"/>
  <c r="Y315" i="2"/>
  <c r="AE316" i="2"/>
  <c r="U318" i="2"/>
  <c r="AG318" i="2"/>
  <c r="AA319" i="2"/>
  <c r="Y324" i="2"/>
  <c r="AC328" i="2"/>
  <c r="Y329" i="2"/>
  <c r="AA331" i="2"/>
  <c r="U332" i="2"/>
  <c r="AG332" i="2"/>
  <c r="AH334" i="2"/>
  <c r="V338" i="2"/>
  <c r="AC339" i="2"/>
  <c r="W343" i="2"/>
  <c r="AI343" i="2"/>
  <c r="AD344" i="2"/>
  <c r="V354" i="2"/>
  <c r="AH354" i="2"/>
  <c r="AC358" i="2"/>
  <c r="AF365" i="2"/>
  <c r="AB366" i="2"/>
  <c r="X378" i="2"/>
  <c r="W381" i="2"/>
  <c r="AA385" i="2"/>
  <c r="AG392" i="2"/>
  <c r="W399" i="2"/>
  <c r="AI399" i="2"/>
  <c r="AH409" i="2"/>
  <c r="Y411" i="2"/>
  <c r="AE414" i="2"/>
  <c r="Y415" i="2"/>
  <c r="AE419" i="2"/>
  <c r="X420" i="2"/>
  <c r="AI420" i="2"/>
  <c r="AB422" i="2"/>
  <c r="U423" i="2"/>
  <c r="AG423" i="2"/>
  <c r="X430" i="2"/>
  <c r="AA444" i="2"/>
  <c r="AE446" i="2"/>
  <c r="Z458" i="2"/>
  <c r="V466" i="2"/>
  <c r="AH466" i="2"/>
  <c r="AD471" i="2"/>
  <c r="AI472" i="2"/>
  <c r="V483" i="2"/>
  <c r="AH483" i="2"/>
  <c r="V494" i="2"/>
  <c r="AE497" i="2"/>
  <c r="AD506" i="2"/>
  <c r="AF519" i="2"/>
  <c r="Z534" i="2"/>
  <c r="AK534" i="2" s="1"/>
  <c r="V538" i="2"/>
  <c r="AH538" i="2"/>
  <c r="AC545" i="2"/>
  <c r="AE555" i="2"/>
  <c r="AE580" i="2"/>
  <c r="V582" i="2"/>
  <c r="AH582" i="2"/>
  <c r="AD583" i="2"/>
  <c r="AE599" i="2"/>
  <c r="AA600" i="2"/>
  <c r="AE613" i="2"/>
  <c r="AB620" i="2"/>
  <c r="AC654" i="2"/>
  <c r="AB657" i="2"/>
  <c r="Z669" i="2"/>
  <c r="U670" i="2"/>
  <c r="AG670" i="2"/>
  <c r="AB674" i="2"/>
  <c r="Y685" i="2"/>
  <c r="Y688" i="2"/>
  <c r="AD689" i="2"/>
  <c r="Y690" i="2"/>
  <c r="U691" i="2"/>
  <c r="AH691" i="2"/>
  <c r="AD701" i="2"/>
  <c r="Y702" i="2"/>
  <c r="AG703" i="2"/>
  <c r="AB741" i="2"/>
  <c r="AA756" i="2"/>
  <c r="W757" i="2"/>
  <c r="AI757" i="2"/>
  <c r="AE758" i="2"/>
  <c r="AA770" i="2"/>
  <c r="W812" i="2"/>
  <c r="AI812" i="2"/>
  <c r="W877" i="2"/>
  <c r="AI877" i="2"/>
  <c r="AI1061" i="2"/>
  <c r="AD1062" i="2"/>
  <c r="AE1152" i="2"/>
  <c r="W1160" i="2"/>
  <c r="AI1160" i="2"/>
  <c r="AI292" i="2"/>
  <c r="AE293" i="2"/>
  <c r="Y310" i="2"/>
  <c r="U311" i="2"/>
  <c r="AB312" i="2"/>
  <c r="W313" i="2"/>
  <c r="AI313" i="2"/>
  <c r="U316" i="2"/>
  <c r="AG316" i="2"/>
  <c r="AA317" i="2"/>
  <c r="AD321" i="2"/>
  <c r="X322" i="2"/>
  <c r="AF323" i="2"/>
  <c r="U325" i="2"/>
  <c r="AG325" i="2"/>
  <c r="AA326" i="2"/>
  <c r="AD328" i="2"/>
  <c r="Z329" i="2"/>
  <c r="AK329" i="2" s="1"/>
  <c r="AD333" i="2"/>
  <c r="AI334" i="2"/>
  <c r="AB342" i="2"/>
  <c r="X343" i="2"/>
  <c r="AD347" i="2"/>
  <c r="AB353" i="2"/>
  <c r="W354" i="2"/>
  <c r="AI354" i="2"/>
  <c r="AE355" i="2"/>
  <c r="W357" i="2"/>
  <c r="AD358" i="2"/>
  <c r="U373" i="2"/>
  <c r="V373" i="2"/>
  <c r="V376" i="2"/>
  <c r="AC377" i="2"/>
  <c r="V384" i="2"/>
  <c r="X399" i="2"/>
  <c r="X401" i="2"/>
  <c r="AE407" i="2"/>
  <c r="AA408" i="2"/>
  <c r="Z411" i="2"/>
  <c r="AF414" i="2"/>
  <c r="Z415" i="2"/>
  <c r="AD417" i="2"/>
  <c r="Z435" i="2"/>
  <c r="AC437" i="2"/>
  <c r="X438" i="2"/>
  <c r="AE441" i="2"/>
  <c r="Z442" i="2"/>
  <c r="AF446" i="2"/>
  <c r="AE451" i="2"/>
  <c r="X452" i="2"/>
  <c r="Y454" i="2"/>
  <c r="AA458" i="2"/>
  <c r="AE464" i="2"/>
  <c r="AI466" i="2"/>
  <c r="AE467" i="2"/>
  <c r="X470" i="2"/>
  <c r="Y472" i="2"/>
  <c r="U489" i="2"/>
  <c r="Y491" i="2"/>
  <c r="AE492" i="2"/>
  <c r="AE495" i="2"/>
  <c r="AI502" i="2"/>
  <c r="W505" i="2"/>
  <c r="AI505" i="2"/>
  <c r="U511" i="2"/>
  <c r="AG511" i="2"/>
  <c r="Y513" i="2"/>
  <c r="AB515" i="2"/>
  <c r="X516" i="2"/>
  <c r="AI516" i="2"/>
  <c r="AF530" i="2"/>
  <c r="AA534" i="2"/>
  <c r="AI535" i="2"/>
  <c r="W538" i="2"/>
  <c r="Z554" i="2"/>
  <c r="AB578" i="2"/>
  <c r="W579" i="2"/>
  <c r="AA581" i="2"/>
  <c r="W588" i="2"/>
  <c r="AI588" i="2"/>
  <c r="AE589" i="2"/>
  <c r="W591" i="2"/>
  <c r="AI596" i="2"/>
  <c r="Z598" i="2"/>
  <c r="AF599" i="2"/>
  <c r="AD611" i="2"/>
  <c r="Z612" i="2"/>
  <c r="AK612" i="2" s="1"/>
  <c r="U613" i="2"/>
  <c r="AG613" i="2"/>
  <c r="U619" i="2"/>
  <c r="AG619" i="2"/>
  <c r="AD687" i="2"/>
  <c r="AE701" i="2"/>
  <c r="U723" i="2"/>
  <c r="AG723" i="2"/>
  <c r="Y725" i="2"/>
  <c r="AF726" i="2"/>
  <c r="AE729" i="2"/>
  <c r="AE738" i="2"/>
  <c r="AB756" i="2"/>
  <c r="X757" i="2"/>
  <c r="U860" i="2"/>
  <c r="AG860" i="2"/>
  <c r="AF875" i="2"/>
  <c r="AB876" i="2"/>
  <c r="X877" i="2"/>
  <c r="AA879" i="2"/>
  <c r="W880" i="2"/>
  <c r="AI880" i="2"/>
  <c r="AB1000" i="2"/>
  <c r="X1001" i="2"/>
  <c r="X1061" i="2"/>
  <c r="U330" i="2"/>
  <c r="AG330" i="2"/>
  <c r="W332" i="2"/>
  <c r="AI332" i="2"/>
  <c r="AE337" i="2"/>
  <c r="Y343" i="2"/>
  <c r="AE347" i="2"/>
  <c r="V352" i="2"/>
  <c r="AH352" i="2"/>
  <c r="AC353" i="2"/>
  <c r="V360" i="2"/>
  <c r="AH360" i="2"/>
  <c r="AA364" i="2"/>
  <c r="AD366" i="2"/>
  <c r="AE374" i="2"/>
  <c r="Z375" i="2"/>
  <c r="AI376" i="2"/>
  <c r="AD377" i="2"/>
  <c r="AE387" i="2"/>
  <c r="AH389" i="2"/>
  <c r="AI389" i="2"/>
  <c r="AE393" i="2"/>
  <c r="W395" i="2"/>
  <c r="AI395" i="2"/>
  <c r="AC396" i="2"/>
  <c r="X397" i="2"/>
  <c r="AD398" i="2"/>
  <c r="AE400" i="2"/>
  <c r="AC405" i="2"/>
  <c r="X406" i="2"/>
  <c r="AH421" i="2"/>
  <c r="AD422" i="2"/>
  <c r="AG431" i="2"/>
  <c r="AI436" i="2"/>
  <c r="Y440" i="2"/>
  <c r="AA442" i="2"/>
  <c r="Z450" i="2"/>
  <c r="AK450" i="2" s="1"/>
  <c r="Y452" i="2"/>
  <c r="U453" i="2"/>
  <c r="Z454" i="2"/>
  <c r="AF455" i="2"/>
  <c r="AF469" i="2"/>
  <c r="AB474" i="2"/>
  <c r="U478" i="2"/>
  <c r="AG478" i="2"/>
  <c r="Y480" i="2"/>
  <c r="AB482" i="2"/>
  <c r="X483" i="2"/>
  <c r="AF484" i="2"/>
  <c r="AB485" i="2"/>
  <c r="AF492" i="2"/>
  <c r="AB493" i="2"/>
  <c r="AC501" i="2"/>
  <c r="AD512" i="2"/>
  <c r="U514" i="2"/>
  <c r="AG514" i="2"/>
  <c r="AC515" i="2"/>
  <c r="Y516" i="2"/>
  <c r="U517" i="2"/>
  <c r="Z523" i="2"/>
  <c r="U524" i="2"/>
  <c r="AG524" i="2"/>
  <c r="AC525" i="2"/>
  <c r="X532" i="2"/>
  <c r="AF533" i="2"/>
  <c r="AB534" i="2"/>
  <c r="AA543" i="2"/>
  <c r="AF558" i="2"/>
  <c r="W560" i="2"/>
  <c r="AI560" i="2"/>
  <c r="V571" i="2"/>
  <c r="AH571" i="2"/>
  <c r="X588" i="2"/>
  <c r="AB590" i="2"/>
  <c r="AI591" i="2"/>
  <c r="AE595" i="2"/>
  <c r="AE611" i="2"/>
  <c r="AD626" i="2"/>
  <c r="AD628" i="2"/>
  <c r="AF630" i="2"/>
  <c r="AB631" i="2"/>
  <c r="W644" i="2"/>
  <c r="AF676" i="2"/>
  <c r="AB677" i="2"/>
  <c r="X678" i="2"/>
  <c r="Y680" i="2"/>
  <c r="W686" i="2"/>
  <c r="AI686" i="2"/>
  <c r="AI712" i="2"/>
  <c r="W720" i="2"/>
  <c r="AI720" i="2"/>
  <c r="AC736" i="2"/>
  <c r="Y751" i="2"/>
  <c r="X780" i="2"/>
  <c r="V860" i="2"/>
  <c r="AH860" i="2"/>
  <c r="U934" i="2"/>
  <c r="AG934" i="2"/>
  <c r="AC935" i="2"/>
  <c r="AE991" i="2"/>
  <c r="Z313" i="2"/>
  <c r="W316" i="2"/>
  <c r="AD317" i="2"/>
  <c r="Y320" i="2"/>
  <c r="AF321" i="2"/>
  <c r="Y327" i="2"/>
  <c r="X341" i="2"/>
  <c r="AE342" i="2"/>
  <c r="AF350" i="2"/>
  <c r="AB351" i="2"/>
  <c r="AB359" i="2"/>
  <c r="AF374" i="2"/>
  <c r="AA381" i="2"/>
  <c r="W382" i="2"/>
  <c r="AI382" i="2"/>
  <c r="AC388" i="2"/>
  <c r="U390" i="2"/>
  <c r="Y392" i="2"/>
  <c r="AG393" i="2"/>
  <c r="Y395" i="2"/>
  <c r="Z397" i="2"/>
  <c r="AA403" i="2"/>
  <c r="Y423" i="2"/>
  <c r="AB430" i="2"/>
  <c r="X431" i="2"/>
  <c r="U434" i="2"/>
  <c r="AG434" i="2"/>
  <c r="Y436" i="2"/>
  <c r="AF437" i="2"/>
  <c r="AA438" i="2"/>
  <c r="AF439" i="2"/>
  <c r="AA440" i="2"/>
  <c r="AI446" i="2"/>
  <c r="X459" i="2"/>
  <c r="X461" i="2"/>
  <c r="V464" i="2"/>
  <c r="AH464" i="2"/>
  <c r="V473" i="2"/>
  <c r="AH473" i="2"/>
  <c r="AD474" i="2"/>
  <c r="AA477" i="2"/>
  <c r="AD482" i="2"/>
  <c r="Z486" i="2"/>
  <c r="U487" i="2"/>
  <c r="AG487" i="2"/>
  <c r="AH492" i="2"/>
  <c r="W500" i="2"/>
  <c r="AI500" i="2"/>
  <c r="V506" i="2"/>
  <c r="AH506" i="2"/>
  <c r="Y508" i="2"/>
  <c r="AF509" i="2"/>
  <c r="AB513" i="2"/>
  <c r="W514" i="2"/>
  <c r="Z521" i="2"/>
  <c r="W527" i="2"/>
  <c r="AI527" i="2"/>
  <c r="AE528" i="2"/>
  <c r="X568" i="2"/>
  <c r="AB570" i="2"/>
  <c r="AD584" i="2"/>
  <c r="AH586" i="2"/>
  <c r="AD609" i="2"/>
  <c r="AB615" i="2"/>
  <c r="X625" i="2"/>
  <c r="AA629" i="2"/>
  <c r="AD637" i="2"/>
  <c r="Z638" i="2"/>
  <c r="U639" i="2"/>
  <c r="AG639" i="2"/>
  <c r="AC640" i="2"/>
  <c r="Y641" i="2"/>
  <c r="AC643" i="2"/>
  <c r="AD702" i="2"/>
  <c r="AG704" i="2"/>
  <c r="AE744" i="2"/>
  <c r="W746" i="2"/>
  <c r="AI746" i="2"/>
  <c r="AI755" i="2"/>
  <c r="AA771" i="2"/>
  <c r="W772" i="2"/>
  <c r="AA774" i="2"/>
  <c r="X857" i="2"/>
  <c r="Z883" i="2"/>
  <c r="X916" i="2"/>
  <c r="AB918" i="2"/>
  <c r="X919" i="2"/>
  <c r="W982" i="2"/>
  <c r="AI982" i="2"/>
  <c r="W1008" i="2"/>
  <c r="AI1008" i="2"/>
  <c r="AC1537" i="2"/>
  <c r="AD137" i="2"/>
  <c r="Z138" i="2"/>
  <c r="AK138" i="2" s="1"/>
  <c r="Y140" i="2"/>
  <c r="V143" i="2"/>
  <c r="AH143" i="2"/>
  <c r="Z145" i="2"/>
  <c r="AH146" i="2"/>
  <c r="Y148" i="2"/>
  <c r="AE152" i="2"/>
  <c r="V154" i="2"/>
  <c r="X156" i="2"/>
  <c r="AI156" i="2"/>
  <c r="W173" i="2"/>
  <c r="AC179" i="2"/>
  <c r="AA182" i="2"/>
  <c r="AI183" i="2"/>
  <c r="AB186" i="2"/>
  <c r="AK186" i="2" s="1"/>
  <c r="X187" i="2"/>
  <c r="V190" i="2"/>
  <c r="AH190" i="2"/>
  <c r="AD191" i="2"/>
  <c r="U197" i="2"/>
  <c r="AC201" i="2"/>
  <c r="X202" i="2"/>
  <c r="AF203" i="2"/>
  <c r="Y204" i="2"/>
  <c r="U212" i="2"/>
  <c r="AG212" i="2"/>
  <c r="V214" i="2"/>
  <c r="AH214" i="2"/>
  <c r="U216" i="2"/>
  <c r="Y217" i="2"/>
  <c r="V218" i="2"/>
  <c r="AD219" i="2"/>
  <c r="AC221" i="2"/>
  <c r="Y224" i="2"/>
  <c r="AF225" i="2"/>
  <c r="AB226" i="2"/>
  <c r="AC228" i="2"/>
  <c r="AF230" i="2"/>
  <c r="Y231" i="2"/>
  <c r="AH234" i="2"/>
  <c r="AA238" i="2"/>
  <c r="W241" i="2"/>
  <c r="AI241" i="2"/>
  <c r="Y243" i="2"/>
  <c r="AE244" i="2"/>
  <c r="AF248" i="2"/>
  <c r="AI254" i="2"/>
  <c r="AF268" i="2"/>
  <c r="AA269" i="2"/>
  <c r="V270" i="2"/>
  <c r="AE273" i="2"/>
  <c r="X277" i="2"/>
  <c r="AD278" i="2"/>
  <c r="U282" i="2"/>
  <c r="AG282" i="2"/>
  <c r="AA288" i="2"/>
  <c r="AB292" i="2"/>
  <c r="Y295" i="2"/>
  <c r="X304" i="2"/>
  <c r="W307" i="2"/>
  <c r="AH307" i="2"/>
  <c r="Z309" i="2"/>
  <c r="Z311" i="2"/>
  <c r="AE315" i="2"/>
  <c r="AF317" i="2"/>
  <c r="U319" i="2"/>
  <c r="Z320" i="2"/>
  <c r="AI321" i="2"/>
  <c r="AA332" i="2"/>
  <c r="AA346" i="2"/>
  <c r="AA349" i="2"/>
  <c r="AB354" i="2"/>
  <c r="W358" i="2"/>
  <c r="AI358" i="2"/>
  <c r="AD359" i="2"/>
  <c r="V366" i="2"/>
  <c r="AH366" i="2"/>
  <c r="AA373" i="2"/>
  <c r="U385" i="2"/>
  <c r="AG385" i="2"/>
  <c r="AC386" i="2"/>
  <c r="W390" i="2"/>
  <c r="AB406" i="2"/>
  <c r="AF408" i="2"/>
  <c r="X412" i="2"/>
  <c r="Y414" i="2"/>
  <c r="AE415" i="2"/>
  <c r="AA416" i="2"/>
  <c r="W417" i="2"/>
  <c r="AC418" i="2"/>
  <c r="Y419" i="2"/>
  <c r="AD420" i="2"/>
  <c r="V429" i="2"/>
  <c r="AH429" i="2"/>
  <c r="X451" i="2"/>
  <c r="AI451" i="2"/>
  <c r="Y453" i="2"/>
  <c r="AD454" i="2"/>
  <c r="AE456" i="2"/>
  <c r="Z459" i="2"/>
  <c r="AF460" i="2"/>
  <c r="AB466" i="2"/>
  <c r="X471" i="2"/>
  <c r="Y473" i="2"/>
  <c r="AF496" i="2"/>
  <c r="AF504" i="2"/>
  <c r="AB505" i="2"/>
  <c r="X506" i="2"/>
  <c r="AF518" i="2"/>
  <c r="AF551" i="2"/>
  <c r="Z560" i="2"/>
  <c r="AI561" i="2"/>
  <c r="Y566" i="2"/>
  <c r="Z568" i="2"/>
  <c r="AH569" i="2"/>
  <c r="Y577" i="2"/>
  <c r="U578" i="2"/>
  <c r="AG578" i="2"/>
  <c r="X589" i="2"/>
  <c r="AB591" i="2"/>
  <c r="AK591" i="2" s="1"/>
  <c r="AC596" i="2"/>
  <c r="Y599" i="2"/>
  <c r="U600" i="2"/>
  <c r="V614" i="2"/>
  <c r="AH614" i="2"/>
  <c r="Z619" i="2"/>
  <c r="V623" i="2"/>
  <c r="AH623" i="2"/>
  <c r="AD624" i="2"/>
  <c r="U663" i="2"/>
  <c r="AG663" i="2"/>
  <c r="AC664" i="2"/>
  <c r="AB700" i="2"/>
  <c r="Y718" i="2"/>
  <c r="W721" i="2"/>
  <c r="Y726" i="2"/>
  <c r="V741" i="2"/>
  <c r="AG741" i="2"/>
  <c r="AH741" i="2"/>
  <c r="Y813" i="2"/>
  <c r="U820" i="2"/>
  <c r="AG820" i="2"/>
  <c r="U841" i="2"/>
  <c r="Y843" i="2"/>
  <c r="Y846" i="2"/>
  <c r="AB848" i="2"/>
  <c r="X849" i="2"/>
  <c r="V858" i="2"/>
  <c r="AH858" i="2"/>
  <c r="AC877" i="2"/>
  <c r="Y878" i="2"/>
  <c r="AF879" i="2"/>
  <c r="AB880" i="2"/>
  <c r="X881" i="2"/>
  <c r="AI300" i="2"/>
  <c r="AC301" i="2"/>
  <c r="U305" i="2"/>
  <c r="AG305" i="2"/>
  <c r="AB306" i="2"/>
  <c r="AK306" i="2" s="1"/>
  <c r="X307" i="2"/>
  <c r="V312" i="2"/>
  <c r="AH312" i="2"/>
  <c r="AF315" i="2"/>
  <c r="AA316" i="2"/>
  <c r="U317" i="2"/>
  <c r="AB318" i="2"/>
  <c r="V319" i="2"/>
  <c r="Z323" i="2"/>
  <c r="U324" i="2"/>
  <c r="AF324" i="2"/>
  <c r="AA325" i="2"/>
  <c r="U326" i="2"/>
  <c r="AB327" i="2"/>
  <c r="X333" i="2"/>
  <c r="AB336" i="2"/>
  <c r="X339" i="2"/>
  <c r="Y344" i="2"/>
  <c r="AE345" i="2"/>
  <c r="X347" i="2"/>
  <c r="AB349" i="2"/>
  <c r="V353" i="2"/>
  <c r="AH353" i="2"/>
  <c r="X358" i="2"/>
  <c r="AB373" i="2"/>
  <c r="W374" i="2"/>
  <c r="AI374" i="2"/>
  <c r="W377" i="2"/>
  <c r="AA392" i="2"/>
  <c r="AI393" i="2"/>
  <c r="AD399" i="2"/>
  <c r="Y400" i="2"/>
  <c r="Z404" i="2"/>
  <c r="V405" i="2"/>
  <c r="AH405" i="2"/>
  <c r="Y410" i="2"/>
  <c r="Z414" i="2"/>
  <c r="Z419" i="2"/>
  <c r="AH427" i="2"/>
  <c r="AI429" i="2"/>
  <c r="AE430" i="2"/>
  <c r="V444" i="2"/>
  <c r="AH444" i="2"/>
  <c r="AD448" i="2"/>
  <c r="AE450" i="2"/>
  <c r="U458" i="2"/>
  <c r="AG460" i="2"/>
  <c r="U465" i="2"/>
  <c r="AG465" i="2"/>
  <c r="AC466" i="2"/>
  <c r="AE468" i="2"/>
  <c r="Y471" i="2"/>
  <c r="AE472" i="2"/>
  <c r="AC483" i="2"/>
  <c r="U485" i="2"/>
  <c r="AG485" i="2"/>
  <c r="AC494" i="2"/>
  <c r="AC502" i="2"/>
  <c r="U504" i="2"/>
  <c r="AG504" i="2"/>
  <c r="U534" i="2"/>
  <c r="AG534" i="2"/>
  <c r="U537" i="2"/>
  <c r="AG537" i="2"/>
  <c r="AB538" i="2"/>
  <c r="AA550" i="2"/>
  <c r="AD557" i="2"/>
  <c r="Z566" i="2"/>
  <c r="Y583" i="2"/>
  <c r="Y589" i="2"/>
  <c r="AC591" i="2"/>
  <c r="X595" i="2"/>
  <c r="AD596" i="2"/>
  <c r="Z597" i="2"/>
  <c r="AF598" i="2"/>
  <c r="Z599" i="2"/>
  <c r="V600" i="2"/>
  <c r="AH600" i="2"/>
  <c r="AC610" i="2"/>
  <c r="X611" i="2"/>
  <c r="AA613" i="2"/>
  <c r="AA622" i="2"/>
  <c r="AB644" i="2"/>
  <c r="AF646" i="2"/>
  <c r="AF649" i="2"/>
  <c r="W657" i="2"/>
  <c r="AI657" i="2"/>
  <c r="AH663" i="2"/>
  <c r="AB686" i="2"/>
  <c r="AC697" i="2"/>
  <c r="AE714" i="2"/>
  <c r="AA723" i="2"/>
  <c r="V724" i="2"/>
  <c r="V736" i="2"/>
  <c r="AH736" i="2"/>
  <c r="U739" i="2"/>
  <c r="Y781" i="2"/>
  <c r="AD812" i="2"/>
  <c r="AD842" i="2"/>
  <c r="Y849" i="2"/>
  <c r="Y852" i="2"/>
  <c r="V935" i="2"/>
  <c r="AH935" i="2"/>
  <c r="AD1049" i="2"/>
  <c r="AC1347" i="2"/>
  <c r="AE344" i="2"/>
  <c r="W348" i="2"/>
  <c r="AE349" i="2"/>
  <c r="AI350" i="2"/>
  <c r="AD351" i="2"/>
  <c r="AF353" i="2"/>
  <c r="U357" i="2"/>
  <c r="AE359" i="2"/>
  <c r="W363" i="2"/>
  <c r="AI363" i="2"/>
  <c r="Y367" i="2"/>
  <c r="AB369" i="2"/>
  <c r="AI372" i="2"/>
  <c r="AF379" i="2"/>
  <c r="AC380" i="2"/>
  <c r="AA383" i="2"/>
  <c r="AF390" i="2"/>
  <c r="Y393" i="2"/>
  <c r="U396" i="2"/>
  <c r="AG396" i="2"/>
  <c r="U398" i="2"/>
  <c r="AA401" i="2"/>
  <c r="AD404" i="2"/>
  <c r="Z405" i="2"/>
  <c r="AB407" i="2"/>
  <c r="X408" i="2"/>
  <c r="AE409" i="2"/>
  <c r="AA410" i="2"/>
  <c r="V411" i="2"/>
  <c r="AH411" i="2"/>
  <c r="V413" i="2"/>
  <c r="AD416" i="2"/>
  <c r="Y421" i="2"/>
  <c r="AD424" i="2"/>
  <c r="U426" i="2"/>
  <c r="AG426" i="2"/>
  <c r="AA427" i="2"/>
  <c r="AE428" i="2"/>
  <c r="Z431" i="2"/>
  <c r="V432" i="2"/>
  <c r="AG432" i="2"/>
  <c r="W434" i="2"/>
  <c r="AH434" i="2"/>
  <c r="AI441" i="2"/>
  <c r="AI443" i="2"/>
  <c r="Z447" i="2"/>
  <c r="AG448" i="2"/>
  <c r="V454" i="2"/>
  <c r="AH454" i="2"/>
  <c r="AC457" i="2"/>
  <c r="AI458" i="2"/>
  <c r="W462" i="2"/>
  <c r="AI462" i="2"/>
  <c r="AD467" i="2"/>
  <c r="W468" i="2"/>
  <c r="AB469" i="2"/>
  <c r="AK469" i="2" s="1"/>
  <c r="AG472" i="2"/>
  <c r="V476" i="2"/>
  <c r="AH476" i="2"/>
  <c r="AC477" i="2"/>
  <c r="AC480" i="2"/>
  <c r="Y483" i="2"/>
  <c r="AD484" i="2"/>
  <c r="Y485" i="2"/>
  <c r="AD486" i="2"/>
  <c r="X487" i="2"/>
  <c r="V490" i="2"/>
  <c r="AH490" i="2"/>
  <c r="AC491" i="2"/>
  <c r="W492" i="2"/>
  <c r="AI492" i="2"/>
  <c r="AB496" i="2"/>
  <c r="AF502" i="2"/>
  <c r="AA503" i="2"/>
  <c r="W504" i="2"/>
  <c r="AI504" i="2"/>
  <c r="AE505" i="2"/>
  <c r="Z506" i="2"/>
  <c r="U507" i="2"/>
  <c r="AC508" i="2"/>
  <c r="X509" i="2"/>
  <c r="AI509" i="2"/>
  <c r="U512" i="2"/>
  <c r="AG512" i="2"/>
  <c r="AC513" i="2"/>
  <c r="X514" i="2"/>
  <c r="AA527" i="2"/>
  <c r="W528" i="2"/>
  <c r="AI528" i="2"/>
  <c r="Z532" i="2"/>
  <c r="AF536" i="2"/>
  <c r="Y537" i="2"/>
  <c r="AD541" i="2"/>
  <c r="X542" i="2"/>
  <c r="AE543" i="2"/>
  <c r="AD545" i="2"/>
  <c r="Y546" i="2"/>
  <c r="AG547" i="2"/>
  <c r="Z557" i="2"/>
  <c r="U558" i="2"/>
  <c r="AG558" i="2"/>
  <c r="X560" i="2"/>
  <c r="Z562" i="2"/>
  <c r="Z564" i="2"/>
  <c r="AE565" i="2"/>
  <c r="U567" i="2"/>
  <c r="AG567" i="2"/>
  <c r="V572" i="2"/>
  <c r="AH572" i="2"/>
  <c r="AF575" i="2"/>
  <c r="Z576" i="2"/>
  <c r="V585" i="2"/>
  <c r="AH585" i="2"/>
  <c r="Y587" i="2"/>
  <c r="AI593" i="2"/>
  <c r="AE594" i="2"/>
  <c r="AA595" i="2"/>
  <c r="AF596" i="2"/>
  <c r="AB597" i="2"/>
  <c r="AH598" i="2"/>
  <c r="Z602" i="2"/>
  <c r="AA604" i="2"/>
  <c r="AF606" i="2"/>
  <c r="AA607" i="2"/>
  <c r="W608" i="2"/>
  <c r="AI608" i="2"/>
  <c r="AF616" i="2"/>
  <c r="AB617" i="2"/>
  <c r="X618" i="2"/>
  <c r="AI623" i="2"/>
  <c r="AE624" i="2"/>
  <c r="Y632" i="2"/>
  <c r="Z634" i="2"/>
  <c r="AF644" i="2"/>
  <c r="X649" i="2"/>
  <c r="AC659" i="2"/>
  <c r="X660" i="2"/>
  <c r="AB699" i="2"/>
  <c r="X700" i="2"/>
  <c r="X711" i="2"/>
  <c r="AA713" i="2"/>
  <c r="AF744" i="2"/>
  <c r="AB745" i="2"/>
  <c r="W755" i="2"/>
  <c r="X785" i="2"/>
  <c r="AB787" i="2"/>
  <c r="W788" i="2"/>
  <c r="AI791" i="2"/>
  <c r="W794" i="2"/>
  <c r="AI794" i="2"/>
  <c r="AD795" i="2"/>
  <c r="AE795" i="2"/>
  <c r="AA834" i="2"/>
  <c r="AE839" i="2"/>
  <c r="W841" i="2"/>
  <c r="Y970" i="2"/>
  <c r="U971" i="2"/>
  <c r="AG971" i="2"/>
  <c r="Y973" i="2"/>
  <c r="AC975" i="2"/>
  <c r="AC978" i="2"/>
  <c r="Y979" i="2"/>
  <c r="U986" i="2"/>
  <c r="X1166" i="2"/>
  <c r="AA1168" i="2"/>
  <c r="AD1239" i="2"/>
  <c r="V1283" i="2"/>
  <c r="AH1283" i="2"/>
  <c r="V1310" i="2"/>
  <c r="AH1310" i="2"/>
  <c r="AD331" i="2"/>
  <c r="AH336" i="2"/>
  <c r="Y339" i="2"/>
  <c r="Y345" i="2"/>
  <c r="X348" i="2"/>
  <c r="Z356" i="2"/>
  <c r="Z358" i="2"/>
  <c r="U359" i="2"/>
  <c r="Z360" i="2"/>
  <c r="X363" i="2"/>
  <c r="W370" i="2"/>
  <c r="Y372" i="2"/>
  <c r="AE373" i="2"/>
  <c r="AF375" i="2"/>
  <c r="AF377" i="2"/>
  <c r="Z378" i="2"/>
  <c r="AG379" i="2"/>
  <c r="AD380" i="2"/>
  <c r="AB383" i="2"/>
  <c r="AE386" i="2"/>
  <c r="AF392" i="2"/>
  <c r="AF394" i="2"/>
  <c r="AB395" i="2"/>
  <c r="V396" i="2"/>
  <c r="AH396" i="2"/>
  <c r="V398" i="2"/>
  <c r="AB399" i="2"/>
  <c r="AC401" i="2"/>
  <c r="AF402" i="2"/>
  <c r="AE404" i="2"/>
  <c r="AC412" i="2"/>
  <c r="AI413" i="2"/>
  <c r="AA417" i="2"/>
  <c r="V418" i="2"/>
  <c r="AH418" i="2"/>
  <c r="AG420" i="2"/>
  <c r="AA425" i="2"/>
  <c r="AC427" i="2"/>
  <c r="Z429" i="2"/>
  <c r="AI432" i="2"/>
  <c r="X434" i="2"/>
  <c r="V437" i="2"/>
  <c r="AH437" i="2"/>
  <c r="V439" i="2"/>
  <c r="AH439" i="2"/>
  <c r="AC442" i="2"/>
  <c r="AI448" i="2"/>
  <c r="AD453" i="2"/>
  <c r="AC455" i="2"/>
  <c r="AD457" i="2"/>
  <c r="X462" i="2"/>
  <c r="AE463" i="2"/>
  <c r="Z466" i="2"/>
  <c r="AC469" i="2"/>
  <c r="AD477" i="2"/>
  <c r="V479" i="2"/>
  <c r="AD480" i="2"/>
  <c r="AE482" i="2"/>
  <c r="Z483" i="2"/>
  <c r="AE484" i="2"/>
  <c r="Z485" i="2"/>
  <c r="Y487" i="2"/>
  <c r="W490" i="2"/>
  <c r="X492" i="2"/>
  <c r="AE493" i="2"/>
  <c r="AA498" i="2"/>
  <c r="V507" i="2"/>
  <c r="Y509" i="2"/>
  <c r="AD513" i="2"/>
  <c r="AD518" i="2"/>
  <c r="X519" i="2"/>
  <c r="X521" i="2"/>
  <c r="X523" i="2"/>
  <c r="AD524" i="2"/>
  <c r="AF526" i="2"/>
  <c r="AE529" i="2"/>
  <c r="AG531" i="2"/>
  <c r="U536" i="2"/>
  <c r="AG536" i="2"/>
  <c r="W540" i="2"/>
  <c r="AI540" i="2"/>
  <c r="AE541" i="2"/>
  <c r="Z544" i="2"/>
  <c r="AE545" i="2"/>
  <c r="Z546" i="2"/>
  <c r="AH547" i="2"/>
  <c r="AF550" i="2"/>
  <c r="Y553" i="2"/>
  <c r="AC559" i="2"/>
  <c r="Y560" i="2"/>
  <c r="AF561" i="2"/>
  <c r="AA564" i="2"/>
  <c r="U565" i="2"/>
  <c r="AB566" i="2"/>
  <c r="V567" i="2"/>
  <c r="AA571" i="2"/>
  <c r="U583" i="2"/>
  <c r="W585" i="2"/>
  <c r="AI585" i="2"/>
  <c r="AC592" i="2"/>
  <c r="AE601" i="2"/>
  <c r="AA602" i="2"/>
  <c r="Z615" i="2"/>
  <c r="AE619" i="2"/>
  <c r="U621" i="2"/>
  <c r="AG621" i="2"/>
  <c r="AC622" i="2"/>
  <c r="U631" i="2"/>
  <c r="U647" i="2"/>
  <c r="AG647" i="2"/>
  <c r="AC648" i="2"/>
  <c r="AD659" i="2"/>
  <c r="W669" i="2"/>
  <c r="Y671" i="2"/>
  <c r="Y676" i="2"/>
  <c r="AH689" i="2"/>
  <c r="AI689" i="2"/>
  <c r="Z694" i="2"/>
  <c r="AD710" i="2"/>
  <c r="Y711" i="2"/>
  <c r="AE742" i="2"/>
  <c r="AG789" i="2"/>
  <c r="AF792" i="2"/>
  <c r="AD801" i="2"/>
  <c r="AB807" i="2"/>
  <c r="AI808" i="2"/>
  <c r="AB825" i="2"/>
  <c r="AK825" i="2" s="1"/>
  <c r="AI826" i="2"/>
  <c r="W901" i="2"/>
  <c r="AI901" i="2"/>
  <c r="X933" i="2"/>
  <c r="AA935" i="2"/>
  <c r="AE937" i="2"/>
  <c r="AE940" i="2"/>
  <c r="AE945" i="2"/>
  <c r="AD969" i="2"/>
  <c r="Y1035" i="2"/>
  <c r="AA1064" i="2"/>
  <c r="X1068" i="2"/>
  <c r="AB1070" i="2"/>
  <c r="AF1072" i="2"/>
  <c r="AF328" i="2"/>
  <c r="W330" i="2"/>
  <c r="AI330" i="2"/>
  <c r="V342" i="2"/>
  <c r="AH342" i="2"/>
  <c r="AA343" i="2"/>
  <c r="Z345" i="2"/>
  <c r="AC347" i="2"/>
  <c r="U351" i="2"/>
  <c r="AG351" i="2"/>
  <c r="AB352" i="2"/>
  <c r="Z354" i="2"/>
  <c r="AA356" i="2"/>
  <c r="AI357" i="2"/>
  <c r="AB360" i="2"/>
  <c r="Y363" i="2"/>
  <c r="Z365" i="2"/>
  <c r="AA367" i="2"/>
  <c r="V368" i="2"/>
  <c r="AH368" i="2"/>
  <c r="AD369" i="2"/>
  <c r="Z372" i="2"/>
  <c r="AF373" i="2"/>
  <c r="U377" i="2"/>
  <c r="AG377" i="2"/>
  <c r="AA378" i="2"/>
  <c r="AC383" i="2"/>
  <c r="U384" i="2"/>
  <c r="AG384" i="2"/>
  <c r="Y385" i="2"/>
  <c r="Y387" i="2"/>
  <c r="U388" i="2"/>
  <c r="AG388" i="2"/>
  <c r="AA389" i="2"/>
  <c r="AH390" i="2"/>
  <c r="U392" i="2"/>
  <c r="X400" i="2"/>
  <c r="AD401" i="2"/>
  <c r="AF404" i="2"/>
  <c r="U409" i="2"/>
  <c r="W411" i="2"/>
  <c r="AD412" i="2"/>
  <c r="X415" i="2"/>
  <c r="AI418" i="2"/>
  <c r="W426" i="2"/>
  <c r="AI426" i="2"/>
  <c r="U428" i="2"/>
  <c r="AG428" i="2"/>
  <c r="AB431" i="2"/>
  <c r="AF435" i="2"/>
  <c r="W439" i="2"/>
  <c r="AI439" i="2"/>
  <c r="Y443" i="2"/>
  <c r="AA445" i="2"/>
  <c r="U446" i="2"/>
  <c r="AH446" i="2"/>
  <c r="AB447" i="2"/>
  <c r="AK447" i="2" s="1"/>
  <c r="X448" i="2"/>
  <c r="W452" i="2"/>
  <c r="AI452" i="2"/>
  <c r="Y456" i="2"/>
  <c r="X460" i="2"/>
  <c r="AC461" i="2"/>
  <c r="AF465" i="2"/>
  <c r="AA466" i="2"/>
  <c r="Y468" i="2"/>
  <c r="V474" i="2"/>
  <c r="AH474" i="2"/>
  <c r="AA478" i="2"/>
  <c r="W479" i="2"/>
  <c r="AI479" i="2"/>
  <c r="AE480" i="2"/>
  <c r="AF482" i="2"/>
  <c r="AF486" i="2"/>
  <c r="Z487" i="2"/>
  <c r="AB489" i="2"/>
  <c r="X490" i="2"/>
  <c r="AE491" i="2"/>
  <c r="V502" i="2"/>
  <c r="AH502" i="2"/>
  <c r="W507" i="2"/>
  <c r="Z509" i="2"/>
  <c r="Z511" i="2"/>
  <c r="AA511" i="2"/>
  <c r="Y521" i="2"/>
  <c r="Y523" i="2"/>
  <c r="Y528" i="2"/>
  <c r="AA535" i="2"/>
  <c r="AB539" i="2"/>
  <c r="X540" i="2"/>
  <c r="AF541" i="2"/>
  <c r="Z542" i="2"/>
  <c r="U543" i="2"/>
  <c r="AG543" i="2"/>
  <c r="U563" i="2"/>
  <c r="AG563" i="2"/>
  <c r="V565" i="2"/>
  <c r="AH565" i="2"/>
  <c r="W580" i="2"/>
  <c r="AI580" i="2"/>
  <c r="U588" i="2"/>
  <c r="AD589" i="2"/>
  <c r="U591" i="2"/>
  <c r="V591" i="2"/>
  <c r="AH591" i="2"/>
  <c r="W611" i="2"/>
  <c r="AI611" i="2"/>
  <c r="AE612" i="2"/>
  <c r="Z613" i="2"/>
  <c r="AF614" i="2"/>
  <c r="Z618" i="2"/>
  <c r="AF619" i="2"/>
  <c r="AE629" i="2"/>
  <c r="Z630" i="2"/>
  <c r="AH631" i="2"/>
  <c r="V641" i="2"/>
  <c r="AE642" i="2"/>
  <c r="V644" i="2"/>
  <c r="AH644" i="2"/>
  <c r="Z646" i="2"/>
  <c r="AA657" i="2"/>
  <c r="W658" i="2"/>
  <c r="AI658" i="2"/>
  <c r="Z674" i="2"/>
  <c r="AE675" i="2"/>
  <c r="Z676" i="2"/>
  <c r="V677" i="2"/>
  <c r="Y679" i="2"/>
  <c r="Y681" i="2"/>
  <c r="X684" i="2"/>
  <c r="Y684" i="2"/>
  <c r="V687" i="2"/>
  <c r="AH687" i="2"/>
  <c r="X689" i="2"/>
  <c r="AH692" i="2"/>
  <c r="W709" i="2"/>
  <c r="AI709" i="2"/>
  <c r="X725" i="2"/>
  <c r="Z727" i="2"/>
  <c r="V737" i="2"/>
  <c r="Y739" i="2"/>
  <c r="AD740" i="2"/>
  <c r="AB743" i="2"/>
  <c r="V744" i="2"/>
  <c r="AH744" i="2"/>
  <c r="U775" i="2"/>
  <c r="AG775" i="2"/>
  <c r="AC776" i="2"/>
  <c r="W780" i="2"/>
  <c r="AI780" i="2"/>
  <c r="AC825" i="2"/>
  <c r="AC840" i="2"/>
  <c r="Z858" i="2"/>
  <c r="X872" i="2"/>
  <c r="U884" i="2"/>
  <c r="AG884" i="2"/>
  <c r="U931" i="2"/>
  <c r="AG931" i="2"/>
  <c r="AF937" i="2"/>
  <c r="X939" i="2"/>
  <c r="AD943" i="2"/>
  <c r="W956" i="2"/>
  <c r="AI956" i="2"/>
  <c r="AC993" i="2"/>
  <c r="AE995" i="2"/>
  <c r="AH1030" i="2"/>
  <c r="V1033" i="2"/>
  <c r="AD1034" i="2"/>
  <c r="X328" i="2"/>
  <c r="Z330" i="2"/>
  <c r="W333" i="2"/>
  <c r="AI333" i="2"/>
  <c r="AA334" i="2"/>
  <c r="Z336" i="2"/>
  <c r="Z338" i="2"/>
  <c r="X344" i="2"/>
  <c r="X346" i="2"/>
  <c r="AB348" i="2"/>
  <c r="Y353" i="2"/>
  <c r="AG362" i="2"/>
  <c r="AI364" i="2"/>
  <c r="AI366" i="2"/>
  <c r="Y368" i="2"/>
  <c r="U369" i="2"/>
  <c r="AA370" i="2"/>
  <c r="AC372" i="2"/>
  <c r="X375" i="2"/>
  <c r="AE376" i="2"/>
  <c r="V380" i="2"/>
  <c r="AH380" i="2"/>
  <c r="X382" i="2"/>
  <c r="X392" i="2"/>
  <c r="X394" i="2"/>
  <c r="AE395" i="2"/>
  <c r="U401" i="2"/>
  <c r="U407" i="2"/>
  <c r="AG407" i="2"/>
  <c r="AC408" i="2"/>
  <c r="AA411" i="2"/>
  <c r="U412" i="2"/>
  <c r="AG412" i="2"/>
  <c r="U414" i="2"/>
  <c r="AG414" i="2"/>
  <c r="W416" i="2"/>
  <c r="AI416" i="2"/>
  <c r="AE417" i="2"/>
  <c r="U419" i="2"/>
  <c r="AG419" i="2"/>
  <c r="Y420" i="2"/>
  <c r="AD421" i="2"/>
  <c r="W424" i="2"/>
  <c r="AI424" i="2"/>
  <c r="AD429" i="2"/>
  <c r="Z432" i="2"/>
  <c r="U433" i="2"/>
  <c r="AB434" i="2"/>
  <c r="AE436" i="2"/>
  <c r="U438" i="2"/>
  <c r="V442" i="2"/>
  <c r="AH442" i="2"/>
  <c r="AE447" i="2"/>
  <c r="AA448" i="2"/>
  <c r="V449" i="2"/>
  <c r="AG451" i="2"/>
  <c r="Z452" i="2"/>
  <c r="V453" i="2"/>
  <c r="AH453" i="2"/>
  <c r="U459" i="2"/>
  <c r="AG459" i="2"/>
  <c r="AA460" i="2"/>
  <c r="AB462" i="2"/>
  <c r="W463" i="2"/>
  <c r="AH465" i="2"/>
  <c r="U469" i="2"/>
  <c r="AG469" i="2"/>
  <c r="Z470" i="2"/>
  <c r="Z472" i="2"/>
  <c r="AE473" i="2"/>
  <c r="AG475" i="2"/>
  <c r="AA476" i="2"/>
  <c r="AD478" i="2"/>
  <c r="AC481" i="2"/>
  <c r="Y495" i="2"/>
  <c r="U496" i="2"/>
  <c r="X500" i="2"/>
  <c r="AB504" i="2"/>
  <c r="X505" i="2"/>
  <c r="AC509" i="2"/>
  <c r="AD525" i="2"/>
  <c r="X526" i="2"/>
  <c r="Y531" i="2"/>
  <c r="AA533" i="2"/>
  <c r="V548" i="2"/>
  <c r="AH548" i="2"/>
  <c r="AE557" i="2"/>
  <c r="U559" i="2"/>
  <c r="AG559" i="2"/>
  <c r="AC560" i="2"/>
  <c r="AF566" i="2"/>
  <c r="X570" i="2"/>
  <c r="AA572" i="2"/>
  <c r="AD574" i="2"/>
  <c r="AH578" i="2"/>
  <c r="AD579" i="2"/>
  <c r="AA585" i="2"/>
  <c r="V586" i="2"/>
  <c r="X594" i="2"/>
  <c r="Y596" i="2"/>
  <c r="AA598" i="2"/>
  <c r="W601" i="2"/>
  <c r="AI601" i="2"/>
  <c r="X609" i="2"/>
  <c r="AE610" i="2"/>
  <c r="AH612" i="2"/>
  <c r="X624" i="2"/>
  <c r="X633" i="2"/>
  <c r="W636" i="2"/>
  <c r="AI636" i="2"/>
  <c r="AE637" i="2"/>
  <c r="AA638" i="2"/>
  <c r="AH639" i="2"/>
  <c r="AD640" i="2"/>
  <c r="AF662" i="2"/>
  <c r="X664" i="2"/>
  <c r="AF665" i="2"/>
  <c r="AD694" i="2"/>
  <c r="U699" i="2"/>
  <c r="AG699" i="2"/>
  <c r="Y701" i="2"/>
  <c r="Z709" i="2"/>
  <c r="V710" i="2"/>
  <c r="AH710" i="2"/>
  <c r="AC733" i="2"/>
  <c r="Y734" i="2"/>
  <c r="AH735" i="2"/>
  <c r="Z737" i="2"/>
  <c r="AF738" i="2"/>
  <c r="Y747" i="2"/>
  <c r="X753" i="2"/>
  <c r="AI753" i="2"/>
  <c r="Z769" i="2"/>
  <c r="U770" i="2"/>
  <c r="AG770" i="2"/>
  <c r="AC771" i="2"/>
  <c r="Y772" i="2"/>
  <c r="AF773" i="2"/>
  <c r="AB774" i="2"/>
  <c r="U784" i="2"/>
  <c r="AG784" i="2"/>
  <c r="Y786" i="2"/>
  <c r="U787" i="2"/>
  <c r="U790" i="2"/>
  <c r="AG790" i="2"/>
  <c r="X815" i="2"/>
  <c r="X842" i="2"/>
  <c r="AB844" i="2"/>
  <c r="AA853" i="2"/>
  <c r="W854" i="2"/>
  <c r="AH854" i="2"/>
  <c r="AI854" i="2"/>
  <c r="AE865" i="2"/>
  <c r="V876" i="2"/>
  <c r="U879" i="2"/>
  <c r="AG879" i="2"/>
  <c r="AC880" i="2"/>
  <c r="Y881" i="2"/>
  <c r="AA895" i="2"/>
  <c r="X896" i="2"/>
  <c r="AB898" i="2"/>
  <c r="V960" i="2"/>
  <c r="AH960" i="2"/>
  <c r="AD961" i="2"/>
  <c r="V963" i="2"/>
  <c r="V966" i="2"/>
  <c r="AH966" i="2"/>
  <c r="AA338" i="2"/>
  <c r="AE339" i="2"/>
  <c r="AG341" i="2"/>
  <c r="AF343" i="2"/>
  <c r="AG347" i="2"/>
  <c r="Y349" i="2"/>
  <c r="Y351" i="2"/>
  <c r="Z353" i="2"/>
  <c r="AC354" i="2"/>
  <c r="AA357" i="2"/>
  <c r="Z359" i="2"/>
  <c r="AB363" i="2"/>
  <c r="AE367" i="2"/>
  <c r="Z368" i="2"/>
  <c r="X371" i="2"/>
  <c r="AD372" i="2"/>
  <c r="X373" i="2"/>
  <c r="AG383" i="2"/>
  <c r="Y384" i="2"/>
  <c r="AC385" i="2"/>
  <c r="W386" i="2"/>
  <c r="AI386" i="2"/>
  <c r="Z390" i="2"/>
  <c r="AE391" i="2"/>
  <c r="U395" i="2"/>
  <c r="AG395" i="2"/>
  <c r="Z396" i="2"/>
  <c r="AA398" i="2"/>
  <c r="AB400" i="2"/>
  <c r="V401" i="2"/>
  <c r="AH401" i="2"/>
  <c r="X404" i="2"/>
  <c r="V407" i="2"/>
  <c r="AH407" i="2"/>
  <c r="AB415" i="2"/>
  <c r="X424" i="2"/>
  <c r="AF425" i="2"/>
  <c r="X428" i="2"/>
  <c r="Y428" i="2"/>
  <c r="AE429" i="2"/>
  <c r="Z430" i="2"/>
  <c r="AA432" i="2"/>
  <c r="AC434" i="2"/>
  <c r="AF436" i="2"/>
  <c r="AA437" i="2"/>
  <c r="V438" i="2"/>
  <c r="AH438" i="2"/>
  <c r="AA439" i="2"/>
  <c r="U440" i="2"/>
  <c r="W442" i="2"/>
  <c r="AC443" i="2"/>
  <c r="Y444" i="2"/>
  <c r="AD445" i="2"/>
  <c r="Z446" i="2"/>
  <c r="W449" i="2"/>
  <c r="V455" i="2"/>
  <c r="AC456" i="2"/>
  <c r="X463" i="2"/>
  <c r="W467" i="2"/>
  <c r="AA470" i="2"/>
  <c r="AA472" i="2"/>
  <c r="AF473" i="2"/>
  <c r="AH475" i="2"/>
  <c r="AA479" i="2"/>
  <c r="X482" i="2"/>
  <c r="X493" i="2"/>
  <c r="Z495" i="2"/>
  <c r="V496" i="2"/>
  <c r="AH496" i="2"/>
  <c r="U498" i="2"/>
  <c r="AG498" i="2"/>
  <c r="Y500" i="2"/>
  <c r="AF501" i="2"/>
  <c r="U503" i="2"/>
  <c r="AG503" i="2"/>
  <c r="AC504" i="2"/>
  <c r="Y505" i="2"/>
  <c r="W508" i="2"/>
  <c r="AI508" i="2"/>
  <c r="AD514" i="2"/>
  <c r="AC519" i="2"/>
  <c r="AC523" i="2"/>
  <c r="W524" i="2"/>
  <c r="AB528" i="2"/>
  <c r="X529" i="2"/>
  <c r="Z531" i="2"/>
  <c r="AK531" i="2" s="1"/>
  <c r="AB533" i="2"/>
  <c r="AE537" i="2"/>
  <c r="X545" i="2"/>
  <c r="AA547" i="2"/>
  <c r="AC551" i="2"/>
  <c r="X552" i="2"/>
  <c r="X554" i="2"/>
  <c r="AD560" i="2"/>
  <c r="AF562" i="2"/>
  <c r="Y563" i="2"/>
  <c r="Z565" i="2"/>
  <c r="AG566" i="2"/>
  <c r="AA567" i="2"/>
  <c r="X573" i="2"/>
  <c r="AF576" i="2"/>
  <c r="AA577" i="2"/>
  <c r="W578" i="2"/>
  <c r="AI578" i="2"/>
  <c r="AH581" i="2"/>
  <c r="AD582" i="2"/>
  <c r="AE587" i="2"/>
  <c r="AB598" i="2"/>
  <c r="V604" i="2"/>
  <c r="AH604" i="2"/>
  <c r="AD605" i="2"/>
  <c r="U607" i="2"/>
  <c r="AG607" i="2"/>
  <c r="AC608" i="2"/>
  <c r="AF610" i="2"/>
  <c r="AD623" i="2"/>
  <c r="Y624" i="2"/>
  <c r="Z631" i="2"/>
  <c r="Y633" i="2"/>
  <c r="AF634" i="2"/>
  <c r="AB635" i="2"/>
  <c r="X636" i="2"/>
  <c r="AB638" i="2"/>
  <c r="V639" i="2"/>
  <c r="AD652" i="2"/>
  <c r="Z653" i="2"/>
  <c r="AI659" i="2"/>
  <c r="AC663" i="2"/>
  <c r="X667" i="2"/>
  <c r="AB681" i="2"/>
  <c r="AC684" i="2"/>
  <c r="W693" i="2"/>
  <c r="AI693" i="2"/>
  <c r="AA695" i="2"/>
  <c r="W696" i="2"/>
  <c r="AI696" i="2"/>
  <c r="AC700" i="2"/>
  <c r="AE733" i="2"/>
  <c r="AI735" i="2"/>
  <c r="V745" i="2"/>
  <c r="AH745" i="2"/>
  <c r="Y764" i="2"/>
  <c r="U765" i="2"/>
  <c r="AG765" i="2"/>
  <c r="AA769" i="2"/>
  <c r="Z806" i="2"/>
  <c r="AC808" i="2"/>
  <c r="AC844" i="2"/>
  <c r="X854" i="2"/>
  <c r="Y864" i="2"/>
  <c r="X867" i="2"/>
  <c r="W876" i="2"/>
  <c r="W951" i="2"/>
  <c r="AI951" i="2"/>
  <c r="AE958" i="2"/>
  <c r="W960" i="2"/>
  <c r="AI960" i="2"/>
  <c r="Z962" i="2"/>
  <c r="AI963" i="2"/>
  <c r="Z1006" i="2"/>
  <c r="V1019" i="2"/>
  <c r="AB127" i="2"/>
  <c r="U128" i="2"/>
  <c r="AG128" i="2"/>
  <c r="AC129" i="2"/>
  <c r="AE131" i="2"/>
  <c r="AC133" i="2"/>
  <c r="Y143" i="2"/>
  <c r="AA153" i="2"/>
  <c r="AF157" i="2"/>
  <c r="AA158" i="2"/>
  <c r="X161" i="2"/>
  <c r="Y163" i="2"/>
  <c r="U164" i="2"/>
  <c r="AG164" i="2"/>
  <c r="AB165" i="2"/>
  <c r="AI166" i="2"/>
  <c r="AF171" i="2"/>
  <c r="Z172" i="2"/>
  <c r="AK172" i="2" s="1"/>
  <c r="V173" i="2"/>
  <c r="AB174" i="2"/>
  <c r="X175" i="2"/>
  <c r="Z177" i="2"/>
  <c r="AA179" i="2"/>
  <c r="Z182" i="2"/>
  <c r="W185" i="2"/>
  <c r="AH185" i="2"/>
  <c r="AA186" i="2"/>
  <c r="Y189" i="2"/>
  <c r="AA193" i="2"/>
  <c r="Z199" i="2"/>
  <c r="X201" i="2"/>
  <c r="AF202" i="2"/>
  <c r="Y210" i="2"/>
  <c r="Z212" i="2"/>
  <c r="Z216" i="2"/>
  <c r="AK216" i="2" s="1"/>
  <c r="Z218" i="2"/>
  <c r="AF221" i="2"/>
  <c r="U223" i="2"/>
  <c r="AG223" i="2"/>
  <c r="AA227" i="2"/>
  <c r="U228" i="2"/>
  <c r="AG228" i="2"/>
  <c r="Y234" i="2"/>
  <c r="Y236" i="2"/>
  <c r="AF237" i="2"/>
  <c r="AE242" i="2"/>
  <c r="U244" i="2"/>
  <c r="AG244" i="2"/>
  <c r="AA245" i="2"/>
  <c r="AB247" i="2"/>
  <c r="AC249" i="2"/>
  <c r="W252" i="2"/>
  <c r="AI252" i="2"/>
  <c r="Y254" i="2"/>
  <c r="AB256" i="2"/>
  <c r="AA258" i="2"/>
  <c r="U259" i="2"/>
  <c r="Z260" i="2"/>
  <c r="Y267" i="2"/>
  <c r="Y269" i="2"/>
  <c r="AF270" i="2"/>
  <c r="AA271" i="2"/>
  <c r="V272" i="2"/>
  <c r="AH272" i="2"/>
  <c r="AD273" i="2"/>
  <c r="X274" i="2"/>
  <c r="AF275" i="2"/>
  <c r="AA276" i="2"/>
  <c r="Z283" i="2"/>
  <c r="V284" i="2"/>
  <c r="AH284" i="2"/>
  <c r="W286" i="2"/>
  <c r="AI286" i="2"/>
  <c r="AD287" i="2"/>
  <c r="Y288" i="2"/>
  <c r="AE289" i="2"/>
  <c r="Y292" i="2"/>
  <c r="Y294" i="2"/>
  <c r="Y303" i="2"/>
  <c r="AE304" i="2"/>
  <c r="U306" i="2"/>
  <c r="AG306" i="2"/>
  <c r="X308" i="2"/>
  <c r="AE311" i="2"/>
  <c r="U313" i="2"/>
  <c r="X317" i="2"/>
  <c r="Y319" i="2"/>
  <c r="AD320" i="2"/>
  <c r="Z321" i="2"/>
  <c r="AB323" i="2"/>
  <c r="Z328" i="2"/>
  <c r="AB330" i="2"/>
  <c r="Y333" i="2"/>
  <c r="AC334" i="2"/>
  <c r="V335" i="2"/>
  <c r="W337" i="2"/>
  <c r="AI337" i="2"/>
  <c r="AF339" i="2"/>
  <c r="U343" i="2"/>
  <c r="AG343" i="2"/>
  <c r="Z344" i="2"/>
  <c r="AD348" i="2"/>
  <c r="Z349" i="2"/>
  <c r="AE350" i="2"/>
  <c r="AF352" i="2"/>
  <c r="AE354" i="2"/>
  <c r="U360" i="2"/>
  <c r="AC361" i="2"/>
  <c r="W362" i="2"/>
  <c r="AH362" i="2"/>
  <c r="Y364" i="2"/>
  <c r="AE365" i="2"/>
  <c r="Z366" i="2"/>
  <c r="AF367" i="2"/>
  <c r="V369" i="2"/>
  <c r="AH369" i="2"/>
  <c r="Y375" i="2"/>
  <c r="AB379" i="2"/>
  <c r="AE381" i="2"/>
  <c r="Y382" i="2"/>
  <c r="AD385" i="2"/>
  <c r="Y386" i="2"/>
  <c r="Z388" i="2"/>
  <c r="AF389" i="2"/>
  <c r="AA390" i="2"/>
  <c r="Z392" i="2"/>
  <c r="AB398" i="2"/>
  <c r="AC400" i="2"/>
  <c r="Y404" i="2"/>
  <c r="U405" i="2"/>
  <c r="AC423" i="2"/>
  <c r="U425" i="2"/>
  <c r="Z428" i="2"/>
  <c r="AA430" i="2"/>
  <c r="AC432" i="2"/>
  <c r="Y435" i="2"/>
  <c r="U436" i="2"/>
  <c r="AG436" i="2"/>
  <c r="AB437" i="2"/>
  <c r="AB439" i="2"/>
  <c r="W440" i="2"/>
  <c r="AI440" i="2"/>
  <c r="AD441" i="2"/>
  <c r="AD443" i="2"/>
  <c r="Z444" i="2"/>
  <c r="AA446" i="2"/>
  <c r="AC448" i="2"/>
  <c r="AI455" i="2"/>
  <c r="X457" i="2"/>
  <c r="V461" i="2"/>
  <c r="AH461" i="2"/>
  <c r="Y467" i="2"/>
  <c r="AG473" i="2"/>
  <c r="AA474" i="2"/>
  <c r="W475" i="2"/>
  <c r="Y484" i="2"/>
  <c r="Y486" i="2"/>
  <c r="AI491" i="2"/>
  <c r="Y493" i="2"/>
  <c r="V498" i="2"/>
  <c r="V503" i="2"/>
  <c r="AH503" i="2"/>
  <c r="AD504" i="2"/>
  <c r="X508" i="2"/>
  <c r="AE509" i="2"/>
  <c r="AB512" i="2"/>
  <c r="AA515" i="2"/>
  <c r="Y522" i="2"/>
  <c r="AD523" i="2"/>
  <c r="AE525" i="2"/>
  <c r="V527" i="2"/>
  <c r="AD528" i="2"/>
  <c r="Y529" i="2"/>
  <c r="U530" i="2"/>
  <c r="AC533" i="2"/>
  <c r="AF535" i="2"/>
  <c r="AF537" i="2"/>
  <c r="AD542" i="2"/>
  <c r="Z543" i="2"/>
  <c r="AF544" i="2"/>
  <c r="Y545" i="2"/>
  <c r="AF546" i="2"/>
  <c r="AB547" i="2"/>
  <c r="X548" i="2"/>
  <c r="Y552" i="2"/>
  <c r="Y554" i="2"/>
  <c r="AD555" i="2"/>
  <c r="U557" i="2"/>
  <c r="AF557" i="2"/>
  <c r="AB558" i="2"/>
  <c r="U562" i="2"/>
  <c r="AG562" i="2"/>
  <c r="Y570" i="2"/>
  <c r="U571" i="2"/>
  <c r="AG571" i="2"/>
  <c r="AB572" i="2"/>
  <c r="Y573" i="2"/>
  <c r="U576" i="2"/>
  <c r="AG576" i="2"/>
  <c r="AI581" i="2"/>
  <c r="AF587" i="2"/>
  <c r="Y601" i="2"/>
  <c r="U602" i="2"/>
  <c r="W604" i="2"/>
  <c r="AI604" i="2"/>
  <c r="AA606" i="2"/>
  <c r="AD608" i="2"/>
  <c r="AF620" i="2"/>
  <c r="AA621" i="2"/>
  <c r="AB628" i="2"/>
  <c r="X629" i="2"/>
  <c r="AE630" i="2"/>
  <c r="AF632" i="2"/>
  <c r="Z633" i="2"/>
  <c r="U634" i="2"/>
  <c r="AG634" i="2"/>
  <c r="U637" i="2"/>
  <c r="AG637" i="2"/>
  <c r="W645" i="2"/>
  <c r="AA647" i="2"/>
  <c r="W648" i="2"/>
  <c r="AI648" i="2"/>
  <c r="AB658" i="2"/>
  <c r="AA661" i="2"/>
  <c r="AH662" i="2"/>
  <c r="Y682" i="2"/>
  <c r="AD684" i="2"/>
  <c r="X688" i="2"/>
  <c r="AF691" i="2"/>
  <c r="X693" i="2"/>
  <c r="AF697" i="2"/>
  <c r="AA698" i="2"/>
  <c r="AB706" i="2"/>
  <c r="Y707" i="2"/>
  <c r="AF708" i="2"/>
  <c r="V721" i="2"/>
  <c r="AH721" i="2"/>
  <c r="X723" i="2"/>
  <c r="U724" i="2"/>
  <c r="W745" i="2"/>
  <c r="AI745" i="2"/>
  <c r="AC758" i="2"/>
  <c r="Y759" i="2"/>
  <c r="AA761" i="2"/>
  <c r="AH762" i="2"/>
  <c r="AD763" i="2"/>
  <c r="X781" i="2"/>
  <c r="W804" i="2"/>
  <c r="AI804" i="2"/>
  <c r="AE805" i="2"/>
  <c r="AD808" i="2"/>
  <c r="V822" i="2"/>
  <c r="Y859" i="2"/>
  <c r="V862" i="2"/>
  <c r="AH862" i="2"/>
  <c r="Y937" i="2"/>
  <c r="U938" i="2"/>
  <c r="AG938" i="2"/>
  <c r="AC939" i="2"/>
  <c r="AF946" i="2"/>
  <c r="AB947" i="2"/>
  <c r="AB950" i="2"/>
  <c r="X957" i="2"/>
  <c r="AC1104" i="2"/>
  <c r="W444" i="2"/>
  <c r="AD449" i="2"/>
  <c r="AF452" i="2"/>
  <c r="AB453" i="2"/>
  <c r="Z455" i="2"/>
  <c r="AK455" i="2" s="1"/>
  <c r="AD458" i="2"/>
  <c r="AB460" i="2"/>
  <c r="AE461" i="2"/>
  <c r="Z462" i="2"/>
  <c r="W464" i="2"/>
  <c r="AI464" i="2"/>
  <c r="AD465" i="2"/>
  <c r="X469" i="2"/>
  <c r="U471" i="2"/>
  <c r="AB472" i="2"/>
  <c r="AE479" i="2"/>
  <c r="Z480" i="2"/>
  <c r="Z482" i="2"/>
  <c r="AK482" i="2" s="1"/>
  <c r="AE483" i="2"/>
  <c r="V486" i="2"/>
  <c r="Z490" i="2"/>
  <c r="AG491" i="2"/>
  <c r="Z492" i="2"/>
  <c r="AF493" i="2"/>
  <c r="Z494" i="2"/>
  <c r="AG501" i="2"/>
  <c r="Z502" i="2"/>
  <c r="Z510" i="2"/>
  <c r="AD511" i="2"/>
  <c r="Z516" i="2"/>
  <c r="U519" i="2"/>
  <c r="AG519" i="2"/>
  <c r="AB520" i="2"/>
  <c r="AB522" i="2"/>
  <c r="X524" i="2"/>
  <c r="AG525" i="2"/>
  <c r="Y526" i="2"/>
  <c r="AE527" i="2"/>
  <c r="AH531" i="2"/>
  <c r="AB532" i="2"/>
  <c r="Z538" i="2"/>
  <c r="AB542" i="2"/>
  <c r="U545" i="2"/>
  <c r="AG545" i="2"/>
  <c r="AB546" i="2"/>
  <c r="AD548" i="2"/>
  <c r="X549" i="2"/>
  <c r="AC550" i="2"/>
  <c r="U551" i="2"/>
  <c r="AB552" i="2"/>
  <c r="V553" i="2"/>
  <c r="AH553" i="2"/>
  <c r="AF555" i="2"/>
  <c r="X559" i="2"/>
  <c r="X561" i="2"/>
  <c r="V563" i="2"/>
  <c r="AH563" i="2"/>
  <c r="AC564" i="2"/>
  <c r="AI565" i="2"/>
  <c r="AD570" i="2"/>
  <c r="AD572" i="2"/>
  <c r="Z573" i="2"/>
  <c r="AC577" i="2"/>
  <c r="Y578" i="2"/>
  <c r="AF579" i="2"/>
  <c r="AE581" i="2"/>
  <c r="V583" i="2"/>
  <c r="AH583" i="2"/>
  <c r="Y584" i="2"/>
  <c r="AE585" i="2"/>
  <c r="U587" i="2"/>
  <c r="AC590" i="2"/>
  <c r="X593" i="2"/>
  <c r="AB595" i="2"/>
  <c r="AK595" i="2" s="1"/>
  <c r="AI602" i="2"/>
  <c r="X604" i="2"/>
  <c r="AE605" i="2"/>
  <c r="AB606" i="2"/>
  <c r="W607" i="2"/>
  <c r="AI607" i="2"/>
  <c r="Z609" i="2"/>
  <c r="V619" i="2"/>
  <c r="AH619" i="2"/>
  <c r="AC620" i="2"/>
  <c r="Y623" i="2"/>
  <c r="U624" i="2"/>
  <c r="AG624" i="2"/>
  <c r="U626" i="2"/>
  <c r="AA627" i="2"/>
  <c r="U628" i="2"/>
  <c r="AG628" i="2"/>
  <c r="AC631" i="2"/>
  <c r="V632" i="2"/>
  <c r="AA633" i="2"/>
  <c r="W634" i="2"/>
  <c r="AI634" i="2"/>
  <c r="Z636" i="2"/>
  <c r="AD638" i="2"/>
  <c r="X639" i="2"/>
  <c r="X644" i="2"/>
  <c r="AB656" i="2"/>
  <c r="X657" i="2"/>
  <c r="Y659" i="2"/>
  <c r="AF660" i="2"/>
  <c r="Z664" i="2"/>
  <c r="AF668" i="2"/>
  <c r="AA669" i="2"/>
  <c r="V670" i="2"/>
  <c r="AB685" i="2"/>
  <c r="AE689" i="2"/>
  <c r="AA690" i="2"/>
  <c r="W691" i="2"/>
  <c r="AI691" i="2"/>
  <c r="AB708" i="2"/>
  <c r="AC708" i="2"/>
  <c r="AF712" i="2"/>
  <c r="W714" i="2"/>
  <c r="AI714" i="2"/>
  <c r="V719" i="2"/>
  <c r="AH719" i="2"/>
  <c r="AB729" i="2"/>
  <c r="X732" i="2"/>
  <c r="AB734" i="2"/>
  <c r="AE736" i="2"/>
  <c r="U738" i="2"/>
  <c r="AF750" i="2"/>
  <c r="AC759" i="2"/>
  <c r="AH760" i="2"/>
  <c r="Z767" i="2"/>
  <c r="AF768" i="2"/>
  <c r="AI778" i="2"/>
  <c r="AC779" i="2"/>
  <c r="Y780" i="2"/>
  <c r="Y794" i="2"/>
  <c r="U795" i="2"/>
  <c r="AG795" i="2"/>
  <c r="W800" i="2"/>
  <c r="AI800" i="2"/>
  <c r="AE801" i="2"/>
  <c r="AF803" i="2"/>
  <c r="AF805" i="2"/>
  <c r="V813" i="2"/>
  <c r="AC814" i="2"/>
  <c r="AD814" i="2"/>
  <c r="Y815" i="2"/>
  <c r="AC817" i="2"/>
  <c r="AA823" i="2"/>
  <c r="AE825" i="2"/>
  <c r="W830" i="2"/>
  <c r="U856" i="2"/>
  <c r="AF885" i="2"/>
  <c r="AA886" i="2"/>
  <c r="AC899" i="2"/>
  <c r="Y900" i="2"/>
  <c r="AF901" i="2"/>
  <c r="X903" i="2"/>
  <c r="W965" i="2"/>
  <c r="AI965" i="2"/>
  <c r="AA976" i="2"/>
  <c r="Y1004" i="2"/>
  <c r="Z1127" i="2"/>
  <c r="V1128" i="2"/>
  <c r="AH1128" i="2"/>
  <c r="AC445" i="2"/>
  <c r="X446" i="2"/>
  <c r="X450" i="2"/>
  <c r="AC451" i="2"/>
  <c r="AC453" i="2"/>
  <c r="U454" i="2"/>
  <c r="AG454" i="2"/>
  <c r="AA455" i="2"/>
  <c r="U463" i="2"/>
  <c r="AG463" i="2"/>
  <c r="AE465" i="2"/>
  <c r="Y466" i="2"/>
  <c r="V468" i="2"/>
  <c r="Y469" i="2"/>
  <c r="W471" i="2"/>
  <c r="AI471" i="2"/>
  <c r="Y474" i="2"/>
  <c r="U475" i="2"/>
  <c r="AE477" i="2"/>
  <c r="AF479" i="2"/>
  <c r="AF483" i="2"/>
  <c r="W484" i="2"/>
  <c r="AI484" i="2"/>
  <c r="U493" i="2"/>
  <c r="AG493" i="2"/>
  <c r="U497" i="2"/>
  <c r="AE499" i="2"/>
  <c r="AA502" i="2"/>
  <c r="Z504" i="2"/>
  <c r="AE511" i="2"/>
  <c r="U513" i="2"/>
  <c r="AG513" i="2"/>
  <c r="AA516" i="2"/>
  <c r="V519" i="2"/>
  <c r="AH519" i="2"/>
  <c r="AC522" i="2"/>
  <c r="Z524" i="2"/>
  <c r="AA528" i="2"/>
  <c r="U529" i="2"/>
  <c r="AC530" i="2"/>
  <c r="W531" i="2"/>
  <c r="AI531" i="2"/>
  <c r="Y533" i="2"/>
  <c r="AE534" i="2"/>
  <c r="AD536" i="2"/>
  <c r="AA538" i="2"/>
  <c r="U539" i="2"/>
  <c r="AG539" i="2"/>
  <c r="W541" i="2"/>
  <c r="AE548" i="2"/>
  <c r="AD550" i="2"/>
  <c r="V551" i="2"/>
  <c r="AH551" i="2"/>
  <c r="AC552" i="2"/>
  <c r="U555" i="2"/>
  <c r="AG555" i="2"/>
  <c r="AB556" i="2"/>
  <c r="Y559" i="2"/>
  <c r="Y561" i="2"/>
  <c r="W563" i="2"/>
  <c r="AI563" i="2"/>
  <c r="AD566" i="2"/>
  <c r="X569" i="2"/>
  <c r="AE572" i="2"/>
  <c r="V574" i="2"/>
  <c r="AH574" i="2"/>
  <c r="AI576" i="2"/>
  <c r="AF581" i="2"/>
  <c r="V589" i="2"/>
  <c r="AH589" i="2"/>
  <c r="AD590" i="2"/>
  <c r="Z591" i="2"/>
  <c r="Y593" i="2"/>
  <c r="AF594" i="2"/>
  <c r="AC595" i="2"/>
  <c r="V596" i="2"/>
  <c r="AH596" i="2"/>
  <c r="AB601" i="2"/>
  <c r="X612" i="2"/>
  <c r="AD613" i="2"/>
  <c r="X614" i="2"/>
  <c r="AD615" i="2"/>
  <c r="Y616" i="2"/>
  <c r="W619" i="2"/>
  <c r="AD620" i="2"/>
  <c r="Y621" i="2"/>
  <c r="AF622" i="2"/>
  <c r="Z623" i="2"/>
  <c r="V624" i="2"/>
  <c r="Z625" i="2"/>
  <c r="X630" i="2"/>
  <c r="AE631" i="2"/>
  <c r="AI632" i="2"/>
  <c r="AB633" i="2"/>
  <c r="AK633" i="2" s="1"/>
  <c r="AE635" i="2"/>
  <c r="W637" i="2"/>
  <c r="AI637" i="2"/>
  <c r="AE638" i="2"/>
  <c r="Y639" i="2"/>
  <c r="AA641" i="2"/>
  <c r="W642" i="2"/>
  <c r="AI642" i="2"/>
  <c r="AF658" i="2"/>
  <c r="X662" i="2"/>
  <c r="Z667" i="2"/>
  <c r="AC679" i="2"/>
  <c r="AA681" i="2"/>
  <c r="W682" i="2"/>
  <c r="AI682" i="2"/>
  <c r="Z686" i="2"/>
  <c r="U687" i="2"/>
  <c r="AG687" i="2"/>
  <c r="U689" i="2"/>
  <c r="AD703" i="2"/>
  <c r="U705" i="2"/>
  <c r="AG705" i="2"/>
  <c r="AA706" i="2"/>
  <c r="Y709" i="2"/>
  <c r="AB711" i="2"/>
  <c r="AG712" i="2"/>
  <c r="X719" i="2"/>
  <c r="AC729" i="2"/>
  <c r="AE731" i="2"/>
  <c r="Y735" i="2"/>
  <c r="AB737" i="2"/>
  <c r="AC751" i="2"/>
  <c r="AC754" i="2"/>
  <c r="V758" i="2"/>
  <c r="AH758" i="2"/>
  <c r="AB777" i="2"/>
  <c r="AI786" i="2"/>
  <c r="AE787" i="2"/>
  <c r="V792" i="2"/>
  <c r="Z794" i="2"/>
  <c r="V795" i="2"/>
  <c r="X800" i="2"/>
  <c r="W813" i="2"/>
  <c r="AI813" i="2"/>
  <c r="AE814" i="2"/>
  <c r="W824" i="2"/>
  <c r="AI824" i="2"/>
  <c r="X833" i="2"/>
  <c r="V845" i="2"/>
  <c r="Y847" i="2"/>
  <c r="U848" i="2"/>
  <c r="V856" i="2"/>
  <c r="AH856" i="2"/>
  <c r="AF866" i="2"/>
  <c r="AD899" i="2"/>
  <c r="Y911" i="2"/>
  <c r="AB913" i="2"/>
  <c r="AD915" i="2"/>
  <c r="V917" i="2"/>
  <c r="Y942" i="2"/>
  <c r="U954" i="2"/>
  <c r="AC955" i="2"/>
  <c r="AF969" i="2"/>
  <c r="AB970" i="2"/>
  <c r="AB976" i="2"/>
  <c r="Z1004" i="2"/>
  <c r="W1031" i="2"/>
  <c r="AI1031" i="2"/>
  <c r="AE1032" i="2"/>
  <c r="X488" i="2"/>
  <c r="AF489" i="2"/>
  <c r="AB490" i="2"/>
  <c r="V493" i="2"/>
  <c r="AH493" i="2"/>
  <c r="AB494" i="2"/>
  <c r="AF499" i="2"/>
  <c r="AB500" i="2"/>
  <c r="AB502" i="2"/>
  <c r="AG507" i="2"/>
  <c r="AH509" i="2"/>
  <c r="AA512" i="2"/>
  <c r="AA514" i="2"/>
  <c r="U515" i="2"/>
  <c r="AI519" i="2"/>
  <c r="AH521" i="2"/>
  <c r="W523" i="2"/>
  <c r="AI523" i="2"/>
  <c r="U527" i="2"/>
  <c r="AD530" i="2"/>
  <c r="Z533" i="2"/>
  <c r="AK533" i="2" s="1"/>
  <c r="AF534" i="2"/>
  <c r="Z535" i="2"/>
  <c r="X537" i="2"/>
  <c r="AI537" i="2"/>
  <c r="V539" i="2"/>
  <c r="AH539" i="2"/>
  <c r="AB540" i="2"/>
  <c r="X541" i="2"/>
  <c r="Y543" i="2"/>
  <c r="Z547" i="2"/>
  <c r="Z549" i="2"/>
  <c r="W551" i="2"/>
  <c r="V555" i="2"/>
  <c r="Z559" i="2"/>
  <c r="X563" i="2"/>
  <c r="Y567" i="2"/>
  <c r="Y569" i="2"/>
  <c r="AD575" i="2"/>
  <c r="U581" i="2"/>
  <c r="AG581" i="2"/>
  <c r="AB582" i="2"/>
  <c r="X583" i="2"/>
  <c r="AB586" i="2"/>
  <c r="W587" i="2"/>
  <c r="AA588" i="2"/>
  <c r="W589" i="2"/>
  <c r="AI589" i="2"/>
  <c r="AA591" i="2"/>
  <c r="AF592" i="2"/>
  <c r="V594" i="2"/>
  <c r="AH594" i="2"/>
  <c r="AD595" i="2"/>
  <c r="Y598" i="2"/>
  <c r="AC601" i="2"/>
  <c r="Y602" i="2"/>
  <c r="Z604" i="2"/>
  <c r="V605" i="2"/>
  <c r="AH605" i="2"/>
  <c r="AD606" i="2"/>
  <c r="Y607" i="2"/>
  <c r="U608" i="2"/>
  <c r="AG608" i="2"/>
  <c r="V610" i="2"/>
  <c r="AH610" i="2"/>
  <c r="AB611" i="2"/>
  <c r="Y612" i="2"/>
  <c r="Z616" i="2"/>
  <c r="AI624" i="2"/>
  <c r="X626" i="2"/>
  <c r="W628" i="2"/>
  <c r="AI628" i="2"/>
  <c r="AD629" i="2"/>
  <c r="X632" i="2"/>
  <c r="AD633" i="2"/>
  <c r="Y634" i="2"/>
  <c r="AF635" i="2"/>
  <c r="AB636" i="2"/>
  <c r="AF638" i="2"/>
  <c r="Z639" i="2"/>
  <c r="U640" i="2"/>
  <c r="AG640" i="2"/>
  <c r="AB641" i="2"/>
  <c r="AD649" i="2"/>
  <c r="W655" i="2"/>
  <c r="AI655" i="2"/>
  <c r="AD656" i="2"/>
  <c r="Z657" i="2"/>
  <c r="U658" i="2"/>
  <c r="AG658" i="2"/>
  <c r="AB659" i="2"/>
  <c r="AD661" i="2"/>
  <c r="Y662" i="2"/>
  <c r="AF663" i="2"/>
  <c r="X665" i="2"/>
  <c r="AE666" i="2"/>
  <c r="AA667" i="2"/>
  <c r="V668" i="2"/>
  <c r="AI680" i="2"/>
  <c r="X682" i="2"/>
  <c r="AB684" i="2"/>
  <c r="X702" i="2"/>
  <c r="AA704" i="2"/>
  <c r="X707" i="2"/>
  <c r="AE708" i="2"/>
  <c r="AD726" i="2"/>
  <c r="V728" i="2"/>
  <c r="AD729" i="2"/>
  <c r="Z730" i="2"/>
  <c r="AF731" i="2"/>
  <c r="AD734" i="2"/>
  <c r="U736" i="2"/>
  <c r="U745" i="2"/>
  <c r="AG745" i="2"/>
  <c r="X747" i="2"/>
  <c r="AI747" i="2"/>
  <c r="AA749" i="2"/>
  <c r="AD751" i="2"/>
  <c r="V753" i="2"/>
  <c r="AH753" i="2"/>
  <c r="Z755" i="2"/>
  <c r="AA757" i="2"/>
  <c r="AA775" i="2"/>
  <c r="W776" i="2"/>
  <c r="AC777" i="2"/>
  <c r="AF784" i="2"/>
  <c r="AB785" i="2"/>
  <c r="X786" i="2"/>
  <c r="AB788" i="2"/>
  <c r="AA794" i="2"/>
  <c r="AB812" i="2"/>
  <c r="X813" i="2"/>
  <c r="W819" i="2"/>
  <c r="AI819" i="2"/>
  <c r="Y824" i="2"/>
  <c r="U831" i="2"/>
  <c r="AG831" i="2"/>
  <c r="AC835" i="2"/>
  <c r="W845" i="2"/>
  <c r="AC857" i="2"/>
  <c r="Y858" i="2"/>
  <c r="AE861" i="2"/>
  <c r="Z862" i="2"/>
  <c r="V863" i="2"/>
  <c r="AG866" i="2"/>
  <c r="W896" i="2"/>
  <c r="AI896" i="2"/>
  <c r="AD897" i="2"/>
  <c r="AE899" i="2"/>
  <c r="V909" i="2"/>
  <c r="U929" i="2"/>
  <c r="AC930" i="2"/>
  <c r="AE941" i="2"/>
  <c r="AC961" i="2"/>
  <c r="Y962" i="2"/>
  <c r="AC964" i="2"/>
  <c r="Y965" i="2"/>
  <c r="Y968" i="2"/>
  <c r="U969" i="2"/>
  <c r="AF992" i="2"/>
  <c r="AB993" i="2"/>
  <c r="AH997" i="2"/>
  <c r="U1017" i="2"/>
  <c r="AG1017" i="2"/>
  <c r="AC1024" i="2"/>
  <c r="AF1026" i="2"/>
  <c r="X1028" i="2"/>
  <c r="AE1088" i="2"/>
  <c r="AA1089" i="2"/>
  <c r="AF1114" i="2"/>
  <c r="AA1115" i="2"/>
  <c r="AA1133" i="2"/>
  <c r="W534" i="2"/>
  <c r="AI534" i="2"/>
  <c r="V536" i="2"/>
  <c r="AA537" i="2"/>
  <c r="AE538" i="2"/>
  <c r="Y539" i="2"/>
  <c r="U542" i="2"/>
  <c r="AG542" i="2"/>
  <c r="AB543" i="2"/>
  <c r="U544" i="2"/>
  <c r="AG544" i="2"/>
  <c r="W548" i="2"/>
  <c r="AH550" i="2"/>
  <c r="AA553" i="2"/>
  <c r="U554" i="2"/>
  <c r="AF556" i="2"/>
  <c r="AA557" i="2"/>
  <c r="V558" i="2"/>
  <c r="AH558" i="2"/>
  <c r="AC561" i="2"/>
  <c r="AH562" i="2"/>
  <c r="AH564" i="2"/>
  <c r="AB567" i="2"/>
  <c r="AF568" i="2"/>
  <c r="AB569" i="2"/>
  <c r="W570" i="2"/>
  <c r="AI570" i="2"/>
  <c r="W572" i="2"/>
  <c r="Z574" i="2"/>
  <c r="U575" i="2"/>
  <c r="AG575" i="2"/>
  <c r="AA576" i="2"/>
  <c r="X581" i="2"/>
  <c r="AA583" i="2"/>
  <c r="AE586" i="2"/>
  <c r="AD588" i="2"/>
  <c r="AH590" i="2"/>
  <c r="AC593" i="2"/>
  <c r="Y594" i="2"/>
  <c r="U595" i="2"/>
  <c r="AH597" i="2"/>
  <c r="U599" i="2"/>
  <c r="AG599" i="2"/>
  <c r="AC600" i="2"/>
  <c r="AF601" i="2"/>
  <c r="U603" i="2"/>
  <c r="AG603" i="2"/>
  <c r="AB604" i="2"/>
  <c r="X608" i="2"/>
  <c r="AB612" i="2"/>
  <c r="V613" i="2"/>
  <c r="AH613" i="2"/>
  <c r="AB614" i="2"/>
  <c r="V615" i="2"/>
  <c r="AH615" i="2"/>
  <c r="Y617" i="2"/>
  <c r="V620" i="2"/>
  <c r="AH620" i="2"/>
  <c r="AC621" i="2"/>
  <c r="AE625" i="2"/>
  <c r="AB647" i="2"/>
  <c r="Y648" i="2"/>
  <c r="AB653" i="2"/>
  <c r="AC657" i="2"/>
  <c r="X658" i="2"/>
  <c r="AF669" i="2"/>
  <c r="AA670" i="2"/>
  <c r="AH674" i="2"/>
  <c r="V676" i="2"/>
  <c r="AH676" i="2"/>
  <c r="Y678" i="2"/>
  <c r="U679" i="2"/>
  <c r="AG679" i="2"/>
  <c r="AA682" i="2"/>
  <c r="W683" i="2"/>
  <c r="AI683" i="2"/>
  <c r="AB691" i="2"/>
  <c r="AE693" i="2"/>
  <c r="AA694" i="2"/>
  <c r="AD696" i="2"/>
  <c r="Z697" i="2"/>
  <c r="AA702" i="2"/>
  <c r="AD704" i="2"/>
  <c r="Y705" i="2"/>
  <c r="AA707" i="2"/>
  <c r="V708" i="2"/>
  <c r="AA719" i="2"/>
  <c r="Z722" i="2"/>
  <c r="AD724" i="2"/>
  <c r="U726" i="2"/>
  <c r="AD732" i="2"/>
  <c r="Y733" i="2"/>
  <c r="X736" i="2"/>
  <c r="X745" i="2"/>
  <c r="V748" i="2"/>
  <c r="AH748" i="2"/>
  <c r="AD749" i="2"/>
  <c r="Y753" i="2"/>
  <c r="AG764" i="2"/>
  <c r="Y766" i="2"/>
  <c r="Z768" i="2"/>
  <c r="W784" i="2"/>
  <c r="Z805" i="2"/>
  <c r="AC807" i="2"/>
  <c r="AI811" i="2"/>
  <c r="V817" i="2"/>
  <c r="AH817" i="2"/>
  <c r="AD818" i="2"/>
  <c r="X822" i="2"/>
  <c r="V843" i="2"/>
  <c r="Y851" i="2"/>
  <c r="W872" i="2"/>
  <c r="Z874" i="2"/>
  <c r="U875" i="2"/>
  <c r="AG875" i="2"/>
  <c r="AB890" i="2"/>
  <c r="X891" i="2"/>
  <c r="AA893" i="2"/>
  <c r="Y901" i="2"/>
  <c r="X904" i="2"/>
  <c r="Z906" i="2"/>
  <c r="AH907" i="2"/>
  <c r="AD908" i="2"/>
  <c r="AC922" i="2"/>
  <c r="Y923" i="2"/>
  <c r="AF924" i="2"/>
  <c r="AC947" i="2"/>
  <c r="AC953" i="2"/>
  <c r="Y957" i="2"/>
  <c r="V990" i="2"/>
  <c r="AH990" i="2"/>
  <c r="W992" i="2"/>
  <c r="AI992" i="2"/>
  <c r="AE993" i="2"/>
  <c r="X1008" i="2"/>
  <c r="Y1046" i="2"/>
  <c r="AG1059" i="2"/>
  <c r="U1077" i="2"/>
  <c r="AG1077" i="2"/>
  <c r="AA1084" i="2"/>
  <c r="AD1086" i="2"/>
  <c r="AH1100" i="2"/>
  <c r="U1536" i="2"/>
  <c r="AG1536" i="2"/>
  <c r="AH1536" i="2"/>
  <c r="AB459" i="2"/>
  <c r="AK459" i="2" s="1"/>
  <c r="Y461" i="2"/>
  <c r="AC464" i="2"/>
  <c r="V470" i="2"/>
  <c r="AH470" i="2"/>
  <c r="AA473" i="2"/>
  <c r="AE474" i="2"/>
  <c r="Z475" i="2"/>
  <c r="AD476" i="2"/>
  <c r="X477" i="2"/>
  <c r="Y479" i="2"/>
  <c r="W485" i="2"/>
  <c r="AH487" i="2"/>
  <c r="AA491" i="2"/>
  <c r="AE494" i="2"/>
  <c r="AA495" i="2"/>
  <c r="AI496" i="2"/>
  <c r="Z497" i="2"/>
  <c r="AE498" i="2"/>
  <c r="X499" i="2"/>
  <c r="AI499" i="2"/>
  <c r="AA501" i="2"/>
  <c r="X503" i="2"/>
  <c r="Z513" i="2"/>
  <c r="AE514" i="2"/>
  <c r="Y515" i="2"/>
  <c r="AF516" i="2"/>
  <c r="AB517" i="2"/>
  <c r="U518" i="2"/>
  <c r="AG518" i="2"/>
  <c r="AA519" i="2"/>
  <c r="AH520" i="2"/>
  <c r="AE524" i="2"/>
  <c r="AA525" i="2"/>
  <c r="AE526" i="2"/>
  <c r="Z529" i="2"/>
  <c r="V530" i="2"/>
  <c r="V532" i="2"/>
  <c r="AH532" i="2"/>
  <c r="AD535" i="2"/>
  <c r="AB537" i="2"/>
  <c r="AF538" i="2"/>
  <c r="AC543" i="2"/>
  <c r="AH544" i="2"/>
  <c r="Z545" i="2"/>
  <c r="AB553" i="2"/>
  <c r="V554" i="2"/>
  <c r="Z555" i="2"/>
  <c r="W558" i="2"/>
  <c r="AI558" i="2"/>
  <c r="AB563" i="2"/>
  <c r="AI564" i="2"/>
  <c r="V566" i="2"/>
  <c r="U568" i="2"/>
  <c r="AG568" i="2"/>
  <c r="X572" i="2"/>
  <c r="AF573" i="2"/>
  <c r="V575" i="2"/>
  <c r="AH575" i="2"/>
  <c r="AB576" i="2"/>
  <c r="Y581" i="2"/>
  <c r="AF582" i="2"/>
  <c r="AB583" i="2"/>
  <c r="Y585" i="2"/>
  <c r="AE588" i="2"/>
  <c r="W590" i="2"/>
  <c r="AI590" i="2"/>
  <c r="AE591" i="2"/>
  <c r="X592" i="2"/>
  <c r="V599" i="2"/>
  <c r="AH599" i="2"/>
  <c r="AG601" i="2"/>
  <c r="U611" i="2"/>
  <c r="AG611" i="2"/>
  <c r="W615" i="2"/>
  <c r="Z617" i="2"/>
  <c r="V618" i="2"/>
  <c r="AB619" i="2"/>
  <c r="W620" i="2"/>
  <c r="Y622" i="2"/>
  <c r="AF623" i="2"/>
  <c r="AA624" i="2"/>
  <c r="V633" i="2"/>
  <c r="AH633" i="2"/>
  <c r="X635" i="2"/>
  <c r="AE636" i="2"/>
  <c r="AB637" i="2"/>
  <c r="X638" i="2"/>
  <c r="AD639" i="2"/>
  <c r="AB642" i="2"/>
  <c r="X643" i="2"/>
  <c r="AD644" i="2"/>
  <c r="Z645" i="2"/>
  <c r="AD647" i="2"/>
  <c r="Z648" i="2"/>
  <c r="AD650" i="2"/>
  <c r="AE654" i="2"/>
  <c r="V656" i="2"/>
  <c r="AH656" i="2"/>
  <c r="Y658" i="2"/>
  <c r="AI671" i="2"/>
  <c r="AF672" i="2"/>
  <c r="AE677" i="2"/>
  <c r="V679" i="2"/>
  <c r="AH679" i="2"/>
  <c r="W685" i="2"/>
  <c r="AI685" i="2"/>
  <c r="V690" i="2"/>
  <c r="AC691" i="2"/>
  <c r="Z700" i="2"/>
  <c r="AK700" i="2" s="1"/>
  <c r="AF701" i="2"/>
  <c r="AG701" i="2"/>
  <c r="AB702" i="2"/>
  <c r="W703" i="2"/>
  <c r="Z705" i="2"/>
  <c r="AF706" i="2"/>
  <c r="X715" i="2"/>
  <c r="AB719" i="2"/>
  <c r="AE721" i="2"/>
  <c r="W723" i="2"/>
  <c r="AI723" i="2"/>
  <c r="AA725" i="2"/>
  <c r="AD727" i="2"/>
  <c r="X731" i="2"/>
  <c r="W739" i="2"/>
  <c r="AI739" i="2"/>
  <c r="AC744" i="2"/>
  <c r="AE749" i="2"/>
  <c r="Z763" i="2"/>
  <c r="AA768" i="2"/>
  <c r="AI774" i="2"/>
  <c r="AG777" i="2"/>
  <c r="AC797" i="2"/>
  <c r="AC800" i="2"/>
  <c r="Y803" i="2"/>
  <c r="AE804" i="2"/>
  <c r="AF809" i="2"/>
  <c r="AB810" i="2"/>
  <c r="AE815" i="2"/>
  <c r="AE818" i="2"/>
  <c r="Z851" i="2"/>
  <c r="AG852" i="2"/>
  <c r="AC853" i="2"/>
  <c r="U867" i="2"/>
  <c r="AC868" i="2"/>
  <c r="AG886" i="2"/>
  <c r="AC887" i="2"/>
  <c r="AF892" i="2"/>
  <c r="AB893" i="2"/>
  <c r="AE895" i="2"/>
  <c r="AE905" i="2"/>
  <c r="AA909" i="2"/>
  <c r="V910" i="2"/>
  <c r="AA945" i="2"/>
  <c r="AD950" i="2"/>
  <c r="AD956" i="2"/>
  <c r="U958" i="2"/>
  <c r="AG958" i="2"/>
  <c r="X987" i="2"/>
  <c r="Y987" i="2"/>
  <c r="V1038" i="2"/>
  <c r="V1047" i="2"/>
  <c r="AH1047" i="2"/>
  <c r="Z1058" i="2"/>
  <c r="V1071" i="2"/>
  <c r="AD1081" i="2"/>
  <c r="U1083" i="2"/>
  <c r="X1085" i="2"/>
  <c r="X447" i="2"/>
  <c r="Y449" i="2"/>
  <c r="AA452" i="2"/>
  <c r="U455" i="2"/>
  <c r="V460" i="2"/>
  <c r="AI460" i="2"/>
  <c r="AA463" i="2"/>
  <c r="AD464" i="2"/>
  <c r="Y465" i="2"/>
  <c r="AI470" i="2"/>
  <c r="AB473" i="2"/>
  <c r="Y477" i="2"/>
  <c r="AF478" i="2"/>
  <c r="Z479" i="2"/>
  <c r="AB481" i="2"/>
  <c r="AC484" i="2"/>
  <c r="X485" i="2"/>
  <c r="U490" i="2"/>
  <c r="AG490" i="2"/>
  <c r="U494" i="2"/>
  <c r="AF494" i="2"/>
  <c r="AA497" i="2"/>
  <c r="AF498" i="2"/>
  <c r="U500" i="2"/>
  <c r="AG500" i="2"/>
  <c r="AB501" i="2"/>
  <c r="U502" i="2"/>
  <c r="Y503" i="2"/>
  <c r="Z507" i="2"/>
  <c r="AF508" i="2"/>
  <c r="Y511" i="2"/>
  <c r="AF512" i="2"/>
  <c r="AF514" i="2"/>
  <c r="V518" i="2"/>
  <c r="AH518" i="2"/>
  <c r="W520" i="2"/>
  <c r="AI520" i="2"/>
  <c r="AF524" i="2"/>
  <c r="AB525" i="2"/>
  <c r="AA529" i="2"/>
  <c r="W530" i="2"/>
  <c r="AI530" i="2"/>
  <c r="AE535" i="2"/>
  <c r="AG538" i="2"/>
  <c r="AA539" i="2"/>
  <c r="AC541" i="2"/>
  <c r="W554" i="2"/>
  <c r="AH556" i="2"/>
  <c r="AC557" i="2"/>
  <c r="X558" i="2"/>
  <c r="AE561" i="2"/>
  <c r="AI562" i="2"/>
  <c r="AC563" i="2"/>
  <c r="AD565" i="2"/>
  <c r="AD567" i="2"/>
  <c r="V568" i="2"/>
  <c r="AH568" i="2"/>
  <c r="AC569" i="2"/>
  <c r="AE571" i="2"/>
  <c r="AA574" i="2"/>
  <c r="X577" i="2"/>
  <c r="AG580" i="2"/>
  <c r="U582" i="2"/>
  <c r="AG582" i="2"/>
  <c r="Z585" i="2"/>
  <c r="U586" i="2"/>
  <c r="AG586" i="2"/>
  <c r="AF588" i="2"/>
  <c r="AB589" i="2"/>
  <c r="AF591" i="2"/>
  <c r="AE593" i="2"/>
  <c r="Z594" i="2"/>
  <c r="AI595" i="2"/>
  <c r="X597" i="2"/>
  <c r="V601" i="2"/>
  <c r="AH601" i="2"/>
  <c r="W603" i="2"/>
  <c r="AA605" i="2"/>
  <c r="AD607" i="2"/>
  <c r="AD612" i="2"/>
  <c r="X613" i="2"/>
  <c r="AD614" i="2"/>
  <c r="X615" i="2"/>
  <c r="U625" i="2"/>
  <c r="AG625" i="2"/>
  <c r="W629" i="2"/>
  <c r="AI629" i="2"/>
  <c r="AD630" i="2"/>
  <c r="W633" i="2"/>
  <c r="AI633" i="2"/>
  <c r="Y635" i="2"/>
  <c r="AC637" i="2"/>
  <c r="U641" i="2"/>
  <c r="AC642" i="2"/>
  <c r="AA645" i="2"/>
  <c r="AE647" i="2"/>
  <c r="AA648" i="2"/>
  <c r="W649" i="2"/>
  <c r="AI649" i="2"/>
  <c r="V652" i="2"/>
  <c r="AH652" i="2"/>
  <c r="AB655" i="2"/>
  <c r="AI656" i="2"/>
  <c r="V669" i="2"/>
  <c r="AH669" i="2"/>
  <c r="AB670" i="2"/>
  <c r="U672" i="2"/>
  <c r="X676" i="2"/>
  <c r="AA678" i="2"/>
  <c r="AI679" i="2"/>
  <c r="W690" i="2"/>
  <c r="Y692" i="2"/>
  <c r="Y695" i="2"/>
  <c r="AI703" i="2"/>
  <c r="AF704" i="2"/>
  <c r="AG706" i="2"/>
  <c r="Y715" i="2"/>
  <c r="X718" i="2"/>
  <c r="Z720" i="2"/>
  <c r="AB722" i="2"/>
  <c r="AF724" i="2"/>
  <c r="Y731" i="2"/>
  <c r="Z743" i="2"/>
  <c r="AD744" i="2"/>
  <c r="AD760" i="2"/>
  <c r="U762" i="2"/>
  <c r="AG762" i="2"/>
  <c r="X764" i="2"/>
  <c r="AA766" i="2"/>
  <c r="U767" i="2"/>
  <c r="AG767" i="2"/>
  <c r="W769" i="2"/>
  <c r="AF775" i="2"/>
  <c r="AB776" i="2"/>
  <c r="V777" i="2"/>
  <c r="AH777" i="2"/>
  <c r="V799" i="2"/>
  <c r="AA803" i="2"/>
  <c r="V832" i="2"/>
  <c r="AH832" i="2"/>
  <c r="AD833" i="2"/>
  <c r="W849" i="2"/>
  <c r="AI849" i="2"/>
  <c r="AA851" i="2"/>
  <c r="U852" i="2"/>
  <c r="AH867" i="2"/>
  <c r="AC882" i="2"/>
  <c r="V889" i="2"/>
  <c r="AH889" i="2"/>
  <c r="Z891" i="2"/>
  <c r="U892" i="2"/>
  <c r="AG892" i="2"/>
  <c r="AC893" i="2"/>
  <c r="AF905" i="2"/>
  <c r="X907" i="2"/>
  <c r="V944" i="2"/>
  <c r="W946" i="2"/>
  <c r="AI946" i="2"/>
  <c r="AD977" i="2"/>
  <c r="AB989" i="2"/>
  <c r="V1006" i="2"/>
  <c r="AH1006" i="2"/>
  <c r="X1035" i="2"/>
  <c r="AE1036" i="2"/>
  <c r="AA1070" i="2"/>
  <c r="W1071" i="2"/>
  <c r="AE1072" i="2"/>
  <c r="W1077" i="2"/>
  <c r="AF1402" i="2"/>
  <c r="AB1403" i="2"/>
  <c r="U629" i="2"/>
  <c r="AG629" i="2"/>
  <c r="AB630" i="2"/>
  <c r="AD636" i="2"/>
  <c r="V638" i="2"/>
  <c r="AH638" i="2"/>
  <c r="AD643" i="2"/>
  <c r="AD648" i="2"/>
  <c r="Y649" i="2"/>
  <c r="V650" i="2"/>
  <c r="AG650" i="2"/>
  <c r="AB651" i="2"/>
  <c r="AH654" i="2"/>
  <c r="Z658" i="2"/>
  <c r="AK658" i="2" s="1"/>
  <c r="AB662" i="2"/>
  <c r="AI663" i="2"/>
  <c r="AD664" i="2"/>
  <c r="AF666" i="2"/>
  <c r="AI668" i="2"/>
  <c r="AD671" i="2"/>
  <c r="U673" i="2"/>
  <c r="AG673" i="2"/>
  <c r="AA676" i="2"/>
  <c r="AF678" i="2"/>
  <c r="U681" i="2"/>
  <c r="Y683" i="2"/>
  <c r="Y687" i="2"/>
  <c r="X691" i="2"/>
  <c r="AE692" i="2"/>
  <c r="AC695" i="2"/>
  <c r="AB698" i="2"/>
  <c r="AI699" i="2"/>
  <c r="AE700" i="2"/>
  <c r="Z701" i="2"/>
  <c r="V704" i="2"/>
  <c r="AH704" i="2"/>
  <c r="X710" i="2"/>
  <c r="Y712" i="2"/>
  <c r="AA716" i="2"/>
  <c r="V717" i="2"/>
  <c r="AH717" i="2"/>
  <c r="AD718" i="2"/>
  <c r="Y721" i="2"/>
  <c r="U722" i="2"/>
  <c r="Y724" i="2"/>
  <c r="AE725" i="2"/>
  <c r="AC728" i="2"/>
  <c r="AE732" i="2"/>
  <c r="Z733" i="2"/>
  <c r="X751" i="2"/>
  <c r="AI751" i="2"/>
  <c r="AC752" i="2"/>
  <c r="U756" i="2"/>
  <c r="AG756" i="2"/>
  <c r="X758" i="2"/>
  <c r="V770" i="2"/>
  <c r="AD771" i="2"/>
  <c r="AC774" i="2"/>
  <c r="AE780" i="2"/>
  <c r="AI784" i="2"/>
  <c r="V790" i="2"/>
  <c r="AH790" i="2"/>
  <c r="AD791" i="2"/>
  <c r="AF793" i="2"/>
  <c r="Y797" i="2"/>
  <c r="AC799" i="2"/>
  <c r="Y800" i="2"/>
  <c r="U803" i="2"/>
  <c r="AG803" i="2"/>
  <c r="AD813" i="2"/>
  <c r="Z814" i="2"/>
  <c r="AF815" i="2"/>
  <c r="AB816" i="2"/>
  <c r="X825" i="2"/>
  <c r="AC829" i="2"/>
  <c r="Z830" i="2"/>
  <c r="V831" i="2"/>
  <c r="AB838" i="2"/>
  <c r="X841" i="2"/>
  <c r="Z846" i="2"/>
  <c r="U847" i="2"/>
  <c r="AG847" i="2"/>
  <c r="W871" i="2"/>
  <c r="X876" i="2"/>
  <c r="V884" i="2"/>
  <c r="U895" i="2"/>
  <c r="AG895" i="2"/>
  <c r="AF908" i="2"/>
  <c r="AA917" i="2"/>
  <c r="AA920" i="2"/>
  <c r="V921" i="2"/>
  <c r="AH921" i="2"/>
  <c r="Z923" i="2"/>
  <c r="AB928" i="2"/>
  <c r="X932" i="2"/>
  <c r="AE956" i="2"/>
  <c r="AF961" i="2"/>
  <c r="AI969" i="2"/>
  <c r="Y983" i="2"/>
  <c r="AB985" i="2"/>
  <c r="AD987" i="2"/>
  <c r="W988" i="2"/>
  <c r="AA990" i="2"/>
  <c r="U999" i="2"/>
  <c r="AC1000" i="2"/>
  <c r="AA1003" i="2"/>
  <c r="W1006" i="2"/>
  <c r="AI1006" i="2"/>
  <c r="AC1007" i="2"/>
  <c r="Z1025" i="2"/>
  <c r="U1026" i="2"/>
  <c r="AG1026" i="2"/>
  <c r="X1031" i="2"/>
  <c r="AF1032" i="2"/>
  <c r="AE1061" i="2"/>
  <c r="X1097" i="2"/>
  <c r="AE1098" i="2"/>
  <c r="AI1106" i="2"/>
  <c r="AB1410" i="2"/>
  <c r="AE616" i="2"/>
  <c r="Z622" i="2"/>
  <c r="U623" i="2"/>
  <c r="AG623" i="2"/>
  <c r="AB626" i="2"/>
  <c r="U627" i="2"/>
  <c r="AG627" i="2"/>
  <c r="W631" i="2"/>
  <c r="AB632" i="2"/>
  <c r="Z637" i="2"/>
  <c r="AC639" i="2"/>
  <c r="X640" i="2"/>
  <c r="AD641" i="2"/>
  <c r="AA646" i="2"/>
  <c r="X647" i="2"/>
  <c r="W650" i="2"/>
  <c r="Y652" i="2"/>
  <c r="U653" i="2"/>
  <c r="AF659" i="2"/>
  <c r="AC662" i="2"/>
  <c r="X663" i="2"/>
  <c r="V666" i="2"/>
  <c r="AH666" i="2"/>
  <c r="AC667" i="2"/>
  <c r="AC674" i="2"/>
  <c r="AB679" i="2"/>
  <c r="AD682" i="2"/>
  <c r="V684" i="2"/>
  <c r="Z687" i="2"/>
  <c r="U688" i="2"/>
  <c r="AF688" i="2"/>
  <c r="AD690" i="2"/>
  <c r="AA693" i="2"/>
  <c r="Y699" i="2"/>
  <c r="Z703" i="2"/>
  <c r="W704" i="2"/>
  <c r="AI704" i="2"/>
  <c r="AE707" i="2"/>
  <c r="Z708" i="2"/>
  <c r="AE709" i="2"/>
  <c r="Y710" i="2"/>
  <c r="U711" i="2"/>
  <c r="AG711" i="2"/>
  <c r="Z712" i="2"/>
  <c r="AF715" i="2"/>
  <c r="AI717" i="2"/>
  <c r="AC723" i="2"/>
  <c r="AA726" i="2"/>
  <c r="AD728" i="2"/>
  <c r="AF732" i="2"/>
  <c r="X738" i="2"/>
  <c r="AI740" i="2"/>
  <c r="AD741" i="2"/>
  <c r="W742" i="2"/>
  <c r="AI742" i="2"/>
  <c r="Y746" i="2"/>
  <c r="AD752" i="2"/>
  <c r="U754" i="2"/>
  <c r="AG754" i="2"/>
  <c r="AC755" i="2"/>
  <c r="V756" i="2"/>
  <c r="AH756" i="2"/>
  <c r="X763" i="2"/>
  <c r="V773" i="2"/>
  <c r="AH773" i="2"/>
  <c r="AF778" i="2"/>
  <c r="Y779" i="2"/>
  <c r="AF780" i="2"/>
  <c r="AH782" i="2"/>
  <c r="X784" i="2"/>
  <c r="AI790" i="2"/>
  <c r="AE791" i="2"/>
  <c r="Y792" i="2"/>
  <c r="U793" i="2"/>
  <c r="AG793" i="2"/>
  <c r="AD799" i="2"/>
  <c r="AB802" i="2"/>
  <c r="X812" i="2"/>
  <c r="U826" i="2"/>
  <c r="AG826" i="2"/>
  <c r="AA830" i="2"/>
  <c r="W831" i="2"/>
  <c r="Y839" i="2"/>
  <c r="Z849" i="2"/>
  <c r="X852" i="2"/>
  <c r="AE853" i="2"/>
  <c r="X871" i="2"/>
  <c r="Z873" i="2"/>
  <c r="Y876" i="2"/>
  <c r="AB878" i="2"/>
  <c r="AA881" i="2"/>
  <c r="AB888" i="2"/>
  <c r="AH892" i="2"/>
  <c r="AE893" i="2"/>
  <c r="V900" i="2"/>
  <c r="AH900" i="2"/>
  <c r="Y902" i="2"/>
  <c r="U903" i="2"/>
  <c r="AG903" i="2"/>
  <c r="V905" i="2"/>
  <c r="AD906" i="2"/>
  <c r="Z907" i="2"/>
  <c r="AG927" i="2"/>
  <c r="U948" i="2"/>
  <c r="AB952" i="2"/>
  <c r="X953" i="2"/>
  <c r="AD954" i="2"/>
  <c r="AC965" i="2"/>
  <c r="Y966" i="2"/>
  <c r="AF967" i="2"/>
  <c r="AB968" i="2"/>
  <c r="W975" i="2"/>
  <c r="W981" i="2"/>
  <c r="AC985" i="2"/>
  <c r="X988" i="2"/>
  <c r="W996" i="2"/>
  <c r="AI1023" i="2"/>
  <c r="Y1068" i="2"/>
  <c r="Y1091" i="2"/>
  <c r="AC1096" i="2"/>
  <c r="V1165" i="2"/>
  <c r="AF1189" i="2"/>
  <c r="AB1202" i="2"/>
  <c r="AF1272" i="2"/>
  <c r="AB1273" i="2"/>
  <c r="W1274" i="2"/>
  <c r="AI1274" i="2"/>
  <c r="X1319" i="2"/>
  <c r="AF1323" i="2"/>
  <c r="AF643" i="2"/>
  <c r="Y644" i="2"/>
  <c r="AC646" i="2"/>
  <c r="Y647" i="2"/>
  <c r="AF648" i="2"/>
  <c r="AB649" i="2"/>
  <c r="Z652" i="2"/>
  <c r="AD655" i="2"/>
  <c r="Z656" i="2"/>
  <c r="AG657" i="2"/>
  <c r="U659" i="2"/>
  <c r="Y663" i="2"/>
  <c r="AB665" i="2"/>
  <c r="Y668" i="2"/>
  <c r="Y670" i="2"/>
  <c r="AB672" i="2"/>
  <c r="W673" i="2"/>
  <c r="AI673" i="2"/>
  <c r="Z677" i="2"/>
  <c r="AK677" i="2" s="1"/>
  <c r="AH678" i="2"/>
  <c r="W681" i="2"/>
  <c r="AI681" i="2"/>
  <c r="AA687" i="2"/>
  <c r="AA696" i="2"/>
  <c r="W697" i="2"/>
  <c r="AI697" i="2"/>
  <c r="U702" i="2"/>
  <c r="AG702" i="2"/>
  <c r="AB703" i="2"/>
  <c r="AD705" i="2"/>
  <c r="X706" i="2"/>
  <c r="U715" i="2"/>
  <c r="X717" i="2"/>
  <c r="AE718" i="2"/>
  <c r="Y719" i="2"/>
  <c r="AE735" i="2"/>
  <c r="U743" i="2"/>
  <c r="AG743" i="2"/>
  <c r="Y744" i="2"/>
  <c r="AE745" i="2"/>
  <c r="V747" i="2"/>
  <c r="AH747" i="2"/>
  <c r="AC748" i="2"/>
  <c r="Y749" i="2"/>
  <c r="AE752" i="2"/>
  <c r="Z753" i="2"/>
  <c r="Y763" i="2"/>
  <c r="AF764" i="2"/>
  <c r="AC767" i="2"/>
  <c r="X770" i="2"/>
  <c r="AF771" i="2"/>
  <c r="U778" i="2"/>
  <c r="AG778" i="2"/>
  <c r="AC781" i="2"/>
  <c r="W782" i="2"/>
  <c r="AI782" i="2"/>
  <c r="Y784" i="2"/>
  <c r="AB789" i="2"/>
  <c r="Z792" i="2"/>
  <c r="V793" i="2"/>
  <c r="AH793" i="2"/>
  <c r="W798" i="2"/>
  <c r="AI798" i="2"/>
  <c r="AE799" i="2"/>
  <c r="AH801" i="2"/>
  <c r="W803" i="2"/>
  <c r="W810" i="2"/>
  <c r="AI810" i="2"/>
  <c r="Y812" i="2"/>
  <c r="V818" i="2"/>
  <c r="AH818" i="2"/>
  <c r="V826" i="2"/>
  <c r="AH826" i="2"/>
  <c r="AC827" i="2"/>
  <c r="Z828" i="2"/>
  <c r="AF829" i="2"/>
  <c r="AD838" i="2"/>
  <c r="Z839" i="2"/>
  <c r="AF840" i="2"/>
  <c r="Z844" i="2"/>
  <c r="AB846" i="2"/>
  <c r="AI847" i="2"/>
  <c r="AE848" i="2"/>
  <c r="AH850" i="2"/>
  <c r="AF853" i="2"/>
  <c r="AC870" i="2"/>
  <c r="AB894" i="2"/>
  <c r="W900" i="2"/>
  <c r="W905" i="2"/>
  <c r="U916" i="2"/>
  <c r="W941" i="2"/>
  <c r="X941" i="2"/>
  <c r="U951" i="2"/>
  <c r="AF951" i="2"/>
  <c r="AC952" i="2"/>
  <c r="AE959" i="2"/>
  <c r="AA960" i="2"/>
  <c r="AC968" i="2"/>
  <c r="Y969" i="2"/>
  <c r="Z986" i="2"/>
  <c r="AH994" i="2"/>
  <c r="AB998" i="2"/>
  <c r="AC1005" i="2"/>
  <c r="AH1015" i="2"/>
  <c r="Z1017" i="2"/>
  <c r="AK1017" i="2" s="1"/>
  <c r="U1021" i="2"/>
  <c r="AG1021" i="2"/>
  <c r="W1043" i="2"/>
  <c r="AI1043" i="2"/>
  <c r="AH1052" i="2"/>
  <c r="Z1091" i="2"/>
  <c r="V1095" i="2"/>
  <c r="AF1219" i="2"/>
  <c r="V645" i="2"/>
  <c r="AH645" i="2"/>
  <c r="AG648" i="2"/>
  <c r="AI653" i="2"/>
  <c r="V657" i="2"/>
  <c r="AH657" i="2"/>
  <c r="V659" i="2"/>
  <c r="AH659" i="2"/>
  <c r="AB660" i="2"/>
  <c r="AE662" i="2"/>
  <c r="U664" i="2"/>
  <c r="AG664" i="2"/>
  <c r="AF667" i="2"/>
  <c r="Z670" i="2"/>
  <c r="U671" i="2"/>
  <c r="AG671" i="2"/>
  <c r="W678" i="2"/>
  <c r="AI678" i="2"/>
  <c r="X681" i="2"/>
  <c r="AF682" i="2"/>
  <c r="AA685" i="2"/>
  <c r="AG686" i="2"/>
  <c r="AB687" i="2"/>
  <c r="AK687" i="2" s="1"/>
  <c r="AB693" i="2"/>
  <c r="Y694" i="2"/>
  <c r="Y704" i="2"/>
  <c r="AA710" i="2"/>
  <c r="AH713" i="2"/>
  <c r="AD716" i="2"/>
  <c r="Y717" i="2"/>
  <c r="AF718" i="2"/>
  <c r="AC721" i="2"/>
  <c r="X722" i="2"/>
  <c r="AI722" i="2"/>
  <c r="V725" i="2"/>
  <c r="AH725" i="2"/>
  <c r="Y727" i="2"/>
  <c r="W730" i="2"/>
  <c r="AE737" i="2"/>
  <c r="Y738" i="2"/>
  <c r="AF739" i="2"/>
  <c r="U741" i="2"/>
  <c r="V743" i="2"/>
  <c r="Z744" i="2"/>
  <c r="Z746" i="2"/>
  <c r="AA746" i="2"/>
  <c r="Z749" i="2"/>
  <c r="AA751" i="2"/>
  <c r="AF752" i="2"/>
  <c r="W754" i="2"/>
  <c r="AI754" i="2"/>
  <c r="Y761" i="2"/>
  <c r="AE762" i="2"/>
  <c r="AC765" i="2"/>
  <c r="X773" i="2"/>
  <c r="V778" i="2"/>
  <c r="AH778" i="2"/>
  <c r="Z779" i="2"/>
  <c r="V780" i="2"/>
  <c r="AH780" i="2"/>
  <c r="U783" i="2"/>
  <c r="AG783" i="2"/>
  <c r="U788" i="2"/>
  <c r="AG788" i="2"/>
  <c r="AI793" i="2"/>
  <c r="AF799" i="2"/>
  <c r="W801" i="2"/>
  <c r="AI801" i="2"/>
  <c r="AD802" i="2"/>
  <c r="Y805" i="2"/>
  <c r="X810" i="2"/>
  <c r="AF811" i="2"/>
  <c r="W815" i="2"/>
  <c r="AI815" i="2"/>
  <c r="AE816" i="2"/>
  <c r="Z817" i="2"/>
  <c r="W818" i="2"/>
  <c r="V821" i="2"/>
  <c r="W826" i="2"/>
  <c r="AE827" i="2"/>
  <c r="AG832" i="2"/>
  <c r="Y834" i="2"/>
  <c r="AB836" i="2"/>
  <c r="Y837" i="2"/>
  <c r="W842" i="2"/>
  <c r="AD843" i="2"/>
  <c r="AF848" i="2"/>
  <c r="AA849" i="2"/>
  <c r="U853" i="2"/>
  <c r="AG853" i="2"/>
  <c r="Z866" i="2"/>
  <c r="W869" i="2"/>
  <c r="U872" i="2"/>
  <c r="AG872" i="2"/>
  <c r="AA873" i="2"/>
  <c r="AA876" i="2"/>
  <c r="AD878" i="2"/>
  <c r="AC881" i="2"/>
  <c r="AE885" i="2"/>
  <c r="Z886" i="2"/>
  <c r="V887" i="2"/>
  <c r="AH887" i="2"/>
  <c r="Z889" i="2"/>
  <c r="V890" i="2"/>
  <c r="AH890" i="2"/>
  <c r="Y892" i="2"/>
  <c r="X900" i="2"/>
  <c r="AA902" i="2"/>
  <c r="W903" i="2"/>
  <c r="AD904" i="2"/>
  <c r="X905" i="2"/>
  <c r="V916" i="2"/>
  <c r="AH916" i="2"/>
  <c r="V936" i="2"/>
  <c r="Y941" i="2"/>
  <c r="AA947" i="2"/>
  <c r="V956" i="2"/>
  <c r="AC957" i="2"/>
  <c r="W964" i="2"/>
  <c r="AI964" i="2"/>
  <c r="AF982" i="2"/>
  <c r="AB983" i="2"/>
  <c r="W984" i="2"/>
  <c r="AI994" i="2"/>
  <c r="U997" i="2"/>
  <c r="AC998" i="2"/>
  <c r="AI1015" i="2"/>
  <c r="AF1041" i="2"/>
  <c r="AB1042" i="2"/>
  <c r="AF1064" i="2"/>
  <c r="AI1081" i="2"/>
  <c r="V1157" i="2"/>
  <c r="AH1157" i="2"/>
  <c r="Y1159" i="2"/>
  <c r="V1198" i="2"/>
  <c r="AH1198" i="2"/>
  <c r="Z1218" i="2"/>
  <c r="AB754" i="2"/>
  <c r="X755" i="2"/>
  <c r="Z764" i="2"/>
  <c r="V765" i="2"/>
  <c r="AC773" i="2"/>
  <c r="AE784" i="2"/>
  <c r="Z788" i="2"/>
  <c r="AB793" i="2"/>
  <c r="X794" i="2"/>
  <c r="AA796" i="2"/>
  <c r="U797" i="2"/>
  <c r="AG797" i="2"/>
  <c r="AG809" i="2"/>
  <c r="U822" i="2"/>
  <c r="AG822" i="2"/>
  <c r="AB823" i="2"/>
  <c r="AF841" i="2"/>
  <c r="AA842" i="2"/>
  <c r="X851" i="2"/>
  <c r="AI851" i="2"/>
  <c r="AD852" i="2"/>
  <c r="Z853" i="2"/>
  <c r="V854" i="2"/>
  <c r="W856" i="2"/>
  <c r="AI856" i="2"/>
  <c r="X860" i="2"/>
  <c r="Y867" i="2"/>
  <c r="AI888" i="2"/>
  <c r="Z893" i="2"/>
  <c r="V894" i="2"/>
  <c r="AH894" i="2"/>
  <c r="Y906" i="2"/>
  <c r="U907" i="2"/>
  <c r="AG907" i="2"/>
  <c r="AB908" i="2"/>
  <c r="Z914" i="2"/>
  <c r="AK914" i="2" s="1"/>
  <c r="AE915" i="2"/>
  <c r="W917" i="2"/>
  <c r="AI917" i="2"/>
  <c r="AF929" i="2"/>
  <c r="AB930" i="2"/>
  <c r="X942" i="2"/>
  <c r="AE943" i="2"/>
  <c r="Y944" i="2"/>
  <c r="X946" i="2"/>
  <c r="AB948" i="2"/>
  <c r="AB964" i="2"/>
  <c r="AI968" i="2"/>
  <c r="AE969" i="2"/>
  <c r="Z973" i="2"/>
  <c r="Z979" i="2"/>
  <c r="AC991" i="2"/>
  <c r="U1011" i="2"/>
  <c r="Y1013" i="2"/>
  <c r="AA1018" i="2"/>
  <c r="V1025" i="2"/>
  <c r="AH1025" i="2"/>
  <c r="AC1026" i="2"/>
  <c r="Y1027" i="2"/>
  <c r="AE1034" i="2"/>
  <c r="AF1051" i="2"/>
  <c r="AE1083" i="2"/>
  <c r="X1090" i="2"/>
  <c r="W1116" i="2"/>
  <c r="AI1116" i="2"/>
  <c r="W1125" i="2"/>
  <c r="AI1125" i="2"/>
  <c r="Y1219" i="2"/>
  <c r="U1244" i="2"/>
  <c r="AC1245" i="2"/>
  <c r="AF1250" i="2"/>
  <c r="AB1251" i="2"/>
  <c r="V1390" i="2"/>
  <c r="AH1390" i="2"/>
  <c r="AD1391" i="2"/>
  <c r="Z1398" i="2"/>
  <c r="X750" i="2"/>
  <c r="Y752" i="2"/>
  <c r="W756" i="2"/>
  <c r="AI756" i="2"/>
  <c r="AD757" i="2"/>
  <c r="Y758" i="2"/>
  <c r="Y760" i="2"/>
  <c r="AF761" i="2"/>
  <c r="Z762" i="2"/>
  <c r="AA764" i="2"/>
  <c r="V767" i="2"/>
  <c r="V769" i="2"/>
  <c r="AH769" i="2"/>
  <c r="W771" i="2"/>
  <c r="AI771" i="2"/>
  <c r="AD772" i="2"/>
  <c r="Y773" i="2"/>
  <c r="AD774" i="2"/>
  <c r="AD785" i="2"/>
  <c r="Z786" i="2"/>
  <c r="AG787" i="2"/>
  <c r="AC788" i="2"/>
  <c r="W793" i="2"/>
  <c r="AC794" i="2"/>
  <c r="X795" i="2"/>
  <c r="AB796" i="2"/>
  <c r="V797" i="2"/>
  <c r="AH797" i="2"/>
  <c r="V803" i="2"/>
  <c r="AB806" i="2"/>
  <c r="AI818" i="2"/>
  <c r="AA822" i="2"/>
  <c r="Z829" i="2"/>
  <c r="AC831" i="2"/>
  <c r="X832" i="2"/>
  <c r="AE833" i="2"/>
  <c r="X835" i="2"/>
  <c r="AE836" i="2"/>
  <c r="AE838" i="2"/>
  <c r="AI843" i="2"/>
  <c r="AD844" i="2"/>
  <c r="AF857" i="2"/>
  <c r="AB858" i="2"/>
  <c r="U861" i="2"/>
  <c r="AG861" i="2"/>
  <c r="W863" i="2"/>
  <c r="V866" i="2"/>
  <c r="AH866" i="2"/>
  <c r="V868" i="2"/>
  <c r="AH868" i="2"/>
  <c r="X870" i="2"/>
  <c r="AE871" i="2"/>
  <c r="AE873" i="2"/>
  <c r="V875" i="2"/>
  <c r="AH875" i="2"/>
  <c r="X882" i="2"/>
  <c r="AG885" i="2"/>
  <c r="W887" i="2"/>
  <c r="AI887" i="2"/>
  <c r="W890" i="2"/>
  <c r="AI890" i="2"/>
  <c r="AD902" i="2"/>
  <c r="Y910" i="2"/>
  <c r="X915" i="2"/>
  <c r="X921" i="2"/>
  <c r="AF922" i="2"/>
  <c r="AF925" i="2"/>
  <c r="V927" i="2"/>
  <c r="AH927" i="2"/>
  <c r="AC931" i="2"/>
  <c r="AF933" i="2"/>
  <c r="AA934" i="2"/>
  <c r="AD936" i="2"/>
  <c r="V938" i="2"/>
  <c r="AH938" i="2"/>
  <c r="Z940" i="2"/>
  <c r="AF941" i="2"/>
  <c r="U943" i="2"/>
  <c r="AG943" i="2"/>
  <c r="Y949" i="2"/>
  <c r="Z951" i="2"/>
  <c r="W954" i="2"/>
  <c r="AH954" i="2"/>
  <c r="V967" i="2"/>
  <c r="AF973" i="2"/>
  <c r="AI975" i="2"/>
  <c r="AD983" i="2"/>
  <c r="Y984" i="2"/>
  <c r="AE985" i="2"/>
  <c r="U989" i="2"/>
  <c r="AG989" i="2"/>
  <c r="AH998" i="2"/>
  <c r="AA999" i="2"/>
  <c r="V1003" i="2"/>
  <c r="AH1003" i="2"/>
  <c r="AF1005" i="2"/>
  <c r="AA1014" i="2"/>
  <c r="X1015" i="2"/>
  <c r="Z1020" i="2"/>
  <c r="AD1022" i="2"/>
  <c r="W1048" i="2"/>
  <c r="AI1048" i="2"/>
  <c r="X1075" i="2"/>
  <c r="AA1105" i="2"/>
  <c r="AC1142" i="2"/>
  <c r="Y1146" i="2"/>
  <c r="U1147" i="2"/>
  <c r="AG1147" i="2"/>
  <c r="AC1209" i="2"/>
  <c r="W1382" i="2"/>
  <c r="AI1382" i="2"/>
  <c r="AC1407" i="2"/>
  <c r="U1445" i="2"/>
  <c r="Y1447" i="2"/>
  <c r="U1463" i="2"/>
  <c r="AG1463" i="2"/>
  <c r="AB1482" i="2"/>
  <c r="Z732" i="2"/>
  <c r="U733" i="2"/>
  <c r="V739" i="2"/>
  <c r="AH739" i="2"/>
  <c r="AI741" i="2"/>
  <c r="Z742" i="2"/>
  <c r="AD745" i="2"/>
  <c r="U749" i="2"/>
  <c r="AG749" i="2"/>
  <c r="U751" i="2"/>
  <c r="AG751" i="2"/>
  <c r="AE753" i="2"/>
  <c r="Z758" i="2"/>
  <c r="AF759" i="2"/>
  <c r="Z760" i="2"/>
  <c r="U763" i="2"/>
  <c r="AG763" i="2"/>
  <c r="AI765" i="2"/>
  <c r="AC766" i="2"/>
  <c r="AC770" i="2"/>
  <c r="X771" i="2"/>
  <c r="Z773" i="2"/>
  <c r="AK773" i="2" s="1"/>
  <c r="AE776" i="2"/>
  <c r="Z780" i="2"/>
  <c r="AA782" i="2"/>
  <c r="Z791" i="2"/>
  <c r="AK791" i="2" s="1"/>
  <c r="AC792" i="2"/>
  <c r="X793" i="2"/>
  <c r="AC796" i="2"/>
  <c r="AI797" i="2"/>
  <c r="AD798" i="2"/>
  <c r="AE800" i="2"/>
  <c r="AA801" i="2"/>
  <c r="AA804" i="2"/>
  <c r="W805" i="2"/>
  <c r="AI805" i="2"/>
  <c r="AI807" i="2"/>
  <c r="AE808" i="2"/>
  <c r="X809" i="2"/>
  <c r="AE810" i="2"/>
  <c r="AD826" i="2"/>
  <c r="U828" i="2"/>
  <c r="AG828" i="2"/>
  <c r="AD831" i="2"/>
  <c r="Y832" i="2"/>
  <c r="Y835" i="2"/>
  <c r="AB837" i="2"/>
  <c r="AF838" i="2"/>
  <c r="AF844" i="2"/>
  <c r="Y845" i="2"/>
  <c r="AG857" i="2"/>
  <c r="AB860" i="2"/>
  <c r="AH861" i="2"/>
  <c r="AB862" i="2"/>
  <c r="W866" i="2"/>
  <c r="AE869" i="2"/>
  <c r="AI875" i="2"/>
  <c r="U883" i="2"/>
  <c r="AH885" i="2"/>
  <c r="AB886" i="2"/>
  <c r="Y887" i="2"/>
  <c r="Y895" i="2"/>
  <c r="Z897" i="2"/>
  <c r="AH898" i="2"/>
  <c r="Z899" i="2"/>
  <c r="AE900" i="2"/>
  <c r="V911" i="2"/>
  <c r="AH911" i="2"/>
  <c r="AC912" i="2"/>
  <c r="U914" i="2"/>
  <c r="AG914" i="2"/>
  <c r="Z915" i="2"/>
  <c r="AD916" i="2"/>
  <c r="Z919" i="2"/>
  <c r="AE920" i="2"/>
  <c r="AB923" i="2"/>
  <c r="AC926" i="2"/>
  <c r="W927" i="2"/>
  <c r="AI927" i="2"/>
  <c r="AD931" i="2"/>
  <c r="AI935" i="2"/>
  <c r="AE936" i="2"/>
  <c r="AA940" i="2"/>
  <c r="V943" i="2"/>
  <c r="W947" i="2"/>
  <c r="AI947" i="2"/>
  <c r="AF950" i="2"/>
  <c r="AE953" i="2"/>
  <c r="AC963" i="2"/>
  <c r="Y964" i="2"/>
  <c r="AC974" i="2"/>
  <c r="Z977" i="2"/>
  <c r="AF978" i="2"/>
  <c r="AE983" i="2"/>
  <c r="AC999" i="2"/>
  <c r="AB1004" i="2"/>
  <c r="U1005" i="2"/>
  <c r="AG1005" i="2"/>
  <c r="V1013" i="2"/>
  <c r="AH1013" i="2"/>
  <c r="AC1014" i="2"/>
  <c r="AA1020" i="2"/>
  <c r="AH1021" i="2"/>
  <c r="AI1021" i="2"/>
  <c r="AA1039" i="2"/>
  <c r="AI1040" i="2"/>
  <c r="Y1056" i="2"/>
  <c r="V1141" i="2"/>
  <c r="Z1143" i="2"/>
  <c r="Y1207" i="2"/>
  <c r="V1296" i="2"/>
  <c r="Z1301" i="2"/>
  <c r="U1302" i="2"/>
  <c r="X1358" i="2"/>
  <c r="AB1360" i="2"/>
  <c r="AI1361" i="2"/>
  <c r="AA748" i="2"/>
  <c r="AA750" i="2"/>
  <c r="Z754" i="2"/>
  <c r="U755" i="2"/>
  <c r="AG755" i="2"/>
  <c r="Y756" i="2"/>
  <c r="AA762" i="2"/>
  <c r="AC764" i="2"/>
  <c r="AD766" i="2"/>
  <c r="AD770" i="2"/>
  <c r="AF772" i="2"/>
  <c r="Y775" i="2"/>
  <c r="X777" i="2"/>
  <c r="U781" i="2"/>
  <c r="AB782" i="2"/>
  <c r="AF785" i="2"/>
  <c r="AA791" i="2"/>
  <c r="AD792" i="2"/>
  <c r="Z795" i="2"/>
  <c r="AD796" i="2"/>
  <c r="X797" i="2"/>
  <c r="U800" i="2"/>
  <c r="AG800" i="2"/>
  <c r="AB801" i="2"/>
  <c r="AB804" i="2"/>
  <c r="X805" i="2"/>
  <c r="Y809" i="2"/>
  <c r="AB811" i="2"/>
  <c r="U812" i="2"/>
  <c r="AG812" i="2"/>
  <c r="X816" i="2"/>
  <c r="Z818" i="2"/>
  <c r="AC820" i="2"/>
  <c r="X821" i="2"/>
  <c r="AC822" i="2"/>
  <c r="Y823" i="2"/>
  <c r="Z825" i="2"/>
  <c r="AE826" i="2"/>
  <c r="AA827" i="2"/>
  <c r="V828" i="2"/>
  <c r="AD834" i="2"/>
  <c r="U838" i="2"/>
  <c r="AG838" i="2"/>
  <c r="U846" i="2"/>
  <c r="X848" i="2"/>
  <c r="AD856" i="2"/>
  <c r="AC860" i="2"/>
  <c r="AI861" i="2"/>
  <c r="X868" i="2"/>
  <c r="AF869" i="2"/>
  <c r="AG871" i="2"/>
  <c r="U888" i="2"/>
  <c r="AA897" i="2"/>
  <c r="W898" i="2"/>
  <c r="AF900" i="2"/>
  <c r="AB903" i="2"/>
  <c r="Y908" i="2"/>
  <c r="AD912" i="2"/>
  <c r="Y913" i="2"/>
  <c r="AA915" i="2"/>
  <c r="Z917" i="2"/>
  <c r="AD923" i="2"/>
  <c r="X930" i="2"/>
  <c r="AE931" i="2"/>
  <c r="AA932" i="2"/>
  <c r="Y935" i="2"/>
  <c r="AB937" i="2"/>
  <c r="X938" i="2"/>
  <c r="AH941" i="2"/>
  <c r="AB942" i="2"/>
  <c r="AE948" i="2"/>
  <c r="U950" i="2"/>
  <c r="V962" i="2"/>
  <c r="AH962" i="2"/>
  <c r="AD963" i="2"/>
  <c r="AE971" i="2"/>
  <c r="AD974" i="2"/>
  <c r="U985" i="2"/>
  <c r="AG985" i="2"/>
  <c r="Z993" i="2"/>
  <c r="AK993" i="2" s="1"/>
  <c r="U994" i="2"/>
  <c r="U996" i="2"/>
  <c r="AG996" i="2"/>
  <c r="AC997" i="2"/>
  <c r="AG1001" i="2"/>
  <c r="AC1004" i="2"/>
  <c r="AB1009" i="2"/>
  <c r="AE1011" i="2"/>
  <c r="AI1013" i="2"/>
  <c r="AD1014" i="2"/>
  <c r="AB1020" i="2"/>
  <c r="Y1037" i="2"/>
  <c r="AF1038" i="2"/>
  <c r="Z1042" i="2"/>
  <c r="U1043" i="2"/>
  <c r="AG1043" i="2"/>
  <c r="Y1045" i="2"/>
  <c r="U1046" i="2"/>
  <c r="AG1046" i="2"/>
  <c r="Z1053" i="2"/>
  <c r="W1054" i="2"/>
  <c r="AI1054" i="2"/>
  <c r="U1065" i="2"/>
  <c r="AG1065" i="2"/>
  <c r="AB1072" i="2"/>
  <c r="AC1074" i="2"/>
  <c r="AH1076" i="2"/>
  <c r="AC1094" i="2"/>
  <c r="Y1095" i="2"/>
  <c r="AF1096" i="2"/>
  <c r="V1129" i="2"/>
  <c r="W1129" i="2"/>
  <c r="AI1129" i="2"/>
  <c r="AE1130" i="2"/>
  <c r="AA1131" i="2"/>
  <c r="Y1190" i="2"/>
  <c r="X1193" i="2"/>
  <c r="AC1262" i="2"/>
  <c r="AI721" i="2"/>
  <c r="AD722" i="2"/>
  <c r="AE734" i="2"/>
  <c r="AB740" i="2"/>
  <c r="AC742" i="2"/>
  <c r="U747" i="2"/>
  <c r="W749" i="2"/>
  <c r="AI749" i="2"/>
  <c r="AB750" i="2"/>
  <c r="AB752" i="2"/>
  <c r="U753" i="2"/>
  <c r="AG753" i="2"/>
  <c r="AH759" i="2"/>
  <c r="V761" i="2"/>
  <c r="AI761" i="2"/>
  <c r="AC762" i="2"/>
  <c r="W763" i="2"/>
  <c r="Z765" i="2"/>
  <c r="AE766" i="2"/>
  <c r="Y767" i="2"/>
  <c r="AE768" i="2"/>
  <c r="X769" i="2"/>
  <c r="AE770" i="2"/>
  <c r="Z771" i="2"/>
  <c r="AG774" i="2"/>
  <c r="Z775" i="2"/>
  <c r="AH776" i="2"/>
  <c r="AE778" i="2"/>
  <c r="U779" i="2"/>
  <c r="AG779" i="2"/>
  <c r="AC782" i="2"/>
  <c r="Y783" i="2"/>
  <c r="U785" i="2"/>
  <c r="AG785" i="2"/>
  <c r="Y787" i="2"/>
  <c r="AA789" i="2"/>
  <c r="AF790" i="2"/>
  <c r="AE792" i="2"/>
  <c r="AF794" i="2"/>
  <c r="AC801" i="2"/>
  <c r="Y807" i="2"/>
  <c r="AC811" i="2"/>
  <c r="Y816" i="2"/>
  <c r="AA818" i="2"/>
  <c r="AD820" i="2"/>
  <c r="U824" i="2"/>
  <c r="AG824" i="2"/>
  <c r="AB827" i="2"/>
  <c r="Y830" i="2"/>
  <c r="AE831" i="2"/>
  <c r="AE834" i="2"/>
  <c r="U836" i="2"/>
  <c r="AH836" i="2"/>
  <c r="AD837" i="2"/>
  <c r="AD839" i="2"/>
  <c r="Y841" i="2"/>
  <c r="AF854" i="2"/>
  <c r="Y855" i="2"/>
  <c r="W859" i="2"/>
  <c r="AI859" i="2"/>
  <c r="AD860" i="2"/>
  <c r="U869" i="2"/>
  <c r="AG869" i="2"/>
  <c r="V871" i="2"/>
  <c r="W881" i="2"/>
  <c r="AI881" i="2"/>
  <c r="AA882" i="2"/>
  <c r="AI883" i="2"/>
  <c r="X885" i="2"/>
  <c r="V888" i="2"/>
  <c r="AF896" i="2"/>
  <c r="AI898" i="2"/>
  <c r="AF907" i="2"/>
  <c r="Z908" i="2"/>
  <c r="X911" i="2"/>
  <c r="W914" i="2"/>
  <c r="AI914" i="2"/>
  <c r="AF916" i="2"/>
  <c r="Y927" i="2"/>
  <c r="U928" i="2"/>
  <c r="AG928" i="2"/>
  <c r="Y930" i="2"/>
  <c r="AC942" i="2"/>
  <c r="X943" i="2"/>
  <c r="AD958" i="2"/>
  <c r="Y959" i="2"/>
  <c r="AB961" i="2"/>
  <c r="AE963" i="2"/>
  <c r="AA964" i="2"/>
  <c r="AG965" i="2"/>
  <c r="AH965" i="2"/>
  <c r="AA972" i="2"/>
  <c r="AF976" i="2"/>
  <c r="V978" i="2"/>
  <c r="AD979" i="2"/>
  <c r="U981" i="2"/>
  <c r="AG981" i="2"/>
  <c r="Y991" i="2"/>
  <c r="AE992" i="2"/>
  <c r="AA995" i="2"/>
  <c r="V996" i="2"/>
  <c r="AH996" i="2"/>
  <c r="AD997" i="2"/>
  <c r="Z998" i="2"/>
  <c r="AD1004" i="2"/>
  <c r="AC1009" i="2"/>
  <c r="X1010" i="2"/>
  <c r="AF1011" i="2"/>
  <c r="AE1017" i="2"/>
  <c r="Z1018" i="2"/>
  <c r="U1019" i="2"/>
  <c r="AG1019" i="2"/>
  <c r="AE1033" i="2"/>
  <c r="Z1045" i="2"/>
  <c r="AH1046" i="2"/>
  <c r="AF1052" i="2"/>
  <c r="AF1055" i="2"/>
  <c r="Z1064" i="2"/>
  <c r="Z1067" i="2"/>
  <c r="AC1069" i="2"/>
  <c r="Z1092" i="2"/>
  <c r="AD1111" i="2"/>
  <c r="Y1112" i="2"/>
  <c r="AF1127" i="2"/>
  <c r="X1129" i="2"/>
  <c r="W1179" i="2"/>
  <c r="AC1195" i="2"/>
  <c r="AH722" i="2"/>
  <c r="AA724" i="2"/>
  <c r="V730" i="2"/>
  <c r="U732" i="2"/>
  <c r="AG732" i="2"/>
  <c r="AB733" i="2"/>
  <c r="AK733" i="2" s="1"/>
  <c r="AI734" i="2"/>
  <c r="Y736" i="2"/>
  <c r="AC737" i="2"/>
  <c r="V738" i="2"/>
  <c r="V740" i="2"/>
  <c r="AH740" i="2"/>
  <c r="V742" i="2"/>
  <c r="AH742" i="2"/>
  <c r="AD743" i="2"/>
  <c r="Z747" i="2"/>
  <c r="AF754" i="2"/>
  <c r="AE756" i="2"/>
  <c r="U760" i="2"/>
  <c r="AF760" i="2"/>
  <c r="AB761" i="2"/>
  <c r="AE765" i="2"/>
  <c r="X768" i="2"/>
  <c r="AD769" i="2"/>
  <c r="AE775" i="2"/>
  <c r="AA776" i="2"/>
  <c r="U780" i="2"/>
  <c r="AG780" i="2"/>
  <c r="AD783" i="2"/>
  <c r="V784" i="2"/>
  <c r="AD787" i="2"/>
  <c r="Y788" i="2"/>
  <c r="AF789" i="2"/>
  <c r="AG791" i="2"/>
  <c r="X792" i="2"/>
  <c r="X798" i="2"/>
  <c r="U799" i="2"/>
  <c r="Y802" i="2"/>
  <c r="V804" i="2"/>
  <c r="AH804" i="2"/>
  <c r="AE809" i="2"/>
  <c r="AA812" i="2"/>
  <c r="Y817" i="2"/>
  <c r="AA819" i="2"/>
  <c r="AI820" i="2"/>
  <c r="AD821" i="2"/>
  <c r="W822" i="2"/>
  <c r="Z824" i="2"/>
  <c r="Y826" i="2"/>
  <c r="AA828" i="2"/>
  <c r="AC830" i="2"/>
  <c r="Z838" i="2"/>
  <c r="AE841" i="2"/>
  <c r="AA844" i="2"/>
  <c r="U845" i="2"/>
  <c r="AG845" i="2"/>
  <c r="AF850" i="2"/>
  <c r="W852" i="2"/>
  <c r="AI852" i="2"/>
  <c r="AD853" i="2"/>
  <c r="AD855" i="2"/>
  <c r="X856" i="2"/>
  <c r="AI858" i="2"/>
  <c r="AB859" i="2"/>
  <c r="W860" i="2"/>
  <c r="W862" i="2"/>
  <c r="AI862" i="2"/>
  <c r="AA864" i="2"/>
  <c r="V865" i="2"/>
  <c r="AH865" i="2"/>
  <c r="AI867" i="2"/>
  <c r="V872" i="2"/>
  <c r="AD875" i="2"/>
  <c r="W884" i="2"/>
  <c r="W889" i="2"/>
  <c r="AI889" i="2"/>
  <c r="Z900" i="2"/>
  <c r="U901" i="2"/>
  <c r="AH903" i="2"/>
  <c r="Y907" i="2"/>
  <c r="U910" i="2"/>
  <c r="AG910" i="2"/>
  <c r="Y918" i="2"/>
  <c r="U919" i="2"/>
  <c r="AG919" i="2"/>
  <c r="Y920" i="2"/>
  <c r="AI923" i="2"/>
  <c r="AB925" i="2"/>
  <c r="AD927" i="2"/>
  <c r="Z928" i="2"/>
  <c r="V929" i="2"/>
  <c r="AG929" i="2"/>
  <c r="AC943" i="2"/>
  <c r="AH946" i="2"/>
  <c r="AA955" i="2"/>
  <c r="AF956" i="2"/>
  <c r="W958" i="2"/>
  <c r="AI958" i="2"/>
  <c r="U961" i="2"/>
  <c r="AG961" i="2"/>
  <c r="AC970" i="2"/>
  <c r="W979" i="2"/>
  <c r="AI979" i="2"/>
  <c r="Z981" i="2"/>
  <c r="U982" i="2"/>
  <c r="AD991" i="2"/>
  <c r="X1006" i="2"/>
  <c r="AH1023" i="2"/>
  <c r="AB1024" i="2"/>
  <c r="X1025" i="2"/>
  <c r="AD1029" i="2"/>
  <c r="V1031" i="2"/>
  <c r="X1033" i="2"/>
  <c r="X1055" i="2"/>
  <c r="AE1059" i="2"/>
  <c r="AA1065" i="2"/>
  <c r="W1066" i="2"/>
  <c r="AH1116" i="2"/>
  <c r="Z1121" i="2"/>
  <c r="AD1123" i="2"/>
  <c r="Y1127" i="2"/>
  <c r="U1128" i="2"/>
  <c r="AC1129" i="2"/>
  <c r="AF1149" i="2"/>
  <c r="AG1172" i="2"/>
  <c r="Y1197" i="2"/>
  <c r="AE1394" i="2"/>
  <c r="AC849" i="2"/>
  <c r="X850" i="2"/>
  <c r="AI850" i="2"/>
  <c r="AF851" i="2"/>
  <c r="AD858" i="2"/>
  <c r="AC859" i="2"/>
  <c r="AC862" i="2"/>
  <c r="AF864" i="2"/>
  <c r="Z869" i="2"/>
  <c r="Y871" i="2"/>
  <c r="AC874" i="2"/>
  <c r="AD876" i="2"/>
  <c r="Y877" i="2"/>
  <c r="AG878" i="2"/>
  <c r="AD881" i="2"/>
  <c r="AF882" i="2"/>
  <c r="AH886" i="2"/>
  <c r="X888" i="2"/>
  <c r="AE891" i="2"/>
  <c r="V897" i="2"/>
  <c r="U902" i="2"/>
  <c r="AG902" i="2"/>
  <c r="AE904" i="2"/>
  <c r="AB909" i="2"/>
  <c r="W910" i="2"/>
  <c r="Y912" i="2"/>
  <c r="U913" i="2"/>
  <c r="U918" i="2"/>
  <c r="AC919" i="2"/>
  <c r="AA921" i="2"/>
  <c r="W922" i="2"/>
  <c r="AI922" i="2"/>
  <c r="AE923" i="2"/>
  <c r="W925" i="2"/>
  <c r="X927" i="2"/>
  <c r="X931" i="2"/>
  <c r="AA933" i="2"/>
  <c r="Y936" i="2"/>
  <c r="AC938" i="2"/>
  <c r="Y939" i="2"/>
  <c r="U940" i="2"/>
  <c r="AG940" i="2"/>
  <c r="Z941" i="2"/>
  <c r="AA944" i="2"/>
  <c r="Y946" i="2"/>
  <c r="AE949" i="2"/>
  <c r="X952" i="2"/>
  <c r="X963" i="2"/>
  <c r="AC966" i="2"/>
  <c r="W967" i="2"/>
  <c r="Z969" i="2"/>
  <c r="AD970" i="2"/>
  <c r="AB973" i="2"/>
  <c r="AK973" i="2" s="1"/>
  <c r="AE975" i="2"/>
  <c r="AE977" i="2"/>
  <c r="AA980" i="2"/>
  <c r="AB982" i="2"/>
  <c r="AB984" i="2"/>
  <c r="V985" i="2"/>
  <c r="AB996" i="2"/>
  <c r="W999" i="2"/>
  <c r="AE1000" i="2"/>
  <c r="AA1001" i="2"/>
  <c r="Z1016" i="2"/>
  <c r="AB1018" i="2"/>
  <c r="W1019" i="2"/>
  <c r="AC1020" i="2"/>
  <c r="AA1023" i="2"/>
  <c r="AE1024" i="2"/>
  <c r="V1026" i="2"/>
  <c r="U1029" i="2"/>
  <c r="AG1029" i="2"/>
  <c r="AF1045" i="2"/>
  <c r="AB1051" i="2"/>
  <c r="U1064" i="2"/>
  <c r="AG1064" i="2"/>
  <c r="AB1076" i="2"/>
  <c r="AI1077" i="2"/>
  <c r="AA1109" i="2"/>
  <c r="AH1118" i="2"/>
  <c r="U1127" i="2"/>
  <c r="AG1127" i="2"/>
  <c r="AC1128" i="2"/>
  <c r="AF1150" i="2"/>
  <c r="AF1204" i="2"/>
  <c r="X1232" i="2"/>
  <c r="AI1232" i="2"/>
  <c r="Y1246" i="2"/>
  <c r="Z1249" i="2"/>
  <c r="W1284" i="2"/>
  <c r="AI1284" i="2"/>
  <c r="AA1292" i="2"/>
  <c r="U1371" i="2"/>
  <c r="AG1371" i="2"/>
  <c r="AE830" i="2"/>
  <c r="AH834" i="2"/>
  <c r="X838" i="2"/>
  <c r="W840" i="2"/>
  <c r="AI840" i="2"/>
  <c r="AA843" i="2"/>
  <c r="AB845" i="2"/>
  <c r="V846" i="2"/>
  <c r="W853" i="2"/>
  <c r="AI853" i="2"/>
  <c r="AF855" i="2"/>
  <c r="Y857" i="2"/>
  <c r="AE859" i="2"/>
  <c r="AB861" i="2"/>
  <c r="AD862" i="2"/>
  <c r="Y863" i="2"/>
  <c r="AG864" i="2"/>
  <c r="Z867" i="2"/>
  <c r="AA867" i="2"/>
  <c r="AD872" i="2"/>
  <c r="V873" i="2"/>
  <c r="X884" i="2"/>
  <c r="AI884" i="2"/>
  <c r="AE887" i="2"/>
  <c r="AD889" i="2"/>
  <c r="AF891" i="2"/>
  <c r="AA892" i="2"/>
  <c r="W897" i="2"/>
  <c r="AI897" i="2"/>
  <c r="AE898" i="2"/>
  <c r="U899" i="2"/>
  <c r="AH902" i="2"/>
  <c r="AF904" i="2"/>
  <c r="AC909" i="2"/>
  <c r="X910" i="2"/>
  <c r="AD914" i="2"/>
  <c r="AE917" i="2"/>
  <c r="X925" i="2"/>
  <c r="AI925" i="2"/>
  <c r="Y931" i="2"/>
  <c r="W934" i="2"/>
  <c r="AI934" i="2"/>
  <c r="AE935" i="2"/>
  <c r="Z936" i="2"/>
  <c r="AD938" i="2"/>
  <c r="AB941" i="2"/>
  <c r="AA941" i="2"/>
  <c r="AC944" i="2"/>
  <c r="Z946" i="2"/>
  <c r="Y948" i="2"/>
  <c r="Z950" i="2"/>
  <c r="AC951" i="2"/>
  <c r="Y952" i="2"/>
  <c r="Z954" i="2"/>
  <c r="AA958" i="2"/>
  <c r="Y963" i="2"/>
  <c r="AE964" i="2"/>
  <c r="AA969" i="2"/>
  <c r="U972" i="2"/>
  <c r="AG972" i="2"/>
  <c r="Y974" i="2"/>
  <c r="X976" i="2"/>
  <c r="V983" i="2"/>
  <c r="AH983" i="2"/>
  <c r="Z988" i="2"/>
  <c r="AD990" i="2"/>
  <c r="AA992" i="2"/>
  <c r="V995" i="2"/>
  <c r="AH995" i="2"/>
  <c r="Y997" i="2"/>
  <c r="U1002" i="2"/>
  <c r="AG1002" i="2"/>
  <c r="AF1004" i="2"/>
  <c r="W1007" i="2"/>
  <c r="AI1007" i="2"/>
  <c r="Y1009" i="2"/>
  <c r="AF1010" i="2"/>
  <c r="W1012" i="2"/>
  <c r="AI1012" i="2"/>
  <c r="AE1015" i="2"/>
  <c r="AI1017" i="2"/>
  <c r="AC1018" i="2"/>
  <c r="X1019" i="2"/>
  <c r="AD1020" i="2"/>
  <c r="AF1024" i="2"/>
  <c r="AB1025" i="2"/>
  <c r="AK1025" i="2" s="1"/>
  <c r="AE1060" i="2"/>
  <c r="AF1073" i="2"/>
  <c r="Y1080" i="2"/>
  <c r="AF1081" i="2"/>
  <c r="V1105" i="2"/>
  <c r="AH1105" i="2"/>
  <c r="W1124" i="2"/>
  <c r="AI1124" i="2"/>
  <c r="AD1125" i="2"/>
  <c r="AA1126" i="2"/>
  <c r="V1127" i="2"/>
  <c r="AH1127" i="2"/>
  <c r="X1138" i="2"/>
  <c r="AE1139" i="2"/>
  <c r="AD1202" i="2"/>
  <c r="Y1226" i="2"/>
  <c r="Y1229" i="2"/>
  <c r="U1230" i="2"/>
  <c r="AG1230" i="2"/>
  <c r="U1233" i="2"/>
  <c r="AB1304" i="2"/>
  <c r="AH1371" i="2"/>
  <c r="AD819" i="2"/>
  <c r="Z820" i="2"/>
  <c r="AK820" i="2" s="1"/>
  <c r="AF821" i="2"/>
  <c r="U823" i="2"/>
  <c r="AG823" i="2"/>
  <c r="AB824" i="2"/>
  <c r="V825" i="2"/>
  <c r="AH825" i="2"/>
  <c r="X829" i="2"/>
  <c r="AA831" i="2"/>
  <c r="AA833" i="2"/>
  <c r="W834" i="2"/>
  <c r="AI834" i="2"/>
  <c r="Z836" i="2"/>
  <c r="AG837" i="2"/>
  <c r="AF839" i="2"/>
  <c r="U842" i="2"/>
  <c r="AG842" i="2"/>
  <c r="AB843" i="2"/>
  <c r="AC845" i="2"/>
  <c r="AD847" i="2"/>
  <c r="Z848" i="2"/>
  <c r="Z850" i="2"/>
  <c r="X853" i="2"/>
  <c r="U855" i="2"/>
  <c r="AA856" i="2"/>
  <c r="Z863" i="2"/>
  <c r="AB865" i="2"/>
  <c r="Y866" i="2"/>
  <c r="AF868" i="2"/>
  <c r="AB869" i="2"/>
  <c r="AH870" i="2"/>
  <c r="Y875" i="2"/>
  <c r="V882" i="2"/>
  <c r="AH882" i="2"/>
  <c r="U891" i="2"/>
  <c r="AB892" i="2"/>
  <c r="X893" i="2"/>
  <c r="X895" i="2"/>
  <c r="AB896" i="2"/>
  <c r="X897" i="2"/>
  <c r="V899" i="2"/>
  <c r="AH899" i="2"/>
  <c r="U906" i="2"/>
  <c r="AG906" i="2"/>
  <c r="AC907" i="2"/>
  <c r="V908" i="2"/>
  <c r="AH908" i="2"/>
  <c r="W913" i="2"/>
  <c r="AI913" i="2"/>
  <c r="W915" i="2"/>
  <c r="AH915" i="2"/>
  <c r="AA916" i="2"/>
  <c r="W920" i="2"/>
  <c r="Y925" i="2"/>
  <c r="Z927" i="2"/>
  <c r="AE928" i="2"/>
  <c r="AA929" i="2"/>
  <c r="AF930" i="2"/>
  <c r="V932" i="2"/>
  <c r="AH932" i="2"/>
  <c r="AB933" i="2"/>
  <c r="AF935" i="2"/>
  <c r="V940" i="2"/>
  <c r="AD944" i="2"/>
  <c r="V945" i="2"/>
  <c r="U949" i="2"/>
  <c r="AG949" i="2"/>
  <c r="AD951" i="2"/>
  <c r="V953" i="2"/>
  <c r="AH953" i="2"/>
  <c r="AD962" i="2"/>
  <c r="Z963" i="2"/>
  <c r="AE966" i="2"/>
  <c r="AB969" i="2"/>
  <c r="AB971" i="2"/>
  <c r="V972" i="2"/>
  <c r="AH972" i="2"/>
  <c r="U975" i="2"/>
  <c r="AF975" i="2"/>
  <c r="AG977" i="2"/>
  <c r="AA978" i="2"/>
  <c r="U979" i="2"/>
  <c r="AG979" i="2"/>
  <c r="AD982" i="2"/>
  <c r="W983" i="2"/>
  <c r="AI983" i="2"/>
  <c r="X985" i="2"/>
  <c r="AE986" i="2"/>
  <c r="AI987" i="2"/>
  <c r="X989" i="2"/>
  <c r="AD994" i="2"/>
  <c r="W995" i="2"/>
  <c r="Z997" i="2"/>
  <c r="AC1001" i="2"/>
  <c r="V1002" i="2"/>
  <c r="Z1014" i="2"/>
  <c r="AF1015" i="2"/>
  <c r="X1017" i="2"/>
  <c r="AD1018" i="2"/>
  <c r="AE1020" i="2"/>
  <c r="Z1021" i="2"/>
  <c r="X1026" i="2"/>
  <c r="AB1028" i="2"/>
  <c r="W1029" i="2"/>
  <c r="AI1029" i="2"/>
  <c r="AF1035" i="2"/>
  <c r="W1042" i="2"/>
  <c r="AD1043" i="2"/>
  <c r="X1050" i="2"/>
  <c r="Y1057" i="2"/>
  <c r="AE1058" i="2"/>
  <c r="AG1075" i="2"/>
  <c r="AH1075" i="2"/>
  <c r="X1083" i="2"/>
  <c r="AI1083" i="2"/>
  <c r="AA1104" i="2"/>
  <c r="W1105" i="2"/>
  <c r="AI1105" i="2"/>
  <c r="AB1117" i="2"/>
  <c r="X1147" i="2"/>
  <c r="AI1201" i="2"/>
  <c r="V1236" i="2"/>
  <c r="AH1236" i="2"/>
  <c r="AB1243" i="2"/>
  <c r="X1244" i="2"/>
  <c r="Y1264" i="2"/>
  <c r="AF1271" i="2"/>
  <c r="V1279" i="2"/>
  <c r="Z1281" i="2"/>
  <c r="AG1282" i="2"/>
  <c r="AA820" i="2"/>
  <c r="AG821" i="2"/>
  <c r="V823" i="2"/>
  <c r="AH823" i="2"/>
  <c r="AI825" i="2"/>
  <c r="X834" i="2"/>
  <c r="AH837" i="2"/>
  <c r="V842" i="2"/>
  <c r="AI844" i="2"/>
  <c r="X846" i="2"/>
  <c r="U849" i="2"/>
  <c r="AG849" i="2"/>
  <c r="Y853" i="2"/>
  <c r="AB856" i="2"/>
  <c r="AK856" i="2" s="1"/>
  <c r="AA860" i="2"/>
  <c r="W864" i="2"/>
  <c r="AI864" i="2"/>
  <c r="AD865" i="2"/>
  <c r="AC867" i="2"/>
  <c r="U868" i="2"/>
  <c r="AG868" i="2"/>
  <c r="W870" i="2"/>
  <c r="AI870" i="2"/>
  <c r="AC871" i="2"/>
  <c r="X873" i="2"/>
  <c r="AB877" i="2"/>
  <c r="U881" i="2"/>
  <c r="AE883" i="2"/>
  <c r="Y886" i="2"/>
  <c r="AA888" i="2"/>
  <c r="AF889" i="2"/>
  <c r="AA890" i="2"/>
  <c r="AE901" i="2"/>
  <c r="AF903" i="2"/>
  <c r="V904" i="2"/>
  <c r="AH906" i="2"/>
  <c r="AI908" i="2"/>
  <c r="AE909" i="2"/>
  <c r="U911" i="2"/>
  <c r="AG911" i="2"/>
  <c r="X913" i="2"/>
  <c r="AB916" i="2"/>
  <c r="U917" i="2"/>
  <c r="X918" i="2"/>
  <c r="AH923" i="2"/>
  <c r="AD924" i="2"/>
  <c r="W932" i="2"/>
  <c r="AI932" i="2"/>
  <c r="X934" i="2"/>
  <c r="X937" i="2"/>
  <c r="AB939" i="2"/>
  <c r="U942" i="2"/>
  <c r="AG942" i="2"/>
  <c r="AE944" i="2"/>
  <c r="AI945" i="2"/>
  <c r="AH949" i="2"/>
  <c r="AE951" i="2"/>
  <c r="AA952" i="2"/>
  <c r="W953" i="2"/>
  <c r="AI953" i="2"/>
  <c r="AB956" i="2"/>
  <c r="AE962" i="2"/>
  <c r="AA965" i="2"/>
  <c r="AF966" i="2"/>
  <c r="AG968" i="2"/>
  <c r="AA974" i="2"/>
  <c r="AB978" i="2"/>
  <c r="V979" i="2"/>
  <c r="AH979" i="2"/>
  <c r="AD980" i="2"/>
  <c r="Y981" i="2"/>
  <c r="X983" i="2"/>
  <c r="AE984" i="2"/>
  <c r="AC988" i="2"/>
  <c r="Y989" i="2"/>
  <c r="AI991" i="2"/>
  <c r="Y993" i="2"/>
  <c r="AA997" i="2"/>
  <c r="Z999" i="2"/>
  <c r="W1002" i="2"/>
  <c r="AI1002" i="2"/>
  <c r="AF1006" i="2"/>
  <c r="AC1011" i="2"/>
  <c r="Y1012" i="2"/>
  <c r="AG1013" i="2"/>
  <c r="AG1015" i="2"/>
  <c r="AC1016" i="2"/>
  <c r="Y1017" i="2"/>
  <c r="Z1019" i="2"/>
  <c r="AK1019" i="2" s="1"/>
  <c r="V1022" i="2"/>
  <c r="AH1022" i="2"/>
  <c r="Z1039" i="2"/>
  <c r="V1040" i="2"/>
  <c r="V1045" i="2"/>
  <c r="AA1047" i="2"/>
  <c r="Y1050" i="2"/>
  <c r="AE1056" i="2"/>
  <c r="AA1072" i="2"/>
  <c r="AB1074" i="2"/>
  <c r="V1075" i="2"/>
  <c r="AD1076" i="2"/>
  <c r="AA1077" i="2"/>
  <c r="W1078" i="2"/>
  <c r="AF1092" i="2"/>
  <c r="AA1093" i="2"/>
  <c r="AA1098" i="2"/>
  <c r="AB1101" i="2"/>
  <c r="AC1126" i="2"/>
  <c r="V1136" i="2"/>
  <c r="AH1136" i="2"/>
  <c r="AE1191" i="2"/>
  <c r="AA1192" i="2"/>
  <c r="AE1194" i="2"/>
  <c r="Z1198" i="2"/>
  <c r="AF1199" i="2"/>
  <c r="AB1200" i="2"/>
  <c r="AE1228" i="2"/>
  <c r="Z1229" i="2"/>
  <c r="AH1230" i="2"/>
  <c r="AG856" i="2"/>
  <c r="AF860" i="2"/>
  <c r="AB864" i="2"/>
  <c r="Z868" i="2"/>
  <c r="AH869" i="2"/>
  <c r="AB873" i="2"/>
  <c r="AF880" i="2"/>
  <c r="X883" i="2"/>
  <c r="AF888" i="2"/>
  <c r="AE890" i="2"/>
  <c r="V892" i="2"/>
  <c r="X894" i="2"/>
  <c r="V896" i="2"/>
  <c r="U900" i="2"/>
  <c r="Y903" i="2"/>
  <c r="AA904" i="2"/>
  <c r="U905" i="2"/>
  <c r="AG905" i="2"/>
  <c r="AA906" i="2"/>
  <c r="V907" i="2"/>
  <c r="AC908" i="2"/>
  <c r="X909" i="2"/>
  <c r="Y914" i="2"/>
  <c r="Y919" i="2"/>
  <c r="AA923" i="2"/>
  <c r="W924" i="2"/>
  <c r="AI924" i="2"/>
  <c r="AD925" i="2"/>
  <c r="AF931" i="2"/>
  <c r="Y938" i="2"/>
  <c r="U939" i="2"/>
  <c r="AG939" i="2"/>
  <c r="Z942" i="2"/>
  <c r="AK942" i="2" s="1"/>
  <c r="AB945" i="2"/>
  <c r="U946" i="2"/>
  <c r="AG946" i="2"/>
  <c r="Z947" i="2"/>
  <c r="AK947" i="2" s="1"/>
  <c r="AF948" i="2"/>
  <c r="AG954" i="2"/>
  <c r="U956" i="2"/>
  <c r="V958" i="2"/>
  <c r="AH958" i="2"/>
  <c r="X962" i="2"/>
  <c r="AF963" i="2"/>
  <c r="AF965" i="2"/>
  <c r="AE967" i="2"/>
  <c r="Z968" i="2"/>
  <c r="AF974" i="2"/>
  <c r="AD981" i="2"/>
  <c r="X982" i="2"/>
  <c r="Y986" i="2"/>
  <c r="AC987" i="2"/>
  <c r="V988" i="2"/>
  <c r="AH988" i="2"/>
  <c r="AC989" i="2"/>
  <c r="V992" i="2"/>
  <c r="AB995" i="2"/>
  <c r="AF997" i="2"/>
  <c r="AA998" i="2"/>
  <c r="AE999" i="2"/>
  <c r="V1001" i="2"/>
  <c r="AE1005" i="2"/>
  <c r="AD1007" i="2"/>
  <c r="V1011" i="2"/>
  <c r="AF1021" i="2"/>
  <c r="AA1022" i="2"/>
  <c r="AA1024" i="2"/>
  <c r="W1025" i="2"/>
  <c r="Z1027" i="2"/>
  <c r="U1028" i="2"/>
  <c r="AG1028" i="2"/>
  <c r="AC1029" i="2"/>
  <c r="W1033" i="2"/>
  <c r="U1041" i="2"/>
  <c r="AG1041" i="2"/>
  <c r="AC1042" i="2"/>
  <c r="X1056" i="2"/>
  <c r="Z1060" i="2"/>
  <c r="AK1060" i="2" s="1"/>
  <c r="AB1064" i="2"/>
  <c r="U1066" i="2"/>
  <c r="AG1066" i="2"/>
  <c r="X1071" i="2"/>
  <c r="V1085" i="2"/>
  <c r="Y1087" i="2"/>
  <c r="AC1088" i="2"/>
  <c r="AI1095" i="2"/>
  <c r="AA1097" i="2"/>
  <c r="AI1109" i="2"/>
  <c r="AE1138" i="2"/>
  <c r="Z1148" i="2"/>
  <c r="AB1150" i="2"/>
  <c r="AB1173" i="2"/>
  <c r="X1174" i="2"/>
  <c r="AE1175" i="2"/>
  <c r="W1177" i="2"/>
  <c r="AI1177" i="2"/>
  <c r="Z1182" i="2"/>
  <c r="V1186" i="2"/>
  <c r="AD1187" i="2"/>
  <c r="Z1188" i="2"/>
  <c r="V1189" i="2"/>
  <c r="AH1189" i="2"/>
  <c r="AF1255" i="2"/>
  <c r="W1257" i="2"/>
  <c r="X1257" i="2"/>
  <c r="AI1257" i="2"/>
  <c r="AA1265" i="2"/>
  <c r="W1266" i="2"/>
  <c r="AE1267" i="2"/>
  <c r="W1269" i="2"/>
  <c r="AD1270" i="2"/>
  <c r="Y1271" i="2"/>
  <c r="V1346" i="2"/>
  <c r="AH1346" i="2"/>
  <c r="AC1517" i="2"/>
  <c r="U1009" i="2"/>
  <c r="W1011" i="2"/>
  <c r="AI1011" i="2"/>
  <c r="AA1013" i="2"/>
  <c r="AE1014" i="2"/>
  <c r="AA1017" i="2"/>
  <c r="AF1018" i="2"/>
  <c r="AA1019" i="2"/>
  <c r="U1020" i="2"/>
  <c r="AG1020" i="2"/>
  <c r="AD1025" i="2"/>
  <c r="U1027" i="2"/>
  <c r="AC1028" i="2"/>
  <c r="AB1035" i="2"/>
  <c r="X1043" i="2"/>
  <c r="AB1050" i="2"/>
  <c r="V1053" i="2"/>
  <c r="AH1053" i="2"/>
  <c r="Y1055" i="2"/>
  <c r="AA1057" i="2"/>
  <c r="AF1060" i="2"/>
  <c r="V1062" i="2"/>
  <c r="AH1062" i="2"/>
  <c r="AC1063" i="2"/>
  <c r="AH1064" i="2"/>
  <c r="AC1065" i="2"/>
  <c r="Y1066" i="2"/>
  <c r="X1069" i="2"/>
  <c r="AF1079" i="2"/>
  <c r="AI1101" i="2"/>
  <c r="AA1103" i="2"/>
  <c r="V1104" i="2"/>
  <c r="W1104" i="2"/>
  <c r="AI1104" i="2"/>
  <c r="W1109" i="2"/>
  <c r="AD1137" i="2"/>
  <c r="AD1140" i="2"/>
  <c r="U1145" i="2"/>
  <c r="AG1145" i="2"/>
  <c r="AH1167" i="2"/>
  <c r="Z1169" i="2"/>
  <c r="AC1171" i="2"/>
  <c r="AD1179" i="2"/>
  <c r="Y1189" i="2"/>
  <c r="W1205" i="2"/>
  <c r="AI1205" i="2"/>
  <c r="AE1206" i="2"/>
  <c r="W1208" i="2"/>
  <c r="AI1208" i="2"/>
  <c r="W1214" i="2"/>
  <c r="AE1215" i="2"/>
  <c r="Y1227" i="2"/>
  <c r="AF1228" i="2"/>
  <c r="W1236" i="2"/>
  <c r="AI1236" i="2"/>
  <c r="U1242" i="2"/>
  <c r="AG1242" i="2"/>
  <c r="AD1266" i="2"/>
  <c r="Z1267" i="2"/>
  <c r="X1350" i="2"/>
  <c r="AA1358" i="2"/>
  <c r="W1359" i="2"/>
  <c r="AI1359" i="2"/>
  <c r="AE1363" i="2"/>
  <c r="AA1364" i="2"/>
  <c r="Y1388" i="2"/>
  <c r="AE1389" i="2"/>
  <c r="X1394" i="2"/>
  <c r="AF1395" i="2"/>
  <c r="X1000" i="2"/>
  <c r="AF1001" i="2"/>
  <c r="AF1007" i="2"/>
  <c r="AC1010" i="2"/>
  <c r="AB1017" i="2"/>
  <c r="U1018" i="2"/>
  <c r="AB1019" i="2"/>
  <c r="V1020" i="2"/>
  <c r="AE1023" i="2"/>
  <c r="W1024" i="2"/>
  <c r="AI1024" i="2"/>
  <c r="V1027" i="2"/>
  <c r="AH1027" i="2"/>
  <c r="AD1028" i="2"/>
  <c r="AE1030" i="2"/>
  <c r="W1032" i="2"/>
  <c r="AI1032" i="2"/>
  <c r="W1036" i="2"/>
  <c r="AI1036" i="2"/>
  <c r="Z1038" i="2"/>
  <c r="W1041" i="2"/>
  <c r="AI1041" i="2"/>
  <c r="Y1043" i="2"/>
  <c r="Z1043" i="2"/>
  <c r="AF1044" i="2"/>
  <c r="AB1045" i="2"/>
  <c r="X1046" i="2"/>
  <c r="W1051" i="2"/>
  <c r="AI1051" i="2"/>
  <c r="AC1052" i="2"/>
  <c r="W1074" i="2"/>
  <c r="U1079" i="2"/>
  <c r="AG1079" i="2"/>
  <c r="AE1084" i="2"/>
  <c r="Y1101" i="2"/>
  <c r="AC1113" i="2"/>
  <c r="Y1164" i="2"/>
  <c r="X1178" i="2"/>
  <c r="AI1178" i="2"/>
  <c r="Y1199" i="2"/>
  <c r="AC1201" i="2"/>
  <c r="AB1207" i="2"/>
  <c r="X1211" i="2"/>
  <c r="AI1214" i="2"/>
  <c r="AF1215" i="2"/>
  <c r="AD1226" i="2"/>
  <c r="AB1235" i="2"/>
  <c r="AB1352" i="2"/>
  <c r="AB1385" i="2"/>
  <c r="AE1387" i="2"/>
  <c r="Z1388" i="2"/>
  <c r="AG1389" i="2"/>
  <c r="AC1393" i="2"/>
  <c r="Z1002" i="2"/>
  <c r="W1004" i="2"/>
  <c r="AH1004" i="2"/>
  <c r="AD1006" i="2"/>
  <c r="U1007" i="2"/>
  <c r="AB1008" i="2"/>
  <c r="AC1013" i="2"/>
  <c r="U1014" i="2"/>
  <c r="AA1015" i="2"/>
  <c r="AG1016" i="2"/>
  <c r="AH1018" i="2"/>
  <c r="Y1022" i="2"/>
  <c r="X1024" i="2"/>
  <c r="Y1034" i="2"/>
  <c r="AD1035" i="2"/>
  <c r="X1036" i="2"/>
  <c r="AD1040" i="2"/>
  <c r="AA1043" i="2"/>
  <c r="U1044" i="2"/>
  <c r="AG1044" i="2"/>
  <c r="AD1073" i="2"/>
  <c r="AD1075" i="2"/>
  <c r="Z1076" i="2"/>
  <c r="AD1080" i="2"/>
  <c r="X1081" i="2"/>
  <c r="W1086" i="2"/>
  <c r="AI1086" i="2"/>
  <c r="AI1088" i="2"/>
  <c r="U1099" i="2"/>
  <c r="W1107" i="2"/>
  <c r="AF1110" i="2"/>
  <c r="W1112" i="2"/>
  <c r="AI1112" i="2"/>
  <c r="Z1133" i="2"/>
  <c r="X1136" i="2"/>
  <c r="W1142" i="2"/>
  <c r="X1142" i="2"/>
  <c r="AB1166" i="2"/>
  <c r="W1167" i="2"/>
  <c r="X1167" i="2"/>
  <c r="Y1175" i="2"/>
  <c r="AB1177" i="2"/>
  <c r="Y1178" i="2"/>
  <c r="Z1197" i="2"/>
  <c r="Z1199" i="2"/>
  <c r="AD1201" i="2"/>
  <c r="AD1349" i="2"/>
  <c r="U1384" i="2"/>
  <c r="AB1005" i="2"/>
  <c r="X1009" i="2"/>
  <c r="Z1011" i="2"/>
  <c r="V1014" i="2"/>
  <c r="AH1016" i="2"/>
  <c r="AD1017" i="2"/>
  <c r="U1025" i="2"/>
  <c r="AG1025" i="2"/>
  <c r="U1030" i="2"/>
  <c r="AG1030" i="2"/>
  <c r="AC1031" i="2"/>
  <c r="Z1034" i="2"/>
  <c r="U1037" i="2"/>
  <c r="AG1037" i="2"/>
  <c r="AI1039" i="2"/>
  <c r="AE1040" i="2"/>
  <c r="AA1048" i="2"/>
  <c r="AE1052" i="2"/>
  <c r="U1054" i="2"/>
  <c r="AC1057" i="2"/>
  <c r="AI1060" i="2"/>
  <c r="Y1062" i="2"/>
  <c r="AE1063" i="2"/>
  <c r="Y1064" i="2"/>
  <c r="AF1065" i="2"/>
  <c r="AE1068" i="2"/>
  <c r="V1070" i="2"/>
  <c r="AE1073" i="2"/>
  <c r="X1074" i="2"/>
  <c r="Y1074" i="2"/>
  <c r="AA1076" i="2"/>
  <c r="AF1077" i="2"/>
  <c r="X1086" i="2"/>
  <c r="X1088" i="2"/>
  <c r="U1105" i="2"/>
  <c r="AG1105" i="2"/>
  <c r="AC1106" i="2"/>
  <c r="X1107" i="2"/>
  <c r="AC1111" i="2"/>
  <c r="AC1152" i="2"/>
  <c r="AA1161" i="2"/>
  <c r="W1162" i="2"/>
  <c r="AE1163" i="2"/>
  <c r="AA1172" i="2"/>
  <c r="W1173" i="2"/>
  <c r="AI1173" i="2"/>
  <c r="X1190" i="2"/>
  <c r="Z1192" i="2"/>
  <c r="V1193" i="2"/>
  <c r="AH1193" i="2"/>
  <c r="AF1196" i="2"/>
  <c r="U1198" i="2"/>
  <c r="AG1198" i="2"/>
  <c r="AA1199" i="2"/>
  <c r="W1200" i="2"/>
  <c r="U1313" i="2"/>
  <c r="AC1314" i="2"/>
  <c r="Y1315" i="2"/>
  <c r="AE1349" i="2"/>
  <c r="AD1061" i="2"/>
  <c r="W1064" i="2"/>
  <c r="AB1065" i="2"/>
  <c r="X1066" i="2"/>
  <c r="AA1068" i="2"/>
  <c r="W1069" i="2"/>
  <c r="AI1069" i="2"/>
  <c r="Y1071" i="2"/>
  <c r="U1072" i="2"/>
  <c r="AG1072" i="2"/>
  <c r="AA1079" i="2"/>
  <c r="X1080" i="2"/>
  <c r="AE1081" i="2"/>
  <c r="Y1086" i="2"/>
  <c r="AC1092" i="2"/>
  <c r="W1093" i="2"/>
  <c r="AI1093" i="2"/>
  <c r="V1103" i="2"/>
  <c r="AH1103" i="2"/>
  <c r="AD1104" i="2"/>
  <c r="AG1108" i="2"/>
  <c r="W1110" i="2"/>
  <c r="AD1118" i="2"/>
  <c r="U1120" i="2"/>
  <c r="AG1120" i="2"/>
  <c r="X1122" i="2"/>
  <c r="X1137" i="2"/>
  <c r="AB1144" i="2"/>
  <c r="Y1147" i="2"/>
  <c r="U1153" i="2"/>
  <c r="AG1153" i="2"/>
  <c r="AC1154" i="2"/>
  <c r="AE1156" i="2"/>
  <c r="Z1157" i="2"/>
  <c r="AA1157" i="2"/>
  <c r="V1158" i="2"/>
  <c r="AH1158" i="2"/>
  <c r="AD1164" i="2"/>
  <c r="W1165" i="2"/>
  <c r="AB1172" i="2"/>
  <c r="AD1177" i="2"/>
  <c r="AE1190" i="2"/>
  <c r="AH1220" i="2"/>
  <c r="Y1225" i="2"/>
  <c r="X1276" i="2"/>
  <c r="AF1277" i="2"/>
  <c r="AH1282" i="2"/>
  <c r="AD1376" i="2"/>
  <c r="Y1383" i="2"/>
  <c r="AC1524" i="2"/>
  <c r="AE1526" i="2"/>
  <c r="AF1526" i="2"/>
  <c r="AE1089" i="2"/>
  <c r="V1091" i="2"/>
  <c r="AD1092" i="2"/>
  <c r="X1093" i="2"/>
  <c r="AB1095" i="2"/>
  <c r="W1098" i="2"/>
  <c r="AI1098" i="2"/>
  <c r="AF1106" i="2"/>
  <c r="AB1107" i="2"/>
  <c r="AH1108" i="2"/>
  <c r="AE1118" i="2"/>
  <c r="Y1122" i="2"/>
  <c r="AG1123" i="2"/>
  <c r="AB1124" i="2"/>
  <c r="Y1125" i="2"/>
  <c r="U1126" i="2"/>
  <c r="AG1126" i="2"/>
  <c r="AC1139" i="2"/>
  <c r="Y1140" i="2"/>
  <c r="U1143" i="2"/>
  <c r="AG1143" i="2"/>
  <c r="AD1154" i="2"/>
  <c r="AI1158" i="2"/>
  <c r="Z1160" i="2"/>
  <c r="AA1162" i="2"/>
  <c r="W1163" i="2"/>
  <c r="AI1163" i="2"/>
  <c r="Z1170" i="2"/>
  <c r="AI1176" i="2"/>
  <c r="Z1178" i="2"/>
  <c r="AD1185" i="2"/>
  <c r="U1187" i="2"/>
  <c r="Z1189" i="2"/>
  <c r="U1216" i="2"/>
  <c r="AG1216" i="2"/>
  <c r="AD1224" i="2"/>
  <c r="Z1225" i="2"/>
  <c r="U1257" i="2"/>
  <c r="AG1257" i="2"/>
  <c r="AC1258" i="2"/>
  <c r="AC1261" i="2"/>
  <c r="U1263" i="2"/>
  <c r="AG1263" i="2"/>
  <c r="AB1340" i="2"/>
  <c r="AA1346" i="2"/>
  <c r="AH1352" i="2"/>
  <c r="AH1026" i="2"/>
  <c r="AB1032" i="2"/>
  <c r="AG1035" i="2"/>
  <c r="X1039" i="2"/>
  <c r="Y1041" i="2"/>
  <c r="U1042" i="2"/>
  <c r="AG1042" i="2"/>
  <c r="AF1047" i="2"/>
  <c r="AE1049" i="2"/>
  <c r="AD1051" i="2"/>
  <c r="Y1054" i="2"/>
  <c r="AG1055" i="2"/>
  <c r="Z1056" i="2"/>
  <c r="V1057" i="2"/>
  <c r="AH1057" i="2"/>
  <c r="AA1060" i="2"/>
  <c r="U1063" i="2"/>
  <c r="W1072" i="2"/>
  <c r="AI1072" i="2"/>
  <c r="W1076" i="2"/>
  <c r="AB1077" i="2"/>
  <c r="X1078" i="2"/>
  <c r="AI1078" i="2"/>
  <c r="AF1089" i="2"/>
  <c r="AB1090" i="2"/>
  <c r="AE1092" i="2"/>
  <c r="Y1093" i="2"/>
  <c r="AC1095" i="2"/>
  <c r="X1098" i="2"/>
  <c r="Z1100" i="2"/>
  <c r="X1103" i="2"/>
  <c r="AC1107" i="2"/>
  <c r="Y1110" i="2"/>
  <c r="U1111" i="2"/>
  <c r="Y1117" i="2"/>
  <c r="AA1119" i="2"/>
  <c r="AD1121" i="2"/>
  <c r="V1143" i="2"/>
  <c r="AH1143" i="2"/>
  <c r="Y1145" i="2"/>
  <c r="X1171" i="2"/>
  <c r="U1174" i="2"/>
  <c r="AG1174" i="2"/>
  <c r="W1202" i="2"/>
  <c r="AI1202" i="2"/>
  <c r="W1210" i="2"/>
  <c r="AI1210" i="2"/>
  <c r="AA1215" i="2"/>
  <c r="V1254" i="2"/>
  <c r="Z1256" i="2"/>
  <c r="V1257" i="2"/>
  <c r="V1260" i="2"/>
  <c r="AH1260" i="2"/>
  <c r="V1274" i="2"/>
  <c r="AH1274" i="2"/>
  <c r="AD1275" i="2"/>
  <c r="Z1276" i="2"/>
  <c r="AG1277" i="2"/>
  <c r="U1339" i="2"/>
  <c r="AG1339" i="2"/>
  <c r="AG1345" i="2"/>
  <c r="AF1348" i="2"/>
  <c r="W1352" i="2"/>
  <c r="AI1352" i="2"/>
  <c r="Z1372" i="2"/>
  <c r="W1026" i="2"/>
  <c r="AE1027" i="2"/>
  <c r="Y1030" i="2"/>
  <c r="U1033" i="2"/>
  <c r="AG1033" i="2"/>
  <c r="AH1035" i="2"/>
  <c r="AD1038" i="2"/>
  <c r="Y1039" i="2"/>
  <c r="Z1041" i="2"/>
  <c r="AC1043" i="2"/>
  <c r="U1047" i="2"/>
  <c r="AG1047" i="2"/>
  <c r="Z1048" i="2"/>
  <c r="AF1049" i="2"/>
  <c r="AA1050" i="2"/>
  <c r="AD1053" i="2"/>
  <c r="Z1054" i="2"/>
  <c r="AI1057" i="2"/>
  <c r="V1059" i="2"/>
  <c r="AH1059" i="2"/>
  <c r="V1063" i="2"/>
  <c r="AH1063" i="2"/>
  <c r="AA1080" i="2"/>
  <c r="V1081" i="2"/>
  <c r="AH1081" i="2"/>
  <c r="AB1088" i="2"/>
  <c r="Z1093" i="2"/>
  <c r="V1094" i="2"/>
  <c r="AG1094" i="2"/>
  <c r="AH1094" i="2"/>
  <c r="Y1098" i="2"/>
  <c r="U1118" i="2"/>
  <c r="AE1132" i="2"/>
  <c r="U1136" i="2"/>
  <c r="AG1136" i="2"/>
  <c r="W1143" i="2"/>
  <c r="AI1143" i="2"/>
  <c r="AF1151" i="2"/>
  <c r="Z1168" i="2"/>
  <c r="AC1170" i="2"/>
  <c r="V1179" i="2"/>
  <c r="AH1179" i="2"/>
  <c r="AB1183" i="2"/>
  <c r="X1184" i="2"/>
  <c r="U1221" i="2"/>
  <c r="AG1221" i="2"/>
  <c r="AC1222" i="2"/>
  <c r="Y1223" i="2"/>
  <c r="AE1224" i="2"/>
  <c r="AA1225" i="2"/>
  <c r="V1243" i="2"/>
  <c r="Y1251" i="2"/>
  <c r="AE1252" i="2"/>
  <c r="AA1253" i="2"/>
  <c r="AA1256" i="2"/>
  <c r="V1266" i="2"/>
  <c r="AH1266" i="2"/>
  <c r="AD1267" i="2"/>
  <c r="Z1268" i="2"/>
  <c r="Y1285" i="2"/>
  <c r="AA1287" i="2"/>
  <c r="AB1311" i="2"/>
  <c r="W1312" i="2"/>
  <c r="AI1312" i="2"/>
  <c r="X1315" i="2"/>
  <c r="AC1343" i="2"/>
  <c r="Y1401" i="2"/>
  <c r="AE1402" i="2"/>
  <c r="AA1403" i="2"/>
  <c r="W1404" i="2"/>
  <c r="AI1404" i="2"/>
  <c r="AF1028" i="2"/>
  <c r="Z1035" i="2"/>
  <c r="AK1035" i="2" s="1"/>
  <c r="AB1037" i="2"/>
  <c r="W1038" i="2"/>
  <c r="AD1039" i="2"/>
  <c r="AI1045" i="2"/>
  <c r="AE1048" i="2"/>
  <c r="W1053" i="2"/>
  <c r="AB1057" i="2"/>
  <c r="AF1066" i="2"/>
  <c r="V1068" i="2"/>
  <c r="AE1069" i="2"/>
  <c r="AH1073" i="2"/>
  <c r="V1077" i="2"/>
  <c r="AH1077" i="2"/>
  <c r="AA1081" i="2"/>
  <c r="AF1084" i="2"/>
  <c r="AA1094" i="2"/>
  <c r="AD1098" i="2"/>
  <c r="AA1101" i="2"/>
  <c r="AD1103" i="2"/>
  <c r="AH1112" i="2"/>
  <c r="AB1113" i="2"/>
  <c r="AG1114" i="2"/>
  <c r="AB1123" i="2"/>
  <c r="AE1128" i="2"/>
  <c r="X1134" i="2"/>
  <c r="X1144" i="2"/>
  <c r="AE1145" i="2"/>
  <c r="W1149" i="2"/>
  <c r="AI1149" i="2"/>
  <c r="Y1151" i="2"/>
  <c r="U1152" i="2"/>
  <c r="AG1152" i="2"/>
  <c r="U1155" i="2"/>
  <c r="AG1155" i="2"/>
  <c r="V1162" i="2"/>
  <c r="Z1164" i="2"/>
  <c r="AC1184" i="2"/>
  <c r="U1186" i="2"/>
  <c r="AG1186" i="2"/>
  <c r="AC1187" i="2"/>
  <c r="X1188" i="2"/>
  <c r="AG1189" i="2"/>
  <c r="AC1202" i="2"/>
  <c r="Z1205" i="2"/>
  <c r="AC1210" i="2"/>
  <c r="V1230" i="2"/>
  <c r="AI1244" i="2"/>
  <c r="V1247" i="2"/>
  <c r="AH1247" i="2"/>
  <c r="Y1319" i="2"/>
  <c r="U1323" i="2"/>
  <c r="AI1331" i="2"/>
  <c r="W1337" i="2"/>
  <c r="AI1337" i="2"/>
  <c r="W1340" i="2"/>
  <c r="AA1345" i="2"/>
  <c r="Z1348" i="2"/>
  <c r="AC1355" i="2"/>
  <c r="W1094" i="2"/>
  <c r="AI1094" i="2"/>
  <c r="Z1096" i="2"/>
  <c r="U1097" i="2"/>
  <c r="AG1097" i="2"/>
  <c r="AD1113" i="2"/>
  <c r="AE1113" i="2"/>
  <c r="X1118" i="2"/>
  <c r="AF1121" i="2"/>
  <c r="AI1123" i="2"/>
  <c r="AH1126" i="2"/>
  <c r="AB1127" i="2"/>
  <c r="U1133" i="2"/>
  <c r="Z1136" i="2"/>
  <c r="AE1137" i="2"/>
  <c r="AD1142" i="2"/>
  <c r="AC1155" i="2"/>
  <c r="V1156" i="2"/>
  <c r="AH1156" i="2"/>
  <c r="AD1157" i="2"/>
  <c r="Y1158" i="2"/>
  <c r="AE1168" i="2"/>
  <c r="AA1169" i="2"/>
  <c r="W1172" i="2"/>
  <c r="AI1172" i="2"/>
  <c r="AF1175" i="2"/>
  <c r="AF1178" i="2"/>
  <c r="U1180" i="2"/>
  <c r="AG1180" i="2"/>
  <c r="W1182" i="2"/>
  <c r="AI1182" i="2"/>
  <c r="AC1183" i="2"/>
  <c r="X1187" i="2"/>
  <c r="U1197" i="2"/>
  <c r="AG1197" i="2"/>
  <c r="AA1198" i="2"/>
  <c r="U1199" i="2"/>
  <c r="Y1201" i="2"/>
  <c r="AB1230" i="2"/>
  <c r="U1234" i="2"/>
  <c r="AG1234" i="2"/>
  <c r="AC1235" i="2"/>
  <c r="U1237" i="2"/>
  <c r="AD1243" i="2"/>
  <c r="AA1260" i="2"/>
  <c r="W1261" i="2"/>
  <c r="AI1261" i="2"/>
  <c r="AD1262" i="2"/>
  <c r="AC1268" i="2"/>
  <c r="U1300" i="2"/>
  <c r="AC1301" i="2"/>
  <c r="Y1302" i="2"/>
  <c r="U1303" i="2"/>
  <c r="AB1339" i="2"/>
  <c r="AK1339" i="2" s="1"/>
  <c r="X1343" i="2"/>
  <c r="AB1392" i="2"/>
  <c r="X1393" i="2"/>
  <c r="V1523" i="2"/>
  <c r="AH1523" i="2"/>
  <c r="Y1534" i="2"/>
  <c r="AF1538" i="2"/>
  <c r="AG1111" i="2"/>
  <c r="X1114" i="2"/>
  <c r="AA1116" i="2"/>
  <c r="AF1117" i="2"/>
  <c r="U1121" i="2"/>
  <c r="AG1121" i="2"/>
  <c r="AA1122" i="2"/>
  <c r="AE1129" i="2"/>
  <c r="U1131" i="2"/>
  <c r="AG1131" i="2"/>
  <c r="V1133" i="2"/>
  <c r="AH1133" i="2"/>
  <c r="AI1141" i="2"/>
  <c r="W1148" i="2"/>
  <c r="AC1151" i="2"/>
  <c r="AE1157" i="2"/>
  <c r="AH1159" i="2"/>
  <c r="AC1160" i="2"/>
  <c r="X1165" i="2"/>
  <c r="AI1165" i="2"/>
  <c r="AD1166" i="2"/>
  <c r="Z1167" i="2"/>
  <c r="AB1169" i="2"/>
  <c r="W1170" i="2"/>
  <c r="AI1170" i="2"/>
  <c r="V1180" i="2"/>
  <c r="AH1180" i="2"/>
  <c r="AB1181" i="2"/>
  <c r="X1182" i="2"/>
  <c r="AF1188" i="2"/>
  <c r="AB1189" i="2"/>
  <c r="Y1194" i="2"/>
  <c r="V1197" i="2"/>
  <c r="AB1198" i="2"/>
  <c r="V1199" i="2"/>
  <c r="AH1199" i="2"/>
  <c r="AD1200" i="2"/>
  <c r="Z1201" i="2"/>
  <c r="V1209" i="2"/>
  <c r="U1222" i="2"/>
  <c r="Z1228" i="2"/>
  <c r="U1229" i="2"/>
  <c r="AG1229" i="2"/>
  <c r="AA1233" i="2"/>
  <c r="AH1234" i="2"/>
  <c r="AD1235" i="2"/>
  <c r="U1240" i="2"/>
  <c r="AI1242" i="2"/>
  <c r="Z1258" i="2"/>
  <c r="AB1282" i="2"/>
  <c r="W1283" i="2"/>
  <c r="X1283" i="2"/>
  <c r="AI1283" i="2"/>
  <c r="AD1290" i="2"/>
  <c r="AA1293" i="2"/>
  <c r="AD1298" i="2"/>
  <c r="AD1301" i="2"/>
  <c r="U1338" i="2"/>
  <c r="Y1343" i="2"/>
  <c r="Z1376" i="2"/>
  <c r="AC1381" i="2"/>
  <c r="AF1414" i="2"/>
  <c r="X1416" i="2"/>
  <c r="AE1417" i="2"/>
  <c r="AF1512" i="2"/>
  <c r="AB1513" i="2"/>
  <c r="AB1103" i="2"/>
  <c r="AB1105" i="2"/>
  <c r="AC1105" i="2"/>
  <c r="AF1107" i="2"/>
  <c r="AE1109" i="2"/>
  <c r="AC1112" i="2"/>
  <c r="U1113" i="2"/>
  <c r="Y1114" i="2"/>
  <c r="AF1119" i="2"/>
  <c r="Z1120" i="2"/>
  <c r="AF1124" i="2"/>
  <c r="AB1125" i="2"/>
  <c r="AF1142" i="2"/>
  <c r="W1146" i="2"/>
  <c r="AI1146" i="2"/>
  <c r="Z1152" i="2"/>
  <c r="AA1154" i="2"/>
  <c r="AE1155" i="2"/>
  <c r="X1156" i="2"/>
  <c r="Y1165" i="2"/>
  <c r="AE1166" i="2"/>
  <c r="U1168" i="2"/>
  <c r="AG1168" i="2"/>
  <c r="AH1178" i="2"/>
  <c r="V1185" i="2"/>
  <c r="AH1185" i="2"/>
  <c r="X1192" i="2"/>
  <c r="Z1194" i="2"/>
  <c r="W1197" i="2"/>
  <c r="AH1197" i="2"/>
  <c r="W1204" i="2"/>
  <c r="AI1204" i="2"/>
  <c r="AB1208" i="2"/>
  <c r="Z1221" i="2"/>
  <c r="Y1224" i="2"/>
  <c r="Z1226" i="2"/>
  <c r="AF1227" i="2"/>
  <c r="AA1228" i="2"/>
  <c r="Z1231" i="2"/>
  <c r="AF1232" i="2"/>
  <c r="AB1233" i="2"/>
  <c r="V1240" i="2"/>
  <c r="AE1246" i="2"/>
  <c r="AA1258" i="2"/>
  <c r="U1259" i="2"/>
  <c r="AG1259" i="2"/>
  <c r="Z1280" i="2"/>
  <c r="AC1282" i="2"/>
  <c r="AF1292" i="2"/>
  <c r="AE1295" i="2"/>
  <c r="AA1296" i="2"/>
  <c r="AH1335" i="2"/>
  <c r="Z1337" i="2"/>
  <c r="W1357" i="2"/>
  <c r="AE1361" i="2"/>
  <c r="W1363" i="2"/>
  <c r="AI1363" i="2"/>
  <c r="AE1364" i="2"/>
  <c r="AE1367" i="2"/>
  <c r="AD1412" i="2"/>
  <c r="AC1415" i="2"/>
  <c r="Y1416" i="2"/>
  <c r="Z1101" i="2"/>
  <c r="AD1105" i="2"/>
  <c r="AG1107" i="2"/>
  <c r="AA1108" i="2"/>
  <c r="AF1109" i="2"/>
  <c r="Z1110" i="2"/>
  <c r="V1113" i="2"/>
  <c r="AA1130" i="2"/>
  <c r="AI1131" i="2"/>
  <c r="AC1134" i="2"/>
  <c r="Y1135" i="2"/>
  <c r="AD1136" i="2"/>
  <c r="Z1139" i="2"/>
  <c r="U1142" i="2"/>
  <c r="AG1142" i="2"/>
  <c r="AF1147" i="2"/>
  <c r="AF1153" i="2"/>
  <c r="AB1154" i="2"/>
  <c r="AF1155" i="2"/>
  <c r="U1157" i="2"/>
  <c r="AH1164" i="2"/>
  <c r="AA1179" i="2"/>
  <c r="AB1179" i="2"/>
  <c r="AB1184" i="2"/>
  <c r="W1185" i="2"/>
  <c r="V1202" i="2"/>
  <c r="AH1202" i="2"/>
  <c r="V1207" i="2"/>
  <c r="AH1207" i="2"/>
  <c r="AA1221" i="2"/>
  <c r="AI1222" i="2"/>
  <c r="AE1223" i="2"/>
  <c r="Z1224" i="2"/>
  <c r="AB1228" i="2"/>
  <c r="X1237" i="2"/>
  <c r="W1240" i="2"/>
  <c r="U1243" i="2"/>
  <c r="AG1243" i="2"/>
  <c r="Y1245" i="2"/>
  <c r="AH1259" i="2"/>
  <c r="AD1260" i="2"/>
  <c r="AA1274" i="2"/>
  <c r="X1278" i="2"/>
  <c r="AE1279" i="2"/>
  <c r="AI1281" i="2"/>
  <c r="AC1285" i="2"/>
  <c r="U1287" i="2"/>
  <c r="AG1287" i="2"/>
  <c r="Y1289" i="2"/>
  <c r="U1292" i="2"/>
  <c r="AG1292" i="2"/>
  <c r="AB1293" i="2"/>
  <c r="AC1293" i="2"/>
  <c r="Y1294" i="2"/>
  <c r="Y1354" i="2"/>
  <c r="AC1356" i="2"/>
  <c r="AF1367" i="2"/>
  <c r="AA1390" i="2"/>
  <c r="W1391" i="2"/>
  <c r="U1406" i="2"/>
  <c r="AG1406" i="2"/>
  <c r="X1408" i="2"/>
  <c r="Z1115" i="2"/>
  <c r="V1116" i="2"/>
  <c r="AA1117" i="2"/>
  <c r="Z1119" i="2"/>
  <c r="AH1125" i="2"/>
  <c r="X1127" i="2"/>
  <c r="AH1145" i="2"/>
  <c r="AB1161" i="2"/>
  <c r="AA1164" i="2"/>
  <c r="AE1165" i="2"/>
  <c r="W1169" i="2"/>
  <c r="AI1169" i="2"/>
  <c r="AB1185" i="2"/>
  <c r="AD1192" i="2"/>
  <c r="Y1193" i="2"/>
  <c r="Z1193" i="2"/>
  <c r="AB1195" i="2"/>
  <c r="AG1201" i="2"/>
  <c r="W1203" i="2"/>
  <c r="AH1203" i="2"/>
  <c r="AA1207" i="2"/>
  <c r="AD1209" i="2"/>
  <c r="Y1213" i="2"/>
  <c r="X1216" i="2"/>
  <c r="AC1217" i="2"/>
  <c r="Y1218" i="2"/>
  <c r="AD1219" i="2"/>
  <c r="X1220" i="2"/>
  <c r="AI1220" i="2"/>
  <c r="AF1226" i="2"/>
  <c r="Z1227" i="2"/>
  <c r="X1230" i="2"/>
  <c r="AI1230" i="2"/>
  <c r="V1233" i="2"/>
  <c r="AB1240" i="2"/>
  <c r="U1247" i="2"/>
  <c r="AC1248" i="2"/>
  <c r="AE1250" i="2"/>
  <c r="AA1251" i="2"/>
  <c r="AC1253" i="2"/>
  <c r="Y1254" i="2"/>
  <c r="AA1259" i="2"/>
  <c r="W1260" i="2"/>
  <c r="AI1260" i="2"/>
  <c r="AG1274" i="2"/>
  <c r="Y1276" i="2"/>
  <c r="U1277" i="2"/>
  <c r="Y1298" i="2"/>
  <c r="U1299" i="2"/>
  <c r="U1308" i="2"/>
  <c r="AG1308" i="2"/>
  <c r="AC1309" i="2"/>
  <c r="AB1312" i="2"/>
  <c r="AK1312" i="2" s="1"/>
  <c r="AF1314" i="2"/>
  <c r="AA1335" i="2"/>
  <c r="AF1371" i="2"/>
  <c r="AD1461" i="2"/>
  <c r="V1463" i="2"/>
  <c r="AH1463" i="2"/>
  <c r="AF1203" i="2"/>
  <c r="AF1205" i="2"/>
  <c r="W1207" i="2"/>
  <c r="AE1210" i="2"/>
  <c r="AC1213" i="2"/>
  <c r="AF1217" i="2"/>
  <c r="Z1220" i="2"/>
  <c r="V1221" i="2"/>
  <c r="Z1223" i="2"/>
  <c r="AA1227" i="2"/>
  <c r="W1228" i="2"/>
  <c r="AA1232" i="2"/>
  <c r="AC1234" i="2"/>
  <c r="AB1239" i="2"/>
  <c r="AG1245" i="2"/>
  <c r="AD1248" i="2"/>
  <c r="AE1248" i="2"/>
  <c r="U1250" i="2"/>
  <c r="AG1250" i="2"/>
  <c r="V1255" i="2"/>
  <c r="AH1255" i="2"/>
  <c r="V1259" i="2"/>
  <c r="X1264" i="2"/>
  <c r="X1269" i="2"/>
  <c r="Z1271" i="2"/>
  <c r="AC1273" i="2"/>
  <c r="AA1305" i="2"/>
  <c r="U1309" i="2"/>
  <c r="AG1309" i="2"/>
  <c r="AC1310" i="2"/>
  <c r="AB1313" i="2"/>
  <c r="X1314" i="2"/>
  <c r="AF1317" i="2"/>
  <c r="V1330" i="2"/>
  <c r="AH1330" i="2"/>
  <c r="AD1331" i="2"/>
  <c r="X1332" i="2"/>
  <c r="V1354" i="2"/>
  <c r="AH1354" i="2"/>
  <c r="AB1358" i="2"/>
  <c r="X1362" i="2"/>
  <c r="AB1370" i="2"/>
  <c r="AD1469" i="2"/>
  <c r="U1512" i="2"/>
  <c r="AG1512" i="2"/>
  <c r="AC1513" i="2"/>
  <c r="Y1514" i="2"/>
  <c r="Z1202" i="2"/>
  <c r="U1203" i="2"/>
  <c r="U1205" i="2"/>
  <c r="AG1205" i="2"/>
  <c r="AC1206" i="2"/>
  <c r="X1207" i="2"/>
  <c r="AF1210" i="2"/>
  <c r="AB1211" i="2"/>
  <c r="X1212" i="2"/>
  <c r="AC1216" i="2"/>
  <c r="U1217" i="2"/>
  <c r="AG1217" i="2"/>
  <c r="AH1221" i="2"/>
  <c r="AB1232" i="2"/>
  <c r="AK1232" i="2" s="1"/>
  <c r="Z1237" i="2"/>
  <c r="V1238" i="2"/>
  <c r="AH1238" i="2"/>
  <c r="AC1239" i="2"/>
  <c r="X1242" i="2"/>
  <c r="Y1242" i="2"/>
  <c r="Z1244" i="2"/>
  <c r="Y1247" i="2"/>
  <c r="AF1248" i="2"/>
  <c r="AB1249" i="2"/>
  <c r="AD1251" i="2"/>
  <c r="X1252" i="2"/>
  <c r="AF1253" i="2"/>
  <c r="AI1255" i="2"/>
  <c r="Z1257" i="2"/>
  <c r="AF1265" i="2"/>
  <c r="W1267" i="2"/>
  <c r="AI1267" i="2"/>
  <c r="W1280" i="2"/>
  <c r="AA1284" i="2"/>
  <c r="W1285" i="2"/>
  <c r="AI1285" i="2"/>
  <c r="AD1286" i="2"/>
  <c r="Z1287" i="2"/>
  <c r="AF1304" i="2"/>
  <c r="Z1308" i="2"/>
  <c r="AD1310" i="2"/>
  <c r="Y1311" i="2"/>
  <c r="U1312" i="2"/>
  <c r="AC1313" i="2"/>
  <c r="Z1324" i="2"/>
  <c r="AH1325" i="2"/>
  <c r="Z1329" i="2"/>
  <c r="W1330" i="2"/>
  <c r="AI1330" i="2"/>
  <c r="AD1342" i="2"/>
  <c r="U1369" i="2"/>
  <c r="AG1369" i="2"/>
  <c r="AD1372" i="2"/>
  <c r="X1373" i="2"/>
  <c r="AI1373" i="2"/>
  <c r="U1379" i="2"/>
  <c r="AG1379" i="2"/>
  <c r="AC1380" i="2"/>
  <c r="AC1405" i="2"/>
  <c r="U1407" i="2"/>
  <c r="AG1407" i="2"/>
  <c r="AF1418" i="2"/>
  <c r="AA1419" i="2"/>
  <c r="AC1499" i="2"/>
  <c r="Y1500" i="2"/>
  <c r="AA1511" i="2"/>
  <c r="V1512" i="2"/>
  <c r="AH1512" i="2"/>
  <c r="X1153" i="2"/>
  <c r="AF1154" i="2"/>
  <c r="W1155" i="2"/>
  <c r="AI1157" i="2"/>
  <c r="AH1166" i="2"/>
  <c r="Z1172" i="2"/>
  <c r="V1173" i="2"/>
  <c r="AH1173" i="2"/>
  <c r="AC1174" i="2"/>
  <c r="W1175" i="2"/>
  <c r="AI1175" i="2"/>
  <c r="AA1177" i="2"/>
  <c r="AI1180" i="2"/>
  <c r="W1187" i="2"/>
  <c r="AI1187" i="2"/>
  <c r="AD1190" i="2"/>
  <c r="AF1192" i="2"/>
  <c r="AH1194" i="2"/>
  <c r="Y1198" i="2"/>
  <c r="AD1199" i="2"/>
  <c r="AH1205" i="2"/>
  <c r="AA1209" i="2"/>
  <c r="U1210" i="2"/>
  <c r="AG1210" i="2"/>
  <c r="Y1212" i="2"/>
  <c r="AE1213" i="2"/>
  <c r="AI1215" i="2"/>
  <c r="AE1229" i="2"/>
  <c r="Y1233" i="2"/>
  <c r="AA1235" i="2"/>
  <c r="Z1242" i="2"/>
  <c r="AD1246" i="2"/>
  <c r="AC1249" i="2"/>
  <c r="X1255" i="2"/>
  <c r="AB1261" i="2"/>
  <c r="AB1284" i="2"/>
  <c r="X1285" i="2"/>
  <c r="AI1288" i="2"/>
  <c r="Z1290" i="2"/>
  <c r="AC1294" i="2"/>
  <c r="W1301" i="2"/>
  <c r="AI1301" i="2"/>
  <c r="U1304" i="2"/>
  <c r="AG1304" i="2"/>
  <c r="AB1305" i="2"/>
  <c r="Y1306" i="2"/>
  <c r="Z1327" i="2"/>
  <c r="U1328" i="2"/>
  <c r="V1328" i="2"/>
  <c r="AG1328" i="2"/>
  <c r="AB1329" i="2"/>
  <c r="AK1329" i="2" s="1"/>
  <c r="U1336" i="2"/>
  <c r="AG1336" i="2"/>
  <c r="W1341" i="2"/>
  <c r="AH1341" i="2"/>
  <c r="AI1341" i="2"/>
  <c r="AH1347" i="2"/>
  <c r="AB1353" i="2"/>
  <c r="AD1358" i="2"/>
  <c r="V1360" i="2"/>
  <c r="V1366" i="2"/>
  <c r="AH1366" i="2"/>
  <c r="Z1368" i="2"/>
  <c r="AF1396" i="2"/>
  <c r="V1404" i="2"/>
  <c r="AH1404" i="2"/>
  <c r="X1409" i="2"/>
  <c r="Y1417" i="2"/>
  <c r="U1418" i="2"/>
  <c r="AF1504" i="2"/>
  <c r="V1216" i="2"/>
  <c r="Z1217" i="2"/>
  <c r="U1232" i="2"/>
  <c r="AI1234" i="2"/>
  <c r="AE1235" i="2"/>
  <c r="X1236" i="2"/>
  <c r="U1249" i="2"/>
  <c r="V1251" i="2"/>
  <c r="Y1253" i="2"/>
  <c r="AF1254" i="2"/>
  <c r="AF1261" i="2"/>
  <c r="AA1262" i="2"/>
  <c r="Y1265" i="2"/>
  <c r="AB1267" i="2"/>
  <c r="X1268" i="2"/>
  <c r="AD1269" i="2"/>
  <c r="U1271" i="2"/>
  <c r="W1273" i="2"/>
  <c r="AI1273" i="2"/>
  <c r="AB1280" i="2"/>
  <c r="AD1282" i="2"/>
  <c r="AA1285" i="2"/>
  <c r="W1286" i="2"/>
  <c r="AI1286" i="2"/>
  <c r="AE1287" i="2"/>
  <c r="AA1288" i="2"/>
  <c r="W1289" i="2"/>
  <c r="AI1289" i="2"/>
  <c r="W1291" i="2"/>
  <c r="AI1291" i="2"/>
  <c r="AC1292" i="2"/>
  <c r="AE1300" i="2"/>
  <c r="AE1303" i="2"/>
  <c r="AA1309" i="2"/>
  <c r="AD1314" i="2"/>
  <c r="AF1329" i="2"/>
  <c r="AA1330" i="2"/>
  <c r="W1331" i="2"/>
  <c r="Z1333" i="2"/>
  <c r="U1334" i="2"/>
  <c r="AC1373" i="2"/>
  <c r="AA1376" i="2"/>
  <c r="AD1378" i="2"/>
  <c r="U1386" i="2"/>
  <c r="AB1420" i="2"/>
  <c r="AF995" i="2"/>
  <c r="AA996" i="2"/>
  <c r="V997" i="2"/>
  <c r="AD998" i="2"/>
  <c r="AD1002" i="2"/>
  <c r="AI1003" i="2"/>
  <c r="X1007" i="2"/>
  <c r="X1012" i="2"/>
  <c r="X1016" i="2"/>
  <c r="Y1018" i="2"/>
  <c r="AE1019" i="2"/>
  <c r="AE1021" i="2"/>
  <c r="U1023" i="2"/>
  <c r="AF1023" i="2"/>
  <c r="AA1026" i="2"/>
  <c r="W1027" i="2"/>
  <c r="AI1027" i="2"/>
  <c r="AC1030" i="2"/>
  <c r="AG1032" i="2"/>
  <c r="AD1036" i="2"/>
  <c r="Z1037" i="2"/>
  <c r="U1038" i="2"/>
  <c r="AB1039" i="2"/>
  <c r="AK1039" i="2" s="1"/>
  <c r="Y1044" i="2"/>
  <c r="AB1046" i="2"/>
  <c r="V1049" i="2"/>
  <c r="AH1049" i="2"/>
  <c r="AC1050" i="2"/>
  <c r="AA1052" i="2"/>
  <c r="AE1065" i="2"/>
  <c r="V1067" i="2"/>
  <c r="AH1067" i="2"/>
  <c r="U1070" i="2"/>
  <c r="AG1070" i="2"/>
  <c r="AB1071" i="2"/>
  <c r="Z1080" i="2"/>
  <c r="AE1085" i="2"/>
  <c r="Z1086" i="2"/>
  <c r="AC1089" i="2"/>
  <c r="AF1091" i="2"/>
  <c r="AD1094" i="2"/>
  <c r="AB1097" i="2"/>
  <c r="AA1099" i="2"/>
  <c r="W1100" i="2"/>
  <c r="AI1100" i="2"/>
  <c r="X1102" i="2"/>
  <c r="AF1105" i="2"/>
  <c r="V1109" i="2"/>
  <c r="V1115" i="2"/>
  <c r="AH1115" i="2"/>
  <c r="V1117" i="2"/>
  <c r="AB1118" i="2"/>
  <c r="V1119" i="2"/>
  <c r="AA1120" i="2"/>
  <c r="X1121" i="2"/>
  <c r="AE1127" i="2"/>
  <c r="AH1131" i="2"/>
  <c r="AB1132" i="2"/>
  <c r="W1133" i="2"/>
  <c r="U1137" i="2"/>
  <c r="AG1137" i="2"/>
  <c r="Y1139" i="2"/>
  <c r="AG1140" i="2"/>
  <c r="Y1141" i="2"/>
  <c r="X1143" i="2"/>
  <c r="Y1143" i="2"/>
  <c r="V1148" i="2"/>
  <c r="AB1149" i="2"/>
  <c r="AA1160" i="2"/>
  <c r="AC1161" i="2"/>
  <c r="AE1170" i="2"/>
  <c r="AA1173" i="2"/>
  <c r="X1176" i="2"/>
  <c r="AE1177" i="2"/>
  <c r="AF1186" i="2"/>
  <c r="W1190" i="2"/>
  <c r="AI1190" i="2"/>
  <c r="Y1192" i="2"/>
  <c r="AF1193" i="2"/>
  <c r="W1195" i="2"/>
  <c r="AC1196" i="2"/>
  <c r="X1197" i="2"/>
  <c r="AA1203" i="2"/>
  <c r="U1204" i="2"/>
  <c r="W1206" i="2"/>
  <c r="X1213" i="2"/>
  <c r="AE1240" i="2"/>
  <c r="AE1247" i="2"/>
  <c r="AB1250" i="2"/>
  <c r="W1251" i="2"/>
  <c r="Z1253" i="2"/>
  <c r="U1254" i="2"/>
  <c r="AG1254" i="2"/>
  <c r="AC1255" i="2"/>
  <c r="Y1256" i="2"/>
  <c r="AD1259" i="2"/>
  <c r="Z1265" i="2"/>
  <c r="AA1275" i="2"/>
  <c r="AI1276" i="2"/>
  <c r="U1279" i="2"/>
  <c r="AG1279" i="2"/>
  <c r="Y1281" i="2"/>
  <c r="AC1295" i="2"/>
  <c r="AC1298" i="2"/>
  <c r="Y1299" i="2"/>
  <c r="AF1300" i="2"/>
  <c r="AH1305" i="2"/>
  <c r="AD1306" i="2"/>
  <c r="AF1308" i="2"/>
  <c r="AB1309" i="2"/>
  <c r="AF1324" i="2"/>
  <c r="U1329" i="2"/>
  <c r="AG1329" i="2"/>
  <c r="AB1341" i="2"/>
  <c r="X1342" i="2"/>
  <c r="X1372" i="2"/>
  <c r="W1377" i="2"/>
  <c r="AI1377" i="2"/>
  <c r="X1396" i="2"/>
  <c r="AG1397" i="2"/>
  <c r="AD1414" i="2"/>
  <c r="AA1415" i="2"/>
  <c r="Z1418" i="2"/>
  <c r="Y1457" i="2"/>
  <c r="AC1345" i="2"/>
  <c r="U1357" i="2"/>
  <c r="AF1357" i="2"/>
  <c r="AG1357" i="2"/>
  <c r="AC1358" i="2"/>
  <c r="Y1359" i="2"/>
  <c r="AC1361" i="2"/>
  <c r="Y1362" i="2"/>
  <c r="Y1368" i="2"/>
  <c r="V1371" i="2"/>
  <c r="AB1374" i="2"/>
  <c r="AC1417" i="2"/>
  <c r="AE1419" i="2"/>
  <c r="AA1459" i="2"/>
  <c r="W1460" i="2"/>
  <c r="AE1461" i="2"/>
  <c r="Z1462" i="2"/>
  <c r="W1469" i="2"/>
  <c r="AI1469" i="2"/>
  <c r="U1496" i="2"/>
  <c r="AG1496" i="2"/>
  <c r="Z1500" i="2"/>
  <c r="Y1506" i="2"/>
  <c r="AC1508" i="2"/>
  <c r="AB1459" i="2"/>
  <c r="X1460" i="2"/>
  <c r="AB1462" i="2"/>
  <c r="AK1462" i="2" s="1"/>
  <c r="AB1465" i="2"/>
  <c r="AI1466" i="2"/>
  <c r="AH1496" i="2"/>
  <c r="AD1497" i="2"/>
  <c r="AE1268" i="2"/>
  <c r="Y1269" i="2"/>
  <c r="U1270" i="2"/>
  <c r="AG1270" i="2"/>
  <c r="AH1272" i="2"/>
  <c r="U1275" i="2"/>
  <c r="Y1277" i="2"/>
  <c r="U1280" i="2"/>
  <c r="AG1280" i="2"/>
  <c r="AI1282" i="2"/>
  <c r="AD1283" i="2"/>
  <c r="AI1290" i="2"/>
  <c r="AH1292" i="2"/>
  <c r="AF1298" i="2"/>
  <c r="AD1319" i="2"/>
  <c r="AD1328" i="2"/>
  <c r="AI1332" i="2"/>
  <c r="AD1333" i="2"/>
  <c r="AB1336" i="2"/>
  <c r="AE1338" i="2"/>
  <c r="Y1339" i="2"/>
  <c r="U1340" i="2"/>
  <c r="AG1340" i="2"/>
  <c r="AC1341" i="2"/>
  <c r="Y1342" i="2"/>
  <c r="AB1354" i="2"/>
  <c r="X1355" i="2"/>
  <c r="V1358" i="2"/>
  <c r="AD1359" i="2"/>
  <c r="Z1360" i="2"/>
  <c r="AH1361" i="2"/>
  <c r="Y1369" i="2"/>
  <c r="AF1370" i="2"/>
  <c r="V1379" i="2"/>
  <c r="AH1379" i="2"/>
  <c r="Z1381" i="2"/>
  <c r="AA1386" i="2"/>
  <c r="AF1387" i="2"/>
  <c r="V1392" i="2"/>
  <c r="AH1392" i="2"/>
  <c r="U1398" i="2"/>
  <c r="AG1398" i="2"/>
  <c r="AF1477" i="2"/>
  <c r="W1479" i="2"/>
  <c r="AI1479" i="2"/>
  <c r="Z1521" i="2"/>
  <c r="AD1024" i="2"/>
  <c r="Y1025" i="2"/>
  <c r="AB1029" i="2"/>
  <c r="AF1030" i="2"/>
  <c r="AB1031" i="2"/>
  <c r="X1034" i="2"/>
  <c r="AC1035" i="2"/>
  <c r="U1036" i="2"/>
  <c r="AG1036" i="2"/>
  <c r="AA1040" i="2"/>
  <c r="AI1047" i="2"/>
  <c r="AC1048" i="2"/>
  <c r="W1049" i="2"/>
  <c r="AI1049" i="2"/>
  <c r="AG1051" i="2"/>
  <c r="AB1052" i="2"/>
  <c r="AE1053" i="2"/>
  <c r="AA1054" i="2"/>
  <c r="W1055" i="2"/>
  <c r="AI1055" i="2"/>
  <c r="AC1058" i="2"/>
  <c r="AB1060" i="2"/>
  <c r="AC1068" i="2"/>
  <c r="AE1070" i="2"/>
  <c r="Y1075" i="2"/>
  <c r="AF1076" i="2"/>
  <c r="Y1077" i="2"/>
  <c r="Y1079" i="2"/>
  <c r="W1082" i="2"/>
  <c r="AI1082" i="2"/>
  <c r="AC1083" i="2"/>
  <c r="U1084" i="2"/>
  <c r="U1086" i="2"/>
  <c r="AG1086" i="2"/>
  <c r="U1088" i="2"/>
  <c r="AG1088" i="2"/>
  <c r="U1090" i="2"/>
  <c r="AF1095" i="2"/>
  <c r="V1097" i="2"/>
  <c r="AH1097" i="2"/>
  <c r="AC1102" i="2"/>
  <c r="Y1103" i="2"/>
  <c r="U1104" i="2"/>
  <c r="X1105" i="2"/>
  <c r="AF1108" i="2"/>
  <c r="AE1110" i="2"/>
  <c r="AC1118" i="2"/>
  <c r="W1119" i="2"/>
  <c r="V1124" i="2"/>
  <c r="AH1124" i="2"/>
  <c r="X1130" i="2"/>
  <c r="Z1132" i="2"/>
  <c r="Y1134" i="2"/>
  <c r="U1139" i="2"/>
  <c r="AC1140" i="2"/>
  <c r="AA1142" i="2"/>
  <c r="AF1143" i="2"/>
  <c r="Z1144" i="2"/>
  <c r="AF1145" i="2"/>
  <c r="AA1146" i="2"/>
  <c r="V1147" i="2"/>
  <c r="AH1147" i="2"/>
  <c r="AB1148" i="2"/>
  <c r="V1149" i="2"/>
  <c r="AH1149" i="2"/>
  <c r="V1151" i="2"/>
  <c r="AH1151" i="2"/>
  <c r="AA1174" i="2"/>
  <c r="AC1176" i="2"/>
  <c r="Y1177" i="2"/>
  <c r="Y1179" i="2"/>
  <c r="AA1181" i="2"/>
  <c r="V1182" i="2"/>
  <c r="AH1182" i="2"/>
  <c r="W1184" i="2"/>
  <c r="AI1184" i="2"/>
  <c r="AC1185" i="2"/>
  <c r="X1186" i="2"/>
  <c r="AE1187" i="2"/>
  <c r="W1189" i="2"/>
  <c r="AI1199" i="2"/>
  <c r="AB1203" i="2"/>
  <c r="V1204" i="2"/>
  <c r="X1206" i="2"/>
  <c r="U1209" i="2"/>
  <c r="AA1210" i="2"/>
  <c r="W1211" i="2"/>
  <c r="AE1212" i="2"/>
  <c r="AB1215" i="2"/>
  <c r="AF1223" i="2"/>
  <c r="AB1224" i="2"/>
  <c r="W1227" i="2"/>
  <c r="AE1230" i="2"/>
  <c r="AA1231" i="2"/>
  <c r="AG1232" i="2"/>
  <c r="Z1250" i="2"/>
  <c r="AG1251" i="2"/>
  <c r="AA1255" i="2"/>
  <c r="AI1256" i="2"/>
  <c r="X1260" i="2"/>
  <c r="AF1268" i="2"/>
  <c r="V1270" i="2"/>
  <c r="AI1272" i="2"/>
  <c r="V1275" i="2"/>
  <c r="AH1275" i="2"/>
  <c r="V1285" i="2"/>
  <c r="AH1285" i="2"/>
  <c r="AC1286" i="2"/>
  <c r="Y1287" i="2"/>
  <c r="U1288" i="2"/>
  <c r="AC1289" i="2"/>
  <c r="X1316" i="2"/>
  <c r="X1318" i="2"/>
  <c r="AB1320" i="2"/>
  <c r="AG1330" i="2"/>
  <c r="U1335" i="2"/>
  <c r="AG1335" i="2"/>
  <c r="AH1340" i="2"/>
  <c r="Z1342" i="2"/>
  <c r="AF1343" i="2"/>
  <c r="AA1344" i="2"/>
  <c r="AH1345" i="2"/>
  <c r="U1353" i="2"/>
  <c r="AG1353" i="2"/>
  <c r="AI1358" i="2"/>
  <c r="AE1359" i="2"/>
  <c r="AA1366" i="2"/>
  <c r="AE1368" i="2"/>
  <c r="Z1369" i="2"/>
  <c r="AF1385" i="2"/>
  <c r="X1470" i="2"/>
  <c r="U1471" i="2"/>
  <c r="AB1256" i="2"/>
  <c r="AK1256" i="2" s="1"/>
  <c r="AH1257" i="2"/>
  <c r="AC1264" i="2"/>
  <c r="AE1266" i="2"/>
  <c r="AB1269" i="2"/>
  <c r="X1270" i="2"/>
  <c r="Y1274" i="2"/>
  <c r="AE1275" i="2"/>
  <c r="W1279" i="2"/>
  <c r="AE1280" i="2"/>
  <c r="U1282" i="2"/>
  <c r="Y1288" i="2"/>
  <c r="U1291" i="2"/>
  <c r="AG1291" i="2"/>
  <c r="X1292" i="2"/>
  <c r="V1295" i="2"/>
  <c r="AH1295" i="2"/>
  <c r="Z1297" i="2"/>
  <c r="U1298" i="2"/>
  <c r="AG1321" i="2"/>
  <c r="AC1322" i="2"/>
  <c r="Z1325" i="2"/>
  <c r="AD1334" i="2"/>
  <c r="Y1335" i="2"/>
  <c r="V1338" i="2"/>
  <c r="X1340" i="2"/>
  <c r="AA1347" i="2"/>
  <c r="V1348" i="2"/>
  <c r="AB1351" i="2"/>
  <c r="Z1354" i="2"/>
  <c r="V1355" i="2"/>
  <c r="AD1356" i="2"/>
  <c r="AF1364" i="2"/>
  <c r="AI1366" i="2"/>
  <c r="AC1370" i="2"/>
  <c r="AH1373" i="2"/>
  <c r="W1375" i="2"/>
  <c r="AI1375" i="2"/>
  <c r="Z1379" i="2"/>
  <c r="V1380" i="2"/>
  <c r="AH1380" i="2"/>
  <c r="AG1385" i="2"/>
  <c r="V1398" i="2"/>
  <c r="AH1398" i="2"/>
  <c r="AB1427" i="2"/>
  <c r="AD1444" i="2"/>
  <c r="AA1486" i="2"/>
  <c r="AD1494" i="2"/>
  <c r="AE1494" i="2"/>
  <c r="Z1495" i="2"/>
  <c r="AK1495" i="2" s="1"/>
  <c r="AI1496" i="2"/>
  <c r="AE1497" i="2"/>
  <c r="AI1268" i="2"/>
  <c r="AE1271" i="2"/>
  <c r="Y1272" i="2"/>
  <c r="AF1275" i="2"/>
  <c r="AA1276" i="2"/>
  <c r="X1279" i="2"/>
  <c r="AF1284" i="2"/>
  <c r="V1286" i="2"/>
  <c r="AH1286" i="2"/>
  <c r="AD1287" i="2"/>
  <c r="Z1288" i="2"/>
  <c r="V1289" i="2"/>
  <c r="AH1289" i="2"/>
  <c r="AC1290" i="2"/>
  <c r="U1293" i="2"/>
  <c r="AG1293" i="2"/>
  <c r="AE1296" i="2"/>
  <c r="V1298" i="2"/>
  <c r="AD1299" i="2"/>
  <c r="Z1305" i="2"/>
  <c r="AH1306" i="2"/>
  <c r="X1308" i="2"/>
  <c r="AA1310" i="2"/>
  <c r="V1311" i="2"/>
  <c r="AH1311" i="2"/>
  <c r="V1321" i="2"/>
  <c r="AH1321" i="2"/>
  <c r="AA1325" i="2"/>
  <c r="AB1327" i="2"/>
  <c r="Z1330" i="2"/>
  <c r="AH1331" i="2"/>
  <c r="AF1336" i="2"/>
  <c r="AB1337" i="2"/>
  <c r="AK1337" i="2" s="1"/>
  <c r="AF1353" i="2"/>
  <c r="AA1354" i="2"/>
  <c r="AC1362" i="2"/>
  <c r="X1363" i="2"/>
  <c r="AC1365" i="2"/>
  <c r="W1373" i="2"/>
  <c r="AF1376" i="2"/>
  <c r="Y1377" i="2"/>
  <c r="W1380" i="2"/>
  <c r="AI1380" i="2"/>
  <c r="Y1382" i="2"/>
  <c r="AF1383" i="2"/>
  <c r="U1420" i="2"/>
  <c r="AG1420" i="2"/>
  <c r="AC1421" i="2"/>
  <c r="Y1422" i="2"/>
  <c r="U1423" i="2"/>
  <c r="AG1423" i="2"/>
  <c r="AA1442" i="2"/>
  <c r="AE1444" i="2"/>
  <c r="AB1486" i="2"/>
  <c r="AB1517" i="2"/>
  <c r="AA1520" i="2"/>
  <c r="AE1044" i="2"/>
  <c r="AA1045" i="2"/>
  <c r="W1046" i="2"/>
  <c r="AC1047" i="2"/>
  <c r="V1048" i="2"/>
  <c r="AH1048" i="2"/>
  <c r="W1050" i="2"/>
  <c r="AI1050" i="2"/>
  <c r="AA1051" i="2"/>
  <c r="U1052" i="2"/>
  <c r="X1053" i="2"/>
  <c r="AB1055" i="2"/>
  <c r="AH1058" i="2"/>
  <c r="AC1059" i="2"/>
  <c r="AB1063" i="2"/>
  <c r="AE1064" i="2"/>
  <c r="V1065" i="2"/>
  <c r="AH1065" i="2"/>
  <c r="Y1067" i="2"/>
  <c r="AF1074" i="2"/>
  <c r="U1076" i="2"/>
  <c r="AG1076" i="2"/>
  <c r="Z1079" i="2"/>
  <c r="AC1081" i="2"/>
  <c r="X1082" i="2"/>
  <c r="U1095" i="2"/>
  <c r="AG1095" i="2"/>
  <c r="AC1100" i="2"/>
  <c r="Z1103" i="2"/>
  <c r="AD1110" i="2"/>
  <c r="Z1111" i="2"/>
  <c r="AE1112" i="2"/>
  <c r="U1115" i="2"/>
  <c r="U1119" i="2"/>
  <c r="AC1122" i="2"/>
  <c r="Y1123" i="2"/>
  <c r="AA1125" i="2"/>
  <c r="AA1127" i="2"/>
  <c r="AC1131" i="2"/>
  <c r="AD1135" i="2"/>
  <c r="V1138" i="2"/>
  <c r="AG1138" i="2"/>
  <c r="Z1140" i="2"/>
  <c r="AB1141" i="2"/>
  <c r="AH1142" i="2"/>
  <c r="AF1144" i="2"/>
  <c r="AF1146" i="2"/>
  <c r="AB1147" i="2"/>
  <c r="Z1149" i="2"/>
  <c r="Z1151" i="2"/>
  <c r="AA1165" i="2"/>
  <c r="AF1179" i="2"/>
  <c r="AI1185" i="2"/>
  <c r="AD1186" i="2"/>
  <c r="AF1190" i="2"/>
  <c r="AD1193" i="2"/>
  <c r="AD1207" i="2"/>
  <c r="Y1210" i="2"/>
  <c r="AF1211" i="2"/>
  <c r="V1213" i="2"/>
  <c r="AH1213" i="2"/>
  <c r="X1221" i="2"/>
  <c r="AD1222" i="2"/>
  <c r="V1224" i="2"/>
  <c r="AH1224" i="2"/>
  <c r="X1228" i="2"/>
  <c r="AC1229" i="2"/>
  <c r="Y1230" i="2"/>
  <c r="AE1233" i="2"/>
  <c r="U1235" i="2"/>
  <c r="AF1235" i="2"/>
  <c r="Z1238" i="2"/>
  <c r="U1239" i="2"/>
  <c r="AG1239" i="2"/>
  <c r="U1241" i="2"/>
  <c r="AG1241" i="2"/>
  <c r="AC1242" i="2"/>
  <c r="W1243" i="2"/>
  <c r="AI1243" i="2"/>
  <c r="AC1244" i="2"/>
  <c r="Z1245" i="2"/>
  <c r="AB1247" i="2"/>
  <c r="AF1251" i="2"/>
  <c r="Z1252" i="2"/>
  <c r="AC1254" i="2"/>
  <c r="AG1256" i="2"/>
  <c r="AB1257" i="2"/>
  <c r="Y1259" i="2"/>
  <c r="AC1272" i="2"/>
  <c r="Y1273" i="2"/>
  <c r="AE1274" i="2"/>
  <c r="V1278" i="2"/>
  <c r="AH1278" i="2"/>
  <c r="AB1279" i="2"/>
  <c r="AK1279" i="2" s="1"/>
  <c r="AF1281" i="2"/>
  <c r="AE1283" i="2"/>
  <c r="V1287" i="2"/>
  <c r="AH1287" i="2"/>
  <c r="AD1288" i="2"/>
  <c r="Z1289" i="2"/>
  <c r="U1290" i="2"/>
  <c r="AG1290" i="2"/>
  <c r="Y1291" i="2"/>
  <c r="AD1292" i="2"/>
  <c r="Z1298" i="2"/>
  <c r="AB1303" i="2"/>
  <c r="V1312" i="2"/>
  <c r="AG1317" i="2"/>
  <c r="X1326" i="2"/>
  <c r="AF1327" i="2"/>
  <c r="AB1328" i="2"/>
  <c r="AH1329" i="2"/>
  <c r="Z1350" i="2"/>
  <c r="U1351" i="2"/>
  <c r="AG1351" i="2"/>
  <c r="AC1352" i="2"/>
  <c r="X1353" i="2"/>
  <c r="W1356" i="2"/>
  <c r="Y1364" i="2"/>
  <c r="U1365" i="2"/>
  <c r="AG1365" i="2"/>
  <c r="AB1366" i="2"/>
  <c r="AH1370" i="2"/>
  <c r="V1386" i="2"/>
  <c r="AC1403" i="2"/>
  <c r="Y1404" i="2"/>
  <c r="AB1437" i="2"/>
  <c r="AE1442" i="2"/>
  <c r="W1450" i="2"/>
  <c r="AC1484" i="2"/>
  <c r="X1485" i="2"/>
  <c r="X1494" i="2"/>
  <c r="AB1496" i="2"/>
  <c r="X1132" i="2"/>
  <c r="AD1133" i="2"/>
  <c r="AA1137" i="2"/>
  <c r="W1138" i="2"/>
  <c r="AI1138" i="2"/>
  <c r="AA1140" i="2"/>
  <c r="AA1145" i="2"/>
  <c r="AC1147" i="2"/>
  <c r="AG1148" i="2"/>
  <c r="AB1153" i="2"/>
  <c r="AE1158" i="2"/>
  <c r="U1162" i="2"/>
  <c r="AG1162" i="2"/>
  <c r="AC1163" i="2"/>
  <c r="X1164" i="2"/>
  <c r="AB1165" i="2"/>
  <c r="AC1167" i="2"/>
  <c r="Y1170" i="2"/>
  <c r="Z1174" i="2"/>
  <c r="AD1175" i="2"/>
  <c r="Z1176" i="2"/>
  <c r="U1179" i="2"/>
  <c r="AB1180" i="2"/>
  <c r="AD1182" i="2"/>
  <c r="W1183" i="2"/>
  <c r="AI1183" i="2"/>
  <c r="Y1185" i="2"/>
  <c r="V1188" i="2"/>
  <c r="AH1188" i="2"/>
  <c r="AD1189" i="2"/>
  <c r="X1194" i="2"/>
  <c r="Y1196" i="2"/>
  <c r="Y1200" i="2"/>
  <c r="Z1210" i="2"/>
  <c r="U1211" i="2"/>
  <c r="AG1211" i="2"/>
  <c r="Z1215" i="2"/>
  <c r="Y1221" i="2"/>
  <c r="AB1223" i="2"/>
  <c r="W1224" i="2"/>
  <c r="AI1224" i="2"/>
  <c r="AD1227" i="2"/>
  <c r="Y1228" i="2"/>
  <c r="AD1229" i="2"/>
  <c r="Z1232" i="2"/>
  <c r="AE1237" i="2"/>
  <c r="AD1240" i="2"/>
  <c r="U1246" i="2"/>
  <c r="X1248" i="2"/>
  <c r="AF1260" i="2"/>
  <c r="V1262" i="2"/>
  <c r="AH1262" i="2"/>
  <c r="W1264" i="2"/>
  <c r="U1267" i="2"/>
  <c r="AG1267" i="2"/>
  <c r="X1271" i="2"/>
  <c r="Z1273" i="2"/>
  <c r="AF1274" i="2"/>
  <c r="Y1275" i="2"/>
  <c r="AC1277" i="2"/>
  <c r="Y1280" i="2"/>
  <c r="X1284" i="2"/>
  <c r="W1287" i="2"/>
  <c r="AI1287" i="2"/>
  <c r="U1294" i="2"/>
  <c r="AG1294" i="2"/>
  <c r="AA1298" i="2"/>
  <c r="AD1300" i="2"/>
  <c r="Y1301" i="2"/>
  <c r="AA1311" i="2"/>
  <c r="W1319" i="2"/>
  <c r="AI1319" i="2"/>
  <c r="Y1324" i="2"/>
  <c r="Y1326" i="2"/>
  <c r="U1337" i="2"/>
  <c r="U1347" i="2"/>
  <c r="AF1349" i="2"/>
  <c r="X1356" i="2"/>
  <c r="V1362" i="2"/>
  <c r="AH1362" i="2"/>
  <c r="V1365" i="2"/>
  <c r="AD1366" i="2"/>
  <c r="Z1367" i="2"/>
  <c r="AG1368" i="2"/>
  <c r="AB1369" i="2"/>
  <c r="AH1372" i="2"/>
  <c r="AD1375" i="2"/>
  <c r="Y1376" i="2"/>
  <c r="W1381" i="2"/>
  <c r="AI1381" i="2"/>
  <c r="AA1385" i="2"/>
  <c r="AC1437" i="2"/>
  <c r="X1438" i="2"/>
  <c r="W1483" i="2"/>
  <c r="U1489" i="2"/>
  <c r="AG1489" i="2"/>
  <c r="Y1491" i="2"/>
  <c r="AF1492" i="2"/>
  <c r="X1525" i="2"/>
  <c r="Z1527" i="2"/>
  <c r="W1528" i="2"/>
  <c r="AI1528" i="2"/>
  <c r="AE1532" i="2"/>
  <c r="Z1306" i="2"/>
  <c r="AH1307" i="2"/>
  <c r="AB1308" i="2"/>
  <c r="Y1313" i="2"/>
  <c r="U1314" i="2"/>
  <c r="AG1314" i="2"/>
  <c r="AB1317" i="2"/>
  <c r="AE1318" i="2"/>
  <c r="Z1322" i="2"/>
  <c r="V1323" i="2"/>
  <c r="W1325" i="2"/>
  <c r="AA1326" i="2"/>
  <c r="W1327" i="2"/>
  <c r="AF1332" i="2"/>
  <c r="W1336" i="2"/>
  <c r="AI1336" i="2"/>
  <c r="AD1337" i="2"/>
  <c r="X1338" i="2"/>
  <c r="AI1338" i="2"/>
  <c r="AI1340" i="2"/>
  <c r="AE1341" i="2"/>
  <c r="U1343" i="2"/>
  <c r="AG1343" i="2"/>
  <c r="AC1346" i="2"/>
  <c r="AC1348" i="2"/>
  <c r="V1349" i="2"/>
  <c r="AH1349" i="2"/>
  <c r="AF1356" i="2"/>
  <c r="X1357" i="2"/>
  <c r="AI1357" i="2"/>
  <c r="W1360" i="2"/>
  <c r="AI1360" i="2"/>
  <c r="AF1363" i="2"/>
  <c r="W1365" i="2"/>
  <c r="AA1375" i="2"/>
  <c r="AG1376" i="2"/>
  <c r="V1378" i="2"/>
  <c r="AH1378" i="2"/>
  <c r="AC1379" i="2"/>
  <c r="U1381" i="2"/>
  <c r="AG1381" i="2"/>
  <c r="AH1383" i="2"/>
  <c r="AC1384" i="2"/>
  <c r="AI1392" i="2"/>
  <c r="Y1399" i="2"/>
  <c r="AF1400" i="2"/>
  <c r="U1405" i="2"/>
  <c r="AG1405" i="2"/>
  <c r="V1429" i="2"/>
  <c r="AD1430" i="2"/>
  <c r="Z1431" i="2"/>
  <c r="X1440" i="2"/>
  <c r="AF1441" i="2"/>
  <c r="X1443" i="2"/>
  <c r="Z1460" i="2"/>
  <c r="AD1462" i="2"/>
  <c r="AB1485" i="2"/>
  <c r="W1486" i="2"/>
  <c r="AI1486" i="2"/>
  <c r="AE1520" i="2"/>
  <c r="Z1532" i="2"/>
  <c r="AD1536" i="2"/>
  <c r="Y1537" i="2"/>
  <c r="U1538" i="2"/>
  <c r="AG1538" i="2"/>
  <c r="AB1315" i="2"/>
  <c r="AB1319" i="2"/>
  <c r="X1320" i="2"/>
  <c r="AA1322" i="2"/>
  <c r="AC1324" i="2"/>
  <c r="AE1328" i="2"/>
  <c r="X1329" i="2"/>
  <c r="AA1331" i="2"/>
  <c r="AI1334" i="2"/>
  <c r="AD1335" i="2"/>
  <c r="AE1337" i="2"/>
  <c r="AB1342" i="2"/>
  <c r="Y1345" i="2"/>
  <c r="AD1348" i="2"/>
  <c r="W1349" i="2"/>
  <c r="Y1370" i="2"/>
  <c r="AD1371" i="2"/>
  <c r="V1372" i="2"/>
  <c r="AA1373" i="2"/>
  <c r="AB1375" i="2"/>
  <c r="Z1380" i="2"/>
  <c r="AH1381" i="2"/>
  <c r="W1383" i="2"/>
  <c r="Y1389" i="2"/>
  <c r="AE1390" i="2"/>
  <c r="AG1400" i="2"/>
  <c r="AC1401" i="2"/>
  <c r="W1402" i="2"/>
  <c r="AI1402" i="2"/>
  <c r="Z1404" i="2"/>
  <c r="Y1420" i="2"/>
  <c r="AC1425" i="2"/>
  <c r="AH1438" i="2"/>
  <c r="U1441" i="2"/>
  <c r="AG1441" i="2"/>
  <c r="W1455" i="2"/>
  <c r="AI1455" i="2"/>
  <c r="AE1456" i="2"/>
  <c r="AD1459" i="2"/>
  <c r="AD1468" i="2"/>
  <c r="U1473" i="2"/>
  <c r="AC1474" i="2"/>
  <c r="AB1477" i="2"/>
  <c r="AB1480" i="2"/>
  <c r="AI1481" i="2"/>
  <c r="AE1482" i="2"/>
  <c r="Z1513" i="2"/>
  <c r="AG1514" i="2"/>
  <c r="U1517" i="2"/>
  <c r="AG1517" i="2"/>
  <c r="X1519" i="2"/>
  <c r="X1527" i="2"/>
  <c r="U1528" i="2"/>
  <c r="AF1528" i="2"/>
  <c r="AF1531" i="2"/>
  <c r="Z1294" i="2"/>
  <c r="AA1299" i="2"/>
  <c r="AA1301" i="2"/>
  <c r="X1302" i="2"/>
  <c r="AF1305" i="2"/>
  <c r="AB1306" i="2"/>
  <c r="AC1308" i="2"/>
  <c r="Z1309" i="2"/>
  <c r="W1314" i="2"/>
  <c r="AI1314" i="2"/>
  <c r="AC1315" i="2"/>
  <c r="Y1320" i="2"/>
  <c r="AF1321" i="2"/>
  <c r="Y1325" i="2"/>
  <c r="Y1329" i="2"/>
  <c r="AF1330" i="2"/>
  <c r="V1332" i="2"/>
  <c r="AH1332" i="2"/>
  <c r="AC1333" i="2"/>
  <c r="W1334" i="2"/>
  <c r="Z1338" i="2"/>
  <c r="AD1344" i="2"/>
  <c r="AE1346" i="2"/>
  <c r="Z1347" i="2"/>
  <c r="Y1351" i="2"/>
  <c r="Y1353" i="2"/>
  <c r="X1360" i="2"/>
  <c r="U1361" i="2"/>
  <c r="AG1361" i="2"/>
  <c r="Z1362" i="2"/>
  <c r="AH1363" i="2"/>
  <c r="Z1365" i="2"/>
  <c r="U1366" i="2"/>
  <c r="AG1366" i="2"/>
  <c r="AC1367" i="2"/>
  <c r="AE1369" i="2"/>
  <c r="AI1372" i="2"/>
  <c r="AC1375" i="2"/>
  <c r="X1378" i="2"/>
  <c r="AI1378" i="2"/>
  <c r="X1383" i="2"/>
  <c r="Y1385" i="2"/>
  <c r="AF1386" i="2"/>
  <c r="AC1391" i="2"/>
  <c r="AB1394" i="2"/>
  <c r="AD1396" i="2"/>
  <c r="Z1397" i="2"/>
  <c r="Z1399" i="2"/>
  <c r="X1402" i="2"/>
  <c r="V1421" i="2"/>
  <c r="AH1421" i="2"/>
  <c r="AD1422" i="2"/>
  <c r="U1424" i="2"/>
  <c r="Z1426" i="2"/>
  <c r="AB1428" i="2"/>
  <c r="W1438" i="2"/>
  <c r="AI1438" i="2"/>
  <c r="Z1440" i="2"/>
  <c r="Z1443" i="2"/>
  <c r="AD1448" i="2"/>
  <c r="Y1452" i="2"/>
  <c r="AF1453" i="2"/>
  <c r="Z1505" i="2"/>
  <c r="AE1512" i="2"/>
  <c r="Z1516" i="2"/>
  <c r="AD1518" i="2"/>
  <c r="AF1202" i="2"/>
  <c r="Z1203" i="2"/>
  <c r="AE1204" i="2"/>
  <c r="X1205" i="2"/>
  <c r="AC1208" i="2"/>
  <c r="V1214" i="2"/>
  <c r="AH1214" i="2"/>
  <c r="W1218" i="2"/>
  <c r="AB1219" i="2"/>
  <c r="X1222" i="2"/>
  <c r="W1225" i="2"/>
  <c r="AI1225" i="2"/>
  <c r="AG1227" i="2"/>
  <c r="AC1228" i="2"/>
  <c r="AD1230" i="2"/>
  <c r="Z1235" i="2"/>
  <c r="Y1239" i="2"/>
  <c r="X1241" i="2"/>
  <c r="V1246" i="2"/>
  <c r="AH1246" i="2"/>
  <c r="AD1247" i="2"/>
  <c r="Y1248" i="2"/>
  <c r="AD1254" i="2"/>
  <c r="V1256" i="2"/>
  <c r="AH1256" i="2"/>
  <c r="Z1259" i="2"/>
  <c r="AE1260" i="2"/>
  <c r="AA1263" i="2"/>
  <c r="X1266" i="2"/>
  <c r="AH1271" i="2"/>
  <c r="W1275" i="2"/>
  <c r="AI1275" i="2"/>
  <c r="AA1277" i="2"/>
  <c r="Z1279" i="2"/>
  <c r="AD1281" i="2"/>
  <c r="AC1283" i="2"/>
  <c r="V1284" i="2"/>
  <c r="AH1284" i="2"/>
  <c r="X1286" i="2"/>
  <c r="AB1288" i="2"/>
  <c r="X1289" i="2"/>
  <c r="AE1290" i="2"/>
  <c r="Y1295" i="2"/>
  <c r="AF1301" i="2"/>
  <c r="AC1304" i="2"/>
  <c r="X1305" i="2"/>
  <c r="V1308" i="2"/>
  <c r="AH1308" i="2"/>
  <c r="AC1311" i="2"/>
  <c r="AA1314" i="2"/>
  <c r="AA1316" i="2"/>
  <c r="AC1320" i="2"/>
  <c r="W1321" i="2"/>
  <c r="AI1321" i="2"/>
  <c r="AC1329" i="2"/>
  <c r="U1342" i="2"/>
  <c r="V1344" i="2"/>
  <c r="AH1344" i="2"/>
  <c r="W1348" i="2"/>
  <c r="AI1348" i="2"/>
  <c r="W1354" i="2"/>
  <c r="AI1354" i="2"/>
  <c r="AE1355" i="2"/>
  <c r="U1359" i="2"/>
  <c r="AG1359" i="2"/>
  <c r="Y1361" i="2"/>
  <c r="V1364" i="2"/>
  <c r="AH1364" i="2"/>
  <c r="Y1366" i="2"/>
  <c r="AA1368" i="2"/>
  <c r="W1371" i="2"/>
  <c r="AI1371" i="2"/>
  <c r="AA1372" i="2"/>
  <c r="AA1383" i="2"/>
  <c r="U1391" i="2"/>
  <c r="AG1391" i="2"/>
  <c r="Y1393" i="2"/>
  <c r="AA1408" i="2"/>
  <c r="U1409" i="2"/>
  <c r="AG1409" i="2"/>
  <c r="AF1412" i="2"/>
  <c r="V1414" i="2"/>
  <c r="AH1414" i="2"/>
  <c r="AF1417" i="2"/>
  <c r="AI1433" i="2"/>
  <c r="AD1437" i="2"/>
  <c r="AE1437" i="2"/>
  <c r="Z1444" i="2"/>
  <c r="AI1468" i="2"/>
  <c r="AE1469" i="2"/>
  <c r="Z1470" i="2"/>
  <c r="AG1471" i="2"/>
  <c r="V1485" i="2"/>
  <c r="AB1495" i="2"/>
  <c r="AF1497" i="2"/>
  <c r="Z1506" i="2"/>
  <c r="AF1510" i="2"/>
  <c r="AB1511" i="2"/>
  <c r="U1521" i="2"/>
  <c r="AG1521" i="2"/>
  <c r="X1523" i="2"/>
  <c r="V1526" i="2"/>
  <c r="Y1531" i="2"/>
  <c r="X1293" i="2"/>
  <c r="AE1294" i="2"/>
  <c r="AI1298" i="2"/>
  <c r="AF1299" i="2"/>
  <c r="AC1302" i="2"/>
  <c r="Y1305" i="2"/>
  <c r="AI1308" i="2"/>
  <c r="AD1309" i="2"/>
  <c r="Z1312" i="2"/>
  <c r="AE1313" i="2"/>
  <c r="V1315" i="2"/>
  <c r="V1317" i="2"/>
  <c r="Y1318" i="2"/>
  <c r="V1319" i="2"/>
  <c r="AH1319" i="2"/>
  <c r="Y1321" i="2"/>
  <c r="AD1325" i="2"/>
  <c r="Z1328" i="2"/>
  <c r="U1331" i="2"/>
  <c r="AA1332" i="2"/>
  <c r="V1333" i="2"/>
  <c r="X1339" i="2"/>
  <c r="AD1340" i="2"/>
  <c r="AB1343" i="2"/>
  <c r="W1344" i="2"/>
  <c r="AI1344" i="2"/>
  <c r="AI1346" i="2"/>
  <c r="AE1347" i="2"/>
  <c r="W1350" i="2"/>
  <c r="AI1350" i="2"/>
  <c r="AD1351" i="2"/>
  <c r="AE1353" i="2"/>
  <c r="AD1357" i="2"/>
  <c r="AC1360" i="2"/>
  <c r="AF1362" i="2"/>
  <c r="AA1363" i="2"/>
  <c r="AB1381" i="2"/>
  <c r="V1382" i="2"/>
  <c r="AH1382" i="2"/>
  <c r="X1384" i="2"/>
  <c r="AE1385" i="2"/>
  <c r="X1388" i="2"/>
  <c r="AI1388" i="2"/>
  <c r="Z1390" i="2"/>
  <c r="V1391" i="2"/>
  <c r="AH1391" i="2"/>
  <c r="AB1405" i="2"/>
  <c r="X1406" i="2"/>
  <c r="V1409" i="2"/>
  <c r="AH1409" i="2"/>
  <c r="AD1410" i="2"/>
  <c r="AC1413" i="2"/>
  <c r="Y1430" i="2"/>
  <c r="AF1431" i="2"/>
  <c r="AB1432" i="2"/>
  <c r="X1433" i="2"/>
  <c r="AB1467" i="2"/>
  <c r="X1468" i="2"/>
  <c r="W1485" i="2"/>
  <c r="AI1485" i="2"/>
  <c r="AC1486" i="2"/>
  <c r="V1491" i="2"/>
  <c r="AH1491" i="2"/>
  <c r="AD1492" i="2"/>
  <c r="Y1493" i="2"/>
  <c r="U1494" i="2"/>
  <c r="AF1494" i="2"/>
  <c r="X1496" i="2"/>
  <c r="AD1519" i="2"/>
  <c r="Z1520" i="2"/>
  <c r="AB1525" i="2"/>
  <c r="W1526" i="2"/>
  <c r="AI1526" i="2"/>
  <c r="AA1397" i="2"/>
  <c r="U1400" i="2"/>
  <c r="V1402" i="2"/>
  <c r="AD1403" i="2"/>
  <c r="AF1405" i="2"/>
  <c r="AA1406" i="2"/>
  <c r="W1407" i="2"/>
  <c r="AH1407" i="2"/>
  <c r="X1412" i="2"/>
  <c r="AI1412" i="2"/>
  <c r="Y1414" i="2"/>
  <c r="AE1423" i="2"/>
  <c r="AA1424" i="2"/>
  <c r="W1425" i="2"/>
  <c r="AE1426" i="2"/>
  <c r="Z1432" i="2"/>
  <c r="V1433" i="2"/>
  <c r="AD1434" i="2"/>
  <c r="AG1436" i="2"/>
  <c r="Z1438" i="2"/>
  <c r="AI1441" i="2"/>
  <c r="AB1446" i="2"/>
  <c r="X1447" i="2"/>
  <c r="Z1449" i="2"/>
  <c r="AG1453" i="2"/>
  <c r="X1458" i="2"/>
  <c r="AA1471" i="2"/>
  <c r="AC1482" i="2"/>
  <c r="W1491" i="2"/>
  <c r="AI1491" i="2"/>
  <c r="AB1493" i="2"/>
  <c r="V1502" i="2"/>
  <c r="AH1502" i="2"/>
  <c r="Y1504" i="2"/>
  <c r="AE1521" i="2"/>
  <c r="AF1521" i="2"/>
  <c r="Y1525" i="2"/>
  <c r="U1526" i="2"/>
  <c r="AB1530" i="2"/>
  <c r="AE1534" i="2"/>
  <c r="AB1390" i="2"/>
  <c r="Y1391" i="2"/>
  <c r="Z1393" i="2"/>
  <c r="V1396" i="2"/>
  <c r="AH1396" i="2"/>
  <c r="X1400" i="2"/>
  <c r="Y1402" i="2"/>
  <c r="U1403" i="2"/>
  <c r="AG1403" i="2"/>
  <c r="V1405" i="2"/>
  <c r="AI1405" i="2"/>
  <c r="AH1418" i="2"/>
  <c r="W1420" i="2"/>
  <c r="V1423" i="2"/>
  <c r="X1428" i="2"/>
  <c r="AE1429" i="2"/>
  <c r="U1434" i="2"/>
  <c r="AG1434" i="2"/>
  <c r="U1437" i="2"/>
  <c r="AG1437" i="2"/>
  <c r="AE1443" i="2"/>
  <c r="AC1463" i="2"/>
  <c r="AF1465" i="2"/>
  <c r="Z1472" i="2"/>
  <c r="AK1472" i="2" s="1"/>
  <c r="V1473" i="2"/>
  <c r="AG1473" i="2"/>
  <c r="Z1475" i="2"/>
  <c r="AF1476" i="2"/>
  <c r="AC1480" i="2"/>
  <c r="X1481" i="2"/>
  <c r="AI1505" i="2"/>
  <c r="Z1515" i="2"/>
  <c r="V1516" i="2"/>
  <c r="AH1516" i="2"/>
  <c r="Z1518" i="2"/>
  <c r="AD1535" i="2"/>
  <c r="W1536" i="2"/>
  <c r="AI1536" i="2"/>
  <c r="AE1320" i="2"/>
  <c r="AD1323" i="2"/>
  <c r="X1324" i="2"/>
  <c r="AE1327" i="2"/>
  <c r="AA1328" i="2"/>
  <c r="Y1330" i="2"/>
  <c r="AI1335" i="2"/>
  <c r="AC1336" i="2"/>
  <c r="W1339" i="2"/>
  <c r="AI1339" i="2"/>
  <c r="X1341" i="2"/>
  <c r="Z1343" i="2"/>
  <c r="AF1344" i="2"/>
  <c r="U1346" i="2"/>
  <c r="AB1347" i="2"/>
  <c r="Y1349" i="2"/>
  <c r="U1352" i="2"/>
  <c r="AA1353" i="2"/>
  <c r="AE1354" i="2"/>
  <c r="AH1356" i="2"/>
  <c r="Z1357" i="2"/>
  <c r="AB1359" i="2"/>
  <c r="AC1364" i="2"/>
  <c r="AA1367" i="2"/>
  <c r="V1368" i="2"/>
  <c r="AH1368" i="2"/>
  <c r="X1370" i="2"/>
  <c r="AI1370" i="2"/>
  <c r="U1372" i="2"/>
  <c r="Z1373" i="2"/>
  <c r="Z1375" i="2"/>
  <c r="Z1377" i="2"/>
  <c r="U1378" i="2"/>
  <c r="AG1378" i="2"/>
  <c r="AB1379" i="2"/>
  <c r="AK1379" i="2" s="1"/>
  <c r="X1380" i="2"/>
  <c r="Z1382" i="2"/>
  <c r="U1383" i="2"/>
  <c r="AG1383" i="2"/>
  <c r="W1385" i="2"/>
  <c r="AI1385" i="2"/>
  <c r="AB1386" i="2"/>
  <c r="AD1390" i="2"/>
  <c r="AE1392" i="2"/>
  <c r="X1405" i="2"/>
  <c r="AA1407" i="2"/>
  <c r="W1408" i="2"/>
  <c r="AI1408" i="2"/>
  <c r="U1411" i="2"/>
  <c r="AG1411" i="2"/>
  <c r="AG1416" i="2"/>
  <c r="AA1417" i="2"/>
  <c r="AD1421" i="2"/>
  <c r="AA1422" i="2"/>
  <c r="W1423" i="2"/>
  <c r="AH1423" i="2"/>
  <c r="AI1423" i="2"/>
  <c r="AF1429" i="2"/>
  <c r="AD1435" i="2"/>
  <c r="Z1436" i="2"/>
  <c r="W1456" i="2"/>
  <c r="AE1471" i="2"/>
  <c r="U1482" i="2"/>
  <c r="AG1482" i="2"/>
  <c r="AI1500" i="2"/>
  <c r="AH1503" i="2"/>
  <c r="AC1504" i="2"/>
  <c r="U1519" i="2"/>
  <c r="AG1519" i="2"/>
  <c r="X1521" i="2"/>
  <c r="V1532" i="2"/>
  <c r="AH1532" i="2"/>
  <c r="AC1533" i="2"/>
  <c r="X1385" i="2"/>
  <c r="AD1386" i="2"/>
  <c r="V1387" i="2"/>
  <c r="AH1387" i="2"/>
  <c r="AC1388" i="2"/>
  <c r="AB1393" i="2"/>
  <c r="AF1397" i="2"/>
  <c r="AA1402" i="2"/>
  <c r="AD1409" i="2"/>
  <c r="Z1410" i="2"/>
  <c r="AH1411" i="2"/>
  <c r="V1416" i="2"/>
  <c r="AH1416" i="2"/>
  <c r="X1418" i="2"/>
  <c r="AD1419" i="2"/>
  <c r="AE1432" i="2"/>
  <c r="V1434" i="2"/>
  <c r="AC1447" i="2"/>
  <c r="AF1449" i="2"/>
  <c r="U1460" i="2"/>
  <c r="AG1460" i="2"/>
  <c r="Y1462" i="2"/>
  <c r="AE1463" i="2"/>
  <c r="AD1466" i="2"/>
  <c r="AB1472" i="2"/>
  <c r="X1473" i="2"/>
  <c r="AI1473" i="2"/>
  <c r="AB1475" i="2"/>
  <c r="W1476" i="2"/>
  <c r="AE1480" i="2"/>
  <c r="U1490" i="2"/>
  <c r="AG1490" i="2"/>
  <c r="AB1497" i="2"/>
  <c r="X1498" i="2"/>
  <c r="AB1507" i="2"/>
  <c r="X1508" i="2"/>
  <c r="Y1513" i="2"/>
  <c r="AA1515" i="2"/>
  <c r="X1516" i="2"/>
  <c r="Y1529" i="2"/>
  <c r="X1387" i="2"/>
  <c r="U1390" i="2"/>
  <c r="U1392" i="2"/>
  <c r="AA1393" i="2"/>
  <c r="AD1395" i="2"/>
  <c r="W1396" i="2"/>
  <c r="AI1396" i="2"/>
  <c r="AI1398" i="2"/>
  <c r="AC1399" i="2"/>
  <c r="Z1406" i="2"/>
  <c r="AC1408" i="2"/>
  <c r="W1409" i="2"/>
  <c r="AI1409" i="2"/>
  <c r="AA1411" i="2"/>
  <c r="U1412" i="2"/>
  <c r="AG1412" i="2"/>
  <c r="AE1415" i="2"/>
  <c r="U1417" i="2"/>
  <c r="AG1417" i="2"/>
  <c r="Z1420" i="2"/>
  <c r="U1421" i="2"/>
  <c r="AB1425" i="2"/>
  <c r="Z1428" i="2"/>
  <c r="U1429" i="2"/>
  <c r="AC1432" i="2"/>
  <c r="AB1438" i="2"/>
  <c r="V1439" i="2"/>
  <c r="AH1439" i="2"/>
  <c r="AA1446" i="2"/>
  <c r="AI1447" i="2"/>
  <c r="AI1452" i="2"/>
  <c r="AE1453" i="2"/>
  <c r="AC1459" i="2"/>
  <c r="U1461" i="2"/>
  <c r="W1463" i="2"/>
  <c r="AF1471" i="2"/>
  <c r="AA1472" i="2"/>
  <c r="V1479" i="2"/>
  <c r="AH1479" i="2"/>
  <c r="AE1492" i="2"/>
  <c r="Z1493" i="2"/>
  <c r="Z1496" i="2"/>
  <c r="X1509" i="2"/>
  <c r="AA1513" i="2"/>
  <c r="AF1517" i="2"/>
  <c r="V1519" i="2"/>
  <c r="W1529" i="2"/>
  <c r="AH1529" i="2"/>
  <c r="Z1531" i="2"/>
  <c r="AF1532" i="2"/>
  <c r="AB1533" i="2"/>
  <c r="AE1360" i="2"/>
  <c r="X1364" i="2"/>
  <c r="AF1365" i="2"/>
  <c r="Z1366" i="2"/>
  <c r="U1367" i="2"/>
  <c r="X1369" i="2"/>
  <c r="U1373" i="2"/>
  <c r="Z1374" i="2"/>
  <c r="U1375" i="2"/>
  <c r="AG1375" i="2"/>
  <c r="U1377" i="2"/>
  <c r="W1379" i="2"/>
  <c r="AI1379" i="2"/>
  <c r="V1384" i="2"/>
  <c r="AH1384" i="2"/>
  <c r="AA1387" i="2"/>
  <c r="AC1389" i="2"/>
  <c r="AE1391" i="2"/>
  <c r="AB1406" i="2"/>
  <c r="AK1406" i="2" s="1"/>
  <c r="Z1409" i="2"/>
  <c r="V1410" i="2"/>
  <c r="AH1410" i="2"/>
  <c r="Z1414" i="2"/>
  <c r="V1415" i="2"/>
  <c r="AH1415" i="2"/>
  <c r="X1417" i="2"/>
  <c r="AI1421" i="2"/>
  <c r="AF1422" i="2"/>
  <c r="AA1423" i="2"/>
  <c r="V1427" i="2"/>
  <c r="AH1427" i="2"/>
  <c r="AB1433" i="2"/>
  <c r="Y1442" i="2"/>
  <c r="Z1447" i="2"/>
  <c r="AI1450" i="2"/>
  <c r="AD1451" i="2"/>
  <c r="AH1453" i="2"/>
  <c r="AB1454" i="2"/>
  <c r="Y1455" i="2"/>
  <c r="U1456" i="2"/>
  <c r="AB1457" i="2"/>
  <c r="AF1459" i="2"/>
  <c r="V1464" i="2"/>
  <c r="AH1464" i="2"/>
  <c r="AC1478" i="2"/>
  <c r="U1480" i="2"/>
  <c r="AG1480" i="2"/>
  <c r="AE1483" i="2"/>
  <c r="AC1485" i="2"/>
  <c r="X1486" i="2"/>
  <c r="AE1487" i="2"/>
  <c r="AA1488" i="2"/>
  <c r="AH1489" i="2"/>
  <c r="AD1490" i="2"/>
  <c r="Z1491" i="2"/>
  <c r="V1492" i="2"/>
  <c r="U1495" i="2"/>
  <c r="AF1500" i="2"/>
  <c r="AE1503" i="2"/>
  <c r="AD1508" i="2"/>
  <c r="AE1508" i="2"/>
  <c r="U1510" i="2"/>
  <c r="AC1511" i="2"/>
  <c r="W1512" i="2"/>
  <c r="AI1512" i="2"/>
  <c r="W1517" i="2"/>
  <c r="AI1517" i="2"/>
  <c r="V1527" i="2"/>
  <c r="AH1527" i="2"/>
  <c r="Z1529" i="2"/>
  <c r="V1530" i="2"/>
  <c r="AH1530" i="2"/>
  <c r="W1532" i="2"/>
  <c r="AI1532" i="2"/>
  <c r="X1536" i="2"/>
  <c r="AD1389" i="2"/>
  <c r="Z1394" i="2"/>
  <c r="AA1396" i="2"/>
  <c r="AB1398" i="2"/>
  <c r="AK1398" i="2" s="1"/>
  <c r="V1399" i="2"/>
  <c r="AH1399" i="2"/>
  <c r="AC1400" i="2"/>
  <c r="W1401" i="2"/>
  <c r="AI1401" i="2"/>
  <c r="U1408" i="2"/>
  <c r="AG1408" i="2"/>
  <c r="AD1416" i="2"/>
  <c r="AD1420" i="2"/>
  <c r="Y1424" i="2"/>
  <c r="AB1426" i="2"/>
  <c r="W1427" i="2"/>
  <c r="AI1427" i="2"/>
  <c r="V1440" i="2"/>
  <c r="Z1442" i="2"/>
  <c r="U1443" i="2"/>
  <c r="AG1443" i="2"/>
  <c r="AC1444" i="2"/>
  <c r="AE1446" i="2"/>
  <c r="AA1447" i="2"/>
  <c r="W1448" i="2"/>
  <c r="AI1448" i="2"/>
  <c r="AI1453" i="2"/>
  <c r="U1469" i="2"/>
  <c r="AG1469" i="2"/>
  <c r="V1480" i="2"/>
  <c r="AE1485" i="2"/>
  <c r="AF1487" i="2"/>
  <c r="AB1488" i="2"/>
  <c r="AE1490" i="2"/>
  <c r="Y1494" i="2"/>
  <c r="AG1500" i="2"/>
  <c r="AA1504" i="2"/>
  <c r="U1505" i="2"/>
  <c r="AA1506" i="2"/>
  <c r="V1510" i="2"/>
  <c r="AH1510" i="2"/>
  <c r="X1512" i="2"/>
  <c r="AF1525" i="2"/>
  <c r="AB1526" i="2"/>
  <c r="AE1528" i="2"/>
  <c r="AF1535" i="2"/>
  <c r="Z1392" i="2"/>
  <c r="AF1393" i="2"/>
  <c r="AA1394" i="2"/>
  <c r="V1395" i="2"/>
  <c r="W1397" i="2"/>
  <c r="W1399" i="2"/>
  <c r="AI1399" i="2"/>
  <c r="AD1400" i="2"/>
  <c r="AD1402" i="2"/>
  <c r="AB1409" i="2"/>
  <c r="X1410" i="2"/>
  <c r="X1415" i="2"/>
  <c r="AI1415" i="2"/>
  <c r="AF1416" i="2"/>
  <c r="Z1417" i="2"/>
  <c r="AE1420" i="2"/>
  <c r="Z1421" i="2"/>
  <c r="V1422" i="2"/>
  <c r="AE1428" i="2"/>
  <c r="U1438" i="2"/>
  <c r="AG1438" i="2"/>
  <c r="AA1439" i="2"/>
  <c r="W1440" i="2"/>
  <c r="AI1440" i="2"/>
  <c r="AE1441" i="2"/>
  <c r="AF1446" i="2"/>
  <c r="AH1459" i="2"/>
  <c r="W1464" i="2"/>
  <c r="Y1471" i="2"/>
  <c r="AD1478" i="2"/>
  <c r="W1480" i="2"/>
  <c r="AH1480" i="2"/>
  <c r="X1489" i="2"/>
  <c r="AB1491" i="2"/>
  <c r="X1492" i="2"/>
  <c r="Y1502" i="2"/>
  <c r="AH1505" i="2"/>
  <c r="U1508" i="2"/>
  <c r="AG1508" i="2"/>
  <c r="AC1509" i="2"/>
  <c r="W1510" i="2"/>
  <c r="AI1510" i="2"/>
  <c r="AE1511" i="2"/>
  <c r="AF1513" i="2"/>
  <c r="AB1514" i="2"/>
  <c r="AD1521" i="2"/>
  <c r="AE1523" i="2"/>
  <c r="V1525" i="2"/>
  <c r="AH1525" i="2"/>
  <c r="W1527" i="2"/>
  <c r="AI1527" i="2"/>
  <c r="X1530" i="2"/>
  <c r="U1533" i="2"/>
  <c r="Z1422" i="2"/>
  <c r="AC1426" i="2"/>
  <c r="Y1427" i="2"/>
  <c r="AC1428" i="2"/>
  <c r="Y1429" i="2"/>
  <c r="AA1431" i="2"/>
  <c r="U1432" i="2"/>
  <c r="AG1432" i="2"/>
  <c r="V1441" i="2"/>
  <c r="AH1441" i="2"/>
  <c r="Z1445" i="2"/>
  <c r="AC1452" i="2"/>
  <c r="AE1454" i="2"/>
  <c r="AI1456" i="2"/>
  <c r="AD1457" i="2"/>
  <c r="U1459" i="2"/>
  <c r="AA1460" i="2"/>
  <c r="AI1461" i="2"/>
  <c r="AI1463" i="2"/>
  <c r="AH1465" i="2"/>
  <c r="U1467" i="2"/>
  <c r="AG1467" i="2"/>
  <c r="AD1470" i="2"/>
  <c r="Z1473" i="2"/>
  <c r="Y1476" i="2"/>
  <c r="Z1479" i="2"/>
  <c r="AF1482" i="2"/>
  <c r="AI1487" i="2"/>
  <c r="AE1495" i="2"/>
  <c r="AI1497" i="2"/>
  <c r="AB1502" i="2"/>
  <c r="X1505" i="2"/>
  <c r="AE1506" i="2"/>
  <c r="AD1509" i="2"/>
  <c r="U1515" i="2"/>
  <c r="AG1515" i="2"/>
  <c r="AA1516" i="2"/>
  <c r="W1519" i="2"/>
  <c r="AH1519" i="2"/>
  <c r="AE1522" i="2"/>
  <c r="AE1524" i="2"/>
  <c r="AG1526" i="2"/>
  <c r="X1532" i="2"/>
  <c r="AF1533" i="2"/>
  <c r="AI1534" i="2"/>
  <c r="AI1538" i="2"/>
  <c r="Y1394" i="2"/>
  <c r="Z1396" i="2"/>
  <c r="U1397" i="2"/>
  <c r="AG1401" i="2"/>
  <c r="AB1402" i="2"/>
  <c r="W1403" i="2"/>
  <c r="AI1403" i="2"/>
  <c r="Y1405" i="2"/>
  <c r="Y1409" i="2"/>
  <c r="AA1418" i="2"/>
  <c r="AF1419" i="2"/>
  <c r="AB1422" i="2"/>
  <c r="AD1424" i="2"/>
  <c r="Y1425" i="2"/>
  <c r="Z1427" i="2"/>
  <c r="AA1429" i="2"/>
  <c r="AC1431" i="2"/>
  <c r="AD1433" i="2"/>
  <c r="Z1434" i="2"/>
  <c r="U1435" i="2"/>
  <c r="AG1435" i="2"/>
  <c r="AC1436" i="2"/>
  <c r="W1439" i="2"/>
  <c r="AI1439" i="2"/>
  <c r="V1444" i="2"/>
  <c r="AH1444" i="2"/>
  <c r="Z1453" i="2"/>
  <c r="AB1458" i="2"/>
  <c r="Y1461" i="2"/>
  <c r="X1463" i="2"/>
  <c r="AC1464" i="2"/>
  <c r="Z1469" i="2"/>
  <c r="AF1470" i="2"/>
  <c r="AB1471" i="2"/>
  <c r="V1472" i="2"/>
  <c r="AH1472" i="2"/>
  <c r="X1477" i="2"/>
  <c r="AB1481" i="2"/>
  <c r="AC1483" i="2"/>
  <c r="X1487" i="2"/>
  <c r="AF1493" i="2"/>
  <c r="AA1494" i="2"/>
  <c r="V1495" i="2"/>
  <c r="AH1495" i="2"/>
  <c r="U1499" i="2"/>
  <c r="AG1499" i="2"/>
  <c r="AD1502" i="2"/>
  <c r="Z1503" i="2"/>
  <c r="Y1508" i="2"/>
  <c r="AE1509" i="2"/>
  <c r="U1511" i="2"/>
  <c r="AG1511" i="2"/>
  <c r="AA1512" i="2"/>
  <c r="W1515" i="2"/>
  <c r="X1517" i="2"/>
  <c r="Y1519" i="2"/>
  <c r="AF1520" i="2"/>
  <c r="U1522" i="2"/>
  <c r="AG1522" i="2"/>
  <c r="U1524" i="2"/>
  <c r="AG1531" i="2"/>
  <c r="AA1532" i="2"/>
  <c r="AH1533" i="2"/>
  <c r="Y1538" i="2"/>
  <c r="U1539" i="2"/>
  <c r="AG1539" i="2"/>
  <c r="AF1421" i="2"/>
  <c r="U1426" i="2"/>
  <c r="AF1426" i="2"/>
  <c r="U1428" i="2"/>
  <c r="AG1428" i="2"/>
  <c r="AB1429" i="2"/>
  <c r="V1430" i="2"/>
  <c r="AH1430" i="2"/>
  <c r="Z1441" i="2"/>
  <c r="U1442" i="2"/>
  <c r="AG1442" i="2"/>
  <c r="AB1443" i="2"/>
  <c r="AC1450" i="2"/>
  <c r="X1451" i="2"/>
  <c r="AF1452" i="2"/>
  <c r="V1454" i="2"/>
  <c r="AG1454" i="2"/>
  <c r="AD1455" i="2"/>
  <c r="Y1456" i="2"/>
  <c r="AF1462" i="2"/>
  <c r="Y1465" i="2"/>
  <c r="AF1466" i="2"/>
  <c r="AE1468" i="2"/>
  <c r="Z1474" i="2"/>
  <c r="U1478" i="2"/>
  <c r="AC1479" i="2"/>
  <c r="W1482" i="2"/>
  <c r="AI1482" i="2"/>
  <c r="Z1485" i="2"/>
  <c r="AF1486" i="2"/>
  <c r="AC1489" i="2"/>
  <c r="AD1491" i="2"/>
  <c r="AD1496" i="2"/>
  <c r="AH1499" i="2"/>
  <c r="W1501" i="2"/>
  <c r="AI1501" i="2"/>
  <c r="AA1503" i="2"/>
  <c r="V1504" i="2"/>
  <c r="W1511" i="2"/>
  <c r="AD1514" i="2"/>
  <c r="AD1516" i="2"/>
  <c r="Y1517" i="2"/>
  <c r="AF1518" i="2"/>
  <c r="AB1521" i="2"/>
  <c r="V1524" i="2"/>
  <c r="AH1524" i="2"/>
  <c r="Y1528" i="2"/>
  <c r="AF1529" i="2"/>
  <c r="AA1530" i="2"/>
  <c r="V1531" i="2"/>
  <c r="AH1531" i="2"/>
  <c r="AB1532" i="2"/>
  <c r="W1533" i="2"/>
  <c r="AI1533" i="2"/>
  <c r="Z1534" i="2"/>
  <c r="U1535" i="2"/>
  <c r="AA1536" i="2"/>
  <c r="AE1537" i="2"/>
  <c r="Z1538" i="2"/>
  <c r="V1539" i="2"/>
  <c r="Z1423" i="2"/>
  <c r="AF1424" i="2"/>
  <c r="AA1425" i="2"/>
  <c r="AC1429" i="2"/>
  <c r="Y1432" i="2"/>
  <c r="AF1433" i="2"/>
  <c r="W1435" i="2"/>
  <c r="AI1435" i="2"/>
  <c r="AE1436" i="2"/>
  <c r="Y1439" i="2"/>
  <c r="AE1440" i="2"/>
  <c r="AC1443" i="2"/>
  <c r="X1444" i="2"/>
  <c r="AI1444" i="2"/>
  <c r="AB1448" i="2"/>
  <c r="AK1448" i="2" s="1"/>
  <c r="AA1461" i="2"/>
  <c r="AE1464" i="2"/>
  <c r="AH1470" i="2"/>
  <c r="AC1471" i="2"/>
  <c r="AA1474" i="2"/>
  <c r="W1475" i="2"/>
  <c r="AI1475" i="2"/>
  <c r="V1484" i="2"/>
  <c r="AH1484" i="2"/>
  <c r="W1488" i="2"/>
  <c r="AI1488" i="2"/>
  <c r="AD1489" i="2"/>
  <c r="U1493" i="2"/>
  <c r="AG1493" i="2"/>
  <c r="AC1494" i="2"/>
  <c r="AE1496" i="2"/>
  <c r="AA1497" i="2"/>
  <c r="AF1498" i="2"/>
  <c r="W1504" i="2"/>
  <c r="AI1504" i="2"/>
  <c r="W1506" i="2"/>
  <c r="AI1506" i="2"/>
  <c r="AE1507" i="2"/>
  <c r="Z1508" i="2"/>
  <c r="AH1509" i="2"/>
  <c r="AC1512" i="2"/>
  <c r="X1515" i="2"/>
  <c r="AA1519" i="2"/>
  <c r="V1520" i="2"/>
  <c r="AH1520" i="2"/>
  <c r="V1522" i="2"/>
  <c r="AH1522" i="2"/>
  <c r="W1524" i="2"/>
  <c r="AI1524" i="2"/>
  <c r="AE1525" i="2"/>
  <c r="Z1526" i="2"/>
  <c r="AD1527" i="2"/>
  <c r="AC1532" i="2"/>
  <c r="AB1536" i="2"/>
  <c r="AD1427" i="2"/>
  <c r="W1428" i="2"/>
  <c r="AD1429" i="2"/>
  <c r="X1430" i="2"/>
  <c r="AF1440" i="2"/>
  <c r="AA1441" i="2"/>
  <c r="AD1443" i="2"/>
  <c r="Y1444" i="2"/>
  <c r="AD1445" i="2"/>
  <c r="Y1446" i="2"/>
  <c r="AF1447" i="2"/>
  <c r="X1449" i="2"/>
  <c r="Y1451" i="2"/>
  <c r="AI1454" i="2"/>
  <c r="AF1455" i="2"/>
  <c r="AF1460" i="2"/>
  <c r="AB1463" i="2"/>
  <c r="AA1465" i="2"/>
  <c r="AI1470" i="2"/>
  <c r="AE1476" i="2"/>
  <c r="AF1483" i="2"/>
  <c r="V1486" i="2"/>
  <c r="AG1486" i="2"/>
  <c r="AE1489" i="2"/>
  <c r="Y1495" i="2"/>
  <c r="X1499" i="2"/>
  <c r="AE1500" i="2"/>
  <c r="Y1501" i="2"/>
  <c r="AD1505" i="2"/>
  <c r="AF1507" i="2"/>
  <c r="W1509" i="2"/>
  <c r="AC1510" i="2"/>
  <c r="Y1511" i="2"/>
  <c r="AE1514" i="2"/>
  <c r="Z1517" i="2"/>
  <c r="AH1518" i="2"/>
  <c r="AC1521" i="2"/>
  <c r="AD1523" i="2"/>
  <c r="AC1530" i="2"/>
  <c r="AI1531" i="2"/>
  <c r="X1533" i="2"/>
  <c r="AC1534" i="2"/>
  <c r="U1537" i="2"/>
  <c r="W1539" i="2"/>
  <c r="AI1539" i="2"/>
  <c r="Z62" i="2"/>
  <c r="AK62" i="2" s="1"/>
  <c r="AG813" i="2"/>
  <c r="AH813" i="2"/>
  <c r="AG206" i="2"/>
  <c r="AH206" i="2"/>
  <c r="V424" i="2"/>
  <c r="U424" i="2"/>
  <c r="Y582" i="2"/>
  <c r="Z582" i="2"/>
  <c r="AK582" i="2" s="1"/>
  <c r="AB32" i="2"/>
  <c r="AC32" i="2"/>
  <c r="W33" i="2"/>
  <c r="X33" i="2"/>
  <c r="X4" i="2"/>
  <c r="W6" i="2"/>
  <c r="AI6" i="2"/>
  <c r="AA11" i="2"/>
  <c r="U12" i="2"/>
  <c r="AG12" i="2"/>
  <c r="AB18" i="2"/>
  <c r="AF23" i="2"/>
  <c r="AC42" i="2"/>
  <c r="Y45" i="2"/>
  <c r="AC46" i="2"/>
  <c r="U50" i="2"/>
  <c r="AG50" i="2"/>
  <c r="AB53" i="2"/>
  <c r="Z73" i="2"/>
  <c r="AK73" i="2" s="1"/>
  <c r="AE74" i="2"/>
  <c r="AF74" i="2"/>
  <c r="X82" i="2"/>
  <c r="AD83" i="2"/>
  <c r="AD101" i="2"/>
  <c r="Y114" i="2"/>
  <c r="AA115" i="2"/>
  <c r="AB115" i="2"/>
  <c r="AI122" i="2"/>
  <c r="W144" i="2"/>
  <c r="AI144" i="2"/>
  <c r="AF155" i="2"/>
  <c r="Z156" i="2"/>
  <c r="AA156" i="2"/>
  <c r="V166" i="2"/>
  <c r="AH166" i="2"/>
  <c r="Y177" i="2"/>
  <c r="Y191" i="2"/>
  <c r="X191" i="2"/>
  <c r="AC192" i="2"/>
  <c r="AB209" i="2"/>
  <c r="AA209" i="2"/>
  <c r="U283" i="2"/>
  <c r="AG283" i="2"/>
  <c r="AC273" i="2"/>
  <c r="U40" i="2"/>
  <c r="W92" i="2"/>
  <c r="V92" i="2"/>
  <c r="AD104" i="2"/>
  <c r="AE104" i="2"/>
  <c r="V119" i="2"/>
  <c r="W119" i="2"/>
  <c r="AH119" i="2"/>
  <c r="AI119" i="2"/>
  <c r="AB17" i="2"/>
  <c r="AG20" i="2"/>
  <c r="AA21" i="2"/>
  <c r="V24" i="2"/>
  <c r="AG24" i="2"/>
  <c r="AA29" i="2"/>
  <c r="V34" i="2"/>
  <c r="AH34" i="2"/>
  <c r="AB35" i="2"/>
  <c r="AC35" i="2"/>
  <c r="AB39" i="2"/>
  <c r="AK39" i="2" s="1"/>
  <c r="AF64" i="2"/>
  <c r="AK76" i="2"/>
  <c r="AB80" i="2"/>
  <c r="AC80" i="2"/>
  <c r="W99" i="2"/>
  <c r="AI99" i="2"/>
  <c r="Y108" i="2"/>
  <c r="AA118" i="2"/>
  <c r="AB118" i="2"/>
  <c r="AK118" i="2" s="1"/>
  <c r="AA140" i="2"/>
  <c r="AF141" i="2"/>
  <c r="X41" i="2"/>
  <c r="AB11" i="2"/>
  <c r="AK11" i="2" s="1"/>
  <c r="AC11" i="2"/>
  <c r="X129" i="2"/>
  <c r="Y129" i="2"/>
  <c r="AH424" i="2"/>
  <c r="AG424" i="2"/>
  <c r="AF18" i="2"/>
  <c r="V7" i="2"/>
  <c r="Y38" i="2"/>
  <c r="AB56" i="2"/>
  <c r="AC56" i="2"/>
  <c r="X57" i="2"/>
  <c r="Y57" i="2"/>
  <c r="AF186" i="2"/>
  <c r="AE186" i="2"/>
  <c r="Z97" i="2"/>
  <c r="AA97" i="2"/>
  <c r="AF1115" i="2"/>
  <c r="AG1115" i="2"/>
  <c r="AK222" i="2"/>
  <c r="AB603" i="2"/>
  <c r="AA603" i="2"/>
  <c r="AA22" i="2"/>
  <c r="Z52" i="2"/>
  <c r="AK52" i="2" s="1"/>
  <c r="Y52" i="2"/>
  <c r="AE143" i="2"/>
  <c r="AD143" i="2"/>
  <c r="AF13" i="2"/>
  <c r="AG13" i="2"/>
  <c r="AB8" i="2"/>
  <c r="AK8" i="2" s="1"/>
  <c r="AG9" i="2"/>
  <c r="AA3" i="2"/>
  <c r="Z5" i="2"/>
  <c r="AD6" i="2"/>
  <c r="AA7" i="2"/>
  <c r="W9" i="2"/>
  <c r="AI9" i="2"/>
  <c r="X13" i="2"/>
  <c r="AD15" i="2"/>
  <c r="W16" i="2"/>
  <c r="AI16" i="2"/>
  <c r="W34" i="2"/>
  <c r="AE35" i="2"/>
  <c r="AA38" i="2"/>
  <c r="AG42" i="2"/>
  <c r="Z55" i="2"/>
  <c r="AK55" i="2" s="1"/>
  <c r="U71" i="2"/>
  <c r="AH88" i="2"/>
  <c r="Y106" i="2"/>
  <c r="AD133" i="2"/>
  <c r="AE133" i="2"/>
  <c r="AB150" i="2"/>
  <c r="AA150" i="2"/>
  <c r="U179" i="2"/>
  <c r="AG179" i="2"/>
  <c r="AB198" i="2"/>
  <c r="AB310" i="2"/>
  <c r="AI7" i="2"/>
  <c r="AA5" i="2"/>
  <c r="AF6" i="2"/>
  <c r="AB7" i="2"/>
  <c r="AK7" i="2" s="1"/>
  <c r="Y13" i="2"/>
  <c r="AC19" i="2"/>
  <c r="AF27" i="2"/>
  <c r="X28" i="2"/>
  <c r="AD29" i="2"/>
  <c r="Y34" i="2"/>
  <c r="AF43" i="2"/>
  <c r="AD50" i="2"/>
  <c r="U54" i="2"/>
  <c r="AG54" i="2"/>
  <c r="V71" i="2"/>
  <c r="AA79" i="2"/>
  <c r="W84" i="2"/>
  <c r="V84" i="2"/>
  <c r="AI84" i="2"/>
  <c r="W102" i="2"/>
  <c r="AI102" i="2"/>
  <c r="V124" i="2"/>
  <c r="V131" i="2"/>
  <c r="AH131" i="2"/>
  <c r="X139" i="2"/>
  <c r="Y146" i="2"/>
  <c r="AE212" i="2"/>
  <c r="AF212" i="2"/>
  <c r="AK14" i="2"/>
  <c r="AA46" i="2"/>
  <c r="AB46" i="2"/>
  <c r="AK46" i="2" s="1"/>
  <c r="AB59" i="2"/>
  <c r="AC59" i="2"/>
  <c r="AH71" i="2"/>
  <c r="AI71" i="2"/>
  <c r="W95" i="2"/>
  <c r="V95" i="2"/>
  <c r="AH95" i="2"/>
  <c r="AI95" i="2"/>
  <c r="Y158" i="2"/>
  <c r="AE32" i="2"/>
  <c r="AE98" i="2"/>
  <c r="AF98" i="2"/>
  <c r="AA137" i="2"/>
  <c r="AI193" i="2"/>
  <c r="AH193" i="2"/>
  <c r="X238" i="2"/>
  <c r="W238" i="2"/>
  <c r="X300" i="2"/>
  <c r="W300" i="2"/>
  <c r="W17" i="2"/>
  <c r="AI17" i="2"/>
  <c r="AA18" i="2"/>
  <c r="AE20" i="2"/>
  <c r="AF24" i="2"/>
  <c r="AI25" i="2"/>
  <c r="AB26" i="2"/>
  <c r="AE27" i="2"/>
  <c r="AE30" i="2"/>
  <c r="Z32" i="2"/>
  <c r="AE33" i="2"/>
  <c r="AA35" i="2"/>
  <c r="AF36" i="2"/>
  <c r="AB42" i="2"/>
  <c r="AD43" i="2"/>
  <c r="AF44" i="2"/>
  <c r="W45" i="2"/>
  <c r="AF47" i="2"/>
  <c r="AC50" i="2"/>
  <c r="AF51" i="2"/>
  <c r="AA53" i="2"/>
  <c r="AF54" i="2"/>
  <c r="V58" i="2"/>
  <c r="AH58" i="2"/>
  <c r="U60" i="2"/>
  <c r="AG60" i="2"/>
  <c r="AI61" i="2"/>
  <c r="AG68" i="2"/>
  <c r="X69" i="2"/>
  <c r="AG71" i="2"/>
  <c r="V72" i="2"/>
  <c r="Y73" i="2"/>
  <c r="AD74" i="2"/>
  <c r="U75" i="2"/>
  <c r="AG75" i="2"/>
  <c r="W76" i="2"/>
  <c r="AB77" i="2"/>
  <c r="U78" i="2"/>
  <c r="AG78" i="2"/>
  <c r="Z79" i="2"/>
  <c r="AI82" i="2"/>
  <c r="AH84" i="2"/>
  <c r="X85" i="2"/>
  <c r="AB87" i="2"/>
  <c r="AK87" i="2" s="1"/>
  <c r="AI90" i="2"/>
  <c r="AF91" i="2"/>
  <c r="Y93" i="2"/>
  <c r="V99" i="2"/>
  <c r="AH99" i="2"/>
  <c r="X100" i="2"/>
  <c r="AC101" i="2"/>
  <c r="V102" i="2"/>
  <c r="AH102" i="2"/>
  <c r="AA103" i="2"/>
  <c r="V105" i="2"/>
  <c r="AH105" i="2"/>
  <c r="X108" i="2"/>
  <c r="AA109" i="2"/>
  <c r="Z115" i="2"/>
  <c r="AD116" i="2"/>
  <c r="AI117" i="2"/>
  <c r="AG119" i="2"/>
  <c r="Y120" i="2"/>
  <c r="V122" i="2"/>
  <c r="AH122" i="2"/>
  <c r="AF126" i="2"/>
  <c r="AI129" i="2"/>
  <c r="U131" i="2"/>
  <c r="U134" i="2"/>
  <c r="AE138" i="2"/>
  <c r="AD141" i="2"/>
  <c r="AE141" i="2"/>
  <c r="V144" i="2"/>
  <c r="AH144" i="2"/>
  <c r="AD147" i="2"/>
  <c r="W148" i="2"/>
  <c r="AI148" i="2"/>
  <c r="U151" i="2"/>
  <c r="AG151" i="2"/>
  <c r="Y152" i="2"/>
  <c r="AD157" i="2"/>
  <c r="X158" i="2"/>
  <c r="V160" i="2"/>
  <c r="AH160" i="2"/>
  <c r="AF164" i="2"/>
  <c r="AA165" i="2"/>
  <c r="U166" i="2"/>
  <c r="AG166" i="2"/>
  <c r="AD172" i="2"/>
  <c r="Y173" i="2"/>
  <c r="AA178" i="2"/>
  <c r="AF179" i="2"/>
  <c r="AB192" i="2"/>
  <c r="AG197" i="2"/>
  <c r="AH197" i="2"/>
  <c r="AA198" i="2"/>
  <c r="AC199" i="2"/>
  <c r="AH208" i="2"/>
  <c r="AE210" i="2"/>
  <c r="V217" i="2"/>
  <c r="AH217" i="2"/>
  <c r="AI222" i="2"/>
  <c r="W224" i="2"/>
  <c r="AI224" i="2"/>
  <c r="Y232" i="2"/>
  <c r="AD240" i="2"/>
  <c r="AD246" i="2"/>
  <c r="AC246" i="2"/>
  <c r="AD248" i="2"/>
  <c r="AI256" i="2"/>
  <c r="AH256" i="2"/>
  <c r="U258" i="2"/>
  <c r="AG258" i="2"/>
  <c r="Y265" i="2"/>
  <c r="AD266" i="2"/>
  <c r="X315" i="2"/>
  <c r="AC378" i="2"/>
  <c r="AD378" i="2"/>
  <c r="AH47" i="2"/>
  <c r="Z49" i="2"/>
  <c r="AE50" i="2"/>
  <c r="AD80" i="2"/>
  <c r="AB89" i="2"/>
  <c r="AK89" i="2" s="1"/>
  <c r="AF90" i="2"/>
  <c r="Z99" i="2"/>
  <c r="AC118" i="2"/>
  <c r="W124" i="2"/>
  <c r="AI124" i="2"/>
  <c r="AD128" i="2"/>
  <c r="AA142" i="2"/>
  <c r="AF143" i="2"/>
  <c r="AG149" i="2"/>
  <c r="AF161" i="2"/>
  <c r="W164" i="2"/>
  <c r="AI164" i="2"/>
  <c r="U172" i="2"/>
  <c r="W184" i="2"/>
  <c r="AI184" i="2"/>
  <c r="U186" i="2"/>
  <c r="AE190" i="2"/>
  <c r="X197" i="2"/>
  <c r="X204" i="2"/>
  <c r="AC205" i="2"/>
  <c r="Y208" i="2"/>
  <c r="AD209" i="2"/>
  <c r="AC213" i="2"/>
  <c r="AB215" i="2"/>
  <c r="Z217" i="2"/>
  <c r="Y219" i="2"/>
  <c r="V279" i="2"/>
  <c r="AH279" i="2"/>
  <c r="AC297" i="2"/>
  <c r="AF305" i="2"/>
  <c r="AG314" i="2"/>
  <c r="AF314" i="2"/>
  <c r="AH16" i="2"/>
  <c r="AE18" i="2"/>
  <c r="U19" i="2"/>
  <c r="AG19" i="2"/>
  <c r="W20" i="2"/>
  <c r="AI20" i="2"/>
  <c r="Z21" i="2"/>
  <c r="AK21" i="2" s="1"/>
  <c r="AC22" i="2"/>
  <c r="AH23" i="2"/>
  <c r="Z25" i="2"/>
  <c r="AK25" i="2" s="1"/>
  <c r="AE26" i="2"/>
  <c r="W27" i="2"/>
  <c r="AI27" i="2"/>
  <c r="AB28" i="2"/>
  <c r="W30" i="2"/>
  <c r="AI30" i="2"/>
  <c r="AB31" i="2"/>
  <c r="AI33" i="2"/>
  <c r="Z37" i="2"/>
  <c r="AD39" i="2"/>
  <c r="W40" i="2"/>
  <c r="AI40" i="2"/>
  <c r="AA45" i="2"/>
  <c r="AE46" i="2"/>
  <c r="Y48" i="2"/>
  <c r="X51" i="2"/>
  <c r="AC52" i="2"/>
  <c r="X54" i="2"/>
  <c r="AC55" i="2"/>
  <c r="AD56" i="2"/>
  <c r="AA61" i="2"/>
  <c r="AD62" i="2"/>
  <c r="AE63" i="2"/>
  <c r="X64" i="2"/>
  <c r="AC65" i="2"/>
  <c r="AF66" i="2"/>
  <c r="AB69" i="2"/>
  <c r="AF70" i="2"/>
  <c r="Z72" i="2"/>
  <c r="AK72" i="2" s="1"/>
  <c r="Y75" i="2"/>
  <c r="AD76" i="2"/>
  <c r="Y78" i="2"/>
  <c r="AD79" i="2"/>
  <c r="Z82" i="2"/>
  <c r="U83" i="2"/>
  <c r="AG83" i="2"/>
  <c r="AE86" i="2"/>
  <c r="Y88" i="2"/>
  <c r="AD88" i="2"/>
  <c r="AD89" i="2"/>
  <c r="X91" i="2"/>
  <c r="AI91" i="2"/>
  <c r="AC93" i="2"/>
  <c r="U94" i="2"/>
  <c r="AG94" i="2"/>
  <c r="AA96" i="2"/>
  <c r="AD97" i="2"/>
  <c r="U101" i="2"/>
  <c r="AG101" i="2"/>
  <c r="AE103" i="2"/>
  <c r="U104" i="2"/>
  <c r="AC106" i="2"/>
  <c r="W107" i="2"/>
  <c r="AI107" i="2"/>
  <c r="AD109" i="2"/>
  <c r="W110" i="2"/>
  <c r="AI110" i="2"/>
  <c r="Y111" i="2"/>
  <c r="AC112" i="2"/>
  <c r="AB114" i="2"/>
  <c r="AD115" i="2"/>
  <c r="AA117" i="2"/>
  <c r="AE118" i="2"/>
  <c r="X124" i="2"/>
  <c r="AC125" i="2"/>
  <c r="X126" i="2"/>
  <c r="AC127" i="2"/>
  <c r="AD130" i="2"/>
  <c r="Y131" i="2"/>
  <c r="AF133" i="2"/>
  <c r="AH138" i="2"/>
  <c r="AI138" i="2"/>
  <c r="AB139" i="2"/>
  <c r="AD140" i="2"/>
  <c r="V141" i="2"/>
  <c r="AI141" i="2"/>
  <c r="AC152" i="2"/>
  <c r="W153" i="2"/>
  <c r="AI153" i="2"/>
  <c r="AB154" i="2"/>
  <c r="W155" i="2"/>
  <c r="AI155" i="2"/>
  <c r="AC156" i="2"/>
  <c r="AH157" i="2"/>
  <c r="AE165" i="2"/>
  <c r="AB169" i="2"/>
  <c r="V172" i="2"/>
  <c r="AH172" i="2"/>
  <c r="AB177" i="2"/>
  <c r="AK177" i="2" s="1"/>
  <c r="AE178" i="2"/>
  <c r="AG188" i="2"/>
  <c r="AA189" i="2"/>
  <c r="AE203" i="2"/>
  <c r="Y206" i="2"/>
  <c r="AE207" i="2"/>
  <c r="Z208" i="2"/>
  <c r="W212" i="2"/>
  <c r="AI212" i="2"/>
  <c r="Z229" i="2"/>
  <c r="AF235" i="2"/>
  <c r="AE237" i="2"/>
  <c r="AH242" i="2"/>
  <c r="AA243" i="2"/>
  <c r="X254" i="2"/>
  <c r="AD255" i="2"/>
  <c r="AE255" i="2"/>
  <c r="V264" i="2"/>
  <c r="AH264" i="2"/>
  <c r="Y272" i="2"/>
  <c r="W281" i="2"/>
  <c r="V281" i="2"/>
  <c r="AH281" i="2"/>
  <c r="AI281" i="2"/>
  <c r="W296" i="2"/>
  <c r="AI296" i="2"/>
  <c r="AF303" i="2"/>
  <c r="AE303" i="2"/>
  <c r="AD336" i="2"/>
  <c r="AC336" i="2"/>
  <c r="AF345" i="2"/>
  <c r="AG345" i="2"/>
  <c r="AG417" i="2"/>
  <c r="AF417" i="2"/>
  <c r="Z526" i="2"/>
  <c r="AK526" i="2" s="1"/>
  <c r="AA526" i="2"/>
  <c r="V545" i="2"/>
  <c r="W545" i="2"/>
  <c r="AI545" i="2"/>
  <c r="AH545" i="2"/>
  <c r="Z105" i="2"/>
  <c r="X113" i="2"/>
  <c r="Y124" i="2"/>
  <c r="V157" i="2"/>
  <c r="W157" i="2"/>
  <c r="AE196" i="2"/>
  <c r="AF196" i="2"/>
  <c r="AG292" i="2"/>
  <c r="AH292" i="2"/>
  <c r="AF348" i="2"/>
  <c r="AG348" i="2"/>
  <c r="X495" i="2"/>
  <c r="AF35" i="2"/>
  <c r="AF56" i="2"/>
  <c r="AF63" i="2"/>
  <c r="AH66" i="2"/>
  <c r="Y68" i="2"/>
  <c r="AI74" i="2"/>
  <c r="Y81" i="2"/>
  <c r="Z92" i="2"/>
  <c r="AD93" i="2"/>
  <c r="V101" i="2"/>
  <c r="AF109" i="2"/>
  <c r="AG109" i="2"/>
  <c r="AE130" i="2"/>
  <c r="Y151" i="2"/>
  <c r="AH194" i="2"/>
  <c r="AG194" i="2"/>
  <c r="Y214" i="2"/>
  <c r="AH218" i="2"/>
  <c r="AE220" i="2"/>
  <c r="X221" i="2"/>
  <c r="Y221" i="2"/>
  <c r="AI264" i="2"/>
  <c r="AF271" i="2"/>
  <c r="AG271" i="2"/>
  <c r="AE280" i="2"/>
  <c r="AD280" i="2"/>
  <c r="W389" i="2"/>
  <c r="V389" i="2"/>
  <c r="AE522" i="2"/>
  <c r="AF522" i="2"/>
  <c r="AI43" i="2"/>
  <c r="AC25" i="2"/>
  <c r="AF32" i="2"/>
  <c r="AF39" i="2"/>
  <c r="AH42" i="2"/>
  <c r="W50" i="2"/>
  <c r="AI50" i="2"/>
  <c r="AC51" i="2"/>
  <c r="AD69" i="2"/>
  <c r="AH77" i="2"/>
  <c r="AD85" i="2"/>
  <c r="AK88" i="2"/>
  <c r="AB99" i="2"/>
  <c r="AE106" i="2"/>
  <c r="AD107" i="2"/>
  <c r="Y110" i="2"/>
  <c r="AF135" i="2"/>
  <c r="AG135" i="2"/>
  <c r="AB162" i="2"/>
  <c r="AF163" i="2"/>
  <c r="AH167" i="2"/>
  <c r="AH168" i="2"/>
  <c r="AE169" i="2"/>
  <c r="X174" i="2"/>
  <c r="AD189" i="2"/>
  <c r="AI190" i="2"/>
  <c r="AB195" i="2"/>
  <c r="AH203" i="2"/>
  <c r="AB204" i="2"/>
  <c r="U205" i="2"/>
  <c r="AG205" i="2"/>
  <c r="AE211" i="2"/>
  <c r="AG213" i="2"/>
  <c r="U233" i="2"/>
  <c r="AF239" i="2"/>
  <c r="AE239" i="2"/>
  <c r="Y240" i="2"/>
  <c r="Y242" i="2"/>
  <c r="Z252" i="2"/>
  <c r="AH259" i="2"/>
  <c r="AI259" i="2"/>
  <c r="V262" i="2"/>
  <c r="X279" i="2"/>
  <c r="AC288" i="2"/>
  <c r="Z296" i="2"/>
  <c r="X320" i="2"/>
  <c r="AI327" i="2"/>
  <c r="AA484" i="2"/>
  <c r="AB484" i="2"/>
  <c r="AD16" i="2"/>
  <c r="AI19" i="2"/>
  <c r="U5" i="2"/>
  <c r="AG5" i="2"/>
  <c r="AE7" i="2"/>
  <c r="U8" i="2"/>
  <c r="AF8" i="2"/>
  <c r="AB10" i="2"/>
  <c r="V11" i="2"/>
  <c r="AH11" i="2"/>
  <c r="AF14" i="2"/>
  <c r="AF15" i="2"/>
  <c r="Z16" i="2"/>
  <c r="AE17" i="2"/>
  <c r="AH18" i="2"/>
  <c r="Y19" i="2"/>
  <c r="V22" i="2"/>
  <c r="AH22" i="2"/>
  <c r="AA23" i="2"/>
  <c r="AE25" i="2"/>
  <c r="X26" i="2"/>
  <c r="AI26" i="2"/>
  <c r="AF31" i="2"/>
  <c r="V32" i="2"/>
  <c r="AH32" i="2"/>
  <c r="AC34" i="2"/>
  <c r="W35" i="2"/>
  <c r="AI35" i="2"/>
  <c r="AA36" i="2"/>
  <c r="AA40" i="2"/>
  <c r="AF41" i="2"/>
  <c r="AD45" i="2"/>
  <c r="W46" i="2"/>
  <c r="AI46" i="2"/>
  <c r="AB47" i="2"/>
  <c r="AF49" i="2"/>
  <c r="Y50" i="2"/>
  <c r="U52" i="2"/>
  <c r="AG52" i="2"/>
  <c r="W53" i="2"/>
  <c r="AH53" i="2"/>
  <c r="W56" i="2"/>
  <c r="AI56" i="2"/>
  <c r="AD58" i="2"/>
  <c r="X59" i="2"/>
  <c r="AC60" i="2"/>
  <c r="AD61" i="2"/>
  <c r="W63" i="2"/>
  <c r="AI63" i="2"/>
  <c r="AB64" i="2"/>
  <c r="U65" i="2"/>
  <c r="AG65" i="2"/>
  <c r="Y66" i="2"/>
  <c r="AC68" i="2"/>
  <c r="X70" i="2"/>
  <c r="AC71" i="2"/>
  <c r="U73" i="2"/>
  <c r="AG73" i="2"/>
  <c r="Z74" i="2"/>
  <c r="AB75" i="2"/>
  <c r="AK75" i="2" s="1"/>
  <c r="AH76" i="2"/>
  <c r="X80" i="2"/>
  <c r="AC81" i="2"/>
  <c r="Y83" i="2"/>
  <c r="AC83" i="2"/>
  <c r="AD84" i="2"/>
  <c r="W86" i="2"/>
  <c r="AI86" i="2"/>
  <c r="V89" i="2"/>
  <c r="AH89" i="2"/>
  <c r="Z90" i="2"/>
  <c r="AD92" i="2"/>
  <c r="V97" i="2"/>
  <c r="AH97" i="2"/>
  <c r="AA98" i="2"/>
  <c r="Y104" i="2"/>
  <c r="AD105" i="2"/>
  <c r="AA107" i="2"/>
  <c r="AF108" i="2"/>
  <c r="V109" i="2"/>
  <c r="AI109" i="2"/>
  <c r="Z110" i="2"/>
  <c r="AK110" i="2" s="1"/>
  <c r="AC111" i="2"/>
  <c r="V112" i="2"/>
  <c r="AH112" i="2"/>
  <c r="Z116" i="2"/>
  <c r="W118" i="2"/>
  <c r="AI118" i="2"/>
  <c r="Y121" i="2"/>
  <c r="AD122" i="2"/>
  <c r="X123" i="2"/>
  <c r="AC124" i="2"/>
  <c r="U125" i="2"/>
  <c r="AG125" i="2"/>
  <c r="AB136" i="2"/>
  <c r="U137" i="2"/>
  <c r="AG137" i="2"/>
  <c r="AA138" i="2"/>
  <c r="X143" i="2"/>
  <c r="AA149" i="2"/>
  <c r="V150" i="2"/>
  <c r="AH150" i="2"/>
  <c r="AC151" i="2"/>
  <c r="AG152" i="2"/>
  <c r="AD160" i="2"/>
  <c r="Y161" i="2"/>
  <c r="U163" i="2"/>
  <c r="AB164" i="2"/>
  <c r="W165" i="2"/>
  <c r="AI165" i="2"/>
  <c r="W178" i="2"/>
  <c r="U183" i="2"/>
  <c r="AG183" i="2"/>
  <c r="X188" i="2"/>
  <c r="W203" i="2"/>
  <c r="AI203" i="2"/>
  <c r="AC204" i="2"/>
  <c r="W209" i="2"/>
  <c r="AD217" i="2"/>
  <c r="U218" i="2"/>
  <c r="AI221" i="2"/>
  <c r="AC238" i="2"/>
  <c r="AD238" i="2"/>
  <c r="U261" i="2"/>
  <c r="V269" i="2"/>
  <c r="U269" i="2"/>
  <c r="AH269" i="2"/>
  <c r="AG269" i="2"/>
  <c r="AF295" i="2"/>
  <c r="W327" i="2"/>
  <c r="X327" i="2"/>
  <c r="AE371" i="2"/>
  <c r="AD371" i="2"/>
  <c r="AE392" i="2"/>
  <c r="AD392" i="2"/>
  <c r="AG398" i="2"/>
  <c r="AF398" i="2"/>
  <c r="AK44" i="2"/>
  <c r="AA110" i="2"/>
  <c r="AE128" i="2"/>
  <c r="AG186" i="2"/>
  <c r="AI240" i="2"/>
  <c r="AG242" i="2"/>
  <c r="AG253" i="2"/>
  <c r="AF253" i="2"/>
  <c r="Y286" i="2"/>
  <c r="Z286" i="2"/>
  <c r="AK51" i="2"/>
  <c r="U3" i="2"/>
  <c r="U4" i="2"/>
  <c r="AF4" i="2"/>
  <c r="V5" i="2"/>
  <c r="AI5" i="2"/>
  <c r="W8" i="2"/>
  <c r="AI8" i="2"/>
  <c r="AD10" i="2"/>
  <c r="X11" i="2"/>
  <c r="AC12" i="2"/>
  <c r="AD13" i="2"/>
  <c r="W15" i="2"/>
  <c r="AI15" i="2"/>
  <c r="AB16" i="2"/>
  <c r="U17" i="2"/>
  <c r="AG17" i="2"/>
  <c r="Y18" i="2"/>
  <c r="AC20" i="2"/>
  <c r="X22" i="2"/>
  <c r="AC23" i="2"/>
  <c r="U25" i="2"/>
  <c r="AG25" i="2"/>
  <c r="Z26" i="2"/>
  <c r="AB27" i="2"/>
  <c r="AH28" i="2"/>
  <c r="X32" i="2"/>
  <c r="AC33" i="2"/>
  <c r="Y35" i="2"/>
  <c r="AD36" i="2"/>
  <c r="W38" i="2"/>
  <c r="AI38" i="2"/>
  <c r="V41" i="2"/>
  <c r="AH41" i="2"/>
  <c r="Z42" i="2"/>
  <c r="AD44" i="2"/>
  <c r="V49" i="2"/>
  <c r="AH49" i="2"/>
  <c r="AA50" i="2"/>
  <c r="AF50" i="2"/>
  <c r="Y56" i="2"/>
  <c r="AD57" i="2"/>
  <c r="AE58" i="2"/>
  <c r="Z59" i="2"/>
  <c r="AE60" i="2"/>
  <c r="AF61" i="2"/>
  <c r="Y63" i="2"/>
  <c r="AC64" i="2"/>
  <c r="W65" i="2"/>
  <c r="AI65" i="2"/>
  <c r="AA66" i="2"/>
  <c r="AE68" i="2"/>
  <c r="AF72" i="2"/>
  <c r="AI73" i="2"/>
  <c r="AB74" i="2"/>
  <c r="AK74" i="2" s="1"/>
  <c r="AE75" i="2"/>
  <c r="AI76" i="2"/>
  <c r="Y77" i="2"/>
  <c r="AE78" i="2"/>
  <c r="AI79" i="2"/>
  <c r="Z80" i="2"/>
  <c r="AE81" i="2"/>
  <c r="AA83" i="2"/>
  <c r="AF84" i="2"/>
  <c r="AB90" i="2"/>
  <c r="AD91" i="2"/>
  <c r="AF92" i="2"/>
  <c r="W93" i="2"/>
  <c r="AI93" i="2"/>
  <c r="AB94" i="2"/>
  <c r="AK94" i="2" s="1"/>
  <c r="AF95" i="2"/>
  <c r="AC98" i="2"/>
  <c r="AF99" i="2"/>
  <c r="AA101" i="2"/>
  <c r="AF102" i="2"/>
  <c r="AI106" i="2"/>
  <c r="AB107" i="2"/>
  <c r="AH108" i="2"/>
  <c r="Y109" i="2"/>
  <c r="AE111" i="2"/>
  <c r="X112" i="2"/>
  <c r="AD113" i="2"/>
  <c r="X115" i="2"/>
  <c r="Y118" i="2"/>
  <c r="Z121" i="2"/>
  <c r="AE122" i="2"/>
  <c r="AH125" i="2"/>
  <c r="W130" i="2"/>
  <c r="AA133" i="2"/>
  <c r="AE134" i="2"/>
  <c r="AC136" i="2"/>
  <c r="W137" i="2"/>
  <c r="AI137" i="2"/>
  <c r="U139" i="2"/>
  <c r="AG139" i="2"/>
  <c r="W142" i="2"/>
  <c r="AI142" i="2"/>
  <c r="AB143" i="2"/>
  <c r="AK143" i="2" s="1"/>
  <c r="AF144" i="2"/>
  <c r="AA145" i="2"/>
  <c r="W146" i="2"/>
  <c r="AI146" i="2"/>
  <c r="AB147" i="2"/>
  <c r="AK147" i="2" s="1"/>
  <c r="U148" i="2"/>
  <c r="AG148" i="2"/>
  <c r="AC155" i="2"/>
  <c r="W156" i="2"/>
  <c r="V158" i="2"/>
  <c r="AH158" i="2"/>
  <c r="AA159" i="2"/>
  <c r="AE162" i="2"/>
  <c r="W163" i="2"/>
  <c r="AH163" i="2"/>
  <c r="Y167" i="2"/>
  <c r="V175" i="2"/>
  <c r="U175" i="2"/>
  <c r="AC176" i="2"/>
  <c r="U181" i="2"/>
  <c r="AG181" i="2"/>
  <c r="AC182" i="2"/>
  <c r="X185" i="2"/>
  <c r="AF187" i="2"/>
  <c r="AE193" i="2"/>
  <c r="Y196" i="2"/>
  <c r="AC200" i="2"/>
  <c r="W201" i="2"/>
  <c r="AH201" i="2"/>
  <c r="AB223" i="2"/>
  <c r="AC225" i="2"/>
  <c r="V226" i="2"/>
  <c r="W226" i="2"/>
  <c r="AI226" i="2"/>
  <c r="AD237" i="2"/>
  <c r="W239" i="2"/>
  <c r="AI239" i="2"/>
  <c r="X249" i="2"/>
  <c r="AC250" i="2"/>
  <c r="V253" i="2"/>
  <c r="AH253" i="2"/>
  <c r="Z259" i="2"/>
  <c r="AK259" i="2" s="1"/>
  <c r="Z273" i="2"/>
  <c r="Y273" i="2"/>
  <c r="V276" i="2"/>
  <c r="Y308" i="2"/>
  <c r="AD311" i="2"/>
  <c r="V377" i="2"/>
  <c r="AA393" i="2"/>
  <c r="Z393" i="2"/>
  <c r="AC397" i="2"/>
  <c r="AB397" i="2"/>
  <c r="AH4" i="2"/>
  <c r="X8" i="2"/>
  <c r="AC9" i="2"/>
  <c r="Y11" i="2"/>
  <c r="AD12" i="2"/>
  <c r="W14" i="2"/>
  <c r="AI14" i="2"/>
  <c r="V17" i="2"/>
  <c r="AH17" i="2"/>
  <c r="Z18" i="2"/>
  <c r="AD20" i="2"/>
  <c r="V25" i="2"/>
  <c r="AH25" i="2"/>
  <c r="AA26" i="2"/>
  <c r="AF26" i="2"/>
  <c r="Y32" i="2"/>
  <c r="AD33" i="2"/>
  <c r="Z35" i="2"/>
  <c r="AE36" i="2"/>
  <c r="Y39" i="2"/>
  <c r="W41" i="2"/>
  <c r="AI41" i="2"/>
  <c r="AA42" i="2"/>
  <c r="AE44" i="2"/>
  <c r="AI47" i="2"/>
  <c r="AF48" i="2"/>
  <c r="AI49" i="2"/>
  <c r="AB50" i="2"/>
  <c r="AK50" i="2" s="1"/>
  <c r="AE51" i="2"/>
  <c r="AE54" i="2"/>
  <c r="Z56" i="2"/>
  <c r="AE57" i="2"/>
  <c r="AA59" i="2"/>
  <c r="AF60" i="2"/>
  <c r="AB66" i="2"/>
  <c r="AD67" i="2"/>
  <c r="AF68" i="2"/>
  <c r="W69" i="2"/>
  <c r="AI69" i="2"/>
  <c r="AB70" i="2"/>
  <c r="AK70" i="2" s="1"/>
  <c r="AF71" i="2"/>
  <c r="AC74" i="2"/>
  <c r="AF75" i="2"/>
  <c r="AA77" i="2"/>
  <c r="AF78" i="2"/>
  <c r="AE80" i="2"/>
  <c r="V82" i="2"/>
  <c r="AH82" i="2"/>
  <c r="U84" i="2"/>
  <c r="AG84" i="2"/>
  <c r="AI85" i="2"/>
  <c r="AG87" i="2"/>
  <c r="AG90" i="2"/>
  <c r="AG92" i="2"/>
  <c r="X93" i="2"/>
  <c r="AG95" i="2"/>
  <c r="V96" i="2"/>
  <c r="AH96" i="2"/>
  <c r="Y97" i="2"/>
  <c r="AD98" i="2"/>
  <c r="U99" i="2"/>
  <c r="AG99" i="2"/>
  <c r="AB101" i="2"/>
  <c r="U102" i="2"/>
  <c r="AG102" i="2"/>
  <c r="X106" i="2"/>
  <c r="Z109" i="2"/>
  <c r="AD110" i="2"/>
  <c r="Y112" i="2"/>
  <c r="AD112" i="2"/>
  <c r="AF119" i="2"/>
  <c r="U122" i="2"/>
  <c r="AA128" i="2"/>
  <c r="Y130" i="2"/>
  <c r="AF130" i="2"/>
  <c r="AB133" i="2"/>
  <c r="AG133" i="2"/>
  <c r="AF134" i="2"/>
  <c r="Y135" i="2"/>
  <c r="X142" i="2"/>
  <c r="AC143" i="2"/>
  <c r="X146" i="2"/>
  <c r="AC147" i="2"/>
  <c r="AD153" i="2"/>
  <c r="X154" i="2"/>
  <c r="AB159" i="2"/>
  <c r="U160" i="2"/>
  <c r="AG160" i="2"/>
  <c r="AF162" i="2"/>
  <c r="W175" i="2"/>
  <c r="AH175" i="2"/>
  <c r="AI175" i="2"/>
  <c r="AA180" i="2"/>
  <c r="V181" i="2"/>
  <c r="AH181" i="2"/>
  <c r="AC186" i="2"/>
  <c r="U187" i="2"/>
  <c r="AG187" i="2"/>
  <c r="AG233" i="2"/>
  <c r="X267" i="2"/>
  <c r="W287" i="2"/>
  <c r="AI287" i="2"/>
  <c r="AI377" i="2"/>
  <c r="AH377" i="2"/>
  <c r="AE380" i="2"/>
  <c r="AF380" i="2"/>
  <c r="AH430" i="2"/>
  <c r="AF104" i="2"/>
  <c r="AB106" i="2"/>
  <c r="V107" i="2"/>
  <c r="AH107" i="2"/>
  <c r="AF110" i="2"/>
  <c r="AA112" i="2"/>
  <c r="AF113" i="2"/>
  <c r="AC116" i="2"/>
  <c r="AF120" i="2"/>
  <c r="AC122" i="2"/>
  <c r="AF123" i="2"/>
  <c r="AB125" i="2"/>
  <c r="V126" i="2"/>
  <c r="AH126" i="2"/>
  <c r="AA127" i="2"/>
  <c r="AB128" i="2"/>
  <c r="V129" i="2"/>
  <c r="AH129" i="2"/>
  <c r="Z133" i="2"/>
  <c r="AE135" i="2"/>
  <c r="X136" i="2"/>
  <c r="AB137" i="2"/>
  <c r="AK137" i="2" s="1"/>
  <c r="AF138" i="2"/>
  <c r="V142" i="2"/>
  <c r="AH142" i="2"/>
  <c r="AD144" i="2"/>
  <c r="Y145" i="2"/>
  <c r="AF146" i="2"/>
  <c r="AC148" i="2"/>
  <c r="W149" i="2"/>
  <c r="AI149" i="2"/>
  <c r="AC150" i="2"/>
  <c r="Z154" i="2"/>
  <c r="AE155" i="2"/>
  <c r="AC157" i="2"/>
  <c r="AF158" i="2"/>
  <c r="X159" i="2"/>
  <c r="V161" i="2"/>
  <c r="AH161" i="2"/>
  <c r="Z162" i="2"/>
  <c r="V164" i="2"/>
  <c r="AH164" i="2"/>
  <c r="AF166" i="2"/>
  <c r="AI167" i="2"/>
  <c r="AB168" i="2"/>
  <c r="U170" i="2"/>
  <c r="AG170" i="2"/>
  <c r="AA171" i="2"/>
  <c r="AF172" i="2"/>
  <c r="AG175" i="2"/>
  <c r="AE179" i="2"/>
  <c r="Z180" i="2"/>
  <c r="AF183" i="2"/>
  <c r="Y184" i="2"/>
  <c r="AD185" i="2"/>
  <c r="AE187" i="2"/>
  <c r="W188" i="2"/>
  <c r="AI188" i="2"/>
  <c r="AC189" i="2"/>
  <c r="U190" i="2"/>
  <c r="AG190" i="2"/>
  <c r="AA191" i="2"/>
  <c r="AI197" i="2"/>
  <c r="Z198" i="2"/>
  <c r="AB200" i="2"/>
  <c r="AK200" i="2" s="1"/>
  <c r="AF201" i="2"/>
  <c r="AA202" i="2"/>
  <c r="U203" i="2"/>
  <c r="AG203" i="2"/>
  <c r="AE205" i="2"/>
  <c r="X206" i="2"/>
  <c r="AI206" i="2"/>
  <c r="X208" i="2"/>
  <c r="AC210" i="2"/>
  <c r="U211" i="2"/>
  <c r="AD216" i="2"/>
  <c r="AF217" i="2"/>
  <c r="AI218" i="2"/>
  <c r="U226" i="2"/>
  <c r="AG226" i="2"/>
  <c r="Z227" i="2"/>
  <c r="AE228" i="2"/>
  <c r="X229" i="2"/>
  <c r="Z230" i="2"/>
  <c r="AD231" i="2"/>
  <c r="Y239" i="2"/>
  <c r="AB240" i="2"/>
  <c r="AK240" i="2" s="1"/>
  <c r="X242" i="2"/>
  <c r="W249" i="2"/>
  <c r="AI249" i="2"/>
  <c r="AB250" i="2"/>
  <c r="W251" i="2"/>
  <c r="AI251" i="2"/>
  <c r="AB252" i="2"/>
  <c r="Z254" i="2"/>
  <c r="Y259" i="2"/>
  <c r="AG268" i="2"/>
  <c r="AE274" i="2"/>
  <c r="AF278" i="2"/>
  <c r="AB291" i="2"/>
  <c r="AE297" i="2"/>
  <c r="AA310" i="2"/>
  <c r="AH313" i="2"/>
  <c r="W317" i="2"/>
  <c r="V317" i="2"/>
  <c r="AI317" i="2"/>
  <c r="U321" i="2"/>
  <c r="X329" i="2"/>
  <c r="AE332" i="2"/>
  <c r="AD332" i="2"/>
  <c r="W335" i="2"/>
  <c r="AA342" i="2"/>
  <c r="AA374" i="2"/>
  <c r="W458" i="2"/>
  <c r="V458" i="2"/>
  <c r="X491" i="2"/>
  <c r="W491" i="2"/>
  <c r="AA590" i="2"/>
  <c r="Z590" i="2"/>
  <c r="X694" i="2"/>
  <c r="W694" i="2"/>
  <c r="AC198" i="2"/>
  <c r="Z214" i="2"/>
  <c r="AA214" i="2"/>
  <c r="AI246" i="2"/>
  <c r="V258" i="2"/>
  <c r="W258" i="2"/>
  <c r="AH258" i="2"/>
  <c r="AI258" i="2"/>
  <c r="V356" i="2"/>
  <c r="U356" i="2"/>
  <c r="AB391" i="2"/>
  <c r="AF413" i="2"/>
  <c r="V448" i="2"/>
  <c r="X472" i="2"/>
  <c r="W472" i="2"/>
  <c r="X179" i="2"/>
  <c r="AE180" i="2"/>
  <c r="Y181" i="2"/>
  <c r="X186" i="2"/>
  <c r="AF191" i="2"/>
  <c r="AI192" i="2"/>
  <c r="AE195" i="2"/>
  <c r="AI210" i="2"/>
  <c r="X213" i="2"/>
  <c r="AC214" i="2"/>
  <c r="AD222" i="2"/>
  <c r="AI223" i="2"/>
  <c r="Z226" i="2"/>
  <c r="AE227" i="2"/>
  <c r="X228" i="2"/>
  <c r="AI228" i="2"/>
  <c r="AC229" i="2"/>
  <c r="AA235" i="2"/>
  <c r="AC236" i="2"/>
  <c r="W237" i="2"/>
  <c r="AI237" i="2"/>
  <c r="AF245" i="2"/>
  <c r="Y246" i="2"/>
  <c r="AG248" i="2"/>
  <c r="AB249" i="2"/>
  <c r="AK249" i="2" s="1"/>
  <c r="U250" i="2"/>
  <c r="AG250" i="2"/>
  <c r="AF257" i="2"/>
  <c r="AC337" i="2"/>
  <c r="AB337" i="2"/>
  <c r="AK337" i="2" s="1"/>
  <c r="AE340" i="2"/>
  <c r="AD370" i="2"/>
  <c r="AC370" i="2"/>
  <c r="W394" i="2"/>
  <c r="V394" i="2"/>
  <c r="X419" i="2"/>
  <c r="AD468" i="2"/>
  <c r="U532" i="2"/>
  <c r="AG532" i="2"/>
  <c r="X169" i="2"/>
  <c r="AI169" i="2"/>
  <c r="Z181" i="2"/>
  <c r="AC188" i="2"/>
  <c r="AI189" i="2"/>
  <c r="U191" i="2"/>
  <c r="AG191" i="2"/>
  <c r="Y192" i="2"/>
  <c r="AF195" i="2"/>
  <c r="U204" i="2"/>
  <c r="AG204" i="2"/>
  <c r="AA211" i="2"/>
  <c r="U219" i="2"/>
  <c r="AG219" i="2"/>
  <c r="X220" i="2"/>
  <c r="AE222" i="2"/>
  <c r="X223" i="2"/>
  <c r="U225" i="2"/>
  <c r="AA226" i="2"/>
  <c r="AF227" i="2"/>
  <c r="X231" i="2"/>
  <c r="AD236" i="2"/>
  <c r="X237" i="2"/>
  <c r="W243" i="2"/>
  <c r="AI243" i="2"/>
  <c r="AB244" i="2"/>
  <c r="AF254" i="2"/>
  <c r="AA255" i="2"/>
  <c r="AD256" i="2"/>
  <c r="U257" i="2"/>
  <c r="AG257" i="2"/>
  <c r="U263" i="2"/>
  <c r="AG263" i="2"/>
  <c r="Y271" i="2"/>
  <c r="AE275" i="2"/>
  <c r="Z276" i="2"/>
  <c r="AF277" i="2"/>
  <c r="AF282" i="2"/>
  <c r="AA285" i="2"/>
  <c r="AF298" i="2"/>
  <c r="AC304" i="2"/>
  <c r="U312" i="2"/>
  <c r="AG312" i="2"/>
  <c r="AC315" i="2"/>
  <c r="AF326" i="2"/>
  <c r="AC335" i="2"/>
  <c r="Z352" i="2"/>
  <c r="AK352" i="2" s="1"/>
  <c r="AH376" i="2"/>
  <c r="AG376" i="2"/>
  <c r="AD381" i="2"/>
  <c r="AC381" i="2"/>
  <c r="AE383" i="2"/>
  <c r="AF383" i="2"/>
  <c r="Z398" i="2"/>
  <c r="AK398" i="2" s="1"/>
  <c r="AB412" i="2"/>
  <c r="X435" i="2"/>
  <c r="X444" i="2"/>
  <c r="Y446" i="2"/>
  <c r="AD578" i="2"/>
  <c r="AG357" i="2"/>
  <c r="AF357" i="2"/>
  <c r="U374" i="2"/>
  <c r="V374" i="2"/>
  <c r="Y427" i="2"/>
  <c r="X427" i="2"/>
  <c r="AC447" i="2"/>
  <c r="AD447" i="2"/>
  <c r="Y527" i="2"/>
  <c r="Z527" i="2"/>
  <c r="AD571" i="2"/>
  <c r="AC571" i="2"/>
  <c r="AC142" i="2"/>
  <c r="AF145" i="2"/>
  <c r="AA146" i="2"/>
  <c r="AC164" i="2"/>
  <c r="Y185" i="2"/>
  <c r="AB190" i="2"/>
  <c r="V210" i="2"/>
  <c r="AE236" i="2"/>
  <c r="AG254" i="2"/>
  <c r="Z261" i="2"/>
  <c r="Y280" i="2"/>
  <c r="AI288" i="2"/>
  <c r="AF318" i="2"/>
  <c r="AG326" i="2"/>
  <c r="AF393" i="2"/>
  <c r="V397" i="2"/>
  <c r="AH397" i="2"/>
  <c r="W404" i="2"/>
  <c r="AI404" i="2"/>
  <c r="AF445" i="2"/>
  <c r="V528" i="2"/>
  <c r="U528" i="2"/>
  <c r="AH528" i="2"/>
  <c r="AG528" i="2"/>
  <c r="Z570" i="2"/>
  <c r="AC113" i="2"/>
  <c r="AF114" i="2"/>
  <c r="V118" i="2"/>
  <c r="AH118" i="2"/>
  <c r="AA119" i="2"/>
  <c r="U121" i="2"/>
  <c r="AG121" i="2"/>
  <c r="Z122" i="2"/>
  <c r="AB123" i="2"/>
  <c r="AK123" i="2" s="1"/>
  <c r="AH124" i="2"/>
  <c r="AE126" i="2"/>
  <c r="AI127" i="2"/>
  <c r="Z128" i="2"/>
  <c r="AE129" i="2"/>
  <c r="V130" i="2"/>
  <c r="AH130" i="2"/>
  <c r="U132" i="2"/>
  <c r="AG132" i="2"/>
  <c r="W133" i="2"/>
  <c r="AI133" i="2"/>
  <c r="Y134" i="2"/>
  <c r="AB135" i="2"/>
  <c r="AF139" i="2"/>
  <c r="W140" i="2"/>
  <c r="AI140" i="2"/>
  <c r="AA141" i="2"/>
  <c r="AE142" i="2"/>
  <c r="W143" i="2"/>
  <c r="AI143" i="2"/>
  <c r="Z144" i="2"/>
  <c r="AK144" i="2" s="1"/>
  <c r="V145" i="2"/>
  <c r="AH145" i="2"/>
  <c r="V147" i="2"/>
  <c r="AH147" i="2"/>
  <c r="AF149" i="2"/>
  <c r="AF151" i="2"/>
  <c r="AC153" i="2"/>
  <c r="W154" i="2"/>
  <c r="AI154" i="2"/>
  <c r="AB155" i="2"/>
  <c r="AK155" i="2" s="1"/>
  <c r="V156" i="2"/>
  <c r="AH156" i="2"/>
  <c r="AC158" i="2"/>
  <c r="V159" i="2"/>
  <c r="AH159" i="2"/>
  <c r="Z160" i="2"/>
  <c r="AE161" i="2"/>
  <c r="AI162" i="2"/>
  <c r="Z163" i="2"/>
  <c r="Z165" i="2"/>
  <c r="AC166" i="2"/>
  <c r="U167" i="2"/>
  <c r="AG167" i="2"/>
  <c r="Y168" i="2"/>
  <c r="AA169" i="2"/>
  <c r="AE170" i="2"/>
  <c r="X171" i="2"/>
  <c r="AC172" i="2"/>
  <c r="U173" i="2"/>
  <c r="AG173" i="2"/>
  <c r="AD175" i="2"/>
  <c r="AF176" i="2"/>
  <c r="X177" i="2"/>
  <c r="Z178" i="2"/>
  <c r="AK178" i="2" s="1"/>
  <c r="AB179" i="2"/>
  <c r="AC181" i="2"/>
  <c r="AC183" i="2"/>
  <c r="V184" i="2"/>
  <c r="AH184" i="2"/>
  <c r="AB187" i="2"/>
  <c r="AF188" i="2"/>
  <c r="Z189" i="2"/>
  <c r="U194" i="2"/>
  <c r="W195" i="2"/>
  <c r="AF197" i="2"/>
  <c r="AI199" i="2"/>
  <c r="AD201" i="2"/>
  <c r="AD203" i="2"/>
  <c r="AI204" i="2"/>
  <c r="AF208" i="2"/>
  <c r="Z209" i="2"/>
  <c r="AA210" i="2"/>
  <c r="V212" i="2"/>
  <c r="AH212" i="2"/>
  <c r="AF214" i="2"/>
  <c r="W215" i="2"/>
  <c r="AG218" i="2"/>
  <c r="AE221" i="2"/>
  <c r="AH222" i="2"/>
  <c r="AA223" i="2"/>
  <c r="AG232" i="2"/>
  <c r="AE235" i="2"/>
  <c r="U236" i="2"/>
  <c r="AG236" i="2"/>
  <c r="V247" i="2"/>
  <c r="Y248" i="2"/>
  <c r="AF251" i="2"/>
  <c r="AE251" i="2"/>
  <c r="AB253" i="2"/>
  <c r="AF267" i="2"/>
  <c r="AE267" i="2"/>
  <c r="AB274" i="2"/>
  <c r="W277" i="2"/>
  <c r="AI277" i="2"/>
  <c r="W282" i="2"/>
  <c r="V282" i="2"/>
  <c r="AI282" i="2"/>
  <c r="AH282" i="2"/>
  <c r="U290" i="2"/>
  <c r="AI298" i="2"/>
  <c r="Z301" i="2"/>
  <c r="AC311" i="2"/>
  <c r="AA314" i="2"/>
  <c r="Z318" i="2"/>
  <c r="AK318" i="2" s="1"/>
  <c r="AE319" i="2"/>
  <c r="X324" i="2"/>
  <c r="AC325" i="2"/>
  <c r="V346" i="2"/>
  <c r="AA350" i="2"/>
  <c r="AF355" i="2"/>
  <c r="AF366" i="2"/>
  <c r="AE366" i="2"/>
  <c r="AF410" i="2"/>
  <c r="Y442" i="2"/>
  <c r="Y464" i="2"/>
  <c r="AC503" i="2"/>
  <c r="AD507" i="2"/>
  <c r="Y510" i="2"/>
  <c r="AC511" i="2"/>
  <c r="AF517" i="2"/>
  <c r="AE517" i="2"/>
  <c r="X522" i="2"/>
  <c r="Y544" i="2"/>
  <c r="X544" i="2"/>
  <c r="Y558" i="2"/>
  <c r="Z558" i="2"/>
  <c r="AI603" i="2"/>
  <c r="AH603" i="2"/>
  <c r="AA318" i="2"/>
  <c r="AE323" i="2"/>
  <c r="AH329" i="2"/>
  <c r="V337" i="2"/>
  <c r="AH337" i="2"/>
  <c r="Y340" i="2"/>
  <c r="AE343" i="2"/>
  <c r="Y361" i="2"/>
  <c r="AD362" i="2"/>
  <c r="X372" i="2"/>
  <c r="W372" i="2"/>
  <c r="U379" i="2"/>
  <c r="AA402" i="2"/>
  <c r="Z409" i="2"/>
  <c r="V416" i="2"/>
  <c r="U416" i="2"/>
  <c r="AH416" i="2"/>
  <c r="AE455" i="2"/>
  <c r="AD455" i="2"/>
  <c r="Z500" i="2"/>
  <c r="AK500" i="2" s="1"/>
  <c r="AA500" i="2"/>
  <c r="Z384" i="2"/>
  <c r="X389" i="2"/>
  <c r="AI408" i="2"/>
  <c r="AF450" i="2"/>
  <c r="AG450" i="2"/>
  <c r="AD462" i="2"/>
  <c r="AC462" i="2"/>
  <c r="AB464" i="2"/>
  <c r="AK464" i="2" s="1"/>
  <c r="V590" i="2"/>
  <c r="U590" i="2"/>
  <c r="X596" i="2"/>
  <c r="W596" i="2"/>
  <c r="AA652" i="2"/>
  <c r="AB652" i="2"/>
  <c r="AF797" i="2"/>
  <c r="AE797" i="2"/>
  <c r="W267" i="2"/>
  <c r="AI267" i="2"/>
  <c r="AB273" i="2"/>
  <c r="AD274" i="2"/>
  <c r="V275" i="2"/>
  <c r="AH275" i="2"/>
  <c r="AC276" i="2"/>
  <c r="V277" i="2"/>
  <c r="AH277" i="2"/>
  <c r="AC280" i="2"/>
  <c r="AF283" i="2"/>
  <c r="W284" i="2"/>
  <c r="AI284" i="2"/>
  <c r="AC285" i="2"/>
  <c r="V286" i="2"/>
  <c r="AH286" i="2"/>
  <c r="AB289" i="2"/>
  <c r="AK289" i="2" s="1"/>
  <c r="AD290" i="2"/>
  <c r="AE291" i="2"/>
  <c r="X292" i="2"/>
  <c r="AE294" i="2"/>
  <c r="W298" i="2"/>
  <c r="W299" i="2"/>
  <c r="AD301" i="2"/>
  <c r="V302" i="2"/>
  <c r="AG302" i="2"/>
  <c r="X306" i="2"/>
  <c r="AE307" i="2"/>
  <c r="V308" i="2"/>
  <c r="AH308" i="2"/>
  <c r="AA309" i="2"/>
  <c r="AD310" i="2"/>
  <c r="X313" i="2"/>
  <c r="U315" i="2"/>
  <c r="AG315" i="2"/>
  <c r="AI316" i="2"/>
  <c r="Z317" i="2"/>
  <c r="U320" i="2"/>
  <c r="AG320" i="2"/>
  <c r="AB322" i="2"/>
  <c r="V323" i="2"/>
  <c r="AH323" i="2"/>
  <c r="Z324" i="2"/>
  <c r="AA324" i="2"/>
  <c r="AE325" i="2"/>
  <c r="AB331" i="2"/>
  <c r="U336" i="2"/>
  <c r="AG336" i="2"/>
  <c r="Y337" i="2"/>
  <c r="AB338" i="2"/>
  <c r="AD339" i="2"/>
  <c r="AG340" i="2"/>
  <c r="AC342" i="2"/>
  <c r="V344" i="2"/>
  <c r="AH344" i="2"/>
  <c r="AH345" i="2"/>
  <c r="AF347" i="2"/>
  <c r="AI348" i="2"/>
  <c r="AD350" i="2"/>
  <c r="AC352" i="2"/>
  <c r="U353" i="2"/>
  <c r="AG353" i="2"/>
  <c r="V355" i="2"/>
  <c r="AH355" i="2"/>
  <c r="AC357" i="2"/>
  <c r="AE358" i="2"/>
  <c r="AH359" i="2"/>
  <c r="AH373" i="2"/>
  <c r="AE377" i="2"/>
  <c r="AF378" i="2"/>
  <c r="AB380" i="2"/>
  <c r="AK380" i="2" s="1"/>
  <c r="AA386" i="2"/>
  <c r="AC387" i="2"/>
  <c r="AI396" i="2"/>
  <c r="Y397" i="2"/>
  <c r="AE399" i="2"/>
  <c r="AD402" i="2"/>
  <c r="U403" i="2"/>
  <c r="V406" i="2"/>
  <c r="AI406" i="2"/>
  <c r="AC407" i="2"/>
  <c r="AC409" i="2"/>
  <c r="AI410" i="2"/>
  <c r="AB411" i="2"/>
  <c r="AK411" i="2" s="1"/>
  <c r="W413" i="2"/>
  <c r="AF415" i="2"/>
  <c r="Y416" i="2"/>
  <c r="AC417" i="2"/>
  <c r="U418" i="2"/>
  <c r="AG418" i="2"/>
  <c r="AA419" i="2"/>
  <c r="X421" i="2"/>
  <c r="Y424" i="2"/>
  <c r="V426" i="2"/>
  <c r="AH426" i="2"/>
  <c r="AB428" i="2"/>
  <c r="AK428" i="2" s="1"/>
  <c r="AF429" i="2"/>
  <c r="Y430" i="2"/>
  <c r="AA433" i="2"/>
  <c r="AG439" i="2"/>
  <c r="AG444" i="2"/>
  <c r="AC446" i="2"/>
  <c r="AC449" i="2"/>
  <c r="V450" i="2"/>
  <c r="U457" i="2"/>
  <c r="AG457" i="2"/>
  <c r="X458" i="2"/>
  <c r="Y458" i="2"/>
  <c r="AH460" i="2"/>
  <c r="X466" i="2"/>
  <c r="W466" i="2"/>
  <c r="AH471" i="2"/>
  <c r="V480" i="2"/>
  <c r="U480" i="2"/>
  <c r="AG480" i="2"/>
  <c r="AH480" i="2"/>
  <c r="AH482" i="2"/>
  <c r="AG482" i="2"/>
  <c r="AC498" i="2"/>
  <c r="AB508" i="2"/>
  <c r="AA508" i="2"/>
  <c r="AF515" i="2"/>
  <c r="AE515" i="2"/>
  <c r="AD531" i="2"/>
  <c r="AE546" i="2"/>
  <c r="AG597" i="2"/>
  <c r="AH608" i="2"/>
  <c r="W748" i="2"/>
  <c r="X748" i="2"/>
  <c r="AK371" i="2"/>
  <c r="AK386" i="2"/>
  <c r="Y389" i="2"/>
  <c r="AF405" i="2"/>
  <c r="AG405" i="2"/>
  <c r="AB435" i="2"/>
  <c r="AK435" i="2" s="1"/>
  <c r="AC467" i="2"/>
  <c r="AB467" i="2"/>
  <c r="X553" i="2"/>
  <c r="AG595" i="2"/>
  <c r="AF595" i="2"/>
  <c r="X648" i="2"/>
  <c r="AF703" i="2"/>
  <c r="AE703" i="2"/>
  <c r="AF297" i="2"/>
  <c r="AI302" i="2"/>
  <c r="Y356" i="2"/>
  <c r="Y374" i="2"/>
  <c r="Z374" i="2"/>
  <c r="Z382" i="2"/>
  <c r="Z389" i="2"/>
  <c r="W406" i="2"/>
  <c r="W437" i="2"/>
  <c r="W480" i="2"/>
  <c r="X480" i="2"/>
  <c r="AE481" i="2"/>
  <c r="AD481" i="2"/>
  <c r="AG494" i="2"/>
  <c r="AH494" i="2"/>
  <c r="AC518" i="2"/>
  <c r="AB518" i="2"/>
  <c r="AK518" i="2" s="1"/>
  <c r="W521" i="2"/>
  <c r="V521" i="2"/>
  <c r="AF552" i="2"/>
  <c r="AE552" i="2"/>
  <c r="AC554" i="2"/>
  <c r="W559" i="2"/>
  <c r="V569" i="2"/>
  <c r="AA666" i="2"/>
  <c r="AB666" i="2"/>
  <c r="AC727" i="2"/>
  <c r="AB727" i="2"/>
  <c r="AD260" i="2"/>
  <c r="AH262" i="2"/>
  <c r="AC265" i="2"/>
  <c r="AE269" i="2"/>
  <c r="AH270" i="2"/>
  <c r="U274" i="2"/>
  <c r="AG274" i="2"/>
  <c r="Y277" i="2"/>
  <c r="AA279" i="2"/>
  <c r="AH283" i="2"/>
  <c r="AB287" i="2"/>
  <c r="AA292" i="2"/>
  <c r="AF293" i="2"/>
  <c r="V294" i="2"/>
  <c r="AH294" i="2"/>
  <c r="Z295" i="2"/>
  <c r="AC296" i="2"/>
  <c r="Z298" i="2"/>
  <c r="AA299" i="2"/>
  <c r="AD300" i="2"/>
  <c r="AG301" i="2"/>
  <c r="Y302" i="2"/>
  <c r="V304" i="2"/>
  <c r="AH304" i="2"/>
  <c r="Z305" i="2"/>
  <c r="AA306" i="2"/>
  <c r="AD309" i="2"/>
  <c r="U310" i="2"/>
  <c r="AG310" i="2"/>
  <c r="W311" i="2"/>
  <c r="AI311" i="2"/>
  <c r="X316" i="2"/>
  <c r="AC317" i="2"/>
  <c r="AE318" i="2"/>
  <c r="X319" i="2"/>
  <c r="AI319" i="2"/>
  <c r="AE322" i="2"/>
  <c r="AC324" i="2"/>
  <c r="V325" i="2"/>
  <c r="AH325" i="2"/>
  <c r="Y326" i="2"/>
  <c r="AC327" i="2"/>
  <c r="W328" i="2"/>
  <c r="AI328" i="2"/>
  <c r="AA330" i="2"/>
  <c r="Y332" i="2"/>
  <c r="AE334" i="2"/>
  <c r="AI336" i="2"/>
  <c r="AE338" i="2"/>
  <c r="U342" i="2"/>
  <c r="AG342" i="2"/>
  <c r="AB346" i="2"/>
  <c r="AA348" i="2"/>
  <c r="AD349" i="2"/>
  <c r="Y354" i="2"/>
  <c r="W355" i="2"/>
  <c r="V358" i="2"/>
  <c r="AH358" i="2"/>
  <c r="AF361" i="2"/>
  <c r="X362" i="2"/>
  <c r="AI362" i="2"/>
  <c r="X367" i="2"/>
  <c r="AI367" i="2"/>
  <c r="Y373" i="2"/>
  <c r="AC375" i="2"/>
  <c r="U376" i="2"/>
  <c r="W378" i="2"/>
  <c r="AA379" i="2"/>
  <c r="X381" i="2"/>
  <c r="AE384" i="2"/>
  <c r="W385" i="2"/>
  <c r="AI385" i="2"/>
  <c r="AD386" i="2"/>
  <c r="AF387" i="2"/>
  <c r="AH391" i="2"/>
  <c r="AC394" i="2"/>
  <c r="V399" i="2"/>
  <c r="AH399" i="2"/>
  <c r="AI405" i="2"/>
  <c r="AF407" i="2"/>
  <c r="Z410" i="2"/>
  <c r="AC414" i="2"/>
  <c r="AD414" i="2"/>
  <c r="V415" i="2"/>
  <c r="AH415" i="2"/>
  <c r="AB416" i="2"/>
  <c r="X418" i="2"/>
  <c r="AG425" i="2"/>
  <c r="Y426" i="2"/>
  <c r="AD433" i="2"/>
  <c r="V436" i="2"/>
  <c r="AE438" i="2"/>
  <c r="AD438" i="2"/>
  <c r="AB443" i="2"/>
  <c r="Z445" i="2"/>
  <c r="W447" i="2"/>
  <c r="AI447" i="2"/>
  <c r="AB448" i="2"/>
  <c r="AE454" i="2"/>
  <c r="X468" i="2"/>
  <c r="AE470" i="2"/>
  <c r="Y478" i="2"/>
  <c r="AD479" i="2"/>
  <c r="AD483" i="2"/>
  <c r="AE486" i="2"/>
  <c r="AA489" i="2"/>
  <c r="X501" i="2"/>
  <c r="X507" i="2"/>
  <c r="Y517" i="2"/>
  <c r="Y536" i="2"/>
  <c r="AB545" i="2"/>
  <c r="AC549" i="2"/>
  <c r="AB549" i="2"/>
  <c r="AK549" i="2" s="1"/>
  <c r="W555" i="2"/>
  <c r="AE558" i="2"/>
  <c r="AD562" i="2"/>
  <c r="AG574" i="2"/>
  <c r="AF574" i="2"/>
  <c r="AC607" i="2"/>
  <c r="AA614" i="2"/>
  <c r="AC627" i="2"/>
  <c r="AB627" i="2"/>
  <c r="AK627" i="2" s="1"/>
  <c r="AA237" i="2"/>
  <c r="X241" i="2"/>
  <c r="Z242" i="2"/>
  <c r="AH244" i="2"/>
  <c r="Z245" i="2"/>
  <c r="AE246" i="2"/>
  <c r="AI247" i="2"/>
  <c r="W250" i="2"/>
  <c r="AI250" i="2"/>
  <c r="AB251" i="2"/>
  <c r="AK251" i="2" s="1"/>
  <c r="X256" i="2"/>
  <c r="AF260" i="2"/>
  <c r="AA263" i="2"/>
  <c r="AD264" i="2"/>
  <c r="AE265" i="2"/>
  <c r="X266" i="2"/>
  <c r="AB267" i="2"/>
  <c r="AE268" i="2"/>
  <c r="X270" i="2"/>
  <c r="AI270" i="2"/>
  <c r="AC271" i="2"/>
  <c r="AC272" i="2"/>
  <c r="U273" i="2"/>
  <c r="AF273" i="2"/>
  <c r="AI274" i="2"/>
  <c r="AA275" i="2"/>
  <c r="AC278" i="2"/>
  <c r="AC279" i="2"/>
  <c r="AH280" i="2"/>
  <c r="Y283" i="2"/>
  <c r="AB284" i="2"/>
  <c r="AK284" i="2" s="1"/>
  <c r="AH285" i="2"/>
  <c r="AI290" i="2"/>
  <c r="AC292" i="2"/>
  <c r="AG293" i="2"/>
  <c r="AB295" i="2"/>
  <c r="AE296" i="2"/>
  <c r="X297" i="2"/>
  <c r="AI297" i="2"/>
  <c r="W301" i="2"/>
  <c r="AI301" i="2"/>
  <c r="AA302" i="2"/>
  <c r="U303" i="2"/>
  <c r="AG303" i="2"/>
  <c r="Y311" i="2"/>
  <c r="AC313" i="2"/>
  <c r="AB316" i="2"/>
  <c r="AE317" i="2"/>
  <c r="V318" i="2"/>
  <c r="AC321" i="2"/>
  <c r="U322" i="2"/>
  <c r="AG322" i="2"/>
  <c r="AA323" i="2"/>
  <c r="AD327" i="2"/>
  <c r="Y328" i="2"/>
  <c r="AE329" i="2"/>
  <c r="AC333" i="2"/>
  <c r="U334" i="2"/>
  <c r="AG334" i="2"/>
  <c r="Y335" i="2"/>
  <c r="W339" i="2"/>
  <c r="AI339" i="2"/>
  <c r="AA340" i="2"/>
  <c r="AH340" i="2"/>
  <c r="AF341" i="2"/>
  <c r="AB345" i="2"/>
  <c r="AD346" i="2"/>
  <c r="AC348" i="2"/>
  <c r="AB355" i="2"/>
  <c r="AD356" i="2"/>
  <c r="AA359" i="2"/>
  <c r="AC360" i="2"/>
  <c r="U361" i="2"/>
  <c r="AG361" i="2"/>
  <c r="Z362" i="2"/>
  <c r="AC363" i="2"/>
  <c r="U364" i="2"/>
  <c r="AG364" i="2"/>
  <c r="AA365" i="2"/>
  <c r="Z367" i="2"/>
  <c r="Z370" i="2"/>
  <c r="AC374" i="2"/>
  <c r="AD375" i="2"/>
  <c r="X377" i="2"/>
  <c r="AG380" i="2"/>
  <c r="Z381" i="2"/>
  <c r="AE389" i="2"/>
  <c r="AG390" i="2"/>
  <c r="U391" i="2"/>
  <c r="X423" i="2"/>
  <c r="AG471" i="2"/>
  <c r="W535" i="2"/>
  <c r="V535" i="2"/>
  <c r="AD568" i="2"/>
  <c r="AC568" i="2"/>
  <c r="AH398" i="2"/>
  <c r="AB413" i="2"/>
  <c r="W415" i="2"/>
  <c r="W441" i="2"/>
  <c r="V446" i="2"/>
  <c r="AH456" i="2"/>
  <c r="AG456" i="2"/>
  <c r="AD534" i="2"/>
  <c r="AC534" i="2"/>
  <c r="Y548" i="2"/>
  <c r="Z548" i="2"/>
  <c r="AB573" i="2"/>
  <c r="AK573" i="2" s="1"/>
  <c r="AC573" i="2"/>
  <c r="V171" i="2"/>
  <c r="AH171" i="2"/>
  <c r="AD173" i="2"/>
  <c r="AI174" i="2"/>
  <c r="AA175" i="2"/>
  <c r="U178" i="2"/>
  <c r="AG178" i="2"/>
  <c r="V179" i="2"/>
  <c r="AI179" i="2"/>
  <c r="AD180" i="2"/>
  <c r="X181" i="2"/>
  <c r="AE182" i="2"/>
  <c r="W183" i="2"/>
  <c r="V187" i="2"/>
  <c r="AH187" i="2"/>
  <c r="X194" i="2"/>
  <c r="AB196" i="2"/>
  <c r="V200" i="2"/>
  <c r="AH200" i="2"/>
  <c r="U202" i="2"/>
  <c r="AG202" i="2"/>
  <c r="AE204" i="2"/>
  <c r="V207" i="2"/>
  <c r="AH207" i="2"/>
  <c r="AB208" i="2"/>
  <c r="AK208" i="2" s="1"/>
  <c r="AF209" i="2"/>
  <c r="AG210" i="2"/>
  <c r="AD218" i="2"/>
  <c r="V220" i="2"/>
  <c r="AG220" i="2"/>
  <c r="AF224" i="2"/>
  <c r="Y225" i="2"/>
  <c r="Z225" i="2"/>
  <c r="AC226" i="2"/>
  <c r="AB228" i="2"/>
  <c r="AK228" i="2" s="1"/>
  <c r="AE233" i="2"/>
  <c r="AE234" i="2"/>
  <c r="X236" i="2"/>
  <c r="AC237" i="2"/>
  <c r="U239" i="2"/>
  <c r="AG239" i="2"/>
  <c r="X240" i="2"/>
  <c r="AE243" i="2"/>
  <c r="X244" i="2"/>
  <c r="U246" i="2"/>
  <c r="AG246" i="2"/>
  <c r="Z253" i="2"/>
  <c r="AD254" i="2"/>
  <c r="V255" i="2"/>
  <c r="AH255" i="2"/>
  <c r="Z256" i="2"/>
  <c r="AK256" i="2" s="1"/>
  <c r="AE259" i="2"/>
  <c r="V260" i="2"/>
  <c r="AH260" i="2"/>
  <c r="AF264" i="2"/>
  <c r="Z266" i="2"/>
  <c r="AC267" i="2"/>
  <c r="AH268" i="2"/>
  <c r="Z270" i="2"/>
  <c r="AK270" i="2" s="1"/>
  <c r="AE272" i="2"/>
  <c r="AI273" i="2"/>
  <c r="AI276" i="2"/>
  <c r="AB277" i="2"/>
  <c r="AK277" i="2" s="1"/>
  <c r="AE279" i="2"/>
  <c r="X280" i="2"/>
  <c r="Z281" i="2"/>
  <c r="AA283" i="2"/>
  <c r="X285" i="2"/>
  <c r="AB286" i="2"/>
  <c r="AF287" i="2"/>
  <c r="X289" i="2"/>
  <c r="Y290" i="2"/>
  <c r="U296" i="2"/>
  <c r="AG296" i="2"/>
  <c r="Z297" i="2"/>
  <c r="Y301" i="2"/>
  <c r="AI303" i="2"/>
  <c r="Z304" i="2"/>
  <c r="AD305" i="2"/>
  <c r="AH309" i="2"/>
  <c r="AD312" i="2"/>
  <c r="X314" i="2"/>
  <c r="W322" i="2"/>
  <c r="AH322" i="2"/>
  <c r="AD326" i="2"/>
  <c r="U329" i="2"/>
  <c r="AG329" i="2"/>
  <c r="AE330" i="2"/>
  <c r="V331" i="2"/>
  <c r="AH331" i="2"/>
  <c r="AC332" i="2"/>
  <c r="AA335" i="2"/>
  <c r="AI338" i="2"/>
  <c r="AC340" i="2"/>
  <c r="V341" i="2"/>
  <c r="Y342" i="2"/>
  <c r="AC343" i="2"/>
  <c r="AD345" i="2"/>
  <c r="AI345" i="2"/>
  <c r="AF346" i="2"/>
  <c r="AA347" i="2"/>
  <c r="AE348" i="2"/>
  <c r="V349" i="2"/>
  <c r="AH349" i="2"/>
  <c r="X352" i="2"/>
  <c r="AD355" i="2"/>
  <c r="AI355" i="2"/>
  <c r="AE356" i="2"/>
  <c r="Y358" i="2"/>
  <c r="X361" i="2"/>
  <c r="AB362" i="2"/>
  <c r="AF363" i="2"/>
  <c r="X364" i="2"/>
  <c r="AB365" i="2"/>
  <c r="AK365" i="2" s="1"/>
  <c r="AB367" i="2"/>
  <c r="AG367" i="2"/>
  <c r="AE368" i="2"/>
  <c r="AB370" i="2"/>
  <c r="AK370" i="2" s="1"/>
  <c r="AH371" i="2"/>
  <c r="AA372" i="2"/>
  <c r="AC373" i="2"/>
  <c r="U375" i="2"/>
  <c r="AG375" i="2"/>
  <c r="AE388" i="2"/>
  <c r="U389" i="2"/>
  <c r="AG389" i="2"/>
  <c r="AI390" i="2"/>
  <c r="AA391" i="2"/>
  <c r="AC392" i="2"/>
  <c r="Y402" i="2"/>
  <c r="AG404" i="2"/>
  <c r="W407" i="2"/>
  <c r="X407" i="2"/>
  <c r="AB418" i="2"/>
  <c r="V419" i="2"/>
  <c r="AI419" i="2"/>
  <c r="Y422" i="2"/>
  <c r="AA423" i="2"/>
  <c r="AE424" i="2"/>
  <c r="AE432" i="2"/>
  <c r="V433" i="2"/>
  <c r="AD437" i="2"/>
  <c r="W438" i="2"/>
  <c r="AI438" i="2"/>
  <c r="AF440" i="2"/>
  <c r="X441" i="2"/>
  <c r="AB444" i="2"/>
  <c r="AK444" i="2" s="1"/>
  <c r="X449" i="2"/>
  <c r="AH451" i="2"/>
  <c r="W456" i="2"/>
  <c r="AI456" i="2"/>
  <c r="AB457" i="2"/>
  <c r="AK457" i="2" s="1"/>
  <c r="AA457" i="2"/>
  <c r="W459" i="2"/>
  <c r="AI459" i="2"/>
  <c r="AE466" i="2"/>
  <c r="AB471" i="2"/>
  <c r="AC471" i="2"/>
  <c r="V477" i="2"/>
  <c r="AH477" i="2"/>
  <c r="V488" i="2"/>
  <c r="W488" i="2"/>
  <c r="AH488" i="2"/>
  <c r="AC499" i="2"/>
  <c r="V504" i="2"/>
  <c r="AH504" i="2"/>
  <c r="AF539" i="2"/>
  <c r="Y550" i="2"/>
  <c r="Z550" i="2"/>
  <c r="AH189" i="2"/>
  <c r="AF192" i="2"/>
  <c r="V193" i="2"/>
  <c r="Y194" i="2"/>
  <c r="AC196" i="2"/>
  <c r="AG198" i="2"/>
  <c r="AB201" i="2"/>
  <c r="AB203" i="2"/>
  <c r="X205" i="2"/>
  <c r="AC206" i="2"/>
  <c r="AI207" i="2"/>
  <c r="U209" i="2"/>
  <c r="AG209" i="2"/>
  <c r="Y211" i="2"/>
  <c r="AC217" i="2"/>
  <c r="AB217" i="2"/>
  <c r="AE218" i="2"/>
  <c r="W220" i="2"/>
  <c r="AE223" i="2"/>
  <c r="U224" i="2"/>
  <c r="AG224" i="2"/>
  <c r="AE226" i="2"/>
  <c r="X227" i="2"/>
  <c r="AA231" i="2"/>
  <c r="AF234" i="2"/>
  <c r="AF238" i="2"/>
  <c r="V239" i="2"/>
  <c r="AH239" i="2"/>
  <c r="AF243" i="2"/>
  <c r="Y244" i="2"/>
  <c r="V246" i="2"/>
  <c r="AH246" i="2"/>
  <c r="AA247" i="2"/>
  <c r="Z250" i="2"/>
  <c r="Y250" i="2"/>
  <c r="AB257" i="2"/>
  <c r="W260" i="2"/>
  <c r="AI260" i="2"/>
  <c r="AA262" i="2"/>
  <c r="U264" i="2"/>
  <c r="AG264" i="2"/>
  <c r="V265" i="2"/>
  <c r="AH265" i="2"/>
  <c r="AA266" i="2"/>
  <c r="W268" i="2"/>
  <c r="AI268" i="2"/>
  <c r="AA270" i="2"/>
  <c r="AF272" i="2"/>
  <c r="Z274" i="2"/>
  <c r="AD277" i="2"/>
  <c r="AF279" i="2"/>
  <c r="AA282" i="2"/>
  <c r="Z282" i="2"/>
  <c r="AB283" i="2"/>
  <c r="AK283" i="2" s="1"/>
  <c r="Y285" i="2"/>
  <c r="AD286" i="2"/>
  <c r="Y289" i="2"/>
  <c r="AA291" i="2"/>
  <c r="AE295" i="2"/>
  <c r="V296" i="2"/>
  <c r="AH296" i="2"/>
  <c r="AG297" i="2"/>
  <c r="AE298" i="2"/>
  <c r="AF299" i="2"/>
  <c r="AD302" i="2"/>
  <c r="X303" i="2"/>
  <c r="AE305" i="2"/>
  <c r="AA307" i="2"/>
  <c r="AD308" i="2"/>
  <c r="AB311" i="2"/>
  <c r="AF313" i="2"/>
  <c r="Y314" i="2"/>
  <c r="AH317" i="2"/>
  <c r="Y318" i="2"/>
  <c r="AC319" i="2"/>
  <c r="AB319" i="2"/>
  <c r="AE326" i="2"/>
  <c r="V327" i="2"/>
  <c r="AH327" i="2"/>
  <c r="AB328" i="2"/>
  <c r="AK328" i="2" s="1"/>
  <c r="AF330" i="2"/>
  <c r="AB335" i="2"/>
  <c r="Z342" i="2"/>
  <c r="U346" i="2"/>
  <c r="AG346" i="2"/>
  <c r="AB347" i="2"/>
  <c r="W349" i="2"/>
  <c r="AI349" i="2"/>
  <c r="Z350" i="2"/>
  <c r="Y352" i="2"/>
  <c r="AG356" i="2"/>
  <c r="U363" i="2"/>
  <c r="AG363" i="2"/>
  <c r="X366" i="2"/>
  <c r="AC367" i="2"/>
  <c r="AB372" i="2"/>
  <c r="AD373" i="2"/>
  <c r="V375" i="2"/>
  <c r="AH375" i="2"/>
  <c r="Z376" i="2"/>
  <c r="AB376" i="2"/>
  <c r="AB385" i="2"/>
  <c r="AF388" i="2"/>
  <c r="AH394" i="2"/>
  <c r="AA395" i="2"/>
  <c r="Z402" i="2"/>
  <c r="AC403" i="2"/>
  <c r="U408" i="2"/>
  <c r="AG408" i="2"/>
  <c r="Y409" i="2"/>
  <c r="AE410" i="2"/>
  <c r="AE413" i="2"/>
  <c r="AF421" i="2"/>
  <c r="Z422" i="2"/>
  <c r="AB423" i="2"/>
  <c r="Z425" i="2"/>
  <c r="U430" i="2"/>
  <c r="AG430" i="2"/>
  <c r="W433" i="2"/>
  <c r="AI433" i="2"/>
  <c r="AE437" i="2"/>
  <c r="AG440" i="2"/>
  <c r="Z441" i="2"/>
  <c r="W451" i="2"/>
  <c r="X454" i="2"/>
  <c r="W454" i="2"/>
  <c r="X456" i="2"/>
  <c r="AD460" i="2"/>
  <c r="AC460" i="2"/>
  <c r="AB465" i="2"/>
  <c r="W477" i="2"/>
  <c r="AI477" i="2"/>
  <c r="Y481" i="2"/>
  <c r="W483" i="2"/>
  <c r="AF485" i="2"/>
  <c r="AA492" i="2"/>
  <c r="AB492" i="2"/>
  <c r="W495" i="2"/>
  <c r="AI495" i="2"/>
  <c r="AG497" i="2"/>
  <c r="AF497" i="2"/>
  <c r="AD499" i="2"/>
  <c r="AB503" i="2"/>
  <c r="X510" i="2"/>
  <c r="W516" i="2"/>
  <c r="AC521" i="2"/>
  <c r="V549" i="2"/>
  <c r="AH549" i="2"/>
  <c r="AB555" i="2"/>
  <c r="AK555" i="2" s="1"/>
  <c r="AE559" i="2"/>
  <c r="AD559" i="2"/>
  <c r="U585" i="2"/>
  <c r="Y620" i="2"/>
  <c r="AF621" i="2"/>
  <c r="AG653" i="2"/>
  <c r="AF653" i="2"/>
  <c r="AI694" i="2"/>
  <c r="AF527" i="2"/>
  <c r="X535" i="2"/>
  <c r="AI572" i="2"/>
  <c r="Z575" i="2"/>
  <c r="AA575" i="2"/>
  <c r="AC585" i="2"/>
  <c r="AB585" i="2"/>
  <c r="AI646" i="2"/>
  <c r="AC656" i="2"/>
  <c r="U660" i="2"/>
  <c r="V660" i="2"/>
  <c r="V665" i="2"/>
  <c r="W665" i="2"/>
  <c r="AI488" i="2"/>
  <c r="AI490" i="2"/>
  <c r="AI494" i="2"/>
  <c r="AC526" i="2"/>
  <c r="AI532" i="2"/>
  <c r="Z579" i="2"/>
  <c r="AK579" i="2" s="1"/>
  <c r="AA579" i="2"/>
  <c r="AI586" i="2"/>
  <c r="AK602" i="2"/>
  <c r="Y606" i="2"/>
  <c r="Z606" i="2"/>
  <c r="AB618" i="2"/>
  <c r="AA618" i="2"/>
  <c r="X699" i="2"/>
  <c r="W699" i="2"/>
  <c r="X701" i="2"/>
  <c r="AH485" i="2"/>
  <c r="AD489" i="2"/>
  <c r="AD492" i="2"/>
  <c r="AD496" i="2"/>
  <c r="Z505" i="2"/>
  <c r="AH512" i="2"/>
  <c r="AE530" i="2"/>
  <c r="AB536" i="2"/>
  <c r="V576" i="2"/>
  <c r="V581" i="2"/>
  <c r="X623" i="2"/>
  <c r="W623" i="2"/>
  <c r="AH677" i="2"/>
  <c r="AI677" i="2"/>
  <c r="Z692" i="2"/>
  <c r="AC725" i="2"/>
  <c r="AB725" i="2"/>
  <c r="Z456" i="2"/>
  <c r="AG467" i="2"/>
  <c r="AI493" i="2"/>
  <c r="AB510" i="2"/>
  <c r="AC517" i="2"/>
  <c r="Y535" i="2"/>
  <c r="AI548" i="2"/>
  <c r="Z569" i="2"/>
  <c r="AK569" i="2" s="1"/>
  <c r="AF585" i="2"/>
  <c r="Z586" i="2"/>
  <c r="AK586" i="2" s="1"/>
  <c r="AF590" i="2"/>
  <c r="AE590" i="2"/>
  <c r="Z592" i="2"/>
  <c r="AD598" i="2"/>
  <c r="U605" i="2"/>
  <c r="AG605" i="2"/>
  <c r="AF609" i="2"/>
  <c r="AE609" i="2"/>
  <c r="Z610" i="2"/>
  <c r="X617" i="2"/>
  <c r="AD618" i="2"/>
  <c r="AH627" i="2"/>
  <c r="V629" i="2"/>
  <c r="X634" i="2"/>
  <c r="AF645" i="2"/>
  <c r="V655" i="2"/>
  <c r="AH655" i="2"/>
  <c r="W663" i="2"/>
  <c r="V663" i="2"/>
  <c r="AC698" i="2"/>
  <c r="AD698" i="2"/>
  <c r="AG700" i="2"/>
  <c r="AA426" i="2"/>
  <c r="AE427" i="2"/>
  <c r="AF428" i="2"/>
  <c r="W429" i="2"/>
  <c r="AA431" i="2"/>
  <c r="U432" i="2"/>
  <c r="AH433" i="2"/>
  <c r="AC435" i="2"/>
  <c r="AC441" i="2"/>
  <c r="V443" i="2"/>
  <c r="AH443" i="2"/>
  <c r="Y445" i="2"/>
  <c r="U448" i="2"/>
  <c r="AB451" i="2"/>
  <c r="AC452" i="2"/>
  <c r="Y455" i="2"/>
  <c r="AB456" i="2"/>
  <c r="AI467" i="2"/>
  <c r="W469" i="2"/>
  <c r="AI469" i="2"/>
  <c r="U474" i="2"/>
  <c r="AG474" i="2"/>
  <c r="X475" i="2"/>
  <c r="X476" i="2"/>
  <c r="AE478" i="2"/>
  <c r="X479" i="2"/>
  <c r="AI483" i="2"/>
  <c r="X486" i="2"/>
  <c r="AA488" i="2"/>
  <c r="AD491" i="2"/>
  <c r="AA494" i="2"/>
  <c r="AC495" i="2"/>
  <c r="AG496" i="2"/>
  <c r="AE501" i="2"/>
  <c r="W503" i="2"/>
  <c r="AI503" i="2"/>
  <c r="AC505" i="2"/>
  <c r="Z508" i="2"/>
  <c r="AD509" i="2"/>
  <c r="AD510" i="2"/>
  <c r="V511" i="2"/>
  <c r="AH511" i="2"/>
  <c r="AI514" i="2"/>
  <c r="Z515" i="2"/>
  <c r="AC516" i="2"/>
  <c r="W518" i="2"/>
  <c r="AI518" i="2"/>
  <c r="AA520" i="2"/>
  <c r="V523" i="2"/>
  <c r="AH523" i="2"/>
  <c r="AD529" i="2"/>
  <c r="AH530" i="2"/>
  <c r="AE533" i="2"/>
  <c r="X534" i="2"/>
  <c r="AC535" i="2"/>
  <c r="AE536" i="2"/>
  <c r="X538" i="2"/>
  <c r="AI538" i="2"/>
  <c r="Z539" i="2"/>
  <c r="AK539" i="2" s="1"/>
  <c r="AA540" i="2"/>
  <c r="V541" i="2"/>
  <c r="AH541" i="2"/>
  <c r="Y542" i="2"/>
  <c r="AE544" i="2"/>
  <c r="AE547" i="2"/>
  <c r="AE550" i="2"/>
  <c r="AG551" i="2"/>
  <c r="Z552" i="2"/>
  <c r="AK552" i="2" s="1"/>
  <c r="AI554" i="2"/>
  <c r="AI555" i="2"/>
  <c r="Z556" i="2"/>
  <c r="AF564" i="2"/>
  <c r="AA566" i="2"/>
  <c r="W568" i="2"/>
  <c r="AI568" i="2"/>
  <c r="W573" i="2"/>
  <c r="AE575" i="2"/>
  <c r="Y576" i="2"/>
  <c r="AD577" i="2"/>
  <c r="X578" i="2"/>
  <c r="AG585" i="2"/>
  <c r="AA586" i="2"/>
  <c r="AH588" i="2"/>
  <c r="U593" i="2"/>
  <c r="AG593" i="2"/>
  <c r="X599" i="2"/>
  <c r="U609" i="2"/>
  <c r="AG609" i="2"/>
  <c r="AE618" i="2"/>
  <c r="AA623" i="2"/>
  <c r="AI627" i="2"/>
  <c r="Z632" i="2"/>
  <c r="AI639" i="2"/>
  <c r="U645" i="2"/>
  <c r="AE648" i="2"/>
  <c r="U650" i="2"/>
  <c r="AB654" i="2"/>
  <c r="AB669" i="2"/>
  <c r="AC669" i="2"/>
  <c r="AA672" i="2"/>
  <c r="Y677" i="2"/>
  <c r="X677" i="2"/>
  <c r="AG681" i="2"/>
  <c r="AF681" i="2"/>
  <c r="X687" i="2"/>
  <c r="W729" i="2"/>
  <c r="AI729" i="2"/>
  <c r="AK743" i="2"/>
  <c r="W851" i="2"/>
  <c r="V851" i="2"/>
  <c r="AD616" i="2"/>
  <c r="AC616" i="2"/>
  <c r="Z777" i="2"/>
  <c r="AA777" i="2"/>
  <c r="Z875" i="2"/>
  <c r="AA875" i="2"/>
  <c r="AG876" i="2"/>
  <c r="AH876" i="2"/>
  <c r="AI453" i="2"/>
  <c r="AI465" i="2"/>
  <c r="Z493" i="2"/>
  <c r="AG502" i="2"/>
  <c r="AF525" i="2"/>
  <c r="U564" i="2"/>
  <c r="V593" i="2"/>
  <c r="AF633" i="2"/>
  <c r="AE633" i="2"/>
  <c r="AI403" i="2"/>
  <c r="Y418" i="2"/>
  <c r="AC426" i="2"/>
  <c r="X429" i="2"/>
  <c r="W432" i="2"/>
  <c r="Y437" i="2"/>
  <c r="AB440" i="2"/>
  <c r="AC440" i="2"/>
  <c r="AC459" i="2"/>
  <c r="Y475" i="2"/>
  <c r="AF481" i="2"/>
  <c r="AA485" i="2"/>
  <c r="AI489" i="2"/>
  <c r="AC490" i="2"/>
  <c r="AC520" i="2"/>
  <c r="AI526" i="2"/>
  <c r="X530" i="2"/>
  <c r="AI551" i="2"/>
  <c r="AK558" i="2"/>
  <c r="X601" i="2"/>
  <c r="AF607" i="2"/>
  <c r="W639" i="2"/>
  <c r="AE643" i="2"/>
  <c r="X652" i="2"/>
  <c r="AF709" i="2"/>
  <c r="AG709" i="2"/>
  <c r="AD756" i="2"/>
  <c r="AC756" i="2"/>
  <c r="AA840" i="2"/>
  <c r="W352" i="2"/>
  <c r="AA354" i="2"/>
  <c r="AA355" i="2"/>
  <c r="U358" i="2"/>
  <c r="AG358" i="2"/>
  <c r="AD361" i="2"/>
  <c r="AC364" i="2"/>
  <c r="X368" i="2"/>
  <c r="AC369" i="2"/>
  <c r="U370" i="2"/>
  <c r="AG370" i="2"/>
  <c r="AA371" i="2"/>
  <c r="AE372" i="2"/>
  <c r="AG373" i="2"/>
  <c r="AB377" i="2"/>
  <c r="AE379" i="2"/>
  <c r="W380" i="2"/>
  <c r="AI380" i="2"/>
  <c r="AE382" i="2"/>
  <c r="AH383" i="2"/>
  <c r="Z385" i="2"/>
  <c r="V387" i="2"/>
  <c r="AH387" i="2"/>
  <c r="AC389" i="2"/>
  <c r="AF391" i="2"/>
  <c r="Y394" i="2"/>
  <c r="AH402" i="2"/>
  <c r="Y403" i="2"/>
  <c r="AB404" i="2"/>
  <c r="AE408" i="2"/>
  <c r="W409" i="2"/>
  <c r="AI409" i="2"/>
  <c r="W412" i="2"/>
  <c r="AI412" i="2"/>
  <c r="Z413" i="2"/>
  <c r="AA414" i="2"/>
  <c r="AE416" i="2"/>
  <c r="X417" i="2"/>
  <c r="AA418" i="2"/>
  <c r="W423" i="2"/>
  <c r="AI423" i="2"/>
  <c r="AD425" i="2"/>
  <c r="AE426" i="2"/>
  <c r="Z433" i="2"/>
  <c r="AK433" i="2" s="1"/>
  <c r="V435" i="2"/>
  <c r="AH435" i="2"/>
  <c r="AD439" i="2"/>
  <c r="AE444" i="2"/>
  <c r="Z453" i="2"/>
  <c r="AA454" i="2"/>
  <c r="AF456" i="2"/>
  <c r="AD459" i="2"/>
  <c r="AF462" i="2"/>
  <c r="X464" i="2"/>
  <c r="Z465" i="2"/>
  <c r="AA467" i="2"/>
  <c r="AB468" i="2"/>
  <c r="AK468" i="2" s="1"/>
  <c r="AC470" i="2"/>
  <c r="AF471" i="2"/>
  <c r="AF480" i="2"/>
  <c r="Y482" i="2"/>
  <c r="Z484" i="2"/>
  <c r="AC485" i="2"/>
  <c r="AE488" i="2"/>
  <c r="AD490" i="2"/>
  <c r="Y492" i="2"/>
  <c r="AA493" i="2"/>
  <c r="U495" i="2"/>
  <c r="AG495" i="2"/>
  <c r="AA499" i="2"/>
  <c r="AC500" i="2"/>
  <c r="Z503" i="2"/>
  <c r="AE504" i="2"/>
  <c r="U505" i="2"/>
  <c r="AB507" i="2"/>
  <c r="AC512" i="2"/>
  <c r="W513" i="2"/>
  <c r="AI513" i="2"/>
  <c r="AD515" i="2"/>
  <c r="W517" i="2"/>
  <c r="U521" i="2"/>
  <c r="AG521" i="2"/>
  <c r="W522" i="2"/>
  <c r="AI522" i="2"/>
  <c r="AB524" i="2"/>
  <c r="AG527" i="2"/>
  <c r="V529" i="2"/>
  <c r="AH529" i="2"/>
  <c r="AE532" i="2"/>
  <c r="W536" i="2"/>
  <c r="V543" i="2"/>
  <c r="AC546" i="2"/>
  <c r="W547" i="2"/>
  <c r="AI547" i="2"/>
  <c r="Y551" i="2"/>
  <c r="W553" i="2"/>
  <c r="AA555" i="2"/>
  <c r="X557" i="2"/>
  <c r="AC558" i="2"/>
  <c r="V559" i="2"/>
  <c r="AH559" i="2"/>
  <c r="V560" i="2"/>
  <c r="Z561" i="2"/>
  <c r="AB565" i="2"/>
  <c r="W567" i="2"/>
  <c r="AF569" i="2"/>
  <c r="AE569" i="2"/>
  <c r="AB571" i="2"/>
  <c r="W575" i="2"/>
  <c r="AC581" i="2"/>
  <c r="W582" i="2"/>
  <c r="AI582" i="2"/>
  <c r="AF584" i="2"/>
  <c r="Y590" i="2"/>
  <c r="AD592" i="2"/>
  <c r="AA596" i="2"/>
  <c r="AG602" i="2"/>
  <c r="AF608" i="2"/>
  <c r="AC615" i="2"/>
  <c r="AH626" i="2"/>
  <c r="AG626" i="2"/>
  <c r="AF629" i="2"/>
  <c r="U638" i="2"/>
  <c r="AG638" i="2"/>
  <c r="Y645" i="2"/>
  <c r="AG662" i="2"/>
  <c r="AD679" i="2"/>
  <c r="AE679" i="2"/>
  <c r="AI738" i="2"/>
  <c r="AH738" i="2"/>
  <c r="U748" i="2"/>
  <c r="AG748" i="2"/>
  <c r="Y774" i="2"/>
  <c r="X830" i="2"/>
  <c r="AD389" i="2"/>
  <c r="AD390" i="2"/>
  <c r="W392" i="2"/>
  <c r="AI392" i="2"/>
  <c r="X393" i="2"/>
  <c r="AF396" i="2"/>
  <c r="Y398" i="2"/>
  <c r="Z403" i="2"/>
  <c r="AC404" i="2"/>
  <c r="U406" i="2"/>
  <c r="AG406" i="2"/>
  <c r="AA407" i="2"/>
  <c r="X409" i="2"/>
  <c r="AF411" i="2"/>
  <c r="AG416" i="2"/>
  <c r="Y417" i="2"/>
  <c r="AC424" i="2"/>
  <c r="AE425" i="2"/>
  <c r="AF426" i="2"/>
  <c r="AC429" i="2"/>
  <c r="AF431" i="2"/>
  <c r="X432" i="2"/>
  <c r="AE434" i="2"/>
  <c r="W435" i="2"/>
  <c r="AI435" i="2"/>
  <c r="AA436" i="2"/>
  <c r="AE440" i="2"/>
  <c r="V441" i="2"/>
  <c r="AA443" i="2"/>
  <c r="AF444" i="2"/>
  <c r="AB449" i="2"/>
  <c r="V452" i="2"/>
  <c r="AH452" i="2"/>
  <c r="AF457" i="2"/>
  <c r="U461" i="2"/>
  <c r="AG461" i="2"/>
  <c r="V462" i="2"/>
  <c r="AC468" i="2"/>
  <c r="AD470" i="2"/>
  <c r="Z474" i="2"/>
  <c r="AD475" i="2"/>
  <c r="AC476" i="2"/>
  <c r="AI481" i="2"/>
  <c r="AD485" i="2"/>
  <c r="AC486" i="2"/>
  <c r="AF488" i="2"/>
  <c r="Z489" i="2"/>
  <c r="AE489" i="2"/>
  <c r="AD493" i="2"/>
  <c r="V495" i="2"/>
  <c r="AH495" i="2"/>
  <c r="Y497" i="2"/>
  <c r="AB499" i="2"/>
  <c r="Y502" i="2"/>
  <c r="AC507" i="2"/>
  <c r="W509" i="2"/>
  <c r="X513" i="2"/>
  <c r="AC514" i="2"/>
  <c r="V516" i="2"/>
  <c r="AH516" i="2"/>
  <c r="X517" i="2"/>
  <c r="AE519" i="2"/>
  <c r="AC524" i="2"/>
  <c r="X525" i="2"/>
  <c r="AD527" i="2"/>
  <c r="W529" i="2"/>
  <c r="AI529" i="2"/>
  <c r="Y530" i="2"/>
  <c r="AC531" i="2"/>
  <c r="AF532" i="2"/>
  <c r="X533" i="2"/>
  <c r="X536" i="2"/>
  <c r="AE539" i="2"/>
  <c r="AF540" i="2"/>
  <c r="AD546" i="2"/>
  <c r="X547" i="2"/>
  <c r="AB554" i="2"/>
  <c r="AK554" i="2" s="1"/>
  <c r="AE556" i="2"/>
  <c r="Y557" i="2"/>
  <c r="AD558" i="2"/>
  <c r="AI559" i="2"/>
  <c r="AC562" i="2"/>
  <c r="Y564" i="2"/>
  <c r="V564" i="2"/>
  <c r="AC565" i="2"/>
  <c r="U569" i="2"/>
  <c r="AG569" i="2"/>
  <c r="AI579" i="2"/>
  <c r="Z580" i="2"/>
  <c r="V580" i="2"/>
  <c r="AD581" i="2"/>
  <c r="X582" i="2"/>
  <c r="AE583" i="2"/>
  <c r="U584" i="2"/>
  <c r="AG584" i="2"/>
  <c r="U589" i="2"/>
  <c r="AG589" i="2"/>
  <c r="AB596" i="2"/>
  <c r="AF597" i="2"/>
  <c r="AB599" i="2"/>
  <c r="AC599" i="2"/>
  <c r="AA601" i="2"/>
  <c r="AH602" i="2"/>
  <c r="U604" i="2"/>
  <c r="AG604" i="2"/>
  <c r="AD619" i="2"/>
  <c r="AC619" i="2"/>
  <c r="AI620" i="2"/>
  <c r="W626" i="2"/>
  <c r="AI626" i="2"/>
  <c r="AA643" i="2"/>
  <c r="AE651" i="2"/>
  <c r="AC652" i="2"/>
  <c r="V658" i="2"/>
  <c r="AH658" i="2"/>
  <c r="AB675" i="2"/>
  <c r="U682" i="2"/>
  <c r="AG682" i="2"/>
  <c r="AH682" i="2"/>
  <c r="AH686" i="2"/>
  <c r="AA689" i="2"/>
  <c r="Z689" i="2"/>
  <c r="AE728" i="2"/>
  <c r="AF728" i="2"/>
  <c r="AD803" i="2"/>
  <c r="U813" i="2"/>
  <c r="AE634" i="2"/>
  <c r="AD635" i="2"/>
  <c r="W640" i="2"/>
  <c r="AI640" i="2"/>
  <c r="AB650" i="2"/>
  <c r="AD651" i="2"/>
  <c r="AG655" i="2"/>
  <c r="AD660" i="2"/>
  <c r="W661" i="2"/>
  <c r="AI661" i="2"/>
  <c r="AD662" i="2"/>
  <c r="AE663" i="2"/>
  <c r="AF664" i="2"/>
  <c r="AG669" i="2"/>
  <c r="Z672" i="2"/>
  <c r="AE673" i="2"/>
  <c r="X674" i="2"/>
  <c r="AA675" i="2"/>
  <c r="AD676" i="2"/>
  <c r="U677" i="2"/>
  <c r="AG677" i="2"/>
  <c r="AA679" i="2"/>
  <c r="Z680" i="2"/>
  <c r="AH681" i="2"/>
  <c r="U683" i="2"/>
  <c r="AG683" i="2"/>
  <c r="AC685" i="2"/>
  <c r="X695" i="2"/>
  <c r="AC696" i="2"/>
  <c r="AH697" i="2"/>
  <c r="Z698" i="2"/>
  <c r="AF699" i="2"/>
  <c r="AF700" i="2"/>
  <c r="Z702" i="2"/>
  <c r="Z706" i="2"/>
  <c r="AG707" i="2"/>
  <c r="Y708" i="2"/>
  <c r="AC709" i="2"/>
  <c r="AF710" i="2"/>
  <c r="AE712" i="2"/>
  <c r="AG713" i="2"/>
  <c r="W716" i="2"/>
  <c r="AI716" i="2"/>
  <c r="AD717" i="2"/>
  <c r="W718" i="2"/>
  <c r="AI718" i="2"/>
  <c r="AE726" i="2"/>
  <c r="AB728" i="2"/>
  <c r="V729" i="2"/>
  <c r="AH729" i="2"/>
  <c r="U735" i="2"/>
  <c r="AF746" i="2"/>
  <c r="AE750" i="2"/>
  <c r="AD750" i="2"/>
  <c r="AA752" i="2"/>
  <c r="AD753" i="2"/>
  <c r="Y755" i="2"/>
  <c r="X759" i="2"/>
  <c r="AF763" i="2"/>
  <c r="X774" i="2"/>
  <c r="AE781" i="2"/>
  <c r="X782" i="2"/>
  <c r="AE793" i="2"/>
  <c r="Y808" i="2"/>
  <c r="AD809" i="2"/>
  <c r="Z840" i="2"/>
  <c r="AH851" i="2"/>
  <c r="AF902" i="2"/>
  <c r="X602" i="2"/>
  <c r="Z603" i="2"/>
  <c r="AE604" i="2"/>
  <c r="V608" i="2"/>
  <c r="AI609" i="2"/>
  <c r="AB610" i="2"/>
  <c r="AC613" i="2"/>
  <c r="AE615" i="2"/>
  <c r="U616" i="2"/>
  <c r="AG616" i="2"/>
  <c r="AI619" i="2"/>
  <c r="AC623" i="2"/>
  <c r="AF624" i="2"/>
  <c r="U630" i="2"/>
  <c r="AG630" i="2"/>
  <c r="AA631" i="2"/>
  <c r="AC632" i="2"/>
  <c r="AG635" i="2"/>
  <c r="W638" i="2"/>
  <c r="AI638" i="2"/>
  <c r="Z640" i="2"/>
  <c r="V640" i="2"/>
  <c r="X642" i="2"/>
  <c r="AE644" i="2"/>
  <c r="AI645" i="2"/>
  <c r="Y646" i="2"/>
  <c r="V648" i="2"/>
  <c r="AH648" i="2"/>
  <c r="U651" i="2"/>
  <c r="AG651" i="2"/>
  <c r="AD653" i="2"/>
  <c r="AD654" i="2"/>
  <c r="AA656" i="2"/>
  <c r="AE659" i="2"/>
  <c r="U662" i="2"/>
  <c r="W664" i="2"/>
  <c r="AI664" i="2"/>
  <c r="AD666" i="2"/>
  <c r="W667" i="2"/>
  <c r="AA668" i="2"/>
  <c r="AH670" i="2"/>
  <c r="AC672" i="2"/>
  <c r="V673" i="2"/>
  <c r="AH673" i="2"/>
  <c r="AA674" i="2"/>
  <c r="AD674" i="2"/>
  <c r="AD675" i="2"/>
  <c r="U676" i="2"/>
  <c r="AC680" i="2"/>
  <c r="X683" i="2"/>
  <c r="AF685" i="2"/>
  <c r="V686" i="2"/>
  <c r="AC689" i="2"/>
  <c r="Y691" i="2"/>
  <c r="Z695" i="2"/>
  <c r="AE696" i="2"/>
  <c r="X697" i="2"/>
  <c r="V699" i="2"/>
  <c r="AH699" i="2"/>
  <c r="W700" i="2"/>
  <c r="AI700" i="2"/>
  <c r="AA701" i="2"/>
  <c r="W710" i="2"/>
  <c r="AI710" i="2"/>
  <c r="AG715" i="2"/>
  <c r="U717" i="2"/>
  <c r="AG717" i="2"/>
  <c r="V726" i="2"/>
  <c r="AH726" i="2"/>
  <c r="AA727" i="2"/>
  <c r="X729" i="2"/>
  <c r="Y729" i="2"/>
  <c r="V733" i="2"/>
  <c r="AH733" i="2"/>
  <c r="U740" i="2"/>
  <c r="AG740" i="2"/>
  <c r="AB744" i="2"/>
  <c r="AF745" i="2"/>
  <c r="AI748" i="2"/>
  <c r="U758" i="2"/>
  <c r="AG758" i="2"/>
  <c r="AD762" i="2"/>
  <c r="AB766" i="2"/>
  <c r="U771" i="2"/>
  <c r="AG771" i="2"/>
  <c r="W773" i="2"/>
  <c r="AI773" i="2"/>
  <c r="W774" i="2"/>
  <c r="Y776" i="2"/>
  <c r="AE785" i="2"/>
  <c r="W787" i="2"/>
  <c r="AI787" i="2"/>
  <c r="Y791" i="2"/>
  <c r="AA792" i="2"/>
  <c r="AI795" i="2"/>
  <c r="AF807" i="2"/>
  <c r="AF822" i="2"/>
  <c r="X878" i="2"/>
  <c r="AE879" i="2"/>
  <c r="AD885" i="2"/>
  <c r="Z888" i="2"/>
  <c r="Y605" i="2"/>
  <c r="AC606" i="2"/>
  <c r="V607" i="2"/>
  <c r="AH607" i="2"/>
  <c r="Y609" i="2"/>
  <c r="AD610" i="2"/>
  <c r="AC612" i="2"/>
  <c r="AG615" i="2"/>
  <c r="W616" i="2"/>
  <c r="AI616" i="2"/>
  <c r="AC617" i="2"/>
  <c r="W618" i="2"/>
  <c r="AI618" i="2"/>
  <c r="Y619" i="2"/>
  <c r="AI622" i="2"/>
  <c r="AE623" i="2"/>
  <c r="AH624" i="2"/>
  <c r="V625" i="2"/>
  <c r="AH625" i="2"/>
  <c r="AA626" i="2"/>
  <c r="AA628" i="2"/>
  <c r="U633" i="2"/>
  <c r="W635" i="2"/>
  <c r="AA636" i="2"/>
  <c r="AF636" i="2"/>
  <c r="AK638" i="2"/>
  <c r="AE641" i="2"/>
  <c r="Y642" i="2"/>
  <c r="U644" i="2"/>
  <c r="AG644" i="2"/>
  <c r="V647" i="2"/>
  <c r="AH647" i="2"/>
  <c r="AA649" i="2"/>
  <c r="AH651" i="2"/>
  <c r="AF654" i="2"/>
  <c r="AG659" i="2"/>
  <c r="AI660" i="2"/>
  <c r="AB661" i="2"/>
  <c r="W662" i="2"/>
  <c r="Y667" i="2"/>
  <c r="AB668" i="2"/>
  <c r="AI670" i="2"/>
  <c r="AF675" i="2"/>
  <c r="W676" i="2"/>
  <c r="AI676" i="2"/>
  <c r="AE680" i="2"/>
  <c r="V681" i="2"/>
  <c r="AF683" i="2"/>
  <c r="AE684" i="2"/>
  <c r="V685" i="2"/>
  <c r="AH685" i="2"/>
  <c r="X686" i="2"/>
  <c r="U690" i="2"/>
  <c r="AG690" i="2"/>
  <c r="AA691" i="2"/>
  <c r="V693" i="2"/>
  <c r="AH693" i="2"/>
  <c r="AB694" i="2"/>
  <c r="AK694" i="2" s="1"/>
  <c r="AB695" i="2"/>
  <c r="AA697" i="2"/>
  <c r="Y700" i="2"/>
  <c r="AC701" i="2"/>
  <c r="AH705" i="2"/>
  <c r="U709" i="2"/>
  <c r="V709" i="2"/>
  <c r="AH709" i="2"/>
  <c r="AC710" i="2"/>
  <c r="Z713" i="2"/>
  <c r="AD714" i="2"/>
  <c r="W715" i="2"/>
  <c r="AI715" i="2"/>
  <c r="AB716" i="2"/>
  <c r="W717" i="2"/>
  <c r="Z724" i="2"/>
  <c r="X726" i="2"/>
  <c r="AI726" i="2"/>
  <c r="Z729" i="2"/>
  <c r="AK729" i="2" s="1"/>
  <c r="AA729" i="2"/>
  <c r="AC732" i="2"/>
  <c r="X733" i="2"/>
  <c r="AA743" i="2"/>
  <c r="X746" i="2"/>
  <c r="AD747" i="2"/>
  <c r="AE747" i="2"/>
  <c r="AB751" i="2"/>
  <c r="AD754" i="2"/>
  <c r="AE755" i="2"/>
  <c r="W758" i="2"/>
  <c r="AI758" i="2"/>
  <c r="AB770" i="2"/>
  <c r="Z801" i="2"/>
  <c r="AC802" i="2"/>
  <c r="U805" i="2"/>
  <c r="V805" i="2"/>
  <c r="AH805" i="2"/>
  <c r="U807" i="2"/>
  <c r="V807" i="2"/>
  <c r="AG807" i="2"/>
  <c r="AH807" i="2"/>
  <c r="AB821" i="2"/>
  <c r="AC821" i="2"/>
  <c r="AE857" i="2"/>
  <c r="AD857" i="2"/>
  <c r="X673" i="2"/>
  <c r="Z811" i="2"/>
  <c r="AA811" i="2"/>
  <c r="AA835" i="2"/>
  <c r="X847" i="2"/>
  <c r="Z589" i="2"/>
  <c r="AA594" i="2"/>
  <c r="AB594" i="2"/>
  <c r="AK594" i="2" s="1"/>
  <c r="Y608" i="2"/>
  <c r="AE655" i="2"/>
  <c r="Z671" i="2"/>
  <c r="Z682" i="2"/>
  <c r="AG684" i="2"/>
  <c r="AC688" i="2"/>
  <c r="AF689" i="2"/>
  <c r="AB697" i="2"/>
  <c r="Z699" i="2"/>
  <c r="AD700" i="2"/>
  <c r="X703" i="2"/>
  <c r="AE704" i="2"/>
  <c r="AC712" i="2"/>
  <c r="AB720" i="2"/>
  <c r="AA720" i="2"/>
  <c r="Z731" i="2"/>
  <c r="Y750" i="2"/>
  <c r="Z750" i="2"/>
  <c r="AK750" i="2" s="1"/>
  <c r="W753" i="2"/>
  <c r="AA765" i="2"/>
  <c r="AB765" i="2"/>
  <c r="Y769" i="2"/>
  <c r="AE846" i="2"/>
  <c r="W584" i="2"/>
  <c r="AI584" i="2"/>
  <c r="Z593" i="2"/>
  <c r="AA593" i="2"/>
  <c r="Z608" i="2"/>
  <c r="AK619" i="2"/>
  <c r="Y630" i="2"/>
  <c r="AA630" i="2"/>
  <c r="AE639" i="2"/>
  <c r="AE640" i="2"/>
  <c r="AI644" i="2"/>
  <c r="Z647" i="2"/>
  <c r="AK647" i="2" s="1"/>
  <c r="Z651" i="2"/>
  <c r="AI651" i="2"/>
  <c r="W654" i="2"/>
  <c r="AI654" i="2"/>
  <c r="AC655" i="2"/>
  <c r="Z662" i="2"/>
  <c r="AD665" i="2"/>
  <c r="W666" i="2"/>
  <c r="AI666" i="2"/>
  <c r="AB667" i="2"/>
  <c r="Z673" i="2"/>
  <c r="W675" i="2"/>
  <c r="AD678" i="2"/>
  <c r="X685" i="2"/>
  <c r="AA686" i="2"/>
  <c r="AE687" i="2"/>
  <c r="U692" i="2"/>
  <c r="AG692" i="2"/>
  <c r="AE694" i="2"/>
  <c r="AF695" i="2"/>
  <c r="Y696" i="2"/>
  <c r="AA700" i="2"/>
  <c r="V702" i="2"/>
  <c r="AH702" i="2"/>
  <c r="Y703" i="2"/>
  <c r="V706" i="2"/>
  <c r="AH706" i="2"/>
  <c r="V711" i="2"/>
  <c r="AI711" i="2"/>
  <c r="W719" i="2"/>
  <c r="AK722" i="2"/>
  <c r="AC724" i="2"/>
  <c r="AH730" i="2"/>
  <c r="AI730" i="2"/>
  <c r="AC760" i="2"/>
  <c r="X775" i="2"/>
  <c r="AB783" i="2"/>
  <c r="AI788" i="2"/>
  <c r="U794" i="2"/>
  <c r="AG794" i="2"/>
  <c r="AB799" i="2"/>
  <c r="AF817" i="2"/>
  <c r="AE819" i="2"/>
  <c r="AF819" i="2"/>
  <c r="W827" i="2"/>
  <c r="V827" i="2"/>
  <c r="AH827" i="2"/>
  <c r="AI827" i="2"/>
  <c r="AG834" i="2"/>
  <c r="AF846" i="2"/>
  <c r="AB855" i="2"/>
  <c r="U863" i="2"/>
  <c r="AG863" i="2"/>
  <c r="X865" i="2"/>
  <c r="AF560" i="2"/>
  <c r="AG561" i="2"/>
  <c r="AB564" i="2"/>
  <c r="AK564" i="2" s="1"/>
  <c r="AH566" i="2"/>
  <c r="Z567" i="2"/>
  <c r="AE570" i="2"/>
  <c r="AI571" i="2"/>
  <c r="Z572" i="2"/>
  <c r="AC576" i="2"/>
  <c r="U577" i="2"/>
  <c r="AG577" i="2"/>
  <c r="AA578" i="2"/>
  <c r="AE579" i="2"/>
  <c r="AH580" i="2"/>
  <c r="Z581" i="2"/>
  <c r="AC582" i="2"/>
  <c r="AF586" i="2"/>
  <c r="X587" i="2"/>
  <c r="Y588" i="2"/>
  <c r="Z588" i="2"/>
  <c r="AG591" i="2"/>
  <c r="W592" i="2"/>
  <c r="AI592" i="2"/>
  <c r="U596" i="2"/>
  <c r="AG596" i="2"/>
  <c r="Y597" i="2"/>
  <c r="AC602" i="2"/>
  <c r="AF603" i="2"/>
  <c r="AC605" i="2"/>
  <c r="Z607" i="2"/>
  <c r="W613" i="2"/>
  <c r="AI614" i="2"/>
  <c r="Y615" i="2"/>
  <c r="U617" i="2"/>
  <c r="AE620" i="2"/>
  <c r="AF627" i="2"/>
  <c r="AF628" i="2"/>
  <c r="Y629" i="2"/>
  <c r="AF639" i="2"/>
  <c r="AF640" i="2"/>
  <c r="AH641" i="2"/>
  <c r="W643" i="2"/>
  <c r="AI643" i="2"/>
  <c r="AE646" i="2"/>
  <c r="AE649" i="2"/>
  <c r="Y650" i="2"/>
  <c r="AA651" i="2"/>
  <c r="U652" i="2"/>
  <c r="AG652" i="2"/>
  <c r="X654" i="2"/>
  <c r="U656" i="2"/>
  <c r="AG656" i="2"/>
  <c r="Y657" i="2"/>
  <c r="AA660" i="2"/>
  <c r="AA662" i="2"/>
  <c r="AE665" i="2"/>
  <c r="AC671" i="2"/>
  <c r="AB673" i="2"/>
  <c r="AB676" i="2"/>
  <c r="AD677" i="2"/>
  <c r="Z681" i="2"/>
  <c r="AF687" i="2"/>
  <c r="AI687" i="2"/>
  <c r="W689" i="2"/>
  <c r="Z693" i="2"/>
  <c r="AK693" i="2" s="1"/>
  <c r="U695" i="2"/>
  <c r="AG695" i="2"/>
  <c r="Z696" i="2"/>
  <c r="W698" i="2"/>
  <c r="AI698" i="2"/>
  <c r="AA699" i="2"/>
  <c r="W702" i="2"/>
  <c r="AI702" i="2"/>
  <c r="W706" i="2"/>
  <c r="AI706" i="2"/>
  <c r="AD713" i="2"/>
  <c r="AG714" i="2"/>
  <c r="AH714" i="2"/>
  <c r="Z715" i="2"/>
  <c r="AA715" i="2"/>
  <c r="AD720" i="2"/>
  <c r="X721" i="2"/>
  <c r="AC722" i="2"/>
  <c r="U728" i="2"/>
  <c r="X730" i="2"/>
  <c r="AA737" i="2"/>
  <c r="AD738" i="2"/>
  <c r="X742" i="2"/>
  <c r="W747" i="2"/>
  <c r="AI760" i="2"/>
  <c r="U768" i="2"/>
  <c r="V768" i="2"/>
  <c r="V772" i="2"/>
  <c r="AH772" i="2"/>
  <c r="AG772" i="2"/>
  <c r="AB779" i="2"/>
  <c r="AC783" i="2"/>
  <c r="U786" i="2"/>
  <c r="AD804" i="2"/>
  <c r="U810" i="2"/>
  <c r="V810" i="2"/>
  <c r="AG810" i="2"/>
  <c r="AH810" i="2"/>
  <c r="U817" i="2"/>
  <c r="AG817" i="2"/>
  <c r="AC855" i="2"/>
  <c r="AA862" i="2"/>
  <c r="Y865" i="2"/>
  <c r="W865" i="2"/>
  <c r="AC635" i="2"/>
  <c r="AC647" i="2"/>
  <c r="AC676" i="2"/>
  <c r="AK703" i="2"/>
  <c r="AA717" i="2"/>
  <c r="AB717" i="2"/>
  <c r="W734" i="2"/>
  <c r="X734" i="2"/>
  <c r="AF757" i="2"/>
  <c r="AG757" i="2"/>
  <c r="AB758" i="2"/>
  <c r="AA758" i="2"/>
  <c r="AG786" i="2"/>
  <c r="AH786" i="2"/>
  <c r="AH560" i="2"/>
  <c r="Y562" i="2"/>
  <c r="AD564" i="2"/>
  <c r="AG565" i="2"/>
  <c r="Y571" i="2"/>
  <c r="Y574" i="2"/>
  <c r="W577" i="2"/>
  <c r="AI577" i="2"/>
  <c r="U579" i="2"/>
  <c r="AG579" i="2"/>
  <c r="AB581" i="2"/>
  <c r="AA584" i="2"/>
  <c r="AG590" i="2"/>
  <c r="Y592" i="2"/>
  <c r="AH595" i="2"/>
  <c r="AA597" i="2"/>
  <c r="AD599" i="2"/>
  <c r="AI600" i="2"/>
  <c r="AI610" i="2"/>
  <c r="W612" i="2"/>
  <c r="AI612" i="2"/>
  <c r="Y614" i="2"/>
  <c r="AD622" i="2"/>
  <c r="AB624" i="2"/>
  <c r="AB625" i="2"/>
  <c r="AK625" i="2" s="1"/>
  <c r="V628" i="2"/>
  <c r="AH628" i="2"/>
  <c r="AB629" i="2"/>
  <c r="AC630" i="2"/>
  <c r="AD634" i="2"/>
  <c r="Y643" i="2"/>
  <c r="U649" i="2"/>
  <c r="AG649" i="2"/>
  <c r="AA650" i="2"/>
  <c r="W652" i="2"/>
  <c r="AI652" i="2"/>
  <c r="Y654" i="2"/>
  <c r="Z654" i="2"/>
  <c r="AD658" i="2"/>
  <c r="AC660" i="2"/>
  <c r="V661" i="2"/>
  <c r="AE664" i="2"/>
  <c r="U665" i="2"/>
  <c r="AG665" i="2"/>
  <c r="Z666" i="2"/>
  <c r="AE667" i="2"/>
  <c r="AD670" i="2"/>
  <c r="AE671" i="2"/>
  <c r="Y672" i="2"/>
  <c r="AD673" i="2"/>
  <c r="U678" i="2"/>
  <c r="AG678" i="2"/>
  <c r="AE682" i="2"/>
  <c r="Z684" i="2"/>
  <c r="AK684" i="2" s="1"/>
  <c r="Z685" i="2"/>
  <c r="AK685" i="2" s="1"/>
  <c r="AC686" i="2"/>
  <c r="V688" i="2"/>
  <c r="AH688" i="2"/>
  <c r="AG691" i="2"/>
  <c r="AI692" i="2"/>
  <c r="AG694" i="2"/>
  <c r="W695" i="2"/>
  <c r="AI695" i="2"/>
  <c r="AG697" i="2"/>
  <c r="Y698" i="2"/>
  <c r="AE699" i="2"/>
  <c r="AI701" i="2"/>
  <c r="AC703" i="2"/>
  <c r="AC706" i="2"/>
  <c r="AF707" i="2"/>
  <c r="X708" i="2"/>
  <c r="AB709" i="2"/>
  <c r="AK709" i="2" s="1"/>
  <c r="AF713" i="2"/>
  <c r="X714" i="2"/>
  <c r="AH718" i="2"/>
  <c r="AI719" i="2"/>
  <c r="AA721" i="2"/>
  <c r="AE722" i="2"/>
  <c r="Z723" i="2"/>
  <c r="X727" i="2"/>
  <c r="U729" i="2"/>
  <c r="AG729" i="2"/>
  <c r="AF735" i="2"/>
  <c r="Z736" i="2"/>
  <c r="AE746" i="2"/>
  <c r="AC753" i="2"/>
  <c r="U757" i="2"/>
  <c r="V757" i="2"/>
  <c r="AH757" i="2"/>
  <c r="V759" i="2"/>
  <c r="W759" i="2"/>
  <c r="AI759" i="2"/>
  <c r="X772" i="2"/>
  <c r="AI772" i="2"/>
  <c r="Y777" i="2"/>
  <c r="AB778" i="2"/>
  <c r="AK778" i="2" s="1"/>
  <c r="Y782" i="2"/>
  <c r="V786" i="2"/>
  <c r="W786" i="2"/>
  <c r="X788" i="2"/>
  <c r="AD793" i="2"/>
  <c r="AF804" i="2"/>
  <c r="AB809" i="2"/>
  <c r="AK809" i="2" s="1"/>
  <c r="AC809" i="2"/>
  <c r="AE824" i="2"/>
  <c r="AB831" i="2"/>
  <c r="AF832" i="2"/>
  <c r="Z909" i="2"/>
  <c r="W775" i="2"/>
  <c r="AI775" i="2"/>
  <c r="AA778" i="2"/>
  <c r="AD780" i="2"/>
  <c r="AA783" i="2"/>
  <c r="AC784" i="2"/>
  <c r="AF786" i="2"/>
  <c r="Z789" i="2"/>
  <c r="AD790" i="2"/>
  <c r="W795" i="2"/>
  <c r="AA802" i="2"/>
  <c r="AC803" i="2"/>
  <c r="AC812" i="2"/>
  <c r="AF813" i="2"/>
  <c r="Y814" i="2"/>
  <c r="X818" i="2"/>
  <c r="AC819" i="2"/>
  <c r="Y820" i="2"/>
  <c r="X820" i="2"/>
  <c r="AE822" i="2"/>
  <c r="X823" i="2"/>
  <c r="Z831" i="2"/>
  <c r="AD832" i="2"/>
  <c r="Z833" i="2"/>
  <c r="AI839" i="2"/>
  <c r="Y840" i="2"/>
  <c r="AD846" i="2"/>
  <c r="AA855" i="2"/>
  <c r="AF863" i="2"/>
  <c r="AB866" i="2"/>
  <c r="AE867" i="2"/>
  <c r="U876" i="2"/>
  <c r="W878" i="2"/>
  <c r="AI878" i="2"/>
  <c r="U893" i="2"/>
  <c r="AG893" i="2"/>
  <c r="U897" i="2"/>
  <c r="AG897" i="2"/>
  <c r="AA903" i="2"/>
  <c r="AI919" i="2"/>
  <c r="AC958" i="2"/>
  <c r="AI874" i="2"/>
  <c r="AH874" i="2"/>
  <c r="AB875" i="2"/>
  <c r="AG883" i="2"/>
  <c r="AF883" i="2"/>
  <c r="AA884" i="2"/>
  <c r="W740" i="2"/>
  <c r="AA742" i="2"/>
  <c r="AB742" i="2"/>
  <c r="AK742" i="2" s="1"/>
  <c r="AH761" i="2"/>
  <c r="AE764" i="2"/>
  <c r="AH767" i="2"/>
  <c r="AC789" i="2"/>
  <c r="Y798" i="2"/>
  <c r="Z798" i="2"/>
  <c r="AH822" i="2"/>
  <c r="AD850" i="2"/>
  <c r="AE850" i="2"/>
  <c r="Z865" i="2"/>
  <c r="AA865" i="2"/>
  <c r="AI869" i="2"/>
  <c r="AF906" i="2"/>
  <c r="X964" i="2"/>
  <c r="W977" i="2"/>
  <c r="V977" i="2"/>
  <c r="AI977" i="2"/>
  <c r="AH977" i="2"/>
  <c r="AC994" i="2"/>
  <c r="Y748" i="2"/>
  <c r="Z748" i="2"/>
  <c r="AG760" i="2"/>
  <c r="W767" i="2"/>
  <c r="AC806" i="2"/>
  <c r="AD806" i="2"/>
  <c r="W807" i="2"/>
  <c r="AB808" i="2"/>
  <c r="U809" i="2"/>
  <c r="AC816" i="2"/>
  <c r="X817" i="2"/>
  <c r="AI817" i="2"/>
  <c r="Z827" i="2"/>
  <c r="AK827" i="2" s="1"/>
  <c r="W829" i="2"/>
  <c r="AI829" i="2"/>
  <c r="AB830" i="2"/>
  <c r="AK830" i="2" s="1"/>
  <c r="W832" i="2"/>
  <c r="AE835" i="2"/>
  <c r="AF835" i="2"/>
  <c r="Y836" i="2"/>
  <c r="AC837" i="2"/>
  <c r="Y891" i="2"/>
  <c r="AD896" i="2"/>
  <c r="W725" i="2"/>
  <c r="AI725" i="2"/>
  <c r="AG728" i="2"/>
  <c r="AF734" i="2"/>
  <c r="Z735" i="2"/>
  <c r="AD736" i="2"/>
  <c r="AG738" i="2"/>
  <c r="Z740" i="2"/>
  <c r="X740" i="2"/>
  <c r="AC741" i="2"/>
  <c r="AD742" i="2"/>
  <c r="U744" i="2"/>
  <c r="AG744" i="2"/>
  <c r="AF751" i="2"/>
  <c r="U752" i="2"/>
  <c r="AG752" i="2"/>
  <c r="V754" i="2"/>
  <c r="AH754" i="2"/>
  <c r="X756" i="2"/>
  <c r="Y757" i="2"/>
  <c r="AB760" i="2"/>
  <c r="AK760" i="2" s="1"/>
  <c r="AE761" i="2"/>
  <c r="AB764" i="2"/>
  <c r="AI785" i="2"/>
  <c r="W790" i="2"/>
  <c r="AH795" i="2"/>
  <c r="AG805" i="2"/>
  <c r="AE813" i="2"/>
  <c r="V815" i="2"/>
  <c r="AC828" i="2"/>
  <c r="AD828" i="2"/>
  <c r="AI832" i="2"/>
  <c r="U843" i="2"/>
  <c r="AG843" i="2"/>
  <c r="AG850" i="2"/>
  <c r="AF852" i="2"/>
  <c r="AE852" i="2"/>
  <c r="AA858" i="2"/>
  <c r="AA859" i="2"/>
  <c r="V864" i="2"/>
  <c r="AH864" i="2"/>
  <c r="U877" i="2"/>
  <c r="AG877" i="2"/>
  <c r="AD900" i="2"/>
  <c r="AA912" i="2"/>
  <c r="V922" i="2"/>
  <c r="U922" i="2"/>
  <c r="AH922" i="2"/>
  <c r="AG922" i="2"/>
  <c r="W939" i="2"/>
  <c r="V939" i="2"/>
  <c r="AI939" i="2"/>
  <c r="AH939" i="2"/>
  <c r="AE988" i="2"/>
  <c r="X767" i="2"/>
  <c r="AB768" i="2"/>
  <c r="AC772" i="2"/>
  <c r="AD775" i="2"/>
  <c r="AD777" i="2"/>
  <c r="V783" i="2"/>
  <c r="AC787" i="2"/>
  <c r="AD788" i="2"/>
  <c r="U789" i="2"/>
  <c r="AB805" i="2"/>
  <c r="AK805" i="2" s="1"/>
  <c r="Z807" i="2"/>
  <c r="X807" i="2"/>
  <c r="W809" i="2"/>
  <c r="AI809" i="2"/>
  <c r="AD816" i="2"/>
  <c r="AA817" i="2"/>
  <c r="AD848" i="2"/>
  <c r="X929" i="2"/>
  <c r="W929" i="2"/>
  <c r="AH963" i="2"/>
  <c r="AG963" i="2"/>
  <c r="U704" i="2"/>
  <c r="Y706" i="2"/>
  <c r="AC711" i="2"/>
  <c r="V713" i="2"/>
  <c r="AI713" i="2"/>
  <c r="Z714" i="2"/>
  <c r="Z717" i="2"/>
  <c r="AB718" i="2"/>
  <c r="X720" i="2"/>
  <c r="AB723" i="2"/>
  <c r="AF727" i="2"/>
  <c r="W728" i="2"/>
  <c r="AI728" i="2"/>
  <c r="V734" i="2"/>
  <c r="AF736" i="2"/>
  <c r="U737" i="2"/>
  <c r="AF737" i="2"/>
  <c r="AF741" i="2"/>
  <c r="AF742" i="2"/>
  <c r="Z745" i="2"/>
  <c r="AK745" i="2" s="1"/>
  <c r="AC747" i="2"/>
  <c r="V751" i="2"/>
  <c r="AH751" i="2"/>
  <c r="W752" i="2"/>
  <c r="AI752" i="2"/>
  <c r="X754" i="2"/>
  <c r="AA755" i="2"/>
  <c r="Z757" i="2"/>
  <c r="AE760" i="2"/>
  <c r="AG761" i="2"/>
  <c r="X762" i="2"/>
  <c r="AI762" i="2"/>
  <c r="AD764" i="2"/>
  <c r="AH765" i="2"/>
  <c r="AF774" i="2"/>
  <c r="AF777" i="2"/>
  <c r="AD781" i="2"/>
  <c r="AE782" i="2"/>
  <c r="AI783" i="2"/>
  <c r="Z785" i="2"/>
  <c r="X790" i="2"/>
  <c r="AH792" i="2"/>
  <c r="U796" i="2"/>
  <c r="AG796" i="2"/>
  <c r="Z804" i="2"/>
  <c r="AK804" i="2" s="1"/>
  <c r="AC805" i="2"/>
  <c r="V811" i="2"/>
  <c r="AH811" i="2"/>
  <c r="U814" i="2"/>
  <c r="AI822" i="2"/>
  <c r="W835" i="2"/>
  <c r="AI835" i="2"/>
  <c r="W838" i="2"/>
  <c r="AH843" i="2"/>
  <c r="AF847" i="2"/>
  <c r="AA848" i="2"/>
  <c r="AE849" i="2"/>
  <c r="AH852" i="2"/>
  <c r="AE868" i="2"/>
  <c r="V880" i="2"/>
  <c r="AH880" i="2"/>
  <c r="AD882" i="2"/>
  <c r="AF886" i="2"/>
  <c r="Z916" i="2"/>
  <c r="W952" i="2"/>
  <c r="V952" i="2"/>
  <c r="AI952" i="2"/>
  <c r="AD707" i="2"/>
  <c r="Z710" i="2"/>
  <c r="V712" i="2"/>
  <c r="AH712" i="2"/>
  <c r="AC715" i="2"/>
  <c r="AF719" i="2"/>
  <c r="Y720" i="2"/>
  <c r="Z725" i="2"/>
  <c r="AC726" i="2"/>
  <c r="U727" i="2"/>
  <c r="AG727" i="2"/>
  <c r="AE730" i="2"/>
  <c r="U731" i="2"/>
  <c r="AG731" i="2"/>
  <c r="AC735" i="2"/>
  <c r="AG736" i="2"/>
  <c r="AH737" i="2"/>
  <c r="AA739" i="2"/>
  <c r="Z739" i="2"/>
  <c r="U742" i="2"/>
  <c r="AG742" i="2"/>
  <c r="W743" i="2"/>
  <c r="AI743" i="2"/>
  <c r="X744" i="2"/>
  <c r="AD748" i="2"/>
  <c r="AF749" i="2"/>
  <c r="X752" i="2"/>
  <c r="Y754" i="2"/>
  <c r="AC757" i="2"/>
  <c r="Y762" i="2"/>
  <c r="X766" i="2"/>
  <c r="AD768" i="2"/>
  <c r="U769" i="2"/>
  <c r="AE773" i="2"/>
  <c r="AG776" i="2"/>
  <c r="U777" i="2"/>
  <c r="X779" i="2"/>
  <c r="AB781" i="2"/>
  <c r="AK781" i="2" s="1"/>
  <c r="AF782" i="2"/>
  <c r="AA785" i="2"/>
  <c r="AC786" i="2"/>
  <c r="AA793" i="2"/>
  <c r="AF795" i="2"/>
  <c r="V796" i="2"/>
  <c r="AH796" i="2"/>
  <c r="AA797" i="2"/>
  <c r="X802" i="2"/>
  <c r="AC804" i="2"/>
  <c r="AD805" i="2"/>
  <c r="V806" i="2"/>
  <c r="AH806" i="2"/>
  <c r="AC813" i="2"/>
  <c r="AB815" i="2"/>
  <c r="U816" i="2"/>
  <c r="AF816" i="2"/>
  <c r="AG816" i="2"/>
  <c r="AB842" i="2"/>
  <c r="AC842" i="2"/>
  <c r="Z857" i="2"/>
  <c r="AA857" i="2"/>
  <c r="AF873" i="2"/>
  <c r="AG873" i="2"/>
  <c r="AD895" i="2"/>
  <c r="Z898" i="2"/>
  <c r="AK898" i="2" s="1"/>
  <c r="AA899" i="2"/>
  <c r="AB899" i="2"/>
  <c r="AC921" i="2"/>
  <c r="AB921" i="2"/>
  <c r="AB951" i="2"/>
  <c r="AA951" i="2"/>
  <c r="AA970" i="2"/>
  <c r="Z970" i="2"/>
  <c r="AH971" i="2"/>
  <c r="AI971" i="2"/>
  <c r="AC972" i="2"/>
  <c r="AB972" i="2"/>
  <c r="X986" i="2"/>
  <c r="Z802" i="2"/>
  <c r="AK802" i="2" s="1"/>
  <c r="Z812" i="2"/>
  <c r="AK812" i="2" s="1"/>
  <c r="AC836" i="2"/>
  <c r="AD836" i="2"/>
  <c r="AH703" i="2"/>
  <c r="X704" i="2"/>
  <c r="AA705" i="2"/>
  <c r="W708" i="2"/>
  <c r="AI708" i="2"/>
  <c r="AB710" i="2"/>
  <c r="AF711" i="2"/>
  <c r="W713" i="2"/>
  <c r="AC714" i="2"/>
  <c r="AE715" i="2"/>
  <c r="AD723" i="2"/>
  <c r="AI724" i="2"/>
  <c r="W727" i="2"/>
  <c r="AI727" i="2"/>
  <c r="Z728" i="2"/>
  <c r="AG730" i="2"/>
  <c r="AD735" i="2"/>
  <c r="X737" i="2"/>
  <c r="Z738" i="2"/>
  <c r="AK738" i="2" s="1"/>
  <c r="AC739" i="2"/>
  <c r="AC745" i="2"/>
  <c r="AC746" i="2"/>
  <c r="AF747" i="2"/>
  <c r="W750" i="2"/>
  <c r="AI750" i="2"/>
  <c r="AB753" i="2"/>
  <c r="AA754" i="2"/>
  <c r="AD755" i="2"/>
  <c r="AE757" i="2"/>
  <c r="AF758" i="2"/>
  <c r="AG759" i="2"/>
  <c r="V760" i="2"/>
  <c r="AB763" i="2"/>
  <c r="AI767" i="2"/>
  <c r="AI769" i="2"/>
  <c r="AE771" i="2"/>
  <c r="W777" i="2"/>
  <c r="AI777" i="2"/>
  <c r="AA779" i="2"/>
  <c r="AC780" i="2"/>
  <c r="V782" i="2"/>
  <c r="Z783" i="2"/>
  <c r="AB784" i="2"/>
  <c r="AC785" i="2"/>
  <c r="AF787" i="2"/>
  <c r="AH788" i="2"/>
  <c r="AC793" i="2"/>
  <c r="W796" i="2"/>
  <c r="Y799" i="2"/>
  <c r="AD800" i="2"/>
  <c r="AB803" i="2"/>
  <c r="X806" i="2"/>
  <c r="AF810" i="2"/>
  <c r="Y811" i="2"/>
  <c r="X814" i="2"/>
  <c r="AD815" i="2"/>
  <c r="W820" i="2"/>
  <c r="AA821" i="2"/>
  <c r="AD822" i="2"/>
  <c r="W823" i="2"/>
  <c r="AI823" i="2"/>
  <c r="AC824" i="2"/>
  <c r="U825" i="2"/>
  <c r="AG825" i="2"/>
  <c r="Y833" i="2"/>
  <c r="AF834" i="2"/>
  <c r="Z835" i="2"/>
  <c r="AE842" i="2"/>
  <c r="AE858" i="2"/>
  <c r="AF858" i="2"/>
  <c r="AD867" i="2"/>
  <c r="AF876" i="2"/>
  <c r="AB889" i="2"/>
  <c r="AC889" i="2"/>
  <c r="AB904" i="2"/>
  <c r="Z920" i="2"/>
  <c r="AF947" i="2"/>
  <c r="AB819" i="2"/>
  <c r="V820" i="2"/>
  <c r="AH820" i="2"/>
  <c r="AB822" i="2"/>
  <c r="AD823" i="2"/>
  <c r="X824" i="2"/>
  <c r="X827" i="2"/>
  <c r="AD829" i="2"/>
  <c r="AI830" i="2"/>
  <c r="AB832" i="2"/>
  <c r="U835" i="2"/>
  <c r="AG835" i="2"/>
  <c r="W836" i="2"/>
  <c r="AI836" i="2"/>
  <c r="Z841" i="2"/>
  <c r="AF843" i="2"/>
  <c r="Y844" i="2"/>
  <c r="AA845" i="2"/>
  <c r="Y848" i="2"/>
  <c r="AB849" i="2"/>
  <c r="AC850" i="2"/>
  <c r="U851" i="2"/>
  <c r="AG851" i="2"/>
  <c r="X859" i="2"/>
  <c r="AA861" i="2"/>
  <c r="AD863" i="2"/>
  <c r="AI865" i="2"/>
  <c r="X866" i="2"/>
  <c r="AD868" i="2"/>
  <c r="AA872" i="2"/>
  <c r="AG874" i="2"/>
  <c r="AD877" i="2"/>
  <c r="AC879" i="2"/>
  <c r="AA889" i="2"/>
  <c r="Y894" i="2"/>
  <c r="Z894" i="2"/>
  <c r="AC895" i="2"/>
  <c r="AE897" i="2"/>
  <c r="AB901" i="2"/>
  <c r="AE906" i="2"/>
  <c r="AC910" i="2"/>
  <c r="AF913" i="2"/>
  <c r="AB917" i="2"/>
  <c r="AK917" i="2" s="1"/>
  <c r="AC918" i="2"/>
  <c r="AA924" i="2"/>
  <c r="AD928" i="2"/>
  <c r="AI929" i="2"/>
  <c r="U932" i="2"/>
  <c r="AE947" i="2"/>
  <c r="X948" i="2"/>
  <c r="AH952" i="2"/>
  <c r="U957" i="2"/>
  <c r="AG957" i="2"/>
  <c r="AB958" i="2"/>
  <c r="AB960" i="2"/>
  <c r="AD966" i="2"/>
  <c r="U973" i="2"/>
  <c r="AG973" i="2"/>
  <c r="AE979" i="2"/>
  <c r="X984" i="2"/>
  <c r="AD988" i="2"/>
  <c r="AB994" i="2"/>
  <c r="AI997" i="2"/>
  <c r="W1001" i="2"/>
  <c r="AE1074" i="2"/>
  <c r="AA891" i="2"/>
  <c r="V893" i="2"/>
  <c r="AE918" i="2"/>
  <c r="AD921" i="2"/>
  <c r="AK950" i="2"/>
  <c r="AD965" i="2"/>
  <c r="U968" i="2"/>
  <c r="X1037" i="2"/>
  <c r="V1054" i="2"/>
  <c r="AB884" i="2"/>
  <c r="Z887" i="2"/>
  <c r="AB891" i="2"/>
  <c r="AK891" i="2" s="1"/>
  <c r="AC894" i="2"/>
  <c r="AF895" i="2"/>
  <c r="AI911" i="2"/>
  <c r="AE921" i="2"/>
  <c r="V949" i="2"/>
  <c r="AE837" i="2"/>
  <c r="AB839" i="2"/>
  <c r="AI842" i="2"/>
  <c r="AF845" i="2"/>
  <c r="W847" i="2"/>
  <c r="AC848" i="2"/>
  <c r="V849" i="2"/>
  <c r="AH849" i="2"/>
  <c r="W850" i="2"/>
  <c r="Z852" i="2"/>
  <c r="AC854" i="2"/>
  <c r="AF862" i="2"/>
  <c r="AI863" i="2"/>
  <c r="AG867" i="2"/>
  <c r="Y869" i="2"/>
  <c r="Z870" i="2"/>
  <c r="AF872" i="2"/>
  <c r="AI873" i="2"/>
  <c r="AE875" i="2"/>
  <c r="AI876" i="2"/>
  <c r="AA878" i="2"/>
  <c r="Z880" i="2"/>
  <c r="U882" i="2"/>
  <c r="AG882" i="2"/>
  <c r="Y883" i="2"/>
  <c r="V885" i="2"/>
  <c r="X886" i="2"/>
  <c r="AI886" i="2"/>
  <c r="AA887" i="2"/>
  <c r="AD888" i="2"/>
  <c r="X890" i="2"/>
  <c r="AD891" i="2"/>
  <c r="AH896" i="2"/>
  <c r="AG900" i="2"/>
  <c r="AG901" i="2"/>
  <c r="W902" i="2"/>
  <c r="AE903" i="2"/>
  <c r="U904" i="2"/>
  <c r="AI905" i="2"/>
  <c r="X906" i="2"/>
  <c r="AH910" i="2"/>
  <c r="AE916" i="2"/>
  <c r="AC920" i="2"/>
  <c r="AB926" i="2"/>
  <c r="U927" i="2"/>
  <c r="W928" i="2"/>
  <c r="AI928" i="2"/>
  <c r="AB929" i="2"/>
  <c r="Y932" i="2"/>
  <c r="AF936" i="2"/>
  <c r="Z943" i="2"/>
  <c r="Y943" i="2"/>
  <c r="Z944" i="2"/>
  <c r="AC945" i="2"/>
  <c r="V946" i="2"/>
  <c r="U953" i="2"/>
  <c r="AG953" i="2"/>
  <c r="Y961" i="2"/>
  <c r="AC962" i="2"/>
  <c r="AC969" i="2"/>
  <c r="V974" i="2"/>
  <c r="AH974" i="2"/>
  <c r="AE976" i="2"/>
  <c r="X981" i="2"/>
  <c r="AC982" i="2"/>
  <c r="W985" i="2"/>
  <c r="AH985" i="2"/>
  <c r="AI985" i="2"/>
  <c r="AF996" i="2"/>
  <c r="V1000" i="2"/>
  <c r="AH1000" i="2"/>
  <c r="AD1030" i="2"/>
  <c r="X1042" i="2"/>
  <c r="AB1053" i="2"/>
  <c r="Z1090" i="2"/>
  <c r="AK1090" i="2" s="1"/>
  <c r="X902" i="2"/>
  <c r="AE933" i="2"/>
  <c r="AD933" i="2"/>
  <c r="V954" i="2"/>
  <c r="AG956" i="2"/>
  <c r="AH956" i="2"/>
  <c r="U965" i="2"/>
  <c r="V965" i="2"/>
  <c r="X968" i="2"/>
  <c r="AH1066" i="2"/>
  <c r="AI1066" i="2"/>
  <c r="AD840" i="2"/>
  <c r="AG841" i="2"/>
  <c r="AD854" i="2"/>
  <c r="AF856" i="2"/>
  <c r="AA870" i="2"/>
  <c r="W873" i="2"/>
  <c r="AI910" i="2"/>
  <c r="Z913" i="2"/>
  <c r="AK913" i="2" s="1"/>
  <c r="AC923" i="2"/>
  <c r="V934" i="2"/>
  <c r="AD945" i="2"/>
  <c r="AH799" i="2"/>
  <c r="AA800" i="2"/>
  <c r="Y806" i="2"/>
  <c r="AF808" i="2"/>
  <c r="AD811" i="2"/>
  <c r="AE829" i="2"/>
  <c r="Y838" i="2"/>
  <c r="V841" i="2"/>
  <c r="AH841" i="2"/>
  <c r="Y842" i="2"/>
  <c r="AH845" i="2"/>
  <c r="Z847" i="2"/>
  <c r="AB851" i="2"/>
  <c r="AE854" i="2"/>
  <c r="AB870" i="2"/>
  <c r="AF871" i="2"/>
  <c r="AA913" i="2"/>
  <c r="AF943" i="2"/>
  <c r="AC954" i="2"/>
  <c r="Z974" i="2"/>
  <c r="Z990" i="2"/>
  <c r="V1125" i="2"/>
  <c r="U1125" i="2"/>
  <c r="AI1209" i="2"/>
  <c r="AH1209" i="2"/>
  <c r="AB790" i="2"/>
  <c r="AK790" i="2" s="1"/>
  <c r="U792" i="2"/>
  <c r="AG792" i="2"/>
  <c r="AB795" i="2"/>
  <c r="AK795" i="2" s="1"/>
  <c r="AD797" i="2"/>
  <c r="V802" i="2"/>
  <c r="AH802" i="2"/>
  <c r="X804" i="2"/>
  <c r="AA806" i="2"/>
  <c r="V808" i="2"/>
  <c r="AH808" i="2"/>
  <c r="AA809" i="2"/>
  <c r="V812" i="2"/>
  <c r="AH812" i="2"/>
  <c r="Z813" i="2"/>
  <c r="AB814" i="2"/>
  <c r="U815" i="2"/>
  <c r="AG815" i="2"/>
  <c r="Z816" i="2"/>
  <c r="AK816" i="2" s="1"/>
  <c r="Y819" i="2"/>
  <c r="AE820" i="2"/>
  <c r="U821" i="2"/>
  <c r="AH821" i="2"/>
  <c r="Z823" i="2"/>
  <c r="AK823" i="2" s="1"/>
  <c r="V824" i="2"/>
  <c r="AB826" i="2"/>
  <c r="AG827" i="2"/>
  <c r="AB829" i="2"/>
  <c r="AF830" i="2"/>
  <c r="Z834" i="2"/>
  <c r="AF836" i="2"/>
  <c r="AA838" i="2"/>
  <c r="U840" i="2"/>
  <c r="Z842" i="2"/>
  <c r="AC843" i="2"/>
  <c r="AH844" i="2"/>
  <c r="X845" i="2"/>
  <c r="AI845" i="2"/>
  <c r="AA846" i="2"/>
  <c r="AB847" i="2"/>
  <c r="AG848" i="2"/>
  <c r="AD851" i="2"/>
  <c r="AC852" i="2"/>
  <c r="W855" i="2"/>
  <c r="AI855" i="2"/>
  <c r="V857" i="2"/>
  <c r="AH857" i="2"/>
  <c r="U859" i="2"/>
  <c r="AG859" i="2"/>
  <c r="AI860" i="2"/>
  <c r="AA863" i="2"/>
  <c r="AD864" i="2"/>
  <c r="AI866" i="2"/>
  <c r="AI872" i="2"/>
  <c r="AC873" i="2"/>
  <c r="AE874" i="2"/>
  <c r="W875" i="2"/>
  <c r="Z879" i="2"/>
  <c r="AD880" i="2"/>
  <c r="AH881" i="2"/>
  <c r="AC883" i="2"/>
  <c r="AH884" i="2"/>
  <c r="Z892" i="2"/>
  <c r="AK892" i="2" s="1"/>
  <c r="W894" i="2"/>
  <c r="AI894" i="2"/>
  <c r="Z895" i="2"/>
  <c r="AC897" i="2"/>
  <c r="U898" i="2"/>
  <c r="AG898" i="2"/>
  <c r="X899" i="2"/>
  <c r="AI899" i="2"/>
  <c r="AB902" i="2"/>
  <c r="AI903" i="2"/>
  <c r="Y904" i="2"/>
  <c r="AB906" i="2"/>
  <c r="AK906" i="2" s="1"/>
  <c r="AE908" i="2"/>
  <c r="AH909" i="2"/>
  <c r="W912" i="2"/>
  <c r="AI912" i="2"/>
  <c r="U915" i="2"/>
  <c r="W916" i="2"/>
  <c r="AI916" i="2"/>
  <c r="Y917" i="2"/>
  <c r="V920" i="2"/>
  <c r="AH920" i="2"/>
  <c r="AF923" i="2"/>
  <c r="X924" i="2"/>
  <c r="AA928" i="2"/>
  <c r="AD932" i="2"/>
  <c r="AH933" i="2"/>
  <c r="Y934" i="2"/>
  <c r="X936" i="2"/>
  <c r="AI938" i="2"/>
  <c r="AH940" i="2"/>
  <c r="AG948" i="2"/>
  <c r="AI954" i="2"/>
  <c r="AC959" i="2"/>
  <c r="U962" i="2"/>
  <c r="AG962" i="2"/>
  <c r="U967" i="2"/>
  <c r="W980" i="2"/>
  <c r="AI980" i="2"/>
  <c r="AG984" i="2"/>
  <c r="AF984" i="2"/>
  <c r="AD999" i="2"/>
  <c r="X1002" i="2"/>
  <c r="Y1002" i="2"/>
  <c r="X1141" i="2"/>
  <c r="AF798" i="2"/>
  <c r="AG801" i="2"/>
  <c r="W802" i="2"/>
  <c r="AI802" i="2"/>
  <c r="Y804" i="2"/>
  <c r="AD810" i="2"/>
  <c r="U811" i="2"/>
  <c r="AG811" i="2"/>
  <c r="Z819" i="2"/>
  <c r="AI821" i="2"/>
  <c r="Y828" i="2"/>
  <c r="U830" i="2"/>
  <c r="AG830" i="2"/>
  <c r="AI831" i="2"/>
  <c r="AA832" i="2"/>
  <c r="U833" i="2"/>
  <c r="AG836" i="2"/>
  <c r="V840" i="2"/>
  <c r="AH840" i="2"/>
  <c r="AB850" i="2"/>
  <c r="X855" i="2"/>
  <c r="AI871" i="2"/>
  <c r="AC876" i="2"/>
  <c r="AF878" i="2"/>
  <c r="Z882" i="2"/>
  <c r="AA885" i="2"/>
  <c r="AC886" i="2"/>
  <c r="W888" i="2"/>
  <c r="AI891" i="2"/>
  <c r="AA896" i="2"/>
  <c r="Y899" i="2"/>
  <c r="Z904" i="2"/>
  <c r="AB905" i="2"/>
  <c r="AC906" i="2"/>
  <c r="AI909" i="2"/>
  <c r="AA910" i="2"/>
  <c r="AD911" i="2"/>
  <c r="X912" i="2"/>
  <c r="AD913" i="2"/>
  <c r="AG923" i="2"/>
  <c r="Y924" i="2"/>
  <c r="U926" i="2"/>
  <c r="AG926" i="2"/>
  <c r="AE932" i="2"/>
  <c r="AC934" i="2"/>
  <c r="W940" i="2"/>
  <c r="AI940" i="2"/>
  <c r="AF952" i="2"/>
  <c r="AD959" i="2"/>
  <c r="Z960" i="2"/>
  <c r="AE965" i="2"/>
  <c r="AB966" i="2"/>
  <c r="AK966" i="2" s="1"/>
  <c r="AH967" i="2"/>
  <c r="Z972" i="2"/>
  <c r="AE973" i="2"/>
  <c r="AC979" i="2"/>
  <c r="X980" i="2"/>
  <c r="V984" i="2"/>
  <c r="AH984" i="2"/>
  <c r="AD995" i="2"/>
  <c r="AI1001" i="2"/>
  <c r="AC1006" i="2"/>
  <c r="X1051" i="2"/>
  <c r="AI1075" i="2"/>
  <c r="AH934" i="2"/>
  <c r="AK941" i="2"/>
  <c r="V948" i="2"/>
  <c r="W948" i="2"/>
  <c r="V1009" i="2"/>
  <c r="W1009" i="2"/>
  <c r="X1191" i="2"/>
  <c r="W1191" i="2"/>
  <c r="AE1008" i="2"/>
  <c r="Z1010" i="2"/>
  <c r="V1012" i="2"/>
  <c r="AH1012" i="2"/>
  <c r="AD1015" i="2"/>
  <c r="AF1016" i="2"/>
  <c r="U1022" i="2"/>
  <c r="AG1022" i="2"/>
  <c r="W1028" i="2"/>
  <c r="AI1028" i="2"/>
  <c r="AH1031" i="2"/>
  <c r="Z1032" i="2"/>
  <c r="AD1033" i="2"/>
  <c r="W1034" i="2"/>
  <c r="AI1034" i="2"/>
  <c r="AC1036" i="2"/>
  <c r="U1039" i="2"/>
  <c r="AG1039" i="2"/>
  <c r="Z1040" i="2"/>
  <c r="AD1041" i="2"/>
  <c r="U1050" i="2"/>
  <c r="AG1050" i="2"/>
  <c r="Z1052" i="2"/>
  <c r="AH1054" i="2"/>
  <c r="AD1056" i="2"/>
  <c r="AF1062" i="2"/>
  <c r="Z1063" i="2"/>
  <c r="AK1063" i="2" s="1"/>
  <c r="AD1065" i="2"/>
  <c r="V1066" i="2"/>
  <c r="AH1071" i="2"/>
  <c r="Z1072" i="2"/>
  <c r="AD1077" i="2"/>
  <c r="AE1077" i="2"/>
  <c r="V1082" i="2"/>
  <c r="AH1082" i="2"/>
  <c r="AF1093" i="2"/>
  <c r="AC1101" i="2"/>
  <c r="AD1101" i="2"/>
  <c r="U1103" i="2"/>
  <c r="AG1103" i="2"/>
  <c r="AE1117" i="2"/>
  <c r="Z1126" i="2"/>
  <c r="Z1128" i="2"/>
  <c r="V1130" i="2"/>
  <c r="AH1130" i="2"/>
  <c r="AI1140" i="2"/>
  <c r="AB1142" i="2"/>
  <c r="Z1163" i="2"/>
  <c r="AC1166" i="2"/>
  <c r="Y1167" i="2"/>
  <c r="AD1194" i="2"/>
  <c r="AD1196" i="2"/>
  <c r="AE1196" i="2"/>
  <c r="AB1204" i="2"/>
  <c r="U1016" i="2"/>
  <c r="AI1071" i="2"/>
  <c r="AD1079" i="2"/>
  <c r="AE1079" i="2"/>
  <c r="X1087" i="2"/>
  <c r="AE1099" i="2"/>
  <c r="AF1099" i="2"/>
  <c r="V1123" i="2"/>
  <c r="W1123" i="2"/>
  <c r="AD1153" i="2"/>
  <c r="AG1156" i="2"/>
  <c r="AF1156" i="2"/>
  <c r="AF988" i="2"/>
  <c r="AE994" i="2"/>
  <c r="AI996" i="2"/>
  <c r="AD1013" i="2"/>
  <c r="AF1086" i="2"/>
  <c r="Z1087" i="2"/>
  <c r="X1095" i="2"/>
  <c r="AI1164" i="2"/>
  <c r="AC1181" i="2"/>
  <c r="AC1189" i="2"/>
  <c r="Z1191" i="2"/>
  <c r="AD1220" i="2"/>
  <c r="AG1338" i="2"/>
  <c r="AF1338" i="2"/>
  <c r="AA1370" i="2"/>
  <c r="Z1370" i="2"/>
  <c r="AK1370" i="2" s="1"/>
  <c r="AI1026" i="2"/>
  <c r="AK1037" i="2"/>
  <c r="AK1042" i="2"/>
  <c r="AI1059" i="2"/>
  <c r="W1062" i="2"/>
  <c r="AA1069" i="2"/>
  <c r="Y1188" i="2"/>
  <c r="V947" i="2"/>
  <c r="AH947" i="2"/>
  <c r="AE950" i="2"/>
  <c r="AA953" i="2"/>
  <c r="AB954" i="2"/>
  <c r="W959" i="2"/>
  <c r="AI959" i="2"/>
  <c r="U966" i="2"/>
  <c r="AG966" i="2"/>
  <c r="Y967" i="2"/>
  <c r="AA971" i="2"/>
  <c r="AF972" i="2"/>
  <c r="X973" i="2"/>
  <c r="AI976" i="2"/>
  <c r="AC977" i="2"/>
  <c r="AD978" i="2"/>
  <c r="AH982" i="2"/>
  <c r="AE987" i="2"/>
  <c r="Z989" i="2"/>
  <c r="AK989" i="2" s="1"/>
  <c r="U991" i="2"/>
  <c r="Y992" i="2"/>
  <c r="AI995" i="2"/>
  <c r="AG997" i="2"/>
  <c r="AE998" i="2"/>
  <c r="AA1000" i="2"/>
  <c r="AC1002" i="2"/>
  <c r="AG1003" i="2"/>
  <c r="AE1004" i="2"/>
  <c r="U1006" i="2"/>
  <c r="AG1006" i="2"/>
  <c r="AD1010" i="2"/>
  <c r="Y1011" i="2"/>
  <c r="AA1012" i="2"/>
  <c r="AH1014" i="2"/>
  <c r="W1015" i="2"/>
  <c r="AC1017" i="2"/>
  <c r="V1024" i="2"/>
  <c r="AH1024" i="2"/>
  <c r="AA1027" i="2"/>
  <c r="AE1028" i="2"/>
  <c r="AF1029" i="2"/>
  <c r="W1030" i="2"/>
  <c r="AI1030" i="2"/>
  <c r="AH1033" i="2"/>
  <c r="AI1033" i="2"/>
  <c r="AB1034" i="2"/>
  <c r="AE1035" i="2"/>
  <c r="AC1037" i="2"/>
  <c r="AH1038" i="2"/>
  <c r="AG1049" i="2"/>
  <c r="AC1051" i="2"/>
  <c r="AH1051" i="2"/>
  <c r="U1053" i="2"/>
  <c r="AI1056" i="2"/>
  <c r="V1064" i="2"/>
  <c r="AD1067" i="2"/>
  <c r="AH1070" i="2"/>
  <c r="Z1071" i="2"/>
  <c r="AA1071" i="2"/>
  <c r="V1086" i="2"/>
  <c r="AH1086" i="2"/>
  <c r="AB1087" i="2"/>
  <c r="W1095" i="2"/>
  <c r="AB1106" i="2"/>
  <c r="Z1108" i="2"/>
  <c r="X1110" i="2"/>
  <c r="AA1113" i="2"/>
  <c r="AD1114" i="2"/>
  <c r="X1115" i="2"/>
  <c r="AC1124" i="2"/>
  <c r="Z1125" i="2"/>
  <c r="U1149" i="2"/>
  <c r="AG1149" i="2"/>
  <c r="AG1159" i="2"/>
  <c r="X1162" i="2"/>
  <c r="Y1174" i="2"/>
  <c r="Y1176" i="2"/>
  <c r="AK1178" i="2"/>
  <c r="X1200" i="2"/>
  <c r="AH1002" i="2"/>
  <c r="Y1016" i="2"/>
  <c r="AB1075" i="2"/>
  <c r="AC1075" i="2"/>
  <c r="AB1085" i="2"/>
  <c r="AA1085" i="2"/>
  <c r="X1091" i="2"/>
  <c r="W1099" i="2"/>
  <c r="X1099" i="2"/>
  <c r="Y1115" i="2"/>
  <c r="AH1123" i="2"/>
  <c r="AF1139" i="2"/>
  <c r="AG1139" i="2"/>
  <c r="AG941" i="2"/>
  <c r="AB949" i="2"/>
  <c r="AC960" i="2"/>
  <c r="Z967" i="2"/>
  <c r="AD984" i="2"/>
  <c r="X995" i="2"/>
  <c r="AD1011" i="2"/>
  <c r="AB1012" i="2"/>
  <c r="AI1014" i="2"/>
  <c r="AF1017" i="2"/>
  <c r="AG1018" i="2"/>
  <c r="AB1026" i="2"/>
  <c r="AI1038" i="2"/>
  <c r="AI1046" i="2"/>
  <c r="AB1047" i="2"/>
  <c r="U1061" i="2"/>
  <c r="AG1061" i="2"/>
  <c r="Z1062" i="2"/>
  <c r="Z1065" i="2"/>
  <c r="AK1065" i="2" s="1"/>
  <c r="V1099" i="2"/>
  <c r="Y1160" i="2"/>
  <c r="W1171" i="2"/>
  <c r="AI1171" i="2"/>
  <c r="Y1202" i="2"/>
  <c r="X1202" i="2"/>
  <c r="AI1218" i="2"/>
  <c r="W926" i="2"/>
  <c r="AI926" i="2"/>
  <c r="AE929" i="2"/>
  <c r="U930" i="2"/>
  <c r="AG930" i="2"/>
  <c r="Z931" i="2"/>
  <c r="AF934" i="2"/>
  <c r="AG935" i="2"/>
  <c r="AA936" i="2"/>
  <c r="AD939" i="2"/>
  <c r="X945" i="2"/>
  <c r="X947" i="2"/>
  <c r="AA948" i="2"/>
  <c r="AD949" i="2"/>
  <c r="AF954" i="2"/>
  <c r="V955" i="2"/>
  <c r="AE960" i="2"/>
  <c r="AF964" i="2"/>
  <c r="W966" i="2"/>
  <c r="AI966" i="2"/>
  <c r="AA967" i="2"/>
  <c r="AD968" i="2"/>
  <c r="AG969" i="2"/>
  <c r="AE974" i="2"/>
  <c r="AA979" i="2"/>
  <c r="AC980" i="2"/>
  <c r="Y982" i="2"/>
  <c r="AD985" i="2"/>
  <c r="AH987" i="2"/>
  <c r="Y988" i="2"/>
  <c r="AG990" i="2"/>
  <c r="X991" i="2"/>
  <c r="U993" i="2"/>
  <c r="AG993" i="2"/>
  <c r="Y994" i="2"/>
  <c r="Y995" i="2"/>
  <c r="AE997" i="2"/>
  <c r="AF1002" i="2"/>
  <c r="AG1004" i="2"/>
  <c r="Y1007" i="2"/>
  <c r="AD1009" i="2"/>
  <c r="V1010" i="2"/>
  <c r="AH1010" i="2"/>
  <c r="AD1012" i="2"/>
  <c r="Z1015" i="2"/>
  <c r="AB1016" i="2"/>
  <c r="AC1022" i="2"/>
  <c r="AD1027" i="2"/>
  <c r="AD1031" i="2"/>
  <c r="Z1033" i="2"/>
  <c r="AC1039" i="2"/>
  <c r="AH1040" i="2"/>
  <c r="AE1042" i="2"/>
  <c r="AF1042" i="2"/>
  <c r="V1043" i="2"/>
  <c r="AH1043" i="2"/>
  <c r="Z1044" i="2"/>
  <c r="AE1045" i="2"/>
  <c r="AD1048" i="2"/>
  <c r="V1055" i="2"/>
  <c r="AH1055" i="2"/>
  <c r="W1061" i="2"/>
  <c r="AD1066" i="2"/>
  <c r="U1067" i="2"/>
  <c r="AG1067" i="2"/>
  <c r="AF1069" i="2"/>
  <c r="Y1070" i="2"/>
  <c r="AH1072" i="2"/>
  <c r="X1073" i="2"/>
  <c r="X1076" i="2"/>
  <c r="Y1076" i="2"/>
  <c r="U1078" i="2"/>
  <c r="AD1082" i="2"/>
  <c r="AC1082" i="2"/>
  <c r="AD1084" i="2"/>
  <c r="AD1085" i="2"/>
  <c r="V1092" i="2"/>
  <c r="AH1092" i="2"/>
  <c r="X1094" i="2"/>
  <c r="U1102" i="2"/>
  <c r="AG1102" i="2"/>
  <c r="AA1107" i="2"/>
  <c r="AC1108" i="2"/>
  <c r="U1109" i="2"/>
  <c r="V1111" i="2"/>
  <c r="AH1111" i="2"/>
  <c r="X1112" i="2"/>
  <c r="AF1120" i="2"/>
  <c r="AD1134" i="2"/>
  <c r="Z1135" i="2"/>
  <c r="AC1136" i="2"/>
  <c r="AF1137" i="2"/>
  <c r="AE1144" i="2"/>
  <c r="AD1148" i="2"/>
  <c r="W1157" i="2"/>
  <c r="X1159" i="2"/>
  <c r="AB1170" i="2"/>
  <c r="U1173" i="2"/>
  <c r="AG1173" i="2"/>
  <c r="V1183" i="2"/>
  <c r="AH1183" i="2"/>
  <c r="AC1186" i="2"/>
  <c r="V1187" i="2"/>
  <c r="AE1199" i="2"/>
  <c r="AD1213" i="2"/>
  <c r="AB1236" i="2"/>
  <c r="Y947" i="2"/>
  <c r="Z995" i="2"/>
  <c r="U1013" i="2"/>
  <c r="Y1014" i="2"/>
  <c r="V1046" i="2"/>
  <c r="U1049" i="2"/>
  <c r="AA1053" i="2"/>
  <c r="AE1075" i="2"/>
  <c r="AF1075" i="2"/>
  <c r="V1076" i="2"/>
  <c r="AE1086" i="2"/>
  <c r="U1094" i="2"/>
  <c r="V1100" i="2"/>
  <c r="U1100" i="2"/>
  <c r="AB1129" i="2"/>
  <c r="AC1238" i="2"/>
  <c r="AB1238" i="2"/>
  <c r="AK1238" i="2" s="1"/>
  <c r="X1239" i="2"/>
  <c r="W1239" i="2"/>
  <c r="AE1244" i="2"/>
  <c r="AD1244" i="2"/>
  <c r="Y926" i="2"/>
  <c r="AC932" i="2"/>
  <c r="W937" i="2"/>
  <c r="AI937" i="2"/>
  <c r="AB938" i="2"/>
  <c r="AF940" i="2"/>
  <c r="AI941" i="2"/>
  <c r="AC946" i="2"/>
  <c r="X950" i="2"/>
  <c r="AE952" i="2"/>
  <c r="X955" i="2"/>
  <c r="AB959" i="2"/>
  <c r="X961" i="2"/>
  <c r="AB962" i="2"/>
  <c r="V964" i="2"/>
  <c r="AH964" i="2"/>
  <c r="X966" i="2"/>
  <c r="AD967" i="2"/>
  <c r="AF968" i="2"/>
  <c r="W969" i="2"/>
  <c r="Y972" i="2"/>
  <c r="AI978" i="2"/>
  <c r="AB979" i="2"/>
  <c r="AE980" i="2"/>
  <c r="AC983" i="2"/>
  <c r="AF985" i="2"/>
  <c r="W986" i="2"/>
  <c r="AI986" i="2"/>
  <c r="AB988" i="2"/>
  <c r="AI990" i="2"/>
  <c r="AD992" i="2"/>
  <c r="W993" i="2"/>
  <c r="AI993" i="2"/>
  <c r="AE996" i="2"/>
  <c r="AF1000" i="2"/>
  <c r="W1003" i="2"/>
  <c r="X1005" i="2"/>
  <c r="AF1009" i="2"/>
  <c r="AF1012" i="2"/>
  <c r="Z1013" i="2"/>
  <c r="AD1016" i="2"/>
  <c r="V1017" i="2"/>
  <c r="AH1017" i="2"/>
  <c r="Y1020" i="2"/>
  <c r="AA1021" i="2"/>
  <c r="AE1022" i="2"/>
  <c r="Y1023" i="2"/>
  <c r="AC1025" i="2"/>
  <c r="AF1027" i="2"/>
  <c r="AB1030" i="2"/>
  <c r="AG1034" i="2"/>
  <c r="AA1038" i="2"/>
  <c r="X1040" i="2"/>
  <c r="AB1041" i="2"/>
  <c r="AB1044" i="2"/>
  <c r="U1045" i="2"/>
  <c r="AG1045" i="2"/>
  <c r="AA1046" i="2"/>
  <c r="Z1049" i="2"/>
  <c r="AF1054" i="2"/>
  <c r="W1058" i="2"/>
  <c r="U1060" i="2"/>
  <c r="AG1060" i="2"/>
  <c r="V1061" i="2"/>
  <c r="AE1066" i="2"/>
  <c r="AD1068" i="2"/>
  <c r="V1069" i="2"/>
  <c r="AH1069" i="2"/>
  <c r="AD1070" i="2"/>
  <c r="AF1071" i="2"/>
  <c r="Z1073" i="2"/>
  <c r="U1075" i="2"/>
  <c r="AC1077" i="2"/>
  <c r="V1078" i="2"/>
  <c r="AF1082" i="2"/>
  <c r="Y1083" i="2"/>
  <c r="V1120" i="2"/>
  <c r="AH1120" i="2"/>
  <c r="AI1128" i="2"/>
  <c r="AA1129" i="2"/>
  <c r="AF1130" i="2"/>
  <c r="V1132" i="2"/>
  <c r="AH1132" i="2"/>
  <c r="AE1136" i="2"/>
  <c r="AC1143" i="2"/>
  <c r="U1144" i="2"/>
  <c r="AG1144" i="2"/>
  <c r="U1146" i="2"/>
  <c r="AG1146" i="2"/>
  <c r="X1157" i="2"/>
  <c r="Y1157" i="2"/>
  <c r="AD1158" i="2"/>
  <c r="AI1167" i="2"/>
  <c r="X1169" i="2"/>
  <c r="AE1182" i="2"/>
  <c r="X1185" i="2"/>
  <c r="X1195" i="2"/>
  <c r="AE1205" i="2"/>
  <c r="X993" i="2"/>
  <c r="Y998" i="2"/>
  <c r="AB999" i="2"/>
  <c r="X1003" i="2"/>
  <c r="Y1005" i="2"/>
  <c r="AA1006" i="2"/>
  <c r="AB1007" i="2"/>
  <c r="AG1009" i="2"/>
  <c r="AB1014" i="2"/>
  <c r="V1018" i="2"/>
  <c r="AI1019" i="2"/>
  <c r="AB1021" i="2"/>
  <c r="AF1022" i="2"/>
  <c r="Z1023" i="2"/>
  <c r="AE1026" i="2"/>
  <c r="AG1027" i="2"/>
  <c r="U1031" i="2"/>
  <c r="AG1031" i="2"/>
  <c r="Y1032" i="2"/>
  <c r="AC1033" i="2"/>
  <c r="AH1034" i="2"/>
  <c r="AB1036" i="2"/>
  <c r="AI1037" i="2"/>
  <c r="AF1039" i="2"/>
  <c r="Y1040" i="2"/>
  <c r="AC1041" i="2"/>
  <c r="AI1042" i="2"/>
  <c r="AH1045" i="2"/>
  <c r="U1048" i="2"/>
  <c r="AG1054" i="2"/>
  <c r="AF1057" i="2"/>
  <c r="X1058" i="2"/>
  <c r="Y1063" i="2"/>
  <c r="AC1064" i="2"/>
  <c r="U1071" i="2"/>
  <c r="AG1071" i="2"/>
  <c r="AB1081" i="2"/>
  <c r="U1085" i="2"/>
  <c r="AD1091" i="2"/>
  <c r="AE1093" i="2"/>
  <c r="Y1128" i="2"/>
  <c r="U1130" i="2"/>
  <c r="AG1130" i="2"/>
  <c r="W1132" i="2"/>
  <c r="AI1132" i="2"/>
  <c r="U1134" i="2"/>
  <c r="AG1134" i="2"/>
  <c r="Z1181" i="2"/>
  <c r="AF1234" i="2"/>
  <c r="AK1235" i="2"/>
  <c r="AB1188" i="2"/>
  <c r="AC1188" i="2"/>
  <c r="AE1220" i="2"/>
  <c r="AF1220" i="2"/>
  <c r="AH1327" i="2"/>
  <c r="AI1327" i="2"/>
  <c r="AB1083" i="2"/>
  <c r="V1093" i="2"/>
  <c r="AH1093" i="2"/>
  <c r="W1096" i="2"/>
  <c r="AI1096" i="2"/>
  <c r="AD1097" i="2"/>
  <c r="U1098" i="2"/>
  <c r="AG1098" i="2"/>
  <c r="AA1102" i="2"/>
  <c r="AB1104" i="2"/>
  <c r="AE1105" i="2"/>
  <c r="V1106" i="2"/>
  <c r="AH1106" i="2"/>
  <c r="X1111" i="2"/>
  <c r="AB1112" i="2"/>
  <c r="U1114" i="2"/>
  <c r="AG1119" i="2"/>
  <c r="Y1120" i="2"/>
  <c r="W1122" i="2"/>
  <c r="AI1122" i="2"/>
  <c r="AC1123" i="2"/>
  <c r="AG1124" i="2"/>
  <c r="AF1126" i="2"/>
  <c r="AE1126" i="2"/>
  <c r="Y1132" i="2"/>
  <c r="AE1133" i="2"/>
  <c r="AC1141" i="2"/>
  <c r="AD1145" i="2"/>
  <c r="U1148" i="2"/>
  <c r="AE1150" i="2"/>
  <c r="X1151" i="2"/>
  <c r="AD1152" i="2"/>
  <c r="W1153" i="2"/>
  <c r="AI1153" i="2"/>
  <c r="AF1158" i="2"/>
  <c r="AE1160" i="2"/>
  <c r="AF1163" i="2"/>
  <c r="AF1168" i="2"/>
  <c r="AE1179" i="2"/>
  <c r="Y1180" i="2"/>
  <c r="V1184" i="2"/>
  <c r="AH1184" i="2"/>
  <c r="AE1186" i="2"/>
  <c r="AB1193" i="2"/>
  <c r="AK1193" i="2" s="1"/>
  <c r="U1194" i="2"/>
  <c r="AG1194" i="2"/>
  <c r="AD1198" i="2"/>
  <c r="X1201" i="2"/>
  <c r="Y1209" i="2"/>
  <c r="V1211" i="2"/>
  <c r="AH1211" i="2"/>
  <c r="AD1217" i="2"/>
  <c r="AC1219" i="2"/>
  <c r="AB1229" i="2"/>
  <c r="AK1229" i="2" s="1"/>
  <c r="AB1254" i="2"/>
  <c r="AF1256" i="2"/>
  <c r="AC1260" i="2"/>
  <c r="Y1263" i="2"/>
  <c r="AF1264" i="2"/>
  <c r="Y1297" i="2"/>
  <c r="U1305" i="2"/>
  <c r="AG1305" i="2"/>
  <c r="Y1307" i="2"/>
  <c r="AD1321" i="2"/>
  <c r="AE1321" i="2"/>
  <c r="X1146" i="2"/>
  <c r="W1222" i="2"/>
  <c r="V1222" i="2"/>
  <c r="V1114" i="2"/>
  <c r="AE1231" i="2"/>
  <c r="AD1231" i="2"/>
  <c r="AG1264" i="2"/>
  <c r="AH1264" i="2"/>
  <c r="AI1053" i="2"/>
  <c r="X1064" i="2"/>
  <c r="AI1065" i="2"/>
  <c r="AE1200" i="2"/>
  <c r="Z1240" i="2"/>
  <c r="X1247" i="2"/>
  <c r="AI1247" i="2"/>
  <c r="AB1033" i="2"/>
  <c r="AF1034" i="2"/>
  <c r="AI1035" i="2"/>
  <c r="Z1036" i="2"/>
  <c r="AF1037" i="2"/>
  <c r="X1041" i="2"/>
  <c r="AD1042" i="2"/>
  <c r="W1044" i="2"/>
  <c r="X1048" i="2"/>
  <c r="AC1049" i="2"/>
  <c r="W1052" i="2"/>
  <c r="AI1052" i="2"/>
  <c r="AC1054" i="2"/>
  <c r="U1056" i="2"/>
  <c r="U1059" i="2"/>
  <c r="X1060" i="2"/>
  <c r="AA1061" i="2"/>
  <c r="AC1062" i="2"/>
  <c r="W1063" i="2"/>
  <c r="AE1071" i="2"/>
  <c r="AA1075" i="2"/>
  <c r="AC1076" i="2"/>
  <c r="AE1078" i="2"/>
  <c r="W1081" i="2"/>
  <c r="W1087" i="2"/>
  <c r="AI1087" i="2"/>
  <c r="W1088" i="2"/>
  <c r="AB1089" i="2"/>
  <c r="AE1094" i="2"/>
  <c r="AH1095" i="2"/>
  <c r="AD1099" i="2"/>
  <c r="AE1102" i="2"/>
  <c r="AH1107" i="2"/>
  <c r="X1108" i="2"/>
  <c r="AB1109" i="2"/>
  <c r="AE1115" i="2"/>
  <c r="Y1116" i="2"/>
  <c r="X1119" i="2"/>
  <c r="Y1119" i="2"/>
  <c r="AH1121" i="2"/>
  <c r="Z1122" i="2"/>
  <c r="U1123" i="2"/>
  <c r="AF1125" i="2"/>
  <c r="AC1130" i="2"/>
  <c r="AB1130" i="2"/>
  <c r="X1131" i="2"/>
  <c r="AB1137" i="2"/>
  <c r="AF1138" i="2"/>
  <c r="AC1144" i="2"/>
  <c r="W1150" i="2"/>
  <c r="AA1156" i="2"/>
  <c r="X1158" i="2"/>
  <c r="X1161" i="2"/>
  <c r="AD1162" i="2"/>
  <c r="AF1176" i="2"/>
  <c r="U1178" i="2"/>
  <c r="AG1178" i="2"/>
  <c r="W1181" i="2"/>
  <c r="AI1181" i="2"/>
  <c r="AB1182" i="2"/>
  <c r="W1186" i="2"/>
  <c r="AI1186" i="2"/>
  <c r="U1191" i="2"/>
  <c r="Z1196" i="2"/>
  <c r="AD1197" i="2"/>
  <c r="U1200" i="2"/>
  <c r="AG1200" i="2"/>
  <c r="AB1205" i="2"/>
  <c r="AI1206" i="2"/>
  <c r="V1208" i="2"/>
  <c r="AH1208" i="2"/>
  <c r="AE1214" i="2"/>
  <c r="AA1240" i="2"/>
  <c r="Z1282" i="2"/>
  <c r="AK1282" i="2" s="1"/>
  <c r="AC1045" i="2"/>
  <c r="AF1046" i="2"/>
  <c r="AF1050" i="2"/>
  <c r="AE1055" i="2"/>
  <c r="AB1058" i="2"/>
  <c r="AB1066" i="2"/>
  <c r="AK1066" i="2" s="1"/>
  <c r="AB1067" i="2"/>
  <c r="AK1067" i="2" s="1"/>
  <c r="AH1068" i="2"/>
  <c r="Z1069" i="2"/>
  <c r="AK1069" i="2" s="1"/>
  <c r="AF1078" i="2"/>
  <c r="X1079" i="2"/>
  <c r="AC1080" i="2"/>
  <c r="U1092" i="2"/>
  <c r="AG1092" i="2"/>
  <c r="AF1094" i="2"/>
  <c r="AF1102" i="2"/>
  <c r="AI1107" i="2"/>
  <c r="Y1108" i="2"/>
  <c r="V1110" i="2"/>
  <c r="AH1110" i="2"/>
  <c r="AD1120" i="2"/>
  <c r="AG1125" i="2"/>
  <c r="Y1126" i="2"/>
  <c r="X1135" i="2"/>
  <c r="AC1137" i="2"/>
  <c r="U1138" i="2"/>
  <c r="AD1144" i="2"/>
  <c r="AI1145" i="2"/>
  <c r="AD1149" i="2"/>
  <c r="X1150" i="2"/>
  <c r="AI1154" i="2"/>
  <c r="Z1155" i="2"/>
  <c r="U1167" i="2"/>
  <c r="AG1167" i="2"/>
  <c r="AG1171" i="2"/>
  <c r="U1172" i="2"/>
  <c r="U1176" i="2"/>
  <c r="AG1176" i="2"/>
  <c r="X1181" i="2"/>
  <c r="AC1182" i="2"/>
  <c r="AE1183" i="2"/>
  <c r="AA1184" i="2"/>
  <c r="AB1190" i="2"/>
  <c r="AK1190" i="2" s="1"/>
  <c r="V1191" i="2"/>
  <c r="AH1191" i="2"/>
  <c r="U1193" i="2"/>
  <c r="V1200" i="2"/>
  <c r="AH1200" i="2"/>
  <c r="AH1201" i="2"/>
  <c r="AC1205" i="2"/>
  <c r="Y1206" i="2"/>
  <c r="AF1214" i="2"/>
  <c r="W1223" i="2"/>
  <c r="X1225" i="2"/>
  <c r="W1247" i="2"/>
  <c r="AA1282" i="2"/>
  <c r="Z1295" i="2"/>
  <c r="AA1295" i="2"/>
  <c r="AH1324" i="2"/>
  <c r="AG1324" i="2"/>
  <c r="X1145" i="2"/>
  <c r="AA1148" i="2"/>
  <c r="AE1149" i="2"/>
  <c r="AC1153" i="2"/>
  <c r="AA1155" i="2"/>
  <c r="U1159" i="2"/>
  <c r="Z1161" i="2"/>
  <c r="AF1162" i="2"/>
  <c r="AA1166" i="2"/>
  <c r="V1167" i="2"/>
  <c r="Y1168" i="2"/>
  <c r="AH1171" i="2"/>
  <c r="AA1175" i="2"/>
  <c r="W1178" i="2"/>
  <c r="AC1190" i="2"/>
  <c r="AI1191" i="2"/>
  <c r="AB1192" i="2"/>
  <c r="AC1192" i="2"/>
  <c r="AI1195" i="2"/>
  <c r="AB1196" i="2"/>
  <c r="AF1197" i="2"/>
  <c r="AD1205" i="2"/>
  <c r="X1208" i="2"/>
  <c r="AB1213" i="2"/>
  <c r="U1214" i="2"/>
  <c r="AG1214" i="2"/>
  <c r="AH1281" i="2"/>
  <c r="Y1270" i="2"/>
  <c r="Z1270" i="2"/>
  <c r="W1158" i="2"/>
  <c r="Z1159" i="2"/>
  <c r="AI1162" i="2"/>
  <c r="Y1163" i="2"/>
  <c r="X1168" i="2"/>
  <c r="U1170" i="2"/>
  <c r="AG1170" i="2"/>
  <c r="AA1171" i="2"/>
  <c r="Z1173" i="2"/>
  <c r="AB1174" i="2"/>
  <c r="W1180" i="2"/>
  <c r="U1182" i="2"/>
  <c r="AB1187" i="2"/>
  <c r="AD1188" i="2"/>
  <c r="U1189" i="2"/>
  <c r="AB1201" i="2"/>
  <c r="AK1201" i="2" s="1"/>
  <c r="V1205" i="2"/>
  <c r="AF1207" i="2"/>
  <c r="AD1210" i="2"/>
  <c r="AI1211" i="2"/>
  <c r="AF1216" i="2"/>
  <c r="AE1226" i="2"/>
  <c r="X1227" i="2"/>
  <c r="AD1233" i="2"/>
  <c r="X1234" i="2"/>
  <c r="AH1252" i="2"/>
  <c r="AG1252" i="2"/>
  <c r="X1258" i="2"/>
  <c r="W1262" i="2"/>
  <c r="AI1262" i="2"/>
  <c r="AH1267" i="2"/>
  <c r="AA1278" i="2"/>
  <c r="U1285" i="2"/>
  <c r="AG1285" i="2"/>
  <c r="AA1300" i="2"/>
  <c r="X1303" i="2"/>
  <c r="U1306" i="2"/>
  <c r="AG1306" i="2"/>
  <c r="Z1310" i="2"/>
  <c r="U1319" i="2"/>
  <c r="AG1319" i="2"/>
  <c r="AA1352" i="2"/>
  <c r="AH1359" i="2"/>
  <c r="AI1197" i="2"/>
  <c r="AB1225" i="2"/>
  <c r="AK1225" i="2" s="1"/>
  <c r="AC1259" i="2"/>
  <c r="AI1269" i="2"/>
  <c r="AH1269" i="2"/>
  <c r="AB1274" i="2"/>
  <c r="AB1278" i="2"/>
  <c r="AC1278" i="2"/>
  <c r="AK1328" i="2"/>
  <c r="Y1078" i="2"/>
  <c r="V1084" i="2"/>
  <c r="AH1084" i="2"/>
  <c r="W1085" i="2"/>
  <c r="AI1085" i="2"/>
  <c r="AB1094" i="2"/>
  <c r="AD1100" i="2"/>
  <c r="AF1101" i="2"/>
  <c r="AC1103" i="2"/>
  <c r="X1106" i="2"/>
  <c r="AE1107" i="2"/>
  <c r="AB1111" i="2"/>
  <c r="U1112" i="2"/>
  <c r="AG1112" i="2"/>
  <c r="W1113" i="2"/>
  <c r="AD1116" i="2"/>
  <c r="AH1117" i="2"/>
  <c r="W1118" i="2"/>
  <c r="AI1118" i="2"/>
  <c r="AB1121" i="2"/>
  <c r="AE1121" i="2"/>
  <c r="AD1122" i="2"/>
  <c r="AD1128" i="2"/>
  <c r="AH1129" i="2"/>
  <c r="AB1131" i="2"/>
  <c r="AI1137" i="2"/>
  <c r="AF1141" i="2"/>
  <c r="V1142" i="2"/>
  <c r="AI1142" i="2"/>
  <c r="AH1144" i="2"/>
  <c r="Z1145" i="2"/>
  <c r="AB1146" i="2"/>
  <c r="AA1150" i="2"/>
  <c r="AA1151" i="2"/>
  <c r="AG1160" i="2"/>
  <c r="AF1161" i="2"/>
  <c r="Z1162" i="2"/>
  <c r="AF1165" i="2"/>
  <c r="W1166" i="2"/>
  <c r="AI1166" i="2"/>
  <c r="AA1167" i="2"/>
  <c r="AC1172" i="2"/>
  <c r="AD1172" i="2"/>
  <c r="AI1179" i="2"/>
  <c r="AF1185" i="2"/>
  <c r="U1188" i="2"/>
  <c r="AG1188" i="2"/>
  <c r="AI1189" i="2"/>
  <c r="AB1191" i="2"/>
  <c r="AD1195" i="2"/>
  <c r="U1196" i="2"/>
  <c r="U1202" i="2"/>
  <c r="AG1202" i="2"/>
  <c r="AD1206" i="2"/>
  <c r="AA1208" i="2"/>
  <c r="AE1218" i="2"/>
  <c r="AD1223" i="2"/>
  <c r="X1224" i="2"/>
  <c r="AG1233" i="2"/>
  <c r="W1238" i="2"/>
  <c r="AI1238" i="2"/>
  <c r="Y1252" i="2"/>
  <c r="AE1255" i="2"/>
  <c r="AD1278" i="2"/>
  <c r="AF1280" i="2"/>
  <c r="V1288" i="2"/>
  <c r="AH1288" i="2"/>
  <c r="Y1317" i="2"/>
  <c r="AB1318" i="2"/>
  <c r="V1322" i="2"/>
  <c r="AH1322" i="2"/>
  <c r="Y1347" i="2"/>
  <c r="W1351" i="2"/>
  <c r="V1351" i="2"/>
  <c r="AI1351" i="2"/>
  <c r="AH1351" i="2"/>
  <c r="AA1110" i="2"/>
  <c r="X1170" i="2"/>
  <c r="Z1175" i="2"/>
  <c r="AA1205" i="2"/>
  <c r="V1269" i="2"/>
  <c r="X1294" i="2"/>
  <c r="W1309" i="2"/>
  <c r="V1309" i="2"/>
  <c r="AA1078" i="2"/>
  <c r="AC1079" i="2"/>
  <c r="U1080" i="2"/>
  <c r="Z1085" i="2"/>
  <c r="AC1086" i="2"/>
  <c r="AI1089" i="2"/>
  <c r="AE1090" i="2"/>
  <c r="W1091" i="2"/>
  <c r="AI1091" i="2"/>
  <c r="AA1092" i="2"/>
  <c r="AC1093" i="2"/>
  <c r="AD1096" i="2"/>
  <c r="AB1099" i="2"/>
  <c r="AF1100" i="2"/>
  <c r="AH1101" i="2"/>
  <c r="Y1102" i="2"/>
  <c r="X1104" i="2"/>
  <c r="Z1105" i="2"/>
  <c r="AK1105" i="2" s="1"/>
  <c r="U1108" i="2"/>
  <c r="AB1110" i="2"/>
  <c r="AK1110" i="2" s="1"/>
  <c r="Y1113" i="2"/>
  <c r="AC1115" i="2"/>
  <c r="AA1124" i="2"/>
  <c r="AC1125" i="2"/>
  <c r="AC1127" i="2"/>
  <c r="AF1132" i="2"/>
  <c r="U1135" i="2"/>
  <c r="AG1135" i="2"/>
  <c r="Y1137" i="2"/>
  <c r="AA1138" i="2"/>
  <c r="AD1139" i="2"/>
  <c r="V1140" i="2"/>
  <c r="AH1141" i="2"/>
  <c r="Y1142" i="2"/>
  <c r="Y1144" i="2"/>
  <c r="AB1145" i="2"/>
  <c r="AC1146" i="2"/>
  <c r="AA1149" i="2"/>
  <c r="AC1150" i="2"/>
  <c r="AD1151" i="2"/>
  <c r="AI1152" i="2"/>
  <c r="AA1153" i="2"/>
  <c r="U1154" i="2"/>
  <c r="AG1154" i="2"/>
  <c r="Y1156" i="2"/>
  <c r="AB1158" i="2"/>
  <c r="AD1163" i="2"/>
  <c r="AF1164" i="2"/>
  <c r="AH1165" i="2"/>
  <c r="Y1166" i="2"/>
  <c r="AB1167" i="2"/>
  <c r="AF1171" i="2"/>
  <c r="AF1172" i="2"/>
  <c r="AE1173" i="2"/>
  <c r="AD1176" i="2"/>
  <c r="U1177" i="2"/>
  <c r="U1181" i="2"/>
  <c r="AG1181" i="2"/>
  <c r="Z1183" i="2"/>
  <c r="AE1184" i="2"/>
  <c r="AA1186" i="2"/>
  <c r="W1188" i="2"/>
  <c r="AI1188" i="2"/>
  <c r="AC1191" i="2"/>
  <c r="U1192" i="2"/>
  <c r="AG1192" i="2"/>
  <c r="AF1195" i="2"/>
  <c r="W1196" i="2"/>
  <c r="AC1200" i="2"/>
  <c r="U1201" i="2"/>
  <c r="AC1214" i="2"/>
  <c r="U1215" i="2"/>
  <c r="AB1220" i="2"/>
  <c r="X1226" i="2"/>
  <c r="AC1232" i="2"/>
  <c r="AH1233" i="2"/>
  <c r="AC1237" i="2"/>
  <c r="AC1243" i="2"/>
  <c r="AF1249" i="2"/>
  <c r="U1255" i="2"/>
  <c r="AG1255" i="2"/>
  <c r="AG1268" i="2"/>
  <c r="Z1269" i="2"/>
  <c r="AD1272" i="2"/>
  <c r="AE1276" i="2"/>
  <c r="V1280" i="2"/>
  <c r="AH1280" i="2"/>
  <c r="AE1284" i="2"/>
  <c r="AF1286" i="2"/>
  <c r="AE1293" i="2"/>
  <c r="AH1302" i="2"/>
  <c r="AG1302" i="2"/>
  <c r="AI1309" i="2"/>
  <c r="AF1316" i="2"/>
  <c r="W1322" i="2"/>
  <c r="AI1322" i="2"/>
  <c r="AE1344" i="2"/>
  <c r="Y1084" i="2"/>
  <c r="AF1090" i="2"/>
  <c r="AD1093" i="2"/>
  <c r="AE1096" i="2"/>
  <c r="Z1097" i="2"/>
  <c r="AC1099" i="2"/>
  <c r="AA1106" i="2"/>
  <c r="Z1109" i="2"/>
  <c r="AC1110" i="2"/>
  <c r="Z1113" i="2"/>
  <c r="AD1115" i="2"/>
  <c r="U1116" i="2"/>
  <c r="Z1118" i="2"/>
  <c r="AK1118" i="2" s="1"/>
  <c r="AD1119" i="2"/>
  <c r="U1122" i="2"/>
  <c r="AG1122" i="2"/>
  <c r="X1123" i="2"/>
  <c r="AD1127" i="2"/>
  <c r="AE1131" i="2"/>
  <c r="U1132" i="2"/>
  <c r="AG1132" i="2"/>
  <c r="AB1134" i="2"/>
  <c r="V1135" i="2"/>
  <c r="Z1137" i="2"/>
  <c r="AB1138" i="2"/>
  <c r="AE1146" i="2"/>
  <c r="AE1151" i="2"/>
  <c r="V1154" i="2"/>
  <c r="AH1154" i="2"/>
  <c r="Z1156" i="2"/>
  <c r="AC1158" i="2"/>
  <c r="W1161" i="2"/>
  <c r="AI1161" i="2"/>
  <c r="AC1162" i="2"/>
  <c r="AB1162" i="2"/>
  <c r="Z1166" i="2"/>
  <c r="AK1166" i="2" s="1"/>
  <c r="AE1167" i="2"/>
  <c r="AD1168" i="2"/>
  <c r="AF1173" i="2"/>
  <c r="AE1176" i="2"/>
  <c r="AD1180" i="2"/>
  <c r="AH1187" i="2"/>
  <c r="AA1190" i="2"/>
  <c r="AC1194" i="2"/>
  <c r="U1195" i="2"/>
  <c r="AG1195" i="2"/>
  <c r="X1196" i="2"/>
  <c r="V1201" i="2"/>
  <c r="AA1204" i="2"/>
  <c r="V1215" i="2"/>
  <c r="AH1215" i="2"/>
  <c r="Z1216" i="2"/>
  <c r="AH1218" i="2"/>
  <c r="AC1220" i="2"/>
  <c r="W1221" i="2"/>
  <c r="AI1228" i="2"/>
  <c r="W1230" i="2"/>
  <c r="AE1232" i="2"/>
  <c r="AA1236" i="2"/>
  <c r="AD1237" i="2"/>
  <c r="AC1241" i="2"/>
  <c r="AI1251" i="2"/>
  <c r="Y1257" i="2"/>
  <c r="V1261" i="2"/>
  <c r="AH1261" i="2"/>
  <c r="AF1266" i="2"/>
  <c r="V1268" i="2"/>
  <c r="AH1268" i="2"/>
  <c r="AG1275" i="2"/>
  <c r="AF1276" i="2"/>
  <c r="U1286" i="2"/>
  <c r="AG1286" i="2"/>
  <c r="AI1302" i="2"/>
  <c r="AE1305" i="2"/>
  <c r="U1327" i="2"/>
  <c r="V1327" i="2"/>
  <c r="AD1336" i="2"/>
  <c r="AE1336" i="2"/>
  <c r="AI1231" i="2"/>
  <c r="W1235" i="2"/>
  <c r="AI1235" i="2"/>
  <c r="AB1237" i="2"/>
  <c r="AK1237" i="2" s="1"/>
  <c r="AI1239" i="2"/>
  <c r="AB1241" i="2"/>
  <c r="W1242" i="2"/>
  <c r="AA1243" i="2"/>
  <c r="AB1246" i="2"/>
  <c r="X1253" i="2"/>
  <c r="AA1254" i="2"/>
  <c r="Z1254" i="2"/>
  <c r="U1262" i="2"/>
  <c r="AG1262" i="2"/>
  <c r="AE1264" i="2"/>
  <c r="AF1273" i="2"/>
  <c r="AD1276" i="2"/>
  <c r="Z1278" i="2"/>
  <c r="AD1279" i="2"/>
  <c r="Y1282" i="2"/>
  <c r="AF1285" i="2"/>
  <c r="AF1288" i="2"/>
  <c r="W1290" i="2"/>
  <c r="AE1298" i="2"/>
  <c r="V1299" i="2"/>
  <c r="AH1299" i="2"/>
  <c r="Y1300" i="2"/>
  <c r="AA1304" i="2"/>
  <c r="AF1306" i="2"/>
  <c r="AE1316" i="2"/>
  <c r="Z1318" i="2"/>
  <c r="AC1321" i="2"/>
  <c r="U1322" i="2"/>
  <c r="AG1322" i="2"/>
  <c r="X1345" i="2"/>
  <c r="AB1348" i="2"/>
  <c r="Z1352" i="2"/>
  <c r="Z1356" i="2"/>
  <c r="X1361" i="2"/>
  <c r="AB1377" i="2"/>
  <c r="AK1377" i="2" s="1"/>
  <c r="AF1237" i="2"/>
  <c r="AA1239" i="2"/>
  <c r="AA1245" i="2"/>
  <c r="AA1248" i="2"/>
  <c r="V1250" i="2"/>
  <c r="AH1250" i="2"/>
  <c r="Z1251" i="2"/>
  <c r="AB1253" i="2"/>
  <c r="W1255" i="2"/>
  <c r="X1256" i="2"/>
  <c r="AE1259" i="2"/>
  <c r="U1260" i="2"/>
  <c r="AG1260" i="2"/>
  <c r="AB1263" i="2"/>
  <c r="AI1264" i="2"/>
  <c r="AD1271" i="2"/>
  <c r="U1272" i="2"/>
  <c r="AG1272" i="2"/>
  <c r="X1273" i="2"/>
  <c r="AC1274" i="2"/>
  <c r="AG1276" i="2"/>
  <c r="U1284" i="2"/>
  <c r="AG1284" i="2"/>
  <c r="AA1290" i="2"/>
  <c r="AC1291" i="2"/>
  <c r="AD1295" i="2"/>
  <c r="AC1297" i="2"/>
  <c r="AC1300" i="2"/>
  <c r="V1301" i="2"/>
  <c r="AH1301" i="2"/>
  <c r="AI1305" i="2"/>
  <c r="X1306" i="2"/>
  <c r="AB1307" i="2"/>
  <c r="AB1310" i="2"/>
  <c r="U1311" i="2"/>
  <c r="AG1311" i="2"/>
  <c r="AA1312" i="2"/>
  <c r="AD1313" i="2"/>
  <c r="Z1314" i="2"/>
  <c r="AK1314" i="2" s="1"/>
  <c r="V1316" i="2"/>
  <c r="AI1316" i="2"/>
  <c r="AA1317" i="2"/>
  <c r="AD1318" i="2"/>
  <c r="AA1320" i="2"/>
  <c r="Y1322" i="2"/>
  <c r="W1324" i="2"/>
  <c r="AI1324" i="2"/>
  <c r="AB1326" i="2"/>
  <c r="AE1329" i="2"/>
  <c r="W1342" i="2"/>
  <c r="AI1342" i="2"/>
  <c r="AH1342" i="2"/>
  <c r="AG1346" i="2"/>
  <c r="AF1346" i="2"/>
  <c r="W1355" i="2"/>
  <c r="AI1355" i="2"/>
  <c r="V1394" i="2"/>
  <c r="AH1394" i="2"/>
  <c r="Z1299" i="2"/>
  <c r="AH1367" i="2"/>
  <c r="AG1367" i="2"/>
  <c r="AG1237" i="2"/>
  <c r="W1250" i="2"/>
  <c r="AI1250" i="2"/>
  <c r="AF1259" i="2"/>
  <c r="AE1270" i="2"/>
  <c r="AH1290" i="2"/>
  <c r="V1292" i="2"/>
  <c r="AD1297" i="2"/>
  <c r="AA1306" i="2"/>
  <c r="AC1307" i="2"/>
  <c r="W1316" i="2"/>
  <c r="AC1328" i="2"/>
  <c r="AE1350" i="2"/>
  <c r="AD1350" i="2"/>
  <c r="AC1372" i="2"/>
  <c r="AB1372" i="2"/>
  <c r="Y1396" i="2"/>
  <c r="AH1210" i="2"/>
  <c r="Y1215" i="2"/>
  <c r="AI1223" i="2"/>
  <c r="AA1224" i="2"/>
  <c r="AI1226" i="2"/>
  <c r="AI1233" i="2"/>
  <c r="Z1234" i="2"/>
  <c r="U1236" i="2"/>
  <c r="AG1236" i="2"/>
  <c r="AF1240" i="2"/>
  <c r="W1241" i="2"/>
  <c r="AI1241" i="2"/>
  <c r="AD1242" i="2"/>
  <c r="AH1243" i="2"/>
  <c r="AD1245" i="2"/>
  <c r="W1246" i="2"/>
  <c r="AI1246" i="2"/>
  <c r="AC1247" i="2"/>
  <c r="W1249" i="2"/>
  <c r="AI1249" i="2"/>
  <c r="X1250" i="2"/>
  <c r="AA1252" i="2"/>
  <c r="AB1252" i="2"/>
  <c r="AK1252" i="2" s="1"/>
  <c r="AE1253" i="2"/>
  <c r="AH1254" i="2"/>
  <c r="Z1255" i="2"/>
  <c r="AD1257" i="2"/>
  <c r="AD1258" i="2"/>
  <c r="AA1261" i="2"/>
  <c r="AB1262" i="2"/>
  <c r="AC1265" i="2"/>
  <c r="AI1266" i="2"/>
  <c r="AA1267" i="2"/>
  <c r="AB1268" i="2"/>
  <c r="AK1268" i="2" s="1"/>
  <c r="AC1269" i="2"/>
  <c r="AG1271" i="2"/>
  <c r="X1272" i="2"/>
  <c r="AA1273" i="2"/>
  <c r="U1278" i="2"/>
  <c r="AG1278" i="2"/>
  <c r="AA1280" i="2"/>
  <c r="AC1281" i="2"/>
  <c r="AF1282" i="2"/>
  <c r="U1283" i="2"/>
  <c r="Z1286" i="2"/>
  <c r="AF1291" i="2"/>
  <c r="U1295" i="2"/>
  <c r="AG1295" i="2"/>
  <c r="AC1299" i="2"/>
  <c r="AE1299" i="2"/>
  <c r="AB1302" i="2"/>
  <c r="AD1307" i="2"/>
  <c r="X1311" i="2"/>
  <c r="AI1311" i="2"/>
  <c r="AD1312" i="2"/>
  <c r="V1313" i="2"/>
  <c r="AH1313" i="2"/>
  <c r="Z1316" i="2"/>
  <c r="AK1316" i="2" s="1"/>
  <c r="AD1317" i="2"/>
  <c r="U1318" i="2"/>
  <c r="AG1318" i="2"/>
  <c r="AD1320" i="2"/>
  <c r="AH1323" i="2"/>
  <c r="AG1325" i="2"/>
  <c r="AA1327" i="2"/>
  <c r="AF1335" i="2"/>
  <c r="V1336" i="2"/>
  <c r="Y1338" i="2"/>
  <c r="X1346" i="2"/>
  <c r="W1346" i="2"/>
  <c r="AF1350" i="2"/>
  <c r="AD1354" i="2"/>
  <c r="AD1363" i="2"/>
  <c r="Y1250" i="2"/>
  <c r="Y1308" i="2"/>
  <c r="AF1345" i="2"/>
  <c r="AE1345" i="2"/>
  <c r="AE1358" i="2"/>
  <c r="AF1358" i="2"/>
  <c r="AA1206" i="2"/>
  <c r="AD1208" i="2"/>
  <c r="X1210" i="2"/>
  <c r="AC1211" i="2"/>
  <c r="W1213" i="2"/>
  <c r="AI1213" i="2"/>
  <c r="U1219" i="2"/>
  <c r="AG1219" i="2"/>
  <c r="AC1221" i="2"/>
  <c r="AE1222" i="2"/>
  <c r="AC1224" i="2"/>
  <c r="AH1225" i="2"/>
  <c r="AB1227" i="2"/>
  <c r="AC1227" i="2"/>
  <c r="X1229" i="2"/>
  <c r="AC1230" i="2"/>
  <c r="W1232" i="2"/>
  <c r="AH1232" i="2"/>
  <c r="Z1233" i="2"/>
  <c r="AK1233" i="2" s="1"/>
  <c r="AF1239" i="2"/>
  <c r="AG1240" i="2"/>
  <c r="Y1241" i="2"/>
  <c r="Y1249" i="2"/>
  <c r="AE1251" i="2"/>
  <c r="AI1254" i="2"/>
  <c r="AB1255" i="2"/>
  <c r="AF1257" i="2"/>
  <c r="AE1258" i="2"/>
  <c r="X1259" i="2"/>
  <c r="AI1259" i="2"/>
  <c r="V1263" i="2"/>
  <c r="AH1263" i="2"/>
  <c r="AD1265" i="2"/>
  <c r="AC1267" i="2"/>
  <c r="AF1270" i="2"/>
  <c r="Z1275" i="2"/>
  <c r="AH1276" i="2"/>
  <c r="AB1286" i="2"/>
  <c r="AB1287" i="2"/>
  <c r="AK1287" i="2" s="1"/>
  <c r="AC1287" i="2"/>
  <c r="AC1288" i="2"/>
  <c r="AH1291" i="2"/>
  <c r="W1292" i="2"/>
  <c r="AB1296" i="2"/>
  <c r="V1297" i="2"/>
  <c r="AH1297" i="2"/>
  <c r="AD1302" i="2"/>
  <c r="AF1303" i="2"/>
  <c r="X1304" i="2"/>
  <c r="AC1305" i="2"/>
  <c r="AC1306" i="2"/>
  <c r="U1307" i="2"/>
  <c r="Z1311" i="2"/>
  <c r="AK1311" i="2" s="1"/>
  <c r="AF1312" i="2"/>
  <c r="AI1315" i="2"/>
  <c r="W1318" i="2"/>
  <c r="AI1318" i="2"/>
  <c r="AD1322" i="2"/>
  <c r="AI1323" i="2"/>
  <c r="AE1325" i="2"/>
  <c r="U1326" i="2"/>
  <c r="AG1326" i="2"/>
  <c r="U1333" i="2"/>
  <c r="AA1334" i="2"/>
  <c r="U1341" i="2"/>
  <c r="AG1341" i="2"/>
  <c r="AC1349" i="2"/>
  <c r="U1358" i="2"/>
  <c r="AG1358" i="2"/>
  <c r="Z1246" i="2"/>
  <c r="AA1249" i="2"/>
  <c r="AH1251" i="2"/>
  <c r="AB1260" i="2"/>
  <c r="Y1279" i="2"/>
  <c r="AE1288" i="2"/>
  <c r="AA1321" i="2"/>
  <c r="AE1322" i="2"/>
  <c r="Y1323" i="2"/>
  <c r="AA1329" i="2"/>
  <c r="V1335" i="2"/>
  <c r="W1335" i="2"/>
  <c r="V1337" i="2"/>
  <c r="AH1337" i="2"/>
  <c r="AB1338" i="2"/>
  <c r="V1341" i="2"/>
  <c r="AE1374" i="2"/>
  <c r="AD1374" i="2"/>
  <c r="AE1383" i="2"/>
  <c r="Y1205" i="2"/>
  <c r="AE1207" i="2"/>
  <c r="AE1211" i="2"/>
  <c r="AF1212" i="2"/>
  <c r="AA1214" i="2"/>
  <c r="AD1216" i="2"/>
  <c r="AI1219" i="2"/>
  <c r="AH1222" i="2"/>
  <c r="AB1226" i="2"/>
  <c r="AE1227" i="2"/>
  <c r="Y1232" i="2"/>
  <c r="AD1234" i="2"/>
  <c r="AF1238" i="2"/>
  <c r="V1239" i="2"/>
  <c r="AH1239" i="2"/>
  <c r="AG1247" i="2"/>
  <c r="AC1250" i="2"/>
  <c r="AF1252" i="2"/>
  <c r="W1253" i="2"/>
  <c r="AD1255" i="2"/>
  <c r="AE1256" i="2"/>
  <c r="V1258" i="2"/>
  <c r="AE1261" i="2"/>
  <c r="AG1265" i="2"/>
  <c r="AA1266" i="2"/>
  <c r="U1269" i="2"/>
  <c r="AG1269" i="2"/>
  <c r="AB1272" i="2"/>
  <c r="X1274" i="2"/>
  <c r="Y1278" i="2"/>
  <c r="AC1279" i="2"/>
  <c r="Y1283" i="2"/>
  <c r="AF1289" i="2"/>
  <c r="AB1292" i="2"/>
  <c r="AD1293" i="2"/>
  <c r="V1294" i="2"/>
  <c r="AD1296" i="2"/>
  <c r="X1297" i="2"/>
  <c r="AG1299" i="2"/>
  <c r="AB1301" i="2"/>
  <c r="AK1301" i="2" s="1"/>
  <c r="AG1303" i="2"/>
  <c r="Z1304" i="2"/>
  <c r="AD1305" i="2"/>
  <c r="AE1306" i="2"/>
  <c r="W1307" i="2"/>
  <c r="W1310" i="2"/>
  <c r="AG1312" i="2"/>
  <c r="W1315" i="2"/>
  <c r="AE1319" i="2"/>
  <c r="AB1321" i="2"/>
  <c r="AF1322" i="2"/>
  <c r="AC1357" i="2"/>
  <c r="AF1366" i="2"/>
  <c r="AA1377" i="2"/>
  <c r="AB1389" i="2"/>
  <c r="X1391" i="2"/>
  <c r="AI1395" i="2"/>
  <c r="U1399" i="2"/>
  <c r="AG1399" i="2"/>
  <c r="AC1414" i="2"/>
  <c r="AB1414" i="2"/>
  <c r="AC1501" i="2"/>
  <c r="AB1501" i="2"/>
  <c r="AE1519" i="2"/>
  <c r="AF1519" i="2"/>
  <c r="AH1403" i="2"/>
  <c r="AC1406" i="2"/>
  <c r="V1407" i="2"/>
  <c r="AI1410" i="2"/>
  <c r="AE1416" i="2"/>
  <c r="AG1421" i="2"/>
  <c r="AH1461" i="2"/>
  <c r="U1474" i="2"/>
  <c r="AG1474" i="2"/>
  <c r="AB1478" i="2"/>
  <c r="AI1367" i="2"/>
  <c r="AC1377" i="2"/>
  <c r="X1395" i="2"/>
  <c r="AH1402" i="2"/>
  <c r="AG1402" i="2"/>
  <c r="X1404" i="2"/>
  <c r="AB1411" i="2"/>
  <c r="AC1411" i="2"/>
  <c r="Y1418" i="2"/>
  <c r="V1461" i="2"/>
  <c r="W1461" i="2"/>
  <c r="AE1330" i="2"/>
  <c r="AB1332" i="2"/>
  <c r="Z1334" i="2"/>
  <c r="AE1335" i="2"/>
  <c r="AH1336" i="2"/>
  <c r="AA1338" i="2"/>
  <c r="Z1345" i="2"/>
  <c r="AH1350" i="2"/>
  <c r="Z1351" i="2"/>
  <c r="U1354" i="2"/>
  <c r="AB1356" i="2"/>
  <c r="AK1356" i="2" s="1"/>
  <c r="AE1357" i="2"/>
  <c r="AA1361" i="2"/>
  <c r="AF1361" i="2"/>
  <c r="U1363" i="2"/>
  <c r="AG1363" i="2"/>
  <c r="Y1367" i="2"/>
  <c r="AF1372" i="2"/>
  <c r="AF1373" i="2"/>
  <c r="AH1374" i="2"/>
  <c r="AE1377" i="2"/>
  <c r="AA1381" i="2"/>
  <c r="AA1382" i="2"/>
  <c r="W1384" i="2"/>
  <c r="AI1384" i="2"/>
  <c r="AC1385" i="2"/>
  <c r="AG1387" i="2"/>
  <c r="AC1392" i="2"/>
  <c r="AD1392" i="2"/>
  <c r="U1393" i="2"/>
  <c r="AG1393" i="2"/>
  <c r="U1394" i="2"/>
  <c r="Z1395" i="2"/>
  <c r="AE1401" i="2"/>
  <c r="AB1404" i="2"/>
  <c r="AE1409" i="2"/>
  <c r="W1412" i="2"/>
  <c r="AB1413" i="2"/>
  <c r="U1415" i="2"/>
  <c r="AB1418" i="2"/>
  <c r="AK1418" i="2" s="1"/>
  <c r="AC1419" i="2"/>
  <c r="V1420" i="2"/>
  <c r="AI1437" i="2"/>
  <c r="AD1339" i="2"/>
  <c r="AD1355" i="2"/>
  <c r="AF1369" i="2"/>
  <c r="AB1391" i="2"/>
  <c r="Y1395" i="2"/>
  <c r="W1410" i="2"/>
  <c r="W1415" i="2"/>
  <c r="AH1422" i="2"/>
  <c r="AG1422" i="2"/>
  <c r="AG1424" i="2"/>
  <c r="AH1424" i="2"/>
  <c r="V1477" i="2"/>
  <c r="W1477" i="2"/>
  <c r="W1490" i="2"/>
  <c r="X1359" i="2"/>
  <c r="AD1368" i="2"/>
  <c r="AI1374" i="2"/>
  <c r="AH1393" i="2"/>
  <c r="AA1399" i="2"/>
  <c r="AB1400" i="2"/>
  <c r="U1402" i="2"/>
  <c r="Z1403" i="2"/>
  <c r="AK1403" i="2" s="1"/>
  <c r="V1403" i="2"/>
  <c r="Y1410" i="2"/>
  <c r="V1412" i="2"/>
  <c r="AH1428" i="2"/>
  <c r="AI1428" i="2"/>
  <c r="AG1506" i="2"/>
  <c r="AF1506" i="2"/>
  <c r="Z1331" i="2"/>
  <c r="AE1332" i="2"/>
  <c r="W1333" i="2"/>
  <c r="AI1333" i="2"/>
  <c r="AB1334" i="2"/>
  <c r="Y1336" i="2"/>
  <c r="AD1338" i="2"/>
  <c r="AF1339" i="2"/>
  <c r="AA1341" i="2"/>
  <c r="AC1342" i="2"/>
  <c r="X1344" i="2"/>
  <c r="AB1345" i="2"/>
  <c r="Y1350" i="2"/>
  <c r="AF1352" i="2"/>
  <c r="X1354" i="2"/>
  <c r="W1358" i="2"/>
  <c r="AA1359" i="2"/>
  <c r="AD1361" i="2"/>
  <c r="U1362" i="2"/>
  <c r="AG1362" i="2"/>
  <c r="AH1365" i="2"/>
  <c r="AF1368" i="2"/>
  <c r="AD1369" i="2"/>
  <c r="U1370" i="2"/>
  <c r="W1372" i="2"/>
  <c r="Z1378" i="2"/>
  <c r="AA1379" i="2"/>
  <c r="AA1380" i="2"/>
  <c r="AB1380" i="2"/>
  <c r="AD1381" i="2"/>
  <c r="AE1382" i="2"/>
  <c r="AF1392" i="2"/>
  <c r="AG1392" i="2"/>
  <c r="AE1395" i="2"/>
  <c r="AD1399" i="2"/>
  <c r="V1340" i="2"/>
  <c r="AD1360" i="2"/>
  <c r="W1378" i="2"/>
  <c r="V1383" i="2"/>
  <c r="AA1398" i="2"/>
  <c r="AF1407" i="2"/>
  <c r="AE1413" i="2"/>
  <c r="AG1426" i="2"/>
  <c r="V1428" i="2"/>
  <c r="AD1324" i="2"/>
  <c r="W1326" i="2"/>
  <c r="AI1326" i="2"/>
  <c r="AD1327" i="2"/>
  <c r="AF1328" i="2"/>
  <c r="V1329" i="2"/>
  <c r="AI1329" i="2"/>
  <c r="X1330" i="2"/>
  <c r="AB1331" i="2"/>
  <c r="AA1336" i="2"/>
  <c r="AC1337" i="2"/>
  <c r="V1339" i="2"/>
  <c r="AA1340" i="2"/>
  <c r="V1343" i="2"/>
  <c r="AH1343" i="2"/>
  <c r="Z1344" i="2"/>
  <c r="AF1347" i="2"/>
  <c r="AG1352" i="2"/>
  <c r="U1356" i="2"/>
  <c r="AG1356" i="2"/>
  <c r="AC1359" i="2"/>
  <c r="W1362" i="2"/>
  <c r="AI1362" i="2"/>
  <c r="Y1363" i="2"/>
  <c r="Z1363" i="2"/>
  <c r="AD1364" i="2"/>
  <c r="Y1365" i="2"/>
  <c r="AC1366" i="2"/>
  <c r="AA1374" i="2"/>
  <c r="AF1375" i="2"/>
  <c r="X1377" i="2"/>
  <c r="AB1378" i="2"/>
  <c r="AD1380" i="2"/>
  <c r="AF1388" i="2"/>
  <c r="W1392" i="2"/>
  <c r="AB1399" i="2"/>
  <c r="U1404" i="2"/>
  <c r="AG1404" i="2"/>
  <c r="AI1411" i="2"/>
  <c r="U1413" i="2"/>
  <c r="AA1420" i="2"/>
  <c r="AF1423" i="2"/>
  <c r="U1431" i="2"/>
  <c r="U1436" i="2"/>
  <c r="AH1468" i="2"/>
  <c r="AE1473" i="2"/>
  <c r="AF1473" i="2"/>
  <c r="X1401" i="2"/>
  <c r="Y1406" i="2"/>
  <c r="AI1407" i="2"/>
  <c r="W1468" i="2"/>
  <c r="V1468" i="2"/>
  <c r="AE1324" i="2"/>
  <c r="Z1349" i="2"/>
  <c r="AB1350" i="2"/>
  <c r="Z1353" i="2"/>
  <c r="AK1353" i="2" s="1"/>
  <c r="Y1357" i="2"/>
  <c r="X1365" i="2"/>
  <c r="AC1378" i="2"/>
  <c r="AE1380" i="2"/>
  <c r="W1405" i="2"/>
  <c r="Z1411" i="2"/>
  <c r="AH1429" i="2"/>
  <c r="AG1429" i="2"/>
  <c r="X1462" i="2"/>
  <c r="AC1487" i="2"/>
  <c r="AD1487" i="2"/>
  <c r="AH1309" i="2"/>
  <c r="V1314" i="2"/>
  <c r="AB1322" i="2"/>
  <c r="X1325" i="2"/>
  <c r="AG1327" i="2"/>
  <c r="X1328" i="2"/>
  <c r="AE1331" i="2"/>
  <c r="AB1333" i="2"/>
  <c r="V1334" i="2"/>
  <c r="AH1334" i="2"/>
  <c r="Z1335" i="2"/>
  <c r="AC1340" i="2"/>
  <c r="AF1341" i="2"/>
  <c r="V1345" i="2"/>
  <c r="AA1349" i="2"/>
  <c r="Y1352" i="2"/>
  <c r="AB1357" i="2"/>
  <c r="AK1357" i="2" s="1"/>
  <c r="AF1359" i="2"/>
  <c r="AF1360" i="2"/>
  <c r="V1361" i="2"/>
  <c r="AC1363" i="2"/>
  <c r="AB1365" i="2"/>
  <c r="AA1371" i="2"/>
  <c r="AB1373" i="2"/>
  <c r="AH1375" i="2"/>
  <c r="X1382" i="2"/>
  <c r="AD1383" i="2"/>
  <c r="AA1389" i="2"/>
  <c r="AI1391" i="2"/>
  <c r="AF1394" i="2"/>
  <c r="AG1394" i="2"/>
  <c r="AH1395" i="2"/>
  <c r="AD1398" i="2"/>
  <c r="Z1401" i="2"/>
  <c r="AB1401" i="2"/>
  <c r="AA1405" i="2"/>
  <c r="U1410" i="2"/>
  <c r="AF1410" i="2"/>
  <c r="AG1410" i="2"/>
  <c r="AG1415" i="2"/>
  <c r="W1421" i="2"/>
  <c r="AC1422" i="2"/>
  <c r="X1425" i="2"/>
  <c r="X1427" i="2"/>
  <c r="AD1446" i="2"/>
  <c r="W1458" i="2"/>
  <c r="V1458" i="2"/>
  <c r="AH1458" i="2"/>
  <c r="AI1458" i="2"/>
  <c r="AD1528" i="2"/>
  <c r="AC1528" i="2"/>
  <c r="AD1538" i="2"/>
  <c r="AE1538" i="2"/>
  <c r="Z1419" i="2"/>
  <c r="AE1422" i="2"/>
  <c r="AI1425" i="2"/>
  <c r="AA1426" i="2"/>
  <c r="AE1427" i="2"/>
  <c r="AE1430" i="2"/>
  <c r="W1431" i="2"/>
  <c r="AH1434" i="2"/>
  <c r="Z1435" i="2"/>
  <c r="AH1436" i="2"/>
  <c r="X1437" i="2"/>
  <c r="Y1437" i="2"/>
  <c r="AF1438" i="2"/>
  <c r="AE1439" i="2"/>
  <c r="Y1445" i="2"/>
  <c r="W1447" i="2"/>
  <c r="Z1450" i="2"/>
  <c r="AE1452" i="2"/>
  <c r="AE1455" i="2"/>
  <c r="X1456" i="2"/>
  <c r="X1461" i="2"/>
  <c r="AA1463" i="2"/>
  <c r="U1465" i="2"/>
  <c r="AG1465" i="2"/>
  <c r="Z1466" i="2"/>
  <c r="AC1467" i="2"/>
  <c r="AE1470" i="2"/>
  <c r="X1471" i="2"/>
  <c r="AA1480" i="2"/>
  <c r="AH1492" i="2"/>
  <c r="Y1441" i="2"/>
  <c r="AA1462" i="2"/>
  <c r="Z1488" i="2"/>
  <c r="AK1488" i="2" s="1"/>
  <c r="AI1492" i="2"/>
  <c r="AE1499" i="2"/>
  <c r="AD1499" i="2"/>
  <c r="V1517" i="2"/>
  <c r="AH1517" i="2"/>
  <c r="Y1411" i="2"/>
  <c r="U1414" i="2"/>
  <c r="AG1414" i="2"/>
  <c r="W1416" i="2"/>
  <c r="W1424" i="2"/>
  <c r="AI1424" i="2"/>
  <c r="U1430" i="2"/>
  <c r="AG1430" i="2"/>
  <c r="X1431" i="2"/>
  <c r="U1433" i="2"/>
  <c r="AG1433" i="2"/>
  <c r="AI1434" i="2"/>
  <c r="AC1435" i="2"/>
  <c r="Z1437" i="2"/>
  <c r="AK1437" i="2" s="1"/>
  <c r="U1439" i="2"/>
  <c r="AG1439" i="2"/>
  <c r="AH1440" i="2"/>
  <c r="AC1442" i="2"/>
  <c r="AA1445" i="2"/>
  <c r="U1446" i="2"/>
  <c r="AG1446" i="2"/>
  <c r="W1449" i="2"/>
  <c r="AI1449" i="2"/>
  <c r="V1451" i="2"/>
  <c r="AH1451" i="2"/>
  <c r="AB1452" i="2"/>
  <c r="V1453" i="2"/>
  <c r="Y1454" i="2"/>
  <c r="AA1456" i="2"/>
  <c r="Z1458" i="2"/>
  <c r="AI1465" i="2"/>
  <c r="AB1466" i="2"/>
  <c r="AF1467" i="2"/>
  <c r="Y1468" i="2"/>
  <c r="U1470" i="2"/>
  <c r="AG1470" i="2"/>
  <c r="AH1473" i="2"/>
  <c r="Y1474" i="2"/>
  <c r="AH1476" i="2"/>
  <c r="X1479" i="2"/>
  <c r="U1485" i="2"/>
  <c r="AG1485" i="2"/>
  <c r="U1487" i="2"/>
  <c r="AG1487" i="2"/>
  <c r="AF1489" i="2"/>
  <c r="AA1490" i="2"/>
  <c r="W1494" i="2"/>
  <c r="AI1494" i="2"/>
  <c r="Z1497" i="2"/>
  <c r="AF1501" i="2"/>
  <c r="AB1518" i="2"/>
  <c r="AC1518" i="2"/>
  <c r="Y1479" i="2"/>
  <c r="AF1505" i="2"/>
  <c r="AE1505" i="2"/>
  <c r="AC1516" i="2"/>
  <c r="AB1516" i="2"/>
  <c r="AK1516" i="2" s="1"/>
  <c r="X1534" i="2"/>
  <c r="W1534" i="2"/>
  <c r="AA1537" i="2"/>
  <c r="AB1537" i="2"/>
  <c r="AB1436" i="2"/>
  <c r="AD1442" i="2"/>
  <c r="AB1445" i="2"/>
  <c r="AI1446" i="2"/>
  <c r="AI1451" i="2"/>
  <c r="Z1454" i="2"/>
  <c r="AB1456" i="2"/>
  <c r="AG1461" i="2"/>
  <c r="AC1462" i="2"/>
  <c r="AD1463" i="2"/>
  <c r="AI1476" i="2"/>
  <c r="AH1485" i="2"/>
  <c r="AA1492" i="2"/>
  <c r="AG1492" i="2"/>
  <c r="AD1495" i="2"/>
  <c r="V1408" i="2"/>
  <c r="X1414" i="2"/>
  <c r="AD1418" i="2"/>
  <c r="AH1420" i="2"/>
  <c r="AI1422" i="2"/>
  <c r="Y1423" i="2"/>
  <c r="Z1424" i="2"/>
  <c r="AK1424" i="2" s="1"/>
  <c r="AI1429" i="2"/>
  <c r="AF1432" i="2"/>
  <c r="AA1434" i="2"/>
  <c r="AF1435" i="2"/>
  <c r="AD1441" i="2"/>
  <c r="AB1444" i="2"/>
  <c r="AK1444" i="2" s="1"/>
  <c r="Z1446" i="2"/>
  <c r="Y1449" i="2"/>
  <c r="Z1451" i="2"/>
  <c r="AD1452" i="2"/>
  <c r="Y1453" i="2"/>
  <c r="AD1456" i="2"/>
  <c r="AC1461" i="2"/>
  <c r="Z1465" i="2"/>
  <c r="W1467" i="2"/>
  <c r="AI1467" i="2"/>
  <c r="AC1468" i="2"/>
  <c r="AF1475" i="2"/>
  <c r="AA1479" i="2"/>
  <c r="X1482" i="2"/>
  <c r="Y1482" i="2"/>
  <c r="AD1500" i="2"/>
  <c r="W1503" i="2"/>
  <c r="AI1503" i="2"/>
  <c r="X1455" i="2"/>
  <c r="Y1460" i="2"/>
  <c r="W1473" i="2"/>
  <c r="U1486" i="2"/>
  <c r="Y1496" i="2"/>
  <c r="AC1523" i="2"/>
  <c r="AB1523" i="2"/>
  <c r="U1382" i="2"/>
  <c r="AG1382" i="2"/>
  <c r="AA1384" i="2"/>
  <c r="AC1396" i="2"/>
  <c r="AE1405" i="2"/>
  <c r="AC1410" i="2"/>
  <c r="AE1412" i="2"/>
  <c r="AB1415" i="2"/>
  <c r="X1420" i="2"/>
  <c r="AI1420" i="2"/>
  <c r="AA1428" i="2"/>
  <c r="Z1429" i="2"/>
  <c r="Z1430" i="2"/>
  <c r="AC1434" i="2"/>
  <c r="AD1436" i="2"/>
  <c r="AI1436" i="2"/>
  <c r="V1438" i="2"/>
  <c r="AA1449" i="2"/>
  <c r="U1450" i="2"/>
  <c r="AA1451" i="2"/>
  <c r="Z1455" i="2"/>
  <c r="AF1456" i="2"/>
  <c r="AE1458" i="2"/>
  <c r="V1459" i="2"/>
  <c r="AI1459" i="2"/>
  <c r="U1462" i="2"/>
  <c r="AG1462" i="2"/>
  <c r="W1472" i="2"/>
  <c r="AI1472" i="2"/>
  <c r="AB1473" i="2"/>
  <c r="AK1473" i="2" s="1"/>
  <c r="AA1476" i="2"/>
  <c r="Y1478" i="2"/>
  <c r="Z1482" i="2"/>
  <c r="AA1482" i="2"/>
  <c r="W1484" i="2"/>
  <c r="Z1486" i="2"/>
  <c r="Z1487" i="2"/>
  <c r="W1493" i="2"/>
  <c r="AB1494" i="2"/>
  <c r="AG1495" i="2"/>
  <c r="AA1496" i="2"/>
  <c r="AH1498" i="2"/>
  <c r="AI1507" i="2"/>
  <c r="AC1433" i="2"/>
  <c r="X1439" i="2"/>
  <c r="AA1473" i="2"/>
  <c r="AG1476" i="2"/>
  <c r="X1491" i="2"/>
  <c r="X1531" i="2"/>
  <c r="W1531" i="2"/>
  <c r="V1385" i="2"/>
  <c r="AH1385" i="2"/>
  <c r="AD1388" i="2"/>
  <c r="U1389" i="2"/>
  <c r="AF1389" i="2"/>
  <c r="AE1396" i="2"/>
  <c r="AH1397" i="2"/>
  <c r="Y1398" i="2"/>
  <c r="V1406" i="2"/>
  <c r="AH1406" i="2"/>
  <c r="Z1407" i="2"/>
  <c r="AC1409" i="2"/>
  <c r="AF1411" i="2"/>
  <c r="Y1413" i="2"/>
  <c r="V1418" i="2"/>
  <c r="AG1418" i="2"/>
  <c r="W1419" i="2"/>
  <c r="AA1421" i="2"/>
  <c r="U1425" i="2"/>
  <c r="AG1425" i="2"/>
  <c r="X1426" i="2"/>
  <c r="AB1430" i="2"/>
  <c r="X1432" i="2"/>
  <c r="AA1433" i="2"/>
  <c r="X1435" i="2"/>
  <c r="AF1436" i="2"/>
  <c r="V1437" i="2"/>
  <c r="AH1437" i="2"/>
  <c r="X1442" i="2"/>
  <c r="AF1444" i="2"/>
  <c r="AC1446" i="2"/>
  <c r="AH1446" i="2"/>
  <c r="V1450" i="2"/>
  <c r="AH1450" i="2"/>
  <c r="AB1451" i="2"/>
  <c r="AF1454" i="2"/>
  <c r="AB1455" i="2"/>
  <c r="V1456" i="2"/>
  <c r="AA1457" i="2"/>
  <c r="U1458" i="2"/>
  <c r="AG1458" i="2"/>
  <c r="AC1460" i="2"/>
  <c r="AF1461" i="2"/>
  <c r="AI1462" i="2"/>
  <c r="Z1467" i="2"/>
  <c r="AK1467" i="2" s="1"/>
  <c r="U1468" i="2"/>
  <c r="AB1470" i="2"/>
  <c r="AD1473" i="2"/>
  <c r="AF1474" i="2"/>
  <c r="U1477" i="2"/>
  <c r="AG1477" i="2"/>
  <c r="AA1478" i="2"/>
  <c r="AE1478" i="2"/>
  <c r="AF1479" i="2"/>
  <c r="X1480" i="2"/>
  <c r="Y1481" i="2"/>
  <c r="W1481" i="2"/>
  <c r="AI1483" i="2"/>
  <c r="X1484" i="2"/>
  <c r="U1488" i="2"/>
  <c r="AH1490" i="2"/>
  <c r="X1493" i="2"/>
  <c r="AI1498" i="2"/>
  <c r="AH1500" i="2"/>
  <c r="Y1505" i="2"/>
  <c r="Z1522" i="2"/>
  <c r="Y1522" i="2"/>
  <c r="AD1423" i="2"/>
  <c r="AG1431" i="2"/>
  <c r="AE1433" i="2"/>
  <c r="AF1434" i="2"/>
  <c r="Y1435" i="2"/>
  <c r="W1437" i="2"/>
  <c r="AC1439" i="2"/>
  <c r="U1444" i="2"/>
  <c r="AG1444" i="2"/>
  <c r="U1447" i="2"/>
  <c r="AG1447" i="2"/>
  <c r="Y1448" i="2"/>
  <c r="X1448" i="2"/>
  <c r="X1450" i="2"/>
  <c r="AD1453" i="2"/>
  <c r="Z1464" i="2"/>
  <c r="AD1464" i="2"/>
  <c r="AE1465" i="2"/>
  <c r="U1479" i="2"/>
  <c r="AG1479" i="2"/>
  <c r="Y1480" i="2"/>
  <c r="Z1484" i="2"/>
  <c r="V1488" i="2"/>
  <c r="AH1488" i="2"/>
  <c r="AB1489" i="2"/>
  <c r="AI1490" i="2"/>
  <c r="U1492" i="2"/>
  <c r="V1497" i="2"/>
  <c r="AH1497" i="2"/>
  <c r="Y1498" i="2"/>
  <c r="AH1504" i="2"/>
  <c r="AD1515" i="2"/>
  <c r="Y1489" i="2"/>
  <c r="AC1492" i="2"/>
  <c r="AC1495" i="2"/>
  <c r="AF1496" i="2"/>
  <c r="U1497" i="2"/>
  <c r="AG1497" i="2"/>
  <c r="AE1501" i="2"/>
  <c r="X1502" i="2"/>
  <c r="AD1503" i="2"/>
  <c r="U1504" i="2"/>
  <c r="AG1504" i="2"/>
  <c r="AD1507" i="2"/>
  <c r="W1508" i="2"/>
  <c r="AI1508" i="2"/>
  <c r="AB1509" i="2"/>
  <c r="AD1510" i="2"/>
  <c r="U1513" i="2"/>
  <c r="AG1513" i="2"/>
  <c r="X1514" i="2"/>
  <c r="Y1515" i="2"/>
  <c r="AA1517" i="2"/>
  <c r="AD1520" i="2"/>
  <c r="W1522" i="2"/>
  <c r="AA1523" i="2"/>
  <c r="AD1524" i="2"/>
  <c r="Y1527" i="2"/>
  <c r="AB1528" i="2"/>
  <c r="AG1528" i="2"/>
  <c r="AE1529" i="2"/>
  <c r="AI1529" i="2"/>
  <c r="AE1530" i="2"/>
  <c r="V1534" i="2"/>
  <c r="AH1534" i="2"/>
  <c r="Z1535" i="2"/>
  <c r="AK1535" i="2" s="1"/>
  <c r="V1535" i="2"/>
  <c r="V1536" i="2"/>
  <c r="AF1539" i="2"/>
  <c r="AA1527" i="2"/>
  <c r="AB1527" i="2"/>
  <c r="AA1535" i="2"/>
  <c r="AC1535" i="2"/>
  <c r="AH1539" i="2"/>
  <c r="Z1499" i="2"/>
  <c r="V1501" i="2"/>
  <c r="AH1501" i="2"/>
  <c r="AG1510" i="2"/>
  <c r="X1513" i="2"/>
  <c r="AE1518" i="2"/>
  <c r="Y1521" i="2"/>
  <c r="AB1522" i="2"/>
  <c r="AF1524" i="2"/>
  <c r="AC1527" i="2"/>
  <c r="U1529" i="2"/>
  <c r="AG1529" i="2"/>
  <c r="AA1533" i="2"/>
  <c r="AC1536" i="2"/>
  <c r="AD1537" i="2"/>
  <c r="Y1532" i="2"/>
  <c r="AB1499" i="2"/>
  <c r="X1501" i="2"/>
  <c r="AC1502" i="2"/>
  <c r="Z1504" i="2"/>
  <c r="AK1504" i="2" s="1"/>
  <c r="AC1505" i="2"/>
  <c r="AB1508" i="2"/>
  <c r="Z1511" i="2"/>
  <c r="AC1514" i="2"/>
  <c r="AG1518" i="2"/>
  <c r="AI1519" i="2"/>
  <c r="W1520" i="2"/>
  <c r="AI1520" i="2"/>
  <c r="AD1522" i="2"/>
  <c r="Z1525" i="2"/>
  <c r="AC1526" i="2"/>
  <c r="AE1527" i="2"/>
  <c r="Y1530" i="2"/>
  <c r="AB1531" i="2"/>
  <c r="AD1533" i="2"/>
  <c r="AA1534" i="2"/>
  <c r="AE1536" i="2"/>
  <c r="AH1538" i="2"/>
  <c r="X1539" i="2"/>
  <c r="AK1521" i="2"/>
  <c r="V1529" i="2"/>
  <c r="X1495" i="2"/>
  <c r="AC1498" i="2"/>
  <c r="V1506" i="2"/>
  <c r="AH1506" i="2"/>
  <c r="Y1507" i="2"/>
  <c r="V1515" i="2"/>
  <c r="AH1515" i="2"/>
  <c r="W1518" i="2"/>
  <c r="AI1518" i="2"/>
  <c r="X1520" i="2"/>
  <c r="Y1520" i="2"/>
  <c r="W1523" i="2"/>
  <c r="AI1523" i="2"/>
  <c r="AD1526" i="2"/>
  <c r="U1527" i="2"/>
  <c r="AG1527" i="2"/>
  <c r="X1528" i="2"/>
  <c r="Z1530" i="2"/>
  <c r="AK1530" i="2" s="1"/>
  <c r="AD1531" i="2"/>
  <c r="AG1535" i="2"/>
  <c r="AF1536" i="2"/>
  <c r="V1537" i="2"/>
  <c r="AH1537" i="2"/>
  <c r="X1529" i="2"/>
  <c r="AA1539" i="2"/>
  <c r="W1489" i="2"/>
  <c r="AI1489" i="2"/>
  <c r="AC1490" i="2"/>
  <c r="Z1492" i="2"/>
  <c r="AC1497" i="2"/>
  <c r="AE1498" i="2"/>
  <c r="AF1499" i="2"/>
  <c r="AD1504" i="2"/>
  <c r="AA1507" i="2"/>
  <c r="AF1508" i="2"/>
  <c r="Y1509" i="2"/>
  <c r="AD1512" i="2"/>
  <c r="AD1513" i="2"/>
  <c r="Y1518" i="2"/>
  <c r="AB1519" i="2"/>
  <c r="AA1524" i="2"/>
  <c r="AA1529" i="2"/>
  <c r="AF1530" i="2"/>
  <c r="AE1531" i="2"/>
  <c r="AD1532" i="2"/>
  <c r="X1537" i="2"/>
  <c r="AA1538" i="2"/>
  <c r="AC1539" i="2"/>
  <c r="X1506" i="2"/>
  <c r="Z1523" i="2"/>
  <c r="AG1524" i="2"/>
  <c r="AA1528" i="2"/>
  <c r="U1534" i="2"/>
  <c r="AG1534" i="2"/>
  <c r="X1535" i="2"/>
  <c r="Z1537" i="2"/>
  <c r="AD1539" i="2"/>
  <c r="Z1519" i="2"/>
  <c r="AB1520" i="2"/>
  <c r="AH5" i="2"/>
  <c r="AG145" i="2"/>
  <c r="W10" i="2"/>
  <c r="AF11" i="2"/>
  <c r="AD27" i="2"/>
  <c r="X39" i="2"/>
  <c r="AG40" i="2"/>
  <c r="AC70" i="2"/>
  <c r="AD75" i="2"/>
  <c r="AI77" i="2"/>
  <c r="AF83" i="2"/>
  <c r="X111" i="2"/>
  <c r="AG136" i="2"/>
  <c r="AB161" i="2"/>
  <c r="AH170" i="2"/>
  <c r="AF184" i="2"/>
  <c r="AH24" i="2"/>
  <c r="X34" i="2"/>
  <c r="AI45" i="2"/>
  <c r="V53" i="2"/>
  <c r="AG80" i="2"/>
  <c r="AG107" i="2"/>
  <c r="AD118" i="2"/>
  <c r="W5" i="2"/>
  <c r="Y7" i="2"/>
  <c r="AA12" i="2"/>
  <c r="AD25" i="2"/>
  <c r="X66" i="2"/>
  <c r="AB68" i="2"/>
  <c r="AK68" i="2" s="1"/>
  <c r="AD73" i="2"/>
  <c r="AA84" i="2"/>
  <c r="AC89" i="2"/>
  <c r="AB92" i="2"/>
  <c r="U145" i="2"/>
  <c r="AA162" i="2"/>
  <c r="V163" i="2"/>
  <c r="AE173" i="2"/>
  <c r="Y175" i="2"/>
  <c r="Y188" i="2"/>
  <c r="AB36" i="2"/>
  <c r="AK36" i="2" s="1"/>
  <c r="W37" i="2"/>
  <c r="AA39" i="2"/>
  <c r="V40" i="2"/>
  <c r="AC44" i="2"/>
  <c r="W61" i="2"/>
  <c r="AA63" i="2"/>
  <c r="AB108" i="2"/>
  <c r="AK108" i="2" s="1"/>
  <c r="W109" i="2"/>
  <c r="AA111" i="2"/>
  <c r="V120" i="2"/>
  <c r="V170" i="2"/>
  <c r="AD174" i="2"/>
  <c r="Y199" i="2"/>
  <c r="AA144" i="2"/>
  <c r="AF147" i="2"/>
  <c r="Y178" i="2"/>
  <c r="AH14" i="2"/>
  <c r="AE23" i="2"/>
  <c r="AF28" i="2"/>
  <c r="AH38" i="2"/>
  <c r="AF52" i="2"/>
  <c r="AH86" i="2"/>
  <c r="AE119" i="2"/>
  <c r="Z125" i="2"/>
  <c r="U171" i="2"/>
  <c r="X180" i="2"/>
  <c r="AB188" i="2"/>
  <c r="AB199" i="2"/>
  <c r="AA200" i="2"/>
  <c r="Z204" i="2"/>
  <c r="W206" i="2"/>
  <c r="X207" i="2"/>
  <c r="V213" i="2"/>
  <c r="X216" i="2"/>
  <c r="W216" i="2"/>
  <c r="Y226" i="2"/>
  <c r="V230" i="2"/>
  <c r="U230" i="2"/>
  <c r="U237" i="2"/>
  <c r="W244" i="2"/>
  <c r="V245" i="2"/>
  <c r="AA252" i="2"/>
  <c r="V259" i="2"/>
  <c r="W259" i="2"/>
  <c r="AC269" i="2"/>
  <c r="AB269" i="2"/>
  <c r="Z269" i="2"/>
  <c r="AF276" i="2"/>
  <c r="U284" i="2"/>
  <c r="AG285" i="2"/>
  <c r="AC286" i="2"/>
  <c r="AH302" i="2"/>
  <c r="AA308" i="2"/>
  <c r="AH314" i="2"/>
  <c r="Y321" i="2"/>
  <c r="AI322" i="2"/>
  <c r="U328" i="2"/>
  <c r="W331" i="2"/>
  <c r="W347" i="2"/>
  <c r="V347" i="2"/>
  <c r="AI347" i="2"/>
  <c r="AH347" i="2"/>
  <c r="V370" i="2"/>
  <c r="AB375" i="2"/>
  <c r="AA375" i="2"/>
  <c r="AB394" i="2"/>
  <c r="AA415" i="2"/>
  <c r="AA644" i="2"/>
  <c r="Z644" i="2"/>
  <c r="Y801" i="2"/>
  <c r="X801" i="2"/>
  <c r="X839" i="2"/>
  <c r="W839" i="2"/>
  <c r="AB841" i="2"/>
  <c r="AA841" i="2"/>
  <c r="AB173" i="2"/>
  <c r="AK173" i="2" s="1"/>
  <c r="AA219" i="2"/>
  <c r="Z219" i="2"/>
  <c r="AC222" i="2"/>
  <c r="W314" i="2"/>
  <c r="V314" i="2"/>
  <c r="AB334" i="2"/>
  <c r="AI346" i="2"/>
  <c r="AH346" i="2"/>
  <c r="W422" i="2"/>
  <c r="V422" i="2"/>
  <c r="AI422" i="2"/>
  <c r="AH422" i="2"/>
  <c r="AB424" i="2"/>
  <c r="AB521" i="2"/>
  <c r="AA521" i="2"/>
  <c r="AA570" i="2"/>
  <c r="AA620" i="2"/>
  <c r="Z620" i="2"/>
  <c r="AH13" i="2"/>
  <c r="X15" i="2"/>
  <c r="AG16" i="2"/>
  <c r="AD30" i="2"/>
  <c r="AI53" i="2"/>
  <c r="W58" i="2"/>
  <c r="AH61" i="2"/>
  <c r="AH69" i="2"/>
  <c r="AD78" i="2"/>
  <c r="X87" i="2"/>
  <c r="AG88" i="2"/>
  <c r="AH93" i="2"/>
  <c r="AG96" i="2"/>
  <c r="AD99" i="2"/>
  <c r="AD102" i="2"/>
  <c r="W106" i="2"/>
  <c r="AH109" i="2"/>
  <c r="AG112" i="2"/>
  <c r="AG120" i="2"/>
  <c r="AI125" i="2"/>
  <c r="AH133" i="2"/>
  <c r="X135" i="2"/>
  <c r="AH141" i="2"/>
  <c r="AB156" i="2"/>
  <c r="AC185" i="2"/>
  <c r="AF215" i="2"/>
  <c r="AE215" i="2"/>
  <c r="AD261" i="2"/>
  <c r="X288" i="2"/>
  <c r="W288" i="2"/>
  <c r="AC356" i="2"/>
  <c r="AB356" i="2"/>
  <c r="AG489" i="2"/>
  <c r="AH489" i="2"/>
  <c r="AC668" i="2"/>
  <c r="AD668" i="2"/>
  <c r="AI21" i="2"/>
  <c r="AG35" i="2"/>
  <c r="AH48" i="2"/>
  <c r="AH72" i="2"/>
  <c r="V77" i="2"/>
  <c r="AG104" i="2"/>
  <c r="AA151" i="2"/>
  <c r="X152" i="2"/>
  <c r="Z157" i="2"/>
  <c r="W158" i="2"/>
  <c r="Z187" i="2"/>
  <c r="AD210" i="2"/>
  <c r="AA218" i="2"/>
  <c r="W228" i="2"/>
  <c r="AA257" i="2"/>
  <c r="X302" i="2"/>
  <c r="W302" i="2"/>
  <c r="V322" i="2"/>
  <c r="AA327" i="2"/>
  <c r="Z327" i="2"/>
  <c r="W346" i="2"/>
  <c r="V365" i="2"/>
  <c r="U365" i="2"/>
  <c r="AH365" i="2"/>
  <c r="AG365" i="2"/>
  <c r="Z423" i="2"/>
  <c r="AE431" i="2"/>
  <c r="AD431" i="2"/>
  <c r="W453" i="2"/>
  <c r="X453" i="2"/>
  <c r="W465" i="2"/>
  <c r="X465" i="2"/>
  <c r="V13" i="2"/>
  <c r="U16" i="2"/>
  <c r="X18" i="2"/>
  <c r="V21" i="2"/>
  <c r="W26" i="2"/>
  <c r="Y31" i="2"/>
  <c r="Y55" i="2"/>
  <c r="AA60" i="2"/>
  <c r="X90" i="2"/>
  <c r="U96" i="2"/>
  <c r="AD121" i="2"/>
  <c r="V133" i="2"/>
  <c r="AC137" i="2"/>
  <c r="Y197" i="2"/>
  <c r="V221" i="2"/>
  <c r="U221" i="2"/>
  <c r="X246" i="2"/>
  <c r="W246" i="2"/>
  <c r="Z279" i="2"/>
  <c r="AK279" i="2" s="1"/>
  <c r="V293" i="2"/>
  <c r="U293" i="2"/>
  <c r="U302" i="2"/>
  <c r="Y317" i="2"/>
  <c r="Z322" i="2"/>
  <c r="Y322" i="2"/>
  <c r="Z346" i="2"/>
  <c r="Y346" i="2"/>
  <c r="Z439" i="2"/>
  <c r="V1514" i="2"/>
  <c r="W1514" i="2"/>
  <c r="AH1514" i="2"/>
  <c r="AI1514" i="2"/>
  <c r="Z10" i="2"/>
  <c r="AA15" i="2"/>
  <c r="Z34" i="2"/>
  <c r="AK34" i="2" s="1"/>
  <c r="Z58" i="2"/>
  <c r="AK58" i="2" s="1"/>
  <c r="X98" i="2"/>
  <c r="W117" i="2"/>
  <c r="Z130" i="2"/>
  <c r="AK130" i="2" s="1"/>
  <c r="AB132" i="2"/>
  <c r="V136" i="2"/>
  <c r="W141" i="2"/>
  <c r="AD167" i="2"/>
  <c r="W169" i="2"/>
  <c r="Z202" i="2"/>
  <c r="Y202" i="2"/>
  <c r="W202" i="2"/>
  <c r="V208" i="2"/>
  <c r="W227" i="2"/>
  <c r="Y228" i="2"/>
  <c r="V250" i="2"/>
  <c r="W270" i="2"/>
  <c r="AA290" i="2"/>
  <c r="Z291" i="2"/>
  <c r="Z326" i="2"/>
  <c r="X345" i="2"/>
  <c r="X351" i="2"/>
  <c r="W351" i="2"/>
  <c r="AI370" i="2"/>
  <c r="AH370" i="2"/>
  <c r="AG409" i="2"/>
  <c r="AF409" i="2"/>
  <c r="V489" i="2"/>
  <c r="W557" i="2"/>
  <c r="V557" i="2"/>
  <c r="AI557" i="2"/>
  <c r="AH557" i="2"/>
  <c r="X562" i="2"/>
  <c r="W562" i="2"/>
  <c r="Y5" i="2"/>
  <c r="AA106" i="2"/>
  <c r="AC162" i="2"/>
  <c r="V206" i="2"/>
  <c r="V249" i="2"/>
  <c r="Y263" i="2"/>
  <c r="X263" i="2"/>
  <c r="W266" i="2"/>
  <c r="W306" i="2"/>
  <c r="V306" i="2"/>
  <c r="X336" i="2"/>
  <c r="W336" i="2"/>
  <c r="Z348" i="2"/>
  <c r="AK348" i="2" s="1"/>
  <c r="Y348" i="2"/>
  <c r="AF364" i="2"/>
  <c r="AE364" i="2"/>
  <c r="Y380" i="2"/>
  <c r="X380" i="2"/>
  <c r="X387" i="2"/>
  <c r="W387" i="2"/>
  <c r="V421" i="2"/>
  <c r="U421" i="2"/>
  <c r="U431" i="2"/>
  <c r="V431" i="2"/>
  <c r="W478" i="2"/>
  <c r="X478" i="2"/>
  <c r="AE487" i="2"/>
  <c r="AD487" i="2"/>
  <c r="X24" i="2"/>
  <c r="Z29" i="2"/>
  <c r="AG33" i="2"/>
  <c r="AE47" i="2"/>
  <c r="X48" i="2"/>
  <c r="Z53" i="2"/>
  <c r="AG57" i="2"/>
  <c r="AH62" i="2"/>
  <c r="AE71" i="2"/>
  <c r="X72" i="2"/>
  <c r="AF76" i="2"/>
  <c r="Z77" i="2"/>
  <c r="AG81" i="2"/>
  <c r="AE95" i="2"/>
  <c r="X96" i="2"/>
  <c r="AF100" i="2"/>
  <c r="Z101" i="2"/>
  <c r="AG105" i="2"/>
  <c r="AH110" i="2"/>
  <c r="X120" i="2"/>
  <c r="AF124" i="2"/>
  <c r="AG129" i="2"/>
  <c r="AH134" i="2"/>
  <c r="AG143" i="2"/>
  <c r="X149" i="2"/>
  <c r="Y150" i="2"/>
  <c r="X150" i="2"/>
  <c r="AD152" i="2"/>
  <c r="Y154" i="2"/>
  <c r="Y159" i="2"/>
  <c r="AG4" i="2"/>
  <c r="Z6" i="2"/>
  <c r="AH9" i="2"/>
  <c r="AD18" i="2"/>
  <c r="W19" i="2"/>
  <c r="X25" i="2"/>
  <c r="Z30" i="2"/>
  <c r="AK30" i="2" s="1"/>
  <c r="AD42" i="2"/>
  <c r="W43" i="2"/>
  <c r="X49" i="2"/>
  <c r="Z54" i="2"/>
  <c r="AK54" i="2" s="1"/>
  <c r="AD66" i="2"/>
  <c r="W67" i="2"/>
  <c r="X73" i="2"/>
  <c r="Z78" i="2"/>
  <c r="AK78" i="2" s="1"/>
  <c r="AD90" i="2"/>
  <c r="W91" i="2"/>
  <c r="X97" i="2"/>
  <c r="Z102" i="2"/>
  <c r="AK102" i="2" s="1"/>
  <c r="AD114" i="2"/>
  <c r="W115" i="2"/>
  <c r="X121" i="2"/>
  <c r="Z126" i="2"/>
  <c r="AD138" i="2"/>
  <c r="W139" i="2"/>
  <c r="AE144" i="2"/>
  <c r="AC145" i="2"/>
  <c r="AB145" i="2"/>
  <c r="AK145" i="2" s="1"/>
  <c r="AC149" i="2"/>
  <c r="AA155" i="2"/>
  <c r="AC159" i="2"/>
  <c r="Z159" i="2"/>
  <c r="AD163" i="2"/>
  <c r="Y165" i="2"/>
  <c r="AD169" i="2"/>
  <c r="W171" i="2"/>
  <c r="AG177" i="2"/>
  <c r="AB180" i="2"/>
  <c r="Y180" i="2"/>
  <c r="X184" i="2"/>
  <c r="W186" i="2"/>
  <c r="U193" i="2"/>
  <c r="V194" i="2"/>
  <c r="AH196" i="2"/>
  <c r="AD202" i="2"/>
  <c r="AD204" i="2"/>
  <c r="AA204" i="2"/>
  <c r="AB205" i="2"/>
  <c r="AK205" i="2" s="1"/>
  <c r="AA207" i="2"/>
  <c r="X210" i="2"/>
  <c r="Z213" i="2"/>
  <c r="Z215" i="2"/>
  <c r="V215" i="2"/>
  <c r="V219" i="2"/>
  <c r="AH219" i="2"/>
  <c r="U220" i="2"/>
  <c r="Y222" i="2"/>
  <c r="Z223" i="2"/>
  <c r="Y233" i="2"/>
  <c r="Z237" i="2"/>
  <c r="U241" i="2"/>
  <c r="AA244" i="2"/>
  <c r="AD252" i="2"/>
  <c r="V256" i="2"/>
  <c r="X284" i="2"/>
  <c r="AE286" i="2"/>
  <c r="AA295" i="2"/>
  <c r="V301" i="2"/>
  <c r="AC308" i="2"/>
  <c r="V311" i="2"/>
  <c r="AH311" i="2"/>
  <c r="AB321" i="2"/>
  <c r="V333" i="2"/>
  <c r="U333" i="2"/>
  <c r="AD337" i="2"/>
  <c r="AB343" i="2"/>
  <c r="AA344" i="2"/>
  <c r="AB344" i="2"/>
  <c r="U350" i="2"/>
  <c r="V350" i="2"/>
  <c r="AG350" i="2"/>
  <c r="AH350" i="2"/>
  <c r="AG352" i="2"/>
  <c r="Z357" i="2"/>
  <c r="Y357" i="2"/>
  <c r="AE363" i="2"/>
  <c r="U366" i="2"/>
  <c r="AG366" i="2"/>
  <c r="V379" i="2"/>
  <c r="W379" i="2"/>
  <c r="AI379" i="2"/>
  <c r="AH379" i="2"/>
  <c r="AC731" i="2"/>
  <c r="AB731" i="2"/>
  <c r="AI29" i="2"/>
  <c r="X63" i="2"/>
  <c r="AH85" i="2"/>
  <c r="AD123" i="2"/>
  <c r="AD126" i="2"/>
  <c r="X148" i="2"/>
  <c r="AE164" i="2"/>
  <c r="Z174" i="2"/>
  <c r="AG8" i="2"/>
  <c r="V29" i="2"/>
  <c r="AB65" i="2"/>
  <c r="AC97" i="2"/>
  <c r="AB113" i="2"/>
  <c r="V125" i="2"/>
  <c r="X130" i="2"/>
  <c r="AG131" i="2"/>
  <c r="AA147" i="2"/>
  <c r="W74" i="2"/>
  <c r="V93" i="2"/>
  <c r="X138" i="2"/>
  <c r="AB140" i="2"/>
  <c r="AK140" i="2" s="1"/>
  <c r="U149" i="2"/>
  <c r="V48" i="2"/>
  <c r="X50" i="2"/>
  <c r="AG146" i="2"/>
  <c r="AB157" i="2"/>
  <c r="AA82" i="2"/>
  <c r="AB158" i="2"/>
  <c r="AK158" i="2" s="1"/>
  <c r="W234" i="2"/>
  <c r="V234" i="2"/>
  <c r="U9" i="2"/>
  <c r="AF148" i="2"/>
  <c r="AF152" i="2"/>
  <c r="U161" i="2"/>
  <c r="V165" i="2"/>
  <c r="AG176" i="2"/>
  <c r="AD182" i="2"/>
  <c r="AA183" i="2"/>
  <c r="AI187" i="2"/>
  <c r="AE188" i="2"/>
  <c r="AC190" i="2"/>
  <c r="AH202" i="2"/>
  <c r="Y209" i="2"/>
  <c r="Y212" i="2"/>
  <c r="X212" i="2"/>
  <c r="W223" i="2"/>
  <c r="AD224" i="2"/>
  <c r="X230" i="2"/>
  <c r="W230" i="2"/>
  <c r="AC234" i="2"/>
  <c r="AD242" i="2"/>
  <c r="Z243" i="2"/>
  <c r="AK243" i="2" s="1"/>
  <c r="AF246" i="2"/>
  <c r="AD250" i="2"/>
  <c r="AG251" i="2"/>
  <c r="AF252" i="2"/>
  <c r="AC253" i="2"/>
  <c r="X295" i="2"/>
  <c r="AI331" i="2"/>
  <c r="U340" i="2"/>
  <c r="V340" i="2"/>
  <c r="AG360" i="2"/>
  <c r="AF360" i="2"/>
  <c r="Y391" i="2"/>
  <c r="X391" i="2"/>
  <c r="V400" i="2"/>
  <c r="U400" i="2"/>
  <c r="AH400" i="2"/>
  <c r="AG400" i="2"/>
  <c r="AD426" i="2"/>
  <c r="AB427" i="2"/>
  <c r="V720" i="2"/>
  <c r="U720" i="2"/>
  <c r="AH720" i="2"/>
  <c r="AG720" i="2"/>
  <c r="AB730" i="2"/>
  <c r="AA730" i="2"/>
  <c r="AH101" i="2"/>
  <c r="AH149" i="2"/>
  <c r="AE171" i="2"/>
  <c r="AD171" i="2"/>
  <c r="V285" i="2"/>
  <c r="U285" i="2"/>
  <c r="AD51" i="2"/>
  <c r="AC94" i="2"/>
  <c r="AH117" i="2"/>
  <c r="AF128" i="2"/>
  <c r="AE150" i="2"/>
  <c r="AB236" i="2"/>
  <c r="AK236" i="2" s="1"/>
  <c r="W255" i="2"/>
  <c r="Z258" i="2"/>
  <c r="AE6" i="2"/>
  <c r="AG32" i="2"/>
  <c r="AI37" i="2"/>
  <c r="AB41" i="2"/>
  <c r="AC49" i="2"/>
  <c r="AG56" i="2"/>
  <c r="AD142" i="2"/>
  <c r="X144" i="2"/>
  <c r="V203" i="2"/>
  <c r="W225" i="2"/>
  <c r="V225" i="2"/>
  <c r="AA272" i="2"/>
  <c r="Y274" i="2"/>
  <c r="AC17" i="2"/>
  <c r="AB20" i="2"/>
  <c r="U24" i="2"/>
  <c r="V45" i="2"/>
  <c r="V69" i="2"/>
  <c r="U72" i="2"/>
  <c r="Y79" i="2"/>
  <c r="W101" i="2"/>
  <c r="AB116" i="2"/>
  <c r="W122" i="2"/>
  <c r="Y127" i="2"/>
  <c r="U159" i="2"/>
  <c r="X182" i="2"/>
  <c r="W182" i="2"/>
  <c r="W189" i="2"/>
  <c r="V201" i="2"/>
  <c r="X276" i="2"/>
  <c r="W276" i="2"/>
  <c r="V88" i="2"/>
  <c r="Z103" i="2"/>
  <c r="AA135" i="2"/>
  <c r="V146" i="2"/>
  <c r="U146" i="2"/>
  <c r="W242" i="2"/>
  <c r="V242" i="2"/>
  <c r="W254" i="2"/>
  <c r="AD168" i="2"/>
  <c r="AC168" i="2"/>
  <c r="W179" i="2"/>
  <c r="V182" i="2"/>
  <c r="Y190" i="2"/>
  <c r="Z190" i="2"/>
  <c r="X245" i="2"/>
  <c r="Y245" i="2"/>
  <c r="V14" i="2"/>
  <c r="U33" i="2"/>
  <c r="V38" i="2"/>
  <c r="U57" i="2"/>
  <c r="V62" i="2"/>
  <c r="U81" i="2"/>
  <c r="V86" i="2"/>
  <c r="U105" i="2"/>
  <c r="V110" i="2"/>
  <c r="U129" i="2"/>
  <c r="V134" i="2"/>
  <c r="AF5" i="2"/>
  <c r="U10" i="2"/>
  <c r="AG10" i="2"/>
  <c r="V15" i="2"/>
  <c r="AH15" i="2"/>
  <c r="X20" i="2"/>
  <c r="AH20" i="2"/>
  <c r="AE24" i="2"/>
  <c r="AF29" i="2"/>
  <c r="U34" i="2"/>
  <c r="AG34" i="2"/>
  <c r="V39" i="2"/>
  <c r="AH39" i="2"/>
  <c r="X44" i="2"/>
  <c r="AH44" i="2"/>
  <c r="AE48" i="2"/>
  <c r="AF53" i="2"/>
  <c r="U58" i="2"/>
  <c r="AG58" i="2"/>
  <c r="V63" i="2"/>
  <c r="AH63" i="2"/>
  <c r="X68" i="2"/>
  <c r="AH68" i="2"/>
  <c r="AE72" i="2"/>
  <c r="AF77" i="2"/>
  <c r="U82" i="2"/>
  <c r="AG82" i="2"/>
  <c r="V87" i="2"/>
  <c r="AH87" i="2"/>
  <c r="X92" i="2"/>
  <c r="AH92" i="2"/>
  <c r="AE96" i="2"/>
  <c r="AF101" i="2"/>
  <c r="U106" i="2"/>
  <c r="AG106" i="2"/>
  <c r="V111" i="2"/>
  <c r="AH111" i="2"/>
  <c r="X116" i="2"/>
  <c r="AH116" i="2"/>
  <c r="AE120" i="2"/>
  <c r="AF125" i="2"/>
  <c r="U130" i="2"/>
  <c r="AG130" i="2"/>
  <c r="V135" i="2"/>
  <c r="AH135" i="2"/>
  <c r="X140" i="2"/>
  <c r="AH140" i="2"/>
  <c r="U144" i="2"/>
  <c r="V148" i="2"/>
  <c r="AF153" i="2"/>
  <c r="AD154" i="2"/>
  <c r="X157" i="2"/>
  <c r="AG158" i="2"/>
  <c r="AC160" i="2"/>
  <c r="W162" i="2"/>
  <c r="AA164" i="2"/>
  <c r="AF169" i="2"/>
  <c r="AA172" i="2"/>
  <c r="X173" i="2"/>
  <c r="U176" i="2"/>
  <c r="AF178" i="2"/>
  <c r="AD178" i="2"/>
  <c r="AD179" i="2"/>
  <c r="AF181" i="2"/>
  <c r="Y186" i="2"/>
  <c r="AG189" i="2"/>
  <c r="AD190" i="2"/>
  <c r="X192" i="2"/>
  <c r="AG201" i="2"/>
  <c r="AF204" i="2"/>
  <c r="AD205" i="2"/>
  <c r="AD207" i="2"/>
  <c r="Z211" i="2"/>
  <c r="AK211" i="2" s="1"/>
  <c r="V211" i="2"/>
  <c r="X215" i="2"/>
  <c r="Y218" i="2"/>
  <c r="AG225" i="2"/>
  <c r="W229" i="2"/>
  <c r="AI229" i="2"/>
  <c r="Z231" i="2"/>
  <c r="AA239" i="2"/>
  <c r="AA240" i="2"/>
  <c r="W240" i="2"/>
  <c r="AG245" i="2"/>
  <c r="AB248" i="2"/>
  <c r="AA248" i="2"/>
  <c r="AH250" i="2"/>
  <c r="U255" i="2"/>
  <c r="AG255" i="2"/>
  <c r="X258" i="2"/>
  <c r="Y262" i="2"/>
  <c r="Z262" i="2"/>
  <c r="AH266" i="2"/>
  <c r="U277" i="2"/>
  <c r="V289" i="2"/>
  <c r="U289" i="2"/>
  <c r="U292" i="2"/>
  <c r="AA300" i="2"/>
  <c r="AD307" i="2"/>
  <c r="AA312" i="2"/>
  <c r="X318" i="2"/>
  <c r="W318" i="2"/>
  <c r="W323" i="2"/>
  <c r="AI323" i="2"/>
  <c r="AD329" i="2"/>
  <c r="Y334" i="2"/>
  <c r="Z334" i="2"/>
  <c r="X335" i="2"/>
  <c r="AG349" i="2"/>
  <c r="W350" i="2"/>
  <c r="X350" i="2"/>
  <c r="AF385" i="2"/>
  <c r="AE385" i="2"/>
  <c r="AC393" i="2"/>
  <c r="AI400" i="2"/>
  <c r="Z412" i="2"/>
  <c r="Y412" i="2"/>
  <c r="AD418" i="2"/>
  <c r="AH455" i="2"/>
  <c r="AG455" i="2"/>
  <c r="AI163" i="2"/>
  <c r="AG64" i="2"/>
  <c r="W82" i="2"/>
  <c r="AC195" i="2"/>
  <c r="AD22" i="2"/>
  <c r="AD46" i="2"/>
  <c r="X42" i="2"/>
  <c r="X114" i="2"/>
  <c r="X168" i="2"/>
  <c r="W85" i="2"/>
  <c r="AA87" i="2"/>
  <c r="AB152" i="2"/>
  <c r="Z153" i="2"/>
  <c r="AK153" i="2" s="1"/>
  <c r="AG144" i="2"/>
  <c r="AH148" i="2"/>
  <c r="Y166" i="2"/>
  <c r="Z166" i="2"/>
  <c r="AK166" i="2" s="1"/>
  <c r="W166" i="2"/>
  <c r="AD170" i="2"/>
  <c r="Z171" i="2"/>
  <c r="Y172" i="2"/>
  <c r="AG180" i="2"/>
  <c r="AB185" i="2"/>
  <c r="AA185" i="2"/>
  <c r="AD194" i="2"/>
  <c r="AI201" i="2"/>
  <c r="AF205" i="2"/>
  <c r="AD206" i="2"/>
  <c r="AF207" i="2"/>
  <c r="AG208" i="2"/>
  <c r="AF220" i="2"/>
  <c r="AB221" i="2"/>
  <c r="AH225" i="2"/>
  <c r="AD226" i="2"/>
  <c r="AB233" i="2"/>
  <c r="AA233" i="2"/>
  <c r="AE247" i="2"/>
  <c r="AH249" i="2"/>
  <c r="AF263" i="2"/>
  <c r="AB265" i="2"/>
  <c r="X271" i="2"/>
  <c r="W271" i="2"/>
  <c r="AG284" i="2"/>
  <c r="W292" i="2"/>
  <c r="AD293" i="2"/>
  <c r="AD294" i="2"/>
  <c r="Y300" i="2"/>
  <c r="AB304" i="2"/>
  <c r="AK304" i="2" s="1"/>
  <c r="AB305" i="2"/>
  <c r="AA305" i="2"/>
  <c r="AH306" i="2"/>
  <c r="AG324" i="2"/>
  <c r="AG328" i="2"/>
  <c r="Z355" i="2"/>
  <c r="Y369" i="2"/>
  <c r="X369" i="2"/>
  <c r="AI378" i="2"/>
  <c r="AH378" i="2"/>
  <c r="AI381" i="2"/>
  <c r="AH381" i="2"/>
  <c r="Z406" i="2"/>
  <c r="AK406" i="2" s="1"/>
  <c r="Y406" i="2"/>
  <c r="AE418" i="2"/>
  <c r="AH431" i="2"/>
  <c r="AE443" i="2"/>
  <c r="AF443" i="2"/>
  <c r="AB544" i="2"/>
  <c r="AK544" i="2" s="1"/>
  <c r="AA544" i="2"/>
  <c r="V622" i="2"/>
  <c r="U622" i="2"/>
  <c r="AH622" i="2"/>
  <c r="AG622" i="2"/>
  <c r="AE669" i="2"/>
  <c r="AD669" i="2"/>
  <c r="AD681" i="2"/>
  <c r="AE681" i="2"/>
  <c r="AD165" i="2"/>
  <c r="AC165" i="2"/>
  <c r="AD54" i="2"/>
  <c r="AF59" i="2"/>
  <c r="AA143" i="2"/>
  <c r="U64" i="2"/>
  <c r="U112" i="2"/>
  <c r="AC197" i="2"/>
  <c r="AB197" i="2"/>
  <c r="AK197" i="2" s="1"/>
  <c r="AB663" i="2"/>
  <c r="AK663" i="2" s="1"/>
  <c r="AA663" i="2"/>
  <c r="AA4" i="2"/>
  <c r="AB9" i="2"/>
  <c r="AK9" i="2" s="1"/>
  <c r="AC14" i="2"/>
  <c r="AE19" i="2"/>
  <c r="Z23" i="2"/>
  <c r="AK23" i="2" s="1"/>
  <c r="AA28" i="2"/>
  <c r="AB33" i="2"/>
  <c r="AK33" i="2" s="1"/>
  <c r="AC38" i="2"/>
  <c r="AE43" i="2"/>
  <c r="Z47" i="2"/>
  <c r="AA52" i="2"/>
  <c r="AB57" i="2"/>
  <c r="AC62" i="2"/>
  <c r="AE67" i="2"/>
  <c r="Z71" i="2"/>
  <c r="AK71" i="2" s="1"/>
  <c r="AA76" i="2"/>
  <c r="AB81" i="2"/>
  <c r="AC86" i="2"/>
  <c r="AE91" i="2"/>
  <c r="Z95" i="2"/>
  <c r="AA100" i="2"/>
  <c r="AB105" i="2"/>
  <c r="AC110" i="2"/>
  <c r="AE115" i="2"/>
  <c r="V116" i="2"/>
  <c r="Z119" i="2"/>
  <c r="AK119" i="2" s="1"/>
  <c r="AA124" i="2"/>
  <c r="AB129" i="2"/>
  <c r="AC134" i="2"/>
  <c r="AE139" i="2"/>
  <c r="V140" i="2"/>
  <c r="AC146" i="2"/>
  <c r="V153" i="2"/>
  <c r="AI158" i="2"/>
  <c r="AG159" i="2"/>
  <c r="Y162" i="2"/>
  <c r="Z167" i="2"/>
  <c r="W176" i="2"/>
  <c r="AI176" i="2"/>
  <c r="W177" i="2"/>
  <c r="V177" i="2"/>
  <c r="AH182" i="2"/>
  <c r="AF190" i="2"/>
  <c r="Z192" i="2"/>
  <c r="AD193" i="2"/>
  <c r="Z195" i="2"/>
  <c r="X198" i="2"/>
  <c r="W198" i="2"/>
  <c r="AG200" i="2"/>
  <c r="AE209" i="2"/>
  <c r="Z210" i="2"/>
  <c r="AK210" i="2" s="1"/>
  <c r="X211" i="2"/>
  <c r="AB212" i="2"/>
  <c r="AK212" i="2" s="1"/>
  <c r="AA212" i="2"/>
  <c r="AD214" i="2"/>
  <c r="Y229" i="2"/>
  <c r="AB231" i="2"/>
  <c r="AD235" i="2"/>
  <c r="AC240" i="2"/>
  <c r="AF250" i="2"/>
  <c r="U251" i="2"/>
  <c r="AI255" i="2"/>
  <c r="AC260" i="2"/>
  <c r="AB260" i="2"/>
  <c r="AK260" i="2" s="1"/>
  <c r="AC264" i="2"/>
  <c r="U267" i="2"/>
  <c r="AG267" i="2"/>
  <c r="X283" i="2"/>
  <c r="AF296" i="2"/>
  <c r="W297" i="2"/>
  <c r="V297" i="2"/>
  <c r="Y305" i="2"/>
  <c r="AC312" i="2"/>
  <c r="AD324" i="2"/>
  <c r="AC330" i="2"/>
  <c r="V339" i="2"/>
  <c r="AH339" i="2"/>
  <c r="W340" i="2"/>
  <c r="AF342" i="2"/>
  <c r="U352" i="2"/>
  <c r="X360" i="2"/>
  <c r="W360" i="2"/>
  <c r="U368" i="2"/>
  <c r="AG368" i="2"/>
  <c r="AF368" i="2"/>
  <c r="W371" i="2"/>
  <c r="AI371" i="2"/>
  <c r="AA406" i="2"/>
  <c r="V410" i="2"/>
  <c r="U410" i="2"/>
  <c r="AG410" i="2"/>
  <c r="AH410" i="2"/>
  <c r="W542" i="2"/>
  <c r="AB678" i="2"/>
  <c r="AB488" i="2"/>
  <c r="AC488" i="2"/>
  <c r="V492" i="2"/>
  <c r="U492" i="2"/>
  <c r="AB495" i="2"/>
  <c r="AK495" i="2" s="1"/>
  <c r="W512" i="2"/>
  <c r="V512" i="2"/>
  <c r="X605" i="2"/>
  <c r="W605" i="2"/>
  <c r="Y631" i="2"/>
  <c r="X631" i="2"/>
  <c r="Z678" i="2"/>
  <c r="AD683" i="2"/>
  <c r="AE683" i="2"/>
  <c r="W976" i="2"/>
  <c r="V976" i="2"/>
  <c r="AB320" i="2"/>
  <c r="AA320" i="2"/>
  <c r="AD325" i="2"/>
  <c r="AF329" i="2"/>
  <c r="Y331" i="2"/>
  <c r="V332" i="2"/>
  <c r="AH332" i="2"/>
  <c r="Z335" i="2"/>
  <c r="AI340" i="2"/>
  <c r="X349" i="2"/>
  <c r="AI351" i="2"/>
  <c r="AD354" i="2"/>
  <c r="Y359" i="2"/>
  <c r="V363" i="2"/>
  <c r="AH363" i="2"/>
  <c r="W368" i="2"/>
  <c r="AI368" i="2"/>
  <c r="Y378" i="2"/>
  <c r="Y381" i="2"/>
  <c r="AI387" i="2"/>
  <c r="Y390" i="2"/>
  <c r="Z391" i="2"/>
  <c r="U399" i="2"/>
  <c r="AG399" i="2"/>
  <c r="W400" i="2"/>
  <c r="X403" i="2"/>
  <c r="V409" i="2"/>
  <c r="AD415" i="2"/>
  <c r="AF419" i="2"/>
  <c r="W421" i="2"/>
  <c r="AI421" i="2"/>
  <c r="AA428" i="2"/>
  <c r="AF430" i="2"/>
  <c r="AC439" i="2"/>
  <c r="AF442" i="2"/>
  <c r="X455" i="2"/>
  <c r="W455" i="2"/>
  <c r="AH462" i="2"/>
  <c r="AG462" i="2"/>
  <c r="Y470" i="2"/>
  <c r="AE476" i="2"/>
  <c r="AF476" i="2"/>
  <c r="AD488" i="2"/>
  <c r="X489" i="2"/>
  <c r="W489" i="2"/>
  <c r="X515" i="2"/>
  <c r="AI542" i="2"/>
  <c r="AH542" i="2"/>
  <c r="U548" i="2"/>
  <c r="AG548" i="2"/>
  <c r="AF548" i="2"/>
  <c r="AA551" i="2"/>
  <c r="Z551" i="2"/>
  <c r="V611" i="2"/>
  <c r="AH611" i="2"/>
  <c r="V616" i="2"/>
  <c r="AH616" i="2"/>
  <c r="AB680" i="2"/>
  <c r="AF796" i="2"/>
  <c r="Y831" i="2"/>
  <c r="X831" i="2"/>
  <c r="W833" i="2"/>
  <c r="V833" i="2"/>
  <c r="AI833" i="2"/>
  <c r="AH833" i="2"/>
  <c r="X844" i="2"/>
  <c r="W848" i="2"/>
  <c r="AI848" i="2"/>
  <c r="AH848" i="2"/>
  <c r="AE1513" i="2"/>
  <c r="AC1529" i="2"/>
  <c r="AB1529" i="2"/>
  <c r="AK1529" i="2" s="1"/>
  <c r="AB1538" i="2"/>
  <c r="Y365" i="2"/>
  <c r="X365" i="2"/>
  <c r="X443" i="2"/>
  <c r="W443" i="2"/>
  <c r="Z463" i="2"/>
  <c r="Y463" i="2"/>
  <c r="AD472" i="2"/>
  <c r="AC472" i="2"/>
  <c r="AE485" i="2"/>
  <c r="Z519" i="2"/>
  <c r="Y519" i="2"/>
  <c r="AD603" i="2"/>
  <c r="AC603" i="2"/>
  <c r="AA659" i="2"/>
  <c r="Z659" i="2"/>
  <c r="AH661" i="2"/>
  <c r="AG661" i="2"/>
  <c r="AB664" i="2"/>
  <c r="AK664" i="2" s="1"/>
  <c r="AA664" i="2"/>
  <c r="AD719" i="2"/>
  <c r="AC719" i="2"/>
  <c r="AE794" i="2"/>
  <c r="AD794" i="2"/>
  <c r="AE823" i="2"/>
  <c r="AF823" i="2"/>
  <c r="V268" i="2"/>
  <c r="AI307" i="2"/>
  <c r="AE308" i="2"/>
  <c r="AF316" i="2"/>
  <c r="X331" i="2"/>
  <c r="Z339" i="2"/>
  <c r="AK339" i="2" s="1"/>
  <c r="AA339" i="2"/>
  <c r="U341" i="2"/>
  <c r="Y350" i="2"/>
  <c r="AB358" i="2"/>
  <c r="AK358" i="2" s="1"/>
  <c r="X359" i="2"/>
  <c r="V362" i="2"/>
  <c r="W364" i="2"/>
  <c r="W367" i="2"/>
  <c r="AA377" i="2"/>
  <c r="Z379" i="2"/>
  <c r="AK379" i="2" s="1"/>
  <c r="X384" i="2"/>
  <c r="W384" i="2"/>
  <c r="AB389" i="2"/>
  <c r="W403" i="2"/>
  <c r="AC406" i="2"/>
  <c r="W430" i="2"/>
  <c r="V430" i="2"/>
  <c r="Z434" i="2"/>
  <c r="AK434" i="2" s="1"/>
  <c r="Y434" i="2"/>
  <c r="V434" i="2"/>
  <c r="AG441" i="2"/>
  <c r="AH441" i="2"/>
  <c r="U443" i="2"/>
  <c r="AH479" i="2"/>
  <c r="AG479" i="2"/>
  <c r="AF510" i="2"/>
  <c r="AE510" i="2"/>
  <c r="AI512" i="2"/>
  <c r="AF513" i="2"/>
  <c r="AE513" i="2"/>
  <c r="V542" i="2"/>
  <c r="AB550" i="2"/>
  <c r="V552" i="2"/>
  <c r="U552" i="2"/>
  <c r="AG552" i="2"/>
  <c r="AH552" i="2"/>
  <c r="V592" i="2"/>
  <c r="AH592" i="2"/>
  <c r="AG592" i="2"/>
  <c r="AE603" i="2"/>
  <c r="X622" i="2"/>
  <c r="W622" i="2"/>
  <c r="AE658" i="2"/>
  <c r="AD663" i="2"/>
  <c r="AE719" i="2"/>
  <c r="AD730" i="2"/>
  <c r="AC730" i="2"/>
  <c r="W732" i="2"/>
  <c r="V732" i="2"/>
  <c r="AI732" i="2"/>
  <c r="AH732" i="2"/>
  <c r="Y785" i="2"/>
  <c r="W814" i="2"/>
  <c r="AI814" i="2"/>
  <c r="AH814" i="2"/>
  <c r="V829" i="2"/>
  <c r="U829" i="2"/>
  <c r="AH829" i="2"/>
  <c r="AG829" i="2"/>
  <c r="AD841" i="2"/>
  <c r="W844" i="2"/>
  <c r="AG273" i="2"/>
  <c r="AH278" i="2"/>
  <c r="AD279" i="2"/>
  <c r="AC291" i="2"/>
  <c r="AB301" i="2"/>
  <c r="AK301" i="2" s="1"/>
  <c r="AB313" i="2"/>
  <c r="X332" i="2"/>
  <c r="X342" i="2"/>
  <c r="W342" i="2"/>
  <c r="AF356" i="2"/>
  <c r="Y370" i="2"/>
  <c r="AA387" i="2"/>
  <c r="Z387" i="2"/>
  <c r="X396" i="2"/>
  <c r="W396" i="2"/>
  <c r="AA449" i="2"/>
  <c r="Z514" i="2"/>
  <c r="Y514" i="2"/>
  <c r="Z649" i="2"/>
  <c r="AF716" i="2"/>
  <c r="AE716" i="2"/>
  <c r="AB786" i="2"/>
  <c r="AA786" i="2"/>
  <c r="AC1330" i="2"/>
  <c r="AB1330" i="2"/>
  <c r="AF1331" i="2"/>
  <c r="AG1331" i="2"/>
  <c r="Z1332" i="2"/>
  <c r="Y1332" i="2"/>
  <c r="AC1335" i="2"/>
  <c r="AB1335" i="2"/>
  <c r="AB1362" i="2"/>
  <c r="AA1362" i="2"/>
  <c r="X1389" i="2"/>
  <c r="W1389" i="2"/>
  <c r="AB181" i="2"/>
  <c r="AK181" i="2" s="1"/>
  <c r="AB193" i="2"/>
  <c r="AK193" i="2" s="1"/>
  <c r="AH226" i="2"/>
  <c r="AF232" i="2"/>
  <c r="AC258" i="2"/>
  <c r="AG261" i="2"/>
  <c r="AB262" i="2"/>
  <c r="AK262" i="2" s="1"/>
  <c r="AC270" i="2"/>
  <c r="AC274" i="2"/>
  <c r="AA284" i="2"/>
  <c r="AE287" i="2"/>
  <c r="AH290" i="2"/>
  <c r="AA296" i="2"/>
  <c r="W303" i="2"/>
  <c r="Z310" i="2"/>
  <c r="AB317" i="2"/>
  <c r="AG344" i="2"/>
  <c r="AC346" i="2"/>
  <c r="Z351" i="2"/>
  <c r="AK351" i="2" s="1"/>
  <c r="AH357" i="2"/>
  <c r="Z363" i="2"/>
  <c r="AK363" i="2" s="1"/>
  <c r="AA363" i="2"/>
  <c r="AC366" i="2"/>
  <c r="AA368" i="2"/>
  <c r="AB368" i="2"/>
  <c r="AD368" i="2"/>
  <c r="AA380" i="2"/>
  <c r="AB382" i="2"/>
  <c r="X383" i="2"/>
  <c r="AC390" i="2"/>
  <c r="V393" i="2"/>
  <c r="U393" i="2"/>
  <c r="AE411" i="2"/>
  <c r="U417" i="2"/>
  <c r="AA420" i="2"/>
  <c r="Z420" i="2"/>
  <c r="W420" i="2"/>
  <c r="AE435" i="2"/>
  <c r="AA447" i="2"/>
  <c r="AF505" i="2"/>
  <c r="AG505" i="2"/>
  <c r="Y661" i="2"/>
  <c r="X661" i="2"/>
  <c r="U661" i="2"/>
  <c r="AF690" i="2"/>
  <c r="AE690" i="2"/>
  <c r="AH708" i="2"/>
  <c r="AG708" i="2"/>
  <c r="Y728" i="2"/>
  <c r="X728" i="2"/>
  <c r="AE759" i="2"/>
  <c r="AD759" i="2"/>
  <c r="AA148" i="2"/>
  <c r="U154" i="2"/>
  <c r="AG154" i="2"/>
  <c r="AC163" i="2"/>
  <c r="X164" i="2"/>
  <c r="AG168" i="2"/>
  <c r="Y170" i="2"/>
  <c r="AA173" i="2"/>
  <c r="AB176" i="2"/>
  <c r="AK176" i="2" s="1"/>
  <c r="AA176" i="2"/>
  <c r="AD181" i="2"/>
  <c r="AF185" i="2"/>
  <c r="Y187" i="2"/>
  <c r="V188" i="2"/>
  <c r="AH188" i="2"/>
  <c r="Z191" i="2"/>
  <c r="V196" i="2"/>
  <c r="AE197" i="2"/>
  <c r="U200" i="2"/>
  <c r="W205" i="2"/>
  <c r="AI205" i="2"/>
  <c r="AD211" i="2"/>
  <c r="U214" i="2"/>
  <c r="AG214" i="2"/>
  <c r="AA216" i="2"/>
  <c r="W217" i="2"/>
  <c r="AI217" i="2"/>
  <c r="AA220" i="2"/>
  <c r="AG222" i="2"/>
  <c r="AD228" i="2"/>
  <c r="AI231" i="2"/>
  <c r="AD233" i="2"/>
  <c r="AI235" i="2"/>
  <c r="V243" i="2"/>
  <c r="AH243" i="2"/>
  <c r="AF244" i="2"/>
  <c r="AC245" i="2"/>
  <c r="Z246" i="2"/>
  <c r="AK246" i="2" s="1"/>
  <c r="AB255" i="2"/>
  <c r="AK255" i="2" s="1"/>
  <c r="X259" i="2"/>
  <c r="AG265" i="2"/>
  <c r="AA267" i="2"/>
  <c r="U268" i="2"/>
  <c r="W273" i="2"/>
  <c r="AF274" i="2"/>
  <c r="AD275" i="2"/>
  <c r="AB276" i="2"/>
  <c r="Y276" i="2"/>
  <c r="X278" i="2"/>
  <c r="U279" i="2"/>
  <c r="AG279" i="2"/>
  <c r="X281" i="2"/>
  <c r="X282" i="2"/>
  <c r="AH287" i="2"/>
  <c r="Z288" i="2"/>
  <c r="X294" i="2"/>
  <c r="AB297" i="2"/>
  <c r="AK297" i="2" s="1"/>
  <c r="V298" i="2"/>
  <c r="AI299" i="2"/>
  <c r="AC302" i="2"/>
  <c r="V307" i="2"/>
  <c r="AE313" i="2"/>
  <c r="Z319" i="2"/>
  <c r="V320" i="2"/>
  <c r="AH320" i="2"/>
  <c r="AG321" i="2"/>
  <c r="W324" i="2"/>
  <c r="X325" i="2"/>
  <c r="AH326" i="2"/>
  <c r="AH330" i="2"/>
  <c r="X337" i="2"/>
  <c r="Y341" i="2"/>
  <c r="U344" i="2"/>
  <c r="AE346" i="2"/>
  <c r="AC350" i="2"/>
  <c r="X353" i="2"/>
  <c r="X354" i="2"/>
  <c r="AF358" i="2"/>
  <c r="AB361" i="2"/>
  <c r="AK361" i="2" s="1"/>
  <c r="AD365" i="2"/>
  <c r="W376" i="2"/>
  <c r="AE378" i="2"/>
  <c r="AD379" i="2"/>
  <c r="V392" i="2"/>
  <c r="AH392" i="2"/>
  <c r="Z395" i="2"/>
  <c r="AK395" i="2" s="1"/>
  <c r="V395" i="2"/>
  <c r="X398" i="2"/>
  <c r="AE401" i="2"/>
  <c r="AB401" i="2"/>
  <c r="AK401" i="2" s="1"/>
  <c r="Z408" i="2"/>
  <c r="Y408" i="2"/>
  <c r="W408" i="2"/>
  <c r="W414" i="2"/>
  <c r="V414" i="2"/>
  <c r="Z417" i="2"/>
  <c r="AB420" i="2"/>
  <c r="AG421" i="2"/>
  <c r="Y429" i="2"/>
  <c r="AB432" i="2"/>
  <c r="Y441" i="2"/>
  <c r="U441" i="2"/>
  <c r="AC458" i="2"/>
  <c r="AF466" i="2"/>
  <c r="AD466" i="2"/>
  <c r="AA468" i="2"/>
  <c r="U479" i="2"/>
  <c r="AB480" i="2"/>
  <c r="AK480" i="2" s="1"/>
  <c r="AG492" i="2"/>
  <c r="AA496" i="2"/>
  <c r="V505" i="2"/>
  <c r="AH505" i="2"/>
  <c r="AI525" i="2"/>
  <c r="AH525" i="2"/>
  <c r="AC527" i="2"/>
  <c r="AB527" i="2"/>
  <c r="W533" i="2"/>
  <c r="V533" i="2"/>
  <c r="AI533" i="2"/>
  <c r="AH533" i="2"/>
  <c r="AC575" i="2"/>
  <c r="AB575" i="2"/>
  <c r="Y580" i="2"/>
  <c r="AE582" i="2"/>
  <c r="V637" i="2"/>
  <c r="AH637" i="2"/>
  <c r="AF641" i="2"/>
  <c r="AG641" i="2"/>
  <c r="AD657" i="2"/>
  <c r="AE657" i="2"/>
  <c r="AA688" i="2"/>
  <c r="AB688" i="2"/>
  <c r="AK688" i="2" s="1"/>
  <c r="V696" i="2"/>
  <c r="U696" i="2"/>
  <c r="AG696" i="2"/>
  <c r="AH696" i="2"/>
  <c r="V716" i="2"/>
  <c r="U716" i="2"/>
  <c r="AH716" i="2"/>
  <c r="AG716" i="2"/>
  <c r="X724" i="2"/>
  <c r="W724" i="2"/>
  <c r="AC219" i="2"/>
  <c r="AB229" i="2"/>
  <c r="AH232" i="2"/>
  <c r="AF236" i="2"/>
  <c r="AF240" i="2"/>
  <c r="AB241" i="2"/>
  <c r="AE258" i="2"/>
  <c r="AE270" i="2"/>
  <c r="U278" i="2"/>
  <c r="AF280" i="2"/>
  <c r="AF291" i="2"/>
  <c r="Y293" i="2"/>
  <c r="AC306" i="2"/>
  <c r="AG309" i="2"/>
  <c r="X311" i="2"/>
  <c r="AC318" i="2"/>
  <c r="W319" i="2"/>
  <c r="AE327" i="2"/>
  <c r="AE331" i="2"/>
  <c r="U337" i="2"/>
  <c r="AH338" i="2"/>
  <c r="AB341" i="2"/>
  <c r="AK341" i="2" s="1"/>
  <c r="AC341" i="2"/>
  <c r="AD382" i="2"/>
  <c r="AF384" i="2"/>
  <c r="AC402" i="2"/>
  <c r="AB461" i="2"/>
  <c r="AK461" i="2" s="1"/>
  <c r="AA461" i="2"/>
  <c r="AF500" i="2"/>
  <c r="AE500" i="2"/>
  <c r="AC588" i="2"/>
  <c r="AB588" i="2"/>
  <c r="AC649" i="2"/>
  <c r="Y655" i="2"/>
  <c r="X655" i="2"/>
  <c r="W200" i="2"/>
  <c r="AI200" i="2"/>
  <c r="AE202" i="2"/>
  <c r="Y205" i="2"/>
  <c r="AC212" i="2"/>
  <c r="AB224" i="2"/>
  <c r="AK224" i="2" s="1"/>
  <c r="AA224" i="2"/>
  <c r="AF228" i="2"/>
  <c r="AD229" i="2"/>
  <c r="W231" i="2"/>
  <c r="AF233" i="2"/>
  <c r="Z234" i="2"/>
  <c r="AK234" i="2" s="1"/>
  <c r="Y235" i="2"/>
  <c r="V236" i="2"/>
  <c r="AH236" i="2"/>
  <c r="Z238" i="2"/>
  <c r="AK238" i="2" s="1"/>
  <c r="Z239" i="2"/>
  <c r="V244" i="2"/>
  <c r="AE245" i="2"/>
  <c r="U248" i="2"/>
  <c r="AA250" i="2"/>
  <c r="W253" i="2"/>
  <c r="AI253" i="2"/>
  <c r="AD259" i="2"/>
  <c r="U262" i="2"/>
  <c r="AG262" i="2"/>
  <c r="AE262" i="2"/>
  <c r="AA264" i="2"/>
  <c r="W265" i="2"/>
  <c r="AI265" i="2"/>
  <c r="AA268" i="2"/>
  <c r="AG270" i="2"/>
  <c r="AD276" i="2"/>
  <c r="AI279" i="2"/>
  <c r="AD281" i="2"/>
  <c r="AI283" i="2"/>
  <c r="V291" i="2"/>
  <c r="AH291" i="2"/>
  <c r="AF292" i="2"/>
  <c r="AC293" i="2"/>
  <c r="Z294" i="2"/>
  <c r="AB303" i="2"/>
  <c r="Z303" i="2"/>
  <c r="AC310" i="2"/>
  <c r="AA311" i="2"/>
  <c r="AG313" i="2"/>
  <c r="AA315" i="2"/>
  <c r="W321" i="2"/>
  <c r="AF322" i="2"/>
  <c r="AD322" i="2"/>
  <c r="AD323" i="2"/>
  <c r="AB324" i="2"/>
  <c r="X326" i="2"/>
  <c r="U327" i="2"/>
  <c r="AG327" i="2"/>
  <c r="X330" i="2"/>
  <c r="AB332" i="2"/>
  <c r="AH335" i="2"/>
  <c r="AF335" i="2"/>
  <c r="AF340" i="2"/>
  <c r="Z343" i="2"/>
  <c r="W344" i="2"/>
  <c r="AI344" i="2"/>
  <c r="V345" i="2"/>
  <c r="W345" i="2"/>
  <c r="U347" i="2"/>
  <c r="AE351" i="2"/>
  <c r="AD353" i="2"/>
  <c r="X355" i="2"/>
  <c r="Y355" i="2"/>
  <c r="X357" i="2"/>
  <c r="AG359" i="2"/>
  <c r="AF359" i="2"/>
  <c r="U371" i="2"/>
  <c r="AH374" i="2"/>
  <c r="AG374" i="2"/>
  <c r="AI375" i="2"/>
  <c r="Y376" i="2"/>
  <c r="AF382" i="2"/>
  <c r="X388" i="2"/>
  <c r="AF399" i="2"/>
  <c r="U404" i="2"/>
  <c r="X416" i="2"/>
  <c r="X425" i="2"/>
  <c r="Y425" i="2"/>
  <c r="AD432" i="2"/>
  <c r="AI434" i="2"/>
  <c r="W436" i="2"/>
  <c r="X440" i="2"/>
  <c r="AG443" i="2"/>
  <c r="AE445" i="2"/>
  <c r="AF464" i="2"/>
  <c r="AC475" i="2"/>
  <c r="X494" i="2"/>
  <c r="AB498" i="2"/>
  <c r="Y525" i="2"/>
  <c r="AB560" i="2"/>
  <c r="AF563" i="2"/>
  <c r="AE563" i="2"/>
  <c r="AC574" i="2"/>
  <c r="AB574" i="2"/>
  <c r="X586" i="2"/>
  <c r="W586" i="2"/>
  <c r="Y591" i="2"/>
  <c r="X591" i="2"/>
  <c r="AB634" i="2"/>
  <c r="AK634" i="2" s="1"/>
  <c r="AA635" i="2"/>
  <c r="Z635" i="2"/>
  <c r="AK635" i="2" s="1"/>
  <c r="AH215" i="2"/>
  <c r="X222" i="2"/>
  <c r="AB225" i="2"/>
  <c r="AI227" i="2"/>
  <c r="AC230" i="2"/>
  <c r="AE241" i="2"/>
  <c r="AD241" i="2"/>
  <c r="Z247" i="2"/>
  <c r="V248" i="2"/>
  <c r="AH248" i="2"/>
  <c r="AG249" i="2"/>
  <c r="AA251" i="2"/>
  <c r="X253" i="2"/>
  <c r="AH254" i="2"/>
  <c r="X265" i="2"/>
  <c r="AB271" i="2"/>
  <c r="AK271" i="2" s="1"/>
  <c r="U275" i="2"/>
  <c r="W280" i="2"/>
  <c r="AE281" i="2"/>
  <c r="Y287" i="2"/>
  <c r="Y298" i="2"/>
  <c r="Z299" i="2"/>
  <c r="AK299" i="2" s="1"/>
  <c r="Y304" i="2"/>
  <c r="AF306" i="2"/>
  <c r="AE306" i="2"/>
  <c r="X309" i="2"/>
  <c r="AF310" i="2"/>
  <c r="V313" i="2"/>
  <c r="Y330" i="2"/>
  <c r="Z333" i="2"/>
  <c r="Y338" i="2"/>
  <c r="U339" i="2"/>
  <c r="AG339" i="2"/>
  <c r="AD341" i="2"/>
  <c r="AF351" i="2"/>
  <c r="AE353" i="2"/>
  <c r="AE361" i="2"/>
  <c r="AG369" i="2"/>
  <c r="AF369" i="2"/>
  <c r="V371" i="2"/>
  <c r="W373" i="2"/>
  <c r="AI373" i="2"/>
  <c r="U382" i="2"/>
  <c r="AG382" i="2"/>
  <c r="Y388" i="2"/>
  <c r="Z394" i="2"/>
  <c r="V404" i="2"/>
  <c r="AH404" i="2"/>
  <c r="Z407" i="2"/>
  <c r="AK407" i="2" s="1"/>
  <c r="Y413" i="2"/>
  <c r="X413" i="2"/>
  <c r="AD430" i="2"/>
  <c r="AC433" i="2"/>
  <c r="W450" i="2"/>
  <c r="AI450" i="2"/>
  <c r="AH450" i="2"/>
  <c r="Z451" i="2"/>
  <c r="Y451" i="2"/>
  <c r="U464" i="2"/>
  <c r="AG464" i="2"/>
  <c r="V467" i="2"/>
  <c r="U467" i="2"/>
  <c r="X473" i="2"/>
  <c r="U477" i="2"/>
  <c r="AG477" i="2"/>
  <c r="Y494" i="2"/>
  <c r="AD503" i="2"/>
  <c r="AE503" i="2"/>
  <c r="Z525" i="2"/>
  <c r="AK525" i="2" s="1"/>
  <c r="U553" i="2"/>
  <c r="AG553" i="2"/>
  <c r="AB559" i="2"/>
  <c r="AK559" i="2" s="1"/>
  <c r="AA559" i="2"/>
  <c r="U572" i="2"/>
  <c r="AG572" i="2"/>
  <c r="AF572" i="2"/>
  <c r="AB580" i="2"/>
  <c r="AA580" i="2"/>
  <c r="AC633" i="2"/>
  <c r="AC634" i="2"/>
  <c r="AC682" i="2"/>
  <c r="AB683" i="2"/>
  <c r="AC683" i="2"/>
  <c r="AD151" i="2"/>
  <c r="AA160" i="2"/>
  <c r="AC170" i="2"/>
  <c r="AA177" i="2"/>
  <c r="AB182" i="2"/>
  <c r="AC187" i="2"/>
  <c r="AE192" i="2"/>
  <c r="Z196" i="2"/>
  <c r="AA201" i="2"/>
  <c r="AB206" i="2"/>
  <c r="AK206" i="2" s="1"/>
  <c r="AC211" i="2"/>
  <c r="AE216" i="2"/>
  <c r="Z220" i="2"/>
  <c r="AK220" i="2" s="1"/>
  <c r="AA225" i="2"/>
  <c r="AB230" i="2"/>
  <c r="AC235" i="2"/>
  <c r="AE240" i="2"/>
  <c r="Z244" i="2"/>
  <c r="AA249" i="2"/>
  <c r="AB254" i="2"/>
  <c r="AK254" i="2" s="1"/>
  <c r="AC259" i="2"/>
  <c r="AE264" i="2"/>
  <c r="Z268" i="2"/>
  <c r="AA273" i="2"/>
  <c r="AB278" i="2"/>
  <c r="AC283" i="2"/>
  <c r="AE288" i="2"/>
  <c r="Z292" i="2"/>
  <c r="AK292" i="2" s="1"/>
  <c r="AA297" i="2"/>
  <c r="AB302" i="2"/>
  <c r="AK302" i="2" s="1"/>
  <c r="AC307" i="2"/>
  <c r="AE312" i="2"/>
  <c r="Z316" i="2"/>
  <c r="AA321" i="2"/>
  <c r="AB326" i="2"/>
  <c r="AC331" i="2"/>
  <c r="AE336" i="2"/>
  <c r="Z340" i="2"/>
  <c r="AA345" i="2"/>
  <c r="AB350" i="2"/>
  <c r="AC355" i="2"/>
  <c r="AE360" i="2"/>
  <c r="AA360" i="2"/>
  <c r="V361" i="2"/>
  <c r="Z364" i="2"/>
  <c r="AK364" i="2" s="1"/>
  <c r="V364" i="2"/>
  <c r="AC365" i="2"/>
  <c r="AA369" i="2"/>
  <c r="W369" i="2"/>
  <c r="AB374" i="2"/>
  <c r="AK374" i="2" s="1"/>
  <c r="X374" i="2"/>
  <c r="AC379" i="2"/>
  <c r="Y379" i="2"/>
  <c r="AA384" i="2"/>
  <c r="X386" i="2"/>
  <c r="U387" i="2"/>
  <c r="AG387" i="2"/>
  <c r="X390" i="2"/>
  <c r="AB392" i="2"/>
  <c r="AH395" i="2"/>
  <c r="AF395" i="2"/>
  <c r="AI398" i="2"/>
  <c r="X402" i="2"/>
  <c r="AB405" i="2"/>
  <c r="AK405" i="2" s="1"/>
  <c r="AI407" i="2"/>
  <c r="AC410" i="2"/>
  <c r="X411" i="2"/>
  <c r="AC413" i="2"/>
  <c r="W419" i="2"/>
  <c r="AE421" i="2"/>
  <c r="Z427" i="2"/>
  <c r="V428" i="2"/>
  <c r="AH428" i="2"/>
  <c r="AG429" i="2"/>
  <c r="X433" i="2"/>
  <c r="AD435" i="2"/>
  <c r="Z437" i="2"/>
  <c r="AK437" i="2" s="1"/>
  <c r="AE442" i="2"/>
  <c r="AD442" i="2"/>
  <c r="AC444" i="2"/>
  <c r="W446" i="2"/>
  <c r="Z448" i="2"/>
  <c r="W448" i="2"/>
  <c r="U452" i="2"/>
  <c r="AG452" i="2"/>
  <c r="AF454" i="2"/>
  <c r="AD456" i="2"/>
  <c r="Z460" i="2"/>
  <c r="AK460" i="2" s="1"/>
  <c r="U462" i="2"/>
  <c r="AB475" i="2"/>
  <c r="X481" i="2"/>
  <c r="Z496" i="2"/>
  <c r="AK496" i="2" s="1"/>
  <c r="Y507" i="2"/>
  <c r="V515" i="2"/>
  <c r="AH515" i="2"/>
  <c r="AG515" i="2"/>
  <c r="Z517" i="2"/>
  <c r="AK517" i="2" s="1"/>
  <c r="AA517" i="2"/>
  <c r="AB535" i="2"/>
  <c r="AK535" i="2" s="1"/>
  <c r="AA545" i="2"/>
  <c r="AF553" i="2"/>
  <c r="Y565" i="2"/>
  <c r="X565" i="2"/>
  <c r="AI573" i="2"/>
  <c r="AH573" i="2"/>
  <c r="V577" i="2"/>
  <c r="AH577" i="2"/>
  <c r="V597" i="2"/>
  <c r="U597" i="2"/>
  <c r="AI605" i="2"/>
  <c r="AA625" i="2"/>
  <c r="AB639" i="2"/>
  <c r="AK639" i="2" s="1"/>
  <c r="X735" i="2"/>
  <c r="AB736" i="2"/>
  <c r="AA736" i="2"/>
  <c r="Y174" i="2"/>
  <c r="Y179" i="2"/>
  <c r="AA184" i="2"/>
  <c r="AB189" i="2"/>
  <c r="AC194" i="2"/>
  <c r="AD199" i="2"/>
  <c r="Y203" i="2"/>
  <c r="AA208" i="2"/>
  <c r="AB213" i="2"/>
  <c r="AC218" i="2"/>
  <c r="AD223" i="2"/>
  <c r="Y227" i="2"/>
  <c r="AA232" i="2"/>
  <c r="AB237" i="2"/>
  <c r="AC242" i="2"/>
  <c r="AD247" i="2"/>
  <c r="Y251" i="2"/>
  <c r="AA256" i="2"/>
  <c r="AB261" i="2"/>
  <c r="AC266" i="2"/>
  <c r="AD271" i="2"/>
  <c r="Y275" i="2"/>
  <c r="AA280" i="2"/>
  <c r="AB285" i="2"/>
  <c r="AK285" i="2" s="1"/>
  <c r="AC290" i="2"/>
  <c r="AD295" i="2"/>
  <c r="Y299" i="2"/>
  <c r="AA304" i="2"/>
  <c r="AB309" i="2"/>
  <c r="AC314" i="2"/>
  <c r="AD319" i="2"/>
  <c r="Y323" i="2"/>
  <c r="AA328" i="2"/>
  <c r="AB333" i="2"/>
  <c r="AC338" i="2"/>
  <c r="AD343" i="2"/>
  <c r="Y347" i="2"/>
  <c r="AA352" i="2"/>
  <c r="AB357" i="2"/>
  <c r="AC362" i="2"/>
  <c r="AD367" i="2"/>
  <c r="Y371" i="2"/>
  <c r="AA376" i="2"/>
  <c r="AB381" i="2"/>
  <c r="AB387" i="2"/>
  <c r="AG397" i="2"/>
  <c r="AA399" i="2"/>
  <c r="W405" i="2"/>
  <c r="AF406" i="2"/>
  <c r="AD407" i="2"/>
  <c r="AB408" i="2"/>
  <c r="X410" i="2"/>
  <c r="U411" i="2"/>
  <c r="AG411" i="2"/>
  <c r="X414" i="2"/>
  <c r="AH419" i="2"/>
  <c r="X426" i="2"/>
  <c r="AB429" i="2"/>
  <c r="AK429" i="2" s="1"/>
  <c r="AI431" i="2"/>
  <c r="Z436" i="2"/>
  <c r="AE439" i="2"/>
  <c r="AB441" i="2"/>
  <c r="Z443" i="2"/>
  <c r="AF447" i="2"/>
  <c r="AH448" i="2"/>
  <c r="AE449" i="2"/>
  <c r="AD450" i="2"/>
  <c r="AB452" i="2"/>
  <c r="AK452" i="2" s="1"/>
  <c r="W457" i="2"/>
  <c r="AI457" i="2"/>
  <c r="AF459" i="2"/>
  <c r="AD461" i="2"/>
  <c r="AB463" i="2"/>
  <c r="X467" i="2"/>
  <c r="AF474" i="2"/>
  <c r="U476" i="2"/>
  <c r="AG476" i="2"/>
  <c r="U482" i="2"/>
  <c r="AH484" i="2"/>
  <c r="AF503" i="2"/>
  <c r="V513" i="2"/>
  <c r="AH513" i="2"/>
  <c r="AB530" i="2"/>
  <c r="AK530" i="2" s="1"/>
  <c r="AE540" i="2"/>
  <c r="AD540" i="2"/>
  <c r="V556" i="2"/>
  <c r="U556" i="2"/>
  <c r="W566" i="2"/>
  <c r="AI566" i="2"/>
  <c r="Y586" i="2"/>
  <c r="AE598" i="2"/>
  <c r="AH606" i="2"/>
  <c r="AB609" i="2"/>
  <c r="AK609" i="2" s="1"/>
  <c r="AC609" i="2"/>
  <c r="AC628" i="2"/>
  <c r="U636" i="2"/>
  <c r="V636" i="2"/>
  <c r="AH636" i="2"/>
  <c r="AG636" i="2"/>
  <c r="AC645" i="2"/>
  <c r="AB645" i="2"/>
  <c r="Z655" i="2"/>
  <c r="AK655" i="2" s="1"/>
  <c r="AF657" i="2"/>
  <c r="AH694" i="2"/>
  <c r="AE695" i="2"/>
  <c r="AD695" i="2"/>
  <c r="AD746" i="2"/>
  <c r="X783" i="2"/>
  <c r="W789" i="2"/>
  <c r="V789" i="2"/>
  <c r="AI789" i="2"/>
  <c r="AH789" i="2"/>
  <c r="Z810" i="2"/>
  <c r="AK810" i="2" s="1"/>
  <c r="Y810" i="2"/>
  <c r="AH385" i="2"/>
  <c r="AE390" i="2"/>
  <c r="AE402" i="2"/>
  <c r="AH406" i="2"/>
  <c r="AF412" i="2"/>
  <c r="AF423" i="2"/>
  <c r="AE433" i="2"/>
  <c r="W445" i="2"/>
  <c r="AI445" i="2"/>
  <c r="U447" i="2"/>
  <c r="AG447" i="2"/>
  <c r="AF449" i="2"/>
  <c r="AE490" i="2"/>
  <c r="W499" i="2"/>
  <c r="Y504" i="2"/>
  <c r="X504" i="2"/>
  <c r="AI517" i="2"/>
  <c r="AB519" i="2"/>
  <c r="U523" i="2"/>
  <c r="AA541" i="2"/>
  <c r="Z541" i="2"/>
  <c r="AF554" i="2"/>
  <c r="AE554" i="2"/>
  <c r="X566" i="2"/>
  <c r="AD569" i="2"/>
  <c r="AD587" i="2"/>
  <c r="Z596" i="2"/>
  <c r="Y600" i="2"/>
  <c r="X600" i="2"/>
  <c r="W606" i="2"/>
  <c r="AI606" i="2"/>
  <c r="AG617" i="2"/>
  <c r="AF617" i="2"/>
  <c r="AH621" i="2"/>
  <c r="V642" i="2"/>
  <c r="AH642" i="2"/>
  <c r="AA655" i="2"/>
  <c r="U657" i="2"/>
  <c r="AC670" i="2"/>
  <c r="W672" i="2"/>
  <c r="AI672" i="2"/>
  <c r="AH672" i="2"/>
  <c r="AF674" i="2"/>
  <c r="AE674" i="2"/>
  <c r="AB690" i="2"/>
  <c r="AD691" i="2"/>
  <c r="AE691" i="2"/>
  <c r="Z770" i="2"/>
  <c r="Y770" i="2"/>
  <c r="Z784" i="2"/>
  <c r="AA784" i="2"/>
  <c r="W361" i="2"/>
  <c r="AI361" i="2"/>
  <c r="Y366" i="2"/>
  <c r="AB384" i="2"/>
  <c r="AK384" i="2" s="1"/>
  <c r="X385" i="2"/>
  <c r="AD391" i="2"/>
  <c r="U394" i="2"/>
  <c r="AG394" i="2"/>
  <c r="AE394" i="2"/>
  <c r="AA396" i="2"/>
  <c r="W397" i="2"/>
  <c r="AI397" i="2"/>
  <c r="AA400" i="2"/>
  <c r="AG402" i="2"/>
  <c r="AD408" i="2"/>
  <c r="AI411" i="2"/>
  <c r="AD413" i="2"/>
  <c r="AI415" i="2"/>
  <c r="V423" i="2"/>
  <c r="AH423" i="2"/>
  <c r="AF424" i="2"/>
  <c r="AC425" i="2"/>
  <c r="Z426" i="2"/>
  <c r="AK426" i="2" s="1"/>
  <c r="AG433" i="2"/>
  <c r="AB436" i="2"/>
  <c r="AD440" i="2"/>
  <c r="X445" i="2"/>
  <c r="V447" i="2"/>
  <c r="AH447" i="2"/>
  <c r="AD452" i="2"/>
  <c r="V459" i="2"/>
  <c r="AH459" i="2"/>
  <c r="AF461" i="2"/>
  <c r="Z467" i="2"/>
  <c r="V471" i="2"/>
  <c r="W476" i="2"/>
  <c r="AI476" i="2"/>
  <c r="AB478" i="2"/>
  <c r="Z478" i="2"/>
  <c r="W482" i="2"/>
  <c r="AI482" i="2"/>
  <c r="X484" i="2"/>
  <c r="AF490" i="2"/>
  <c r="AB509" i="2"/>
  <c r="AA509" i="2"/>
  <c r="AE521" i="2"/>
  <c r="AC529" i="2"/>
  <c r="AB529" i="2"/>
  <c r="AK529" i="2" s="1"/>
  <c r="AF531" i="2"/>
  <c r="AE531" i="2"/>
  <c r="AD537" i="2"/>
  <c r="AD538" i="2"/>
  <c r="AC538" i="2"/>
  <c r="X610" i="2"/>
  <c r="W610" i="2"/>
  <c r="W621" i="2"/>
  <c r="V621" i="2"/>
  <c r="X672" i="2"/>
  <c r="V698" i="2"/>
  <c r="U698" i="2"/>
  <c r="AH698" i="2"/>
  <c r="AG698" i="2"/>
  <c r="AD739" i="2"/>
  <c r="AE739" i="2"/>
  <c r="AH386" i="2"/>
  <c r="AD387" i="2"/>
  <c r="AC399" i="2"/>
  <c r="AB409" i="2"/>
  <c r="AH412" i="2"/>
  <c r="AF416" i="2"/>
  <c r="AF420" i="2"/>
  <c r="AB421" i="2"/>
  <c r="AK421" i="2" s="1"/>
  <c r="AC454" i="2"/>
  <c r="Y488" i="2"/>
  <c r="Z488" i="2"/>
  <c r="AI507" i="2"/>
  <c r="AH507" i="2"/>
  <c r="V540" i="2"/>
  <c r="U540" i="2"/>
  <c r="AH540" i="2"/>
  <c r="AG540" i="2"/>
  <c r="V547" i="2"/>
  <c r="U547" i="2"/>
  <c r="AF577" i="2"/>
  <c r="AE577" i="2"/>
  <c r="AG583" i="2"/>
  <c r="AF583" i="2"/>
  <c r="V598" i="2"/>
  <c r="U598" i="2"/>
  <c r="V617" i="2"/>
  <c r="W617" i="2"/>
  <c r="AI617" i="2"/>
  <c r="AH617" i="2"/>
  <c r="W630" i="2"/>
  <c r="V630" i="2"/>
  <c r="AI630" i="2"/>
  <c r="AH630" i="2"/>
  <c r="AC644" i="2"/>
  <c r="V646" i="2"/>
  <c r="U646" i="2"/>
  <c r="AG646" i="2"/>
  <c r="AH646" i="2"/>
  <c r="AE652" i="2"/>
  <c r="AF652" i="2"/>
  <c r="AE685" i="2"/>
  <c r="AD685" i="2"/>
  <c r="U694" i="2"/>
  <c r="V694" i="2"/>
  <c r="AE697" i="2"/>
  <c r="AD697" i="2"/>
  <c r="W366" i="2"/>
  <c r="V385" i="2"/>
  <c r="W393" i="2"/>
  <c r="U397" i="2"/>
  <c r="AA404" i="2"/>
  <c r="Z418" i="2"/>
  <c r="X422" i="2"/>
  <c r="AB425" i="2"/>
  <c r="AK425" i="2" s="1"/>
  <c r="AB477" i="2"/>
  <c r="V484" i="2"/>
  <c r="V531" i="2"/>
  <c r="U531" i="2"/>
  <c r="AE553" i="2"/>
  <c r="AD553" i="2"/>
  <c r="AD604" i="2"/>
  <c r="AC604" i="2"/>
  <c r="AI667" i="2"/>
  <c r="AH667" i="2"/>
  <c r="V672" i="2"/>
  <c r="W735" i="2"/>
  <c r="V735" i="2"/>
  <c r="AC391" i="2"/>
  <c r="AE396" i="2"/>
  <c r="Z400" i="2"/>
  <c r="AA405" i="2"/>
  <c r="AB410" i="2"/>
  <c r="AK410" i="2" s="1"/>
  <c r="AC415" i="2"/>
  <c r="AE420" i="2"/>
  <c r="Z424" i="2"/>
  <c r="AA429" i="2"/>
  <c r="AD434" i="2"/>
  <c r="U437" i="2"/>
  <c r="AG437" i="2"/>
  <c r="V440" i="2"/>
  <c r="AH440" i="2"/>
  <c r="V445" i="2"/>
  <c r="AH445" i="2"/>
  <c r="Y450" i="2"/>
  <c r="V457" i="2"/>
  <c r="AH457" i="2"/>
  <c r="Y462" i="2"/>
  <c r="V469" i="2"/>
  <c r="AH469" i="2"/>
  <c r="AB486" i="2"/>
  <c r="AK486" i="2" s="1"/>
  <c r="AA486" i="2"/>
  <c r="W494" i="2"/>
  <c r="Y496" i="2"/>
  <c r="Z499" i="2"/>
  <c r="Y499" i="2"/>
  <c r="Y520" i="2"/>
  <c r="X520" i="2"/>
  <c r="V522" i="2"/>
  <c r="U526" i="2"/>
  <c r="AG526" i="2"/>
  <c r="X528" i="2"/>
  <c r="AD532" i="2"/>
  <c r="AC532" i="2"/>
  <c r="X551" i="2"/>
  <c r="AA560" i="2"/>
  <c r="V573" i="2"/>
  <c r="U573" i="2"/>
  <c r="W576" i="2"/>
  <c r="AF578" i="2"/>
  <c r="AE578" i="2"/>
  <c r="AC589" i="2"/>
  <c r="AA589" i="2"/>
  <c r="U592" i="2"/>
  <c r="U606" i="2"/>
  <c r="AG606" i="2"/>
  <c r="AF611" i="2"/>
  <c r="AA615" i="2"/>
  <c r="Y626" i="2"/>
  <c r="AC629" i="2"/>
  <c r="AA634" i="2"/>
  <c r="Y640" i="2"/>
  <c r="AF647" i="2"/>
  <c r="Z650" i="2"/>
  <c r="AC658" i="2"/>
  <c r="Y664" i="2"/>
  <c r="AA665" i="2"/>
  <c r="Z665" i="2"/>
  <c r="V667" i="2"/>
  <c r="U667" i="2"/>
  <c r="AA671" i="2"/>
  <c r="Z683" i="2"/>
  <c r="AA683" i="2"/>
  <c r="AE686" i="2"/>
  <c r="AF686" i="2"/>
  <c r="AF692" i="2"/>
  <c r="V700" i="2"/>
  <c r="AH700" i="2"/>
  <c r="AA738" i="2"/>
  <c r="W762" i="2"/>
  <c r="V762" i="2"/>
  <c r="AE796" i="2"/>
  <c r="V798" i="2"/>
  <c r="U798" i="2"/>
  <c r="AH798" i="2"/>
  <c r="AG798" i="2"/>
  <c r="V912" i="2"/>
  <c r="U912" i="2"/>
  <c r="AH912" i="2"/>
  <c r="AG912" i="2"/>
  <c r="W973" i="2"/>
  <c r="V973" i="2"/>
  <c r="AH973" i="2"/>
  <c r="AI973" i="2"/>
  <c r="Z985" i="2"/>
  <c r="AK985" i="2" s="1"/>
  <c r="Y985" i="2"/>
  <c r="Z1000" i="2"/>
  <c r="AK1000" i="2" s="1"/>
  <c r="Y1000" i="2"/>
  <c r="AA388" i="2"/>
  <c r="AB393" i="2"/>
  <c r="AK393" i="2" s="1"/>
  <c r="AC398" i="2"/>
  <c r="AD403" i="2"/>
  <c r="Y407" i="2"/>
  <c r="AA412" i="2"/>
  <c r="AB417" i="2"/>
  <c r="AK417" i="2" s="1"/>
  <c r="AC422" i="2"/>
  <c r="AD427" i="2"/>
  <c r="Y431" i="2"/>
  <c r="AF432" i="2"/>
  <c r="U435" i="2"/>
  <c r="AG435" i="2"/>
  <c r="Y438" i="2"/>
  <c r="AA441" i="2"/>
  <c r="AB446" i="2"/>
  <c r="AK446" i="2" s="1"/>
  <c r="Y448" i="2"/>
  <c r="AD451" i="2"/>
  <c r="AA453" i="2"/>
  <c r="AB458" i="2"/>
  <c r="AK458" i="2" s="1"/>
  <c r="Y460" i="2"/>
  <c r="AD463" i="2"/>
  <c r="AA465" i="2"/>
  <c r="AB470" i="2"/>
  <c r="AK470" i="2" s="1"/>
  <c r="Z473" i="2"/>
  <c r="AA475" i="2"/>
  <c r="AA481" i="2"/>
  <c r="Z481" i="2"/>
  <c r="AK481" i="2" s="1"/>
  <c r="AB483" i="2"/>
  <c r="AK483" i="2" s="1"/>
  <c r="W486" i="2"/>
  <c r="AI486" i="2"/>
  <c r="W487" i="2"/>
  <c r="V487" i="2"/>
  <c r="AI487" i="2"/>
  <c r="Y489" i="2"/>
  <c r="Z491" i="2"/>
  <c r="AC493" i="2"/>
  <c r="AD495" i="2"/>
  <c r="X502" i="2"/>
  <c r="W502" i="2"/>
  <c r="AA504" i="2"/>
  <c r="AD508" i="2"/>
  <c r="AB514" i="2"/>
  <c r="AG529" i="2"/>
  <c r="AF529" i="2"/>
  <c r="X539" i="2"/>
  <c r="W539" i="2"/>
  <c r="AB541" i="2"/>
  <c r="AD543" i="2"/>
  <c r="Y547" i="2"/>
  <c r="W552" i="2"/>
  <c r="Y556" i="2"/>
  <c r="X556" i="2"/>
  <c r="W561" i="2"/>
  <c r="AA565" i="2"/>
  <c r="AE574" i="2"/>
  <c r="AH576" i="2"/>
  <c r="AC578" i="2"/>
  <c r="AD593" i="2"/>
  <c r="AF593" i="2"/>
  <c r="AD594" i="2"/>
  <c r="W597" i="2"/>
  <c r="Z600" i="2"/>
  <c r="AF602" i="2"/>
  <c r="AE602" i="2"/>
  <c r="Z605" i="2"/>
  <c r="AK605" i="2" s="1"/>
  <c r="Y610" i="2"/>
  <c r="AG612" i="2"/>
  <c r="X616" i="2"/>
  <c r="X621" i="2"/>
  <c r="AI641" i="2"/>
  <c r="X646" i="2"/>
  <c r="W646" i="2"/>
  <c r="W651" i="2"/>
  <c r="V651" i="2"/>
  <c r="AA654" i="2"/>
  <c r="AF656" i="2"/>
  <c r="AE668" i="2"/>
  <c r="W674" i="2"/>
  <c r="V674" i="2"/>
  <c r="AI674" i="2"/>
  <c r="X698" i="2"/>
  <c r="AE706" i="2"/>
  <c r="AD706" i="2"/>
  <c r="W707" i="2"/>
  <c r="V707" i="2"/>
  <c r="AI707" i="2"/>
  <c r="AH707" i="2"/>
  <c r="AC713" i="2"/>
  <c r="AB713" i="2"/>
  <c r="AK713" i="2" s="1"/>
  <c r="AF723" i="2"/>
  <c r="AE723" i="2"/>
  <c r="W764" i="2"/>
  <c r="AI764" i="2"/>
  <c r="AH764" i="2"/>
  <c r="AF767" i="2"/>
  <c r="AH768" i="2"/>
  <c r="AG768" i="2"/>
  <c r="AA810" i="2"/>
  <c r="AF812" i="2"/>
  <c r="AE812" i="2"/>
  <c r="V819" i="2"/>
  <c r="U819" i="2"/>
  <c r="AH819" i="2"/>
  <c r="AG819" i="2"/>
  <c r="Z1346" i="2"/>
  <c r="Y1346" i="2"/>
  <c r="AG1384" i="2"/>
  <c r="AF1384" i="2"/>
  <c r="AB506" i="2"/>
  <c r="V510" i="2"/>
  <c r="U510" i="2"/>
  <c r="Y524" i="2"/>
  <c r="AD526" i="2"/>
  <c r="Y555" i="2"/>
  <c r="X555" i="2"/>
  <c r="AC579" i="2"/>
  <c r="AI665" i="2"/>
  <c r="AH665" i="2"/>
  <c r="X671" i="2"/>
  <c r="W671" i="2"/>
  <c r="AE676" i="2"/>
  <c r="AC677" i="2"/>
  <c r="AC740" i="2"/>
  <c r="AE741" i="2"/>
  <c r="W768" i="2"/>
  <c r="AI768" i="2"/>
  <c r="U1220" i="2"/>
  <c r="V1220" i="2"/>
  <c r="AF495" i="2"/>
  <c r="W510" i="2"/>
  <c r="AI510" i="2"/>
  <c r="Z512" i="2"/>
  <c r="AK512" i="2" s="1"/>
  <c r="Y512" i="2"/>
  <c r="AD516" i="2"/>
  <c r="AB516" i="2"/>
  <c r="V520" i="2"/>
  <c r="AF543" i="2"/>
  <c r="W546" i="2"/>
  <c r="AI546" i="2"/>
  <c r="AH546" i="2"/>
  <c r="AF567" i="2"/>
  <c r="Z571" i="2"/>
  <c r="AE573" i="2"/>
  <c r="AD573" i="2"/>
  <c r="X576" i="2"/>
  <c r="W581" i="2"/>
  <c r="AB584" i="2"/>
  <c r="Z584" i="2"/>
  <c r="V587" i="2"/>
  <c r="AH587" i="2"/>
  <c r="AB600" i="2"/>
  <c r="AA610" i="2"/>
  <c r="Z621" i="2"/>
  <c r="W627" i="2"/>
  <c r="V627" i="2"/>
  <c r="U632" i="2"/>
  <c r="AG632" i="2"/>
  <c r="AI635" i="2"/>
  <c r="AH640" i="2"/>
  <c r="W641" i="2"/>
  <c r="U643" i="2"/>
  <c r="AI650" i="2"/>
  <c r="Y651" i="2"/>
  <c r="X651" i="2"/>
  <c r="AC653" i="2"/>
  <c r="V662" i="2"/>
  <c r="U668" i="2"/>
  <c r="AG668" i="2"/>
  <c r="U693" i="2"/>
  <c r="AG693" i="2"/>
  <c r="AF693" i="2"/>
  <c r="V697" i="2"/>
  <c r="U697" i="2"/>
  <c r="AC704" i="2"/>
  <c r="AB704" i="2"/>
  <c r="U706" i="2"/>
  <c r="V723" i="2"/>
  <c r="AH723" i="2"/>
  <c r="Y977" i="2"/>
  <c r="X977" i="2"/>
  <c r="U980" i="2"/>
  <c r="V980" i="2"/>
  <c r="AH980" i="2"/>
  <c r="AG980" i="2"/>
  <c r="AA987" i="2"/>
  <c r="Z987" i="2"/>
  <c r="AA1005" i="2"/>
  <c r="Z1005" i="2"/>
  <c r="Y1217" i="2"/>
  <c r="X1217" i="2"/>
  <c r="AA524" i="2"/>
  <c r="AA532" i="2"/>
  <c r="AE549" i="2"/>
  <c r="AD549" i="2"/>
  <c r="W602" i="2"/>
  <c r="V602" i="2"/>
  <c r="U612" i="2"/>
  <c r="V612" i="2"/>
  <c r="Z660" i="2"/>
  <c r="AK660" i="2" s="1"/>
  <c r="Y660" i="2"/>
  <c r="AD761" i="2"/>
  <c r="AC761" i="2"/>
  <c r="X799" i="2"/>
  <c r="W799" i="2"/>
  <c r="AE807" i="2"/>
  <c r="AD807" i="2"/>
  <c r="W497" i="2"/>
  <c r="V497" i="2"/>
  <c r="AI497" i="2"/>
  <c r="AH497" i="2"/>
  <c r="AF506" i="2"/>
  <c r="AE506" i="2"/>
  <c r="V508" i="2"/>
  <c r="U508" i="2"/>
  <c r="AH508" i="2"/>
  <c r="AG508" i="2"/>
  <c r="V546" i="2"/>
  <c r="X571" i="2"/>
  <c r="X656" i="2"/>
  <c r="W656" i="2"/>
  <c r="AE720" i="2"/>
  <c r="AF720" i="2"/>
  <c r="AB794" i="2"/>
  <c r="X808" i="2"/>
  <c r="W808" i="2"/>
  <c r="AE564" i="2"/>
  <c r="AG588" i="2"/>
  <c r="Z601" i="2"/>
  <c r="AK601" i="2" s="1"/>
  <c r="AB640" i="2"/>
  <c r="AA640" i="2"/>
  <c r="AB671" i="2"/>
  <c r="AF677" i="2"/>
  <c r="W705" i="2"/>
  <c r="V705" i="2"/>
  <c r="AA711" i="2"/>
  <c r="Y789" i="2"/>
  <c r="X789" i="2"/>
  <c r="AF828" i="2"/>
  <c r="AE828" i="2"/>
  <c r="X843" i="2"/>
  <c r="W843" i="2"/>
  <c r="V970" i="2"/>
  <c r="U970" i="2"/>
  <c r="AH970" i="2"/>
  <c r="AG970" i="2"/>
  <c r="Z1051" i="2"/>
  <c r="AK1051" i="2" s="1"/>
  <c r="Y1051" i="2"/>
  <c r="AG1182" i="2"/>
  <c r="AF1182" i="2"/>
  <c r="W1237" i="2"/>
  <c r="V1237" i="2"/>
  <c r="AI1237" i="2"/>
  <c r="AH1237" i="2"/>
  <c r="V1374" i="2"/>
  <c r="U1374" i="2"/>
  <c r="V1388" i="2"/>
  <c r="U1388" i="2"/>
  <c r="AH1388" i="2"/>
  <c r="AG1388" i="2"/>
  <c r="Y1499" i="2"/>
  <c r="AD498" i="2"/>
  <c r="AD501" i="2"/>
  <c r="AF511" i="2"/>
  <c r="Z536" i="2"/>
  <c r="AA546" i="2"/>
  <c r="AC555" i="2"/>
  <c r="AF559" i="2"/>
  <c r="Y572" i="2"/>
  <c r="X598" i="2"/>
  <c r="W598" i="2"/>
  <c r="AA611" i="2"/>
  <c r="Z611" i="2"/>
  <c r="AK611" i="2" s="1"/>
  <c r="Y627" i="2"/>
  <c r="X627" i="2"/>
  <c r="AE645" i="2"/>
  <c r="AD645" i="2"/>
  <c r="Y666" i="2"/>
  <c r="AA673" i="2"/>
  <c r="V714" i="2"/>
  <c r="U714" i="2"/>
  <c r="AC717" i="2"/>
  <c r="AA790" i="2"/>
  <c r="AI838" i="2"/>
  <c r="AH838" i="2"/>
  <c r="AE886" i="2"/>
  <c r="AD886" i="2"/>
  <c r="Z1031" i="2"/>
  <c r="Y1031" i="2"/>
  <c r="Z1146" i="2"/>
  <c r="Y476" i="2"/>
  <c r="AB491" i="2"/>
  <c r="AG506" i="2"/>
  <c r="AA507" i="2"/>
  <c r="AG516" i="2"/>
  <c r="AD519" i="2"/>
  <c r="AA522" i="2"/>
  <c r="AB551" i="2"/>
  <c r="AA556" i="2"/>
  <c r="AG564" i="2"/>
  <c r="Z577" i="2"/>
  <c r="AC580" i="2"/>
  <c r="AB616" i="2"/>
  <c r="AK616" i="2" s="1"/>
  <c r="AA616" i="2"/>
  <c r="AB621" i="2"/>
  <c r="W632" i="2"/>
  <c r="Y636" i="2"/>
  <c r="Z641" i="2"/>
  <c r="AK641" i="2" s="1"/>
  <c r="W647" i="2"/>
  <c r="AC650" i="2"/>
  <c r="Y656" i="2"/>
  <c r="AC665" i="2"/>
  <c r="Y675" i="2"/>
  <c r="X675" i="2"/>
  <c r="AI690" i="2"/>
  <c r="AH690" i="2"/>
  <c r="W692" i="2"/>
  <c r="X692" i="2"/>
  <c r="AD693" i="2"/>
  <c r="AH701" i="2"/>
  <c r="AF702" i="2"/>
  <c r="AD708" i="2"/>
  <c r="AE710" i="2"/>
  <c r="AG722" i="2"/>
  <c r="AF722" i="2"/>
  <c r="Z751" i="2"/>
  <c r="V766" i="2"/>
  <c r="U766" i="2"/>
  <c r="AG766" i="2"/>
  <c r="AH766" i="2"/>
  <c r="AF781" i="2"/>
  <c r="AG781" i="2"/>
  <c r="AE806" i="2"/>
  <c r="AF806" i="2"/>
  <c r="AE817" i="2"/>
  <c r="AD817" i="2"/>
  <c r="AA826" i="2"/>
  <c r="Z826" i="2"/>
  <c r="X826" i="2"/>
  <c r="AB867" i="2"/>
  <c r="Z884" i="2"/>
  <c r="Y884" i="2"/>
  <c r="U470" i="2"/>
  <c r="AG470" i="2"/>
  <c r="AI480" i="2"/>
  <c r="Y490" i="2"/>
  <c r="AF491" i="2"/>
  <c r="V501" i="2"/>
  <c r="X511" i="2"/>
  <c r="AE512" i="2"/>
  <c r="AA518" i="2"/>
  <c r="AA523" i="2"/>
  <c r="V524" i="2"/>
  <c r="W526" i="2"/>
  <c r="AC528" i="2"/>
  <c r="Z528" i="2"/>
  <c r="AK528" i="2" s="1"/>
  <c r="X531" i="2"/>
  <c r="W532" i="2"/>
  <c r="AD533" i="2"/>
  <c r="Z537" i="2"/>
  <c r="W544" i="2"/>
  <c r="AI544" i="2"/>
  <c r="AD547" i="2"/>
  <c r="U549" i="2"/>
  <c r="AB557" i="2"/>
  <c r="U560" i="2"/>
  <c r="AG560" i="2"/>
  <c r="AE566" i="2"/>
  <c r="X567" i="2"/>
  <c r="Y568" i="2"/>
  <c r="AI569" i="2"/>
  <c r="AF571" i="2"/>
  <c r="X574" i="2"/>
  <c r="W574" i="2"/>
  <c r="AE576" i="2"/>
  <c r="V578" i="2"/>
  <c r="AA582" i="2"/>
  <c r="Z583" i="2"/>
  <c r="AK583" i="2" s="1"/>
  <c r="AD586" i="2"/>
  <c r="AA587" i="2"/>
  <c r="Z587" i="2"/>
  <c r="V588" i="2"/>
  <c r="AD591" i="2"/>
  <c r="W593" i="2"/>
  <c r="W594" i="2"/>
  <c r="AI594" i="2"/>
  <c r="AE596" i="2"/>
  <c r="AG600" i="2"/>
  <c r="Y603" i="2"/>
  <c r="X603" i="2"/>
  <c r="AF605" i="2"/>
  <c r="AB607" i="2"/>
  <c r="X607" i="2"/>
  <c r="W609" i="2"/>
  <c r="AC611" i="2"/>
  <c r="AA612" i="2"/>
  <c r="W614" i="2"/>
  <c r="AF615" i="2"/>
  <c r="U620" i="2"/>
  <c r="AG620" i="2"/>
  <c r="AE621" i="2"/>
  <c r="AD621" i="2"/>
  <c r="AF625" i="2"/>
  <c r="AH629" i="2"/>
  <c r="AA632" i="2"/>
  <c r="AC636" i="2"/>
  <c r="X637" i="2"/>
  <c r="Y638" i="2"/>
  <c r="Z643" i="2"/>
  <c r="AK643" i="2" s="1"/>
  <c r="AG645" i="2"/>
  <c r="AB646" i="2"/>
  <c r="AK646" i="2" s="1"/>
  <c r="U648" i="2"/>
  <c r="V649" i="2"/>
  <c r="AH649" i="2"/>
  <c r="AF650" i="2"/>
  <c r="AE650" i="2"/>
  <c r="U654" i="2"/>
  <c r="AG654" i="2"/>
  <c r="AC661" i="2"/>
  <c r="Z661" i="2"/>
  <c r="U669" i="2"/>
  <c r="AF671" i="2"/>
  <c r="AE672" i="2"/>
  <c r="AC673" i="2"/>
  <c r="V675" i="2"/>
  <c r="V682" i="2"/>
  <c r="Y686" i="2"/>
  <c r="U686" i="2"/>
  <c r="W687" i="2"/>
  <c r="Z691" i="2"/>
  <c r="V691" i="2"/>
  <c r="AC694" i="2"/>
  <c r="X696" i="2"/>
  <c r="Y697" i="2"/>
  <c r="AD699" i="2"/>
  <c r="AD709" i="2"/>
  <c r="AA709" i="2"/>
  <c r="AE711" i="2"/>
  <c r="AD711" i="2"/>
  <c r="AF717" i="2"/>
  <c r="Z726" i="2"/>
  <c r="Z741" i="2"/>
  <c r="AK741" i="2" s="1"/>
  <c r="Y743" i="2"/>
  <c r="AA747" i="2"/>
  <c r="AC749" i="2"/>
  <c r="AB749" i="2"/>
  <c r="AK749" i="2" s="1"/>
  <c r="AF756" i="2"/>
  <c r="AC763" i="2"/>
  <c r="W766" i="2"/>
  <c r="AA772" i="2"/>
  <c r="AE777" i="2"/>
  <c r="AE779" i="2"/>
  <c r="V781" i="2"/>
  <c r="AH781" i="2"/>
  <c r="Z782" i="2"/>
  <c r="AK782" i="2" s="1"/>
  <c r="X787" i="2"/>
  <c r="AE798" i="2"/>
  <c r="U806" i="2"/>
  <c r="AG806" i="2"/>
  <c r="Z864" i="2"/>
  <c r="AK864" i="2" s="1"/>
  <c r="AD866" i="2"/>
  <c r="AC866" i="2"/>
  <c r="AH883" i="2"/>
  <c r="Z477" i="2"/>
  <c r="AC479" i="2"/>
  <c r="AB487" i="2"/>
  <c r="X497" i="2"/>
  <c r="W498" i="2"/>
  <c r="AI498" i="2"/>
  <c r="AI501" i="2"/>
  <c r="U506" i="2"/>
  <c r="AF507" i="2"/>
  <c r="U516" i="2"/>
  <c r="X518" i="2"/>
  <c r="AB523" i="2"/>
  <c r="AK523" i="2" s="1"/>
  <c r="AI524" i="2"/>
  <c r="AH524" i="2"/>
  <c r="AC536" i="2"/>
  <c r="W537" i="2"/>
  <c r="AE542" i="2"/>
  <c r="X543" i="2"/>
  <c r="Z553" i="2"/>
  <c r="AK553" i="2" s="1"/>
  <c r="U574" i="2"/>
  <c r="AB577" i="2"/>
  <c r="AB592" i="2"/>
  <c r="AA592" i="2"/>
  <c r="AD601" i="2"/>
  <c r="V603" i="2"/>
  <c r="AC641" i="2"/>
  <c r="AD646" i="2"/>
  <c r="AE660" i="2"/>
  <c r="Z668" i="2"/>
  <c r="X670" i="2"/>
  <c r="W670" i="2"/>
  <c r="U684" i="2"/>
  <c r="V689" i="2"/>
  <c r="V703" i="2"/>
  <c r="U703" i="2"/>
  <c r="AC707" i="2"/>
  <c r="U712" i="2"/>
  <c r="V718" i="2"/>
  <c r="U718" i="2"/>
  <c r="W722" i="2"/>
  <c r="W726" i="2"/>
  <c r="AG733" i="2"/>
  <c r="AF733" i="2"/>
  <c r="AB747" i="2"/>
  <c r="AI770" i="2"/>
  <c r="AH770" i="2"/>
  <c r="AB772" i="2"/>
  <c r="W781" i="2"/>
  <c r="AI781" i="2"/>
  <c r="AB852" i="2"/>
  <c r="AA852" i="2"/>
  <c r="AB871" i="2"/>
  <c r="AA871" i="2"/>
  <c r="W883" i="2"/>
  <c r="V883" i="2"/>
  <c r="AA1007" i="2"/>
  <c r="Z1007" i="2"/>
  <c r="AH527" i="2"/>
  <c r="AG530" i="2"/>
  <c r="Y534" i="2"/>
  <c r="AH535" i="2"/>
  <c r="Z540" i="2"/>
  <c r="AA548" i="2"/>
  <c r="X550" i="2"/>
  <c r="W550" i="2"/>
  <c r="AE551" i="2"/>
  <c r="AD556" i="2"/>
  <c r="AA563" i="2"/>
  <c r="Z563" i="2"/>
  <c r="AK563" i="2" s="1"/>
  <c r="W569" i="2"/>
  <c r="AC572" i="2"/>
  <c r="Y579" i="2"/>
  <c r="X579" i="2"/>
  <c r="AF580" i="2"/>
  <c r="AE597" i="2"/>
  <c r="AD597" i="2"/>
  <c r="AA617" i="2"/>
  <c r="Y618" i="2"/>
  <c r="AB622" i="2"/>
  <c r="AK622" i="2" s="1"/>
  <c r="AF626" i="2"/>
  <c r="AE626" i="2"/>
  <c r="AD631" i="2"/>
  <c r="AA642" i="2"/>
  <c r="AC651" i="2"/>
  <c r="AF655" i="2"/>
  <c r="AC666" i="2"/>
  <c r="Z675" i="2"/>
  <c r="W680" i="2"/>
  <c r="X680" i="2"/>
  <c r="AB696" i="2"/>
  <c r="AH724" i="2"/>
  <c r="AG724" i="2"/>
  <c r="Z734" i="2"/>
  <c r="Y740" i="2"/>
  <c r="AA744" i="2"/>
  <c r="AB746" i="2"/>
  <c r="AK746" i="2" s="1"/>
  <c r="AG769" i="2"/>
  <c r="AF769" i="2"/>
  <c r="AG814" i="2"/>
  <c r="AF814" i="2"/>
  <c r="AF833" i="2"/>
  <c r="AG833" i="2"/>
  <c r="AC865" i="2"/>
  <c r="AA1008" i="2"/>
  <c r="AB479" i="2"/>
  <c r="V481" i="2"/>
  <c r="AH481" i="2"/>
  <c r="AD497" i="2"/>
  <c r="U499" i="2"/>
  <c r="AD502" i="2"/>
  <c r="AA506" i="2"/>
  <c r="AE507" i="2"/>
  <c r="V517" i="2"/>
  <c r="AH517" i="2"/>
  <c r="Y538" i="2"/>
  <c r="AD539" i="2"/>
  <c r="Y549" i="2"/>
  <c r="AA554" i="2"/>
  <c r="AG556" i="2"/>
  <c r="V561" i="2"/>
  <c r="AE562" i="2"/>
  <c r="AE567" i="2"/>
  <c r="AB568" i="2"/>
  <c r="AA568" i="2"/>
  <c r="X575" i="2"/>
  <c r="Z578" i="2"/>
  <c r="AK578" i="2" s="1"/>
  <c r="X585" i="2"/>
  <c r="X590" i="2"/>
  <c r="AB593" i="2"/>
  <c r="Y595" i="2"/>
  <c r="AC598" i="2"/>
  <c r="W599" i="2"/>
  <c r="U601" i="2"/>
  <c r="Y604" i="2"/>
  <c r="AB608" i="2"/>
  <c r="AB613" i="2"/>
  <c r="AK613" i="2" s="1"/>
  <c r="AD617" i="2"/>
  <c r="AA619" i="2"/>
  <c r="AE622" i="2"/>
  <c r="Z624" i="2"/>
  <c r="AD627" i="2"/>
  <c r="X628" i="2"/>
  <c r="AG631" i="2"/>
  <c r="V635" i="2"/>
  <c r="AH635" i="2"/>
  <c r="AA637" i="2"/>
  <c r="AD642" i="2"/>
  <c r="X645" i="2"/>
  <c r="AB648" i="2"/>
  <c r="AF651" i="2"/>
  <c r="AA653" i="2"/>
  <c r="X659" i="2"/>
  <c r="AH660" i="2"/>
  <c r="AG660" i="2"/>
  <c r="Y669" i="2"/>
  <c r="AF673" i="2"/>
  <c r="AA677" i="2"/>
  <c r="V678" i="2"/>
  <c r="Z679" i="2"/>
  <c r="AK679" i="2" s="1"/>
  <c r="AB682" i="2"/>
  <c r="AA684" i="2"/>
  <c r="AC687" i="2"/>
  <c r="AB689" i="2"/>
  <c r="Z690" i="2"/>
  <c r="AB692" i="2"/>
  <c r="AK692" i="2" s="1"/>
  <c r="AA692" i="2"/>
  <c r="AF698" i="2"/>
  <c r="AE698" i="2"/>
  <c r="U700" i="2"/>
  <c r="W701" i="2"/>
  <c r="V701" i="2"/>
  <c r="AC705" i="2"/>
  <c r="U721" i="2"/>
  <c r="AG721" i="2"/>
  <c r="AF721" i="2"/>
  <c r="V722" i="2"/>
  <c r="W733" i="2"/>
  <c r="AI733" i="2"/>
  <c r="W737" i="2"/>
  <c r="AI737" i="2"/>
  <c r="AE763" i="2"/>
  <c r="V764" i="2"/>
  <c r="U764" i="2"/>
  <c r="W770" i="2"/>
  <c r="X791" i="2"/>
  <c r="AA815" i="2"/>
  <c r="Z815" i="2"/>
  <c r="AB1006" i="2"/>
  <c r="AE851" i="2"/>
  <c r="AA962" i="2"/>
  <c r="AI999" i="2"/>
  <c r="AH999" i="2"/>
  <c r="AC1008" i="2"/>
  <c r="AD1008" i="2"/>
  <c r="AA1016" i="2"/>
  <c r="AD1132" i="2"/>
  <c r="AC1132" i="2"/>
  <c r="AB1216" i="2"/>
  <c r="AA1216" i="2"/>
  <c r="AA1264" i="2"/>
  <c r="Z1264" i="2"/>
  <c r="W1304" i="2"/>
  <c r="V1304" i="2"/>
  <c r="AI1304" i="2"/>
  <c r="AH1304" i="2"/>
  <c r="AG1313" i="2"/>
  <c r="AF1313" i="2"/>
  <c r="AG1333" i="2"/>
  <c r="AF1333" i="2"/>
  <c r="Y1379" i="2"/>
  <c r="X1379" i="2"/>
  <c r="AC1387" i="2"/>
  <c r="AD1387" i="2"/>
  <c r="X760" i="2"/>
  <c r="W760" i="2"/>
  <c r="W779" i="2"/>
  <c r="V779" i="2"/>
  <c r="AI779" i="2"/>
  <c r="AH779" i="2"/>
  <c r="AA808" i="2"/>
  <c r="Z808" i="2"/>
  <c r="AA825" i="2"/>
  <c r="Y861" i="2"/>
  <c r="X861" i="2"/>
  <c r="W879" i="2"/>
  <c r="V879" i="2"/>
  <c r="AI879" i="2"/>
  <c r="AH879" i="2"/>
  <c r="AE946" i="2"/>
  <c r="AD946" i="2"/>
  <c r="W991" i="2"/>
  <c r="V991" i="2"/>
  <c r="AB1002" i="2"/>
  <c r="Y1133" i="2"/>
  <c r="X1133" i="2"/>
  <c r="Z1138" i="2"/>
  <c r="Y1138" i="2"/>
  <c r="AC678" i="2"/>
  <c r="AF684" i="2"/>
  <c r="AG689" i="2"/>
  <c r="AC690" i="2"/>
  <c r="AF696" i="2"/>
  <c r="AD725" i="2"/>
  <c r="AG726" i="2"/>
  <c r="AE727" i="2"/>
  <c r="AH728" i="2"/>
  <c r="AA734" i="2"/>
  <c r="AG735" i="2"/>
  <c r="AF740" i="2"/>
  <c r="AE740" i="2"/>
  <c r="AC790" i="2"/>
  <c r="AA799" i="2"/>
  <c r="Z799" i="2"/>
  <c r="AF800" i="2"/>
  <c r="Y818" i="2"/>
  <c r="AH846" i="2"/>
  <c r="AG846" i="2"/>
  <c r="AD849" i="2"/>
  <c r="AC863" i="2"/>
  <c r="AB863" i="2"/>
  <c r="AK863" i="2" s="1"/>
  <c r="W919" i="2"/>
  <c r="V919" i="2"/>
  <c r="V925" i="2"/>
  <c r="U925" i="2"/>
  <c r="AH925" i="2"/>
  <c r="AG925" i="2"/>
  <c r="AD940" i="2"/>
  <c r="AD941" i="2"/>
  <c r="AC941" i="2"/>
  <c r="AA942" i="2"/>
  <c r="Y999" i="2"/>
  <c r="X999" i="2"/>
  <c r="Y1109" i="2"/>
  <c r="X1109" i="2"/>
  <c r="AD473" i="2"/>
  <c r="AA482" i="2"/>
  <c r="AC492" i="2"/>
  <c r="Z501" i="2"/>
  <c r="AB511" i="2"/>
  <c r="AK511" i="2" s="1"/>
  <c r="AD521" i="2"/>
  <c r="AA530" i="2"/>
  <c r="AC540" i="2"/>
  <c r="U546" i="2"/>
  <c r="AG546" i="2"/>
  <c r="AE560" i="2"/>
  <c r="AF565" i="2"/>
  <c r="U570" i="2"/>
  <c r="AG570" i="2"/>
  <c r="AE584" i="2"/>
  <c r="AF589" i="2"/>
  <c r="U594" i="2"/>
  <c r="AG594" i="2"/>
  <c r="AE608" i="2"/>
  <c r="AF613" i="2"/>
  <c r="U618" i="2"/>
  <c r="AG618" i="2"/>
  <c r="AE632" i="2"/>
  <c r="AF637" i="2"/>
  <c r="U642" i="2"/>
  <c r="AG642" i="2"/>
  <c r="AE656" i="2"/>
  <c r="AF661" i="2"/>
  <c r="U666" i="2"/>
  <c r="AG666" i="2"/>
  <c r="AC675" i="2"/>
  <c r="V683" i="2"/>
  <c r="AH683" i="2"/>
  <c r="W688" i="2"/>
  <c r="AI688" i="2"/>
  <c r="V695" i="2"/>
  <c r="AH695" i="2"/>
  <c r="X712" i="2"/>
  <c r="W712" i="2"/>
  <c r="Y714" i="2"/>
  <c r="Z716" i="2"/>
  <c r="Z718" i="2"/>
  <c r="Y722" i="2"/>
  <c r="AF729" i="2"/>
  <c r="W731" i="2"/>
  <c r="V731" i="2"/>
  <c r="AI731" i="2"/>
  <c r="AH731" i="2"/>
  <c r="AD733" i="2"/>
  <c r="AC734" i="2"/>
  <c r="AF748" i="2"/>
  <c r="V752" i="2"/>
  <c r="AH752" i="2"/>
  <c r="AB767" i="2"/>
  <c r="AK767" i="2" s="1"/>
  <c r="AC769" i="2"/>
  <c r="U773" i="2"/>
  <c r="AG773" i="2"/>
  <c r="V775" i="2"/>
  <c r="AH775" i="2"/>
  <c r="AE786" i="2"/>
  <c r="AE790" i="2"/>
  <c r="U802" i="2"/>
  <c r="AG802" i="2"/>
  <c r="X811" i="2"/>
  <c r="AD824" i="2"/>
  <c r="AD825" i="2"/>
  <c r="AD830" i="2"/>
  <c r="AA837" i="2"/>
  <c r="W846" i="2"/>
  <c r="AF849" i="2"/>
  <c r="Y897" i="2"/>
  <c r="AD917" i="2"/>
  <c r="AC917" i="2"/>
  <c r="AC927" i="2"/>
  <c r="AB927" i="2"/>
  <c r="W930" i="2"/>
  <c r="V930" i="2"/>
  <c r="AI930" i="2"/>
  <c r="AH930" i="2"/>
  <c r="AI957" i="2"/>
  <c r="V999" i="2"/>
  <c r="Z721" i="2"/>
  <c r="AB780" i="2"/>
  <c r="AA780" i="2"/>
  <c r="W797" i="2"/>
  <c r="AA807" i="2"/>
  <c r="AB813" i="2"/>
  <c r="AA813" i="2"/>
  <c r="W816" i="2"/>
  <c r="V816" i="2"/>
  <c r="AI816" i="2"/>
  <c r="AH816" i="2"/>
  <c r="X837" i="2"/>
  <c r="AB931" i="2"/>
  <c r="AA931" i="2"/>
  <c r="V937" i="2"/>
  <c r="U937" i="2"/>
  <c r="AH937" i="2"/>
  <c r="AG937" i="2"/>
  <c r="Z1061" i="2"/>
  <c r="Y1061" i="2"/>
  <c r="AB1114" i="2"/>
  <c r="AK1114" i="2" s="1"/>
  <c r="AA1114" i="2"/>
  <c r="AD686" i="2"/>
  <c r="Z719" i="2"/>
  <c r="AK719" i="2" s="1"/>
  <c r="Y732" i="2"/>
  <c r="V750" i="2"/>
  <c r="U750" i="2"/>
  <c r="AH750" i="2"/>
  <c r="AG750" i="2"/>
  <c r="Z761" i="2"/>
  <c r="AK761" i="2" s="1"/>
  <c r="AA763" i="2"/>
  <c r="AF788" i="2"/>
  <c r="AE788" i="2"/>
  <c r="V834" i="2"/>
  <c r="U834" i="2"/>
  <c r="V850" i="2"/>
  <c r="U850" i="2"/>
  <c r="AE870" i="2"/>
  <c r="AD870" i="2"/>
  <c r="Z896" i="2"/>
  <c r="Y896" i="2"/>
  <c r="Z902" i="2"/>
  <c r="AB915" i="2"/>
  <c r="AC915" i="2"/>
  <c r="AC916" i="2"/>
  <c r="Z953" i="2"/>
  <c r="AK953" i="2" s="1"/>
  <c r="Y953" i="2"/>
  <c r="W957" i="2"/>
  <c r="AC1055" i="2"/>
  <c r="AD1055" i="2"/>
  <c r="AF1056" i="2"/>
  <c r="AG1056" i="2"/>
  <c r="X669" i="2"/>
  <c r="AE670" i="2"/>
  <c r="Y674" i="2"/>
  <c r="AD680" i="2"/>
  <c r="AC681" i="2"/>
  <c r="AD692" i="2"/>
  <c r="AC693" i="2"/>
  <c r="AC699" i="2"/>
  <c r="AB701" i="2"/>
  <c r="AK701" i="2" s="1"/>
  <c r="AA703" i="2"/>
  <c r="AB705" i="2"/>
  <c r="AK705" i="2" s="1"/>
  <c r="AB707" i="2"/>
  <c r="AK707" i="2" s="1"/>
  <c r="AB715" i="2"/>
  <c r="U725" i="2"/>
  <c r="AG725" i="2"/>
  <c r="V727" i="2"/>
  <c r="AH727" i="2"/>
  <c r="Y730" i="2"/>
  <c r="AB732" i="2"/>
  <c r="AK732" i="2" s="1"/>
  <c r="Y741" i="2"/>
  <c r="X741" i="2"/>
  <c r="X743" i="2"/>
  <c r="Y745" i="2"/>
  <c r="AA753" i="2"/>
  <c r="AB755" i="2"/>
  <c r="AB757" i="2"/>
  <c r="AB759" i="2"/>
  <c r="AD765" i="2"/>
  <c r="AE767" i="2"/>
  <c r="Z776" i="2"/>
  <c r="W783" i="2"/>
  <c r="Z793" i="2"/>
  <c r="AA795" i="2"/>
  <c r="Z822" i="2"/>
  <c r="Y822" i="2"/>
  <c r="AF824" i="2"/>
  <c r="AA854" i="2"/>
  <c r="Z854" i="2"/>
  <c r="AC738" i="2"/>
  <c r="AA745" i="2"/>
  <c r="X749" i="2"/>
  <c r="AF765" i="2"/>
  <c r="AD767" i="2"/>
  <c r="AD778" i="2"/>
  <c r="AC778" i="2"/>
  <c r="AD782" i="2"/>
  <c r="AD784" i="2"/>
  <c r="V800" i="2"/>
  <c r="AH800" i="2"/>
  <c r="Z803" i="2"/>
  <c r="AA805" i="2"/>
  <c r="W811" i="2"/>
  <c r="AC815" i="2"/>
  <c r="X819" i="2"/>
  <c r="Z821" i="2"/>
  <c r="Y827" i="2"/>
  <c r="Z837" i="2"/>
  <c r="AB868" i="2"/>
  <c r="AA868" i="2"/>
  <c r="AD871" i="2"/>
  <c r="AE876" i="2"/>
  <c r="V878" i="2"/>
  <c r="AH878" i="2"/>
  <c r="AG880" i="2"/>
  <c r="X892" i="2"/>
  <c r="W893" i="2"/>
  <c r="AA898" i="2"/>
  <c r="Z903" i="2"/>
  <c r="AK903" i="2" s="1"/>
  <c r="AD905" i="2"/>
  <c r="AC905" i="2"/>
  <c r="AH919" i="2"/>
  <c r="U936" i="2"/>
  <c r="AB943" i="2"/>
  <c r="AA943" i="2"/>
  <c r="V961" i="2"/>
  <c r="W961" i="2"/>
  <c r="AI961" i="2"/>
  <c r="AH961" i="2"/>
  <c r="AD964" i="2"/>
  <c r="Y996" i="2"/>
  <c r="X996" i="2"/>
  <c r="AB1054" i="2"/>
  <c r="V1058" i="2"/>
  <c r="X1062" i="2"/>
  <c r="AH1355" i="2"/>
  <c r="AG1355" i="2"/>
  <c r="AA1510" i="2"/>
  <c r="Z1510" i="2"/>
  <c r="U708" i="2"/>
  <c r="U710" i="2"/>
  <c r="AG710" i="2"/>
  <c r="AE713" i="2"/>
  <c r="AD715" i="2"/>
  <c r="AA722" i="2"/>
  <c r="AB724" i="2"/>
  <c r="AB726" i="2"/>
  <c r="AA728" i="2"/>
  <c r="Y737" i="2"/>
  <c r="X739" i="2"/>
  <c r="U746" i="2"/>
  <c r="AG746" i="2"/>
  <c r="AE748" i="2"/>
  <c r="Z766" i="2"/>
  <c r="Y768" i="2"/>
  <c r="Z772" i="2"/>
  <c r="Z774" i="2"/>
  <c r="Y778" i="2"/>
  <c r="W785" i="2"/>
  <c r="V787" i="2"/>
  <c r="AH787" i="2"/>
  <c r="W791" i="2"/>
  <c r="Y793" i="2"/>
  <c r="Y795" i="2"/>
  <c r="Z797" i="2"/>
  <c r="U804" i="2"/>
  <c r="AG804" i="2"/>
  <c r="W806" i="2"/>
  <c r="AC810" i="2"/>
  <c r="V814" i="2"/>
  <c r="AC818" i="2"/>
  <c r="AB818" i="2"/>
  <c r="AK818" i="2" s="1"/>
  <c r="AF820" i="2"/>
  <c r="V838" i="2"/>
  <c r="AC841" i="2"/>
  <c r="V848" i="2"/>
  <c r="Z861" i="2"/>
  <c r="U890" i="2"/>
  <c r="AG890" i="2"/>
  <c r="AF890" i="2"/>
  <c r="AF911" i="2"/>
  <c r="W921" i="2"/>
  <c r="AI921" i="2"/>
  <c r="V924" i="2"/>
  <c r="U924" i="2"/>
  <c r="AH924" i="2"/>
  <c r="AG924" i="2"/>
  <c r="Z929" i="2"/>
  <c r="V951" i="2"/>
  <c r="AH951" i="2"/>
  <c r="Z952" i="2"/>
  <c r="AK952" i="2" s="1"/>
  <c r="AD955" i="2"/>
  <c r="AE955" i="2"/>
  <c r="V959" i="2"/>
  <c r="U959" i="2"/>
  <c r="AH959" i="2"/>
  <c r="AG959" i="2"/>
  <c r="AI972" i="2"/>
  <c r="AA984" i="2"/>
  <c r="AB987" i="2"/>
  <c r="AF989" i="2"/>
  <c r="X998" i="2"/>
  <c r="Z1026" i="2"/>
  <c r="Y1026" i="2"/>
  <c r="AC1098" i="2"/>
  <c r="AB1098" i="2"/>
  <c r="AK1098" i="2" s="1"/>
  <c r="AC1114" i="2"/>
  <c r="AF1116" i="2"/>
  <c r="AG1116" i="2"/>
  <c r="Y879" i="2"/>
  <c r="X879" i="2"/>
  <c r="AI893" i="2"/>
  <c r="AH893" i="2"/>
  <c r="AB907" i="2"/>
  <c r="AA907" i="2"/>
  <c r="AA908" i="2"/>
  <c r="Y956" i="2"/>
  <c r="X956" i="2"/>
  <c r="AC967" i="2"/>
  <c r="AB967" i="2"/>
  <c r="X972" i="2"/>
  <c r="W972" i="2"/>
  <c r="AB986" i="2"/>
  <c r="AK986" i="2" s="1"/>
  <c r="AA986" i="2"/>
  <c r="X1023" i="2"/>
  <c r="W1023" i="2"/>
  <c r="X1045" i="2"/>
  <c r="W1045" i="2"/>
  <c r="Y1049" i="2"/>
  <c r="X1049" i="2"/>
  <c r="W1090" i="2"/>
  <c r="V1090" i="2"/>
  <c r="AH1090" i="2"/>
  <c r="AI1090" i="2"/>
  <c r="U1096" i="2"/>
  <c r="V1096" i="2"/>
  <c r="AH1096" i="2"/>
  <c r="AG1096" i="2"/>
  <c r="AB887" i="2"/>
  <c r="AK887" i="2" s="1"/>
  <c r="AA901" i="2"/>
  <c r="Z901" i="2"/>
  <c r="AH936" i="2"/>
  <c r="AG936" i="2"/>
  <c r="AA966" i="2"/>
  <c r="AA1025" i="2"/>
  <c r="AB1027" i="2"/>
  <c r="AC1027" i="2"/>
  <c r="AC1084" i="2"/>
  <c r="AB1084" i="2"/>
  <c r="AB854" i="2"/>
  <c r="AC856" i="2"/>
  <c r="AC858" i="2"/>
  <c r="V874" i="2"/>
  <c r="U874" i="2"/>
  <c r="AD887" i="2"/>
  <c r="U889" i="2"/>
  <c r="AG889" i="2"/>
  <c r="Y893" i="2"/>
  <c r="AC900" i="2"/>
  <c r="AB900" i="2"/>
  <c r="AK900" i="2" s="1"/>
  <c r="AD909" i="2"/>
  <c r="W936" i="2"/>
  <c r="AI936" i="2"/>
  <c r="Y951" i="2"/>
  <c r="X951" i="2"/>
  <c r="AA982" i="2"/>
  <c r="Z982" i="2"/>
  <c r="AA983" i="2"/>
  <c r="AA985" i="2"/>
  <c r="AA1083" i="2"/>
  <c r="AC872" i="2"/>
  <c r="W950" i="2"/>
  <c r="V950" i="2"/>
  <c r="AI950" i="2"/>
  <c r="AH950" i="2"/>
  <c r="AB963" i="2"/>
  <c r="AA963" i="2"/>
  <c r="AF1067" i="2"/>
  <c r="AE1067" i="2"/>
  <c r="Z832" i="2"/>
  <c r="AC896" i="2"/>
  <c r="AB897" i="2"/>
  <c r="AK897" i="2" s="1"/>
  <c r="V923" i="2"/>
  <c r="U923" i="2"/>
  <c r="AF939" i="2"/>
  <c r="AE939" i="2"/>
  <c r="AH955" i="2"/>
  <c r="AG955" i="2"/>
  <c r="AC1038" i="2"/>
  <c r="AB1038" i="2"/>
  <c r="AK1038" i="2" s="1"/>
  <c r="AI1044" i="2"/>
  <c r="AH1044" i="2"/>
  <c r="AC1053" i="2"/>
  <c r="AE1106" i="2"/>
  <c r="AD1106" i="2"/>
  <c r="Z1107" i="2"/>
  <c r="Y1107" i="2"/>
  <c r="AE1161" i="2"/>
  <c r="AD1161" i="2"/>
  <c r="V1166" i="2"/>
  <c r="U1166" i="2"/>
  <c r="AF1208" i="2"/>
  <c r="AE1208" i="2"/>
  <c r="V1225" i="2"/>
  <c r="U1225" i="2"/>
  <c r="AF1326" i="2"/>
  <c r="AE1326" i="2"/>
  <c r="AE1352" i="2"/>
  <c r="AD1352" i="2"/>
  <c r="AA1355" i="2"/>
  <c r="Z1355" i="2"/>
  <c r="AD1382" i="2"/>
  <c r="AC1382" i="2"/>
  <c r="AI1511" i="2"/>
  <c r="AH1511" i="2"/>
  <c r="AA816" i="2"/>
  <c r="AC826" i="2"/>
  <c r="X828" i="2"/>
  <c r="AF842" i="2"/>
  <c r="Z845" i="2"/>
  <c r="AE860" i="2"/>
  <c r="AF865" i="2"/>
  <c r="U870" i="2"/>
  <c r="AG870" i="2"/>
  <c r="AH873" i="2"/>
  <c r="X874" i="2"/>
  <c r="W874" i="2"/>
  <c r="AB881" i="2"/>
  <c r="Y882" i="2"/>
  <c r="AH888" i="2"/>
  <c r="AE896" i="2"/>
  <c r="AC902" i="2"/>
  <c r="AG918" i="2"/>
  <c r="AF918" i="2"/>
  <c r="AC928" i="2"/>
  <c r="AA930" i="2"/>
  <c r="AI949" i="2"/>
  <c r="Y950" i="2"/>
  <c r="AF953" i="2"/>
  <c r="W955" i="2"/>
  <c r="AI955" i="2"/>
  <c r="AA981" i="2"/>
  <c r="AC1015" i="2"/>
  <c r="AB1015" i="2"/>
  <c r="AE1016" i="2"/>
  <c r="X1022" i="2"/>
  <c r="X1032" i="2"/>
  <c r="AA1033" i="2"/>
  <c r="AA1037" i="2"/>
  <c r="AA1041" i="2"/>
  <c r="U1055" i="2"/>
  <c r="AD1088" i="2"/>
  <c r="Z1094" i="2"/>
  <c r="Y1096" i="2"/>
  <c r="AC1159" i="2"/>
  <c r="AB1159" i="2"/>
  <c r="AE1181" i="2"/>
  <c r="AD1181" i="2"/>
  <c r="AF705" i="2"/>
  <c r="V715" i="2"/>
  <c r="AH715" i="2"/>
  <c r="AE724" i="2"/>
  <c r="U734" i="2"/>
  <c r="AG734" i="2"/>
  <c r="W744" i="2"/>
  <c r="AI744" i="2"/>
  <c r="AF753" i="2"/>
  <c r="V763" i="2"/>
  <c r="AH763" i="2"/>
  <c r="AE772" i="2"/>
  <c r="U782" i="2"/>
  <c r="AG782" i="2"/>
  <c r="W792" i="2"/>
  <c r="AI792" i="2"/>
  <c r="AB797" i="2"/>
  <c r="AF801" i="2"/>
  <c r="U818" i="2"/>
  <c r="AG818" i="2"/>
  <c r="AF826" i="2"/>
  <c r="V830" i="2"/>
  <c r="AH830" i="2"/>
  <c r="AF831" i="2"/>
  <c r="V836" i="2"/>
  <c r="AC838" i="2"/>
  <c r="X840" i="2"/>
  <c r="AI841" i="2"/>
  <c r="AH842" i="2"/>
  <c r="AE843" i="2"/>
  <c r="Y850" i="2"/>
  <c r="V853" i="2"/>
  <c r="AH853" i="2"/>
  <c r="V855" i="2"/>
  <c r="AH855" i="2"/>
  <c r="U857" i="2"/>
  <c r="AG862" i="2"/>
  <c r="U865" i="2"/>
  <c r="AG865" i="2"/>
  <c r="U866" i="2"/>
  <c r="V870" i="2"/>
  <c r="Y874" i="2"/>
  <c r="AE880" i="2"/>
  <c r="Z881" i="2"/>
  <c r="AB882" i="2"/>
  <c r="U885" i="2"/>
  <c r="Y889" i="2"/>
  <c r="X889" i="2"/>
  <c r="W911" i="2"/>
  <c r="X923" i="2"/>
  <c r="W923" i="2"/>
  <c r="AF927" i="2"/>
  <c r="AE927" i="2"/>
  <c r="AD929" i="2"/>
  <c r="AC929" i="2"/>
  <c r="X935" i="2"/>
  <c r="W935" i="2"/>
  <c r="X949" i="2"/>
  <c r="W949" i="2"/>
  <c r="AC981" i="2"/>
  <c r="AG992" i="2"/>
  <c r="AH992" i="2"/>
  <c r="AC995" i="2"/>
  <c r="AD996" i="2"/>
  <c r="AC996" i="2"/>
  <c r="AB997" i="2"/>
  <c r="AK997" i="2" s="1"/>
  <c r="AD1019" i="2"/>
  <c r="AC1019" i="2"/>
  <c r="Y1033" i="2"/>
  <c r="V1036" i="2"/>
  <c r="AB1049" i="2"/>
  <c r="AA1049" i="2"/>
  <c r="AA1158" i="2"/>
  <c r="Z1158" i="2"/>
  <c r="Z1186" i="2"/>
  <c r="Y1186" i="2"/>
  <c r="AH815" i="2"/>
  <c r="W817" i="2"/>
  <c r="AC832" i="2"/>
  <c r="AC833" i="2"/>
  <c r="AB833" i="2"/>
  <c r="AG844" i="2"/>
  <c r="AA847" i="2"/>
  <c r="AC875" i="2"/>
  <c r="Z878" i="2"/>
  <c r="AK878" i="2" s="1"/>
  <c r="AC891" i="2"/>
  <c r="AD892" i="2"/>
  <c r="AC892" i="2"/>
  <c r="AD901" i="2"/>
  <c r="AA911" i="2"/>
  <c r="Z911" i="2"/>
  <c r="AK911" i="2" s="1"/>
  <c r="W918" i="2"/>
  <c r="V918" i="2"/>
  <c r="AI918" i="2"/>
  <c r="AH918" i="2"/>
  <c r="AB919" i="2"/>
  <c r="AA919" i="2"/>
  <c r="AE925" i="2"/>
  <c r="U935" i="2"/>
  <c r="AF938" i="2"/>
  <c r="AE938" i="2"/>
  <c r="AI948" i="2"/>
  <c r="AH948" i="2"/>
  <c r="AE957" i="2"/>
  <c r="AD957" i="2"/>
  <c r="W971" i="2"/>
  <c r="V971" i="2"/>
  <c r="AA989" i="2"/>
  <c r="AC990" i="2"/>
  <c r="AB990" i="2"/>
  <c r="AA1029" i="2"/>
  <c r="Z1029" i="2"/>
  <c r="AK1029" i="2" s="1"/>
  <c r="W1039" i="2"/>
  <c r="V1039" i="2"/>
  <c r="W1040" i="2"/>
  <c r="V1044" i="2"/>
  <c r="AD1071" i="2"/>
  <c r="AC1071" i="2"/>
  <c r="Z1077" i="2"/>
  <c r="AK1077" i="2" s="1"/>
  <c r="W1152" i="2"/>
  <c r="X1152" i="2"/>
  <c r="V1161" i="2"/>
  <c r="U1161" i="2"/>
  <c r="AH1161" i="2"/>
  <c r="AG1161" i="2"/>
  <c r="AG1177" i="2"/>
  <c r="AF1177" i="2"/>
  <c r="AI1196" i="2"/>
  <c r="AH1196" i="2"/>
  <c r="X713" i="2"/>
  <c r="Y742" i="2"/>
  <c r="X761" i="2"/>
  <c r="Y790" i="2"/>
  <c r="AB817" i="2"/>
  <c r="AC823" i="2"/>
  <c r="AA824" i="2"/>
  <c r="Y825" i="2"/>
  <c r="AF827" i="2"/>
  <c r="AA829" i="2"/>
  <c r="AH831" i="2"/>
  <c r="AE832" i="2"/>
  <c r="AC839" i="2"/>
  <c r="AE845" i="2"/>
  <c r="AA850" i="2"/>
  <c r="W857" i="2"/>
  <c r="AI857" i="2"/>
  <c r="V859" i="2"/>
  <c r="AH859" i="2"/>
  <c r="U862" i="2"/>
  <c r="W868" i="2"/>
  <c r="AI868" i="2"/>
  <c r="X869" i="2"/>
  <c r="AF884" i="2"/>
  <c r="W885" i="2"/>
  <c r="Y888" i="2"/>
  <c r="U894" i="2"/>
  <c r="AG894" i="2"/>
  <c r="W895" i="2"/>
  <c r="V895" i="2"/>
  <c r="W899" i="2"/>
  <c r="W904" i="2"/>
  <c r="AI904" i="2"/>
  <c r="Z910" i="2"/>
  <c r="V914" i="2"/>
  <c r="AH914" i="2"/>
  <c r="AF928" i="2"/>
  <c r="W933" i="2"/>
  <c r="AI933" i="2"/>
  <c r="Z934" i="2"/>
  <c r="AD937" i="2"/>
  <c r="AF957" i="2"/>
  <c r="AA959" i="2"/>
  <c r="Z959" i="2"/>
  <c r="X959" i="2"/>
  <c r="Z965" i="2"/>
  <c r="U974" i="2"/>
  <c r="AG974" i="2"/>
  <c r="Y975" i="2"/>
  <c r="X975" i="2"/>
  <c r="AH978" i="2"/>
  <c r="AG978" i="2"/>
  <c r="X992" i="2"/>
  <c r="AH1011" i="2"/>
  <c r="AG1011" i="2"/>
  <c r="W1021" i="2"/>
  <c r="V1021" i="2"/>
  <c r="V1028" i="2"/>
  <c r="AA1036" i="2"/>
  <c r="Y1036" i="2"/>
  <c r="AA1044" i="2"/>
  <c r="AA1066" i="2"/>
  <c r="U1068" i="2"/>
  <c r="AF1068" i="2"/>
  <c r="AG1068" i="2"/>
  <c r="AF1080" i="2"/>
  <c r="AG1080" i="2"/>
  <c r="AB1122" i="2"/>
  <c r="AK1122" i="2" s="1"/>
  <c r="AA1141" i="2"/>
  <c r="Z1141" i="2"/>
  <c r="Y1155" i="2"/>
  <c r="X1155" i="2"/>
  <c r="AC1157" i="2"/>
  <c r="AF1159" i="2"/>
  <c r="AE1159" i="2"/>
  <c r="W1174" i="2"/>
  <c r="V1174" i="2"/>
  <c r="AI1174" i="2"/>
  <c r="AH1174" i="2"/>
  <c r="V1177" i="2"/>
  <c r="AH1177" i="2"/>
  <c r="AC847" i="2"/>
  <c r="AA877" i="2"/>
  <c r="Z877" i="2"/>
  <c r="AD890" i="2"/>
  <c r="AC890" i="2"/>
  <c r="AF912" i="2"/>
  <c r="AE912" i="2"/>
  <c r="Y922" i="2"/>
  <c r="X922" i="2"/>
  <c r="Y954" i="2"/>
  <c r="X954" i="2"/>
  <c r="Z958" i="2"/>
  <c r="Y958" i="2"/>
  <c r="Z964" i="2"/>
  <c r="AK964" i="2" s="1"/>
  <c r="AA968" i="2"/>
  <c r="AF970" i="2"/>
  <c r="AE970" i="2"/>
  <c r="Y971" i="2"/>
  <c r="X971" i="2"/>
  <c r="AG991" i="2"/>
  <c r="AF991" i="2"/>
  <c r="U992" i="2"/>
  <c r="Z1028" i="2"/>
  <c r="Y1028" i="2"/>
  <c r="AC1040" i="2"/>
  <c r="AB1040" i="2"/>
  <c r="AK1040" i="2" s="1"/>
  <c r="X1044" i="2"/>
  <c r="X1047" i="2"/>
  <c r="W1047" i="2"/>
  <c r="AG1118" i="2"/>
  <c r="AF1118" i="2"/>
  <c r="AC1148" i="2"/>
  <c r="V1169" i="2"/>
  <c r="U1169" i="2"/>
  <c r="AH1169" i="2"/>
  <c r="AG1169" i="2"/>
  <c r="AC702" i="2"/>
  <c r="Z704" i="2"/>
  <c r="Z711" i="2"/>
  <c r="AB714" i="2"/>
  <c r="AB721" i="2"/>
  <c r="Y723" i="2"/>
  <c r="AD731" i="2"/>
  <c r="AA733" i="2"/>
  <c r="AA740" i="2"/>
  <c r="AC743" i="2"/>
  <c r="AC750" i="2"/>
  <c r="Z752" i="2"/>
  <c r="AK752" i="2" s="1"/>
  <c r="Z759" i="2"/>
  <c r="AB762" i="2"/>
  <c r="AB769" i="2"/>
  <c r="AK769" i="2" s="1"/>
  <c r="Y771" i="2"/>
  <c r="AD779" i="2"/>
  <c r="AA781" i="2"/>
  <c r="AA788" i="2"/>
  <c r="AC791" i="2"/>
  <c r="AC798" i="2"/>
  <c r="Z800" i="2"/>
  <c r="Y821" i="2"/>
  <c r="Y829" i="2"/>
  <c r="U832" i="2"/>
  <c r="AC834" i="2"/>
  <c r="AB834" i="2"/>
  <c r="AB835" i="2"/>
  <c r="X836" i="2"/>
  <c r="AA839" i="2"/>
  <c r="AB840" i="2"/>
  <c r="AE847" i="2"/>
  <c r="V852" i="2"/>
  <c r="X863" i="2"/>
  <c r="X864" i="2"/>
  <c r="Y868" i="2"/>
  <c r="V869" i="2"/>
  <c r="Z872" i="2"/>
  <c r="AK872" i="2" s="1"/>
  <c r="Y872" i="2"/>
  <c r="Y873" i="2"/>
  <c r="Z876" i="2"/>
  <c r="U880" i="2"/>
  <c r="AG881" i="2"/>
  <c r="AF881" i="2"/>
  <c r="Y898" i="2"/>
  <c r="Y909" i="2"/>
  <c r="AB910" i="2"/>
  <c r="U921" i="2"/>
  <c r="AG921" i="2"/>
  <c r="AF921" i="2"/>
  <c r="Z922" i="2"/>
  <c r="V926" i="2"/>
  <c r="AH926" i="2"/>
  <c r="AB934" i="2"/>
  <c r="W938" i="2"/>
  <c r="U947" i="2"/>
  <c r="Z948" i="2"/>
  <c r="AK948" i="2" s="1"/>
  <c r="V957" i="2"/>
  <c r="AH957" i="2"/>
  <c r="AB965" i="2"/>
  <c r="AE972" i="2"/>
  <c r="AD976" i="2"/>
  <c r="X978" i="2"/>
  <c r="W978" i="2"/>
  <c r="AA988" i="2"/>
  <c r="AH991" i="2"/>
  <c r="Z992" i="2"/>
  <c r="Z1001" i="2"/>
  <c r="AK1001" i="2" s="1"/>
  <c r="Y1001" i="2"/>
  <c r="AA1009" i="2"/>
  <c r="Z1009" i="2"/>
  <c r="X1011" i="2"/>
  <c r="AD1064" i="2"/>
  <c r="W1068" i="2"/>
  <c r="AI1068" i="2"/>
  <c r="AI1073" i="2"/>
  <c r="W1134" i="2"/>
  <c r="AI1134" i="2"/>
  <c r="X1139" i="2"/>
  <c r="W828" i="2"/>
  <c r="AI828" i="2"/>
  <c r="AF837" i="2"/>
  <c r="V847" i="2"/>
  <c r="AH847" i="2"/>
  <c r="AE856" i="2"/>
  <c r="X862" i="2"/>
  <c r="AE863" i="2"/>
  <c r="AF867" i="2"/>
  <c r="AH871" i="2"/>
  <c r="AE872" i="2"/>
  <c r="AA874" i="2"/>
  <c r="X875" i="2"/>
  <c r="AC878" i="2"/>
  <c r="X880" i="2"/>
  <c r="AE882" i="2"/>
  <c r="AD883" i="2"/>
  <c r="V886" i="2"/>
  <c r="U886" i="2"/>
  <c r="Y890" i="2"/>
  <c r="AH891" i="2"/>
  <c r="AE892" i="2"/>
  <c r="U896" i="2"/>
  <c r="AG896" i="2"/>
  <c r="AC898" i="2"/>
  <c r="AE902" i="2"/>
  <c r="AC903" i="2"/>
  <c r="U908" i="2"/>
  <c r="AG908" i="2"/>
  <c r="Z912" i="2"/>
  <c r="AA918" i="2"/>
  <c r="X926" i="2"/>
  <c r="U944" i="2"/>
  <c r="AG944" i="2"/>
  <c r="AF944" i="2"/>
  <c r="AA954" i="2"/>
  <c r="Y955" i="2"/>
  <c r="AI970" i="2"/>
  <c r="Z971" i="2"/>
  <c r="AK971" i="2" s="1"/>
  <c r="AB974" i="2"/>
  <c r="Z976" i="2"/>
  <c r="AK976" i="2" s="1"/>
  <c r="Y976" i="2"/>
  <c r="Z978" i="2"/>
  <c r="Y978" i="2"/>
  <c r="AE981" i="2"/>
  <c r="X990" i="2"/>
  <c r="U995" i="2"/>
  <c r="U1001" i="2"/>
  <c r="X1021" i="2"/>
  <c r="AE1025" i="2"/>
  <c r="AD1026" i="2"/>
  <c r="X1030" i="2"/>
  <c r="AA1031" i="2"/>
  <c r="AA1035" i="2"/>
  <c r="X1038" i="2"/>
  <c r="AB1061" i="2"/>
  <c r="AI1070" i="2"/>
  <c r="Y1073" i="2"/>
  <c r="AD1074" i="2"/>
  <c r="AE1076" i="2"/>
  <c r="AC1078" i="2"/>
  <c r="AB1078" i="2"/>
  <c r="X1084" i="2"/>
  <c r="AF1088" i="2"/>
  <c r="V1089" i="2"/>
  <c r="U1089" i="2"/>
  <c r="AH1089" i="2"/>
  <c r="AG1089" i="2"/>
  <c r="Z1095" i="2"/>
  <c r="AK1095" i="2" s="1"/>
  <c r="AA1095" i="2"/>
  <c r="Y1111" i="2"/>
  <c r="AE1114" i="2"/>
  <c r="AC1175" i="2"/>
  <c r="AB1175" i="2"/>
  <c r="AB1197" i="2"/>
  <c r="AK1197" i="2" s="1"/>
  <c r="AC1276" i="2"/>
  <c r="AB1276" i="2"/>
  <c r="X1300" i="2"/>
  <c r="W1300" i="2"/>
  <c r="AD827" i="2"/>
  <c r="AA836" i="2"/>
  <c r="AC846" i="2"/>
  <c r="Z855" i="2"/>
  <c r="Y862" i="2"/>
  <c r="AB874" i="2"/>
  <c r="AF877" i="2"/>
  <c r="AE877" i="2"/>
  <c r="AB879" i="2"/>
  <c r="Y880" i="2"/>
  <c r="Z885" i="2"/>
  <c r="AG887" i="2"/>
  <c r="AE888" i="2"/>
  <c r="W891" i="2"/>
  <c r="V891" i="2"/>
  <c r="V901" i="2"/>
  <c r="AH901" i="2"/>
  <c r="AD903" i="2"/>
  <c r="Y905" i="2"/>
  <c r="W906" i="2"/>
  <c r="AI906" i="2"/>
  <c r="W907" i="2"/>
  <c r="AI907" i="2"/>
  <c r="U909" i="2"/>
  <c r="AG909" i="2"/>
  <c r="AF909" i="2"/>
  <c r="AE910" i="2"/>
  <c r="AD910" i="2"/>
  <c r="AC911" i="2"/>
  <c r="AB912" i="2"/>
  <c r="AG916" i="2"/>
  <c r="AH929" i="2"/>
  <c r="AE934" i="2"/>
  <c r="AD934" i="2"/>
  <c r="AC936" i="2"/>
  <c r="AB936" i="2"/>
  <c r="AA939" i="2"/>
  <c r="Y940" i="2"/>
  <c r="X940" i="2"/>
  <c r="W943" i="2"/>
  <c r="AI943" i="2"/>
  <c r="U945" i="2"/>
  <c r="AG945" i="2"/>
  <c r="AD947" i="2"/>
  <c r="AC949" i="2"/>
  <c r="AC950" i="2"/>
  <c r="AD952" i="2"/>
  <c r="Z955" i="2"/>
  <c r="AA956" i="2"/>
  <c r="AA957" i="2"/>
  <c r="Z957" i="2"/>
  <c r="AD960" i="2"/>
  <c r="AF962" i="2"/>
  <c r="U963" i="2"/>
  <c r="X970" i="2"/>
  <c r="W970" i="2"/>
  <c r="AA973" i="2"/>
  <c r="AB975" i="2"/>
  <c r="AB977" i="2"/>
  <c r="AF981" i="2"/>
  <c r="U983" i="2"/>
  <c r="AG983" i="2"/>
  <c r="W989" i="2"/>
  <c r="V989" i="2"/>
  <c r="AI989" i="2"/>
  <c r="AD993" i="2"/>
  <c r="AH1001" i="2"/>
  <c r="U1003" i="2"/>
  <c r="AB1011" i="2"/>
  <c r="AK1011" i="2" s="1"/>
  <c r="AA1011" i="2"/>
  <c r="V1015" i="2"/>
  <c r="U1015" i="2"/>
  <c r="AI1020" i="2"/>
  <c r="Y1021" i="2"/>
  <c r="AF1025" i="2"/>
  <c r="Y1042" i="2"/>
  <c r="Z1047" i="2"/>
  <c r="Y1047" i="2"/>
  <c r="X1059" i="2"/>
  <c r="W1059" i="2"/>
  <c r="AC1061" i="2"/>
  <c r="X1070" i="2"/>
  <c r="W1070" i="2"/>
  <c r="W1080" i="2"/>
  <c r="V1080" i="2"/>
  <c r="AI1080" i="2"/>
  <c r="AH1080" i="2"/>
  <c r="AB1086" i="2"/>
  <c r="AA1086" i="2"/>
  <c r="AH1091" i="2"/>
  <c r="AG1091" i="2"/>
  <c r="AB1093" i="2"/>
  <c r="AK1093" i="2" s="1"/>
  <c r="Y1172" i="2"/>
  <c r="X1172" i="2"/>
  <c r="AC1197" i="2"/>
  <c r="Y870" i="2"/>
  <c r="AD873" i="2"/>
  <c r="AA894" i="2"/>
  <c r="AF897" i="2"/>
  <c r="AD920" i="2"/>
  <c r="AG932" i="2"/>
  <c r="AF932" i="2"/>
  <c r="AB935" i="2"/>
  <c r="AK935" i="2" s="1"/>
  <c r="AA937" i="2"/>
  <c r="Z937" i="2"/>
  <c r="AK937" i="2" s="1"/>
  <c r="W968" i="2"/>
  <c r="V968" i="2"/>
  <c r="AI1009" i="2"/>
  <c r="AH1009" i="2"/>
  <c r="X1020" i="2"/>
  <c r="W1020" i="2"/>
  <c r="W1037" i="2"/>
  <c r="V1037" i="2"/>
  <c r="AB1048" i="2"/>
  <c r="AF1087" i="2"/>
  <c r="AE1087" i="2"/>
  <c r="X1089" i="2"/>
  <c r="W1089" i="2"/>
  <c r="AB1143" i="2"/>
  <c r="AK1143" i="2" s="1"/>
  <c r="AA1143" i="2"/>
  <c r="AD1146" i="2"/>
  <c r="W1168" i="2"/>
  <c r="V1168" i="2"/>
  <c r="AI1168" i="2"/>
  <c r="AH1168" i="2"/>
  <c r="Z1171" i="2"/>
  <c r="Y1171" i="2"/>
  <c r="AG1191" i="2"/>
  <c r="AF1191" i="2"/>
  <c r="AE1241" i="2"/>
  <c r="AD1241" i="2"/>
  <c r="AG1244" i="2"/>
  <c r="AF1244" i="2"/>
  <c r="AD1249" i="2"/>
  <c r="AE1249" i="2"/>
  <c r="AB1271" i="2"/>
  <c r="AA1271" i="2"/>
  <c r="AF825" i="2"/>
  <c r="V835" i="2"/>
  <c r="AH835" i="2"/>
  <c r="AE844" i="2"/>
  <c r="U854" i="2"/>
  <c r="AG854" i="2"/>
  <c r="Z859" i="2"/>
  <c r="AF861" i="2"/>
  <c r="AE864" i="2"/>
  <c r="W867" i="2"/>
  <c r="V867" i="2"/>
  <c r="V877" i="2"/>
  <c r="AH877" i="2"/>
  <c r="AD879" i="2"/>
  <c r="Y885" i="2"/>
  <c r="W886" i="2"/>
  <c r="AG888" i="2"/>
  <c r="AF893" i="2"/>
  <c r="AH897" i="2"/>
  <c r="AA900" i="2"/>
  <c r="V902" i="2"/>
  <c r="AC904" i="2"/>
  <c r="V906" i="2"/>
  <c r="X908" i="2"/>
  <c r="W908" i="2"/>
  <c r="AE911" i="2"/>
  <c r="AA914" i="2"/>
  <c r="X914" i="2"/>
  <c r="AH917" i="2"/>
  <c r="AE922" i="2"/>
  <c r="AD922" i="2"/>
  <c r="AB922" i="2"/>
  <c r="AK922" i="2" s="1"/>
  <c r="AC924" i="2"/>
  <c r="AB924" i="2"/>
  <c r="Z924" i="2"/>
  <c r="AA927" i="2"/>
  <c r="Y928" i="2"/>
  <c r="X928" i="2"/>
  <c r="W931" i="2"/>
  <c r="AI931" i="2"/>
  <c r="U933" i="2"/>
  <c r="AG933" i="2"/>
  <c r="Z939" i="2"/>
  <c r="W942" i="2"/>
  <c r="V942" i="2"/>
  <c r="AI942" i="2"/>
  <c r="AH942" i="2"/>
  <c r="W945" i="2"/>
  <c r="AC956" i="2"/>
  <c r="AF959" i="2"/>
  <c r="AF960" i="2"/>
  <c r="W963" i="2"/>
  <c r="AI967" i="2"/>
  <c r="AD972" i="2"/>
  <c r="AD973" i="2"/>
  <c r="AC973" i="2"/>
  <c r="AD975" i="2"/>
  <c r="AA975" i="2"/>
  <c r="AC976" i="2"/>
  <c r="AA977" i="2"/>
  <c r="V982" i="2"/>
  <c r="V987" i="2"/>
  <c r="U987" i="2"/>
  <c r="AI988" i="2"/>
  <c r="W994" i="2"/>
  <c r="V994" i="2"/>
  <c r="AG999" i="2"/>
  <c r="AF999" i="2"/>
  <c r="AH1007" i="2"/>
  <c r="Y1010" i="2"/>
  <c r="W1013" i="2"/>
  <c r="U1024" i="2"/>
  <c r="AG1024" i="2"/>
  <c r="AA1030" i="2"/>
  <c r="Z1030" i="2"/>
  <c r="AA1042" i="2"/>
  <c r="U1058" i="2"/>
  <c r="AG1058" i="2"/>
  <c r="AF1058" i="2"/>
  <c r="Z1059" i="2"/>
  <c r="Y1059" i="2"/>
  <c r="AB1073" i="2"/>
  <c r="AA1073" i="2"/>
  <c r="Z1083" i="2"/>
  <c r="Y1085" i="2"/>
  <c r="AG1101" i="2"/>
  <c r="V1102" i="2"/>
  <c r="W1102" i="2"/>
  <c r="AH1102" i="2"/>
  <c r="AI1102" i="2"/>
  <c r="AE1108" i="2"/>
  <c r="AD1108" i="2"/>
  <c r="AE1124" i="2"/>
  <c r="AD1124" i="2"/>
  <c r="X1128" i="2"/>
  <c r="W1128" i="2"/>
  <c r="Z1187" i="2"/>
  <c r="AF1241" i="2"/>
  <c r="V1273" i="2"/>
  <c r="U1273" i="2"/>
  <c r="AH1273" i="2"/>
  <c r="AG1273" i="2"/>
  <c r="X1277" i="2"/>
  <c r="W1277" i="2"/>
  <c r="Z843" i="2"/>
  <c r="AB853" i="2"/>
  <c r="AK853" i="2" s="1"/>
  <c r="Z860" i="2"/>
  <c r="AK860" i="2" s="1"/>
  <c r="AA866" i="2"/>
  <c r="Z871" i="2"/>
  <c r="U873" i="2"/>
  <c r="U878" i="2"/>
  <c r="W882" i="2"/>
  <c r="AI882" i="2"/>
  <c r="AE884" i="2"/>
  <c r="AC885" i="2"/>
  <c r="AB885" i="2"/>
  <c r="X887" i="2"/>
  <c r="Z890" i="2"/>
  <c r="W892" i="2"/>
  <c r="AI892" i="2"/>
  <c r="AB895" i="2"/>
  <c r="AI902" i="2"/>
  <c r="AC913" i="2"/>
  <c r="Y915" i="2"/>
  <c r="Y916" i="2"/>
  <c r="U920" i="2"/>
  <c r="AG920" i="2"/>
  <c r="AF920" i="2"/>
  <c r="AA925" i="2"/>
  <c r="Z925" i="2"/>
  <c r="Y929" i="2"/>
  <c r="V933" i="2"/>
  <c r="AD935" i="2"/>
  <c r="AG947" i="2"/>
  <c r="AF949" i="2"/>
  <c r="AG951" i="2"/>
  <c r="AF958" i="2"/>
  <c r="U960" i="2"/>
  <c r="AG960" i="2"/>
  <c r="X967" i="2"/>
  <c r="X969" i="2"/>
  <c r="AH986" i="2"/>
  <c r="X994" i="2"/>
  <c r="W1005" i="2"/>
  <c r="AB1010" i="2"/>
  <c r="AA1010" i="2"/>
  <c r="AE1012" i="2"/>
  <c r="X1013" i="2"/>
  <c r="W1014" i="2"/>
  <c r="X1014" i="2"/>
  <c r="Y1019" i="2"/>
  <c r="AH1032" i="2"/>
  <c r="AH1036" i="2"/>
  <c r="Y1038" i="2"/>
  <c r="Z1046" i="2"/>
  <c r="AK1046" i="2" s="1"/>
  <c r="AC1056" i="2"/>
  <c r="AE1057" i="2"/>
  <c r="AD1057" i="2"/>
  <c r="V1087" i="2"/>
  <c r="U1087" i="2"/>
  <c r="Y1097" i="2"/>
  <c r="V1101" i="2"/>
  <c r="U1101" i="2"/>
  <c r="X1120" i="2"/>
  <c r="Y1121" i="2"/>
  <c r="AG1166" i="2"/>
  <c r="AA1187" i="2"/>
  <c r="Z1211" i="2"/>
  <c r="Y1211" i="2"/>
  <c r="AG1220" i="2"/>
  <c r="AE1236" i="2"/>
  <c r="AD1236" i="2"/>
  <c r="AF1243" i="2"/>
  <c r="AE1243" i="2"/>
  <c r="W1244" i="2"/>
  <c r="V1244" i="2"/>
  <c r="Y1261" i="2"/>
  <c r="X1261" i="2"/>
  <c r="Y1267" i="2"/>
  <c r="X1267" i="2"/>
  <c r="AA1269" i="2"/>
  <c r="AB1270" i="2"/>
  <c r="AA1270" i="2"/>
  <c r="AB1043" i="2"/>
  <c r="AG1053" i="2"/>
  <c r="AF1053" i="2"/>
  <c r="W1056" i="2"/>
  <c r="V1056" i="2"/>
  <c r="AD1072" i="2"/>
  <c r="AC1072" i="2"/>
  <c r="AB1091" i="2"/>
  <c r="AK1091" i="2" s="1"/>
  <c r="AA1091" i="2"/>
  <c r="AC1119" i="2"/>
  <c r="AB1119" i="2"/>
  <c r="AK1119" i="2" s="1"/>
  <c r="Z1129" i="2"/>
  <c r="Y1129" i="2"/>
  <c r="AC1179" i="2"/>
  <c r="AG1222" i="2"/>
  <c r="AF1222" i="2"/>
  <c r="AH1315" i="2"/>
  <c r="AG1315" i="2"/>
  <c r="AH905" i="2"/>
  <c r="AC914" i="2"/>
  <c r="AA926" i="2"/>
  <c r="Z926" i="2"/>
  <c r="AA938" i="2"/>
  <c r="Z938" i="2"/>
  <c r="AD948" i="2"/>
  <c r="AC948" i="2"/>
  <c r="AG967" i="2"/>
  <c r="Z980" i="2"/>
  <c r="AK980" i="2" s="1"/>
  <c r="Y980" i="2"/>
  <c r="AG986" i="2"/>
  <c r="AG1007" i="2"/>
  <c r="AE1009" i="2"/>
  <c r="Z1012" i="2"/>
  <c r="AF1036" i="2"/>
  <c r="AG1038" i="2"/>
  <c r="AG1040" i="2"/>
  <c r="AD1044" i="2"/>
  <c r="AC1044" i="2"/>
  <c r="AC1046" i="2"/>
  <c r="AH1060" i="2"/>
  <c r="AE1082" i="2"/>
  <c r="AD1089" i="2"/>
  <c r="AA1090" i="2"/>
  <c r="AE1091" i="2"/>
  <c r="AH1099" i="2"/>
  <c r="AG1099" i="2"/>
  <c r="X1100" i="2"/>
  <c r="Y1100" i="2"/>
  <c r="AC1116" i="2"/>
  <c r="AB1139" i="2"/>
  <c r="AK1139" i="2" s="1"/>
  <c r="AA1139" i="2"/>
  <c r="AC1156" i="2"/>
  <c r="AB1156" i="2"/>
  <c r="AE1192" i="2"/>
  <c r="Z1195" i="2"/>
  <c r="Y1195" i="2"/>
  <c r="AA1202" i="2"/>
  <c r="AC1215" i="2"/>
  <c r="AD1215" i="2"/>
  <c r="AD1256" i="2"/>
  <c r="AC1256" i="2"/>
  <c r="Y1266" i="2"/>
  <c r="Z1266" i="2"/>
  <c r="W1303" i="2"/>
  <c r="V1303" i="2"/>
  <c r="AH1303" i="2"/>
  <c r="AI1303" i="2"/>
  <c r="AH863" i="2"/>
  <c r="AC864" i="2"/>
  <c r="AD869" i="2"/>
  <c r="AB883" i="2"/>
  <c r="AK883" i="2" s="1"/>
  <c r="AC888" i="2"/>
  <c r="AD893" i="2"/>
  <c r="V913" i="2"/>
  <c r="AH913" i="2"/>
  <c r="AG913" i="2"/>
  <c r="AD918" i="2"/>
  <c r="AB920" i="2"/>
  <c r="Z921" i="2"/>
  <c r="Y921" i="2"/>
  <c r="AC925" i="2"/>
  <c r="AD930" i="2"/>
  <c r="AB932" i="2"/>
  <c r="AK932" i="2" s="1"/>
  <c r="Z933" i="2"/>
  <c r="Y933" i="2"/>
  <c r="AC937" i="2"/>
  <c r="AD942" i="2"/>
  <c r="AB944" i="2"/>
  <c r="Z945" i="2"/>
  <c r="Y945" i="2"/>
  <c r="U955" i="2"/>
  <c r="AA961" i="2"/>
  <c r="Z961" i="2"/>
  <c r="AK961" i="2" s="1"/>
  <c r="X965" i="2"/>
  <c r="AE968" i="2"/>
  <c r="X974" i="2"/>
  <c r="U976" i="2"/>
  <c r="AG976" i="2"/>
  <c r="AF977" i="2"/>
  <c r="AI984" i="2"/>
  <c r="AE989" i="2"/>
  <c r="AC992" i="2"/>
  <c r="AB992" i="2"/>
  <c r="AA993" i="2"/>
  <c r="AA994" i="2"/>
  <c r="AA1002" i="2"/>
  <c r="Y1003" i="2"/>
  <c r="V1005" i="2"/>
  <c r="AH1005" i="2"/>
  <c r="AF1008" i="2"/>
  <c r="AB1013" i="2"/>
  <c r="Y1015" i="2"/>
  <c r="W1016" i="2"/>
  <c r="V1016" i="2"/>
  <c r="AI1016" i="2"/>
  <c r="AH1019" i="2"/>
  <c r="AD1021" i="2"/>
  <c r="AC1021" i="2"/>
  <c r="AB1022" i="2"/>
  <c r="AK1022" i="2" s="1"/>
  <c r="AE1029" i="2"/>
  <c r="AE1037" i="2"/>
  <c r="AE1039" i="2"/>
  <c r="AE1041" i="2"/>
  <c r="AH1042" i="2"/>
  <c r="AE1043" i="2"/>
  <c r="AD1045" i="2"/>
  <c r="AE1046" i="2"/>
  <c r="AD1046" i="2"/>
  <c r="AE1047" i="2"/>
  <c r="X1054" i="2"/>
  <c r="Z1057" i="2"/>
  <c r="AK1057" i="2" s="1"/>
  <c r="X1063" i="2"/>
  <c r="W1067" i="2"/>
  <c r="AI1067" i="2"/>
  <c r="U1074" i="2"/>
  <c r="AG1074" i="2"/>
  <c r="W1079" i="2"/>
  <c r="AI1079" i="2"/>
  <c r="AG1082" i="2"/>
  <c r="AB1096" i="2"/>
  <c r="AK1096" i="2" s="1"/>
  <c r="AI1099" i="2"/>
  <c r="AB1108" i="2"/>
  <c r="AK1108" i="2" s="1"/>
  <c r="AA1128" i="2"/>
  <c r="AC1138" i="2"/>
  <c r="AE1141" i="2"/>
  <c r="Y1149" i="2"/>
  <c r="Z1150" i="2"/>
  <c r="AB1151" i="2"/>
  <c r="V1153" i="2"/>
  <c r="AH1153" i="2"/>
  <c r="AE1162" i="2"/>
  <c r="U1184" i="2"/>
  <c r="AG1184" i="2"/>
  <c r="AF1184" i="2"/>
  <c r="AE1221" i="2"/>
  <c r="AF1221" i="2"/>
  <c r="V1228" i="2"/>
  <c r="U1228" i="2"/>
  <c r="AH1228" i="2"/>
  <c r="AG1228" i="2"/>
  <c r="AB1291" i="2"/>
  <c r="AK1291" i="2" s="1"/>
  <c r="Z1300" i="2"/>
  <c r="AD971" i="2"/>
  <c r="AC971" i="2"/>
  <c r="AH976" i="2"/>
  <c r="AE978" i="2"/>
  <c r="V986" i="2"/>
  <c r="AG987" i="2"/>
  <c r="U988" i="2"/>
  <c r="AG988" i="2"/>
  <c r="AD1000" i="2"/>
  <c r="Z1003" i="2"/>
  <c r="AI1005" i="2"/>
  <c r="V1007" i="2"/>
  <c r="U1008" i="2"/>
  <c r="AG1008" i="2"/>
  <c r="AI1018" i="2"/>
  <c r="AF1020" i="2"/>
  <c r="AB1023" i="2"/>
  <c r="Z1024" i="2"/>
  <c r="Y1024" i="2"/>
  <c r="AF1033" i="2"/>
  <c r="AF1043" i="2"/>
  <c r="AG1048" i="2"/>
  <c r="AF1048" i="2"/>
  <c r="X1067" i="2"/>
  <c r="AD1069" i="2"/>
  <c r="AF1070" i="2"/>
  <c r="V1074" i="2"/>
  <c r="AH1074" i="2"/>
  <c r="AG1083" i="2"/>
  <c r="AF1083" i="2"/>
  <c r="AD1090" i="2"/>
  <c r="AF1103" i="2"/>
  <c r="AE1103" i="2"/>
  <c r="AA1123" i="2"/>
  <c r="AB1128" i="2"/>
  <c r="AK1128" i="2" s="1"/>
  <c r="Y1136" i="2"/>
  <c r="AD1138" i="2"/>
  <c r="AA1189" i="2"/>
  <c r="AE1202" i="2"/>
  <c r="W1212" i="2"/>
  <c r="AI1212" i="2"/>
  <c r="W1231" i="2"/>
  <c r="V1231" i="2"/>
  <c r="W1248" i="2"/>
  <c r="AI1248" i="2"/>
  <c r="V1293" i="2"/>
  <c r="W1293" i="2"/>
  <c r="AH1293" i="2"/>
  <c r="AI1293" i="2"/>
  <c r="AC1012" i="2"/>
  <c r="X1018" i="2"/>
  <c r="W1018" i="2"/>
  <c r="Z1104" i="2"/>
  <c r="Y1104" i="2"/>
  <c r="AD1117" i="2"/>
  <c r="AC1117" i="2"/>
  <c r="AB1126" i="2"/>
  <c r="AF1134" i="2"/>
  <c r="AE1134" i="2"/>
  <c r="AE1169" i="2"/>
  <c r="AD1169" i="2"/>
  <c r="AB1176" i="2"/>
  <c r="AK1176" i="2" s="1"/>
  <c r="AA1176" i="2"/>
  <c r="AD1203" i="2"/>
  <c r="AC1203" i="2"/>
  <c r="AF1283" i="2"/>
  <c r="AG1283" i="2"/>
  <c r="AE1291" i="2"/>
  <c r="AD1291" i="2"/>
  <c r="X1296" i="2"/>
  <c r="W1296" i="2"/>
  <c r="AH968" i="2"/>
  <c r="V969" i="2"/>
  <c r="AH969" i="2"/>
  <c r="Z975" i="2"/>
  <c r="U978" i="2"/>
  <c r="AF979" i="2"/>
  <c r="Z984" i="2"/>
  <c r="AK984" i="2" s="1"/>
  <c r="AH989" i="2"/>
  <c r="Z996" i="2"/>
  <c r="X997" i="2"/>
  <c r="W997" i="2"/>
  <c r="W998" i="2"/>
  <c r="AI998" i="2"/>
  <c r="AA1004" i="2"/>
  <c r="U1010" i="2"/>
  <c r="AG1010" i="2"/>
  <c r="AD1023" i="2"/>
  <c r="AH1028" i="2"/>
  <c r="V1030" i="2"/>
  <c r="V1032" i="2"/>
  <c r="V1034" i="2"/>
  <c r="V1035" i="2"/>
  <c r="U1035" i="2"/>
  <c r="AH1037" i="2"/>
  <c r="AH1039" i="2"/>
  <c r="V1052" i="2"/>
  <c r="AB1056" i="2"/>
  <c r="AK1056" i="2" s="1"/>
  <c r="W1060" i="2"/>
  <c r="V1060" i="2"/>
  <c r="AI1062" i="2"/>
  <c r="Y1065" i="2"/>
  <c r="W1073" i="2"/>
  <c r="U1081" i="2"/>
  <c r="AG1081" i="2"/>
  <c r="AI1097" i="2"/>
  <c r="Z1099" i="2"/>
  <c r="Y1099" i="2"/>
  <c r="AB1100" i="2"/>
  <c r="AB1115" i="2"/>
  <c r="AK1115" i="2" s="1"/>
  <c r="W1121" i="2"/>
  <c r="AI1121" i="2"/>
  <c r="AE1125" i="2"/>
  <c r="AA1147" i="2"/>
  <c r="AF1167" i="2"/>
  <c r="AA1200" i="2"/>
  <c r="Z1200" i="2"/>
  <c r="AK1200" i="2" s="1"/>
  <c r="V1206" i="2"/>
  <c r="U1206" i="2"/>
  <c r="AH1206" i="2"/>
  <c r="AG1206" i="2"/>
  <c r="AA1219" i="2"/>
  <c r="AE954" i="2"/>
  <c r="U964" i="2"/>
  <c r="AG964" i="2"/>
  <c r="W974" i="2"/>
  <c r="AI974" i="2"/>
  <c r="AF983" i="2"/>
  <c r="V993" i="2"/>
  <c r="AH993" i="2"/>
  <c r="AE1002" i="2"/>
  <c r="U1012" i="2"/>
  <c r="AG1012" i="2"/>
  <c r="W1022" i="2"/>
  <c r="AI1022" i="2"/>
  <c r="AF1031" i="2"/>
  <c r="V1041" i="2"/>
  <c r="AH1041" i="2"/>
  <c r="V1050" i="2"/>
  <c r="AH1050" i="2"/>
  <c r="Y1052" i="2"/>
  <c r="AB1062" i="2"/>
  <c r="AC1066" i="2"/>
  <c r="Z1068" i="2"/>
  <c r="AC1085" i="2"/>
  <c r="U1091" i="2"/>
  <c r="U1093" i="2"/>
  <c r="AE1095" i="2"/>
  <c r="Z1102" i="2"/>
  <c r="AD1109" i="2"/>
  <c r="AF1111" i="2"/>
  <c r="AE1119" i="2"/>
  <c r="AA1121" i="2"/>
  <c r="AF1123" i="2"/>
  <c r="AE1123" i="2"/>
  <c r="AC1135" i="2"/>
  <c r="AB1135" i="2"/>
  <c r="AH1137" i="2"/>
  <c r="AI1147" i="2"/>
  <c r="AF1148" i="2"/>
  <c r="U1151" i="2"/>
  <c r="AG1151" i="2"/>
  <c r="Z1153" i="2"/>
  <c r="Y1153" i="2"/>
  <c r="AD1156" i="2"/>
  <c r="W1159" i="2"/>
  <c r="AI1159" i="2"/>
  <c r="Z1165" i="2"/>
  <c r="Y1173" i="2"/>
  <c r="X1177" i="2"/>
  <c r="Z1184" i="2"/>
  <c r="AK1184" i="2" s="1"/>
  <c r="Y1184" i="2"/>
  <c r="AG1187" i="2"/>
  <c r="AE1188" i="2"/>
  <c r="AA1195" i="2"/>
  <c r="AE1197" i="2"/>
  <c r="AC1198" i="2"/>
  <c r="AC1199" i="2"/>
  <c r="AB1210" i="2"/>
  <c r="W1220" i="2"/>
  <c r="X1231" i="2"/>
  <c r="Y1231" i="2"/>
  <c r="AE1239" i="2"/>
  <c r="AA1247" i="2"/>
  <c r="AF1262" i="2"/>
  <c r="X1263" i="2"/>
  <c r="W1263" i="2"/>
  <c r="AF1287" i="2"/>
  <c r="AE1289" i="2"/>
  <c r="Z1296" i="2"/>
  <c r="Y1296" i="2"/>
  <c r="X1298" i="2"/>
  <c r="W1298" i="2"/>
  <c r="AA1323" i="2"/>
  <c r="Z1323" i="2"/>
  <c r="AC1120" i="2"/>
  <c r="AB1120" i="2"/>
  <c r="AA1170" i="2"/>
  <c r="AB1217" i="2"/>
  <c r="AA1217" i="2"/>
  <c r="AI1227" i="2"/>
  <c r="AH1227" i="2"/>
  <c r="AB1283" i="2"/>
  <c r="AA1283" i="2"/>
  <c r="AD1284" i="2"/>
  <c r="AC1284" i="2"/>
  <c r="V1503" i="2"/>
  <c r="U1503" i="2"/>
  <c r="AB1505" i="2"/>
  <c r="AA1505" i="2"/>
  <c r="V1507" i="2"/>
  <c r="U1507" i="2"/>
  <c r="AG1507" i="2"/>
  <c r="AH1507" i="2"/>
  <c r="AA1067" i="2"/>
  <c r="Z1088" i="2"/>
  <c r="AK1088" i="2" s="1"/>
  <c r="Y1088" i="2"/>
  <c r="X1092" i="2"/>
  <c r="W1092" i="2"/>
  <c r="AI1114" i="2"/>
  <c r="AH1114" i="2"/>
  <c r="X1163" i="2"/>
  <c r="AB1171" i="2"/>
  <c r="AB1186" i="2"/>
  <c r="AA1212" i="2"/>
  <c r="Z1212" i="2"/>
  <c r="AE1216" i="2"/>
  <c r="AE1238" i="2"/>
  <c r="AD1238" i="2"/>
  <c r="Y1243" i="2"/>
  <c r="X1243" i="2"/>
  <c r="AF1245" i="2"/>
  <c r="AE1245" i="2"/>
  <c r="AC1266" i="2"/>
  <c r="AB1266" i="2"/>
  <c r="X1281" i="2"/>
  <c r="V1325" i="2"/>
  <c r="U1325" i="2"/>
  <c r="U952" i="2"/>
  <c r="AG952" i="2"/>
  <c r="W962" i="2"/>
  <c r="AI962" i="2"/>
  <c r="AF971" i="2"/>
  <c r="V981" i="2"/>
  <c r="AH981" i="2"/>
  <c r="AE990" i="2"/>
  <c r="U1000" i="2"/>
  <c r="AG1000" i="2"/>
  <c r="W1010" i="2"/>
  <c r="AI1010" i="2"/>
  <c r="AF1019" i="2"/>
  <c r="V1029" i="2"/>
  <c r="AH1029" i="2"/>
  <c r="AE1038" i="2"/>
  <c r="X1052" i="2"/>
  <c r="U1057" i="2"/>
  <c r="AG1057" i="2"/>
  <c r="AB1059" i="2"/>
  <c r="Y1060" i="2"/>
  <c r="AH1061" i="2"/>
  <c r="AC1067" i="2"/>
  <c r="Y1069" i="2"/>
  <c r="Z1070" i="2"/>
  <c r="AK1070" i="2" s="1"/>
  <c r="AA1074" i="2"/>
  <c r="Z1074" i="2"/>
  <c r="W1075" i="2"/>
  <c r="Z1081" i="2"/>
  <c r="Y1081" i="2"/>
  <c r="Z1089" i="2"/>
  <c r="Y1090" i="2"/>
  <c r="Y1092" i="2"/>
  <c r="AE1100" i="2"/>
  <c r="AB1102" i="2"/>
  <c r="U1110" i="2"/>
  <c r="AG1110" i="2"/>
  <c r="W1111" i="2"/>
  <c r="AI1111" i="2"/>
  <c r="Y1118" i="2"/>
  <c r="AE1120" i="2"/>
  <c r="AI1130" i="2"/>
  <c r="W1145" i="2"/>
  <c r="V1145" i="2"/>
  <c r="AI1150" i="2"/>
  <c r="AH1150" i="2"/>
  <c r="AB1152" i="2"/>
  <c r="Y1152" i="2"/>
  <c r="AE1153" i="2"/>
  <c r="U1156" i="2"/>
  <c r="AB1160" i="2"/>
  <c r="AK1160" i="2" s="1"/>
  <c r="Z1177" i="2"/>
  <c r="AK1177" i="2" s="1"/>
  <c r="X1180" i="2"/>
  <c r="AA1183" i="2"/>
  <c r="Y1183" i="2"/>
  <c r="AB1194" i="2"/>
  <c r="AK1194" i="2" s="1"/>
  <c r="AF1200" i="2"/>
  <c r="W1201" i="2"/>
  <c r="AD1211" i="2"/>
  <c r="V1226" i="2"/>
  <c r="U1226" i="2"/>
  <c r="AG1226" i="2"/>
  <c r="AH1226" i="2"/>
  <c r="AF1229" i="2"/>
  <c r="Y1235" i="2"/>
  <c r="Z1236" i="2"/>
  <c r="Y1236" i="2"/>
  <c r="V1242" i="2"/>
  <c r="Z1243" i="2"/>
  <c r="AA1257" i="2"/>
  <c r="X1265" i="2"/>
  <c r="W1265" i="2"/>
  <c r="X1295" i="2"/>
  <c r="W1295" i="2"/>
  <c r="Y1309" i="2"/>
  <c r="X1309" i="2"/>
  <c r="AE1311" i="2"/>
  <c r="AD1311" i="2"/>
  <c r="AG1334" i="2"/>
  <c r="AF1334" i="2"/>
  <c r="Z1340" i="2"/>
  <c r="AA1034" i="2"/>
  <c r="AE1051" i="2"/>
  <c r="AE1054" i="2"/>
  <c r="AA1055" i="2"/>
  <c r="AD1058" i="2"/>
  <c r="AE1062" i="2"/>
  <c r="AB1079" i="2"/>
  <c r="AA1088" i="2"/>
  <c r="AG1104" i="2"/>
  <c r="AF1104" i="2"/>
  <c r="V1118" i="2"/>
  <c r="Y1124" i="2"/>
  <c r="X1124" i="2"/>
  <c r="U1124" i="2"/>
  <c r="Z1131" i="2"/>
  <c r="Y1131" i="2"/>
  <c r="W1137" i="2"/>
  <c r="V1137" i="2"/>
  <c r="Y1162" i="2"/>
  <c r="AB1163" i="2"/>
  <c r="AA1163" i="2"/>
  <c r="AD1165" i="2"/>
  <c r="AC1165" i="2"/>
  <c r="AD1170" i="2"/>
  <c r="V1175" i="2"/>
  <c r="U1175" i="2"/>
  <c r="AH1175" i="2"/>
  <c r="AG1175" i="2"/>
  <c r="W1176" i="2"/>
  <c r="AA1182" i="2"/>
  <c r="AA1193" i="2"/>
  <c r="Z1207" i="2"/>
  <c r="AA1211" i="2"/>
  <c r="V1235" i="2"/>
  <c r="Y1240" i="2"/>
  <c r="X1240" i="2"/>
  <c r="V1264" i="2"/>
  <c r="U1264" i="2"/>
  <c r="AB1281" i="2"/>
  <c r="AK1281" i="2" s="1"/>
  <c r="AA1281" i="2"/>
  <c r="Y960" i="2"/>
  <c r="X979" i="2"/>
  <c r="Y1008" i="2"/>
  <c r="X1027" i="2"/>
  <c r="AD1047" i="2"/>
  <c r="Y1048" i="2"/>
  <c r="Y1053" i="2"/>
  <c r="AA1056" i="2"/>
  <c r="AD1059" i="2"/>
  <c r="X1065" i="2"/>
  <c r="W1065" i="2"/>
  <c r="X1077" i="2"/>
  <c r="Z1082" i="2"/>
  <c r="W1084" i="2"/>
  <c r="AI1084" i="2"/>
  <c r="AG1085" i="2"/>
  <c r="AH1085" i="2"/>
  <c r="Y1094" i="2"/>
  <c r="AI1110" i="2"/>
  <c r="AA1112" i="2"/>
  <c r="Z1112" i="2"/>
  <c r="W1114" i="2"/>
  <c r="Z1116" i="2"/>
  <c r="Z1117" i="2"/>
  <c r="AK1117" i="2" s="1"/>
  <c r="W1130" i="2"/>
  <c r="W1131" i="2"/>
  <c r="Z1142" i="2"/>
  <c r="W1144" i="2"/>
  <c r="V1144" i="2"/>
  <c r="AI1144" i="2"/>
  <c r="Y1148" i="2"/>
  <c r="X1148" i="2"/>
  <c r="Y1150" i="2"/>
  <c r="AD1160" i="2"/>
  <c r="AC1168" i="2"/>
  <c r="AB1168" i="2"/>
  <c r="AK1168" i="2" s="1"/>
  <c r="AE1172" i="2"/>
  <c r="AD1173" i="2"/>
  <c r="AC1173" i="2"/>
  <c r="AE1178" i="2"/>
  <c r="U1185" i="2"/>
  <c r="AG1185" i="2"/>
  <c r="AA1191" i="2"/>
  <c r="AC1193" i="2"/>
  <c r="V1196" i="2"/>
  <c r="Z1204" i="2"/>
  <c r="AB1206" i="2"/>
  <c r="Z1206" i="2"/>
  <c r="AC1207" i="2"/>
  <c r="U1213" i="2"/>
  <c r="AG1213" i="2"/>
  <c r="X1215" i="2"/>
  <c r="V1218" i="2"/>
  <c r="U1218" i="2"/>
  <c r="AG1225" i="2"/>
  <c r="AF1225" i="2"/>
  <c r="AA1230" i="2"/>
  <c r="W1234" i="2"/>
  <c r="V1234" i="2"/>
  <c r="W1245" i="2"/>
  <c r="V1245" i="2"/>
  <c r="AI1245" i="2"/>
  <c r="AH1245" i="2"/>
  <c r="AA1246" i="2"/>
  <c r="AA1250" i="2"/>
  <c r="AE1277" i="2"/>
  <c r="W1278" i="2"/>
  <c r="AI1278" i="2"/>
  <c r="AA1279" i="2"/>
  <c r="AE1282" i="2"/>
  <c r="X1317" i="2"/>
  <c r="W1317" i="2"/>
  <c r="AI1058" i="2"/>
  <c r="U1062" i="2"/>
  <c r="AG1062" i="2"/>
  <c r="U1069" i="2"/>
  <c r="AG1069" i="2"/>
  <c r="AB1080" i="2"/>
  <c r="AK1080" i="2" s="1"/>
  <c r="U1082" i="2"/>
  <c r="AD1083" i="2"/>
  <c r="AC1090" i="2"/>
  <c r="AE1101" i="2"/>
  <c r="U1106" i="2"/>
  <c r="AG1106" i="2"/>
  <c r="AC1109" i="2"/>
  <c r="X1113" i="2"/>
  <c r="AA1118" i="2"/>
  <c r="Z1123" i="2"/>
  <c r="V1134" i="2"/>
  <c r="AH1134" i="2"/>
  <c r="W1135" i="2"/>
  <c r="AI1135" i="2"/>
  <c r="AD1141" i="2"/>
  <c r="AE1148" i="2"/>
  <c r="AA1152" i="2"/>
  <c r="W1156" i="2"/>
  <c r="AI1156" i="2"/>
  <c r="U1158" i="2"/>
  <c r="AG1158" i="2"/>
  <c r="V1159" i="2"/>
  <c r="AF1170" i="2"/>
  <c r="V1181" i="2"/>
  <c r="AI1203" i="2"/>
  <c r="U1208" i="2"/>
  <c r="AG1208" i="2"/>
  <c r="V1210" i="2"/>
  <c r="AF1213" i="2"/>
  <c r="W1215" i="2"/>
  <c r="Y1220" i="2"/>
  <c r="Z1222" i="2"/>
  <c r="Y1222" i="2"/>
  <c r="U1224" i="2"/>
  <c r="AG1224" i="2"/>
  <c r="AF1224" i="2"/>
  <c r="AA1226" i="2"/>
  <c r="W1229" i="2"/>
  <c r="AI1229" i="2"/>
  <c r="Z1230" i="2"/>
  <c r="AK1230" i="2" s="1"/>
  <c r="V1241" i="2"/>
  <c r="AH1241" i="2"/>
  <c r="AH1244" i="2"/>
  <c r="X1245" i="2"/>
  <c r="V1248" i="2"/>
  <c r="AH1248" i="2"/>
  <c r="AC1257" i="2"/>
  <c r="Y1262" i="2"/>
  <c r="X1262" i="2"/>
  <c r="AI1265" i="2"/>
  <c r="AF1269" i="2"/>
  <c r="AE1269" i="2"/>
  <c r="W1272" i="2"/>
  <c r="V1272" i="2"/>
  <c r="AI1277" i="2"/>
  <c r="AB1297" i="2"/>
  <c r="AK1297" i="2" s="1"/>
  <c r="AA1297" i="2"/>
  <c r="AH1298" i="2"/>
  <c r="AG1298" i="2"/>
  <c r="AE1302" i="2"/>
  <c r="AF1302" i="2"/>
  <c r="AG1307" i="2"/>
  <c r="AF1307" i="2"/>
  <c r="AI1317" i="2"/>
  <c r="AH1317" i="2"/>
  <c r="AD1326" i="2"/>
  <c r="AC1326" i="2"/>
  <c r="Y1327" i="2"/>
  <c r="AD1329" i="2"/>
  <c r="AD1330" i="2"/>
  <c r="AA1339" i="2"/>
  <c r="AC1438" i="2"/>
  <c r="AD1438" i="2"/>
  <c r="AB1498" i="2"/>
  <c r="AA1498" i="2"/>
  <c r="Z1124" i="2"/>
  <c r="AK1124" i="2" s="1"/>
  <c r="AG1128" i="2"/>
  <c r="AF1128" i="2"/>
  <c r="AD1129" i="2"/>
  <c r="X1209" i="2"/>
  <c r="W1209" i="2"/>
  <c r="AA1229" i="2"/>
  <c r="AD1252" i="2"/>
  <c r="V1276" i="2"/>
  <c r="U1276" i="2"/>
  <c r="Y1290" i="2"/>
  <c r="V1302" i="2"/>
  <c r="W1302" i="2"/>
  <c r="AF1309" i="2"/>
  <c r="AE1309" i="2"/>
  <c r="AA1318" i="2"/>
  <c r="AB1324" i="2"/>
  <c r="AK1324" i="2" s="1"/>
  <c r="AA1324" i="2"/>
  <c r="X1072" i="2"/>
  <c r="Z1075" i="2"/>
  <c r="Z1078" i="2"/>
  <c r="V1079" i="2"/>
  <c r="AH1079" i="2"/>
  <c r="Y1089" i="2"/>
  <c r="AC1091" i="2"/>
  <c r="X1096" i="2"/>
  <c r="W1106" i="2"/>
  <c r="AD1112" i="2"/>
  <c r="W1115" i="2"/>
  <c r="AI1115" i="2"/>
  <c r="X1126" i="2"/>
  <c r="AF1129" i="2"/>
  <c r="AD1130" i="2"/>
  <c r="AB1133" i="2"/>
  <c r="V1139" i="2"/>
  <c r="AH1139" i="2"/>
  <c r="W1140" i="2"/>
  <c r="AD1143" i="2"/>
  <c r="AB1155" i="2"/>
  <c r="Y1161" i="2"/>
  <c r="V1164" i="2"/>
  <c r="AF1166" i="2"/>
  <c r="Y1169" i="2"/>
  <c r="Z1179" i="2"/>
  <c r="Z1180" i="2"/>
  <c r="AK1180" i="2" s="1"/>
  <c r="V1192" i="2"/>
  <c r="W1192" i="2"/>
  <c r="AI1192" i="2"/>
  <c r="AH1192" i="2"/>
  <c r="AI1194" i="2"/>
  <c r="W1199" i="2"/>
  <c r="AI1200" i="2"/>
  <c r="X1203" i="2"/>
  <c r="X1204" i="2"/>
  <c r="Y1208" i="2"/>
  <c r="Y1214" i="2"/>
  <c r="X1214" i="2"/>
  <c r="X1218" i="2"/>
  <c r="AG1231" i="2"/>
  <c r="Y1234" i="2"/>
  <c r="U1238" i="2"/>
  <c r="AG1238" i="2"/>
  <c r="AG1246" i="2"/>
  <c r="AF1246" i="2"/>
  <c r="AD1250" i="2"/>
  <c r="AD1253" i="2"/>
  <c r="AE1254" i="2"/>
  <c r="U1256" i="2"/>
  <c r="U1258" i="2"/>
  <c r="AE1263" i="2"/>
  <c r="AD1263" i="2"/>
  <c r="W1276" i="2"/>
  <c r="AI1280" i="2"/>
  <c r="W1281" i="2"/>
  <c r="V1281" i="2"/>
  <c r="AB1285" i="2"/>
  <c r="AA1286" i="2"/>
  <c r="AA1289" i="2"/>
  <c r="AA1291" i="2"/>
  <c r="W1294" i="2"/>
  <c r="AI1294" i="2"/>
  <c r="AH1294" i="2"/>
  <c r="U1301" i="2"/>
  <c r="AG1301" i="2"/>
  <c r="Z1303" i="2"/>
  <c r="AK1303" i="2" s="1"/>
  <c r="Y1303" i="2"/>
  <c r="W1313" i="2"/>
  <c r="AI1313" i="2"/>
  <c r="AC1318" i="2"/>
  <c r="AC1323" i="2"/>
  <c r="AB1323" i="2"/>
  <c r="AK1323" i="2" s="1"/>
  <c r="V1326" i="2"/>
  <c r="AH1326" i="2"/>
  <c r="V1350" i="2"/>
  <c r="U1350" i="2"/>
  <c r="AF1354" i="2"/>
  <c r="AG1354" i="2"/>
  <c r="AA1356" i="2"/>
  <c r="W1361" i="2"/>
  <c r="AD1095" i="2"/>
  <c r="W1097" i="2"/>
  <c r="AF1098" i="2"/>
  <c r="X1101" i="2"/>
  <c r="Y1105" i="2"/>
  <c r="W1108" i="2"/>
  <c r="AI1108" i="2"/>
  <c r="AH1109" i="2"/>
  <c r="AG1109" i="2"/>
  <c r="X1116" i="2"/>
  <c r="W1120" i="2"/>
  <c r="AI1120" i="2"/>
  <c r="AF1122" i="2"/>
  <c r="AE1122" i="2"/>
  <c r="U1129" i="2"/>
  <c r="AG1129" i="2"/>
  <c r="AC1133" i="2"/>
  <c r="AA1134" i="2"/>
  <c r="Z1134" i="2"/>
  <c r="AB1136" i="2"/>
  <c r="W1139" i="2"/>
  <c r="AI1139" i="2"/>
  <c r="X1140" i="2"/>
  <c r="AE1143" i="2"/>
  <c r="Z1147" i="2"/>
  <c r="AK1147" i="2" s="1"/>
  <c r="AB1157" i="2"/>
  <c r="V1163" i="2"/>
  <c r="AH1163" i="2"/>
  <c r="W1164" i="2"/>
  <c r="AD1167" i="2"/>
  <c r="AD1178" i="2"/>
  <c r="AA1180" i="2"/>
  <c r="Y1187" i="2"/>
  <c r="Y1191" i="2"/>
  <c r="X1199" i="2"/>
  <c r="Y1203" i="2"/>
  <c r="Y1204" i="2"/>
  <c r="Z1208" i="2"/>
  <c r="V1212" i="2"/>
  <c r="AH1212" i="2"/>
  <c r="Z1214" i="2"/>
  <c r="W1217" i="2"/>
  <c r="AI1217" i="2"/>
  <c r="Z1219" i="2"/>
  <c r="AF1242" i="2"/>
  <c r="AE1242" i="2"/>
  <c r="Z1247" i="2"/>
  <c r="Z1248" i="2"/>
  <c r="AK1248" i="2" s="1"/>
  <c r="AF1263" i="2"/>
  <c r="AD1273" i="2"/>
  <c r="AE1273" i="2"/>
  <c r="X1280" i="2"/>
  <c r="AB1289" i="2"/>
  <c r="U1297" i="2"/>
  <c r="AG1297" i="2"/>
  <c r="AF1297" i="2"/>
  <c r="AB1299" i="2"/>
  <c r="AE1308" i="2"/>
  <c r="AD1308" i="2"/>
  <c r="X1313" i="2"/>
  <c r="U1315" i="2"/>
  <c r="W1320" i="2"/>
  <c r="AI1320" i="2"/>
  <c r="AH1320" i="2"/>
  <c r="Z1341" i="2"/>
  <c r="Y1341" i="2"/>
  <c r="AE1343" i="2"/>
  <c r="AD1343" i="2"/>
  <c r="Y1356" i="2"/>
  <c r="Z1371" i="2"/>
  <c r="AG1093" i="2"/>
  <c r="V1098" i="2"/>
  <c r="AH1098" i="2"/>
  <c r="W1103" i="2"/>
  <c r="AI1103" i="2"/>
  <c r="AD1107" i="2"/>
  <c r="AF1112" i="2"/>
  <c r="U1117" i="2"/>
  <c r="AG1117" i="2"/>
  <c r="V1122" i="2"/>
  <c r="AH1122" i="2"/>
  <c r="W1127" i="2"/>
  <c r="AI1127" i="2"/>
  <c r="AD1131" i="2"/>
  <c r="AF1136" i="2"/>
  <c r="U1141" i="2"/>
  <c r="AG1141" i="2"/>
  <c r="V1146" i="2"/>
  <c r="AH1146" i="2"/>
  <c r="W1151" i="2"/>
  <c r="AI1151" i="2"/>
  <c r="AD1155" i="2"/>
  <c r="AF1160" i="2"/>
  <c r="U1165" i="2"/>
  <c r="AG1165" i="2"/>
  <c r="V1170" i="2"/>
  <c r="AH1170" i="2"/>
  <c r="X1175" i="2"/>
  <c r="Y1181" i="2"/>
  <c r="W1193" i="2"/>
  <c r="AI1193" i="2"/>
  <c r="AF1194" i="2"/>
  <c r="AA1196" i="2"/>
  <c r="AA1201" i="2"/>
  <c r="AE1203" i="2"/>
  <c r="Z1209" i="2"/>
  <c r="AD1212" i="2"/>
  <c r="AB1214" i="2"/>
  <c r="AE1217" i="2"/>
  <c r="AA1223" i="2"/>
  <c r="AC1226" i="2"/>
  <c r="Y1237" i="2"/>
  <c r="Y1238" i="2"/>
  <c r="AB1244" i="2"/>
  <c r="AA1244" i="2"/>
  <c r="W1258" i="2"/>
  <c r="AI1258" i="2"/>
  <c r="Z1261" i="2"/>
  <c r="AK1261" i="2" s="1"/>
  <c r="AB1264" i="2"/>
  <c r="AB1265" i="2"/>
  <c r="U1268" i="2"/>
  <c r="W1271" i="2"/>
  <c r="U1289" i="2"/>
  <c r="AI1292" i="2"/>
  <c r="W1297" i="2"/>
  <c r="AI1297" i="2"/>
  <c r="V1307" i="2"/>
  <c r="AF1311" i="2"/>
  <c r="Y1312" i="2"/>
  <c r="X1312" i="2"/>
  <c r="AH1314" i="2"/>
  <c r="AH1333" i="2"/>
  <c r="Y1348" i="2"/>
  <c r="X1367" i="2"/>
  <c r="W1376" i="2"/>
  <c r="V1376" i="2"/>
  <c r="AI1376" i="2"/>
  <c r="AH1376" i="2"/>
  <c r="X1422" i="2"/>
  <c r="W1422" i="2"/>
  <c r="X1429" i="2"/>
  <c r="W1429" i="2"/>
  <c r="AE1448" i="2"/>
  <c r="AF1448" i="2"/>
  <c r="AE1450" i="2"/>
  <c r="AD1450" i="2"/>
  <c r="AC1177" i="2"/>
  <c r="AG1179" i="2"/>
  <c r="AD1183" i="2"/>
  <c r="AB1222" i="2"/>
  <c r="AA1222" i="2"/>
  <c r="AC1231" i="2"/>
  <c r="AB1231" i="2"/>
  <c r="AK1231" i="2" s="1"/>
  <c r="AB1234" i="2"/>
  <c r="AA1234" i="2"/>
  <c r="AC1246" i="2"/>
  <c r="V1252" i="2"/>
  <c r="U1252" i="2"/>
  <c r="Z1260" i="2"/>
  <c r="Y1260" i="2"/>
  <c r="Z1320" i="2"/>
  <c r="AK1320" i="2" s="1"/>
  <c r="X1337" i="2"/>
  <c r="Y1337" i="2"/>
  <c r="AC1339" i="2"/>
  <c r="AE1406" i="2"/>
  <c r="AD1406" i="2"/>
  <c r="X1478" i="2"/>
  <c r="W1478" i="2"/>
  <c r="AD1054" i="2"/>
  <c r="Y1058" i="2"/>
  <c r="AA1063" i="2"/>
  <c r="AB1068" i="2"/>
  <c r="AC1073" i="2"/>
  <c r="AD1078" i="2"/>
  <c r="Y1082" i="2"/>
  <c r="AA1087" i="2"/>
  <c r="AB1092" i="2"/>
  <c r="AC1097" i="2"/>
  <c r="AD1102" i="2"/>
  <c r="Y1106" i="2"/>
  <c r="AA1111" i="2"/>
  <c r="AB1116" i="2"/>
  <c r="AC1121" i="2"/>
  <c r="AD1126" i="2"/>
  <c r="Y1130" i="2"/>
  <c r="AG1133" i="2"/>
  <c r="AA1135" i="2"/>
  <c r="AH1138" i="2"/>
  <c r="AB1140" i="2"/>
  <c r="AK1140" i="2" s="1"/>
  <c r="AC1145" i="2"/>
  <c r="AE1147" i="2"/>
  <c r="AD1150" i="2"/>
  <c r="AF1152" i="2"/>
  <c r="Y1154" i="2"/>
  <c r="AG1157" i="2"/>
  <c r="AA1159" i="2"/>
  <c r="AH1162" i="2"/>
  <c r="AB1164" i="2"/>
  <c r="AC1169" i="2"/>
  <c r="AE1171" i="2"/>
  <c r="AD1174" i="2"/>
  <c r="AE1180" i="2"/>
  <c r="Z1185" i="2"/>
  <c r="AK1185" i="2" s="1"/>
  <c r="AH1186" i="2"/>
  <c r="U1190" i="2"/>
  <c r="AD1191" i="2"/>
  <c r="V1194" i="2"/>
  <c r="AE1195" i="2"/>
  <c r="W1198" i="2"/>
  <c r="AI1198" i="2"/>
  <c r="AG1199" i="2"/>
  <c r="AD1204" i="2"/>
  <c r="U1207" i="2"/>
  <c r="AG1207" i="2"/>
  <c r="AB1209" i="2"/>
  <c r="AD1214" i="2"/>
  <c r="AE1219" i="2"/>
  <c r="AD1221" i="2"/>
  <c r="AB1221" i="2"/>
  <c r="AC1223" i="2"/>
  <c r="AC1233" i="2"/>
  <c r="AC1236" i="2"/>
  <c r="AA1237" i="2"/>
  <c r="V1249" i="2"/>
  <c r="X1251" i="2"/>
  <c r="W1252" i="2"/>
  <c r="AI1252" i="2"/>
  <c r="Y1258" i="2"/>
  <c r="AD1264" i="2"/>
  <c r="AE1265" i="2"/>
  <c r="V1267" i="2"/>
  <c r="W1282" i="2"/>
  <c r="V1282" i="2"/>
  <c r="Y1292" i="2"/>
  <c r="Z1293" i="2"/>
  <c r="Y1293" i="2"/>
  <c r="AH1296" i="2"/>
  <c r="AH1300" i="2"/>
  <c r="AG1300" i="2"/>
  <c r="AA1302" i="2"/>
  <c r="Z1302" i="2"/>
  <c r="Z1319" i="2"/>
  <c r="AK1319" i="2" s="1"/>
  <c r="V1324" i="2"/>
  <c r="U1324" i="2"/>
  <c r="W1328" i="2"/>
  <c r="W1329" i="2"/>
  <c r="X1336" i="2"/>
  <c r="AE1339" i="2"/>
  <c r="AI1345" i="2"/>
  <c r="W1347" i="2"/>
  <c r="V1347" i="2"/>
  <c r="AI1347" i="2"/>
  <c r="AA1348" i="2"/>
  <c r="AA1360" i="2"/>
  <c r="X1366" i="2"/>
  <c r="W1366" i="2"/>
  <c r="Y1390" i="2"/>
  <c r="X1398" i="2"/>
  <c r="W1398" i="2"/>
  <c r="Y1421" i="2"/>
  <c r="X1421" i="2"/>
  <c r="AE1425" i="2"/>
  <c r="AD1425" i="2"/>
  <c r="V1448" i="2"/>
  <c r="U1448" i="2"/>
  <c r="AG1448" i="2"/>
  <c r="AH1448" i="2"/>
  <c r="AF1450" i="2"/>
  <c r="AG1450" i="2"/>
  <c r="Z1106" i="2"/>
  <c r="X1125" i="2"/>
  <c r="Z1130" i="2"/>
  <c r="X1149" i="2"/>
  <c r="Z1154" i="2"/>
  <c r="AK1154" i="2" s="1"/>
  <c r="X1173" i="2"/>
  <c r="AE1174" i="2"/>
  <c r="X1179" i="2"/>
  <c r="AF1180" i="2"/>
  <c r="U1183" i="2"/>
  <c r="AG1183" i="2"/>
  <c r="AF1183" i="2"/>
  <c r="AA1185" i="2"/>
  <c r="V1190" i="2"/>
  <c r="AH1190" i="2"/>
  <c r="AG1190" i="2"/>
  <c r="W1194" i="2"/>
  <c r="X1198" i="2"/>
  <c r="U1212" i="2"/>
  <c r="AG1212" i="2"/>
  <c r="V1217" i="2"/>
  <c r="AH1217" i="2"/>
  <c r="AG1218" i="2"/>
  <c r="AF1230" i="2"/>
  <c r="AD1232" i="2"/>
  <c r="U1248" i="2"/>
  <c r="AG1248" i="2"/>
  <c r="Y1255" i="2"/>
  <c r="AA1272" i="2"/>
  <c r="Z1272" i="2"/>
  <c r="AC1275" i="2"/>
  <c r="AB1275" i="2"/>
  <c r="AK1275" i="2" s="1"/>
  <c r="X1282" i="2"/>
  <c r="Z1285" i="2"/>
  <c r="Y1286" i="2"/>
  <c r="X1288" i="2"/>
  <c r="W1288" i="2"/>
  <c r="Z1292" i="2"/>
  <c r="AI1296" i="2"/>
  <c r="AI1300" i="2"/>
  <c r="AE1304" i="2"/>
  <c r="U1310" i="2"/>
  <c r="AG1310" i="2"/>
  <c r="W1311" i="2"/>
  <c r="AA1319" i="2"/>
  <c r="X1347" i="2"/>
  <c r="X1348" i="2"/>
  <c r="AI1389" i="2"/>
  <c r="AE1393" i="2"/>
  <c r="Y1333" i="2"/>
  <c r="Y1334" i="2"/>
  <c r="X1334" i="2"/>
  <c r="Z1336" i="2"/>
  <c r="AA1337" i="2"/>
  <c r="AF1342" i="2"/>
  <c r="AE1342" i="2"/>
  <c r="AB1346" i="2"/>
  <c r="V1352" i="2"/>
  <c r="W1353" i="2"/>
  <c r="V1353" i="2"/>
  <c r="AI1353" i="2"/>
  <c r="AH1353" i="2"/>
  <c r="Z1358" i="2"/>
  <c r="Y1358" i="2"/>
  <c r="AB1361" i="2"/>
  <c r="AA1369" i="2"/>
  <c r="AA1378" i="2"/>
  <c r="Z1389" i="2"/>
  <c r="V1419" i="2"/>
  <c r="U1419" i="2"/>
  <c r="AH1419" i="2"/>
  <c r="AG1419" i="2"/>
  <c r="AA1499" i="2"/>
  <c r="Z1536" i="2"/>
  <c r="Y1536" i="2"/>
  <c r="AA1220" i="2"/>
  <c r="AI1221" i="2"/>
  <c r="V1229" i="2"/>
  <c r="AH1229" i="2"/>
  <c r="X1235" i="2"/>
  <c r="AF1236" i="2"/>
  <c r="AC1240" i="2"/>
  <c r="AH1242" i="2"/>
  <c r="AC1251" i="2"/>
  <c r="V1253" i="2"/>
  <c r="AH1253" i="2"/>
  <c r="AG1253" i="2"/>
  <c r="W1256" i="2"/>
  <c r="AE1257" i="2"/>
  <c r="Z1262" i="2"/>
  <c r="AI1263" i="2"/>
  <c r="W1268" i="2"/>
  <c r="AC1271" i="2"/>
  <c r="U1274" i="2"/>
  <c r="AF1279" i="2"/>
  <c r="AD1280" i="2"/>
  <c r="AC1280" i="2"/>
  <c r="AE1285" i="2"/>
  <c r="AG1289" i="2"/>
  <c r="AB1294" i="2"/>
  <c r="AA1294" i="2"/>
  <c r="AB1295" i="2"/>
  <c r="AK1295" i="2" s="1"/>
  <c r="W1305" i="2"/>
  <c r="V1305" i="2"/>
  <c r="W1306" i="2"/>
  <c r="AI1306" i="2"/>
  <c r="X1307" i="2"/>
  <c r="Y1310" i="2"/>
  <c r="AA1315" i="2"/>
  <c r="AC1319" i="2"/>
  <c r="Y1328" i="2"/>
  <c r="AA1333" i="2"/>
  <c r="X1333" i="2"/>
  <c r="AF1340" i="2"/>
  <c r="AE1340" i="2"/>
  <c r="V1342" i="2"/>
  <c r="AD1346" i="2"/>
  <c r="AG1350" i="2"/>
  <c r="AA1357" i="2"/>
  <c r="AE1362" i="2"/>
  <c r="AD1362" i="2"/>
  <c r="W1364" i="2"/>
  <c r="AI1364" i="2"/>
  <c r="AA1365" i="2"/>
  <c r="X1376" i="2"/>
  <c r="AA1413" i="2"/>
  <c r="Z1413" i="2"/>
  <c r="X1413" i="2"/>
  <c r="X1457" i="2"/>
  <c r="W1457" i="2"/>
  <c r="AA1241" i="2"/>
  <c r="Z1241" i="2"/>
  <c r="AB1258" i="2"/>
  <c r="AD1316" i="2"/>
  <c r="AC1316" i="2"/>
  <c r="AE1379" i="2"/>
  <c r="AD1379" i="2"/>
  <c r="AH1431" i="2"/>
  <c r="AI1431" i="2"/>
  <c r="AA1440" i="2"/>
  <c r="AB1440" i="2"/>
  <c r="AK1440" i="2" s="1"/>
  <c r="V1452" i="2"/>
  <c r="U1452" i="2"/>
  <c r="AG1452" i="2"/>
  <c r="AH1452" i="2"/>
  <c r="V1475" i="2"/>
  <c r="U1475" i="2"/>
  <c r="AH1475" i="2"/>
  <c r="AG1475" i="2"/>
  <c r="V1481" i="2"/>
  <c r="U1481" i="2"/>
  <c r="AG1481" i="2"/>
  <c r="AH1481" i="2"/>
  <c r="V1232" i="2"/>
  <c r="X1238" i="2"/>
  <c r="AF1247" i="2"/>
  <c r="U1253" i="2"/>
  <c r="W1259" i="2"/>
  <c r="AD1261" i="2"/>
  <c r="AI1279" i="2"/>
  <c r="AH1279" i="2"/>
  <c r="AF1293" i="2"/>
  <c r="AF1294" i="2"/>
  <c r="AE1301" i="2"/>
  <c r="V1306" i="2"/>
  <c r="AA1307" i="2"/>
  <c r="Z1307" i="2"/>
  <c r="AA1308" i="2"/>
  <c r="X1310" i="2"/>
  <c r="AC1312" i="2"/>
  <c r="AE1314" i="2"/>
  <c r="AF1318" i="2"/>
  <c r="AF1319" i="2"/>
  <c r="X1327" i="2"/>
  <c r="Z1364" i="2"/>
  <c r="X1374" i="2"/>
  <c r="W1374" i="2"/>
  <c r="Y1375" i="2"/>
  <c r="Y1386" i="2"/>
  <c r="X1386" i="2"/>
  <c r="W1400" i="2"/>
  <c r="V1400" i="2"/>
  <c r="AI1400" i="2"/>
  <c r="AH1400" i="2"/>
  <c r="Y1403" i="2"/>
  <c r="X1403" i="2"/>
  <c r="Z1412" i="2"/>
  <c r="Y1412" i="2"/>
  <c r="AD1488" i="2"/>
  <c r="AC1488" i="2"/>
  <c r="V1176" i="2"/>
  <c r="AH1176" i="2"/>
  <c r="AE1185" i="2"/>
  <c r="AA1194" i="2"/>
  <c r="AB1199" i="2"/>
  <c r="AC1204" i="2"/>
  <c r="AE1209" i="2"/>
  <c r="Z1213" i="2"/>
  <c r="AA1218" i="2"/>
  <c r="AH1219" i="2"/>
  <c r="U1223" i="2"/>
  <c r="AD1228" i="2"/>
  <c r="W1233" i="2"/>
  <c r="AE1234" i="2"/>
  <c r="AC1252" i="2"/>
  <c r="W1254" i="2"/>
  <c r="AB1259" i="2"/>
  <c r="AG1261" i="2"/>
  <c r="Z1263" i="2"/>
  <c r="V1265" i="2"/>
  <c r="AH1265" i="2"/>
  <c r="AA1268" i="2"/>
  <c r="AH1270" i="2"/>
  <c r="Z1277" i="2"/>
  <c r="AK1277" i="2" s="1"/>
  <c r="AE1281" i="2"/>
  <c r="Z1283" i="2"/>
  <c r="X1290" i="2"/>
  <c r="AF1295" i="2"/>
  <c r="X1321" i="2"/>
  <c r="AC1327" i="2"/>
  <c r="AC1331" i="2"/>
  <c r="AE1334" i="2"/>
  <c r="AG1337" i="2"/>
  <c r="W1338" i="2"/>
  <c r="U1345" i="2"/>
  <c r="AI1349" i="2"/>
  <c r="AA1351" i="2"/>
  <c r="AC1354" i="2"/>
  <c r="V1363" i="2"/>
  <c r="Y1374" i="2"/>
  <c r="AD1384" i="2"/>
  <c r="AE1384" i="2"/>
  <c r="Z1386" i="2"/>
  <c r="AK1386" i="2" s="1"/>
  <c r="W1390" i="2"/>
  <c r="AI1390" i="2"/>
  <c r="AB1395" i="2"/>
  <c r="AA1395" i="2"/>
  <c r="AA1404" i="2"/>
  <c r="AF1408" i="2"/>
  <c r="AE1408" i="2"/>
  <c r="AG1427" i="2"/>
  <c r="AD1440" i="2"/>
  <c r="AC1440" i="2"/>
  <c r="W1445" i="2"/>
  <c r="V1445" i="2"/>
  <c r="AI1445" i="2"/>
  <c r="AH1445" i="2"/>
  <c r="AA1213" i="2"/>
  <c r="AB1218" i="2"/>
  <c r="AK1218" i="2" s="1"/>
  <c r="V1223" i="2"/>
  <c r="AH1223" i="2"/>
  <c r="AG1223" i="2"/>
  <c r="V1227" i="2"/>
  <c r="AF1231" i="2"/>
  <c r="X1233" i="2"/>
  <c r="Z1239" i="2"/>
  <c r="AK1239" i="2" s="1"/>
  <c r="AA1242" i="2"/>
  <c r="X1254" i="2"/>
  <c r="U1266" i="2"/>
  <c r="AG1266" i="2"/>
  <c r="W1270" i="2"/>
  <c r="AI1270" i="2"/>
  <c r="V1271" i="2"/>
  <c r="AE1272" i="2"/>
  <c r="X1275" i="2"/>
  <c r="AD1277" i="2"/>
  <c r="AD1303" i="2"/>
  <c r="AE1312" i="2"/>
  <c r="AF1315" i="2"/>
  <c r="AE1315" i="2"/>
  <c r="V1318" i="2"/>
  <c r="V1320" i="2"/>
  <c r="U1321" i="2"/>
  <c r="AD1332" i="2"/>
  <c r="AC1332" i="2"/>
  <c r="Y1340" i="2"/>
  <c r="X1351" i="2"/>
  <c r="AD1353" i="2"/>
  <c r="AB1364" i="2"/>
  <c r="W1369" i="2"/>
  <c r="AI1369" i="2"/>
  <c r="Y1373" i="2"/>
  <c r="X1390" i="2"/>
  <c r="AA1391" i="2"/>
  <c r="Z1391" i="2"/>
  <c r="AD1394" i="2"/>
  <c r="Z1402" i="2"/>
  <c r="V1431" i="2"/>
  <c r="X1434" i="2"/>
  <c r="W1434" i="2"/>
  <c r="Z1459" i="2"/>
  <c r="X1466" i="2"/>
  <c r="W1466" i="2"/>
  <c r="Y1469" i="2"/>
  <c r="X1469" i="2"/>
  <c r="AC1296" i="2"/>
  <c r="AB1300" i="2"/>
  <c r="X1301" i="2"/>
  <c r="Y1304" i="2"/>
  <c r="AA1313" i="2"/>
  <c r="Z1313" i="2"/>
  <c r="Z1317" i="2"/>
  <c r="AK1317" i="2" s="1"/>
  <c r="AH1318" i="2"/>
  <c r="Z1321" i="2"/>
  <c r="AH1339" i="2"/>
  <c r="W1345" i="2"/>
  <c r="X1352" i="2"/>
  <c r="U1355" i="2"/>
  <c r="AE1356" i="2"/>
  <c r="AB1363" i="2"/>
  <c r="AK1363" i="2" s="1"/>
  <c r="AC1369" i="2"/>
  <c r="AE1371" i="2"/>
  <c r="AF1382" i="2"/>
  <c r="Y1397" i="2"/>
  <c r="AD1401" i="2"/>
  <c r="AF1406" i="2"/>
  <c r="AB1412" i="2"/>
  <c r="AA1412" i="2"/>
  <c r="AF1425" i="2"/>
  <c r="W1426" i="2"/>
  <c r="AI1426" i="2"/>
  <c r="AH1426" i="2"/>
  <c r="Y1434" i="2"/>
  <c r="Y1436" i="2"/>
  <c r="X1436" i="2"/>
  <c r="X1441" i="2"/>
  <c r="W1441" i="2"/>
  <c r="AG1468" i="2"/>
  <c r="AF1468" i="2"/>
  <c r="AA1342" i="2"/>
  <c r="AE1373" i="2"/>
  <c r="AD1373" i="2"/>
  <c r="AF1378" i="2"/>
  <c r="AE1378" i="2"/>
  <c r="Y1407" i="2"/>
  <c r="X1407" i="2"/>
  <c r="AA1409" i="2"/>
  <c r="AG1288" i="2"/>
  <c r="AE1292" i="2"/>
  <c r="AG1323" i="2"/>
  <c r="U1330" i="2"/>
  <c r="AI1365" i="2"/>
  <c r="Z1383" i="2"/>
  <c r="AF1403" i="2"/>
  <c r="AE1403" i="2"/>
  <c r="V1426" i="2"/>
  <c r="AC1430" i="2"/>
  <c r="AF1457" i="2"/>
  <c r="AE1457" i="2"/>
  <c r="V1471" i="2"/>
  <c r="W1471" i="2"/>
  <c r="AH1471" i="2"/>
  <c r="AI1471" i="2"/>
  <c r="Z1489" i="2"/>
  <c r="Y1244" i="2"/>
  <c r="AE1262" i="2"/>
  <c r="AF1267" i="2"/>
  <c r="V1277" i="2"/>
  <c r="AH1277" i="2"/>
  <c r="Z1284" i="2"/>
  <c r="Y1284" i="2"/>
  <c r="AE1286" i="2"/>
  <c r="AB1290" i="2"/>
  <c r="AI1295" i="2"/>
  <c r="U1296" i="2"/>
  <c r="AG1296" i="2"/>
  <c r="AF1296" i="2"/>
  <c r="W1299" i="2"/>
  <c r="AI1299" i="2"/>
  <c r="W1308" i="2"/>
  <c r="AE1310" i="2"/>
  <c r="AH1312" i="2"/>
  <c r="Y1314" i="2"/>
  <c r="U1316" i="2"/>
  <c r="AG1316" i="2"/>
  <c r="X1322" i="2"/>
  <c r="Z1326" i="2"/>
  <c r="X1331" i="2"/>
  <c r="U1332" i="2"/>
  <c r="AG1332" i="2"/>
  <c r="AC1338" i="2"/>
  <c r="AA1343" i="2"/>
  <c r="AB1344" i="2"/>
  <c r="Y1344" i="2"/>
  <c r="AG1347" i="2"/>
  <c r="AE1351" i="2"/>
  <c r="V1357" i="2"/>
  <c r="AH1357" i="2"/>
  <c r="AH1358" i="2"/>
  <c r="V1359" i="2"/>
  <c r="V1370" i="2"/>
  <c r="AG1377" i="2"/>
  <c r="AF1377" i="2"/>
  <c r="X1381" i="2"/>
  <c r="U1385" i="2"/>
  <c r="W1387" i="2"/>
  <c r="AI1387" i="2"/>
  <c r="X1392" i="2"/>
  <c r="AC1397" i="2"/>
  <c r="AB1397" i="2"/>
  <c r="AK1397" i="2" s="1"/>
  <c r="AI1413" i="2"/>
  <c r="AC1418" i="2"/>
  <c r="AC1420" i="2"/>
  <c r="V1424" i="2"/>
  <c r="V1432" i="2"/>
  <c r="AH1432" i="2"/>
  <c r="Z1433" i="2"/>
  <c r="Y1433" i="2"/>
  <c r="V1455" i="2"/>
  <c r="U1455" i="2"/>
  <c r="AH1455" i="2"/>
  <c r="AG1455" i="2"/>
  <c r="Y1458" i="2"/>
  <c r="AB1298" i="2"/>
  <c r="X1299" i="2"/>
  <c r="AD1304" i="2"/>
  <c r="AF1310" i="2"/>
  <c r="Z1315" i="2"/>
  <c r="AH1316" i="2"/>
  <c r="U1320" i="2"/>
  <c r="AG1320" i="2"/>
  <c r="AF1320" i="2"/>
  <c r="X1323" i="2"/>
  <c r="AC1325" i="2"/>
  <c r="Y1331" i="2"/>
  <c r="AF1337" i="2"/>
  <c r="AC1344" i="2"/>
  <c r="AH1348" i="2"/>
  <c r="AG1348" i="2"/>
  <c r="U1349" i="2"/>
  <c r="AG1349" i="2"/>
  <c r="AF1351" i="2"/>
  <c r="W1367" i="2"/>
  <c r="V1367" i="2"/>
  <c r="W1370" i="2"/>
  <c r="Y1381" i="2"/>
  <c r="AG1390" i="2"/>
  <c r="AF1390" i="2"/>
  <c r="Y1392" i="2"/>
  <c r="AD1417" i="2"/>
  <c r="W1432" i="2"/>
  <c r="AI1432" i="2"/>
  <c r="V1457" i="2"/>
  <c r="U1457" i="2"/>
  <c r="AG1457" i="2"/>
  <c r="AH1457" i="2"/>
  <c r="AD1393" i="2"/>
  <c r="AC1394" i="2"/>
  <c r="AC1402" i="2"/>
  <c r="Z1405" i="2"/>
  <c r="AA1410" i="2"/>
  <c r="U1416" i="2"/>
  <c r="W1417" i="2"/>
  <c r="V1417" i="2"/>
  <c r="AI1417" i="2"/>
  <c r="AH1417" i="2"/>
  <c r="X1424" i="2"/>
  <c r="V1435" i="2"/>
  <c r="AH1435" i="2"/>
  <c r="X1445" i="2"/>
  <c r="AE1447" i="2"/>
  <c r="AD1447" i="2"/>
  <c r="AI1457" i="2"/>
  <c r="U1491" i="2"/>
  <c r="AG1491" i="2"/>
  <c r="Y1483" i="2"/>
  <c r="X1483" i="2"/>
  <c r="AB1487" i="2"/>
  <c r="AA1487" i="2"/>
  <c r="AF1488" i="2"/>
  <c r="AG1488" i="2"/>
  <c r="AB1367" i="2"/>
  <c r="AK1367" i="2" s="1"/>
  <c r="AB1396" i="2"/>
  <c r="AK1396" i="2" s="1"/>
  <c r="AE1411" i="2"/>
  <c r="AC1427" i="2"/>
  <c r="Y1431" i="2"/>
  <c r="X1452" i="2"/>
  <c r="W1452" i="2"/>
  <c r="AG1478" i="2"/>
  <c r="AF1478" i="2"/>
  <c r="Y1268" i="2"/>
  <c r="X1287" i="2"/>
  <c r="Y1316" i="2"/>
  <c r="AD1341" i="2"/>
  <c r="W1343" i="2"/>
  <c r="AI1343" i="2"/>
  <c r="AB1349" i="2"/>
  <c r="AC1353" i="2"/>
  <c r="Y1355" i="2"/>
  <c r="Z1361" i="2"/>
  <c r="AE1366" i="2"/>
  <c r="AD1367" i="2"/>
  <c r="AC1368" i="2"/>
  <c r="AB1368" i="2"/>
  <c r="Y1371" i="2"/>
  <c r="X1371" i="2"/>
  <c r="AG1374" i="2"/>
  <c r="AC1383" i="2"/>
  <c r="AD1385" i="2"/>
  <c r="AC1386" i="2"/>
  <c r="Z1387" i="2"/>
  <c r="AK1387" i="2" s="1"/>
  <c r="Y1387" i="2"/>
  <c r="AF1391" i="2"/>
  <c r="AF1398" i="2"/>
  <c r="AF1399" i="2"/>
  <c r="U1401" i="2"/>
  <c r="AD1404" i="2"/>
  <c r="AC1404" i="2"/>
  <c r="W1414" i="2"/>
  <c r="AI1414" i="2"/>
  <c r="AB1421" i="2"/>
  <c r="AK1421" i="2" s="1"/>
  <c r="AF1427" i="2"/>
  <c r="AC1441" i="2"/>
  <c r="W1443" i="2"/>
  <c r="V1443" i="2"/>
  <c r="AI1443" i="2"/>
  <c r="AH1443" i="2"/>
  <c r="AF1472" i="2"/>
  <c r="AE1472" i="2"/>
  <c r="V1478" i="2"/>
  <c r="AH1478" i="2"/>
  <c r="AA1483" i="2"/>
  <c r="Z1483" i="2"/>
  <c r="AD1485" i="2"/>
  <c r="Z1494" i="2"/>
  <c r="AB1388" i="2"/>
  <c r="V1393" i="2"/>
  <c r="W1393" i="2"/>
  <c r="AI1393" i="2"/>
  <c r="V1401" i="2"/>
  <c r="AH1401" i="2"/>
  <c r="AE1407" i="2"/>
  <c r="AD1407" i="2"/>
  <c r="AF1409" i="2"/>
  <c r="V1413" i="2"/>
  <c r="AH1413" i="2"/>
  <c r="AG1413" i="2"/>
  <c r="Z1415" i="2"/>
  <c r="U1427" i="2"/>
  <c r="AD1428" i="2"/>
  <c r="AA1430" i="2"/>
  <c r="V1449" i="2"/>
  <c r="AH1449" i="2"/>
  <c r="AG1449" i="2"/>
  <c r="AE1451" i="2"/>
  <c r="AF1451" i="2"/>
  <c r="AH1469" i="2"/>
  <c r="U1472" i="2"/>
  <c r="AG1472" i="2"/>
  <c r="AI1478" i="2"/>
  <c r="AF1481" i="2"/>
  <c r="AE1481" i="2"/>
  <c r="AF1485" i="2"/>
  <c r="AH1408" i="2"/>
  <c r="AC1412" i="2"/>
  <c r="AI1416" i="2"/>
  <c r="AF1420" i="2"/>
  <c r="AC1423" i="2"/>
  <c r="Y1426" i="2"/>
  <c r="AB1431" i="2"/>
  <c r="AF1437" i="2"/>
  <c r="W1442" i="2"/>
  <c r="AI1442" i="2"/>
  <c r="AH1442" i="2"/>
  <c r="Y1443" i="2"/>
  <c r="AA1444" i="2"/>
  <c r="AI1460" i="2"/>
  <c r="AH1460" i="2"/>
  <c r="W1465" i="2"/>
  <c r="V1465" i="2"/>
  <c r="AE1467" i="2"/>
  <c r="AD1467" i="2"/>
  <c r="AE1486" i="2"/>
  <c r="AG1503" i="2"/>
  <c r="AD1506" i="2"/>
  <c r="AC1506" i="2"/>
  <c r="AB1423" i="2"/>
  <c r="V1442" i="2"/>
  <c r="X1454" i="2"/>
  <c r="W1454" i="2"/>
  <c r="V1460" i="2"/>
  <c r="Y1475" i="2"/>
  <c r="X1475" i="2"/>
  <c r="V1500" i="2"/>
  <c r="W1500" i="2"/>
  <c r="X1335" i="2"/>
  <c r="AA1350" i="2"/>
  <c r="AB1355" i="2"/>
  <c r="U1360" i="2"/>
  <c r="AG1360" i="2"/>
  <c r="AE1365" i="2"/>
  <c r="AD1365" i="2"/>
  <c r="W1368" i="2"/>
  <c r="AI1368" i="2"/>
  <c r="AE1370" i="2"/>
  <c r="Y1372" i="2"/>
  <c r="AF1374" i="2"/>
  <c r="AA1392" i="2"/>
  <c r="Y1400" i="2"/>
  <c r="AE1404" i="2"/>
  <c r="V1411" i="2"/>
  <c r="AE1414" i="2"/>
  <c r="Y1415" i="2"/>
  <c r="X1419" i="2"/>
  <c r="U1422" i="2"/>
  <c r="AE1424" i="2"/>
  <c r="Z1425" i="2"/>
  <c r="AK1425" i="2" s="1"/>
  <c r="AF1430" i="2"/>
  <c r="AD1432" i="2"/>
  <c r="AB1434" i="2"/>
  <c r="AE1449" i="2"/>
  <c r="AD1449" i="2"/>
  <c r="U1454" i="2"/>
  <c r="X1459" i="2"/>
  <c r="AE1462" i="2"/>
  <c r="AF1463" i="2"/>
  <c r="U1464" i="2"/>
  <c r="AG1464" i="2"/>
  <c r="AA1493" i="2"/>
  <c r="U1344" i="2"/>
  <c r="AG1344" i="2"/>
  <c r="Z1359" i="2"/>
  <c r="AH1360" i="2"/>
  <c r="U1364" i="2"/>
  <c r="AG1364" i="2"/>
  <c r="X1368" i="2"/>
  <c r="AC1371" i="2"/>
  <c r="AB1383" i="2"/>
  <c r="AE1388" i="2"/>
  <c r="W1395" i="2"/>
  <c r="AE1397" i="2"/>
  <c r="AD1397" i="2"/>
  <c r="Z1400" i="2"/>
  <c r="AF1404" i="2"/>
  <c r="AB1407" i="2"/>
  <c r="AK1407" i="2" s="1"/>
  <c r="Z1408" i="2"/>
  <c r="AK1408" i="2" s="1"/>
  <c r="Y1408" i="2"/>
  <c r="W1411" i="2"/>
  <c r="AD1415" i="2"/>
  <c r="AA1416" i="2"/>
  <c r="Z1416" i="2"/>
  <c r="AK1416" i="2" s="1"/>
  <c r="Y1419" i="2"/>
  <c r="AG1445" i="2"/>
  <c r="AF1445" i="2"/>
  <c r="W1446" i="2"/>
  <c r="X1446" i="2"/>
  <c r="W1453" i="2"/>
  <c r="X1453" i="2"/>
  <c r="AH1454" i="2"/>
  <c r="Y1459" i="2"/>
  <c r="AC1472" i="2"/>
  <c r="AD1472" i="2"/>
  <c r="W1474" i="2"/>
  <c r="V1474" i="2"/>
  <c r="AI1474" i="2"/>
  <c r="AH1474" i="2"/>
  <c r="AE1375" i="2"/>
  <c r="AC1376" i="2"/>
  <c r="AB1376" i="2"/>
  <c r="U1380" i="2"/>
  <c r="AG1380" i="2"/>
  <c r="AF1380" i="2"/>
  <c r="Z1384" i="2"/>
  <c r="AK1384" i="2" s="1"/>
  <c r="Y1384" i="2"/>
  <c r="U1387" i="2"/>
  <c r="AA1400" i="2"/>
  <c r="X1411" i="2"/>
  <c r="Y1428" i="2"/>
  <c r="AE1435" i="2"/>
  <c r="W1436" i="2"/>
  <c r="V1436" i="2"/>
  <c r="AB1439" i="2"/>
  <c r="AB1441" i="2"/>
  <c r="AB1442" i="2"/>
  <c r="V1446" i="2"/>
  <c r="U1449" i="2"/>
  <c r="U1453" i="2"/>
  <c r="X1474" i="2"/>
  <c r="Y1492" i="2"/>
  <c r="AA1435" i="2"/>
  <c r="AG1440" i="2"/>
  <c r="Y1450" i="2"/>
  <c r="Z1456" i="2"/>
  <c r="AC1457" i="2"/>
  <c r="W1462" i="2"/>
  <c r="V1462" i="2"/>
  <c r="Y1464" i="2"/>
  <c r="X1464" i="2"/>
  <c r="AA1468" i="2"/>
  <c r="Z1468" i="2"/>
  <c r="Y1472" i="2"/>
  <c r="X1472" i="2"/>
  <c r="AD1476" i="2"/>
  <c r="AC1476" i="2"/>
  <c r="Y1488" i="2"/>
  <c r="X1488" i="2"/>
  <c r="AE1493" i="2"/>
  <c r="AG1494" i="2"/>
  <c r="Y1360" i="2"/>
  <c r="X1375" i="2"/>
  <c r="AD1405" i="2"/>
  <c r="AE1410" i="2"/>
  <c r="AH1412" i="2"/>
  <c r="AB1419" i="2"/>
  <c r="AE1421" i="2"/>
  <c r="W1430" i="2"/>
  <c r="AI1430" i="2"/>
  <c r="AH1433" i="2"/>
  <c r="AB1435" i="2"/>
  <c r="AA1436" i="2"/>
  <c r="U1440" i="2"/>
  <c r="AF1442" i="2"/>
  <c r="AF1443" i="2"/>
  <c r="AC1445" i="2"/>
  <c r="AA1454" i="2"/>
  <c r="AA1458" i="2"/>
  <c r="V1467" i="2"/>
  <c r="AH1467" i="2"/>
  <c r="AD1475" i="2"/>
  <c r="AC1475" i="2"/>
  <c r="AI1477" i="2"/>
  <c r="AH1477" i="2"/>
  <c r="U1484" i="2"/>
  <c r="AG1484" i="2"/>
  <c r="W1496" i="2"/>
  <c r="V1496" i="2"/>
  <c r="AE1502" i="2"/>
  <c r="AF1502" i="2"/>
  <c r="X1503" i="2"/>
  <c r="Y1503" i="2"/>
  <c r="V1369" i="2"/>
  <c r="AH1369" i="2"/>
  <c r="Y1380" i="2"/>
  <c r="AF1381" i="2"/>
  <c r="Z1385" i="2"/>
  <c r="AK1385" i="2" s="1"/>
  <c r="AC1390" i="2"/>
  <c r="W1394" i="2"/>
  <c r="AI1394" i="2"/>
  <c r="X1399" i="2"/>
  <c r="AE1400" i="2"/>
  <c r="AA1414" i="2"/>
  <c r="AC1424" i="2"/>
  <c r="AA1432" i="2"/>
  <c r="W1433" i="2"/>
  <c r="AE1445" i="2"/>
  <c r="AB1450" i="2"/>
  <c r="AA1450" i="2"/>
  <c r="AC1451" i="2"/>
  <c r="AB1453" i="2"/>
  <c r="AK1453" i="2" s="1"/>
  <c r="AA1453" i="2"/>
  <c r="AC1454" i="2"/>
  <c r="AE1475" i="2"/>
  <c r="U1502" i="2"/>
  <c r="AG1502" i="2"/>
  <c r="AC1456" i="2"/>
  <c r="AD1465" i="2"/>
  <c r="AC1465" i="2"/>
  <c r="W1487" i="2"/>
  <c r="V1487" i="2"/>
  <c r="Y1378" i="2"/>
  <c r="AF1379" i="2"/>
  <c r="AA1388" i="2"/>
  <c r="V1389" i="2"/>
  <c r="AH1389" i="2"/>
  <c r="X1397" i="2"/>
  <c r="AE1398" i="2"/>
  <c r="AB1417" i="2"/>
  <c r="W1418" i="2"/>
  <c r="AI1418" i="2"/>
  <c r="X1423" i="2"/>
  <c r="AA1437" i="2"/>
  <c r="Z1439" i="2"/>
  <c r="AB1447" i="2"/>
  <c r="AK1447" i="2" s="1"/>
  <c r="V1469" i="2"/>
  <c r="W1470" i="2"/>
  <c r="V1470" i="2"/>
  <c r="AC1473" i="2"/>
  <c r="V1476" i="2"/>
  <c r="U1476" i="2"/>
  <c r="Z1477" i="2"/>
  <c r="Y1477" i="2"/>
  <c r="AD1482" i="2"/>
  <c r="Y1490" i="2"/>
  <c r="X1490" i="2"/>
  <c r="AB1500" i="2"/>
  <c r="AA1500" i="2"/>
  <c r="AD1501" i="2"/>
  <c r="W1502" i="2"/>
  <c r="AI1502" i="2"/>
  <c r="W1516" i="2"/>
  <c r="AI1516" i="2"/>
  <c r="AD1439" i="2"/>
  <c r="Y1440" i="2"/>
  <c r="AA1448" i="2"/>
  <c r="U1451" i="2"/>
  <c r="AG1451" i="2"/>
  <c r="AH1456" i="2"/>
  <c r="AG1456" i="2"/>
  <c r="AD1458" i="2"/>
  <c r="Z1461" i="2"/>
  <c r="Y1466" i="2"/>
  <c r="Y1467" i="2"/>
  <c r="X1467" i="2"/>
  <c r="Z1471" i="2"/>
  <c r="Z1480" i="2"/>
  <c r="AH1487" i="2"/>
  <c r="Z1490" i="2"/>
  <c r="AA1491" i="2"/>
  <c r="U1506" i="2"/>
  <c r="AC1531" i="2"/>
  <c r="AB1534" i="2"/>
  <c r="V1377" i="2"/>
  <c r="AH1377" i="2"/>
  <c r="AE1386" i="2"/>
  <c r="U1396" i="2"/>
  <c r="AG1396" i="2"/>
  <c r="W1406" i="2"/>
  <c r="AI1406" i="2"/>
  <c r="AF1415" i="2"/>
  <c r="V1425" i="2"/>
  <c r="AH1425" i="2"/>
  <c r="AE1434" i="2"/>
  <c r="Y1438" i="2"/>
  <c r="AF1439" i="2"/>
  <c r="AC1448" i="2"/>
  <c r="W1451" i="2"/>
  <c r="AF1458" i="2"/>
  <c r="AE1459" i="2"/>
  <c r="Z1463" i="2"/>
  <c r="AA1466" i="2"/>
  <c r="AB1469" i="2"/>
  <c r="AK1469" i="2" s="1"/>
  <c r="AA1469" i="2"/>
  <c r="AA1470" i="2"/>
  <c r="AA1481" i="2"/>
  <c r="Z1481" i="2"/>
  <c r="AK1481" i="2" s="1"/>
  <c r="AB1483" i="2"/>
  <c r="AK1483" i="2" s="1"/>
  <c r="Y1484" i="2"/>
  <c r="Y1486" i="2"/>
  <c r="AA1489" i="2"/>
  <c r="AB1490" i="2"/>
  <c r="AI1495" i="2"/>
  <c r="X1500" i="2"/>
  <c r="AG1509" i="2"/>
  <c r="Z1512" i="2"/>
  <c r="Y1512" i="2"/>
  <c r="AE1517" i="2"/>
  <c r="AD1529" i="2"/>
  <c r="AB1479" i="2"/>
  <c r="AK1479" i="2" s="1"/>
  <c r="AB1484" i="2"/>
  <c r="AA1484" i="2"/>
  <c r="Y1497" i="2"/>
  <c r="X1497" i="2"/>
  <c r="V1509" i="2"/>
  <c r="U1509" i="2"/>
  <c r="AA1438" i="2"/>
  <c r="V1447" i="2"/>
  <c r="AH1447" i="2"/>
  <c r="AB1449" i="2"/>
  <c r="AD1454" i="2"/>
  <c r="AA1455" i="2"/>
  <c r="AG1459" i="2"/>
  <c r="AD1460" i="2"/>
  <c r="AB1460" i="2"/>
  <c r="AK1460" i="2" s="1"/>
  <c r="AB1464" i="2"/>
  <c r="AA1464" i="2"/>
  <c r="AB1468" i="2"/>
  <c r="AC1470" i="2"/>
  <c r="AB1474" i="2"/>
  <c r="AK1474" i="2" s="1"/>
  <c r="AA1477" i="2"/>
  <c r="AD1480" i="2"/>
  <c r="AI1493" i="2"/>
  <c r="AH1493" i="2"/>
  <c r="W1499" i="2"/>
  <c r="AI1499" i="2"/>
  <c r="X1510" i="2"/>
  <c r="Y1510" i="2"/>
  <c r="W1521" i="2"/>
  <c r="V1521" i="2"/>
  <c r="AI1521" i="2"/>
  <c r="AH1521" i="2"/>
  <c r="Y1526" i="2"/>
  <c r="Z1457" i="2"/>
  <c r="AE1460" i="2"/>
  <c r="AD1477" i="2"/>
  <c r="AC1477" i="2"/>
  <c r="AE1479" i="2"/>
  <c r="AD1479" i="2"/>
  <c r="Y1487" i="2"/>
  <c r="AF1491" i="2"/>
  <c r="W1492" i="2"/>
  <c r="W1505" i="2"/>
  <c r="V1505" i="2"/>
  <c r="AF1515" i="2"/>
  <c r="U1516" i="2"/>
  <c r="AG1516" i="2"/>
  <c r="AF1516" i="2"/>
  <c r="AC1466" i="2"/>
  <c r="Z1478" i="2"/>
  <c r="V1482" i="2"/>
  <c r="AH1482" i="2"/>
  <c r="X1507" i="2"/>
  <c r="W1507" i="2"/>
  <c r="W1513" i="2"/>
  <c r="AI1513" i="2"/>
  <c r="V1518" i="2"/>
  <c r="U1518" i="2"/>
  <c r="W1525" i="2"/>
  <c r="AI1525" i="2"/>
  <c r="AG1530" i="2"/>
  <c r="AD1534" i="2"/>
  <c r="AC1455" i="2"/>
  <c r="X1465" i="2"/>
  <c r="AD1474" i="2"/>
  <c r="AE1477" i="2"/>
  <c r="AF1480" i="2"/>
  <c r="AG1483" i="2"/>
  <c r="Y1485" i="2"/>
  <c r="V1489" i="2"/>
  <c r="V1494" i="2"/>
  <c r="AH1494" i="2"/>
  <c r="AF1495" i="2"/>
  <c r="AC1496" i="2"/>
  <c r="AA1502" i="2"/>
  <c r="AA1509" i="2"/>
  <c r="AA1514" i="2"/>
  <c r="U1523" i="2"/>
  <c r="AG1523" i="2"/>
  <c r="AF1523" i="2"/>
  <c r="Y1470" i="2"/>
  <c r="X1476" i="2"/>
  <c r="AF1490" i="2"/>
  <c r="AC1491" i="2"/>
  <c r="Z1501" i="2"/>
  <c r="AA1501" i="2"/>
  <c r="AA1508" i="2"/>
  <c r="W1538" i="2"/>
  <c r="V1538" i="2"/>
  <c r="AE1474" i="2"/>
  <c r="AH1483" i="2"/>
  <c r="AH1486" i="2"/>
  <c r="AC1500" i="2"/>
  <c r="AB1510" i="2"/>
  <c r="Y1524" i="2"/>
  <c r="X1524" i="2"/>
  <c r="Z1452" i="2"/>
  <c r="Y1463" i="2"/>
  <c r="AF1464" i="2"/>
  <c r="AE1466" i="2"/>
  <c r="AA1467" i="2"/>
  <c r="AF1469" i="2"/>
  <c r="Y1473" i="2"/>
  <c r="Z1476" i="2"/>
  <c r="AF1484" i="2"/>
  <c r="AB1492" i="2"/>
  <c r="W1495" i="2"/>
  <c r="Z1498" i="2"/>
  <c r="AD1517" i="2"/>
  <c r="AC1519" i="2"/>
  <c r="AC1493" i="2"/>
  <c r="W1497" i="2"/>
  <c r="AD1498" i="2"/>
  <c r="Z1502" i="2"/>
  <c r="AK1502" i="2" s="1"/>
  <c r="AB1512" i="2"/>
  <c r="Z1514" i="2"/>
  <c r="AK1514" i="2" s="1"/>
  <c r="Y1516" i="2"/>
  <c r="Y1523" i="2"/>
  <c r="Z1524" i="2"/>
  <c r="AF1527" i="2"/>
  <c r="V1528" i="2"/>
  <c r="U1530" i="2"/>
  <c r="AD1525" i="2"/>
  <c r="AC1525" i="2"/>
  <c r="AG1537" i="2"/>
  <c r="AF1537" i="2"/>
  <c r="AB1461" i="2"/>
  <c r="AD1471" i="2"/>
  <c r="AC1481" i="2"/>
  <c r="AE1491" i="2"/>
  <c r="V1493" i="2"/>
  <c r="U1501" i="2"/>
  <c r="AG1501" i="2"/>
  <c r="AB1503" i="2"/>
  <c r="AK1503" i="2" s="1"/>
  <c r="X1504" i="2"/>
  <c r="AB1506" i="2"/>
  <c r="Z1507" i="2"/>
  <c r="AK1507" i="2" s="1"/>
  <c r="Z1509" i="2"/>
  <c r="V1511" i="2"/>
  <c r="AC1515" i="2"/>
  <c r="AB1515" i="2"/>
  <c r="AK1515" i="2" s="1"/>
  <c r="AA1521" i="2"/>
  <c r="AA1522" i="2"/>
  <c r="U1525" i="2"/>
  <c r="AG1525" i="2"/>
  <c r="X1526" i="2"/>
  <c r="AA1531" i="2"/>
  <c r="Z1533" i="2"/>
  <c r="AK1533" i="2" s="1"/>
  <c r="Y1535" i="2"/>
  <c r="AB1476" i="2"/>
  <c r="AD1486" i="2"/>
  <c r="AA1495" i="2"/>
  <c r="AF1503" i="2"/>
  <c r="V1508" i="2"/>
  <c r="AH1508" i="2"/>
  <c r="X1511" i="2"/>
  <c r="AB1524" i="2"/>
  <c r="AA1526" i="2"/>
  <c r="Z1528" i="2"/>
  <c r="W1530" i="2"/>
  <c r="AI1530" i="2"/>
  <c r="U1532" i="2"/>
  <c r="AG1532" i="2"/>
  <c r="AF1534" i="2"/>
  <c r="AB1539" i="2"/>
  <c r="AK1539" i="2" s="1"/>
  <c r="AC1522" i="2"/>
  <c r="AC1507" i="2"/>
  <c r="AE1510" i="2"/>
  <c r="V1513" i="2"/>
  <c r="AH1513" i="2"/>
  <c r="AE1515" i="2"/>
  <c r="X1518" i="2"/>
  <c r="U1520" i="2"/>
  <c r="AG1520" i="2"/>
  <c r="AF1522" i="2"/>
  <c r="Y1533" i="2"/>
  <c r="W1535" i="2"/>
  <c r="AI1535" i="2"/>
  <c r="AE1539" i="2"/>
  <c r="AK1208" i="2" l="1"/>
  <c r="AK1157" i="2"/>
  <c r="AK1135" i="2"/>
  <c r="AK992" i="2"/>
  <c r="AK1195" i="2"/>
  <c r="AK925" i="2"/>
  <c r="AK890" i="2"/>
  <c r="AK1073" i="2"/>
  <c r="AK957" i="2"/>
  <c r="AK1049" i="2"/>
  <c r="AK776" i="2"/>
  <c r="AK247" i="2"/>
  <c r="AK1362" i="2"/>
  <c r="AK841" i="2"/>
  <c r="AK1304" i="2"/>
  <c r="AK1111" i="2"/>
  <c r="AK850" i="2"/>
  <c r="AK970" i="2"/>
  <c r="AK798" i="2"/>
  <c r="AK676" i="2"/>
  <c r="AK203" i="2"/>
  <c r="AK1327" i="2"/>
  <c r="AK1427" i="2"/>
  <c r="AK1369" i="2"/>
  <c r="AK1045" i="2"/>
  <c r="AK886" i="2"/>
  <c r="AK336" i="2"/>
  <c r="AK918" i="2"/>
  <c r="AK272" i="2"/>
  <c r="AK183" i="2"/>
  <c r="AK191" i="2"/>
  <c r="AK659" i="2"/>
  <c r="AK1113" i="2"/>
  <c r="AK1072" i="2"/>
  <c r="AK404" i="2"/>
  <c r="AK201" i="2"/>
  <c r="AK226" i="2"/>
  <c r="AK150" i="2"/>
  <c r="AK1267" i="2"/>
  <c r="AK543" i="2"/>
  <c r="AK1497" i="2"/>
  <c r="AK1151" i="2"/>
  <c r="AK944" i="2"/>
  <c r="AK859" i="2"/>
  <c r="AK501" i="2"/>
  <c r="AK294" i="2"/>
  <c r="AK1274" i="2"/>
  <c r="AK1071" i="2"/>
  <c r="AK785" i="2"/>
  <c r="AK740" i="2"/>
  <c r="AK1426" i="2"/>
  <c r="AK806" i="2"/>
  <c r="AK67" i="2"/>
  <c r="AK1152" i="2"/>
  <c r="AK927" i="2"/>
  <c r="AK794" i="2"/>
  <c r="AK620" i="2"/>
  <c r="AK1404" i="2"/>
  <c r="AK962" i="2"/>
  <c r="AK651" i="2"/>
  <c r="AK908" i="2"/>
  <c r="AK630" i="2"/>
  <c r="AK485" i="2"/>
  <c r="AK1382" i="2"/>
  <c r="AK28" i="2"/>
  <c r="AK1366" i="2"/>
  <c r="AK1432" i="2"/>
  <c r="AK940" i="2"/>
  <c r="AK142" i="2"/>
  <c r="AK1348" i="2"/>
  <c r="AK1199" i="2"/>
  <c r="AK1171" i="2"/>
  <c r="AK879" i="2"/>
  <c r="AK982" i="2"/>
  <c r="AK896" i="2"/>
  <c r="AK167" i="2"/>
  <c r="AK1520" i="2"/>
  <c r="AK1372" i="2"/>
  <c r="AK899" i="2"/>
  <c r="AK672" i="2"/>
  <c r="AK106" i="2"/>
  <c r="AK69" i="2"/>
  <c r="AK1148" i="2"/>
  <c r="AK862" i="2"/>
  <c r="AK1441" i="2"/>
  <c r="AK479" i="2"/>
  <c r="AK671" i="2"/>
  <c r="AK278" i="2"/>
  <c r="AK368" i="2"/>
  <c r="AK327" i="2"/>
  <c r="AK521" i="2"/>
  <c r="AK1451" i="2"/>
  <c r="AK1454" i="2"/>
  <c r="AK865" i="2"/>
  <c r="AK449" i="2"/>
  <c r="AK471" i="2"/>
  <c r="AK930" i="2"/>
  <c r="AK1506" i="2"/>
  <c r="AK1471" i="2"/>
  <c r="AK1355" i="2"/>
  <c r="AK817" i="2"/>
  <c r="AK747" i="2"/>
  <c r="AK509" i="2"/>
  <c r="AK1167" i="2"/>
  <c r="AK748" i="2"/>
  <c r="AK590" i="2"/>
  <c r="AK120" i="2"/>
  <c r="AK61" i="2"/>
  <c r="AK184" i="2"/>
  <c r="AK1359" i="2"/>
  <c r="AK1315" i="2"/>
  <c r="AK1271" i="2"/>
  <c r="AK907" i="2"/>
  <c r="AK1216" i="2"/>
  <c r="AK696" i="2"/>
  <c r="AK332" i="2"/>
  <c r="AK588" i="2"/>
  <c r="AK233" i="2"/>
  <c r="AK185" i="2"/>
  <c r="AK188" i="2"/>
  <c r="AK1511" i="2"/>
  <c r="AK1182" i="2"/>
  <c r="AK474" i="2"/>
  <c r="AK273" i="2"/>
  <c r="AK1443" i="2"/>
  <c r="AK1381" i="2"/>
  <c r="AK1325" i="2"/>
  <c r="AK869" i="2"/>
  <c r="AK490" i="2"/>
  <c r="AK656" i="2"/>
  <c r="AK366" i="2"/>
  <c r="AK300" i="2"/>
  <c r="AK787" i="2"/>
  <c r="AK3" i="2"/>
  <c r="AK84" i="2"/>
  <c r="AK12" i="2"/>
  <c r="AK13" i="2"/>
  <c r="T1422" i="2"/>
  <c r="S1422" i="2"/>
  <c r="T1238" i="2"/>
  <c r="S1238" i="2"/>
  <c r="S548" i="2"/>
  <c r="T548" i="2"/>
  <c r="T285" i="2"/>
  <c r="S285" i="2"/>
  <c r="T1515" i="2"/>
  <c r="S1515" i="2"/>
  <c r="T1367" i="2"/>
  <c r="S1367" i="2"/>
  <c r="S1411" i="2"/>
  <c r="T1411" i="2"/>
  <c r="T1300" i="2"/>
  <c r="S1300" i="2"/>
  <c r="S950" i="2"/>
  <c r="T950" i="2"/>
  <c r="S518" i="2"/>
  <c r="T518" i="2"/>
  <c r="T425" i="2"/>
  <c r="S425" i="2"/>
  <c r="T739" i="2"/>
  <c r="S739" i="2"/>
  <c r="T465" i="2"/>
  <c r="S465" i="2"/>
  <c r="T600" i="2"/>
  <c r="S600" i="2"/>
  <c r="S354" i="2"/>
  <c r="T354" i="2"/>
  <c r="T381" i="2"/>
  <c r="S381" i="2"/>
  <c r="T140" i="2"/>
  <c r="S140" i="2"/>
  <c r="S378" i="2"/>
  <c r="T378" i="2"/>
  <c r="T442" i="2"/>
  <c r="S442" i="2"/>
  <c r="T288" i="2"/>
  <c r="S288" i="2"/>
  <c r="T266" i="2"/>
  <c r="S266" i="2"/>
  <c r="T323" i="2"/>
  <c r="S323" i="2"/>
  <c r="T294" i="2"/>
  <c r="S294" i="2"/>
  <c r="S157" i="2"/>
  <c r="T157" i="2"/>
  <c r="T143" i="2"/>
  <c r="S143" i="2"/>
  <c r="S36" i="2"/>
  <c r="T36" i="2"/>
  <c r="T210" i="2"/>
  <c r="S210" i="2"/>
  <c r="S88" i="2"/>
  <c r="T88" i="2"/>
  <c r="T13" i="2"/>
  <c r="S13" i="2"/>
  <c r="T14" i="2"/>
  <c r="S14" i="2"/>
  <c r="T31" i="2"/>
  <c r="S31" i="2"/>
  <c r="T713" i="2"/>
  <c r="S713" i="2"/>
  <c r="T451" i="2"/>
  <c r="S451" i="2"/>
  <c r="S444" i="2"/>
  <c r="T444" i="2"/>
  <c r="T844" i="2"/>
  <c r="S844" i="2"/>
  <c r="T1040" i="2"/>
  <c r="S1040" i="2"/>
  <c r="S1231" i="2"/>
  <c r="T1231" i="2"/>
  <c r="T1376" i="2"/>
  <c r="S1376" i="2"/>
  <c r="T142" i="2"/>
  <c r="S142" i="2"/>
  <c r="T86" i="2"/>
  <c r="S86" i="2"/>
  <c r="T150" i="2"/>
  <c r="S150" i="2"/>
  <c r="S229" i="2"/>
  <c r="T229" i="2"/>
  <c r="S6" i="2"/>
  <c r="T6" i="2"/>
  <c r="T7" i="2"/>
  <c r="S7" i="2"/>
  <c r="S173" i="2"/>
  <c r="T173" i="2"/>
  <c r="T532" i="2"/>
  <c r="S532" i="2"/>
  <c r="T321" i="2"/>
  <c r="S321" i="2"/>
  <c r="T125" i="2"/>
  <c r="S125" i="2"/>
  <c r="S73" i="2"/>
  <c r="T73" i="2"/>
  <c r="T233" i="2"/>
  <c r="S233" i="2"/>
  <c r="S54" i="2"/>
  <c r="T54" i="2"/>
  <c r="S283" i="2"/>
  <c r="T283" i="2"/>
  <c r="T1524" i="2"/>
  <c r="S1524" i="2"/>
  <c r="T1456" i="2"/>
  <c r="S1456" i="2"/>
  <c r="T1331" i="2"/>
  <c r="S1331" i="2"/>
  <c r="T1337" i="2"/>
  <c r="S1337" i="2"/>
  <c r="AK1223" i="2"/>
  <c r="T1023" i="2"/>
  <c r="S1023" i="2"/>
  <c r="T1308" i="2"/>
  <c r="S1308" i="2"/>
  <c r="S1199" i="2"/>
  <c r="T1199" i="2"/>
  <c r="T1133" i="2"/>
  <c r="S1133" i="2"/>
  <c r="S1063" i="2"/>
  <c r="T1063" i="2"/>
  <c r="T1242" i="2"/>
  <c r="S1242" i="2"/>
  <c r="T855" i="2"/>
  <c r="S855" i="2"/>
  <c r="T1029" i="2"/>
  <c r="S1029" i="2"/>
  <c r="T901" i="2"/>
  <c r="S901" i="2"/>
  <c r="T1043" i="2"/>
  <c r="S1043" i="2"/>
  <c r="T783" i="2"/>
  <c r="S783" i="2"/>
  <c r="T916" i="2"/>
  <c r="S916" i="2"/>
  <c r="T623" i="2"/>
  <c r="S623" i="2"/>
  <c r="T895" i="2"/>
  <c r="S895" i="2"/>
  <c r="S455" i="2"/>
  <c r="T455" i="2"/>
  <c r="AK614" i="2"/>
  <c r="T640" i="2"/>
  <c r="S640" i="2"/>
  <c r="T587" i="2"/>
  <c r="S587" i="2"/>
  <c r="T724" i="2"/>
  <c r="S724" i="2"/>
  <c r="T634" i="2"/>
  <c r="S634" i="2"/>
  <c r="S602" i="2"/>
  <c r="T602" i="2"/>
  <c r="T562" i="2"/>
  <c r="S562" i="2"/>
  <c r="T360" i="2"/>
  <c r="S360" i="2"/>
  <c r="T244" i="2"/>
  <c r="S244" i="2"/>
  <c r="T607" i="2"/>
  <c r="S607" i="2"/>
  <c r="AK462" i="2"/>
  <c r="S419" i="2"/>
  <c r="T419" i="2"/>
  <c r="S401" i="2"/>
  <c r="T401" i="2"/>
  <c r="T631" i="2"/>
  <c r="S631" i="2"/>
  <c r="T504" i="2"/>
  <c r="S504" i="2"/>
  <c r="T316" i="2"/>
  <c r="S316" i="2"/>
  <c r="T561" i="2"/>
  <c r="S561" i="2"/>
  <c r="S614" i="2"/>
  <c r="T614" i="2"/>
  <c r="T156" i="2"/>
  <c r="S156" i="2"/>
  <c r="S520" i="2"/>
  <c r="T520" i="2"/>
  <c r="T256" i="2"/>
  <c r="S256" i="2"/>
  <c r="T231" i="2"/>
  <c r="S231" i="2"/>
  <c r="S41" i="2"/>
  <c r="T41" i="2"/>
  <c r="T23" i="2"/>
  <c r="S23" i="2"/>
  <c r="AK117" i="2"/>
  <c r="S56" i="2"/>
  <c r="T56" i="2"/>
  <c r="S45" i="2"/>
  <c r="T45" i="2"/>
  <c r="T383" i="2"/>
  <c r="S383" i="2"/>
  <c r="T1348" i="2"/>
  <c r="S1348" i="2"/>
  <c r="S538" i="2"/>
  <c r="T538" i="2"/>
  <c r="T871" i="2"/>
  <c r="S871" i="2"/>
  <c r="T1073" i="2"/>
  <c r="S1073" i="2"/>
  <c r="T1317" i="2"/>
  <c r="S1317" i="2"/>
  <c r="S1531" i="2"/>
  <c r="T1531" i="2"/>
  <c r="T213" i="2"/>
  <c r="S213" i="2"/>
  <c r="T149" i="2"/>
  <c r="S149" i="2"/>
  <c r="T220" i="2"/>
  <c r="S220" i="2"/>
  <c r="T1284" i="2"/>
  <c r="S1284" i="2"/>
  <c r="T1178" i="2"/>
  <c r="S1178" i="2"/>
  <c r="T727" i="2"/>
  <c r="S727" i="2"/>
  <c r="T805" i="2"/>
  <c r="S805" i="2"/>
  <c r="AK402" i="2"/>
  <c r="T1451" i="2"/>
  <c r="S1451" i="2"/>
  <c r="T1484" i="2"/>
  <c r="S1484" i="2"/>
  <c r="T1440" i="2"/>
  <c r="S1440" i="2"/>
  <c r="T1475" i="2"/>
  <c r="S1475" i="2"/>
  <c r="T1350" i="2"/>
  <c r="S1350" i="2"/>
  <c r="S1301" i="2"/>
  <c r="T1301" i="2"/>
  <c r="T1208" i="2"/>
  <c r="S1208" i="2"/>
  <c r="T1000" i="2"/>
  <c r="S1000" i="2"/>
  <c r="T988" i="2"/>
  <c r="S988" i="2"/>
  <c r="T976" i="2"/>
  <c r="S976" i="2"/>
  <c r="T1087" i="2"/>
  <c r="S1087" i="2"/>
  <c r="S1273" i="2"/>
  <c r="T1273" i="2"/>
  <c r="S908" i="2"/>
  <c r="T908" i="2"/>
  <c r="T862" i="2"/>
  <c r="S862" i="2"/>
  <c r="S734" i="2"/>
  <c r="T734" i="2"/>
  <c r="T1055" i="2"/>
  <c r="S1055" i="2"/>
  <c r="T959" i="2"/>
  <c r="S959" i="2"/>
  <c r="T936" i="2"/>
  <c r="S936" i="2"/>
  <c r="T937" i="2"/>
  <c r="S937" i="2"/>
  <c r="S642" i="2"/>
  <c r="T642" i="2"/>
  <c r="S570" i="2"/>
  <c r="T570" i="2"/>
  <c r="T703" i="2"/>
  <c r="S703" i="2"/>
  <c r="S560" i="2"/>
  <c r="T560" i="2"/>
  <c r="T1388" i="2"/>
  <c r="S1388" i="2"/>
  <c r="T612" i="2"/>
  <c r="S612" i="2"/>
  <c r="T697" i="2"/>
  <c r="S697" i="2"/>
  <c r="T643" i="2"/>
  <c r="S643" i="2"/>
  <c r="T694" i="2"/>
  <c r="S694" i="2"/>
  <c r="T547" i="2"/>
  <c r="S547" i="2"/>
  <c r="S657" i="2"/>
  <c r="T657" i="2"/>
  <c r="AK230" i="2"/>
  <c r="S572" i="2"/>
  <c r="T572" i="2"/>
  <c r="T467" i="2"/>
  <c r="S467" i="2"/>
  <c r="T371" i="2"/>
  <c r="S371" i="2"/>
  <c r="T479" i="2"/>
  <c r="S479" i="2"/>
  <c r="AK276" i="2"/>
  <c r="T214" i="2"/>
  <c r="S214" i="2"/>
  <c r="T399" i="2"/>
  <c r="S399" i="2"/>
  <c r="T251" i="2"/>
  <c r="S251" i="2"/>
  <c r="T255" i="2"/>
  <c r="S255" i="2"/>
  <c r="S350" i="2"/>
  <c r="T350" i="2"/>
  <c r="T16" i="2"/>
  <c r="S16" i="2"/>
  <c r="T1504" i="2"/>
  <c r="S1504" i="2"/>
  <c r="T1433" i="2"/>
  <c r="S1433" i="2"/>
  <c r="T1404" i="2"/>
  <c r="S1404" i="2"/>
  <c r="T1262" i="2"/>
  <c r="S1262" i="2"/>
  <c r="S1255" i="2"/>
  <c r="T1255" i="2"/>
  <c r="T1177" i="2"/>
  <c r="S1177" i="2"/>
  <c r="T1182" i="2"/>
  <c r="S1182" i="2"/>
  <c r="S1114" i="2"/>
  <c r="T1114" i="2"/>
  <c r="T1144" i="2"/>
  <c r="S1144" i="2"/>
  <c r="T1060" i="2"/>
  <c r="S1060" i="2"/>
  <c r="T993" i="2"/>
  <c r="S993" i="2"/>
  <c r="T833" i="2"/>
  <c r="S833" i="2"/>
  <c r="T967" i="2"/>
  <c r="S967" i="2"/>
  <c r="T927" i="2"/>
  <c r="S927" i="2"/>
  <c r="T769" i="2"/>
  <c r="S769" i="2"/>
  <c r="T737" i="2"/>
  <c r="S737" i="2"/>
  <c r="T817" i="2"/>
  <c r="S817" i="2"/>
  <c r="S430" i="2"/>
  <c r="T430" i="2"/>
  <c r="T334" i="2"/>
  <c r="S334" i="2"/>
  <c r="S416" i="2"/>
  <c r="T416" i="2"/>
  <c r="T204" i="2"/>
  <c r="S204" i="2"/>
  <c r="T170" i="2"/>
  <c r="S170" i="2"/>
  <c r="T17" i="2"/>
  <c r="S17" i="2"/>
  <c r="S75" i="2"/>
  <c r="T75" i="2"/>
  <c r="T1467" i="2"/>
  <c r="S1467" i="2"/>
  <c r="T1508" i="2"/>
  <c r="S1508" i="2"/>
  <c r="S1417" i="2"/>
  <c r="T1417" i="2"/>
  <c r="T1494" i="2"/>
  <c r="S1494" i="2"/>
  <c r="T1241" i="2"/>
  <c r="S1241" i="2"/>
  <c r="T1353" i="2"/>
  <c r="S1353" i="2"/>
  <c r="T1496" i="2"/>
  <c r="S1496" i="2"/>
  <c r="T1204" i="2"/>
  <c r="S1204" i="2"/>
  <c r="T1137" i="2"/>
  <c r="S1137" i="2"/>
  <c r="T1304" i="2"/>
  <c r="S1304" i="2"/>
  <c r="S1369" i="2"/>
  <c r="T1369" i="2"/>
  <c r="S1205" i="2"/>
  <c r="T1205" i="2"/>
  <c r="T1299" i="2"/>
  <c r="S1299" i="2"/>
  <c r="T1240" i="2"/>
  <c r="S1240" i="2"/>
  <c r="T1047" i="2"/>
  <c r="S1047" i="2"/>
  <c r="T1257" i="2"/>
  <c r="S1257" i="2"/>
  <c r="T1153" i="2"/>
  <c r="S1153" i="2"/>
  <c r="T1099" i="2"/>
  <c r="S1099" i="2"/>
  <c r="T1007" i="2"/>
  <c r="S1007" i="2"/>
  <c r="T1041" i="2"/>
  <c r="S1041" i="2"/>
  <c r="T900" i="2"/>
  <c r="S900" i="2"/>
  <c r="AK956" i="2"/>
  <c r="T891" i="2"/>
  <c r="S891" i="2"/>
  <c r="T981" i="2"/>
  <c r="S981" i="2"/>
  <c r="T996" i="2"/>
  <c r="S996" i="2"/>
  <c r="S800" i="2"/>
  <c r="T800" i="2"/>
  <c r="T828" i="2"/>
  <c r="S828" i="2"/>
  <c r="T903" i="2"/>
  <c r="S903" i="2"/>
  <c r="T793" i="2"/>
  <c r="S793" i="2"/>
  <c r="T681" i="2"/>
  <c r="S681" i="2"/>
  <c r="T629" i="2"/>
  <c r="S629" i="2"/>
  <c r="T582" i="2"/>
  <c r="S582" i="2"/>
  <c r="S502" i="2"/>
  <c r="T502" i="2"/>
  <c r="T595" i="2"/>
  <c r="S595" i="2"/>
  <c r="T687" i="2"/>
  <c r="S687" i="2"/>
  <c r="T529" i="2"/>
  <c r="S529" i="2"/>
  <c r="S405" i="2"/>
  <c r="T405" i="2"/>
  <c r="S770" i="2"/>
  <c r="T770" i="2"/>
  <c r="T438" i="2"/>
  <c r="S438" i="2"/>
  <c r="T775" i="2"/>
  <c r="S775" i="2"/>
  <c r="T971" i="2"/>
  <c r="S971" i="2"/>
  <c r="S458" i="2"/>
  <c r="T458" i="2"/>
  <c r="T324" i="2"/>
  <c r="S324" i="2"/>
  <c r="T305" i="2"/>
  <c r="S305" i="2"/>
  <c r="T212" i="2"/>
  <c r="S212" i="2"/>
  <c r="S453" i="2"/>
  <c r="T453" i="2"/>
  <c r="T297" i="2"/>
  <c r="S297" i="2"/>
  <c r="T486" i="2"/>
  <c r="S486" i="2"/>
  <c r="T314" i="2"/>
  <c r="S314" i="2"/>
  <c r="T348" i="2"/>
  <c r="S348" i="2"/>
  <c r="T254" i="2"/>
  <c r="S254" i="2"/>
  <c r="T415" i="2"/>
  <c r="S415" i="2"/>
  <c r="T450" i="2"/>
  <c r="S450" i="2"/>
  <c r="S59" i="2"/>
  <c r="T59" i="2"/>
  <c r="T74" i="2"/>
  <c r="S74" i="2"/>
  <c r="T22" i="2"/>
  <c r="S22" i="2"/>
  <c r="T243" i="2"/>
  <c r="S243" i="2"/>
  <c r="S206" i="2"/>
  <c r="T206" i="2"/>
  <c r="S117" i="2"/>
  <c r="T117" i="2"/>
  <c r="T198" i="2"/>
  <c r="S198" i="2"/>
  <c r="S91" i="2"/>
  <c r="T91" i="2"/>
  <c r="T155" i="2"/>
  <c r="S155" i="2"/>
  <c r="T93" i="2"/>
  <c r="S93" i="2"/>
  <c r="T47" i="2"/>
  <c r="S47" i="2"/>
  <c r="T111" i="2"/>
  <c r="S111" i="2"/>
  <c r="T427" i="2"/>
  <c r="S427" i="2"/>
  <c r="T525" i="2"/>
  <c r="S525" i="2"/>
  <c r="T550" i="2"/>
  <c r="S550" i="2"/>
  <c r="T761" i="2"/>
  <c r="S761" i="2"/>
  <c r="T1227" i="2"/>
  <c r="S1227" i="2"/>
  <c r="T1150" i="2"/>
  <c r="S1150" i="2"/>
  <c r="S1483" i="2"/>
  <c r="T1483" i="2"/>
  <c r="T46" i="2"/>
  <c r="S46" i="2"/>
  <c r="S126" i="2"/>
  <c r="T126" i="2"/>
  <c r="T1464" i="2"/>
  <c r="S1464" i="2"/>
  <c r="T1124" i="2"/>
  <c r="S1124" i="2"/>
  <c r="T601" i="2"/>
  <c r="S601" i="2"/>
  <c r="T1220" i="2"/>
  <c r="S1220" i="2"/>
  <c r="S344" i="2"/>
  <c r="T344" i="2"/>
  <c r="T1470" i="2"/>
  <c r="S1470" i="2"/>
  <c r="S1219" i="2"/>
  <c r="T1219" i="2"/>
  <c r="T1132" i="2"/>
  <c r="S1132" i="2"/>
  <c r="S1159" i="2"/>
  <c r="T1159" i="2"/>
  <c r="T1532" i="2"/>
  <c r="S1532" i="2"/>
  <c r="T1523" i="2"/>
  <c r="S1523" i="2"/>
  <c r="T1509" i="2"/>
  <c r="S1509" i="2"/>
  <c r="AK1442" i="2"/>
  <c r="T1401" i="2"/>
  <c r="S1401" i="2"/>
  <c r="T1455" i="2"/>
  <c r="S1455" i="2"/>
  <c r="T1316" i="2"/>
  <c r="S1316" i="2"/>
  <c r="T1248" i="2"/>
  <c r="S1248" i="2"/>
  <c r="T1276" i="2"/>
  <c r="S1276" i="2"/>
  <c r="T1082" i="2"/>
  <c r="S1082" i="2"/>
  <c r="S878" i="2"/>
  <c r="T878" i="2"/>
  <c r="T987" i="2"/>
  <c r="S987" i="2"/>
  <c r="T1003" i="2"/>
  <c r="S1003" i="2"/>
  <c r="T1169" i="2"/>
  <c r="S1169" i="2"/>
  <c r="S992" i="2"/>
  <c r="T992" i="2"/>
  <c r="S866" i="2"/>
  <c r="T866" i="2"/>
  <c r="T874" i="2"/>
  <c r="S874" i="2"/>
  <c r="S750" i="2"/>
  <c r="T750" i="2"/>
  <c r="S516" i="2"/>
  <c r="T516" i="2"/>
  <c r="S714" i="2"/>
  <c r="T714" i="2"/>
  <c r="S606" i="2"/>
  <c r="T606" i="2"/>
  <c r="S437" i="2"/>
  <c r="T437" i="2"/>
  <c r="S262" i="2"/>
  <c r="T262" i="2"/>
  <c r="AK1330" i="2"/>
  <c r="T341" i="2"/>
  <c r="S341" i="2"/>
  <c r="T33" i="2"/>
  <c r="S33" i="2"/>
  <c r="T159" i="2"/>
  <c r="S159" i="2"/>
  <c r="AK344" i="2"/>
  <c r="S193" i="2"/>
  <c r="T193" i="2"/>
  <c r="T1488" i="2"/>
  <c r="S1488" i="2"/>
  <c r="T1462" i="2"/>
  <c r="S1462" i="2"/>
  <c r="S1465" i="2"/>
  <c r="T1465" i="2"/>
  <c r="T1394" i="2"/>
  <c r="S1394" i="2"/>
  <c r="T1341" i="2"/>
  <c r="S1341" i="2"/>
  <c r="S1318" i="2"/>
  <c r="T1318" i="2"/>
  <c r="T1154" i="2"/>
  <c r="S1154" i="2"/>
  <c r="T1108" i="2"/>
  <c r="S1108" i="2"/>
  <c r="T1200" i="2"/>
  <c r="S1200" i="2"/>
  <c r="T1123" i="2"/>
  <c r="S1123" i="2"/>
  <c r="T1071" i="2"/>
  <c r="S1071" i="2"/>
  <c r="T1102" i="2"/>
  <c r="S1102" i="2"/>
  <c r="T991" i="2"/>
  <c r="S991" i="2"/>
  <c r="T966" i="2"/>
  <c r="S966" i="2"/>
  <c r="T1103" i="2"/>
  <c r="S1103" i="2"/>
  <c r="T953" i="2"/>
  <c r="S953" i="2"/>
  <c r="T742" i="2"/>
  <c r="S742" i="2"/>
  <c r="T877" i="2"/>
  <c r="S877" i="2"/>
  <c r="T768" i="2"/>
  <c r="S768" i="2"/>
  <c r="AK801" i="2"/>
  <c r="T771" i="2"/>
  <c r="S771" i="2"/>
  <c r="T676" i="2"/>
  <c r="S676" i="2"/>
  <c r="T677" i="2"/>
  <c r="S677" i="2"/>
  <c r="T569" i="2"/>
  <c r="S569" i="2"/>
  <c r="T474" i="2"/>
  <c r="S474" i="2"/>
  <c r="S585" i="2"/>
  <c r="T585" i="2"/>
  <c r="T363" i="2"/>
  <c r="S363" i="2"/>
  <c r="T224" i="2"/>
  <c r="S224" i="2"/>
  <c r="S246" i="2"/>
  <c r="T246" i="2"/>
  <c r="AK445" i="2"/>
  <c r="S320" i="2"/>
  <c r="T320" i="2"/>
  <c r="S236" i="2"/>
  <c r="T236" i="2"/>
  <c r="T528" i="2"/>
  <c r="S528" i="2"/>
  <c r="T250" i="2"/>
  <c r="S250" i="2"/>
  <c r="T4" i="2"/>
  <c r="S4" i="2"/>
  <c r="T269" i="2"/>
  <c r="S269" i="2"/>
  <c r="T101" i="2"/>
  <c r="S101" i="2"/>
  <c r="S134" i="2"/>
  <c r="T134" i="2"/>
  <c r="T50" i="2"/>
  <c r="S50" i="2"/>
  <c r="T1493" i="2"/>
  <c r="S1493" i="2"/>
  <c r="T1428" i="2"/>
  <c r="S1428" i="2"/>
  <c r="T1522" i="2"/>
  <c r="S1522" i="2"/>
  <c r="T1510" i="2"/>
  <c r="S1510" i="2"/>
  <c r="T1517" i="2"/>
  <c r="S1517" i="2"/>
  <c r="T1095" i="2"/>
  <c r="S1095" i="2"/>
  <c r="T1420" i="2"/>
  <c r="S1420" i="2"/>
  <c r="T1288" i="2"/>
  <c r="S1288" i="2"/>
  <c r="T1386" i="2"/>
  <c r="S1386" i="2"/>
  <c r="T1203" i="2"/>
  <c r="S1203" i="2"/>
  <c r="T1247" i="2"/>
  <c r="S1247" i="2"/>
  <c r="T1292" i="2"/>
  <c r="S1292" i="2"/>
  <c r="S1142" i="2"/>
  <c r="T1142" i="2"/>
  <c r="T1338" i="2"/>
  <c r="S1338" i="2"/>
  <c r="T1155" i="2"/>
  <c r="S1155" i="2"/>
  <c r="T1136" i="2"/>
  <c r="S1136" i="2"/>
  <c r="T1198" i="2"/>
  <c r="S1198" i="2"/>
  <c r="T979" i="2"/>
  <c r="S979" i="2"/>
  <c r="T1002" i="2"/>
  <c r="S1002" i="2"/>
  <c r="T972" i="2"/>
  <c r="S972" i="2"/>
  <c r="T1371" i="2"/>
  <c r="S1371" i="2"/>
  <c r="T1127" i="2"/>
  <c r="S1127" i="2"/>
  <c r="S902" i="2"/>
  <c r="T902" i="2"/>
  <c r="S732" i="2"/>
  <c r="T732" i="2"/>
  <c r="T753" i="2"/>
  <c r="S753" i="2"/>
  <c r="T994" i="2"/>
  <c r="S994" i="2"/>
  <c r="T1302" i="2"/>
  <c r="S1302" i="2"/>
  <c r="S664" i="2"/>
  <c r="T664" i="2"/>
  <c r="T778" i="2"/>
  <c r="S778" i="2"/>
  <c r="S554" i="2"/>
  <c r="T554" i="2"/>
  <c r="T1017" i="2"/>
  <c r="S1017" i="2"/>
  <c r="T929" i="2"/>
  <c r="S929" i="2"/>
  <c r="S527" i="2"/>
  <c r="T527" i="2"/>
  <c r="T497" i="2"/>
  <c r="S497" i="2"/>
  <c r="T306" i="2"/>
  <c r="S306" i="2"/>
  <c r="S259" i="2"/>
  <c r="T259" i="2"/>
  <c r="T503" i="2"/>
  <c r="S503" i="2"/>
  <c r="T931" i="2"/>
  <c r="S931" i="2"/>
  <c r="S860" i="2"/>
  <c r="T860" i="2"/>
  <c r="T619" i="2"/>
  <c r="S619" i="2"/>
  <c r="T373" i="2"/>
  <c r="S373" i="2"/>
  <c r="T535" i="2"/>
  <c r="S535" i="2"/>
  <c r="T252" i="2"/>
  <c r="S252" i="2"/>
  <c r="T345" i="2"/>
  <c r="S345" i="2"/>
  <c r="S272" i="2"/>
  <c r="T272" i="2"/>
  <c r="S133" i="2"/>
  <c r="T133" i="2"/>
  <c r="T260" i="2"/>
  <c r="S260" i="2"/>
  <c r="S674" i="2"/>
  <c r="T674" i="2"/>
  <c r="T299" i="2"/>
  <c r="S299" i="2"/>
  <c r="S127" i="2"/>
  <c r="T127" i="2"/>
  <c r="T185" i="2"/>
  <c r="S185" i="2"/>
  <c r="T234" i="2"/>
  <c r="S234" i="2"/>
  <c r="S110" i="2"/>
  <c r="T110" i="2"/>
  <c r="S217" i="2"/>
  <c r="T217" i="2"/>
  <c r="T92" i="2"/>
  <c r="S92" i="2"/>
  <c r="T138" i="2"/>
  <c r="S138" i="2"/>
  <c r="T501" i="2"/>
  <c r="S501" i="2"/>
  <c r="T481" i="2"/>
  <c r="S481" i="2"/>
  <c r="T864" i="2"/>
  <c r="S864" i="2"/>
  <c r="T837" i="2"/>
  <c r="S837" i="2"/>
  <c r="T1164" i="2"/>
  <c r="S1164" i="2"/>
  <c r="S1261" i="2"/>
  <c r="T1261" i="2"/>
  <c r="T1466" i="2"/>
  <c r="S1466" i="2"/>
  <c r="S62" i="2"/>
  <c r="T62" i="2"/>
  <c r="T119" i="2"/>
  <c r="S119" i="2"/>
  <c r="S114" i="2"/>
  <c r="T114" i="2"/>
  <c r="T1165" i="2"/>
  <c r="S1165" i="2"/>
  <c r="T1089" i="2"/>
  <c r="S1089" i="2"/>
  <c r="T667" i="2"/>
  <c r="S667" i="2"/>
  <c r="T221" i="2"/>
  <c r="S221" i="2"/>
  <c r="T1444" i="2"/>
  <c r="S1444" i="2"/>
  <c r="T1278" i="2"/>
  <c r="S1278" i="2"/>
  <c r="T1085" i="2"/>
  <c r="S1085" i="2"/>
  <c r="S926" i="2"/>
  <c r="T926" i="2"/>
  <c r="S740" i="2"/>
  <c r="T740" i="2"/>
  <c r="T342" i="2"/>
  <c r="S342" i="2"/>
  <c r="T1521" i="2"/>
  <c r="S1521" i="2"/>
  <c r="T1290" i="2"/>
  <c r="S1290" i="2"/>
  <c r="T845" i="2"/>
  <c r="S845" i="2"/>
  <c r="T1445" i="2"/>
  <c r="S1445" i="2"/>
  <c r="T1244" i="2"/>
  <c r="S1244" i="2"/>
  <c r="T726" i="2"/>
  <c r="S726" i="2"/>
  <c r="S599" i="2"/>
  <c r="T599" i="2"/>
  <c r="T369" i="2"/>
  <c r="S369" i="2"/>
  <c r="T583" i="2"/>
  <c r="S583" i="2"/>
  <c r="T1449" i="2"/>
  <c r="S1449" i="2"/>
  <c r="T1207" i="2"/>
  <c r="S1207" i="2"/>
  <c r="T1228" i="2"/>
  <c r="S1228" i="2"/>
  <c r="T925" i="2"/>
  <c r="S925" i="2"/>
  <c r="S470" i="2"/>
  <c r="T470" i="2"/>
  <c r="S698" i="2"/>
  <c r="T698" i="2"/>
  <c r="T57" i="2"/>
  <c r="S57" i="2"/>
  <c r="S161" i="2"/>
  <c r="T161" i="2"/>
  <c r="T328" i="2"/>
  <c r="S328" i="2"/>
  <c r="S1477" i="2"/>
  <c r="T1477" i="2"/>
  <c r="S1306" i="2"/>
  <c r="T1306" i="2"/>
  <c r="T1148" i="2"/>
  <c r="S1148" i="2"/>
  <c r="S1094" i="2"/>
  <c r="T1094" i="2"/>
  <c r="S794" i="2"/>
  <c r="T794" i="2"/>
  <c r="AK702" i="2"/>
  <c r="T645" i="2"/>
  <c r="S645" i="2"/>
  <c r="T1454" i="2"/>
  <c r="S1454" i="2"/>
  <c r="T1360" i="2"/>
  <c r="S1360" i="2"/>
  <c r="T1253" i="2"/>
  <c r="S1253" i="2"/>
  <c r="AK1258" i="2"/>
  <c r="AK1164" i="2"/>
  <c r="T1117" i="2"/>
  <c r="S1117" i="2"/>
  <c r="S1297" i="2"/>
  <c r="T1297" i="2"/>
  <c r="S1258" i="2"/>
  <c r="T1258" i="2"/>
  <c r="T1218" i="2"/>
  <c r="S1218" i="2"/>
  <c r="T1151" i="2"/>
  <c r="S1151" i="2"/>
  <c r="AK1023" i="2"/>
  <c r="T873" i="2"/>
  <c r="S873" i="2"/>
  <c r="T1161" i="2"/>
  <c r="S1161" i="2"/>
  <c r="T935" i="2"/>
  <c r="S935" i="2"/>
  <c r="S1166" i="2"/>
  <c r="T1166" i="2"/>
  <c r="AK868" i="2"/>
  <c r="T648" i="2"/>
  <c r="S648" i="2"/>
  <c r="S549" i="2"/>
  <c r="T549" i="2"/>
  <c r="T766" i="2"/>
  <c r="S766" i="2"/>
  <c r="T1374" i="2"/>
  <c r="S1374" i="2"/>
  <c r="T970" i="2"/>
  <c r="S970" i="2"/>
  <c r="T510" i="2"/>
  <c r="S510" i="2"/>
  <c r="S592" i="2"/>
  <c r="T592" i="2"/>
  <c r="S482" i="2"/>
  <c r="T482" i="2"/>
  <c r="T597" i="2"/>
  <c r="S597" i="2"/>
  <c r="S368" i="2"/>
  <c r="T368" i="2"/>
  <c r="T82" i="2"/>
  <c r="S82" i="2"/>
  <c r="T10" i="2"/>
  <c r="S10" i="2"/>
  <c r="S146" i="2"/>
  <c r="T146" i="2"/>
  <c r="T400" i="2"/>
  <c r="S400" i="2"/>
  <c r="T9" i="2"/>
  <c r="S9" i="2"/>
  <c r="AK356" i="2"/>
  <c r="S145" i="2"/>
  <c r="T145" i="2"/>
  <c r="T1382" i="2"/>
  <c r="S1382" i="2"/>
  <c r="T1446" i="2"/>
  <c r="S1446" i="2"/>
  <c r="T1362" i="2"/>
  <c r="S1362" i="2"/>
  <c r="S1399" i="2"/>
  <c r="T1399" i="2"/>
  <c r="T1307" i="2"/>
  <c r="S1307" i="2"/>
  <c r="T1295" i="2"/>
  <c r="S1295" i="2"/>
  <c r="T1134" i="2"/>
  <c r="S1134" i="2"/>
  <c r="T1075" i="2"/>
  <c r="S1075" i="2"/>
  <c r="S962" i="2"/>
  <c r="T962" i="2"/>
  <c r="S792" i="2"/>
  <c r="T792" i="2"/>
  <c r="T757" i="2"/>
  <c r="S757" i="2"/>
  <c r="S678" i="2"/>
  <c r="T678" i="2"/>
  <c r="T695" i="2"/>
  <c r="S695" i="2"/>
  <c r="S662" i="2"/>
  <c r="T662" i="2"/>
  <c r="T358" i="2"/>
  <c r="S358" i="2"/>
  <c r="T202" i="2"/>
  <c r="S202" i="2"/>
  <c r="T353" i="2"/>
  <c r="S353" i="2"/>
  <c r="AK122" i="2"/>
  <c r="T263" i="2"/>
  <c r="S263" i="2"/>
  <c r="S203" i="2"/>
  <c r="T203" i="2"/>
  <c r="T3" i="2"/>
  <c r="S3" i="2"/>
  <c r="T8" i="2"/>
  <c r="S8" i="2"/>
  <c r="T83" i="2"/>
  <c r="S83" i="2"/>
  <c r="T131" i="2"/>
  <c r="S131" i="2"/>
  <c r="T1499" i="2"/>
  <c r="S1499" i="2"/>
  <c r="T1432" i="2"/>
  <c r="S1432" i="2"/>
  <c r="T1408" i="2"/>
  <c r="S1408" i="2"/>
  <c r="T1460" i="2"/>
  <c r="S1460" i="2"/>
  <c r="S1378" i="2"/>
  <c r="T1378" i="2"/>
  <c r="T1424" i="2"/>
  <c r="S1424" i="2"/>
  <c r="T1314" i="2"/>
  <c r="S1314" i="2"/>
  <c r="S1246" i="2"/>
  <c r="T1246" i="2"/>
  <c r="S1162" i="2"/>
  <c r="T1162" i="2"/>
  <c r="T1239" i="2"/>
  <c r="S1239" i="2"/>
  <c r="S1291" i="2"/>
  <c r="T1291" i="2"/>
  <c r="T1209" i="2"/>
  <c r="S1209" i="2"/>
  <c r="S1090" i="2"/>
  <c r="T1090" i="2"/>
  <c r="T1038" i="2"/>
  <c r="S1038" i="2"/>
  <c r="S1249" i="2"/>
  <c r="T1249" i="2"/>
  <c r="T1277" i="2"/>
  <c r="S1277" i="2"/>
  <c r="S1243" i="2"/>
  <c r="T1243" i="2"/>
  <c r="T1131" i="2"/>
  <c r="S1131" i="2"/>
  <c r="T1197" i="2"/>
  <c r="S1197" i="2"/>
  <c r="T1221" i="2"/>
  <c r="S1221" i="2"/>
  <c r="T1079" i="2"/>
  <c r="S1079" i="2"/>
  <c r="T849" i="2"/>
  <c r="S849" i="2"/>
  <c r="T1233" i="2"/>
  <c r="S1233" i="2"/>
  <c r="T961" i="2"/>
  <c r="S961" i="2"/>
  <c r="T780" i="2"/>
  <c r="S780" i="2"/>
  <c r="S824" i="2"/>
  <c r="T824" i="2"/>
  <c r="S846" i="2"/>
  <c r="T846" i="2"/>
  <c r="T763" i="2"/>
  <c r="S763" i="2"/>
  <c r="T1011" i="2"/>
  <c r="S1011" i="2"/>
  <c r="T702" i="2"/>
  <c r="S702" i="2"/>
  <c r="T852" i="2"/>
  <c r="S852" i="2"/>
  <c r="T958" i="2"/>
  <c r="S958" i="2"/>
  <c r="T611" i="2"/>
  <c r="S611" i="2"/>
  <c r="S848" i="2"/>
  <c r="T848" i="2"/>
  <c r="T557" i="2"/>
  <c r="S557" i="2"/>
  <c r="AK330" i="2"/>
  <c r="S440" i="2"/>
  <c r="T440" i="2"/>
  <c r="T395" i="2"/>
  <c r="S395" i="2"/>
  <c r="T790" i="2"/>
  <c r="S790" i="2"/>
  <c r="S459" i="2"/>
  <c r="T459" i="2"/>
  <c r="S392" i="2"/>
  <c r="T392" i="2"/>
  <c r="T377" i="2"/>
  <c r="S377" i="2"/>
  <c r="S621" i="2"/>
  <c r="T621" i="2"/>
  <c r="T565" i="2"/>
  <c r="S565" i="2"/>
  <c r="S512" i="2"/>
  <c r="T512" i="2"/>
  <c r="S426" i="2"/>
  <c r="T426" i="2"/>
  <c r="T841" i="2"/>
  <c r="S841" i="2"/>
  <c r="S639" i="2"/>
  <c r="T639" i="2"/>
  <c r="T934" i="2"/>
  <c r="S934" i="2"/>
  <c r="S524" i="2"/>
  <c r="T524" i="2"/>
  <c r="S330" i="2"/>
  <c r="T330" i="2"/>
  <c r="T511" i="2"/>
  <c r="S511" i="2"/>
  <c r="T691" i="2"/>
  <c r="S691" i="2"/>
  <c r="T483" i="2"/>
  <c r="S483" i="2"/>
  <c r="S488" i="2"/>
  <c r="T488" i="2"/>
  <c r="T208" i="2"/>
  <c r="S208" i="2"/>
  <c r="S484" i="2"/>
  <c r="T484" i="2"/>
  <c r="S253" i="2"/>
  <c r="T253" i="2"/>
  <c r="T533" i="2"/>
  <c r="S533" i="2"/>
  <c r="T107" i="2"/>
  <c r="S107" i="2"/>
  <c r="T136" i="2"/>
  <c r="S136" i="2"/>
  <c r="T207" i="2"/>
  <c r="S207" i="2"/>
  <c r="S120" i="2"/>
  <c r="T120" i="2"/>
  <c r="AK100" i="2"/>
  <c r="S235" i="2"/>
  <c r="T235" i="2"/>
  <c r="S15" i="2"/>
  <c r="T15" i="2"/>
  <c r="T77" i="2"/>
  <c r="S77" i="2"/>
  <c r="S90" i="2"/>
  <c r="T90" i="2"/>
  <c r="S362" i="2"/>
  <c r="T362" i="2"/>
  <c r="S776" i="2"/>
  <c r="T776" i="2"/>
  <c r="S509" i="2"/>
  <c r="T509" i="2"/>
  <c r="S707" i="2"/>
  <c r="T707" i="2"/>
  <c r="T941" i="2"/>
  <c r="S941" i="2"/>
  <c r="S1034" i="2"/>
  <c r="T1034" i="2"/>
  <c r="T1245" i="2"/>
  <c r="S1245" i="2"/>
  <c r="T123" i="2"/>
  <c r="S123" i="2"/>
  <c r="T1296" i="2"/>
  <c r="S1296" i="2"/>
  <c r="T1264" i="2"/>
  <c r="S1264" i="2"/>
  <c r="T832" i="2"/>
  <c r="S832" i="2"/>
  <c r="S725" i="2"/>
  <c r="T725" i="2"/>
  <c r="T499" i="2"/>
  <c r="S499" i="2"/>
  <c r="S24" i="2"/>
  <c r="T24" i="2"/>
  <c r="T1188" i="2"/>
  <c r="S1188" i="2"/>
  <c r="T843" i="2"/>
  <c r="S843" i="2"/>
  <c r="S692" i="2"/>
  <c r="T692" i="2"/>
  <c r="S190" i="2"/>
  <c r="T190" i="2"/>
  <c r="S1042" i="2"/>
  <c r="T1042" i="2"/>
  <c r="S956" i="2"/>
  <c r="T956" i="2"/>
  <c r="T881" i="2"/>
  <c r="S881" i="2"/>
  <c r="T869" i="2"/>
  <c r="S869" i="2"/>
  <c r="T907" i="2"/>
  <c r="S907" i="2"/>
  <c r="T1026" i="2"/>
  <c r="S1026" i="2"/>
  <c r="T1077" i="2"/>
  <c r="S1077" i="2"/>
  <c r="T875" i="2"/>
  <c r="S875" i="2"/>
  <c r="T575" i="2"/>
  <c r="S575" i="2"/>
  <c r="T496" i="2"/>
  <c r="S496" i="2"/>
  <c r="T407" i="2"/>
  <c r="S407" i="2"/>
  <c r="T384" i="2"/>
  <c r="S384" i="2"/>
  <c r="T647" i="2"/>
  <c r="S647" i="2"/>
  <c r="S1507" i="2"/>
  <c r="T1507" i="2"/>
  <c r="T1081" i="2"/>
  <c r="S1081" i="2"/>
  <c r="T1058" i="2"/>
  <c r="S1058" i="2"/>
  <c r="T933" i="2"/>
  <c r="S933" i="2"/>
  <c r="S854" i="2"/>
  <c r="T854" i="2"/>
  <c r="T921" i="2"/>
  <c r="S921" i="2"/>
  <c r="T802" i="2"/>
  <c r="S802" i="2"/>
  <c r="T492" i="2"/>
  <c r="S492" i="2"/>
  <c r="S1354" i="2"/>
  <c r="T1354" i="2"/>
  <c r="T1039" i="2"/>
  <c r="S1039" i="2"/>
  <c r="T815" i="2"/>
  <c r="S815" i="2"/>
  <c r="T965" i="2"/>
  <c r="S965" i="2"/>
  <c r="T1380" i="2"/>
  <c r="S1380" i="2"/>
  <c r="T1364" i="2"/>
  <c r="S1364" i="2"/>
  <c r="T1457" i="2"/>
  <c r="S1457" i="2"/>
  <c r="T1320" i="2"/>
  <c r="S1320" i="2"/>
  <c r="T1256" i="2"/>
  <c r="S1256" i="2"/>
  <c r="T1185" i="2"/>
  <c r="S1185" i="2"/>
  <c r="T1057" i="2"/>
  <c r="S1057" i="2"/>
  <c r="T1503" i="2"/>
  <c r="S1503" i="2"/>
  <c r="T964" i="2"/>
  <c r="S964" i="2"/>
  <c r="T978" i="2"/>
  <c r="S978" i="2"/>
  <c r="AK895" i="2"/>
  <c r="T963" i="2"/>
  <c r="S963" i="2"/>
  <c r="T945" i="2"/>
  <c r="S945" i="2"/>
  <c r="T947" i="2"/>
  <c r="S947" i="2"/>
  <c r="T865" i="2"/>
  <c r="S865" i="2"/>
  <c r="T850" i="2"/>
  <c r="S850" i="2"/>
  <c r="T684" i="2"/>
  <c r="S684" i="2"/>
  <c r="S574" i="2"/>
  <c r="T574" i="2"/>
  <c r="S506" i="2"/>
  <c r="T506" i="2"/>
  <c r="S620" i="2"/>
  <c r="T620" i="2"/>
  <c r="T411" i="2"/>
  <c r="S411" i="2"/>
  <c r="S452" i="2"/>
  <c r="T452" i="2"/>
  <c r="S464" i="2"/>
  <c r="T464" i="2"/>
  <c r="T292" i="2"/>
  <c r="S292" i="2"/>
  <c r="T1492" i="2"/>
  <c r="S1492" i="2"/>
  <c r="T1468" i="2"/>
  <c r="S1468" i="2"/>
  <c r="T1487" i="2"/>
  <c r="S1487" i="2"/>
  <c r="T1430" i="2"/>
  <c r="S1430" i="2"/>
  <c r="S1393" i="2"/>
  <c r="T1393" i="2"/>
  <c r="S1333" i="2"/>
  <c r="T1333" i="2"/>
  <c r="T1192" i="2"/>
  <c r="S1192" i="2"/>
  <c r="S1285" i="2"/>
  <c r="T1285" i="2"/>
  <c r="S1138" i="2"/>
  <c r="T1138" i="2"/>
  <c r="T1305" i="2"/>
  <c r="S1305" i="2"/>
  <c r="T957" i="2"/>
  <c r="S957" i="2"/>
  <c r="T816" i="2"/>
  <c r="S816" i="2"/>
  <c r="T814" i="2"/>
  <c r="S814" i="2"/>
  <c r="S704" i="2"/>
  <c r="T704" i="2"/>
  <c r="AK567" i="2"/>
  <c r="T690" i="2"/>
  <c r="S690" i="2"/>
  <c r="S644" i="2"/>
  <c r="T644" i="2"/>
  <c r="T589" i="2"/>
  <c r="S589" i="2"/>
  <c r="S638" i="2"/>
  <c r="T638" i="2"/>
  <c r="T564" i="2"/>
  <c r="S564" i="2"/>
  <c r="T303" i="2"/>
  <c r="S303" i="2"/>
  <c r="T226" i="2"/>
  <c r="S226" i="2"/>
  <c r="AK27" i="2"/>
  <c r="T261" i="2"/>
  <c r="S261" i="2"/>
  <c r="S205" i="2"/>
  <c r="T205" i="2"/>
  <c r="S186" i="2"/>
  <c r="T186" i="2"/>
  <c r="T179" i="2"/>
  <c r="S179" i="2"/>
  <c r="T1426" i="2"/>
  <c r="S1426" i="2"/>
  <c r="S1435" i="2"/>
  <c r="T1435" i="2"/>
  <c r="T1412" i="2"/>
  <c r="S1412" i="2"/>
  <c r="T1392" i="2"/>
  <c r="S1392" i="2"/>
  <c r="T1490" i="2"/>
  <c r="S1490" i="2"/>
  <c r="S1519" i="2"/>
  <c r="T1519" i="2"/>
  <c r="T1526" i="2"/>
  <c r="S1526" i="2"/>
  <c r="T1400" i="2"/>
  <c r="S1400" i="2"/>
  <c r="T1361" i="2"/>
  <c r="S1361" i="2"/>
  <c r="T1538" i="2"/>
  <c r="S1538" i="2"/>
  <c r="S1381" i="2"/>
  <c r="T1381" i="2"/>
  <c r="S1489" i="2"/>
  <c r="T1489" i="2"/>
  <c r="T1211" i="2"/>
  <c r="S1211" i="2"/>
  <c r="T1365" i="2"/>
  <c r="S1365" i="2"/>
  <c r="S1471" i="2"/>
  <c r="T1471" i="2"/>
  <c r="T1340" i="2"/>
  <c r="S1340" i="2"/>
  <c r="S1070" i="2"/>
  <c r="T1070" i="2"/>
  <c r="T1336" i="2"/>
  <c r="S1336" i="2"/>
  <c r="T1407" i="2"/>
  <c r="S1407" i="2"/>
  <c r="T1406" i="2"/>
  <c r="S1406" i="2"/>
  <c r="T1152" i="2"/>
  <c r="S1152" i="2"/>
  <c r="S1118" i="2"/>
  <c r="T1118" i="2"/>
  <c r="T946" i="2"/>
  <c r="S946" i="2"/>
  <c r="T1128" i="2"/>
  <c r="S1128" i="2"/>
  <c r="T785" i="2"/>
  <c r="S785" i="2"/>
  <c r="T1065" i="2"/>
  <c r="S1065" i="2"/>
  <c r="S872" i="2"/>
  <c r="T872" i="2"/>
  <c r="T625" i="2"/>
  <c r="S625" i="2"/>
  <c r="S500" i="2"/>
  <c r="T500" i="2"/>
  <c r="T867" i="2"/>
  <c r="S867" i="2"/>
  <c r="T745" i="2"/>
  <c r="S745" i="2"/>
  <c r="T658" i="2"/>
  <c r="S658" i="2"/>
  <c r="T493" i="2"/>
  <c r="S493" i="2"/>
  <c r="S545" i="2"/>
  <c r="T545" i="2"/>
  <c r="T519" i="2"/>
  <c r="S519" i="2"/>
  <c r="T879" i="2"/>
  <c r="S879" i="2"/>
  <c r="T787" i="2"/>
  <c r="S787" i="2"/>
  <c r="T699" i="2"/>
  <c r="S699" i="2"/>
  <c r="T433" i="2"/>
  <c r="S433" i="2"/>
  <c r="S884" i="2"/>
  <c r="T884" i="2"/>
  <c r="S563" i="2"/>
  <c r="T563" i="2"/>
  <c r="S428" i="2"/>
  <c r="T428" i="2"/>
  <c r="S359" i="2"/>
  <c r="T359" i="2"/>
  <c r="S567" i="2"/>
  <c r="T567" i="2"/>
  <c r="T485" i="2"/>
  <c r="S485" i="2"/>
  <c r="T663" i="2"/>
  <c r="S663" i="2"/>
  <c r="T487" i="2"/>
  <c r="S487" i="2"/>
  <c r="T613" i="2"/>
  <c r="S613" i="2"/>
  <c r="T311" i="2"/>
  <c r="S311" i="2"/>
  <c r="T318" i="2"/>
  <c r="S318" i="2"/>
  <c r="T445" i="2"/>
  <c r="S445" i="2"/>
  <c r="T372" i="2"/>
  <c r="S372" i="2"/>
  <c r="T300" i="2"/>
  <c r="S300" i="2"/>
  <c r="T355" i="2"/>
  <c r="S355" i="2"/>
  <c r="S307" i="2"/>
  <c r="T307" i="2"/>
  <c r="T152" i="2"/>
  <c r="S152" i="2"/>
  <c r="T287" i="2"/>
  <c r="S287" i="2"/>
  <c r="S48" i="2"/>
  <c r="T48" i="2"/>
  <c r="T240" i="2"/>
  <c r="S240" i="2"/>
  <c r="T27" i="2"/>
  <c r="S27" i="2"/>
  <c r="T158" i="2"/>
  <c r="S158" i="2"/>
  <c r="S169" i="2"/>
  <c r="T169" i="2"/>
  <c r="T309" i="2"/>
  <c r="S309" i="2"/>
  <c r="S460" i="2"/>
  <c r="T460" i="2"/>
  <c r="T456" i="2"/>
  <c r="S456" i="2"/>
  <c r="T759" i="2"/>
  <c r="S759" i="2"/>
  <c r="T774" i="2"/>
  <c r="S774" i="2"/>
  <c r="T1032" i="2"/>
  <c r="S1032" i="2"/>
  <c r="T1514" i="2"/>
  <c r="S1514" i="2"/>
  <c r="T116" i="2"/>
  <c r="S116" i="2"/>
  <c r="T37" i="2"/>
  <c r="S37" i="2"/>
  <c r="S247" i="2"/>
  <c r="T247" i="2"/>
  <c r="S199" i="2"/>
  <c r="T199" i="2"/>
  <c r="S1387" i="2"/>
  <c r="T1387" i="2"/>
  <c r="S1330" i="2"/>
  <c r="T1330" i="2"/>
  <c r="T1175" i="2"/>
  <c r="S1175" i="2"/>
  <c r="S1225" i="2"/>
  <c r="T1225" i="2"/>
  <c r="T130" i="2"/>
  <c r="S130" i="2"/>
  <c r="S495" i="2"/>
  <c r="T495" i="2"/>
  <c r="T418" i="2"/>
  <c r="S418" i="2"/>
  <c r="S1366" i="2"/>
  <c r="T1366" i="2"/>
  <c r="T1347" i="2"/>
  <c r="S1347" i="2"/>
  <c r="S1270" i="2"/>
  <c r="T1270" i="2"/>
  <c r="T1044" i="2"/>
  <c r="S1044" i="2"/>
  <c r="T1020" i="2"/>
  <c r="S1020" i="2"/>
  <c r="T911" i="2"/>
  <c r="S911" i="2"/>
  <c r="T760" i="2"/>
  <c r="S760" i="2"/>
  <c r="T749" i="2"/>
  <c r="S749" i="2"/>
  <c r="S689" i="2"/>
  <c r="T689" i="2"/>
  <c r="T559" i="2"/>
  <c r="S559" i="2"/>
  <c r="T409" i="2"/>
  <c r="S409" i="2"/>
  <c r="T889" i="2"/>
  <c r="S889" i="2"/>
  <c r="T819" i="2"/>
  <c r="S819" i="2"/>
  <c r="S365" i="2"/>
  <c r="T365" i="2"/>
  <c r="T1479" i="2"/>
  <c r="S1479" i="2"/>
  <c r="T1269" i="2"/>
  <c r="S1269" i="2"/>
  <c r="T1181" i="2"/>
  <c r="S1181" i="2"/>
  <c r="T630" i="2"/>
  <c r="S630" i="2"/>
  <c r="T273" i="2"/>
  <c r="S273" i="2"/>
  <c r="T1520" i="2"/>
  <c r="S1520" i="2"/>
  <c r="T1396" i="2"/>
  <c r="S1396" i="2"/>
  <c r="T1476" i="2"/>
  <c r="S1476" i="2"/>
  <c r="T1427" i="2"/>
  <c r="S1427" i="2"/>
  <c r="T1385" i="2"/>
  <c r="S1385" i="2"/>
  <c r="T1452" i="2"/>
  <c r="S1452" i="2"/>
  <c r="T1324" i="2"/>
  <c r="S1324" i="2"/>
  <c r="T1224" i="2"/>
  <c r="S1224" i="2"/>
  <c r="T1069" i="2"/>
  <c r="S1069" i="2"/>
  <c r="T1093" i="2"/>
  <c r="S1093" i="2"/>
  <c r="T1024" i="2"/>
  <c r="S1024" i="2"/>
  <c r="T1001" i="2"/>
  <c r="S1001" i="2"/>
  <c r="S782" i="2"/>
  <c r="T782" i="2"/>
  <c r="T870" i="2"/>
  <c r="S870" i="2"/>
  <c r="T618" i="2"/>
  <c r="S618" i="2"/>
  <c r="T546" i="2"/>
  <c r="S546" i="2"/>
  <c r="S806" i="2"/>
  <c r="T806" i="2"/>
  <c r="S980" i="2"/>
  <c r="T980" i="2"/>
  <c r="S693" i="2"/>
  <c r="T693" i="2"/>
  <c r="S912" i="2"/>
  <c r="T912" i="2"/>
  <c r="T526" i="2"/>
  <c r="S526" i="2"/>
  <c r="T540" i="2"/>
  <c r="S540" i="2"/>
  <c r="T394" i="2"/>
  <c r="S394" i="2"/>
  <c r="T447" i="2"/>
  <c r="S447" i="2"/>
  <c r="S476" i="2"/>
  <c r="T476" i="2"/>
  <c r="AK189" i="2"/>
  <c r="T553" i="2"/>
  <c r="S553" i="2"/>
  <c r="S404" i="2"/>
  <c r="T404" i="2"/>
  <c r="T278" i="2"/>
  <c r="S278" i="2"/>
  <c r="T268" i="2"/>
  <c r="S268" i="2"/>
  <c r="S200" i="2"/>
  <c r="T200" i="2"/>
  <c r="T443" i="2"/>
  <c r="S443" i="2"/>
  <c r="S289" i="2"/>
  <c r="T289" i="2"/>
  <c r="T176" i="2"/>
  <c r="S176" i="2"/>
  <c r="S144" i="2"/>
  <c r="T144" i="2"/>
  <c r="T366" i="2"/>
  <c r="S366" i="2"/>
  <c r="T302" i="2"/>
  <c r="S302" i="2"/>
  <c r="S96" i="2"/>
  <c r="T96" i="2"/>
  <c r="T1410" i="2"/>
  <c r="S1410" i="2"/>
  <c r="AK1380" i="2"/>
  <c r="T1272" i="2"/>
  <c r="S1272" i="2"/>
  <c r="T1322" i="2"/>
  <c r="S1322" i="2"/>
  <c r="S1327" i="2"/>
  <c r="T1327" i="2"/>
  <c r="T1122" i="2"/>
  <c r="S1122" i="2"/>
  <c r="T1202" i="2"/>
  <c r="S1202" i="2"/>
  <c r="T1214" i="2"/>
  <c r="S1214" i="2"/>
  <c r="T1176" i="2"/>
  <c r="S1176" i="2"/>
  <c r="T1092" i="2"/>
  <c r="S1092" i="2"/>
  <c r="T1191" i="2"/>
  <c r="S1191" i="2"/>
  <c r="T1059" i="2"/>
  <c r="S1059" i="2"/>
  <c r="T1053" i="2"/>
  <c r="S1053" i="2"/>
  <c r="T1006" i="2"/>
  <c r="S1006" i="2"/>
  <c r="S830" i="2"/>
  <c r="T830" i="2"/>
  <c r="T859" i="2"/>
  <c r="S859" i="2"/>
  <c r="T789" i="2"/>
  <c r="S789" i="2"/>
  <c r="T897" i="2"/>
  <c r="S897" i="2"/>
  <c r="T810" i="2"/>
  <c r="S810" i="2"/>
  <c r="T709" i="2"/>
  <c r="S709" i="2"/>
  <c r="T616" i="2"/>
  <c r="S616" i="2"/>
  <c r="AK489" i="2"/>
  <c r="T461" i="2"/>
  <c r="S461" i="2"/>
  <c r="T505" i="2"/>
  <c r="S505" i="2"/>
  <c r="AK777" i="2"/>
  <c r="T432" i="2"/>
  <c r="S432" i="2"/>
  <c r="T605" i="2"/>
  <c r="S605" i="2"/>
  <c r="T178" i="2"/>
  <c r="S178" i="2"/>
  <c r="T336" i="2"/>
  <c r="S336" i="2"/>
  <c r="T379" i="2"/>
  <c r="S379" i="2"/>
  <c r="S121" i="2"/>
  <c r="T121" i="2"/>
  <c r="T312" i="2"/>
  <c r="S312" i="2"/>
  <c r="T257" i="2"/>
  <c r="S257" i="2"/>
  <c r="T225" i="2"/>
  <c r="S225" i="2"/>
  <c r="T191" i="2"/>
  <c r="S191" i="2"/>
  <c r="T183" i="2"/>
  <c r="S183" i="2"/>
  <c r="S151" i="2"/>
  <c r="T151" i="2"/>
  <c r="S1537" i="2"/>
  <c r="T1537" i="2"/>
  <c r="T1478" i="2"/>
  <c r="S1478" i="2"/>
  <c r="T1443" i="2"/>
  <c r="S1443" i="2"/>
  <c r="T1377" i="2"/>
  <c r="S1377" i="2"/>
  <c r="S1390" i="2"/>
  <c r="T1390" i="2"/>
  <c r="S1441" i="2"/>
  <c r="T1441" i="2"/>
  <c r="T1179" i="2"/>
  <c r="S1179" i="2"/>
  <c r="S1282" i="2"/>
  <c r="T1282" i="2"/>
  <c r="T1088" i="2"/>
  <c r="S1088" i="2"/>
  <c r="T1254" i="2"/>
  <c r="S1254" i="2"/>
  <c r="T1271" i="2"/>
  <c r="S1271" i="2"/>
  <c r="S1217" i="2"/>
  <c r="T1217" i="2"/>
  <c r="T1287" i="2"/>
  <c r="S1287" i="2"/>
  <c r="T1216" i="2"/>
  <c r="S1216" i="2"/>
  <c r="T1037" i="2"/>
  <c r="S1037" i="2"/>
  <c r="T1018" i="2"/>
  <c r="S1018" i="2"/>
  <c r="S1028" i="2"/>
  <c r="T1028" i="2"/>
  <c r="T906" i="2"/>
  <c r="S906" i="2"/>
  <c r="T1230" i="2"/>
  <c r="S1230" i="2"/>
  <c r="T799" i="2"/>
  <c r="S799" i="2"/>
  <c r="T928" i="2"/>
  <c r="S928" i="2"/>
  <c r="T985" i="2"/>
  <c r="S985" i="2"/>
  <c r="T838" i="2"/>
  <c r="S838" i="2"/>
  <c r="T733" i="2"/>
  <c r="S733" i="2"/>
  <c r="T1147" i="2"/>
  <c r="S1147" i="2"/>
  <c r="S743" i="2"/>
  <c r="T743" i="2"/>
  <c r="T754" i="2"/>
  <c r="S754" i="2"/>
  <c r="T847" i="2"/>
  <c r="S847" i="2"/>
  <c r="T673" i="2"/>
  <c r="S673" i="2"/>
  <c r="T672" i="2"/>
  <c r="S672" i="2"/>
  <c r="T1083" i="2"/>
  <c r="S1083" i="2"/>
  <c r="T679" i="2"/>
  <c r="S679" i="2"/>
  <c r="T831" i="2"/>
  <c r="S831" i="2"/>
  <c r="S736" i="2"/>
  <c r="T736" i="2"/>
  <c r="S581" i="2"/>
  <c r="T581" i="2"/>
  <c r="T954" i="2"/>
  <c r="S954" i="2"/>
  <c r="T539" i="2"/>
  <c r="S539" i="2"/>
  <c r="T856" i="2"/>
  <c r="S856" i="2"/>
  <c r="S628" i="2"/>
  <c r="T628" i="2"/>
  <c r="T576" i="2"/>
  <c r="S576" i="2"/>
  <c r="S530" i="2"/>
  <c r="T530" i="2"/>
  <c r="S765" i="2"/>
  <c r="T765" i="2"/>
  <c r="T414" i="2"/>
  <c r="S414" i="2"/>
  <c r="S398" i="2"/>
  <c r="T398" i="2"/>
  <c r="T317" i="2"/>
  <c r="S317" i="2"/>
  <c r="T820" i="2"/>
  <c r="S820" i="2"/>
  <c r="S578" i="2"/>
  <c r="T578" i="2"/>
  <c r="T517" i="2"/>
  <c r="S517" i="2"/>
  <c r="S466" i="2"/>
  <c r="T466" i="2"/>
  <c r="S301" i="2"/>
  <c r="T301" i="2"/>
  <c r="S286" i="2"/>
  <c r="T286" i="2"/>
  <c r="T420" i="2"/>
  <c r="S420" i="2"/>
  <c r="S680" i="2"/>
  <c r="T680" i="2"/>
  <c r="T276" i="2"/>
  <c r="S276" i="2"/>
  <c r="T270" i="2"/>
  <c r="S270" i="2"/>
  <c r="S109" i="2"/>
  <c r="T109" i="2"/>
  <c r="T189" i="2"/>
  <c r="S189" i="2"/>
  <c r="T87" i="2"/>
  <c r="S87" i="2"/>
  <c r="T413" i="2"/>
  <c r="S413" i="2"/>
  <c r="S18" i="2"/>
  <c r="T18" i="2"/>
  <c r="T615" i="2"/>
  <c r="S615" i="2"/>
  <c r="T201" i="2"/>
  <c r="S201" i="2"/>
  <c r="T165" i="2"/>
  <c r="S165" i="2"/>
  <c r="T69" i="2"/>
  <c r="S69" i="2"/>
  <c r="T331" i="2"/>
  <c r="S331" i="2"/>
  <c r="T655" i="2"/>
  <c r="S655" i="2"/>
  <c r="T468" i="2"/>
  <c r="S468" i="2"/>
  <c r="S1004" i="2"/>
  <c r="T1004" i="2"/>
  <c r="T791" i="2"/>
  <c r="S791" i="2"/>
  <c r="T1051" i="2"/>
  <c r="S1051" i="2"/>
  <c r="T1500" i="2"/>
  <c r="S1500" i="2"/>
  <c r="S265" i="2"/>
  <c r="T265" i="2"/>
  <c r="T35" i="2"/>
  <c r="S35" i="2"/>
  <c r="S32" i="2"/>
  <c r="T32" i="2"/>
  <c r="T51" i="2"/>
  <c r="S51" i="2"/>
  <c r="T1074" i="2"/>
  <c r="S1074" i="2"/>
  <c r="S920" i="2"/>
  <c r="T920" i="2"/>
  <c r="T924" i="2"/>
  <c r="S924" i="2"/>
  <c r="S462" i="2"/>
  <c r="T462" i="2"/>
  <c r="T58" i="2"/>
  <c r="S58" i="2"/>
  <c r="T809" i="2"/>
  <c r="S809" i="2"/>
  <c r="T665" i="2"/>
  <c r="S665" i="2"/>
  <c r="T1274" i="2"/>
  <c r="S1274" i="2"/>
  <c r="T1184" i="2"/>
  <c r="S1184" i="2"/>
  <c r="AK1086" i="2"/>
  <c r="T995" i="2"/>
  <c r="S995" i="2"/>
  <c r="T1068" i="2"/>
  <c r="S1068" i="2"/>
  <c r="S716" i="2"/>
  <c r="T716" i="2"/>
  <c r="T112" i="2"/>
  <c r="S112" i="2"/>
  <c r="T237" i="2"/>
  <c r="S237" i="2"/>
  <c r="T1529" i="2"/>
  <c r="S1529" i="2"/>
  <c r="T1436" i="2"/>
  <c r="S1436" i="2"/>
  <c r="T1326" i="2"/>
  <c r="S1326" i="2"/>
  <c r="T1172" i="2"/>
  <c r="S1172" i="2"/>
  <c r="T1049" i="2"/>
  <c r="S1049" i="2"/>
  <c r="S752" i="2"/>
  <c r="T752" i="2"/>
  <c r="S584" i="2"/>
  <c r="T584" i="2"/>
  <c r="T406" i="2"/>
  <c r="S406" i="2"/>
  <c r="T264" i="2"/>
  <c r="S264" i="2"/>
  <c r="T389" i="2"/>
  <c r="S389" i="2"/>
  <c r="S391" i="2"/>
  <c r="T391" i="2"/>
  <c r="T364" i="2"/>
  <c r="S364" i="2"/>
  <c r="S315" i="2"/>
  <c r="T315" i="2"/>
  <c r="AK652" i="2"/>
  <c r="T132" i="2"/>
  <c r="S132" i="2"/>
  <c r="T65" i="2"/>
  <c r="S65" i="2"/>
  <c r="T5" i="2"/>
  <c r="S5" i="2"/>
  <c r="T94" i="2"/>
  <c r="S94" i="2"/>
  <c r="S1459" i="2"/>
  <c r="T1459" i="2"/>
  <c r="T1480" i="2"/>
  <c r="S1480" i="2"/>
  <c r="S1403" i="2"/>
  <c r="T1403" i="2"/>
  <c r="S1342" i="2"/>
  <c r="T1342" i="2"/>
  <c r="T1235" i="2"/>
  <c r="S1235" i="2"/>
  <c r="T1119" i="2"/>
  <c r="S1119" i="2"/>
  <c r="T1052" i="2"/>
  <c r="S1052" i="2"/>
  <c r="T1280" i="2"/>
  <c r="S1280" i="2"/>
  <c r="T1334" i="2"/>
  <c r="S1334" i="2"/>
  <c r="T1229" i="2"/>
  <c r="S1229" i="2"/>
  <c r="S1237" i="2"/>
  <c r="T1237" i="2"/>
  <c r="S1339" i="2"/>
  <c r="T1339" i="2"/>
  <c r="T1384" i="2"/>
  <c r="S1384" i="2"/>
  <c r="T1145" i="2"/>
  <c r="S1145" i="2"/>
  <c r="T868" i="2"/>
  <c r="S868" i="2"/>
  <c r="T975" i="2"/>
  <c r="S975" i="2"/>
  <c r="T949" i="2"/>
  <c r="S949" i="2"/>
  <c r="T899" i="2"/>
  <c r="S899" i="2"/>
  <c r="T940" i="2"/>
  <c r="S940" i="2"/>
  <c r="T919" i="2"/>
  <c r="S919" i="2"/>
  <c r="S812" i="2"/>
  <c r="T812" i="2"/>
  <c r="T1005" i="2"/>
  <c r="S1005" i="2"/>
  <c r="T822" i="2"/>
  <c r="S822" i="2"/>
  <c r="T999" i="2"/>
  <c r="S999" i="2"/>
  <c r="T803" i="2"/>
  <c r="S803" i="2"/>
  <c r="S722" i="2"/>
  <c r="T722" i="2"/>
  <c r="T767" i="2"/>
  <c r="S767" i="2"/>
  <c r="T1536" i="2"/>
  <c r="S1536" i="2"/>
  <c r="T969" i="2"/>
  <c r="S969" i="2"/>
  <c r="T738" i="2"/>
  <c r="S738" i="2"/>
  <c r="S938" i="2"/>
  <c r="T938" i="2"/>
  <c r="T436" i="2"/>
  <c r="S436" i="2"/>
  <c r="T228" i="2"/>
  <c r="S228" i="2"/>
  <c r="S498" i="2"/>
  <c r="T498" i="2"/>
  <c r="T543" i="2"/>
  <c r="S543" i="2"/>
  <c r="T351" i="2"/>
  <c r="S351" i="2"/>
  <c r="S536" i="2"/>
  <c r="T536" i="2"/>
  <c r="T197" i="2"/>
  <c r="S197" i="2"/>
  <c r="T325" i="2"/>
  <c r="S325" i="2"/>
  <c r="T423" i="2"/>
  <c r="S423" i="2"/>
  <c r="S675" i="2"/>
  <c r="T675" i="2"/>
  <c r="S245" i="2"/>
  <c r="T245" i="2"/>
  <c r="T168" i="2"/>
  <c r="S168" i="2"/>
  <c r="T298" i="2"/>
  <c r="S298" i="2"/>
  <c r="T522" i="2"/>
  <c r="S522" i="2"/>
  <c r="T174" i="2"/>
  <c r="S174" i="2"/>
  <c r="T70" i="2"/>
  <c r="S70" i="2"/>
  <c r="T29" i="2"/>
  <c r="S29" i="2"/>
  <c r="S115" i="2"/>
  <c r="T115" i="2"/>
  <c r="T113" i="2"/>
  <c r="S113" i="2"/>
  <c r="S147" i="2"/>
  <c r="T147" i="2"/>
  <c r="T66" i="2"/>
  <c r="S66" i="2"/>
  <c r="S380" i="2"/>
  <c r="T380" i="2"/>
  <c r="T472" i="2"/>
  <c r="S472" i="2"/>
  <c r="T701" i="2"/>
  <c r="S701" i="2"/>
  <c r="T730" i="2"/>
  <c r="S730" i="2"/>
  <c r="T827" i="2"/>
  <c r="S827" i="2"/>
  <c r="T1107" i="2"/>
  <c r="S1107" i="2"/>
  <c r="T1265" i="2"/>
  <c r="S1265" i="2"/>
  <c r="S30" i="2"/>
  <c r="T30" i="2"/>
  <c r="T180" i="2"/>
  <c r="S180" i="2"/>
  <c r="S103" i="2"/>
  <c r="T103" i="2"/>
  <c r="T1506" i="2"/>
  <c r="S1506" i="2"/>
  <c r="S1453" i="2"/>
  <c r="T1453" i="2"/>
  <c r="S700" i="2"/>
  <c r="T700" i="2"/>
  <c r="S686" i="2"/>
  <c r="T686" i="2"/>
  <c r="T1195" i="2"/>
  <c r="S1195" i="2"/>
  <c r="T973" i="2"/>
  <c r="S973" i="2"/>
  <c r="T593" i="2"/>
  <c r="S593" i="2"/>
  <c r="T1091" i="2"/>
  <c r="S1091" i="2"/>
  <c r="S1010" i="2"/>
  <c r="T1010" i="2"/>
  <c r="T894" i="2"/>
  <c r="S894" i="2"/>
  <c r="T804" i="2"/>
  <c r="S804" i="2"/>
  <c r="T669" i="2"/>
  <c r="S669" i="2"/>
  <c r="T337" i="2"/>
  <c r="S337" i="2"/>
  <c r="T1497" i="2"/>
  <c r="S1497" i="2"/>
  <c r="T1236" i="2"/>
  <c r="S1236" i="2"/>
  <c r="T1056" i="2"/>
  <c r="S1056" i="2"/>
  <c r="T1502" i="2"/>
  <c r="S1502" i="2"/>
  <c r="S1321" i="2"/>
  <c r="T1321" i="2"/>
  <c r="T1252" i="2"/>
  <c r="S1252" i="2"/>
  <c r="T1062" i="2"/>
  <c r="S1062" i="2"/>
  <c r="T955" i="2"/>
  <c r="S955" i="2"/>
  <c r="S710" i="2"/>
  <c r="T710" i="2"/>
  <c r="AK537" i="2"/>
  <c r="T829" i="2"/>
  <c r="S829" i="2"/>
  <c r="T64" i="2"/>
  <c r="S64" i="2"/>
  <c r="T622" i="2"/>
  <c r="S622" i="2"/>
  <c r="S277" i="2"/>
  <c r="T277" i="2"/>
  <c r="T106" i="2"/>
  <c r="S106" i="2"/>
  <c r="T34" i="2"/>
  <c r="S34" i="2"/>
  <c r="S241" i="2"/>
  <c r="T241" i="2"/>
  <c r="T431" i="2"/>
  <c r="S431" i="2"/>
  <c r="T230" i="2"/>
  <c r="S230" i="2"/>
  <c r="T1534" i="2"/>
  <c r="S1534" i="2"/>
  <c r="T1425" i="2"/>
  <c r="S1425" i="2"/>
  <c r="T1486" i="2"/>
  <c r="S1486" i="2"/>
  <c r="T1431" i="2"/>
  <c r="S1431" i="2"/>
  <c r="T1356" i="2"/>
  <c r="S1356" i="2"/>
  <c r="T1415" i="2"/>
  <c r="S1415" i="2"/>
  <c r="S1363" i="2"/>
  <c r="T1363" i="2"/>
  <c r="T1170" i="2"/>
  <c r="S1170" i="2"/>
  <c r="T1130" i="2"/>
  <c r="S1130" i="2"/>
  <c r="T1045" i="2"/>
  <c r="S1045" i="2"/>
  <c r="T821" i="2"/>
  <c r="S821" i="2"/>
  <c r="T1125" i="2"/>
  <c r="S1125" i="2"/>
  <c r="T893" i="2"/>
  <c r="S893" i="2"/>
  <c r="AK581" i="2"/>
  <c r="T786" i="2"/>
  <c r="S786" i="2"/>
  <c r="T735" i="2"/>
  <c r="S735" i="2"/>
  <c r="S682" i="2"/>
  <c r="T682" i="2"/>
  <c r="T748" i="2"/>
  <c r="S748" i="2"/>
  <c r="T239" i="2"/>
  <c r="S239" i="2"/>
  <c r="T376" i="2"/>
  <c r="S376" i="2"/>
  <c r="T274" i="2"/>
  <c r="S274" i="2"/>
  <c r="T457" i="2"/>
  <c r="S457" i="2"/>
  <c r="T167" i="2"/>
  <c r="S167" i="2"/>
  <c r="S102" i="2"/>
  <c r="T102" i="2"/>
  <c r="S181" i="2"/>
  <c r="T181" i="2"/>
  <c r="S139" i="2"/>
  <c r="T139" i="2"/>
  <c r="T25" i="2"/>
  <c r="S25" i="2"/>
  <c r="T52" i="2"/>
  <c r="S52" i="2"/>
  <c r="T172" i="2"/>
  <c r="S172" i="2"/>
  <c r="S258" i="2"/>
  <c r="T258" i="2"/>
  <c r="T1539" i="2"/>
  <c r="S1539" i="2"/>
  <c r="S1438" i="2"/>
  <c r="T1438" i="2"/>
  <c r="S1495" i="2"/>
  <c r="T1495" i="2"/>
  <c r="S1375" i="2"/>
  <c r="T1375" i="2"/>
  <c r="S1429" i="2"/>
  <c r="T1429" i="2"/>
  <c r="T1372" i="2"/>
  <c r="S1372" i="2"/>
  <c r="T1352" i="2"/>
  <c r="S1352" i="2"/>
  <c r="T1437" i="2"/>
  <c r="S1437" i="2"/>
  <c r="T1409" i="2"/>
  <c r="S1409" i="2"/>
  <c r="T1115" i="2"/>
  <c r="S1115" i="2"/>
  <c r="T1076" i="2"/>
  <c r="S1076" i="2"/>
  <c r="T1086" i="2"/>
  <c r="S1086" i="2"/>
  <c r="S1357" i="2"/>
  <c r="T1357" i="2"/>
  <c r="T1232" i="2"/>
  <c r="S1232" i="2"/>
  <c r="T1512" i="2"/>
  <c r="S1512" i="2"/>
  <c r="T1121" i="2"/>
  <c r="S1121" i="2"/>
  <c r="T1111" i="2"/>
  <c r="S1111" i="2"/>
  <c r="T1187" i="2"/>
  <c r="S1187" i="2"/>
  <c r="T1143" i="2"/>
  <c r="S1143" i="2"/>
  <c r="S1120" i="2"/>
  <c r="T1120" i="2"/>
  <c r="T1105" i="2"/>
  <c r="S1105" i="2"/>
  <c r="T1009" i="2"/>
  <c r="S1009" i="2"/>
  <c r="S1066" i="2"/>
  <c r="T1066" i="2"/>
  <c r="T917" i="2"/>
  <c r="S917" i="2"/>
  <c r="AK824" i="2"/>
  <c r="S918" i="2"/>
  <c r="T918" i="2"/>
  <c r="T747" i="2"/>
  <c r="S747" i="2"/>
  <c r="T888" i="2"/>
  <c r="S888" i="2"/>
  <c r="T755" i="2"/>
  <c r="S755" i="2"/>
  <c r="T741" i="2"/>
  <c r="S741" i="2"/>
  <c r="T659" i="2"/>
  <c r="S659" i="2"/>
  <c r="S948" i="2"/>
  <c r="T948" i="2"/>
  <c r="T641" i="2"/>
  <c r="S641" i="2"/>
  <c r="S603" i="2"/>
  <c r="T603" i="2"/>
  <c r="T544" i="2"/>
  <c r="S544" i="2"/>
  <c r="S608" i="2"/>
  <c r="T608" i="2"/>
  <c r="T515" i="2"/>
  <c r="S515" i="2"/>
  <c r="T463" i="2"/>
  <c r="S463" i="2"/>
  <c r="S626" i="2"/>
  <c r="T626" i="2"/>
  <c r="T784" i="2"/>
  <c r="S784" i="2"/>
  <c r="S412" i="2"/>
  <c r="T412" i="2"/>
  <c r="T388" i="2"/>
  <c r="S388" i="2"/>
  <c r="S986" i="2"/>
  <c r="T986" i="2"/>
  <c r="AK562" i="2"/>
  <c r="T507" i="2"/>
  <c r="S507" i="2"/>
  <c r="T396" i="2"/>
  <c r="S396" i="2"/>
  <c r="T357" i="2"/>
  <c r="S357" i="2"/>
  <c r="T385" i="2"/>
  <c r="S385" i="2"/>
  <c r="T390" i="2"/>
  <c r="S390" i="2"/>
  <c r="T1163" i="2"/>
  <c r="S1163" i="2"/>
  <c r="S335" i="2"/>
  <c r="T335" i="2"/>
  <c r="T141" i="2"/>
  <c r="S141" i="2"/>
  <c r="AK85" i="2"/>
  <c r="T222" i="2"/>
  <c r="S222" i="2"/>
  <c r="T280" i="2"/>
  <c r="S280" i="2"/>
  <c r="S67" i="2"/>
  <c r="T67" i="2"/>
  <c r="S108" i="2"/>
  <c r="T108" i="2"/>
  <c r="S42" i="2"/>
  <c r="T42" i="2"/>
  <c r="T44" i="2"/>
  <c r="S44" i="2"/>
  <c r="T20" i="2"/>
  <c r="S20" i="2"/>
  <c r="S338" i="2"/>
  <c r="T338" i="2"/>
  <c r="S491" i="2"/>
  <c r="T491" i="2"/>
  <c r="S772" i="2"/>
  <c r="T772" i="2"/>
  <c r="T858" i="2"/>
  <c r="S858" i="2"/>
  <c r="T977" i="2"/>
  <c r="S977" i="2"/>
  <c r="T1160" i="2"/>
  <c r="S1160" i="2"/>
  <c r="T1281" i="2"/>
  <c r="S1281" i="2"/>
  <c r="T68" i="2"/>
  <c r="S68" i="2"/>
  <c r="T98" i="2"/>
  <c r="S98" i="2"/>
  <c r="T177" i="2"/>
  <c r="S177" i="2"/>
  <c r="T153" i="2"/>
  <c r="S153" i="2"/>
  <c r="T100" i="2"/>
  <c r="S100" i="2"/>
  <c r="T960" i="2"/>
  <c r="S960" i="2"/>
  <c r="S818" i="2"/>
  <c r="T818" i="2"/>
  <c r="T1311" i="2"/>
  <c r="S1311" i="2"/>
  <c r="T882" i="2"/>
  <c r="S882" i="2"/>
  <c r="T863" i="2"/>
  <c r="S863" i="2"/>
  <c r="T633" i="2"/>
  <c r="S633" i="2"/>
  <c r="T104" i="2"/>
  <c r="S104" i="2"/>
  <c r="T1418" i="2"/>
  <c r="S1418" i="2"/>
  <c r="S1309" i="2"/>
  <c r="T1309" i="2"/>
  <c r="T1113" i="2"/>
  <c r="S1113" i="2"/>
  <c r="T1174" i="2"/>
  <c r="S1174" i="2"/>
  <c r="T1126" i="2"/>
  <c r="S1126" i="2"/>
  <c r="T1025" i="2"/>
  <c r="S1025" i="2"/>
  <c r="T1530" i="2"/>
  <c r="S1530" i="2"/>
  <c r="T1419" i="2"/>
  <c r="S1419" i="2"/>
  <c r="S1289" i="2"/>
  <c r="T1289" i="2"/>
  <c r="T1129" i="2"/>
  <c r="S1129" i="2"/>
  <c r="T857" i="2"/>
  <c r="S857" i="2"/>
  <c r="T834" i="2"/>
  <c r="S834" i="2"/>
  <c r="T397" i="2"/>
  <c r="S397" i="2"/>
  <c r="S552" i="2"/>
  <c r="T552" i="2"/>
  <c r="S352" i="2"/>
  <c r="T352" i="2"/>
  <c r="S129" i="2"/>
  <c r="T129" i="2"/>
  <c r="T1402" i="2"/>
  <c r="S1402" i="2"/>
  <c r="AK1338" i="2"/>
  <c r="T1283" i="2"/>
  <c r="S1283" i="2"/>
  <c r="T1135" i="2"/>
  <c r="S1135" i="2"/>
  <c r="T1196" i="2"/>
  <c r="S1196" i="2"/>
  <c r="S656" i="2"/>
  <c r="T656" i="2"/>
  <c r="T1223" i="2"/>
  <c r="S1223" i="2"/>
  <c r="AK1084" i="2"/>
  <c r="AK1031" i="2"/>
  <c r="S1501" i="2"/>
  <c r="T1501" i="2"/>
  <c r="T1344" i="2"/>
  <c r="S1344" i="2"/>
  <c r="T1472" i="2"/>
  <c r="S1472" i="2"/>
  <c r="T1491" i="2"/>
  <c r="S1491" i="2"/>
  <c r="T1416" i="2"/>
  <c r="S1416" i="2"/>
  <c r="T1355" i="2"/>
  <c r="S1355" i="2"/>
  <c r="T1448" i="2"/>
  <c r="S1448" i="2"/>
  <c r="T1190" i="2"/>
  <c r="S1190" i="2"/>
  <c r="T1268" i="2"/>
  <c r="S1268" i="2"/>
  <c r="S1315" i="2"/>
  <c r="T1315" i="2"/>
  <c r="AK1082" i="2"/>
  <c r="T1156" i="2"/>
  <c r="S1156" i="2"/>
  <c r="T1012" i="2"/>
  <c r="S1012" i="2"/>
  <c r="AK843" i="2"/>
  <c r="S944" i="2"/>
  <c r="T944" i="2"/>
  <c r="AK714" i="2"/>
  <c r="T885" i="2"/>
  <c r="S885" i="2"/>
  <c r="AK1159" i="2"/>
  <c r="AK845" i="2"/>
  <c r="T923" i="2"/>
  <c r="S923" i="2"/>
  <c r="T708" i="2"/>
  <c r="S708" i="2"/>
  <c r="AK682" i="2"/>
  <c r="T508" i="2"/>
  <c r="S508" i="2"/>
  <c r="S646" i="2"/>
  <c r="T646" i="2"/>
  <c r="T523" i="2"/>
  <c r="S523" i="2"/>
  <c r="T387" i="2"/>
  <c r="S387" i="2"/>
  <c r="S382" i="2"/>
  <c r="T382" i="2"/>
  <c r="AK241" i="2"/>
  <c r="T661" i="2"/>
  <c r="S661" i="2"/>
  <c r="T393" i="2"/>
  <c r="S393" i="2"/>
  <c r="S410" i="2"/>
  <c r="T410" i="2"/>
  <c r="T267" i="2"/>
  <c r="S267" i="2"/>
  <c r="T105" i="2"/>
  <c r="S105" i="2"/>
  <c r="S72" i="2"/>
  <c r="T72" i="2"/>
  <c r="AK321" i="2"/>
  <c r="T421" i="2"/>
  <c r="S421" i="2"/>
  <c r="T284" i="2"/>
  <c r="S284" i="2"/>
  <c r="T171" i="2"/>
  <c r="S171" i="2"/>
  <c r="T1439" i="2"/>
  <c r="S1439" i="2"/>
  <c r="T1116" i="2"/>
  <c r="S1116" i="2"/>
  <c r="T1112" i="2"/>
  <c r="S1112" i="2"/>
  <c r="T1193" i="2"/>
  <c r="S1193" i="2"/>
  <c r="T1194" i="2"/>
  <c r="S1194" i="2"/>
  <c r="T1048" i="2"/>
  <c r="S1048" i="2"/>
  <c r="T1031" i="2"/>
  <c r="S1031" i="2"/>
  <c r="T1173" i="2"/>
  <c r="S1173" i="2"/>
  <c r="T1061" i="2"/>
  <c r="S1061" i="2"/>
  <c r="T1050" i="2"/>
  <c r="S1050" i="2"/>
  <c r="S840" i="2"/>
  <c r="T840" i="2"/>
  <c r="T904" i="2"/>
  <c r="S904" i="2"/>
  <c r="S968" i="2"/>
  <c r="T968" i="2"/>
  <c r="S932" i="2"/>
  <c r="T932" i="2"/>
  <c r="T717" i="2"/>
  <c r="S717" i="2"/>
  <c r="T604" i="2"/>
  <c r="S604" i="2"/>
  <c r="T609" i="2"/>
  <c r="S609" i="2"/>
  <c r="T322" i="2"/>
  <c r="S322" i="2"/>
  <c r="S211" i="2"/>
  <c r="T211" i="2"/>
  <c r="S160" i="2"/>
  <c r="T160" i="2"/>
  <c r="T218" i="2"/>
  <c r="S218" i="2"/>
  <c r="T166" i="2"/>
  <c r="S166" i="2"/>
  <c r="T424" i="2"/>
  <c r="S424" i="2"/>
  <c r="T1442" i="2"/>
  <c r="S1442" i="2"/>
  <c r="AK1428" i="2"/>
  <c r="T1335" i="2"/>
  <c r="S1335" i="2"/>
  <c r="T1084" i="2"/>
  <c r="S1084" i="2"/>
  <c r="T1036" i="2"/>
  <c r="S1036" i="2"/>
  <c r="T1275" i="2"/>
  <c r="S1275" i="2"/>
  <c r="AK1250" i="2"/>
  <c r="T1328" i="2"/>
  <c r="S1328" i="2"/>
  <c r="T1379" i="2"/>
  <c r="S1379" i="2"/>
  <c r="T1157" i="2"/>
  <c r="S1157" i="2"/>
  <c r="T1168" i="2"/>
  <c r="S1168" i="2"/>
  <c r="S1222" i="2"/>
  <c r="T1222" i="2"/>
  <c r="S1303" i="2"/>
  <c r="T1303" i="2"/>
  <c r="T1323" i="2"/>
  <c r="S1323" i="2"/>
  <c r="T1033" i="2"/>
  <c r="S1033" i="2"/>
  <c r="T1027" i="2"/>
  <c r="S1027" i="2"/>
  <c r="T939" i="2"/>
  <c r="S939" i="2"/>
  <c r="S842" i="2"/>
  <c r="T842" i="2"/>
  <c r="T1064" i="2"/>
  <c r="S1064" i="2"/>
  <c r="T913" i="2"/>
  <c r="S913" i="2"/>
  <c r="T779" i="2"/>
  <c r="S779" i="2"/>
  <c r="T861" i="2"/>
  <c r="S861" i="2"/>
  <c r="T997" i="2"/>
  <c r="S997" i="2"/>
  <c r="T853" i="2"/>
  <c r="S853" i="2"/>
  <c r="T1021" i="2"/>
  <c r="S1021" i="2"/>
  <c r="T826" i="2"/>
  <c r="S826" i="2"/>
  <c r="S494" i="2"/>
  <c r="T494" i="2"/>
  <c r="T795" i="2"/>
  <c r="S795" i="2"/>
  <c r="AK547" i="2"/>
  <c r="T343" i="2"/>
  <c r="S343" i="2"/>
  <c r="T591" i="2"/>
  <c r="S591" i="2"/>
  <c r="S446" i="2"/>
  <c r="T446" i="2"/>
  <c r="AK699" i="2"/>
  <c r="T537" i="2"/>
  <c r="S537" i="2"/>
  <c r="S319" i="2"/>
  <c r="T319" i="2"/>
  <c r="T282" i="2"/>
  <c r="S282" i="2"/>
  <c r="T478" i="2"/>
  <c r="S478" i="2"/>
  <c r="S635" i="2"/>
  <c r="T635" i="2"/>
  <c r="S386" i="2"/>
  <c r="T386" i="2"/>
  <c r="T367" i="2"/>
  <c r="S367" i="2"/>
  <c r="S308" i="2"/>
  <c r="T308" i="2"/>
  <c r="AK280" i="2"/>
  <c r="S124" i="2"/>
  <c r="T124" i="2"/>
  <c r="T281" i="2"/>
  <c r="S281" i="2"/>
  <c r="AK497" i="2"/>
  <c r="S271" i="2"/>
  <c r="T271" i="2"/>
  <c r="T304" i="2"/>
  <c r="S304" i="2"/>
  <c r="T118" i="2"/>
  <c r="S118" i="2"/>
  <c r="S28" i="2"/>
  <c r="T28" i="2"/>
  <c r="AK857" i="2"/>
  <c r="T43" i="2"/>
  <c r="S43" i="2"/>
  <c r="AK19" i="2"/>
  <c r="S184" i="2"/>
  <c r="T184" i="2"/>
  <c r="AK134" i="2"/>
  <c r="AK151" i="2"/>
  <c r="AK124" i="2"/>
  <c r="T215" i="2"/>
  <c r="S215" i="2"/>
  <c r="T439" i="2"/>
  <c r="S439" i="2"/>
  <c r="S473" i="2"/>
  <c r="T473" i="2"/>
  <c r="T349" i="2"/>
  <c r="S349" i="2"/>
  <c r="T808" i="2"/>
  <c r="S808" i="2"/>
  <c r="S984" i="2"/>
  <c r="T984" i="2"/>
  <c r="T1140" i="2"/>
  <c r="S1140" i="2"/>
  <c r="T1368" i="2"/>
  <c r="S1368" i="2"/>
  <c r="S95" i="2"/>
  <c r="T95" i="2"/>
  <c r="T1474" i="2"/>
  <c r="S1474" i="2"/>
  <c r="T1201" i="2"/>
  <c r="S1201" i="2"/>
  <c r="T577" i="2"/>
  <c r="S577" i="2"/>
  <c r="T122" i="2"/>
  <c r="S122" i="2"/>
  <c r="T1505" i="2"/>
  <c r="S1505" i="2"/>
  <c r="T1391" i="2"/>
  <c r="S1391" i="2"/>
  <c r="T1054" i="2"/>
  <c r="S1054" i="2"/>
  <c r="T1349" i="2"/>
  <c r="S1349" i="2"/>
  <c r="S896" i="2"/>
  <c r="T896" i="2"/>
  <c r="T880" i="2"/>
  <c r="S880" i="2"/>
  <c r="S632" i="2"/>
  <c r="T632" i="2"/>
  <c r="S556" i="2"/>
  <c r="T556" i="2"/>
  <c r="AK95" i="2"/>
  <c r="AK994" i="2"/>
  <c r="S1345" i="2"/>
  <c r="T1345" i="2"/>
  <c r="AK1074" i="2"/>
  <c r="T1008" i="2"/>
  <c r="S1008" i="2"/>
  <c r="AK876" i="2"/>
  <c r="T598" i="2"/>
  <c r="S598" i="2"/>
  <c r="S1525" i="2"/>
  <c r="T1525" i="2"/>
  <c r="T1332" i="2"/>
  <c r="S1332" i="2"/>
  <c r="T1266" i="2"/>
  <c r="S1266" i="2"/>
  <c r="T1481" i="2"/>
  <c r="S1481" i="2"/>
  <c r="T1212" i="2"/>
  <c r="S1212" i="2"/>
  <c r="T1226" i="2"/>
  <c r="S1226" i="2"/>
  <c r="T952" i="2"/>
  <c r="S952" i="2"/>
  <c r="T1206" i="2"/>
  <c r="S1206" i="2"/>
  <c r="T983" i="2"/>
  <c r="S983" i="2"/>
  <c r="T1096" i="2"/>
  <c r="S1096" i="2"/>
  <c r="S746" i="2"/>
  <c r="T746" i="2"/>
  <c r="T666" i="2"/>
  <c r="S666" i="2"/>
  <c r="T594" i="2"/>
  <c r="S594" i="2"/>
  <c r="S764" i="2"/>
  <c r="T764" i="2"/>
  <c r="S718" i="2"/>
  <c r="T718" i="2"/>
  <c r="T798" i="2"/>
  <c r="S798" i="2"/>
  <c r="T573" i="2"/>
  <c r="S573" i="2"/>
  <c r="T636" i="2"/>
  <c r="S636" i="2"/>
  <c r="T347" i="2"/>
  <c r="S347" i="2"/>
  <c r="T327" i="2"/>
  <c r="S327" i="2"/>
  <c r="AK81" i="2"/>
  <c r="T720" i="2"/>
  <c r="S720" i="2"/>
  <c r="T1527" i="2"/>
  <c r="S1527" i="2"/>
  <c r="S1447" i="2"/>
  <c r="T1447" i="2"/>
  <c r="T1450" i="2"/>
  <c r="S1450" i="2"/>
  <c r="S1414" i="2"/>
  <c r="T1414" i="2"/>
  <c r="T1286" i="2"/>
  <c r="S1286" i="2"/>
  <c r="T1215" i="2"/>
  <c r="S1215" i="2"/>
  <c r="T1319" i="2"/>
  <c r="S1319" i="2"/>
  <c r="T1167" i="2"/>
  <c r="S1167" i="2"/>
  <c r="T1013" i="2"/>
  <c r="S1013" i="2"/>
  <c r="AK1170" i="2"/>
  <c r="T915" i="2"/>
  <c r="S915" i="2"/>
  <c r="T898" i="2"/>
  <c r="S898" i="2"/>
  <c r="T835" i="2"/>
  <c r="S835" i="2"/>
  <c r="T731" i="2"/>
  <c r="S731" i="2"/>
  <c r="T922" i="2"/>
  <c r="S922" i="2"/>
  <c r="T744" i="2"/>
  <c r="S744" i="2"/>
  <c r="S729" i="2"/>
  <c r="T729" i="2"/>
  <c r="T579" i="2"/>
  <c r="S579" i="2"/>
  <c r="AK758" i="2"/>
  <c r="S728" i="2"/>
  <c r="T728" i="2"/>
  <c r="T652" i="2"/>
  <c r="S652" i="2"/>
  <c r="S596" i="2"/>
  <c r="T596" i="2"/>
  <c r="T807" i="2"/>
  <c r="S807" i="2"/>
  <c r="T651" i="2"/>
  <c r="S651" i="2"/>
  <c r="T683" i="2"/>
  <c r="S683" i="2"/>
  <c r="S370" i="2"/>
  <c r="T370" i="2"/>
  <c r="T375" i="2"/>
  <c r="S375" i="2"/>
  <c r="T329" i="2"/>
  <c r="S329" i="2"/>
  <c r="T310" i="2"/>
  <c r="S310" i="2"/>
  <c r="S374" i="2"/>
  <c r="T374" i="2"/>
  <c r="S356" i="2"/>
  <c r="T356" i="2"/>
  <c r="S175" i="2"/>
  <c r="T175" i="2"/>
  <c r="S148" i="2"/>
  <c r="T148" i="2"/>
  <c r="AK164" i="2"/>
  <c r="T137" i="2"/>
  <c r="S137" i="2"/>
  <c r="S19" i="2"/>
  <c r="T19" i="2"/>
  <c r="T78" i="2"/>
  <c r="S78" i="2"/>
  <c r="T40" i="2"/>
  <c r="S40" i="2"/>
  <c r="S12" i="2"/>
  <c r="T12" i="2"/>
  <c r="T1511" i="2"/>
  <c r="S1511" i="2"/>
  <c r="S1397" i="2"/>
  <c r="T1397" i="2"/>
  <c r="T1469" i="2"/>
  <c r="S1469" i="2"/>
  <c r="T1373" i="2"/>
  <c r="S1373" i="2"/>
  <c r="T1461" i="2"/>
  <c r="S1461" i="2"/>
  <c r="T1482" i="2"/>
  <c r="S1482" i="2"/>
  <c r="T1434" i="2"/>
  <c r="S1434" i="2"/>
  <c r="S1405" i="2"/>
  <c r="T1405" i="2"/>
  <c r="S1267" i="2"/>
  <c r="T1267" i="2"/>
  <c r="T1293" i="2"/>
  <c r="S1293" i="2"/>
  <c r="T1298" i="2"/>
  <c r="S1298" i="2"/>
  <c r="T1104" i="2"/>
  <c r="S1104" i="2"/>
  <c r="T1398" i="2"/>
  <c r="S1398" i="2"/>
  <c r="T1329" i="2"/>
  <c r="S1329" i="2"/>
  <c r="S1279" i="2"/>
  <c r="T1279" i="2"/>
  <c r="S1210" i="2"/>
  <c r="T1210" i="2"/>
  <c r="T1312" i="2"/>
  <c r="S1312" i="2"/>
  <c r="T1250" i="2"/>
  <c r="S1250" i="2"/>
  <c r="T1259" i="2"/>
  <c r="S1259" i="2"/>
  <c r="S1234" i="2"/>
  <c r="T1234" i="2"/>
  <c r="T1180" i="2"/>
  <c r="S1180" i="2"/>
  <c r="T1097" i="2"/>
  <c r="S1097" i="2"/>
  <c r="T1186" i="2"/>
  <c r="S1186" i="2"/>
  <c r="T1263" i="2"/>
  <c r="S1263" i="2"/>
  <c r="T1030" i="2"/>
  <c r="S1030" i="2"/>
  <c r="T823" i="2"/>
  <c r="S823" i="2"/>
  <c r="T982" i="2"/>
  <c r="S982" i="2"/>
  <c r="T910" i="2"/>
  <c r="S910" i="2"/>
  <c r="S836" i="2"/>
  <c r="T836" i="2"/>
  <c r="S1046" i="2"/>
  <c r="T1046" i="2"/>
  <c r="T781" i="2"/>
  <c r="S781" i="2"/>
  <c r="S914" i="2"/>
  <c r="T914" i="2"/>
  <c r="T883" i="2"/>
  <c r="S883" i="2"/>
  <c r="T751" i="2"/>
  <c r="S751" i="2"/>
  <c r="T1463" i="2"/>
  <c r="S1463" i="2"/>
  <c r="T797" i="2"/>
  <c r="S797" i="2"/>
  <c r="T951" i="2"/>
  <c r="S951" i="2"/>
  <c r="S711" i="2"/>
  <c r="T711" i="2"/>
  <c r="T688" i="2"/>
  <c r="S688" i="2"/>
  <c r="S653" i="2"/>
  <c r="T653" i="2"/>
  <c r="T627" i="2"/>
  <c r="S627" i="2"/>
  <c r="T756" i="2"/>
  <c r="S756" i="2"/>
  <c r="T892" i="2"/>
  <c r="S892" i="2"/>
  <c r="T705" i="2"/>
  <c r="S705" i="2"/>
  <c r="T555" i="2"/>
  <c r="S555" i="2"/>
  <c r="S513" i="2"/>
  <c r="T513" i="2"/>
  <c r="S624" i="2"/>
  <c r="T624" i="2"/>
  <c r="T471" i="2"/>
  <c r="S471" i="2"/>
  <c r="T571" i="2"/>
  <c r="S571" i="2"/>
  <c r="S223" i="2"/>
  <c r="T223" i="2"/>
  <c r="T128" i="2"/>
  <c r="S128" i="2"/>
  <c r="T469" i="2"/>
  <c r="S469" i="2"/>
  <c r="S216" i="2"/>
  <c r="T216" i="2"/>
  <c r="T514" i="2"/>
  <c r="S514" i="2"/>
  <c r="S332" i="2"/>
  <c r="T332" i="2"/>
  <c r="S990" i="2"/>
  <c r="T990" i="2"/>
  <c r="T449" i="2"/>
  <c r="S449" i="2"/>
  <c r="T429" i="2"/>
  <c r="S429" i="2"/>
  <c r="S295" i="2"/>
  <c r="T295" i="2"/>
  <c r="T63" i="2"/>
  <c r="S63" i="2"/>
  <c r="T182" i="2"/>
  <c r="S182" i="2"/>
  <c r="T89" i="2"/>
  <c r="S89" i="2"/>
  <c r="T80" i="2"/>
  <c r="S80" i="2"/>
  <c r="T26" i="2"/>
  <c r="S26" i="2"/>
  <c r="T39" i="2"/>
  <c r="S39" i="2"/>
  <c r="T162" i="2"/>
  <c r="S162" i="2"/>
  <c r="T135" i="2"/>
  <c r="S135" i="2"/>
  <c r="S610" i="2"/>
  <c r="T610" i="2"/>
  <c r="S566" i="2"/>
  <c r="T566" i="2"/>
  <c r="T402" i="2"/>
  <c r="S402" i="2"/>
  <c r="T801" i="2"/>
  <c r="S801" i="2"/>
  <c r="T887" i="2"/>
  <c r="S887" i="2"/>
  <c r="T1171" i="2"/>
  <c r="S1171" i="2"/>
  <c r="T1498" i="2"/>
  <c r="S1498" i="2"/>
  <c r="T49" i="2"/>
  <c r="S49" i="2"/>
  <c r="T192" i="2"/>
  <c r="S192" i="2"/>
  <c r="T227" i="2"/>
  <c r="S227" i="2"/>
  <c r="T21" i="2"/>
  <c r="S21" i="2"/>
  <c r="T712" i="2"/>
  <c r="S712" i="2"/>
  <c r="S477" i="2"/>
  <c r="T477" i="2"/>
  <c r="T1358" i="2"/>
  <c r="S1358" i="2"/>
  <c r="T1146" i="2"/>
  <c r="S1146" i="2"/>
  <c r="S617" i="2"/>
  <c r="T617" i="2"/>
  <c r="T71" i="2"/>
  <c r="S71" i="2"/>
  <c r="T1183" i="2"/>
  <c r="S1183" i="2"/>
  <c r="S890" i="2"/>
  <c r="T890" i="2"/>
  <c r="T773" i="2"/>
  <c r="S773" i="2"/>
  <c r="S441" i="2"/>
  <c r="T441" i="2"/>
  <c r="T417" i="2"/>
  <c r="S417" i="2"/>
  <c r="T333" i="2"/>
  <c r="S333" i="2"/>
  <c r="S293" i="2"/>
  <c r="T293" i="2"/>
  <c r="S1513" i="2"/>
  <c r="T1513" i="2"/>
  <c r="T1485" i="2"/>
  <c r="S1485" i="2"/>
  <c r="T1080" i="2"/>
  <c r="S1080" i="2"/>
  <c r="T1067" i="2"/>
  <c r="S1067" i="2"/>
  <c r="T930" i="2"/>
  <c r="S930" i="2"/>
  <c r="S758" i="2"/>
  <c r="T758" i="2"/>
  <c r="T1141" i="2"/>
  <c r="S1141" i="2"/>
  <c r="T1158" i="2"/>
  <c r="S1158" i="2"/>
  <c r="S1213" i="2"/>
  <c r="T1213" i="2"/>
  <c r="AK1100" i="2"/>
  <c r="AK861" i="2"/>
  <c r="T721" i="2"/>
  <c r="S721" i="2"/>
  <c r="S668" i="2"/>
  <c r="T668" i="2"/>
  <c r="S435" i="2"/>
  <c r="T435" i="2"/>
  <c r="S339" i="2"/>
  <c r="T339" i="2"/>
  <c r="T248" i="2"/>
  <c r="S248" i="2"/>
  <c r="T1518" i="2"/>
  <c r="S1518" i="2"/>
  <c r="T1516" i="2"/>
  <c r="S1516" i="2"/>
  <c r="AK1449" i="2"/>
  <c r="T1310" i="2"/>
  <c r="S1310" i="2"/>
  <c r="AK1247" i="2"/>
  <c r="T1106" i="2"/>
  <c r="S1106" i="2"/>
  <c r="T1110" i="2"/>
  <c r="S1110" i="2"/>
  <c r="T1325" i="2"/>
  <c r="S1325" i="2"/>
  <c r="T1035" i="2"/>
  <c r="S1035" i="2"/>
  <c r="T1101" i="2"/>
  <c r="S1101" i="2"/>
  <c r="T1015" i="2"/>
  <c r="S1015" i="2"/>
  <c r="T909" i="2"/>
  <c r="S909" i="2"/>
  <c r="T886" i="2"/>
  <c r="S886" i="2"/>
  <c r="S974" i="2"/>
  <c r="T974" i="2"/>
  <c r="AK1027" i="2"/>
  <c r="T654" i="2"/>
  <c r="S654" i="2"/>
  <c r="T706" i="2"/>
  <c r="S706" i="2"/>
  <c r="S531" i="2"/>
  <c r="T531" i="2"/>
  <c r="AK736" i="2"/>
  <c r="AK580" i="2"/>
  <c r="T275" i="2"/>
  <c r="S275" i="2"/>
  <c r="S696" i="2"/>
  <c r="T696" i="2"/>
  <c r="S279" i="2"/>
  <c r="T279" i="2"/>
  <c r="T154" i="2"/>
  <c r="S154" i="2"/>
  <c r="AK129" i="2"/>
  <c r="T81" i="2"/>
  <c r="S81" i="2"/>
  <c r="T340" i="2"/>
  <c r="S340" i="2"/>
  <c r="AK731" i="2"/>
  <c r="T1458" i="2"/>
  <c r="S1458" i="2"/>
  <c r="T1389" i="2"/>
  <c r="S1389" i="2"/>
  <c r="T1413" i="2"/>
  <c r="S1413" i="2"/>
  <c r="T1370" i="2"/>
  <c r="S1370" i="2"/>
  <c r="T1260" i="2"/>
  <c r="S1260" i="2"/>
  <c r="T1189" i="2"/>
  <c r="S1189" i="2"/>
  <c r="T1098" i="2"/>
  <c r="S1098" i="2"/>
  <c r="AK1188" i="2"/>
  <c r="T1100" i="2"/>
  <c r="S1100" i="2"/>
  <c r="AK995" i="2"/>
  <c r="T1109" i="2"/>
  <c r="S1109" i="2"/>
  <c r="T1078" i="2"/>
  <c r="S1078" i="2"/>
  <c r="T1149" i="2"/>
  <c r="S1149" i="2"/>
  <c r="S1016" i="2"/>
  <c r="T1016" i="2"/>
  <c r="S1022" i="2"/>
  <c r="T1022" i="2"/>
  <c r="T811" i="2"/>
  <c r="S811" i="2"/>
  <c r="T851" i="2"/>
  <c r="S851" i="2"/>
  <c r="T825" i="2"/>
  <c r="S825" i="2"/>
  <c r="T777" i="2"/>
  <c r="S777" i="2"/>
  <c r="S796" i="2"/>
  <c r="T796" i="2"/>
  <c r="T876" i="2"/>
  <c r="S876" i="2"/>
  <c r="T649" i="2"/>
  <c r="S649" i="2"/>
  <c r="AK662" i="2"/>
  <c r="T813" i="2"/>
  <c r="S813" i="2"/>
  <c r="T521" i="2"/>
  <c r="S521" i="2"/>
  <c r="S650" i="2"/>
  <c r="T650" i="2"/>
  <c r="S448" i="2"/>
  <c r="T448" i="2"/>
  <c r="S660" i="2"/>
  <c r="T660" i="2"/>
  <c r="T408" i="2"/>
  <c r="S408" i="2"/>
  <c r="T346" i="2"/>
  <c r="S346" i="2"/>
  <c r="T209" i="2"/>
  <c r="S209" i="2"/>
  <c r="T296" i="2"/>
  <c r="S296" i="2"/>
  <c r="T361" i="2"/>
  <c r="S361" i="2"/>
  <c r="S480" i="2"/>
  <c r="T480" i="2"/>
  <c r="T403" i="2"/>
  <c r="S403" i="2"/>
  <c r="S590" i="2"/>
  <c r="T590" i="2"/>
  <c r="T290" i="2"/>
  <c r="S290" i="2"/>
  <c r="T194" i="2"/>
  <c r="S194" i="2"/>
  <c r="S219" i="2"/>
  <c r="T219" i="2"/>
  <c r="S187" i="2"/>
  <c r="T187" i="2"/>
  <c r="T99" i="2"/>
  <c r="S99" i="2"/>
  <c r="T84" i="2"/>
  <c r="S84" i="2"/>
  <c r="S163" i="2"/>
  <c r="T163" i="2"/>
  <c r="T60" i="2"/>
  <c r="S60" i="2"/>
  <c r="T1535" i="2"/>
  <c r="S1535" i="2"/>
  <c r="T1533" i="2"/>
  <c r="S1533" i="2"/>
  <c r="T1421" i="2"/>
  <c r="S1421" i="2"/>
  <c r="T1383" i="2"/>
  <c r="S1383" i="2"/>
  <c r="T1346" i="2"/>
  <c r="S1346" i="2"/>
  <c r="T1359" i="2"/>
  <c r="S1359" i="2"/>
  <c r="T1528" i="2"/>
  <c r="S1528" i="2"/>
  <c r="T1473" i="2"/>
  <c r="S1473" i="2"/>
  <c r="T1343" i="2"/>
  <c r="S1343" i="2"/>
  <c r="S1294" i="2"/>
  <c r="T1294" i="2"/>
  <c r="S1351" i="2"/>
  <c r="T1351" i="2"/>
  <c r="S1423" i="2"/>
  <c r="T1423" i="2"/>
  <c r="T1139" i="2"/>
  <c r="S1139" i="2"/>
  <c r="T1072" i="2"/>
  <c r="S1072" i="2"/>
  <c r="T1313" i="2"/>
  <c r="S1313" i="2"/>
  <c r="T1014" i="2"/>
  <c r="S1014" i="2"/>
  <c r="T905" i="2"/>
  <c r="S905" i="2"/>
  <c r="T942" i="2"/>
  <c r="S942" i="2"/>
  <c r="T1019" i="2"/>
  <c r="S1019" i="2"/>
  <c r="T989" i="2"/>
  <c r="S989" i="2"/>
  <c r="T943" i="2"/>
  <c r="S943" i="2"/>
  <c r="S788" i="2"/>
  <c r="T788" i="2"/>
  <c r="S671" i="2"/>
  <c r="T671" i="2"/>
  <c r="T715" i="2"/>
  <c r="S715" i="2"/>
  <c r="T762" i="2"/>
  <c r="S762" i="2"/>
  <c r="T586" i="2"/>
  <c r="S586" i="2"/>
  <c r="T490" i="2"/>
  <c r="S490" i="2"/>
  <c r="T568" i="2"/>
  <c r="S568" i="2"/>
  <c r="S542" i="2"/>
  <c r="T542" i="2"/>
  <c r="T475" i="2"/>
  <c r="S475" i="2"/>
  <c r="T454" i="2"/>
  <c r="S454" i="2"/>
  <c r="T551" i="2"/>
  <c r="S551" i="2"/>
  <c r="T637" i="2"/>
  <c r="S637" i="2"/>
  <c r="S313" i="2"/>
  <c r="T313" i="2"/>
  <c r="S164" i="2"/>
  <c r="T164" i="2"/>
  <c r="S588" i="2"/>
  <c r="T588" i="2"/>
  <c r="T558" i="2"/>
  <c r="S558" i="2"/>
  <c r="S534" i="2"/>
  <c r="T534" i="2"/>
  <c r="S326" i="2"/>
  <c r="T326" i="2"/>
  <c r="S434" i="2"/>
  <c r="T434" i="2"/>
  <c r="T723" i="2"/>
  <c r="S723" i="2"/>
  <c r="T489" i="2"/>
  <c r="S489" i="2"/>
  <c r="T670" i="2"/>
  <c r="S670" i="2"/>
  <c r="T541" i="2"/>
  <c r="S541" i="2"/>
  <c r="T291" i="2"/>
  <c r="S291" i="2"/>
  <c r="T195" i="2"/>
  <c r="S195" i="2"/>
  <c r="T719" i="2"/>
  <c r="S719" i="2"/>
  <c r="T685" i="2"/>
  <c r="S685" i="2"/>
  <c r="S97" i="2"/>
  <c r="T97" i="2"/>
  <c r="S232" i="2"/>
  <c r="T232" i="2"/>
  <c r="S79" i="2"/>
  <c r="T79" i="2"/>
  <c r="T196" i="2"/>
  <c r="S196" i="2"/>
  <c r="T238" i="2"/>
  <c r="S238" i="2"/>
  <c r="T38" i="2"/>
  <c r="S38" i="2"/>
  <c r="T11" i="2"/>
  <c r="S11" i="2"/>
  <c r="T76" i="2"/>
  <c r="S76" i="2"/>
  <c r="T188" i="2"/>
  <c r="S188" i="2"/>
  <c r="T53" i="2"/>
  <c r="S53" i="2"/>
  <c r="AK22" i="2"/>
  <c r="AK38" i="2"/>
  <c r="S85" i="2"/>
  <c r="T85" i="2"/>
  <c r="T242" i="2"/>
  <c r="S242" i="2"/>
  <c r="S249" i="2"/>
  <c r="T249" i="2"/>
  <c r="T580" i="2"/>
  <c r="S580" i="2"/>
  <c r="S422" i="2"/>
  <c r="T422" i="2"/>
  <c r="T839" i="2"/>
  <c r="S839" i="2"/>
  <c r="S998" i="2"/>
  <c r="T998" i="2"/>
  <c r="T1251" i="2"/>
  <c r="S1251" i="2"/>
  <c r="T1395" i="2"/>
  <c r="S1395" i="2"/>
  <c r="AK1388" i="2"/>
  <c r="AK1221" i="2"/>
  <c r="AK730" i="2"/>
  <c r="AK6" i="2"/>
  <c r="AK202" i="2"/>
  <c r="AK1173" i="2"/>
  <c r="AK697" i="2"/>
  <c r="AK1228" i="2"/>
  <c r="AK86" i="2"/>
  <c r="AK608" i="2"/>
  <c r="AK568" i="2"/>
  <c r="AK221" i="2"/>
  <c r="AK109" i="2"/>
  <c r="AK139" i="2"/>
  <c r="AK325" i="2"/>
  <c r="AK98" i="2"/>
  <c r="AK1298" i="2"/>
  <c r="AK1212" i="2"/>
  <c r="AK1003" i="2"/>
  <c r="AK955" i="2"/>
  <c r="AK978" i="2"/>
  <c r="AK762" i="2"/>
  <c r="AK915" i="2"/>
  <c r="AK475" i="2"/>
  <c r="AK239" i="2"/>
  <c r="AK1333" i="2"/>
  <c r="AK763" i="2"/>
  <c r="AK807" i="2"/>
  <c r="AK141" i="2"/>
  <c r="AK1335" i="2"/>
  <c r="AK169" i="2"/>
  <c r="T55" i="2"/>
  <c r="S55" i="2"/>
  <c r="AK1336" i="2"/>
  <c r="AK1371" i="2"/>
  <c r="AK757" i="2"/>
  <c r="AK1538" i="2"/>
  <c r="AK320" i="2"/>
  <c r="AK735" i="2"/>
  <c r="AK1493" i="2"/>
  <c r="AK1215" i="2"/>
  <c r="AK983" i="2"/>
  <c r="AK218" i="2"/>
  <c r="AK1294" i="2"/>
  <c r="AK20" i="2"/>
  <c r="AK29" i="2"/>
  <c r="AK851" i="2"/>
  <c r="AK416" i="2"/>
  <c r="AK1008" i="2"/>
  <c r="AK502" i="2"/>
  <c r="AK263" i="2"/>
  <c r="AK1459" i="2"/>
  <c r="AK1340" i="2"/>
  <c r="AK1243" i="2"/>
  <c r="AK1217" i="2"/>
  <c r="AK1009" i="2"/>
  <c r="AK819" i="2"/>
  <c r="AK40" i="2"/>
  <c r="AK1450" i="2"/>
  <c r="AK1133" i="2"/>
  <c r="AK800" i="2"/>
  <c r="AK592" i="2"/>
  <c r="AK57" i="2"/>
  <c r="AK999" i="2"/>
  <c r="AK988" i="2"/>
  <c r="AK698" i="2"/>
  <c r="AK104" i="2"/>
  <c r="AK1463" i="2"/>
  <c r="AK1480" i="2"/>
  <c r="AK1313" i="2"/>
  <c r="AK1244" i="2"/>
  <c r="AK1120" i="2"/>
  <c r="AK774" i="2"/>
  <c r="AK1054" i="2"/>
  <c r="AK780" i="2"/>
  <c r="AK734" i="2"/>
  <c r="AK867" i="2"/>
  <c r="AK219" i="2"/>
  <c r="AK1466" i="2"/>
  <c r="AK1058" i="2"/>
  <c r="AK1227" i="2"/>
  <c r="AK1477" i="2"/>
  <c r="AK1284" i="2"/>
  <c r="AK1341" i="2"/>
  <c r="AK837" i="2"/>
  <c r="AK931" i="2"/>
  <c r="AK645" i="2"/>
  <c r="AK1016" i="2"/>
  <c r="AK510" i="2"/>
  <c r="AK338" i="2"/>
  <c r="AK179" i="2"/>
  <c r="AK1433" i="2"/>
  <c r="AK1402" i="2"/>
  <c r="AK1211" i="2"/>
  <c r="AK506" i="2"/>
  <c r="AK1251" i="2"/>
  <c r="AK1021" i="2"/>
  <c r="AK589" i="2"/>
  <c r="AK107" i="2"/>
  <c r="AK90" i="2"/>
  <c r="AK97" i="2"/>
  <c r="AK726" i="2"/>
  <c r="AK772" i="2"/>
  <c r="AK1455" i="2"/>
  <c r="AK1513" i="2"/>
  <c r="AK438" i="2"/>
  <c r="AK146" i="2"/>
  <c r="AK1456" i="2"/>
  <c r="AK1224" i="2"/>
  <c r="AK513" i="2"/>
  <c r="AK1050" i="2"/>
  <c r="AK127" i="2"/>
  <c r="AK1458" i="2"/>
  <c r="AK1409" i="2"/>
  <c r="AK1446" i="2"/>
  <c r="AK1347" i="2"/>
  <c r="AK969" i="2"/>
  <c r="AK838" i="2"/>
  <c r="AK674" i="2"/>
  <c r="AK419" i="2"/>
  <c r="AK24" i="2"/>
  <c r="AK79" i="2"/>
  <c r="AK60" i="2"/>
  <c r="AK476" i="2"/>
  <c r="AK43" i="2"/>
  <c r="AK934" i="2"/>
  <c r="AK408" i="2"/>
  <c r="AK1394" i="2"/>
  <c r="AK1305" i="2"/>
  <c r="AK1257" i="2"/>
  <c r="AK546" i="2"/>
  <c r="AK576" i="2"/>
  <c r="AK373" i="2"/>
  <c r="AK82" i="2"/>
  <c r="AK775" i="2"/>
  <c r="AK258" i="2"/>
  <c r="AK796" i="2"/>
  <c r="AK111" i="2"/>
  <c r="AK1429" i="2"/>
  <c r="AK1354" i="2"/>
  <c r="AK1360" i="2"/>
  <c r="AK968" i="2"/>
  <c r="AK788" i="2"/>
  <c r="AK430" i="2"/>
  <c r="AK623" i="2"/>
  <c r="AK636" i="2"/>
  <c r="AK494" i="2"/>
  <c r="AK597" i="2"/>
  <c r="AK59" i="2"/>
  <c r="AK463" i="2"/>
  <c r="AK649" i="2"/>
  <c r="AK1322" i="2"/>
  <c r="AK1174" i="2"/>
  <c r="AK949" i="2"/>
  <c r="AK753" i="2"/>
  <c r="AK909" i="2"/>
  <c r="AK610" i="2"/>
  <c r="AK492" i="2"/>
  <c r="AK727" i="2"/>
  <c r="AK77" i="2"/>
  <c r="AK920" i="2"/>
  <c r="AK1534" i="2"/>
  <c r="AK1265" i="2"/>
  <c r="AK1155" i="2"/>
  <c r="AK313" i="2"/>
  <c r="AK126" i="2"/>
  <c r="AK1527" i="2"/>
  <c r="AK1399" i="2"/>
  <c r="AK1181" i="2"/>
  <c r="AK1052" i="2"/>
  <c r="AK695" i="2"/>
  <c r="AK403" i="2"/>
  <c r="AK515" i="2"/>
  <c r="AK287" i="2"/>
  <c r="AK66" i="2"/>
  <c r="AK1165" i="2"/>
  <c r="AK1457" i="2"/>
  <c r="AK1264" i="2"/>
  <c r="AK939" i="2"/>
  <c r="AK852" i="2"/>
  <c r="AK587" i="2"/>
  <c r="AK400" i="2"/>
  <c r="AK217" i="2"/>
  <c r="AK281" i="2"/>
  <c r="AK1496" i="2"/>
  <c r="AK1132" i="2"/>
  <c r="AK1202" i="2"/>
  <c r="AK1240" i="2"/>
  <c r="AK1172" i="2"/>
  <c r="AK1144" i="2"/>
  <c r="AK1169" i="2"/>
  <c r="AK848" i="2"/>
  <c r="AK893" i="2"/>
  <c r="AK894" i="2"/>
  <c r="AK828" i="2"/>
  <c r="AK1410" i="2"/>
  <c r="AK174" i="2"/>
  <c r="AK505" i="2"/>
  <c r="AK312" i="2"/>
  <c r="AK561" i="2"/>
  <c r="AK307" i="2"/>
  <c r="AK369" i="2"/>
  <c r="AK739" i="2"/>
  <c r="AK487" i="2"/>
  <c r="AK691" i="2"/>
  <c r="AK1405" i="2"/>
  <c r="AK1062" i="2"/>
  <c r="AK575" i="2"/>
  <c r="AK1522" i="2"/>
  <c r="AK1234" i="2"/>
  <c r="AK1126" i="2"/>
  <c r="AK1150" i="2"/>
  <c r="AK1013" i="2"/>
  <c r="AK977" i="2"/>
  <c r="AK1141" i="2"/>
  <c r="AK813" i="2"/>
  <c r="AK607" i="2"/>
  <c r="AK600" i="2"/>
  <c r="AK182" i="2"/>
  <c r="AK324" i="2"/>
  <c r="AK420" i="2"/>
  <c r="AK41" i="2"/>
  <c r="AK65" i="2"/>
  <c r="AK1351" i="2"/>
  <c r="AK842" i="2"/>
  <c r="AK916" i="2"/>
  <c r="AK768" i="2"/>
  <c r="AK345" i="2"/>
  <c r="AK165" i="2"/>
  <c r="AK756" i="2"/>
  <c r="AK877" i="2"/>
  <c r="AK574" i="2"/>
  <c r="AK1445" i="2"/>
  <c r="AK1500" i="2"/>
  <c r="AK1092" i="2"/>
  <c r="AK1299" i="2"/>
  <c r="AK1186" i="2"/>
  <c r="AK996" i="2"/>
  <c r="AK975" i="2"/>
  <c r="AK1276" i="2"/>
  <c r="AK967" i="2"/>
  <c r="AK943" i="2"/>
  <c r="AK755" i="2"/>
  <c r="AK715" i="2"/>
  <c r="AK213" i="2"/>
  <c r="AK350" i="2"/>
  <c r="AK225" i="2"/>
  <c r="AK229" i="2"/>
  <c r="AK382" i="2"/>
  <c r="AK317" i="2"/>
  <c r="AK644" i="2"/>
  <c r="AK1525" i="2"/>
  <c r="AK1436" i="2"/>
  <c r="AK1401" i="2"/>
  <c r="AK1350" i="2"/>
  <c r="AK1220" i="2"/>
  <c r="AK875" i="2"/>
  <c r="AK789" i="2"/>
  <c r="AK456" i="2"/>
  <c r="AK163" i="2"/>
  <c r="AK296" i="2"/>
  <c r="AK99" i="2"/>
  <c r="AK37" i="2"/>
  <c r="AK1491" i="2"/>
  <c r="AK1526" i="2"/>
  <c r="AK1438" i="2"/>
  <c r="AK1393" i="2"/>
  <c r="AK1308" i="2"/>
  <c r="AK1517" i="2"/>
  <c r="AK1342" i="2"/>
  <c r="AK1465" i="2"/>
  <c r="AK1149" i="2"/>
  <c r="AK1103" i="2"/>
  <c r="AK1189" i="2"/>
  <c r="AK1392" i="2"/>
  <c r="AK1183" i="2"/>
  <c r="AK1207" i="2"/>
  <c r="AK637" i="2"/>
  <c r="AK923" i="2"/>
  <c r="AK604" i="2"/>
  <c r="AK711" i="2"/>
  <c r="AK708" i="2"/>
  <c r="AK542" i="2"/>
  <c r="AK628" i="2"/>
  <c r="AK323" i="2"/>
  <c r="AK415" i="2"/>
  <c r="AK390" i="2"/>
  <c r="AK359" i="2"/>
  <c r="AK615" i="2"/>
  <c r="AK383" i="2"/>
  <c r="AK1242" i="2"/>
  <c r="AK388" i="2"/>
  <c r="AK454" i="2"/>
  <c r="AK1055" i="2"/>
  <c r="AK1259" i="2"/>
  <c r="AK1358" i="2"/>
  <c r="AK1136" i="2"/>
  <c r="AK1043" i="2"/>
  <c r="AK974" i="2"/>
  <c r="AK797" i="2"/>
  <c r="AK381" i="2"/>
  <c r="AK265" i="2"/>
  <c r="AK1365" i="2"/>
  <c r="AK1014" i="2"/>
  <c r="AK493" i="2"/>
  <c r="AK570" i="2"/>
  <c r="AK1203" i="2"/>
  <c r="AK1125" i="2"/>
  <c r="AK1076" i="2"/>
  <c r="AK1018" i="2"/>
  <c r="AK670" i="2"/>
  <c r="AK1127" i="2"/>
  <c r="AK706" i="2"/>
  <c r="AK681" i="2"/>
  <c r="AK472" i="2"/>
  <c r="AK617" i="2"/>
  <c r="AK686" i="2"/>
  <c r="AK548" i="2"/>
  <c r="AK340" i="2"/>
  <c r="AK282" i="2"/>
  <c r="AK45" i="2"/>
  <c r="AK245" i="2"/>
  <c r="AK1536" i="2"/>
  <c r="AK1293" i="2"/>
  <c r="AK933" i="2"/>
  <c r="AK724" i="2"/>
  <c r="AK557" i="2"/>
  <c r="AK261" i="2"/>
  <c r="AK560" i="2"/>
  <c r="AK1134" i="2"/>
  <c r="AK1269" i="2"/>
  <c r="AK839" i="2"/>
  <c r="AK669" i="2"/>
  <c r="AK342" i="2"/>
  <c r="AK257" i="2"/>
  <c r="AK242" i="2"/>
  <c r="AK298" i="2"/>
  <c r="AK31" i="2"/>
  <c r="AK1475" i="2"/>
  <c r="AK1343" i="2"/>
  <c r="AK1245" i="2"/>
  <c r="AK1004" i="2"/>
  <c r="AK754" i="2"/>
  <c r="AK888" i="2"/>
  <c r="AK532" i="2"/>
  <c r="AK466" i="2"/>
  <c r="AK631" i="2"/>
  <c r="AK442" i="2"/>
  <c r="AK414" i="2"/>
  <c r="AK103" i="2"/>
  <c r="AK93" i="2"/>
  <c r="AK160" i="2"/>
  <c r="AK1270" i="2"/>
  <c r="AK1222" i="2"/>
  <c r="AK1175" i="2"/>
  <c r="AK491" i="2"/>
  <c r="AK1487" i="2"/>
  <c r="AK1289" i="2"/>
  <c r="AK1010" i="2"/>
  <c r="AK1048" i="2"/>
  <c r="AK874" i="2"/>
  <c r="AK963" i="2"/>
  <c r="AK1006" i="2"/>
  <c r="AK309" i="2"/>
  <c r="AK498" i="2"/>
  <c r="AK248" i="2"/>
  <c r="AK618" i="2"/>
  <c r="AK585" i="2"/>
  <c r="AK311" i="2"/>
  <c r="AK214" i="2"/>
  <c r="AK133" i="2"/>
  <c r="AK873" i="2"/>
  <c r="AK399" i="2"/>
  <c r="AK593" i="2"/>
  <c r="AK668" i="2"/>
  <c r="AK654" i="2"/>
  <c r="AK1417" i="2"/>
  <c r="AK1376" i="2"/>
  <c r="AK1123" i="2"/>
  <c r="AK793" i="2"/>
  <c r="AK268" i="2"/>
  <c r="AK288" i="2"/>
  <c r="AK786" i="2"/>
  <c r="AK152" i="2"/>
  <c r="AK116" i="2"/>
  <c r="AK375" i="2"/>
  <c r="AK1352" i="2"/>
  <c r="AK723" i="2"/>
  <c r="AK507" i="2"/>
  <c r="AK377" i="2"/>
  <c r="AK1288" i="2"/>
  <c r="AK1209" i="2"/>
  <c r="AK936" i="2"/>
  <c r="AK759" i="2"/>
  <c r="AK540" i="2"/>
  <c r="AK1005" i="2"/>
  <c r="AK250" i="2"/>
  <c r="AK1101" i="2"/>
  <c r="AK132" i="2"/>
  <c r="AK439" i="2"/>
  <c r="AK156" i="2"/>
  <c r="AK161" i="2"/>
  <c r="AK1482" i="2"/>
  <c r="AK1191" i="2"/>
  <c r="AK1205" i="2"/>
  <c r="AK905" i="2"/>
  <c r="AK880" i="2"/>
  <c r="AK765" i="2"/>
  <c r="AK524" i="2"/>
  <c r="AK453" i="2"/>
  <c r="AK372" i="2"/>
  <c r="AK121" i="2"/>
  <c r="AK49" i="2"/>
  <c r="AK17" i="2"/>
  <c r="AK1249" i="2"/>
  <c r="AK1020" i="2"/>
  <c r="AK928" i="2"/>
  <c r="AK598" i="2"/>
  <c r="AK712" i="2"/>
  <c r="AK910" i="2"/>
  <c r="AK665" i="2"/>
  <c r="AK538" i="2"/>
  <c r="AK792" i="2"/>
  <c r="AK477" i="2"/>
  <c r="AK680" i="2"/>
  <c r="AK413" i="2"/>
  <c r="AK1375" i="2"/>
  <c r="AK1153" i="2"/>
  <c r="AK1476" i="2"/>
  <c r="AK1272" i="2"/>
  <c r="AK1505" i="2"/>
  <c r="AK516" i="2"/>
  <c r="AK389" i="2"/>
  <c r="AK1307" i="2"/>
  <c r="AK1036" i="2"/>
  <c r="AK779" i="2"/>
  <c r="AK267" i="2"/>
  <c r="AK1064" i="2"/>
  <c r="AK353" i="2"/>
  <c r="AK1414" i="2"/>
  <c r="AK1179" i="2"/>
  <c r="AK990" i="2"/>
  <c r="AK527" i="2"/>
  <c r="AK305" i="2"/>
  <c r="AK1470" i="2"/>
  <c r="AK1518" i="2"/>
  <c r="AK1321" i="2"/>
  <c r="AK1253" i="2"/>
  <c r="AK1121" i="2"/>
  <c r="AK979" i="2"/>
  <c r="AK1034" i="2"/>
  <c r="AK866" i="2"/>
  <c r="AK667" i="2"/>
  <c r="AK811" i="2"/>
  <c r="AK599" i="2"/>
  <c r="AK565" i="2"/>
  <c r="AK666" i="2"/>
  <c r="AK64" i="2"/>
  <c r="AK858" i="2"/>
  <c r="AK846" i="2"/>
  <c r="AK504" i="2"/>
  <c r="AK771" i="2"/>
  <c r="AK946" i="2"/>
  <c r="AK1512" i="2"/>
  <c r="AK1219" i="2"/>
  <c r="AK840" i="2"/>
  <c r="AK640" i="2"/>
  <c r="AK392" i="2"/>
  <c r="AK199" i="2"/>
  <c r="AK1097" i="2"/>
  <c r="AK1187" i="2"/>
  <c r="AK1196" i="2"/>
  <c r="AK847" i="2"/>
  <c r="AK829" i="2"/>
  <c r="AK814" i="2"/>
  <c r="AK744" i="2"/>
  <c r="AK440" i="2"/>
  <c r="AK422" i="2"/>
  <c r="AK286" i="2"/>
  <c r="AK397" i="2"/>
  <c r="AK1374" i="2"/>
  <c r="AK1273" i="2"/>
  <c r="AK1079" i="2"/>
  <c r="AK919" i="2"/>
  <c r="AK854" i="2"/>
  <c r="AK473" i="2"/>
  <c r="AK690" i="2"/>
  <c r="AK180" i="2"/>
  <c r="AK1452" i="2"/>
  <c r="AK1373" i="2"/>
  <c r="AK1345" i="2"/>
  <c r="AK1161" i="2"/>
  <c r="AK1032" i="2"/>
  <c r="AK1053" i="2"/>
  <c r="AK849" i="2"/>
  <c r="AK889" i="2"/>
  <c r="AK720" i="2"/>
  <c r="AK266" i="2"/>
  <c r="AK136" i="2"/>
  <c r="AK1485" i="2"/>
  <c r="AK1309" i="2"/>
  <c r="AK737" i="2"/>
  <c r="AK844" i="2"/>
  <c r="AK314" i="2"/>
  <c r="AK378" i="2"/>
  <c r="AK264" i="2"/>
  <c r="AK965" i="2"/>
  <c r="AK1024" i="2"/>
  <c r="AK1434" i="2"/>
  <c r="AK721" i="2"/>
  <c r="AK1002" i="2"/>
  <c r="AK648" i="2"/>
  <c r="AK629" i="2"/>
  <c r="AK673" i="2"/>
  <c r="AK556" i="2"/>
  <c r="AK367" i="2"/>
  <c r="AK331" i="2"/>
  <c r="AK135" i="2"/>
  <c r="AK252" i="2"/>
  <c r="AK310" i="2"/>
  <c r="AK209" i="2"/>
  <c r="AK1422" i="2"/>
  <c r="AK998" i="2"/>
  <c r="AK360" i="2"/>
  <c r="AK657" i="2"/>
  <c r="AK1028" i="2"/>
  <c r="AK1431" i="2"/>
  <c r="AK871" i="2"/>
  <c r="AK157" i="2"/>
  <c r="AK1519" i="2"/>
  <c r="AK1531" i="2"/>
  <c r="AK1508" i="2"/>
  <c r="AK1486" i="2"/>
  <c r="AK1192" i="2"/>
  <c r="AK1137" i="2"/>
  <c r="AK1044" i="2"/>
  <c r="AK884" i="2"/>
  <c r="AK958" i="2"/>
  <c r="AK764" i="2"/>
  <c r="AK728" i="2"/>
  <c r="AK606" i="2"/>
  <c r="AK295" i="2"/>
  <c r="AK227" i="2"/>
  <c r="AK168" i="2"/>
  <c r="AK5" i="2"/>
  <c r="AK1390" i="2"/>
  <c r="AK1420" i="2"/>
  <c r="AK175" i="2"/>
  <c r="AK1290" i="2"/>
  <c r="AK1266" i="2"/>
  <c r="AK1368" i="2"/>
  <c r="AK1310" i="2"/>
  <c r="AK1423" i="2"/>
  <c r="AK1484" i="2"/>
  <c r="AK1419" i="2"/>
  <c r="AK1395" i="2"/>
  <c r="AK1285" i="2"/>
  <c r="AK835" i="2"/>
  <c r="AK1015" i="2"/>
  <c r="AK1107" i="2"/>
  <c r="AK987" i="2"/>
  <c r="AK432" i="2"/>
  <c r="AK550" i="2"/>
  <c r="AK1349" i="2"/>
  <c r="AK1214" i="2"/>
  <c r="AK1283" i="2"/>
  <c r="AK1210" i="2"/>
  <c r="AK945" i="2"/>
  <c r="AK1156" i="2"/>
  <c r="AK885" i="2"/>
  <c r="AK1061" i="2"/>
  <c r="AK834" i="2"/>
  <c r="AK882" i="2"/>
  <c r="AK551" i="2"/>
  <c r="AK519" i="2"/>
  <c r="AK171" i="2"/>
  <c r="AK113" i="2"/>
  <c r="AK1331" i="2"/>
  <c r="AK1332" i="2"/>
  <c r="AK1226" i="2"/>
  <c r="AK1041" i="2"/>
  <c r="AK954" i="2"/>
  <c r="AK870" i="2"/>
  <c r="AK951" i="2"/>
  <c r="AK572" i="2"/>
  <c r="AK770" i="2"/>
  <c r="AK632" i="2"/>
  <c r="AK347" i="2"/>
  <c r="AK545" i="2"/>
  <c r="AK16" i="2"/>
  <c r="AK114" i="2"/>
  <c r="AK1532" i="2"/>
  <c r="AK1306" i="2"/>
  <c r="AK1280" i="2"/>
  <c r="AK1198" i="2"/>
  <c r="AK836" i="2"/>
  <c r="AK653" i="2"/>
  <c r="AK520" i="2"/>
  <c r="AK431" i="2"/>
  <c r="AK566" i="2"/>
  <c r="AK349" i="2"/>
  <c r="AK354" i="2"/>
  <c r="AK303" i="2"/>
  <c r="AK1254" i="2"/>
  <c r="AK959" i="2"/>
  <c r="AK1012" i="2"/>
  <c r="AK1142" i="2"/>
  <c r="AK624" i="2"/>
  <c r="AK799" i="2"/>
  <c r="AK650" i="2"/>
  <c r="AK451" i="2"/>
  <c r="AK503" i="2"/>
  <c r="AK190" i="2"/>
  <c r="AK198" i="2"/>
  <c r="AK115" i="2"/>
  <c r="AK1510" i="2"/>
  <c r="AK478" i="2"/>
  <c r="AK1391" i="2"/>
  <c r="AK1413" i="2"/>
  <c r="AK1089" i="2"/>
  <c r="AK822" i="2"/>
  <c r="AK831" i="2"/>
  <c r="AK855" i="2"/>
  <c r="AK766" i="2"/>
  <c r="AK596" i="2"/>
  <c r="AK362" i="2"/>
  <c r="AK443" i="2"/>
  <c r="AK244" i="2"/>
  <c r="AK162" i="2"/>
  <c r="AK192" i="2"/>
  <c r="AK603" i="2"/>
  <c r="AK833" i="2"/>
  <c r="AK1412" i="2"/>
  <c r="AK1361" i="2"/>
  <c r="AK1102" i="2"/>
  <c r="AK704" i="2"/>
  <c r="AK436" i="2"/>
  <c r="AK333" i="2"/>
  <c r="AK427" i="2"/>
  <c r="AK334" i="2"/>
  <c r="AK269" i="2"/>
  <c r="AK1489" i="2"/>
  <c r="AK1430" i="2"/>
  <c r="AK1296" i="2"/>
  <c r="AK1007" i="2"/>
  <c r="AK1106" i="2"/>
  <c r="AK901" i="2"/>
  <c r="AK751" i="2"/>
  <c r="AK661" i="2"/>
  <c r="AK465" i="2"/>
  <c r="AK418" i="2"/>
  <c r="AK187" i="2"/>
  <c r="AK215" i="2"/>
  <c r="AK1492" i="2"/>
  <c r="AK1206" i="2"/>
  <c r="AK1383" i="2"/>
  <c r="AK881" i="2"/>
  <c r="AK514" i="2"/>
  <c r="AK387" i="2"/>
  <c r="AK1494" i="2"/>
  <c r="AK1334" i="2"/>
  <c r="AK1292" i="2"/>
  <c r="AK1246" i="2"/>
  <c r="AK1131" i="2"/>
  <c r="AK718" i="2"/>
  <c r="AK808" i="2"/>
  <c r="AK335" i="2"/>
  <c r="AK322" i="2"/>
  <c r="AK204" i="2"/>
  <c r="AK35" i="2"/>
  <c r="AK1528" i="2"/>
  <c r="AK1509" i="2"/>
  <c r="AK1478" i="2"/>
  <c r="AK1389" i="2"/>
  <c r="AK1033" i="2"/>
  <c r="AK1236" i="2"/>
  <c r="AK1047" i="2"/>
  <c r="AK1087" i="2"/>
  <c r="AK1204" i="2"/>
  <c r="AK784" i="2"/>
  <c r="AK921" i="2"/>
  <c r="AK716" i="2"/>
  <c r="AK291" i="2"/>
  <c r="AK128" i="2"/>
  <c r="AK1364" i="2"/>
  <c r="AK1468" i="2"/>
  <c r="AK621" i="2"/>
  <c r="AK1501" i="2"/>
  <c r="AK1326" i="2"/>
  <c r="AK1263" i="2"/>
  <c r="AK1318" i="2"/>
  <c r="AK1112" i="2"/>
  <c r="AK710" i="2"/>
  <c r="AK783" i="2"/>
  <c r="AK675" i="2"/>
  <c r="AK536" i="2"/>
  <c r="AK423" i="2"/>
  <c r="AK316" i="2"/>
  <c r="AK508" i="2"/>
  <c r="AK274" i="2"/>
  <c r="AK101" i="2"/>
  <c r="AK47" i="2"/>
  <c r="AK484" i="2"/>
  <c r="AK195" i="2"/>
  <c r="AK26" i="2"/>
  <c r="AK56" i="2"/>
  <c r="AK32" i="2"/>
  <c r="AK1461" i="2"/>
  <c r="AK1078" i="2"/>
  <c r="AK577" i="2"/>
  <c r="AK584" i="2"/>
  <c r="AK488" i="2"/>
  <c r="AK394" i="2"/>
  <c r="AK1499" i="2"/>
  <c r="AK1523" i="2"/>
  <c r="AK1400" i="2"/>
  <c r="AK1241" i="2"/>
  <c r="AK1138" i="2"/>
  <c r="AK1109" i="2"/>
  <c r="AK826" i="2"/>
  <c r="AK929" i="2"/>
  <c r="AK725" i="2"/>
  <c r="AK385" i="2"/>
  <c r="AK355" i="2"/>
  <c r="AK159" i="2"/>
  <c r="AK154" i="2"/>
  <c r="AK18" i="2"/>
  <c r="AK196" i="2"/>
  <c r="AK1498" i="2"/>
  <c r="AK1059" i="2"/>
  <c r="AK1464" i="2"/>
  <c r="AK1490" i="2"/>
  <c r="AK1439" i="2"/>
  <c r="AK912" i="2"/>
  <c r="AK409" i="2"/>
  <c r="AK678" i="2"/>
  <c r="AK105" i="2"/>
  <c r="AK343" i="2"/>
  <c r="AK424" i="2"/>
  <c r="AK92" i="2"/>
  <c r="AK1537" i="2"/>
  <c r="AK1262" i="2"/>
  <c r="AK1099" i="2"/>
  <c r="AK1278" i="2"/>
  <c r="AK1083" i="2"/>
  <c r="AK938" i="2"/>
  <c r="AK832" i="2"/>
  <c r="AK376" i="2"/>
  <c r="AK346" i="2"/>
  <c r="AK1435" i="2"/>
  <c r="AK1344" i="2"/>
  <c r="AK1068" i="2"/>
  <c r="AK1163" i="2"/>
  <c r="AK689" i="2"/>
  <c r="AK326" i="2"/>
  <c r="AK683" i="2"/>
  <c r="AK231" i="2"/>
  <c r="AK1378" i="2"/>
  <c r="AK1411" i="2"/>
  <c r="AK1260" i="2"/>
  <c r="AK1286" i="2"/>
  <c r="AK1255" i="2"/>
  <c r="AK1162" i="2"/>
  <c r="AK1145" i="2"/>
  <c r="AK1146" i="2"/>
  <c r="AK1130" i="2"/>
  <c r="AK1081" i="2"/>
  <c r="AK1129" i="2"/>
  <c r="AK1026" i="2"/>
  <c r="AK1085" i="2"/>
  <c r="AK902" i="2"/>
  <c r="AK904" i="2"/>
  <c r="AK803" i="2"/>
  <c r="AK972" i="2"/>
  <c r="AK815" i="2"/>
  <c r="AK717" i="2"/>
  <c r="AK448" i="2"/>
  <c r="AK467" i="2"/>
  <c r="AK253" i="2"/>
  <c r="AK412" i="2"/>
  <c r="AK391" i="2"/>
  <c r="AK125" i="2"/>
  <c r="AK10" i="2"/>
  <c r="AK571" i="2"/>
  <c r="AK319" i="2"/>
  <c r="AK223" i="2"/>
  <c r="AK357" i="2"/>
  <c r="AK1213" i="2"/>
  <c r="AK1524" i="2"/>
  <c r="AK1300" i="2"/>
  <c r="AK1346" i="2"/>
  <c r="AK1116" i="2"/>
  <c r="AK924" i="2"/>
  <c r="AK541" i="2"/>
  <c r="AK441" i="2"/>
  <c r="AK237" i="2"/>
  <c r="AK1415" i="2"/>
  <c r="AK1302" i="2"/>
  <c r="AK1158" i="2"/>
  <c r="AK1094" i="2"/>
  <c r="AK1104" i="2"/>
  <c r="AK1030" i="2"/>
  <c r="AK1075" i="2"/>
  <c r="AK926" i="2"/>
  <c r="AK960" i="2"/>
  <c r="AK821" i="2"/>
  <c r="AK499" i="2"/>
  <c r="AK42" i="2"/>
  <c r="AK80" i="2"/>
  <c r="AK53" i="2"/>
</calcChain>
</file>

<file path=xl/sharedStrings.xml><?xml version="1.0" encoding="utf-8"?>
<sst xmlns="http://schemas.openxmlformats.org/spreadsheetml/2006/main" count="11287" uniqueCount="6107">
  <si>
    <t>PvRecord</t>
  </si>
  <si>
    <t>PvRecord.EqualityContract</t>
  </si>
  <si>
    <t>PvRecord.Timestamp</t>
  </si>
  <si>
    <t>PvRecord.Index</t>
  </si>
  <si>
    <t>PvRecord.DirectGeometryFactor</t>
  </si>
  <si>
    <t>PvRecord.DiffuseGeometryFactor</t>
  </si>
  <si>
    <t>PvRecord.CosSunElevation</t>
  </si>
  <si>
    <t>PvRecord.GlobalHorizontalIrradiance</t>
  </si>
  <si>
    <t>PvRecord.SunshineDuration</t>
  </si>
  <si>
    <t>PvRecord.DiffuseHorizontalIrradiance</t>
  </si>
  <si>
    <t>PvRecord.AmbientTemp</t>
  </si>
  <si>
    <t>PvRecord.WindSpeed</t>
  </si>
  <si>
    <t>PvRecord.SnowDepth</t>
  </si>
  <si>
    <t>PvRecord.Weight</t>
  </si>
  <si>
    <t>PvRecord.Age</t>
  </si>
  <si>
    <t>PvRecord.MeasuredPower</t>
  </si>
  <si>
    <t>PvRecord.HasMeasuredPower</t>
  </si>
  <si>
    <t>PvRecord { Timestamp = 26.11.2025 19:15:00, Index = 0, DirectGeometryFactor = 0, DiffuseGeometryFactor = 0,9095760221444958, CosSunElevation = 0, GlobalHorizontalIrradiance = 0, SunshineDuration = 0, DiffuseHorizontalIrradiance = 0, AmbientTemp = 1,55, WindSpeed = 10,8, SnowDepth = 0, Weight = 0, Age = 4,203460744678463, MeasuredPower = , HasMeasuredPower = False }</t>
  </si>
  <si>
    <t>LEG.PV.Data.Processor.DataRecords+PvRecord</t>
  </si>
  <si>
    <t>26.11.2025 19:15:00</t>
  </si>
  <si>
    <t>0,9095760221444958</t>
  </si>
  <si>
    <t>1,55</t>
  </si>
  <si>
    <t>10,8</t>
  </si>
  <si>
    <t>PvRecord { Timestamp = 26.11.2025 19:30:00, Index = 0, DirectGeometryFactor = 0, DiffuseGeometryFactor = 0,9095760221444958, CosSunElevation = 0, GlobalHorizontalIrradiance = 0, SunshineDuration = 0, DiffuseHorizontalIrradiance = 0, AmbientTemp = 1,25, WindSpeed = 12,96, SnowDepth = 0, Weight = 0, Age = 4,203489264566544, MeasuredPower = , HasMeasuredPower = False }</t>
  </si>
  <si>
    <t>26.11.2025 19:30:00</t>
  </si>
  <si>
    <t>1,25</t>
  </si>
  <si>
    <t>12,96</t>
  </si>
  <si>
    <t>PvRecord { Timestamp = 26.11.2025 19:45:00, Index = 0, DirectGeometryFactor = 0, DiffuseGeometryFactor = 0,9095760221444958, CosSunElevation = 0, GlobalHorizontalIrradiance = 0, SunshineDuration = 0, DiffuseHorizontalIrradiance = 0, AmbientTemp = 1,25, WindSpeed = 12,96, SnowDepth = 0, Weight = 0, Age = 4,203517784454625, MeasuredPower = , HasMeasuredPower = False }</t>
  </si>
  <si>
    <t>26.11.2025 19:45:00</t>
  </si>
  <si>
    <t>PvRecord { Timestamp = 26.11.2025 20:00:00, Index = 0, DirectGeometryFactor = 0, DiffuseGeometryFactor = 0,9095760221444958, CosSunElevation = 0, GlobalHorizontalIrradiance = 0, SunshineDuration = 0, DiffuseHorizontalIrradiance = 0, AmbientTemp = 1,3, WindSpeed = 12,24, SnowDepth = 0, Weight = 0, Age = 4,203546304342707, MeasuredPower = , HasMeasuredPower = False }</t>
  </si>
  <si>
    <t>26.11.2025 20:00:00</t>
  </si>
  <si>
    <t>1,3</t>
  </si>
  <si>
    <t>12,24</t>
  </si>
  <si>
    <t>PvRecord { Timestamp = 26.11.2025 20:15:00, Index = 0, DirectGeometryFactor = 0, DiffuseGeometryFactor = 0,9095760221444958, CosSunElevation = 0, GlobalHorizontalIrradiance = 0, SunshineDuration = 0, DiffuseHorizontalIrradiance = 0, AmbientTemp = 1,25, WindSpeed = 12,96, SnowDepth = 0, Weight = 0, Age = 4,203574824230788, MeasuredPower = , HasMeasuredPower = False }</t>
  </si>
  <si>
    <t>26.11.2025 20:15:00</t>
  </si>
  <si>
    <t>PvRecord { Timestamp = 26.11.2025 20:30:00, Index = 0, DirectGeometryFactor = 0, DiffuseGeometryFactor = 0,9095760221444958, CosSunElevation = 0, GlobalHorizontalIrradiance = 0, SunshineDuration = 0, DiffuseHorizontalIrradiance = 0, AmbientTemp = 1,2000000000000002, WindSpeed = 13,14, SnowDepth = 0, Weight = 0, Age = 4,2036033441188705, MeasuredPower = , HasMeasuredPower = False }</t>
  </si>
  <si>
    <t>26.11.2025 20:30:00</t>
  </si>
  <si>
    <t>13,14</t>
  </si>
  <si>
    <t>PvRecord { Timestamp = 26.11.2025 20:45:00, Index = 0, DirectGeometryFactor = 0, DiffuseGeometryFactor = 0,9095760221444958, CosSunElevation = 0, GlobalHorizontalIrradiance = 0, SunshineDuration = 0, DiffuseHorizontalIrradiance = 0, AmbientTemp = 1,1, WindSpeed = 12,6, SnowDepth = 0, Weight = 0, Age = 4,203631864006952, MeasuredPower = , HasMeasuredPower = False }</t>
  </si>
  <si>
    <t>26.11.2025 20:45:00</t>
  </si>
  <si>
    <t>1,1</t>
  </si>
  <si>
    <t>12,6</t>
  </si>
  <si>
    <t>PvRecord { Timestamp = 26.11.2025 21:00:00, Index = 0, DirectGeometryFactor = 0, DiffuseGeometryFactor = 0,9095760221444958, CosSunElevation = 0, GlobalHorizontalIrradiance = 0, SunshineDuration = 0, DiffuseHorizontalIrradiance = 0, AmbientTemp = 1,1, WindSpeed = 12,42, SnowDepth = 0, Weight = 0, Age = 4,203660383895033, MeasuredPower = , HasMeasuredPower = False }</t>
  </si>
  <si>
    <t>26.11.2025 21:00:00</t>
  </si>
  <si>
    <t>12,42</t>
  </si>
  <si>
    <t>PvRecord { Timestamp = 26.11.2025 21:15:00, Index = 0, DirectGeometryFactor = 0, DiffuseGeometryFactor = 0,9095760221444958, CosSunElevation = 0, GlobalHorizontalIrradiance = 0, SunshineDuration = 0, DiffuseHorizontalIrradiance = 0, AmbientTemp = 1,1, WindSpeed = 12,42, SnowDepth = 0, Weight = 0, Age = 4,203688903783115, MeasuredPower = , HasMeasuredPower = False }</t>
  </si>
  <si>
    <t>26.11.2025 21:15:00</t>
  </si>
  <si>
    <t>PvRecord { Timestamp = 26.11.2025 21:30:00, Index = 0, DirectGeometryFactor = 0, DiffuseGeometryFactor = 0,9095760221444958, CosSunElevation = 0, GlobalHorizontalIrradiance = 0, SunshineDuration = 0, DiffuseHorizontalIrradiance = 0, AmbientTemp = 1,1, WindSpeed = 12,239999999999998, SnowDepth = 0, Weight = 0, Age = 4,203717423671196, MeasuredPower = , HasMeasuredPower = False }</t>
  </si>
  <si>
    <t>26.11.2025 21:30:00</t>
  </si>
  <si>
    <t>PvRecord { Timestamp = 26.11.2025 21:45:00, Index = 0, DirectGeometryFactor = 0, DiffuseGeometryFactor = 0,9095760221444958, CosSunElevation = 0, GlobalHorizontalIrradiance = 0, SunshineDuration = 0, DiffuseHorizontalIrradiance = 0, AmbientTemp = 1,15, WindSpeed = 13,5, SnowDepth = 0, Weight = 0, Age = 4,203745943559278, MeasuredPower = , HasMeasuredPower = False }</t>
  </si>
  <si>
    <t>26.11.2025 21:45:00</t>
  </si>
  <si>
    <t>1,15</t>
  </si>
  <si>
    <t>13,5</t>
  </si>
  <si>
    <t>PvRecord { Timestamp = 26.11.2025 22:00:00, Index = 0, DirectGeometryFactor = 0, DiffuseGeometryFactor = 0,9095760221444958, CosSunElevation = 0, GlobalHorizontalIrradiance = 0, SunshineDuration = 0, DiffuseHorizontalIrradiance = 0, AmbientTemp = 1,15, WindSpeed = 13,5, SnowDepth = 0, Weight = 0, Age = 4,20377446344736, MeasuredPower = , HasMeasuredPower = False }</t>
  </si>
  <si>
    <t>26.11.2025 22:00:00</t>
  </si>
  <si>
    <t>PvRecord { Timestamp = 26.11.2025 22:15:00, Index = 0, DirectGeometryFactor = 0, DiffuseGeometryFactor = 0,9095760221444958, CosSunElevation = 0, GlobalHorizontalIrradiance = 0, SunshineDuration = 0, DiffuseHorizontalIrradiance = 0, AmbientTemp = 1,15, WindSpeed = 14,04, SnowDepth = 0, Weight = 0, Age = 4,203802983335441, MeasuredPower = , HasMeasuredPower = False }</t>
  </si>
  <si>
    <t>26.11.2025 22:15:00</t>
  </si>
  <si>
    <t>14,04</t>
  </si>
  <si>
    <t>PvRecord { Timestamp = 26.11.2025 22:30:00, Index = 0, DirectGeometryFactor = 0, DiffuseGeometryFactor = 0,9095760221444958, CosSunElevation = 0, GlobalHorizontalIrradiance = 0, SunshineDuration = 0, DiffuseHorizontalIrradiance = 0, AmbientTemp = 1,1, WindSpeed = 13,68, SnowDepth = 0, Weight = 0, Age = 4,2038315032235225, MeasuredPower = , HasMeasuredPower = False }</t>
  </si>
  <si>
    <t>26.11.2025 22:30:00</t>
  </si>
  <si>
    <t>13,68</t>
  </si>
  <si>
    <t>PvRecord { Timestamp = 26.11.2025 22:45:00, Index = 0, DirectGeometryFactor = 0, DiffuseGeometryFactor = 0,9095760221444958, CosSunElevation = 0, GlobalHorizontalIrradiance = 0, SunshineDuration = 0, DiffuseHorizontalIrradiance = 0, AmbientTemp = 1, WindSpeed = 13,32, SnowDepth = 0, Weight = 0, Age = 4,203860023111605, MeasuredPower = , HasMeasuredPower = False }</t>
  </si>
  <si>
    <t>26.11.2025 22:45:00</t>
  </si>
  <si>
    <t>13,32</t>
  </si>
  <si>
    <t>PvRecord { Timestamp = 26.11.2025 23:00:00, Index = 0, DirectGeometryFactor = 0, DiffuseGeometryFactor = 0,9095760221444958, CosSunElevation = 0, GlobalHorizontalIrradiance = 0, SunshineDuration = 0, DiffuseHorizontalIrradiance = 0, AmbientTemp = 0,8500000000000001, WindSpeed = 12,42, SnowDepth = 0, Weight = 0, Age = 4,203888542999686, MeasuredPower = , HasMeasuredPower = False }</t>
  </si>
  <si>
    <t>26.11.2025 23:00:00</t>
  </si>
  <si>
    <t>0,8500000000000001</t>
  </si>
  <si>
    <t>PvRecord { Timestamp = 26.11.2025 23:15:00, Index = 0, DirectGeometryFactor = 0, DiffuseGeometryFactor = 0,9095760221444958, CosSunElevation = 0, GlobalHorizontalIrradiance = 0, SunshineDuration = 0, DiffuseHorizontalIrradiance = 0, AmbientTemp = 0,8, WindSpeed = 11,34, SnowDepth = 0, Weight = 0, Age = 4,203917062887768, MeasuredPower = , HasMeasuredPower = False }</t>
  </si>
  <si>
    <t>26.11.2025 23:15:00</t>
  </si>
  <si>
    <t>0,8</t>
  </si>
  <si>
    <t>11,34</t>
  </si>
  <si>
    <t>PvRecord { Timestamp = 26.11.2025 23:30:00, Index = 0, DirectGeometryFactor = 0, DiffuseGeometryFactor = 0,9095760221444958, CosSunElevation = 0, GlobalHorizontalIrradiance = 0, SunshineDuration = 0, DiffuseHorizontalIrradiance = 0, AmbientTemp = 0,75, WindSpeed = 9,540000000000001, SnowDepth = 0, Weight = 0, Age = 4,203945582775849, MeasuredPower = , HasMeasuredPower = False }</t>
  </si>
  <si>
    <t>26.11.2025 23:30:00</t>
  </si>
  <si>
    <t>0,75</t>
  </si>
  <si>
    <t>PvRecord { Timestamp = 26.11.2025 23:45:00, Index = 0, DirectGeometryFactor = 0, DiffuseGeometryFactor = 0,9095760221444958, CosSunElevation = 0, GlobalHorizontalIrradiance = 0, SunshineDuration = 0, DiffuseHorizontalIrradiance = 0, AmbientTemp = 0,75, WindSpeed = 9, SnowDepth = 0, Weight = 0, Age = 4,20397410266393, MeasuredPower = , HasMeasuredPower = False }</t>
  </si>
  <si>
    <t>26.11.2025 23:45:00</t>
  </si>
  <si>
    <t>PvRecord { Timestamp = 27.11.2025 00:00:00, Index = 0, DirectGeometryFactor = 0, DiffuseGeometryFactor = 0,9095760221444958, CosSunElevation = 0, GlobalHorizontalIrradiance = 0, SunshineDuration = 0, DiffuseHorizontalIrradiance = 0, AmbientTemp = 0,7, WindSpeed = 7,920000000000001, SnowDepth = 0, Weight = 0, Age = 4,204002622552013, MeasuredPower = , HasMeasuredPower = False }</t>
  </si>
  <si>
    <t>27.11.2025 00:00:00</t>
  </si>
  <si>
    <t>0,7</t>
  </si>
  <si>
    <t>PvRecord { Timestamp = 27.11.2025 00:15:00, Index = 0, DirectGeometryFactor = 0, DiffuseGeometryFactor = 0,9095760221444958, CosSunElevation = 0, GlobalHorizontalIrradiance = 0, SunshineDuration = 0, DiffuseHorizontalIrradiance = 0, AmbientTemp = 0,6, WindSpeed = 6,84, SnowDepth = 0, Weight = 0, Age = 4,204031142440094, MeasuredPower = , HasMeasuredPower = False }</t>
  </si>
  <si>
    <t>27.11.2025 00:15:00</t>
  </si>
  <si>
    <t>0,6</t>
  </si>
  <si>
    <t>6,84</t>
  </si>
  <si>
    <t>PvRecord { Timestamp = 27.11.2025 00:30:00, Index = 0, DirectGeometryFactor = 0, DiffuseGeometryFactor = 0,9095760221444958, CosSunElevation = 0, GlobalHorizontalIrradiance = 0, SunshineDuration = 0, DiffuseHorizontalIrradiance = 0, AmbientTemp = 0,55, WindSpeed = 5,760000000000001, SnowDepth = 0, Weight = 0, Age = 4,204059662328175, MeasuredPower = , HasMeasuredPower = False }</t>
  </si>
  <si>
    <t>27.11.2025 00:30:00</t>
  </si>
  <si>
    <t>0,55</t>
  </si>
  <si>
    <t>PvRecord { Timestamp = 27.11.2025 00:45:00, Index = 0, DirectGeometryFactor = 0, DiffuseGeometryFactor = 0,9095760221444958, CosSunElevation = 0, GlobalHorizontalIrradiance = 0, SunshineDuration = 0, DiffuseHorizontalIrradiance = 0, AmbientTemp = 0,55, WindSpeed = 5,040000000000001, SnowDepth = 0, Weight = 0, Age = 4,204088182216257, MeasuredPower = , HasMeasuredPower = False }</t>
  </si>
  <si>
    <t>27.11.2025 00:45:00</t>
  </si>
  <si>
    <t>PvRecord { Timestamp = 27.11.2025 01:00:00, Index = 0, DirectGeometryFactor = 0, DiffuseGeometryFactor = 0,9095760221444958, CosSunElevation = 0, GlobalHorizontalIrradiance = 0, SunshineDuration = 0, DiffuseHorizontalIrradiance = 0, AmbientTemp = 0,55, WindSpeed = 3,96, SnowDepth = 0, Weight = 0, Age = 4,204116702104338, MeasuredPower = , HasMeasuredPower = False }</t>
  </si>
  <si>
    <t>27.11.2025 01:00:00</t>
  </si>
  <si>
    <t>3,96</t>
  </si>
  <si>
    <t>PvRecord { Timestamp = 27.11.2025 01:15:00, Index = 0, DirectGeometryFactor = 0, DiffuseGeometryFactor = 0,9095760221444958, CosSunElevation = 0, GlobalHorizontalIrradiance = 0, SunshineDuration = 0, DiffuseHorizontalIrradiance = 0, AmbientTemp = 0,45, WindSpeed = 3,4200000000000004, SnowDepth = 0, Weight = 0, Age = 4,2041452219924205, MeasuredPower = , HasMeasuredPower = False }</t>
  </si>
  <si>
    <t>27.11.2025 01:15:00</t>
  </si>
  <si>
    <t>0,45</t>
  </si>
  <si>
    <t>PvRecord { Timestamp = 27.11.2025 01:30:00, Index = 0, DirectGeometryFactor = 0, DiffuseGeometryFactor = 0,9095760221444958, CosSunElevation = 0, GlobalHorizontalIrradiance = 0, SunshineDuration = 0, DiffuseHorizontalIrradiance = 0, AmbientTemp = 0,4, WindSpeed = 2,7, SnowDepth = 0, Weight = 0, Age = 4,204173741880502, MeasuredPower = , HasMeasuredPower = False }</t>
  </si>
  <si>
    <t>27.11.2025 01:30:00</t>
  </si>
  <si>
    <t>0,4</t>
  </si>
  <si>
    <t>2,7</t>
  </si>
  <si>
    <t>PvRecord { Timestamp = 27.11.2025 01:45:00, Index = 0, DirectGeometryFactor = 0, DiffuseGeometryFactor = 0,9095760221444958, CosSunElevation = 0, GlobalHorizontalIrradiance = 0, SunshineDuration = 0, DiffuseHorizontalIrradiance = 0, AmbientTemp = 0,4, WindSpeed = 2,8800000000000003, SnowDepth = 0, Weight = 0, Age = 4,204202261768583, MeasuredPower = , HasMeasuredPower = False }</t>
  </si>
  <si>
    <t>27.11.2025 01:45:00</t>
  </si>
  <si>
    <t>PvRecord { Timestamp = 27.11.2025 02:00:00, Index = 0, DirectGeometryFactor = 0, DiffuseGeometryFactor = 0,9095760221444958, CosSunElevation = 0, GlobalHorizontalIrradiance = 0, SunshineDuration = 0, DiffuseHorizontalIrradiance = 0, AmbientTemp = 0,35, WindSpeed = 3,24, SnowDepth = 0, Weight = 0, Age = 4,204230781656665, MeasuredPower = , HasMeasuredPower = False }</t>
  </si>
  <si>
    <t>27.11.2025 02:00:00</t>
  </si>
  <si>
    <t>0,35</t>
  </si>
  <si>
    <t>3,24</t>
  </si>
  <si>
    <t>PvRecord { Timestamp = 27.11.2025 02:15:00, Index = 0, DirectGeometryFactor = 0, DiffuseGeometryFactor = 0,9095760221444958, CosSunElevation = 0, GlobalHorizontalIrradiance = 0, SunshineDuration = 0, DiffuseHorizontalIrradiance = 0, AmbientTemp = 0,35, WindSpeed = 3,24, SnowDepth = 0, Weight = 0, Age = 4,204259301544746, MeasuredPower = , HasMeasuredPower = False }</t>
  </si>
  <si>
    <t>27.11.2025 02:15:00</t>
  </si>
  <si>
    <t>PvRecord { Timestamp = 27.11.2025 02:30:00, Index = 0, DirectGeometryFactor = 0, DiffuseGeometryFactor = 0,9095760221444958, CosSunElevation = 0, GlobalHorizontalIrradiance = 0, SunshineDuration = 0, DiffuseHorizontalIrradiance = 0, AmbientTemp = 0,35, WindSpeed = 3,42, SnowDepth = 0, Weight = 0, Age = 4,204287821432828, MeasuredPower = , HasMeasuredPower = False }</t>
  </si>
  <si>
    <t>27.11.2025 02:30:00</t>
  </si>
  <si>
    <t>3,42</t>
  </si>
  <si>
    <t>PvRecord { Timestamp = 27.11.2025 02:45:00, Index = 0, DirectGeometryFactor = 0, DiffuseGeometryFactor = 0,9095760221444958, CosSunElevation = 0, GlobalHorizontalIrradiance = 0, SunshineDuration = 0, DiffuseHorizontalIrradiance = 0, AmbientTemp = 0,3, WindSpeed = 3,96, SnowDepth = 0, Weight = 0, Age = 4,20431634132091, MeasuredPower = , HasMeasuredPower = False }</t>
  </si>
  <si>
    <t>27.11.2025 02:45:00</t>
  </si>
  <si>
    <t>0,3</t>
  </si>
  <si>
    <t>PvRecord { Timestamp = 27.11.2025 03:00:00, Index = 0, DirectGeometryFactor = 0, DiffuseGeometryFactor = 0,9095760221444958, CosSunElevation = 0, GlobalHorizontalIrradiance = 0, SunshineDuration = 0, DiffuseHorizontalIrradiance = 0, AmbientTemp = 0,35, WindSpeed = 4,680000000000001, SnowDepth = 0, Weight = 0, Age = 4,204344861208991, MeasuredPower = , HasMeasuredPower = False }</t>
  </si>
  <si>
    <t>27.11.2025 03:00:00</t>
  </si>
  <si>
    <t>PvRecord { Timestamp = 27.11.2025 03:15:00, Index = 0, DirectGeometryFactor = 0, DiffuseGeometryFactor = 0,9095760221444958, CosSunElevation = 0, GlobalHorizontalIrradiance = 0, SunshineDuration = 0, DiffuseHorizontalIrradiance = 0, AmbientTemp = 0,35, WindSpeed = 5,4, SnowDepth = 0, Weight = 0, Age = 4,2043733810970725, MeasuredPower = , HasMeasuredPower = False }</t>
  </si>
  <si>
    <t>27.11.2025 03:15:00</t>
  </si>
  <si>
    <t>5,4</t>
  </si>
  <si>
    <t>PvRecord { Timestamp = 27.11.2025 03:30:00, Index = 0, DirectGeometryFactor = 0, DiffuseGeometryFactor = 0,9095760221444958, CosSunElevation = 0, GlobalHorizontalIrradiance = 0, SunshineDuration = 0, DiffuseHorizontalIrradiance = 0, AmbientTemp = 0,35, WindSpeed = 5,94, SnowDepth = 0, Weight = 0, Age = 4,204401900985154, MeasuredPower = , HasMeasuredPower = False }</t>
  </si>
  <si>
    <t>27.11.2025 03:30:00</t>
  </si>
  <si>
    <t>5,94</t>
  </si>
  <si>
    <t>PvRecord { Timestamp = 27.11.2025 03:45:00, Index = 0, DirectGeometryFactor = 0, DiffuseGeometryFactor = 0,9095760221444958, CosSunElevation = 0, GlobalHorizontalIrradiance = 0, SunshineDuration = 0, DiffuseHorizontalIrradiance = 0, AmbientTemp = 0,30000000000000004, WindSpeed = 6,48, SnowDepth = 0, Weight = 0, Age = 4,204430420873236, MeasuredPower = , HasMeasuredPower = False }</t>
  </si>
  <si>
    <t>27.11.2025 03:45:00</t>
  </si>
  <si>
    <t>0,30000000000000004</t>
  </si>
  <si>
    <t>6,48</t>
  </si>
  <si>
    <t>PvRecord { Timestamp = 27.11.2025 04:00:00, Index = 0, DirectGeometryFactor = 0, DiffuseGeometryFactor = 0,9095760221444958, CosSunElevation = 0, GlobalHorizontalIrradiance = 0, SunshineDuration = 0, DiffuseHorizontalIrradiance = 0, AmbientTemp = 0,30000000000000004, WindSpeed = 7,200000000000001, SnowDepth = 0, Weight = 0, Age = 4,2044589407613175, MeasuredPower = , HasMeasuredPower = False }</t>
  </si>
  <si>
    <t>27.11.2025 04:00:00</t>
  </si>
  <si>
    <t>PvRecord { Timestamp = 27.11.2025 04:15:00, Index = 0, DirectGeometryFactor = 0, DiffuseGeometryFactor = 0,9095760221444958, CosSunElevation = 0, GlobalHorizontalIrradiance = 0, SunshineDuration = 0, DiffuseHorizontalIrradiance = 0, AmbientTemp = 0,25, WindSpeed = 7,920000000000001, SnowDepth = 0, Weight = 0, Age = 4,204487460649399, MeasuredPower = , HasMeasuredPower = False }</t>
  </si>
  <si>
    <t>27.11.2025 04:15:00</t>
  </si>
  <si>
    <t>0,25</t>
  </si>
  <si>
    <t>PvRecord { Timestamp = 27.11.2025 04:30:00, Index = 0, DirectGeometryFactor = 0, DiffuseGeometryFactor = 0,9095760221444958, CosSunElevation = 0, GlobalHorizontalIrradiance = 0, SunshineDuration = 0, DiffuseHorizontalIrradiance = 0, AmbientTemp = 0,2, WindSpeed = 8,64, SnowDepth = 0, Weight = 0, Age = 4,20451598053748, MeasuredPower = , HasMeasuredPower = False }</t>
  </si>
  <si>
    <t>27.11.2025 04:30:00</t>
  </si>
  <si>
    <t>0,2</t>
  </si>
  <si>
    <t>8,64</t>
  </si>
  <si>
    <t>PvRecord { Timestamp = 27.11.2025 04:45:00, Index = 0, DirectGeometryFactor = 0, DiffuseGeometryFactor = 0,9095760221444958, CosSunElevation = 0, GlobalHorizontalIrradiance = 0, SunshineDuration = 0, DiffuseHorizontalIrradiance = 0, AmbientTemp = 0,05, WindSpeed = 8,64, SnowDepth = 0, Weight = 0, Age = 4,204544500425562, MeasuredPower = , HasMeasuredPower = False }</t>
  </si>
  <si>
    <t>27.11.2025 04:45:00</t>
  </si>
  <si>
    <t>0,05</t>
  </si>
  <si>
    <t>PvRecord { Timestamp = 27.11.2025 05:00:00, Index = 0, DirectGeometryFactor = 0, DiffuseGeometryFactor = 0,9095760221444958, CosSunElevation = 0, GlobalHorizontalIrradiance = 0, SunshineDuration = 0, DiffuseHorizontalIrradiance = 0, AmbientTemp = -0,05, WindSpeed = 9,36, SnowDepth = 0, Weight = 0, Age = 4,204573020313644, MeasuredPower = , HasMeasuredPower = False }</t>
  </si>
  <si>
    <t>27.11.2025 05:00:00</t>
  </si>
  <si>
    <t>-0,05</t>
  </si>
  <si>
    <t>9,36</t>
  </si>
  <si>
    <t>PvRecord { Timestamp = 27.11.2025 05:15:00, Index = 0, DirectGeometryFactor = 0, DiffuseGeometryFactor = 0,9095760221444958, CosSunElevation = 0, GlobalHorizontalIrradiance = 0, SunshineDuration = 0, DiffuseHorizontalIrradiance = 0, AmbientTemp = -0,2, WindSpeed = 9, SnowDepth = 0, Weight = 0, Age = 4,204601540201725, MeasuredPower = , HasMeasuredPower = False }</t>
  </si>
  <si>
    <t>27.11.2025 05:15:00</t>
  </si>
  <si>
    <t>-0,2</t>
  </si>
  <si>
    <t>PvRecord { Timestamp = 27.11.2025 05:30:00, Index = 0, DirectGeometryFactor = 0, DiffuseGeometryFactor = 0,9095760221444958, CosSunElevation = 0, GlobalHorizontalIrradiance = 0, SunshineDuration = 0, DiffuseHorizontalIrradiance = 0, AmbientTemp = -0,2, WindSpeed = 8,100000000000001, SnowDepth = 0, Weight = 0, Age = 4,204630060089807, MeasuredPower = , HasMeasuredPower = False }</t>
  </si>
  <si>
    <t>27.11.2025 05:30:00</t>
  </si>
  <si>
    <t>PvRecord { Timestamp = 27.11.2025 05:45:00, Index = 0, DirectGeometryFactor = 0, DiffuseGeometryFactor = 0,9095760221444958, CosSunElevation = 0, GlobalHorizontalIrradiance = 0, SunshineDuration = 0, DiffuseHorizontalIrradiance = 0, AmbientTemp = -0,30000000000000004, WindSpeed = 7,2, SnowDepth = 0, Weight = 0, Age = 4,204658579977888, MeasuredPower = , HasMeasuredPower = False }</t>
  </si>
  <si>
    <t>27.11.2025 05:45:00</t>
  </si>
  <si>
    <t>-0,30000000000000004</t>
  </si>
  <si>
    <t>7,2</t>
  </si>
  <si>
    <t>PvRecord { Timestamp = 27.11.2025 06:00:00, Index = 0, DirectGeometryFactor = 0, DiffuseGeometryFactor = 0,9095760221444958, CosSunElevation = 0, GlobalHorizontalIrradiance = 0, SunshineDuration = 0, DiffuseHorizontalIrradiance = 0, AmbientTemp = -0,30000000000000004, WindSpeed = 7,920000000000001, SnowDepth = 0, Weight = 0, Age = 4,20468709986597, MeasuredPower = , HasMeasuredPower = False }</t>
  </si>
  <si>
    <t>27.11.2025 06:00:00</t>
  </si>
  <si>
    <t>PvRecord { Timestamp = 27.11.2025 06:15:00, Index = 0, DirectGeometryFactor = 0, DiffuseGeometryFactor = 0,9095760221444958, CosSunElevation = 0, GlobalHorizontalIrradiance = 0, SunshineDuration = 0, DiffuseHorizontalIrradiance = 0, AmbientTemp = -0,35, WindSpeed = 7,380000000000001, SnowDepth = 0, Weight = 0, Age = 4,204715619754052, MeasuredPower = , HasMeasuredPower = False }</t>
  </si>
  <si>
    <t>27.11.2025 06:15:00</t>
  </si>
  <si>
    <t>-0,35</t>
  </si>
  <si>
    <t>PvRecord { Timestamp = 27.11.2025 06:30:00, Index = 0, DirectGeometryFactor = 0, DiffuseGeometryFactor = 0,9095760221444958, CosSunElevation = 0, GlobalHorizontalIrradiance = 0, SunshineDuration = 0, DiffuseHorizontalIrradiance = 0, AmbientTemp = -0,44999999999999996, WindSpeed = 7,200000000000001, SnowDepth = 0, Weight = 0, Age = 4,204744139642133, MeasuredPower = , HasMeasuredPower = False }</t>
  </si>
  <si>
    <t>27.11.2025 06:30:00</t>
  </si>
  <si>
    <t>-0,44999999999999996</t>
  </si>
  <si>
    <t>PvRecord { Timestamp = 27.11.2025 06:45:00, Index = 0, DirectGeometryFactor = 0, DiffuseGeometryFactor = 0,9095760221444958, CosSunElevation = 0, GlobalHorizontalIrradiance = 0, SunshineDuration = 0, DiffuseHorizontalIrradiance = 0, AmbientTemp = -0,6, WindSpeed = 7,02, SnowDepth = 0, Weight = 0, Age = 4,204772659530215, MeasuredPower = , HasMeasuredPower = False }</t>
  </si>
  <si>
    <t>27.11.2025 06:45:00</t>
  </si>
  <si>
    <t>-0,6</t>
  </si>
  <si>
    <t>7,02</t>
  </si>
  <si>
    <t>PvRecord { Timestamp = 27.11.2025 07:00:00, Index = 0, DirectGeometryFactor = 0, DiffuseGeometryFactor = 0,9095760221444958, CosSunElevation = 0, GlobalHorizontalIrradiance = 0, SunshineDuration = 0, DiffuseHorizontalIrradiance = 0, AmbientTemp = -0,7, WindSpeed = 8,1, SnowDepth = 0, Weight = 0, Age = 4,204801179418296, MeasuredPower = , HasMeasuredPower = False }</t>
  </si>
  <si>
    <t>27.11.2025 07:00:00</t>
  </si>
  <si>
    <t>-0,7</t>
  </si>
  <si>
    <t>8,1</t>
  </si>
  <si>
    <t>PvRecord { Timestamp = 27.11.2025 07:15:00, Index = 0, DirectGeometryFactor = 0, DiffuseGeometryFactor = 0,9095760221444958, CosSunElevation = 0, GlobalHorizontalIrradiance = 0, SunshineDuration = 0, DiffuseHorizontalIrradiance = 0, AmbientTemp = -0,8, WindSpeed = 8,82, SnowDepth = 0, Weight = 0, Age = 4,204829699306377, MeasuredPower = , HasMeasuredPower = False }</t>
  </si>
  <si>
    <t>27.11.2025 07:15:00</t>
  </si>
  <si>
    <t>-0,8</t>
  </si>
  <si>
    <t>8,82</t>
  </si>
  <si>
    <t>PvRecord { Timestamp = 27.11.2025 07:30:00, Index = 0, DirectGeometryFactor = 0, DiffuseGeometryFactor = 0,9095760221444958, CosSunElevation = 0, GlobalHorizontalIrradiance = 0, SunshineDuration = 0, DiffuseHorizontalIrradiance = 0, AmbientTemp = -0,8500000000000001, WindSpeed = 8,82, SnowDepth = 0, Weight = 0, Age = 4,20485821919446, MeasuredPower = , HasMeasuredPower = False }</t>
  </si>
  <si>
    <t>27.11.2025 07:30:00</t>
  </si>
  <si>
    <t>-0,8500000000000001</t>
  </si>
  <si>
    <t>PvRecord { Timestamp = 27.11.2025 07:45:00, Index = 0, DirectGeometryFactor = 0, DiffuseGeometryFactor = 0,9095760221444958, CosSunElevation = 0,009711687076621803, GlobalHorizontalIrradiance = 0, SunshineDuration = 0, DiffuseHorizontalIrradiance = 0, AmbientTemp = -0,9, WindSpeed = 10,26, SnowDepth = 0, Weight = 0, Age = 4,204886739082541, MeasuredPower = , HasMeasuredPower = False }</t>
  </si>
  <si>
    <t>27.11.2025 07:45:00</t>
  </si>
  <si>
    <t>0,009711687076621803</t>
  </si>
  <si>
    <t>-0,9</t>
  </si>
  <si>
    <t>10,26</t>
  </si>
  <si>
    <t>PvRecord { Timestamp = 27.11.2025 08:00:00, Index = 0, DirectGeometryFactor = 0,5131749105732718, DiffuseGeometryFactor = 0,9095760221444958, CosSunElevation = 0,043044682067644696, GlobalHorizontalIrradiance = 0, SunshineDuration = 0, DiffuseHorizontalIrradiance = 0, AmbientTemp = -0,9, WindSpeed = 10,620000000000001, SnowDepth = 0, Weight = 0, Age = 4,2049152589706225, MeasuredPower = , HasMeasuredPower = False }</t>
  </si>
  <si>
    <t>27.11.2025 08:00:00</t>
  </si>
  <si>
    <t>0,5131749105732718</t>
  </si>
  <si>
    <t>0,043044682067644696</t>
  </si>
  <si>
    <t>PvRecord { Timestamp = 27.11.2025 08:15:00, Index = 0, DirectGeometryFactor = 0,5551197564523643, DiffuseGeometryFactor = 0,9095760221444958, CosSunElevation = 0,07705153116640737, GlobalHorizontalIrradiance = 1,5999999999999999, SunshineDuration = 0, DiffuseHorizontalIrradiance = 20,4, AmbientTemp = -0,9500000000000001, WindSpeed = 10,620000000000001, SnowDepth = 0, Weight = 0, Age = 4,204943778858704, MeasuredPower = , HasMeasuredPower = False }</t>
  </si>
  <si>
    <t>27.11.2025 08:15:00</t>
  </si>
  <si>
    <t>0,5551197564523643</t>
  </si>
  <si>
    <t>0,07705153116640737</t>
  </si>
  <si>
    <t>20,4</t>
  </si>
  <si>
    <t>-0,9500000000000001</t>
  </si>
  <si>
    <t>PvRecord { Timestamp = 27.11.2025 08:30:00, Index = 0, DirectGeometryFactor = 0,5949423103647314, DiffuseGeometryFactor = 0,9095760221444958, CosSunElevation = 0,11034024566564708, GlobalHorizontalIrradiance = 15,716666666666669, SunshineDuration = 0, DiffuseHorizontalIrradiance = 18,15, AmbientTemp = -0,9500000000000001, WindSpeed = 10,08, SnowDepth = 0, Weight = 0, Age = 4,204972298746785, MeasuredPower = , HasMeasuredPower = False }</t>
  </si>
  <si>
    <t>27.11.2025 08:30:00</t>
  </si>
  <si>
    <t>0,5949423103647314</t>
  </si>
  <si>
    <t>0,11034024566564708</t>
  </si>
  <si>
    <t>18,15</t>
  </si>
  <si>
    <t>10,08</t>
  </si>
  <si>
    <t>PvRecord { Timestamp = 27.11.2025 08:45:00, Index = 0, DirectGeometryFactor = 0,6321217535318279, DiffuseGeometryFactor = 0,9095760221444958, CosSunElevation = 0,14235016373364304, GlobalHorizontalIrradiance = 47,55, SunshineDuration = 0, DiffuseHorizontalIrradiance = 31,15, AmbientTemp = -1, WindSpeed = 10,26, SnowDepth = 0, Weight = 0, Age = 4,2050008186348675, MeasuredPower = , HasMeasuredPower = False }</t>
  </si>
  <si>
    <t>27.11.2025 08:45:00</t>
  </si>
  <si>
    <t>0,6321217535318279</t>
  </si>
  <si>
    <t>0,14235016373364304</t>
  </si>
  <si>
    <t>47,55</t>
  </si>
  <si>
    <t>31,15</t>
  </si>
  <si>
    <t>PvRecord { Timestamp = 27.11.2025 09:00:00, Index = 0, DirectGeometryFactor = 0,6663658777610852, DiffuseGeometryFactor = 0,9095760221444958, CosSunElevation = 0,1727848825635071, GlobalHorizontalIrradiance = 75,36666666666667, SunshineDuration = 0, DiffuseHorizontalIrradiance = 46,35, AmbientTemp = -0,95, WindSpeed = 9, SnowDepth = 0, Weight = 0, Age = 4,205029338522949, MeasuredPower = , HasMeasuredPower = False }</t>
  </si>
  <si>
    <t>27.11.2025 09:00:00</t>
  </si>
  <si>
    <t>0,6663658777610852</t>
  </si>
  <si>
    <t>0,1727848825635071</t>
  </si>
  <si>
    <t>46,35</t>
  </si>
  <si>
    <t>-0,95</t>
  </si>
  <si>
    <t>PvRecord { Timestamp = 27.11.2025 09:15:00, Index = 0, DirectGeometryFactor = 0,6974686191300856, DiffuseGeometryFactor = 0,9095760221444958, CosSunElevation = 0,20144266696717586, GlobalHorizontalIrradiance = 113,16666666666666, SunshineDuration = 0, DiffuseHorizontalIrradiance = 59,05, AmbientTemp = -0,8500000000000001, WindSpeed = 9,18, SnowDepth = 0, Weight = 0, Age = 4,20505785841103, MeasuredPower = , HasMeasuredPower = False }</t>
  </si>
  <si>
    <t>27.11.2025 09:15:00</t>
  </si>
  <si>
    <t>0,6974686191300856</t>
  </si>
  <si>
    <t>0,20144266696717586</t>
  </si>
  <si>
    <t>59,05</t>
  </si>
  <si>
    <t>9,18</t>
  </si>
  <si>
    <t>PvRecord { Timestamp = 27.11.2025 09:30:00, Index = 0, DirectGeometryFactor = 0,7252667179131553, DiffuseGeometryFactor = 0,9095760221444958, CosSunElevation = 0,22816454493409824, GlobalHorizontalIrradiance = 113,96666666666667, SunshineDuration = 0, DiffuseHorizontalIrradiance = 68, AmbientTemp = -0,7, WindSpeed = 9,9, SnowDepth = 0, Weight = 0, Age = 4,205086378299112, MeasuredPower = , HasMeasuredPower = False }</t>
  </si>
  <si>
    <t>27.11.2025 09:30:00</t>
  </si>
  <si>
    <t>0,7252667179131553</t>
  </si>
  <si>
    <t>0,22816454493409824</t>
  </si>
  <si>
    <t>9,9</t>
  </si>
  <si>
    <t>PvRecord { Timestamp = 27.11.2025 09:45:00, Index = 0, DirectGeometryFactor = 0,7496244355775918, DiffuseGeometryFactor = 0,9095760221444958, CosSunElevation = 0,25281587496165586, GlobalHorizontalIrradiance = 103,91666666666666, SunshineDuration = 0, DiffuseHorizontalIrradiance = 82,94999999999999, AmbientTemp = -0,55, WindSpeed = 11,34, SnowDepth = 0, Weight = 0, Age = 4,205114898187193, MeasuredPower = , HasMeasuredPower = False }</t>
  </si>
  <si>
    <t>27.11.2025 09:45:00</t>
  </si>
  <si>
    <t>0,7496244355775918</t>
  </si>
  <si>
    <t>0,25281587496165586</t>
  </si>
  <si>
    <t>-0,55</t>
  </si>
  <si>
    <t>PvRecord { Timestamp = 27.11.2025 10:00:00, Index = 0, DirectGeometryFactor = 0,7704275158175156, DiffuseGeometryFactor = 0,9095760221444958, CosSunElevation = 0,2752789924376915, GlobalHorizontalIrradiance = 89,61666666666665, SunshineDuration = 0, DiffuseHorizontalIrradiance = 99,4, AmbientTemp = -0,3, WindSpeed = 12,419999999999998, SnowDepth = 0, Weight = 0, Age = 4,205143418075275, MeasuredPower = , HasMeasuredPower = False }</t>
  </si>
  <si>
    <t>27.11.2025 10:00:00</t>
  </si>
  <si>
    <t>0,7704275158175156</t>
  </si>
  <si>
    <t>0,2752789924376915</t>
  </si>
  <si>
    <t>99,4</t>
  </si>
  <si>
    <t>-0,3</t>
  </si>
  <si>
    <t>PvRecord { Timestamp = 27.11.2025 10:15:00, Index = 0, DirectGeometryFactor = 0,7875806196230138, DiffuseGeometryFactor = 0,9095760221444958, CosSunElevation = 0,2954500503362712, GlobalHorizontalIrradiance = 143,73333333333335, SunshineDuration = 0, DiffuseHorizontalIrradiance = 104,15, AmbientTemp = -0,1, WindSpeed = 11,879999999999999, SnowDepth = 0, Weight = 0, Age = 4,205171937963357, MeasuredPower = , HasMeasuredPower = False }</t>
  </si>
  <si>
    <t>27.11.2025 10:15:00</t>
  </si>
  <si>
    <t>0,7875806196230138</t>
  </si>
  <si>
    <t>0,2954500503362712</t>
  </si>
  <si>
    <t>104,15</t>
  </si>
  <si>
    <t>-0,1</t>
  </si>
  <si>
    <t>PvRecord { Timestamp = 27.11.2025 10:30:00, Index = 0, DirectGeometryFactor = 0,8010061987381911, DiffuseGeometryFactor = 0,9095760221444958, CosSunElevation = 0,3132376212732035, GlobalHorizontalIrradiance = 203,78333333333333, SunshineDuration = 0, DiffuseHorizontalIrradiance = 115,3, AmbientTemp = 0,1, WindSpeed = 9,360000000000001, SnowDepth = 0, Weight = 0, Age = 4,205200457851438, MeasuredPower = , HasMeasuredPower = False }</t>
  </si>
  <si>
    <t>27.11.2025 10:30:00</t>
  </si>
  <si>
    <t>0,8010061987381911</t>
  </si>
  <si>
    <t>0,3132376212732035</t>
  </si>
  <si>
    <t>115,3</t>
  </si>
  <si>
    <t>0,1</t>
  </si>
  <si>
    <t>PvRecord { Timestamp = 27.11.2025 10:45:00, Index = 0, DirectGeometryFactor = 0,810644001973413, DiffuseGeometryFactor = 0,9095760221444958, CosSunElevation = 0,3285620968272291, GlobalHorizontalIrradiance = 261,31666666666666, SunshineDuration = 0, DiffuseHorizontalIrradiance = 122,3, AmbientTemp = 0,4, WindSpeed = 6,66, SnowDepth = 0, Weight = 0, Age = 4,2052289777395195, MeasuredPower = , HasMeasuredPower = False }</t>
  </si>
  <si>
    <t>27.11.2025 10:45:00</t>
  </si>
  <si>
    <t>0,810644001973413</t>
  </si>
  <si>
    <t>0,3285620968272291</t>
  </si>
  <si>
    <t>122,3</t>
  </si>
  <si>
    <t>6,66</t>
  </si>
  <si>
    <t>PvRecord { Timestamp = 27.11.2025 11:00:00, Index = 0, DirectGeometryFactor = 0,8164508639437255, DiffuseGeometryFactor = 0,9095760221444958, CosSunElevation = 0,3413554642718033, GlobalHorizontalIrradiance = 211,88333333333333, SunshineDuration = 0, DiffuseHorizontalIrradiance = 127,25, AmbientTemp = 0,65, WindSpeed = 6,300000000000001, SnowDepth = 0, Weight = 0, Age = 4,205257497627601, MeasuredPower = , HasMeasuredPower = False }</t>
  </si>
  <si>
    <t>27.11.2025 11:00:00</t>
  </si>
  <si>
    <t>0,8164508639437255</t>
  </si>
  <si>
    <t>0,3413554642718033</t>
  </si>
  <si>
    <t>127,25</t>
  </si>
  <si>
    <t>0,65</t>
  </si>
  <si>
    <t>PvRecord { Timestamp = 27.11.2025 11:15:00, Index = 0, DirectGeometryFactor = 0,818400611414039, DiffuseGeometryFactor = 0,9095760221444958, CosSunElevation = 0,3515612628709026, GlobalHorizontalIrradiance = 222,15, SunshineDuration = 0, DiffuseHorizontalIrradiance = 133,75, AmbientTemp = 0,9500000000000001, WindSpeed = 8,1, SnowDepth = 0, Weight = 0, Age = 4,205286017515683, MeasuredPower = , HasMeasuredPower = False }</t>
  </si>
  <si>
    <t>27.11.2025 11:15:00</t>
  </si>
  <si>
    <t>0,818400611414039</t>
  </si>
  <si>
    <t>0,3515612628709026</t>
  </si>
  <si>
    <t>222,15</t>
  </si>
  <si>
    <t>133,75</t>
  </si>
  <si>
    <t>0,9500000000000001</t>
  </si>
  <si>
    <t>PvRecord { Timestamp = 27.11.2025 11:30:00, Index = 0, DirectGeometryFactor = 0,8164840050318016, DiffuseGeometryFactor = 0,9095760221444958, CosSunElevation = 0,3591346207255808, GlobalHorizontalIrradiance = 246,21666666666664, SunshineDuration = 0, DiffuseHorizontalIrradiance = 143,85, AmbientTemp = 1,2, WindSpeed = 8,82, SnowDepth = 0, Weight = 0, Age = 4,205314537403765, MeasuredPower = , HasMeasuredPower = False }</t>
  </si>
  <si>
    <t>27.11.2025 11:30:00</t>
  </si>
  <si>
    <t>0,8164840050318016</t>
  </si>
  <si>
    <t>0,3591346207255808</t>
  </si>
  <si>
    <t>143,85</t>
  </si>
  <si>
    <t>1,2</t>
  </si>
  <si>
    <t>PvRecord { Timestamp = 27.11.2025 11:45:00, Index = 0, DirectGeometryFactor = 0,8107086731576063, DiffuseGeometryFactor = 0,9095760221444958, CosSunElevation = 0,36404231979743973, GlobalHorizontalIrradiance = 195,93333333333334, SunshineDuration = 0, DiffuseHorizontalIrradiance = 139,2, AmbientTemp = 1,55, WindSpeed = 7,92, SnowDepth = 0, Weight = 0, Age = 4,205343057291846, MeasuredPower = , HasMeasuredPower = False }</t>
  </si>
  <si>
    <t>27.11.2025 11:45:00</t>
  </si>
  <si>
    <t>0,8107086731576063</t>
  </si>
  <si>
    <t>0,36404231979743973</t>
  </si>
  <si>
    <t>139,2</t>
  </si>
  <si>
    <t>7,92</t>
  </si>
  <si>
    <t>PvRecord { Timestamp = 27.11.2025 12:00:00, Index = 0, DirectGeometryFactor = 0,8010990143879437, DiffuseGeometryFactor = 0,9095760221444958, CosSunElevation = 0,36626286026503413, GlobalHorizontalIrradiance = 142,91666666666666, SunshineDuration = 0, DiffuseHorizontalIrradiance = 135,64999999999998, AmbientTemp = 1,85, WindSpeed = 6,840000000000001, SnowDepth = 0, Weight = 0, Age = 4,205371577179927, MeasuredPower = , HasMeasuredPower = False }</t>
  </si>
  <si>
    <t>27.11.2025 12:00:00</t>
  </si>
  <si>
    <t>0,8010990143879437</t>
  </si>
  <si>
    <t>0,36626286026503413</t>
  </si>
  <si>
    <t>1,85</t>
  </si>
  <si>
    <t>PvRecord { Timestamp = 27.11.2025 12:15:00, Index = 0, DirectGeometryFactor = 0,7876960562550931, DiffuseGeometryFactor = 0,9095760221444958, CosSunElevation = 0,36578650841511356, GlobalHorizontalIrradiance = 182,03333333333333, SunshineDuration = 0, DiffuseHorizontalIrradiance = 130,05, AmbientTemp = 2,1, WindSpeed = 5,94, SnowDepth = 0, Weight = 0, Age = 4,205400097068009, MeasuredPower = , HasMeasuredPower = False }</t>
  </si>
  <si>
    <t>27.11.2025 12:15:00</t>
  </si>
  <si>
    <t>0,7876960562550931</t>
  </si>
  <si>
    <t>0,36578650841511356</t>
  </si>
  <si>
    <t>130,05</t>
  </si>
  <si>
    <t>2,1</t>
  </si>
  <si>
    <t>PvRecord { Timestamp = 27.11.2025 12:30:00, Index = 0, DirectGeometryFactor = 0,7705572637812308, DiffuseGeometryFactor = 0,9095760221444958, CosSunElevation = 0,3626153196647706, GlobalHorizontalIrradiance = 184,33333333333334, SunshineDuration = 0, DiffuseHorizontalIrradiance = 124,6, AmbientTemp = 2,3, WindSpeed = 5,04, SnowDepth = 0, Weight = 0, Age = 4,205428616956091, MeasuredPower = , HasMeasuredPower = False }</t>
  </si>
  <si>
    <t>27.11.2025 12:30:00</t>
  </si>
  <si>
    <t>0,7705572637812308</t>
  </si>
  <si>
    <t>0,3626153196647706</t>
  </si>
  <si>
    <t>124,6</t>
  </si>
  <si>
    <t>2,3</t>
  </si>
  <si>
    <t>5,04</t>
  </si>
  <si>
    <t>PvRecord { Timestamp = 27.11.2025 12:45:00, Index = 0, DirectGeometryFactor = 0,749756296092394, DiffuseGeometryFactor = 0,9095760221444958, CosSunElevation = 0,35676313332443454, GlobalHorizontalIrradiance = 242,14999999999998, SunshineDuration = 0, DiffuseHorizontalIrradiance = 127,15, AmbientTemp = 2,4, WindSpeed = 5,220000000000001, SnowDepth = 0, Weight = 0, Age = 4,205457136844172, MeasuredPower = , HasMeasuredPower = False }</t>
  </si>
  <si>
    <t>27.11.2025 12:45:00</t>
  </si>
  <si>
    <t>0,749756296092394</t>
  </si>
  <si>
    <t>0,35676313332443454</t>
  </si>
  <si>
    <t>127,15</t>
  </si>
  <si>
    <t>2,4</t>
  </si>
  <si>
    <t>PvRecord { Timestamp = 27.11.2025 13:00:00, Index = 0, DirectGeometryFactor = 0,7253827126627685, DiffuseGeometryFactor = 0,9095760221444958, CosSunElevation = 0,34825553986327973, GlobalHorizontalIrradiance = 168,61666666666665, SunshineDuration = 0, DiffuseHorizontalIrradiance = 130,15, AmbientTemp = 2,55, WindSpeed = 6,84, SnowDepth = 0, Weight = 0, Age = 4,205485656732254, MeasuredPower = , HasMeasuredPower = False }</t>
  </si>
  <si>
    <t>27.11.2025 13:00:00</t>
  </si>
  <si>
    <t>0,7253827126627685</t>
  </si>
  <si>
    <t>0,34825553986327973</t>
  </si>
  <si>
    <t>130,15</t>
  </si>
  <si>
    <t>2,55</t>
  </si>
  <si>
    <t>PvRecord { Timestamp = 27.11.2025 13:15:00, Index = 0, DirectGeometryFactor = 0,6975416342074996, DiffuseGeometryFactor = 0,9095760221444958, CosSunElevation = 0,33712982556525695, GlobalHorizontalIrradiance = 108,18333333333334, SunshineDuration = 0, DiffuseHorizontalIrradiance = 129,15, AmbientTemp = 2,6, WindSpeed = 7,38, SnowDepth = 0, Weight = 0, Age = 4,205514176620335, MeasuredPower = , HasMeasuredPower = False }</t>
  </si>
  <si>
    <t>27.11.2025 13:15:00</t>
  </si>
  <si>
    <t>0,6975416342074996</t>
  </si>
  <si>
    <t>0,33712982556525695</t>
  </si>
  <si>
    <t>129,15</t>
  </si>
  <si>
    <t>2,6</t>
  </si>
  <si>
    <t>7,38</t>
  </si>
  <si>
    <t>PvRecord { Timestamp = 27.11.2025 13:30:00, Index = 0, DirectGeometryFactor = 0,6663533684905489, DiffuseGeometryFactor = 0,9095760221444958, CosSunElevation = 0,323434905301869, GlobalHorizontalIrradiance = 121,23333333333332, SunshineDuration = 0, DiffuseHorizontalIrradiance = 128,6, AmbientTemp = 2,75, WindSpeed = 7,38, SnowDepth = 0, Weight = 0, Age = 4,205542696508417, MeasuredPower = , HasMeasuredPower = False }</t>
  </si>
  <si>
    <t>27.11.2025 13:30:00</t>
  </si>
  <si>
    <t>0,6663533684905489</t>
  </si>
  <si>
    <t>0,323434905301869</t>
  </si>
  <si>
    <t>128,6</t>
  </si>
  <si>
    <t>2,75</t>
  </si>
  <si>
    <t>PvRecord { Timestamp = 27.11.2025 13:45:00, Index = 0, DirectGeometryFactor = 0,6319530184764472, DiffuseGeometryFactor = 0,9095760221444958, CosSunElevation = 0,3072312630627509, GlobalHorizontalIrradiance = 118,33333333333334, SunshineDuration = 0, DiffuseHorizontalIrradiance = 125,6, AmbientTemp = 2,75, WindSpeed = 7,0200000000000005, SnowDepth = 0, Weight = 0, Age = 4,205571216396499, MeasuredPower = , HasMeasuredPower = False }</t>
  </si>
  <si>
    <t>27.11.2025 13:45:00</t>
  </si>
  <si>
    <t>0,6319530184764472</t>
  </si>
  <si>
    <t>0,3072312630627509</t>
  </si>
  <si>
    <t>125,6</t>
  </si>
  <si>
    <t>PvRecord { Timestamp = 27.11.2025 14:00:00, Index = 0, DirectGeometryFactor = 0,5944901031787637, DiffuseGeometryFactor = 0,9095760221444958, CosSunElevation = 0,2885909355512249, GlobalHorizontalIrradiance = 108,1, SunshineDuration = 0, DiffuseHorizontalIrradiance = 108,4, AmbientTemp = 2,8, WindSpeed = 6,120000000000001, SnowDepth = 0, Weight = 0, Age = 4,20559973628458, MeasuredPower = , HasMeasuredPower = False }</t>
  </si>
  <si>
    <t>27.11.2025 14:00:00</t>
  </si>
  <si>
    <t>0,5944901031787637</t>
  </si>
  <si>
    <t>0,2885909355512249</t>
  </si>
  <si>
    <t>108,1</t>
  </si>
  <si>
    <t>108,4</t>
  </si>
  <si>
    <t>2,8</t>
  </si>
  <si>
    <t>PvRecord { Timestamp = 27.11.2025 14:15:00, Index = 0, DirectGeometryFactor = 0,5541282469113974, DiffuseGeometryFactor = 0,9095760221444958, CosSunElevation = 0,2675976043751844, GlobalHorizontalIrradiance = 116,36666666666666, SunshineDuration = 0, DiffuseHorizontalIrradiance = 102, AmbientTemp = 2,9, WindSpeed = 6,48, SnowDepth = 0, Weight = 0, Age = 4,205628256172662, MeasuredPower = , HasMeasuredPower = False }</t>
  </si>
  <si>
    <t>27.11.2025 14:15:00</t>
  </si>
  <si>
    <t>0,5541282469113974</t>
  </si>
  <si>
    <t>0,2675976043751844</t>
  </si>
  <si>
    <t>2,9</t>
  </si>
  <si>
    <t>PvRecord { Timestamp = 27.11.2025 14:30:00, Index = 0, DirectGeometryFactor = 0,51104504190301, DiffuseGeometryFactor = 0,9095760221444958, CosSunElevation = 0,2443469225721047, GlobalHorizontalIrradiance = 96,18333333333334, SunshineDuration = 0, DiffuseHorizontalIrradiance = 106,15, AmbientTemp = 2,9, WindSpeed = 6,66, SnowDepth = 0, Weight = 0, Age = 4,205656776060743, MeasuredPower = , HasMeasuredPower = False }</t>
  </si>
  <si>
    <t>27.11.2025 14:30:00</t>
  </si>
  <si>
    <t>0,51104504190301</t>
  </si>
  <si>
    <t>0,2443469225721047</t>
  </si>
  <si>
    <t>106,15</t>
  </si>
  <si>
    <t>PvRecord { Timestamp = 27.11.2025 14:45:00, Index = 0, DirectGeometryFactor = 0,46543229634395955, DiffuseGeometryFactor = 0,9095760221444958, CosSunElevation = 0,21894733137824166, GlobalHorizontalIrradiance = 103, SunshineDuration = 0, DiffuseHorizontalIrradiance = 94,85, AmbientTemp = 2,95, WindSpeed = 7,5600000000000005, SnowDepth = 0, Weight = 0, Age = 4,2056852959488245, MeasuredPower = , HasMeasuredPower = False }</t>
  </si>
  <si>
    <t>27.11.2025 14:45:00</t>
  </si>
  <si>
    <t>0,46543229634395955</t>
  </si>
  <si>
    <t>0,21894733137824166</t>
  </si>
  <si>
    <t>94,85</t>
  </si>
  <si>
    <t>2,95</t>
  </si>
  <si>
    <t>PvRecord { Timestamp = 27.11.2025 15:00:00, Index = 0, DirectGeometryFactor = 0,41749712953912754, DiffuseGeometryFactor = 0,9095760221444958, CosSunElevation = 0,1915219259130837, GlobalHorizontalIrradiance = 91,05, SunshineDuration = 0, DiffuseHorizontalIrradiance = 86,9, AmbientTemp = 2,95, WindSpeed = 8,82, SnowDepth = 0, Weight = 0, Age = 4,205713815836907, MeasuredPower = , HasMeasuredPower = False }</t>
  </si>
  <si>
    <t>27.11.2025 15:00:00</t>
  </si>
  <si>
    <t>0,41749712953912754</t>
  </si>
  <si>
    <t>0,1915219259130837</t>
  </si>
  <si>
    <t>91,05</t>
  </si>
  <si>
    <t>86,9</t>
  </si>
  <si>
    <t>PvRecord { Timestamp = 27.11.2025 15:15:00, Index = 0, DirectGeometryFactor = 0,36746500426840284, DiffuseGeometryFactor = 0,9095760221444958, CosSunElevation = 0,16221269268082653, GlobalHorizontalIrradiance = 80,35, SunshineDuration = 0, DiffuseHorizontalIrradiance = 73,25, AmbientTemp = 2,95, WindSpeed = 9,719999999999999, SnowDepth = 0, Weight = 0, Age = 4,205742335724988, MeasuredPower = , HasMeasuredPower = False }</t>
  </si>
  <si>
    <t>27.11.2025 15:15:00</t>
  </si>
  <si>
    <t>0,36746500426840284</t>
  </si>
  <si>
    <t>0,16221269268082653</t>
  </si>
  <si>
    <t>80,35</t>
  </si>
  <si>
    <t>73,25</t>
  </si>
  <si>
    <t>PvRecord { Timestamp = 27.11.2025 15:30:00, Index = 0, DirectGeometryFactor = 0,31558755102655706, DiffuseGeometryFactor = 0,9095760221444958, CosSunElevation = 0,13119058613705237, GlobalHorizontalIrradiance = 66,33333333333334, SunshineDuration = 0, DiffuseHorizontalIrradiance = 62,45, AmbientTemp = 2,9, WindSpeed = 9,719999999999999, SnowDepth = 0, Weight = 0, Age = 4,2057708556130695, MeasuredPower = , HasMeasuredPower = False }</t>
  </si>
  <si>
    <t>27.11.2025 15:30:00</t>
  </si>
  <si>
    <t>0,31558755102655706</t>
  </si>
  <si>
    <t>0,13119058613705237</t>
  </si>
  <si>
    <t>62,45</t>
  </si>
  <si>
    <t>PvRecord { Timestamp = 27.11.2025 15:45:00, Index = 0, DirectGeometryFactor = 0, DiffuseGeometryFactor = 0,9095760221444958, CosSunElevation = 0,09868172706829074, GlobalHorizontalIrradiance = 60,86666666666666, SunshineDuration = 0, DiffuseHorizontalIrradiance = 50,7, AmbientTemp = 2,8499999999999996, WindSpeed = 9, SnowDepth = 0, Weight = 0, Age = 4,205799375501151, MeasuredPower = , HasMeasuredPower = False }</t>
  </si>
  <si>
    <t>27.11.2025 15:45:00</t>
  </si>
  <si>
    <t>0,09868172706829074</t>
  </si>
  <si>
    <t>50,7</t>
  </si>
  <si>
    <t>PvRecord { Timestamp = 27.11.2025 16:00:00, Index = 0, DirectGeometryFactor = 0, DiffuseGeometryFactor = 0,9095760221444958, CosSunElevation = 0,06504501416406758, GlobalHorizontalIrradiance = 54,03333333333333, SunshineDuration = 0, DiffuseHorizontalIrradiance = 36,4, AmbientTemp = 2,75, WindSpeed = 8,64, SnowDepth = 0, Weight = 0, Age = 4,205827895389232, MeasuredPower = , HasMeasuredPower = False }</t>
  </si>
  <si>
    <t>27.11.2025 16:00:00</t>
  </si>
  <si>
    <t>0,06504501416406758</t>
  </si>
  <si>
    <t>36,4</t>
  </si>
  <si>
    <t>PvRecord { Timestamp = 27.11.2025 16:15:00, Index = 0, DirectGeometryFactor = 0, DiffuseGeometryFactor = 0,9095760221444958, CosSunElevation = 0,031037914670318828, GlobalHorizontalIrradiance = 28,53333333333333, SunshineDuration = 0, DiffuseHorizontalIrradiance = 25,6, AmbientTemp = 2,6500000000000004, WindSpeed = 8,1, SnowDepth = 0, Weight = 0, Age = 4,205856415277315, MeasuredPower = , HasMeasuredPower = False }</t>
  </si>
  <si>
    <t>27.11.2025 16:15:00</t>
  </si>
  <si>
    <t>0,031037914670318828</t>
  </si>
  <si>
    <t>25,6</t>
  </si>
  <si>
    <t>PvRecord { Timestamp = 27.11.2025 16:30:00, Index = 0, DirectGeometryFactor = 0, DiffuseGeometryFactor = 0,9095760221444958, CosSunElevation = 0, GlobalHorizontalIrradiance = 8,916666666666664, SunshineDuration = 0, DiffuseHorizontalIrradiance = 14,05, AmbientTemp = 2,55, WindSpeed = 8,46, SnowDepth = 0, Weight = 0, Age = 4,205884935165396, MeasuredPower = , HasMeasuredPower = False }</t>
  </si>
  <si>
    <t>27.11.2025 16:30:00</t>
  </si>
  <si>
    <t>14,05</t>
  </si>
  <si>
    <t>8,46</t>
  </si>
  <si>
    <t>PvRecord { Timestamp = 27.11.2025 16:45:00, Index = 0, DirectGeometryFactor = 0, DiffuseGeometryFactor = 0,9095760221444958, CosSunElevation = 0, GlobalHorizontalIrradiance = 0,7333333333333333, SunshineDuration = 0, DiffuseHorizontalIrradiance = 3,15, AmbientTemp = 2,4000000000000004, WindSpeed = 8,46, SnowDepth = 0, Weight = 0, Age = 4,205913455053477, MeasuredPower = , HasMeasuredPower = False }</t>
  </si>
  <si>
    <t>27.11.2025 16:45:00</t>
  </si>
  <si>
    <t>0,7333333333333333</t>
  </si>
  <si>
    <t>3,15</t>
  </si>
  <si>
    <t>PvRecord { Timestamp = 27.11.2025 17:00:00, Index = 0, DirectGeometryFactor = 0, DiffuseGeometryFactor = 0,9095760221444958, CosSunElevation = 0, GlobalHorizontalIrradiance = 0, SunshineDuration = 0, DiffuseHorizontalIrradiance = 0, AmbientTemp = 2,2, WindSpeed = 9, SnowDepth = 0, Weight = 0, Age = 4,205941974941559, MeasuredPower = , HasMeasuredPower = False }</t>
  </si>
  <si>
    <t>27.11.2025 17:00:00</t>
  </si>
  <si>
    <t>2,2</t>
  </si>
  <si>
    <t>PvRecord { Timestamp = 27.11.2025 17:15:00, Index = 0, DirectGeometryFactor = 0, DiffuseGeometryFactor = 0,9095760221444958, CosSunElevation = 0, GlobalHorizontalIrradiance = 0, SunshineDuration = 0, DiffuseHorizontalIrradiance = 0, AmbientTemp = 2,05, WindSpeed = 8,82, SnowDepth = 0, Weight = 0, Age = 4,20597049482964, MeasuredPower = , HasMeasuredPower = False }</t>
  </si>
  <si>
    <t>27.11.2025 17:15:00</t>
  </si>
  <si>
    <t>2,05</t>
  </si>
  <si>
    <t>PvRecord { Timestamp = 27.11.2025 17:30:00, Index = 0, DirectGeometryFactor = 0, DiffuseGeometryFactor = 0,9095760221444958, CosSunElevation = 0, GlobalHorizontalIrradiance = 0, SunshineDuration = 0, DiffuseHorizontalIrradiance = 0, AmbientTemp = 1,85, WindSpeed = 9, SnowDepth = 0, Weight = 0, Age = 4,205999014717722, MeasuredPower = , HasMeasuredPower = False }</t>
  </si>
  <si>
    <t>27.11.2025 17:30:00</t>
  </si>
  <si>
    <t>PvRecord { Timestamp = 27.11.2025 17:45:00, Index = 0, DirectGeometryFactor = 0, DiffuseGeometryFactor = 0,9095760221444958, CosSunElevation = 0, GlobalHorizontalIrradiance = 0, SunshineDuration = 0, DiffuseHorizontalIrradiance = 0, AmbientTemp = 1,7, WindSpeed = 8,64, SnowDepth = 0, Weight = 0, Age = 4,206027534605804, MeasuredPower = , HasMeasuredPower = False }</t>
  </si>
  <si>
    <t>27.11.2025 17:45:00</t>
  </si>
  <si>
    <t>1,7</t>
  </si>
  <si>
    <t>PvRecord { Timestamp = 27.11.2025 18:00:00, Index = 0, DirectGeometryFactor = 0, DiffuseGeometryFactor = 0,9095760221444958, CosSunElevation = 0, GlobalHorizontalIrradiance = 0, SunshineDuration = 0, DiffuseHorizontalIrradiance = 0, AmbientTemp = 1,5499999999999998, WindSpeed = 8,1, SnowDepth = 0, Weight = 0, Age = 4,206056054493885, MeasuredPower = , HasMeasuredPower = False }</t>
  </si>
  <si>
    <t>27.11.2025 18:00:00</t>
  </si>
  <si>
    <t>PvRecord { Timestamp = 27.11.2025 18:15:00, Index = 0, DirectGeometryFactor = 0, DiffuseGeometryFactor = 0,9095760221444958, CosSunElevation = 0, GlobalHorizontalIrradiance = 0, SunshineDuration = 0, DiffuseHorizontalIrradiance = 0, AmbientTemp = 1,3, WindSpeed = 7,5600000000000005, SnowDepth = 0, Weight = 0, Age = 4,206084574381967, MeasuredPower = , HasMeasuredPower = False }</t>
  </si>
  <si>
    <t>27.11.2025 18:15:00</t>
  </si>
  <si>
    <t>PvRecord { Timestamp = 27.11.2025 18:30:00, Index = 0, DirectGeometryFactor = 0, DiffuseGeometryFactor = 0,9095760221444958, CosSunElevation = 0, GlobalHorizontalIrradiance = 0, SunshineDuration = 0, DiffuseHorizontalIrradiance = 0, AmbientTemp = 1,2, WindSpeed = 6,66, SnowDepth = 0, Weight = 0, Age = 4,206113094270049, MeasuredPower = , HasMeasuredPower = False }</t>
  </si>
  <si>
    <t>27.11.2025 18:30:00</t>
  </si>
  <si>
    <t>PvRecord { Timestamp = 27.11.2025 18:45:00, Index = 0, DirectGeometryFactor = 0, DiffuseGeometryFactor = 0,9095760221444958, CosSunElevation = 0, GlobalHorizontalIrradiance = 0, SunshineDuration = 0, DiffuseHorizontalIrradiance = 0, AmbientTemp = 1,05, WindSpeed = 5,58, SnowDepth = 0, Weight = 0, Age = 4,20614161415813, MeasuredPower = , HasMeasuredPower = False }</t>
  </si>
  <si>
    <t>27.11.2025 18:45:00</t>
  </si>
  <si>
    <t>1,05</t>
  </si>
  <si>
    <t>5,58</t>
  </si>
  <si>
    <t>PvRecord { Timestamp = 27.11.2025 19:00:00, Index = 0, DirectGeometryFactor = 0, DiffuseGeometryFactor = 0,9095760221444958, CosSunElevation = 0, GlobalHorizontalIrradiance = 0, SunshineDuration = 0, DiffuseHorizontalIrradiance = 0, AmbientTemp = 0,9, WindSpeed = 3,7800000000000002, SnowDepth = 0, Weight = 0, Age = 4,206170134046212, MeasuredPower = , HasMeasuredPower = False }</t>
  </si>
  <si>
    <t>27.11.2025 19:00:00</t>
  </si>
  <si>
    <t>0,9</t>
  </si>
  <si>
    <t>PvRecord { Timestamp = 27.11.2025 19:15:00, Index = 0, DirectGeometryFactor = 0, DiffuseGeometryFactor = 0,9095760221444958, CosSunElevation = 0, GlobalHorizontalIrradiance = 0, SunshineDuration = 0, DiffuseHorizontalIrradiance = 0, AmbientTemp = 0,75, WindSpeed = 3,6000000000000005, SnowDepth = 0, Weight = 0, Age = 4,206198653934293, MeasuredPower = , HasMeasuredPower = False }</t>
  </si>
  <si>
    <t>27.11.2025 19:15:00</t>
  </si>
  <si>
    <t>PvRecord { Timestamp = 27.11.2025 19:30:00, Index = 0, DirectGeometryFactor = 0, DiffuseGeometryFactor = 0,9095760221444958, CosSunElevation = 0, GlobalHorizontalIrradiance = 0, SunshineDuration = 0, DiffuseHorizontalIrradiance = 0, AmbientTemp = 0,6, WindSpeed = 3,6000000000000005, SnowDepth = 0, Weight = 0, Age = 4,206227173822374, MeasuredPower = , HasMeasuredPower = False }</t>
  </si>
  <si>
    <t>27.11.2025 19:30:00</t>
  </si>
  <si>
    <t>PvRecord { Timestamp = 27.11.2025 19:45:00, Index = 0, DirectGeometryFactor = 0, DiffuseGeometryFactor = 0,9095760221444958, CosSunElevation = 0, GlobalHorizontalIrradiance = 0, SunshineDuration = 0, DiffuseHorizontalIrradiance = 0, AmbientTemp = 0,4, WindSpeed = 3,6000000000000005, SnowDepth = 0, Weight = 0, Age = 4,206255693710457, MeasuredPower = , HasMeasuredPower = False }</t>
  </si>
  <si>
    <t>27.11.2025 19:45:00</t>
  </si>
  <si>
    <t>PvRecord { Timestamp = 27.11.2025 20:00:00, Index = 0, DirectGeometryFactor = 0, DiffuseGeometryFactor = 0,9095760221444958, CosSunElevation = 0, GlobalHorizontalIrradiance = 0, SunshineDuration = 0, DiffuseHorizontalIrradiance = 0, AmbientTemp = 0,25, WindSpeed = 3,24, SnowDepth = 0, Weight = 0, Age = 4,206284213598538, MeasuredPower = , HasMeasuredPower = False }</t>
  </si>
  <si>
    <t>27.11.2025 20:00:00</t>
  </si>
  <si>
    <t>PvRecord { Timestamp = 27.11.2025 20:15:00, Index = 0, DirectGeometryFactor = 0, DiffuseGeometryFactor = 0,9095760221444958, CosSunElevation = 0, GlobalHorizontalIrradiance = 0, SunshineDuration = 0, DiffuseHorizontalIrradiance = 0, AmbientTemp = 0,15000000000000002, WindSpeed = 2,7, SnowDepth = 0, Weight = 0, Age = 4,2063127334866195, MeasuredPower = , HasMeasuredPower = False }</t>
  </si>
  <si>
    <t>27.11.2025 20:15:00</t>
  </si>
  <si>
    <t>0,15000000000000002</t>
  </si>
  <si>
    <t>PvRecord { Timestamp = 27.11.2025 20:30:00, Index = 0, DirectGeometryFactor = 0, DiffuseGeometryFactor = 0,9095760221444958, CosSunElevation = 0, GlobalHorizontalIrradiance = 0, SunshineDuration = 0, DiffuseHorizontalIrradiance = 0, AmbientTemp = 0,05, WindSpeed = 1,9800000000000002, SnowDepth = 0, Weight = 0, Age = 4,206341253374701, MeasuredPower = , HasMeasuredPower = False }</t>
  </si>
  <si>
    <t>27.11.2025 20:30:00</t>
  </si>
  <si>
    <t>PvRecord { Timestamp = 27.11.2025 20:45:00, Index = 0, DirectGeometryFactor = 0, DiffuseGeometryFactor = 0,9095760221444958, CosSunElevation = 0, GlobalHorizontalIrradiance = 0, SunshineDuration = 0, DiffuseHorizontalIrradiance = 0, AmbientTemp = -0,1, WindSpeed = 2,8800000000000003, SnowDepth = 0, Weight = 0, Age = 4,206369773262782, MeasuredPower = , HasMeasuredPower = False }</t>
  </si>
  <si>
    <t>27.11.2025 20:45:00</t>
  </si>
  <si>
    <t>PvRecord { Timestamp = 27.11.2025 21:00:00, Index = 0, DirectGeometryFactor = 0, DiffuseGeometryFactor = 0,9095760221444958, CosSunElevation = 0, GlobalHorizontalIrradiance = 0, SunshineDuration = 0, DiffuseHorizontalIrradiance = 0, AmbientTemp = -0,25, WindSpeed = 3,4200000000000004, SnowDepth = 0, Weight = 0, Age = 4,2063982931508646, MeasuredPower = , HasMeasuredPower = False }</t>
  </si>
  <si>
    <t>27.11.2025 21:00:00</t>
  </si>
  <si>
    <t>-0,25</t>
  </si>
  <si>
    <t>PvRecord { Timestamp = 27.11.2025 21:15:00, Index = 0, DirectGeometryFactor = 0, DiffuseGeometryFactor = 0,9095760221444958, CosSunElevation = 0, GlobalHorizontalIrradiance = 0, SunshineDuration = 0, DiffuseHorizontalIrradiance = 0, AmbientTemp = -0,25, WindSpeed = 3,9600000000000004, SnowDepth = 0, Weight = 0, Age = 4,206426813038946, MeasuredPower = , HasMeasuredPower = False }</t>
  </si>
  <si>
    <t>27.11.2025 21:15:00</t>
  </si>
  <si>
    <t>PvRecord { Timestamp = 27.11.2025 21:30:00, Index = 0, DirectGeometryFactor = 0, DiffuseGeometryFactor = 0,9095760221444958, CosSunElevation = 0, GlobalHorizontalIrradiance = 0, SunshineDuration = 0, DiffuseHorizontalIrradiance = 0, AmbientTemp = -0,35, WindSpeed = 4,5, SnowDepth = 0, Weight = 0, Age = 4,206455332927027, MeasuredPower = , HasMeasuredPower = False }</t>
  </si>
  <si>
    <t>27.11.2025 21:30:00</t>
  </si>
  <si>
    <t>4,5</t>
  </si>
  <si>
    <t>PvRecord { Timestamp = 27.11.2025 21:45:00, Index = 0, DirectGeometryFactor = 0, DiffuseGeometryFactor = 0,9095760221444958, CosSunElevation = 0, GlobalHorizontalIrradiance = 0, SunshineDuration = 0, DiffuseHorizontalIrradiance = 0, AmbientTemp = -0,45, WindSpeed = 4,5, SnowDepth = 0, Weight = 0, Age = 4,206483852815109, MeasuredPower = , HasMeasuredPower = False }</t>
  </si>
  <si>
    <t>27.11.2025 21:45:00</t>
  </si>
  <si>
    <t>-0,45</t>
  </si>
  <si>
    <t>PvRecord { Timestamp = 27.11.2025 22:00:00, Index = 0, DirectGeometryFactor = 0, DiffuseGeometryFactor = 0,9095760221444958, CosSunElevation = 0, GlobalHorizontalIrradiance = 0, SunshineDuration = 0, DiffuseHorizontalIrradiance = 0, AmbientTemp = -0,5, WindSpeed = 5,94, SnowDepth = 0, Weight = 0, Age = 4,20651237270319, MeasuredPower = , HasMeasuredPower = False }</t>
  </si>
  <si>
    <t>27.11.2025 22:00:00</t>
  </si>
  <si>
    <t>-0,5</t>
  </si>
  <si>
    <t>PvRecord { Timestamp = 27.11.2025 22:15:00, Index = 0, DirectGeometryFactor = 0, DiffuseGeometryFactor = 0,9095760221444958, CosSunElevation = 0, GlobalHorizontalIrradiance = 0, SunshineDuration = 0, DiffuseHorizontalIrradiance = 0, AmbientTemp = -0,55, WindSpeed = 5,76, SnowDepth = 0, Weight = 0, Age = 4,206540892591272, MeasuredPower = , HasMeasuredPower = False }</t>
  </si>
  <si>
    <t>27.11.2025 22:15:00</t>
  </si>
  <si>
    <t>5,76</t>
  </si>
  <si>
    <t>PvRecord { Timestamp = 27.11.2025 22:30:00, Index = 0, DirectGeometryFactor = 0, DiffuseGeometryFactor = 0,9095760221444958, CosSunElevation = 0, GlobalHorizontalIrradiance = 0, SunshineDuration = 0, DiffuseHorizontalIrradiance = 0, AmbientTemp = -0,6499999999999999, WindSpeed = 5,220000000000001, SnowDepth = 0, Weight = 0, Age = 4,206569412479354, MeasuredPower = , HasMeasuredPower = False }</t>
  </si>
  <si>
    <t>27.11.2025 22:30:00</t>
  </si>
  <si>
    <t>-0,6499999999999999</t>
  </si>
  <si>
    <t>PvRecord { Timestamp = 27.11.2025 22:45:00, Index = 0, DirectGeometryFactor = 0, DiffuseGeometryFactor = 0,9095760221444958, CosSunElevation = 0, GlobalHorizontalIrradiance = 0, SunshineDuration = 0, DiffuseHorizontalIrradiance = 0, AmbientTemp = -0,7, WindSpeed = 5,58, SnowDepth = 0, Weight = 0, Age = 4,206597932367435, MeasuredPower = , HasMeasuredPower = False }</t>
  </si>
  <si>
    <t>27.11.2025 22:45:00</t>
  </si>
  <si>
    <t>PvRecord { Timestamp = 27.11.2025 23:00:00, Index = 0, DirectGeometryFactor = 0, DiffuseGeometryFactor = 0,9095760221444958, CosSunElevation = 0, GlobalHorizontalIrradiance = 0, SunshineDuration = 0, DiffuseHorizontalIrradiance = 0, AmbientTemp = -0,8, WindSpeed = 5,04, SnowDepth = 0, Weight = 0, Age = 4,206626452255517, MeasuredPower = , HasMeasuredPower = False }</t>
  </si>
  <si>
    <t>27.11.2025 23:00:00</t>
  </si>
  <si>
    <t>PvRecord { Timestamp = 27.11.2025 23:15:00, Index = 0, DirectGeometryFactor = 0, DiffuseGeometryFactor = 0,9095760221444958, CosSunElevation = 0, GlobalHorizontalIrradiance = 0, SunshineDuration = 0, DiffuseHorizontalIrradiance = 0, AmbientTemp = -0,9, WindSpeed = 5,04, SnowDepth = 0, Weight = 0, Age = 4,206654972143598, MeasuredPower = , HasMeasuredPower = False }</t>
  </si>
  <si>
    <t>27.11.2025 23:15:00</t>
  </si>
  <si>
    <t>PvRecord { Timestamp = 27.11.2025 23:30:00, Index = 0, DirectGeometryFactor = 0, DiffuseGeometryFactor = 0,9095760221444958, CosSunElevation = 0, GlobalHorizontalIrradiance = 0, SunshineDuration = 0, DiffuseHorizontalIrradiance = 0, AmbientTemp = -1, WindSpeed = 5,4, SnowDepth = 0, Weight = 0, Age = 4,20668349203168, MeasuredPower = , HasMeasuredPower = False }</t>
  </si>
  <si>
    <t>27.11.2025 23:30:00</t>
  </si>
  <si>
    <t>PvRecord { Timestamp = 27.11.2025 23:45:00, Index = 0, DirectGeometryFactor = 0, DiffuseGeometryFactor = 0,9095760221444958, CosSunElevation = 0, GlobalHorizontalIrradiance = 0, SunshineDuration = 0, DiffuseHorizontalIrradiance = 0, AmbientTemp = -1,15, WindSpeed = 7,0200000000000005, SnowDepth = 0, Weight = 0, Age = 4,206712011919762, MeasuredPower = , HasMeasuredPower = False }</t>
  </si>
  <si>
    <t>27.11.2025 23:45:00</t>
  </si>
  <si>
    <t>-1,15</t>
  </si>
  <si>
    <t>PvRecord { Timestamp = 28.11.2025 00:00:00, Index = 0, DirectGeometryFactor = 0, DiffuseGeometryFactor = 0,9095760221444958, CosSunElevation = 0, GlobalHorizontalIrradiance = 0, SunshineDuration = 0, DiffuseHorizontalIrradiance = 0, AmbientTemp = -1,3, WindSpeed = 8,82, SnowDepth = 0, Weight = 0, Age = 4,206740531807843, MeasuredPower = , HasMeasuredPower = False }</t>
  </si>
  <si>
    <t>28.11.2025 00:00:00</t>
  </si>
  <si>
    <t>-1,3</t>
  </si>
  <si>
    <t>PvRecord { Timestamp = 28.11.2025 00:15:00, Index = 0, DirectGeometryFactor = 0, DiffuseGeometryFactor = 0,9095760221444958, CosSunElevation = 0, GlobalHorizontalIrradiance = 0, SunshineDuration = 0, DiffuseHorizontalIrradiance = 0, AmbientTemp = -1,4, WindSpeed = 9,719999999999999, SnowDepth = 0, Weight = 0, Age = 4,206769051695924, MeasuredPower = , HasMeasuredPower = False }</t>
  </si>
  <si>
    <t>28.11.2025 00:15:00</t>
  </si>
  <si>
    <t>-1,4</t>
  </si>
  <si>
    <t>PvRecord { Timestamp = 28.11.2025 00:30:00, Index = 0, DirectGeometryFactor = 0, DiffuseGeometryFactor = 0,9095760221444958, CosSunElevation = 0, GlobalHorizontalIrradiance = 0, SunshineDuration = 0, DiffuseHorizontalIrradiance = 0, AmbientTemp = -1,5, WindSpeed = 9,36, SnowDepth = 0, Weight = 0, Age = 4,206797571584006, MeasuredPower = , HasMeasuredPower = False }</t>
  </si>
  <si>
    <t>28.11.2025 00:30:00</t>
  </si>
  <si>
    <t>-1,5</t>
  </si>
  <si>
    <t>PvRecord { Timestamp = 28.11.2025 00:45:00, Index = 0, DirectGeometryFactor = 0, DiffuseGeometryFactor = 0,9095760221444958, CosSunElevation = 0, GlobalHorizontalIrradiance = 0, SunshineDuration = 0, DiffuseHorizontalIrradiance = 0, AmbientTemp = -1,6, WindSpeed = 7,92, SnowDepth = 0, Weight = 0, Age = 4,206826091472088, MeasuredPower = , HasMeasuredPower = False }</t>
  </si>
  <si>
    <t>28.11.2025 00:45:00</t>
  </si>
  <si>
    <t>-1,6</t>
  </si>
  <si>
    <t>PvRecord { Timestamp = 28.11.2025 01:00:00, Index = 0, DirectGeometryFactor = 0, DiffuseGeometryFactor = 0,9095760221444958, CosSunElevation = 0, GlobalHorizontalIrradiance = 0, SunshineDuration = 0, DiffuseHorizontalIrradiance = 0, AmbientTemp = -1,65, WindSpeed = 6,84, SnowDepth = 0, Weight = 0, Age = 4,2068546113601695, MeasuredPower = , HasMeasuredPower = False }</t>
  </si>
  <si>
    <t>28.11.2025 01:00:00</t>
  </si>
  <si>
    <t>-1,65</t>
  </si>
  <si>
    <t>PvRecord { Timestamp = 28.11.2025 01:15:00, Index = 0, DirectGeometryFactor = 0, DiffuseGeometryFactor = 0,9095760221444958, CosSunElevation = 0, GlobalHorizontalIrradiance = 0, SunshineDuration = 0, DiffuseHorizontalIrradiance = 0, AmbientTemp = -1,75, WindSpeed = 5,220000000000001, SnowDepth = 0, Weight = 0, Age = 4,206883131248251, MeasuredPower = , HasMeasuredPower = False }</t>
  </si>
  <si>
    <t>28.11.2025 01:15:00</t>
  </si>
  <si>
    <t>-1,75</t>
  </si>
  <si>
    <t>PvRecord { Timestamp = 28.11.2025 01:30:00, Index = 0, DirectGeometryFactor = 0, DiffuseGeometryFactor = 0,9095760221444958, CosSunElevation = 0, GlobalHorizontalIrradiance = 0, SunshineDuration = 0, DiffuseHorizontalIrradiance = 0, AmbientTemp = -1,7999999999999998, WindSpeed = 3,7800000000000002, SnowDepth = 0, Weight = 0, Age = 4,206911651136332, MeasuredPower = , HasMeasuredPower = False }</t>
  </si>
  <si>
    <t>28.11.2025 01:30:00</t>
  </si>
  <si>
    <t>PvRecord { Timestamp = 28.11.2025 01:45:00, Index = 0, DirectGeometryFactor = 0, DiffuseGeometryFactor = 0,9095760221444958, CosSunElevation = 0, GlobalHorizontalIrradiance = 0, SunshineDuration = 0, DiffuseHorizontalIrradiance = 0, AmbientTemp = -1,8499999999999999, WindSpeed = 2,16, SnowDepth = 0, Weight = 0, Age = 4,206940171024414, MeasuredPower = , HasMeasuredPower = False }</t>
  </si>
  <si>
    <t>28.11.2025 01:45:00</t>
  </si>
  <si>
    <t>2,16</t>
  </si>
  <si>
    <t>PvRecord { Timestamp = 28.11.2025 02:00:00, Index = 0, DirectGeometryFactor = 0, DiffuseGeometryFactor = 0,9095760221444958, CosSunElevation = 0, GlobalHorizontalIrradiance = 0, SunshineDuration = 0, DiffuseHorizontalIrradiance = 0, AmbientTemp = -1,9, WindSpeed = 1,26, SnowDepth = 0, Weight = 0, Age = 4,206968690912496, MeasuredPower = , HasMeasuredPower = False }</t>
  </si>
  <si>
    <t>28.11.2025 02:00:00</t>
  </si>
  <si>
    <t>-1,9</t>
  </si>
  <si>
    <t>1,26</t>
  </si>
  <si>
    <t>PvRecord { Timestamp = 28.11.2025 02:15:00, Index = 0, DirectGeometryFactor = 0, DiffuseGeometryFactor = 0,9095760221444958, CosSunElevation = 0, GlobalHorizontalIrradiance = 0, SunshineDuration = 0, DiffuseHorizontalIrradiance = 0, AmbientTemp = -2, WindSpeed = 2,16, SnowDepth = 0, Weight = 0, Age = 4,206997210800577, MeasuredPower = , HasMeasuredPower = False }</t>
  </si>
  <si>
    <t>28.11.2025 02:15:00</t>
  </si>
  <si>
    <t>PvRecord { Timestamp = 28.11.2025 02:30:00, Index = 0, DirectGeometryFactor = 0, DiffuseGeometryFactor = 0,9095760221444958, CosSunElevation = 0, GlobalHorizontalIrradiance = 0, SunshineDuration = 0, DiffuseHorizontalIrradiance = 0, AmbientTemp = -2, WindSpeed = 2,16, SnowDepth = 0, Weight = 0, Age = 4,207025730688659, MeasuredPower = , HasMeasuredPower = False }</t>
  </si>
  <si>
    <t>28.11.2025 02:30:00</t>
  </si>
  <si>
    <t>PvRecord { Timestamp = 28.11.2025 02:45:00, Index = 0, DirectGeometryFactor = 0, DiffuseGeometryFactor = 0,9095760221444958, CosSunElevation = 0, GlobalHorizontalIrradiance = 0, SunshineDuration = 0, DiffuseHorizontalIrradiance = 0, AmbientTemp = -2, WindSpeed = 3,24, SnowDepth = 0, Weight = 0, Age = 4,20705425057674, MeasuredPower = , HasMeasuredPower = False }</t>
  </si>
  <si>
    <t>28.11.2025 02:45:00</t>
  </si>
  <si>
    <t>PvRecord { Timestamp = 28.11.2025 03:00:00, Index = 0, DirectGeometryFactor = 0, DiffuseGeometryFactor = 0,9095760221444958, CosSunElevation = 0, GlobalHorizontalIrradiance = 0, SunshineDuration = 0, DiffuseHorizontalIrradiance = 0, AmbientTemp = -2,05, WindSpeed = 2,8800000000000003, SnowDepth = 0, Weight = 0, Age = 4,2070827704648215, MeasuredPower = , HasMeasuredPower = False }</t>
  </si>
  <si>
    <t>28.11.2025 03:00:00</t>
  </si>
  <si>
    <t>-2,05</t>
  </si>
  <si>
    <t>PvRecord { Timestamp = 28.11.2025 03:15:00, Index = 0, DirectGeometryFactor = 0, DiffuseGeometryFactor = 0,9095760221444958, CosSunElevation = 0, GlobalHorizontalIrradiance = 0, SunshineDuration = 0, DiffuseHorizontalIrradiance = 0, AmbientTemp = -2,05, WindSpeed = 3,24, SnowDepth = 0, Weight = 0, Age = 4,207111290352904, MeasuredPower = , HasMeasuredPower = False }</t>
  </si>
  <si>
    <t>28.11.2025 03:15:00</t>
  </si>
  <si>
    <t>PvRecord { Timestamp = 28.11.2025 03:30:00, Index = 0, DirectGeometryFactor = 0, DiffuseGeometryFactor = 0,9095760221444958, CosSunElevation = 0, GlobalHorizontalIrradiance = 0, SunshineDuration = 0, DiffuseHorizontalIrradiance = 0, AmbientTemp = -2,1, WindSpeed = 3,06, SnowDepth = 0, Weight = 0, Age = 4,207139810240985, MeasuredPower = , HasMeasuredPower = False }</t>
  </si>
  <si>
    <t>28.11.2025 03:30:00</t>
  </si>
  <si>
    <t>-2,1</t>
  </si>
  <si>
    <t>3,06</t>
  </si>
  <si>
    <t>PvRecord { Timestamp = 28.11.2025 03:45:00, Index = 0, DirectGeometryFactor = 0, DiffuseGeometryFactor = 0,9095760221444958, CosSunElevation = 0, GlobalHorizontalIrradiance = 0, SunshineDuration = 0, DiffuseHorizontalIrradiance = 0, AmbientTemp = -2,2, WindSpeed = 2,3400000000000003, SnowDepth = 0, Weight = 0, Age = 4,2071683301290665, MeasuredPower = , HasMeasuredPower = False }</t>
  </si>
  <si>
    <t>28.11.2025 03:45:00</t>
  </si>
  <si>
    <t>-2,2</t>
  </si>
  <si>
    <t>PvRecord { Timestamp = 28.11.2025 04:00:00, Index = 0, DirectGeometryFactor = 0, DiffuseGeometryFactor = 0,9095760221444958, CosSunElevation = 0, GlobalHorizontalIrradiance = 0, SunshineDuration = 0, DiffuseHorizontalIrradiance = 0, AmbientTemp = -2,25, WindSpeed = 2,3400000000000003, SnowDepth = 0, Weight = 0, Age = 4,207196850017148, MeasuredPower = , HasMeasuredPower = False }</t>
  </si>
  <si>
    <t>28.11.2025 04:00:00</t>
  </si>
  <si>
    <t>-2,25</t>
  </si>
  <si>
    <t>PvRecord { Timestamp = 28.11.2025 04:15:00, Index = 0, DirectGeometryFactor = 0, DiffuseGeometryFactor = 0,9095760221444958, CosSunElevation = 0, GlobalHorizontalIrradiance = 0, SunshineDuration = 0, DiffuseHorizontalIrradiance = 0, AmbientTemp = -2,3, WindSpeed = 3,4200000000000004, SnowDepth = 0, Weight = 0, Age = 4,207225369905229, MeasuredPower = , HasMeasuredPower = False }</t>
  </si>
  <si>
    <t>28.11.2025 04:15:00</t>
  </si>
  <si>
    <t>-2,3</t>
  </si>
  <si>
    <t>PvRecord { Timestamp = 28.11.2025 04:30:00, Index = 0, DirectGeometryFactor = 0, DiffuseGeometryFactor = 0,9095760221444958, CosSunElevation = 0, GlobalHorizontalIrradiance = 0, SunshineDuration = 0, DiffuseHorizontalIrradiance = 0, AmbientTemp = -2,3, WindSpeed = 2,52, SnowDepth = 0, Weight = 0, Age = 4,207253889793312, MeasuredPower = , HasMeasuredPower = False }</t>
  </si>
  <si>
    <t>28.11.2025 04:30:00</t>
  </si>
  <si>
    <t>2,52</t>
  </si>
  <si>
    <t>PvRecord { Timestamp = 28.11.2025 04:45:00, Index = 0, DirectGeometryFactor = 0, DiffuseGeometryFactor = 0,9095760221444958, CosSunElevation = 0, GlobalHorizontalIrradiance = 0, SunshineDuration = 0, DiffuseHorizontalIrradiance = 0, AmbientTemp = -2,35, WindSpeed = 1,62, SnowDepth = 0, Weight = 0, Age = 4,207282409681393, MeasuredPower = , HasMeasuredPower = False }</t>
  </si>
  <si>
    <t>28.11.2025 04:45:00</t>
  </si>
  <si>
    <t>-2,35</t>
  </si>
  <si>
    <t>1,62</t>
  </si>
  <si>
    <t>PvRecord { Timestamp = 28.11.2025 05:00:00, Index = 0, DirectGeometryFactor = 0, DiffuseGeometryFactor = 0,9095760221444958, CosSunElevation = 0, GlobalHorizontalIrradiance = 0, SunshineDuration = 0, DiffuseHorizontalIrradiance = 0, AmbientTemp = -2,3, WindSpeed = 1,4400000000000002, SnowDepth = 0, Weight = 0, Age = 4,207310929569474, MeasuredPower = , HasMeasuredPower = False }</t>
  </si>
  <si>
    <t>28.11.2025 05:00:00</t>
  </si>
  <si>
    <t>PvRecord { Timestamp = 28.11.2025 05:15:00, Index = 0, DirectGeometryFactor = 0, DiffuseGeometryFactor = 0,9095760221444958, CosSunElevation = 0, GlobalHorizontalIrradiance = 0, SunshineDuration = 0, DiffuseHorizontalIrradiance = 0, AmbientTemp = -2,3, WindSpeed = 2,3400000000000003, SnowDepth = 0, Weight = 0, Age = 4,207339449457556, MeasuredPower = , HasMeasuredPower = False }</t>
  </si>
  <si>
    <t>28.11.2025 05:15:00</t>
  </si>
  <si>
    <t>PvRecord { Timestamp = 28.11.2025 05:30:00, Index = 0, DirectGeometryFactor = 0, DiffuseGeometryFactor = 0,9095760221444958, CosSunElevation = 0, GlobalHorizontalIrradiance = 0, SunshineDuration = 0, DiffuseHorizontalIrradiance = 0, AmbientTemp = -2,35, WindSpeed = 1,98, SnowDepth = 0, Weight = 0, Age = 4,207367969345637, MeasuredPower = , HasMeasuredPower = False }</t>
  </si>
  <si>
    <t>28.11.2025 05:30:00</t>
  </si>
  <si>
    <t>1,98</t>
  </si>
  <si>
    <t>PvRecord { Timestamp = 28.11.2025 05:45:00, Index = 0, DirectGeometryFactor = 0, DiffuseGeometryFactor = 0,9095760221444958, CosSunElevation = 0, GlobalHorizontalIrradiance = 0, SunshineDuration = 0, DiffuseHorizontalIrradiance = 0, AmbientTemp = -2,3, WindSpeed = 2,3400000000000003, SnowDepth = 0, Weight = 0, Age = 4,2073964892337194, MeasuredPower = , HasMeasuredPower = False }</t>
  </si>
  <si>
    <t>28.11.2025 05:45:00</t>
  </si>
  <si>
    <t>PvRecord { Timestamp = 28.11.2025 06:00:00, Index = 0, DirectGeometryFactor = 0, DiffuseGeometryFactor = 0,9095760221444958, CosSunElevation = 0, GlobalHorizontalIrradiance = 0, SunshineDuration = 0, DiffuseHorizontalIrradiance = 0, AmbientTemp = -2,4, WindSpeed = 3,4200000000000004, SnowDepth = 0, Weight = 0, Age = 4,207425009121801, MeasuredPower = , HasMeasuredPower = False }</t>
  </si>
  <si>
    <t>28.11.2025 06:00:00</t>
  </si>
  <si>
    <t>-2,4</t>
  </si>
  <si>
    <t>PvRecord { Timestamp = 28.11.2025 06:15:00, Index = 0, DirectGeometryFactor = 0, DiffuseGeometryFactor = 0,9095760221444958, CosSunElevation = 0, GlobalHorizontalIrradiance = 0, SunshineDuration = 0, DiffuseHorizontalIrradiance = 0, AmbientTemp = -2,4, WindSpeed = 3,9600000000000004, SnowDepth = 0, Weight = 0, Age = 4,207453529009882, MeasuredPower = , HasMeasuredPower = False }</t>
  </si>
  <si>
    <t>28.11.2025 06:15:00</t>
  </si>
  <si>
    <t>PvRecord { Timestamp = 28.11.2025 06:30:00, Index = 0, DirectGeometryFactor = 0, DiffuseGeometryFactor = 0,9095760221444958, CosSunElevation = 0, GlobalHorizontalIrradiance = 0, SunshineDuration = 0, DiffuseHorizontalIrradiance = 0, AmbientTemp = -2,4, WindSpeed = 3,7800000000000002, SnowDepth = 0, Weight = 0, Age = 4,207482048897964, MeasuredPower = , HasMeasuredPower = False }</t>
  </si>
  <si>
    <t>28.11.2025 06:30:00</t>
  </si>
  <si>
    <t>PvRecord { Timestamp = 28.11.2025 06:45:00, Index = 0, DirectGeometryFactor = 0, DiffuseGeometryFactor = 0,9095760221444958, CosSunElevation = 0, GlobalHorizontalIrradiance = 0, SunshineDuration = 0, DiffuseHorizontalIrradiance = 0, AmbientTemp = -2,35, WindSpeed = 5,220000000000001, SnowDepth = 0, Weight = 0, Age = 4,207510568786045, MeasuredPower = , HasMeasuredPower = False }</t>
  </si>
  <si>
    <t>28.11.2025 06:45:00</t>
  </si>
  <si>
    <t>PvRecord { Timestamp = 28.11.2025 07:00:00, Index = 0, DirectGeometryFactor = 0, DiffuseGeometryFactor = 0,9095760221444958, CosSunElevation = 0, GlobalHorizontalIrradiance = 0, SunshineDuration = 0, DiffuseHorizontalIrradiance = 0, AmbientTemp = -2,25, WindSpeed = 6,300000000000001, SnowDepth = 0, Weight = 0, Age = 4,207539088674127, MeasuredPower = , HasMeasuredPower = False }</t>
  </si>
  <si>
    <t>28.11.2025 07:00:00</t>
  </si>
  <si>
    <t>PvRecord { Timestamp = 28.11.2025 07:15:00, Index = 0, DirectGeometryFactor = 0, DiffuseGeometryFactor = 0,9095760221444958, CosSunElevation = 0, GlobalHorizontalIrradiance = 0, SunshineDuration = 0, DiffuseHorizontalIrradiance = 0, AmbientTemp = -2,2, WindSpeed = 7,5600000000000005, SnowDepth = 0, Weight = 0, Age = 4,207567608562209, MeasuredPower = , HasMeasuredPower = False }</t>
  </si>
  <si>
    <t>28.11.2025 07:15:00</t>
  </si>
  <si>
    <t>PvRecord { Timestamp = 28.11.2025 07:30:00, Index = 0, DirectGeometryFactor = 0, DiffuseGeometryFactor = 0,9095760221444958, CosSunElevation = 0, GlobalHorizontalIrradiance = 0, SunshineDuration = 0, DiffuseHorizontalIrradiance = 0, AmbientTemp = -2,05, WindSpeed = 7,02, SnowDepth = 0, Weight = 0, Age = 4,20759612845029, MeasuredPower = , HasMeasuredPower = False }</t>
  </si>
  <si>
    <t>28.11.2025 07:30:00</t>
  </si>
  <si>
    <t>PvRecord { Timestamp = 28.11.2025 07:45:00, Index = 0, DirectGeometryFactor = 0, DiffuseGeometryFactor = 0,9095760221444958, CosSunElevation = 0,006910309655841585, GlobalHorizontalIrradiance = 0, SunshineDuration = 0, DiffuseHorizontalIrradiance = 0, AmbientTemp = -2, WindSpeed = 6,66, SnowDepth = 0, Weight = 0, Age = 4,2076246483383715, MeasuredPower = , HasMeasuredPower = False }</t>
  </si>
  <si>
    <t>28.11.2025 07:45:00</t>
  </si>
  <si>
    <t>0,006910309655841585</t>
  </si>
  <si>
    <t>PvRecord { Timestamp = 28.11.2025 08:00:00, Index = 0, DirectGeometryFactor = 0,5109412078995231, DiffuseGeometryFactor = 0,9095760221444958, CosSunElevation = 0,039956693883456136, GlobalHorizontalIrradiance = 0, SunshineDuration = 0, DiffuseHorizontalIrradiance = 0, AmbientTemp = -1,9, WindSpeed = 5,76, SnowDepth = 0, Weight = 0, Age = 4,207653168226453, MeasuredPower = , HasMeasuredPower = False }</t>
  </si>
  <si>
    <t>28.11.2025 08:00:00</t>
  </si>
  <si>
    <t>0,5109412078995231</t>
  </si>
  <si>
    <t>0,039956693883456136</t>
  </si>
  <si>
    <t>PvRecord { Timestamp = 28.11.2025 08:15:00, Index = 0, DirectGeometryFactor = 0,5528063313621506, DiffuseGeometryFactor = 0,9095760221444958, CosSunElevation = 0,0738485155210086, GlobalHorizontalIrradiance = 1,4499999999999997, SunshineDuration = 0, DiffuseHorizontalIrradiance = 0, AmbientTemp = -1,85, WindSpeed = 5,58, SnowDepth = 0, Weight = 0, Age = 4,207681688114535, MeasuredPower = , HasMeasuredPower = False }</t>
  </si>
  <si>
    <t>28.11.2025 08:15:00</t>
  </si>
  <si>
    <t>0,5528063313621506</t>
  </si>
  <si>
    <t>0,0738485155210086</t>
  </si>
  <si>
    <t>-1,85</t>
  </si>
  <si>
    <t>PvRecord { Timestamp = 28.11.2025 08:30:00, Index = 0, DirectGeometryFactor = 0,5926081129330774, DiffuseGeometryFactor = 0,9095760221444958, CosSunElevation = 0,10708866296044717, GlobalHorizontalIrradiance = 17,849999999999998, SunshineDuration = 0, DiffuseHorizontalIrradiance = 17,25, AmbientTemp = -1,8, WindSpeed = 4,32, SnowDepth = 0, Weight = 0, Age = 4,2077102080026165, MeasuredPower = , HasMeasuredPower = False }</t>
  </si>
  <si>
    <t>28.11.2025 08:30:00</t>
  </si>
  <si>
    <t>0,5926081129330774</t>
  </si>
  <si>
    <t>0,10708866296044717</t>
  </si>
  <si>
    <t>17,25</t>
  </si>
  <si>
    <t>-1,8</t>
  </si>
  <si>
    <t>4,32</t>
  </si>
  <si>
    <t>PvRecord { Timestamp = 28.11.2025 08:45:00, Index = 0, DirectGeometryFactor = 0,6297924088668923, DiffuseGeometryFactor = 0,9095760221444958, CosSunElevation = 0,13907703591227194, GlobalHorizontalIrradiance = 56,83333333333333, SunshineDuration = 0, DiffuseHorizontalIrradiance = 28,950000000000003, AmbientTemp = -1,7000000000000002, WindSpeed = 2,8800000000000003, SnowDepth = 0, Weight = 0, Age = 4,207738727890698, MeasuredPower = , HasMeasuredPower = False }</t>
  </si>
  <si>
    <t>28.11.2025 08:45:00</t>
  </si>
  <si>
    <t>0,6297924088668923</t>
  </si>
  <si>
    <t>0,13907703591227194</t>
  </si>
  <si>
    <t>PvRecord { Timestamp = 28.11.2025 09:00:00, Index = 0, DirectGeometryFactor = 0,6640563198782775, DiffuseGeometryFactor = 0,9095760221444958, CosSunElevation = 0,16950460906472248, GlobalHorizontalIrradiance = 101,93333333333334, SunshineDuration = 0, DiffuseHorizontalIrradiance = 42,45, AmbientTemp = -1,65, WindSpeed = 2,3400000000000003, SnowDepth = 0, Weight = 0, Age = 4,207767247778779, MeasuredPower = , HasMeasuredPower = False }</t>
  </si>
  <si>
    <t>28.11.2025 09:00:00</t>
  </si>
  <si>
    <t>0,6640563198782775</t>
  </si>
  <si>
    <t>0,16950460906472248</t>
  </si>
  <si>
    <t>42,45</t>
  </si>
  <si>
    <t>PvRecord { Timestamp = 28.11.2025 09:15:00, Index = 0, DirectGeometryFactor = 0,6951896828469282, DiffuseGeometryFactor = 0,9095760221444958, CosSunElevation = 0,1981648842382187, GlobalHorizontalIrradiance = 123,73333333333333, SunshineDuration = 0, DiffuseHorizontalIrradiance = 53,05, AmbientTemp = -1,6, WindSpeed = 3,24, SnowDepth = 0, Weight = 0, Age = 4,207795767666861, MeasuredPower = , HasMeasuredPower = False }</t>
  </si>
  <si>
    <t>28.11.2025 09:15:00</t>
  </si>
  <si>
    <t>0,6951896828469282</t>
  </si>
  <si>
    <t>0,1981648842382187</t>
  </si>
  <si>
    <t>53,05</t>
  </si>
  <si>
    <t>PvRecord { Timestamp = 28.11.2025 09:30:00, Index = 0, DirectGeometryFactor = 0,7230273605617916, DiffuseGeometryFactor = 0,9095760221444958, CosSunElevation = 0,2248967916768057, GlobalHorizontalIrradiance = 134,25, SunshineDuration = 0, DiffuseHorizontalIrradiance = 65,4, AmbientTemp = -1,4, WindSpeed = 3,7800000000000002, SnowDepth = 0, Weight = 0, Age = 4,207824287554943, MeasuredPower = , HasMeasuredPower = False }</t>
  </si>
  <si>
    <t>28.11.2025 09:30:00</t>
  </si>
  <si>
    <t>0,7230273605617916</t>
  </si>
  <si>
    <t>0,2248967916768057</t>
  </si>
  <si>
    <t>134,25</t>
  </si>
  <si>
    <t>65,4</t>
  </si>
  <si>
    <t>PvRecord { Timestamp = 28.11.2025 09:45:00, Index = 0, DirectGeometryFactor = 0,7474325940637704, DiffuseGeometryFactor = 0,9095760221444958, CosSunElevation = 0,24956463035673224, GlobalHorizontalIrradiance = 146,28333333333333, SunshineDuration = 0, DiffuseHorizontalIrradiance = 76,05, AmbientTemp = -1,25, WindSpeed = 4,68, SnowDepth = 0, Weight = 0, Age = 4,207852807443024, MeasuredPower = , HasMeasuredPower = False }</t>
  </si>
  <si>
    <t>28.11.2025 09:45:00</t>
  </si>
  <si>
    <t>0,7474325940637704</t>
  </si>
  <si>
    <t>0,24956463035673224</t>
  </si>
  <si>
    <t>76,05</t>
  </si>
  <si>
    <t>-1,25</t>
  </si>
  <si>
    <t>4,68</t>
  </si>
  <si>
    <t>PvRecord { Timestamp = 28.11.2025 10:00:00, Index = 0, DirectGeometryFactor = 0,7682904705178106, DiffuseGeometryFactor = 0,9095760221444958, CosSunElevation = 0,2720501248223314, GlobalHorizontalIrradiance = 169,08333333333331, SunshineDuration = 0, DiffuseHorizontalIrradiance = 85,7, AmbientTemp = -1,05, WindSpeed = 5,760000000000001, SnowDepth = 0, Weight = 0, Age = 4,207881327331106, MeasuredPower = , HasMeasuredPower = False }</t>
  </si>
  <si>
    <t>28.11.2025 10:00:00</t>
  </si>
  <si>
    <t>0,7682904705178106</t>
  </si>
  <si>
    <t>0,2720501248223314</t>
  </si>
  <si>
    <t>85,7</t>
  </si>
  <si>
    <t>-1,05</t>
  </si>
  <si>
    <t>PvRecord { Timestamp = 28.11.2025 10:15:00, Index = 0, DirectGeometryFactor = 0,7855051574377436, DiffuseGeometryFactor = 0,9095760221444958, CosSunElevation = 0,2922490249734447, GlobalHorizontalIrradiance = 175,31666666666666, SunshineDuration = 0, DiffuseHorizontalIrradiance = 97,44999999999999, AmbientTemp = -0,9, WindSpeed = 7,020000000000001, SnowDepth = 0, Weight = 0, Age = 4,207909847219187, MeasuredPower = , HasMeasuredPower = False }</t>
  </si>
  <si>
    <t>28.11.2025 10:15:00</t>
  </si>
  <si>
    <t>0,7855051574377436</t>
  </si>
  <si>
    <t>0,2922490249734447</t>
  </si>
  <si>
    <t>PvRecord { Timestamp = 28.11.2025 10:30:00, Index = 0, DirectGeometryFactor = 0,798998686303799, DiffuseGeometryFactor = 0,9095760221444958, CosSunElevation = 0,3100695997646255, GlobalHorizontalIrradiance = 185,1, SunshineDuration = 0, DiffuseHorizontalIrradiance = 105, AmbientTemp = -0,65, WindSpeed = 7,02, SnowDepth = 0, Weight = 0, Age = 4,2079383671072685, MeasuredPower = , HasMeasuredPower = False }</t>
  </si>
  <si>
    <t>28.11.2025 10:30:00</t>
  </si>
  <si>
    <t>0,798998686303799</t>
  </si>
  <si>
    <t>0,3100695997646255</t>
  </si>
  <si>
    <t>185,1</t>
  </si>
  <si>
    <t>-0,65</t>
  </si>
  <si>
    <t>PvRecord { Timestamp = 28.11.2025 10:45:00, Index = 0, DirectGeometryFactor = 0,8087104157165736, DiffuseGeometryFactor = 0,9095760221444958, CosSunElevation = 0,3254319839513856, GlobalHorizontalIrradiance = 196,03333333333333, SunshineDuration = 0, DiffuseHorizontalIrradiance = 113,05000000000001, AmbientTemp = -0,4, WindSpeed = 7,5600000000000005, SnowDepth = 0, Weight = 0, Age = 4,207966886995351, MeasuredPower = , HasMeasuredPower = False }</t>
  </si>
  <si>
    <t>28.11.2025 10:45:00</t>
  </si>
  <si>
    <t>0,8087104157165736</t>
  </si>
  <si>
    <t>0,3254319839513856</t>
  </si>
  <si>
    <t>-0,4</t>
  </si>
  <si>
    <t>PvRecord { Timestamp = 28.11.2025 11:00:00, Index = 0, DirectGeometryFactor = 0,8145967983459542, DiffuseGeometryFactor = 0,9095760221444958, CosSunElevation = 0,33826792778175385, GlobalHorizontalIrradiance = 176,39999999999998, SunshineDuration = 0, DiffuseHorizontalIrradiance = 137,1, AmbientTemp = -0,15, WindSpeed = 7,5600000000000005, SnowDepth = 0, Weight = 0, Age = 4,207995406883432, MeasuredPower = , HasMeasuredPower = False }</t>
  </si>
  <si>
    <t>28.11.2025 11:00:00</t>
  </si>
  <si>
    <t>0,8145967983459542</t>
  </si>
  <si>
    <t>0,33826792778175385</t>
  </si>
  <si>
    <t>137,1</t>
  </si>
  <si>
    <t>-0,15</t>
  </si>
  <si>
    <t>PvRecord { Timestamp = 28.11.2025 11:15:00, Index = 0, DirectGeometryFactor = 0,8166312759972856, DiffuseGeometryFactor = 0,9095760221444958, CosSunElevation = 0,348520738802615, GlobalHorizontalIrradiance = 166,1, SunshineDuration = 0, DiffuseHorizontalIrradiance = 132,8, AmbientTemp = 0,05, WindSpeed = 7,38, SnowDepth = 0, Weight = 0, Age = 4,208023926771514, MeasuredPower = , HasMeasuredPower = False }</t>
  </si>
  <si>
    <t>28.11.2025 11:15:00</t>
  </si>
  <si>
    <t>0,8166312759972856</t>
  </si>
  <si>
    <t>0,348520738802615</t>
  </si>
  <si>
    <t>166,1</t>
  </si>
  <si>
    <t>132,8</t>
  </si>
  <si>
    <t>PvRecord { Timestamp = 28.11.2025 11:30:00, Index = 0, DirectGeometryFactor = 0,814804215571802, DiffuseGeometryFactor = 0,9095760221444958, CosSunElevation = 0,35614531078099204, GlobalHorizontalIrradiance = 184,2, SunshineDuration = 0, DiffuseHorizontalIrradiance = 140,85, AmbientTemp = 0,2, WindSpeed = 6,660000000000001, SnowDepth = 0, Weight = 0, Age = 4,208052446659595, MeasuredPower = , HasMeasuredPower = False }</t>
  </si>
  <si>
    <t>28.11.2025 11:30:00</t>
  </si>
  <si>
    <t>0,814804215571802</t>
  </si>
  <si>
    <t>0,35614531078099204</t>
  </si>
  <si>
    <t>184,2</t>
  </si>
  <si>
    <t>140,85</t>
  </si>
  <si>
    <t>PvRecord { Timestamp = 28.11.2025 11:45:00, Index = 0, DirectGeometryFactor = 0,8091228401833226, DiffuseGeometryFactor = 0,9095760221444958, CosSunElevation = 0,36110818443715004, GlobalHorizontalIrradiance = 143,41666666666669, SunshineDuration = 0, DiffuseHorizontalIrradiance = 159, AmbientTemp = 0,35, WindSpeed = 6,66, SnowDepth = 0, Weight = 0, Age = 4,208080966547676, MeasuredPower = , HasMeasuredPower = False }</t>
  </si>
  <si>
    <t>28.11.2025 11:45:00</t>
  </si>
  <si>
    <t>0,8091228401833226</t>
  </si>
  <si>
    <t>0,36110818443715004</t>
  </si>
  <si>
    <t>PvRecord { Timestamp = 28.11.2025 12:00:00, Index = 0, DirectGeometryFactor = 0,7996111307649401, DiffuseGeometryFactor = 0,9095760221444958, CosSunElevation = 0,3633876096395904, GlobalHorizontalIrradiance = 155,88333333333333, SunshineDuration = 0, DiffuseHorizontalIrradiance = 155,85, AmbientTemp = 0,55, WindSpeed = 6,84, SnowDepth = 0, Weight = 0, Age = 4,208109486435759, MeasuredPower = , HasMeasuredPower = False }</t>
  </si>
  <si>
    <t>28.11.2025 12:00:00</t>
  </si>
  <si>
    <t>0,7996111307649401</t>
  </si>
  <si>
    <t>0,3633876096395904</t>
  </si>
  <si>
    <t>155,85</t>
  </si>
  <si>
    <t>PvRecord { Timestamp = 28.11.2025 12:15:00, Index = 0, DirectGeometryFactor = 0,7863096849801476, DiffuseGeometryFactor = 0,9095760221444958, CosSunElevation = 0,36297359246410166, GlobalHorizontalIrradiance = 176,91666666666666, SunshineDuration = 0, DiffuseHorizontalIrradiance = 163,75, AmbientTemp = 0,7, WindSpeed = 7,38, SnowDepth = 0, Weight = 0, Age = 4,20813800632384, MeasuredPower = , HasMeasuredPower = False }</t>
  </si>
  <si>
    <t>28.11.2025 12:15:00</t>
  </si>
  <si>
    <t>0,7863096849801476</t>
  </si>
  <si>
    <t>0,36297359246410166</t>
  </si>
  <si>
    <t>163,75</t>
  </si>
  <si>
    <t>PvRecord { Timestamp = 28.11.2025 12:30:00, Index = 0, DirectGeometryFactor = 0,7692755267548961, DiffuseGeometryFactor = 0,9095760221444958, CosSunElevation = 0,3598679182847375, GlobalHorizontalIrradiance = 183,91666666666669, SunshineDuration = 0, DiffuseHorizontalIrradiance = 167,14999999999998, AmbientTemp = 0,95, WindSpeed = 6,84, SnowDepth = 0, Weight = 0, Age = 4,208166526211921, MeasuredPower = , HasMeasuredPower = False }</t>
  </si>
  <si>
    <t>28.11.2025 12:30:00</t>
  </si>
  <si>
    <t>0,7692755267548961</t>
  </si>
  <si>
    <t>0,3598679182847375</t>
  </si>
  <si>
    <t>0,95</t>
  </si>
  <si>
    <t>PvRecord { Timestamp = 28.11.2025 12:45:00, Index = 0, DirectGeometryFactor = 0,7485818644518526, DiffuseGeometryFactor = 0,9095760221444958, CosSunElevation = 0,3540841472912713, GlobalHorizontalIrradiance = 153,01666666666665, SunshineDuration = 0, DiffuseHorizontalIrradiance = 168,55, AmbientTemp = 1,2999999999999998, WindSpeed = 6,300000000000001, SnowDepth = 0, Weight = 0, Age = 4,208195046100003, MeasuredPower = , HasMeasuredPower = False }</t>
  </si>
  <si>
    <t>28.11.2025 12:45:00</t>
  </si>
  <si>
    <t>0,7485818644518526</t>
  </si>
  <si>
    <t>0,3540841472912713</t>
  </si>
  <si>
    <t>168,55</t>
  </si>
  <si>
    <t>PvRecord { Timestamp = 28.11.2025 13:00:00, Index = 0, DirectGeometryFactor = 0,7243177991937879, DiffuseGeometryFactor = 0,9095760221444958, CosSunElevation = 0,3456475831238231, GlobalHorizontalIrradiance = 204,13333333333333, SunshineDuration = 0, DiffuseHorizontalIrradiance = 176,85000000000002, AmbientTemp = 1,55, WindSpeed = 6,48, SnowDepth = 0, Weight = 0, Age = 4,208223565988084, MeasuredPower = , HasMeasuredPower = False }</t>
  </si>
  <si>
    <t>28.11.2025 13:00:00</t>
  </si>
  <si>
    <t>0,7243177991937879</t>
  </si>
  <si>
    <t>0,3456475831238231</t>
  </si>
  <si>
    <t>PvRecord { Timestamp = 28.11.2025 13:15:00, Index = 0, DirectGeometryFactor = 0,696587988394932, DiffuseGeometryFactor = 0,9095760221444958, CosSunElevation = 0,33459521956723765, GlobalHorizontalIrradiance = 215,03333333333333, SunshineDuration = 0, DiffuseHorizontalIrradiance = 171,7, AmbientTemp = 1,85, WindSpeed = 5,58, SnowDepth = 0, Weight = 0, Age = 4,2082520858761665, MeasuredPower = , HasMeasuredPower = False }</t>
  </si>
  <si>
    <t>28.11.2025 13:15:00</t>
  </si>
  <si>
    <t>0,696587988394932</t>
  </si>
  <si>
    <t>0,33459521956723765</t>
  </si>
  <si>
    <t>171,7</t>
  </si>
  <si>
    <t>PvRecord { Timestamp = 28.11.2025 13:30:00, Index = 0, DirectGeometryFactor = 0,6655122749305977, DiffuseGeometryFactor = 0,9095760221444958, CosSunElevation = 0,32097567623620993, GlobalHorizontalIrradiance = 181,68333333333334, SunshineDuration = 0, DiffuseHorizontalIrradiance = 166,05, AmbientTemp = 2, WindSpeed = 4,680000000000001, SnowDepth = 0, Weight = 0, Age = 4,208280605764248, MeasuredPower = , HasMeasuredPower = False }</t>
  </si>
  <si>
    <t>28.11.2025 13:30:00</t>
  </si>
  <si>
    <t>0,6655122749305977</t>
  </si>
  <si>
    <t>0,32097567623620993</t>
  </si>
  <si>
    <t>166,05</t>
  </si>
  <si>
    <t>PvRecord { Timestamp = 28.11.2025 13:45:00, Index = 0, DirectGeometryFactor = 0,6312252997373691, DiffuseGeometryFactor = 0,9095760221444958, CosSunElevation = 0,3048491433371293, GlobalHorizontalIrradiance = 184,39999999999998, SunshineDuration = 0, DiffuseHorizontalIrradiance = 156,95, AmbientTemp = 2,2, WindSpeed = 5,220000000000001, SnowDepth = 0, Weight = 0, Age = 4,208309125652329, MeasuredPower = , HasMeasuredPower = False }</t>
  </si>
  <si>
    <t>28.11.2025 13:45:00</t>
  </si>
  <si>
    <t>0,6312252997373691</t>
  </si>
  <si>
    <t>0,3048491433371293</t>
  </si>
  <si>
    <t>156,95</t>
  </si>
  <si>
    <t>PvRecord { Timestamp = 28.11.2025 14:00:00, Index = 0, DirectGeometryFactor = 0,5938761289223807, DiffuseGeometryFactor = 0,9095760221444958, CosSunElevation = 0,28628737169789414, GlobalHorizontalIrradiance = 209,56666666666666, SunshineDuration = 0, DiffuseHorizontalIrradiance = 145,95, AmbientTemp = 2,35, WindSpeed = 9,72, SnowDepth = 0, Weight = 0, Age = 4,208337645540411, MeasuredPower = , HasMeasuredPower = False }</t>
  </si>
  <si>
    <t>28.11.2025 14:00:00</t>
  </si>
  <si>
    <t>0,5938761289223807</t>
  </si>
  <si>
    <t>0,28628737169789414</t>
  </si>
  <si>
    <t>145,95</t>
  </si>
  <si>
    <t>2,35</t>
  </si>
  <si>
    <t>9,72</t>
  </si>
  <si>
    <t>PvRecord { Timestamp = 28.11.2025 14:15:00, Index = 0, DirectGeometryFactor = 0,5536279525425645, DiffuseGeometryFactor = 0,9095760221444958, CosSunElevation = 0,2653737753638151, GlobalHorizontalIrradiance = 241,15, SunshineDuration = 0, DiffuseHorizontalIrradiance = 132,55, AmbientTemp = 2,45, WindSpeed = 11,52, SnowDepth = 0, Weight = 0, Age = 4,208366165428493, MeasuredPower = , HasMeasuredPower = False }</t>
  </si>
  <si>
    <t>28.11.2025 14:15:00</t>
  </si>
  <si>
    <t>0,5536279525425645</t>
  </si>
  <si>
    <t>0,2653737753638151</t>
  </si>
  <si>
    <t>241,15</t>
  </si>
  <si>
    <t>132,55</t>
  </si>
  <si>
    <t>2,45</t>
  </si>
  <si>
    <t>11,52</t>
  </si>
  <si>
    <t>PvRecord { Timestamp = 28.11.2025 14:30:00, Index = 0, DirectGeometryFactor = 0,5106579630540057, DiffuseGeometryFactor = 0,9095760221444958, CosSunElevation = 0,2422037761849925, GlobalHorizontalIrradiance = 253,95, SunshineDuration = 0, DiffuseHorizontalIrradiance = 113,35, AmbientTemp = 2,55, WindSpeed = 8,64, SnowDepth = 0, Weight = 0, Age = 4,208394685316574, MeasuredPower = , HasMeasuredPower = False }</t>
  </si>
  <si>
    <t>28.11.2025 14:30:00</t>
  </si>
  <si>
    <t>0,5106579630540057</t>
  </si>
  <si>
    <t>0,2422037761849925</t>
  </si>
  <si>
    <t>253,95</t>
  </si>
  <si>
    <t>113,35</t>
  </si>
  <si>
    <t>PvRecord { Timestamp = 28.11.2025 14:45:00, Index = 0, DirectGeometryFactor = 0,46515763222183626, DiffuseGeometryFactor = 0,9095760221444958, CosSunElevation = 0,21688565445083763, GlobalHorizontalIrradiance = 299,6333333333333, SunshineDuration = 0, DiffuseHorizontalIrradiance = 100,1, AmbientTemp = 2,75, WindSpeed = 4,140000000000001, SnowDepth = 0, Weight = 0, Age = 4,208423205204656, MeasuredPower = , HasMeasuredPower = False }</t>
  </si>
  <si>
    <t>28.11.2025 14:45:00</t>
  </si>
  <si>
    <t>0,46515763222183626</t>
  </si>
  <si>
    <t>0,21688565445083763</t>
  </si>
  <si>
    <t>100,1</t>
  </si>
  <si>
    <t>PvRecord { Timestamp = 28.11.2025 15:00:00, Index = 0, DirectGeometryFactor = 0,4173338641544115, DiffuseGeometryFactor = 0,9095760221444958, CosSunElevation = 0,18954248361594514, GlobalHorizontalIrradiance = 312,2, SunshineDuration = 0, DiffuseHorizontalIrradiance = 97,75, AmbientTemp = 2,8, WindSpeed = 7,380000000000001, SnowDepth = 0, Weight = 0, Age = 4,208451725092737, MeasuredPower = , HasMeasuredPower = False }</t>
  </si>
  <si>
    <t>28.11.2025 15:00:00</t>
  </si>
  <si>
    <t>0,4173338641544115</t>
  </si>
  <si>
    <t>0,18954248361594514</t>
  </si>
  <si>
    <t>312,2</t>
  </si>
  <si>
    <t>97,75</t>
  </si>
  <si>
    <t>PvRecord { Timestamp = 28.11.2025 15:15:00, Index = 0, DirectGeometryFactor = 0,36741215618264006, DiffuseGeometryFactor = 0,9095760221444958, CosSunElevation = 0,16031652243206504, GlobalHorizontalIrradiance = 252,24999999999997, SunshineDuration = 0, DiffuseHorizontalIrradiance = 90,55, AmbientTemp = 2,9000000000000004, WindSpeed = 10,26, SnowDepth = 0, Weight = 0, Age = 4,2084802449808185, MeasuredPower = , HasMeasuredPower = False }</t>
  </si>
  <si>
    <t>28.11.2025 15:15:00</t>
  </si>
  <si>
    <t>0,36741215618264006</t>
  </si>
  <si>
    <t>0,16031652243206504</t>
  </si>
  <si>
    <t>90,55</t>
  </si>
  <si>
    <t>PvRecord { Timestamp = 28.11.2025 15:30:00, Index = 0, DirectGeometryFactor = 0,3156447430201187, DiffuseGeometryFactor = 0,9095760221444958, CosSunElevation = 0,12937967799361647, GlobalHorizontalIrradiance = 156,06666666666666, SunshineDuration = 0, DiffuseHorizontalIrradiance = 78,8, AmbientTemp = 2,9000000000000004, WindSpeed = 10,620000000000001, SnowDepth = 0, Weight = 0, Age = 4,208508764868901, MeasuredPower = , HasMeasuredPower = False }</t>
  </si>
  <si>
    <t>28.11.2025 15:30:00</t>
  </si>
  <si>
    <t>0,3156447430201187</t>
  </si>
  <si>
    <t>0,12937967799361647</t>
  </si>
  <si>
    <t>78,8</t>
  </si>
  <si>
    <t>PvRecord { Timestamp = 28.11.2025 15:45:00, Index = 0, DirectGeometryFactor = 0, DiffuseGeometryFactor = 0,9095760221444958, CosSunElevation = 0,09696080545048649, GlobalHorizontalIrradiance = 110,29999999999998, SunshineDuration = 0, DiffuseHorizontalIrradiance = 66,5, AmbientTemp = 2,85, WindSpeed = 7,92, SnowDepth = 0, Weight = 0, Age = 4,208537284756982, MeasuredPower = , HasMeasuredPower = False }</t>
  </si>
  <si>
    <t>28.11.2025 15:45:00</t>
  </si>
  <si>
    <t>0,09696080545048649</t>
  </si>
  <si>
    <t>66,5</t>
  </si>
  <si>
    <t>2,85</t>
  </si>
  <si>
    <t>PvRecord { Timestamp = 28.11.2025 16:00:00, Index = 0, DirectGeometryFactor = 0, DiffuseGeometryFactor = 0,9095760221444958, CosSunElevation = 0,06342696369115963, GlobalHorizontalIrradiance = 96,78333333333333, SunshineDuration = 0, DiffuseHorizontalIrradiance = 51,05, AmbientTemp = 2,85, WindSpeed = 6,12, SnowDepth = 0, Weight = 0, Age = 4,208565804645064, MeasuredPower = , HasMeasuredPower = False }</t>
  </si>
  <si>
    <t>28.11.2025 16:00:00</t>
  </si>
  <si>
    <t>0,06342696369115963</t>
  </si>
  <si>
    <t>51,05</t>
  </si>
  <si>
    <t>6,12</t>
  </si>
  <si>
    <t>PvRecord { Timestamp = 28.11.2025 16:15:00, Index = 0, DirectGeometryFactor = 0, DiffuseGeometryFactor = 0,9095760221444958, CosSunElevation = 0,029562180149231832, GlobalHorizontalIrradiance = 83,65, SunshineDuration = 0, DiffuseHorizontalIrradiance = 35,85, AmbientTemp = 2,85, WindSpeed = 6,120000000000001, SnowDepth = 0, Weight = 0, Age = 4,208594324533145, MeasuredPower = , HasMeasuredPower = False }</t>
  </si>
  <si>
    <t>28.11.2025 16:15:00</t>
  </si>
  <si>
    <t>0,029562180149231832</t>
  </si>
  <si>
    <t>83,65</t>
  </si>
  <si>
    <t>35,85</t>
  </si>
  <si>
    <t>PvRecord { Timestamp = 28.11.2025 16:30:00, Index = 0, DirectGeometryFactor = 0, DiffuseGeometryFactor = 0,9095760221444958, CosSunElevation = 0, GlobalHorizontalIrradiance = 50,33333333333333, SunshineDuration = 0, DiffuseHorizontalIrradiance = 20, AmbientTemp = 2,85, WindSpeed = 6,120000000000001, SnowDepth = 0, Weight = 0, Age = 4,208622844421226, MeasuredPower = , HasMeasuredPower = False }</t>
  </si>
  <si>
    <t>28.11.2025 16:30:00</t>
  </si>
  <si>
    <t>PvRecord { Timestamp = 28.11.2025 16:45:00, Index = 0, DirectGeometryFactor = 0, DiffuseGeometryFactor = 0,9095760221444958, CosSunElevation = 0, GlobalHorizontalIrradiance = 6,15, SunshineDuration = 0, DiffuseHorizontalIrradiance = 3,45, AmbientTemp = 2,85, WindSpeed = 6,120000000000001, SnowDepth = 0, Weight = 0, Age = 4,208651364309309, MeasuredPower = , HasMeasuredPower = False }</t>
  </si>
  <si>
    <t>28.11.2025 16:45:00</t>
  </si>
  <si>
    <t>6,15</t>
  </si>
  <si>
    <t>3,45</t>
  </si>
  <si>
    <t>PvRecord { Timestamp = 28.11.2025 17:00:00, Index = 0, DirectGeometryFactor = 0, DiffuseGeometryFactor = 0,9095760221444958, CosSunElevation = 0, GlobalHorizontalIrradiance = 19,96666666666667, SunshineDuration = 0, DiffuseHorizontalIrradiance = 9, AmbientTemp = 2,85, WindSpeed = 6,120000000000001, SnowDepth = 0, Weight = 0, Age = 4,20867988419739, MeasuredPower = , HasMeasuredPower = False }</t>
  </si>
  <si>
    <t>28.11.2025 17:00:00</t>
  </si>
  <si>
    <t>PvRecord { Timestamp = 28.11.2025 17:15:00, Index = 0, DirectGeometryFactor = 0, DiffuseGeometryFactor = 0,9095760221444958, CosSunElevation = 0, GlobalHorizontalIrradiance = 19,96666666666667, SunshineDuration = 0, DiffuseHorizontalIrradiance = 9, AmbientTemp = 0,45, WindSpeed = 1,98, SnowDepth = 0, Weight = 0, Age = 4,208708404085471, MeasuredPower = , HasMeasuredPower = False }</t>
  </si>
  <si>
    <t>28.11.2025 17:15:00</t>
  </si>
  <si>
    <t>PvRecord { Timestamp = 28.11.2025 17:30:00,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4,208736923973553, MeasuredPower = , HasMeasuredPower = False }</t>
  </si>
  <si>
    <t>28.11.2025 17:30:00</t>
  </si>
  <si>
    <t>0,39999999999999997</t>
  </si>
  <si>
    <t>PvRecord { Timestamp = 28.11.2025 17:45:00,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4,208765443861634, MeasuredPower = , HasMeasuredPower = False }</t>
  </si>
  <si>
    <t>28.11.2025 17:45:00</t>
  </si>
  <si>
    <t>PvRecord { Timestamp = 28.11.2025 18:00:00,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4,2087939637497165, MeasuredPower = , HasMeasuredPower = False }</t>
  </si>
  <si>
    <t>28.11.2025 18:00:00</t>
  </si>
  <si>
    <t>PvRecord { Timestamp = 28.11.2025 18:15:00,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4,208822483637798, MeasuredPower = , HasMeasuredPower = False }</t>
  </si>
  <si>
    <t>28.11.2025 18:15:00</t>
  </si>
  <si>
    <t>PvRecord { Timestamp = 28.11.2025 18:30:00,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4,208851003525879, MeasuredPower = , HasMeasuredPower = False }</t>
  </si>
  <si>
    <t>28.11.2025 18:30:00</t>
  </si>
  <si>
    <t>PvRecord { Timestamp = 28.11.2025 18:45:00,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4,208879523413961, MeasuredPower = , HasMeasuredPower = False }</t>
  </si>
  <si>
    <t>28.11.2025 18:45:00</t>
  </si>
  <si>
    <t>PvRecord { Timestamp = 28.11.2025 19:00:00,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4,208908043302042, MeasuredPower = , HasMeasuredPower = False }</t>
  </si>
  <si>
    <t>28.11.2025 19:00:00</t>
  </si>
  <si>
    <t>PvRecord { Timestamp = 28.11.2025 19:15:00,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4,208936563190124, MeasuredPower = , HasMeasuredPower = False }</t>
  </si>
  <si>
    <t>28.11.2025 19:15:00</t>
  </si>
  <si>
    <t>PvRecord { Timestamp = 28.11.2025 19:30:00, Index = 0, DirectGeometryFactor = 0, DiffuseGeometryFactor = 0,9095760221444958, CosSunElevation = 0, GlobalHorizontalIrradiance = 0, SunshineDuration = 0, DiffuseHorizontalIrradiance = 0, AmbientTemp = 0,85, WindSpeed = 16,38, SnowDepth = 0, Weight = 0, Age = 4,208965083078206, MeasuredPower = , HasMeasuredPower = False }</t>
  </si>
  <si>
    <t>28.11.2025 19:30:00</t>
  </si>
  <si>
    <t>0,85</t>
  </si>
  <si>
    <t>16,38</t>
  </si>
  <si>
    <t>PvRecord { Timestamp = 28.11.2025 19:45:00, Index = 0, DirectGeometryFactor = 0, DiffuseGeometryFactor = 0,9095760221444958, CosSunElevation = 0, GlobalHorizontalIrradiance = 0, SunshineDuration = 0, DiffuseHorizontalIrradiance = 0, AmbientTemp = 0,85, WindSpeed = 16,38, SnowDepth = 0, Weight = 0, Age = 4,208993602966287, MeasuredPower = , HasMeasuredPower = False }</t>
  </si>
  <si>
    <t>28.11.2025 19:45:00</t>
  </si>
  <si>
    <t>PvRecord { Timestamp = 28.11.2025 20:00:00, Index = 0, DirectGeometryFactor = 0, DiffuseGeometryFactor = 0,9095760221444958, CosSunElevation = 0, GlobalHorizontalIrradiance = 0, SunshineDuration = 0, DiffuseHorizontalIrradiance = 0, AmbientTemp = 0,85, WindSpeed = 16,38, SnowDepth = 0, Weight = 0, Age = 4,2090221228543685, MeasuredPower = , HasMeasuredPower = False }</t>
  </si>
  <si>
    <t>28.11.2025 20:00:00</t>
  </si>
  <si>
    <t>PvRecord { Timestamp = 28.11.2025 20:15:00, Index = 0, DirectGeometryFactor = 0, DiffuseGeometryFactor = 0,9095760221444958, CosSunElevation = 0, GlobalHorizontalIrradiance = 0, SunshineDuration = 0, DiffuseHorizontalIrradiance = 0, AmbientTemp = 0,85, WindSpeed = 16,38, SnowDepth = 0, Weight = 0, Age = 4,20905064274245, MeasuredPower = , HasMeasuredPower = False }</t>
  </si>
  <si>
    <t>28.11.2025 20:15:00</t>
  </si>
  <si>
    <t>PvRecord { Timestamp = 28.11.2025 20:30:00,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4,209079162630532, MeasuredPower = , HasMeasuredPower = False }</t>
  </si>
  <si>
    <t>28.11.2025 20:30:00</t>
  </si>
  <si>
    <t>PvRecord { Timestamp = 28.11.2025 20:45:00,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4,209107682518614, MeasuredPower = , HasMeasuredPower = False }</t>
  </si>
  <si>
    <t>28.11.2025 20:45:00</t>
  </si>
  <si>
    <t>PvRecord { Timestamp = 28.11.2025 21:00:00,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4,209136202406695, MeasuredPower = , HasMeasuredPower = False }</t>
  </si>
  <si>
    <t>28.11.2025 21:00:00</t>
  </si>
  <si>
    <t>PvRecord { Timestamp = 28.11.2025 21:15:00,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4,209164722294776, MeasuredPower = , HasMeasuredPower = False }</t>
  </si>
  <si>
    <t>28.11.2025 21:15:00</t>
  </si>
  <si>
    <t>PvRecord { Timestamp = 28.11.2025 21:30:00,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4,209193242182858, MeasuredPower = , HasMeasuredPower = False }</t>
  </si>
  <si>
    <t>28.11.2025 21:30:00</t>
  </si>
  <si>
    <t>PvRecord { Timestamp = 28.11.2025 21:45:00,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4,20922176207094, MeasuredPower = , HasMeasuredPower = False }</t>
  </si>
  <si>
    <t>28.11.2025 21:45:00</t>
  </si>
  <si>
    <t>PvRecord { Timestamp = 28.11.2025 22:00:00,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4,209250281959021, MeasuredPower = , HasMeasuredPower = False }</t>
  </si>
  <si>
    <t>28.11.2025 22:00:00</t>
  </si>
  <si>
    <t>PvRecord { Timestamp = 28.11.2025 22:15:00,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4,209278801847103, MeasuredPower = , HasMeasuredPower = False }</t>
  </si>
  <si>
    <t>28.11.2025 22:15:00</t>
  </si>
  <si>
    <t>PvRecord { Timestamp = 28.11.2025 22:30:00,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4,209307321735184, MeasuredPower = , HasMeasuredPower = False }</t>
  </si>
  <si>
    <t>28.11.2025 22:30:00</t>
  </si>
  <si>
    <t>PvRecord { Timestamp = 28.11.2025 22:45:00,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4,209335841623266, MeasuredPower = , HasMeasuredPower = False }</t>
  </si>
  <si>
    <t>28.11.2025 22:45:00</t>
  </si>
  <si>
    <t>PvRecord { Timestamp = 28.11.2025 23:00:00,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4,209364361511348, MeasuredPower = , HasMeasuredPower = False }</t>
  </si>
  <si>
    <t>28.11.2025 23:00:00</t>
  </si>
  <si>
    <t>PvRecord { Timestamp = 28.11.2025 23:15:00,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4,209392881399429, MeasuredPower = , HasMeasuredPower = False }</t>
  </si>
  <si>
    <t>28.11.2025 23:15:00</t>
  </si>
  <si>
    <t>PvRecord { Timestamp = 28.11.2025 23:30:00, Index = 0, DirectGeometryFactor = 0, DiffuseGeometryFactor = 0,9095760221444958, CosSunElevation = 0, GlobalHorizontalIrradiance = 0, SunshineDuration = 0, DiffuseHorizontalIrradiance = 0, AmbientTemp = 1,25, WindSpeed = 12,24, SnowDepth = 0, Weight = 0, Age = 4,209421401287511, MeasuredPower = , HasMeasuredPower = False }</t>
  </si>
  <si>
    <t>28.11.2025 23:30:00</t>
  </si>
  <si>
    <t>PvRecord { Timestamp = 28.11.2025 23:45:00, Index = 0, DirectGeometryFactor = 0, DiffuseGeometryFactor = 0,9095760221444958, CosSunElevation = 0, GlobalHorizontalIrradiance = 0, SunshineDuration = 0, DiffuseHorizontalIrradiance = 0, AmbientTemp = 1,25, WindSpeed = 12,24, SnowDepth = 0, Weight = 0, Age = 4,209449921175592, MeasuredPower = , HasMeasuredPower = False }</t>
  </si>
  <si>
    <t>28.11.2025 23:45:00</t>
  </si>
  <si>
    <t>PvRecord { Timestamp = 29.11.2025 00:00:00, Index = 0, DirectGeometryFactor = 0, DiffuseGeometryFactor = 0,9095760221444958, CosSunElevation = 0, GlobalHorizontalIrradiance = 0, SunshineDuration = 0, DiffuseHorizontalIrradiance = 0, AmbientTemp = 1,25, WindSpeed = 12,24, SnowDepth = 0, Weight = 0, Age = 4,209478441063673, MeasuredPower = , HasMeasuredPower = False }</t>
  </si>
  <si>
    <t>29.11.2025 00:00:00</t>
  </si>
  <si>
    <t>PvRecord { Timestamp = 29.11.2025 00:15:00, Index = 0, DirectGeometryFactor = 0, DiffuseGeometryFactor = 0,9095760221444958, CosSunElevation = 0, GlobalHorizontalIrradiance = 0, SunshineDuration = 0, DiffuseHorizontalIrradiance = 0, AmbientTemp = 1,25, WindSpeed = 12,24, SnowDepth = 0, Weight = 0, Age = 4,209506960951756, MeasuredPower = , HasMeasuredPower = False }</t>
  </si>
  <si>
    <t>29.11.2025 00:15:00</t>
  </si>
  <si>
    <t>PvRecord { Timestamp = 29.11.2025 00:30:00, Index = 0, DirectGeometryFactor = 0, DiffuseGeometryFactor = 0,9095760221444958, CosSunElevation = 0, GlobalHorizontalIrradiance = 0, SunshineDuration = 0, DiffuseHorizontalIrradiance = 0, AmbientTemp = 1,55, WindSpeed = 21,42, SnowDepth = 0, Weight = 0, Age = 4,209535480839837, MeasuredPower = , HasMeasuredPower = False }</t>
  </si>
  <si>
    <t>29.11.2025 00:30:00</t>
  </si>
  <si>
    <t>21,42</t>
  </si>
  <si>
    <t>PvRecord { Timestamp = 29.11.2025 00:45:00, Index = 0, DirectGeometryFactor = 0, DiffuseGeometryFactor = 0,9095760221444958, CosSunElevation = 0, GlobalHorizontalIrradiance = 0, SunshineDuration = 0, DiffuseHorizontalIrradiance = 0, AmbientTemp = 1,55, WindSpeed = 21,42, SnowDepth = 0, Weight = 0, Age = 4,2095640007279185, MeasuredPower = , HasMeasuredPower = False }</t>
  </si>
  <si>
    <t>29.11.2025 00:45:00</t>
  </si>
  <si>
    <t>PvRecord { Timestamp = 29.11.2025 01:00:00, Index = 0, DirectGeometryFactor = 0, DiffuseGeometryFactor = 0,9095760221444958, CosSunElevation = 0, GlobalHorizontalIrradiance = 0, SunshineDuration = 0, DiffuseHorizontalIrradiance = 0, AmbientTemp = 1,55, WindSpeed = 21,42, SnowDepth = 0, Weight = 0, Age = 4,209592520616, MeasuredPower = , HasMeasuredPower = False }</t>
  </si>
  <si>
    <t>29.11.2025 01:00:00</t>
  </si>
  <si>
    <t>PvRecord { Timestamp = 29.11.2025 01:15:00, Index = 0, DirectGeometryFactor = 0, DiffuseGeometryFactor = 0,9095760221444958, CosSunElevation = 0, GlobalHorizontalIrradiance = 0, SunshineDuration = 0, DiffuseHorizontalIrradiance = 0, AmbientTemp = 1,55, WindSpeed = 21,42, SnowDepth = 0, Weight = 0, Age = 4,209621040504081, MeasuredPower = , HasMeasuredPower = False }</t>
  </si>
  <si>
    <t>29.11.2025 01:15:00</t>
  </si>
  <si>
    <t>PvRecord { Timestamp = 29.11.2025 01:30:00, Index = 0, DirectGeometryFactor = 0, DiffuseGeometryFactor = 0,9095760221444958, CosSunElevation = 0, GlobalHorizontalIrradiance = 0, SunshineDuration = 0, DiffuseHorizontalIrradiance = 0, AmbientTemp = 1,7, WindSpeed = 17,1, SnowDepth = 0, Weight = 0, Age = 4,2096495603921635, MeasuredPower = , HasMeasuredPower = False }</t>
  </si>
  <si>
    <t>29.11.2025 01:30:00</t>
  </si>
  <si>
    <t>17,1</t>
  </si>
  <si>
    <t>PvRecord { Timestamp = 29.11.2025 01:45:00, Index = 0, DirectGeometryFactor = 0, DiffuseGeometryFactor = 0,9095760221444958, CosSunElevation = 0, GlobalHorizontalIrradiance = 0, SunshineDuration = 0, DiffuseHorizontalIrradiance = 0, AmbientTemp = 1,7, WindSpeed = 17,1, SnowDepth = 0, Weight = 0, Age = 4,209678080280245, MeasuredPower = , HasMeasuredPower = False }</t>
  </si>
  <si>
    <t>29.11.2025 01:45:00</t>
  </si>
  <si>
    <t>PvRecord { Timestamp = 29.11.2025 02:00:00, Index = 0, DirectGeometryFactor = 0, DiffuseGeometryFactor = 0,9095760221444958, CosSunElevation = 0, GlobalHorizontalIrradiance = 0, SunshineDuration = 0, DiffuseHorizontalIrradiance = 0, AmbientTemp = 1,7, WindSpeed = 17,1, SnowDepth = 0, Weight = 0, Age = 4,209706600168326, MeasuredPower = , HasMeasuredPower = False }</t>
  </si>
  <si>
    <t>29.11.2025 02:00:00</t>
  </si>
  <si>
    <t>PvRecord { Timestamp = 29.11.2025 02:15:00, Index = 0, DirectGeometryFactor = 0, DiffuseGeometryFactor = 0,9095760221444958, CosSunElevation = 0, GlobalHorizontalIrradiance = 0, SunshineDuration = 0, DiffuseHorizontalIrradiance = 0, AmbientTemp = 1,7, WindSpeed = 17,1, SnowDepth = 0, Weight = 0, Age = 4,209735120056408, MeasuredPower = , HasMeasuredPower = False }</t>
  </si>
  <si>
    <t>29.11.2025 02:15:00</t>
  </si>
  <si>
    <t>PvRecord { Timestamp = 29.11.2025 02:30:00, Index = 0, DirectGeometryFactor = 0, DiffuseGeometryFactor = 0,9095760221444958, CosSunElevation = 0, GlobalHorizontalIrradiance = 0, SunshineDuration = 0, DiffuseHorizontalIrradiance = 0, AmbientTemp = 1,8, WindSpeed = 16,92, SnowDepth = 0, Weight = 0, Age = 4,209763639944489, MeasuredPower = , HasMeasuredPower = False }</t>
  </si>
  <si>
    <t>29.11.2025 02:30:00</t>
  </si>
  <si>
    <t>1,8</t>
  </si>
  <si>
    <t>16,92</t>
  </si>
  <si>
    <t>PvRecord { Timestamp = 29.11.2025 02:45:00, Index = 0, DirectGeometryFactor = 0, DiffuseGeometryFactor = 0,9095760221444958, CosSunElevation = 0, GlobalHorizontalIrradiance = 0, SunshineDuration = 0, DiffuseHorizontalIrradiance = 0, AmbientTemp = 1,8, WindSpeed = 16,92, SnowDepth = 0, Weight = 0, Age = 4,209792159832571, MeasuredPower = , HasMeasuredPower = False }</t>
  </si>
  <si>
    <t>29.11.2025 02:45:00</t>
  </si>
  <si>
    <t>PvRecord { Timestamp = 29.11.2025 03:00:00, Index = 0, DirectGeometryFactor = 0, DiffuseGeometryFactor = 0,9095760221444958, CosSunElevation = 0, GlobalHorizontalIrradiance = 0, SunshineDuration = 0, DiffuseHorizontalIrradiance = 0, AmbientTemp = 1,8, WindSpeed = 16,92, SnowDepth = 0, Weight = 0, Age = 4,209820679720653, MeasuredPower = , HasMeasuredPower = False }</t>
  </si>
  <si>
    <t>29.11.2025 03:00:00</t>
  </si>
  <si>
    <t>PvRecord { Timestamp = 29.11.2025 03:15:00, Index = 0, DirectGeometryFactor = 0, DiffuseGeometryFactor = 0,9095760221444958, CosSunElevation = 0, GlobalHorizontalIrradiance = 0, SunshineDuration = 0, DiffuseHorizontalIrradiance = 0, AmbientTemp = 1,8, WindSpeed = 16,92, SnowDepth = 0, Weight = 0, Age = 4,209849199608734, MeasuredPower = , HasMeasuredPower = False }</t>
  </si>
  <si>
    <t>29.11.2025 03:15:00</t>
  </si>
  <si>
    <t>PvRecord { Timestamp = 29.11.2025 03:30:00, Index = 0, DirectGeometryFactor = 0, DiffuseGeometryFactor = 0,9095760221444958, CosSunElevation = 0, GlobalHorizontalIrradiance = 0, SunshineDuration = 0, DiffuseHorizontalIrradiance = 0, AmbientTemp = 1,6, WindSpeed = 23,94, SnowDepth = 0, Weight = 0, Age = 4,2098777194968156, MeasuredPower = , HasMeasuredPower = False }</t>
  </si>
  <si>
    <t>29.11.2025 03:30:00</t>
  </si>
  <si>
    <t>1,6</t>
  </si>
  <si>
    <t>23,94</t>
  </si>
  <si>
    <t>PvRecord { Timestamp = 29.11.2025 03:45:00, Index = 0, DirectGeometryFactor = 0, DiffuseGeometryFactor = 0,9095760221444958, CosSunElevation = 0, GlobalHorizontalIrradiance = 0, SunshineDuration = 0, DiffuseHorizontalIrradiance = 0, AmbientTemp = 1,6, WindSpeed = 23,94, SnowDepth = 0, Weight = 0, Age = 4,209906239384897, MeasuredPower = , HasMeasuredPower = False }</t>
  </si>
  <si>
    <t>29.11.2025 03:45:00</t>
  </si>
  <si>
    <t>PvRecord { Timestamp = 29.11.2025 04:00:00, Index = 0, DirectGeometryFactor = 0, DiffuseGeometryFactor = 0,9095760221444958, CosSunElevation = 0, GlobalHorizontalIrradiance = 0, SunshineDuration = 0, DiffuseHorizontalIrradiance = 0, AmbientTemp = 1,6, WindSpeed = 23,94, SnowDepth = 0, Weight = 0, Age = 4,209934759272979, MeasuredPower = , HasMeasuredPower = False }</t>
  </si>
  <si>
    <t>29.11.2025 04:00:00</t>
  </si>
  <si>
    <t>PvRecord { Timestamp = 29.11.2025 04:15:00, Index = 0, DirectGeometryFactor = 0, DiffuseGeometryFactor = 0,9095760221444958, CosSunElevation = 0, GlobalHorizontalIrradiance = 0, SunshineDuration = 0, DiffuseHorizontalIrradiance = 0, AmbientTemp = 1,6, WindSpeed = 23,94, SnowDepth = 0, Weight = 0, Age = 4,209963279161061, MeasuredPower = , HasMeasuredPower = False }</t>
  </si>
  <si>
    <t>29.11.2025 04:15:00</t>
  </si>
  <si>
    <t>PvRecord { Timestamp = 29.11.2025 04:30:00,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4,209991799049142, MeasuredPower = , HasMeasuredPower = False }</t>
  </si>
  <si>
    <t>29.11.2025 04:30:00</t>
  </si>
  <si>
    <t>21,6</t>
  </si>
  <si>
    <t>PvRecord { Timestamp = 29.11.2025 04:45:00,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4,210020318937223, MeasuredPower = , HasMeasuredPower = False }</t>
  </si>
  <si>
    <t>29.11.2025 04:45:00</t>
  </si>
  <si>
    <t>PvRecord { Timestamp = 29.11.2025 05:00:00,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4,210048838825305, MeasuredPower = , HasMeasuredPower = False }</t>
  </si>
  <si>
    <t>29.11.2025 05:00:00</t>
  </si>
  <si>
    <t>PvRecord { Timestamp = 29.11.2025 05:15:00,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4,210077358713387, MeasuredPower = , HasMeasuredPower = False }</t>
  </si>
  <si>
    <t>29.11.2025 05:15:00</t>
  </si>
  <si>
    <t>PvRecord { Timestamp = 29.11.2025 05:30:00, Index = 0, DirectGeometryFactor = 0, DiffuseGeometryFactor = 0,9095760221444958, CosSunElevation = 0, GlobalHorizontalIrradiance = 0, SunshineDuration = 0, DiffuseHorizontalIrradiance = 0, AmbientTemp = 1,6, WindSpeed = 22,32, SnowDepth = 0, Weight = 0, Age = 4,2101058786014685, MeasuredPower = , HasMeasuredPower = False }</t>
  </si>
  <si>
    <t>29.11.2025 05:30:00</t>
  </si>
  <si>
    <t>22,32</t>
  </si>
  <si>
    <t>PvRecord { Timestamp = 29.11.2025 05:45:00, Index = 0, DirectGeometryFactor = 0, DiffuseGeometryFactor = 0,9095760221444958, CosSunElevation = 0, GlobalHorizontalIrradiance = 0, SunshineDuration = 0, DiffuseHorizontalIrradiance = 0, AmbientTemp = 1,6, WindSpeed = 22,32, SnowDepth = 0, Weight = 0, Age = 4,21013439848955, MeasuredPower = , HasMeasuredPower = False }</t>
  </si>
  <si>
    <t>29.11.2025 05:45:00</t>
  </si>
  <si>
    <t>PvRecord { Timestamp = 29.11.2025 06:00:00, Index = 0, DirectGeometryFactor = 0, DiffuseGeometryFactor = 0,9095760221444958, CosSunElevation = 0, GlobalHorizontalIrradiance = 0, SunshineDuration = 0, DiffuseHorizontalIrradiance = 0, AmbientTemp = 1,6, WindSpeed = 22,32, SnowDepth = 0, Weight = 0, Age = 4,210162918377631, MeasuredPower = , HasMeasuredPower = False }</t>
  </si>
  <si>
    <t>29.11.2025 06:00:00</t>
  </si>
  <si>
    <t>PvRecord { Timestamp = 29.11.2025 06:15:00, Index = 0, DirectGeometryFactor = 0, DiffuseGeometryFactor = 0,9095760221444958, CosSunElevation = 0, GlobalHorizontalIrradiance = 0, SunshineDuration = 0, DiffuseHorizontalIrradiance = 0, AmbientTemp = 1,6, WindSpeed = 22,32, SnowDepth = 0, Weight = 0, Age = 4,210191438265713, MeasuredPower = , HasMeasuredPower = False }</t>
  </si>
  <si>
    <t>29.11.2025 06:15:00</t>
  </si>
  <si>
    <t>PvRecord { Timestamp = 29.11.2025 06:30:00, Index = 0, DirectGeometryFactor = 0, DiffuseGeometryFactor = 0,9095760221444958, CosSunElevation = 0, GlobalHorizontalIrradiance = 0, SunshineDuration = 0, DiffuseHorizontalIrradiance = 0, AmbientTemp = 1,75, WindSpeed = 19,44, SnowDepth = 0, Weight = 0, Age = 4,210219958153795, MeasuredPower = , HasMeasuredPower = False }</t>
  </si>
  <si>
    <t>29.11.2025 06:30:00</t>
  </si>
  <si>
    <t>1,75</t>
  </si>
  <si>
    <t>19,44</t>
  </si>
  <si>
    <t>PvRecord { Timestamp = 29.11.2025 06:45:00, Index = 0, DirectGeometryFactor = 0, DiffuseGeometryFactor = 0,9095760221444958, CosSunElevation = 0, GlobalHorizontalIrradiance = 0, SunshineDuration = 0, DiffuseHorizontalIrradiance = 0, AmbientTemp = 1,75, WindSpeed = 19,44, SnowDepth = 0, Weight = 0, Age = 4,210248478041876, MeasuredPower = , HasMeasuredPower = False }</t>
  </si>
  <si>
    <t>29.11.2025 06:45:00</t>
  </si>
  <si>
    <t>PvRecord { Timestamp = 29.11.2025 07:00:00, Index = 0, DirectGeometryFactor = 0, DiffuseGeometryFactor = 0,9095760221444958, CosSunElevation = 0, GlobalHorizontalIrradiance = 0, SunshineDuration = 0, DiffuseHorizontalIrradiance = 0, AmbientTemp = 1,75, WindSpeed = 19,44, SnowDepth = 0, Weight = 0, Age = 4,210276997929958, MeasuredPower = , HasMeasuredPower = False }</t>
  </si>
  <si>
    <t>29.11.2025 07:00:00</t>
  </si>
  <si>
    <t>PvRecord { Timestamp = 29.11.2025 07:15:00, Index = 0, DirectGeometryFactor = 0, DiffuseGeometryFactor = 0,9095760221444958, CosSunElevation = 0, GlobalHorizontalIrradiance = 0, SunshineDuration = 0, DiffuseHorizontalIrradiance = 0, AmbientTemp = 1,75, WindSpeed = 19,44, SnowDepth = 0, Weight = 0, Age = 4,210305517818039, MeasuredPower = , HasMeasuredPower = False }</t>
  </si>
  <si>
    <t>29.11.2025 07:15:00</t>
  </si>
  <si>
    <t>PvRecord { Timestamp = 29.11.2025 07:30:00, Index = 0, DirectGeometryFactor = 0, DiffuseGeometryFactor = 0,9095760221444958, CosSunElevation = 0, GlobalHorizontalIrradiance = 0, SunshineDuration = 0, DiffuseHorizontalIrradiance = 0, AmbientTemp = 2, WindSpeed = 19,44, SnowDepth = 0, Weight = 0, Age = 4,2103340377061205, MeasuredPower = , HasMeasuredPower = False }</t>
  </si>
  <si>
    <t>29.11.2025 07:30:00</t>
  </si>
  <si>
    <t>PvRecord { Timestamp = 29.11.2025 07:45:00, Index = 0, DirectGeometryFactor = 0, DiffuseGeometryFactor = 0,9095760221444958, CosSunElevation = 0,004193348148921812, GlobalHorizontalIrradiance = 0, SunshineDuration = 0, DiffuseHorizontalIrradiance = 0, AmbientTemp = 2, WindSpeed = 19,44, SnowDepth = 0, Weight = 0, Age = 4,210362557594203, MeasuredPower = , HasMeasuredPower = False }</t>
  </si>
  <si>
    <t>29.11.2025 07:45:00</t>
  </si>
  <si>
    <t>0,004193348148921812</t>
  </si>
  <si>
    <t>PvRecord { Timestamp = 29.11.2025 08:00:00, Index = 0, DirectGeometryFactor = 0,508732196001698, DiffuseGeometryFactor = 0,9095760221444958, CosSunElevation = 0,03694686110643266, GlobalHorizontalIrradiance = 0, SunshineDuration = 0, DiffuseHorizontalIrradiance = 0, AmbientTemp = 2, WindSpeed = 19,44, SnowDepth = 0, Weight = 0, Age = 4,210391077482284, MeasuredPower = , HasMeasuredPower = False }</t>
  </si>
  <si>
    <t>29.11.2025 08:00:00</t>
  </si>
  <si>
    <t>0,508732196001698</t>
  </si>
  <si>
    <t>0,03694686110643266</t>
  </si>
  <si>
    <t>PvRecord { Timestamp = 29.11.2025 08:15:00, Index = 0, DirectGeometryFactor = 0,5505149167247712, DiffuseGeometryFactor = 0,9095760221444958, CosSunElevation = 0,07071867789702435, GlobalHorizontalIrradiance = 0, SunshineDuration = 0, DiffuseHorizontalIrradiance = 0, AmbientTemp = 2, WindSpeed = 19,44, SnowDepth = 0, Weight = 0, Age = 4,2104195973703655, MeasuredPower = , HasMeasuredPower = False }</t>
  </si>
  <si>
    <t>29.11.2025 08:15:00</t>
  </si>
  <si>
    <t>0,5505149167247712</t>
  </si>
  <si>
    <t>0,07071867789702435</t>
  </si>
  <si>
    <t>PvRecord { Timestamp = 29.11.2025 08:30:00, Index = 0, DirectGeometryFactor = 0,5902974320623233, DiffuseGeometryFactor = 0,9095760221444958, CosSunElevation = 0,10391023470014876, GlobalHorizontalIrradiance = 12,033333333333333, SunshineDuration = 0, DiffuseHorizontalIrradiance = 12, AmbientTemp = 2,4000000000000004, WindSpeed = 20,88, SnowDepth = 0, Weight = 0, Age = 4,210448117258447, MeasuredPower = , HasMeasuredPower = False }</t>
  </si>
  <si>
    <t>29.11.2025 08:30:00</t>
  </si>
  <si>
    <t>0,5902974320623233</t>
  </si>
  <si>
    <t>0,10391023470014876</t>
  </si>
  <si>
    <t>20,88</t>
  </si>
  <si>
    <t>PvRecord { Timestamp = 29.11.2025 08:45:00, Index = 0, DirectGeometryFactor = 0,6274893408188407, DiffuseGeometryFactor = 0,9095760221444958, CosSunElevation = 0,13587855198567714, GlobalHorizontalIrradiance = 12,033333333333333, SunshineDuration = 0, DiffuseHorizontalIrradiance = 12, AmbientTemp = 2,4000000000000004, WindSpeed = 20,88, SnowDepth = 0, Weight = 0, Age = 4,210476637146528, MeasuredPower = , HasMeasuredPower = False }</t>
  </si>
  <si>
    <t>29.11.2025 08:45:00</t>
  </si>
  <si>
    <t>0,6274893408188407</t>
  </si>
  <si>
    <t>0,13587855198567714</t>
  </si>
  <si>
    <t>PvRecord { Timestamp = 29.11.2025 09:00:00, Index = 0, DirectGeometryFactor = 0,6617762177911175, DiffuseGeometryFactor = 0,9095760221444958, CosSunElevation = 0,16630099972388332, GlobalHorizontalIrradiance = 12,033333333333333, SunshineDuration = 0, DiffuseHorizontalIrradiance = 12, AmbientTemp = 2,4000000000000004, WindSpeed = 20,88, SnowDepth = 0, Weight = 0, Age = 4,210505157034611, MeasuredPower = , HasMeasuredPower = False }</t>
  </si>
  <si>
    <t>29.11.2025 09:00:00</t>
  </si>
  <si>
    <t>0,6617762177911175</t>
  </si>
  <si>
    <t>0,16630099972388332</t>
  </si>
  <si>
    <t>PvRecord { Timestamp = 29.11.2025 09:15:00, Index = 0, DirectGeometryFactor = 0,6929435328334772, DiffuseGeometryFactor = 0,9095760221444958, CosSunElevation = 0,19496600574099895, GlobalHorizontalIrradiance = 12,033333333333333, SunshineDuration = 0, DiffuseHorizontalIrradiance = 12, AmbientTemp = 2,4000000000000004, WindSpeed = 20,88, SnowDepth = 0, Weight = 0, Age = 4,210533676922692, MeasuredPower = , HasMeasuredPower = False }</t>
  </si>
  <si>
    <t>29.11.2025 09:15:00</t>
  </si>
  <si>
    <t>0,6929435328334772</t>
  </si>
  <si>
    <t>0,19496600574099895</t>
  </si>
  <si>
    <t>PvRecord { Timestamp = 29.11.2025 09:30:00, Index = 0, DirectGeometryFactor = 0,7208241658025034, DiffuseGeometryFactor = 0,9095760221444958, CosSunElevation = 0,22171028433449827, GlobalHorizontalIrradiance = 0, SunshineDuration = 0, DiffuseHorizontalIrradiance = 47,5, AmbientTemp = 3,2, WindSpeed = 19,98, SnowDepth = 0, Weight = 0, Age = 4,210562196810773, MeasuredPower = , HasMeasuredPower = False }</t>
  </si>
  <si>
    <t>29.11.2025 09:30:00</t>
  </si>
  <si>
    <t>0,7208241658025034</t>
  </si>
  <si>
    <t>0,22171028433449827</t>
  </si>
  <si>
    <t>47,5</t>
  </si>
  <si>
    <t>3,2</t>
  </si>
  <si>
    <t>19,98</t>
  </si>
  <si>
    <t>PvRecord { Timestamp = 29.11.2025 09:45:00, Index = 0, DirectGeometryFactor = 0,7452802857317047, DiffuseGeometryFactor = 0,9095760221444958, CosSunElevation = 0,24639702070724953, GlobalHorizontalIrradiance = 0, SunshineDuration = 0, DiffuseHorizontalIrradiance = 47,5, AmbientTemp = 3,2, WindSpeed = 19,98, SnowDepth = 0, Weight = 0, Age = 4,210590716698855, MeasuredPower = , HasMeasuredPower = False }</t>
  </si>
  <si>
    <t>29.11.2025 09:45:00</t>
  </si>
  <si>
    <t>0,7452802857317047</t>
  </si>
  <si>
    <t>0,24639702070724953</t>
  </si>
  <si>
    <t>PvRecord { Timestamp = 29.11.2025 10:00:00, Index = 0, DirectGeometryFactor = 0,7661962920794475, DiffuseGeometryFactor = 0,9095760221444958, CosSunElevation = 0,2689072984093407, GlobalHorizontalIrradiance = 0, SunshineDuration = 0, DiffuseHorizontalIrradiance = 47,5, AmbientTemp = 3,2, WindSpeed = 19,98, SnowDepth = 0, Weight = 0, Age = 4,210619236586937, MeasuredPower = , HasMeasuredPower = False }</t>
  </si>
  <si>
    <t>29.11.2025 10:00:00</t>
  </si>
  <si>
    <t>0,7661962920794475</t>
  </si>
  <si>
    <t>0,2689072984093407</t>
  </si>
  <si>
    <t>PvRecord { Timestamp = 29.11.2025 10:15:00, Index = 0, DirectGeometryFactor = 0,7834758363891943, DiffuseGeometryFactor = 0,9095760221444958, CosSunElevation = 0,2891364442187385, GlobalHorizontalIrradiance = 0, SunshineDuration = 0, DiffuseHorizontalIrradiance = 47,5, AmbientTemp = 3,2, WindSpeed = 19,98, SnowDepth = 0, Weight = 0, Age = 4,210647756475018, MeasuredPower = , HasMeasuredPower = False }</t>
  </si>
  <si>
    <t>29.11.2025 10:15:00</t>
  </si>
  <si>
    <t>0,7834758363891943</t>
  </si>
  <si>
    <t>0,2891364442187385</t>
  </si>
  <si>
    <t>PvRecord { Timestamp = 29.11.2025 10:30:00, Index = 0, DirectGeometryFactor = 0,7970405115164536, DiffuseGeometryFactor = 0,9095760221444958, CosSunElevation = 0,3069924080255551, GlobalHorizontalIrradiance = 16,983333333333334, SunshineDuration = 0, DiffuseHorizontalIrradiance = 83,5, AmbientTemp = 4,1, WindSpeed = 8,100000000000001, SnowDepth = 0, Weight = 0, Age = 4,2106762763631, MeasuredPower = , HasMeasuredPower = False }</t>
  </si>
  <si>
    <t>29.11.2025 10:30:00</t>
  </si>
  <si>
    <t>0,7970405115164536</t>
  </si>
  <si>
    <t>0,3069924080255551</t>
  </si>
  <si>
    <t>83,5</t>
  </si>
  <si>
    <t>4,1</t>
  </si>
  <si>
    <t>PvRecord { Timestamp = 29.11.2025 10:45:00, Index = 0, DirectGeometryFactor = 0,8068292697130668, DiffuseGeometryFactor = 0,9095760221444958, CosSunElevation = 0,3223950546921457, GlobalHorizontalIrradiance = 16,983333333333334, SunshineDuration = 0, DiffuseHorizontalIrradiance = 83,5, AmbientTemp = 4,1, WindSpeed = 8,100000000000001, SnowDepth = 0, Weight = 0, Age = 4,210704796251181, MeasuredPower = , HasMeasuredPower = False }</t>
  </si>
  <si>
    <t>29.11.2025 10:45:00</t>
  </si>
  <si>
    <t>0,8068292697130668</t>
  </si>
  <si>
    <t>0,3223950546921457</t>
  </si>
  <si>
    <t>PvRecord { Timestamp = 29.11.2025 11:00:00, Index = 0, DirectGeometryFactor = 0,8127981669378489, DiffuseGeometryFactor = 0,9095760221444958, CosSunElevation = 0,33527588566292466, GlobalHorizontalIrradiance = 16,983333333333334, SunshineDuration = 0, DiffuseHorizontalIrradiance = 83,5, AmbientTemp = 4,1, WindSpeed = 8,100000000000001, SnowDepth = 0, Weight = 0, Age = 4,210733316139263, MeasuredPower = , HasMeasuredPower = False }</t>
  </si>
  <si>
    <t>29.11.2025 11:00:00</t>
  </si>
  <si>
    <t>0,8127981669378489</t>
  </si>
  <si>
    <t>0,33527588566292466</t>
  </si>
  <si>
    <t>PvRecord { Timestamp = 29.11.2025 11:15:00, Index = 0, DirectGeometryFactor = 0,8149202462556687, DiffuseGeometryFactor = 0,9095760221444958, CosSunElevation = 0,345577965791514, GlobalHorizontalIrradiance = 16,983333333333334, SunshineDuration = 0, DiffuseHorizontalIrradiance = 83,5, AmbientTemp = 4,1, WindSpeed = 8,100000000000001, SnowDepth = 0, Weight = 0, Age = 4,210761836027345, MeasuredPower = , HasMeasuredPower = False }</t>
  </si>
  <si>
    <t>29.11.2025 11:15:00</t>
  </si>
  <si>
    <t>0,8149202462556687</t>
  </si>
  <si>
    <t>0,345577965791514</t>
  </si>
  <si>
    <t>PvRecord { Timestamp = 29.11.2025 11:30:00, Index = 0, DirectGeometryFactor = 0,8131854678496391, DiffuseGeometryFactor = 0,9095760221444958, CosSunElevation = 0,3532559441022119, GlobalHorizontalIrradiance = 256,1166666666667, SunshineDuration = 0, DiffuseHorizontalIrradiance = 117, AmbientTemp = 5,15, WindSpeed = 9,360000000000001, SnowDepth = 0, Weight = 0, Age = 4,210790355915426, MeasuredPower = , HasMeasuredPower = False }</t>
  </si>
  <si>
    <t>29.11.2025 11:30:00</t>
  </si>
  <si>
    <t>0,8131854678496391</t>
  </si>
  <si>
    <t>0,3532559441022119</t>
  </si>
  <si>
    <t>5,15</t>
  </si>
  <si>
    <t>PvRecord { Timestamp = 29.11.2025 11:45:00, Index = 0, DirectGeometryFactor = 0,8076006373494302, DiffuseGeometryFactor = 0,9095760221444958, CosSunElevation = 0,35827611012127025, GlobalHorizontalIrradiance = 256,1166666666667, SunshineDuration = 0, DiffuseHorizontalIrradiance = 117, AmbientTemp = 5,15, WindSpeed = 9,360000000000001, SnowDepth = 0, Weight = 0, Age = 4,210818875803508, MeasuredPower = , HasMeasuredPower = False }</t>
  </si>
  <si>
    <t>29.11.2025 11:45:00</t>
  </si>
  <si>
    <t>0,8076006373494302</t>
  </si>
  <si>
    <t>0,35827611012127025</t>
  </si>
  <si>
    <t>PvRecord { Timestamp = 29.11.2025 12:00:00, Index = 0, DirectGeometryFactor = 0,7981893064969159, DiffuseGeometryFactor = 0,9095760221444958, CosSunElevation = 0,36061645386007757, GlobalHorizontalIrradiance = 256,1166666666667, SunshineDuration = 0, DiffuseHorizontalIrradiance = 117, AmbientTemp = 5,15, WindSpeed = 9,360000000000001, SnowDepth = 0, Weight = 0, Age = 4,210847395691589, MeasuredPower = , HasMeasuredPower = False }</t>
  </si>
  <si>
    <t>29.11.2025 12:00:00</t>
  </si>
  <si>
    <t>0,7981893064969159</t>
  </si>
  <si>
    <t>0,36061645386007757</t>
  </si>
  <si>
    <t>PvRecord { Timestamp = 29.11.2025 12:15:00, Index = 0, DirectGeometryFactor = 0,7849916322666564, DiffuseGeometryFactor = 0,9095760221444958, CosSunElevation = 0,36026671202116, GlobalHorizontalIrradiance = 256,1166666666667, SunshineDuration = 0, DiffuseHorizontalIrradiance = 117, AmbientTemp = 5,15, WindSpeed = 9,360000000000001, SnowDepth = 0, Weight = 0, Age = 4,2108759155796704, MeasuredPower = , HasMeasuredPower = False }</t>
  </si>
  <si>
    <t>29.11.2025 12:15:00</t>
  </si>
  <si>
    <t>0,7849916322666564</t>
  </si>
  <si>
    <t>0,36026671202116</t>
  </si>
  <si>
    <t>PvRecord { Timestamp = 29.11.2025 12:30:00, Index = 0, DirectGeometryFactor = 0,7680641873826168, DiffuseGeometryFactor = 0,9095760221444958, CosSunElevation = 0,35722839114924776, GlobalHorizontalIrradiance = 636,1666666666666, SunshineDuration = 0, DiffuseHorizontalIrradiance = 93,5, AmbientTemp = 6,15, WindSpeed = 12,240000000000002, SnowDepth = 0, Weight = 0, Age = 4,210904435467753, MeasuredPower = , HasMeasuredPower = False }</t>
  </si>
  <si>
    <t>29.11.2025 12:30:00</t>
  </si>
  <si>
    <t>0,7680641873826168</t>
  </si>
  <si>
    <t>0,35722839114924776</t>
  </si>
  <si>
    <t>93,5</t>
  </si>
  <si>
    <t>PvRecord { Timestamp = 29.11.2025 12:45:00, Index = 0, DirectGeometryFactor = 0,7474797200585124, DiffuseGeometryFactor = 0,9095760221444958, CosSunElevation = 0,35151476389546527, GlobalHorizontalIrradiance = 636,1666666666666, SunshineDuration = 0, DiffuseHorizontalIrradiance = 93,5, AmbientTemp = 6,15, WindSpeed = 12,240000000000002, SnowDepth = 0, Weight = 0, Age = 4,210932955355834, MeasuredPower = , HasMeasuredPower = False }</t>
  </si>
  <si>
    <t>29.11.2025 12:45:00</t>
  </si>
  <si>
    <t>0,7474797200585124</t>
  </si>
  <si>
    <t>0,35151476389546527</t>
  </si>
  <si>
    <t>PvRecord { Timestamp = 29.11.2025 13:00:00, Index = 0, DirectGeometryFactor = 0,7233268643977071, DiffuseGeometryFactor = 0,9095760221444958, CosSunElevation = 0,34315083900511395, GlobalHorizontalIrradiance = 636,1666666666666, SunshineDuration = 0, DiffuseHorizontalIrradiance = 93,5, AmbientTemp = 6,15, WindSpeed = 12,240000000000002, SnowDepth = 0, Weight = 0, Age = 4,2109614752439155, MeasuredPower = , HasMeasuredPower = False }</t>
  </si>
  <si>
    <t>29.11.2025 13:00:00</t>
  </si>
  <si>
    <t>0,7233268643977071</t>
  </si>
  <si>
    <t>0,34315083900511395</t>
  </si>
  <si>
    <t>PvRecord { Timestamp = 29.11.2025 13:15:00, Index = 0, DirectGeometryFactor = 0,6957098065434596, DiffuseGeometryFactor = 0,9095760221444958, CosSunElevation = 0,3321733100159894, GlobalHorizontalIrradiance = 636,1666666666666, SunshineDuration = 0, DiffuseHorizontalIrradiance = 93,5, AmbientTemp = 6,15, WindSpeed = 12,240000000000002, SnowDepth = 0, Weight = 0, Age = 4,210989995131997, MeasuredPower = , HasMeasuredPower = False }</t>
  </si>
  <si>
    <t>29.11.2025 13:15:00</t>
  </si>
  <si>
    <t>0,6957098065434596</t>
  </si>
  <si>
    <t>0,3321733100159894</t>
  </si>
  <si>
    <t>PvRecord { Timestamp = 29.11.2025 13:30:00, Index = 0, DirectGeometryFactor = 0,664747917161933, DiffuseGeometryFactor = 0,9095760221444958, CosSunElevation = 0,3186304937886153, GlobalHorizontalIrradiance = 657,4833333333332, SunshineDuration = 0, DiffuseHorizontalIrradiance = 80, AmbientTemp = 6,800000000000001, WindSpeed = 12,06, SnowDepth = 0, Weight = 0, Age = 4,211018515020078, MeasuredPower = , HasMeasuredPower = False }</t>
  </si>
  <si>
    <t>29.11.2025 13:30:00</t>
  </si>
  <si>
    <t>0,664747917161933</t>
  </si>
  <si>
    <t>0,3186304937886153</t>
  </si>
  <si>
    <t>12,06</t>
  </si>
  <si>
    <t>PvRecord { Timestamp = 29.11.2025 13:45:00, Index = 0, DirectGeometryFactor = 0,6305753683943575, DiffuseGeometryFactor = 0,9095760221444958, CosSunElevation = 0,30258227937596405, GlobalHorizontalIrradiance = 657,4833333333332, SunshineDuration = 0, DiffuseHorizontalIrradiance = 80, AmbientTemp = 6,800000000000001, WindSpeed = 12,06, SnowDepth = 0, Weight = 0, Age = 4,211047034908161, MeasuredPower = , HasMeasuredPower = False }</t>
  </si>
  <si>
    <t>29.11.2025 13:45:00</t>
  </si>
  <si>
    <t>0,6305753683943575</t>
  </si>
  <si>
    <t>0,30258227937596405</t>
  </si>
  <si>
    <t>PvRecord { Timestamp = 29.11.2025 14:00:00, Index = 0, DirectGeometryFactor = 0,5933407670484689, DiffuseGeometryFactor = 0,9095760221444958, CosSunElevation = 0,2841001242664466, GlobalHorizontalIrradiance = 657,4833333333332, SunshineDuration = 0, DiffuseHorizontalIrradiance = 80, AmbientTemp = 6,800000000000001, WindSpeed = 12,06, SnowDepth = 0, Weight = 0, Age = 4,211075554796242, MeasuredPower = , HasMeasuredPower = False }</t>
  </si>
  <si>
    <t>29.11.2025 14:00:00</t>
  </si>
  <si>
    <t>0,5933407670484689</t>
  </si>
  <si>
    <t>0,2841001242664466</t>
  </si>
  <si>
    <t>PvRecord { Timestamp = 29.11.2025 14:15:00, Index = 0, DirectGeometryFactor = 0,5532068625807484, DiffuseGeometryFactor = 0,9095760221444958, CosSunElevation = 0,263267166987877, GlobalHorizontalIrradiance = 657,4833333333332, SunshineDuration = 0, DiffuseHorizontalIrradiance = 80, AmbientTemp = 6,800000000000001, WindSpeed = 12,06, SnowDepth = 0, Weight = 0, Age = 4,211104074684323, MeasuredPower = , HasMeasuredPower = False }</t>
  </si>
  <si>
    <t>29.11.2025 14:15:00</t>
  </si>
  <si>
    <t>0,5532068625807484</t>
  </si>
  <si>
    <t>0,263267166987877</t>
  </si>
  <si>
    <t>PvRecord { Timestamp = 29.11.2025 14:30:00, Index = 0, DirectGeometryFactor = 0,5103504407812285, DiffuseGeometryFactor = 0,9095760221444958, CosSunElevation = 0,24017858902847705, GlobalHorizontalIrradiance = 250,16666666666666, SunshineDuration = 0, DiffuseHorizontalIrradiance = 108, AmbientTemp = 6,4, WindSpeed = 14,4, SnowDepth = 0, Weight = 0, Age = 4,211132594572405, MeasuredPower = , HasMeasuredPower = False }</t>
  </si>
  <si>
    <t>29.11.2025 14:30:00</t>
  </si>
  <si>
    <t>0,5103504407812285</t>
  </si>
  <si>
    <t>0,24017858902847705</t>
  </si>
  <si>
    <t>6,4</t>
  </si>
  <si>
    <t>14,4</t>
  </si>
  <si>
    <t>PvRecord { Timestamp = 29.11.2025 14:45:00, Index = 0, DirectGeometryFactor = 0,4649626284032261, DiffuseGeometryFactor = 0,9095760221444958, CosSunElevation = 0,21494249794767348, GlobalHorizontalIrradiance = 250,16666666666666, SunshineDuration = 0, DiffuseHorizontalIrradiance = 108, AmbientTemp = 6,4, WindSpeed = 14,4, SnowDepth = 0, Weight = 0, Age = 4,211161114460486, MeasuredPower = , HasMeasuredPower = False }</t>
  </si>
  <si>
    <t>29.11.2025 14:45:00</t>
  </si>
  <si>
    <t>0,4649626284032261</t>
  </si>
  <si>
    <t>0,21494249794767348</t>
  </si>
  <si>
    <t>PvRecord { Timestamp = 29.11.2025 15:00:00, Index = 0, DirectGeometryFactor = 0,41725010178406946, DiffuseGeometryFactor = 0,9095760221444958, CosSunElevation = 0,18768192835321673, GlobalHorizontalIrradiance = 250,16666666666666, SunshineDuration = 0, DiffuseHorizontalIrradiance = 108, AmbientTemp = 6,4, WindSpeed = 14,4, SnowDepth = 0, Weight = 0, Age = 4,211189634348568, MeasuredPower = , HasMeasuredPower = False }</t>
  </si>
  <si>
    <t>29.11.2025 15:00:00</t>
  </si>
  <si>
    <t>0,41725010178406946</t>
  </si>
  <si>
    <t>0,18768192835321673</t>
  </si>
  <si>
    <t>PvRecord { Timestamp = 29.11.2025 15:15:00, Index = 0, DirectGeometryFactor = 0,367438371322208, DiffuseGeometryFactor = 0,9095760221444958, CosSunElevation = 0,1585393826723942, GlobalHorizontalIrradiance = 250,16666666666666, SunshineDuration = 0, DiffuseHorizontalIrradiance = 108, AmbientTemp = 6,4, WindSpeed = 14,4, SnowDepth = 0, Weight = 0, Age = 4,21121815423665, MeasuredPower = , HasMeasuredPower = False }</t>
  </si>
  <si>
    <t>29.11.2025 15:15:00</t>
  </si>
  <si>
    <t>0,367438371322208</t>
  </si>
  <si>
    <t>0,1585393826723942</t>
  </si>
  <si>
    <t>PvRecord { Timestamp = 29.11.2025 15:30:00, Index = 0, DirectGeometryFactor = 0,31578023408431033, DiffuseGeometryFactor = 0,9095760221444958, CosSunElevation = 0,1276876666887545, GlobalHorizontalIrradiance = 213,88333333333333, SunshineDuration = 0, DiffuseHorizontalIrradiance = 55,5, AmbientTemp = 4,95, WindSpeed = 10,8, SnowDepth = 0, Weight = 0, Age = 4,211246674124731, MeasuredPower = , HasMeasuredPower = False }</t>
  </si>
  <si>
    <t>29.11.2025 15:30:00</t>
  </si>
  <si>
    <t>0,31578023408431033</t>
  </si>
  <si>
    <t>0,1276876666887545</t>
  </si>
  <si>
    <t>55,5</t>
  </si>
  <si>
    <t>4,95</t>
  </si>
  <si>
    <t>PvRecord { Timestamp = 29.11.2025 15:45:00, Index = 0, DirectGeometryFactor = 0, DiffuseGeometryFactor = 0,9095760221444958, CosSunElevation = 0,0953582542250397, GlobalHorizontalIrradiance = 213,88333333333333, SunshineDuration = 0, DiffuseHorizontalIrradiance = 55,5, AmbientTemp = 4,95, WindSpeed = 10,8, SnowDepth = 0, Weight = 0, Age = 4,211275194012813, MeasuredPower = , HasMeasuredPower = False }</t>
  </si>
  <si>
    <t>29.11.2025 15:45:00</t>
  </si>
  <si>
    <t>0,0953582542250397</t>
  </si>
  <si>
    <t>PvRecord { Timestamp = 29.11.2025 16:00:00, Index = 0, DirectGeometryFactor = 0, DiffuseGeometryFactor = 0,9095760221444958, CosSunElevation = 0,061926075223934604, GlobalHorizontalIrradiance = 213,88333333333333, SunshineDuration = 0, DiffuseHorizontalIrradiance = 55,5, AmbientTemp = 4,95, WindSpeed = 10,8, SnowDepth = 0, Weight = 0, Age = 4,211303713900894, MeasuredPower = , HasMeasuredPower = False }</t>
  </si>
  <si>
    <t>29.11.2025 16:00:00</t>
  </si>
  <si>
    <t>0,061926075223934604</t>
  </si>
  <si>
    <t>PvRecord { Timestamp = 29.11.2025 16:15:00, Index = 0, DirectGeometryFactor = 0, DiffuseGeometryFactor = 0,9095760221444958, CosSunElevation = 0,028200707019647886, GlobalHorizontalIrradiance = 213,88333333333333, SunshineDuration = 0, DiffuseHorizontalIrradiance = 55,5, AmbientTemp = 4,95, WindSpeed = 10,8, SnowDepth = 0, Weight = 0, Age = 4,211332233788976, MeasuredPower = , HasMeasuredPower = False }</t>
  </si>
  <si>
    <t>29.11.2025 16:15:00</t>
  </si>
  <si>
    <t>0,028200707019647886</t>
  </si>
  <si>
    <t>PvRecord { Timestamp = 29.11.2025 16:30:00,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4,211360753677058, MeasuredPower = , HasMeasuredPower = False }</t>
  </si>
  <si>
    <t>29.11.2025 16:30:00</t>
  </si>
  <si>
    <t>3,05</t>
  </si>
  <si>
    <t>PvRecord { Timestamp = 29.11.2025 16:45:00,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4,211389273565139, MeasuredPower = , HasMeasuredPower = False }</t>
  </si>
  <si>
    <t>29.11.2025 16:45:00</t>
  </si>
  <si>
    <t>PvRecord { Timestamp = 29.11.2025 17:00:00,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4,21141779345322, MeasuredPower = , HasMeasuredPower = False }</t>
  </si>
  <si>
    <t>29.11.2025 17:00:00</t>
  </si>
  <si>
    <t>PvRecord { Timestamp = 29.11.2025 17:15:00,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4,211446313341302, MeasuredPower = , HasMeasuredPower = False }</t>
  </si>
  <si>
    <t>29.11.2025 17:15:00</t>
  </si>
  <si>
    <t>PvRecord { Timestamp = 29.11.2025 17:30:00,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4,211474833229384, MeasuredPower = , HasMeasuredPower = False }</t>
  </si>
  <si>
    <t>29.11.2025 17:30:00</t>
  </si>
  <si>
    <t>PvRecord { Timestamp = 29.11.2025 17:45:00,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4,2115033531174655, MeasuredPower = , HasMeasuredPower = False }</t>
  </si>
  <si>
    <t>29.11.2025 17:45:00</t>
  </si>
  <si>
    <t>PvRecord { Timestamp = 29.11.2025 18:00:00,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4,211531873005547, MeasuredPower = , HasMeasuredPower = False }</t>
  </si>
  <si>
    <t>29.11.2025 18:00:00</t>
  </si>
  <si>
    <t>PvRecord { Timestamp = 29.11.2025 18:15:00,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4,211560392893628, MeasuredPower = , HasMeasuredPower = False }</t>
  </si>
  <si>
    <t>29.11.2025 18:15:00</t>
  </si>
  <si>
    <t>PvRecord { Timestamp = 29.11.2025 18:30:00,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4,21158891278171, MeasuredPower = , HasMeasuredPower = False }</t>
  </si>
  <si>
    <t>29.11.2025 18:30:00</t>
  </si>
  <si>
    <t>PvRecord { Timestamp = 29.11.2025 18:45:00,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4,211617432669792, MeasuredPower = , HasMeasuredPower = False }</t>
  </si>
  <si>
    <t>29.11.2025 18:45:00</t>
  </si>
  <si>
    <t>PvRecord { Timestamp = 29.11.2025 19:00:00,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4,211645952557873, MeasuredPower = , HasMeasuredPower = False }</t>
  </si>
  <si>
    <t>29.11.2025 19:00:00</t>
  </si>
  <si>
    <t>PvRecord { Timestamp = 29.11.2025 19:15:00,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4,211674472445955, MeasuredPower = , HasMeasuredPower = False }</t>
  </si>
  <si>
    <t>29.11.2025 19:15:00</t>
  </si>
  <si>
    <t>PvRecord { Timestamp = 29.11.2025 19:30:00, Index = 0, DirectGeometryFactor = 0, DiffuseGeometryFactor = 0,9095760221444958, CosSunElevation = 0, GlobalHorizontalIrradiance = 0, SunshineDuration = 0, DiffuseHorizontalIrradiance = 0, AmbientTemp = 0,35, WindSpeed = 7,74, SnowDepth = 0, Weight = 0, Age = 4,211702992334036, MeasuredPower = , HasMeasuredPower = False }</t>
  </si>
  <si>
    <t>29.11.2025 19:30:00</t>
  </si>
  <si>
    <t>7,74</t>
  </si>
  <si>
    <t>PvRecord { Timestamp = 29.11.2025 19:45:00, Index = 0, DirectGeometryFactor = 0, DiffuseGeometryFactor = 0,9095760221444958, CosSunElevation = 0, GlobalHorizontalIrradiance = 0, SunshineDuration = 0, DiffuseHorizontalIrradiance = 0, AmbientTemp = 0,35, WindSpeed = 7,74, SnowDepth = 0, Weight = 0, Age = 4,2117315122221175, MeasuredPower = , HasMeasuredPower = False }</t>
  </si>
  <si>
    <t>29.11.2025 19:45:00</t>
  </si>
  <si>
    <t>PvRecord { Timestamp = 29.11.2025 20:00:00, Index = 0, DirectGeometryFactor = 0, DiffuseGeometryFactor = 0,9095760221444958, CosSunElevation = 0, GlobalHorizontalIrradiance = 0, SunshineDuration = 0, DiffuseHorizontalIrradiance = 0, AmbientTemp = 0,35, WindSpeed = 7,74, SnowDepth = 0, Weight = 0, Age = 4,2117600321102, MeasuredPower = , HasMeasuredPower = False }</t>
  </si>
  <si>
    <t>29.11.2025 20:00:00</t>
  </si>
  <si>
    <t>PvRecord { Timestamp = 29.11.2025 20:15:00, Index = 0, DirectGeometryFactor = 0, DiffuseGeometryFactor = 0,9095760221444958, CosSunElevation = 0, GlobalHorizontalIrradiance = 0, SunshineDuration = 0, DiffuseHorizontalIrradiance = 0, AmbientTemp = 0,35, WindSpeed = 7,74, SnowDepth = 0, Weight = 0, Age = 4,211788551998281, MeasuredPower = , HasMeasuredPower = False }</t>
  </si>
  <si>
    <t>29.11.2025 20:15:00</t>
  </si>
  <si>
    <t>PvRecord { Timestamp = 29.11.2025 20:30:00, Index = 0, DirectGeometryFactor = 0, DiffuseGeometryFactor = 0,9095760221444958, CosSunElevation = 0, GlobalHorizontalIrradiance = 0, SunshineDuration = 0, DiffuseHorizontalIrradiance = 0,5, AmbientTemp = -0,35, WindSpeed = 9, SnowDepth = 0, Weight = 0, Age = 4,211817071886363, MeasuredPower = , HasMeasuredPower = False }</t>
  </si>
  <si>
    <t>29.11.2025 20:30:00</t>
  </si>
  <si>
    <t>0,5</t>
  </si>
  <si>
    <t>PvRecord { Timestamp = 29.11.2025 20:45:00, Index = 0, DirectGeometryFactor = 0, DiffuseGeometryFactor = 0,9095760221444958, CosSunElevation = 0, GlobalHorizontalIrradiance = 0, SunshineDuration = 0, DiffuseHorizontalIrradiance = 0,5, AmbientTemp = -0,35, WindSpeed = 9, SnowDepth = 0, Weight = 0, Age = 4,211845591774444, MeasuredPower = , HasMeasuredPower = False }</t>
  </si>
  <si>
    <t>29.11.2025 20:45:00</t>
  </si>
  <si>
    <t>PvRecord { Timestamp = 29.11.2025 21:00:00, Index = 0, DirectGeometryFactor = 0, DiffuseGeometryFactor = 0,9095760221444958, CosSunElevation = 0, GlobalHorizontalIrradiance = 0, SunshineDuration = 0, DiffuseHorizontalIrradiance = 0,5, AmbientTemp = -0,35, WindSpeed = 9, SnowDepth = 0, Weight = 0, Age = 4,211874111662525, MeasuredPower = , HasMeasuredPower = False }</t>
  </si>
  <si>
    <t>29.11.2025 21:00:00</t>
  </si>
  <si>
    <t>PvRecord { Timestamp = 29.11.2025 21:15:00, Index = 0, DirectGeometryFactor = 0, DiffuseGeometryFactor = 0,9095760221444958, CosSunElevation = 0, GlobalHorizontalIrradiance = 0, SunshineDuration = 0, DiffuseHorizontalIrradiance = 0,5, AmbientTemp = -0,35, WindSpeed = 9, SnowDepth = 0, Weight = 0, Age = 4,211902631550608, MeasuredPower = , HasMeasuredPower = False }</t>
  </si>
  <si>
    <t>29.11.2025 21:15:00</t>
  </si>
  <si>
    <t>PvRecord { Timestamp = 29.11.2025 21:30:00, Index = 0, DirectGeometryFactor = 0, DiffuseGeometryFactor = 0,9095760221444958, CosSunElevation = 0, GlobalHorizontalIrradiance = 0, SunshineDuration = 0, DiffuseHorizontalIrradiance = 0, AmbientTemp = 0,1, WindSpeed = 6,48, SnowDepth = 0, Weight = 0, Age = 4,211931151438689, MeasuredPower = , HasMeasuredPower = False }</t>
  </si>
  <si>
    <t>29.11.2025 21:30:00</t>
  </si>
  <si>
    <t>PvRecord { Timestamp = 29.11.2025 21:45:00, Index = 0, DirectGeometryFactor = 0, DiffuseGeometryFactor = 0,9095760221444958, CosSunElevation = 0, GlobalHorizontalIrradiance = 0, SunshineDuration = 0, DiffuseHorizontalIrradiance = 0, AmbientTemp = 0,1, WindSpeed = 6,48, SnowDepth = 0, Weight = 0, Age = 4,21195967132677, MeasuredPower = , HasMeasuredPower = False }</t>
  </si>
  <si>
    <t>29.11.2025 21:45:00</t>
  </si>
  <si>
    <t>PvRecord { Timestamp = 29.11.2025 22:00:00, Index = 0, DirectGeometryFactor = 0, DiffuseGeometryFactor = 0,9095760221444958, CosSunElevation = 0, GlobalHorizontalIrradiance = 0, SunshineDuration = 0, DiffuseHorizontalIrradiance = 0, AmbientTemp = 0,1, WindSpeed = 6,48, SnowDepth = 0, Weight = 0, Age = 4,211988191214852, MeasuredPower = , HasMeasuredPower = False }</t>
  </si>
  <si>
    <t>29.11.2025 22:00:00</t>
  </si>
  <si>
    <t>PvRecord { Timestamp = 29.11.2025 22:15:00, Index = 0, DirectGeometryFactor = 0, DiffuseGeometryFactor = 0,9095760221444958, CosSunElevation = 0, GlobalHorizontalIrradiance = 0, SunshineDuration = 0, DiffuseHorizontalIrradiance = 0, AmbientTemp = 0,1, WindSpeed = 6,48, SnowDepth = 0, Weight = 0, Age = 4,212016711102933, MeasuredPower = , HasMeasuredPower = False }</t>
  </si>
  <si>
    <t>29.11.2025 22:15:00</t>
  </si>
  <si>
    <t>PvRecord { Timestamp = 29.11.2025 22:30:00, Index = 0, DirectGeometryFactor = 0, DiffuseGeometryFactor = 0,9095760221444958, CosSunElevation = 0, GlobalHorizontalIrradiance = 0, SunshineDuration = 0, DiffuseHorizontalIrradiance = 0, AmbientTemp = -0,05, WindSpeed = 7,2, SnowDepth = 0, Weight = 0, Age = 4,2120452309910155, MeasuredPower = , HasMeasuredPower = False }</t>
  </si>
  <si>
    <t>29.11.2025 22:30:00</t>
  </si>
  <si>
    <t>PvRecord { Timestamp = 29.11.2025 22:45:00, Index = 0, DirectGeometryFactor = 0, DiffuseGeometryFactor = 0,9095760221444958, CosSunElevation = 0, GlobalHorizontalIrradiance = 0, SunshineDuration = 0, DiffuseHorizontalIrradiance = 0, AmbientTemp = -0,05, WindSpeed = 7,2, SnowDepth = 0, Weight = 0, Age = 4,212073750879097, MeasuredPower = , HasMeasuredPower = False }</t>
  </si>
  <si>
    <t>29.11.2025 22:45:00</t>
  </si>
  <si>
    <t>PvRecord { Timestamp = 29.11.2025 23:00:00, Index = 0, DirectGeometryFactor = 0, DiffuseGeometryFactor = 0,9095760221444958, CosSunElevation = 0, GlobalHorizontalIrradiance = 0, SunshineDuration = 0, DiffuseHorizontalIrradiance = 0, AmbientTemp = -0,05, WindSpeed = 7,2, SnowDepth = 0, Weight = 0, Age = 4,212102270767178, MeasuredPower = , HasMeasuredPower = False }</t>
  </si>
  <si>
    <t>29.11.2025 23:00:00</t>
  </si>
  <si>
    <t>PvRecord { Timestamp = 29.11.2025 23:15:00, Index = 0, DirectGeometryFactor = 0, DiffuseGeometryFactor = 0,9095760221444958, CosSunElevation = 0, GlobalHorizontalIrradiance = 0, SunshineDuration = 0, DiffuseHorizontalIrradiance = 0, AmbientTemp = -0,05, WindSpeed = 7,2, SnowDepth = 0, Weight = 0, Age = 4,21213079065526, MeasuredPower = , HasMeasuredPower = False }</t>
  </si>
  <si>
    <t>29.11.2025 23:15:00</t>
  </si>
  <si>
    <t>PvRecord { Timestamp = 29.11.2025 23:30:00, Index = 0, DirectGeometryFactor = 0, DiffuseGeometryFactor = 0,9095760221444958, CosSunElevation = 0, GlobalHorizontalIrradiance = 0, SunshineDuration = 0, DiffuseHorizontalIrradiance = 0, AmbientTemp = -0,2, WindSpeed = 11,34, SnowDepth = 0, Weight = 0, Age = 4,212159310543341, MeasuredPower = , HasMeasuredPower = False }</t>
  </si>
  <si>
    <t>29.11.2025 23:30:00</t>
  </si>
  <si>
    <t>PvRecord { Timestamp = 29.11.2025 23:45:00, Index = 0, DirectGeometryFactor = 0, DiffuseGeometryFactor = 0,9095760221444958, CosSunElevation = 0, GlobalHorizontalIrradiance = 0, SunshineDuration = 0, DiffuseHorizontalIrradiance = 0, AmbientTemp = -0,2, WindSpeed = 11,34, SnowDepth = 0, Weight = 0, Age = 4,212187830431423, MeasuredPower = , HasMeasuredPower = False }</t>
  </si>
  <si>
    <t>29.11.2025 23:45:00</t>
  </si>
  <si>
    <t>PvRecord { Timestamp = 30.11.2025 00:00:00, Index = 0, DirectGeometryFactor = 0, DiffuseGeometryFactor = 0,9095760221444958, CosSunElevation = 0, GlobalHorizontalIrradiance = 0, SunshineDuration = 0, DiffuseHorizontalIrradiance = 0, AmbientTemp = -0,2, WindSpeed = 11,34, SnowDepth = 0, Weight = 0, Age = 4,212216350319505, MeasuredPower = , HasMeasuredPower = False }</t>
  </si>
  <si>
    <t>30.11.2025 00:00:00</t>
  </si>
  <si>
    <t>PvRecord { Timestamp = 30.11.2025 00:15:00, Index = 0, DirectGeometryFactor = 0, DiffuseGeometryFactor = 0,9095760221444958, CosSunElevation = 0, GlobalHorizontalIrradiance = 0, SunshineDuration = 0, DiffuseHorizontalIrradiance = 0, AmbientTemp = -0,2, WindSpeed = 11,34, SnowDepth = 0, Weight = 0, Age = 4,212244870207586, MeasuredPower = , HasMeasuredPower = False }</t>
  </si>
  <si>
    <t>30.11.2025 00:15:00</t>
  </si>
  <si>
    <t>PvRecord { Timestamp = 30.11.2025 00:30:00,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4,2122733900956675, MeasuredPower = , HasMeasuredPower = False }</t>
  </si>
  <si>
    <t>30.11.2025 00:30:00</t>
  </si>
  <si>
    <t>PvRecord { Timestamp = 30.11.2025 00:45:00,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4,212301909983749, MeasuredPower = , HasMeasuredPower = False }</t>
  </si>
  <si>
    <t>30.11.2025 00:45:00</t>
  </si>
  <si>
    <t>PvRecord { Timestamp = 30.11.2025 01:00:00,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4,212330429871831, MeasuredPower = , HasMeasuredPower = False }</t>
  </si>
  <si>
    <t>30.11.2025 01:00:00</t>
  </si>
  <si>
    <t>PvRecord { Timestamp = 30.11.2025 01:15:00,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4,2123589497599125, MeasuredPower = , HasMeasuredPower = False }</t>
  </si>
  <si>
    <t>30.11.2025 01:15:00</t>
  </si>
  <si>
    <t>PvRecord { Timestamp = 30.11.2025 01:30:00, Index = 0, DirectGeometryFactor = 0, DiffuseGeometryFactor = 0,9095760221444958, CosSunElevation = 0, GlobalHorizontalIrradiance = 0, SunshineDuration = 0, DiffuseHorizontalIrradiance = 0, AmbientTemp = 0,05, WindSpeed = 8,64, SnowDepth = 0, Weight = 0, Age = 4,212387469647994, MeasuredPower = , HasMeasuredPower = False }</t>
  </si>
  <si>
    <t>30.11.2025 01:30:00</t>
  </si>
  <si>
    <t>PvRecord { Timestamp = 30.11.2025 01:45:00, Index = 0, DirectGeometryFactor = 0, DiffuseGeometryFactor = 0,9095760221444958, CosSunElevation = 0, GlobalHorizontalIrradiance = 0, SunshineDuration = 0, DiffuseHorizontalIrradiance = 0, AmbientTemp = 0,05, WindSpeed = 8,64, SnowDepth = 0, Weight = 0, Age = 4,212415989536075, MeasuredPower = , HasMeasuredPower = False }</t>
  </si>
  <si>
    <t>30.11.2025 01:45:00</t>
  </si>
  <si>
    <t>PvRecord { Timestamp = 30.11.2025 02:00:00, Index = 0, DirectGeometryFactor = 0, DiffuseGeometryFactor = 0,9095760221444958, CosSunElevation = 0, GlobalHorizontalIrradiance = 0, SunshineDuration = 0, DiffuseHorizontalIrradiance = 0, AmbientTemp = 0,05, WindSpeed = 8,64, SnowDepth = 0, Weight = 0, Age = 4,212444509424157, MeasuredPower = , HasMeasuredPower = False }</t>
  </si>
  <si>
    <t>30.11.2025 02:00:00</t>
  </si>
  <si>
    <t>PvRecord { Timestamp = 30.11.2025 02:15:00, Index = 0, DirectGeometryFactor = 0, DiffuseGeometryFactor = 0,9095760221444958, CosSunElevation = 0, GlobalHorizontalIrradiance = 0, SunshineDuration = 0, DiffuseHorizontalIrradiance = 0, AmbientTemp = 0,05, WindSpeed = 8,64, SnowDepth = 0, Weight = 0, Age = 4,212473029312239, MeasuredPower = , HasMeasuredPower = False }</t>
  </si>
  <si>
    <t>30.11.2025 02:15:00</t>
  </si>
  <si>
    <t>PvRecord { Timestamp = 30.11.2025 02:30:00, Index = 0, DirectGeometryFactor = 0, DiffuseGeometryFactor = 0,9095760221444958, CosSunElevation = 0, GlobalHorizontalIrradiance = 0, SunshineDuration = 0, DiffuseHorizontalIrradiance = 0, AmbientTemp = -0,05, WindSpeed = 17,1, SnowDepth = 0, Weight = 0, Age = 4,21250154920032, MeasuredPower = , HasMeasuredPower = False }</t>
  </si>
  <si>
    <t>30.11.2025 02:30:00</t>
  </si>
  <si>
    <t>PvRecord { Timestamp = 30.11.2025 02:45:00, Index = 0, DirectGeometryFactor = 0, DiffuseGeometryFactor = 0,9095760221444958, CosSunElevation = 0, GlobalHorizontalIrradiance = 0, SunshineDuration = 0, DiffuseHorizontalIrradiance = 0, AmbientTemp = -0,05, WindSpeed = 17,1, SnowDepth = 0, Weight = 0, Age = 4,212530069088402, MeasuredPower = , HasMeasuredPower = False }</t>
  </si>
  <si>
    <t>30.11.2025 02:45:00</t>
  </si>
  <si>
    <t>PvRecord { Timestamp = 30.11.2025 03:00:00, Index = 0, DirectGeometryFactor = 0, DiffuseGeometryFactor = 0,9095760221444958, CosSunElevation = 0, GlobalHorizontalIrradiance = 0, SunshineDuration = 0, DiffuseHorizontalIrradiance = 0, AmbientTemp = -0,05, WindSpeed = 17,1, SnowDepth = 0, Weight = 0, Age = 4,212558588976483, MeasuredPower = , HasMeasuredPower = False }</t>
  </si>
  <si>
    <t>30.11.2025 03:00:00</t>
  </si>
  <si>
    <t>PvRecord { Timestamp = 30.11.2025 03:15:00, Index = 0, DirectGeometryFactor = 0, DiffuseGeometryFactor = 0,9095760221444958, CosSunElevation = 0, GlobalHorizontalIrradiance = 0, SunshineDuration = 0, DiffuseHorizontalIrradiance = 0, AmbientTemp = -0,05, WindSpeed = 17,1, SnowDepth = 0, Weight = 0, Age = 4,2125871088645646, MeasuredPower = , HasMeasuredPower = False }</t>
  </si>
  <si>
    <t>30.11.2025 03:15:00</t>
  </si>
  <si>
    <t>PvRecord { Timestamp = 30.11.2025 03:30:00, Index = 0, DirectGeometryFactor = 0, DiffuseGeometryFactor = 0,9095760221444958, CosSunElevation = 0, GlobalHorizontalIrradiance = 0, SunshineDuration = 0, DiffuseHorizontalIrradiance = 0, AmbientTemp = -0,05, WindSpeed = 17,28, SnowDepth = 0, Weight = 0, Age = 4,212615628752647, MeasuredPower = , HasMeasuredPower = False }</t>
  </si>
  <si>
    <t>30.11.2025 03:30:00</t>
  </si>
  <si>
    <t>17,28</t>
  </si>
  <si>
    <t>PvRecord { Timestamp = 30.11.2025 03:45:00, Index = 0, DirectGeometryFactor = 0, DiffuseGeometryFactor = 0,9095760221444958, CosSunElevation = 0, GlobalHorizontalIrradiance = 0, SunshineDuration = 0, DiffuseHorizontalIrradiance = 0, AmbientTemp = -0,05, WindSpeed = 17,28, SnowDepth = 0, Weight = 0, Age = 4,212644148640728, MeasuredPower = , HasMeasuredPower = False }</t>
  </si>
  <si>
    <t>30.11.2025 03:45:00</t>
  </si>
  <si>
    <t>PvRecord { Timestamp = 30.11.2025 04:00:00, Index = 0, DirectGeometryFactor = 0, DiffuseGeometryFactor = 0,9095760221444958, CosSunElevation = 0, GlobalHorizontalIrradiance = 0, SunshineDuration = 0, DiffuseHorizontalIrradiance = 0, AmbientTemp = -0,05, WindSpeed = 17,28, SnowDepth = 0, Weight = 0, Age = 4,21267266852881, MeasuredPower = , HasMeasuredPower = False }</t>
  </si>
  <si>
    <t>30.11.2025 04:00:00</t>
  </si>
  <si>
    <t>PvRecord { Timestamp = 30.11.2025 04:15:00, Index = 0, DirectGeometryFactor = 0, DiffuseGeometryFactor = 0,9095760221444958, CosSunElevation = 0, GlobalHorizontalIrradiance = 0, SunshineDuration = 0, DiffuseHorizontalIrradiance = 0, AmbientTemp = -0,05, WindSpeed = 17,28, SnowDepth = 0, Weight = 0, Age = 4,212701188416891, MeasuredPower = , HasMeasuredPower = False }</t>
  </si>
  <si>
    <t>30.11.2025 04:15:00</t>
  </si>
  <si>
    <t>PvRecord { Timestamp = 30.11.2025 04:30:00, Index = 0, DirectGeometryFactor = 0, DiffuseGeometryFactor = 0,9095760221444958, CosSunElevation = 0, GlobalHorizontalIrradiance = 0, SunshineDuration = 0, DiffuseHorizontalIrradiance = 0, AmbientTemp = 0,25, WindSpeed = 17,64, SnowDepth = 0, Weight = 0, Age = 4,212729708304972, MeasuredPower = , HasMeasuredPower = False }</t>
  </si>
  <si>
    <t>30.11.2025 04:30:00</t>
  </si>
  <si>
    <t>17,64</t>
  </si>
  <si>
    <t>PvRecord { Timestamp = 30.11.2025 04:45:00, Index = 0, DirectGeometryFactor = 0, DiffuseGeometryFactor = 0,9095760221444958, CosSunElevation = 0, GlobalHorizontalIrradiance = 0, SunshineDuration = 0, DiffuseHorizontalIrradiance = 0, AmbientTemp = 0,25, WindSpeed = 17,64, SnowDepth = 0, Weight = 0, Age = 4,212758228193055, MeasuredPower = , HasMeasuredPower = False }</t>
  </si>
  <si>
    <t>30.11.2025 04:45:00</t>
  </si>
  <si>
    <t>PvRecord { Timestamp = 30.11.2025 05:00:00, Index = 0, DirectGeometryFactor = 0, DiffuseGeometryFactor = 0,9095760221444958, CosSunElevation = 0, GlobalHorizontalIrradiance = 0, SunshineDuration = 0, DiffuseHorizontalIrradiance = 0, AmbientTemp = 0,25, WindSpeed = 17,64, SnowDepth = 0, Weight = 0, Age = 4,212786748081136, MeasuredPower = , HasMeasuredPower = False }</t>
  </si>
  <si>
    <t>30.11.2025 05:00:00</t>
  </si>
  <si>
    <t>PvRecord { Timestamp = 30.11.2025 05:15:00, Index = 0, DirectGeometryFactor = 0, DiffuseGeometryFactor = 0,9095760221444958, CosSunElevation = 0, GlobalHorizontalIrradiance = 0, SunshineDuration = 0, DiffuseHorizontalIrradiance = 0, AmbientTemp = 0,25, WindSpeed = 17,64, SnowDepth = 0, Weight = 0, Age = 4,2128152679692175, MeasuredPower = , HasMeasuredPower = False }</t>
  </si>
  <si>
    <t>30.11.2025 05:15:00</t>
  </si>
  <si>
    <t>PvRecord { Timestamp = 30.11.2025 05:30:00,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4,212843787857299, MeasuredPower = , HasMeasuredPower = False }</t>
  </si>
  <si>
    <t>30.11.2025 05:30:00</t>
  </si>
  <si>
    <t>0,44999999999999996</t>
  </si>
  <si>
    <t>PvRecord { Timestamp = 30.11.2025 05:45:00,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4,212872307745381, MeasuredPower = , HasMeasuredPower = False }</t>
  </si>
  <si>
    <t>30.11.2025 05:45:00</t>
  </si>
  <si>
    <t>PvRecord { Timestamp = 30.11.2025 06:00:00,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4,2129008276334625, MeasuredPower = , HasMeasuredPower = False }</t>
  </si>
  <si>
    <t>30.11.2025 06:00:00</t>
  </si>
  <si>
    <t>PvRecord { Timestamp = 30.11.2025 06:15:00,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4,212929347521544, MeasuredPower = , HasMeasuredPower = False }</t>
  </si>
  <si>
    <t>30.11.2025 06:15:00</t>
  </si>
  <si>
    <t>PvRecord { Timestamp = 30.11.2025 06:30:00, Index = 0, DirectGeometryFactor = 0, DiffuseGeometryFactor = 0,9095760221444958, CosSunElevation = 0, GlobalHorizontalIrradiance = 0, SunshineDuration = 0, DiffuseHorizontalIrradiance = 0, AmbientTemp = 0,55, WindSpeed = 20,34, SnowDepth = 0, Weight = 0, Age = 4,212957867409625, MeasuredPower = , HasMeasuredPower = False }</t>
  </si>
  <si>
    <t>30.11.2025 06:30:00</t>
  </si>
  <si>
    <t>20,34</t>
  </si>
  <si>
    <t>PvRecord { Timestamp = 30.11.2025 06:45:00, Index = 0, DirectGeometryFactor = 0, DiffuseGeometryFactor = 0,9095760221444958, CosSunElevation = 0, GlobalHorizontalIrradiance = 0, SunshineDuration = 0, DiffuseHorizontalIrradiance = 0, AmbientTemp = 0,55, WindSpeed = 20,34, SnowDepth = 0, Weight = 0, Age = 4,212986387297707, MeasuredPower = , HasMeasuredPower = False }</t>
  </si>
  <si>
    <t>30.11.2025 06:45:00</t>
  </si>
  <si>
    <t>PvRecord { Timestamp = 30.11.2025 07:00:00, Index = 0, DirectGeometryFactor = 0, DiffuseGeometryFactor = 0,9095760221444958, CosSunElevation = 0, GlobalHorizontalIrradiance = 0, SunshineDuration = 0, DiffuseHorizontalIrradiance = 0, AmbientTemp = 0,55, WindSpeed = 20,34, SnowDepth = 0, Weight = 0, Age = 4,213014907185789, MeasuredPower = , HasMeasuredPower = False }</t>
  </si>
  <si>
    <t>30.11.2025 07:00:00</t>
  </si>
  <si>
    <t>PvRecord { Timestamp = 30.11.2025 07:15:00, Index = 0, DirectGeometryFactor = 0, DiffuseGeometryFactor = 0,9095760221444958, CosSunElevation = 0, GlobalHorizontalIrradiance = 0, SunshineDuration = 0, DiffuseHorizontalIrradiance = 0, AmbientTemp = 0,55, WindSpeed = 20,34, SnowDepth = 0, Weight = 0, Age = 4,21304342707387, MeasuredPower = , HasMeasuredPower = False }</t>
  </si>
  <si>
    <t>30.11.2025 07:15:00</t>
  </si>
  <si>
    <t>PvRecord { Timestamp = 30.11.2025 07:30:00, Index = 0, DirectGeometryFactor = 0, DiffuseGeometryFactor = 0,9095760221444958, CosSunElevation = 0, GlobalHorizontalIrradiance = 0, SunshineDuration = 0, DiffuseHorizontalIrradiance = 0, AmbientTemp = 1,1, WindSpeed = 19,439999999999998, SnowDepth = 0, Weight = 0, Age = 4,213071946961952, MeasuredPower = , HasMeasuredPower = False }</t>
  </si>
  <si>
    <t>30.11.2025 07:30:00</t>
  </si>
  <si>
    <t>PvRecord { Timestamp = 30.11.2025 07:45:00, Index = 0, DirectGeometryFactor = 0, DiffuseGeometryFactor = 0,9095760221444958, CosSunElevation = 0,0015575404702933284, GlobalHorizontalIrradiance = 0, SunshineDuration = 0, DiffuseHorizontalIrradiance = 0, AmbientTemp = 1,1, WindSpeed = 19,439999999999998, SnowDepth = 0, Weight = 0, Age = 4,213100466850033, MeasuredPower = , HasMeasuredPower = False }</t>
  </si>
  <si>
    <t>30.11.2025 07:45:00</t>
  </si>
  <si>
    <t>0,0015575404702933284</t>
  </si>
  <si>
    <t>PvRecord { Timestamp = 30.11.2025 08:00:00, Index = 0, DirectGeometryFactor = 0,5065501544288419, DiffuseGeometryFactor = 0,9095760221444958, CosSunElevation = 0,03401740599920346, GlobalHorizontalIrradiance = 0, SunshineDuration = 0, DiffuseHorizontalIrradiance = 0, AmbientTemp = 1,1, WindSpeed = 19,439999999999998, SnowDepth = 0, Weight = 0, Age = 4,2131289867381145, MeasuredPower = , HasMeasuredPower = False }</t>
  </si>
  <si>
    <t>30.11.2025 08:00:00</t>
  </si>
  <si>
    <t>0,5065501544288419</t>
  </si>
  <si>
    <t>0,03401740599920346</t>
  </si>
  <si>
    <t>PvRecord { Timestamp = 30.11.2025 08:15:00, Index = 0, DirectGeometryFactor = 0,5482475679491677, DiffuseGeometryFactor = 0,9095760221444958, CosSunElevation = 0,06766399882484285, GlobalHorizontalIrradiance = 0, SunshineDuration = 0, DiffuseHorizontalIrradiance = 0, AmbientTemp = 1,1, WindSpeed = 19,439999999999998, SnowDepth = 0, Weight = 0, Age = 4,213157506626197, MeasuredPower = , HasMeasuredPower = False }</t>
  </si>
  <si>
    <t>30.11.2025 08:15:00</t>
  </si>
  <si>
    <t>0,5482475679491677</t>
  </si>
  <si>
    <t>0,06766399882484285</t>
  </si>
  <si>
    <t>PvRecord { Timestamp = 30.11.2025 08:30:00, Index = 0, DirectGeometryFactor = 0,5880122650551828, DiffuseGeometryFactor = 0,9095760221444958, CosSunElevation = 0,10080689206632155, GlobalHorizontalIrradiance = 90,81666666666666, SunshineDuration = 0, DiffuseHorizontalIrradiance = 24,5, AmbientTemp = 1,85, WindSpeed = 14,040000000000001, SnowDepth = 0, Weight = 0, Age = 4,213186026514278, MeasuredPower = , HasMeasuredPower = False }</t>
  </si>
  <si>
    <t>30.11.2025 08:30:00</t>
  </si>
  <si>
    <t>0,5880122650551828</t>
  </si>
  <si>
    <t>0,10080689206632155</t>
  </si>
  <si>
    <t>24,5</t>
  </si>
  <si>
    <t>PvRecord { Timestamp = 30.11.2025 08:45:00, Index = 0, DirectGeometryFactor = 0,6252145324249199, DiffuseGeometryFactor = 0,9095760221444958, CosSunElevation = 0,13275664889822322, GlobalHorizontalIrradiance = 90,81666666666666, SunshineDuration = 0, DiffuseHorizontalIrradiance = 24,5, AmbientTemp = 1,85, WindSpeed = 14,040000000000001, SnowDepth = 0, Weight = 0, Age = 4,21321454640236, MeasuredPower = , HasMeasuredPower = False }</t>
  </si>
  <si>
    <t>30.11.2025 08:45:00</t>
  </si>
  <si>
    <t>0,6252145324249199</t>
  </si>
  <si>
    <t>0,13275664889822322</t>
  </si>
  <si>
    <t>PvRecord { Timestamp = 30.11.2025 09:00:00, Index = 0, DirectGeometryFactor = 0,6595275420130522, DiffuseGeometryFactor = 0,9095760221444958, CosSunElevation = 0,16317600293272205, GlobalHorizontalIrradiance = 90,81666666666666, SunshineDuration = 0, DiffuseHorizontalIrradiance = 24,5, AmbientTemp = 1,85, WindSpeed = 14,040000000000001, SnowDepth = 0, Weight = 0, Age = 4,213243066290441, MeasuredPower = , HasMeasuredPower = False }</t>
  </si>
  <si>
    <t>30.11.2025 09:00:00</t>
  </si>
  <si>
    <t>0,6595275420130522</t>
  </si>
  <si>
    <t>0,16317600293272205</t>
  </si>
  <si>
    <t>PvRecord { Timestamp = 30.11.2025 09:15:00, Index = 0, DirectGeometryFactor = 0,6907321200836427, DiffuseGeometryFactor = 0,9095760221444958, CosSunElevation = 0,19184798660242033, GlobalHorizontalIrradiance = 90,81666666666666, SunshineDuration = 0, DiffuseHorizontalIrradiance = 24,5, AmbientTemp = 1,85, WindSpeed = 14,040000000000001, SnowDepth = 0, Weight = 0, Age = 4,213271586178522, MeasuredPower = , HasMeasuredPower = False }</t>
  </si>
  <si>
    <t>30.11.2025 09:15:00</t>
  </si>
  <si>
    <t>0,6907321200836427</t>
  </si>
  <si>
    <t>0,19184798660242033</t>
  </si>
  <si>
    <t>PvRecord { Timestamp = 30.11.2025 09:30:00, Index = 0, DirectGeometryFactor = 0,7186590566137896, DiffuseGeometryFactor = 0,9095760221444958, CosSunElevation = 0,21860697816972804, GlobalHorizontalIrradiance = 119,31666666666666, SunshineDuration = 0, DiffuseHorizontalIrradiance = 62,5, AmbientTemp = 2,6, WindSpeed = 9,72, SnowDepth = 0, Weight = 0, Age = 4,213300106066605, MeasuredPower = , HasMeasuredPower = False }</t>
  </si>
  <si>
    <t>30.11.2025 09:30:00</t>
  </si>
  <si>
    <t>0,7186590566137896</t>
  </si>
  <si>
    <t>0,21860697816972804</t>
  </si>
  <si>
    <t>62,5</t>
  </si>
  <si>
    <t>PvRecord { Timestamp = 30.11.2025 09:45:00, Index = 0, DirectGeometryFactor = 0,7431693971089688, DiffuseGeometryFactor = 0,9095760221444958, CosSunElevation = 0,24331499474915472, GlobalHorizontalIrradiance = 119,31666666666666, SunshineDuration = 0, DiffuseHorizontalIrradiance = 62,5, AmbientTemp = 2,6, WindSpeed = 9,72, SnowDepth = 0, Weight = 0, Age = 4,213328625954686, MeasuredPower = , HasMeasuredPower = False }</t>
  </si>
  <si>
    <t>30.11.2025 09:45:00</t>
  </si>
  <si>
    <t>0,7431693971089688</t>
  </si>
  <si>
    <t>0,24331499474915472</t>
  </si>
  <si>
    <t>PvRecord { Timestamp = 30.11.2025 10:00:00, Index = 0, DirectGeometryFactor = 0,7641468225161908, DiffuseGeometryFactor = 0,9095760221444958, CosSunElevation = 0,26585244903494504, GlobalHorizontalIrradiance = 119,31666666666666, SunshineDuration = 0, DiffuseHorizontalIrradiance = 62,5, AmbientTemp = 2,6, WindSpeed = 9,72, SnowDepth = 0, Weight = 0, Age = 4,213357145842767, MeasuredPower = , HasMeasuredPower = False }</t>
  </si>
  <si>
    <t>30.11.2025 10:00:00</t>
  </si>
  <si>
    <t>0,7641468225161908</t>
  </si>
  <si>
    <t>0,26585244903494504</t>
  </si>
  <si>
    <t>PvRecord { Timestamp = 30.11.2025 10:15:00, Index = 0, DirectGeometryFactor = 0,7814944463234986, DiffuseGeometryFactor = 0,9095760221444958, CosSunElevation = 0,2861142249518765, GlobalHorizontalIrradiance = 119,31666666666666, SunshineDuration = 0, DiffuseHorizontalIrradiance = 62,5, AmbientTemp = 2,6, WindSpeed = 9,72, SnowDepth = 0, Weight = 0, Age = 4,213385665730849, MeasuredPower = , HasMeasuredPower = False }</t>
  </si>
  <si>
    <t>30.11.2025 10:15:00</t>
  </si>
  <si>
    <t>0,7814944463234986</t>
  </si>
  <si>
    <t>0,2861142249518765</t>
  </si>
  <si>
    <t>PvRecord { Timestamp = 30.11.2025 10:30:00, Index = 0, DirectGeometryFactor = 0,7951334047955003, DiffuseGeometryFactor = 0,9095760221444958, CosSunElevation = 0,3040079382072306, GlobalHorizontalIrradiance = 104,24999999999999, SunshineDuration = 0, DiffuseHorizontalIrradiance = 93, AmbientTemp = 3,45, WindSpeed = 7,5600000000000005, SnowDepth = 0, Weight = 0, Age = 4,21341418561893, MeasuredPower = , HasMeasuredPower = False }</t>
  </si>
  <si>
    <t>30.11.2025 10:30:00</t>
  </si>
  <si>
    <t>0,7951334047955003</t>
  </si>
  <si>
    <t>0,3040079382072306</t>
  </si>
  <si>
    <t>PvRecord { Timestamp = 30.11.2025 10:45:00, Index = 0, DirectGeometryFactor = 0,8050022280762162, DiffuseGeometryFactor = 0,9095760221444958, CosSunElevation = 0,3194531709543598, GlobalHorizontalIrradiance = 104,24999999999999, SunshineDuration = 0, DiffuseHorizontalIrradiance = 93, AmbientTemp = 3,45, WindSpeed = 7,5600000000000005, SnowDepth = 0, Weight = 0, Age = 4,2134427055070125, MeasuredPower = , HasMeasuredPower = False }</t>
  </si>
  <si>
    <t>30.11.2025 10:45:00</t>
  </si>
  <si>
    <t>0,8050022280762162</t>
  </si>
  <si>
    <t>0,3194531709543598</t>
  </si>
  <si>
    <t>PvRecord { Timestamp = 30.11.2025 11:00:00, Index = 0, DirectGeometryFactor = 0,8110565610214554, DiffuseGeometryFactor = 0,9095760221444958, CosSunElevation = 0,33238116429080433, GlobalHorizontalIrradiance = 104,24999999999999, SunshineDuration = 0, DiffuseHorizontalIrradiance = 93, AmbientTemp = 3,45, WindSpeed = 7,5600000000000005, SnowDepth = 0, Weight = 0, Age = 4,213471225395094, MeasuredPower = , HasMeasuredPower = False }</t>
  </si>
  <si>
    <t>30.11.2025 11:00:00</t>
  </si>
  <si>
    <t>0,8110565610214554</t>
  </si>
  <si>
    <t>0,33238116429080433</t>
  </si>
  <si>
    <t>PvRecord { Timestamp = 30.11.2025 11:15:00, Index = 0, DirectGeometryFactor = 0,8132690345507475, DiffuseGeometryFactor = 0,9095760221444958, CosSunElevation = 0,34273472962717433, GlobalHorizontalIrradiance = 104,24999999999999, SunshineDuration = 0, DiffuseHorizontalIrradiance = 93, AmbientTemp = 3,45, WindSpeed = 7,5600000000000005, SnowDepth = 0, Weight = 0, Age = 4,213499745283175, MeasuredPower = , HasMeasuredPower = False }</t>
  </si>
  <si>
    <t>30.11.2025 11:15:00</t>
  </si>
  <si>
    <t>0,8132690345507475</t>
  </si>
  <si>
    <t>0,34273472962717433</t>
  </si>
  <si>
    <t>PvRecord { Timestamp = 30.11.2025 11:30:00, Index = 0, DirectGeometryFactor = 0,8116291895405636, DiffuseGeometryFactor = 0,9095760221444958, CosSunElevation = 0,3504682610615202, GlobalHorizontalIrradiance = 79,91666666666666, SunshineDuration = 0, DiffuseHorizontalIrradiance = 112,5, AmbientTemp = 4,3, WindSpeed = 8,46, SnowDepth = 0, Weight = 0, Age = 4,213528265171257, MeasuredPower = , HasMeasuredPower = False }</t>
  </si>
  <si>
    <t>30.11.2025 11:30:00</t>
  </si>
  <si>
    <t>0,8116291895405636</t>
  </si>
  <si>
    <t>0,3504682610615202</t>
  </si>
  <si>
    <t>112,5</t>
  </si>
  <si>
    <t>4,3</t>
  </si>
  <si>
    <t>PvRecord { Timestamp = 30.11.2025 11:45:00, Index = 0, DirectGeometryFactor = 0,806143402292918, DiffuseGeometryFactor = 0,9095760221444958, CosSunElevation = 0,3555477872021662, GlobalHorizontalIrradiance = 79,91666666666666, SunshineDuration = 0, DiffuseHorizontalIrradiance = 112,5, AmbientTemp = 4,3, WindSpeed = 8,46, SnowDepth = 0, Weight = 0, Age = 4,213556785059338, MeasuredPower = , HasMeasuredPower = False }</t>
  </si>
  <si>
    <t>30.11.2025 11:45:00</t>
  </si>
  <si>
    <t>0,806143402292918</t>
  </si>
  <si>
    <t>0,3555477872021662</t>
  </si>
  <si>
    <t>PvRecord { Timestamp = 30.11.2025 12:00:00, Index = 0, DirectGeometryFactor = 0,7968347842362336, DiffuseGeometryFactor = 0,9095760221444958, CosSunElevation = 0,3579510288912632, GlobalHorizontalIrradiance = 79,91666666666666, SunshineDuration = 0, DiffuseHorizontalIrradiance = 112,5, AmbientTemp = 4,3, WindSpeed = 8,46, SnowDepth = 0, Weight = 0, Age = 4,21358530494742, MeasuredPower = , HasMeasuredPower = False }</t>
  </si>
  <si>
    <t>30.11.2025 12:00:00</t>
  </si>
  <si>
    <t>0,7968347842362336</t>
  </si>
  <si>
    <t>0,3579510288912632</t>
  </si>
  <si>
    <t>PvRecord { Timestamp = 30.11.2025 12:15:00, Index = 0, DirectGeometryFactor = 0,7837430412531752, DiffuseGeometryFactor = 0,9095760221444958, CosSunElevation = 0,3576674445376966, GlobalHorizontalIrradiance = 79,91666666666666, SunshineDuration = 0, DiffuseHorizontalIrradiance = 112,5, AmbientTemp = 4,3, WindSpeed = 8,46, SnowDepth = 0, Weight = 0, Age = 4,213613824835502, MeasuredPower = , HasMeasuredPower = False }</t>
  </si>
  <si>
    <t>30.11.2025 12:15:00</t>
  </si>
  <si>
    <t>0,7837430412531752</t>
  </si>
  <si>
    <t>0,3576674445376966</t>
  </si>
  <si>
    <t>PvRecord { Timestamp = 30.11.2025 12:30:00, Index = 0, DirectGeometryFactor = 0,7669242851873475, DiffuseGeometryFactor = 0,9095760221444958, CosSunElevation = 0,35469825331907495, GlobalHorizontalIrradiance = 57,95, SunshineDuration = 0, DiffuseHorizontalIrradiance = 115,5, AmbientTemp = 4,9, WindSpeed = 6,66, SnowDepth = 0, Weight = 0, Age = 4,213642344723583, MeasuredPower = , HasMeasuredPower = False }</t>
  </si>
  <si>
    <t>30.11.2025 12:30:00</t>
  </si>
  <si>
    <t>0,7669242851873475</t>
  </si>
  <si>
    <t>0,35469825331907495</t>
  </si>
  <si>
    <t>57,95</t>
  </si>
  <si>
    <t>115,5</t>
  </si>
  <si>
    <t>4,9</t>
  </si>
  <si>
    <t>PvRecord { Timestamp = 30.11.2025 12:45:00, Index = 0, DirectGeometryFactor = 0,7464507951530129, DiffuseGeometryFactor = 0,9095760221444958, CosSunElevation = 0,3490564321828928, GlobalHorizontalIrradiance = 57,95, SunshineDuration = 0, DiffuseHorizontalIrradiance = 115,5, AmbientTemp = 4,9, WindSpeed = 6,66, SnowDepth = 0, Weight = 0, Age = 4,2136708646116645, MeasuredPower = , HasMeasuredPower = False }</t>
  </si>
  <si>
    <t>30.11.2025 12:45:00</t>
  </si>
  <si>
    <t>0,7464507951530129</t>
  </si>
  <si>
    <t>0,3490564321828928</t>
  </si>
  <si>
    <t>PvRecord { Timestamp = 30.11.2025 13:00:00, Index = 0, DirectGeometryFactor = 0,7224107300048288, DiffuseGeometryFactor = 0,9095760221444958, CosSunElevation = 0,3407666871677986, GlobalHorizontalIrradiance = 57,95, SunshineDuration = 0, DiffuseHorizontalIrradiance = 115,5, AmbientTemp = 4,9, WindSpeed = 6,66, SnowDepth = 0, Weight = 0, Age = 4,213699384499746, MeasuredPower = , HasMeasuredPower = False }</t>
  </si>
  <si>
    <t>30.11.2025 13:00:00</t>
  </si>
  <si>
    <t>0,7224107300048288</t>
  </si>
  <si>
    <t>0,3407666871677986</t>
  </si>
  <si>
    <t>PvRecord { Timestamp = 30.11.2025 13:15:00, Index = 0, DirectGeometryFactor = 0,6949077970813482, DiffuseGeometryFactor = 0,9095760221444958, CosSunElevation = 0,3298654040653361, GlobalHorizontalIrradiance = 57,95, SunshineDuration = 0, DiffuseHorizontalIrradiance = 115,5, AmbientTemp = 4,9, WindSpeed = 6,66, SnowDepth = 0, Weight = 0, Age = 4,213727904387828, MeasuredPower = , HasMeasuredPower = False }</t>
  </si>
  <si>
    <t>30.11.2025 13:15:00</t>
  </si>
  <si>
    <t>0,6949077970813482</t>
  </si>
  <si>
    <t>0,3298654040653361</t>
  </si>
  <si>
    <t>PvRecord { Timestamp = 30.11.2025 13:30:00, Index = 0, DirectGeometryFactor = 0,6640608879439183, DiffuseGeometryFactor = 0,9095760221444958, CosSunElevation = 0,3164005897181991, GlobalHorizontalIrradiance = 39, SunshineDuration = 0, DiffuseHorizontalIrradiance = 101,5, AmbientTemp = 5,15, WindSpeed = 13,32, SnowDepth = 0, Weight = 0, Age = 4,21375642427591, MeasuredPower = , HasMeasuredPower = False }</t>
  </si>
  <si>
    <t>30.11.2025 13:30:00</t>
  </si>
  <si>
    <t>0,6640608879439183</t>
  </si>
  <si>
    <t>0,3164005897181991</t>
  </si>
  <si>
    <t>101,5</t>
  </si>
  <si>
    <t>PvRecord { Timestamp = 30.11.2025 13:45:00, Index = 0, DirectGeometryFactor = 0,6300036995697244, DiffuseGeometryFactor = 0,9095760221444958, CosSunElevation = 0,30043182485807024, GlobalHorizontalIrradiance = 39, SunshineDuration = 0, DiffuseHorizontalIrradiance = 101,5, AmbientTemp = 5,15, WindSpeed = 13,32, SnowDepth = 0, Weight = 0, Age = 4,213784944163991, MeasuredPower = , HasMeasuredPower = False }</t>
  </si>
  <si>
    <t>30.11.2025 13:45:00</t>
  </si>
  <si>
    <t>0,6300036995697244</t>
  </si>
  <si>
    <t>0,30043182485807024</t>
  </si>
  <si>
    <t>PvRecord { Timestamp = 30.11.2025 14:00:00, Index = 0, DirectGeometryFactor = 0,592884373422624, DiffuseGeometryFactor = 0,9095760221444958, CosSunElevation = 0,28203026631254724, GlobalHorizontalIrradiance = 39, SunshineDuration = 0, DiffuseHorizontalIrradiance = 101,5, AmbientTemp = 5,15, WindSpeed = 13,32, SnowDepth = 0, Weight = 0, Age = 4,213813464052072, MeasuredPower = , HasMeasuredPower = False }</t>
  </si>
  <si>
    <t>30.11.2025 14:00:00</t>
  </si>
  <si>
    <t>0,592884373422624</t>
  </si>
  <si>
    <t>0,28203026631254724</t>
  </si>
  <si>
    <t>PvRecord { Timestamp = 30.11.2025 14:15:00, Index = 0, DirectGeometryFactor = 0,552865212269896, DiffuseGeometryFactor = 0,9095760221444958, CosSunElevation = 0,261278769168944, GlobalHorizontalIrradiance = 39, SunshineDuration = 0, DiffuseHorizontalIrradiance = 101,5, AmbientTemp = 5,15, WindSpeed = 13,32, SnowDepth = 0, Weight = 0, Age = 4,213841983940154, MeasuredPower = , HasMeasuredPower = False }</t>
  </si>
  <si>
    <t>30.11.2025 14:15:00</t>
  </si>
  <si>
    <t>0,552865212269896</t>
  </si>
  <si>
    <t>0,261278769168944</t>
  </si>
  <si>
    <t>PvRecord { Timestamp = 30.11.2025 14:30:00, Index = 0, DirectGeometryFactor = 0,5101225884206764, DiffuseGeometryFactor = 0,9095760221444958, CosSunElevation = 0,23827226520155173, GlobalHorizontalIrradiance = 23,549999999999997, SunshineDuration = 0, DiffuseHorizontalIrradiance = 72,5, AmbientTemp = 5,05, WindSpeed = 30,78, SnowDepth = 0, Weight = 0, Age = 4,213870503828236, MeasuredPower = , HasMeasuredPower = False }</t>
  </si>
  <si>
    <t>30.11.2025 14:30:00</t>
  </si>
  <si>
    <t>0,5101225884206764</t>
  </si>
  <si>
    <t>0,23827226520155173</t>
  </si>
  <si>
    <t>72,5</t>
  </si>
  <si>
    <t>5,05</t>
  </si>
  <si>
    <t>30,78</t>
  </si>
  <si>
    <t>PvRecord { Timestamp = 30.11.2025 14:45:00, Index = 0, DirectGeometryFactor = 0,46484727476292614, DiffuseGeometryFactor = 0,9095760221444958, CosSunElevation = 0,2131186768659724, GlobalHorizontalIrradiance = 23,549999999999997, SunshineDuration = 0, DiffuseHorizontalIrradiance = 72,5, AmbientTemp = 5,05, WindSpeed = 30,78, SnowDepth = 0, Weight = 0, Age = 4,213899023716317, MeasuredPower = , HasMeasuredPower = False }</t>
  </si>
  <si>
    <t>30.11.2025 14:45:00</t>
  </si>
  <si>
    <t>0,46484727476292614</t>
  </si>
  <si>
    <t>0,2131186768659724</t>
  </si>
  <si>
    <t>PvRecord { Timestamp = 30.11.2025 15:00:00, Index = 0, DirectGeometryFactor = 0,41724570629932545, DiffuseGeometryFactor = 0,9095760221444958, CosSunElevation = 0,18594098128267736, GlobalHorizontalIrradiance = 23,549999999999997, SunshineDuration = 0, DiffuseHorizontalIrradiance = 72,5, AmbientTemp = 5,05, WindSpeed = 30,78, SnowDepth = 0, Weight = 0, Age = 4,213927543604399, MeasuredPower = , HasMeasuredPower = False }</t>
  </si>
  <si>
    <t>30.11.2025 15:00:00</t>
  </si>
  <si>
    <t>0,41724570629932545</t>
  </si>
  <si>
    <t>0,18594098128267736</t>
  </si>
  <si>
    <t>PvRecord { Timestamp = 30.11.2025 15:15:00, Index = 0, DirectGeometryFactor = 0,367543382378234, DiffuseGeometryFactor = 0,9095760221444958, CosSunElevation = 0,1568818925405064, GlobalHorizontalIrradiance = 23,549999999999997, SunshineDuration = 0, DiffuseHorizontalIrradiance = 72,5, AmbientTemp = 5,05, WindSpeed = 30,78, SnowDepth = 0, Weight = 0, Age = 4,21395606349248, MeasuredPower = , HasMeasuredPower = False }</t>
  </si>
  <si>
    <t>30.11.2025 15:15:00</t>
  </si>
  <si>
    <t>0,367543382378234</t>
  </si>
  <si>
    <t>0,1568818925405064</t>
  </si>
  <si>
    <t>PvRecord { Timestamp = 30.11.2025 15:30:00, Index = 0, DirectGeometryFactor = 0,3159936137387696, DiffuseGeometryFactor = 0,9095760221444958, CosSunElevation = 0,12611505266942674, GlobalHorizontalIrradiance = 10,649999999999999, SunshineDuration = 0, DiffuseHorizontalIrradiance = 36, AmbientTemp = 4,9, WindSpeed = 42,480000000000004, SnowDepth = 0, Weight = 0, Age = 4,213984583380562, MeasuredPower = , HasMeasuredPower = False }</t>
  </si>
  <si>
    <t>30.11.2025 15:30:00</t>
  </si>
  <si>
    <t>0,3159936137387696</t>
  </si>
  <si>
    <t>0,12611505266942674</t>
  </si>
  <si>
    <t>PvRecord { Timestamp = 30.11.2025 15:45:00, Index = 0, DirectGeometryFactor = 0, DiffuseGeometryFactor = 0,9095760221444958, CosSunElevation = 0,09387441525774164, GlobalHorizontalIrradiance = 10,649999999999999, SunshineDuration = 0, DiffuseHorizontalIrradiance = 36, AmbientTemp = 4,9, WindSpeed = 42,480000000000004, SnowDepth = 0, Weight = 0, Age = 4,214013103268644, MeasuredPower = , HasMeasuredPower = False }</t>
  </si>
  <si>
    <t>30.11.2025 15:45:00</t>
  </si>
  <si>
    <t>0,09387441525774164</t>
  </si>
  <si>
    <t>PvRecord { Timestamp = 30.11.2025 16:00:00, Index = 0, DirectGeometryFactor = 0, DiffuseGeometryFactor = 0,9095760221444958, CosSunElevation = 0,06054241875756025, GlobalHorizontalIrradiance = 10,649999999999999, SunshineDuration = 0, DiffuseHorizontalIrradiance = 36, AmbientTemp = 4,9, WindSpeed = 42,480000000000004, SnowDepth = 0, Weight = 0, Age = 4,214041623156725, MeasuredPower = , HasMeasuredPower = False }</t>
  </si>
  <si>
    <t>30.11.2025 16:00:00</t>
  </si>
  <si>
    <t>0,06054241875756025</t>
  </si>
  <si>
    <t>PvRecord { Timestamp = 30.11.2025 16:15:00, Index = 0, DirectGeometryFactor = 0, DiffuseGeometryFactor = 0,9095760221444958, CosSunElevation = 0,02695292304591019, GlobalHorizontalIrradiance = 10,649999999999999, SunshineDuration = 0, DiffuseHorizontalIrradiance = 36, AmbientTemp = 4,9, WindSpeed = 42,480000000000004, SnowDepth = 0, Weight = 0, Age = 4,214070143044807, MeasuredPower = , HasMeasuredPower = False }</t>
  </si>
  <si>
    <t>30.11.2025 16:15:00</t>
  </si>
  <si>
    <t>0,02695292304591019</t>
  </si>
  <si>
    <t>PvRecord { Timestamp = 30.11.2025 16:30:00, Index = 0, DirectGeometryFactor = 0, DiffuseGeometryFactor = 0,9095760221444958, CosSunElevation = 0, GlobalHorizontalIrradiance = 0, SunshineDuration = 0, DiffuseHorizontalIrradiance = 6,5, AmbientTemp = 4,4, WindSpeed = 40,86, SnowDepth = 0, Weight = 0, Age = 4,214098662932888, MeasuredPower = , HasMeasuredPower = False }</t>
  </si>
  <si>
    <t>30.11.2025 16:30:00</t>
  </si>
  <si>
    <t>6,5</t>
  </si>
  <si>
    <t>4,4</t>
  </si>
  <si>
    <t>40,86</t>
  </si>
  <si>
    <t>PvRecord { Timestamp = 30.11.2025 16:45:00, Index = 0, DirectGeometryFactor = 0, DiffuseGeometryFactor = 0,9095760221444958, CosSunElevation = 0, GlobalHorizontalIrradiance = 0, SunshineDuration = 0, DiffuseHorizontalIrradiance = 6,5, AmbientTemp = 4,4, WindSpeed = 40,86, SnowDepth = 0, Weight = 0, Age = 4,214127182820969, MeasuredPower = , HasMeasuredPower = False }</t>
  </si>
  <si>
    <t>30.11.2025 16:45:00</t>
  </si>
  <si>
    <t>PvRecord { Timestamp = 30.11.2025 17:00:00, Index = 0, DirectGeometryFactor = 0, DiffuseGeometryFactor = 0,9095760221444958, CosSunElevation = 0, GlobalHorizontalIrradiance = 0, SunshineDuration = 0, DiffuseHorizontalIrradiance = 6,5, AmbientTemp = 4,4, WindSpeed = 40,86, SnowDepth = 0, Weight = 0, Age = 4,214155702709052, MeasuredPower = , HasMeasuredPower = False }</t>
  </si>
  <si>
    <t>30.11.2025 17:00:00</t>
  </si>
  <si>
    <t>PvRecord { Timestamp = 30.11.2025 17:15:00, Index = 0, DirectGeometryFactor = 0, DiffuseGeometryFactor = 0,9095760221444958, CosSunElevation = 0, GlobalHorizontalIrradiance = 0, SunshineDuration = 0, DiffuseHorizontalIrradiance = 6,5, AmbientTemp = 4,4, WindSpeed = 40,86, SnowDepth = 0, Weight = 0, Age = 4,214184222597133, MeasuredPower = , HasMeasuredPower = False }</t>
  </si>
  <si>
    <t>30.11.2025 17:15:00</t>
  </si>
  <si>
    <t>PvRecord { Timestamp = 30.11.2025 17:30:00,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4,2142127424852145, MeasuredPower = , HasMeasuredPower = False }</t>
  </si>
  <si>
    <t>30.11.2025 17:30:00</t>
  </si>
  <si>
    <t>3,75</t>
  </si>
  <si>
    <t>PvRecord { Timestamp = 30.11.2025 17:45:00,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4,214241262373296, MeasuredPower = , HasMeasuredPower = False }</t>
  </si>
  <si>
    <t>30.11.2025 17:45:00</t>
  </si>
  <si>
    <t>PvRecord { Timestamp = 30.11.2025 18:00:00,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4,214269782261377, MeasuredPower = , HasMeasuredPower = False }</t>
  </si>
  <si>
    <t>30.11.2025 18:00:00</t>
  </si>
  <si>
    <t>PvRecord { Timestamp = 30.11.2025 18:15:00,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4,2142983021494596, MeasuredPower = , HasMeasuredPower = False }</t>
  </si>
  <si>
    <t>30.11.2025 18:15:00</t>
  </si>
  <si>
    <t>PvRecord { Timestamp = 30.11.2025 18:30:00, Index = 0, DirectGeometryFactor = 0, DiffuseGeometryFactor = 0,9095760221444958, CosSunElevation = 0, GlobalHorizontalIrradiance = 0, SunshineDuration = 0, DiffuseHorizontalIrradiance = 0, AmbientTemp = 3,25, WindSpeed = 27, SnowDepth = 0, Weight = 0, Age = 4,214326822037541, MeasuredPower = , HasMeasuredPower = False }</t>
  </si>
  <si>
    <t>30.11.2025 18:30:00</t>
  </si>
  <si>
    <t>3,25</t>
  </si>
  <si>
    <t>PvRecord { Timestamp = 30.11.2025 18:45:00, Index = 0, DirectGeometryFactor = 0, DiffuseGeometryFactor = 0,9095760221444958, CosSunElevation = 0, GlobalHorizontalIrradiance = 0, SunshineDuration = 0, DiffuseHorizontalIrradiance = 0, AmbientTemp = 3,25, WindSpeed = 27, SnowDepth = 0, Weight = 0, Age = 4,214355341925622, MeasuredPower = , HasMeasuredPower = False }</t>
  </si>
  <si>
    <t>30.11.2025 18:45:00</t>
  </si>
  <si>
    <t>PvRecord { Timestamp = 30.11.2025 19:00:00, Index = 0, DirectGeometryFactor = 0, DiffuseGeometryFactor = 0,9095760221444958, CosSunElevation = 0, GlobalHorizontalIrradiance = 0, SunshineDuration = 0, DiffuseHorizontalIrradiance = 0, AmbientTemp = 3,25, WindSpeed = 27, SnowDepth = 0, Weight = 0, Age = 4,214383861813704, MeasuredPower = , HasMeasuredPower = False }</t>
  </si>
  <si>
    <t>30.11.2025 19:00:00</t>
  </si>
  <si>
    <t>PvRecord { Timestamp = 30.11.2025 19:15:00, Index = 0, DirectGeometryFactor = 0, DiffuseGeometryFactor = 0,9095760221444958, CosSunElevation = 0, GlobalHorizontalIrradiance = 0, SunshineDuration = 0, DiffuseHorizontalIrradiance = 0, AmbientTemp = 3,25, WindSpeed = 27, SnowDepth = 0, Weight = 0, Age = 4,214412381701785, MeasuredPower = , HasMeasuredPower = False }</t>
  </si>
  <si>
    <t>30.11.2025 19:15:00</t>
  </si>
  <si>
    <t>PvRecord { Timestamp = 30.11.2025 19:30:00, Index = 0, DirectGeometryFactor = 0, DiffuseGeometryFactor = 0,9095760221444958, CosSunElevation = 0, GlobalHorizontalIrradiance = 0, SunshineDuration = 0, DiffuseHorizontalIrradiance = 0, AmbientTemp = 2,95, WindSpeed = 25,2, SnowDepth = 0, Weight = 0, Age = 4,214440901589867, MeasuredPower = , HasMeasuredPower = False }</t>
  </si>
  <si>
    <t>30.11.2025 19:30:00</t>
  </si>
  <si>
    <t>25,2</t>
  </si>
  <si>
    <t>PvRecord { Timestamp = 30.11.2025 19:45:00, Index = 0, DirectGeometryFactor = 0, DiffuseGeometryFactor = 0,9095760221444958, CosSunElevation = 0, GlobalHorizontalIrradiance = 0, SunshineDuration = 0, DiffuseHorizontalIrradiance = 0, AmbientTemp = 2,95, WindSpeed = 25,2, SnowDepth = 0, Weight = 0, Age = 4,214469421477949, MeasuredPower = , HasMeasuredPower = False }</t>
  </si>
  <si>
    <t>30.11.2025 19:45:00</t>
  </si>
  <si>
    <t>PvRecord { Timestamp = 30.11.2025 20:00:00, Index = 0, DirectGeometryFactor = 0, DiffuseGeometryFactor = 0,9095760221444958, CosSunElevation = 0, GlobalHorizontalIrradiance = 0, SunshineDuration = 0, DiffuseHorizontalIrradiance = 0, AmbientTemp = 2,95, WindSpeed = 25,2, SnowDepth = 0, Weight = 0, Age = 4,21449794136603, MeasuredPower = , HasMeasuredPower = False }</t>
  </si>
  <si>
    <t>30.11.2025 20:00:00</t>
  </si>
  <si>
    <t>PvRecord { Timestamp = 30.11.2025 20:15:00, Index = 0, DirectGeometryFactor = 0, DiffuseGeometryFactor = 0,9095760221444958, CosSunElevation = 0, GlobalHorizontalIrradiance = 0, SunshineDuration = 0, DiffuseHorizontalIrradiance = 0, AmbientTemp = 2,95, WindSpeed = 25,2, SnowDepth = 0, Weight = 0, Age = 4,214526461254112, MeasuredPower = , HasMeasuredPower = False }</t>
  </si>
  <si>
    <t>30.11.2025 20:15:00</t>
  </si>
  <si>
    <t>PvRecord { Timestamp = 30.11.2025 20:30:00, Index = 0, DirectGeometryFactor = 0, DiffuseGeometryFactor = 0,9095760221444958, CosSunElevation = 0, GlobalHorizontalIrradiance = 0, SunshineDuration = 0, DiffuseHorizontalIrradiance = 0, AmbientTemp = 2,85, WindSpeed = 24,3, SnowDepth = 0, Weight = 0, Age = 4,214554981142193, MeasuredPower = , HasMeasuredPower = False }</t>
  </si>
  <si>
    <t>30.11.2025 20:30:00</t>
  </si>
  <si>
    <t>24,3</t>
  </si>
  <si>
    <t>PvRecord { Timestamp = 30.11.2025 20:45:00, Index = 0, DirectGeometryFactor = 0, DiffuseGeometryFactor = 0,9095760221444958, CosSunElevation = 0, GlobalHorizontalIrradiance = 0, SunshineDuration = 0, DiffuseHorizontalIrradiance = 0, AmbientTemp = 2,85, WindSpeed = 24,3, SnowDepth = 0, Weight = 0, Age = 4,214583501030275, MeasuredPower = , HasMeasuredPower = False }</t>
  </si>
  <si>
    <t>30.11.2025 20:45:00</t>
  </si>
  <si>
    <t>PvRecord { Timestamp = 30.11.2025 21:00:00, Index = 0, DirectGeometryFactor = 0, DiffuseGeometryFactor = 0,9095760221444958, CosSunElevation = 0, GlobalHorizontalIrradiance = 0, SunshineDuration = 0, DiffuseHorizontalIrradiance = 0, AmbientTemp = 2,85, WindSpeed = 24,3, SnowDepth = 0, Weight = 0, Age = 4,214612020918357, MeasuredPower = , HasMeasuredPower = False }</t>
  </si>
  <si>
    <t>30.11.2025 21:00:00</t>
  </si>
  <si>
    <t>PvRecord { Timestamp = 30.11.2025 21:15:00, Index = 0, DirectGeometryFactor = 0, DiffuseGeometryFactor = 0,9095760221444958, CosSunElevation = 0, GlobalHorizontalIrradiance = 0, SunshineDuration = 0, DiffuseHorizontalIrradiance = 0, AmbientTemp = 2,85, WindSpeed = 24,3, SnowDepth = 0, Weight = 0, Age = 4,214640540806438, MeasuredPower = , HasMeasuredPower = False }</t>
  </si>
  <si>
    <t>30.11.2025 21:15:00</t>
  </si>
  <si>
    <t>PvRecord { Timestamp = 30.11.2025 21:30:00,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4,214669060694519, MeasuredPower = , HasMeasuredPower = False }</t>
  </si>
  <si>
    <t>30.11.2025 21:30:00</t>
  </si>
  <si>
    <t>PvRecord { Timestamp = 30.11.2025 21:45:00,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4,214697580582601, MeasuredPower = , HasMeasuredPower = False }</t>
  </si>
  <si>
    <t>30.11.2025 21:45:00</t>
  </si>
  <si>
    <t>PvRecord { Timestamp = 30.11.2025 22:00:00,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4,214726100470683, MeasuredPower = , HasMeasuredPower = False }</t>
  </si>
  <si>
    <t>30.11.2025 22:00:00</t>
  </si>
  <si>
    <t>PvRecord { Timestamp = 30.11.2025 22:15:00,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4,2147546203587645, MeasuredPower = , HasMeasuredPower = False }</t>
  </si>
  <si>
    <t>30.11.2025 22:15:00</t>
  </si>
  <si>
    <t>PvRecord { Timestamp = 30.11.2025 22:30:00,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4,214783140246846, MeasuredPower = , HasMeasuredPower = False }</t>
  </si>
  <si>
    <t>30.11.2025 22:30:00</t>
  </si>
  <si>
    <t>22,14</t>
  </si>
  <si>
    <t>PvRecord { Timestamp = 30.11.2025 22:45:00,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4,214811660134927, MeasuredPower = , HasMeasuredPower = False }</t>
  </si>
  <si>
    <t>30.11.2025 22:45:00</t>
  </si>
  <si>
    <t>PvRecord { Timestamp = 30.11.2025 23:00:00,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4,214840180023009, MeasuredPower = , HasMeasuredPower = False }</t>
  </si>
  <si>
    <t>30.11.2025 23:00:00</t>
  </si>
  <si>
    <t>PvRecord { Timestamp = 30.11.2025 23:15:00,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4,214868699911091, MeasuredPower = , HasMeasuredPower = False }</t>
  </si>
  <si>
    <t>30.11.2025 23:15:00</t>
  </si>
  <si>
    <t>PvRecord { Timestamp = 30.11.2025 23:30:00,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4,214897219799172, MeasuredPower = , HasMeasuredPower = False }</t>
  </si>
  <si>
    <t>30.11.2025 23:30:00</t>
  </si>
  <si>
    <t>PvRecord { Timestamp = 30.11.2025 23:45:00,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4,214925739687254, MeasuredPower = , HasMeasuredPower = False }</t>
  </si>
  <si>
    <t>30.11.2025 23:45:00</t>
  </si>
  <si>
    <t>PvRecord { Timestamp = 01.12.2025 00:00:00,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4,214954259575335, MeasuredPower = , HasMeasuredPower = False }</t>
  </si>
  <si>
    <t>01.12.2025 00:00:00</t>
  </si>
  <si>
    <t>PvRecord { Timestamp = 01.12.2025 00:15:00,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4,2149827794634165, MeasuredPower = , HasMeasuredPower = False }</t>
  </si>
  <si>
    <t>01.12.2025 00:15:00</t>
  </si>
  <si>
    <t>PvRecord { Timestamp = 01.12.2025 00:30:00, Index = 0, DirectGeometryFactor = 0, DiffuseGeometryFactor = 0,9095760221444958, CosSunElevation = 0, GlobalHorizontalIrradiance = 0, SunshineDuration = 0, DiffuseHorizontalIrradiance = 0, AmbientTemp = 2,35, WindSpeed = 17,64, SnowDepth = 0, Weight = 0, Age = 4,215011299351499, MeasuredPower = , HasMeasuredPower = False }</t>
  </si>
  <si>
    <t>01.12.2025 00:30:00</t>
  </si>
  <si>
    <t>PvRecord { Timestamp = 01.12.2025 00:45:00, Index = 0, DirectGeometryFactor = 0, DiffuseGeometryFactor = 0,9095760221444958, CosSunElevation = 0, GlobalHorizontalIrradiance = 0, SunshineDuration = 0, DiffuseHorizontalIrradiance = 0, AmbientTemp = 2,35, WindSpeed = 17,64, SnowDepth = 0, Weight = 0, Age = 4,21503981923958, MeasuredPower = , HasMeasuredPower = False }</t>
  </si>
  <si>
    <t>01.12.2025 00:45:00</t>
  </si>
  <si>
    <t>PvRecord { Timestamp = 01.12.2025 01:00:00, Index = 0, DirectGeometryFactor = 0, DiffuseGeometryFactor = 0,9095760221444958, CosSunElevation = 0, GlobalHorizontalIrradiance = 0, SunshineDuration = 0, DiffuseHorizontalIrradiance = 0, AmbientTemp = 2,35, WindSpeed = 17,64, SnowDepth = 0, Weight = 0, Age = 4,2150683391276615, MeasuredPower = , HasMeasuredPower = False }</t>
  </si>
  <si>
    <t>01.12.2025 01:00:00</t>
  </si>
  <si>
    <t>PvRecord { Timestamp = 01.12.2025 01:15:00, Index = 0, DirectGeometryFactor = 0, DiffuseGeometryFactor = 0,9095760221444958, CosSunElevation = 0, GlobalHorizontalIrradiance = 0, SunshineDuration = 0, DiffuseHorizontalIrradiance = 0, AmbientTemp = 2,35, WindSpeed = 17,64, SnowDepth = 0, Weight = 0, Age = 4,215096859015743, MeasuredPower = , HasMeasuredPower = False }</t>
  </si>
  <si>
    <t>01.12.2025 01:15:00</t>
  </si>
  <si>
    <t>PvRecord { Timestamp = 01.12.2025 01:30:00,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4,215125378903825, MeasuredPower = , HasMeasuredPower = False }</t>
  </si>
  <si>
    <t>01.12.2025 01:30:00</t>
  </si>
  <si>
    <t>2,25</t>
  </si>
  <si>
    <t>PvRecord { Timestamp = 01.12.2025 01:45:00,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4,215153898791907, MeasuredPower = , HasMeasuredPower = False }</t>
  </si>
  <si>
    <t>01.12.2025 01:45:00</t>
  </si>
  <si>
    <t>PvRecord { Timestamp = 01.12.2025 02:00:00,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4,215182418679988, MeasuredPower = , HasMeasuredPower = False }</t>
  </si>
  <si>
    <t>01.12.2025 02:00:00</t>
  </si>
  <si>
    <t>PvRecord { Timestamp = 01.12.2025 02:15:00,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4,215210938568069, MeasuredPower = , HasMeasuredPower = False }</t>
  </si>
  <si>
    <t>01.12.2025 02:15:00</t>
  </si>
  <si>
    <t>PvRecord { Timestamp = 01.12.2025 02:30:00, Index = 0, DirectGeometryFactor = 0, DiffuseGeometryFactor = 0,9095760221444958, CosSunElevation = 0, GlobalHorizontalIrradiance = 0, SunshineDuration = 0, DiffuseHorizontalIrradiance = 0, AmbientTemp = 2,2, WindSpeed = 12,6, SnowDepth = 0, Weight = 0, Age = 4,215239458456151, MeasuredPower = , HasMeasuredPower = False }</t>
  </si>
  <si>
    <t>01.12.2025 02:30:00</t>
  </si>
  <si>
    <t>PvRecord { Timestamp = 01.12.2025 02:45:00, Index = 0, DirectGeometryFactor = 0, DiffuseGeometryFactor = 0,9095760221444958, CosSunElevation = 0, GlobalHorizontalIrradiance = 0, SunshineDuration = 0, DiffuseHorizontalIrradiance = 0, AmbientTemp = 2,2, WindSpeed = 12,6, SnowDepth = 0, Weight = 0, Age = 4,215267978344233, MeasuredPower = , HasMeasuredPower = False }</t>
  </si>
  <si>
    <t>01.12.2025 02:45:00</t>
  </si>
  <si>
    <t>PvRecord { Timestamp = 01.12.2025 03:00:00, Index = 0, DirectGeometryFactor = 0, DiffuseGeometryFactor = 0,9095760221444958, CosSunElevation = 0, GlobalHorizontalIrradiance = 0, SunshineDuration = 0, DiffuseHorizontalIrradiance = 0, AmbientTemp = 2,2, WindSpeed = 12,6, SnowDepth = 0, Weight = 0, Age = 4,2152964982323144, MeasuredPower = , HasMeasuredPower = False }</t>
  </si>
  <si>
    <t>01.12.2025 03:00:00</t>
  </si>
  <si>
    <t>PvRecord { Timestamp = 01.12.2025 03:15:00, Index = 0, DirectGeometryFactor = 0, DiffuseGeometryFactor = 0,9095760221444958, CosSunElevation = 0, GlobalHorizontalIrradiance = 0, SunshineDuration = 0, DiffuseHorizontalIrradiance = 0, AmbientTemp = 2,2, WindSpeed = 12,6, SnowDepth = 0, Weight = 0, Age = 4,215325018120396, MeasuredPower = , HasMeasuredPower = False }</t>
  </si>
  <si>
    <t>01.12.2025 03:15:00</t>
  </si>
  <si>
    <t>PvRecord { Timestamp = 01.12.2025 03:30:00,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4,215353538008477, MeasuredPower = , HasMeasuredPower = False }</t>
  </si>
  <si>
    <t>01.12.2025 03:30:00</t>
  </si>
  <si>
    <t>PvRecord { Timestamp = 01.12.2025 03:45:00,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4,215382057896559, MeasuredPower = , HasMeasuredPower = False }</t>
  </si>
  <si>
    <t>01.12.2025 03:45:00</t>
  </si>
  <si>
    <t>PvRecord { Timestamp = 01.12.2025 04:00:00,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4,215410577784641, MeasuredPower = , HasMeasuredPower = False }</t>
  </si>
  <si>
    <t>01.12.2025 04:00:00</t>
  </si>
  <si>
    <t>PvRecord { Timestamp = 01.12.2025 04:15:00,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4,215439097672722, MeasuredPower = , HasMeasuredPower = False }</t>
  </si>
  <si>
    <t>01.12.2025 04:15:00</t>
  </si>
  <si>
    <t>PvRecord { Timestamp = 01.12.2025 04:30:00, Index = 0, DirectGeometryFactor = 0, DiffuseGeometryFactor = 0,9095760221444958, CosSunElevation = 0, GlobalHorizontalIrradiance = 0, SunshineDuration = 0, DiffuseHorizontalIrradiance = 0, AmbientTemp = 2,05, WindSpeed = 6,84, SnowDepth = 0, Weight = 0, Age = 4,215467617560804, MeasuredPower = , HasMeasuredPower = False }</t>
  </si>
  <si>
    <t>01.12.2025 04:30:00</t>
  </si>
  <si>
    <t>PvRecord { Timestamp = 01.12.2025 04:45:00, Index = 0, DirectGeometryFactor = 0, DiffuseGeometryFactor = 0,9095760221444958, CosSunElevation = 0, GlobalHorizontalIrradiance = 0, SunshineDuration = 0, DiffuseHorizontalIrradiance = 0, AmbientTemp = 2,05, WindSpeed = 6,84, SnowDepth = 0, Weight = 0, Age = 4,215496137448885, MeasuredPower = , HasMeasuredPower = False }</t>
  </si>
  <si>
    <t>01.12.2025 04:45:00</t>
  </si>
  <si>
    <t>PvRecord { Timestamp = 01.12.2025 05:00:00, Index = 0, DirectGeometryFactor = 0, DiffuseGeometryFactor = 0,9095760221444958, CosSunElevation = 0, GlobalHorizontalIrradiance = 0, SunshineDuration = 0, DiffuseHorizontalIrradiance = 0, AmbientTemp = 2,05, WindSpeed = 6,84, SnowDepth = 0, Weight = 0, Age = 4,2155246573369665, MeasuredPower = , HasMeasuredPower = False }</t>
  </si>
  <si>
    <t>01.12.2025 05:00:00</t>
  </si>
  <si>
    <t>PvRecord { Timestamp = 01.12.2025 05:15:00, Index = 0, DirectGeometryFactor = 0, DiffuseGeometryFactor = 0,9095760221444958, CosSunElevation = 0, GlobalHorizontalIrradiance = 0, SunshineDuration = 0, DiffuseHorizontalIrradiance = 0, AmbientTemp = 2,05, WindSpeed = 6,84, SnowDepth = 0, Weight = 0, Age = 4,215553177225049, MeasuredPower = , HasMeasuredPower = False }</t>
  </si>
  <si>
    <t>01.12.2025 05:15:00</t>
  </si>
  <si>
    <t>PvRecord { Timestamp = 01.12.2025 05:30:00,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4,21558169711313, MeasuredPower = , HasMeasuredPower = False }</t>
  </si>
  <si>
    <t>01.12.2025 05:30:00</t>
  </si>
  <si>
    <t>PvRecord { Timestamp = 01.12.2025 05:45:00,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4,2156102170012115, MeasuredPower = , HasMeasuredPower = False }</t>
  </si>
  <si>
    <t>01.12.2025 05:45:00</t>
  </si>
  <si>
    <t>PvRecord { Timestamp = 01.12.2025 06:00:00,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4,215638736889293, MeasuredPower = , HasMeasuredPower = False }</t>
  </si>
  <si>
    <t>01.12.2025 06:00:00</t>
  </si>
  <si>
    <t>PvRecord { Timestamp = 01.12.2025 06:15:00,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4,215667256777374, MeasuredPower = , HasMeasuredPower = False }</t>
  </si>
  <si>
    <t>01.12.2025 06:15:00</t>
  </si>
  <si>
    <t>PvRecord { Timestamp = 01.12.2025 06:30:00,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4,215695776665457, MeasuredPower = , HasMeasuredPower = False }</t>
  </si>
  <si>
    <t>01.12.2025 06:30:00</t>
  </si>
  <si>
    <t>PvRecord { Timestamp = 01.12.2025 06:45:00,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4,215724296553538, MeasuredPower = , HasMeasuredPower = False }</t>
  </si>
  <si>
    <t>01.12.2025 06:45:00</t>
  </si>
  <si>
    <t>PvRecord { Timestamp = 01.12.2025 07:00:00,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4,215752816441619, MeasuredPower = , HasMeasuredPower = False }</t>
  </si>
  <si>
    <t>01.12.2025 07:00:00</t>
  </si>
  <si>
    <t>PvRecord { Timestamp = 01.12.2025 07:15:00,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4,215781336329701, MeasuredPower = , HasMeasuredPower = False }</t>
  </si>
  <si>
    <t>01.12.2025 07:15:00</t>
  </si>
  <si>
    <t>PvRecord { Timestamp = 01.12.2025 07:30:00, Index = 0, DirectGeometryFactor = 0, DiffuseGeometryFactor = 0,9095760221444958, CosSunElevation = 0, GlobalHorizontalIrradiance = 0, SunshineDuration = 0, DiffuseHorizontalIrradiance = 0, AmbientTemp = 2,25, WindSpeed = 7,74, SnowDepth = 0, Weight = 0, Age = 4,215809856217782, MeasuredPower = , HasMeasuredPower = False }</t>
  </si>
  <si>
    <t>01.12.2025 07:30:00</t>
  </si>
  <si>
    <t>PvRecord { Timestamp = 01.12.2025 07:45:00, Index = 0, DirectGeometryFactor = 0, DiffuseGeometryFactor = 0,9095760221444958, CosSunElevation = 0, GlobalHorizontalIrradiance = 0, SunshineDuration = 0, DiffuseHorizontalIrradiance = 0, AmbientTemp = 2,25, WindSpeed = 7,74, SnowDepth = 0, Weight = 0, Age = 4,215838376105864, MeasuredPower = , HasMeasuredPower = False }</t>
  </si>
  <si>
    <t>01.12.2025 07:45:00</t>
  </si>
  <si>
    <t>PvRecord { Timestamp = 01.12.2025 08:00:00, Index = 0, DirectGeometryFactor = 0, DiffuseGeometryFactor = 0,9095760221444958, CosSunElevation = 0,031170454575879913, GlobalHorizontalIrradiance = 0, SunshineDuration = 0, DiffuseHorizontalIrradiance = 0, AmbientTemp = 2,25, WindSpeed = 7,74, SnowDepth = 0, Weight = 0, Age = 4,215866895993946, MeasuredPower = , HasMeasuredPower = False }</t>
  </si>
  <si>
    <t>01.12.2025 08:00:00</t>
  </si>
  <si>
    <t>0,031170454575879913</t>
  </si>
  <si>
    <t>PvRecord { Timestamp = 01.12.2025 08:15:00, Index = 0, DirectGeometryFactor = 0,5460063173061931, DiffuseGeometryFactor = 0,9095760221444958, CosSunElevation = 0,06468642047222219, GlobalHorizontalIrradiance = 0, SunshineDuration = 0, DiffuseHorizontalIrradiance = 0, AmbientTemp = 2,25, WindSpeed = 7,74, SnowDepth = 0, Weight = 0, Age = 4,215895415882027, MeasuredPower = , HasMeasuredPower = False }</t>
  </si>
  <si>
    <t>01.12.2025 08:15:00</t>
  </si>
  <si>
    <t>0,5460063173061931</t>
  </si>
  <si>
    <t>0,06468642047222219</t>
  </si>
  <si>
    <t>PvRecord { Timestamp = 01.12.2025 08:30:00, Index = 0, DirectGeometryFactor = 0,5857545915279682, DiffuseGeometryFactor = 0,9095760221444958, CosSunElevation = 0,09778053658051282, GlobalHorizontalIrradiance = 16,9, SunshineDuration = 0, DiffuseHorizontalIrradiance = 23, AmbientTemp = 2,5, WindSpeed = 14,76, SnowDepth = 0, Weight = 0, Age = 4,215923935770109, MeasuredPower = , HasMeasuredPower = False }</t>
  </si>
  <si>
    <t>01.12.2025 08:30:00</t>
  </si>
  <si>
    <t>0,5857545915279682</t>
  </si>
  <si>
    <t>0,09778053658051282</t>
  </si>
  <si>
    <t>16,9</t>
  </si>
  <si>
    <t>2,5</t>
  </si>
  <si>
    <t>14,76</t>
  </si>
  <si>
    <t>PvRecord { Timestamp = 01.12.2025 08:45:00, Index = 0, DirectGeometryFactor = 0,6229699495621062, DiffuseGeometryFactor = 0,9095760221444958, CosSunElevation = 0,12971323664238496, GlobalHorizontalIrradiance = 16,9, SunshineDuration = 0, DiffuseHorizontalIrradiance = 23, AmbientTemp = 2,5, WindSpeed = 14,76, SnowDepth = 0, Weight = 0, Age = 4,21595245565819, MeasuredPower = , HasMeasuredPower = False }</t>
  </si>
  <si>
    <t>01.12.2025 08:45:00</t>
  </si>
  <si>
    <t>0,6229699495621062</t>
  </si>
  <si>
    <t>0,12971323664238496</t>
  </si>
  <si>
    <t>PvRecord { Timestamp = 01.12.2025 09:00:00, Index = 0, DirectGeometryFactor = 0,6573122442399395, DiffuseGeometryFactor = 0,9095760221444958, CosSunElevation = 0,16013154017993378, GlobalHorizontalIrradiance = 16,9, SunshineDuration = 0, DiffuseHorizontalIrradiance = 23, AmbientTemp = 2,5, WindSpeed = 14,76, SnowDepth = 0, Weight = 0, Age = 4,215980975546272, MeasuredPower = , HasMeasuredPower = False }</t>
  </si>
  <si>
    <t>01.12.2025 09:00:00</t>
  </si>
  <si>
    <t>0,6573122442399395</t>
  </si>
  <si>
    <t>0,16013154017993378</t>
  </si>
  <si>
    <t>PvRecord { Timestamp = 01.12.2025 09:15:00, Index = 0, DirectGeometryFactor = 0,6885573740700519, DiffuseGeometryFactor = 0,9095760221444958, CosSunElevation = 0,18881275379052642, GlobalHorizontalIrradiance = 16,9, SunshineDuration = 0, DiffuseHorizontalIrradiance = 23, AmbientTemp = 2,5, WindSpeed = 14,76, SnowDepth = 0, Weight = 0, Age = 4,216009495434354, MeasuredPower = , HasMeasuredPower = False }</t>
  </si>
  <si>
    <t>01.12.2025 09:15:00</t>
  </si>
  <si>
    <t>0,6885573740700519</t>
  </si>
  <si>
    <t>0,18881275379052642</t>
  </si>
  <si>
    <t>PvRecord { Timestamp = 01.12.2025 09:30:00, Index = 0, DirectGeometryFactor = 0,7165339312473924, DiffuseGeometryFactor = 0,9095760221444958, CosSunElevation = 0,21558879836806066, GlobalHorizontalIrradiance = 29,199999999999996, SunshineDuration = 0, DiffuseHorizontalIrradiance = 63,5, AmbientTemp = 2,75, WindSpeed = 19,259999999999998, SnowDepth = 0, Weight = 0, Age = 4,216038015322435, MeasuredPower = , HasMeasuredPower = False }</t>
  </si>
  <si>
    <t>01.12.2025 09:30:00</t>
  </si>
  <si>
    <t>0,7165339312473924</t>
  </si>
  <si>
    <t>0,21558879836806066</t>
  </si>
  <si>
    <t>63,5</t>
  </si>
  <si>
    <t>PvRecord { Timestamp = 01.12.2025 09:45:00, Index = 0, DirectGeometryFactor = 0,7411017865597858, DiffuseGeometryFactor = 0,9095760221444958, CosSunElevation = 0,2403204688761362, GlobalHorizontalIrradiance = 29,199999999999996, SunshineDuration = 0, DiffuseHorizontalIrradiance = 63,5, AmbientTemp = 2,75, WindSpeed = 19,259999999999998, SnowDepth = 0, Weight = 0, Age = 4,216066535210516, MeasuredPower = , HasMeasuredPower = False }</t>
  </si>
  <si>
    <t>01.12.2025 09:45:00</t>
  </si>
  <si>
    <t>0,7411017865597858</t>
  </si>
  <si>
    <t>0,2403204688761362</t>
  </si>
  <si>
    <t>PvRecord { Timestamp = 01.12.2025 10:00:00, Index = 0, DirectGeometryFactor = 0,7621438721548335, DiffuseGeometryFactor = 0,9095760221444958, CosSunElevation = 0,26288747774499466, GlobalHorizontalIrradiance = 29,199999999999996, SunshineDuration = 0, DiffuseHorizontalIrradiance = 63,5, AmbientTemp = 2,75, WindSpeed = 19,259999999999998, SnowDepth = 0, Weight = 0, Age = 4,216095055098598, MeasuredPower = , HasMeasuredPower = False }</t>
  </si>
  <si>
    <t>01.12.2025 10:00:00</t>
  </si>
  <si>
    <t>0,7621438721548335</t>
  </si>
  <si>
    <t>0,26288747774499466</t>
  </si>
  <si>
    <t>PvRecord { Timestamp = 01.12.2025 10:15:00, Index = 0, DirectGeometryFactor = 0,7795627418731191, DiffuseGeometryFactor = 0,9095760221444958, CosSunElevation = 0,28318424672402037, GlobalHorizontalIrradiance = 29,199999999999996, SunshineDuration = 0, DiffuseHorizontalIrradiance = 63,5, AmbientTemp = 2,75, WindSpeed = 19,259999999999998, SnowDepth = 0, Weight = 0, Age = 4,21612357498668, MeasuredPower = , HasMeasuredPower = False }</t>
  </si>
  <si>
    <t>01.12.2025 10:15:00</t>
  </si>
  <si>
    <t>0,7795627418731191</t>
  </si>
  <si>
    <t>0,28318424672402037</t>
  </si>
  <si>
    <t>PvRecord { Timestamp = 01.12.2025 10:30:00, Index = 0, DirectGeometryFactor = 0,7932790578702607, DiffuseGeometryFactor = 0,9095760221444958, CosSunElevation = 0,301118042560708, GlobalHorizontalIrradiance = 54,58333333333333, SunshineDuration = 0, DiffuseHorizontalIrradiance = 94,5, AmbientTemp = 3,05, WindSpeed = 19,259999999999998, SnowDepth = 0, Weight = 0, Age = 4,2161520948747615, MeasuredPower = , HasMeasuredPower = False }</t>
  </si>
  <si>
    <t>01.12.2025 10:30:00</t>
  </si>
  <si>
    <t>0,7932790578702607</t>
  </si>
  <si>
    <t>0,301118042560708</t>
  </si>
  <si>
    <t>94,5</t>
  </si>
  <si>
    <t>PvRecord { Timestamp = 01.12.2025 10:45:00, Index = 0, DirectGeometryFactor = 0,8032309128407837, DiffuseGeometryFactor = 0,9095760221444958, CosSunElevation = 0,3166081521756114, GlobalHorizontalIrradiance = 54,58333333333333, SunshineDuration = 0, DiffuseHorizontalIrradiance = 94,5, AmbientTemp = 3,05, WindSpeed = 19,259999999999998, SnowDepth = 0, Weight = 0, Age = 4,216180614762843, MeasuredPower = , HasMeasuredPower = False }</t>
  </si>
  <si>
    <t>01.12.2025 10:45:00</t>
  </si>
  <si>
    <t>0,8032309128407837</t>
  </si>
  <si>
    <t>0,3166081521756114</t>
  </si>
  <si>
    <t>PvRecord { Timestamp = 01.12.2025 11:00:00, Index = 0, DirectGeometryFactor = 0,8093735265479612, DiffuseGeometryFactor = 0,9095760221444958, CosSunElevation = 0,3295855450386762, GlobalHorizontalIrradiance = 54,58333333333333, SunshineDuration = 0, DiffuseHorizontalIrradiance = 94,5, AmbientTemp = 3,05, WindSpeed = 19,259999999999998, SnowDepth = 0, Weight = 0, Age = 4,216209134650924, MeasuredPower = , HasMeasuredPower = False }</t>
  </si>
  <si>
    <t>01.12.2025 11:00:00</t>
  </si>
  <si>
    <t>0,8093735265479612</t>
  </si>
  <si>
    <t>0,3295855450386762</t>
  </si>
  <si>
    <t>PvRecord { Timestamp = 01.12.2025 11:15:00, Index = 0, DirectGeometryFactor = 0,8116791047599854, DiffuseGeometryFactor = 0,9095760221444958, CosSunElevation = 0,339992768615478, GlobalHorizontalIrradiance = 54,58333333333333, SunshineDuration = 0, DiffuseHorizontalIrradiance = 94,5, AmbientTemp = 3,05, WindSpeed = 19,259999999999998, SnowDepth = 0, Weight = 0, Age = 4,216237654539006, MeasuredPower = , HasMeasuredPower = False }</t>
  </si>
  <si>
    <t>01.12.2025 11:15:00</t>
  </si>
  <si>
    <t>0,8116791047599854</t>
  </si>
  <si>
    <t>0,339992768615478</t>
  </si>
  <si>
    <t>PvRecord { Timestamp = 01.12.2025 11:30:00, Index = 0, DirectGeometryFactor = 0,8101367568609078, DiffuseGeometryFactor = 0,9095760221444958, CosSunElevation = 0,3477839521372029, GlobalHorizontalIrradiance = 88,75, SunshineDuration = 0, DiffuseHorizontalIrradiance = 116, AmbientTemp = 3,35, WindSpeed = 17,28, SnowDepth = 0, Weight = 0, Age = 4,216266174427088, MeasuredPower = , HasMeasuredPower = False }</t>
  </si>
  <si>
    <t>01.12.2025 11:30:00</t>
  </si>
  <si>
    <t>0,8101367568609078</t>
  </si>
  <si>
    <t>0,3477839521372029</t>
  </si>
  <si>
    <t>88,75</t>
  </si>
  <si>
    <t>3,35</t>
  </si>
  <si>
    <t>PvRecord { Timestamp = 01.12.2025 11:45:00, Index = 0, DirectGeometryFactor = 0,804752418392274, DiffuseGeometryFactor = 0,9095760221444958, CosSunElevation = 0,3529248538142768, GlobalHorizontalIrradiance = 88,75, SunshineDuration = 0, DiffuseHorizontalIrradiance = 116, AmbientTemp = 3,35, WindSpeed = 17,28, SnowDepth = 0, Weight = 0, Age = 4,216294694315169, MeasuredPower = , HasMeasuredPower = False }</t>
  </si>
  <si>
    <t>01.12.2025 11:45:00</t>
  </si>
  <si>
    <t>0,804752418392274</t>
  </si>
  <si>
    <t>0,3529248538142768</t>
  </si>
  <si>
    <t>PvRecord { Timestamp = 01.12.2025 12:00:00, Index = 0, DirectGeometryFactor = 0,7955487497674253, DiffuseGeometryFactor = 0,9095760221444958, CosSunElevation = 0,3553929162558709, GlobalHorizontalIrradiance = 88,75, SunshineDuration = 0, DiffuseHorizontalIrradiance = 116, AmbientTemp = 3,35, WindSpeed = 17,28, SnowDepth = 0, Weight = 0, Age = 4,216323214203251, MeasuredPower = , HasMeasuredPower = False }</t>
  </si>
  <si>
    <t>01.12.2025 12:00:00</t>
  </si>
  <si>
    <t>0,7955487497674253</t>
  </si>
  <si>
    <t>0,3553929162558709</t>
  </si>
  <si>
    <t>PvRecord { Timestamp = 01.12.2025 12:15:00, Index = 0, DirectGeometryFactor = 0,7825649958048841, DiffuseGeometryFactor = 0,9095760221444958, CosSunElevation = 0,35517731091112126, GlobalHorizontalIrradiance = 88,75, SunshineDuration = 0, DiffuseHorizontalIrradiance = 116, AmbientTemp = 3,35, WindSpeed = 17,28, SnowDepth = 0, Weight = 0, Age = 4,216351734091332, MeasuredPower = , HasMeasuredPower = False }</t>
  </si>
  <si>
    <t>01.12.2025 12:15:00</t>
  </si>
  <si>
    <t>0,7825649958048841</t>
  </si>
  <si>
    <t>0,35517731091112126</t>
  </si>
  <si>
    <t>PvRecord { Timestamp = 01.12.2025 12:30:00, Index = 0, DirectGeometryFactor = 0,76585679822921, DiffuseGeometryFactor = 0,9095760221444958, CosSunElevation = 0,3522789613125731, GlobalHorizontalIrradiance = 111,46666666666667, SunshineDuration = 0, DiffuseHorizontalIrradiance = 121,5, AmbientTemp = 3,55, WindSpeed = 15,3, SnowDepth = 0, Weight = 0, Age = 4,2163802539794135, MeasuredPower = , HasMeasuredPower = False }</t>
  </si>
  <si>
    <t>01.12.2025 12:30:00</t>
  </si>
  <si>
    <t>0,76585679822921</t>
  </si>
  <si>
    <t>0,3522789613125731</t>
  </si>
  <si>
    <t>121,5</t>
  </si>
  <si>
    <t>3,55</t>
  </si>
  <si>
    <t>15,3</t>
  </si>
  <si>
    <t>PvRecord { Timestamp = 01.12.2025 12:45:00, Index = 0, DirectGeometryFactor = 0,745495958550972, DiffuseGeometryFactor = 0,9095760221444958, CosSunElevation = 0,346710540802824, GlobalHorizontalIrradiance = 111,46666666666667, SunshineDuration = 0, DiffuseHorizontalIrradiance = 121,5, AmbientTemp = 3,55, WindSpeed = 15,3, SnowDepth = 0, Weight = 0, Age = 4,216408773867496, MeasuredPower = , HasMeasuredPower = False }</t>
  </si>
  <si>
    <t>01.12.2025 12:45:00</t>
  </si>
  <si>
    <t>0,745495958550972</t>
  </si>
  <si>
    <t>0,346710540802824</t>
  </si>
  <si>
    <t>PvRecord { Timestamp = 01.12.2025 13:00:00, Index = 0, DirectGeometryFactor = 0,7215701525957194, DiffuseGeometryFactor = 0,9095760221444958, CosSunElevation = 0,3384964451661105, GlobalHorizontalIrradiance = 111,46666666666667, SunshineDuration = 0, DiffuseHorizontalIrradiance = 121,5, AmbientTemp = 3,55, WindSpeed = 15,3, SnowDepth = 0, Weight = 0, Age = 4,216437293755577, MeasuredPower = , HasMeasuredPower = False }</t>
  </si>
  <si>
    <t>01.12.2025 13:00:00</t>
  </si>
  <si>
    <t>0,7215701525957194</t>
  </si>
  <si>
    <t>0,3384964451661105</t>
  </si>
  <si>
    <t>PvRecord { Timestamp = 01.12.2025 13:15:00, Index = 0, DirectGeometryFactor = 0,6941826018093811, DiffuseGeometryFactor = 0,9095760221444958, CosSunElevation = 0,3276727452070788, GlobalHorizontalIrradiance = 111,46666666666667, SunshineDuration = 0, DiffuseHorizontalIrradiance = 121,5, AmbientTemp = 3,55, WindSpeed = 15,3, SnowDepth = 0, Weight = 0, Age = 4,216465813643659, MeasuredPower = , HasMeasuredPower = False }</t>
  </si>
  <si>
    <t>01.12.2025 13:15:00</t>
  </si>
  <si>
    <t>0,6941826018093811</t>
  </si>
  <si>
    <t>0,3276727452070788</t>
  </si>
  <si>
    <t>PvRecord { Timestamp = 01.12.2025 13:30:00, Index = 0, DirectGeometryFactor = 0,663451712186486, DiffuseGeometryFactor = 0,9095760221444958, CosSunElevation = 0,314287130730403, GlobalHorizontalIrradiance = 117,86666666666667, SunshineDuration = 0, DiffuseHorizontalIrradiance = 109,5, AmbientTemp = 3,75, WindSpeed = 13,86, SnowDepth = 0, Weight = 0, Age = 4,21649433353174, MeasuredPower = , HasMeasuredPower = False }</t>
  </si>
  <si>
    <t>01.12.2025 13:30:00</t>
  </si>
  <si>
    <t>0,663451712186486</t>
  </si>
  <si>
    <t>0,314287130730403</t>
  </si>
  <si>
    <t>109,5</t>
  </si>
  <si>
    <t>13,86</t>
  </si>
  <si>
    <t>PvRecord { Timestamp = 01.12.2025 13:45:00, Index = 0, DirectGeometryFactor = 0,6295106995790097, DiffuseGeometryFactor = 0,9095760221444958, CosSunElevation = 0,29839886719107395, GlobalHorizontalIrradiance = 117,86666666666667, SunshineDuration = 0, DiffuseHorizontalIrradiance = 109,5, AmbientTemp = 3,75, WindSpeed = 13,86, SnowDepth = 0, Weight = 0, Age = 4,216522853419821, MeasuredPower = , HasMeasuredPower = False }</t>
  </si>
  <si>
    <t>01.12.2025 13:45:00</t>
  </si>
  <si>
    <t>0,6295106995790097</t>
  </si>
  <si>
    <t>0,29839886719107395</t>
  </si>
  <si>
    <t>PvRecord { Timestamp = 01.12.2025 14:00:00, Index = 0, DirectGeometryFactor = 0,5925072344198834, DiffuseGeometryFactor = 0,9095760221444958, CosSunElevation = 0,2800788035884672, GlobalHorizontalIrradiance = 117,86666666666667, SunshineDuration = 0, DiffuseHorizontalIrradiance = 109,5, AmbientTemp = 3,75, WindSpeed = 13,86, SnowDepth = 0, Weight = 0, Age = 4,216551373307904, MeasuredPower = , HasMeasuredPower = False }</t>
  </si>
  <si>
    <t>01.12.2025 14:00:00</t>
  </si>
  <si>
    <t>0,5925072344198834</t>
  </si>
  <si>
    <t>0,2800788035884672</t>
  </si>
  <si>
    <t>PvRecord { Timestamp = 01.12.2025 14:15:00, Index = 0, DirectGeometryFactor = 0,5526031669634413, DiffuseGeometryFactor = 0,9095760221444958, CosSunElevation = 0,2594095036916767, GlobalHorizontalIrradiance = 117,86666666666667, SunshineDuration = 0, DiffuseHorizontalIrradiance = 109,5, AmbientTemp = 3,75, WindSpeed = 13,86, SnowDepth = 0, Weight = 0, Age = 4,216579893195985, MeasuredPower = , HasMeasuredPower = False }</t>
  </si>
  <si>
    <t>01.12.2025 14:15:00</t>
  </si>
  <si>
    <t>0,5526031669634413</t>
  </si>
  <si>
    <t>0,2594095036916767</t>
  </si>
  <si>
    <t>PvRecord { Timestamp = 01.12.2025 14:30:00, Index = 0, DirectGeometryFactor = 0,509974449314742, DiffuseGeometryFactor = 0,9095760221444958, CosSunElevation = 0,23648564004897155, GlobalHorizontalIrradiance = 113,13333333333334, SunshineDuration = 0, DiffuseHorizontalIrradiance = 83,5, AmbientTemp = 3,8, WindSpeed = 12,06, SnowDepth = 0, Weight = 0, Age = 4,216608413084066, MeasuredPower = , HasMeasuredPower = False }</t>
  </si>
  <si>
    <t>01.12.2025 14:30:00</t>
  </si>
  <si>
    <t>0,509974449314742</t>
  </si>
  <si>
    <t>0,23648564004897155</t>
  </si>
  <si>
    <t>3,8</t>
  </si>
  <si>
    <t>PvRecord { Timestamp = 01.12.2025 14:45:00, Index = 0, DirectGeometryFactor = 0,4648114913946514, DiffuseGeometryFactor = 0,9095760221444958, CosSunElevation = 0,21141493707282352, GlobalHorizontalIrradiance = 113,13333333333334, SunshineDuration = 0, DiffuseHorizontalIrradiance = 83,5, AmbientTemp = 3,8, WindSpeed = 12,06, SnowDepth = 0, Weight = 0, Age = 4,216636932972148, MeasuredPower = , HasMeasuredPower = False }</t>
  </si>
  <si>
    <t>01.12.2025 14:45:00</t>
  </si>
  <si>
    <t>0,4648114913946514</t>
  </si>
  <si>
    <t>0,21141493707282352</t>
  </si>
  <si>
    <t>PvRecord { Timestamp = 01.12.2025 15:00:00, Index = 0, DirectGeometryFactor = 0,4173204723482146, DiffuseGeometryFactor = 0,9095760221444958, CosSunElevation = 0,1843202943368799, GlobalHorizontalIrradiance = 113,13333333333334, SunshineDuration = 0, DiffuseHorizontalIrradiance = 83,5, AmbientTemp = 3,8, WindSpeed = 12,06, SnowDepth = 0, Weight = 0, Age = 4,216665452860229, MeasuredPower = , HasMeasuredPower = False }</t>
  </si>
  <si>
    <t>01.12.2025 15:00:00</t>
  </si>
  <si>
    <t>0,4173204723482146</t>
  </si>
  <si>
    <t>0,1843202943368799</t>
  </si>
  <si>
    <t>PvRecord { Timestamp = 01.12.2025 15:15:00, Index = 0, DirectGeometryFactor = 0,36772685377079656, DiffuseGeometryFactor = 0,9095760221444958, CosSunElevation = 0,15534460219963847, GlobalHorizontalIrradiance = 113,13333333333334, SunshineDuration = 0, DiffuseHorizontalIrradiance = 83,5, AmbientTemp = 3,8, WindSpeed = 12,06, SnowDepth = 0, Weight = 0, Age = 4,2166939727483115, MeasuredPower = , HasMeasuredPower = False }</t>
  </si>
  <si>
    <t>01.12.2025 15:15:00</t>
  </si>
  <si>
    <t>0,36772685377079656</t>
  </si>
  <si>
    <t>0,15534460219963847</t>
  </si>
  <si>
    <t>PvRecord { Timestamp = 01.12.2025 15:30:00, Index = 0, DirectGeometryFactor = 0,3162844046559975, DiffuseGeometryFactor = 0,9095760221444958, CosSunElevation = 0,12466226810310437, GlobalHorizontalIrradiance = 100,04999999999998, SunshineDuration = 0, DiffuseHorizontalIrradiance = 44,5, AmbientTemp = 3,5999999999999996, WindSpeed = 10,8, SnowDepth = 0, Weight = 0, Age = 4,216722492636393, MeasuredPower = , HasMeasuredPower = False }</t>
  </si>
  <si>
    <t>01.12.2025 15:30:00</t>
  </si>
  <si>
    <t>0,3162844046559975</t>
  </si>
  <si>
    <t>0,12466226810310437</t>
  </si>
  <si>
    <t>44,5</t>
  </si>
  <si>
    <t>PvRecord { Timestamp = 01.12.2025 15:45:00, Index = 0, DirectGeometryFactor = 0, DiffuseGeometryFactor = 0,9095760221444958, CosSunElevation = 0,0925095633992344, GlobalHorizontalIrradiance = 100,04999999999998, SunshineDuration = 0, DiffuseHorizontalIrradiance = 44,5, AmbientTemp = 3,5999999999999996, WindSpeed = 10,8, SnowDepth = 0, Weight = 0, Age = 4,216751012524474, MeasuredPower = , HasMeasuredPower = False }</t>
  </si>
  <si>
    <t>01.12.2025 15:45:00</t>
  </si>
  <si>
    <t>0,0925095633992344</t>
  </si>
  <si>
    <t>PvRecord { Timestamp = 01.12.2025 16:00:00, Index = 0, DirectGeometryFactor = 0, DiffuseGeometryFactor = 0,9095760221444958, CosSunElevation = 0,059275999177756916, GlobalHorizontalIrradiance = 100,04999999999998, SunshineDuration = 0, DiffuseHorizontalIrradiance = 44,5, AmbientTemp = 3,5999999999999996, WindSpeed = 10,8, SnowDepth = 0, Weight = 0, Age = 4,216779532412556, MeasuredPower = , HasMeasuredPower = False }</t>
  </si>
  <si>
    <t>01.12.2025 16:00:00</t>
  </si>
  <si>
    <t>0,059275999177756916</t>
  </si>
  <si>
    <t>PvRecord { Timestamp = 01.12.2025 16:15:00, Index = 0, DirectGeometryFactor = 0, DiffuseGeometryFactor = 0,9095760221444958, CosSunElevation = 0,025818201574690922, GlobalHorizontalIrradiance = 100,04999999999998, SunshineDuration = 0, DiffuseHorizontalIrradiance = 44,5, AmbientTemp = 3,5999999999999996, WindSpeed = 10,8, SnowDepth = 0, Weight = 0, Age = 4,216808052300637, MeasuredPower = , HasMeasuredPower = False }</t>
  </si>
  <si>
    <t>01.12.2025 16:15:00</t>
  </si>
  <si>
    <t>0,025818201574690922</t>
  </si>
  <si>
    <t>PvRecord { Timestamp = 01.12.2025 16:30:00, Index = 0, DirectGeometryFactor = 0, DiffuseGeometryFactor = 0,9095760221444958, CosSunElevation = 0, GlobalHorizontalIrradiance = 32,4, SunshineDuration = 0, DiffuseHorizontalIrradiance = 8,5, AmbientTemp = 2,95, WindSpeed = 11,34, SnowDepth = 0, Weight = 0, Age = 4,216836572188719, MeasuredPower = , HasMeasuredPower = False }</t>
  </si>
  <si>
    <t>01.12.2025 16:30:00</t>
  </si>
  <si>
    <t>32,4</t>
  </si>
  <si>
    <t>8,5</t>
  </si>
  <si>
    <t>PvRecord { Timestamp = 01.12.2025 16:45:00, Index = 0, DirectGeometryFactor = 0, DiffuseGeometryFactor = 0,9095760221444958, CosSunElevation = 0, GlobalHorizontalIrradiance = 32,4, SunshineDuration = 0, DiffuseHorizontalIrradiance = 8,5, AmbientTemp = 2,95, WindSpeed = 11,34, SnowDepth = 0, Weight = 0, Age = 4,216865092076801, MeasuredPower = , HasMeasuredPower = False }</t>
  </si>
  <si>
    <t>01.12.2025 16:45:00</t>
  </si>
  <si>
    <t>PvRecord { Timestamp = 01.12.2025 17:00:00, Index = 0, DirectGeometryFactor = 0, DiffuseGeometryFactor = 0,9095760221444958, CosSunElevation = 0, GlobalHorizontalIrradiance = 32,4, SunshineDuration = 0, DiffuseHorizontalIrradiance = 8,5, AmbientTemp = 2,95, WindSpeed = 11,34, SnowDepth = 0, Weight = 0, Age = 4,216893611964882, MeasuredPower = , HasMeasuredPower = False }</t>
  </si>
  <si>
    <t>01.12.2025 17:00:00</t>
  </si>
  <si>
    <t>PvRecord { Timestamp = 01.12.2025 17:15:00, Index = 0, DirectGeometryFactor = 0, DiffuseGeometryFactor = 0,9095760221444958, CosSunElevation = 0, GlobalHorizontalIrradiance = 32,4, SunshineDuration = 0, DiffuseHorizontalIrradiance = 8,5, AmbientTemp = 2,95, WindSpeed = 11,34, SnowDepth = 0, Weight = 0, Age = 4,2169221318529635, MeasuredPower = , HasMeasuredPower = False }</t>
  </si>
  <si>
    <t>01.12.2025 17:15:00</t>
  </si>
  <si>
    <t>PvRecord { Timestamp = 01.12.2025 17:30:00,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4,216950651741045, MeasuredPower = , HasMeasuredPower = False }</t>
  </si>
  <si>
    <t>01.12.2025 17:30:00</t>
  </si>
  <si>
    <t>PvRecord { Timestamp = 01.12.2025 17:45:00,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4,216979171629127, MeasuredPower = , HasMeasuredPower = False }</t>
  </si>
  <si>
    <t>01.12.2025 17:45:00</t>
  </si>
  <si>
    <t>PvRecord { Timestamp = 01.12.2025 18:00:00,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4,217007691517209, MeasuredPower = , HasMeasuredPower = False }</t>
  </si>
  <si>
    <t>01.12.2025 18:00:00</t>
  </si>
  <si>
    <t>PvRecord { Timestamp = 01.12.2025 18:15:00,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4,21703621140529, MeasuredPower = , HasMeasuredPower = False }</t>
  </si>
  <si>
    <t>01.12.2025 18:15:00</t>
  </si>
  <si>
    <t>PvRecord { Timestamp = 01.12.2025 18:30:00, Index = 0, DirectGeometryFactor = 0, DiffuseGeometryFactor = 0,9095760221444958, CosSunElevation = 0, GlobalHorizontalIrradiance = 0, SunshineDuration = 0, DiffuseHorizontalIrradiance = 0, AmbientTemp = 1,15, WindSpeed = 12,06, SnowDepth = 0, Weight = 0, Age = 4,217064731293371, MeasuredPower = , HasMeasuredPower = False }</t>
  </si>
  <si>
    <t>01.12.2025 18:30:00</t>
  </si>
  <si>
    <t>PvRecord { Timestamp = 01.12.2025 18:45:00, Index = 0, DirectGeometryFactor = 0, DiffuseGeometryFactor = 0,9095760221444958, CosSunElevation = 0, GlobalHorizontalIrradiance = 0, SunshineDuration = 0, DiffuseHorizontalIrradiance = 0, AmbientTemp = 1,15, WindSpeed = 12,06, SnowDepth = 0, Weight = 0, Age = 4,217093251181453, MeasuredPower = , HasMeasuredPower = False }</t>
  </si>
  <si>
    <t>01.12.2025 18:45:00</t>
  </si>
  <si>
    <t>PvRecord { Timestamp = 01.12.2025 19:00:00, Index = 0, DirectGeometryFactor = 0, DiffuseGeometryFactor = 0,9095760221444958, CosSunElevation = 0, GlobalHorizontalIrradiance = 0, SunshineDuration = 0, DiffuseHorizontalIrradiance = 0, AmbientTemp = 1,15, WindSpeed = 12,06, SnowDepth = 0, Weight = 0, Age = 4,217121771069535, MeasuredPower = , HasMeasuredPower = False }</t>
  </si>
  <si>
    <t>01.12.2025 19:00:00</t>
  </si>
  <si>
    <t>PvRecord { Timestamp = 01.12.2025 19:15:00, Index = 0, DirectGeometryFactor = 0, DiffuseGeometryFactor = 0,9095760221444958, CosSunElevation = 0, GlobalHorizontalIrradiance = 0, SunshineDuration = 0, DiffuseHorizontalIrradiance = 0, AmbientTemp = 1,15, WindSpeed = 12,06, SnowDepth = 0, Weight = 0, Age = 4,217150290957616, MeasuredPower = , HasMeasuredPower = False }</t>
  </si>
  <si>
    <t>01.12.2025 19:15:00</t>
  </si>
  <si>
    <t>PvRecord { Timestamp = 01.12.2025 19:30:00,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4,217178810845698, MeasuredPower = , HasMeasuredPower = False }</t>
  </si>
  <si>
    <t>01.12.2025 19:30:00</t>
  </si>
  <si>
    <t>PvRecord { Timestamp = 01.12.2025 19:45:00,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4,217207330733779, MeasuredPower = , HasMeasuredPower = False }</t>
  </si>
  <si>
    <t>01.12.2025 19:45:00</t>
  </si>
  <si>
    <t>PvRecord { Timestamp = 01.12.2025 20:00:00,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4,217235850621861, MeasuredPower = , HasMeasuredPower = False }</t>
  </si>
  <si>
    <t>01.12.2025 20:00:00</t>
  </si>
  <si>
    <t>PvRecord { Timestamp = 01.12.2025 20:15:00,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4,217264370509943, MeasuredPower = , HasMeasuredPower = False }</t>
  </si>
  <si>
    <t>01.12.2025 20:15:00</t>
  </si>
  <si>
    <t>PvRecord { Timestamp = 01.12.2025 20:30:00,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4,217292890398024, MeasuredPower = , HasMeasuredPower = False }</t>
  </si>
  <si>
    <t>01.12.2025 20:30:00</t>
  </si>
  <si>
    <t>PvRecord { Timestamp = 01.12.2025 20:45:00,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4,217321410286106, MeasuredPower = , HasMeasuredPower = False }</t>
  </si>
  <si>
    <t>01.12.2025 20:45:00</t>
  </si>
  <si>
    <t>PvRecord { Timestamp = 01.12.2025 21:00:00,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4,217349930174187, MeasuredPower = , HasMeasuredPower = False }</t>
  </si>
  <si>
    <t>01.12.2025 21:00:00</t>
  </si>
  <si>
    <t>PvRecord { Timestamp = 01.12.2025 21:15:00,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4,217378450062269, MeasuredPower = , HasMeasuredPower = False }</t>
  </si>
  <si>
    <t>01.12.2025 21:15:00</t>
  </si>
  <si>
    <t>PvRecord { Timestamp = 01.12.2025 21:30:00, Index = 0, DirectGeometryFactor = 0, DiffuseGeometryFactor = 0,9095760221444958, CosSunElevation = 0, GlobalHorizontalIrradiance = 0, SunshineDuration = 0, DiffuseHorizontalIrradiance = 0, AmbientTemp = -1,05, WindSpeed = 3,24, SnowDepth = 0, Weight = 0, Age = 4,217406969950351, MeasuredPower = , HasMeasuredPower = False }</t>
  </si>
  <si>
    <t>01.12.2025 21:30:00</t>
  </si>
  <si>
    <t>PvRecord { Timestamp = 01.12.2025 21:45:00, Index = 0, DirectGeometryFactor = 0, DiffuseGeometryFactor = 0,9095760221444958, CosSunElevation = 0, GlobalHorizontalIrradiance = 0, SunshineDuration = 0, DiffuseHorizontalIrradiance = 0, AmbientTemp = -1,05, WindSpeed = 3,24, SnowDepth = 0, Weight = 0, Age = 4,217435489838432, MeasuredPower = , HasMeasuredPower = False }</t>
  </si>
  <si>
    <t>01.12.2025 21:45:00</t>
  </si>
  <si>
    <t>PvRecord { Timestamp = 01.12.2025 22:00:00, Index = 0, DirectGeometryFactor = 0, DiffuseGeometryFactor = 0,9095760221444958, CosSunElevation = 0, GlobalHorizontalIrradiance = 0, SunshineDuration = 0, DiffuseHorizontalIrradiance = 0, AmbientTemp = -1,05, WindSpeed = 3,24, SnowDepth = 0, Weight = 0, Age = 4,2174640097265135, MeasuredPower = , HasMeasuredPower = False }</t>
  </si>
  <si>
    <t>01.12.2025 22:00:00</t>
  </si>
  <si>
    <t>PvRecord { Timestamp = 01.12.2025 22:15:00, Index = 0, DirectGeometryFactor = 0, DiffuseGeometryFactor = 0,9095760221444958, CosSunElevation = 0, GlobalHorizontalIrradiance = 0, SunshineDuration = 0, DiffuseHorizontalIrradiance = 0, AmbientTemp = -1,05, WindSpeed = 3,24, SnowDepth = 0, Weight = 0, Age = 4,217492529614595, MeasuredPower = , HasMeasuredPower = False }</t>
  </si>
  <si>
    <t>01.12.2025 22:15:00</t>
  </si>
  <si>
    <t>PvRecord { Timestamp = 01.12.2025 22:30:00, Index = 0, DirectGeometryFactor = 0, DiffuseGeometryFactor = 0,9095760221444958, CosSunElevation = 0, GlobalHorizontalIrradiance = 0, SunshineDuration = 0, DiffuseHorizontalIrradiance = 0, AmbientTemp = -1,25, WindSpeed = 5,22, SnowDepth = 0, Weight = 0, Age = 4,217521049502677, MeasuredPower = , HasMeasuredPower = False }</t>
  </si>
  <si>
    <t>01.12.2025 22:30:00</t>
  </si>
  <si>
    <t>5,22</t>
  </si>
  <si>
    <t>PvRecord { Timestamp = 01.12.2025 22:45:00, Index = 0, DirectGeometryFactor = 0, DiffuseGeometryFactor = 0,9095760221444958, CosSunElevation = 0, GlobalHorizontalIrradiance = 0, SunshineDuration = 0, DiffuseHorizontalIrradiance = 0, AmbientTemp = -1,25, WindSpeed = 5,22, SnowDepth = 0, Weight = 0, Age = 4,2175495693907585, MeasuredPower = , HasMeasuredPower = False }</t>
  </si>
  <si>
    <t>01.12.2025 22:45:00</t>
  </si>
  <si>
    <t>PvRecord { Timestamp = 01.12.2025 23:00:00, Index = 0, DirectGeometryFactor = 0, DiffuseGeometryFactor = 0,9095760221444958, CosSunElevation = 0, GlobalHorizontalIrradiance = 0, SunshineDuration = 0, DiffuseHorizontalIrradiance = 0, AmbientTemp = -1,25, WindSpeed = 5,22, SnowDepth = 0, Weight = 0, Age = 4,21757808927884, MeasuredPower = , HasMeasuredPower = False }</t>
  </si>
  <si>
    <t>01.12.2025 23:00:00</t>
  </si>
  <si>
    <t>PvRecord { Timestamp = 01.12.2025 23:15:00, Index = 0, DirectGeometryFactor = 0, DiffuseGeometryFactor = 0,9095760221444958, CosSunElevation = 0, GlobalHorizontalIrradiance = 0, SunshineDuration = 0, DiffuseHorizontalIrradiance = 0, AmbientTemp = -1,25, WindSpeed = 5,22, SnowDepth = 0, Weight = 0, Age = 4,217606609166921, MeasuredPower = , HasMeasuredPower = False }</t>
  </si>
  <si>
    <t>01.12.2025 23:15:00</t>
  </si>
  <si>
    <t>PvRecord { Timestamp = 01.12.2025 23:30:00, Index = 0, DirectGeometryFactor = 0, DiffuseGeometryFactor = 0,9095760221444958, CosSunElevation = 0, GlobalHorizontalIrradiance = 0, SunshineDuration = 0, DiffuseHorizontalIrradiance = 0, AmbientTemp = -1,2, WindSpeed = 7,2, SnowDepth = 0, Weight = 0, Age = 4,217635129055003, MeasuredPower = , HasMeasuredPower = False }</t>
  </si>
  <si>
    <t>01.12.2025 23:30:00</t>
  </si>
  <si>
    <t>-1,2</t>
  </si>
  <si>
    <t>PvRecord { Timestamp = 01.12.2025 23:45:00, Index = 0, DirectGeometryFactor = 0, DiffuseGeometryFactor = 0,9095760221444958, CosSunElevation = 0, GlobalHorizontalIrradiance = 0, SunshineDuration = 0, DiffuseHorizontalIrradiance = 0, AmbientTemp = -1,2, WindSpeed = 7,2, SnowDepth = 0, Weight = 0, Age = 4,217663648943085, MeasuredPower = , HasMeasuredPower = False }</t>
  </si>
  <si>
    <t>01.12.2025 23:45:00</t>
  </si>
  <si>
    <t>PvRecord { Timestamp = 02.12.2025 00:00:00, Index = 0, DirectGeometryFactor = 0, DiffuseGeometryFactor = 0,9095760221444958, CosSunElevation = 0, GlobalHorizontalIrradiance = 0, SunshineDuration = 0, DiffuseHorizontalIrradiance = 0, AmbientTemp = -1,2, WindSpeed = 7,2, SnowDepth = 0, Weight = 0, Age = 4,217692168831166, MeasuredPower = , HasMeasuredPower = False }</t>
  </si>
  <si>
    <t>02.12.2025 00:00:00</t>
  </si>
  <si>
    <t>PvRecord { Timestamp = 02.12.2025 00:15:00, Index = 0, DirectGeometryFactor = 0, DiffuseGeometryFactor = 0,9095760221444958, CosSunElevation = 0, GlobalHorizontalIrradiance = 0, SunshineDuration = 0, DiffuseHorizontalIrradiance = 0, AmbientTemp = -1,2, WindSpeed = 7,2, SnowDepth = 0, Weight = 0, Age = 4,217720688719248, MeasuredPower = , HasMeasuredPower = False }</t>
  </si>
  <si>
    <t>02.12.2025 00:15:00</t>
  </si>
  <si>
    <t>PvRecord { Timestamp = 02.12.2025 00:30:00,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4,217749208607329, MeasuredPower = , HasMeasuredPower = False }</t>
  </si>
  <si>
    <t>02.12.2025 00:30:00</t>
  </si>
  <si>
    <t>PvRecord { Timestamp = 02.12.2025 00:45:00,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4,2177777284954105, MeasuredPower = , HasMeasuredPower = False }</t>
  </si>
  <si>
    <t>02.12.2025 00:45:00</t>
  </si>
  <si>
    <t>PvRecord { Timestamp = 02.12.2025 01:00:00,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4,217806248383493, MeasuredPower = , HasMeasuredPower = False }</t>
  </si>
  <si>
    <t>02.12.2025 01:00:00</t>
  </si>
  <si>
    <t>PvRecord { Timestamp = 02.12.2025 01:15:00,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4,217834768271574, MeasuredPower = , HasMeasuredPower = False }</t>
  </si>
  <si>
    <t>02.12.2025 01:15:00</t>
  </si>
  <si>
    <t>PvRecord { Timestamp = 02.12.2025 01:30:00,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4,217863288159656, MeasuredPower = , HasMeasuredPower = False }</t>
  </si>
  <si>
    <t>02.12.2025 01:30:00</t>
  </si>
  <si>
    <t>PvRecord { Timestamp = 02.12.2025 01:45:00,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4,217891808047737, MeasuredPower = , HasMeasuredPower = False }</t>
  </si>
  <si>
    <t>02.12.2025 01:45:00</t>
  </si>
  <si>
    <t>PvRecord { Timestamp = 02.12.2025 02:00:00,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4,217920327935818, MeasuredPower = , HasMeasuredPower = False }</t>
  </si>
  <si>
    <t>02.12.2025 02:00:00</t>
  </si>
  <si>
    <t>PvRecord { Timestamp = 02.12.2025 02:15:00,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4,217948847823901, MeasuredPower = , HasMeasuredPower = False }</t>
  </si>
  <si>
    <t>02.12.2025 02:15:00</t>
  </si>
  <si>
    <t>PvRecord { Timestamp = 02.12.2025 02:30:00,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4,217977367711982, MeasuredPower = , HasMeasuredPower = False }</t>
  </si>
  <si>
    <t>02.12.2025 02:30:00</t>
  </si>
  <si>
    <t>PvRecord { Timestamp = 02.12.2025 02:45:00,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4,2180058876000635, MeasuredPower = , HasMeasuredPower = False }</t>
  </si>
  <si>
    <t>02.12.2025 02:45:00</t>
  </si>
  <si>
    <t>PvRecord { Timestamp = 02.12.2025 03:00:00,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4,218034407488145, MeasuredPower = , HasMeasuredPower = False }</t>
  </si>
  <si>
    <t>02.12.2025 03:00:00</t>
  </si>
  <si>
    <t>PvRecord { Timestamp = 02.12.2025 03:15:00,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4,218062927376226, MeasuredPower = , HasMeasuredPower = False }</t>
  </si>
  <si>
    <t>02.12.2025 03:15:00</t>
  </si>
  <si>
    <t>PvRecord { Timestamp = 02.12.2025 03:30:00,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4,2180914472643085, MeasuredPower = , HasMeasuredPower = False }</t>
  </si>
  <si>
    <t>02.12.2025 03:30:00</t>
  </si>
  <si>
    <t>PvRecord { Timestamp = 02.12.2025 03:45:00,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4,21811996715239, MeasuredPower = , HasMeasuredPower = False }</t>
  </si>
  <si>
    <t>02.12.2025 03:45:00</t>
  </si>
  <si>
    <t>PvRecord { Timestamp = 02.12.2025 04:00:00,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4,218148487040471, MeasuredPower = , HasMeasuredPower = False }</t>
  </si>
  <si>
    <t>02.12.2025 04:00:00</t>
  </si>
  <si>
    <t>PvRecord { Timestamp = 02.12.2025 04:15:00,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4,218177006928553, MeasuredPower = , HasMeasuredPower = False }</t>
  </si>
  <si>
    <t>02.12.2025 04:15:00</t>
  </si>
  <si>
    <t>PvRecord { Timestamp = 02.12.2025 04:30:00,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4,218205526816634, MeasuredPower = , HasMeasuredPower = False }</t>
  </si>
  <si>
    <t>02.12.2025 04:30:00</t>
  </si>
  <si>
    <t>-1,35</t>
  </si>
  <si>
    <t>PvRecord { Timestamp = 02.12.2025 04:45:00,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4,218234046704716, MeasuredPower = , HasMeasuredPower = False }</t>
  </si>
  <si>
    <t>02.12.2025 04:45:00</t>
  </si>
  <si>
    <t>PvRecord { Timestamp = 02.12.2025 05:00:00,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4,218262566592798, MeasuredPower = , HasMeasuredPower = False }</t>
  </si>
  <si>
    <t>02.12.2025 05:00:00</t>
  </si>
  <si>
    <t>PvRecord { Timestamp = 02.12.2025 05:15:00,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4,218291086480879, MeasuredPower = , HasMeasuredPower = False }</t>
  </si>
  <si>
    <t>02.12.2025 05:15:00</t>
  </si>
  <si>
    <t>PvRecord { Timestamp = 02.12.2025 05:30:00, Index = 0, DirectGeometryFactor = 0, DiffuseGeometryFactor = 0,9095760221444958, CosSunElevation = 0, GlobalHorizontalIrradiance = 0, SunshineDuration = 0, DiffuseHorizontalIrradiance = 0, AmbientTemp = -1,35, WindSpeed = 8,46, SnowDepth = 0, Weight = 0, Age = 4,2183196063689605, MeasuredPower = , HasMeasuredPower = False }</t>
  </si>
  <si>
    <t>02.12.2025 05:30:00</t>
  </si>
  <si>
    <t>PvRecord { Timestamp = 02.12.2025 05:45:00, Index = 0, DirectGeometryFactor = 0, DiffuseGeometryFactor = 0,9095760221444958, CosSunElevation = 0, GlobalHorizontalIrradiance = 0, SunshineDuration = 0, DiffuseHorizontalIrradiance = 0, AmbientTemp = -1,35, WindSpeed = 8,46, SnowDepth = 0, Weight = 0, Age = 4,218348126257042, MeasuredPower = , HasMeasuredPower = False }</t>
  </si>
  <si>
    <t>02.12.2025 05:45:00</t>
  </si>
  <si>
    <t>PvRecord { Timestamp = 02.12.2025 06:00:00, Index = 0, DirectGeometryFactor = 0, DiffuseGeometryFactor = 0,9095760221444958, CosSunElevation = 0, GlobalHorizontalIrradiance = 0, SunshineDuration = 0, DiffuseHorizontalIrradiance = 0, AmbientTemp = -1,35, WindSpeed = 8,46, SnowDepth = 0, Weight = 0, Age = 4,218376646145124, MeasuredPower = , HasMeasuredPower = False }</t>
  </si>
  <si>
    <t>02.12.2025 06:00:00</t>
  </si>
  <si>
    <t>PvRecord { Timestamp = 02.12.2025 06:15:00, Index = 0, DirectGeometryFactor = 0, DiffuseGeometryFactor = 0,9095760221444958, CosSunElevation = 0, GlobalHorizontalIrradiance = 0, SunshineDuration = 0, DiffuseHorizontalIrradiance = 0, AmbientTemp = -1,35, WindSpeed = 8,46, SnowDepth = 0, Weight = 0, Age = 4,218405166033206, MeasuredPower = , HasMeasuredPower = False }</t>
  </si>
  <si>
    <t>02.12.2025 06:15:00</t>
  </si>
  <si>
    <t>PvRecord { Timestamp = 02.12.2025 06:30:00, Index = 0, DirectGeometryFactor = 0, DiffuseGeometryFactor = 0,9095760221444958, CosSunElevation = 0, GlobalHorizontalIrradiance = 0, SunshineDuration = 0, DiffuseHorizontalIrradiance = 0, AmbientTemp = -1,25, WindSpeed = 9,9, SnowDepth = 0, Weight = 0, Age = 4,218433685921287, MeasuredPower = , HasMeasuredPower = False }</t>
  </si>
  <si>
    <t>02.12.2025 06:30:00</t>
  </si>
  <si>
    <t>PvRecord { Timestamp = 02.12.2025 06:45:00, Index = 0, DirectGeometryFactor = 0, DiffuseGeometryFactor = 0,9095760221444958, CosSunElevation = 0, GlobalHorizontalIrradiance = 0, SunshineDuration = 0, DiffuseHorizontalIrradiance = 0, AmbientTemp = -1,25, WindSpeed = 9,9, SnowDepth = 0, Weight = 0, Age = 4,218462205809368, MeasuredPower = , HasMeasuredPower = False }</t>
  </si>
  <si>
    <t>02.12.2025 06:45:00</t>
  </si>
  <si>
    <t>PvRecord { Timestamp = 02.12.2025 07:00:00, Index = 0, DirectGeometryFactor = 0, DiffuseGeometryFactor = 0,9095760221444958, CosSunElevation = 0, GlobalHorizontalIrradiance = 0, SunshineDuration = 0, DiffuseHorizontalIrradiance = 0, AmbientTemp = -1,25, WindSpeed = 9,9, SnowDepth = 0, Weight = 0, Age = 4,21849072569745, MeasuredPower = , HasMeasuredPower = False }</t>
  </si>
  <si>
    <t>02.12.2025 07:00:00</t>
  </si>
  <si>
    <t>PvRecord { Timestamp = 02.12.2025 07:15:00, Index = 0, DirectGeometryFactor = 0, DiffuseGeometryFactor = 0,9095760221444958, CosSunElevation = 0, GlobalHorizontalIrradiance = 0, SunshineDuration = 0, DiffuseHorizontalIrradiance = 0, AmbientTemp = -1,25, WindSpeed = 9,9, SnowDepth = 0, Weight = 0, Age = 4,218519245585532, MeasuredPower = , HasMeasuredPower = False }</t>
  </si>
  <si>
    <t>02.12.2025 07:15:00</t>
  </si>
  <si>
    <t>PvRecord { Timestamp = 02.12.2025 07:30:00, Index = 0, DirectGeometryFactor = 0, DiffuseGeometryFactor = 0,9095760221444958, CosSunElevation = 0, GlobalHorizontalIrradiance = 0, SunshineDuration = 0, DiffuseHorizontalIrradiance = 0, AmbientTemp = -0,9, WindSpeed = 9,9, SnowDepth = 0, Weight = 0, Age = 4,218547765473613, MeasuredPower = , HasMeasuredPower = False }</t>
  </si>
  <si>
    <t>02.12.2025 07:30:00</t>
  </si>
  <si>
    <t>PvRecord { Timestamp = 02.12.2025 07:45:00, Index = 0, DirectGeometryFactor = 0, DiffuseGeometryFactor = 0,9095760221444958, CosSunElevation = 0, GlobalHorizontalIrradiance = 0, SunshineDuration = 0, DiffuseHorizontalIrradiance = 0, AmbientTemp = -0,9, WindSpeed = 9,9, SnowDepth = 0, Weight = 0, Age = 4,218576285361695, MeasuredPower = , HasMeasuredPower = False }</t>
  </si>
  <si>
    <t>02.12.2025 07:45:00</t>
  </si>
  <si>
    <t>PvRecord { Timestamp = 02.12.2025 08:00:00, Index = 0, DirectGeometryFactor = 0, DiffuseGeometryFactor = 0,9095760221444958, CosSunElevation = 0,028408010979350428, GlobalHorizontalIrradiance = 0, SunshineDuration = 0, DiffuseHorizontalIrradiance = 0, AmbientTemp = -0,9, WindSpeed = 9,9, SnowDepth = 0, Weight = 0, Age = 4,218604805249776, MeasuredPower = , HasMeasuredPower = False }</t>
  </si>
  <si>
    <t>02.12.2025 08:00:00</t>
  </si>
  <si>
    <t>0,028408010979350428</t>
  </si>
  <si>
    <t>PvRecord { Timestamp = 02.12.2025 08:15:00, Index = 0, DirectGeometryFactor = 0,5437931682786072, DiffuseGeometryFactor = 0,9095760221444958, CosSunElevation = 0,06178784080800952, GlobalHorizontalIrradiance = 0, SunshineDuration = 0, DiffuseHorizontalIrradiance = 0, AmbientTemp = -0,9, WindSpeed = 9,9, SnowDepth = 0, Weight = 0, Age = 4,218633325137858, MeasuredPower = , HasMeasuredPower = False }</t>
  </si>
  <si>
    <t>02.12.2025 08:15:00</t>
  </si>
  <si>
    <t>0,5437931682786072</t>
  </si>
  <si>
    <t>0,06178784080800952</t>
  </si>
  <si>
    <t>PvRecord { Timestamp = 02.12.2025 08:30:00, Index = 0, DirectGeometryFactor = 0,5835263700798654, DiffuseGeometryFactor = 0,9095760221444958, CosSunElevation = 0,09483303700377427, GlobalHorizontalIrradiance = 1,5333333333333332, SunshineDuration = 0, DiffuseHorizontalIrradiance = 13, AmbientTemp = -0,35, WindSpeed = 9,9, SnowDepth = 0, Weight = 0, Age = 4,21866184502594, MeasuredPower = , HasMeasuredPower = False }</t>
  </si>
  <si>
    <t>02.12.2025 08:30:00</t>
  </si>
  <si>
    <t>0,5835263700798654</t>
  </si>
  <si>
    <t>0,09483303700377427</t>
  </si>
  <si>
    <t>PvRecord { Timestamp = 02.12.2025 08:45:00, Index = 0, DirectGeometryFactor = 0,620757538302002, DiffuseGeometryFactor = 0,9095760221444958, CosSunElevation = 0,12675019594859804, GlobalHorizontalIrradiance = 1,5333333333333332, SunshineDuration = 0, DiffuseHorizontalIrradiance = 13, AmbientTemp = -0,35, WindSpeed = 9,9, SnowDepth = 0, Weight = 0, Age = 4,218690364914021, MeasuredPower = , HasMeasuredPower = False }</t>
  </si>
  <si>
    <t>02.12.2025 08:45:00</t>
  </si>
  <si>
    <t>0,620757538302002</t>
  </si>
  <si>
    <t>0,12675019594859804</t>
  </si>
  <si>
    <t>PvRecord { Timestamp = 02.12.2025 09:00:00, Index = 0, DirectGeometryFactor = 0,6551322549593732, DiffuseGeometryFactor = 0,9095760221444958, CosSunElevation = 0,15716950401476038, GlobalHorizontalIrradiance = 1,5333333333333332, SunshineDuration = 0, DiffuseHorizontalIrradiance = 13, AmbientTemp = -0,35, WindSpeed = 9,9, SnowDepth = 0, Weight = 0, Age = 4,218718884802103, MeasuredPower = , HasMeasuredPower = False }</t>
  </si>
  <si>
    <t>02.12.2025 09:00:00</t>
  </si>
  <si>
    <t>0,6551322549593732</t>
  </si>
  <si>
    <t>0,15716950401476038</t>
  </si>
  <si>
    <t>PvRecord { Timestamp = 02.12.2025 09:15:00, Index = 0, DirectGeometryFactor = 0,6864212004705419, DiffuseGeometryFactor = 0,9095760221444958, CosSunElevation = 0,18586220418415775, GlobalHorizontalIrradiance = 1,5333333333333332, SunshineDuration = 0, DiffuseHorizontalIrradiance = 13, AmbientTemp = -0,35, WindSpeed = 9,9, SnowDepth = 0, Weight = 0, Age = 4,218747404690184, MeasuredPower = , HasMeasuredPower = False }</t>
  </si>
  <si>
    <t>02.12.2025 09:15:00</t>
  </si>
  <si>
    <t>0,6864212004705419</t>
  </si>
  <si>
    <t>0,18586220418415775</t>
  </si>
  <si>
    <t>PvRecord { Timestamp = 02.12.2025 09:30:00, Index = 0, DirectGeometryFactor = 0,7144506610265942, DiffuseGeometryFactor = 0,9095760221444958, CosSunElevation = 0,2126576381554569, GlobalHorizontalIrradiance = 3,35, SunshineDuration = 0, DiffuseHorizontalIrradiance = 37,5, AmbientTemp = 0,2, WindSpeed = 10,08, SnowDepth = 0, Weight = 0, Age = 4,2187759245782654, MeasuredPower = , HasMeasuredPower = False }</t>
  </si>
  <si>
    <t>02.12.2025 09:30:00</t>
  </si>
  <si>
    <t>0,7144506610265942</t>
  </si>
  <si>
    <t>0,2126576381554569</t>
  </si>
  <si>
    <t>37,5</t>
  </si>
  <si>
    <t>PvRecord { Timestamp = 02.12.2025 09:45:00, Index = 0, DirectGeometryFactor = 0,7390792821419141, DiffuseGeometryFactor = 0,9095760221444958, CosSunElevation = 0,23741532528480586, GlobalHorizontalIrradiance = 3,35, SunshineDuration = 0, DiffuseHorizontalIrradiance = 37,5, AmbientTemp = 0,2, WindSpeed = 10,08, SnowDepth = 0, Weight = 0, Age = 4,218804444466348, MeasuredPower = , HasMeasuredPower = False }</t>
  </si>
  <si>
    <t>02.12.2025 09:45:00</t>
  </si>
  <si>
    <t>0,7390792821419141</t>
  </si>
  <si>
    <t>0,23741532528480586</t>
  </si>
  <si>
    <t>PvRecord { Timestamp = 02.12.2025 10:00:00, Index = 0, DirectGeometryFactor = 0,7601892175500895, DiffuseGeometryFactor = 0,9095760221444958, CosSunElevation = 0,26001424896320424, GlobalHorizontalIrradiance = 3,35, SunshineDuration = 0, DiffuseHorizontalIrradiance = 37,5, AmbientTemp = 0,2, WindSpeed = 10,08, SnowDepth = 0, Weight = 0, Age = 4,218832964354429, MeasuredPower = , HasMeasuredPower = False }</t>
  </si>
  <si>
    <t>02.12.2025 10:00:00</t>
  </si>
  <si>
    <t>0,7601892175500895</t>
  </si>
  <si>
    <t>0,26001424896320424</t>
  </si>
  <si>
    <t>PvRecord { Timestamp = 02.12.2025 10:15:00, Index = 0, DirectGeometryFactor = 0,7776824404341053, DiffuseGeometryFactor = 0,9095760221444958, CosSunElevation = 0,2803483499503964, GlobalHorizontalIrradiance = 3,35, SunshineDuration = 0, DiffuseHorizontalIrradiance = 37,5, AmbientTemp = 0,2, WindSpeed = 10,08, SnowDepth = 0, Weight = 0, Age = 4,2188614842425105, MeasuredPower = , HasMeasuredPower = False }</t>
  </si>
  <si>
    <t>02.12.2025 10:15:00</t>
  </si>
  <si>
    <t>0,7776824404341053</t>
  </si>
  <si>
    <t>0,2803483499503964</t>
  </si>
  <si>
    <t>PvRecord { Timestamp = 02.12.2025 10:30:00, Index = 0, DirectGeometryFactor = 0,7914791218262914, DiffuseGeometryFactor = 0,9095760221444958, CosSunElevation = 0,2983245316581543, GlobalHorizontalIrradiance = 6,933333333333333, SunshineDuration = 0, DiffuseHorizontalIrradiance = 58,5, AmbientTemp = 1,4500000000000002, WindSpeed = 12,780000000000001, SnowDepth = 0, Weight = 0, Age = 4,218890004130592, MeasuredPower = , HasMeasuredPower = False }</t>
  </si>
  <si>
    <t>02.12.2025 10:30:00</t>
  </si>
  <si>
    <t>0,7914791218262914</t>
  </si>
  <si>
    <t>0,2983245316581543</t>
  </si>
  <si>
    <t>58,5</t>
  </si>
  <si>
    <t>PvRecord { Timestamp = 02.12.2025 10:45:00, Index = 0, DirectGeometryFactor = 0,8015169020856805, DiffuseGeometryFactor = 0,9095760221444958, CosSunElevation = 0,31386177358167544, GlobalHorizontalIrradiance = 6,933333333333333, SunshineDuration = 0, DiffuseHorizontalIrradiance = 58,5, AmbientTemp = 1,4500000000000002, WindSpeed = 12,780000000000001, SnowDepth = 0, Weight = 0, Age = 4,218918524018673, MeasuredPower = , HasMeasuredPower = False }</t>
  </si>
  <si>
    <t>02.12.2025 10:45:00</t>
  </si>
  <si>
    <t>0,8015169020856805</t>
  </si>
  <si>
    <t>0,31386177358167544</t>
  </si>
  <si>
    <t>PvRecord { Timestamp = 02.12.2025 11:00:00, Index = 0, DirectGeometryFactor = 0,8077505623243685, DiffuseGeometryFactor = 0,9095760221444958, CosSunElevation = 0,32689076257303085, GlobalHorizontalIrradiance = 6,933333333333333, SunshineDuration = 0, DiffuseHorizontalIrradiance = 58,5, AmbientTemp = 1,4500000000000002, WindSpeed = 12,780000000000001, SnowDepth = 0, Weight = 0, Age = 4,218947043906756, MeasuredPower = , HasMeasuredPower = False }</t>
  </si>
  <si>
    <t>02.12.2025 11:00:00</t>
  </si>
  <si>
    <t>0,8077505623243685</t>
  </si>
  <si>
    <t>0,32689076257303085</t>
  </si>
  <si>
    <t>PvRecord { Timestamp = 02.12.2025 11:15:00, Index = 0, DirectGeometryFactor = 0,8101518705748838, DiffuseGeometryFactor = 0,9095760221444958, CosSunElevation = 0,33735377192008964, GlobalHorizontalIrradiance = 6,933333333333333, SunshineDuration = 0, DiffuseHorizontalIrradiance = 58,5, AmbientTemp = 1,4500000000000002, WindSpeed = 12,780000000000001, SnowDepth = 0, Weight = 0, Age = 4,218975563794837, MeasuredPower = , HasMeasuredPower = False }</t>
  </si>
  <si>
    <t>02.12.2025 11:15:00</t>
  </si>
  <si>
    <t>0,8101518705748838</t>
  </si>
  <si>
    <t>0,33735377192008964</t>
  </si>
  <si>
    <t>PvRecord { Timestamp = 02.12.2025 11:30:00, Index = 0, DirectGeometryFactor = 0,8087094929648556, DiffuseGeometryFactor = 0,9095760221444958, CosSunElevation = 0,3452046563069755, GlobalHorizontalIrradiance = 10,316666666666666, SunshineDuration = 0, DiffuseHorizontalIrradiance = 77,5, AmbientTemp = 2, WindSpeed = 13,32, SnowDepth = 0, Weight = 0, Age = 4,219004083682918, MeasuredPower = , HasMeasuredPower = False }</t>
  </si>
  <si>
    <t>02.12.2025 11:30:00</t>
  </si>
  <si>
    <t>0,8087094929648556</t>
  </si>
  <si>
    <t>0,3452046563069755</t>
  </si>
  <si>
    <t>77,5</t>
  </si>
  <si>
    <t>PvRecord { Timestamp = 02.12.2025 11:45:00, Index = 0, DirectGeometryFactor = 0,8034289132698136, DiffuseGeometryFactor = 0,9095760221444958, CosSunElevation = 0,35040889432532124, GlobalHorizontalIrradiance = 10,316666666666666, SunshineDuration = 0, DiffuseHorizontalIrradiance = 77,5, AmbientTemp = 2, WindSpeed = 13,32, SnowDepth = 0, Weight = 0, Age = 4,219032603571, MeasuredPower = , HasMeasuredPower = False }</t>
  </si>
  <si>
    <t>02.12.2025 11:45:00</t>
  </si>
  <si>
    <t>0,8034289132698136</t>
  </si>
  <si>
    <t>0,35040889432532124</t>
  </si>
  <si>
    <t>PvRecord { Timestamp = 02.12.2025 12:00:00, Index = 0, DirectGeometryFactor = 0,7943323306216399, DiffuseGeometryFactor = 0,9095760221444958, CosSunElevation = 0,352943641549389, GlobalHorizontalIrradiance = 10,316666666666666, SunshineDuration = 0, DiffuseHorizontalIrradiance = 77,5, AmbientTemp = 2, WindSpeed = 13,32, SnowDepth = 0, Weight = 0, Age = 4,219061123459081, MeasuredPower = , HasMeasuredPower = False }</t>
  </si>
  <si>
    <t>02.12.2025 12:00:00</t>
  </si>
  <si>
    <t>0,7943323306216399</t>
  </si>
  <si>
    <t>0,352943641549389</t>
  </si>
  <si>
    <t>PvRecord { Timestamp = 02.12.2025 12:15:00, Index = 0, DirectGeometryFactor = 0,7814585192463086, DiffuseGeometryFactor = 0,9095760221444958, CosSunElevation = 0,352797774068891, GlobalHorizontalIrradiance = 10,316666666666666, SunshineDuration = 0, DiffuseHorizontalIrradiance = 77,5, AmbientTemp = 2, WindSpeed = 13,32, SnowDepth = 0, Weight = 0, Age = 4,219089643347163, MeasuredPower = , HasMeasuredPower = False }</t>
  </si>
  <si>
    <t>02.12.2025 12:15:00</t>
  </si>
  <si>
    <t>0,7814585192463086</t>
  </si>
  <si>
    <t>0,352797774068891</t>
  </si>
  <si>
    <t>PvRecord { Timestamp = 02.12.2025 12:30:00, Index = 0, DirectGeometryFactor = 0,7648626419622293, DiffuseGeometryFactor = 0,9095760221444958, CosSunElevation = 0,3499719117644454, GlobalHorizontalIrradiance = 13,366666666666665, SunshineDuration = 0, DiffuseHorizontalIrradiance = 84,5, AmbientTemp = 2,35, WindSpeed = 12,96, SnowDepth = 0, Weight = 0, Age = 4,219118163235245, MeasuredPower = , HasMeasuredPower = False }</t>
  </si>
  <si>
    <t>02.12.2025 12:30:00</t>
  </si>
  <si>
    <t>0,7648626419622293</t>
  </si>
  <si>
    <t>0,3499719117644454</t>
  </si>
  <si>
    <t>84,5</t>
  </si>
  <si>
    <t>PvRecord { Timestamp = 02.12.2025 12:45:00, Index = 0, DirectGeometryFactor = 0,7446160146290923, DiffuseGeometryFactor = 0,9095760221444958, CosSunElevation = 0,3444784167467592, GlobalHorizontalIrradiance = 13,366666666666665, SunshineDuration = 0, DiffuseHorizontalIrradiance = 84,5, AmbientTemp = 2,35, WindSpeed = 12,96, SnowDepth = 0, Weight = 0, Age = 4,219146683123326, MeasuredPower = , HasMeasuredPower = False }</t>
  </si>
  <si>
    <t>02.12.2025 12:45:00</t>
  </si>
  <si>
    <t>0,7446160146290923</t>
  </si>
  <si>
    <t>0,3444784167467592</t>
  </si>
  <si>
    <t>PvRecord { Timestamp = 02.12.2025 13:00:00, Index = 0, DirectGeometryFactor = 0,7208058227218723, DiffuseGeometryFactor = 0,9095760221444958, CosSunElevation = 0,3363413672720815, GlobalHorizontalIrradiance = 13,366666666666665, SunshineDuration = 0, DiffuseHorizontalIrradiance = 84,5, AmbientTemp = 2,35, WindSpeed = 12,96, SnowDepth = 0, Weight = 0, Age = 4,219175203011408, MeasuredPower = , HasMeasuredPower = False }</t>
  </si>
  <si>
    <t>02.12.2025 13:00:00</t>
  </si>
  <si>
    <t>0,7208058227218723</t>
  </si>
  <si>
    <t>0,3363413672720815</t>
  </si>
  <si>
    <t>PvRecord { Timestamp = 02.12.2025 13:15:00, Index = 0, DirectGeometryFactor = 0,6935347951610112, DiffuseGeometryFactor = 0,9095760221444958, CosSunElevation = 0,3255965121860132, GlobalHorizontalIrradiance = 13,366666666666665, SunshineDuration = 0, DiffuseHorizontalIrradiance = 84,5, AmbientTemp = 2,35, WindSpeed = 12,96, SnowDepth = 0, Weight = 0, Age = 4,219203722899489, MeasuredPower = , HasMeasuredPower = False }</t>
  </si>
  <si>
    <t>02.12.2025 13:15:00</t>
  </si>
  <si>
    <t>0,6935347951610112</t>
  </si>
  <si>
    <t>0,3255965121860132</t>
  </si>
  <si>
    <t>PvRecord { Timestamp = 02.12.2025 13:30:00, Index = 0, DirectGeometryFactor = 0,6629208463548306, DiffuseGeometryFactor = 0,9095760221444958, CosSunElevation = 0,3122912174886016, GlobalHorizontalIrradiance = 16,866666666666667, SunshineDuration = 0, DiffuseHorizontalIrradiance = 80,5, AmbientTemp = 2,4, WindSpeed = 11,7, SnowDepth = 0, Weight = 0, Age = 4,219232242787571, MeasuredPower = , HasMeasuredPower = False }</t>
  </si>
  <si>
    <t>02.12.2025 13:30:00</t>
  </si>
  <si>
    <t>0,6629208463548306</t>
  </si>
  <si>
    <t>0,3122912174886016</t>
  </si>
  <si>
    <t>80,5</t>
  </si>
  <si>
    <t>11,7</t>
  </si>
  <si>
    <t>PvRecord { Timestamp = 02.12.2025 13:45:00, Index = 0, DirectGeometryFactor = 0,6290967054853772, DiffuseGeometryFactor = 0,9095760221444958, CosSunElevation = 0,2964844266260551, GlobalHorizontalIrradiance = 16,866666666666667, SunshineDuration = 0, DiffuseHorizontalIrradiance = 80,5, AmbientTemp = 2,4, WindSpeed = 11,7, SnowDepth = 0, Weight = 0, Age = 4,219260762675653, MeasuredPower = , HasMeasuredPower = False }</t>
  </si>
  <si>
    <t>02.12.2025 13:45:00</t>
  </si>
  <si>
    <t>0,6290967054853772</t>
  </si>
  <si>
    <t>0,2964844266260551</t>
  </si>
  <si>
    <t>PvRecord { Timestamp = 02.12.2025 14:00:00, Index = 0, DirectGeometryFactor = 0,5922095666347975, DiffuseGeometryFactor = 0,9095760221444958, CosSunElevation = 0,27824667376854856, GlobalHorizontalIrradiance = 16,866666666666667, SunshineDuration = 0, DiffuseHorizontalIrradiance = 80,5, AmbientTemp = 2,4, WindSpeed = 11,7, SnowDepth = 0, Weight = 0, Age = 4,219289282563734, MeasuredPower = , HasMeasuredPower = False }</t>
  </si>
  <si>
    <t>02.12.2025 14:00:00</t>
  </si>
  <si>
    <t>0,5922095666347975</t>
  </si>
  <si>
    <t>0,27824667376854856</t>
  </si>
  <si>
    <t>PvRecord { Timestamp = 02.12.2025 14:15:00, Index = 0, DirectGeometryFactor = 0,5524208219978799, DiffuseGeometryFactor = 0,9095760221444958, CosSunElevation = 0,2576602235504736, GlobalHorizontalIrradiance = 16,866666666666667, SunshineDuration = 0, DiffuseHorizontalIrradiance = 80,5, AmbientTemp = 2,4, WindSpeed = 11,7, SnowDepth = 0, Weight = 0, Age = 4,219317802451815, MeasuredPower = , HasMeasuredPower = False }</t>
  </si>
  <si>
    <t>02.12.2025 14:15:00</t>
  </si>
  <si>
    <t>0,5524208219978799</t>
  </si>
  <si>
    <t>0,2576602235504736</t>
  </si>
  <si>
    <t>PvRecord { Timestamp = 02.12.2025 14:30:00, Index = 0, DirectGeometryFactor = 0,5099059968609256, DiffuseGeometryFactor = 0,9095760221444958, CosSunElevation = 0,2348194796444031, GlobalHorizontalIrradiance = 19,83333333333333, SunshineDuration = 0, DiffuseHorizontalIrradiance = 67, AmbientTemp = 2,2, WindSpeed = 9,540000000000001, SnowDepth = 0, Weight = 0, Age = 4,219346322339897, MeasuredPower = , HasMeasuredPower = False }</t>
  </si>
  <si>
    <t>02.12.2025 14:30:00</t>
  </si>
  <si>
    <t>0,5099059968609256</t>
  </si>
  <si>
    <t>0,2348194796444031</t>
  </si>
  <si>
    <t>PvRecord { Timestamp = 02.12.2025 14:45:00, Index = 0, DirectGeometryFactor = 0,4648551288547158, DiffuseGeometryFactor = 0,9095760221444958, CosSunElevation = 0,2098319549501353, GlobalHorizontalIrradiance = 19,83333333333333, SunshineDuration = 0, DiffuseHorizontalIrradiance = 67, AmbientTemp = 2,2, WindSpeed = 9,540000000000001, SnowDepth = 0, Weight = 0, Age = 4,219374842227979, MeasuredPower = , HasMeasuredPower = False }</t>
  </si>
  <si>
    <t>02.12.2025 14:45:00</t>
  </si>
  <si>
    <t>0,4648551288547158</t>
  </si>
  <si>
    <t>0,2098319549501353</t>
  </si>
  <si>
    <t>PvRecord { Timestamp = 02.12.2025 15:00:00, Index = 0, DirectGeometryFactor = 0,41747412583098364, DiffuseGeometryFactor = 0,9095760221444958, CosSunElevation = 0,1828204500761028, GlobalHorizontalIrradiance = 19,83333333333333, SunshineDuration = 0, DiffuseHorizontalIrradiance = 67, AmbientTemp = 2,2, WindSpeed = 9,540000000000001, SnowDepth = 0, Weight = 0, Age = 4,2194033621160605, MeasuredPower = , HasMeasuredPower = False }</t>
  </si>
  <si>
    <t>02.12.2025 15:00:00</t>
  </si>
  <si>
    <t>0,41747412583098364</t>
  </si>
  <si>
    <t>0,1828204500761028</t>
  </si>
  <si>
    <t>PvRecord { Timestamp = 02.12.2025 15:15:00, Index = 0, DirectGeometryFactor = 0,3679883824324612, DiffuseGeometryFactor = 0,9095760221444958, CosSunElevation = 0,15392799299288087, GlobalHorizontalIrradiance = 19,83333333333333, SunshineDuration = 0, DiffuseHorizontalIrradiance = 67, AmbientTemp = 2,2, WindSpeed = 9,540000000000001, SnowDepth = 0, Weight = 0, Age = 4,219431882004142, MeasuredPower = , HasMeasuredPower = False }</t>
  </si>
  <si>
    <t>02.12.2025 15:15:00</t>
  </si>
  <si>
    <t>0,3679883824324612</t>
  </si>
  <si>
    <t>0,15392799299288087</t>
  </si>
  <si>
    <t>PvRecord { Timestamp = 02.12.2025 15:30:00, Index = 0, DirectGeometryFactor = 0,3166520639312175, DiffuseGeometryFactor = 0,9095760221444958, CosSunElevation = 0,12332967755344412, GlobalHorizontalIrradiance = 25,6, SunshineDuration = 0, DiffuseHorizontalIrradiance = 39,5, AmbientTemp = 1,85, WindSpeed = 6,48, SnowDepth = 0, Weight = 0, Age = 4,219460401892223, MeasuredPower = , HasMeasuredPower = False }</t>
  </si>
  <si>
    <t>02.12.2025 15:30:00</t>
  </si>
  <si>
    <t>0,3166520639312175</t>
  </si>
  <si>
    <t>0,12332967755344412</t>
  </si>
  <si>
    <t>39,5</t>
  </si>
  <si>
    <t>PvRecord { Timestamp = 02.12.2025 15:45:00, Index = 0, DirectGeometryFactor = 0, DiffuseGeometryFactor = 0,9095760221444958, CosSunElevation = 0,09126390826665368, GlobalHorizontalIrradiance = 25,6, SunshineDuration = 0, DiffuseHorizontalIrradiance = 39,5, AmbientTemp = 1,85, WindSpeed = 6,48, SnowDepth = 0, Weight = 0, Age = 4,219488921780305, MeasuredPower = , HasMeasuredPower = False }</t>
  </si>
  <si>
    <t>02.12.2025 15:45:00</t>
  </si>
  <si>
    <t>0,09126390826665368</t>
  </si>
  <si>
    <t>PvRecord { Timestamp = 02.12.2025 16:00:00, Index = 0, DirectGeometryFactor = 0, DiffuseGeometryFactor = 0,9095760221444958, CosSunElevation = 0,05812676103095167, GlobalHorizontalIrradiance = 25,6, SunshineDuration = 0, DiffuseHorizontalIrradiance = 39,5, AmbientTemp = 1,85, WindSpeed = 6,48, SnowDepth = 0, Weight = 0, Age = 4,219517441668387, MeasuredPower = , HasMeasuredPower = False }</t>
  </si>
  <si>
    <t>02.12.2025 16:00:00</t>
  </si>
  <si>
    <t>0,05812676103095167</t>
  </si>
  <si>
    <t>PvRecord { Timestamp = 02.12.2025 16:15:00, Index = 0, DirectGeometryFactor = 0, DiffuseGeometryFactor = 0,9095760221444958, CosSunElevation = 0,02479587632772757, GlobalHorizontalIrradiance = 25,6, SunshineDuration = 0, DiffuseHorizontalIrradiance = 39,5, AmbientTemp = 1,85, WindSpeed = 6,48, SnowDepth = 0, Weight = 0, Age = 4,219545961556468, MeasuredPower = , HasMeasuredPower = False }</t>
  </si>
  <si>
    <t>02.12.2025 16:15:00</t>
  </si>
  <si>
    <t>0,02479587632772757</t>
  </si>
  <si>
    <t>PvRecord { Timestamp = 02.12.2025 16:30:00,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4,21957448144455, MeasuredPower = , HasMeasuredPower = False }</t>
  </si>
  <si>
    <t>02.12.2025 16:30:00</t>
  </si>
  <si>
    <t>9,5</t>
  </si>
  <si>
    <t>1,45</t>
  </si>
  <si>
    <t>PvRecord { Timestamp = 02.12.2025 16:45:00,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4,219603001332631, MeasuredPower = , HasMeasuredPower = False }</t>
  </si>
  <si>
    <t>02.12.2025 16:45:00</t>
  </si>
  <si>
    <t>PvRecord { Timestamp = 02.12.2025 17:00:00,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4,219631521220713, MeasuredPower = , HasMeasuredPower = False }</t>
  </si>
  <si>
    <t>02.12.2025 17:00:00</t>
  </si>
  <si>
    <t>PvRecord { Timestamp = 02.12.2025 17:15:00,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4,219660041108795, MeasuredPower = , HasMeasuredPower = False }</t>
  </si>
  <si>
    <t>02.12.2025 17:15:00</t>
  </si>
  <si>
    <t>PvRecord { Timestamp = 02.12.2025 17:30:00,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4,219688560996876, MeasuredPower = , HasMeasuredPower = False }</t>
  </si>
  <si>
    <t>02.12.2025 17:30:00</t>
  </si>
  <si>
    <t>2,34</t>
  </si>
  <si>
    <t>PvRecord { Timestamp = 02.12.2025 17:45:00,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4,219717080884958, MeasuredPower = , HasMeasuredPower = False }</t>
  </si>
  <si>
    <t>02.12.2025 17:45:00</t>
  </si>
  <si>
    <t>PvRecord { Timestamp = 02.12.2025 18:00:00,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4,219745600773039, MeasuredPower = , HasMeasuredPower = False }</t>
  </si>
  <si>
    <t>02.12.2025 18:00:00</t>
  </si>
  <si>
    <t>PvRecord { Timestamp = 02.12.2025 18:15:00,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4,219774120661121, MeasuredPower = , HasMeasuredPower = False }</t>
  </si>
  <si>
    <t>02.12.2025 18:15:00</t>
  </si>
  <si>
    <t>PvRecord { Timestamp = 02.12.2025 18:30:00, Index = 0, DirectGeometryFactor = 0, DiffuseGeometryFactor = 0,9095760221444958, CosSunElevation = 0, GlobalHorizontalIrradiance = 0, SunshineDuration = 0, DiffuseHorizontalIrradiance = 0, AmbientTemp = 0,75, WindSpeed = 2,16, SnowDepth = 0, Weight = 0, Age = 4,219802640549203, MeasuredPower = , HasMeasuredPower = False }</t>
  </si>
  <si>
    <t>02.12.2025 18:30:00</t>
  </si>
  <si>
    <t>PvRecord { Timestamp = 02.12.2025 18:45:00, Index = 0, DirectGeometryFactor = 0, DiffuseGeometryFactor = 0,9095760221444958, CosSunElevation = 0, GlobalHorizontalIrradiance = 0, SunshineDuration = 0, DiffuseHorizontalIrradiance = 0, AmbientTemp = 0,75, WindSpeed = 2,16, SnowDepth = 0, Weight = 0, Age = 4,219831160437284, MeasuredPower = , HasMeasuredPower = False }</t>
  </si>
  <si>
    <t>02.12.2025 18:45:00</t>
  </si>
  <si>
    <t>PvRecord { Timestamp = 02.12.2025 19:00:00, Index = 0, DirectGeometryFactor = 0, DiffuseGeometryFactor = 0,9095760221444958, CosSunElevation = 0, GlobalHorizontalIrradiance = 0, SunshineDuration = 0, DiffuseHorizontalIrradiance = 0, AmbientTemp = 0,75, WindSpeed = 2,16, SnowDepth = 0, Weight = 0, Age = 4,219859680325365, MeasuredPower = , HasMeasuredPower = False }</t>
  </si>
  <si>
    <t>02.12.2025 19:00:00</t>
  </si>
  <si>
    <t>PvRecord { Timestamp = 02.12.2025 19:15:00, Index = 0, DirectGeometryFactor = 0, DiffuseGeometryFactor = 0,9095760221444958, CosSunElevation = 0, GlobalHorizontalIrradiance = 0, SunshineDuration = 0, DiffuseHorizontalIrradiance = 0, AmbientTemp = 0,75, WindSpeed = 2,16, SnowDepth = 0, Weight = 0, Age = 4,219888200213447, MeasuredPower = , HasMeasuredPower = False }</t>
  </si>
  <si>
    <t>02.12.2025 19:15:00</t>
  </si>
  <si>
    <t>PvRecord { Timestamp = 02.12.2025 19:30:00,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4,219916720101529, MeasuredPower = , HasMeasuredPower = False }</t>
  </si>
  <si>
    <t>02.12.2025 19:30:00</t>
  </si>
  <si>
    <t>PvRecord { Timestamp = 02.12.2025 19:45:00,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4,2199452399896105, MeasuredPower = , HasMeasuredPower = False }</t>
  </si>
  <si>
    <t>02.12.2025 19:45:00</t>
  </si>
  <si>
    <t>PvRecord { Timestamp = 02.12.2025 20:00:00,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4,219973759877692, MeasuredPower = , HasMeasuredPower = False }</t>
  </si>
  <si>
    <t>02.12.2025 20:00:00</t>
  </si>
  <si>
    <t>PvRecord { Timestamp = 02.12.2025 20:15:00,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4,220002279765773, MeasuredPower = , HasMeasuredPower = False }</t>
  </si>
  <si>
    <t>02.12.2025 20:15:00</t>
  </si>
  <si>
    <t>PvRecord { Timestamp = 02.12.2025 20:30:00, Index = 0, DirectGeometryFactor = 0, DiffuseGeometryFactor = 0,9095760221444958, CosSunElevation = 0, GlobalHorizontalIrradiance = 0, SunshineDuration = 0, DiffuseHorizontalIrradiance = 0, AmbientTemp = 0,15, WindSpeed = 3,42, SnowDepth = 0, Weight = 0, Age = 4,220030799653855, MeasuredPower = , HasMeasuredPower = False }</t>
  </si>
  <si>
    <t>02.12.2025 20:30:00</t>
  </si>
  <si>
    <t>0,15</t>
  </si>
  <si>
    <t>PvRecord { Timestamp = 02.12.2025 20:45:00, Index = 0, DirectGeometryFactor = 0, DiffuseGeometryFactor = 0,9095760221444958, CosSunElevation = 0, GlobalHorizontalIrradiance = 0, SunshineDuration = 0, DiffuseHorizontalIrradiance = 0, AmbientTemp = 0,15, WindSpeed = 3,42, SnowDepth = 0, Weight = 0, Age = 4,220059319541937, MeasuredPower = , HasMeasuredPower = False }</t>
  </si>
  <si>
    <t>02.12.2025 20:45:00</t>
  </si>
  <si>
    <t>PvRecord { Timestamp = 02.12.2025 21:00:00, Index = 0, DirectGeometryFactor = 0, DiffuseGeometryFactor = 0,9095760221444958, CosSunElevation = 0, GlobalHorizontalIrradiance = 0, SunshineDuration = 0, DiffuseHorizontalIrradiance = 0, AmbientTemp = 0,15, WindSpeed = 3,42, SnowDepth = 0, Weight = 0, Age = 4,220087839430018, MeasuredPower = , HasMeasuredPower = False }</t>
  </si>
  <si>
    <t>02.12.2025 21:00:00</t>
  </si>
  <si>
    <t>PvRecord { Timestamp = 02.12.2025 21:15:00, Index = 0, DirectGeometryFactor = 0, DiffuseGeometryFactor = 0,9095760221444958, CosSunElevation = 0, GlobalHorizontalIrradiance = 0, SunshineDuration = 0, DiffuseHorizontalIrradiance = 0, AmbientTemp = 0,15, WindSpeed = 3,42, SnowDepth = 0, Weight = 0, Age = 4,2201163593181, MeasuredPower = , HasMeasuredPower = False }</t>
  </si>
  <si>
    <t>02.12.2025 21:15:00</t>
  </si>
  <si>
    <t>PvRecord { Timestamp = 02.12.2025 21:30:00,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4,220144879206181, MeasuredPower = , HasMeasuredPower = False }</t>
  </si>
  <si>
    <t>02.12.2025 21:30:00</t>
  </si>
  <si>
    <t>-0,19999999999999998</t>
  </si>
  <si>
    <t>PvRecord { Timestamp = 02.12.2025 21:45:00,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4,2201733990942625, MeasuredPower = , HasMeasuredPower = False }</t>
  </si>
  <si>
    <t>02.12.2025 21:45:00</t>
  </si>
  <si>
    <t>PvRecord { Timestamp = 02.12.2025 22:00:00,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4,220201918982345, MeasuredPower = , HasMeasuredPower = False }</t>
  </si>
  <si>
    <t>02.12.2025 22:00:00</t>
  </si>
  <si>
    <t>PvRecord { Timestamp = 02.12.2025 22:15:00,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4,220230438870426, MeasuredPower = , HasMeasuredPower = False }</t>
  </si>
  <si>
    <t>02.12.2025 22:15:00</t>
  </si>
  <si>
    <t>PvRecord { Timestamp = 02.12.2025 22:30:00,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4,2202589587585075, MeasuredPower = , HasMeasuredPower = False }</t>
  </si>
  <si>
    <t>02.12.2025 22:30:00</t>
  </si>
  <si>
    <t>PvRecord { Timestamp = 02.12.2025 22:45:00,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4,220287478646589, MeasuredPower = , HasMeasuredPower = False }</t>
  </si>
  <si>
    <t>02.12.2025 22:45:00</t>
  </si>
  <si>
    <t>PvRecord { Timestamp = 02.12.2025 23:00:00,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4,22031599853467, MeasuredPower = , HasMeasuredPower = False }</t>
  </si>
  <si>
    <t>02.12.2025 23:00:00</t>
  </si>
  <si>
    <t>PvRecord { Timestamp = 02.12.2025 23:15:00,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4,220344518422753, MeasuredPower = , HasMeasuredPower = False }</t>
  </si>
  <si>
    <t>02.12.2025 23:15:00</t>
  </si>
  <si>
    <t>PvRecord { Timestamp = 02.12.2025 23:30:00, Index = 0, DirectGeometryFactor = 0, DiffuseGeometryFactor = 0,9095760221444958, CosSunElevation = 0, GlobalHorizontalIrradiance = 0, SunshineDuration = 0, DiffuseHorizontalIrradiance = 0, AmbientTemp = -0,75, WindSpeed = 4,86, SnowDepth = 0, Weight = 0, Age = 4,220373038310834, MeasuredPower = , HasMeasuredPower = False }</t>
  </si>
  <si>
    <t>02.12.2025 23:30:00</t>
  </si>
  <si>
    <t>-0,75</t>
  </si>
  <si>
    <t>4,86</t>
  </si>
  <si>
    <t>PvRecord { Timestamp = 02.12.2025 23:45:00, Index = 0, DirectGeometryFactor = 0, DiffuseGeometryFactor = 0,9095760221444958, CosSunElevation = 0, GlobalHorizontalIrradiance = 0, SunshineDuration = 0, DiffuseHorizontalIrradiance = 0, AmbientTemp = -0,75, WindSpeed = 4,86, SnowDepth = 0, Weight = 0, Age = 4,220401558198915, MeasuredPower = , HasMeasuredPower = False }</t>
  </si>
  <si>
    <t>02.12.2025 23:45:00</t>
  </si>
  <si>
    <t>PvRecord { Timestamp = 03.12.2025 00:00:00, Index = 0, DirectGeometryFactor = 0, DiffuseGeometryFactor = 0,9095760221444958, CosSunElevation = 0, GlobalHorizontalIrradiance = 0, SunshineDuration = 0, DiffuseHorizontalIrradiance = 0, AmbientTemp = -0,75, WindSpeed = 4,86, SnowDepth = 0, Weight = 0, Age = 4,220430078086997, MeasuredPower = , HasMeasuredPower = False }</t>
  </si>
  <si>
    <t>03.12.2025 00:00:00</t>
  </si>
  <si>
    <t>PvRecord { Timestamp = 03.12.2025 00:15:00, Index = 0, DirectGeometryFactor = 0, DiffuseGeometryFactor = 0,9095760221444958, CosSunElevation = 0, GlobalHorizontalIrradiance = 0, SunshineDuration = 0, DiffuseHorizontalIrradiance = 0, AmbientTemp = -0,75, WindSpeed = 4,86, SnowDepth = 0, Weight = 0, Age = 4,220458597975078, MeasuredPower = , HasMeasuredPower = False }</t>
  </si>
  <si>
    <t>03.12.2025 00:15:00</t>
  </si>
  <si>
    <t>PvRecord { Timestamp = 03.12.2025 00:30:00, Index = 0, DirectGeometryFactor = 0, DiffuseGeometryFactor = 0,9095760221444958, CosSunElevation = 0, GlobalHorizontalIrradiance = 0, SunshineDuration = 0, DiffuseHorizontalIrradiance = 0, AmbientTemp = -0,9, WindSpeed = 4,32, SnowDepth = 0, Weight = 0, Age = 4,22048711786316, MeasuredPower = , HasMeasuredPower = False }</t>
  </si>
  <si>
    <t>03.12.2025 00:30:00</t>
  </si>
  <si>
    <t>PvRecord { Timestamp = 03.12.2025 00:45:00, Index = 0, DirectGeometryFactor = 0, DiffuseGeometryFactor = 0,9095760221444958, CosSunElevation = 0, GlobalHorizontalIrradiance = 0, SunshineDuration = 0, DiffuseHorizontalIrradiance = 0, AmbientTemp = -0,9, WindSpeed = 4,32, SnowDepth = 0, Weight = 0, Age = 4,220515637751242, MeasuredPower = , HasMeasuredPower = False }</t>
  </si>
  <si>
    <t>03.12.2025 00:45:00</t>
  </si>
  <si>
    <t>PvRecord { Timestamp = 03.12.2025 01:00:00, Index = 0, DirectGeometryFactor = 0, DiffuseGeometryFactor = 0,9095760221444958, CosSunElevation = 0, GlobalHorizontalIrradiance = 0, SunshineDuration = 0, DiffuseHorizontalIrradiance = 0, AmbientTemp = -0,9, WindSpeed = 4,32, SnowDepth = 0, Weight = 0, Age = 4,220544157639323, MeasuredPower = , HasMeasuredPower = False }</t>
  </si>
  <si>
    <t>03.12.2025 01:00:00</t>
  </si>
  <si>
    <t>PvRecord { Timestamp = 03.12.2025 01:15:00, Index = 0, DirectGeometryFactor = 0, DiffuseGeometryFactor = 0,9095760221444958, CosSunElevation = 0, GlobalHorizontalIrradiance = 0, SunshineDuration = 0, DiffuseHorizontalIrradiance = 0, AmbientTemp = -0,9, WindSpeed = 4,32, SnowDepth = 0, Weight = 0, Age = 4,220572677527405, MeasuredPower = , HasMeasuredPower = False }</t>
  </si>
  <si>
    <t>03.12.2025 01:15:00</t>
  </si>
  <si>
    <t>PvRecord { Timestamp = 03.12.2025 01:30:00, Index = 0, DirectGeometryFactor = 0, DiffuseGeometryFactor = 0,9095760221444958, CosSunElevation = 0, GlobalHorizontalIrradiance = 0, SunshineDuration = 0, DiffuseHorizontalIrradiance = 0, AmbientTemp = -1,1, WindSpeed = 4,32, SnowDepth = 0, Weight = 0, Age = 4,220601197415486, MeasuredPower = , HasMeasuredPower = False }</t>
  </si>
  <si>
    <t>03.12.2025 01:30:00</t>
  </si>
  <si>
    <t>-1,1</t>
  </si>
  <si>
    <t>PvRecord { Timestamp = 03.12.2025 01:45:00, Index = 0, DirectGeometryFactor = 0, DiffuseGeometryFactor = 0,9095760221444958, CosSunElevation = 0, GlobalHorizontalIrradiance = 0, SunshineDuration = 0, DiffuseHorizontalIrradiance = 0, AmbientTemp = -1,1, WindSpeed = 4,32, SnowDepth = 0, Weight = 0, Age = 4,220629717303568, MeasuredPower = , HasMeasuredPower = False }</t>
  </si>
  <si>
    <t>03.12.2025 01:45:00</t>
  </si>
  <si>
    <t>PvRecord { Timestamp = 03.12.2025 02:00:00, Index = 0, DirectGeometryFactor = 0, DiffuseGeometryFactor = 0,9095760221444958, CosSunElevation = 0, GlobalHorizontalIrradiance = 0, SunshineDuration = 0, DiffuseHorizontalIrradiance = 0, AmbientTemp = -1,1, WindSpeed = 4,32, SnowDepth = 0, Weight = 0, Age = 4,22065823719165, MeasuredPower = , HasMeasuredPower = False }</t>
  </si>
  <si>
    <t>03.12.2025 02:00:00</t>
  </si>
  <si>
    <t>PvRecord { Timestamp = 03.12.2025 02:15:00, Index = 0, DirectGeometryFactor = 0, DiffuseGeometryFactor = 0,9095760221444958, CosSunElevation = 0, GlobalHorizontalIrradiance = 0, SunshineDuration = 0, DiffuseHorizontalIrradiance = 0, AmbientTemp = -1,1, WindSpeed = 4,32, SnowDepth = 0, Weight = 0, Age = 4,220686757079731, MeasuredPower = , HasMeasuredPower = False }</t>
  </si>
  <si>
    <t>03.12.2025 02:15:00</t>
  </si>
  <si>
    <t>PvRecord { Timestamp = 03.12.2025 02:30:00, Index = 0, DirectGeometryFactor = 0, DiffuseGeometryFactor = 0,9095760221444958, CosSunElevation = 0, GlobalHorizontalIrradiance = 0, SunshineDuration = 0, DiffuseHorizontalIrradiance = 0, AmbientTemp = -1,2, WindSpeed = 5,58, SnowDepth = 0, Weight = 0, Age = 4,2207152769678125, MeasuredPower = , HasMeasuredPower = False }</t>
  </si>
  <si>
    <t>03.12.2025 02:30:00</t>
  </si>
  <si>
    <t>PvRecord { Timestamp = 03.12.2025 02:45:00, Index = 0, DirectGeometryFactor = 0, DiffuseGeometryFactor = 0,9095760221444958, CosSunElevation = 0, GlobalHorizontalIrradiance = 0, SunshineDuration = 0, DiffuseHorizontalIrradiance = 0, AmbientTemp = -1,2, WindSpeed = 5,58, SnowDepth = 0, Weight = 0, Age = 4,220743796855894, MeasuredPower = , HasMeasuredPower = False }</t>
  </si>
  <si>
    <t>03.12.2025 02:45:00</t>
  </si>
  <si>
    <t>PvRecord { Timestamp = 03.12.2025 03:00:00, Index = 0, DirectGeometryFactor = 0, DiffuseGeometryFactor = 0,9095760221444958, CosSunElevation = 0, GlobalHorizontalIrradiance = 0, SunshineDuration = 0, DiffuseHorizontalIrradiance = 0, AmbientTemp = -1,2, WindSpeed = 5,58, SnowDepth = 0, Weight = 0, Age = 4,220772316743976, MeasuredPower = , HasMeasuredPower = False }</t>
  </si>
  <si>
    <t>03.12.2025 03:00:00</t>
  </si>
  <si>
    <t>PvRecord { Timestamp = 03.12.2025 03:15:00, Index = 0, DirectGeometryFactor = 0, DiffuseGeometryFactor = 0,9095760221444958, CosSunElevation = 0, GlobalHorizontalIrradiance = 0, SunshineDuration = 0, DiffuseHorizontalIrradiance = 0, AmbientTemp = -1,2, WindSpeed = 5,58, SnowDepth = 0, Weight = 0, Age = 4,2208008366320575, MeasuredPower = , HasMeasuredPower = False }</t>
  </si>
  <si>
    <t>03.12.2025 03:15:00</t>
  </si>
  <si>
    <t>PvRecord { Timestamp = 03.12.2025 03:30:00,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4,220829356520139, MeasuredPower = , HasMeasuredPower = False }</t>
  </si>
  <si>
    <t>03.12.2025 03:30:00</t>
  </si>
  <si>
    <t>PvRecord { Timestamp = 03.12.2025 03:45:00,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4,22085787640822, MeasuredPower = , HasMeasuredPower = False }</t>
  </si>
  <si>
    <t>03.12.2025 03:45:00</t>
  </si>
  <si>
    <t>PvRecord { Timestamp = 03.12.2025 04:00:00,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4,220886396296302, MeasuredPower = , HasMeasuredPower = False }</t>
  </si>
  <si>
    <t>03.12.2025 04:00:00</t>
  </si>
  <si>
    <t>PvRecord { Timestamp = 03.12.2025 04:15:00,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4,220914916184384, MeasuredPower = , HasMeasuredPower = False }</t>
  </si>
  <si>
    <t>03.12.2025 04:15:00</t>
  </si>
  <si>
    <t>PvRecord { Timestamp = 03.12.2025 04:30:00, Index = 0, DirectGeometryFactor = 0, DiffuseGeometryFactor = 0,9095760221444958, CosSunElevation = 0, GlobalHorizontalIrradiance = 0, SunshineDuration = 0, DiffuseHorizontalIrradiance = 0, AmbientTemp = -1,25, WindSpeed = 11,52, SnowDepth = 0, Weight = 0, Age = 4,220943436072465, MeasuredPower = , HasMeasuredPower = False }</t>
  </si>
  <si>
    <t>03.12.2025 04:30:00</t>
  </si>
  <si>
    <t>PvRecord { Timestamp = 03.12.2025 04:45:00, Index = 0, DirectGeometryFactor = 0, DiffuseGeometryFactor = 0,9095760221444958, CosSunElevation = 0, GlobalHorizontalIrradiance = 0, SunshineDuration = 0, DiffuseHorizontalIrradiance = 0, AmbientTemp = -1,25, WindSpeed = 11,52, SnowDepth = 0, Weight = 0, Age = 4,220971955960547, MeasuredPower = , HasMeasuredPower = False }</t>
  </si>
  <si>
    <t>03.12.2025 04:45:00</t>
  </si>
  <si>
    <t>PvRecord { Timestamp = 03.12.2025 05:00:00, Index = 0, DirectGeometryFactor = 0, DiffuseGeometryFactor = 0,9095760221444958, CosSunElevation = 0, GlobalHorizontalIrradiance = 0, SunshineDuration = 0, DiffuseHorizontalIrradiance = 0, AmbientTemp = -1,25, WindSpeed = 11,52, SnowDepth = 0, Weight = 0, Age = 4,221000475848628, MeasuredPower = , HasMeasuredPower = False }</t>
  </si>
  <si>
    <t>03.12.2025 05:00:00</t>
  </si>
  <si>
    <t>PvRecord { Timestamp = 03.12.2025 05:15:00, Index = 0, DirectGeometryFactor = 0, DiffuseGeometryFactor = 0,9095760221444958, CosSunElevation = 0, GlobalHorizontalIrradiance = 0, SunshineDuration = 0, DiffuseHorizontalIrradiance = 0, AmbientTemp = -1,25, WindSpeed = 11,52, SnowDepth = 0, Weight = 0, Age = 4,2210289957367095, MeasuredPower = , HasMeasuredPower = False }</t>
  </si>
  <si>
    <t>03.12.2025 05:15:00</t>
  </si>
  <si>
    <t>PvRecord { Timestamp = 03.12.2025 05:30:00, Index = 0, DirectGeometryFactor = 0, DiffuseGeometryFactor = 0,9095760221444958, CosSunElevation = 0, GlobalHorizontalIrradiance = 0, SunshineDuration = 0, DiffuseHorizontalIrradiance = 0, AmbientTemp = -1,15, WindSpeed = 14,04, SnowDepth = 0, Weight = 0, Age = 4,221057515624792, MeasuredPower = , HasMeasuredPower = False }</t>
  </si>
  <si>
    <t>03.12.2025 05:30:00</t>
  </si>
  <si>
    <t>PvRecord { Timestamp = 03.12.2025 05:45:00, Index = 0, DirectGeometryFactor = 0, DiffuseGeometryFactor = 0,9095760221444958, CosSunElevation = 0, GlobalHorizontalIrradiance = 0, SunshineDuration = 0, DiffuseHorizontalIrradiance = 0, AmbientTemp = -1,15, WindSpeed = 14,04, SnowDepth = 0, Weight = 0, Age = 4,221086035512873, MeasuredPower = , HasMeasuredPower = False }</t>
  </si>
  <si>
    <t>03.12.2025 05:45:00</t>
  </si>
  <si>
    <t>PvRecord { Timestamp = 03.12.2025 06:00:00, Index = 0, DirectGeometryFactor = 0, DiffuseGeometryFactor = 0,9095760221444958, CosSunElevation = 0, GlobalHorizontalIrradiance = 0, SunshineDuration = 0, DiffuseHorizontalIrradiance = 0, AmbientTemp = -1,15, WindSpeed = 14,04, SnowDepth = 0, Weight = 0, Age = 4,221114555400955, MeasuredPower = , HasMeasuredPower = False }</t>
  </si>
  <si>
    <t>03.12.2025 06:00:00</t>
  </si>
  <si>
    <t>PvRecord { Timestamp = 03.12.2025 06:15:00, Index = 0, DirectGeometryFactor = 0, DiffuseGeometryFactor = 0,9095760221444958, CosSunElevation = 0, GlobalHorizontalIrradiance = 0, SunshineDuration = 0, DiffuseHorizontalIrradiance = 0, AmbientTemp = -1,15, WindSpeed = 14,04, SnowDepth = 0, Weight = 0, Age = 4,221143075289036, MeasuredPower = , HasMeasuredPower = False }</t>
  </si>
  <si>
    <t>03.12.2025 06:15:00</t>
  </si>
  <si>
    <t>PvRecord { Timestamp = 03.12.2025 06:30:00, Index = 0, DirectGeometryFactor = 0, DiffuseGeometryFactor = 0,9095760221444958, CosSunElevation = 0, GlobalHorizontalIrradiance = 0, SunshineDuration = 0, DiffuseHorizontalIrradiance = 0, AmbientTemp = -0,85, WindSpeed = 15,3, SnowDepth = 0, Weight = 0, Age = 4,221171595177117, MeasuredPower = , HasMeasuredPower = False }</t>
  </si>
  <si>
    <t>03.12.2025 06:30:00</t>
  </si>
  <si>
    <t>-0,85</t>
  </si>
  <si>
    <t>PvRecord { Timestamp = 03.12.2025 06:45:00, Index = 0, DirectGeometryFactor = 0, DiffuseGeometryFactor = 0,9095760221444958, CosSunElevation = 0, GlobalHorizontalIrradiance = 0, SunshineDuration = 0, DiffuseHorizontalIrradiance = 0, AmbientTemp = -0,85, WindSpeed = 15,3, SnowDepth = 0, Weight = 0, Age = 4,2212001150652, MeasuredPower = , HasMeasuredPower = False }</t>
  </si>
  <si>
    <t>03.12.2025 06:45:00</t>
  </si>
  <si>
    <t>PvRecord { Timestamp = 03.12.2025 07:00:00, Index = 0, DirectGeometryFactor = 0, DiffuseGeometryFactor = 0,9095760221444958, CosSunElevation = 0, GlobalHorizontalIrradiance = 0, SunshineDuration = 0, DiffuseHorizontalIrradiance = 0, AmbientTemp = -0,85, WindSpeed = 15,3, SnowDepth = 0, Weight = 0, Age = 4,221228634953281, MeasuredPower = , HasMeasuredPower = False }</t>
  </si>
  <si>
    <t>03.12.2025 07:00:00</t>
  </si>
  <si>
    <t>PvRecord { Timestamp = 03.12.2025 07:15:00, Index = 0, DirectGeometryFactor = 0, DiffuseGeometryFactor = 0,9095760221444958, CosSunElevation = 0, GlobalHorizontalIrradiance = 0, SunshineDuration = 0, DiffuseHorizontalIrradiance = 0, AmbientTemp = -0,85, WindSpeed = 15,3, SnowDepth = 0, Weight = 0, Age = 4,221257154841362, MeasuredPower = , HasMeasuredPower = False }</t>
  </si>
  <si>
    <t>03.12.2025 07:15:00</t>
  </si>
  <si>
    <t>PvRecord { Timestamp = 03.12.2025 07:30:00, Index = 0, DirectGeometryFactor = 0, DiffuseGeometryFactor = 0,9095760221444958, CosSunElevation = 0, GlobalHorizontalIrradiance = 0, SunshineDuration = 0, DiffuseHorizontalIrradiance = 0, AmbientTemp = -0,25, WindSpeed = 14,399999999999999, SnowDepth = 0, Weight = 0, Age = 4,221285674729444, MeasuredPower = , HasMeasuredPower = False }</t>
  </si>
  <si>
    <t>03.12.2025 07:30:00</t>
  </si>
  <si>
    <t>PvRecord { Timestamp = 03.12.2025 07:45:00, Index = 0, DirectGeometryFactor = 0, DiffuseGeometryFactor = 0,9095760221444958, CosSunElevation = 0, GlobalHorizontalIrradiance = 0, SunshineDuration = 0, DiffuseHorizontalIrradiance = 0, AmbientTemp = -0,25, WindSpeed = 14,399999999999999, SnowDepth = 0, Weight = 0, Age = 4,221314194617525, MeasuredPower = , HasMeasuredPower = False }</t>
  </si>
  <si>
    <t>03.12.2025 07:45:00</t>
  </si>
  <si>
    <t>PvRecord { Timestamp = 03.12.2025 08:00:00, Index = 0, DirectGeometryFactor = 0, DiffuseGeometryFactor = 0,9095760221444958, CosSunElevation = 0,025731928976057895, GlobalHorizontalIrradiance = 0, SunshineDuration = 0, DiffuseHorizontalIrradiance = 0, AmbientTemp = -0,25, WindSpeed = 14,399999999999999, SnowDepth = 0, Weight = 0, Age = 4,2213427145056075, MeasuredPower = , HasMeasuredPower = False }</t>
  </si>
  <si>
    <t>03.12.2025 08:00:00</t>
  </si>
  <si>
    <t>0,025731928976057895</t>
  </si>
  <si>
    <t>PvRecord { Timestamp = 03.12.2025 08:15:00, Index = 0, DirectGeometryFactor = 0,5416100896814818, DiffuseGeometryFactor = 0,9095760221444958, CosSunElevation = 0,05897010749822475, GlobalHorizontalIrradiance = 0, SunshineDuration = 0, DiffuseHorizontalIrradiance = 0, AmbientTemp = -0,25, WindSpeed = 14,399999999999999, SnowDepth = 0, Weight = 0, Age = 4,221371234393689, MeasuredPower = , HasMeasuredPower = False }</t>
  </si>
  <si>
    <t>03.12.2025 08:15:00</t>
  </si>
  <si>
    <t>0,5416100896814818</t>
  </si>
  <si>
    <t>0,05897010749822475</t>
  </si>
  <si>
    <t>PvRecord { Timestamp = 03.12.2025 08:30:00, Index = 0, DirectGeometryFactor = 0,5813295349564328, DiffuseGeometryFactor = 0,9095760221444958, CosSunElevation = 0,09196622622755574, GlobalHorizontalIrradiance = 244,21666666666667, SunshineDuration = 0, DiffuseHorizontalIrradiance = 25, AmbientTemp = 0,6, WindSpeed = 12,780000000000001, SnowDepth = 0, Weight = 0, Age = 4,22139975428177, MeasuredPower = , HasMeasuredPower = False }</t>
  </si>
  <si>
    <t>03.12.2025 08:30:00</t>
  </si>
  <si>
    <t>0,5813295349564328</t>
  </si>
  <si>
    <t>0,09196622622755574</t>
  </si>
  <si>
    <t>PvRecord { Timestamp = 03.12.2025 08:45:00, Index = 0, DirectGeometryFactor = 0,6185792222958927, DiffuseGeometryFactor = 0,9095760221444958, CosSunElevation = 0,1238693760057544, GlobalHorizontalIrradiance = 244,21666666666667, SunshineDuration = 0, DiffuseHorizontalIrradiance = 25, AmbientTemp = 0,6, WindSpeed = 12,780000000000001, SnowDepth = 0, Weight = 0, Age = 4,221428274169852, MeasuredPower = , HasMeasuredPower = False }</t>
  </si>
  <si>
    <t>03.12.2025 08:45:00</t>
  </si>
  <si>
    <t>0,6185792222958927</t>
  </si>
  <si>
    <t>0,1238693760057544</t>
  </si>
  <si>
    <t>PvRecord { Timestamp = 03.12.2025 09:00:00, Index = 0, DirectGeometryFactor = 0,6529894810946315, DiffuseGeometryFactor = 0,9095760221444958, CosSunElevation = 0,15429175604376533, GlobalHorizontalIrradiance = 244,21666666666667, SunshineDuration = 0, DiffuseHorizontalIrradiance = 25, AmbientTemp = 0,6, WindSpeed = 12,780000000000001, SnowDepth = 0, Weight = 0, Age = 4,221456794057933, MeasuredPower = , HasMeasuredPower = False }</t>
  </si>
  <si>
    <t>03.12.2025 09:00:00</t>
  </si>
  <si>
    <t>0,6529894810946315</t>
  </si>
  <si>
    <t>0,15429175604376533</t>
  </si>
  <si>
    <t>PvRecord { Timestamp = 03.12.2025 09:15:00, Index = 0, DirectGeometryFactor = 0,6843254789292892, DiffuseGeometryFactor = 0,9095760221444958, CosSunElevation = 0,1829982026732591, GlobalHorizontalIrradiance = 244,21666666666667, SunshineDuration = 0, DiffuseHorizontalIrradiance = 25, AmbientTemp = 0,6, WindSpeed = 12,780000000000001, SnowDepth = 0, Weight = 0, Age = 4,221485313946015, MeasuredPower = , HasMeasuredPower = False }</t>
  </si>
  <si>
    <t>03.12.2025 09:15:00</t>
  </si>
  <si>
    <t>0,6843254789292892</t>
  </si>
  <si>
    <t>0,1829982026732591</t>
  </si>
  <si>
    <t>PvRecord { Timestamp = 03.12.2025 09:30:00, Index = 0, DirectGeometryFactor = 0,7124110881794855, DiffuseGeometryFactor = 0,9095760221444958, CosSunElevation = 0,20981535694427267, GlobalHorizontalIrradiance = 371,41666666666663, SunshineDuration = 0, DiffuseHorizontalIrradiance = 70,5, AmbientTemp = 1,5999999999999999, WindSpeed = 10,62, SnowDepth = 0, Weight = 0, Age = 4,221513833834097, MeasuredPower = , HasMeasuredPower = False }</t>
  </si>
  <si>
    <t>03.12.2025 09:30:00</t>
  </si>
  <si>
    <t>0,7124110881794855</t>
  </si>
  <si>
    <t>0,20981535694427267</t>
  </si>
  <si>
    <t>70,5</t>
  </si>
  <si>
    <t>10,62</t>
  </si>
  <si>
    <t>PvRecord { Timestamp = 03.12.2025 09:45:00, Index = 0, DirectGeometryFactor = 0,7371036795001717, DiffuseGeometryFactor = 0,9095760221444958, CosSunElevation = 0,23460141014810013, GlobalHorizontalIrradiance = 371,41666666666663, SunshineDuration = 0, DiffuseHorizontalIrradiance = 70,5, AmbientTemp = 1,5999999999999999, WindSpeed = 10,62, SnowDepth = 0, Weight = 0, Age = 4,221542353722178, MeasuredPower = , HasMeasuredPower = False }</t>
  </si>
  <si>
    <t>03.12.2025 09:45:00</t>
  </si>
  <si>
    <t>0,7371036795001717</t>
  </si>
  <si>
    <t>0,23460141014810013</t>
  </si>
  <si>
    <t>PvRecord { Timestamp = 03.12.2025 10:00:00, Index = 0, DirectGeometryFactor = 0,7582845994386955, DiffuseGeometryFactor = 0,9095760221444958, CosSunElevation = 0,25723458868840066, GlobalHorizontalIrradiance = 371,41666666666663, SunshineDuration = 0, DiffuseHorizontalIrradiance = 70,5, AmbientTemp = 1,5999999999999999, WindSpeed = 10,62, SnowDepth = 0, Weight = 0, Age = 4,2215708736102595, MeasuredPower = , HasMeasuredPower = False }</t>
  </si>
  <si>
    <t>03.12.2025 10:00:00</t>
  </si>
  <si>
    <t>0,7582845994386955</t>
  </si>
  <si>
    <t>0,25723458868840066</t>
  </si>
  <si>
    <t>PvRecord { Timestamp = 03.12.2025 10:15:00, Index = 0, DirectGeometryFactor = 0,7758552201858433, DiffuseGeometryFactor = 0,9095760221444958, CosSunElevation = 0,27760833413370584, GlobalHorizontalIrradiance = 371,41666666666663, SunshineDuration = 0, DiffuseHorizontalIrradiance = 70,5, AmbientTemp = 1,5999999999999999, WindSpeed = 10,62, SnowDepth = 0, Weight = 0, Age = 4,221599393498341, MeasuredPower = , HasMeasuredPower = False }</t>
  </si>
  <si>
    <t>03.12.2025 10:15:00</t>
  </si>
  <si>
    <t>0,7758552201858433</t>
  </si>
  <si>
    <t>0,27760833413370584</t>
  </si>
  <si>
    <t>PvRecord { Timestamp = 03.12.2025 10:30:00, Index = 0, DirectGeometryFactor = 0,7897352051976854, DiffuseGeometryFactor = 0,9095760221444958, CosSunElevation = 0,2956291726471507, GlobalHorizontalIrradiance = 372,6, SunshineDuration = 0, DiffuseHorizontalIrradiance = 104, AmbientTemp = 2,55, WindSpeed = 9,72, SnowDepth = 0, Weight = 0, Age = 4,221627913386423, MeasuredPower = , HasMeasuredPower = False }</t>
  </si>
  <si>
    <t>03.12.2025 10:30:00</t>
  </si>
  <si>
    <t>0,7897352051976854</t>
  </si>
  <si>
    <t>0,2956291726471507</t>
  </si>
  <si>
    <t>372,6</t>
  </si>
  <si>
    <t>PvRecord { Timestamp = 03.12.2025 10:45:00, Index = 0, DirectGeometryFactor = 0,7998617281062166, DiffuseGeometryFactor = 0,9095760221444958, CosSunElevation = 0,3112157644772565, GlobalHorizontalIrradiance = 372,6, SunshineDuration = 0, DiffuseHorizontalIrradiance = 104, AmbientTemp = 2,55, WindSpeed = 9,72, SnowDepth = 0, Weight = 0, Age = 4,221656433274505, MeasuredPower = , HasMeasuredPower = False }</t>
  </si>
  <si>
    <t>03.12.2025 10:45:00</t>
  </si>
  <si>
    <t>0,7998617281062166</t>
  </si>
  <si>
    <t>0,3112157644772565</t>
  </si>
  <si>
    <t>PvRecord { Timestamp = 03.12.2025 11:00:00, Index = 0, DirectGeometryFactor = 0,8061891182733003, DiffuseGeometryFactor = 0,9095760221444958, CosSunElevation = 0,3242985031867879, GlobalHorizontalIrradiance = 372,6, SunshineDuration = 0, DiffuseHorizontalIrradiance = 104, AmbientTemp = 2,55, WindSpeed = 9,72, SnowDepth = 0, Weight = 0, Age = 4,221684953162586, MeasuredPower = , HasMeasuredPower = False }</t>
  </si>
  <si>
    <t>03.12.2025 11:00:00</t>
  </si>
  <si>
    <t>0,8061891182733003</t>
  </si>
  <si>
    <t>0,3242985031867879</t>
  </si>
  <si>
    <t>PvRecord { Timestamp = 03.12.2025 11:15:00, Index = 0, DirectGeometryFactor = 0,8086886938557445, DiffuseGeometryFactor = 0,9095760221444958, CosSunElevation = 0,3348193779441786, GlobalHorizontalIrradiance = 372,6, SunshineDuration = 0, DiffuseHorizontalIrradiance = 104, AmbientTemp = 2,55, WindSpeed = 9,72, SnowDepth = 0, Weight = 0, Age = 4,221713473050667, MeasuredPower = , HasMeasuredPower = False }</t>
  </si>
  <si>
    <t>03.12.2025 11:15:00</t>
  </si>
  <si>
    <t>0,8086886938557445</t>
  </si>
  <si>
    <t>0,3348193779441786</t>
  </si>
  <si>
    <t>PvRecord { Timestamp = 03.12.2025 11:30:00, Index = 0, DirectGeometryFactor = 0,8073486664013447, DiffuseGeometryFactor = 0,9095760221444958, CosSunElevation = 0,34273195948430785, GlobalHorizontalIrradiance = 369,5333333333333, SunshineDuration = 0, DiffuseHorizontalIrradiance = 124, AmbientTemp = 3,3, WindSpeed = 10,620000000000001, SnowDepth = 0, Weight = 0, Age = 4,221741992938749, MeasuredPower = , HasMeasuredPower = False }</t>
  </si>
  <si>
    <t>03.12.2025 11:30:00</t>
  </si>
  <si>
    <t>0,8073486664013447</t>
  </si>
  <si>
    <t>0,34273195948430785</t>
  </si>
  <si>
    <t>3,3</t>
  </si>
  <si>
    <t>PvRecord { Timestamp = 03.12.2025 11:45:00, Index = 0, DirectGeometryFactor = 0,802174057357484, DiffuseGeometryFactor = 0,9095760221444958, CosSunElevation = 0,34800143783318793, GlobalHorizontalIrradiance = 369,5333333333333, SunshineDuration = 0, DiffuseHorizontalIrradiance = 124, AmbientTemp = 3,3, WindSpeed = 10,620000000000001, SnowDepth = 0, Weight = 0, Age = 4,221770512826831, MeasuredPower = , HasMeasuredPower = False }</t>
  </si>
  <si>
    <t>03.12.2025 11:45:00</t>
  </si>
  <si>
    <t>0,802174057357484</t>
  </si>
  <si>
    <t>0,34800143783318793</t>
  </si>
  <si>
    <t>PvRecord { Timestamp = 03.12.2025 12:00:00, Index = 0, DirectGeometryFactor = 0,793186594757678, DiffuseGeometryFactor = 0,9095760221444958, CosSunElevation = 0,35060467300323817, GlobalHorizontalIrradiance = 369,5333333333333, SunshineDuration = 0, DiffuseHorizontalIrradiance = 124, AmbientTemp = 3,3, WindSpeed = 10,620000000000001, SnowDepth = 0, Weight = 0, Age = 4,221799032714912, MeasuredPower = , HasMeasuredPower = False }</t>
  </si>
  <si>
    <t>03.12.2025 12:00:00</t>
  </si>
  <si>
    <t>0,793186594757678</t>
  </si>
  <si>
    <t>0,35060467300323817</t>
  </si>
  <si>
    <t>PvRecord { Timestamp = 03.12.2025 12:15:00, Index = 0, DirectGeometryFactor = 0,7804245731635366, DiffuseGeometryFactor = 0,9095760221444958, CosSunElevation = 0,35053023760341423, GlobalHorizontalIrradiance = 369,5333333333333, SunshineDuration = 0, DiffuseHorizontalIrradiance = 124, AmbientTemp = 3,3, WindSpeed = 10,620000000000001, SnowDepth = 0, Weight = 0, Age = 4,221827552602994, MeasuredPower = , HasMeasuredPower = False }</t>
  </si>
  <si>
    <t>03.12.2025 12:15:00</t>
  </si>
  <si>
    <t>0,7804245731635366</t>
  </si>
  <si>
    <t>0,35053023760341423</t>
  </si>
  <si>
    <t>PvRecord { Timestamp = 03.12.2025 12:30:00, Index = 0, DirectGeometryFactor = 0,7639426681632739, DiffuseGeometryFactor = 0,9095760221444958, CosSunElevation = 0,3477784401377318, GlobalHorizontalIrradiance = 361,5666666666666, SunshineDuration = 0, DiffuseHorizontalIrradiance = 128, AmbientTemp = 3,7, WindSpeed = 11,7, SnowDepth = 0, Weight = 0, Age = 4,221856072491075, MeasuredPower = , HasMeasuredPower = False }</t>
  </si>
  <si>
    <t>03.12.2025 12:30:00</t>
  </si>
  <si>
    <t>0,7639426681632739</t>
  </si>
  <si>
    <t>0,3477784401377318</t>
  </si>
  <si>
    <t>3,7</t>
  </si>
  <si>
    <t>PvRecord { Timestamp = 03.12.2025 12:45:00, Index = 0, DirectGeometryFactor = 0,7438117023860784, DiffuseGeometryFactor = 0,9095760221444958, CosSunElevation = 0,34236132414272935, GlobalHorizontalIrradiance = 361,5666666666666, SunshineDuration = 0, DiffuseHorizontalIrradiance = 128, AmbientTemp = 3,7, WindSpeed = 11,7, SnowDepth = 0, Weight = 0, Age = 4,2218845923791575, MeasuredPower = , HasMeasuredPower = False }</t>
  </si>
  <si>
    <t>03.12.2025 12:45:00</t>
  </si>
  <si>
    <t>0,7438117023860784</t>
  </si>
  <si>
    <t>0,34236132414272935</t>
  </si>
  <si>
    <t>PvRecord { Timestamp = 03.12.2025 13:00:00, Index = 0, DirectGeometryFactor = 0,7201183641034221, DiffuseGeometryFactor = 0,9095760221444958, CosSunElevation = 0,3343026433573577, GlobalHorizontalIrradiance = 361,5666666666666, SunshineDuration = 0, DiffuseHorizontalIrradiance = 128, AmbientTemp = 3,7, WindSpeed = 11,7, SnowDepth = 0, Weight = 0, Age = 4,221913112267239, MeasuredPower = , HasMeasuredPower = False }</t>
  </si>
  <si>
    <t>03.12.2025 13:00:00</t>
  </si>
  <si>
    <t>0,7201183641034221</t>
  </si>
  <si>
    <t>0,3343026433573577</t>
  </si>
  <si>
    <t>PvRecord { Timestamp = 03.12.2025 13:15:00, Index = 0, DirectGeometryFactor = 0,6929648835414792, DiffuseGeometryFactor = 0,9095760221444958, CosSunElevation = 0,3236378179745325, GlobalHorizontalIrradiance = 361,5666666666666, SunshineDuration = 0, DiffuseHorizontalIrradiance = 128, AmbientTemp = 3,7, WindSpeed = 11,7, SnowDepth = 0, Weight = 0, Age = 4,22194163215532, MeasuredPower = , HasMeasuredPower = False }</t>
  </si>
  <si>
    <t>03.12.2025 13:15:00</t>
  </si>
  <si>
    <t>0,6929648835414792</t>
  </si>
  <si>
    <t>0,3236378179745325</t>
  </si>
  <si>
    <t>PvRecord { Timestamp = 03.12.2025 13:30:00, Index = 0, DirectGeometryFactor = 0,6624686779544594, DiffuseGeometryFactor = 0,9095760221444958, CosSunElevation = 0,31041388368704126, GlobalHorizontalIrradiance = 345,24999999999994, SunshineDuration = 0, DiffuseHorizontalIrradiance = 117, AmbientTemp = 3,75, WindSpeed = 12,6, SnowDepth = 0, Weight = 0, Age = 4,221970152043402, MeasuredPower = , HasMeasuredPower = False }</t>
  </si>
  <si>
    <t>03.12.2025 13:30:00</t>
  </si>
  <si>
    <t>0,6624686779544594</t>
  </si>
  <si>
    <t>0,31041388368704126</t>
  </si>
  <si>
    <t>PvRecord { Timestamp = 03.12.2025 13:45:00, Index = 0, DirectGeometryFactor = 0,6287619847353961, DiffuseGeometryFactor = 0,9095760221444958, CosSunElevation = 0,29468945543503666, GlobalHorizontalIrradiance = 345,24999999999994, SunshineDuration = 0, DiffuseHorizontalIrradiance = 117, AmbientTemp = 3,75, WindSpeed = 12,6, SnowDepth = 0, Weight = 0, Age = 4,221998671931483, MeasuredPower = , HasMeasuredPower = False }</t>
  </si>
  <si>
    <t>03.12.2025 13:45:00</t>
  </si>
  <si>
    <t>0,6287619847353961</t>
  </si>
  <si>
    <t>0,29468945543503666</t>
  </si>
  <si>
    <t>PvRecord { Timestamp = 03.12.2025 14:00:00, Index = 0, DirectGeometryFactor = 0,5919915166738282, DiffuseGeometryFactor = 0,9095760221444958, CosSunElevation = 0,2765347457388889, GlobalHorizontalIrradiance = 345,24999999999994, SunshineDuration = 0, DiffuseHorizontalIrradiance = 117, AmbientTemp = 3,75, WindSpeed = 12,6, SnowDepth = 0, Weight = 0, Age = 4,222027191819565, MeasuredPower = , HasMeasuredPower = False }</t>
  </si>
  <si>
    <t>03.12.2025 14:00:00</t>
  </si>
  <si>
    <t>0,5919915166738282</t>
  </si>
  <si>
    <t>0,2765347457388889</t>
  </si>
  <si>
    <t>PvRecord { Timestamp = 03.12.2025 14:15:00, Index = 0, DirectGeometryFactor = 0,5523182026493932, DiffuseGeometryFactor = 0,9095760221444958, CosSunElevation = 0,2560317123615506, GlobalHorizontalIrradiance = 345,24999999999994, SunshineDuration = 0, DiffuseHorizontalIrradiance = 117, AmbientTemp = 3,75, WindSpeed = 12,6, SnowDepth = 0, Weight = 0, Age = 4,222055711707647, MeasuredPower = , HasMeasuredPower = False }</t>
  </si>
  <si>
    <t>03.12.2025 14:15:00</t>
  </si>
  <si>
    <t>0,5523182026493932</t>
  </si>
  <si>
    <t>0,2560317123615506</t>
  </si>
  <si>
    <t>PvRecord { Timestamp = 03.12.2025 14:30:00, Index = 0, DirectGeometryFactor = 0,5099171346443542, DiffuseGeometryFactor = 0,9095760221444958, CosSunElevation = 0,23327448034017575, GlobalHorizontalIrradiance = 320,93333333333334, SunshineDuration = 0, DiffuseHorizontalIrradiance = 91, AmbientTemp = 3,4, WindSpeed = 13,32, SnowDepth = 0, Weight = 0, Age = 4,222084231595728, MeasuredPower = , HasMeasuredPower = False }</t>
  </si>
  <si>
    <t>03.12.2025 14:30:00</t>
  </si>
  <si>
    <t>0,5099171346443542</t>
  </si>
  <si>
    <t>0,23327448034017575</t>
  </si>
  <si>
    <t>3,4</t>
  </si>
  <si>
    <t>PvRecord { Timestamp = 03.12.2025 14:45:00, Index = 0, DirectGeometryFactor = 0,4649779684898313, DiffuseGeometryFactor = 0,9095760221444958, CosSunElevation = 0,20837033710721498, GlobalHorizontalIrradiance = 320,93333333333334, SunshineDuration = 0, DiffuseHorizontalIrradiance = 91, AmbientTemp = 3,4, WindSpeed = 13,32, SnowDepth = 0, Weight = 0, Age = 4,2221127514838095, MeasuredPower = , HasMeasuredPower = False }</t>
  </si>
  <si>
    <t>03.12.2025 14:45:00</t>
  </si>
  <si>
    <t>0,4649779684898313</t>
  </si>
  <si>
    <t>0,20837033710721498</t>
  </si>
  <si>
    <t>PvRecord { Timestamp = 03.12.2025 15:00:00, Index = 0, DirectGeometryFactor = 0,41770632445979744, DiffuseGeometryFactor = 0,9095760221444958, CosSunElevation = 0,1814419616100863, GlobalHorizontalIrradiance = 320,93333333333334, SunshineDuration = 0, DiffuseHorizontalIrradiance = 91, AmbientTemp = 3,4, WindSpeed = 13,32, SnowDepth = 0, Weight = 0, Age = 4,222141271371891, MeasuredPower = , HasMeasuredPower = False }</t>
  </si>
  <si>
    <t>03.12.2025 15:00:00</t>
  </si>
  <si>
    <t>0,41770632445979744</t>
  </si>
  <si>
    <t>0,1814419616100863</t>
  </si>
  <si>
    <t>PvRecord { Timestamp = 03.12.2025 15:15:00, Index = 0, DirectGeometryFactor = 0,368327498676867, DiffuseGeometryFactor = 0,9095760221444958, CosSunElevation = 0,15263247766945776, GlobalHorizontalIrradiance = 320,93333333333334, SunshineDuration = 0, DiffuseHorizontalIrradiance = 91, AmbientTemp = 3,4, WindSpeed = 13,32, SnowDepth = 0, Weight = 0, Age = 4,222169791259973, MeasuredPower = , HasMeasuredPower = False }</t>
  </si>
  <si>
    <t>03.12.2025 15:15:00</t>
  </si>
  <si>
    <t>0,368327498676867</t>
  </si>
  <si>
    <t>0,15263247766945776</t>
  </si>
  <si>
    <t>PvRecord { Timestamp = 03.12.2025 15:30:00, Index = 0, DirectGeometryFactor = 0,31709598444176224, DiffuseGeometryFactor = 0,9095760221444958, CosSunElevation = 0,12211757873365837, GlobalHorizontalIrradiance = 294,7, SunshineDuration = 0, DiffuseHorizontalIrradiance = 51, AmbientTemp = 2,95, WindSpeed = 15,120000000000001, SnowDepth = 0, Weight = 0, Age = 4,2221983111480546, MeasuredPower = , HasMeasuredPower = False }</t>
  </si>
  <si>
    <t>03.12.2025 15:30:00</t>
  </si>
  <si>
    <t>0,31709598444176224</t>
  </si>
  <si>
    <t>0,12211757873365837</t>
  </si>
  <si>
    <t>294,7</t>
  </si>
  <si>
    <t>PvRecord { Timestamp = 03.12.2025 15:45:00, Index = 0, DirectGeometryFactor = 0, DiffuseGeometryFactor = 0,9095760221444958, CosSunElevation = 0,09013759612747382, GlobalHorizontalIrradiance = 294,7, SunshineDuration = 0, DiffuseHorizontalIrradiance = 51, AmbientTemp = 2,95, WindSpeed = 15,120000000000001, SnowDepth = 0, Weight = 0, Age = 4,222226831036136, MeasuredPower = , HasMeasuredPower = False }</t>
  </si>
  <si>
    <t>03.12.2025 15:45:00</t>
  </si>
  <si>
    <t>0,09013759612747382</t>
  </si>
  <si>
    <t>PvRecord { Timestamp = 03.12.2025 16:00:00, Index = 0, DirectGeometryFactor = 0, DiffuseGeometryFactor = 0,9095760221444958, CosSunElevation = 0,057094593479748684, GlobalHorizontalIrradiance = 294,7, SunshineDuration = 0, DiffuseHorizontalIrradiance = 51, AmbientTemp = 2,95, WindSpeed = 15,120000000000001, SnowDepth = 0, Weight = 0, Age = 4,222255350924217, MeasuredPower = , HasMeasuredPower = False }</t>
  </si>
  <si>
    <t>03.12.2025 16:00:00</t>
  </si>
  <si>
    <t>0,057094593479748684</t>
  </si>
  <si>
    <t>PvRecord { Timestamp = 03.12.2025 16:15:00, Index = 0, DirectGeometryFactor = 0, DiffuseGeometryFactor = 0,9095760221444958, CosSunElevation = 0,02388525601162839, GlobalHorizontalIrradiance = 294,7, SunshineDuration = 0, DiffuseHorizontalIrradiance = 51, AmbientTemp = 2,95, WindSpeed = 15,120000000000001, SnowDepth = 0, Weight = 0, Age = 4,222283870812299, MeasuredPower = , HasMeasuredPower = False }</t>
  </si>
  <si>
    <t>03.12.2025 16:15:00</t>
  </si>
  <si>
    <t>0,02388525601162839</t>
  </si>
  <si>
    <t>PvRecord { Timestamp = 03.12.2025 16:30:00,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4,222312390700381, MeasuredPower = , HasMeasuredPower = False }</t>
  </si>
  <si>
    <t>03.12.2025 16:30:00</t>
  </si>
  <si>
    <t>PvRecord { Timestamp = 03.12.2025 16:45:00,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4,222340910588462, MeasuredPower = , HasMeasuredPower = False }</t>
  </si>
  <si>
    <t>03.12.2025 16:45:00</t>
  </si>
  <si>
    <t>PvRecord { Timestamp = 03.12.2025 17:00:00,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4,222369430476544, MeasuredPower = , HasMeasuredPower = False }</t>
  </si>
  <si>
    <t>03.12.2025 17:00:00</t>
  </si>
  <si>
    <t>PvRecord { Timestamp = 03.12.2025 17:15:00,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4,222397950364625, MeasuredPower = , HasMeasuredPower = False }</t>
  </si>
  <si>
    <t>03.12.2025 17:15:00</t>
  </si>
  <si>
    <t>PvRecord { Timestamp = 03.12.2025 17:30:00, Index = 0, DirectGeometryFactor = 0, DiffuseGeometryFactor = 0,9095760221444958, CosSunElevation = 0, GlobalHorizontalIrradiance = 0, SunshineDuration = 0, DiffuseHorizontalIrradiance = 0, AmbientTemp = 1,85, WindSpeed = 18, SnowDepth = 0, Weight = 0, Age = 4,222426470252707, MeasuredPower = , HasMeasuredPower = False }</t>
  </si>
  <si>
    <t>03.12.2025 17:30:00</t>
  </si>
  <si>
    <t>PvRecord { Timestamp = 03.12.2025 17:45:00, Index = 0, DirectGeometryFactor = 0, DiffuseGeometryFactor = 0,9095760221444958, CosSunElevation = 0, GlobalHorizontalIrradiance = 0, SunshineDuration = 0, DiffuseHorizontalIrradiance = 0, AmbientTemp = 1,85, WindSpeed = 18, SnowDepth = 0, Weight = 0, Age = 4,222454990140789, MeasuredPower = , HasMeasuredPower = False }</t>
  </si>
  <si>
    <t>03.12.2025 17:45:00</t>
  </si>
  <si>
    <t>PvRecord { Timestamp = 03.12.2025 18:00:00, Index = 0, DirectGeometryFactor = 0, DiffuseGeometryFactor = 0,9095760221444958, CosSunElevation = 0, GlobalHorizontalIrradiance = 0, SunshineDuration = 0, DiffuseHorizontalIrradiance = 0, AmbientTemp = 1,85, WindSpeed = 18, SnowDepth = 0, Weight = 0, Age = 4,22248351002887, MeasuredPower = , HasMeasuredPower = False }</t>
  </si>
  <si>
    <t>03.12.2025 18:00:00</t>
  </si>
  <si>
    <t>PvRecord { Timestamp = 03.12.2025 18:15:00, Index = 0, DirectGeometryFactor = 0, DiffuseGeometryFactor = 0,9095760221444958, CosSunElevation = 0, GlobalHorizontalIrradiance = 0, SunshineDuration = 0, DiffuseHorizontalIrradiance = 0, AmbientTemp = 1,85, WindSpeed = 18, SnowDepth = 0, Weight = 0, Age = 4,222512029916952, MeasuredPower = , HasMeasuredPower = False }</t>
  </si>
  <si>
    <t>03.12.2025 18:15:00</t>
  </si>
  <si>
    <t>PvRecord { Timestamp = 03.12.2025 18:30:00, Index = 0, DirectGeometryFactor = 0, DiffuseGeometryFactor = 0,9095760221444958, CosSunElevation = 0, GlobalHorizontalIrradiance = 0, SunshineDuration = 0, DiffuseHorizontalIrradiance = 0, AmbientTemp = 1,5, WindSpeed = 18,72, SnowDepth = 0, Weight = 0, Age = 4,222540549805033, MeasuredPower = , HasMeasuredPower = False }</t>
  </si>
  <si>
    <t>03.12.2025 18:30:00</t>
  </si>
  <si>
    <t>1,5</t>
  </si>
  <si>
    <t>18,72</t>
  </si>
  <si>
    <t>PvRecord { Timestamp = 03.12.2025 18:45:00, Index = 0, DirectGeometryFactor = 0, DiffuseGeometryFactor = 0,9095760221444958, CosSunElevation = 0, GlobalHorizontalIrradiance = 0, SunshineDuration = 0, DiffuseHorizontalIrradiance = 0, AmbientTemp = 1,5, WindSpeed = 18,72, SnowDepth = 0, Weight = 0, Age = 4,222569069693114, MeasuredPower = , HasMeasuredPower = False }</t>
  </si>
  <si>
    <t>03.12.2025 18:45:00</t>
  </si>
  <si>
    <t>PvRecord { Timestamp = 03.12.2025 19:00:00, Index = 0, DirectGeometryFactor = 0, DiffuseGeometryFactor = 0,9095760221444958, CosSunElevation = 0, GlobalHorizontalIrradiance = 0, SunshineDuration = 0, DiffuseHorizontalIrradiance = 0, AmbientTemp = 1,5, WindSpeed = 18,72, SnowDepth = 0, Weight = 0, Age = 4,222597589581197, MeasuredPower = , HasMeasuredPower = False }</t>
  </si>
  <si>
    <t>03.12.2025 19:00:00</t>
  </si>
  <si>
    <t>PvRecord { Timestamp = 03.12.2025 19:15:00, Index = 0, DirectGeometryFactor = 0, DiffuseGeometryFactor = 0,9095760221444958, CosSunElevation = 0, GlobalHorizontalIrradiance = 0, SunshineDuration = 0, DiffuseHorizontalIrradiance = 0, AmbientTemp = 1,5, WindSpeed = 18,72, SnowDepth = 0, Weight = 0, Age = 4,222626109469278, MeasuredPower = , HasMeasuredPower = False }</t>
  </si>
  <si>
    <t>03.12.2025 19:15:00</t>
  </si>
  <si>
    <t>PvRecord { Timestamp = 03.12.2025 19:30:00, Index = 0, DirectGeometryFactor = 0, DiffuseGeometryFactor = 0,9095760221444958, CosSunElevation = 0, GlobalHorizontalIrradiance = 0, SunshineDuration = 0, DiffuseHorizontalIrradiance = 0, AmbientTemp = 1,3, WindSpeed = 17,64, SnowDepth = 0, Weight = 0, Age = 4,2226546293573595, MeasuredPower = , HasMeasuredPower = False }</t>
  </si>
  <si>
    <t>03.12.2025 19:30:00</t>
  </si>
  <si>
    <t>PvRecord { Timestamp = 03.12.2025 19:45:00, Index = 0, DirectGeometryFactor = 0, DiffuseGeometryFactor = 0,9095760221444958, CosSunElevation = 0, GlobalHorizontalIrradiance = 0, SunshineDuration = 0, DiffuseHorizontalIrradiance = 0, AmbientTemp = 1,3, WindSpeed = 17,64, SnowDepth = 0, Weight = 0, Age = 4,222683149245441, MeasuredPower = , HasMeasuredPower = False }</t>
  </si>
  <si>
    <t>03.12.2025 19:45:00</t>
  </si>
  <si>
    <t>PvRecord { Timestamp = 03.12.2025 20:00:00, Index = 0, DirectGeometryFactor = 0, DiffuseGeometryFactor = 0,9095760221444958, CosSunElevation = 0, GlobalHorizontalIrradiance = 0, SunshineDuration = 0, DiffuseHorizontalIrradiance = 0, AmbientTemp = 1,3, WindSpeed = 17,64, SnowDepth = 0, Weight = 0, Age = 4,222711669133522, MeasuredPower = , HasMeasuredPower = False }</t>
  </si>
  <si>
    <t>03.12.2025 20:00:00</t>
  </si>
  <si>
    <t>PvRecord { Timestamp = 03.12.2025 20:15:00, Index = 0, DirectGeometryFactor = 0, DiffuseGeometryFactor = 0,9095760221444958, CosSunElevation = 0, GlobalHorizontalIrradiance = 0, SunshineDuration = 0, DiffuseHorizontalIrradiance = 0, AmbientTemp = 1,3, WindSpeed = 17,64, SnowDepth = 0, Weight = 0, Age = 4,2227401890216045, MeasuredPower = , HasMeasuredPower = False }</t>
  </si>
  <si>
    <t>03.12.2025 20:15:00</t>
  </si>
  <si>
    <t>PvRecord { Timestamp = 03.12.2025 20:30:00,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4,222768708909686, MeasuredPower = , HasMeasuredPower = False }</t>
  </si>
  <si>
    <t>03.12.2025 20:30:00</t>
  </si>
  <si>
    <t>PvRecord { Timestamp = 03.12.2025 20:45:00,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4,222797228797767, MeasuredPower = , HasMeasuredPower = False }</t>
  </si>
  <si>
    <t>03.12.2025 20:45:00</t>
  </si>
  <si>
    <t>PvRecord { Timestamp = 03.12.2025 21:00:00,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4,222825748685849, MeasuredPower = , HasMeasuredPower = False }</t>
  </si>
  <si>
    <t>03.12.2025 21:00:00</t>
  </si>
  <si>
    <t>PvRecord { Timestamp = 03.12.2025 21:15:00,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4,22285426857393, MeasuredPower = , HasMeasuredPower = False }</t>
  </si>
  <si>
    <t>03.12.2025 21:15:00</t>
  </si>
  <si>
    <t>PvRecord { Timestamp = 03.12.2025 21:30:00,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4,222882788462012, MeasuredPower = , HasMeasuredPower = False }</t>
  </si>
  <si>
    <t>03.12.2025 21:30:00</t>
  </si>
  <si>
    <t>PvRecord { Timestamp = 03.12.2025 21:45:00,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4,222911308350094, MeasuredPower = , HasMeasuredPower = False }</t>
  </si>
  <si>
    <t>03.12.2025 21:45:00</t>
  </si>
  <si>
    <t>PvRecord { Timestamp = 03.12.2025 22:00:00,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4,222939828238175, MeasuredPower = , HasMeasuredPower = False }</t>
  </si>
  <si>
    <t>03.12.2025 22:00:00</t>
  </si>
  <si>
    <t>PvRecord { Timestamp = 03.12.2025 22:15:00,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4,2229683481262565, MeasuredPower = , HasMeasuredPower = False }</t>
  </si>
  <si>
    <t>03.12.2025 22:15:00</t>
  </si>
  <si>
    <t>PvRecord { Timestamp = 03.12.2025 22:30:00,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4,222996868014338, MeasuredPower = , HasMeasuredPower = False }</t>
  </si>
  <si>
    <t>03.12.2025 22:30:00</t>
  </si>
  <si>
    <t>PvRecord { Timestamp = 03.12.2025 22:45:00,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4,22302538790242, MeasuredPower = , HasMeasuredPower = False }</t>
  </si>
  <si>
    <t>03.12.2025 22:45:00</t>
  </si>
  <si>
    <t>PvRecord { Timestamp = 03.12.2025 23:00:00,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4,223053907790502, MeasuredPower = , HasMeasuredPower = False }</t>
  </si>
  <si>
    <t>03.12.2025 23:00:00</t>
  </si>
  <si>
    <t>PvRecord { Timestamp = 03.12.2025 23:15:00,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4,223082427678583, MeasuredPower = , HasMeasuredPower = False }</t>
  </si>
  <si>
    <t>03.12.2025 23:15:00</t>
  </si>
  <si>
    <t>PvRecord { Timestamp = 03.12.2025 23:30:00, Index = 0, DirectGeometryFactor = 0, DiffuseGeometryFactor = 0,9095760221444958, CosSunElevation = 0, GlobalHorizontalIrradiance = 0, SunshineDuration = 0, DiffuseHorizontalIrradiance = 0, AmbientTemp = 0,9, WindSpeed = 4,86, SnowDepth = 0, Weight = 0, Age = 4,223110947566664, MeasuredPower = , HasMeasuredPower = False }</t>
  </si>
  <si>
    <t>03.12.2025 23:30:00</t>
  </si>
  <si>
    <t>PvRecord { Timestamp = 03.12.2025 23:45:00, Index = 0, DirectGeometryFactor = 0, DiffuseGeometryFactor = 0,9095760221444958, CosSunElevation = 0, GlobalHorizontalIrradiance = 0, SunshineDuration = 0, DiffuseHorizontalIrradiance = 0, AmbientTemp = 0,9, WindSpeed = 4,86, SnowDepth = 0, Weight = 0, Age = 4,223139467454746, MeasuredPower = , HasMeasuredPower = False }</t>
  </si>
  <si>
    <t>03.12.2025 23:45:00</t>
  </si>
  <si>
    <t>PvRecord { Timestamp = 04.12.2025 00:00:00, Index = 0, DirectGeometryFactor = 0, DiffuseGeometryFactor = 0,9095760221444958, CosSunElevation = 0, GlobalHorizontalIrradiance = 0, SunshineDuration = 0, DiffuseHorizontalIrradiance = 0, AmbientTemp = 0,9, WindSpeed = 4,86, SnowDepth = 0, Weight = 0, Age = 4,223167987342828, MeasuredPower = , HasMeasuredPower = False }</t>
  </si>
  <si>
    <t>04.12.2025 00:00:00</t>
  </si>
  <si>
    <t>PvRecord { Timestamp = 04.12.2025 00:15:00, Index = 0, DirectGeometryFactor = 0, DiffuseGeometryFactor = 0,9095760221444958, CosSunElevation = 0, GlobalHorizontalIrradiance = 0, SunshineDuration = 0, DiffuseHorizontalIrradiance = 0, AmbientTemp = 0,9, WindSpeed = 4,86, SnowDepth = 0, Weight = 0, Age = 4,2231965072309094, MeasuredPower = , HasMeasuredPower = False }</t>
  </si>
  <si>
    <t>04.12.2025 00:15:00</t>
  </si>
  <si>
    <t>PvRecord { Timestamp = 04.12.2025 00:30:00,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4,223225027118991, MeasuredPower = , HasMeasuredPower = False }</t>
  </si>
  <si>
    <t>04.12.2025 00:30:00</t>
  </si>
  <si>
    <t>PvRecord { Timestamp = 04.12.2025 00:45:00,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4,223253547007072, MeasuredPower = , HasMeasuredPower = False }</t>
  </si>
  <si>
    <t>04.12.2025 00:45:00</t>
  </si>
  <si>
    <t>PvRecord { Timestamp = 04.12.2025 01:00:00,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4,223282066895154, MeasuredPower = , HasMeasuredPower = False }</t>
  </si>
  <si>
    <t>04.12.2025 01:00:00</t>
  </si>
  <si>
    <t>PvRecord { Timestamp = 04.12.2025 01:15:00,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4,223310586783236, MeasuredPower = , HasMeasuredPower = False }</t>
  </si>
  <si>
    <t>04.12.2025 01:15:00</t>
  </si>
  <si>
    <t>PvRecord { Timestamp = 04.12.2025 01:30:00, Index = 0, DirectGeometryFactor = 0, DiffuseGeometryFactor = 0,9095760221444958, CosSunElevation = 0, GlobalHorizontalIrradiance = 0, SunshineDuration = 0, DiffuseHorizontalIrradiance = 0, AmbientTemp = 0,8, WindSpeed = 1,98, SnowDepth = 0, Weight = 0, Age = 4,223339106671317, MeasuredPower = , HasMeasuredPower = False }</t>
  </si>
  <si>
    <t>04.12.2025 01:30:00</t>
  </si>
  <si>
    <t>PvRecord { Timestamp = 04.12.2025 01:45:00, Index = 0, DirectGeometryFactor = 0, DiffuseGeometryFactor = 0,9095760221444958, CosSunElevation = 0, GlobalHorizontalIrradiance = 0, SunshineDuration = 0, DiffuseHorizontalIrradiance = 0, AmbientTemp = 0,8, WindSpeed = 1,98, SnowDepth = 0, Weight = 0, Age = 4,223367626559399, MeasuredPower = , HasMeasuredPower = False }</t>
  </si>
  <si>
    <t>04.12.2025 01:45:00</t>
  </si>
  <si>
    <t>PvRecord { Timestamp = 04.12.2025 02:00:00, Index = 0, DirectGeometryFactor = 0, DiffuseGeometryFactor = 0,9095760221444958, CosSunElevation = 0, GlobalHorizontalIrradiance = 0, SunshineDuration = 0, DiffuseHorizontalIrradiance = 0, AmbientTemp = 0,8, WindSpeed = 1,98, SnowDepth = 0, Weight = 0, Age = 4,22339614644748, MeasuredPower = , HasMeasuredPower = False }</t>
  </si>
  <si>
    <t>04.12.2025 02:00:00</t>
  </si>
  <si>
    <t>PvRecord { Timestamp = 04.12.2025 02:15:00, Index = 0, DirectGeometryFactor = 0, DiffuseGeometryFactor = 0,9095760221444958, CosSunElevation = 0, GlobalHorizontalIrradiance = 0, SunshineDuration = 0, DiffuseHorizontalIrradiance = 0, AmbientTemp = 0,8, WindSpeed = 1,98, SnowDepth = 0, Weight = 0, Age = 4,2234246663355615, MeasuredPower = , HasMeasuredPower = False }</t>
  </si>
  <si>
    <t>04.12.2025 02:15:00</t>
  </si>
  <si>
    <t>PvRecord { Timestamp = 04.12.2025 02:30:00, Index = 0, DirectGeometryFactor = 0, DiffuseGeometryFactor = 0,9095760221444958, CosSunElevation = 0, GlobalHorizontalIrradiance = 0, SunshineDuration = 0, DiffuseHorizontalIrradiance = 0, AmbientTemp = 0,8, WindSpeed = 1,08, SnowDepth = 0, Weight = 0, Age = 4,223453186223644, MeasuredPower = , HasMeasuredPower = False }</t>
  </si>
  <si>
    <t>04.12.2025 02:30:00</t>
  </si>
  <si>
    <t>1,08</t>
  </si>
  <si>
    <t>PvRecord { Timestamp = 04.12.2025 02:45:00, Index = 0, DirectGeometryFactor = 0, DiffuseGeometryFactor = 0,9095760221444958, CosSunElevation = 0, GlobalHorizontalIrradiance = 0, SunshineDuration = 0, DiffuseHorizontalIrradiance = 0, AmbientTemp = 0,8, WindSpeed = 1,08, SnowDepth = 0, Weight = 0, Age = 4,223481706111725, MeasuredPower = , HasMeasuredPower = False }</t>
  </si>
  <si>
    <t>04.12.2025 02:45:00</t>
  </si>
  <si>
    <t>PvRecord { Timestamp = 04.12.2025 03:00:00, Index = 0, DirectGeometryFactor = 0, DiffuseGeometryFactor = 0,9095760221444958, CosSunElevation = 0, GlobalHorizontalIrradiance = 0, SunshineDuration = 0, DiffuseHorizontalIrradiance = 0, AmbientTemp = 0,8, WindSpeed = 1,08, SnowDepth = 0, Weight = 0, Age = 4,2235102259998065, MeasuredPower = , HasMeasuredPower = False }</t>
  </si>
  <si>
    <t>04.12.2025 03:00:00</t>
  </si>
  <si>
    <t>PvRecord { Timestamp = 04.12.2025 03:15:00, Index = 0, DirectGeometryFactor = 0, DiffuseGeometryFactor = 0,9095760221444958, CosSunElevation = 0, GlobalHorizontalIrradiance = 0, SunshineDuration = 0, DiffuseHorizontalIrradiance = 0, AmbientTemp = 0,8, WindSpeed = 1,08, SnowDepth = 0, Weight = 0, Age = 4,223538745887888, MeasuredPower = , HasMeasuredPower = False }</t>
  </si>
  <si>
    <t>04.12.2025 03:15:00</t>
  </si>
  <si>
    <t>PvRecord { Timestamp = 04.12.2025 03:30:00, Index = 0, DirectGeometryFactor = 0, DiffuseGeometryFactor = 0,9095760221444958, CosSunElevation = 0, GlobalHorizontalIrradiance = 0, SunshineDuration = 0, DiffuseHorizontalIrradiance = 0, AmbientTemp = 0,8, WindSpeed = 2,16, SnowDepth = 0, Weight = 0, Age = 4,223567265775969, MeasuredPower = , HasMeasuredPower = False }</t>
  </si>
  <si>
    <t>04.12.2025 03:30:00</t>
  </si>
  <si>
    <t>PvRecord { Timestamp = 04.12.2025 03:45:00, Index = 0, DirectGeometryFactor = 0, DiffuseGeometryFactor = 0,9095760221444958, CosSunElevation = 0, GlobalHorizontalIrradiance = 0, SunshineDuration = 0, DiffuseHorizontalIrradiance = 0, AmbientTemp = 0,8, WindSpeed = 2,16, SnowDepth = 0, Weight = 0, Age = 4,223595785664052, MeasuredPower = , HasMeasuredPower = False }</t>
  </si>
  <si>
    <t>04.12.2025 03:45:00</t>
  </si>
  <si>
    <t>PvRecord { Timestamp = 04.12.2025 04:00:00, Index = 0, DirectGeometryFactor = 0, DiffuseGeometryFactor = 0,9095760221444958, CosSunElevation = 0, GlobalHorizontalIrradiance = 0, SunshineDuration = 0, DiffuseHorizontalIrradiance = 0, AmbientTemp = 0,8, WindSpeed = 2,16, SnowDepth = 0, Weight = 0, Age = 4,223624305552133, MeasuredPower = , HasMeasuredPower = False }</t>
  </si>
  <si>
    <t>04.12.2025 04:00:00</t>
  </si>
  <si>
    <t>PvRecord { Timestamp = 04.12.2025 04:15:00, Index = 0, DirectGeometryFactor = 0, DiffuseGeometryFactor = 0,9095760221444958, CosSunElevation = 0, GlobalHorizontalIrradiance = 0, SunshineDuration = 0, DiffuseHorizontalIrradiance = 0, AmbientTemp = 0,8, WindSpeed = 2,16, SnowDepth = 0, Weight = 0, Age = 4,223652825440214, MeasuredPower = , HasMeasuredPower = False }</t>
  </si>
  <si>
    <t>04.12.2025 04:15:00</t>
  </si>
  <si>
    <t>PvRecord { Timestamp = 04.12.2025 04:30:00, Index = 0, DirectGeometryFactor = 0, DiffuseGeometryFactor = 0,9095760221444958, CosSunElevation = 0, GlobalHorizontalIrradiance = 0, SunshineDuration = 0, DiffuseHorizontalIrradiance = 0, AmbientTemp = 0,8, WindSpeed = 2,7, SnowDepth = 0, Weight = 0, Age = 4,223681345328296, MeasuredPower = , HasMeasuredPower = False }</t>
  </si>
  <si>
    <t>04.12.2025 04:30:00</t>
  </si>
  <si>
    <t>PvRecord { Timestamp = 04.12.2025 04:45:00, Index = 0, DirectGeometryFactor = 0, DiffuseGeometryFactor = 0,9095760221444958, CosSunElevation = 0, GlobalHorizontalIrradiance = 0, SunshineDuration = 0, DiffuseHorizontalIrradiance = 0, AmbientTemp = 0,8, WindSpeed = 2,7, SnowDepth = 0, Weight = 0, Age = 4,223709865216377, MeasuredPower = , HasMeasuredPower = False }</t>
  </si>
  <si>
    <t>04.12.2025 04:45:00</t>
  </si>
  <si>
    <t>PvRecord { Timestamp = 04.12.2025 05:00:00, Index = 0, DirectGeometryFactor = 0, DiffuseGeometryFactor = 0,9095760221444958, CosSunElevation = 0, GlobalHorizontalIrradiance = 0, SunshineDuration = 0, DiffuseHorizontalIrradiance = 0, AmbientTemp = 0,8, WindSpeed = 2,7, SnowDepth = 0, Weight = 0, Age = 4,223738385104459, MeasuredPower = , HasMeasuredPower = False }</t>
  </si>
  <si>
    <t>04.12.2025 05:00:00</t>
  </si>
  <si>
    <t>PvRecord { Timestamp = 04.12.2025 05:15:00, Index = 0, DirectGeometryFactor = 0, DiffuseGeometryFactor = 0,9095760221444958, CosSunElevation = 0, GlobalHorizontalIrradiance = 0, SunshineDuration = 0, DiffuseHorizontalIrradiance = 0, AmbientTemp = 0,8, WindSpeed = 2,7, SnowDepth = 0, Weight = 0, Age = 4,223766904992541, MeasuredPower = , HasMeasuredPower = False }</t>
  </si>
  <si>
    <t>04.12.2025 05:15:00</t>
  </si>
  <si>
    <t>PvRecord { Timestamp = 04.12.2025 05:30:00, Index = 0, DirectGeometryFactor = 0, DiffuseGeometryFactor = 0,9095760221444958, CosSunElevation = 0, GlobalHorizontalIrradiance = 0, SunshineDuration = 0, DiffuseHorizontalIrradiance = 0, AmbientTemp = 0,95, WindSpeed = 3,06, SnowDepth = 0, Weight = 0, Age = 4,223795424880622, MeasuredPower = , HasMeasuredPower = False }</t>
  </si>
  <si>
    <t>04.12.2025 05:30:00</t>
  </si>
  <si>
    <t>PvRecord { Timestamp = 04.12.2025 05:45:00, Index = 0, DirectGeometryFactor = 0, DiffuseGeometryFactor = 0,9095760221444958, CosSunElevation = 0, GlobalHorizontalIrradiance = 0, SunshineDuration = 0, DiffuseHorizontalIrradiance = 0, AmbientTemp = 0,95, WindSpeed = 3,06, SnowDepth = 0, Weight = 0, Age = 4,223823944768704, MeasuredPower = , HasMeasuredPower = False }</t>
  </si>
  <si>
    <t>04.12.2025 05:45:00</t>
  </si>
  <si>
    <t>PvRecord { Timestamp = 04.12.2025 06:00:00, Index = 0, DirectGeometryFactor = 0, DiffuseGeometryFactor = 0,9095760221444958, CosSunElevation = 0, GlobalHorizontalIrradiance = 0, SunshineDuration = 0, DiffuseHorizontalIrradiance = 0, AmbientTemp = 0,95, WindSpeed = 3,06, SnowDepth = 0, Weight = 0, Age = 4,223852464656785, MeasuredPower = , HasMeasuredPower = False }</t>
  </si>
  <si>
    <t>04.12.2025 06:00:00</t>
  </si>
  <si>
    <t>PvRecord { Timestamp = 04.12.2025 06:15:00, Index = 0, DirectGeometryFactor = 0, DiffuseGeometryFactor = 0,9095760221444958, CosSunElevation = 0, GlobalHorizontalIrradiance = 0, SunshineDuration = 0, DiffuseHorizontalIrradiance = 0, AmbientTemp = 0,95, WindSpeed = 3,06, SnowDepth = 0, Weight = 0, Age = 4,223880984544867, MeasuredPower = , HasMeasuredPower = False }</t>
  </si>
  <si>
    <t>04.12.2025 06:15:00</t>
  </si>
  <si>
    <t>PvRecord { Timestamp = 04.12.2025 06:30:00, Index = 0, DirectGeometryFactor = 0, DiffuseGeometryFactor = 0,9095760221444958, CosSunElevation = 0, GlobalHorizontalIrradiance = 0, SunshineDuration = 0, DiffuseHorizontalIrradiance = 0, AmbientTemp = 1,15, WindSpeed = 2,88, SnowDepth = 0, Weight = 0, Age = 4,223909504432949, MeasuredPower = , HasMeasuredPower = False }</t>
  </si>
  <si>
    <t>04.12.2025 06:30:00</t>
  </si>
  <si>
    <t>2,88</t>
  </si>
  <si>
    <t>PvRecord { Timestamp = 04.12.2025 06:45:00, Index = 0, DirectGeometryFactor = 0, DiffuseGeometryFactor = 0,9095760221444958, CosSunElevation = 0, GlobalHorizontalIrradiance = 0, SunshineDuration = 0, DiffuseHorizontalIrradiance = 0, AmbientTemp = 1,15, WindSpeed = 2,88, SnowDepth = 0, Weight = 0, Age = 4,22393802432103, MeasuredPower = , HasMeasuredPower = False }</t>
  </si>
  <si>
    <t>04.12.2025 06:45:00</t>
  </si>
  <si>
    <t>PvRecord { Timestamp = 04.12.2025 07:00:00, Index = 0, DirectGeometryFactor = 0, DiffuseGeometryFactor = 0,9095760221444958, CosSunElevation = 0, GlobalHorizontalIrradiance = 0, SunshineDuration = 0, DiffuseHorizontalIrradiance = 0, AmbientTemp = 1,15, WindSpeed = 2,88, SnowDepth = 0, Weight = 0, Age = 4,223966544209111, MeasuredPower = , HasMeasuredPower = False }</t>
  </si>
  <si>
    <t>04.12.2025 07:00:00</t>
  </si>
  <si>
    <t>PvRecord { Timestamp = 04.12.2025 07:15:00, Index = 0, DirectGeometryFactor = 0, DiffuseGeometryFactor = 0,9095760221444958, CosSunElevation = 0, GlobalHorizontalIrradiance = 0, SunshineDuration = 0, DiffuseHorizontalIrradiance = 0, AmbientTemp = 1,15, WindSpeed = 2,88, SnowDepth = 0, Weight = 0, Age = 4,223995064097193, MeasuredPower = , HasMeasuredPower = False }</t>
  </si>
  <si>
    <t>04.12.2025 07:15:00</t>
  </si>
  <si>
    <t>PvRecord { Timestamp = 04.12.2025 07:30:00, Index = 0, DirectGeometryFactor = 0, DiffuseGeometryFactor = 0,9095760221444958, CosSunElevation = 0, GlobalHorizontalIrradiance = 0, SunshineDuration = 0, DiffuseHorizontalIrradiance = 0, AmbientTemp = 1,5, WindSpeed = 3,42, SnowDepth = 0, Weight = 0, Age = 4,224023583985275, MeasuredPower = , HasMeasuredPower = False }</t>
  </si>
  <si>
    <t>04.12.2025 07:30:00</t>
  </si>
  <si>
    <t>PvRecord { Timestamp = 04.12.2025 07:45:00, Index = 0, DirectGeometryFactor = 0, DiffuseGeometryFactor = 0,9095760221444958, CosSunElevation = 0, GlobalHorizontalIrradiance = 0, SunshineDuration = 0, DiffuseHorizontalIrradiance = 0, AmbientTemp = 1,5, WindSpeed = 3,42, SnowDepth = 0, Weight = 0, Age = 4,2240521038733565, MeasuredPower = , HasMeasuredPower = False }</t>
  </si>
  <si>
    <t>04.12.2025 07:45:00</t>
  </si>
  <si>
    <t>PvRecord { Timestamp = 04.12.2025 08:00:00, Index = 0, DirectGeometryFactor = 0, DiffuseGeometryFactor = 0,9095760221444958, CosSunElevation = 0,023143881019884543, GlobalHorizontalIrradiance = 0, SunshineDuration = 0, DiffuseHorizontalIrradiance = 0, AmbientTemp = 1,5, WindSpeed = 3,42, SnowDepth = 0, Weight = 0, Age = 4,224080623761438, MeasuredPower = , HasMeasuredPower = False }</t>
  </si>
  <si>
    <t>04.12.2025 08:00:00</t>
  </si>
  <si>
    <t>0,023143881019884543</t>
  </si>
  <si>
    <t>PvRecord { Timestamp = 04.12.2025 08:15:00, Index = 0, DirectGeometryFactor = 0,5394590096022742, DiffuseGeometryFactor = 0,9095760221444958, CosSunElevation = 0,05623501159264466, GlobalHorizontalIrradiance = 0, SunshineDuration = 0, DiffuseHorizontalIrradiance = 0, AmbientTemp = 1,5, WindSpeed = 3,42, SnowDepth = 0, Weight = 0, Age = 4,224109143649519, MeasuredPower = , HasMeasuredPower = False }</t>
  </si>
  <si>
    <t>04.12.2025 08:15:00</t>
  </si>
  <si>
    <t>0,5394590096022742</t>
  </si>
  <si>
    <t>0,05623501159264466</t>
  </si>
  <si>
    <t>PvRecord { Timestamp = 04.12.2025 08:30:00, Index = 0, DirectGeometryFactor = 0,5791659927299982, DiffuseGeometryFactor = 0,9095760221444958, CosSunElevation = 0,08918189818175012, GlobalHorizontalIrradiance = 57,98333333333333, SunshineDuration = 0, DiffuseHorizontalIrradiance = 25, AmbientTemp = 2, WindSpeed = 5,4, SnowDepth = 0, Weight = 0, Age = 4,224137663537602, MeasuredPower = , HasMeasuredPower = False }</t>
  </si>
  <si>
    <t>04.12.2025 08:30:00</t>
  </si>
  <si>
    <t>0,5791659927299982</t>
  </si>
  <si>
    <t>0,08918189818175012</t>
  </si>
  <si>
    <t>PvRecord { Timestamp = 04.12.2025 08:45:00, Index = 0, DirectGeometryFactor = 0,6164369002017506, DiffuseGeometryFactor = 0,9095760221444958, CosSunElevation = 0,12107259222528705, GlobalHorizontalIrradiance = 57,98333333333333, SunshineDuration = 0, DiffuseHorizontalIrradiance = 25, AmbientTemp = 2, WindSpeed = 5,4, SnowDepth = 0, Weight = 0, Age = 4,224166183425683, MeasuredPower = , HasMeasuredPower = False }</t>
  </si>
  <si>
    <t>04.12.2025 08:45:00</t>
  </si>
  <si>
    <t>0,6164369002017506</t>
  </si>
  <si>
    <t>0,12107259222528705</t>
  </si>
  <si>
    <t>PvRecord { Timestamp = 04.12.2025 09:00:00, Index = 0, DirectGeometryFactor = 0,6508858036902182, DiffuseGeometryFactor = 0,9095760221444958, CosSunElevation = 0,15150012496803, GlobalHorizontalIrradiance = 57,98333333333333, SunshineDuration = 0, DiffuseHorizontalIrradiance = 25, AmbientTemp = 2, WindSpeed = 5,4, SnowDepth = 0, Weight = 0, Age = 4,224194703313764, MeasuredPower = , HasMeasuredPower = False }</t>
  </si>
  <si>
    <t>04.12.2025 09:00:00</t>
  </si>
  <si>
    <t>0,6508858036902182</t>
  </si>
  <si>
    <t>0,15150012496803</t>
  </si>
  <si>
    <t>PvRecord { Timestamp = 04.12.2025 09:15:00, Index = 0, DirectGeometryFactor = 0,682272060857538, DiffuseGeometryFactor = 0,9095760221444958, CosSunElevation = 0,1802225802946502, GlobalHorizontalIrradiance = 57,98333333333333, SunshineDuration = 0, DiffuseHorizontalIrradiance = 25, AmbientTemp = 2, WindSpeed = 5,4, SnowDepth = 0, Weight = 0, Age = 4,224223223201846, MeasuredPower = , HasMeasuredPower = False }</t>
  </si>
  <si>
    <t>04.12.2025 09:15:00</t>
  </si>
  <si>
    <t>0,682272060857538</t>
  </si>
  <si>
    <t>0,1802225802946502</t>
  </si>
  <si>
    <t>PvRecord { Timestamp = 04.12.2025 09:30:00, Index = 0, DirectGeometryFactor = 0,7104170237115566, DiffuseGeometryFactor = 0,9095760221444958, CosSunElevation = 0,2070637785119319, GlobalHorizontalIrradiance = 97,39999999999999, SunshineDuration = 0, DiffuseHorizontalIrradiance = 71,5, AmbientTemp = 2,6, WindSpeed = 8,82, SnowDepth = 0, Weight = 0, Age = 4,224251743089927, MeasuredPower = , HasMeasuredPower = False }</t>
  </si>
  <si>
    <t>04.12.2025 09:30:00</t>
  </si>
  <si>
    <t>0,7104170237115566</t>
  </si>
  <si>
    <t>0,2070637785119319</t>
  </si>
  <si>
    <t>71,5</t>
  </si>
  <si>
    <t>PvRecord { Timestamp = 04.12.2025 09:45:00, Index = 0, DirectGeometryFactor = 0,7351767398005893, DiffuseGeometryFactor = 0,9095760221444958, CosSunElevation = 0,23188053182058257, GlobalHorizontalIrradiance = 97,39999999999999, SunshineDuration = 0, DiffuseHorizontalIrradiance = 71,5, AmbientTemp = 2,6, WindSpeed = 8,82, SnowDepth = 0, Weight = 0, Age = 4,224280262978009, MeasuredPower = , HasMeasuredPower = False }</t>
  </si>
  <si>
    <t>04.12.2025 09:45:00</t>
  </si>
  <si>
    <t>0,7351767398005893</t>
  </si>
  <si>
    <t>0,23188053182058257</t>
  </si>
  <si>
    <t>PvRecord { Timestamp = 04.12.2025 10:00:00, Index = 0, DirectGeometryFactor = 0,7564317207362866, DiffuseGeometryFactor = 0,9095760221444958, CosSunElevation = 0,25455028272402236, GlobalHorizontalIrradiance = 97,39999999999999, SunshineDuration = 0, DiffuseHorizontalIrradiance = 71,5, AmbientTemp = 2,6, WindSpeed = 8,82, SnowDepth = 0, Weight = 0, Age = 4,224308782866091, MeasuredPower = , HasMeasuredPower = False }</t>
  </si>
  <si>
    <t>04.12.2025 10:00:00</t>
  </si>
  <si>
    <t>0,7564317207362866</t>
  </si>
  <si>
    <t>0,25455028272402236</t>
  </si>
  <si>
    <t>PvRecord { Timestamp = 04.12.2025 10:15:00, Index = 0, DirectGeometryFactor = 0,7740827181563107, DiffuseGeometryFactor = 0,9095760221444958, CosSunElevation = 0,2749659561209493, GlobalHorizontalIrradiance = 97,39999999999999, SunshineDuration = 0, DiffuseHorizontalIrradiance = 71,5, AmbientTemp = 2,6, WindSpeed = 8,82, SnowDepth = 0, Weight = 0, Age = 4,224337302754172, MeasuredPower = , HasMeasuredPower = False }</t>
  </si>
  <si>
    <t>04.12.2025 10:15:00</t>
  </si>
  <si>
    <t>0,7740827181563107</t>
  </si>
  <si>
    <t>0,2749659561209493</t>
  </si>
  <si>
    <t>PvRecord { Timestamp = 04.12.2025 10:30:00, Index = 0, DirectGeometryFactor = 0,7880488721078884, DiffuseGeometryFactor = 0,9095760221444958, CosSunElevation = 0,29303368754000353, GlobalHorizontalIrradiance = 97,35, SunshineDuration = 0, DiffuseHorizontalIrradiance = 106,5, AmbientTemp = 3,1500000000000004, WindSpeed = 11,879999999999999, SnowDepth = 0, Weight = 0, Age = 4,224365822642254, MeasuredPower = , HasMeasuredPower = False }</t>
  </si>
  <si>
    <t>04.12.2025 10:30:00</t>
  </si>
  <si>
    <t>0,7880488721078884</t>
  </si>
  <si>
    <t>0,29303368754000353</t>
  </si>
  <si>
    <t>97,35</t>
  </si>
  <si>
    <t>106,5</t>
  </si>
  <si>
    <t>PvRecord { Timestamp = 04.12.2025 10:45:00, Index = 0, DirectGeometryFactor = 0,7982668756382661, DiffuseGeometryFactor = 0,9095760221444958, CosSunElevation = 0,30867180657391546, GlobalHorizontalIrradiance = 97,35, SunshineDuration = 0, DiffuseHorizontalIrradiance = 106,5, AmbientTemp = 3,1500000000000004, WindSpeed = 11,879999999999999, SnowDepth = 0, Weight = 0, Age = 4,224394342530335, MeasuredPower = , HasMeasuredPower = False }</t>
  </si>
  <si>
    <t>04.12.2025 10:45:00</t>
  </si>
  <si>
    <t>0,7982668756382661</t>
  </si>
  <si>
    <t>0,30867180657391546</t>
  </si>
  <si>
    <t>PvRecord { Timestamp = 04.12.2025 11:00:00, Index = 0, DirectGeometryFactor = 0,8046905937482173, DiffuseGeometryFactor = 0,9095760221444958, CosSunElevation = 0,3218104031721616, GlobalHorizontalIrradiance = 97,35, SunshineDuration = 0, DiffuseHorizontalIrradiance = 106,5, AmbientTemp = 3,1500000000000004, WindSpeed = 11,879999999999999, SnowDepth = 0, Weight = 0, Age = 4,224422862418417, MeasuredPower = , HasMeasuredPower = False }</t>
  </si>
  <si>
    <t>04.12.2025 11:00:00</t>
  </si>
  <si>
    <t>0,8046905937482173</t>
  </si>
  <si>
    <t>0,3218104031721616</t>
  </si>
  <si>
    <t>PvRecord { Timestamp = 04.12.2025 11:15:00, Index = 0, DirectGeometryFactor = 0,8072908830453571, DiffuseGeometryFactor = 0,9095760221444958, CosSunElevation = 0,3323911727544816, GlobalHorizontalIrradiance = 97,35, SunshineDuration = 0, DiffuseHorizontalIrradiance = 106,5, AmbientTemp = 3,1500000000000004, WindSpeed = 11,879999999999999, SnowDepth = 0, Weight = 0, Age = 4,224451382306499, MeasuredPower = , HasMeasuredPower = False }</t>
  </si>
  <si>
    <t>04.12.2025 11:15:00</t>
  </si>
  <si>
    <t>0,8072908830453571</t>
  </si>
  <si>
    <t>0,3323911727544816</t>
  </si>
  <si>
    <t>PvRecord { Timestamp = 04.12.2025 11:30:00, Index = 0, DirectGeometryFactor = 0,8060554896332326, DiffuseGeometryFactor = 0,9095760221444958, CosSunElevation = 0,34036739299979735, GlobalHorizontalIrradiance = 95,91666666666666, SunshineDuration = 0, DiffuseHorizontalIrradiance = 126, AmbientTemp = 3,6, WindSpeed = 14,22, SnowDepth = 0, Weight = 0, Age = 4,22447990219458, MeasuredPower = , HasMeasuredPower = False }</t>
  </si>
  <si>
    <t>04.12.2025 11:30:00</t>
  </si>
  <si>
    <t>0,8060554896332326</t>
  </si>
  <si>
    <t>0,34036739299979735</t>
  </si>
  <si>
    <t>3,6</t>
  </si>
  <si>
    <t>14,22</t>
  </si>
  <si>
    <t>PvRecord { Timestamp = 04.12.2025 11:45:00, Index = 0, DirectGeometryFactor = 0,8009889625280995, DiffuseGeometryFactor = 0,9095760221444958, CosSunElevation = 0,3457039567103779, GlobalHorizontalIrradiance = 95,91666666666666, SunshineDuration = 0, DiffuseHorizontalIrradiance = 126, AmbientTemp = 3,6, WindSpeed = 14,22, SnowDepth = 0, Weight = 0, Age = 4,224508422082661, MeasuredPower = , HasMeasuredPower = False }</t>
  </si>
  <si>
    <t>04.12.2025 11:45:00</t>
  </si>
  <si>
    <t>0,8009889625280995</t>
  </si>
  <si>
    <t>0,3457039567103779</t>
  </si>
  <si>
    <t>PvRecord { Timestamp = 04.12.2025 12:00:00, Index = 0, DirectGeometryFactor = 0,7921125493114907, DiffuseGeometryFactor = 0,9095760221444958, CosSunElevation = 0,3483774200978806, GlobalHorizontalIrradiance = 95,91666666666666, SunshineDuration = 0, DiffuseHorizontalIrradiance = 126, AmbientTemp = 3,6, WindSpeed = 14,22, SnowDepth = 0, Weight = 0, Age = 4,224536941970743, MeasuredPower = , HasMeasuredPower = False }</t>
  </si>
  <si>
    <t>04.12.2025 12:00:00</t>
  </si>
  <si>
    <t>0,7921125493114907</t>
  </si>
  <si>
    <t>0,3483774200978806</t>
  </si>
  <si>
    <t>PvRecord { Timestamp = 04.12.2025 12:15:00, Index = 0, DirectGeometryFactor = 0,779464056277696, DiffuseGeometryFactor = 0,9095760221444958, CosSunElevation = 0,3483760444593119, GlobalHorizontalIrradiance = 95,91666666666666, SunshineDuration = 0, DiffuseHorizontalIrradiance = 126, AmbientTemp = 3,6, WindSpeed = 14,22, SnowDepth = 0, Weight = 0, Age = 4,224565461858825, MeasuredPower = , HasMeasuredPower = False }</t>
  </si>
  <si>
    <t>04.12.2025 12:15:00</t>
  </si>
  <si>
    <t>0,779464056277696</t>
  </si>
  <si>
    <t>0,3483760444593119</t>
  </si>
  <si>
    <t>PvRecord { Timestamp = 04.12.2025 12:30:00, Index = 0, DirectGeometryFactor = 0,7630976639348328, DiffuseGeometryFactor = 0,9095760221444958, CosSunElevation = 0,34569981949044654, GlobalHorizontalIrradiance = 90,46666666666667, SunshineDuration = 0, DiffuseHorizontalIrradiance = 129, AmbientTemp = 3,8, WindSpeed = 15,3, SnowDepth = 0, Weight = 0, Age = 4,2245939817469065, MeasuredPower = , HasMeasuredPower = False }</t>
  </si>
  <si>
    <t>04.12.2025 12:30:00</t>
  </si>
  <si>
    <t>0,7630976639348328</t>
  </si>
  <si>
    <t>0,34569981949044654</t>
  </si>
  <si>
    <t>PvRecord { Timestamp = 04.12.2025 12:45:00, Index = 0, DirectGeometryFactor = 0,7430836945795336, DiffuseGeometryFactor = 0,9095760221444958, CosSunElevation = 0,3403604631064047, GlobalHorizontalIrradiance = 90,46666666666667, SunshineDuration = 0, DiffuseHorizontalIrradiance = 129, AmbientTemp = 3,8, WindSpeed = 15,3, SnowDepth = 0, Weight = 0, Age = 4,224622501634988, MeasuredPower = , HasMeasuredPower = False }</t>
  </si>
  <si>
    <t>04.12.2025 12:45:00</t>
  </si>
  <si>
    <t>0,7430836945795336</t>
  </si>
  <si>
    <t>0,3403604631064047</t>
  </si>
  <si>
    <t>PvRecord { Timestamp = 04.12.2025 13:00:00, Index = 0, DirectGeometryFactor = 0,7195083329046512, DiffuseGeometryFactor = 0,9095760221444958, CosSunElevation = 0,33238139783377846, GlobalHorizontalIrradiance = 90,46666666666667, SunshineDuration = 0, DiffuseHorizontalIrradiance = 129, AmbientTemp = 3,8, WindSpeed = 15,3, SnowDepth = 0, Weight = 0, Age = 4,224651021523069, MeasuredPower = , HasMeasuredPower = False }</t>
  </si>
  <si>
    <t>04.12.2025 13:00:00</t>
  </si>
  <si>
    <t>0,7195083329046512</t>
  </si>
  <si>
    <t>0,33238139783377846</t>
  </si>
  <si>
    <t>PvRecord { Timestamp = 04.12.2025 13:15:00, Index = 0, DirectGeometryFactor = 0,6924733047463343, DiffuseGeometryFactor = 0,9095760221444958, CosSunElevation = 0,32179770880773356, GlobalHorizontalIrradiance = 90,46666666666667, SunshineDuration = 0, DiffuseHorizontalIrradiance = 129, AmbientTemp = 3,8, WindSpeed = 15,3, SnowDepth = 0, Weight = 0, Age = 4,224679541411151, MeasuredPower = , HasMeasuredPower = False }</t>
  </si>
  <si>
    <t>04.12.2025 13:15:00</t>
  </si>
  <si>
    <t>0,6924733047463343</t>
  </si>
  <si>
    <t>0,32179770880773356</t>
  </si>
  <si>
    <t>PvRecord { Timestamp = 04.12.2025 13:30:00, Index = 0, DirectGeometryFactor = 0,6620955250970096, DiffuseGeometryFactor = 0,9095760221444958, CosSunElevation = 0,30865609518583514, GlobalHorizontalIrradiance = 82,5, SunshineDuration = 0, DiffuseHorizontalIrradiance = 114, AmbientTemp = 3,75, WindSpeed = 14,759999999999998, SnowDepth = 0, Weight = 0, Age = 4,224708061299233, MeasuredPower = , HasMeasuredPower = False }</t>
  </si>
  <si>
    <t>04.12.2025 13:30:00</t>
  </si>
  <si>
    <t>0,6620955250970096</t>
  </si>
  <si>
    <t>0,30865609518583514</t>
  </si>
  <si>
    <t>82,5</t>
  </si>
  <si>
    <t>PvRecord { Timestamp = 04.12.2025 13:45:00, Index = 0, DirectGeometryFactor = 0,6285067348768549, DiffuseGeometryFactor = 0,9095760221444958, CosSunElevation = 0,29301483715192256, GlobalHorizontalIrradiance = 82,5, SunshineDuration = 0, DiffuseHorizontalIrradiance = 114, AmbientTemp = 3,75, WindSpeed = 14,759999999999998, SnowDepth = 0, Weight = 0, Age = 4,224736581187314, MeasuredPower = , HasMeasuredPower = False }</t>
  </si>
  <si>
    <t>04.12.2025 13:45:00</t>
  </si>
  <si>
    <t>0,6285067348768549</t>
  </si>
  <si>
    <t>0,29301483715192256</t>
  </si>
  <si>
    <t>PvRecord { Timestamp = 04.12.2025 14:00:00, Index = 0, DirectGeometryFactor = 0,591853161030377, DiffuseGeometryFactor = 0,9095760221444958, CosSunElevation = 0,27494381895152503, GlobalHorizontalIrradiance = 82,5, SunshineDuration = 0, DiffuseHorizontalIrradiance = 114, AmbientTemp = 3,75, WindSpeed = 14,759999999999998, SnowDepth = 0, Weight = 0, Age = 4,224765101075396, MeasuredPower = , HasMeasuredPower = False }</t>
  </si>
  <si>
    <t>04.12.2025 14:00:00</t>
  </si>
  <si>
    <t>0,591853161030377</t>
  </si>
  <si>
    <t>0,27494381895152503</t>
  </si>
  <si>
    <t>PvRecord { Timestamp = 04.12.2025 14:15:00, Index = 0, DirectGeometryFactor = 0,5522952641733748, DiffuseGeometryFactor = 0,9095760221444958, CosSunElevation = 0,2545246838402863, GlobalHorizontalIrradiance = 82,5, SunshineDuration = 0, DiffuseHorizontalIrradiance = 114, AmbientTemp = 3,75, WindSpeed = 14,759999999999998, SnowDepth = 0, Weight = 0, Age = 4,224793620963477, MeasuredPower = , HasMeasuredPower = False }</t>
  </si>
  <si>
    <t>04.12.2025 14:15:00</t>
  </si>
  <si>
    <t>0,5522952641733748</t>
  </si>
  <si>
    <t>0,2545246838402863</t>
  </si>
  <si>
    <t>PvRecord { Timestamp = 04.12.2025 14:30:00, Index = 0, DirectGeometryFactor = 0,5100076966526276, DiffuseGeometryFactor = 0,9095760221444958, CosSunElevation = 0,2318512683825268, GlobalHorizontalIrradiance = 67,64999999999999, SunshineDuration = 0, DiffuseHorizontalIrradiance = 84, AmbientTemp = 3,45, WindSpeed = 12,96, SnowDepth = 0, Weight = 0, Age = 4,2248221408515585, MeasuredPower = , HasMeasuredPower = False }</t>
  </si>
  <si>
    <t>04.12.2025 14:30:00</t>
  </si>
  <si>
    <t>0,5100076966526276</t>
  </si>
  <si>
    <t>0,2318512683825268</t>
  </si>
  <si>
    <t>PvRecord { Timestamp = 04.12.2025 14:45:00, Index = 0, DirectGeometryFactor = 0,4651797228460694, DiffuseGeometryFactor = 0,9095760221444958, CosSunElevation = 0,20703062015855092, GlobalHorizontalIrradiance = 67,64999999999999, SunshineDuration = 0, DiffuseHorizontalIrradiance = 84, AmbientTemp = 3,45, WindSpeed = 12,96, SnowDepth = 0, Weight = 0, Age = 4,224850660739641, MeasuredPower = , HasMeasuredPower = False }</t>
  </si>
  <si>
    <t>04.12.2025 14:45:00</t>
  </si>
  <si>
    <t>0,4651797228460694</t>
  </si>
  <si>
    <t>0,20703062015855092</t>
  </si>
  <si>
    <t>PvRecord { Timestamp = 04.12.2025 15:00:00, Index = 0, DirectGeometryFactor = 0,4180166583981098, DiffuseGeometryFactor = 0,9095760221444958, CosSunElevation = 0,18018527258418404, GlobalHorizontalIrradiance = 67,64999999999999, SunshineDuration = 0, DiffuseHorizontalIrradiance = 84, AmbientTemp = 3,45, WindSpeed = 12,96, SnowDepth = 0, Weight = 0, Age = 4,224879180627722, MeasuredPower = , HasMeasuredPower = False }</t>
  </si>
  <si>
    <t>04.12.2025 15:00:00</t>
  </si>
  <si>
    <t>0,4180166583981098</t>
  </si>
  <si>
    <t>0,18018527258418404</t>
  </si>
  <si>
    <t>PvRecord { Timestamp = 04.12.2025 15:15:00, Index = 0, DirectGeometryFactor = 0,36874366714496504, DiffuseGeometryFactor = 0,9095760221444958, CosSunElevation = 0,15145840067401603, GlobalHorizontalIrradiance = 67,64999999999999, SunshineDuration = 0, DiffuseHorizontalIrradiance = 84, AmbientTemp = 3,45, WindSpeed = 12,96, SnowDepth = 0, Weight = 0, Age = 4,2249077005158036, MeasuredPower = , HasMeasuredPower = False }</t>
  </si>
  <si>
    <t>04.12.2025 15:15:00</t>
  </si>
  <si>
    <t>0,36874366714496504</t>
  </si>
  <si>
    <t>0,15145840067401603</t>
  </si>
  <si>
    <t>PvRecord { Timestamp = 04.12.2025 15:30:00, Index = 0, DirectGeometryFactor = 0,31761549628227936, DiffuseGeometryFactor = 0,9095760221444958, CosSunElevation = 0,12102620332146195, GlobalHorizontalIrradiance = 50,483333333333334, SunshineDuration = 0, DiffuseHorizontalIrradiance = 44, AmbientTemp = 3,1, WindSpeed = 10,260000000000002, SnowDepth = 0, Weight = 0, Age = 4,224936220403885, MeasuredPower = , HasMeasuredPower = False }</t>
  </si>
  <si>
    <t>04.12.2025 15:30:00</t>
  </si>
  <si>
    <t>0,31761549628227936</t>
  </si>
  <si>
    <t>0,12102620332146195</t>
  </si>
  <si>
    <t>3,1</t>
  </si>
  <si>
    <t>PvRecord { Timestamp = 04.12.2025 15:45:00, Index = 0, DirectGeometryFactor = 0, DiffuseGeometryFactor = 0,9095760221444958, CosSunElevation = 0,0891307118464639, GlobalHorizontalIrradiance = 50,483333333333334, SunshineDuration = 0, DiffuseHorizontalIrradiance = 44, AmbientTemp = 3,1, WindSpeed = 10,260000000000002, SnowDepth = 0, Weight = 0, Age = 4,224964740291966, MeasuredPower = , HasMeasuredPower = False }</t>
  </si>
  <si>
    <t>04.12.2025 15:45:00</t>
  </si>
  <si>
    <t>0,0891307118464639</t>
  </si>
  <si>
    <t>PvRecord { Timestamp = 04.12.2025 16:00:00, Index = 0, DirectGeometryFactor = 0, DiffuseGeometryFactor = 0,9095760221444958, CosSunElevation = 0,056179335328472205, GlobalHorizontalIrradiance = 50,483333333333334, SunshineDuration = 0, DiffuseHorizontalIrradiance = 44, AmbientTemp = 3,1, WindSpeed = 10,260000000000002, SnowDepth = 0, Weight = 0, Age = 4,224993260180049, MeasuredPower = , HasMeasuredPower = False }</t>
  </si>
  <si>
    <t>04.12.2025 16:00:00</t>
  </si>
  <si>
    <t>0,056179335328472205</t>
  </si>
  <si>
    <t>PvRecord { Timestamp = 04.12.2025 16:15:00, Index = 0, DirectGeometryFactor = 0, DiffuseGeometryFactor = 0,9095760221444958, CosSunElevation = 0,023085638308123203, GlobalHorizontalIrradiance = 50,483333333333334, SunshineDuration = 0, DiffuseHorizontalIrradiance = 44, AmbientTemp = 3,1, WindSpeed = 10,260000000000002, SnowDepth = 0, Weight = 0, Age = 4,22502178006813, MeasuredPower = , HasMeasuredPower = False }</t>
  </si>
  <si>
    <t>04.12.2025 16:15:00</t>
  </si>
  <si>
    <t>0,023085638308123203</t>
  </si>
  <si>
    <t>PvRecord { Timestamp = 04.12.2025 16:30:00,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4,225050299956211, MeasuredPower = , HasMeasuredPower = False }</t>
  </si>
  <si>
    <t>04.12.2025 16:30:00</t>
  </si>
  <si>
    <t>PvRecord { Timestamp = 04.12.2025 16:45:00,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4,225078819844293, MeasuredPower = , HasMeasuredPower = False }</t>
  </si>
  <si>
    <t>04.12.2025 16:45:00</t>
  </si>
  <si>
    <t>PvRecord { Timestamp = 04.12.2025 17:00:00,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4,225107339732374, MeasuredPower = , HasMeasuredPower = False }</t>
  </si>
  <si>
    <t>04.12.2025 17:00:00</t>
  </si>
  <si>
    <t>PvRecord { Timestamp = 04.12.2025 17:15:00,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4,2251358596204565, MeasuredPower = , HasMeasuredPower = False }</t>
  </si>
  <si>
    <t>04.12.2025 17:15:00</t>
  </si>
  <si>
    <t>PvRecord { Timestamp = 04.12.2025 17:30:00, Index = 0, DirectGeometryFactor = 0, DiffuseGeometryFactor = 0,9095760221444958, CosSunElevation = 0, GlobalHorizontalIrradiance = 0, SunshineDuration = 0, DiffuseHorizontalIrradiance = 0, AmbientTemp = 2,35, WindSpeed = 8,82, SnowDepth = 0, Weight = 0, Age = 4,225164379508538, MeasuredPower = , HasMeasuredPower = False }</t>
  </si>
  <si>
    <t>04.12.2025 17:30:00</t>
  </si>
  <si>
    <t>PvRecord { Timestamp = 04.12.2025 17:45:00, Index = 0, DirectGeometryFactor = 0, DiffuseGeometryFactor = 0,9095760221444958, CosSunElevation = 0, GlobalHorizontalIrradiance = 0, SunshineDuration = 0, DiffuseHorizontalIrradiance = 0, AmbientTemp = 2,35, WindSpeed = 8,82, SnowDepth = 0, Weight = 0, Age = 4,225192899396619, MeasuredPower = , HasMeasuredPower = False }</t>
  </si>
  <si>
    <t>04.12.2025 17:45:00</t>
  </si>
  <si>
    <t>PvRecord { Timestamp = 04.12.2025 18:00:00, Index = 0, DirectGeometryFactor = 0, DiffuseGeometryFactor = 0,9095760221444958, CosSunElevation = 0, GlobalHorizontalIrradiance = 0, SunshineDuration = 0, DiffuseHorizontalIrradiance = 0, AmbientTemp = 2,35, WindSpeed = 8,82, SnowDepth = 0, Weight = 0, Age = 4,225221419284701, MeasuredPower = , HasMeasuredPower = False }</t>
  </si>
  <si>
    <t>04.12.2025 18:00:00</t>
  </si>
  <si>
    <t>PvRecord { Timestamp = 04.12.2025 18:15:00, Index = 0, DirectGeometryFactor = 0, DiffuseGeometryFactor = 0,9095760221444958, CosSunElevation = 0, GlobalHorizontalIrradiance = 0, SunshineDuration = 0, DiffuseHorizontalIrradiance = 0, AmbientTemp = 2,35, WindSpeed = 8,82, SnowDepth = 0, Weight = 0, Age = 4,225249939172782, MeasuredPower = , HasMeasuredPower = False }</t>
  </si>
  <si>
    <t>04.12.2025 18:15:00</t>
  </si>
  <si>
    <t>PvRecord { Timestamp = 04.12.2025 18:30:00, Index = 0, DirectGeometryFactor = 0, DiffuseGeometryFactor = 0,9095760221444958, CosSunElevation = 0, GlobalHorizontalIrradiance = 0, SunshineDuration = 0, DiffuseHorizontalIrradiance = 0, AmbientTemp = 2,15, WindSpeed = 9,18, SnowDepth = 0, Weight = 0, Age = 4,225278459060864, MeasuredPower = , HasMeasuredPower = False }</t>
  </si>
  <si>
    <t>04.12.2025 18:30:00</t>
  </si>
  <si>
    <t>2,15</t>
  </si>
  <si>
    <t>PvRecord { Timestamp = 04.12.2025 18:45:00, Index = 0, DirectGeometryFactor = 0, DiffuseGeometryFactor = 0,9095760221444958, CosSunElevation = 0, GlobalHorizontalIrradiance = 0, SunshineDuration = 0, DiffuseHorizontalIrradiance = 0, AmbientTemp = 2,15, WindSpeed = 9,18, SnowDepth = 0, Weight = 0, Age = 4,225306978948946, MeasuredPower = , HasMeasuredPower = False }</t>
  </si>
  <si>
    <t>04.12.2025 18:45:00</t>
  </si>
  <si>
    <t>PvRecord { Timestamp = 04.12.2025 19:00:00, Index = 0, DirectGeometryFactor = 0, DiffuseGeometryFactor = 0,9095760221444958, CosSunElevation = 0, GlobalHorizontalIrradiance = 0, SunshineDuration = 0, DiffuseHorizontalIrradiance = 0, AmbientTemp = 2,15, WindSpeed = 9,18, SnowDepth = 0, Weight = 0, Age = 4,225335498837027, MeasuredPower = , HasMeasuredPower = False }</t>
  </si>
  <si>
    <t>04.12.2025 19:00:00</t>
  </si>
  <si>
    <t>PvRecord { Timestamp = 04.12.2025 19:15:00, Index = 0, DirectGeometryFactor = 0, DiffuseGeometryFactor = 0,9095760221444958, CosSunElevation = 0, GlobalHorizontalIrradiance = 0, SunshineDuration = 0, DiffuseHorizontalIrradiance = 0, AmbientTemp = 2,15, WindSpeed = 9,18, SnowDepth = 0, Weight = 0, Age = 4,2253640187251085, MeasuredPower = , HasMeasuredPower = False }</t>
  </si>
  <si>
    <t>04.12.2025 19:15:00</t>
  </si>
  <si>
    <t>PvRecord { Timestamp = 04.12.2025 19:30:00, Index = 0, DirectGeometryFactor = 0, DiffuseGeometryFactor = 0,9095760221444958, CosSunElevation = 0, GlobalHorizontalIrradiance = 0, SunshineDuration = 0, DiffuseHorizontalIrradiance = 0, AmbientTemp = 2,15, WindSpeed = 9,18, SnowDepth = 0, Weight = 0, Age = 4,22539253861319, MeasuredPower = , HasMeasuredPower = False }</t>
  </si>
  <si>
    <t>04.12.2025 19:30:00</t>
  </si>
  <si>
    <t>PvRecord { Timestamp = 04.12.2025 19:45:00, Index = 0, DirectGeometryFactor = 0, DiffuseGeometryFactor = 0,9095760221444958, CosSunElevation = 0, GlobalHorizontalIrradiance = 0, SunshineDuration = 0, DiffuseHorizontalIrradiance = 0, AmbientTemp = 2,15, WindSpeed = 9,18, SnowDepth = 0, Weight = 0, Age = 4,225421058501272, MeasuredPower = , HasMeasuredPower = False }</t>
  </si>
  <si>
    <t>04.12.2025 19:45:00</t>
  </si>
  <si>
    <t>PvRecord { Timestamp = 04.12.2025 20:00:00, Index = 0, DirectGeometryFactor = 0, DiffuseGeometryFactor = 0,9095760221444958, CosSunElevation = 0, GlobalHorizontalIrradiance = 0, SunshineDuration = 0, DiffuseHorizontalIrradiance = 0, AmbientTemp = 2,15, WindSpeed = 9,18, SnowDepth = 0, Weight = 0, Age = 4,2254495783893535, MeasuredPower = , HasMeasuredPower = False }</t>
  </si>
  <si>
    <t>04.12.2025 20:00:00</t>
  </si>
  <si>
    <t>PvRecord { Timestamp = 04.12.2025 20:15:00, Index = 0, DirectGeometryFactor = 0, DiffuseGeometryFactor = 0,9095760221444958, CosSunElevation = 0, GlobalHorizontalIrradiance = 0, SunshineDuration = 0, DiffuseHorizontalIrradiance = 0, AmbientTemp = 2,15, WindSpeed = 9,18, SnowDepth = 0, Weight = 0, Age = 4,225478098277435, MeasuredPower = , HasMeasuredPower = False }</t>
  </si>
  <si>
    <t>04.12.2025 20:15:00</t>
  </si>
  <si>
    <t>PvRecord { Timestamp = 04.12.2025 20:30:00, Index = 0, DirectGeometryFactor = 0, DiffuseGeometryFactor = 0,9095760221444958, CosSunElevation = 0, GlobalHorizontalIrradiance = 0, SunshineDuration = 0, DiffuseHorizontalIrradiance = 0, AmbientTemp = 2,2, WindSpeed = 8,64, SnowDepth = 0, Weight = 0, Age = 4,225506618165516, MeasuredPower = , HasMeasuredPower = False }</t>
  </si>
  <si>
    <t>04.12.2025 20:30:00</t>
  </si>
  <si>
    <t>PvRecord { Timestamp = 04.12.2025 20:45:00, Index = 0, DirectGeometryFactor = 0, DiffuseGeometryFactor = 0,9095760221444958, CosSunElevation = 0, GlobalHorizontalIrradiance = 0, SunshineDuration = 0, DiffuseHorizontalIrradiance = 0, AmbientTemp = 2,2, WindSpeed = 8,64, SnowDepth = 0, Weight = 0, Age = 4,225535138053598, MeasuredPower = , HasMeasuredPower = False }</t>
  </si>
  <si>
    <t>04.12.2025 20:45:00</t>
  </si>
  <si>
    <t>PvRecord { Timestamp = 04.12.2025 21:00:00, Index = 0, DirectGeometryFactor = 0, DiffuseGeometryFactor = 0,9095760221444958, CosSunElevation = 0, GlobalHorizontalIrradiance = 0, SunshineDuration = 0, DiffuseHorizontalIrradiance = 0, AmbientTemp = 2,2, WindSpeed = 8,64, SnowDepth = 0, Weight = 0, Age = 4,22556365794168, MeasuredPower = , HasMeasuredPower = False }</t>
  </si>
  <si>
    <t>04.12.2025 21:00:00</t>
  </si>
  <si>
    <t>PvRecord { Timestamp = 04.12.2025 21:15:00, Index = 0, DirectGeometryFactor = 0, DiffuseGeometryFactor = 0,9095760221444958, CosSunElevation = 0, GlobalHorizontalIrradiance = 0, SunshineDuration = 0, DiffuseHorizontalIrradiance = 0, AmbientTemp = 2,2, WindSpeed = 8,64, SnowDepth = 0, Weight = 0, Age = 4,225592177829761, MeasuredPower = , HasMeasuredPower = False }</t>
  </si>
  <si>
    <t>04.12.2025 21:15:00</t>
  </si>
  <si>
    <t>PvRecord { Timestamp = 04.12.2025 21:30:00,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4,225620697717843, MeasuredPower = , HasMeasuredPower = False }</t>
  </si>
  <si>
    <t>04.12.2025 21:30:00</t>
  </si>
  <si>
    <t>PvRecord { Timestamp = 04.12.2025 21:45:00,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4,225649217605924, MeasuredPower = , HasMeasuredPower = False }</t>
  </si>
  <si>
    <t>04.12.2025 21:45:00</t>
  </si>
  <si>
    <t>PvRecord { Timestamp = 04.12.2025 22:00:00,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4,2256777374940055, MeasuredPower = , HasMeasuredPower = False }</t>
  </si>
  <si>
    <t>04.12.2025 22:00:00</t>
  </si>
  <si>
    <t>PvRecord { Timestamp = 04.12.2025 22:15:00,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4,225706257382088, MeasuredPower = , HasMeasuredPower = False }</t>
  </si>
  <si>
    <t>04.12.2025 22:15:00</t>
  </si>
  <si>
    <t>PvRecord { Timestamp = 04.12.2025 22:30:00, Index = 0, DirectGeometryFactor = 0, DiffuseGeometryFactor = 0,9095760221444958, CosSunElevation = 0, GlobalHorizontalIrradiance = 0, SunshineDuration = 0, DiffuseHorizontalIrradiance = 0, AmbientTemp = 2,6, WindSpeed = 7,74, SnowDepth = 0, Weight = 0, Age = 4,225734777270169, MeasuredPower = , HasMeasuredPower = False }</t>
  </si>
  <si>
    <t>04.12.2025 22:30:00</t>
  </si>
  <si>
    <t>PvRecord { Timestamp = 04.12.2025 22:45:00, Index = 0, DirectGeometryFactor = 0, DiffuseGeometryFactor = 0,9095760221444958, CosSunElevation = 0, GlobalHorizontalIrradiance = 0, SunshineDuration = 0, DiffuseHorizontalIrradiance = 0, AmbientTemp = 2,6, WindSpeed = 7,74, SnowDepth = 0, Weight = 0, Age = 4,225763297158251, MeasuredPower = , HasMeasuredPower = False }</t>
  </si>
  <si>
    <t>04.12.2025 22:45:00</t>
  </si>
  <si>
    <t>PvRecord { Timestamp = 04.12.2025 23:00:00, Index = 0, DirectGeometryFactor = 0, DiffuseGeometryFactor = 0,9095760221444958, CosSunElevation = 0, GlobalHorizontalIrradiance = 0, SunshineDuration = 0, DiffuseHorizontalIrradiance = 0, AmbientTemp = 2,6, WindSpeed = 7,74, SnowDepth = 0, Weight = 0, Age = 4,225791817046332, MeasuredPower = , HasMeasuredPower = False }</t>
  </si>
  <si>
    <t>04.12.2025 23:00:00</t>
  </si>
  <si>
    <t>PvRecord { Timestamp = 04.12.2025 23:15:00, Index = 0, DirectGeometryFactor = 0, DiffuseGeometryFactor = 0,9095760221444958, CosSunElevation = 0, GlobalHorizontalIrradiance = 0, SunshineDuration = 0, DiffuseHorizontalIrradiance = 0, AmbientTemp = 2,6, WindSpeed = 7,74, SnowDepth = 0, Weight = 0, Age = 4,225820336934413, MeasuredPower = , HasMeasuredPower = False }</t>
  </si>
  <si>
    <t>04.12.2025 23:15:00</t>
  </si>
  <si>
    <t>PvRecord { Timestamp = 04.12.2025 23:30:00,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4,225848856822496, MeasuredPower = , HasMeasuredPower = False }</t>
  </si>
  <si>
    <t>04.12.2025 23:30:00</t>
  </si>
  <si>
    <t>PvRecord { Timestamp = 04.12.2025 23:45:00,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4,225877376710577, MeasuredPower = , HasMeasuredPower = False }</t>
  </si>
  <si>
    <t>04.12.2025 23:45:00</t>
  </si>
  <si>
    <t>PvRecord { Timestamp = 05.12.2025 00:00:00,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4,2259058965986585, MeasuredPower = , HasMeasuredPower = False }</t>
  </si>
  <si>
    <t>05.12.2025 00:00:00</t>
  </si>
  <si>
    <t>PvRecord { Timestamp = 05.12.2025 00:15:00,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4,22593441648674, MeasuredPower = , HasMeasuredPower = False }</t>
  </si>
  <si>
    <t>05.12.2025 00:15:00</t>
  </si>
  <si>
    <t>PvRecord { Timestamp = 05.12.2025 00:30:00, Index = 0, DirectGeometryFactor = 0, DiffuseGeometryFactor = 0,9095760221444958, CosSunElevation = 0, GlobalHorizontalIrradiance = 0, SunshineDuration = 0, DiffuseHorizontalIrradiance = 0, AmbientTemp = 2,75, WindSpeed = 9, SnowDepth = 0, Weight = 0, Age = 4,225962936374821, MeasuredPower = , HasMeasuredPower = False }</t>
  </si>
  <si>
    <t>05.12.2025 00:30:00</t>
  </si>
  <si>
    <t>PvRecord { Timestamp = 05.12.2025 00:45:00, Index = 0, DirectGeometryFactor = 0, DiffuseGeometryFactor = 0,9095760221444958, CosSunElevation = 0, GlobalHorizontalIrradiance = 0, SunshineDuration = 0, DiffuseHorizontalIrradiance = 0, AmbientTemp = 2,75, WindSpeed = 9, SnowDepth = 0, Weight = 0, Age = 4,2259914562629035, MeasuredPower = , HasMeasuredPower = False }</t>
  </si>
  <si>
    <t>05.12.2025 00:45:00</t>
  </si>
  <si>
    <t>PvRecord { Timestamp = 05.12.2025 01:00:00, Index = 0, DirectGeometryFactor = 0, DiffuseGeometryFactor = 0,9095760221444958, CosSunElevation = 0, GlobalHorizontalIrradiance = 0, SunshineDuration = 0, DiffuseHorizontalIrradiance = 0, AmbientTemp = 2,75, WindSpeed = 9, SnowDepth = 0, Weight = 0, Age = 4,226019976150985, MeasuredPower = , HasMeasuredPower = False }</t>
  </si>
  <si>
    <t>05.12.2025 01:00:00</t>
  </si>
  <si>
    <t>PvRecord { Timestamp = 05.12.2025 01:15:00, Index = 0, DirectGeometryFactor = 0, DiffuseGeometryFactor = 0,9095760221444958, CosSunElevation = 0, GlobalHorizontalIrradiance = 0, SunshineDuration = 0, DiffuseHorizontalIrradiance = 0, AmbientTemp = 2,75, WindSpeed = 9, SnowDepth = 0, Weight = 0, Age = 4,226048496039066, MeasuredPower = , HasMeasuredPower = False }</t>
  </si>
  <si>
    <t>05.12.2025 01:15:00</t>
  </si>
  <si>
    <t>PvRecord { Timestamp = 05.12.2025 01:30:00, Index = 0, DirectGeometryFactor = 0, DiffuseGeometryFactor = 0,9095760221444958, CosSunElevation = 0, GlobalHorizontalIrradiance = 0, SunshineDuration = 0, DiffuseHorizontalIrradiance = 0, AmbientTemp = 2,65, WindSpeed = 10,26, SnowDepth = 0, Weight = 0, Age = 4,226077015927148, MeasuredPower = , HasMeasuredPower = False }</t>
  </si>
  <si>
    <t>05.12.2025 01:30:00</t>
  </si>
  <si>
    <t>2,65</t>
  </si>
  <si>
    <t>PvRecord { Timestamp = 05.12.2025 01:45:00, Index = 0, DirectGeometryFactor = 0, DiffuseGeometryFactor = 0,9095760221444958, CosSunElevation = 0, GlobalHorizontalIrradiance = 0, SunshineDuration = 0, DiffuseHorizontalIrradiance = 0, AmbientTemp = 2,65, WindSpeed = 10,26, SnowDepth = 0, Weight = 0, Age = 4,226105535815229, MeasuredPower = , HasMeasuredPower = False }</t>
  </si>
  <si>
    <t>05.12.2025 01:45:00</t>
  </si>
  <si>
    <t>PvRecord { Timestamp = 05.12.2025 02:00:00, Index = 0, DirectGeometryFactor = 0, DiffuseGeometryFactor = 0,9095760221444958, CosSunElevation = 0, GlobalHorizontalIrradiance = 0, SunshineDuration = 0, DiffuseHorizontalIrradiance = 0, AmbientTemp = 2,65, WindSpeed = 10,26, SnowDepth = 0, Weight = 0, Age = 4,226134055703311, MeasuredPower = , HasMeasuredPower = False }</t>
  </si>
  <si>
    <t>05.12.2025 02:00:00</t>
  </si>
  <si>
    <t>PvRecord { Timestamp = 05.12.2025 02:15:00, Index = 0, DirectGeometryFactor = 0, DiffuseGeometryFactor = 0,9095760221444958, CosSunElevation = 0, GlobalHorizontalIrradiance = 0, SunshineDuration = 0, DiffuseHorizontalIrradiance = 0, AmbientTemp = 2,65, WindSpeed = 10,26, SnowDepth = 0, Weight = 0, Age = 4,226162575591393, MeasuredPower = , HasMeasuredPower = False }</t>
  </si>
  <si>
    <t>05.12.2025 02:15:00</t>
  </si>
  <si>
    <t>PvRecord { Timestamp = 05.12.2025 02:30:00, Index = 0, DirectGeometryFactor = 0, DiffuseGeometryFactor = 0,9095760221444958, CosSunElevation = 0, GlobalHorizontalIrradiance = 0, SunshineDuration = 0, DiffuseHorizontalIrradiance = 0, AmbientTemp = 2,45, WindSpeed = 11,34, SnowDepth = 0, Weight = 0, Age = 4,226191095479474, MeasuredPower = , HasMeasuredPower = False }</t>
  </si>
  <si>
    <t>05.12.2025 02:30:00</t>
  </si>
  <si>
    <t>PvRecord { Timestamp = 05.12.2025 02:45:00, Index = 0, DirectGeometryFactor = 0, DiffuseGeometryFactor = 0,9095760221444958, CosSunElevation = 0, GlobalHorizontalIrradiance = 0, SunshineDuration = 0, DiffuseHorizontalIrradiance = 0, AmbientTemp = 2,45, WindSpeed = 11,34, SnowDepth = 0, Weight = 0, Age = 4,2262196153675555, MeasuredPower = , HasMeasuredPower = False }</t>
  </si>
  <si>
    <t>05.12.2025 02:45:00</t>
  </si>
  <si>
    <t>PvRecord { Timestamp = 05.12.2025 03:00:00, Index = 0, DirectGeometryFactor = 0, DiffuseGeometryFactor = 0,9095760221444958, CosSunElevation = 0, GlobalHorizontalIrradiance = 0, SunshineDuration = 0, DiffuseHorizontalIrradiance = 0, AmbientTemp = 2,45, WindSpeed = 11,34, SnowDepth = 0, Weight = 0, Age = 4,226248135255637, MeasuredPower = , HasMeasuredPower = False }</t>
  </si>
  <si>
    <t>05.12.2025 03:00:00</t>
  </si>
  <si>
    <t>PvRecord { Timestamp = 05.12.2025 03:15:00, Index = 0, DirectGeometryFactor = 0, DiffuseGeometryFactor = 0,9095760221444958, CosSunElevation = 0, GlobalHorizontalIrradiance = 0, SunshineDuration = 0, DiffuseHorizontalIrradiance = 0, AmbientTemp = 2,45, WindSpeed = 11,34, SnowDepth = 0, Weight = 0, Age = 4,226276655143719, MeasuredPower = , HasMeasuredPower = False }</t>
  </si>
  <si>
    <t>05.12.2025 03:15:00</t>
  </si>
  <si>
    <t>PvRecord { Timestamp = 05.12.2025 03:30:00,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4,226305175031801, MeasuredPower = , HasMeasuredPower = False }</t>
  </si>
  <si>
    <t>05.12.2025 03:30:00</t>
  </si>
  <si>
    <t>PvRecord { Timestamp = 05.12.2025 03:45:00,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4,226333694919882, MeasuredPower = , HasMeasuredPower = False }</t>
  </si>
  <si>
    <t>05.12.2025 03:45:00</t>
  </si>
  <si>
    <t>PvRecord { Timestamp = 05.12.2025 04:00:00,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4,226362214807963, MeasuredPower = , HasMeasuredPower = False }</t>
  </si>
  <si>
    <t>05.12.2025 04:00:00</t>
  </si>
  <si>
    <t>PvRecord { Timestamp = 05.12.2025 04:15:00,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4,226390734696046, MeasuredPower = , HasMeasuredPower = False }</t>
  </si>
  <si>
    <t>05.12.2025 04:15:00</t>
  </si>
  <si>
    <t>PvRecord { Timestamp = 05.12.2025 04:30:00,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4,226419254584127, MeasuredPower = , HasMeasuredPower = False }</t>
  </si>
  <si>
    <t>05.12.2025 04:30:00</t>
  </si>
  <si>
    <t>PvRecord { Timestamp = 05.12.2025 04:45:00,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4,226447774472208, MeasuredPower = , HasMeasuredPower = False }</t>
  </si>
  <si>
    <t>05.12.2025 04:45:00</t>
  </si>
  <si>
    <t>PvRecord { Timestamp = 05.12.2025 05:00:00,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4,22647629436029, MeasuredPower = , HasMeasuredPower = False }</t>
  </si>
  <si>
    <t>05.12.2025 05:00:00</t>
  </si>
  <si>
    <t>PvRecord { Timestamp = 05.12.2025 05:15:00,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4,226504814248371, MeasuredPower = , HasMeasuredPower = False }</t>
  </si>
  <si>
    <t>05.12.2025 05:15:00</t>
  </si>
  <si>
    <t>PvRecord { Timestamp = 05.12.2025 05:30:00,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4,2265333341364535, MeasuredPower = , HasMeasuredPower = False }</t>
  </si>
  <si>
    <t>05.12.2025 05:30:00</t>
  </si>
  <si>
    <t>PvRecord { Timestamp = 05.12.2025 05:45:00,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4,226561854024535, MeasuredPower = , HasMeasuredPower = False }</t>
  </si>
  <si>
    <t>05.12.2025 05:45:00</t>
  </si>
  <si>
    <t>PvRecord { Timestamp = 05.12.2025 06:00:00,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4,226590373912616, MeasuredPower = , HasMeasuredPower = False }</t>
  </si>
  <si>
    <t>05.12.2025 06:00:00</t>
  </si>
  <si>
    <t>PvRecord { Timestamp = 05.12.2025 06:15:00,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4,226618893800698, MeasuredPower = , HasMeasuredPower = False }</t>
  </si>
  <si>
    <t>05.12.2025 06:15:00</t>
  </si>
  <si>
    <t>PvRecord { Timestamp = 05.12.2025 06:30:00, Index = 0, DirectGeometryFactor = 0, DiffuseGeometryFactor = 0,9095760221444958, CosSunElevation = 0, GlobalHorizontalIrradiance = 0, SunshineDuration = 0, DiffuseHorizontalIrradiance = 0, AmbientTemp = 1,9, WindSpeed = 15,66, SnowDepth = 0, Weight = 0, Age = 4,226647413688779, MeasuredPower = , HasMeasuredPower = False }</t>
  </si>
  <si>
    <t>05.12.2025 06:30:00</t>
  </si>
  <si>
    <t>1,9</t>
  </si>
  <si>
    <t>15,66</t>
  </si>
  <si>
    <t>PvRecord { Timestamp = 05.12.2025 06:45:00, Index = 0, DirectGeometryFactor = 0, DiffuseGeometryFactor = 0,9095760221444958, CosSunElevation = 0, GlobalHorizontalIrradiance = 0, SunshineDuration = 0, DiffuseHorizontalIrradiance = 0, AmbientTemp = 1,9, WindSpeed = 15,66, SnowDepth = 0, Weight = 0, Age = 4,226675933576861, MeasuredPower = , HasMeasuredPower = False }</t>
  </si>
  <si>
    <t>05.12.2025 06:45:00</t>
  </si>
  <si>
    <t>PvRecord { Timestamp = 05.12.2025 07:00:00, Index = 0, DirectGeometryFactor = 0, DiffuseGeometryFactor = 0,9095760221444958, CosSunElevation = 0, GlobalHorizontalIrradiance = 0, SunshineDuration = 0, DiffuseHorizontalIrradiance = 0, AmbientTemp = 1,9, WindSpeed = 15,66, SnowDepth = 0, Weight = 0, Age = 4,226704453464943, MeasuredPower = , HasMeasuredPower = False }</t>
  </si>
  <si>
    <t>05.12.2025 07:00:00</t>
  </si>
  <si>
    <t>PvRecord { Timestamp = 05.12.2025 07:15:00, Index = 0, DirectGeometryFactor = 0, DiffuseGeometryFactor = 0,9095760221444958, CosSunElevation = 0, GlobalHorizontalIrradiance = 0, SunshineDuration = 0, DiffuseHorizontalIrradiance = 0, AmbientTemp = 1,9, WindSpeed = 15,66, SnowDepth = 0, Weight = 0, Age = 4,226732973353024, MeasuredPower = , HasMeasuredPower = False }</t>
  </si>
  <si>
    <t>05.12.2025 07:15:00</t>
  </si>
  <si>
    <t>PvRecord { Timestamp = 05.12.2025 07:30:00, Index = 0, DirectGeometryFactor = 0, DiffuseGeometryFactor = 0,9095760221444958, CosSunElevation = 0, GlobalHorizontalIrradiance = 0, SunshineDuration = 0, DiffuseHorizontalIrradiance = 0, AmbientTemp = 2,3, WindSpeed = 15,3, SnowDepth = 0, Weight = 0, Age = 4,2267614932411055, MeasuredPower = , HasMeasuredPower = False }</t>
  </si>
  <si>
    <t>05.12.2025 07:30:00</t>
  </si>
  <si>
    <t>PvRecord { Timestamp = 05.12.2025 07:45:00, Index = 0, DirectGeometryFactor = 0, DiffuseGeometryFactor = 0,9095760221444958, CosSunElevation = 0, GlobalHorizontalIrradiance = 0, SunshineDuration = 0, DiffuseHorizontalIrradiance = 0, AmbientTemp = 2,3, WindSpeed = 15,3, SnowDepth = 0, Weight = 0, Age = 4,226790013129187, MeasuredPower = , HasMeasuredPower = False }</t>
  </si>
  <si>
    <t>05.12.2025 07:45:00</t>
  </si>
  <si>
    <t>PvRecord { Timestamp = 05.12.2025 08:00:00, Index = 0, DirectGeometryFactor = 0, DiffuseGeometryFactor = 0,9095760221444958, CosSunElevation = 0,0206453257008458, GlobalHorizontalIrradiance = 0, SunshineDuration = 0, DiffuseHorizontalIrradiance = 0, AmbientTemp = 2,3, WindSpeed = 15,3, SnowDepth = 0, Weight = 0, Age = 4,226818533017269, MeasuredPower = , HasMeasuredPower = False }</t>
  </si>
  <si>
    <t>05.12.2025 08:00:00</t>
  </si>
  <si>
    <t>0,0206453257008458</t>
  </si>
  <si>
    <t>PvRecord { Timestamp = 05.12.2025 08:15:00, Index = 0, DirectGeometryFactor = 0,5373418092273446, DiffuseGeometryFactor = 0,9095760221444958, CosSunElevation = 0,05358428108103529, GlobalHorizontalIrradiance = 0, SunshineDuration = 0, DiffuseHorizontalIrradiance = 0, AmbientTemp = 2,3, WindSpeed = 15,3, SnowDepth = 0, Weight = 0, Age = 4,226847052905351, MeasuredPower = , HasMeasuredPower = False }</t>
  </si>
  <si>
    <t>05.12.2025 08:15:00</t>
  </si>
  <si>
    <t>0,5373418092273446</t>
  </si>
  <si>
    <t>0,05358428108103529</t>
  </si>
  <si>
    <t>PvRecord { Timestamp = 05.12.2025 08:30:00, Index = 0, DirectGeometryFactor = 0,5770376190229827, DiffuseGeometryFactor = 0,9095760221444958, CosSunElevation = 0,08648180478972853, GlobalHorizontalIrradiance = 128,91666666666666, SunshineDuration = 0, DiffuseHorizontalIrradiance = 26,5, AmbientTemp = 2,9000000000000004, WindSpeed = 14,040000000000001, SnowDepth = 0, Weight = 0, Age = 4,226875572793432, MeasuredPower = , HasMeasuredPower = False }</t>
  </si>
  <si>
    <t>05.12.2025 08:30:00</t>
  </si>
  <si>
    <t>0,5770376190229827</t>
  </si>
  <si>
    <t>0,08648180478972853</t>
  </si>
  <si>
    <t>26,5</t>
  </si>
  <si>
    <t>PvRecord { Timestamp = 05.12.2025 08:45:00, Index = 0, DirectGeometryFactor = 0,6143324431670136, DiffuseGeometryFactor = 0,9095760221444958, CosSunElevation = 0,11836162406397016, GlobalHorizontalIrradiance = 128,91666666666666, SunshineDuration = 0, DiffuseHorizontalIrradiance = 26,5, AmbientTemp = 2,9000000000000004, WindSpeed = 14,040000000000001, SnowDepth = 0, Weight = 0, Age = 4,226904092681513, MeasuredPower = , HasMeasuredPower = False }</t>
  </si>
  <si>
    <t>05.12.2025 08:45:00</t>
  </si>
  <si>
    <t>0,6143324431670136</t>
  </si>
  <si>
    <t>0,11836162406397016</t>
  </si>
  <si>
    <t>PvRecord { Timestamp = 05.12.2025 09:00:00, Index = 0, DirectGeometryFactor = 0,648823075647734, DiffuseGeometryFactor = 0,9095760221444958, CosSunElevation = 0,1487964046698075, GlobalHorizontalIrradiance = 128,91666666666666, SunshineDuration = 0, DiffuseHorizontalIrradiance = 26,5, AmbientTemp = 2,9000000000000004, WindSpeed = 14,040000000000001, SnowDepth = 0, Weight = 0, Age = 4,226932612569595, MeasuredPower = , HasMeasuredPower = False }</t>
  </si>
  <si>
    <t>05.12.2025 09:00:00</t>
  </si>
  <si>
    <t>0,648823075647734</t>
  </si>
  <si>
    <t>0,1487964046698075</t>
  </si>
  <si>
    <t>PvRecord { Timestamp = 05.12.2025 09:15:00, Index = 0, DirectGeometryFactor = 0,680262767279882, DiffuseGeometryFactor = 0,9095760221444958, CosSunElevation = 0,17753713240910668, GlobalHorizontalIrradiance = 128,91666666666666, SunshineDuration = 0, DiffuseHorizontalIrradiance = 26,5, AmbientTemp = 2,9000000000000004, WindSpeed = 14,040000000000001, SnowDepth = 0, Weight = 0, Age = 4,226961132457677, MeasuredPower = , HasMeasuredPower = False }</t>
  </si>
  <si>
    <t>05.12.2025 09:15:00</t>
  </si>
  <si>
    <t>0,680262767279882</t>
  </si>
  <si>
    <t>0,17753713240910668</t>
  </si>
  <si>
    <t>PvRecord { Timestamp = 05.12.2025 09:30:00, Index = 0, DirectGeometryFactor = 0,7084702453221181, DiffuseGeometryFactor = 0,9095760221444958, CosSunElevation = 0,20440468921648047, GlobalHorizontalIrradiance = 205,53333333333333, SunshineDuration = 0, DiffuseHorizontalIrradiance = 78,5, AmbientTemp = 3,65, WindSpeed = 13,32, SnowDepth = 0, Weight = 0, Age = 4,226989652345758, MeasuredPower = , HasMeasuredPower = False }</t>
  </si>
  <si>
    <t>05.12.2025 09:30:00</t>
  </si>
  <si>
    <t>0,7084702453221181</t>
  </si>
  <si>
    <t>0,20440468921648047</t>
  </si>
  <si>
    <t>78,5</t>
  </si>
  <si>
    <t>3,65</t>
  </si>
  <si>
    <t>PvRecord { Timestamp = 05.12.2025 09:45:00, Index = 0, DirectGeometryFactor = 0,7333001877084705, DiffuseGeometryFactor = 0,9095760221444958, CosSunElevation = 0,22925445907848324, GlobalHorizontalIrradiance = 205,53333333333333, SunshineDuration = 0, DiffuseHorizontalIrradiance = 78,5, AmbientTemp = 3,65, WindSpeed = 13,32, SnowDepth = 0, Weight = 0, Age = 4,22701817223384, MeasuredPower = , HasMeasuredPower = False }</t>
  </si>
  <si>
    <t>05.12.2025 09:45:00</t>
  </si>
  <si>
    <t>0,7333001877084705</t>
  </si>
  <si>
    <t>0,22925445907848324</t>
  </si>
  <si>
    <t>PvRecord { Timestamp = 05.12.2025 10:00:00, Index = 0, DirectGeometryFactor = 0,7546322445798677, DiffuseGeometryFactor = 0,9095760221444958, CosSunElevation = 0,25196307494222736, GlobalHorizontalIrradiance = 205,53333333333333, SunshineDuration = 0, DiffuseHorizontalIrradiance = 78,5, AmbientTemp = 3,65, WindSpeed = 13,32, SnowDepth = 0, Weight = 0, Age = 4,227046692121921, MeasuredPower = , HasMeasuredPower = False }</t>
  </si>
  <si>
    <t>05.12.2025 10:00:00</t>
  </si>
  <si>
    <t>0,7546322445798677</t>
  </si>
  <si>
    <t>0,25196307494222736</t>
  </si>
  <si>
    <t>PvRecord { Timestamp = 05.12.2025 10:15:00, Index = 0, DirectGeometryFactor = 0,7723665283355139, DiffuseGeometryFactor = 0,9095760221444958, CosSunElevation = 0,27242292839591387, GlobalHorizontalIrradiance = 205,53333333333333, SunshineDuration = 0, DiffuseHorizontalIrradiance = 78,5, AmbientTemp = 3,65, WindSpeed = 13,32, SnowDepth = 0, Weight = 0, Age = 4,227075212010003, MeasuredPower = , HasMeasuredPower = False }</t>
  </si>
  <si>
    <t>05.12.2025 10:15:00</t>
  </si>
  <si>
    <t>0,7723665283355139</t>
  </si>
  <si>
    <t>0,27242292839591387</t>
  </si>
  <si>
    <t>PvRecord { Timestamp = 05.12.2025 10:30:00, Index = 0, DirectGeometryFactor = 0,7864216404618526, DiffuseGeometryFactor = 0,9095760221444958, CosSunElevation = 0,2905397515406007, GlobalHorizontalIrradiance = 206,01666666666665, SunshineDuration = 0, DiffuseHorizontalIrradiance = 118, AmbientTemp = 4,35, WindSpeed = 13,68, SnowDepth = 0, Weight = 0, Age = 4,227103731898085, MeasuredPower = , HasMeasuredPower = False }</t>
  </si>
  <si>
    <t>05.12.2025 10:30:00</t>
  </si>
  <si>
    <t>0,7864216404618526</t>
  </si>
  <si>
    <t>0,2905397515406007</t>
  </si>
  <si>
    <t>4,35</t>
  </si>
  <si>
    <t>PvRecord { Timestamp = 05.12.2025 10:45:00, Index = 0, DirectGeometryFactor = 0,7967337801370749, DiffuseGeometryFactor = 0,9095760221444958, CosSunElevation = 0,3062315323577925, GlobalHorizontalIrradiance = 206,01666666666665, SunshineDuration = 0, DiffuseHorizontalIrradiance = 118, AmbientTemp = 4,35, WindSpeed = 13,68, SnowDepth = 0, Weight = 0, Age = 4,227132251786166, MeasuredPower = , HasMeasuredPower = False }</t>
  </si>
  <si>
    <t>05.12.2025 10:45:00</t>
  </si>
  <si>
    <t>0,7967337801370749</t>
  </si>
  <si>
    <t>0,3062315323577925</t>
  </si>
  <si>
    <t>PvRecord { Timestamp = 05.12.2025 11:00:00, Index = 0, DirectGeometryFactor = 0,8032563359065359, DiffuseGeometryFactor = 0,9095760221444958, CosSunElevation = 0,31942804723562424, GlobalHorizontalIrradiance = 206,01666666666665, SunshineDuration = 0, DiffuseHorizontalIrradiance = 118, AmbientTemp = 4,35, WindSpeed = 13,68, SnowDepth = 0, Weight = 0, Age = 4,227160771674248, MeasuredPower = , HasMeasuredPower = False }</t>
  </si>
  <si>
    <t>05.12.2025 11:00:00</t>
  </si>
  <si>
    <t>0,8032563359065359</t>
  </si>
  <si>
    <t>0,31942804723562424</t>
  </si>
  <si>
    <t>PvRecord { Timestamp = 05.12.2025 11:15:00, Index = 0, DirectGeometryFactor = 0,8059596916437866, DiffuseGeometryFactor = 0,9095760221444958, CosSunElevation = 0,33007068854983995, GlobalHorizontalIrradiance = 206,01666666666665, SunshineDuration = 0, DiffuseHorizontalIrradiance = 118, AmbientTemp = 4,35, WindSpeed = 13,68, SnowDepth = 0, Weight = 0, Age = 4,227189291562329, MeasuredPower = , HasMeasuredPower = False }</t>
  </si>
  <si>
    <t>05.12.2025 11:15:00</t>
  </si>
  <si>
    <t>0,8059596916437866</t>
  </si>
  <si>
    <t>0,33007068854983995</t>
  </si>
  <si>
    <t>PvRecord { Timestamp = 05.12.2025 11:30:00, Index = 0, DirectGeometryFactor = 0,8048311176206824, DiffuseGeometryFactor = 0,9095760221444958, CosSunElevation = 0,3381124321292761, GlobalHorizontalIrradiance = 204,31666666666666, SunshineDuration = 0, DiffuseHorizontalIrradiance = 140,5, AmbientTemp = 5, WindSpeed = 14,4, SnowDepth = 0, Weight = 0, Age = 4,22721781145041, MeasuredPower = , HasMeasuredPower = False }</t>
  </si>
  <si>
    <t>05.12.2025 11:30:00</t>
  </si>
  <si>
    <t>0,8048311176206824</t>
  </si>
  <si>
    <t>0,3381124321292761</t>
  </si>
  <si>
    <t>140,5</t>
  </si>
  <si>
    <t>PvRecord { Timestamp = 05.12.2025 11:45:00, Index = 0, DirectGeometryFactor = 0,7998746807938085, DiffuseGeometryFactor = 0,9095760221444958, CosSunElevation = 0,343517865197608, GlobalHorizontalIrradiance = 204,31666666666666, SunshineDuration = 0, DiffuseHorizontalIrradiance = 140,5, AmbientTemp = 5, WindSpeed = 14,4, SnowDepth = 0, Weight = 0, Age = 4,227246331338493, MeasuredPower = , HasMeasuredPower = False }</t>
  </si>
  <si>
    <t>05.12.2025 11:45:00</t>
  </si>
  <si>
    <t>0,7998746807938085</t>
  </si>
  <si>
    <t>0,343517865197608</t>
  </si>
  <si>
    <t>PvRecord { Timestamp = 05.12.2025 12:00:00, Index = 0, DirectGeometryFactor = 0,7911111394156904, DiffuseGeometryFactor = 0,9095760221444958, CosSunElevation = 0,34626323222754607, GlobalHorizontalIrradiance = 204,31666666666666, SunshineDuration = 0, DiffuseHorizontalIrradiance = 140,5, AmbientTemp = 5, WindSpeed = 14,4, SnowDepth = 0, Weight = 0, Age = 4,227274851226574, MeasuredPower = , HasMeasuredPower = False }</t>
  </si>
  <si>
    <t>05.12.2025 12:00:00</t>
  </si>
  <si>
    <t>0,7911111394156904</t>
  </si>
  <si>
    <t>0,34626323222754607</t>
  </si>
  <si>
    <t>PvRecord { Timestamp = 05.12.2025 12:15:00, Index = 0, DirectGeometryFactor = 0,7785778033910019, DiffuseGeometryFactor = 0,9095760221444958, CosSunElevation = 0,3463364756745598, GlobalHorizontalIrradiance = 204,31666666666666, SunshineDuration = 0, DiffuseHorizontalIrradiance = 140,5, AmbientTemp = 5, WindSpeed = 14,4, SnowDepth = 0, Weight = 0, Age = 4,2273033711146555, MeasuredPower = , HasMeasuredPower = False }</t>
  </si>
  <si>
    <t>05.12.2025 12:15:00</t>
  </si>
  <si>
    <t>0,7785778033910019</t>
  </si>
  <si>
    <t>0,3463364756745598</t>
  </si>
  <si>
    <t>PvRecord { Timestamp = 05.12.2025 12:30:00, Index = 0, DirectGeometryFactor = 0,7623283507825611, DiffuseGeometryFactor = 0,9095760221444958, CosSunElevation = 0,3437372592982465, GlobalHorizontalIrradiance = 197,11666666666665, SunshineDuration = 0, DiffuseHorizontalIrradiance = 146, AmbientTemp = 5,4, WindSpeed = 14,760000000000002, SnowDepth = 0, Weight = 0, Age = 4,227331891002737, MeasuredPower = , HasMeasuredPower = False }</t>
  </si>
  <si>
    <t>05.12.2025 12:30:00</t>
  </si>
  <si>
    <t>0,7623283507825611</t>
  </si>
  <si>
    <t>0,3437372592982465</t>
  </si>
  <si>
    <t>PvRecord { Timestamp = 05.12.2025 12:45:00, Index = 0, DirectGeometryFactor = 0,7424325969396586, DiffuseGeometryFactor = 0,9095760221444958, CosSunElevation = 0,338476968650176, GlobalHorizontalIrradiance = 197,11666666666665, SunshineDuration = 0, DiffuseHorizontalIrradiance = 146, AmbientTemp = 5,4, WindSpeed = 14,760000000000002, SnowDepth = 0, Weight = 0, Age = 4,227360410890818, MeasuredPower = , HasMeasuredPower = False }</t>
  </si>
  <si>
    <t>05.12.2025 12:45:00</t>
  </si>
  <si>
    <t>0,7424325969396586</t>
  </si>
  <si>
    <t>0,338476968650176</t>
  </si>
  <si>
    <t>PvRecord { Timestamp = 05.12.2025 13:00:00, Index = 0, DirectGeometryFactor = 0,7189762170881938, DiffuseGeometryFactor = 0,9095760221444958, CosSunElevation = 0,3305786886536947, GlobalHorizontalIrradiance = 197,11666666666665, SunshineDuration = 0, DiffuseHorizontalIrradiance = 146, AmbientTemp = 5,4, WindSpeed = 14,760000000000002, SnowDepth = 0, Weight = 0, Age = 4,2273889307789005, MeasuredPower = , HasMeasuredPower = False }</t>
  </si>
  <si>
    <t>05.12.2025 13:00:00</t>
  </si>
  <si>
    <t>0,7189762170881938</t>
  </si>
  <si>
    <t>0,3305786886536947</t>
  </si>
  <si>
    <t>PvRecord { Timestamp = 05.12.2025 13:15:00, Index = 0, DirectGeometryFactor = 0,6920604274600435, DiffuseGeometryFactor = 0,9095760221444958, CosSunElevation = 0,32007716327983815, GlobalHorizontalIrradiance = 197,11666666666665, SunshineDuration = 0, DiffuseHorizontalIrradiance = 146, AmbientTemp = 5,4, WindSpeed = 14,760000000000002, SnowDepth = 0, Weight = 0, Age = 4,227417450666982, MeasuredPower = , HasMeasuredPower = False }</t>
  </si>
  <si>
    <t>05.12.2025 13:15:00</t>
  </si>
  <si>
    <t>0,6920604274600435</t>
  </si>
  <si>
    <t>0,32007716327983815</t>
  </si>
  <si>
    <t>PvRecord { Timestamp = 05.12.2025 13:30:00, Index = 0, DirectGeometryFactor = 0,6618016361472528, DiffuseGeometryFactor = 0,9095760221444958, CosSunElevation = 0,3070187492085979, GlobalHorizontalIrradiance = 185,83333333333331, SunshineDuration = 0, DiffuseHorizontalIrradiance = 133,5, AmbientTemp = 5,449999999999999, WindSpeed = 15,3, SnowDepth = 0, Weight = 0, Age = 4,227445970555063, MeasuredPower = , HasMeasuredPower = False }</t>
  </si>
  <si>
    <t>05.12.2025 13:30:00</t>
  </si>
  <si>
    <t>0,6618016361472528</t>
  </si>
  <si>
    <t>0,3070187492085979</t>
  </si>
  <si>
    <t>133,5</t>
  </si>
  <si>
    <t>PvRecord { Timestamp = 05.12.2025 13:45:00, Index = 0, DirectGeometryFactor = 0,6283310833581711, DiffuseGeometryFactor = 0,9095760221444958, CosSunElevation = 0,29146138587704, GlobalHorizontalIrradiance = 185,83333333333331, SunshineDuration = 0, DiffuseHorizontalIrradiance = 133,5, AmbientTemp = 5,449999999999999, WindSpeed = 15,3, SnowDepth = 0, Weight = 0, Age = 4,227474490443145, MeasuredPower = , HasMeasuredPower = False }</t>
  </si>
  <si>
    <t>05.12.2025 13:45:00</t>
  </si>
  <si>
    <t>0,6283310833581711</t>
  </si>
  <si>
    <t>0,29146138587704</t>
  </si>
  <si>
    <t>PvRecord { Timestamp = 05.12.2025 14:00:00, Index = 0, DirectGeometryFactor = 0,5917945060415783, DiffuseGeometryFactor = 0,9095760221444958, CosSunElevation = 0,27347462284287233, GlobalHorizontalIrradiance = 185,83333333333331, SunshineDuration = 0, DiffuseHorizontalIrradiance = 133,5, AmbientTemp = 5,449999999999999, WindSpeed = 15,3, SnowDepth = 0, Weight = 0, Age = 4,227503010331226, MeasuredPower = , HasMeasuredPower = False }</t>
  </si>
  <si>
    <t>05.12.2025 14:00:00</t>
  </si>
  <si>
    <t>0,5917945060415783</t>
  </si>
  <si>
    <t>0,27347462284287233</t>
  </si>
  <si>
    <t>PvRecord { Timestamp = 05.12.2025 14:15:00, Index = 0, DirectGeometryFactor = 0,5523518919250963, DiffuseGeometryFactor = 0,9095760221444958, CosSunElevation = 0,2531397813429189, GlobalHorizontalIrradiance = 185,83333333333331, SunshineDuration = 0, DiffuseHorizontalIrradiance = 133,5, AmbientTemp = 5,449999999999999, WindSpeed = 15,3, SnowDepth = 0, Weight = 0, Age = 4,227531530219308, MeasuredPower = , HasMeasuredPower = False }</t>
  </si>
  <si>
    <t>05.12.2025 14:15:00</t>
  </si>
  <si>
    <t>0,5523518919250963</t>
  </si>
  <si>
    <t>0,2531397813429189</t>
  </si>
  <si>
    <t>PvRecord { Timestamp = 05.12.2025 14:30:00, Index = 0, DirectGeometryFactor = 0,5101774475708818, DiffuseGeometryFactor = 0,9095760221444958, CosSunElevation = 0,2305503995908155, GlobalHorizontalIrradiance = 169,56666666666666, SunshineDuration = 0, DiffuseHorizontalIrradiance = 102,5, AmbientTemp = 5,4, WindSpeed = 15,84, SnowDepth = 0, Weight = 0, Age = 4,22756005010739, MeasuredPower = , HasMeasuredPower = False }</t>
  </si>
  <si>
    <t>05.12.2025 14:30:00</t>
  </si>
  <si>
    <t>0,5101774475708818</t>
  </si>
  <si>
    <t>0,2305503995908155</t>
  </si>
  <si>
    <t>102,5</t>
  </si>
  <si>
    <t>15,84</t>
  </si>
  <si>
    <t>PvRecord { Timestamp = 05.12.2025 14:45:00, Index = 0, DirectGeometryFactor = 0,4654600361565814, DiffuseGeometryFactor = 0,9095760221444958, CosSunElevation = 0,2058132705644211, GlobalHorizontalIrradiance = 169,56666666666666, SunshineDuration = 0, DiffuseHorizontalIrradiance = 102,5, AmbientTemp = 5,4, WindSpeed = 15,84, SnowDepth = 0, Weight = 0, Age = 4,227588569995471, MeasuredPower = , HasMeasuredPower = False }</t>
  </si>
  <si>
    <t>05.12.2025 14:45:00</t>
  </si>
  <si>
    <t>0,4654600361565814</t>
  </si>
  <si>
    <t>0,2058132705644211</t>
  </si>
  <si>
    <t>PvRecord { Timestamp = 05.12.2025 15:00:00, Index = 0, DirectGeometryFactor = 0,41840465097572643, DiffuseGeometryFactor = 0,9095760221444958, CosSunElevation = 0,17905075722563352, GlobalHorizontalIrradiance = 169,56666666666666, SunshineDuration = 0, DiffuseHorizontalIrradiance = 102,5, AmbientTemp = 5,4, WindSpeed = 15,84, SnowDepth = 0, Weight = 0, Age = 4,227617089883553, MeasuredPower = , HasMeasuredPower = False }</t>
  </si>
  <si>
    <t>05.12.2025 15:00:00</t>
  </si>
  <si>
    <t>0,41840465097572643</t>
  </si>
  <si>
    <t>0,17905075722563352</t>
  </si>
  <si>
    <t>PvRecord { Timestamp = 05.12.2025 15:15:00, Index = 0, DirectGeometryFactor = 0,36923628782142515, DiffuseGeometryFactor = 0,9095760221444958, CosSunElevation = 0,15040603849058276, GlobalHorizontalIrradiance = 169,56666666666666, SunshineDuration = 0, DiffuseHorizontalIrradiance = 102,5, AmbientTemp = 5,4, WindSpeed = 15,84, SnowDepth = 0, Weight = 0, Age = 4,227645609771634, MeasuredPower = , HasMeasuredPower = False }</t>
  </si>
  <si>
    <t>05.12.2025 15:15:00</t>
  </si>
  <si>
    <t>0,36923628782142515</t>
  </si>
  <si>
    <t>0,15040603849058276</t>
  </si>
  <si>
    <t>PvRecord { Timestamp = 05.12.2025 15:30:00, Index = 0, DirectGeometryFactor = 0,318209868259809, DiffuseGeometryFactor = 0,9095760221444958, CosSunElevation = 0,12005571781775523, GlobalHorizontalIrradiance = 147,46666666666667, SunshineDuration = 0, DiffuseHorizontalIrradiance = 58, AmbientTemp = 5,2, WindSpeed = 17,46, SnowDepth = 0, Weight = 0, Age = 4,227674129659716, MeasuredPower = , HasMeasuredPower = False }</t>
  </si>
  <si>
    <t>05.12.2025 15:30:00</t>
  </si>
  <si>
    <t>0,318209868259809</t>
  </si>
  <si>
    <t>0,12005571781775523</t>
  </si>
  <si>
    <t>5,2</t>
  </si>
  <si>
    <t>17,46</t>
  </si>
  <si>
    <t>PvRecord { Timestamp = 05.12.2025 15:45:00, Index = 0, DirectGeometryFactor = 0, DiffuseGeometryFactor = 0,9095760221444958, CosSunElevation = 0,08824328085305524, GlobalHorizontalIrradiance = 147,46666666666667, SunshineDuration = 0, DiffuseHorizontalIrradiance = 58, AmbientTemp = 5,2, WindSpeed = 17,46, SnowDepth = 0, Weight = 0, Age = 4,227702649547798, MeasuredPower = , HasMeasuredPower = False }</t>
  </si>
  <si>
    <t>05.12.2025 15:45:00</t>
  </si>
  <si>
    <t>0,08824328085305524</t>
  </si>
  <si>
    <t>PvRecord { Timestamp = 05.12.2025 16:00:00, Index = 0, DirectGeometryFactor = 0, DiffuseGeometryFactor = 0,9095760221444958, CosSunElevation = 0,05538077999562253, GlobalHorizontalIrradiance = 147,46666666666667, SunshineDuration = 0, DiffuseHorizontalIrradiance = 58, AmbientTemp = 5,2, WindSpeed = 17,46, SnowDepth = 0, Weight = 0, Age = 4,227731169435879, MeasuredPower = , HasMeasuredPower = False }</t>
  </si>
  <si>
    <t>05.12.2025 16:00:00</t>
  </si>
  <si>
    <t>0,05538077999562253</t>
  </si>
  <si>
    <t>PvRecord { Timestamp = 05.12.2025 16:15:00, Index = 0, DirectGeometryFactor = 0, DiffuseGeometryFactor = 0,9095760221444958, CosSunElevation = 0,0223963228582226, GlobalHorizontalIrradiance = 147,46666666666667, SunshineDuration = 0, DiffuseHorizontalIrradiance = 58, AmbientTemp = 5,2, WindSpeed = 17,46, SnowDepth = 0, Weight = 0, Age = 4,22775968932396, MeasuredPower = , HasMeasuredPower = False }</t>
  </si>
  <si>
    <t>05.12.2025 16:15:00</t>
  </si>
  <si>
    <t>0,0223963228582226</t>
  </si>
  <si>
    <t>PvRecord { Timestamp = 05.12.2025 16:30:00,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4,227788209212042, MeasuredPower = , HasMeasuredPower = False }</t>
  </si>
  <si>
    <t>05.12.2025 16:30:00</t>
  </si>
  <si>
    <t>46,8</t>
  </si>
  <si>
    <t>12,5</t>
  </si>
  <si>
    <t>PvRecord { Timestamp = 05.12.2025 16:45:00,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4,227816729100124, MeasuredPower = , HasMeasuredPower = False }</t>
  </si>
  <si>
    <t>05.12.2025 16:45:00</t>
  </si>
  <si>
    <t>PvRecord { Timestamp = 05.12.2025 17:00:00,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4,2278452489882055, MeasuredPower = , HasMeasuredPower = False }</t>
  </si>
  <si>
    <t>05.12.2025 17:00:00</t>
  </si>
  <si>
    <t>PvRecord { Timestamp = 05.12.2025 17:15:00,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4,227873768876287, MeasuredPower = , HasMeasuredPower = False }</t>
  </si>
  <si>
    <t>05.12.2025 17:15:00</t>
  </si>
  <si>
    <t>PvRecord { Timestamp = 05.12.2025 17:30:00,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4,227902288764368, MeasuredPower = , HasMeasuredPower = False }</t>
  </si>
  <si>
    <t>05.12.2025 17:30:00</t>
  </si>
  <si>
    <t>4,65</t>
  </si>
  <si>
    <t>PvRecord { Timestamp = 05.12.2025 17:45:00,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4,22793080865245, MeasuredPower = , HasMeasuredPower = False }</t>
  </si>
  <si>
    <t>05.12.2025 17:45:00</t>
  </si>
  <si>
    <t>PvRecord { Timestamp = 05.12.2025 18:00:00,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4,227959328540532, MeasuredPower = , HasMeasuredPower = False }</t>
  </si>
  <si>
    <t>05.12.2025 18:00:00</t>
  </si>
  <si>
    <t>PvRecord { Timestamp = 05.12.2025 18:15:00,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4,227987848428613, MeasuredPower = , HasMeasuredPower = False }</t>
  </si>
  <si>
    <t>05.12.2025 18:15:00</t>
  </si>
  <si>
    <t>PvRecord { Timestamp = 05.12.2025 18:30:00, Index = 0, DirectGeometryFactor = 0, DiffuseGeometryFactor = 0,9095760221444958, CosSunElevation = 0, GlobalHorizontalIrradiance = 0, SunshineDuration = 0, DiffuseHorizontalIrradiance = 0, AmbientTemp = 4,4, WindSpeed = 21,78, SnowDepth = 0, Weight = 0, Age = 4,228016368316695, MeasuredPower = , HasMeasuredPower = False }</t>
  </si>
  <si>
    <t>05.12.2025 18:30:00</t>
  </si>
  <si>
    <t>21,78</t>
  </si>
  <si>
    <t>PvRecord { Timestamp = 05.12.2025 18:45:00, Index = 0, DirectGeometryFactor = 0, DiffuseGeometryFactor = 0,9095760221444958, CosSunElevation = 0, GlobalHorizontalIrradiance = 0, SunshineDuration = 0, DiffuseHorizontalIrradiance = 0, AmbientTemp = 4,4, WindSpeed = 21,78, SnowDepth = 0, Weight = 0, Age = 4,228044888204776, MeasuredPower = , HasMeasuredPower = False }</t>
  </si>
  <si>
    <t>05.12.2025 18:45:00</t>
  </si>
  <si>
    <t>PvRecord { Timestamp = 05.12.2025 19:00:00, Index = 0, DirectGeometryFactor = 0, DiffuseGeometryFactor = 0,9095760221444958, CosSunElevation = 0, GlobalHorizontalIrradiance = 0, SunshineDuration = 0, DiffuseHorizontalIrradiance = 0, AmbientTemp = 4,4, WindSpeed = 21,78, SnowDepth = 0, Weight = 0, Age = 4,2280734080928575, MeasuredPower = , HasMeasuredPower = False }</t>
  </si>
  <si>
    <t>05.12.2025 19:00:00</t>
  </si>
  <si>
    <t>PvRecord { Timestamp = 05.12.2025 19:15:00, Index = 0, DirectGeometryFactor = 0, DiffuseGeometryFactor = 0,9095760221444958, CosSunElevation = 0, GlobalHorizontalIrradiance = 0, SunshineDuration = 0, DiffuseHorizontalIrradiance = 0, AmbientTemp = 4,4, WindSpeed = 21,78, SnowDepth = 0, Weight = 0, Age = 4,22810192798094, MeasuredPower = , HasMeasuredPower = False }</t>
  </si>
  <si>
    <t>05.12.2025 19:15:00</t>
  </si>
  <si>
    <t>PvRecord { Timestamp = 05.12.2025 19:30:00, Index = 0, DirectGeometryFactor = 0, DiffuseGeometryFactor = 0,9095760221444958, CosSunElevation = 0, GlobalHorizontalIrradiance = 0, SunshineDuration = 0, DiffuseHorizontalIrradiance = 0, AmbientTemp = 4,2, WindSpeed = 20,34, SnowDepth = 0, Weight = 0, Age = 4,228130447869021, MeasuredPower = , HasMeasuredPower = False }</t>
  </si>
  <si>
    <t>05.12.2025 19:30:00</t>
  </si>
  <si>
    <t>4,2</t>
  </si>
  <si>
    <t>PvRecord { Timestamp = 05.12.2025 19:45:00, Index = 0, DirectGeometryFactor = 0, DiffuseGeometryFactor = 0,9095760221444958, CosSunElevation = 0, GlobalHorizontalIrradiance = 0, SunshineDuration = 0, DiffuseHorizontalIrradiance = 0, AmbientTemp = 4,2, WindSpeed = 20,34, SnowDepth = 0, Weight = 0, Age = 4,2281589677571025, MeasuredPower = , HasMeasuredPower = False }</t>
  </si>
  <si>
    <t>05.12.2025 19:45:00</t>
  </si>
  <si>
    <t>PvRecord { Timestamp = 05.12.2025 20:00:00, Index = 0, DirectGeometryFactor = 0, DiffuseGeometryFactor = 0,9095760221444958, CosSunElevation = 0, GlobalHorizontalIrradiance = 0, SunshineDuration = 0, DiffuseHorizontalIrradiance = 0, AmbientTemp = 4,2, WindSpeed = 20,34, SnowDepth = 0, Weight = 0, Age = 4,228187487645184, MeasuredPower = , HasMeasuredPower = False }</t>
  </si>
  <si>
    <t>05.12.2025 20:00:00</t>
  </si>
  <si>
    <t>PvRecord { Timestamp = 05.12.2025 20:15:00, Index = 0, DirectGeometryFactor = 0, DiffuseGeometryFactor = 0,9095760221444958, CosSunElevation = 0, GlobalHorizontalIrradiance = 0, SunshineDuration = 0, DiffuseHorizontalIrradiance = 0, AmbientTemp = 4,2, WindSpeed = 20,34, SnowDepth = 0, Weight = 0, Age = 4,228216007533265, MeasuredPower = , HasMeasuredPower = False }</t>
  </si>
  <si>
    <t>05.12.2025 20:15:00</t>
  </si>
  <si>
    <t>PvRecord { Timestamp = 05.12.2025 20:30:00, Index = 0, DirectGeometryFactor = 0, DiffuseGeometryFactor = 0,9095760221444958, CosSunElevation = 0, GlobalHorizontalIrradiance = 0, SunshineDuration = 0, DiffuseHorizontalIrradiance = 0, AmbientTemp = 3,85, WindSpeed = 17,46, SnowDepth = 0, Weight = 0, Age = 4,228244527421348, MeasuredPower = , HasMeasuredPower = False }</t>
  </si>
  <si>
    <t>05.12.2025 20:30:00</t>
  </si>
  <si>
    <t>3,85</t>
  </si>
  <si>
    <t>PvRecord { Timestamp = 05.12.2025 20:45:00, Index = 0, DirectGeometryFactor = 0, DiffuseGeometryFactor = 0,9095760221444958, CosSunElevation = 0, GlobalHorizontalIrradiance = 0, SunshineDuration = 0, DiffuseHorizontalIrradiance = 0, AmbientTemp = 3,85, WindSpeed = 17,46, SnowDepth = 0, Weight = 0, Age = 4,228273047309429, MeasuredPower = , HasMeasuredPower = False }</t>
  </si>
  <si>
    <t>05.12.2025 20:45:00</t>
  </si>
  <si>
    <t>PvRecord { Timestamp = 05.12.2025 21:00:00, Index = 0, DirectGeometryFactor = 0, DiffuseGeometryFactor = 0,9095760221444958, CosSunElevation = 0, GlobalHorizontalIrradiance = 0, SunshineDuration = 0, DiffuseHorizontalIrradiance = 0, AmbientTemp = 3,85, WindSpeed = 17,46, SnowDepth = 0, Weight = 0, Age = 4,22830156719751, MeasuredPower = , HasMeasuredPower = False }</t>
  </si>
  <si>
    <t>05.12.2025 21:00:00</t>
  </si>
  <si>
    <t>PvRecord { Timestamp = 05.12.2025 21:15:00, Index = 0, DirectGeometryFactor = 0, DiffuseGeometryFactor = 0,9095760221444958, CosSunElevation = 0, GlobalHorizontalIrradiance = 0, SunshineDuration = 0, DiffuseHorizontalIrradiance = 0, AmbientTemp = 3,85, WindSpeed = 17,46, SnowDepth = 0, Weight = 0, Age = 4,228330087085592, MeasuredPower = , HasMeasuredPower = False }</t>
  </si>
  <si>
    <t>05.12.2025 21:15:00</t>
  </si>
  <si>
    <t>PvRecord { Timestamp = 05.12.2025 21:30:00,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4,228358606973673, MeasuredPower = , HasMeasuredPower = False }</t>
  </si>
  <si>
    <t>05.12.2025 21:30:00</t>
  </si>
  <si>
    <t>3,5</t>
  </si>
  <si>
    <t>PvRecord { Timestamp = 05.12.2025 21:45:00,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4,228387126861755, MeasuredPower = , HasMeasuredPower = False }</t>
  </si>
  <si>
    <t>05.12.2025 21:45:00</t>
  </si>
  <si>
    <t>PvRecord { Timestamp = 05.12.2025 22:00:00,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4,228415646749837, MeasuredPower = , HasMeasuredPower = False }</t>
  </si>
  <si>
    <t>05.12.2025 22:00:00</t>
  </si>
  <si>
    <t>PvRecord { Timestamp = 05.12.2025 22:15:00,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4,228444166637918, MeasuredPower = , HasMeasuredPower = False }</t>
  </si>
  <si>
    <t>05.12.2025 22:15:00</t>
  </si>
  <si>
    <t>PvRecord { Timestamp = 05.12.2025 22:30:00,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4,228472686526, MeasuredPower = , HasMeasuredPower = False }</t>
  </si>
  <si>
    <t>05.12.2025 22:30:00</t>
  </si>
  <si>
    <t>PvRecord { Timestamp = 05.12.2025 22:45:00,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4,228501206414081, MeasuredPower = , HasMeasuredPower = False }</t>
  </si>
  <si>
    <t>05.12.2025 22:45:00</t>
  </si>
  <si>
    <t>PvRecord { Timestamp = 05.12.2025 23:00:00,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4,228529726302163, MeasuredPower = , HasMeasuredPower = False }</t>
  </si>
  <si>
    <t>05.12.2025 23:00:00</t>
  </si>
  <si>
    <t>PvRecord { Timestamp = 05.12.2025 23:15:00,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4,228558246190245, MeasuredPower = , HasMeasuredPower = False }</t>
  </si>
  <si>
    <t>05.12.2025 23:15:00</t>
  </si>
  <si>
    <t>PvRecord { Timestamp = 05.12.2025 23:30:00, Index = 0, DirectGeometryFactor = 0, DiffuseGeometryFactor = 0,9095760221444958, CosSunElevation = 0, GlobalHorizontalIrradiance = 0, SunshineDuration = 0, DiffuseHorizontalIrradiance = 0, AmbientTemp = 3,05, WindSpeed = 8,1, SnowDepth = 0, Weight = 0, Age = 4,228586766078326, MeasuredPower = , HasMeasuredPower = False }</t>
  </si>
  <si>
    <t>05.12.2025 23:30:00</t>
  </si>
  <si>
    <t>PvRecord { Timestamp = 05.12.2025 23:45:00, Index = 0, DirectGeometryFactor = 0, DiffuseGeometryFactor = 0,9095760221444958, CosSunElevation = 0, GlobalHorizontalIrradiance = 0, SunshineDuration = 0, DiffuseHorizontalIrradiance = 0, AmbientTemp = 3,05, WindSpeed = 8,1, SnowDepth = 0, Weight = 0, Age = 4,2286152859664075, MeasuredPower = , HasMeasuredPower = False }</t>
  </si>
  <si>
    <t>05.12.2025 23:45:00</t>
  </si>
  <si>
    <t>PvRecord { Timestamp = 06.12.2025 00:00:00, Index = 0, DirectGeometryFactor = 0, DiffuseGeometryFactor = 0,9095760221444958, CosSunElevation = 0, GlobalHorizontalIrradiance = 0, SunshineDuration = 0, DiffuseHorizontalIrradiance = 0, AmbientTemp = 3,05, WindSpeed = 8,1, SnowDepth = 0, Weight = 0, Age = 4,22864380585449, MeasuredPower = , HasMeasuredPower = False }</t>
  </si>
  <si>
    <t>06.12.2025 00:00:00</t>
  </si>
  <si>
    <t>PvRecord { Timestamp = 06.12.2025 00:15:00, Index = 0, DirectGeometryFactor = 0, DiffuseGeometryFactor = 0,9095760221444958, CosSunElevation = 0, GlobalHorizontalIrradiance = 0, SunshineDuration = 0, DiffuseHorizontalIrradiance = 0, AmbientTemp = 3,05, WindSpeed = 8,1, SnowDepth = 0, Weight = 0, Age = 4,228672325742571, MeasuredPower = , HasMeasuredPower = False }</t>
  </si>
  <si>
    <t>06.12.2025 00:15:00</t>
  </si>
  <si>
    <t>PvRecord { Timestamp = 06.12.2025 00:30:00, Index = 0, DirectGeometryFactor = 0, DiffuseGeometryFactor = 0,9095760221444958, CosSunElevation = 0, GlobalHorizontalIrradiance = 0, SunshineDuration = 0, DiffuseHorizontalIrradiance = 0, AmbientTemp = 3,1, WindSpeed = 8,46, SnowDepth = 0, Weight = 0, Age = 4,2287008456306525, MeasuredPower = , HasMeasuredPower = False }</t>
  </si>
  <si>
    <t>06.12.2025 00:30:00</t>
  </si>
  <si>
    <t>PvRecord { Timestamp = 06.12.2025 00:45:00, Index = 0, DirectGeometryFactor = 0, DiffuseGeometryFactor = 0,9095760221444958, CosSunElevation = 0, GlobalHorizontalIrradiance = 0, SunshineDuration = 0, DiffuseHorizontalIrradiance = 0, AmbientTemp = 3,1, WindSpeed = 8,46, SnowDepth = 0, Weight = 0, Age = 4,228729365518734, MeasuredPower = , HasMeasuredPower = False }</t>
  </si>
  <si>
    <t>06.12.2025 00:45:00</t>
  </si>
  <si>
    <t>PvRecord { Timestamp = 06.12.2025 01:00:00, Index = 0, DirectGeometryFactor = 0, DiffuseGeometryFactor = 0,9095760221444958, CosSunElevation = 0, GlobalHorizontalIrradiance = 0, SunshineDuration = 0, DiffuseHorizontalIrradiance = 0, AmbientTemp = 3,1, WindSpeed = 8,46, SnowDepth = 0, Weight = 0, Age = 4,228757885406815, MeasuredPower = , HasMeasuredPower = False }</t>
  </si>
  <si>
    <t>06.12.2025 01:00:00</t>
  </si>
  <si>
    <t>PvRecord { Timestamp = 06.12.2025 01:15:00, Index = 0, DirectGeometryFactor = 0, DiffuseGeometryFactor = 0,9095760221444958, CosSunElevation = 0, GlobalHorizontalIrradiance = 0, SunshineDuration = 0, DiffuseHorizontalIrradiance = 0, AmbientTemp = 3,1, WindSpeed = 8,46, SnowDepth = 0, Weight = 0, Age = 4,228786405294898, MeasuredPower = , HasMeasuredPower = False }</t>
  </si>
  <si>
    <t>06.12.2025 01:15:00</t>
  </si>
  <si>
    <t>PvRecord { Timestamp = 06.12.2025 01:30:00,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4,228814925182979, MeasuredPower = , HasMeasuredPower = False }</t>
  </si>
  <si>
    <t>06.12.2025 01:30:00</t>
  </si>
  <si>
    <t>PvRecord { Timestamp = 06.12.2025 01:45:00,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4,22884344507106, MeasuredPower = , HasMeasuredPower = False }</t>
  </si>
  <si>
    <t>06.12.2025 01:45:00</t>
  </si>
  <si>
    <t>PvRecord { Timestamp = 06.12.2025 02:00:00,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4,228871964959142, MeasuredPower = , HasMeasuredPower = False }</t>
  </si>
  <si>
    <t>06.12.2025 02:00:00</t>
  </si>
  <si>
    <t>PvRecord { Timestamp = 06.12.2025 02:15:00,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4,228900484847223, MeasuredPower = , HasMeasuredPower = False }</t>
  </si>
  <si>
    <t>06.12.2025 02:15:00</t>
  </si>
  <si>
    <t>PvRecord { Timestamp = 06.12.2025 02:30:00,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4,228929004735305, MeasuredPower = , HasMeasuredPower = False }</t>
  </si>
  <si>
    <t>06.12.2025 02:30:00</t>
  </si>
  <si>
    <t>PvRecord { Timestamp = 06.12.2025 02:45:00,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4,228957524623387, MeasuredPower = , HasMeasuredPower = False }</t>
  </si>
  <si>
    <t>06.12.2025 02:45:00</t>
  </si>
  <si>
    <t>PvRecord { Timestamp = 06.12.2025 03:00:00,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4,228986044511468, MeasuredPower = , HasMeasuredPower = False }</t>
  </si>
  <si>
    <t>06.12.2025 03:00:00</t>
  </si>
  <si>
    <t>PvRecord { Timestamp = 06.12.2025 03:15:00,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4,22901456439955, MeasuredPower = , HasMeasuredPower = False }</t>
  </si>
  <si>
    <t>06.12.2025 03:15:00</t>
  </si>
  <si>
    <t>PvRecord { Timestamp = 06.12.2025 03:30:00, Index = 0, DirectGeometryFactor = 0, DiffuseGeometryFactor = 0,9095760221444958, CosSunElevation = 0, GlobalHorizontalIrradiance = 0, SunshineDuration = 0, DiffuseHorizontalIrradiance = 0, AmbientTemp = 4,35, WindSpeed = 27,36, SnowDepth = 0, Weight = 0, Age = 4,229043084287631, MeasuredPower = , HasMeasuredPower = False }</t>
  </si>
  <si>
    <t>06.12.2025 03:30:00</t>
  </si>
  <si>
    <t>27,36</t>
  </si>
  <si>
    <t>PvRecord { Timestamp = 06.12.2025 03:45:00, Index = 0, DirectGeometryFactor = 0, DiffuseGeometryFactor = 0,9095760221444958, CosSunElevation = 0, GlobalHorizontalIrradiance = 0, SunshineDuration = 0, DiffuseHorizontalIrradiance = 0, AmbientTemp = 4,35, WindSpeed = 27,36, SnowDepth = 0, Weight = 0, Age = 4,229071604175713, MeasuredPower = , HasMeasuredPower = False }</t>
  </si>
  <si>
    <t>06.12.2025 03:45:00</t>
  </si>
  <si>
    <t>PvRecord { Timestamp = 06.12.2025 04:00:00, Index = 0, DirectGeometryFactor = 0, DiffuseGeometryFactor = 0,9095760221444958, CosSunElevation = 0, GlobalHorizontalIrradiance = 0, SunshineDuration = 0, DiffuseHorizontalIrradiance = 0, AmbientTemp = 4,35, WindSpeed = 27,36, SnowDepth = 0, Weight = 0, Age = 4,229100124063795, MeasuredPower = , HasMeasuredPower = False }</t>
  </si>
  <si>
    <t>06.12.2025 04:00:00</t>
  </si>
  <si>
    <t>PvRecord { Timestamp = 06.12.2025 04:15:00, Index = 0, DirectGeometryFactor = 0, DiffuseGeometryFactor = 0,9095760221444958, CosSunElevation = 0, GlobalHorizontalIrradiance = 0, SunshineDuration = 0, DiffuseHorizontalIrradiance = 0, AmbientTemp = 4,35, WindSpeed = 27,36, SnowDepth = 0, Weight = 0, Age = 4,229128643951876, MeasuredPower = , HasMeasuredPower = False }</t>
  </si>
  <si>
    <t>06.12.2025 04:15:00</t>
  </si>
  <si>
    <t>PvRecord { Timestamp = 06.12.2025 04:30:00, Index = 0, DirectGeometryFactor = 0, DiffuseGeometryFactor = 0,9095760221444958, CosSunElevation = 0, GlobalHorizontalIrradiance = 0, SunshineDuration = 0, DiffuseHorizontalIrradiance = 0, AmbientTemp = 4,95, WindSpeed = 36,18, SnowDepth = 0, Weight = 0, Age = 4,229157163839957, MeasuredPower = , HasMeasuredPower = False }</t>
  </si>
  <si>
    <t>06.12.2025 04:30:00</t>
  </si>
  <si>
    <t>36,18</t>
  </si>
  <si>
    <t>PvRecord { Timestamp = 06.12.2025 04:45:00, Index = 0, DirectGeometryFactor = 0, DiffuseGeometryFactor = 0,9095760221444958, CosSunElevation = 0, GlobalHorizontalIrradiance = 0, SunshineDuration = 0, DiffuseHorizontalIrradiance = 0, AmbientTemp = 4,95, WindSpeed = 36,18, SnowDepth = 0, Weight = 0, Age = 4,229185683728039, MeasuredPower = , HasMeasuredPower = False }</t>
  </si>
  <si>
    <t>06.12.2025 04:45:00</t>
  </si>
  <si>
    <t>PvRecord { Timestamp = 06.12.2025 05:00:00, Index = 0, DirectGeometryFactor = 0, DiffuseGeometryFactor = 0,9095760221444958, CosSunElevation = 0, GlobalHorizontalIrradiance = 0, SunshineDuration = 0, DiffuseHorizontalIrradiance = 0, AmbientTemp = 4,95, WindSpeed = 36,18, SnowDepth = 0, Weight = 0, Age = 4,229214203616121, MeasuredPower = , HasMeasuredPower = False }</t>
  </si>
  <si>
    <t>06.12.2025 05:00:00</t>
  </si>
  <si>
    <t>PvRecord { Timestamp = 06.12.2025 05:15:00, Index = 0, DirectGeometryFactor = 0, DiffuseGeometryFactor = 0,9095760221444958, CosSunElevation = 0, GlobalHorizontalIrradiance = 0, SunshineDuration = 0, DiffuseHorizontalIrradiance = 0, AmbientTemp = 4,95, WindSpeed = 36,18, SnowDepth = 0, Weight = 0, Age = 4,2292427235042025, MeasuredPower = , HasMeasuredPower = False }</t>
  </si>
  <si>
    <t>06.12.2025 05:15:00</t>
  </si>
  <si>
    <t>PvRecord { Timestamp = 06.12.2025 05:30:00, Index = 0, DirectGeometryFactor = 0, DiffuseGeometryFactor = 0,9095760221444958, CosSunElevation = 0, GlobalHorizontalIrradiance = 0, SunshineDuration = 0, DiffuseHorizontalIrradiance = 0, AmbientTemp = 5,5, WindSpeed = 43,56, SnowDepth = 0, Weight = 0, Age = 4,229271243392284, MeasuredPower = , HasMeasuredPower = False }</t>
  </si>
  <si>
    <t>06.12.2025 05:30:00</t>
  </si>
  <si>
    <t>5,5</t>
  </si>
  <si>
    <t>43,56</t>
  </si>
  <si>
    <t>PvRecord { Timestamp = 06.12.2025 05:45:00, Index = 0, DirectGeometryFactor = 0, DiffuseGeometryFactor = 0,9095760221444958, CosSunElevation = 0, GlobalHorizontalIrradiance = 0, SunshineDuration = 0, DiffuseHorizontalIrradiance = 0, AmbientTemp = 5,5, WindSpeed = 43,56, SnowDepth = 0, Weight = 0, Age = 4,229299763280365, MeasuredPower = , HasMeasuredPower = False }</t>
  </si>
  <si>
    <t>06.12.2025 05:45:00</t>
  </si>
  <si>
    <t>PvRecord { Timestamp = 06.12.2025 06:00:00, Index = 0, DirectGeometryFactor = 0, DiffuseGeometryFactor = 0,9095760221444958, CosSunElevation = 0, GlobalHorizontalIrradiance = 0, SunshineDuration = 0, DiffuseHorizontalIrradiance = 0, AmbientTemp = 5,5, WindSpeed = 43,56, SnowDepth = 0, Weight = 0, Age = 4,229328283168447, MeasuredPower = , HasMeasuredPower = False }</t>
  </si>
  <si>
    <t>06.12.2025 06:00:00</t>
  </si>
  <si>
    <t>PvRecord { Timestamp = 06.12.2025 06:15:00, Index = 0, DirectGeometryFactor = 0, DiffuseGeometryFactor = 0,9095760221444958, CosSunElevation = 0, GlobalHorizontalIrradiance = 0, SunshineDuration = 0, DiffuseHorizontalIrradiance = 0, AmbientTemp = 5,5, WindSpeed = 43,56, SnowDepth = 0, Weight = 0, Age = 4,229356803056529, MeasuredPower = , HasMeasuredPower = False }</t>
  </si>
  <si>
    <t>06.12.2025 06:15:00</t>
  </si>
  <si>
    <t>PvRecord { Timestamp = 06.12.2025 06:30:00,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4,22938532294461, MeasuredPower = , HasMeasuredPower = False }</t>
  </si>
  <si>
    <t>06.12.2025 06:30:00</t>
  </si>
  <si>
    <t>49,86</t>
  </si>
  <si>
    <t>PvRecord { Timestamp = 06.12.2025 06:45:00,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4,229413842832692, MeasuredPower = , HasMeasuredPower = False }</t>
  </si>
  <si>
    <t>06.12.2025 06:45:00</t>
  </si>
  <si>
    <t>PvRecord { Timestamp = 06.12.2025 07:00:00,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4,229442362720773, MeasuredPower = , HasMeasuredPower = False }</t>
  </si>
  <si>
    <t>06.12.2025 07:00:00</t>
  </si>
  <si>
    <t>PvRecord { Timestamp = 06.12.2025 07:15:00,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4,2294708826088545, MeasuredPower = , HasMeasuredPower = False }</t>
  </si>
  <si>
    <t>06.12.2025 07:15:00</t>
  </si>
  <si>
    <t>PvRecord { Timestamp = 06.12.2025 07:30:00, Index = 0, DirectGeometryFactor = 0, DiffuseGeometryFactor = 0,9095760221444958, CosSunElevation = 0, GlobalHorizontalIrradiance = 0, SunshineDuration = 0, DiffuseHorizontalIrradiance = 0, AmbientTemp = 6,300000000000001, WindSpeed = 54,720000000000006, SnowDepth = 0, Weight = 0, Age = 4,229499402496937, MeasuredPower = , HasMeasuredPower = False }</t>
  </si>
  <si>
    <t>06.12.2025 07:30:00</t>
  </si>
  <si>
    <t>PvRecord { Timestamp = 06.12.2025 07:45:00, Index = 0, DirectGeometryFactor = 0, DiffuseGeometryFactor = 0,9095760221444958, CosSunElevation = 0, GlobalHorizontalIrradiance = 0, SunshineDuration = 0, DiffuseHorizontalIrradiance = 0, AmbientTemp = 6,300000000000001, WindSpeed = 54,720000000000006, SnowDepth = 0, Weight = 0, Age = 4,229527922385018, MeasuredPower = , HasMeasuredPower = False }</t>
  </si>
  <si>
    <t>06.12.2025 07:45:00</t>
  </si>
  <si>
    <t>PvRecord { Timestamp = 06.12.2025 08:00:00, Index = 0, DirectGeometryFactor = 0, DiffuseGeometryFactor = 0,9095760221444958, CosSunElevation = 0,01823747484211539, GlobalHorizontalIrradiance = 0, SunshineDuration = 0, DiffuseHorizontalIrradiance = 0, AmbientTemp = 6,300000000000001, WindSpeed = 54,720000000000006, SnowDepth = 0, Weight = 0, Age = 4,2295564422731, MeasuredPower = , HasMeasuredPower = False }</t>
  </si>
  <si>
    <t>06.12.2025 08:00:00</t>
  </si>
  <si>
    <t>0,01823747484211539</t>
  </si>
  <si>
    <t>PvRecord { Timestamp = 06.12.2025 08:15:00, Index = 0, DirectGeometryFactor = 0,5352603166422522, DiffuseGeometryFactor = 0,9095760221444958, CosSunElevation = 0,05101957442257341, GlobalHorizontalIrradiance = 0, SunshineDuration = 0, DiffuseHorizontalIrradiance = 0, AmbientTemp = 6,300000000000001, WindSpeed = 54,720000000000006, SnowDepth = 0, Weight = 0, Age = 4,229584962161181, MeasuredPower = , HasMeasuredPower = False }</t>
  </si>
  <si>
    <t>06.12.2025 08:15:00</t>
  </si>
  <si>
    <t>0,5352603166422522</t>
  </si>
  <si>
    <t>0,05101957442257341</t>
  </si>
  <si>
    <t>PvRecord { Timestamp = 06.12.2025 08:30:00, Index = 0, DirectGeometryFactor = 0,5749462553045719, DiffuseGeometryFactor = 0,9095760221444958, CosSunElevation = 0,08386765300528569, GlobalHorizontalIrradiance = 221,5, SunshineDuration = 0, DiffuseHorizontalIrradiance = 17,5, AmbientTemp = 6,65, WindSpeed = 59,22, SnowDepth = 0, Weight = 0, Age = 4,229613482049262, MeasuredPower = , HasMeasuredPower = False }</t>
  </si>
  <si>
    <t>06.12.2025 08:30:00</t>
  </si>
  <si>
    <t>0,5749462553045719</t>
  </si>
  <si>
    <t>0,08386765300528569</t>
  </si>
  <si>
    <t>221,5</t>
  </si>
  <si>
    <t>17,5</t>
  </si>
  <si>
    <t>6,65</t>
  </si>
  <si>
    <t>59,22</t>
  </si>
  <si>
    <t>PvRecord { Timestamp = 06.12.2025 08:45:00, Index = 0, DirectGeometryFactor = 0,6122676923812626, DiffuseGeometryFactor = 0,9095760221444958, CosSunElevation = 0,11573821292106555, GlobalHorizontalIrradiance = 221,5, SunshineDuration = 0, DiffuseHorizontalIrradiance = 17,5, AmbientTemp = 6,65, WindSpeed = 59,22, SnowDepth = 0, Weight = 0, Age = 4,229642001937345, MeasuredPower = , HasMeasuredPower = False }</t>
  </si>
  <si>
    <t>06.12.2025 08:45:00</t>
  </si>
  <si>
    <t>0,6122676923812626</t>
  </si>
  <si>
    <t>0,11573821292106555</t>
  </si>
  <si>
    <t>PvRecord { Timestamp = 06.12.2025 09:00:00, Index = 0, DirectGeometryFactor = 0,6468031195193035, DiffuseGeometryFactor = 0,9095760221444958, CosSunElevation = 0,14618235235623628, GlobalHorizontalIrradiance = 221,5, SunshineDuration = 0, DiffuseHorizontalIrradiance = 17,5, AmbientTemp = 6,65, WindSpeed = 59,22, SnowDepth = 0, Weight = 0, Age = 4,229670521825426, MeasuredPower = , HasMeasuredPower = False }</t>
  </si>
  <si>
    <t>06.12.2025 09:00:00</t>
  </si>
  <si>
    <t>0,6468031195193035</t>
  </si>
  <si>
    <t>0,14618235235623628</t>
  </si>
  <si>
    <t>PvRecord { Timestamp = 06.12.2025 09:15:00, Index = 0, DirectGeometryFactor = 0,6782993867309433, DiffuseGeometryFactor = 0,9095760221444958, CosSunElevation = 0,1749436169244631, GlobalHorizontalIrradiance = 221,5, SunshineDuration = 0, DiffuseHorizontalIrradiance = 17,5, AmbientTemp = 6,65, WindSpeed = 59,22, SnowDepth = 0, Weight = 0, Age = 4,229699041713507, MeasuredPower = , HasMeasuredPower = False }</t>
  </si>
  <si>
    <t>06.12.2025 09:15:00</t>
  </si>
  <si>
    <t>0,6782993867309433</t>
  </si>
  <si>
    <t>0,1749436169244631</t>
  </si>
  <si>
    <t>PvRecord { Timestamp = 06.12.2025 09:30:00, Index = 0, DirectGeometryFactor = 0,7065724953679383, DiffuseGeometryFactor = 0,9095760221444958, CosSunElevation = 0,20183983625206312, GlobalHorizontalIrradiance = 373,98333333333335, SunshineDuration = 0, DiffuseHorizontalIrradiance = 52,5, AmbientTemp = 7, WindSpeed = 64,44, SnowDepth = 0, Weight = 0, Age = 4,229727561601589, MeasuredPower = , HasMeasuredPower = False }</t>
  </si>
  <si>
    <t>06.12.2025 09:30:00</t>
  </si>
  <si>
    <t>0,7065724953679383</t>
  </si>
  <si>
    <t>0,20183983625206312</t>
  </si>
  <si>
    <t>52,5</t>
  </si>
  <si>
    <t>64,44</t>
  </si>
  <si>
    <t>PvRecord { Timestamp = 06.12.2025 09:45:00, Index = 0, DirectGeometryFactor = 0,7314757094136703, DiffuseGeometryFactor = 0,9095760221444958, CosSunElevation = 0,22672491939742168, GlobalHorizontalIrradiance = 373,98333333333335, SunshineDuration = 0, DiffuseHorizontalIrradiance = 52,5, AmbientTemp = 7, WindSpeed = 64,44, SnowDepth = 0, Weight = 0, Age = 4,22975608148967, MeasuredPower = , HasMeasuredPower = False }</t>
  </si>
  <si>
    <t>06.12.2025 09:45:00</t>
  </si>
  <si>
    <t>0,7314757094136703</t>
  </si>
  <si>
    <t>0,22672491939742168</t>
  </si>
  <si>
    <t>PvRecord { Timestamp = 06.12.2025 10:00:00, Index = 0, DirectGeometryFactor = 0,7528877924190683, DiffuseGeometryFactor = 0,9095760221444958, CosSunElevation = 0,24947466558544854, GlobalHorizontalIrradiance = 373,98333333333335, SunshineDuration = 0, DiffuseHorizontalIrradiance = 52,5, AmbientTemp = 7, WindSpeed = 64,44, SnowDepth = 0, Weight = 0, Age = 4,2297846013777525, MeasuredPower = , HasMeasuredPower = False }</t>
  </si>
  <si>
    <t>06.12.2025 10:00:00</t>
  </si>
  <si>
    <t>0,7528877924190683</t>
  </si>
  <si>
    <t>0,24947466558544854</t>
  </si>
  <si>
    <t>PvRecord { Timestamp = 06.12.2025 10:15:00, Index = 0, DirectGeometryFactor = 0,7707081998399896, DiffuseGeometryFactor = 0,9095760221444958, CosSunElevation = 0,2699809174098763, GlobalHorizontalIrradiance = 373,98333333333335, SunshineDuration = 0, DiffuseHorizontalIrradiance = 52,5, AmbientTemp = 7, WindSpeed = 64,44, SnowDepth = 0, Weight = 0, Age = 4,229813121265834, MeasuredPower = , HasMeasuredPower = False }</t>
  </si>
  <si>
    <t>06.12.2025 10:15:00</t>
  </si>
  <si>
    <t>0,7707081998399896</t>
  </si>
  <si>
    <t>0,2699809174098763</t>
  </si>
  <si>
    <t>PvRecord { Timestamp = 06.12.2025 10:30:00, Index = 0, DirectGeometryFactor = 0,7848549801920042, DiffuseGeometryFactor = 0,9095760221444958, CosSunElevation = 0,2881489914109412, GlobalHorizontalIrradiance = 375,65, SunshineDuration = 0, DiffuseHorizontalIrradiance = 78,5, AmbientTemp = 7,2, WindSpeed = 69,12, SnowDepth = 0, Weight = 0, Age = 4,229841641153915, MeasuredPower = , HasMeasuredPower = False }</t>
  </si>
  <si>
    <t>06.12.2025 10:30:00</t>
  </si>
  <si>
    <t>0,7848549801920042</t>
  </si>
  <si>
    <t>0,2881489914109412</t>
  </si>
  <si>
    <t>375,65</t>
  </si>
  <si>
    <t>69,12</t>
  </si>
  <si>
    <t>PvRecord { Timestamp = 06.12.2025 10:45:00, Index = 0, DirectGeometryFactor = 0,7952638261128065, DiffuseGeometryFactor = 0,9095760221444958, CosSunElevation = 0,30389652349873975, GlobalHorizontalIrradiance = 375,65, SunshineDuration = 0, DiffuseHorizontalIrradiance = 78,5, AmbientTemp = 7,2, WindSpeed = 69,12, SnowDepth = 0, Weight = 0, Age = 4,229870161041997, MeasuredPower = , HasMeasuredPower = False }</t>
  </si>
  <si>
    <t>06.12.2025 10:45:00</t>
  </si>
  <si>
    <t>0,7952638261128065</t>
  </si>
  <si>
    <t>0,30389652349873975</t>
  </si>
  <si>
    <t>PvRecord { Timestamp = 06.12.2025 11:00:00, Index = 0, DirectGeometryFactor = 0,8018876381426366, DiffuseGeometryFactor = 0,9095760221444958, CosSunElevation = 0,3171529669564616, GlobalHorizontalIrradiance = 375,65, SunshineDuration = 0, DiffuseHorizontalIrradiance = 78,5, AmbientTemp = 7,2, WindSpeed = 69,12, SnowDepth = 0, Weight = 0, Age = 4,229898680930078, MeasuredPower = , HasMeasuredPower = False }</t>
  </si>
  <si>
    <t>06.12.2025 11:00:00</t>
  </si>
  <si>
    <t>0,8018876381426366</t>
  </si>
  <si>
    <t>0,3171529669564616</t>
  </si>
  <si>
    <t>PvRecord { Timestamp = 06.12.2025 11:15:00, Index = 0, DirectGeometryFactor = 0,8046963167462187, DiffuseGeometryFactor = 0,9095760221444958, CosSunElevation = 0,32785940217568055, GlobalHorizontalIrradiance = 375,65, SunshineDuration = 0, DiffuseHorizontalIrradiance = 78,5, AmbientTemp = 7,2, WindSpeed = 69,12, SnowDepth = 0, Weight = 0, Age = 4,22992720081816, MeasuredPower = , HasMeasuredPower = False }</t>
  </si>
  <si>
    <t>06.12.2025 11:15:00</t>
  </si>
  <si>
    <t>0,8046963167462187</t>
  </si>
  <si>
    <t>0,32785940217568055</t>
  </si>
  <si>
    <t>PvRecord { Timestamp = 06.12.2025 11:30:00, Index = 0, DirectGeometryFactor = 0,8036766464706698, DiffuseGeometryFactor = 0,9095760221444958, CosSunElevation = 0,3359684946704189, GlobalHorizontalIrradiance = 372,21666666666664, SunshineDuration = 0, DiffuseHorizontalIrradiance = 94, AmbientTemp = 7,300000000000001, WindSpeed = 72,9, SnowDepth = 0, Weight = 0, Age = 4,229955720706242, MeasuredPower = , HasMeasuredPower = False }</t>
  </si>
  <si>
    <t>06.12.2025 11:30:00</t>
  </si>
  <si>
    <t>0,8036766464706698</t>
  </si>
  <si>
    <t>0,3359684946704189</t>
  </si>
  <si>
    <t>72,9</t>
  </si>
  <si>
    <t>PvRecord { Timestamp = 06.12.2025 11:45:00, Index = 0, DirectGeometryFactor = 0,7988322030735301, DiffuseGeometryFactor = 0,9095760221444958, CosSunElevation = 0,34144451804834774, GlobalHorizontalIrradiance = 372,21666666666664, SunshineDuration = 0, DiffuseHorizontalIrradiance = 94, AmbientTemp = 7,300000000000001, WindSpeed = 72,9, SnowDepth = 0, Weight = 0, Age = 4,229984240594323, MeasuredPower = , HasMeasuredPower = False }</t>
  </si>
  <si>
    <t>06.12.2025 11:45:00</t>
  </si>
  <si>
    <t>0,7988322030735301</t>
  </si>
  <si>
    <t>0,34144451804834774</t>
  </si>
  <si>
    <t>PvRecord { Timestamp = 06.12.2025 12:00:00, Index = 0, DirectGeometryFactor = 0,790183247090666, DiffuseGeometryFactor = 0,9095760221444958, CosSunElevation = 0,34426339741812806, GlobalHorizontalIrradiance = 372,21666666666664, SunshineDuration = 0, DiffuseHorizontalIrradiance = 94, AmbientTemp = 7,300000000000001, WindSpeed = 72,9, SnowDepth = 0, Weight = 0, Age = 4,2300127604824045, MeasuredPower = , HasMeasuredPower = False }</t>
  </si>
  <si>
    <t>06.12.2025 12:00:00</t>
  </si>
  <si>
    <t>0,790183247090666</t>
  </si>
  <si>
    <t>0,34426339741812806</t>
  </si>
  <si>
    <t>PvRecord { Timestamp = 06.12.2025 12:15:00, Index = 0, DirectGeometryFactor = 0,7777665844068002, DiffuseGeometryFactor = 0,9095760221444958, CosSunElevation = 0,34441274917694115, GlobalHorizontalIrradiance = 372,21666666666664, SunshineDuration = 0, DiffuseHorizontalIrradiance = 94, AmbientTemp = 7,300000000000001, WindSpeed = 72,9, SnowDepth = 0, Weight = 0, Age = 4,230041280370486, MeasuredPower = , HasMeasuredPower = False }</t>
  </si>
  <si>
    <t>06.12.2025 12:15:00</t>
  </si>
  <si>
    <t>0,7777665844068002</t>
  </si>
  <si>
    <t>0,34441274917694115</t>
  </si>
  <si>
    <t>PvRecord { Timestamp = 06.12.2025 12:30:00, Index = 0, DirectGeometryFactor = 0,7616353837690772, DiffuseGeometryFactor = 0,9095760221444958, CosSunElevation = 0,34189190433437067, GlobalHorizontalIrradiance = 362,1, SunshineDuration = 0, DiffuseHorizontalIrradiance = 97,5, AmbientTemp = 7,15, WindSpeed = 74,52, SnowDepth = 0, Weight = 0, Age = 4,230069800258568, MeasuredPower = , HasMeasuredPower = False }</t>
  </si>
  <si>
    <t>06.12.2025 12:30:00</t>
  </si>
  <si>
    <t>0,7616353837690772</t>
  </si>
  <si>
    <t>0,34189190433437067</t>
  </si>
  <si>
    <t>362,1</t>
  </si>
  <si>
    <t>97,5</t>
  </si>
  <si>
    <t>7,15</t>
  </si>
  <si>
    <t>74,52</t>
  </si>
  <si>
    <t>PvRecord { Timestamp = 06.12.2025 12:45:00, Index = 0, DirectGeometryFactor = 0,7418589474611008, DiffuseGeometryFactor = 0,9095760221444958, CosSunElevation = 0,3367119096513472, GlobalHorizontalIrradiance = 362,1, SunshineDuration = 0, DiffuseHorizontalIrradiance = 97,5, AmbientTemp = 7,15, WindSpeed = 74,52, SnowDepth = 0, Weight = 0, Age = 4,2300983201466495, MeasuredPower = , HasMeasuredPower = False }</t>
  </si>
  <si>
    <t>06.12.2025 12:45:00</t>
  </si>
  <si>
    <t>0,7418589474611008</t>
  </si>
  <si>
    <t>0,3367119096513472</t>
  </si>
  <si>
    <t>PvRecord { Timestamp = 06.12.2025 13:00:00, Index = 0, DirectGeometryFactor = 0,7185224358487594, DiffuseGeometryFactor = 0,9095760221444958, CosSunElevation = 0,32889550637102877, GlobalHorizontalIrradiance = 362,1, SunshineDuration = 0, DiffuseHorizontalIrradiance = 97,5, AmbientTemp = 7,15, WindSpeed = 74,52, SnowDepth = 0, Weight = 0, Age = 4,230126840034731, MeasuredPower = , HasMeasuredPower = False }</t>
  </si>
  <si>
    <t>06.12.2025 13:00:00</t>
  </si>
  <si>
    <t>0,7185224358487594</t>
  </si>
  <si>
    <t>0,32889550637102877</t>
  </si>
  <si>
    <t>PvRecord { Timestamp = 06.12.2025 13:15:00, Index = 0, DirectGeometryFactor = 0,6917265508352806, DiffuseGeometryFactor = 0,9095760221444958, CosSunElevation = 0,3184770915027234, GlobalHorizontalIrradiance = 362,1, SunshineDuration = 0, DiffuseHorizontalIrradiance = 97,5, AmbientTemp = 7,15, WindSpeed = 74,52, SnowDepth = 0, Weight = 0, Age = 4,230155359922812, MeasuredPower = , HasMeasuredPower = False }</t>
  </si>
  <si>
    <t>06.12.2025 13:15:00</t>
  </si>
  <si>
    <t>0,6917265508352806</t>
  </si>
  <si>
    <t>0,3184770915027234</t>
  </si>
  <si>
    <t>PvRecord { Timestamp = 06.12.2025 13:30:00, Index = 0, DirectGeometryFactor = 0,6615871894513204, DiffuseGeometryFactor = 0,9095760221444958, CosSunElevation = 0,305502673603231, GlobalHorizontalIrradiance = 341,8499999999999, SunshineDuration = 0, DiffuseHorizontalIrradiance = 88,5, AmbientTemp = 6,75, WindSpeed = 73,25999999999999, SnowDepth = 0, Weight = 0, Age = 4,230183879810894, MeasuredPower = , HasMeasuredPower = False }</t>
  </si>
  <si>
    <t>06.12.2025 13:30:00</t>
  </si>
  <si>
    <t>0,6615871894513204</t>
  </si>
  <si>
    <t>0,305502673603231</t>
  </si>
  <si>
    <t>88,5</t>
  </si>
  <si>
    <t>6,75</t>
  </si>
  <si>
    <t>PvRecord { Timestamp = 06.12.2025 13:45:00, Index = 0, DirectGeometryFactor = 0,6282350874093778, DiffuseGeometryFactor = 0,9095760221444958, CosSunElevation = 0,29002984564556283, GlobalHorizontalIrradiance = 341,8499999999999, SunshineDuration = 0, DiffuseHorizontalIrradiance = 88,5, AmbientTemp = 6,75, WindSpeed = 73,25999999999999, SnowDepth = 0, Weight = 0, Age = 4,230212399698976, MeasuredPower = , HasMeasuredPower = False }</t>
  </si>
  <si>
    <t>06.12.2025 13:45:00</t>
  </si>
  <si>
    <t>0,6282350874093778</t>
  </si>
  <si>
    <t>0,29002984564556283</t>
  </si>
  <si>
    <t>PvRecord { Timestamp = 06.12.2025 14:00:00, Index = 0, DirectGeometryFactor = 0,5918154879264668, DiffuseGeometryFactor = 0,9095760221444958, CosSunElevation = 0,2721278163163401, GlobalHorizontalIrradiance = 341,8499999999999, SunshineDuration = 0, DiffuseHorizontalIrradiance = 88,5, AmbientTemp = 6,75, WindSpeed = 73,25999999999999, SnowDepth = 0, Weight = 0, Age = 4,230240919587057, MeasuredPower = , HasMeasuredPower = False }</t>
  </si>
  <si>
    <t>06.12.2025 14:00:00</t>
  </si>
  <si>
    <t>0,5918154879264668</t>
  </si>
  <si>
    <t>0,2721278163163401</t>
  </si>
  <si>
    <t>PvRecord { Timestamp = 06.12.2025 14:15:00, Index = 0, DirectGeometryFactor = 0,5524879015612821, DiffuseGeometryFactor = 0,9095760221444958, CosSunElevation = 0,2518775774722724, GlobalHorizontalIrradiance = 341,8499999999999, SunshineDuration = 0, DiffuseHorizontalIrradiance = 88,5, AmbientTemp = 6,75, WindSpeed = 73,25999999999999, SnowDepth = 0, Weight = 0, Age = 4,230269439475139, MeasuredPower = , HasMeasuredPower = False }</t>
  </si>
  <si>
    <t>06.12.2025 14:15:00</t>
  </si>
  <si>
    <t>0,5524879015612821</t>
  </si>
  <si>
    <t>0,2518775774722724</t>
  </si>
  <si>
    <t>PvRecord { Timestamp = 06.12.2025 14:30:00, Index = 0, DirectGeometryFactor = 0,5104260831562204, DiffuseGeometryFactor = 0,9095760221444958, CosSunElevation = 0,2293723590996958, GlobalHorizontalIrradiance = 309,98333333333335, SunshineDuration = 0, DiffuseHorizontalIrradiance = 68, AmbientTemp = 6,1, WindSpeed = 68,75999999999999, SnowDepth = 0, Weight = 0, Age = 4,23029795936322, MeasuredPower = , HasMeasuredPower = False }</t>
  </si>
  <si>
    <t>06.12.2025 14:30:00</t>
  </si>
  <si>
    <t>0,5104260831562204</t>
  </si>
  <si>
    <t>0,2293723590996958</t>
  </si>
  <si>
    <t>6,1</t>
  </si>
  <si>
    <t>PvRecord { Timestamp = 06.12.2025 14:45:00, Index = 0, DirectGeometryFactor = 0,4658184849054658, DiffuseGeometryFactor = 0,9095760221444958, CosSunElevation = 0,2047186845318747, GlobalHorizontalIrradiance = 309,98333333333335, SunshineDuration = 0, DiffuseHorizontalIrradiance = 68, AmbientTemp = 6,1, WindSpeed = 68,75999999999999, SnowDepth = 0, Weight = 0, Age = 4,230326479251302, MeasuredPower = , HasMeasuredPower = False }</t>
  </si>
  <si>
    <t>06.12.2025 14:45:00</t>
  </si>
  <si>
    <t>0,4658184849054658</t>
  </si>
  <si>
    <t>0,2047186845318747</t>
  </si>
  <si>
    <t>PvRecord { Timestamp = 06.12.2025 15:00:00, Index = 0, DirectGeometryFactor = 0,4188697594746559, DiffuseGeometryFactor = 0,9095760221444958, CosSunElevation = 0,17803872044518643, GlobalHorizontalIrradiance = 309,98333333333335, SunshineDuration = 0, DiffuseHorizontalIrradiance = 68, AmbientTemp = 6,1, WindSpeed = 68,75999999999999, SnowDepth = 0, Weight = 0, Age = 4,230354999139384, MeasuredPower = , HasMeasuredPower = False }</t>
  </si>
  <si>
    <t>06.12.2025 15:00:00</t>
  </si>
  <si>
    <t>0,4188697594746559</t>
  </si>
  <si>
    <t>0,17803872044518643</t>
  </si>
  <si>
    <t>PvRecord { Timestamp = 06.12.2025 15:15:00, Index = 0, DirectGeometryFactor = 0,3698046971128459, DiffuseGeometryFactor = 0,9095760221444958, CosSunElevation = 0,14947560003235044, GlobalHorizontalIrradiance = 309,98333333333335, SunshineDuration = 0, DiffuseHorizontalIrradiance = 68, AmbientTemp = 6,1, WindSpeed = 68,75999999999999, SnowDepth = 0, Weight = 0, Age = 4,230383519027465, MeasuredPower = , HasMeasuredPower = False }</t>
  </si>
  <si>
    <t>06.12.2025 15:15:00</t>
  </si>
  <si>
    <t>0,3698046971128459</t>
  </si>
  <si>
    <t>0,14947560003235044</t>
  </si>
  <si>
    <t>PvRecord { Timestamp = 06.12.2025 15:30:00, Index = 0, DirectGeometryFactor = 0,3188783094330456, DiffuseGeometryFactor = 0,9095760221444958, CosSunElevation = 0,11920622443109348, GlobalHorizontalIrradiance = 274,2833333333333, SunshineDuration = 0, DiffuseHorizontalIrradiance = 38, AmbientTemp = 5,3, WindSpeed = 63,540000000000006, SnowDepth = 0, Weight = 0, Age = 4,230412038915547, MeasuredPower = , HasMeasuredPower = False }</t>
  </si>
  <si>
    <t>06.12.2025 15:30:00</t>
  </si>
  <si>
    <t>0,3188783094330456</t>
  </si>
  <si>
    <t>0,11920622443109348</t>
  </si>
  <si>
    <t>5,3</t>
  </si>
  <si>
    <t>PvRecord { Timestamp = 06.12.2025 15:45:00, Index = 0, DirectGeometryFactor = 0, DiffuseGeometryFactor = 0,9095760221444958, CosSunElevation = 0,08747527108634336, GlobalHorizontalIrradiance = 274,2833333333333, SunshineDuration = 0, DiffuseHorizontalIrradiance = 38, AmbientTemp = 5,3, WindSpeed = 63,540000000000006, SnowDepth = 0, Weight = 0, Age = 4,230440558803628, MeasuredPower = , HasMeasuredPower = False }</t>
  </si>
  <si>
    <t>06.12.2025 15:45:00</t>
  </si>
  <si>
    <t>0,08747527108634336</t>
  </si>
  <si>
    <t>PvRecord { Timestamp = 06.12.2025 16:00:00, Index = 0, DirectGeometryFactor = 0, DiffuseGeometryFactor = 0,9095760221444958, CosSunElevation = 0,054698680309174956, GlobalHorizontalIrradiance = 274,2833333333333, SunshineDuration = 0, DiffuseHorizontalIrradiance = 38, AmbientTemp = 5,3, WindSpeed = 63,540000000000006, SnowDepth = 0, Weight = 0, Age = 4,230469078691709, MeasuredPower = , HasMeasuredPower = False }</t>
  </si>
  <si>
    <t>06.12.2025 16:00:00</t>
  </si>
  <si>
    <t>0,054698680309174956</t>
  </si>
  <si>
    <t>PvRecord { Timestamp = 06.12.2025 16:15:00, Index = 0, DirectGeometryFactor = 0, DiffuseGeometryFactor = 0,9095760221444958, CosSunElevation = 0,021816622926311043, GlobalHorizontalIrradiance = 274,2833333333333, SunshineDuration = 0, DiffuseHorizontalIrradiance = 38, AmbientTemp = 5,3, WindSpeed = 63,540000000000006, SnowDepth = 0, Weight = 0, Age = 4,230497598579792, MeasuredPower = , HasMeasuredPower = False }</t>
  </si>
  <si>
    <t>06.12.2025 16:15:00</t>
  </si>
  <si>
    <t>0,021816622926311043</t>
  </si>
  <si>
    <t>PvRecord { Timestamp = 06.12.2025 16:30:00,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4,230526118467873, MeasuredPower = , HasMeasuredPower = False }</t>
  </si>
  <si>
    <t>06.12.2025 16:30:00</t>
  </si>
  <si>
    <t>7,5</t>
  </si>
  <si>
    <t>4,45</t>
  </si>
  <si>
    <t>57,78</t>
  </si>
  <si>
    <t>PvRecord { Timestamp = 06.12.2025 16:45:00,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4,2305546383559545, MeasuredPower = , HasMeasuredPower = False }</t>
  </si>
  <si>
    <t>06.12.2025 16:45:00</t>
  </si>
  <si>
    <t>PvRecord { Timestamp = 06.12.2025 17:00:00,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4,230583158244036, MeasuredPower = , HasMeasuredPower = False }</t>
  </si>
  <si>
    <t>06.12.2025 17:00:00</t>
  </si>
  <si>
    <t>PvRecord { Timestamp = 06.12.2025 17:15:00,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4,230611678132117, MeasuredPower = , HasMeasuredPower = False }</t>
  </si>
  <si>
    <t>06.12.2025 17:15:00</t>
  </si>
  <si>
    <t>PvRecord { Timestamp = 06.12.2025 17:30:00, Index = 0, DirectGeometryFactor = 0, DiffuseGeometryFactor = 0,9095760221444958, CosSunElevation = 0, GlobalHorizontalIrradiance = 0, SunshineDuration = 0, DiffuseHorizontalIrradiance = 0, AmbientTemp = 3,7, WindSpeed = 52,92, SnowDepth = 0, Weight = 0, Age = 4,2306401980201995, MeasuredPower = , HasMeasuredPower = False }</t>
  </si>
  <si>
    <t>06.12.2025 17:30:00</t>
  </si>
  <si>
    <t>52,92</t>
  </si>
  <si>
    <t>PvRecord { Timestamp = 06.12.2025 17:45:00, Index = 0, DirectGeometryFactor = 0, DiffuseGeometryFactor = 0,9095760221444958, CosSunElevation = 0, GlobalHorizontalIrradiance = 0, SunshineDuration = 0, DiffuseHorizontalIrradiance = 0, AmbientTemp = 3,7, WindSpeed = 52,92, SnowDepth = 0, Weight = 0, Age = 4,230668717908281, MeasuredPower = , HasMeasuredPower = False }</t>
  </si>
  <si>
    <t>06.12.2025 17:45:00</t>
  </si>
  <si>
    <t>PvRecord { Timestamp = 06.12.2025 18:00:00, Index = 0, DirectGeometryFactor = 0, DiffuseGeometryFactor = 0,9095760221444958, CosSunElevation = 0, GlobalHorizontalIrradiance = 0, SunshineDuration = 0, DiffuseHorizontalIrradiance = 0, AmbientTemp = 3,7, WindSpeed = 52,92, SnowDepth = 0, Weight = 0, Age = 4,230697237796362, MeasuredPower = , HasMeasuredPower = False }</t>
  </si>
  <si>
    <t>06.12.2025 18:00:00</t>
  </si>
  <si>
    <t>PvRecord { Timestamp = 06.12.2025 18:15:00, Index = 0, DirectGeometryFactor = 0, DiffuseGeometryFactor = 0,9095760221444958, CosSunElevation = 0, GlobalHorizontalIrradiance = 0, SunshineDuration = 0, DiffuseHorizontalIrradiance = 0, AmbientTemp = 3,7, WindSpeed = 52,92, SnowDepth = 0, Weight = 0, Age = 4,230725757684444, MeasuredPower = , HasMeasuredPower = False }</t>
  </si>
  <si>
    <t>06.12.2025 18:15:00</t>
  </si>
  <si>
    <t>PvRecord { Timestamp = 06.12.2025 18:30:00,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4,230754277572525, MeasuredPower = , HasMeasuredPower = False }</t>
  </si>
  <si>
    <t>06.12.2025 18:30:00</t>
  </si>
  <si>
    <t>PvRecord { Timestamp = 06.12.2025 18:45:00,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4,230782797460607, MeasuredPower = , HasMeasuredPower = False }</t>
  </si>
  <si>
    <t>06.12.2025 18:45:00</t>
  </si>
  <si>
    <t>PvRecord { Timestamp = 06.12.2025 19:00:00,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4,230811317348689, MeasuredPower = , HasMeasuredPower = False }</t>
  </si>
  <si>
    <t>06.12.2025 19:00:00</t>
  </si>
  <si>
    <t>PvRecord { Timestamp = 06.12.2025 19:15:00,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4,23083983723677, MeasuredPower = , HasMeasuredPower = False }</t>
  </si>
  <si>
    <t>06.12.2025 19:15:00</t>
  </si>
  <si>
    <t>PvRecord { Timestamp = 06.12.2025 19:30:00, Index = 0, DirectGeometryFactor = 0, DiffuseGeometryFactor = 0,9095760221444958, CosSunElevation = 0, GlobalHorizontalIrradiance = 0, SunshineDuration = 0, DiffuseHorizontalIrradiance = 0, AmbientTemp = 2,7, WindSpeed = 48,6, SnowDepth = 0, Weight = 0, Age = 4,2308683571248515, MeasuredPower = , HasMeasuredPower = False }</t>
  </si>
  <si>
    <t>06.12.2025 19:30:00</t>
  </si>
  <si>
    <t>48,6</t>
  </si>
  <si>
    <t>PvRecord { Timestamp = 06.12.2025 19:45:00, Index = 0, DirectGeometryFactor = 0, DiffuseGeometryFactor = 0,9095760221444958, CosSunElevation = 0, GlobalHorizontalIrradiance = 0, SunshineDuration = 0, DiffuseHorizontalIrradiance = 0, AmbientTemp = 2,7, WindSpeed = 48,6, SnowDepth = 0, Weight = 0, Age = 4,230896877012934, MeasuredPower = , HasMeasuredPower = False }</t>
  </si>
  <si>
    <t>06.12.2025 19:45:00</t>
  </si>
  <si>
    <t>PvRecord { Timestamp = 06.12.2025 20:00:00, Index = 0, DirectGeometryFactor = 0, DiffuseGeometryFactor = 0,9095760221444958, CosSunElevation = 0, GlobalHorizontalIrradiance = 0, SunshineDuration = 0, DiffuseHorizontalIrradiance = 0, AmbientTemp = 2,7, WindSpeed = 48,6, SnowDepth = 0, Weight = 0, Age = 4,230925396901015, MeasuredPower = , HasMeasuredPower = False }</t>
  </si>
  <si>
    <t>06.12.2025 20:00:00</t>
  </si>
  <si>
    <t>PvRecord { Timestamp = 06.12.2025 20:15:00, Index = 0, DirectGeometryFactor = 0, DiffuseGeometryFactor = 0,9095760221444958, CosSunElevation = 0, GlobalHorizontalIrradiance = 0, SunshineDuration = 0, DiffuseHorizontalIrradiance = 0, AmbientTemp = 2,7, WindSpeed = 48,6, SnowDepth = 0, Weight = 0, Age = 4,230953916789097, MeasuredPower = , HasMeasuredPower = False }</t>
  </si>
  <si>
    <t>06.12.2025 20:15:00</t>
  </si>
  <si>
    <t>PvRecord { Timestamp = 06.12.2025 20:30:00,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4,230982436677178, MeasuredPower = , HasMeasuredPower = False }</t>
  </si>
  <si>
    <t>06.12.2025 20:30:00</t>
  </si>
  <si>
    <t>PvRecord { Timestamp = 06.12.2025 20:45:00,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4,231010956565259, MeasuredPower = , HasMeasuredPower = False }</t>
  </si>
  <si>
    <t>06.12.2025 20:45:00</t>
  </si>
  <si>
    <t>PvRecord { Timestamp = 06.12.2025 21:00:00,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4,231039476453342, MeasuredPower = , HasMeasuredPower = False }</t>
  </si>
  <si>
    <t>06.12.2025 21:00:00</t>
  </si>
  <si>
    <t>PvRecord { Timestamp = 06.12.2025 21:15:00,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4,231067996341423, MeasuredPower = , HasMeasuredPower = False }</t>
  </si>
  <si>
    <t>06.12.2025 21:15:00</t>
  </si>
  <si>
    <t>PvRecord { Timestamp = 06.12.2025 21:30:00,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4,2310965162295044, MeasuredPower = , HasMeasuredPower = False }</t>
  </si>
  <si>
    <t>06.12.2025 21:30:00</t>
  </si>
  <si>
    <t>PvRecord { Timestamp = 06.12.2025 21:45:00,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4,231125036117586, MeasuredPower = , HasMeasuredPower = False }</t>
  </si>
  <si>
    <t>06.12.2025 21:45:00</t>
  </si>
  <si>
    <t>PvRecord { Timestamp = 06.12.2025 22:00:00,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4,231153556005667, MeasuredPower = , HasMeasuredPower = False }</t>
  </si>
  <si>
    <t>06.12.2025 22:00:00</t>
  </si>
  <si>
    <t>PvRecord { Timestamp = 06.12.2025 22:15:00,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4,2311820758937495, MeasuredPower = , HasMeasuredPower = False }</t>
  </si>
  <si>
    <t>06.12.2025 22:15:00</t>
  </si>
  <si>
    <t>PvRecord { Timestamp = 06.12.2025 22:30:00,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4,231210595781831, MeasuredPower = , HasMeasuredPower = False }</t>
  </si>
  <si>
    <t>06.12.2025 22:30:00</t>
  </si>
  <si>
    <t>PvRecord { Timestamp = 06.12.2025 22:45:00,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4,231239115669912, MeasuredPower = , HasMeasuredPower = False }</t>
  </si>
  <si>
    <t>06.12.2025 22:45:00</t>
  </si>
  <si>
    <t>PvRecord { Timestamp = 06.12.2025 23:00:00,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4,231267635557994, MeasuredPower = , HasMeasuredPower = False }</t>
  </si>
  <si>
    <t>06.12.2025 23:00:00</t>
  </si>
  <si>
    <t>PvRecord { Timestamp = 06.12.2025 23:15:00,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4,231296155446075, MeasuredPower = , HasMeasuredPower = False }</t>
  </si>
  <si>
    <t>06.12.2025 23:15:00</t>
  </si>
  <si>
    <t>PvRecord { Timestamp = 06.12.2025 23:30:00, Index = 0, DirectGeometryFactor = 0, DiffuseGeometryFactor = 0,9095760221444958, CosSunElevation = 0, GlobalHorizontalIrradiance = 0, SunshineDuration = 0, DiffuseHorizontalIrradiance = 0, AmbientTemp = 1,9, WindSpeed = 45,72, SnowDepth = 0, Weight = 0, Age = 4,231324675334157, MeasuredPower = , HasMeasuredPower = False }</t>
  </si>
  <si>
    <t>06.12.2025 23:30:00</t>
  </si>
  <si>
    <t>45,72</t>
  </si>
  <si>
    <t>PvRecord { Timestamp = 06.12.2025 23:45:00, Index = 0, DirectGeometryFactor = 0, DiffuseGeometryFactor = 0,9095760221444958, CosSunElevation = 0, GlobalHorizontalIrradiance = 0, SunshineDuration = 0, DiffuseHorizontalIrradiance = 0, AmbientTemp = 1,9, WindSpeed = 45,72, SnowDepth = 0, Weight = 0, Age = 4,231353195222239, MeasuredPower = , HasMeasuredPower = False }</t>
  </si>
  <si>
    <t>06.12.2025 23:45:00</t>
  </si>
  <si>
    <t>PvRecord { Timestamp = 07.12.2025 00:00:00, Index = 0, DirectGeometryFactor = 0, DiffuseGeometryFactor = 0,9095760221444958, CosSunElevation = 0, GlobalHorizontalIrradiance = 0, SunshineDuration = 0, DiffuseHorizontalIrradiance = 0, AmbientTemp = 1,9, WindSpeed = 45,72, SnowDepth = 0, Weight = 0, Age = 4,23138171511032, MeasuredPower = , HasMeasuredPower = False }</t>
  </si>
  <si>
    <t>07.12.2025 00:00:00</t>
  </si>
  <si>
    <t>PvRecord { Timestamp = 07.12.2025 00:15:00, Index = 0, DirectGeometryFactor = 0, DiffuseGeometryFactor = 0,9095760221444958, CosSunElevation = 0, GlobalHorizontalIrradiance = 0, SunshineDuration = 0, DiffuseHorizontalIrradiance = 0, AmbientTemp = 1,9, WindSpeed = 45,72, SnowDepth = 0, Weight = 0, Age = 4,2314102349984015, MeasuredPower = , HasMeasuredPower = False }</t>
  </si>
  <si>
    <t>07.12.2025 00:15:00</t>
  </si>
  <si>
    <t>PvRecord { Timestamp = 07.12.2025 00:30:00, Index = 0, DirectGeometryFactor = 0, DiffuseGeometryFactor = 0,9095760221444958, CosSunElevation = 0, GlobalHorizontalIrradiance = 0, SunshineDuration = 0, DiffuseHorizontalIrradiance = 0, AmbientTemp = 1,75, WindSpeed = 45,18, SnowDepth = 0, Weight = 0, Age = 4,231438754886483, MeasuredPower = , HasMeasuredPower = False }</t>
  </si>
  <si>
    <t>07.12.2025 00:30:00</t>
  </si>
  <si>
    <t>45,18</t>
  </si>
  <si>
    <t>PvRecord { Timestamp = 07.12.2025 00:45:00, Index = 0, DirectGeometryFactor = 0, DiffuseGeometryFactor = 0,9095760221444958, CosSunElevation = 0, GlobalHorizontalIrradiance = 0, SunshineDuration = 0, DiffuseHorizontalIrradiance = 0, AmbientTemp = 1,75, WindSpeed = 45,18, SnowDepth = 0, Weight = 0, Age = 4,231467274774565, MeasuredPower = , HasMeasuredPower = False }</t>
  </si>
  <si>
    <t>07.12.2025 00:45:00</t>
  </si>
  <si>
    <t>PvRecord { Timestamp = 07.12.2025 01:00:00, Index = 0, DirectGeometryFactor = 0, DiffuseGeometryFactor = 0,9095760221444958, CosSunElevation = 0, GlobalHorizontalIrradiance = 0, SunshineDuration = 0, DiffuseHorizontalIrradiance = 0, AmbientTemp = 1,75, WindSpeed = 45,18, SnowDepth = 0, Weight = 0, Age = 4,231495794662647, MeasuredPower = , HasMeasuredPower = False }</t>
  </si>
  <si>
    <t>07.12.2025 01:00:00</t>
  </si>
  <si>
    <t>PvRecord { Timestamp = 07.12.2025 01:15:00, Index = 0, DirectGeometryFactor = 0, DiffuseGeometryFactor = 0,9095760221444958, CosSunElevation = 0, GlobalHorizontalIrradiance = 0, SunshineDuration = 0, DiffuseHorizontalIrradiance = 0, AmbientTemp = 1,75, WindSpeed = 45,18, SnowDepth = 0, Weight = 0, Age = 4,231524314550728, MeasuredPower = , HasMeasuredPower = False }</t>
  </si>
  <si>
    <t>07.12.2025 01:15:00</t>
  </si>
  <si>
    <t>PvRecord { Timestamp = 07.12.2025 01:30:00, Index = 0, DirectGeometryFactor = 0, DiffuseGeometryFactor = 0,9095760221444958, CosSunElevation = 0, GlobalHorizontalIrradiance = 0, SunshineDuration = 0, DiffuseHorizontalIrradiance = 0, AmbientTemp = 1,65, WindSpeed = 44,28, SnowDepth = 0, Weight = 0, Age = 4,231552834438809, MeasuredPower = , HasMeasuredPower = False }</t>
  </si>
  <si>
    <t>07.12.2025 01:30:00</t>
  </si>
  <si>
    <t>1,65</t>
  </si>
  <si>
    <t>44,28</t>
  </si>
  <si>
    <t>PvRecord { Timestamp = 07.12.2025 01:45:00, Index = 0, DirectGeometryFactor = 0, DiffuseGeometryFactor = 0,9095760221444958, CosSunElevation = 0, GlobalHorizontalIrradiance = 0, SunshineDuration = 0, DiffuseHorizontalIrradiance = 0, AmbientTemp = 1,65, WindSpeed = 44,28, SnowDepth = 0, Weight = 0, Age = 4,231581354326891, MeasuredPower = , HasMeasuredPower = False }</t>
  </si>
  <si>
    <t>07.12.2025 01:45:00</t>
  </si>
  <si>
    <t>PvRecord { Timestamp = 07.12.2025 02:00:00, Index = 0, DirectGeometryFactor = 0, DiffuseGeometryFactor = 0,9095760221444958, CosSunElevation = 0, GlobalHorizontalIrradiance = 0, SunshineDuration = 0, DiffuseHorizontalIrradiance = 0, AmbientTemp = 1,65, WindSpeed = 44,28, SnowDepth = 0, Weight = 0, Age = 4,231609874214973, MeasuredPower = , HasMeasuredPower = False }</t>
  </si>
  <si>
    <t>07.12.2025 02:00:00</t>
  </si>
  <si>
    <t>PvRecord { Timestamp = 07.12.2025 02:15:00, Index = 0, DirectGeometryFactor = 0, DiffuseGeometryFactor = 0,9095760221444958, CosSunElevation = 0, GlobalHorizontalIrradiance = 0, SunshineDuration = 0, DiffuseHorizontalIrradiance = 0, AmbientTemp = 1,65, WindSpeed = 44,28, SnowDepth = 0, Weight = 0, Age = 4,231638394103054, MeasuredPower = , HasMeasuredPower = False }</t>
  </si>
  <si>
    <t>07.12.2025 02:15:00</t>
  </si>
  <si>
    <t>PvRecord { Timestamp = 07.12.2025 02:30:00, Index = 0, DirectGeometryFactor = 0, DiffuseGeometryFactor = 0,9095760221444958, CosSunElevation = 0, GlobalHorizontalIrradiance = 0, SunshineDuration = 0, DiffuseHorizontalIrradiance = 0, AmbientTemp = 1,45, WindSpeed = 43,38, SnowDepth = 0, Weight = 0, Age = 4,231666913991136, MeasuredPower = , HasMeasuredPower = False }</t>
  </si>
  <si>
    <t>07.12.2025 02:30:00</t>
  </si>
  <si>
    <t>43,38</t>
  </si>
  <si>
    <t>PvRecord { Timestamp = 07.12.2025 02:45:00, Index = 0, DirectGeometryFactor = 0, DiffuseGeometryFactor = 0,9095760221444958, CosSunElevation = 0, GlobalHorizontalIrradiance = 0, SunshineDuration = 0, DiffuseHorizontalIrradiance = 0, AmbientTemp = 1,45, WindSpeed = 43,38, SnowDepth = 0, Weight = 0, Age = 4,231695433879217, MeasuredPower = , HasMeasuredPower = False }</t>
  </si>
  <si>
    <t>07.12.2025 02:45:00</t>
  </si>
  <si>
    <t>PvRecord { Timestamp = 07.12.2025 03:00:00, Index = 0, DirectGeometryFactor = 0, DiffuseGeometryFactor = 0,9095760221444958, CosSunElevation = 0, GlobalHorizontalIrradiance = 0, SunshineDuration = 0, DiffuseHorizontalIrradiance = 0, AmbientTemp = 1,45, WindSpeed = 43,38, SnowDepth = 0, Weight = 0, Age = 4,231723953767299, MeasuredPower = , HasMeasuredPower = False }</t>
  </si>
  <si>
    <t>07.12.2025 03:00:00</t>
  </si>
  <si>
    <t>PvRecord { Timestamp = 07.12.2025 03:15:00, Index = 0, DirectGeometryFactor = 0, DiffuseGeometryFactor = 0,9095760221444958, CosSunElevation = 0, GlobalHorizontalIrradiance = 0, SunshineDuration = 0, DiffuseHorizontalIrradiance = 0, AmbientTemp = 1,45, WindSpeed = 43,38, SnowDepth = 0, Weight = 0, Age = 4,231752473655381, MeasuredPower = , HasMeasuredPower = False }</t>
  </si>
  <si>
    <t>07.12.2025 03:15:00</t>
  </si>
  <si>
    <t>PvRecord { Timestamp = 07.12.2025 03:30:00,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4,231780993543462, MeasuredPower = , HasMeasuredPower = False }</t>
  </si>
  <si>
    <t>07.12.2025 03:30:00</t>
  </si>
  <si>
    <t>1,35</t>
  </si>
  <si>
    <t>PvRecord { Timestamp = 07.12.2025 03:45:00,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4,231809513431544, MeasuredPower = , HasMeasuredPower = False }</t>
  </si>
  <si>
    <t>07.12.2025 03:45:00</t>
  </si>
  <si>
    <t>PvRecord { Timestamp = 07.12.2025 04:00:00,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4,231838033319625, MeasuredPower = , HasMeasuredPower = False }</t>
  </si>
  <si>
    <t>07.12.2025 04:00:00</t>
  </si>
  <si>
    <t>PvRecord { Timestamp = 07.12.2025 04:15:00,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4,231866553207706, MeasuredPower = , HasMeasuredPower = False }</t>
  </si>
  <si>
    <t>07.12.2025 04:15:00</t>
  </si>
  <si>
    <t>PvRecord { Timestamp = 07.12.2025 04:30:00,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4,231895073095789, MeasuredPower = , HasMeasuredPower = False }</t>
  </si>
  <si>
    <t>07.12.2025 04:30:00</t>
  </si>
  <si>
    <t>PvRecord { Timestamp = 07.12.2025 04:45:00,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4,23192359298387, MeasuredPower = , HasMeasuredPower = False }</t>
  </si>
  <si>
    <t>07.12.2025 04:45:00</t>
  </si>
  <si>
    <t>PvRecord { Timestamp = 07.12.2025 05:00:00,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4,2319521128719515, MeasuredPower = , HasMeasuredPower = False }</t>
  </si>
  <si>
    <t>07.12.2025 05:00:00</t>
  </si>
  <si>
    <t>PvRecord { Timestamp = 07.12.2025 05:15:00,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4,231980632760033, MeasuredPower = , HasMeasuredPower = False }</t>
  </si>
  <si>
    <t>07.12.2025 05:15:00</t>
  </si>
  <si>
    <t>PvRecord { Timestamp = 07.12.2025 05:30:00,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4,232009152648114, MeasuredPower = , HasMeasuredPower = False }</t>
  </si>
  <si>
    <t>07.12.2025 05:30:00</t>
  </si>
  <si>
    <t>PvRecord { Timestamp = 07.12.2025 05:45:00,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4,232037672536197, MeasuredPower = , HasMeasuredPower = False }</t>
  </si>
  <si>
    <t>07.12.2025 05:45:00</t>
  </si>
  <si>
    <t>PvRecord { Timestamp = 07.12.2025 06:00:00,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4,232066192424278, MeasuredPower = , HasMeasuredPower = False }</t>
  </si>
  <si>
    <t>07.12.2025 06:00:00</t>
  </si>
  <si>
    <t>PvRecord { Timestamp = 07.12.2025 06:15:00,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4,232094712312359, MeasuredPower = , HasMeasuredPower = False }</t>
  </si>
  <si>
    <t>07.12.2025 06:15:00</t>
  </si>
  <si>
    <t>PvRecord { Timestamp = 07.12.2025 06:30:00, Index = 0, DirectGeometryFactor = 0, DiffuseGeometryFactor = 0,9095760221444958, CosSunElevation = 0, GlobalHorizontalIrradiance = 0, SunshineDuration = 0, DiffuseHorizontalIrradiance = 0, AmbientTemp = 1,4, WindSpeed = 43,2, SnowDepth = 0, Weight = 0, Age = 4,232123232200441, MeasuredPower = , HasMeasuredPower = False }</t>
  </si>
  <si>
    <t>07.12.2025 06:30:00</t>
  </si>
  <si>
    <t>1,4</t>
  </si>
  <si>
    <t>43,2</t>
  </si>
  <si>
    <t>PvRecord { Timestamp = 07.12.2025 06:45:00, Index = 0, DirectGeometryFactor = 0, DiffuseGeometryFactor = 0,9095760221444958, CosSunElevation = 0, GlobalHorizontalIrradiance = 0, SunshineDuration = 0, DiffuseHorizontalIrradiance = 0, AmbientTemp = 1,4, WindSpeed = 43,2, SnowDepth = 0, Weight = 0, Age = 4,232151752088522, MeasuredPower = , HasMeasuredPower = False }</t>
  </si>
  <si>
    <t>07.12.2025 06:45:00</t>
  </si>
  <si>
    <t>PvRecord { Timestamp = 07.12.2025 07:00:00, Index = 0, DirectGeometryFactor = 0, DiffuseGeometryFactor = 0,9095760221444958, CosSunElevation = 0, GlobalHorizontalIrradiance = 0, SunshineDuration = 0, DiffuseHorizontalIrradiance = 0, AmbientTemp = 1,4, WindSpeed = 43,2, SnowDepth = 0, Weight = 0, Age = 4,232180271976604, MeasuredPower = , HasMeasuredPower = False }</t>
  </si>
  <si>
    <t>07.12.2025 07:00:00</t>
  </si>
  <si>
    <t>PvRecord { Timestamp = 07.12.2025 07:15:00, Index = 0, DirectGeometryFactor = 0, DiffuseGeometryFactor = 0,9095760221444958, CosSunElevation = 0, GlobalHorizontalIrradiance = 0, SunshineDuration = 0, DiffuseHorizontalIrradiance = 0, AmbientTemp = 1,4, WindSpeed = 43,2, SnowDepth = 0, Weight = 0, Age = 4,232208791864686, MeasuredPower = , HasMeasuredPower = False }</t>
  </si>
  <si>
    <t>07.12.2025 07:15:00</t>
  </si>
  <si>
    <t>PvRecord { Timestamp = 07.12.2025 07:30:00, Index = 0, DirectGeometryFactor = 0, DiffuseGeometryFactor = 0,9095760221444958, CosSunElevation = 0, GlobalHorizontalIrradiance = 0, SunshineDuration = 0, DiffuseHorizontalIrradiance = 0, AmbientTemp = 1,65, WindSpeed = 44,099999999999994, SnowDepth = 0, Weight = 0, Age = 4,232237311752767, MeasuredPower = , HasMeasuredPower = False }</t>
  </si>
  <si>
    <t>07.12.2025 07:30:00</t>
  </si>
  <si>
    <t>PvRecord { Timestamp = 07.12.2025 07:45:00, Index = 0, DirectGeometryFactor = 0, DiffuseGeometryFactor = 0,9095760221444958, CosSunElevation = 0, GlobalHorizontalIrradiance = 0, SunshineDuration = 0, DiffuseHorizontalIrradiance = 0, AmbientTemp = 1,65, WindSpeed = 44,099999999999994, SnowDepth = 0, Weight = 0, Age = 4,232265831640849, MeasuredPower = , HasMeasuredPower = False }</t>
  </si>
  <si>
    <t>07.12.2025 07:45:00</t>
  </si>
  <si>
    <t>PvRecord { Timestamp = 07.12.2025 08:00:00, Index = 0, DirectGeometryFactor = 0, DiffuseGeometryFactor = 0,9095760221444958, CosSunElevation = 0,015921262030072523, GlobalHorizontalIrradiance = 0, SunshineDuration = 0, DiffuseHorizontalIrradiance = 0, AmbientTemp = 1,65, WindSpeed = 44,099999999999994, SnowDepth = 0, Weight = 0, Age = 4,23229435152893, MeasuredPower = , HasMeasuredPower = False }</t>
  </si>
  <si>
    <t>07.12.2025 08:00:00</t>
  </si>
  <si>
    <t>0,015921262030072523</t>
  </si>
  <si>
    <t>PvRecord { Timestamp = 07.12.2025 08:15:00, Index = 0, DirectGeometryFactor = 0,5332163007155768, DiffuseGeometryFactor = 0,9095760221444958, CosSunElevation = 0,04854247417825167, GlobalHorizontalIrradiance = 0, SunshineDuration = 0, DiffuseHorizontalIrradiance = 0, AmbientTemp = 1,65, WindSpeed = 44,099999999999994, SnowDepth = 0, Weight = 0, Age = 4,232322871417012, MeasuredPower = , HasMeasuredPower = False }</t>
  </si>
  <si>
    <t>07.12.2025 08:15:00</t>
  </si>
  <si>
    <t>0,5332163007155768</t>
  </si>
  <si>
    <t>0,04854247417825167</t>
  </si>
  <si>
    <t>PvRecord { Timestamp = 07.12.2025 08:30:00, Index = 0, DirectGeometryFactor = 0,5728937057942203, DiffuseGeometryFactor = 0,9095760221444958, CosSunElevation = 0,08134110197014802, GlobalHorizontalIrradiance = 48,916666666666664, SunshineDuration = 0, DiffuseHorizontalIrradiance = 16, AmbientTemp = 2,1, WindSpeed = 46,620000000000005, SnowDepth = 0, Weight = 0, Age = 4,232351391305094, MeasuredPower = , HasMeasuredPower = False }</t>
  </si>
  <si>
    <t>07.12.2025 08:30:00</t>
  </si>
  <si>
    <t>0,5728937057942203</t>
  </si>
  <si>
    <t>0,08134110197014802</t>
  </si>
  <si>
    <t>PvRecord { Timestamp = 07.12.2025 08:45:00, Index = 0, DirectGeometryFactor = 0,6102444567134132, DiffuseGeometryFactor = 0,9095760221444958, CosSunElevation = 0,11320406012605239, GlobalHorizontalIrradiance = 48,916666666666664, SunshineDuration = 0, DiffuseHorizontalIrradiance = 16, AmbientTemp = 2,1, WindSpeed = 46,620000000000005, SnowDepth = 0, Weight = 0, Age = 4,232379911193175, MeasuredPower = , HasMeasuredPower = False }</t>
  </si>
  <si>
    <t>07.12.2025 08:45:00</t>
  </si>
  <si>
    <t>0,6102444567134132</t>
  </si>
  <si>
    <t>0,11320406012605239</t>
  </si>
  <si>
    <t>PvRecord { Timestamp = 07.12.2025 09:00:00, Index = 0, DirectGeometryFactor = 0,644827725366983, DiffuseGeometryFactor = 0,9095760221444958, CosSunElevation = 0,14365968676887012, GlobalHorizontalIrradiance = 48,916666666666664, SunshineDuration = 0, DiffuseHorizontalIrradiance = 16, AmbientTemp = 2,1, WindSpeed = 46,620000000000005, SnowDepth = 0, Weight = 0, Age = 4,232408431081256, MeasuredPower = , HasMeasuredPower = False }</t>
  </si>
  <si>
    <t>07.12.2025 09:00:00</t>
  </si>
  <si>
    <t>0,644827725366983</t>
  </si>
  <si>
    <t>0,14365968676887012</t>
  </si>
  <si>
    <t>PvRecord { Timestamp = 07.12.2025 09:15:00, Index = 0, DirectGeometryFactor = 0,6763836732077964, DiffuseGeometryFactor = 0,9095760221444958, CosSunElevation = 0,17244375256996142, GlobalHorizontalIrradiance = 48,916666666666664, SunshineDuration = 0, DiffuseHorizontalIrradiance = 16, AmbientTemp = 2,1, WindSpeed = 46,620000000000005, SnowDepth = 0, Weight = 0, Age = 4,232436950969338, MeasuredPower = , HasMeasuredPower = False }</t>
  </si>
  <si>
    <t>07.12.2025 09:15:00</t>
  </si>
  <si>
    <t>0,6763836732077964</t>
  </si>
  <si>
    <t>0,17244375256996142</t>
  </si>
  <si>
    <t>PvRecord { Timestamp = 07.12.2025 09:30:00, Index = 0, DirectGeometryFactor = 0,7047254788786008, DiffuseGeometryFactor = 0,9095760221444958, CosSunElevation = 0,19937092594853936, GlobalHorizontalIrradiance = 70,85, SunshineDuration = 0, DiffuseHorizontalIrradiance = 52, AmbientTemp = 2,5999999999999996, WindSpeed = 49,86, SnowDepth = 0, Weight = 0, Age = 4,23246547085742, MeasuredPower = , HasMeasuredPower = False }</t>
  </si>
  <si>
    <t>07.12.2025 09:30:00</t>
  </si>
  <si>
    <t>0,7047254788786008</t>
  </si>
  <si>
    <t>0,19937092594853936</t>
  </si>
  <si>
    <t>70,85</t>
  </si>
  <si>
    <t>PvRecord { Timestamp = 07.12.2025 09:45:00, Index = 0, DirectGeometryFactor = 0,7297049507065746, DiffuseGeometryFactor = 0,9095760221444958, CosSunElevation = 0,22429359727092738, GlobalHorizontalIrradiance = 70,85, SunshineDuration = 0, DiffuseHorizontalIrradiance = 52, AmbientTemp = 2,5999999999999996, WindSpeed = 49,86, SnowDepth = 0, Weight = 0, Age = 4,2324939907455015, MeasuredPower = , HasMeasuredPower = False }</t>
  </si>
  <si>
    <t>07.12.2025 09:45:00</t>
  </si>
  <si>
    <t>0,7297049507065746</t>
  </si>
  <si>
    <t>0,22429359727092738</t>
  </si>
  <si>
    <t>PvRecord { Timestamp = 07.12.2025 10:00:00, Index = 0, DirectGeometryFactor = 0,7511999421588123, DiffuseGeometryFactor = 0,9095760221444958, CosSunElevation = 0,2470867096075964, GlobalHorizontalIrradiance = 70,85, SunshineDuration = 0, DiffuseHorizontalIrradiance = 52, AmbientTemp = 2,5999999999999996, WindSpeed = 49,86, SnowDepth = 0, Weight = 0, Age = 4,232522510633583, MeasuredPower = , HasMeasuredPower = False }</t>
  </si>
  <si>
    <t>07.12.2025 10:00:00</t>
  </si>
  <si>
    <t>0,7511999421588123</t>
  </si>
  <si>
    <t>0,2470867096075964</t>
  </si>
  <si>
    <t>PvRecord { Timestamp = 07.12.2025 10:15:00, Index = 0, DirectGeometryFactor = 0,7691092351307807, DiffuseGeometryFactor = 0,9095760221444958, CosSunElevation = 0,26764154195251566, GlobalHorizontalIrradiance = 70,85, SunshineDuration = 0, DiffuseHorizontalIrradiance = 52, AmbientTemp = 2,5999999999999996, WindSpeed = 49,86, SnowDepth = 0, Weight = 0, Age = 4,232551030521664, MeasuredPower = , HasMeasuredPower = False }</t>
  </si>
  <si>
    <t>07.12.2025 10:15:00</t>
  </si>
  <si>
    <t>0,7691092351307807</t>
  </si>
  <si>
    <t>0,26764154195251566</t>
  </si>
  <si>
    <t>PvRecord { Timestamp = 07.12.2025 10:30:00, Index = 0, DirectGeometryFactor = 0,7833503115602746, DiffuseGeometryFactor = 0,9095760221444958, CosSunElevation = 0,2858629838791982, GlobalHorizontalIrradiance = 68,41666666666667, SunshineDuration = 0, DiffuseHorizontalIrradiance = 79,5, AmbientTemp = 3,1, WindSpeed = 53,28, SnowDepth = 0, Weight = 0, Age = 4,232579550409746, MeasuredPower = , HasMeasuredPower = False }</t>
  </si>
  <si>
    <t>07.12.2025 10:30:00</t>
  </si>
  <si>
    <t>0,7833503115602746</t>
  </si>
  <si>
    <t>0,2858629838791982</t>
  </si>
  <si>
    <t>79,5</t>
  </si>
  <si>
    <t>53,28</t>
  </si>
  <si>
    <t>PvRecord { Timestamp = 07.12.2025 10:45:00, Index = 0, DirectGeometryFactor = 0,7938583455251682, DiffuseGeometryFactor = 0,9095760221444958, CosSunElevation = 0,3016683093030268, GlobalHorizontalIrradiance = 68,41666666666667, SunshineDuration = 0, DiffuseHorizontalIrradiance = 79,5, AmbientTemp = 3,1, WindSpeed = 53,28, SnowDepth = 0, Weight = 0, Age = 4,232608070297828, MeasuredPower = , HasMeasuredPower = False }</t>
  </si>
  <si>
    <t>07.12.2025 10:45:00</t>
  </si>
  <si>
    <t>0,7938583455251682</t>
  </si>
  <si>
    <t>0,3016683093030268</t>
  </si>
  <si>
    <t>PvRecord { Timestamp = 07.12.2025 11:00:00, Index = 0, DirectGeometryFactor = 0,800585738582998, DiffuseGeometryFactor = 0,9095760221444958, CosSunElevation = 0,31498663929115295, GlobalHorizontalIrradiance = 68,41666666666667, SunshineDuration = 0, DiffuseHorizontalIrradiance = 79,5, AmbientTemp = 3,1, WindSpeed = 53,28, SnowDepth = 0, Weight = 0, Age = 4,232636590185909, MeasuredPower = , HasMeasuredPower = False }</t>
  </si>
  <si>
    <t>07.12.2025 11:00:00</t>
  </si>
  <si>
    <t>0,800585738582998</t>
  </si>
  <si>
    <t>0,31498663929115295</t>
  </si>
  <si>
    <t>PvRecord { Timestamp = 07.12.2025 11:15:00, Index = 0, DirectGeometryFactor = 0,8035018976458538, DiffuseGeometryFactor = 0,9095760221444958, CosSunElevation = 0,3257587336865537, GlobalHorizontalIrradiance = 68,41666666666667, SunshineDuration = 0, DiffuseHorizontalIrradiance = 79,5, AmbientTemp = 3,1, WindSpeed = 53,28, SnowDepth = 0, Weight = 0, Age = 4,232665110073991, MeasuredPower = , HasMeasuredPower = False }</t>
  </si>
  <si>
    <t>07.12.2025 11:15:00</t>
  </si>
  <si>
    <t>0,8035018976458538</t>
  </si>
  <si>
    <t>0,3257587336865537</t>
  </si>
  <si>
    <t>PvRecord { Timestamp = 07.12.2025 11:30:00, Index = 0, DirectGeometryFactor = 0,8025931121543423, DiffuseGeometryFactor = 0,9095760221444958, CosSunElevation = 0,3339369395695838, GlobalHorizontalIrradiance = 73,48333333333333, SunshineDuration = 0, DiffuseHorizontalIrradiance = 94,5, AmbientTemp = 3,45, WindSpeed = 56,16, SnowDepth = 0, Weight = 0, Age = 4,232693629962072, MeasuredPower = , HasMeasuredPower = False }</t>
  </si>
  <si>
    <t>07.12.2025 11:30:00</t>
  </si>
  <si>
    <t>0,8025931121543423</t>
  </si>
  <si>
    <t>0,3339369395695838</t>
  </si>
  <si>
    <t>56,16</t>
  </si>
  <si>
    <t>PvRecord { Timestamp = 07.12.2025 11:45:00, Index = 0, DirectGeometryFactor = 0,7978624580309079, DiffuseGeometryFactor = 0,9095760221444958, CosSunElevation = 0,3394852092256965, GlobalHorizontalIrradiance = 73,48333333333333, SunshineDuration = 0, DiffuseHorizontalIrradiance = 94,5, AmbientTemp = 3,45, WindSpeed = 56,16, SnowDepth = 0, Weight = 0, Age = 4,2327221498501535, MeasuredPower = , HasMeasuredPower = False }</t>
  </si>
  <si>
    <t>07.12.2025 11:45:00</t>
  </si>
  <si>
    <t>0,7978624580309079</t>
  </si>
  <si>
    <t>0,3394852092256965</t>
  </si>
  <si>
    <t>PvRecord { Timestamp = 07.12.2025 12:00:00, Index = 0, DirectGeometryFactor = 0,789329690208707, DiffuseGeometryFactor = 0,9095760221444958, CosSunElevation = 0,34237914109955264, GlobalHorizontalIrradiance = 73,48333333333333, SunshineDuration = 0, DiffuseHorizontalIrradiance = 94,5, AmbientTemp = 3,45, WindSpeed = 56,16, SnowDepth = 0, Weight = 0, Age = 4,232750669738236, MeasuredPower = , HasMeasuredPower = False }</t>
  </si>
  <si>
    <t>07.12.2025 12:00:00</t>
  </si>
  <si>
    <t>0,789329690208707</t>
  </si>
  <si>
    <t>0,34237914109955264</t>
  </si>
  <si>
    <t>PvRecord { Timestamp = 07.12.2025 12:15:00, Index = 0, DirectGeometryFactor = 0,7770311034248436, DiffuseGeometryFactor = 0,9095760221444958, CosSunElevation = 0,342606018637014, GlobalHorizontalIrradiance = 73,48333333333333, SunshineDuration = 0, DiffuseHorizontalIrradiance = 94,5, AmbientTemp = 3,45, WindSpeed = 56,16, SnowDepth = 0, Weight = 0, Age = 4,232779189626317, MeasuredPower = , HasMeasuredPower = False }</t>
  </si>
  <si>
    <t>07.12.2025 12:15:00</t>
  </si>
  <si>
    <t>0,7770311034248436</t>
  </si>
  <si>
    <t>0,342606018637014</t>
  </si>
  <si>
    <t>PvRecord { Timestamp = 07.12.2025 12:30:00, Index = 0, DirectGeometryFactor = 0,7610193507448244, DiffuseGeometryFactor = 0,9095760221444958, CosSunElevation = 0,34016483360798994, GlobalHorizontalIrradiance = 91,48333333333333, SunshineDuration = 0, DiffuseHorizontalIrradiance = 98, AmbientTemp = 3,55, WindSpeed = 56,519999999999996, SnowDepth = 0, Weight = 0, Age = 4,2328077095143986, MeasuredPower = , HasMeasuredPower = False }</t>
  </si>
  <si>
    <t>07.12.2025 12:30:00</t>
  </si>
  <si>
    <t>0,7610193507448244</t>
  </si>
  <si>
    <t>0,34016483360798994</t>
  </si>
  <si>
    <t>PvRecord { Timestamp = 07.12.2025 12:45:00, Index = 0, DirectGeometryFactor = 0,7413632157733253, DiffuseGeometryFactor = 0,9095760221444958, CosSunElevation = 0,33506628788039716, GlobalHorizontalIrradiance = 91,48333333333333, SunshineDuration = 0, DiffuseHorizontalIrradiance = 98, AmbientTemp = 3,55, WindSpeed = 56,519999999999996, SnowDepth = 0, Weight = 0, Age = 4,23283622940248, MeasuredPower = , HasMeasuredPower = False }</t>
  </si>
  <si>
    <t>07.12.2025 12:45:00</t>
  </si>
  <si>
    <t>0,7413632157733253</t>
  </si>
  <si>
    <t>0,33506628788039716</t>
  </si>
  <si>
    <t>PvRecord { Timestamp = 07.12.2025 13:00:00, Index = 0, DirectGeometryFactor = 0,7181473391266591, DiffuseGeometryFactor = 0,9095760221444958, CosSunElevation = 0,327332773263809, GlobalHorizontalIrradiance = 91,48333333333333, SunshineDuration = 0, DiffuseHorizontalIrradiance = 98, AmbientTemp = 3,55, WindSpeed = 56,519999999999996, SnowDepth = 0, Weight = 0, Age = 4,232864749290561, MeasuredPower = , HasMeasuredPower = False }</t>
  </si>
  <si>
    <t>07.12.2025 13:00:00</t>
  </si>
  <si>
    <t>0,7181473391266591</t>
  </si>
  <si>
    <t>0,327332773263809</t>
  </si>
  <si>
    <t>PvRecord { Timestamp = 07.12.2025 13:15:00, Index = 0, DirectGeometryFactor = 0,691471904152848, DiffuseGeometryFactor = 0,9095760221444958, CosSunElevation = 0,31699833432706653, GlobalHorizontalIrradiance = 91,48333333333333, SunshineDuration = 0, DiffuseHorizontalIrradiance = 98, AmbientTemp = 3,55, WindSpeed = 56,519999999999996, SnowDepth = 0, Weight = 0, Age = 4,232893269178644, MeasuredPower = , HasMeasuredPower = False }</t>
  </si>
  <si>
    <t>07.12.2025 13:15:00</t>
  </si>
  <si>
    <t>0,691471904152848</t>
  </si>
  <si>
    <t>0,31699833432706653</t>
  </si>
  <si>
    <t>PvRecord { Timestamp = 07.12.2025 13:30:00, Index = 0, DirectGeometryFactor = 0,6614522931462816, DiffuseGeometryFactor = 0,9095760221444958, CosSunElevation = 0,30410862616620177, GlobalHorizontalIrradiance = 129,1, SunshineDuration = 0, DiffuseHorizontalIrradiance = 88, AmbientTemp = 3,4, WindSpeed = 53,64, SnowDepth = 0, Weight = 0, Age = 4,232921789066725, MeasuredPower = , HasMeasuredPower = False }</t>
  </si>
  <si>
    <t>07.12.2025 13:30:00</t>
  </si>
  <si>
    <t>0,6614522931462816</t>
  </si>
  <si>
    <t>0,30410862616620177</t>
  </si>
  <si>
    <t>129,1</t>
  </si>
  <si>
    <t>53,64</t>
  </si>
  <si>
    <t>PvRecord { Timestamp = 07.12.2025 13:45:00, Index = 0, DirectGeometryFactor = 0,6282187340045454, DiffuseGeometryFactor = 0,9095760221444958, CosSunElevation = 0,2887208898599059, GlobalHorizontalIrradiance = 129,1, SunshineDuration = 0, DiffuseHorizontalIrradiance = 88, AmbientTemp = 3,4, WindSpeed = 53,64, SnowDepth = 0, Weight = 0, Age = 4,232950308954806, MeasuredPower = , HasMeasuredPower = False }</t>
  </si>
  <si>
    <t>07.12.2025 13:45:00</t>
  </si>
  <si>
    <t>0,6282187340045454</t>
  </si>
  <si>
    <t>0,2887208898599059</t>
  </si>
  <si>
    <t>PvRecord { Timestamp = 07.12.2025 14:00:00, Index = 0, DirectGeometryFactor = 0,5919159729049815, DiffuseGeometryFactor = 0,9095760221444958, CosSunElevation = 0,2709039872888405, GlobalHorizontalIrradiance = 129,1, SunshineDuration = 0, DiffuseHorizontalIrradiance = 88, AmbientTemp = 3,4, WindSpeed = 53,64, SnowDepth = 0, Weight = 0, Age = 4,232978828842888, MeasuredPower = , HasMeasuredPower = False }</t>
  </si>
  <si>
    <t>07.12.2025 14:00:00</t>
  </si>
  <si>
    <t>0,5919159729049815</t>
  </si>
  <si>
    <t>0,2709039872888405</t>
  </si>
  <si>
    <t>PvRecord { Timestamp = 07.12.2025 14:15:00, Index = 0, DirectGeometryFactor = 0,5527030393209142, DiffuseGeometryFactor = 0,9095760221444958, CosSunElevation = 0,25073857374648023, GlobalHorizontalIrradiance = 129,1, SunshineDuration = 0, DiffuseHorizontalIrradiance = 88, AmbientTemp = 3,4, WindSpeed = 53,64, SnowDepth = 0, Weight = 0, Age = 4,233007348730969, MeasuredPower = , HasMeasuredPower = False }</t>
  </si>
  <si>
    <t>07.12.2025 14:15:00</t>
  </si>
  <si>
    <t>0,5527030393209142</t>
  </si>
  <si>
    <t>0,25073857374648023</t>
  </si>
  <si>
    <t>PvRecord { Timestamp = 07.12.2025 14:30:00, Index = 0, DirectGeometryFactor = 0,5107532306886711, DiffuseGeometryFactor = 0,9095760221444958, CosSunElevation = 0,22831756116227592, GlobalHorizontalIrradiance = 184,08333333333331, SunshineDuration = 0, DiffuseHorizontalIrradiance = 68, AmbientTemp = 3, WindSpeed = 48,42, SnowDepth = 0, Weight = 0, Age = 4,2330358686190515, MeasuredPower = , HasMeasuredPower = False }</t>
  </si>
  <si>
    <t>07.12.2025 14:30:00</t>
  </si>
  <si>
    <t>0,5107532306886711</t>
  </si>
  <si>
    <t>0,22831756116227592</t>
  </si>
  <si>
    <t>48,42</t>
  </si>
  <si>
    <t>PvRecord { Timestamp = 07.12.2025 14:45:00, Index = 0, DirectGeometryFactor = 0,4662545784642738, DiffuseGeometryFactor = 0,9095760221444958, CosSunElevation = 0,2037471879730777, GlobalHorizontalIrradiance = 184,08333333333331, SunshineDuration = 0, DiffuseHorizontalIrradiance = 68, AmbientTemp = 3, WindSpeed = 48,42, SnowDepth = 0, Weight = 0, Age = 4,233064388507133, MeasuredPower = , HasMeasuredPower = False }</t>
  </si>
  <si>
    <t>07.12.2025 14:45:00</t>
  </si>
  <si>
    <t>0,4662545784642738</t>
  </si>
  <si>
    <t>0,2037471879730777</t>
  </si>
  <si>
    <t>PvRecord { Timestamp = 07.12.2025 15:00:00, Index = 0, DirectGeometryFactor = 0,419411375981273, DiffuseGeometryFactor = 0,9095760221444958, CosSunElevation = 0,177149397989428, GlobalHorizontalIrradiance = 184,08333333333331, SunshineDuration = 0, DiffuseHorizontalIrradiance = 68, AmbientTemp = 3, WindSpeed = 48,42, SnowDepth = 0, Weight = 0, Age = 4,233092908395214, MeasuredPower = , HasMeasuredPower = False }</t>
  </si>
  <si>
    <t>07.12.2025 15:00:00</t>
  </si>
  <si>
    <t>0,419411375981273</t>
  </si>
  <si>
    <t>0,177149397989428</t>
  </si>
  <si>
    <t>PvRecord { Timestamp = 07.12.2025 15:15:00, Index = 0, DirectGeometryFactor = 0,3704481689798671, DiffuseGeometryFactor = 0,9095760221444958, CosSunElevation = 0,14866722706856628, GlobalHorizontalIrradiance = 184,08333333333331, SunshineDuration = 0, DiffuseHorizontalIrradiance = 68, AmbientTemp = 3, WindSpeed = 48,42, SnowDepth = 0, Weight = 0, Age = 4,233121428283296, MeasuredPower = , HasMeasuredPower = False }</t>
  </si>
  <si>
    <t>07.12.2025 15:15:00</t>
  </si>
  <si>
    <t>0,3704481689798671</t>
  </si>
  <si>
    <t>0,14866722706856628</t>
  </si>
  <si>
    <t>PvRecord { Timestamp = 07.12.2025 15:30:00, Index = 0, DirectGeometryFactor = 0,3196199706801142, DiffuseGeometryFactor = 0,9095760221444958, CosSunElevation = 0,11847776196994318, GlobalHorizontalIrradiance = 241,64999999999998, SunshineDuration = 0, DiffuseHorizontalIrradiance = 37,5, AmbientTemp = 2,5, WindSpeed = 42,3, SnowDepth = 0, Weight = 0, Age = 4,233149948171378, MeasuredPower = , HasMeasuredPower = False }</t>
  </si>
  <si>
    <t>07.12.2025 15:30:00</t>
  </si>
  <si>
    <t>0,3196199706801142</t>
  </si>
  <si>
    <t>0,11847776196994318</t>
  </si>
  <si>
    <t>42,3</t>
  </si>
  <si>
    <t>PvRecord { Timestamp = 07.12.2025 15:45:00, Index = 0, DirectGeometryFactor = 0, DiffuseGeometryFactor = 0,9095760221444958, CosSunElevation = 0,08682659487406626, GlobalHorizontalIrradiance = 241,64999999999998, SunshineDuration = 0, DiffuseHorizontalIrradiance = 37,5, AmbientTemp = 2,5, WindSpeed = 42,3, SnowDepth = 0, Weight = 0, Age = 4,233178468059459, MeasuredPower = , HasMeasuredPower = False }</t>
  </si>
  <si>
    <t>07.12.2025 15:45:00</t>
  </si>
  <si>
    <t>0,08682659487406626</t>
  </si>
  <si>
    <t>PvRecord { Timestamp = 07.12.2025 16:00:00, Index = 0, DirectGeometryFactor = 0, DiffuseGeometryFactor = 0,9095760221444958, CosSunElevation = 0,054132753001568876, GlobalHorizontalIrradiance = 241,64999999999998, SunshineDuration = 0, DiffuseHorizontalIrradiance = 37,5, AmbientTemp = 2,5, WindSpeed = 42,3, SnowDepth = 0, Weight = 0, Age = 4,233206987947541, MeasuredPower = , HasMeasuredPower = False }</t>
  </si>
  <si>
    <t>07.12.2025 16:00:00</t>
  </si>
  <si>
    <t>0,054132753001568876</t>
  </si>
  <si>
    <t>PvRecord { Timestamp = 07.12.2025 16:15:00, Index = 0, DirectGeometryFactor = 0, DiffuseGeometryFactor = 0,9095760221444958, CosSunElevation = 0,021345875512423743, GlobalHorizontalIrradiance = 241,64999999999998, SunshineDuration = 0, DiffuseHorizontalIrradiance = 37,5, AmbientTemp = 2,5, WindSpeed = 42,3, SnowDepth = 0, Weight = 0, Age = 4,233235507835622, MeasuredPower = , HasMeasuredPower = False }</t>
  </si>
  <si>
    <t>07.12.2025 16:15:00</t>
  </si>
  <si>
    <t>0,021345875512423743</t>
  </si>
  <si>
    <t>PvRecord { Timestamp = 07.12.2025 16:30:00,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4,2332640277237035, MeasuredPower = , HasMeasuredPower = False }</t>
  </si>
  <si>
    <t>07.12.2025 16:30:00</t>
  </si>
  <si>
    <t>PvRecord { Timestamp = 07.12.2025 16:45:00,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4,233292547611786, MeasuredPower = , HasMeasuredPower = False }</t>
  </si>
  <si>
    <t>07.12.2025 16:45:00</t>
  </si>
  <si>
    <t>PvRecord { Timestamp = 07.12.2025 17:00:00,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4,233321067499867, MeasuredPower = , HasMeasuredPower = False }</t>
  </si>
  <si>
    <t>07.12.2025 17:00:00</t>
  </si>
  <si>
    <t>PvRecord { Timestamp = 07.12.2025 17:15:00,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4,2333495873879485, MeasuredPower = , HasMeasuredPower = False }</t>
  </si>
  <si>
    <t>07.12.2025 17:15:00</t>
  </si>
  <si>
    <t>PvRecord { Timestamp = 07.12.2025 17:30:00,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4,23337810727603, MeasuredPower = , HasMeasuredPower = False }</t>
  </si>
  <si>
    <t>07.12.2025 17:30:00</t>
  </si>
  <si>
    <t>PvRecord { Timestamp = 07.12.2025 17:45:00,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4,233406627164111, MeasuredPower = , HasMeasuredPower = False }</t>
  </si>
  <si>
    <t>07.12.2025 17:45:00</t>
  </si>
  <si>
    <t>PvRecord { Timestamp = 07.12.2025 18:00:00,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4,233435147052194, MeasuredPower = , HasMeasuredPower = False }</t>
  </si>
  <si>
    <t>07.12.2025 18:00:00</t>
  </si>
  <si>
    <t>PvRecord { Timestamp = 07.12.2025 18:15:00,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4,233463666940275, MeasuredPower = , HasMeasuredPower = False }</t>
  </si>
  <si>
    <t>07.12.2025 18:15:00</t>
  </si>
  <si>
    <t>PvRecord { Timestamp = 07.12.2025 18:30:00,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4,233492186828356, MeasuredPower = , HasMeasuredPower = False }</t>
  </si>
  <si>
    <t>07.12.2025 18:30:00</t>
  </si>
  <si>
    <t>PvRecord { Timestamp = 07.12.2025 18:45:00,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4,233520706716438, MeasuredPower = , HasMeasuredPower = False }</t>
  </si>
  <si>
    <t>07.12.2025 18:45:00</t>
  </si>
  <si>
    <t>PvRecord { Timestamp = 07.12.2025 19:00:00,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4,233549226604519, MeasuredPower = , HasMeasuredPower = False }</t>
  </si>
  <si>
    <t>07.12.2025 19:00:00</t>
  </si>
  <si>
    <t>PvRecord { Timestamp = 07.12.2025 19:15:00,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4,233577746492601, MeasuredPower = , HasMeasuredPower = False }</t>
  </si>
  <si>
    <t>07.12.2025 19:15:00</t>
  </si>
  <si>
    <t>PvRecord { Timestamp = 07.12.2025 19:30:00,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4,233606266380683, MeasuredPower = , HasMeasuredPower = False }</t>
  </si>
  <si>
    <t>07.12.2025 19:30:00</t>
  </si>
  <si>
    <t>PvRecord { Timestamp = 07.12.2025 19:45:00,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4,233634786268764, MeasuredPower = , HasMeasuredPower = False }</t>
  </si>
  <si>
    <t>07.12.2025 19:45:00</t>
  </si>
  <si>
    <t>PvRecord { Timestamp = 07.12.2025 20:00:00,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4,233663306156846, MeasuredPower = , HasMeasuredPower = False }</t>
  </si>
  <si>
    <t>07.12.2025 20:00:00</t>
  </si>
  <si>
    <t>PvRecord { Timestamp = 07.12.2025 20:15:00,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4,233691826044927, MeasuredPower = , HasMeasuredPower = False }</t>
  </si>
  <si>
    <t>07.12.2025 20:15:00</t>
  </si>
  <si>
    <t>PvRecord { Timestamp = 07.12.2025 20:30:00, Index = 0, DirectGeometryFactor = 0, DiffuseGeometryFactor = 0,9095760221444958, CosSunElevation = 0, GlobalHorizontalIrradiance = 0, SunshineDuration = 0, DiffuseHorizontalIrradiance = 0, AmbientTemp = -0,3, WindSpeed = 16,74, SnowDepth = 0, Weight = 0, Age = 4,233720345933009, MeasuredPower = , HasMeasuredPower = False }</t>
  </si>
  <si>
    <t>07.12.2025 20:30:00</t>
  </si>
  <si>
    <t>16,74</t>
  </si>
  <si>
    <t>PvRecord { Timestamp = 07.12.2025 20:45:00, Index = 0, DirectGeometryFactor = 0, DiffuseGeometryFactor = 0,9095760221444958, CosSunElevation = 0, GlobalHorizontalIrradiance = 0, SunshineDuration = 0, DiffuseHorizontalIrradiance = 0, AmbientTemp = -0,3, WindSpeed = 16,74, SnowDepth = 0, Weight = 0, Age = 4,233748865821091, MeasuredPower = , HasMeasuredPower = False }</t>
  </si>
  <si>
    <t>07.12.2025 20:45:00</t>
  </si>
  <si>
    <t>PvRecord { Timestamp = 07.12.2025 21:00:00, Index = 0, DirectGeometryFactor = 0, DiffuseGeometryFactor = 0,9095760221444958, CosSunElevation = 0, GlobalHorizontalIrradiance = 0, SunshineDuration = 0, DiffuseHorizontalIrradiance = 0, AmbientTemp = -0,3, WindSpeed = 16,74, SnowDepth = 0, Weight = 0, Age = 4,233777385709172, MeasuredPower = , HasMeasuredPower = False }</t>
  </si>
  <si>
    <t>07.12.2025 21:00:00</t>
  </si>
  <si>
    <t>PvRecord { Timestamp = 07.12.2025 21:15:00, Index = 0, DirectGeometryFactor = 0, DiffuseGeometryFactor = 0,9095760221444958, CosSunElevation = 0, GlobalHorizontalIrradiance = 0, SunshineDuration = 0, DiffuseHorizontalIrradiance = 0, AmbientTemp = -0,3, WindSpeed = 16,74, SnowDepth = 0, Weight = 0, Age = 4,2338059055972534, MeasuredPower = , HasMeasuredPower = False }</t>
  </si>
  <si>
    <t>07.12.2025 21:15:00</t>
  </si>
  <si>
    <t>PvRecord { Timestamp = 07.12.2025 21:30:00,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4,233834425485335, MeasuredPower = , HasMeasuredPower = False }</t>
  </si>
  <si>
    <t>07.12.2025 21:30:00</t>
  </si>
  <si>
    <t>PvRecord { Timestamp = 07.12.2025 21:45:00,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4,233862945373417, MeasuredPower = , HasMeasuredPower = False }</t>
  </si>
  <si>
    <t>07.12.2025 21:45:00</t>
  </si>
  <si>
    <t>PvRecord { Timestamp = 07.12.2025 22:00:00,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4,2338914652614985, MeasuredPower = , HasMeasuredPower = False }</t>
  </si>
  <si>
    <t>07.12.2025 22:00:00</t>
  </si>
  <si>
    <t>PvRecord { Timestamp = 07.12.2025 22:15:00,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4,23391998514958, MeasuredPower = , HasMeasuredPower = False }</t>
  </si>
  <si>
    <t>07.12.2025 22:15:00</t>
  </si>
  <si>
    <t>PvRecord { Timestamp = 07.12.2025 22:30:00, Index = 0, DirectGeometryFactor = 0, DiffuseGeometryFactor = 0,9095760221444958, CosSunElevation = 0, GlobalHorizontalIrradiance = 0, SunshineDuration = 0, DiffuseHorizontalIrradiance = 0, AmbientTemp = -1,4, WindSpeed = 7,74, SnowDepth = 0, Weight = 0, Age = 4,233948505037661, MeasuredPower = , HasMeasuredPower = False }</t>
  </si>
  <si>
    <t>07.12.2025 22:30:00</t>
  </si>
  <si>
    <t>PvRecord { Timestamp = 07.12.2025 22:45:00, Index = 0, DirectGeometryFactor = 0, DiffuseGeometryFactor = 0,9095760221444958, CosSunElevation = 0, GlobalHorizontalIrradiance = 0, SunshineDuration = 0, DiffuseHorizontalIrradiance = 0, AmbientTemp = -1,4, WindSpeed = 7,74, SnowDepth = 0, Weight = 0, Age = 4,233977024925743, MeasuredPower = , HasMeasuredPower = False }</t>
  </si>
  <si>
    <t>07.12.2025 22:45:00</t>
  </si>
  <si>
    <t>PvRecord { Timestamp = 07.12.2025 23:00:00, Index = 0, DirectGeometryFactor = 0, DiffuseGeometryFactor = 0,9095760221444958, CosSunElevation = 0, GlobalHorizontalIrradiance = 0, SunshineDuration = 0, DiffuseHorizontalIrradiance = 0, AmbientTemp = -1,4, WindSpeed = 7,74, SnowDepth = 0, Weight = 0, Age = 4,234005544813825, MeasuredPower = , HasMeasuredPower = False }</t>
  </si>
  <si>
    <t>07.12.2025 23:00:00</t>
  </si>
  <si>
    <t>PvRecord { Timestamp = 07.12.2025 23:15:00, Index = 0, DirectGeometryFactor = 0, DiffuseGeometryFactor = 0,9095760221444958, CosSunElevation = 0, GlobalHorizontalIrradiance = 0, SunshineDuration = 0, DiffuseHorizontalIrradiance = 0, AmbientTemp = -1,4, WindSpeed = 7,74, SnowDepth = 0, Weight = 0, Age = 4,234034064701906, MeasuredPower = , HasMeasuredPower = False }</t>
  </si>
  <si>
    <t>07.12.2025 23:15:00</t>
  </si>
  <si>
    <t>PvRecord { Timestamp = 07.12.2025 23:30:00,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4,234062584589988, MeasuredPower = , HasMeasuredPower = False }</t>
  </si>
  <si>
    <t>07.12.2025 23:30:00</t>
  </si>
  <si>
    <t>PvRecord { Timestamp = 07.12.2025 23:45:00,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4,234091104478069, MeasuredPower = , HasMeasuredPower = False }</t>
  </si>
  <si>
    <t>07.12.2025 23:45:00</t>
  </si>
  <si>
    <t>PvRecord { Timestamp = 08.12.2025 00:00:00,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4,2341196243661505, MeasuredPower = , HasMeasuredPower = False }</t>
  </si>
  <si>
    <t>08.12.2025 00:00:00</t>
  </si>
  <si>
    <t>PvRecord { Timestamp = 08.12.2025 00:15:00,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4,234148144254233, MeasuredPower = , HasMeasuredPower = False }</t>
  </si>
  <si>
    <t>08.12.2025 00:15:00</t>
  </si>
  <si>
    <t>PvRecord { Timestamp = 08.12.2025 00:30:00, Index = 0, DirectGeometryFactor = 0, DiffuseGeometryFactor = 0,9095760221444958, CosSunElevation = 0, GlobalHorizontalIrradiance = 0, SunshineDuration = 0, DiffuseHorizontalIrradiance = 0, AmbientTemp = -2,15, WindSpeed = 5,04, SnowDepth = 0, Weight = 0, Age = 4,234176664142314, MeasuredPower = , HasMeasuredPower = False }</t>
  </si>
  <si>
    <t>08.12.2025 00:30:00</t>
  </si>
  <si>
    <t>-2,15</t>
  </si>
  <si>
    <t>PvRecord { Timestamp = 08.12.2025 00:45:00, Index = 0, DirectGeometryFactor = 0, DiffuseGeometryFactor = 0,9095760221444958, CosSunElevation = 0, GlobalHorizontalIrradiance = 0, SunshineDuration = 0, DiffuseHorizontalIrradiance = 0, AmbientTemp = -2,15, WindSpeed = 5,04, SnowDepth = 0, Weight = 0, Age = 4,234205184030396, MeasuredPower = , HasMeasuredPower = False }</t>
  </si>
  <si>
    <t>08.12.2025 00:45:00</t>
  </si>
  <si>
    <t>PvRecord { Timestamp = 08.12.2025 01:00:00, Index = 0, DirectGeometryFactor = 0, DiffuseGeometryFactor = 0,9095760221444958, CosSunElevation = 0, GlobalHorizontalIrradiance = 0, SunshineDuration = 0, DiffuseHorizontalIrradiance = 0, AmbientTemp = -2,15, WindSpeed = 5,04, SnowDepth = 0, Weight = 0, Age = 4,234233703918477, MeasuredPower = , HasMeasuredPower = False }</t>
  </si>
  <si>
    <t>08.12.2025 01:00:00</t>
  </si>
  <si>
    <t>PvRecord { Timestamp = 08.12.2025 01:15:00, Index = 0, DirectGeometryFactor = 0, DiffuseGeometryFactor = 0,9095760221444958, CosSunElevation = 0, GlobalHorizontalIrradiance = 0, SunshineDuration = 0, DiffuseHorizontalIrradiance = 0, AmbientTemp = -2,15, WindSpeed = 5,04, SnowDepth = 0, Weight = 0, Age = 4,234262223806558, MeasuredPower = , HasMeasuredPower = False }</t>
  </si>
  <si>
    <t>08.12.2025 01:15:00</t>
  </si>
  <si>
    <t>PvRecord { Timestamp = 08.12.2025 01:30:00,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4,234290743694641, MeasuredPower = , HasMeasuredPower = False }</t>
  </si>
  <si>
    <t>08.12.2025 01:30:00</t>
  </si>
  <si>
    <t>PvRecord { Timestamp = 08.12.2025 01:45:00,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4,234319263582722, MeasuredPower = , HasMeasuredPower = False }</t>
  </si>
  <si>
    <t>08.12.2025 01:45:00</t>
  </si>
  <si>
    <t>PvRecord { Timestamp = 08.12.2025 02:00:00,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4,234347783470803, MeasuredPower = , HasMeasuredPower = False }</t>
  </si>
  <si>
    <t>08.12.2025 02:00:00</t>
  </si>
  <si>
    <t>PvRecord { Timestamp = 08.12.2025 02:15:00,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4,234376303358885, MeasuredPower = , HasMeasuredPower = False }</t>
  </si>
  <si>
    <t>08.12.2025 02:15:00</t>
  </si>
  <si>
    <t>PvRecord { Timestamp = 08.12.2025 02:30:00, Index = 0, DirectGeometryFactor = 0, DiffuseGeometryFactor = 0,9095760221444958, CosSunElevation = 0, GlobalHorizontalIrradiance = 0, SunshineDuration = 0, DiffuseHorizontalIrradiance = 0, AmbientTemp = -2,3, WindSpeed = 9, SnowDepth = 0, Weight = 0, Age = 4,234404823246966, MeasuredPower = , HasMeasuredPower = False }</t>
  </si>
  <si>
    <t>08.12.2025 02:30:00</t>
  </si>
  <si>
    <t>PvRecord { Timestamp = 08.12.2025 02:45:00, Index = 0, DirectGeometryFactor = 0, DiffuseGeometryFactor = 0,9095760221444958, CosSunElevation = 0, GlobalHorizontalIrradiance = 0, SunshineDuration = 0, DiffuseHorizontalIrradiance = 0, AmbientTemp = -2,3, WindSpeed = 9, SnowDepth = 0, Weight = 0, Age = 4,2344333431350485, MeasuredPower = , HasMeasuredPower = False }</t>
  </si>
  <si>
    <t>08.12.2025 02:45:00</t>
  </si>
  <si>
    <t>PvRecord { Timestamp = 08.12.2025 03:00:00, Index = 0, DirectGeometryFactor = 0, DiffuseGeometryFactor = 0,9095760221444958, CosSunElevation = 0, GlobalHorizontalIrradiance = 0, SunshineDuration = 0, DiffuseHorizontalIrradiance = 0, AmbientTemp = -2,3, WindSpeed = 9, SnowDepth = 0, Weight = 0, Age = 4,23446186302313, MeasuredPower = , HasMeasuredPower = False }</t>
  </si>
  <si>
    <t>08.12.2025 03:00:00</t>
  </si>
  <si>
    <t>PvRecord { Timestamp = 08.12.2025 03:15:00, Index = 0, DirectGeometryFactor = 0, DiffuseGeometryFactor = 0,9095760221444958, CosSunElevation = 0, GlobalHorizontalIrradiance = 0, SunshineDuration = 0, DiffuseHorizontalIrradiance = 0, AmbientTemp = -2,3, WindSpeed = 9, SnowDepth = 0, Weight = 0, Age = 4,234490382911211, MeasuredPower = , HasMeasuredPower = False }</t>
  </si>
  <si>
    <t>08.12.2025 03:15:00</t>
  </si>
  <si>
    <t>PvRecord { Timestamp = 08.12.2025 03:30:00,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4,234518902799293, MeasuredPower = , HasMeasuredPower = False }</t>
  </si>
  <si>
    <t>08.12.2025 03:30:00</t>
  </si>
  <si>
    <t>PvRecord { Timestamp = 08.12.2025 03:45:00,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4,234547422687374, MeasuredPower = , HasMeasuredPower = False }</t>
  </si>
  <si>
    <t>08.12.2025 03:45:00</t>
  </si>
  <si>
    <t>PvRecord { Timestamp = 08.12.2025 04:00:00,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4,234575942575456, MeasuredPower = , HasMeasuredPower = False }</t>
  </si>
  <si>
    <t>08.12.2025 04:00:00</t>
  </si>
  <si>
    <t>PvRecord { Timestamp = 08.12.2025 04:15:00,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4,234604462463538, MeasuredPower = , HasMeasuredPower = False }</t>
  </si>
  <si>
    <t>08.12.2025 04:15:00</t>
  </si>
  <si>
    <t>PvRecord { Timestamp = 08.12.2025 04:30:00,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4,234632982351619, MeasuredPower = , HasMeasuredPower = False }</t>
  </si>
  <si>
    <t>08.12.2025 04:30:00</t>
  </si>
  <si>
    <t>PvRecord { Timestamp = 08.12.2025 04:45:00,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4,2346615022397005, MeasuredPower = , HasMeasuredPower = False }</t>
  </si>
  <si>
    <t>08.12.2025 04:45:00</t>
  </si>
  <si>
    <t>PvRecord { Timestamp = 08.12.2025 05:00:00,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4,234690022127782, MeasuredPower = , HasMeasuredPower = False }</t>
  </si>
  <si>
    <t>08.12.2025 05:00:00</t>
  </si>
  <si>
    <t>PvRecord { Timestamp = 08.12.2025 05:15:00,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4,234718542015864, MeasuredPower = , HasMeasuredPower = False }</t>
  </si>
  <si>
    <t>08.12.2025 05:15:00</t>
  </si>
  <si>
    <t>PvRecord { Timestamp = 08.12.2025 05:30:00, Index = 0, DirectGeometryFactor = 0, DiffuseGeometryFactor = 0,9095760221444958, CosSunElevation = 0, GlobalHorizontalIrradiance = 0, SunshineDuration = 0, DiffuseHorizontalIrradiance = 0, AmbientTemp = -1,85, WindSpeed = 12,24, SnowDepth = 0, Weight = 0, Age = 4,234747061903946, MeasuredPower = , HasMeasuredPower = False }</t>
  </si>
  <si>
    <t>08.12.2025 05:30:00</t>
  </si>
  <si>
    <t>PvRecord { Timestamp = 08.12.2025 05:45:00, Index = 0, DirectGeometryFactor = 0, DiffuseGeometryFactor = 0,9095760221444958, CosSunElevation = 0, GlobalHorizontalIrradiance = 0, SunshineDuration = 0, DiffuseHorizontalIrradiance = 0, AmbientTemp = -1,85, WindSpeed = 12,24, SnowDepth = 0, Weight = 0, Age = 4,234775581792027, MeasuredPower = , HasMeasuredPower = False }</t>
  </si>
  <si>
    <t>08.12.2025 05:45:00</t>
  </si>
  <si>
    <t>PvRecord { Timestamp = 08.12.2025 06:00:00, Index = 0, DirectGeometryFactor = 0, DiffuseGeometryFactor = 0,9095760221444958, CosSunElevation = 0, GlobalHorizontalIrradiance = 0, SunshineDuration = 0, DiffuseHorizontalIrradiance = 0, AmbientTemp = -1,85, WindSpeed = 12,24, SnowDepth = 0, Weight = 0, Age = 4,234804101680108, MeasuredPower = , HasMeasuredPower = False }</t>
  </si>
  <si>
    <t>08.12.2025 06:00:00</t>
  </si>
  <si>
    <t>PvRecord { Timestamp = 08.12.2025 06:15:00, Index = 0, DirectGeometryFactor = 0, DiffuseGeometryFactor = 0,9095760221444958, CosSunElevation = 0, GlobalHorizontalIrradiance = 0, SunshineDuration = 0, DiffuseHorizontalIrradiance = 0, AmbientTemp = -1,85, WindSpeed = 12,24, SnowDepth = 0, Weight = 0, Age = 4,23483262156819, MeasuredPower = , HasMeasuredPower = False }</t>
  </si>
  <si>
    <t>08.12.2025 06:15:00</t>
  </si>
  <si>
    <t>PvRecord { Timestamp = 08.12.2025 06:30:00, Index = 0, DirectGeometryFactor = 0, DiffuseGeometryFactor = 0,9095760221444958, CosSunElevation = 0, GlobalHorizontalIrradiance = 0, SunshineDuration = 0, DiffuseHorizontalIrradiance = 0, AmbientTemp = -1,5, WindSpeed = 12,06, SnowDepth = 0, Weight = 0, Age = 4,234861141456272, MeasuredPower = , HasMeasuredPower = False }</t>
  </si>
  <si>
    <t>08.12.2025 06:30:00</t>
  </si>
  <si>
    <t>PvRecord { Timestamp = 08.12.2025 06:45:00, Index = 0, DirectGeometryFactor = 0, DiffuseGeometryFactor = 0,9095760221444958, CosSunElevation = 0, GlobalHorizontalIrradiance = 0, SunshineDuration = 0, DiffuseHorizontalIrradiance = 0, AmbientTemp = -1,5, WindSpeed = 12,06, SnowDepth = 0, Weight = 0, Age = 4,234889661344353, MeasuredPower = , HasMeasuredPower = False }</t>
  </si>
  <si>
    <t>08.12.2025 06:45:00</t>
  </si>
  <si>
    <t>PvRecord { Timestamp = 08.12.2025 07:00:00, Index = 0, DirectGeometryFactor = 0, DiffuseGeometryFactor = 0,9095760221444958, CosSunElevation = 0, GlobalHorizontalIrradiance = 0, SunshineDuration = 0, DiffuseHorizontalIrradiance = 0, AmbientTemp = -1,5, WindSpeed = 12,06, SnowDepth = 0, Weight = 0, Age = 4,234918181232435, MeasuredPower = , HasMeasuredPower = False }</t>
  </si>
  <si>
    <t>08.12.2025 07:00:00</t>
  </si>
  <si>
    <t>PvRecord { Timestamp = 08.12.2025 07:15:00, Index = 0, DirectGeometryFactor = 0, DiffuseGeometryFactor = 0,9095760221444958, CosSunElevation = 0, GlobalHorizontalIrradiance = 0, SunshineDuration = 0, DiffuseHorizontalIrradiance = 0, AmbientTemp = -1,5, WindSpeed = 12,06, SnowDepth = 0, Weight = 0, Age = 4,234946701120516, MeasuredPower = , HasMeasuredPower = False }</t>
  </si>
  <si>
    <t>08.12.2025 07:15:00</t>
  </si>
  <si>
    <t>PvRecord { Timestamp = 08.12.2025 07:30:00, Index = 0, DirectGeometryFactor = 0, DiffuseGeometryFactor = 0,9095760221444958, CosSunElevation = 0, GlobalHorizontalIrradiance = 0, SunshineDuration = 0, DiffuseHorizontalIrradiance = 0, AmbientTemp = -1,05, WindSpeed = 10,8, SnowDepth = 0, Weight = 0, Age = 4,234975221008598, MeasuredPower = , HasMeasuredPower = False }</t>
  </si>
  <si>
    <t>08.12.2025 07:30:00</t>
  </si>
  <si>
    <t>PvRecord { Timestamp = 08.12.2025 07:45:00, Index = 0, DirectGeometryFactor = 0, DiffuseGeometryFactor = 0,9095760221444958, CosSunElevation = 0, GlobalHorizontalIrradiance = 0, SunshineDuration = 0, DiffuseHorizontalIrradiance = 0, AmbientTemp = -1,05, WindSpeed = 10,8, SnowDepth = 0, Weight = 0, Age = 4,23500374089668, MeasuredPower = , HasMeasuredPower = False }</t>
  </si>
  <si>
    <t>08.12.2025 07:45:00</t>
  </si>
  <si>
    <t>PvRecord { Timestamp = 08.12.2025 08:00:00, Index = 0, DirectGeometryFactor = 0, DiffuseGeometryFactor = 0,9095760221444958, CosSunElevation = 0,013697314915164844, GlobalHorizontalIrradiance = 0, SunshineDuration = 0, DiffuseHorizontalIrradiance = 0, AmbientTemp = -1,05, WindSpeed = 10,8, SnowDepth = 0, Weight = 0, Age = 4,235032260784761, MeasuredPower = , HasMeasuredPower = False }</t>
  </si>
  <si>
    <t>08.12.2025 08:00:00</t>
  </si>
  <si>
    <t>0,013697314915164844</t>
  </si>
  <si>
    <t>PvRecord { Timestamp = 08.12.2025 08:15:00, Index = 0, DirectGeometryFactor = 0,5312114651969435, DiffuseGeometryFactor = 0,9095760221444958, CosSunElevation = 0,04615448090108467, GlobalHorizontalIrradiance = 0, SunshineDuration = 0, DiffuseHorizontalIrradiance = 0, AmbientTemp = -1,05, WindSpeed = 10,8, SnowDepth = 0, Weight = 0, Age = 4,235060780672843, MeasuredPower = , HasMeasuredPower = False }</t>
  </si>
  <si>
    <t>08.12.2025 08:15:00</t>
  </si>
  <si>
    <t>0,5312114651969435</t>
  </si>
  <si>
    <t>0,04615448090108467</t>
  </si>
  <si>
    <t>PvRecord { Timestamp = 08.12.2025 08:30:00, Index = 0, DirectGeometryFactor = 0,5708817345092817, DiffuseGeometryFactor = 0,9095760221444958, CosSunElevation = 0,07890376033508953, GlobalHorizontalIrradiance = 8,533333333333333, SunshineDuration = 0, DiffuseHorizontalIrradiance = 13,5, AmbientTemp = -0,4, WindSpeed = 9,18, SnowDepth = 0, Weight = 0, Age = 4,235089300560924, MeasuredPower = , HasMeasuredPower = False }</t>
  </si>
  <si>
    <t>08.12.2025 08:30:00</t>
  </si>
  <si>
    <t>0,5708817345092817</t>
  </si>
  <si>
    <t>0,07890376033508953</t>
  </si>
  <si>
    <t>PvRecord { Timestamp = 08.12.2025 08:45:00, Index = 0, DirectGeometryFactor = 0,6082645104493338, DiffuseGeometryFactor = 0,9095760221444958, CosSunElevation = 0,11076082503452911, GlobalHorizontalIrradiance = 8,533333333333333, SunshineDuration = 0, DiffuseHorizontalIrradiance = 13,5, AmbientTemp = -0,4, WindSpeed = 9,18, SnowDepth = 0, Weight = 0, Age = 4,235117820449005, MeasuredPower = , HasMeasuredPower = False }</t>
  </si>
  <si>
    <t>08.12.2025 08:45:00</t>
  </si>
  <si>
    <t>0,6082645104493338</t>
  </si>
  <si>
    <t>0,11076082503452911</t>
  </si>
  <si>
    <t>PvRecord { Timestamp = 08.12.2025 09:00:00, Index = 0, DirectGeometryFactor = 0,6428986486961291, DiffuseGeometryFactor = 0,9095760221444958, CosSunElevation = 0,14123008646736107, GlobalHorizontalIrradiance = 8,533333333333333, SunshineDuration = 0, DiffuseHorizontalIrradiance = 13,5, AmbientTemp = -0,4, WindSpeed = 9,18, SnowDepth = 0, Weight = 0, Age = 4,235146340337088, MeasuredPower = , HasMeasuredPower = False }</t>
  </si>
  <si>
    <t>08.12.2025 09:00:00</t>
  </si>
  <si>
    <t>0,6428986486961291</t>
  </si>
  <si>
    <t>0,14123008646736107</t>
  </si>
  <si>
    <t>PvRecord { Timestamp = 08.12.2025 09:15:00, Index = 0, DirectGeometryFactor = 0,6745173441832265, DiffuseGeometryFactor = 0,9095760221444958, CosSunElevation = 0,17003921722677087, GlobalHorizontalIrradiance = 8,533333333333333, SunshineDuration = 0, DiffuseHorizontalIrradiance = 13,5, AmbientTemp = -0,4, WindSpeed = 9,18, SnowDepth = 0, Weight = 0, Age = 4,235174860225169, MeasuredPower = , HasMeasuredPower = False }</t>
  </si>
  <si>
    <t>08.12.2025 09:15:00</t>
  </si>
  <si>
    <t>0,6745173441832265</t>
  </si>
  <si>
    <t>0,17003921722677087</t>
  </si>
  <si>
    <t>PvRecord { Timestamp = 08.12.2025 09:30:00, Index = 0, DirectGeometryFactor = 0,7029308616267546, DiffuseGeometryFactor = 0,9095760221444958, CosSunElevation = 0,1969996221180319, GlobalHorizontalIrradiance = 10,233333333333333, SunshineDuration = 0, DiffuseHorizontalIrradiance = 45, AmbientTemp = 0,35, WindSpeed = 7,38, SnowDepth = 0, Weight = 0, Age = 4,2352033801132505, MeasuredPower = , HasMeasuredPower = False }</t>
  </si>
  <si>
    <t>08.12.2025 09:30:00</t>
  </si>
  <si>
    <t>0,7029308616267546</t>
  </si>
  <si>
    <t>0,1969996221180319</t>
  </si>
  <si>
    <t>PvRecord { Timestamp = 08.12.2025 09:45:00, Index = 0, DirectGeometryFactor = 0,7279895151073585, DiffuseGeometryFactor = 0,9095760221444958, CosSunElevation = 0,2219621325718879, GlobalHorizontalIrradiance = 10,233333333333333, SunshineDuration = 0, DiffuseHorizontalIrradiance = 45, AmbientTemp = 0,35, WindSpeed = 7,38, SnowDepth = 0, Weight = 0, Age = 4,235231900001332, MeasuredPower = , HasMeasuredPower = False }</t>
  </si>
  <si>
    <t>08.12.2025 09:45:00</t>
  </si>
  <si>
    <t>0,7279895151073585</t>
  </si>
  <si>
    <t>0,2219621325718879</t>
  </si>
  <si>
    <t>PvRecord { Timestamp = 08.12.2025 10:00:00, Index = 0, DirectGeometryFactor = 0,7495702263561159, DiffuseGeometryFactor = 0,9095760221444958, CosSunElevation = 0,24480081505723614, GlobalHorizontalIrradiance = 10,233333333333333, SunshineDuration = 0, DiffuseHorizontalIrradiance = 45, AmbientTemp = 0,35, WindSpeed = 7,38, SnowDepth = 0, Weight = 0, Age = 4,235260419889413, MeasuredPower = , HasMeasuredPower = False }</t>
  </si>
  <si>
    <t>08.12.2025 10:00:00</t>
  </si>
  <si>
    <t>0,7495702263561159</t>
  </si>
  <si>
    <t>0,24480081505723614</t>
  </si>
  <si>
    <t>PvRecord { Timestamp = 08.12.2025 10:15:00, Index = 0, DirectGeometryFactor = 0,7675710882873639, DiffuseGeometryFactor = 0,9095760221444958, CosSunElevation = 0,2654063715651619, GlobalHorizontalIrradiance = 10,233333333333333, SunshineDuration = 0, DiffuseHorizontalIrradiance = 45, AmbientTemp = 0,35, WindSpeed = 7,38, SnowDepth = 0, Weight = 0, Age = 4,2352889397774955, MeasuredPower = , HasMeasuredPower = False }</t>
  </si>
  <si>
    <t>08.12.2025 10:15:00</t>
  </si>
  <si>
    <t>0,7675710882873639</t>
  </si>
  <si>
    <t>0,2654063715651619</t>
  </si>
  <si>
    <t>PvRecord { Timestamp = 08.12.2025 10:30:00, Index = 0, DirectGeometryFactor = 0,7819090035186518, DiffuseGeometryFactor = 0,9095760221444958, CosSunElevation = 0,2836832540915438, GlobalHorizontalIrradiance = 9,85, SunshineDuration = 0, DiffuseHorizontalIrradiance = 68,5, AmbientTemp = 1,05, WindSpeed = 7,5600000000000005, SnowDepth = 0, Weight = 0, Age = 4,235317459665577, MeasuredPower = , HasMeasuredPower = False }</t>
  </si>
  <si>
    <t>08.12.2025 10:30:00</t>
  </si>
  <si>
    <t>0,7819090035186518</t>
  </si>
  <si>
    <t>0,2836832540915438</t>
  </si>
  <si>
    <t>9,85</t>
  </si>
  <si>
    <t>68,5</t>
  </si>
  <si>
    <t>PvRecord { Timestamp = 08.12.2025 10:45:00, Index = 0, DirectGeometryFactor = 0,7925186162392317, DiffuseGeometryFactor = 0,9095760221444958, CosSunElevation = 0,29954836521147515, GlobalHorizontalIrradiance = 9,85, SunshineDuration = 0, DiffuseHorizontalIrradiance = 68,5, AmbientTemp = 1,05, WindSpeed = 7,5600000000000005, SnowDepth = 0, Weight = 0, Age = 4,235345979553658, MeasuredPower = , HasMeasuredPower = False }</t>
  </si>
  <si>
    <t>08.12.2025 10:45:00</t>
  </si>
  <si>
    <t>0,7925186162392317</t>
  </si>
  <si>
    <t>0,29954836521147515</t>
  </si>
  <si>
    <t>PvRecord { Timestamp = 08.12.2025 11:00:00, Index = 0, DirectGeometryFactor = 0,7993518186452544, DiffuseGeometryFactor = 0,9095760221444958, CosSunElevation = 0,3129304851250036, GlobalHorizontalIrradiance = 9,85, SunshineDuration = 0, DiffuseHorizontalIrradiance = 68,5, AmbientTemp = 1,05, WindSpeed = 7,5600000000000005, SnowDepth = 0, Weight = 0, Age = 4,23537449944174, MeasuredPower = , HasMeasuredPower = False }</t>
  </si>
  <si>
    <t>08.12.2025 11:00:00</t>
  </si>
  <si>
    <t>0,7993518186452544</t>
  </si>
  <si>
    <t>0,3129304851250036</t>
  </si>
  <si>
    <t>PvRecord { Timestamp = 08.12.2025 11:15:00, Index = 0, DirectGeometryFactor = 0,8023775145035369, DiffuseGeometryFactor = 0,9095760221444958, CosSunElevation = 0,3237700449580414, GlobalHorizontalIrradiance = 9,85, SunshineDuration = 0, DiffuseHorizontalIrradiance = 68,5, AmbientTemp = 1,05, WindSpeed = 7,5600000000000005, SnowDepth = 0, Weight = 0, Age = 4,235403019329822, MeasuredPower = , HasMeasuredPower = False }</t>
  </si>
  <si>
    <t>08.12.2025 11:15:00</t>
  </si>
  <si>
    <t>0,8023775145035369</t>
  </si>
  <si>
    <t>0,3237700449580414</t>
  </si>
  <si>
    <t>PvRecord { Timestamp = 08.12.2025 11:30:00, Index = 0, DirectGeometryFactor = 0,8015814892938351, DiffuseGeometryFactor = 0,9095760221444958, CosSunElevation = 0,33201906560023464, GlobalHorizontalIrradiance = 11,283333333333335, SunshineDuration = 0, DiffuseHorizontalIrradiance = 81, AmbientTemp = 1,65, WindSpeed = 9, SnowDepth = 0, Weight = 0, Age = 4,235431539217903, MeasuredPower = , HasMeasuredPower = False }</t>
  </si>
  <si>
    <t>08.12.2025 11:30:00</t>
  </si>
  <si>
    <t>0,8015814892938351</t>
  </si>
  <si>
    <t>0,33201906560023464</t>
  </si>
  <si>
    <t>PvRecord { Timestamp = 08.12.2025 11:45:00, Index = 0, DirectGeometryFactor = 0,7969663109842489, DiffuseGeometryFactor = 0,9095760221444958, CosSunElevation = 0,3376411706530775, GlobalHorizontalIrradiance = 11,283333333333335, SunshineDuration = 0, DiffuseHorizontalIrradiance = 81, AmbientTemp = 1,65, WindSpeed = 9, SnowDepth = 0, Weight = 0, Age = 4,235460059105985, MeasuredPower = , HasMeasuredPower = False }</t>
  </si>
  <si>
    <t>08.12.2025 11:45:00</t>
  </si>
  <si>
    <t>0,7969663109842489</t>
  </si>
  <si>
    <t>0,3376411706530775</t>
  </si>
  <si>
    <t>PvRecord { Timestamp = 08.12.2025 12:00:00, Index = 0, DirectGeometryFactor = 0,7885512215323364, DiffuseGeometryFactor = 0,9095760221444958, CosSunElevation = 0,34061162493406294, GlobalHorizontalIrradiance = 11,283333333333335, SunshineDuration = 0, DiffuseHorizontalIrradiance = 81, AmbientTemp = 1,65, WindSpeed = 9, SnowDepth = 0, Weight = 0, Age = 4,235488578994066, MeasuredPower = , HasMeasuredPower = False }</t>
  </si>
  <si>
    <t>08.12.2025 12:00:00</t>
  </si>
  <si>
    <t>0,7885512215323364</t>
  </si>
  <si>
    <t>0,34061162493406294</t>
  </si>
  <si>
    <t>PvRecord { Timestamp = 08.12.2025 12:15:00, Index = 0, DirectGeometryFactor = 0,7763719979127561, DiffuseGeometryFactor = 0,9095760221444958, CosSunElevation = 0,3409173723788659, GlobalHorizontalIrradiance = 11,283333333333335, SunshineDuration = 0, DiffuseHorizontalIrradiance = 81, AmbientTemp = 1,65, WindSpeed = 9, SnowDepth = 0, Weight = 0, Age = 4,235517098882148, MeasuredPower = , HasMeasuredPower = False }</t>
  </si>
  <si>
    <t>08.12.2025 12:15:00</t>
  </si>
  <si>
    <t>0,7763719979127561</t>
  </si>
  <si>
    <t>0,3409173723788659</t>
  </si>
  <si>
    <t>PvRecord { Timestamp = 08.12.2025 12:30:00, Index = 0, DirectGeometryFactor = 0,760480771656846, DiffuseGeometryFactor = 0,9095760221444958, CosSunElevation = 0,33855705936203423, GlobalHorizontalIrradiance = 8,416666666666668, SunshineDuration = 0, DiffuseHorizontalIrradiance = 83,5, AmbientTemp = 2, WindSpeed = 10,620000000000001, SnowDepth = 0, Weight = 0, Age = 4,23554561877023, MeasuredPower = , HasMeasuredPower = False }</t>
  </si>
  <si>
    <t>08.12.2025 12:30:00</t>
  </si>
  <si>
    <t>0,760480771656846</t>
  </si>
  <si>
    <t>0,33855705936203423</t>
  </si>
  <si>
    <t>PvRecord { Timestamp = 08.12.2025 12:45:00, Index = 0, DirectGeometryFactor = 0,7409458025904453, DiffuseGeometryFactor = 0,9095760221444958, CosSunElevation = 0,3335410370902059, GlobalHorizontalIrradiance = 8,416666666666668, SunshineDuration = 0, DiffuseHorizontalIrradiance = 83,5, AmbientTemp = 2, WindSpeed = 10,620000000000001, SnowDepth = 0, Weight = 0, Age = 4,235574138658311, MeasuredPower = , HasMeasuredPower = False }</t>
  </si>
  <si>
    <t>08.12.2025 12:45:00</t>
  </si>
  <si>
    <t>0,7409458025904453</t>
  </si>
  <si>
    <t>0,3335410370902059</t>
  </si>
  <si>
    <t>PvRecord { Timestamp = 08.12.2025 13:00:00, Index = 0, DirectGeometryFactor = 0,7178512072018837, DiffuseGeometryFactor = 0,9095760221444958, CosSunElevation = 0,32589134251894336, GlobalHorizontalIrradiance = 8,416666666666668, SunshineDuration = 0, DiffuseHorizontalIrradiance = 83,5, AmbientTemp = 2, WindSpeed = 10,620000000000001, SnowDepth = 0, Weight = 0, Age = 4,235602658546393, MeasuredPower = , HasMeasuredPower = False }</t>
  </si>
  <si>
    <t>08.12.2025 13:00:00</t>
  </si>
  <si>
    <t>0,7178512072018837</t>
  </si>
  <si>
    <t>0,32589134251894336</t>
  </si>
  <si>
    <t>PvRecord { Timestamp = 08.12.2025 13:15:00, Index = 0, DirectGeometryFactor = 0,6912966465628199, DiffuseGeometryFactor = 0,9095760221444958, CosSunElevation = 0,3156416626266995, GlobalHorizontalIrradiance = 8,416666666666668, SunshineDuration = 0, DiffuseHorizontalIrradiance = 83,5, AmbientTemp = 2, WindSpeed = 10,620000000000001, SnowDepth = 0, Weight = 0, Age = 4,235631178434474, MeasuredPower = , HasMeasuredPower = False }</t>
  </si>
  <si>
    <t>08.12.2025 13:15:00</t>
  </si>
  <si>
    <t>0,6912966465628199</t>
  </si>
  <si>
    <t>0,3156416626266995</t>
  </si>
  <si>
    <t>PvRecord { Timestamp = 08.12.2025 13:30:00, Index = 0, DirectGeometryFactor = 0,6613969850509201, DiffuseGeometryFactor = 0,9095760221444958, CosSunElevation = 0,30283729403059223, GlobalHorizontalIrradiance = 8,65, SunshineDuration = 0, DiffuseHorizontalIrradiance = 74, AmbientTemp = 2,05, WindSpeed = 11,700000000000001, SnowDepth = 0, Weight = 0, Age = 4,235659698322555, MeasuredPower = , HasMeasuredPower = False }</t>
  </si>
  <si>
    <t>08.12.2025 13:30:00</t>
  </si>
  <si>
    <t>0,6613969850509201</t>
  </si>
  <si>
    <t>0,30283729403059223</t>
  </si>
  <si>
    <t>8,65</t>
  </si>
  <si>
    <t>PvRecord { Timestamp = 08.12.2025 13:45:00, Index = 0, DirectGeometryFactor = 0,6282819399047851, DiffuseGeometryFactor = 0,9095760221444958, CosSunElevation = 0,2875351207859436, GlobalHorizontalIrradiance = 8,65, SunshineDuration = 0, DiffuseHorizontalIrradiance = 74, AmbientTemp = 2,05, WindSpeed = 11,700000000000001, SnowDepth = 0, Weight = 0, Age = 4,235688218210638, MeasuredPower = , HasMeasuredPower = False }</t>
  </si>
  <si>
    <t>08.12.2025 13:45:00</t>
  </si>
  <si>
    <t>0,6282819399047851</t>
  </si>
  <si>
    <t>0,2875351207859436</t>
  </si>
  <si>
    <t>PvRecord { Timestamp = 08.12.2025 14:00:00, Index = 0, DirectGeometryFactor = 0,5920957573965182, DiffuseGeometryFactor = 0,9095760221444958, CosSunElevation = 0,2698036523006463, GlobalHorizontalIrradiance = 8,65, SunshineDuration = 0, DiffuseHorizontalIrradiance = 74, AmbientTemp = 2,05, WindSpeed = 11,700000000000001, SnowDepth = 0, Weight = 0, Age = 4,235716738098719, MeasuredPower = , HasMeasuredPower = False }</t>
  </si>
  <si>
    <t>08.12.2025 14:00:00</t>
  </si>
  <si>
    <t>0,5920957573965182</t>
  </si>
  <si>
    <t>0,2698036523006463</t>
  </si>
  <si>
    <t>PvRecord { Timestamp = 08.12.2025 14:15:00, Index = 0, DirectGeometryFactor = 0,5529969823838282, DiffuseGeometryFactor = 0,9095760221444958, CosSunElevation = 0,24972320032978296, GlobalHorizontalIrradiance = 8,65, SunshineDuration = 0, DiffuseHorizontalIrradiance = 74, AmbientTemp = 2,05, WindSpeed = 11,700000000000001, SnowDepth = 0, Weight = 0, Age = 4,2357452579868005, MeasuredPower = , HasMeasuredPower = False }</t>
  </si>
  <si>
    <t>08.12.2025 14:15:00</t>
  </si>
  <si>
    <t>0,5529969823838282</t>
  </si>
  <si>
    <t>0,24972320032978296</t>
  </si>
  <si>
    <t>PvRecord { Timestamp = 08.12.2025 14:30:00, Index = 0, DirectGeometryFactor = 0,5111584494972967, DiffuseGeometryFactor = 0,9095760221444958, CosSunElevation = 0,22738634901292767, GlobalHorizontalIrradiance = 7,716666666666667, SunshineDuration = 0, DiffuseHorizontalIrradiance = 53,5, AmbientTemp = 1,9, WindSpeed = 12,96, SnowDepth = 0, Weight = 0, Age = 4,235773777874882, MeasuredPower = , HasMeasuredPower = False }</t>
  </si>
  <si>
    <t>08.12.2025 14:30:00</t>
  </si>
  <si>
    <t>0,5111584494972967</t>
  </si>
  <si>
    <t>0,22738634901292767</t>
  </si>
  <si>
    <t>53,5</t>
  </si>
  <si>
    <t>PvRecord { Timestamp = 08.12.2025 14:45:00, Index = 0, DirectGeometryFactor = 0,46676775979878826, DiffuseGeometryFactor = 0,9095760221444958, CosSunElevation = 0,20289903651859117, GlobalHorizontalIrradiance = 7,716666666666667, SunshineDuration = 0, DiffuseHorizontalIrradiance = 53,5, AmbientTemp = 1,9, WindSpeed = 12,96, SnowDepth = 0, Weight = 0, Age = 4,235802297762963, MeasuredPower = , HasMeasuredPower = False }</t>
  </si>
  <si>
    <t>08.12.2025 14:45:00</t>
  </si>
  <si>
    <t>0,46676775979878826</t>
  </si>
  <si>
    <t>0,20289903651859117</t>
  </si>
  <si>
    <t>PvRecord { Timestamp = 08.12.2025 15:00:00, Index = 0, DirectGeometryFactor = 0,4200288282999135, DiffuseGeometryFactor = 0,9095760221444958, CosSunElevation = 0,1763829566389892, GlobalHorizontalIrradiance = 7,716666666666667, SunshineDuration = 0, DiffuseHorizontalIrradiance = 53,5, AmbientTemp = 1,9, WindSpeed = 12,96, SnowDepth = 0, Weight = 0, Age = 4,2358308176510455, MeasuredPower = , HasMeasuredPower = False }</t>
  </si>
  <si>
    <t>08.12.2025 15:00:00</t>
  </si>
  <si>
    <t>0,4200288282999135</t>
  </si>
  <si>
    <t>0,1763829566389892</t>
  </si>
  <si>
    <t>PvRecord { Timestamp = 08.12.2025 15:15:00, Index = 0, DirectGeometryFactor = 0,37116591611496186, DiffuseGeometryFactor = 0,9095760221444958, CosSunElevation = 0,1479809946798028, GlobalHorizontalIrradiance = 7,716666666666667, SunshineDuration = 0, DiffuseHorizontalIrradiance = 53,5, AmbientTemp = 1,9, WindSpeed = 12,96, SnowDepth = 0, Weight = 0, Age = 4,235859337539127, MeasuredPower = , HasMeasuredPower = False }</t>
  </si>
  <si>
    <t>08.12.2025 15:15:00</t>
  </si>
  <si>
    <t>0,37116591611496186</t>
  </si>
  <si>
    <t>0,1479809946798028</t>
  </si>
  <si>
    <t>PvRecord { Timestamp = 08.12.2025 15:30:00, Index = 0, DirectGeometryFactor = 0,32043394627862637, DiffuseGeometryFactor = 0,9095760221444958, CosSunElevation = 0,11787030672479387, GlobalHorizontalIrradiance = 6,266666666666667, SunshineDuration = 0, DiffuseHorizontalIrradiance = 28, AmbientTemp = 1,6, WindSpeed = 14,760000000000002, SnowDepth = 0, Weight = 0, Age = 4,235887857427208, MeasuredPower = , HasMeasuredPower = False }</t>
  </si>
  <si>
    <t>08.12.2025 15:30:00</t>
  </si>
  <si>
    <t>0,32043394627862637</t>
  </si>
  <si>
    <t>0,11787030672479387</t>
  </si>
  <si>
    <t>PvRecord { Timestamp = 08.12.2025 15:45:00, Index = 0, DirectGeometryFactor = 0, DiffuseGeometryFactor = 0,9095760221444958, CosSunElevation = 0,08629711070381746, GlobalHorizontalIrradiance = 6,266666666666667, SunshineDuration = 0, DiffuseHorizontalIrradiance = 28, AmbientTemp = 1,6, WindSpeed = 14,760000000000002, SnowDepth = 0, Weight = 0, Age = 4,23591637731529, MeasuredPower = , HasMeasuredPower = False }</t>
  </si>
  <si>
    <t>08.12.2025 15:45:00</t>
  </si>
  <si>
    <t>0,08629711070381746</t>
  </si>
  <si>
    <t>PvRecord { Timestamp = 08.12.2025 16:00:00, Index = 0, DirectGeometryFactor = 0, DiffuseGeometryFactor = 0,9095760221444958, CosSunElevation = 0,053682682789446975, GlobalHorizontalIrradiance = 6,266666666666667, SunshineDuration = 0, DiffuseHorizontalIrradiance = 28, AmbientTemp = 1,6, WindSpeed = 14,760000000000002, SnowDepth = 0, Weight = 0, Age = 4,235944897203371, MeasuredPower = , HasMeasuredPower = False }</t>
  </si>
  <si>
    <t>08.12.2025 16:00:00</t>
  </si>
  <si>
    <t>0,053682682789446975</t>
  </si>
  <si>
    <t>PvRecord { Timestamp = 08.12.2025 16:15:00, Index = 0, DirectGeometryFactor = 0, DiffuseGeometryFactor = 0,9095760221444958, CosSunElevation = 0,020983449767233285, GlobalHorizontalIrradiance = 6,266666666666667, SunshineDuration = 0, DiffuseHorizontalIrradiance = 28, AmbientTemp = 1,6, WindSpeed = 14,760000000000002, SnowDepth = 0, Weight = 0, Age = 4,235973417091453, MeasuredPower = , HasMeasuredPower = False }</t>
  </si>
  <si>
    <t>08.12.2025 16:15:00</t>
  </si>
  <si>
    <t>0,020983449767233285</t>
  </si>
  <si>
    <t>PvRecord { Timestamp = 08.12.2025 16:30:00, Index = 0, DirectGeometryFactor = 0, DiffuseGeometryFactor = 0,9095760221444958, CosSunElevation = 0, GlobalHorizontalIrradiance = 0, SunshineDuration = 0, DiffuseHorizontalIrradiance = 6, AmbientTemp = 1,25, WindSpeed = 17,1, SnowDepth = 0, Weight = 0, Age = 4,236001936979535, MeasuredPower = , HasMeasuredPower = False }</t>
  </si>
  <si>
    <t>08.12.2025 16:30:00</t>
  </si>
  <si>
    <t>PvRecord { Timestamp = 08.12.2025 16:45:00, Index = 0, DirectGeometryFactor = 0, DiffuseGeometryFactor = 0,9095760221444958, CosSunElevation = 0, GlobalHorizontalIrradiance = 0, SunshineDuration = 0, DiffuseHorizontalIrradiance = 6, AmbientTemp = 1,25, WindSpeed = 17,1, SnowDepth = 0, Weight = 0, Age = 4,236030456867616, MeasuredPower = , HasMeasuredPower = False }</t>
  </si>
  <si>
    <t>08.12.2025 16:45:00</t>
  </si>
  <si>
    <t>PvRecord { Timestamp = 08.12.2025 17:00:00, Index = 0, DirectGeometryFactor = 0, DiffuseGeometryFactor = 0,9095760221444958, CosSunElevation = 0, GlobalHorizontalIrradiance = 0, SunshineDuration = 0, DiffuseHorizontalIrradiance = 6, AmbientTemp = 1,25, WindSpeed = 17,1, SnowDepth = 0, Weight = 0, Age = 4,2360589767556975, MeasuredPower = , HasMeasuredPower = False }</t>
  </si>
  <si>
    <t>08.12.2025 17:00:00</t>
  </si>
  <si>
    <t>PvRecord { Timestamp = 08.12.2025 17:15:00, Index = 0, DirectGeometryFactor = 0, DiffuseGeometryFactor = 0,9095760221444958, CosSunElevation = 0, GlobalHorizontalIrradiance = 0, SunshineDuration = 0, DiffuseHorizontalIrradiance = 6, AmbientTemp = 1,25, WindSpeed = 17,1, SnowDepth = 0, Weight = 0, Age = 4,236087496643779, MeasuredPower = , HasMeasuredPower = False }</t>
  </si>
  <si>
    <t>08.12.2025 17:15:00</t>
  </si>
  <si>
    <t>PvRecord { Timestamp = 08.12.2025 17:30:00, Index = 0, DirectGeometryFactor = 0, DiffuseGeometryFactor = 0,9095760221444958, CosSunElevation = 0, GlobalHorizontalIrradiance = 0, SunshineDuration = 0, DiffuseHorizontalIrradiance = 0, AmbientTemp = 0,95, WindSpeed = 18,9, SnowDepth = 0, Weight = 0, Age = 4,236116016531861, MeasuredPower = , HasMeasuredPower = False }</t>
  </si>
  <si>
    <t>08.12.2025 17:30:00</t>
  </si>
  <si>
    <t>18,9</t>
  </si>
  <si>
    <t>PvRecord { Timestamp = 08.12.2025 17:45:00, Index = 0, DirectGeometryFactor = 0, DiffuseGeometryFactor = 0,9095760221444958, CosSunElevation = 0, GlobalHorizontalIrradiance = 0, SunshineDuration = 0, DiffuseHorizontalIrradiance = 0, AmbientTemp = 0,95, WindSpeed = 18,9, SnowDepth = 0, Weight = 0, Age = 4,236144536419943, MeasuredPower = , HasMeasuredPower = False }</t>
  </si>
  <si>
    <t>08.12.2025 17:45:00</t>
  </si>
  <si>
    <t>PvRecord { Timestamp = 08.12.2025 18:00:00, Index = 0, DirectGeometryFactor = 0, DiffuseGeometryFactor = 0,9095760221444958, CosSunElevation = 0, GlobalHorizontalIrradiance = 0, SunshineDuration = 0, DiffuseHorizontalIrradiance = 0, AmbientTemp = 0,95, WindSpeed = 18,9, SnowDepth = 0, Weight = 0, Age = 4,236173056308024, MeasuredPower = , HasMeasuredPower = False }</t>
  </si>
  <si>
    <t>08.12.2025 18:00:00</t>
  </si>
  <si>
    <t>PvRecord { Timestamp = 08.12.2025 18:15:00, Index = 0, DirectGeometryFactor = 0, DiffuseGeometryFactor = 0,9095760221444958, CosSunElevation = 0, GlobalHorizontalIrradiance = 0, SunshineDuration = 0, DiffuseHorizontalIrradiance = 0, AmbientTemp = 0,95, WindSpeed = 18,9, SnowDepth = 0, Weight = 0, Age = 4,236201576196105, MeasuredPower = , HasMeasuredPower = False }</t>
  </si>
  <si>
    <t>08.12.2025 18:15:00</t>
  </si>
  <si>
    <t>PvRecord { Timestamp = 08.12.2025 18:30:00,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4,236230096084187, MeasuredPower = , HasMeasuredPower = False }</t>
  </si>
  <si>
    <t>08.12.2025 18:30:00</t>
  </si>
  <si>
    <t>PvRecord { Timestamp = 08.12.2025 18:45:00,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4,236258615972269, MeasuredPower = , HasMeasuredPower = False }</t>
  </si>
  <si>
    <t>08.12.2025 18:45:00</t>
  </si>
  <si>
    <t>PvRecord { Timestamp = 08.12.2025 19:00:00,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4,23628713586035, MeasuredPower = , HasMeasuredPower = False }</t>
  </si>
  <si>
    <t>08.12.2025 19:00:00</t>
  </si>
  <si>
    <t>PvRecord { Timestamp = 08.12.2025 19:15:00,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4,236315655748432, MeasuredPower = , HasMeasuredPower = False }</t>
  </si>
  <si>
    <t>08.12.2025 19:15:00</t>
  </si>
  <si>
    <t>PvRecord { Timestamp = 08.12.2025 19:30:00, Index = 0, DirectGeometryFactor = 0, DiffuseGeometryFactor = 0,9095760221444958, CosSunElevation = 0, GlobalHorizontalIrradiance = 0, SunshineDuration = 0, DiffuseHorizontalIrradiance = 0, AmbientTemp = 0,75, WindSpeed = 21,42, SnowDepth = 0, Weight = 0, Age = 4,236344175636513, MeasuredPower = , HasMeasuredPower = False }</t>
  </si>
  <si>
    <t>08.12.2025 19:30:00</t>
  </si>
  <si>
    <t>PvRecord { Timestamp = 08.12.2025 19:45:00, Index = 0, DirectGeometryFactor = 0, DiffuseGeometryFactor = 0,9095760221444958, CosSunElevation = 0, GlobalHorizontalIrradiance = 0, SunshineDuration = 0, DiffuseHorizontalIrradiance = 0, AmbientTemp = 0,75, WindSpeed = 21,42, SnowDepth = 0, Weight = 0, Age = 4,236372695524595, MeasuredPower = , HasMeasuredPower = False }</t>
  </si>
  <si>
    <t>08.12.2025 19:45:00</t>
  </si>
  <si>
    <t>PvRecord { Timestamp = 08.12.2025 20:00:00, Index = 0, DirectGeometryFactor = 0, DiffuseGeometryFactor = 0,9095760221444958, CosSunElevation = 0, GlobalHorizontalIrradiance = 0, SunshineDuration = 0, DiffuseHorizontalIrradiance = 0, AmbientTemp = 0,75, WindSpeed = 21,42, SnowDepth = 0, Weight = 0, Age = 4,236401215412677, MeasuredPower = , HasMeasuredPower = False }</t>
  </si>
  <si>
    <t>08.12.2025 20:00:00</t>
  </si>
  <si>
    <t>PvRecord { Timestamp = 08.12.2025 20:15:00, Index = 0, DirectGeometryFactor = 0, DiffuseGeometryFactor = 0,9095760221444958, CosSunElevation = 0, GlobalHorizontalIrradiance = 0, SunshineDuration = 0, DiffuseHorizontalIrradiance = 0, AmbientTemp = 0,75, WindSpeed = 21,42, SnowDepth = 0, Weight = 0, Age = 4,236429735300758, MeasuredPower = , HasMeasuredPower = False }</t>
  </si>
  <si>
    <t>08.12.2025 20:15:00</t>
  </si>
  <si>
    <t>PvRecord { Timestamp = 08.12.2025 20:30:00, Index = 0, DirectGeometryFactor = 0, DiffuseGeometryFactor = 0,9095760221444958, CosSunElevation = 0, GlobalHorizontalIrradiance = 0, SunshineDuration = 0, DiffuseHorizontalIrradiance = 0, AmbientTemp = 0,8, WindSpeed = 22,5, SnowDepth = 0, Weight = 0, Age = 4,23645825518884, MeasuredPower = , HasMeasuredPower = False }</t>
  </si>
  <si>
    <t>08.12.2025 20:30:00</t>
  </si>
  <si>
    <t>22,5</t>
  </si>
  <si>
    <t>PvRecord { Timestamp = 08.12.2025 20:45:00, Index = 0, DirectGeometryFactor = 0, DiffuseGeometryFactor = 0,9095760221444958, CosSunElevation = 0, GlobalHorizontalIrradiance = 0, SunshineDuration = 0, DiffuseHorizontalIrradiance = 0, AmbientTemp = 0,8, WindSpeed = 22,5, SnowDepth = 0, Weight = 0, Age = 4,236486775076921, MeasuredPower = , HasMeasuredPower = False }</t>
  </si>
  <si>
    <t>08.12.2025 20:45:00</t>
  </si>
  <si>
    <t>PvRecord { Timestamp = 08.12.2025 21:00:00, Index = 0, DirectGeometryFactor = 0, DiffuseGeometryFactor = 0,9095760221444958, CosSunElevation = 0, GlobalHorizontalIrradiance = 0, SunshineDuration = 0, DiffuseHorizontalIrradiance = 0, AmbientTemp = 0,8, WindSpeed = 22,5, SnowDepth = 0, Weight = 0, Age = 4,2365152949650025, MeasuredPower = , HasMeasuredPower = False }</t>
  </si>
  <si>
    <t>08.12.2025 21:00:00</t>
  </si>
  <si>
    <t>PvRecord { Timestamp = 08.12.2025 21:15:00, Index = 0, DirectGeometryFactor = 0, DiffuseGeometryFactor = 0,9095760221444958, CosSunElevation = 0, GlobalHorizontalIrradiance = 0, SunshineDuration = 0, DiffuseHorizontalIrradiance = 0, AmbientTemp = 0,8, WindSpeed = 22,5, SnowDepth = 0, Weight = 0, Age = 4,236543814853085, MeasuredPower = , HasMeasuredPower = False }</t>
  </si>
  <si>
    <t>08.12.2025 21:15:00</t>
  </si>
  <si>
    <t>PvRecord { Timestamp = 08.12.2025 21:30:00, Index = 0, DirectGeometryFactor = 0, DiffuseGeometryFactor = 0,9095760221444958, CosSunElevation = 0, GlobalHorizontalIrradiance = 0, SunshineDuration = 0, DiffuseHorizontalIrradiance = 0, AmbientTemp = 0,85, WindSpeed = 23,76, SnowDepth = 0, Weight = 0, Age = 4,236572334741166, MeasuredPower = , HasMeasuredPower = False }</t>
  </si>
  <si>
    <t>08.12.2025 21:30:00</t>
  </si>
  <si>
    <t>23,76</t>
  </si>
  <si>
    <t>PvRecord { Timestamp = 08.12.2025 21:45:00, Index = 0, DirectGeometryFactor = 0, DiffuseGeometryFactor = 0,9095760221444958, CosSunElevation = 0, GlobalHorizontalIrradiance = 0, SunshineDuration = 0, DiffuseHorizontalIrradiance = 0, AmbientTemp = 0,85, WindSpeed = 23,76, SnowDepth = 0, Weight = 0, Age = 4,2366008546292475, MeasuredPower = , HasMeasuredPower = False }</t>
  </si>
  <si>
    <t>08.12.2025 21:45:00</t>
  </si>
  <si>
    <t>PvRecord { Timestamp = 08.12.2025 22:00:00, Index = 0, DirectGeometryFactor = 0, DiffuseGeometryFactor = 0,9095760221444958, CosSunElevation = 0, GlobalHorizontalIrradiance = 0, SunshineDuration = 0, DiffuseHorizontalIrradiance = 0, AmbientTemp = 0,85, WindSpeed = 23,76, SnowDepth = 0, Weight = 0, Age = 4,236629374517329, MeasuredPower = , HasMeasuredPower = False }</t>
  </si>
  <si>
    <t>08.12.2025 22:00:00</t>
  </si>
  <si>
    <t>PvRecord { Timestamp = 08.12.2025 22:15:00, Index = 0, DirectGeometryFactor = 0, DiffuseGeometryFactor = 0,9095760221444958, CosSunElevation = 0, GlobalHorizontalIrradiance = 0, SunshineDuration = 0, DiffuseHorizontalIrradiance = 0, AmbientTemp = 0,85, WindSpeed = 23,76, SnowDepth = 0, Weight = 0, Age = 4,23665789440541, MeasuredPower = , HasMeasuredPower = False }</t>
  </si>
  <si>
    <t>08.12.2025 22:15:00</t>
  </si>
  <si>
    <t>PvRecord { Timestamp = 08.12.2025 22:30:00, Index = 0, DirectGeometryFactor = 0, DiffuseGeometryFactor = 0,9095760221444958, CosSunElevation = 0, GlobalHorizontalIrradiance = 0, SunshineDuration = 0, DiffuseHorizontalIrradiance = 0, AmbientTemp = 0,95, WindSpeed = 24,12, SnowDepth = 0, Weight = 0, Age = 4,236686414293493, MeasuredPower = , HasMeasuredPower = False }</t>
  </si>
  <si>
    <t>08.12.2025 22:30:00</t>
  </si>
  <si>
    <t>24,12</t>
  </si>
  <si>
    <t>PvRecord { Timestamp = 08.12.2025 22:45:00, Index = 0, DirectGeometryFactor = 0, DiffuseGeometryFactor = 0,9095760221444958, CosSunElevation = 0, GlobalHorizontalIrradiance = 0, SunshineDuration = 0, DiffuseHorizontalIrradiance = 0, AmbientTemp = 0,95, WindSpeed = 24,12, SnowDepth = 0, Weight = 0, Age = 4,236714934181574, MeasuredPower = , HasMeasuredPower = False }</t>
  </si>
  <si>
    <t>08.12.2025 22:45:00</t>
  </si>
  <si>
    <t>PvRecord { Timestamp = 08.12.2025 23:00:00, Index = 0, DirectGeometryFactor = 0, DiffuseGeometryFactor = 0,9095760221444958, CosSunElevation = 0, GlobalHorizontalIrradiance = 0, SunshineDuration = 0, DiffuseHorizontalIrradiance = 0, AmbientTemp = 0,95, WindSpeed = 24,12, SnowDepth = 0, Weight = 0, Age = 4,236743454069655, MeasuredPower = , HasMeasuredPower = False }</t>
  </si>
  <si>
    <t>08.12.2025 23:00:00</t>
  </si>
  <si>
    <t>PvRecord { Timestamp = 08.12.2025 23:15:00, Index = 0, DirectGeometryFactor = 0, DiffuseGeometryFactor = 0,9095760221444958, CosSunElevation = 0, GlobalHorizontalIrradiance = 0, SunshineDuration = 0, DiffuseHorizontalIrradiance = 0, AmbientTemp = 0,95, WindSpeed = 24,12, SnowDepth = 0, Weight = 0, Age = 4,236771973957737, MeasuredPower = , HasMeasuredPower = False }</t>
  </si>
  <si>
    <t>08.12.2025 23:15:00</t>
  </si>
  <si>
    <t>PvRecord { Timestamp = 08.12.2025 23:30:00,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4,236800493845818, MeasuredPower = , HasMeasuredPower = False }</t>
  </si>
  <si>
    <t>08.12.2025 23:30:00</t>
  </si>
  <si>
    <t>PvRecord { Timestamp = 08.12.2025 23:45:00,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4,2368290137339, MeasuredPower = , HasMeasuredPower = False }</t>
  </si>
  <si>
    <t>08.12.2025 23:45:00</t>
  </si>
  <si>
    <t>PvRecord { Timestamp = 09.12.2025 00:00:00,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4,236857533621982, MeasuredPower = , HasMeasuredPower = False }</t>
  </si>
  <si>
    <t>09.12.2025 00:00:00</t>
  </si>
  <si>
    <t>PvRecord { Timestamp = 09.12.2025 00:15:00,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4,236886053510063, MeasuredPower = , HasMeasuredPower = False }</t>
  </si>
  <si>
    <t>09.12.2025 00:15:00</t>
  </si>
  <si>
    <t>PvRecord { Timestamp = 09.12.2025 00:30:00,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4,236914573398145, MeasuredPower = , HasMeasuredPower = False }</t>
  </si>
  <si>
    <t>09.12.2025 00:30:00</t>
  </si>
  <si>
    <t>0,8999999999999999</t>
  </si>
  <si>
    <t>22,86</t>
  </si>
  <si>
    <t>PvRecord { Timestamp = 09.12.2025 00:45:00,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4,236943093286226, MeasuredPower = , HasMeasuredPower = False }</t>
  </si>
  <si>
    <t>09.12.2025 00:45:00</t>
  </si>
  <si>
    <t>PvRecord { Timestamp = 09.12.2025 01:00:00,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4,236971613174308, MeasuredPower = , HasMeasuredPower = False }</t>
  </si>
  <si>
    <t>09.12.2025 01:00:00</t>
  </si>
  <si>
    <t>PvRecord { Timestamp = 09.12.2025 01:15:00,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4,23700013306239, MeasuredPower = , HasMeasuredPower = False }</t>
  </si>
  <si>
    <t>09.12.2025 01:15:00</t>
  </si>
  <si>
    <t>PvRecord { Timestamp = 09.12.2025 01:30:00, Index = 0, DirectGeometryFactor = 0, DiffuseGeometryFactor = 0,9095760221444958, CosSunElevation = 0, GlobalHorizontalIrradiance = 0, SunshineDuration = 0, DiffuseHorizontalIrradiance = 0, AmbientTemp = 0,65, WindSpeed = 19,62, SnowDepth = 0, Weight = 0, Age = 4,237028652950471, MeasuredPower = , HasMeasuredPower = False }</t>
  </si>
  <si>
    <t>09.12.2025 01:30:00</t>
  </si>
  <si>
    <t>19,62</t>
  </si>
  <si>
    <t>PvRecord { Timestamp = 09.12.2025 01:45:00, Index = 0, DirectGeometryFactor = 0, DiffuseGeometryFactor = 0,9095760221444958, CosSunElevation = 0, GlobalHorizontalIrradiance = 0, SunshineDuration = 0, DiffuseHorizontalIrradiance = 0, AmbientTemp = 0,65, WindSpeed = 19,62, SnowDepth = 0, Weight = 0, Age = 4,237057172838552, MeasuredPower = , HasMeasuredPower = False }</t>
  </si>
  <si>
    <t>09.12.2025 01:45:00</t>
  </si>
  <si>
    <t>PvRecord { Timestamp = 09.12.2025 02:00:00, Index = 0, DirectGeometryFactor = 0, DiffuseGeometryFactor = 0,9095760221444958, CosSunElevation = 0, GlobalHorizontalIrradiance = 0, SunshineDuration = 0, DiffuseHorizontalIrradiance = 0, AmbientTemp = 0,65, WindSpeed = 19,62, SnowDepth = 0, Weight = 0, Age = 4,237085692726634, MeasuredPower = , HasMeasuredPower = False }</t>
  </si>
  <si>
    <t>09.12.2025 02:00:00</t>
  </si>
  <si>
    <t>PvRecord { Timestamp = 09.12.2025 02:15:00, Index = 0, DirectGeometryFactor = 0, DiffuseGeometryFactor = 0,9095760221444958, CosSunElevation = 0, GlobalHorizontalIrradiance = 0, SunshineDuration = 0, DiffuseHorizontalIrradiance = 0, AmbientTemp = 0,65, WindSpeed = 19,62, SnowDepth = 0, Weight = 0, Age = 4,237114212614716, MeasuredPower = , HasMeasuredPower = False }</t>
  </si>
  <si>
    <t>09.12.2025 02:15:00</t>
  </si>
  <si>
    <t>PvRecord { Timestamp = 09.12.2025 02:30:00,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4,2371427325027975, MeasuredPower = , HasMeasuredPower = False }</t>
  </si>
  <si>
    <t>09.12.2025 02:30:00</t>
  </si>
  <si>
    <t>PvRecord { Timestamp = 09.12.2025 02:45:00,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4,237171252390879, MeasuredPower = , HasMeasuredPower = False }</t>
  </si>
  <si>
    <t>09.12.2025 02:45:00</t>
  </si>
  <si>
    <t>PvRecord { Timestamp = 09.12.2025 03:00:00,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4,23719977227896, MeasuredPower = , HasMeasuredPower = False }</t>
  </si>
  <si>
    <t>09.12.2025 03:00:00</t>
  </si>
  <si>
    <t>PvRecord { Timestamp = 09.12.2025 03:15:00,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4,237228292167042, MeasuredPower = , HasMeasuredPower = False }</t>
  </si>
  <si>
    <t>09.12.2025 03:15:00</t>
  </si>
  <si>
    <t>PvRecord { Timestamp = 09.12.2025 03:30:00, Index = 0, DirectGeometryFactor = 0, DiffuseGeometryFactor = 0,9095760221444958, CosSunElevation = 0, GlobalHorizontalIrradiance = 0, SunshineDuration = 0, DiffuseHorizontalIrradiance = 0, AmbientTemp = -0,15, WindSpeed = 8,64, SnowDepth = 0, Weight = 0, Age = 4,237256812055124, MeasuredPower = , HasMeasuredPower = False }</t>
  </si>
  <si>
    <t>09.12.2025 03:30:00</t>
  </si>
  <si>
    <t>PvRecord { Timestamp = 09.12.2025 03:45:00, Index = 0, DirectGeometryFactor = 0, DiffuseGeometryFactor = 0,9095760221444958, CosSunElevation = 0, GlobalHorizontalIrradiance = 0, SunshineDuration = 0, DiffuseHorizontalIrradiance = 0, AmbientTemp = -0,15, WindSpeed = 8,64, SnowDepth = 0, Weight = 0, Age = 4,237285331943205, MeasuredPower = , HasMeasuredPower = False }</t>
  </si>
  <si>
    <t>09.12.2025 03:45:00</t>
  </si>
  <si>
    <t>PvRecord { Timestamp = 09.12.2025 04:00:00, Index = 0, DirectGeometryFactor = 0, DiffuseGeometryFactor = 0,9095760221444958, CosSunElevation = 0, GlobalHorizontalIrradiance = 0, SunshineDuration = 0, DiffuseHorizontalIrradiance = 0, AmbientTemp = -0,15, WindSpeed = 8,64, SnowDepth = 0, Weight = 0, Age = 4,237313851831287, MeasuredPower = , HasMeasuredPower = False }</t>
  </si>
  <si>
    <t>09.12.2025 04:00:00</t>
  </si>
  <si>
    <t>PvRecord { Timestamp = 09.12.2025 04:15:00, Index = 0, DirectGeometryFactor = 0, DiffuseGeometryFactor = 0,9095760221444958, CosSunElevation = 0, GlobalHorizontalIrradiance = 0, SunshineDuration = 0, DiffuseHorizontalIrradiance = 0, AmbientTemp = -0,15, WindSpeed = 8,64, SnowDepth = 0, Weight = 0, Age = 4,237342371719368, MeasuredPower = , HasMeasuredPower = False }</t>
  </si>
  <si>
    <t>09.12.2025 04:15:00</t>
  </si>
  <si>
    <t>PvRecord { Timestamp = 09.12.2025 04:30:00, Index = 0, DirectGeometryFactor = 0, DiffuseGeometryFactor = 0,9095760221444958, CosSunElevation = 0, GlobalHorizontalIrradiance = 0, SunshineDuration = 0, DiffuseHorizontalIrradiance = 0, AmbientTemp = -0,55, WindSpeed = 4,32, SnowDepth = 0, Weight = 0, Age = 4,2373708916074495, MeasuredPower = , HasMeasuredPower = False }</t>
  </si>
  <si>
    <t>09.12.2025 04:30:00</t>
  </si>
  <si>
    <t>PvRecord { Timestamp = 09.12.2025 04:45:00, Index = 0, DirectGeometryFactor = 0, DiffuseGeometryFactor = 0,9095760221444958, CosSunElevation = 0, GlobalHorizontalIrradiance = 0, SunshineDuration = 0, DiffuseHorizontalIrradiance = 0, AmbientTemp = -0,55, WindSpeed = 4,32, SnowDepth = 0, Weight = 0, Age = 4,237399411495532, MeasuredPower = , HasMeasuredPower = False }</t>
  </si>
  <si>
    <t>09.12.2025 04:45:00</t>
  </si>
  <si>
    <t>PvRecord { Timestamp = 09.12.2025 05:00:00, Index = 0, DirectGeometryFactor = 0, DiffuseGeometryFactor = 0,9095760221444958, CosSunElevation = 0, GlobalHorizontalIrradiance = 0, SunshineDuration = 0, DiffuseHorizontalIrradiance = 0, AmbientTemp = -0,55, WindSpeed = 4,32, SnowDepth = 0, Weight = 0, Age = 4,237427931383613, MeasuredPower = , HasMeasuredPower = False }</t>
  </si>
  <si>
    <t>09.12.2025 05:00:00</t>
  </si>
  <si>
    <t>PvRecord { Timestamp = 09.12.2025 05:15:00, Index = 0, DirectGeometryFactor = 0, DiffuseGeometryFactor = 0,9095760221444958, CosSunElevation = 0, GlobalHorizontalIrradiance = 0, SunshineDuration = 0, DiffuseHorizontalIrradiance = 0, AmbientTemp = -0,55, WindSpeed = 4,32, SnowDepth = 0, Weight = 0, Age = 4,237456451271695, MeasuredPower = , HasMeasuredPower = False }</t>
  </si>
  <si>
    <t>09.12.2025 05:15:00</t>
  </si>
  <si>
    <t>PvRecord { Timestamp = 09.12.2025 05:30:00, Index = 0, DirectGeometryFactor = 0, DiffuseGeometryFactor = 0,9095760221444958, CosSunElevation = 0, GlobalHorizontalIrradiance = 0, SunshineDuration = 0, DiffuseHorizontalIrradiance = 0, AmbientTemp = -0,8, WindSpeed = 4,68, SnowDepth = 0, Weight = 0, Age = 4,237484971159776, MeasuredPower = , HasMeasuredPower = False }</t>
  </si>
  <si>
    <t>09.12.2025 05:30:00</t>
  </si>
  <si>
    <t>PvRecord { Timestamp = 09.12.2025 05:45:00, Index = 0, DirectGeometryFactor = 0, DiffuseGeometryFactor = 0,9095760221444958, CosSunElevation = 0, GlobalHorizontalIrradiance = 0, SunshineDuration = 0, DiffuseHorizontalIrradiance = 0, AmbientTemp = -0,8, WindSpeed = 4,68, SnowDepth = 0, Weight = 0, Age = 4,237513491047857, MeasuredPower = , HasMeasuredPower = False }</t>
  </si>
  <si>
    <t>09.12.2025 05:45:00</t>
  </si>
  <si>
    <t>PvRecord { Timestamp = 09.12.2025 06:00:00, Index = 0, DirectGeometryFactor = 0, DiffuseGeometryFactor = 0,9095760221444958, CosSunElevation = 0, GlobalHorizontalIrradiance = 0, SunshineDuration = 0, DiffuseHorizontalIrradiance = 0, AmbientTemp = -0,8, WindSpeed = 4,68, SnowDepth = 0, Weight = 0, Age = 4,23754201093594, MeasuredPower = , HasMeasuredPower = False }</t>
  </si>
  <si>
    <t>09.12.2025 06:00:00</t>
  </si>
  <si>
    <t>PvRecord { Timestamp = 09.12.2025 06:15:00, Index = 0, DirectGeometryFactor = 0, DiffuseGeometryFactor = 0,9095760221444958, CosSunElevation = 0, GlobalHorizontalIrradiance = 0, SunshineDuration = 0, DiffuseHorizontalIrradiance = 0, AmbientTemp = -0,8, WindSpeed = 4,68, SnowDepth = 0, Weight = 0, Age = 4,237570530824021, MeasuredPower = , HasMeasuredPower = False }</t>
  </si>
  <si>
    <t>09.12.2025 06:15:00</t>
  </si>
  <si>
    <t>PvRecord { Timestamp = 09.12.2025 06:30:00, Index = 0, DirectGeometryFactor = 0, DiffuseGeometryFactor = 0,9095760221444958, CosSunElevation = 0, GlobalHorizontalIrradiance = 0, SunshineDuration = 0, DiffuseHorizontalIrradiance = 0, AmbientTemp = -0,85, WindSpeed = 7,2, SnowDepth = 0, Weight = 0, Age = 4,237599050712102, MeasuredPower = , HasMeasuredPower = False }</t>
  </si>
  <si>
    <t>09.12.2025 06:30:00</t>
  </si>
  <si>
    <t>PvRecord { Timestamp = 09.12.2025 06:45:00, Index = 0, DirectGeometryFactor = 0, DiffuseGeometryFactor = 0,9095760221444958, CosSunElevation = 0, GlobalHorizontalIrradiance = 0, SunshineDuration = 0, DiffuseHorizontalIrradiance = 0, AmbientTemp = -0,85, WindSpeed = 7,2, SnowDepth = 0, Weight = 0, Age = 4,237627570600184, MeasuredPower = , HasMeasuredPower = False }</t>
  </si>
  <si>
    <t>09.12.2025 06:45:00</t>
  </si>
  <si>
    <t>PvRecord { Timestamp = 09.12.2025 07:00:00, Index = 0, DirectGeometryFactor = 0, DiffuseGeometryFactor = 0,9095760221444958, CosSunElevation = 0, GlobalHorizontalIrradiance = 0, SunshineDuration = 0, DiffuseHorizontalIrradiance = 0, AmbientTemp = -0,85, WindSpeed = 7,2, SnowDepth = 0, Weight = 0, Age = 4,237656090488266, MeasuredPower = , HasMeasuredPower = False }</t>
  </si>
  <si>
    <t>09.12.2025 07:00:00</t>
  </si>
  <si>
    <t>PvRecord { Timestamp = 09.12.2025 07:15:00, Index = 0, DirectGeometryFactor = 0, DiffuseGeometryFactor = 0,9095760221444958, CosSunElevation = 0, GlobalHorizontalIrradiance = 0, SunshineDuration = 0, DiffuseHorizontalIrradiance = 0, AmbientTemp = -0,85, WindSpeed = 7,2, SnowDepth = 0, Weight = 0, Age = 4,2376846103763475, MeasuredPower = , HasMeasuredPower = False }</t>
  </si>
  <si>
    <t>09.12.2025 07:15:00</t>
  </si>
  <si>
    <t>PvRecord { Timestamp = 09.12.2025 07:30:00, Index = 0, DirectGeometryFactor = 0, DiffuseGeometryFactor = 0,9095760221444958, CosSunElevation = 0, GlobalHorizontalIrradiance = 0, SunshineDuration = 0, DiffuseHorizontalIrradiance = 0, AmbientTemp = -0,5, WindSpeed = 8,28, SnowDepth = 0, Weight = 0, Age = 4,237713130264429, MeasuredPower = , HasMeasuredPower = False }</t>
  </si>
  <si>
    <t>09.12.2025 07:30:00</t>
  </si>
  <si>
    <t>8,28</t>
  </si>
  <si>
    <t>PvRecord { Timestamp = 09.12.2025 07:45:00, Index = 0, DirectGeometryFactor = 0, DiffuseGeometryFactor = 0,9095760221444958, CosSunElevation = 0, GlobalHorizontalIrradiance = 0, SunshineDuration = 0, DiffuseHorizontalIrradiance = 0, AmbientTemp = -0,5, WindSpeed = 8,28, SnowDepth = 0, Weight = 0, Age = 4,23774165015251, MeasuredPower = , HasMeasuredPower = False }</t>
  </si>
  <si>
    <t>09.12.2025 07:45:00</t>
  </si>
  <si>
    <t>PvRecord { Timestamp = 09.12.2025 08:00:00, Index = 0, DirectGeometryFactor = 0, DiffuseGeometryFactor = 0,9095760221444958, CosSunElevation = 0,011565934151233706, GlobalHorizontalIrradiance = 0, SunshineDuration = 0, DiffuseHorizontalIrradiance = 0, AmbientTemp = -0,5, WindSpeed = 8,28, SnowDepth = 0, Weight = 0, Age = 4,237770170040592, MeasuredPower = , HasMeasuredPower = False }</t>
  </si>
  <si>
    <t>09.12.2025 08:00:00</t>
  </si>
  <si>
    <t>0,011565934151233706</t>
  </si>
  <si>
    <t>PvRecord { Timestamp = 09.12.2025 08:15:00, Index = 0, DirectGeometryFactor = 0,5292474431823873, DiffuseGeometryFactor = 0,9095760221444958, CosSunElevation = 0,04385700746486773, GlobalHorizontalIrradiance = 0, SunshineDuration = 0, DiffuseHorizontalIrradiance = 0, AmbientTemp = -0,5, WindSpeed = 8,28, SnowDepth = 0, Weight = 0, Age = 4,237798689928674, MeasuredPower = , HasMeasuredPower = False }</t>
  </si>
  <si>
    <t>09.12.2025 08:15:00</t>
  </si>
  <si>
    <t>0,5292474431823873</t>
  </si>
  <si>
    <t>0,04385700746486773</t>
  </si>
  <si>
    <t>PvRecord { Timestamp = 09.12.2025 08:30:00, Index = 0, DirectGeometryFactor = 0,5689120624969908, DiffuseGeometryFactor = 0,9095760221444958, CosSunElevation = 0,07655718379111014, GlobalHorizontalIrradiance = 60,28333333333333, SunshineDuration = 0, DiffuseHorizontalIrradiance = 26,5, AmbientTemp = 0,04999999999999999, WindSpeed = 8,64, SnowDepth = 0, Weight = 0, Age = 4,237827209816755, MeasuredPower = , HasMeasuredPower = False }</t>
  </si>
  <si>
    <t>09.12.2025 08:30:00</t>
  </si>
  <si>
    <t>0,5689120624969908</t>
  </si>
  <si>
    <t>0,07655718379111014</t>
  </si>
  <si>
    <t>0,04999999999999999</t>
  </si>
  <si>
    <t>PvRecord { Timestamp = 09.12.2025 08:45:00, Index = 0, DirectGeometryFactor = 0,6063295911449139, DiffuseGeometryFactor = 0,9095760221444958, CosSunElevation = 0,10841012324908837, GlobalHorizontalIrradiance = 60,28333333333333, SunshineDuration = 0, DiffuseHorizontalIrradiance = 26,5, AmbientTemp = 0,04999999999999999, WindSpeed = 8,64, SnowDepth = 0, Weight = 0, Age = 4,237855729704837, MeasuredPower = , HasMeasuredPower = False }</t>
  </si>
  <si>
    <t>09.12.2025 08:45:00</t>
  </si>
  <si>
    <t>0,6063295911449139</t>
  </si>
  <si>
    <t>0,10841012324908837</t>
  </si>
  <si>
    <t>PvRecord { Timestamp = 09.12.2025 09:00:00, Index = 0, DirectGeometryFactor = 0,6410176084698533, DiffuseGeometryFactor = 0,9095760221444958, CosSunElevation = 0,13889518819473493, GlobalHorizontalIrradiance = 60,28333333333333, SunshineDuration = 0, DiffuseHorizontalIrradiance = 26,5, AmbientTemp = 0,04999999999999999, WindSpeed = 8,64, SnowDepth = 0, Weight = 0, Age = 4,237884249592918, MeasuredPower = , HasMeasuredPower = False }</t>
  </si>
  <si>
    <t>09.12.2025 09:00:00</t>
  </si>
  <si>
    <t>0,6410176084698533</t>
  </si>
  <si>
    <t>0,13889518819473493</t>
  </si>
  <si>
    <t>PvRecord { Timestamp = 09.12.2025 09:15:00, Index = 0, DirectGeometryFactor = 0,6727020786840122, DiffuseGeometryFactor = 0,9095760221444958, CosSunElevation = 0,16773164631867452, GlobalHorizontalIrradiance = 60,28333333333333, SunshineDuration = 0, DiffuseHorizontalIrradiance = 26,5, AmbientTemp = 0,04999999999999999, WindSpeed = 8,64, SnowDepth = 0, Weight = 0, Age = 4,2379127694809995, MeasuredPower = , HasMeasuredPower = False }</t>
  </si>
  <si>
    <t>09.12.2025 09:15:00</t>
  </si>
  <si>
    <t>0,6727020786840122</t>
  </si>
  <si>
    <t>0,16773164631867452</t>
  </si>
  <si>
    <t>PvRecord { Timestamp = 09.12.2025 09:30:00, Index = 0, DirectGeometryFactor = 0,7011902682567789, DiffuseGeometryFactor = 0,9095760221444958, CosSunElevation = 0,19472754445158097, GlobalHorizontalIrradiance = 103,38333333333333, SunshineDuration = 0, DiffuseHorizontalIrradiance = 88,5, AmbientTemp = 0,75, WindSpeed = 8,46, SnowDepth = 0, Weight = 0, Age = 4,237941289369082, MeasuredPower = , HasMeasuredPower = False }</t>
  </si>
  <si>
    <t>09.12.2025 09:30:00</t>
  </si>
  <si>
    <t>0,7011902682567789</t>
  </si>
  <si>
    <t>0,19472754445158097</t>
  </si>
  <si>
    <t>PvRecord { Timestamp = 09.12.2025 09:45:00, Index = 0, DirectGeometryFactor = 0,7263309620517291, DiffuseGeometryFactor = 0,9095760221444958, CosSunElevation = 0,21973211895976794, GlobalHorizontalIrradiance = 103,38333333333333, SunshineDuration = 0, DiffuseHorizontalIrradiance = 88,5, AmbientTemp = 0,75, WindSpeed = 8,46, SnowDepth = 0, Weight = 0, Age = 4,237969809257163, MeasuredPower = , HasMeasuredPower = False }</t>
  </si>
  <si>
    <t>09.12.2025 09:45:00</t>
  </si>
  <si>
    <t>0,7263309620517291</t>
  </si>
  <si>
    <t>0,21973211895976794</t>
  </si>
  <si>
    <t>PvRecord { Timestamp = 09.12.2025 10:00:00, Index = 0, DirectGeometryFactor = 0,7480001304735987, DiffuseGeometryFactor = 0,9095760221444958, CosSunElevation = 0,2426185415049449, GlobalHorizontalIrradiance = 103,38333333333333, SunshineDuration = 0, DiffuseHorizontalIrradiance = 88,5, AmbientTemp = 0,75, WindSpeed = 8,46, SnowDepth = 0, Weight = 0, Age = 4,2379983291452445, MeasuredPower = , HasMeasuredPower = False }</t>
  </si>
  <si>
    <t>09.12.2025 10:00:00</t>
  </si>
  <si>
    <t>0,7480001304735987</t>
  </si>
  <si>
    <t>0,2426185415049449</t>
  </si>
  <si>
    <t>PvRecord { Timestamp = 09.12.2025 10:15:00, Index = 0, DirectGeometryFactor = 0,7660951633398778, DiffuseGeometryFactor = 0,9095760221444958, CosSunElevation = 0,2632769249983975, GlobalHorizontalIrradiance = 103,38333333333333, SunshineDuration = 0, DiffuseHorizontalIrradiance = 88,5, AmbientTemp = 0,75, WindSpeed = 8,46, SnowDepth = 0, Weight = 0, Age = 4,238026849033326, MeasuredPower = , HasMeasuredPower = False }</t>
  </si>
  <si>
    <t>09.12.2025 10:15:00</t>
  </si>
  <si>
    <t>0,7660951633398778</t>
  </si>
  <si>
    <t>0,2632769249983975</t>
  </si>
  <si>
    <t>PvRecord { Timestamp = 09.12.2025 10:30:00, Index = 0, DirectGeometryFactor = 0,7805323721301246, DiffuseGeometryFactor = 0,9095760221444958, CosSunElevation = 0,28161127410920517, GlobalHorizontalIrradiance = 104,65, SunshineDuration = 0, DiffuseHorizontalIrradiance = 135,5, AmbientTemp = 1,55, WindSpeed = 7,92, SnowDepth = 0, Weight = 0, Age = 4,238055368921407, MeasuredPower = , HasMeasuredPower = False }</t>
  </si>
  <si>
    <t>09.12.2025 10:30:00</t>
  </si>
  <si>
    <t>0,7805323721301246</t>
  </si>
  <si>
    <t>0,28161127410920517</t>
  </si>
  <si>
    <t>104,65</t>
  </si>
  <si>
    <t>135,5</t>
  </si>
  <si>
    <t>PvRecord { Timestamp = 09.12.2025 10:45:00, Index = 0, DirectGeometryFactor = 0,7912458605442336, DiffuseGeometryFactor = 0,9095760221444958, CosSunElevation = 0,2975381113444582, GlobalHorizontalIrradiance = 104,65, SunshineDuration = 0, DiffuseHorizontalIrradiance = 135,5, AmbientTemp = 1,55, WindSpeed = 7,92, SnowDepth = 0, Weight = 0, Age = 4,23808388880949, MeasuredPower = , HasMeasuredPower = False }</t>
  </si>
  <si>
    <t>09.12.2025 10:45:00</t>
  </si>
  <si>
    <t>0,7912458605442336</t>
  </si>
  <si>
    <t>0,2975381113444582</t>
  </si>
  <si>
    <t>PvRecord { Timestamp = 09.12.2025 11:00:00, Index = 0, DirectGeometryFactor = 0,7981870016630228, DiffuseGeometryFactor = 0,9095760221444958, CosSunElevation = 0,3109858678727438, GlobalHorizontalIrradiance = 104,65, SunshineDuration = 0, DiffuseHorizontalIrradiance = 135,5, AmbientTemp = 1,55, WindSpeed = 7,92, SnowDepth = 0, Weight = 0, Age = 4,238112408697571, MeasuredPower = , HasMeasuredPower = False }</t>
  </si>
  <si>
    <t>09.12.2025 11:00:00</t>
  </si>
  <si>
    <t>0,7981870016630228</t>
  </si>
  <si>
    <t>0,3109858678727438</t>
  </si>
  <si>
    <t>PvRecord { Timestamp = 09.12.2025 11:15:00, Index = 0, DirectGeometryFactor = 0,801324187085851, DiffuseGeometryFactor = 0,9095760221444958, CosSunElevation = 0,3218946383498139, GlobalHorizontalIrradiance = 104,65, SunshineDuration = 0, DiffuseHorizontalIrradiance = 135,5, AmbientTemp = 1,55, WindSpeed = 7,92, SnowDepth = 0, Weight = 0, Age = 4,238140928585652, MeasuredPower = , HasMeasuredPower = False }</t>
  </si>
  <si>
    <t>09.12.2025 11:15:00</t>
  </si>
  <si>
    <t>0,801324187085851</t>
  </si>
  <si>
    <t>0,3218946383498139</t>
  </si>
  <si>
    <t>PvRecord { Timestamp = 09.12.2025 11:30:00, Index = 0, DirectGeometryFactor = 0,8006426900200552, DiffuseGeometryFactor = 0,9095760221444958, CosSunElevation = 0,3302161100945767, GlobalHorizontalIrradiance = 104,21666666666667, SunshineDuration = 0, DiffuseHorizontalIrradiance = 162, AmbientTemp = 2,1, WindSpeed = 7,2, SnowDepth = 0, Weight = 0, Age = 4,238169448473734, MeasuredPower = , HasMeasuredPower = False }</t>
  </si>
  <si>
    <t>09.12.2025 11:30:00</t>
  </si>
  <si>
    <t>0,8006426900200552</t>
  </si>
  <si>
    <t>0,3302161100945767</t>
  </si>
  <si>
    <t>PvRecord { Timestamp = 09.12.2025 11:45:00, Index = 0, DirectGeometryFactor = 0,796144562889738, DiffuseGeometryFactor = 0,9095760221444958, CosSunElevation = 0,33591357102012714, GlobalHorizontalIrradiance = 104,21666666666667, SunshineDuration = 0, DiffuseHorizontalIrradiance = 162, AmbientTemp = 2,1, WindSpeed = 7,2, SnowDepth = 0, Weight = 0, Age = 4,238197968361815, MeasuredPower = , HasMeasuredPower = False }</t>
  </si>
  <si>
    <t>09.12.2025 11:45:00</t>
  </si>
  <si>
    <t>0,796144562889738</t>
  </si>
  <si>
    <t>0,33591357102012714</t>
  </si>
  <si>
    <t>PvRecord { Timestamp = 09.12.2025 12:00:00, Index = 0, DirectGeometryFactor = 0,7878485278280729, DiffuseGeometryFactor = 0,9095760221444958, CosSunElevation = 0,33896194570152044, GlobalHorizontalIrradiance = 104,21666666666667, SunshineDuration = 0, DiffuseHorizontalIrradiance = 162, AmbientTemp = 2,1, WindSpeed = 7,2, SnowDepth = 0, Weight = 0, Age = 4,2382264882498975, MeasuredPower = , HasMeasuredPower = False }</t>
  </si>
  <si>
    <t>09.12.2025 12:00:00</t>
  </si>
  <si>
    <t>0,7878485278280729</t>
  </si>
  <si>
    <t>0,33896194570152044</t>
  </si>
  <si>
    <t>PvRecord { Timestamp = 09.12.2025 12:15:00, Index = 0, DirectGeometryFactor = 0,7757898379548027, DiffuseGeometryFactor = 0,9095760221444958, CosSunElevation = 0,3393478323496543, GlobalHorizontalIrradiance = 104,21666666666667, SunshineDuration = 0, DiffuseHorizontalIrradiance = 162, AmbientTemp = 2,1, WindSpeed = 7,2, SnowDepth = 0, Weight = 0, Age = 4,238255008137979, MeasuredPower = , HasMeasuredPower = False }</t>
  </si>
  <si>
    <t>09.12.2025 12:15:00</t>
  </si>
  <si>
    <t>0,7757898379548027</t>
  </si>
  <si>
    <t>0,3393478323496543</t>
  </si>
  <si>
    <t>PvRecord { Timestamp = 09.12.2025 12:30:00, Index = 0, DirectGeometryFactor = 0,7600200979364053, DiffuseGeometryFactor = 0,9095760221444958, CosSunElevation = 0,3370695261314042, GlobalHorizontalIrradiance = 98,31666666666666, SunshineDuration = 0, DiffuseHorizontalIrradiance = 165, AmbientTemp = 2,5, WindSpeed = 7,0200000000000005, SnowDepth = 0, Weight = 0, Age = 4,23828352802606, MeasuredPower = , HasMeasuredPower = False }</t>
  </si>
  <si>
    <t>09.12.2025 12:30:00</t>
  </si>
  <si>
    <t>0,7600200979364053</t>
  </si>
  <si>
    <t>0,3370695261314042</t>
  </si>
  <si>
    <t>PvRecord { Timestamp = 09.12.2025 12:45:00, Index = 0, DirectGeometryFactor = 0,7406070392409574, DiffuseGeometryFactor = 0,9095760221444958, CosSunElevation = 0,33213702216703006, GlobalHorizontalIrradiance = 98,31666666666666, SunshineDuration = 0, DiffuseHorizontalIrradiance = 165, AmbientTemp = 2,5, WindSpeed = 7,0200000000000005, SnowDepth = 0, Weight = 0, Age = 4,238312047914142, MeasuredPower = , HasMeasuredPower = False }</t>
  </si>
  <si>
    <t>09.12.2025 12:45:00</t>
  </si>
  <si>
    <t>0,7406070392409574</t>
  </si>
  <si>
    <t>0,33213702216703006</t>
  </si>
  <si>
    <t>PvRecord { Timestamp = 09.12.2025 13:00:00, Index = 0, DirectGeometryFactor = 0,7176342503687059, DiffuseGeometryFactor = 0,9095760221444958, CosSunElevation = 0,32457199747979004, GlobalHorizontalIrradiance = 98,31666666666666, SunshineDuration = 0, DiffuseHorizontalIrradiance = 165, AmbientTemp = 2,5, WindSpeed = 7,0200000000000005, SnowDepth = 0, Weight = 0, Age = 4,238340567802223, MeasuredPower = , HasMeasuredPower = False }</t>
  </si>
  <si>
    <t>09.12.2025 13:00:00</t>
  </si>
  <si>
    <t>0,7176342503687059</t>
  </si>
  <si>
    <t>0,32457199747979004</t>
  </si>
  <si>
    <t>PvRecord { Timestamp = 09.12.2025 13:15:00, Index = 0, DirectGeometryFactor = 0,6912008669065333, DiffuseGeometryFactor = 0,9095760221444958, CosSunElevation = 0,3144077766464954, GlobalHorizontalIrradiance = 98,31666666666666, SunshineDuration = 0, DiffuseHorizontalIrradiance = 165, AmbientTemp = 2,5, WindSpeed = 7,0200000000000005, SnowDepth = 0, Weight = 0, Age = 4,238369087690305, MeasuredPower = , HasMeasuredPower = False }</t>
  </si>
  <si>
    <t>09.12.2025 13:15:00</t>
  </si>
  <si>
    <t>0,6912008669065333</t>
  </si>
  <si>
    <t>0,3144077766464954</t>
  </si>
  <si>
    <t>PvRecord { Timestamp = 09.12.2025 13:30:00, Index = 0, DirectGeometryFactor = 0,6614212326372861, DiffuseGeometryFactor = 0,9095760221444958, CosSunElevation = 0,3016892931180285, GlobalHorizontalIrradiance = 86,66666666666667, SunshineDuration = 0, DiffuseHorizontalIrradiance = 143,5, AmbientTemp = 2,6, WindSpeed = 6,12, SnowDepth = 0, Weight = 0, Age = 4,238397607578387, MeasuredPower = , HasMeasuredPower = False }</t>
  </si>
  <si>
    <t>09.12.2025 13:30:00</t>
  </si>
  <si>
    <t>0,6614212326372861</t>
  </si>
  <si>
    <t>0,3016892931180285</t>
  </si>
  <si>
    <t>143,5</t>
  </si>
  <si>
    <t>PvRecord { Timestamp = 09.12.2025 13:45:00, Index = 0, DirectGeometryFactor = 0,6284245517816678, DiffuseGeometryFactor = 0,9095760221444958, CosSunElevation = 0,2864730691130605, GlobalHorizontalIrradiance = 86,66666666666667, SunshineDuration = 0, DiffuseHorizontalIrradiance = 143,5, AmbientTemp = 2,6, WindSpeed = 6,12, SnowDepth = 0, Weight = 0, Age = 4,238426127466468, MeasuredPower = , HasMeasuredPower = False }</t>
  </si>
  <si>
    <t>09.12.2025 13:45:00</t>
  </si>
  <si>
    <t>0,6284245517816678</t>
  </si>
  <si>
    <t>0,2864730691130605</t>
  </si>
  <si>
    <t>PvRecord { Timestamp = 09.12.2025 14:00:00, Index = 0, DirectGeometryFactor = 0,5923545682976333, DiffuseGeometryFactor = 0,9095760221444958, CosSunElevation = 0,2688272561883115, GlobalHorizontalIrradiance = 86,66666666666667, SunshineDuration = 0, DiffuseHorizontalIrradiance = 143,5, AmbientTemp = 2,6, WindSpeed = 6,12, SnowDepth = 0, Weight = 0, Age = 4,2384546473545495, MeasuredPower = , HasMeasuredPower = False }</t>
  </si>
  <si>
    <t>09.12.2025 14:00:00</t>
  </si>
  <si>
    <t>0,5923545682976333</t>
  </si>
  <si>
    <t>0,2688272561883115</t>
  </si>
  <si>
    <t>PvRecord { Timestamp = 09.12.2025 14:15:00, Index = 0, DirectGeometryFactor = 0,5533693393061371, DiffuseGeometryFactor = 0,9095760221444958, CosSunElevation = 0,24883181582461658, GlobalHorizontalIrradiance = 86,66666666666667, SunshineDuration = 0, DiffuseHorizontalIrradiance = 143,5, AmbientTemp = 2,6, WindSpeed = 6,12, SnowDepth = 0, Weight = 0, Age = 4,238483167242631, MeasuredPower = , HasMeasuredPower = False }</t>
  </si>
  <si>
    <t>09.12.2025 14:15:00</t>
  </si>
  <si>
    <t>0,5533693393061371</t>
  </si>
  <si>
    <t>0,24883181582461658</t>
  </si>
  <si>
    <t>PvRecord { Timestamp = 09.12.2025 14:30:00, Index = 0, DirectGeometryFactor = 0,5116412315591214, DiffuseGeometryFactor = 0,9095760221444958, CosSunElevation = 0,22657899478797675, GlobalHorizontalIrradiance = 67,88333333333333, SunshineDuration = 0, DiffuseHorizontalIrradiance = 102,5, AmbientTemp = 2,55, WindSpeed = 4,5, SnowDepth = 0, Weight = 0, Age = 4,238511687130713, MeasuredPower = , HasMeasuredPower = False }</t>
  </si>
  <si>
    <t>09.12.2025 14:30:00</t>
  </si>
  <si>
    <t>0,5116412315591214</t>
  </si>
  <si>
    <t>0,22657899478797675</t>
  </si>
  <si>
    <t>PvRecord { Timestamp = 09.12.2025 14:45:00, Index = 0, DirectGeometryFactor = 0,4673574062423266, DiffuseGeometryFactor = 0,9095760221444958, CosSunElevation = 0,20217441558251872, GlobalHorizontalIrradiance = 67,88333333333333, SunshineDuration = 0, DiffuseHorizontalIrradiance = 102,5, AmbientTemp = 2,55, WindSpeed = 4,5, SnowDepth = 0, Weight = 0, Age = 4,2385402070187945, MeasuredPower = , HasMeasuredPower = False }</t>
  </si>
  <si>
    <t>09.12.2025 14:45:00</t>
  </si>
  <si>
    <t>0,4673574062423266</t>
  </si>
  <si>
    <t>0,20217441558251872</t>
  </si>
  <si>
    <t>PvRecord { Timestamp = 09.12.2025 15:00:00, Index = 0, DirectGeometryFactor = 0,4207213809229547, DiffuseGeometryFactor = 0,9095760221444958, CosSunElevation = 0,17573949444792936, GlobalHorizontalIrradiance = 67,88333333333333, SunshineDuration = 0, DiffuseHorizontalIrradiance = 102,5, AmbientTemp = 2,55, WindSpeed = 4,5, SnowDepth = 0, Weight = 0, Age = 4,238568726906876, MeasuredPower = , HasMeasuredPower = False }</t>
  </si>
  <si>
    <t>09.12.2025 15:00:00</t>
  </si>
  <si>
    <t>0,4207213809229547</t>
  </si>
  <si>
    <t>0,17573949444792936</t>
  </si>
  <si>
    <t>PvRecord { Timestamp = 09.12.2025 15:15:00, Index = 0, DirectGeometryFactor = 0,37195709115784314, DiffuseGeometryFactor = 0,9095760221444958, CosSunElevation = 0,14741691173322238, GlobalHorizontalIrradiance = 67,88333333333333, SunshineDuration = 0, DiffuseHorizontalIrradiance = 102,5, AmbientTemp = 2,55, WindSpeed = 4,5, SnowDepth = 0, Weight = 0, Age = 4,238597246794957, MeasuredPower = , HasMeasuredPower = False }</t>
  </si>
  <si>
    <t>09.12.2025 15:15:00</t>
  </si>
  <si>
    <t>0,37195709115784314</t>
  </si>
  <si>
    <t>0,14741691173322238</t>
  </si>
  <si>
    <t>PvRecord { Timestamp = 09.12.2025 15:30:00, Index = 0, DirectGeometryFactor = 0,32131927548389705, DiffuseGeometryFactor = 0,9095760221444958, CosSunElevation = 0,11738377332390887, GlobalHorizontalIrradiance = 47,733333333333334, SunshineDuration = 0, DiffuseHorizontalIrradiance = 51, AmbientTemp = 2,35, WindSpeed = 2,8800000000000003, SnowDepth = 0, Weight = 0, Age = 4,238625766683039, MeasuredPower = , HasMeasuredPower = False }</t>
  </si>
  <si>
    <t>09.12.2025 15:30:00</t>
  </si>
  <si>
    <t>0,32131927548389705</t>
  </si>
  <si>
    <t>0,11738377332390887</t>
  </si>
  <si>
    <t>PvRecord { Timestamp = 09.12.2025 15:45:00, Index = 0, DirectGeometryFactor = 0, DiffuseGeometryFactor = 0,9095760221444958, CosSunElevation = 0,08588662484821379, GlobalHorizontalIrradiance = 47,733333333333334, SunshineDuration = 0, DiffuseHorizontalIrradiance = 51, AmbientTemp = 2,35, WindSpeed = 2,8800000000000003, SnowDepth = 0, Weight = 0, Age = 4,238654286571121, MeasuredPower = , HasMeasuredPower = False }</t>
  </si>
  <si>
    <t>09.12.2025 15:45:00</t>
  </si>
  <si>
    <t>0,08588662484821379</t>
  </si>
  <si>
    <t>PvRecord { Timestamp = 09.12.2025 16:00:00, Index = 0, DirectGeometryFactor = 0, DiffuseGeometryFactor = 0,9095760221444958, CosSunElevation = 0,05334812593413908, GlobalHorizontalIrradiance = 47,733333333333334, SunshineDuration = 0, DiffuseHorizontalIrradiance = 51, AmbientTemp = 2,35, WindSpeed = 2,8800000000000003, SnowDepth = 0, Weight = 0, Age = 4,238682806459202, MeasuredPower = , HasMeasuredPower = False }</t>
  </si>
  <si>
    <t>09.12.2025 16:00:00</t>
  </si>
  <si>
    <t>0,05334812593413908</t>
  </si>
  <si>
    <t>PvRecord { Timestamp = 09.12.2025 16:15:00, Index = 0, DirectGeometryFactor = 0, DiffuseGeometryFactor = 0,9095760221444958, CosSunElevation = 0,02072875364071954, GlobalHorizontalIrradiance = 47,733333333333334, SunshineDuration = 0, DiffuseHorizontalIrradiance = 51, AmbientTemp = 2,35, WindSpeed = 2,8800000000000003, SnowDepth = 0, Weight = 0, Age = 4,238711326347284, MeasuredPower = , HasMeasuredPower = False }</t>
  </si>
  <si>
    <t>09.12.2025 16:15:00</t>
  </si>
  <si>
    <t>0,02072875364071954</t>
  </si>
  <si>
    <t>PvRecord { Timestamp = 09.12.2025 16:30:00,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4,238739846235365, MeasuredPower = , HasMeasuredPower = False }</t>
  </si>
  <si>
    <t>09.12.2025 16:30:00</t>
  </si>
  <si>
    <t>PvRecord { Timestamp = 09.12.2025 16:45:00,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4,2387683661234465, MeasuredPower = , HasMeasuredPower = False }</t>
  </si>
  <si>
    <t>09.12.2025 16:45:00</t>
  </si>
  <si>
    <t>PvRecord { Timestamp = 09.12.2025 17:00:00,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4,238796886011529, MeasuredPower = , HasMeasuredPower = False }</t>
  </si>
  <si>
    <t>09.12.2025 17:00:00</t>
  </si>
  <si>
    <t>PvRecord { Timestamp = 09.12.2025 17:15:00,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4,23882540589961, MeasuredPower = , HasMeasuredPower = False }</t>
  </si>
  <si>
    <t>09.12.2025 17:15:00</t>
  </si>
  <si>
    <t>PvRecord { Timestamp = 09.12.2025 17:30:00,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4,238853925787692, MeasuredPower = , HasMeasuredPower = False }</t>
  </si>
  <si>
    <t>09.12.2025 17:30:00</t>
  </si>
  <si>
    <t>PvRecord { Timestamp = 09.12.2025 17:45:00,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4,238882445675773, MeasuredPower = , HasMeasuredPower = False }</t>
  </si>
  <si>
    <t>09.12.2025 17:45:00</t>
  </si>
  <si>
    <t>PvRecord { Timestamp = 09.12.2025 18:00:00,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4,238910965563854, MeasuredPower = , HasMeasuredPower = False }</t>
  </si>
  <si>
    <t>09.12.2025 18:00:00</t>
  </si>
  <si>
    <t>PvRecord { Timestamp = 09.12.2025 18:15:00,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4,238939485451937, MeasuredPower = , HasMeasuredPower = False }</t>
  </si>
  <si>
    <t>09.12.2025 18:15:00</t>
  </si>
  <si>
    <t>PvRecord { Timestamp = 09.12.2025 18:30:00, Index = 0, DirectGeometryFactor = 0, DiffuseGeometryFactor = 0,9095760221444958, CosSunElevation = 0, GlobalHorizontalIrradiance = 0, SunshineDuration = 0, DiffuseHorizontalIrradiance = 0, AmbientTemp = 1,7, WindSpeed = 6,66, SnowDepth = 0, Weight = 0, Age = 4,238968005340018, MeasuredPower = , HasMeasuredPower = False }</t>
  </si>
  <si>
    <t>09.12.2025 18:30:00</t>
  </si>
  <si>
    <t>PvRecord { Timestamp = 09.12.2025 18:45:00, Index = 0, DirectGeometryFactor = 0, DiffuseGeometryFactor = 0,9095760221444958, CosSunElevation = 0, GlobalHorizontalIrradiance = 0, SunshineDuration = 0, DiffuseHorizontalIrradiance = 0, AmbientTemp = 1,7, WindSpeed = 6,66, SnowDepth = 0, Weight = 0, Age = 4,238996525228099, MeasuredPower = , HasMeasuredPower = False }</t>
  </si>
  <si>
    <t>09.12.2025 18:45:00</t>
  </si>
  <si>
    <t>PvRecord { Timestamp = 09.12.2025 19:00:00, Index = 0, DirectGeometryFactor = 0, DiffuseGeometryFactor = 0,9095760221444958, CosSunElevation = 0, GlobalHorizontalIrradiance = 0, SunshineDuration = 0, DiffuseHorizontalIrradiance = 0, AmbientTemp = 1,7, WindSpeed = 6,66, SnowDepth = 0, Weight = 0, Age = 4,239025045116181, MeasuredPower = , HasMeasuredPower = False }</t>
  </si>
  <si>
    <t>09.12.2025 19:00:00</t>
  </si>
  <si>
    <t>PvRecord { Timestamp = 09.12.2025 19:15:00, Index = 0, DirectGeometryFactor = 0, DiffuseGeometryFactor = 0,9095760221444958, CosSunElevation = 0, GlobalHorizontalIrradiance = 0, SunshineDuration = 0, DiffuseHorizontalIrradiance = 0, AmbientTemp = 1,7, WindSpeed = 6,66, SnowDepth = 0, Weight = 0, Age = 4,239053565004262, MeasuredPower = , HasMeasuredPower = False }</t>
  </si>
  <si>
    <t>09.12.2025 19:15:00</t>
  </si>
  <si>
    <t>PvRecord { Timestamp = 09.12.2025 19:30:00, Index = 0, DirectGeometryFactor = 0, DiffuseGeometryFactor = 0,9095760221444958, CosSunElevation = 0, GlobalHorizontalIrradiance = 0, SunshineDuration = 0, DiffuseHorizontalIrradiance = 0, AmbientTemp = 1,65, WindSpeed = 9, SnowDepth = 0, Weight = 0, Age = 4,2390820848923445, MeasuredPower = , HasMeasuredPower = False }</t>
  </si>
  <si>
    <t>09.12.2025 19:30:00</t>
  </si>
  <si>
    <t>PvRecord { Timestamp = 09.12.2025 19:45:00, Index = 0, DirectGeometryFactor = 0, DiffuseGeometryFactor = 0,9095760221444958, CosSunElevation = 0, GlobalHorizontalIrradiance = 0, SunshineDuration = 0, DiffuseHorizontalIrradiance = 0, AmbientTemp = 1,65, WindSpeed = 9, SnowDepth = 0, Weight = 0, Age = 4,239110604780426, MeasuredPower = , HasMeasuredPower = False }</t>
  </si>
  <si>
    <t>09.12.2025 19:45:00</t>
  </si>
  <si>
    <t>PvRecord { Timestamp = 09.12.2025 20:00:00, Index = 0, DirectGeometryFactor = 0, DiffuseGeometryFactor = 0,9095760221444958, CosSunElevation = 0, GlobalHorizontalIrradiance = 0, SunshineDuration = 0, DiffuseHorizontalIrradiance = 0, AmbientTemp = 1,65, WindSpeed = 9, SnowDepth = 0, Weight = 0, Age = 4,239139124668507, MeasuredPower = , HasMeasuredPower = False }</t>
  </si>
  <si>
    <t>09.12.2025 20:00:00</t>
  </si>
  <si>
    <t>PvRecord { Timestamp = 09.12.2025 20:15:00, Index = 0, DirectGeometryFactor = 0, DiffuseGeometryFactor = 0,9095760221444958, CosSunElevation = 0, GlobalHorizontalIrradiance = 0, SunshineDuration = 0, DiffuseHorizontalIrradiance = 0, AmbientTemp = 1,65, WindSpeed = 9, SnowDepth = 0, Weight = 0, Age = 4,239167644556589, MeasuredPower = , HasMeasuredPower = False }</t>
  </si>
  <si>
    <t>09.12.2025 20:15:00</t>
  </si>
  <si>
    <t>PvRecord { Timestamp = 09.12.2025 20:30:00, Index = 0, DirectGeometryFactor = 0, DiffuseGeometryFactor = 0,9095760221444958, CosSunElevation = 0, GlobalHorizontalIrradiance = 0, SunshineDuration = 0, DiffuseHorizontalIrradiance = 0, AmbientTemp = 1,55, WindSpeed = 12,06, SnowDepth = 0, Weight = 0, Age = 4,23919616444467, MeasuredPower = , HasMeasuredPower = False }</t>
  </si>
  <si>
    <t>09.12.2025 20:30:00</t>
  </si>
  <si>
    <t>PvRecord { Timestamp = 09.12.2025 20:45:00, Index = 0, DirectGeometryFactor = 0, DiffuseGeometryFactor = 0,9095760221444958, CosSunElevation = 0, GlobalHorizontalIrradiance = 0, SunshineDuration = 0, DiffuseHorizontalIrradiance = 0, AmbientTemp = 1,55, WindSpeed = 12,06, SnowDepth = 0, Weight = 0, Age = 4,239224684332752, MeasuredPower = , HasMeasuredPower = False }</t>
  </si>
  <si>
    <t>09.12.2025 20:45:00</t>
  </si>
  <si>
    <t>PvRecord { Timestamp = 09.12.2025 21:00:00, Index = 0, DirectGeometryFactor = 0, DiffuseGeometryFactor = 0,9095760221444958, CosSunElevation = 0, GlobalHorizontalIrradiance = 0, SunshineDuration = 0, DiffuseHorizontalIrradiance = 0, AmbientTemp = 1,55, WindSpeed = 12,06, SnowDepth = 0, Weight = 0, Age = 4,239253204220834, MeasuredPower = , HasMeasuredPower = False }</t>
  </si>
  <si>
    <t>09.12.2025 21:00:00</t>
  </si>
  <si>
    <t>PvRecord { Timestamp = 09.12.2025 21:15:00, Index = 0, DirectGeometryFactor = 0, DiffuseGeometryFactor = 0,9095760221444958, CosSunElevation = 0, GlobalHorizontalIrradiance = 0, SunshineDuration = 0, DiffuseHorizontalIrradiance = 0, AmbientTemp = 1,55, WindSpeed = 12,06, SnowDepth = 0, Weight = 0, Age = 4,239281724108915, MeasuredPower = , HasMeasuredPower = False }</t>
  </si>
  <si>
    <t>09.12.2025 21:15:00</t>
  </si>
  <si>
    <t>PvRecord { Timestamp = 09.12.2025 21:30:00, Index = 0, DirectGeometryFactor = 0, DiffuseGeometryFactor = 0,9095760221444958, CosSunElevation = 0, GlobalHorizontalIrradiance = 0, SunshineDuration = 0, DiffuseHorizontalIrradiance = 0, AmbientTemp = 1,5, WindSpeed = 15,48, SnowDepth = 0, Weight = 0, Age = 4,2393102439969965, MeasuredPower = , HasMeasuredPower = False }</t>
  </si>
  <si>
    <t>09.12.2025 21:30:00</t>
  </si>
  <si>
    <t>15,48</t>
  </si>
  <si>
    <t>PvRecord { Timestamp = 09.12.2025 21:45:00, Index = 0, DirectGeometryFactor = 0, DiffuseGeometryFactor = 0,9095760221444958, CosSunElevation = 0, GlobalHorizontalIrradiance = 0, SunshineDuration = 0, DiffuseHorizontalIrradiance = 0, AmbientTemp = 1,5, WindSpeed = 15,48, SnowDepth = 0, Weight = 0, Age = 4,239338763885078, MeasuredPower = , HasMeasuredPower = False }</t>
  </si>
  <si>
    <t>09.12.2025 21:45:00</t>
  </si>
  <si>
    <t>PvRecord { Timestamp = 09.12.2025 22:00:00, Index = 0, DirectGeometryFactor = 0, DiffuseGeometryFactor = 0,9095760221444958, CosSunElevation = 0, GlobalHorizontalIrradiance = 0, SunshineDuration = 0, DiffuseHorizontalIrradiance = 0, AmbientTemp = 1,5, WindSpeed = 15,48, SnowDepth = 0, Weight = 0, Age = 4,23936728377316, MeasuredPower = , HasMeasuredPower = False }</t>
  </si>
  <si>
    <t>09.12.2025 22:00:00</t>
  </si>
  <si>
    <t>PvRecord { Timestamp = 09.12.2025 22:15:00, Index = 0, DirectGeometryFactor = 0, DiffuseGeometryFactor = 0,9095760221444958, CosSunElevation = 0, GlobalHorizontalIrradiance = 0, SunshineDuration = 0, DiffuseHorizontalIrradiance = 0, AmbientTemp = 1,5, WindSpeed = 15,48, SnowDepth = 0, Weight = 0, Age = 4,239395803661242, MeasuredPower = , HasMeasuredPower = False }</t>
  </si>
  <si>
    <t>09.12.2025 22:15:00</t>
  </si>
  <si>
    <t>PvRecord { Timestamp = 09.12.2025 22:30:00,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4,239424323549323, MeasuredPower = , HasMeasuredPower = False }</t>
  </si>
  <si>
    <t>09.12.2025 22:30:00</t>
  </si>
  <si>
    <t>PvRecord { Timestamp = 09.12.2025 22:45:00,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4,239452843437404, MeasuredPower = , HasMeasuredPower = False }</t>
  </si>
  <si>
    <t>09.12.2025 22:45:00</t>
  </si>
  <si>
    <t>PvRecord { Timestamp = 09.12.2025 23:00:00,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4,239481363325486, MeasuredPower = , HasMeasuredPower = False }</t>
  </si>
  <si>
    <t>09.12.2025 23:00:00</t>
  </si>
  <si>
    <t>PvRecord { Timestamp = 09.12.2025 23:15:00,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4,239509883213568, MeasuredPower = , HasMeasuredPower = False }</t>
  </si>
  <si>
    <t>09.12.2025 23:15:00</t>
  </si>
  <si>
    <t>PvRecord { Timestamp = 09.12.2025 23:30:00, Index = 0, DirectGeometryFactor = 0, DiffuseGeometryFactor = 0,9095760221444958, CosSunElevation = 0, GlobalHorizontalIrradiance = 0, SunshineDuration = 0, DiffuseHorizontalIrradiance = 0, AmbientTemp = 1,45, WindSpeed = 22,86, SnowDepth = 0, Weight = 0, Age = 4,239538403101649, MeasuredPower = , HasMeasuredPower = False }</t>
  </si>
  <si>
    <t>09.12.2025 23:30:00</t>
  </si>
  <si>
    <t>PvRecord { Timestamp = 09.12.2025 23:45:00, Index = 0, DirectGeometryFactor = 0, DiffuseGeometryFactor = 0,9095760221444958, CosSunElevation = 0, GlobalHorizontalIrradiance = 0, SunshineDuration = 0, DiffuseHorizontalIrradiance = 0, AmbientTemp = 1,45, WindSpeed = 22,86, SnowDepth = 0, Weight = 0, Age = 4,239566922989731, MeasuredPower = , HasMeasuredPower = False }</t>
  </si>
  <si>
    <t>09.12.2025 23:45:00</t>
  </si>
  <si>
    <t>PvRecord { Timestamp = 10.12.2025 00:00:00, Index = 0, DirectGeometryFactor = 0, DiffuseGeometryFactor = 0,9095760221444958, CosSunElevation = 0, GlobalHorizontalIrradiance = 0, SunshineDuration = 0, DiffuseHorizontalIrradiance = 0, AmbientTemp = 1,45, WindSpeed = 22,86, SnowDepth = 0, Weight = 0, Age = 4,239595442877812, MeasuredPower = , HasMeasuredPower = False }</t>
  </si>
  <si>
    <t>10.12.2025 00:00:00</t>
  </si>
  <si>
    <t>PvRecord { Timestamp = 10.12.2025 00:15:00, Index = 0, DirectGeometryFactor = 0, DiffuseGeometryFactor = 0,9095760221444958, CosSunElevation = 0, GlobalHorizontalIrradiance = 0, SunshineDuration = 0, DiffuseHorizontalIrradiance = 0, AmbientTemp = 1,45, WindSpeed = 22,86, SnowDepth = 0, Weight = 0, Age = 4,239623962765894, MeasuredPower = , HasMeasuredPower = False }</t>
  </si>
  <si>
    <t>10.12.2025 00:15:00</t>
  </si>
  <si>
    <t>PvRecord { Timestamp = 10.12.2025 00:30:00, Index = 0, DirectGeometryFactor = 0, DiffuseGeometryFactor = 0,9095760221444958, CosSunElevation = 0, GlobalHorizontalIrradiance = 0, SunshineDuration = 0, DiffuseHorizontalIrradiance = 0, AmbientTemp = 1,5, WindSpeed = 26,1, SnowDepth = 0, Weight = 0, Age = 4,239652482653976, MeasuredPower = , HasMeasuredPower = False }</t>
  </si>
  <si>
    <t>10.12.2025 00:30:00</t>
  </si>
  <si>
    <t>26,1</t>
  </si>
  <si>
    <t>PvRecord { Timestamp = 10.12.2025 00:45:00, Index = 0, DirectGeometryFactor = 0, DiffuseGeometryFactor = 0,9095760221444958, CosSunElevation = 0, GlobalHorizontalIrradiance = 0, SunshineDuration = 0, DiffuseHorizontalIrradiance = 0, AmbientTemp = 1,5, WindSpeed = 26,1, SnowDepth = 0, Weight = 0, Age = 4,239681002542057, MeasuredPower = , HasMeasuredPower = False }</t>
  </si>
  <si>
    <t>10.12.2025 00:45:00</t>
  </si>
  <si>
    <t>PvRecord { Timestamp = 10.12.2025 01:00:00, Index = 0, DirectGeometryFactor = 0, DiffuseGeometryFactor = 0,9095760221444958, CosSunElevation = 0, GlobalHorizontalIrradiance = 0, SunshineDuration = 0, DiffuseHorizontalIrradiance = 0, AmbientTemp = 1,5, WindSpeed = 26,1, SnowDepth = 0, Weight = 0, Age = 4,239709522430139, MeasuredPower = , HasMeasuredPower = False }</t>
  </si>
  <si>
    <t>10.12.2025 01:00:00</t>
  </si>
  <si>
    <t>PvRecord { Timestamp = 10.12.2025 01:15:00, Index = 0, DirectGeometryFactor = 0, DiffuseGeometryFactor = 0,9095760221444958, CosSunElevation = 0, GlobalHorizontalIrradiance = 0, SunshineDuration = 0, DiffuseHorizontalIrradiance = 0, AmbientTemp = 1,5, WindSpeed = 26,1, SnowDepth = 0, Weight = 0, Age = 4,23973804231822, MeasuredPower = , HasMeasuredPower = False }</t>
  </si>
  <si>
    <t>10.12.2025 01:15:00</t>
  </si>
  <si>
    <t>PvRecord { Timestamp = 10.12.2025 01:30:00, Index = 0, DirectGeometryFactor = 0, DiffuseGeometryFactor = 0,9095760221444958, CosSunElevation = 0, GlobalHorizontalIrradiance = 0, SunshineDuration = 0, DiffuseHorizontalIrradiance = 0, AmbientTemp = 1,55, WindSpeed = 28,98, SnowDepth = 0, Weight = 0, Age = 4,239766562206301, MeasuredPower = , HasMeasuredPower = False }</t>
  </si>
  <si>
    <t>10.12.2025 01:30:00</t>
  </si>
  <si>
    <t>28,98</t>
  </si>
  <si>
    <t>PvRecord { Timestamp = 10.12.2025 01:45:00, Index = 0, DirectGeometryFactor = 0, DiffuseGeometryFactor = 0,9095760221444958, CosSunElevation = 0, GlobalHorizontalIrradiance = 0, SunshineDuration = 0, DiffuseHorizontalIrradiance = 0, AmbientTemp = 1,55, WindSpeed = 28,98, SnowDepth = 0, Weight = 0, Age = 4,239795082094384, MeasuredPower = , HasMeasuredPower = False }</t>
  </si>
  <si>
    <t>10.12.2025 01:45:00</t>
  </si>
  <si>
    <t>PvRecord { Timestamp = 10.12.2025 02:00:00, Index = 0, DirectGeometryFactor = 0, DiffuseGeometryFactor = 0,9095760221444958, CosSunElevation = 0, GlobalHorizontalIrradiance = 0, SunshineDuration = 0, DiffuseHorizontalIrradiance = 0, AmbientTemp = 1,55, WindSpeed = 28,98, SnowDepth = 0, Weight = 0, Age = 4,239823601982465, MeasuredPower = , HasMeasuredPower = False }</t>
  </si>
  <si>
    <t>10.12.2025 02:00:00</t>
  </si>
  <si>
    <t>PvRecord { Timestamp = 10.12.2025 02:15:00, Index = 0, DirectGeometryFactor = 0, DiffuseGeometryFactor = 0,9095760221444958, CosSunElevation = 0, GlobalHorizontalIrradiance = 0, SunshineDuration = 0, DiffuseHorizontalIrradiance = 0, AmbientTemp = 1,55, WindSpeed = 28,98, SnowDepth = 0, Weight = 0, Age = 4,2398521218705465, MeasuredPower = , HasMeasuredPower = False }</t>
  </si>
  <si>
    <t>10.12.2025 02:15:00</t>
  </si>
  <si>
    <t>PvRecord { Timestamp = 10.12.2025 02:30:00,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4,239880641758628, MeasuredPower = , HasMeasuredPower = False }</t>
  </si>
  <si>
    <t>10.12.2025 02:30:00</t>
  </si>
  <si>
    <t>PvRecord { Timestamp = 10.12.2025 02:45:00,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4,23990916164671, MeasuredPower = , HasMeasuredPower = False }</t>
  </si>
  <si>
    <t>10.12.2025 02:45:00</t>
  </si>
  <si>
    <t>PvRecord { Timestamp = 10.12.2025 03:00:00,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4,239937681534792, MeasuredPower = , HasMeasuredPower = False }</t>
  </si>
  <si>
    <t>10.12.2025 03:00:00</t>
  </si>
  <si>
    <t>PvRecord { Timestamp = 10.12.2025 03:15:00,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4,239966201422873, MeasuredPower = , HasMeasuredPower = False }</t>
  </si>
  <si>
    <t>10.12.2025 03:15:00</t>
  </si>
  <si>
    <t>PvRecord { Timestamp = 10.12.2025 03:30:00, Index = 0, DirectGeometryFactor = 0, DiffuseGeometryFactor = 0,9095760221444958, CosSunElevation = 0, GlobalHorizontalIrradiance = 0, SunshineDuration = 0, DiffuseHorizontalIrradiance = 0, AmbientTemp = 1,8, WindSpeed = 35,46, SnowDepth = 0, Weight = 0, Age = 4,239994721310954, MeasuredPower = , HasMeasuredPower = False }</t>
  </si>
  <si>
    <t>10.12.2025 03:30:00</t>
  </si>
  <si>
    <t>35,46</t>
  </si>
  <si>
    <t>PvRecord { Timestamp = 10.12.2025 03:45:00, Index = 0, DirectGeometryFactor = 0, DiffuseGeometryFactor = 0,9095760221444958, CosSunElevation = 0, GlobalHorizontalIrradiance = 0, SunshineDuration = 0, DiffuseHorizontalIrradiance = 0, AmbientTemp = 1,8, WindSpeed = 35,46, SnowDepth = 0, Weight = 0, Age = 4,240023241199036, MeasuredPower = , HasMeasuredPower = False }</t>
  </si>
  <si>
    <t>10.12.2025 03:45:00</t>
  </si>
  <si>
    <t>PvRecord { Timestamp = 10.12.2025 04:00:00, Index = 0, DirectGeometryFactor = 0, DiffuseGeometryFactor = 0,9095760221444958, CosSunElevation = 0, GlobalHorizontalIrradiance = 0, SunshineDuration = 0, DiffuseHorizontalIrradiance = 0, AmbientTemp = 1,8, WindSpeed = 35,46, SnowDepth = 0, Weight = 0, Age = 4,240051761087118, MeasuredPower = , HasMeasuredPower = False }</t>
  </si>
  <si>
    <t>10.12.2025 04:00:00</t>
  </si>
  <si>
    <t>PvRecord { Timestamp = 10.12.2025 04:15:00, Index = 0, DirectGeometryFactor = 0, DiffuseGeometryFactor = 0,9095760221444958, CosSunElevation = 0, GlobalHorizontalIrradiance = 0, SunshineDuration = 0, DiffuseHorizontalIrradiance = 0, AmbientTemp = 1,8, WindSpeed = 35,46, SnowDepth = 0, Weight = 0, Age = 4,240080280975199, MeasuredPower = , HasMeasuredPower = False }</t>
  </si>
  <si>
    <t>10.12.2025 04:15:00</t>
  </si>
  <si>
    <t>PvRecord { Timestamp = 10.12.2025 04:30:00,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4,240108800863281, MeasuredPower = , HasMeasuredPower = False }</t>
  </si>
  <si>
    <t>10.12.2025 04:30:00</t>
  </si>
  <si>
    <t>PvRecord { Timestamp = 10.12.2025 04:45:00,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4,240137320751362, MeasuredPower = , HasMeasuredPower = False }</t>
  </si>
  <si>
    <t>10.12.2025 04:45:00</t>
  </si>
  <si>
    <t>PvRecord { Timestamp = 10.12.2025 05:00:00,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4,240165840639444, MeasuredPower = , HasMeasuredPower = False }</t>
  </si>
  <si>
    <t>10.12.2025 05:00:00</t>
  </si>
  <si>
    <t>PvRecord { Timestamp = 10.12.2025 05:15:00,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4,240194360527526, MeasuredPower = , HasMeasuredPower = False }</t>
  </si>
  <si>
    <t>10.12.2025 05:15:00</t>
  </si>
  <si>
    <t>PvRecord { Timestamp = 10.12.2025 05:30:00, Index = 0, DirectGeometryFactor = 0, DiffuseGeometryFactor = 0,9095760221444958, CosSunElevation = 0, GlobalHorizontalIrradiance = 0, SunshineDuration = 0, DiffuseHorizontalIrradiance = 0, AmbientTemp = 2,3, WindSpeed = 42,84, SnowDepth = 0, Weight = 0, Age = 4,240222880415607, MeasuredPower = , HasMeasuredPower = False }</t>
  </si>
  <si>
    <t>10.12.2025 05:30:00</t>
  </si>
  <si>
    <t>42,84</t>
  </si>
  <si>
    <t>PvRecord { Timestamp = 10.12.2025 05:45:00, Index = 0, DirectGeometryFactor = 0, DiffuseGeometryFactor = 0,9095760221444958, CosSunElevation = 0, GlobalHorizontalIrradiance = 0, SunshineDuration = 0, DiffuseHorizontalIrradiance = 0, AmbientTemp = 2,3, WindSpeed = 42,84, SnowDepth = 0, Weight = 0, Age = 4,240251400303689, MeasuredPower = , HasMeasuredPower = False }</t>
  </si>
  <si>
    <t>10.12.2025 05:45:00</t>
  </si>
  <si>
    <t>PvRecord { Timestamp = 10.12.2025 06:00:00, Index = 0, DirectGeometryFactor = 0, DiffuseGeometryFactor = 0,9095760221444958, CosSunElevation = 0, GlobalHorizontalIrradiance = 0, SunshineDuration = 0, DiffuseHorizontalIrradiance = 0, AmbientTemp = 2,3, WindSpeed = 42,84, SnowDepth = 0, Weight = 0, Age = 4,24027992019177, MeasuredPower = , HasMeasuredPower = False }</t>
  </si>
  <si>
    <t>10.12.2025 06:00:00</t>
  </si>
  <si>
    <t>PvRecord { Timestamp = 10.12.2025 06:15:00, Index = 0, DirectGeometryFactor = 0, DiffuseGeometryFactor = 0,9095760221444958, CosSunElevation = 0, GlobalHorizontalIrradiance = 0, SunshineDuration = 0, DiffuseHorizontalIrradiance = 0, AmbientTemp = 2,3, WindSpeed = 42,84, SnowDepth = 0, Weight = 0, Age = 4,240308440079851, MeasuredPower = , HasMeasuredPower = False }</t>
  </si>
  <si>
    <t>10.12.2025 06:15:00</t>
  </si>
  <si>
    <t>PvRecord { Timestamp = 10.12.2025 06:30:00, Index = 0, DirectGeometryFactor = 0, DiffuseGeometryFactor = 0,9095760221444958, CosSunElevation = 0, GlobalHorizontalIrradiance = 0, SunshineDuration = 0, DiffuseHorizontalIrradiance = 0, AmbientTemp = 2,75, WindSpeed = 46,44, SnowDepth = 0, Weight = 0, Age = 4,240336959967934, MeasuredPower = , HasMeasuredPower = False }</t>
  </si>
  <si>
    <t>10.12.2025 06:30:00</t>
  </si>
  <si>
    <t>46,44</t>
  </si>
  <si>
    <t>PvRecord { Timestamp = 10.12.2025 06:45:00, Index = 0, DirectGeometryFactor = 0, DiffuseGeometryFactor = 0,9095760221444958, CosSunElevation = 0, GlobalHorizontalIrradiance = 0, SunshineDuration = 0, DiffuseHorizontalIrradiance = 0, AmbientTemp = 2,75, WindSpeed = 46,44, SnowDepth = 0, Weight = 0, Age = 4,240365479856015, MeasuredPower = , HasMeasuredPower = False }</t>
  </si>
  <si>
    <t>10.12.2025 06:45:00</t>
  </si>
  <si>
    <t>PvRecord { Timestamp = 10.12.2025 07:00:00, Index = 0, DirectGeometryFactor = 0, DiffuseGeometryFactor = 0,9095760221444958, CosSunElevation = 0, GlobalHorizontalIrradiance = 0, SunshineDuration = 0, DiffuseHorizontalIrradiance = 0, AmbientTemp = 2,75, WindSpeed = 46,44, SnowDepth = 0, Weight = 0, Age = 4,2403939997440965, MeasuredPower = , HasMeasuredPower = False }</t>
  </si>
  <si>
    <t>10.12.2025 07:00:00</t>
  </si>
  <si>
    <t>PvRecord { Timestamp = 10.12.2025 07:15:00, Index = 0, DirectGeometryFactor = 0, DiffuseGeometryFactor = 0,9095760221444958, CosSunElevation = 0, GlobalHorizontalIrradiance = 0, SunshineDuration = 0, DiffuseHorizontalIrradiance = 0, AmbientTemp = 2,75, WindSpeed = 46,44, SnowDepth = 0, Weight = 0, Age = 4,240422519632178, MeasuredPower = , HasMeasuredPower = False }</t>
  </si>
  <si>
    <t>10.12.2025 07:15:00</t>
  </si>
  <si>
    <t>PvRecord { Timestamp = 10.12.2025 07:30:00, Index = 0, DirectGeometryFactor = 0, DiffuseGeometryFactor = 0,9095760221444958, CosSunElevation = 0, GlobalHorizontalIrradiance = 0, SunshineDuration = 0, DiffuseHorizontalIrradiance = 0, AmbientTemp = 3,5, WindSpeed = 50,94, SnowDepth = 0, Weight = 0, Age = 4,240451039520259, MeasuredPower = , HasMeasuredPower = False }</t>
  </si>
  <si>
    <t>10.12.2025 07:30:00</t>
  </si>
  <si>
    <t>50,94</t>
  </si>
  <si>
    <t>PvRecord { Timestamp = 10.12.2025 07:45:00, Index = 0, DirectGeometryFactor = 0, DiffuseGeometryFactor = 0,9095760221444958, CosSunElevation = 0, GlobalHorizontalIrradiance = 0, SunshineDuration = 0, DiffuseHorizontalIrradiance = 0, AmbientTemp = 3,5, WindSpeed = 50,94, SnowDepth = 0, Weight = 0, Age = 4,2404795594083415, MeasuredPower = , HasMeasuredPower = False }</t>
  </si>
  <si>
    <t>10.12.2025 07:45:00</t>
  </si>
  <si>
    <t>PvRecord { Timestamp = 10.12.2025 08:00:00, Index = 0, DirectGeometryFactor = 0, DiffuseGeometryFactor = 0,9095760221444958, CosSunElevation = 0,009527082251904613, GlobalHorizontalIrradiance = 0, SunshineDuration = 0, DiffuseHorizontalIrradiance = 0, AmbientTemp = 3,5, WindSpeed = 50,94, SnowDepth = 0, Weight = 0, Age = 4,240508079296423, MeasuredPower = , HasMeasuredPower = False }</t>
  </si>
  <si>
    <t>10.12.2025 08:00:00</t>
  </si>
  <si>
    <t>0,009527082251904613</t>
  </si>
  <si>
    <t>PvRecord { Timestamp = 10.12.2025 08:15:00, Index = 0, DirectGeometryFactor = 0,527325792116851, DiffuseGeometryFactor = 0,9095760221444958, CosSunElevation = 0,041651374032025616, GlobalHorizontalIrradiance = 0, SunshineDuration = 0, DiffuseHorizontalIrradiance = 0, AmbientTemp = 3,5, WindSpeed = 50,94, SnowDepth = 0, Weight = 0, Age = 4,240536599184504, MeasuredPower = , HasMeasuredPower = False }</t>
  </si>
  <si>
    <t>10.12.2025 08:15:00</t>
  </si>
  <si>
    <t>0,527325792116851</t>
  </si>
  <si>
    <t>0,041651374032025616</t>
  </si>
  <si>
    <t>PvRecord { Timestamp = 10.12.2025 08:30:00, Index = 0, DirectGeometryFactor = 0,566986365292326, DiffuseGeometryFactor = 0,9095760221444958, CosSunElevation = 0,07430287285884148, GlobalHorizontalIrradiance = 365,2333333333333, SunshineDuration = 0, DiffuseHorizontalIrradiance = 12, AmbientTemp = 4,55, WindSpeed = 56,7, SnowDepth = 0, Weight = 0, Age = 4,240565119072586, MeasuredPower = , HasMeasuredPower = False }</t>
  </si>
  <si>
    <t>10.12.2025 08:30:00</t>
  </si>
  <si>
    <t>0,566986365292326</t>
  </si>
  <si>
    <t>0,07430287285884148</t>
  </si>
  <si>
    <t>4,55</t>
  </si>
  <si>
    <t>56,7</t>
  </si>
  <si>
    <t>PvRecord { Timestamp = 10.12.2025 08:45:00, Index = 0, DirectGeometryFactor = 0,6044413976101721, DiffuseGeometryFactor = 0,9095760221444958, CosSunElevation = 0,10615352498244933, GlobalHorizontalIrradiance = 365,2333333333333, SunshineDuration = 0, DiffuseHorizontalIrradiance = 12, AmbientTemp = 4,55, WindSpeed = 56,7, SnowDepth = 0, Weight = 0, Age = 4,240593638960667, MeasuredPower = , HasMeasuredPower = False }</t>
  </si>
  <si>
    <t>10.12.2025 08:45:00</t>
  </si>
  <si>
    <t>0,6044413976101721</t>
  </si>
  <si>
    <t>0,10615352498244933</t>
  </si>
  <si>
    <t>PvRecord { Timestamp = 10.12.2025 09:00:00, Index = 0, DirectGeometryFactor = 0,6391862852122798, DiffuseGeometryFactor = 0,9095760221444958, CosSunElevation = 0,13665658533219763, GlobalHorizontalIrradiance = 365,2333333333333, SunshineDuration = 0, DiffuseHorizontalIrradiance = 12, AmbientTemp = 4,55, WindSpeed = 56,7, SnowDepth = 0, Weight = 0, Age = 4,240622158848749, MeasuredPower = , HasMeasuredPower = False }</t>
  </si>
  <si>
    <t>10.12.2025 09:00:00</t>
  </si>
  <si>
    <t>0,6391862852122798</t>
  </si>
  <si>
    <t>0,13665658533219763</t>
  </si>
  <si>
    <t>PvRecord { Timestamp = 10.12.2025 09:15:00, Index = 0, DirectGeometryFactor = 0,6709395154389493, DiffuseGeometryFactor = 0,9095760221444958, CosSunElevation = 0,16552263126739233, GlobalHorizontalIrradiance = 365,2333333333333, SunshineDuration = 0, DiffuseHorizontalIrradiance = 12, AmbientTemp = 4,55, WindSpeed = 56,7, SnowDepth = 0, Weight = 0, Age = 4,240650678736831, MeasuredPower = , HasMeasuredPower = False }</t>
  </si>
  <si>
    <t>10.12.2025 09:15:00</t>
  </si>
  <si>
    <t>0,6709395154389493</t>
  </si>
  <si>
    <t>0,16552263126739233</t>
  </si>
  <si>
    <t>PvRecord { Timestamp = 10.12.2025 09:30:00, Index = 0, DirectGeometryFactor = 0,6995052804750629, DiffuseGeometryFactor = 0,9095760221444958, CosSunElevation = 0,19255626696870098, GlobalHorizontalIrradiance = 646,9833333333333, SunshineDuration = 0, DiffuseHorizontalIrradiance = 39,5, AmbientTemp = 5,65, WindSpeed = 63,36, SnowDepth = 0, Weight = 0, Age = 4,240679198624912, MeasuredPower = , HasMeasuredPower = False }</t>
  </si>
  <si>
    <t>10.12.2025 09:30:00</t>
  </si>
  <si>
    <t>0,6995052804750629</t>
  </si>
  <si>
    <t>0,19255626696870098</t>
  </si>
  <si>
    <t>5,65</t>
  </si>
  <si>
    <t>63,36</t>
  </si>
  <si>
    <t>PvRecord { Timestamp = 10.12.2025 09:45:00, Index = 0, DirectGeometryFactor = 0,7247308051353284, DiffuseGeometryFactor = 0,9095760221444958, CosSunElevation = 0,21760510233530556, GlobalHorizontalIrradiance = 646,9833333333333, SunshineDuration = 0, DiffuseHorizontalIrradiance = 39,5, AmbientTemp = 5,65, WindSpeed = 63,36, SnowDepth = 0, Weight = 0, Age = 4,2407077185129936, MeasuredPower = , HasMeasuredPower = False }</t>
  </si>
  <si>
    <t>10.12.2025 09:45:00</t>
  </si>
  <si>
    <t>0,7247308051353284</t>
  </si>
  <si>
    <t>0,21760510233530556</t>
  </si>
  <si>
    <t>PvRecord { Timestamp = 10.12.2025 10:00:00, Index = 0, DirectGeometryFactor = 0,7464910911916438, DiffuseGeometryFactor = 0,9095760221444958, CosSunElevation = 0,24054139851633133, GlobalHorizontalIrradiance = 646,9833333333333, SunshineDuration = 0, DiffuseHorizontalIrradiance = 39,5, AmbientTemp = 5,65, WindSpeed = 63,36, SnowDepth = 0, Weight = 0, Age = 4,240736238401075, MeasuredPower = , HasMeasuredPower = False }</t>
  </si>
  <si>
    <t>10.12.2025 10:00:00</t>
  </si>
  <si>
    <t>0,7464910911916438</t>
  </si>
  <si>
    <t>0,24054139851633133</t>
  </si>
  <si>
    <t>PvRecord { Timestamp = 10.12.2025 10:15:00, Index = 0, DirectGeometryFactor = 0,7646828126614638, DiffuseGeometryFactor = 0,9095760221444958, CosSunElevation = 0,26125466871539277, GlobalHorizontalIrradiance = 646,9833333333333, SunshineDuration = 0, DiffuseHorizontalIrradiance = 39,5, AmbientTemp = 5,65, WindSpeed = 63,36, SnowDepth = 0, Weight = 0, Age = 4,240764758289157, MeasuredPower = , HasMeasuredPower = False }</t>
  </si>
  <si>
    <t>10.12.2025 10:15:00</t>
  </si>
  <si>
    <t>0,7646828126614638</t>
  </si>
  <si>
    <t>0,26125466871539277</t>
  </si>
  <si>
    <t>PvRecord { Timestamp = 10.12.2025 10:30:00, Index = 0, DirectGeometryFactor = 0,7792216790520328, DiffuseGeometryFactor = 0,9095760221444958, CosSunElevation = 0,27964846145250766, GlobalHorizontalIrradiance = 646,0666666666666, SunshineDuration = 0, DiffuseHorizontalIrradiance = 61, AmbientTemp = 6,75, WindSpeed = 69,12, SnowDepth = 0, Weight = 0, Age = 4,240793278177239, MeasuredPower = , HasMeasuredPower = False }</t>
  </si>
  <si>
    <t>10.12.2025 10:30:00</t>
  </si>
  <si>
    <t>0,7792216790520328</t>
  </si>
  <si>
    <t>0,27964846145250766</t>
  </si>
  <si>
    <t>PvRecord { Timestamp = 10.12.2025 10:45:00, Index = 0, DirectGeometryFactor = 0,7900412437373354, DiffuseGeometryFactor = 0,9095760221444958, CosSunElevation = 0,2956389110956307, GlobalHorizontalIrradiance = 646,0666666666666, SunshineDuration = 0, DiffuseHorizontalIrradiance = 61, AmbientTemp = 6,75, WindSpeed = 69,12, SnowDepth = 0, Weight = 0, Age = 4,24082179806532, MeasuredPower = , HasMeasuredPower = False }</t>
  </si>
  <si>
    <t>10.12.2025 10:45:00</t>
  </si>
  <si>
    <t>0,7900412437373354</t>
  </si>
  <si>
    <t>0,2956389110956307</t>
  </si>
  <si>
    <t>PvRecord { Timestamp = 10.12.2025 11:00:00, Index = 0, DirectGeometryFactor = 0,797092351578196, DiffuseGeometryFactor = 0,9095760221444958, CosSunElevation = 0,3091540921296641, GlobalHorizontalIrradiance = 646,0666666666666, SunshineDuration = 0, DiffuseHorizontalIrradiance = 61, AmbientTemp = 6,75, WindSpeed = 69,12, SnowDepth = 0, Weight = 0, Age = 4,240850317953401, MeasuredPower = , HasMeasuredPower = False }</t>
  </si>
  <si>
    <t>10.12.2025 11:00:00</t>
  </si>
  <si>
    <t>0,797092351578196</t>
  </si>
  <si>
    <t>0,3091540921296641</t>
  </si>
  <si>
    <t>PvRecord { Timestamp = 10.12.2025 11:15:00, Index = 0, DirectGeometryFactor = 0,800342873573122, DiffuseGeometryFactor = 0,9095760221444958, CosSunElevation = 0,3201337554210386, GlobalHorizontalIrradiance = 646,0666666666666, SunshineDuration = 0, DiffuseHorizontalIrradiance = 61, AmbientTemp = 6,75, WindSpeed = 69,12, SnowDepth = 0, Weight = 0, Age = 4,240878837841483, MeasuredPower = , HasMeasuredPower = False }</t>
  </si>
  <si>
    <t>10.12.2025 11:15:00</t>
  </si>
  <si>
    <t>0,800342873573122</t>
  </si>
  <si>
    <t>0,3201337554210386</t>
  </si>
  <si>
    <t>PvRecord { Timestamp = 10.12.2025 11:30:00, Index = 0, DirectGeometryFactor = 0,799777562902767, DiffuseGeometryFactor = 0,9095760221444958, CosSunElevation = 0,32852924772955205, GlobalHorizontalIrradiance = 647,25, SunshineDuration = 0, DiffuseHorizontalIrradiance = 73, AmbientTemp = 7,5, WindSpeed = 72,18, SnowDepth = 0, Weight = 0, Age = 4,240907357729565, MeasuredPower = , HasMeasuredPower = False }</t>
  </si>
  <si>
    <t>10.12.2025 11:30:00</t>
  </si>
  <si>
    <t>0,799777562902767</t>
  </si>
  <si>
    <t>0,32852924772955205</t>
  </si>
  <si>
    <t>647,25</t>
  </si>
  <si>
    <t>72,18</t>
  </si>
  <si>
    <t>PvRecord { Timestamp = 10.12.2025 11:45:00, Index = 0, DirectGeometryFactor = 0,795397949399165, DiffuseGeometryFactor = 0,9095760221444958, CosSunElevation = 0,33430351464485925, GlobalHorizontalIrradiance = 647,25, SunshineDuration = 0, DiffuseHorizontalIrradiance = 73, AmbientTemp = 7,5, WindSpeed = 72,18, SnowDepth = 0, Weight = 0, Age = 4,2409358776176465, MeasuredPower = , HasMeasuredPower = False }</t>
  </si>
  <si>
    <t>10.12.2025 11:45:00</t>
  </si>
  <si>
    <t>0,795397949399165</t>
  </si>
  <si>
    <t>0,33430351464485925</t>
  </si>
  <si>
    <t>PvRecord { Timestamp = 10.12.2025 12:00:00, Index = 0, DirectGeometryFactor = 0,7872222290566062, DiffuseGeometryFactor = 0,9095760221444958, CosSunElevation = 0,3374311342428788, GlobalHorizontalIrradiance = 647,25, SunshineDuration = 0, DiffuseHorizontalIrradiance = 73, AmbientTemp = 7,5, WindSpeed = 72,18, SnowDepth = 0, Weight = 0, Age = 4,240964397505728, MeasuredPower = , HasMeasuredPower = False }</t>
  </si>
  <si>
    <t>10.12.2025 12:00:00</t>
  </si>
  <si>
    <t>0,7872222290566062</t>
  </si>
  <si>
    <t>0,3374311342428788</t>
  </si>
  <si>
    <t>PvRecord { Timestamp = 10.12.2025 12:15:00, Index = 0, DirectGeometryFactor = 0,7752851255786217, DiffuseGeometryFactor = 0,9095760221444958, CosSunElevation = 0,3378983531490014, GlobalHorizontalIrradiance = 647,25, SunshineDuration = 0, DiffuseHorizontalIrradiance = 73, AmbientTemp = 7,5, WindSpeed = 72,18, SnowDepth = 0, Weight = 0, Age = 4,240992917393809, MeasuredPower = , HasMeasuredPower = False }</t>
  </si>
  <si>
    <t>10.12.2025 12:15:00</t>
  </si>
  <si>
    <t>0,7752851255786217</t>
  </si>
  <si>
    <t>0,3378983531490014</t>
  </si>
  <si>
    <t>PvRecord { Timestamp = 10.12.2025 12:30:00, Index = 0, DirectGeometryFactor = 0,7596377119658444, DiffuseGeometryFactor = 0,9095760221444958, CosSunElevation = 0,3357031098624479, GlobalHorizontalIrradiance = 645,6333333333333, SunshineDuration = 0, DiffuseHorizontalIrradiance = 76, AmbientTemp = 7,75, WindSpeed = 71,82, SnowDepth = 0, Weight = 0, Age = 4,241021437281891, MeasuredPower = , HasMeasuredPower = False }</t>
  </si>
  <si>
    <t>10.12.2025 12:30:00</t>
  </si>
  <si>
    <t>0,7596377119658444</t>
  </si>
  <si>
    <t>0,3357031098624479</t>
  </si>
  <si>
    <t>7,75</t>
  </si>
  <si>
    <t>71,82</t>
  </si>
  <si>
    <t>PvRecord { Timestamp = 10.12.2025 12:45:00, Index = 0, DirectGeometryFactor = 0,7403471872776803, DiffuseGeometryFactor = 0,9095760221444958, CosSunElevation = 0,330855038343919, GlobalHorizontalIrradiance = 645,6333333333333, SunshineDuration = 0, DiffuseHorizontalIrradiance = 76, AmbientTemp = 7,75, WindSpeed = 71,82, SnowDepth = 0, Weight = 0, Age = 4,241049957169973, MeasuredPower = , HasMeasuredPower = False }</t>
  </si>
  <si>
    <t>10.12.2025 12:45:00</t>
  </si>
  <si>
    <t>0,7403471872776803</t>
  </si>
  <si>
    <t>0,330855038343919</t>
  </si>
  <si>
    <t>PvRecord { Timestamp = 10.12.2025 13:00:00, Index = 0, DirectGeometryFactor = 0,7174966086912465, DiffuseGeometryFactor = 0,9095760221444958, CosSunElevation = 0,3233754509570889, GlobalHorizontalIrradiance = 645,6333333333333, SunshineDuration = 0, DiffuseHorizontalIrradiance = 76, AmbientTemp = 7,75, WindSpeed = 71,82, SnowDepth = 0, Weight = 0, Age = 4,241078477058054, MeasuredPower = , HasMeasuredPower = False }</t>
  </si>
  <si>
    <t>10.12.2025 13:00:00</t>
  </si>
  <si>
    <t>0,7174966086912465</t>
  </si>
  <si>
    <t>0,3233754509570889</t>
  </si>
  <si>
    <t>PvRecord { Timestamp = 10.12.2025 13:15:00, Index = 0, DirectGeometryFactor = 0,6911845836196773, DiffuseGeometryFactor = 0,9095760221444958, CosSunElevation = 0,3132973054141713, GlobalHorizontalIrradiance = 645,6333333333333, SunshineDuration = 0, DiffuseHorizontalIrradiance = 76, AmbientTemp = 7,75, WindSpeed = 71,82, SnowDepth = 0, Weight = 0, Age = 4,241106996946136, MeasuredPower = , HasMeasuredPower = False }</t>
  </si>
  <si>
    <t>10.12.2025 13:15:00</t>
  </si>
  <si>
    <t>0,6911845836196773</t>
  </si>
  <si>
    <t>0,3132973054141713</t>
  </si>
  <si>
    <t>PvRecord { Timestamp = 10.12.2025 13:30:00, Index = 0, DirectGeometryFactor = 0,6615249330830504, DiffuseGeometryFactor = 0,9095760221444958, CosSunElevation = 0,30066516765469, GlobalHorizontalIrradiance = 644,9, SunshineDuration = 0, DiffuseHorizontalIrradiance = 69, AmbientTemp = 7,3999999999999995, WindSpeed = 64,80000000000001, SnowDepth = 0, Weight = 0, Age = 4,241135516834217, MeasuredPower = , HasMeasuredPower = False }</t>
  </si>
  <si>
    <t>10.12.2025 13:30:00</t>
  </si>
  <si>
    <t>0,6615249330830504</t>
  </si>
  <si>
    <t>0,30066516765469</t>
  </si>
  <si>
    <t>644,9</t>
  </si>
  <si>
    <t>PvRecord { Timestamp = 10.12.2025 13:45:00, Index = 0, DirectGeometryFactor = 0,6286463464202158, DiffuseGeometryFactor = 0,9095760221444958, CosSunElevation = 0,28553519357778795, GlobalHorizontalIrradiance = 644,9, SunshineDuration = 0, DiffuseHorizontalIrradiance = 69, AmbientTemp = 7,3999999999999995, WindSpeed = 64,80000000000001, SnowDepth = 0, Weight = 0, Age = 4,2411640367222985, MeasuredPower = , HasMeasuredPower = False }</t>
  </si>
  <si>
    <t>10.12.2025 13:45:00</t>
  </si>
  <si>
    <t>0,6286463464202158</t>
  </si>
  <si>
    <t>0,28553519357778795</t>
  </si>
  <si>
    <t>PvRecord { Timestamp = 10.12.2025 14:00:00, Index = 0, DirectGeometryFactor = 0,5926920633372971, DiffuseGeometryFactor = 0,9095760221444958, CosSunElevation = 0,2679751718199127, GlobalHorizontalIrradiance = 644,9, SunshineDuration = 0, DiffuseHorizontalIrradiance = 69, AmbientTemp = 7,3999999999999995, WindSpeed = 64,80000000000001, SnowDepth = 0, Weight = 0, Age = 4,241192556610381, MeasuredPower = , HasMeasuredPower = False }</t>
  </si>
  <si>
    <t>10.12.2025 14:00:00</t>
  </si>
  <si>
    <t>0,5926920633372971</t>
  </si>
  <si>
    <t>0,2679751718199127</t>
  </si>
  <si>
    <t>PvRecord { Timestamp = 10.12.2025 14:15:00, Index = 0, DirectGeometryFactor = 0,5538196505303796, DiffuseGeometryFactor = 0,9095760221444958, CosSunElevation = 0,24806470712375822, GlobalHorizontalIrradiance = 644,9, SunshineDuration = 0, DiffuseHorizontalIrradiance = 69, AmbientTemp = 7,3999999999999995, WindSpeed = 64,80000000000001, SnowDepth = 0, Weight = 0, Age = 4,241221076498462, MeasuredPower = , HasMeasuredPower = False }</t>
  </si>
  <si>
    <t>10.12.2025 14:15:00</t>
  </si>
  <si>
    <t>0,5538196505303796</t>
  </si>
  <si>
    <t>0,24806470712375822</t>
  </si>
  <si>
    <t>PvRecord { Timestamp = 10.12.2025 14:30:00, Index = 0, DirectGeometryFactor = 0,5122010021685632, DiffuseGeometryFactor = 0,9095760221444958, CosSunElevation = 0,22589569950255903, GlobalHorizontalIrradiance = 643,0833333333334, SunshineDuration = 0, DiffuseHorizontalIrradiance = 52,5, AmbientTemp = 6,5, WindSpeed = 52,74, SnowDepth = 0, Weight = 0, Age = 4,2412495963865435, MeasuredPower = , HasMeasuredPower = False }</t>
  </si>
  <si>
    <t>10.12.2025 14:30:00</t>
  </si>
  <si>
    <t>0,5122010021685632</t>
  </si>
  <si>
    <t>0,22589569950255903</t>
  </si>
  <si>
    <t>52,74</t>
  </si>
  <si>
    <t>PvRecord { Timestamp = 10.12.2025 14:45:00, Index = 0, DirectGeometryFactor = 0,4680228303330929, DiffuseGeometryFactor = 0,9095760221444958, CosSunElevation = 0,20157344047715278, GlobalHorizontalIrradiance = 643,0833333333334, SunshineDuration = 0, DiffuseHorizontalIrradiance = 52,5, AmbientTemp = 6,5, WindSpeed = 52,74, SnowDepth = 0, Weight = 0, Age = 4,241278116274625, MeasuredPower = , HasMeasuredPower = False }</t>
  </si>
  <si>
    <t>10.12.2025 14:45:00</t>
  </si>
  <si>
    <t>0,4680228303330929</t>
  </si>
  <si>
    <t>0,20157344047715278</t>
  </si>
  <si>
    <t>PvRecord { Timestamp = 10.12.2025 15:00:00, Index = 0, DirectGeometryFactor = 0,4214882360534499, DiffuseGeometryFactor = 0,9095760221444958, CosSunElevation = 0,17521904102022867, GlobalHorizontalIrradiance = 643,0833333333334, SunshineDuration = 0, DiffuseHorizontalIrradiance = 52,5, AmbientTemp = 6,5, WindSpeed = 52,74, SnowDepth = 0, Weight = 0, Age = 4,241306636162706, MeasuredPower = , HasMeasuredPower = False }</t>
  </si>
  <si>
    <t>10.12.2025 15:00:00</t>
  </si>
  <si>
    <t>0,4214882360534499</t>
  </si>
  <si>
    <t>0,17521904102022867</t>
  </si>
  <si>
    <t>PvRecord { Timestamp = 10.12.2025 15:15:00, Index = 0, DirectGeometryFactor = 0,37282078794179113, DiffuseGeometryFactor = 0,9095760221444958, CosSunElevation = 0,14697492137051787, GlobalHorizontalIrradiance = 643,0833333333334, SunshineDuration = 0, DiffuseHorizontalIrradiance = 52,5, AmbientTemp = 6,5, WindSpeed = 52,74, SnowDepth = 0, Weight = 0, Age = 4,241335156050789, MeasuredPower = , HasMeasuredPower = False }</t>
  </si>
  <si>
    <t>10.12.2025 15:15:00</t>
  </si>
  <si>
    <t>0,37282078794179113</t>
  </si>
  <si>
    <t>0,14697492137051787</t>
  </si>
  <si>
    <t>PvRecord { Timestamp = 10.12.2025 15:30:00, Index = 0, DirectGeometryFactor = 0,3222749440915697, DiffuseGeometryFactor = 0,9095760221444958, CosSunElevation = 0,11701801554763509, GlobalHorizontalIrradiance = 625,25, SunshineDuration = 0, DiffuseHorizontalIrradiance = 29, AmbientTemp = 5,35, WindSpeed = 37,44, SnowDepth = 0, Weight = 0, Age = 4,24136367593887, MeasuredPower = , HasMeasuredPower = False }</t>
  </si>
  <si>
    <t>10.12.2025 15:30:00</t>
  </si>
  <si>
    <t>0,3222749440915697</t>
  </si>
  <si>
    <t>0,11701801554763509</t>
  </si>
  <si>
    <t>625,25</t>
  </si>
  <si>
    <t>5,35</t>
  </si>
  <si>
    <t>37,44</t>
  </si>
  <si>
    <t>PvRecord { Timestamp = 10.12.2025 15:45:00, Index = 0, DirectGeometryFactor = 0, DiffuseGeometryFactor = 0,9095760221444958, CosSunElevation = 0,08559489280951929, GlobalHorizontalIrradiance = 625,25, SunshineDuration = 0, DiffuseHorizontalIrradiance = 29, AmbientTemp = 5,35, WindSpeed = 37,44, SnowDepth = 0, Weight = 0, Age = 4,241392195826951, MeasuredPower = , HasMeasuredPower = False }</t>
  </si>
  <si>
    <t>10.12.2025 15:45:00</t>
  </si>
  <si>
    <t>0,08559489280951929</t>
  </si>
  <si>
    <t>PvRecord { Timestamp = 10.12.2025 16:00:00, Index = 0, DirectGeometryFactor = 0, DiffuseGeometryFactor = 0,9095760221444958, CosSunElevation = 0,05312871319439807, GlobalHorizontalIrradiance = 625,25, SunshineDuration = 0, DiffuseHorizontalIrradiance = 29, AmbientTemp = 5,35, WindSpeed = 37,44, SnowDepth = 0, Weight = 0, Age = 4,241420715715033, MeasuredPower = , HasMeasuredPower = False }</t>
  </si>
  <si>
    <t>10.12.2025 16:00:00</t>
  </si>
  <si>
    <t>0,05312871319439807</t>
  </si>
  <si>
    <t>PvRecord { Timestamp = 10.12.2025 16:15:00, Index = 0, DirectGeometryFactor = 0, DiffuseGeometryFactor = 0,9095760221444958, CosSunElevation = 0,02058123875668647, GlobalHorizontalIrradiance = 625,25, SunshineDuration = 0, DiffuseHorizontalIrradiance = 29, AmbientTemp = 5,35, WindSpeed = 37,44, SnowDepth = 0, Weight = 0, Age = 4,241449235603114, MeasuredPower = , HasMeasuredPower = False }</t>
  </si>
  <si>
    <t>10.12.2025 16:15:00</t>
  </si>
  <si>
    <t>0,02058123875668647</t>
  </si>
  <si>
    <t>PvRecord { Timestamp = 10.12.2025 16:30:00,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4,241477755491196, MeasuredPower = , HasMeasuredPower = False }</t>
  </si>
  <si>
    <t>10.12.2025 16:30:00</t>
  </si>
  <si>
    <t>PvRecord { Timestamp = 10.12.2025 16:45:00,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4,241506275379278, MeasuredPower = , HasMeasuredPower = False }</t>
  </si>
  <si>
    <t>10.12.2025 16:45:00</t>
  </si>
  <si>
    <t>PvRecord { Timestamp = 10.12.2025 17:00:00,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4,241534795267359, MeasuredPower = , HasMeasuredPower = False }</t>
  </si>
  <si>
    <t>10.12.2025 17:00:00</t>
  </si>
  <si>
    <t>PvRecord { Timestamp = 10.12.2025 17:15:00,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4,241563315155441, MeasuredPower = , HasMeasuredPower = False }</t>
  </si>
  <si>
    <t>10.12.2025 17:15:00</t>
  </si>
  <si>
    <t>PvRecord { Timestamp = 10.12.2025 17:30:00, Index = 0, DirectGeometryFactor = 0, DiffuseGeometryFactor = 0,9095760221444958, CosSunElevation = 0, GlobalHorizontalIrradiance = 0, SunshineDuration = 0, DiffuseHorizontalIrradiance = 0, AmbientTemp = 3, WindSpeed = 10,98, SnowDepth = 0, Weight = 0, Age = 4,241591835043522, MeasuredPower = , HasMeasuredPower = False }</t>
  </si>
  <si>
    <t>10.12.2025 17:30:00</t>
  </si>
  <si>
    <t>10,98</t>
  </si>
  <si>
    <t>PvRecord { Timestamp = 10.12.2025 17:45:00, Index = 0, DirectGeometryFactor = 0, DiffuseGeometryFactor = 0,9095760221444958, CosSunElevation = 0, GlobalHorizontalIrradiance = 0, SunshineDuration = 0, DiffuseHorizontalIrradiance = 0, AmbientTemp = 3, WindSpeed = 10,98, SnowDepth = 0, Weight = 0, Age = 4,241620354931604, MeasuredPower = , HasMeasuredPower = False }</t>
  </si>
  <si>
    <t>10.12.2025 17:45:00</t>
  </si>
  <si>
    <t>PvRecord { Timestamp = 10.12.2025 18:00:00, Index = 0, DirectGeometryFactor = 0, DiffuseGeometryFactor = 0,9095760221444958, CosSunElevation = 0, GlobalHorizontalIrradiance = 0, SunshineDuration = 0, DiffuseHorizontalIrradiance = 0, AmbientTemp = 3, WindSpeed = 10,98, SnowDepth = 0, Weight = 0, Age = 4,241648874819686, MeasuredPower = , HasMeasuredPower = False }</t>
  </si>
  <si>
    <t>10.12.2025 18:00:00</t>
  </si>
  <si>
    <t>PvRecord { Timestamp = 10.12.2025 18:15:00, Index = 0, DirectGeometryFactor = 0, DiffuseGeometryFactor = 0,9095760221444958, CosSunElevation = 0, GlobalHorizontalIrradiance = 0, SunshineDuration = 0, DiffuseHorizontalIrradiance = 0, AmbientTemp = 3, WindSpeed = 10,98, SnowDepth = 0, Weight = 0, Age = 4,241677394707767, MeasuredPower = , HasMeasuredPower = False }</t>
  </si>
  <si>
    <t>10.12.2025 18:15:00</t>
  </si>
  <si>
    <t>PvRecord { Timestamp = 10.12.2025 18:30:00,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4,2417059145958484, MeasuredPower = , HasMeasuredPower = False }</t>
  </si>
  <si>
    <t>10.12.2025 18:30:00</t>
  </si>
  <si>
    <t>PvRecord { Timestamp = 10.12.2025 18:45:00,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4,24173443448393, MeasuredPower = , HasMeasuredPower = False }</t>
  </si>
  <si>
    <t>10.12.2025 18:45:00</t>
  </si>
  <si>
    <t>PvRecord { Timestamp = 10.12.2025 19:00:00,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4,241762954372012, MeasuredPower = , HasMeasuredPower = False }</t>
  </si>
  <si>
    <t>10.12.2025 19:00:00</t>
  </si>
  <si>
    <t>PvRecord { Timestamp = 10.12.2025 19:15:00,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4,2417914742600935, MeasuredPower = , HasMeasuredPower = False }</t>
  </si>
  <si>
    <t>10.12.2025 19:15:00</t>
  </si>
  <si>
    <t>PvRecord { Timestamp = 10.12.2025 19:30:00,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4,241819994148175, MeasuredPower = , HasMeasuredPower = False }</t>
  </si>
  <si>
    <t>10.12.2025 19:30:00</t>
  </si>
  <si>
    <t>PvRecord { Timestamp = 10.12.2025 19:45:00,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4,241848514036256, MeasuredPower = , HasMeasuredPower = False }</t>
  </si>
  <si>
    <t>10.12.2025 19:45:00</t>
  </si>
  <si>
    <t>PvRecord { Timestamp = 10.12.2025 20:00:00,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4,241877033924338, MeasuredPower = , HasMeasuredPower = False }</t>
  </si>
  <si>
    <t>10.12.2025 20:00:00</t>
  </si>
  <si>
    <t>PvRecord { Timestamp = 10.12.2025 20:15:00,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4,24190555381242, MeasuredPower = , HasMeasuredPower = False }</t>
  </si>
  <si>
    <t>10.12.2025 20:15:00</t>
  </si>
  <si>
    <t>PvRecord { Timestamp = 10.12.2025 20:30:00,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4,241934073700501, MeasuredPower = , HasMeasuredPower = False }</t>
  </si>
  <si>
    <t>10.12.2025 20:30:00</t>
  </si>
  <si>
    <t>PvRecord { Timestamp = 10.12.2025 20:45:00,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4,241962593588583, MeasuredPower = , HasMeasuredPower = False }</t>
  </si>
  <si>
    <t>10.12.2025 20:45:00</t>
  </si>
  <si>
    <t>PvRecord { Timestamp = 10.12.2025 21:00:00,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4,241991113476664, MeasuredPower = , HasMeasuredPower = False }</t>
  </si>
  <si>
    <t>10.12.2025 21:00:00</t>
  </si>
  <si>
    <t>PvRecord { Timestamp = 10.12.2025 21:15:00,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4,2420196333647455, MeasuredPower = , HasMeasuredPower = False }</t>
  </si>
  <si>
    <t>10.12.2025 21:15:00</t>
  </si>
  <si>
    <t>PvRecord { Timestamp = 10.12.2025 21:30:00,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4,242048153252828, MeasuredPower = , HasMeasuredPower = False }</t>
  </si>
  <si>
    <t>10.12.2025 21:30:00</t>
  </si>
  <si>
    <t>PvRecord { Timestamp = 10.12.2025 21:45:00,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4,242076673140909, MeasuredPower = , HasMeasuredPower = False }</t>
  </si>
  <si>
    <t>10.12.2025 21:45:00</t>
  </si>
  <si>
    <t>PvRecord { Timestamp = 10.12.2025 22:00:00,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4,242105193028991, MeasuredPower = , HasMeasuredPower = False }</t>
  </si>
  <si>
    <t>10.12.2025 22:00:00</t>
  </si>
  <si>
    <t>PvRecord { Timestamp = 10.12.2025 22:15:00,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4,242133712917072, MeasuredPower = , HasMeasuredPower = False }</t>
  </si>
  <si>
    <t>10.12.2025 22:15:00</t>
  </si>
  <si>
    <t>PvRecord { Timestamp = 10.12.2025 22:30:00, Index = 0, DirectGeometryFactor = 0, DiffuseGeometryFactor = 0,9095760221444958, CosSunElevation = 0, GlobalHorizontalIrradiance = 0, SunshineDuration = 0, DiffuseHorizontalIrradiance = 0, AmbientTemp = 2,55, WindSpeed = 35,82, SnowDepth = 0, Weight = 0, Age = 4,242162232805153, MeasuredPower = , HasMeasuredPower = False }</t>
  </si>
  <si>
    <t>10.12.2025 22:30:00</t>
  </si>
  <si>
    <t>35,82</t>
  </si>
  <si>
    <t>PvRecord { Timestamp = 10.12.2025 22:45:00, Index = 0, DirectGeometryFactor = 0, DiffuseGeometryFactor = 0,9095760221444958, CosSunElevation = 0, GlobalHorizontalIrradiance = 0, SunshineDuration = 0, DiffuseHorizontalIrradiance = 0, AmbientTemp = 2,55, WindSpeed = 35,82, SnowDepth = 0, Weight = 0, Age = 4,242190752693236, MeasuredPower = , HasMeasuredPower = False }</t>
  </si>
  <si>
    <t>10.12.2025 22:45:00</t>
  </si>
  <si>
    <t>PvRecord { Timestamp = 10.12.2025 23:00:00, Index = 0, DirectGeometryFactor = 0, DiffuseGeometryFactor = 0,9095760221444958, CosSunElevation = 0, GlobalHorizontalIrradiance = 0, SunshineDuration = 0, DiffuseHorizontalIrradiance = 0, AmbientTemp = 2,55, WindSpeed = 35,82, SnowDepth = 0, Weight = 0, Age = 4,242219272581317, MeasuredPower = , HasMeasuredPower = False }</t>
  </si>
  <si>
    <t>10.12.2025 23:00:00</t>
  </si>
  <si>
    <t>PvRecord { Timestamp = 10.12.2025 23:15:00, Index = 0, DirectGeometryFactor = 0, DiffuseGeometryFactor = 0,9095760221444958, CosSunElevation = 0, GlobalHorizontalIrradiance = 0, SunshineDuration = 0, DiffuseHorizontalIrradiance = 0, AmbientTemp = 2,55, WindSpeed = 35,82, SnowDepth = 0, Weight = 0, Age = 4,242247792469398, MeasuredPower = , HasMeasuredPower = False }</t>
  </si>
  <si>
    <t>10.12.2025 23:15:00</t>
  </si>
  <si>
    <t>PvRecord { Timestamp = 10.12.2025 23:30:00, Index = 0, DirectGeometryFactor = 0, DiffuseGeometryFactor = 0,9095760221444958, CosSunElevation = 0, GlobalHorizontalIrradiance = 0, SunshineDuration = 0, DiffuseHorizontalIrradiance = 0, AmbientTemp = 2,8, WindSpeed = 44,46, SnowDepth = 0, Weight = 0, Age = 4,24227631235748, MeasuredPower = , HasMeasuredPower = False }</t>
  </si>
  <si>
    <t>10.12.2025 23:30:00</t>
  </si>
  <si>
    <t>44,46</t>
  </si>
  <si>
    <t>PvRecord { Timestamp = 10.12.2025 23:45:00, Index = 0, DirectGeometryFactor = 0, DiffuseGeometryFactor = 0,9095760221444958, CosSunElevation = 0, GlobalHorizontalIrradiance = 0, SunshineDuration = 0, DiffuseHorizontalIrradiance = 0, AmbientTemp = 2,8, WindSpeed = 44,46, SnowDepth = 0, Weight = 0, Age = 4,242304832245562, MeasuredPower = , HasMeasuredPower = False }</t>
  </si>
  <si>
    <t>10.12.2025 23:45:00</t>
  </si>
  <si>
    <t>PvRecord { Timestamp = 11.12.2025 00:00:00, Index = 0, DirectGeometryFactor = 0, DiffuseGeometryFactor = 0,9095760221444958, CosSunElevation = 0, GlobalHorizontalIrradiance = 0, SunshineDuration = 0, DiffuseHorizontalIrradiance = 0, AmbientTemp = 2,8, WindSpeed = 44,46, SnowDepth = 0, Weight = 0, Age = 4,2423333521336435, MeasuredPower = , HasMeasuredPower = False }</t>
  </si>
  <si>
    <t>11.12.2025 00:00:00</t>
  </si>
  <si>
    <t>PvRecord { Timestamp = 11.12.2025 00:15:00, Index = 0, DirectGeometryFactor = 0, DiffuseGeometryFactor = 0,9095760221444958, CosSunElevation = 0, GlobalHorizontalIrradiance = 0, SunshineDuration = 0, DiffuseHorizontalIrradiance = 0, AmbientTemp = 2,8, WindSpeed = 44,46, SnowDepth = 0, Weight = 0, Age = 4,242361872021725, MeasuredPower = , HasMeasuredPower = False }</t>
  </si>
  <si>
    <t>11.12.2025 00:15:00</t>
  </si>
  <si>
    <t>PvRecord { Timestamp = 11.12.2025 00:30:00,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4,242390391909806, MeasuredPower = , HasMeasuredPower = False }</t>
  </si>
  <si>
    <t>11.12.2025 00:30:00</t>
  </si>
  <si>
    <t>PvRecord { Timestamp = 11.12.2025 00:45:00,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4,242418911797888, MeasuredPower = , HasMeasuredPower = False }</t>
  </si>
  <si>
    <t>11.12.2025 00:45:00</t>
  </si>
  <si>
    <t>PvRecord { Timestamp = 11.12.2025 01:00:00,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4,24244743168597, MeasuredPower = , HasMeasuredPower = False }</t>
  </si>
  <si>
    <t>11.12.2025 01:00:00</t>
  </si>
  <si>
    <t>PvRecord { Timestamp = 11.12.2025 01:15:00,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4,242475951574051, MeasuredPower = , HasMeasuredPower = False }</t>
  </si>
  <si>
    <t>11.12.2025 01:15:00</t>
  </si>
  <si>
    <t>PvRecord { Timestamp = 11.12.2025 01:30:00,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4,242504471462133, MeasuredPower = , HasMeasuredPower = False }</t>
  </si>
  <si>
    <t>11.12.2025 01:30:00</t>
  </si>
  <si>
    <t>PvRecord { Timestamp = 11.12.2025 01:45:00,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4,242532991350214, MeasuredPower = , HasMeasuredPower = False }</t>
  </si>
  <si>
    <t>11.12.2025 01:45:00</t>
  </si>
  <si>
    <t>PvRecord { Timestamp = 11.12.2025 02:00:00,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4,2425615112382955, MeasuredPower = , HasMeasuredPower = False }</t>
  </si>
  <si>
    <t>11.12.2025 02:00:00</t>
  </si>
  <si>
    <t>PvRecord { Timestamp = 11.12.2025 02:15:00,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4,242590031126378, MeasuredPower = , HasMeasuredPower = False }</t>
  </si>
  <si>
    <t>11.12.2025 02:15:00</t>
  </si>
  <si>
    <t>PvRecord { Timestamp = 11.12.2025 02:30:00, Index = 0, DirectGeometryFactor = 0, DiffuseGeometryFactor = 0,9095760221444958, CosSunElevation = 0, GlobalHorizontalIrradiance = 0, SunshineDuration = 0, DiffuseHorizontalIrradiance = 0, AmbientTemp = 2,9, WindSpeed = 57,06, SnowDepth = 0, Weight = 0, Age = 4,242618551014459, MeasuredPower = , HasMeasuredPower = False }</t>
  </si>
  <si>
    <t>11.12.2025 02:30:00</t>
  </si>
  <si>
    <t>57,06</t>
  </si>
  <si>
    <t>PvRecord { Timestamp = 11.12.2025 02:45:00, Index = 0, DirectGeometryFactor = 0, DiffuseGeometryFactor = 0,9095760221444958, CosSunElevation = 0, GlobalHorizontalIrradiance = 0, SunshineDuration = 0, DiffuseHorizontalIrradiance = 0, AmbientTemp = 2,9, WindSpeed = 57,06, SnowDepth = 0, Weight = 0, Age = 4,242647070902541, MeasuredPower = , HasMeasuredPower = False }</t>
  </si>
  <si>
    <t>11.12.2025 02:45:00</t>
  </si>
  <si>
    <t>PvRecord { Timestamp = 11.12.2025 03:00:00, Index = 0, DirectGeometryFactor = 0, DiffuseGeometryFactor = 0,9095760221444958, CosSunElevation = 0, GlobalHorizontalIrradiance = 0, SunshineDuration = 0, DiffuseHorizontalIrradiance = 0, AmbientTemp = 2,9, WindSpeed = 57,06, SnowDepth = 0, Weight = 0, Age = 4,242675590790622, MeasuredPower = , HasMeasuredPower = False }</t>
  </si>
  <si>
    <t>11.12.2025 03:00:00</t>
  </si>
  <si>
    <t>PvRecord { Timestamp = 11.12.2025 03:15:00, Index = 0, DirectGeometryFactor = 0, DiffuseGeometryFactor = 0,9095760221444958, CosSunElevation = 0, GlobalHorizontalIrradiance = 0, SunshineDuration = 0, DiffuseHorizontalIrradiance = 0, AmbientTemp = 2,9, WindSpeed = 57,06, SnowDepth = 0, Weight = 0, Age = 4,242704110678703, MeasuredPower = , HasMeasuredPower = False }</t>
  </si>
  <si>
    <t>11.12.2025 03:15:00</t>
  </si>
  <si>
    <t>PvRecord { Timestamp = 11.12.2025 03:30:00,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4,242732630566786, MeasuredPower = , HasMeasuredPower = False }</t>
  </si>
  <si>
    <t>11.12.2025 03:30:00</t>
  </si>
  <si>
    <t>PvRecord { Timestamp = 11.12.2025 03:45:00,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4,242761150454867, MeasuredPower = , HasMeasuredPower = False }</t>
  </si>
  <si>
    <t>11.12.2025 03:45:00</t>
  </si>
  <si>
    <t>PvRecord { Timestamp = 11.12.2025 04:00:00,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4,242789670342948, MeasuredPower = , HasMeasuredPower = False }</t>
  </si>
  <si>
    <t>11.12.2025 04:00:00</t>
  </si>
  <si>
    <t>PvRecord { Timestamp = 11.12.2025 04:15:00,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4,24281819023103, MeasuredPower = , HasMeasuredPower = False }</t>
  </si>
  <si>
    <t>11.12.2025 04:15:00</t>
  </si>
  <si>
    <t>PvRecord { Timestamp = 11.12.2025 04:30:00,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4,242846710119111, MeasuredPower = , HasMeasuredPower = False }</t>
  </si>
  <si>
    <t>11.12.2025 04:30:00</t>
  </si>
  <si>
    <t>PvRecord { Timestamp = 11.12.2025 04:45:00,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4,2428752300071935, MeasuredPower = , HasMeasuredPower = False }</t>
  </si>
  <si>
    <t>11.12.2025 04:45:00</t>
  </si>
  <si>
    <t>PvRecord { Timestamp = 11.12.2025 05:00:00,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4,242903749895275, MeasuredPower = , HasMeasuredPower = False }</t>
  </si>
  <si>
    <t>11.12.2025 05:00:00</t>
  </si>
  <si>
    <t>PvRecord { Timestamp = 11.12.2025 05:15:00,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4,242932269783356, MeasuredPower = , HasMeasuredPower = False }</t>
  </si>
  <si>
    <t>11.12.2025 05:15:00</t>
  </si>
  <si>
    <t>PvRecord { Timestamp = 11.12.2025 05:30:00, Index = 0, DirectGeometryFactor = 0, DiffuseGeometryFactor = 0,9095760221444958, CosSunElevation = 0, GlobalHorizontalIrradiance = 0, SunshineDuration = 0, DiffuseHorizontalIrradiance = 0, AmbientTemp = 2,85, WindSpeed = 66,78, SnowDepth = 0, Weight = 0, Age = 4,242960789671438, MeasuredPower = , HasMeasuredPower = False }</t>
  </si>
  <si>
    <t>11.12.2025 05:30:00</t>
  </si>
  <si>
    <t>66,78</t>
  </si>
  <si>
    <t>PvRecord { Timestamp = 11.12.2025 05:45:00, Index = 0, DirectGeometryFactor = 0, DiffuseGeometryFactor = 0,9095760221444958, CosSunElevation = 0, GlobalHorizontalIrradiance = 0, SunshineDuration = 0, DiffuseHorizontalIrradiance = 0, AmbientTemp = 2,85, WindSpeed = 66,78, SnowDepth = 0, Weight = 0, Age = 4,242989309559519, MeasuredPower = , HasMeasuredPower = False }</t>
  </si>
  <si>
    <t>11.12.2025 05:45:00</t>
  </si>
  <si>
    <t>PvRecord { Timestamp = 11.12.2025 06:00:00, Index = 0, DirectGeometryFactor = 0, DiffuseGeometryFactor = 0,9095760221444958, CosSunElevation = 0, GlobalHorizontalIrradiance = 0, SunshineDuration = 0, DiffuseHorizontalIrradiance = 0, AmbientTemp = 2,85, WindSpeed = 66,78, SnowDepth = 0, Weight = 0, Age = 4,243017829447601, MeasuredPower = , HasMeasuredPower = False }</t>
  </si>
  <si>
    <t>11.12.2025 06:00:00</t>
  </si>
  <si>
    <t>PvRecord { Timestamp = 11.12.2025 06:15:00, Index = 0, DirectGeometryFactor = 0, DiffuseGeometryFactor = 0,9095760221444958, CosSunElevation = 0, GlobalHorizontalIrradiance = 0, SunshineDuration = 0, DiffuseHorizontalIrradiance = 0, AmbientTemp = 2,85, WindSpeed = 66,78, SnowDepth = 0, Weight = 0, Age = 4,243046349335683, MeasuredPower = , HasMeasuredPower = False }</t>
  </si>
  <si>
    <t>11.12.2025 06:15:00</t>
  </si>
  <si>
    <t>PvRecord { Timestamp = 11.12.2025 06:30:00, Index = 0, DirectGeometryFactor = 0, DiffuseGeometryFactor = 0,9095760221444958, CosSunElevation = 0, GlobalHorizontalIrradiance = 0, SunshineDuration = 0, DiffuseHorizontalIrradiance = 0, AmbientTemp = 2,9, WindSpeed = 68,4, SnowDepth = 0, Weight = 0, Age = 4,243074869223764, MeasuredPower = , HasMeasuredPower = False }</t>
  </si>
  <si>
    <t>11.12.2025 06:30:00</t>
  </si>
  <si>
    <t>68,4</t>
  </si>
  <si>
    <t>PvRecord { Timestamp = 11.12.2025 06:45:00, Index = 0, DirectGeometryFactor = 0, DiffuseGeometryFactor = 0,9095760221444958, CosSunElevation = 0, GlobalHorizontalIrradiance = 0, SunshineDuration = 0, DiffuseHorizontalIrradiance = 0, AmbientTemp = 2,9, WindSpeed = 68,4, SnowDepth = 0, Weight = 0, Age = 4,2431033891118455, MeasuredPower = , HasMeasuredPower = False }</t>
  </si>
  <si>
    <t>11.12.2025 06:45:00</t>
  </si>
  <si>
    <t>PvRecord { Timestamp = 11.12.2025 07:00:00, Index = 0, DirectGeometryFactor = 0, DiffuseGeometryFactor = 0,9095760221444958, CosSunElevation = 0, GlobalHorizontalIrradiance = 0, SunshineDuration = 0, DiffuseHorizontalIrradiance = 0, AmbientTemp = 2,9, WindSpeed = 68,4, SnowDepth = 0, Weight = 0, Age = 4,243131908999927, MeasuredPower = , HasMeasuredPower = False }</t>
  </si>
  <si>
    <t>11.12.2025 07:00:00</t>
  </si>
  <si>
    <t>PvRecord { Timestamp = 11.12.2025 07:15:00, Index = 0, DirectGeometryFactor = 0, DiffuseGeometryFactor = 0,9095760221444958, CosSunElevation = 0, GlobalHorizontalIrradiance = 0, SunshineDuration = 0, DiffuseHorizontalIrradiance = 0, AmbientTemp = 2,9, WindSpeed = 68,4, SnowDepth = 0, Weight = 0, Age = 4,243160428888009, MeasuredPower = , HasMeasuredPower = False }</t>
  </si>
  <si>
    <t>11.12.2025 07:15:00</t>
  </si>
  <si>
    <t>PvRecord { Timestamp = 11.12.2025 07:30:00, Index = 0, DirectGeometryFactor = 0, DiffuseGeometryFactor = 0,9095760221444958, CosSunElevation = 0, GlobalHorizontalIrradiance = 0, SunshineDuration = 0, DiffuseHorizontalIrradiance = 0, AmbientTemp = 3,05, WindSpeed = 68,03999999999999, SnowDepth = 0, Weight = 0, Age = 4,2431889487760905, MeasuredPower = , HasMeasuredPower = False }</t>
  </si>
  <si>
    <t>11.12.2025 07:30:00</t>
  </si>
  <si>
    <t>PvRecord { Timestamp = 11.12.2025 07:45:00, Index = 0, DirectGeometryFactor = 0, DiffuseGeometryFactor = 0,9095760221444958, CosSunElevation = 0, GlobalHorizontalIrradiance = 0, SunshineDuration = 0, DiffuseHorizontalIrradiance = 0, AmbientTemp = 3,05, WindSpeed = 68,03999999999999, SnowDepth = 0, Weight = 0, Age = 4,243217468664172, MeasuredPower = , HasMeasuredPower = False }</t>
  </si>
  <si>
    <t>11.12.2025 07:45:00</t>
  </si>
  <si>
    <t>PvRecord { Timestamp = 11.12.2025 08:00:00, Index = 0, DirectGeometryFactor = 0, DiffuseGeometryFactor = 0,9095760221444958, CosSunElevation = 0,007580385822430293, GlobalHorizontalIrradiance = 0, SunshineDuration = 0, DiffuseHorizontalIrradiance = 0, AmbientTemp = 3,05, WindSpeed = 68,03999999999999, SnowDepth = 0, Weight = 0, Age = 4,243245988552253, MeasuredPower = , HasMeasuredPower = False }</t>
  </si>
  <si>
    <t>11.12.2025 08:00:00</t>
  </si>
  <si>
    <t>0,007580385822430293</t>
  </si>
  <si>
    <t>PvRecord { Timestamp = 11.12.2025 08:15:00, Index = 0, DirectGeometryFactor = 0,5254479895182814, DiffuseGeometryFactor = 0,9095760221444958, CosSunElevation = 0,039538803877492985, GlobalHorizontalIrradiance = 0, SunshineDuration = 0, DiffuseHorizontalIrradiance = 0, AmbientTemp = 3,05, WindSpeed = 68,03999999999999, SnowDepth = 0, Weight = 0, Age = 4,243274508440335, MeasuredPower = , HasMeasuredPower = False }</t>
  </si>
  <si>
    <t>11.12.2025 08:15:00</t>
  </si>
  <si>
    <t>0,5254479895182814</t>
  </si>
  <si>
    <t>0,039538803877492985</t>
  </si>
  <si>
    <t>PvRecord { Timestamp = 11.12.2025 08:30:00, Index = 0, DirectGeometryFactor = 0,5651062706455042, DiffuseGeometryFactor = 0,9095760221444958, CosSunElevation = 0,07214227098657876, GlobalHorizontalIrradiance = 310,84999999999997, SunshineDuration = 0, DiffuseHorizontalIrradiance = 15, AmbientTemp = 3,3499999999999996, WindSpeed = 65,34, SnowDepth = 0, Weight = 0, Age = 4,243303028328417, MeasuredPower = , HasMeasuredPower = False }</t>
  </si>
  <si>
    <t>11.12.2025 08:30:00</t>
  </si>
  <si>
    <t>0,5651062706455042</t>
  </si>
  <si>
    <t>0,07214227098657876</t>
  </si>
  <si>
    <t>65,34</t>
  </si>
  <si>
    <t>PvRecord { Timestamp = 11.12.2025 08:45:00, Index = 0, DirectGeometryFactor = 0,6026015880393585, DiffuseGeometryFactor = 0,9095760221444958, CosSunElevation = 0,1039925535793902, GlobalHorizontalIrradiance = 310,84999999999997, SunshineDuration = 0, DiffuseHorizontalIrradiance = 15, AmbientTemp = 3,3499999999999996, WindSpeed = 65,34, SnowDepth = 0, Weight = 0, Age = 4,243331548216498, MeasuredPower = , HasMeasuredPower = False }</t>
  </si>
  <si>
    <t>11.12.2025 08:45:00</t>
  </si>
  <si>
    <t>0,6026015880393585</t>
  </si>
  <si>
    <t>0,1039925535793902</t>
  </si>
  <si>
    <t>PvRecord { Timestamp = 11.12.2025 09:00:00, Index = 0, DirectGeometryFactor = 0,6374063192066146, DiffuseGeometryFactor = 0,9095760221444958, CosSunElevation = 0,134515826449638, GlobalHorizontalIrradiance = 310,84999999999997, SunshineDuration = 0, DiffuseHorizontalIrradiance = 15, AmbientTemp = 3,3499999999999996, WindSpeed = 65,34, SnowDepth = 0, Weight = 0, Age = 4,24336006810458, MeasuredPower = , HasMeasuredPower = False }</t>
  </si>
  <si>
    <t>11.12.2025 09:00:00</t>
  </si>
  <si>
    <t>0,6374063192066146</t>
  </si>
  <si>
    <t>0,134515826449638</t>
  </si>
  <si>
    <t>PvRecord { Timestamp = 11.12.2025 09:15:00, Index = 0, DirectGeometryFactor = 0,6692312510998294, DiffuseGeometryFactor = 0,9095760221444958, CosSunElevation = 0,16341371801543508, GlobalHorizontalIrradiance = 310,84999999999997, SunshineDuration = 0, DiffuseHorizontalIrradiance = 15, AmbientTemp = 3,3499999999999996, WindSpeed = 65,34, SnowDepth = 0, Weight = 0, Age = 4,243388587992661, MeasuredPower = , HasMeasuredPower = False }</t>
  </si>
  <si>
    <t>11.12.2025 09:15:00</t>
  </si>
  <si>
    <t>0,6692312510998294</t>
  </si>
  <si>
    <t>0,16341371801543508</t>
  </si>
  <si>
    <t>PvRecord { Timestamp = 11.12.2025 09:30:00, Index = 0, DirectGeometryFactor = 0,6978774353041989, DiffuseGeometryFactor = 0,9095760221444958, CosSunElevation = 0,19048731652168116, GlobalHorizontalIrradiance = 565,3833333333333, SunshineDuration = 0, DiffuseHorizontalIrradiance = 50, AmbientTemp = 3,65, WindSpeed = 61,92, SnowDepth = 0, Weight = 0, Age = 4,2434171078807426, MeasuredPower = , HasMeasuredPower = False }</t>
  </si>
  <si>
    <t>11.12.2025 09:30:00</t>
  </si>
  <si>
    <t>0,6978774353041989</t>
  </si>
  <si>
    <t>0,19048731652168116</t>
  </si>
  <si>
    <t>61,92</t>
  </si>
  <si>
    <t>PvRecord { Timestamp = 11.12.2025 09:45:00, Index = 0, DirectGeometryFactor = 0,7231905104191709, DiffuseGeometryFactor = 0,9095760221444958, CosSunElevation = 0,21558257934462746, GlobalHorizontalIrradiance = 565,3833333333333, SunshineDuration = 0, DiffuseHorizontalIrradiance = 50, AmbientTemp = 3,65, WindSpeed = 61,92, SnowDepth = 0, Weight = 0, Age = 4,243445627768825, MeasuredPower = , HasMeasuredPower = False }</t>
  </si>
  <si>
    <t>11.12.2025 09:45:00</t>
  </si>
  <si>
    <t>0,7231905104191709</t>
  </si>
  <si>
    <t>0,21558257934462746</t>
  </si>
  <si>
    <t>PvRecord { Timestamp = 11.12.2025 10:00:00, Index = 0, DirectGeometryFactor = 0,7450444947816045, DiffuseGeometryFactor = 0,9095760221444958, CosSunElevation = 0,23857084417275917, GlobalHorizontalIrradiance = 565,3833333333333, SunshineDuration = 0, DiffuseHorizontalIrradiance = 50, AmbientTemp = 3,65, WindSpeed = 61,92, SnowDepth = 0, Weight = 0, Age = 4,243474147656906, MeasuredPower = , HasMeasuredPower = False }</t>
  </si>
  <si>
    <t>11.12.2025 10:00:00</t>
  </si>
  <si>
    <t>0,7450444947816045</t>
  </si>
  <si>
    <t>0,23857084417275917</t>
  </si>
  <si>
    <t>PvRecord { Timestamp = 11.12.2025 10:15:00, Index = 0, DirectGeometryFactor = 0,7633353354229266, DiffuseGeometryFactor = 0,9095760221444958, CosSunElevation = 0,25934101544291727, GlobalHorizontalIrradiance = 565,3833333333333, SunshineDuration = 0, DiffuseHorizontalIrradiance = 50, AmbientTemp = 3,65, WindSpeed = 61,92, SnowDepth = 0, Weight = 0, Age = 4,243502667544988, MeasuredPower = , HasMeasuredPower = False }</t>
  </si>
  <si>
    <t>11.12.2025 10:15:00</t>
  </si>
  <si>
    <t>0,7633353354229266</t>
  </si>
  <si>
    <t>0,25934101544291727</t>
  </si>
  <si>
    <t>PvRecord { Timestamp = 11.12.2025 10:30:00, Index = 0, DirectGeometryFactor = 0,7779781300836772, DiffuseGeometryFactor = 0,9095760221444958, CosSunElevation = 0,2777961776934933, GlobalHorizontalIrradiance = 564,15, SunshineDuration = 0, DiffuseHorizontalIrradiance = 77, AmbientTemp = 3,95, WindSpeed = 57,96, SnowDepth = 0, Weight = 0, Age = 4,243531187433069, MeasuredPower = , HasMeasuredPower = False }</t>
  </si>
  <si>
    <t>11.12.2025 10:30:00</t>
  </si>
  <si>
    <t>0,7779781300836772</t>
  </si>
  <si>
    <t>0,2777961776934933</t>
  </si>
  <si>
    <t>564,15</t>
  </si>
  <si>
    <t>3,95</t>
  </si>
  <si>
    <t>57,96</t>
  </si>
  <si>
    <t>PvRecord { Timestamp = 11.12.2025 10:45:00, Index = 0, DirectGeometryFactor = 0,7889058727738341, DiffuseGeometryFactor = 0,9095760221444958, CosSunElevation = 0,2938520697755548, GlobalHorizontalIrradiance = 564,15, SunshineDuration = 0, DiffuseHorizontalIrradiance = 77, AmbientTemp = 3,95, WindSpeed = 57,96, SnowDepth = 0, Weight = 0, Age = 4,24355970732115, MeasuredPower = , HasMeasuredPower = False }</t>
  </si>
  <si>
    <t>11.12.2025 10:45:00</t>
  </si>
  <si>
    <t>0,7889058727738341</t>
  </si>
  <si>
    <t>0,2938520697755548</t>
  </si>
  <si>
    <t>PvRecord { Timestamp = 11.12.2025 11:00:00, Index = 0, DirectGeometryFactor = 0,7960688717021153, DiffuseGeometryFactor = 0,9095760221444958, CosSunElevation = 0,30743640237443076, GlobalHorizontalIrradiance = 564,15, SunshineDuration = 0, DiffuseHorizontalIrradiance = 77, AmbientTemp = 3,95, WindSpeed = 57,96, SnowDepth = 0, Weight = 0, Age = 4,243588227209233, MeasuredPower = , HasMeasuredPower = False }</t>
  </si>
  <si>
    <t>11.12.2025 11:00:00</t>
  </si>
  <si>
    <t>0,7960688717021153</t>
  </si>
  <si>
    <t>0,30743640237443076</t>
  </si>
  <si>
    <t>PvRecord { Timestamp = 11.12.2025 11:15:00, Index = 0, DirectGeometryFactor = 0,7994344694387394, DiffuseGeometryFactor = 0,9095760221444958, CosSunElevation = 0,31848857569951644, GlobalHorizontalIrradiance = 564,15, SunshineDuration = 0, DiffuseHorizontalIrradiance = 77, AmbientTemp = 3,95, WindSpeed = 57,96, SnowDepth = 0, Weight = 0, Age = 4,243616747097314, MeasuredPower = , HasMeasuredPower = False }</t>
  </si>
  <si>
    <t>11.12.2025 11:15:00</t>
  </si>
  <si>
    <t>0,7994344694387394</t>
  </si>
  <si>
    <t>0,31848857569951644</t>
  </si>
  <si>
    <t>PvRecord { Timestamp = 11.12.2025 11:30:00, Index = 0, DirectGeometryFactor = 0,7989868919542251, DiffuseGeometryFactor = 0,9095760221444958, CosSunElevation = 0,3269595893684809, GlobalHorizontalIrradiance = 564,2666666666667, SunshineDuration = 0, DiffuseHorizontalIrradiance = 93, AmbientTemp = 4,2, WindSpeed = 54,540000000000006, SnowDepth = 0, Weight = 0, Age = 4,2436452669853955, MeasuredPower = , HasMeasuredPower = False }</t>
  </si>
  <si>
    <t>11.12.2025 11:30:00</t>
  </si>
  <si>
    <t>0,7989868919542251</t>
  </si>
  <si>
    <t>0,3269595893684809</t>
  </si>
  <si>
    <t>PvRecord { Timestamp = 11.12.2025 11:45:00, Index = 0, DirectGeometryFactor = 0,7947271399931768, DiffuseGeometryFactor = 0,9095760221444958, CosSunElevation = 0,3328120403933942, GlobalHorizontalIrradiance = 564,2666666666667, SunshineDuration = 0, DiffuseHorizontalIrradiance = 93, AmbientTemp = 4,2, WindSpeed = 54,540000000000006, SnowDepth = 0, Weight = 0, Age = 4,243673786873477, MeasuredPower = , HasMeasuredPower = False }</t>
  </si>
  <si>
    <t>11.12.2025 11:45:00</t>
  </si>
  <si>
    <t>0,7947271399931768</t>
  </si>
  <si>
    <t>0,3328120403933942</t>
  </si>
  <si>
    <t>PvRecord { Timestamp = 11.12.2025 12:00:00, Index = 0, DirectGeometryFactor = 0,7866728776402317, DiffuseGeometryFactor = 0,9095760221444958, CosSunElevation = 0,336020154462875, GlobalHorizontalIrradiance = 564,2666666666667, SunshineDuration = 0, DiffuseHorizontalIrradiance = 93, AmbientTemp = 4,2, WindSpeed = 54,540000000000006, SnowDepth = 0, Weight = 0, Age = 4,243702306761558, MeasuredPower = , HasMeasuredPower = False }</t>
  </si>
  <si>
    <t>11.12.2025 12:00:00</t>
  </si>
  <si>
    <t>0,7866728776402317</t>
  </si>
  <si>
    <t>0,336020154462875</t>
  </si>
  <si>
    <t>PvRecord { Timestamp = 11.12.2025 12:15:00, Index = 0, DirectGeometryFactor = 0,7748582941607542, DiffuseGeometryFactor = 0,9095760221444958, CosSunElevation = 0,336569821119063, GlobalHorizontalIrradiance = 564,2666666666667, SunshineDuration = 0, DiffuseHorizontalIrradiance = 93, AmbientTemp = 4,2, WindSpeed = 54,540000000000006, SnowDepth = 0, Weight = 0, Age = 4,2437308266496405, MeasuredPower = , HasMeasuredPower = False }</t>
  </si>
  <si>
    <t>11.12.2025 12:15:00</t>
  </si>
  <si>
    <t>0,7748582941607542</t>
  </si>
  <si>
    <t>0,336569821119063</t>
  </si>
  <si>
    <t>PvRecord { Timestamp = 11.12.2025 12:30:00, Index = 0, DirectGeometryFactor = 0,7593339266253629, DiffuseGeometryFactor = 0,9095760221444958, CosSunElevation = 0,3344586170944357, GlobalHorizontalIrradiance = 564,35, SunshineDuration = 0, DiffuseHorizontalIrradiance = 97,5, AmbientTemp = 4,4, WindSpeed = 52,56, SnowDepth = 0, Weight = 0, Age = 4,243759346537722, MeasuredPower = , HasMeasuredPower = False }</t>
  </si>
  <si>
    <t>11.12.2025 12:30:00</t>
  </si>
  <si>
    <t>0,7593339266253629</t>
  </si>
  <si>
    <t>0,3344586170944357</t>
  </si>
  <si>
    <t>564,35</t>
  </si>
  <si>
    <t>52,56</t>
  </si>
  <si>
    <t>PvRecord { Timestamp = 11.12.2025 12:45:00, Index = 0, DirectGeometryFactor = 0,7401664381684214, DiffuseGeometryFactor = 0,9095760221444958, CosSunElevation = 0,32969581047717994, GlobalHorizontalIrradiance = 564,35, SunshineDuration = 0, DiffuseHorizontalIrradiance = 97,5, AmbientTemp = 4,4, WindSpeed = 52,56, SnowDepth = 0, Weight = 0, Age = 4,243787866425803, MeasuredPower = , HasMeasuredPower = False }</t>
  </si>
  <si>
    <t>11.12.2025 12:45:00</t>
  </si>
  <si>
    <t>0,7401664381684214</t>
  </si>
  <si>
    <t>0,32969581047717994</t>
  </si>
  <si>
    <t>PvRecord { Timestamp = 11.12.2025 13:00:00, Index = 0, DirectGeometryFactor = 0,7174383518399495, DiffuseGeometryFactor = 0,9095760221444958, CosSunElevation = 0,32230234460366297, GlobalHorizontalIrradiance = 564,35, SunshineDuration = 0, DiffuseHorizontalIrradiance = 97,5, AmbientTemp = 4,4, WindSpeed = 52,56, SnowDepth = 0, Weight = 0, Age = 4,243816386313885, MeasuredPower = , HasMeasuredPower = False }</t>
  </si>
  <si>
    <t>11.12.2025 13:00:00</t>
  </si>
  <si>
    <t>0,7174383518399495</t>
  </si>
  <si>
    <t>0,32230234460366297</t>
  </si>
  <si>
    <t>PvRecord { Timestamp = 11.12.2025 13:15:00, Index = 0, DirectGeometryFactor = 0,691247744716148, DiffuseGeometryFactor = 0,9095760221444958, CosSunElevation = 0,3123108062162187, GlobalHorizontalIrradiance = 564,35, SunshineDuration = 0, DiffuseHorizontalIrradiance = 97,5, AmbientTemp = 4,4, WindSpeed = 52,56, SnowDepth = 0, Weight = 0, Age = 4,243844906201966, MeasuredPower = , HasMeasuredPower = False }</t>
  </si>
  <si>
    <t>11.12.2025 13:15:00</t>
  </si>
  <si>
    <t>0,691247744716148</t>
  </si>
  <si>
    <t>0,3123108062162187</t>
  </si>
  <si>
    <t>PvRecord { Timestamp = 11.12.2025 13:30:00, Index = 0, DirectGeometryFactor = 0,6617079134037114, DiffuseGeometryFactor = 0,9095760221444958, CosSunElevation = 0,29976538975126577, GlobalHorizontalIrradiance = 0, SunshineDuration = 0, DiffuseHorizontalIrradiance = 0, AmbientTemp = 0, WindSpeed = 0, SnowDepth = 0, Weight = 0, Age = 4,243873426090048, MeasuredPower = , HasMeasuredPower = False }</t>
  </si>
  <si>
    <t>11.12.2025 13:30:00</t>
  </si>
  <si>
    <t>0,6617079134037114</t>
  </si>
  <si>
    <t>0,29976538975126577</t>
  </si>
  <si>
    <t>PvRecord { Timestamp = 11.12.2025 13:45:00, Index = 0, DirectGeometryFactor = 0,6289470310005298, DiffuseGeometryFactor = 0,9095760221444958, CosSunElevation = 0,2847218806507177, GlobalHorizontalIrradiance = 0, SunshineDuration = 0, DiffuseHorizontalIrradiance = 0, AmbientTemp = 0, WindSpeed = 0, SnowDepth = 0, Weight = 0, Age = 4,24390194597813, MeasuredPower = , HasMeasuredPower = False }</t>
  </si>
  <si>
    <t>11.12.2025 13:45:00</t>
  </si>
  <si>
    <t>0,6289470310005298</t>
  </si>
  <si>
    <t>0,2847218806507177</t>
  </si>
  <si>
    <t>PvRecord { Timestamp = 11.12.2025 14:00:00, Index = 0, DirectGeometryFactor = 0,5931078315090048, DiffuseGeometryFactor = 0,9095760221444958, CosSunElevation = 0,26724769989219294, GlobalHorizontalIrradiance = 0, SunshineDuration = 0, DiffuseHorizontalIrradiance = 0, AmbientTemp = 0, WindSpeed = 0, SnowDepth = 0, Weight = 0, Age = 4,243930465866211, MeasuredPower = , HasMeasuredPower = False }</t>
  </si>
  <si>
    <t>11.12.2025 14:00:00</t>
  </si>
  <si>
    <t>0,5931078315090048</t>
  </si>
  <si>
    <t>0,26724769989219294</t>
  </si>
  <si>
    <t>PvRecord { Timestamp = 11.12.2025 14:15:00, Index = 0, DirectGeometryFactor = 0,5543473889694397, DiffuseGeometryFactor = 0,9095760221444958, CosSunElevation = 0,2474220893217722, GlobalHorizontalIrradiance = 0, SunshineDuration = 0, DiffuseHorizontalIrradiance = 0, AmbientTemp = 0, WindSpeed = 0, SnowDepth = 0, Weight = 0, Age = 4,2439589857542925, MeasuredPower = , HasMeasuredPower = False }</t>
  </si>
  <si>
    <t>11.12.2025 14:15:00</t>
  </si>
  <si>
    <t>0,5543473889694397</t>
  </si>
  <si>
    <t>0,2474220893217722</t>
  </si>
  <si>
    <t>PvRecord { Timestamp = 11.12.2025 14:30:00, Index = 0, DirectGeometryFactor = 0,5128371206757487, DiffuseGeometryFactor = 0,9095760221444958, CosSunElevation = 0,22533659308226536, GlobalHorizontalIrradiance = 0, SunshineDuration = 0, DiffuseHorizontalIrradiance = 0, AmbientTemp = 0, WindSpeed = 0, SnowDepth = 0, Weight = 0, Age = 4,243987505642374, MeasuredPower = , HasMeasuredPower = False }</t>
  </si>
  <si>
    <t>11.12.2025 14:30:00</t>
  </si>
  <si>
    <t>0,5128371206757487</t>
  </si>
  <si>
    <t>0,22533659308226536</t>
  </si>
  <si>
    <t>PvRecord { Timestamp = 11.12.2025 14:45:00, Index = 0, DirectGeometryFactor = 0,46876328071241113, DiffuseGeometryFactor = 0,9095760221444958, CosSunElevation = 0,20109615657453064, GlobalHorizontalIrradiance = 0, SunshineDuration = 0, DiffuseHorizontalIrradiance = 0, AmbientTemp = 0, WindSpeed = 0, SnowDepth = 0, Weight = 0, Age = 4,244016025530456, MeasuredPower = , HasMeasuredPower = False }</t>
  </si>
  <si>
    <t>11.12.2025 14:45:00</t>
  </si>
  <si>
    <t>0,46876328071241113</t>
  </si>
  <si>
    <t>0,20109615657453064</t>
  </si>
  <si>
    <t>PvRecord { Timestamp = 11.12.2025 15:00:00, Index = 0, DirectGeometryFactor = 0,422328534675357, DiffuseGeometryFactor = 0,9095760221444958, CosSunElevation = 0,17482155781908906, GlobalHorizontalIrradiance = 0, SunshineDuration = 0, DiffuseHorizontalIrradiance = 0, AmbientTemp = 0, WindSpeed = 0, SnowDepth = 0, Weight = 0, Age = 4,244044545418538, MeasuredPower = , HasMeasuredPower = False }</t>
  </si>
  <si>
    <t>11.12.2025 15:00:00</t>
  </si>
  <si>
    <t>0,422328534675357</t>
  </si>
  <si>
    <t>0,17482155781908906</t>
  </si>
  <si>
    <t>PvRecord { Timestamp = 11.12.2025 15:15:00, Index = 0, DirectGeometryFactor = 0,3737560427634628, DiffuseGeometryFactor = 0,9095760221444958, CosSunElevation = 0,14665490150138044, GlobalHorizontalIrradiance = 0, SunshineDuration = 0, DiffuseHorizontalIrradiance = 0, AmbientTemp = 0, WindSpeed = 0, SnowDepth = 0, Weight = 0, Age = 4,244073065306619, MeasuredPower = , HasMeasuredPower = False }</t>
  </si>
  <si>
    <t>11.12.2025 15:15:00</t>
  </si>
  <si>
    <t>0,3737560427634628</t>
  </si>
  <si>
    <t>0,14665490150138044</t>
  </si>
  <si>
    <t>PvRecord { Timestamp = 11.12.2025 15:30:00, Index = 0, DirectGeometryFactor = 0,32329988597263215, DiffuseGeometryFactor = 0,9095760221444958, CosSunElevation = 0,11677282708830229, GlobalHorizontalIrradiance = 0, SunshineDuration = 0, DiffuseHorizontalIrradiance = 0, AmbientTemp = 0, WindSpeed = 0, SnowDepth = 0, Weight = 0, Age = 4,2441015851947, MeasuredPower = , HasMeasuredPower = False }</t>
  </si>
  <si>
    <t>11.12.2025 15:30:00</t>
  </si>
  <si>
    <t>0,32329988597263215</t>
  </si>
  <si>
    <t>0,11677282708830229</t>
  </si>
  <si>
    <t>PvRecord { Timestamp = 11.12.2025 15:45:00, Index = 0, DirectGeometryFactor = 0, DiffuseGeometryFactor = 0,9095760221444958, CosSunElevation = 0,08542162055576398, GlobalHorizontalIrradiance = 0, SunshineDuration = 0, DiffuseHorizontalIrradiance = 0, AmbientTemp = 0, WindSpeed = 0, SnowDepth = 0, Weight = 0, Age = 4,244130105082782, MeasuredPower = , HasMeasuredPower = False }</t>
  </si>
  <si>
    <t>11.12.2025 15:45:00</t>
  </si>
  <si>
    <t>0,08542162055576398</t>
  </si>
  <si>
    <t>PvRecord { Timestamp = 11.12.2025 16:00:00, Index = 0, DirectGeometryFactor = 0, DiffuseGeometryFactor = 0,9095760221444958, CosSunElevation = 0,05302405210222726, GlobalHorizontalIrradiance = 0, SunshineDuration = 0, DiffuseHorizontalIrradiance = 0, AmbientTemp = 0, WindSpeed = 0, SnowDepth = 0, Weight = 0, Age = 4,244158624970864, MeasuredPower = , HasMeasuredPower = False }</t>
  </si>
  <si>
    <t>11.12.2025 16:00:00</t>
  </si>
  <si>
    <t>0,05302405210222726</t>
  </si>
  <si>
    <t>PvRecord { Timestamp = 11.12.2025 16:15:00, Index = 0, DirectGeometryFactor = 0, DiffuseGeometryFactor = 0,9095760221444958, CosSunElevation = 0,020540403546821056, GlobalHorizontalIrradiance = 0, SunshineDuration = 0, DiffuseHorizontalIrradiance = 0, AmbientTemp = 0, WindSpeed = 0, SnowDepth = 0, Weight = 0, Age = 4,244187144858945, MeasuredPower = , HasMeasuredPower = False }</t>
  </si>
  <si>
    <t>11.12.2025 16:15:00</t>
  </si>
  <si>
    <t>0,020540403546821056</t>
  </si>
  <si>
    <t>PvRecord { Timestamp = 11.12.2025 16:30:00, Index = 0, DirectGeometryFactor = 0, DiffuseGeometryFactor = 0,9095760221444958, CosSunElevation = 0, GlobalHorizontalIrradiance = 0, SunshineDuration = 0, DiffuseHorizontalIrradiance = 0, AmbientTemp = 0, WindSpeed = 0, SnowDepth = 0, Weight = 0, Age = 4,244215664747027, MeasuredPower = , HasMeasuredPower = False }</t>
  </si>
  <si>
    <t>11.12.2025 16:30:00</t>
  </si>
  <si>
    <t>PvRecord { Timestamp = 11.12.2025 16:45:00, Index = 0, DirectGeometryFactor = 0, DiffuseGeometryFactor = 0,9095760221444958, CosSunElevation = 0, GlobalHorizontalIrradiance = 0, SunshineDuration = 0, DiffuseHorizontalIrradiance = 0, AmbientTemp = 0, WindSpeed = 0, SnowDepth = 0, Weight = 0, Age = 4,244244184635108, MeasuredPower = , HasMeasuredPower = False }</t>
  </si>
  <si>
    <t>11.12.2025 16:45:00</t>
  </si>
  <si>
    <t>PvRecord { Timestamp = 11.12.2025 17:00:00, Index = 0, DirectGeometryFactor = 0, DiffuseGeometryFactor = 0,9095760221444958, CosSunElevation = 0, GlobalHorizontalIrradiance = 0, SunshineDuration = 0, DiffuseHorizontalIrradiance = 0, AmbientTemp = 0, WindSpeed = 0, SnowDepth = 0, Weight = 0, Age = 4,24427270452319, MeasuredPower = , HasMeasuredPower = False }</t>
  </si>
  <si>
    <t>11.12.2025 17:00:00</t>
  </si>
  <si>
    <t>PvRecord { Timestamp = 11.12.2025 17:15:00, Index = 0, DirectGeometryFactor = 0, DiffuseGeometryFactor = 0,9095760221444958, CosSunElevation = 0, GlobalHorizontalIrradiance = 0, SunshineDuration = 0, DiffuseHorizontalIrradiance = 0, AmbientTemp = 0, WindSpeed = 0, SnowDepth = 0, Weight = 0, Age = 4,244301224411272, MeasuredPower = , HasMeasuredPower = False }</t>
  </si>
  <si>
    <t>11.12.2025 17:15:00</t>
  </si>
  <si>
    <t>PvRecord { Timestamp = 11.12.2025 17:30:00, Index = 0, DirectGeometryFactor = 0, DiffuseGeometryFactor = 0,9095760221444958, CosSunElevation = 0, GlobalHorizontalIrradiance = 0, SunshineDuration = 0, DiffuseHorizontalIrradiance = 0, AmbientTemp = 0, WindSpeed = 0, SnowDepth = 0, Weight = 0, Age = 4,244329744299353, MeasuredPower = , HasMeasuredPower = False }</t>
  </si>
  <si>
    <t>11.12.2025 17:30:00</t>
  </si>
  <si>
    <t>PvRecord { Timestamp = 11.12.2025 17:45:00, Index = 0, DirectGeometryFactor = 0, DiffuseGeometryFactor = 0,9095760221444958, CosSunElevation = 0, GlobalHorizontalIrradiance = 0, SunshineDuration = 0, DiffuseHorizontalIrradiance = 0, AmbientTemp = 0, WindSpeed = 0, SnowDepth = 0, Weight = 0, Age = 4,244358264187435, MeasuredPower = , HasMeasuredPower = False }</t>
  </si>
  <si>
    <t>11.12.2025 17:45:00</t>
  </si>
  <si>
    <t>PvRecord { Timestamp = 11.12.2025 18:00:00, Index = 0, DirectGeometryFactor = 0, DiffuseGeometryFactor = 0,9095760221444958, CosSunElevation = 0, GlobalHorizontalIrradiance = 0, SunshineDuration = 0, DiffuseHorizontalIrradiance = 0, AmbientTemp = 0, WindSpeed = 0, SnowDepth = 0, Weight = 0, Age = 4,244386784075516, MeasuredPower = , HasMeasuredPower = False }</t>
  </si>
  <si>
    <t>11.12.2025 18:00:00</t>
  </si>
  <si>
    <t>PvRecord { Timestamp = 11.12.2025 18:15:00, Index = 0, DirectGeometryFactor = 0, DiffuseGeometryFactor = 0,9095760221444958, CosSunElevation = 0, GlobalHorizontalIrradiance = 0, SunshineDuration = 0, DiffuseHorizontalIrradiance = 0, AmbientTemp = 0, WindSpeed = 0, SnowDepth = 0, Weight = 0, Age = 4,2444153039635975, MeasuredPower = , HasMeasuredPower = False }</t>
  </si>
  <si>
    <t>11.12.2025 18:15:00</t>
  </si>
  <si>
    <t>PvRecord { Timestamp = 11.12.2025 18:30:00, Index = 0, DirectGeometryFactor = 0, DiffuseGeometryFactor = 0,9095760221444958, CosSunElevation = 0, GlobalHorizontalIrradiance = 0, SunshineDuration = 0, DiffuseHorizontalIrradiance = 0, AmbientTemp = 0, WindSpeed = 0, SnowDepth = 0, Weight = 0, Age = 4,24444382385168, MeasuredPower = , HasMeasuredPower = False }</t>
  </si>
  <si>
    <t>11.12.2025 18:30:00</t>
  </si>
  <si>
    <t>PvRecord { Timestamp = 11.12.2025 18:45:00, Index = 0, DirectGeometryFactor = 0, DiffuseGeometryFactor = 0,9095760221444958, CosSunElevation = 0, GlobalHorizontalIrradiance = 0, SunshineDuration = 0, DiffuseHorizontalIrradiance = 0, AmbientTemp = 0, WindSpeed = 0, SnowDepth = 0, Weight = 0, Age = 4,244472343739761, MeasuredPower = , HasMeasuredPower = False }</t>
  </si>
  <si>
    <t>11.12.2025 18:45:00</t>
  </si>
  <si>
    <t>PvRecord { Timestamp = 11.12.2025 19:00:00, Index = 0, DirectGeometryFactor = 0, DiffuseGeometryFactor = 0,9095760221444958, CosSunElevation = 0, GlobalHorizontalIrradiance = 0, SunshineDuration = 0, DiffuseHorizontalIrradiance = 0, AmbientTemp = 0, WindSpeed = 0, SnowDepth = 0, Weight = 0, Age = 4,2445008636278425, MeasuredPower = , HasMeasuredPower = False }</t>
  </si>
  <si>
    <t>11.12.2025 19:00:00</t>
  </si>
  <si>
    <t>PvRecord { Timestamp = 11.12.2025 19:15:00, Index = 0, DirectGeometryFactor = 0, DiffuseGeometryFactor = 0,9095760221444958, CosSunElevation = 0, GlobalHorizontalIrradiance = 0, SunshineDuration = 0, DiffuseHorizontalIrradiance = 0, AmbientTemp = 0, WindSpeed = 0, SnowDepth = 0, Weight = 0, Age = 4,244529383515924, MeasuredPower = , HasMeasuredPower = False }</t>
  </si>
  <si>
    <t>11.12.2025 19:15:00</t>
  </si>
  <si>
    <t>PvRecord { Timestamp = 11.12.2025 19:30:00, Index = 0, DirectGeometryFactor = 0, DiffuseGeometryFactor = 0,9095760221444958, CosSunElevation = 0, GlobalHorizontalIrradiance = 0, SunshineDuration = 0, DiffuseHorizontalIrradiance = 0, AmbientTemp = 0, WindSpeed = 0, SnowDepth = 0, Weight = 0, Age = 4,244557903404006, MeasuredPower = , HasMeasuredPower = False }</t>
  </si>
  <si>
    <t>11.12.2025 19:30:00</t>
  </si>
  <si>
    <t>PvRecord { Timestamp = 11.12.2025 19:45:00, Index = 0, DirectGeometryFactor = 0, DiffuseGeometryFactor = 0,9095760221444958, CosSunElevation = 0, GlobalHorizontalIrradiance = 0, SunshineDuration = 0, DiffuseHorizontalIrradiance = 0, AmbientTemp = 0, WindSpeed = 0, SnowDepth = 0, Weight = 0, Age = 4,244586423292088, MeasuredPower = , HasMeasuredPower = False }</t>
  </si>
  <si>
    <t>11.12.2025 19:45:00</t>
  </si>
  <si>
    <t>PvRecord { Timestamp = 11.12.2025 20:00:00, Index = 0, DirectGeometryFactor = 0, DiffuseGeometryFactor = 0,9095760221444958, CosSunElevation = 0, GlobalHorizontalIrradiance = 0, SunshineDuration = 0, DiffuseHorizontalIrradiance = 0, AmbientTemp = 0, WindSpeed = 0, SnowDepth = 0, Weight = 0, Age = 4,244614943180169, MeasuredPower = , HasMeasuredPower = False }</t>
  </si>
  <si>
    <t>11.12.2025 20:00:00</t>
  </si>
  <si>
    <t>PvRecord { Timestamp = 11.12.2025 20:15:00, Index = 0, DirectGeometryFactor = 0, DiffuseGeometryFactor = 0,9095760221444958, CosSunElevation = 0, GlobalHorizontalIrradiance = 0, SunshineDuration = 0, DiffuseHorizontalIrradiance = 0, AmbientTemp = 0, WindSpeed = 0, SnowDepth = 0, Weight = 0, Age = 4,24464346306825, MeasuredPower = , HasMeasuredPower = False }</t>
  </si>
  <si>
    <t>11.12.2025 20:15:00</t>
  </si>
  <si>
    <t>PvRecord { Timestamp = 11.12.2025 20:30:00, Index = 0, DirectGeometryFactor = 0, DiffuseGeometryFactor = 0,9095760221444958, CosSunElevation = 0, GlobalHorizontalIrradiance = 0, SunshineDuration = 0, DiffuseHorizontalIrradiance = 0, AmbientTemp = 0, WindSpeed = 0, SnowDepth = 0, Weight = 0, Age = 4,244671982956332, MeasuredPower = , HasMeasuredPower = False }</t>
  </si>
  <si>
    <t>11.12.2025 20:30:00</t>
  </si>
  <si>
    <t>PvRecord { Timestamp = 11.12.2025 20:45:00, Index = 0, DirectGeometryFactor = 0, DiffuseGeometryFactor = 0,9095760221444958, CosSunElevation = 0, GlobalHorizontalIrradiance = 0, SunshineDuration = 0, DiffuseHorizontalIrradiance = 0, AmbientTemp = 0, WindSpeed = 0, SnowDepth = 0, Weight = 0, Age = 4,244700502844414, MeasuredPower = , HasMeasuredPower = False }</t>
  </si>
  <si>
    <t>11.12.2025 20:45:00</t>
  </si>
  <si>
    <t>PvRecord { Timestamp = 11.12.2025 21:00:00, Index = 0, DirectGeometryFactor = 0, DiffuseGeometryFactor = 0,9095760221444958, CosSunElevation = 0, GlobalHorizontalIrradiance = 0, SunshineDuration = 0, DiffuseHorizontalIrradiance = 0, AmbientTemp = 0, WindSpeed = 0, SnowDepth = 0, Weight = 0, Age = 4,244729022732495, MeasuredPower = , HasMeasuredPower = False }</t>
  </si>
  <si>
    <t>11.12.2025 21:00:00</t>
  </si>
  <si>
    <t>PvRecord { Timestamp = 11.12.2025 21:15:00, Index = 0, DirectGeometryFactor = 0, DiffuseGeometryFactor = 0,9095760221444958, CosSunElevation = 0, GlobalHorizontalIrradiance = 0, SunshineDuration = 0, DiffuseHorizontalIrradiance = 0, AmbientTemp = 0, WindSpeed = 0, SnowDepth = 0, Weight = 0, Age = 4,244757542620577, MeasuredPower = , HasMeasuredPower = False }</t>
  </si>
  <si>
    <t>11.12.2025 21:15:00</t>
  </si>
  <si>
    <t>PvRecord { Timestamp = 11.12.2025 21:30:00, Index = 0, DirectGeometryFactor = 0, DiffuseGeometryFactor = 0,9095760221444958, CosSunElevation = 0, GlobalHorizontalIrradiance = 0, SunshineDuration = 0, DiffuseHorizontalIrradiance = 0, AmbientTemp = 0, WindSpeed = 0, SnowDepth = 0, Weight = 0, Age = 4,244786062508658, MeasuredPower = , HasMeasuredPower = False }</t>
  </si>
  <si>
    <t>11.12.2025 21:30:00</t>
  </si>
  <si>
    <t>PvRecord { Timestamp = 11.12.2025 21:45:00, Index = 0, DirectGeometryFactor = 0, DiffuseGeometryFactor = 0,9095760221444958, CosSunElevation = 0, GlobalHorizontalIrradiance = 0, SunshineDuration = 0, DiffuseHorizontalIrradiance = 0, AmbientTemp = 0, WindSpeed = 0, SnowDepth = 0, Weight = 0, Age = 4,24481458239674, MeasuredPower = , HasMeasuredPower = False }</t>
  </si>
  <si>
    <t>11.12.2025 21:45:00</t>
  </si>
  <si>
    <t>PvRecord { Timestamp = 11.12.2025 22:00:00, Index = 0, DirectGeometryFactor = 0, DiffuseGeometryFactor = 0,9095760221444958, CosSunElevation = 0, GlobalHorizontalIrradiance = 0, SunshineDuration = 0, DiffuseHorizontalIrradiance = 0, AmbientTemp = 0, WindSpeed = 0, SnowDepth = 0, Weight = 0, Age = 4,244843102284822, MeasuredPower = , HasMeasuredPower = False }</t>
  </si>
  <si>
    <t>11.12.2025 22:00:00</t>
  </si>
  <si>
    <t>PvRecord { Timestamp = 11.12.2025 22:15:00, Index = 0, DirectGeometryFactor = 0, DiffuseGeometryFactor = 0,9095760221444958, CosSunElevation = 0, GlobalHorizontalIrradiance = 0, SunshineDuration = 0, DiffuseHorizontalIrradiance = 0, AmbientTemp = 0, WindSpeed = 0, SnowDepth = 0, Weight = 0, Age = 4,244871622172903, MeasuredPower = , HasMeasuredPower = False }</t>
  </si>
  <si>
    <t>11.12.2025 22:15:00</t>
  </si>
  <si>
    <t>PvRecord { Timestamp = 11.12.2025 22:30:00, Index = 0, DirectGeometryFactor = 0, DiffuseGeometryFactor = 0,9095760221444958, CosSunElevation = 0, GlobalHorizontalIrradiance = 0, SunshineDuration = 0, DiffuseHorizontalIrradiance = 0, AmbientTemp = 0, WindSpeed = 0, SnowDepth = 0, Weight = 0, Age = 4,244900142060985, MeasuredPower = , HasMeasuredPower = False }</t>
  </si>
  <si>
    <t>11.12.2025 22:30:00</t>
  </si>
  <si>
    <t>PvRecord { Timestamp = 11.12.2025 22:45:00, Index = 0, DirectGeometryFactor = 0, DiffuseGeometryFactor = 0,9095760221444958, CosSunElevation = 0, GlobalHorizontalIrradiance = 0, SunshineDuration = 0, DiffuseHorizontalIrradiance = 0, AmbientTemp = 0, WindSpeed = 0, SnowDepth = 0, Weight = 0, Age = 4,244928661949066, MeasuredPower = , HasMeasuredPower = False }</t>
  </si>
  <si>
    <t>11.12.2025 22:45:00</t>
  </si>
  <si>
    <t>PvRecord { Timestamp = 11.12.2025 23:00:00, Index = 0, DirectGeometryFactor = 0, DiffuseGeometryFactor = 0,9095760221444958, CosSunElevation = 0, GlobalHorizontalIrradiance = 0, SunshineDuration = 0, DiffuseHorizontalIrradiance = 0, AmbientTemp = 0, WindSpeed = 0, SnowDepth = 0, Weight = 0, Age = 4,244957181837147, MeasuredPower = , HasMeasuredPower = False }</t>
  </si>
  <si>
    <t>11.12.2025 23:00:00</t>
  </si>
  <si>
    <t>PvRecord { Timestamp = 11.12.2025 23:15:00, Index = 0, DirectGeometryFactor = 0, DiffuseGeometryFactor = 0,9095760221444958, CosSunElevation = 0, GlobalHorizontalIrradiance = 0, SunshineDuration = 0, DiffuseHorizontalIrradiance = 0, AmbientTemp = 0, WindSpeed = 0, SnowDepth = 0, Weight = 0, Age = 4,24498570172523, MeasuredPower = , HasMeasuredPower = False }</t>
  </si>
  <si>
    <t>11.12.2025 23:15:00</t>
  </si>
  <si>
    <t>PvRecord { Timestamp = 11.12.2025 23:30:00, Index = 0, DirectGeometryFactor = 0, DiffuseGeometryFactor = 0,9095760221444958, CosSunElevation = 0, GlobalHorizontalIrradiance = 0, SunshineDuration = 0, DiffuseHorizontalIrradiance = 0, AmbientTemp = 0, WindSpeed = 0, SnowDepth = 0, Weight = 0, Age = 4,245014221613311, MeasuredPower = , HasMeasuredPower = False }</t>
  </si>
  <si>
    <t>11.12.2025 23:30:00</t>
  </si>
  <si>
    <t>PvRecord { Timestamp = 11.12.2025 23:45:00, Index = 0, DirectGeometryFactor = 0, DiffuseGeometryFactor = 0,9095760221444958, CosSunElevation = 0, GlobalHorizontalIrradiance = 0, SunshineDuration = 0, DiffuseHorizontalIrradiance = 0, AmbientTemp = 0, WindSpeed = 0, SnowDepth = 0, Weight = 0, Age = 4,2450427415013925, MeasuredPower = , HasMeasuredPower = False }</t>
  </si>
  <si>
    <t>11.12.2025 23:45:00</t>
  </si>
  <si>
    <t>PvRecord { Timestamp = 12.12.2025 00:00:00, Index = 0, DirectGeometryFactor = 0, DiffuseGeometryFactor = 0,9095760221444958, CosSunElevation = 0, GlobalHorizontalIrradiance = 0, SunshineDuration = 0, DiffuseHorizontalIrradiance = 0, AmbientTemp = 0, WindSpeed = 0, SnowDepth = 0, Weight = 0, Age = 4,245071261389474, MeasuredPower = , HasMeasuredPower = False }</t>
  </si>
  <si>
    <t>12.12.2025 00:00:00</t>
  </si>
  <si>
    <t>PvRecord { Timestamp = 12.12.2025 00:15:00, Index = 0, DirectGeometryFactor = 0, DiffuseGeometryFactor = 0,9095760221444958, CosSunElevation = 0, GlobalHorizontalIrradiance = 0, SunshineDuration = 0, DiffuseHorizontalIrradiance = 0, AmbientTemp = 0, WindSpeed = 0, SnowDepth = 0, Weight = 0, Age = 4,245099781277555, MeasuredPower = , HasMeasuredPower = False }</t>
  </si>
  <si>
    <t>12.12.2025 00:15:00</t>
  </si>
  <si>
    <t>PvRecord { Timestamp = 12.12.2025 00:30:00, Index = 0, DirectGeometryFactor = 0, DiffuseGeometryFactor = 0,9095760221444958, CosSunElevation = 0, GlobalHorizontalIrradiance = 0, SunshineDuration = 0, DiffuseHorizontalIrradiance = 0, AmbientTemp = 0, WindSpeed = 0, SnowDepth = 0, Weight = 0, Age = 4,2451283011656376, MeasuredPower = , HasMeasuredPower = False }</t>
  </si>
  <si>
    <t>12.12.2025 00:30:00</t>
  </si>
  <si>
    <t>PvRecord { Timestamp = 12.12.2025 00:45:00, Index = 0, DirectGeometryFactor = 0, DiffuseGeometryFactor = 0,9095760221444958, CosSunElevation = 0, GlobalHorizontalIrradiance = 0, SunshineDuration = 0, DiffuseHorizontalIrradiance = 0, AmbientTemp = 0, WindSpeed = 0, SnowDepth = 0, Weight = 0, Age = 4,245156821053719, MeasuredPower = , HasMeasuredPower = False }</t>
  </si>
  <si>
    <t>12.12.2025 00:45:00</t>
  </si>
  <si>
    <t>PvRecord { Timestamp = 12.12.2025 01:00:00, Index = 0, DirectGeometryFactor = 0, DiffuseGeometryFactor = 0,9095760221444958, CosSunElevation = 0, GlobalHorizontalIrradiance = 0, SunshineDuration = 0, DiffuseHorizontalIrradiance = 0, AmbientTemp = 0, WindSpeed = 0, SnowDepth = 0, Weight = 0, Age = 4,2451853409418, MeasuredPower = , HasMeasuredPower = False }</t>
  </si>
  <si>
    <t>12.12.2025 01:00:00</t>
  </si>
  <si>
    <t>PvRecord { Timestamp = 12.12.2025 01:15:00, Index = 0, DirectGeometryFactor = 0, DiffuseGeometryFactor = 0,9095760221444958, CosSunElevation = 0, GlobalHorizontalIrradiance = 0, SunshineDuration = 0, DiffuseHorizontalIrradiance = 0, AmbientTemp = 0, WindSpeed = 0, SnowDepth = 0, Weight = 0, Age = 4,245213860829882, MeasuredPower = , HasMeasuredPower = False }</t>
  </si>
  <si>
    <t>12.12.2025 01:15:00</t>
  </si>
  <si>
    <t>PvRecord { Timestamp = 12.12.2025 01:30:00, Index = 0, DirectGeometryFactor = 0, DiffuseGeometryFactor = 0,9095760221444958, CosSunElevation = 0, GlobalHorizontalIrradiance = 0, SunshineDuration = 0, DiffuseHorizontalIrradiance = 0, AmbientTemp = 0, WindSpeed = 0, SnowDepth = 0, Weight = 0, Age = 4,245242380717963, MeasuredPower = , HasMeasuredPower = False }</t>
  </si>
  <si>
    <t>12.12.2025 01:30:00</t>
  </si>
  <si>
    <t>PvRecord { Timestamp = 12.12.2025 01:45:00, Index = 0, DirectGeometryFactor = 0, DiffuseGeometryFactor = 0,9095760221444958, CosSunElevation = 0, GlobalHorizontalIrradiance = 0, SunshineDuration = 0, DiffuseHorizontalIrradiance = 0, AmbientTemp = 0, WindSpeed = 0, SnowDepth = 0, Weight = 0, Age = 4,245270900606045, MeasuredPower = , HasMeasuredPower = False }</t>
  </si>
  <si>
    <t>12.12.2025 01:45:00</t>
  </si>
  <si>
    <t>PvRecord { Timestamp = 12.12.2025 02:00:00, Index = 0, DirectGeometryFactor = 0, DiffuseGeometryFactor = 0,9095760221444958, CosSunElevation = 0, GlobalHorizontalIrradiance = 0, SunshineDuration = 0, DiffuseHorizontalIrradiance = 0, AmbientTemp = 0, WindSpeed = 0, SnowDepth = 0, Weight = 0, Age = 4,245299420494127, MeasuredPower = , HasMeasuredPower = False }</t>
  </si>
  <si>
    <t>12.12.2025 02:00:00</t>
  </si>
  <si>
    <t>PvRecord { Timestamp = 12.12.2025 02:15:00, Index = 0, DirectGeometryFactor = 0, DiffuseGeometryFactor = 0,9095760221444958, CosSunElevation = 0, GlobalHorizontalIrradiance = 0, SunshineDuration = 0, DiffuseHorizontalIrradiance = 0, AmbientTemp = 0, WindSpeed = 0, SnowDepth = 0, Weight = 0, Age = 4,245327940382208, MeasuredPower = , HasMeasuredPower = False }</t>
  </si>
  <si>
    <t>12.12.2025 02:15:00</t>
  </si>
  <si>
    <t>PvRecord { Timestamp = 12.12.2025 02:30:00, Index = 0, DirectGeometryFactor = 0, DiffuseGeometryFactor = 0,9095760221444958, CosSunElevation = 0, GlobalHorizontalIrradiance = 0, SunshineDuration = 0, DiffuseHorizontalIrradiance = 0, AmbientTemp = 0, WindSpeed = 0, SnowDepth = 0, Weight = 0, Age = 4,24535646027029, MeasuredPower = , HasMeasuredPower = False }</t>
  </si>
  <si>
    <t>12.12.2025 02:30:00</t>
  </si>
  <si>
    <t>PvRecord { Timestamp = 12.12.2025 02:45:00, Index = 0, DirectGeometryFactor = 0, DiffuseGeometryFactor = 0,9095760221444958, CosSunElevation = 0, GlobalHorizontalIrradiance = 0, SunshineDuration = 0, DiffuseHorizontalIrradiance = 0, AmbientTemp = 0, WindSpeed = 0, SnowDepth = 0, Weight = 0, Age = 4,245384980158371, MeasuredPower = , HasMeasuredPower = False }</t>
  </si>
  <si>
    <t>12.12.2025 02:45:00</t>
  </si>
  <si>
    <t>PvRecord { Timestamp = 12.12.2025 03:00:00, Index = 0, DirectGeometryFactor = 0, DiffuseGeometryFactor = 0,9095760221444958, CosSunElevation = 0, GlobalHorizontalIrradiance = 0, SunshineDuration = 0, DiffuseHorizontalIrradiance = 0, AmbientTemp = 0, WindSpeed = 0, SnowDepth = 0, Weight = 0, Age = 4,245413500046453, MeasuredPower = , HasMeasuredPower = False }</t>
  </si>
  <si>
    <t>12.12.2025 03:00:00</t>
  </si>
  <si>
    <t>PvRecord { Timestamp = 12.12.2025 03:15:00, Index = 0, DirectGeometryFactor = 0, DiffuseGeometryFactor = 0,9095760221444958, CosSunElevation = 0, GlobalHorizontalIrradiance = 0, SunshineDuration = 0, DiffuseHorizontalIrradiance = 0, AmbientTemp = 0, WindSpeed = 0, SnowDepth = 0, Weight = 0, Age = 4,245442019934535, MeasuredPower = , HasMeasuredPower = False }</t>
  </si>
  <si>
    <t>12.12.2025 03:15:00</t>
  </si>
  <si>
    <t>PvRecord { Timestamp = 12.12.2025 03:30:00, Index = 0, DirectGeometryFactor = 0, DiffuseGeometryFactor = 0,9095760221444958, CosSunElevation = 0, GlobalHorizontalIrradiance = 0, SunshineDuration = 0, DiffuseHorizontalIrradiance = 0, AmbientTemp = 0, WindSpeed = 0, SnowDepth = 0, Weight = 0, Age = 4,245470539822616, MeasuredPower = , HasMeasuredPower = False }</t>
  </si>
  <si>
    <t>12.12.2025 03:30:00</t>
  </si>
  <si>
    <t>PvRecord { Timestamp = 12.12.2025 03:45:00, Index = 0, DirectGeometryFactor = 0, DiffuseGeometryFactor = 0,9095760221444958, CosSunElevation = 0, GlobalHorizontalIrradiance = 0, SunshineDuration = 0, DiffuseHorizontalIrradiance = 0, AmbientTemp = 0, WindSpeed = 0, SnowDepth = 0, Weight = 0, Age = 4,245499059710697, MeasuredPower = , HasMeasuredPower = False }</t>
  </si>
  <si>
    <t>12.12.2025 03:45:00</t>
  </si>
  <si>
    <t>PvRecord { Timestamp = 12.12.2025 04:00:00, Index = 0, DirectGeometryFactor = 0, DiffuseGeometryFactor = 0,9095760221444958, CosSunElevation = 0, GlobalHorizontalIrradiance = 0, SunshineDuration = 0, DiffuseHorizontalIrradiance = 0, AmbientTemp = 0, WindSpeed = 0, SnowDepth = 0, Weight = 0, Age = 4,245527579598779, MeasuredPower = , HasMeasuredPower = False }</t>
  </si>
  <si>
    <t>12.12.2025 04:00:00</t>
  </si>
  <si>
    <t>PvRecord { Timestamp = 12.12.2025 04:15:00, Index = 0, DirectGeometryFactor = 0, DiffuseGeometryFactor = 0,9095760221444958, CosSunElevation = 0, GlobalHorizontalIrradiance = 0, SunshineDuration = 0, DiffuseHorizontalIrradiance = 0, AmbientTemp = 0, WindSpeed = 0, SnowDepth = 0, Weight = 0, Age = 4,245556099486861, MeasuredPower = , HasMeasuredPower = False }</t>
  </si>
  <si>
    <t>12.12.2025 04:15:00</t>
  </si>
  <si>
    <t>PvRecord { Timestamp = 12.12.2025 04:30:00, Index = 0, DirectGeometryFactor = 0, DiffuseGeometryFactor = 0,9095760221444958, CosSunElevation = 0, GlobalHorizontalIrradiance = 0, SunshineDuration = 0, DiffuseHorizontalIrradiance = 0, AmbientTemp = 0, WindSpeed = 0, SnowDepth = 0, Weight = 0, Age = 4,2455846193749425, MeasuredPower = , HasMeasuredPower = False }</t>
  </si>
  <si>
    <t>12.12.2025 04:30:00</t>
  </si>
  <si>
    <t>PvRecord { Timestamp = 12.12.2025 04:45:00, Index = 0, DirectGeometryFactor = 0, DiffuseGeometryFactor = 0,9095760221444958, CosSunElevation = 0, GlobalHorizontalIrradiance = 0, SunshineDuration = 0, DiffuseHorizontalIrradiance = 0, AmbientTemp = 0, WindSpeed = 0, SnowDepth = 0, Weight = 0, Age = 4,245613139263024, MeasuredPower = , HasMeasuredPower = False }</t>
  </si>
  <si>
    <t>12.12.2025 04:45:00</t>
  </si>
  <si>
    <t>PvRecord { Timestamp = 12.12.2025 05:00:00, Index = 0, DirectGeometryFactor = 0, DiffuseGeometryFactor = 0,9095760221444958, CosSunElevation = 0, GlobalHorizontalIrradiance = 0, SunshineDuration = 0, DiffuseHorizontalIrradiance = 0, AmbientTemp = 0, WindSpeed = 0, SnowDepth = 0, Weight = 0, Age = 4,245641659151105, MeasuredPower = , HasMeasuredPower = False }</t>
  </si>
  <si>
    <t>12.12.2025 05:00:00</t>
  </si>
  <si>
    <t>PvRecord { Timestamp = 12.12.2025 05:15:00, Index = 0, DirectGeometryFactor = 0, DiffuseGeometryFactor = 0,9095760221444958, CosSunElevation = 0, GlobalHorizontalIrradiance = 0, SunshineDuration = 0, DiffuseHorizontalIrradiance = 0, AmbientTemp = 0, WindSpeed = 0, SnowDepth = 0, Weight = 0, Age = 4,245670179039187, MeasuredPower = , HasMeasuredPower = False }</t>
  </si>
  <si>
    <t>12.12.2025 05:15:00</t>
  </si>
  <si>
    <t>PvRecord { Timestamp = 12.12.2025 05:30:00, Index = 0, DirectGeometryFactor = 0, DiffuseGeometryFactor = 0,9095760221444958, CosSunElevation = 0, GlobalHorizontalIrradiance = 0, SunshineDuration = 0, DiffuseHorizontalIrradiance = 0, AmbientTemp = 0, WindSpeed = 0, SnowDepth = 0, Weight = 0, Age = 4,245698698927269, MeasuredPower = , HasMeasuredPower = False }</t>
  </si>
  <si>
    <t>12.12.2025 05:30:00</t>
  </si>
  <si>
    <t>PvRecord { Timestamp = 12.12.2025 05:45:00, Index = 0, DirectGeometryFactor = 0, DiffuseGeometryFactor = 0,9095760221444958, CosSunElevation = 0, GlobalHorizontalIrradiance = 0, SunshineDuration = 0, DiffuseHorizontalIrradiance = 0, AmbientTemp = 0, WindSpeed = 0, SnowDepth = 0, Weight = 0, Age = 4,24572721881535, MeasuredPower = , HasMeasuredPower = False }</t>
  </si>
  <si>
    <t>12.12.2025 05:45:00</t>
  </si>
  <si>
    <t>PvRecord { Timestamp = 12.12.2025 06:00:00, Index = 0, DirectGeometryFactor = 0, DiffuseGeometryFactor = 0,9095760221444958, CosSunElevation = 0, GlobalHorizontalIrradiance = 0, SunshineDuration = 0, DiffuseHorizontalIrradiance = 0, AmbientTemp = 0, WindSpeed = 0, SnowDepth = 0, Weight = 0, Age = 4,245755738703432, MeasuredPower = , HasMeasuredPower = False }</t>
  </si>
  <si>
    <t>12.12.2025 06:00:00</t>
  </si>
  <si>
    <t>PvRecord { Timestamp = 12.12.2025 06:15:00, Index = 0, DirectGeometryFactor = 0, DiffuseGeometryFactor = 0,9095760221444958, CosSunElevation = 0, GlobalHorizontalIrradiance = 0, SunshineDuration = 0, DiffuseHorizontalIrradiance = 0, AmbientTemp = 0, WindSpeed = 0, SnowDepth = 0, Weight = 0, Age = 4,245784258591513, MeasuredPower = , HasMeasuredPower = False }</t>
  </si>
  <si>
    <t>12.12.2025 06:15:00</t>
  </si>
  <si>
    <t>PvRecord { Timestamp = 12.12.2025 06:30:00, Index = 0, DirectGeometryFactor = 0, DiffuseGeometryFactor = 0,9095760221444958, CosSunElevation = 0, GlobalHorizontalIrradiance = 0, SunshineDuration = 0, DiffuseHorizontalIrradiance = 0, AmbientTemp = 0, WindSpeed = 0, SnowDepth = 0, Weight = 0, Age = 4,2458127784795945, MeasuredPower = , HasMeasuredPower = False }</t>
  </si>
  <si>
    <t>12.12.2025 06:30:00</t>
  </si>
  <si>
    <t>PvRecord { Timestamp = 12.12.2025 06:45:00, Index = 0, DirectGeometryFactor = 0, DiffuseGeometryFactor = 0,9095760221444958, CosSunElevation = 0, GlobalHorizontalIrradiance = 0, SunshineDuration = 0, DiffuseHorizontalIrradiance = 0, AmbientTemp = 0, WindSpeed = 0, SnowDepth = 0, Weight = 0, Age = 4,245841298367677, MeasuredPower = , HasMeasuredPower = False }</t>
  </si>
  <si>
    <t>12.12.2025 06:45:00</t>
  </si>
  <si>
    <t>PvRecord { Timestamp = 12.12.2025 07:00:00, Index = 0, DirectGeometryFactor = 0, DiffuseGeometryFactor = 0,9095760221444958, CosSunElevation = 0, GlobalHorizontalIrradiance = 0, SunshineDuration = 0, DiffuseHorizontalIrradiance = 0, AmbientTemp = 0, WindSpeed = 0, SnowDepth = 0, Weight = 0, Age = 4,245869818255758, MeasuredPower = , HasMeasuredPower = False }</t>
  </si>
  <si>
    <t>12.12.2025 07:00:00</t>
  </si>
  <si>
    <t>PvRecord { Timestamp = 12.12.2025 07:15:00, Index = 0, DirectGeometryFactor = 0, DiffuseGeometryFactor = 0,9095760221444958, CosSunElevation = 0, GlobalHorizontalIrradiance = 0, SunshineDuration = 0, DiffuseHorizontalIrradiance = 0, AmbientTemp = 0, WindSpeed = 0, SnowDepth = 0, Weight = 0, Age = 4,2458983381438395, MeasuredPower = , HasMeasuredPower = False }</t>
  </si>
  <si>
    <t>12.12.2025 07:15:00</t>
  </si>
  <si>
    <t>PvRecord { Timestamp = 12.12.2025 07:30:00, Index = 0, DirectGeometryFactor = 0, DiffuseGeometryFactor = 0,9095760221444958, CosSunElevation = 0, GlobalHorizontalIrradiance = 0, SunshineDuration = 0, DiffuseHorizontalIrradiance = 0, AmbientTemp = 0, WindSpeed = 0, SnowDepth = 0, Weight = 0, Age = 4,245926858031921, MeasuredPower = , HasMeasuredPower = False }</t>
  </si>
  <si>
    <t>12.12.2025 07:30:00</t>
  </si>
  <si>
    <t>PvRecord { Timestamp = 12.12.2025 07:45:00, Index = 0, DirectGeometryFactor = 0, DiffuseGeometryFactor = 0,9095760221444958, CosSunElevation = 0, GlobalHorizontalIrradiance = 0, SunshineDuration = 0, DiffuseHorizontalIrradiance = 0, AmbientTemp = 0, WindSpeed = 0, SnowDepth = 0, Weight = 0, Age = 4,245955377920002, MeasuredPower = , HasMeasuredPower = False }</t>
  </si>
  <si>
    <t>12.12.2025 07:45:00</t>
  </si>
  <si>
    <t>PvRecord { Timestamp = 12.12.2025 08:00:00, Index = 0, DirectGeometryFactor = 0, DiffuseGeometryFactor = 0,9095760221444958, CosSunElevation = 0,005725154439789958, GlobalHorizontalIrradiance = 0, SunshineDuration = 0, DiffuseHorizontalIrradiance = 0, AmbientTemp = 0, WindSpeed = 0, SnowDepth = 0, Weight = 0, Age = 4,245983897808085, MeasuredPower = , HasMeasuredPower = False }</t>
  </si>
  <si>
    <t>12.12.2025 08:00:00</t>
  </si>
  <si>
    <t>0,005725154439789958</t>
  </si>
  <si>
    <t>PvRecord { Timestamp = 12.12.2025 08:15:00, Index = 0, DirectGeometryFactor = 0,523615429612187, DiffuseGeometryFactor = 0,9095760221444958, CosSunElevation = 0,03752042029056385, GlobalHorizontalIrradiance = 0, SunshineDuration = 0, DiffuseHorizontalIrradiance = 0, AmbientTemp = 0, WindSpeed = 0, SnowDepth = 0, Weight = 0, Age = 4,246012417696166, MeasuredPower = , HasMeasuredPower = False }</t>
  </si>
  <si>
    <t>12.12.2025 08:15:00</t>
  </si>
  <si>
    <t>0,523615429612187</t>
  </si>
  <si>
    <t>0,03752042029056385</t>
  </si>
  <si>
    <t>PvRecord { Timestamp = 12.12.2025 08:30:00, Index = 0, DirectGeometryFactor = 0,5632733565611988, DiffuseGeometryFactor = 0,9095760221444958, CosSunElevation = 0,07007676300570607, GlobalHorizontalIrradiance = 0, SunshineDuration = 0, DiffuseHorizontalIrradiance = 0, AmbientTemp = 0, WindSpeed = 0, SnowDepth = 0, Weight = 0, Age = 4,246040937584247, MeasuredPower = , HasMeasuredPower = False }</t>
  </si>
  <si>
    <t>12.12.2025 08:30:00</t>
  </si>
  <si>
    <t>0,5632733565611988</t>
  </si>
  <si>
    <t>0,07007676300570607</t>
  </si>
  <si>
    <t>PvRecord { Timestamp = 12.12.2025 08:45:00, Index = 0, DirectGeometryFactor = 0,6008117783001452, DiffuseGeometryFactor = 0,9095760221444958, CosSunElevation = 0,1019286842120417, GlobalHorizontalIrradiance = 0, SunshineDuration = 0, DiffuseHorizontalIrradiance = 0, AmbientTemp = 0, WindSpeed = 0, SnowDepth = 0, Weight = 0, Age = 4,246069457472329, MeasuredPower = , HasMeasuredPower = False }</t>
  </si>
  <si>
    <t>12.12.2025 08:45:00</t>
  </si>
  <si>
    <t>0,6008117783001452</t>
  </si>
  <si>
    <t>0,1019286842120417</t>
  </si>
  <si>
    <t>PvRecord { Timestamp = 12.12.2025 09:00:00, Index = 0, DirectGeometryFactor = 0,6356793087938053, DiffuseGeometryFactor = 0,9095760221444958, CosSunElevation = 0,13247441395760254, GlobalHorizontalIrradiance = 0, SunshineDuration = 0, DiffuseHorizontalIrradiance = 0, AmbientTemp = 0, WindSpeed = 0, SnowDepth = 0, Weight = 0, Age = 4,24609797736041, MeasuredPower = , HasMeasuredPower = False }</t>
  </si>
  <si>
    <t>12.12.2025 09:00:00</t>
  </si>
  <si>
    <t>0,6356793087938053</t>
  </si>
  <si>
    <t>0,13247441395760254</t>
  </si>
  <si>
    <t>PvRecord { Timestamp = 12.12.2025 09:15:00, Index = 0, DirectGeometryFactor = 0,6675788385388745, DiffuseGeometryFactor = 0,9095760221444958, CosSunElevation = 0,16140640561960184, GlobalHorizontalIrradiance = 0, SunshineDuration = 0, DiffuseHorizontalIrradiance = 0, AmbientTemp = 0, WindSpeed = 0, SnowDepth = 0, Weight = 0, Age = 4,2461264972484924, MeasuredPower = , HasMeasuredPower = False }</t>
  </si>
  <si>
    <t>12.12.2025 09:15:00</t>
  </si>
  <si>
    <t>0,6675788385388745</t>
  </si>
  <si>
    <t>0,16140640561960184</t>
  </si>
  <si>
    <t>PvRecord { Timestamp = 12.12.2025 09:30:00, Index = 0, DirectGeometryFactor = 0,6963082234037643, DiffuseGeometryFactor = 0,9095760221444958, CosSunElevation = 0,18852217135684443, GlobalHorizontalIrradiance = 0, SunshineDuration = 0, DiffuseHorizontalIrradiance = 0, AmbientTemp = 0, WindSpeed = 0, SnowDepth = 0, Weight = 0, Age = 4,246155017136574, MeasuredPower = , HasMeasuredPower = False }</t>
  </si>
  <si>
    <t>12.12.2025 09:30:00</t>
  </si>
  <si>
    <t>0,6963082234037643</t>
  </si>
  <si>
    <t>0,18852217135684443</t>
  </si>
  <si>
    <t>PvRecord { Timestamp = 12.12.2025 09:45:00, Index = 0, DirectGeometryFactor = 0,7217114947981629, DiffuseGeometryFactor = 0,9095760221444958, CosSunElevation = 0,21366599593436766, GlobalHorizontalIrradiance = 0, SunshineDuration = 0, DiffuseHorizontalIrradiance = 0, AmbientTemp = 0, WindSpeed = 0, SnowDepth = 0, Weight = 0, Age = 4,246183537024655, MeasuredPower = , HasMeasuredPower = False }</t>
  </si>
  <si>
    <t>12.12.2025 09:45:00</t>
  </si>
  <si>
    <t>0,7217114947981629</t>
  </si>
  <si>
    <t>0,21366599593436766</t>
  </si>
  <si>
    <t>PvRecord { Timestamp = 12.12.2025 10:00:00, Index = 0, DirectGeometryFactor = 0,7436616755415056, DiffuseGeometryFactor = 0,9095760221444958, CosSunElevation = 0,23670828364075228, GlobalHorizontalIrradiance = 0, SunshineDuration = 0, DiffuseHorizontalIrradiance = 0, AmbientTemp = 0, WindSpeed = 0, SnowDepth = 0, Weight = 0, Age = 4,246212056912737, MeasuredPower = , HasMeasuredPower = False }</t>
  </si>
  <si>
    <t>12.12.2025 10:00:00</t>
  </si>
  <si>
    <t>0,7436616755415056</t>
  </si>
  <si>
    <t>0,23670828364075228</t>
  </si>
  <si>
    <t>PvRecord { Timestamp = 12.12.2025 10:15:00, Index = 0, DirectGeometryFactor = 0,7620539761110403, DiffuseGeometryFactor = 0,9095760221444958, CosSunElevation = 0,25753732277090174, GlobalHorizontalIrradiance = 0, SunshineDuration = 0, DiffuseHorizontalIrradiance = 0, AmbientTemp = 0, WindSpeed = 0, SnowDepth = 0, Weight = 0, Age = 4,246240576800818, MeasuredPower = , HasMeasuredPower = False }</t>
  </si>
  <si>
    <t>12.12.2025 10:15:00</t>
  </si>
  <si>
    <t>0,7620539761110403</t>
  </si>
  <si>
    <t>0,25753732277090174</t>
  </si>
  <si>
    <t>PvRecord { Timestamp = 12.12.2025 10:30:00, Index = 0, DirectGeometryFactor = 0,7768028737795403, DiffuseGeometryFactor = 0,9095760221444958, CosSunElevation = 0,2760557270980986, GlobalHorizontalIrradiance = 0, SunshineDuration = 0, DiffuseHorizontalIrradiance = 0, AmbientTemp = 0, WindSpeed = 0, SnowDepth = 0, Weight = 0, Age = 4,2462690966889, MeasuredPower = , HasMeasuredPower = False }</t>
  </si>
  <si>
    <t>12.12.2025 10:30:00</t>
  </si>
  <si>
    <t>0,7768028737795403</t>
  </si>
  <si>
    <t>0,2760557270980986</t>
  </si>
  <si>
    <t>PvRecord { Timestamp = 12.12.2025 10:45:00, Index = 0, DirectGeometryFactor = 0,7878407949853591, DiffuseGeometryFactor = 0,9095760221444958, CosSunElevation = 0,29217883330657596, GlobalHorizontalIrradiance = 0, SunshineDuration = 0, DiffuseHorizontalIrradiance = 0, AmbientTemp = 0, WindSpeed = 0, SnowDepth = 0, Weight = 0, Age = 4,246297616576982, MeasuredPower = , HasMeasuredPower = False }</t>
  </si>
  <si>
    <t>12.12.2025 10:45:00</t>
  </si>
  <si>
    <t>0,7878407949853591</t>
  </si>
  <si>
    <t>0,29217883330657596</t>
  </si>
  <si>
    <t>PvRecord { Timestamp = 12.12.2025 11:00:00, Index = 0, DirectGeometryFactor = 0,7951175035471072, DiffuseGeometryFactor = 0,9095760221444958, CosSunElevation = 0,3058339817250513, GlobalHorizontalIrradiance = 0, SunshineDuration = 0, DiffuseHorizontalIrradiance = 0, AmbientTemp = 0, WindSpeed = 0, SnowDepth = 0, Weight = 0, Age = 4,246326136465063, MeasuredPower = , HasMeasuredPower = False }</t>
  </si>
  <si>
    <t>12.12.2025 11:00:00</t>
  </si>
  <si>
    <t>0,7951175035471072</t>
  </si>
  <si>
    <t>0,3058339817250513</t>
  </si>
  <si>
    <t>PvRecord { Timestamp = 12.12.2025 11:15:00, Index = 0, DirectGeometryFactor = 0,7985998064010614, DiffuseGeometryFactor = 0,9095760221444958, CosSunElevation = 0,316960215505809, GlobalHorizontalIrradiance = 0, SunshineDuration = 0, DiffuseHorizontalIrradiance = 0, AmbientTemp = 0, WindSpeed = 0, SnowDepth = 0, Weight = 0, Age = 4,2463546563531445, MeasuredPower = , HasMeasuredPower = False }</t>
  </si>
  <si>
    <t>12.12.2025 11:15:00</t>
  </si>
  <si>
    <t>0,7985998064010614</t>
  </si>
  <si>
    <t>0,316960215505809</t>
  </si>
  <si>
    <t>PvRecord { Timestamp = 12.12.2025 11:30:00, Index = 0, DirectGeometryFactor = 0,7982713957074512, DiffuseGeometryFactor = 0,9095760221444958, CosSunElevation = 0,3255081809595047, GlobalHorizontalIrradiance = 0, SunshineDuration = 0, DiffuseHorizontalIrradiance = 0, AmbientTemp = 0, WindSpeed = 0, SnowDepth = 0, Weight = 0, Age = 4,246383176241226, MeasuredPower = , HasMeasuredPower = False }</t>
  </si>
  <si>
    <t>12.12.2025 11:30:00</t>
  </si>
  <si>
    <t>0,7982713957074512</t>
  </si>
  <si>
    <t>0,3255081809595047</t>
  </si>
  <si>
    <t>PvRecord { Timestamp = 12.12.2025 11:45:00, Index = 0, DirectGeometryFactor = 0,7941327371910523, DiffuseGeometryFactor = 0,9095760221444958, CosSunElevation = 0,3314401206581227, GlobalHorizontalIrradiance = 0, SunshineDuration = 0, DiffuseHorizontalIrradiance = 0, AmbientTemp = 0, WindSpeed = 0, SnowDepth = 0, Weight = 0, Age = 4,246411696129308, MeasuredPower = , HasMeasuredPower = False }</t>
  </si>
  <si>
    <t>12.12.2025 11:45:00</t>
  </si>
  <si>
    <t>0,7941327371910523</t>
  </si>
  <si>
    <t>0,3314401206581227</t>
  </si>
  <si>
    <t>PvRecord { Timestamp = 12.12.2025 12:00:00, Index = 0, DirectGeometryFactor = 0,786200957808429, DiffuseGeometryFactor = 0,9095760221444958, CosSunElevation = 0,3347299023927671, GlobalHorizontalIrradiance = 0, SunshineDuration = 0, DiffuseHorizontalIrradiance = 0, AmbientTemp = 0, WindSpeed = 0, SnowDepth = 0, Weight = 0, Age = 4,2464402160173895, MeasuredPower = , HasMeasuredPower = False }</t>
  </si>
  <si>
    <t>12.12.2025 12:00:00</t>
  </si>
  <si>
    <t>0,786200957808429</t>
  </si>
  <si>
    <t>0,3347299023927671</t>
  </si>
  <si>
    <t>PvRecord { Timestamp = 12.12.2025 12:15:00, Index = 0, DirectGeometryFactor = 0,7745097079115306, DiffuseGeometryFactor = 0,9095760221444958, CosSunElevation = 0,3353630534961131, GlobalHorizontalIrradiance = 0, SunshineDuration = 0, DiffuseHorizontalIrradiance = 0, AmbientTemp = 0, WindSpeed = 0, SnowDepth = 0, Weight = 0, Age = 4,246468735905471, MeasuredPower = , HasMeasuredPower = False }</t>
  </si>
  <si>
    <t>12.12.2025 12:15:00</t>
  </si>
  <si>
    <t>0,7745097079115306</t>
  </si>
  <si>
    <t>0,3353630534961131</t>
  </si>
  <si>
    <t>PvRecord { Timestamp = 12.12.2025 12:30:00, Index = 0, DirectGeometryFactor = 0,759108984920081, DiffuseGeometryFactor = 0,9095760221444958, CosSunElevation = 0,33333678420371937, GlobalHorizontalIrradiance = 0, SunshineDuration = 0, DiffuseHorizontalIrradiance = 0, AmbientTemp = 0, WindSpeed = 0, SnowDepth = 0, Weight = 0, Age = 4,246497255793552, MeasuredPower = , HasMeasuredPower = False }</t>
  </si>
  <si>
    <t>12.12.2025 12:30:00</t>
  </si>
  <si>
    <t>0,759108984920081</t>
  </si>
  <si>
    <t>0,33333678420371937</t>
  </si>
  <si>
    <t>PvRecord { Timestamp = 12.12.2025 12:45:00, Index = 0, DirectGeometryFactor = 0,740064913067306, DiffuseGeometryFactor = 0,9095760221444958, CosSunElevation = 0,3286599923864148, GlobalHorizontalIrradiance = 0, SunshineDuration = 0, DiffuseHorizontalIrradiance = 0, AmbientTemp = 0, WindSpeed = 0, SnowDepth = 0, Weight = 0, Age = 4,246525775681634, MeasuredPower = , HasMeasuredPower = False }</t>
  </si>
  <si>
    <t>12.12.2025 12:45:00</t>
  </si>
  <si>
    <t>0,740064913067306</t>
  </si>
  <si>
    <t>0,3286599923864148</t>
  </si>
  <si>
    <t>PvRecord { Timestamp = 12.12.2025 13:00:00, Index = 0, DirectGeometryFactor = 0,7174594790088558, DiffuseGeometryFactor = 0,9095760221444958, CosSunElevation = 0,3213532483532466, GlobalHorizontalIrradiance = 0, SunshineDuration = 0, DiffuseHorizontalIrradiance = 0, AmbientTemp = 0, WindSpeed = 0, SnowDepth = 0, Weight = 0, Age = 4,246554295569716, MeasuredPower = , HasMeasuredPower = False }</t>
  </si>
  <si>
    <t>12.12.2025 13:00:00</t>
  </si>
  <si>
    <t>0,7174594790088558</t>
  </si>
  <si>
    <t>0,3213532483532466</t>
  </si>
  <si>
    <t>PvRecord { Timestamp = 12.12.2025 13:15:00, Index = 0, DirectGeometryFactor = 0,6913902278523274, DiffuseGeometryFactor = 0,9095760221444958, CosSunElevation = 0,31144876413813155, GlobalHorizontalIrradiance = 0, SunshineDuration = 0, DiffuseHorizontalIrradiance = 0, AmbientTemp = 0, WindSpeed = 0, SnowDepth = 0, Weight = 0, Age = 4,246582815457797, MeasuredPower = , HasMeasuredPower = False }</t>
  </si>
  <si>
    <t>12.12.2025 13:15:00</t>
  </si>
  <si>
    <t>0,6913902278523274</t>
  </si>
  <si>
    <t>0,31144876413813155</t>
  </si>
  <si>
    <t>PvRecord { Timestamp = 12.12.2025 13:30:00, Index = 0, DirectGeometryFactor = 0,6619699306646769, DiffuseGeometryFactor = 0,9095760221444958, CosSunElevation = 0,29899035904700816, GlobalHorizontalIrradiance = 0, SunshineDuration = 0, DiffuseHorizontalIrradiance = 0, AmbientTemp = 0, WindSpeed = 0, SnowDepth = 0, Weight = 0, Age = 4,246611335345879, MeasuredPower = , HasMeasuredPower = False }</t>
  </si>
  <si>
    <t>12.12.2025 13:30:00</t>
  </si>
  <si>
    <t>0,6619699306646769</t>
  </si>
  <si>
    <t>0,29899035904700816</t>
  </si>
  <si>
    <t>PvRecord { Timestamp = 12.12.2025 13:45:00, Index = 0, DirectGeometryFactor = 0,6293262434577042, DiffuseGeometryFactor = 0,9095760221444958, CosSunElevation = 0,2840334442865861, GlobalHorizontalIrradiance = 0, SunshineDuration = 0, DiffuseHorizontalIrradiance = 0, AmbientTemp = 0, WindSpeed = 0, SnowDepth = 0, Weight = 0, Age = 4,24663985523396, MeasuredPower = , HasMeasuredPower = False }</t>
  </si>
  <si>
    <t>12.12.2025 13:45:00</t>
  </si>
  <si>
    <t>0,6293262434577042</t>
  </si>
  <si>
    <t>0,2840334442865861</t>
  </si>
  <si>
    <t>PvRecord { Timestamp = 12.12.2025 14:00:00, Index = 0, DirectGeometryFactor = 0,5936013935785127, DiffuseGeometryFactor = 0,9095760221444958, CosSunElevation = 0,26664506878901717, GlobalHorizontalIrradiance = 0, SunshineDuration = 0, DiffuseHorizontalIrradiance = 0, AmbientTemp = 0, WindSpeed = 0, SnowDepth = 0, Weight = 0, Age = 4,2466683751220415, MeasuredPower = , HasMeasuredPower = False }</t>
  </si>
  <si>
    <t>12.12.2025 14:00:00</t>
  </si>
  <si>
    <t>0,5936013935785127</t>
  </si>
  <si>
    <t>0,26664506878901717</t>
  </si>
  <si>
    <t>PvRecord { Timestamp = 12.12.2025 14:15:00, Index = 0, DirectGeometryFactor = 0,5549519606621788, DiffuseGeometryFactor = 0,9095760221444958, CosSunElevation = 0,24690410568460125, GlobalHorizontalIrradiance = 0, SunshineDuration = 0, DiffuseHorizontalIrradiance = 0, AmbientTemp = 0, WindSpeed = 0, SnowDepth = 0, Weight = 0, Age = 4,246696895010124, MeasuredPower = , HasMeasuredPower = False }</t>
  </si>
  <si>
    <t>12.12.2025 14:15:00</t>
  </si>
  <si>
    <t>0,5549519606621788</t>
  </si>
  <si>
    <t>0,24690410568460125</t>
  </si>
  <si>
    <t>PvRecord { Timestamp = 12.12.2025 14:30:00, Index = 0, DirectGeometryFactor = 0,5135488812911172, DiffuseGeometryFactor = 0,9095760221444958, CosSunElevation = 0,22490173444787967, GlobalHorizontalIrradiance = 0, SunshineDuration = 0, DiffuseHorizontalIrradiance = 0, AmbientTemp = 0, WindSpeed = 0, SnowDepth = 0, Weight = 0, Age = 4,246725414898205, MeasuredPower = , HasMeasuredPower = False }</t>
  </si>
  <si>
    <t>12.12.2025 14:30:00</t>
  </si>
  <si>
    <t>0,5135488812911172</t>
  </si>
  <si>
    <t>0,22490173444787967</t>
  </si>
  <si>
    <t>PvRecord { Timestamp = 12.12.2025 14:45:00, Index = 0, DirectGeometryFactor = 0,46957794308096423, DiffuseGeometryFactor = 0,9095760221444958, CosSunElevation = 0,20074253951262938, GlobalHorizontalIrradiance = 0, SunshineDuration = 0, DiffuseHorizontalIrradiance = 0, AmbientTemp = 0, WindSpeed = 0, SnowDepth = 0, Weight = 0, Age = 4,246753934786287, MeasuredPower = , HasMeasuredPower = False }</t>
  </si>
  <si>
    <t>12.12.2025 14:45:00</t>
  </si>
  <si>
    <t>0,46957794308096423</t>
  </si>
  <si>
    <t>0,20074253951262938</t>
  </si>
  <si>
    <t>PvRecord { Timestamp = 12.12.2025 15:00:00, Index = 0, DirectGeometryFactor = 0,42324135766823356, DiffuseGeometryFactor = 0,9095760221444958, CosSunElevation = 0,17454693850595698, GlobalHorizontalIrradiance = 0, SunshineDuration = 0, DiffuseHorizontalIrradiance = 0, AmbientTemp = 0, WindSpeed = 0, SnowDepth = 0, Weight = 0, Age = 4,246782454674368, MeasuredPower = , HasMeasuredPower = False }</t>
  </si>
  <si>
    <t>12.12.2025 15:00:00</t>
  </si>
  <si>
    <t>0,42324135766823356</t>
  </si>
  <si>
    <t>0,17454693850595698</t>
  </si>
  <si>
    <t>PvRecord { Timestamp = 12.12.2025 15:15:00, Index = 0, DirectGeometryFactor = 0,37476183567135973, DiffuseGeometryFactor = 0,9095760221444958, CosSunElevation = 0,1464566652973214, GlobalHorizontalIrradiance = 0, SunshineDuration = 0, DiffuseHorizontalIrradiance = 0, AmbientTemp = 0, WindSpeed = 0, SnowDepth = 0, Weight = 0, Age = 4,24681097456245, MeasuredPower = , HasMeasuredPower = False }</t>
  </si>
  <si>
    <t>12.12.2025 15:15:00</t>
  </si>
  <si>
    <t>0,37476183567135973</t>
  </si>
  <si>
    <t>0,1464566652973214</t>
  </si>
  <si>
    <t>PvRecord { Timestamp = 12.12.2025 15:30:00, Index = 0, DirectGeometryFactor = 0,32439298457187876, DiffuseGeometryFactor = 0,9095760221444958, CosSunElevation = 0,11664794224583329, GlobalHorizontalIrradiance = 0, SunshineDuration = 0, DiffuseHorizontalIrradiance = 0, AmbientTemp = 0, WindSpeed = 0, SnowDepth = 0, Weight = 0, Age = 4,246839494450532, MeasuredPower = , HasMeasuredPower = False }</t>
  </si>
  <si>
    <t>12.12.2025 15:30:00</t>
  </si>
  <si>
    <t>0,32439298457187876</t>
  </si>
  <si>
    <t>0,11664794224583329</t>
  </si>
  <si>
    <t>PvRecord { Timestamp = 12.12.2025 15:45:00, Index = 0, DirectGeometryFactor = 0, DiffuseGeometryFactor = 0,9095760221444958, CosSunElevation = 0,08536646552690513, GlobalHorizontalIrradiance = 0, SunshineDuration = 0, DiffuseHorizontalIrradiance = 0, AmbientTemp = 0, WindSpeed = 0, SnowDepth = 0, Weight = 0, Age = 4,246868014338613, MeasuredPower = , HasMeasuredPower = False }</t>
  </si>
  <si>
    <t>12.12.2025 15:45:00</t>
  </si>
  <si>
    <t>0,08536646552690513</t>
  </si>
  <si>
    <t>PvRecord { Timestamp = 12.12.2025 16:00:00, Index = 0, DirectGeometryFactor = 0, DiffuseGeometryFactor = 0,9095760221444958, CosSunElevation = 0,053033728513293785, GlobalHorizontalIrradiance = 0, SunshineDuration = 0, DiffuseHorizontalIrradiance = 0, AmbientTemp = 0, WindSpeed = 0, SnowDepth = 0, Weight = 0, Age = 4,246896534226694, MeasuredPower = , HasMeasuredPower = False }</t>
  </si>
  <si>
    <t>12.12.2025 16:00:00</t>
  </si>
  <si>
    <t>0,053033728513293785</t>
  </si>
  <si>
    <t>PvRecord { Timestamp = 12.12.2025 16:15:00, Index = 0, DirectGeometryFactor = 0, DiffuseGeometryFactor = 0,9095760221444958, CosSunElevation = 0,020605794697694444, GlobalHorizontalIrradiance = 0, SunshineDuration = 0, DiffuseHorizontalIrradiance = 0, AmbientTemp = 0, WindSpeed = 0, SnowDepth = 0, Weight = 0, Age = 4,246925054114776, MeasuredPower = , HasMeasuredPower = False }</t>
  </si>
  <si>
    <t>12.12.2025 16:15:00</t>
  </si>
  <si>
    <t>0,020605794697694444</t>
  </si>
  <si>
    <t>PvRecord { Timestamp = 12.12.2025 16:30:00, Index = 0, DirectGeometryFactor = 0, DiffuseGeometryFactor = 0,9095760221444958, CosSunElevation = 0, GlobalHorizontalIrradiance = 0, SunshineDuration = 0, DiffuseHorizontalIrradiance = 0, AmbientTemp = 0, WindSpeed = 0, SnowDepth = 0, Weight = 0, Age = 4,246953574002858, MeasuredPower = , HasMeasuredPower = False }</t>
  </si>
  <si>
    <t>12.12.2025 16:30:00</t>
  </si>
  <si>
    <t>PvRecord { Timestamp = 12.12.2025 16:45:00, Index = 0, DirectGeometryFactor = 0, DiffuseGeometryFactor = 0,9095760221444958, CosSunElevation = 0, GlobalHorizontalIrradiance = 0, SunshineDuration = 0, DiffuseHorizontalIrradiance = 0, AmbientTemp = 0, WindSpeed = 0, SnowDepth = 0, Weight = 0, Age = 4,2469820938909395, MeasuredPower = , HasMeasuredPower = False }</t>
  </si>
  <si>
    <t>12.12.2025 16:45:00</t>
  </si>
  <si>
    <t>PvRecord { Timestamp = 12.12.2025 17:00:00, Index = 0, DirectGeometryFactor = 0, DiffuseGeometryFactor = 0,9095760221444958, CosSunElevation = 0, GlobalHorizontalIrradiance = 0, SunshineDuration = 0, DiffuseHorizontalIrradiance = 0, AmbientTemp = 0, WindSpeed = 0, SnowDepth = 0, Weight = 0, Age = 4,247010613779021, MeasuredPower = , HasMeasuredPower = False }</t>
  </si>
  <si>
    <t>12.12.2025 17:00:00</t>
  </si>
  <si>
    <t>PvRecord { Timestamp = 12.12.2025 17:15:00, Index = 0, DirectGeometryFactor = 0, DiffuseGeometryFactor = 0,9095760221444958, CosSunElevation = 0, GlobalHorizontalIrradiance = 0, SunshineDuration = 0, DiffuseHorizontalIrradiance = 0, AmbientTemp = 0, WindSpeed = 0, SnowDepth = 0, Weight = 0, Age = 4,247039133667102, MeasuredPower = , HasMeasuredPower = False }</t>
  </si>
  <si>
    <t>12.12.2025 17:15:00</t>
  </si>
  <si>
    <t>PvRecord { Timestamp = 12.12.2025 17:30:00, Index = 0, DirectGeometryFactor = 0, DiffuseGeometryFactor = 0,9095760221444958, CosSunElevation = 0, GlobalHorizontalIrradiance = 0, SunshineDuration = 0, DiffuseHorizontalIrradiance = 0, AmbientTemp = 0, WindSpeed = 0, SnowDepth = 0, Weight = 0, Age = 4,247067653555184, MeasuredPower = , HasMeasuredPower = False }</t>
  </si>
  <si>
    <t>12.12.2025 17:30:00</t>
  </si>
  <si>
    <t>PvRecord { Timestamp = 12.12.2025 17:45:00, Index = 0, DirectGeometryFactor = 0, DiffuseGeometryFactor = 0,9095760221444958, CosSunElevation = 0, GlobalHorizontalIrradiance = 0, SunshineDuration = 0, DiffuseHorizontalIrradiance = 0, AmbientTemp = 0, WindSpeed = 0, SnowDepth = 0, Weight = 0, Age = 4,247096173443266, MeasuredPower = , HasMeasuredPower = False }</t>
  </si>
  <si>
    <t>12.12.2025 17:45:00</t>
  </si>
  <si>
    <t>PvRecord { Timestamp = 12.12.2025 18:00:00, Index = 0, DirectGeometryFactor = 0, DiffuseGeometryFactor = 0,9095760221444958, CosSunElevation = 0, GlobalHorizontalIrradiance = 0, SunshineDuration = 0, DiffuseHorizontalIrradiance = 0, AmbientTemp = 0, WindSpeed = 0, SnowDepth = 0, Weight = 0, Age = 4,247124693331347, MeasuredPower = , HasMeasuredPower = False }</t>
  </si>
  <si>
    <t>12.12.2025 18:00:00</t>
  </si>
  <si>
    <t>PvRecord { Timestamp = 12.12.2025 18:15:00, Index = 0, DirectGeometryFactor = 0, DiffuseGeometryFactor = 0,9095760221444958, CosSunElevation = 0, GlobalHorizontalIrradiance = 0, SunshineDuration = 0, DiffuseHorizontalIrradiance = 0, AmbientTemp = 0, WindSpeed = 0, SnowDepth = 0, Weight = 0, Age = 4,247153213219429, MeasuredPower = , HasMeasuredPower = False }</t>
  </si>
  <si>
    <t>12.12.2025 18:15:00</t>
  </si>
  <si>
    <t>PvRecord { Timestamp = 12.12.2025 18:30:00, Index = 0, DirectGeometryFactor = 0, DiffuseGeometryFactor = 0,9095760221444958, CosSunElevation = 0, GlobalHorizontalIrradiance = 0, SunshineDuration = 0, DiffuseHorizontalIrradiance = 0, AmbientTemp = 0, WindSpeed = 0, SnowDepth = 0, Weight = 0, Age = 4,24718173310751, MeasuredPower = , HasMeasuredPower = False }</t>
  </si>
  <si>
    <t>12.12.2025 18:30:00</t>
  </si>
  <si>
    <t>PvRecord { Timestamp = 12.12.2025 18:45:00, Index = 0, DirectGeometryFactor = 0, DiffuseGeometryFactor = 0,9095760221444958, CosSunElevation = 0, GlobalHorizontalIrradiance = 0, SunshineDuration = 0, DiffuseHorizontalIrradiance = 0, AmbientTemp = 0, WindSpeed = 0, SnowDepth = 0, Weight = 0, Age = 4,2472102529955915, MeasuredPower = , HasMeasuredPower = False }</t>
  </si>
  <si>
    <t>12.12.2025 18:45:00</t>
  </si>
  <si>
    <t>PvRecord { Timestamp = 12.12.2025 19:00:00, Index = 0, DirectGeometryFactor = 0, DiffuseGeometryFactor = 0,9095760221444958, CosSunElevation = 0, GlobalHorizontalIrradiance = 0, SunshineDuration = 0, DiffuseHorizontalIrradiance = 0, AmbientTemp = 0, WindSpeed = 0, SnowDepth = 0, Weight = 0, Age = 4,247238772883674, MeasuredPower = , HasMeasuredPower = False }</t>
  </si>
  <si>
    <t>12.12.2025 19:00:00</t>
  </si>
  <si>
    <t>PvRecord { Timestamp = 12.12.2025 19:15:00, Index = 0, DirectGeometryFactor = 0, DiffuseGeometryFactor = 0,9095760221444958, CosSunElevation = 0, GlobalHorizontalIrradiance = 0, SunshineDuration = 0, DiffuseHorizontalIrradiance = 0, AmbientTemp = 0, WindSpeed = 0, SnowDepth = 0, Weight = 0, Age = 4,247267292771755, MeasuredPower = , HasMeasuredPower = False }</t>
  </si>
  <si>
    <t>12.12.2025 19:15:00</t>
  </si>
  <si>
    <t>PvRecord { Timestamp = 26.11.2025 19:15:00, Index = 0, DirectGeometryFactor = 0, DiffuseGeometryFactor = 0,9095760221444958, CosSunElevation = 0, GlobalHorizontalIrradiance = 0, SunshineDuration = 0, DiffuseHorizontalIrradiance = 0, AmbientTemp = 1,55, WindSpeed = 10,8, SnowDepth = 0, Weight = 0, Age = 4,203460744678463, MeasuredPower = , HasMeasuredPower = False },LEG.PV.Data.Processor.DataRecords+PvRecord,"26.11.2025 19:15:00",0,0,"0,9095760221444958",0,0,0,0,"1,55","10,8",0,0,"4,203460744678463","",False</t>
  </si>
  <si>
    <t>PvRecord { Timestamp = 26.11.2025 19:30:00, Index = 0, DirectGeometryFactor = 0, DiffuseGeometryFactor = 0,9095760221444958, CosSunElevation = 0, GlobalHorizontalIrradiance = 0, SunshineDuration = 0, DiffuseHorizontalIrradiance = 0, AmbientTemp = 1,25, WindSpeed = 12,96, SnowDepth = 0, Weight = 0, Age = 4,203489264566544, MeasuredPower = , HasMeasuredPower = False },LEG.PV.Data.Processor.DataRecords+PvRecord,"26.11.2025 19:30:00",0,0,"0,9095760221444958",0,0,0,0,"1,25","12,96",0,0,"4,203489264566544","",False</t>
  </si>
  <si>
    <t>PvRecord { Timestamp = 26.11.2025 19:45:00, Index = 0, DirectGeometryFactor = 0, DiffuseGeometryFactor = 0,9095760221444958, CosSunElevation = 0, GlobalHorizontalIrradiance = 0, SunshineDuration = 0, DiffuseHorizontalIrradiance = 0, AmbientTemp = 1,25, WindSpeed = 12,96, SnowDepth = 0, Weight = 0, Age = 4,203517784454625, MeasuredPower = , HasMeasuredPower = False },LEG.PV.Data.Processor.DataRecords+PvRecord,"26.11.2025 19:45:00",0,0,"0,9095760221444958",0,0,0,0,"1,25","12,96",0,0,"4,203517784454625","",False</t>
  </si>
  <si>
    <t>PvRecord { Timestamp = 26.11.2025 20:00:00, Index = 0, DirectGeometryFactor = 0, DiffuseGeometryFactor = 0,9095760221444958, CosSunElevation = 0, GlobalHorizontalIrradiance = 0, SunshineDuration = 0, DiffuseHorizontalIrradiance = 0, AmbientTemp = 1,3, WindSpeed = 12,24, SnowDepth = 0, Weight = 0, Age = 4,203546304342707, MeasuredPower = , HasMeasuredPower = False },LEG.PV.Data.Processor.DataRecords+PvRecord,"26.11.2025 20:00:00",0,0,"0,9095760221444958",0,0,0,0,"1,3","12,24",0,0,"4,203546304342707","",False</t>
  </si>
  <si>
    <t>PvRecord { Timestamp = 26.11.2025 20:15:00, Index = 0, DirectGeometryFactor = 0, DiffuseGeometryFactor = 0,9095760221444958, CosSunElevation = 0, GlobalHorizontalIrradiance = 0, SunshineDuration = 0, DiffuseHorizontalIrradiance = 0, AmbientTemp = 1,25, WindSpeed = 12,96, SnowDepth = 0, Weight = 0, Age = 4,203574824230788, MeasuredPower = , HasMeasuredPower = False },LEG.PV.Data.Processor.DataRecords+PvRecord,"26.11.2025 20:15:00",0,0,"0,9095760221444958",0,0,0,0,"1,25","12,96",0,0,"4,203574824230788","",False</t>
  </si>
  <si>
    <t>PvRecord { Timestamp = 26.11.2025 20:30:00, Index = 0, DirectGeometryFactor = 0, DiffuseGeometryFactor = 0,9095760221444958, CosSunElevation = 0, GlobalHorizontalIrradiance = 0, SunshineDuration = 0, DiffuseHorizontalIrradiance = 0, AmbientTemp = 1,2000000000000002, WindSpeed = 13,14, SnowDepth = 0, Weight = 0, Age = 4,2036033441188705, MeasuredPower = , HasMeasuredPower = False },LEG.PV.Data.Processor.DataRecords+PvRecord,"26.11.2025 20:30:00",0,0,"0,9095760221444958",0,0,0,0,"1,2000000000000002","13,14",0,0,"4,2036033441188705","",False</t>
  </si>
  <si>
    <t>PvRecord { Timestamp = 26.11.2025 20:45:00, Index = 0, DirectGeometryFactor = 0, DiffuseGeometryFactor = 0,9095760221444958, CosSunElevation = 0, GlobalHorizontalIrradiance = 0, SunshineDuration = 0, DiffuseHorizontalIrradiance = 0, AmbientTemp = 1,1, WindSpeed = 12,6, SnowDepth = 0, Weight = 0, Age = 4,203631864006952, MeasuredPower = , HasMeasuredPower = False },LEG.PV.Data.Processor.DataRecords+PvRecord,"26.11.2025 20:45:00",0,0,"0,9095760221444958",0,0,0,0,"1,1","12,6",0,0,"4,203631864006952","",False</t>
  </si>
  <si>
    <t>PvRecord { Timestamp = 26.11.2025 21:00:00, Index = 0, DirectGeometryFactor = 0, DiffuseGeometryFactor = 0,9095760221444958, CosSunElevation = 0, GlobalHorizontalIrradiance = 0, SunshineDuration = 0, DiffuseHorizontalIrradiance = 0, AmbientTemp = 1,1, WindSpeed = 12,42, SnowDepth = 0, Weight = 0, Age = 4,203660383895033, MeasuredPower = , HasMeasuredPower = False },LEG.PV.Data.Processor.DataRecords+PvRecord,"26.11.2025 21:00:00",0,0,"0,9095760221444958",0,0,0,0,"1,1","12,42",0,0,"4,203660383895033","",False</t>
  </si>
  <si>
    <t>PvRecord { Timestamp = 26.11.2025 21:15:00, Index = 0, DirectGeometryFactor = 0, DiffuseGeometryFactor = 0,9095760221444958, CosSunElevation = 0, GlobalHorizontalIrradiance = 0, SunshineDuration = 0, DiffuseHorizontalIrradiance = 0, AmbientTemp = 1,1, WindSpeed = 12,42, SnowDepth = 0, Weight = 0, Age = 4,203688903783115, MeasuredPower = , HasMeasuredPower = False },LEG.PV.Data.Processor.DataRecords+PvRecord,"26.11.2025 21:15:00",0,0,"0,9095760221444958",0,0,0,0,"1,1","12,42",0,0,"4,203688903783115","",False</t>
  </si>
  <si>
    <t>PvRecord { Timestamp = 26.11.2025 21:30:00, Index = 0, DirectGeometryFactor = 0, DiffuseGeometryFactor = 0,9095760221444958, CosSunElevation = 0, GlobalHorizontalIrradiance = 0, SunshineDuration = 0, DiffuseHorizontalIrradiance = 0, AmbientTemp = 1,1, WindSpeed = 12,239999999999998, SnowDepth = 0, Weight = 0, Age = 4,203717423671196, MeasuredPower = , HasMeasuredPower = False },LEG.PV.Data.Processor.DataRecords+PvRecord,"26.11.2025 21:30:00",0,0,"0,9095760221444958",0,0,0,0,"1,1","12,239999999999998",0,0,"4,203717423671196","",False</t>
  </si>
  <si>
    <t>PvRecord { Timestamp = 26.11.2025 21:45:00, Index = 0, DirectGeometryFactor = 0, DiffuseGeometryFactor = 0,9095760221444958, CosSunElevation = 0, GlobalHorizontalIrradiance = 0, SunshineDuration = 0, DiffuseHorizontalIrradiance = 0, AmbientTemp = 1,15, WindSpeed = 13,5, SnowDepth = 0, Weight = 0, Age = 4,203745943559278, MeasuredPower = , HasMeasuredPower = False },LEG.PV.Data.Processor.DataRecords+PvRecord,"26.11.2025 21:45:00",0,0,"0,9095760221444958",0,0,0,0,"1,15","13,5",0,0,"4,203745943559278","",False</t>
  </si>
  <si>
    <t>PvRecord { Timestamp = 26.11.2025 22:00:00, Index = 0, DirectGeometryFactor = 0, DiffuseGeometryFactor = 0,9095760221444958, CosSunElevation = 0, GlobalHorizontalIrradiance = 0, SunshineDuration = 0, DiffuseHorizontalIrradiance = 0, AmbientTemp = 1,15, WindSpeed = 13,5, SnowDepth = 0, Weight = 0, Age = 4,20377446344736, MeasuredPower = , HasMeasuredPower = False },LEG.PV.Data.Processor.DataRecords+PvRecord,"26.11.2025 22:00:00",0,0,"0,9095760221444958",0,0,0,0,"1,15","13,5",0,0,"4,20377446344736","",False</t>
  </si>
  <si>
    <t>PvRecord { Timestamp = 26.11.2025 22:15:00, Index = 0, DirectGeometryFactor = 0, DiffuseGeometryFactor = 0,9095760221444958, CosSunElevation = 0, GlobalHorizontalIrradiance = 0, SunshineDuration = 0, DiffuseHorizontalIrradiance = 0, AmbientTemp = 1,15, WindSpeed = 14,04, SnowDepth = 0, Weight = 0, Age = 4,203802983335441, MeasuredPower = , HasMeasuredPower = False },LEG.PV.Data.Processor.DataRecords+PvRecord,"26.11.2025 22:15:00",0,0,"0,9095760221444958",0,0,0,0,"1,15","14,04",0,0,"4,203802983335441","",False</t>
  </si>
  <si>
    <t>PvRecord { Timestamp = 26.11.2025 22:30:00, Index = 0, DirectGeometryFactor = 0, DiffuseGeometryFactor = 0,9095760221444958, CosSunElevation = 0, GlobalHorizontalIrradiance = 0, SunshineDuration = 0, DiffuseHorizontalIrradiance = 0, AmbientTemp = 1,1, WindSpeed = 13,68, SnowDepth = 0, Weight = 0, Age = 4,2038315032235225, MeasuredPower = , HasMeasuredPower = False },LEG.PV.Data.Processor.DataRecords+PvRecord,"26.11.2025 22:30:00",0,0,"0,9095760221444958",0,0,0,0,"1,1","13,68",0,0,"4,2038315032235225","",False</t>
  </si>
  <si>
    <t>PvRecord { Timestamp = 26.11.2025 22:45:00, Index = 0, DirectGeometryFactor = 0, DiffuseGeometryFactor = 0,9095760221444958, CosSunElevation = 0, GlobalHorizontalIrradiance = 0, SunshineDuration = 0, DiffuseHorizontalIrradiance = 0, AmbientTemp = 1, WindSpeed = 13,32, SnowDepth = 0, Weight = 0, Age = 4,203860023111605, MeasuredPower = , HasMeasuredPower = False },LEG.PV.Data.Processor.DataRecords+PvRecord,"26.11.2025 22:45:00",0,0,"0,9095760221444958",0,0,0,0,1,"13,32",0,0,"4,203860023111605","",False</t>
  </si>
  <si>
    <t>PvRecord { Timestamp = 26.11.2025 23:00:00, Index = 0, DirectGeometryFactor = 0, DiffuseGeometryFactor = 0,9095760221444958, CosSunElevation = 0, GlobalHorizontalIrradiance = 0, SunshineDuration = 0, DiffuseHorizontalIrradiance = 0, AmbientTemp = 0,8500000000000001, WindSpeed = 12,42, SnowDepth = 0, Weight = 0, Age = 4,203888542999686, MeasuredPower = , HasMeasuredPower = False },LEG.PV.Data.Processor.DataRecords+PvRecord,"26.11.2025 23:00:00",0,0,"0,9095760221444958",0,0,0,0,"0,8500000000000001","12,42",0,0,"4,203888542999686","",False</t>
  </si>
  <si>
    <t>PvRecord { Timestamp = 26.11.2025 23:15:00, Index = 0, DirectGeometryFactor = 0, DiffuseGeometryFactor = 0,9095760221444958, CosSunElevation = 0, GlobalHorizontalIrradiance = 0, SunshineDuration = 0, DiffuseHorizontalIrradiance = 0, AmbientTemp = 0,8, WindSpeed = 11,34, SnowDepth = 0, Weight = 0, Age = 4,203917062887768, MeasuredPower = , HasMeasuredPower = False },LEG.PV.Data.Processor.DataRecords+PvRecord,"26.11.2025 23:15:00",0,0,"0,9095760221444958",0,0,0,0,"0,8","11,34",0,0,"4,203917062887768","",False</t>
  </si>
  <si>
    <t>PvRecord { Timestamp = 26.11.2025 23:30:00, Index = 0, DirectGeometryFactor = 0, DiffuseGeometryFactor = 0,9095760221444958, CosSunElevation = 0, GlobalHorizontalIrradiance = 0, SunshineDuration = 0, DiffuseHorizontalIrradiance = 0, AmbientTemp = 0,75, WindSpeed = 9,540000000000001, SnowDepth = 0, Weight = 0, Age = 4,203945582775849, MeasuredPower = , HasMeasuredPower = False },LEG.PV.Data.Processor.DataRecords+PvRecord,"26.11.2025 23:30:00",0,0,"0,9095760221444958",0,0,0,0,"0,75","9,540000000000001",0,0,"4,203945582775849","",False</t>
  </si>
  <si>
    <t>PvRecord { Timestamp = 26.11.2025 23:45:00, Index = 0, DirectGeometryFactor = 0, DiffuseGeometryFactor = 0,9095760221444958, CosSunElevation = 0, GlobalHorizontalIrradiance = 0, SunshineDuration = 0, DiffuseHorizontalIrradiance = 0, AmbientTemp = 0,75, WindSpeed = 9, SnowDepth = 0, Weight = 0, Age = 4,20397410266393, MeasuredPower = , HasMeasuredPower = False },LEG.PV.Data.Processor.DataRecords+PvRecord,"26.11.2025 23:45:00",0,0,"0,9095760221444958",0,0,0,0,"0,75",9,0,0,"4,20397410266393","",False</t>
  </si>
  <si>
    <t>PvRecord { Timestamp = 27.11.2025 00:00:00, Index = 0, DirectGeometryFactor = 0, DiffuseGeometryFactor = 0,9095760221444958, CosSunElevation = 0, GlobalHorizontalIrradiance = 0, SunshineDuration = 0, DiffuseHorizontalIrradiance = 0, AmbientTemp = 0,7, WindSpeed = 7,920000000000001, SnowDepth = 0, Weight = 0, Age = 4,204002622552013, MeasuredPower = , HasMeasuredPower = False },LEG.PV.Data.Processor.DataRecords+PvRecord,"27.11.2025 00:00:00",0,0,"0,9095760221444958",0,0,0,0,"0,7","7,920000000000001",0,0,"4,204002622552013","",False</t>
  </si>
  <si>
    <t>PvRecord { Timestamp = 27.11.2025 00:15:00, Index = 0, DirectGeometryFactor = 0, DiffuseGeometryFactor = 0,9095760221444958, CosSunElevation = 0, GlobalHorizontalIrradiance = 0, SunshineDuration = 0, DiffuseHorizontalIrradiance = 0, AmbientTemp = 0,6, WindSpeed = 6,84, SnowDepth = 0, Weight = 0, Age = 4,204031142440094, MeasuredPower = , HasMeasuredPower = False },LEG.PV.Data.Processor.DataRecords+PvRecord,"27.11.2025 00:15:00",0,0,"0,9095760221444958",0,0,0,0,"0,6","6,84",0,0,"4,204031142440094","",False</t>
  </si>
  <si>
    <t>PvRecord { Timestamp = 27.11.2025 00:30:00, Index = 0, DirectGeometryFactor = 0, DiffuseGeometryFactor = 0,9095760221444958, CosSunElevation = 0, GlobalHorizontalIrradiance = 0, SunshineDuration = 0, DiffuseHorizontalIrradiance = 0, AmbientTemp = 0,55, WindSpeed = 5,760000000000001, SnowDepth = 0, Weight = 0, Age = 4,204059662328175, MeasuredPower = , HasMeasuredPower = False },LEG.PV.Data.Processor.DataRecords+PvRecord,"27.11.2025 00:30:00",0,0,"0,9095760221444958",0,0,0,0,"0,55","5,760000000000001",0,0,"4,204059662328175","",False</t>
  </si>
  <si>
    <t>PvRecord { Timestamp = 27.11.2025 00:45:00, Index = 0, DirectGeometryFactor = 0, DiffuseGeometryFactor = 0,9095760221444958, CosSunElevation = 0, GlobalHorizontalIrradiance = 0, SunshineDuration = 0, DiffuseHorizontalIrradiance = 0, AmbientTemp = 0,55, WindSpeed = 5,040000000000001, SnowDepth = 0, Weight = 0, Age = 4,204088182216257, MeasuredPower = , HasMeasuredPower = False },LEG.PV.Data.Processor.DataRecords+PvRecord,"27.11.2025 00:45:00",0,0,"0,9095760221444958",0,0,0,0,"0,55","5,040000000000001",0,0,"4,204088182216257","",False</t>
  </si>
  <si>
    <t>PvRecord { Timestamp = 27.11.2025 01:00:00, Index = 0, DirectGeometryFactor = 0, DiffuseGeometryFactor = 0,9095760221444958, CosSunElevation = 0, GlobalHorizontalIrradiance = 0, SunshineDuration = 0, DiffuseHorizontalIrradiance = 0, AmbientTemp = 0,55, WindSpeed = 3,96, SnowDepth = 0, Weight = 0, Age = 4,204116702104338, MeasuredPower = , HasMeasuredPower = False },LEG.PV.Data.Processor.DataRecords+PvRecord,"27.11.2025 01:00:00",0,0,"0,9095760221444958",0,0,0,0,"0,55","3,96",0,0,"4,204116702104338","",False</t>
  </si>
  <si>
    <t>PvRecord { Timestamp = 27.11.2025 01:15:00, Index = 0, DirectGeometryFactor = 0, DiffuseGeometryFactor = 0,9095760221444958, CosSunElevation = 0, GlobalHorizontalIrradiance = 0, SunshineDuration = 0, DiffuseHorizontalIrradiance = 0, AmbientTemp = 0,45, WindSpeed = 3,4200000000000004, SnowDepth = 0, Weight = 0, Age = 4,2041452219924205, MeasuredPower = , HasMeasuredPower = False },LEG.PV.Data.Processor.DataRecords+PvRecord,"27.11.2025 01:15:00",0,0,"0,9095760221444958",0,0,0,0,"0,45","3,4200000000000004",0,0,"4,2041452219924205","",False</t>
  </si>
  <si>
    <t>PvRecord { Timestamp = 27.11.2025 01:30:00, Index = 0, DirectGeometryFactor = 0, DiffuseGeometryFactor = 0,9095760221444958, CosSunElevation = 0, GlobalHorizontalIrradiance = 0, SunshineDuration = 0, DiffuseHorizontalIrradiance = 0, AmbientTemp = 0,4, WindSpeed = 2,7, SnowDepth = 0, Weight = 0, Age = 4,204173741880502, MeasuredPower = , HasMeasuredPower = False },LEG.PV.Data.Processor.DataRecords+PvRecord,"27.11.2025 01:30:00",0,0,"0,9095760221444958",0,0,0,0,"0,4","2,7",0,0,"4,204173741880502","",False</t>
  </si>
  <si>
    <t>PvRecord { Timestamp = 27.11.2025 01:45:00, Index = 0, DirectGeometryFactor = 0, DiffuseGeometryFactor = 0,9095760221444958, CosSunElevation = 0, GlobalHorizontalIrradiance = 0, SunshineDuration = 0, DiffuseHorizontalIrradiance = 0, AmbientTemp = 0,4, WindSpeed = 2,8800000000000003, SnowDepth = 0, Weight = 0, Age = 4,204202261768583, MeasuredPower = , HasMeasuredPower = False },LEG.PV.Data.Processor.DataRecords+PvRecord,"27.11.2025 01:45:00",0,0,"0,9095760221444958",0,0,0,0,"0,4","2,8800000000000003",0,0,"4,204202261768583","",False</t>
  </si>
  <si>
    <t>PvRecord { Timestamp = 27.11.2025 02:00:00, Index = 0, DirectGeometryFactor = 0, DiffuseGeometryFactor = 0,9095760221444958, CosSunElevation = 0, GlobalHorizontalIrradiance = 0, SunshineDuration = 0, DiffuseHorizontalIrradiance = 0, AmbientTemp = 0,35, WindSpeed = 3,24, SnowDepth = 0, Weight = 0, Age = 4,204230781656665, MeasuredPower = , HasMeasuredPower = False },LEG.PV.Data.Processor.DataRecords+PvRecord,"27.11.2025 02:00:00",0,0,"0,9095760221444958",0,0,0,0,"0,35","3,24",0,0,"4,204230781656665","",False</t>
  </si>
  <si>
    <t>PvRecord { Timestamp = 27.11.2025 02:15:00, Index = 0, DirectGeometryFactor = 0, DiffuseGeometryFactor = 0,9095760221444958, CosSunElevation = 0, GlobalHorizontalIrradiance = 0, SunshineDuration = 0, DiffuseHorizontalIrradiance = 0, AmbientTemp = 0,35, WindSpeed = 3,24, SnowDepth = 0, Weight = 0, Age = 4,204259301544746, MeasuredPower = , HasMeasuredPower = False },LEG.PV.Data.Processor.DataRecords+PvRecord,"27.11.2025 02:15:00",0,0,"0,9095760221444958",0,0,0,0,"0,35","3,24",0,0,"4,204259301544746","",False</t>
  </si>
  <si>
    <t>PvRecord { Timestamp = 27.11.2025 02:30:00, Index = 0, DirectGeometryFactor = 0, DiffuseGeometryFactor = 0,9095760221444958, CosSunElevation = 0, GlobalHorizontalIrradiance = 0, SunshineDuration = 0, DiffuseHorizontalIrradiance = 0, AmbientTemp = 0,35, WindSpeed = 3,42, SnowDepth = 0, Weight = 0, Age = 4,204287821432828, MeasuredPower = , HasMeasuredPower = False },LEG.PV.Data.Processor.DataRecords+PvRecord,"27.11.2025 02:30:00",0,0,"0,9095760221444958",0,0,0,0,"0,35","3,42",0,0,"4,204287821432828","",False</t>
  </si>
  <si>
    <t>PvRecord { Timestamp = 27.11.2025 02:45:00, Index = 0, DirectGeometryFactor = 0, DiffuseGeometryFactor = 0,9095760221444958, CosSunElevation = 0, GlobalHorizontalIrradiance = 0, SunshineDuration = 0, DiffuseHorizontalIrradiance = 0, AmbientTemp = 0,3, WindSpeed = 3,96, SnowDepth = 0, Weight = 0, Age = 4,20431634132091, MeasuredPower = , HasMeasuredPower = False },LEG.PV.Data.Processor.DataRecords+PvRecord,"27.11.2025 02:45:00",0,0,"0,9095760221444958",0,0,0,0,"0,3","3,96",0,0,"4,20431634132091","",False</t>
  </si>
  <si>
    <t>PvRecord { Timestamp = 27.11.2025 03:00:00, Index = 0, DirectGeometryFactor = 0, DiffuseGeometryFactor = 0,9095760221444958, CosSunElevation = 0, GlobalHorizontalIrradiance = 0, SunshineDuration = 0, DiffuseHorizontalIrradiance = 0, AmbientTemp = 0,35, WindSpeed = 4,680000000000001, SnowDepth = 0, Weight = 0, Age = 4,204344861208991, MeasuredPower = , HasMeasuredPower = False },LEG.PV.Data.Processor.DataRecords+PvRecord,"27.11.2025 03:00:00",0,0,"0,9095760221444958",0,0,0,0,"0,35","4,680000000000001",0,0,"4,204344861208991","",False</t>
  </si>
  <si>
    <t>PvRecord { Timestamp = 27.11.2025 03:15:00, Index = 0, DirectGeometryFactor = 0, DiffuseGeometryFactor = 0,9095760221444958, CosSunElevation = 0, GlobalHorizontalIrradiance = 0, SunshineDuration = 0, DiffuseHorizontalIrradiance = 0, AmbientTemp = 0,35, WindSpeed = 5,4, SnowDepth = 0, Weight = 0, Age = 4,2043733810970725, MeasuredPower = , HasMeasuredPower = False },LEG.PV.Data.Processor.DataRecords+PvRecord,"27.11.2025 03:15:00",0,0,"0,9095760221444958",0,0,0,0,"0,35","5,4",0,0,"4,2043733810970725","",False</t>
  </si>
  <si>
    <t>PvRecord { Timestamp = 27.11.2025 03:30:00, Index = 0, DirectGeometryFactor = 0, DiffuseGeometryFactor = 0,9095760221444958, CosSunElevation = 0, GlobalHorizontalIrradiance = 0, SunshineDuration = 0, DiffuseHorizontalIrradiance = 0, AmbientTemp = 0,35, WindSpeed = 5,94, SnowDepth = 0, Weight = 0, Age = 4,204401900985154, MeasuredPower = , HasMeasuredPower = False },LEG.PV.Data.Processor.DataRecords+PvRecord,"27.11.2025 03:30:00",0,0,"0,9095760221444958",0,0,0,0,"0,35","5,94",0,0,"4,204401900985154","",False</t>
  </si>
  <si>
    <t>PvRecord { Timestamp = 27.11.2025 03:45:00, Index = 0, DirectGeometryFactor = 0, DiffuseGeometryFactor = 0,9095760221444958, CosSunElevation = 0, GlobalHorizontalIrradiance = 0, SunshineDuration = 0, DiffuseHorizontalIrradiance = 0, AmbientTemp = 0,30000000000000004, WindSpeed = 6,48, SnowDepth = 0, Weight = 0, Age = 4,204430420873236, MeasuredPower = , HasMeasuredPower = False },LEG.PV.Data.Processor.DataRecords+PvRecord,"27.11.2025 03:45:00",0,0,"0,9095760221444958",0,0,0,0,"0,30000000000000004","6,48",0,0,"4,204430420873236","",False</t>
  </si>
  <si>
    <t>PvRecord { Timestamp = 27.11.2025 04:00:00, Index = 0, DirectGeometryFactor = 0, DiffuseGeometryFactor = 0,9095760221444958, CosSunElevation = 0, GlobalHorizontalIrradiance = 0, SunshineDuration = 0, DiffuseHorizontalIrradiance = 0, AmbientTemp = 0,30000000000000004, WindSpeed = 7,200000000000001, SnowDepth = 0, Weight = 0, Age = 4,2044589407613175, MeasuredPower = , HasMeasuredPower = False },LEG.PV.Data.Processor.DataRecords+PvRecord,"27.11.2025 04:00:00",0,0,"0,9095760221444958",0,0,0,0,"0,30000000000000004","7,200000000000001",0,0,"4,2044589407613175","",False</t>
  </si>
  <si>
    <t>PvRecord { Timestamp = 27.11.2025 04:15:00, Index = 0, DirectGeometryFactor = 0, DiffuseGeometryFactor = 0,9095760221444958, CosSunElevation = 0, GlobalHorizontalIrradiance = 0, SunshineDuration = 0, DiffuseHorizontalIrradiance = 0, AmbientTemp = 0,25, WindSpeed = 7,920000000000001, SnowDepth = 0, Weight = 0, Age = 4,204487460649399, MeasuredPower = , HasMeasuredPower = False },LEG.PV.Data.Processor.DataRecords+PvRecord,"27.11.2025 04:15:00",0,0,"0,9095760221444958",0,0,0,0,"0,25","7,920000000000001",0,0,"4,204487460649399","",False</t>
  </si>
  <si>
    <t>PvRecord { Timestamp = 27.11.2025 04:30:00, Index = 0, DirectGeometryFactor = 0, DiffuseGeometryFactor = 0,9095760221444958, CosSunElevation = 0, GlobalHorizontalIrradiance = 0, SunshineDuration = 0, DiffuseHorizontalIrradiance = 0, AmbientTemp = 0,2, WindSpeed = 8,64, SnowDepth = 0, Weight = 0, Age = 4,20451598053748, MeasuredPower = , HasMeasuredPower = False },LEG.PV.Data.Processor.DataRecords+PvRecord,"27.11.2025 04:30:00",0,0,"0,9095760221444958",0,0,0,0,"0,2","8,64",0,0,"4,20451598053748","",False</t>
  </si>
  <si>
    <t>PvRecord { Timestamp = 27.11.2025 04:45:00, Index = 0, DirectGeometryFactor = 0, DiffuseGeometryFactor = 0,9095760221444958, CosSunElevation = 0, GlobalHorizontalIrradiance = 0, SunshineDuration = 0, DiffuseHorizontalIrradiance = 0, AmbientTemp = 0,05, WindSpeed = 8,64, SnowDepth = 0, Weight = 0, Age = 4,204544500425562, MeasuredPower = , HasMeasuredPower = False },LEG.PV.Data.Processor.DataRecords+PvRecord,"27.11.2025 04:45:00",0,0,"0,9095760221444958",0,0,0,0,"0,05","8,64",0,0,"4,204544500425562","",False</t>
  </si>
  <si>
    <t>PvRecord { Timestamp = 27.11.2025 05:00:00, Index = 0, DirectGeometryFactor = 0, DiffuseGeometryFactor = 0,9095760221444958, CosSunElevation = 0, GlobalHorizontalIrradiance = 0, SunshineDuration = 0, DiffuseHorizontalIrradiance = 0, AmbientTemp = -0,05, WindSpeed = 9,36, SnowDepth = 0, Weight = 0, Age = 4,204573020313644, MeasuredPower = , HasMeasuredPower = False },LEG.PV.Data.Processor.DataRecords+PvRecord,"27.11.2025 05:00:00",0,0,"0,9095760221444958",0,0,0,0,"-0,05","9,36",0,0,"4,204573020313644","",False</t>
  </si>
  <si>
    <t>PvRecord { Timestamp = 27.11.2025 05:15:00, Index = 0, DirectGeometryFactor = 0, DiffuseGeometryFactor = 0,9095760221444958, CosSunElevation = 0, GlobalHorizontalIrradiance = 0, SunshineDuration = 0, DiffuseHorizontalIrradiance = 0, AmbientTemp = -0,2, WindSpeed = 9, SnowDepth = 0, Weight = 0, Age = 4,204601540201725, MeasuredPower = , HasMeasuredPower = False },LEG.PV.Data.Processor.DataRecords+PvRecord,"27.11.2025 05:15:00",0,0,"0,9095760221444958",0,0,0,0,"-0,2",9,0,0,"4,204601540201725","",False</t>
  </si>
  <si>
    <t>PvRecord { Timestamp = 27.11.2025 05:30:00, Index = 0, DirectGeometryFactor = 0, DiffuseGeometryFactor = 0,9095760221444958, CosSunElevation = 0, GlobalHorizontalIrradiance = 0, SunshineDuration = 0, DiffuseHorizontalIrradiance = 0, AmbientTemp = -0,2, WindSpeed = 8,100000000000001, SnowDepth = 0, Weight = 0, Age = 4,204630060089807, MeasuredPower = , HasMeasuredPower = False },LEG.PV.Data.Processor.DataRecords+PvRecord,"27.11.2025 05:30:00",0,0,"0,9095760221444958",0,0,0,0,"-0,2","8,100000000000001",0,0,"4,204630060089807","",False</t>
  </si>
  <si>
    <t>PvRecord { Timestamp = 27.11.2025 05:45:00, Index = 0, DirectGeometryFactor = 0, DiffuseGeometryFactor = 0,9095760221444958, CosSunElevation = 0, GlobalHorizontalIrradiance = 0, SunshineDuration = 0, DiffuseHorizontalIrradiance = 0, AmbientTemp = -0,30000000000000004, WindSpeed = 7,2, SnowDepth = 0, Weight = 0, Age = 4,204658579977888, MeasuredPower = , HasMeasuredPower = False },LEG.PV.Data.Processor.DataRecords+PvRecord,"27.11.2025 05:45:00",0,0,"0,9095760221444958",0,0,0,0,"-0,30000000000000004","7,2",0,0,"4,204658579977888","",False</t>
  </si>
  <si>
    <t>PvRecord { Timestamp = 27.11.2025 06:00:00, Index = 0, DirectGeometryFactor = 0, DiffuseGeometryFactor = 0,9095760221444958, CosSunElevation = 0, GlobalHorizontalIrradiance = 0, SunshineDuration = 0, DiffuseHorizontalIrradiance = 0, AmbientTemp = -0,30000000000000004, WindSpeed = 7,920000000000001, SnowDepth = 0, Weight = 0, Age = 4,20468709986597, MeasuredPower = , HasMeasuredPower = False },LEG.PV.Data.Processor.DataRecords+PvRecord,"27.11.2025 06:00:00",0,0,"0,9095760221444958",0,0,0,0,"-0,30000000000000004","7,920000000000001",0,0,"4,20468709986597","",False</t>
  </si>
  <si>
    <t>PvRecord { Timestamp = 27.11.2025 06:15:00, Index = 0, DirectGeometryFactor = 0, DiffuseGeometryFactor = 0,9095760221444958, CosSunElevation = 0, GlobalHorizontalIrradiance = 0, SunshineDuration = 0, DiffuseHorizontalIrradiance = 0, AmbientTemp = -0,35, WindSpeed = 7,380000000000001, SnowDepth = 0, Weight = 0, Age = 4,204715619754052, MeasuredPower = , HasMeasuredPower = False },LEG.PV.Data.Processor.DataRecords+PvRecord,"27.11.2025 06:15:00",0,0,"0,9095760221444958",0,0,0,0,"-0,35","7,380000000000001",0,0,"4,204715619754052","",False</t>
  </si>
  <si>
    <t>PvRecord { Timestamp = 27.11.2025 06:30:00, Index = 0, DirectGeometryFactor = 0, DiffuseGeometryFactor = 0,9095760221444958, CosSunElevation = 0, GlobalHorizontalIrradiance = 0, SunshineDuration = 0, DiffuseHorizontalIrradiance = 0, AmbientTemp = -0,44999999999999996, WindSpeed = 7,200000000000001, SnowDepth = 0, Weight = 0, Age = 4,204744139642133, MeasuredPower = , HasMeasuredPower = False },LEG.PV.Data.Processor.DataRecords+PvRecord,"27.11.2025 06:30:00",0,0,"0,9095760221444958",0,0,0,0,"-0,44999999999999996","7,200000000000001",0,0,"4,204744139642133","",False</t>
  </si>
  <si>
    <t>PvRecord { Timestamp = 27.11.2025 06:45:00, Index = 0, DirectGeometryFactor = 0, DiffuseGeometryFactor = 0,9095760221444958, CosSunElevation = 0, GlobalHorizontalIrradiance = 0, SunshineDuration = 0, DiffuseHorizontalIrradiance = 0, AmbientTemp = -0,6, WindSpeed = 7,02, SnowDepth = 0, Weight = 0, Age = 4,204772659530215, MeasuredPower = , HasMeasuredPower = False },LEG.PV.Data.Processor.DataRecords+PvRecord,"27.11.2025 06:45:00",0,0,"0,9095760221444958",0,0,0,0,"-0,6","7,02",0,0,"4,204772659530215","",False</t>
  </si>
  <si>
    <t>PvRecord { Timestamp = 27.11.2025 07:00:00, Index = 0, DirectGeometryFactor = 0, DiffuseGeometryFactor = 0,9095760221444958, CosSunElevation = 0, GlobalHorizontalIrradiance = 0, SunshineDuration = 0, DiffuseHorizontalIrradiance = 0, AmbientTemp = -0,7, WindSpeed = 8,1, SnowDepth = 0, Weight = 0, Age = 4,204801179418296, MeasuredPower = , HasMeasuredPower = False },LEG.PV.Data.Processor.DataRecords+PvRecord,"27.11.2025 07:00:00",0,0,"0,9095760221444958",0,0,0,0,"-0,7","8,1",0,0,"4,204801179418296","",False</t>
  </si>
  <si>
    <t>PvRecord { Timestamp = 27.11.2025 07:15:00, Index = 0, DirectGeometryFactor = 0, DiffuseGeometryFactor = 0,9095760221444958, CosSunElevation = 0, GlobalHorizontalIrradiance = 0, SunshineDuration = 0, DiffuseHorizontalIrradiance = 0, AmbientTemp = -0,8, WindSpeed = 8,82, SnowDepth = 0, Weight = 0, Age = 4,204829699306377, MeasuredPower = , HasMeasuredPower = False },LEG.PV.Data.Processor.DataRecords+PvRecord,"27.11.2025 07:15:00",0,0,"0,9095760221444958",0,0,0,0,"-0,8","8,82",0,0,"4,204829699306377","",False</t>
  </si>
  <si>
    <t>PvRecord { Timestamp = 27.11.2025 07:30:00, Index = 0, DirectGeometryFactor = 0, DiffuseGeometryFactor = 0,9095760221444958, CosSunElevation = 0, GlobalHorizontalIrradiance = 0, SunshineDuration = 0, DiffuseHorizontalIrradiance = 0, AmbientTemp = -0,8500000000000001, WindSpeed = 8,82, SnowDepth = 0, Weight = 0, Age = 4,20485821919446, MeasuredPower = , HasMeasuredPower = False },LEG.PV.Data.Processor.DataRecords+PvRecord,"27.11.2025 07:30:00",0,0,"0,9095760221444958",0,0,0,0,"-0,8500000000000001","8,82",0,0,"4,20485821919446","",False</t>
  </si>
  <si>
    <t>PvRecord { Timestamp = 27.11.2025 07:45:00, Index = 0, DirectGeometryFactor = 0, DiffuseGeometryFactor = 0,9095760221444958, CosSunElevation = 0,009711687076621803, GlobalHorizontalIrradiance = 0, SunshineDuration = 0, DiffuseHorizontalIrradiance = 0, AmbientTemp = -0,9, WindSpeed = 10,26, SnowDepth = 0, Weight = 0, Age = 4,204886739082541, MeasuredPower = , HasMeasuredPower = False },LEG.PV.Data.Processor.DataRecords+PvRecord,"27.11.2025 07:45:00",0,0,"0,9095760221444958","0,009711687076621803",0,0,0,"-0,9","10,26",0,0,"4,204886739082541","",False</t>
  </si>
  <si>
    <t>PvRecord { Timestamp = 27.11.2025 08:00:00, Index = 0, DirectGeometryFactor = 0,5131749105732718, DiffuseGeometryFactor = 0,9095760221444958, CosSunElevation = 0,043044682067644696, GlobalHorizontalIrradiance = 0, SunshineDuration = 0, DiffuseHorizontalIrradiance = 0, AmbientTemp = -0,9, WindSpeed = 10,620000000000001, SnowDepth = 0, Weight = 0, Age = 4,2049152589706225, MeasuredPower = , HasMeasuredPower = False },LEG.PV.Data.Processor.DataRecords+PvRecord,"27.11.2025 08:00:00",0,"0,5131749105732718","0,9095760221444958","0,043044682067644696",0,0,0,"-0,9","10,620000000000001",0,0,"4,2049152589706225","",False</t>
  </si>
  <si>
    <t>PvRecord { Timestamp = 27.11.2025 08:15:00, Index = 0, DirectGeometryFactor = 0,5551197564523643, DiffuseGeometryFactor = 0,9095760221444958, CosSunElevation = 0,07705153116640737, GlobalHorizontalIrradiance = 1,5999999999999999, SunshineDuration = 0, DiffuseHorizontalIrradiance = 20,4, AmbientTemp = -0,9500000000000001, WindSpeed = 10,620000000000001, SnowDepth = 0, Weight = 0, Age = 4,204943778858704, MeasuredPower = , HasMeasuredPower = False },LEG.PV.Data.Processor.DataRecords+PvRecord,"27.11.2025 08:15:00",0,"0,5551197564523643","0,9095760221444958","0,07705153116640737","1,5999999999999999",0,"20,4","-0,9500000000000001","10,620000000000001",0,0,"4,204943778858704","",False</t>
  </si>
  <si>
    <t>PvRecord { Timestamp = 27.11.2025 08:30:00, Index = 0, DirectGeometryFactor = 0,5949423103647314, DiffuseGeometryFactor = 0,9095760221444958, CosSunElevation = 0,11034024566564708, GlobalHorizontalIrradiance = 15,716666666666669, SunshineDuration = 0, DiffuseHorizontalIrradiance = 18,15, AmbientTemp = -0,9500000000000001, WindSpeed = 10,08, SnowDepth = 0, Weight = 0, Age = 4,204972298746785, MeasuredPower = , HasMeasuredPower = False },LEG.PV.Data.Processor.DataRecords+PvRecord,"27.11.2025 08:30:00",0,"0,5949423103647314","0,9095760221444958","0,11034024566564708","15,716666666666669",0,"18,15","-0,9500000000000001","10,08",0,0,"4,204972298746785","",False</t>
  </si>
  <si>
    <t>PvRecord { Timestamp = 27.11.2025 08:45:00, Index = 0, DirectGeometryFactor = 0,6321217535318279, DiffuseGeometryFactor = 0,9095760221444958, CosSunElevation = 0,14235016373364304, GlobalHorizontalIrradiance = 47,55, SunshineDuration = 0, DiffuseHorizontalIrradiance = 31,15, AmbientTemp = -1, WindSpeed = 10,26, SnowDepth = 0, Weight = 0, Age = 4,2050008186348675, MeasuredPower = , HasMeasuredPower = False },LEG.PV.Data.Processor.DataRecords+PvRecord,"27.11.2025 08:45:00",0,"0,6321217535318279","0,9095760221444958","0,14235016373364304","47,55",0,"31,15",-1,"10,26",0,0,"4,2050008186348675","",False</t>
  </si>
  <si>
    <t>PvRecord { Timestamp = 27.11.2025 09:00:00, Index = 0, DirectGeometryFactor = 0,6663658777610852, DiffuseGeometryFactor = 0,9095760221444958, CosSunElevation = 0,1727848825635071, GlobalHorizontalIrradiance = 75,36666666666667, SunshineDuration = 0, DiffuseHorizontalIrradiance = 46,35, AmbientTemp = -0,95, WindSpeed = 9, SnowDepth = 0, Weight = 0, Age = 4,205029338522949, MeasuredPower = , HasMeasuredPower = False },LEG.PV.Data.Processor.DataRecords+PvRecord,"27.11.2025 09:00:00",0,"0,6663658777610852","0,9095760221444958","0,1727848825635071","75,36666666666667",0,"46,35","-0,95",9,0,0,"4,205029338522949","",False</t>
  </si>
  <si>
    <t>PvRecord { Timestamp = 27.11.2025 09:15:00, Index = 0, DirectGeometryFactor = 0,6974686191300856, DiffuseGeometryFactor = 0,9095760221444958, CosSunElevation = 0,20144266696717586, GlobalHorizontalIrradiance = 113,16666666666666, SunshineDuration = 0, DiffuseHorizontalIrradiance = 59,05, AmbientTemp = -0,8500000000000001, WindSpeed = 9,18, SnowDepth = 0, Weight = 0, Age = 4,20505785841103, MeasuredPower = , HasMeasuredPower = False },LEG.PV.Data.Processor.DataRecords+PvRecord,"27.11.2025 09:15:00",0,"0,6974686191300856","0,9095760221444958","0,20144266696717586","113,16666666666666",0,"59,05","-0,8500000000000001","9,18",0,0,"4,20505785841103","",False</t>
  </si>
  <si>
    <t>PvRecord { Timestamp = 27.11.2025 09:30:00, Index = 0, DirectGeometryFactor = 0,7252667179131553, DiffuseGeometryFactor = 0,9095760221444958, CosSunElevation = 0,22816454493409824, GlobalHorizontalIrradiance = 113,96666666666667, SunshineDuration = 0, DiffuseHorizontalIrradiance = 68, AmbientTemp = -0,7, WindSpeed = 9,9, SnowDepth = 0, Weight = 0, Age = 4,205086378299112, MeasuredPower = , HasMeasuredPower = False },LEG.PV.Data.Processor.DataRecords+PvRecord,"27.11.2025 09:30:00",0,"0,7252667179131553","0,9095760221444958","0,22816454493409824","113,96666666666667",0,68,"-0,7","9,9",0,0,"4,205086378299112","",False</t>
  </si>
  <si>
    <t>PvRecord { Timestamp = 27.11.2025 09:45:00, Index = 0, DirectGeometryFactor = 0,7496244355775918, DiffuseGeometryFactor = 0,9095760221444958, CosSunElevation = 0,25281587496165586, GlobalHorizontalIrradiance = 103,91666666666666, SunshineDuration = 0, DiffuseHorizontalIrradiance = 82,94999999999999, AmbientTemp = -0,55, WindSpeed = 11,34, SnowDepth = 0, Weight = 0, Age = 4,205114898187193, MeasuredPower = , HasMeasuredPower = False },LEG.PV.Data.Processor.DataRecords+PvRecord,"27.11.2025 09:45:00",0,"0,7496244355775918","0,9095760221444958","0,25281587496165586","103,91666666666666",0,"82,94999999999999","-0,55","11,34",0,0,"4,205114898187193","",False</t>
  </si>
  <si>
    <t>PvRecord { Timestamp = 27.11.2025 10:00:00, Index = 0, DirectGeometryFactor = 0,7704275158175156, DiffuseGeometryFactor = 0,9095760221444958, CosSunElevation = 0,2752789924376915, GlobalHorizontalIrradiance = 89,61666666666665, SunshineDuration = 0, DiffuseHorizontalIrradiance = 99,4, AmbientTemp = -0,3, WindSpeed = 12,419999999999998, SnowDepth = 0, Weight = 0, Age = 4,205143418075275, MeasuredPower = , HasMeasuredPower = False },LEG.PV.Data.Processor.DataRecords+PvRecord,"27.11.2025 10:00:00",0,"0,7704275158175156","0,9095760221444958","0,2752789924376915","89,61666666666665",0,"99,4","-0,3","12,419999999999998",0,0,"4,205143418075275","",False</t>
  </si>
  <si>
    <t>PvRecord { Timestamp = 27.11.2025 10:15:00, Index = 0, DirectGeometryFactor = 0,7875806196230138, DiffuseGeometryFactor = 0,9095760221444958, CosSunElevation = 0,2954500503362712, GlobalHorizontalIrradiance = 143,73333333333335, SunshineDuration = 0, DiffuseHorizontalIrradiance = 104,15, AmbientTemp = -0,1, WindSpeed = 11,879999999999999, SnowDepth = 0, Weight = 0, Age = 4,205171937963357, MeasuredPower = , HasMeasuredPower = False },LEG.PV.Data.Processor.DataRecords+PvRecord,"27.11.2025 10:15:00",0,"0,7875806196230138","0,9095760221444958","0,2954500503362712","143,73333333333335",0,"104,15","-0,1","11,879999999999999",0,0,"4,205171937963357","",False</t>
  </si>
  <si>
    <t>PvRecord { Timestamp = 27.11.2025 10:30:00, Index = 0, DirectGeometryFactor = 0,8010061987381911, DiffuseGeometryFactor = 0,9095760221444958, CosSunElevation = 0,3132376212732035, GlobalHorizontalIrradiance = 203,78333333333333, SunshineDuration = 0, DiffuseHorizontalIrradiance = 115,3, AmbientTemp = 0,1, WindSpeed = 9,360000000000001, SnowDepth = 0, Weight = 0, Age = 4,205200457851438, MeasuredPower = , HasMeasuredPower = False },LEG.PV.Data.Processor.DataRecords+PvRecord,"27.11.2025 10:30:00",0,"0,8010061987381911","0,9095760221444958","0,3132376212732035","203,78333333333333",0,"115,3","0,1","9,360000000000001",0,0,"4,205200457851438","",False</t>
  </si>
  <si>
    <t>PvRecord { Timestamp = 27.11.2025 10:45:00, Index = 0, DirectGeometryFactor = 0,810644001973413, DiffuseGeometryFactor = 0,9095760221444958, CosSunElevation = 0,3285620968272291, GlobalHorizontalIrradiance = 261,31666666666666, SunshineDuration = 0, DiffuseHorizontalIrradiance = 122,3, AmbientTemp = 0,4, WindSpeed = 6,66, SnowDepth = 0, Weight = 0, Age = 4,2052289777395195, MeasuredPower = , HasMeasuredPower = False },LEG.PV.Data.Processor.DataRecords+PvRecord,"27.11.2025 10:45:00",0,"0,810644001973413","0,9095760221444958","0,3285620968272291","261,31666666666666",0,"122,3","0,4","6,66",0,0,"4,2052289777395195","",False</t>
  </si>
  <si>
    <t>PvRecord { Timestamp = 27.11.2025 11:00:00, Index = 0, DirectGeometryFactor = 0,8164508639437255, DiffuseGeometryFactor = 0,9095760221444958, CosSunElevation = 0,3413554642718033, GlobalHorizontalIrradiance = 211,88333333333333, SunshineDuration = 0, DiffuseHorizontalIrradiance = 127,25, AmbientTemp = 0,65, WindSpeed = 6,300000000000001, SnowDepth = 0, Weight = 0, Age = 4,205257497627601, MeasuredPower = , HasMeasuredPower = False },LEG.PV.Data.Processor.DataRecords+PvRecord,"27.11.2025 11:00:00",0,"0,8164508639437255","0,9095760221444958","0,3413554642718033","211,88333333333333",0,"127,25","0,65","6,300000000000001",0,0,"4,205257497627601","",False</t>
  </si>
  <si>
    <t>PvRecord { Timestamp = 27.11.2025 11:15:00, Index = 0, DirectGeometryFactor = 0,818400611414039, DiffuseGeometryFactor = 0,9095760221444958, CosSunElevation = 0,3515612628709026, GlobalHorizontalIrradiance = 222,15, SunshineDuration = 0, DiffuseHorizontalIrradiance = 133,75, AmbientTemp = 0,9500000000000001, WindSpeed = 8,1, SnowDepth = 0, Weight = 0, Age = 4,205286017515683, MeasuredPower = , HasMeasuredPower = False },LEG.PV.Data.Processor.DataRecords+PvRecord,"27.11.2025 11:15:00",0,"0,818400611414039","0,9095760221444958","0,3515612628709026","222,15",0,"133,75","0,9500000000000001","8,1",0,0,"4,205286017515683","",False</t>
  </si>
  <si>
    <t>PvRecord { Timestamp = 27.11.2025 11:30:00, Index = 0, DirectGeometryFactor = 0,8164840050318016, DiffuseGeometryFactor = 0,9095760221444958, CosSunElevation = 0,3591346207255808, GlobalHorizontalIrradiance = 246,21666666666664, SunshineDuration = 0, DiffuseHorizontalIrradiance = 143,85, AmbientTemp = 1,2, WindSpeed = 8,82, SnowDepth = 0, Weight = 0, Age = 4,205314537403765, MeasuredPower = , HasMeasuredPower = False },LEG.PV.Data.Processor.DataRecords+PvRecord,"27.11.2025 11:30:00",0,"0,8164840050318016","0,9095760221444958","0,3591346207255808","246,21666666666664",0,"143,85","1,2","8,82",0,0,"4,205314537403765","",False</t>
  </si>
  <si>
    <t>PvRecord { Timestamp = 27.11.2025 11:45:00, Index = 0, DirectGeometryFactor = 0,8107086731576063, DiffuseGeometryFactor = 0,9095760221444958, CosSunElevation = 0,36404231979743973, GlobalHorizontalIrradiance = 195,93333333333334, SunshineDuration = 0, DiffuseHorizontalIrradiance = 139,2, AmbientTemp = 1,55, WindSpeed = 7,92, SnowDepth = 0, Weight = 0, Age = 4,205343057291846, MeasuredPower = , HasMeasuredPower = False },LEG.PV.Data.Processor.DataRecords+PvRecord,"27.11.2025 11:45:00",0,"0,8107086731576063","0,9095760221444958","0,36404231979743973","195,93333333333334",0,"139,2","1,55","7,92",0,0,"4,205343057291846","",False</t>
  </si>
  <si>
    <t>PvRecord { Timestamp = 27.11.2025 12:00:00, Index = 0, DirectGeometryFactor = 0,8010990143879437, DiffuseGeometryFactor = 0,9095760221444958, CosSunElevation = 0,36626286026503413, GlobalHorizontalIrradiance = 142,91666666666666, SunshineDuration = 0, DiffuseHorizontalIrradiance = 135,64999999999998, AmbientTemp = 1,85, WindSpeed = 6,840000000000001, SnowDepth = 0, Weight = 0, Age = 4,205371577179927, MeasuredPower = , HasMeasuredPower = False },LEG.PV.Data.Processor.DataRecords+PvRecord,"27.11.2025 12:00:00",0,"0,8010990143879437","0,9095760221444958","0,36626286026503413","142,91666666666666",0,"135,64999999999998","1,85","6,840000000000001",0,0,"4,205371577179927","",False</t>
  </si>
  <si>
    <t>PvRecord { Timestamp = 27.11.2025 12:15:00, Index = 0, DirectGeometryFactor = 0,7876960562550931, DiffuseGeometryFactor = 0,9095760221444958, CosSunElevation = 0,36578650841511356, GlobalHorizontalIrradiance = 182,03333333333333, SunshineDuration = 0, DiffuseHorizontalIrradiance = 130,05, AmbientTemp = 2,1, WindSpeed = 5,94, SnowDepth = 0, Weight = 0, Age = 4,205400097068009, MeasuredPower = , HasMeasuredPower = False },LEG.PV.Data.Processor.DataRecords+PvRecord,"27.11.2025 12:15:00",0,"0,7876960562550931","0,9095760221444958","0,36578650841511356","182,03333333333333",0,"130,05","2,1","5,94",0,0,"4,205400097068009","",False</t>
  </si>
  <si>
    <t>PvRecord { Timestamp = 27.11.2025 12:30:00, Index = 0, DirectGeometryFactor = 0,7705572637812308, DiffuseGeometryFactor = 0,9095760221444958, CosSunElevation = 0,3626153196647706, GlobalHorizontalIrradiance = 184,33333333333334, SunshineDuration = 0, DiffuseHorizontalIrradiance = 124,6, AmbientTemp = 2,3, WindSpeed = 5,04, SnowDepth = 0, Weight = 0, Age = 4,205428616956091, MeasuredPower = , HasMeasuredPower = False },LEG.PV.Data.Processor.DataRecords+PvRecord,"27.11.2025 12:30:00",0,"0,7705572637812308","0,9095760221444958","0,3626153196647706","184,33333333333334",0,"124,6","2,3","5,04",0,0,"4,205428616956091","",False</t>
  </si>
  <si>
    <t>PvRecord { Timestamp = 27.11.2025 12:45:00, Index = 0, DirectGeometryFactor = 0,749756296092394, DiffuseGeometryFactor = 0,9095760221444958, CosSunElevation = 0,35676313332443454, GlobalHorizontalIrradiance = 242,14999999999998, SunshineDuration = 0, DiffuseHorizontalIrradiance = 127,15, AmbientTemp = 2,4, WindSpeed = 5,220000000000001, SnowDepth = 0, Weight = 0, Age = 4,205457136844172, MeasuredPower = , HasMeasuredPower = False },LEG.PV.Data.Processor.DataRecords+PvRecord,"27.11.2025 12:45:00",0,"0,749756296092394","0,9095760221444958","0,35676313332443454","242,14999999999998",0,"127,15","2,4","5,220000000000001",0,0,"4,205457136844172","",False</t>
  </si>
  <si>
    <t>PvRecord { Timestamp = 27.11.2025 13:00:00, Index = 0, DirectGeometryFactor = 0,7253827126627685, DiffuseGeometryFactor = 0,9095760221444958, CosSunElevation = 0,34825553986327973, GlobalHorizontalIrradiance = 168,61666666666665, SunshineDuration = 0, DiffuseHorizontalIrradiance = 130,15, AmbientTemp = 2,55, WindSpeed = 6,84, SnowDepth = 0, Weight = 0, Age = 4,205485656732254, MeasuredPower = , HasMeasuredPower = False },LEG.PV.Data.Processor.DataRecords+PvRecord,"27.11.2025 13:00:00",0,"0,7253827126627685","0,9095760221444958","0,34825553986327973","168,61666666666665",0,"130,15","2,55","6,84",0,0,"4,205485656732254","",False</t>
  </si>
  <si>
    <t>PvRecord { Timestamp = 27.11.2025 13:15:00, Index = 0, DirectGeometryFactor = 0,6975416342074996, DiffuseGeometryFactor = 0,9095760221444958, CosSunElevation = 0,33712982556525695, GlobalHorizontalIrradiance = 108,18333333333334, SunshineDuration = 0, DiffuseHorizontalIrradiance = 129,15, AmbientTemp = 2,6, WindSpeed = 7,38, SnowDepth = 0, Weight = 0, Age = 4,205514176620335, MeasuredPower = , HasMeasuredPower = False },LEG.PV.Data.Processor.DataRecords+PvRecord,"27.11.2025 13:15:00",0,"0,6975416342074996","0,9095760221444958","0,33712982556525695","108,18333333333334",0,"129,15","2,6","7,38",0,0,"4,205514176620335","",False</t>
  </si>
  <si>
    <t>PvRecord { Timestamp = 27.11.2025 13:30:00, Index = 0, DirectGeometryFactor = 0,6663533684905489, DiffuseGeometryFactor = 0,9095760221444958, CosSunElevation = 0,323434905301869, GlobalHorizontalIrradiance = 121,23333333333332, SunshineDuration = 0, DiffuseHorizontalIrradiance = 128,6, AmbientTemp = 2,75, WindSpeed = 7,38, SnowDepth = 0, Weight = 0, Age = 4,205542696508417, MeasuredPower = , HasMeasuredPower = False },LEG.PV.Data.Processor.DataRecords+PvRecord,"27.11.2025 13:30:00",0,"0,6663533684905489","0,9095760221444958","0,323434905301869","121,23333333333332",0,"128,6","2,75","7,38",0,0,"4,205542696508417","",False</t>
  </si>
  <si>
    <t>PvRecord { Timestamp = 27.11.2025 13:45:00, Index = 0, DirectGeometryFactor = 0,6319530184764472, DiffuseGeometryFactor = 0,9095760221444958, CosSunElevation = 0,3072312630627509, GlobalHorizontalIrradiance = 118,33333333333334, SunshineDuration = 0, DiffuseHorizontalIrradiance = 125,6, AmbientTemp = 2,75, WindSpeed = 7,0200000000000005, SnowDepth = 0, Weight = 0, Age = 4,205571216396499, MeasuredPower = , HasMeasuredPower = False },LEG.PV.Data.Processor.DataRecords+PvRecord,"27.11.2025 13:45:00",0,"0,6319530184764472","0,9095760221444958","0,3072312630627509","118,33333333333334",0,"125,6","2,75","7,0200000000000005",0,0,"4,205571216396499","",False</t>
  </si>
  <si>
    <t>PvRecord { Timestamp = 27.11.2025 14:00:00, Index = 0, DirectGeometryFactor = 0,5944901031787637, DiffuseGeometryFactor = 0,9095760221444958, CosSunElevation = 0,2885909355512249, GlobalHorizontalIrradiance = 108,1, SunshineDuration = 0, DiffuseHorizontalIrradiance = 108,4, AmbientTemp = 2,8, WindSpeed = 6,120000000000001, SnowDepth = 0, Weight = 0, Age = 4,20559973628458, MeasuredPower = , HasMeasuredPower = False },LEG.PV.Data.Processor.DataRecords+PvRecord,"27.11.2025 14:00:00",0,"0,5944901031787637","0,9095760221444958","0,2885909355512249","108,1",0,"108,4","2,8","6,120000000000001",0,0,"4,20559973628458","",False</t>
  </si>
  <si>
    <t>PvRecord { Timestamp = 27.11.2025 14:15:00, Index = 0, DirectGeometryFactor = 0,5541282469113974, DiffuseGeometryFactor = 0,9095760221444958, CosSunElevation = 0,2675976043751844, GlobalHorizontalIrradiance = 116,36666666666666, SunshineDuration = 0, DiffuseHorizontalIrradiance = 102, AmbientTemp = 2,9, WindSpeed = 6,48, SnowDepth = 0, Weight = 0, Age = 4,205628256172662, MeasuredPower = , HasMeasuredPower = False },LEG.PV.Data.Processor.DataRecords+PvRecord,"27.11.2025 14:15:00",0,"0,5541282469113974","0,9095760221444958","0,2675976043751844","116,36666666666666",0,102,"2,9","6,48",0,0,"4,205628256172662","",False</t>
  </si>
  <si>
    <t>PvRecord { Timestamp = 27.11.2025 14:30:00, Index = 0, DirectGeometryFactor = 0,51104504190301, DiffuseGeometryFactor = 0,9095760221444958, CosSunElevation = 0,2443469225721047, GlobalHorizontalIrradiance = 96,18333333333334, SunshineDuration = 0, DiffuseHorizontalIrradiance = 106,15, AmbientTemp = 2,9, WindSpeed = 6,66, SnowDepth = 0, Weight = 0, Age = 4,205656776060743, MeasuredPower = , HasMeasuredPower = False },LEG.PV.Data.Processor.DataRecords+PvRecord,"27.11.2025 14:30:00",0,"0,51104504190301","0,9095760221444958","0,2443469225721047","96,18333333333334",0,"106,15","2,9","6,66",0,0,"4,205656776060743","",False</t>
  </si>
  <si>
    <t>PvRecord { Timestamp = 27.11.2025 14:45:00, Index = 0, DirectGeometryFactor = 0,46543229634395955, DiffuseGeometryFactor = 0,9095760221444958, CosSunElevation = 0,21894733137824166, GlobalHorizontalIrradiance = 103, SunshineDuration = 0, DiffuseHorizontalIrradiance = 94,85, AmbientTemp = 2,95, WindSpeed = 7,5600000000000005, SnowDepth = 0, Weight = 0, Age = 4,2056852959488245, MeasuredPower = , HasMeasuredPower = False },LEG.PV.Data.Processor.DataRecords+PvRecord,"27.11.2025 14:45:00",0,"0,46543229634395955","0,9095760221444958","0,21894733137824166",103,0,"94,85","2,95","7,5600000000000005",0,0,"4,2056852959488245","",False</t>
  </si>
  <si>
    <t>PvRecord { Timestamp = 27.11.2025 15:00:00, Index = 0, DirectGeometryFactor = 0,41749712953912754, DiffuseGeometryFactor = 0,9095760221444958, CosSunElevation = 0,1915219259130837, GlobalHorizontalIrradiance = 91,05, SunshineDuration = 0, DiffuseHorizontalIrradiance = 86,9, AmbientTemp = 2,95, WindSpeed = 8,82, SnowDepth = 0, Weight = 0, Age = 4,205713815836907, MeasuredPower = , HasMeasuredPower = False },LEG.PV.Data.Processor.DataRecords+PvRecord,"27.11.2025 15:00:00",0,"0,41749712953912754","0,9095760221444958","0,1915219259130837","91,05",0,"86,9","2,95","8,82",0,0,"4,205713815836907","",False</t>
  </si>
  <si>
    <t>PvRecord { Timestamp = 27.11.2025 15:15:00, Index = 0, DirectGeometryFactor = 0,36746500426840284, DiffuseGeometryFactor = 0,9095760221444958, CosSunElevation = 0,16221269268082653, GlobalHorizontalIrradiance = 80,35, SunshineDuration = 0, DiffuseHorizontalIrradiance = 73,25, AmbientTemp = 2,95, WindSpeed = 9,719999999999999, SnowDepth = 0, Weight = 0, Age = 4,205742335724988, MeasuredPower = , HasMeasuredPower = False },LEG.PV.Data.Processor.DataRecords+PvRecord,"27.11.2025 15:15:00",0,"0,36746500426840284","0,9095760221444958","0,16221269268082653","80,35",0,"73,25","2,95","9,719999999999999",0,0,"4,205742335724988","",False</t>
  </si>
  <si>
    <t>PvRecord { Timestamp = 27.11.2025 15:30:00, Index = 0, DirectGeometryFactor = 0,31558755102655706, DiffuseGeometryFactor = 0,9095760221444958, CosSunElevation = 0,13119058613705237, GlobalHorizontalIrradiance = 66,33333333333334, SunshineDuration = 0, DiffuseHorizontalIrradiance = 62,45, AmbientTemp = 2,9, WindSpeed = 9,719999999999999, SnowDepth = 0, Weight = 0, Age = 4,2057708556130695, MeasuredPower = , HasMeasuredPower = False },LEG.PV.Data.Processor.DataRecords+PvRecord,"27.11.2025 15:30:00",0,"0,31558755102655706","0,9095760221444958","0,13119058613705237","66,33333333333334",0,"62,45","2,9","9,719999999999999",0,0,"4,2057708556130695","",False</t>
  </si>
  <si>
    <t>PvRecord { Timestamp = 27.11.2025 15:45:00, Index = 0, DirectGeometryFactor = 0, DiffuseGeometryFactor = 0,9095760221444958, CosSunElevation = 0,09868172706829074, GlobalHorizontalIrradiance = 60,86666666666666, SunshineDuration = 0, DiffuseHorizontalIrradiance = 50,7, AmbientTemp = 2,8499999999999996, WindSpeed = 9, SnowDepth = 0, Weight = 0, Age = 4,205799375501151, MeasuredPower = , HasMeasuredPower = False },LEG.PV.Data.Processor.DataRecords+PvRecord,"27.11.2025 15:45:00",0,0,"0,9095760221444958","0,09868172706829074","60,86666666666666",0,"50,7","2,8499999999999996",9,0,0,"4,205799375501151","",False</t>
  </si>
  <si>
    <t>PvRecord { Timestamp = 27.11.2025 16:00:00, Index = 0, DirectGeometryFactor = 0, DiffuseGeometryFactor = 0,9095760221444958, CosSunElevation = 0,06504501416406758, GlobalHorizontalIrradiance = 54,03333333333333, SunshineDuration = 0, DiffuseHorizontalIrradiance = 36,4, AmbientTemp = 2,75, WindSpeed = 8,64, SnowDepth = 0, Weight = 0, Age = 4,205827895389232, MeasuredPower = , HasMeasuredPower = False },LEG.PV.Data.Processor.DataRecords+PvRecord,"27.11.2025 16:00:00",0,0,"0,9095760221444958","0,06504501416406758","54,03333333333333",0,"36,4","2,75","8,64",0,0,"4,205827895389232","",False</t>
  </si>
  <si>
    <t>PvRecord { Timestamp = 27.11.2025 16:15:00, Index = 0, DirectGeometryFactor = 0, DiffuseGeometryFactor = 0,9095760221444958, CosSunElevation = 0,031037914670318828, GlobalHorizontalIrradiance = 28,53333333333333, SunshineDuration = 0, DiffuseHorizontalIrradiance = 25,6, AmbientTemp = 2,6500000000000004, WindSpeed = 8,1, SnowDepth = 0, Weight = 0, Age = 4,205856415277315, MeasuredPower = , HasMeasuredPower = False },LEG.PV.Data.Processor.DataRecords+PvRecord,"27.11.2025 16:15:00",0,0,"0,9095760221444958","0,031037914670318828","28,53333333333333",0,"25,6","2,6500000000000004","8,1",0,0,"4,205856415277315","",False</t>
  </si>
  <si>
    <t>PvRecord { Timestamp = 27.11.2025 16:30:00, Index = 0, DirectGeometryFactor = 0, DiffuseGeometryFactor = 0,9095760221444958, CosSunElevation = 0, GlobalHorizontalIrradiance = 8,916666666666664, SunshineDuration = 0, DiffuseHorizontalIrradiance = 14,05, AmbientTemp = 2,55, WindSpeed = 8,46, SnowDepth = 0, Weight = 0, Age = 4,205884935165396, MeasuredPower = , HasMeasuredPower = False },LEG.PV.Data.Processor.DataRecords+PvRecord,"27.11.2025 16:30:00",0,0,"0,9095760221444958",0,"8,916666666666664",0,"14,05","2,55","8,46",0,0,"4,205884935165396","",False</t>
  </si>
  <si>
    <t>PvRecord { Timestamp = 27.11.2025 16:45:00, Index = 0, DirectGeometryFactor = 0, DiffuseGeometryFactor = 0,9095760221444958, CosSunElevation = 0, GlobalHorizontalIrradiance = 0,7333333333333333, SunshineDuration = 0, DiffuseHorizontalIrradiance = 3,15, AmbientTemp = 2,4000000000000004, WindSpeed = 8,46, SnowDepth = 0, Weight = 0, Age = 4,205913455053477, MeasuredPower = , HasMeasuredPower = False },LEG.PV.Data.Processor.DataRecords+PvRecord,"27.11.2025 16:45:00",0,0,"0,9095760221444958",0,"0,7333333333333333",0,"3,15","2,4000000000000004","8,46",0,0,"4,205913455053477","",False</t>
  </si>
  <si>
    <t>PvRecord { Timestamp = 27.11.2025 17:00:00, Index = 0, DirectGeometryFactor = 0, DiffuseGeometryFactor = 0,9095760221444958, CosSunElevation = 0, GlobalHorizontalIrradiance = 0, SunshineDuration = 0, DiffuseHorizontalIrradiance = 0, AmbientTemp = 2,2, WindSpeed = 9, SnowDepth = 0, Weight = 0, Age = 4,205941974941559, MeasuredPower = , HasMeasuredPower = False },LEG.PV.Data.Processor.DataRecords+PvRecord,"27.11.2025 17:00:00",0,0,"0,9095760221444958",0,0,0,0,"2,2",9,0,0,"4,205941974941559","",False</t>
  </si>
  <si>
    <t>PvRecord { Timestamp = 27.11.2025 17:15:00, Index = 0, DirectGeometryFactor = 0, DiffuseGeometryFactor = 0,9095760221444958, CosSunElevation = 0, GlobalHorizontalIrradiance = 0, SunshineDuration = 0, DiffuseHorizontalIrradiance = 0, AmbientTemp = 2,05, WindSpeed = 8,82, SnowDepth = 0, Weight = 0, Age = 4,20597049482964, MeasuredPower = , HasMeasuredPower = False },LEG.PV.Data.Processor.DataRecords+PvRecord,"27.11.2025 17:15:00",0,0,"0,9095760221444958",0,0,0,0,"2,05","8,82",0,0,"4,20597049482964","",False</t>
  </si>
  <si>
    <t>PvRecord { Timestamp = 27.11.2025 17:30:00, Index = 0, DirectGeometryFactor = 0, DiffuseGeometryFactor = 0,9095760221444958, CosSunElevation = 0, GlobalHorizontalIrradiance = 0, SunshineDuration = 0, DiffuseHorizontalIrradiance = 0, AmbientTemp = 1,85, WindSpeed = 9, SnowDepth = 0, Weight = 0, Age = 4,205999014717722, MeasuredPower = , HasMeasuredPower = False },LEG.PV.Data.Processor.DataRecords+PvRecord,"27.11.2025 17:30:00",0,0,"0,9095760221444958",0,0,0,0,"1,85",9,0,0,"4,205999014717722","",False</t>
  </si>
  <si>
    <t>PvRecord { Timestamp = 27.11.2025 17:45:00, Index = 0, DirectGeometryFactor = 0, DiffuseGeometryFactor = 0,9095760221444958, CosSunElevation = 0, GlobalHorizontalIrradiance = 0, SunshineDuration = 0, DiffuseHorizontalIrradiance = 0, AmbientTemp = 1,7, WindSpeed = 8,64, SnowDepth = 0, Weight = 0, Age = 4,206027534605804, MeasuredPower = , HasMeasuredPower = False },LEG.PV.Data.Processor.DataRecords+PvRecord,"27.11.2025 17:45:00",0,0,"0,9095760221444958",0,0,0,0,"1,7","8,64",0,0,"4,206027534605804","",False</t>
  </si>
  <si>
    <t>PvRecord { Timestamp = 27.11.2025 18:00:00, Index = 0, DirectGeometryFactor = 0, DiffuseGeometryFactor = 0,9095760221444958, CosSunElevation = 0, GlobalHorizontalIrradiance = 0, SunshineDuration = 0, DiffuseHorizontalIrradiance = 0, AmbientTemp = 1,5499999999999998, WindSpeed = 8,1, SnowDepth = 0, Weight = 0, Age = 4,206056054493885, MeasuredPower = , HasMeasuredPower = False },LEG.PV.Data.Processor.DataRecords+PvRecord,"27.11.2025 18:00:00",0,0,"0,9095760221444958",0,0,0,0,"1,5499999999999998","8,1",0,0,"4,206056054493885","",False</t>
  </si>
  <si>
    <t>PvRecord { Timestamp = 27.11.2025 18:15:00, Index = 0, DirectGeometryFactor = 0, DiffuseGeometryFactor = 0,9095760221444958, CosSunElevation = 0, GlobalHorizontalIrradiance = 0, SunshineDuration = 0, DiffuseHorizontalIrradiance = 0, AmbientTemp = 1,3, WindSpeed = 7,5600000000000005, SnowDepth = 0, Weight = 0, Age = 4,206084574381967, MeasuredPower = , HasMeasuredPower = False },LEG.PV.Data.Processor.DataRecords+PvRecord,"27.11.2025 18:15:00",0,0,"0,9095760221444958",0,0,0,0,"1,3","7,5600000000000005",0,0,"4,206084574381967","",False</t>
  </si>
  <si>
    <t>PvRecord { Timestamp = 27.11.2025 18:30:00, Index = 0, DirectGeometryFactor = 0, DiffuseGeometryFactor = 0,9095760221444958, CosSunElevation = 0, GlobalHorizontalIrradiance = 0, SunshineDuration = 0, DiffuseHorizontalIrradiance = 0, AmbientTemp = 1,2, WindSpeed = 6,66, SnowDepth = 0, Weight = 0, Age = 4,206113094270049, MeasuredPower = , HasMeasuredPower = False },LEG.PV.Data.Processor.DataRecords+PvRecord,"27.11.2025 18:30:00",0,0,"0,9095760221444958",0,0,0,0,"1,2","6,66",0,0,"4,206113094270049","",False</t>
  </si>
  <si>
    <t>PvRecord { Timestamp = 27.11.2025 18:45:00, Index = 0, DirectGeometryFactor = 0, DiffuseGeometryFactor = 0,9095760221444958, CosSunElevation = 0, GlobalHorizontalIrradiance = 0, SunshineDuration = 0, DiffuseHorizontalIrradiance = 0, AmbientTemp = 1,05, WindSpeed = 5,58, SnowDepth = 0, Weight = 0, Age = 4,20614161415813, MeasuredPower = , HasMeasuredPower = False },LEG.PV.Data.Processor.DataRecords+PvRecord,"27.11.2025 18:45:00",0,0,"0,9095760221444958",0,0,0,0,"1,05","5,58",0,0,"4,20614161415813","",False</t>
  </si>
  <si>
    <t>PvRecord { Timestamp = 27.11.2025 19:00:00, Index = 0, DirectGeometryFactor = 0, DiffuseGeometryFactor = 0,9095760221444958, CosSunElevation = 0, GlobalHorizontalIrradiance = 0, SunshineDuration = 0, DiffuseHorizontalIrradiance = 0, AmbientTemp = 0,9, WindSpeed = 3,7800000000000002, SnowDepth = 0, Weight = 0, Age = 4,206170134046212, MeasuredPower = , HasMeasuredPower = False },LEG.PV.Data.Processor.DataRecords+PvRecord,"27.11.2025 19:00:00",0,0,"0,9095760221444958",0,0,0,0,"0,9","3,7800000000000002",0,0,"4,206170134046212","",False</t>
  </si>
  <si>
    <t>PvRecord { Timestamp = 27.11.2025 19:15:00, Index = 0, DirectGeometryFactor = 0, DiffuseGeometryFactor = 0,9095760221444958, CosSunElevation = 0, GlobalHorizontalIrradiance = 0, SunshineDuration = 0, DiffuseHorizontalIrradiance = 0, AmbientTemp = 0,75, WindSpeed = 3,6000000000000005, SnowDepth = 0, Weight = 0, Age = 4,206198653934293, MeasuredPower = , HasMeasuredPower = False },LEG.PV.Data.Processor.DataRecords+PvRecord,"27.11.2025 19:15:00",0,0,"0,9095760221444958",0,0,0,0,"0,75","3,6000000000000005",0,0,"4,206198653934293","",False</t>
  </si>
  <si>
    <t>PvRecord { Timestamp = 27.11.2025 19:30:00, Index = 0, DirectGeometryFactor = 0, DiffuseGeometryFactor = 0,9095760221444958, CosSunElevation = 0, GlobalHorizontalIrradiance = 0, SunshineDuration = 0, DiffuseHorizontalIrradiance = 0, AmbientTemp = 0,6, WindSpeed = 3,6000000000000005, SnowDepth = 0, Weight = 0, Age = 4,206227173822374, MeasuredPower = , HasMeasuredPower = False },LEG.PV.Data.Processor.DataRecords+PvRecord,"27.11.2025 19:30:00",0,0,"0,9095760221444958",0,0,0,0,"0,6","3,6000000000000005",0,0,"4,206227173822374","",False</t>
  </si>
  <si>
    <t>PvRecord { Timestamp = 27.11.2025 19:45:00, Index = 0, DirectGeometryFactor = 0, DiffuseGeometryFactor = 0,9095760221444958, CosSunElevation = 0, GlobalHorizontalIrradiance = 0, SunshineDuration = 0, DiffuseHorizontalIrradiance = 0, AmbientTemp = 0,4, WindSpeed = 3,6000000000000005, SnowDepth = 0, Weight = 0, Age = 4,206255693710457, MeasuredPower = , HasMeasuredPower = False },LEG.PV.Data.Processor.DataRecords+PvRecord,"27.11.2025 19:45:00",0,0,"0,9095760221444958",0,0,0,0,"0,4","3,6000000000000005",0,0,"4,206255693710457","",False</t>
  </si>
  <si>
    <t>PvRecord { Timestamp = 27.11.2025 20:00:00, Index = 0, DirectGeometryFactor = 0, DiffuseGeometryFactor = 0,9095760221444958, CosSunElevation = 0, GlobalHorizontalIrradiance = 0, SunshineDuration = 0, DiffuseHorizontalIrradiance = 0, AmbientTemp = 0,25, WindSpeed = 3,24, SnowDepth = 0, Weight = 0, Age = 4,206284213598538, MeasuredPower = , HasMeasuredPower = False },LEG.PV.Data.Processor.DataRecords+PvRecord,"27.11.2025 20:00:00",0,0,"0,9095760221444958",0,0,0,0,"0,25","3,24",0,0,"4,206284213598538","",False</t>
  </si>
  <si>
    <t>PvRecord { Timestamp = 27.11.2025 20:15:00, Index = 0, DirectGeometryFactor = 0, DiffuseGeometryFactor = 0,9095760221444958, CosSunElevation = 0, GlobalHorizontalIrradiance = 0, SunshineDuration = 0, DiffuseHorizontalIrradiance = 0, AmbientTemp = 0,15000000000000002, WindSpeed = 2,7, SnowDepth = 0, Weight = 0, Age = 4,2063127334866195, MeasuredPower = , HasMeasuredPower = False },LEG.PV.Data.Processor.DataRecords+PvRecord,"27.11.2025 20:15:00",0,0,"0,9095760221444958",0,0,0,0,"0,15000000000000002","2,7",0,0,"4,2063127334866195","",False</t>
  </si>
  <si>
    <t>PvRecord { Timestamp = 27.11.2025 20:30:00, Index = 0, DirectGeometryFactor = 0, DiffuseGeometryFactor = 0,9095760221444958, CosSunElevation = 0, GlobalHorizontalIrradiance = 0, SunshineDuration = 0, DiffuseHorizontalIrradiance = 0, AmbientTemp = 0,05, WindSpeed = 1,9800000000000002, SnowDepth = 0, Weight = 0, Age = 4,206341253374701, MeasuredPower = , HasMeasuredPower = False },LEG.PV.Data.Processor.DataRecords+PvRecord,"27.11.2025 20:30:00",0,0,"0,9095760221444958",0,0,0,0,"0,05","1,9800000000000002",0,0,"4,206341253374701","",False</t>
  </si>
  <si>
    <t>PvRecord { Timestamp = 27.11.2025 20:45:00, Index = 0, DirectGeometryFactor = 0, DiffuseGeometryFactor = 0,9095760221444958, CosSunElevation = 0, GlobalHorizontalIrradiance = 0, SunshineDuration = 0, DiffuseHorizontalIrradiance = 0, AmbientTemp = -0,1, WindSpeed = 2,8800000000000003, SnowDepth = 0, Weight = 0, Age = 4,206369773262782, MeasuredPower = , HasMeasuredPower = False },LEG.PV.Data.Processor.DataRecords+PvRecord,"27.11.2025 20:45:00",0,0,"0,9095760221444958",0,0,0,0,"-0,1","2,8800000000000003",0,0,"4,206369773262782","",False</t>
  </si>
  <si>
    <t>PvRecord { Timestamp = 27.11.2025 21:00:00, Index = 0, DirectGeometryFactor = 0, DiffuseGeometryFactor = 0,9095760221444958, CosSunElevation = 0, GlobalHorizontalIrradiance = 0, SunshineDuration = 0, DiffuseHorizontalIrradiance = 0, AmbientTemp = -0,25, WindSpeed = 3,4200000000000004, SnowDepth = 0, Weight = 0, Age = 4,2063982931508646, MeasuredPower = , HasMeasuredPower = False },LEG.PV.Data.Processor.DataRecords+PvRecord,"27.11.2025 21:00:00",0,0,"0,9095760221444958",0,0,0,0,"-0,25","3,4200000000000004",0,0,"4,2063982931508646","",False</t>
  </si>
  <si>
    <t>PvRecord { Timestamp = 27.11.2025 21:15:00, Index = 0, DirectGeometryFactor = 0, DiffuseGeometryFactor = 0,9095760221444958, CosSunElevation = 0, GlobalHorizontalIrradiance = 0, SunshineDuration = 0, DiffuseHorizontalIrradiance = 0, AmbientTemp = -0,25, WindSpeed = 3,9600000000000004, SnowDepth = 0, Weight = 0, Age = 4,206426813038946, MeasuredPower = , HasMeasuredPower = False },LEG.PV.Data.Processor.DataRecords+PvRecord,"27.11.2025 21:15:00",0,0,"0,9095760221444958",0,0,0,0,"-0,25","3,9600000000000004",0,0,"4,206426813038946","",False</t>
  </si>
  <si>
    <t>PvRecord { Timestamp = 27.11.2025 21:30:00, Index = 0, DirectGeometryFactor = 0, DiffuseGeometryFactor = 0,9095760221444958, CosSunElevation = 0, GlobalHorizontalIrradiance = 0, SunshineDuration = 0, DiffuseHorizontalIrradiance = 0, AmbientTemp = -0,35, WindSpeed = 4,5, SnowDepth = 0, Weight = 0, Age = 4,206455332927027, MeasuredPower = , HasMeasuredPower = False },LEG.PV.Data.Processor.DataRecords+PvRecord,"27.11.2025 21:30:00",0,0,"0,9095760221444958",0,0,0,0,"-0,35","4,5",0,0,"4,206455332927027","",False</t>
  </si>
  <si>
    <t>PvRecord { Timestamp = 27.11.2025 21:45:00, Index = 0, DirectGeometryFactor = 0, DiffuseGeometryFactor = 0,9095760221444958, CosSunElevation = 0, GlobalHorizontalIrradiance = 0, SunshineDuration = 0, DiffuseHorizontalIrradiance = 0, AmbientTemp = -0,45, WindSpeed = 4,5, SnowDepth = 0, Weight = 0, Age = 4,206483852815109, MeasuredPower = , HasMeasuredPower = False },LEG.PV.Data.Processor.DataRecords+PvRecord,"27.11.2025 21:45:00",0,0,"0,9095760221444958",0,0,0,0,"-0,45","4,5",0,0,"4,206483852815109","",False</t>
  </si>
  <si>
    <t>PvRecord { Timestamp = 27.11.2025 22:00:00, Index = 0, DirectGeometryFactor = 0, DiffuseGeometryFactor = 0,9095760221444958, CosSunElevation = 0, GlobalHorizontalIrradiance = 0, SunshineDuration = 0, DiffuseHorizontalIrradiance = 0, AmbientTemp = -0,5, WindSpeed = 5,94, SnowDepth = 0, Weight = 0, Age = 4,20651237270319, MeasuredPower = , HasMeasuredPower = False },LEG.PV.Data.Processor.DataRecords+PvRecord,"27.11.2025 22:00:00",0,0,"0,9095760221444958",0,0,0,0,"-0,5","5,94",0,0,"4,20651237270319","",False</t>
  </si>
  <si>
    <t>PvRecord { Timestamp = 27.11.2025 22:15:00, Index = 0, DirectGeometryFactor = 0, DiffuseGeometryFactor = 0,9095760221444958, CosSunElevation = 0, GlobalHorizontalIrradiance = 0, SunshineDuration = 0, DiffuseHorizontalIrradiance = 0, AmbientTemp = -0,55, WindSpeed = 5,76, SnowDepth = 0, Weight = 0, Age = 4,206540892591272, MeasuredPower = , HasMeasuredPower = False },LEG.PV.Data.Processor.DataRecords+PvRecord,"27.11.2025 22:15:00",0,0,"0,9095760221444958",0,0,0,0,"-0,55","5,76",0,0,"4,206540892591272","",False</t>
  </si>
  <si>
    <t>PvRecord { Timestamp = 27.11.2025 22:30:00, Index = 0, DirectGeometryFactor = 0, DiffuseGeometryFactor = 0,9095760221444958, CosSunElevation = 0, GlobalHorizontalIrradiance = 0, SunshineDuration = 0, DiffuseHorizontalIrradiance = 0, AmbientTemp = -0,6499999999999999, WindSpeed = 5,220000000000001, SnowDepth = 0, Weight = 0, Age = 4,206569412479354, MeasuredPower = , HasMeasuredPower = False },LEG.PV.Data.Processor.DataRecords+PvRecord,"27.11.2025 22:30:00",0,0,"0,9095760221444958",0,0,0,0,"-0,6499999999999999","5,220000000000001",0,0,"4,206569412479354","",False</t>
  </si>
  <si>
    <t>PvRecord { Timestamp = 27.11.2025 22:45:00, Index = 0, DirectGeometryFactor = 0, DiffuseGeometryFactor = 0,9095760221444958, CosSunElevation = 0, GlobalHorizontalIrradiance = 0, SunshineDuration = 0, DiffuseHorizontalIrradiance = 0, AmbientTemp = -0,7, WindSpeed = 5,58, SnowDepth = 0, Weight = 0, Age = 4,206597932367435, MeasuredPower = , HasMeasuredPower = False },LEG.PV.Data.Processor.DataRecords+PvRecord,"27.11.2025 22:45:00",0,0,"0,9095760221444958",0,0,0,0,"-0,7","5,58",0,0,"4,206597932367435","",False</t>
  </si>
  <si>
    <t>PvRecord { Timestamp = 27.11.2025 23:00:00, Index = 0, DirectGeometryFactor = 0, DiffuseGeometryFactor = 0,9095760221444958, CosSunElevation = 0, GlobalHorizontalIrradiance = 0, SunshineDuration = 0, DiffuseHorizontalIrradiance = 0, AmbientTemp = -0,8, WindSpeed = 5,04, SnowDepth = 0, Weight = 0, Age = 4,206626452255517, MeasuredPower = , HasMeasuredPower = False },LEG.PV.Data.Processor.DataRecords+PvRecord,"27.11.2025 23:00:00",0,0,"0,9095760221444958",0,0,0,0,"-0,8","5,04",0,0,"4,206626452255517","",False</t>
  </si>
  <si>
    <t>PvRecord { Timestamp = 27.11.2025 23:15:00, Index = 0, DirectGeometryFactor = 0, DiffuseGeometryFactor = 0,9095760221444958, CosSunElevation = 0, GlobalHorizontalIrradiance = 0, SunshineDuration = 0, DiffuseHorizontalIrradiance = 0, AmbientTemp = -0,9, WindSpeed = 5,04, SnowDepth = 0, Weight = 0, Age = 4,206654972143598, MeasuredPower = , HasMeasuredPower = False },LEG.PV.Data.Processor.DataRecords+PvRecord,"27.11.2025 23:15:00",0,0,"0,9095760221444958",0,0,0,0,"-0,9","5,04",0,0,"4,206654972143598","",False</t>
  </si>
  <si>
    <t>PvRecord { Timestamp = 27.11.2025 23:30:00, Index = 0, DirectGeometryFactor = 0, DiffuseGeometryFactor = 0,9095760221444958, CosSunElevation = 0, GlobalHorizontalIrradiance = 0, SunshineDuration = 0, DiffuseHorizontalIrradiance = 0, AmbientTemp = -1, WindSpeed = 5,4, SnowDepth = 0, Weight = 0, Age = 4,20668349203168, MeasuredPower = , HasMeasuredPower = False },LEG.PV.Data.Processor.DataRecords+PvRecord,"27.11.2025 23:30:00",0,0,"0,9095760221444958",0,0,0,0,-1,"5,4",0,0,"4,20668349203168","",False</t>
  </si>
  <si>
    <t>PvRecord { Timestamp = 27.11.2025 23:45:00, Index = 0, DirectGeometryFactor = 0, DiffuseGeometryFactor = 0,9095760221444958, CosSunElevation = 0, GlobalHorizontalIrradiance = 0, SunshineDuration = 0, DiffuseHorizontalIrradiance = 0, AmbientTemp = -1,15, WindSpeed = 7,0200000000000005, SnowDepth = 0, Weight = 0, Age = 4,206712011919762, MeasuredPower = , HasMeasuredPower = False },LEG.PV.Data.Processor.DataRecords+PvRecord,"27.11.2025 23:45:00",0,0,"0,9095760221444958",0,0,0,0,"-1,15","7,0200000000000005",0,0,"4,206712011919762","",False</t>
  </si>
  <si>
    <t>PvRecord { Timestamp = 28.11.2025 00:00:00, Index = 0, DirectGeometryFactor = 0, DiffuseGeometryFactor = 0,9095760221444958, CosSunElevation = 0, GlobalHorizontalIrradiance = 0, SunshineDuration = 0, DiffuseHorizontalIrradiance = 0, AmbientTemp = -1,3, WindSpeed = 8,82, SnowDepth = 0, Weight = 0, Age = 4,206740531807843, MeasuredPower = , HasMeasuredPower = False },LEG.PV.Data.Processor.DataRecords+PvRecord,"28.11.2025 00:00:00",0,0,"0,9095760221444958",0,0,0,0,"-1,3","8,82",0,0,"4,206740531807843","",False</t>
  </si>
  <si>
    <t>PvRecord { Timestamp = 28.11.2025 00:15:00, Index = 0, DirectGeometryFactor = 0, DiffuseGeometryFactor = 0,9095760221444958, CosSunElevation = 0, GlobalHorizontalIrradiance = 0, SunshineDuration = 0, DiffuseHorizontalIrradiance = 0, AmbientTemp = -1,4, WindSpeed = 9,719999999999999, SnowDepth = 0, Weight = 0, Age = 4,206769051695924, MeasuredPower = , HasMeasuredPower = False },LEG.PV.Data.Processor.DataRecords+PvRecord,"28.11.2025 00:15:00",0,0,"0,9095760221444958",0,0,0,0,"-1,4","9,719999999999999",0,0,"4,206769051695924","",False</t>
  </si>
  <si>
    <t>PvRecord { Timestamp = 28.11.2025 00:30:00, Index = 0, DirectGeometryFactor = 0, DiffuseGeometryFactor = 0,9095760221444958, CosSunElevation = 0, GlobalHorizontalIrradiance = 0, SunshineDuration = 0, DiffuseHorizontalIrradiance = 0, AmbientTemp = -1,5, WindSpeed = 9,36, SnowDepth = 0, Weight = 0, Age = 4,206797571584006, MeasuredPower = , HasMeasuredPower = False },LEG.PV.Data.Processor.DataRecords+PvRecord,"28.11.2025 00:30:00",0,0,"0,9095760221444958",0,0,0,0,"-1,5","9,36",0,0,"4,206797571584006","",False</t>
  </si>
  <si>
    <t>PvRecord { Timestamp = 28.11.2025 00:45:00, Index = 0, DirectGeometryFactor = 0, DiffuseGeometryFactor = 0,9095760221444958, CosSunElevation = 0, GlobalHorizontalIrradiance = 0, SunshineDuration = 0, DiffuseHorizontalIrradiance = 0, AmbientTemp = -1,6, WindSpeed = 7,92, SnowDepth = 0, Weight = 0, Age = 4,206826091472088, MeasuredPower = , HasMeasuredPower = False },LEG.PV.Data.Processor.DataRecords+PvRecord,"28.11.2025 00:45:00",0,0,"0,9095760221444958",0,0,0,0,"-1,6","7,92",0,0,"4,206826091472088","",False</t>
  </si>
  <si>
    <t>PvRecord { Timestamp = 28.11.2025 01:00:00, Index = 0, DirectGeometryFactor = 0, DiffuseGeometryFactor = 0,9095760221444958, CosSunElevation = 0, GlobalHorizontalIrradiance = 0, SunshineDuration = 0, DiffuseHorizontalIrradiance = 0, AmbientTemp = -1,65, WindSpeed = 6,84, SnowDepth = 0, Weight = 0, Age = 4,2068546113601695, MeasuredPower = , HasMeasuredPower = False },LEG.PV.Data.Processor.DataRecords+PvRecord,"28.11.2025 01:00:00",0,0,"0,9095760221444958",0,0,0,0,"-1,65","6,84",0,0,"4,2068546113601695","",False</t>
  </si>
  <si>
    <t>PvRecord { Timestamp = 28.11.2025 01:15:00, Index = 0, DirectGeometryFactor = 0, DiffuseGeometryFactor = 0,9095760221444958, CosSunElevation = 0, GlobalHorizontalIrradiance = 0, SunshineDuration = 0, DiffuseHorizontalIrradiance = 0, AmbientTemp = -1,75, WindSpeed = 5,220000000000001, SnowDepth = 0, Weight = 0, Age = 4,206883131248251, MeasuredPower = , HasMeasuredPower = False },LEG.PV.Data.Processor.DataRecords+PvRecord,"28.11.2025 01:15:00",0,0,"0,9095760221444958",0,0,0,0,"-1,75","5,220000000000001",0,0,"4,206883131248251","",False</t>
  </si>
  <si>
    <t>PvRecord { Timestamp = 28.11.2025 01:30:00, Index = 0, DirectGeometryFactor = 0, DiffuseGeometryFactor = 0,9095760221444958, CosSunElevation = 0, GlobalHorizontalIrradiance = 0, SunshineDuration = 0, DiffuseHorizontalIrradiance = 0, AmbientTemp = -1,7999999999999998, WindSpeed = 3,7800000000000002, SnowDepth = 0, Weight = 0, Age = 4,206911651136332, MeasuredPower = , HasMeasuredPower = False },LEG.PV.Data.Processor.DataRecords+PvRecord,"28.11.2025 01:30:00",0,0,"0,9095760221444958",0,0,0,0,"-1,7999999999999998","3,7800000000000002",0,0,"4,206911651136332","",False</t>
  </si>
  <si>
    <t>PvRecord { Timestamp = 28.11.2025 01:45:00, Index = 0, DirectGeometryFactor = 0, DiffuseGeometryFactor = 0,9095760221444958, CosSunElevation = 0, GlobalHorizontalIrradiance = 0, SunshineDuration = 0, DiffuseHorizontalIrradiance = 0, AmbientTemp = -1,8499999999999999, WindSpeed = 2,16, SnowDepth = 0, Weight = 0, Age = 4,206940171024414, MeasuredPower = , HasMeasuredPower = False },LEG.PV.Data.Processor.DataRecords+PvRecord,"28.11.2025 01:45:00",0,0,"0,9095760221444958",0,0,0,0,"-1,8499999999999999","2,16",0,0,"4,206940171024414","",False</t>
  </si>
  <si>
    <t>PvRecord { Timestamp = 28.11.2025 02:00:00, Index = 0, DirectGeometryFactor = 0, DiffuseGeometryFactor = 0,9095760221444958, CosSunElevation = 0, GlobalHorizontalIrradiance = 0, SunshineDuration = 0, DiffuseHorizontalIrradiance = 0, AmbientTemp = -1,9, WindSpeed = 1,26, SnowDepth = 0, Weight = 0, Age = 4,206968690912496, MeasuredPower = , HasMeasuredPower = False },LEG.PV.Data.Processor.DataRecords+PvRecord,"28.11.2025 02:00:00",0,0,"0,9095760221444958",0,0,0,0,"-1,9","1,26",0,0,"4,206968690912496","",False</t>
  </si>
  <si>
    <t>PvRecord { Timestamp = 28.11.2025 02:15:00, Index = 0, DirectGeometryFactor = 0, DiffuseGeometryFactor = 0,9095760221444958, CosSunElevation = 0, GlobalHorizontalIrradiance = 0, SunshineDuration = 0, DiffuseHorizontalIrradiance = 0, AmbientTemp = -2, WindSpeed = 2,16, SnowDepth = 0, Weight = 0, Age = 4,206997210800577, MeasuredPower = , HasMeasuredPower = False },LEG.PV.Data.Processor.DataRecords+PvRecord,"28.11.2025 02:15:00",0,0,"0,9095760221444958",0,0,0,0,-2,"2,16",0,0,"4,206997210800577","",False</t>
  </si>
  <si>
    <t>PvRecord { Timestamp = 28.11.2025 02:30:00, Index = 0, DirectGeometryFactor = 0, DiffuseGeometryFactor = 0,9095760221444958, CosSunElevation = 0, GlobalHorizontalIrradiance = 0, SunshineDuration = 0, DiffuseHorizontalIrradiance = 0, AmbientTemp = -2, WindSpeed = 2,16, SnowDepth = 0, Weight = 0, Age = 4,207025730688659, MeasuredPower = , HasMeasuredPower = False },LEG.PV.Data.Processor.DataRecords+PvRecord,"28.11.2025 02:30:00",0,0,"0,9095760221444958",0,0,0,0,-2,"2,16",0,0,"4,207025730688659","",False</t>
  </si>
  <si>
    <t>PvRecord { Timestamp = 28.11.2025 02:45:00, Index = 0, DirectGeometryFactor = 0, DiffuseGeometryFactor = 0,9095760221444958, CosSunElevation = 0, GlobalHorizontalIrradiance = 0, SunshineDuration = 0, DiffuseHorizontalIrradiance = 0, AmbientTemp = -2, WindSpeed = 3,24, SnowDepth = 0, Weight = 0, Age = 4,20705425057674, MeasuredPower = , HasMeasuredPower = False },LEG.PV.Data.Processor.DataRecords+PvRecord,"28.11.2025 02:45:00",0,0,"0,9095760221444958",0,0,0,0,-2,"3,24",0,0,"4,20705425057674","",False</t>
  </si>
  <si>
    <t>PvRecord { Timestamp = 28.11.2025 03:00:00, Index = 0, DirectGeometryFactor = 0, DiffuseGeometryFactor = 0,9095760221444958, CosSunElevation = 0, GlobalHorizontalIrradiance = 0, SunshineDuration = 0, DiffuseHorizontalIrradiance = 0, AmbientTemp = -2,05, WindSpeed = 2,8800000000000003, SnowDepth = 0, Weight = 0, Age = 4,2070827704648215, MeasuredPower = , HasMeasuredPower = False },LEG.PV.Data.Processor.DataRecords+PvRecord,"28.11.2025 03:00:00",0,0,"0,9095760221444958",0,0,0,0,"-2,05","2,8800000000000003",0,0,"4,2070827704648215","",False</t>
  </si>
  <si>
    <t>PvRecord { Timestamp = 28.11.2025 03:15:00, Index = 0, DirectGeometryFactor = 0, DiffuseGeometryFactor = 0,9095760221444958, CosSunElevation = 0, GlobalHorizontalIrradiance = 0, SunshineDuration = 0, DiffuseHorizontalIrradiance = 0, AmbientTemp = -2,05, WindSpeed = 3,24, SnowDepth = 0, Weight = 0, Age = 4,207111290352904, MeasuredPower = , HasMeasuredPower = False },LEG.PV.Data.Processor.DataRecords+PvRecord,"28.11.2025 03:15:00",0,0,"0,9095760221444958",0,0,0,0,"-2,05","3,24",0,0,"4,207111290352904","",False</t>
  </si>
  <si>
    <t>PvRecord { Timestamp = 28.11.2025 03:30:00, Index = 0, DirectGeometryFactor = 0, DiffuseGeometryFactor = 0,9095760221444958, CosSunElevation = 0, GlobalHorizontalIrradiance = 0, SunshineDuration = 0, DiffuseHorizontalIrradiance = 0, AmbientTemp = -2,1, WindSpeed = 3,06, SnowDepth = 0, Weight = 0, Age = 4,207139810240985, MeasuredPower = , HasMeasuredPower = False },LEG.PV.Data.Processor.DataRecords+PvRecord,"28.11.2025 03:30:00",0,0,"0,9095760221444958",0,0,0,0,"-2,1","3,06",0,0,"4,207139810240985","",False</t>
  </si>
  <si>
    <t>PvRecord { Timestamp = 28.11.2025 03:45:00, Index = 0, DirectGeometryFactor = 0, DiffuseGeometryFactor = 0,9095760221444958, CosSunElevation = 0, GlobalHorizontalIrradiance = 0, SunshineDuration = 0, DiffuseHorizontalIrradiance = 0, AmbientTemp = -2,2, WindSpeed = 2,3400000000000003, SnowDepth = 0, Weight = 0, Age = 4,2071683301290665, MeasuredPower = , HasMeasuredPower = False },LEG.PV.Data.Processor.DataRecords+PvRecord,"28.11.2025 03:45:00",0,0,"0,9095760221444958",0,0,0,0,"-2,2","2,3400000000000003",0,0,"4,2071683301290665","",False</t>
  </si>
  <si>
    <t>PvRecord { Timestamp = 28.11.2025 04:00:00, Index = 0, DirectGeometryFactor = 0, DiffuseGeometryFactor = 0,9095760221444958, CosSunElevation = 0, GlobalHorizontalIrradiance = 0, SunshineDuration = 0, DiffuseHorizontalIrradiance = 0, AmbientTemp = -2,25, WindSpeed = 2,3400000000000003, SnowDepth = 0, Weight = 0, Age = 4,207196850017148, MeasuredPower = , HasMeasuredPower = False },LEG.PV.Data.Processor.DataRecords+PvRecord,"28.11.2025 04:00:00",0,0,"0,9095760221444958",0,0,0,0,"-2,25","2,3400000000000003",0,0,"4,207196850017148","",False</t>
  </si>
  <si>
    <t>PvRecord { Timestamp = 28.11.2025 04:15:00, Index = 0, DirectGeometryFactor = 0, DiffuseGeometryFactor = 0,9095760221444958, CosSunElevation = 0, GlobalHorizontalIrradiance = 0, SunshineDuration = 0, DiffuseHorizontalIrradiance = 0, AmbientTemp = -2,3, WindSpeed = 3,4200000000000004, SnowDepth = 0, Weight = 0, Age = 4,207225369905229, MeasuredPower = , HasMeasuredPower = False },LEG.PV.Data.Processor.DataRecords+PvRecord,"28.11.2025 04:15:00",0,0,"0,9095760221444958",0,0,0,0,"-2,3","3,4200000000000004",0,0,"4,207225369905229","",False</t>
  </si>
  <si>
    <t>PvRecord { Timestamp = 28.11.2025 04:30:00, Index = 0, DirectGeometryFactor = 0, DiffuseGeometryFactor = 0,9095760221444958, CosSunElevation = 0, GlobalHorizontalIrradiance = 0, SunshineDuration = 0, DiffuseHorizontalIrradiance = 0, AmbientTemp = -2,3, WindSpeed = 2,52, SnowDepth = 0, Weight = 0, Age = 4,207253889793312, MeasuredPower = , HasMeasuredPower = False },LEG.PV.Data.Processor.DataRecords+PvRecord,"28.11.2025 04:30:00",0,0,"0,9095760221444958",0,0,0,0,"-2,3","2,52",0,0,"4,207253889793312","",False</t>
  </si>
  <si>
    <t>PvRecord { Timestamp = 28.11.2025 04:45:00, Index = 0, DirectGeometryFactor = 0, DiffuseGeometryFactor = 0,9095760221444958, CosSunElevation = 0, GlobalHorizontalIrradiance = 0, SunshineDuration = 0, DiffuseHorizontalIrradiance = 0, AmbientTemp = -2,35, WindSpeed = 1,62, SnowDepth = 0, Weight = 0, Age = 4,207282409681393, MeasuredPower = , HasMeasuredPower = False },LEG.PV.Data.Processor.DataRecords+PvRecord,"28.11.2025 04:45:00",0,0,"0,9095760221444958",0,0,0,0,"-2,35","1,62",0,0,"4,207282409681393","",False</t>
  </si>
  <si>
    <t>PvRecord { Timestamp = 28.11.2025 05:00:00, Index = 0, DirectGeometryFactor = 0, DiffuseGeometryFactor = 0,9095760221444958, CosSunElevation = 0, GlobalHorizontalIrradiance = 0, SunshineDuration = 0, DiffuseHorizontalIrradiance = 0, AmbientTemp = -2,3, WindSpeed = 1,4400000000000002, SnowDepth = 0, Weight = 0, Age = 4,207310929569474, MeasuredPower = , HasMeasuredPower = False },LEG.PV.Data.Processor.DataRecords+PvRecord,"28.11.2025 05:00:00",0,0,"0,9095760221444958",0,0,0,0,"-2,3","1,4400000000000002",0,0,"4,207310929569474","",False</t>
  </si>
  <si>
    <t>PvRecord { Timestamp = 28.11.2025 05:15:00, Index = 0, DirectGeometryFactor = 0, DiffuseGeometryFactor = 0,9095760221444958, CosSunElevation = 0, GlobalHorizontalIrradiance = 0, SunshineDuration = 0, DiffuseHorizontalIrradiance = 0, AmbientTemp = -2,3, WindSpeed = 2,3400000000000003, SnowDepth = 0, Weight = 0, Age = 4,207339449457556, MeasuredPower = , HasMeasuredPower = False },LEG.PV.Data.Processor.DataRecords+PvRecord,"28.11.2025 05:15:00",0,0,"0,9095760221444958",0,0,0,0,"-2,3","2,3400000000000003",0,0,"4,207339449457556","",False</t>
  </si>
  <si>
    <t>PvRecord { Timestamp = 28.11.2025 05:30:00, Index = 0, DirectGeometryFactor = 0, DiffuseGeometryFactor = 0,9095760221444958, CosSunElevation = 0, GlobalHorizontalIrradiance = 0, SunshineDuration = 0, DiffuseHorizontalIrradiance = 0, AmbientTemp = -2,35, WindSpeed = 1,98, SnowDepth = 0, Weight = 0, Age = 4,207367969345637, MeasuredPower = , HasMeasuredPower = False },LEG.PV.Data.Processor.DataRecords+PvRecord,"28.11.2025 05:30:00",0,0,"0,9095760221444958",0,0,0,0,"-2,35","1,98",0,0,"4,207367969345637","",False</t>
  </si>
  <si>
    <t>PvRecord { Timestamp = 28.11.2025 05:45:00, Index = 0, DirectGeometryFactor = 0, DiffuseGeometryFactor = 0,9095760221444958, CosSunElevation = 0, GlobalHorizontalIrradiance = 0, SunshineDuration = 0, DiffuseHorizontalIrradiance = 0, AmbientTemp = -2,3, WindSpeed = 2,3400000000000003, SnowDepth = 0, Weight = 0, Age = 4,2073964892337194, MeasuredPower = , HasMeasuredPower = False },LEG.PV.Data.Processor.DataRecords+PvRecord,"28.11.2025 05:45:00",0,0,"0,9095760221444958",0,0,0,0,"-2,3","2,3400000000000003",0,0,"4,2073964892337194","",False</t>
  </si>
  <si>
    <t>PvRecord { Timestamp = 28.11.2025 06:00:00, Index = 0, DirectGeometryFactor = 0, DiffuseGeometryFactor = 0,9095760221444958, CosSunElevation = 0, GlobalHorizontalIrradiance = 0, SunshineDuration = 0, DiffuseHorizontalIrradiance = 0, AmbientTemp = -2,4, WindSpeed = 3,4200000000000004, SnowDepth = 0, Weight = 0, Age = 4,207425009121801, MeasuredPower = , HasMeasuredPower = False },LEG.PV.Data.Processor.DataRecords+PvRecord,"28.11.2025 06:00:00",0,0,"0,9095760221444958",0,0,0,0,"-2,4","3,4200000000000004",0,0,"4,207425009121801","",False</t>
  </si>
  <si>
    <t>PvRecord { Timestamp = 28.11.2025 06:15:00, Index = 0, DirectGeometryFactor = 0, DiffuseGeometryFactor = 0,9095760221444958, CosSunElevation = 0, GlobalHorizontalIrradiance = 0, SunshineDuration = 0, DiffuseHorizontalIrradiance = 0, AmbientTemp = -2,4, WindSpeed = 3,9600000000000004, SnowDepth = 0, Weight = 0, Age = 4,207453529009882, MeasuredPower = , HasMeasuredPower = False },LEG.PV.Data.Processor.DataRecords+PvRecord,"28.11.2025 06:15:00",0,0,"0,9095760221444958",0,0,0,0,"-2,4","3,9600000000000004",0,0,"4,207453529009882","",False</t>
  </si>
  <si>
    <t>PvRecord { Timestamp = 28.11.2025 06:30:00, Index = 0, DirectGeometryFactor = 0, DiffuseGeometryFactor = 0,9095760221444958, CosSunElevation = 0, GlobalHorizontalIrradiance = 0, SunshineDuration = 0, DiffuseHorizontalIrradiance = 0, AmbientTemp = -2,4, WindSpeed = 3,7800000000000002, SnowDepth = 0, Weight = 0, Age = 4,207482048897964, MeasuredPower = , HasMeasuredPower = False },LEG.PV.Data.Processor.DataRecords+PvRecord,"28.11.2025 06:30:00",0,0,"0,9095760221444958",0,0,0,0,"-2,4","3,7800000000000002",0,0,"4,207482048897964","",False</t>
  </si>
  <si>
    <t>PvRecord { Timestamp = 28.11.2025 06:45:00, Index = 0, DirectGeometryFactor = 0, DiffuseGeometryFactor = 0,9095760221444958, CosSunElevation = 0, GlobalHorizontalIrradiance = 0, SunshineDuration = 0, DiffuseHorizontalIrradiance = 0, AmbientTemp = -2,35, WindSpeed = 5,220000000000001, SnowDepth = 0, Weight = 0, Age = 4,207510568786045, MeasuredPower = , HasMeasuredPower = False },LEG.PV.Data.Processor.DataRecords+PvRecord,"28.11.2025 06:45:00",0,0,"0,9095760221444958",0,0,0,0,"-2,35","5,220000000000001",0,0,"4,207510568786045","",False</t>
  </si>
  <si>
    <t>PvRecord { Timestamp = 28.11.2025 07:00:00, Index = 0, DirectGeometryFactor = 0, DiffuseGeometryFactor = 0,9095760221444958, CosSunElevation = 0, GlobalHorizontalIrradiance = 0, SunshineDuration = 0, DiffuseHorizontalIrradiance = 0, AmbientTemp = -2,25, WindSpeed = 6,300000000000001, SnowDepth = 0, Weight = 0, Age = 4,207539088674127, MeasuredPower = , HasMeasuredPower = False },LEG.PV.Data.Processor.DataRecords+PvRecord,"28.11.2025 07:00:00",0,0,"0,9095760221444958",0,0,0,0,"-2,25","6,300000000000001",0,0,"4,207539088674127","",False</t>
  </si>
  <si>
    <t>PvRecord { Timestamp = 28.11.2025 07:15:00, Index = 0, DirectGeometryFactor = 0, DiffuseGeometryFactor = 0,9095760221444958, CosSunElevation = 0, GlobalHorizontalIrradiance = 0, SunshineDuration = 0, DiffuseHorizontalIrradiance = 0, AmbientTemp = -2,2, WindSpeed = 7,5600000000000005, SnowDepth = 0, Weight = 0, Age = 4,207567608562209, MeasuredPower = , HasMeasuredPower = False },LEG.PV.Data.Processor.DataRecords+PvRecord,"28.11.2025 07:15:00",0,0,"0,9095760221444958",0,0,0,0,"-2,2","7,5600000000000005",0,0,"4,207567608562209","",False</t>
  </si>
  <si>
    <t>PvRecord { Timestamp = 28.11.2025 07:30:00, Index = 0, DirectGeometryFactor = 0, DiffuseGeometryFactor = 0,9095760221444958, CosSunElevation = 0, GlobalHorizontalIrradiance = 0, SunshineDuration = 0, DiffuseHorizontalIrradiance = 0, AmbientTemp = -2,05, WindSpeed = 7,02, SnowDepth = 0, Weight = 0, Age = 4,20759612845029, MeasuredPower = , HasMeasuredPower = False },LEG.PV.Data.Processor.DataRecords+PvRecord,"28.11.2025 07:30:00",0,0,"0,9095760221444958",0,0,0,0,"-2,05","7,02",0,0,"4,20759612845029","",False</t>
  </si>
  <si>
    <t>PvRecord { Timestamp = 28.11.2025 07:45:00, Index = 0, DirectGeometryFactor = 0, DiffuseGeometryFactor = 0,9095760221444958, CosSunElevation = 0,006910309655841585, GlobalHorizontalIrradiance = 0, SunshineDuration = 0, DiffuseHorizontalIrradiance = 0, AmbientTemp = -2, WindSpeed = 6,66, SnowDepth = 0, Weight = 0, Age = 4,2076246483383715, MeasuredPower = , HasMeasuredPower = False },LEG.PV.Data.Processor.DataRecords+PvRecord,"28.11.2025 07:45:00",0,0,"0,9095760221444958","0,006910309655841585",0,0,0,-2,"6,66",0,0,"4,2076246483383715","",False</t>
  </si>
  <si>
    <t>PvRecord { Timestamp = 28.11.2025 08:00:00, Index = 0, DirectGeometryFactor = 0,5109412078995231, DiffuseGeometryFactor = 0,9095760221444958, CosSunElevation = 0,039956693883456136, GlobalHorizontalIrradiance = 0, SunshineDuration = 0, DiffuseHorizontalIrradiance = 0, AmbientTemp = -1,9, WindSpeed = 5,76, SnowDepth = 0, Weight = 0, Age = 4,207653168226453, MeasuredPower = , HasMeasuredPower = False },LEG.PV.Data.Processor.DataRecords+PvRecord,"28.11.2025 08:00:00",0,"0,5109412078995231","0,9095760221444958","0,039956693883456136",0,0,0,"-1,9","5,76",0,0,"4,207653168226453","",False</t>
  </si>
  <si>
    <t>PvRecord { Timestamp = 28.11.2025 08:15:00, Index = 0, DirectGeometryFactor = 0,5528063313621506, DiffuseGeometryFactor = 0,9095760221444958, CosSunElevation = 0,0738485155210086, GlobalHorizontalIrradiance = 1,4499999999999997, SunshineDuration = 0, DiffuseHorizontalIrradiance = 0, AmbientTemp = -1,85, WindSpeed = 5,58, SnowDepth = 0, Weight = 0, Age = 4,207681688114535, MeasuredPower = , HasMeasuredPower = False },LEG.PV.Data.Processor.DataRecords+PvRecord,"28.11.2025 08:15:00",0,"0,5528063313621506","0,9095760221444958","0,0738485155210086","1,4499999999999997",0,0,"-1,85","5,58",0,0,"4,207681688114535","",False</t>
  </si>
  <si>
    <t>PvRecord { Timestamp = 28.11.2025 08:30:00, Index = 0, DirectGeometryFactor = 0,5926081129330774, DiffuseGeometryFactor = 0,9095760221444958, CosSunElevation = 0,10708866296044717, GlobalHorizontalIrradiance = 17,849999999999998, SunshineDuration = 0, DiffuseHorizontalIrradiance = 17,25, AmbientTemp = -1,8, WindSpeed = 4,32, SnowDepth = 0, Weight = 0, Age = 4,2077102080026165, MeasuredPower = , HasMeasuredPower = False },LEG.PV.Data.Processor.DataRecords+PvRecord,"28.11.2025 08:30:00",0,"0,5926081129330774","0,9095760221444958","0,10708866296044717","17,849999999999998",0,"17,25","-1,8","4,32",0,0,"4,2077102080026165","",False</t>
  </si>
  <si>
    <t>PvRecord { Timestamp = 28.11.2025 08:45:00, Index = 0, DirectGeometryFactor = 0,6297924088668923, DiffuseGeometryFactor = 0,9095760221444958, CosSunElevation = 0,13907703591227194, GlobalHorizontalIrradiance = 56,83333333333333, SunshineDuration = 0, DiffuseHorizontalIrradiance = 28,950000000000003, AmbientTemp = -1,7000000000000002, WindSpeed = 2,8800000000000003, SnowDepth = 0, Weight = 0, Age = 4,207738727890698, MeasuredPower = , HasMeasuredPower = False },LEG.PV.Data.Processor.DataRecords+PvRecord,"28.11.2025 08:45:00",0,"0,6297924088668923","0,9095760221444958","0,13907703591227194","56,83333333333333",0,"28,950000000000003","-1,7000000000000002","2,8800000000000003",0,0,"4,207738727890698","",False</t>
  </si>
  <si>
    <t>PvRecord { Timestamp = 28.11.2025 09:00:00, Index = 0, DirectGeometryFactor = 0,6640563198782775, DiffuseGeometryFactor = 0,9095760221444958, CosSunElevation = 0,16950460906472248, GlobalHorizontalIrradiance = 101,93333333333334, SunshineDuration = 0, DiffuseHorizontalIrradiance = 42,45, AmbientTemp = -1,65, WindSpeed = 2,3400000000000003, SnowDepth = 0, Weight = 0, Age = 4,207767247778779, MeasuredPower = , HasMeasuredPower = False },LEG.PV.Data.Processor.DataRecords+PvRecord,"28.11.2025 09:00:00",0,"0,6640563198782775","0,9095760221444958","0,16950460906472248","101,93333333333334",0,"42,45","-1,65","2,3400000000000003",0,0,"4,207767247778779","",False</t>
  </si>
  <si>
    <t>PvRecord { Timestamp = 28.11.2025 09:15:00, Index = 0, DirectGeometryFactor = 0,6951896828469282, DiffuseGeometryFactor = 0,9095760221444958, CosSunElevation = 0,1981648842382187, GlobalHorizontalIrradiance = 123,73333333333333, SunshineDuration = 0, DiffuseHorizontalIrradiance = 53,05, AmbientTemp = -1,6, WindSpeed = 3,24, SnowDepth = 0, Weight = 0, Age = 4,207795767666861, MeasuredPower = , HasMeasuredPower = False },LEG.PV.Data.Processor.DataRecords+PvRecord,"28.11.2025 09:15:00",0,"0,6951896828469282","0,9095760221444958","0,1981648842382187","123,73333333333333",0,"53,05","-1,6","3,24",0,0,"4,207795767666861","",False</t>
  </si>
  <si>
    <t>PvRecord { Timestamp = 28.11.2025 09:30:00, Index = 0, DirectGeometryFactor = 0,7230273605617916, DiffuseGeometryFactor = 0,9095760221444958, CosSunElevation = 0,2248967916768057, GlobalHorizontalIrradiance = 134,25, SunshineDuration = 0, DiffuseHorizontalIrradiance = 65,4, AmbientTemp = -1,4, WindSpeed = 3,7800000000000002, SnowDepth = 0, Weight = 0, Age = 4,207824287554943, MeasuredPower = , HasMeasuredPower = False },LEG.PV.Data.Processor.DataRecords+PvRecord,"28.11.2025 09:30:00",0,"0,7230273605617916","0,9095760221444958","0,2248967916768057","134,25",0,"65,4","-1,4","3,7800000000000002",0,0,"4,207824287554943","",False</t>
  </si>
  <si>
    <t>PvRecord { Timestamp = 28.11.2025 09:45:00, Index = 0, DirectGeometryFactor = 0,7474325940637704, DiffuseGeometryFactor = 0,9095760221444958, CosSunElevation = 0,24956463035673224, GlobalHorizontalIrradiance = 146,28333333333333, SunshineDuration = 0, DiffuseHorizontalIrradiance = 76,05, AmbientTemp = -1,25, WindSpeed = 4,68, SnowDepth = 0, Weight = 0, Age = 4,207852807443024, MeasuredPower = , HasMeasuredPower = False },LEG.PV.Data.Processor.DataRecords+PvRecord,"28.11.2025 09:45:00",0,"0,7474325940637704","0,9095760221444958","0,24956463035673224","146,28333333333333",0,"76,05","-1,25","4,68",0,0,"4,207852807443024","",False</t>
  </si>
  <si>
    <t>PvRecord { Timestamp = 28.11.2025 10:00:00, Index = 0, DirectGeometryFactor = 0,7682904705178106, DiffuseGeometryFactor = 0,9095760221444958, CosSunElevation = 0,2720501248223314, GlobalHorizontalIrradiance = 169,08333333333331, SunshineDuration = 0, DiffuseHorizontalIrradiance = 85,7, AmbientTemp = -1,05, WindSpeed = 5,760000000000001, SnowDepth = 0, Weight = 0, Age = 4,207881327331106, MeasuredPower = , HasMeasuredPower = False },LEG.PV.Data.Processor.DataRecords+PvRecord,"28.11.2025 10:00:00",0,"0,7682904705178106","0,9095760221444958","0,2720501248223314","169,08333333333331",0,"85,7","-1,05","5,760000000000001",0,0,"4,207881327331106","",False</t>
  </si>
  <si>
    <t>PvRecord { Timestamp = 28.11.2025 10:15:00, Index = 0, DirectGeometryFactor = 0,7855051574377436, DiffuseGeometryFactor = 0,9095760221444958, CosSunElevation = 0,2922490249734447, GlobalHorizontalIrradiance = 175,31666666666666, SunshineDuration = 0, DiffuseHorizontalIrradiance = 97,44999999999999, AmbientTemp = -0,9, WindSpeed = 7,020000000000001, SnowDepth = 0, Weight = 0, Age = 4,207909847219187, MeasuredPower = , HasMeasuredPower = False },LEG.PV.Data.Processor.DataRecords+PvRecord,"28.11.2025 10:15:00",0,"0,7855051574377436","0,9095760221444958","0,2922490249734447","175,31666666666666",0,"97,44999999999999","-0,9","7,020000000000001",0,0,"4,207909847219187","",False</t>
  </si>
  <si>
    <t>PvRecord { Timestamp = 28.11.2025 10:30:00, Index = 0, DirectGeometryFactor = 0,798998686303799, DiffuseGeometryFactor = 0,9095760221444958, CosSunElevation = 0,3100695997646255, GlobalHorizontalIrradiance = 185,1, SunshineDuration = 0, DiffuseHorizontalIrradiance = 105, AmbientTemp = -0,65, WindSpeed = 7,02, SnowDepth = 0, Weight = 0, Age = 4,2079383671072685, MeasuredPower = , HasMeasuredPower = False },LEG.PV.Data.Processor.DataRecords+PvRecord,"28.11.2025 10:30:00",0,"0,798998686303799","0,9095760221444958","0,3100695997646255","185,1",0,105,"-0,65","7,02",0,0,"4,2079383671072685","",False</t>
  </si>
  <si>
    <t>PvRecord { Timestamp = 28.11.2025 10:45:00, Index = 0, DirectGeometryFactor = 0,8087104157165736, DiffuseGeometryFactor = 0,9095760221444958, CosSunElevation = 0,3254319839513856, GlobalHorizontalIrradiance = 196,03333333333333, SunshineDuration = 0, DiffuseHorizontalIrradiance = 113,05000000000001, AmbientTemp = -0,4, WindSpeed = 7,5600000000000005, SnowDepth = 0, Weight = 0, Age = 4,207966886995351, MeasuredPower = , HasMeasuredPower = False },LEG.PV.Data.Processor.DataRecords+PvRecord,"28.11.2025 10:45:00",0,"0,8087104157165736","0,9095760221444958","0,3254319839513856","196,03333333333333",0,"113,05000000000001","-0,4","7,5600000000000005",0,0,"4,207966886995351","",False</t>
  </si>
  <si>
    <t>PvRecord { Timestamp = 28.11.2025 11:00:00, Index = 0, DirectGeometryFactor = 0,8145967983459542, DiffuseGeometryFactor = 0,9095760221444958, CosSunElevation = 0,33826792778175385, GlobalHorizontalIrradiance = 176,39999999999998, SunshineDuration = 0, DiffuseHorizontalIrradiance = 137,1, AmbientTemp = -0,15, WindSpeed = 7,5600000000000005, SnowDepth = 0, Weight = 0, Age = 4,207995406883432, MeasuredPower = , HasMeasuredPower = False },LEG.PV.Data.Processor.DataRecords+PvRecord,"28.11.2025 11:00:00",0,"0,8145967983459542","0,9095760221444958","0,33826792778175385","176,39999999999998",0,"137,1","-0,15","7,5600000000000005",0,0,"4,207995406883432","",False</t>
  </si>
  <si>
    <t>PvRecord { Timestamp = 28.11.2025 11:15:00, Index = 0, DirectGeometryFactor = 0,8166312759972856, DiffuseGeometryFactor = 0,9095760221444958, CosSunElevation = 0,348520738802615, GlobalHorizontalIrradiance = 166,1, SunshineDuration = 0, DiffuseHorizontalIrradiance = 132,8, AmbientTemp = 0,05, WindSpeed = 7,38, SnowDepth = 0, Weight = 0, Age = 4,208023926771514, MeasuredPower = , HasMeasuredPower = False },LEG.PV.Data.Processor.DataRecords+PvRecord,"28.11.2025 11:15:00",0,"0,8166312759972856","0,9095760221444958","0,348520738802615","166,1",0,"132,8","0,05","7,38",0,0,"4,208023926771514","",False</t>
  </si>
  <si>
    <t>PvRecord { Timestamp = 28.11.2025 11:30:00, Index = 0, DirectGeometryFactor = 0,814804215571802, DiffuseGeometryFactor = 0,9095760221444958, CosSunElevation = 0,35614531078099204, GlobalHorizontalIrradiance = 184,2, SunshineDuration = 0, DiffuseHorizontalIrradiance = 140,85, AmbientTemp = 0,2, WindSpeed = 6,660000000000001, SnowDepth = 0, Weight = 0, Age = 4,208052446659595, MeasuredPower = , HasMeasuredPower = False },LEG.PV.Data.Processor.DataRecords+PvRecord,"28.11.2025 11:30:00",0,"0,814804215571802","0,9095760221444958","0,35614531078099204","184,2",0,"140,85","0,2","6,660000000000001",0,0,"4,208052446659595","",False</t>
  </si>
  <si>
    <t>PvRecord { Timestamp = 28.11.2025 11:45:00, Index = 0, DirectGeometryFactor = 0,8091228401833226, DiffuseGeometryFactor = 0,9095760221444958, CosSunElevation = 0,36110818443715004, GlobalHorizontalIrradiance = 143,41666666666669, SunshineDuration = 0, DiffuseHorizontalIrradiance = 159, AmbientTemp = 0,35, WindSpeed = 6,66, SnowDepth = 0, Weight = 0, Age = 4,208080966547676, MeasuredPower = , HasMeasuredPower = False },LEG.PV.Data.Processor.DataRecords+PvRecord,"28.11.2025 11:45:00",0,"0,8091228401833226","0,9095760221444958","0,36110818443715004","143,41666666666669",0,159,"0,35","6,66",0,0,"4,208080966547676","",False</t>
  </si>
  <si>
    <t>PvRecord { Timestamp = 28.11.2025 12:00:00, Index = 0, DirectGeometryFactor = 0,7996111307649401, DiffuseGeometryFactor = 0,9095760221444958, CosSunElevation = 0,3633876096395904, GlobalHorizontalIrradiance = 155,88333333333333, SunshineDuration = 0, DiffuseHorizontalIrradiance = 155,85, AmbientTemp = 0,55, WindSpeed = 6,84, SnowDepth = 0, Weight = 0, Age = 4,208109486435759, MeasuredPower = , HasMeasuredPower = False },LEG.PV.Data.Processor.DataRecords+PvRecord,"28.11.2025 12:00:00",0,"0,7996111307649401","0,9095760221444958","0,3633876096395904","155,88333333333333",0,"155,85","0,55","6,84",0,0,"4,208109486435759","",False</t>
  </si>
  <si>
    <t>PvRecord { Timestamp = 28.11.2025 12:15:00, Index = 0, DirectGeometryFactor = 0,7863096849801476, DiffuseGeometryFactor = 0,9095760221444958, CosSunElevation = 0,36297359246410166, GlobalHorizontalIrradiance = 176,91666666666666, SunshineDuration = 0, DiffuseHorizontalIrradiance = 163,75, AmbientTemp = 0,7, WindSpeed = 7,38, SnowDepth = 0, Weight = 0, Age = 4,20813800632384, MeasuredPower = , HasMeasuredPower = False },LEG.PV.Data.Processor.DataRecords+PvRecord,"28.11.2025 12:15:00",0,"0,7863096849801476","0,9095760221444958","0,36297359246410166","176,91666666666666",0,"163,75","0,7","7,38",0,0,"4,20813800632384","",False</t>
  </si>
  <si>
    <t>PvRecord { Timestamp = 28.11.2025 12:30:00, Index = 0, DirectGeometryFactor = 0,7692755267548961, DiffuseGeometryFactor = 0,9095760221444958, CosSunElevation = 0,3598679182847375, GlobalHorizontalIrradiance = 183,91666666666669, SunshineDuration = 0, DiffuseHorizontalIrradiance = 167,14999999999998, AmbientTemp = 0,95, WindSpeed = 6,84, SnowDepth = 0, Weight = 0, Age = 4,208166526211921, MeasuredPower = , HasMeasuredPower = False },LEG.PV.Data.Processor.DataRecords+PvRecord,"28.11.2025 12:30:00",0,"0,7692755267548961","0,9095760221444958","0,3598679182847375","183,91666666666669",0,"167,14999999999998","0,95","6,84",0,0,"4,208166526211921","",False</t>
  </si>
  <si>
    <t>PvRecord { Timestamp = 28.11.2025 12:45:00, Index = 0, DirectGeometryFactor = 0,7485818644518526, DiffuseGeometryFactor = 0,9095760221444958, CosSunElevation = 0,3540841472912713, GlobalHorizontalIrradiance = 153,01666666666665, SunshineDuration = 0, DiffuseHorizontalIrradiance = 168,55, AmbientTemp = 1,2999999999999998, WindSpeed = 6,300000000000001, SnowDepth = 0, Weight = 0, Age = 4,208195046100003, MeasuredPower = , HasMeasuredPower = False },LEG.PV.Data.Processor.DataRecords+PvRecord,"28.11.2025 12:45:00",0,"0,7485818644518526","0,9095760221444958","0,3540841472912713","153,01666666666665",0,"168,55","1,2999999999999998","6,300000000000001",0,0,"4,208195046100003","",False</t>
  </si>
  <si>
    <t>PvRecord { Timestamp = 28.11.2025 13:00:00, Index = 0, DirectGeometryFactor = 0,7243177991937879, DiffuseGeometryFactor = 0,9095760221444958, CosSunElevation = 0,3456475831238231, GlobalHorizontalIrradiance = 204,13333333333333, SunshineDuration = 0, DiffuseHorizontalIrradiance = 176,85000000000002, AmbientTemp = 1,55, WindSpeed = 6,48, SnowDepth = 0, Weight = 0, Age = 4,208223565988084, MeasuredPower = , HasMeasuredPower = False },LEG.PV.Data.Processor.DataRecords+PvRecord,"28.11.2025 13:00:00",0,"0,7243177991937879","0,9095760221444958","0,3456475831238231","204,13333333333333",0,"176,85000000000002","1,55","6,48",0,0,"4,208223565988084","",False</t>
  </si>
  <si>
    <t>PvRecord { Timestamp = 28.11.2025 13:15:00, Index = 0, DirectGeometryFactor = 0,696587988394932, DiffuseGeometryFactor = 0,9095760221444958, CosSunElevation = 0,33459521956723765, GlobalHorizontalIrradiance = 215,03333333333333, SunshineDuration = 0, DiffuseHorizontalIrradiance = 171,7, AmbientTemp = 1,85, WindSpeed = 5,58, SnowDepth = 0, Weight = 0, Age = 4,2082520858761665, MeasuredPower = , HasMeasuredPower = False },LEG.PV.Data.Processor.DataRecords+PvRecord,"28.11.2025 13:15:00",0,"0,696587988394932","0,9095760221444958","0,33459521956723765","215,03333333333333",0,"171,7","1,85","5,58",0,0,"4,2082520858761665","",False</t>
  </si>
  <si>
    <t>PvRecord { Timestamp = 28.11.2025 13:30:00, Index = 0, DirectGeometryFactor = 0,6655122749305977, DiffuseGeometryFactor = 0,9095760221444958, CosSunElevation = 0,32097567623620993, GlobalHorizontalIrradiance = 181,68333333333334, SunshineDuration = 0, DiffuseHorizontalIrradiance = 166,05, AmbientTemp = 2, WindSpeed = 4,680000000000001, SnowDepth = 0, Weight = 0, Age = 4,208280605764248, MeasuredPower = , HasMeasuredPower = False },LEG.PV.Data.Processor.DataRecords+PvRecord,"28.11.2025 13:30:00",0,"0,6655122749305977","0,9095760221444958","0,32097567623620993","181,68333333333334",0,"166,05",2,"4,680000000000001",0,0,"4,208280605764248","",False</t>
  </si>
  <si>
    <t>PvRecord { Timestamp = 28.11.2025 13:45:00, Index = 0, DirectGeometryFactor = 0,6312252997373691, DiffuseGeometryFactor = 0,9095760221444958, CosSunElevation = 0,3048491433371293, GlobalHorizontalIrradiance = 184,39999999999998, SunshineDuration = 0, DiffuseHorizontalIrradiance = 156,95, AmbientTemp = 2,2, WindSpeed = 5,220000000000001, SnowDepth = 0, Weight = 0, Age = 4,208309125652329, MeasuredPower = , HasMeasuredPower = False },LEG.PV.Data.Processor.DataRecords+PvRecord,"28.11.2025 13:45:00",0,"0,6312252997373691","0,9095760221444958","0,3048491433371293","184,39999999999998",0,"156,95","2,2","5,220000000000001",0,0,"4,208309125652329","",False</t>
  </si>
  <si>
    <t>PvRecord { Timestamp = 28.11.2025 14:00:00, Index = 0, DirectGeometryFactor = 0,5938761289223807, DiffuseGeometryFactor = 0,9095760221444958, CosSunElevation = 0,28628737169789414, GlobalHorizontalIrradiance = 209,56666666666666, SunshineDuration = 0, DiffuseHorizontalIrradiance = 145,95, AmbientTemp = 2,35, WindSpeed = 9,72, SnowDepth = 0, Weight = 0, Age = 4,208337645540411, MeasuredPower = , HasMeasuredPower = False },LEG.PV.Data.Processor.DataRecords+PvRecord,"28.11.2025 14:00:00",0,"0,5938761289223807","0,9095760221444958","0,28628737169789414","209,56666666666666",0,"145,95","2,35","9,72",0,0,"4,208337645540411","",False</t>
  </si>
  <si>
    <t>PvRecord { Timestamp = 28.11.2025 14:15:00, Index = 0, DirectGeometryFactor = 0,5536279525425645, DiffuseGeometryFactor = 0,9095760221444958, CosSunElevation = 0,2653737753638151, GlobalHorizontalIrradiance = 241,15, SunshineDuration = 0, DiffuseHorizontalIrradiance = 132,55, AmbientTemp = 2,45, WindSpeed = 11,52, SnowDepth = 0, Weight = 0, Age = 4,208366165428493, MeasuredPower = , HasMeasuredPower = False },LEG.PV.Data.Processor.DataRecords+PvRecord,"28.11.2025 14:15:00",0,"0,5536279525425645","0,9095760221444958","0,2653737753638151","241,15",0,"132,55","2,45","11,52",0,0,"4,208366165428493","",False</t>
  </si>
  <si>
    <t>PvRecord { Timestamp = 28.11.2025 14:30:00, Index = 0, DirectGeometryFactor = 0,5106579630540057, DiffuseGeometryFactor = 0,9095760221444958, CosSunElevation = 0,2422037761849925, GlobalHorizontalIrradiance = 253,95, SunshineDuration = 0, DiffuseHorizontalIrradiance = 113,35, AmbientTemp = 2,55, WindSpeed = 8,64, SnowDepth = 0, Weight = 0, Age = 4,208394685316574, MeasuredPower = , HasMeasuredPower = False },LEG.PV.Data.Processor.DataRecords+PvRecord,"28.11.2025 14:30:00",0,"0,5106579630540057","0,9095760221444958","0,2422037761849925","253,95",0,"113,35","2,55","8,64",0,0,"4,208394685316574","",False</t>
  </si>
  <si>
    <t>PvRecord { Timestamp = 28.11.2025 14:45:00, Index = 0, DirectGeometryFactor = 0,46515763222183626, DiffuseGeometryFactor = 0,9095760221444958, CosSunElevation = 0,21688565445083763, GlobalHorizontalIrradiance = 299,6333333333333, SunshineDuration = 0, DiffuseHorizontalIrradiance = 100,1, AmbientTemp = 2,75, WindSpeed = 4,140000000000001, SnowDepth = 0, Weight = 0, Age = 4,208423205204656, MeasuredPower = , HasMeasuredPower = False },LEG.PV.Data.Processor.DataRecords+PvRecord,"28.11.2025 14:45:00",0,"0,46515763222183626","0,9095760221444958","0,21688565445083763","299,6333333333333",0,"100,1","2,75","4,140000000000001",0,0,"4,208423205204656","",False</t>
  </si>
  <si>
    <t>PvRecord { Timestamp = 28.11.2025 15:00:00, Index = 0, DirectGeometryFactor = 0,4173338641544115, DiffuseGeometryFactor = 0,9095760221444958, CosSunElevation = 0,18954248361594514, GlobalHorizontalIrradiance = 312,2, SunshineDuration = 0, DiffuseHorizontalIrradiance = 97,75, AmbientTemp = 2,8, WindSpeed = 7,380000000000001, SnowDepth = 0, Weight = 0, Age = 4,208451725092737, MeasuredPower = , HasMeasuredPower = False },LEG.PV.Data.Processor.DataRecords+PvRecord,"28.11.2025 15:00:00",0,"0,4173338641544115","0,9095760221444958","0,18954248361594514","312,2",0,"97,75","2,8","7,380000000000001",0,0,"4,208451725092737","",False</t>
  </si>
  <si>
    <t>PvRecord { Timestamp = 28.11.2025 15:15:00, Index = 0, DirectGeometryFactor = 0,36741215618264006, DiffuseGeometryFactor = 0,9095760221444958, CosSunElevation = 0,16031652243206504, GlobalHorizontalIrradiance = 252,24999999999997, SunshineDuration = 0, DiffuseHorizontalIrradiance = 90,55, AmbientTemp = 2,9000000000000004, WindSpeed = 10,26, SnowDepth = 0, Weight = 0, Age = 4,2084802449808185, MeasuredPower = , HasMeasuredPower = False },LEG.PV.Data.Processor.DataRecords+PvRecord,"28.11.2025 15:15:00",0,"0,36741215618264006","0,9095760221444958","0,16031652243206504","252,24999999999997",0,"90,55","2,9000000000000004","10,26",0,0,"4,2084802449808185","",False</t>
  </si>
  <si>
    <t>PvRecord { Timestamp = 28.11.2025 15:30:00, Index = 0, DirectGeometryFactor = 0,3156447430201187, DiffuseGeometryFactor = 0,9095760221444958, CosSunElevation = 0,12937967799361647, GlobalHorizontalIrradiance = 156,06666666666666, SunshineDuration = 0, DiffuseHorizontalIrradiance = 78,8, AmbientTemp = 2,9000000000000004, WindSpeed = 10,620000000000001, SnowDepth = 0, Weight = 0, Age = 4,208508764868901, MeasuredPower = , HasMeasuredPower = False },LEG.PV.Data.Processor.DataRecords+PvRecord,"28.11.2025 15:30:00",0,"0,3156447430201187","0,9095760221444958","0,12937967799361647","156,06666666666666",0,"78,8","2,9000000000000004","10,620000000000001",0,0,"4,208508764868901","",False</t>
  </si>
  <si>
    <t>PvRecord { Timestamp = 28.11.2025 15:45:00, Index = 0, DirectGeometryFactor = 0, DiffuseGeometryFactor = 0,9095760221444958, CosSunElevation = 0,09696080545048649, GlobalHorizontalIrradiance = 110,29999999999998, SunshineDuration = 0, DiffuseHorizontalIrradiance = 66,5, AmbientTemp = 2,85, WindSpeed = 7,92, SnowDepth = 0, Weight = 0, Age = 4,208537284756982, MeasuredPower = , HasMeasuredPower = False },LEG.PV.Data.Processor.DataRecords+PvRecord,"28.11.2025 15:45:00",0,0,"0,9095760221444958","0,09696080545048649","110,29999999999998",0,"66,5","2,85","7,92",0,0,"4,208537284756982","",False</t>
  </si>
  <si>
    <t>PvRecord { Timestamp = 28.11.2025 16:00:00, Index = 0, DirectGeometryFactor = 0, DiffuseGeometryFactor = 0,9095760221444958, CosSunElevation = 0,06342696369115963, GlobalHorizontalIrradiance = 96,78333333333333, SunshineDuration = 0, DiffuseHorizontalIrradiance = 51,05, AmbientTemp = 2,85, WindSpeed = 6,12, SnowDepth = 0, Weight = 0, Age = 4,208565804645064, MeasuredPower = , HasMeasuredPower = False },LEG.PV.Data.Processor.DataRecords+PvRecord,"28.11.2025 16:00:00",0,0,"0,9095760221444958","0,06342696369115963","96,78333333333333",0,"51,05","2,85","6,12",0,0,"4,208565804645064","",False</t>
  </si>
  <si>
    <t>PvRecord { Timestamp = 28.11.2025 16:15:00, Index = 0, DirectGeometryFactor = 0, DiffuseGeometryFactor = 0,9095760221444958, CosSunElevation = 0,029562180149231832, GlobalHorizontalIrradiance = 83,65, SunshineDuration = 0, DiffuseHorizontalIrradiance = 35,85, AmbientTemp = 2,85, WindSpeed = 6,120000000000001, SnowDepth = 0, Weight = 0, Age = 4,208594324533145, MeasuredPower = , HasMeasuredPower = False },LEG.PV.Data.Processor.DataRecords+PvRecord,"28.11.2025 16:15:00",0,0,"0,9095760221444958","0,029562180149231832","83,65",0,"35,85","2,85","6,120000000000001",0,0,"4,208594324533145","",False</t>
  </si>
  <si>
    <t>PvRecord { Timestamp = 28.11.2025 16:30:00, Index = 0, DirectGeometryFactor = 0, DiffuseGeometryFactor = 0,9095760221444958, CosSunElevation = 0, GlobalHorizontalIrradiance = 50,33333333333333, SunshineDuration = 0, DiffuseHorizontalIrradiance = 20, AmbientTemp = 2,85, WindSpeed = 6,120000000000001, SnowDepth = 0, Weight = 0, Age = 4,208622844421226, MeasuredPower = , HasMeasuredPower = False },LEG.PV.Data.Processor.DataRecords+PvRecord,"28.11.2025 16:30:00",0,0,"0,9095760221444958",0,"50,33333333333333",0,20,"2,85","6,120000000000001",0,0,"4,208622844421226","",False</t>
  </si>
  <si>
    <t>PvRecord { Timestamp = 28.11.2025 16:45:00, Index = 0, DirectGeometryFactor = 0, DiffuseGeometryFactor = 0,9095760221444958, CosSunElevation = 0, GlobalHorizontalIrradiance = 6,15, SunshineDuration = 0, DiffuseHorizontalIrradiance = 3,45, AmbientTemp = 2,85, WindSpeed = 6,120000000000001, SnowDepth = 0, Weight = 0, Age = 4,208651364309309, MeasuredPower = , HasMeasuredPower = False },LEG.PV.Data.Processor.DataRecords+PvRecord,"28.11.2025 16:45:00",0,0,"0,9095760221444958",0,"6,15",0,"3,45","2,85","6,120000000000001",0,0,"4,208651364309309","",False</t>
  </si>
  <si>
    <t>PvRecord { Timestamp = 28.11.2025 17:00:00, Index = 0, DirectGeometryFactor = 0, DiffuseGeometryFactor = 0,9095760221444958, CosSunElevation = 0, GlobalHorizontalIrradiance = 19,96666666666667, SunshineDuration = 0, DiffuseHorizontalIrradiance = 9, AmbientTemp = 2,85, WindSpeed = 6,120000000000001, SnowDepth = 0, Weight = 0, Age = 4,20867988419739, MeasuredPower = , HasMeasuredPower = False },LEG.PV.Data.Processor.DataRecords+PvRecord,"28.11.2025 17:00:00",0,0,"0,9095760221444958",0,"19,96666666666667",0,9,"2,85","6,120000000000001",0,0,"4,20867988419739","",False</t>
  </si>
  <si>
    <t>PvRecord { Timestamp = 28.11.2025 17:15:00, Index = 0, DirectGeometryFactor = 0, DiffuseGeometryFactor = 0,9095760221444958, CosSunElevation = 0, GlobalHorizontalIrradiance = 19,96666666666667, SunshineDuration = 0, DiffuseHorizontalIrradiance = 9, AmbientTemp = 0,45, WindSpeed = 1,98, SnowDepth = 0, Weight = 0, Age = 4,208708404085471, MeasuredPower = , HasMeasuredPower = False },LEG.PV.Data.Processor.DataRecords+PvRecord,"28.11.2025 17:15:00",0,0,"0,9095760221444958",0,"19,96666666666667",0,9,"0,45","1,98",0,0,"4,208708404085471","",False</t>
  </si>
  <si>
    <t>PvRecord { Timestamp = 28.11.2025 17:30:00,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4,208736923973553, MeasuredPower = , HasMeasuredPower = False },LEG.PV.Data.Processor.DataRecords+PvRecord,"28.11.2025 17:30:00",0,0,"0,9095760221444958",0,0,0,0,"0,39999999999999997","4,140000000000001",0,0,"4,208736923973553","",False</t>
  </si>
  <si>
    <t>PvRecord { Timestamp = 28.11.2025 17:45:00,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4,208765443861634, MeasuredPower = , HasMeasuredPower = False },LEG.PV.Data.Processor.DataRecords+PvRecord,"28.11.2025 17:45:00",0,0,"0,9095760221444958",0,0,0,0,"0,39999999999999997","4,140000000000001",0,0,"4,208765443861634","",False</t>
  </si>
  <si>
    <t>PvRecord { Timestamp = 28.11.2025 18:00:00,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4,2087939637497165, MeasuredPower = , HasMeasuredPower = False },LEG.PV.Data.Processor.DataRecords+PvRecord,"28.11.2025 18:00:00",0,0,"0,9095760221444958",0,0,0,0,"0,39999999999999997","4,140000000000001",0,0,"4,2087939637497165","",False</t>
  </si>
  <si>
    <t>PvRecord { Timestamp = 28.11.2025 18:15:00, Index = 0, DirectGeometryFactor = 0, DiffuseGeometryFactor = 0,9095760221444958, CosSunElevation = 0, GlobalHorizontalIrradiance = 0, SunshineDuration = 0, DiffuseHorizontalIrradiance = 0, AmbientTemp = 0,39999999999999997, WindSpeed = 4,140000000000001, SnowDepth = 0, Weight = 0, Age = 4,208822483637798, MeasuredPower = , HasMeasuredPower = False },LEG.PV.Data.Processor.DataRecords+PvRecord,"28.11.2025 18:15:00",0,0,"0,9095760221444958",0,0,0,0,"0,39999999999999997","4,140000000000001",0,0,"4,208822483637798","",False</t>
  </si>
  <si>
    <t>PvRecord { Timestamp = 28.11.2025 18:30:00,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4,208851003525879, MeasuredPower = , HasMeasuredPower = False },LEG.PV.Data.Processor.DataRecords+PvRecord,"28.11.2025 18:30:00",0,0,"0,9095760221444958",0,0,0,0,"0,05","15,120000000000001",0,0,"4,208851003525879","",False</t>
  </si>
  <si>
    <t>PvRecord { Timestamp = 28.11.2025 18:45:00,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4,208879523413961, MeasuredPower = , HasMeasuredPower = False },LEG.PV.Data.Processor.DataRecords+PvRecord,"28.11.2025 18:45:00",0,0,"0,9095760221444958",0,0,0,0,"0,05","15,120000000000001",0,0,"4,208879523413961","",False</t>
  </si>
  <si>
    <t>PvRecord { Timestamp = 28.11.2025 19:00:00,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4,208908043302042, MeasuredPower = , HasMeasuredPower = False },LEG.PV.Data.Processor.DataRecords+PvRecord,"28.11.2025 19:00:00",0,0,"0,9095760221444958",0,0,0,0,"0,05","15,120000000000001",0,0,"4,208908043302042","",False</t>
  </si>
  <si>
    <t>PvRecord { Timestamp = 28.11.2025 19:15:00, Index = 0, DirectGeometryFactor = 0, DiffuseGeometryFactor = 0,9095760221444958, CosSunElevation = 0, GlobalHorizontalIrradiance = 0, SunshineDuration = 0, DiffuseHorizontalIrradiance = 0, AmbientTemp = 0,05, WindSpeed = 15,120000000000001, SnowDepth = 0, Weight = 0, Age = 4,208936563190124, MeasuredPower = , HasMeasuredPower = False },LEG.PV.Data.Processor.DataRecords+PvRecord,"28.11.2025 19:15:00",0,0,"0,9095760221444958",0,0,0,0,"0,05","15,120000000000001",0,0,"4,208936563190124","",False</t>
  </si>
  <si>
    <t>PvRecord { Timestamp = 28.11.2025 19:30:00, Index = 0, DirectGeometryFactor = 0, DiffuseGeometryFactor = 0,9095760221444958, CosSunElevation = 0, GlobalHorizontalIrradiance = 0, SunshineDuration = 0, DiffuseHorizontalIrradiance = 0, AmbientTemp = 0,85, WindSpeed = 16,38, SnowDepth = 0, Weight = 0, Age = 4,208965083078206, MeasuredPower = , HasMeasuredPower = False },LEG.PV.Data.Processor.DataRecords+PvRecord,"28.11.2025 19:30:00",0,0,"0,9095760221444958",0,0,0,0,"0,85","16,38",0,0,"4,208965083078206","",False</t>
  </si>
  <si>
    <t>PvRecord { Timestamp = 28.11.2025 19:45:00, Index = 0, DirectGeometryFactor = 0, DiffuseGeometryFactor = 0,9095760221444958, CosSunElevation = 0, GlobalHorizontalIrradiance = 0, SunshineDuration = 0, DiffuseHorizontalIrradiance = 0, AmbientTemp = 0,85, WindSpeed = 16,38, SnowDepth = 0, Weight = 0, Age = 4,208993602966287, MeasuredPower = , HasMeasuredPower = False },LEG.PV.Data.Processor.DataRecords+PvRecord,"28.11.2025 19:45:00",0,0,"0,9095760221444958",0,0,0,0,"0,85","16,38",0,0,"4,208993602966287","",False</t>
  </si>
  <si>
    <t>PvRecord { Timestamp = 28.11.2025 20:00:00, Index = 0, DirectGeometryFactor = 0, DiffuseGeometryFactor = 0,9095760221444958, CosSunElevation = 0, GlobalHorizontalIrradiance = 0, SunshineDuration = 0, DiffuseHorizontalIrradiance = 0, AmbientTemp = 0,85, WindSpeed = 16,38, SnowDepth = 0, Weight = 0, Age = 4,2090221228543685, MeasuredPower = , HasMeasuredPower = False },LEG.PV.Data.Processor.DataRecords+PvRecord,"28.11.2025 20:00:00",0,0,"0,9095760221444958",0,0,0,0,"0,85","16,38",0,0,"4,2090221228543685","",False</t>
  </si>
  <si>
    <t>PvRecord { Timestamp = 28.11.2025 20:15:00, Index = 0, DirectGeometryFactor = 0, DiffuseGeometryFactor = 0,9095760221444958, CosSunElevation = 0, GlobalHorizontalIrradiance = 0, SunshineDuration = 0, DiffuseHorizontalIrradiance = 0, AmbientTemp = 0,85, WindSpeed = 16,38, SnowDepth = 0, Weight = 0, Age = 4,20905064274245, MeasuredPower = , HasMeasuredPower = False },LEG.PV.Data.Processor.DataRecords+PvRecord,"28.11.2025 20:15:00",0,0,"0,9095760221444958",0,0,0,0,"0,85","16,38",0,0,"4,20905064274245","",False</t>
  </si>
  <si>
    <t>PvRecord { Timestamp = 28.11.2025 20:30:00,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4,209079162630532, MeasuredPower = , HasMeasuredPower = False },LEG.PV.Data.Processor.DataRecords+PvRecord,"28.11.2025 20:30:00",0,0,"0,9095760221444958",0,0,0,0,"0,95","14,040000000000001",0,0,"4,209079162630532","",False</t>
  </si>
  <si>
    <t>PvRecord { Timestamp = 28.11.2025 20:45:00,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4,209107682518614, MeasuredPower = , HasMeasuredPower = False },LEG.PV.Data.Processor.DataRecords+PvRecord,"28.11.2025 20:45:00",0,0,"0,9095760221444958",0,0,0,0,"0,95","14,040000000000001",0,0,"4,209107682518614","",False</t>
  </si>
  <si>
    <t>PvRecord { Timestamp = 28.11.2025 21:00:00,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4,209136202406695, MeasuredPower = , HasMeasuredPower = False },LEG.PV.Data.Processor.DataRecords+PvRecord,"28.11.2025 21:00:00",0,0,"0,9095760221444958",0,0,0,0,"0,95","14,040000000000001",0,0,"4,209136202406695","",False</t>
  </si>
  <si>
    <t>PvRecord { Timestamp = 28.11.2025 21:15:00, Index = 0, DirectGeometryFactor = 0, DiffuseGeometryFactor = 0,9095760221444958, CosSunElevation = 0, GlobalHorizontalIrradiance = 0, SunshineDuration = 0, DiffuseHorizontalIrradiance = 0, AmbientTemp = 0,95, WindSpeed = 14,040000000000001, SnowDepth = 0, Weight = 0, Age = 4,209164722294776, MeasuredPower = , HasMeasuredPower = False },LEG.PV.Data.Processor.DataRecords+PvRecord,"28.11.2025 21:15:00",0,0,"0,9095760221444958",0,0,0,0,"0,95","14,040000000000001",0,0,"4,209164722294776","",False</t>
  </si>
  <si>
    <t>PvRecord { Timestamp = 28.11.2025 21:30:00,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4,209193242182858, MeasuredPower = , HasMeasuredPower = False },LEG.PV.Data.Processor.DataRecords+PvRecord,"28.11.2025 21:30:00",0,0,"0,9095760221444958",0,0,0,0,"1,1","12,600000000000001",0,0,"4,209193242182858","",False</t>
  </si>
  <si>
    <t>PvRecord { Timestamp = 28.11.2025 21:45:00,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4,20922176207094, MeasuredPower = , HasMeasuredPower = False },LEG.PV.Data.Processor.DataRecords+PvRecord,"28.11.2025 21:45:00",0,0,"0,9095760221444958",0,0,0,0,"1,1","12,600000000000001",0,0,"4,20922176207094","",False</t>
  </si>
  <si>
    <t>PvRecord { Timestamp = 28.11.2025 22:00:00,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4,209250281959021, MeasuredPower = , HasMeasuredPower = False },LEG.PV.Data.Processor.DataRecords+PvRecord,"28.11.2025 22:00:00",0,0,"0,9095760221444958",0,0,0,0,"1,1","12,600000000000001",0,0,"4,209250281959021","",False</t>
  </si>
  <si>
    <t>PvRecord { Timestamp = 28.11.2025 22:15:00, Index = 0, DirectGeometryFactor = 0, DiffuseGeometryFactor = 0,9095760221444958, CosSunElevation = 0, GlobalHorizontalIrradiance = 0, SunshineDuration = 0, DiffuseHorizontalIrradiance = 0, AmbientTemp = 1,1, WindSpeed = 12,600000000000001, SnowDepth = 0, Weight = 0, Age = 4,209278801847103, MeasuredPower = , HasMeasuredPower = False },LEG.PV.Data.Processor.DataRecords+PvRecord,"28.11.2025 22:15:00",0,0,"0,9095760221444958",0,0,0,0,"1,1","12,600000000000001",0,0,"4,209278801847103","",False</t>
  </si>
  <si>
    <t>PvRecord { Timestamp = 28.11.2025 22:30:00,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4,209307321735184, MeasuredPower = , HasMeasuredPower = False },LEG.PV.Data.Processor.DataRecords+PvRecord,"28.11.2025 22:30:00",0,0,"0,9095760221444958",0,0,0,0,"0,8500000000000001","10,08",0,0,"4,209307321735184","",False</t>
  </si>
  <si>
    <t>PvRecord { Timestamp = 28.11.2025 22:45:00,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4,209335841623266, MeasuredPower = , HasMeasuredPower = False },LEG.PV.Data.Processor.DataRecords+PvRecord,"28.11.2025 22:45:00",0,0,"0,9095760221444958",0,0,0,0,"0,8500000000000001","10,08",0,0,"4,209335841623266","",False</t>
  </si>
  <si>
    <t>PvRecord { Timestamp = 28.11.2025 23:00:00,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4,209364361511348, MeasuredPower = , HasMeasuredPower = False },LEG.PV.Data.Processor.DataRecords+PvRecord,"28.11.2025 23:00:00",0,0,"0,9095760221444958",0,0,0,0,"0,8500000000000001","10,08",0,0,"4,209364361511348","",False</t>
  </si>
  <si>
    <t>PvRecord { Timestamp = 28.11.2025 23:15:00, Index = 0, DirectGeometryFactor = 0, DiffuseGeometryFactor = 0,9095760221444958, CosSunElevation = 0, GlobalHorizontalIrradiance = 0, SunshineDuration = 0, DiffuseHorizontalIrradiance = 0, AmbientTemp = 0,8500000000000001, WindSpeed = 10,08, SnowDepth = 0, Weight = 0, Age = 4,209392881399429, MeasuredPower = , HasMeasuredPower = False },LEG.PV.Data.Processor.DataRecords+PvRecord,"28.11.2025 23:15:00",0,0,"0,9095760221444958",0,0,0,0,"0,8500000000000001","10,08",0,0,"4,209392881399429","",False</t>
  </si>
  <si>
    <t>PvRecord { Timestamp = 28.11.2025 23:30:00, Index = 0, DirectGeometryFactor = 0, DiffuseGeometryFactor = 0,9095760221444958, CosSunElevation = 0, GlobalHorizontalIrradiance = 0, SunshineDuration = 0, DiffuseHorizontalIrradiance = 0, AmbientTemp = 1,25, WindSpeed = 12,24, SnowDepth = 0, Weight = 0, Age = 4,209421401287511, MeasuredPower = , HasMeasuredPower = False },LEG.PV.Data.Processor.DataRecords+PvRecord,"28.11.2025 23:30:00",0,0,"0,9095760221444958",0,0,0,0,"1,25","12,24",0,0,"4,209421401287511","",False</t>
  </si>
  <si>
    <t>PvRecord { Timestamp = 28.11.2025 23:45:00, Index = 0, DirectGeometryFactor = 0, DiffuseGeometryFactor = 0,9095760221444958, CosSunElevation = 0, GlobalHorizontalIrradiance = 0, SunshineDuration = 0, DiffuseHorizontalIrradiance = 0, AmbientTemp = 1,25, WindSpeed = 12,24, SnowDepth = 0, Weight = 0, Age = 4,209449921175592, MeasuredPower = , HasMeasuredPower = False },LEG.PV.Data.Processor.DataRecords+PvRecord,"28.11.2025 23:45:00",0,0,"0,9095760221444958",0,0,0,0,"1,25","12,24",0,0,"4,209449921175592","",False</t>
  </si>
  <si>
    <t>PvRecord { Timestamp = 29.11.2025 00:00:00, Index = 0, DirectGeometryFactor = 0, DiffuseGeometryFactor = 0,9095760221444958, CosSunElevation = 0, GlobalHorizontalIrradiance = 0, SunshineDuration = 0, DiffuseHorizontalIrradiance = 0, AmbientTemp = 1,25, WindSpeed = 12,24, SnowDepth = 0, Weight = 0, Age = 4,209478441063673, MeasuredPower = , HasMeasuredPower = False },LEG.PV.Data.Processor.DataRecords+PvRecord,"29.11.2025 00:00:00",0,0,"0,9095760221444958",0,0,0,0,"1,25","12,24",0,0,"4,209478441063673","",False</t>
  </si>
  <si>
    <t>PvRecord { Timestamp = 29.11.2025 00:15:00, Index = 0, DirectGeometryFactor = 0, DiffuseGeometryFactor = 0,9095760221444958, CosSunElevation = 0, GlobalHorizontalIrradiance = 0, SunshineDuration = 0, DiffuseHorizontalIrradiance = 0, AmbientTemp = 1,25, WindSpeed = 12,24, SnowDepth = 0, Weight = 0, Age = 4,209506960951756, MeasuredPower = , HasMeasuredPower = False },LEG.PV.Data.Processor.DataRecords+PvRecord,"29.11.2025 00:15:00",0,0,"0,9095760221444958",0,0,0,0,"1,25","12,24",0,0,"4,209506960951756","",False</t>
  </si>
  <si>
    <t>PvRecord { Timestamp = 29.11.2025 00:30:00, Index = 0, DirectGeometryFactor = 0, DiffuseGeometryFactor = 0,9095760221444958, CosSunElevation = 0, GlobalHorizontalIrradiance = 0, SunshineDuration = 0, DiffuseHorizontalIrradiance = 0, AmbientTemp = 1,55, WindSpeed = 21,42, SnowDepth = 0, Weight = 0, Age = 4,209535480839837, MeasuredPower = , HasMeasuredPower = False },LEG.PV.Data.Processor.DataRecords+PvRecord,"29.11.2025 00:30:00",0,0,"0,9095760221444958",0,0,0,0,"1,55","21,42",0,0,"4,209535480839837","",False</t>
  </si>
  <si>
    <t>PvRecord { Timestamp = 29.11.2025 00:45:00, Index = 0, DirectGeometryFactor = 0, DiffuseGeometryFactor = 0,9095760221444958, CosSunElevation = 0, GlobalHorizontalIrradiance = 0, SunshineDuration = 0, DiffuseHorizontalIrradiance = 0, AmbientTemp = 1,55, WindSpeed = 21,42, SnowDepth = 0, Weight = 0, Age = 4,2095640007279185, MeasuredPower = , HasMeasuredPower = False },LEG.PV.Data.Processor.DataRecords+PvRecord,"29.11.2025 00:45:00",0,0,"0,9095760221444958",0,0,0,0,"1,55","21,42",0,0,"4,2095640007279185","",False</t>
  </si>
  <si>
    <t>PvRecord { Timestamp = 29.11.2025 01:00:00, Index = 0, DirectGeometryFactor = 0, DiffuseGeometryFactor = 0,9095760221444958, CosSunElevation = 0, GlobalHorizontalIrradiance = 0, SunshineDuration = 0, DiffuseHorizontalIrradiance = 0, AmbientTemp = 1,55, WindSpeed = 21,42, SnowDepth = 0, Weight = 0, Age = 4,209592520616, MeasuredPower = , HasMeasuredPower = False },LEG.PV.Data.Processor.DataRecords+PvRecord,"29.11.2025 01:00:00",0,0,"0,9095760221444958",0,0,0,0,"1,55","21,42",0,0,"4,209592520616","",False</t>
  </si>
  <si>
    <t>PvRecord { Timestamp = 29.11.2025 01:15:00, Index = 0, DirectGeometryFactor = 0, DiffuseGeometryFactor = 0,9095760221444958, CosSunElevation = 0, GlobalHorizontalIrradiance = 0, SunshineDuration = 0, DiffuseHorizontalIrradiance = 0, AmbientTemp = 1,55, WindSpeed = 21,42, SnowDepth = 0, Weight = 0, Age = 4,209621040504081, MeasuredPower = , HasMeasuredPower = False },LEG.PV.Data.Processor.DataRecords+PvRecord,"29.11.2025 01:15:00",0,0,"0,9095760221444958",0,0,0,0,"1,55","21,42",0,0,"4,209621040504081","",False</t>
  </si>
  <si>
    <t>PvRecord { Timestamp = 29.11.2025 01:30:00, Index = 0, DirectGeometryFactor = 0, DiffuseGeometryFactor = 0,9095760221444958, CosSunElevation = 0, GlobalHorizontalIrradiance = 0, SunshineDuration = 0, DiffuseHorizontalIrradiance = 0, AmbientTemp = 1,7, WindSpeed = 17,1, SnowDepth = 0, Weight = 0, Age = 4,2096495603921635, MeasuredPower = , HasMeasuredPower = False },LEG.PV.Data.Processor.DataRecords+PvRecord,"29.11.2025 01:30:00",0,0,"0,9095760221444958",0,0,0,0,"1,7","17,1",0,0,"4,2096495603921635","",False</t>
  </si>
  <si>
    <t>PvRecord { Timestamp = 29.11.2025 01:45:00, Index = 0, DirectGeometryFactor = 0, DiffuseGeometryFactor = 0,9095760221444958, CosSunElevation = 0, GlobalHorizontalIrradiance = 0, SunshineDuration = 0, DiffuseHorizontalIrradiance = 0, AmbientTemp = 1,7, WindSpeed = 17,1, SnowDepth = 0, Weight = 0, Age = 4,209678080280245, MeasuredPower = , HasMeasuredPower = False },LEG.PV.Data.Processor.DataRecords+PvRecord,"29.11.2025 01:45:00",0,0,"0,9095760221444958",0,0,0,0,"1,7","17,1",0,0,"4,209678080280245","",False</t>
  </si>
  <si>
    <t>PvRecord { Timestamp = 29.11.2025 02:00:00, Index = 0, DirectGeometryFactor = 0, DiffuseGeometryFactor = 0,9095760221444958, CosSunElevation = 0, GlobalHorizontalIrradiance = 0, SunshineDuration = 0, DiffuseHorizontalIrradiance = 0, AmbientTemp = 1,7, WindSpeed = 17,1, SnowDepth = 0, Weight = 0, Age = 4,209706600168326, MeasuredPower = , HasMeasuredPower = False },LEG.PV.Data.Processor.DataRecords+PvRecord,"29.11.2025 02:00:00",0,0,"0,9095760221444958",0,0,0,0,"1,7","17,1",0,0,"4,209706600168326","",False</t>
  </si>
  <si>
    <t>PvRecord { Timestamp = 29.11.2025 02:15:00, Index = 0, DirectGeometryFactor = 0, DiffuseGeometryFactor = 0,9095760221444958, CosSunElevation = 0, GlobalHorizontalIrradiance = 0, SunshineDuration = 0, DiffuseHorizontalIrradiance = 0, AmbientTemp = 1,7, WindSpeed = 17,1, SnowDepth = 0, Weight = 0, Age = 4,209735120056408, MeasuredPower = , HasMeasuredPower = False },LEG.PV.Data.Processor.DataRecords+PvRecord,"29.11.2025 02:15:00",0,0,"0,9095760221444958",0,0,0,0,"1,7","17,1",0,0,"4,209735120056408","",False</t>
  </si>
  <si>
    <t>PvRecord { Timestamp = 29.11.2025 02:30:00, Index = 0, DirectGeometryFactor = 0, DiffuseGeometryFactor = 0,9095760221444958, CosSunElevation = 0, GlobalHorizontalIrradiance = 0, SunshineDuration = 0, DiffuseHorizontalIrradiance = 0, AmbientTemp = 1,8, WindSpeed = 16,92, SnowDepth = 0, Weight = 0, Age = 4,209763639944489, MeasuredPower = , HasMeasuredPower = False },LEG.PV.Data.Processor.DataRecords+PvRecord,"29.11.2025 02:30:00",0,0,"0,9095760221444958",0,0,0,0,"1,8","16,92",0,0,"4,209763639944489","",False</t>
  </si>
  <si>
    <t>PvRecord { Timestamp = 29.11.2025 02:45:00, Index = 0, DirectGeometryFactor = 0, DiffuseGeometryFactor = 0,9095760221444958, CosSunElevation = 0, GlobalHorizontalIrradiance = 0, SunshineDuration = 0, DiffuseHorizontalIrradiance = 0, AmbientTemp = 1,8, WindSpeed = 16,92, SnowDepth = 0, Weight = 0, Age = 4,209792159832571, MeasuredPower = , HasMeasuredPower = False },LEG.PV.Data.Processor.DataRecords+PvRecord,"29.11.2025 02:45:00",0,0,"0,9095760221444958",0,0,0,0,"1,8","16,92",0,0,"4,209792159832571","",False</t>
  </si>
  <si>
    <t>PvRecord { Timestamp = 29.11.2025 03:00:00, Index = 0, DirectGeometryFactor = 0, DiffuseGeometryFactor = 0,9095760221444958, CosSunElevation = 0, GlobalHorizontalIrradiance = 0, SunshineDuration = 0, DiffuseHorizontalIrradiance = 0, AmbientTemp = 1,8, WindSpeed = 16,92, SnowDepth = 0, Weight = 0, Age = 4,209820679720653, MeasuredPower = , HasMeasuredPower = False },LEG.PV.Data.Processor.DataRecords+PvRecord,"29.11.2025 03:00:00",0,0,"0,9095760221444958",0,0,0,0,"1,8","16,92",0,0,"4,209820679720653","",False</t>
  </si>
  <si>
    <t>PvRecord { Timestamp = 29.11.2025 03:15:00, Index = 0, DirectGeometryFactor = 0, DiffuseGeometryFactor = 0,9095760221444958, CosSunElevation = 0, GlobalHorizontalIrradiance = 0, SunshineDuration = 0, DiffuseHorizontalIrradiance = 0, AmbientTemp = 1,8, WindSpeed = 16,92, SnowDepth = 0, Weight = 0, Age = 4,209849199608734, MeasuredPower = , HasMeasuredPower = False },LEG.PV.Data.Processor.DataRecords+PvRecord,"29.11.2025 03:15:00",0,0,"0,9095760221444958",0,0,0,0,"1,8","16,92",0,0,"4,209849199608734","",False</t>
  </si>
  <si>
    <t>PvRecord { Timestamp = 29.11.2025 03:30:00, Index = 0, DirectGeometryFactor = 0, DiffuseGeometryFactor = 0,9095760221444958, CosSunElevation = 0, GlobalHorizontalIrradiance = 0, SunshineDuration = 0, DiffuseHorizontalIrradiance = 0, AmbientTemp = 1,6, WindSpeed = 23,94, SnowDepth = 0, Weight = 0, Age = 4,2098777194968156, MeasuredPower = , HasMeasuredPower = False },LEG.PV.Data.Processor.DataRecords+PvRecord,"29.11.2025 03:30:00",0,0,"0,9095760221444958",0,0,0,0,"1,6","23,94",0,0,"4,2098777194968156","",False</t>
  </si>
  <si>
    <t>PvRecord { Timestamp = 29.11.2025 03:45:00, Index = 0, DirectGeometryFactor = 0, DiffuseGeometryFactor = 0,9095760221444958, CosSunElevation = 0, GlobalHorizontalIrradiance = 0, SunshineDuration = 0, DiffuseHorizontalIrradiance = 0, AmbientTemp = 1,6, WindSpeed = 23,94, SnowDepth = 0, Weight = 0, Age = 4,209906239384897, MeasuredPower = , HasMeasuredPower = False },LEG.PV.Data.Processor.DataRecords+PvRecord,"29.11.2025 03:45:00",0,0,"0,9095760221444958",0,0,0,0,"1,6","23,94",0,0,"4,209906239384897","",False</t>
  </si>
  <si>
    <t>PvRecord { Timestamp = 29.11.2025 04:00:00, Index = 0, DirectGeometryFactor = 0, DiffuseGeometryFactor = 0,9095760221444958, CosSunElevation = 0, GlobalHorizontalIrradiance = 0, SunshineDuration = 0, DiffuseHorizontalIrradiance = 0, AmbientTemp = 1,6, WindSpeed = 23,94, SnowDepth = 0, Weight = 0, Age = 4,209934759272979, MeasuredPower = , HasMeasuredPower = False },LEG.PV.Data.Processor.DataRecords+PvRecord,"29.11.2025 04:00:00",0,0,"0,9095760221444958",0,0,0,0,"1,6","23,94",0,0,"4,209934759272979","",False</t>
  </si>
  <si>
    <t>PvRecord { Timestamp = 29.11.2025 04:15:00, Index = 0, DirectGeometryFactor = 0, DiffuseGeometryFactor = 0,9095760221444958, CosSunElevation = 0, GlobalHorizontalIrradiance = 0, SunshineDuration = 0, DiffuseHorizontalIrradiance = 0, AmbientTemp = 1,6, WindSpeed = 23,94, SnowDepth = 0, Weight = 0, Age = 4,209963279161061, MeasuredPower = , HasMeasuredPower = False },LEG.PV.Data.Processor.DataRecords+PvRecord,"29.11.2025 04:15:00",0,0,"0,9095760221444958",0,0,0,0,"1,6","23,94",0,0,"4,209963279161061","",False</t>
  </si>
  <si>
    <t>PvRecord { Timestamp = 29.11.2025 04:30:00,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4,209991799049142, MeasuredPower = , HasMeasuredPower = False },LEG.PV.Data.Processor.DataRecords+PvRecord,"29.11.2025 04:30:00",0,0,"0,9095760221444958",0,0,0,0,"1,4500000000000002","21,6",0,0,"4,209991799049142","",False</t>
  </si>
  <si>
    <t>PvRecord { Timestamp = 29.11.2025 04:45:00,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4,210020318937223, MeasuredPower = , HasMeasuredPower = False },LEG.PV.Data.Processor.DataRecords+PvRecord,"29.11.2025 04:45:00",0,0,"0,9095760221444958",0,0,0,0,"1,4500000000000002","21,6",0,0,"4,210020318937223","",False</t>
  </si>
  <si>
    <t>PvRecord { Timestamp = 29.11.2025 05:00:00,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4,210048838825305, MeasuredPower = , HasMeasuredPower = False },LEG.PV.Data.Processor.DataRecords+PvRecord,"29.11.2025 05:00:00",0,0,"0,9095760221444958",0,0,0,0,"1,4500000000000002","21,6",0,0,"4,210048838825305","",False</t>
  </si>
  <si>
    <t>PvRecord { Timestamp = 29.11.2025 05:15:00, Index = 0, DirectGeometryFactor = 0, DiffuseGeometryFactor = 0,9095760221444958, CosSunElevation = 0, GlobalHorizontalIrradiance = 0, SunshineDuration = 0, DiffuseHorizontalIrradiance = 0, AmbientTemp = 1,4500000000000002, WindSpeed = 21,6, SnowDepth = 0, Weight = 0, Age = 4,210077358713387, MeasuredPower = , HasMeasuredPower = False },LEG.PV.Data.Processor.DataRecords+PvRecord,"29.11.2025 05:15:00",0,0,"0,9095760221444958",0,0,0,0,"1,4500000000000002","21,6",0,0,"4,210077358713387","",False</t>
  </si>
  <si>
    <t>PvRecord { Timestamp = 29.11.2025 05:30:00, Index = 0, DirectGeometryFactor = 0, DiffuseGeometryFactor = 0,9095760221444958, CosSunElevation = 0, GlobalHorizontalIrradiance = 0, SunshineDuration = 0, DiffuseHorizontalIrradiance = 0, AmbientTemp = 1,6, WindSpeed = 22,32, SnowDepth = 0, Weight = 0, Age = 4,2101058786014685, MeasuredPower = , HasMeasuredPower = False },LEG.PV.Data.Processor.DataRecords+PvRecord,"29.11.2025 05:30:00",0,0,"0,9095760221444958",0,0,0,0,"1,6","22,32",0,0,"4,2101058786014685","",False</t>
  </si>
  <si>
    <t>PvRecord { Timestamp = 29.11.2025 05:45:00, Index = 0, DirectGeometryFactor = 0, DiffuseGeometryFactor = 0,9095760221444958, CosSunElevation = 0, GlobalHorizontalIrradiance = 0, SunshineDuration = 0, DiffuseHorizontalIrradiance = 0, AmbientTemp = 1,6, WindSpeed = 22,32, SnowDepth = 0, Weight = 0, Age = 4,21013439848955, MeasuredPower = , HasMeasuredPower = False },LEG.PV.Data.Processor.DataRecords+PvRecord,"29.11.2025 05:45:00",0,0,"0,9095760221444958",0,0,0,0,"1,6","22,32",0,0,"4,21013439848955","",False</t>
  </si>
  <si>
    <t>PvRecord { Timestamp = 29.11.2025 06:00:00, Index = 0, DirectGeometryFactor = 0, DiffuseGeometryFactor = 0,9095760221444958, CosSunElevation = 0, GlobalHorizontalIrradiance = 0, SunshineDuration = 0, DiffuseHorizontalIrradiance = 0, AmbientTemp = 1,6, WindSpeed = 22,32, SnowDepth = 0, Weight = 0, Age = 4,210162918377631, MeasuredPower = , HasMeasuredPower = False },LEG.PV.Data.Processor.DataRecords+PvRecord,"29.11.2025 06:00:00",0,0,"0,9095760221444958",0,0,0,0,"1,6","22,32",0,0,"4,210162918377631","",False</t>
  </si>
  <si>
    <t>PvRecord { Timestamp = 29.11.2025 06:15:00, Index = 0, DirectGeometryFactor = 0, DiffuseGeometryFactor = 0,9095760221444958, CosSunElevation = 0, GlobalHorizontalIrradiance = 0, SunshineDuration = 0, DiffuseHorizontalIrradiance = 0, AmbientTemp = 1,6, WindSpeed = 22,32, SnowDepth = 0, Weight = 0, Age = 4,210191438265713, MeasuredPower = , HasMeasuredPower = False },LEG.PV.Data.Processor.DataRecords+PvRecord,"29.11.2025 06:15:00",0,0,"0,9095760221444958",0,0,0,0,"1,6","22,32",0,0,"4,210191438265713","",False</t>
  </si>
  <si>
    <t>PvRecord { Timestamp = 29.11.2025 06:30:00, Index = 0, DirectGeometryFactor = 0, DiffuseGeometryFactor = 0,9095760221444958, CosSunElevation = 0, GlobalHorizontalIrradiance = 0, SunshineDuration = 0, DiffuseHorizontalIrradiance = 0, AmbientTemp = 1,75, WindSpeed = 19,44, SnowDepth = 0, Weight = 0, Age = 4,210219958153795, MeasuredPower = , HasMeasuredPower = False },LEG.PV.Data.Processor.DataRecords+PvRecord,"29.11.2025 06:30:00",0,0,"0,9095760221444958",0,0,0,0,"1,75","19,44",0,0,"4,210219958153795","",False</t>
  </si>
  <si>
    <t>PvRecord { Timestamp = 29.11.2025 06:45:00, Index = 0, DirectGeometryFactor = 0, DiffuseGeometryFactor = 0,9095760221444958, CosSunElevation = 0, GlobalHorizontalIrradiance = 0, SunshineDuration = 0, DiffuseHorizontalIrradiance = 0, AmbientTemp = 1,75, WindSpeed = 19,44, SnowDepth = 0, Weight = 0, Age = 4,210248478041876, MeasuredPower = , HasMeasuredPower = False },LEG.PV.Data.Processor.DataRecords+PvRecord,"29.11.2025 06:45:00",0,0,"0,9095760221444958",0,0,0,0,"1,75","19,44",0,0,"4,210248478041876","",False</t>
  </si>
  <si>
    <t>PvRecord { Timestamp = 29.11.2025 07:00:00, Index = 0, DirectGeometryFactor = 0, DiffuseGeometryFactor = 0,9095760221444958, CosSunElevation = 0, GlobalHorizontalIrradiance = 0, SunshineDuration = 0, DiffuseHorizontalIrradiance = 0, AmbientTemp = 1,75, WindSpeed = 19,44, SnowDepth = 0, Weight = 0, Age = 4,210276997929958, MeasuredPower = , HasMeasuredPower = False },LEG.PV.Data.Processor.DataRecords+PvRecord,"29.11.2025 07:00:00",0,0,"0,9095760221444958",0,0,0,0,"1,75","19,44",0,0,"4,210276997929958","",False</t>
  </si>
  <si>
    <t>PvRecord { Timestamp = 29.11.2025 07:15:00, Index = 0, DirectGeometryFactor = 0, DiffuseGeometryFactor = 0,9095760221444958, CosSunElevation = 0, GlobalHorizontalIrradiance = 0, SunshineDuration = 0, DiffuseHorizontalIrradiance = 0, AmbientTemp = 1,75, WindSpeed = 19,44, SnowDepth = 0, Weight = 0, Age = 4,210305517818039, MeasuredPower = , HasMeasuredPower = False },LEG.PV.Data.Processor.DataRecords+PvRecord,"29.11.2025 07:15:00",0,0,"0,9095760221444958",0,0,0,0,"1,75","19,44",0,0,"4,210305517818039","",False</t>
  </si>
  <si>
    <t>PvRecord { Timestamp = 29.11.2025 07:30:00, Index = 0, DirectGeometryFactor = 0, DiffuseGeometryFactor = 0,9095760221444958, CosSunElevation = 0, GlobalHorizontalIrradiance = 0, SunshineDuration = 0, DiffuseHorizontalIrradiance = 0, AmbientTemp = 2, WindSpeed = 19,44, SnowDepth = 0, Weight = 0, Age = 4,2103340377061205, MeasuredPower = , HasMeasuredPower = False },LEG.PV.Data.Processor.DataRecords+PvRecord,"29.11.2025 07:30:00",0,0,"0,9095760221444958",0,0,0,0,2,"19,44",0,0,"4,2103340377061205","",False</t>
  </si>
  <si>
    <t>PvRecord { Timestamp = 29.11.2025 07:45:00, Index = 0, DirectGeometryFactor = 0, DiffuseGeometryFactor = 0,9095760221444958, CosSunElevation = 0,004193348148921812, GlobalHorizontalIrradiance = 0, SunshineDuration = 0, DiffuseHorizontalIrradiance = 0, AmbientTemp = 2, WindSpeed = 19,44, SnowDepth = 0, Weight = 0, Age = 4,210362557594203, MeasuredPower = , HasMeasuredPower = False },LEG.PV.Data.Processor.DataRecords+PvRecord,"29.11.2025 07:45:00",0,0,"0,9095760221444958","0,004193348148921812",0,0,0,2,"19,44",0,0,"4,210362557594203","",False</t>
  </si>
  <si>
    <t>PvRecord { Timestamp = 29.11.2025 08:00:00, Index = 0, DirectGeometryFactor = 0,508732196001698, DiffuseGeometryFactor = 0,9095760221444958, CosSunElevation = 0,03694686110643266, GlobalHorizontalIrradiance = 0, SunshineDuration = 0, DiffuseHorizontalIrradiance = 0, AmbientTemp = 2, WindSpeed = 19,44, SnowDepth = 0, Weight = 0, Age = 4,210391077482284, MeasuredPower = , HasMeasuredPower = False },LEG.PV.Data.Processor.DataRecords+PvRecord,"29.11.2025 08:00:00",0,"0,508732196001698","0,9095760221444958","0,03694686110643266",0,0,0,2,"19,44",0,0,"4,210391077482284","",False</t>
  </si>
  <si>
    <t>PvRecord { Timestamp = 29.11.2025 08:15:00, Index = 0, DirectGeometryFactor = 0,5505149167247712, DiffuseGeometryFactor = 0,9095760221444958, CosSunElevation = 0,07071867789702435, GlobalHorizontalIrradiance = 0, SunshineDuration = 0, DiffuseHorizontalIrradiance = 0, AmbientTemp = 2, WindSpeed = 19,44, SnowDepth = 0, Weight = 0, Age = 4,2104195973703655, MeasuredPower = , HasMeasuredPower = False },LEG.PV.Data.Processor.DataRecords+PvRecord,"29.11.2025 08:15:00",0,"0,5505149167247712","0,9095760221444958","0,07071867789702435",0,0,0,2,"19,44",0,0,"4,2104195973703655","",False</t>
  </si>
  <si>
    <t>PvRecord { Timestamp = 29.11.2025 08:30:00, Index = 0, DirectGeometryFactor = 0,5902974320623233, DiffuseGeometryFactor = 0,9095760221444958, CosSunElevation = 0,10391023470014876, GlobalHorizontalIrradiance = 12,033333333333333, SunshineDuration = 0, DiffuseHorizontalIrradiance = 12, AmbientTemp = 2,4000000000000004, WindSpeed = 20,88, SnowDepth = 0, Weight = 0, Age = 4,210448117258447, MeasuredPower = , HasMeasuredPower = False },LEG.PV.Data.Processor.DataRecords+PvRecord,"29.11.2025 08:30:00",0,"0,5902974320623233","0,9095760221444958","0,10391023470014876","12,033333333333333",0,12,"2,4000000000000004","20,88",0,0,"4,210448117258447","",False</t>
  </si>
  <si>
    <t>PvRecord { Timestamp = 29.11.2025 08:45:00, Index = 0, DirectGeometryFactor = 0,6274893408188407, DiffuseGeometryFactor = 0,9095760221444958, CosSunElevation = 0,13587855198567714, GlobalHorizontalIrradiance = 12,033333333333333, SunshineDuration = 0, DiffuseHorizontalIrradiance = 12, AmbientTemp = 2,4000000000000004, WindSpeed = 20,88, SnowDepth = 0, Weight = 0, Age = 4,210476637146528, MeasuredPower = , HasMeasuredPower = False },LEG.PV.Data.Processor.DataRecords+PvRecord,"29.11.2025 08:45:00",0,"0,6274893408188407","0,9095760221444958","0,13587855198567714","12,033333333333333",0,12,"2,4000000000000004","20,88",0,0,"4,210476637146528","",False</t>
  </si>
  <si>
    <t>PvRecord { Timestamp = 29.11.2025 09:00:00, Index = 0, DirectGeometryFactor = 0,6617762177911175, DiffuseGeometryFactor = 0,9095760221444958, CosSunElevation = 0,16630099972388332, GlobalHorizontalIrradiance = 12,033333333333333, SunshineDuration = 0, DiffuseHorizontalIrradiance = 12, AmbientTemp = 2,4000000000000004, WindSpeed = 20,88, SnowDepth = 0, Weight = 0, Age = 4,210505157034611, MeasuredPower = , HasMeasuredPower = False },LEG.PV.Data.Processor.DataRecords+PvRecord,"29.11.2025 09:00:00",0,"0,6617762177911175","0,9095760221444958","0,16630099972388332","12,033333333333333",0,12,"2,4000000000000004","20,88",0,0,"4,210505157034611","",False</t>
  </si>
  <si>
    <t>PvRecord { Timestamp = 29.11.2025 09:15:00, Index = 0, DirectGeometryFactor = 0,6929435328334772, DiffuseGeometryFactor = 0,9095760221444958, CosSunElevation = 0,19496600574099895, GlobalHorizontalIrradiance = 12,033333333333333, SunshineDuration = 0, DiffuseHorizontalIrradiance = 12, AmbientTemp = 2,4000000000000004, WindSpeed = 20,88, SnowDepth = 0, Weight = 0, Age = 4,210533676922692, MeasuredPower = , HasMeasuredPower = False },LEG.PV.Data.Processor.DataRecords+PvRecord,"29.11.2025 09:15:00",0,"0,6929435328334772","0,9095760221444958","0,19496600574099895","12,033333333333333",0,12,"2,4000000000000004","20,88",0,0,"4,210533676922692","",False</t>
  </si>
  <si>
    <t>PvRecord { Timestamp = 29.11.2025 09:30:00, Index = 0, DirectGeometryFactor = 0,7208241658025034, DiffuseGeometryFactor = 0,9095760221444958, CosSunElevation = 0,22171028433449827, GlobalHorizontalIrradiance = 0, SunshineDuration = 0, DiffuseHorizontalIrradiance = 47,5, AmbientTemp = 3,2, WindSpeed = 19,98, SnowDepth = 0, Weight = 0, Age = 4,210562196810773, MeasuredPower = , HasMeasuredPower = False },LEG.PV.Data.Processor.DataRecords+PvRecord,"29.11.2025 09:30:00",0,"0,7208241658025034","0,9095760221444958","0,22171028433449827",0,0,"47,5","3,2","19,98",0,0,"4,210562196810773","",False</t>
  </si>
  <si>
    <t>PvRecord { Timestamp = 29.11.2025 09:45:00, Index = 0, DirectGeometryFactor = 0,7452802857317047, DiffuseGeometryFactor = 0,9095760221444958, CosSunElevation = 0,24639702070724953, GlobalHorizontalIrradiance = 0, SunshineDuration = 0, DiffuseHorizontalIrradiance = 47,5, AmbientTemp = 3,2, WindSpeed = 19,98, SnowDepth = 0, Weight = 0, Age = 4,210590716698855, MeasuredPower = , HasMeasuredPower = False },LEG.PV.Data.Processor.DataRecords+PvRecord,"29.11.2025 09:45:00",0,"0,7452802857317047","0,9095760221444958","0,24639702070724953",0,0,"47,5","3,2","19,98",0,0,"4,210590716698855","",False</t>
  </si>
  <si>
    <t>PvRecord { Timestamp = 29.11.2025 10:00:00, Index = 0, DirectGeometryFactor = 0,7661962920794475, DiffuseGeometryFactor = 0,9095760221444958, CosSunElevation = 0,2689072984093407, GlobalHorizontalIrradiance = 0, SunshineDuration = 0, DiffuseHorizontalIrradiance = 47,5, AmbientTemp = 3,2, WindSpeed = 19,98, SnowDepth = 0, Weight = 0, Age = 4,210619236586937, MeasuredPower = , HasMeasuredPower = False },LEG.PV.Data.Processor.DataRecords+PvRecord,"29.11.2025 10:00:00",0,"0,7661962920794475","0,9095760221444958","0,2689072984093407",0,0,"47,5","3,2","19,98",0,0,"4,210619236586937","",False</t>
  </si>
  <si>
    <t>PvRecord { Timestamp = 29.11.2025 10:15:00, Index = 0, DirectGeometryFactor = 0,7834758363891943, DiffuseGeometryFactor = 0,9095760221444958, CosSunElevation = 0,2891364442187385, GlobalHorizontalIrradiance = 0, SunshineDuration = 0, DiffuseHorizontalIrradiance = 47,5, AmbientTemp = 3,2, WindSpeed = 19,98, SnowDepth = 0, Weight = 0, Age = 4,210647756475018, MeasuredPower = , HasMeasuredPower = False },LEG.PV.Data.Processor.DataRecords+PvRecord,"29.11.2025 10:15:00",0,"0,7834758363891943","0,9095760221444958","0,2891364442187385",0,0,"47,5","3,2","19,98",0,0,"4,210647756475018","",False</t>
  </si>
  <si>
    <t>PvRecord { Timestamp = 29.11.2025 10:30:00, Index = 0, DirectGeometryFactor = 0,7970405115164536, DiffuseGeometryFactor = 0,9095760221444958, CosSunElevation = 0,3069924080255551, GlobalHorizontalIrradiance = 16,983333333333334, SunshineDuration = 0, DiffuseHorizontalIrradiance = 83,5, AmbientTemp = 4,1, WindSpeed = 8,100000000000001, SnowDepth = 0, Weight = 0, Age = 4,2106762763631, MeasuredPower = , HasMeasuredPower = False },LEG.PV.Data.Processor.DataRecords+PvRecord,"29.11.2025 10:30:00",0,"0,7970405115164536","0,9095760221444958","0,3069924080255551","16,983333333333334",0,"83,5","4,1","8,100000000000001",0,0,"4,2106762763631","",False</t>
  </si>
  <si>
    <t>PvRecord { Timestamp = 29.11.2025 10:45:00, Index = 0, DirectGeometryFactor = 0,8068292697130668, DiffuseGeometryFactor = 0,9095760221444958, CosSunElevation = 0,3223950546921457, GlobalHorizontalIrradiance = 16,983333333333334, SunshineDuration = 0, DiffuseHorizontalIrradiance = 83,5, AmbientTemp = 4,1, WindSpeed = 8,100000000000001, SnowDepth = 0, Weight = 0, Age = 4,210704796251181, MeasuredPower = , HasMeasuredPower = False },LEG.PV.Data.Processor.DataRecords+PvRecord,"29.11.2025 10:45:00",0,"0,8068292697130668","0,9095760221444958","0,3223950546921457","16,983333333333334",0,"83,5","4,1","8,100000000000001",0,0,"4,210704796251181","",False</t>
  </si>
  <si>
    <t>PvRecord { Timestamp = 29.11.2025 11:00:00, Index = 0, DirectGeometryFactor = 0,8127981669378489, DiffuseGeometryFactor = 0,9095760221444958, CosSunElevation = 0,33527588566292466, GlobalHorizontalIrradiance = 16,983333333333334, SunshineDuration = 0, DiffuseHorizontalIrradiance = 83,5, AmbientTemp = 4,1, WindSpeed = 8,100000000000001, SnowDepth = 0, Weight = 0, Age = 4,210733316139263, MeasuredPower = , HasMeasuredPower = False },LEG.PV.Data.Processor.DataRecords+PvRecord,"29.11.2025 11:00:00",0,"0,8127981669378489","0,9095760221444958","0,33527588566292466","16,983333333333334",0,"83,5","4,1","8,100000000000001",0,0,"4,210733316139263","",False</t>
  </si>
  <si>
    <t>PvRecord { Timestamp = 29.11.2025 11:15:00, Index = 0, DirectGeometryFactor = 0,8149202462556687, DiffuseGeometryFactor = 0,9095760221444958, CosSunElevation = 0,345577965791514, GlobalHorizontalIrradiance = 16,983333333333334, SunshineDuration = 0, DiffuseHorizontalIrradiance = 83,5, AmbientTemp = 4,1, WindSpeed = 8,100000000000001, SnowDepth = 0, Weight = 0, Age = 4,210761836027345, MeasuredPower = , HasMeasuredPower = False },LEG.PV.Data.Processor.DataRecords+PvRecord,"29.11.2025 11:15:00",0,"0,8149202462556687","0,9095760221444958","0,345577965791514","16,983333333333334",0,"83,5","4,1","8,100000000000001",0,0,"4,210761836027345","",False</t>
  </si>
  <si>
    <t>PvRecord { Timestamp = 29.11.2025 11:30:00, Index = 0, DirectGeometryFactor = 0,8131854678496391, DiffuseGeometryFactor = 0,9095760221444958, CosSunElevation = 0,3532559441022119, GlobalHorizontalIrradiance = 256,1166666666667, SunshineDuration = 0, DiffuseHorizontalIrradiance = 117, AmbientTemp = 5,15, WindSpeed = 9,360000000000001, SnowDepth = 0, Weight = 0, Age = 4,210790355915426, MeasuredPower = , HasMeasuredPower = False },LEG.PV.Data.Processor.DataRecords+PvRecord,"29.11.2025 11:30:00",0,"0,8131854678496391","0,9095760221444958","0,3532559441022119","256,1166666666667",0,117,"5,15","9,360000000000001",0,0,"4,210790355915426","",False</t>
  </si>
  <si>
    <t>PvRecord { Timestamp = 29.11.2025 11:45:00, Index = 0, DirectGeometryFactor = 0,8076006373494302, DiffuseGeometryFactor = 0,9095760221444958, CosSunElevation = 0,35827611012127025, GlobalHorizontalIrradiance = 256,1166666666667, SunshineDuration = 0, DiffuseHorizontalIrradiance = 117, AmbientTemp = 5,15, WindSpeed = 9,360000000000001, SnowDepth = 0, Weight = 0, Age = 4,210818875803508, MeasuredPower = , HasMeasuredPower = False },LEG.PV.Data.Processor.DataRecords+PvRecord,"29.11.2025 11:45:00",0,"0,8076006373494302","0,9095760221444958","0,35827611012127025","256,1166666666667",0,117,"5,15","9,360000000000001",0,0,"4,210818875803508","",False</t>
  </si>
  <si>
    <t>PvRecord { Timestamp = 29.11.2025 12:00:00, Index = 0, DirectGeometryFactor = 0,7981893064969159, DiffuseGeometryFactor = 0,9095760221444958, CosSunElevation = 0,36061645386007757, GlobalHorizontalIrradiance = 256,1166666666667, SunshineDuration = 0, DiffuseHorizontalIrradiance = 117, AmbientTemp = 5,15, WindSpeed = 9,360000000000001, SnowDepth = 0, Weight = 0, Age = 4,210847395691589, MeasuredPower = , HasMeasuredPower = False },LEG.PV.Data.Processor.DataRecords+PvRecord,"29.11.2025 12:00:00",0,"0,7981893064969159","0,9095760221444958","0,36061645386007757","256,1166666666667",0,117,"5,15","9,360000000000001",0,0,"4,210847395691589","",False</t>
  </si>
  <si>
    <t>PvRecord { Timestamp = 29.11.2025 12:15:00, Index = 0, DirectGeometryFactor = 0,7849916322666564, DiffuseGeometryFactor = 0,9095760221444958, CosSunElevation = 0,36026671202116, GlobalHorizontalIrradiance = 256,1166666666667, SunshineDuration = 0, DiffuseHorizontalIrradiance = 117, AmbientTemp = 5,15, WindSpeed = 9,360000000000001, SnowDepth = 0, Weight = 0, Age = 4,2108759155796704, MeasuredPower = , HasMeasuredPower = False },LEG.PV.Data.Processor.DataRecords+PvRecord,"29.11.2025 12:15:00",0,"0,7849916322666564","0,9095760221444958","0,36026671202116","256,1166666666667",0,117,"5,15","9,360000000000001",0,0,"4,2108759155796704","",False</t>
  </si>
  <si>
    <t>PvRecord { Timestamp = 29.11.2025 12:30:00, Index = 0, DirectGeometryFactor = 0,7680641873826168, DiffuseGeometryFactor = 0,9095760221444958, CosSunElevation = 0,35722839114924776, GlobalHorizontalIrradiance = 636,1666666666666, SunshineDuration = 0, DiffuseHorizontalIrradiance = 93,5, AmbientTemp = 6,15, WindSpeed = 12,240000000000002, SnowDepth = 0, Weight = 0, Age = 4,210904435467753, MeasuredPower = , HasMeasuredPower = False },LEG.PV.Data.Processor.DataRecords+PvRecord,"29.11.2025 12:30:00",0,"0,7680641873826168","0,9095760221444958","0,35722839114924776","636,1666666666666",0,"93,5","6,15","12,240000000000002",0,0,"4,210904435467753","",False</t>
  </si>
  <si>
    <t>PvRecord { Timestamp = 29.11.2025 12:45:00, Index = 0, DirectGeometryFactor = 0,7474797200585124, DiffuseGeometryFactor = 0,9095760221444958, CosSunElevation = 0,35151476389546527, GlobalHorizontalIrradiance = 636,1666666666666, SunshineDuration = 0, DiffuseHorizontalIrradiance = 93,5, AmbientTemp = 6,15, WindSpeed = 12,240000000000002, SnowDepth = 0, Weight = 0, Age = 4,210932955355834, MeasuredPower = , HasMeasuredPower = False },LEG.PV.Data.Processor.DataRecords+PvRecord,"29.11.2025 12:45:00",0,"0,7474797200585124","0,9095760221444958","0,35151476389546527","636,1666666666666",0,"93,5","6,15","12,240000000000002",0,0,"4,210932955355834","",False</t>
  </si>
  <si>
    <t>PvRecord { Timestamp = 29.11.2025 13:00:00, Index = 0, DirectGeometryFactor = 0,7233268643977071, DiffuseGeometryFactor = 0,9095760221444958, CosSunElevation = 0,34315083900511395, GlobalHorizontalIrradiance = 636,1666666666666, SunshineDuration = 0, DiffuseHorizontalIrradiance = 93,5, AmbientTemp = 6,15, WindSpeed = 12,240000000000002, SnowDepth = 0, Weight = 0, Age = 4,2109614752439155, MeasuredPower = , HasMeasuredPower = False },LEG.PV.Data.Processor.DataRecords+PvRecord,"29.11.2025 13:00:00",0,"0,7233268643977071","0,9095760221444958","0,34315083900511395","636,1666666666666",0,"93,5","6,15","12,240000000000002",0,0,"4,2109614752439155","",False</t>
  </si>
  <si>
    <t>PvRecord { Timestamp = 29.11.2025 13:15:00, Index = 0, DirectGeometryFactor = 0,6957098065434596, DiffuseGeometryFactor = 0,9095760221444958, CosSunElevation = 0,3321733100159894, GlobalHorizontalIrradiance = 636,1666666666666, SunshineDuration = 0, DiffuseHorizontalIrradiance = 93,5, AmbientTemp = 6,15, WindSpeed = 12,240000000000002, SnowDepth = 0, Weight = 0, Age = 4,210989995131997, MeasuredPower = , HasMeasuredPower = False },LEG.PV.Data.Processor.DataRecords+PvRecord,"29.11.2025 13:15:00",0,"0,6957098065434596","0,9095760221444958","0,3321733100159894","636,1666666666666",0,"93,5","6,15","12,240000000000002",0,0,"4,210989995131997","",False</t>
  </si>
  <si>
    <t>PvRecord { Timestamp = 29.11.2025 13:30:00, Index = 0, DirectGeometryFactor = 0,664747917161933, DiffuseGeometryFactor = 0,9095760221444958, CosSunElevation = 0,3186304937886153, GlobalHorizontalIrradiance = 657,4833333333332, SunshineDuration = 0, DiffuseHorizontalIrradiance = 80, AmbientTemp = 6,800000000000001, WindSpeed = 12,06, SnowDepth = 0, Weight = 0, Age = 4,211018515020078, MeasuredPower = , HasMeasuredPower = False },LEG.PV.Data.Processor.DataRecords+PvRecord,"29.11.2025 13:30:00",0,"0,664747917161933","0,9095760221444958","0,3186304937886153","657,4833333333332",0,80,"6,800000000000001","12,06",0,0,"4,211018515020078","",False</t>
  </si>
  <si>
    <t>PvRecord { Timestamp = 29.11.2025 13:45:00, Index = 0, DirectGeometryFactor = 0,6305753683943575, DiffuseGeometryFactor = 0,9095760221444958, CosSunElevation = 0,30258227937596405, GlobalHorizontalIrradiance = 657,4833333333332, SunshineDuration = 0, DiffuseHorizontalIrradiance = 80, AmbientTemp = 6,800000000000001, WindSpeed = 12,06, SnowDepth = 0, Weight = 0, Age = 4,211047034908161, MeasuredPower = , HasMeasuredPower = False },LEG.PV.Data.Processor.DataRecords+PvRecord,"29.11.2025 13:45:00",0,"0,6305753683943575","0,9095760221444958","0,30258227937596405","657,4833333333332",0,80,"6,800000000000001","12,06",0,0,"4,211047034908161","",False</t>
  </si>
  <si>
    <t>PvRecord { Timestamp = 29.11.2025 14:00:00, Index = 0, DirectGeometryFactor = 0,5933407670484689, DiffuseGeometryFactor = 0,9095760221444958, CosSunElevation = 0,2841001242664466, GlobalHorizontalIrradiance = 657,4833333333332, SunshineDuration = 0, DiffuseHorizontalIrradiance = 80, AmbientTemp = 6,800000000000001, WindSpeed = 12,06, SnowDepth = 0, Weight = 0, Age = 4,211075554796242, MeasuredPower = , HasMeasuredPower = False },LEG.PV.Data.Processor.DataRecords+PvRecord,"29.11.2025 14:00:00",0,"0,5933407670484689","0,9095760221444958","0,2841001242664466","657,4833333333332",0,80,"6,800000000000001","12,06",0,0,"4,211075554796242","",False</t>
  </si>
  <si>
    <t>PvRecord { Timestamp = 29.11.2025 14:15:00, Index = 0, DirectGeometryFactor = 0,5532068625807484, DiffuseGeometryFactor = 0,9095760221444958, CosSunElevation = 0,263267166987877, GlobalHorizontalIrradiance = 657,4833333333332, SunshineDuration = 0, DiffuseHorizontalIrradiance = 80, AmbientTemp = 6,800000000000001, WindSpeed = 12,06, SnowDepth = 0, Weight = 0, Age = 4,211104074684323, MeasuredPower = , HasMeasuredPower = False },LEG.PV.Data.Processor.DataRecords+PvRecord,"29.11.2025 14:15:00",0,"0,5532068625807484","0,9095760221444958","0,263267166987877","657,4833333333332",0,80,"6,800000000000001","12,06",0,0,"4,211104074684323","",False</t>
  </si>
  <si>
    <t>PvRecord { Timestamp = 29.11.2025 14:30:00, Index = 0, DirectGeometryFactor = 0,5103504407812285, DiffuseGeometryFactor = 0,9095760221444958, CosSunElevation = 0,24017858902847705, GlobalHorizontalIrradiance = 250,16666666666666, SunshineDuration = 0, DiffuseHorizontalIrradiance = 108, AmbientTemp = 6,4, WindSpeed = 14,4, SnowDepth = 0, Weight = 0, Age = 4,211132594572405, MeasuredPower = , HasMeasuredPower = False },LEG.PV.Data.Processor.DataRecords+PvRecord,"29.11.2025 14:30:00",0,"0,5103504407812285","0,9095760221444958","0,24017858902847705","250,16666666666666",0,108,"6,4","14,4",0,0,"4,211132594572405","",False</t>
  </si>
  <si>
    <t>PvRecord { Timestamp = 29.11.2025 14:45:00, Index = 0, DirectGeometryFactor = 0,4649626284032261, DiffuseGeometryFactor = 0,9095760221444958, CosSunElevation = 0,21494249794767348, GlobalHorizontalIrradiance = 250,16666666666666, SunshineDuration = 0, DiffuseHorizontalIrradiance = 108, AmbientTemp = 6,4, WindSpeed = 14,4, SnowDepth = 0, Weight = 0, Age = 4,211161114460486, MeasuredPower = , HasMeasuredPower = False },LEG.PV.Data.Processor.DataRecords+PvRecord,"29.11.2025 14:45:00",0,"0,4649626284032261","0,9095760221444958","0,21494249794767348","250,16666666666666",0,108,"6,4","14,4",0,0,"4,211161114460486","",False</t>
  </si>
  <si>
    <t>PvRecord { Timestamp = 29.11.2025 15:00:00, Index = 0, DirectGeometryFactor = 0,41725010178406946, DiffuseGeometryFactor = 0,9095760221444958, CosSunElevation = 0,18768192835321673, GlobalHorizontalIrradiance = 250,16666666666666, SunshineDuration = 0, DiffuseHorizontalIrradiance = 108, AmbientTemp = 6,4, WindSpeed = 14,4, SnowDepth = 0, Weight = 0, Age = 4,211189634348568, MeasuredPower = , HasMeasuredPower = False },LEG.PV.Data.Processor.DataRecords+PvRecord,"29.11.2025 15:00:00",0,"0,41725010178406946","0,9095760221444958","0,18768192835321673","250,16666666666666",0,108,"6,4","14,4",0,0,"4,211189634348568","",False</t>
  </si>
  <si>
    <t>PvRecord { Timestamp = 29.11.2025 15:15:00, Index = 0, DirectGeometryFactor = 0,367438371322208, DiffuseGeometryFactor = 0,9095760221444958, CosSunElevation = 0,1585393826723942, GlobalHorizontalIrradiance = 250,16666666666666, SunshineDuration = 0, DiffuseHorizontalIrradiance = 108, AmbientTemp = 6,4, WindSpeed = 14,4, SnowDepth = 0, Weight = 0, Age = 4,21121815423665, MeasuredPower = , HasMeasuredPower = False },LEG.PV.Data.Processor.DataRecords+PvRecord,"29.11.2025 15:15:00",0,"0,367438371322208","0,9095760221444958","0,1585393826723942","250,16666666666666",0,108,"6,4","14,4",0,0,"4,21121815423665","",False</t>
  </si>
  <si>
    <t>PvRecord { Timestamp = 29.11.2025 15:30:00, Index = 0, DirectGeometryFactor = 0,31578023408431033, DiffuseGeometryFactor = 0,9095760221444958, CosSunElevation = 0,1276876666887545, GlobalHorizontalIrradiance = 213,88333333333333, SunshineDuration = 0, DiffuseHorizontalIrradiance = 55,5, AmbientTemp = 4,95, WindSpeed = 10,8, SnowDepth = 0, Weight = 0, Age = 4,211246674124731, MeasuredPower = , HasMeasuredPower = False },LEG.PV.Data.Processor.DataRecords+PvRecord,"29.11.2025 15:30:00",0,"0,31578023408431033","0,9095760221444958","0,1276876666887545","213,88333333333333",0,"55,5","4,95","10,8",0,0,"4,211246674124731","",False</t>
  </si>
  <si>
    <t>PvRecord { Timestamp = 29.11.2025 15:45:00, Index = 0, DirectGeometryFactor = 0, DiffuseGeometryFactor = 0,9095760221444958, CosSunElevation = 0,0953582542250397, GlobalHorizontalIrradiance = 213,88333333333333, SunshineDuration = 0, DiffuseHorizontalIrradiance = 55,5, AmbientTemp = 4,95, WindSpeed = 10,8, SnowDepth = 0, Weight = 0, Age = 4,211275194012813, MeasuredPower = , HasMeasuredPower = False },LEG.PV.Data.Processor.DataRecords+PvRecord,"29.11.2025 15:45:00",0,0,"0,9095760221444958","0,0953582542250397","213,88333333333333",0,"55,5","4,95","10,8",0,0,"4,211275194012813","",False</t>
  </si>
  <si>
    <t>PvRecord { Timestamp = 29.11.2025 16:00:00, Index = 0, DirectGeometryFactor = 0, DiffuseGeometryFactor = 0,9095760221444958, CosSunElevation = 0,061926075223934604, GlobalHorizontalIrradiance = 213,88333333333333, SunshineDuration = 0, DiffuseHorizontalIrradiance = 55,5, AmbientTemp = 4,95, WindSpeed = 10,8, SnowDepth = 0, Weight = 0, Age = 4,211303713900894, MeasuredPower = , HasMeasuredPower = False },LEG.PV.Data.Processor.DataRecords+PvRecord,"29.11.2025 16:00:00",0,0,"0,9095760221444958","0,061926075223934604","213,88333333333333",0,"55,5","4,95","10,8",0,0,"4,211303713900894","",False</t>
  </si>
  <si>
    <t>PvRecord { Timestamp = 29.11.2025 16:15:00, Index = 0, DirectGeometryFactor = 0, DiffuseGeometryFactor = 0,9095760221444958, CosSunElevation = 0,028200707019647886, GlobalHorizontalIrradiance = 213,88333333333333, SunshineDuration = 0, DiffuseHorizontalIrradiance = 55,5, AmbientTemp = 4,95, WindSpeed = 10,8, SnowDepth = 0, Weight = 0, Age = 4,211332233788976, MeasuredPower = , HasMeasuredPower = False },LEG.PV.Data.Processor.DataRecords+PvRecord,"29.11.2025 16:15:00",0,0,"0,9095760221444958","0,028200707019647886","213,88333333333333",0,"55,5","4,95","10,8",0,0,"4,211332233788976","",False</t>
  </si>
  <si>
    <t>PvRecord { Timestamp = 29.11.2025 16:30:00,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4,211360753677058, MeasuredPower = , HasMeasuredPower = False },LEG.PV.Data.Processor.DataRecords+PvRecord,"29.11.2025 16:30:00",0,0,"0,9095760221444958",0,"35,56666666666667",0,8,"3,05","8,1",0,0,"4,211360753677058","",False</t>
  </si>
  <si>
    <t>PvRecord { Timestamp = 29.11.2025 16:45:00,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4,211389273565139, MeasuredPower = , HasMeasuredPower = False },LEG.PV.Data.Processor.DataRecords+PvRecord,"29.11.2025 16:45:00",0,0,"0,9095760221444958",0,"35,56666666666667",0,8,"3,05","8,1",0,0,"4,211389273565139","",False</t>
  </si>
  <si>
    <t>PvRecord { Timestamp = 29.11.2025 17:00:00,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4,21141779345322, MeasuredPower = , HasMeasuredPower = False },LEG.PV.Data.Processor.DataRecords+PvRecord,"29.11.2025 17:00:00",0,0,"0,9095760221444958",0,"35,56666666666667",0,8,"3,05","8,1",0,0,"4,21141779345322","",False</t>
  </si>
  <si>
    <t>PvRecord { Timestamp = 29.11.2025 17:15:00, Index = 0, DirectGeometryFactor = 0, DiffuseGeometryFactor = 0,9095760221444958, CosSunElevation = 0, GlobalHorizontalIrradiance = 35,56666666666667, SunshineDuration = 0, DiffuseHorizontalIrradiance = 8, AmbientTemp = 3,05, WindSpeed = 8,1, SnowDepth = 0, Weight = 0, Age = 4,211446313341302, MeasuredPower = , HasMeasuredPower = False },LEG.PV.Data.Processor.DataRecords+PvRecord,"29.11.2025 17:15:00",0,0,"0,9095760221444958",0,"35,56666666666667",0,8,"3,05","8,1",0,0,"4,211446313341302","",False</t>
  </si>
  <si>
    <t>PvRecord { Timestamp = 29.11.2025 17:30:00,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4,211474833229384, MeasuredPower = , HasMeasuredPower = False },LEG.PV.Data.Processor.DataRecords+PvRecord,"29.11.2025 17:30:00",0,0,"0,9095760221444958",0,0,0,0,"1,85","5,760000000000001",0,0,"4,211474833229384","",False</t>
  </si>
  <si>
    <t>PvRecord { Timestamp = 29.11.2025 17:45:00,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4,2115033531174655, MeasuredPower = , HasMeasuredPower = False },LEG.PV.Data.Processor.DataRecords+PvRecord,"29.11.2025 17:45:00",0,0,"0,9095760221444958",0,0,0,0,"1,85","5,760000000000001",0,0,"4,2115033531174655","",False</t>
  </si>
  <si>
    <t>PvRecord { Timestamp = 29.11.2025 18:00:00,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4,211531873005547, MeasuredPower = , HasMeasuredPower = False },LEG.PV.Data.Processor.DataRecords+PvRecord,"29.11.2025 18:00:00",0,0,"0,9095760221444958",0,0,0,0,"1,85","5,760000000000001",0,0,"4,211531873005547","",False</t>
  </si>
  <si>
    <t>PvRecord { Timestamp = 29.11.2025 18:15:00, Index = 0, DirectGeometryFactor = 0, DiffuseGeometryFactor = 0,9095760221444958, CosSunElevation = 0, GlobalHorizontalIrradiance = 0, SunshineDuration = 0, DiffuseHorizontalIrradiance = 0, AmbientTemp = 1,85, WindSpeed = 5,760000000000001, SnowDepth = 0, Weight = 0, Age = 4,211560392893628, MeasuredPower = , HasMeasuredPower = False },LEG.PV.Data.Processor.DataRecords+PvRecord,"29.11.2025 18:15:00",0,0,"0,9095760221444958",0,0,0,0,"1,85","5,760000000000001",0,0,"4,211560392893628","",False</t>
  </si>
  <si>
    <t>PvRecord { Timestamp = 29.11.2025 18:30:00,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4,21158891278171, MeasuredPower = , HasMeasuredPower = False },LEG.PV.Data.Processor.DataRecords+PvRecord,"29.11.2025 18:30:00",0,0,"0,9095760221444958",0,0,0,0,"1,15","6,840000000000001",0,0,"4,21158891278171","",False</t>
  </si>
  <si>
    <t>PvRecord { Timestamp = 29.11.2025 18:45:00,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4,211617432669792, MeasuredPower = , HasMeasuredPower = False },LEG.PV.Data.Processor.DataRecords+PvRecord,"29.11.2025 18:45:00",0,0,"0,9095760221444958",0,0,0,0,"1,15","6,840000000000001",0,0,"4,211617432669792","",False</t>
  </si>
  <si>
    <t>PvRecord { Timestamp = 29.11.2025 19:00:00,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4,211645952557873, MeasuredPower = , HasMeasuredPower = False },LEG.PV.Data.Processor.DataRecords+PvRecord,"29.11.2025 19:00:00",0,0,"0,9095760221444958",0,0,0,0,"1,15","6,840000000000001",0,0,"4,211645952557873","",False</t>
  </si>
  <si>
    <t>PvRecord { Timestamp = 29.11.2025 19:15:00, Index = 0, DirectGeometryFactor = 0, DiffuseGeometryFactor = 0,9095760221444958, CosSunElevation = 0, GlobalHorizontalIrradiance = 0, SunshineDuration = 0, DiffuseHorizontalIrradiance = 0, AmbientTemp = 1,15, WindSpeed = 6,840000000000001, SnowDepth = 0, Weight = 0, Age = 4,211674472445955, MeasuredPower = , HasMeasuredPower = False },LEG.PV.Data.Processor.DataRecords+PvRecord,"29.11.2025 19:15:00",0,0,"0,9095760221444958",0,0,0,0,"1,15","6,840000000000001",0,0,"4,211674472445955","",False</t>
  </si>
  <si>
    <t>PvRecord { Timestamp = 29.11.2025 19:30:00, Index = 0, DirectGeometryFactor = 0, DiffuseGeometryFactor = 0,9095760221444958, CosSunElevation = 0, GlobalHorizontalIrradiance = 0, SunshineDuration = 0, DiffuseHorizontalIrradiance = 0, AmbientTemp = 0,35, WindSpeed = 7,74, SnowDepth = 0, Weight = 0, Age = 4,211702992334036, MeasuredPower = , HasMeasuredPower = False },LEG.PV.Data.Processor.DataRecords+PvRecord,"29.11.2025 19:30:00",0,0,"0,9095760221444958",0,0,0,0,"0,35","7,74",0,0,"4,211702992334036","",False</t>
  </si>
  <si>
    <t>PvRecord { Timestamp = 29.11.2025 19:45:00, Index = 0, DirectGeometryFactor = 0, DiffuseGeometryFactor = 0,9095760221444958, CosSunElevation = 0, GlobalHorizontalIrradiance = 0, SunshineDuration = 0, DiffuseHorizontalIrradiance = 0, AmbientTemp = 0,35, WindSpeed = 7,74, SnowDepth = 0, Weight = 0, Age = 4,2117315122221175, MeasuredPower = , HasMeasuredPower = False },LEG.PV.Data.Processor.DataRecords+PvRecord,"29.11.2025 19:45:00",0,0,"0,9095760221444958",0,0,0,0,"0,35","7,74",0,0,"4,2117315122221175","",False</t>
  </si>
  <si>
    <t>PvRecord { Timestamp = 29.11.2025 20:00:00, Index = 0, DirectGeometryFactor = 0, DiffuseGeometryFactor = 0,9095760221444958, CosSunElevation = 0, GlobalHorizontalIrradiance = 0, SunshineDuration = 0, DiffuseHorizontalIrradiance = 0, AmbientTemp = 0,35, WindSpeed = 7,74, SnowDepth = 0, Weight = 0, Age = 4,2117600321102, MeasuredPower = , HasMeasuredPower = False },LEG.PV.Data.Processor.DataRecords+PvRecord,"29.11.2025 20:00:00",0,0,"0,9095760221444958",0,0,0,0,"0,35","7,74",0,0,"4,2117600321102","",False</t>
  </si>
  <si>
    <t>PvRecord { Timestamp = 29.11.2025 20:15:00, Index = 0, DirectGeometryFactor = 0, DiffuseGeometryFactor = 0,9095760221444958, CosSunElevation = 0, GlobalHorizontalIrradiance = 0, SunshineDuration = 0, DiffuseHorizontalIrradiance = 0, AmbientTemp = 0,35, WindSpeed = 7,74, SnowDepth = 0, Weight = 0, Age = 4,211788551998281, MeasuredPower = , HasMeasuredPower = False },LEG.PV.Data.Processor.DataRecords+PvRecord,"29.11.2025 20:15:00",0,0,"0,9095760221444958",0,0,0,0,"0,35","7,74",0,0,"4,211788551998281","",False</t>
  </si>
  <si>
    <t>PvRecord { Timestamp = 29.11.2025 20:30:00, Index = 0, DirectGeometryFactor = 0, DiffuseGeometryFactor = 0,9095760221444958, CosSunElevation = 0, GlobalHorizontalIrradiance = 0, SunshineDuration = 0, DiffuseHorizontalIrradiance = 0,5, AmbientTemp = -0,35, WindSpeed = 9, SnowDepth = 0, Weight = 0, Age = 4,211817071886363, MeasuredPower = , HasMeasuredPower = False },LEG.PV.Data.Processor.DataRecords+PvRecord,"29.11.2025 20:30:00",0,0,"0,9095760221444958",0,0,0,"0,5","-0,35",9,0,0,"4,211817071886363","",False</t>
  </si>
  <si>
    <t>PvRecord { Timestamp = 29.11.2025 20:45:00, Index = 0, DirectGeometryFactor = 0, DiffuseGeometryFactor = 0,9095760221444958, CosSunElevation = 0, GlobalHorizontalIrradiance = 0, SunshineDuration = 0, DiffuseHorizontalIrradiance = 0,5, AmbientTemp = -0,35, WindSpeed = 9, SnowDepth = 0, Weight = 0, Age = 4,211845591774444, MeasuredPower = , HasMeasuredPower = False },LEG.PV.Data.Processor.DataRecords+PvRecord,"29.11.2025 20:45:00",0,0,"0,9095760221444958",0,0,0,"0,5","-0,35",9,0,0,"4,211845591774444","",False</t>
  </si>
  <si>
    <t>PvRecord { Timestamp = 29.11.2025 21:00:00, Index = 0, DirectGeometryFactor = 0, DiffuseGeometryFactor = 0,9095760221444958, CosSunElevation = 0, GlobalHorizontalIrradiance = 0, SunshineDuration = 0, DiffuseHorizontalIrradiance = 0,5, AmbientTemp = -0,35, WindSpeed = 9, SnowDepth = 0, Weight = 0, Age = 4,211874111662525, MeasuredPower = , HasMeasuredPower = False },LEG.PV.Data.Processor.DataRecords+PvRecord,"29.11.2025 21:00:00",0,0,"0,9095760221444958",0,0,0,"0,5","-0,35",9,0,0,"4,211874111662525","",False</t>
  </si>
  <si>
    <t>PvRecord { Timestamp = 29.11.2025 21:15:00, Index = 0, DirectGeometryFactor = 0, DiffuseGeometryFactor = 0,9095760221444958, CosSunElevation = 0, GlobalHorizontalIrradiance = 0, SunshineDuration = 0, DiffuseHorizontalIrradiance = 0,5, AmbientTemp = -0,35, WindSpeed = 9, SnowDepth = 0, Weight = 0, Age = 4,211902631550608, MeasuredPower = , HasMeasuredPower = False },LEG.PV.Data.Processor.DataRecords+PvRecord,"29.11.2025 21:15:00",0,0,"0,9095760221444958",0,0,0,"0,5","-0,35",9,0,0,"4,211902631550608","",False</t>
  </si>
  <si>
    <t>PvRecord { Timestamp = 29.11.2025 21:30:00, Index = 0, DirectGeometryFactor = 0, DiffuseGeometryFactor = 0,9095760221444958, CosSunElevation = 0, GlobalHorizontalIrradiance = 0, SunshineDuration = 0, DiffuseHorizontalIrradiance = 0, AmbientTemp = 0,1, WindSpeed = 6,48, SnowDepth = 0, Weight = 0, Age = 4,211931151438689, MeasuredPower = , HasMeasuredPower = False },LEG.PV.Data.Processor.DataRecords+PvRecord,"29.11.2025 21:30:00",0,0,"0,9095760221444958",0,0,0,0,"0,1","6,48",0,0,"4,211931151438689","",False</t>
  </si>
  <si>
    <t>PvRecord { Timestamp = 29.11.2025 21:45:00, Index = 0, DirectGeometryFactor = 0, DiffuseGeometryFactor = 0,9095760221444958, CosSunElevation = 0, GlobalHorizontalIrradiance = 0, SunshineDuration = 0, DiffuseHorizontalIrradiance = 0, AmbientTemp = 0,1, WindSpeed = 6,48, SnowDepth = 0, Weight = 0, Age = 4,21195967132677, MeasuredPower = , HasMeasuredPower = False },LEG.PV.Data.Processor.DataRecords+PvRecord,"29.11.2025 21:45:00",0,0,"0,9095760221444958",0,0,0,0,"0,1","6,48",0,0,"4,21195967132677","",False</t>
  </si>
  <si>
    <t>PvRecord { Timestamp = 29.11.2025 22:00:00, Index = 0, DirectGeometryFactor = 0, DiffuseGeometryFactor = 0,9095760221444958, CosSunElevation = 0, GlobalHorizontalIrradiance = 0, SunshineDuration = 0, DiffuseHorizontalIrradiance = 0, AmbientTemp = 0,1, WindSpeed = 6,48, SnowDepth = 0, Weight = 0, Age = 4,211988191214852, MeasuredPower = , HasMeasuredPower = False },LEG.PV.Data.Processor.DataRecords+PvRecord,"29.11.2025 22:00:00",0,0,"0,9095760221444958",0,0,0,0,"0,1","6,48",0,0,"4,211988191214852","",False</t>
  </si>
  <si>
    <t>PvRecord { Timestamp = 29.11.2025 22:15:00, Index = 0, DirectGeometryFactor = 0, DiffuseGeometryFactor = 0,9095760221444958, CosSunElevation = 0, GlobalHorizontalIrradiance = 0, SunshineDuration = 0, DiffuseHorizontalIrradiance = 0, AmbientTemp = 0,1, WindSpeed = 6,48, SnowDepth = 0, Weight = 0, Age = 4,212016711102933, MeasuredPower = , HasMeasuredPower = False },LEG.PV.Data.Processor.DataRecords+PvRecord,"29.11.2025 22:15:00",0,0,"0,9095760221444958",0,0,0,0,"0,1","6,48",0,0,"4,212016711102933","",False</t>
  </si>
  <si>
    <t>PvRecord { Timestamp = 29.11.2025 22:30:00, Index = 0, DirectGeometryFactor = 0, DiffuseGeometryFactor = 0,9095760221444958, CosSunElevation = 0, GlobalHorizontalIrradiance = 0, SunshineDuration = 0, DiffuseHorizontalIrradiance = 0, AmbientTemp = -0,05, WindSpeed = 7,2, SnowDepth = 0, Weight = 0, Age = 4,2120452309910155, MeasuredPower = , HasMeasuredPower = False },LEG.PV.Data.Processor.DataRecords+PvRecord,"29.11.2025 22:30:00",0,0,"0,9095760221444958",0,0,0,0,"-0,05","7,2",0,0,"4,2120452309910155","",False</t>
  </si>
  <si>
    <t>PvRecord { Timestamp = 29.11.2025 22:45:00, Index = 0, DirectGeometryFactor = 0, DiffuseGeometryFactor = 0,9095760221444958, CosSunElevation = 0, GlobalHorizontalIrradiance = 0, SunshineDuration = 0, DiffuseHorizontalIrradiance = 0, AmbientTemp = -0,05, WindSpeed = 7,2, SnowDepth = 0, Weight = 0, Age = 4,212073750879097, MeasuredPower = , HasMeasuredPower = False },LEG.PV.Data.Processor.DataRecords+PvRecord,"29.11.2025 22:45:00",0,0,"0,9095760221444958",0,0,0,0,"-0,05","7,2",0,0,"4,212073750879097","",False</t>
  </si>
  <si>
    <t>PvRecord { Timestamp = 29.11.2025 23:00:00, Index = 0, DirectGeometryFactor = 0, DiffuseGeometryFactor = 0,9095760221444958, CosSunElevation = 0, GlobalHorizontalIrradiance = 0, SunshineDuration = 0, DiffuseHorizontalIrradiance = 0, AmbientTemp = -0,05, WindSpeed = 7,2, SnowDepth = 0, Weight = 0, Age = 4,212102270767178, MeasuredPower = , HasMeasuredPower = False },LEG.PV.Data.Processor.DataRecords+PvRecord,"29.11.2025 23:00:00",0,0,"0,9095760221444958",0,0,0,0,"-0,05","7,2",0,0,"4,212102270767178","",False</t>
  </si>
  <si>
    <t>PvRecord { Timestamp = 29.11.2025 23:15:00, Index = 0, DirectGeometryFactor = 0, DiffuseGeometryFactor = 0,9095760221444958, CosSunElevation = 0, GlobalHorizontalIrradiance = 0, SunshineDuration = 0, DiffuseHorizontalIrradiance = 0, AmbientTemp = -0,05, WindSpeed = 7,2, SnowDepth = 0, Weight = 0, Age = 4,21213079065526, MeasuredPower = , HasMeasuredPower = False },LEG.PV.Data.Processor.DataRecords+PvRecord,"29.11.2025 23:15:00",0,0,"0,9095760221444958",0,0,0,0,"-0,05","7,2",0,0,"4,21213079065526","",False</t>
  </si>
  <si>
    <t>PvRecord { Timestamp = 29.11.2025 23:30:00, Index = 0, DirectGeometryFactor = 0, DiffuseGeometryFactor = 0,9095760221444958, CosSunElevation = 0, GlobalHorizontalIrradiance = 0, SunshineDuration = 0, DiffuseHorizontalIrradiance = 0, AmbientTemp = -0,2, WindSpeed = 11,34, SnowDepth = 0, Weight = 0, Age = 4,212159310543341, MeasuredPower = , HasMeasuredPower = False },LEG.PV.Data.Processor.DataRecords+PvRecord,"29.11.2025 23:30:00",0,0,"0,9095760221444958",0,0,0,0,"-0,2","11,34",0,0,"4,212159310543341","",False</t>
  </si>
  <si>
    <t>PvRecord { Timestamp = 29.11.2025 23:45:00, Index = 0, DirectGeometryFactor = 0, DiffuseGeometryFactor = 0,9095760221444958, CosSunElevation = 0, GlobalHorizontalIrradiance = 0, SunshineDuration = 0, DiffuseHorizontalIrradiance = 0, AmbientTemp = -0,2, WindSpeed = 11,34, SnowDepth = 0, Weight = 0, Age = 4,212187830431423, MeasuredPower = , HasMeasuredPower = False },LEG.PV.Data.Processor.DataRecords+PvRecord,"29.11.2025 23:45:00",0,0,"0,9095760221444958",0,0,0,0,"-0,2","11,34",0,0,"4,212187830431423","",False</t>
  </si>
  <si>
    <t>PvRecord { Timestamp = 30.11.2025 00:00:00, Index = 0, DirectGeometryFactor = 0, DiffuseGeometryFactor = 0,9095760221444958, CosSunElevation = 0, GlobalHorizontalIrradiance = 0, SunshineDuration = 0, DiffuseHorizontalIrradiance = 0, AmbientTemp = -0,2, WindSpeed = 11,34, SnowDepth = 0, Weight = 0, Age = 4,212216350319505, MeasuredPower = , HasMeasuredPower = False },LEG.PV.Data.Processor.DataRecords+PvRecord,"30.11.2025 00:00:00",0,0,"0,9095760221444958",0,0,0,0,"-0,2","11,34",0,0,"4,212216350319505","",False</t>
  </si>
  <si>
    <t>PvRecord { Timestamp = 30.11.2025 00:15:00, Index = 0, DirectGeometryFactor = 0, DiffuseGeometryFactor = 0,9095760221444958, CosSunElevation = 0, GlobalHorizontalIrradiance = 0, SunshineDuration = 0, DiffuseHorizontalIrradiance = 0, AmbientTemp = -0,2, WindSpeed = 11,34, SnowDepth = 0, Weight = 0, Age = 4,212244870207586, MeasuredPower = , HasMeasuredPower = False },LEG.PV.Data.Processor.DataRecords+PvRecord,"30.11.2025 00:15:00",0,0,"0,9095760221444958",0,0,0,0,"-0,2","11,34",0,0,"4,212244870207586","",False</t>
  </si>
  <si>
    <t>PvRecord { Timestamp = 30.11.2025 00:30:00,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4,2122733900956675, MeasuredPower = , HasMeasuredPower = False },LEG.PV.Data.Processor.DataRecords+PvRecord,"30.11.2025 00:30:00",0,0,"0,9095760221444958",0,0,0,0,"0,1","10,440000000000001",0,0,"4,2122733900956675","",False</t>
  </si>
  <si>
    <t>PvRecord { Timestamp = 30.11.2025 00:45:00,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4,212301909983749, MeasuredPower = , HasMeasuredPower = False },LEG.PV.Data.Processor.DataRecords+PvRecord,"30.11.2025 00:45:00",0,0,"0,9095760221444958",0,0,0,0,"0,1","10,440000000000001",0,0,"4,212301909983749","",False</t>
  </si>
  <si>
    <t>PvRecord { Timestamp = 30.11.2025 01:00:00,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4,212330429871831, MeasuredPower = , HasMeasuredPower = False },LEG.PV.Data.Processor.DataRecords+PvRecord,"30.11.2025 01:00:00",0,0,"0,9095760221444958",0,0,0,0,"0,1","10,440000000000001",0,0,"4,212330429871831","",False</t>
  </si>
  <si>
    <t>PvRecord { Timestamp = 30.11.2025 01:15:00, Index = 0, DirectGeometryFactor = 0, DiffuseGeometryFactor = 0,9095760221444958, CosSunElevation = 0, GlobalHorizontalIrradiance = 0, SunshineDuration = 0, DiffuseHorizontalIrradiance = 0, AmbientTemp = 0,1, WindSpeed = 10,440000000000001, SnowDepth = 0, Weight = 0, Age = 4,2123589497599125, MeasuredPower = , HasMeasuredPower = False },LEG.PV.Data.Processor.DataRecords+PvRecord,"30.11.2025 01:15:00",0,0,"0,9095760221444958",0,0,0,0,"0,1","10,440000000000001",0,0,"4,2123589497599125","",False</t>
  </si>
  <si>
    <t>PvRecord { Timestamp = 30.11.2025 01:30:00, Index = 0, DirectGeometryFactor = 0, DiffuseGeometryFactor = 0,9095760221444958, CosSunElevation = 0, GlobalHorizontalIrradiance = 0, SunshineDuration = 0, DiffuseHorizontalIrradiance = 0, AmbientTemp = 0,05, WindSpeed = 8,64, SnowDepth = 0, Weight = 0, Age = 4,212387469647994, MeasuredPower = , HasMeasuredPower = False },LEG.PV.Data.Processor.DataRecords+PvRecord,"30.11.2025 01:30:00",0,0,"0,9095760221444958",0,0,0,0,"0,05","8,64",0,0,"4,212387469647994","",False</t>
  </si>
  <si>
    <t>PvRecord { Timestamp = 30.11.2025 01:45:00, Index = 0, DirectGeometryFactor = 0, DiffuseGeometryFactor = 0,9095760221444958, CosSunElevation = 0, GlobalHorizontalIrradiance = 0, SunshineDuration = 0, DiffuseHorizontalIrradiance = 0, AmbientTemp = 0,05, WindSpeed = 8,64, SnowDepth = 0, Weight = 0, Age = 4,212415989536075, MeasuredPower = , HasMeasuredPower = False },LEG.PV.Data.Processor.DataRecords+PvRecord,"30.11.2025 01:45:00",0,0,"0,9095760221444958",0,0,0,0,"0,05","8,64",0,0,"4,212415989536075","",False</t>
  </si>
  <si>
    <t>PvRecord { Timestamp = 30.11.2025 02:00:00, Index = 0, DirectGeometryFactor = 0, DiffuseGeometryFactor = 0,9095760221444958, CosSunElevation = 0, GlobalHorizontalIrradiance = 0, SunshineDuration = 0, DiffuseHorizontalIrradiance = 0, AmbientTemp = 0,05, WindSpeed = 8,64, SnowDepth = 0, Weight = 0, Age = 4,212444509424157, MeasuredPower = , HasMeasuredPower = False },LEG.PV.Data.Processor.DataRecords+PvRecord,"30.11.2025 02:00:00",0,0,"0,9095760221444958",0,0,0,0,"0,05","8,64",0,0,"4,212444509424157","",False</t>
  </si>
  <si>
    <t>PvRecord { Timestamp = 30.11.2025 02:15:00, Index = 0, DirectGeometryFactor = 0, DiffuseGeometryFactor = 0,9095760221444958, CosSunElevation = 0, GlobalHorizontalIrradiance = 0, SunshineDuration = 0, DiffuseHorizontalIrradiance = 0, AmbientTemp = 0,05, WindSpeed = 8,64, SnowDepth = 0, Weight = 0, Age = 4,212473029312239, MeasuredPower = , HasMeasuredPower = False },LEG.PV.Data.Processor.DataRecords+PvRecord,"30.11.2025 02:15:00",0,0,"0,9095760221444958",0,0,0,0,"0,05","8,64",0,0,"4,212473029312239","",False</t>
  </si>
  <si>
    <t>PvRecord { Timestamp = 30.11.2025 02:30:00, Index = 0, DirectGeometryFactor = 0, DiffuseGeometryFactor = 0,9095760221444958, CosSunElevation = 0, GlobalHorizontalIrradiance = 0, SunshineDuration = 0, DiffuseHorizontalIrradiance = 0, AmbientTemp = -0,05, WindSpeed = 17,1, SnowDepth = 0, Weight = 0, Age = 4,21250154920032, MeasuredPower = , HasMeasuredPower = False },LEG.PV.Data.Processor.DataRecords+PvRecord,"30.11.2025 02:30:00",0,0,"0,9095760221444958",0,0,0,0,"-0,05","17,1",0,0,"4,21250154920032","",False</t>
  </si>
  <si>
    <t>PvRecord { Timestamp = 30.11.2025 02:45:00, Index = 0, DirectGeometryFactor = 0, DiffuseGeometryFactor = 0,9095760221444958, CosSunElevation = 0, GlobalHorizontalIrradiance = 0, SunshineDuration = 0, DiffuseHorizontalIrradiance = 0, AmbientTemp = -0,05, WindSpeed = 17,1, SnowDepth = 0, Weight = 0, Age = 4,212530069088402, MeasuredPower = , HasMeasuredPower = False },LEG.PV.Data.Processor.DataRecords+PvRecord,"30.11.2025 02:45:00",0,0,"0,9095760221444958",0,0,0,0,"-0,05","17,1",0,0,"4,212530069088402","",False</t>
  </si>
  <si>
    <t>PvRecord { Timestamp = 30.11.2025 03:00:00, Index = 0, DirectGeometryFactor = 0, DiffuseGeometryFactor = 0,9095760221444958, CosSunElevation = 0, GlobalHorizontalIrradiance = 0, SunshineDuration = 0, DiffuseHorizontalIrradiance = 0, AmbientTemp = -0,05, WindSpeed = 17,1, SnowDepth = 0, Weight = 0, Age = 4,212558588976483, MeasuredPower = , HasMeasuredPower = False },LEG.PV.Data.Processor.DataRecords+PvRecord,"30.11.2025 03:00:00",0,0,"0,9095760221444958",0,0,0,0,"-0,05","17,1",0,0,"4,212558588976483","",False</t>
  </si>
  <si>
    <t>PvRecord { Timestamp = 30.11.2025 03:15:00, Index = 0, DirectGeometryFactor = 0, DiffuseGeometryFactor = 0,9095760221444958, CosSunElevation = 0, GlobalHorizontalIrradiance = 0, SunshineDuration = 0, DiffuseHorizontalIrradiance = 0, AmbientTemp = -0,05, WindSpeed = 17,1, SnowDepth = 0, Weight = 0, Age = 4,2125871088645646, MeasuredPower = , HasMeasuredPower = False },LEG.PV.Data.Processor.DataRecords+PvRecord,"30.11.2025 03:15:00",0,0,"0,9095760221444958",0,0,0,0,"-0,05","17,1",0,0,"4,2125871088645646","",False</t>
  </si>
  <si>
    <t>PvRecord { Timestamp = 30.11.2025 03:30:00, Index = 0, DirectGeometryFactor = 0, DiffuseGeometryFactor = 0,9095760221444958, CosSunElevation = 0, GlobalHorizontalIrradiance = 0, SunshineDuration = 0, DiffuseHorizontalIrradiance = 0, AmbientTemp = -0,05, WindSpeed = 17,28, SnowDepth = 0, Weight = 0, Age = 4,212615628752647, MeasuredPower = , HasMeasuredPower = False },LEG.PV.Data.Processor.DataRecords+PvRecord,"30.11.2025 03:30:00",0,0,"0,9095760221444958",0,0,0,0,"-0,05","17,28",0,0,"4,212615628752647","",False</t>
  </si>
  <si>
    <t>PvRecord { Timestamp = 30.11.2025 03:45:00, Index = 0, DirectGeometryFactor = 0, DiffuseGeometryFactor = 0,9095760221444958, CosSunElevation = 0, GlobalHorizontalIrradiance = 0, SunshineDuration = 0, DiffuseHorizontalIrradiance = 0, AmbientTemp = -0,05, WindSpeed = 17,28, SnowDepth = 0, Weight = 0, Age = 4,212644148640728, MeasuredPower = , HasMeasuredPower = False },LEG.PV.Data.Processor.DataRecords+PvRecord,"30.11.2025 03:45:00",0,0,"0,9095760221444958",0,0,0,0,"-0,05","17,28",0,0,"4,212644148640728","",False</t>
  </si>
  <si>
    <t>PvRecord { Timestamp = 30.11.2025 04:00:00, Index = 0, DirectGeometryFactor = 0, DiffuseGeometryFactor = 0,9095760221444958, CosSunElevation = 0, GlobalHorizontalIrradiance = 0, SunshineDuration = 0, DiffuseHorizontalIrradiance = 0, AmbientTemp = -0,05, WindSpeed = 17,28, SnowDepth = 0, Weight = 0, Age = 4,21267266852881, MeasuredPower = , HasMeasuredPower = False },LEG.PV.Data.Processor.DataRecords+PvRecord,"30.11.2025 04:00:00",0,0,"0,9095760221444958",0,0,0,0,"-0,05","17,28",0,0,"4,21267266852881","",False</t>
  </si>
  <si>
    <t>PvRecord { Timestamp = 30.11.2025 04:15:00, Index = 0, DirectGeometryFactor = 0, DiffuseGeometryFactor = 0,9095760221444958, CosSunElevation = 0, GlobalHorizontalIrradiance = 0, SunshineDuration = 0, DiffuseHorizontalIrradiance = 0, AmbientTemp = -0,05, WindSpeed = 17,28, SnowDepth = 0, Weight = 0, Age = 4,212701188416891, MeasuredPower = , HasMeasuredPower = False },LEG.PV.Data.Processor.DataRecords+PvRecord,"30.11.2025 04:15:00",0,0,"0,9095760221444958",0,0,0,0,"-0,05","17,28",0,0,"4,212701188416891","",False</t>
  </si>
  <si>
    <t>PvRecord { Timestamp = 30.11.2025 04:30:00, Index = 0, DirectGeometryFactor = 0, DiffuseGeometryFactor = 0,9095760221444958, CosSunElevation = 0, GlobalHorizontalIrradiance = 0, SunshineDuration = 0, DiffuseHorizontalIrradiance = 0, AmbientTemp = 0,25, WindSpeed = 17,64, SnowDepth = 0, Weight = 0, Age = 4,212729708304972, MeasuredPower = , HasMeasuredPower = False },LEG.PV.Data.Processor.DataRecords+PvRecord,"30.11.2025 04:30:00",0,0,"0,9095760221444958",0,0,0,0,"0,25","17,64",0,0,"4,212729708304972","",False</t>
  </si>
  <si>
    <t>PvRecord { Timestamp = 30.11.2025 04:45:00, Index = 0, DirectGeometryFactor = 0, DiffuseGeometryFactor = 0,9095760221444958, CosSunElevation = 0, GlobalHorizontalIrradiance = 0, SunshineDuration = 0, DiffuseHorizontalIrradiance = 0, AmbientTemp = 0,25, WindSpeed = 17,64, SnowDepth = 0, Weight = 0, Age = 4,212758228193055, MeasuredPower = , HasMeasuredPower = False },LEG.PV.Data.Processor.DataRecords+PvRecord,"30.11.2025 04:45:00",0,0,"0,9095760221444958",0,0,0,0,"0,25","17,64",0,0,"4,212758228193055","",False</t>
  </si>
  <si>
    <t>PvRecord { Timestamp = 30.11.2025 05:00:00, Index = 0, DirectGeometryFactor = 0, DiffuseGeometryFactor = 0,9095760221444958, CosSunElevation = 0, GlobalHorizontalIrradiance = 0, SunshineDuration = 0, DiffuseHorizontalIrradiance = 0, AmbientTemp = 0,25, WindSpeed = 17,64, SnowDepth = 0, Weight = 0, Age = 4,212786748081136, MeasuredPower = , HasMeasuredPower = False },LEG.PV.Data.Processor.DataRecords+PvRecord,"30.11.2025 05:00:00",0,0,"0,9095760221444958",0,0,0,0,"0,25","17,64",0,0,"4,212786748081136","",False</t>
  </si>
  <si>
    <t>PvRecord { Timestamp = 30.11.2025 05:15:00, Index = 0, DirectGeometryFactor = 0, DiffuseGeometryFactor = 0,9095760221444958, CosSunElevation = 0, GlobalHorizontalIrradiance = 0, SunshineDuration = 0, DiffuseHorizontalIrradiance = 0, AmbientTemp = 0,25, WindSpeed = 17,64, SnowDepth = 0, Weight = 0, Age = 4,2128152679692175, MeasuredPower = , HasMeasuredPower = False },LEG.PV.Data.Processor.DataRecords+PvRecord,"30.11.2025 05:15:00",0,0,"0,9095760221444958",0,0,0,0,"0,25","17,64",0,0,"4,2128152679692175","",False</t>
  </si>
  <si>
    <t>PvRecord { Timestamp = 30.11.2025 05:30:00,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4,212843787857299, MeasuredPower = , HasMeasuredPower = False },LEG.PV.Data.Processor.DataRecords+PvRecord,"30.11.2025 05:30:00",0,0,"0,9095760221444958",0,0,0,0,"0,44999999999999996","21,6",0,0,"4,212843787857299","",False</t>
  </si>
  <si>
    <t>PvRecord { Timestamp = 30.11.2025 05:45:00,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4,212872307745381, MeasuredPower = , HasMeasuredPower = False },LEG.PV.Data.Processor.DataRecords+PvRecord,"30.11.2025 05:45:00",0,0,"0,9095760221444958",0,0,0,0,"0,44999999999999996","21,6",0,0,"4,212872307745381","",False</t>
  </si>
  <si>
    <t>PvRecord { Timestamp = 30.11.2025 06:00:00,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4,2129008276334625, MeasuredPower = , HasMeasuredPower = False },LEG.PV.Data.Processor.DataRecords+PvRecord,"30.11.2025 06:00:00",0,0,"0,9095760221444958",0,0,0,0,"0,44999999999999996","21,6",0,0,"4,2129008276334625","",False</t>
  </si>
  <si>
    <t>PvRecord { Timestamp = 30.11.2025 06:15:00, Index = 0, DirectGeometryFactor = 0, DiffuseGeometryFactor = 0,9095760221444958, CosSunElevation = 0, GlobalHorizontalIrradiance = 0, SunshineDuration = 0, DiffuseHorizontalIrradiance = 0, AmbientTemp = 0,44999999999999996, WindSpeed = 21,6, SnowDepth = 0, Weight = 0, Age = 4,212929347521544, MeasuredPower = , HasMeasuredPower = False },LEG.PV.Data.Processor.DataRecords+PvRecord,"30.11.2025 06:15:00",0,0,"0,9095760221444958",0,0,0,0,"0,44999999999999996","21,6",0,0,"4,212929347521544","",False</t>
  </si>
  <si>
    <t>PvRecord { Timestamp = 30.11.2025 06:30:00, Index = 0, DirectGeometryFactor = 0, DiffuseGeometryFactor = 0,9095760221444958, CosSunElevation = 0, GlobalHorizontalIrradiance = 0, SunshineDuration = 0, DiffuseHorizontalIrradiance = 0, AmbientTemp = 0,55, WindSpeed = 20,34, SnowDepth = 0, Weight = 0, Age = 4,212957867409625, MeasuredPower = , HasMeasuredPower = False },LEG.PV.Data.Processor.DataRecords+PvRecord,"30.11.2025 06:30:00",0,0,"0,9095760221444958",0,0,0,0,"0,55","20,34",0,0,"4,212957867409625","",False</t>
  </si>
  <si>
    <t>PvRecord { Timestamp = 30.11.2025 06:45:00, Index = 0, DirectGeometryFactor = 0, DiffuseGeometryFactor = 0,9095760221444958, CosSunElevation = 0, GlobalHorizontalIrradiance = 0, SunshineDuration = 0, DiffuseHorizontalIrradiance = 0, AmbientTemp = 0,55, WindSpeed = 20,34, SnowDepth = 0, Weight = 0, Age = 4,212986387297707, MeasuredPower = , HasMeasuredPower = False },LEG.PV.Data.Processor.DataRecords+PvRecord,"30.11.2025 06:45:00",0,0,"0,9095760221444958",0,0,0,0,"0,55","20,34",0,0,"4,212986387297707","",False</t>
  </si>
  <si>
    <t>PvRecord { Timestamp = 30.11.2025 07:00:00, Index = 0, DirectGeometryFactor = 0, DiffuseGeometryFactor = 0,9095760221444958, CosSunElevation = 0, GlobalHorizontalIrradiance = 0, SunshineDuration = 0, DiffuseHorizontalIrradiance = 0, AmbientTemp = 0,55, WindSpeed = 20,34, SnowDepth = 0, Weight = 0, Age = 4,213014907185789, MeasuredPower = , HasMeasuredPower = False },LEG.PV.Data.Processor.DataRecords+PvRecord,"30.11.2025 07:00:00",0,0,"0,9095760221444958",0,0,0,0,"0,55","20,34",0,0,"4,213014907185789","",False</t>
  </si>
  <si>
    <t>PvRecord { Timestamp = 30.11.2025 07:15:00, Index = 0, DirectGeometryFactor = 0, DiffuseGeometryFactor = 0,9095760221444958, CosSunElevation = 0, GlobalHorizontalIrradiance = 0, SunshineDuration = 0, DiffuseHorizontalIrradiance = 0, AmbientTemp = 0,55, WindSpeed = 20,34, SnowDepth = 0, Weight = 0, Age = 4,21304342707387, MeasuredPower = , HasMeasuredPower = False },LEG.PV.Data.Processor.DataRecords+PvRecord,"30.11.2025 07:15:00",0,0,"0,9095760221444958",0,0,0,0,"0,55","20,34",0,0,"4,21304342707387","",False</t>
  </si>
  <si>
    <t>PvRecord { Timestamp = 30.11.2025 07:30:00, Index = 0, DirectGeometryFactor = 0, DiffuseGeometryFactor = 0,9095760221444958, CosSunElevation = 0, GlobalHorizontalIrradiance = 0, SunshineDuration = 0, DiffuseHorizontalIrradiance = 0, AmbientTemp = 1,1, WindSpeed = 19,439999999999998, SnowDepth = 0, Weight = 0, Age = 4,213071946961952, MeasuredPower = , HasMeasuredPower = False },LEG.PV.Data.Processor.DataRecords+PvRecord,"30.11.2025 07:30:00",0,0,"0,9095760221444958",0,0,0,0,"1,1","19,439999999999998",0,0,"4,213071946961952","",False</t>
  </si>
  <si>
    <t>PvRecord { Timestamp = 30.11.2025 07:45:00, Index = 0, DirectGeometryFactor = 0, DiffuseGeometryFactor = 0,9095760221444958, CosSunElevation = 0,0015575404702933284, GlobalHorizontalIrradiance = 0, SunshineDuration = 0, DiffuseHorizontalIrradiance = 0, AmbientTemp = 1,1, WindSpeed = 19,439999999999998, SnowDepth = 0, Weight = 0, Age = 4,213100466850033, MeasuredPower = , HasMeasuredPower = False },LEG.PV.Data.Processor.DataRecords+PvRecord,"30.11.2025 07:45:00",0,0,"0,9095760221444958","0,0015575404702933284",0,0,0,"1,1","19,439999999999998",0,0,"4,213100466850033","",False</t>
  </si>
  <si>
    <t>PvRecord { Timestamp = 30.11.2025 08:00:00, Index = 0, DirectGeometryFactor = 0,5065501544288419, DiffuseGeometryFactor = 0,9095760221444958, CosSunElevation = 0,03401740599920346, GlobalHorizontalIrradiance = 0, SunshineDuration = 0, DiffuseHorizontalIrradiance = 0, AmbientTemp = 1,1, WindSpeed = 19,439999999999998, SnowDepth = 0, Weight = 0, Age = 4,2131289867381145, MeasuredPower = , HasMeasuredPower = False },LEG.PV.Data.Processor.DataRecords+PvRecord,"30.11.2025 08:00:00",0,"0,5065501544288419","0,9095760221444958","0,03401740599920346",0,0,0,"1,1","19,439999999999998",0,0,"4,2131289867381145","",False</t>
  </si>
  <si>
    <t>PvRecord { Timestamp = 30.11.2025 08:15:00, Index = 0, DirectGeometryFactor = 0,5482475679491677, DiffuseGeometryFactor = 0,9095760221444958, CosSunElevation = 0,06766399882484285, GlobalHorizontalIrradiance = 0, SunshineDuration = 0, DiffuseHorizontalIrradiance = 0, AmbientTemp = 1,1, WindSpeed = 19,439999999999998, SnowDepth = 0, Weight = 0, Age = 4,213157506626197, MeasuredPower = , HasMeasuredPower = False },LEG.PV.Data.Processor.DataRecords+PvRecord,"30.11.2025 08:15:00",0,"0,5482475679491677","0,9095760221444958","0,06766399882484285",0,0,0,"1,1","19,439999999999998",0,0,"4,213157506626197","",False</t>
  </si>
  <si>
    <t>PvRecord { Timestamp = 30.11.2025 08:30:00, Index = 0, DirectGeometryFactor = 0,5880122650551828, DiffuseGeometryFactor = 0,9095760221444958, CosSunElevation = 0,10080689206632155, GlobalHorizontalIrradiance = 90,81666666666666, SunshineDuration = 0, DiffuseHorizontalIrradiance = 24,5, AmbientTemp = 1,85, WindSpeed = 14,040000000000001, SnowDepth = 0, Weight = 0, Age = 4,213186026514278, MeasuredPower = , HasMeasuredPower = False },LEG.PV.Data.Processor.DataRecords+PvRecord,"30.11.2025 08:30:00",0,"0,5880122650551828","0,9095760221444958","0,10080689206632155","90,81666666666666",0,"24,5","1,85","14,040000000000001",0,0,"4,213186026514278","",False</t>
  </si>
  <si>
    <t>PvRecord { Timestamp = 30.11.2025 08:45:00, Index = 0, DirectGeometryFactor = 0,6252145324249199, DiffuseGeometryFactor = 0,9095760221444958, CosSunElevation = 0,13275664889822322, GlobalHorizontalIrradiance = 90,81666666666666, SunshineDuration = 0, DiffuseHorizontalIrradiance = 24,5, AmbientTemp = 1,85, WindSpeed = 14,040000000000001, SnowDepth = 0, Weight = 0, Age = 4,21321454640236, MeasuredPower = , HasMeasuredPower = False },LEG.PV.Data.Processor.DataRecords+PvRecord,"30.11.2025 08:45:00",0,"0,6252145324249199","0,9095760221444958","0,13275664889822322","90,81666666666666",0,"24,5","1,85","14,040000000000001",0,0,"4,21321454640236","",False</t>
  </si>
  <si>
    <t>PvRecord { Timestamp = 30.11.2025 09:00:00, Index = 0, DirectGeometryFactor = 0,6595275420130522, DiffuseGeometryFactor = 0,9095760221444958, CosSunElevation = 0,16317600293272205, GlobalHorizontalIrradiance = 90,81666666666666, SunshineDuration = 0, DiffuseHorizontalIrradiance = 24,5, AmbientTemp = 1,85, WindSpeed = 14,040000000000001, SnowDepth = 0, Weight = 0, Age = 4,213243066290441, MeasuredPower = , HasMeasuredPower = False },LEG.PV.Data.Processor.DataRecords+PvRecord,"30.11.2025 09:00:00",0,"0,6595275420130522","0,9095760221444958","0,16317600293272205","90,81666666666666",0,"24,5","1,85","14,040000000000001",0,0,"4,213243066290441","",False</t>
  </si>
  <si>
    <t>PvRecord { Timestamp = 30.11.2025 09:15:00, Index = 0, DirectGeometryFactor = 0,6907321200836427, DiffuseGeometryFactor = 0,9095760221444958, CosSunElevation = 0,19184798660242033, GlobalHorizontalIrradiance = 90,81666666666666, SunshineDuration = 0, DiffuseHorizontalIrradiance = 24,5, AmbientTemp = 1,85, WindSpeed = 14,040000000000001, SnowDepth = 0, Weight = 0, Age = 4,213271586178522, MeasuredPower = , HasMeasuredPower = False },LEG.PV.Data.Processor.DataRecords+PvRecord,"30.11.2025 09:15:00",0,"0,6907321200836427","0,9095760221444958","0,19184798660242033","90,81666666666666",0,"24,5","1,85","14,040000000000001",0,0,"4,213271586178522","",False</t>
  </si>
  <si>
    <t>PvRecord { Timestamp = 30.11.2025 09:30:00, Index = 0, DirectGeometryFactor = 0,7186590566137896, DiffuseGeometryFactor = 0,9095760221444958, CosSunElevation = 0,21860697816972804, GlobalHorizontalIrradiance = 119,31666666666666, SunshineDuration = 0, DiffuseHorizontalIrradiance = 62,5, AmbientTemp = 2,6, WindSpeed = 9,72, SnowDepth = 0, Weight = 0, Age = 4,213300106066605, MeasuredPower = , HasMeasuredPower = False },LEG.PV.Data.Processor.DataRecords+PvRecord,"30.11.2025 09:30:00",0,"0,7186590566137896","0,9095760221444958","0,21860697816972804","119,31666666666666",0,"62,5","2,6","9,72",0,0,"4,213300106066605","",False</t>
  </si>
  <si>
    <t>PvRecord { Timestamp = 30.11.2025 09:45:00, Index = 0, DirectGeometryFactor = 0,7431693971089688, DiffuseGeometryFactor = 0,9095760221444958, CosSunElevation = 0,24331499474915472, GlobalHorizontalIrradiance = 119,31666666666666, SunshineDuration = 0, DiffuseHorizontalIrradiance = 62,5, AmbientTemp = 2,6, WindSpeed = 9,72, SnowDepth = 0, Weight = 0, Age = 4,213328625954686, MeasuredPower = , HasMeasuredPower = False },LEG.PV.Data.Processor.DataRecords+PvRecord,"30.11.2025 09:45:00",0,"0,7431693971089688","0,9095760221444958","0,24331499474915472","119,31666666666666",0,"62,5","2,6","9,72",0,0,"4,213328625954686","",False</t>
  </si>
  <si>
    <t>PvRecord { Timestamp = 30.11.2025 10:00:00, Index = 0, DirectGeometryFactor = 0,7641468225161908, DiffuseGeometryFactor = 0,9095760221444958, CosSunElevation = 0,26585244903494504, GlobalHorizontalIrradiance = 119,31666666666666, SunshineDuration = 0, DiffuseHorizontalIrradiance = 62,5, AmbientTemp = 2,6, WindSpeed = 9,72, SnowDepth = 0, Weight = 0, Age = 4,213357145842767, MeasuredPower = , HasMeasuredPower = False },LEG.PV.Data.Processor.DataRecords+PvRecord,"30.11.2025 10:00:00",0,"0,7641468225161908","0,9095760221444958","0,26585244903494504","119,31666666666666",0,"62,5","2,6","9,72",0,0,"4,213357145842767","",False</t>
  </si>
  <si>
    <t>PvRecord { Timestamp = 30.11.2025 10:15:00, Index = 0, DirectGeometryFactor = 0,7814944463234986, DiffuseGeometryFactor = 0,9095760221444958, CosSunElevation = 0,2861142249518765, GlobalHorizontalIrradiance = 119,31666666666666, SunshineDuration = 0, DiffuseHorizontalIrradiance = 62,5, AmbientTemp = 2,6, WindSpeed = 9,72, SnowDepth = 0, Weight = 0, Age = 4,213385665730849, MeasuredPower = , HasMeasuredPower = False },LEG.PV.Data.Processor.DataRecords+PvRecord,"30.11.2025 10:15:00",0,"0,7814944463234986","0,9095760221444958","0,2861142249518765","119,31666666666666",0,"62,5","2,6","9,72",0,0,"4,213385665730849","",False</t>
  </si>
  <si>
    <t>PvRecord { Timestamp = 30.11.2025 10:30:00, Index = 0, DirectGeometryFactor = 0,7951334047955003, DiffuseGeometryFactor = 0,9095760221444958, CosSunElevation = 0,3040079382072306, GlobalHorizontalIrradiance = 104,24999999999999, SunshineDuration = 0, DiffuseHorizontalIrradiance = 93, AmbientTemp = 3,45, WindSpeed = 7,5600000000000005, SnowDepth = 0, Weight = 0, Age = 4,21341418561893, MeasuredPower = , HasMeasuredPower = False },LEG.PV.Data.Processor.DataRecords+PvRecord,"30.11.2025 10:30:00",0,"0,7951334047955003","0,9095760221444958","0,3040079382072306","104,24999999999999",0,93,"3,45","7,5600000000000005",0,0,"4,21341418561893","",False</t>
  </si>
  <si>
    <t>PvRecord { Timestamp = 30.11.2025 10:45:00, Index = 0, DirectGeometryFactor = 0,8050022280762162, DiffuseGeometryFactor = 0,9095760221444958, CosSunElevation = 0,3194531709543598, GlobalHorizontalIrradiance = 104,24999999999999, SunshineDuration = 0, DiffuseHorizontalIrradiance = 93, AmbientTemp = 3,45, WindSpeed = 7,5600000000000005, SnowDepth = 0, Weight = 0, Age = 4,2134427055070125, MeasuredPower = , HasMeasuredPower = False },LEG.PV.Data.Processor.DataRecords+PvRecord,"30.11.2025 10:45:00",0,"0,8050022280762162","0,9095760221444958","0,3194531709543598","104,24999999999999",0,93,"3,45","7,5600000000000005",0,0,"4,2134427055070125","",False</t>
  </si>
  <si>
    <t>PvRecord { Timestamp = 30.11.2025 11:00:00, Index = 0, DirectGeometryFactor = 0,8110565610214554, DiffuseGeometryFactor = 0,9095760221444958, CosSunElevation = 0,33238116429080433, GlobalHorizontalIrradiance = 104,24999999999999, SunshineDuration = 0, DiffuseHorizontalIrradiance = 93, AmbientTemp = 3,45, WindSpeed = 7,5600000000000005, SnowDepth = 0, Weight = 0, Age = 4,213471225395094, MeasuredPower = , HasMeasuredPower = False },LEG.PV.Data.Processor.DataRecords+PvRecord,"30.11.2025 11:00:00",0,"0,8110565610214554","0,9095760221444958","0,33238116429080433","104,24999999999999",0,93,"3,45","7,5600000000000005",0,0,"4,213471225395094","",False</t>
  </si>
  <si>
    <t>PvRecord { Timestamp = 30.11.2025 11:15:00, Index = 0, DirectGeometryFactor = 0,8132690345507475, DiffuseGeometryFactor = 0,9095760221444958, CosSunElevation = 0,34273472962717433, GlobalHorizontalIrradiance = 104,24999999999999, SunshineDuration = 0, DiffuseHorizontalIrradiance = 93, AmbientTemp = 3,45, WindSpeed = 7,5600000000000005, SnowDepth = 0, Weight = 0, Age = 4,213499745283175, MeasuredPower = , HasMeasuredPower = False },LEG.PV.Data.Processor.DataRecords+PvRecord,"30.11.2025 11:15:00",0,"0,8132690345507475","0,9095760221444958","0,34273472962717433","104,24999999999999",0,93,"3,45","7,5600000000000005",0,0,"4,213499745283175","",False</t>
  </si>
  <si>
    <t>PvRecord { Timestamp = 30.11.2025 11:30:00, Index = 0, DirectGeometryFactor = 0,8116291895405636, DiffuseGeometryFactor = 0,9095760221444958, CosSunElevation = 0,3504682610615202, GlobalHorizontalIrradiance = 79,91666666666666, SunshineDuration = 0, DiffuseHorizontalIrradiance = 112,5, AmbientTemp = 4,3, WindSpeed = 8,46, SnowDepth = 0, Weight = 0, Age = 4,213528265171257, MeasuredPower = , HasMeasuredPower = False },LEG.PV.Data.Processor.DataRecords+PvRecord,"30.11.2025 11:30:00",0,"0,8116291895405636","0,9095760221444958","0,3504682610615202","79,91666666666666",0,"112,5","4,3","8,46",0,0,"4,213528265171257","",False</t>
  </si>
  <si>
    <t>PvRecord { Timestamp = 30.11.2025 11:45:00, Index = 0, DirectGeometryFactor = 0,806143402292918, DiffuseGeometryFactor = 0,9095760221444958, CosSunElevation = 0,3555477872021662, GlobalHorizontalIrradiance = 79,91666666666666, SunshineDuration = 0, DiffuseHorizontalIrradiance = 112,5, AmbientTemp = 4,3, WindSpeed = 8,46, SnowDepth = 0, Weight = 0, Age = 4,213556785059338, MeasuredPower = , HasMeasuredPower = False },LEG.PV.Data.Processor.DataRecords+PvRecord,"30.11.2025 11:45:00",0,"0,806143402292918","0,9095760221444958","0,3555477872021662","79,91666666666666",0,"112,5","4,3","8,46",0,0,"4,213556785059338","",False</t>
  </si>
  <si>
    <t>PvRecord { Timestamp = 30.11.2025 12:00:00, Index = 0, DirectGeometryFactor = 0,7968347842362336, DiffuseGeometryFactor = 0,9095760221444958, CosSunElevation = 0,3579510288912632, GlobalHorizontalIrradiance = 79,91666666666666, SunshineDuration = 0, DiffuseHorizontalIrradiance = 112,5, AmbientTemp = 4,3, WindSpeed = 8,46, SnowDepth = 0, Weight = 0, Age = 4,21358530494742, MeasuredPower = , HasMeasuredPower = False },LEG.PV.Data.Processor.DataRecords+PvRecord,"30.11.2025 12:00:00",0,"0,7968347842362336","0,9095760221444958","0,3579510288912632","79,91666666666666",0,"112,5","4,3","8,46",0,0,"4,21358530494742","",False</t>
  </si>
  <si>
    <t>PvRecord { Timestamp = 30.11.2025 12:15:00, Index = 0, DirectGeometryFactor = 0,7837430412531752, DiffuseGeometryFactor = 0,9095760221444958, CosSunElevation = 0,3576674445376966, GlobalHorizontalIrradiance = 79,91666666666666, SunshineDuration = 0, DiffuseHorizontalIrradiance = 112,5, AmbientTemp = 4,3, WindSpeed = 8,46, SnowDepth = 0, Weight = 0, Age = 4,213613824835502, MeasuredPower = , HasMeasuredPower = False },LEG.PV.Data.Processor.DataRecords+PvRecord,"30.11.2025 12:15:00",0,"0,7837430412531752","0,9095760221444958","0,3576674445376966","79,91666666666666",0,"112,5","4,3","8,46",0,0,"4,213613824835502","",False</t>
  </si>
  <si>
    <t>PvRecord { Timestamp = 30.11.2025 12:30:00, Index = 0, DirectGeometryFactor = 0,7669242851873475, DiffuseGeometryFactor = 0,9095760221444958, CosSunElevation = 0,35469825331907495, GlobalHorizontalIrradiance = 57,95, SunshineDuration = 0, DiffuseHorizontalIrradiance = 115,5, AmbientTemp = 4,9, WindSpeed = 6,66, SnowDepth = 0, Weight = 0, Age = 4,213642344723583, MeasuredPower = , HasMeasuredPower = False },LEG.PV.Data.Processor.DataRecords+PvRecord,"30.11.2025 12:30:00",0,"0,7669242851873475","0,9095760221444958","0,35469825331907495","57,95",0,"115,5","4,9","6,66",0,0,"4,213642344723583","",False</t>
  </si>
  <si>
    <t>PvRecord { Timestamp = 30.11.2025 12:45:00, Index = 0, DirectGeometryFactor = 0,7464507951530129, DiffuseGeometryFactor = 0,9095760221444958, CosSunElevation = 0,3490564321828928, GlobalHorizontalIrradiance = 57,95, SunshineDuration = 0, DiffuseHorizontalIrradiance = 115,5, AmbientTemp = 4,9, WindSpeed = 6,66, SnowDepth = 0, Weight = 0, Age = 4,2136708646116645, MeasuredPower = , HasMeasuredPower = False },LEG.PV.Data.Processor.DataRecords+PvRecord,"30.11.2025 12:45:00",0,"0,7464507951530129","0,9095760221444958","0,3490564321828928","57,95",0,"115,5","4,9","6,66",0,0,"4,2136708646116645","",False</t>
  </si>
  <si>
    <t>PvRecord { Timestamp = 30.11.2025 13:00:00, Index = 0, DirectGeometryFactor = 0,7224107300048288, DiffuseGeometryFactor = 0,9095760221444958, CosSunElevation = 0,3407666871677986, GlobalHorizontalIrradiance = 57,95, SunshineDuration = 0, DiffuseHorizontalIrradiance = 115,5, AmbientTemp = 4,9, WindSpeed = 6,66, SnowDepth = 0, Weight = 0, Age = 4,213699384499746, MeasuredPower = , HasMeasuredPower = False },LEG.PV.Data.Processor.DataRecords+PvRecord,"30.11.2025 13:00:00",0,"0,7224107300048288","0,9095760221444958","0,3407666871677986","57,95",0,"115,5","4,9","6,66",0,0,"4,213699384499746","",False</t>
  </si>
  <si>
    <t>PvRecord { Timestamp = 30.11.2025 13:15:00, Index = 0, DirectGeometryFactor = 0,6949077970813482, DiffuseGeometryFactor = 0,9095760221444958, CosSunElevation = 0,3298654040653361, GlobalHorizontalIrradiance = 57,95, SunshineDuration = 0, DiffuseHorizontalIrradiance = 115,5, AmbientTemp = 4,9, WindSpeed = 6,66, SnowDepth = 0, Weight = 0, Age = 4,213727904387828, MeasuredPower = , HasMeasuredPower = False },LEG.PV.Data.Processor.DataRecords+PvRecord,"30.11.2025 13:15:00",0,"0,6949077970813482","0,9095760221444958","0,3298654040653361","57,95",0,"115,5","4,9","6,66",0,0,"4,213727904387828","",False</t>
  </si>
  <si>
    <t>PvRecord { Timestamp = 30.11.2025 13:30:00, Index = 0, DirectGeometryFactor = 0,6640608879439183, DiffuseGeometryFactor = 0,9095760221444958, CosSunElevation = 0,3164005897181991, GlobalHorizontalIrradiance = 39, SunshineDuration = 0, DiffuseHorizontalIrradiance = 101,5, AmbientTemp = 5,15, WindSpeed = 13,32, SnowDepth = 0, Weight = 0, Age = 4,21375642427591, MeasuredPower = , HasMeasuredPower = False },LEG.PV.Data.Processor.DataRecords+PvRecord,"30.11.2025 13:30:00",0,"0,6640608879439183","0,9095760221444958","0,3164005897181991",39,0,"101,5","5,15","13,32",0,0,"4,21375642427591","",False</t>
  </si>
  <si>
    <t>PvRecord { Timestamp = 30.11.2025 13:45:00, Index = 0, DirectGeometryFactor = 0,6300036995697244, DiffuseGeometryFactor = 0,9095760221444958, CosSunElevation = 0,30043182485807024, GlobalHorizontalIrradiance = 39, SunshineDuration = 0, DiffuseHorizontalIrradiance = 101,5, AmbientTemp = 5,15, WindSpeed = 13,32, SnowDepth = 0, Weight = 0, Age = 4,213784944163991, MeasuredPower = , HasMeasuredPower = False },LEG.PV.Data.Processor.DataRecords+PvRecord,"30.11.2025 13:45:00",0,"0,6300036995697244","0,9095760221444958","0,30043182485807024",39,0,"101,5","5,15","13,32",0,0,"4,213784944163991","",False</t>
  </si>
  <si>
    <t>PvRecord { Timestamp = 30.11.2025 14:00:00, Index = 0, DirectGeometryFactor = 0,592884373422624, DiffuseGeometryFactor = 0,9095760221444958, CosSunElevation = 0,28203026631254724, GlobalHorizontalIrradiance = 39, SunshineDuration = 0, DiffuseHorizontalIrradiance = 101,5, AmbientTemp = 5,15, WindSpeed = 13,32, SnowDepth = 0, Weight = 0, Age = 4,213813464052072, MeasuredPower = , HasMeasuredPower = False },LEG.PV.Data.Processor.DataRecords+PvRecord,"30.11.2025 14:00:00",0,"0,592884373422624","0,9095760221444958","0,28203026631254724",39,0,"101,5","5,15","13,32",0,0,"4,213813464052072","",False</t>
  </si>
  <si>
    <t>PvRecord { Timestamp = 30.11.2025 14:15:00, Index = 0, DirectGeometryFactor = 0,552865212269896, DiffuseGeometryFactor = 0,9095760221444958, CosSunElevation = 0,261278769168944, GlobalHorizontalIrradiance = 39, SunshineDuration = 0, DiffuseHorizontalIrradiance = 101,5, AmbientTemp = 5,15, WindSpeed = 13,32, SnowDepth = 0, Weight = 0, Age = 4,213841983940154, MeasuredPower = , HasMeasuredPower = False },LEG.PV.Data.Processor.DataRecords+PvRecord,"30.11.2025 14:15:00",0,"0,552865212269896","0,9095760221444958","0,261278769168944",39,0,"101,5","5,15","13,32",0,0,"4,213841983940154","",False</t>
  </si>
  <si>
    <t>PvRecord { Timestamp = 30.11.2025 14:30:00, Index = 0, DirectGeometryFactor = 0,5101225884206764, DiffuseGeometryFactor = 0,9095760221444958, CosSunElevation = 0,23827226520155173, GlobalHorizontalIrradiance = 23,549999999999997, SunshineDuration = 0, DiffuseHorizontalIrradiance = 72,5, AmbientTemp = 5,05, WindSpeed = 30,78, SnowDepth = 0, Weight = 0, Age = 4,213870503828236, MeasuredPower = , HasMeasuredPower = False },LEG.PV.Data.Processor.DataRecords+PvRecord,"30.11.2025 14:30:00",0,"0,5101225884206764","0,9095760221444958","0,23827226520155173","23,549999999999997",0,"72,5","5,05","30,78",0,0,"4,213870503828236","",False</t>
  </si>
  <si>
    <t>PvRecord { Timestamp = 30.11.2025 14:45:00, Index = 0, DirectGeometryFactor = 0,46484727476292614, DiffuseGeometryFactor = 0,9095760221444958, CosSunElevation = 0,2131186768659724, GlobalHorizontalIrradiance = 23,549999999999997, SunshineDuration = 0, DiffuseHorizontalIrradiance = 72,5, AmbientTemp = 5,05, WindSpeed = 30,78, SnowDepth = 0, Weight = 0, Age = 4,213899023716317, MeasuredPower = , HasMeasuredPower = False },LEG.PV.Data.Processor.DataRecords+PvRecord,"30.11.2025 14:45:00",0,"0,46484727476292614","0,9095760221444958","0,2131186768659724","23,549999999999997",0,"72,5","5,05","30,78",0,0,"4,213899023716317","",False</t>
  </si>
  <si>
    <t>PvRecord { Timestamp = 30.11.2025 15:00:00, Index = 0, DirectGeometryFactor = 0,41724570629932545, DiffuseGeometryFactor = 0,9095760221444958, CosSunElevation = 0,18594098128267736, GlobalHorizontalIrradiance = 23,549999999999997, SunshineDuration = 0, DiffuseHorizontalIrradiance = 72,5, AmbientTemp = 5,05, WindSpeed = 30,78, SnowDepth = 0, Weight = 0, Age = 4,213927543604399, MeasuredPower = , HasMeasuredPower = False },LEG.PV.Data.Processor.DataRecords+PvRecord,"30.11.2025 15:00:00",0,"0,41724570629932545","0,9095760221444958","0,18594098128267736","23,549999999999997",0,"72,5","5,05","30,78",0,0,"4,213927543604399","",False</t>
  </si>
  <si>
    <t>PvRecord { Timestamp = 30.11.2025 15:15:00, Index = 0, DirectGeometryFactor = 0,367543382378234, DiffuseGeometryFactor = 0,9095760221444958, CosSunElevation = 0,1568818925405064, GlobalHorizontalIrradiance = 23,549999999999997, SunshineDuration = 0, DiffuseHorizontalIrradiance = 72,5, AmbientTemp = 5,05, WindSpeed = 30,78, SnowDepth = 0, Weight = 0, Age = 4,21395606349248, MeasuredPower = , HasMeasuredPower = False },LEG.PV.Data.Processor.DataRecords+PvRecord,"30.11.2025 15:15:00",0,"0,367543382378234","0,9095760221444958","0,1568818925405064","23,549999999999997",0,"72,5","5,05","30,78",0,0,"4,21395606349248","",False</t>
  </si>
  <si>
    <t>PvRecord { Timestamp = 30.11.2025 15:30:00, Index = 0, DirectGeometryFactor = 0,3159936137387696, DiffuseGeometryFactor = 0,9095760221444958, CosSunElevation = 0,12611505266942674, GlobalHorizontalIrradiance = 10,649999999999999, SunshineDuration = 0, DiffuseHorizontalIrradiance = 36, AmbientTemp = 4,9, WindSpeed = 42,480000000000004, SnowDepth = 0, Weight = 0, Age = 4,213984583380562, MeasuredPower = , HasMeasuredPower = False },LEG.PV.Data.Processor.DataRecords+PvRecord,"30.11.2025 15:30:00",0,"0,3159936137387696","0,9095760221444958","0,12611505266942674","10,649999999999999",0,36,"4,9","42,480000000000004",0,0,"4,213984583380562","",False</t>
  </si>
  <si>
    <t>PvRecord { Timestamp = 30.11.2025 15:45:00, Index = 0, DirectGeometryFactor = 0, DiffuseGeometryFactor = 0,9095760221444958, CosSunElevation = 0,09387441525774164, GlobalHorizontalIrradiance = 10,649999999999999, SunshineDuration = 0, DiffuseHorizontalIrradiance = 36, AmbientTemp = 4,9, WindSpeed = 42,480000000000004, SnowDepth = 0, Weight = 0, Age = 4,214013103268644, MeasuredPower = , HasMeasuredPower = False },LEG.PV.Data.Processor.DataRecords+PvRecord,"30.11.2025 15:45:00",0,0,"0,9095760221444958","0,09387441525774164","10,649999999999999",0,36,"4,9","42,480000000000004",0,0,"4,214013103268644","",False</t>
  </si>
  <si>
    <t>PvRecord { Timestamp = 30.11.2025 16:00:00, Index = 0, DirectGeometryFactor = 0, DiffuseGeometryFactor = 0,9095760221444958, CosSunElevation = 0,06054241875756025, GlobalHorizontalIrradiance = 10,649999999999999, SunshineDuration = 0, DiffuseHorizontalIrradiance = 36, AmbientTemp = 4,9, WindSpeed = 42,480000000000004, SnowDepth = 0, Weight = 0, Age = 4,214041623156725, MeasuredPower = , HasMeasuredPower = False },LEG.PV.Data.Processor.DataRecords+PvRecord,"30.11.2025 16:00:00",0,0,"0,9095760221444958","0,06054241875756025","10,649999999999999",0,36,"4,9","42,480000000000004",0,0,"4,214041623156725","",False</t>
  </si>
  <si>
    <t>PvRecord { Timestamp = 30.11.2025 16:15:00, Index = 0, DirectGeometryFactor = 0, DiffuseGeometryFactor = 0,9095760221444958, CosSunElevation = 0,02695292304591019, GlobalHorizontalIrradiance = 10,649999999999999, SunshineDuration = 0, DiffuseHorizontalIrradiance = 36, AmbientTemp = 4,9, WindSpeed = 42,480000000000004, SnowDepth = 0, Weight = 0, Age = 4,214070143044807, MeasuredPower = , HasMeasuredPower = False },LEG.PV.Data.Processor.DataRecords+PvRecord,"30.11.2025 16:15:00",0,0,"0,9095760221444958","0,02695292304591019","10,649999999999999",0,36,"4,9","42,480000000000004",0,0,"4,214070143044807","",False</t>
  </si>
  <si>
    <t>PvRecord { Timestamp = 30.11.2025 16:30:00, Index = 0, DirectGeometryFactor = 0, DiffuseGeometryFactor = 0,9095760221444958, CosSunElevation = 0, GlobalHorizontalIrradiance = 0, SunshineDuration = 0, DiffuseHorizontalIrradiance = 6,5, AmbientTemp = 4,4, WindSpeed = 40,86, SnowDepth = 0, Weight = 0, Age = 4,214098662932888, MeasuredPower = , HasMeasuredPower = False },LEG.PV.Data.Processor.DataRecords+PvRecord,"30.11.2025 16:30:00",0,0,"0,9095760221444958",0,0,0,"6,5","4,4","40,86",0,0,"4,214098662932888","",False</t>
  </si>
  <si>
    <t>PvRecord { Timestamp = 30.11.2025 16:45:00, Index = 0, DirectGeometryFactor = 0, DiffuseGeometryFactor = 0,9095760221444958, CosSunElevation = 0, GlobalHorizontalIrradiance = 0, SunshineDuration = 0, DiffuseHorizontalIrradiance = 6,5, AmbientTemp = 4,4, WindSpeed = 40,86, SnowDepth = 0, Weight = 0, Age = 4,214127182820969, MeasuredPower = , HasMeasuredPower = False },LEG.PV.Data.Processor.DataRecords+PvRecord,"30.11.2025 16:45:00",0,0,"0,9095760221444958",0,0,0,"6,5","4,4","40,86",0,0,"4,214127182820969","",False</t>
  </si>
  <si>
    <t>PvRecord { Timestamp = 30.11.2025 17:00:00, Index = 0, DirectGeometryFactor = 0, DiffuseGeometryFactor = 0,9095760221444958, CosSunElevation = 0, GlobalHorizontalIrradiance = 0, SunshineDuration = 0, DiffuseHorizontalIrradiance = 6,5, AmbientTemp = 4,4, WindSpeed = 40,86, SnowDepth = 0, Weight = 0, Age = 4,214155702709052, MeasuredPower = , HasMeasuredPower = False },LEG.PV.Data.Processor.DataRecords+PvRecord,"30.11.2025 17:00:00",0,0,"0,9095760221444958",0,0,0,"6,5","4,4","40,86",0,0,"4,214155702709052","",False</t>
  </si>
  <si>
    <t>PvRecord { Timestamp = 30.11.2025 17:15:00, Index = 0, DirectGeometryFactor = 0, DiffuseGeometryFactor = 0,9095760221444958, CosSunElevation = 0, GlobalHorizontalIrradiance = 0, SunshineDuration = 0, DiffuseHorizontalIrradiance = 6,5, AmbientTemp = 4,4, WindSpeed = 40,86, SnowDepth = 0, Weight = 0, Age = 4,214184222597133, MeasuredPower = , HasMeasuredPower = False },LEG.PV.Data.Processor.DataRecords+PvRecord,"30.11.2025 17:15:00",0,0,"0,9095760221444958",0,0,0,"6,5","4,4","40,86",0,0,"4,214184222597133","",False</t>
  </si>
  <si>
    <t>PvRecord { Timestamp = 30.11.2025 17:30:00,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4,2142127424852145, MeasuredPower = , HasMeasuredPower = False },LEG.PV.Data.Processor.DataRecords+PvRecord,"30.11.2025 17:30:00",0,0,"0,9095760221444958",0,0,0,0,"3,75","33,120000000000005",0,0,"4,2142127424852145","",False</t>
  </si>
  <si>
    <t>PvRecord { Timestamp = 30.11.2025 17:45:00,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4,214241262373296, MeasuredPower = , HasMeasuredPower = False },LEG.PV.Data.Processor.DataRecords+PvRecord,"30.11.2025 17:45:00",0,0,"0,9095760221444958",0,0,0,0,"3,75","33,120000000000005",0,0,"4,214241262373296","",False</t>
  </si>
  <si>
    <t>PvRecord { Timestamp = 30.11.2025 18:00:00,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4,214269782261377, MeasuredPower = , HasMeasuredPower = False },LEG.PV.Data.Processor.DataRecords+PvRecord,"30.11.2025 18:00:00",0,0,"0,9095760221444958",0,0,0,0,"3,75","33,120000000000005",0,0,"4,214269782261377","",False</t>
  </si>
  <si>
    <t>PvRecord { Timestamp = 30.11.2025 18:15:00, Index = 0, DirectGeometryFactor = 0, DiffuseGeometryFactor = 0,9095760221444958, CosSunElevation = 0, GlobalHorizontalIrradiance = 0, SunshineDuration = 0, DiffuseHorizontalIrradiance = 0, AmbientTemp = 3,75, WindSpeed = 33,120000000000005, SnowDepth = 0, Weight = 0, Age = 4,2142983021494596, MeasuredPower = , HasMeasuredPower = False },LEG.PV.Data.Processor.DataRecords+PvRecord,"30.11.2025 18:15:00",0,0,"0,9095760221444958",0,0,0,0,"3,75","33,120000000000005",0,0,"4,2142983021494596","",False</t>
  </si>
  <si>
    <t>PvRecord { Timestamp = 30.11.2025 18:30:00, Index = 0, DirectGeometryFactor = 0, DiffuseGeometryFactor = 0,9095760221444958, CosSunElevation = 0, GlobalHorizontalIrradiance = 0, SunshineDuration = 0, DiffuseHorizontalIrradiance = 0, AmbientTemp = 3,25, WindSpeed = 27, SnowDepth = 0, Weight = 0, Age = 4,214326822037541, MeasuredPower = , HasMeasuredPower = False },LEG.PV.Data.Processor.DataRecords+PvRecord,"30.11.2025 18:30:00",0,0,"0,9095760221444958",0,0,0,0,"3,25",27,0,0,"4,214326822037541","",False</t>
  </si>
  <si>
    <t>PvRecord { Timestamp = 30.11.2025 18:45:00, Index = 0, DirectGeometryFactor = 0, DiffuseGeometryFactor = 0,9095760221444958, CosSunElevation = 0, GlobalHorizontalIrradiance = 0, SunshineDuration = 0, DiffuseHorizontalIrradiance = 0, AmbientTemp = 3,25, WindSpeed = 27, SnowDepth = 0, Weight = 0, Age = 4,214355341925622, MeasuredPower = , HasMeasuredPower = False },LEG.PV.Data.Processor.DataRecords+PvRecord,"30.11.2025 18:45:00",0,0,"0,9095760221444958",0,0,0,0,"3,25",27,0,0,"4,214355341925622","",False</t>
  </si>
  <si>
    <t>PvRecord { Timestamp = 30.11.2025 19:00:00, Index = 0, DirectGeometryFactor = 0, DiffuseGeometryFactor = 0,9095760221444958, CosSunElevation = 0, GlobalHorizontalIrradiance = 0, SunshineDuration = 0, DiffuseHorizontalIrradiance = 0, AmbientTemp = 3,25, WindSpeed = 27, SnowDepth = 0, Weight = 0, Age = 4,214383861813704, MeasuredPower = , HasMeasuredPower = False },LEG.PV.Data.Processor.DataRecords+PvRecord,"30.11.2025 19:00:00",0,0,"0,9095760221444958",0,0,0,0,"3,25",27,0,0,"4,214383861813704","",False</t>
  </si>
  <si>
    <t>PvRecord { Timestamp = 30.11.2025 19:15:00, Index = 0, DirectGeometryFactor = 0, DiffuseGeometryFactor = 0,9095760221444958, CosSunElevation = 0, GlobalHorizontalIrradiance = 0, SunshineDuration = 0, DiffuseHorizontalIrradiance = 0, AmbientTemp = 3,25, WindSpeed = 27, SnowDepth = 0, Weight = 0, Age = 4,214412381701785, MeasuredPower = , HasMeasuredPower = False },LEG.PV.Data.Processor.DataRecords+PvRecord,"30.11.2025 19:15:00",0,0,"0,9095760221444958",0,0,0,0,"3,25",27,0,0,"4,214412381701785","",False</t>
  </si>
  <si>
    <t>PvRecord { Timestamp = 30.11.2025 19:30:00, Index = 0, DirectGeometryFactor = 0, DiffuseGeometryFactor = 0,9095760221444958, CosSunElevation = 0, GlobalHorizontalIrradiance = 0, SunshineDuration = 0, DiffuseHorizontalIrradiance = 0, AmbientTemp = 2,95, WindSpeed = 25,2, SnowDepth = 0, Weight = 0, Age = 4,214440901589867, MeasuredPower = , HasMeasuredPower = False },LEG.PV.Data.Processor.DataRecords+PvRecord,"30.11.2025 19:30:00",0,0,"0,9095760221444958",0,0,0,0,"2,95","25,2",0,0,"4,214440901589867","",False</t>
  </si>
  <si>
    <t>PvRecord { Timestamp = 30.11.2025 19:45:00, Index = 0, DirectGeometryFactor = 0, DiffuseGeometryFactor = 0,9095760221444958, CosSunElevation = 0, GlobalHorizontalIrradiance = 0, SunshineDuration = 0, DiffuseHorizontalIrradiance = 0, AmbientTemp = 2,95, WindSpeed = 25,2, SnowDepth = 0, Weight = 0, Age = 4,214469421477949, MeasuredPower = , HasMeasuredPower = False },LEG.PV.Data.Processor.DataRecords+PvRecord,"30.11.2025 19:45:00",0,0,"0,9095760221444958",0,0,0,0,"2,95","25,2",0,0,"4,214469421477949","",False</t>
  </si>
  <si>
    <t>PvRecord { Timestamp = 30.11.2025 20:00:00, Index = 0, DirectGeometryFactor = 0, DiffuseGeometryFactor = 0,9095760221444958, CosSunElevation = 0, GlobalHorizontalIrradiance = 0, SunshineDuration = 0, DiffuseHorizontalIrradiance = 0, AmbientTemp = 2,95, WindSpeed = 25,2, SnowDepth = 0, Weight = 0, Age = 4,21449794136603, MeasuredPower = , HasMeasuredPower = False },LEG.PV.Data.Processor.DataRecords+PvRecord,"30.11.2025 20:00:00",0,0,"0,9095760221444958",0,0,0,0,"2,95","25,2",0,0,"4,21449794136603","",False</t>
  </si>
  <si>
    <t>PvRecord { Timestamp = 30.11.2025 20:15:00, Index = 0, DirectGeometryFactor = 0, DiffuseGeometryFactor = 0,9095760221444958, CosSunElevation = 0, GlobalHorizontalIrradiance = 0, SunshineDuration = 0, DiffuseHorizontalIrradiance = 0, AmbientTemp = 2,95, WindSpeed = 25,2, SnowDepth = 0, Weight = 0, Age = 4,214526461254112, MeasuredPower = , HasMeasuredPower = False },LEG.PV.Data.Processor.DataRecords+PvRecord,"30.11.2025 20:15:00",0,0,"0,9095760221444958",0,0,0,0,"2,95","25,2",0,0,"4,214526461254112","",False</t>
  </si>
  <si>
    <t>PvRecord { Timestamp = 30.11.2025 20:30:00, Index = 0, DirectGeometryFactor = 0, DiffuseGeometryFactor = 0,9095760221444958, CosSunElevation = 0, GlobalHorizontalIrradiance = 0, SunshineDuration = 0, DiffuseHorizontalIrradiance = 0, AmbientTemp = 2,85, WindSpeed = 24,3, SnowDepth = 0, Weight = 0, Age = 4,214554981142193, MeasuredPower = , HasMeasuredPower = False },LEG.PV.Data.Processor.DataRecords+PvRecord,"30.11.2025 20:30:00",0,0,"0,9095760221444958",0,0,0,0,"2,85","24,3",0,0,"4,214554981142193","",False</t>
  </si>
  <si>
    <t>PvRecord { Timestamp = 30.11.2025 20:45:00, Index = 0, DirectGeometryFactor = 0, DiffuseGeometryFactor = 0,9095760221444958, CosSunElevation = 0, GlobalHorizontalIrradiance = 0, SunshineDuration = 0, DiffuseHorizontalIrradiance = 0, AmbientTemp = 2,85, WindSpeed = 24,3, SnowDepth = 0, Weight = 0, Age = 4,214583501030275, MeasuredPower = , HasMeasuredPower = False },LEG.PV.Data.Processor.DataRecords+PvRecord,"30.11.2025 20:45:00",0,0,"0,9095760221444958",0,0,0,0,"2,85","24,3",0,0,"4,214583501030275","",False</t>
  </si>
  <si>
    <t>PvRecord { Timestamp = 30.11.2025 21:00:00, Index = 0, DirectGeometryFactor = 0, DiffuseGeometryFactor = 0,9095760221444958, CosSunElevation = 0, GlobalHorizontalIrradiance = 0, SunshineDuration = 0, DiffuseHorizontalIrradiance = 0, AmbientTemp = 2,85, WindSpeed = 24,3, SnowDepth = 0, Weight = 0, Age = 4,214612020918357, MeasuredPower = , HasMeasuredPower = False },LEG.PV.Data.Processor.DataRecords+PvRecord,"30.11.2025 21:00:00",0,0,"0,9095760221444958",0,0,0,0,"2,85","24,3",0,0,"4,214612020918357","",False</t>
  </si>
  <si>
    <t>PvRecord { Timestamp = 30.11.2025 21:15:00, Index = 0, DirectGeometryFactor = 0, DiffuseGeometryFactor = 0,9095760221444958, CosSunElevation = 0, GlobalHorizontalIrradiance = 0, SunshineDuration = 0, DiffuseHorizontalIrradiance = 0, AmbientTemp = 2,85, WindSpeed = 24,3, SnowDepth = 0, Weight = 0, Age = 4,214640540806438, MeasuredPower = , HasMeasuredPower = False },LEG.PV.Data.Processor.DataRecords+PvRecord,"30.11.2025 21:15:00",0,0,"0,9095760221444958",0,0,0,0,"2,85","24,3",0,0,"4,214640540806438","",False</t>
  </si>
  <si>
    <t>PvRecord { Timestamp = 30.11.2025 21:30:00,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4,214669060694519, MeasuredPower = , HasMeasuredPower = False },LEG.PV.Data.Processor.DataRecords+PvRecord,"30.11.2025 21:30:00",0,0,"0,9095760221444958",0,0,0,0,"2,75","23,759999999999998",0,0,"4,214669060694519","",False</t>
  </si>
  <si>
    <t>PvRecord { Timestamp = 30.11.2025 21:45:00,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4,214697580582601, MeasuredPower = , HasMeasuredPower = False },LEG.PV.Data.Processor.DataRecords+PvRecord,"30.11.2025 21:45:00",0,0,"0,9095760221444958",0,0,0,0,"2,75","23,759999999999998",0,0,"4,214697580582601","",False</t>
  </si>
  <si>
    <t>PvRecord { Timestamp = 30.11.2025 22:00:00,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4,214726100470683, MeasuredPower = , HasMeasuredPower = False },LEG.PV.Data.Processor.DataRecords+PvRecord,"30.11.2025 22:00:00",0,0,"0,9095760221444958",0,0,0,0,"2,75","23,759999999999998",0,0,"4,214726100470683","",False</t>
  </si>
  <si>
    <t>PvRecord { Timestamp = 30.11.2025 22:15:00, Index = 0, DirectGeometryFactor = 0, DiffuseGeometryFactor = 0,9095760221444958, CosSunElevation = 0, GlobalHorizontalIrradiance = 0, SunshineDuration = 0, DiffuseHorizontalIrradiance = 0, AmbientTemp = 2,75, WindSpeed = 23,759999999999998, SnowDepth = 0, Weight = 0, Age = 4,2147546203587645, MeasuredPower = , HasMeasuredPower = False },LEG.PV.Data.Processor.DataRecords+PvRecord,"30.11.2025 22:15:00",0,0,"0,9095760221444958",0,0,0,0,"2,75","23,759999999999998",0,0,"4,2147546203587645","",False</t>
  </si>
  <si>
    <t>PvRecord { Timestamp = 30.11.2025 22:30:00,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4,214783140246846, MeasuredPower = , HasMeasuredPower = False },LEG.PV.Data.Processor.DataRecords+PvRecord,"30.11.2025 22:30:00",0,0,"0,9095760221444958",0,0,0,0,"2,5999999999999996","22,14",0,0,"4,214783140246846","",False</t>
  </si>
  <si>
    <t>PvRecord { Timestamp = 30.11.2025 22:45:00,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4,214811660134927, MeasuredPower = , HasMeasuredPower = False },LEG.PV.Data.Processor.DataRecords+PvRecord,"30.11.2025 22:45:00",0,0,"0,9095760221444958",0,0,0,0,"2,5999999999999996","22,14",0,0,"4,214811660134927","",False</t>
  </si>
  <si>
    <t>PvRecord { Timestamp = 30.11.2025 23:00:00,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4,214840180023009, MeasuredPower = , HasMeasuredPower = False },LEG.PV.Data.Processor.DataRecords+PvRecord,"30.11.2025 23:00:00",0,0,"0,9095760221444958",0,0,0,0,"2,5999999999999996","22,14",0,0,"4,214840180023009","",False</t>
  </si>
  <si>
    <t>PvRecord { Timestamp = 30.11.2025 23:15:00, Index = 0, DirectGeometryFactor = 0, DiffuseGeometryFactor = 0,9095760221444958, CosSunElevation = 0, GlobalHorizontalIrradiance = 0, SunshineDuration = 0, DiffuseHorizontalIrradiance = 0, AmbientTemp = 2,5999999999999996, WindSpeed = 22,14, SnowDepth = 0, Weight = 0, Age = 4,214868699911091, MeasuredPower = , HasMeasuredPower = False },LEG.PV.Data.Processor.DataRecords+PvRecord,"30.11.2025 23:15:00",0,0,"0,9095760221444958",0,0,0,0,"2,5999999999999996","22,14",0,0,"4,214868699911091","",False</t>
  </si>
  <si>
    <t>PvRecord { Timestamp = 30.11.2025 23:30:00,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4,214897219799172, MeasuredPower = , HasMeasuredPower = False },LEG.PV.Data.Processor.DataRecords+PvRecord,"30.11.2025 23:30:00",0,0,"0,9095760221444958",0,0,0,0,"2,45","19,619999999999997",0,0,"4,214897219799172","",False</t>
  </si>
  <si>
    <t>PvRecord { Timestamp = 30.11.2025 23:45:00,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4,214925739687254, MeasuredPower = , HasMeasuredPower = False },LEG.PV.Data.Processor.DataRecords+PvRecord,"30.11.2025 23:45:00",0,0,"0,9095760221444958",0,0,0,0,"2,45","19,619999999999997",0,0,"4,214925739687254","",False</t>
  </si>
  <si>
    <t>PvRecord { Timestamp = 01.12.2025 00:00:00,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4,214954259575335, MeasuredPower = , HasMeasuredPower = False },LEG.PV.Data.Processor.DataRecords+PvRecord,"01.12.2025 00:00:00",0,0,"0,9095760221444958",0,0,0,0,"2,45","19,619999999999997",0,0,"4,214954259575335","",False</t>
  </si>
  <si>
    <t>PvRecord { Timestamp = 01.12.2025 00:15:00, Index = 0, DirectGeometryFactor = 0, DiffuseGeometryFactor = 0,9095760221444958, CosSunElevation = 0, GlobalHorizontalIrradiance = 0, SunshineDuration = 0, DiffuseHorizontalIrradiance = 0, AmbientTemp = 2,45, WindSpeed = 19,619999999999997, SnowDepth = 0, Weight = 0, Age = 4,2149827794634165, MeasuredPower = , HasMeasuredPower = False },LEG.PV.Data.Processor.DataRecords+PvRecord,"01.12.2025 00:15:00",0,0,"0,9095760221444958",0,0,0,0,"2,45","19,619999999999997",0,0,"4,2149827794634165","",False</t>
  </si>
  <si>
    <t>PvRecord { Timestamp = 01.12.2025 00:30:00, Index = 0, DirectGeometryFactor = 0, DiffuseGeometryFactor = 0,9095760221444958, CosSunElevation = 0, GlobalHorizontalIrradiance = 0, SunshineDuration = 0, DiffuseHorizontalIrradiance = 0, AmbientTemp = 2,35, WindSpeed = 17,64, SnowDepth = 0, Weight = 0, Age = 4,215011299351499, MeasuredPower = , HasMeasuredPower = False },LEG.PV.Data.Processor.DataRecords+PvRecord,"01.12.2025 00:30:00",0,0,"0,9095760221444958",0,0,0,0,"2,35","17,64",0,0,"4,215011299351499","",False</t>
  </si>
  <si>
    <t>PvRecord { Timestamp = 01.12.2025 00:45:00, Index = 0, DirectGeometryFactor = 0, DiffuseGeometryFactor = 0,9095760221444958, CosSunElevation = 0, GlobalHorizontalIrradiance = 0, SunshineDuration = 0, DiffuseHorizontalIrradiance = 0, AmbientTemp = 2,35, WindSpeed = 17,64, SnowDepth = 0, Weight = 0, Age = 4,21503981923958, MeasuredPower = , HasMeasuredPower = False },LEG.PV.Data.Processor.DataRecords+PvRecord,"01.12.2025 00:45:00",0,0,"0,9095760221444958",0,0,0,0,"2,35","17,64",0,0,"4,21503981923958","",False</t>
  </si>
  <si>
    <t>PvRecord { Timestamp = 01.12.2025 01:00:00, Index = 0, DirectGeometryFactor = 0, DiffuseGeometryFactor = 0,9095760221444958, CosSunElevation = 0, GlobalHorizontalIrradiance = 0, SunshineDuration = 0, DiffuseHorizontalIrradiance = 0, AmbientTemp = 2,35, WindSpeed = 17,64, SnowDepth = 0, Weight = 0, Age = 4,2150683391276615, MeasuredPower = , HasMeasuredPower = False },LEG.PV.Data.Processor.DataRecords+PvRecord,"01.12.2025 01:00:00",0,0,"0,9095760221444958",0,0,0,0,"2,35","17,64",0,0,"4,2150683391276615","",False</t>
  </si>
  <si>
    <t>PvRecord { Timestamp = 01.12.2025 01:15:00, Index = 0, DirectGeometryFactor = 0, DiffuseGeometryFactor = 0,9095760221444958, CosSunElevation = 0, GlobalHorizontalIrradiance = 0, SunshineDuration = 0, DiffuseHorizontalIrradiance = 0, AmbientTemp = 2,35, WindSpeed = 17,64, SnowDepth = 0, Weight = 0, Age = 4,215096859015743, MeasuredPower = , HasMeasuredPower = False },LEG.PV.Data.Processor.DataRecords+PvRecord,"01.12.2025 01:15:00",0,0,"0,9095760221444958",0,0,0,0,"2,35","17,64",0,0,"4,215096859015743","",False</t>
  </si>
  <si>
    <t>PvRecord { Timestamp = 01.12.2025 01:30:00,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4,215125378903825, MeasuredPower = , HasMeasuredPower = False },LEG.PV.Data.Processor.DataRecords+PvRecord,"01.12.2025 01:30:00",0,0,"0,9095760221444958",0,0,0,0,"2,25","15,120000000000001",0,0,"4,215125378903825","",False</t>
  </si>
  <si>
    <t>PvRecord { Timestamp = 01.12.2025 01:45:00,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4,215153898791907, MeasuredPower = , HasMeasuredPower = False },LEG.PV.Data.Processor.DataRecords+PvRecord,"01.12.2025 01:45:00",0,0,"0,9095760221444958",0,0,0,0,"2,25","15,120000000000001",0,0,"4,215153898791907","",False</t>
  </si>
  <si>
    <t>PvRecord { Timestamp = 01.12.2025 02:00:00,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4,215182418679988, MeasuredPower = , HasMeasuredPower = False },LEG.PV.Data.Processor.DataRecords+PvRecord,"01.12.2025 02:00:00",0,0,"0,9095760221444958",0,0,0,0,"2,25","15,120000000000001",0,0,"4,215182418679988","",False</t>
  </si>
  <si>
    <t>PvRecord { Timestamp = 01.12.2025 02:15:00, Index = 0, DirectGeometryFactor = 0, DiffuseGeometryFactor = 0,9095760221444958, CosSunElevation = 0, GlobalHorizontalIrradiance = 0, SunshineDuration = 0, DiffuseHorizontalIrradiance = 0, AmbientTemp = 2,25, WindSpeed = 15,120000000000001, SnowDepth = 0, Weight = 0, Age = 4,215210938568069, MeasuredPower = , HasMeasuredPower = False },LEG.PV.Data.Processor.DataRecords+PvRecord,"01.12.2025 02:15:00",0,0,"0,9095760221444958",0,0,0,0,"2,25","15,120000000000001",0,0,"4,215210938568069","",False</t>
  </si>
  <si>
    <t>PvRecord { Timestamp = 01.12.2025 02:30:00, Index = 0, DirectGeometryFactor = 0, DiffuseGeometryFactor = 0,9095760221444958, CosSunElevation = 0, GlobalHorizontalIrradiance = 0, SunshineDuration = 0, DiffuseHorizontalIrradiance = 0, AmbientTemp = 2,2, WindSpeed = 12,6, SnowDepth = 0, Weight = 0, Age = 4,215239458456151, MeasuredPower = , HasMeasuredPower = False },LEG.PV.Data.Processor.DataRecords+PvRecord,"01.12.2025 02:30:00",0,0,"0,9095760221444958",0,0,0,0,"2,2","12,6",0,0,"4,215239458456151","",False</t>
  </si>
  <si>
    <t>PvRecord { Timestamp = 01.12.2025 02:45:00, Index = 0, DirectGeometryFactor = 0, DiffuseGeometryFactor = 0,9095760221444958, CosSunElevation = 0, GlobalHorizontalIrradiance = 0, SunshineDuration = 0, DiffuseHorizontalIrradiance = 0, AmbientTemp = 2,2, WindSpeed = 12,6, SnowDepth = 0, Weight = 0, Age = 4,215267978344233, MeasuredPower = , HasMeasuredPower = False },LEG.PV.Data.Processor.DataRecords+PvRecord,"01.12.2025 02:45:00",0,0,"0,9095760221444958",0,0,0,0,"2,2","12,6",0,0,"4,215267978344233","",False</t>
  </si>
  <si>
    <t>PvRecord { Timestamp = 01.12.2025 03:00:00, Index = 0, DirectGeometryFactor = 0, DiffuseGeometryFactor = 0,9095760221444958, CosSunElevation = 0, GlobalHorizontalIrradiance = 0, SunshineDuration = 0, DiffuseHorizontalIrradiance = 0, AmbientTemp = 2,2, WindSpeed = 12,6, SnowDepth = 0, Weight = 0, Age = 4,2152964982323144, MeasuredPower = , HasMeasuredPower = False },LEG.PV.Data.Processor.DataRecords+PvRecord,"01.12.2025 03:00:00",0,0,"0,9095760221444958",0,0,0,0,"2,2","12,6",0,0,"4,2152964982323144","",False</t>
  </si>
  <si>
    <t>PvRecord { Timestamp = 01.12.2025 03:15:00, Index = 0, DirectGeometryFactor = 0, DiffuseGeometryFactor = 0,9095760221444958, CosSunElevation = 0, GlobalHorizontalIrradiance = 0, SunshineDuration = 0, DiffuseHorizontalIrradiance = 0, AmbientTemp = 2,2, WindSpeed = 12,6, SnowDepth = 0, Weight = 0, Age = 4,215325018120396, MeasuredPower = , HasMeasuredPower = False },LEG.PV.Data.Processor.DataRecords+PvRecord,"01.12.2025 03:15:00",0,0,"0,9095760221444958",0,0,0,0,"2,2","12,6",0,0,"4,215325018120396","",False</t>
  </si>
  <si>
    <t>PvRecord { Timestamp = 01.12.2025 03:30:00,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4,215353538008477, MeasuredPower = , HasMeasuredPower = False },LEG.PV.Data.Processor.DataRecords+PvRecord,"01.12.2025 03:30:00",0,0,"0,9095760221444958",0,0,0,0,"2,0999999999999996","9,540000000000001",0,0,"4,215353538008477","",False</t>
  </si>
  <si>
    <t>PvRecord { Timestamp = 01.12.2025 03:45:00,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4,215382057896559, MeasuredPower = , HasMeasuredPower = False },LEG.PV.Data.Processor.DataRecords+PvRecord,"01.12.2025 03:45:00",0,0,"0,9095760221444958",0,0,0,0,"2,0999999999999996","9,540000000000001",0,0,"4,215382057896559","",False</t>
  </si>
  <si>
    <t>PvRecord { Timestamp = 01.12.2025 04:00:00,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4,215410577784641, MeasuredPower = , HasMeasuredPower = False },LEG.PV.Data.Processor.DataRecords+PvRecord,"01.12.2025 04:00:00",0,0,"0,9095760221444958",0,0,0,0,"2,0999999999999996","9,540000000000001",0,0,"4,215410577784641","",False</t>
  </si>
  <si>
    <t>PvRecord { Timestamp = 01.12.2025 04:15:00, Index = 0, DirectGeometryFactor = 0, DiffuseGeometryFactor = 0,9095760221444958, CosSunElevation = 0, GlobalHorizontalIrradiance = 0, SunshineDuration = 0, DiffuseHorizontalIrradiance = 0, AmbientTemp = 2,0999999999999996, WindSpeed = 9,540000000000001, SnowDepth = 0, Weight = 0, Age = 4,215439097672722, MeasuredPower = , HasMeasuredPower = False },LEG.PV.Data.Processor.DataRecords+PvRecord,"01.12.2025 04:15:00",0,0,"0,9095760221444958",0,0,0,0,"2,0999999999999996","9,540000000000001",0,0,"4,215439097672722","",False</t>
  </si>
  <si>
    <t>PvRecord { Timestamp = 01.12.2025 04:30:00, Index = 0, DirectGeometryFactor = 0, DiffuseGeometryFactor = 0,9095760221444958, CosSunElevation = 0, GlobalHorizontalIrradiance = 0, SunshineDuration = 0, DiffuseHorizontalIrradiance = 0, AmbientTemp = 2,05, WindSpeed = 6,84, SnowDepth = 0, Weight = 0, Age = 4,215467617560804, MeasuredPower = , HasMeasuredPower = False },LEG.PV.Data.Processor.DataRecords+PvRecord,"01.12.2025 04:30:00",0,0,"0,9095760221444958",0,0,0,0,"2,05","6,84",0,0,"4,215467617560804","",False</t>
  </si>
  <si>
    <t>PvRecord { Timestamp = 01.12.2025 04:45:00, Index = 0, DirectGeometryFactor = 0, DiffuseGeometryFactor = 0,9095760221444958, CosSunElevation = 0, GlobalHorizontalIrradiance = 0, SunshineDuration = 0, DiffuseHorizontalIrradiance = 0, AmbientTemp = 2,05, WindSpeed = 6,84, SnowDepth = 0, Weight = 0, Age = 4,215496137448885, MeasuredPower = , HasMeasuredPower = False },LEG.PV.Data.Processor.DataRecords+PvRecord,"01.12.2025 04:45:00",0,0,"0,9095760221444958",0,0,0,0,"2,05","6,84",0,0,"4,215496137448885","",False</t>
  </si>
  <si>
    <t>PvRecord { Timestamp = 01.12.2025 05:00:00, Index = 0, DirectGeometryFactor = 0, DiffuseGeometryFactor = 0,9095760221444958, CosSunElevation = 0, GlobalHorizontalIrradiance = 0, SunshineDuration = 0, DiffuseHorizontalIrradiance = 0, AmbientTemp = 2,05, WindSpeed = 6,84, SnowDepth = 0, Weight = 0, Age = 4,2155246573369665, MeasuredPower = , HasMeasuredPower = False },LEG.PV.Data.Processor.DataRecords+PvRecord,"01.12.2025 05:00:00",0,0,"0,9095760221444958",0,0,0,0,"2,05","6,84",0,0,"4,2155246573369665","",False</t>
  </si>
  <si>
    <t>PvRecord { Timestamp = 01.12.2025 05:15:00, Index = 0, DirectGeometryFactor = 0, DiffuseGeometryFactor = 0,9095760221444958, CosSunElevation = 0, GlobalHorizontalIrradiance = 0, SunshineDuration = 0, DiffuseHorizontalIrradiance = 0, AmbientTemp = 2,05, WindSpeed = 6,84, SnowDepth = 0, Weight = 0, Age = 4,215553177225049, MeasuredPower = , HasMeasuredPower = False },LEG.PV.Data.Processor.DataRecords+PvRecord,"01.12.2025 05:15:00",0,0,"0,9095760221444958",0,0,0,0,"2,05","6,84",0,0,"4,215553177225049","",False</t>
  </si>
  <si>
    <t>PvRecord { Timestamp = 01.12.2025 05:30:00,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4,21558169711313, MeasuredPower = , HasMeasuredPower = False },LEG.PV.Data.Processor.DataRecords+PvRecord,"01.12.2025 05:30:00",0,0,"0,9095760221444958",0,0,0,0,2,"3,9600000000000004",0,0,"4,21558169711313","",False</t>
  </si>
  <si>
    <t>PvRecord { Timestamp = 01.12.2025 05:45:00,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4,2156102170012115, MeasuredPower = , HasMeasuredPower = False },LEG.PV.Data.Processor.DataRecords+PvRecord,"01.12.2025 05:45:00",0,0,"0,9095760221444958",0,0,0,0,2,"3,9600000000000004",0,0,"4,2156102170012115","",False</t>
  </si>
  <si>
    <t>PvRecord { Timestamp = 01.12.2025 06:00:00,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4,215638736889293, MeasuredPower = , HasMeasuredPower = False },LEG.PV.Data.Processor.DataRecords+PvRecord,"01.12.2025 06:00:00",0,0,"0,9095760221444958",0,0,0,0,2,"3,9600000000000004",0,0,"4,215638736889293","",False</t>
  </si>
  <si>
    <t>PvRecord { Timestamp = 01.12.2025 06:15:00, Index = 0, DirectGeometryFactor = 0, DiffuseGeometryFactor = 0,9095760221444958, CosSunElevation = 0, GlobalHorizontalIrradiance = 0, SunshineDuration = 0, DiffuseHorizontalIrradiance = 0, AmbientTemp = 2, WindSpeed = 3,9600000000000004, SnowDepth = 0, Weight = 0, Age = 4,215667256777374, MeasuredPower = , HasMeasuredPower = False },LEG.PV.Data.Processor.DataRecords+PvRecord,"01.12.2025 06:15:00",0,0,"0,9095760221444958",0,0,0,0,2,"3,9600000000000004",0,0,"4,215667256777374","",False</t>
  </si>
  <si>
    <t>PvRecord { Timestamp = 01.12.2025 06:30:00,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4,215695776665457, MeasuredPower = , HasMeasuredPower = False },LEG.PV.Data.Processor.DataRecords+PvRecord,"01.12.2025 06:30:00",0,0,"0,9095760221444958",0,0,0,0,"2,05","2,8800000000000003",0,0,"4,215695776665457","",False</t>
  </si>
  <si>
    <t>PvRecord { Timestamp = 01.12.2025 06:45:00,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4,215724296553538, MeasuredPower = , HasMeasuredPower = False },LEG.PV.Data.Processor.DataRecords+PvRecord,"01.12.2025 06:45:00",0,0,"0,9095760221444958",0,0,0,0,"2,05","2,8800000000000003",0,0,"4,215724296553538","",False</t>
  </si>
  <si>
    <t>PvRecord { Timestamp = 01.12.2025 07:00:00,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4,215752816441619, MeasuredPower = , HasMeasuredPower = False },LEG.PV.Data.Processor.DataRecords+PvRecord,"01.12.2025 07:00:00",0,0,"0,9095760221444958",0,0,0,0,"2,05","2,8800000000000003",0,0,"4,215752816441619","",False</t>
  </si>
  <si>
    <t>PvRecord { Timestamp = 01.12.2025 07:15:00, Index = 0, DirectGeometryFactor = 0, DiffuseGeometryFactor = 0,9095760221444958, CosSunElevation = 0, GlobalHorizontalIrradiance = 0, SunshineDuration = 0, DiffuseHorizontalIrradiance = 0, AmbientTemp = 2,05, WindSpeed = 2,8800000000000003, SnowDepth = 0, Weight = 0, Age = 4,215781336329701, MeasuredPower = , HasMeasuredPower = False },LEG.PV.Data.Processor.DataRecords+PvRecord,"01.12.2025 07:15:00",0,0,"0,9095760221444958",0,0,0,0,"2,05","2,8800000000000003",0,0,"4,215781336329701","",False</t>
  </si>
  <si>
    <t>PvRecord { Timestamp = 01.12.2025 07:30:00, Index = 0, DirectGeometryFactor = 0, DiffuseGeometryFactor = 0,9095760221444958, CosSunElevation = 0, GlobalHorizontalIrradiance = 0, SunshineDuration = 0, DiffuseHorizontalIrradiance = 0, AmbientTemp = 2,25, WindSpeed = 7,74, SnowDepth = 0, Weight = 0, Age = 4,215809856217782, MeasuredPower = , HasMeasuredPower = False },LEG.PV.Data.Processor.DataRecords+PvRecord,"01.12.2025 07:30:00",0,0,"0,9095760221444958",0,0,0,0,"2,25","7,74",0,0,"4,215809856217782","",False</t>
  </si>
  <si>
    <t>PvRecord { Timestamp = 01.12.2025 07:45:00, Index = 0, DirectGeometryFactor = 0, DiffuseGeometryFactor = 0,9095760221444958, CosSunElevation = 0, GlobalHorizontalIrradiance = 0, SunshineDuration = 0, DiffuseHorizontalIrradiance = 0, AmbientTemp = 2,25, WindSpeed = 7,74, SnowDepth = 0, Weight = 0, Age = 4,215838376105864, MeasuredPower = , HasMeasuredPower = False },LEG.PV.Data.Processor.DataRecords+PvRecord,"01.12.2025 07:45:00",0,0,"0,9095760221444958",0,0,0,0,"2,25","7,74",0,0,"4,215838376105864","",False</t>
  </si>
  <si>
    <t>PvRecord { Timestamp = 01.12.2025 08:00:00, Index = 0, DirectGeometryFactor = 0, DiffuseGeometryFactor = 0,9095760221444958, CosSunElevation = 0,031170454575879913, GlobalHorizontalIrradiance = 0, SunshineDuration = 0, DiffuseHorizontalIrradiance = 0, AmbientTemp = 2,25, WindSpeed = 7,74, SnowDepth = 0, Weight = 0, Age = 4,215866895993946, MeasuredPower = , HasMeasuredPower = False },LEG.PV.Data.Processor.DataRecords+PvRecord,"01.12.2025 08:00:00",0,0,"0,9095760221444958","0,031170454575879913",0,0,0,"2,25","7,74",0,0,"4,215866895993946","",False</t>
  </si>
  <si>
    <t>PvRecord { Timestamp = 01.12.2025 08:15:00, Index = 0, DirectGeometryFactor = 0,5460063173061931, DiffuseGeometryFactor = 0,9095760221444958, CosSunElevation = 0,06468642047222219, GlobalHorizontalIrradiance = 0, SunshineDuration = 0, DiffuseHorizontalIrradiance = 0, AmbientTemp = 2,25, WindSpeed = 7,74, SnowDepth = 0, Weight = 0, Age = 4,215895415882027, MeasuredPower = , HasMeasuredPower = False },LEG.PV.Data.Processor.DataRecords+PvRecord,"01.12.2025 08:15:00",0,"0,5460063173061931","0,9095760221444958","0,06468642047222219",0,0,0,"2,25","7,74",0,0,"4,215895415882027","",False</t>
  </si>
  <si>
    <t>PvRecord { Timestamp = 01.12.2025 08:30:00, Index = 0, DirectGeometryFactor = 0,5857545915279682, DiffuseGeometryFactor = 0,9095760221444958, CosSunElevation = 0,09778053658051282, GlobalHorizontalIrradiance = 16,9, SunshineDuration = 0, DiffuseHorizontalIrradiance = 23, AmbientTemp = 2,5, WindSpeed = 14,76, SnowDepth = 0, Weight = 0, Age = 4,215923935770109, MeasuredPower = , HasMeasuredPower = False },LEG.PV.Data.Processor.DataRecords+PvRecord,"01.12.2025 08:30:00",0,"0,5857545915279682","0,9095760221444958","0,09778053658051282","16,9",0,23,"2,5","14,76",0,0,"4,215923935770109","",False</t>
  </si>
  <si>
    <t>PvRecord { Timestamp = 01.12.2025 08:45:00, Index = 0, DirectGeometryFactor = 0,6229699495621062, DiffuseGeometryFactor = 0,9095760221444958, CosSunElevation = 0,12971323664238496, GlobalHorizontalIrradiance = 16,9, SunshineDuration = 0, DiffuseHorizontalIrradiance = 23, AmbientTemp = 2,5, WindSpeed = 14,76, SnowDepth = 0, Weight = 0, Age = 4,21595245565819, MeasuredPower = , HasMeasuredPower = False },LEG.PV.Data.Processor.DataRecords+PvRecord,"01.12.2025 08:45:00",0,"0,6229699495621062","0,9095760221444958","0,12971323664238496","16,9",0,23,"2,5","14,76",0,0,"4,21595245565819","",False</t>
  </si>
  <si>
    <t>PvRecord { Timestamp = 01.12.2025 09:00:00, Index = 0, DirectGeometryFactor = 0,6573122442399395, DiffuseGeometryFactor = 0,9095760221444958, CosSunElevation = 0,16013154017993378, GlobalHorizontalIrradiance = 16,9, SunshineDuration = 0, DiffuseHorizontalIrradiance = 23, AmbientTemp = 2,5, WindSpeed = 14,76, SnowDepth = 0, Weight = 0, Age = 4,215980975546272, MeasuredPower = , HasMeasuredPower = False },LEG.PV.Data.Processor.DataRecords+PvRecord,"01.12.2025 09:00:00",0,"0,6573122442399395","0,9095760221444958","0,16013154017993378","16,9",0,23,"2,5","14,76",0,0,"4,215980975546272","",False</t>
  </si>
  <si>
    <t>PvRecord { Timestamp = 01.12.2025 09:15:00, Index = 0, DirectGeometryFactor = 0,6885573740700519, DiffuseGeometryFactor = 0,9095760221444958, CosSunElevation = 0,18881275379052642, GlobalHorizontalIrradiance = 16,9, SunshineDuration = 0, DiffuseHorizontalIrradiance = 23, AmbientTemp = 2,5, WindSpeed = 14,76, SnowDepth = 0, Weight = 0, Age = 4,216009495434354, MeasuredPower = , HasMeasuredPower = False },LEG.PV.Data.Processor.DataRecords+PvRecord,"01.12.2025 09:15:00",0,"0,6885573740700519","0,9095760221444958","0,18881275379052642","16,9",0,23,"2,5","14,76",0,0,"4,216009495434354","",False</t>
  </si>
  <si>
    <t>PvRecord { Timestamp = 01.12.2025 09:30:00, Index = 0, DirectGeometryFactor = 0,7165339312473924, DiffuseGeometryFactor = 0,9095760221444958, CosSunElevation = 0,21558879836806066, GlobalHorizontalIrradiance = 29,199999999999996, SunshineDuration = 0, DiffuseHorizontalIrradiance = 63,5, AmbientTemp = 2,75, WindSpeed = 19,259999999999998, SnowDepth = 0, Weight = 0, Age = 4,216038015322435, MeasuredPower = , HasMeasuredPower = False },LEG.PV.Data.Processor.DataRecords+PvRecord,"01.12.2025 09:30:00",0,"0,7165339312473924","0,9095760221444958","0,21558879836806066","29,199999999999996",0,"63,5","2,75","19,259999999999998",0,0,"4,216038015322435","",False</t>
  </si>
  <si>
    <t>PvRecord { Timestamp = 01.12.2025 09:45:00, Index = 0, DirectGeometryFactor = 0,7411017865597858, DiffuseGeometryFactor = 0,9095760221444958, CosSunElevation = 0,2403204688761362, GlobalHorizontalIrradiance = 29,199999999999996, SunshineDuration = 0, DiffuseHorizontalIrradiance = 63,5, AmbientTemp = 2,75, WindSpeed = 19,259999999999998, SnowDepth = 0, Weight = 0, Age = 4,216066535210516, MeasuredPower = , HasMeasuredPower = False },LEG.PV.Data.Processor.DataRecords+PvRecord,"01.12.2025 09:45:00",0,"0,7411017865597858","0,9095760221444958","0,2403204688761362","29,199999999999996",0,"63,5","2,75","19,259999999999998",0,0,"4,216066535210516","",False</t>
  </si>
  <si>
    <t>PvRecord { Timestamp = 01.12.2025 10:00:00, Index = 0, DirectGeometryFactor = 0,7621438721548335, DiffuseGeometryFactor = 0,9095760221444958, CosSunElevation = 0,26288747774499466, GlobalHorizontalIrradiance = 29,199999999999996, SunshineDuration = 0, DiffuseHorizontalIrradiance = 63,5, AmbientTemp = 2,75, WindSpeed = 19,259999999999998, SnowDepth = 0, Weight = 0, Age = 4,216095055098598, MeasuredPower = , HasMeasuredPower = False },LEG.PV.Data.Processor.DataRecords+PvRecord,"01.12.2025 10:00:00",0,"0,7621438721548335","0,9095760221444958","0,26288747774499466","29,199999999999996",0,"63,5","2,75","19,259999999999998",0,0,"4,216095055098598","",False</t>
  </si>
  <si>
    <t>PvRecord { Timestamp = 01.12.2025 10:15:00, Index = 0, DirectGeometryFactor = 0,7795627418731191, DiffuseGeometryFactor = 0,9095760221444958, CosSunElevation = 0,28318424672402037, GlobalHorizontalIrradiance = 29,199999999999996, SunshineDuration = 0, DiffuseHorizontalIrradiance = 63,5, AmbientTemp = 2,75, WindSpeed = 19,259999999999998, SnowDepth = 0, Weight = 0, Age = 4,21612357498668, MeasuredPower = , HasMeasuredPower = False },LEG.PV.Data.Processor.DataRecords+PvRecord,"01.12.2025 10:15:00",0,"0,7795627418731191","0,9095760221444958","0,28318424672402037","29,199999999999996",0,"63,5","2,75","19,259999999999998",0,0,"4,21612357498668","",False</t>
  </si>
  <si>
    <t>PvRecord { Timestamp = 01.12.2025 10:30:00, Index = 0, DirectGeometryFactor = 0,7932790578702607, DiffuseGeometryFactor = 0,9095760221444958, CosSunElevation = 0,301118042560708, GlobalHorizontalIrradiance = 54,58333333333333, SunshineDuration = 0, DiffuseHorizontalIrradiance = 94,5, AmbientTemp = 3,05, WindSpeed = 19,259999999999998, SnowDepth = 0, Weight = 0, Age = 4,2161520948747615, MeasuredPower = , HasMeasuredPower = False },LEG.PV.Data.Processor.DataRecords+PvRecord,"01.12.2025 10:30:00",0,"0,7932790578702607","0,9095760221444958","0,301118042560708","54,58333333333333",0,"94,5","3,05","19,259999999999998",0,0,"4,2161520948747615","",False</t>
  </si>
  <si>
    <t>PvRecord { Timestamp = 01.12.2025 10:45:00, Index = 0, DirectGeometryFactor = 0,8032309128407837, DiffuseGeometryFactor = 0,9095760221444958, CosSunElevation = 0,3166081521756114, GlobalHorizontalIrradiance = 54,58333333333333, SunshineDuration = 0, DiffuseHorizontalIrradiance = 94,5, AmbientTemp = 3,05, WindSpeed = 19,259999999999998, SnowDepth = 0, Weight = 0, Age = 4,216180614762843, MeasuredPower = , HasMeasuredPower = False },LEG.PV.Data.Processor.DataRecords+PvRecord,"01.12.2025 10:45:00",0,"0,8032309128407837","0,9095760221444958","0,3166081521756114","54,58333333333333",0,"94,5","3,05","19,259999999999998",0,0,"4,216180614762843","",False</t>
  </si>
  <si>
    <t>PvRecord { Timestamp = 01.12.2025 11:00:00, Index = 0, DirectGeometryFactor = 0,8093735265479612, DiffuseGeometryFactor = 0,9095760221444958, CosSunElevation = 0,3295855450386762, GlobalHorizontalIrradiance = 54,58333333333333, SunshineDuration = 0, DiffuseHorizontalIrradiance = 94,5, AmbientTemp = 3,05, WindSpeed = 19,259999999999998, SnowDepth = 0, Weight = 0, Age = 4,216209134650924, MeasuredPower = , HasMeasuredPower = False },LEG.PV.Data.Processor.DataRecords+PvRecord,"01.12.2025 11:00:00",0,"0,8093735265479612","0,9095760221444958","0,3295855450386762","54,58333333333333",0,"94,5","3,05","19,259999999999998",0,0,"4,216209134650924","",False</t>
  </si>
  <si>
    <t>PvRecord { Timestamp = 01.12.2025 11:15:00, Index = 0, DirectGeometryFactor = 0,8116791047599854, DiffuseGeometryFactor = 0,9095760221444958, CosSunElevation = 0,339992768615478, GlobalHorizontalIrradiance = 54,58333333333333, SunshineDuration = 0, DiffuseHorizontalIrradiance = 94,5, AmbientTemp = 3,05, WindSpeed = 19,259999999999998, SnowDepth = 0, Weight = 0, Age = 4,216237654539006, MeasuredPower = , HasMeasuredPower = False },LEG.PV.Data.Processor.DataRecords+PvRecord,"01.12.2025 11:15:00",0,"0,8116791047599854","0,9095760221444958","0,339992768615478","54,58333333333333",0,"94,5","3,05","19,259999999999998",0,0,"4,216237654539006","",False</t>
  </si>
  <si>
    <t>PvRecord { Timestamp = 01.12.2025 11:30:00, Index = 0, DirectGeometryFactor = 0,8101367568609078, DiffuseGeometryFactor = 0,9095760221444958, CosSunElevation = 0,3477839521372029, GlobalHorizontalIrradiance = 88,75, SunshineDuration = 0, DiffuseHorizontalIrradiance = 116, AmbientTemp = 3,35, WindSpeed = 17,28, SnowDepth = 0, Weight = 0, Age = 4,216266174427088, MeasuredPower = , HasMeasuredPower = False },LEG.PV.Data.Processor.DataRecords+PvRecord,"01.12.2025 11:30:00",0,"0,8101367568609078","0,9095760221444958","0,3477839521372029","88,75",0,116,"3,35","17,28",0,0,"4,216266174427088","",False</t>
  </si>
  <si>
    <t>PvRecord { Timestamp = 01.12.2025 11:45:00, Index = 0, DirectGeometryFactor = 0,804752418392274, DiffuseGeometryFactor = 0,9095760221444958, CosSunElevation = 0,3529248538142768, GlobalHorizontalIrradiance = 88,75, SunshineDuration = 0, DiffuseHorizontalIrradiance = 116, AmbientTemp = 3,35, WindSpeed = 17,28, SnowDepth = 0, Weight = 0, Age = 4,216294694315169, MeasuredPower = , HasMeasuredPower = False },LEG.PV.Data.Processor.DataRecords+PvRecord,"01.12.2025 11:45:00",0,"0,804752418392274","0,9095760221444958","0,3529248538142768","88,75",0,116,"3,35","17,28",0,0,"4,216294694315169","",False</t>
  </si>
  <si>
    <t>PvRecord { Timestamp = 01.12.2025 12:00:00, Index = 0, DirectGeometryFactor = 0,7955487497674253, DiffuseGeometryFactor = 0,9095760221444958, CosSunElevation = 0,3553929162558709, GlobalHorizontalIrradiance = 88,75, SunshineDuration = 0, DiffuseHorizontalIrradiance = 116, AmbientTemp = 3,35, WindSpeed = 17,28, SnowDepth = 0, Weight = 0, Age = 4,216323214203251, MeasuredPower = , HasMeasuredPower = False },LEG.PV.Data.Processor.DataRecords+PvRecord,"01.12.2025 12:00:00",0,"0,7955487497674253","0,9095760221444958","0,3553929162558709","88,75",0,116,"3,35","17,28",0,0,"4,216323214203251","",False</t>
  </si>
  <si>
    <t>PvRecord { Timestamp = 01.12.2025 12:15:00, Index = 0, DirectGeometryFactor = 0,7825649958048841, DiffuseGeometryFactor = 0,9095760221444958, CosSunElevation = 0,35517731091112126, GlobalHorizontalIrradiance = 88,75, SunshineDuration = 0, DiffuseHorizontalIrradiance = 116, AmbientTemp = 3,35, WindSpeed = 17,28, SnowDepth = 0, Weight = 0, Age = 4,216351734091332, MeasuredPower = , HasMeasuredPower = False },LEG.PV.Data.Processor.DataRecords+PvRecord,"01.12.2025 12:15:00",0,"0,7825649958048841","0,9095760221444958","0,35517731091112126","88,75",0,116,"3,35","17,28",0,0,"4,216351734091332","",False</t>
  </si>
  <si>
    <t>PvRecord { Timestamp = 01.12.2025 12:30:00, Index = 0, DirectGeometryFactor = 0,76585679822921, DiffuseGeometryFactor = 0,9095760221444958, CosSunElevation = 0,3522789613125731, GlobalHorizontalIrradiance = 111,46666666666667, SunshineDuration = 0, DiffuseHorizontalIrradiance = 121,5, AmbientTemp = 3,55, WindSpeed = 15,3, SnowDepth = 0, Weight = 0, Age = 4,2163802539794135, MeasuredPower = , HasMeasuredPower = False },LEG.PV.Data.Processor.DataRecords+PvRecord,"01.12.2025 12:30:00",0,"0,76585679822921","0,9095760221444958","0,3522789613125731","111,46666666666667",0,"121,5","3,55","15,3",0,0,"4,2163802539794135","",False</t>
  </si>
  <si>
    <t>PvRecord { Timestamp = 01.12.2025 12:45:00, Index = 0, DirectGeometryFactor = 0,745495958550972, DiffuseGeometryFactor = 0,9095760221444958, CosSunElevation = 0,346710540802824, GlobalHorizontalIrradiance = 111,46666666666667, SunshineDuration = 0, DiffuseHorizontalIrradiance = 121,5, AmbientTemp = 3,55, WindSpeed = 15,3, SnowDepth = 0, Weight = 0, Age = 4,216408773867496, MeasuredPower = , HasMeasuredPower = False },LEG.PV.Data.Processor.DataRecords+PvRecord,"01.12.2025 12:45:00",0,"0,745495958550972","0,9095760221444958","0,346710540802824","111,46666666666667",0,"121,5","3,55","15,3",0,0,"4,216408773867496","",False</t>
  </si>
  <si>
    <t>PvRecord { Timestamp = 01.12.2025 13:00:00, Index = 0, DirectGeometryFactor = 0,7215701525957194, DiffuseGeometryFactor = 0,9095760221444958, CosSunElevation = 0,3384964451661105, GlobalHorizontalIrradiance = 111,46666666666667, SunshineDuration = 0, DiffuseHorizontalIrradiance = 121,5, AmbientTemp = 3,55, WindSpeed = 15,3, SnowDepth = 0, Weight = 0, Age = 4,216437293755577, MeasuredPower = , HasMeasuredPower = False },LEG.PV.Data.Processor.DataRecords+PvRecord,"01.12.2025 13:00:00",0,"0,7215701525957194","0,9095760221444958","0,3384964451661105","111,46666666666667",0,"121,5","3,55","15,3",0,0,"4,216437293755577","",False</t>
  </si>
  <si>
    <t>PvRecord { Timestamp = 01.12.2025 13:15:00, Index = 0, DirectGeometryFactor = 0,6941826018093811, DiffuseGeometryFactor = 0,9095760221444958, CosSunElevation = 0,3276727452070788, GlobalHorizontalIrradiance = 111,46666666666667, SunshineDuration = 0, DiffuseHorizontalIrradiance = 121,5, AmbientTemp = 3,55, WindSpeed = 15,3, SnowDepth = 0, Weight = 0, Age = 4,216465813643659, MeasuredPower = , HasMeasuredPower = False },LEG.PV.Data.Processor.DataRecords+PvRecord,"01.12.2025 13:15:00",0,"0,6941826018093811","0,9095760221444958","0,3276727452070788","111,46666666666667",0,"121,5","3,55","15,3",0,0,"4,216465813643659","",False</t>
  </si>
  <si>
    <t>PvRecord { Timestamp = 01.12.2025 13:30:00, Index = 0, DirectGeometryFactor = 0,663451712186486, DiffuseGeometryFactor = 0,9095760221444958, CosSunElevation = 0,314287130730403, GlobalHorizontalIrradiance = 117,86666666666667, SunshineDuration = 0, DiffuseHorizontalIrradiance = 109,5, AmbientTemp = 3,75, WindSpeed = 13,86, SnowDepth = 0, Weight = 0, Age = 4,21649433353174, MeasuredPower = , HasMeasuredPower = False },LEG.PV.Data.Processor.DataRecords+PvRecord,"01.12.2025 13:30:00",0,"0,663451712186486","0,9095760221444958","0,314287130730403","117,86666666666667",0,"109,5","3,75","13,86",0,0,"4,21649433353174","",False</t>
  </si>
  <si>
    <t>PvRecord { Timestamp = 01.12.2025 13:45:00, Index = 0, DirectGeometryFactor = 0,6295106995790097, DiffuseGeometryFactor = 0,9095760221444958, CosSunElevation = 0,29839886719107395, GlobalHorizontalIrradiance = 117,86666666666667, SunshineDuration = 0, DiffuseHorizontalIrradiance = 109,5, AmbientTemp = 3,75, WindSpeed = 13,86, SnowDepth = 0, Weight = 0, Age = 4,216522853419821, MeasuredPower = , HasMeasuredPower = False },LEG.PV.Data.Processor.DataRecords+PvRecord,"01.12.2025 13:45:00",0,"0,6295106995790097","0,9095760221444958","0,29839886719107395","117,86666666666667",0,"109,5","3,75","13,86",0,0,"4,216522853419821","",False</t>
  </si>
  <si>
    <t>PvRecord { Timestamp = 01.12.2025 14:00:00, Index = 0, DirectGeometryFactor = 0,5925072344198834, DiffuseGeometryFactor = 0,9095760221444958, CosSunElevation = 0,2800788035884672, GlobalHorizontalIrradiance = 117,86666666666667, SunshineDuration = 0, DiffuseHorizontalIrradiance = 109,5, AmbientTemp = 3,75, WindSpeed = 13,86, SnowDepth = 0, Weight = 0, Age = 4,216551373307904, MeasuredPower = , HasMeasuredPower = False },LEG.PV.Data.Processor.DataRecords+PvRecord,"01.12.2025 14:00:00",0,"0,5925072344198834","0,9095760221444958","0,2800788035884672","117,86666666666667",0,"109,5","3,75","13,86",0,0,"4,216551373307904","",False</t>
  </si>
  <si>
    <t>PvRecord { Timestamp = 01.12.2025 14:15:00, Index = 0, DirectGeometryFactor = 0,5526031669634413, DiffuseGeometryFactor = 0,9095760221444958, CosSunElevation = 0,2594095036916767, GlobalHorizontalIrradiance = 117,86666666666667, SunshineDuration = 0, DiffuseHorizontalIrradiance = 109,5, AmbientTemp = 3,75, WindSpeed = 13,86, SnowDepth = 0, Weight = 0, Age = 4,216579893195985, MeasuredPower = , HasMeasuredPower = False },LEG.PV.Data.Processor.DataRecords+PvRecord,"01.12.2025 14:15:00",0,"0,5526031669634413","0,9095760221444958","0,2594095036916767","117,86666666666667",0,"109,5","3,75","13,86",0,0,"4,216579893195985","",False</t>
  </si>
  <si>
    <t>PvRecord { Timestamp = 01.12.2025 14:30:00, Index = 0, DirectGeometryFactor = 0,509974449314742, DiffuseGeometryFactor = 0,9095760221444958, CosSunElevation = 0,23648564004897155, GlobalHorizontalIrradiance = 113,13333333333334, SunshineDuration = 0, DiffuseHorizontalIrradiance = 83,5, AmbientTemp = 3,8, WindSpeed = 12,06, SnowDepth = 0, Weight = 0, Age = 4,216608413084066, MeasuredPower = , HasMeasuredPower = False },LEG.PV.Data.Processor.DataRecords+PvRecord,"01.12.2025 14:30:00",0,"0,509974449314742","0,9095760221444958","0,23648564004897155","113,13333333333334",0,"83,5","3,8","12,06",0,0,"4,216608413084066","",False</t>
  </si>
  <si>
    <t>PvRecord { Timestamp = 01.12.2025 14:45:00, Index = 0, DirectGeometryFactor = 0,4648114913946514, DiffuseGeometryFactor = 0,9095760221444958, CosSunElevation = 0,21141493707282352, GlobalHorizontalIrradiance = 113,13333333333334, SunshineDuration = 0, DiffuseHorizontalIrradiance = 83,5, AmbientTemp = 3,8, WindSpeed = 12,06, SnowDepth = 0, Weight = 0, Age = 4,216636932972148, MeasuredPower = , HasMeasuredPower = False },LEG.PV.Data.Processor.DataRecords+PvRecord,"01.12.2025 14:45:00",0,"0,4648114913946514","0,9095760221444958","0,21141493707282352","113,13333333333334",0,"83,5","3,8","12,06",0,0,"4,216636932972148","",False</t>
  </si>
  <si>
    <t>PvRecord { Timestamp = 01.12.2025 15:00:00, Index = 0, DirectGeometryFactor = 0,4173204723482146, DiffuseGeometryFactor = 0,9095760221444958, CosSunElevation = 0,1843202943368799, GlobalHorizontalIrradiance = 113,13333333333334, SunshineDuration = 0, DiffuseHorizontalIrradiance = 83,5, AmbientTemp = 3,8, WindSpeed = 12,06, SnowDepth = 0, Weight = 0, Age = 4,216665452860229, MeasuredPower = , HasMeasuredPower = False },LEG.PV.Data.Processor.DataRecords+PvRecord,"01.12.2025 15:00:00",0,"0,4173204723482146","0,9095760221444958","0,1843202943368799","113,13333333333334",0,"83,5","3,8","12,06",0,0,"4,216665452860229","",False</t>
  </si>
  <si>
    <t>PvRecord { Timestamp = 01.12.2025 15:15:00, Index = 0, DirectGeometryFactor = 0,36772685377079656, DiffuseGeometryFactor = 0,9095760221444958, CosSunElevation = 0,15534460219963847, GlobalHorizontalIrradiance = 113,13333333333334, SunshineDuration = 0, DiffuseHorizontalIrradiance = 83,5, AmbientTemp = 3,8, WindSpeed = 12,06, SnowDepth = 0, Weight = 0, Age = 4,2166939727483115, MeasuredPower = , HasMeasuredPower = False },LEG.PV.Data.Processor.DataRecords+PvRecord,"01.12.2025 15:15:00",0,"0,36772685377079656","0,9095760221444958","0,15534460219963847","113,13333333333334",0,"83,5","3,8","12,06",0,0,"4,2166939727483115","",False</t>
  </si>
  <si>
    <t>PvRecord { Timestamp = 01.12.2025 15:30:00, Index = 0, DirectGeometryFactor = 0,3162844046559975, DiffuseGeometryFactor = 0,9095760221444958, CosSunElevation = 0,12466226810310437, GlobalHorizontalIrradiance = 100,04999999999998, SunshineDuration = 0, DiffuseHorizontalIrradiance = 44,5, AmbientTemp = 3,5999999999999996, WindSpeed = 10,8, SnowDepth = 0, Weight = 0, Age = 4,216722492636393, MeasuredPower = , HasMeasuredPower = False },LEG.PV.Data.Processor.DataRecords+PvRecord,"01.12.2025 15:30:00",0,"0,3162844046559975","0,9095760221444958","0,12466226810310437","100,04999999999998",0,"44,5","3,5999999999999996","10,8",0,0,"4,216722492636393","",False</t>
  </si>
  <si>
    <t>PvRecord { Timestamp = 01.12.2025 15:45:00, Index = 0, DirectGeometryFactor = 0, DiffuseGeometryFactor = 0,9095760221444958, CosSunElevation = 0,0925095633992344, GlobalHorizontalIrradiance = 100,04999999999998, SunshineDuration = 0, DiffuseHorizontalIrradiance = 44,5, AmbientTemp = 3,5999999999999996, WindSpeed = 10,8, SnowDepth = 0, Weight = 0, Age = 4,216751012524474, MeasuredPower = , HasMeasuredPower = False },LEG.PV.Data.Processor.DataRecords+PvRecord,"01.12.2025 15:45:00",0,0,"0,9095760221444958","0,0925095633992344","100,04999999999998",0,"44,5","3,5999999999999996","10,8",0,0,"4,216751012524474","",False</t>
  </si>
  <si>
    <t>PvRecord { Timestamp = 01.12.2025 16:00:00, Index = 0, DirectGeometryFactor = 0, DiffuseGeometryFactor = 0,9095760221444958, CosSunElevation = 0,059275999177756916, GlobalHorizontalIrradiance = 100,04999999999998, SunshineDuration = 0, DiffuseHorizontalIrradiance = 44,5, AmbientTemp = 3,5999999999999996, WindSpeed = 10,8, SnowDepth = 0, Weight = 0, Age = 4,216779532412556, MeasuredPower = , HasMeasuredPower = False },LEG.PV.Data.Processor.DataRecords+PvRecord,"01.12.2025 16:00:00",0,0,"0,9095760221444958","0,059275999177756916","100,04999999999998",0,"44,5","3,5999999999999996","10,8",0,0,"4,216779532412556","",False</t>
  </si>
  <si>
    <t>PvRecord { Timestamp = 01.12.2025 16:15:00, Index = 0, DirectGeometryFactor = 0, DiffuseGeometryFactor = 0,9095760221444958, CosSunElevation = 0,025818201574690922, GlobalHorizontalIrradiance = 100,04999999999998, SunshineDuration = 0, DiffuseHorizontalIrradiance = 44,5, AmbientTemp = 3,5999999999999996, WindSpeed = 10,8, SnowDepth = 0, Weight = 0, Age = 4,216808052300637, MeasuredPower = , HasMeasuredPower = False },LEG.PV.Data.Processor.DataRecords+PvRecord,"01.12.2025 16:15:00",0,0,"0,9095760221444958","0,025818201574690922","100,04999999999998",0,"44,5","3,5999999999999996","10,8",0,0,"4,216808052300637","",False</t>
  </si>
  <si>
    <t>PvRecord { Timestamp = 01.12.2025 16:30:00, Index = 0, DirectGeometryFactor = 0, DiffuseGeometryFactor = 0,9095760221444958, CosSunElevation = 0, GlobalHorizontalIrradiance = 32,4, SunshineDuration = 0, DiffuseHorizontalIrradiance = 8,5, AmbientTemp = 2,95, WindSpeed = 11,34, SnowDepth = 0, Weight = 0, Age = 4,216836572188719, MeasuredPower = , HasMeasuredPower = False },LEG.PV.Data.Processor.DataRecords+PvRecord,"01.12.2025 16:30:00",0,0,"0,9095760221444958",0,"32,4",0,"8,5","2,95","11,34",0,0,"4,216836572188719","",False</t>
  </si>
  <si>
    <t>PvRecord { Timestamp = 01.12.2025 16:45:00, Index = 0, DirectGeometryFactor = 0, DiffuseGeometryFactor = 0,9095760221444958, CosSunElevation = 0, GlobalHorizontalIrradiance = 32,4, SunshineDuration = 0, DiffuseHorizontalIrradiance = 8,5, AmbientTemp = 2,95, WindSpeed = 11,34, SnowDepth = 0, Weight = 0, Age = 4,216865092076801, MeasuredPower = , HasMeasuredPower = False },LEG.PV.Data.Processor.DataRecords+PvRecord,"01.12.2025 16:45:00",0,0,"0,9095760221444958",0,"32,4",0,"8,5","2,95","11,34",0,0,"4,216865092076801","",False</t>
  </si>
  <si>
    <t>PvRecord { Timestamp = 01.12.2025 17:00:00, Index = 0, DirectGeometryFactor = 0, DiffuseGeometryFactor = 0,9095760221444958, CosSunElevation = 0, GlobalHorizontalIrradiance = 32,4, SunshineDuration = 0, DiffuseHorizontalIrradiance = 8,5, AmbientTemp = 2,95, WindSpeed = 11,34, SnowDepth = 0, Weight = 0, Age = 4,216893611964882, MeasuredPower = , HasMeasuredPower = False },LEG.PV.Data.Processor.DataRecords+PvRecord,"01.12.2025 17:00:00",0,0,"0,9095760221444958",0,"32,4",0,"8,5","2,95","11,34",0,0,"4,216893611964882","",False</t>
  </si>
  <si>
    <t>PvRecord { Timestamp = 01.12.2025 17:15:00, Index = 0, DirectGeometryFactor = 0, DiffuseGeometryFactor = 0,9095760221444958, CosSunElevation = 0, GlobalHorizontalIrradiance = 32,4, SunshineDuration = 0, DiffuseHorizontalIrradiance = 8,5, AmbientTemp = 2,95, WindSpeed = 11,34, SnowDepth = 0, Weight = 0, Age = 4,2169221318529635, MeasuredPower = , HasMeasuredPower = False },LEG.PV.Data.Processor.DataRecords+PvRecord,"01.12.2025 17:15:00",0,0,"0,9095760221444958",0,"32,4",0,"8,5","2,95","11,34",0,0,"4,2169221318529635","",False</t>
  </si>
  <si>
    <t>PvRecord { Timestamp = 01.12.2025 17:30:00,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4,216950651741045, MeasuredPower = , HasMeasuredPower = False },LEG.PV.Data.Processor.DataRecords+PvRecord,"01.12.2025 17:30:00",0,0,"0,9095760221444958",0,0,0,0,"2,05","12,600000000000001",0,0,"4,216950651741045","",False</t>
  </si>
  <si>
    <t>PvRecord { Timestamp = 01.12.2025 17:45:00,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4,216979171629127, MeasuredPower = , HasMeasuredPower = False },LEG.PV.Data.Processor.DataRecords+PvRecord,"01.12.2025 17:45:00",0,0,"0,9095760221444958",0,0,0,0,"2,05","12,600000000000001",0,0,"4,216979171629127","",False</t>
  </si>
  <si>
    <t>PvRecord { Timestamp = 01.12.2025 18:00:00,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4,217007691517209, MeasuredPower = , HasMeasuredPower = False },LEG.PV.Data.Processor.DataRecords+PvRecord,"01.12.2025 18:00:00",0,0,"0,9095760221444958",0,0,0,0,"2,05","12,600000000000001",0,0,"4,217007691517209","",False</t>
  </si>
  <si>
    <t>PvRecord { Timestamp = 01.12.2025 18:15:00, Index = 0, DirectGeometryFactor = 0, DiffuseGeometryFactor = 0,9095760221444958, CosSunElevation = 0, GlobalHorizontalIrradiance = 0, SunshineDuration = 0, DiffuseHorizontalIrradiance = 0, AmbientTemp = 2,05, WindSpeed = 12,600000000000001, SnowDepth = 0, Weight = 0, Age = 4,21703621140529, MeasuredPower = , HasMeasuredPower = False },LEG.PV.Data.Processor.DataRecords+PvRecord,"01.12.2025 18:15:00",0,0,"0,9095760221444958",0,0,0,0,"2,05","12,600000000000001",0,0,"4,21703621140529","",False</t>
  </si>
  <si>
    <t>PvRecord { Timestamp = 01.12.2025 18:30:00, Index = 0, DirectGeometryFactor = 0, DiffuseGeometryFactor = 0,9095760221444958, CosSunElevation = 0, GlobalHorizontalIrradiance = 0, SunshineDuration = 0, DiffuseHorizontalIrradiance = 0, AmbientTemp = 1,15, WindSpeed = 12,06, SnowDepth = 0, Weight = 0, Age = 4,217064731293371, MeasuredPower = , HasMeasuredPower = False },LEG.PV.Data.Processor.DataRecords+PvRecord,"01.12.2025 18:30:00",0,0,"0,9095760221444958",0,0,0,0,"1,15","12,06",0,0,"4,217064731293371","",False</t>
  </si>
  <si>
    <t>PvRecord { Timestamp = 01.12.2025 18:45:00, Index = 0, DirectGeometryFactor = 0, DiffuseGeometryFactor = 0,9095760221444958, CosSunElevation = 0, GlobalHorizontalIrradiance = 0, SunshineDuration = 0, DiffuseHorizontalIrradiance = 0, AmbientTemp = 1,15, WindSpeed = 12,06, SnowDepth = 0, Weight = 0, Age = 4,217093251181453, MeasuredPower = , HasMeasuredPower = False },LEG.PV.Data.Processor.DataRecords+PvRecord,"01.12.2025 18:45:00",0,0,"0,9095760221444958",0,0,0,0,"1,15","12,06",0,0,"4,217093251181453","",False</t>
  </si>
  <si>
    <t>PvRecord { Timestamp = 01.12.2025 19:00:00, Index = 0, DirectGeometryFactor = 0, DiffuseGeometryFactor = 0,9095760221444958, CosSunElevation = 0, GlobalHorizontalIrradiance = 0, SunshineDuration = 0, DiffuseHorizontalIrradiance = 0, AmbientTemp = 1,15, WindSpeed = 12,06, SnowDepth = 0, Weight = 0, Age = 4,217121771069535, MeasuredPower = , HasMeasuredPower = False },LEG.PV.Data.Processor.DataRecords+PvRecord,"01.12.2025 19:00:00",0,0,"0,9095760221444958",0,0,0,0,"1,15","12,06",0,0,"4,217121771069535","",False</t>
  </si>
  <si>
    <t>PvRecord { Timestamp = 01.12.2025 19:15:00, Index = 0, DirectGeometryFactor = 0, DiffuseGeometryFactor = 0,9095760221444958, CosSunElevation = 0, GlobalHorizontalIrradiance = 0, SunshineDuration = 0, DiffuseHorizontalIrradiance = 0, AmbientTemp = 1,15, WindSpeed = 12,06, SnowDepth = 0, Weight = 0, Age = 4,217150290957616, MeasuredPower = , HasMeasuredPower = False },LEG.PV.Data.Processor.DataRecords+PvRecord,"01.12.2025 19:15:00",0,0,"0,9095760221444958",0,0,0,0,"1,15","12,06",0,0,"4,217150290957616","",False</t>
  </si>
  <si>
    <t>PvRecord { Timestamp = 01.12.2025 19:30:00,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4,217178810845698, MeasuredPower = , HasMeasuredPower = False },LEG.PV.Data.Processor.DataRecords+PvRecord,"01.12.2025 19:30:00",0,0,"0,9095760221444958",0,0,0,0,"0,30000000000000004","8,1",0,0,"4,217178810845698","",False</t>
  </si>
  <si>
    <t>PvRecord { Timestamp = 01.12.2025 19:45:00,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4,217207330733779, MeasuredPower = , HasMeasuredPower = False },LEG.PV.Data.Processor.DataRecords+PvRecord,"01.12.2025 19:45:00",0,0,"0,9095760221444958",0,0,0,0,"0,30000000000000004","8,1",0,0,"4,217207330733779","",False</t>
  </si>
  <si>
    <t>PvRecord { Timestamp = 01.12.2025 20:00:00,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4,217235850621861, MeasuredPower = , HasMeasuredPower = False },LEG.PV.Data.Processor.DataRecords+PvRecord,"01.12.2025 20:00:00",0,0,"0,9095760221444958",0,0,0,0,"0,30000000000000004","8,1",0,0,"4,217235850621861","",False</t>
  </si>
  <si>
    <t>PvRecord { Timestamp = 01.12.2025 20:15:00, Index = 0, DirectGeometryFactor = 0, DiffuseGeometryFactor = 0,9095760221444958, CosSunElevation = 0, GlobalHorizontalIrradiance = 0, SunshineDuration = 0, DiffuseHorizontalIrradiance = 0, AmbientTemp = 0,30000000000000004, WindSpeed = 8,1, SnowDepth = 0, Weight = 0, Age = 4,217264370509943, MeasuredPower = , HasMeasuredPower = False },LEG.PV.Data.Processor.DataRecords+PvRecord,"01.12.2025 20:15:00",0,0,"0,9095760221444958",0,0,0,0,"0,30000000000000004","8,1",0,0,"4,217264370509943","",False</t>
  </si>
  <si>
    <t>PvRecord { Timestamp = 01.12.2025 20:30:00,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4,217292890398024, MeasuredPower = , HasMeasuredPower = False },LEG.PV.Data.Processor.DataRecords+PvRecord,"01.12.2025 20:30:00",0,0,"0,9095760221444958",0,0,0,0,"-0,5","3,9600000000000004",0,0,"4,217292890398024","",False</t>
  </si>
  <si>
    <t>PvRecord { Timestamp = 01.12.2025 20:45:00,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4,217321410286106, MeasuredPower = , HasMeasuredPower = False },LEG.PV.Data.Processor.DataRecords+PvRecord,"01.12.2025 20:45:00",0,0,"0,9095760221444958",0,0,0,0,"-0,5","3,9600000000000004",0,0,"4,217321410286106","",False</t>
  </si>
  <si>
    <t>PvRecord { Timestamp = 01.12.2025 21:00:00,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4,217349930174187, MeasuredPower = , HasMeasuredPower = False },LEG.PV.Data.Processor.DataRecords+PvRecord,"01.12.2025 21:00:00",0,0,"0,9095760221444958",0,0,0,0,"-0,5","3,9600000000000004",0,0,"4,217349930174187","",False</t>
  </si>
  <si>
    <t>PvRecord { Timestamp = 01.12.2025 21:15:00, Index = 0, DirectGeometryFactor = 0, DiffuseGeometryFactor = 0,9095760221444958, CosSunElevation = 0, GlobalHorizontalIrradiance = 0, SunshineDuration = 0, DiffuseHorizontalIrradiance = 0, AmbientTemp = -0,5, WindSpeed = 3,9600000000000004, SnowDepth = 0, Weight = 0, Age = 4,217378450062269, MeasuredPower = , HasMeasuredPower = False },LEG.PV.Data.Processor.DataRecords+PvRecord,"01.12.2025 21:15:00",0,0,"0,9095760221444958",0,0,0,0,"-0,5","3,9600000000000004",0,0,"4,217378450062269","",False</t>
  </si>
  <si>
    <t>PvRecord { Timestamp = 01.12.2025 21:30:00, Index = 0, DirectGeometryFactor = 0, DiffuseGeometryFactor = 0,9095760221444958, CosSunElevation = 0, GlobalHorizontalIrradiance = 0, SunshineDuration = 0, DiffuseHorizontalIrradiance = 0, AmbientTemp = -1,05, WindSpeed = 3,24, SnowDepth = 0, Weight = 0, Age = 4,217406969950351, MeasuredPower = , HasMeasuredPower = False },LEG.PV.Data.Processor.DataRecords+PvRecord,"01.12.2025 21:30:00",0,0,"0,9095760221444958",0,0,0,0,"-1,05","3,24",0,0,"4,217406969950351","",False</t>
  </si>
  <si>
    <t>PvRecord { Timestamp = 01.12.2025 21:45:00, Index = 0, DirectGeometryFactor = 0, DiffuseGeometryFactor = 0,9095760221444958, CosSunElevation = 0, GlobalHorizontalIrradiance = 0, SunshineDuration = 0, DiffuseHorizontalIrradiance = 0, AmbientTemp = -1,05, WindSpeed = 3,24, SnowDepth = 0, Weight = 0, Age = 4,217435489838432, MeasuredPower = , HasMeasuredPower = False },LEG.PV.Data.Processor.DataRecords+PvRecord,"01.12.2025 21:45:00",0,0,"0,9095760221444958",0,0,0,0,"-1,05","3,24",0,0,"4,217435489838432","",False</t>
  </si>
  <si>
    <t>PvRecord { Timestamp = 01.12.2025 22:00:00, Index = 0, DirectGeometryFactor = 0, DiffuseGeometryFactor = 0,9095760221444958, CosSunElevation = 0, GlobalHorizontalIrradiance = 0, SunshineDuration = 0, DiffuseHorizontalIrradiance = 0, AmbientTemp = -1,05, WindSpeed = 3,24, SnowDepth = 0, Weight = 0, Age = 4,2174640097265135, MeasuredPower = , HasMeasuredPower = False },LEG.PV.Data.Processor.DataRecords+PvRecord,"01.12.2025 22:00:00",0,0,"0,9095760221444958",0,0,0,0,"-1,05","3,24",0,0,"4,2174640097265135","",False</t>
  </si>
  <si>
    <t>PvRecord { Timestamp = 01.12.2025 22:15:00, Index = 0, DirectGeometryFactor = 0, DiffuseGeometryFactor = 0,9095760221444958, CosSunElevation = 0, GlobalHorizontalIrradiance = 0, SunshineDuration = 0, DiffuseHorizontalIrradiance = 0, AmbientTemp = -1,05, WindSpeed = 3,24, SnowDepth = 0, Weight = 0, Age = 4,217492529614595, MeasuredPower = , HasMeasuredPower = False },LEG.PV.Data.Processor.DataRecords+PvRecord,"01.12.2025 22:15:00",0,0,"0,9095760221444958",0,0,0,0,"-1,05","3,24",0,0,"4,217492529614595","",False</t>
  </si>
  <si>
    <t>PvRecord { Timestamp = 01.12.2025 22:30:00, Index = 0, DirectGeometryFactor = 0, DiffuseGeometryFactor = 0,9095760221444958, CosSunElevation = 0, GlobalHorizontalIrradiance = 0, SunshineDuration = 0, DiffuseHorizontalIrradiance = 0, AmbientTemp = -1,25, WindSpeed = 5,22, SnowDepth = 0, Weight = 0, Age = 4,217521049502677, MeasuredPower = , HasMeasuredPower = False },LEG.PV.Data.Processor.DataRecords+PvRecord,"01.12.2025 22:30:00",0,0,"0,9095760221444958",0,0,0,0,"-1,25","5,22",0,0,"4,217521049502677","",False</t>
  </si>
  <si>
    <t>PvRecord { Timestamp = 01.12.2025 22:45:00, Index = 0, DirectGeometryFactor = 0, DiffuseGeometryFactor = 0,9095760221444958, CosSunElevation = 0, GlobalHorizontalIrradiance = 0, SunshineDuration = 0, DiffuseHorizontalIrradiance = 0, AmbientTemp = -1,25, WindSpeed = 5,22, SnowDepth = 0, Weight = 0, Age = 4,2175495693907585, MeasuredPower = , HasMeasuredPower = False },LEG.PV.Data.Processor.DataRecords+PvRecord,"01.12.2025 22:45:00",0,0,"0,9095760221444958",0,0,0,0,"-1,25","5,22",0,0,"4,2175495693907585","",False</t>
  </si>
  <si>
    <t>PvRecord { Timestamp = 01.12.2025 23:00:00, Index = 0, DirectGeometryFactor = 0, DiffuseGeometryFactor = 0,9095760221444958, CosSunElevation = 0, GlobalHorizontalIrradiance = 0, SunshineDuration = 0, DiffuseHorizontalIrradiance = 0, AmbientTemp = -1,25, WindSpeed = 5,22, SnowDepth = 0, Weight = 0, Age = 4,21757808927884, MeasuredPower = , HasMeasuredPower = False },LEG.PV.Data.Processor.DataRecords+PvRecord,"01.12.2025 23:00:00",0,0,"0,9095760221444958",0,0,0,0,"-1,25","5,22",0,0,"4,21757808927884","",False</t>
  </si>
  <si>
    <t>PvRecord { Timestamp = 01.12.2025 23:15:00, Index = 0, DirectGeometryFactor = 0, DiffuseGeometryFactor = 0,9095760221444958, CosSunElevation = 0, GlobalHorizontalIrradiance = 0, SunshineDuration = 0, DiffuseHorizontalIrradiance = 0, AmbientTemp = -1,25, WindSpeed = 5,22, SnowDepth = 0, Weight = 0, Age = 4,217606609166921, MeasuredPower = , HasMeasuredPower = False },LEG.PV.Data.Processor.DataRecords+PvRecord,"01.12.2025 23:15:00",0,0,"0,9095760221444958",0,0,0,0,"-1,25","5,22",0,0,"4,217606609166921","",False</t>
  </si>
  <si>
    <t>PvRecord { Timestamp = 01.12.2025 23:30:00, Index = 0, DirectGeometryFactor = 0, DiffuseGeometryFactor = 0,9095760221444958, CosSunElevation = 0, GlobalHorizontalIrradiance = 0, SunshineDuration = 0, DiffuseHorizontalIrradiance = 0, AmbientTemp = -1,2, WindSpeed = 7,2, SnowDepth = 0, Weight = 0, Age = 4,217635129055003, MeasuredPower = , HasMeasuredPower = False },LEG.PV.Data.Processor.DataRecords+PvRecord,"01.12.2025 23:30:00",0,0,"0,9095760221444958",0,0,0,0,"-1,2","7,2",0,0,"4,217635129055003","",False</t>
  </si>
  <si>
    <t>PvRecord { Timestamp = 01.12.2025 23:45:00, Index = 0, DirectGeometryFactor = 0, DiffuseGeometryFactor = 0,9095760221444958, CosSunElevation = 0, GlobalHorizontalIrradiance = 0, SunshineDuration = 0, DiffuseHorizontalIrradiance = 0, AmbientTemp = -1,2, WindSpeed = 7,2, SnowDepth = 0, Weight = 0, Age = 4,217663648943085, MeasuredPower = , HasMeasuredPower = False },LEG.PV.Data.Processor.DataRecords+PvRecord,"01.12.2025 23:45:00",0,0,"0,9095760221444958",0,0,0,0,"-1,2","7,2",0,0,"4,217663648943085","",False</t>
  </si>
  <si>
    <t>PvRecord { Timestamp = 02.12.2025 00:00:00, Index = 0, DirectGeometryFactor = 0, DiffuseGeometryFactor = 0,9095760221444958, CosSunElevation = 0, GlobalHorizontalIrradiance = 0, SunshineDuration = 0, DiffuseHorizontalIrradiance = 0, AmbientTemp = -1,2, WindSpeed = 7,2, SnowDepth = 0, Weight = 0, Age = 4,217692168831166, MeasuredPower = , HasMeasuredPower = False },LEG.PV.Data.Processor.DataRecords+PvRecord,"02.12.2025 00:00:00",0,0,"0,9095760221444958",0,0,0,0,"-1,2","7,2",0,0,"4,217692168831166","",False</t>
  </si>
  <si>
    <t>PvRecord { Timestamp = 02.12.2025 00:15:00, Index = 0, DirectGeometryFactor = 0, DiffuseGeometryFactor = 0,9095760221444958, CosSunElevation = 0, GlobalHorizontalIrradiance = 0, SunshineDuration = 0, DiffuseHorizontalIrradiance = 0, AmbientTemp = -1,2, WindSpeed = 7,2, SnowDepth = 0, Weight = 0, Age = 4,217720688719248, MeasuredPower = , HasMeasuredPower = False },LEG.PV.Data.Processor.DataRecords+PvRecord,"02.12.2025 00:15:00",0,0,"0,9095760221444958",0,0,0,0,"-1,2","7,2",0,0,"4,217720688719248","",False</t>
  </si>
  <si>
    <t>PvRecord { Timestamp = 02.12.2025 00:30:00,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4,217749208607329, MeasuredPower = , HasMeasuredPower = False },LEG.PV.Data.Processor.DataRecords+PvRecord,"02.12.2025 00:30:00",0,0,"0,9095760221444958",0,0,0,0,"-1,2","8,280000000000001",0,0,"4,217749208607329","",False</t>
  </si>
  <si>
    <t>PvRecord { Timestamp = 02.12.2025 00:45:00,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4,2177777284954105, MeasuredPower = , HasMeasuredPower = False },LEG.PV.Data.Processor.DataRecords+PvRecord,"02.12.2025 00:45:00",0,0,"0,9095760221444958",0,0,0,0,"-1,2","8,280000000000001",0,0,"4,2177777284954105","",False</t>
  </si>
  <si>
    <t>PvRecord { Timestamp = 02.12.2025 01:00:00,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4,217806248383493, MeasuredPower = , HasMeasuredPower = False },LEG.PV.Data.Processor.DataRecords+PvRecord,"02.12.2025 01:00:00",0,0,"0,9095760221444958",0,0,0,0,"-1,2","8,280000000000001",0,0,"4,217806248383493","",False</t>
  </si>
  <si>
    <t>PvRecord { Timestamp = 02.12.2025 01:15:00, Index = 0, DirectGeometryFactor = 0, DiffuseGeometryFactor = 0,9095760221444958, CosSunElevation = 0, GlobalHorizontalIrradiance = 0, SunshineDuration = 0, DiffuseHorizontalIrradiance = 0, AmbientTemp = -1,2, WindSpeed = 8,280000000000001, SnowDepth = 0, Weight = 0, Age = 4,217834768271574, MeasuredPower = , HasMeasuredPower = False },LEG.PV.Data.Processor.DataRecords+PvRecord,"02.12.2025 01:15:00",0,0,"0,9095760221444958",0,0,0,0,"-1,2","8,280000000000001",0,0,"4,217834768271574","",False</t>
  </si>
  <si>
    <t>PvRecord { Timestamp = 02.12.2025 01:30:00,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4,217863288159656, MeasuredPower = , HasMeasuredPower = False },LEG.PV.Data.Processor.DataRecords+PvRecord,"02.12.2025 01:30:00",0,0,"0,9095760221444958",0,0,0,0,"-1,2000000000000002","7,0200000000000005",0,0,"4,217863288159656","",False</t>
  </si>
  <si>
    <t>PvRecord { Timestamp = 02.12.2025 01:45:00,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4,217891808047737, MeasuredPower = , HasMeasuredPower = False },LEG.PV.Data.Processor.DataRecords+PvRecord,"02.12.2025 01:45:00",0,0,"0,9095760221444958",0,0,0,0,"-1,2000000000000002","7,0200000000000005",0,0,"4,217891808047737","",False</t>
  </si>
  <si>
    <t>PvRecord { Timestamp = 02.12.2025 02:00:00,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4,217920327935818, MeasuredPower = , HasMeasuredPower = False },LEG.PV.Data.Processor.DataRecords+PvRecord,"02.12.2025 02:00:00",0,0,"0,9095760221444958",0,0,0,0,"-1,2000000000000002","7,0200000000000005",0,0,"4,217920327935818","",False</t>
  </si>
  <si>
    <t>PvRecord { Timestamp = 02.12.2025 02:15:00, Index = 0, DirectGeometryFactor = 0, DiffuseGeometryFactor = 0,9095760221444958, CosSunElevation = 0, GlobalHorizontalIrradiance = 0, SunshineDuration = 0, DiffuseHorizontalIrradiance = 0, AmbientTemp = -1,2000000000000002, WindSpeed = 7,0200000000000005, SnowDepth = 0, Weight = 0, Age = 4,217948847823901, MeasuredPower = , HasMeasuredPower = False },LEG.PV.Data.Processor.DataRecords+PvRecord,"02.12.2025 02:15:00",0,0,"0,9095760221444958",0,0,0,0,"-1,2000000000000002","7,0200000000000005",0,0,"4,217948847823901","",False</t>
  </si>
  <si>
    <t>PvRecord { Timestamp = 02.12.2025 02:30:00,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4,217977367711982, MeasuredPower = , HasMeasuredPower = False },LEG.PV.Data.Processor.DataRecords+PvRecord,"02.12.2025 02:30:00",0,0,"0,9095760221444958",0,0,0,0,"-1,2999999999999998","4,680000000000001",0,0,"4,217977367711982","",False</t>
  </si>
  <si>
    <t>PvRecord { Timestamp = 02.12.2025 02:45:00,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4,2180058876000635, MeasuredPower = , HasMeasuredPower = False },LEG.PV.Data.Processor.DataRecords+PvRecord,"02.12.2025 02:45:00",0,0,"0,9095760221444958",0,0,0,0,"-1,2999999999999998","4,680000000000001",0,0,"4,2180058876000635","",False</t>
  </si>
  <si>
    <t>PvRecord { Timestamp = 02.12.2025 03:00:00,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4,218034407488145, MeasuredPower = , HasMeasuredPower = False },LEG.PV.Data.Processor.DataRecords+PvRecord,"02.12.2025 03:00:00",0,0,"0,9095760221444958",0,0,0,0,"-1,2999999999999998","4,680000000000001",0,0,"4,218034407488145","",False</t>
  </si>
  <si>
    <t>PvRecord { Timestamp = 02.12.2025 03:15:00, Index = 0, DirectGeometryFactor = 0, DiffuseGeometryFactor = 0,9095760221444958, CosSunElevation = 0, GlobalHorizontalIrradiance = 0, SunshineDuration = 0, DiffuseHorizontalIrradiance = 0, AmbientTemp = -1,2999999999999998, WindSpeed = 4,680000000000001, SnowDepth = 0, Weight = 0, Age = 4,218062927376226, MeasuredPower = , HasMeasuredPower = False },LEG.PV.Data.Processor.DataRecords+PvRecord,"02.12.2025 03:15:00",0,0,"0,9095760221444958",0,0,0,0,"-1,2999999999999998","4,680000000000001",0,0,"4,218062927376226","",False</t>
  </si>
  <si>
    <t>PvRecord { Timestamp = 02.12.2025 03:30:00,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4,2180914472643085, MeasuredPower = , HasMeasuredPower = False },LEG.PV.Data.Processor.DataRecords+PvRecord,"02.12.2025 03:30:00",0,0,"0,9095760221444958",0,0,0,0,"-1,2999999999999998","4,5",0,0,"4,2180914472643085","",False</t>
  </si>
  <si>
    <t>PvRecord { Timestamp = 02.12.2025 03:45:00,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4,21811996715239, MeasuredPower = , HasMeasuredPower = False },LEG.PV.Data.Processor.DataRecords+PvRecord,"02.12.2025 03:45:00",0,0,"0,9095760221444958",0,0,0,0,"-1,2999999999999998","4,5",0,0,"4,21811996715239","",False</t>
  </si>
  <si>
    <t>PvRecord { Timestamp = 02.12.2025 04:00:00,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4,218148487040471, MeasuredPower = , HasMeasuredPower = False },LEG.PV.Data.Processor.DataRecords+PvRecord,"02.12.2025 04:00:00",0,0,"0,9095760221444958",0,0,0,0,"-1,2999999999999998","4,5",0,0,"4,218148487040471","",False</t>
  </si>
  <si>
    <t>PvRecord { Timestamp = 02.12.2025 04:15:00, Index = 0, DirectGeometryFactor = 0, DiffuseGeometryFactor = 0,9095760221444958, CosSunElevation = 0, GlobalHorizontalIrradiance = 0, SunshineDuration = 0, DiffuseHorizontalIrradiance = 0, AmbientTemp = -1,2999999999999998, WindSpeed = 4,5, SnowDepth = 0, Weight = 0, Age = 4,218177006928553, MeasuredPower = , HasMeasuredPower = False },LEG.PV.Data.Processor.DataRecords+PvRecord,"02.12.2025 04:15:00",0,0,"0,9095760221444958",0,0,0,0,"-1,2999999999999998","4,5",0,0,"4,218177006928553","",False</t>
  </si>
  <si>
    <t>PvRecord { Timestamp = 02.12.2025 04:30:00,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4,218205526816634, MeasuredPower = , HasMeasuredPower = False },LEG.PV.Data.Processor.DataRecords+PvRecord,"02.12.2025 04:30:00",0,0,"0,9095760221444958",0,0,0,0,"-1,35","6,300000000000001",0,0,"4,218205526816634","",False</t>
  </si>
  <si>
    <t>PvRecord { Timestamp = 02.12.2025 04:45:00,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4,218234046704716, MeasuredPower = , HasMeasuredPower = False },LEG.PV.Data.Processor.DataRecords+PvRecord,"02.12.2025 04:45:00",0,0,"0,9095760221444958",0,0,0,0,"-1,35","6,300000000000001",0,0,"4,218234046704716","",False</t>
  </si>
  <si>
    <t>PvRecord { Timestamp = 02.12.2025 05:00:00,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4,218262566592798, MeasuredPower = , HasMeasuredPower = False },LEG.PV.Data.Processor.DataRecords+PvRecord,"02.12.2025 05:00:00",0,0,"0,9095760221444958",0,0,0,0,"-1,35","6,300000000000001",0,0,"4,218262566592798","",False</t>
  </si>
  <si>
    <t>PvRecord { Timestamp = 02.12.2025 05:15:00, Index = 0, DirectGeometryFactor = 0, DiffuseGeometryFactor = 0,9095760221444958, CosSunElevation = 0, GlobalHorizontalIrradiance = 0, SunshineDuration = 0, DiffuseHorizontalIrradiance = 0, AmbientTemp = -1,35, WindSpeed = 6,300000000000001, SnowDepth = 0, Weight = 0, Age = 4,218291086480879, MeasuredPower = , HasMeasuredPower = False },LEG.PV.Data.Processor.DataRecords+PvRecord,"02.12.2025 05:15:00",0,0,"0,9095760221444958",0,0,0,0,"-1,35","6,300000000000001",0,0,"4,218291086480879","",False</t>
  </si>
  <si>
    <t>PvRecord { Timestamp = 02.12.2025 05:30:00, Index = 0, DirectGeometryFactor = 0, DiffuseGeometryFactor = 0,9095760221444958, CosSunElevation = 0, GlobalHorizontalIrradiance = 0, SunshineDuration = 0, DiffuseHorizontalIrradiance = 0, AmbientTemp = -1,35, WindSpeed = 8,46, SnowDepth = 0, Weight = 0, Age = 4,2183196063689605, MeasuredPower = , HasMeasuredPower = False },LEG.PV.Data.Processor.DataRecords+PvRecord,"02.12.2025 05:30:00",0,0,"0,9095760221444958",0,0,0,0,"-1,35","8,46",0,0,"4,2183196063689605","",False</t>
  </si>
  <si>
    <t>PvRecord { Timestamp = 02.12.2025 05:45:00, Index = 0, DirectGeometryFactor = 0, DiffuseGeometryFactor = 0,9095760221444958, CosSunElevation = 0, GlobalHorizontalIrradiance = 0, SunshineDuration = 0, DiffuseHorizontalIrradiance = 0, AmbientTemp = -1,35, WindSpeed = 8,46, SnowDepth = 0, Weight = 0, Age = 4,218348126257042, MeasuredPower = , HasMeasuredPower = False },LEG.PV.Data.Processor.DataRecords+PvRecord,"02.12.2025 05:45:00",0,0,"0,9095760221444958",0,0,0,0,"-1,35","8,46",0,0,"4,218348126257042","",False</t>
  </si>
  <si>
    <t>PvRecord { Timestamp = 02.12.2025 06:00:00, Index = 0, DirectGeometryFactor = 0, DiffuseGeometryFactor = 0,9095760221444958, CosSunElevation = 0, GlobalHorizontalIrradiance = 0, SunshineDuration = 0, DiffuseHorizontalIrradiance = 0, AmbientTemp = -1,35, WindSpeed = 8,46, SnowDepth = 0, Weight = 0, Age = 4,218376646145124, MeasuredPower = , HasMeasuredPower = False },LEG.PV.Data.Processor.DataRecords+PvRecord,"02.12.2025 06:00:00",0,0,"0,9095760221444958",0,0,0,0,"-1,35","8,46",0,0,"4,218376646145124","",False</t>
  </si>
  <si>
    <t>PvRecord { Timestamp = 02.12.2025 06:15:00, Index = 0, DirectGeometryFactor = 0, DiffuseGeometryFactor = 0,9095760221444958, CosSunElevation = 0, GlobalHorizontalIrradiance = 0, SunshineDuration = 0, DiffuseHorizontalIrradiance = 0, AmbientTemp = -1,35, WindSpeed = 8,46, SnowDepth = 0, Weight = 0, Age = 4,218405166033206, MeasuredPower = , HasMeasuredPower = False },LEG.PV.Data.Processor.DataRecords+PvRecord,"02.12.2025 06:15:00",0,0,"0,9095760221444958",0,0,0,0,"-1,35","8,46",0,0,"4,218405166033206","",False</t>
  </si>
  <si>
    <t>PvRecord { Timestamp = 02.12.2025 06:30:00, Index = 0, DirectGeometryFactor = 0, DiffuseGeometryFactor = 0,9095760221444958, CosSunElevation = 0, GlobalHorizontalIrradiance = 0, SunshineDuration = 0, DiffuseHorizontalIrradiance = 0, AmbientTemp = -1,25, WindSpeed = 9,9, SnowDepth = 0, Weight = 0, Age = 4,218433685921287, MeasuredPower = , HasMeasuredPower = False },LEG.PV.Data.Processor.DataRecords+PvRecord,"02.12.2025 06:30:00",0,0,"0,9095760221444958",0,0,0,0,"-1,25","9,9",0,0,"4,218433685921287","",False</t>
  </si>
  <si>
    <t>PvRecord { Timestamp = 02.12.2025 06:45:00, Index = 0, DirectGeometryFactor = 0, DiffuseGeometryFactor = 0,9095760221444958, CosSunElevation = 0, GlobalHorizontalIrradiance = 0, SunshineDuration = 0, DiffuseHorizontalIrradiance = 0, AmbientTemp = -1,25, WindSpeed = 9,9, SnowDepth = 0, Weight = 0, Age = 4,218462205809368, MeasuredPower = , HasMeasuredPower = False },LEG.PV.Data.Processor.DataRecords+PvRecord,"02.12.2025 06:45:00",0,0,"0,9095760221444958",0,0,0,0,"-1,25","9,9",0,0,"4,218462205809368","",False</t>
  </si>
  <si>
    <t>PvRecord { Timestamp = 02.12.2025 07:00:00, Index = 0, DirectGeometryFactor = 0, DiffuseGeometryFactor = 0,9095760221444958, CosSunElevation = 0, GlobalHorizontalIrradiance = 0, SunshineDuration = 0, DiffuseHorizontalIrradiance = 0, AmbientTemp = -1,25, WindSpeed = 9,9, SnowDepth = 0, Weight = 0, Age = 4,21849072569745, MeasuredPower = , HasMeasuredPower = False },LEG.PV.Data.Processor.DataRecords+PvRecord,"02.12.2025 07:00:00",0,0,"0,9095760221444958",0,0,0,0,"-1,25","9,9",0,0,"4,21849072569745","",False</t>
  </si>
  <si>
    <t>PvRecord { Timestamp = 02.12.2025 07:15:00, Index = 0, DirectGeometryFactor = 0, DiffuseGeometryFactor = 0,9095760221444958, CosSunElevation = 0, GlobalHorizontalIrradiance = 0, SunshineDuration = 0, DiffuseHorizontalIrradiance = 0, AmbientTemp = -1,25, WindSpeed = 9,9, SnowDepth = 0, Weight = 0, Age = 4,218519245585532, MeasuredPower = , HasMeasuredPower = False },LEG.PV.Data.Processor.DataRecords+PvRecord,"02.12.2025 07:15:00",0,0,"0,9095760221444958",0,0,0,0,"-1,25","9,9",0,0,"4,218519245585532","",False</t>
  </si>
  <si>
    <t>PvRecord { Timestamp = 02.12.2025 07:30:00, Index = 0, DirectGeometryFactor = 0, DiffuseGeometryFactor = 0,9095760221444958, CosSunElevation = 0, GlobalHorizontalIrradiance = 0, SunshineDuration = 0, DiffuseHorizontalIrradiance = 0, AmbientTemp = -0,9, WindSpeed = 9,9, SnowDepth = 0, Weight = 0, Age = 4,218547765473613, MeasuredPower = , HasMeasuredPower = False },LEG.PV.Data.Processor.DataRecords+PvRecord,"02.12.2025 07:30:00",0,0,"0,9095760221444958",0,0,0,0,"-0,9","9,9",0,0,"4,218547765473613","",False</t>
  </si>
  <si>
    <t>PvRecord { Timestamp = 02.12.2025 07:45:00, Index = 0, DirectGeometryFactor = 0, DiffuseGeometryFactor = 0,9095760221444958, CosSunElevation = 0, GlobalHorizontalIrradiance = 0, SunshineDuration = 0, DiffuseHorizontalIrradiance = 0, AmbientTemp = -0,9, WindSpeed = 9,9, SnowDepth = 0, Weight = 0, Age = 4,218576285361695, MeasuredPower = , HasMeasuredPower = False },LEG.PV.Data.Processor.DataRecords+PvRecord,"02.12.2025 07:45:00",0,0,"0,9095760221444958",0,0,0,0,"-0,9","9,9",0,0,"4,218576285361695","",False</t>
  </si>
  <si>
    <t>PvRecord { Timestamp = 02.12.2025 08:00:00, Index = 0, DirectGeometryFactor = 0, DiffuseGeometryFactor = 0,9095760221444958, CosSunElevation = 0,028408010979350428, GlobalHorizontalIrradiance = 0, SunshineDuration = 0, DiffuseHorizontalIrradiance = 0, AmbientTemp = -0,9, WindSpeed = 9,9, SnowDepth = 0, Weight = 0, Age = 4,218604805249776, MeasuredPower = , HasMeasuredPower = False },LEG.PV.Data.Processor.DataRecords+PvRecord,"02.12.2025 08:00:00",0,0,"0,9095760221444958","0,028408010979350428",0,0,0,"-0,9","9,9",0,0,"4,218604805249776","",False</t>
  </si>
  <si>
    <t>PvRecord { Timestamp = 02.12.2025 08:15:00, Index = 0, DirectGeometryFactor = 0,5437931682786072, DiffuseGeometryFactor = 0,9095760221444958, CosSunElevation = 0,06178784080800952, GlobalHorizontalIrradiance = 0, SunshineDuration = 0, DiffuseHorizontalIrradiance = 0, AmbientTemp = -0,9, WindSpeed = 9,9, SnowDepth = 0, Weight = 0, Age = 4,218633325137858, MeasuredPower = , HasMeasuredPower = False },LEG.PV.Data.Processor.DataRecords+PvRecord,"02.12.2025 08:15:00",0,"0,5437931682786072","0,9095760221444958","0,06178784080800952",0,0,0,"-0,9","9,9",0,0,"4,218633325137858","",False</t>
  </si>
  <si>
    <t>PvRecord { Timestamp = 02.12.2025 08:30:00, Index = 0, DirectGeometryFactor = 0,5835263700798654, DiffuseGeometryFactor = 0,9095760221444958, CosSunElevation = 0,09483303700377427, GlobalHorizontalIrradiance = 1,5333333333333332, SunshineDuration = 0, DiffuseHorizontalIrradiance = 13, AmbientTemp = -0,35, WindSpeed = 9,9, SnowDepth = 0, Weight = 0, Age = 4,21866184502594, MeasuredPower = , HasMeasuredPower = False },LEG.PV.Data.Processor.DataRecords+PvRecord,"02.12.2025 08:30:00",0,"0,5835263700798654","0,9095760221444958","0,09483303700377427","1,5333333333333332",0,13,"-0,35","9,9",0,0,"4,21866184502594","",False</t>
  </si>
  <si>
    <t>PvRecord { Timestamp = 02.12.2025 08:45:00, Index = 0, DirectGeometryFactor = 0,620757538302002, DiffuseGeometryFactor = 0,9095760221444958, CosSunElevation = 0,12675019594859804, GlobalHorizontalIrradiance = 1,5333333333333332, SunshineDuration = 0, DiffuseHorizontalIrradiance = 13, AmbientTemp = -0,35, WindSpeed = 9,9, SnowDepth = 0, Weight = 0, Age = 4,218690364914021, MeasuredPower = , HasMeasuredPower = False },LEG.PV.Data.Processor.DataRecords+PvRecord,"02.12.2025 08:45:00",0,"0,620757538302002","0,9095760221444958","0,12675019594859804","1,5333333333333332",0,13,"-0,35","9,9",0,0,"4,218690364914021","",False</t>
  </si>
  <si>
    <t>PvRecord { Timestamp = 02.12.2025 09:00:00, Index = 0, DirectGeometryFactor = 0,6551322549593732, DiffuseGeometryFactor = 0,9095760221444958, CosSunElevation = 0,15716950401476038, GlobalHorizontalIrradiance = 1,5333333333333332, SunshineDuration = 0, DiffuseHorizontalIrradiance = 13, AmbientTemp = -0,35, WindSpeed = 9,9, SnowDepth = 0, Weight = 0, Age = 4,218718884802103, MeasuredPower = , HasMeasuredPower = False },LEG.PV.Data.Processor.DataRecords+PvRecord,"02.12.2025 09:00:00",0,"0,6551322549593732","0,9095760221444958","0,15716950401476038","1,5333333333333332",0,13,"-0,35","9,9",0,0,"4,218718884802103","",False</t>
  </si>
  <si>
    <t>PvRecord { Timestamp = 02.12.2025 09:15:00, Index = 0, DirectGeometryFactor = 0,6864212004705419, DiffuseGeometryFactor = 0,9095760221444958, CosSunElevation = 0,18586220418415775, GlobalHorizontalIrradiance = 1,5333333333333332, SunshineDuration = 0, DiffuseHorizontalIrradiance = 13, AmbientTemp = -0,35, WindSpeed = 9,9, SnowDepth = 0, Weight = 0, Age = 4,218747404690184, MeasuredPower = , HasMeasuredPower = False },LEG.PV.Data.Processor.DataRecords+PvRecord,"02.12.2025 09:15:00",0,"0,6864212004705419","0,9095760221444958","0,18586220418415775","1,5333333333333332",0,13,"-0,35","9,9",0,0,"4,218747404690184","",False</t>
  </si>
  <si>
    <t>PvRecord { Timestamp = 02.12.2025 09:30:00, Index = 0, DirectGeometryFactor = 0,7144506610265942, DiffuseGeometryFactor = 0,9095760221444958, CosSunElevation = 0,2126576381554569, GlobalHorizontalIrradiance = 3,35, SunshineDuration = 0, DiffuseHorizontalIrradiance = 37,5, AmbientTemp = 0,2, WindSpeed = 10,08, SnowDepth = 0, Weight = 0, Age = 4,2187759245782654, MeasuredPower = , HasMeasuredPower = False },LEG.PV.Data.Processor.DataRecords+PvRecord,"02.12.2025 09:30:00",0,"0,7144506610265942","0,9095760221444958","0,2126576381554569","3,35",0,"37,5","0,2","10,08",0,0,"4,2187759245782654","",False</t>
  </si>
  <si>
    <t>PvRecord { Timestamp = 02.12.2025 09:45:00, Index = 0, DirectGeometryFactor = 0,7390792821419141, DiffuseGeometryFactor = 0,9095760221444958, CosSunElevation = 0,23741532528480586, GlobalHorizontalIrradiance = 3,35, SunshineDuration = 0, DiffuseHorizontalIrradiance = 37,5, AmbientTemp = 0,2, WindSpeed = 10,08, SnowDepth = 0, Weight = 0, Age = 4,218804444466348, MeasuredPower = , HasMeasuredPower = False },LEG.PV.Data.Processor.DataRecords+PvRecord,"02.12.2025 09:45:00",0,"0,7390792821419141","0,9095760221444958","0,23741532528480586","3,35",0,"37,5","0,2","10,08",0,0,"4,218804444466348","",False</t>
  </si>
  <si>
    <t>PvRecord { Timestamp = 02.12.2025 10:00:00, Index = 0, DirectGeometryFactor = 0,7601892175500895, DiffuseGeometryFactor = 0,9095760221444958, CosSunElevation = 0,26001424896320424, GlobalHorizontalIrradiance = 3,35, SunshineDuration = 0, DiffuseHorizontalIrradiance = 37,5, AmbientTemp = 0,2, WindSpeed = 10,08, SnowDepth = 0, Weight = 0, Age = 4,218832964354429, MeasuredPower = , HasMeasuredPower = False },LEG.PV.Data.Processor.DataRecords+PvRecord,"02.12.2025 10:00:00",0,"0,7601892175500895","0,9095760221444958","0,26001424896320424","3,35",0,"37,5","0,2","10,08",0,0,"4,218832964354429","",False</t>
  </si>
  <si>
    <t>PvRecord { Timestamp = 02.12.2025 10:15:00, Index = 0, DirectGeometryFactor = 0,7776824404341053, DiffuseGeometryFactor = 0,9095760221444958, CosSunElevation = 0,2803483499503964, GlobalHorizontalIrradiance = 3,35, SunshineDuration = 0, DiffuseHorizontalIrradiance = 37,5, AmbientTemp = 0,2, WindSpeed = 10,08, SnowDepth = 0, Weight = 0, Age = 4,2188614842425105, MeasuredPower = , HasMeasuredPower = False },LEG.PV.Data.Processor.DataRecords+PvRecord,"02.12.2025 10:15:00",0,"0,7776824404341053","0,9095760221444958","0,2803483499503964","3,35",0,"37,5","0,2","10,08",0,0,"4,2188614842425105","",False</t>
  </si>
  <si>
    <t>PvRecord { Timestamp = 02.12.2025 10:30:00, Index = 0, DirectGeometryFactor = 0,7914791218262914, DiffuseGeometryFactor = 0,9095760221444958, CosSunElevation = 0,2983245316581543, GlobalHorizontalIrradiance = 6,933333333333333, SunshineDuration = 0, DiffuseHorizontalIrradiance = 58,5, AmbientTemp = 1,4500000000000002, WindSpeed = 12,780000000000001, SnowDepth = 0, Weight = 0, Age = 4,218890004130592, MeasuredPower = , HasMeasuredPower = False },LEG.PV.Data.Processor.DataRecords+PvRecord,"02.12.2025 10:30:00",0,"0,7914791218262914","0,9095760221444958","0,2983245316581543","6,933333333333333",0,"58,5","1,4500000000000002","12,780000000000001",0,0,"4,218890004130592","",False</t>
  </si>
  <si>
    <t>PvRecord { Timestamp = 02.12.2025 10:45:00, Index = 0, DirectGeometryFactor = 0,8015169020856805, DiffuseGeometryFactor = 0,9095760221444958, CosSunElevation = 0,31386177358167544, GlobalHorizontalIrradiance = 6,933333333333333, SunshineDuration = 0, DiffuseHorizontalIrradiance = 58,5, AmbientTemp = 1,4500000000000002, WindSpeed = 12,780000000000001, SnowDepth = 0, Weight = 0, Age = 4,218918524018673, MeasuredPower = , HasMeasuredPower = False },LEG.PV.Data.Processor.DataRecords+PvRecord,"02.12.2025 10:45:00",0,"0,8015169020856805","0,9095760221444958","0,31386177358167544","6,933333333333333",0,"58,5","1,4500000000000002","12,780000000000001",0,0,"4,218918524018673","",False</t>
  </si>
  <si>
    <t>PvRecord { Timestamp = 02.12.2025 11:00:00, Index = 0, DirectGeometryFactor = 0,8077505623243685, DiffuseGeometryFactor = 0,9095760221444958, CosSunElevation = 0,32689076257303085, GlobalHorizontalIrradiance = 6,933333333333333, SunshineDuration = 0, DiffuseHorizontalIrradiance = 58,5, AmbientTemp = 1,4500000000000002, WindSpeed = 12,780000000000001, SnowDepth = 0, Weight = 0, Age = 4,218947043906756, MeasuredPower = , HasMeasuredPower = False },LEG.PV.Data.Processor.DataRecords+PvRecord,"02.12.2025 11:00:00",0,"0,8077505623243685","0,9095760221444958","0,32689076257303085","6,933333333333333",0,"58,5","1,4500000000000002","12,780000000000001",0,0,"4,218947043906756","",False</t>
  </si>
  <si>
    <t>PvRecord { Timestamp = 02.12.2025 11:15:00, Index = 0, DirectGeometryFactor = 0,8101518705748838, DiffuseGeometryFactor = 0,9095760221444958, CosSunElevation = 0,33735377192008964, GlobalHorizontalIrradiance = 6,933333333333333, SunshineDuration = 0, DiffuseHorizontalIrradiance = 58,5, AmbientTemp = 1,4500000000000002, WindSpeed = 12,780000000000001, SnowDepth = 0, Weight = 0, Age = 4,218975563794837, MeasuredPower = , HasMeasuredPower = False },LEG.PV.Data.Processor.DataRecords+PvRecord,"02.12.2025 11:15:00",0,"0,8101518705748838","0,9095760221444958","0,33735377192008964","6,933333333333333",0,"58,5","1,4500000000000002","12,780000000000001",0,0,"4,218975563794837","",False</t>
  </si>
  <si>
    <t>PvRecord { Timestamp = 02.12.2025 11:30:00, Index = 0, DirectGeometryFactor = 0,8087094929648556, DiffuseGeometryFactor = 0,9095760221444958, CosSunElevation = 0,3452046563069755, GlobalHorizontalIrradiance = 10,316666666666666, SunshineDuration = 0, DiffuseHorizontalIrradiance = 77,5, AmbientTemp = 2, WindSpeed = 13,32, SnowDepth = 0, Weight = 0, Age = 4,219004083682918, MeasuredPower = , HasMeasuredPower = False },LEG.PV.Data.Processor.DataRecords+PvRecord,"02.12.2025 11:30:00",0,"0,8087094929648556","0,9095760221444958","0,3452046563069755","10,316666666666666",0,"77,5",2,"13,32",0,0,"4,219004083682918","",False</t>
  </si>
  <si>
    <t>PvRecord { Timestamp = 02.12.2025 11:45:00, Index = 0, DirectGeometryFactor = 0,8034289132698136, DiffuseGeometryFactor = 0,9095760221444958, CosSunElevation = 0,35040889432532124, GlobalHorizontalIrradiance = 10,316666666666666, SunshineDuration = 0, DiffuseHorizontalIrradiance = 77,5, AmbientTemp = 2, WindSpeed = 13,32, SnowDepth = 0, Weight = 0, Age = 4,219032603571, MeasuredPower = , HasMeasuredPower = False },LEG.PV.Data.Processor.DataRecords+PvRecord,"02.12.2025 11:45:00",0,"0,8034289132698136","0,9095760221444958","0,35040889432532124","10,316666666666666",0,"77,5",2,"13,32",0,0,"4,219032603571","",False</t>
  </si>
  <si>
    <t>PvRecord { Timestamp = 02.12.2025 12:00:00, Index = 0, DirectGeometryFactor = 0,7943323306216399, DiffuseGeometryFactor = 0,9095760221444958, CosSunElevation = 0,352943641549389, GlobalHorizontalIrradiance = 10,316666666666666, SunshineDuration = 0, DiffuseHorizontalIrradiance = 77,5, AmbientTemp = 2, WindSpeed = 13,32, SnowDepth = 0, Weight = 0, Age = 4,219061123459081, MeasuredPower = , HasMeasuredPower = False },LEG.PV.Data.Processor.DataRecords+PvRecord,"02.12.2025 12:00:00",0,"0,7943323306216399","0,9095760221444958","0,352943641549389","10,316666666666666",0,"77,5",2,"13,32",0,0,"4,219061123459081","",False</t>
  </si>
  <si>
    <t>PvRecord { Timestamp = 02.12.2025 12:15:00, Index = 0, DirectGeometryFactor = 0,7814585192463086, DiffuseGeometryFactor = 0,9095760221444958, CosSunElevation = 0,352797774068891, GlobalHorizontalIrradiance = 10,316666666666666, SunshineDuration = 0, DiffuseHorizontalIrradiance = 77,5, AmbientTemp = 2, WindSpeed = 13,32, SnowDepth = 0, Weight = 0, Age = 4,219089643347163, MeasuredPower = , HasMeasuredPower = False },LEG.PV.Data.Processor.DataRecords+PvRecord,"02.12.2025 12:15:00",0,"0,7814585192463086","0,9095760221444958","0,352797774068891","10,316666666666666",0,"77,5",2,"13,32",0,0,"4,219089643347163","",False</t>
  </si>
  <si>
    <t>PvRecord { Timestamp = 02.12.2025 12:30:00, Index = 0, DirectGeometryFactor = 0,7648626419622293, DiffuseGeometryFactor = 0,9095760221444958, CosSunElevation = 0,3499719117644454, GlobalHorizontalIrradiance = 13,366666666666665, SunshineDuration = 0, DiffuseHorizontalIrradiance = 84,5, AmbientTemp = 2,35, WindSpeed = 12,96, SnowDepth = 0, Weight = 0, Age = 4,219118163235245, MeasuredPower = , HasMeasuredPower = False },LEG.PV.Data.Processor.DataRecords+PvRecord,"02.12.2025 12:30:00",0,"0,7648626419622293","0,9095760221444958","0,3499719117644454","13,366666666666665",0,"84,5","2,35","12,96",0,0,"4,219118163235245","",False</t>
  </si>
  <si>
    <t>PvRecord { Timestamp = 02.12.2025 12:45:00, Index = 0, DirectGeometryFactor = 0,7446160146290923, DiffuseGeometryFactor = 0,9095760221444958, CosSunElevation = 0,3444784167467592, GlobalHorizontalIrradiance = 13,366666666666665, SunshineDuration = 0, DiffuseHorizontalIrradiance = 84,5, AmbientTemp = 2,35, WindSpeed = 12,96, SnowDepth = 0, Weight = 0, Age = 4,219146683123326, MeasuredPower = , HasMeasuredPower = False },LEG.PV.Data.Processor.DataRecords+PvRecord,"02.12.2025 12:45:00",0,"0,7446160146290923","0,9095760221444958","0,3444784167467592","13,366666666666665",0,"84,5","2,35","12,96",0,0,"4,219146683123326","",False</t>
  </si>
  <si>
    <t>PvRecord { Timestamp = 02.12.2025 13:00:00, Index = 0, DirectGeometryFactor = 0,7208058227218723, DiffuseGeometryFactor = 0,9095760221444958, CosSunElevation = 0,3363413672720815, GlobalHorizontalIrradiance = 13,366666666666665, SunshineDuration = 0, DiffuseHorizontalIrradiance = 84,5, AmbientTemp = 2,35, WindSpeed = 12,96, SnowDepth = 0, Weight = 0, Age = 4,219175203011408, MeasuredPower = , HasMeasuredPower = False },LEG.PV.Data.Processor.DataRecords+PvRecord,"02.12.2025 13:00:00",0,"0,7208058227218723","0,9095760221444958","0,3363413672720815","13,366666666666665",0,"84,5","2,35","12,96",0,0,"4,219175203011408","",False</t>
  </si>
  <si>
    <t>PvRecord { Timestamp = 02.12.2025 13:15:00, Index = 0, DirectGeometryFactor = 0,6935347951610112, DiffuseGeometryFactor = 0,9095760221444958, CosSunElevation = 0,3255965121860132, GlobalHorizontalIrradiance = 13,366666666666665, SunshineDuration = 0, DiffuseHorizontalIrradiance = 84,5, AmbientTemp = 2,35, WindSpeed = 12,96, SnowDepth = 0, Weight = 0, Age = 4,219203722899489, MeasuredPower = , HasMeasuredPower = False },LEG.PV.Data.Processor.DataRecords+PvRecord,"02.12.2025 13:15:00",0,"0,6935347951610112","0,9095760221444958","0,3255965121860132","13,366666666666665",0,"84,5","2,35","12,96",0,0,"4,219203722899489","",False</t>
  </si>
  <si>
    <t>PvRecord { Timestamp = 02.12.2025 13:30:00, Index = 0, DirectGeometryFactor = 0,6629208463548306, DiffuseGeometryFactor = 0,9095760221444958, CosSunElevation = 0,3122912174886016, GlobalHorizontalIrradiance = 16,866666666666667, SunshineDuration = 0, DiffuseHorizontalIrradiance = 80,5, AmbientTemp = 2,4, WindSpeed = 11,7, SnowDepth = 0, Weight = 0, Age = 4,219232242787571, MeasuredPower = , HasMeasuredPower = False },LEG.PV.Data.Processor.DataRecords+PvRecord,"02.12.2025 13:30:00",0,"0,6629208463548306","0,9095760221444958","0,3122912174886016","16,866666666666667",0,"80,5","2,4","11,7",0,0,"4,219232242787571","",False</t>
  </si>
  <si>
    <t>PvRecord { Timestamp = 02.12.2025 13:45:00, Index = 0, DirectGeometryFactor = 0,6290967054853772, DiffuseGeometryFactor = 0,9095760221444958, CosSunElevation = 0,2964844266260551, GlobalHorizontalIrradiance = 16,866666666666667, SunshineDuration = 0, DiffuseHorizontalIrradiance = 80,5, AmbientTemp = 2,4, WindSpeed = 11,7, SnowDepth = 0, Weight = 0, Age = 4,219260762675653, MeasuredPower = , HasMeasuredPower = False },LEG.PV.Data.Processor.DataRecords+PvRecord,"02.12.2025 13:45:00",0,"0,6290967054853772","0,9095760221444958","0,2964844266260551","16,866666666666667",0,"80,5","2,4","11,7",0,0,"4,219260762675653","",False</t>
  </si>
  <si>
    <t>PvRecord { Timestamp = 02.12.2025 14:00:00, Index = 0, DirectGeometryFactor = 0,5922095666347975, DiffuseGeometryFactor = 0,9095760221444958, CosSunElevation = 0,27824667376854856, GlobalHorizontalIrradiance = 16,866666666666667, SunshineDuration = 0, DiffuseHorizontalIrradiance = 80,5, AmbientTemp = 2,4, WindSpeed = 11,7, SnowDepth = 0, Weight = 0, Age = 4,219289282563734, MeasuredPower = , HasMeasuredPower = False },LEG.PV.Data.Processor.DataRecords+PvRecord,"02.12.2025 14:00:00",0,"0,5922095666347975","0,9095760221444958","0,27824667376854856","16,866666666666667",0,"80,5","2,4","11,7",0,0,"4,219289282563734","",False</t>
  </si>
  <si>
    <t>PvRecord { Timestamp = 02.12.2025 14:15:00, Index = 0, DirectGeometryFactor = 0,5524208219978799, DiffuseGeometryFactor = 0,9095760221444958, CosSunElevation = 0,2576602235504736, GlobalHorizontalIrradiance = 16,866666666666667, SunshineDuration = 0, DiffuseHorizontalIrradiance = 80,5, AmbientTemp = 2,4, WindSpeed = 11,7, SnowDepth = 0, Weight = 0, Age = 4,219317802451815, MeasuredPower = , HasMeasuredPower = False },LEG.PV.Data.Processor.DataRecords+PvRecord,"02.12.2025 14:15:00",0,"0,5524208219978799","0,9095760221444958","0,2576602235504736","16,866666666666667",0,"80,5","2,4","11,7",0,0,"4,219317802451815","",False</t>
  </si>
  <si>
    <t>PvRecord { Timestamp = 02.12.2025 14:30:00, Index = 0, DirectGeometryFactor = 0,5099059968609256, DiffuseGeometryFactor = 0,9095760221444958, CosSunElevation = 0,2348194796444031, GlobalHorizontalIrradiance = 19,83333333333333, SunshineDuration = 0, DiffuseHorizontalIrradiance = 67, AmbientTemp = 2,2, WindSpeed = 9,540000000000001, SnowDepth = 0, Weight = 0, Age = 4,219346322339897, MeasuredPower = , HasMeasuredPower = False },LEG.PV.Data.Processor.DataRecords+PvRecord,"02.12.2025 14:30:00",0,"0,5099059968609256","0,9095760221444958","0,2348194796444031","19,83333333333333",0,67,"2,2","9,540000000000001",0,0,"4,219346322339897","",False</t>
  </si>
  <si>
    <t>PvRecord { Timestamp = 02.12.2025 14:45:00, Index = 0, DirectGeometryFactor = 0,4648551288547158, DiffuseGeometryFactor = 0,9095760221444958, CosSunElevation = 0,2098319549501353, GlobalHorizontalIrradiance = 19,83333333333333, SunshineDuration = 0, DiffuseHorizontalIrradiance = 67, AmbientTemp = 2,2, WindSpeed = 9,540000000000001, SnowDepth = 0, Weight = 0, Age = 4,219374842227979, MeasuredPower = , HasMeasuredPower = False },LEG.PV.Data.Processor.DataRecords+PvRecord,"02.12.2025 14:45:00",0,"0,4648551288547158","0,9095760221444958","0,2098319549501353","19,83333333333333",0,67,"2,2","9,540000000000001",0,0,"4,219374842227979","",False</t>
  </si>
  <si>
    <t>PvRecord { Timestamp = 02.12.2025 15:00:00, Index = 0, DirectGeometryFactor = 0,41747412583098364, DiffuseGeometryFactor = 0,9095760221444958, CosSunElevation = 0,1828204500761028, GlobalHorizontalIrradiance = 19,83333333333333, SunshineDuration = 0, DiffuseHorizontalIrradiance = 67, AmbientTemp = 2,2, WindSpeed = 9,540000000000001, SnowDepth = 0, Weight = 0, Age = 4,2194033621160605, MeasuredPower = , HasMeasuredPower = False },LEG.PV.Data.Processor.DataRecords+PvRecord,"02.12.2025 15:00:00",0,"0,41747412583098364","0,9095760221444958","0,1828204500761028","19,83333333333333",0,67,"2,2","9,540000000000001",0,0,"4,2194033621160605","",False</t>
  </si>
  <si>
    <t>PvRecord { Timestamp = 02.12.2025 15:15:00, Index = 0, DirectGeometryFactor = 0,3679883824324612, DiffuseGeometryFactor = 0,9095760221444958, CosSunElevation = 0,15392799299288087, GlobalHorizontalIrradiance = 19,83333333333333, SunshineDuration = 0, DiffuseHorizontalIrradiance = 67, AmbientTemp = 2,2, WindSpeed = 9,540000000000001, SnowDepth = 0, Weight = 0, Age = 4,219431882004142, MeasuredPower = , HasMeasuredPower = False },LEG.PV.Data.Processor.DataRecords+PvRecord,"02.12.2025 15:15:00",0,"0,3679883824324612","0,9095760221444958","0,15392799299288087","19,83333333333333",0,67,"2,2","9,540000000000001",0,0,"4,219431882004142","",False</t>
  </si>
  <si>
    <t>PvRecord { Timestamp = 02.12.2025 15:30:00, Index = 0, DirectGeometryFactor = 0,3166520639312175, DiffuseGeometryFactor = 0,9095760221444958, CosSunElevation = 0,12332967755344412, GlobalHorizontalIrradiance = 25,6, SunshineDuration = 0, DiffuseHorizontalIrradiance = 39,5, AmbientTemp = 1,85, WindSpeed = 6,48, SnowDepth = 0, Weight = 0, Age = 4,219460401892223, MeasuredPower = , HasMeasuredPower = False },LEG.PV.Data.Processor.DataRecords+PvRecord,"02.12.2025 15:30:00",0,"0,3166520639312175","0,9095760221444958","0,12332967755344412","25,6",0,"39,5","1,85","6,48",0,0,"4,219460401892223","",False</t>
  </si>
  <si>
    <t>PvRecord { Timestamp = 02.12.2025 15:45:00, Index = 0, DirectGeometryFactor = 0, DiffuseGeometryFactor = 0,9095760221444958, CosSunElevation = 0,09126390826665368, GlobalHorizontalIrradiance = 25,6, SunshineDuration = 0, DiffuseHorizontalIrradiance = 39,5, AmbientTemp = 1,85, WindSpeed = 6,48, SnowDepth = 0, Weight = 0, Age = 4,219488921780305, MeasuredPower = , HasMeasuredPower = False },LEG.PV.Data.Processor.DataRecords+PvRecord,"02.12.2025 15:45:00",0,0,"0,9095760221444958","0,09126390826665368","25,6",0,"39,5","1,85","6,48",0,0,"4,219488921780305","",False</t>
  </si>
  <si>
    <t>PvRecord { Timestamp = 02.12.2025 16:00:00, Index = 0, DirectGeometryFactor = 0, DiffuseGeometryFactor = 0,9095760221444958, CosSunElevation = 0,05812676103095167, GlobalHorizontalIrradiance = 25,6, SunshineDuration = 0, DiffuseHorizontalIrradiance = 39,5, AmbientTemp = 1,85, WindSpeed = 6,48, SnowDepth = 0, Weight = 0, Age = 4,219517441668387, MeasuredPower = , HasMeasuredPower = False },LEG.PV.Data.Processor.DataRecords+PvRecord,"02.12.2025 16:00:00",0,0,"0,9095760221444958","0,05812676103095167","25,6",0,"39,5","1,85","6,48",0,0,"4,219517441668387","",False</t>
  </si>
  <si>
    <t>PvRecord { Timestamp = 02.12.2025 16:15:00, Index = 0, DirectGeometryFactor = 0, DiffuseGeometryFactor = 0,9095760221444958, CosSunElevation = 0,02479587632772757, GlobalHorizontalIrradiance = 25,6, SunshineDuration = 0, DiffuseHorizontalIrradiance = 39,5, AmbientTemp = 1,85, WindSpeed = 6,48, SnowDepth = 0, Weight = 0, Age = 4,219545961556468, MeasuredPower = , HasMeasuredPower = False },LEG.PV.Data.Processor.DataRecords+PvRecord,"02.12.2025 16:15:00",0,0,"0,9095760221444958","0,02479587632772757","25,6",0,"39,5","1,85","6,48",0,0,"4,219545961556468","",False</t>
  </si>
  <si>
    <t>PvRecord { Timestamp = 02.12.2025 16:30:00,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4,21957448144455, MeasuredPower = , HasMeasuredPower = False },LEG.PV.Data.Processor.DataRecords+PvRecord,"02.12.2025 16:30:00",0,0,"0,9095760221444958",0,"11,466666666666665",0,"9,5","1,45","3,42",0,0,"4,21957448144455","",False</t>
  </si>
  <si>
    <t>PvRecord { Timestamp = 02.12.2025 16:45:00,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4,219603001332631, MeasuredPower = , HasMeasuredPower = False },LEG.PV.Data.Processor.DataRecords+PvRecord,"02.12.2025 16:45:00",0,0,"0,9095760221444958",0,"11,466666666666665",0,"9,5","1,45","3,42",0,0,"4,219603001332631","",False</t>
  </si>
  <si>
    <t>PvRecord { Timestamp = 02.12.2025 17:00:00,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4,219631521220713, MeasuredPower = , HasMeasuredPower = False },LEG.PV.Data.Processor.DataRecords+PvRecord,"02.12.2025 17:00:00",0,0,"0,9095760221444958",0,"11,466666666666665",0,"9,5","1,45","3,42",0,0,"4,219631521220713","",False</t>
  </si>
  <si>
    <t>PvRecord { Timestamp = 02.12.2025 17:15:00, Index = 0, DirectGeometryFactor = 0, DiffuseGeometryFactor = 0,9095760221444958, CosSunElevation = 0, GlobalHorizontalIrradiance = 11,466666666666665, SunshineDuration = 0, DiffuseHorizontalIrradiance = 9,5, AmbientTemp = 1,45, WindSpeed = 3,42, SnowDepth = 0, Weight = 0, Age = 4,219660041108795, MeasuredPower = , HasMeasuredPower = False },LEG.PV.Data.Processor.DataRecords+PvRecord,"02.12.2025 17:15:00",0,0,"0,9095760221444958",0,"11,466666666666665",0,"9,5","1,45","3,42",0,0,"4,219660041108795","",False</t>
  </si>
  <si>
    <t>PvRecord { Timestamp = 02.12.2025 17:30:00,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4,219688560996876, MeasuredPower = , HasMeasuredPower = False },LEG.PV.Data.Processor.DataRecords+PvRecord,"02.12.2025 17:30:00",0,0,"0,9095760221444958",0,0,0,0,"1,0499999999999998","2,34",0,0,"4,219688560996876","",False</t>
  </si>
  <si>
    <t>PvRecord { Timestamp = 02.12.2025 17:45:00,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4,219717080884958, MeasuredPower = , HasMeasuredPower = False },LEG.PV.Data.Processor.DataRecords+PvRecord,"02.12.2025 17:45:00",0,0,"0,9095760221444958",0,0,0,0,"1,0499999999999998","2,34",0,0,"4,219717080884958","",False</t>
  </si>
  <si>
    <t>PvRecord { Timestamp = 02.12.2025 18:00:00,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4,219745600773039, MeasuredPower = , HasMeasuredPower = False },LEG.PV.Data.Processor.DataRecords+PvRecord,"02.12.2025 18:00:00",0,0,"0,9095760221444958",0,0,0,0,"1,0499999999999998","2,34",0,0,"4,219745600773039","",False</t>
  </si>
  <si>
    <t>PvRecord { Timestamp = 02.12.2025 18:15:00, Index = 0, DirectGeometryFactor = 0, DiffuseGeometryFactor = 0,9095760221444958, CosSunElevation = 0, GlobalHorizontalIrradiance = 0, SunshineDuration = 0, DiffuseHorizontalIrradiance = 0, AmbientTemp = 1,0499999999999998, WindSpeed = 2,34, SnowDepth = 0, Weight = 0, Age = 4,219774120661121, MeasuredPower = , HasMeasuredPower = False },LEG.PV.Data.Processor.DataRecords+PvRecord,"02.12.2025 18:15:00",0,0,"0,9095760221444958",0,0,0,0,"1,0499999999999998","2,34",0,0,"4,219774120661121","",False</t>
  </si>
  <si>
    <t>PvRecord { Timestamp = 02.12.2025 18:30:00, Index = 0, DirectGeometryFactor = 0, DiffuseGeometryFactor = 0,9095760221444958, CosSunElevation = 0, GlobalHorizontalIrradiance = 0, SunshineDuration = 0, DiffuseHorizontalIrradiance = 0, AmbientTemp = 0,75, WindSpeed = 2,16, SnowDepth = 0, Weight = 0, Age = 4,219802640549203, MeasuredPower = , HasMeasuredPower = False },LEG.PV.Data.Processor.DataRecords+PvRecord,"02.12.2025 18:30:00",0,0,"0,9095760221444958",0,0,0,0,"0,75","2,16",0,0,"4,219802640549203","",False</t>
  </si>
  <si>
    <t>PvRecord { Timestamp = 02.12.2025 18:45:00, Index = 0, DirectGeometryFactor = 0, DiffuseGeometryFactor = 0,9095760221444958, CosSunElevation = 0, GlobalHorizontalIrradiance = 0, SunshineDuration = 0, DiffuseHorizontalIrradiance = 0, AmbientTemp = 0,75, WindSpeed = 2,16, SnowDepth = 0, Weight = 0, Age = 4,219831160437284, MeasuredPower = , HasMeasuredPower = False },LEG.PV.Data.Processor.DataRecords+PvRecord,"02.12.2025 18:45:00",0,0,"0,9095760221444958",0,0,0,0,"0,75","2,16",0,0,"4,219831160437284","",False</t>
  </si>
  <si>
    <t>PvRecord { Timestamp = 02.12.2025 19:00:00, Index = 0, DirectGeometryFactor = 0, DiffuseGeometryFactor = 0,9095760221444958, CosSunElevation = 0, GlobalHorizontalIrradiance = 0, SunshineDuration = 0, DiffuseHorizontalIrradiance = 0, AmbientTemp = 0,75, WindSpeed = 2,16, SnowDepth = 0, Weight = 0, Age = 4,219859680325365, MeasuredPower = , HasMeasuredPower = False },LEG.PV.Data.Processor.DataRecords+PvRecord,"02.12.2025 19:00:00",0,0,"0,9095760221444958",0,0,0,0,"0,75","2,16",0,0,"4,219859680325365","",False</t>
  </si>
  <si>
    <t>PvRecord { Timestamp = 02.12.2025 19:15:00, Index = 0, DirectGeometryFactor = 0, DiffuseGeometryFactor = 0,9095760221444958, CosSunElevation = 0, GlobalHorizontalIrradiance = 0, SunshineDuration = 0, DiffuseHorizontalIrradiance = 0, AmbientTemp = 0,75, WindSpeed = 2,16, SnowDepth = 0, Weight = 0, Age = 4,219888200213447, MeasuredPower = , HasMeasuredPower = False },LEG.PV.Data.Processor.DataRecords+PvRecord,"02.12.2025 19:15:00",0,0,"0,9095760221444958",0,0,0,0,"0,75","2,16",0,0,"4,219888200213447","",False</t>
  </si>
  <si>
    <t>PvRecord { Timestamp = 02.12.2025 19:30:00,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4,219916720101529, MeasuredPower = , HasMeasuredPower = False },LEG.PV.Data.Processor.DataRecords+PvRecord,"02.12.2025 19:30:00",0,0,"0,9095760221444958",0,0,0,0,"0,45","2,8800000000000003",0,0,"4,219916720101529","",False</t>
  </si>
  <si>
    <t>PvRecord { Timestamp = 02.12.2025 19:45:00,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4,2199452399896105, MeasuredPower = , HasMeasuredPower = False },LEG.PV.Data.Processor.DataRecords+PvRecord,"02.12.2025 19:45:00",0,0,"0,9095760221444958",0,0,0,0,"0,45","2,8800000000000003",0,0,"4,2199452399896105","",False</t>
  </si>
  <si>
    <t>PvRecord { Timestamp = 02.12.2025 20:00:00,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4,219973759877692, MeasuredPower = , HasMeasuredPower = False },LEG.PV.Data.Processor.DataRecords+PvRecord,"02.12.2025 20:00:00",0,0,"0,9095760221444958",0,0,0,0,"0,45","2,8800000000000003",0,0,"4,219973759877692","",False</t>
  </si>
  <si>
    <t>PvRecord { Timestamp = 02.12.2025 20:15:00, Index = 0, DirectGeometryFactor = 0, DiffuseGeometryFactor = 0,9095760221444958, CosSunElevation = 0, GlobalHorizontalIrradiance = 0, SunshineDuration = 0, DiffuseHorizontalIrradiance = 0, AmbientTemp = 0,45, WindSpeed = 2,8800000000000003, SnowDepth = 0, Weight = 0, Age = 4,220002279765773, MeasuredPower = , HasMeasuredPower = False },LEG.PV.Data.Processor.DataRecords+PvRecord,"02.12.2025 20:15:00",0,0,"0,9095760221444958",0,0,0,0,"0,45","2,8800000000000003",0,0,"4,220002279765773","",False</t>
  </si>
  <si>
    <t>PvRecord { Timestamp = 02.12.2025 20:30:00, Index = 0, DirectGeometryFactor = 0, DiffuseGeometryFactor = 0,9095760221444958, CosSunElevation = 0, GlobalHorizontalIrradiance = 0, SunshineDuration = 0, DiffuseHorizontalIrradiance = 0, AmbientTemp = 0,15, WindSpeed = 3,42, SnowDepth = 0, Weight = 0, Age = 4,220030799653855, MeasuredPower = , HasMeasuredPower = False },LEG.PV.Data.Processor.DataRecords+PvRecord,"02.12.2025 20:30:00",0,0,"0,9095760221444958",0,0,0,0,"0,15","3,42",0,0,"4,220030799653855","",False</t>
  </si>
  <si>
    <t>PvRecord { Timestamp = 02.12.2025 20:45:00, Index = 0, DirectGeometryFactor = 0, DiffuseGeometryFactor = 0,9095760221444958, CosSunElevation = 0, GlobalHorizontalIrradiance = 0, SunshineDuration = 0, DiffuseHorizontalIrradiance = 0, AmbientTemp = 0,15, WindSpeed = 3,42, SnowDepth = 0, Weight = 0, Age = 4,220059319541937, MeasuredPower = , HasMeasuredPower = False },LEG.PV.Data.Processor.DataRecords+PvRecord,"02.12.2025 20:45:00",0,0,"0,9095760221444958",0,0,0,0,"0,15","3,42",0,0,"4,220059319541937","",False</t>
  </si>
  <si>
    <t>PvRecord { Timestamp = 02.12.2025 21:00:00, Index = 0, DirectGeometryFactor = 0, DiffuseGeometryFactor = 0,9095760221444958, CosSunElevation = 0, GlobalHorizontalIrradiance = 0, SunshineDuration = 0, DiffuseHorizontalIrradiance = 0, AmbientTemp = 0,15, WindSpeed = 3,42, SnowDepth = 0, Weight = 0, Age = 4,220087839430018, MeasuredPower = , HasMeasuredPower = False },LEG.PV.Data.Processor.DataRecords+PvRecord,"02.12.2025 21:00:00",0,0,"0,9095760221444958",0,0,0,0,"0,15","3,42",0,0,"4,220087839430018","",False</t>
  </si>
  <si>
    <t>PvRecord { Timestamp = 02.12.2025 21:15:00, Index = 0, DirectGeometryFactor = 0, DiffuseGeometryFactor = 0,9095760221444958, CosSunElevation = 0, GlobalHorizontalIrradiance = 0, SunshineDuration = 0, DiffuseHorizontalIrradiance = 0, AmbientTemp = 0,15, WindSpeed = 3,42, SnowDepth = 0, Weight = 0, Age = 4,2201163593181, MeasuredPower = , HasMeasuredPower = False },LEG.PV.Data.Processor.DataRecords+PvRecord,"02.12.2025 21:15:00",0,0,"0,9095760221444958",0,0,0,0,"0,15","3,42",0,0,"4,2201163593181","",False</t>
  </si>
  <si>
    <t>PvRecord { Timestamp = 02.12.2025 21:30:00,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4,220144879206181, MeasuredPower = , HasMeasuredPower = False },LEG.PV.Data.Processor.DataRecords+PvRecord,"02.12.2025 21:30:00",0,0,"0,9095760221444958",0,0,0,0,"-0,19999999999999998","4,32",0,0,"4,220144879206181","",False</t>
  </si>
  <si>
    <t>PvRecord { Timestamp = 02.12.2025 21:45:00,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4,2201733990942625, MeasuredPower = , HasMeasuredPower = False },LEG.PV.Data.Processor.DataRecords+PvRecord,"02.12.2025 21:45:00",0,0,"0,9095760221444958",0,0,0,0,"-0,19999999999999998","4,32",0,0,"4,2201733990942625","",False</t>
  </si>
  <si>
    <t>PvRecord { Timestamp = 02.12.2025 22:00:00,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4,220201918982345, MeasuredPower = , HasMeasuredPower = False },LEG.PV.Data.Processor.DataRecords+PvRecord,"02.12.2025 22:00:00",0,0,"0,9095760221444958",0,0,0,0,"-0,19999999999999998","4,32",0,0,"4,220201918982345","",False</t>
  </si>
  <si>
    <t>PvRecord { Timestamp = 02.12.2025 22:15:00, Index = 0, DirectGeometryFactor = 0, DiffuseGeometryFactor = 0,9095760221444958, CosSunElevation = 0, GlobalHorizontalIrradiance = 0, SunshineDuration = 0, DiffuseHorizontalIrradiance = 0, AmbientTemp = -0,19999999999999998, WindSpeed = 4,32, SnowDepth = 0, Weight = 0, Age = 4,220230438870426, MeasuredPower = , HasMeasuredPower = False },LEG.PV.Data.Processor.DataRecords+PvRecord,"02.12.2025 22:15:00",0,0,"0,9095760221444958",0,0,0,0,"-0,19999999999999998","4,32",0,0,"4,220230438870426","",False</t>
  </si>
  <si>
    <t>PvRecord { Timestamp = 02.12.2025 22:30:00,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4,2202589587585075, MeasuredPower = , HasMeasuredPower = False },LEG.PV.Data.Processor.DataRecords+PvRecord,"02.12.2025 22:30:00",0,0,"0,9095760221444958",0,0,0,0,"-0,55","4,680000000000001",0,0,"4,2202589587585075","",False</t>
  </si>
  <si>
    <t>PvRecord { Timestamp = 02.12.2025 22:45:00,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4,220287478646589, MeasuredPower = , HasMeasuredPower = False },LEG.PV.Data.Processor.DataRecords+PvRecord,"02.12.2025 22:45:00",0,0,"0,9095760221444958",0,0,0,0,"-0,55","4,680000000000001",0,0,"4,220287478646589","",False</t>
  </si>
  <si>
    <t>PvRecord { Timestamp = 02.12.2025 23:00:00,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4,22031599853467, MeasuredPower = , HasMeasuredPower = False },LEG.PV.Data.Processor.DataRecords+PvRecord,"02.12.2025 23:00:00",0,0,"0,9095760221444958",0,0,0,0,"-0,55","4,680000000000001",0,0,"4,22031599853467","",False</t>
  </si>
  <si>
    <t>PvRecord { Timestamp = 02.12.2025 23:15:00, Index = 0, DirectGeometryFactor = 0, DiffuseGeometryFactor = 0,9095760221444958, CosSunElevation = 0, GlobalHorizontalIrradiance = 0, SunshineDuration = 0, DiffuseHorizontalIrradiance = 0, AmbientTemp = -0,55, WindSpeed = 4,680000000000001, SnowDepth = 0, Weight = 0, Age = 4,220344518422753, MeasuredPower = , HasMeasuredPower = False },LEG.PV.Data.Processor.DataRecords+PvRecord,"02.12.2025 23:15:00",0,0,"0,9095760221444958",0,0,0,0,"-0,55","4,680000000000001",0,0,"4,220344518422753","",False</t>
  </si>
  <si>
    <t>PvRecord { Timestamp = 02.12.2025 23:30:00, Index = 0, DirectGeometryFactor = 0, DiffuseGeometryFactor = 0,9095760221444958, CosSunElevation = 0, GlobalHorizontalIrradiance = 0, SunshineDuration = 0, DiffuseHorizontalIrradiance = 0, AmbientTemp = -0,75, WindSpeed = 4,86, SnowDepth = 0, Weight = 0, Age = 4,220373038310834, MeasuredPower = , HasMeasuredPower = False },LEG.PV.Data.Processor.DataRecords+PvRecord,"02.12.2025 23:30:00",0,0,"0,9095760221444958",0,0,0,0,"-0,75","4,86",0,0,"4,220373038310834","",False</t>
  </si>
  <si>
    <t>PvRecord { Timestamp = 02.12.2025 23:45:00, Index = 0, DirectGeometryFactor = 0, DiffuseGeometryFactor = 0,9095760221444958, CosSunElevation = 0, GlobalHorizontalIrradiance = 0, SunshineDuration = 0, DiffuseHorizontalIrradiance = 0, AmbientTemp = -0,75, WindSpeed = 4,86, SnowDepth = 0, Weight = 0, Age = 4,220401558198915, MeasuredPower = , HasMeasuredPower = False },LEG.PV.Data.Processor.DataRecords+PvRecord,"02.12.2025 23:45:00",0,0,"0,9095760221444958",0,0,0,0,"-0,75","4,86",0,0,"4,220401558198915","",False</t>
  </si>
  <si>
    <t>PvRecord { Timestamp = 03.12.2025 00:00:00, Index = 0, DirectGeometryFactor = 0, DiffuseGeometryFactor = 0,9095760221444958, CosSunElevation = 0, GlobalHorizontalIrradiance = 0, SunshineDuration = 0, DiffuseHorizontalIrradiance = 0, AmbientTemp = -0,75, WindSpeed = 4,86, SnowDepth = 0, Weight = 0, Age = 4,220430078086997, MeasuredPower = , HasMeasuredPower = False },LEG.PV.Data.Processor.DataRecords+PvRecord,"03.12.2025 00:00:00",0,0,"0,9095760221444958",0,0,0,0,"-0,75","4,86",0,0,"4,220430078086997","",False</t>
  </si>
  <si>
    <t>PvRecord { Timestamp = 03.12.2025 00:15:00, Index = 0, DirectGeometryFactor = 0, DiffuseGeometryFactor = 0,9095760221444958, CosSunElevation = 0, GlobalHorizontalIrradiance = 0, SunshineDuration = 0, DiffuseHorizontalIrradiance = 0, AmbientTemp = -0,75, WindSpeed = 4,86, SnowDepth = 0, Weight = 0, Age = 4,220458597975078, MeasuredPower = , HasMeasuredPower = False },LEG.PV.Data.Processor.DataRecords+PvRecord,"03.12.2025 00:15:00",0,0,"0,9095760221444958",0,0,0,0,"-0,75","4,86",0,0,"4,220458597975078","",False</t>
  </si>
  <si>
    <t>PvRecord { Timestamp = 03.12.2025 00:30:00, Index = 0, DirectGeometryFactor = 0, DiffuseGeometryFactor = 0,9095760221444958, CosSunElevation = 0, GlobalHorizontalIrradiance = 0, SunshineDuration = 0, DiffuseHorizontalIrradiance = 0, AmbientTemp = -0,9, WindSpeed = 4,32, SnowDepth = 0, Weight = 0, Age = 4,22048711786316, MeasuredPower = , HasMeasuredPower = False },LEG.PV.Data.Processor.DataRecords+PvRecord,"03.12.2025 00:30:00",0,0,"0,9095760221444958",0,0,0,0,"-0,9","4,32",0,0,"4,22048711786316","",False</t>
  </si>
  <si>
    <t>PvRecord { Timestamp = 03.12.2025 00:45:00, Index = 0, DirectGeometryFactor = 0, DiffuseGeometryFactor = 0,9095760221444958, CosSunElevation = 0, GlobalHorizontalIrradiance = 0, SunshineDuration = 0, DiffuseHorizontalIrradiance = 0, AmbientTemp = -0,9, WindSpeed = 4,32, SnowDepth = 0, Weight = 0, Age = 4,220515637751242, MeasuredPower = , HasMeasuredPower = False },LEG.PV.Data.Processor.DataRecords+PvRecord,"03.12.2025 00:45:00",0,0,"0,9095760221444958",0,0,0,0,"-0,9","4,32",0,0,"4,220515637751242","",False</t>
  </si>
  <si>
    <t>PvRecord { Timestamp = 03.12.2025 01:00:00, Index = 0, DirectGeometryFactor = 0, DiffuseGeometryFactor = 0,9095760221444958, CosSunElevation = 0, GlobalHorizontalIrradiance = 0, SunshineDuration = 0, DiffuseHorizontalIrradiance = 0, AmbientTemp = -0,9, WindSpeed = 4,32, SnowDepth = 0, Weight = 0, Age = 4,220544157639323, MeasuredPower = , HasMeasuredPower = False },LEG.PV.Data.Processor.DataRecords+PvRecord,"03.12.2025 01:00:00",0,0,"0,9095760221444958",0,0,0,0,"-0,9","4,32",0,0,"4,220544157639323","",False</t>
  </si>
  <si>
    <t>PvRecord { Timestamp = 03.12.2025 01:15:00, Index = 0, DirectGeometryFactor = 0, DiffuseGeometryFactor = 0,9095760221444958, CosSunElevation = 0, GlobalHorizontalIrradiance = 0, SunshineDuration = 0, DiffuseHorizontalIrradiance = 0, AmbientTemp = -0,9, WindSpeed = 4,32, SnowDepth = 0, Weight = 0, Age = 4,220572677527405, MeasuredPower = , HasMeasuredPower = False },LEG.PV.Data.Processor.DataRecords+PvRecord,"03.12.2025 01:15:00",0,0,"0,9095760221444958",0,0,0,0,"-0,9","4,32",0,0,"4,220572677527405","",False</t>
  </si>
  <si>
    <t>PvRecord { Timestamp = 03.12.2025 01:30:00, Index = 0, DirectGeometryFactor = 0, DiffuseGeometryFactor = 0,9095760221444958, CosSunElevation = 0, GlobalHorizontalIrradiance = 0, SunshineDuration = 0, DiffuseHorizontalIrradiance = 0, AmbientTemp = -1,1, WindSpeed = 4,32, SnowDepth = 0, Weight = 0, Age = 4,220601197415486, MeasuredPower = , HasMeasuredPower = False },LEG.PV.Data.Processor.DataRecords+PvRecord,"03.12.2025 01:30:00",0,0,"0,9095760221444958",0,0,0,0,"-1,1","4,32",0,0,"4,220601197415486","",False</t>
  </si>
  <si>
    <t>PvRecord { Timestamp = 03.12.2025 01:45:00, Index = 0, DirectGeometryFactor = 0, DiffuseGeometryFactor = 0,9095760221444958, CosSunElevation = 0, GlobalHorizontalIrradiance = 0, SunshineDuration = 0, DiffuseHorizontalIrradiance = 0, AmbientTemp = -1,1, WindSpeed = 4,32, SnowDepth = 0, Weight = 0, Age = 4,220629717303568, MeasuredPower = , HasMeasuredPower = False },LEG.PV.Data.Processor.DataRecords+PvRecord,"03.12.2025 01:45:00",0,0,"0,9095760221444958",0,0,0,0,"-1,1","4,32",0,0,"4,220629717303568","",False</t>
  </si>
  <si>
    <t>PvRecord { Timestamp = 03.12.2025 02:00:00, Index = 0, DirectGeometryFactor = 0, DiffuseGeometryFactor = 0,9095760221444958, CosSunElevation = 0, GlobalHorizontalIrradiance = 0, SunshineDuration = 0, DiffuseHorizontalIrradiance = 0, AmbientTemp = -1,1, WindSpeed = 4,32, SnowDepth = 0, Weight = 0, Age = 4,22065823719165, MeasuredPower = , HasMeasuredPower = False },LEG.PV.Data.Processor.DataRecords+PvRecord,"03.12.2025 02:00:00",0,0,"0,9095760221444958",0,0,0,0,"-1,1","4,32",0,0,"4,22065823719165","",False</t>
  </si>
  <si>
    <t>PvRecord { Timestamp = 03.12.2025 02:15:00, Index = 0, DirectGeometryFactor = 0, DiffuseGeometryFactor = 0,9095760221444958, CosSunElevation = 0, GlobalHorizontalIrradiance = 0, SunshineDuration = 0, DiffuseHorizontalIrradiance = 0, AmbientTemp = -1,1, WindSpeed = 4,32, SnowDepth = 0, Weight = 0, Age = 4,220686757079731, MeasuredPower = , HasMeasuredPower = False },LEG.PV.Data.Processor.DataRecords+PvRecord,"03.12.2025 02:15:00",0,0,"0,9095760221444958",0,0,0,0,"-1,1","4,32",0,0,"4,220686757079731","",False</t>
  </si>
  <si>
    <t>PvRecord { Timestamp = 03.12.2025 02:30:00, Index = 0, DirectGeometryFactor = 0, DiffuseGeometryFactor = 0,9095760221444958, CosSunElevation = 0, GlobalHorizontalIrradiance = 0, SunshineDuration = 0, DiffuseHorizontalIrradiance = 0, AmbientTemp = -1,2, WindSpeed = 5,58, SnowDepth = 0, Weight = 0, Age = 4,2207152769678125, MeasuredPower = , HasMeasuredPower = False },LEG.PV.Data.Processor.DataRecords+PvRecord,"03.12.2025 02:30:00",0,0,"0,9095760221444958",0,0,0,0,"-1,2","5,58",0,0,"4,2207152769678125","",False</t>
  </si>
  <si>
    <t>PvRecord { Timestamp = 03.12.2025 02:45:00, Index = 0, DirectGeometryFactor = 0, DiffuseGeometryFactor = 0,9095760221444958, CosSunElevation = 0, GlobalHorizontalIrradiance = 0, SunshineDuration = 0, DiffuseHorizontalIrradiance = 0, AmbientTemp = -1,2, WindSpeed = 5,58, SnowDepth = 0, Weight = 0, Age = 4,220743796855894, MeasuredPower = , HasMeasuredPower = False },LEG.PV.Data.Processor.DataRecords+PvRecord,"03.12.2025 02:45:00",0,0,"0,9095760221444958",0,0,0,0,"-1,2","5,58",0,0,"4,220743796855894","",False</t>
  </si>
  <si>
    <t>PvRecord { Timestamp = 03.12.2025 03:00:00, Index = 0, DirectGeometryFactor = 0, DiffuseGeometryFactor = 0,9095760221444958, CosSunElevation = 0, GlobalHorizontalIrradiance = 0, SunshineDuration = 0, DiffuseHorizontalIrradiance = 0, AmbientTemp = -1,2, WindSpeed = 5,58, SnowDepth = 0, Weight = 0, Age = 4,220772316743976, MeasuredPower = , HasMeasuredPower = False },LEG.PV.Data.Processor.DataRecords+PvRecord,"03.12.2025 03:00:00",0,0,"0,9095760221444958",0,0,0,0,"-1,2","5,58",0,0,"4,220772316743976","",False</t>
  </si>
  <si>
    <t>PvRecord { Timestamp = 03.12.2025 03:15:00, Index = 0, DirectGeometryFactor = 0, DiffuseGeometryFactor = 0,9095760221444958, CosSunElevation = 0, GlobalHorizontalIrradiance = 0, SunshineDuration = 0, DiffuseHorizontalIrradiance = 0, AmbientTemp = -1,2, WindSpeed = 5,58, SnowDepth = 0, Weight = 0, Age = 4,2208008366320575, MeasuredPower = , HasMeasuredPower = False },LEG.PV.Data.Processor.DataRecords+PvRecord,"03.12.2025 03:15:00",0,0,"0,9095760221444958",0,0,0,0,"-1,2","5,58",0,0,"4,2208008366320575","",False</t>
  </si>
  <si>
    <t>PvRecord { Timestamp = 03.12.2025 03:30:00,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4,220829356520139, MeasuredPower = , HasMeasuredPower = False },LEG.PV.Data.Processor.DataRecords+PvRecord,"03.12.2025 03:30:00",0,0,"0,9095760221444958",0,0,0,0,"-1,25","8,280000000000001",0,0,"4,220829356520139","",False</t>
  </si>
  <si>
    <t>PvRecord { Timestamp = 03.12.2025 03:45:00,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4,22085787640822, MeasuredPower = , HasMeasuredPower = False },LEG.PV.Data.Processor.DataRecords+PvRecord,"03.12.2025 03:45:00",0,0,"0,9095760221444958",0,0,0,0,"-1,25","8,280000000000001",0,0,"4,22085787640822","",False</t>
  </si>
  <si>
    <t>PvRecord { Timestamp = 03.12.2025 04:00:00,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4,220886396296302, MeasuredPower = , HasMeasuredPower = False },LEG.PV.Data.Processor.DataRecords+PvRecord,"03.12.2025 04:00:00",0,0,"0,9095760221444958",0,0,0,0,"-1,25","8,280000000000001",0,0,"4,220886396296302","",False</t>
  </si>
  <si>
    <t>PvRecord { Timestamp = 03.12.2025 04:15:00, Index = 0, DirectGeometryFactor = 0, DiffuseGeometryFactor = 0,9095760221444958, CosSunElevation = 0, GlobalHorizontalIrradiance = 0, SunshineDuration = 0, DiffuseHorizontalIrradiance = 0, AmbientTemp = -1,25, WindSpeed = 8,280000000000001, SnowDepth = 0, Weight = 0, Age = 4,220914916184384, MeasuredPower = , HasMeasuredPower = False },LEG.PV.Data.Processor.DataRecords+PvRecord,"03.12.2025 04:15:00",0,0,"0,9095760221444958",0,0,0,0,"-1,25","8,280000000000001",0,0,"4,220914916184384","",False</t>
  </si>
  <si>
    <t>PvRecord { Timestamp = 03.12.2025 04:30:00, Index = 0, DirectGeometryFactor = 0, DiffuseGeometryFactor = 0,9095760221444958, CosSunElevation = 0, GlobalHorizontalIrradiance = 0, SunshineDuration = 0, DiffuseHorizontalIrradiance = 0, AmbientTemp = -1,25, WindSpeed = 11,52, SnowDepth = 0, Weight = 0, Age = 4,220943436072465, MeasuredPower = , HasMeasuredPower = False },LEG.PV.Data.Processor.DataRecords+PvRecord,"03.12.2025 04:30:00",0,0,"0,9095760221444958",0,0,0,0,"-1,25","11,52",0,0,"4,220943436072465","",False</t>
  </si>
  <si>
    <t>PvRecord { Timestamp = 03.12.2025 04:45:00, Index = 0, DirectGeometryFactor = 0, DiffuseGeometryFactor = 0,9095760221444958, CosSunElevation = 0, GlobalHorizontalIrradiance = 0, SunshineDuration = 0, DiffuseHorizontalIrradiance = 0, AmbientTemp = -1,25, WindSpeed = 11,52, SnowDepth = 0, Weight = 0, Age = 4,220971955960547, MeasuredPower = , HasMeasuredPower = False },LEG.PV.Data.Processor.DataRecords+PvRecord,"03.12.2025 04:45:00",0,0,"0,9095760221444958",0,0,0,0,"-1,25","11,52",0,0,"4,220971955960547","",False</t>
  </si>
  <si>
    <t>PvRecord { Timestamp = 03.12.2025 05:00:00, Index = 0, DirectGeometryFactor = 0, DiffuseGeometryFactor = 0,9095760221444958, CosSunElevation = 0, GlobalHorizontalIrradiance = 0, SunshineDuration = 0, DiffuseHorizontalIrradiance = 0, AmbientTemp = -1,25, WindSpeed = 11,52, SnowDepth = 0, Weight = 0, Age = 4,221000475848628, MeasuredPower = , HasMeasuredPower = False },LEG.PV.Data.Processor.DataRecords+PvRecord,"03.12.2025 05:00:00",0,0,"0,9095760221444958",0,0,0,0,"-1,25","11,52",0,0,"4,221000475848628","",False</t>
  </si>
  <si>
    <t>PvRecord { Timestamp = 03.12.2025 05:15:00, Index = 0, DirectGeometryFactor = 0, DiffuseGeometryFactor = 0,9095760221444958, CosSunElevation = 0, GlobalHorizontalIrradiance = 0, SunshineDuration = 0, DiffuseHorizontalIrradiance = 0, AmbientTemp = -1,25, WindSpeed = 11,52, SnowDepth = 0, Weight = 0, Age = 4,2210289957367095, MeasuredPower = , HasMeasuredPower = False },LEG.PV.Data.Processor.DataRecords+PvRecord,"03.12.2025 05:15:00",0,0,"0,9095760221444958",0,0,0,0,"-1,25","11,52",0,0,"4,2210289957367095","",False</t>
  </si>
  <si>
    <t>PvRecord { Timestamp = 03.12.2025 05:30:00, Index = 0, DirectGeometryFactor = 0, DiffuseGeometryFactor = 0,9095760221444958, CosSunElevation = 0, GlobalHorizontalIrradiance = 0, SunshineDuration = 0, DiffuseHorizontalIrradiance = 0, AmbientTemp = -1,15, WindSpeed = 14,04, SnowDepth = 0, Weight = 0, Age = 4,221057515624792, MeasuredPower = , HasMeasuredPower = False },LEG.PV.Data.Processor.DataRecords+PvRecord,"03.12.2025 05:30:00",0,0,"0,9095760221444958",0,0,0,0,"-1,15","14,04",0,0,"4,221057515624792","",False</t>
  </si>
  <si>
    <t>PvRecord { Timestamp = 03.12.2025 05:45:00, Index = 0, DirectGeometryFactor = 0, DiffuseGeometryFactor = 0,9095760221444958, CosSunElevation = 0, GlobalHorizontalIrradiance = 0, SunshineDuration = 0, DiffuseHorizontalIrradiance = 0, AmbientTemp = -1,15, WindSpeed = 14,04, SnowDepth = 0, Weight = 0, Age = 4,221086035512873, MeasuredPower = , HasMeasuredPower = False },LEG.PV.Data.Processor.DataRecords+PvRecord,"03.12.2025 05:45:00",0,0,"0,9095760221444958",0,0,0,0,"-1,15","14,04",0,0,"4,221086035512873","",False</t>
  </si>
  <si>
    <t>PvRecord { Timestamp = 03.12.2025 06:00:00, Index = 0, DirectGeometryFactor = 0, DiffuseGeometryFactor = 0,9095760221444958, CosSunElevation = 0, GlobalHorizontalIrradiance = 0, SunshineDuration = 0, DiffuseHorizontalIrradiance = 0, AmbientTemp = -1,15, WindSpeed = 14,04, SnowDepth = 0, Weight = 0, Age = 4,221114555400955, MeasuredPower = , HasMeasuredPower = False },LEG.PV.Data.Processor.DataRecords+PvRecord,"03.12.2025 06:00:00",0,0,"0,9095760221444958",0,0,0,0,"-1,15","14,04",0,0,"4,221114555400955","",False</t>
  </si>
  <si>
    <t>PvRecord { Timestamp = 03.12.2025 06:15:00, Index = 0, DirectGeometryFactor = 0, DiffuseGeometryFactor = 0,9095760221444958, CosSunElevation = 0, GlobalHorizontalIrradiance = 0, SunshineDuration = 0, DiffuseHorizontalIrradiance = 0, AmbientTemp = -1,15, WindSpeed = 14,04, SnowDepth = 0, Weight = 0, Age = 4,221143075289036, MeasuredPower = , HasMeasuredPower = False },LEG.PV.Data.Processor.DataRecords+PvRecord,"03.12.2025 06:15:00",0,0,"0,9095760221444958",0,0,0,0,"-1,15","14,04",0,0,"4,221143075289036","",False</t>
  </si>
  <si>
    <t>PvRecord { Timestamp = 03.12.2025 06:30:00, Index = 0, DirectGeometryFactor = 0, DiffuseGeometryFactor = 0,9095760221444958, CosSunElevation = 0, GlobalHorizontalIrradiance = 0, SunshineDuration = 0, DiffuseHorizontalIrradiance = 0, AmbientTemp = -0,85, WindSpeed = 15,3, SnowDepth = 0, Weight = 0, Age = 4,221171595177117, MeasuredPower = , HasMeasuredPower = False },LEG.PV.Data.Processor.DataRecords+PvRecord,"03.12.2025 06:30:00",0,0,"0,9095760221444958",0,0,0,0,"-0,85","15,3",0,0,"4,221171595177117","",False</t>
  </si>
  <si>
    <t>PvRecord { Timestamp = 03.12.2025 06:45:00, Index = 0, DirectGeometryFactor = 0, DiffuseGeometryFactor = 0,9095760221444958, CosSunElevation = 0, GlobalHorizontalIrradiance = 0, SunshineDuration = 0, DiffuseHorizontalIrradiance = 0, AmbientTemp = -0,85, WindSpeed = 15,3, SnowDepth = 0, Weight = 0, Age = 4,2212001150652, MeasuredPower = , HasMeasuredPower = False },LEG.PV.Data.Processor.DataRecords+PvRecord,"03.12.2025 06:45:00",0,0,"0,9095760221444958",0,0,0,0,"-0,85","15,3",0,0,"4,2212001150652","",False</t>
  </si>
  <si>
    <t>PvRecord { Timestamp = 03.12.2025 07:00:00, Index = 0, DirectGeometryFactor = 0, DiffuseGeometryFactor = 0,9095760221444958, CosSunElevation = 0, GlobalHorizontalIrradiance = 0, SunshineDuration = 0, DiffuseHorizontalIrradiance = 0, AmbientTemp = -0,85, WindSpeed = 15,3, SnowDepth = 0, Weight = 0, Age = 4,221228634953281, MeasuredPower = , HasMeasuredPower = False },LEG.PV.Data.Processor.DataRecords+PvRecord,"03.12.2025 07:00:00",0,0,"0,9095760221444958",0,0,0,0,"-0,85","15,3",0,0,"4,221228634953281","",False</t>
  </si>
  <si>
    <t>PvRecord { Timestamp = 03.12.2025 07:15:00, Index = 0, DirectGeometryFactor = 0, DiffuseGeometryFactor = 0,9095760221444958, CosSunElevation = 0, GlobalHorizontalIrradiance = 0, SunshineDuration = 0, DiffuseHorizontalIrradiance = 0, AmbientTemp = -0,85, WindSpeed = 15,3, SnowDepth = 0, Weight = 0, Age = 4,221257154841362, MeasuredPower = , HasMeasuredPower = False },LEG.PV.Data.Processor.DataRecords+PvRecord,"03.12.2025 07:15:00",0,0,"0,9095760221444958",0,0,0,0,"-0,85","15,3",0,0,"4,221257154841362","",False</t>
  </si>
  <si>
    <t>PvRecord { Timestamp = 03.12.2025 07:30:00, Index = 0, DirectGeometryFactor = 0, DiffuseGeometryFactor = 0,9095760221444958, CosSunElevation = 0, GlobalHorizontalIrradiance = 0, SunshineDuration = 0, DiffuseHorizontalIrradiance = 0, AmbientTemp = -0,25, WindSpeed = 14,399999999999999, SnowDepth = 0, Weight = 0, Age = 4,221285674729444, MeasuredPower = , HasMeasuredPower = False },LEG.PV.Data.Processor.DataRecords+PvRecord,"03.12.2025 07:30:00",0,0,"0,9095760221444958",0,0,0,0,"-0,25","14,399999999999999",0,0,"4,221285674729444","",False</t>
  </si>
  <si>
    <t>PvRecord { Timestamp = 03.12.2025 07:45:00, Index = 0, DirectGeometryFactor = 0, DiffuseGeometryFactor = 0,9095760221444958, CosSunElevation = 0, GlobalHorizontalIrradiance = 0, SunshineDuration = 0, DiffuseHorizontalIrradiance = 0, AmbientTemp = -0,25, WindSpeed = 14,399999999999999, SnowDepth = 0, Weight = 0, Age = 4,221314194617525, MeasuredPower = , HasMeasuredPower = False },LEG.PV.Data.Processor.DataRecords+PvRecord,"03.12.2025 07:45:00",0,0,"0,9095760221444958",0,0,0,0,"-0,25","14,399999999999999",0,0,"4,221314194617525","",False</t>
  </si>
  <si>
    <t>PvRecord { Timestamp = 03.12.2025 08:00:00, Index = 0, DirectGeometryFactor = 0, DiffuseGeometryFactor = 0,9095760221444958, CosSunElevation = 0,025731928976057895, GlobalHorizontalIrradiance = 0, SunshineDuration = 0, DiffuseHorizontalIrradiance = 0, AmbientTemp = -0,25, WindSpeed = 14,399999999999999, SnowDepth = 0, Weight = 0, Age = 4,2213427145056075, MeasuredPower = , HasMeasuredPower = False },LEG.PV.Data.Processor.DataRecords+PvRecord,"03.12.2025 08:00:00",0,0,"0,9095760221444958","0,025731928976057895",0,0,0,"-0,25","14,399999999999999",0,0,"4,2213427145056075","",False</t>
  </si>
  <si>
    <t>PvRecord { Timestamp = 03.12.2025 08:15:00, Index = 0, DirectGeometryFactor = 0,5416100896814818, DiffuseGeometryFactor = 0,9095760221444958, CosSunElevation = 0,05897010749822475, GlobalHorizontalIrradiance = 0, SunshineDuration = 0, DiffuseHorizontalIrradiance = 0, AmbientTemp = -0,25, WindSpeed = 14,399999999999999, SnowDepth = 0, Weight = 0, Age = 4,221371234393689, MeasuredPower = , HasMeasuredPower = False },LEG.PV.Data.Processor.DataRecords+PvRecord,"03.12.2025 08:15:00",0,"0,5416100896814818","0,9095760221444958","0,05897010749822475",0,0,0,"-0,25","14,399999999999999",0,0,"4,221371234393689","",False</t>
  </si>
  <si>
    <t>PvRecord { Timestamp = 03.12.2025 08:30:00, Index = 0, DirectGeometryFactor = 0,5813295349564328, DiffuseGeometryFactor = 0,9095760221444958, CosSunElevation = 0,09196622622755574, GlobalHorizontalIrradiance = 244,21666666666667, SunshineDuration = 0, DiffuseHorizontalIrradiance = 25, AmbientTemp = 0,6, WindSpeed = 12,780000000000001, SnowDepth = 0, Weight = 0, Age = 4,22139975428177, MeasuredPower = , HasMeasuredPower = False },LEG.PV.Data.Processor.DataRecords+PvRecord,"03.12.2025 08:30:00",0,"0,5813295349564328","0,9095760221444958","0,09196622622755574","244,21666666666667",0,25,"0,6","12,780000000000001",0,0,"4,22139975428177","",False</t>
  </si>
  <si>
    <t>PvRecord { Timestamp = 03.12.2025 08:45:00, Index = 0, DirectGeometryFactor = 0,6185792222958927, DiffuseGeometryFactor = 0,9095760221444958, CosSunElevation = 0,1238693760057544, GlobalHorizontalIrradiance = 244,21666666666667, SunshineDuration = 0, DiffuseHorizontalIrradiance = 25, AmbientTemp = 0,6, WindSpeed = 12,780000000000001, SnowDepth = 0, Weight = 0, Age = 4,221428274169852, MeasuredPower = , HasMeasuredPower = False },LEG.PV.Data.Processor.DataRecords+PvRecord,"03.12.2025 08:45:00",0,"0,6185792222958927","0,9095760221444958","0,1238693760057544","244,21666666666667",0,25,"0,6","12,780000000000001",0,0,"4,221428274169852","",False</t>
  </si>
  <si>
    <t>PvRecord { Timestamp = 03.12.2025 09:00:00, Index = 0, DirectGeometryFactor = 0,6529894810946315, DiffuseGeometryFactor = 0,9095760221444958, CosSunElevation = 0,15429175604376533, GlobalHorizontalIrradiance = 244,21666666666667, SunshineDuration = 0, DiffuseHorizontalIrradiance = 25, AmbientTemp = 0,6, WindSpeed = 12,780000000000001, SnowDepth = 0, Weight = 0, Age = 4,221456794057933, MeasuredPower = , HasMeasuredPower = False },LEG.PV.Data.Processor.DataRecords+PvRecord,"03.12.2025 09:00:00",0,"0,6529894810946315","0,9095760221444958","0,15429175604376533","244,21666666666667",0,25,"0,6","12,780000000000001",0,0,"4,221456794057933","",False</t>
  </si>
  <si>
    <t>PvRecord { Timestamp = 03.12.2025 09:15:00, Index = 0, DirectGeometryFactor = 0,6843254789292892, DiffuseGeometryFactor = 0,9095760221444958, CosSunElevation = 0,1829982026732591, GlobalHorizontalIrradiance = 244,21666666666667, SunshineDuration = 0, DiffuseHorizontalIrradiance = 25, AmbientTemp = 0,6, WindSpeed = 12,780000000000001, SnowDepth = 0, Weight = 0, Age = 4,221485313946015, MeasuredPower = , HasMeasuredPower = False },LEG.PV.Data.Processor.DataRecords+PvRecord,"03.12.2025 09:15:00",0,"0,6843254789292892","0,9095760221444958","0,1829982026732591","244,21666666666667",0,25,"0,6","12,780000000000001",0,0,"4,221485313946015","",False</t>
  </si>
  <si>
    <t>PvRecord { Timestamp = 03.12.2025 09:30:00, Index = 0, DirectGeometryFactor = 0,7124110881794855, DiffuseGeometryFactor = 0,9095760221444958, CosSunElevation = 0,20981535694427267, GlobalHorizontalIrradiance = 371,41666666666663, SunshineDuration = 0, DiffuseHorizontalIrradiance = 70,5, AmbientTemp = 1,5999999999999999, WindSpeed = 10,62, SnowDepth = 0, Weight = 0, Age = 4,221513833834097, MeasuredPower = , HasMeasuredPower = False },LEG.PV.Data.Processor.DataRecords+PvRecord,"03.12.2025 09:30:00",0,"0,7124110881794855","0,9095760221444958","0,20981535694427267","371,41666666666663",0,"70,5","1,5999999999999999","10,62",0,0,"4,221513833834097","",False</t>
  </si>
  <si>
    <t>PvRecord { Timestamp = 03.12.2025 09:45:00, Index = 0, DirectGeometryFactor = 0,7371036795001717, DiffuseGeometryFactor = 0,9095760221444958, CosSunElevation = 0,23460141014810013, GlobalHorizontalIrradiance = 371,41666666666663, SunshineDuration = 0, DiffuseHorizontalIrradiance = 70,5, AmbientTemp = 1,5999999999999999, WindSpeed = 10,62, SnowDepth = 0, Weight = 0, Age = 4,221542353722178, MeasuredPower = , HasMeasuredPower = False },LEG.PV.Data.Processor.DataRecords+PvRecord,"03.12.2025 09:45:00",0,"0,7371036795001717","0,9095760221444958","0,23460141014810013","371,41666666666663",0,"70,5","1,5999999999999999","10,62",0,0,"4,221542353722178","",False</t>
  </si>
  <si>
    <t>PvRecord { Timestamp = 03.12.2025 10:00:00, Index = 0, DirectGeometryFactor = 0,7582845994386955, DiffuseGeometryFactor = 0,9095760221444958, CosSunElevation = 0,25723458868840066, GlobalHorizontalIrradiance = 371,41666666666663, SunshineDuration = 0, DiffuseHorizontalIrradiance = 70,5, AmbientTemp = 1,5999999999999999, WindSpeed = 10,62, SnowDepth = 0, Weight = 0, Age = 4,2215708736102595, MeasuredPower = , HasMeasuredPower = False },LEG.PV.Data.Processor.DataRecords+PvRecord,"03.12.2025 10:00:00",0,"0,7582845994386955","0,9095760221444958","0,25723458868840066","371,41666666666663",0,"70,5","1,5999999999999999","10,62",0,0,"4,2215708736102595","",False</t>
  </si>
  <si>
    <t>PvRecord { Timestamp = 03.12.2025 10:15:00, Index = 0, DirectGeometryFactor = 0,7758552201858433, DiffuseGeometryFactor = 0,9095760221444958, CosSunElevation = 0,27760833413370584, GlobalHorizontalIrradiance = 371,41666666666663, SunshineDuration = 0, DiffuseHorizontalIrradiance = 70,5, AmbientTemp = 1,5999999999999999, WindSpeed = 10,62, SnowDepth = 0, Weight = 0, Age = 4,221599393498341, MeasuredPower = , HasMeasuredPower = False },LEG.PV.Data.Processor.DataRecords+PvRecord,"03.12.2025 10:15:00",0,"0,7758552201858433","0,9095760221444958","0,27760833413370584","371,41666666666663",0,"70,5","1,5999999999999999","10,62",0,0,"4,221599393498341","",False</t>
  </si>
  <si>
    <t>PvRecord { Timestamp = 03.12.2025 10:30:00, Index = 0, DirectGeometryFactor = 0,7897352051976854, DiffuseGeometryFactor = 0,9095760221444958, CosSunElevation = 0,2956291726471507, GlobalHorizontalIrradiance = 372,6, SunshineDuration = 0, DiffuseHorizontalIrradiance = 104, AmbientTemp = 2,55, WindSpeed = 9,72, SnowDepth = 0, Weight = 0, Age = 4,221627913386423, MeasuredPower = , HasMeasuredPower = False },LEG.PV.Data.Processor.DataRecords+PvRecord,"03.12.2025 10:30:00",0,"0,7897352051976854","0,9095760221444958","0,2956291726471507","372,6",0,104,"2,55","9,72",0,0,"4,221627913386423","",False</t>
  </si>
  <si>
    <t>PvRecord { Timestamp = 03.12.2025 10:45:00, Index = 0, DirectGeometryFactor = 0,7998617281062166, DiffuseGeometryFactor = 0,9095760221444958, CosSunElevation = 0,3112157644772565, GlobalHorizontalIrradiance = 372,6, SunshineDuration = 0, DiffuseHorizontalIrradiance = 104, AmbientTemp = 2,55, WindSpeed = 9,72, SnowDepth = 0, Weight = 0, Age = 4,221656433274505, MeasuredPower = , HasMeasuredPower = False },LEG.PV.Data.Processor.DataRecords+PvRecord,"03.12.2025 10:45:00",0,"0,7998617281062166","0,9095760221444958","0,3112157644772565","372,6",0,104,"2,55","9,72",0,0,"4,221656433274505","",False</t>
  </si>
  <si>
    <t>PvRecord { Timestamp = 03.12.2025 11:00:00, Index = 0, DirectGeometryFactor = 0,8061891182733003, DiffuseGeometryFactor = 0,9095760221444958, CosSunElevation = 0,3242985031867879, GlobalHorizontalIrradiance = 372,6, SunshineDuration = 0, DiffuseHorizontalIrradiance = 104, AmbientTemp = 2,55, WindSpeed = 9,72, SnowDepth = 0, Weight = 0, Age = 4,221684953162586, MeasuredPower = , HasMeasuredPower = False },LEG.PV.Data.Processor.DataRecords+PvRecord,"03.12.2025 11:00:00",0,"0,8061891182733003","0,9095760221444958","0,3242985031867879","372,6",0,104,"2,55","9,72",0,0,"4,221684953162586","",False</t>
  </si>
  <si>
    <t>PvRecord { Timestamp = 03.12.2025 11:15:00, Index = 0, DirectGeometryFactor = 0,8086886938557445, DiffuseGeometryFactor = 0,9095760221444958, CosSunElevation = 0,3348193779441786, GlobalHorizontalIrradiance = 372,6, SunshineDuration = 0, DiffuseHorizontalIrradiance = 104, AmbientTemp = 2,55, WindSpeed = 9,72, SnowDepth = 0, Weight = 0, Age = 4,221713473050667, MeasuredPower = , HasMeasuredPower = False },LEG.PV.Data.Processor.DataRecords+PvRecord,"03.12.2025 11:15:00",0,"0,8086886938557445","0,9095760221444958","0,3348193779441786","372,6",0,104,"2,55","9,72",0,0,"4,221713473050667","",False</t>
  </si>
  <si>
    <t>PvRecord { Timestamp = 03.12.2025 11:30:00, Index = 0, DirectGeometryFactor = 0,8073486664013447, DiffuseGeometryFactor = 0,9095760221444958, CosSunElevation = 0,34273195948430785, GlobalHorizontalIrradiance = 369,5333333333333, SunshineDuration = 0, DiffuseHorizontalIrradiance = 124, AmbientTemp = 3,3, WindSpeed = 10,620000000000001, SnowDepth = 0, Weight = 0, Age = 4,221741992938749, MeasuredPower = , HasMeasuredPower = False },LEG.PV.Data.Processor.DataRecords+PvRecord,"03.12.2025 11:30:00",0,"0,8073486664013447","0,9095760221444958","0,34273195948430785","369,5333333333333",0,124,"3,3","10,620000000000001",0,0,"4,221741992938749","",False</t>
  </si>
  <si>
    <t>PvRecord { Timestamp = 03.12.2025 11:45:00, Index = 0, DirectGeometryFactor = 0,802174057357484, DiffuseGeometryFactor = 0,9095760221444958, CosSunElevation = 0,34800143783318793, GlobalHorizontalIrradiance = 369,5333333333333, SunshineDuration = 0, DiffuseHorizontalIrradiance = 124, AmbientTemp = 3,3, WindSpeed = 10,620000000000001, SnowDepth = 0, Weight = 0, Age = 4,221770512826831, MeasuredPower = , HasMeasuredPower = False },LEG.PV.Data.Processor.DataRecords+PvRecord,"03.12.2025 11:45:00",0,"0,802174057357484","0,9095760221444958","0,34800143783318793","369,5333333333333",0,124,"3,3","10,620000000000001",0,0,"4,221770512826831","",False</t>
  </si>
  <si>
    <t>PvRecord { Timestamp = 03.12.2025 12:00:00, Index = 0, DirectGeometryFactor = 0,793186594757678, DiffuseGeometryFactor = 0,9095760221444958, CosSunElevation = 0,35060467300323817, GlobalHorizontalIrradiance = 369,5333333333333, SunshineDuration = 0, DiffuseHorizontalIrradiance = 124, AmbientTemp = 3,3, WindSpeed = 10,620000000000001, SnowDepth = 0, Weight = 0, Age = 4,221799032714912, MeasuredPower = , HasMeasuredPower = False },LEG.PV.Data.Processor.DataRecords+PvRecord,"03.12.2025 12:00:00",0,"0,793186594757678","0,9095760221444958","0,35060467300323817","369,5333333333333",0,124,"3,3","10,620000000000001",0,0,"4,221799032714912","",False</t>
  </si>
  <si>
    <t>PvRecord { Timestamp = 03.12.2025 12:15:00, Index = 0, DirectGeometryFactor = 0,7804245731635366, DiffuseGeometryFactor = 0,9095760221444958, CosSunElevation = 0,35053023760341423, GlobalHorizontalIrradiance = 369,5333333333333, SunshineDuration = 0, DiffuseHorizontalIrradiance = 124, AmbientTemp = 3,3, WindSpeed = 10,620000000000001, SnowDepth = 0, Weight = 0, Age = 4,221827552602994, MeasuredPower = , HasMeasuredPower = False },LEG.PV.Data.Processor.DataRecords+PvRecord,"03.12.2025 12:15:00",0,"0,7804245731635366","0,9095760221444958","0,35053023760341423","369,5333333333333",0,124,"3,3","10,620000000000001",0,0,"4,221827552602994","",False</t>
  </si>
  <si>
    <t>PvRecord { Timestamp = 03.12.2025 12:30:00, Index = 0, DirectGeometryFactor = 0,7639426681632739, DiffuseGeometryFactor = 0,9095760221444958, CosSunElevation = 0,3477784401377318, GlobalHorizontalIrradiance = 361,5666666666666, SunshineDuration = 0, DiffuseHorizontalIrradiance = 128, AmbientTemp = 3,7, WindSpeed = 11,7, SnowDepth = 0, Weight = 0, Age = 4,221856072491075, MeasuredPower = , HasMeasuredPower = False },LEG.PV.Data.Processor.DataRecords+PvRecord,"03.12.2025 12:30:00",0,"0,7639426681632739","0,9095760221444958","0,3477784401377318","361,5666666666666",0,128,"3,7","11,7",0,0,"4,221856072491075","",False</t>
  </si>
  <si>
    <t>PvRecord { Timestamp = 03.12.2025 12:45:00, Index = 0, DirectGeometryFactor = 0,7438117023860784, DiffuseGeometryFactor = 0,9095760221444958, CosSunElevation = 0,34236132414272935, GlobalHorizontalIrradiance = 361,5666666666666, SunshineDuration = 0, DiffuseHorizontalIrradiance = 128, AmbientTemp = 3,7, WindSpeed = 11,7, SnowDepth = 0, Weight = 0, Age = 4,2218845923791575, MeasuredPower = , HasMeasuredPower = False },LEG.PV.Data.Processor.DataRecords+PvRecord,"03.12.2025 12:45:00",0,"0,7438117023860784","0,9095760221444958","0,34236132414272935","361,5666666666666",0,128,"3,7","11,7",0,0,"4,2218845923791575","",False</t>
  </si>
  <si>
    <t>PvRecord { Timestamp = 03.12.2025 13:00:00, Index = 0, DirectGeometryFactor = 0,7201183641034221, DiffuseGeometryFactor = 0,9095760221444958, CosSunElevation = 0,3343026433573577, GlobalHorizontalIrradiance = 361,5666666666666, SunshineDuration = 0, DiffuseHorizontalIrradiance = 128, AmbientTemp = 3,7, WindSpeed = 11,7, SnowDepth = 0, Weight = 0, Age = 4,221913112267239, MeasuredPower = , HasMeasuredPower = False },LEG.PV.Data.Processor.DataRecords+PvRecord,"03.12.2025 13:00:00",0,"0,7201183641034221","0,9095760221444958","0,3343026433573577","361,5666666666666",0,128,"3,7","11,7",0,0,"4,221913112267239","",False</t>
  </si>
  <si>
    <t>PvRecord { Timestamp = 03.12.2025 13:15:00, Index = 0, DirectGeometryFactor = 0,6929648835414792, DiffuseGeometryFactor = 0,9095760221444958, CosSunElevation = 0,3236378179745325, GlobalHorizontalIrradiance = 361,5666666666666, SunshineDuration = 0, DiffuseHorizontalIrradiance = 128, AmbientTemp = 3,7, WindSpeed = 11,7, SnowDepth = 0, Weight = 0, Age = 4,22194163215532, MeasuredPower = , HasMeasuredPower = False },LEG.PV.Data.Processor.DataRecords+PvRecord,"03.12.2025 13:15:00",0,"0,6929648835414792","0,9095760221444958","0,3236378179745325","361,5666666666666",0,128,"3,7","11,7",0,0,"4,22194163215532","",False</t>
  </si>
  <si>
    <t>PvRecord { Timestamp = 03.12.2025 13:30:00, Index = 0, DirectGeometryFactor = 0,6624686779544594, DiffuseGeometryFactor = 0,9095760221444958, CosSunElevation = 0,31041388368704126, GlobalHorizontalIrradiance = 345,24999999999994, SunshineDuration = 0, DiffuseHorizontalIrradiance = 117, AmbientTemp = 3,75, WindSpeed = 12,6, SnowDepth = 0, Weight = 0, Age = 4,221970152043402, MeasuredPower = , HasMeasuredPower = False },LEG.PV.Data.Processor.DataRecords+PvRecord,"03.12.2025 13:30:00",0,"0,6624686779544594","0,9095760221444958","0,31041388368704126","345,24999999999994",0,117,"3,75","12,6",0,0,"4,221970152043402","",False</t>
  </si>
  <si>
    <t>PvRecord { Timestamp = 03.12.2025 13:45:00, Index = 0, DirectGeometryFactor = 0,6287619847353961, DiffuseGeometryFactor = 0,9095760221444958, CosSunElevation = 0,29468945543503666, GlobalHorizontalIrradiance = 345,24999999999994, SunshineDuration = 0, DiffuseHorizontalIrradiance = 117, AmbientTemp = 3,75, WindSpeed = 12,6, SnowDepth = 0, Weight = 0, Age = 4,221998671931483, MeasuredPower = , HasMeasuredPower = False },LEG.PV.Data.Processor.DataRecords+PvRecord,"03.12.2025 13:45:00",0,"0,6287619847353961","0,9095760221444958","0,29468945543503666","345,24999999999994",0,117,"3,75","12,6",0,0,"4,221998671931483","",False</t>
  </si>
  <si>
    <t>PvRecord { Timestamp = 03.12.2025 14:00:00, Index = 0, DirectGeometryFactor = 0,5919915166738282, DiffuseGeometryFactor = 0,9095760221444958, CosSunElevation = 0,2765347457388889, GlobalHorizontalIrradiance = 345,24999999999994, SunshineDuration = 0, DiffuseHorizontalIrradiance = 117, AmbientTemp = 3,75, WindSpeed = 12,6, SnowDepth = 0, Weight = 0, Age = 4,222027191819565, MeasuredPower = , HasMeasuredPower = False },LEG.PV.Data.Processor.DataRecords+PvRecord,"03.12.2025 14:00:00",0,"0,5919915166738282","0,9095760221444958","0,2765347457388889","345,24999999999994",0,117,"3,75","12,6",0,0,"4,222027191819565","",False</t>
  </si>
  <si>
    <t>PvRecord { Timestamp = 03.12.2025 14:15:00, Index = 0, DirectGeometryFactor = 0,5523182026493932, DiffuseGeometryFactor = 0,9095760221444958, CosSunElevation = 0,2560317123615506, GlobalHorizontalIrradiance = 345,24999999999994, SunshineDuration = 0, DiffuseHorizontalIrradiance = 117, AmbientTemp = 3,75, WindSpeed = 12,6, SnowDepth = 0, Weight = 0, Age = 4,222055711707647, MeasuredPower = , HasMeasuredPower = False },LEG.PV.Data.Processor.DataRecords+PvRecord,"03.12.2025 14:15:00",0,"0,5523182026493932","0,9095760221444958","0,2560317123615506","345,24999999999994",0,117,"3,75","12,6",0,0,"4,222055711707647","",False</t>
  </si>
  <si>
    <t>PvRecord { Timestamp = 03.12.2025 14:30:00, Index = 0, DirectGeometryFactor = 0,5099171346443542, DiffuseGeometryFactor = 0,9095760221444958, CosSunElevation = 0,23327448034017575, GlobalHorizontalIrradiance = 320,93333333333334, SunshineDuration = 0, DiffuseHorizontalIrradiance = 91, AmbientTemp = 3,4, WindSpeed = 13,32, SnowDepth = 0, Weight = 0, Age = 4,222084231595728, MeasuredPower = , HasMeasuredPower = False },LEG.PV.Data.Processor.DataRecords+PvRecord,"03.12.2025 14:30:00",0,"0,5099171346443542","0,9095760221444958","0,23327448034017575","320,93333333333334",0,91,"3,4","13,32",0,0,"4,222084231595728","",False</t>
  </si>
  <si>
    <t>PvRecord { Timestamp = 03.12.2025 14:45:00, Index = 0, DirectGeometryFactor = 0,4649779684898313, DiffuseGeometryFactor = 0,9095760221444958, CosSunElevation = 0,20837033710721498, GlobalHorizontalIrradiance = 320,93333333333334, SunshineDuration = 0, DiffuseHorizontalIrradiance = 91, AmbientTemp = 3,4, WindSpeed = 13,32, SnowDepth = 0, Weight = 0, Age = 4,2221127514838095, MeasuredPower = , HasMeasuredPower = False },LEG.PV.Data.Processor.DataRecords+PvRecord,"03.12.2025 14:45:00",0,"0,4649779684898313","0,9095760221444958","0,20837033710721498","320,93333333333334",0,91,"3,4","13,32",0,0,"4,2221127514838095","",False</t>
  </si>
  <si>
    <t>PvRecord { Timestamp = 03.12.2025 15:00:00, Index = 0, DirectGeometryFactor = 0,41770632445979744, DiffuseGeometryFactor = 0,9095760221444958, CosSunElevation = 0,1814419616100863, GlobalHorizontalIrradiance = 320,93333333333334, SunshineDuration = 0, DiffuseHorizontalIrradiance = 91, AmbientTemp = 3,4, WindSpeed = 13,32, SnowDepth = 0, Weight = 0, Age = 4,222141271371891, MeasuredPower = , HasMeasuredPower = False },LEG.PV.Data.Processor.DataRecords+PvRecord,"03.12.2025 15:00:00",0,"0,41770632445979744","0,9095760221444958","0,1814419616100863","320,93333333333334",0,91,"3,4","13,32",0,0,"4,222141271371891","",False</t>
  </si>
  <si>
    <t>PvRecord { Timestamp = 03.12.2025 15:15:00, Index = 0, DirectGeometryFactor = 0,368327498676867, DiffuseGeometryFactor = 0,9095760221444958, CosSunElevation = 0,15263247766945776, GlobalHorizontalIrradiance = 320,93333333333334, SunshineDuration = 0, DiffuseHorizontalIrradiance = 91, AmbientTemp = 3,4, WindSpeed = 13,32, SnowDepth = 0, Weight = 0, Age = 4,222169791259973, MeasuredPower = , HasMeasuredPower = False },LEG.PV.Data.Processor.DataRecords+PvRecord,"03.12.2025 15:15:00",0,"0,368327498676867","0,9095760221444958","0,15263247766945776","320,93333333333334",0,91,"3,4","13,32",0,0,"4,222169791259973","",False</t>
  </si>
  <si>
    <t>PvRecord { Timestamp = 03.12.2025 15:30:00, Index = 0, DirectGeometryFactor = 0,31709598444176224, DiffuseGeometryFactor = 0,9095760221444958, CosSunElevation = 0,12211757873365837, GlobalHorizontalIrradiance = 294,7, SunshineDuration = 0, DiffuseHorizontalIrradiance = 51, AmbientTemp = 2,95, WindSpeed = 15,120000000000001, SnowDepth = 0, Weight = 0, Age = 4,2221983111480546, MeasuredPower = , HasMeasuredPower = False },LEG.PV.Data.Processor.DataRecords+PvRecord,"03.12.2025 15:30:00",0,"0,31709598444176224","0,9095760221444958","0,12211757873365837","294,7",0,51,"2,95","15,120000000000001",0,0,"4,2221983111480546","",False</t>
  </si>
  <si>
    <t>PvRecord { Timestamp = 03.12.2025 15:45:00, Index = 0, DirectGeometryFactor = 0, DiffuseGeometryFactor = 0,9095760221444958, CosSunElevation = 0,09013759612747382, GlobalHorizontalIrradiance = 294,7, SunshineDuration = 0, DiffuseHorizontalIrradiance = 51, AmbientTemp = 2,95, WindSpeed = 15,120000000000001, SnowDepth = 0, Weight = 0, Age = 4,222226831036136, MeasuredPower = , HasMeasuredPower = False },LEG.PV.Data.Processor.DataRecords+PvRecord,"03.12.2025 15:45:00",0,0,"0,9095760221444958","0,09013759612747382","294,7",0,51,"2,95","15,120000000000001",0,0,"4,222226831036136","",False</t>
  </si>
  <si>
    <t>PvRecord { Timestamp = 03.12.2025 16:00:00, Index = 0, DirectGeometryFactor = 0, DiffuseGeometryFactor = 0,9095760221444958, CosSunElevation = 0,057094593479748684, GlobalHorizontalIrradiance = 294,7, SunshineDuration = 0, DiffuseHorizontalIrradiance = 51, AmbientTemp = 2,95, WindSpeed = 15,120000000000001, SnowDepth = 0, Weight = 0, Age = 4,222255350924217, MeasuredPower = , HasMeasuredPower = False },LEG.PV.Data.Processor.DataRecords+PvRecord,"03.12.2025 16:00:00",0,0,"0,9095760221444958","0,057094593479748684","294,7",0,51,"2,95","15,120000000000001",0,0,"4,222255350924217","",False</t>
  </si>
  <si>
    <t>PvRecord { Timestamp = 03.12.2025 16:15:00, Index = 0, DirectGeometryFactor = 0, DiffuseGeometryFactor = 0,9095760221444958, CosSunElevation = 0,02388525601162839, GlobalHorizontalIrradiance = 294,7, SunshineDuration = 0, DiffuseHorizontalIrradiance = 51, AmbientTemp = 2,95, WindSpeed = 15,120000000000001, SnowDepth = 0, Weight = 0, Age = 4,222283870812299, MeasuredPower = , HasMeasuredPower = False },LEG.PV.Data.Processor.DataRecords+PvRecord,"03.12.2025 16:15:00",0,0,"0,9095760221444958","0,02388525601162839","294,7",0,51,"2,95","15,120000000000001",0,0,"4,222283870812299","",False</t>
  </si>
  <si>
    <t>PvRecord { Timestamp = 03.12.2025 16:30:00,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4,222312390700381, MeasuredPower = , HasMeasuredPower = False },LEG.PV.Data.Processor.DataRecords+PvRecord,"03.12.2025 16:30:00",0,0,"0,9095760221444958",0,"108,98333333333332",0,11,"2,3499999999999996","16,740000000000002",0,0,"4,222312390700381","",False</t>
  </si>
  <si>
    <t>PvRecord { Timestamp = 03.12.2025 16:45:00,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4,222340910588462, MeasuredPower = , HasMeasuredPower = False },LEG.PV.Data.Processor.DataRecords+PvRecord,"03.12.2025 16:45:00",0,0,"0,9095760221444958",0,"108,98333333333332",0,11,"2,3499999999999996","16,740000000000002",0,0,"4,222340910588462","",False</t>
  </si>
  <si>
    <t>PvRecord { Timestamp = 03.12.2025 17:00:00,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4,222369430476544, MeasuredPower = , HasMeasuredPower = False },LEG.PV.Data.Processor.DataRecords+PvRecord,"03.12.2025 17:00:00",0,0,"0,9095760221444958",0,"108,98333333333332",0,11,"2,3499999999999996","16,740000000000002",0,0,"4,222369430476544","",False</t>
  </si>
  <si>
    <t>PvRecord { Timestamp = 03.12.2025 17:15:00, Index = 0, DirectGeometryFactor = 0, DiffuseGeometryFactor = 0,9095760221444958, CosSunElevation = 0, GlobalHorizontalIrradiance = 108,98333333333332, SunshineDuration = 0, DiffuseHorizontalIrradiance = 11, AmbientTemp = 2,3499999999999996, WindSpeed = 16,740000000000002, SnowDepth = 0, Weight = 0, Age = 4,222397950364625, MeasuredPower = , HasMeasuredPower = False },LEG.PV.Data.Processor.DataRecords+PvRecord,"03.12.2025 17:15:00",0,0,"0,9095760221444958",0,"108,98333333333332",0,11,"2,3499999999999996","16,740000000000002",0,0,"4,222397950364625","",False</t>
  </si>
  <si>
    <t>PvRecord { Timestamp = 03.12.2025 17:30:00, Index = 0, DirectGeometryFactor = 0, DiffuseGeometryFactor = 0,9095760221444958, CosSunElevation = 0, GlobalHorizontalIrradiance = 0, SunshineDuration = 0, DiffuseHorizontalIrradiance = 0, AmbientTemp = 1,85, WindSpeed = 18, SnowDepth = 0, Weight = 0, Age = 4,222426470252707, MeasuredPower = , HasMeasuredPower = False },LEG.PV.Data.Processor.DataRecords+PvRecord,"03.12.2025 17:30:00",0,0,"0,9095760221444958",0,0,0,0,"1,85",18,0,0,"4,222426470252707","",False</t>
  </si>
  <si>
    <t>PvRecord { Timestamp = 03.12.2025 17:45:00, Index = 0, DirectGeometryFactor = 0, DiffuseGeometryFactor = 0,9095760221444958, CosSunElevation = 0, GlobalHorizontalIrradiance = 0, SunshineDuration = 0, DiffuseHorizontalIrradiance = 0, AmbientTemp = 1,85, WindSpeed = 18, SnowDepth = 0, Weight = 0, Age = 4,222454990140789, MeasuredPower = , HasMeasuredPower = False },LEG.PV.Data.Processor.DataRecords+PvRecord,"03.12.2025 17:45:00",0,0,"0,9095760221444958",0,0,0,0,"1,85",18,0,0,"4,222454990140789","",False</t>
  </si>
  <si>
    <t>PvRecord { Timestamp = 03.12.2025 18:00:00, Index = 0, DirectGeometryFactor = 0, DiffuseGeometryFactor = 0,9095760221444958, CosSunElevation = 0, GlobalHorizontalIrradiance = 0, SunshineDuration = 0, DiffuseHorizontalIrradiance = 0, AmbientTemp = 1,85, WindSpeed = 18, SnowDepth = 0, Weight = 0, Age = 4,22248351002887, MeasuredPower = , HasMeasuredPower = False },LEG.PV.Data.Processor.DataRecords+PvRecord,"03.12.2025 18:00:00",0,0,"0,9095760221444958",0,0,0,0,"1,85",18,0,0,"4,22248351002887","",False</t>
  </si>
  <si>
    <t>PvRecord { Timestamp = 03.12.2025 18:15:00, Index = 0, DirectGeometryFactor = 0, DiffuseGeometryFactor = 0,9095760221444958, CosSunElevation = 0, GlobalHorizontalIrradiance = 0, SunshineDuration = 0, DiffuseHorizontalIrradiance = 0, AmbientTemp = 1,85, WindSpeed = 18, SnowDepth = 0, Weight = 0, Age = 4,222512029916952, MeasuredPower = , HasMeasuredPower = False },LEG.PV.Data.Processor.DataRecords+PvRecord,"03.12.2025 18:15:00",0,0,"0,9095760221444958",0,0,0,0,"1,85",18,0,0,"4,222512029916952","",False</t>
  </si>
  <si>
    <t>PvRecord { Timestamp = 03.12.2025 18:30:00, Index = 0, DirectGeometryFactor = 0, DiffuseGeometryFactor = 0,9095760221444958, CosSunElevation = 0, GlobalHorizontalIrradiance = 0, SunshineDuration = 0, DiffuseHorizontalIrradiance = 0, AmbientTemp = 1,5, WindSpeed = 18,72, SnowDepth = 0, Weight = 0, Age = 4,222540549805033, MeasuredPower = , HasMeasuredPower = False },LEG.PV.Data.Processor.DataRecords+PvRecord,"03.12.2025 18:30:00",0,0,"0,9095760221444958",0,0,0,0,"1,5","18,72",0,0,"4,222540549805033","",False</t>
  </si>
  <si>
    <t>PvRecord { Timestamp = 03.12.2025 18:45:00, Index = 0, DirectGeometryFactor = 0, DiffuseGeometryFactor = 0,9095760221444958, CosSunElevation = 0, GlobalHorizontalIrradiance = 0, SunshineDuration = 0, DiffuseHorizontalIrradiance = 0, AmbientTemp = 1,5, WindSpeed = 18,72, SnowDepth = 0, Weight = 0, Age = 4,222569069693114, MeasuredPower = , HasMeasuredPower = False },LEG.PV.Data.Processor.DataRecords+PvRecord,"03.12.2025 18:45:00",0,0,"0,9095760221444958",0,0,0,0,"1,5","18,72",0,0,"4,222569069693114","",False</t>
  </si>
  <si>
    <t>PvRecord { Timestamp = 03.12.2025 19:00:00, Index = 0, DirectGeometryFactor = 0, DiffuseGeometryFactor = 0,9095760221444958, CosSunElevation = 0, GlobalHorizontalIrradiance = 0, SunshineDuration = 0, DiffuseHorizontalIrradiance = 0, AmbientTemp = 1,5, WindSpeed = 18,72, SnowDepth = 0, Weight = 0, Age = 4,222597589581197, MeasuredPower = , HasMeasuredPower = False },LEG.PV.Data.Processor.DataRecords+PvRecord,"03.12.2025 19:00:00",0,0,"0,9095760221444958",0,0,0,0,"1,5","18,72",0,0,"4,222597589581197","",False</t>
  </si>
  <si>
    <t>PvRecord { Timestamp = 03.12.2025 19:15:00, Index = 0, DirectGeometryFactor = 0, DiffuseGeometryFactor = 0,9095760221444958, CosSunElevation = 0, GlobalHorizontalIrradiance = 0, SunshineDuration = 0, DiffuseHorizontalIrradiance = 0, AmbientTemp = 1,5, WindSpeed = 18,72, SnowDepth = 0, Weight = 0, Age = 4,222626109469278, MeasuredPower = , HasMeasuredPower = False },LEG.PV.Data.Processor.DataRecords+PvRecord,"03.12.2025 19:15:00",0,0,"0,9095760221444958",0,0,0,0,"1,5","18,72",0,0,"4,222626109469278","",False</t>
  </si>
  <si>
    <t>PvRecord { Timestamp = 03.12.2025 19:30:00, Index = 0, DirectGeometryFactor = 0, DiffuseGeometryFactor = 0,9095760221444958, CosSunElevation = 0, GlobalHorizontalIrradiance = 0, SunshineDuration = 0, DiffuseHorizontalIrradiance = 0, AmbientTemp = 1,3, WindSpeed = 17,64, SnowDepth = 0, Weight = 0, Age = 4,2226546293573595, MeasuredPower = , HasMeasuredPower = False },LEG.PV.Data.Processor.DataRecords+PvRecord,"03.12.2025 19:30:00",0,0,"0,9095760221444958",0,0,0,0,"1,3","17,64",0,0,"4,2226546293573595","",False</t>
  </si>
  <si>
    <t>PvRecord { Timestamp = 03.12.2025 19:45:00, Index = 0, DirectGeometryFactor = 0, DiffuseGeometryFactor = 0,9095760221444958, CosSunElevation = 0, GlobalHorizontalIrradiance = 0, SunshineDuration = 0, DiffuseHorizontalIrradiance = 0, AmbientTemp = 1,3, WindSpeed = 17,64, SnowDepth = 0, Weight = 0, Age = 4,222683149245441, MeasuredPower = , HasMeasuredPower = False },LEG.PV.Data.Processor.DataRecords+PvRecord,"03.12.2025 19:45:00",0,0,"0,9095760221444958",0,0,0,0,"1,3","17,64",0,0,"4,222683149245441","",False</t>
  </si>
  <si>
    <t>PvRecord { Timestamp = 03.12.2025 20:00:00, Index = 0, DirectGeometryFactor = 0, DiffuseGeometryFactor = 0,9095760221444958, CosSunElevation = 0, GlobalHorizontalIrradiance = 0, SunshineDuration = 0, DiffuseHorizontalIrradiance = 0, AmbientTemp = 1,3, WindSpeed = 17,64, SnowDepth = 0, Weight = 0, Age = 4,222711669133522, MeasuredPower = , HasMeasuredPower = False },LEG.PV.Data.Processor.DataRecords+PvRecord,"03.12.2025 20:00:00",0,0,"0,9095760221444958",0,0,0,0,"1,3","17,64",0,0,"4,222711669133522","",False</t>
  </si>
  <si>
    <t>PvRecord { Timestamp = 03.12.2025 20:15:00, Index = 0, DirectGeometryFactor = 0, DiffuseGeometryFactor = 0,9095760221444958, CosSunElevation = 0, GlobalHorizontalIrradiance = 0, SunshineDuration = 0, DiffuseHorizontalIrradiance = 0, AmbientTemp = 1,3, WindSpeed = 17,64, SnowDepth = 0, Weight = 0, Age = 4,2227401890216045, MeasuredPower = , HasMeasuredPower = False },LEG.PV.Data.Processor.DataRecords+PvRecord,"03.12.2025 20:15:00",0,0,"0,9095760221444958",0,0,0,0,"1,3","17,64",0,0,"4,2227401890216045","",False</t>
  </si>
  <si>
    <t>PvRecord { Timestamp = 03.12.2025 20:30:00,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4,222768708909686, MeasuredPower = , HasMeasuredPower = False },LEG.PV.Data.Processor.DataRecords+PvRecord,"03.12.2025 20:30:00",0,0,"0,9095760221444958",0,0,0,0,"1,15","14,760000000000002",0,0,"4,222768708909686","",False</t>
  </si>
  <si>
    <t>PvRecord { Timestamp = 03.12.2025 20:45:00,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4,222797228797767, MeasuredPower = , HasMeasuredPower = False },LEG.PV.Data.Processor.DataRecords+PvRecord,"03.12.2025 20:45:00",0,0,"0,9095760221444958",0,0,0,0,"1,15","14,760000000000002",0,0,"4,222797228797767","",False</t>
  </si>
  <si>
    <t>PvRecord { Timestamp = 03.12.2025 21:00:00,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4,222825748685849, MeasuredPower = , HasMeasuredPower = False },LEG.PV.Data.Processor.DataRecords+PvRecord,"03.12.2025 21:00:00",0,0,"0,9095760221444958",0,0,0,0,"1,15","14,760000000000002",0,0,"4,222825748685849","",False</t>
  </si>
  <si>
    <t>PvRecord { Timestamp = 03.12.2025 21:15:00, Index = 0, DirectGeometryFactor = 0, DiffuseGeometryFactor = 0,9095760221444958, CosSunElevation = 0, GlobalHorizontalIrradiance = 0, SunshineDuration = 0, DiffuseHorizontalIrradiance = 0, AmbientTemp = 1,15, WindSpeed = 14,760000000000002, SnowDepth = 0, Weight = 0, Age = 4,22285426857393, MeasuredPower = , HasMeasuredPower = False },LEG.PV.Data.Processor.DataRecords+PvRecord,"03.12.2025 21:15:00",0,0,"0,9095760221444958",0,0,0,0,"1,15","14,760000000000002",0,0,"4,22285426857393","",False</t>
  </si>
  <si>
    <t>PvRecord { Timestamp = 03.12.2025 21:30:00,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4,222882788462012, MeasuredPower = , HasMeasuredPower = False },LEG.PV.Data.Processor.DataRecords+PvRecord,"03.12.2025 21:30:00",0,0,"0,9095760221444958",0,0,0,0,1,"11,700000000000001",0,0,"4,222882788462012","",False</t>
  </si>
  <si>
    <t>PvRecord { Timestamp = 03.12.2025 21:45:00,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4,222911308350094, MeasuredPower = , HasMeasuredPower = False },LEG.PV.Data.Processor.DataRecords+PvRecord,"03.12.2025 21:45:00",0,0,"0,9095760221444958",0,0,0,0,1,"11,700000000000001",0,0,"4,222911308350094","",False</t>
  </si>
  <si>
    <t>PvRecord { Timestamp = 03.12.2025 22:00:00,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4,222939828238175, MeasuredPower = , HasMeasuredPower = False },LEG.PV.Data.Processor.DataRecords+PvRecord,"03.12.2025 22:00:00",0,0,"0,9095760221444958",0,0,0,0,1,"11,700000000000001",0,0,"4,222939828238175","",False</t>
  </si>
  <si>
    <t>PvRecord { Timestamp = 03.12.2025 22:15:00, Index = 0, DirectGeometryFactor = 0, DiffuseGeometryFactor = 0,9095760221444958, CosSunElevation = 0, GlobalHorizontalIrradiance = 0, SunshineDuration = 0, DiffuseHorizontalIrradiance = 0, AmbientTemp = 1, WindSpeed = 11,700000000000001, SnowDepth = 0, Weight = 0, Age = 4,2229683481262565, MeasuredPower = , HasMeasuredPower = False },LEG.PV.Data.Processor.DataRecords+PvRecord,"03.12.2025 22:15:00",0,0,"0,9095760221444958",0,0,0,0,1,"11,700000000000001",0,0,"4,2229683481262565","",False</t>
  </si>
  <si>
    <t>PvRecord { Timestamp = 03.12.2025 22:30:00,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4,222996868014338, MeasuredPower = , HasMeasuredPower = False },LEG.PV.Data.Processor.DataRecords+PvRecord,"03.12.2025 22:30:00",0,0,"0,9095760221444958",0,0,0,0,"0,9500000000000001","8,280000000000001",0,0,"4,222996868014338","",False</t>
  </si>
  <si>
    <t>PvRecord { Timestamp = 03.12.2025 22:45:00,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4,22302538790242, MeasuredPower = , HasMeasuredPower = False },LEG.PV.Data.Processor.DataRecords+PvRecord,"03.12.2025 22:45:00",0,0,"0,9095760221444958",0,0,0,0,"0,9500000000000001","8,280000000000001",0,0,"4,22302538790242","",False</t>
  </si>
  <si>
    <t>PvRecord { Timestamp = 03.12.2025 23:00:00,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4,223053907790502, MeasuredPower = , HasMeasuredPower = False },LEG.PV.Data.Processor.DataRecords+PvRecord,"03.12.2025 23:00:00",0,0,"0,9095760221444958",0,0,0,0,"0,9500000000000001","8,280000000000001",0,0,"4,223053907790502","",False</t>
  </si>
  <si>
    <t>PvRecord { Timestamp = 03.12.2025 23:15:00, Index = 0, DirectGeometryFactor = 0, DiffuseGeometryFactor = 0,9095760221444958, CosSunElevation = 0, GlobalHorizontalIrradiance = 0, SunshineDuration = 0, DiffuseHorizontalIrradiance = 0, AmbientTemp = 0,9500000000000001, WindSpeed = 8,280000000000001, SnowDepth = 0, Weight = 0, Age = 4,223082427678583, MeasuredPower = , HasMeasuredPower = False },LEG.PV.Data.Processor.DataRecords+PvRecord,"03.12.2025 23:15:00",0,0,"0,9095760221444958",0,0,0,0,"0,9500000000000001","8,280000000000001",0,0,"4,223082427678583","",False</t>
  </si>
  <si>
    <t>PvRecord { Timestamp = 03.12.2025 23:30:00, Index = 0, DirectGeometryFactor = 0, DiffuseGeometryFactor = 0,9095760221444958, CosSunElevation = 0, GlobalHorizontalIrradiance = 0, SunshineDuration = 0, DiffuseHorizontalIrradiance = 0, AmbientTemp = 0,9, WindSpeed = 4,86, SnowDepth = 0, Weight = 0, Age = 4,223110947566664, MeasuredPower = , HasMeasuredPower = False },LEG.PV.Data.Processor.DataRecords+PvRecord,"03.12.2025 23:30:00",0,0,"0,9095760221444958",0,0,0,0,"0,9","4,86",0,0,"4,223110947566664","",False</t>
  </si>
  <si>
    <t>PvRecord { Timestamp = 03.12.2025 23:45:00, Index = 0, DirectGeometryFactor = 0, DiffuseGeometryFactor = 0,9095760221444958, CosSunElevation = 0, GlobalHorizontalIrradiance = 0, SunshineDuration = 0, DiffuseHorizontalIrradiance = 0, AmbientTemp = 0,9, WindSpeed = 4,86, SnowDepth = 0, Weight = 0, Age = 4,223139467454746, MeasuredPower = , HasMeasuredPower = False },LEG.PV.Data.Processor.DataRecords+PvRecord,"03.12.2025 23:45:00",0,0,"0,9095760221444958",0,0,0,0,"0,9","4,86",0,0,"4,223139467454746","",False</t>
  </si>
  <si>
    <t>PvRecord { Timestamp = 04.12.2025 00:00:00, Index = 0, DirectGeometryFactor = 0, DiffuseGeometryFactor = 0,9095760221444958, CosSunElevation = 0, GlobalHorizontalIrradiance = 0, SunshineDuration = 0, DiffuseHorizontalIrradiance = 0, AmbientTemp = 0,9, WindSpeed = 4,86, SnowDepth = 0, Weight = 0, Age = 4,223167987342828, MeasuredPower = , HasMeasuredPower = False },LEG.PV.Data.Processor.DataRecords+PvRecord,"04.12.2025 00:00:00",0,0,"0,9095760221444958",0,0,0,0,"0,9","4,86",0,0,"4,223167987342828","",False</t>
  </si>
  <si>
    <t>PvRecord { Timestamp = 04.12.2025 00:15:00, Index = 0, DirectGeometryFactor = 0, DiffuseGeometryFactor = 0,9095760221444958, CosSunElevation = 0, GlobalHorizontalIrradiance = 0, SunshineDuration = 0, DiffuseHorizontalIrradiance = 0, AmbientTemp = 0,9, WindSpeed = 4,86, SnowDepth = 0, Weight = 0, Age = 4,2231965072309094, MeasuredPower = , HasMeasuredPower = False },LEG.PV.Data.Processor.DataRecords+PvRecord,"04.12.2025 00:15:00",0,0,"0,9095760221444958",0,0,0,0,"0,9","4,86",0,0,"4,2231965072309094","",False</t>
  </si>
  <si>
    <t>PvRecord { Timestamp = 04.12.2025 00:30:00,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4,223225027118991, MeasuredPower = , HasMeasuredPower = False },LEG.PV.Data.Processor.DataRecords+PvRecord,"04.12.2025 00:30:00",0,0,"0,9095760221444958",0,0,0,0,"0,8500000000000001","3,0600000000000005",0,0,"4,223225027118991","",False</t>
  </si>
  <si>
    <t>PvRecord { Timestamp = 04.12.2025 00:45:00,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4,223253547007072, MeasuredPower = , HasMeasuredPower = False },LEG.PV.Data.Processor.DataRecords+PvRecord,"04.12.2025 00:45:00",0,0,"0,9095760221444958",0,0,0,0,"0,8500000000000001","3,0600000000000005",0,0,"4,223253547007072","",False</t>
  </si>
  <si>
    <t>PvRecord { Timestamp = 04.12.2025 01:00:00,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4,223282066895154, MeasuredPower = , HasMeasuredPower = False },LEG.PV.Data.Processor.DataRecords+PvRecord,"04.12.2025 01:00:00",0,0,"0,9095760221444958",0,0,0,0,"0,8500000000000001","3,0600000000000005",0,0,"4,223282066895154","",False</t>
  </si>
  <si>
    <t>PvRecord { Timestamp = 04.12.2025 01:15:00, Index = 0, DirectGeometryFactor = 0, DiffuseGeometryFactor = 0,9095760221444958, CosSunElevation = 0, GlobalHorizontalIrradiance = 0, SunshineDuration = 0, DiffuseHorizontalIrradiance = 0, AmbientTemp = 0,8500000000000001, WindSpeed = 3,0600000000000005, SnowDepth = 0, Weight = 0, Age = 4,223310586783236, MeasuredPower = , HasMeasuredPower = False },LEG.PV.Data.Processor.DataRecords+PvRecord,"04.12.2025 01:15:00",0,0,"0,9095760221444958",0,0,0,0,"0,8500000000000001","3,0600000000000005",0,0,"4,223310586783236","",False</t>
  </si>
  <si>
    <t>PvRecord { Timestamp = 04.12.2025 01:30:00, Index = 0, DirectGeometryFactor = 0, DiffuseGeometryFactor = 0,9095760221444958, CosSunElevation = 0, GlobalHorizontalIrradiance = 0, SunshineDuration = 0, DiffuseHorizontalIrradiance = 0, AmbientTemp = 0,8, WindSpeed = 1,98, SnowDepth = 0, Weight = 0, Age = 4,223339106671317, MeasuredPower = , HasMeasuredPower = False },LEG.PV.Data.Processor.DataRecords+PvRecord,"04.12.2025 01:30:00",0,0,"0,9095760221444958",0,0,0,0,"0,8","1,98",0,0,"4,223339106671317","",False</t>
  </si>
  <si>
    <t>PvRecord { Timestamp = 04.12.2025 01:45:00, Index = 0, DirectGeometryFactor = 0, DiffuseGeometryFactor = 0,9095760221444958, CosSunElevation = 0, GlobalHorizontalIrradiance = 0, SunshineDuration = 0, DiffuseHorizontalIrradiance = 0, AmbientTemp = 0,8, WindSpeed = 1,98, SnowDepth = 0, Weight = 0, Age = 4,223367626559399, MeasuredPower = , HasMeasuredPower = False },LEG.PV.Data.Processor.DataRecords+PvRecord,"04.12.2025 01:45:00",0,0,"0,9095760221444958",0,0,0,0,"0,8","1,98",0,0,"4,223367626559399","",False</t>
  </si>
  <si>
    <t>PvRecord { Timestamp = 04.12.2025 02:00:00, Index = 0, DirectGeometryFactor = 0, DiffuseGeometryFactor = 0,9095760221444958, CosSunElevation = 0, GlobalHorizontalIrradiance = 0, SunshineDuration = 0, DiffuseHorizontalIrradiance = 0, AmbientTemp = 0,8, WindSpeed = 1,98, SnowDepth = 0, Weight = 0, Age = 4,22339614644748, MeasuredPower = , HasMeasuredPower = False },LEG.PV.Data.Processor.DataRecords+PvRecord,"04.12.2025 02:00:00",0,0,"0,9095760221444958",0,0,0,0,"0,8","1,98",0,0,"4,22339614644748","",False</t>
  </si>
  <si>
    <t>PvRecord { Timestamp = 04.12.2025 02:15:00, Index = 0, DirectGeometryFactor = 0, DiffuseGeometryFactor = 0,9095760221444958, CosSunElevation = 0, GlobalHorizontalIrradiance = 0, SunshineDuration = 0, DiffuseHorizontalIrradiance = 0, AmbientTemp = 0,8, WindSpeed = 1,98, SnowDepth = 0, Weight = 0, Age = 4,2234246663355615, MeasuredPower = , HasMeasuredPower = False },LEG.PV.Data.Processor.DataRecords+PvRecord,"04.12.2025 02:15:00",0,0,"0,9095760221444958",0,0,0,0,"0,8","1,98",0,0,"4,2234246663355615","",False</t>
  </si>
  <si>
    <t>PvRecord { Timestamp = 04.12.2025 02:30:00, Index = 0, DirectGeometryFactor = 0, DiffuseGeometryFactor = 0,9095760221444958, CosSunElevation = 0, GlobalHorizontalIrradiance = 0, SunshineDuration = 0, DiffuseHorizontalIrradiance = 0, AmbientTemp = 0,8, WindSpeed = 1,08, SnowDepth = 0, Weight = 0, Age = 4,223453186223644, MeasuredPower = , HasMeasuredPower = False },LEG.PV.Data.Processor.DataRecords+PvRecord,"04.12.2025 02:30:00",0,0,"0,9095760221444958",0,0,0,0,"0,8","1,08",0,0,"4,223453186223644","",False</t>
  </si>
  <si>
    <t>PvRecord { Timestamp = 04.12.2025 02:45:00, Index = 0, DirectGeometryFactor = 0, DiffuseGeometryFactor = 0,9095760221444958, CosSunElevation = 0, GlobalHorizontalIrradiance = 0, SunshineDuration = 0, DiffuseHorizontalIrradiance = 0, AmbientTemp = 0,8, WindSpeed = 1,08, SnowDepth = 0, Weight = 0, Age = 4,223481706111725, MeasuredPower = , HasMeasuredPower = False },LEG.PV.Data.Processor.DataRecords+PvRecord,"04.12.2025 02:45:00",0,0,"0,9095760221444958",0,0,0,0,"0,8","1,08",0,0,"4,223481706111725","",False</t>
  </si>
  <si>
    <t>PvRecord { Timestamp = 04.12.2025 03:00:00, Index = 0, DirectGeometryFactor = 0, DiffuseGeometryFactor = 0,9095760221444958, CosSunElevation = 0, GlobalHorizontalIrradiance = 0, SunshineDuration = 0, DiffuseHorizontalIrradiance = 0, AmbientTemp = 0,8, WindSpeed = 1,08, SnowDepth = 0, Weight = 0, Age = 4,2235102259998065, MeasuredPower = , HasMeasuredPower = False },LEG.PV.Data.Processor.DataRecords+PvRecord,"04.12.2025 03:00:00",0,0,"0,9095760221444958",0,0,0,0,"0,8","1,08",0,0,"4,2235102259998065","",False</t>
  </si>
  <si>
    <t>PvRecord { Timestamp = 04.12.2025 03:15:00, Index = 0, DirectGeometryFactor = 0, DiffuseGeometryFactor = 0,9095760221444958, CosSunElevation = 0, GlobalHorizontalIrradiance = 0, SunshineDuration = 0, DiffuseHorizontalIrradiance = 0, AmbientTemp = 0,8, WindSpeed = 1,08, SnowDepth = 0, Weight = 0, Age = 4,223538745887888, MeasuredPower = , HasMeasuredPower = False },LEG.PV.Data.Processor.DataRecords+PvRecord,"04.12.2025 03:15:00",0,0,"0,9095760221444958",0,0,0,0,"0,8","1,08",0,0,"4,223538745887888","",False</t>
  </si>
  <si>
    <t>PvRecord { Timestamp = 04.12.2025 03:30:00, Index = 0, DirectGeometryFactor = 0, DiffuseGeometryFactor = 0,9095760221444958, CosSunElevation = 0, GlobalHorizontalIrradiance = 0, SunshineDuration = 0, DiffuseHorizontalIrradiance = 0, AmbientTemp = 0,8, WindSpeed = 2,16, SnowDepth = 0, Weight = 0, Age = 4,223567265775969, MeasuredPower = , HasMeasuredPower = False },LEG.PV.Data.Processor.DataRecords+PvRecord,"04.12.2025 03:30:00",0,0,"0,9095760221444958",0,0,0,0,"0,8","2,16",0,0,"4,223567265775969","",False</t>
  </si>
  <si>
    <t>PvRecord { Timestamp = 04.12.2025 03:45:00, Index = 0, DirectGeometryFactor = 0, DiffuseGeometryFactor = 0,9095760221444958, CosSunElevation = 0, GlobalHorizontalIrradiance = 0, SunshineDuration = 0, DiffuseHorizontalIrradiance = 0, AmbientTemp = 0,8, WindSpeed = 2,16, SnowDepth = 0, Weight = 0, Age = 4,223595785664052, MeasuredPower = , HasMeasuredPower = False },LEG.PV.Data.Processor.DataRecords+PvRecord,"04.12.2025 03:45:00",0,0,"0,9095760221444958",0,0,0,0,"0,8","2,16",0,0,"4,223595785664052","",False</t>
  </si>
  <si>
    <t>PvRecord { Timestamp = 04.12.2025 04:00:00, Index = 0, DirectGeometryFactor = 0, DiffuseGeometryFactor = 0,9095760221444958, CosSunElevation = 0, GlobalHorizontalIrradiance = 0, SunshineDuration = 0, DiffuseHorizontalIrradiance = 0, AmbientTemp = 0,8, WindSpeed = 2,16, SnowDepth = 0, Weight = 0, Age = 4,223624305552133, MeasuredPower = , HasMeasuredPower = False },LEG.PV.Data.Processor.DataRecords+PvRecord,"04.12.2025 04:00:00",0,0,"0,9095760221444958",0,0,0,0,"0,8","2,16",0,0,"4,223624305552133","",False</t>
  </si>
  <si>
    <t>PvRecord { Timestamp = 04.12.2025 04:15:00, Index = 0, DirectGeometryFactor = 0, DiffuseGeometryFactor = 0,9095760221444958, CosSunElevation = 0, GlobalHorizontalIrradiance = 0, SunshineDuration = 0, DiffuseHorizontalIrradiance = 0, AmbientTemp = 0,8, WindSpeed = 2,16, SnowDepth = 0, Weight = 0, Age = 4,223652825440214, MeasuredPower = , HasMeasuredPower = False },LEG.PV.Data.Processor.DataRecords+PvRecord,"04.12.2025 04:15:00",0,0,"0,9095760221444958",0,0,0,0,"0,8","2,16",0,0,"4,223652825440214","",False</t>
  </si>
  <si>
    <t>PvRecord { Timestamp = 04.12.2025 04:30:00, Index = 0, DirectGeometryFactor = 0, DiffuseGeometryFactor = 0,9095760221444958, CosSunElevation = 0, GlobalHorizontalIrradiance = 0, SunshineDuration = 0, DiffuseHorizontalIrradiance = 0, AmbientTemp = 0,8, WindSpeed = 2,7, SnowDepth = 0, Weight = 0, Age = 4,223681345328296, MeasuredPower = , HasMeasuredPower = False },LEG.PV.Data.Processor.DataRecords+PvRecord,"04.12.2025 04:30:00",0,0,"0,9095760221444958",0,0,0,0,"0,8","2,7",0,0,"4,223681345328296","",False</t>
  </si>
  <si>
    <t>PvRecord { Timestamp = 04.12.2025 04:45:00, Index = 0, DirectGeometryFactor = 0, DiffuseGeometryFactor = 0,9095760221444958, CosSunElevation = 0, GlobalHorizontalIrradiance = 0, SunshineDuration = 0, DiffuseHorizontalIrradiance = 0, AmbientTemp = 0,8, WindSpeed = 2,7, SnowDepth = 0, Weight = 0, Age = 4,223709865216377, MeasuredPower = , HasMeasuredPower = False },LEG.PV.Data.Processor.DataRecords+PvRecord,"04.12.2025 04:45:00",0,0,"0,9095760221444958",0,0,0,0,"0,8","2,7",0,0,"4,223709865216377","",False</t>
  </si>
  <si>
    <t>PvRecord { Timestamp = 04.12.2025 05:00:00, Index = 0, DirectGeometryFactor = 0, DiffuseGeometryFactor = 0,9095760221444958, CosSunElevation = 0, GlobalHorizontalIrradiance = 0, SunshineDuration = 0, DiffuseHorizontalIrradiance = 0, AmbientTemp = 0,8, WindSpeed = 2,7, SnowDepth = 0, Weight = 0, Age = 4,223738385104459, MeasuredPower = , HasMeasuredPower = False },LEG.PV.Data.Processor.DataRecords+PvRecord,"04.12.2025 05:00:00",0,0,"0,9095760221444958",0,0,0,0,"0,8","2,7",0,0,"4,223738385104459","",False</t>
  </si>
  <si>
    <t>PvRecord { Timestamp = 04.12.2025 05:15:00, Index = 0, DirectGeometryFactor = 0, DiffuseGeometryFactor = 0,9095760221444958, CosSunElevation = 0, GlobalHorizontalIrradiance = 0, SunshineDuration = 0, DiffuseHorizontalIrradiance = 0, AmbientTemp = 0,8, WindSpeed = 2,7, SnowDepth = 0, Weight = 0, Age = 4,223766904992541, MeasuredPower = , HasMeasuredPower = False },LEG.PV.Data.Processor.DataRecords+PvRecord,"04.12.2025 05:15:00",0,0,"0,9095760221444958",0,0,0,0,"0,8","2,7",0,0,"4,223766904992541","",False</t>
  </si>
  <si>
    <t>PvRecord { Timestamp = 04.12.2025 05:30:00, Index = 0, DirectGeometryFactor = 0, DiffuseGeometryFactor = 0,9095760221444958, CosSunElevation = 0, GlobalHorizontalIrradiance = 0, SunshineDuration = 0, DiffuseHorizontalIrradiance = 0, AmbientTemp = 0,95, WindSpeed = 3,06, SnowDepth = 0, Weight = 0, Age = 4,223795424880622, MeasuredPower = , HasMeasuredPower = False },LEG.PV.Data.Processor.DataRecords+PvRecord,"04.12.2025 05:30:00",0,0,"0,9095760221444958",0,0,0,0,"0,95","3,06",0,0,"4,223795424880622","",False</t>
  </si>
  <si>
    <t>PvRecord { Timestamp = 04.12.2025 05:45:00, Index = 0, DirectGeometryFactor = 0, DiffuseGeometryFactor = 0,9095760221444958, CosSunElevation = 0, GlobalHorizontalIrradiance = 0, SunshineDuration = 0, DiffuseHorizontalIrradiance = 0, AmbientTemp = 0,95, WindSpeed = 3,06, SnowDepth = 0, Weight = 0, Age = 4,223823944768704, MeasuredPower = , HasMeasuredPower = False },LEG.PV.Data.Processor.DataRecords+PvRecord,"04.12.2025 05:45:00",0,0,"0,9095760221444958",0,0,0,0,"0,95","3,06",0,0,"4,223823944768704","",False</t>
  </si>
  <si>
    <t>PvRecord { Timestamp = 04.12.2025 06:00:00, Index = 0, DirectGeometryFactor = 0, DiffuseGeometryFactor = 0,9095760221444958, CosSunElevation = 0, GlobalHorizontalIrradiance = 0, SunshineDuration = 0, DiffuseHorizontalIrradiance = 0, AmbientTemp = 0,95, WindSpeed = 3,06, SnowDepth = 0, Weight = 0, Age = 4,223852464656785, MeasuredPower = , HasMeasuredPower = False },LEG.PV.Data.Processor.DataRecords+PvRecord,"04.12.2025 06:00:00",0,0,"0,9095760221444958",0,0,0,0,"0,95","3,06",0,0,"4,223852464656785","",False</t>
  </si>
  <si>
    <t>PvRecord { Timestamp = 04.12.2025 06:15:00, Index = 0, DirectGeometryFactor = 0, DiffuseGeometryFactor = 0,9095760221444958, CosSunElevation = 0, GlobalHorizontalIrradiance = 0, SunshineDuration = 0, DiffuseHorizontalIrradiance = 0, AmbientTemp = 0,95, WindSpeed = 3,06, SnowDepth = 0, Weight = 0, Age = 4,223880984544867, MeasuredPower = , HasMeasuredPower = False },LEG.PV.Data.Processor.DataRecords+PvRecord,"04.12.2025 06:15:00",0,0,"0,9095760221444958",0,0,0,0,"0,95","3,06",0,0,"4,223880984544867","",False</t>
  </si>
  <si>
    <t>PvRecord { Timestamp = 04.12.2025 06:30:00, Index = 0, DirectGeometryFactor = 0, DiffuseGeometryFactor = 0,9095760221444958, CosSunElevation = 0, GlobalHorizontalIrradiance = 0, SunshineDuration = 0, DiffuseHorizontalIrradiance = 0, AmbientTemp = 1,15, WindSpeed = 2,88, SnowDepth = 0, Weight = 0, Age = 4,223909504432949, MeasuredPower = , HasMeasuredPower = False },LEG.PV.Data.Processor.DataRecords+PvRecord,"04.12.2025 06:30:00",0,0,"0,9095760221444958",0,0,0,0,"1,15","2,88",0,0,"4,223909504432949","",False</t>
  </si>
  <si>
    <t>PvRecord { Timestamp = 04.12.2025 06:45:00, Index = 0, DirectGeometryFactor = 0, DiffuseGeometryFactor = 0,9095760221444958, CosSunElevation = 0, GlobalHorizontalIrradiance = 0, SunshineDuration = 0, DiffuseHorizontalIrradiance = 0, AmbientTemp = 1,15, WindSpeed = 2,88, SnowDepth = 0, Weight = 0, Age = 4,22393802432103, MeasuredPower = , HasMeasuredPower = False },LEG.PV.Data.Processor.DataRecords+PvRecord,"04.12.2025 06:45:00",0,0,"0,9095760221444958",0,0,0,0,"1,15","2,88",0,0,"4,22393802432103","",False</t>
  </si>
  <si>
    <t>PvRecord { Timestamp = 04.12.2025 07:00:00, Index = 0, DirectGeometryFactor = 0, DiffuseGeometryFactor = 0,9095760221444958, CosSunElevation = 0, GlobalHorizontalIrradiance = 0, SunshineDuration = 0, DiffuseHorizontalIrradiance = 0, AmbientTemp = 1,15, WindSpeed = 2,88, SnowDepth = 0, Weight = 0, Age = 4,223966544209111, MeasuredPower = , HasMeasuredPower = False },LEG.PV.Data.Processor.DataRecords+PvRecord,"04.12.2025 07:00:00",0,0,"0,9095760221444958",0,0,0,0,"1,15","2,88",0,0,"4,223966544209111","",False</t>
  </si>
  <si>
    <t>PvRecord { Timestamp = 04.12.2025 07:15:00, Index = 0, DirectGeometryFactor = 0, DiffuseGeometryFactor = 0,9095760221444958, CosSunElevation = 0, GlobalHorizontalIrradiance = 0, SunshineDuration = 0, DiffuseHorizontalIrradiance = 0, AmbientTemp = 1,15, WindSpeed = 2,88, SnowDepth = 0, Weight = 0, Age = 4,223995064097193, MeasuredPower = , HasMeasuredPower = False },LEG.PV.Data.Processor.DataRecords+PvRecord,"04.12.2025 07:15:00",0,0,"0,9095760221444958",0,0,0,0,"1,15","2,88",0,0,"4,223995064097193","",False</t>
  </si>
  <si>
    <t>PvRecord { Timestamp = 04.12.2025 07:30:00, Index = 0, DirectGeometryFactor = 0, DiffuseGeometryFactor = 0,9095760221444958, CosSunElevation = 0, GlobalHorizontalIrradiance = 0, SunshineDuration = 0, DiffuseHorizontalIrradiance = 0, AmbientTemp = 1,5, WindSpeed = 3,42, SnowDepth = 0, Weight = 0, Age = 4,224023583985275, MeasuredPower = , HasMeasuredPower = False },LEG.PV.Data.Processor.DataRecords+PvRecord,"04.12.2025 07:30:00",0,0,"0,9095760221444958",0,0,0,0,"1,5","3,42",0,0,"4,224023583985275","",False</t>
  </si>
  <si>
    <t>PvRecord { Timestamp = 04.12.2025 07:45:00, Index = 0, DirectGeometryFactor = 0, DiffuseGeometryFactor = 0,9095760221444958, CosSunElevation = 0, GlobalHorizontalIrradiance = 0, SunshineDuration = 0, DiffuseHorizontalIrradiance = 0, AmbientTemp = 1,5, WindSpeed = 3,42, SnowDepth = 0, Weight = 0, Age = 4,2240521038733565, MeasuredPower = , HasMeasuredPower = False },LEG.PV.Data.Processor.DataRecords+PvRecord,"04.12.2025 07:45:00",0,0,"0,9095760221444958",0,0,0,0,"1,5","3,42",0,0,"4,2240521038733565","",False</t>
  </si>
  <si>
    <t>PvRecord { Timestamp = 04.12.2025 08:00:00, Index = 0, DirectGeometryFactor = 0, DiffuseGeometryFactor = 0,9095760221444958, CosSunElevation = 0,023143881019884543, GlobalHorizontalIrradiance = 0, SunshineDuration = 0, DiffuseHorizontalIrradiance = 0, AmbientTemp = 1,5, WindSpeed = 3,42, SnowDepth = 0, Weight = 0, Age = 4,224080623761438, MeasuredPower = , HasMeasuredPower = False },LEG.PV.Data.Processor.DataRecords+PvRecord,"04.12.2025 08:00:00",0,0,"0,9095760221444958","0,023143881019884543",0,0,0,"1,5","3,42",0,0,"4,224080623761438","",False</t>
  </si>
  <si>
    <t>PvRecord { Timestamp = 04.12.2025 08:15:00, Index = 0, DirectGeometryFactor = 0,5394590096022742, DiffuseGeometryFactor = 0,9095760221444958, CosSunElevation = 0,05623501159264466, GlobalHorizontalIrradiance = 0, SunshineDuration = 0, DiffuseHorizontalIrradiance = 0, AmbientTemp = 1,5, WindSpeed = 3,42, SnowDepth = 0, Weight = 0, Age = 4,224109143649519, MeasuredPower = , HasMeasuredPower = False },LEG.PV.Data.Processor.DataRecords+PvRecord,"04.12.2025 08:15:00",0,"0,5394590096022742","0,9095760221444958","0,05623501159264466",0,0,0,"1,5","3,42",0,0,"4,224109143649519","",False</t>
  </si>
  <si>
    <t>PvRecord { Timestamp = 04.12.2025 08:30:00, Index = 0, DirectGeometryFactor = 0,5791659927299982, DiffuseGeometryFactor = 0,9095760221444958, CosSunElevation = 0,08918189818175012, GlobalHorizontalIrradiance = 57,98333333333333, SunshineDuration = 0, DiffuseHorizontalIrradiance = 25, AmbientTemp = 2, WindSpeed = 5,4, SnowDepth = 0, Weight = 0, Age = 4,224137663537602, MeasuredPower = , HasMeasuredPower = False },LEG.PV.Data.Processor.DataRecords+PvRecord,"04.12.2025 08:30:00",0,"0,5791659927299982","0,9095760221444958","0,08918189818175012","57,98333333333333",0,25,2,"5,4",0,0,"4,224137663537602","",False</t>
  </si>
  <si>
    <t>PvRecord { Timestamp = 04.12.2025 08:45:00, Index = 0, DirectGeometryFactor = 0,6164369002017506, DiffuseGeometryFactor = 0,9095760221444958, CosSunElevation = 0,12107259222528705, GlobalHorizontalIrradiance = 57,98333333333333, SunshineDuration = 0, DiffuseHorizontalIrradiance = 25, AmbientTemp = 2, WindSpeed = 5,4, SnowDepth = 0, Weight = 0, Age = 4,224166183425683, MeasuredPower = , HasMeasuredPower = False },LEG.PV.Data.Processor.DataRecords+PvRecord,"04.12.2025 08:45:00",0,"0,6164369002017506","0,9095760221444958","0,12107259222528705","57,98333333333333",0,25,2,"5,4",0,0,"4,224166183425683","",False</t>
  </si>
  <si>
    <t>PvRecord { Timestamp = 04.12.2025 09:00:00, Index = 0, DirectGeometryFactor = 0,6508858036902182, DiffuseGeometryFactor = 0,9095760221444958, CosSunElevation = 0,15150012496803, GlobalHorizontalIrradiance = 57,98333333333333, SunshineDuration = 0, DiffuseHorizontalIrradiance = 25, AmbientTemp = 2, WindSpeed = 5,4, SnowDepth = 0, Weight = 0, Age = 4,224194703313764, MeasuredPower = , HasMeasuredPower = False },LEG.PV.Data.Processor.DataRecords+PvRecord,"04.12.2025 09:00:00",0,"0,6508858036902182","0,9095760221444958","0,15150012496803","57,98333333333333",0,25,2,"5,4",0,0,"4,224194703313764","",False</t>
  </si>
  <si>
    <t>PvRecord { Timestamp = 04.12.2025 09:15:00, Index = 0, DirectGeometryFactor = 0,682272060857538, DiffuseGeometryFactor = 0,9095760221444958, CosSunElevation = 0,1802225802946502, GlobalHorizontalIrradiance = 57,98333333333333, SunshineDuration = 0, DiffuseHorizontalIrradiance = 25, AmbientTemp = 2, WindSpeed = 5,4, SnowDepth = 0, Weight = 0, Age = 4,224223223201846, MeasuredPower = , HasMeasuredPower = False },LEG.PV.Data.Processor.DataRecords+PvRecord,"04.12.2025 09:15:00",0,"0,682272060857538","0,9095760221444958","0,1802225802946502","57,98333333333333",0,25,2,"5,4",0,0,"4,224223223201846","",False</t>
  </si>
  <si>
    <t>PvRecord { Timestamp = 04.12.2025 09:30:00, Index = 0, DirectGeometryFactor = 0,7104170237115566, DiffuseGeometryFactor = 0,9095760221444958, CosSunElevation = 0,2070637785119319, GlobalHorizontalIrradiance = 97,39999999999999, SunshineDuration = 0, DiffuseHorizontalIrradiance = 71,5, AmbientTemp = 2,6, WindSpeed = 8,82, SnowDepth = 0, Weight = 0, Age = 4,224251743089927, MeasuredPower = , HasMeasuredPower = False },LEG.PV.Data.Processor.DataRecords+PvRecord,"04.12.2025 09:30:00",0,"0,7104170237115566","0,9095760221444958","0,2070637785119319","97,39999999999999",0,"71,5","2,6","8,82",0,0,"4,224251743089927","",False</t>
  </si>
  <si>
    <t>PvRecord { Timestamp = 04.12.2025 09:45:00, Index = 0, DirectGeometryFactor = 0,7351767398005893, DiffuseGeometryFactor = 0,9095760221444958, CosSunElevation = 0,23188053182058257, GlobalHorizontalIrradiance = 97,39999999999999, SunshineDuration = 0, DiffuseHorizontalIrradiance = 71,5, AmbientTemp = 2,6, WindSpeed = 8,82, SnowDepth = 0, Weight = 0, Age = 4,224280262978009, MeasuredPower = , HasMeasuredPower = False },LEG.PV.Data.Processor.DataRecords+PvRecord,"04.12.2025 09:45:00",0,"0,7351767398005893","0,9095760221444958","0,23188053182058257","97,39999999999999",0,"71,5","2,6","8,82",0,0,"4,224280262978009","",False</t>
  </si>
  <si>
    <t>PvRecord { Timestamp = 04.12.2025 10:00:00, Index = 0, DirectGeometryFactor = 0,7564317207362866, DiffuseGeometryFactor = 0,9095760221444958, CosSunElevation = 0,25455028272402236, GlobalHorizontalIrradiance = 97,39999999999999, SunshineDuration = 0, DiffuseHorizontalIrradiance = 71,5, AmbientTemp = 2,6, WindSpeed = 8,82, SnowDepth = 0, Weight = 0, Age = 4,224308782866091, MeasuredPower = , HasMeasuredPower = False },LEG.PV.Data.Processor.DataRecords+PvRecord,"04.12.2025 10:00:00",0,"0,7564317207362866","0,9095760221444958","0,25455028272402236","97,39999999999999",0,"71,5","2,6","8,82",0,0,"4,224308782866091","",False</t>
  </si>
  <si>
    <t>PvRecord { Timestamp = 04.12.2025 10:15:00, Index = 0, DirectGeometryFactor = 0,7740827181563107, DiffuseGeometryFactor = 0,9095760221444958, CosSunElevation = 0,2749659561209493, GlobalHorizontalIrradiance = 97,39999999999999, SunshineDuration = 0, DiffuseHorizontalIrradiance = 71,5, AmbientTemp = 2,6, WindSpeed = 8,82, SnowDepth = 0, Weight = 0, Age = 4,224337302754172, MeasuredPower = , HasMeasuredPower = False },LEG.PV.Data.Processor.DataRecords+PvRecord,"04.12.2025 10:15:00",0,"0,7740827181563107","0,9095760221444958","0,2749659561209493","97,39999999999999",0,"71,5","2,6","8,82",0,0,"4,224337302754172","",False</t>
  </si>
  <si>
    <t>PvRecord { Timestamp = 04.12.2025 10:30:00, Index = 0, DirectGeometryFactor = 0,7880488721078884, DiffuseGeometryFactor = 0,9095760221444958, CosSunElevation = 0,29303368754000353, GlobalHorizontalIrradiance = 97,35, SunshineDuration = 0, DiffuseHorizontalIrradiance = 106,5, AmbientTemp = 3,1500000000000004, WindSpeed = 11,879999999999999, SnowDepth = 0, Weight = 0, Age = 4,224365822642254, MeasuredPower = , HasMeasuredPower = False },LEG.PV.Data.Processor.DataRecords+PvRecord,"04.12.2025 10:30:00",0,"0,7880488721078884","0,9095760221444958","0,29303368754000353","97,35",0,"106,5","3,1500000000000004","11,879999999999999",0,0,"4,224365822642254","",False</t>
  </si>
  <si>
    <t>PvRecord { Timestamp = 04.12.2025 10:45:00, Index = 0, DirectGeometryFactor = 0,7982668756382661, DiffuseGeometryFactor = 0,9095760221444958, CosSunElevation = 0,30867180657391546, GlobalHorizontalIrradiance = 97,35, SunshineDuration = 0, DiffuseHorizontalIrradiance = 106,5, AmbientTemp = 3,1500000000000004, WindSpeed = 11,879999999999999, SnowDepth = 0, Weight = 0, Age = 4,224394342530335, MeasuredPower = , HasMeasuredPower = False },LEG.PV.Data.Processor.DataRecords+PvRecord,"04.12.2025 10:45:00",0,"0,7982668756382661","0,9095760221444958","0,30867180657391546","97,35",0,"106,5","3,1500000000000004","11,879999999999999",0,0,"4,224394342530335","",False</t>
  </si>
  <si>
    <t>PvRecord { Timestamp = 04.12.2025 11:00:00, Index = 0, DirectGeometryFactor = 0,8046905937482173, DiffuseGeometryFactor = 0,9095760221444958, CosSunElevation = 0,3218104031721616, GlobalHorizontalIrradiance = 97,35, SunshineDuration = 0, DiffuseHorizontalIrradiance = 106,5, AmbientTemp = 3,1500000000000004, WindSpeed = 11,879999999999999, SnowDepth = 0, Weight = 0, Age = 4,224422862418417, MeasuredPower = , HasMeasuredPower = False },LEG.PV.Data.Processor.DataRecords+PvRecord,"04.12.2025 11:00:00",0,"0,8046905937482173","0,9095760221444958","0,3218104031721616","97,35",0,"106,5","3,1500000000000004","11,879999999999999",0,0,"4,224422862418417","",False</t>
  </si>
  <si>
    <t>PvRecord { Timestamp = 04.12.2025 11:15:00, Index = 0, DirectGeometryFactor = 0,8072908830453571, DiffuseGeometryFactor = 0,9095760221444958, CosSunElevation = 0,3323911727544816, GlobalHorizontalIrradiance = 97,35, SunshineDuration = 0, DiffuseHorizontalIrradiance = 106,5, AmbientTemp = 3,1500000000000004, WindSpeed = 11,879999999999999, SnowDepth = 0, Weight = 0, Age = 4,224451382306499, MeasuredPower = , HasMeasuredPower = False },LEG.PV.Data.Processor.DataRecords+PvRecord,"04.12.2025 11:15:00",0,"0,8072908830453571","0,9095760221444958","0,3323911727544816","97,35",0,"106,5","3,1500000000000004","11,879999999999999",0,0,"4,224451382306499","",False</t>
  </si>
  <si>
    <t>PvRecord { Timestamp = 04.12.2025 11:30:00, Index = 0, DirectGeometryFactor = 0,8060554896332326, DiffuseGeometryFactor = 0,9095760221444958, CosSunElevation = 0,34036739299979735, GlobalHorizontalIrradiance = 95,91666666666666, SunshineDuration = 0, DiffuseHorizontalIrradiance = 126, AmbientTemp = 3,6, WindSpeed = 14,22, SnowDepth = 0, Weight = 0, Age = 4,22447990219458, MeasuredPower = , HasMeasuredPower = False },LEG.PV.Data.Processor.DataRecords+PvRecord,"04.12.2025 11:30:00",0,"0,8060554896332326","0,9095760221444958","0,34036739299979735","95,91666666666666",0,126,"3,6","14,22",0,0,"4,22447990219458","",False</t>
  </si>
  <si>
    <t>PvRecord { Timestamp = 04.12.2025 11:45:00, Index = 0, DirectGeometryFactor = 0,8009889625280995, DiffuseGeometryFactor = 0,9095760221444958, CosSunElevation = 0,3457039567103779, GlobalHorizontalIrradiance = 95,91666666666666, SunshineDuration = 0, DiffuseHorizontalIrradiance = 126, AmbientTemp = 3,6, WindSpeed = 14,22, SnowDepth = 0, Weight = 0, Age = 4,224508422082661, MeasuredPower = , HasMeasuredPower = False },LEG.PV.Data.Processor.DataRecords+PvRecord,"04.12.2025 11:45:00",0,"0,8009889625280995","0,9095760221444958","0,3457039567103779","95,91666666666666",0,126,"3,6","14,22",0,0,"4,224508422082661","",False</t>
  </si>
  <si>
    <t>PvRecord { Timestamp = 04.12.2025 12:00:00, Index = 0, DirectGeometryFactor = 0,7921125493114907, DiffuseGeometryFactor = 0,9095760221444958, CosSunElevation = 0,3483774200978806, GlobalHorizontalIrradiance = 95,91666666666666, SunshineDuration = 0, DiffuseHorizontalIrradiance = 126, AmbientTemp = 3,6, WindSpeed = 14,22, SnowDepth = 0, Weight = 0, Age = 4,224536941970743, MeasuredPower = , HasMeasuredPower = False },LEG.PV.Data.Processor.DataRecords+PvRecord,"04.12.2025 12:00:00",0,"0,7921125493114907","0,9095760221444958","0,3483774200978806","95,91666666666666",0,126,"3,6","14,22",0,0,"4,224536941970743","",False</t>
  </si>
  <si>
    <t>PvRecord { Timestamp = 04.12.2025 12:15:00, Index = 0, DirectGeometryFactor = 0,779464056277696, DiffuseGeometryFactor = 0,9095760221444958, CosSunElevation = 0,3483760444593119, GlobalHorizontalIrradiance = 95,91666666666666, SunshineDuration = 0, DiffuseHorizontalIrradiance = 126, AmbientTemp = 3,6, WindSpeed = 14,22, SnowDepth = 0, Weight = 0, Age = 4,224565461858825, MeasuredPower = , HasMeasuredPower = False },LEG.PV.Data.Processor.DataRecords+PvRecord,"04.12.2025 12:15:00",0,"0,779464056277696","0,9095760221444958","0,3483760444593119","95,91666666666666",0,126,"3,6","14,22",0,0,"4,224565461858825","",False</t>
  </si>
  <si>
    <t>PvRecord { Timestamp = 04.12.2025 12:30:00, Index = 0, DirectGeometryFactor = 0,7630976639348328, DiffuseGeometryFactor = 0,9095760221444958, CosSunElevation = 0,34569981949044654, GlobalHorizontalIrradiance = 90,46666666666667, SunshineDuration = 0, DiffuseHorizontalIrradiance = 129, AmbientTemp = 3,8, WindSpeed = 15,3, SnowDepth = 0, Weight = 0, Age = 4,2245939817469065, MeasuredPower = , HasMeasuredPower = False },LEG.PV.Data.Processor.DataRecords+PvRecord,"04.12.2025 12:30:00",0,"0,7630976639348328","0,9095760221444958","0,34569981949044654","90,46666666666667",0,129,"3,8","15,3",0,0,"4,2245939817469065","",False</t>
  </si>
  <si>
    <t>PvRecord { Timestamp = 04.12.2025 12:45:00, Index = 0, DirectGeometryFactor = 0,7430836945795336, DiffuseGeometryFactor = 0,9095760221444958, CosSunElevation = 0,3403604631064047, GlobalHorizontalIrradiance = 90,46666666666667, SunshineDuration = 0, DiffuseHorizontalIrradiance = 129, AmbientTemp = 3,8, WindSpeed = 15,3, SnowDepth = 0, Weight = 0, Age = 4,224622501634988, MeasuredPower = , HasMeasuredPower = False },LEG.PV.Data.Processor.DataRecords+PvRecord,"04.12.2025 12:45:00",0,"0,7430836945795336","0,9095760221444958","0,3403604631064047","90,46666666666667",0,129,"3,8","15,3",0,0,"4,224622501634988","",False</t>
  </si>
  <si>
    <t>PvRecord { Timestamp = 04.12.2025 13:00:00, Index = 0, DirectGeometryFactor = 0,7195083329046512, DiffuseGeometryFactor = 0,9095760221444958, CosSunElevation = 0,33238139783377846, GlobalHorizontalIrradiance = 90,46666666666667, SunshineDuration = 0, DiffuseHorizontalIrradiance = 129, AmbientTemp = 3,8, WindSpeed = 15,3, SnowDepth = 0, Weight = 0, Age = 4,224651021523069, MeasuredPower = , HasMeasuredPower = False },LEG.PV.Data.Processor.DataRecords+PvRecord,"04.12.2025 13:00:00",0,"0,7195083329046512","0,9095760221444958","0,33238139783377846","90,46666666666667",0,129,"3,8","15,3",0,0,"4,224651021523069","",False</t>
  </si>
  <si>
    <t>PvRecord { Timestamp = 04.12.2025 13:15:00, Index = 0, DirectGeometryFactor = 0,6924733047463343, DiffuseGeometryFactor = 0,9095760221444958, CosSunElevation = 0,32179770880773356, GlobalHorizontalIrradiance = 90,46666666666667, SunshineDuration = 0, DiffuseHorizontalIrradiance = 129, AmbientTemp = 3,8, WindSpeed = 15,3, SnowDepth = 0, Weight = 0, Age = 4,224679541411151, MeasuredPower = , HasMeasuredPower = False },LEG.PV.Data.Processor.DataRecords+PvRecord,"04.12.2025 13:15:00",0,"0,6924733047463343","0,9095760221444958","0,32179770880773356","90,46666666666667",0,129,"3,8","15,3",0,0,"4,224679541411151","",False</t>
  </si>
  <si>
    <t>PvRecord { Timestamp = 04.12.2025 13:30:00, Index = 0, DirectGeometryFactor = 0,6620955250970096, DiffuseGeometryFactor = 0,9095760221444958, CosSunElevation = 0,30865609518583514, GlobalHorizontalIrradiance = 82,5, SunshineDuration = 0, DiffuseHorizontalIrradiance = 114, AmbientTemp = 3,75, WindSpeed = 14,759999999999998, SnowDepth = 0, Weight = 0, Age = 4,224708061299233, MeasuredPower = , HasMeasuredPower = False },LEG.PV.Data.Processor.DataRecords+PvRecord,"04.12.2025 13:30:00",0,"0,6620955250970096","0,9095760221444958","0,30865609518583514","82,5",0,114,"3,75","14,759999999999998",0,0,"4,224708061299233","",False</t>
  </si>
  <si>
    <t>PvRecord { Timestamp = 04.12.2025 13:45:00, Index = 0, DirectGeometryFactor = 0,6285067348768549, DiffuseGeometryFactor = 0,9095760221444958, CosSunElevation = 0,29301483715192256, GlobalHorizontalIrradiance = 82,5, SunshineDuration = 0, DiffuseHorizontalIrradiance = 114, AmbientTemp = 3,75, WindSpeed = 14,759999999999998, SnowDepth = 0, Weight = 0, Age = 4,224736581187314, MeasuredPower = , HasMeasuredPower = False },LEG.PV.Data.Processor.DataRecords+PvRecord,"04.12.2025 13:45:00",0,"0,6285067348768549","0,9095760221444958","0,29301483715192256","82,5",0,114,"3,75","14,759999999999998",0,0,"4,224736581187314","",False</t>
  </si>
  <si>
    <t>PvRecord { Timestamp = 04.12.2025 14:00:00, Index = 0, DirectGeometryFactor = 0,591853161030377, DiffuseGeometryFactor = 0,9095760221444958, CosSunElevation = 0,27494381895152503, GlobalHorizontalIrradiance = 82,5, SunshineDuration = 0, DiffuseHorizontalIrradiance = 114, AmbientTemp = 3,75, WindSpeed = 14,759999999999998, SnowDepth = 0, Weight = 0, Age = 4,224765101075396, MeasuredPower = , HasMeasuredPower = False },LEG.PV.Data.Processor.DataRecords+PvRecord,"04.12.2025 14:00:00",0,"0,591853161030377","0,9095760221444958","0,27494381895152503","82,5",0,114,"3,75","14,759999999999998",0,0,"4,224765101075396","",False</t>
  </si>
  <si>
    <t>PvRecord { Timestamp = 04.12.2025 14:15:00, Index = 0, DirectGeometryFactor = 0,5522952641733748, DiffuseGeometryFactor = 0,9095760221444958, CosSunElevation = 0,2545246838402863, GlobalHorizontalIrradiance = 82,5, SunshineDuration = 0, DiffuseHorizontalIrradiance = 114, AmbientTemp = 3,75, WindSpeed = 14,759999999999998, SnowDepth = 0, Weight = 0, Age = 4,224793620963477, MeasuredPower = , HasMeasuredPower = False },LEG.PV.Data.Processor.DataRecords+PvRecord,"04.12.2025 14:15:00",0,"0,5522952641733748","0,9095760221444958","0,2545246838402863","82,5",0,114,"3,75","14,759999999999998",0,0,"4,224793620963477","",False</t>
  </si>
  <si>
    <t>PvRecord { Timestamp = 04.12.2025 14:30:00, Index = 0, DirectGeometryFactor = 0,5100076966526276, DiffuseGeometryFactor = 0,9095760221444958, CosSunElevation = 0,2318512683825268, GlobalHorizontalIrradiance = 67,64999999999999, SunshineDuration = 0, DiffuseHorizontalIrradiance = 84, AmbientTemp = 3,45, WindSpeed = 12,96, SnowDepth = 0, Weight = 0, Age = 4,2248221408515585, MeasuredPower = , HasMeasuredPower = False },LEG.PV.Data.Processor.DataRecords+PvRecord,"04.12.2025 14:30:00",0,"0,5100076966526276","0,9095760221444958","0,2318512683825268","67,64999999999999",0,84,"3,45","12,96",0,0,"4,2248221408515585","",False</t>
  </si>
  <si>
    <t>PvRecord { Timestamp = 04.12.2025 14:45:00, Index = 0, DirectGeometryFactor = 0,4651797228460694, DiffuseGeometryFactor = 0,9095760221444958, CosSunElevation = 0,20703062015855092, GlobalHorizontalIrradiance = 67,64999999999999, SunshineDuration = 0, DiffuseHorizontalIrradiance = 84, AmbientTemp = 3,45, WindSpeed = 12,96, SnowDepth = 0, Weight = 0, Age = 4,224850660739641, MeasuredPower = , HasMeasuredPower = False },LEG.PV.Data.Processor.DataRecords+PvRecord,"04.12.2025 14:45:00",0,"0,4651797228460694","0,9095760221444958","0,20703062015855092","67,64999999999999",0,84,"3,45","12,96",0,0,"4,224850660739641","",False</t>
  </si>
  <si>
    <t>PvRecord { Timestamp = 04.12.2025 15:00:00, Index = 0, DirectGeometryFactor = 0,4180166583981098, DiffuseGeometryFactor = 0,9095760221444958, CosSunElevation = 0,18018527258418404, GlobalHorizontalIrradiance = 67,64999999999999, SunshineDuration = 0, DiffuseHorizontalIrradiance = 84, AmbientTemp = 3,45, WindSpeed = 12,96, SnowDepth = 0, Weight = 0, Age = 4,224879180627722, MeasuredPower = , HasMeasuredPower = False },LEG.PV.Data.Processor.DataRecords+PvRecord,"04.12.2025 15:00:00",0,"0,4180166583981098","0,9095760221444958","0,18018527258418404","67,64999999999999",0,84,"3,45","12,96",0,0,"4,224879180627722","",False</t>
  </si>
  <si>
    <t>PvRecord { Timestamp = 04.12.2025 15:15:00, Index = 0, DirectGeometryFactor = 0,36874366714496504, DiffuseGeometryFactor = 0,9095760221444958, CosSunElevation = 0,15145840067401603, GlobalHorizontalIrradiance = 67,64999999999999, SunshineDuration = 0, DiffuseHorizontalIrradiance = 84, AmbientTemp = 3,45, WindSpeed = 12,96, SnowDepth = 0, Weight = 0, Age = 4,2249077005158036, MeasuredPower = , HasMeasuredPower = False },LEG.PV.Data.Processor.DataRecords+PvRecord,"04.12.2025 15:15:00",0,"0,36874366714496504","0,9095760221444958","0,15145840067401603","67,64999999999999",0,84,"3,45","12,96",0,0,"4,2249077005158036","",False</t>
  </si>
  <si>
    <t>PvRecord { Timestamp = 04.12.2025 15:30:00, Index = 0, DirectGeometryFactor = 0,31761549628227936, DiffuseGeometryFactor = 0,9095760221444958, CosSunElevation = 0,12102620332146195, GlobalHorizontalIrradiance = 50,483333333333334, SunshineDuration = 0, DiffuseHorizontalIrradiance = 44, AmbientTemp = 3,1, WindSpeed = 10,260000000000002, SnowDepth = 0, Weight = 0, Age = 4,224936220403885, MeasuredPower = , HasMeasuredPower = False },LEG.PV.Data.Processor.DataRecords+PvRecord,"04.12.2025 15:30:00",0,"0,31761549628227936","0,9095760221444958","0,12102620332146195","50,483333333333334",0,44,"3,1","10,260000000000002",0,0,"4,224936220403885","",False</t>
  </si>
  <si>
    <t>PvRecord { Timestamp = 04.12.2025 15:45:00, Index = 0, DirectGeometryFactor = 0, DiffuseGeometryFactor = 0,9095760221444958, CosSunElevation = 0,0891307118464639, GlobalHorizontalIrradiance = 50,483333333333334, SunshineDuration = 0, DiffuseHorizontalIrradiance = 44, AmbientTemp = 3,1, WindSpeed = 10,260000000000002, SnowDepth = 0, Weight = 0, Age = 4,224964740291966, MeasuredPower = , HasMeasuredPower = False },LEG.PV.Data.Processor.DataRecords+PvRecord,"04.12.2025 15:45:00",0,0,"0,9095760221444958","0,0891307118464639","50,483333333333334",0,44,"3,1","10,260000000000002",0,0,"4,224964740291966","",False</t>
  </si>
  <si>
    <t>PvRecord { Timestamp = 04.12.2025 16:00:00, Index = 0, DirectGeometryFactor = 0, DiffuseGeometryFactor = 0,9095760221444958, CosSunElevation = 0,056179335328472205, GlobalHorizontalIrradiance = 50,483333333333334, SunshineDuration = 0, DiffuseHorizontalIrradiance = 44, AmbientTemp = 3,1, WindSpeed = 10,260000000000002, SnowDepth = 0, Weight = 0, Age = 4,224993260180049, MeasuredPower = , HasMeasuredPower = False },LEG.PV.Data.Processor.DataRecords+PvRecord,"04.12.2025 16:00:00",0,0,"0,9095760221444958","0,056179335328472205","50,483333333333334",0,44,"3,1","10,260000000000002",0,0,"4,224993260180049","",False</t>
  </si>
  <si>
    <t>PvRecord { Timestamp = 04.12.2025 16:15:00, Index = 0, DirectGeometryFactor = 0, DiffuseGeometryFactor = 0,9095760221444958, CosSunElevation = 0,023085638308123203, GlobalHorizontalIrradiance = 50,483333333333334, SunshineDuration = 0, DiffuseHorizontalIrradiance = 44, AmbientTemp = 3,1, WindSpeed = 10,260000000000002, SnowDepth = 0, Weight = 0, Age = 4,22502178006813, MeasuredPower = , HasMeasuredPower = False },LEG.PV.Data.Processor.DataRecords+PvRecord,"04.12.2025 16:15:00",0,0,"0,9095760221444958","0,023085638308123203","50,483333333333334",0,44,"3,1","10,260000000000002",0,0,"4,22502178006813","",False</t>
  </si>
  <si>
    <t>PvRecord { Timestamp = 04.12.2025 16:30:00,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4,225050299956211, MeasuredPower = , HasMeasuredPower = False },LEG.PV.Data.Processor.DataRecords+PvRecord,"04.12.2025 16:30:00",0,0,"0,9095760221444958",0,"13,966666666666667",0,9,"2,7","8,64",0,0,"4,225050299956211","",False</t>
  </si>
  <si>
    <t>PvRecord { Timestamp = 04.12.2025 16:45:00,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4,225078819844293, MeasuredPower = , HasMeasuredPower = False },LEG.PV.Data.Processor.DataRecords+PvRecord,"04.12.2025 16:45:00",0,0,"0,9095760221444958",0,"13,966666666666667",0,9,"2,7","8,64",0,0,"4,225078819844293","",False</t>
  </si>
  <si>
    <t>PvRecord { Timestamp = 04.12.2025 17:00:00,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4,225107339732374, MeasuredPower = , HasMeasuredPower = False },LEG.PV.Data.Processor.DataRecords+PvRecord,"04.12.2025 17:00:00",0,0,"0,9095760221444958",0,"13,966666666666667",0,9,"2,7","8,64",0,0,"4,225107339732374","",False</t>
  </si>
  <si>
    <t>PvRecord { Timestamp = 04.12.2025 17:15:00, Index = 0, DirectGeometryFactor = 0, DiffuseGeometryFactor = 0,9095760221444958, CosSunElevation = 0, GlobalHorizontalIrradiance = 13,966666666666667, SunshineDuration = 0, DiffuseHorizontalIrradiance = 9, AmbientTemp = 2,7, WindSpeed = 8,64, SnowDepth = 0, Weight = 0, Age = 4,2251358596204565, MeasuredPower = , HasMeasuredPower = False },LEG.PV.Data.Processor.DataRecords+PvRecord,"04.12.2025 17:15:00",0,0,"0,9095760221444958",0,"13,966666666666667",0,9,"2,7","8,64",0,0,"4,2251358596204565","",False</t>
  </si>
  <si>
    <t>PvRecord { Timestamp = 04.12.2025 17:30:00, Index = 0, DirectGeometryFactor = 0, DiffuseGeometryFactor = 0,9095760221444958, CosSunElevation = 0, GlobalHorizontalIrradiance = 0, SunshineDuration = 0, DiffuseHorizontalIrradiance = 0, AmbientTemp = 2,35, WindSpeed = 8,82, SnowDepth = 0, Weight = 0, Age = 4,225164379508538, MeasuredPower = , HasMeasuredPower = False },LEG.PV.Data.Processor.DataRecords+PvRecord,"04.12.2025 17:30:00",0,0,"0,9095760221444958",0,0,0,0,"2,35","8,82",0,0,"4,225164379508538","",False</t>
  </si>
  <si>
    <t>PvRecord { Timestamp = 04.12.2025 17:45:00, Index = 0, DirectGeometryFactor = 0, DiffuseGeometryFactor = 0,9095760221444958, CosSunElevation = 0, GlobalHorizontalIrradiance = 0, SunshineDuration = 0, DiffuseHorizontalIrradiance = 0, AmbientTemp = 2,35, WindSpeed = 8,82, SnowDepth = 0, Weight = 0, Age = 4,225192899396619, MeasuredPower = , HasMeasuredPower = False },LEG.PV.Data.Processor.DataRecords+PvRecord,"04.12.2025 17:45:00",0,0,"0,9095760221444958",0,0,0,0,"2,35","8,82",0,0,"4,225192899396619","",False</t>
  </si>
  <si>
    <t>PvRecord { Timestamp = 04.12.2025 18:00:00, Index = 0, DirectGeometryFactor = 0, DiffuseGeometryFactor = 0,9095760221444958, CosSunElevation = 0, GlobalHorizontalIrradiance = 0, SunshineDuration = 0, DiffuseHorizontalIrradiance = 0, AmbientTemp = 2,35, WindSpeed = 8,82, SnowDepth = 0, Weight = 0, Age = 4,225221419284701, MeasuredPower = , HasMeasuredPower = False },LEG.PV.Data.Processor.DataRecords+PvRecord,"04.12.2025 18:00:00",0,0,"0,9095760221444958",0,0,0,0,"2,35","8,82",0,0,"4,225221419284701","",False</t>
  </si>
  <si>
    <t>PvRecord { Timestamp = 04.12.2025 18:15:00, Index = 0, DirectGeometryFactor = 0, DiffuseGeometryFactor = 0,9095760221444958, CosSunElevation = 0, GlobalHorizontalIrradiance = 0, SunshineDuration = 0, DiffuseHorizontalIrradiance = 0, AmbientTemp = 2,35, WindSpeed = 8,82, SnowDepth = 0, Weight = 0, Age = 4,225249939172782, MeasuredPower = , HasMeasuredPower = False },LEG.PV.Data.Processor.DataRecords+PvRecord,"04.12.2025 18:15:00",0,0,"0,9095760221444958",0,0,0,0,"2,35","8,82",0,0,"4,225249939172782","",False</t>
  </si>
  <si>
    <t>PvRecord { Timestamp = 04.12.2025 18:30:00, Index = 0, DirectGeometryFactor = 0, DiffuseGeometryFactor = 0,9095760221444958, CosSunElevation = 0, GlobalHorizontalIrradiance = 0, SunshineDuration = 0, DiffuseHorizontalIrradiance = 0, AmbientTemp = 2,15, WindSpeed = 9,18, SnowDepth = 0, Weight = 0, Age = 4,225278459060864, MeasuredPower = , HasMeasuredPower = False },LEG.PV.Data.Processor.DataRecords+PvRecord,"04.12.2025 18:30:00",0,0,"0,9095760221444958",0,0,0,0,"2,15","9,18",0,0,"4,225278459060864","",False</t>
  </si>
  <si>
    <t>PvRecord { Timestamp = 04.12.2025 18:45:00, Index = 0, DirectGeometryFactor = 0, DiffuseGeometryFactor = 0,9095760221444958, CosSunElevation = 0, GlobalHorizontalIrradiance = 0, SunshineDuration = 0, DiffuseHorizontalIrradiance = 0, AmbientTemp = 2,15, WindSpeed = 9,18, SnowDepth = 0, Weight = 0, Age = 4,225306978948946, MeasuredPower = , HasMeasuredPower = False },LEG.PV.Data.Processor.DataRecords+PvRecord,"04.12.2025 18:45:00",0,0,"0,9095760221444958",0,0,0,0,"2,15","9,18",0,0,"4,225306978948946","",False</t>
  </si>
  <si>
    <t>PvRecord { Timestamp = 04.12.2025 19:00:00, Index = 0, DirectGeometryFactor = 0, DiffuseGeometryFactor = 0,9095760221444958, CosSunElevation = 0, GlobalHorizontalIrradiance = 0, SunshineDuration = 0, DiffuseHorizontalIrradiance = 0, AmbientTemp = 2,15, WindSpeed = 9,18, SnowDepth = 0, Weight = 0, Age = 4,225335498837027, MeasuredPower = , HasMeasuredPower = False },LEG.PV.Data.Processor.DataRecords+PvRecord,"04.12.2025 19:00:00",0,0,"0,9095760221444958",0,0,0,0,"2,15","9,18",0,0,"4,225335498837027","",False</t>
  </si>
  <si>
    <t>PvRecord { Timestamp = 04.12.2025 19:15:00, Index = 0, DirectGeometryFactor = 0, DiffuseGeometryFactor = 0,9095760221444958, CosSunElevation = 0, GlobalHorizontalIrradiance = 0, SunshineDuration = 0, DiffuseHorizontalIrradiance = 0, AmbientTemp = 2,15, WindSpeed = 9,18, SnowDepth = 0, Weight = 0, Age = 4,2253640187251085, MeasuredPower = , HasMeasuredPower = False },LEG.PV.Data.Processor.DataRecords+PvRecord,"04.12.2025 19:15:00",0,0,"0,9095760221444958",0,0,0,0,"2,15","9,18",0,0,"4,2253640187251085","",False</t>
  </si>
  <si>
    <t>PvRecord { Timestamp = 04.12.2025 19:30:00, Index = 0, DirectGeometryFactor = 0, DiffuseGeometryFactor = 0,9095760221444958, CosSunElevation = 0, GlobalHorizontalIrradiance = 0, SunshineDuration = 0, DiffuseHorizontalIrradiance = 0, AmbientTemp = 2,15, WindSpeed = 9,18, SnowDepth = 0, Weight = 0, Age = 4,22539253861319, MeasuredPower = , HasMeasuredPower = False },LEG.PV.Data.Processor.DataRecords+PvRecord,"04.12.2025 19:30:00",0,0,"0,9095760221444958",0,0,0,0,"2,15","9,18",0,0,"4,22539253861319","",False</t>
  </si>
  <si>
    <t>PvRecord { Timestamp = 04.12.2025 19:45:00, Index = 0, DirectGeometryFactor = 0, DiffuseGeometryFactor = 0,9095760221444958, CosSunElevation = 0, GlobalHorizontalIrradiance = 0, SunshineDuration = 0, DiffuseHorizontalIrradiance = 0, AmbientTemp = 2,15, WindSpeed = 9,18, SnowDepth = 0, Weight = 0, Age = 4,225421058501272, MeasuredPower = , HasMeasuredPower = False },LEG.PV.Data.Processor.DataRecords+PvRecord,"04.12.2025 19:45:00",0,0,"0,9095760221444958",0,0,0,0,"2,15","9,18",0,0,"4,225421058501272","",False</t>
  </si>
  <si>
    <t>PvRecord { Timestamp = 04.12.2025 20:00:00, Index = 0, DirectGeometryFactor = 0, DiffuseGeometryFactor = 0,9095760221444958, CosSunElevation = 0, GlobalHorizontalIrradiance = 0, SunshineDuration = 0, DiffuseHorizontalIrradiance = 0, AmbientTemp = 2,15, WindSpeed = 9,18, SnowDepth = 0, Weight = 0, Age = 4,2254495783893535, MeasuredPower = , HasMeasuredPower = False },LEG.PV.Data.Processor.DataRecords+PvRecord,"04.12.2025 20:00:00",0,0,"0,9095760221444958",0,0,0,0,"2,15","9,18",0,0,"4,2254495783893535","",False</t>
  </si>
  <si>
    <t>PvRecord { Timestamp = 04.12.2025 20:15:00, Index = 0, DirectGeometryFactor = 0, DiffuseGeometryFactor = 0,9095760221444958, CosSunElevation = 0, GlobalHorizontalIrradiance = 0, SunshineDuration = 0, DiffuseHorizontalIrradiance = 0, AmbientTemp = 2,15, WindSpeed = 9,18, SnowDepth = 0, Weight = 0, Age = 4,225478098277435, MeasuredPower = , HasMeasuredPower = False },LEG.PV.Data.Processor.DataRecords+PvRecord,"04.12.2025 20:15:00",0,0,"0,9095760221444958",0,0,0,0,"2,15","9,18",0,0,"4,225478098277435","",False</t>
  </si>
  <si>
    <t>PvRecord { Timestamp = 04.12.2025 20:30:00, Index = 0, DirectGeometryFactor = 0, DiffuseGeometryFactor = 0,9095760221444958, CosSunElevation = 0, GlobalHorizontalIrradiance = 0, SunshineDuration = 0, DiffuseHorizontalIrradiance = 0, AmbientTemp = 2,2, WindSpeed = 8,64, SnowDepth = 0, Weight = 0, Age = 4,225506618165516, MeasuredPower = , HasMeasuredPower = False },LEG.PV.Data.Processor.DataRecords+PvRecord,"04.12.2025 20:30:00",0,0,"0,9095760221444958",0,0,0,0,"2,2","8,64",0,0,"4,225506618165516","",False</t>
  </si>
  <si>
    <t>PvRecord { Timestamp = 04.12.2025 20:45:00, Index = 0, DirectGeometryFactor = 0, DiffuseGeometryFactor = 0,9095760221444958, CosSunElevation = 0, GlobalHorizontalIrradiance = 0, SunshineDuration = 0, DiffuseHorizontalIrradiance = 0, AmbientTemp = 2,2, WindSpeed = 8,64, SnowDepth = 0, Weight = 0, Age = 4,225535138053598, MeasuredPower = , HasMeasuredPower = False },LEG.PV.Data.Processor.DataRecords+PvRecord,"04.12.2025 20:45:00",0,0,"0,9095760221444958",0,0,0,0,"2,2","8,64",0,0,"4,225535138053598","",False</t>
  </si>
  <si>
    <t>PvRecord { Timestamp = 04.12.2025 21:00:00, Index = 0, DirectGeometryFactor = 0, DiffuseGeometryFactor = 0,9095760221444958, CosSunElevation = 0, GlobalHorizontalIrradiance = 0, SunshineDuration = 0, DiffuseHorizontalIrradiance = 0, AmbientTemp = 2,2, WindSpeed = 8,64, SnowDepth = 0, Weight = 0, Age = 4,22556365794168, MeasuredPower = , HasMeasuredPower = False },LEG.PV.Data.Processor.DataRecords+PvRecord,"04.12.2025 21:00:00",0,0,"0,9095760221444958",0,0,0,0,"2,2","8,64",0,0,"4,22556365794168","",False</t>
  </si>
  <si>
    <t>PvRecord { Timestamp = 04.12.2025 21:15:00, Index = 0, DirectGeometryFactor = 0, DiffuseGeometryFactor = 0,9095760221444958, CosSunElevation = 0, GlobalHorizontalIrradiance = 0, SunshineDuration = 0, DiffuseHorizontalIrradiance = 0, AmbientTemp = 2,2, WindSpeed = 8,64, SnowDepth = 0, Weight = 0, Age = 4,225592177829761, MeasuredPower = , HasMeasuredPower = False },LEG.PV.Data.Processor.DataRecords+PvRecord,"04.12.2025 21:15:00",0,0,"0,9095760221444958",0,0,0,0,"2,2","8,64",0,0,"4,225592177829761","",False</t>
  </si>
  <si>
    <t>PvRecord { Timestamp = 04.12.2025 21:30:00,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4,225620697717843, MeasuredPower = , HasMeasuredPower = False },LEG.PV.Data.Processor.DataRecords+PvRecord,"04.12.2025 21:30:00",0,0,"0,9095760221444958",0,0,0,0,"2,4","7,920000000000001",0,0,"4,225620697717843","",False</t>
  </si>
  <si>
    <t>PvRecord { Timestamp = 04.12.2025 21:45:00,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4,225649217605924, MeasuredPower = , HasMeasuredPower = False },LEG.PV.Data.Processor.DataRecords+PvRecord,"04.12.2025 21:45:00",0,0,"0,9095760221444958",0,0,0,0,"2,4","7,920000000000001",0,0,"4,225649217605924","",False</t>
  </si>
  <si>
    <t>PvRecord { Timestamp = 04.12.2025 22:00:00,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4,2256777374940055, MeasuredPower = , HasMeasuredPower = False },LEG.PV.Data.Processor.DataRecords+PvRecord,"04.12.2025 22:00:00",0,0,"0,9095760221444958",0,0,0,0,"2,4","7,920000000000001",0,0,"4,2256777374940055","",False</t>
  </si>
  <si>
    <t>PvRecord { Timestamp = 04.12.2025 22:15:00, Index = 0, DirectGeometryFactor = 0, DiffuseGeometryFactor = 0,9095760221444958, CosSunElevation = 0, GlobalHorizontalIrradiance = 0, SunshineDuration = 0, DiffuseHorizontalIrradiance = 0, AmbientTemp = 2,4, WindSpeed = 7,920000000000001, SnowDepth = 0, Weight = 0, Age = 4,225706257382088, MeasuredPower = , HasMeasuredPower = False },LEG.PV.Data.Processor.DataRecords+PvRecord,"04.12.2025 22:15:00",0,0,"0,9095760221444958",0,0,0,0,"2,4","7,920000000000001",0,0,"4,225706257382088","",False</t>
  </si>
  <si>
    <t>PvRecord { Timestamp = 04.12.2025 22:30:00, Index = 0, DirectGeometryFactor = 0, DiffuseGeometryFactor = 0,9095760221444958, CosSunElevation = 0, GlobalHorizontalIrradiance = 0, SunshineDuration = 0, DiffuseHorizontalIrradiance = 0, AmbientTemp = 2,6, WindSpeed = 7,74, SnowDepth = 0, Weight = 0, Age = 4,225734777270169, MeasuredPower = , HasMeasuredPower = False },LEG.PV.Data.Processor.DataRecords+PvRecord,"04.12.2025 22:30:00",0,0,"0,9095760221444958",0,0,0,0,"2,6","7,74",0,0,"4,225734777270169","",False</t>
  </si>
  <si>
    <t>PvRecord { Timestamp = 04.12.2025 22:45:00, Index = 0, DirectGeometryFactor = 0, DiffuseGeometryFactor = 0,9095760221444958, CosSunElevation = 0, GlobalHorizontalIrradiance = 0, SunshineDuration = 0, DiffuseHorizontalIrradiance = 0, AmbientTemp = 2,6, WindSpeed = 7,74, SnowDepth = 0, Weight = 0, Age = 4,225763297158251, MeasuredPower = , HasMeasuredPower = False },LEG.PV.Data.Processor.DataRecords+PvRecord,"04.12.2025 22:45:00",0,0,"0,9095760221444958",0,0,0,0,"2,6","7,74",0,0,"4,225763297158251","",False</t>
  </si>
  <si>
    <t>PvRecord { Timestamp = 04.12.2025 23:00:00, Index = 0, DirectGeometryFactor = 0, DiffuseGeometryFactor = 0,9095760221444958, CosSunElevation = 0, GlobalHorizontalIrradiance = 0, SunshineDuration = 0, DiffuseHorizontalIrradiance = 0, AmbientTemp = 2,6, WindSpeed = 7,74, SnowDepth = 0, Weight = 0, Age = 4,225791817046332, MeasuredPower = , HasMeasuredPower = False },LEG.PV.Data.Processor.DataRecords+PvRecord,"04.12.2025 23:00:00",0,0,"0,9095760221444958",0,0,0,0,"2,6","7,74",0,0,"4,225791817046332","",False</t>
  </si>
  <si>
    <t>PvRecord { Timestamp = 04.12.2025 23:15:00, Index = 0, DirectGeometryFactor = 0, DiffuseGeometryFactor = 0,9095760221444958, CosSunElevation = 0, GlobalHorizontalIrradiance = 0, SunshineDuration = 0, DiffuseHorizontalIrradiance = 0, AmbientTemp = 2,6, WindSpeed = 7,74, SnowDepth = 0, Weight = 0, Age = 4,225820336934413, MeasuredPower = , HasMeasuredPower = False },LEG.PV.Data.Processor.DataRecords+PvRecord,"04.12.2025 23:15:00",0,0,"0,9095760221444958",0,0,0,0,"2,6","7,74",0,0,"4,225820336934413","",False</t>
  </si>
  <si>
    <t>PvRecord { Timestamp = 04.12.2025 23:30:00,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4,225848856822496, MeasuredPower = , HasMeasuredPower = False },LEG.PV.Data.Processor.DataRecords+PvRecord,"04.12.2025 23:30:00",0,0,"0,9095760221444958",0,0,0,0,"2,7","8,280000000000001",0,0,"4,225848856822496","",False</t>
  </si>
  <si>
    <t>PvRecord { Timestamp = 04.12.2025 23:45:00,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4,225877376710577, MeasuredPower = , HasMeasuredPower = False },LEG.PV.Data.Processor.DataRecords+PvRecord,"04.12.2025 23:45:00",0,0,"0,9095760221444958",0,0,0,0,"2,7","8,280000000000001",0,0,"4,225877376710577","",False</t>
  </si>
  <si>
    <t>PvRecord { Timestamp = 05.12.2025 00:00:00,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4,2259058965986585, MeasuredPower = , HasMeasuredPower = False },LEG.PV.Data.Processor.DataRecords+PvRecord,"05.12.2025 00:00:00",0,0,"0,9095760221444958",0,0,0,0,"2,7","8,280000000000001",0,0,"4,2259058965986585","",False</t>
  </si>
  <si>
    <t>PvRecord { Timestamp = 05.12.2025 00:15:00, Index = 0, DirectGeometryFactor = 0, DiffuseGeometryFactor = 0,9095760221444958, CosSunElevation = 0, GlobalHorizontalIrradiance = 0, SunshineDuration = 0, DiffuseHorizontalIrradiance = 0, AmbientTemp = 2,7, WindSpeed = 8,280000000000001, SnowDepth = 0, Weight = 0, Age = 4,22593441648674, MeasuredPower = , HasMeasuredPower = False },LEG.PV.Data.Processor.DataRecords+PvRecord,"05.12.2025 00:15:00",0,0,"0,9095760221444958",0,0,0,0,"2,7","8,280000000000001",0,0,"4,22593441648674","",False</t>
  </si>
  <si>
    <t>PvRecord { Timestamp = 05.12.2025 00:30:00, Index = 0, DirectGeometryFactor = 0, DiffuseGeometryFactor = 0,9095760221444958, CosSunElevation = 0, GlobalHorizontalIrradiance = 0, SunshineDuration = 0, DiffuseHorizontalIrradiance = 0, AmbientTemp = 2,75, WindSpeed = 9, SnowDepth = 0, Weight = 0, Age = 4,225962936374821, MeasuredPower = , HasMeasuredPower = False },LEG.PV.Data.Processor.DataRecords+PvRecord,"05.12.2025 00:30:00",0,0,"0,9095760221444958",0,0,0,0,"2,75",9,0,0,"4,225962936374821","",False</t>
  </si>
  <si>
    <t>PvRecord { Timestamp = 05.12.2025 00:45:00, Index = 0, DirectGeometryFactor = 0, DiffuseGeometryFactor = 0,9095760221444958, CosSunElevation = 0, GlobalHorizontalIrradiance = 0, SunshineDuration = 0, DiffuseHorizontalIrradiance = 0, AmbientTemp = 2,75, WindSpeed = 9, SnowDepth = 0, Weight = 0, Age = 4,2259914562629035, MeasuredPower = , HasMeasuredPower = False },LEG.PV.Data.Processor.DataRecords+PvRecord,"05.12.2025 00:45:00",0,0,"0,9095760221444958",0,0,0,0,"2,75",9,0,0,"4,2259914562629035","",False</t>
  </si>
  <si>
    <t>PvRecord { Timestamp = 05.12.2025 01:00:00, Index = 0, DirectGeometryFactor = 0, DiffuseGeometryFactor = 0,9095760221444958, CosSunElevation = 0, GlobalHorizontalIrradiance = 0, SunshineDuration = 0, DiffuseHorizontalIrradiance = 0, AmbientTemp = 2,75, WindSpeed = 9, SnowDepth = 0, Weight = 0, Age = 4,226019976150985, MeasuredPower = , HasMeasuredPower = False },LEG.PV.Data.Processor.DataRecords+PvRecord,"05.12.2025 01:00:00",0,0,"0,9095760221444958",0,0,0,0,"2,75",9,0,0,"4,226019976150985","",False</t>
  </si>
  <si>
    <t>PvRecord { Timestamp = 05.12.2025 01:15:00, Index = 0, DirectGeometryFactor = 0, DiffuseGeometryFactor = 0,9095760221444958, CosSunElevation = 0, GlobalHorizontalIrradiance = 0, SunshineDuration = 0, DiffuseHorizontalIrradiance = 0, AmbientTemp = 2,75, WindSpeed = 9, SnowDepth = 0, Weight = 0, Age = 4,226048496039066, MeasuredPower = , HasMeasuredPower = False },LEG.PV.Data.Processor.DataRecords+PvRecord,"05.12.2025 01:15:00",0,0,"0,9095760221444958",0,0,0,0,"2,75",9,0,0,"4,226048496039066","",False</t>
  </si>
  <si>
    <t>PvRecord { Timestamp = 05.12.2025 01:30:00, Index = 0, DirectGeometryFactor = 0, DiffuseGeometryFactor = 0,9095760221444958, CosSunElevation = 0, GlobalHorizontalIrradiance = 0, SunshineDuration = 0, DiffuseHorizontalIrradiance = 0, AmbientTemp = 2,65, WindSpeed = 10,26, SnowDepth = 0, Weight = 0, Age = 4,226077015927148, MeasuredPower = , HasMeasuredPower = False },LEG.PV.Data.Processor.DataRecords+PvRecord,"05.12.2025 01:30:00",0,0,"0,9095760221444958",0,0,0,0,"2,65","10,26",0,0,"4,226077015927148","",False</t>
  </si>
  <si>
    <t>PvRecord { Timestamp = 05.12.2025 01:45:00, Index = 0, DirectGeometryFactor = 0, DiffuseGeometryFactor = 0,9095760221444958, CosSunElevation = 0, GlobalHorizontalIrradiance = 0, SunshineDuration = 0, DiffuseHorizontalIrradiance = 0, AmbientTemp = 2,65, WindSpeed = 10,26, SnowDepth = 0, Weight = 0, Age = 4,226105535815229, MeasuredPower = , HasMeasuredPower = False },LEG.PV.Data.Processor.DataRecords+PvRecord,"05.12.2025 01:45:00",0,0,"0,9095760221444958",0,0,0,0,"2,65","10,26",0,0,"4,226105535815229","",False</t>
  </si>
  <si>
    <t>PvRecord { Timestamp = 05.12.2025 02:00:00, Index = 0, DirectGeometryFactor = 0, DiffuseGeometryFactor = 0,9095760221444958, CosSunElevation = 0, GlobalHorizontalIrradiance = 0, SunshineDuration = 0, DiffuseHorizontalIrradiance = 0, AmbientTemp = 2,65, WindSpeed = 10,26, SnowDepth = 0, Weight = 0, Age = 4,226134055703311, MeasuredPower = , HasMeasuredPower = False },LEG.PV.Data.Processor.DataRecords+PvRecord,"05.12.2025 02:00:00",0,0,"0,9095760221444958",0,0,0,0,"2,65","10,26",0,0,"4,226134055703311","",False</t>
  </si>
  <si>
    <t>PvRecord { Timestamp = 05.12.2025 02:15:00, Index = 0, DirectGeometryFactor = 0, DiffuseGeometryFactor = 0,9095760221444958, CosSunElevation = 0, GlobalHorizontalIrradiance = 0, SunshineDuration = 0, DiffuseHorizontalIrradiance = 0, AmbientTemp = 2,65, WindSpeed = 10,26, SnowDepth = 0, Weight = 0, Age = 4,226162575591393, MeasuredPower = , HasMeasuredPower = False },LEG.PV.Data.Processor.DataRecords+PvRecord,"05.12.2025 02:15:00",0,0,"0,9095760221444958",0,0,0,0,"2,65","10,26",0,0,"4,226162575591393","",False</t>
  </si>
  <si>
    <t>PvRecord { Timestamp = 05.12.2025 02:30:00, Index = 0, DirectGeometryFactor = 0, DiffuseGeometryFactor = 0,9095760221444958, CosSunElevation = 0, GlobalHorizontalIrradiance = 0, SunshineDuration = 0, DiffuseHorizontalIrradiance = 0, AmbientTemp = 2,45, WindSpeed = 11,34, SnowDepth = 0, Weight = 0, Age = 4,226191095479474, MeasuredPower = , HasMeasuredPower = False },LEG.PV.Data.Processor.DataRecords+PvRecord,"05.12.2025 02:30:00",0,0,"0,9095760221444958",0,0,0,0,"2,45","11,34",0,0,"4,226191095479474","",False</t>
  </si>
  <si>
    <t>PvRecord { Timestamp = 05.12.2025 02:45:00, Index = 0, DirectGeometryFactor = 0, DiffuseGeometryFactor = 0,9095760221444958, CosSunElevation = 0, GlobalHorizontalIrradiance = 0, SunshineDuration = 0, DiffuseHorizontalIrradiance = 0, AmbientTemp = 2,45, WindSpeed = 11,34, SnowDepth = 0, Weight = 0, Age = 4,2262196153675555, MeasuredPower = , HasMeasuredPower = False },LEG.PV.Data.Processor.DataRecords+PvRecord,"05.12.2025 02:45:00",0,0,"0,9095760221444958",0,0,0,0,"2,45","11,34",0,0,"4,2262196153675555","",False</t>
  </si>
  <si>
    <t>PvRecord { Timestamp = 05.12.2025 03:00:00, Index = 0, DirectGeometryFactor = 0, DiffuseGeometryFactor = 0,9095760221444958, CosSunElevation = 0, GlobalHorizontalIrradiance = 0, SunshineDuration = 0, DiffuseHorizontalIrradiance = 0, AmbientTemp = 2,45, WindSpeed = 11,34, SnowDepth = 0, Weight = 0, Age = 4,226248135255637, MeasuredPower = , HasMeasuredPower = False },LEG.PV.Data.Processor.DataRecords+PvRecord,"05.12.2025 03:00:00",0,0,"0,9095760221444958",0,0,0,0,"2,45","11,34",0,0,"4,226248135255637","",False</t>
  </si>
  <si>
    <t>PvRecord { Timestamp = 05.12.2025 03:15:00, Index = 0, DirectGeometryFactor = 0, DiffuseGeometryFactor = 0,9095760221444958, CosSunElevation = 0, GlobalHorizontalIrradiance = 0, SunshineDuration = 0, DiffuseHorizontalIrradiance = 0, AmbientTemp = 2,45, WindSpeed = 11,34, SnowDepth = 0, Weight = 0, Age = 4,226276655143719, MeasuredPower = , HasMeasuredPower = False },LEG.PV.Data.Processor.DataRecords+PvRecord,"05.12.2025 03:15:00",0,0,"0,9095760221444958",0,0,0,0,"2,45","11,34",0,0,"4,226276655143719","",False</t>
  </si>
  <si>
    <t>PvRecord { Timestamp = 05.12.2025 03:30:00,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4,226305175031801, MeasuredPower = , HasMeasuredPower = False },LEG.PV.Data.Processor.DataRecords+PvRecord,"05.12.2025 03:30:00",0,0,"0,9095760221444958",0,0,0,0,"2,15","12,780000000000001",0,0,"4,226305175031801","",False</t>
  </si>
  <si>
    <t>PvRecord { Timestamp = 05.12.2025 03:45:00,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4,226333694919882, MeasuredPower = , HasMeasuredPower = False },LEG.PV.Data.Processor.DataRecords+PvRecord,"05.12.2025 03:45:00",0,0,"0,9095760221444958",0,0,0,0,"2,15","12,780000000000001",0,0,"4,226333694919882","",False</t>
  </si>
  <si>
    <t>PvRecord { Timestamp = 05.12.2025 04:00:00,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4,226362214807963, MeasuredPower = , HasMeasuredPower = False },LEG.PV.Data.Processor.DataRecords+PvRecord,"05.12.2025 04:00:00",0,0,"0,9095760221444958",0,0,0,0,"2,15","12,780000000000001",0,0,"4,226362214807963","",False</t>
  </si>
  <si>
    <t>PvRecord { Timestamp = 05.12.2025 04:15:00, Index = 0, DirectGeometryFactor = 0, DiffuseGeometryFactor = 0,9095760221444958, CosSunElevation = 0, GlobalHorizontalIrradiance = 0, SunshineDuration = 0, DiffuseHorizontalIrradiance = 0, AmbientTemp = 2,15, WindSpeed = 12,780000000000001, SnowDepth = 0, Weight = 0, Age = 4,226390734696046, MeasuredPower = , HasMeasuredPower = False },LEG.PV.Data.Processor.DataRecords+PvRecord,"05.12.2025 04:15:00",0,0,"0,9095760221444958",0,0,0,0,"2,15","12,780000000000001",0,0,"4,226390734696046","",False</t>
  </si>
  <si>
    <t>PvRecord { Timestamp = 05.12.2025 04:30:00,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4,226419254584127, MeasuredPower = , HasMeasuredPower = False },LEG.PV.Data.Processor.DataRecords+PvRecord,"05.12.2025 04:30:00",0,0,"0,9095760221444958",0,0,0,0,"1,9500000000000002","14,04",0,0,"4,226419254584127","",False</t>
  </si>
  <si>
    <t>PvRecord { Timestamp = 05.12.2025 04:45:00,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4,226447774472208, MeasuredPower = , HasMeasuredPower = False },LEG.PV.Data.Processor.DataRecords+PvRecord,"05.12.2025 04:45:00",0,0,"0,9095760221444958",0,0,0,0,"1,9500000000000002","14,04",0,0,"4,226447774472208","",False</t>
  </si>
  <si>
    <t>PvRecord { Timestamp = 05.12.2025 05:00:00,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4,22647629436029, MeasuredPower = , HasMeasuredPower = False },LEG.PV.Data.Processor.DataRecords+PvRecord,"05.12.2025 05:00:00",0,0,"0,9095760221444958",0,0,0,0,"1,9500000000000002","14,04",0,0,"4,22647629436029","",False</t>
  </si>
  <si>
    <t>PvRecord { Timestamp = 05.12.2025 05:15:00, Index = 0, DirectGeometryFactor = 0, DiffuseGeometryFactor = 0,9095760221444958, CosSunElevation = 0, GlobalHorizontalIrradiance = 0, SunshineDuration = 0, DiffuseHorizontalIrradiance = 0, AmbientTemp = 1,9500000000000002, WindSpeed = 14,04, SnowDepth = 0, Weight = 0, Age = 4,226504814248371, MeasuredPower = , HasMeasuredPower = False },LEG.PV.Data.Processor.DataRecords+PvRecord,"05.12.2025 05:15:00",0,0,"0,9095760221444958",0,0,0,0,"1,9500000000000002","14,04",0,0,"4,226504814248371","",False</t>
  </si>
  <si>
    <t>PvRecord { Timestamp = 05.12.2025 05:30:00,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4,2265333341364535, MeasuredPower = , HasMeasuredPower = False },LEG.PV.Data.Processor.DataRecords+PvRecord,"05.12.2025 05:30:00",0,0,"0,9095760221444958",0,0,0,0,"1,8","15,120000000000001",0,0,"4,2265333341364535","",False</t>
  </si>
  <si>
    <t>PvRecord { Timestamp = 05.12.2025 05:45:00,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4,226561854024535, MeasuredPower = , HasMeasuredPower = False },LEG.PV.Data.Processor.DataRecords+PvRecord,"05.12.2025 05:45:00",0,0,"0,9095760221444958",0,0,0,0,"1,8","15,120000000000001",0,0,"4,226561854024535","",False</t>
  </si>
  <si>
    <t>PvRecord { Timestamp = 05.12.2025 06:00:00,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4,226590373912616, MeasuredPower = , HasMeasuredPower = False },LEG.PV.Data.Processor.DataRecords+PvRecord,"05.12.2025 06:00:00",0,0,"0,9095760221444958",0,0,0,0,"1,8","15,120000000000001",0,0,"4,226590373912616","",False</t>
  </si>
  <si>
    <t>PvRecord { Timestamp = 05.12.2025 06:15:00, Index = 0, DirectGeometryFactor = 0, DiffuseGeometryFactor = 0,9095760221444958, CosSunElevation = 0, GlobalHorizontalIrradiance = 0, SunshineDuration = 0, DiffuseHorizontalIrradiance = 0, AmbientTemp = 1,8, WindSpeed = 15,120000000000001, SnowDepth = 0, Weight = 0, Age = 4,226618893800698, MeasuredPower = , HasMeasuredPower = False },LEG.PV.Data.Processor.DataRecords+PvRecord,"05.12.2025 06:15:00",0,0,"0,9095760221444958",0,0,0,0,"1,8","15,120000000000001",0,0,"4,226618893800698","",False</t>
  </si>
  <si>
    <t>PvRecord { Timestamp = 05.12.2025 06:30:00, Index = 0, DirectGeometryFactor = 0, DiffuseGeometryFactor = 0,9095760221444958, CosSunElevation = 0, GlobalHorizontalIrradiance = 0, SunshineDuration = 0, DiffuseHorizontalIrradiance = 0, AmbientTemp = 1,9, WindSpeed = 15,66, SnowDepth = 0, Weight = 0, Age = 4,226647413688779, MeasuredPower = , HasMeasuredPower = False },LEG.PV.Data.Processor.DataRecords+PvRecord,"05.12.2025 06:30:00",0,0,"0,9095760221444958",0,0,0,0,"1,9","15,66",0,0,"4,226647413688779","",False</t>
  </si>
  <si>
    <t>PvRecord { Timestamp = 05.12.2025 06:45:00, Index = 0, DirectGeometryFactor = 0, DiffuseGeometryFactor = 0,9095760221444958, CosSunElevation = 0, GlobalHorizontalIrradiance = 0, SunshineDuration = 0, DiffuseHorizontalIrradiance = 0, AmbientTemp = 1,9, WindSpeed = 15,66, SnowDepth = 0, Weight = 0, Age = 4,226675933576861, MeasuredPower = , HasMeasuredPower = False },LEG.PV.Data.Processor.DataRecords+PvRecord,"05.12.2025 06:45:00",0,0,"0,9095760221444958",0,0,0,0,"1,9","15,66",0,0,"4,226675933576861","",False</t>
  </si>
  <si>
    <t>PvRecord { Timestamp = 05.12.2025 07:00:00, Index = 0, DirectGeometryFactor = 0, DiffuseGeometryFactor = 0,9095760221444958, CosSunElevation = 0, GlobalHorizontalIrradiance = 0, SunshineDuration = 0, DiffuseHorizontalIrradiance = 0, AmbientTemp = 1,9, WindSpeed = 15,66, SnowDepth = 0, Weight = 0, Age = 4,226704453464943, MeasuredPower = , HasMeasuredPower = False },LEG.PV.Data.Processor.DataRecords+PvRecord,"05.12.2025 07:00:00",0,0,"0,9095760221444958",0,0,0,0,"1,9","15,66",0,0,"4,226704453464943","",False</t>
  </si>
  <si>
    <t>PvRecord { Timestamp = 05.12.2025 07:15:00, Index = 0, DirectGeometryFactor = 0, DiffuseGeometryFactor = 0,9095760221444958, CosSunElevation = 0, GlobalHorizontalIrradiance = 0, SunshineDuration = 0, DiffuseHorizontalIrradiance = 0, AmbientTemp = 1,9, WindSpeed = 15,66, SnowDepth = 0, Weight = 0, Age = 4,226732973353024, MeasuredPower = , HasMeasuredPower = False },LEG.PV.Data.Processor.DataRecords+PvRecord,"05.12.2025 07:15:00",0,0,"0,9095760221444958",0,0,0,0,"1,9","15,66",0,0,"4,226732973353024","",False</t>
  </si>
  <si>
    <t>PvRecord { Timestamp = 05.12.2025 07:30:00, Index = 0, DirectGeometryFactor = 0, DiffuseGeometryFactor = 0,9095760221444958, CosSunElevation = 0, GlobalHorizontalIrradiance = 0, SunshineDuration = 0, DiffuseHorizontalIrradiance = 0, AmbientTemp = 2,3, WindSpeed = 15,3, SnowDepth = 0, Weight = 0, Age = 4,2267614932411055, MeasuredPower = , HasMeasuredPower = False },LEG.PV.Data.Processor.DataRecords+PvRecord,"05.12.2025 07:30:00",0,0,"0,9095760221444958",0,0,0,0,"2,3","15,3",0,0,"4,2267614932411055","",False</t>
  </si>
  <si>
    <t>PvRecord { Timestamp = 05.12.2025 07:45:00, Index = 0, DirectGeometryFactor = 0, DiffuseGeometryFactor = 0,9095760221444958, CosSunElevation = 0, GlobalHorizontalIrradiance = 0, SunshineDuration = 0, DiffuseHorizontalIrradiance = 0, AmbientTemp = 2,3, WindSpeed = 15,3, SnowDepth = 0, Weight = 0, Age = 4,226790013129187, MeasuredPower = , HasMeasuredPower = False },LEG.PV.Data.Processor.DataRecords+PvRecord,"05.12.2025 07:45:00",0,0,"0,9095760221444958",0,0,0,0,"2,3","15,3",0,0,"4,226790013129187","",False</t>
  </si>
  <si>
    <t>PvRecord { Timestamp = 05.12.2025 08:00:00, Index = 0, DirectGeometryFactor = 0, DiffuseGeometryFactor = 0,9095760221444958, CosSunElevation = 0,0206453257008458, GlobalHorizontalIrradiance = 0, SunshineDuration = 0, DiffuseHorizontalIrradiance = 0, AmbientTemp = 2,3, WindSpeed = 15,3, SnowDepth = 0, Weight = 0, Age = 4,226818533017269, MeasuredPower = , HasMeasuredPower = False },LEG.PV.Data.Processor.DataRecords+PvRecord,"05.12.2025 08:00:00",0,0,"0,9095760221444958","0,0206453257008458",0,0,0,"2,3","15,3",0,0,"4,226818533017269","",False</t>
  </si>
  <si>
    <t>PvRecord { Timestamp = 05.12.2025 08:15:00, Index = 0, DirectGeometryFactor = 0,5373418092273446, DiffuseGeometryFactor = 0,9095760221444958, CosSunElevation = 0,05358428108103529, GlobalHorizontalIrradiance = 0, SunshineDuration = 0, DiffuseHorizontalIrradiance = 0, AmbientTemp = 2,3, WindSpeed = 15,3, SnowDepth = 0, Weight = 0, Age = 4,226847052905351, MeasuredPower = , HasMeasuredPower = False },LEG.PV.Data.Processor.DataRecords+PvRecord,"05.12.2025 08:15:00",0,"0,5373418092273446","0,9095760221444958","0,05358428108103529",0,0,0,"2,3","15,3",0,0,"4,226847052905351","",False</t>
  </si>
  <si>
    <t>PvRecord { Timestamp = 05.12.2025 08:30:00, Index = 0, DirectGeometryFactor = 0,5770376190229827, DiffuseGeometryFactor = 0,9095760221444958, CosSunElevation = 0,08648180478972853, GlobalHorizontalIrradiance = 128,91666666666666, SunshineDuration = 0, DiffuseHorizontalIrradiance = 26,5, AmbientTemp = 2,9000000000000004, WindSpeed = 14,040000000000001, SnowDepth = 0, Weight = 0, Age = 4,226875572793432, MeasuredPower = , HasMeasuredPower = False },LEG.PV.Data.Processor.DataRecords+PvRecord,"05.12.2025 08:30:00",0,"0,5770376190229827","0,9095760221444958","0,08648180478972853","128,91666666666666",0,"26,5","2,9000000000000004","14,040000000000001",0,0,"4,226875572793432","",False</t>
  </si>
  <si>
    <t>PvRecord { Timestamp = 05.12.2025 08:45:00, Index = 0, DirectGeometryFactor = 0,6143324431670136, DiffuseGeometryFactor = 0,9095760221444958, CosSunElevation = 0,11836162406397016, GlobalHorizontalIrradiance = 128,91666666666666, SunshineDuration = 0, DiffuseHorizontalIrradiance = 26,5, AmbientTemp = 2,9000000000000004, WindSpeed = 14,040000000000001, SnowDepth = 0, Weight = 0, Age = 4,226904092681513, MeasuredPower = , HasMeasuredPower = False },LEG.PV.Data.Processor.DataRecords+PvRecord,"05.12.2025 08:45:00",0,"0,6143324431670136","0,9095760221444958","0,11836162406397016","128,91666666666666",0,"26,5","2,9000000000000004","14,040000000000001",0,0,"4,226904092681513","",False</t>
  </si>
  <si>
    <t>PvRecord { Timestamp = 05.12.2025 09:00:00, Index = 0, DirectGeometryFactor = 0,648823075647734, DiffuseGeometryFactor = 0,9095760221444958, CosSunElevation = 0,1487964046698075, GlobalHorizontalIrradiance = 128,91666666666666, SunshineDuration = 0, DiffuseHorizontalIrradiance = 26,5, AmbientTemp = 2,9000000000000004, WindSpeed = 14,040000000000001, SnowDepth = 0, Weight = 0, Age = 4,226932612569595, MeasuredPower = , HasMeasuredPower = False },LEG.PV.Data.Processor.DataRecords+PvRecord,"05.12.2025 09:00:00",0,"0,648823075647734","0,9095760221444958","0,1487964046698075","128,91666666666666",0,"26,5","2,9000000000000004","14,040000000000001",0,0,"4,226932612569595","",False</t>
  </si>
  <si>
    <t>PvRecord { Timestamp = 05.12.2025 09:15:00, Index = 0, DirectGeometryFactor = 0,680262767279882, DiffuseGeometryFactor = 0,9095760221444958, CosSunElevation = 0,17753713240910668, GlobalHorizontalIrradiance = 128,91666666666666, SunshineDuration = 0, DiffuseHorizontalIrradiance = 26,5, AmbientTemp = 2,9000000000000004, WindSpeed = 14,040000000000001, SnowDepth = 0, Weight = 0, Age = 4,226961132457677, MeasuredPower = , HasMeasuredPower = False },LEG.PV.Data.Processor.DataRecords+PvRecord,"05.12.2025 09:15:00",0,"0,680262767279882","0,9095760221444958","0,17753713240910668","128,91666666666666",0,"26,5","2,9000000000000004","14,040000000000001",0,0,"4,226961132457677","",False</t>
  </si>
  <si>
    <t>PvRecord { Timestamp = 05.12.2025 09:30:00, Index = 0, DirectGeometryFactor = 0,7084702453221181, DiffuseGeometryFactor = 0,9095760221444958, CosSunElevation = 0,20440468921648047, GlobalHorizontalIrradiance = 205,53333333333333, SunshineDuration = 0, DiffuseHorizontalIrradiance = 78,5, AmbientTemp = 3,65, WindSpeed = 13,32, SnowDepth = 0, Weight = 0, Age = 4,226989652345758, MeasuredPower = , HasMeasuredPower = False },LEG.PV.Data.Processor.DataRecords+PvRecord,"05.12.2025 09:30:00",0,"0,7084702453221181","0,9095760221444958","0,20440468921648047","205,53333333333333",0,"78,5","3,65","13,32",0,0,"4,226989652345758","",False</t>
  </si>
  <si>
    <t>PvRecord { Timestamp = 05.12.2025 09:45:00, Index = 0, DirectGeometryFactor = 0,7333001877084705, DiffuseGeometryFactor = 0,9095760221444958, CosSunElevation = 0,22925445907848324, GlobalHorizontalIrradiance = 205,53333333333333, SunshineDuration = 0, DiffuseHorizontalIrradiance = 78,5, AmbientTemp = 3,65, WindSpeed = 13,32, SnowDepth = 0, Weight = 0, Age = 4,22701817223384, MeasuredPower = , HasMeasuredPower = False },LEG.PV.Data.Processor.DataRecords+PvRecord,"05.12.2025 09:45:00",0,"0,7333001877084705","0,9095760221444958","0,22925445907848324","205,53333333333333",0,"78,5","3,65","13,32",0,0,"4,22701817223384","",False</t>
  </si>
  <si>
    <t>PvRecord { Timestamp = 05.12.2025 10:00:00, Index = 0, DirectGeometryFactor = 0,7546322445798677, DiffuseGeometryFactor = 0,9095760221444958, CosSunElevation = 0,25196307494222736, GlobalHorizontalIrradiance = 205,53333333333333, SunshineDuration = 0, DiffuseHorizontalIrradiance = 78,5, AmbientTemp = 3,65, WindSpeed = 13,32, SnowDepth = 0, Weight = 0, Age = 4,227046692121921, MeasuredPower = , HasMeasuredPower = False },LEG.PV.Data.Processor.DataRecords+PvRecord,"05.12.2025 10:00:00",0,"0,7546322445798677","0,9095760221444958","0,25196307494222736","205,53333333333333",0,"78,5","3,65","13,32",0,0,"4,227046692121921","",False</t>
  </si>
  <si>
    <t>PvRecord { Timestamp = 05.12.2025 10:15:00, Index = 0, DirectGeometryFactor = 0,7723665283355139, DiffuseGeometryFactor = 0,9095760221444958, CosSunElevation = 0,27242292839591387, GlobalHorizontalIrradiance = 205,53333333333333, SunshineDuration = 0, DiffuseHorizontalIrradiance = 78,5, AmbientTemp = 3,65, WindSpeed = 13,32, SnowDepth = 0, Weight = 0, Age = 4,227075212010003, MeasuredPower = , HasMeasuredPower = False },LEG.PV.Data.Processor.DataRecords+PvRecord,"05.12.2025 10:15:00",0,"0,7723665283355139","0,9095760221444958","0,27242292839591387","205,53333333333333",0,"78,5","3,65","13,32",0,0,"4,227075212010003","",False</t>
  </si>
  <si>
    <t>PvRecord { Timestamp = 05.12.2025 10:30:00, Index = 0, DirectGeometryFactor = 0,7864216404618526, DiffuseGeometryFactor = 0,9095760221444958, CosSunElevation = 0,2905397515406007, GlobalHorizontalIrradiance = 206,01666666666665, SunshineDuration = 0, DiffuseHorizontalIrradiance = 118, AmbientTemp = 4,35, WindSpeed = 13,68, SnowDepth = 0, Weight = 0, Age = 4,227103731898085, MeasuredPower = , HasMeasuredPower = False },LEG.PV.Data.Processor.DataRecords+PvRecord,"05.12.2025 10:30:00",0,"0,7864216404618526","0,9095760221444958","0,2905397515406007","206,01666666666665",0,118,"4,35","13,68",0,0,"4,227103731898085","",False</t>
  </si>
  <si>
    <t>PvRecord { Timestamp = 05.12.2025 10:45:00, Index = 0, DirectGeometryFactor = 0,7967337801370749, DiffuseGeometryFactor = 0,9095760221444958, CosSunElevation = 0,3062315323577925, GlobalHorizontalIrradiance = 206,01666666666665, SunshineDuration = 0, DiffuseHorizontalIrradiance = 118, AmbientTemp = 4,35, WindSpeed = 13,68, SnowDepth = 0, Weight = 0, Age = 4,227132251786166, MeasuredPower = , HasMeasuredPower = False },LEG.PV.Data.Processor.DataRecords+PvRecord,"05.12.2025 10:45:00",0,"0,7967337801370749","0,9095760221444958","0,3062315323577925","206,01666666666665",0,118,"4,35","13,68",0,0,"4,227132251786166","",False</t>
  </si>
  <si>
    <t>PvRecord { Timestamp = 05.12.2025 11:00:00, Index = 0, DirectGeometryFactor = 0,8032563359065359, DiffuseGeometryFactor = 0,9095760221444958, CosSunElevation = 0,31942804723562424, GlobalHorizontalIrradiance = 206,01666666666665, SunshineDuration = 0, DiffuseHorizontalIrradiance = 118, AmbientTemp = 4,35, WindSpeed = 13,68, SnowDepth = 0, Weight = 0, Age = 4,227160771674248, MeasuredPower = , HasMeasuredPower = False },LEG.PV.Data.Processor.DataRecords+PvRecord,"05.12.2025 11:00:00",0,"0,8032563359065359","0,9095760221444958","0,31942804723562424","206,01666666666665",0,118,"4,35","13,68",0,0,"4,227160771674248","",False</t>
  </si>
  <si>
    <t>PvRecord { Timestamp = 05.12.2025 11:15:00, Index = 0, DirectGeometryFactor = 0,8059596916437866, DiffuseGeometryFactor = 0,9095760221444958, CosSunElevation = 0,33007068854983995, GlobalHorizontalIrradiance = 206,01666666666665, SunshineDuration = 0, DiffuseHorizontalIrradiance = 118, AmbientTemp = 4,35, WindSpeed = 13,68, SnowDepth = 0, Weight = 0, Age = 4,227189291562329, MeasuredPower = , HasMeasuredPower = False },LEG.PV.Data.Processor.DataRecords+PvRecord,"05.12.2025 11:15:00",0,"0,8059596916437866","0,9095760221444958","0,33007068854983995","206,01666666666665",0,118,"4,35","13,68",0,0,"4,227189291562329","",False</t>
  </si>
  <si>
    <t>PvRecord { Timestamp = 05.12.2025 11:30:00, Index = 0, DirectGeometryFactor = 0,8048311176206824, DiffuseGeometryFactor = 0,9095760221444958, CosSunElevation = 0,3381124321292761, GlobalHorizontalIrradiance = 204,31666666666666, SunshineDuration = 0, DiffuseHorizontalIrradiance = 140,5, AmbientTemp = 5, WindSpeed = 14,4, SnowDepth = 0, Weight = 0, Age = 4,22721781145041, MeasuredPower = , HasMeasuredPower = False },LEG.PV.Data.Processor.DataRecords+PvRecord,"05.12.2025 11:30:00",0,"0,8048311176206824","0,9095760221444958","0,3381124321292761","204,31666666666666",0,"140,5",5,"14,4",0,0,"4,22721781145041","",False</t>
  </si>
  <si>
    <t>PvRecord { Timestamp = 05.12.2025 11:45:00, Index = 0, DirectGeometryFactor = 0,7998746807938085, DiffuseGeometryFactor = 0,9095760221444958, CosSunElevation = 0,343517865197608, GlobalHorizontalIrradiance = 204,31666666666666, SunshineDuration = 0, DiffuseHorizontalIrradiance = 140,5, AmbientTemp = 5, WindSpeed = 14,4, SnowDepth = 0, Weight = 0, Age = 4,227246331338493, MeasuredPower = , HasMeasuredPower = False },LEG.PV.Data.Processor.DataRecords+PvRecord,"05.12.2025 11:45:00",0,"0,7998746807938085","0,9095760221444958","0,343517865197608","204,31666666666666",0,"140,5",5,"14,4",0,0,"4,227246331338493","",False</t>
  </si>
  <si>
    <t>PvRecord { Timestamp = 05.12.2025 12:00:00, Index = 0, DirectGeometryFactor = 0,7911111394156904, DiffuseGeometryFactor = 0,9095760221444958, CosSunElevation = 0,34626323222754607, GlobalHorizontalIrradiance = 204,31666666666666, SunshineDuration = 0, DiffuseHorizontalIrradiance = 140,5, AmbientTemp = 5, WindSpeed = 14,4, SnowDepth = 0, Weight = 0, Age = 4,227274851226574, MeasuredPower = , HasMeasuredPower = False },LEG.PV.Data.Processor.DataRecords+PvRecord,"05.12.2025 12:00:00",0,"0,7911111394156904","0,9095760221444958","0,34626323222754607","204,31666666666666",0,"140,5",5,"14,4",0,0,"4,227274851226574","",False</t>
  </si>
  <si>
    <t>PvRecord { Timestamp = 05.12.2025 12:15:00, Index = 0, DirectGeometryFactor = 0,7785778033910019, DiffuseGeometryFactor = 0,9095760221444958, CosSunElevation = 0,3463364756745598, GlobalHorizontalIrradiance = 204,31666666666666, SunshineDuration = 0, DiffuseHorizontalIrradiance = 140,5, AmbientTemp = 5, WindSpeed = 14,4, SnowDepth = 0, Weight = 0, Age = 4,2273033711146555, MeasuredPower = , HasMeasuredPower = False },LEG.PV.Data.Processor.DataRecords+PvRecord,"05.12.2025 12:15:00",0,"0,7785778033910019","0,9095760221444958","0,3463364756745598","204,31666666666666",0,"140,5",5,"14,4",0,0,"4,2273033711146555","",False</t>
  </si>
  <si>
    <t>PvRecord { Timestamp = 05.12.2025 12:30:00, Index = 0, DirectGeometryFactor = 0,7623283507825611, DiffuseGeometryFactor = 0,9095760221444958, CosSunElevation = 0,3437372592982465, GlobalHorizontalIrradiance = 197,11666666666665, SunshineDuration = 0, DiffuseHorizontalIrradiance = 146, AmbientTemp = 5,4, WindSpeed = 14,760000000000002, SnowDepth = 0, Weight = 0, Age = 4,227331891002737, MeasuredPower = , HasMeasuredPower = False },LEG.PV.Data.Processor.DataRecords+PvRecord,"05.12.2025 12:30:00",0,"0,7623283507825611","0,9095760221444958","0,3437372592982465","197,11666666666665",0,146,"5,4","14,760000000000002",0,0,"4,227331891002737","",False</t>
  </si>
  <si>
    <t>PvRecord { Timestamp = 05.12.2025 12:45:00, Index = 0, DirectGeometryFactor = 0,7424325969396586, DiffuseGeometryFactor = 0,9095760221444958, CosSunElevation = 0,338476968650176, GlobalHorizontalIrradiance = 197,11666666666665, SunshineDuration = 0, DiffuseHorizontalIrradiance = 146, AmbientTemp = 5,4, WindSpeed = 14,760000000000002, SnowDepth = 0, Weight = 0, Age = 4,227360410890818, MeasuredPower = , HasMeasuredPower = False },LEG.PV.Data.Processor.DataRecords+PvRecord,"05.12.2025 12:45:00",0,"0,7424325969396586","0,9095760221444958","0,338476968650176","197,11666666666665",0,146,"5,4","14,760000000000002",0,0,"4,227360410890818","",False</t>
  </si>
  <si>
    <t>PvRecord { Timestamp = 05.12.2025 13:00:00, Index = 0, DirectGeometryFactor = 0,7189762170881938, DiffuseGeometryFactor = 0,9095760221444958, CosSunElevation = 0,3305786886536947, GlobalHorizontalIrradiance = 197,11666666666665, SunshineDuration = 0, DiffuseHorizontalIrradiance = 146, AmbientTemp = 5,4, WindSpeed = 14,760000000000002, SnowDepth = 0, Weight = 0, Age = 4,2273889307789005, MeasuredPower = , HasMeasuredPower = False },LEG.PV.Data.Processor.DataRecords+PvRecord,"05.12.2025 13:00:00",0,"0,7189762170881938","0,9095760221444958","0,3305786886536947","197,11666666666665",0,146,"5,4","14,760000000000002",0,0,"4,2273889307789005","",False</t>
  </si>
  <si>
    <t>PvRecord { Timestamp = 05.12.2025 13:15:00, Index = 0, DirectGeometryFactor = 0,6920604274600435, DiffuseGeometryFactor = 0,9095760221444958, CosSunElevation = 0,32007716327983815, GlobalHorizontalIrradiance = 197,11666666666665, SunshineDuration = 0, DiffuseHorizontalIrradiance = 146, AmbientTemp = 5,4, WindSpeed = 14,760000000000002, SnowDepth = 0, Weight = 0, Age = 4,227417450666982, MeasuredPower = , HasMeasuredPower = False },LEG.PV.Data.Processor.DataRecords+PvRecord,"05.12.2025 13:15:00",0,"0,6920604274600435","0,9095760221444958","0,32007716327983815","197,11666666666665",0,146,"5,4","14,760000000000002",0,0,"4,227417450666982","",False</t>
  </si>
  <si>
    <t>PvRecord { Timestamp = 05.12.2025 13:30:00, Index = 0, DirectGeometryFactor = 0,6618016361472528, DiffuseGeometryFactor = 0,9095760221444958, CosSunElevation = 0,3070187492085979, GlobalHorizontalIrradiance = 185,83333333333331, SunshineDuration = 0, DiffuseHorizontalIrradiance = 133,5, AmbientTemp = 5,449999999999999, WindSpeed = 15,3, SnowDepth = 0, Weight = 0, Age = 4,227445970555063, MeasuredPower = , HasMeasuredPower = False },LEG.PV.Data.Processor.DataRecords+PvRecord,"05.12.2025 13:30:00",0,"0,6618016361472528","0,9095760221444958","0,3070187492085979","185,83333333333331",0,"133,5","5,449999999999999","15,3",0,0,"4,227445970555063","",False</t>
  </si>
  <si>
    <t>PvRecord { Timestamp = 05.12.2025 13:45:00, Index = 0, DirectGeometryFactor = 0,6283310833581711, DiffuseGeometryFactor = 0,9095760221444958, CosSunElevation = 0,29146138587704, GlobalHorizontalIrradiance = 185,83333333333331, SunshineDuration = 0, DiffuseHorizontalIrradiance = 133,5, AmbientTemp = 5,449999999999999, WindSpeed = 15,3, SnowDepth = 0, Weight = 0, Age = 4,227474490443145, MeasuredPower = , HasMeasuredPower = False },LEG.PV.Data.Processor.DataRecords+PvRecord,"05.12.2025 13:45:00",0,"0,6283310833581711","0,9095760221444958","0,29146138587704","185,83333333333331",0,"133,5","5,449999999999999","15,3",0,0,"4,227474490443145","",False</t>
  </si>
  <si>
    <t>PvRecord { Timestamp = 05.12.2025 14:00:00, Index = 0, DirectGeometryFactor = 0,5917945060415783, DiffuseGeometryFactor = 0,9095760221444958, CosSunElevation = 0,27347462284287233, GlobalHorizontalIrradiance = 185,83333333333331, SunshineDuration = 0, DiffuseHorizontalIrradiance = 133,5, AmbientTemp = 5,449999999999999, WindSpeed = 15,3, SnowDepth = 0, Weight = 0, Age = 4,227503010331226, MeasuredPower = , HasMeasuredPower = False },LEG.PV.Data.Processor.DataRecords+PvRecord,"05.12.2025 14:00:00",0,"0,5917945060415783","0,9095760221444958","0,27347462284287233","185,83333333333331",0,"133,5","5,449999999999999","15,3",0,0,"4,227503010331226","",False</t>
  </si>
  <si>
    <t>PvRecord { Timestamp = 05.12.2025 14:15:00, Index = 0, DirectGeometryFactor = 0,5523518919250963, DiffuseGeometryFactor = 0,9095760221444958, CosSunElevation = 0,2531397813429189, GlobalHorizontalIrradiance = 185,83333333333331, SunshineDuration = 0, DiffuseHorizontalIrradiance = 133,5, AmbientTemp = 5,449999999999999, WindSpeed = 15,3, SnowDepth = 0, Weight = 0, Age = 4,227531530219308, MeasuredPower = , HasMeasuredPower = False },LEG.PV.Data.Processor.DataRecords+PvRecord,"05.12.2025 14:15:00",0,"0,5523518919250963","0,9095760221444958","0,2531397813429189","185,83333333333331",0,"133,5","5,449999999999999","15,3",0,0,"4,227531530219308","",False</t>
  </si>
  <si>
    <t>PvRecord { Timestamp = 05.12.2025 14:30:00, Index = 0, DirectGeometryFactor = 0,5101774475708818, DiffuseGeometryFactor = 0,9095760221444958, CosSunElevation = 0,2305503995908155, GlobalHorizontalIrradiance = 169,56666666666666, SunshineDuration = 0, DiffuseHorizontalIrradiance = 102,5, AmbientTemp = 5,4, WindSpeed = 15,84, SnowDepth = 0, Weight = 0, Age = 4,22756005010739, MeasuredPower = , HasMeasuredPower = False },LEG.PV.Data.Processor.DataRecords+PvRecord,"05.12.2025 14:30:00",0,"0,5101774475708818","0,9095760221444958","0,2305503995908155","169,56666666666666",0,"102,5","5,4","15,84",0,0,"4,22756005010739","",False</t>
  </si>
  <si>
    <t>PvRecord { Timestamp = 05.12.2025 14:45:00, Index = 0, DirectGeometryFactor = 0,4654600361565814, DiffuseGeometryFactor = 0,9095760221444958, CosSunElevation = 0,2058132705644211, GlobalHorizontalIrradiance = 169,56666666666666, SunshineDuration = 0, DiffuseHorizontalIrradiance = 102,5, AmbientTemp = 5,4, WindSpeed = 15,84, SnowDepth = 0, Weight = 0, Age = 4,227588569995471, MeasuredPower = , HasMeasuredPower = False },LEG.PV.Data.Processor.DataRecords+PvRecord,"05.12.2025 14:45:00",0,"0,4654600361565814","0,9095760221444958","0,2058132705644211","169,56666666666666",0,"102,5","5,4","15,84",0,0,"4,227588569995471","",False</t>
  </si>
  <si>
    <t>PvRecord { Timestamp = 05.12.2025 15:00:00, Index = 0, DirectGeometryFactor = 0,41840465097572643, DiffuseGeometryFactor = 0,9095760221444958, CosSunElevation = 0,17905075722563352, GlobalHorizontalIrradiance = 169,56666666666666, SunshineDuration = 0, DiffuseHorizontalIrradiance = 102,5, AmbientTemp = 5,4, WindSpeed = 15,84, SnowDepth = 0, Weight = 0, Age = 4,227617089883553, MeasuredPower = , HasMeasuredPower = False },LEG.PV.Data.Processor.DataRecords+PvRecord,"05.12.2025 15:00:00",0,"0,41840465097572643","0,9095760221444958","0,17905075722563352","169,56666666666666",0,"102,5","5,4","15,84",0,0,"4,227617089883553","",False</t>
  </si>
  <si>
    <t>PvRecord { Timestamp = 05.12.2025 15:15:00, Index = 0, DirectGeometryFactor = 0,36923628782142515, DiffuseGeometryFactor = 0,9095760221444958, CosSunElevation = 0,15040603849058276, GlobalHorizontalIrradiance = 169,56666666666666, SunshineDuration = 0, DiffuseHorizontalIrradiance = 102,5, AmbientTemp = 5,4, WindSpeed = 15,84, SnowDepth = 0, Weight = 0, Age = 4,227645609771634, MeasuredPower = , HasMeasuredPower = False },LEG.PV.Data.Processor.DataRecords+PvRecord,"05.12.2025 15:15:00",0,"0,36923628782142515","0,9095760221444958","0,15040603849058276","169,56666666666666",0,"102,5","5,4","15,84",0,0,"4,227645609771634","",False</t>
  </si>
  <si>
    <t>PvRecord { Timestamp = 05.12.2025 15:30:00, Index = 0, DirectGeometryFactor = 0,318209868259809, DiffuseGeometryFactor = 0,9095760221444958, CosSunElevation = 0,12005571781775523, GlobalHorizontalIrradiance = 147,46666666666667, SunshineDuration = 0, DiffuseHorizontalIrradiance = 58, AmbientTemp = 5,2, WindSpeed = 17,46, SnowDepth = 0, Weight = 0, Age = 4,227674129659716, MeasuredPower = , HasMeasuredPower = False },LEG.PV.Data.Processor.DataRecords+PvRecord,"05.12.2025 15:30:00",0,"0,318209868259809","0,9095760221444958","0,12005571781775523","147,46666666666667",0,58,"5,2","17,46",0,0,"4,227674129659716","",False</t>
  </si>
  <si>
    <t>PvRecord { Timestamp = 05.12.2025 15:45:00, Index = 0, DirectGeometryFactor = 0, DiffuseGeometryFactor = 0,9095760221444958, CosSunElevation = 0,08824328085305524, GlobalHorizontalIrradiance = 147,46666666666667, SunshineDuration = 0, DiffuseHorizontalIrradiance = 58, AmbientTemp = 5,2, WindSpeed = 17,46, SnowDepth = 0, Weight = 0, Age = 4,227702649547798, MeasuredPower = , HasMeasuredPower = False },LEG.PV.Data.Processor.DataRecords+PvRecord,"05.12.2025 15:45:00",0,0,"0,9095760221444958","0,08824328085305524","147,46666666666667",0,58,"5,2","17,46",0,0,"4,227702649547798","",False</t>
  </si>
  <si>
    <t>PvRecord { Timestamp = 05.12.2025 16:00:00, Index = 0, DirectGeometryFactor = 0, DiffuseGeometryFactor = 0,9095760221444958, CosSunElevation = 0,05538077999562253, GlobalHorizontalIrradiance = 147,46666666666667, SunshineDuration = 0, DiffuseHorizontalIrradiance = 58, AmbientTemp = 5,2, WindSpeed = 17,46, SnowDepth = 0, Weight = 0, Age = 4,227731169435879, MeasuredPower = , HasMeasuredPower = False },LEG.PV.Data.Processor.DataRecords+PvRecord,"05.12.2025 16:00:00",0,0,"0,9095760221444958","0,05538077999562253","147,46666666666667",0,58,"5,2","17,46",0,0,"4,227731169435879","",False</t>
  </si>
  <si>
    <t>PvRecord { Timestamp = 05.12.2025 16:15:00, Index = 0, DirectGeometryFactor = 0, DiffuseGeometryFactor = 0,9095760221444958, CosSunElevation = 0,0223963228582226, GlobalHorizontalIrradiance = 147,46666666666667, SunshineDuration = 0, DiffuseHorizontalIrradiance = 58, AmbientTemp = 5,2, WindSpeed = 17,46, SnowDepth = 0, Weight = 0, Age = 4,22775968932396, MeasuredPower = , HasMeasuredPower = False },LEG.PV.Data.Processor.DataRecords+PvRecord,"05.12.2025 16:15:00",0,0,"0,9095760221444958","0,0223963228582226","147,46666666666667",0,58,"5,2","17,46",0,0,"4,22775968932396","",False</t>
  </si>
  <si>
    <t>PvRecord { Timestamp = 05.12.2025 16:30:00,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4,227788209212042, MeasuredPower = , HasMeasuredPower = False },LEG.PV.Data.Processor.DataRecords+PvRecord,"05.12.2025 16:30:00",0,0,"0,9095760221444958",0,"46,8",0,"12,5","4,95","19,080000000000002",0,0,"4,227788209212042","",False</t>
  </si>
  <si>
    <t>PvRecord { Timestamp = 05.12.2025 16:45:00,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4,227816729100124, MeasuredPower = , HasMeasuredPower = False },LEG.PV.Data.Processor.DataRecords+PvRecord,"05.12.2025 16:45:00",0,0,"0,9095760221444958",0,"46,8",0,"12,5","4,95","19,080000000000002",0,0,"4,227816729100124","",False</t>
  </si>
  <si>
    <t>PvRecord { Timestamp = 05.12.2025 17:00:00,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4,2278452489882055, MeasuredPower = , HasMeasuredPower = False },LEG.PV.Data.Processor.DataRecords+PvRecord,"05.12.2025 17:00:00",0,0,"0,9095760221444958",0,"46,8",0,"12,5","4,95","19,080000000000002",0,0,"4,2278452489882055","",False</t>
  </si>
  <si>
    <t>PvRecord { Timestamp = 05.12.2025 17:15:00, Index = 0, DirectGeometryFactor = 0, DiffuseGeometryFactor = 0,9095760221444958, CosSunElevation = 0, GlobalHorizontalIrradiance = 46,8, SunshineDuration = 0, DiffuseHorizontalIrradiance = 12,5, AmbientTemp = 4,95, WindSpeed = 19,080000000000002, SnowDepth = 0, Weight = 0, Age = 4,227873768876287, MeasuredPower = , HasMeasuredPower = False },LEG.PV.Data.Processor.DataRecords+PvRecord,"05.12.2025 17:15:00",0,0,"0,9095760221444958",0,"46,8",0,"12,5","4,95","19,080000000000002",0,0,"4,227873768876287","",False</t>
  </si>
  <si>
    <t>PvRecord { Timestamp = 05.12.2025 17:30:00,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4,227902288764368, MeasuredPower = , HasMeasuredPower = False },LEG.PV.Data.Processor.DataRecords+PvRecord,"05.12.2025 17:30:00",0,0,"0,9095760221444958",0,0,0,0,"4,65","21,240000000000002",0,0,"4,227902288764368","",False</t>
  </si>
  <si>
    <t>PvRecord { Timestamp = 05.12.2025 17:45:00,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4,22793080865245, MeasuredPower = , HasMeasuredPower = False },LEG.PV.Data.Processor.DataRecords+PvRecord,"05.12.2025 17:45:00",0,0,"0,9095760221444958",0,0,0,0,"4,65","21,240000000000002",0,0,"4,22793080865245","",False</t>
  </si>
  <si>
    <t>PvRecord { Timestamp = 05.12.2025 18:00:00,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4,227959328540532, MeasuredPower = , HasMeasuredPower = False },LEG.PV.Data.Processor.DataRecords+PvRecord,"05.12.2025 18:00:00",0,0,"0,9095760221444958",0,0,0,0,"4,65","21,240000000000002",0,0,"4,227959328540532","",False</t>
  </si>
  <si>
    <t>PvRecord { Timestamp = 05.12.2025 18:15:00, Index = 0, DirectGeometryFactor = 0, DiffuseGeometryFactor = 0,9095760221444958, CosSunElevation = 0, GlobalHorizontalIrradiance = 0, SunshineDuration = 0, DiffuseHorizontalIrradiance = 0, AmbientTemp = 4,65, WindSpeed = 21,240000000000002, SnowDepth = 0, Weight = 0, Age = 4,227987848428613, MeasuredPower = , HasMeasuredPower = False },LEG.PV.Data.Processor.DataRecords+PvRecord,"05.12.2025 18:15:00",0,0,"0,9095760221444958",0,0,0,0,"4,65","21,240000000000002",0,0,"4,227987848428613","",False</t>
  </si>
  <si>
    <t>PvRecord { Timestamp = 05.12.2025 18:30:00, Index = 0, DirectGeometryFactor = 0, DiffuseGeometryFactor = 0,9095760221444958, CosSunElevation = 0, GlobalHorizontalIrradiance = 0, SunshineDuration = 0, DiffuseHorizontalIrradiance = 0, AmbientTemp = 4,4, WindSpeed = 21,78, SnowDepth = 0, Weight = 0, Age = 4,228016368316695, MeasuredPower = , HasMeasuredPower = False },LEG.PV.Data.Processor.DataRecords+PvRecord,"05.12.2025 18:30:00",0,0,"0,9095760221444958",0,0,0,0,"4,4","21,78",0,0,"4,228016368316695","",False</t>
  </si>
  <si>
    <t>PvRecord { Timestamp = 05.12.2025 18:45:00, Index = 0, DirectGeometryFactor = 0, DiffuseGeometryFactor = 0,9095760221444958, CosSunElevation = 0, GlobalHorizontalIrradiance = 0, SunshineDuration = 0, DiffuseHorizontalIrradiance = 0, AmbientTemp = 4,4, WindSpeed = 21,78, SnowDepth = 0, Weight = 0, Age = 4,228044888204776, MeasuredPower = , HasMeasuredPower = False },LEG.PV.Data.Processor.DataRecords+PvRecord,"05.12.2025 18:45:00",0,0,"0,9095760221444958",0,0,0,0,"4,4","21,78",0,0,"4,228044888204776","",False</t>
  </si>
  <si>
    <t>PvRecord { Timestamp = 05.12.2025 19:00:00, Index = 0, DirectGeometryFactor = 0, DiffuseGeometryFactor = 0,9095760221444958, CosSunElevation = 0, GlobalHorizontalIrradiance = 0, SunshineDuration = 0, DiffuseHorizontalIrradiance = 0, AmbientTemp = 4,4, WindSpeed = 21,78, SnowDepth = 0, Weight = 0, Age = 4,2280734080928575, MeasuredPower = , HasMeasuredPower = False },LEG.PV.Data.Processor.DataRecords+PvRecord,"05.12.2025 19:00:00",0,0,"0,9095760221444958",0,0,0,0,"4,4","21,78",0,0,"4,2280734080928575","",False</t>
  </si>
  <si>
    <t>PvRecord { Timestamp = 05.12.2025 19:15:00, Index = 0, DirectGeometryFactor = 0, DiffuseGeometryFactor = 0,9095760221444958, CosSunElevation = 0, GlobalHorizontalIrradiance = 0, SunshineDuration = 0, DiffuseHorizontalIrradiance = 0, AmbientTemp = 4,4, WindSpeed = 21,78, SnowDepth = 0, Weight = 0, Age = 4,22810192798094, MeasuredPower = , HasMeasuredPower = False },LEG.PV.Data.Processor.DataRecords+PvRecord,"05.12.2025 19:15:00",0,0,"0,9095760221444958",0,0,0,0,"4,4","21,78",0,0,"4,22810192798094","",False</t>
  </si>
  <si>
    <t>PvRecord { Timestamp = 05.12.2025 19:30:00, Index = 0, DirectGeometryFactor = 0, DiffuseGeometryFactor = 0,9095760221444958, CosSunElevation = 0, GlobalHorizontalIrradiance = 0, SunshineDuration = 0, DiffuseHorizontalIrradiance = 0, AmbientTemp = 4,2, WindSpeed = 20,34, SnowDepth = 0, Weight = 0, Age = 4,228130447869021, MeasuredPower = , HasMeasuredPower = False },LEG.PV.Data.Processor.DataRecords+PvRecord,"05.12.2025 19:30:00",0,0,"0,9095760221444958",0,0,0,0,"4,2","20,34",0,0,"4,228130447869021","",False</t>
  </si>
  <si>
    <t>PvRecord { Timestamp = 05.12.2025 19:45:00, Index = 0, DirectGeometryFactor = 0, DiffuseGeometryFactor = 0,9095760221444958, CosSunElevation = 0, GlobalHorizontalIrradiance = 0, SunshineDuration = 0, DiffuseHorizontalIrradiance = 0, AmbientTemp = 4,2, WindSpeed = 20,34, SnowDepth = 0, Weight = 0, Age = 4,2281589677571025, MeasuredPower = , HasMeasuredPower = False },LEG.PV.Data.Processor.DataRecords+PvRecord,"05.12.2025 19:45:00",0,0,"0,9095760221444958",0,0,0,0,"4,2","20,34",0,0,"4,2281589677571025","",False</t>
  </si>
  <si>
    <t>PvRecord { Timestamp = 05.12.2025 20:00:00, Index = 0, DirectGeometryFactor = 0, DiffuseGeometryFactor = 0,9095760221444958, CosSunElevation = 0, GlobalHorizontalIrradiance = 0, SunshineDuration = 0, DiffuseHorizontalIrradiance = 0, AmbientTemp = 4,2, WindSpeed = 20,34, SnowDepth = 0, Weight = 0, Age = 4,228187487645184, MeasuredPower = , HasMeasuredPower = False },LEG.PV.Data.Processor.DataRecords+PvRecord,"05.12.2025 20:00:00",0,0,"0,9095760221444958",0,0,0,0,"4,2","20,34",0,0,"4,228187487645184","",False</t>
  </si>
  <si>
    <t>PvRecord { Timestamp = 05.12.2025 20:15:00, Index = 0, DirectGeometryFactor = 0, DiffuseGeometryFactor = 0,9095760221444958, CosSunElevation = 0, GlobalHorizontalIrradiance = 0, SunshineDuration = 0, DiffuseHorizontalIrradiance = 0, AmbientTemp = 4,2, WindSpeed = 20,34, SnowDepth = 0, Weight = 0, Age = 4,228216007533265, MeasuredPower = , HasMeasuredPower = False },LEG.PV.Data.Processor.DataRecords+PvRecord,"05.12.2025 20:15:00",0,0,"0,9095760221444958",0,0,0,0,"4,2","20,34",0,0,"4,228216007533265","",False</t>
  </si>
  <si>
    <t>PvRecord { Timestamp = 05.12.2025 20:30:00, Index = 0, DirectGeometryFactor = 0, DiffuseGeometryFactor = 0,9095760221444958, CosSunElevation = 0, GlobalHorizontalIrradiance = 0, SunshineDuration = 0, DiffuseHorizontalIrradiance = 0, AmbientTemp = 3,85, WindSpeed = 17,46, SnowDepth = 0, Weight = 0, Age = 4,228244527421348, MeasuredPower = , HasMeasuredPower = False },LEG.PV.Data.Processor.DataRecords+PvRecord,"05.12.2025 20:30:00",0,0,"0,9095760221444958",0,0,0,0,"3,85","17,46",0,0,"4,228244527421348","",False</t>
  </si>
  <si>
    <t>PvRecord { Timestamp = 05.12.2025 20:45:00, Index = 0, DirectGeometryFactor = 0, DiffuseGeometryFactor = 0,9095760221444958, CosSunElevation = 0, GlobalHorizontalIrradiance = 0, SunshineDuration = 0, DiffuseHorizontalIrradiance = 0, AmbientTemp = 3,85, WindSpeed = 17,46, SnowDepth = 0, Weight = 0, Age = 4,228273047309429, MeasuredPower = , HasMeasuredPower = False },LEG.PV.Data.Processor.DataRecords+PvRecord,"05.12.2025 20:45:00",0,0,"0,9095760221444958",0,0,0,0,"3,85","17,46",0,0,"4,228273047309429","",False</t>
  </si>
  <si>
    <t>PvRecord { Timestamp = 05.12.2025 21:00:00, Index = 0, DirectGeometryFactor = 0, DiffuseGeometryFactor = 0,9095760221444958, CosSunElevation = 0, GlobalHorizontalIrradiance = 0, SunshineDuration = 0, DiffuseHorizontalIrradiance = 0, AmbientTemp = 3,85, WindSpeed = 17,46, SnowDepth = 0, Weight = 0, Age = 4,22830156719751, MeasuredPower = , HasMeasuredPower = False },LEG.PV.Data.Processor.DataRecords+PvRecord,"05.12.2025 21:00:00",0,0,"0,9095760221444958",0,0,0,0,"3,85","17,46",0,0,"4,22830156719751","",False</t>
  </si>
  <si>
    <t>PvRecord { Timestamp = 05.12.2025 21:15:00, Index = 0, DirectGeometryFactor = 0, DiffuseGeometryFactor = 0,9095760221444958, CosSunElevation = 0, GlobalHorizontalIrradiance = 0, SunshineDuration = 0, DiffuseHorizontalIrradiance = 0, AmbientTemp = 3,85, WindSpeed = 17,46, SnowDepth = 0, Weight = 0, Age = 4,228330087085592, MeasuredPower = , HasMeasuredPower = False },LEG.PV.Data.Processor.DataRecords+PvRecord,"05.12.2025 21:15:00",0,0,"0,9095760221444958",0,0,0,0,"3,85","17,46",0,0,"4,228330087085592","",False</t>
  </si>
  <si>
    <t>PvRecord { Timestamp = 05.12.2025 21:30:00,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4,228358606973673, MeasuredPower = , HasMeasuredPower = False },LEG.PV.Data.Processor.DataRecords+PvRecord,"05.12.2025 21:30:00",0,0,"0,9095760221444958",0,0,0,0,"3,5","13,860000000000001",0,0,"4,228358606973673","",False</t>
  </si>
  <si>
    <t>PvRecord { Timestamp = 05.12.2025 21:45:00,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4,228387126861755, MeasuredPower = , HasMeasuredPower = False },LEG.PV.Data.Processor.DataRecords+PvRecord,"05.12.2025 21:45:00",0,0,"0,9095760221444958",0,0,0,0,"3,5","13,860000000000001",0,0,"4,228387126861755","",False</t>
  </si>
  <si>
    <t>PvRecord { Timestamp = 05.12.2025 22:00:00,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4,228415646749837, MeasuredPower = , HasMeasuredPower = False },LEG.PV.Data.Processor.DataRecords+PvRecord,"05.12.2025 22:00:00",0,0,"0,9095760221444958",0,0,0,0,"3,5","13,860000000000001",0,0,"4,228415646749837","",False</t>
  </si>
  <si>
    <t>PvRecord { Timestamp = 05.12.2025 22:15:00, Index = 0, DirectGeometryFactor = 0, DiffuseGeometryFactor = 0,9095760221444958, CosSunElevation = 0, GlobalHorizontalIrradiance = 0, SunshineDuration = 0, DiffuseHorizontalIrradiance = 0, AmbientTemp = 3,5, WindSpeed = 13,860000000000001, SnowDepth = 0, Weight = 0, Age = 4,228444166637918, MeasuredPower = , HasMeasuredPower = False },LEG.PV.Data.Processor.DataRecords+PvRecord,"05.12.2025 22:15:00",0,0,"0,9095760221444958",0,0,0,0,"3,5","13,860000000000001",0,0,"4,228444166637918","",False</t>
  </si>
  <si>
    <t>PvRecord { Timestamp = 05.12.2025 22:30:00,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4,228472686526, MeasuredPower = , HasMeasuredPower = False },LEG.PV.Data.Processor.DataRecords+PvRecord,"05.12.2025 22:30:00",0,0,"0,9095760221444958",0,0,0,0,"3,2","10,440000000000001",0,0,"4,228472686526","",False</t>
  </si>
  <si>
    <t>PvRecord { Timestamp = 05.12.2025 22:45:00,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4,228501206414081, MeasuredPower = , HasMeasuredPower = False },LEG.PV.Data.Processor.DataRecords+PvRecord,"05.12.2025 22:45:00",0,0,"0,9095760221444958",0,0,0,0,"3,2","10,440000000000001",0,0,"4,228501206414081","",False</t>
  </si>
  <si>
    <t>PvRecord { Timestamp = 05.12.2025 23:00:00,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4,228529726302163, MeasuredPower = , HasMeasuredPower = False },LEG.PV.Data.Processor.DataRecords+PvRecord,"05.12.2025 23:00:00",0,0,"0,9095760221444958",0,0,0,0,"3,2","10,440000000000001",0,0,"4,228529726302163","",False</t>
  </si>
  <si>
    <t>PvRecord { Timestamp = 05.12.2025 23:15:00, Index = 0, DirectGeometryFactor = 0, DiffuseGeometryFactor = 0,9095760221444958, CosSunElevation = 0, GlobalHorizontalIrradiance = 0, SunshineDuration = 0, DiffuseHorizontalIrradiance = 0, AmbientTemp = 3,2, WindSpeed = 10,440000000000001, SnowDepth = 0, Weight = 0, Age = 4,228558246190245, MeasuredPower = , HasMeasuredPower = False },LEG.PV.Data.Processor.DataRecords+PvRecord,"05.12.2025 23:15:00",0,0,"0,9095760221444958",0,0,0,0,"3,2","10,440000000000001",0,0,"4,228558246190245","",False</t>
  </si>
  <si>
    <t>PvRecord { Timestamp = 05.12.2025 23:30:00, Index = 0, DirectGeometryFactor = 0, DiffuseGeometryFactor = 0,9095760221444958, CosSunElevation = 0, GlobalHorizontalIrradiance = 0, SunshineDuration = 0, DiffuseHorizontalIrradiance = 0, AmbientTemp = 3,05, WindSpeed = 8,1, SnowDepth = 0, Weight = 0, Age = 4,228586766078326, MeasuredPower = , HasMeasuredPower = False },LEG.PV.Data.Processor.DataRecords+PvRecord,"05.12.2025 23:30:00",0,0,"0,9095760221444958",0,0,0,0,"3,05","8,1",0,0,"4,228586766078326","",False</t>
  </si>
  <si>
    <t>PvRecord { Timestamp = 05.12.2025 23:45:00, Index = 0, DirectGeometryFactor = 0, DiffuseGeometryFactor = 0,9095760221444958, CosSunElevation = 0, GlobalHorizontalIrradiance = 0, SunshineDuration = 0, DiffuseHorizontalIrradiance = 0, AmbientTemp = 3,05, WindSpeed = 8,1, SnowDepth = 0, Weight = 0, Age = 4,2286152859664075, MeasuredPower = , HasMeasuredPower = False },LEG.PV.Data.Processor.DataRecords+PvRecord,"05.12.2025 23:45:00",0,0,"0,9095760221444958",0,0,0,0,"3,05","8,1",0,0,"4,2286152859664075","",False</t>
  </si>
  <si>
    <t>PvRecord { Timestamp = 06.12.2025 00:00:00, Index = 0, DirectGeometryFactor = 0, DiffuseGeometryFactor = 0,9095760221444958, CosSunElevation = 0, GlobalHorizontalIrradiance = 0, SunshineDuration = 0, DiffuseHorizontalIrradiance = 0, AmbientTemp = 3,05, WindSpeed = 8,1, SnowDepth = 0, Weight = 0, Age = 4,22864380585449, MeasuredPower = , HasMeasuredPower = False },LEG.PV.Data.Processor.DataRecords+PvRecord,"06.12.2025 00:00:00",0,0,"0,9095760221444958",0,0,0,0,"3,05","8,1",0,0,"4,22864380585449","",False</t>
  </si>
  <si>
    <t>PvRecord { Timestamp = 06.12.2025 00:15:00, Index = 0, DirectGeometryFactor = 0, DiffuseGeometryFactor = 0,9095760221444958, CosSunElevation = 0, GlobalHorizontalIrradiance = 0, SunshineDuration = 0, DiffuseHorizontalIrradiance = 0, AmbientTemp = 3,05, WindSpeed = 8,1, SnowDepth = 0, Weight = 0, Age = 4,228672325742571, MeasuredPower = , HasMeasuredPower = False },LEG.PV.Data.Processor.DataRecords+PvRecord,"06.12.2025 00:15:00",0,0,"0,9095760221444958",0,0,0,0,"3,05","8,1",0,0,"4,228672325742571","",False</t>
  </si>
  <si>
    <t>PvRecord { Timestamp = 06.12.2025 00:30:00, Index = 0, DirectGeometryFactor = 0, DiffuseGeometryFactor = 0,9095760221444958, CosSunElevation = 0, GlobalHorizontalIrradiance = 0, SunshineDuration = 0, DiffuseHorizontalIrradiance = 0, AmbientTemp = 3,1, WindSpeed = 8,46, SnowDepth = 0, Weight = 0, Age = 4,2287008456306525, MeasuredPower = , HasMeasuredPower = False },LEG.PV.Data.Processor.DataRecords+PvRecord,"06.12.2025 00:30:00",0,0,"0,9095760221444958",0,0,0,0,"3,1","8,46",0,0,"4,2287008456306525","",False</t>
  </si>
  <si>
    <t>PvRecord { Timestamp = 06.12.2025 00:45:00, Index = 0, DirectGeometryFactor = 0, DiffuseGeometryFactor = 0,9095760221444958, CosSunElevation = 0, GlobalHorizontalIrradiance = 0, SunshineDuration = 0, DiffuseHorizontalIrradiance = 0, AmbientTemp = 3,1, WindSpeed = 8,46, SnowDepth = 0, Weight = 0, Age = 4,228729365518734, MeasuredPower = , HasMeasuredPower = False },LEG.PV.Data.Processor.DataRecords+PvRecord,"06.12.2025 00:45:00",0,0,"0,9095760221444958",0,0,0,0,"3,1","8,46",0,0,"4,228729365518734","",False</t>
  </si>
  <si>
    <t>PvRecord { Timestamp = 06.12.2025 01:00:00, Index = 0, DirectGeometryFactor = 0, DiffuseGeometryFactor = 0,9095760221444958, CosSunElevation = 0, GlobalHorizontalIrradiance = 0, SunshineDuration = 0, DiffuseHorizontalIrradiance = 0, AmbientTemp = 3,1, WindSpeed = 8,46, SnowDepth = 0, Weight = 0, Age = 4,228757885406815, MeasuredPower = , HasMeasuredPower = False },LEG.PV.Data.Processor.DataRecords+PvRecord,"06.12.2025 01:00:00",0,0,"0,9095760221444958",0,0,0,0,"3,1","8,46",0,0,"4,228757885406815","",False</t>
  </si>
  <si>
    <t>PvRecord { Timestamp = 06.12.2025 01:15:00, Index = 0, DirectGeometryFactor = 0, DiffuseGeometryFactor = 0,9095760221444958, CosSunElevation = 0, GlobalHorizontalIrradiance = 0, SunshineDuration = 0, DiffuseHorizontalIrradiance = 0, AmbientTemp = 3,1, WindSpeed = 8,46, SnowDepth = 0, Weight = 0, Age = 4,228786405294898, MeasuredPower = , HasMeasuredPower = False },LEG.PV.Data.Processor.DataRecords+PvRecord,"06.12.2025 01:15:00",0,0,"0,9095760221444958",0,0,0,0,"3,1","8,46",0,0,"4,228786405294898","",False</t>
  </si>
  <si>
    <t>PvRecord { Timestamp = 06.12.2025 01:30:00,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4,228814925182979, MeasuredPower = , HasMeasuredPower = False },LEG.PV.Data.Processor.DataRecords+PvRecord,"06.12.2025 01:30:00",0,0,"0,9095760221444958",0,0,0,0,"3,3","12,600000000000001",0,0,"4,228814925182979","",False</t>
  </si>
  <si>
    <t>PvRecord { Timestamp = 06.12.2025 01:45:00,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4,22884344507106, MeasuredPower = , HasMeasuredPower = False },LEG.PV.Data.Processor.DataRecords+PvRecord,"06.12.2025 01:45:00",0,0,"0,9095760221444958",0,0,0,0,"3,3","12,600000000000001",0,0,"4,22884344507106","",False</t>
  </si>
  <si>
    <t>PvRecord { Timestamp = 06.12.2025 02:00:00,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4,228871964959142, MeasuredPower = , HasMeasuredPower = False },LEG.PV.Data.Processor.DataRecords+PvRecord,"06.12.2025 02:00:00",0,0,"0,9095760221444958",0,0,0,0,"3,3","12,600000000000001",0,0,"4,228871964959142","",False</t>
  </si>
  <si>
    <t>PvRecord { Timestamp = 06.12.2025 02:15:00, Index = 0, DirectGeometryFactor = 0, DiffuseGeometryFactor = 0,9095760221444958, CosSunElevation = 0, GlobalHorizontalIrradiance = 0, SunshineDuration = 0, DiffuseHorizontalIrradiance = 0, AmbientTemp = 3,3, WindSpeed = 12,600000000000001, SnowDepth = 0, Weight = 0, Age = 4,228900484847223, MeasuredPower = , HasMeasuredPower = False },LEG.PV.Data.Processor.DataRecords+PvRecord,"06.12.2025 02:15:00",0,0,"0,9095760221444958",0,0,0,0,"3,3","12,600000000000001",0,0,"4,228900484847223","",False</t>
  </si>
  <si>
    <t>PvRecord { Timestamp = 06.12.2025 02:30:00,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4,228929004735305, MeasuredPower = , HasMeasuredPower = False },LEG.PV.Data.Processor.DataRecords+PvRecord,"06.12.2025 02:30:00",0,0,"0,9095760221444958",0,0,0,0,"3,75","19,439999999999998",0,0,"4,228929004735305","",False</t>
  </si>
  <si>
    <t>PvRecord { Timestamp = 06.12.2025 02:45:00,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4,228957524623387, MeasuredPower = , HasMeasuredPower = False },LEG.PV.Data.Processor.DataRecords+PvRecord,"06.12.2025 02:45:00",0,0,"0,9095760221444958",0,0,0,0,"3,75","19,439999999999998",0,0,"4,228957524623387","",False</t>
  </si>
  <si>
    <t>PvRecord { Timestamp = 06.12.2025 03:00:00,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4,228986044511468, MeasuredPower = , HasMeasuredPower = False },LEG.PV.Data.Processor.DataRecords+PvRecord,"06.12.2025 03:00:00",0,0,"0,9095760221444958",0,0,0,0,"3,75","19,439999999999998",0,0,"4,228986044511468","",False</t>
  </si>
  <si>
    <t>PvRecord { Timestamp = 06.12.2025 03:15:00, Index = 0, DirectGeometryFactor = 0, DiffuseGeometryFactor = 0,9095760221444958, CosSunElevation = 0, GlobalHorizontalIrradiance = 0, SunshineDuration = 0, DiffuseHorizontalIrradiance = 0, AmbientTemp = 3,75, WindSpeed = 19,439999999999998, SnowDepth = 0, Weight = 0, Age = 4,22901456439955, MeasuredPower = , HasMeasuredPower = False },LEG.PV.Data.Processor.DataRecords+PvRecord,"06.12.2025 03:15:00",0,0,"0,9095760221444958",0,0,0,0,"3,75","19,439999999999998",0,0,"4,22901456439955","",False</t>
  </si>
  <si>
    <t>PvRecord { Timestamp = 06.12.2025 03:30:00, Index = 0, DirectGeometryFactor = 0, DiffuseGeometryFactor = 0,9095760221444958, CosSunElevation = 0, GlobalHorizontalIrradiance = 0, SunshineDuration = 0, DiffuseHorizontalIrradiance = 0, AmbientTemp = 4,35, WindSpeed = 27,36, SnowDepth = 0, Weight = 0, Age = 4,229043084287631, MeasuredPower = , HasMeasuredPower = False },LEG.PV.Data.Processor.DataRecords+PvRecord,"06.12.2025 03:30:00",0,0,"0,9095760221444958",0,0,0,0,"4,35","27,36",0,0,"4,229043084287631","",False</t>
  </si>
  <si>
    <t>PvRecord { Timestamp = 06.12.2025 03:45:00, Index = 0, DirectGeometryFactor = 0, DiffuseGeometryFactor = 0,9095760221444958, CosSunElevation = 0, GlobalHorizontalIrradiance = 0, SunshineDuration = 0, DiffuseHorizontalIrradiance = 0, AmbientTemp = 4,35, WindSpeed = 27,36, SnowDepth = 0, Weight = 0, Age = 4,229071604175713, MeasuredPower = , HasMeasuredPower = False },LEG.PV.Data.Processor.DataRecords+PvRecord,"06.12.2025 03:45:00",0,0,"0,9095760221444958",0,0,0,0,"4,35","27,36",0,0,"4,229071604175713","",False</t>
  </si>
  <si>
    <t>PvRecord { Timestamp = 06.12.2025 04:00:00, Index = 0, DirectGeometryFactor = 0, DiffuseGeometryFactor = 0,9095760221444958, CosSunElevation = 0, GlobalHorizontalIrradiance = 0, SunshineDuration = 0, DiffuseHorizontalIrradiance = 0, AmbientTemp = 4,35, WindSpeed = 27,36, SnowDepth = 0, Weight = 0, Age = 4,229100124063795, MeasuredPower = , HasMeasuredPower = False },LEG.PV.Data.Processor.DataRecords+PvRecord,"06.12.2025 04:00:00",0,0,"0,9095760221444958",0,0,0,0,"4,35","27,36",0,0,"4,229100124063795","",False</t>
  </si>
  <si>
    <t>PvRecord { Timestamp = 06.12.2025 04:15:00, Index = 0, DirectGeometryFactor = 0, DiffuseGeometryFactor = 0,9095760221444958, CosSunElevation = 0, GlobalHorizontalIrradiance = 0, SunshineDuration = 0, DiffuseHorizontalIrradiance = 0, AmbientTemp = 4,35, WindSpeed = 27,36, SnowDepth = 0, Weight = 0, Age = 4,229128643951876, MeasuredPower = , HasMeasuredPower = False },LEG.PV.Data.Processor.DataRecords+PvRecord,"06.12.2025 04:15:00",0,0,"0,9095760221444958",0,0,0,0,"4,35","27,36",0,0,"4,229128643951876","",False</t>
  </si>
  <si>
    <t>PvRecord { Timestamp = 06.12.2025 04:30:00, Index = 0, DirectGeometryFactor = 0, DiffuseGeometryFactor = 0,9095760221444958, CosSunElevation = 0, GlobalHorizontalIrradiance = 0, SunshineDuration = 0, DiffuseHorizontalIrradiance = 0, AmbientTemp = 4,95, WindSpeed = 36,18, SnowDepth = 0, Weight = 0, Age = 4,229157163839957, MeasuredPower = , HasMeasuredPower = False },LEG.PV.Data.Processor.DataRecords+PvRecord,"06.12.2025 04:30:00",0,0,"0,9095760221444958",0,0,0,0,"4,95","36,18",0,0,"4,229157163839957","",False</t>
  </si>
  <si>
    <t>PvRecord { Timestamp = 06.12.2025 04:45:00, Index = 0, DirectGeometryFactor = 0, DiffuseGeometryFactor = 0,9095760221444958, CosSunElevation = 0, GlobalHorizontalIrradiance = 0, SunshineDuration = 0, DiffuseHorizontalIrradiance = 0, AmbientTemp = 4,95, WindSpeed = 36,18, SnowDepth = 0, Weight = 0, Age = 4,229185683728039, MeasuredPower = , HasMeasuredPower = False },LEG.PV.Data.Processor.DataRecords+PvRecord,"06.12.2025 04:45:00",0,0,"0,9095760221444958",0,0,0,0,"4,95","36,18",0,0,"4,229185683728039","",False</t>
  </si>
  <si>
    <t>PvRecord { Timestamp = 06.12.2025 05:00:00, Index = 0, DirectGeometryFactor = 0, DiffuseGeometryFactor = 0,9095760221444958, CosSunElevation = 0, GlobalHorizontalIrradiance = 0, SunshineDuration = 0, DiffuseHorizontalIrradiance = 0, AmbientTemp = 4,95, WindSpeed = 36,18, SnowDepth = 0, Weight = 0, Age = 4,229214203616121, MeasuredPower = , HasMeasuredPower = False },LEG.PV.Data.Processor.DataRecords+PvRecord,"06.12.2025 05:00:00",0,0,"0,9095760221444958",0,0,0,0,"4,95","36,18",0,0,"4,229214203616121","",False</t>
  </si>
  <si>
    <t>PvRecord { Timestamp = 06.12.2025 05:15:00, Index = 0, DirectGeometryFactor = 0, DiffuseGeometryFactor = 0,9095760221444958, CosSunElevation = 0, GlobalHorizontalIrradiance = 0, SunshineDuration = 0, DiffuseHorizontalIrradiance = 0, AmbientTemp = 4,95, WindSpeed = 36,18, SnowDepth = 0, Weight = 0, Age = 4,2292427235042025, MeasuredPower = , HasMeasuredPower = False },LEG.PV.Data.Processor.DataRecords+PvRecord,"06.12.2025 05:15:00",0,0,"0,9095760221444958",0,0,0,0,"4,95","36,18",0,0,"4,2292427235042025","",False</t>
  </si>
  <si>
    <t>PvRecord { Timestamp = 06.12.2025 05:30:00, Index = 0, DirectGeometryFactor = 0, DiffuseGeometryFactor = 0,9095760221444958, CosSunElevation = 0, GlobalHorizontalIrradiance = 0, SunshineDuration = 0, DiffuseHorizontalIrradiance = 0, AmbientTemp = 5,5, WindSpeed = 43,56, SnowDepth = 0, Weight = 0, Age = 4,229271243392284, MeasuredPower = , HasMeasuredPower = False },LEG.PV.Data.Processor.DataRecords+PvRecord,"06.12.2025 05:30:00",0,0,"0,9095760221444958",0,0,0,0,"5,5","43,56",0,0,"4,229271243392284","",False</t>
  </si>
  <si>
    <t>PvRecord { Timestamp = 06.12.2025 05:45:00, Index = 0, DirectGeometryFactor = 0, DiffuseGeometryFactor = 0,9095760221444958, CosSunElevation = 0, GlobalHorizontalIrradiance = 0, SunshineDuration = 0, DiffuseHorizontalIrradiance = 0, AmbientTemp = 5,5, WindSpeed = 43,56, SnowDepth = 0, Weight = 0, Age = 4,229299763280365, MeasuredPower = , HasMeasuredPower = False },LEG.PV.Data.Processor.DataRecords+PvRecord,"06.12.2025 05:45:00",0,0,"0,9095760221444958",0,0,0,0,"5,5","43,56",0,0,"4,229299763280365","",False</t>
  </si>
  <si>
    <t>PvRecord { Timestamp = 06.12.2025 06:00:00, Index = 0, DirectGeometryFactor = 0, DiffuseGeometryFactor = 0,9095760221444958, CosSunElevation = 0, GlobalHorizontalIrradiance = 0, SunshineDuration = 0, DiffuseHorizontalIrradiance = 0, AmbientTemp = 5,5, WindSpeed = 43,56, SnowDepth = 0, Weight = 0, Age = 4,229328283168447, MeasuredPower = , HasMeasuredPower = False },LEG.PV.Data.Processor.DataRecords+PvRecord,"06.12.2025 06:00:00",0,0,"0,9095760221444958",0,0,0,0,"5,5","43,56",0,0,"4,229328283168447","",False</t>
  </si>
  <si>
    <t>PvRecord { Timestamp = 06.12.2025 06:15:00, Index = 0, DirectGeometryFactor = 0, DiffuseGeometryFactor = 0,9095760221444958, CosSunElevation = 0, GlobalHorizontalIrradiance = 0, SunshineDuration = 0, DiffuseHorizontalIrradiance = 0, AmbientTemp = 5,5, WindSpeed = 43,56, SnowDepth = 0, Weight = 0, Age = 4,229356803056529, MeasuredPower = , HasMeasuredPower = False },LEG.PV.Data.Processor.DataRecords+PvRecord,"06.12.2025 06:15:00",0,0,"0,9095760221444958",0,0,0,0,"5,5","43,56",0,0,"4,229356803056529","",False</t>
  </si>
  <si>
    <t>PvRecord { Timestamp = 06.12.2025 06:30:00,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4,22938532294461, MeasuredPower = , HasMeasuredPower = False },LEG.PV.Data.Processor.DataRecords+PvRecord,"06.12.2025 06:30:00",0,0,"0,9095760221444958",0,0,0,0,"5,949999999999999","49,86",0,0,"4,22938532294461","",False</t>
  </si>
  <si>
    <t>PvRecord { Timestamp = 06.12.2025 06:45:00,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4,229413842832692, MeasuredPower = , HasMeasuredPower = False },LEG.PV.Data.Processor.DataRecords+PvRecord,"06.12.2025 06:45:00",0,0,"0,9095760221444958",0,0,0,0,"5,949999999999999","49,86",0,0,"4,229413842832692","",False</t>
  </si>
  <si>
    <t>PvRecord { Timestamp = 06.12.2025 07:00:00,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4,229442362720773, MeasuredPower = , HasMeasuredPower = False },LEG.PV.Data.Processor.DataRecords+PvRecord,"06.12.2025 07:00:00",0,0,"0,9095760221444958",0,0,0,0,"5,949999999999999","49,86",0,0,"4,229442362720773","",False</t>
  </si>
  <si>
    <t>PvRecord { Timestamp = 06.12.2025 07:15:00, Index = 0, DirectGeometryFactor = 0, DiffuseGeometryFactor = 0,9095760221444958, CosSunElevation = 0, GlobalHorizontalIrradiance = 0, SunshineDuration = 0, DiffuseHorizontalIrradiance = 0, AmbientTemp = 5,949999999999999, WindSpeed = 49,86, SnowDepth = 0, Weight = 0, Age = 4,2294708826088545, MeasuredPower = , HasMeasuredPower = False },LEG.PV.Data.Processor.DataRecords+PvRecord,"06.12.2025 07:15:00",0,0,"0,9095760221444958",0,0,0,0,"5,949999999999999","49,86",0,0,"4,2294708826088545","",False</t>
  </si>
  <si>
    <t>PvRecord { Timestamp = 06.12.2025 07:30:00, Index = 0, DirectGeometryFactor = 0, DiffuseGeometryFactor = 0,9095760221444958, CosSunElevation = 0, GlobalHorizontalIrradiance = 0, SunshineDuration = 0, DiffuseHorizontalIrradiance = 0, AmbientTemp = 6,300000000000001, WindSpeed = 54,720000000000006, SnowDepth = 0, Weight = 0, Age = 4,229499402496937, MeasuredPower = , HasMeasuredPower = False },LEG.PV.Data.Processor.DataRecords+PvRecord,"06.12.2025 07:30:00",0,0,"0,9095760221444958",0,0,0,0,"6,300000000000001","54,720000000000006",0,0,"4,229499402496937","",False</t>
  </si>
  <si>
    <t>PvRecord { Timestamp = 06.12.2025 07:45:00, Index = 0, DirectGeometryFactor = 0, DiffuseGeometryFactor = 0,9095760221444958, CosSunElevation = 0, GlobalHorizontalIrradiance = 0, SunshineDuration = 0, DiffuseHorizontalIrradiance = 0, AmbientTemp = 6,300000000000001, WindSpeed = 54,720000000000006, SnowDepth = 0, Weight = 0, Age = 4,229527922385018, MeasuredPower = , HasMeasuredPower = False },LEG.PV.Data.Processor.DataRecords+PvRecord,"06.12.2025 07:45:00",0,0,"0,9095760221444958",0,0,0,0,"6,300000000000001","54,720000000000006",0,0,"4,229527922385018","",False</t>
  </si>
  <si>
    <t>PvRecord { Timestamp = 06.12.2025 08:00:00, Index = 0, DirectGeometryFactor = 0, DiffuseGeometryFactor = 0,9095760221444958, CosSunElevation = 0,01823747484211539, GlobalHorizontalIrradiance = 0, SunshineDuration = 0, DiffuseHorizontalIrradiance = 0, AmbientTemp = 6,300000000000001, WindSpeed = 54,720000000000006, SnowDepth = 0, Weight = 0, Age = 4,2295564422731, MeasuredPower = , HasMeasuredPower = False },LEG.PV.Data.Processor.DataRecords+PvRecord,"06.12.2025 08:00:00",0,0,"0,9095760221444958","0,01823747484211539",0,0,0,"6,300000000000001","54,720000000000006",0,0,"4,2295564422731","",False</t>
  </si>
  <si>
    <t>PvRecord { Timestamp = 06.12.2025 08:15:00, Index = 0, DirectGeometryFactor = 0,5352603166422522, DiffuseGeometryFactor = 0,9095760221444958, CosSunElevation = 0,05101957442257341, GlobalHorizontalIrradiance = 0, SunshineDuration = 0, DiffuseHorizontalIrradiance = 0, AmbientTemp = 6,300000000000001, WindSpeed = 54,720000000000006, SnowDepth = 0, Weight = 0, Age = 4,229584962161181, MeasuredPower = , HasMeasuredPower = False },LEG.PV.Data.Processor.DataRecords+PvRecord,"06.12.2025 08:15:00",0,"0,5352603166422522","0,9095760221444958","0,05101957442257341",0,0,0,"6,300000000000001","54,720000000000006",0,0,"4,229584962161181","",False</t>
  </si>
  <si>
    <t>PvRecord { Timestamp = 06.12.2025 08:30:00, Index = 0, DirectGeometryFactor = 0,5749462553045719, DiffuseGeometryFactor = 0,9095760221444958, CosSunElevation = 0,08386765300528569, GlobalHorizontalIrradiance = 221,5, SunshineDuration = 0, DiffuseHorizontalIrradiance = 17,5, AmbientTemp = 6,65, WindSpeed = 59,22, SnowDepth = 0, Weight = 0, Age = 4,229613482049262, MeasuredPower = , HasMeasuredPower = False },LEG.PV.Data.Processor.DataRecords+PvRecord,"06.12.2025 08:30:00",0,"0,5749462553045719","0,9095760221444958","0,08386765300528569","221,5",0,"17,5","6,65","59,22",0,0,"4,229613482049262","",False</t>
  </si>
  <si>
    <t>PvRecord { Timestamp = 06.12.2025 08:45:00, Index = 0, DirectGeometryFactor = 0,6122676923812626, DiffuseGeometryFactor = 0,9095760221444958, CosSunElevation = 0,11573821292106555, GlobalHorizontalIrradiance = 221,5, SunshineDuration = 0, DiffuseHorizontalIrradiance = 17,5, AmbientTemp = 6,65, WindSpeed = 59,22, SnowDepth = 0, Weight = 0, Age = 4,229642001937345, MeasuredPower = , HasMeasuredPower = False },LEG.PV.Data.Processor.DataRecords+PvRecord,"06.12.2025 08:45:00",0,"0,6122676923812626","0,9095760221444958","0,11573821292106555","221,5",0,"17,5","6,65","59,22",0,0,"4,229642001937345","",False</t>
  </si>
  <si>
    <t>PvRecord { Timestamp = 06.12.2025 09:00:00, Index = 0, DirectGeometryFactor = 0,6468031195193035, DiffuseGeometryFactor = 0,9095760221444958, CosSunElevation = 0,14618235235623628, GlobalHorizontalIrradiance = 221,5, SunshineDuration = 0, DiffuseHorizontalIrradiance = 17,5, AmbientTemp = 6,65, WindSpeed = 59,22, SnowDepth = 0, Weight = 0, Age = 4,229670521825426, MeasuredPower = , HasMeasuredPower = False },LEG.PV.Data.Processor.DataRecords+PvRecord,"06.12.2025 09:00:00",0,"0,6468031195193035","0,9095760221444958","0,14618235235623628","221,5",0,"17,5","6,65","59,22",0,0,"4,229670521825426","",False</t>
  </si>
  <si>
    <t>PvRecord { Timestamp = 06.12.2025 09:15:00, Index = 0, DirectGeometryFactor = 0,6782993867309433, DiffuseGeometryFactor = 0,9095760221444958, CosSunElevation = 0,1749436169244631, GlobalHorizontalIrradiance = 221,5, SunshineDuration = 0, DiffuseHorizontalIrradiance = 17,5, AmbientTemp = 6,65, WindSpeed = 59,22, SnowDepth = 0, Weight = 0, Age = 4,229699041713507, MeasuredPower = , HasMeasuredPower = False },LEG.PV.Data.Processor.DataRecords+PvRecord,"06.12.2025 09:15:00",0,"0,6782993867309433","0,9095760221444958","0,1749436169244631","221,5",0,"17,5","6,65","59,22",0,0,"4,229699041713507","",False</t>
  </si>
  <si>
    <t>PvRecord { Timestamp = 06.12.2025 09:30:00, Index = 0, DirectGeometryFactor = 0,7065724953679383, DiffuseGeometryFactor = 0,9095760221444958, CosSunElevation = 0,20183983625206312, GlobalHorizontalIrradiance = 373,98333333333335, SunshineDuration = 0, DiffuseHorizontalIrradiance = 52,5, AmbientTemp = 7, WindSpeed = 64,44, SnowDepth = 0, Weight = 0, Age = 4,229727561601589, MeasuredPower = , HasMeasuredPower = False },LEG.PV.Data.Processor.DataRecords+PvRecord,"06.12.2025 09:30:00",0,"0,7065724953679383","0,9095760221444958","0,20183983625206312","373,98333333333335",0,"52,5",7,"64,44",0,0,"4,229727561601589","",False</t>
  </si>
  <si>
    <t>PvRecord { Timestamp = 06.12.2025 09:45:00, Index = 0, DirectGeometryFactor = 0,7314757094136703, DiffuseGeometryFactor = 0,9095760221444958, CosSunElevation = 0,22672491939742168, GlobalHorizontalIrradiance = 373,98333333333335, SunshineDuration = 0, DiffuseHorizontalIrradiance = 52,5, AmbientTemp = 7, WindSpeed = 64,44, SnowDepth = 0, Weight = 0, Age = 4,22975608148967, MeasuredPower = , HasMeasuredPower = False },LEG.PV.Data.Processor.DataRecords+PvRecord,"06.12.2025 09:45:00",0,"0,7314757094136703","0,9095760221444958","0,22672491939742168","373,98333333333335",0,"52,5",7,"64,44",0,0,"4,22975608148967","",False</t>
  </si>
  <si>
    <t>PvRecord { Timestamp = 06.12.2025 10:00:00, Index = 0, DirectGeometryFactor = 0,7528877924190683, DiffuseGeometryFactor = 0,9095760221444958, CosSunElevation = 0,24947466558544854, GlobalHorizontalIrradiance = 373,98333333333335, SunshineDuration = 0, DiffuseHorizontalIrradiance = 52,5, AmbientTemp = 7, WindSpeed = 64,44, SnowDepth = 0, Weight = 0, Age = 4,2297846013777525, MeasuredPower = , HasMeasuredPower = False },LEG.PV.Data.Processor.DataRecords+PvRecord,"06.12.2025 10:00:00",0,"0,7528877924190683","0,9095760221444958","0,24947466558544854","373,98333333333335",0,"52,5",7,"64,44",0,0,"4,2297846013777525","",False</t>
  </si>
  <si>
    <t>PvRecord { Timestamp = 06.12.2025 10:15:00, Index = 0, DirectGeometryFactor = 0,7707081998399896, DiffuseGeometryFactor = 0,9095760221444958, CosSunElevation = 0,2699809174098763, GlobalHorizontalIrradiance = 373,98333333333335, SunshineDuration = 0, DiffuseHorizontalIrradiance = 52,5, AmbientTemp = 7, WindSpeed = 64,44, SnowDepth = 0, Weight = 0, Age = 4,229813121265834, MeasuredPower = , HasMeasuredPower = False },LEG.PV.Data.Processor.DataRecords+PvRecord,"06.12.2025 10:15:00",0,"0,7707081998399896","0,9095760221444958","0,2699809174098763","373,98333333333335",0,"52,5",7,"64,44",0,0,"4,229813121265834","",False</t>
  </si>
  <si>
    <t>PvRecord { Timestamp = 06.12.2025 10:30:00, Index = 0, DirectGeometryFactor = 0,7848549801920042, DiffuseGeometryFactor = 0,9095760221444958, CosSunElevation = 0,2881489914109412, GlobalHorizontalIrradiance = 375,65, SunshineDuration = 0, DiffuseHorizontalIrradiance = 78,5, AmbientTemp = 7,2, WindSpeed = 69,12, SnowDepth = 0, Weight = 0, Age = 4,229841641153915, MeasuredPower = , HasMeasuredPower = False },LEG.PV.Data.Processor.DataRecords+PvRecord,"06.12.2025 10:30:00",0,"0,7848549801920042","0,9095760221444958","0,2881489914109412","375,65",0,"78,5","7,2","69,12",0,0,"4,229841641153915","",False</t>
  </si>
  <si>
    <t>PvRecord { Timestamp = 06.12.2025 10:45:00, Index = 0, DirectGeometryFactor = 0,7952638261128065, DiffuseGeometryFactor = 0,9095760221444958, CosSunElevation = 0,30389652349873975, GlobalHorizontalIrradiance = 375,65, SunshineDuration = 0, DiffuseHorizontalIrradiance = 78,5, AmbientTemp = 7,2, WindSpeed = 69,12, SnowDepth = 0, Weight = 0, Age = 4,229870161041997, MeasuredPower = , HasMeasuredPower = False },LEG.PV.Data.Processor.DataRecords+PvRecord,"06.12.2025 10:45:00",0,"0,7952638261128065","0,9095760221444958","0,30389652349873975","375,65",0,"78,5","7,2","69,12",0,0,"4,229870161041997","",False</t>
  </si>
  <si>
    <t>PvRecord { Timestamp = 06.12.2025 11:00:00, Index = 0, DirectGeometryFactor = 0,8018876381426366, DiffuseGeometryFactor = 0,9095760221444958, CosSunElevation = 0,3171529669564616, GlobalHorizontalIrradiance = 375,65, SunshineDuration = 0, DiffuseHorizontalIrradiance = 78,5, AmbientTemp = 7,2, WindSpeed = 69,12, SnowDepth = 0, Weight = 0, Age = 4,229898680930078, MeasuredPower = , HasMeasuredPower = False },LEG.PV.Data.Processor.DataRecords+PvRecord,"06.12.2025 11:00:00",0,"0,8018876381426366","0,9095760221444958","0,3171529669564616","375,65",0,"78,5","7,2","69,12",0,0,"4,229898680930078","",False</t>
  </si>
  <si>
    <t>PvRecord { Timestamp = 06.12.2025 11:15:00, Index = 0, DirectGeometryFactor = 0,8046963167462187, DiffuseGeometryFactor = 0,9095760221444958, CosSunElevation = 0,32785940217568055, GlobalHorizontalIrradiance = 375,65, SunshineDuration = 0, DiffuseHorizontalIrradiance = 78,5, AmbientTemp = 7,2, WindSpeed = 69,12, SnowDepth = 0, Weight = 0, Age = 4,22992720081816, MeasuredPower = , HasMeasuredPower = False },LEG.PV.Data.Processor.DataRecords+PvRecord,"06.12.2025 11:15:00",0,"0,8046963167462187","0,9095760221444958","0,32785940217568055","375,65",0,"78,5","7,2","69,12",0,0,"4,22992720081816","",False</t>
  </si>
  <si>
    <t>PvRecord { Timestamp = 06.12.2025 11:30:00, Index = 0, DirectGeometryFactor = 0,8036766464706698, DiffuseGeometryFactor = 0,9095760221444958, CosSunElevation = 0,3359684946704189, GlobalHorizontalIrradiance = 372,21666666666664, SunshineDuration = 0, DiffuseHorizontalIrradiance = 94, AmbientTemp = 7,300000000000001, WindSpeed = 72,9, SnowDepth = 0, Weight = 0, Age = 4,229955720706242, MeasuredPower = , HasMeasuredPower = False },LEG.PV.Data.Processor.DataRecords+PvRecord,"06.12.2025 11:30:00",0,"0,8036766464706698","0,9095760221444958","0,3359684946704189","372,21666666666664",0,94,"7,300000000000001","72,9",0,0,"4,229955720706242","",False</t>
  </si>
  <si>
    <t>PvRecord { Timestamp = 06.12.2025 11:45:00, Index = 0, DirectGeometryFactor = 0,7988322030735301, DiffuseGeometryFactor = 0,9095760221444958, CosSunElevation = 0,34144451804834774, GlobalHorizontalIrradiance = 372,21666666666664, SunshineDuration = 0, DiffuseHorizontalIrradiance = 94, AmbientTemp = 7,300000000000001, WindSpeed = 72,9, SnowDepth = 0, Weight = 0, Age = 4,229984240594323, MeasuredPower = , HasMeasuredPower = False },LEG.PV.Data.Processor.DataRecords+PvRecord,"06.12.2025 11:45:00",0,"0,7988322030735301","0,9095760221444958","0,34144451804834774","372,21666666666664",0,94,"7,300000000000001","72,9",0,0,"4,229984240594323","",False</t>
  </si>
  <si>
    <t>PvRecord { Timestamp = 06.12.2025 12:00:00, Index = 0, DirectGeometryFactor = 0,790183247090666, DiffuseGeometryFactor = 0,9095760221444958, CosSunElevation = 0,34426339741812806, GlobalHorizontalIrradiance = 372,21666666666664, SunshineDuration = 0, DiffuseHorizontalIrradiance = 94, AmbientTemp = 7,300000000000001, WindSpeed = 72,9, SnowDepth = 0, Weight = 0, Age = 4,2300127604824045, MeasuredPower = , HasMeasuredPower = False },LEG.PV.Data.Processor.DataRecords+PvRecord,"06.12.2025 12:00:00",0,"0,790183247090666","0,9095760221444958","0,34426339741812806","372,21666666666664",0,94,"7,300000000000001","72,9",0,0,"4,2300127604824045","",False</t>
  </si>
  <si>
    <t>PvRecord { Timestamp = 06.12.2025 12:15:00, Index = 0, DirectGeometryFactor = 0,7777665844068002, DiffuseGeometryFactor = 0,9095760221444958, CosSunElevation = 0,34441274917694115, GlobalHorizontalIrradiance = 372,21666666666664, SunshineDuration = 0, DiffuseHorizontalIrradiance = 94, AmbientTemp = 7,300000000000001, WindSpeed = 72,9, SnowDepth = 0, Weight = 0, Age = 4,230041280370486, MeasuredPower = , HasMeasuredPower = False },LEG.PV.Data.Processor.DataRecords+PvRecord,"06.12.2025 12:15:00",0,"0,7777665844068002","0,9095760221444958","0,34441274917694115","372,21666666666664",0,94,"7,300000000000001","72,9",0,0,"4,230041280370486","",False</t>
  </si>
  <si>
    <t>PvRecord { Timestamp = 06.12.2025 12:30:00, Index = 0, DirectGeometryFactor = 0,7616353837690772, DiffuseGeometryFactor = 0,9095760221444958, CosSunElevation = 0,34189190433437067, GlobalHorizontalIrradiance = 362,1, SunshineDuration = 0, DiffuseHorizontalIrradiance = 97,5, AmbientTemp = 7,15, WindSpeed = 74,52, SnowDepth = 0, Weight = 0, Age = 4,230069800258568, MeasuredPower = , HasMeasuredPower = False },LEG.PV.Data.Processor.DataRecords+PvRecord,"06.12.2025 12:30:00",0,"0,7616353837690772","0,9095760221444958","0,34189190433437067","362,1",0,"97,5","7,15","74,52",0,0,"4,230069800258568","",False</t>
  </si>
  <si>
    <t>PvRecord { Timestamp = 06.12.2025 12:45:00, Index = 0, DirectGeometryFactor = 0,7418589474611008, DiffuseGeometryFactor = 0,9095760221444958, CosSunElevation = 0,3367119096513472, GlobalHorizontalIrradiance = 362,1, SunshineDuration = 0, DiffuseHorizontalIrradiance = 97,5, AmbientTemp = 7,15, WindSpeed = 74,52, SnowDepth = 0, Weight = 0, Age = 4,2300983201466495, MeasuredPower = , HasMeasuredPower = False },LEG.PV.Data.Processor.DataRecords+PvRecord,"06.12.2025 12:45:00",0,"0,7418589474611008","0,9095760221444958","0,3367119096513472","362,1",0,"97,5","7,15","74,52",0,0,"4,2300983201466495","",False</t>
  </si>
  <si>
    <t>PvRecord { Timestamp = 06.12.2025 13:00:00, Index = 0, DirectGeometryFactor = 0,7185224358487594, DiffuseGeometryFactor = 0,9095760221444958, CosSunElevation = 0,32889550637102877, GlobalHorizontalIrradiance = 362,1, SunshineDuration = 0, DiffuseHorizontalIrradiance = 97,5, AmbientTemp = 7,15, WindSpeed = 74,52, SnowDepth = 0, Weight = 0, Age = 4,230126840034731, MeasuredPower = , HasMeasuredPower = False },LEG.PV.Data.Processor.DataRecords+PvRecord,"06.12.2025 13:00:00",0,"0,7185224358487594","0,9095760221444958","0,32889550637102877","362,1",0,"97,5","7,15","74,52",0,0,"4,230126840034731","",False</t>
  </si>
  <si>
    <t>PvRecord { Timestamp = 06.12.2025 13:15:00, Index = 0, DirectGeometryFactor = 0,6917265508352806, DiffuseGeometryFactor = 0,9095760221444958, CosSunElevation = 0,3184770915027234, GlobalHorizontalIrradiance = 362,1, SunshineDuration = 0, DiffuseHorizontalIrradiance = 97,5, AmbientTemp = 7,15, WindSpeed = 74,52, SnowDepth = 0, Weight = 0, Age = 4,230155359922812, MeasuredPower = , HasMeasuredPower = False },LEG.PV.Data.Processor.DataRecords+PvRecord,"06.12.2025 13:15:00",0,"0,6917265508352806","0,9095760221444958","0,3184770915027234","362,1",0,"97,5","7,15","74,52",0,0,"4,230155359922812","",False</t>
  </si>
  <si>
    <t>PvRecord { Timestamp = 06.12.2025 13:30:00, Index = 0, DirectGeometryFactor = 0,6615871894513204, DiffuseGeometryFactor = 0,9095760221444958, CosSunElevation = 0,305502673603231, GlobalHorizontalIrradiance = 341,8499999999999, SunshineDuration = 0, DiffuseHorizontalIrradiance = 88,5, AmbientTemp = 6,75, WindSpeed = 73,25999999999999, SnowDepth = 0, Weight = 0, Age = 4,230183879810894, MeasuredPower = , HasMeasuredPower = False },LEG.PV.Data.Processor.DataRecords+PvRecord,"06.12.2025 13:30:00",0,"0,6615871894513204","0,9095760221444958","0,305502673603231","341,8499999999999",0,"88,5","6,75","73,25999999999999",0,0,"4,230183879810894","",False</t>
  </si>
  <si>
    <t>PvRecord { Timestamp = 06.12.2025 13:45:00, Index = 0, DirectGeometryFactor = 0,6282350874093778, DiffuseGeometryFactor = 0,9095760221444958, CosSunElevation = 0,29002984564556283, GlobalHorizontalIrradiance = 341,8499999999999, SunshineDuration = 0, DiffuseHorizontalIrradiance = 88,5, AmbientTemp = 6,75, WindSpeed = 73,25999999999999, SnowDepth = 0, Weight = 0, Age = 4,230212399698976, MeasuredPower = , HasMeasuredPower = False },LEG.PV.Data.Processor.DataRecords+PvRecord,"06.12.2025 13:45:00",0,"0,6282350874093778","0,9095760221444958","0,29002984564556283","341,8499999999999",0,"88,5","6,75","73,25999999999999",0,0,"4,230212399698976","",False</t>
  </si>
  <si>
    <t>PvRecord { Timestamp = 06.12.2025 14:00:00, Index = 0, DirectGeometryFactor = 0,5918154879264668, DiffuseGeometryFactor = 0,9095760221444958, CosSunElevation = 0,2721278163163401, GlobalHorizontalIrradiance = 341,8499999999999, SunshineDuration = 0, DiffuseHorizontalIrradiance = 88,5, AmbientTemp = 6,75, WindSpeed = 73,25999999999999, SnowDepth = 0, Weight = 0, Age = 4,230240919587057, MeasuredPower = , HasMeasuredPower = False },LEG.PV.Data.Processor.DataRecords+PvRecord,"06.12.2025 14:00:00",0,"0,5918154879264668","0,9095760221444958","0,2721278163163401","341,8499999999999",0,"88,5","6,75","73,25999999999999",0,0,"4,230240919587057","",False</t>
  </si>
  <si>
    <t>PvRecord { Timestamp = 06.12.2025 14:15:00, Index = 0, DirectGeometryFactor = 0,5524879015612821, DiffuseGeometryFactor = 0,9095760221444958, CosSunElevation = 0,2518775774722724, GlobalHorizontalIrradiance = 341,8499999999999, SunshineDuration = 0, DiffuseHorizontalIrradiance = 88,5, AmbientTemp = 6,75, WindSpeed = 73,25999999999999, SnowDepth = 0, Weight = 0, Age = 4,230269439475139, MeasuredPower = , HasMeasuredPower = False },LEG.PV.Data.Processor.DataRecords+PvRecord,"06.12.2025 14:15:00",0,"0,5524879015612821","0,9095760221444958","0,2518775774722724","341,8499999999999",0,"88,5","6,75","73,25999999999999",0,0,"4,230269439475139","",False</t>
  </si>
  <si>
    <t>PvRecord { Timestamp = 06.12.2025 14:30:00, Index = 0, DirectGeometryFactor = 0,5104260831562204, DiffuseGeometryFactor = 0,9095760221444958, CosSunElevation = 0,2293723590996958, GlobalHorizontalIrradiance = 309,98333333333335, SunshineDuration = 0, DiffuseHorizontalIrradiance = 68, AmbientTemp = 6,1, WindSpeed = 68,75999999999999, SnowDepth = 0, Weight = 0, Age = 4,23029795936322, MeasuredPower = , HasMeasuredPower = False },LEG.PV.Data.Processor.DataRecords+PvRecord,"06.12.2025 14:30:00",0,"0,5104260831562204","0,9095760221444958","0,2293723590996958","309,98333333333335",0,68,"6,1","68,75999999999999",0,0,"4,23029795936322","",False</t>
  </si>
  <si>
    <t>PvRecord { Timestamp = 06.12.2025 14:45:00, Index = 0, DirectGeometryFactor = 0,4658184849054658, DiffuseGeometryFactor = 0,9095760221444958, CosSunElevation = 0,2047186845318747, GlobalHorizontalIrradiance = 309,98333333333335, SunshineDuration = 0, DiffuseHorizontalIrradiance = 68, AmbientTemp = 6,1, WindSpeed = 68,75999999999999, SnowDepth = 0, Weight = 0, Age = 4,230326479251302, MeasuredPower = , HasMeasuredPower = False },LEG.PV.Data.Processor.DataRecords+PvRecord,"06.12.2025 14:45:00",0,"0,4658184849054658","0,9095760221444958","0,2047186845318747","309,98333333333335",0,68,"6,1","68,75999999999999",0,0,"4,230326479251302","",False</t>
  </si>
  <si>
    <t>PvRecord { Timestamp = 06.12.2025 15:00:00, Index = 0, DirectGeometryFactor = 0,4188697594746559, DiffuseGeometryFactor = 0,9095760221444958, CosSunElevation = 0,17803872044518643, GlobalHorizontalIrradiance = 309,98333333333335, SunshineDuration = 0, DiffuseHorizontalIrradiance = 68, AmbientTemp = 6,1, WindSpeed = 68,75999999999999, SnowDepth = 0, Weight = 0, Age = 4,230354999139384, MeasuredPower = , HasMeasuredPower = False },LEG.PV.Data.Processor.DataRecords+PvRecord,"06.12.2025 15:00:00",0,"0,4188697594746559","0,9095760221444958","0,17803872044518643","309,98333333333335",0,68,"6,1","68,75999999999999",0,0,"4,230354999139384","",False</t>
  </si>
  <si>
    <t>PvRecord { Timestamp = 06.12.2025 15:15:00, Index = 0, DirectGeometryFactor = 0,3698046971128459, DiffuseGeometryFactor = 0,9095760221444958, CosSunElevation = 0,14947560003235044, GlobalHorizontalIrradiance = 309,98333333333335, SunshineDuration = 0, DiffuseHorizontalIrradiance = 68, AmbientTemp = 6,1, WindSpeed = 68,75999999999999, SnowDepth = 0, Weight = 0, Age = 4,230383519027465, MeasuredPower = , HasMeasuredPower = False },LEG.PV.Data.Processor.DataRecords+PvRecord,"06.12.2025 15:15:00",0,"0,3698046971128459","0,9095760221444958","0,14947560003235044","309,98333333333335",0,68,"6,1","68,75999999999999",0,0,"4,230383519027465","",False</t>
  </si>
  <si>
    <t>PvRecord { Timestamp = 06.12.2025 15:30:00, Index = 0, DirectGeometryFactor = 0,3188783094330456, DiffuseGeometryFactor = 0,9095760221444958, CosSunElevation = 0,11920622443109348, GlobalHorizontalIrradiance = 274,2833333333333, SunshineDuration = 0, DiffuseHorizontalIrradiance = 38, AmbientTemp = 5,3, WindSpeed = 63,540000000000006, SnowDepth = 0, Weight = 0, Age = 4,230412038915547, MeasuredPower = , HasMeasuredPower = False },LEG.PV.Data.Processor.DataRecords+PvRecord,"06.12.2025 15:30:00",0,"0,3188783094330456","0,9095760221444958","0,11920622443109348","274,2833333333333",0,38,"5,3","63,540000000000006",0,0,"4,230412038915547","",False</t>
  </si>
  <si>
    <t>PvRecord { Timestamp = 06.12.2025 15:45:00, Index = 0, DirectGeometryFactor = 0, DiffuseGeometryFactor = 0,9095760221444958, CosSunElevation = 0,08747527108634336, GlobalHorizontalIrradiance = 274,2833333333333, SunshineDuration = 0, DiffuseHorizontalIrradiance = 38, AmbientTemp = 5,3, WindSpeed = 63,540000000000006, SnowDepth = 0, Weight = 0, Age = 4,230440558803628, MeasuredPower = , HasMeasuredPower = False },LEG.PV.Data.Processor.DataRecords+PvRecord,"06.12.2025 15:45:00",0,0,"0,9095760221444958","0,08747527108634336","274,2833333333333",0,38,"5,3","63,540000000000006",0,0,"4,230440558803628","",False</t>
  </si>
  <si>
    <t>PvRecord { Timestamp = 06.12.2025 16:00:00, Index = 0, DirectGeometryFactor = 0, DiffuseGeometryFactor = 0,9095760221444958, CosSunElevation = 0,054698680309174956, GlobalHorizontalIrradiance = 274,2833333333333, SunshineDuration = 0, DiffuseHorizontalIrradiance = 38, AmbientTemp = 5,3, WindSpeed = 63,540000000000006, SnowDepth = 0, Weight = 0, Age = 4,230469078691709, MeasuredPower = , HasMeasuredPower = False },LEG.PV.Data.Processor.DataRecords+PvRecord,"06.12.2025 16:00:00",0,0,"0,9095760221444958","0,054698680309174956","274,2833333333333",0,38,"5,3","63,540000000000006",0,0,"4,230469078691709","",False</t>
  </si>
  <si>
    <t>PvRecord { Timestamp = 06.12.2025 16:15:00, Index = 0, DirectGeometryFactor = 0, DiffuseGeometryFactor = 0,9095760221444958, CosSunElevation = 0,021816622926311043, GlobalHorizontalIrradiance = 274,2833333333333, SunshineDuration = 0, DiffuseHorizontalIrradiance = 38, AmbientTemp = 5,3, WindSpeed = 63,540000000000006, SnowDepth = 0, Weight = 0, Age = 4,230497598579792, MeasuredPower = , HasMeasuredPower = False },LEG.PV.Data.Processor.DataRecords+PvRecord,"06.12.2025 16:15:00",0,0,"0,9095760221444958","0,021816622926311043","274,2833333333333",0,38,"5,3","63,540000000000006",0,0,"4,230497598579792","",False</t>
  </si>
  <si>
    <t>PvRecord { Timestamp = 06.12.2025 16:30:00,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4,230526118467873, MeasuredPower = , HasMeasuredPower = False },LEG.PV.Data.Processor.DataRecords+PvRecord,"06.12.2025 16:30:00",0,0,"0,9095760221444958",0,"96,16666666666667",0,"7,5","4,45","57,78",0,0,"4,230526118467873","",False</t>
  </si>
  <si>
    <t>PvRecord { Timestamp = 06.12.2025 16:45:00,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4,2305546383559545, MeasuredPower = , HasMeasuredPower = False },LEG.PV.Data.Processor.DataRecords+PvRecord,"06.12.2025 16:45:00",0,0,"0,9095760221444958",0,"96,16666666666667",0,"7,5","4,45","57,78",0,0,"4,2305546383559545","",False</t>
  </si>
  <si>
    <t>PvRecord { Timestamp = 06.12.2025 17:00:00,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4,230583158244036, MeasuredPower = , HasMeasuredPower = False },LEG.PV.Data.Processor.DataRecords+PvRecord,"06.12.2025 17:00:00",0,0,"0,9095760221444958",0,"96,16666666666667",0,"7,5","4,45","57,78",0,0,"4,230583158244036","",False</t>
  </si>
  <si>
    <t>PvRecord { Timestamp = 06.12.2025 17:15:00, Index = 0, DirectGeometryFactor = 0, DiffuseGeometryFactor = 0,9095760221444958, CosSunElevation = 0, GlobalHorizontalIrradiance = 96,16666666666667, SunshineDuration = 0, DiffuseHorizontalIrradiance = 7,5, AmbientTemp = 4,45, WindSpeed = 57,78, SnowDepth = 0, Weight = 0, Age = 4,230611678132117, MeasuredPower = , HasMeasuredPower = False },LEG.PV.Data.Processor.DataRecords+PvRecord,"06.12.2025 17:15:00",0,0,"0,9095760221444958",0,"96,16666666666667",0,"7,5","4,45","57,78",0,0,"4,230611678132117","",False</t>
  </si>
  <si>
    <t>PvRecord { Timestamp = 06.12.2025 17:30:00, Index = 0, DirectGeometryFactor = 0, DiffuseGeometryFactor = 0,9095760221444958, CosSunElevation = 0, GlobalHorizontalIrradiance = 0, SunshineDuration = 0, DiffuseHorizontalIrradiance = 0, AmbientTemp = 3,7, WindSpeed = 52,92, SnowDepth = 0, Weight = 0, Age = 4,2306401980201995, MeasuredPower = , HasMeasuredPower = False },LEG.PV.Data.Processor.DataRecords+PvRecord,"06.12.2025 17:30:00",0,0,"0,9095760221444958",0,0,0,0,"3,7","52,92",0,0,"4,2306401980201995","",False</t>
  </si>
  <si>
    <t>PvRecord { Timestamp = 06.12.2025 17:45:00, Index = 0, DirectGeometryFactor = 0, DiffuseGeometryFactor = 0,9095760221444958, CosSunElevation = 0, GlobalHorizontalIrradiance = 0, SunshineDuration = 0, DiffuseHorizontalIrradiance = 0, AmbientTemp = 3,7, WindSpeed = 52,92, SnowDepth = 0, Weight = 0, Age = 4,230668717908281, MeasuredPower = , HasMeasuredPower = False },LEG.PV.Data.Processor.DataRecords+PvRecord,"06.12.2025 17:45:00",0,0,"0,9095760221444958",0,0,0,0,"3,7","52,92",0,0,"4,230668717908281","",False</t>
  </si>
  <si>
    <t>PvRecord { Timestamp = 06.12.2025 18:00:00, Index = 0, DirectGeometryFactor = 0, DiffuseGeometryFactor = 0,9095760221444958, CosSunElevation = 0, GlobalHorizontalIrradiance = 0, SunshineDuration = 0, DiffuseHorizontalIrradiance = 0, AmbientTemp = 3,7, WindSpeed = 52,92, SnowDepth = 0, Weight = 0, Age = 4,230697237796362, MeasuredPower = , HasMeasuredPower = False },LEG.PV.Data.Processor.DataRecords+PvRecord,"06.12.2025 18:00:00",0,0,"0,9095760221444958",0,0,0,0,"3,7","52,92",0,0,"4,230697237796362","",False</t>
  </si>
  <si>
    <t>PvRecord { Timestamp = 06.12.2025 18:15:00, Index = 0, DirectGeometryFactor = 0, DiffuseGeometryFactor = 0,9095760221444958, CosSunElevation = 0, GlobalHorizontalIrradiance = 0, SunshineDuration = 0, DiffuseHorizontalIrradiance = 0, AmbientTemp = 3,7, WindSpeed = 52,92, SnowDepth = 0, Weight = 0, Age = 4,230725757684444, MeasuredPower = , HasMeasuredPower = False },LEG.PV.Data.Processor.DataRecords+PvRecord,"06.12.2025 18:15:00",0,0,"0,9095760221444958",0,0,0,0,"3,7","52,92",0,0,"4,230725757684444","",False</t>
  </si>
  <si>
    <t>PvRecord { Timestamp = 06.12.2025 18:30:00,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4,230754277572525, MeasuredPower = , HasMeasuredPower = False },LEG.PV.Data.Processor.DataRecords+PvRecord,"06.12.2025 18:30:00",0,0,"0,9095760221444958",0,0,0,0,"3,0999999999999996","50,040000000000006",0,0,"4,230754277572525","",False</t>
  </si>
  <si>
    <t>PvRecord { Timestamp = 06.12.2025 18:45:00,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4,230782797460607, MeasuredPower = , HasMeasuredPower = False },LEG.PV.Data.Processor.DataRecords+PvRecord,"06.12.2025 18:45:00",0,0,"0,9095760221444958",0,0,0,0,"3,0999999999999996","50,040000000000006",0,0,"4,230782797460607","",False</t>
  </si>
  <si>
    <t>PvRecord { Timestamp = 06.12.2025 19:00:00,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4,230811317348689, MeasuredPower = , HasMeasuredPower = False },LEG.PV.Data.Processor.DataRecords+PvRecord,"06.12.2025 19:00:00",0,0,"0,9095760221444958",0,0,0,0,"3,0999999999999996","50,040000000000006",0,0,"4,230811317348689","",False</t>
  </si>
  <si>
    <t>PvRecord { Timestamp = 06.12.2025 19:15:00, Index = 0, DirectGeometryFactor = 0, DiffuseGeometryFactor = 0,9095760221444958, CosSunElevation = 0, GlobalHorizontalIrradiance = 0, SunshineDuration = 0, DiffuseHorizontalIrradiance = 0, AmbientTemp = 3,0999999999999996, WindSpeed = 50,040000000000006, SnowDepth = 0, Weight = 0, Age = 4,23083983723677, MeasuredPower = , HasMeasuredPower = False },LEG.PV.Data.Processor.DataRecords+PvRecord,"06.12.2025 19:15:00",0,0,"0,9095760221444958",0,0,0,0,"3,0999999999999996","50,040000000000006",0,0,"4,23083983723677","",False</t>
  </si>
  <si>
    <t>PvRecord { Timestamp = 06.12.2025 19:30:00, Index = 0, DirectGeometryFactor = 0, DiffuseGeometryFactor = 0,9095760221444958, CosSunElevation = 0, GlobalHorizontalIrradiance = 0, SunshineDuration = 0, DiffuseHorizontalIrradiance = 0, AmbientTemp = 2,7, WindSpeed = 48,6, SnowDepth = 0, Weight = 0, Age = 4,2308683571248515, MeasuredPower = , HasMeasuredPower = False },LEG.PV.Data.Processor.DataRecords+PvRecord,"06.12.2025 19:30:00",0,0,"0,9095760221444958",0,0,0,0,"2,7","48,6",0,0,"4,2308683571248515","",False</t>
  </si>
  <si>
    <t>PvRecord { Timestamp = 06.12.2025 19:45:00, Index = 0, DirectGeometryFactor = 0, DiffuseGeometryFactor = 0,9095760221444958, CosSunElevation = 0, GlobalHorizontalIrradiance = 0, SunshineDuration = 0, DiffuseHorizontalIrradiance = 0, AmbientTemp = 2,7, WindSpeed = 48,6, SnowDepth = 0, Weight = 0, Age = 4,230896877012934, MeasuredPower = , HasMeasuredPower = False },LEG.PV.Data.Processor.DataRecords+PvRecord,"06.12.2025 19:45:00",0,0,"0,9095760221444958",0,0,0,0,"2,7","48,6",0,0,"4,230896877012934","",False</t>
  </si>
  <si>
    <t>PvRecord { Timestamp = 06.12.2025 20:00:00, Index = 0, DirectGeometryFactor = 0, DiffuseGeometryFactor = 0,9095760221444958, CosSunElevation = 0, GlobalHorizontalIrradiance = 0, SunshineDuration = 0, DiffuseHorizontalIrradiance = 0, AmbientTemp = 2,7, WindSpeed = 48,6, SnowDepth = 0, Weight = 0, Age = 4,230925396901015, MeasuredPower = , HasMeasuredPower = False },LEG.PV.Data.Processor.DataRecords+PvRecord,"06.12.2025 20:00:00",0,0,"0,9095760221444958",0,0,0,0,"2,7","48,6",0,0,"4,230925396901015","",False</t>
  </si>
  <si>
    <t>PvRecord { Timestamp = 06.12.2025 20:15:00, Index = 0, DirectGeometryFactor = 0, DiffuseGeometryFactor = 0,9095760221444958, CosSunElevation = 0, GlobalHorizontalIrradiance = 0, SunshineDuration = 0, DiffuseHorizontalIrradiance = 0, AmbientTemp = 2,7, WindSpeed = 48,6, SnowDepth = 0, Weight = 0, Age = 4,230953916789097, MeasuredPower = , HasMeasuredPower = False },LEG.PV.Data.Processor.DataRecords+PvRecord,"06.12.2025 20:15:00",0,0,"0,9095760221444958",0,0,0,0,"2,7","48,6",0,0,"4,230953916789097","",False</t>
  </si>
  <si>
    <t>PvRecord { Timestamp = 06.12.2025 20:30:00,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4,230982436677178, MeasuredPower = , HasMeasuredPower = False },LEG.PV.Data.Processor.DataRecords+PvRecord,"06.12.2025 20:30:00",0,0,"0,9095760221444958",0,0,0,0,"2,45","46,980000000000004",0,0,"4,230982436677178","",False</t>
  </si>
  <si>
    <t>PvRecord { Timestamp = 06.12.2025 20:45:00,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4,231010956565259, MeasuredPower = , HasMeasuredPower = False },LEG.PV.Data.Processor.DataRecords+PvRecord,"06.12.2025 20:45:00",0,0,"0,9095760221444958",0,0,0,0,"2,45","46,980000000000004",0,0,"4,231010956565259","",False</t>
  </si>
  <si>
    <t>PvRecord { Timestamp = 06.12.2025 21:00:00,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4,231039476453342, MeasuredPower = , HasMeasuredPower = False },LEG.PV.Data.Processor.DataRecords+PvRecord,"06.12.2025 21:00:00",0,0,"0,9095760221444958",0,0,0,0,"2,45","46,980000000000004",0,0,"4,231039476453342","",False</t>
  </si>
  <si>
    <t>PvRecord { Timestamp = 06.12.2025 21:15:00, Index = 0, DirectGeometryFactor = 0, DiffuseGeometryFactor = 0,9095760221444958, CosSunElevation = 0, GlobalHorizontalIrradiance = 0, SunshineDuration = 0, DiffuseHorizontalIrradiance = 0, AmbientTemp = 2,45, WindSpeed = 46,980000000000004, SnowDepth = 0, Weight = 0, Age = 4,231067996341423, MeasuredPower = , HasMeasuredPower = False },LEG.PV.Data.Processor.DataRecords+PvRecord,"06.12.2025 21:15:00",0,0,"0,9095760221444958",0,0,0,0,"2,45","46,980000000000004",0,0,"4,231067996341423","",False</t>
  </si>
  <si>
    <t>PvRecord { Timestamp = 06.12.2025 21:30:00,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4,2310965162295044, MeasuredPower = , HasMeasuredPower = False },LEG.PV.Data.Processor.DataRecords+PvRecord,"06.12.2025 21:30:00",0,0,"0,9095760221444958",0,0,0,0,"2,2","46,440000000000005",0,0,"4,2310965162295044","",False</t>
  </si>
  <si>
    <t>PvRecord { Timestamp = 06.12.2025 21:45:00,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4,231125036117586, MeasuredPower = , HasMeasuredPower = False },LEG.PV.Data.Processor.DataRecords+PvRecord,"06.12.2025 21:45:00",0,0,"0,9095760221444958",0,0,0,0,"2,2","46,440000000000005",0,0,"4,231125036117586","",False</t>
  </si>
  <si>
    <t>PvRecord { Timestamp = 06.12.2025 22:00:00,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4,231153556005667, MeasuredPower = , HasMeasuredPower = False },LEG.PV.Data.Processor.DataRecords+PvRecord,"06.12.2025 22:00:00",0,0,"0,9095760221444958",0,0,0,0,"2,2","46,440000000000005",0,0,"4,231153556005667","",False</t>
  </si>
  <si>
    <t>PvRecord { Timestamp = 06.12.2025 22:15:00, Index = 0, DirectGeometryFactor = 0, DiffuseGeometryFactor = 0,9095760221444958, CosSunElevation = 0, GlobalHorizontalIrradiance = 0, SunshineDuration = 0, DiffuseHorizontalIrradiance = 0, AmbientTemp = 2,2, WindSpeed = 46,440000000000005, SnowDepth = 0, Weight = 0, Age = 4,2311820758937495, MeasuredPower = , HasMeasuredPower = False },LEG.PV.Data.Processor.DataRecords+PvRecord,"06.12.2025 22:15:00",0,0,"0,9095760221444958",0,0,0,0,"2,2","46,440000000000005",0,0,"4,2311820758937495","",False</t>
  </si>
  <si>
    <t>PvRecord { Timestamp = 06.12.2025 22:30:00,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4,231210595781831, MeasuredPower = , HasMeasuredPower = False },LEG.PV.Data.Processor.DataRecords+PvRecord,"06.12.2025 22:30:00",0,0,"0,9095760221444958",0,0,0,0,"2,05","45,900000000000006",0,0,"4,231210595781831","",False</t>
  </si>
  <si>
    <t>PvRecord { Timestamp = 06.12.2025 22:45:00,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4,231239115669912, MeasuredPower = , HasMeasuredPower = False },LEG.PV.Data.Processor.DataRecords+PvRecord,"06.12.2025 22:45:00",0,0,"0,9095760221444958",0,0,0,0,"2,05","45,900000000000006",0,0,"4,231239115669912","",False</t>
  </si>
  <si>
    <t>PvRecord { Timestamp = 06.12.2025 23:00:00,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4,231267635557994, MeasuredPower = , HasMeasuredPower = False },LEG.PV.Data.Processor.DataRecords+PvRecord,"06.12.2025 23:00:00",0,0,"0,9095760221444958",0,0,0,0,"2,05","45,900000000000006",0,0,"4,231267635557994","",False</t>
  </si>
  <si>
    <t>PvRecord { Timestamp = 06.12.2025 23:15:00, Index = 0, DirectGeometryFactor = 0, DiffuseGeometryFactor = 0,9095760221444958, CosSunElevation = 0, GlobalHorizontalIrradiance = 0, SunshineDuration = 0, DiffuseHorizontalIrradiance = 0, AmbientTemp = 2,05, WindSpeed = 45,900000000000006, SnowDepth = 0, Weight = 0, Age = 4,231296155446075, MeasuredPower = , HasMeasuredPower = False },LEG.PV.Data.Processor.DataRecords+PvRecord,"06.12.2025 23:15:00",0,0,"0,9095760221444958",0,0,0,0,"2,05","45,900000000000006",0,0,"4,231296155446075","",False</t>
  </si>
  <si>
    <t>PvRecord { Timestamp = 06.12.2025 23:30:00, Index = 0, DirectGeometryFactor = 0, DiffuseGeometryFactor = 0,9095760221444958, CosSunElevation = 0, GlobalHorizontalIrradiance = 0, SunshineDuration = 0, DiffuseHorizontalIrradiance = 0, AmbientTemp = 1,9, WindSpeed = 45,72, SnowDepth = 0, Weight = 0, Age = 4,231324675334157, MeasuredPower = , HasMeasuredPower = False },LEG.PV.Data.Processor.DataRecords+PvRecord,"06.12.2025 23:30:00",0,0,"0,9095760221444958",0,0,0,0,"1,9","45,72",0,0,"4,231324675334157","",False</t>
  </si>
  <si>
    <t>PvRecord { Timestamp = 06.12.2025 23:45:00, Index = 0, DirectGeometryFactor = 0, DiffuseGeometryFactor = 0,9095760221444958, CosSunElevation = 0, GlobalHorizontalIrradiance = 0, SunshineDuration = 0, DiffuseHorizontalIrradiance = 0, AmbientTemp = 1,9, WindSpeed = 45,72, SnowDepth = 0, Weight = 0, Age = 4,231353195222239, MeasuredPower = , HasMeasuredPower = False },LEG.PV.Data.Processor.DataRecords+PvRecord,"06.12.2025 23:45:00",0,0,"0,9095760221444958",0,0,0,0,"1,9","45,72",0,0,"4,231353195222239","",False</t>
  </si>
  <si>
    <t>PvRecord { Timestamp = 07.12.2025 00:00:00, Index = 0, DirectGeometryFactor = 0, DiffuseGeometryFactor = 0,9095760221444958, CosSunElevation = 0, GlobalHorizontalIrradiance = 0, SunshineDuration = 0, DiffuseHorizontalIrradiance = 0, AmbientTemp = 1,9, WindSpeed = 45,72, SnowDepth = 0, Weight = 0, Age = 4,23138171511032, MeasuredPower = , HasMeasuredPower = False },LEG.PV.Data.Processor.DataRecords+PvRecord,"07.12.2025 00:00:00",0,0,"0,9095760221444958",0,0,0,0,"1,9","45,72",0,0,"4,23138171511032","",False</t>
  </si>
  <si>
    <t>PvRecord { Timestamp = 07.12.2025 00:15:00, Index = 0, DirectGeometryFactor = 0, DiffuseGeometryFactor = 0,9095760221444958, CosSunElevation = 0, GlobalHorizontalIrradiance = 0, SunshineDuration = 0, DiffuseHorizontalIrradiance = 0, AmbientTemp = 1,9, WindSpeed = 45,72, SnowDepth = 0, Weight = 0, Age = 4,2314102349984015, MeasuredPower = , HasMeasuredPower = False },LEG.PV.Data.Processor.DataRecords+PvRecord,"07.12.2025 00:15:00",0,0,"0,9095760221444958",0,0,0,0,"1,9","45,72",0,0,"4,2314102349984015","",False</t>
  </si>
  <si>
    <t>PvRecord { Timestamp = 07.12.2025 00:30:00, Index = 0, DirectGeometryFactor = 0, DiffuseGeometryFactor = 0,9095760221444958, CosSunElevation = 0, GlobalHorizontalIrradiance = 0, SunshineDuration = 0, DiffuseHorizontalIrradiance = 0, AmbientTemp = 1,75, WindSpeed = 45,18, SnowDepth = 0, Weight = 0, Age = 4,231438754886483, MeasuredPower = , HasMeasuredPower = False },LEG.PV.Data.Processor.DataRecords+PvRecord,"07.12.2025 00:30:00",0,0,"0,9095760221444958",0,0,0,0,"1,75","45,18",0,0,"4,231438754886483","",False</t>
  </si>
  <si>
    <t>PvRecord { Timestamp = 07.12.2025 00:45:00, Index = 0, DirectGeometryFactor = 0, DiffuseGeometryFactor = 0,9095760221444958, CosSunElevation = 0, GlobalHorizontalIrradiance = 0, SunshineDuration = 0, DiffuseHorizontalIrradiance = 0, AmbientTemp = 1,75, WindSpeed = 45,18, SnowDepth = 0, Weight = 0, Age = 4,231467274774565, MeasuredPower = , HasMeasuredPower = False },LEG.PV.Data.Processor.DataRecords+PvRecord,"07.12.2025 00:45:00",0,0,"0,9095760221444958",0,0,0,0,"1,75","45,18",0,0,"4,231467274774565","",False</t>
  </si>
  <si>
    <t>PvRecord { Timestamp = 07.12.2025 01:00:00, Index = 0, DirectGeometryFactor = 0, DiffuseGeometryFactor = 0,9095760221444958, CosSunElevation = 0, GlobalHorizontalIrradiance = 0, SunshineDuration = 0, DiffuseHorizontalIrradiance = 0, AmbientTemp = 1,75, WindSpeed = 45,18, SnowDepth = 0, Weight = 0, Age = 4,231495794662647, MeasuredPower = , HasMeasuredPower = False },LEG.PV.Data.Processor.DataRecords+PvRecord,"07.12.2025 01:00:00",0,0,"0,9095760221444958",0,0,0,0,"1,75","45,18",0,0,"4,231495794662647","",False</t>
  </si>
  <si>
    <t>PvRecord { Timestamp = 07.12.2025 01:15:00, Index = 0, DirectGeometryFactor = 0, DiffuseGeometryFactor = 0,9095760221444958, CosSunElevation = 0, GlobalHorizontalIrradiance = 0, SunshineDuration = 0, DiffuseHorizontalIrradiance = 0, AmbientTemp = 1,75, WindSpeed = 45,18, SnowDepth = 0, Weight = 0, Age = 4,231524314550728, MeasuredPower = , HasMeasuredPower = False },LEG.PV.Data.Processor.DataRecords+PvRecord,"07.12.2025 01:15:00",0,0,"0,9095760221444958",0,0,0,0,"1,75","45,18",0,0,"4,231524314550728","",False</t>
  </si>
  <si>
    <t>PvRecord { Timestamp = 07.12.2025 01:30:00, Index = 0, DirectGeometryFactor = 0, DiffuseGeometryFactor = 0,9095760221444958, CosSunElevation = 0, GlobalHorizontalIrradiance = 0, SunshineDuration = 0, DiffuseHorizontalIrradiance = 0, AmbientTemp = 1,65, WindSpeed = 44,28, SnowDepth = 0, Weight = 0, Age = 4,231552834438809, MeasuredPower = , HasMeasuredPower = False },LEG.PV.Data.Processor.DataRecords+PvRecord,"07.12.2025 01:30:00",0,0,"0,9095760221444958",0,0,0,0,"1,65","44,28",0,0,"4,231552834438809","",False</t>
  </si>
  <si>
    <t>PvRecord { Timestamp = 07.12.2025 01:45:00, Index = 0, DirectGeometryFactor = 0, DiffuseGeometryFactor = 0,9095760221444958, CosSunElevation = 0, GlobalHorizontalIrradiance = 0, SunshineDuration = 0, DiffuseHorizontalIrradiance = 0, AmbientTemp = 1,65, WindSpeed = 44,28, SnowDepth = 0, Weight = 0, Age = 4,231581354326891, MeasuredPower = , HasMeasuredPower = False },LEG.PV.Data.Processor.DataRecords+PvRecord,"07.12.2025 01:45:00",0,0,"0,9095760221444958",0,0,0,0,"1,65","44,28",0,0,"4,231581354326891","",False</t>
  </si>
  <si>
    <t>PvRecord { Timestamp = 07.12.2025 02:00:00, Index = 0, DirectGeometryFactor = 0, DiffuseGeometryFactor = 0,9095760221444958, CosSunElevation = 0, GlobalHorizontalIrradiance = 0, SunshineDuration = 0, DiffuseHorizontalIrradiance = 0, AmbientTemp = 1,65, WindSpeed = 44,28, SnowDepth = 0, Weight = 0, Age = 4,231609874214973, MeasuredPower = , HasMeasuredPower = False },LEG.PV.Data.Processor.DataRecords+PvRecord,"07.12.2025 02:00:00",0,0,"0,9095760221444958",0,0,0,0,"1,65","44,28",0,0,"4,231609874214973","",False</t>
  </si>
  <si>
    <t>PvRecord { Timestamp = 07.12.2025 02:15:00, Index = 0, DirectGeometryFactor = 0, DiffuseGeometryFactor = 0,9095760221444958, CosSunElevation = 0, GlobalHorizontalIrradiance = 0, SunshineDuration = 0, DiffuseHorizontalIrradiance = 0, AmbientTemp = 1,65, WindSpeed = 44,28, SnowDepth = 0, Weight = 0, Age = 4,231638394103054, MeasuredPower = , HasMeasuredPower = False },LEG.PV.Data.Processor.DataRecords+PvRecord,"07.12.2025 02:15:00",0,0,"0,9095760221444958",0,0,0,0,"1,65","44,28",0,0,"4,231638394103054","",False</t>
  </si>
  <si>
    <t>PvRecord { Timestamp = 07.12.2025 02:30:00, Index = 0, DirectGeometryFactor = 0, DiffuseGeometryFactor = 0,9095760221444958, CosSunElevation = 0, GlobalHorizontalIrradiance = 0, SunshineDuration = 0, DiffuseHorizontalIrradiance = 0, AmbientTemp = 1,45, WindSpeed = 43,38, SnowDepth = 0, Weight = 0, Age = 4,231666913991136, MeasuredPower = , HasMeasuredPower = False },LEG.PV.Data.Processor.DataRecords+PvRecord,"07.12.2025 02:30:00",0,0,"0,9095760221444958",0,0,0,0,"1,45","43,38",0,0,"4,231666913991136","",False</t>
  </si>
  <si>
    <t>PvRecord { Timestamp = 07.12.2025 02:45:00, Index = 0, DirectGeometryFactor = 0, DiffuseGeometryFactor = 0,9095760221444958, CosSunElevation = 0, GlobalHorizontalIrradiance = 0, SunshineDuration = 0, DiffuseHorizontalIrradiance = 0, AmbientTemp = 1,45, WindSpeed = 43,38, SnowDepth = 0, Weight = 0, Age = 4,231695433879217, MeasuredPower = , HasMeasuredPower = False },LEG.PV.Data.Processor.DataRecords+PvRecord,"07.12.2025 02:45:00",0,0,"0,9095760221444958",0,0,0,0,"1,45","43,38",0,0,"4,231695433879217","",False</t>
  </si>
  <si>
    <t>PvRecord { Timestamp = 07.12.2025 03:00:00, Index = 0, DirectGeometryFactor = 0, DiffuseGeometryFactor = 0,9095760221444958, CosSunElevation = 0, GlobalHorizontalIrradiance = 0, SunshineDuration = 0, DiffuseHorizontalIrradiance = 0, AmbientTemp = 1,45, WindSpeed = 43,38, SnowDepth = 0, Weight = 0, Age = 4,231723953767299, MeasuredPower = , HasMeasuredPower = False },LEG.PV.Data.Processor.DataRecords+PvRecord,"07.12.2025 03:00:00",0,0,"0,9095760221444958",0,0,0,0,"1,45","43,38",0,0,"4,231723953767299","",False</t>
  </si>
  <si>
    <t>PvRecord { Timestamp = 07.12.2025 03:15:00, Index = 0, DirectGeometryFactor = 0, DiffuseGeometryFactor = 0,9095760221444958, CosSunElevation = 0, GlobalHorizontalIrradiance = 0, SunshineDuration = 0, DiffuseHorizontalIrradiance = 0, AmbientTemp = 1,45, WindSpeed = 43,38, SnowDepth = 0, Weight = 0, Age = 4,231752473655381, MeasuredPower = , HasMeasuredPower = False },LEG.PV.Data.Processor.DataRecords+PvRecord,"07.12.2025 03:15:00",0,0,"0,9095760221444958",0,0,0,0,"1,45","43,38",0,0,"4,231752473655381","",False</t>
  </si>
  <si>
    <t>PvRecord { Timestamp = 07.12.2025 03:30:00,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4,231780993543462, MeasuredPower = , HasMeasuredPower = False },LEG.PV.Data.Processor.DataRecords+PvRecord,"07.12.2025 03:30:00",0,0,"0,9095760221444958",0,0,0,0,"1,35","42,480000000000004",0,0,"4,231780993543462","",False</t>
  </si>
  <si>
    <t>PvRecord { Timestamp = 07.12.2025 03:45:00,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4,231809513431544, MeasuredPower = , HasMeasuredPower = False },LEG.PV.Data.Processor.DataRecords+PvRecord,"07.12.2025 03:45:00",0,0,"0,9095760221444958",0,0,0,0,"1,35","42,480000000000004",0,0,"4,231809513431544","",False</t>
  </si>
  <si>
    <t>PvRecord { Timestamp = 07.12.2025 04:00:00,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4,231838033319625, MeasuredPower = , HasMeasuredPower = False },LEG.PV.Data.Processor.DataRecords+PvRecord,"07.12.2025 04:00:00",0,0,"0,9095760221444958",0,0,0,0,"1,35","42,480000000000004",0,0,"4,231838033319625","",False</t>
  </si>
  <si>
    <t>PvRecord { Timestamp = 07.12.2025 04:15:00, Index = 0, DirectGeometryFactor = 0, DiffuseGeometryFactor = 0,9095760221444958, CosSunElevation = 0, GlobalHorizontalIrradiance = 0, SunshineDuration = 0, DiffuseHorizontalIrradiance = 0, AmbientTemp = 1,35, WindSpeed = 42,480000000000004, SnowDepth = 0, Weight = 0, Age = 4,231866553207706, MeasuredPower = , HasMeasuredPower = False },LEG.PV.Data.Processor.DataRecords+PvRecord,"07.12.2025 04:15:00",0,0,"0,9095760221444958",0,0,0,0,"1,35","42,480000000000004",0,0,"4,231866553207706","",False</t>
  </si>
  <si>
    <t>PvRecord { Timestamp = 07.12.2025 04:30:00,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4,231895073095789, MeasuredPower = , HasMeasuredPower = False },LEG.PV.Data.Processor.DataRecords+PvRecord,"07.12.2025 04:30:00",0,0,"0,9095760221444958",0,0,0,0,"1,3","42,480000000000004",0,0,"4,231895073095789","",False</t>
  </si>
  <si>
    <t>PvRecord { Timestamp = 07.12.2025 04:45:00,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4,23192359298387, MeasuredPower = , HasMeasuredPower = False },LEG.PV.Data.Processor.DataRecords+PvRecord,"07.12.2025 04:45:00",0,0,"0,9095760221444958",0,0,0,0,"1,3","42,480000000000004",0,0,"4,23192359298387","",False</t>
  </si>
  <si>
    <t>PvRecord { Timestamp = 07.12.2025 05:00:00,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4,2319521128719515, MeasuredPower = , HasMeasuredPower = False },LEG.PV.Data.Processor.DataRecords+PvRecord,"07.12.2025 05:00:00",0,0,"0,9095760221444958",0,0,0,0,"1,3","42,480000000000004",0,0,"4,2319521128719515","",False</t>
  </si>
  <si>
    <t>PvRecord { Timestamp = 07.12.2025 05:15:00,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4,231980632760033, MeasuredPower = , HasMeasuredPower = False },LEG.PV.Data.Processor.DataRecords+PvRecord,"07.12.2025 05:15:00",0,0,"0,9095760221444958",0,0,0,0,"1,3","42,480000000000004",0,0,"4,231980632760033","",False</t>
  </si>
  <si>
    <t>PvRecord { Timestamp = 07.12.2025 05:30:00,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4,232009152648114, MeasuredPower = , HasMeasuredPower = False },LEG.PV.Data.Processor.DataRecords+PvRecord,"07.12.2025 05:30:00",0,0,"0,9095760221444958",0,0,0,0,"1,3","42,480000000000004",0,0,"4,232009152648114","",False</t>
  </si>
  <si>
    <t>PvRecord { Timestamp = 07.12.2025 05:45:00,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4,232037672536197, MeasuredPower = , HasMeasuredPower = False },LEG.PV.Data.Processor.DataRecords+PvRecord,"07.12.2025 05:45:00",0,0,"0,9095760221444958",0,0,0,0,"1,3","42,480000000000004",0,0,"4,232037672536197","",False</t>
  </si>
  <si>
    <t>PvRecord { Timestamp = 07.12.2025 06:00:00,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4,232066192424278, MeasuredPower = , HasMeasuredPower = False },LEG.PV.Data.Processor.DataRecords+PvRecord,"07.12.2025 06:00:00",0,0,"0,9095760221444958",0,0,0,0,"1,3","42,480000000000004",0,0,"4,232066192424278","",False</t>
  </si>
  <si>
    <t>PvRecord { Timestamp = 07.12.2025 06:15:00, Index = 0, DirectGeometryFactor = 0, DiffuseGeometryFactor = 0,9095760221444958, CosSunElevation = 0, GlobalHorizontalIrradiance = 0, SunshineDuration = 0, DiffuseHorizontalIrradiance = 0, AmbientTemp = 1,3, WindSpeed = 42,480000000000004, SnowDepth = 0, Weight = 0, Age = 4,232094712312359, MeasuredPower = , HasMeasuredPower = False },LEG.PV.Data.Processor.DataRecords+PvRecord,"07.12.2025 06:15:00",0,0,"0,9095760221444958",0,0,0,0,"1,3","42,480000000000004",0,0,"4,232094712312359","",False</t>
  </si>
  <si>
    <t>PvRecord { Timestamp = 07.12.2025 06:30:00, Index = 0, DirectGeometryFactor = 0, DiffuseGeometryFactor = 0,9095760221444958, CosSunElevation = 0, GlobalHorizontalIrradiance = 0, SunshineDuration = 0, DiffuseHorizontalIrradiance = 0, AmbientTemp = 1,4, WindSpeed = 43,2, SnowDepth = 0, Weight = 0, Age = 4,232123232200441, MeasuredPower = , HasMeasuredPower = False },LEG.PV.Data.Processor.DataRecords+PvRecord,"07.12.2025 06:30:00",0,0,"0,9095760221444958",0,0,0,0,"1,4","43,2",0,0,"4,232123232200441","",False</t>
  </si>
  <si>
    <t>PvRecord { Timestamp = 07.12.2025 06:45:00, Index = 0, DirectGeometryFactor = 0, DiffuseGeometryFactor = 0,9095760221444958, CosSunElevation = 0, GlobalHorizontalIrradiance = 0, SunshineDuration = 0, DiffuseHorizontalIrradiance = 0, AmbientTemp = 1,4, WindSpeed = 43,2, SnowDepth = 0, Weight = 0, Age = 4,232151752088522, MeasuredPower = , HasMeasuredPower = False },LEG.PV.Data.Processor.DataRecords+PvRecord,"07.12.2025 06:45:00",0,0,"0,9095760221444958",0,0,0,0,"1,4","43,2",0,0,"4,232151752088522","",False</t>
  </si>
  <si>
    <t>PvRecord { Timestamp = 07.12.2025 07:00:00, Index = 0, DirectGeometryFactor = 0, DiffuseGeometryFactor = 0,9095760221444958, CosSunElevation = 0, GlobalHorizontalIrradiance = 0, SunshineDuration = 0, DiffuseHorizontalIrradiance = 0, AmbientTemp = 1,4, WindSpeed = 43,2, SnowDepth = 0, Weight = 0, Age = 4,232180271976604, MeasuredPower = , HasMeasuredPower = False },LEG.PV.Data.Processor.DataRecords+PvRecord,"07.12.2025 07:00:00",0,0,"0,9095760221444958",0,0,0,0,"1,4","43,2",0,0,"4,232180271976604","",False</t>
  </si>
  <si>
    <t>PvRecord { Timestamp = 07.12.2025 07:15:00, Index = 0, DirectGeometryFactor = 0, DiffuseGeometryFactor = 0,9095760221444958, CosSunElevation = 0, GlobalHorizontalIrradiance = 0, SunshineDuration = 0, DiffuseHorizontalIrradiance = 0, AmbientTemp = 1,4, WindSpeed = 43,2, SnowDepth = 0, Weight = 0, Age = 4,232208791864686, MeasuredPower = , HasMeasuredPower = False },LEG.PV.Data.Processor.DataRecords+PvRecord,"07.12.2025 07:15:00",0,0,"0,9095760221444958",0,0,0,0,"1,4","43,2",0,0,"4,232208791864686","",False</t>
  </si>
  <si>
    <t>PvRecord { Timestamp = 07.12.2025 07:30:00, Index = 0, DirectGeometryFactor = 0, DiffuseGeometryFactor = 0,9095760221444958, CosSunElevation = 0, GlobalHorizontalIrradiance = 0, SunshineDuration = 0, DiffuseHorizontalIrradiance = 0, AmbientTemp = 1,65, WindSpeed = 44,099999999999994, SnowDepth = 0, Weight = 0, Age = 4,232237311752767, MeasuredPower = , HasMeasuredPower = False },LEG.PV.Data.Processor.DataRecords+PvRecord,"07.12.2025 07:30:00",0,0,"0,9095760221444958",0,0,0,0,"1,65","44,099999999999994",0,0,"4,232237311752767","",False</t>
  </si>
  <si>
    <t>PvRecord { Timestamp = 07.12.2025 07:45:00, Index = 0, DirectGeometryFactor = 0, DiffuseGeometryFactor = 0,9095760221444958, CosSunElevation = 0, GlobalHorizontalIrradiance = 0, SunshineDuration = 0, DiffuseHorizontalIrradiance = 0, AmbientTemp = 1,65, WindSpeed = 44,099999999999994, SnowDepth = 0, Weight = 0, Age = 4,232265831640849, MeasuredPower = , HasMeasuredPower = False },LEG.PV.Data.Processor.DataRecords+PvRecord,"07.12.2025 07:45:00",0,0,"0,9095760221444958",0,0,0,0,"1,65","44,099999999999994",0,0,"4,232265831640849","",False</t>
  </si>
  <si>
    <t>PvRecord { Timestamp = 07.12.2025 08:00:00, Index = 0, DirectGeometryFactor = 0, DiffuseGeometryFactor = 0,9095760221444958, CosSunElevation = 0,015921262030072523, GlobalHorizontalIrradiance = 0, SunshineDuration = 0, DiffuseHorizontalIrradiance = 0, AmbientTemp = 1,65, WindSpeed = 44,099999999999994, SnowDepth = 0, Weight = 0, Age = 4,23229435152893, MeasuredPower = , HasMeasuredPower = False },LEG.PV.Data.Processor.DataRecords+PvRecord,"07.12.2025 08:00:00",0,0,"0,9095760221444958","0,015921262030072523",0,0,0,"1,65","44,099999999999994",0,0,"4,23229435152893","",False</t>
  </si>
  <si>
    <t>PvRecord { Timestamp = 07.12.2025 08:15:00, Index = 0, DirectGeometryFactor = 0,5332163007155768, DiffuseGeometryFactor = 0,9095760221444958, CosSunElevation = 0,04854247417825167, GlobalHorizontalIrradiance = 0, SunshineDuration = 0, DiffuseHorizontalIrradiance = 0, AmbientTemp = 1,65, WindSpeed = 44,099999999999994, SnowDepth = 0, Weight = 0, Age = 4,232322871417012, MeasuredPower = , HasMeasuredPower = False },LEG.PV.Data.Processor.DataRecords+PvRecord,"07.12.2025 08:15:00",0,"0,5332163007155768","0,9095760221444958","0,04854247417825167",0,0,0,"1,65","44,099999999999994",0,0,"4,232322871417012","",False</t>
  </si>
  <si>
    <t>PvRecord { Timestamp = 07.12.2025 08:30:00, Index = 0, DirectGeometryFactor = 0,5728937057942203, DiffuseGeometryFactor = 0,9095760221444958, CosSunElevation = 0,08134110197014802, GlobalHorizontalIrradiance = 48,916666666666664, SunshineDuration = 0, DiffuseHorizontalIrradiance = 16, AmbientTemp = 2,1, WindSpeed = 46,620000000000005, SnowDepth = 0, Weight = 0, Age = 4,232351391305094, MeasuredPower = , HasMeasuredPower = False },LEG.PV.Data.Processor.DataRecords+PvRecord,"07.12.2025 08:30:00",0,"0,5728937057942203","0,9095760221444958","0,08134110197014802","48,916666666666664",0,16,"2,1","46,620000000000005",0,0,"4,232351391305094","",False</t>
  </si>
  <si>
    <t>PvRecord { Timestamp = 07.12.2025 08:45:00, Index = 0, DirectGeometryFactor = 0,6102444567134132, DiffuseGeometryFactor = 0,9095760221444958, CosSunElevation = 0,11320406012605239, GlobalHorizontalIrradiance = 48,916666666666664, SunshineDuration = 0, DiffuseHorizontalIrradiance = 16, AmbientTemp = 2,1, WindSpeed = 46,620000000000005, SnowDepth = 0, Weight = 0, Age = 4,232379911193175, MeasuredPower = , HasMeasuredPower = False },LEG.PV.Data.Processor.DataRecords+PvRecord,"07.12.2025 08:45:00",0,"0,6102444567134132","0,9095760221444958","0,11320406012605239","48,916666666666664",0,16,"2,1","46,620000000000005",0,0,"4,232379911193175","",False</t>
  </si>
  <si>
    <t>PvRecord { Timestamp = 07.12.2025 09:00:00, Index = 0, DirectGeometryFactor = 0,644827725366983, DiffuseGeometryFactor = 0,9095760221444958, CosSunElevation = 0,14365968676887012, GlobalHorizontalIrradiance = 48,916666666666664, SunshineDuration = 0, DiffuseHorizontalIrradiance = 16, AmbientTemp = 2,1, WindSpeed = 46,620000000000005, SnowDepth = 0, Weight = 0, Age = 4,232408431081256, MeasuredPower = , HasMeasuredPower = False },LEG.PV.Data.Processor.DataRecords+PvRecord,"07.12.2025 09:00:00",0,"0,644827725366983","0,9095760221444958","0,14365968676887012","48,916666666666664",0,16,"2,1","46,620000000000005",0,0,"4,232408431081256","",False</t>
  </si>
  <si>
    <t>PvRecord { Timestamp = 07.12.2025 09:15:00, Index = 0, DirectGeometryFactor = 0,6763836732077964, DiffuseGeometryFactor = 0,9095760221444958, CosSunElevation = 0,17244375256996142, GlobalHorizontalIrradiance = 48,916666666666664, SunshineDuration = 0, DiffuseHorizontalIrradiance = 16, AmbientTemp = 2,1, WindSpeed = 46,620000000000005, SnowDepth = 0, Weight = 0, Age = 4,232436950969338, MeasuredPower = , HasMeasuredPower = False },LEG.PV.Data.Processor.DataRecords+PvRecord,"07.12.2025 09:15:00",0,"0,6763836732077964","0,9095760221444958","0,17244375256996142","48,916666666666664",0,16,"2,1","46,620000000000005",0,0,"4,232436950969338","",False</t>
  </si>
  <si>
    <t>PvRecord { Timestamp = 07.12.2025 09:30:00, Index = 0, DirectGeometryFactor = 0,7047254788786008, DiffuseGeometryFactor = 0,9095760221444958, CosSunElevation = 0,19937092594853936, GlobalHorizontalIrradiance = 70,85, SunshineDuration = 0, DiffuseHorizontalIrradiance = 52, AmbientTemp = 2,5999999999999996, WindSpeed = 49,86, SnowDepth = 0, Weight = 0, Age = 4,23246547085742, MeasuredPower = , HasMeasuredPower = False },LEG.PV.Data.Processor.DataRecords+PvRecord,"07.12.2025 09:30:00",0,"0,7047254788786008","0,9095760221444958","0,19937092594853936","70,85",0,52,"2,5999999999999996","49,86",0,0,"4,23246547085742","",False</t>
  </si>
  <si>
    <t>PvRecord { Timestamp = 07.12.2025 09:45:00, Index = 0, DirectGeometryFactor = 0,7297049507065746, DiffuseGeometryFactor = 0,9095760221444958, CosSunElevation = 0,22429359727092738, GlobalHorizontalIrradiance = 70,85, SunshineDuration = 0, DiffuseHorizontalIrradiance = 52, AmbientTemp = 2,5999999999999996, WindSpeed = 49,86, SnowDepth = 0, Weight = 0, Age = 4,2324939907455015, MeasuredPower = , HasMeasuredPower = False },LEG.PV.Data.Processor.DataRecords+PvRecord,"07.12.2025 09:45:00",0,"0,7297049507065746","0,9095760221444958","0,22429359727092738","70,85",0,52,"2,5999999999999996","49,86",0,0,"4,2324939907455015","",False</t>
  </si>
  <si>
    <t>PvRecord { Timestamp = 07.12.2025 10:00:00, Index = 0, DirectGeometryFactor = 0,7511999421588123, DiffuseGeometryFactor = 0,9095760221444958, CosSunElevation = 0,2470867096075964, GlobalHorizontalIrradiance = 70,85, SunshineDuration = 0, DiffuseHorizontalIrradiance = 52, AmbientTemp = 2,5999999999999996, WindSpeed = 49,86, SnowDepth = 0, Weight = 0, Age = 4,232522510633583, MeasuredPower = , HasMeasuredPower = False },LEG.PV.Data.Processor.DataRecords+PvRecord,"07.12.2025 10:00:00",0,"0,7511999421588123","0,9095760221444958","0,2470867096075964","70,85",0,52,"2,5999999999999996","49,86",0,0,"4,232522510633583","",False</t>
  </si>
  <si>
    <t>PvRecord { Timestamp = 07.12.2025 10:15:00, Index = 0, DirectGeometryFactor = 0,7691092351307807, DiffuseGeometryFactor = 0,9095760221444958, CosSunElevation = 0,26764154195251566, GlobalHorizontalIrradiance = 70,85, SunshineDuration = 0, DiffuseHorizontalIrradiance = 52, AmbientTemp = 2,5999999999999996, WindSpeed = 49,86, SnowDepth = 0, Weight = 0, Age = 4,232551030521664, MeasuredPower = , HasMeasuredPower = False },LEG.PV.Data.Processor.DataRecords+PvRecord,"07.12.2025 10:15:00",0,"0,7691092351307807","0,9095760221444958","0,26764154195251566","70,85",0,52,"2,5999999999999996","49,86",0,0,"4,232551030521664","",False</t>
  </si>
  <si>
    <t>PvRecord { Timestamp = 07.12.2025 10:30:00, Index = 0, DirectGeometryFactor = 0,7833503115602746, DiffuseGeometryFactor = 0,9095760221444958, CosSunElevation = 0,2858629838791982, GlobalHorizontalIrradiance = 68,41666666666667, SunshineDuration = 0, DiffuseHorizontalIrradiance = 79,5, AmbientTemp = 3,1, WindSpeed = 53,28, SnowDepth = 0, Weight = 0, Age = 4,232579550409746, MeasuredPower = , HasMeasuredPower = False },LEG.PV.Data.Processor.DataRecords+PvRecord,"07.12.2025 10:30:00",0,"0,7833503115602746","0,9095760221444958","0,2858629838791982","68,41666666666667",0,"79,5","3,1","53,28",0,0,"4,232579550409746","",False</t>
  </si>
  <si>
    <t>PvRecord { Timestamp = 07.12.2025 10:45:00, Index = 0, DirectGeometryFactor = 0,7938583455251682, DiffuseGeometryFactor = 0,9095760221444958, CosSunElevation = 0,3016683093030268, GlobalHorizontalIrradiance = 68,41666666666667, SunshineDuration = 0, DiffuseHorizontalIrradiance = 79,5, AmbientTemp = 3,1, WindSpeed = 53,28, SnowDepth = 0, Weight = 0, Age = 4,232608070297828, MeasuredPower = , HasMeasuredPower = False },LEG.PV.Data.Processor.DataRecords+PvRecord,"07.12.2025 10:45:00",0,"0,7938583455251682","0,9095760221444958","0,3016683093030268","68,41666666666667",0,"79,5","3,1","53,28",0,0,"4,232608070297828","",False</t>
  </si>
  <si>
    <t>PvRecord { Timestamp = 07.12.2025 11:00:00, Index = 0, DirectGeometryFactor = 0,800585738582998, DiffuseGeometryFactor = 0,9095760221444958, CosSunElevation = 0,31498663929115295, GlobalHorizontalIrradiance = 68,41666666666667, SunshineDuration = 0, DiffuseHorizontalIrradiance = 79,5, AmbientTemp = 3,1, WindSpeed = 53,28, SnowDepth = 0, Weight = 0, Age = 4,232636590185909, MeasuredPower = , HasMeasuredPower = False },LEG.PV.Data.Processor.DataRecords+PvRecord,"07.12.2025 11:00:00",0,"0,800585738582998","0,9095760221444958","0,31498663929115295","68,41666666666667",0,"79,5","3,1","53,28",0,0,"4,232636590185909","",False</t>
  </si>
  <si>
    <t>PvRecord { Timestamp = 07.12.2025 11:15:00, Index = 0, DirectGeometryFactor = 0,8035018976458538, DiffuseGeometryFactor = 0,9095760221444958, CosSunElevation = 0,3257587336865537, GlobalHorizontalIrradiance = 68,41666666666667, SunshineDuration = 0, DiffuseHorizontalIrradiance = 79,5, AmbientTemp = 3,1, WindSpeed = 53,28, SnowDepth = 0, Weight = 0, Age = 4,232665110073991, MeasuredPower = , HasMeasuredPower = False },LEG.PV.Data.Processor.DataRecords+PvRecord,"07.12.2025 11:15:00",0,"0,8035018976458538","0,9095760221444958","0,3257587336865537","68,41666666666667",0,"79,5","3,1","53,28",0,0,"4,232665110073991","",False</t>
  </si>
  <si>
    <t>PvRecord { Timestamp = 07.12.2025 11:30:00, Index = 0, DirectGeometryFactor = 0,8025931121543423, DiffuseGeometryFactor = 0,9095760221444958, CosSunElevation = 0,3339369395695838, GlobalHorizontalIrradiance = 73,48333333333333, SunshineDuration = 0, DiffuseHorizontalIrradiance = 94,5, AmbientTemp = 3,45, WindSpeed = 56,16, SnowDepth = 0, Weight = 0, Age = 4,232693629962072, MeasuredPower = , HasMeasuredPower = False },LEG.PV.Data.Processor.DataRecords+PvRecord,"07.12.2025 11:30:00",0,"0,8025931121543423","0,9095760221444958","0,3339369395695838","73,48333333333333",0,"94,5","3,45","56,16",0,0,"4,232693629962072","",False</t>
  </si>
  <si>
    <t>PvRecord { Timestamp = 07.12.2025 11:45:00, Index = 0, DirectGeometryFactor = 0,7978624580309079, DiffuseGeometryFactor = 0,9095760221444958, CosSunElevation = 0,3394852092256965, GlobalHorizontalIrradiance = 73,48333333333333, SunshineDuration = 0, DiffuseHorizontalIrradiance = 94,5, AmbientTemp = 3,45, WindSpeed = 56,16, SnowDepth = 0, Weight = 0, Age = 4,2327221498501535, MeasuredPower = , HasMeasuredPower = False },LEG.PV.Data.Processor.DataRecords+PvRecord,"07.12.2025 11:45:00",0,"0,7978624580309079","0,9095760221444958","0,3394852092256965","73,48333333333333",0,"94,5","3,45","56,16",0,0,"4,2327221498501535","",False</t>
  </si>
  <si>
    <t>PvRecord { Timestamp = 07.12.2025 12:00:00, Index = 0, DirectGeometryFactor = 0,789329690208707, DiffuseGeometryFactor = 0,9095760221444958, CosSunElevation = 0,34237914109955264, GlobalHorizontalIrradiance = 73,48333333333333, SunshineDuration = 0, DiffuseHorizontalIrradiance = 94,5, AmbientTemp = 3,45, WindSpeed = 56,16, SnowDepth = 0, Weight = 0, Age = 4,232750669738236, MeasuredPower = , HasMeasuredPower = False },LEG.PV.Data.Processor.DataRecords+PvRecord,"07.12.2025 12:00:00",0,"0,789329690208707","0,9095760221444958","0,34237914109955264","73,48333333333333",0,"94,5","3,45","56,16",0,0,"4,232750669738236","",False</t>
  </si>
  <si>
    <t>PvRecord { Timestamp = 07.12.2025 12:15:00, Index = 0, DirectGeometryFactor = 0,7770311034248436, DiffuseGeometryFactor = 0,9095760221444958, CosSunElevation = 0,342606018637014, GlobalHorizontalIrradiance = 73,48333333333333, SunshineDuration = 0, DiffuseHorizontalIrradiance = 94,5, AmbientTemp = 3,45, WindSpeed = 56,16, SnowDepth = 0, Weight = 0, Age = 4,232779189626317, MeasuredPower = , HasMeasuredPower = False },LEG.PV.Data.Processor.DataRecords+PvRecord,"07.12.2025 12:15:00",0,"0,7770311034248436","0,9095760221444958","0,342606018637014","73,48333333333333",0,"94,5","3,45","56,16",0,0,"4,232779189626317","",False</t>
  </si>
  <si>
    <t>PvRecord { Timestamp = 07.12.2025 12:30:00, Index = 0, DirectGeometryFactor = 0,7610193507448244, DiffuseGeometryFactor = 0,9095760221444958, CosSunElevation = 0,34016483360798994, GlobalHorizontalIrradiance = 91,48333333333333, SunshineDuration = 0, DiffuseHorizontalIrradiance = 98, AmbientTemp = 3,55, WindSpeed = 56,519999999999996, SnowDepth = 0, Weight = 0, Age = 4,2328077095143986, MeasuredPower = , HasMeasuredPower = False },LEG.PV.Data.Processor.DataRecords+PvRecord,"07.12.2025 12:30:00",0,"0,7610193507448244","0,9095760221444958","0,34016483360798994","91,48333333333333",0,98,"3,55","56,519999999999996",0,0,"4,2328077095143986","",False</t>
  </si>
  <si>
    <t>PvRecord { Timestamp = 07.12.2025 12:45:00, Index = 0, DirectGeometryFactor = 0,7413632157733253, DiffuseGeometryFactor = 0,9095760221444958, CosSunElevation = 0,33506628788039716, GlobalHorizontalIrradiance = 91,48333333333333, SunshineDuration = 0, DiffuseHorizontalIrradiance = 98, AmbientTemp = 3,55, WindSpeed = 56,519999999999996, SnowDepth = 0, Weight = 0, Age = 4,23283622940248, MeasuredPower = , HasMeasuredPower = False },LEG.PV.Data.Processor.DataRecords+PvRecord,"07.12.2025 12:45:00",0,"0,7413632157733253","0,9095760221444958","0,33506628788039716","91,48333333333333",0,98,"3,55","56,519999999999996",0,0,"4,23283622940248","",False</t>
  </si>
  <si>
    <t>PvRecord { Timestamp = 07.12.2025 13:00:00, Index = 0, DirectGeometryFactor = 0,7181473391266591, DiffuseGeometryFactor = 0,9095760221444958, CosSunElevation = 0,327332773263809, GlobalHorizontalIrradiance = 91,48333333333333, SunshineDuration = 0, DiffuseHorizontalIrradiance = 98, AmbientTemp = 3,55, WindSpeed = 56,519999999999996, SnowDepth = 0, Weight = 0, Age = 4,232864749290561, MeasuredPower = , HasMeasuredPower = False },LEG.PV.Data.Processor.DataRecords+PvRecord,"07.12.2025 13:00:00",0,"0,7181473391266591","0,9095760221444958","0,327332773263809","91,48333333333333",0,98,"3,55","56,519999999999996",0,0,"4,232864749290561","",False</t>
  </si>
  <si>
    <t>PvRecord { Timestamp = 07.12.2025 13:15:00, Index = 0, DirectGeometryFactor = 0,691471904152848, DiffuseGeometryFactor = 0,9095760221444958, CosSunElevation = 0,31699833432706653, GlobalHorizontalIrradiance = 91,48333333333333, SunshineDuration = 0, DiffuseHorizontalIrradiance = 98, AmbientTemp = 3,55, WindSpeed = 56,519999999999996, SnowDepth = 0, Weight = 0, Age = 4,232893269178644, MeasuredPower = , HasMeasuredPower = False },LEG.PV.Data.Processor.DataRecords+PvRecord,"07.12.2025 13:15:00",0,"0,691471904152848","0,9095760221444958","0,31699833432706653","91,48333333333333",0,98,"3,55","56,519999999999996",0,0,"4,232893269178644","",False</t>
  </si>
  <si>
    <t>PvRecord { Timestamp = 07.12.2025 13:30:00, Index = 0, DirectGeometryFactor = 0,6614522931462816, DiffuseGeometryFactor = 0,9095760221444958, CosSunElevation = 0,30410862616620177, GlobalHorizontalIrradiance = 129,1, SunshineDuration = 0, DiffuseHorizontalIrradiance = 88, AmbientTemp = 3,4, WindSpeed = 53,64, SnowDepth = 0, Weight = 0, Age = 4,232921789066725, MeasuredPower = , HasMeasuredPower = False },LEG.PV.Data.Processor.DataRecords+PvRecord,"07.12.2025 13:30:00",0,"0,6614522931462816","0,9095760221444958","0,30410862616620177","129,1",0,88,"3,4","53,64",0,0,"4,232921789066725","",False</t>
  </si>
  <si>
    <t>PvRecord { Timestamp = 07.12.2025 13:45:00, Index = 0, DirectGeometryFactor = 0,6282187340045454, DiffuseGeometryFactor = 0,9095760221444958, CosSunElevation = 0,2887208898599059, GlobalHorizontalIrradiance = 129,1, SunshineDuration = 0, DiffuseHorizontalIrradiance = 88, AmbientTemp = 3,4, WindSpeed = 53,64, SnowDepth = 0, Weight = 0, Age = 4,232950308954806, MeasuredPower = , HasMeasuredPower = False },LEG.PV.Data.Processor.DataRecords+PvRecord,"07.12.2025 13:45:00",0,"0,6282187340045454","0,9095760221444958","0,2887208898599059","129,1",0,88,"3,4","53,64",0,0,"4,232950308954806","",False</t>
  </si>
  <si>
    <t>PvRecord { Timestamp = 07.12.2025 14:00:00, Index = 0, DirectGeometryFactor = 0,5919159729049815, DiffuseGeometryFactor = 0,9095760221444958, CosSunElevation = 0,2709039872888405, GlobalHorizontalIrradiance = 129,1, SunshineDuration = 0, DiffuseHorizontalIrradiance = 88, AmbientTemp = 3,4, WindSpeed = 53,64, SnowDepth = 0, Weight = 0, Age = 4,232978828842888, MeasuredPower = , HasMeasuredPower = False },LEG.PV.Data.Processor.DataRecords+PvRecord,"07.12.2025 14:00:00",0,"0,5919159729049815","0,9095760221444958","0,2709039872888405","129,1",0,88,"3,4","53,64",0,0,"4,232978828842888","",False</t>
  </si>
  <si>
    <t>PvRecord { Timestamp = 07.12.2025 14:15:00, Index = 0, DirectGeometryFactor = 0,5527030393209142, DiffuseGeometryFactor = 0,9095760221444958, CosSunElevation = 0,25073857374648023, GlobalHorizontalIrradiance = 129,1, SunshineDuration = 0, DiffuseHorizontalIrradiance = 88, AmbientTemp = 3,4, WindSpeed = 53,64, SnowDepth = 0, Weight = 0, Age = 4,233007348730969, MeasuredPower = , HasMeasuredPower = False },LEG.PV.Data.Processor.DataRecords+PvRecord,"07.12.2025 14:15:00",0,"0,5527030393209142","0,9095760221444958","0,25073857374648023","129,1",0,88,"3,4","53,64",0,0,"4,233007348730969","",False</t>
  </si>
  <si>
    <t>PvRecord { Timestamp = 07.12.2025 14:30:00, Index = 0, DirectGeometryFactor = 0,5107532306886711, DiffuseGeometryFactor = 0,9095760221444958, CosSunElevation = 0,22831756116227592, GlobalHorizontalIrradiance = 184,08333333333331, SunshineDuration = 0, DiffuseHorizontalIrradiance = 68, AmbientTemp = 3, WindSpeed = 48,42, SnowDepth = 0, Weight = 0, Age = 4,2330358686190515, MeasuredPower = , HasMeasuredPower = False },LEG.PV.Data.Processor.DataRecords+PvRecord,"07.12.2025 14:30:00",0,"0,5107532306886711","0,9095760221444958","0,22831756116227592","184,08333333333331",0,68,3,"48,42",0,0,"4,2330358686190515","",False</t>
  </si>
  <si>
    <t>PvRecord { Timestamp = 07.12.2025 14:45:00, Index = 0, DirectGeometryFactor = 0,4662545784642738, DiffuseGeometryFactor = 0,9095760221444958, CosSunElevation = 0,2037471879730777, GlobalHorizontalIrradiance = 184,08333333333331, SunshineDuration = 0, DiffuseHorizontalIrradiance = 68, AmbientTemp = 3, WindSpeed = 48,42, SnowDepth = 0, Weight = 0, Age = 4,233064388507133, MeasuredPower = , HasMeasuredPower = False },LEG.PV.Data.Processor.DataRecords+PvRecord,"07.12.2025 14:45:00",0,"0,4662545784642738","0,9095760221444958","0,2037471879730777","184,08333333333331",0,68,3,"48,42",0,0,"4,233064388507133","",False</t>
  </si>
  <si>
    <t>PvRecord { Timestamp = 07.12.2025 15:00:00, Index = 0, DirectGeometryFactor = 0,419411375981273, DiffuseGeometryFactor = 0,9095760221444958, CosSunElevation = 0,177149397989428, GlobalHorizontalIrradiance = 184,08333333333331, SunshineDuration = 0, DiffuseHorizontalIrradiance = 68, AmbientTemp = 3, WindSpeed = 48,42, SnowDepth = 0, Weight = 0, Age = 4,233092908395214, MeasuredPower = , HasMeasuredPower = False },LEG.PV.Data.Processor.DataRecords+PvRecord,"07.12.2025 15:00:00",0,"0,419411375981273","0,9095760221444958","0,177149397989428","184,08333333333331",0,68,3,"48,42",0,0,"4,233092908395214","",False</t>
  </si>
  <si>
    <t>PvRecord { Timestamp = 07.12.2025 15:15:00, Index = 0, DirectGeometryFactor = 0,3704481689798671, DiffuseGeometryFactor = 0,9095760221444958, CosSunElevation = 0,14866722706856628, GlobalHorizontalIrradiance = 184,08333333333331, SunshineDuration = 0, DiffuseHorizontalIrradiance = 68, AmbientTemp = 3, WindSpeed = 48,42, SnowDepth = 0, Weight = 0, Age = 4,233121428283296, MeasuredPower = , HasMeasuredPower = False },LEG.PV.Data.Processor.DataRecords+PvRecord,"07.12.2025 15:15:00",0,"0,3704481689798671","0,9095760221444958","0,14866722706856628","184,08333333333331",0,68,3,"48,42",0,0,"4,233121428283296","",False</t>
  </si>
  <si>
    <t>PvRecord { Timestamp = 07.12.2025 15:30:00, Index = 0, DirectGeometryFactor = 0,3196199706801142, DiffuseGeometryFactor = 0,9095760221444958, CosSunElevation = 0,11847776196994318, GlobalHorizontalIrradiance = 241,64999999999998, SunshineDuration = 0, DiffuseHorizontalIrradiance = 37,5, AmbientTemp = 2,5, WindSpeed = 42,3, SnowDepth = 0, Weight = 0, Age = 4,233149948171378, MeasuredPower = , HasMeasuredPower = False },LEG.PV.Data.Processor.DataRecords+PvRecord,"07.12.2025 15:30:00",0,"0,3196199706801142","0,9095760221444958","0,11847776196994318","241,64999999999998",0,"37,5","2,5","42,3",0,0,"4,233149948171378","",False</t>
  </si>
  <si>
    <t>PvRecord { Timestamp = 07.12.2025 15:45:00, Index = 0, DirectGeometryFactor = 0, DiffuseGeometryFactor = 0,9095760221444958, CosSunElevation = 0,08682659487406626, GlobalHorizontalIrradiance = 241,64999999999998, SunshineDuration = 0, DiffuseHorizontalIrradiance = 37,5, AmbientTemp = 2,5, WindSpeed = 42,3, SnowDepth = 0, Weight = 0, Age = 4,233178468059459, MeasuredPower = , HasMeasuredPower = False },LEG.PV.Data.Processor.DataRecords+PvRecord,"07.12.2025 15:45:00",0,0,"0,9095760221444958","0,08682659487406626","241,64999999999998",0,"37,5","2,5","42,3",0,0,"4,233178468059459","",False</t>
  </si>
  <si>
    <t>PvRecord { Timestamp = 07.12.2025 16:00:00, Index = 0, DirectGeometryFactor = 0, DiffuseGeometryFactor = 0,9095760221444958, CosSunElevation = 0,054132753001568876, GlobalHorizontalIrradiance = 241,64999999999998, SunshineDuration = 0, DiffuseHorizontalIrradiance = 37,5, AmbientTemp = 2,5, WindSpeed = 42,3, SnowDepth = 0, Weight = 0, Age = 4,233206987947541, MeasuredPower = , HasMeasuredPower = False },LEG.PV.Data.Processor.DataRecords+PvRecord,"07.12.2025 16:00:00",0,0,"0,9095760221444958","0,054132753001568876","241,64999999999998",0,"37,5","2,5","42,3",0,0,"4,233206987947541","",False</t>
  </si>
  <si>
    <t>PvRecord { Timestamp = 07.12.2025 16:15:00, Index = 0, DirectGeometryFactor = 0, DiffuseGeometryFactor = 0,9095760221444958, CosSunElevation = 0,021345875512423743, GlobalHorizontalIrradiance = 241,64999999999998, SunshineDuration = 0, DiffuseHorizontalIrradiance = 37,5, AmbientTemp = 2,5, WindSpeed = 42,3, SnowDepth = 0, Weight = 0, Age = 4,233235507835622, MeasuredPower = , HasMeasuredPower = False },LEG.PV.Data.Processor.DataRecords+PvRecord,"07.12.2025 16:15:00",0,0,"0,9095760221444958","0,021345875512423743","241,64999999999998",0,"37,5","2,5","42,3",0,0,"4,233235507835622","",False</t>
  </si>
  <si>
    <t>PvRecord { Timestamp = 07.12.2025 16:30:00,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4,2332640277237035, MeasuredPower = , HasMeasuredPower = False },LEG.PV.Data.Processor.DataRecords+PvRecord,"07.12.2025 16:30:00",0,0,"0,9095760221444958",0,"122,46666666666667",0,"8,5","1,9500000000000002","36,18",0,0,"4,2332640277237035","",False</t>
  </si>
  <si>
    <t>PvRecord { Timestamp = 07.12.2025 16:45:00,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4,233292547611786, MeasuredPower = , HasMeasuredPower = False },LEG.PV.Data.Processor.DataRecords+PvRecord,"07.12.2025 16:45:00",0,0,"0,9095760221444958",0,"122,46666666666667",0,"8,5","1,9500000000000002","36,18",0,0,"4,233292547611786","",False</t>
  </si>
  <si>
    <t>PvRecord { Timestamp = 07.12.2025 17:00:00,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4,233321067499867, MeasuredPower = , HasMeasuredPower = False },LEG.PV.Data.Processor.DataRecords+PvRecord,"07.12.2025 17:00:00",0,0,"0,9095760221444958",0,"122,46666666666667",0,"8,5","1,9500000000000002","36,18",0,0,"4,233321067499867","",False</t>
  </si>
  <si>
    <t>PvRecord { Timestamp = 07.12.2025 17:15:00, Index = 0, DirectGeometryFactor = 0, DiffuseGeometryFactor = 0,9095760221444958, CosSunElevation = 0, GlobalHorizontalIrradiance = 122,46666666666667, SunshineDuration = 0, DiffuseHorizontalIrradiance = 8,5, AmbientTemp = 1,9500000000000002, WindSpeed = 36,18, SnowDepth = 0, Weight = 0, Age = 4,2333495873879485, MeasuredPower = , HasMeasuredPower = False },LEG.PV.Data.Processor.DataRecords+PvRecord,"07.12.2025 17:15:00",0,0,"0,9095760221444958",0,"122,46666666666667",0,"8,5","1,9500000000000002","36,18",0,0,"4,2333495873879485","",False</t>
  </si>
  <si>
    <t>PvRecord { Timestamp = 07.12.2025 17:30:00,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4,23337810727603, MeasuredPower = , HasMeasuredPower = False },LEG.PV.Data.Processor.DataRecords+PvRecord,"07.12.2025 17:30:00",0,0,"0,9095760221444958",0,0,0,0,"1,35","30,060000000000002",0,0,"4,23337810727603","",False</t>
  </si>
  <si>
    <t>PvRecord { Timestamp = 07.12.2025 17:45:00,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4,233406627164111, MeasuredPower = , HasMeasuredPower = False },LEG.PV.Data.Processor.DataRecords+PvRecord,"07.12.2025 17:45:00",0,0,"0,9095760221444958",0,0,0,0,"1,35","30,060000000000002",0,0,"4,233406627164111","",False</t>
  </si>
  <si>
    <t>PvRecord { Timestamp = 07.12.2025 18:00:00,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4,233435147052194, MeasuredPower = , HasMeasuredPower = False },LEG.PV.Data.Processor.DataRecords+PvRecord,"07.12.2025 18:00:00",0,0,"0,9095760221444958",0,0,0,0,"1,35","30,060000000000002",0,0,"4,233435147052194","",False</t>
  </si>
  <si>
    <t>PvRecord { Timestamp = 07.12.2025 18:15:00, Index = 0, DirectGeometryFactor = 0, DiffuseGeometryFactor = 0,9095760221444958, CosSunElevation = 0, GlobalHorizontalIrradiance = 0, SunshineDuration = 0, DiffuseHorizontalIrradiance = 0, AmbientTemp = 1,35, WindSpeed = 30,060000000000002, SnowDepth = 0, Weight = 0, Age = 4,233463666940275, MeasuredPower = , HasMeasuredPower = False },LEG.PV.Data.Processor.DataRecords+PvRecord,"07.12.2025 18:15:00",0,0,"0,9095760221444958",0,0,0,0,"1,35","30,060000000000002",0,0,"4,233463666940275","",False</t>
  </si>
  <si>
    <t>PvRecord { Timestamp = 07.12.2025 18:30:00,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4,233492186828356, MeasuredPower = , HasMeasuredPower = False },LEG.PV.Data.Processor.DataRecords+PvRecord,"07.12.2025 18:30:00",0,0,"0,9095760221444958",0,0,0,0,"0,8","25,740000000000002",0,0,"4,233492186828356","",False</t>
  </si>
  <si>
    <t>PvRecord { Timestamp = 07.12.2025 18:45:00,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4,233520706716438, MeasuredPower = , HasMeasuredPower = False },LEG.PV.Data.Processor.DataRecords+PvRecord,"07.12.2025 18:45:00",0,0,"0,9095760221444958",0,0,0,0,"0,8","25,740000000000002",0,0,"4,233520706716438","",False</t>
  </si>
  <si>
    <t>PvRecord { Timestamp = 07.12.2025 19:00:00,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4,233549226604519, MeasuredPower = , HasMeasuredPower = False },LEG.PV.Data.Processor.DataRecords+PvRecord,"07.12.2025 19:00:00",0,0,"0,9095760221444958",0,0,0,0,"0,8","25,740000000000002",0,0,"4,233549226604519","",False</t>
  </si>
  <si>
    <t>PvRecord { Timestamp = 07.12.2025 19:15:00, Index = 0, DirectGeometryFactor = 0, DiffuseGeometryFactor = 0,9095760221444958, CosSunElevation = 0, GlobalHorizontalIrradiance = 0, SunshineDuration = 0, DiffuseHorizontalIrradiance = 0, AmbientTemp = 0,8, WindSpeed = 25,740000000000002, SnowDepth = 0, Weight = 0, Age = 4,233577746492601, MeasuredPower = , HasMeasuredPower = False },LEG.PV.Data.Processor.DataRecords+PvRecord,"07.12.2025 19:15:00",0,0,"0,9095760221444958",0,0,0,0,"0,8","25,740000000000002",0,0,"4,233577746492601","",False</t>
  </si>
  <si>
    <t>PvRecord { Timestamp = 07.12.2025 19:30:00,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4,233606266380683, MeasuredPower = , HasMeasuredPower = False },LEG.PV.Data.Processor.DataRecords+PvRecord,"07.12.2025 19:30:00",0,0,"0,9095760221444958",0,0,0,0,"0,3","21,240000000000002",0,0,"4,233606266380683","",False</t>
  </si>
  <si>
    <t>PvRecord { Timestamp = 07.12.2025 19:45:00,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4,233634786268764, MeasuredPower = , HasMeasuredPower = False },LEG.PV.Data.Processor.DataRecords+PvRecord,"07.12.2025 19:45:00",0,0,"0,9095760221444958",0,0,0,0,"0,3","21,240000000000002",0,0,"4,233634786268764","",False</t>
  </si>
  <si>
    <t>PvRecord { Timestamp = 07.12.2025 20:00:00,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4,233663306156846, MeasuredPower = , HasMeasuredPower = False },LEG.PV.Data.Processor.DataRecords+PvRecord,"07.12.2025 20:00:00",0,0,"0,9095760221444958",0,0,0,0,"0,3","21,240000000000002",0,0,"4,233663306156846","",False</t>
  </si>
  <si>
    <t>PvRecord { Timestamp = 07.12.2025 20:15:00, Index = 0, DirectGeometryFactor = 0, DiffuseGeometryFactor = 0,9095760221444958, CosSunElevation = 0, GlobalHorizontalIrradiance = 0, SunshineDuration = 0, DiffuseHorizontalIrradiance = 0, AmbientTemp = 0,3, WindSpeed = 21,240000000000002, SnowDepth = 0, Weight = 0, Age = 4,233691826044927, MeasuredPower = , HasMeasuredPower = False },LEG.PV.Data.Processor.DataRecords+PvRecord,"07.12.2025 20:15:00",0,0,"0,9095760221444958",0,0,0,0,"0,3","21,240000000000002",0,0,"4,233691826044927","",False</t>
  </si>
  <si>
    <t>PvRecord { Timestamp = 07.12.2025 20:30:00, Index = 0, DirectGeometryFactor = 0, DiffuseGeometryFactor = 0,9095760221444958, CosSunElevation = 0, GlobalHorizontalIrradiance = 0, SunshineDuration = 0, DiffuseHorizontalIrradiance = 0, AmbientTemp = -0,3, WindSpeed = 16,74, SnowDepth = 0, Weight = 0, Age = 4,233720345933009, MeasuredPower = , HasMeasuredPower = False },LEG.PV.Data.Processor.DataRecords+PvRecord,"07.12.2025 20:30:00",0,0,"0,9095760221444958",0,0,0,0,"-0,3","16,74",0,0,"4,233720345933009","",False</t>
  </si>
  <si>
    <t>PvRecord { Timestamp = 07.12.2025 20:45:00, Index = 0, DirectGeometryFactor = 0, DiffuseGeometryFactor = 0,9095760221444958, CosSunElevation = 0, GlobalHorizontalIrradiance = 0, SunshineDuration = 0, DiffuseHorizontalIrradiance = 0, AmbientTemp = -0,3, WindSpeed = 16,74, SnowDepth = 0, Weight = 0, Age = 4,233748865821091, MeasuredPower = , HasMeasuredPower = False },LEG.PV.Data.Processor.DataRecords+PvRecord,"07.12.2025 20:45:00",0,0,"0,9095760221444958",0,0,0,0,"-0,3","16,74",0,0,"4,233748865821091","",False</t>
  </si>
  <si>
    <t>PvRecord { Timestamp = 07.12.2025 21:00:00, Index = 0, DirectGeometryFactor = 0, DiffuseGeometryFactor = 0,9095760221444958, CosSunElevation = 0, GlobalHorizontalIrradiance = 0, SunshineDuration = 0, DiffuseHorizontalIrradiance = 0, AmbientTemp = -0,3, WindSpeed = 16,74, SnowDepth = 0, Weight = 0, Age = 4,233777385709172, MeasuredPower = , HasMeasuredPower = False },LEG.PV.Data.Processor.DataRecords+PvRecord,"07.12.2025 21:00:00",0,0,"0,9095760221444958",0,0,0,0,"-0,3","16,74",0,0,"4,233777385709172","",False</t>
  </si>
  <si>
    <t>PvRecord { Timestamp = 07.12.2025 21:15:00, Index = 0, DirectGeometryFactor = 0, DiffuseGeometryFactor = 0,9095760221444958, CosSunElevation = 0, GlobalHorizontalIrradiance = 0, SunshineDuration = 0, DiffuseHorizontalIrradiance = 0, AmbientTemp = -0,3, WindSpeed = 16,74, SnowDepth = 0, Weight = 0, Age = 4,2338059055972534, MeasuredPower = , HasMeasuredPower = False },LEG.PV.Data.Processor.DataRecords+PvRecord,"07.12.2025 21:15:00",0,0,"0,9095760221444958",0,0,0,0,"-0,3","16,74",0,0,"4,2338059055972534","",False</t>
  </si>
  <si>
    <t>PvRecord { Timestamp = 07.12.2025 21:30:00,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4,233834425485335, MeasuredPower = , HasMeasuredPower = False },LEG.PV.Data.Processor.DataRecords+PvRecord,"07.12.2025 21:30:00",0,0,"0,9095760221444958",0,0,0,0,"-0,8500000000000001","11,879999999999999",0,0,"4,233834425485335","",False</t>
  </si>
  <si>
    <t>PvRecord { Timestamp = 07.12.2025 21:45:00,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4,233862945373417, MeasuredPower = , HasMeasuredPower = False },LEG.PV.Data.Processor.DataRecords+PvRecord,"07.12.2025 21:45:00",0,0,"0,9095760221444958",0,0,0,0,"-0,8500000000000001","11,879999999999999",0,0,"4,233862945373417","",False</t>
  </si>
  <si>
    <t>PvRecord { Timestamp = 07.12.2025 22:00:00,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4,2338914652614985, MeasuredPower = , HasMeasuredPower = False },LEG.PV.Data.Processor.DataRecords+PvRecord,"07.12.2025 22:00:00",0,0,"0,9095760221444958",0,0,0,0,"-0,8500000000000001","11,879999999999999",0,0,"4,2338914652614985","",False</t>
  </si>
  <si>
    <t>PvRecord { Timestamp = 07.12.2025 22:15:00, Index = 0, DirectGeometryFactor = 0, DiffuseGeometryFactor = 0,9095760221444958, CosSunElevation = 0, GlobalHorizontalIrradiance = 0, SunshineDuration = 0, DiffuseHorizontalIrradiance = 0, AmbientTemp = -0,8500000000000001, WindSpeed = 11,879999999999999, SnowDepth = 0, Weight = 0, Age = 4,23391998514958, MeasuredPower = , HasMeasuredPower = False },LEG.PV.Data.Processor.DataRecords+PvRecord,"07.12.2025 22:15:00",0,0,"0,9095760221444958",0,0,0,0,"-0,8500000000000001","11,879999999999999",0,0,"4,23391998514958","",False</t>
  </si>
  <si>
    <t>PvRecord { Timestamp = 07.12.2025 22:30:00, Index = 0, DirectGeometryFactor = 0, DiffuseGeometryFactor = 0,9095760221444958, CosSunElevation = 0, GlobalHorizontalIrradiance = 0, SunshineDuration = 0, DiffuseHorizontalIrradiance = 0, AmbientTemp = -1,4, WindSpeed = 7,74, SnowDepth = 0, Weight = 0, Age = 4,233948505037661, MeasuredPower = , HasMeasuredPower = False },LEG.PV.Data.Processor.DataRecords+PvRecord,"07.12.2025 22:30:00",0,0,"0,9095760221444958",0,0,0,0,"-1,4","7,74",0,0,"4,233948505037661","",False</t>
  </si>
  <si>
    <t>PvRecord { Timestamp = 07.12.2025 22:45:00, Index = 0, DirectGeometryFactor = 0, DiffuseGeometryFactor = 0,9095760221444958, CosSunElevation = 0, GlobalHorizontalIrradiance = 0, SunshineDuration = 0, DiffuseHorizontalIrradiance = 0, AmbientTemp = -1,4, WindSpeed = 7,74, SnowDepth = 0, Weight = 0, Age = 4,233977024925743, MeasuredPower = , HasMeasuredPower = False },LEG.PV.Data.Processor.DataRecords+PvRecord,"07.12.2025 22:45:00",0,0,"0,9095760221444958",0,0,0,0,"-1,4","7,74",0,0,"4,233977024925743","",False</t>
  </si>
  <si>
    <t>PvRecord { Timestamp = 07.12.2025 23:00:00, Index = 0, DirectGeometryFactor = 0, DiffuseGeometryFactor = 0,9095760221444958, CosSunElevation = 0, GlobalHorizontalIrradiance = 0, SunshineDuration = 0, DiffuseHorizontalIrradiance = 0, AmbientTemp = -1,4, WindSpeed = 7,74, SnowDepth = 0, Weight = 0, Age = 4,234005544813825, MeasuredPower = , HasMeasuredPower = False },LEG.PV.Data.Processor.DataRecords+PvRecord,"07.12.2025 23:00:00",0,0,"0,9095760221444958",0,0,0,0,"-1,4","7,74",0,0,"4,234005544813825","",False</t>
  </si>
  <si>
    <t>PvRecord { Timestamp = 07.12.2025 23:15:00, Index = 0, DirectGeometryFactor = 0, DiffuseGeometryFactor = 0,9095760221444958, CosSunElevation = 0, GlobalHorizontalIrradiance = 0, SunshineDuration = 0, DiffuseHorizontalIrradiance = 0, AmbientTemp = -1,4, WindSpeed = 7,74, SnowDepth = 0, Weight = 0, Age = 4,234034064701906, MeasuredPower = , HasMeasuredPower = False },LEG.PV.Data.Processor.DataRecords+PvRecord,"07.12.2025 23:15:00",0,0,"0,9095760221444958",0,0,0,0,"-1,4","7,74",0,0,"4,234034064701906","",False</t>
  </si>
  <si>
    <t>PvRecord { Timestamp = 07.12.2025 23:30:00,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4,234062584589988, MeasuredPower = , HasMeasuredPower = False },LEG.PV.Data.Processor.DataRecords+PvRecord,"07.12.2025 23:30:00",0,0,"0,9095760221444958",0,0,0,0,"-1,85","5,220000000000001",0,0,"4,234062584589988","",False</t>
  </si>
  <si>
    <t>PvRecord { Timestamp = 07.12.2025 23:45:00,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4,234091104478069, MeasuredPower = , HasMeasuredPower = False },LEG.PV.Data.Processor.DataRecords+PvRecord,"07.12.2025 23:45:00",0,0,"0,9095760221444958",0,0,0,0,"-1,85","5,220000000000001",0,0,"4,234091104478069","",False</t>
  </si>
  <si>
    <t>PvRecord { Timestamp = 08.12.2025 00:00:00,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4,2341196243661505, MeasuredPower = , HasMeasuredPower = False },LEG.PV.Data.Processor.DataRecords+PvRecord,"08.12.2025 00:00:00",0,0,"0,9095760221444958",0,0,0,0,"-1,85","5,220000000000001",0,0,"4,2341196243661505","",False</t>
  </si>
  <si>
    <t>PvRecord { Timestamp = 08.12.2025 00:15:00, Index = 0, DirectGeometryFactor = 0, DiffuseGeometryFactor = 0,9095760221444958, CosSunElevation = 0, GlobalHorizontalIrradiance = 0, SunshineDuration = 0, DiffuseHorizontalIrradiance = 0, AmbientTemp = -1,85, WindSpeed = 5,220000000000001, SnowDepth = 0, Weight = 0, Age = 4,234148144254233, MeasuredPower = , HasMeasuredPower = False },LEG.PV.Data.Processor.DataRecords+PvRecord,"08.12.2025 00:15:00",0,0,"0,9095760221444958",0,0,0,0,"-1,85","5,220000000000001",0,0,"4,234148144254233","",False</t>
  </si>
  <si>
    <t>PvRecord { Timestamp = 08.12.2025 00:30:00, Index = 0, DirectGeometryFactor = 0, DiffuseGeometryFactor = 0,9095760221444958, CosSunElevation = 0, GlobalHorizontalIrradiance = 0, SunshineDuration = 0, DiffuseHorizontalIrradiance = 0, AmbientTemp = -2,15, WindSpeed = 5,04, SnowDepth = 0, Weight = 0, Age = 4,234176664142314, MeasuredPower = , HasMeasuredPower = False },LEG.PV.Data.Processor.DataRecords+PvRecord,"08.12.2025 00:30:00",0,0,"0,9095760221444958",0,0,0,0,"-2,15","5,04",0,0,"4,234176664142314","",False</t>
  </si>
  <si>
    <t>PvRecord { Timestamp = 08.12.2025 00:45:00, Index = 0, DirectGeometryFactor = 0, DiffuseGeometryFactor = 0,9095760221444958, CosSunElevation = 0, GlobalHorizontalIrradiance = 0, SunshineDuration = 0, DiffuseHorizontalIrradiance = 0, AmbientTemp = -2,15, WindSpeed = 5,04, SnowDepth = 0, Weight = 0, Age = 4,234205184030396, MeasuredPower = , HasMeasuredPower = False },LEG.PV.Data.Processor.DataRecords+PvRecord,"08.12.2025 00:45:00",0,0,"0,9095760221444958",0,0,0,0,"-2,15","5,04",0,0,"4,234205184030396","",False</t>
  </si>
  <si>
    <t>PvRecord { Timestamp = 08.12.2025 01:00:00, Index = 0, DirectGeometryFactor = 0, DiffuseGeometryFactor = 0,9095760221444958, CosSunElevation = 0, GlobalHorizontalIrradiance = 0, SunshineDuration = 0, DiffuseHorizontalIrradiance = 0, AmbientTemp = -2,15, WindSpeed = 5,04, SnowDepth = 0, Weight = 0, Age = 4,234233703918477, MeasuredPower = , HasMeasuredPower = False },LEG.PV.Data.Processor.DataRecords+PvRecord,"08.12.2025 01:00:00",0,0,"0,9095760221444958",0,0,0,0,"-2,15","5,04",0,0,"4,234233703918477","",False</t>
  </si>
  <si>
    <t>PvRecord { Timestamp = 08.12.2025 01:15:00, Index = 0, DirectGeometryFactor = 0, DiffuseGeometryFactor = 0,9095760221444958, CosSunElevation = 0, GlobalHorizontalIrradiance = 0, SunshineDuration = 0, DiffuseHorizontalIrradiance = 0, AmbientTemp = -2,15, WindSpeed = 5,04, SnowDepth = 0, Weight = 0, Age = 4,234262223806558, MeasuredPower = , HasMeasuredPower = False },LEG.PV.Data.Processor.DataRecords+PvRecord,"08.12.2025 01:15:00",0,0,"0,9095760221444958",0,0,0,0,"-2,15","5,04",0,0,"4,234262223806558","",False</t>
  </si>
  <si>
    <t>PvRecord { Timestamp = 08.12.2025 01:30:00,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4,234290743694641, MeasuredPower = , HasMeasuredPower = False },LEG.PV.Data.Processor.DataRecords+PvRecord,"08.12.2025 01:30:00",0,0,"0,9095760221444958",0,0,0,0,"-2,3","6,660000000000001",0,0,"4,234290743694641","",False</t>
  </si>
  <si>
    <t>PvRecord { Timestamp = 08.12.2025 01:45:00,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4,234319263582722, MeasuredPower = , HasMeasuredPower = False },LEG.PV.Data.Processor.DataRecords+PvRecord,"08.12.2025 01:45:00",0,0,"0,9095760221444958",0,0,0,0,"-2,3","6,660000000000001",0,0,"4,234319263582722","",False</t>
  </si>
  <si>
    <t>PvRecord { Timestamp = 08.12.2025 02:00:00,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4,234347783470803, MeasuredPower = , HasMeasuredPower = False },LEG.PV.Data.Processor.DataRecords+PvRecord,"08.12.2025 02:00:00",0,0,"0,9095760221444958",0,0,0,0,"-2,3","6,660000000000001",0,0,"4,234347783470803","",False</t>
  </si>
  <si>
    <t>PvRecord { Timestamp = 08.12.2025 02:15:00, Index = 0, DirectGeometryFactor = 0, DiffuseGeometryFactor = 0,9095760221444958, CosSunElevation = 0, GlobalHorizontalIrradiance = 0, SunshineDuration = 0, DiffuseHorizontalIrradiance = 0, AmbientTemp = -2,3, WindSpeed = 6,660000000000001, SnowDepth = 0, Weight = 0, Age = 4,234376303358885, MeasuredPower = , HasMeasuredPower = False },LEG.PV.Data.Processor.DataRecords+PvRecord,"08.12.2025 02:15:00",0,0,"0,9095760221444958",0,0,0,0,"-2,3","6,660000000000001",0,0,"4,234376303358885","",False</t>
  </si>
  <si>
    <t>PvRecord { Timestamp = 08.12.2025 02:30:00, Index = 0, DirectGeometryFactor = 0, DiffuseGeometryFactor = 0,9095760221444958, CosSunElevation = 0, GlobalHorizontalIrradiance = 0, SunshineDuration = 0, DiffuseHorizontalIrradiance = 0, AmbientTemp = -2,3, WindSpeed = 9, SnowDepth = 0, Weight = 0, Age = 4,234404823246966, MeasuredPower = , HasMeasuredPower = False },LEG.PV.Data.Processor.DataRecords+PvRecord,"08.12.2025 02:30:00",0,0,"0,9095760221444958",0,0,0,0,"-2,3",9,0,0,"4,234404823246966","",False</t>
  </si>
  <si>
    <t>PvRecord { Timestamp = 08.12.2025 02:45:00, Index = 0, DirectGeometryFactor = 0, DiffuseGeometryFactor = 0,9095760221444958, CosSunElevation = 0, GlobalHorizontalIrradiance = 0, SunshineDuration = 0, DiffuseHorizontalIrradiance = 0, AmbientTemp = -2,3, WindSpeed = 9, SnowDepth = 0, Weight = 0, Age = 4,2344333431350485, MeasuredPower = , HasMeasuredPower = False },LEG.PV.Data.Processor.DataRecords+PvRecord,"08.12.2025 02:45:00",0,0,"0,9095760221444958",0,0,0,0,"-2,3",9,0,0,"4,2344333431350485","",False</t>
  </si>
  <si>
    <t>PvRecord { Timestamp = 08.12.2025 03:00:00, Index = 0, DirectGeometryFactor = 0, DiffuseGeometryFactor = 0,9095760221444958, CosSunElevation = 0, GlobalHorizontalIrradiance = 0, SunshineDuration = 0, DiffuseHorizontalIrradiance = 0, AmbientTemp = -2,3, WindSpeed = 9, SnowDepth = 0, Weight = 0, Age = 4,23446186302313, MeasuredPower = , HasMeasuredPower = False },LEG.PV.Data.Processor.DataRecords+PvRecord,"08.12.2025 03:00:00",0,0,"0,9095760221444958",0,0,0,0,"-2,3",9,0,0,"4,23446186302313","",False</t>
  </si>
  <si>
    <t>PvRecord { Timestamp = 08.12.2025 03:15:00, Index = 0, DirectGeometryFactor = 0, DiffuseGeometryFactor = 0,9095760221444958, CosSunElevation = 0, GlobalHorizontalIrradiance = 0, SunshineDuration = 0, DiffuseHorizontalIrradiance = 0, AmbientTemp = -2,3, WindSpeed = 9, SnowDepth = 0, Weight = 0, Age = 4,234490382911211, MeasuredPower = , HasMeasuredPower = False },LEG.PV.Data.Processor.DataRecords+PvRecord,"08.12.2025 03:15:00",0,0,"0,9095760221444958",0,0,0,0,"-2,3",9,0,0,"4,234490382911211","",False</t>
  </si>
  <si>
    <t>PvRecord { Timestamp = 08.12.2025 03:30:00,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4,234518902799293, MeasuredPower = , HasMeasuredPower = False },LEG.PV.Data.Processor.DataRecords+PvRecord,"08.12.2025 03:30:00",0,0,"0,9095760221444958",0,0,0,0,"-2,25","10,260000000000002",0,0,"4,234518902799293","",False</t>
  </si>
  <si>
    <t>PvRecord { Timestamp = 08.12.2025 03:45:00,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4,234547422687374, MeasuredPower = , HasMeasuredPower = False },LEG.PV.Data.Processor.DataRecords+PvRecord,"08.12.2025 03:45:00",0,0,"0,9095760221444958",0,0,0,0,"-2,25","10,260000000000002",0,0,"4,234547422687374","",False</t>
  </si>
  <si>
    <t>PvRecord { Timestamp = 08.12.2025 04:00:00,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4,234575942575456, MeasuredPower = , HasMeasuredPower = False },LEG.PV.Data.Processor.DataRecords+PvRecord,"08.12.2025 04:00:00",0,0,"0,9095760221444958",0,0,0,0,"-2,25","10,260000000000002",0,0,"4,234575942575456","",False</t>
  </si>
  <si>
    <t>PvRecord { Timestamp = 08.12.2025 04:15:00, Index = 0, DirectGeometryFactor = 0, DiffuseGeometryFactor = 0,9095760221444958, CosSunElevation = 0, GlobalHorizontalIrradiance = 0, SunshineDuration = 0, DiffuseHorizontalIrradiance = 0, AmbientTemp = -2,25, WindSpeed = 10,260000000000002, SnowDepth = 0, Weight = 0, Age = 4,234604462463538, MeasuredPower = , HasMeasuredPower = False },LEG.PV.Data.Processor.DataRecords+PvRecord,"08.12.2025 04:15:00",0,0,"0,9095760221444958",0,0,0,0,"-2,25","10,260000000000002",0,0,"4,234604462463538","",False</t>
  </si>
  <si>
    <t>PvRecord { Timestamp = 08.12.2025 04:30:00,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4,234632982351619, MeasuredPower = , HasMeasuredPower = False },LEG.PV.Data.Processor.DataRecords+PvRecord,"08.12.2025 04:30:00",0,0,"0,9095760221444958",0,0,0,0,"-2,05","11,340000000000002",0,0,"4,234632982351619","",False</t>
  </si>
  <si>
    <t>PvRecord { Timestamp = 08.12.2025 04:45:00,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4,2346615022397005, MeasuredPower = , HasMeasuredPower = False },LEG.PV.Data.Processor.DataRecords+PvRecord,"08.12.2025 04:45:00",0,0,"0,9095760221444958",0,0,0,0,"-2,05","11,340000000000002",0,0,"4,2346615022397005","",False</t>
  </si>
  <si>
    <t>PvRecord { Timestamp = 08.12.2025 05:00:00,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4,234690022127782, MeasuredPower = , HasMeasuredPower = False },LEG.PV.Data.Processor.DataRecords+PvRecord,"08.12.2025 05:00:00",0,0,"0,9095760221444958",0,0,0,0,"-2,05","11,340000000000002",0,0,"4,234690022127782","",False</t>
  </si>
  <si>
    <t>PvRecord { Timestamp = 08.12.2025 05:15:00, Index = 0, DirectGeometryFactor = 0, DiffuseGeometryFactor = 0,9095760221444958, CosSunElevation = 0, GlobalHorizontalIrradiance = 0, SunshineDuration = 0, DiffuseHorizontalIrradiance = 0, AmbientTemp = -2,05, WindSpeed = 11,340000000000002, SnowDepth = 0, Weight = 0, Age = 4,234718542015864, MeasuredPower = , HasMeasuredPower = False },LEG.PV.Data.Processor.DataRecords+PvRecord,"08.12.2025 05:15:00",0,0,"0,9095760221444958",0,0,0,0,"-2,05","11,340000000000002",0,0,"4,234718542015864","",False</t>
  </si>
  <si>
    <t>PvRecord { Timestamp = 08.12.2025 05:30:00, Index = 0, DirectGeometryFactor = 0, DiffuseGeometryFactor = 0,9095760221444958, CosSunElevation = 0, GlobalHorizontalIrradiance = 0, SunshineDuration = 0, DiffuseHorizontalIrradiance = 0, AmbientTemp = -1,85, WindSpeed = 12,24, SnowDepth = 0, Weight = 0, Age = 4,234747061903946, MeasuredPower = , HasMeasuredPower = False },LEG.PV.Data.Processor.DataRecords+PvRecord,"08.12.2025 05:30:00",0,0,"0,9095760221444958",0,0,0,0,"-1,85","12,24",0,0,"4,234747061903946","",False</t>
  </si>
  <si>
    <t>PvRecord { Timestamp = 08.12.2025 05:45:00, Index = 0, DirectGeometryFactor = 0, DiffuseGeometryFactor = 0,9095760221444958, CosSunElevation = 0, GlobalHorizontalIrradiance = 0, SunshineDuration = 0, DiffuseHorizontalIrradiance = 0, AmbientTemp = -1,85, WindSpeed = 12,24, SnowDepth = 0, Weight = 0, Age = 4,234775581792027, MeasuredPower = , HasMeasuredPower = False },LEG.PV.Data.Processor.DataRecords+PvRecord,"08.12.2025 05:45:00",0,0,"0,9095760221444958",0,0,0,0,"-1,85","12,24",0,0,"4,234775581792027","",False</t>
  </si>
  <si>
    <t>PvRecord { Timestamp = 08.12.2025 06:00:00, Index = 0, DirectGeometryFactor = 0, DiffuseGeometryFactor = 0,9095760221444958, CosSunElevation = 0, GlobalHorizontalIrradiance = 0, SunshineDuration = 0, DiffuseHorizontalIrradiance = 0, AmbientTemp = -1,85, WindSpeed = 12,24, SnowDepth = 0, Weight = 0, Age = 4,234804101680108, MeasuredPower = , HasMeasuredPower = False },LEG.PV.Data.Processor.DataRecords+PvRecord,"08.12.2025 06:00:00",0,0,"0,9095760221444958",0,0,0,0,"-1,85","12,24",0,0,"4,234804101680108","",False</t>
  </si>
  <si>
    <t>PvRecord { Timestamp = 08.12.2025 06:15:00, Index = 0, DirectGeometryFactor = 0, DiffuseGeometryFactor = 0,9095760221444958, CosSunElevation = 0, GlobalHorizontalIrradiance = 0, SunshineDuration = 0, DiffuseHorizontalIrradiance = 0, AmbientTemp = -1,85, WindSpeed = 12,24, SnowDepth = 0, Weight = 0, Age = 4,23483262156819, MeasuredPower = , HasMeasuredPower = False },LEG.PV.Data.Processor.DataRecords+PvRecord,"08.12.2025 06:15:00",0,0,"0,9095760221444958",0,0,0,0,"-1,85","12,24",0,0,"4,23483262156819","",False</t>
  </si>
  <si>
    <t>PvRecord { Timestamp = 08.12.2025 06:30:00, Index = 0, DirectGeometryFactor = 0, DiffuseGeometryFactor = 0,9095760221444958, CosSunElevation = 0, GlobalHorizontalIrradiance = 0, SunshineDuration = 0, DiffuseHorizontalIrradiance = 0, AmbientTemp = -1,5, WindSpeed = 12,06, SnowDepth = 0, Weight = 0, Age = 4,234861141456272, MeasuredPower = , HasMeasuredPower = False },LEG.PV.Data.Processor.DataRecords+PvRecord,"08.12.2025 06:30:00",0,0,"0,9095760221444958",0,0,0,0,"-1,5","12,06",0,0,"4,234861141456272","",False</t>
  </si>
  <si>
    <t>PvRecord { Timestamp = 08.12.2025 06:45:00, Index = 0, DirectGeometryFactor = 0, DiffuseGeometryFactor = 0,9095760221444958, CosSunElevation = 0, GlobalHorizontalIrradiance = 0, SunshineDuration = 0, DiffuseHorizontalIrradiance = 0, AmbientTemp = -1,5, WindSpeed = 12,06, SnowDepth = 0, Weight = 0, Age = 4,234889661344353, MeasuredPower = , HasMeasuredPower = False },LEG.PV.Data.Processor.DataRecords+PvRecord,"08.12.2025 06:45:00",0,0,"0,9095760221444958",0,0,0,0,"-1,5","12,06",0,0,"4,234889661344353","",False</t>
  </si>
  <si>
    <t>PvRecord { Timestamp = 08.12.2025 07:00:00, Index = 0, DirectGeometryFactor = 0, DiffuseGeometryFactor = 0,9095760221444958, CosSunElevation = 0, GlobalHorizontalIrradiance = 0, SunshineDuration = 0, DiffuseHorizontalIrradiance = 0, AmbientTemp = -1,5, WindSpeed = 12,06, SnowDepth = 0, Weight = 0, Age = 4,234918181232435, MeasuredPower = , HasMeasuredPower = False },LEG.PV.Data.Processor.DataRecords+PvRecord,"08.12.2025 07:00:00",0,0,"0,9095760221444958",0,0,0,0,"-1,5","12,06",0,0,"4,234918181232435","",False</t>
  </si>
  <si>
    <t>PvRecord { Timestamp = 08.12.2025 07:15:00, Index = 0, DirectGeometryFactor = 0, DiffuseGeometryFactor = 0,9095760221444958, CosSunElevation = 0, GlobalHorizontalIrradiance = 0, SunshineDuration = 0, DiffuseHorizontalIrradiance = 0, AmbientTemp = -1,5, WindSpeed = 12,06, SnowDepth = 0, Weight = 0, Age = 4,234946701120516, MeasuredPower = , HasMeasuredPower = False },LEG.PV.Data.Processor.DataRecords+PvRecord,"08.12.2025 07:15:00",0,0,"0,9095760221444958",0,0,0,0,"-1,5","12,06",0,0,"4,234946701120516","",False</t>
  </si>
  <si>
    <t>PvRecord { Timestamp = 08.12.2025 07:30:00, Index = 0, DirectGeometryFactor = 0, DiffuseGeometryFactor = 0,9095760221444958, CosSunElevation = 0, GlobalHorizontalIrradiance = 0, SunshineDuration = 0, DiffuseHorizontalIrradiance = 0, AmbientTemp = -1,05, WindSpeed = 10,8, SnowDepth = 0, Weight = 0, Age = 4,234975221008598, MeasuredPower = , HasMeasuredPower = False },LEG.PV.Data.Processor.DataRecords+PvRecord,"08.12.2025 07:30:00",0,0,"0,9095760221444958",0,0,0,0,"-1,05","10,8",0,0,"4,234975221008598","",False</t>
  </si>
  <si>
    <t>PvRecord { Timestamp = 08.12.2025 07:45:00, Index = 0, DirectGeometryFactor = 0, DiffuseGeometryFactor = 0,9095760221444958, CosSunElevation = 0, GlobalHorizontalIrradiance = 0, SunshineDuration = 0, DiffuseHorizontalIrradiance = 0, AmbientTemp = -1,05, WindSpeed = 10,8, SnowDepth = 0, Weight = 0, Age = 4,23500374089668, MeasuredPower = , HasMeasuredPower = False },LEG.PV.Data.Processor.DataRecords+PvRecord,"08.12.2025 07:45:00",0,0,"0,9095760221444958",0,0,0,0,"-1,05","10,8",0,0,"4,23500374089668","",False</t>
  </si>
  <si>
    <t>PvRecord { Timestamp = 08.12.2025 08:00:00, Index = 0, DirectGeometryFactor = 0, DiffuseGeometryFactor = 0,9095760221444958, CosSunElevation = 0,013697314915164844, GlobalHorizontalIrradiance = 0, SunshineDuration = 0, DiffuseHorizontalIrradiance = 0, AmbientTemp = -1,05, WindSpeed = 10,8, SnowDepth = 0, Weight = 0, Age = 4,235032260784761, MeasuredPower = , HasMeasuredPower = False },LEG.PV.Data.Processor.DataRecords+PvRecord,"08.12.2025 08:00:00",0,0,"0,9095760221444958","0,013697314915164844",0,0,0,"-1,05","10,8",0,0,"4,235032260784761","",False</t>
  </si>
  <si>
    <t>PvRecord { Timestamp = 08.12.2025 08:15:00, Index = 0, DirectGeometryFactor = 0,5312114651969435, DiffuseGeometryFactor = 0,9095760221444958, CosSunElevation = 0,04615448090108467, GlobalHorizontalIrradiance = 0, SunshineDuration = 0, DiffuseHorizontalIrradiance = 0, AmbientTemp = -1,05, WindSpeed = 10,8, SnowDepth = 0, Weight = 0, Age = 4,235060780672843, MeasuredPower = , HasMeasuredPower = False },LEG.PV.Data.Processor.DataRecords+PvRecord,"08.12.2025 08:15:00",0,"0,5312114651969435","0,9095760221444958","0,04615448090108467",0,0,0,"-1,05","10,8",0,0,"4,235060780672843","",False</t>
  </si>
  <si>
    <t>PvRecord { Timestamp = 08.12.2025 08:30:00, Index = 0, DirectGeometryFactor = 0,5708817345092817, DiffuseGeometryFactor = 0,9095760221444958, CosSunElevation = 0,07890376033508953, GlobalHorizontalIrradiance = 8,533333333333333, SunshineDuration = 0, DiffuseHorizontalIrradiance = 13,5, AmbientTemp = -0,4, WindSpeed = 9,18, SnowDepth = 0, Weight = 0, Age = 4,235089300560924, MeasuredPower = , HasMeasuredPower = False },LEG.PV.Data.Processor.DataRecords+PvRecord,"08.12.2025 08:30:00",0,"0,5708817345092817","0,9095760221444958","0,07890376033508953","8,533333333333333",0,"13,5","-0,4","9,18",0,0,"4,235089300560924","",False</t>
  </si>
  <si>
    <t>PvRecord { Timestamp = 08.12.2025 08:45:00, Index = 0, DirectGeometryFactor = 0,6082645104493338, DiffuseGeometryFactor = 0,9095760221444958, CosSunElevation = 0,11076082503452911, GlobalHorizontalIrradiance = 8,533333333333333, SunshineDuration = 0, DiffuseHorizontalIrradiance = 13,5, AmbientTemp = -0,4, WindSpeed = 9,18, SnowDepth = 0, Weight = 0, Age = 4,235117820449005, MeasuredPower = , HasMeasuredPower = False },LEG.PV.Data.Processor.DataRecords+PvRecord,"08.12.2025 08:45:00",0,"0,6082645104493338","0,9095760221444958","0,11076082503452911","8,533333333333333",0,"13,5","-0,4","9,18",0,0,"4,235117820449005","",False</t>
  </si>
  <si>
    <t>PvRecord { Timestamp = 08.12.2025 09:00:00, Index = 0, DirectGeometryFactor = 0,6428986486961291, DiffuseGeometryFactor = 0,9095760221444958, CosSunElevation = 0,14123008646736107, GlobalHorizontalIrradiance = 8,533333333333333, SunshineDuration = 0, DiffuseHorizontalIrradiance = 13,5, AmbientTemp = -0,4, WindSpeed = 9,18, SnowDepth = 0, Weight = 0, Age = 4,235146340337088, MeasuredPower = , HasMeasuredPower = False },LEG.PV.Data.Processor.DataRecords+PvRecord,"08.12.2025 09:00:00",0,"0,6428986486961291","0,9095760221444958","0,14123008646736107","8,533333333333333",0,"13,5","-0,4","9,18",0,0,"4,235146340337088","",False</t>
  </si>
  <si>
    <t>PvRecord { Timestamp = 08.12.2025 09:15:00, Index = 0, DirectGeometryFactor = 0,6745173441832265, DiffuseGeometryFactor = 0,9095760221444958, CosSunElevation = 0,17003921722677087, GlobalHorizontalIrradiance = 8,533333333333333, SunshineDuration = 0, DiffuseHorizontalIrradiance = 13,5, AmbientTemp = -0,4, WindSpeed = 9,18, SnowDepth = 0, Weight = 0, Age = 4,235174860225169, MeasuredPower = , HasMeasuredPower = False },LEG.PV.Data.Processor.DataRecords+PvRecord,"08.12.2025 09:15:00",0,"0,6745173441832265","0,9095760221444958","0,17003921722677087","8,533333333333333",0,"13,5","-0,4","9,18",0,0,"4,235174860225169","",False</t>
  </si>
  <si>
    <t>PvRecord { Timestamp = 08.12.2025 09:30:00, Index = 0, DirectGeometryFactor = 0,7029308616267546, DiffuseGeometryFactor = 0,9095760221444958, CosSunElevation = 0,1969996221180319, GlobalHorizontalIrradiance = 10,233333333333333, SunshineDuration = 0, DiffuseHorizontalIrradiance = 45, AmbientTemp = 0,35, WindSpeed = 7,38, SnowDepth = 0, Weight = 0, Age = 4,2352033801132505, MeasuredPower = , HasMeasuredPower = False },LEG.PV.Data.Processor.DataRecords+PvRecord,"08.12.2025 09:30:00",0,"0,7029308616267546","0,9095760221444958","0,1969996221180319","10,233333333333333",0,45,"0,35","7,38",0,0,"4,2352033801132505","",False</t>
  </si>
  <si>
    <t>PvRecord { Timestamp = 08.12.2025 09:45:00, Index = 0, DirectGeometryFactor = 0,7279895151073585, DiffuseGeometryFactor = 0,9095760221444958, CosSunElevation = 0,2219621325718879, GlobalHorizontalIrradiance = 10,233333333333333, SunshineDuration = 0, DiffuseHorizontalIrradiance = 45, AmbientTemp = 0,35, WindSpeed = 7,38, SnowDepth = 0, Weight = 0, Age = 4,235231900001332, MeasuredPower = , HasMeasuredPower = False },LEG.PV.Data.Processor.DataRecords+PvRecord,"08.12.2025 09:45:00",0,"0,7279895151073585","0,9095760221444958","0,2219621325718879","10,233333333333333",0,45,"0,35","7,38",0,0,"4,235231900001332","",False</t>
  </si>
  <si>
    <t>PvRecord { Timestamp = 08.12.2025 10:00:00, Index = 0, DirectGeometryFactor = 0,7495702263561159, DiffuseGeometryFactor = 0,9095760221444958, CosSunElevation = 0,24480081505723614, GlobalHorizontalIrradiance = 10,233333333333333, SunshineDuration = 0, DiffuseHorizontalIrradiance = 45, AmbientTemp = 0,35, WindSpeed = 7,38, SnowDepth = 0, Weight = 0, Age = 4,235260419889413, MeasuredPower = , HasMeasuredPower = False },LEG.PV.Data.Processor.DataRecords+PvRecord,"08.12.2025 10:00:00",0,"0,7495702263561159","0,9095760221444958","0,24480081505723614","10,233333333333333",0,45,"0,35","7,38",0,0,"4,235260419889413","",False</t>
  </si>
  <si>
    <t>PvRecord { Timestamp = 08.12.2025 10:15:00, Index = 0, DirectGeometryFactor = 0,7675710882873639, DiffuseGeometryFactor = 0,9095760221444958, CosSunElevation = 0,2654063715651619, GlobalHorizontalIrradiance = 10,233333333333333, SunshineDuration = 0, DiffuseHorizontalIrradiance = 45, AmbientTemp = 0,35, WindSpeed = 7,38, SnowDepth = 0, Weight = 0, Age = 4,2352889397774955, MeasuredPower = , HasMeasuredPower = False },LEG.PV.Data.Processor.DataRecords+PvRecord,"08.12.2025 10:15:00",0,"0,7675710882873639","0,9095760221444958","0,2654063715651619","10,233333333333333",0,45,"0,35","7,38",0,0,"4,2352889397774955","",False</t>
  </si>
  <si>
    <t>PvRecord { Timestamp = 08.12.2025 10:30:00, Index = 0, DirectGeometryFactor = 0,7819090035186518, DiffuseGeometryFactor = 0,9095760221444958, CosSunElevation = 0,2836832540915438, GlobalHorizontalIrradiance = 9,85, SunshineDuration = 0, DiffuseHorizontalIrradiance = 68,5, AmbientTemp = 1,05, WindSpeed = 7,5600000000000005, SnowDepth = 0, Weight = 0, Age = 4,235317459665577, MeasuredPower = , HasMeasuredPower = False },LEG.PV.Data.Processor.DataRecords+PvRecord,"08.12.2025 10:30:00",0,"0,7819090035186518","0,9095760221444958","0,2836832540915438","9,85",0,"68,5","1,05","7,5600000000000005",0,0,"4,235317459665577","",False</t>
  </si>
  <si>
    <t>PvRecord { Timestamp = 08.12.2025 10:45:00, Index = 0, DirectGeometryFactor = 0,7925186162392317, DiffuseGeometryFactor = 0,9095760221444958, CosSunElevation = 0,29954836521147515, GlobalHorizontalIrradiance = 9,85, SunshineDuration = 0, DiffuseHorizontalIrradiance = 68,5, AmbientTemp = 1,05, WindSpeed = 7,5600000000000005, SnowDepth = 0, Weight = 0, Age = 4,235345979553658, MeasuredPower = , HasMeasuredPower = False },LEG.PV.Data.Processor.DataRecords+PvRecord,"08.12.2025 10:45:00",0,"0,7925186162392317","0,9095760221444958","0,29954836521147515","9,85",0,"68,5","1,05","7,5600000000000005",0,0,"4,235345979553658","",False</t>
  </si>
  <si>
    <t>PvRecord { Timestamp = 08.12.2025 11:00:00, Index = 0, DirectGeometryFactor = 0,7993518186452544, DiffuseGeometryFactor = 0,9095760221444958, CosSunElevation = 0,3129304851250036, GlobalHorizontalIrradiance = 9,85, SunshineDuration = 0, DiffuseHorizontalIrradiance = 68,5, AmbientTemp = 1,05, WindSpeed = 7,5600000000000005, SnowDepth = 0, Weight = 0, Age = 4,23537449944174, MeasuredPower = , HasMeasuredPower = False },LEG.PV.Data.Processor.DataRecords+PvRecord,"08.12.2025 11:00:00",0,"0,7993518186452544","0,9095760221444958","0,3129304851250036","9,85",0,"68,5","1,05","7,5600000000000005",0,0,"4,23537449944174","",False</t>
  </si>
  <si>
    <t>PvRecord { Timestamp = 08.12.2025 11:15:00, Index = 0, DirectGeometryFactor = 0,8023775145035369, DiffuseGeometryFactor = 0,9095760221444958, CosSunElevation = 0,3237700449580414, GlobalHorizontalIrradiance = 9,85, SunshineDuration = 0, DiffuseHorizontalIrradiance = 68,5, AmbientTemp = 1,05, WindSpeed = 7,5600000000000005, SnowDepth = 0, Weight = 0, Age = 4,235403019329822, MeasuredPower = , HasMeasuredPower = False },LEG.PV.Data.Processor.DataRecords+PvRecord,"08.12.2025 11:15:00",0,"0,8023775145035369","0,9095760221444958","0,3237700449580414","9,85",0,"68,5","1,05","7,5600000000000005",0,0,"4,235403019329822","",False</t>
  </si>
  <si>
    <t>PvRecord { Timestamp = 08.12.2025 11:30:00, Index = 0, DirectGeometryFactor = 0,8015814892938351, DiffuseGeometryFactor = 0,9095760221444958, CosSunElevation = 0,33201906560023464, GlobalHorizontalIrradiance = 11,283333333333335, SunshineDuration = 0, DiffuseHorizontalIrradiance = 81, AmbientTemp = 1,65, WindSpeed = 9, SnowDepth = 0, Weight = 0, Age = 4,235431539217903, MeasuredPower = , HasMeasuredPower = False },LEG.PV.Data.Processor.DataRecords+PvRecord,"08.12.2025 11:30:00",0,"0,8015814892938351","0,9095760221444958","0,33201906560023464","11,283333333333335",0,81,"1,65",9,0,0,"4,235431539217903","",False</t>
  </si>
  <si>
    <t>PvRecord { Timestamp = 08.12.2025 11:45:00, Index = 0, DirectGeometryFactor = 0,7969663109842489, DiffuseGeometryFactor = 0,9095760221444958, CosSunElevation = 0,3376411706530775, GlobalHorizontalIrradiance = 11,283333333333335, SunshineDuration = 0, DiffuseHorizontalIrradiance = 81, AmbientTemp = 1,65, WindSpeed = 9, SnowDepth = 0, Weight = 0, Age = 4,235460059105985, MeasuredPower = , HasMeasuredPower = False },LEG.PV.Data.Processor.DataRecords+PvRecord,"08.12.2025 11:45:00",0,"0,7969663109842489","0,9095760221444958","0,3376411706530775","11,283333333333335",0,81,"1,65",9,0,0,"4,235460059105985","",False</t>
  </si>
  <si>
    <t>PvRecord { Timestamp = 08.12.2025 12:00:00, Index = 0, DirectGeometryFactor = 0,7885512215323364, DiffuseGeometryFactor = 0,9095760221444958, CosSunElevation = 0,34061162493406294, GlobalHorizontalIrradiance = 11,283333333333335, SunshineDuration = 0, DiffuseHorizontalIrradiance = 81, AmbientTemp = 1,65, WindSpeed = 9, SnowDepth = 0, Weight = 0, Age = 4,235488578994066, MeasuredPower = , HasMeasuredPower = False },LEG.PV.Data.Processor.DataRecords+PvRecord,"08.12.2025 12:00:00",0,"0,7885512215323364","0,9095760221444958","0,34061162493406294","11,283333333333335",0,81,"1,65",9,0,0,"4,235488578994066","",False</t>
  </si>
  <si>
    <t>PvRecord { Timestamp = 08.12.2025 12:15:00, Index = 0, DirectGeometryFactor = 0,7763719979127561, DiffuseGeometryFactor = 0,9095760221444958, CosSunElevation = 0,3409173723788659, GlobalHorizontalIrradiance = 11,283333333333335, SunshineDuration = 0, DiffuseHorizontalIrradiance = 81, AmbientTemp = 1,65, WindSpeed = 9, SnowDepth = 0, Weight = 0, Age = 4,235517098882148, MeasuredPower = , HasMeasuredPower = False },LEG.PV.Data.Processor.DataRecords+PvRecord,"08.12.2025 12:15:00",0,"0,7763719979127561","0,9095760221444958","0,3409173723788659","11,283333333333335",0,81,"1,65",9,0,0,"4,235517098882148","",False</t>
  </si>
  <si>
    <t>PvRecord { Timestamp = 08.12.2025 12:30:00, Index = 0, DirectGeometryFactor = 0,760480771656846, DiffuseGeometryFactor = 0,9095760221444958, CosSunElevation = 0,33855705936203423, GlobalHorizontalIrradiance = 8,416666666666668, SunshineDuration = 0, DiffuseHorizontalIrradiance = 83,5, AmbientTemp = 2, WindSpeed = 10,620000000000001, SnowDepth = 0, Weight = 0, Age = 4,23554561877023, MeasuredPower = , HasMeasuredPower = False },LEG.PV.Data.Processor.DataRecords+PvRecord,"08.12.2025 12:30:00",0,"0,760480771656846","0,9095760221444958","0,33855705936203423","8,416666666666668",0,"83,5",2,"10,620000000000001",0,0,"4,23554561877023","",False</t>
  </si>
  <si>
    <t>PvRecord { Timestamp = 08.12.2025 12:45:00, Index = 0, DirectGeometryFactor = 0,7409458025904453, DiffuseGeometryFactor = 0,9095760221444958, CosSunElevation = 0,3335410370902059, GlobalHorizontalIrradiance = 8,416666666666668, SunshineDuration = 0, DiffuseHorizontalIrradiance = 83,5, AmbientTemp = 2, WindSpeed = 10,620000000000001, SnowDepth = 0, Weight = 0, Age = 4,235574138658311, MeasuredPower = , HasMeasuredPower = False },LEG.PV.Data.Processor.DataRecords+PvRecord,"08.12.2025 12:45:00",0,"0,7409458025904453","0,9095760221444958","0,3335410370902059","8,416666666666668",0,"83,5",2,"10,620000000000001",0,0,"4,235574138658311","",False</t>
  </si>
  <si>
    <t>PvRecord { Timestamp = 08.12.2025 13:00:00, Index = 0, DirectGeometryFactor = 0,7178512072018837, DiffuseGeometryFactor = 0,9095760221444958, CosSunElevation = 0,32589134251894336, GlobalHorizontalIrradiance = 8,416666666666668, SunshineDuration = 0, DiffuseHorizontalIrradiance = 83,5, AmbientTemp = 2, WindSpeed = 10,620000000000001, SnowDepth = 0, Weight = 0, Age = 4,235602658546393, MeasuredPower = , HasMeasuredPower = False },LEG.PV.Data.Processor.DataRecords+PvRecord,"08.12.2025 13:00:00",0,"0,7178512072018837","0,9095760221444958","0,32589134251894336","8,416666666666668",0,"83,5",2,"10,620000000000001",0,0,"4,235602658546393","",False</t>
  </si>
  <si>
    <t>PvRecord { Timestamp = 08.12.2025 13:15:00, Index = 0, DirectGeometryFactor = 0,6912966465628199, DiffuseGeometryFactor = 0,9095760221444958, CosSunElevation = 0,3156416626266995, GlobalHorizontalIrradiance = 8,416666666666668, SunshineDuration = 0, DiffuseHorizontalIrradiance = 83,5, AmbientTemp = 2, WindSpeed = 10,620000000000001, SnowDepth = 0, Weight = 0, Age = 4,235631178434474, MeasuredPower = , HasMeasuredPower = False },LEG.PV.Data.Processor.DataRecords+PvRecord,"08.12.2025 13:15:00",0,"0,6912966465628199","0,9095760221444958","0,3156416626266995","8,416666666666668",0,"83,5",2,"10,620000000000001",0,0,"4,235631178434474","",False</t>
  </si>
  <si>
    <t>PvRecord { Timestamp = 08.12.2025 13:30:00, Index = 0, DirectGeometryFactor = 0,6613969850509201, DiffuseGeometryFactor = 0,9095760221444958, CosSunElevation = 0,30283729403059223, GlobalHorizontalIrradiance = 8,65, SunshineDuration = 0, DiffuseHorizontalIrradiance = 74, AmbientTemp = 2,05, WindSpeed = 11,700000000000001, SnowDepth = 0, Weight = 0, Age = 4,235659698322555, MeasuredPower = , HasMeasuredPower = False },LEG.PV.Data.Processor.DataRecords+PvRecord,"08.12.2025 13:30:00",0,"0,6613969850509201","0,9095760221444958","0,30283729403059223","8,65",0,74,"2,05","11,700000000000001",0,0,"4,235659698322555","",False</t>
  </si>
  <si>
    <t>PvRecord { Timestamp = 08.12.2025 13:45:00, Index = 0, DirectGeometryFactor = 0,6282819399047851, DiffuseGeometryFactor = 0,9095760221444958, CosSunElevation = 0,2875351207859436, GlobalHorizontalIrradiance = 8,65, SunshineDuration = 0, DiffuseHorizontalIrradiance = 74, AmbientTemp = 2,05, WindSpeed = 11,700000000000001, SnowDepth = 0, Weight = 0, Age = 4,235688218210638, MeasuredPower = , HasMeasuredPower = False },LEG.PV.Data.Processor.DataRecords+PvRecord,"08.12.2025 13:45:00",0,"0,6282819399047851","0,9095760221444958","0,2875351207859436","8,65",0,74,"2,05","11,700000000000001",0,0,"4,235688218210638","",False</t>
  </si>
  <si>
    <t>PvRecord { Timestamp = 08.12.2025 14:00:00, Index = 0, DirectGeometryFactor = 0,5920957573965182, DiffuseGeometryFactor = 0,9095760221444958, CosSunElevation = 0,2698036523006463, GlobalHorizontalIrradiance = 8,65, SunshineDuration = 0, DiffuseHorizontalIrradiance = 74, AmbientTemp = 2,05, WindSpeed = 11,700000000000001, SnowDepth = 0, Weight = 0, Age = 4,235716738098719, MeasuredPower = , HasMeasuredPower = False },LEG.PV.Data.Processor.DataRecords+PvRecord,"08.12.2025 14:00:00",0,"0,5920957573965182","0,9095760221444958","0,2698036523006463","8,65",0,74,"2,05","11,700000000000001",0,0,"4,235716738098719","",False</t>
  </si>
  <si>
    <t>PvRecord { Timestamp = 08.12.2025 14:15:00, Index = 0, DirectGeometryFactor = 0,5529969823838282, DiffuseGeometryFactor = 0,9095760221444958, CosSunElevation = 0,24972320032978296, GlobalHorizontalIrradiance = 8,65, SunshineDuration = 0, DiffuseHorizontalIrradiance = 74, AmbientTemp = 2,05, WindSpeed = 11,700000000000001, SnowDepth = 0, Weight = 0, Age = 4,2357452579868005, MeasuredPower = , HasMeasuredPower = False },LEG.PV.Data.Processor.DataRecords+PvRecord,"08.12.2025 14:15:00",0,"0,5529969823838282","0,9095760221444958","0,24972320032978296","8,65",0,74,"2,05","11,700000000000001",0,0,"4,2357452579868005","",False</t>
  </si>
  <si>
    <t>PvRecord { Timestamp = 08.12.2025 14:30:00, Index = 0, DirectGeometryFactor = 0,5111584494972967, DiffuseGeometryFactor = 0,9095760221444958, CosSunElevation = 0,22738634901292767, GlobalHorizontalIrradiance = 7,716666666666667, SunshineDuration = 0, DiffuseHorizontalIrradiance = 53,5, AmbientTemp = 1,9, WindSpeed = 12,96, SnowDepth = 0, Weight = 0, Age = 4,235773777874882, MeasuredPower = , HasMeasuredPower = False },LEG.PV.Data.Processor.DataRecords+PvRecord,"08.12.2025 14:30:00",0,"0,5111584494972967","0,9095760221444958","0,22738634901292767","7,716666666666667",0,"53,5","1,9","12,96",0,0,"4,235773777874882","",False</t>
  </si>
  <si>
    <t>PvRecord { Timestamp = 08.12.2025 14:45:00, Index = 0, DirectGeometryFactor = 0,46676775979878826, DiffuseGeometryFactor = 0,9095760221444958, CosSunElevation = 0,20289903651859117, GlobalHorizontalIrradiance = 7,716666666666667, SunshineDuration = 0, DiffuseHorizontalIrradiance = 53,5, AmbientTemp = 1,9, WindSpeed = 12,96, SnowDepth = 0, Weight = 0, Age = 4,235802297762963, MeasuredPower = , HasMeasuredPower = False },LEG.PV.Data.Processor.DataRecords+PvRecord,"08.12.2025 14:45:00",0,"0,46676775979878826","0,9095760221444958","0,20289903651859117","7,716666666666667",0,"53,5","1,9","12,96",0,0,"4,235802297762963","",False</t>
  </si>
  <si>
    <t>PvRecord { Timestamp = 08.12.2025 15:00:00, Index = 0, DirectGeometryFactor = 0,4200288282999135, DiffuseGeometryFactor = 0,9095760221444958, CosSunElevation = 0,1763829566389892, GlobalHorizontalIrradiance = 7,716666666666667, SunshineDuration = 0, DiffuseHorizontalIrradiance = 53,5, AmbientTemp = 1,9, WindSpeed = 12,96, SnowDepth = 0, Weight = 0, Age = 4,2358308176510455, MeasuredPower = , HasMeasuredPower = False },LEG.PV.Data.Processor.DataRecords+PvRecord,"08.12.2025 15:00:00",0,"0,4200288282999135","0,9095760221444958","0,1763829566389892","7,716666666666667",0,"53,5","1,9","12,96",0,0,"4,2358308176510455","",False</t>
  </si>
  <si>
    <t>PvRecord { Timestamp = 08.12.2025 15:15:00, Index = 0, DirectGeometryFactor = 0,37116591611496186, DiffuseGeometryFactor = 0,9095760221444958, CosSunElevation = 0,1479809946798028, GlobalHorizontalIrradiance = 7,716666666666667, SunshineDuration = 0, DiffuseHorizontalIrradiance = 53,5, AmbientTemp = 1,9, WindSpeed = 12,96, SnowDepth = 0, Weight = 0, Age = 4,235859337539127, MeasuredPower = , HasMeasuredPower = False },LEG.PV.Data.Processor.DataRecords+PvRecord,"08.12.2025 15:15:00",0,"0,37116591611496186","0,9095760221444958","0,1479809946798028","7,716666666666667",0,"53,5","1,9","12,96",0,0,"4,235859337539127","",False</t>
  </si>
  <si>
    <t>PvRecord { Timestamp = 08.12.2025 15:30:00, Index = 0, DirectGeometryFactor = 0,32043394627862637, DiffuseGeometryFactor = 0,9095760221444958, CosSunElevation = 0,11787030672479387, GlobalHorizontalIrradiance = 6,266666666666667, SunshineDuration = 0, DiffuseHorizontalIrradiance = 28, AmbientTemp = 1,6, WindSpeed = 14,760000000000002, SnowDepth = 0, Weight = 0, Age = 4,235887857427208, MeasuredPower = , HasMeasuredPower = False },LEG.PV.Data.Processor.DataRecords+PvRecord,"08.12.2025 15:30:00",0,"0,32043394627862637","0,9095760221444958","0,11787030672479387","6,266666666666667",0,28,"1,6","14,760000000000002",0,0,"4,235887857427208","",False</t>
  </si>
  <si>
    <t>PvRecord { Timestamp = 08.12.2025 15:45:00, Index = 0, DirectGeometryFactor = 0, DiffuseGeometryFactor = 0,9095760221444958, CosSunElevation = 0,08629711070381746, GlobalHorizontalIrradiance = 6,266666666666667, SunshineDuration = 0, DiffuseHorizontalIrradiance = 28, AmbientTemp = 1,6, WindSpeed = 14,760000000000002, SnowDepth = 0, Weight = 0, Age = 4,23591637731529, MeasuredPower = , HasMeasuredPower = False },LEG.PV.Data.Processor.DataRecords+PvRecord,"08.12.2025 15:45:00",0,0,"0,9095760221444958","0,08629711070381746","6,266666666666667",0,28,"1,6","14,760000000000002",0,0,"4,23591637731529","",False</t>
  </si>
  <si>
    <t>PvRecord { Timestamp = 08.12.2025 16:00:00, Index = 0, DirectGeometryFactor = 0, DiffuseGeometryFactor = 0,9095760221444958, CosSunElevation = 0,053682682789446975, GlobalHorizontalIrradiance = 6,266666666666667, SunshineDuration = 0, DiffuseHorizontalIrradiance = 28, AmbientTemp = 1,6, WindSpeed = 14,760000000000002, SnowDepth = 0, Weight = 0, Age = 4,235944897203371, MeasuredPower = , HasMeasuredPower = False },LEG.PV.Data.Processor.DataRecords+PvRecord,"08.12.2025 16:00:00",0,0,"0,9095760221444958","0,053682682789446975","6,266666666666667",0,28,"1,6","14,760000000000002",0,0,"4,235944897203371","",False</t>
  </si>
  <si>
    <t>PvRecord { Timestamp = 08.12.2025 16:15:00, Index = 0, DirectGeometryFactor = 0, DiffuseGeometryFactor = 0,9095760221444958, CosSunElevation = 0,020983449767233285, GlobalHorizontalIrradiance = 6,266666666666667, SunshineDuration = 0, DiffuseHorizontalIrradiance = 28, AmbientTemp = 1,6, WindSpeed = 14,760000000000002, SnowDepth = 0, Weight = 0, Age = 4,235973417091453, MeasuredPower = , HasMeasuredPower = False },LEG.PV.Data.Processor.DataRecords+PvRecord,"08.12.2025 16:15:00",0,0,"0,9095760221444958","0,020983449767233285","6,266666666666667",0,28,"1,6","14,760000000000002",0,0,"4,235973417091453","",False</t>
  </si>
  <si>
    <t>PvRecord { Timestamp = 08.12.2025 16:30:00, Index = 0, DirectGeometryFactor = 0, DiffuseGeometryFactor = 0,9095760221444958, CosSunElevation = 0, GlobalHorizontalIrradiance = 0, SunshineDuration = 0, DiffuseHorizontalIrradiance = 6, AmbientTemp = 1,25, WindSpeed = 17,1, SnowDepth = 0, Weight = 0, Age = 4,236001936979535, MeasuredPower = , HasMeasuredPower = False },LEG.PV.Data.Processor.DataRecords+PvRecord,"08.12.2025 16:30:00",0,0,"0,9095760221444958",0,0,0,6,"1,25","17,1",0,0,"4,236001936979535","",False</t>
  </si>
  <si>
    <t>PvRecord { Timestamp = 08.12.2025 16:45:00, Index = 0, DirectGeometryFactor = 0, DiffuseGeometryFactor = 0,9095760221444958, CosSunElevation = 0, GlobalHorizontalIrradiance = 0, SunshineDuration = 0, DiffuseHorizontalIrradiance = 6, AmbientTemp = 1,25, WindSpeed = 17,1, SnowDepth = 0, Weight = 0, Age = 4,236030456867616, MeasuredPower = , HasMeasuredPower = False },LEG.PV.Data.Processor.DataRecords+PvRecord,"08.12.2025 16:45:00",0,0,"0,9095760221444958",0,0,0,6,"1,25","17,1",0,0,"4,236030456867616","",False</t>
  </si>
  <si>
    <t>PvRecord { Timestamp = 08.12.2025 17:00:00, Index = 0, DirectGeometryFactor = 0, DiffuseGeometryFactor = 0,9095760221444958, CosSunElevation = 0, GlobalHorizontalIrradiance = 0, SunshineDuration = 0, DiffuseHorizontalIrradiance = 6, AmbientTemp = 1,25, WindSpeed = 17,1, SnowDepth = 0, Weight = 0, Age = 4,2360589767556975, MeasuredPower = , HasMeasuredPower = False },LEG.PV.Data.Processor.DataRecords+PvRecord,"08.12.2025 17:00:00",0,0,"0,9095760221444958",0,0,0,6,"1,25","17,1",0,0,"4,2360589767556975","",False</t>
  </si>
  <si>
    <t>PvRecord { Timestamp = 08.12.2025 17:15:00, Index = 0, DirectGeometryFactor = 0, DiffuseGeometryFactor = 0,9095760221444958, CosSunElevation = 0, GlobalHorizontalIrradiance = 0, SunshineDuration = 0, DiffuseHorizontalIrradiance = 6, AmbientTemp = 1,25, WindSpeed = 17,1, SnowDepth = 0, Weight = 0, Age = 4,236087496643779, MeasuredPower = , HasMeasuredPower = False },LEG.PV.Data.Processor.DataRecords+PvRecord,"08.12.2025 17:15:00",0,0,"0,9095760221444958",0,0,0,6,"1,25","17,1",0,0,"4,236087496643779","",False</t>
  </si>
  <si>
    <t>PvRecord { Timestamp = 08.12.2025 17:30:00, Index = 0, DirectGeometryFactor = 0, DiffuseGeometryFactor = 0,9095760221444958, CosSunElevation = 0, GlobalHorizontalIrradiance = 0, SunshineDuration = 0, DiffuseHorizontalIrradiance = 0, AmbientTemp = 0,95, WindSpeed = 18,9, SnowDepth = 0, Weight = 0, Age = 4,236116016531861, MeasuredPower = , HasMeasuredPower = False },LEG.PV.Data.Processor.DataRecords+PvRecord,"08.12.2025 17:30:00",0,0,"0,9095760221444958",0,0,0,0,"0,95","18,9",0,0,"4,236116016531861","",False</t>
  </si>
  <si>
    <t>PvRecord { Timestamp = 08.12.2025 17:45:00, Index = 0, DirectGeometryFactor = 0, DiffuseGeometryFactor = 0,9095760221444958, CosSunElevation = 0, GlobalHorizontalIrradiance = 0, SunshineDuration = 0, DiffuseHorizontalIrradiance = 0, AmbientTemp = 0,95, WindSpeed = 18,9, SnowDepth = 0, Weight = 0, Age = 4,236144536419943, MeasuredPower = , HasMeasuredPower = False },LEG.PV.Data.Processor.DataRecords+PvRecord,"08.12.2025 17:45:00",0,0,"0,9095760221444958",0,0,0,0,"0,95","18,9",0,0,"4,236144536419943","",False</t>
  </si>
  <si>
    <t>PvRecord { Timestamp = 08.12.2025 18:00:00, Index = 0, DirectGeometryFactor = 0, DiffuseGeometryFactor = 0,9095760221444958, CosSunElevation = 0, GlobalHorizontalIrradiance = 0, SunshineDuration = 0, DiffuseHorizontalIrradiance = 0, AmbientTemp = 0,95, WindSpeed = 18,9, SnowDepth = 0, Weight = 0, Age = 4,236173056308024, MeasuredPower = , HasMeasuredPower = False },LEG.PV.Data.Processor.DataRecords+PvRecord,"08.12.2025 18:00:00",0,0,"0,9095760221444958",0,0,0,0,"0,95","18,9",0,0,"4,236173056308024","",False</t>
  </si>
  <si>
    <t>PvRecord { Timestamp = 08.12.2025 18:15:00, Index = 0, DirectGeometryFactor = 0, DiffuseGeometryFactor = 0,9095760221444958, CosSunElevation = 0, GlobalHorizontalIrradiance = 0, SunshineDuration = 0, DiffuseHorizontalIrradiance = 0, AmbientTemp = 0,95, WindSpeed = 18,9, SnowDepth = 0, Weight = 0, Age = 4,236201576196105, MeasuredPower = , HasMeasuredPower = False },LEG.PV.Data.Processor.DataRecords+PvRecord,"08.12.2025 18:15:00",0,0,"0,9095760221444958",0,0,0,0,"0,95","18,9",0,0,"4,236201576196105","",False</t>
  </si>
  <si>
    <t>PvRecord { Timestamp = 08.12.2025 18:30:00,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4,236230096084187, MeasuredPower = , HasMeasuredPower = False },LEG.PV.Data.Processor.DataRecords+PvRecord,"08.12.2025 18:30:00",0,0,"0,9095760221444958",0,0,0,0,"0,75","20,520000000000003",0,0,"4,236230096084187","",False</t>
  </si>
  <si>
    <t>PvRecord { Timestamp = 08.12.2025 18:45:00,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4,236258615972269, MeasuredPower = , HasMeasuredPower = False },LEG.PV.Data.Processor.DataRecords+PvRecord,"08.12.2025 18:45:00",0,0,"0,9095760221444958",0,0,0,0,"0,75","20,520000000000003",0,0,"4,236258615972269","",False</t>
  </si>
  <si>
    <t>PvRecord { Timestamp = 08.12.2025 19:00:00,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4,23628713586035, MeasuredPower = , HasMeasuredPower = False },LEG.PV.Data.Processor.DataRecords+PvRecord,"08.12.2025 19:00:00",0,0,"0,9095760221444958",0,0,0,0,"0,75","20,520000000000003",0,0,"4,23628713586035","",False</t>
  </si>
  <si>
    <t>PvRecord { Timestamp = 08.12.2025 19:15:00, Index = 0, DirectGeometryFactor = 0, DiffuseGeometryFactor = 0,9095760221444958, CosSunElevation = 0, GlobalHorizontalIrradiance = 0, SunshineDuration = 0, DiffuseHorizontalIrradiance = 0, AmbientTemp = 0,75, WindSpeed = 20,520000000000003, SnowDepth = 0, Weight = 0, Age = 4,236315655748432, MeasuredPower = , HasMeasuredPower = False },LEG.PV.Data.Processor.DataRecords+PvRecord,"08.12.2025 19:15:00",0,0,"0,9095760221444958",0,0,0,0,"0,75","20,520000000000003",0,0,"4,236315655748432","",False</t>
  </si>
  <si>
    <t>PvRecord { Timestamp = 08.12.2025 19:30:00, Index = 0, DirectGeometryFactor = 0, DiffuseGeometryFactor = 0,9095760221444958, CosSunElevation = 0, GlobalHorizontalIrradiance = 0, SunshineDuration = 0, DiffuseHorizontalIrradiance = 0, AmbientTemp = 0,75, WindSpeed = 21,42, SnowDepth = 0, Weight = 0, Age = 4,236344175636513, MeasuredPower = , HasMeasuredPower = False },LEG.PV.Data.Processor.DataRecords+PvRecord,"08.12.2025 19:30:00",0,0,"0,9095760221444958",0,0,0,0,"0,75","21,42",0,0,"4,236344175636513","",False</t>
  </si>
  <si>
    <t>PvRecord { Timestamp = 08.12.2025 19:45:00, Index = 0, DirectGeometryFactor = 0, DiffuseGeometryFactor = 0,9095760221444958, CosSunElevation = 0, GlobalHorizontalIrradiance = 0, SunshineDuration = 0, DiffuseHorizontalIrradiance = 0, AmbientTemp = 0,75, WindSpeed = 21,42, SnowDepth = 0, Weight = 0, Age = 4,236372695524595, MeasuredPower = , HasMeasuredPower = False },LEG.PV.Data.Processor.DataRecords+PvRecord,"08.12.2025 19:45:00",0,0,"0,9095760221444958",0,0,0,0,"0,75","21,42",0,0,"4,236372695524595","",False</t>
  </si>
  <si>
    <t>PvRecord { Timestamp = 08.12.2025 20:00:00, Index = 0, DirectGeometryFactor = 0, DiffuseGeometryFactor = 0,9095760221444958, CosSunElevation = 0, GlobalHorizontalIrradiance = 0, SunshineDuration = 0, DiffuseHorizontalIrradiance = 0, AmbientTemp = 0,75, WindSpeed = 21,42, SnowDepth = 0, Weight = 0, Age = 4,236401215412677, MeasuredPower = , HasMeasuredPower = False },LEG.PV.Data.Processor.DataRecords+PvRecord,"08.12.2025 20:00:00",0,0,"0,9095760221444958",0,0,0,0,"0,75","21,42",0,0,"4,236401215412677","",False</t>
  </si>
  <si>
    <t>PvRecord { Timestamp = 08.12.2025 20:15:00, Index = 0, DirectGeometryFactor = 0, DiffuseGeometryFactor = 0,9095760221444958, CosSunElevation = 0, GlobalHorizontalIrradiance = 0, SunshineDuration = 0, DiffuseHorizontalIrradiance = 0, AmbientTemp = 0,75, WindSpeed = 21,42, SnowDepth = 0, Weight = 0, Age = 4,236429735300758, MeasuredPower = , HasMeasuredPower = False },LEG.PV.Data.Processor.DataRecords+PvRecord,"08.12.2025 20:15:00",0,0,"0,9095760221444958",0,0,0,0,"0,75","21,42",0,0,"4,236429735300758","",False</t>
  </si>
  <si>
    <t>PvRecord { Timestamp = 08.12.2025 20:30:00, Index = 0, DirectGeometryFactor = 0, DiffuseGeometryFactor = 0,9095760221444958, CosSunElevation = 0, GlobalHorizontalIrradiance = 0, SunshineDuration = 0, DiffuseHorizontalIrradiance = 0, AmbientTemp = 0,8, WindSpeed = 22,5, SnowDepth = 0, Weight = 0, Age = 4,23645825518884, MeasuredPower = , HasMeasuredPower = False },LEG.PV.Data.Processor.DataRecords+PvRecord,"08.12.2025 20:30:00",0,0,"0,9095760221444958",0,0,0,0,"0,8","22,5",0,0,"4,23645825518884","",False</t>
  </si>
  <si>
    <t>PvRecord { Timestamp = 08.12.2025 20:45:00, Index = 0, DirectGeometryFactor = 0, DiffuseGeometryFactor = 0,9095760221444958, CosSunElevation = 0, GlobalHorizontalIrradiance = 0, SunshineDuration = 0, DiffuseHorizontalIrradiance = 0, AmbientTemp = 0,8, WindSpeed = 22,5, SnowDepth = 0, Weight = 0, Age = 4,236486775076921, MeasuredPower = , HasMeasuredPower = False },LEG.PV.Data.Processor.DataRecords+PvRecord,"08.12.2025 20:45:00",0,0,"0,9095760221444958",0,0,0,0,"0,8","22,5",0,0,"4,236486775076921","",False</t>
  </si>
  <si>
    <t>PvRecord { Timestamp = 08.12.2025 21:00:00, Index = 0, DirectGeometryFactor = 0, DiffuseGeometryFactor = 0,9095760221444958, CosSunElevation = 0, GlobalHorizontalIrradiance = 0, SunshineDuration = 0, DiffuseHorizontalIrradiance = 0, AmbientTemp = 0,8, WindSpeed = 22,5, SnowDepth = 0, Weight = 0, Age = 4,2365152949650025, MeasuredPower = , HasMeasuredPower = False },LEG.PV.Data.Processor.DataRecords+PvRecord,"08.12.2025 21:00:00",0,0,"0,9095760221444958",0,0,0,0,"0,8","22,5",0,0,"4,2365152949650025","",False</t>
  </si>
  <si>
    <t>PvRecord { Timestamp = 08.12.2025 21:15:00, Index = 0, DirectGeometryFactor = 0, DiffuseGeometryFactor = 0,9095760221444958, CosSunElevation = 0, GlobalHorizontalIrradiance = 0, SunshineDuration = 0, DiffuseHorizontalIrradiance = 0, AmbientTemp = 0,8, WindSpeed = 22,5, SnowDepth = 0, Weight = 0, Age = 4,236543814853085, MeasuredPower = , HasMeasuredPower = False },LEG.PV.Data.Processor.DataRecords+PvRecord,"08.12.2025 21:15:00",0,0,"0,9095760221444958",0,0,0,0,"0,8","22,5",0,0,"4,236543814853085","",False</t>
  </si>
  <si>
    <t>PvRecord { Timestamp = 08.12.2025 21:30:00, Index = 0, DirectGeometryFactor = 0, DiffuseGeometryFactor = 0,9095760221444958, CosSunElevation = 0, GlobalHorizontalIrradiance = 0, SunshineDuration = 0, DiffuseHorizontalIrradiance = 0, AmbientTemp = 0,85, WindSpeed = 23,76, SnowDepth = 0, Weight = 0, Age = 4,236572334741166, MeasuredPower = , HasMeasuredPower = False },LEG.PV.Data.Processor.DataRecords+PvRecord,"08.12.2025 21:30:00",0,0,"0,9095760221444958",0,0,0,0,"0,85","23,76",0,0,"4,236572334741166","",False</t>
  </si>
  <si>
    <t>PvRecord { Timestamp = 08.12.2025 21:45:00, Index = 0, DirectGeometryFactor = 0, DiffuseGeometryFactor = 0,9095760221444958, CosSunElevation = 0, GlobalHorizontalIrradiance = 0, SunshineDuration = 0, DiffuseHorizontalIrradiance = 0, AmbientTemp = 0,85, WindSpeed = 23,76, SnowDepth = 0, Weight = 0, Age = 4,2366008546292475, MeasuredPower = , HasMeasuredPower = False },LEG.PV.Data.Processor.DataRecords+PvRecord,"08.12.2025 21:45:00",0,0,"0,9095760221444958",0,0,0,0,"0,85","23,76",0,0,"4,2366008546292475","",False</t>
  </si>
  <si>
    <t>PvRecord { Timestamp = 08.12.2025 22:00:00, Index = 0, DirectGeometryFactor = 0, DiffuseGeometryFactor = 0,9095760221444958, CosSunElevation = 0, GlobalHorizontalIrradiance = 0, SunshineDuration = 0, DiffuseHorizontalIrradiance = 0, AmbientTemp = 0,85, WindSpeed = 23,76, SnowDepth = 0, Weight = 0, Age = 4,236629374517329, MeasuredPower = , HasMeasuredPower = False },LEG.PV.Data.Processor.DataRecords+PvRecord,"08.12.2025 22:00:00",0,0,"0,9095760221444958",0,0,0,0,"0,85","23,76",0,0,"4,236629374517329","",False</t>
  </si>
  <si>
    <t>PvRecord { Timestamp = 08.12.2025 22:15:00, Index = 0, DirectGeometryFactor = 0, DiffuseGeometryFactor = 0,9095760221444958, CosSunElevation = 0, GlobalHorizontalIrradiance = 0, SunshineDuration = 0, DiffuseHorizontalIrradiance = 0, AmbientTemp = 0,85, WindSpeed = 23,76, SnowDepth = 0, Weight = 0, Age = 4,23665789440541, MeasuredPower = , HasMeasuredPower = False },LEG.PV.Data.Processor.DataRecords+PvRecord,"08.12.2025 22:15:00",0,0,"0,9095760221444958",0,0,0,0,"0,85","23,76",0,0,"4,23665789440541","",False</t>
  </si>
  <si>
    <t>PvRecord { Timestamp = 08.12.2025 22:30:00, Index = 0, DirectGeometryFactor = 0, DiffuseGeometryFactor = 0,9095760221444958, CosSunElevation = 0, GlobalHorizontalIrradiance = 0, SunshineDuration = 0, DiffuseHorizontalIrradiance = 0, AmbientTemp = 0,95, WindSpeed = 24,12, SnowDepth = 0, Weight = 0, Age = 4,236686414293493, MeasuredPower = , HasMeasuredPower = False },LEG.PV.Data.Processor.DataRecords+PvRecord,"08.12.2025 22:30:00",0,0,"0,9095760221444958",0,0,0,0,"0,95","24,12",0,0,"4,236686414293493","",False</t>
  </si>
  <si>
    <t>PvRecord { Timestamp = 08.12.2025 22:45:00, Index = 0, DirectGeometryFactor = 0, DiffuseGeometryFactor = 0,9095760221444958, CosSunElevation = 0, GlobalHorizontalIrradiance = 0, SunshineDuration = 0, DiffuseHorizontalIrradiance = 0, AmbientTemp = 0,95, WindSpeed = 24,12, SnowDepth = 0, Weight = 0, Age = 4,236714934181574, MeasuredPower = , HasMeasuredPower = False },LEG.PV.Data.Processor.DataRecords+PvRecord,"08.12.2025 22:45:00",0,0,"0,9095760221444958",0,0,0,0,"0,95","24,12",0,0,"4,236714934181574","",False</t>
  </si>
  <si>
    <t>PvRecord { Timestamp = 08.12.2025 23:00:00, Index = 0, DirectGeometryFactor = 0, DiffuseGeometryFactor = 0,9095760221444958, CosSunElevation = 0, GlobalHorizontalIrradiance = 0, SunshineDuration = 0, DiffuseHorizontalIrradiance = 0, AmbientTemp = 0,95, WindSpeed = 24,12, SnowDepth = 0, Weight = 0, Age = 4,236743454069655, MeasuredPower = , HasMeasuredPower = False },LEG.PV.Data.Processor.DataRecords+PvRecord,"08.12.2025 23:00:00",0,0,"0,9095760221444958",0,0,0,0,"0,95","24,12",0,0,"4,236743454069655","",False</t>
  </si>
  <si>
    <t>PvRecord { Timestamp = 08.12.2025 23:15:00, Index = 0, DirectGeometryFactor = 0, DiffuseGeometryFactor = 0,9095760221444958, CosSunElevation = 0, GlobalHorizontalIrradiance = 0, SunshineDuration = 0, DiffuseHorizontalIrradiance = 0, AmbientTemp = 0,95, WindSpeed = 24,12, SnowDepth = 0, Weight = 0, Age = 4,236771973957737, MeasuredPower = , HasMeasuredPower = False },LEG.PV.Data.Processor.DataRecords+PvRecord,"08.12.2025 23:15:00",0,0,"0,9095760221444958",0,0,0,0,"0,95","24,12",0,0,"4,236771973957737","",False</t>
  </si>
  <si>
    <t>PvRecord { Timestamp = 08.12.2025 23:30:00,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4,236800493845818, MeasuredPower = , HasMeasuredPower = False },LEG.PV.Data.Processor.DataRecords+PvRecord,"08.12.2025 23:30:00",0,0,"0,9095760221444958",0,0,0,0,"0,95","24,119999999999997",0,0,"4,236800493845818","",False</t>
  </si>
  <si>
    <t>PvRecord { Timestamp = 08.12.2025 23:45:00,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4,2368290137339, MeasuredPower = , HasMeasuredPower = False },LEG.PV.Data.Processor.DataRecords+PvRecord,"08.12.2025 23:45:00",0,0,"0,9095760221444958",0,0,0,0,"0,95","24,119999999999997",0,0,"4,2368290137339","",False</t>
  </si>
  <si>
    <t>PvRecord { Timestamp = 09.12.2025 00:00:00,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4,236857533621982, MeasuredPower = , HasMeasuredPower = False },LEG.PV.Data.Processor.DataRecords+PvRecord,"09.12.2025 00:00:00",0,0,"0,9095760221444958",0,0,0,0,"0,95","24,119999999999997",0,0,"4,236857533621982","",False</t>
  </si>
  <si>
    <t>PvRecord { Timestamp = 09.12.2025 00:15:00, Index = 0, DirectGeometryFactor = 0, DiffuseGeometryFactor = 0,9095760221444958, CosSunElevation = 0, GlobalHorizontalIrradiance = 0, SunshineDuration = 0, DiffuseHorizontalIrradiance = 0, AmbientTemp = 0,95, WindSpeed = 24,119999999999997, SnowDepth = 0, Weight = 0, Age = 4,236886053510063, MeasuredPower = , HasMeasuredPower = False },LEG.PV.Data.Processor.DataRecords+PvRecord,"09.12.2025 00:15:00",0,0,"0,9095760221444958",0,0,0,0,"0,95","24,119999999999997",0,0,"4,236886053510063","",False</t>
  </si>
  <si>
    <t>PvRecord { Timestamp = 09.12.2025 00:30:00,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4,236914573398145, MeasuredPower = , HasMeasuredPower = False },LEG.PV.Data.Processor.DataRecords+PvRecord,"09.12.2025 00:30:00",0,0,"0,9095760221444958",0,0,0,0,"0,8999999999999999","22,86",0,0,"4,236914573398145","",False</t>
  </si>
  <si>
    <t>PvRecord { Timestamp = 09.12.2025 00:45:00,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4,236943093286226, MeasuredPower = , HasMeasuredPower = False },LEG.PV.Data.Processor.DataRecords+PvRecord,"09.12.2025 00:45:00",0,0,"0,9095760221444958",0,0,0,0,"0,8999999999999999","22,86",0,0,"4,236943093286226","",False</t>
  </si>
  <si>
    <t>PvRecord { Timestamp = 09.12.2025 01:00:00,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4,236971613174308, MeasuredPower = , HasMeasuredPower = False },LEG.PV.Data.Processor.DataRecords+PvRecord,"09.12.2025 01:00:00",0,0,"0,9095760221444958",0,0,0,0,"0,8999999999999999","22,86",0,0,"4,236971613174308","",False</t>
  </si>
  <si>
    <t>PvRecord { Timestamp = 09.12.2025 01:15:00, Index = 0, DirectGeometryFactor = 0, DiffuseGeometryFactor = 0,9095760221444958, CosSunElevation = 0, GlobalHorizontalIrradiance = 0, SunshineDuration = 0, DiffuseHorizontalIrradiance = 0, AmbientTemp = 0,8999999999999999, WindSpeed = 22,86, SnowDepth = 0, Weight = 0, Age = 4,23700013306239, MeasuredPower = , HasMeasuredPower = False },LEG.PV.Data.Processor.DataRecords+PvRecord,"09.12.2025 01:15:00",0,0,"0,9095760221444958",0,0,0,0,"0,8999999999999999","22,86",0,0,"4,23700013306239","",False</t>
  </si>
  <si>
    <t>PvRecord { Timestamp = 09.12.2025 01:30:00, Index = 0, DirectGeometryFactor = 0, DiffuseGeometryFactor = 0,9095760221444958, CosSunElevation = 0, GlobalHorizontalIrradiance = 0, SunshineDuration = 0, DiffuseHorizontalIrradiance = 0, AmbientTemp = 0,65, WindSpeed = 19,62, SnowDepth = 0, Weight = 0, Age = 4,237028652950471, MeasuredPower = , HasMeasuredPower = False },LEG.PV.Data.Processor.DataRecords+PvRecord,"09.12.2025 01:30:00",0,0,"0,9095760221444958",0,0,0,0,"0,65","19,62",0,0,"4,237028652950471","",False</t>
  </si>
  <si>
    <t>PvRecord { Timestamp = 09.12.2025 01:45:00, Index = 0, DirectGeometryFactor = 0, DiffuseGeometryFactor = 0,9095760221444958, CosSunElevation = 0, GlobalHorizontalIrradiance = 0, SunshineDuration = 0, DiffuseHorizontalIrradiance = 0, AmbientTemp = 0,65, WindSpeed = 19,62, SnowDepth = 0, Weight = 0, Age = 4,237057172838552, MeasuredPower = , HasMeasuredPower = False },LEG.PV.Data.Processor.DataRecords+PvRecord,"09.12.2025 01:45:00",0,0,"0,9095760221444958",0,0,0,0,"0,65","19,62",0,0,"4,237057172838552","",False</t>
  </si>
  <si>
    <t>PvRecord { Timestamp = 09.12.2025 02:00:00, Index = 0, DirectGeometryFactor = 0, DiffuseGeometryFactor = 0,9095760221444958, CosSunElevation = 0, GlobalHorizontalIrradiance = 0, SunshineDuration = 0, DiffuseHorizontalIrradiance = 0, AmbientTemp = 0,65, WindSpeed = 19,62, SnowDepth = 0, Weight = 0, Age = 4,237085692726634, MeasuredPower = , HasMeasuredPower = False },LEG.PV.Data.Processor.DataRecords+PvRecord,"09.12.2025 02:00:00",0,0,"0,9095760221444958",0,0,0,0,"0,65","19,62",0,0,"4,237085692726634","",False</t>
  </si>
  <si>
    <t>PvRecord { Timestamp = 09.12.2025 02:15:00, Index = 0, DirectGeometryFactor = 0, DiffuseGeometryFactor = 0,9095760221444958, CosSunElevation = 0, GlobalHorizontalIrradiance = 0, SunshineDuration = 0, DiffuseHorizontalIrradiance = 0, AmbientTemp = 0,65, WindSpeed = 19,62, SnowDepth = 0, Weight = 0, Age = 4,237114212614716, MeasuredPower = , HasMeasuredPower = False },LEG.PV.Data.Processor.DataRecords+PvRecord,"09.12.2025 02:15:00",0,0,"0,9095760221444958",0,0,0,0,"0,65","19,62",0,0,"4,237114212614716","",False</t>
  </si>
  <si>
    <t>PvRecord { Timestamp = 09.12.2025 02:30:00,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4,2371427325027975, MeasuredPower = , HasMeasuredPower = False },LEG.PV.Data.Processor.DataRecords+PvRecord,"09.12.2025 02:30:00",0,0,"0,9095760221444958",0,0,0,0,"0,25","14,400000000000002",0,0,"4,2371427325027975","",False</t>
  </si>
  <si>
    <t>PvRecord { Timestamp = 09.12.2025 02:45:00,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4,237171252390879, MeasuredPower = , HasMeasuredPower = False },LEG.PV.Data.Processor.DataRecords+PvRecord,"09.12.2025 02:45:00",0,0,"0,9095760221444958",0,0,0,0,"0,25","14,400000000000002",0,0,"4,237171252390879","",False</t>
  </si>
  <si>
    <t>PvRecord { Timestamp = 09.12.2025 03:00:00,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4,23719977227896, MeasuredPower = , HasMeasuredPower = False },LEG.PV.Data.Processor.DataRecords+PvRecord,"09.12.2025 03:00:00",0,0,"0,9095760221444958",0,0,0,0,"0,25","14,400000000000002",0,0,"4,23719977227896","",False</t>
  </si>
  <si>
    <t>PvRecord { Timestamp = 09.12.2025 03:15:00, Index = 0, DirectGeometryFactor = 0, DiffuseGeometryFactor = 0,9095760221444958, CosSunElevation = 0, GlobalHorizontalIrradiance = 0, SunshineDuration = 0, DiffuseHorizontalIrradiance = 0, AmbientTemp = 0,25, WindSpeed = 14,400000000000002, SnowDepth = 0, Weight = 0, Age = 4,237228292167042, MeasuredPower = , HasMeasuredPower = False },LEG.PV.Data.Processor.DataRecords+PvRecord,"09.12.2025 03:15:00",0,0,"0,9095760221444958",0,0,0,0,"0,25","14,400000000000002",0,0,"4,237228292167042","",False</t>
  </si>
  <si>
    <t>PvRecord { Timestamp = 09.12.2025 03:30:00, Index = 0, DirectGeometryFactor = 0, DiffuseGeometryFactor = 0,9095760221444958, CosSunElevation = 0, GlobalHorizontalIrradiance = 0, SunshineDuration = 0, DiffuseHorizontalIrradiance = 0, AmbientTemp = -0,15, WindSpeed = 8,64, SnowDepth = 0, Weight = 0, Age = 4,237256812055124, MeasuredPower = , HasMeasuredPower = False },LEG.PV.Data.Processor.DataRecords+PvRecord,"09.12.2025 03:30:00",0,0,"0,9095760221444958",0,0,0,0,"-0,15","8,64",0,0,"4,237256812055124","",False</t>
  </si>
  <si>
    <t>PvRecord { Timestamp = 09.12.2025 03:45:00, Index = 0, DirectGeometryFactor = 0, DiffuseGeometryFactor = 0,9095760221444958, CosSunElevation = 0, GlobalHorizontalIrradiance = 0, SunshineDuration = 0, DiffuseHorizontalIrradiance = 0, AmbientTemp = -0,15, WindSpeed = 8,64, SnowDepth = 0, Weight = 0, Age = 4,237285331943205, MeasuredPower = , HasMeasuredPower = False },LEG.PV.Data.Processor.DataRecords+PvRecord,"09.12.2025 03:45:00",0,0,"0,9095760221444958",0,0,0,0,"-0,15","8,64",0,0,"4,237285331943205","",False</t>
  </si>
  <si>
    <t>PvRecord { Timestamp = 09.12.2025 04:00:00, Index = 0, DirectGeometryFactor = 0, DiffuseGeometryFactor = 0,9095760221444958, CosSunElevation = 0, GlobalHorizontalIrradiance = 0, SunshineDuration = 0, DiffuseHorizontalIrradiance = 0, AmbientTemp = -0,15, WindSpeed = 8,64, SnowDepth = 0, Weight = 0, Age = 4,237313851831287, MeasuredPower = , HasMeasuredPower = False },LEG.PV.Data.Processor.DataRecords+PvRecord,"09.12.2025 04:00:00",0,0,"0,9095760221444958",0,0,0,0,"-0,15","8,64",0,0,"4,237313851831287","",False</t>
  </si>
  <si>
    <t>PvRecord { Timestamp = 09.12.2025 04:15:00, Index = 0, DirectGeometryFactor = 0, DiffuseGeometryFactor = 0,9095760221444958, CosSunElevation = 0, GlobalHorizontalIrradiance = 0, SunshineDuration = 0, DiffuseHorizontalIrradiance = 0, AmbientTemp = -0,15, WindSpeed = 8,64, SnowDepth = 0, Weight = 0, Age = 4,237342371719368, MeasuredPower = , HasMeasuredPower = False },LEG.PV.Data.Processor.DataRecords+PvRecord,"09.12.2025 04:15:00",0,0,"0,9095760221444958",0,0,0,0,"-0,15","8,64",0,0,"4,237342371719368","",False</t>
  </si>
  <si>
    <t>PvRecord { Timestamp = 09.12.2025 04:30:00, Index = 0, DirectGeometryFactor = 0, DiffuseGeometryFactor = 0,9095760221444958, CosSunElevation = 0, GlobalHorizontalIrradiance = 0, SunshineDuration = 0, DiffuseHorizontalIrradiance = 0, AmbientTemp = -0,55, WindSpeed = 4,32, SnowDepth = 0, Weight = 0, Age = 4,2373708916074495, MeasuredPower = , HasMeasuredPower = False },LEG.PV.Data.Processor.DataRecords+PvRecord,"09.12.2025 04:30:00",0,0,"0,9095760221444958",0,0,0,0,"-0,55","4,32",0,0,"4,2373708916074495","",False</t>
  </si>
  <si>
    <t>PvRecord { Timestamp = 09.12.2025 04:45:00, Index = 0, DirectGeometryFactor = 0, DiffuseGeometryFactor = 0,9095760221444958, CosSunElevation = 0, GlobalHorizontalIrradiance = 0, SunshineDuration = 0, DiffuseHorizontalIrradiance = 0, AmbientTemp = -0,55, WindSpeed = 4,32, SnowDepth = 0, Weight = 0, Age = 4,237399411495532, MeasuredPower = , HasMeasuredPower = False },LEG.PV.Data.Processor.DataRecords+PvRecord,"09.12.2025 04:45:00",0,0,"0,9095760221444958",0,0,0,0,"-0,55","4,32",0,0,"4,237399411495532","",False</t>
  </si>
  <si>
    <t>PvRecord { Timestamp = 09.12.2025 05:00:00, Index = 0, DirectGeometryFactor = 0, DiffuseGeometryFactor = 0,9095760221444958, CosSunElevation = 0, GlobalHorizontalIrradiance = 0, SunshineDuration = 0, DiffuseHorizontalIrradiance = 0, AmbientTemp = -0,55, WindSpeed = 4,32, SnowDepth = 0, Weight = 0, Age = 4,237427931383613, MeasuredPower = , HasMeasuredPower = False },LEG.PV.Data.Processor.DataRecords+PvRecord,"09.12.2025 05:00:00",0,0,"0,9095760221444958",0,0,0,0,"-0,55","4,32",0,0,"4,237427931383613","",False</t>
  </si>
  <si>
    <t>PvRecord { Timestamp = 09.12.2025 05:15:00, Index = 0, DirectGeometryFactor = 0, DiffuseGeometryFactor = 0,9095760221444958, CosSunElevation = 0, GlobalHorizontalIrradiance = 0, SunshineDuration = 0, DiffuseHorizontalIrradiance = 0, AmbientTemp = -0,55, WindSpeed = 4,32, SnowDepth = 0, Weight = 0, Age = 4,237456451271695, MeasuredPower = , HasMeasuredPower = False },LEG.PV.Data.Processor.DataRecords+PvRecord,"09.12.2025 05:15:00",0,0,"0,9095760221444958",0,0,0,0,"-0,55","4,32",0,0,"4,237456451271695","",False</t>
  </si>
  <si>
    <t>PvRecord { Timestamp = 09.12.2025 05:30:00, Index = 0, DirectGeometryFactor = 0, DiffuseGeometryFactor = 0,9095760221444958, CosSunElevation = 0, GlobalHorizontalIrradiance = 0, SunshineDuration = 0, DiffuseHorizontalIrradiance = 0, AmbientTemp = -0,8, WindSpeed = 4,68, SnowDepth = 0, Weight = 0, Age = 4,237484971159776, MeasuredPower = , HasMeasuredPower = False },LEG.PV.Data.Processor.DataRecords+PvRecord,"09.12.2025 05:30:00",0,0,"0,9095760221444958",0,0,0,0,"-0,8","4,68",0,0,"4,237484971159776","",False</t>
  </si>
  <si>
    <t>PvRecord { Timestamp = 09.12.2025 05:45:00, Index = 0, DirectGeometryFactor = 0, DiffuseGeometryFactor = 0,9095760221444958, CosSunElevation = 0, GlobalHorizontalIrradiance = 0, SunshineDuration = 0, DiffuseHorizontalIrradiance = 0, AmbientTemp = -0,8, WindSpeed = 4,68, SnowDepth = 0, Weight = 0, Age = 4,237513491047857, MeasuredPower = , HasMeasuredPower = False },LEG.PV.Data.Processor.DataRecords+PvRecord,"09.12.2025 05:45:00",0,0,"0,9095760221444958",0,0,0,0,"-0,8","4,68",0,0,"4,237513491047857","",False</t>
  </si>
  <si>
    <t>PvRecord { Timestamp = 09.12.2025 06:00:00, Index = 0, DirectGeometryFactor = 0, DiffuseGeometryFactor = 0,9095760221444958, CosSunElevation = 0, GlobalHorizontalIrradiance = 0, SunshineDuration = 0, DiffuseHorizontalIrradiance = 0, AmbientTemp = -0,8, WindSpeed = 4,68, SnowDepth = 0, Weight = 0, Age = 4,23754201093594, MeasuredPower = , HasMeasuredPower = False },LEG.PV.Data.Processor.DataRecords+PvRecord,"09.12.2025 06:00:00",0,0,"0,9095760221444958",0,0,0,0,"-0,8","4,68",0,0,"4,23754201093594","",False</t>
  </si>
  <si>
    <t>PvRecord { Timestamp = 09.12.2025 06:15:00, Index = 0, DirectGeometryFactor = 0, DiffuseGeometryFactor = 0,9095760221444958, CosSunElevation = 0, GlobalHorizontalIrradiance = 0, SunshineDuration = 0, DiffuseHorizontalIrradiance = 0, AmbientTemp = -0,8, WindSpeed = 4,68, SnowDepth = 0, Weight = 0, Age = 4,237570530824021, MeasuredPower = , HasMeasuredPower = False },LEG.PV.Data.Processor.DataRecords+PvRecord,"09.12.2025 06:15:00",0,0,"0,9095760221444958",0,0,0,0,"-0,8","4,68",0,0,"4,237570530824021","",False</t>
  </si>
  <si>
    <t>PvRecord { Timestamp = 09.12.2025 06:30:00, Index = 0, DirectGeometryFactor = 0, DiffuseGeometryFactor = 0,9095760221444958, CosSunElevation = 0, GlobalHorizontalIrradiance = 0, SunshineDuration = 0, DiffuseHorizontalIrradiance = 0, AmbientTemp = -0,85, WindSpeed = 7,2, SnowDepth = 0, Weight = 0, Age = 4,237599050712102, MeasuredPower = , HasMeasuredPower = False },LEG.PV.Data.Processor.DataRecords+PvRecord,"09.12.2025 06:30:00",0,0,"0,9095760221444958",0,0,0,0,"-0,85","7,2",0,0,"4,237599050712102","",False</t>
  </si>
  <si>
    <t>PvRecord { Timestamp = 09.12.2025 06:45:00, Index = 0, DirectGeometryFactor = 0, DiffuseGeometryFactor = 0,9095760221444958, CosSunElevation = 0, GlobalHorizontalIrradiance = 0, SunshineDuration = 0, DiffuseHorizontalIrradiance = 0, AmbientTemp = -0,85, WindSpeed = 7,2, SnowDepth = 0, Weight = 0, Age = 4,237627570600184, MeasuredPower = , HasMeasuredPower = False },LEG.PV.Data.Processor.DataRecords+PvRecord,"09.12.2025 06:45:00",0,0,"0,9095760221444958",0,0,0,0,"-0,85","7,2",0,0,"4,237627570600184","",False</t>
  </si>
  <si>
    <t>PvRecord { Timestamp = 09.12.2025 07:00:00, Index = 0, DirectGeometryFactor = 0, DiffuseGeometryFactor = 0,9095760221444958, CosSunElevation = 0, GlobalHorizontalIrradiance = 0, SunshineDuration = 0, DiffuseHorizontalIrradiance = 0, AmbientTemp = -0,85, WindSpeed = 7,2, SnowDepth = 0, Weight = 0, Age = 4,237656090488266, MeasuredPower = , HasMeasuredPower = False },LEG.PV.Data.Processor.DataRecords+PvRecord,"09.12.2025 07:00:00",0,0,"0,9095760221444958",0,0,0,0,"-0,85","7,2",0,0,"4,237656090488266","",False</t>
  </si>
  <si>
    <t>PvRecord { Timestamp = 09.12.2025 07:15:00, Index = 0, DirectGeometryFactor = 0, DiffuseGeometryFactor = 0,9095760221444958, CosSunElevation = 0, GlobalHorizontalIrradiance = 0, SunshineDuration = 0, DiffuseHorizontalIrradiance = 0, AmbientTemp = -0,85, WindSpeed = 7,2, SnowDepth = 0, Weight = 0, Age = 4,2376846103763475, MeasuredPower = , HasMeasuredPower = False },LEG.PV.Data.Processor.DataRecords+PvRecord,"09.12.2025 07:15:00",0,0,"0,9095760221444958",0,0,0,0,"-0,85","7,2",0,0,"4,2376846103763475","",False</t>
  </si>
  <si>
    <t>PvRecord { Timestamp = 09.12.2025 07:30:00, Index = 0, DirectGeometryFactor = 0, DiffuseGeometryFactor = 0,9095760221444958, CosSunElevation = 0, GlobalHorizontalIrradiance = 0, SunshineDuration = 0, DiffuseHorizontalIrradiance = 0, AmbientTemp = -0,5, WindSpeed = 8,28, SnowDepth = 0, Weight = 0, Age = 4,237713130264429, MeasuredPower = , HasMeasuredPower = False },LEG.PV.Data.Processor.DataRecords+PvRecord,"09.12.2025 07:30:00",0,0,"0,9095760221444958",0,0,0,0,"-0,5","8,28",0,0,"4,237713130264429","",False</t>
  </si>
  <si>
    <t>PvRecord { Timestamp = 09.12.2025 07:45:00, Index = 0, DirectGeometryFactor = 0, DiffuseGeometryFactor = 0,9095760221444958, CosSunElevation = 0, GlobalHorizontalIrradiance = 0, SunshineDuration = 0, DiffuseHorizontalIrradiance = 0, AmbientTemp = -0,5, WindSpeed = 8,28, SnowDepth = 0, Weight = 0, Age = 4,23774165015251, MeasuredPower = , HasMeasuredPower = False },LEG.PV.Data.Processor.DataRecords+PvRecord,"09.12.2025 07:45:00",0,0,"0,9095760221444958",0,0,0,0,"-0,5","8,28",0,0,"4,23774165015251","",False</t>
  </si>
  <si>
    <t>PvRecord { Timestamp = 09.12.2025 08:00:00, Index = 0, DirectGeometryFactor = 0, DiffuseGeometryFactor = 0,9095760221444958, CosSunElevation = 0,011565934151233706, GlobalHorizontalIrradiance = 0, SunshineDuration = 0, DiffuseHorizontalIrradiance = 0, AmbientTemp = -0,5, WindSpeed = 8,28, SnowDepth = 0, Weight = 0, Age = 4,237770170040592, MeasuredPower = , HasMeasuredPower = False },LEG.PV.Data.Processor.DataRecords+PvRecord,"09.12.2025 08:00:00",0,0,"0,9095760221444958","0,011565934151233706",0,0,0,"-0,5","8,28",0,0,"4,237770170040592","",False</t>
  </si>
  <si>
    <t>PvRecord { Timestamp = 09.12.2025 08:15:00, Index = 0, DirectGeometryFactor = 0,5292474431823873, DiffuseGeometryFactor = 0,9095760221444958, CosSunElevation = 0,04385700746486773, GlobalHorizontalIrradiance = 0, SunshineDuration = 0, DiffuseHorizontalIrradiance = 0, AmbientTemp = -0,5, WindSpeed = 8,28, SnowDepth = 0, Weight = 0, Age = 4,237798689928674, MeasuredPower = , HasMeasuredPower = False },LEG.PV.Data.Processor.DataRecords+PvRecord,"09.12.2025 08:15:00",0,"0,5292474431823873","0,9095760221444958","0,04385700746486773",0,0,0,"-0,5","8,28",0,0,"4,237798689928674","",False</t>
  </si>
  <si>
    <t>PvRecord { Timestamp = 09.12.2025 08:30:00, Index = 0, DirectGeometryFactor = 0,5689120624969908, DiffuseGeometryFactor = 0,9095760221444958, CosSunElevation = 0,07655718379111014, GlobalHorizontalIrradiance = 60,28333333333333, SunshineDuration = 0, DiffuseHorizontalIrradiance = 26,5, AmbientTemp = 0,04999999999999999, WindSpeed = 8,64, SnowDepth = 0, Weight = 0, Age = 4,237827209816755, MeasuredPower = , HasMeasuredPower = False },LEG.PV.Data.Processor.DataRecords+PvRecord,"09.12.2025 08:30:00",0,"0,5689120624969908","0,9095760221444958","0,07655718379111014","60,28333333333333",0,"26,5","0,04999999999999999","8,64",0,0,"4,237827209816755","",False</t>
  </si>
  <si>
    <t>PvRecord { Timestamp = 09.12.2025 08:45:00, Index = 0, DirectGeometryFactor = 0,6063295911449139, DiffuseGeometryFactor = 0,9095760221444958, CosSunElevation = 0,10841012324908837, GlobalHorizontalIrradiance = 60,28333333333333, SunshineDuration = 0, DiffuseHorizontalIrradiance = 26,5, AmbientTemp = 0,04999999999999999, WindSpeed = 8,64, SnowDepth = 0, Weight = 0, Age = 4,237855729704837, MeasuredPower = , HasMeasuredPower = False },LEG.PV.Data.Processor.DataRecords+PvRecord,"09.12.2025 08:45:00",0,"0,6063295911449139","0,9095760221444958","0,10841012324908837","60,28333333333333",0,"26,5","0,04999999999999999","8,64",0,0,"4,237855729704837","",False</t>
  </si>
  <si>
    <t>PvRecord { Timestamp = 09.12.2025 09:00:00, Index = 0, DirectGeometryFactor = 0,6410176084698533, DiffuseGeometryFactor = 0,9095760221444958, CosSunElevation = 0,13889518819473493, GlobalHorizontalIrradiance = 60,28333333333333, SunshineDuration = 0, DiffuseHorizontalIrradiance = 26,5, AmbientTemp = 0,04999999999999999, WindSpeed = 8,64, SnowDepth = 0, Weight = 0, Age = 4,237884249592918, MeasuredPower = , HasMeasuredPower = False },LEG.PV.Data.Processor.DataRecords+PvRecord,"09.12.2025 09:00:00",0,"0,6410176084698533","0,9095760221444958","0,13889518819473493","60,28333333333333",0,"26,5","0,04999999999999999","8,64",0,0,"4,237884249592918","",False</t>
  </si>
  <si>
    <t>PvRecord { Timestamp = 09.12.2025 09:15:00, Index = 0, DirectGeometryFactor = 0,6727020786840122, DiffuseGeometryFactor = 0,9095760221444958, CosSunElevation = 0,16773164631867452, GlobalHorizontalIrradiance = 60,28333333333333, SunshineDuration = 0, DiffuseHorizontalIrradiance = 26,5, AmbientTemp = 0,04999999999999999, WindSpeed = 8,64, SnowDepth = 0, Weight = 0, Age = 4,2379127694809995, MeasuredPower = , HasMeasuredPower = False },LEG.PV.Data.Processor.DataRecords+PvRecord,"09.12.2025 09:15:00",0,"0,6727020786840122","0,9095760221444958","0,16773164631867452","60,28333333333333",0,"26,5","0,04999999999999999","8,64",0,0,"4,2379127694809995","",False</t>
  </si>
  <si>
    <t>PvRecord { Timestamp = 09.12.2025 09:30:00, Index = 0, DirectGeometryFactor = 0,7011902682567789, DiffuseGeometryFactor = 0,9095760221444958, CosSunElevation = 0,19472754445158097, GlobalHorizontalIrradiance = 103,38333333333333, SunshineDuration = 0, DiffuseHorizontalIrradiance = 88,5, AmbientTemp = 0,75, WindSpeed = 8,46, SnowDepth = 0, Weight = 0, Age = 4,237941289369082, MeasuredPower = , HasMeasuredPower = False },LEG.PV.Data.Processor.DataRecords+PvRecord,"09.12.2025 09:30:00",0,"0,7011902682567789","0,9095760221444958","0,19472754445158097","103,38333333333333",0,"88,5","0,75","8,46",0,0,"4,237941289369082","",False</t>
  </si>
  <si>
    <t>PvRecord { Timestamp = 09.12.2025 09:45:00, Index = 0, DirectGeometryFactor = 0,7263309620517291, DiffuseGeometryFactor = 0,9095760221444958, CosSunElevation = 0,21973211895976794, GlobalHorizontalIrradiance = 103,38333333333333, SunshineDuration = 0, DiffuseHorizontalIrradiance = 88,5, AmbientTemp = 0,75, WindSpeed = 8,46, SnowDepth = 0, Weight = 0, Age = 4,237969809257163, MeasuredPower = , HasMeasuredPower = False },LEG.PV.Data.Processor.DataRecords+PvRecord,"09.12.2025 09:45:00",0,"0,7263309620517291","0,9095760221444958","0,21973211895976794","103,38333333333333",0,"88,5","0,75","8,46",0,0,"4,237969809257163","",False</t>
  </si>
  <si>
    <t>PvRecord { Timestamp = 09.12.2025 10:00:00, Index = 0, DirectGeometryFactor = 0,7480001304735987, DiffuseGeometryFactor = 0,9095760221444958, CosSunElevation = 0,2426185415049449, GlobalHorizontalIrradiance = 103,38333333333333, SunshineDuration = 0, DiffuseHorizontalIrradiance = 88,5, AmbientTemp = 0,75, WindSpeed = 8,46, SnowDepth = 0, Weight = 0, Age = 4,2379983291452445, MeasuredPower = , HasMeasuredPower = False },LEG.PV.Data.Processor.DataRecords+PvRecord,"09.12.2025 10:00:00",0,"0,7480001304735987","0,9095760221444958","0,2426185415049449","103,38333333333333",0,"88,5","0,75","8,46",0,0,"4,2379983291452445","",False</t>
  </si>
  <si>
    <t>PvRecord { Timestamp = 09.12.2025 10:15:00, Index = 0, DirectGeometryFactor = 0,7660951633398778, DiffuseGeometryFactor = 0,9095760221444958, CosSunElevation = 0,2632769249983975, GlobalHorizontalIrradiance = 103,38333333333333, SunshineDuration = 0, DiffuseHorizontalIrradiance = 88,5, AmbientTemp = 0,75, WindSpeed = 8,46, SnowDepth = 0, Weight = 0, Age = 4,238026849033326, MeasuredPower = , HasMeasuredPower = False },LEG.PV.Data.Processor.DataRecords+PvRecord,"09.12.2025 10:15:00",0,"0,7660951633398778","0,9095760221444958","0,2632769249983975","103,38333333333333",0,"88,5","0,75","8,46",0,0,"4,238026849033326","",False</t>
  </si>
  <si>
    <t>PvRecord { Timestamp = 09.12.2025 10:30:00, Index = 0, DirectGeometryFactor = 0,7805323721301246, DiffuseGeometryFactor = 0,9095760221444958, CosSunElevation = 0,28161127410920517, GlobalHorizontalIrradiance = 104,65, SunshineDuration = 0, DiffuseHorizontalIrradiance = 135,5, AmbientTemp = 1,55, WindSpeed = 7,92, SnowDepth = 0, Weight = 0, Age = 4,238055368921407, MeasuredPower = , HasMeasuredPower = False },LEG.PV.Data.Processor.DataRecords+PvRecord,"09.12.2025 10:30:00",0,"0,7805323721301246","0,9095760221444958","0,28161127410920517","104,65",0,"135,5","1,55","7,92",0,0,"4,238055368921407","",False</t>
  </si>
  <si>
    <t>PvRecord { Timestamp = 09.12.2025 10:45:00, Index = 0, DirectGeometryFactor = 0,7912458605442336, DiffuseGeometryFactor = 0,9095760221444958, CosSunElevation = 0,2975381113444582, GlobalHorizontalIrradiance = 104,65, SunshineDuration = 0, DiffuseHorizontalIrradiance = 135,5, AmbientTemp = 1,55, WindSpeed = 7,92, SnowDepth = 0, Weight = 0, Age = 4,23808388880949, MeasuredPower = , HasMeasuredPower = False },LEG.PV.Data.Processor.DataRecords+PvRecord,"09.12.2025 10:45:00",0,"0,7912458605442336","0,9095760221444958","0,2975381113444582","104,65",0,"135,5","1,55","7,92",0,0,"4,23808388880949","",False</t>
  </si>
  <si>
    <t>PvRecord { Timestamp = 09.12.2025 11:00:00, Index = 0, DirectGeometryFactor = 0,7981870016630228, DiffuseGeometryFactor = 0,9095760221444958, CosSunElevation = 0,3109858678727438, GlobalHorizontalIrradiance = 104,65, SunshineDuration = 0, DiffuseHorizontalIrradiance = 135,5, AmbientTemp = 1,55, WindSpeed = 7,92, SnowDepth = 0, Weight = 0, Age = 4,238112408697571, MeasuredPower = , HasMeasuredPower = False },LEG.PV.Data.Processor.DataRecords+PvRecord,"09.12.2025 11:00:00",0,"0,7981870016630228","0,9095760221444958","0,3109858678727438","104,65",0,"135,5","1,55","7,92",0,0,"4,238112408697571","",False</t>
  </si>
  <si>
    <t>PvRecord { Timestamp = 09.12.2025 11:15:00, Index = 0, DirectGeometryFactor = 0,801324187085851, DiffuseGeometryFactor = 0,9095760221444958, CosSunElevation = 0,3218946383498139, GlobalHorizontalIrradiance = 104,65, SunshineDuration = 0, DiffuseHorizontalIrradiance = 135,5, AmbientTemp = 1,55, WindSpeed = 7,92, SnowDepth = 0, Weight = 0, Age = 4,238140928585652, MeasuredPower = , HasMeasuredPower = False },LEG.PV.Data.Processor.DataRecords+PvRecord,"09.12.2025 11:15:00",0,"0,801324187085851","0,9095760221444958","0,3218946383498139","104,65",0,"135,5","1,55","7,92",0,0,"4,238140928585652","",False</t>
  </si>
  <si>
    <t>PvRecord { Timestamp = 09.12.2025 11:30:00, Index = 0, DirectGeometryFactor = 0,8006426900200552, DiffuseGeometryFactor = 0,9095760221444958, CosSunElevation = 0,3302161100945767, GlobalHorizontalIrradiance = 104,21666666666667, SunshineDuration = 0, DiffuseHorizontalIrradiance = 162, AmbientTemp = 2,1, WindSpeed = 7,2, SnowDepth = 0, Weight = 0, Age = 4,238169448473734, MeasuredPower = , HasMeasuredPower = False },LEG.PV.Data.Processor.DataRecords+PvRecord,"09.12.2025 11:30:00",0,"0,8006426900200552","0,9095760221444958","0,3302161100945767","104,21666666666667",0,162,"2,1","7,2",0,0,"4,238169448473734","",False</t>
  </si>
  <si>
    <t>PvRecord { Timestamp = 09.12.2025 11:45:00, Index = 0, DirectGeometryFactor = 0,796144562889738, DiffuseGeometryFactor = 0,9095760221444958, CosSunElevation = 0,33591357102012714, GlobalHorizontalIrradiance = 104,21666666666667, SunshineDuration = 0, DiffuseHorizontalIrradiance = 162, AmbientTemp = 2,1, WindSpeed = 7,2, SnowDepth = 0, Weight = 0, Age = 4,238197968361815, MeasuredPower = , HasMeasuredPower = False },LEG.PV.Data.Processor.DataRecords+PvRecord,"09.12.2025 11:45:00",0,"0,796144562889738","0,9095760221444958","0,33591357102012714","104,21666666666667",0,162,"2,1","7,2",0,0,"4,238197968361815","",False</t>
  </si>
  <si>
    <t>PvRecord { Timestamp = 09.12.2025 12:00:00, Index = 0, DirectGeometryFactor = 0,7878485278280729, DiffuseGeometryFactor = 0,9095760221444958, CosSunElevation = 0,33896194570152044, GlobalHorizontalIrradiance = 104,21666666666667, SunshineDuration = 0, DiffuseHorizontalIrradiance = 162, AmbientTemp = 2,1, WindSpeed = 7,2, SnowDepth = 0, Weight = 0, Age = 4,2382264882498975, MeasuredPower = , HasMeasuredPower = False },LEG.PV.Data.Processor.DataRecords+PvRecord,"09.12.2025 12:00:00",0,"0,7878485278280729","0,9095760221444958","0,33896194570152044","104,21666666666667",0,162,"2,1","7,2",0,0,"4,2382264882498975","",False</t>
  </si>
  <si>
    <t>PvRecord { Timestamp = 09.12.2025 12:15:00, Index = 0, DirectGeometryFactor = 0,7757898379548027, DiffuseGeometryFactor = 0,9095760221444958, CosSunElevation = 0,3393478323496543, GlobalHorizontalIrradiance = 104,21666666666667, SunshineDuration = 0, DiffuseHorizontalIrradiance = 162, AmbientTemp = 2,1, WindSpeed = 7,2, SnowDepth = 0, Weight = 0, Age = 4,238255008137979, MeasuredPower = , HasMeasuredPower = False },LEG.PV.Data.Processor.DataRecords+PvRecord,"09.12.2025 12:15:00",0,"0,7757898379548027","0,9095760221444958","0,3393478323496543","104,21666666666667",0,162,"2,1","7,2",0,0,"4,238255008137979","",False</t>
  </si>
  <si>
    <t>PvRecord { Timestamp = 09.12.2025 12:30:00, Index = 0, DirectGeometryFactor = 0,7600200979364053, DiffuseGeometryFactor = 0,9095760221444958, CosSunElevation = 0,3370695261314042, GlobalHorizontalIrradiance = 98,31666666666666, SunshineDuration = 0, DiffuseHorizontalIrradiance = 165, AmbientTemp = 2,5, WindSpeed = 7,0200000000000005, SnowDepth = 0, Weight = 0, Age = 4,23828352802606, MeasuredPower = , HasMeasuredPower = False },LEG.PV.Data.Processor.DataRecords+PvRecord,"09.12.2025 12:30:00",0,"0,7600200979364053","0,9095760221444958","0,3370695261314042","98,31666666666666",0,165,"2,5","7,0200000000000005",0,0,"4,23828352802606","",False</t>
  </si>
  <si>
    <t>PvRecord { Timestamp = 09.12.2025 12:45:00, Index = 0, DirectGeometryFactor = 0,7406070392409574, DiffuseGeometryFactor = 0,9095760221444958, CosSunElevation = 0,33213702216703006, GlobalHorizontalIrradiance = 98,31666666666666, SunshineDuration = 0, DiffuseHorizontalIrradiance = 165, AmbientTemp = 2,5, WindSpeed = 7,0200000000000005, SnowDepth = 0, Weight = 0, Age = 4,238312047914142, MeasuredPower = , HasMeasuredPower = False },LEG.PV.Data.Processor.DataRecords+PvRecord,"09.12.2025 12:45:00",0,"0,7406070392409574","0,9095760221444958","0,33213702216703006","98,31666666666666",0,165,"2,5","7,0200000000000005",0,0,"4,238312047914142","",False</t>
  </si>
  <si>
    <t>PvRecord { Timestamp = 09.12.2025 13:00:00, Index = 0, DirectGeometryFactor = 0,7176342503687059, DiffuseGeometryFactor = 0,9095760221444958, CosSunElevation = 0,32457199747979004, GlobalHorizontalIrradiance = 98,31666666666666, SunshineDuration = 0, DiffuseHorizontalIrradiance = 165, AmbientTemp = 2,5, WindSpeed = 7,0200000000000005, SnowDepth = 0, Weight = 0, Age = 4,238340567802223, MeasuredPower = , HasMeasuredPower = False },LEG.PV.Data.Processor.DataRecords+PvRecord,"09.12.2025 13:00:00",0,"0,7176342503687059","0,9095760221444958","0,32457199747979004","98,31666666666666",0,165,"2,5","7,0200000000000005",0,0,"4,238340567802223","",False</t>
  </si>
  <si>
    <t>PvRecord { Timestamp = 09.12.2025 13:15:00, Index = 0, DirectGeometryFactor = 0,6912008669065333, DiffuseGeometryFactor = 0,9095760221444958, CosSunElevation = 0,3144077766464954, GlobalHorizontalIrradiance = 98,31666666666666, SunshineDuration = 0, DiffuseHorizontalIrradiance = 165, AmbientTemp = 2,5, WindSpeed = 7,0200000000000005, SnowDepth = 0, Weight = 0, Age = 4,238369087690305, MeasuredPower = , HasMeasuredPower = False },LEG.PV.Data.Processor.DataRecords+PvRecord,"09.12.2025 13:15:00",0,"0,6912008669065333","0,9095760221444958","0,3144077766464954","98,31666666666666",0,165,"2,5","7,0200000000000005",0,0,"4,238369087690305","",False</t>
  </si>
  <si>
    <t>PvRecord { Timestamp = 09.12.2025 13:30:00, Index = 0, DirectGeometryFactor = 0,6614212326372861, DiffuseGeometryFactor = 0,9095760221444958, CosSunElevation = 0,3016892931180285, GlobalHorizontalIrradiance = 86,66666666666667, SunshineDuration = 0, DiffuseHorizontalIrradiance = 143,5, AmbientTemp = 2,6, WindSpeed = 6,12, SnowDepth = 0, Weight = 0, Age = 4,238397607578387, MeasuredPower = , HasMeasuredPower = False },LEG.PV.Data.Processor.DataRecords+PvRecord,"09.12.2025 13:30:00",0,"0,6614212326372861","0,9095760221444958","0,3016892931180285","86,66666666666667",0,"143,5","2,6","6,12",0,0,"4,238397607578387","",False</t>
  </si>
  <si>
    <t>PvRecord { Timestamp = 09.12.2025 13:45:00, Index = 0, DirectGeometryFactor = 0,6284245517816678, DiffuseGeometryFactor = 0,9095760221444958, CosSunElevation = 0,2864730691130605, GlobalHorizontalIrradiance = 86,66666666666667, SunshineDuration = 0, DiffuseHorizontalIrradiance = 143,5, AmbientTemp = 2,6, WindSpeed = 6,12, SnowDepth = 0, Weight = 0, Age = 4,238426127466468, MeasuredPower = , HasMeasuredPower = False },LEG.PV.Data.Processor.DataRecords+PvRecord,"09.12.2025 13:45:00",0,"0,6284245517816678","0,9095760221444958","0,2864730691130605","86,66666666666667",0,"143,5","2,6","6,12",0,0,"4,238426127466468","",False</t>
  </si>
  <si>
    <t>PvRecord { Timestamp = 09.12.2025 14:00:00, Index = 0, DirectGeometryFactor = 0,5923545682976333, DiffuseGeometryFactor = 0,9095760221444958, CosSunElevation = 0,2688272561883115, GlobalHorizontalIrradiance = 86,66666666666667, SunshineDuration = 0, DiffuseHorizontalIrradiance = 143,5, AmbientTemp = 2,6, WindSpeed = 6,12, SnowDepth = 0, Weight = 0, Age = 4,2384546473545495, MeasuredPower = , HasMeasuredPower = False },LEG.PV.Data.Processor.DataRecords+PvRecord,"09.12.2025 14:00:00",0,"0,5923545682976333","0,9095760221444958","0,2688272561883115","86,66666666666667",0,"143,5","2,6","6,12",0,0,"4,2384546473545495","",False</t>
  </si>
  <si>
    <t>PvRecord { Timestamp = 09.12.2025 14:15:00, Index = 0, DirectGeometryFactor = 0,5533693393061371, DiffuseGeometryFactor = 0,9095760221444958, CosSunElevation = 0,24883181582461658, GlobalHorizontalIrradiance = 86,66666666666667, SunshineDuration = 0, DiffuseHorizontalIrradiance = 143,5, AmbientTemp = 2,6, WindSpeed = 6,12, SnowDepth = 0, Weight = 0, Age = 4,238483167242631, MeasuredPower = , HasMeasuredPower = False },LEG.PV.Data.Processor.DataRecords+PvRecord,"09.12.2025 14:15:00",0,"0,5533693393061371","0,9095760221444958","0,24883181582461658","86,66666666666667",0,"143,5","2,6","6,12",0,0,"4,238483167242631","",False</t>
  </si>
  <si>
    <t>PvRecord { Timestamp = 09.12.2025 14:30:00, Index = 0, DirectGeometryFactor = 0,5116412315591214, DiffuseGeometryFactor = 0,9095760221444958, CosSunElevation = 0,22657899478797675, GlobalHorizontalIrradiance = 67,88333333333333, SunshineDuration = 0, DiffuseHorizontalIrradiance = 102,5, AmbientTemp = 2,55, WindSpeed = 4,5, SnowDepth = 0, Weight = 0, Age = 4,238511687130713, MeasuredPower = , HasMeasuredPower = False },LEG.PV.Data.Processor.DataRecords+PvRecord,"09.12.2025 14:30:00",0,"0,5116412315591214","0,9095760221444958","0,22657899478797675","67,88333333333333",0,"102,5","2,55","4,5",0,0,"4,238511687130713","",False</t>
  </si>
  <si>
    <t>PvRecord { Timestamp = 09.12.2025 14:45:00, Index = 0, DirectGeometryFactor = 0,4673574062423266, DiffuseGeometryFactor = 0,9095760221444958, CosSunElevation = 0,20217441558251872, GlobalHorizontalIrradiance = 67,88333333333333, SunshineDuration = 0, DiffuseHorizontalIrradiance = 102,5, AmbientTemp = 2,55, WindSpeed = 4,5, SnowDepth = 0, Weight = 0, Age = 4,2385402070187945, MeasuredPower = , HasMeasuredPower = False },LEG.PV.Data.Processor.DataRecords+PvRecord,"09.12.2025 14:45:00",0,"0,4673574062423266","0,9095760221444958","0,20217441558251872","67,88333333333333",0,"102,5","2,55","4,5",0,0,"4,2385402070187945","",False</t>
  </si>
  <si>
    <t>PvRecord { Timestamp = 09.12.2025 15:00:00, Index = 0, DirectGeometryFactor = 0,4207213809229547, DiffuseGeometryFactor = 0,9095760221444958, CosSunElevation = 0,17573949444792936, GlobalHorizontalIrradiance = 67,88333333333333, SunshineDuration = 0, DiffuseHorizontalIrradiance = 102,5, AmbientTemp = 2,55, WindSpeed = 4,5, SnowDepth = 0, Weight = 0, Age = 4,238568726906876, MeasuredPower = , HasMeasuredPower = False },LEG.PV.Data.Processor.DataRecords+PvRecord,"09.12.2025 15:00:00",0,"0,4207213809229547","0,9095760221444958","0,17573949444792936","67,88333333333333",0,"102,5","2,55","4,5",0,0,"4,238568726906876","",False</t>
  </si>
  <si>
    <t>PvRecord { Timestamp = 09.12.2025 15:15:00, Index = 0, DirectGeometryFactor = 0,37195709115784314, DiffuseGeometryFactor = 0,9095760221444958, CosSunElevation = 0,14741691173322238, GlobalHorizontalIrradiance = 67,88333333333333, SunshineDuration = 0, DiffuseHorizontalIrradiance = 102,5, AmbientTemp = 2,55, WindSpeed = 4,5, SnowDepth = 0, Weight = 0, Age = 4,238597246794957, MeasuredPower = , HasMeasuredPower = False },LEG.PV.Data.Processor.DataRecords+PvRecord,"09.12.2025 15:15:00",0,"0,37195709115784314","0,9095760221444958","0,14741691173322238","67,88333333333333",0,"102,5","2,55","4,5",0,0,"4,238597246794957","",False</t>
  </si>
  <si>
    <t>PvRecord { Timestamp = 09.12.2025 15:30:00, Index = 0, DirectGeometryFactor = 0,32131927548389705, DiffuseGeometryFactor = 0,9095760221444958, CosSunElevation = 0,11738377332390887, GlobalHorizontalIrradiance = 47,733333333333334, SunshineDuration = 0, DiffuseHorizontalIrradiance = 51, AmbientTemp = 2,35, WindSpeed = 2,8800000000000003, SnowDepth = 0, Weight = 0, Age = 4,238625766683039, MeasuredPower = , HasMeasuredPower = False },LEG.PV.Data.Processor.DataRecords+PvRecord,"09.12.2025 15:30:00",0,"0,32131927548389705","0,9095760221444958","0,11738377332390887","47,733333333333334",0,51,"2,35","2,8800000000000003",0,0,"4,238625766683039","",False</t>
  </si>
  <si>
    <t>PvRecord { Timestamp = 09.12.2025 15:45:00, Index = 0, DirectGeometryFactor = 0, DiffuseGeometryFactor = 0,9095760221444958, CosSunElevation = 0,08588662484821379, GlobalHorizontalIrradiance = 47,733333333333334, SunshineDuration = 0, DiffuseHorizontalIrradiance = 51, AmbientTemp = 2,35, WindSpeed = 2,8800000000000003, SnowDepth = 0, Weight = 0, Age = 4,238654286571121, MeasuredPower = , HasMeasuredPower = False },LEG.PV.Data.Processor.DataRecords+PvRecord,"09.12.2025 15:45:00",0,0,"0,9095760221444958","0,08588662484821379","47,733333333333334",0,51,"2,35","2,8800000000000003",0,0,"4,238654286571121","",False</t>
  </si>
  <si>
    <t>PvRecord { Timestamp = 09.12.2025 16:00:00, Index = 0, DirectGeometryFactor = 0, DiffuseGeometryFactor = 0,9095760221444958, CosSunElevation = 0,05334812593413908, GlobalHorizontalIrradiance = 47,733333333333334, SunshineDuration = 0, DiffuseHorizontalIrradiance = 51, AmbientTemp = 2,35, WindSpeed = 2,8800000000000003, SnowDepth = 0, Weight = 0, Age = 4,238682806459202, MeasuredPower = , HasMeasuredPower = False },LEG.PV.Data.Processor.DataRecords+PvRecord,"09.12.2025 16:00:00",0,0,"0,9095760221444958","0,05334812593413908","47,733333333333334",0,51,"2,35","2,8800000000000003",0,0,"4,238682806459202","",False</t>
  </si>
  <si>
    <t>PvRecord { Timestamp = 09.12.2025 16:15:00, Index = 0, DirectGeometryFactor = 0, DiffuseGeometryFactor = 0,9095760221444958, CosSunElevation = 0,02072875364071954, GlobalHorizontalIrradiance = 47,733333333333334, SunshineDuration = 0, DiffuseHorizontalIrradiance = 51, AmbientTemp = 2,35, WindSpeed = 2,8800000000000003, SnowDepth = 0, Weight = 0, Age = 4,238711326347284, MeasuredPower = , HasMeasuredPower = False },LEG.PV.Data.Processor.DataRecords+PvRecord,"09.12.2025 16:15:00",0,0,"0,9095760221444958","0,02072875364071954","47,733333333333334",0,51,"2,35","2,8800000000000003",0,0,"4,238711326347284","",False</t>
  </si>
  <si>
    <t>PvRecord { Timestamp = 09.12.2025 16:30:00,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4,238739846235365, MeasuredPower = , HasMeasuredPower = False },LEG.PV.Data.Processor.DataRecords+PvRecord,"09.12.2025 16:30:00",0,0,"0,9095760221444958",0,"11,883333333333333",0,10,"2,1","2,52",0,0,"4,238739846235365","",False</t>
  </si>
  <si>
    <t>PvRecord { Timestamp = 09.12.2025 16:45:00,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4,2387683661234465, MeasuredPower = , HasMeasuredPower = False },LEG.PV.Data.Processor.DataRecords+PvRecord,"09.12.2025 16:45:00",0,0,"0,9095760221444958",0,"11,883333333333333",0,10,"2,1","2,52",0,0,"4,2387683661234465","",False</t>
  </si>
  <si>
    <t>PvRecord { Timestamp = 09.12.2025 17:00:00,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4,238796886011529, MeasuredPower = , HasMeasuredPower = False },LEG.PV.Data.Processor.DataRecords+PvRecord,"09.12.2025 17:00:00",0,0,"0,9095760221444958",0,"11,883333333333333",0,10,"2,1","2,52",0,0,"4,238796886011529","",False</t>
  </si>
  <si>
    <t>PvRecord { Timestamp = 09.12.2025 17:15:00, Index = 0, DirectGeometryFactor = 0, DiffuseGeometryFactor = 0,9095760221444958, CosSunElevation = 0, GlobalHorizontalIrradiance = 11,883333333333333, SunshineDuration = 0, DiffuseHorizontalIrradiance = 10, AmbientTemp = 2,1, WindSpeed = 2,52, SnowDepth = 0, Weight = 0, Age = 4,23882540589961, MeasuredPower = , HasMeasuredPower = False },LEG.PV.Data.Processor.DataRecords+PvRecord,"09.12.2025 17:15:00",0,0,"0,9095760221444958",0,"11,883333333333333",0,10,"2,1","2,52",0,0,"4,23882540589961","",False</t>
  </si>
  <si>
    <t>PvRecord { Timestamp = 09.12.2025 17:30:00,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4,238853925787692, MeasuredPower = , HasMeasuredPower = False },LEG.PV.Data.Processor.DataRecords+PvRecord,"09.12.2025 17:30:00",0,0,"0,9095760221444958",0,0,0,0,"1,85","4,680000000000001",0,0,"4,238853925787692","",False</t>
  </si>
  <si>
    <t>PvRecord { Timestamp = 09.12.2025 17:45:00,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4,238882445675773, MeasuredPower = , HasMeasuredPower = False },LEG.PV.Data.Processor.DataRecords+PvRecord,"09.12.2025 17:45:00",0,0,"0,9095760221444958",0,0,0,0,"1,85","4,680000000000001",0,0,"4,238882445675773","",False</t>
  </si>
  <si>
    <t>PvRecord { Timestamp = 09.12.2025 18:00:00,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4,238910965563854, MeasuredPower = , HasMeasuredPower = False },LEG.PV.Data.Processor.DataRecords+PvRecord,"09.12.2025 18:00:00",0,0,"0,9095760221444958",0,0,0,0,"1,85","4,680000000000001",0,0,"4,238910965563854","",False</t>
  </si>
  <si>
    <t>PvRecord { Timestamp = 09.12.2025 18:15:00, Index = 0, DirectGeometryFactor = 0, DiffuseGeometryFactor = 0,9095760221444958, CosSunElevation = 0, GlobalHorizontalIrradiance = 0, SunshineDuration = 0, DiffuseHorizontalIrradiance = 0, AmbientTemp = 1,85, WindSpeed = 4,680000000000001, SnowDepth = 0, Weight = 0, Age = 4,238939485451937, MeasuredPower = , HasMeasuredPower = False },LEG.PV.Data.Processor.DataRecords+PvRecord,"09.12.2025 18:15:00",0,0,"0,9095760221444958",0,0,0,0,"1,85","4,680000000000001",0,0,"4,238939485451937","",False</t>
  </si>
  <si>
    <t>PvRecord { Timestamp = 09.12.2025 18:30:00, Index = 0, DirectGeometryFactor = 0, DiffuseGeometryFactor = 0,9095760221444958, CosSunElevation = 0, GlobalHorizontalIrradiance = 0, SunshineDuration = 0, DiffuseHorizontalIrradiance = 0, AmbientTemp = 1,7, WindSpeed = 6,66, SnowDepth = 0, Weight = 0, Age = 4,238968005340018, MeasuredPower = , HasMeasuredPower = False },LEG.PV.Data.Processor.DataRecords+PvRecord,"09.12.2025 18:30:00",0,0,"0,9095760221444958",0,0,0,0,"1,7","6,66",0,0,"4,238968005340018","",False</t>
  </si>
  <si>
    <t>PvRecord { Timestamp = 09.12.2025 18:45:00, Index = 0, DirectGeometryFactor = 0, DiffuseGeometryFactor = 0,9095760221444958, CosSunElevation = 0, GlobalHorizontalIrradiance = 0, SunshineDuration = 0, DiffuseHorizontalIrradiance = 0, AmbientTemp = 1,7, WindSpeed = 6,66, SnowDepth = 0, Weight = 0, Age = 4,238996525228099, MeasuredPower = , HasMeasuredPower = False },LEG.PV.Data.Processor.DataRecords+PvRecord,"09.12.2025 18:45:00",0,0,"0,9095760221444958",0,0,0,0,"1,7","6,66",0,0,"4,238996525228099","",False</t>
  </si>
  <si>
    <t>PvRecord { Timestamp = 09.12.2025 19:00:00, Index = 0, DirectGeometryFactor = 0, DiffuseGeometryFactor = 0,9095760221444958, CosSunElevation = 0, GlobalHorizontalIrradiance = 0, SunshineDuration = 0, DiffuseHorizontalIrradiance = 0, AmbientTemp = 1,7, WindSpeed = 6,66, SnowDepth = 0, Weight = 0, Age = 4,239025045116181, MeasuredPower = , HasMeasuredPower = False },LEG.PV.Data.Processor.DataRecords+PvRecord,"09.12.2025 19:00:00",0,0,"0,9095760221444958",0,0,0,0,"1,7","6,66",0,0,"4,239025045116181","",False</t>
  </si>
  <si>
    <t>PvRecord { Timestamp = 09.12.2025 19:15:00, Index = 0, DirectGeometryFactor = 0, DiffuseGeometryFactor = 0,9095760221444958, CosSunElevation = 0, GlobalHorizontalIrradiance = 0, SunshineDuration = 0, DiffuseHorizontalIrradiance = 0, AmbientTemp = 1,7, WindSpeed = 6,66, SnowDepth = 0, Weight = 0, Age = 4,239053565004262, MeasuredPower = , HasMeasuredPower = False },LEG.PV.Data.Processor.DataRecords+PvRecord,"09.12.2025 19:15:00",0,0,"0,9095760221444958",0,0,0,0,"1,7","6,66",0,0,"4,239053565004262","",False</t>
  </si>
  <si>
    <t>PvRecord { Timestamp = 09.12.2025 19:30:00, Index = 0, DirectGeometryFactor = 0, DiffuseGeometryFactor = 0,9095760221444958, CosSunElevation = 0, GlobalHorizontalIrradiance = 0, SunshineDuration = 0, DiffuseHorizontalIrradiance = 0, AmbientTemp = 1,65, WindSpeed = 9, SnowDepth = 0, Weight = 0, Age = 4,2390820848923445, MeasuredPower = , HasMeasuredPower = False },LEG.PV.Data.Processor.DataRecords+PvRecord,"09.12.2025 19:30:00",0,0,"0,9095760221444958",0,0,0,0,"1,65",9,0,0,"4,2390820848923445","",False</t>
  </si>
  <si>
    <t>PvRecord { Timestamp = 09.12.2025 19:45:00, Index = 0, DirectGeometryFactor = 0, DiffuseGeometryFactor = 0,9095760221444958, CosSunElevation = 0, GlobalHorizontalIrradiance = 0, SunshineDuration = 0, DiffuseHorizontalIrradiance = 0, AmbientTemp = 1,65, WindSpeed = 9, SnowDepth = 0, Weight = 0, Age = 4,239110604780426, MeasuredPower = , HasMeasuredPower = False },LEG.PV.Data.Processor.DataRecords+PvRecord,"09.12.2025 19:45:00",0,0,"0,9095760221444958",0,0,0,0,"1,65",9,0,0,"4,239110604780426","",False</t>
  </si>
  <si>
    <t>PvRecord { Timestamp = 09.12.2025 20:00:00, Index = 0, DirectGeometryFactor = 0, DiffuseGeometryFactor = 0,9095760221444958, CosSunElevation = 0, GlobalHorizontalIrradiance = 0, SunshineDuration = 0, DiffuseHorizontalIrradiance = 0, AmbientTemp = 1,65, WindSpeed = 9, SnowDepth = 0, Weight = 0, Age = 4,239139124668507, MeasuredPower = , HasMeasuredPower = False },LEG.PV.Data.Processor.DataRecords+PvRecord,"09.12.2025 20:00:00",0,0,"0,9095760221444958",0,0,0,0,"1,65",9,0,0,"4,239139124668507","",False</t>
  </si>
  <si>
    <t>PvRecord { Timestamp = 09.12.2025 20:15:00, Index = 0, DirectGeometryFactor = 0, DiffuseGeometryFactor = 0,9095760221444958, CosSunElevation = 0, GlobalHorizontalIrradiance = 0, SunshineDuration = 0, DiffuseHorizontalIrradiance = 0, AmbientTemp = 1,65, WindSpeed = 9, SnowDepth = 0, Weight = 0, Age = 4,239167644556589, MeasuredPower = , HasMeasuredPower = False },LEG.PV.Data.Processor.DataRecords+PvRecord,"09.12.2025 20:15:00",0,0,"0,9095760221444958",0,0,0,0,"1,65",9,0,0,"4,239167644556589","",False</t>
  </si>
  <si>
    <t>PvRecord { Timestamp = 09.12.2025 20:30:00, Index = 0, DirectGeometryFactor = 0, DiffuseGeometryFactor = 0,9095760221444958, CosSunElevation = 0, GlobalHorizontalIrradiance = 0, SunshineDuration = 0, DiffuseHorizontalIrradiance = 0, AmbientTemp = 1,55, WindSpeed = 12,06, SnowDepth = 0, Weight = 0, Age = 4,23919616444467, MeasuredPower = , HasMeasuredPower = False },LEG.PV.Data.Processor.DataRecords+PvRecord,"09.12.2025 20:30:00",0,0,"0,9095760221444958",0,0,0,0,"1,55","12,06",0,0,"4,23919616444467","",False</t>
  </si>
  <si>
    <t>PvRecord { Timestamp = 09.12.2025 20:45:00, Index = 0, DirectGeometryFactor = 0, DiffuseGeometryFactor = 0,9095760221444958, CosSunElevation = 0, GlobalHorizontalIrradiance = 0, SunshineDuration = 0, DiffuseHorizontalIrradiance = 0, AmbientTemp = 1,55, WindSpeed = 12,06, SnowDepth = 0, Weight = 0, Age = 4,239224684332752, MeasuredPower = , HasMeasuredPower = False },LEG.PV.Data.Processor.DataRecords+PvRecord,"09.12.2025 20:45:00",0,0,"0,9095760221444958",0,0,0,0,"1,55","12,06",0,0,"4,239224684332752","",False</t>
  </si>
  <si>
    <t>PvRecord { Timestamp = 09.12.2025 21:00:00, Index = 0, DirectGeometryFactor = 0, DiffuseGeometryFactor = 0,9095760221444958, CosSunElevation = 0, GlobalHorizontalIrradiance = 0, SunshineDuration = 0, DiffuseHorizontalIrradiance = 0, AmbientTemp = 1,55, WindSpeed = 12,06, SnowDepth = 0, Weight = 0, Age = 4,239253204220834, MeasuredPower = , HasMeasuredPower = False },LEG.PV.Data.Processor.DataRecords+PvRecord,"09.12.2025 21:00:00",0,0,"0,9095760221444958",0,0,0,0,"1,55","12,06",0,0,"4,239253204220834","",False</t>
  </si>
  <si>
    <t>PvRecord { Timestamp = 09.12.2025 21:15:00, Index = 0, DirectGeometryFactor = 0, DiffuseGeometryFactor = 0,9095760221444958, CosSunElevation = 0, GlobalHorizontalIrradiance = 0, SunshineDuration = 0, DiffuseHorizontalIrradiance = 0, AmbientTemp = 1,55, WindSpeed = 12,06, SnowDepth = 0, Weight = 0, Age = 4,239281724108915, MeasuredPower = , HasMeasuredPower = False },LEG.PV.Data.Processor.DataRecords+PvRecord,"09.12.2025 21:15:00",0,0,"0,9095760221444958",0,0,0,0,"1,55","12,06",0,0,"4,239281724108915","",False</t>
  </si>
  <si>
    <t>PvRecord { Timestamp = 09.12.2025 21:30:00, Index = 0, DirectGeometryFactor = 0, DiffuseGeometryFactor = 0,9095760221444958, CosSunElevation = 0, GlobalHorizontalIrradiance = 0, SunshineDuration = 0, DiffuseHorizontalIrradiance = 0, AmbientTemp = 1,5, WindSpeed = 15,48, SnowDepth = 0, Weight = 0, Age = 4,2393102439969965, MeasuredPower = , HasMeasuredPower = False },LEG.PV.Data.Processor.DataRecords+PvRecord,"09.12.2025 21:30:00",0,0,"0,9095760221444958",0,0,0,0,"1,5","15,48",0,0,"4,2393102439969965","",False</t>
  </si>
  <si>
    <t>PvRecord { Timestamp = 09.12.2025 21:45:00, Index = 0, DirectGeometryFactor = 0, DiffuseGeometryFactor = 0,9095760221444958, CosSunElevation = 0, GlobalHorizontalIrradiance = 0, SunshineDuration = 0, DiffuseHorizontalIrradiance = 0, AmbientTemp = 1,5, WindSpeed = 15,48, SnowDepth = 0, Weight = 0, Age = 4,239338763885078, MeasuredPower = , HasMeasuredPower = False },LEG.PV.Data.Processor.DataRecords+PvRecord,"09.12.2025 21:45:00",0,0,"0,9095760221444958",0,0,0,0,"1,5","15,48",0,0,"4,239338763885078","",False</t>
  </si>
  <si>
    <t>PvRecord { Timestamp = 09.12.2025 22:00:00, Index = 0, DirectGeometryFactor = 0, DiffuseGeometryFactor = 0,9095760221444958, CosSunElevation = 0, GlobalHorizontalIrradiance = 0, SunshineDuration = 0, DiffuseHorizontalIrradiance = 0, AmbientTemp = 1,5, WindSpeed = 15,48, SnowDepth = 0, Weight = 0, Age = 4,23936728377316, MeasuredPower = , HasMeasuredPower = False },LEG.PV.Data.Processor.DataRecords+PvRecord,"09.12.2025 22:00:00",0,0,"0,9095760221444958",0,0,0,0,"1,5","15,48",0,0,"4,23936728377316","",False</t>
  </si>
  <si>
    <t>PvRecord { Timestamp = 09.12.2025 22:15:00, Index = 0, DirectGeometryFactor = 0, DiffuseGeometryFactor = 0,9095760221444958, CosSunElevation = 0, GlobalHorizontalIrradiance = 0, SunshineDuration = 0, DiffuseHorizontalIrradiance = 0, AmbientTemp = 1,5, WindSpeed = 15,48, SnowDepth = 0, Weight = 0, Age = 4,239395803661242, MeasuredPower = , HasMeasuredPower = False },LEG.PV.Data.Processor.DataRecords+PvRecord,"09.12.2025 22:15:00",0,0,"0,9095760221444958",0,0,0,0,"1,5","15,48",0,0,"4,239395803661242","",False</t>
  </si>
  <si>
    <t>PvRecord { Timestamp = 09.12.2025 22:30:00,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4,239424323549323, MeasuredPower = , HasMeasuredPower = False },LEG.PV.Data.Processor.DataRecords+PvRecord,"09.12.2025 22:30:00",0,0,"0,9095760221444958",0,0,0,0,"1,45","19,439999999999998",0,0,"4,239424323549323","",False</t>
  </si>
  <si>
    <t>PvRecord { Timestamp = 09.12.2025 22:45:00,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4,239452843437404, MeasuredPower = , HasMeasuredPower = False },LEG.PV.Data.Processor.DataRecords+PvRecord,"09.12.2025 22:45:00",0,0,"0,9095760221444958",0,0,0,0,"1,45","19,439999999999998",0,0,"4,239452843437404","",False</t>
  </si>
  <si>
    <t>PvRecord { Timestamp = 09.12.2025 23:00:00,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4,239481363325486, MeasuredPower = , HasMeasuredPower = False },LEG.PV.Data.Processor.DataRecords+PvRecord,"09.12.2025 23:00:00",0,0,"0,9095760221444958",0,0,0,0,"1,45","19,439999999999998",0,0,"4,239481363325486","",False</t>
  </si>
  <si>
    <t>PvRecord { Timestamp = 09.12.2025 23:15:00, Index = 0, DirectGeometryFactor = 0, DiffuseGeometryFactor = 0,9095760221444958, CosSunElevation = 0, GlobalHorizontalIrradiance = 0, SunshineDuration = 0, DiffuseHorizontalIrradiance = 0, AmbientTemp = 1,45, WindSpeed = 19,439999999999998, SnowDepth = 0, Weight = 0, Age = 4,239509883213568, MeasuredPower = , HasMeasuredPower = False },LEG.PV.Data.Processor.DataRecords+PvRecord,"09.12.2025 23:15:00",0,0,"0,9095760221444958",0,0,0,0,"1,45","19,439999999999998",0,0,"4,239509883213568","",False</t>
  </si>
  <si>
    <t>PvRecord { Timestamp = 09.12.2025 23:30:00, Index = 0, DirectGeometryFactor = 0, DiffuseGeometryFactor = 0,9095760221444958, CosSunElevation = 0, GlobalHorizontalIrradiance = 0, SunshineDuration = 0, DiffuseHorizontalIrradiance = 0, AmbientTemp = 1,45, WindSpeed = 22,86, SnowDepth = 0, Weight = 0, Age = 4,239538403101649, MeasuredPower = , HasMeasuredPower = False },LEG.PV.Data.Processor.DataRecords+PvRecord,"09.12.2025 23:30:00",0,0,"0,9095760221444958",0,0,0,0,"1,45","22,86",0,0,"4,239538403101649","",False</t>
  </si>
  <si>
    <t>PvRecord { Timestamp = 09.12.2025 23:45:00, Index = 0, DirectGeometryFactor = 0, DiffuseGeometryFactor = 0,9095760221444958, CosSunElevation = 0, GlobalHorizontalIrradiance = 0, SunshineDuration = 0, DiffuseHorizontalIrradiance = 0, AmbientTemp = 1,45, WindSpeed = 22,86, SnowDepth = 0, Weight = 0, Age = 4,239566922989731, MeasuredPower = , HasMeasuredPower = False },LEG.PV.Data.Processor.DataRecords+PvRecord,"09.12.2025 23:45:00",0,0,"0,9095760221444958",0,0,0,0,"1,45","22,86",0,0,"4,239566922989731","",False</t>
  </si>
  <si>
    <t>PvRecord { Timestamp = 10.12.2025 00:00:00, Index = 0, DirectGeometryFactor = 0, DiffuseGeometryFactor = 0,9095760221444958, CosSunElevation = 0, GlobalHorizontalIrradiance = 0, SunshineDuration = 0, DiffuseHorizontalIrradiance = 0, AmbientTemp = 1,45, WindSpeed = 22,86, SnowDepth = 0, Weight = 0, Age = 4,239595442877812, MeasuredPower = , HasMeasuredPower = False },LEG.PV.Data.Processor.DataRecords+PvRecord,"10.12.2025 00:00:00",0,0,"0,9095760221444958",0,0,0,0,"1,45","22,86",0,0,"4,239595442877812","",False</t>
  </si>
  <si>
    <t>PvRecord { Timestamp = 10.12.2025 00:15:00, Index = 0, DirectGeometryFactor = 0, DiffuseGeometryFactor = 0,9095760221444958, CosSunElevation = 0, GlobalHorizontalIrradiance = 0, SunshineDuration = 0, DiffuseHorizontalIrradiance = 0, AmbientTemp = 1,45, WindSpeed = 22,86, SnowDepth = 0, Weight = 0, Age = 4,239623962765894, MeasuredPower = , HasMeasuredPower = False },LEG.PV.Data.Processor.DataRecords+PvRecord,"10.12.2025 00:15:00",0,0,"0,9095760221444958",0,0,0,0,"1,45","22,86",0,0,"4,239623962765894","",False</t>
  </si>
  <si>
    <t>PvRecord { Timestamp = 10.12.2025 00:30:00, Index = 0, DirectGeometryFactor = 0, DiffuseGeometryFactor = 0,9095760221444958, CosSunElevation = 0, GlobalHorizontalIrradiance = 0, SunshineDuration = 0, DiffuseHorizontalIrradiance = 0, AmbientTemp = 1,5, WindSpeed = 26,1, SnowDepth = 0, Weight = 0, Age = 4,239652482653976, MeasuredPower = , HasMeasuredPower = False },LEG.PV.Data.Processor.DataRecords+PvRecord,"10.12.2025 00:30:00",0,0,"0,9095760221444958",0,0,0,0,"1,5","26,1",0,0,"4,239652482653976","",False</t>
  </si>
  <si>
    <t>PvRecord { Timestamp = 10.12.2025 00:45:00, Index = 0, DirectGeometryFactor = 0, DiffuseGeometryFactor = 0,9095760221444958, CosSunElevation = 0, GlobalHorizontalIrradiance = 0, SunshineDuration = 0, DiffuseHorizontalIrradiance = 0, AmbientTemp = 1,5, WindSpeed = 26,1, SnowDepth = 0, Weight = 0, Age = 4,239681002542057, MeasuredPower = , HasMeasuredPower = False },LEG.PV.Data.Processor.DataRecords+PvRecord,"10.12.2025 00:45:00",0,0,"0,9095760221444958",0,0,0,0,"1,5","26,1",0,0,"4,239681002542057","",False</t>
  </si>
  <si>
    <t>PvRecord { Timestamp = 10.12.2025 01:00:00, Index = 0, DirectGeometryFactor = 0, DiffuseGeometryFactor = 0,9095760221444958, CosSunElevation = 0, GlobalHorizontalIrradiance = 0, SunshineDuration = 0, DiffuseHorizontalIrradiance = 0, AmbientTemp = 1,5, WindSpeed = 26,1, SnowDepth = 0, Weight = 0, Age = 4,239709522430139, MeasuredPower = , HasMeasuredPower = False },LEG.PV.Data.Processor.DataRecords+PvRecord,"10.12.2025 01:00:00",0,0,"0,9095760221444958",0,0,0,0,"1,5","26,1",0,0,"4,239709522430139","",False</t>
  </si>
  <si>
    <t>PvRecord { Timestamp = 10.12.2025 01:15:00, Index = 0, DirectGeometryFactor = 0, DiffuseGeometryFactor = 0,9095760221444958, CosSunElevation = 0, GlobalHorizontalIrradiance = 0, SunshineDuration = 0, DiffuseHorizontalIrradiance = 0, AmbientTemp = 1,5, WindSpeed = 26,1, SnowDepth = 0, Weight = 0, Age = 4,23973804231822, MeasuredPower = , HasMeasuredPower = False },LEG.PV.Data.Processor.DataRecords+PvRecord,"10.12.2025 01:15:00",0,0,"0,9095760221444958",0,0,0,0,"1,5","26,1",0,0,"4,23973804231822","",False</t>
  </si>
  <si>
    <t>PvRecord { Timestamp = 10.12.2025 01:30:00, Index = 0, DirectGeometryFactor = 0, DiffuseGeometryFactor = 0,9095760221444958, CosSunElevation = 0, GlobalHorizontalIrradiance = 0, SunshineDuration = 0, DiffuseHorizontalIrradiance = 0, AmbientTemp = 1,55, WindSpeed = 28,98, SnowDepth = 0, Weight = 0, Age = 4,239766562206301, MeasuredPower = , HasMeasuredPower = False },LEG.PV.Data.Processor.DataRecords+PvRecord,"10.12.2025 01:30:00",0,0,"0,9095760221444958",0,0,0,0,"1,55","28,98",0,0,"4,239766562206301","",False</t>
  </si>
  <si>
    <t>PvRecord { Timestamp = 10.12.2025 01:45:00, Index = 0, DirectGeometryFactor = 0, DiffuseGeometryFactor = 0,9095760221444958, CosSunElevation = 0, GlobalHorizontalIrradiance = 0, SunshineDuration = 0, DiffuseHorizontalIrradiance = 0, AmbientTemp = 1,55, WindSpeed = 28,98, SnowDepth = 0, Weight = 0, Age = 4,239795082094384, MeasuredPower = , HasMeasuredPower = False },LEG.PV.Data.Processor.DataRecords+PvRecord,"10.12.2025 01:45:00",0,0,"0,9095760221444958",0,0,0,0,"1,55","28,98",0,0,"4,239795082094384","",False</t>
  </si>
  <si>
    <t>PvRecord { Timestamp = 10.12.2025 02:00:00, Index = 0, DirectGeometryFactor = 0, DiffuseGeometryFactor = 0,9095760221444958, CosSunElevation = 0, GlobalHorizontalIrradiance = 0, SunshineDuration = 0, DiffuseHorizontalIrradiance = 0, AmbientTemp = 1,55, WindSpeed = 28,98, SnowDepth = 0, Weight = 0, Age = 4,239823601982465, MeasuredPower = , HasMeasuredPower = False },LEG.PV.Data.Processor.DataRecords+PvRecord,"10.12.2025 02:00:00",0,0,"0,9095760221444958",0,0,0,0,"1,55","28,98",0,0,"4,239823601982465","",False</t>
  </si>
  <si>
    <t>PvRecord { Timestamp = 10.12.2025 02:15:00, Index = 0, DirectGeometryFactor = 0, DiffuseGeometryFactor = 0,9095760221444958, CosSunElevation = 0, GlobalHorizontalIrradiance = 0, SunshineDuration = 0, DiffuseHorizontalIrradiance = 0, AmbientTemp = 1,55, WindSpeed = 28,98, SnowDepth = 0, Weight = 0, Age = 4,2398521218705465, MeasuredPower = , HasMeasuredPower = False },LEG.PV.Data.Processor.DataRecords+PvRecord,"10.12.2025 02:15:00",0,0,"0,9095760221444958",0,0,0,0,"1,55","28,98",0,0,"4,2398521218705465","",False</t>
  </si>
  <si>
    <t>PvRecord { Timestamp = 10.12.2025 02:30:00,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4,239880641758628, MeasuredPower = , HasMeasuredPower = False },LEG.PV.Data.Processor.DataRecords+PvRecord,"10.12.2025 02:30:00",0,0,"0,9095760221444958",0,0,0,0,"1,7","31,860000000000003",0,0,"4,239880641758628","",False</t>
  </si>
  <si>
    <t>PvRecord { Timestamp = 10.12.2025 02:45:00,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4,23990916164671, MeasuredPower = , HasMeasuredPower = False },LEG.PV.Data.Processor.DataRecords+PvRecord,"10.12.2025 02:45:00",0,0,"0,9095760221444958",0,0,0,0,"1,7","31,860000000000003",0,0,"4,23990916164671","",False</t>
  </si>
  <si>
    <t>PvRecord { Timestamp = 10.12.2025 03:00:00,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4,239937681534792, MeasuredPower = , HasMeasuredPower = False },LEG.PV.Data.Processor.DataRecords+PvRecord,"10.12.2025 03:00:00",0,0,"0,9095760221444958",0,0,0,0,"1,7","31,860000000000003",0,0,"4,239937681534792","",False</t>
  </si>
  <si>
    <t>PvRecord { Timestamp = 10.12.2025 03:15:00, Index = 0, DirectGeometryFactor = 0, DiffuseGeometryFactor = 0,9095760221444958, CosSunElevation = 0, GlobalHorizontalIrradiance = 0, SunshineDuration = 0, DiffuseHorizontalIrradiance = 0, AmbientTemp = 1,7, WindSpeed = 31,860000000000003, SnowDepth = 0, Weight = 0, Age = 4,239966201422873, MeasuredPower = , HasMeasuredPower = False },LEG.PV.Data.Processor.DataRecords+PvRecord,"10.12.2025 03:15:00",0,0,"0,9095760221444958",0,0,0,0,"1,7","31,860000000000003",0,0,"4,239966201422873","",False</t>
  </si>
  <si>
    <t>PvRecord { Timestamp = 10.12.2025 03:30:00, Index = 0, DirectGeometryFactor = 0, DiffuseGeometryFactor = 0,9095760221444958, CosSunElevation = 0, GlobalHorizontalIrradiance = 0, SunshineDuration = 0, DiffuseHorizontalIrradiance = 0, AmbientTemp = 1,8, WindSpeed = 35,46, SnowDepth = 0, Weight = 0, Age = 4,239994721310954, MeasuredPower = , HasMeasuredPower = False },LEG.PV.Data.Processor.DataRecords+PvRecord,"10.12.2025 03:30:00",0,0,"0,9095760221444958",0,0,0,0,"1,8","35,46",0,0,"4,239994721310954","",False</t>
  </si>
  <si>
    <t>PvRecord { Timestamp = 10.12.2025 03:45:00, Index = 0, DirectGeometryFactor = 0, DiffuseGeometryFactor = 0,9095760221444958, CosSunElevation = 0, GlobalHorizontalIrradiance = 0, SunshineDuration = 0, DiffuseHorizontalIrradiance = 0, AmbientTemp = 1,8, WindSpeed = 35,46, SnowDepth = 0, Weight = 0, Age = 4,240023241199036, MeasuredPower = , HasMeasuredPower = False },LEG.PV.Data.Processor.DataRecords+PvRecord,"10.12.2025 03:45:00",0,0,"0,9095760221444958",0,0,0,0,"1,8","35,46",0,0,"4,240023241199036","",False</t>
  </si>
  <si>
    <t>PvRecord { Timestamp = 10.12.2025 04:00:00, Index = 0, DirectGeometryFactor = 0, DiffuseGeometryFactor = 0,9095760221444958, CosSunElevation = 0, GlobalHorizontalIrradiance = 0, SunshineDuration = 0, DiffuseHorizontalIrradiance = 0, AmbientTemp = 1,8, WindSpeed = 35,46, SnowDepth = 0, Weight = 0, Age = 4,240051761087118, MeasuredPower = , HasMeasuredPower = False },LEG.PV.Data.Processor.DataRecords+PvRecord,"10.12.2025 04:00:00",0,0,"0,9095760221444958",0,0,0,0,"1,8","35,46",0,0,"4,240051761087118","",False</t>
  </si>
  <si>
    <t>PvRecord { Timestamp = 10.12.2025 04:15:00, Index = 0, DirectGeometryFactor = 0, DiffuseGeometryFactor = 0,9095760221444958, CosSunElevation = 0, GlobalHorizontalIrradiance = 0, SunshineDuration = 0, DiffuseHorizontalIrradiance = 0, AmbientTemp = 1,8, WindSpeed = 35,46, SnowDepth = 0, Weight = 0, Age = 4,240080280975199, MeasuredPower = , HasMeasuredPower = False },LEG.PV.Data.Processor.DataRecords+PvRecord,"10.12.2025 04:15:00",0,0,"0,9095760221444958",0,0,0,0,"1,8","35,46",0,0,"4,240080280975199","",False</t>
  </si>
  <si>
    <t>PvRecord { Timestamp = 10.12.2025 04:30:00,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4,240108800863281, MeasuredPower = , HasMeasuredPower = False },LEG.PV.Data.Processor.DataRecords+PvRecord,"10.12.2025 04:30:00",0,0,"0,9095760221444958",0,0,0,0,2,"39,239999999999995",0,0,"4,240108800863281","",False</t>
  </si>
  <si>
    <t>PvRecord { Timestamp = 10.12.2025 04:45:00,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4,240137320751362, MeasuredPower = , HasMeasuredPower = False },LEG.PV.Data.Processor.DataRecords+PvRecord,"10.12.2025 04:45:00",0,0,"0,9095760221444958",0,0,0,0,2,"39,239999999999995",0,0,"4,240137320751362","",False</t>
  </si>
  <si>
    <t>PvRecord { Timestamp = 10.12.2025 05:00:00,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4,240165840639444, MeasuredPower = , HasMeasuredPower = False },LEG.PV.Data.Processor.DataRecords+PvRecord,"10.12.2025 05:00:00",0,0,"0,9095760221444958",0,0,0,0,2,"39,239999999999995",0,0,"4,240165840639444","",False</t>
  </si>
  <si>
    <t>PvRecord { Timestamp = 10.12.2025 05:15:00, Index = 0, DirectGeometryFactor = 0, DiffuseGeometryFactor = 0,9095760221444958, CosSunElevation = 0, GlobalHorizontalIrradiance = 0, SunshineDuration = 0, DiffuseHorizontalIrradiance = 0, AmbientTemp = 2, WindSpeed = 39,239999999999995, SnowDepth = 0, Weight = 0, Age = 4,240194360527526, MeasuredPower = , HasMeasuredPower = False },LEG.PV.Data.Processor.DataRecords+PvRecord,"10.12.2025 05:15:00",0,0,"0,9095760221444958",0,0,0,0,2,"39,239999999999995",0,0,"4,240194360527526","",False</t>
  </si>
  <si>
    <t>PvRecord { Timestamp = 10.12.2025 05:30:00, Index = 0, DirectGeometryFactor = 0, DiffuseGeometryFactor = 0,9095760221444958, CosSunElevation = 0, GlobalHorizontalIrradiance = 0, SunshineDuration = 0, DiffuseHorizontalIrradiance = 0, AmbientTemp = 2,3, WindSpeed = 42,84, SnowDepth = 0, Weight = 0, Age = 4,240222880415607, MeasuredPower = , HasMeasuredPower = False },LEG.PV.Data.Processor.DataRecords+PvRecord,"10.12.2025 05:30:00",0,0,"0,9095760221444958",0,0,0,0,"2,3","42,84",0,0,"4,240222880415607","",False</t>
  </si>
  <si>
    <t>PvRecord { Timestamp = 10.12.2025 05:45:00, Index = 0, DirectGeometryFactor = 0, DiffuseGeometryFactor = 0,9095760221444958, CosSunElevation = 0, GlobalHorizontalIrradiance = 0, SunshineDuration = 0, DiffuseHorizontalIrradiance = 0, AmbientTemp = 2,3, WindSpeed = 42,84, SnowDepth = 0, Weight = 0, Age = 4,240251400303689, MeasuredPower = , HasMeasuredPower = False },LEG.PV.Data.Processor.DataRecords+PvRecord,"10.12.2025 05:45:00",0,0,"0,9095760221444958",0,0,0,0,"2,3","42,84",0,0,"4,240251400303689","",False</t>
  </si>
  <si>
    <t>PvRecord { Timestamp = 10.12.2025 06:00:00, Index = 0, DirectGeometryFactor = 0, DiffuseGeometryFactor = 0,9095760221444958, CosSunElevation = 0, GlobalHorizontalIrradiance = 0, SunshineDuration = 0, DiffuseHorizontalIrradiance = 0, AmbientTemp = 2,3, WindSpeed = 42,84, SnowDepth = 0, Weight = 0, Age = 4,24027992019177, MeasuredPower = , HasMeasuredPower = False },LEG.PV.Data.Processor.DataRecords+PvRecord,"10.12.2025 06:00:00",0,0,"0,9095760221444958",0,0,0,0,"2,3","42,84",0,0,"4,24027992019177","",False</t>
  </si>
  <si>
    <t>PvRecord { Timestamp = 10.12.2025 06:15:00, Index = 0, DirectGeometryFactor = 0, DiffuseGeometryFactor = 0,9095760221444958, CosSunElevation = 0, GlobalHorizontalIrradiance = 0, SunshineDuration = 0, DiffuseHorizontalIrradiance = 0, AmbientTemp = 2,3, WindSpeed = 42,84, SnowDepth = 0, Weight = 0, Age = 4,240308440079851, MeasuredPower = , HasMeasuredPower = False },LEG.PV.Data.Processor.DataRecords+PvRecord,"10.12.2025 06:15:00",0,0,"0,9095760221444958",0,0,0,0,"2,3","42,84",0,0,"4,240308440079851","",False</t>
  </si>
  <si>
    <t>PvRecord { Timestamp = 10.12.2025 06:30:00, Index = 0, DirectGeometryFactor = 0, DiffuseGeometryFactor = 0,9095760221444958, CosSunElevation = 0, GlobalHorizontalIrradiance = 0, SunshineDuration = 0, DiffuseHorizontalIrradiance = 0, AmbientTemp = 2,75, WindSpeed = 46,44, SnowDepth = 0, Weight = 0, Age = 4,240336959967934, MeasuredPower = , HasMeasuredPower = False },LEG.PV.Data.Processor.DataRecords+PvRecord,"10.12.2025 06:30:00",0,0,"0,9095760221444958",0,0,0,0,"2,75","46,44",0,0,"4,240336959967934","",False</t>
  </si>
  <si>
    <t>PvRecord { Timestamp = 10.12.2025 06:45:00, Index = 0, DirectGeometryFactor = 0, DiffuseGeometryFactor = 0,9095760221444958, CosSunElevation = 0, GlobalHorizontalIrradiance = 0, SunshineDuration = 0, DiffuseHorizontalIrradiance = 0, AmbientTemp = 2,75, WindSpeed = 46,44, SnowDepth = 0, Weight = 0, Age = 4,240365479856015, MeasuredPower = , HasMeasuredPower = False },LEG.PV.Data.Processor.DataRecords+PvRecord,"10.12.2025 06:45:00",0,0,"0,9095760221444958",0,0,0,0,"2,75","46,44",0,0,"4,240365479856015","",False</t>
  </si>
  <si>
    <t>PvRecord { Timestamp = 10.12.2025 07:00:00, Index = 0, DirectGeometryFactor = 0, DiffuseGeometryFactor = 0,9095760221444958, CosSunElevation = 0, GlobalHorizontalIrradiance = 0, SunshineDuration = 0, DiffuseHorizontalIrradiance = 0, AmbientTemp = 2,75, WindSpeed = 46,44, SnowDepth = 0, Weight = 0, Age = 4,2403939997440965, MeasuredPower = , HasMeasuredPower = False },LEG.PV.Data.Processor.DataRecords+PvRecord,"10.12.2025 07:00:00",0,0,"0,9095760221444958",0,0,0,0,"2,75","46,44",0,0,"4,2403939997440965","",False</t>
  </si>
  <si>
    <t>PvRecord { Timestamp = 10.12.2025 07:15:00, Index = 0, DirectGeometryFactor = 0, DiffuseGeometryFactor = 0,9095760221444958, CosSunElevation = 0, GlobalHorizontalIrradiance = 0, SunshineDuration = 0, DiffuseHorizontalIrradiance = 0, AmbientTemp = 2,75, WindSpeed = 46,44, SnowDepth = 0, Weight = 0, Age = 4,240422519632178, MeasuredPower = , HasMeasuredPower = False },LEG.PV.Data.Processor.DataRecords+PvRecord,"10.12.2025 07:15:00",0,0,"0,9095760221444958",0,0,0,0,"2,75","46,44",0,0,"4,240422519632178","",False</t>
  </si>
  <si>
    <t>PvRecord { Timestamp = 10.12.2025 07:30:00, Index = 0, DirectGeometryFactor = 0, DiffuseGeometryFactor = 0,9095760221444958, CosSunElevation = 0, GlobalHorizontalIrradiance = 0, SunshineDuration = 0, DiffuseHorizontalIrradiance = 0, AmbientTemp = 3,5, WindSpeed = 50,94, SnowDepth = 0, Weight = 0, Age = 4,240451039520259, MeasuredPower = , HasMeasuredPower = False },LEG.PV.Data.Processor.DataRecords+PvRecord,"10.12.2025 07:30:00",0,0,"0,9095760221444958",0,0,0,0,"3,5","50,94",0,0,"4,240451039520259","",False</t>
  </si>
  <si>
    <t>PvRecord { Timestamp = 10.12.2025 07:45:00, Index = 0, DirectGeometryFactor = 0, DiffuseGeometryFactor = 0,9095760221444958, CosSunElevation = 0, GlobalHorizontalIrradiance = 0, SunshineDuration = 0, DiffuseHorizontalIrradiance = 0, AmbientTemp = 3,5, WindSpeed = 50,94, SnowDepth = 0, Weight = 0, Age = 4,2404795594083415, MeasuredPower = , HasMeasuredPower = False },LEG.PV.Data.Processor.DataRecords+PvRecord,"10.12.2025 07:45:00",0,0,"0,9095760221444958",0,0,0,0,"3,5","50,94",0,0,"4,2404795594083415","",False</t>
  </si>
  <si>
    <t>PvRecord { Timestamp = 10.12.2025 08:00:00, Index = 0, DirectGeometryFactor = 0, DiffuseGeometryFactor = 0,9095760221444958, CosSunElevation = 0,009527082251904613, GlobalHorizontalIrradiance = 0, SunshineDuration = 0, DiffuseHorizontalIrradiance = 0, AmbientTemp = 3,5, WindSpeed = 50,94, SnowDepth = 0, Weight = 0, Age = 4,240508079296423, MeasuredPower = , HasMeasuredPower = False },LEG.PV.Data.Processor.DataRecords+PvRecord,"10.12.2025 08:00:00",0,0,"0,9095760221444958","0,009527082251904613",0,0,0,"3,5","50,94",0,0,"4,240508079296423","",False</t>
  </si>
  <si>
    <t>PvRecord { Timestamp = 10.12.2025 08:15:00, Index = 0, DirectGeometryFactor = 0,527325792116851, DiffuseGeometryFactor = 0,9095760221444958, CosSunElevation = 0,041651374032025616, GlobalHorizontalIrradiance = 0, SunshineDuration = 0, DiffuseHorizontalIrradiance = 0, AmbientTemp = 3,5, WindSpeed = 50,94, SnowDepth = 0, Weight = 0, Age = 4,240536599184504, MeasuredPower = , HasMeasuredPower = False },LEG.PV.Data.Processor.DataRecords+PvRecord,"10.12.2025 08:15:00",0,"0,527325792116851","0,9095760221444958","0,041651374032025616",0,0,0,"3,5","50,94",0,0,"4,240536599184504","",False</t>
  </si>
  <si>
    <t>PvRecord { Timestamp = 10.12.2025 08:30:00, Index = 0, DirectGeometryFactor = 0,566986365292326, DiffuseGeometryFactor = 0,9095760221444958, CosSunElevation = 0,07430287285884148, GlobalHorizontalIrradiance = 365,2333333333333, SunshineDuration = 0, DiffuseHorizontalIrradiance = 12, AmbientTemp = 4,55, WindSpeed = 56,7, SnowDepth = 0, Weight = 0, Age = 4,240565119072586, MeasuredPower = , HasMeasuredPower = False },LEG.PV.Data.Processor.DataRecords+PvRecord,"10.12.2025 08:30:00",0,"0,566986365292326","0,9095760221444958","0,07430287285884148","365,2333333333333",0,12,"4,55","56,7",0,0,"4,240565119072586","",False</t>
  </si>
  <si>
    <t>PvRecord { Timestamp = 10.12.2025 08:45:00, Index = 0, DirectGeometryFactor = 0,6044413976101721, DiffuseGeometryFactor = 0,9095760221444958, CosSunElevation = 0,10615352498244933, GlobalHorizontalIrradiance = 365,2333333333333, SunshineDuration = 0, DiffuseHorizontalIrradiance = 12, AmbientTemp = 4,55, WindSpeed = 56,7, SnowDepth = 0, Weight = 0, Age = 4,240593638960667, MeasuredPower = , HasMeasuredPower = False },LEG.PV.Data.Processor.DataRecords+PvRecord,"10.12.2025 08:45:00",0,"0,6044413976101721","0,9095760221444958","0,10615352498244933","365,2333333333333",0,12,"4,55","56,7",0,0,"4,240593638960667","",False</t>
  </si>
  <si>
    <t>PvRecord { Timestamp = 10.12.2025 09:00:00, Index = 0, DirectGeometryFactor = 0,6391862852122798, DiffuseGeometryFactor = 0,9095760221444958, CosSunElevation = 0,13665658533219763, GlobalHorizontalIrradiance = 365,2333333333333, SunshineDuration = 0, DiffuseHorizontalIrradiance = 12, AmbientTemp = 4,55, WindSpeed = 56,7, SnowDepth = 0, Weight = 0, Age = 4,240622158848749, MeasuredPower = , HasMeasuredPower = False },LEG.PV.Data.Processor.DataRecords+PvRecord,"10.12.2025 09:00:00",0,"0,6391862852122798","0,9095760221444958","0,13665658533219763","365,2333333333333",0,12,"4,55","56,7",0,0,"4,240622158848749","",False</t>
  </si>
  <si>
    <t>PvRecord { Timestamp = 10.12.2025 09:15:00, Index = 0, DirectGeometryFactor = 0,6709395154389493, DiffuseGeometryFactor = 0,9095760221444958, CosSunElevation = 0,16552263126739233, GlobalHorizontalIrradiance = 365,2333333333333, SunshineDuration = 0, DiffuseHorizontalIrradiance = 12, AmbientTemp = 4,55, WindSpeed = 56,7, SnowDepth = 0, Weight = 0, Age = 4,240650678736831, MeasuredPower = , HasMeasuredPower = False },LEG.PV.Data.Processor.DataRecords+PvRecord,"10.12.2025 09:15:00",0,"0,6709395154389493","0,9095760221444958","0,16552263126739233","365,2333333333333",0,12,"4,55","56,7",0,0,"4,240650678736831","",False</t>
  </si>
  <si>
    <t>PvRecord { Timestamp = 10.12.2025 09:30:00, Index = 0, DirectGeometryFactor = 0,6995052804750629, DiffuseGeometryFactor = 0,9095760221444958, CosSunElevation = 0,19255626696870098, GlobalHorizontalIrradiance = 646,9833333333333, SunshineDuration = 0, DiffuseHorizontalIrradiance = 39,5, AmbientTemp = 5,65, WindSpeed = 63,36, SnowDepth = 0, Weight = 0, Age = 4,240679198624912, MeasuredPower = , HasMeasuredPower = False },LEG.PV.Data.Processor.DataRecords+PvRecord,"10.12.2025 09:30:00",0,"0,6995052804750629","0,9095760221444958","0,19255626696870098","646,9833333333333",0,"39,5","5,65","63,36",0,0,"4,240679198624912","",False</t>
  </si>
  <si>
    <t>PvRecord { Timestamp = 10.12.2025 09:45:00, Index = 0, DirectGeometryFactor = 0,7247308051353284, DiffuseGeometryFactor = 0,9095760221444958, CosSunElevation = 0,21760510233530556, GlobalHorizontalIrradiance = 646,9833333333333, SunshineDuration = 0, DiffuseHorizontalIrradiance = 39,5, AmbientTemp = 5,65, WindSpeed = 63,36, SnowDepth = 0, Weight = 0, Age = 4,2407077185129936, MeasuredPower = , HasMeasuredPower = False },LEG.PV.Data.Processor.DataRecords+PvRecord,"10.12.2025 09:45:00",0,"0,7247308051353284","0,9095760221444958","0,21760510233530556","646,9833333333333",0,"39,5","5,65","63,36",0,0,"4,2407077185129936","",False</t>
  </si>
  <si>
    <t>PvRecord { Timestamp = 10.12.2025 10:00:00, Index = 0, DirectGeometryFactor = 0,7464910911916438, DiffuseGeometryFactor = 0,9095760221444958, CosSunElevation = 0,24054139851633133, GlobalHorizontalIrradiance = 646,9833333333333, SunshineDuration = 0, DiffuseHorizontalIrradiance = 39,5, AmbientTemp = 5,65, WindSpeed = 63,36, SnowDepth = 0, Weight = 0, Age = 4,240736238401075, MeasuredPower = , HasMeasuredPower = False },LEG.PV.Data.Processor.DataRecords+PvRecord,"10.12.2025 10:00:00",0,"0,7464910911916438","0,9095760221444958","0,24054139851633133","646,9833333333333",0,"39,5","5,65","63,36",0,0,"4,240736238401075","",False</t>
  </si>
  <si>
    <t>PvRecord { Timestamp = 10.12.2025 10:15:00, Index = 0, DirectGeometryFactor = 0,7646828126614638, DiffuseGeometryFactor = 0,9095760221444958, CosSunElevation = 0,26125466871539277, GlobalHorizontalIrradiance = 646,9833333333333, SunshineDuration = 0, DiffuseHorizontalIrradiance = 39,5, AmbientTemp = 5,65, WindSpeed = 63,36, SnowDepth = 0, Weight = 0, Age = 4,240764758289157, MeasuredPower = , HasMeasuredPower = False },LEG.PV.Data.Processor.DataRecords+PvRecord,"10.12.2025 10:15:00",0,"0,7646828126614638","0,9095760221444958","0,26125466871539277","646,9833333333333",0,"39,5","5,65","63,36",0,0,"4,240764758289157","",False</t>
  </si>
  <si>
    <t>PvRecord { Timestamp = 10.12.2025 10:30:00, Index = 0, DirectGeometryFactor = 0,7792216790520328, DiffuseGeometryFactor = 0,9095760221444958, CosSunElevation = 0,27964846145250766, GlobalHorizontalIrradiance = 646,0666666666666, SunshineDuration = 0, DiffuseHorizontalIrradiance = 61, AmbientTemp = 6,75, WindSpeed = 69,12, SnowDepth = 0, Weight = 0, Age = 4,240793278177239, MeasuredPower = , HasMeasuredPower = False },LEG.PV.Data.Processor.DataRecords+PvRecord,"10.12.2025 10:30:00",0,"0,7792216790520328","0,9095760221444958","0,27964846145250766","646,0666666666666",0,61,"6,75","69,12",0,0,"4,240793278177239","",False</t>
  </si>
  <si>
    <t>PvRecord { Timestamp = 10.12.2025 10:45:00, Index = 0, DirectGeometryFactor = 0,7900412437373354, DiffuseGeometryFactor = 0,9095760221444958, CosSunElevation = 0,2956389110956307, GlobalHorizontalIrradiance = 646,0666666666666, SunshineDuration = 0, DiffuseHorizontalIrradiance = 61, AmbientTemp = 6,75, WindSpeed = 69,12, SnowDepth = 0, Weight = 0, Age = 4,24082179806532, MeasuredPower = , HasMeasuredPower = False },LEG.PV.Data.Processor.DataRecords+PvRecord,"10.12.2025 10:45:00",0,"0,7900412437373354","0,9095760221444958","0,2956389110956307","646,0666666666666",0,61,"6,75","69,12",0,0,"4,24082179806532","",False</t>
  </si>
  <si>
    <t>PvRecord { Timestamp = 10.12.2025 11:00:00, Index = 0, DirectGeometryFactor = 0,797092351578196, DiffuseGeometryFactor = 0,9095760221444958, CosSunElevation = 0,3091540921296641, GlobalHorizontalIrradiance = 646,0666666666666, SunshineDuration = 0, DiffuseHorizontalIrradiance = 61, AmbientTemp = 6,75, WindSpeed = 69,12, SnowDepth = 0, Weight = 0, Age = 4,240850317953401, MeasuredPower = , HasMeasuredPower = False },LEG.PV.Data.Processor.DataRecords+PvRecord,"10.12.2025 11:00:00",0,"0,797092351578196","0,9095760221444958","0,3091540921296641","646,0666666666666",0,61,"6,75","69,12",0,0,"4,240850317953401","",False</t>
  </si>
  <si>
    <t>PvRecord { Timestamp = 10.12.2025 11:15:00, Index = 0, DirectGeometryFactor = 0,800342873573122, DiffuseGeometryFactor = 0,9095760221444958, CosSunElevation = 0,3201337554210386, GlobalHorizontalIrradiance = 646,0666666666666, SunshineDuration = 0, DiffuseHorizontalIrradiance = 61, AmbientTemp = 6,75, WindSpeed = 69,12, SnowDepth = 0, Weight = 0, Age = 4,240878837841483, MeasuredPower = , HasMeasuredPower = False },LEG.PV.Data.Processor.DataRecords+PvRecord,"10.12.2025 11:15:00",0,"0,800342873573122","0,9095760221444958","0,3201337554210386","646,0666666666666",0,61,"6,75","69,12",0,0,"4,240878837841483","",False</t>
  </si>
  <si>
    <t>PvRecord { Timestamp = 10.12.2025 11:30:00, Index = 0, DirectGeometryFactor = 0,799777562902767, DiffuseGeometryFactor = 0,9095760221444958, CosSunElevation = 0,32852924772955205, GlobalHorizontalIrradiance = 647,25, SunshineDuration = 0, DiffuseHorizontalIrradiance = 73, AmbientTemp = 7,5, WindSpeed = 72,18, SnowDepth = 0, Weight = 0, Age = 4,240907357729565, MeasuredPower = , HasMeasuredPower = False },LEG.PV.Data.Processor.DataRecords+PvRecord,"10.12.2025 11:30:00",0,"0,799777562902767","0,9095760221444958","0,32852924772955205","647,25",0,73,"7,5","72,18",0,0,"4,240907357729565","",False</t>
  </si>
  <si>
    <t>PvRecord { Timestamp = 10.12.2025 11:45:00, Index = 0, DirectGeometryFactor = 0,795397949399165, DiffuseGeometryFactor = 0,9095760221444958, CosSunElevation = 0,33430351464485925, GlobalHorizontalIrradiance = 647,25, SunshineDuration = 0, DiffuseHorizontalIrradiance = 73, AmbientTemp = 7,5, WindSpeed = 72,18, SnowDepth = 0, Weight = 0, Age = 4,2409358776176465, MeasuredPower = , HasMeasuredPower = False },LEG.PV.Data.Processor.DataRecords+PvRecord,"10.12.2025 11:45:00",0,"0,795397949399165","0,9095760221444958","0,33430351464485925","647,25",0,73,"7,5","72,18",0,0,"4,2409358776176465","",False</t>
  </si>
  <si>
    <t>PvRecord { Timestamp = 10.12.2025 12:00:00, Index = 0, DirectGeometryFactor = 0,7872222290566062, DiffuseGeometryFactor = 0,9095760221444958, CosSunElevation = 0,3374311342428788, GlobalHorizontalIrradiance = 647,25, SunshineDuration = 0, DiffuseHorizontalIrradiance = 73, AmbientTemp = 7,5, WindSpeed = 72,18, SnowDepth = 0, Weight = 0, Age = 4,240964397505728, MeasuredPower = , HasMeasuredPower = False },LEG.PV.Data.Processor.DataRecords+PvRecord,"10.12.2025 12:00:00",0,"0,7872222290566062","0,9095760221444958","0,3374311342428788","647,25",0,73,"7,5","72,18",0,0,"4,240964397505728","",False</t>
  </si>
  <si>
    <t>PvRecord { Timestamp = 10.12.2025 12:15:00, Index = 0, DirectGeometryFactor = 0,7752851255786217, DiffuseGeometryFactor = 0,9095760221444958, CosSunElevation = 0,3378983531490014, GlobalHorizontalIrradiance = 647,25, SunshineDuration = 0, DiffuseHorizontalIrradiance = 73, AmbientTemp = 7,5, WindSpeed = 72,18, SnowDepth = 0, Weight = 0, Age = 4,240992917393809, MeasuredPower = , HasMeasuredPower = False },LEG.PV.Data.Processor.DataRecords+PvRecord,"10.12.2025 12:15:00",0,"0,7752851255786217","0,9095760221444958","0,3378983531490014","647,25",0,73,"7,5","72,18",0,0,"4,240992917393809","",False</t>
  </si>
  <si>
    <t>PvRecord { Timestamp = 10.12.2025 12:30:00, Index = 0, DirectGeometryFactor = 0,7596377119658444, DiffuseGeometryFactor = 0,9095760221444958, CosSunElevation = 0,3357031098624479, GlobalHorizontalIrradiance = 645,6333333333333, SunshineDuration = 0, DiffuseHorizontalIrradiance = 76, AmbientTemp = 7,75, WindSpeed = 71,82, SnowDepth = 0, Weight = 0, Age = 4,241021437281891, MeasuredPower = , HasMeasuredPower = False },LEG.PV.Data.Processor.DataRecords+PvRecord,"10.12.2025 12:30:00",0,"0,7596377119658444","0,9095760221444958","0,3357031098624479","645,6333333333333",0,76,"7,75","71,82",0,0,"4,241021437281891","",False</t>
  </si>
  <si>
    <t>PvRecord { Timestamp = 10.12.2025 12:45:00, Index = 0, DirectGeometryFactor = 0,7403471872776803, DiffuseGeometryFactor = 0,9095760221444958, CosSunElevation = 0,330855038343919, GlobalHorizontalIrradiance = 645,6333333333333, SunshineDuration = 0, DiffuseHorizontalIrradiance = 76, AmbientTemp = 7,75, WindSpeed = 71,82, SnowDepth = 0, Weight = 0, Age = 4,241049957169973, MeasuredPower = , HasMeasuredPower = False },LEG.PV.Data.Processor.DataRecords+PvRecord,"10.12.2025 12:45:00",0,"0,7403471872776803","0,9095760221444958","0,330855038343919","645,6333333333333",0,76,"7,75","71,82",0,0,"4,241049957169973","",False</t>
  </si>
  <si>
    <t>PvRecord { Timestamp = 10.12.2025 13:00:00, Index = 0, DirectGeometryFactor = 0,7174966086912465, DiffuseGeometryFactor = 0,9095760221444958, CosSunElevation = 0,3233754509570889, GlobalHorizontalIrradiance = 645,6333333333333, SunshineDuration = 0, DiffuseHorizontalIrradiance = 76, AmbientTemp = 7,75, WindSpeed = 71,82, SnowDepth = 0, Weight = 0, Age = 4,241078477058054, MeasuredPower = , HasMeasuredPower = False },LEG.PV.Data.Processor.DataRecords+PvRecord,"10.12.2025 13:00:00",0,"0,7174966086912465","0,9095760221444958","0,3233754509570889","645,6333333333333",0,76,"7,75","71,82",0,0,"4,241078477058054","",False</t>
  </si>
  <si>
    <t>PvRecord { Timestamp = 10.12.2025 13:15:00, Index = 0, DirectGeometryFactor = 0,6911845836196773, DiffuseGeometryFactor = 0,9095760221444958, CosSunElevation = 0,3132973054141713, GlobalHorizontalIrradiance = 645,6333333333333, SunshineDuration = 0, DiffuseHorizontalIrradiance = 76, AmbientTemp = 7,75, WindSpeed = 71,82, SnowDepth = 0, Weight = 0, Age = 4,241106996946136, MeasuredPower = , HasMeasuredPower = False },LEG.PV.Data.Processor.DataRecords+PvRecord,"10.12.2025 13:15:00",0,"0,6911845836196773","0,9095760221444958","0,3132973054141713","645,6333333333333",0,76,"7,75","71,82",0,0,"4,241106996946136","",False</t>
  </si>
  <si>
    <t>PvRecord { Timestamp = 10.12.2025 13:30:00, Index = 0, DirectGeometryFactor = 0,6615249330830504, DiffuseGeometryFactor = 0,9095760221444958, CosSunElevation = 0,30066516765469, GlobalHorizontalIrradiance = 644,9, SunshineDuration = 0, DiffuseHorizontalIrradiance = 69, AmbientTemp = 7,3999999999999995, WindSpeed = 64,80000000000001, SnowDepth = 0, Weight = 0, Age = 4,241135516834217, MeasuredPower = , HasMeasuredPower = False },LEG.PV.Data.Processor.DataRecords+PvRecord,"10.12.2025 13:30:00",0,"0,6615249330830504","0,9095760221444958","0,30066516765469","644,9",0,69,"7,3999999999999995","64,80000000000001",0,0,"4,241135516834217","",False</t>
  </si>
  <si>
    <t>PvRecord { Timestamp = 10.12.2025 13:45:00, Index = 0, DirectGeometryFactor = 0,6286463464202158, DiffuseGeometryFactor = 0,9095760221444958, CosSunElevation = 0,28553519357778795, GlobalHorizontalIrradiance = 644,9, SunshineDuration = 0, DiffuseHorizontalIrradiance = 69, AmbientTemp = 7,3999999999999995, WindSpeed = 64,80000000000001, SnowDepth = 0, Weight = 0, Age = 4,2411640367222985, MeasuredPower = , HasMeasuredPower = False },LEG.PV.Data.Processor.DataRecords+PvRecord,"10.12.2025 13:45:00",0,"0,6286463464202158","0,9095760221444958","0,28553519357778795","644,9",0,69,"7,3999999999999995","64,80000000000001",0,0,"4,2411640367222985","",False</t>
  </si>
  <si>
    <t>PvRecord { Timestamp = 10.12.2025 14:00:00, Index = 0, DirectGeometryFactor = 0,5926920633372971, DiffuseGeometryFactor = 0,9095760221444958, CosSunElevation = 0,2679751718199127, GlobalHorizontalIrradiance = 644,9, SunshineDuration = 0, DiffuseHorizontalIrradiance = 69, AmbientTemp = 7,3999999999999995, WindSpeed = 64,80000000000001, SnowDepth = 0, Weight = 0, Age = 4,241192556610381, MeasuredPower = , HasMeasuredPower = False },LEG.PV.Data.Processor.DataRecords+PvRecord,"10.12.2025 14:00:00",0,"0,5926920633372971","0,9095760221444958","0,2679751718199127","644,9",0,69,"7,3999999999999995","64,80000000000001",0,0,"4,241192556610381","",False</t>
  </si>
  <si>
    <t>PvRecord { Timestamp = 10.12.2025 14:15:00, Index = 0, DirectGeometryFactor = 0,5538196505303796, DiffuseGeometryFactor = 0,9095760221444958, CosSunElevation = 0,24806470712375822, GlobalHorizontalIrradiance = 644,9, SunshineDuration = 0, DiffuseHorizontalIrradiance = 69, AmbientTemp = 7,3999999999999995, WindSpeed = 64,80000000000001, SnowDepth = 0, Weight = 0, Age = 4,241221076498462, MeasuredPower = , HasMeasuredPower = False },LEG.PV.Data.Processor.DataRecords+PvRecord,"10.12.2025 14:15:00",0,"0,5538196505303796","0,9095760221444958","0,24806470712375822","644,9",0,69,"7,3999999999999995","64,80000000000001",0,0,"4,241221076498462","",False</t>
  </si>
  <si>
    <t>PvRecord { Timestamp = 10.12.2025 14:30:00, Index = 0, DirectGeometryFactor = 0,5122010021685632, DiffuseGeometryFactor = 0,9095760221444958, CosSunElevation = 0,22589569950255903, GlobalHorizontalIrradiance = 643,0833333333334, SunshineDuration = 0, DiffuseHorizontalIrradiance = 52,5, AmbientTemp = 6,5, WindSpeed = 52,74, SnowDepth = 0, Weight = 0, Age = 4,2412495963865435, MeasuredPower = , HasMeasuredPower = False },LEG.PV.Data.Processor.DataRecords+PvRecord,"10.12.2025 14:30:00",0,"0,5122010021685632","0,9095760221444958","0,22589569950255903","643,0833333333334",0,"52,5","6,5","52,74",0,0,"4,2412495963865435","",False</t>
  </si>
  <si>
    <t>PvRecord { Timestamp = 10.12.2025 14:45:00, Index = 0, DirectGeometryFactor = 0,4680228303330929, DiffuseGeometryFactor = 0,9095760221444958, CosSunElevation = 0,20157344047715278, GlobalHorizontalIrradiance = 643,0833333333334, SunshineDuration = 0, DiffuseHorizontalIrradiance = 52,5, AmbientTemp = 6,5, WindSpeed = 52,74, SnowDepth = 0, Weight = 0, Age = 4,241278116274625, MeasuredPower = , HasMeasuredPower = False },LEG.PV.Data.Processor.DataRecords+PvRecord,"10.12.2025 14:45:00",0,"0,4680228303330929","0,9095760221444958","0,20157344047715278","643,0833333333334",0,"52,5","6,5","52,74",0,0,"4,241278116274625","",False</t>
  </si>
  <si>
    <t>PvRecord { Timestamp = 10.12.2025 15:00:00, Index = 0, DirectGeometryFactor = 0,4214882360534499, DiffuseGeometryFactor = 0,9095760221444958, CosSunElevation = 0,17521904102022867, GlobalHorizontalIrradiance = 643,0833333333334, SunshineDuration = 0, DiffuseHorizontalIrradiance = 52,5, AmbientTemp = 6,5, WindSpeed = 52,74, SnowDepth = 0, Weight = 0, Age = 4,241306636162706, MeasuredPower = , HasMeasuredPower = False },LEG.PV.Data.Processor.DataRecords+PvRecord,"10.12.2025 15:00:00",0,"0,4214882360534499","0,9095760221444958","0,17521904102022867","643,0833333333334",0,"52,5","6,5","52,74",0,0,"4,241306636162706","",False</t>
  </si>
  <si>
    <t>PvRecord { Timestamp = 10.12.2025 15:15:00, Index = 0, DirectGeometryFactor = 0,37282078794179113, DiffuseGeometryFactor = 0,9095760221444958, CosSunElevation = 0,14697492137051787, GlobalHorizontalIrradiance = 643,0833333333334, SunshineDuration = 0, DiffuseHorizontalIrradiance = 52,5, AmbientTemp = 6,5, WindSpeed = 52,74, SnowDepth = 0, Weight = 0, Age = 4,241335156050789, MeasuredPower = , HasMeasuredPower = False },LEG.PV.Data.Processor.DataRecords+PvRecord,"10.12.2025 15:15:00",0,"0,37282078794179113","0,9095760221444958","0,14697492137051787","643,0833333333334",0,"52,5","6,5","52,74",0,0,"4,241335156050789","",False</t>
  </si>
  <si>
    <t>PvRecord { Timestamp = 10.12.2025 15:30:00, Index = 0, DirectGeometryFactor = 0,3222749440915697, DiffuseGeometryFactor = 0,9095760221444958, CosSunElevation = 0,11701801554763509, GlobalHorizontalIrradiance = 625,25, SunshineDuration = 0, DiffuseHorizontalIrradiance = 29, AmbientTemp = 5,35, WindSpeed = 37,44, SnowDepth = 0, Weight = 0, Age = 4,24136367593887, MeasuredPower = , HasMeasuredPower = False },LEG.PV.Data.Processor.DataRecords+PvRecord,"10.12.2025 15:30:00",0,"0,3222749440915697","0,9095760221444958","0,11701801554763509","625,25",0,29,"5,35","37,44",0,0,"4,24136367593887","",False</t>
  </si>
  <si>
    <t>PvRecord { Timestamp = 10.12.2025 15:45:00, Index = 0, DirectGeometryFactor = 0, DiffuseGeometryFactor = 0,9095760221444958, CosSunElevation = 0,08559489280951929, GlobalHorizontalIrradiance = 625,25, SunshineDuration = 0, DiffuseHorizontalIrradiance = 29, AmbientTemp = 5,35, WindSpeed = 37,44, SnowDepth = 0, Weight = 0, Age = 4,241392195826951, MeasuredPower = , HasMeasuredPower = False },LEG.PV.Data.Processor.DataRecords+PvRecord,"10.12.2025 15:45:00",0,0,"0,9095760221444958","0,08559489280951929","625,25",0,29,"5,35","37,44",0,0,"4,241392195826951","",False</t>
  </si>
  <si>
    <t>PvRecord { Timestamp = 10.12.2025 16:00:00, Index = 0, DirectGeometryFactor = 0, DiffuseGeometryFactor = 0,9095760221444958, CosSunElevation = 0,05312871319439807, GlobalHorizontalIrradiance = 625,25, SunshineDuration = 0, DiffuseHorizontalIrradiance = 29, AmbientTemp = 5,35, WindSpeed = 37,44, SnowDepth = 0, Weight = 0, Age = 4,241420715715033, MeasuredPower = , HasMeasuredPower = False },LEG.PV.Data.Processor.DataRecords+PvRecord,"10.12.2025 16:00:00",0,0,"0,9095760221444958","0,05312871319439807","625,25",0,29,"5,35","37,44",0,0,"4,241420715715033","",False</t>
  </si>
  <si>
    <t>PvRecord { Timestamp = 10.12.2025 16:15:00, Index = 0, DirectGeometryFactor = 0, DiffuseGeometryFactor = 0,9095760221444958, CosSunElevation = 0,02058123875668647, GlobalHorizontalIrradiance = 625,25, SunshineDuration = 0, DiffuseHorizontalIrradiance = 29, AmbientTemp = 5,35, WindSpeed = 37,44, SnowDepth = 0, Weight = 0, Age = 4,241449235603114, MeasuredPower = , HasMeasuredPower = False },LEG.PV.Data.Processor.DataRecords+PvRecord,"10.12.2025 16:15:00",0,0,"0,9095760221444958","0,02058123875668647","625,25",0,29,"5,35","37,44",0,0,"4,241449235603114","",False</t>
  </si>
  <si>
    <t>PvRecord { Timestamp = 10.12.2025 16:30:00,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4,241477755491196, MeasuredPower = , HasMeasuredPower = False },LEG.PV.Data.Processor.DataRecords+PvRecord,"10.12.2025 16:30:00",0,0,"0,9095760221444958",0,"243,13333333333333",0,"5,5","4,1","22,5",0,0,"4,241477755491196","",False</t>
  </si>
  <si>
    <t>PvRecord { Timestamp = 10.12.2025 16:45:00,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4,241506275379278, MeasuredPower = , HasMeasuredPower = False },LEG.PV.Data.Processor.DataRecords+PvRecord,"10.12.2025 16:45:00",0,0,"0,9095760221444958",0,"243,13333333333333",0,"5,5","4,1","22,5",0,0,"4,241506275379278","",False</t>
  </si>
  <si>
    <t>PvRecord { Timestamp = 10.12.2025 17:00:00,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4,241534795267359, MeasuredPower = , HasMeasuredPower = False },LEG.PV.Data.Processor.DataRecords+PvRecord,"10.12.2025 17:00:00",0,0,"0,9095760221444958",0,"243,13333333333333",0,"5,5","4,1","22,5",0,0,"4,241534795267359","",False</t>
  </si>
  <si>
    <t>PvRecord { Timestamp = 10.12.2025 17:15:00, Index = 0, DirectGeometryFactor = 0, DiffuseGeometryFactor = 0,9095760221444958, CosSunElevation = 0, GlobalHorizontalIrradiance = 243,13333333333333, SunshineDuration = 0, DiffuseHorizontalIrradiance = 5,5, AmbientTemp = 4,1, WindSpeed = 22,5, SnowDepth = 0, Weight = 0, Age = 4,241563315155441, MeasuredPower = , HasMeasuredPower = False },LEG.PV.Data.Processor.DataRecords+PvRecord,"10.12.2025 17:15:00",0,0,"0,9095760221444958",0,"243,13333333333333",0,"5,5","4,1","22,5",0,0,"4,241563315155441","",False</t>
  </si>
  <si>
    <t>PvRecord { Timestamp = 10.12.2025 17:30:00, Index = 0, DirectGeometryFactor = 0, DiffuseGeometryFactor = 0,9095760221444958, CosSunElevation = 0, GlobalHorizontalIrradiance = 0, SunshineDuration = 0, DiffuseHorizontalIrradiance = 0, AmbientTemp = 3, WindSpeed = 10,98, SnowDepth = 0, Weight = 0, Age = 4,241591835043522, MeasuredPower = , HasMeasuredPower = False },LEG.PV.Data.Processor.DataRecords+PvRecord,"10.12.2025 17:30:00",0,0,"0,9095760221444958",0,0,0,0,3,"10,98",0,0,"4,241591835043522","",False</t>
  </si>
  <si>
    <t>PvRecord { Timestamp = 10.12.2025 17:45:00, Index = 0, DirectGeometryFactor = 0, DiffuseGeometryFactor = 0,9095760221444958, CosSunElevation = 0, GlobalHorizontalIrradiance = 0, SunshineDuration = 0, DiffuseHorizontalIrradiance = 0, AmbientTemp = 3, WindSpeed = 10,98, SnowDepth = 0, Weight = 0, Age = 4,241620354931604, MeasuredPower = , HasMeasuredPower = False },LEG.PV.Data.Processor.DataRecords+PvRecord,"10.12.2025 17:45:00",0,0,"0,9095760221444958",0,0,0,0,3,"10,98",0,0,"4,241620354931604","",False</t>
  </si>
  <si>
    <t>PvRecord { Timestamp = 10.12.2025 18:00:00, Index = 0, DirectGeometryFactor = 0, DiffuseGeometryFactor = 0,9095760221444958, CosSunElevation = 0, GlobalHorizontalIrradiance = 0, SunshineDuration = 0, DiffuseHorizontalIrradiance = 0, AmbientTemp = 3, WindSpeed = 10,98, SnowDepth = 0, Weight = 0, Age = 4,241648874819686, MeasuredPower = , HasMeasuredPower = False },LEG.PV.Data.Processor.DataRecords+PvRecord,"10.12.2025 18:00:00",0,0,"0,9095760221444958",0,0,0,0,3,"10,98",0,0,"4,241648874819686","",False</t>
  </si>
  <si>
    <t>PvRecord { Timestamp = 10.12.2025 18:15:00, Index = 0, DirectGeometryFactor = 0, DiffuseGeometryFactor = 0,9095760221444958, CosSunElevation = 0, GlobalHorizontalIrradiance = 0, SunshineDuration = 0, DiffuseHorizontalIrradiance = 0, AmbientTemp = 3, WindSpeed = 10,98, SnowDepth = 0, Weight = 0, Age = 4,241677394707767, MeasuredPower = , HasMeasuredPower = False },LEG.PV.Data.Processor.DataRecords+PvRecord,"10.12.2025 18:15:00",0,0,"0,9095760221444958",0,0,0,0,3,"10,98",0,0,"4,241677394707767","",False</t>
  </si>
  <si>
    <t>PvRecord { Timestamp = 10.12.2025 18:30:00,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4,2417059145958484, MeasuredPower = , HasMeasuredPower = False },LEG.PV.Data.Processor.DataRecords+PvRecord,"10.12.2025 18:30:00",0,0,"0,9095760221444958",0,0,0,0,"2,3499999999999996","6,4799999999999995",0,0,"4,2417059145958484","",False</t>
  </si>
  <si>
    <t>PvRecord { Timestamp = 10.12.2025 18:45:00,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4,24173443448393, MeasuredPower = , HasMeasuredPower = False },LEG.PV.Data.Processor.DataRecords+PvRecord,"10.12.2025 18:45:00",0,0,"0,9095760221444958",0,0,0,0,"2,3499999999999996","6,4799999999999995",0,0,"4,24173443448393","",False</t>
  </si>
  <si>
    <t>PvRecord { Timestamp = 10.12.2025 19:00:00,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4,241762954372012, MeasuredPower = , HasMeasuredPower = False },LEG.PV.Data.Processor.DataRecords+PvRecord,"10.12.2025 19:00:00",0,0,"0,9095760221444958",0,0,0,0,"2,3499999999999996","6,4799999999999995",0,0,"4,241762954372012","",False</t>
  </si>
  <si>
    <t>PvRecord { Timestamp = 10.12.2025 19:15:00, Index = 0, DirectGeometryFactor = 0, DiffuseGeometryFactor = 0,9095760221444958, CosSunElevation = 0, GlobalHorizontalIrradiance = 0, SunshineDuration = 0, DiffuseHorizontalIrradiance = 0, AmbientTemp = 2,3499999999999996, WindSpeed = 6,4799999999999995, SnowDepth = 0, Weight = 0, Age = 4,2417914742600935, MeasuredPower = , HasMeasuredPower = False },LEG.PV.Data.Processor.DataRecords+PvRecord,"10.12.2025 19:15:00",0,0,"0,9095760221444958",0,0,0,0,"2,3499999999999996","6,4799999999999995",0,0,"4,2417914742600935","",False</t>
  </si>
  <si>
    <t>PvRecord { Timestamp = 10.12.2025 19:30:00,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4,241819994148175, MeasuredPower = , HasMeasuredPower = False },LEG.PV.Data.Processor.DataRecords+PvRecord,"10.12.2025 19:30:00",0,0,"0,9095760221444958",0,0,0,0,"2,1","9,540000000000001",0,0,"4,241819994148175","",False</t>
  </si>
  <si>
    <t>PvRecord { Timestamp = 10.12.2025 19:45:00,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4,241848514036256, MeasuredPower = , HasMeasuredPower = False },LEG.PV.Data.Processor.DataRecords+PvRecord,"10.12.2025 19:45:00",0,0,"0,9095760221444958",0,0,0,0,"2,1","9,540000000000001",0,0,"4,241848514036256","",False</t>
  </si>
  <si>
    <t>PvRecord { Timestamp = 10.12.2025 20:00:00,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4,241877033924338, MeasuredPower = , HasMeasuredPower = False },LEG.PV.Data.Processor.DataRecords+PvRecord,"10.12.2025 20:00:00",0,0,"0,9095760221444958",0,0,0,0,"2,1","9,540000000000001",0,0,"4,241877033924338","",False</t>
  </si>
  <si>
    <t>PvRecord { Timestamp = 10.12.2025 20:15:00, Index = 0, DirectGeometryFactor = 0, DiffuseGeometryFactor = 0,9095760221444958, CosSunElevation = 0, GlobalHorizontalIrradiance = 0, SunshineDuration = 0, DiffuseHorizontalIrradiance = 0, AmbientTemp = 2,1, WindSpeed = 9,540000000000001, SnowDepth = 0, Weight = 0, Age = 4,24190555381242, MeasuredPower = , HasMeasuredPower = False },LEG.PV.Data.Processor.DataRecords+PvRecord,"10.12.2025 20:15:00",0,0,"0,9095760221444958",0,0,0,0,"2,1","9,540000000000001",0,0,"4,24190555381242","",False</t>
  </si>
  <si>
    <t>PvRecord { Timestamp = 10.12.2025 20:30:00,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4,241934073700501, MeasuredPower = , HasMeasuredPower = False },LEG.PV.Data.Processor.DataRecords+PvRecord,"10.12.2025 20:30:00",0,0,"0,9095760221444958",0,0,0,0,"2,15","16,380000000000003",0,0,"4,241934073700501","",False</t>
  </si>
  <si>
    <t>PvRecord { Timestamp = 10.12.2025 20:45:00,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4,241962593588583, MeasuredPower = , HasMeasuredPower = False },LEG.PV.Data.Processor.DataRecords+PvRecord,"10.12.2025 20:45:00",0,0,"0,9095760221444958",0,0,0,0,"2,15","16,380000000000003",0,0,"4,241962593588583","",False</t>
  </si>
  <si>
    <t>PvRecord { Timestamp = 10.12.2025 21:00:00,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4,241991113476664, MeasuredPower = , HasMeasuredPower = False },LEG.PV.Data.Processor.DataRecords+PvRecord,"10.12.2025 21:00:00",0,0,"0,9095760221444958",0,0,0,0,"2,15","16,380000000000003",0,0,"4,241991113476664","",False</t>
  </si>
  <si>
    <t>PvRecord { Timestamp = 10.12.2025 21:15:00, Index = 0, DirectGeometryFactor = 0, DiffuseGeometryFactor = 0,9095760221444958, CosSunElevation = 0, GlobalHorizontalIrradiance = 0, SunshineDuration = 0, DiffuseHorizontalIrradiance = 0, AmbientTemp = 2,15, WindSpeed = 16,380000000000003, SnowDepth = 0, Weight = 0, Age = 4,2420196333647455, MeasuredPower = , HasMeasuredPower = False },LEG.PV.Data.Processor.DataRecords+PvRecord,"10.12.2025 21:15:00",0,0,"0,9095760221444958",0,0,0,0,"2,15","16,380000000000003",0,0,"4,2420196333647455","",False</t>
  </si>
  <si>
    <t>PvRecord { Timestamp = 10.12.2025 21:30:00,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4,242048153252828, MeasuredPower = , HasMeasuredPower = False },LEG.PV.Data.Processor.DataRecords+PvRecord,"10.12.2025 21:30:00",0,0,"0,9095760221444958",0,0,0,0,"2,3","25,560000000000002",0,0,"4,242048153252828","",False</t>
  </si>
  <si>
    <t>PvRecord { Timestamp = 10.12.2025 21:45:00,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4,242076673140909, MeasuredPower = , HasMeasuredPower = False },LEG.PV.Data.Processor.DataRecords+PvRecord,"10.12.2025 21:45:00",0,0,"0,9095760221444958",0,0,0,0,"2,3","25,560000000000002",0,0,"4,242076673140909","",False</t>
  </si>
  <si>
    <t>PvRecord { Timestamp = 10.12.2025 22:00:00,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4,242105193028991, MeasuredPower = , HasMeasuredPower = False },LEG.PV.Data.Processor.DataRecords+PvRecord,"10.12.2025 22:00:00",0,0,"0,9095760221444958",0,0,0,0,"2,3","25,560000000000002",0,0,"4,242105193028991","",False</t>
  </si>
  <si>
    <t>PvRecord { Timestamp = 10.12.2025 22:15:00, Index = 0, DirectGeometryFactor = 0, DiffuseGeometryFactor = 0,9095760221444958, CosSunElevation = 0, GlobalHorizontalIrradiance = 0, SunshineDuration = 0, DiffuseHorizontalIrradiance = 0, AmbientTemp = 2,3, WindSpeed = 25,560000000000002, SnowDepth = 0, Weight = 0, Age = 4,242133712917072, MeasuredPower = , HasMeasuredPower = False },LEG.PV.Data.Processor.DataRecords+PvRecord,"10.12.2025 22:15:00",0,0,"0,9095760221444958",0,0,0,0,"2,3","25,560000000000002",0,0,"4,242133712917072","",False</t>
  </si>
  <si>
    <t>PvRecord { Timestamp = 10.12.2025 22:30:00, Index = 0, DirectGeometryFactor = 0, DiffuseGeometryFactor = 0,9095760221444958, CosSunElevation = 0, GlobalHorizontalIrradiance = 0, SunshineDuration = 0, DiffuseHorizontalIrradiance = 0, AmbientTemp = 2,55, WindSpeed = 35,82, SnowDepth = 0, Weight = 0, Age = 4,242162232805153, MeasuredPower = , HasMeasuredPower = False },LEG.PV.Data.Processor.DataRecords+PvRecord,"10.12.2025 22:30:00",0,0,"0,9095760221444958",0,0,0,0,"2,55","35,82",0,0,"4,242162232805153","",False</t>
  </si>
  <si>
    <t>PvRecord { Timestamp = 10.12.2025 22:45:00, Index = 0, DirectGeometryFactor = 0, DiffuseGeometryFactor = 0,9095760221444958, CosSunElevation = 0, GlobalHorizontalIrradiance = 0, SunshineDuration = 0, DiffuseHorizontalIrradiance = 0, AmbientTemp = 2,55, WindSpeed = 35,82, SnowDepth = 0, Weight = 0, Age = 4,242190752693236, MeasuredPower = , HasMeasuredPower = False },LEG.PV.Data.Processor.DataRecords+PvRecord,"10.12.2025 22:45:00",0,0,"0,9095760221444958",0,0,0,0,"2,55","35,82",0,0,"4,242190752693236","",False</t>
  </si>
  <si>
    <t>PvRecord { Timestamp = 10.12.2025 23:00:00, Index = 0, DirectGeometryFactor = 0, DiffuseGeometryFactor = 0,9095760221444958, CosSunElevation = 0, GlobalHorizontalIrradiance = 0, SunshineDuration = 0, DiffuseHorizontalIrradiance = 0, AmbientTemp = 2,55, WindSpeed = 35,82, SnowDepth = 0, Weight = 0, Age = 4,242219272581317, MeasuredPower = , HasMeasuredPower = False },LEG.PV.Data.Processor.DataRecords+PvRecord,"10.12.2025 23:00:00",0,0,"0,9095760221444958",0,0,0,0,"2,55","35,82",0,0,"4,242219272581317","",False</t>
  </si>
  <si>
    <t>PvRecord { Timestamp = 10.12.2025 23:15:00, Index = 0, DirectGeometryFactor = 0, DiffuseGeometryFactor = 0,9095760221444958, CosSunElevation = 0, GlobalHorizontalIrradiance = 0, SunshineDuration = 0, DiffuseHorizontalIrradiance = 0, AmbientTemp = 2,55, WindSpeed = 35,82, SnowDepth = 0, Weight = 0, Age = 4,242247792469398, MeasuredPower = , HasMeasuredPower = False },LEG.PV.Data.Processor.DataRecords+PvRecord,"10.12.2025 23:15:00",0,0,"0,9095760221444958",0,0,0,0,"2,55","35,82",0,0,"4,242247792469398","",False</t>
  </si>
  <si>
    <t>PvRecord { Timestamp = 10.12.2025 23:30:00, Index = 0, DirectGeometryFactor = 0, DiffuseGeometryFactor = 0,9095760221444958, CosSunElevation = 0, GlobalHorizontalIrradiance = 0, SunshineDuration = 0, DiffuseHorizontalIrradiance = 0, AmbientTemp = 2,8, WindSpeed = 44,46, SnowDepth = 0, Weight = 0, Age = 4,24227631235748, MeasuredPower = , HasMeasuredPower = False },LEG.PV.Data.Processor.DataRecords+PvRecord,"10.12.2025 23:30:00",0,0,"0,9095760221444958",0,0,0,0,"2,8","44,46",0,0,"4,24227631235748","",False</t>
  </si>
  <si>
    <t>PvRecord { Timestamp = 10.12.2025 23:45:00, Index = 0, DirectGeometryFactor = 0, DiffuseGeometryFactor = 0,9095760221444958, CosSunElevation = 0, GlobalHorizontalIrradiance = 0, SunshineDuration = 0, DiffuseHorizontalIrradiance = 0, AmbientTemp = 2,8, WindSpeed = 44,46, SnowDepth = 0, Weight = 0, Age = 4,242304832245562, MeasuredPower = , HasMeasuredPower = False },LEG.PV.Data.Processor.DataRecords+PvRecord,"10.12.2025 23:45:00",0,0,"0,9095760221444958",0,0,0,0,"2,8","44,46",0,0,"4,242304832245562","",False</t>
  </si>
  <si>
    <t>PvRecord { Timestamp = 11.12.2025 00:00:00, Index = 0, DirectGeometryFactor = 0, DiffuseGeometryFactor = 0,9095760221444958, CosSunElevation = 0, GlobalHorizontalIrradiance = 0, SunshineDuration = 0, DiffuseHorizontalIrradiance = 0, AmbientTemp = 2,8, WindSpeed = 44,46, SnowDepth = 0, Weight = 0, Age = 4,2423333521336435, MeasuredPower = , HasMeasuredPower = False },LEG.PV.Data.Processor.DataRecords+PvRecord,"11.12.2025 00:00:00",0,0,"0,9095760221444958",0,0,0,0,"2,8","44,46",0,0,"4,2423333521336435","",False</t>
  </si>
  <si>
    <t>PvRecord { Timestamp = 11.12.2025 00:15:00, Index = 0, DirectGeometryFactor = 0, DiffuseGeometryFactor = 0,9095760221444958, CosSunElevation = 0, GlobalHorizontalIrradiance = 0, SunshineDuration = 0, DiffuseHorizontalIrradiance = 0, AmbientTemp = 2,8, WindSpeed = 44,46, SnowDepth = 0, Weight = 0, Age = 4,242361872021725, MeasuredPower = , HasMeasuredPower = False },LEG.PV.Data.Processor.DataRecords+PvRecord,"11.12.2025 00:15:00",0,0,"0,9095760221444958",0,0,0,0,"2,8","44,46",0,0,"4,242361872021725","",False</t>
  </si>
  <si>
    <t>PvRecord { Timestamp = 11.12.2025 00:30:00,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4,242390391909806, MeasuredPower = , HasMeasuredPower = False },LEG.PV.Data.Processor.DataRecords+PvRecord,"11.12.2025 00:30:00",0,0,"0,9095760221444958",0,0,0,0,"2,9000000000000004","50,760000000000005",0,0,"4,242390391909806","",False</t>
  </si>
  <si>
    <t>PvRecord { Timestamp = 11.12.2025 00:45:00,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4,242418911797888, MeasuredPower = , HasMeasuredPower = False },LEG.PV.Data.Processor.DataRecords+PvRecord,"11.12.2025 00:45:00",0,0,"0,9095760221444958",0,0,0,0,"2,9000000000000004","50,760000000000005",0,0,"4,242418911797888","",False</t>
  </si>
  <si>
    <t>PvRecord { Timestamp = 11.12.2025 01:00:00,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4,24244743168597, MeasuredPower = , HasMeasuredPower = False },LEG.PV.Data.Processor.DataRecords+PvRecord,"11.12.2025 01:00:00",0,0,"0,9095760221444958",0,0,0,0,"2,9000000000000004","50,760000000000005",0,0,"4,24244743168597","",False</t>
  </si>
  <si>
    <t>PvRecord { Timestamp = 11.12.2025 01:15:00, Index = 0, DirectGeometryFactor = 0, DiffuseGeometryFactor = 0,9095760221444958, CosSunElevation = 0, GlobalHorizontalIrradiance = 0, SunshineDuration = 0, DiffuseHorizontalIrradiance = 0, AmbientTemp = 2,9000000000000004, WindSpeed = 50,760000000000005, SnowDepth = 0, Weight = 0, Age = 4,242475951574051, MeasuredPower = , HasMeasuredPower = False },LEG.PV.Data.Processor.DataRecords+PvRecord,"11.12.2025 01:15:00",0,0,"0,9095760221444958",0,0,0,0,"2,9000000000000004","50,760000000000005",0,0,"4,242475951574051","",False</t>
  </si>
  <si>
    <t>PvRecord { Timestamp = 11.12.2025 01:30:00,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4,242504471462133, MeasuredPower = , HasMeasuredPower = False },LEG.PV.Data.Processor.DataRecords+PvRecord,"11.12.2025 01:30:00",0,0,"0,9095760221444958",0,0,0,0,"2,95","54,18000000000001",0,0,"4,242504471462133","",False</t>
  </si>
  <si>
    <t>PvRecord { Timestamp = 11.12.2025 01:45:00,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4,242532991350214, MeasuredPower = , HasMeasuredPower = False },LEG.PV.Data.Processor.DataRecords+PvRecord,"11.12.2025 01:45:00",0,0,"0,9095760221444958",0,0,0,0,"2,95","54,18000000000001",0,0,"4,242532991350214","",False</t>
  </si>
  <si>
    <t>PvRecord { Timestamp = 11.12.2025 02:00:00,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4,2425615112382955, MeasuredPower = , HasMeasuredPower = False },LEG.PV.Data.Processor.DataRecords+PvRecord,"11.12.2025 02:00:00",0,0,"0,9095760221444958",0,0,0,0,"2,95","54,18000000000001",0,0,"4,2425615112382955","",False</t>
  </si>
  <si>
    <t>PvRecord { Timestamp = 11.12.2025 02:15:00, Index = 0, DirectGeometryFactor = 0, DiffuseGeometryFactor = 0,9095760221444958, CosSunElevation = 0, GlobalHorizontalIrradiance = 0, SunshineDuration = 0, DiffuseHorizontalIrradiance = 0, AmbientTemp = 2,95, WindSpeed = 54,18000000000001, SnowDepth = 0, Weight = 0, Age = 4,242590031126378, MeasuredPower = , HasMeasuredPower = False },LEG.PV.Data.Processor.DataRecords+PvRecord,"11.12.2025 02:15:00",0,0,"0,9095760221444958",0,0,0,0,"2,95","54,18000000000001",0,0,"4,242590031126378","",False</t>
  </si>
  <si>
    <t>PvRecord { Timestamp = 11.12.2025 02:30:00, Index = 0, DirectGeometryFactor = 0, DiffuseGeometryFactor = 0,9095760221444958, CosSunElevation = 0, GlobalHorizontalIrradiance = 0, SunshineDuration = 0, DiffuseHorizontalIrradiance = 0, AmbientTemp = 2,9, WindSpeed = 57,06, SnowDepth = 0, Weight = 0, Age = 4,242618551014459, MeasuredPower = , HasMeasuredPower = False },LEG.PV.Data.Processor.DataRecords+PvRecord,"11.12.2025 02:30:00",0,0,"0,9095760221444958",0,0,0,0,"2,9","57,06",0,0,"4,242618551014459","",False</t>
  </si>
  <si>
    <t>PvRecord { Timestamp = 11.12.2025 02:45:00, Index = 0, DirectGeometryFactor = 0, DiffuseGeometryFactor = 0,9095760221444958, CosSunElevation = 0, GlobalHorizontalIrradiance = 0, SunshineDuration = 0, DiffuseHorizontalIrradiance = 0, AmbientTemp = 2,9, WindSpeed = 57,06, SnowDepth = 0, Weight = 0, Age = 4,242647070902541, MeasuredPower = , HasMeasuredPower = False },LEG.PV.Data.Processor.DataRecords+PvRecord,"11.12.2025 02:45:00",0,0,"0,9095760221444958",0,0,0,0,"2,9","57,06",0,0,"4,242647070902541","",False</t>
  </si>
  <si>
    <t>PvRecord { Timestamp = 11.12.2025 03:00:00, Index = 0, DirectGeometryFactor = 0, DiffuseGeometryFactor = 0,9095760221444958, CosSunElevation = 0, GlobalHorizontalIrradiance = 0, SunshineDuration = 0, DiffuseHorizontalIrradiance = 0, AmbientTemp = 2,9, WindSpeed = 57,06, SnowDepth = 0, Weight = 0, Age = 4,242675590790622, MeasuredPower = , HasMeasuredPower = False },LEG.PV.Data.Processor.DataRecords+PvRecord,"11.12.2025 03:00:00",0,0,"0,9095760221444958",0,0,0,0,"2,9","57,06",0,0,"4,242675590790622","",False</t>
  </si>
  <si>
    <t>PvRecord { Timestamp = 11.12.2025 03:15:00, Index = 0, DirectGeometryFactor = 0, DiffuseGeometryFactor = 0,9095760221444958, CosSunElevation = 0, GlobalHorizontalIrradiance = 0, SunshineDuration = 0, DiffuseHorizontalIrradiance = 0, AmbientTemp = 2,9, WindSpeed = 57,06, SnowDepth = 0, Weight = 0, Age = 4,242704110678703, MeasuredPower = , HasMeasuredPower = False },LEG.PV.Data.Processor.DataRecords+PvRecord,"11.12.2025 03:15:00",0,0,"0,9095760221444958",0,0,0,0,"2,9","57,06",0,0,"4,242704110678703","",False</t>
  </si>
  <si>
    <t>PvRecord { Timestamp = 11.12.2025 03:30:00,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4,242732630566786, MeasuredPower = , HasMeasuredPower = False },LEG.PV.Data.Processor.DataRecords+PvRecord,"11.12.2025 03:30:00",0,0,"0,9095760221444958",0,0,0,0,"2,9000000000000004","60,660000000000004",0,0,"4,242732630566786","",False</t>
  </si>
  <si>
    <t>PvRecord { Timestamp = 11.12.2025 03:45:00,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4,242761150454867, MeasuredPower = , HasMeasuredPower = False },LEG.PV.Data.Processor.DataRecords+PvRecord,"11.12.2025 03:45:00",0,0,"0,9095760221444958",0,0,0,0,"2,9000000000000004","60,660000000000004",0,0,"4,242761150454867","",False</t>
  </si>
  <si>
    <t>PvRecord { Timestamp = 11.12.2025 04:00:00,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4,242789670342948, MeasuredPower = , HasMeasuredPower = False },LEG.PV.Data.Processor.DataRecords+PvRecord,"11.12.2025 04:00:00",0,0,"0,9095760221444958",0,0,0,0,"2,9000000000000004","60,660000000000004",0,0,"4,242789670342948","",False</t>
  </si>
  <si>
    <t>PvRecord { Timestamp = 11.12.2025 04:15:00, Index = 0, DirectGeometryFactor = 0, DiffuseGeometryFactor = 0,9095760221444958, CosSunElevation = 0, GlobalHorizontalIrradiance = 0, SunshineDuration = 0, DiffuseHorizontalIrradiance = 0, AmbientTemp = 2,9000000000000004, WindSpeed = 60,660000000000004, SnowDepth = 0, Weight = 0, Age = 4,24281819023103, MeasuredPower = , HasMeasuredPower = False },LEG.PV.Data.Processor.DataRecords+PvRecord,"11.12.2025 04:15:00",0,0,"0,9095760221444958",0,0,0,0,"2,9000000000000004","60,660000000000004",0,0,"4,24281819023103","",False</t>
  </si>
  <si>
    <t>PvRecord { Timestamp = 11.12.2025 04:30:00,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4,242846710119111, MeasuredPower = , HasMeasuredPower = False },LEG.PV.Data.Processor.DataRecords+PvRecord,"11.12.2025 04:30:00",0,0,"0,9095760221444958",0,0,0,0,"2,8499999999999996","63,900000000000006",0,0,"4,242846710119111","",False</t>
  </si>
  <si>
    <t>PvRecord { Timestamp = 11.12.2025 04:45:00,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4,2428752300071935, MeasuredPower = , HasMeasuredPower = False },LEG.PV.Data.Processor.DataRecords+PvRecord,"11.12.2025 04:45:00",0,0,"0,9095760221444958",0,0,0,0,"2,8499999999999996","63,900000000000006",0,0,"4,2428752300071935","",False</t>
  </si>
  <si>
    <t>PvRecord { Timestamp = 11.12.2025 05:00:00,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4,242903749895275, MeasuredPower = , HasMeasuredPower = False },LEG.PV.Data.Processor.DataRecords+PvRecord,"11.12.2025 05:00:00",0,0,"0,9095760221444958",0,0,0,0,"2,8499999999999996","63,900000000000006",0,0,"4,242903749895275","",False</t>
  </si>
  <si>
    <t>PvRecord { Timestamp = 11.12.2025 05:15:00, Index = 0, DirectGeometryFactor = 0, DiffuseGeometryFactor = 0,9095760221444958, CosSunElevation = 0, GlobalHorizontalIrradiance = 0, SunshineDuration = 0, DiffuseHorizontalIrradiance = 0, AmbientTemp = 2,8499999999999996, WindSpeed = 63,900000000000006, SnowDepth = 0, Weight = 0, Age = 4,242932269783356, MeasuredPower = , HasMeasuredPower = False },LEG.PV.Data.Processor.DataRecords+PvRecord,"11.12.2025 05:15:00",0,0,"0,9095760221444958",0,0,0,0,"2,8499999999999996","63,900000000000006",0,0,"4,242932269783356","",False</t>
  </si>
  <si>
    <t>PvRecord { Timestamp = 11.12.2025 05:30:00, Index = 0, DirectGeometryFactor = 0, DiffuseGeometryFactor = 0,9095760221444958, CosSunElevation = 0, GlobalHorizontalIrradiance = 0, SunshineDuration = 0, DiffuseHorizontalIrradiance = 0, AmbientTemp = 2,85, WindSpeed = 66,78, SnowDepth = 0, Weight = 0, Age = 4,242960789671438, MeasuredPower = , HasMeasuredPower = False },LEG.PV.Data.Processor.DataRecords+PvRecord,"11.12.2025 05:30:00",0,0,"0,9095760221444958",0,0,0,0,"2,85","66,78",0,0,"4,242960789671438","",False</t>
  </si>
  <si>
    <t>PvRecord { Timestamp = 11.12.2025 05:45:00, Index = 0, DirectGeometryFactor = 0, DiffuseGeometryFactor = 0,9095760221444958, CosSunElevation = 0, GlobalHorizontalIrradiance = 0, SunshineDuration = 0, DiffuseHorizontalIrradiance = 0, AmbientTemp = 2,85, WindSpeed = 66,78, SnowDepth = 0, Weight = 0, Age = 4,242989309559519, MeasuredPower = , HasMeasuredPower = False },LEG.PV.Data.Processor.DataRecords+PvRecord,"11.12.2025 05:45:00",0,0,"0,9095760221444958",0,0,0,0,"2,85","66,78",0,0,"4,242989309559519","",False</t>
  </si>
  <si>
    <t>PvRecord { Timestamp = 11.12.2025 06:00:00, Index = 0, DirectGeometryFactor = 0, DiffuseGeometryFactor = 0,9095760221444958, CosSunElevation = 0, GlobalHorizontalIrradiance = 0, SunshineDuration = 0, DiffuseHorizontalIrradiance = 0, AmbientTemp = 2,85, WindSpeed = 66,78, SnowDepth = 0, Weight = 0, Age = 4,243017829447601, MeasuredPower = , HasMeasuredPower = False },LEG.PV.Data.Processor.DataRecords+PvRecord,"11.12.2025 06:00:00",0,0,"0,9095760221444958",0,0,0,0,"2,85","66,78",0,0,"4,243017829447601","",False</t>
  </si>
  <si>
    <t>PvRecord { Timestamp = 11.12.2025 06:15:00, Index = 0, DirectGeometryFactor = 0, DiffuseGeometryFactor = 0,9095760221444958, CosSunElevation = 0, GlobalHorizontalIrradiance = 0, SunshineDuration = 0, DiffuseHorizontalIrradiance = 0, AmbientTemp = 2,85, WindSpeed = 66,78, SnowDepth = 0, Weight = 0, Age = 4,243046349335683, MeasuredPower = , HasMeasuredPower = False },LEG.PV.Data.Processor.DataRecords+PvRecord,"11.12.2025 06:15:00",0,0,"0,9095760221444958",0,0,0,0,"2,85","66,78",0,0,"4,243046349335683","",False</t>
  </si>
  <si>
    <t>PvRecord { Timestamp = 11.12.2025 06:30:00, Index = 0, DirectGeometryFactor = 0, DiffuseGeometryFactor = 0,9095760221444958, CosSunElevation = 0, GlobalHorizontalIrradiance = 0, SunshineDuration = 0, DiffuseHorizontalIrradiance = 0, AmbientTemp = 2,9, WindSpeed = 68,4, SnowDepth = 0, Weight = 0, Age = 4,243074869223764, MeasuredPower = , HasMeasuredPower = False },LEG.PV.Data.Processor.DataRecords+PvRecord,"11.12.2025 06:30:00",0,0,"0,9095760221444958",0,0,0,0,"2,9","68,4",0,0,"4,243074869223764","",False</t>
  </si>
  <si>
    <t>PvRecord { Timestamp = 11.12.2025 06:45:00, Index = 0, DirectGeometryFactor = 0, DiffuseGeometryFactor = 0,9095760221444958, CosSunElevation = 0, GlobalHorizontalIrradiance = 0, SunshineDuration = 0, DiffuseHorizontalIrradiance = 0, AmbientTemp = 2,9, WindSpeed = 68,4, SnowDepth = 0, Weight = 0, Age = 4,2431033891118455, MeasuredPower = , HasMeasuredPower = False },LEG.PV.Data.Processor.DataRecords+PvRecord,"11.12.2025 06:45:00",0,0,"0,9095760221444958",0,0,0,0,"2,9","68,4",0,0,"4,2431033891118455","",False</t>
  </si>
  <si>
    <t>PvRecord { Timestamp = 11.12.2025 07:00:00, Index = 0, DirectGeometryFactor = 0, DiffuseGeometryFactor = 0,9095760221444958, CosSunElevation = 0, GlobalHorizontalIrradiance = 0, SunshineDuration = 0, DiffuseHorizontalIrradiance = 0, AmbientTemp = 2,9, WindSpeed = 68,4, SnowDepth = 0, Weight = 0, Age = 4,243131908999927, MeasuredPower = , HasMeasuredPower = False },LEG.PV.Data.Processor.DataRecords+PvRecord,"11.12.2025 07:00:00",0,0,"0,9095760221444958",0,0,0,0,"2,9","68,4",0,0,"4,243131908999927","",False</t>
  </si>
  <si>
    <t>PvRecord { Timestamp = 11.12.2025 07:15:00, Index = 0, DirectGeometryFactor = 0, DiffuseGeometryFactor = 0,9095760221444958, CosSunElevation = 0, GlobalHorizontalIrradiance = 0, SunshineDuration = 0, DiffuseHorizontalIrradiance = 0, AmbientTemp = 2,9, WindSpeed = 68,4, SnowDepth = 0, Weight = 0, Age = 4,243160428888009, MeasuredPower = , HasMeasuredPower = False },LEG.PV.Data.Processor.DataRecords+PvRecord,"11.12.2025 07:15:00",0,0,"0,9095760221444958",0,0,0,0,"2,9","68,4",0,0,"4,243160428888009","",False</t>
  </si>
  <si>
    <t>PvRecord { Timestamp = 11.12.2025 07:30:00, Index = 0, DirectGeometryFactor = 0, DiffuseGeometryFactor = 0,9095760221444958, CosSunElevation = 0, GlobalHorizontalIrradiance = 0, SunshineDuration = 0, DiffuseHorizontalIrradiance = 0, AmbientTemp = 3,05, WindSpeed = 68,03999999999999, SnowDepth = 0, Weight = 0, Age = 4,2431889487760905, MeasuredPower = , HasMeasuredPower = False },LEG.PV.Data.Processor.DataRecords+PvRecord,"11.12.2025 07:30:00",0,0,"0,9095760221444958",0,0,0,0,"3,05","68,03999999999999",0,0,"4,2431889487760905","",False</t>
  </si>
  <si>
    <t>PvRecord { Timestamp = 11.12.2025 07:45:00, Index = 0, DirectGeometryFactor = 0, DiffuseGeometryFactor = 0,9095760221444958, CosSunElevation = 0, GlobalHorizontalIrradiance = 0, SunshineDuration = 0, DiffuseHorizontalIrradiance = 0, AmbientTemp = 3,05, WindSpeed = 68,03999999999999, SnowDepth = 0, Weight = 0, Age = 4,243217468664172, MeasuredPower = , HasMeasuredPower = False },LEG.PV.Data.Processor.DataRecords+PvRecord,"11.12.2025 07:45:00",0,0,"0,9095760221444958",0,0,0,0,"3,05","68,03999999999999",0,0,"4,243217468664172","",False</t>
  </si>
  <si>
    <t>PvRecord { Timestamp = 11.12.2025 08:00:00, Index = 0, DirectGeometryFactor = 0, DiffuseGeometryFactor = 0,9095760221444958, CosSunElevation = 0,007580385822430293, GlobalHorizontalIrradiance = 0, SunshineDuration = 0, DiffuseHorizontalIrradiance = 0, AmbientTemp = 3,05, WindSpeed = 68,03999999999999, SnowDepth = 0, Weight = 0, Age = 4,243245988552253, MeasuredPower = , HasMeasuredPower = False },LEG.PV.Data.Processor.DataRecords+PvRecord,"11.12.2025 08:00:00",0,0,"0,9095760221444958","0,007580385822430293",0,0,0,"3,05","68,03999999999999",0,0,"4,243245988552253","",False</t>
  </si>
  <si>
    <t>PvRecord { Timestamp = 11.12.2025 08:15:00, Index = 0, DirectGeometryFactor = 0,5254479895182814, DiffuseGeometryFactor = 0,9095760221444958, CosSunElevation = 0,039538803877492985, GlobalHorizontalIrradiance = 0, SunshineDuration = 0, DiffuseHorizontalIrradiance = 0, AmbientTemp = 3,05, WindSpeed = 68,03999999999999, SnowDepth = 0, Weight = 0, Age = 4,243274508440335, MeasuredPower = , HasMeasuredPower = False },LEG.PV.Data.Processor.DataRecords+PvRecord,"11.12.2025 08:15:00",0,"0,5254479895182814","0,9095760221444958","0,039538803877492985",0,0,0,"3,05","68,03999999999999",0,0,"4,243274508440335","",False</t>
  </si>
  <si>
    <t>PvRecord { Timestamp = 11.12.2025 08:30:00, Index = 0, DirectGeometryFactor = 0,5651062706455042, DiffuseGeometryFactor = 0,9095760221444958, CosSunElevation = 0,07214227098657876, GlobalHorizontalIrradiance = 310,84999999999997, SunshineDuration = 0, DiffuseHorizontalIrradiance = 15, AmbientTemp = 3,3499999999999996, WindSpeed = 65,34, SnowDepth = 0, Weight = 0, Age = 4,243303028328417, MeasuredPower = , HasMeasuredPower = False },LEG.PV.Data.Processor.DataRecords+PvRecord,"11.12.2025 08:30:00",0,"0,5651062706455042","0,9095760221444958","0,07214227098657876","310,84999999999997",0,15,"3,3499999999999996","65,34",0,0,"4,243303028328417","",False</t>
  </si>
  <si>
    <t>PvRecord { Timestamp = 11.12.2025 08:45:00, Index = 0, DirectGeometryFactor = 0,6026015880393585, DiffuseGeometryFactor = 0,9095760221444958, CosSunElevation = 0,1039925535793902, GlobalHorizontalIrradiance = 310,84999999999997, SunshineDuration = 0, DiffuseHorizontalIrradiance = 15, AmbientTemp = 3,3499999999999996, WindSpeed = 65,34, SnowDepth = 0, Weight = 0, Age = 4,243331548216498, MeasuredPower = , HasMeasuredPower = False },LEG.PV.Data.Processor.DataRecords+PvRecord,"11.12.2025 08:45:00",0,"0,6026015880393585","0,9095760221444958","0,1039925535793902","310,84999999999997",0,15,"3,3499999999999996","65,34",0,0,"4,243331548216498","",False</t>
  </si>
  <si>
    <t>PvRecord { Timestamp = 11.12.2025 09:00:00, Index = 0, DirectGeometryFactor = 0,6374063192066146, DiffuseGeometryFactor = 0,9095760221444958, CosSunElevation = 0,134515826449638, GlobalHorizontalIrradiance = 310,84999999999997, SunshineDuration = 0, DiffuseHorizontalIrradiance = 15, AmbientTemp = 3,3499999999999996, WindSpeed = 65,34, SnowDepth = 0, Weight = 0, Age = 4,24336006810458, MeasuredPower = , HasMeasuredPower = False },LEG.PV.Data.Processor.DataRecords+PvRecord,"11.12.2025 09:00:00",0,"0,6374063192066146","0,9095760221444958","0,134515826449638","310,84999999999997",0,15,"3,3499999999999996","65,34",0,0,"4,24336006810458","",False</t>
  </si>
  <si>
    <t>PvRecord { Timestamp = 11.12.2025 09:15:00, Index = 0, DirectGeometryFactor = 0,6692312510998294, DiffuseGeometryFactor = 0,9095760221444958, CosSunElevation = 0,16341371801543508, GlobalHorizontalIrradiance = 310,84999999999997, SunshineDuration = 0, DiffuseHorizontalIrradiance = 15, AmbientTemp = 3,3499999999999996, WindSpeed = 65,34, SnowDepth = 0, Weight = 0, Age = 4,243388587992661, MeasuredPower = , HasMeasuredPower = False },LEG.PV.Data.Processor.DataRecords+PvRecord,"11.12.2025 09:15:00",0,"0,6692312510998294","0,9095760221444958","0,16341371801543508","310,84999999999997",0,15,"3,3499999999999996","65,34",0,0,"4,243388587992661","",False</t>
  </si>
  <si>
    <t>PvRecord { Timestamp = 11.12.2025 09:30:00, Index = 0, DirectGeometryFactor = 0,6978774353041989, DiffuseGeometryFactor = 0,9095760221444958, CosSunElevation = 0,19048731652168116, GlobalHorizontalIrradiance = 565,3833333333333, SunshineDuration = 0, DiffuseHorizontalIrradiance = 50, AmbientTemp = 3,65, WindSpeed = 61,92, SnowDepth = 0, Weight = 0, Age = 4,2434171078807426, MeasuredPower = , HasMeasuredPower = False },LEG.PV.Data.Processor.DataRecords+PvRecord,"11.12.2025 09:30:00",0,"0,6978774353041989","0,9095760221444958","0,19048731652168116","565,3833333333333",0,50,"3,65","61,92",0,0,"4,2434171078807426","",False</t>
  </si>
  <si>
    <t>PvRecord { Timestamp = 11.12.2025 09:45:00, Index = 0, DirectGeometryFactor = 0,7231905104191709, DiffuseGeometryFactor = 0,9095760221444958, CosSunElevation = 0,21558257934462746, GlobalHorizontalIrradiance = 565,3833333333333, SunshineDuration = 0, DiffuseHorizontalIrradiance = 50, AmbientTemp = 3,65, WindSpeed = 61,92, SnowDepth = 0, Weight = 0, Age = 4,243445627768825, MeasuredPower = , HasMeasuredPower = False },LEG.PV.Data.Processor.DataRecords+PvRecord,"11.12.2025 09:45:00",0,"0,7231905104191709","0,9095760221444958","0,21558257934462746","565,3833333333333",0,50,"3,65","61,92",0,0,"4,243445627768825","",False</t>
  </si>
  <si>
    <t>PvRecord { Timestamp = 11.12.2025 10:00:00, Index = 0, DirectGeometryFactor = 0,7450444947816045, DiffuseGeometryFactor = 0,9095760221444958, CosSunElevation = 0,23857084417275917, GlobalHorizontalIrradiance = 565,3833333333333, SunshineDuration = 0, DiffuseHorizontalIrradiance = 50, AmbientTemp = 3,65, WindSpeed = 61,92, SnowDepth = 0, Weight = 0, Age = 4,243474147656906, MeasuredPower = , HasMeasuredPower = False },LEG.PV.Data.Processor.DataRecords+PvRecord,"11.12.2025 10:00:00",0,"0,7450444947816045","0,9095760221444958","0,23857084417275917","565,3833333333333",0,50,"3,65","61,92",0,0,"4,243474147656906","",False</t>
  </si>
  <si>
    <t>PvRecord { Timestamp = 11.12.2025 10:15:00, Index = 0, DirectGeometryFactor = 0,7633353354229266, DiffuseGeometryFactor = 0,9095760221444958, CosSunElevation = 0,25934101544291727, GlobalHorizontalIrradiance = 565,3833333333333, SunshineDuration = 0, DiffuseHorizontalIrradiance = 50, AmbientTemp = 3,65, WindSpeed = 61,92, SnowDepth = 0, Weight = 0, Age = 4,243502667544988, MeasuredPower = , HasMeasuredPower = False },LEG.PV.Data.Processor.DataRecords+PvRecord,"11.12.2025 10:15:00",0,"0,7633353354229266","0,9095760221444958","0,25934101544291727","565,3833333333333",0,50,"3,65","61,92",0,0,"4,243502667544988","",False</t>
  </si>
  <si>
    <t>PvRecord { Timestamp = 11.12.2025 10:30:00, Index = 0, DirectGeometryFactor = 0,7779781300836772, DiffuseGeometryFactor = 0,9095760221444958, CosSunElevation = 0,2777961776934933, GlobalHorizontalIrradiance = 564,15, SunshineDuration = 0, DiffuseHorizontalIrradiance = 77, AmbientTemp = 3,95, WindSpeed = 57,96, SnowDepth = 0, Weight = 0, Age = 4,243531187433069, MeasuredPower = , HasMeasuredPower = False },LEG.PV.Data.Processor.DataRecords+PvRecord,"11.12.2025 10:30:00",0,"0,7779781300836772","0,9095760221444958","0,2777961776934933","564,15",0,77,"3,95","57,96",0,0,"4,243531187433069","",False</t>
  </si>
  <si>
    <t>PvRecord { Timestamp = 11.12.2025 10:45:00, Index = 0, DirectGeometryFactor = 0,7889058727738341, DiffuseGeometryFactor = 0,9095760221444958, CosSunElevation = 0,2938520697755548, GlobalHorizontalIrradiance = 564,15, SunshineDuration = 0, DiffuseHorizontalIrradiance = 77, AmbientTemp = 3,95, WindSpeed = 57,96, SnowDepth = 0, Weight = 0, Age = 4,24355970732115, MeasuredPower = , HasMeasuredPower = False },LEG.PV.Data.Processor.DataRecords+PvRecord,"11.12.2025 10:45:00",0,"0,7889058727738341","0,9095760221444958","0,2938520697755548","564,15",0,77,"3,95","57,96",0,0,"4,24355970732115","",False</t>
  </si>
  <si>
    <t>PvRecord { Timestamp = 11.12.2025 11:00:00, Index = 0, DirectGeometryFactor = 0,7960688717021153, DiffuseGeometryFactor = 0,9095760221444958, CosSunElevation = 0,30743640237443076, GlobalHorizontalIrradiance = 564,15, SunshineDuration = 0, DiffuseHorizontalIrradiance = 77, AmbientTemp = 3,95, WindSpeed = 57,96, SnowDepth = 0, Weight = 0, Age = 4,243588227209233, MeasuredPower = , HasMeasuredPower = False },LEG.PV.Data.Processor.DataRecords+PvRecord,"11.12.2025 11:00:00",0,"0,7960688717021153","0,9095760221444958","0,30743640237443076","564,15",0,77,"3,95","57,96",0,0,"4,243588227209233","",False</t>
  </si>
  <si>
    <t>PvRecord { Timestamp = 11.12.2025 11:15:00, Index = 0, DirectGeometryFactor = 0,7994344694387394, DiffuseGeometryFactor = 0,9095760221444958, CosSunElevation = 0,31848857569951644, GlobalHorizontalIrradiance = 564,15, SunshineDuration = 0, DiffuseHorizontalIrradiance = 77, AmbientTemp = 3,95, WindSpeed = 57,96, SnowDepth = 0, Weight = 0, Age = 4,243616747097314, MeasuredPower = , HasMeasuredPower = False },LEG.PV.Data.Processor.DataRecords+PvRecord,"11.12.2025 11:15:00",0,"0,7994344694387394","0,9095760221444958","0,31848857569951644","564,15",0,77,"3,95","57,96",0,0,"4,243616747097314","",False</t>
  </si>
  <si>
    <t>PvRecord { Timestamp = 11.12.2025 11:30:00, Index = 0, DirectGeometryFactor = 0,7989868919542251, DiffuseGeometryFactor = 0,9095760221444958, CosSunElevation = 0,3269595893684809, GlobalHorizontalIrradiance = 564,2666666666667, SunshineDuration = 0, DiffuseHorizontalIrradiance = 93, AmbientTemp = 4,2, WindSpeed = 54,540000000000006, SnowDepth = 0, Weight = 0, Age = 4,2436452669853955, MeasuredPower = , HasMeasuredPower = False },LEG.PV.Data.Processor.DataRecords+PvRecord,"11.12.2025 11:30:00",0,"0,7989868919542251","0,9095760221444958","0,3269595893684809","564,2666666666667",0,93,"4,2","54,540000000000006",0,0,"4,2436452669853955","",False</t>
  </si>
  <si>
    <t>PvRecord { Timestamp = 11.12.2025 11:45:00, Index = 0, DirectGeometryFactor = 0,7947271399931768, DiffuseGeometryFactor = 0,9095760221444958, CosSunElevation = 0,3328120403933942, GlobalHorizontalIrradiance = 564,2666666666667, SunshineDuration = 0, DiffuseHorizontalIrradiance = 93, AmbientTemp = 4,2, WindSpeed = 54,540000000000006, SnowDepth = 0, Weight = 0, Age = 4,243673786873477, MeasuredPower = , HasMeasuredPower = False },LEG.PV.Data.Processor.DataRecords+PvRecord,"11.12.2025 11:45:00",0,"0,7947271399931768","0,9095760221444958","0,3328120403933942","564,2666666666667",0,93,"4,2","54,540000000000006",0,0,"4,243673786873477","",False</t>
  </si>
  <si>
    <t>PvRecord { Timestamp = 11.12.2025 12:00:00, Index = 0, DirectGeometryFactor = 0,7866728776402317, DiffuseGeometryFactor = 0,9095760221444958, CosSunElevation = 0,336020154462875, GlobalHorizontalIrradiance = 564,2666666666667, SunshineDuration = 0, DiffuseHorizontalIrradiance = 93, AmbientTemp = 4,2, WindSpeed = 54,540000000000006, SnowDepth = 0, Weight = 0, Age = 4,243702306761558, MeasuredPower = , HasMeasuredPower = False },LEG.PV.Data.Processor.DataRecords+PvRecord,"11.12.2025 12:00:00",0,"0,7866728776402317","0,9095760221444958","0,336020154462875","564,2666666666667",0,93,"4,2","54,540000000000006",0,0,"4,243702306761558","",False</t>
  </si>
  <si>
    <t>PvRecord { Timestamp = 11.12.2025 12:15:00, Index = 0, DirectGeometryFactor = 0,7748582941607542, DiffuseGeometryFactor = 0,9095760221444958, CosSunElevation = 0,336569821119063, GlobalHorizontalIrradiance = 564,2666666666667, SunshineDuration = 0, DiffuseHorizontalIrradiance = 93, AmbientTemp = 4,2, WindSpeed = 54,540000000000006, SnowDepth = 0, Weight = 0, Age = 4,2437308266496405, MeasuredPower = , HasMeasuredPower = False },LEG.PV.Data.Processor.DataRecords+PvRecord,"11.12.2025 12:15:00",0,"0,7748582941607542","0,9095760221444958","0,336569821119063","564,2666666666667",0,93,"4,2","54,540000000000006",0,0,"4,2437308266496405","",False</t>
  </si>
  <si>
    <t>PvRecord { Timestamp = 11.12.2025 12:30:00, Index = 0, DirectGeometryFactor = 0,7593339266253629, DiffuseGeometryFactor = 0,9095760221444958, CosSunElevation = 0,3344586170944357, GlobalHorizontalIrradiance = 564,35, SunshineDuration = 0, DiffuseHorizontalIrradiance = 97,5, AmbientTemp = 4,4, WindSpeed = 52,56, SnowDepth = 0, Weight = 0, Age = 4,243759346537722, MeasuredPower = , HasMeasuredPower = False },LEG.PV.Data.Processor.DataRecords+PvRecord,"11.12.2025 12:30:00",0,"0,7593339266253629","0,9095760221444958","0,3344586170944357","564,35",0,"97,5","4,4","52,56",0,0,"4,243759346537722","",False</t>
  </si>
  <si>
    <t>PvRecord { Timestamp = 11.12.2025 12:45:00, Index = 0, DirectGeometryFactor = 0,7401664381684214, DiffuseGeometryFactor = 0,9095760221444958, CosSunElevation = 0,32969581047717994, GlobalHorizontalIrradiance = 564,35, SunshineDuration = 0, DiffuseHorizontalIrradiance = 97,5, AmbientTemp = 4,4, WindSpeed = 52,56, SnowDepth = 0, Weight = 0, Age = 4,243787866425803, MeasuredPower = , HasMeasuredPower = False },LEG.PV.Data.Processor.DataRecords+PvRecord,"11.12.2025 12:45:00",0,"0,7401664381684214","0,9095760221444958","0,32969581047717994","564,35",0,"97,5","4,4","52,56",0,0,"4,243787866425803","",False</t>
  </si>
  <si>
    <t>PvRecord { Timestamp = 11.12.2025 13:00:00, Index = 0, DirectGeometryFactor = 0,7174383518399495, DiffuseGeometryFactor = 0,9095760221444958, CosSunElevation = 0,32230234460366297, GlobalHorizontalIrradiance = 564,35, SunshineDuration = 0, DiffuseHorizontalIrradiance = 97,5, AmbientTemp = 4,4, WindSpeed = 52,56, SnowDepth = 0, Weight = 0, Age = 4,243816386313885, MeasuredPower = , HasMeasuredPower = False },LEG.PV.Data.Processor.DataRecords+PvRecord,"11.12.2025 13:00:00",0,"0,7174383518399495","0,9095760221444958","0,32230234460366297","564,35",0,"97,5","4,4","52,56",0,0,"4,243816386313885","",False</t>
  </si>
  <si>
    <t>PvRecord { Timestamp = 11.12.2025 13:15:00, Index = 0, DirectGeometryFactor = 0,691247744716148, DiffuseGeometryFactor = 0,9095760221444958, CosSunElevation = 0,3123108062162187, GlobalHorizontalIrradiance = 564,35, SunshineDuration = 0, DiffuseHorizontalIrradiance = 97,5, AmbientTemp = 4,4, WindSpeed = 52,56, SnowDepth = 0, Weight = 0, Age = 4,243844906201966, MeasuredPower = , HasMeasuredPower = False },LEG.PV.Data.Processor.DataRecords+PvRecord,"11.12.2025 13:15:00",0,"0,691247744716148","0,9095760221444958","0,3123108062162187","564,35",0,"97,5","4,4","52,56",0,0,"4,243844906201966","",False</t>
  </si>
  <si>
    <t>PvRecord { Timestamp = 11.12.2025 13:30:00, Index = 0, DirectGeometryFactor = 0,6617079134037114, DiffuseGeometryFactor = 0,9095760221444958, CosSunElevation = 0,29976538975126577, GlobalHorizontalIrradiance = 0, SunshineDuration = 0, DiffuseHorizontalIrradiance = 0, AmbientTemp = 0, WindSpeed = 0, SnowDepth = 0, Weight = 0, Age = 4,243873426090048, MeasuredPower = , HasMeasuredPower = False },LEG.PV.Data.Processor.DataRecords+PvRecord,"11.12.2025 13:30:00",0,"0,6617079134037114","0,9095760221444958","0,29976538975126577",0,0,0,0,0,0,0,"4,243873426090048","",False</t>
  </si>
  <si>
    <t>PvRecord { Timestamp = 11.12.2025 13:45:00, Index = 0, DirectGeometryFactor = 0,6289470310005298, DiffuseGeometryFactor = 0,9095760221444958, CosSunElevation = 0,2847218806507177, GlobalHorizontalIrradiance = 0, SunshineDuration = 0, DiffuseHorizontalIrradiance = 0, AmbientTemp = 0, WindSpeed = 0, SnowDepth = 0, Weight = 0, Age = 4,24390194597813, MeasuredPower = , HasMeasuredPower = False },LEG.PV.Data.Processor.DataRecords+PvRecord,"11.12.2025 13:45:00",0,"0,6289470310005298","0,9095760221444958","0,2847218806507177",0,0,0,0,0,0,0,"4,24390194597813","",False</t>
  </si>
  <si>
    <t>PvRecord { Timestamp = 11.12.2025 14:00:00, Index = 0, DirectGeometryFactor = 0,5931078315090048, DiffuseGeometryFactor = 0,9095760221444958, CosSunElevation = 0,26724769989219294, GlobalHorizontalIrradiance = 0, SunshineDuration = 0, DiffuseHorizontalIrradiance = 0, AmbientTemp = 0, WindSpeed = 0, SnowDepth = 0, Weight = 0, Age = 4,243930465866211, MeasuredPower = , HasMeasuredPower = False },LEG.PV.Data.Processor.DataRecords+PvRecord,"11.12.2025 14:00:00",0,"0,5931078315090048","0,9095760221444958","0,26724769989219294",0,0,0,0,0,0,0,"4,243930465866211","",False</t>
  </si>
  <si>
    <t>PvRecord { Timestamp = 11.12.2025 14:15:00, Index = 0, DirectGeometryFactor = 0,5543473889694397, DiffuseGeometryFactor = 0,9095760221444958, CosSunElevation = 0,2474220893217722, GlobalHorizontalIrradiance = 0, SunshineDuration = 0, DiffuseHorizontalIrradiance = 0, AmbientTemp = 0, WindSpeed = 0, SnowDepth = 0, Weight = 0, Age = 4,2439589857542925, MeasuredPower = , HasMeasuredPower = False },LEG.PV.Data.Processor.DataRecords+PvRecord,"11.12.2025 14:15:00",0,"0,5543473889694397","0,9095760221444958","0,2474220893217722",0,0,0,0,0,0,0,"4,2439589857542925","",False</t>
  </si>
  <si>
    <t>PvRecord { Timestamp = 11.12.2025 14:30:00, Index = 0, DirectGeometryFactor = 0,5128371206757487, DiffuseGeometryFactor = 0,9095760221444958, CosSunElevation = 0,22533659308226536, GlobalHorizontalIrradiance = 0, SunshineDuration = 0, DiffuseHorizontalIrradiance = 0, AmbientTemp = 0, WindSpeed = 0, SnowDepth = 0, Weight = 0, Age = 4,243987505642374, MeasuredPower = , HasMeasuredPower = False },LEG.PV.Data.Processor.DataRecords+PvRecord,"11.12.2025 14:30:00",0,"0,5128371206757487","0,9095760221444958","0,22533659308226536",0,0,0,0,0,0,0,"4,243987505642374","",False</t>
  </si>
  <si>
    <t>PvRecord { Timestamp = 11.12.2025 14:45:00, Index = 0, DirectGeometryFactor = 0,46876328071241113, DiffuseGeometryFactor = 0,9095760221444958, CosSunElevation = 0,20109615657453064, GlobalHorizontalIrradiance = 0, SunshineDuration = 0, DiffuseHorizontalIrradiance = 0, AmbientTemp = 0, WindSpeed = 0, SnowDepth = 0, Weight = 0, Age = 4,244016025530456, MeasuredPower = , HasMeasuredPower = False },LEG.PV.Data.Processor.DataRecords+PvRecord,"11.12.2025 14:45:00",0,"0,46876328071241113","0,9095760221444958","0,20109615657453064",0,0,0,0,0,0,0,"4,244016025530456","",False</t>
  </si>
  <si>
    <t>PvRecord { Timestamp = 11.12.2025 15:00:00, Index = 0, DirectGeometryFactor = 0,422328534675357, DiffuseGeometryFactor = 0,9095760221444958, CosSunElevation = 0,17482155781908906, GlobalHorizontalIrradiance = 0, SunshineDuration = 0, DiffuseHorizontalIrradiance = 0, AmbientTemp = 0, WindSpeed = 0, SnowDepth = 0, Weight = 0, Age = 4,244044545418538, MeasuredPower = , HasMeasuredPower = False },LEG.PV.Data.Processor.DataRecords+PvRecord,"11.12.2025 15:00:00",0,"0,422328534675357","0,9095760221444958","0,17482155781908906",0,0,0,0,0,0,0,"4,244044545418538","",False</t>
  </si>
  <si>
    <t>PvRecord { Timestamp = 11.12.2025 15:15:00, Index = 0, DirectGeometryFactor = 0,3737560427634628, DiffuseGeometryFactor = 0,9095760221444958, CosSunElevation = 0,14665490150138044, GlobalHorizontalIrradiance = 0, SunshineDuration = 0, DiffuseHorizontalIrradiance = 0, AmbientTemp = 0, WindSpeed = 0, SnowDepth = 0, Weight = 0, Age = 4,244073065306619, MeasuredPower = , HasMeasuredPower = False },LEG.PV.Data.Processor.DataRecords+PvRecord,"11.12.2025 15:15:00",0,"0,3737560427634628","0,9095760221444958","0,14665490150138044",0,0,0,0,0,0,0,"4,244073065306619","",False</t>
  </si>
  <si>
    <t>PvRecord { Timestamp = 11.12.2025 15:30:00, Index = 0, DirectGeometryFactor = 0,32329988597263215, DiffuseGeometryFactor = 0,9095760221444958, CosSunElevation = 0,11677282708830229, GlobalHorizontalIrradiance = 0, SunshineDuration = 0, DiffuseHorizontalIrradiance = 0, AmbientTemp = 0, WindSpeed = 0, SnowDepth = 0, Weight = 0, Age = 4,2441015851947, MeasuredPower = , HasMeasuredPower = False },LEG.PV.Data.Processor.DataRecords+PvRecord,"11.12.2025 15:30:00",0,"0,32329988597263215","0,9095760221444958","0,11677282708830229",0,0,0,0,0,0,0,"4,2441015851947","",False</t>
  </si>
  <si>
    <t>PvRecord { Timestamp = 11.12.2025 15:45:00, Index = 0, DirectGeometryFactor = 0, DiffuseGeometryFactor = 0,9095760221444958, CosSunElevation = 0,08542162055576398, GlobalHorizontalIrradiance = 0, SunshineDuration = 0, DiffuseHorizontalIrradiance = 0, AmbientTemp = 0, WindSpeed = 0, SnowDepth = 0, Weight = 0, Age = 4,244130105082782, MeasuredPower = , HasMeasuredPower = False },LEG.PV.Data.Processor.DataRecords+PvRecord,"11.12.2025 15:45:00",0,0,"0,9095760221444958","0,08542162055576398",0,0,0,0,0,0,0,"4,244130105082782","",False</t>
  </si>
  <si>
    <t>PvRecord { Timestamp = 11.12.2025 16:00:00, Index = 0, DirectGeometryFactor = 0, DiffuseGeometryFactor = 0,9095760221444958, CosSunElevation = 0,05302405210222726, GlobalHorizontalIrradiance = 0, SunshineDuration = 0, DiffuseHorizontalIrradiance = 0, AmbientTemp = 0, WindSpeed = 0, SnowDepth = 0, Weight = 0, Age = 4,244158624970864, MeasuredPower = , HasMeasuredPower = False },LEG.PV.Data.Processor.DataRecords+PvRecord,"11.12.2025 16:00:00",0,0,"0,9095760221444958","0,05302405210222726",0,0,0,0,0,0,0,"4,244158624970864","",False</t>
  </si>
  <si>
    <t>PvRecord { Timestamp = 11.12.2025 16:15:00, Index = 0, DirectGeometryFactor = 0, DiffuseGeometryFactor = 0,9095760221444958, CosSunElevation = 0,020540403546821056, GlobalHorizontalIrradiance = 0, SunshineDuration = 0, DiffuseHorizontalIrradiance = 0, AmbientTemp = 0, WindSpeed = 0, SnowDepth = 0, Weight = 0, Age = 4,244187144858945, MeasuredPower = , HasMeasuredPower = False },LEG.PV.Data.Processor.DataRecords+PvRecord,"11.12.2025 16:15:00",0,0,"0,9095760221444958","0,020540403546821056",0,0,0,0,0,0,0,"4,244187144858945","",False</t>
  </si>
  <si>
    <t>PvRecord { Timestamp = 11.12.2025 16:30:00, Index = 0, DirectGeometryFactor = 0, DiffuseGeometryFactor = 0,9095760221444958, CosSunElevation = 0, GlobalHorizontalIrradiance = 0, SunshineDuration = 0, DiffuseHorizontalIrradiance = 0, AmbientTemp = 0, WindSpeed = 0, SnowDepth = 0, Weight = 0, Age = 4,244215664747027, MeasuredPower = , HasMeasuredPower = False },LEG.PV.Data.Processor.DataRecords+PvRecord,"11.12.2025 16:30:00",0,0,"0,9095760221444958",0,0,0,0,0,0,0,0,"4,244215664747027","",False</t>
  </si>
  <si>
    <t>PvRecord { Timestamp = 11.12.2025 16:45:00, Index = 0, DirectGeometryFactor = 0, DiffuseGeometryFactor = 0,9095760221444958, CosSunElevation = 0, GlobalHorizontalIrradiance = 0, SunshineDuration = 0, DiffuseHorizontalIrradiance = 0, AmbientTemp = 0, WindSpeed = 0, SnowDepth = 0, Weight = 0, Age = 4,244244184635108, MeasuredPower = , HasMeasuredPower = False },LEG.PV.Data.Processor.DataRecords+PvRecord,"11.12.2025 16:45:00",0,0,"0,9095760221444958",0,0,0,0,0,0,0,0,"4,244244184635108","",False</t>
  </si>
  <si>
    <t>PvRecord { Timestamp = 11.12.2025 17:00:00, Index = 0, DirectGeometryFactor = 0, DiffuseGeometryFactor = 0,9095760221444958, CosSunElevation = 0, GlobalHorizontalIrradiance = 0, SunshineDuration = 0, DiffuseHorizontalIrradiance = 0, AmbientTemp = 0, WindSpeed = 0, SnowDepth = 0, Weight = 0, Age = 4,24427270452319, MeasuredPower = , HasMeasuredPower = False },LEG.PV.Data.Processor.DataRecords+PvRecord,"11.12.2025 17:00:00",0,0,"0,9095760221444958",0,0,0,0,0,0,0,0,"4,24427270452319","",False</t>
  </si>
  <si>
    <t>PvRecord { Timestamp = 11.12.2025 17:15:00, Index = 0, DirectGeometryFactor = 0, DiffuseGeometryFactor = 0,9095760221444958, CosSunElevation = 0, GlobalHorizontalIrradiance = 0, SunshineDuration = 0, DiffuseHorizontalIrradiance = 0, AmbientTemp = 0, WindSpeed = 0, SnowDepth = 0, Weight = 0, Age = 4,244301224411272, MeasuredPower = , HasMeasuredPower = False },LEG.PV.Data.Processor.DataRecords+PvRecord,"11.12.2025 17:15:00",0,0,"0,9095760221444958",0,0,0,0,0,0,0,0,"4,244301224411272","",False</t>
  </si>
  <si>
    <t>PvRecord { Timestamp = 11.12.2025 17:30:00, Index = 0, DirectGeometryFactor = 0, DiffuseGeometryFactor = 0,9095760221444958, CosSunElevation = 0, GlobalHorizontalIrradiance = 0, SunshineDuration = 0, DiffuseHorizontalIrradiance = 0, AmbientTemp = 0, WindSpeed = 0, SnowDepth = 0, Weight = 0, Age = 4,244329744299353, MeasuredPower = , HasMeasuredPower = False },LEG.PV.Data.Processor.DataRecords+PvRecord,"11.12.2025 17:30:00",0,0,"0,9095760221444958",0,0,0,0,0,0,0,0,"4,244329744299353","",False</t>
  </si>
  <si>
    <t>PvRecord { Timestamp = 11.12.2025 17:45:00, Index = 0, DirectGeometryFactor = 0, DiffuseGeometryFactor = 0,9095760221444958, CosSunElevation = 0, GlobalHorizontalIrradiance = 0, SunshineDuration = 0, DiffuseHorizontalIrradiance = 0, AmbientTemp = 0, WindSpeed = 0, SnowDepth = 0, Weight = 0, Age = 4,244358264187435, MeasuredPower = , HasMeasuredPower = False },LEG.PV.Data.Processor.DataRecords+PvRecord,"11.12.2025 17:45:00",0,0,"0,9095760221444958",0,0,0,0,0,0,0,0,"4,244358264187435","",False</t>
  </si>
  <si>
    <t>PvRecord { Timestamp = 11.12.2025 18:00:00, Index = 0, DirectGeometryFactor = 0, DiffuseGeometryFactor = 0,9095760221444958, CosSunElevation = 0, GlobalHorizontalIrradiance = 0, SunshineDuration = 0, DiffuseHorizontalIrradiance = 0, AmbientTemp = 0, WindSpeed = 0, SnowDepth = 0, Weight = 0, Age = 4,244386784075516, MeasuredPower = , HasMeasuredPower = False },LEG.PV.Data.Processor.DataRecords+PvRecord,"11.12.2025 18:00:00",0,0,"0,9095760221444958",0,0,0,0,0,0,0,0,"4,244386784075516","",False</t>
  </si>
  <si>
    <t>PvRecord { Timestamp = 11.12.2025 18:15:00, Index = 0, DirectGeometryFactor = 0, DiffuseGeometryFactor = 0,9095760221444958, CosSunElevation = 0, GlobalHorizontalIrradiance = 0, SunshineDuration = 0, DiffuseHorizontalIrradiance = 0, AmbientTemp = 0, WindSpeed = 0, SnowDepth = 0, Weight = 0, Age = 4,2444153039635975, MeasuredPower = , HasMeasuredPower = False },LEG.PV.Data.Processor.DataRecords+PvRecord,"11.12.2025 18:15:00",0,0,"0,9095760221444958",0,0,0,0,0,0,0,0,"4,2444153039635975","",False</t>
  </si>
  <si>
    <t>PvRecord { Timestamp = 11.12.2025 18:30:00, Index = 0, DirectGeometryFactor = 0, DiffuseGeometryFactor = 0,9095760221444958, CosSunElevation = 0, GlobalHorizontalIrradiance = 0, SunshineDuration = 0, DiffuseHorizontalIrradiance = 0, AmbientTemp = 0, WindSpeed = 0, SnowDepth = 0, Weight = 0, Age = 4,24444382385168, MeasuredPower = , HasMeasuredPower = False },LEG.PV.Data.Processor.DataRecords+PvRecord,"11.12.2025 18:30:00",0,0,"0,9095760221444958",0,0,0,0,0,0,0,0,"4,24444382385168","",False</t>
  </si>
  <si>
    <t>PvRecord { Timestamp = 11.12.2025 18:45:00, Index = 0, DirectGeometryFactor = 0, DiffuseGeometryFactor = 0,9095760221444958, CosSunElevation = 0, GlobalHorizontalIrradiance = 0, SunshineDuration = 0, DiffuseHorizontalIrradiance = 0, AmbientTemp = 0, WindSpeed = 0, SnowDepth = 0, Weight = 0, Age = 4,244472343739761, MeasuredPower = , HasMeasuredPower = False },LEG.PV.Data.Processor.DataRecords+PvRecord,"11.12.2025 18:45:00",0,0,"0,9095760221444958",0,0,0,0,0,0,0,0,"4,244472343739761","",False</t>
  </si>
  <si>
    <t>PvRecord { Timestamp = 11.12.2025 19:00:00, Index = 0, DirectGeometryFactor = 0, DiffuseGeometryFactor = 0,9095760221444958, CosSunElevation = 0, GlobalHorizontalIrradiance = 0, SunshineDuration = 0, DiffuseHorizontalIrradiance = 0, AmbientTemp = 0, WindSpeed = 0, SnowDepth = 0, Weight = 0, Age = 4,2445008636278425, MeasuredPower = , HasMeasuredPower = False },LEG.PV.Data.Processor.DataRecords+PvRecord,"11.12.2025 19:00:00",0,0,"0,9095760221444958",0,0,0,0,0,0,0,0,"4,2445008636278425","",False</t>
  </si>
  <si>
    <t>PvRecord { Timestamp = 11.12.2025 19:15:00, Index = 0, DirectGeometryFactor = 0, DiffuseGeometryFactor = 0,9095760221444958, CosSunElevation = 0, GlobalHorizontalIrradiance = 0, SunshineDuration = 0, DiffuseHorizontalIrradiance = 0, AmbientTemp = 0, WindSpeed = 0, SnowDepth = 0, Weight = 0, Age = 4,244529383515924, MeasuredPower = , HasMeasuredPower = False },LEG.PV.Data.Processor.DataRecords+PvRecord,"11.12.2025 19:15:00",0,0,"0,9095760221444958",0,0,0,0,0,0,0,0,"4,244529383515924","",False</t>
  </si>
  <si>
    <t>PvRecord { Timestamp = 11.12.2025 19:30:00, Index = 0, DirectGeometryFactor = 0, DiffuseGeometryFactor = 0,9095760221444958, CosSunElevation = 0, GlobalHorizontalIrradiance = 0, SunshineDuration = 0, DiffuseHorizontalIrradiance = 0, AmbientTemp = 0, WindSpeed = 0, SnowDepth = 0, Weight = 0, Age = 4,244557903404006, MeasuredPower = , HasMeasuredPower = False },LEG.PV.Data.Processor.DataRecords+PvRecord,"11.12.2025 19:30:00",0,0,"0,9095760221444958",0,0,0,0,0,0,0,0,"4,244557903404006","",False</t>
  </si>
  <si>
    <t>PvRecord { Timestamp = 11.12.2025 19:45:00, Index = 0, DirectGeometryFactor = 0, DiffuseGeometryFactor = 0,9095760221444958, CosSunElevation = 0, GlobalHorizontalIrradiance = 0, SunshineDuration = 0, DiffuseHorizontalIrradiance = 0, AmbientTemp = 0, WindSpeed = 0, SnowDepth = 0, Weight = 0, Age = 4,244586423292088, MeasuredPower = , HasMeasuredPower = False },LEG.PV.Data.Processor.DataRecords+PvRecord,"11.12.2025 19:45:00",0,0,"0,9095760221444958",0,0,0,0,0,0,0,0,"4,244586423292088","",False</t>
  </si>
  <si>
    <t>PvRecord { Timestamp = 11.12.2025 20:00:00, Index = 0, DirectGeometryFactor = 0, DiffuseGeometryFactor = 0,9095760221444958, CosSunElevation = 0, GlobalHorizontalIrradiance = 0, SunshineDuration = 0, DiffuseHorizontalIrradiance = 0, AmbientTemp = 0, WindSpeed = 0, SnowDepth = 0, Weight = 0, Age = 4,244614943180169, MeasuredPower = , HasMeasuredPower = False },LEG.PV.Data.Processor.DataRecords+PvRecord,"11.12.2025 20:00:00",0,0,"0,9095760221444958",0,0,0,0,0,0,0,0,"4,244614943180169","",False</t>
  </si>
  <si>
    <t>PvRecord { Timestamp = 11.12.2025 20:15:00, Index = 0, DirectGeometryFactor = 0, DiffuseGeometryFactor = 0,9095760221444958, CosSunElevation = 0, GlobalHorizontalIrradiance = 0, SunshineDuration = 0, DiffuseHorizontalIrradiance = 0, AmbientTemp = 0, WindSpeed = 0, SnowDepth = 0, Weight = 0, Age = 4,24464346306825, MeasuredPower = , HasMeasuredPower = False },LEG.PV.Data.Processor.DataRecords+PvRecord,"11.12.2025 20:15:00",0,0,"0,9095760221444958",0,0,0,0,0,0,0,0,"4,24464346306825","",False</t>
  </si>
  <si>
    <t>PvRecord { Timestamp = 11.12.2025 20:30:00, Index = 0, DirectGeometryFactor = 0, DiffuseGeometryFactor = 0,9095760221444958, CosSunElevation = 0, GlobalHorizontalIrradiance = 0, SunshineDuration = 0, DiffuseHorizontalIrradiance = 0, AmbientTemp = 0, WindSpeed = 0, SnowDepth = 0, Weight = 0, Age = 4,244671982956332, MeasuredPower = , HasMeasuredPower = False },LEG.PV.Data.Processor.DataRecords+PvRecord,"11.12.2025 20:30:00",0,0,"0,9095760221444958",0,0,0,0,0,0,0,0,"4,244671982956332","",False</t>
  </si>
  <si>
    <t>PvRecord { Timestamp = 11.12.2025 20:45:00, Index = 0, DirectGeometryFactor = 0, DiffuseGeometryFactor = 0,9095760221444958, CosSunElevation = 0, GlobalHorizontalIrradiance = 0, SunshineDuration = 0, DiffuseHorizontalIrradiance = 0, AmbientTemp = 0, WindSpeed = 0, SnowDepth = 0, Weight = 0, Age = 4,244700502844414, MeasuredPower = , HasMeasuredPower = False },LEG.PV.Data.Processor.DataRecords+PvRecord,"11.12.2025 20:45:00",0,0,"0,9095760221444958",0,0,0,0,0,0,0,0,"4,244700502844414","",False</t>
  </si>
  <si>
    <t>PvRecord { Timestamp = 11.12.2025 21:00:00, Index = 0, DirectGeometryFactor = 0, DiffuseGeometryFactor = 0,9095760221444958, CosSunElevation = 0, GlobalHorizontalIrradiance = 0, SunshineDuration = 0, DiffuseHorizontalIrradiance = 0, AmbientTemp = 0, WindSpeed = 0, SnowDepth = 0, Weight = 0, Age = 4,244729022732495, MeasuredPower = , HasMeasuredPower = False },LEG.PV.Data.Processor.DataRecords+PvRecord,"11.12.2025 21:00:00",0,0,"0,9095760221444958",0,0,0,0,0,0,0,0,"4,244729022732495","",False</t>
  </si>
  <si>
    <t>PvRecord { Timestamp = 11.12.2025 21:15:00, Index = 0, DirectGeometryFactor = 0, DiffuseGeometryFactor = 0,9095760221444958, CosSunElevation = 0, GlobalHorizontalIrradiance = 0, SunshineDuration = 0, DiffuseHorizontalIrradiance = 0, AmbientTemp = 0, WindSpeed = 0, SnowDepth = 0, Weight = 0, Age = 4,244757542620577, MeasuredPower = , HasMeasuredPower = False },LEG.PV.Data.Processor.DataRecords+PvRecord,"11.12.2025 21:15:00",0,0,"0,9095760221444958",0,0,0,0,0,0,0,0,"4,244757542620577","",False</t>
  </si>
  <si>
    <t>PvRecord { Timestamp = 11.12.2025 21:30:00, Index = 0, DirectGeometryFactor = 0, DiffuseGeometryFactor = 0,9095760221444958, CosSunElevation = 0, GlobalHorizontalIrradiance = 0, SunshineDuration = 0, DiffuseHorizontalIrradiance = 0, AmbientTemp = 0, WindSpeed = 0, SnowDepth = 0, Weight = 0, Age = 4,244786062508658, MeasuredPower = , HasMeasuredPower = False },LEG.PV.Data.Processor.DataRecords+PvRecord,"11.12.2025 21:30:00",0,0,"0,9095760221444958",0,0,0,0,0,0,0,0,"4,244786062508658","",False</t>
  </si>
  <si>
    <t>PvRecord { Timestamp = 11.12.2025 21:45:00, Index = 0, DirectGeometryFactor = 0, DiffuseGeometryFactor = 0,9095760221444958, CosSunElevation = 0, GlobalHorizontalIrradiance = 0, SunshineDuration = 0, DiffuseHorizontalIrradiance = 0, AmbientTemp = 0, WindSpeed = 0, SnowDepth = 0, Weight = 0, Age = 4,24481458239674, MeasuredPower = , HasMeasuredPower = False },LEG.PV.Data.Processor.DataRecords+PvRecord,"11.12.2025 21:45:00",0,0,"0,9095760221444958",0,0,0,0,0,0,0,0,"4,24481458239674","",False</t>
  </si>
  <si>
    <t>PvRecord { Timestamp = 11.12.2025 22:00:00, Index = 0, DirectGeometryFactor = 0, DiffuseGeometryFactor = 0,9095760221444958, CosSunElevation = 0, GlobalHorizontalIrradiance = 0, SunshineDuration = 0, DiffuseHorizontalIrradiance = 0, AmbientTemp = 0, WindSpeed = 0, SnowDepth = 0, Weight = 0, Age = 4,244843102284822, MeasuredPower = , HasMeasuredPower = False },LEG.PV.Data.Processor.DataRecords+PvRecord,"11.12.2025 22:00:00",0,0,"0,9095760221444958",0,0,0,0,0,0,0,0,"4,244843102284822","",False</t>
  </si>
  <si>
    <t>PvRecord { Timestamp = 11.12.2025 22:15:00, Index = 0, DirectGeometryFactor = 0, DiffuseGeometryFactor = 0,9095760221444958, CosSunElevation = 0, GlobalHorizontalIrradiance = 0, SunshineDuration = 0, DiffuseHorizontalIrradiance = 0, AmbientTemp = 0, WindSpeed = 0, SnowDepth = 0, Weight = 0, Age = 4,244871622172903, MeasuredPower = , HasMeasuredPower = False },LEG.PV.Data.Processor.DataRecords+PvRecord,"11.12.2025 22:15:00",0,0,"0,9095760221444958",0,0,0,0,0,0,0,0,"4,244871622172903","",False</t>
  </si>
  <si>
    <t>PvRecord { Timestamp = 11.12.2025 22:30:00, Index = 0, DirectGeometryFactor = 0, DiffuseGeometryFactor = 0,9095760221444958, CosSunElevation = 0, GlobalHorizontalIrradiance = 0, SunshineDuration = 0, DiffuseHorizontalIrradiance = 0, AmbientTemp = 0, WindSpeed = 0, SnowDepth = 0, Weight = 0, Age = 4,244900142060985, MeasuredPower = , HasMeasuredPower = False },LEG.PV.Data.Processor.DataRecords+PvRecord,"11.12.2025 22:30:00",0,0,"0,9095760221444958",0,0,0,0,0,0,0,0,"4,244900142060985","",False</t>
  </si>
  <si>
    <t>PvRecord { Timestamp = 11.12.2025 22:45:00, Index = 0, DirectGeometryFactor = 0, DiffuseGeometryFactor = 0,9095760221444958, CosSunElevation = 0, GlobalHorizontalIrradiance = 0, SunshineDuration = 0, DiffuseHorizontalIrradiance = 0, AmbientTemp = 0, WindSpeed = 0, SnowDepth = 0, Weight = 0, Age = 4,244928661949066, MeasuredPower = , HasMeasuredPower = False },LEG.PV.Data.Processor.DataRecords+PvRecord,"11.12.2025 22:45:00",0,0,"0,9095760221444958",0,0,0,0,0,0,0,0,"4,244928661949066","",False</t>
  </si>
  <si>
    <t>PvRecord { Timestamp = 11.12.2025 23:00:00, Index = 0, DirectGeometryFactor = 0, DiffuseGeometryFactor = 0,9095760221444958, CosSunElevation = 0, GlobalHorizontalIrradiance = 0, SunshineDuration = 0, DiffuseHorizontalIrradiance = 0, AmbientTemp = 0, WindSpeed = 0, SnowDepth = 0, Weight = 0, Age = 4,244957181837147, MeasuredPower = , HasMeasuredPower = False },LEG.PV.Data.Processor.DataRecords+PvRecord,"11.12.2025 23:00:00",0,0,"0,9095760221444958",0,0,0,0,0,0,0,0,"4,244957181837147","",False</t>
  </si>
  <si>
    <t>PvRecord { Timestamp = 11.12.2025 23:15:00, Index = 0, DirectGeometryFactor = 0, DiffuseGeometryFactor = 0,9095760221444958, CosSunElevation = 0, GlobalHorizontalIrradiance = 0, SunshineDuration = 0, DiffuseHorizontalIrradiance = 0, AmbientTemp = 0, WindSpeed = 0, SnowDepth = 0, Weight = 0, Age = 4,24498570172523, MeasuredPower = , HasMeasuredPower = False },LEG.PV.Data.Processor.DataRecords+PvRecord,"11.12.2025 23:15:00",0,0,"0,9095760221444958",0,0,0,0,0,0,0,0,"4,24498570172523","",False</t>
  </si>
  <si>
    <t>PvRecord { Timestamp = 11.12.2025 23:30:00, Index = 0, DirectGeometryFactor = 0, DiffuseGeometryFactor = 0,9095760221444958, CosSunElevation = 0, GlobalHorizontalIrradiance = 0, SunshineDuration = 0, DiffuseHorizontalIrradiance = 0, AmbientTemp = 0, WindSpeed = 0, SnowDepth = 0, Weight = 0, Age = 4,245014221613311, MeasuredPower = , HasMeasuredPower = False },LEG.PV.Data.Processor.DataRecords+PvRecord,"11.12.2025 23:30:00",0,0,"0,9095760221444958",0,0,0,0,0,0,0,0,"4,245014221613311","",False</t>
  </si>
  <si>
    <t>PvRecord { Timestamp = 11.12.2025 23:45:00, Index = 0, DirectGeometryFactor = 0, DiffuseGeometryFactor = 0,9095760221444958, CosSunElevation = 0, GlobalHorizontalIrradiance = 0, SunshineDuration = 0, DiffuseHorizontalIrradiance = 0, AmbientTemp = 0, WindSpeed = 0, SnowDepth = 0, Weight = 0, Age = 4,2450427415013925, MeasuredPower = , HasMeasuredPower = False },LEG.PV.Data.Processor.DataRecords+PvRecord,"11.12.2025 23:45:00",0,0,"0,9095760221444958",0,0,0,0,0,0,0,0,"4,2450427415013925","",False</t>
  </si>
  <si>
    <t>PvRecord { Timestamp = 12.12.2025 00:00:00, Index = 0, DirectGeometryFactor = 0, DiffuseGeometryFactor = 0,9095760221444958, CosSunElevation = 0, GlobalHorizontalIrradiance = 0, SunshineDuration = 0, DiffuseHorizontalIrradiance = 0, AmbientTemp = 0, WindSpeed = 0, SnowDepth = 0, Weight = 0, Age = 4,245071261389474, MeasuredPower = , HasMeasuredPower = False },LEG.PV.Data.Processor.DataRecords+PvRecord,"12.12.2025 00:00:00",0,0,"0,9095760221444958",0,0,0,0,0,0,0,0,"4,245071261389474","",False</t>
  </si>
  <si>
    <t>PvRecord { Timestamp = 12.12.2025 00:15:00, Index = 0, DirectGeometryFactor = 0, DiffuseGeometryFactor = 0,9095760221444958, CosSunElevation = 0, GlobalHorizontalIrradiance = 0, SunshineDuration = 0, DiffuseHorizontalIrradiance = 0, AmbientTemp = 0, WindSpeed = 0, SnowDepth = 0, Weight = 0, Age = 4,245099781277555, MeasuredPower = , HasMeasuredPower = False },LEG.PV.Data.Processor.DataRecords+PvRecord,"12.12.2025 00:15:00",0,0,"0,9095760221444958",0,0,0,0,0,0,0,0,"4,245099781277555","",False</t>
  </si>
  <si>
    <t>PvRecord { Timestamp = 12.12.2025 00:30:00, Index = 0, DirectGeometryFactor = 0, DiffuseGeometryFactor = 0,9095760221444958, CosSunElevation = 0, GlobalHorizontalIrradiance = 0, SunshineDuration = 0, DiffuseHorizontalIrradiance = 0, AmbientTemp = 0, WindSpeed = 0, SnowDepth = 0, Weight = 0, Age = 4,2451283011656376, MeasuredPower = , HasMeasuredPower = False },LEG.PV.Data.Processor.DataRecords+PvRecord,"12.12.2025 00:30:00",0,0,"0,9095760221444958",0,0,0,0,0,0,0,0,"4,2451283011656376","",False</t>
  </si>
  <si>
    <t>PvRecord { Timestamp = 12.12.2025 00:45:00, Index = 0, DirectGeometryFactor = 0, DiffuseGeometryFactor = 0,9095760221444958, CosSunElevation = 0, GlobalHorizontalIrradiance = 0, SunshineDuration = 0, DiffuseHorizontalIrradiance = 0, AmbientTemp = 0, WindSpeed = 0, SnowDepth = 0, Weight = 0, Age = 4,245156821053719, MeasuredPower = , HasMeasuredPower = False },LEG.PV.Data.Processor.DataRecords+PvRecord,"12.12.2025 00:45:00",0,0,"0,9095760221444958",0,0,0,0,0,0,0,0,"4,245156821053719","",False</t>
  </si>
  <si>
    <t>PvRecord { Timestamp = 12.12.2025 01:00:00, Index = 0, DirectGeometryFactor = 0, DiffuseGeometryFactor = 0,9095760221444958, CosSunElevation = 0, GlobalHorizontalIrradiance = 0, SunshineDuration = 0, DiffuseHorizontalIrradiance = 0, AmbientTemp = 0, WindSpeed = 0, SnowDepth = 0, Weight = 0, Age = 4,2451853409418, MeasuredPower = , HasMeasuredPower = False },LEG.PV.Data.Processor.DataRecords+PvRecord,"12.12.2025 01:00:00",0,0,"0,9095760221444958",0,0,0,0,0,0,0,0,"4,2451853409418","",False</t>
  </si>
  <si>
    <t>PvRecord { Timestamp = 12.12.2025 01:15:00, Index = 0, DirectGeometryFactor = 0, DiffuseGeometryFactor = 0,9095760221444958, CosSunElevation = 0, GlobalHorizontalIrradiance = 0, SunshineDuration = 0, DiffuseHorizontalIrradiance = 0, AmbientTemp = 0, WindSpeed = 0, SnowDepth = 0, Weight = 0, Age = 4,245213860829882, MeasuredPower = , HasMeasuredPower = False },LEG.PV.Data.Processor.DataRecords+PvRecord,"12.12.2025 01:15:00",0,0,"0,9095760221444958",0,0,0,0,0,0,0,0,"4,245213860829882","",False</t>
  </si>
  <si>
    <t>PvRecord { Timestamp = 12.12.2025 01:30:00, Index = 0, DirectGeometryFactor = 0, DiffuseGeometryFactor = 0,9095760221444958, CosSunElevation = 0, GlobalHorizontalIrradiance = 0, SunshineDuration = 0, DiffuseHorizontalIrradiance = 0, AmbientTemp = 0, WindSpeed = 0, SnowDepth = 0, Weight = 0, Age = 4,245242380717963, MeasuredPower = , HasMeasuredPower = False },LEG.PV.Data.Processor.DataRecords+PvRecord,"12.12.2025 01:30:00",0,0,"0,9095760221444958",0,0,0,0,0,0,0,0,"4,245242380717963","",False</t>
  </si>
  <si>
    <t>PvRecord { Timestamp = 12.12.2025 01:45:00, Index = 0, DirectGeometryFactor = 0, DiffuseGeometryFactor = 0,9095760221444958, CosSunElevation = 0, GlobalHorizontalIrradiance = 0, SunshineDuration = 0, DiffuseHorizontalIrradiance = 0, AmbientTemp = 0, WindSpeed = 0, SnowDepth = 0, Weight = 0, Age = 4,245270900606045, MeasuredPower = , HasMeasuredPower = False },LEG.PV.Data.Processor.DataRecords+PvRecord,"12.12.2025 01:45:00",0,0,"0,9095760221444958",0,0,0,0,0,0,0,0,"4,245270900606045","",False</t>
  </si>
  <si>
    <t>PvRecord { Timestamp = 12.12.2025 02:00:00, Index = 0, DirectGeometryFactor = 0, DiffuseGeometryFactor = 0,9095760221444958, CosSunElevation = 0, GlobalHorizontalIrradiance = 0, SunshineDuration = 0, DiffuseHorizontalIrradiance = 0, AmbientTemp = 0, WindSpeed = 0, SnowDepth = 0, Weight = 0, Age = 4,245299420494127, MeasuredPower = , HasMeasuredPower = False },LEG.PV.Data.Processor.DataRecords+PvRecord,"12.12.2025 02:00:00",0,0,"0,9095760221444958",0,0,0,0,0,0,0,0,"4,245299420494127","",False</t>
  </si>
  <si>
    <t>PvRecord { Timestamp = 12.12.2025 02:15:00, Index = 0, DirectGeometryFactor = 0, DiffuseGeometryFactor = 0,9095760221444958, CosSunElevation = 0, GlobalHorizontalIrradiance = 0, SunshineDuration = 0, DiffuseHorizontalIrradiance = 0, AmbientTemp = 0, WindSpeed = 0, SnowDepth = 0, Weight = 0, Age = 4,245327940382208, MeasuredPower = , HasMeasuredPower = False },LEG.PV.Data.Processor.DataRecords+PvRecord,"12.12.2025 02:15:00",0,0,"0,9095760221444958",0,0,0,0,0,0,0,0,"4,245327940382208","",False</t>
  </si>
  <si>
    <t>PvRecord { Timestamp = 12.12.2025 02:30:00, Index = 0, DirectGeometryFactor = 0, DiffuseGeometryFactor = 0,9095760221444958, CosSunElevation = 0, GlobalHorizontalIrradiance = 0, SunshineDuration = 0, DiffuseHorizontalIrradiance = 0, AmbientTemp = 0, WindSpeed = 0, SnowDepth = 0, Weight = 0, Age = 4,24535646027029, MeasuredPower = , HasMeasuredPower = False },LEG.PV.Data.Processor.DataRecords+PvRecord,"12.12.2025 02:30:00",0,0,"0,9095760221444958",0,0,0,0,0,0,0,0,"4,24535646027029","",False</t>
  </si>
  <si>
    <t>PvRecord { Timestamp = 12.12.2025 02:45:00, Index = 0, DirectGeometryFactor = 0, DiffuseGeometryFactor = 0,9095760221444958, CosSunElevation = 0, GlobalHorizontalIrradiance = 0, SunshineDuration = 0, DiffuseHorizontalIrradiance = 0, AmbientTemp = 0, WindSpeed = 0, SnowDepth = 0, Weight = 0, Age = 4,245384980158371, MeasuredPower = , HasMeasuredPower = False },LEG.PV.Data.Processor.DataRecords+PvRecord,"12.12.2025 02:45:00",0,0,"0,9095760221444958",0,0,0,0,0,0,0,0,"4,245384980158371","",False</t>
  </si>
  <si>
    <t>PvRecord { Timestamp = 12.12.2025 03:00:00, Index = 0, DirectGeometryFactor = 0, DiffuseGeometryFactor = 0,9095760221444958, CosSunElevation = 0, GlobalHorizontalIrradiance = 0, SunshineDuration = 0, DiffuseHorizontalIrradiance = 0, AmbientTemp = 0, WindSpeed = 0, SnowDepth = 0, Weight = 0, Age = 4,245413500046453, MeasuredPower = , HasMeasuredPower = False },LEG.PV.Data.Processor.DataRecords+PvRecord,"12.12.2025 03:00:00",0,0,"0,9095760221444958",0,0,0,0,0,0,0,0,"4,245413500046453","",False</t>
  </si>
  <si>
    <t>PvRecord { Timestamp = 12.12.2025 03:15:00, Index = 0, DirectGeometryFactor = 0, DiffuseGeometryFactor = 0,9095760221444958, CosSunElevation = 0, GlobalHorizontalIrradiance = 0, SunshineDuration = 0, DiffuseHorizontalIrradiance = 0, AmbientTemp = 0, WindSpeed = 0, SnowDepth = 0, Weight = 0, Age = 4,245442019934535, MeasuredPower = , HasMeasuredPower = False },LEG.PV.Data.Processor.DataRecords+PvRecord,"12.12.2025 03:15:00",0,0,"0,9095760221444958",0,0,0,0,0,0,0,0,"4,245442019934535","",False</t>
  </si>
  <si>
    <t>PvRecord { Timestamp = 12.12.2025 03:30:00, Index = 0, DirectGeometryFactor = 0, DiffuseGeometryFactor = 0,9095760221444958, CosSunElevation = 0, GlobalHorizontalIrradiance = 0, SunshineDuration = 0, DiffuseHorizontalIrradiance = 0, AmbientTemp = 0, WindSpeed = 0, SnowDepth = 0, Weight = 0, Age = 4,245470539822616, MeasuredPower = , HasMeasuredPower = False },LEG.PV.Data.Processor.DataRecords+PvRecord,"12.12.2025 03:30:00",0,0,"0,9095760221444958",0,0,0,0,0,0,0,0,"4,245470539822616","",False</t>
  </si>
  <si>
    <t>PvRecord { Timestamp = 12.12.2025 03:45:00, Index = 0, DirectGeometryFactor = 0, DiffuseGeometryFactor = 0,9095760221444958, CosSunElevation = 0, GlobalHorizontalIrradiance = 0, SunshineDuration = 0, DiffuseHorizontalIrradiance = 0, AmbientTemp = 0, WindSpeed = 0, SnowDepth = 0, Weight = 0, Age = 4,245499059710697, MeasuredPower = , HasMeasuredPower = False },LEG.PV.Data.Processor.DataRecords+PvRecord,"12.12.2025 03:45:00",0,0,"0,9095760221444958",0,0,0,0,0,0,0,0,"4,245499059710697","",False</t>
  </si>
  <si>
    <t>PvRecord { Timestamp = 12.12.2025 04:00:00, Index = 0, DirectGeometryFactor = 0, DiffuseGeometryFactor = 0,9095760221444958, CosSunElevation = 0, GlobalHorizontalIrradiance = 0, SunshineDuration = 0, DiffuseHorizontalIrradiance = 0, AmbientTemp = 0, WindSpeed = 0, SnowDepth = 0, Weight = 0, Age = 4,245527579598779, MeasuredPower = , HasMeasuredPower = False },LEG.PV.Data.Processor.DataRecords+PvRecord,"12.12.2025 04:00:00",0,0,"0,9095760221444958",0,0,0,0,0,0,0,0,"4,245527579598779","",False</t>
  </si>
  <si>
    <t>PvRecord { Timestamp = 12.12.2025 04:15:00, Index = 0, DirectGeometryFactor = 0, DiffuseGeometryFactor = 0,9095760221444958, CosSunElevation = 0, GlobalHorizontalIrradiance = 0, SunshineDuration = 0, DiffuseHorizontalIrradiance = 0, AmbientTemp = 0, WindSpeed = 0, SnowDepth = 0, Weight = 0, Age = 4,245556099486861, MeasuredPower = , HasMeasuredPower = False },LEG.PV.Data.Processor.DataRecords+PvRecord,"12.12.2025 04:15:00",0,0,"0,9095760221444958",0,0,0,0,0,0,0,0,"4,245556099486861","",False</t>
  </si>
  <si>
    <t>PvRecord { Timestamp = 12.12.2025 04:30:00, Index = 0, DirectGeometryFactor = 0, DiffuseGeometryFactor = 0,9095760221444958, CosSunElevation = 0, GlobalHorizontalIrradiance = 0, SunshineDuration = 0, DiffuseHorizontalIrradiance = 0, AmbientTemp = 0, WindSpeed = 0, SnowDepth = 0, Weight = 0, Age = 4,2455846193749425, MeasuredPower = , HasMeasuredPower = False },LEG.PV.Data.Processor.DataRecords+PvRecord,"12.12.2025 04:30:00",0,0,"0,9095760221444958",0,0,0,0,0,0,0,0,"4,2455846193749425","",False</t>
  </si>
  <si>
    <t>PvRecord { Timestamp = 12.12.2025 04:45:00, Index = 0, DirectGeometryFactor = 0, DiffuseGeometryFactor = 0,9095760221444958, CosSunElevation = 0, GlobalHorizontalIrradiance = 0, SunshineDuration = 0, DiffuseHorizontalIrradiance = 0, AmbientTemp = 0, WindSpeed = 0, SnowDepth = 0, Weight = 0, Age = 4,245613139263024, MeasuredPower = , HasMeasuredPower = False },LEG.PV.Data.Processor.DataRecords+PvRecord,"12.12.2025 04:45:00",0,0,"0,9095760221444958",0,0,0,0,0,0,0,0,"4,245613139263024","",False</t>
  </si>
  <si>
    <t>PvRecord { Timestamp = 12.12.2025 05:00:00, Index = 0, DirectGeometryFactor = 0, DiffuseGeometryFactor = 0,9095760221444958, CosSunElevation = 0, GlobalHorizontalIrradiance = 0, SunshineDuration = 0, DiffuseHorizontalIrradiance = 0, AmbientTemp = 0, WindSpeed = 0, SnowDepth = 0, Weight = 0, Age = 4,245641659151105, MeasuredPower = , HasMeasuredPower = False },LEG.PV.Data.Processor.DataRecords+PvRecord,"12.12.2025 05:00:00",0,0,"0,9095760221444958",0,0,0,0,0,0,0,0,"4,245641659151105","",False</t>
  </si>
  <si>
    <t>PvRecord { Timestamp = 12.12.2025 05:15:00, Index = 0, DirectGeometryFactor = 0, DiffuseGeometryFactor = 0,9095760221444958, CosSunElevation = 0, GlobalHorizontalIrradiance = 0, SunshineDuration = 0, DiffuseHorizontalIrradiance = 0, AmbientTemp = 0, WindSpeed = 0, SnowDepth = 0, Weight = 0, Age = 4,245670179039187, MeasuredPower = , HasMeasuredPower = False },LEG.PV.Data.Processor.DataRecords+PvRecord,"12.12.2025 05:15:00",0,0,"0,9095760221444958",0,0,0,0,0,0,0,0,"4,245670179039187","",False</t>
  </si>
  <si>
    <t>PvRecord { Timestamp = 12.12.2025 05:30:00, Index = 0, DirectGeometryFactor = 0, DiffuseGeometryFactor = 0,9095760221444958, CosSunElevation = 0, GlobalHorizontalIrradiance = 0, SunshineDuration = 0, DiffuseHorizontalIrradiance = 0, AmbientTemp = 0, WindSpeed = 0, SnowDepth = 0, Weight = 0, Age = 4,245698698927269, MeasuredPower = , HasMeasuredPower = False },LEG.PV.Data.Processor.DataRecords+PvRecord,"12.12.2025 05:30:00",0,0,"0,9095760221444958",0,0,0,0,0,0,0,0,"4,245698698927269","",False</t>
  </si>
  <si>
    <t>PvRecord { Timestamp = 12.12.2025 05:45:00, Index = 0, DirectGeometryFactor = 0, DiffuseGeometryFactor = 0,9095760221444958, CosSunElevation = 0, GlobalHorizontalIrradiance = 0, SunshineDuration = 0, DiffuseHorizontalIrradiance = 0, AmbientTemp = 0, WindSpeed = 0, SnowDepth = 0, Weight = 0, Age = 4,24572721881535, MeasuredPower = , HasMeasuredPower = False },LEG.PV.Data.Processor.DataRecords+PvRecord,"12.12.2025 05:45:00",0,0,"0,9095760221444958",0,0,0,0,0,0,0,0,"4,24572721881535","",False</t>
  </si>
  <si>
    <t>PvRecord { Timestamp = 12.12.2025 06:00:00, Index = 0, DirectGeometryFactor = 0, DiffuseGeometryFactor = 0,9095760221444958, CosSunElevation = 0, GlobalHorizontalIrradiance = 0, SunshineDuration = 0, DiffuseHorizontalIrradiance = 0, AmbientTemp = 0, WindSpeed = 0, SnowDepth = 0, Weight = 0, Age = 4,245755738703432, MeasuredPower = , HasMeasuredPower = False },LEG.PV.Data.Processor.DataRecords+PvRecord,"12.12.2025 06:00:00",0,0,"0,9095760221444958",0,0,0,0,0,0,0,0,"4,245755738703432","",False</t>
  </si>
  <si>
    <t>PvRecord { Timestamp = 12.12.2025 06:15:00, Index = 0, DirectGeometryFactor = 0, DiffuseGeometryFactor = 0,9095760221444958, CosSunElevation = 0, GlobalHorizontalIrradiance = 0, SunshineDuration = 0, DiffuseHorizontalIrradiance = 0, AmbientTemp = 0, WindSpeed = 0, SnowDepth = 0, Weight = 0, Age = 4,245784258591513, MeasuredPower = , HasMeasuredPower = False },LEG.PV.Data.Processor.DataRecords+PvRecord,"12.12.2025 06:15:00",0,0,"0,9095760221444958",0,0,0,0,0,0,0,0,"4,245784258591513","",False</t>
  </si>
  <si>
    <t>PvRecord { Timestamp = 12.12.2025 06:30:00, Index = 0, DirectGeometryFactor = 0, DiffuseGeometryFactor = 0,9095760221444958, CosSunElevation = 0, GlobalHorizontalIrradiance = 0, SunshineDuration = 0, DiffuseHorizontalIrradiance = 0, AmbientTemp = 0, WindSpeed = 0, SnowDepth = 0, Weight = 0, Age = 4,2458127784795945, MeasuredPower = , HasMeasuredPower = False },LEG.PV.Data.Processor.DataRecords+PvRecord,"12.12.2025 06:30:00",0,0,"0,9095760221444958",0,0,0,0,0,0,0,0,"4,2458127784795945","",False</t>
  </si>
  <si>
    <t>PvRecord { Timestamp = 12.12.2025 06:45:00, Index = 0, DirectGeometryFactor = 0, DiffuseGeometryFactor = 0,9095760221444958, CosSunElevation = 0, GlobalHorizontalIrradiance = 0, SunshineDuration = 0, DiffuseHorizontalIrradiance = 0, AmbientTemp = 0, WindSpeed = 0, SnowDepth = 0, Weight = 0, Age = 4,245841298367677, MeasuredPower = , HasMeasuredPower = False },LEG.PV.Data.Processor.DataRecords+PvRecord,"12.12.2025 06:45:00",0,0,"0,9095760221444958",0,0,0,0,0,0,0,0,"4,245841298367677","",False</t>
  </si>
  <si>
    <t>PvRecord { Timestamp = 12.12.2025 07:00:00, Index = 0, DirectGeometryFactor = 0, DiffuseGeometryFactor = 0,9095760221444958, CosSunElevation = 0, GlobalHorizontalIrradiance = 0, SunshineDuration = 0, DiffuseHorizontalIrradiance = 0, AmbientTemp = 0, WindSpeed = 0, SnowDepth = 0, Weight = 0, Age = 4,245869818255758, MeasuredPower = , HasMeasuredPower = False },LEG.PV.Data.Processor.DataRecords+PvRecord,"12.12.2025 07:00:00",0,0,"0,9095760221444958",0,0,0,0,0,0,0,0,"4,245869818255758","",False</t>
  </si>
  <si>
    <t>PvRecord { Timestamp = 12.12.2025 07:15:00, Index = 0, DirectGeometryFactor = 0, DiffuseGeometryFactor = 0,9095760221444958, CosSunElevation = 0, GlobalHorizontalIrradiance = 0, SunshineDuration = 0, DiffuseHorizontalIrradiance = 0, AmbientTemp = 0, WindSpeed = 0, SnowDepth = 0, Weight = 0, Age = 4,2458983381438395, MeasuredPower = , HasMeasuredPower = False },LEG.PV.Data.Processor.DataRecords+PvRecord,"12.12.2025 07:15:00",0,0,"0,9095760221444958",0,0,0,0,0,0,0,0,"4,2458983381438395","",False</t>
  </si>
  <si>
    <t>PvRecord { Timestamp = 12.12.2025 07:30:00, Index = 0, DirectGeometryFactor = 0, DiffuseGeometryFactor = 0,9095760221444958, CosSunElevation = 0, GlobalHorizontalIrradiance = 0, SunshineDuration = 0, DiffuseHorizontalIrradiance = 0, AmbientTemp = 0, WindSpeed = 0, SnowDepth = 0, Weight = 0, Age = 4,245926858031921, MeasuredPower = , HasMeasuredPower = False },LEG.PV.Data.Processor.DataRecords+PvRecord,"12.12.2025 07:30:00",0,0,"0,9095760221444958",0,0,0,0,0,0,0,0,"4,245926858031921","",False</t>
  </si>
  <si>
    <t>PvRecord { Timestamp = 12.12.2025 07:45:00, Index = 0, DirectGeometryFactor = 0, DiffuseGeometryFactor = 0,9095760221444958, CosSunElevation = 0, GlobalHorizontalIrradiance = 0, SunshineDuration = 0, DiffuseHorizontalIrradiance = 0, AmbientTemp = 0, WindSpeed = 0, SnowDepth = 0, Weight = 0, Age = 4,245955377920002, MeasuredPower = , HasMeasuredPower = False },LEG.PV.Data.Processor.DataRecords+PvRecord,"12.12.2025 07:45:00",0,0,"0,9095760221444958",0,0,0,0,0,0,0,0,"4,245955377920002","",False</t>
  </si>
  <si>
    <t>PvRecord { Timestamp = 12.12.2025 08:00:00, Index = 0, DirectGeometryFactor = 0, DiffuseGeometryFactor = 0,9095760221444958, CosSunElevation = 0,005725154439789958, GlobalHorizontalIrradiance = 0, SunshineDuration = 0, DiffuseHorizontalIrradiance = 0, AmbientTemp = 0, WindSpeed = 0, SnowDepth = 0, Weight = 0, Age = 4,245983897808085, MeasuredPower = , HasMeasuredPower = False },LEG.PV.Data.Processor.DataRecords+PvRecord,"12.12.2025 08:00:00",0,0,"0,9095760221444958","0,005725154439789958",0,0,0,0,0,0,0,"4,245983897808085","",False</t>
  </si>
  <si>
    <t>PvRecord { Timestamp = 12.12.2025 08:15:00, Index = 0, DirectGeometryFactor = 0,523615429612187, DiffuseGeometryFactor = 0,9095760221444958, CosSunElevation = 0,03752042029056385, GlobalHorizontalIrradiance = 0, SunshineDuration = 0, DiffuseHorizontalIrradiance = 0, AmbientTemp = 0, WindSpeed = 0, SnowDepth = 0, Weight = 0, Age = 4,246012417696166, MeasuredPower = , HasMeasuredPower = False },LEG.PV.Data.Processor.DataRecords+PvRecord,"12.12.2025 08:15:00",0,"0,523615429612187","0,9095760221444958","0,03752042029056385",0,0,0,0,0,0,0,"4,246012417696166","",False</t>
  </si>
  <si>
    <t>PvRecord { Timestamp = 12.12.2025 08:30:00, Index = 0, DirectGeometryFactor = 0,5632733565611988, DiffuseGeometryFactor = 0,9095760221444958, CosSunElevation = 0,07007676300570607, GlobalHorizontalIrradiance = 0, SunshineDuration = 0, DiffuseHorizontalIrradiance = 0, AmbientTemp = 0, WindSpeed = 0, SnowDepth = 0, Weight = 0, Age = 4,246040937584247, MeasuredPower = , HasMeasuredPower = False },LEG.PV.Data.Processor.DataRecords+PvRecord,"12.12.2025 08:30:00",0,"0,5632733565611988","0,9095760221444958","0,07007676300570607",0,0,0,0,0,0,0,"4,246040937584247","",False</t>
  </si>
  <si>
    <t>PvRecord { Timestamp = 12.12.2025 08:45:00, Index = 0, DirectGeometryFactor = 0,6008117783001452, DiffuseGeometryFactor = 0,9095760221444958, CosSunElevation = 0,1019286842120417, GlobalHorizontalIrradiance = 0, SunshineDuration = 0, DiffuseHorizontalIrradiance = 0, AmbientTemp = 0, WindSpeed = 0, SnowDepth = 0, Weight = 0, Age = 4,246069457472329, MeasuredPower = , HasMeasuredPower = False },LEG.PV.Data.Processor.DataRecords+PvRecord,"12.12.2025 08:45:00",0,"0,6008117783001452","0,9095760221444958","0,1019286842120417",0,0,0,0,0,0,0,"4,246069457472329","",False</t>
  </si>
  <si>
    <t>PvRecord { Timestamp = 12.12.2025 09:00:00, Index = 0, DirectGeometryFactor = 0,6356793087938053, DiffuseGeometryFactor = 0,9095760221444958, CosSunElevation = 0,13247441395760254, GlobalHorizontalIrradiance = 0, SunshineDuration = 0, DiffuseHorizontalIrradiance = 0, AmbientTemp = 0, WindSpeed = 0, SnowDepth = 0, Weight = 0, Age = 4,24609797736041, MeasuredPower = , HasMeasuredPower = False },LEG.PV.Data.Processor.DataRecords+PvRecord,"12.12.2025 09:00:00",0,"0,6356793087938053","0,9095760221444958","0,13247441395760254",0,0,0,0,0,0,0,"4,24609797736041","",False</t>
  </si>
  <si>
    <t>PvRecord { Timestamp = 12.12.2025 09:15:00, Index = 0, DirectGeometryFactor = 0,6675788385388745, DiffuseGeometryFactor = 0,9095760221444958, CosSunElevation = 0,16140640561960184, GlobalHorizontalIrradiance = 0, SunshineDuration = 0, DiffuseHorizontalIrradiance = 0, AmbientTemp = 0, WindSpeed = 0, SnowDepth = 0, Weight = 0, Age = 4,2461264972484924, MeasuredPower = , HasMeasuredPower = False },LEG.PV.Data.Processor.DataRecords+PvRecord,"12.12.2025 09:15:00",0,"0,6675788385388745","0,9095760221444958","0,16140640561960184",0,0,0,0,0,0,0,"4,2461264972484924","",False</t>
  </si>
  <si>
    <t>PvRecord { Timestamp = 12.12.2025 09:30:00, Index = 0, DirectGeometryFactor = 0,6963082234037643, DiffuseGeometryFactor = 0,9095760221444958, CosSunElevation = 0,18852217135684443, GlobalHorizontalIrradiance = 0, SunshineDuration = 0, DiffuseHorizontalIrradiance = 0, AmbientTemp = 0, WindSpeed = 0, SnowDepth = 0, Weight = 0, Age = 4,246155017136574, MeasuredPower = , HasMeasuredPower = False },LEG.PV.Data.Processor.DataRecords+PvRecord,"12.12.2025 09:30:00",0,"0,6963082234037643","0,9095760221444958","0,18852217135684443",0,0,0,0,0,0,0,"4,246155017136574","",False</t>
  </si>
  <si>
    <t>PvRecord { Timestamp = 12.12.2025 09:45:00, Index = 0, DirectGeometryFactor = 0,7217114947981629, DiffuseGeometryFactor = 0,9095760221444958, CosSunElevation = 0,21366599593436766, GlobalHorizontalIrradiance = 0, SunshineDuration = 0, DiffuseHorizontalIrradiance = 0, AmbientTemp = 0, WindSpeed = 0, SnowDepth = 0, Weight = 0, Age = 4,246183537024655, MeasuredPower = , HasMeasuredPower = False },LEG.PV.Data.Processor.DataRecords+PvRecord,"12.12.2025 09:45:00",0,"0,7217114947981629","0,9095760221444958","0,21366599593436766",0,0,0,0,0,0,0,"4,246183537024655","",False</t>
  </si>
  <si>
    <t>PvRecord { Timestamp = 12.12.2025 10:00:00, Index = 0, DirectGeometryFactor = 0,7436616755415056, DiffuseGeometryFactor = 0,9095760221444958, CosSunElevation = 0,23670828364075228, GlobalHorizontalIrradiance = 0, SunshineDuration = 0, DiffuseHorizontalIrradiance = 0, AmbientTemp = 0, WindSpeed = 0, SnowDepth = 0, Weight = 0, Age = 4,246212056912737, MeasuredPower = , HasMeasuredPower = False },LEG.PV.Data.Processor.DataRecords+PvRecord,"12.12.2025 10:00:00",0,"0,7436616755415056","0,9095760221444958","0,23670828364075228",0,0,0,0,0,0,0,"4,246212056912737","",False</t>
  </si>
  <si>
    <t>PvRecord { Timestamp = 12.12.2025 10:15:00, Index = 0, DirectGeometryFactor = 0,7620539761110403, DiffuseGeometryFactor = 0,9095760221444958, CosSunElevation = 0,25753732277090174, GlobalHorizontalIrradiance = 0, SunshineDuration = 0, DiffuseHorizontalIrradiance = 0, AmbientTemp = 0, WindSpeed = 0, SnowDepth = 0, Weight = 0, Age = 4,246240576800818, MeasuredPower = , HasMeasuredPower = False },LEG.PV.Data.Processor.DataRecords+PvRecord,"12.12.2025 10:15:00",0,"0,7620539761110403","0,9095760221444958","0,25753732277090174",0,0,0,0,0,0,0,"4,246240576800818","",False</t>
  </si>
  <si>
    <t>PvRecord { Timestamp = 12.12.2025 10:30:00, Index = 0, DirectGeometryFactor = 0,7768028737795403, DiffuseGeometryFactor = 0,9095760221444958, CosSunElevation = 0,2760557270980986, GlobalHorizontalIrradiance = 0, SunshineDuration = 0, DiffuseHorizontalIrradiance = 0, AmbientTemp = 0, WindSpeed = 0, SnowDepth = 0, Weight = 0, Age = 4,2462690966889, MeasuredPower = , HasMeasuredPower = False },LEG.PV.Data.Processor.DataRecords+PvRecord,"12.12.2025 10:30:00",0,"0,7768028737795403","0,9095760221444958","0,2760557270980986",0,0,0,0,0,0,0,"4,2462690966889","",False</t>
  </si>
  <si>
    <t>PvRecord { Timestamp = 12.12.2025 10:45:00, Index = 0, DirectGeometryFactor = 0,7878407949853591, DiffuseGeometryFactor = 0,9095760221444958, CosSunElevation = 0,29217883330657596, GlobalHorizontalIrradiance = 0, SunshineDuration = 0, DiffuseHorizontalIrradiance = 0, AmbientTemp = 0, WindSpeed = 0, SnowDepth = 0, Weight = 0, Age = 4,246297616576982, MeasuredPower = , HasMeasuredPower = False },LEG.PV.Data.Processor.DataRecords+PvRecord,"12.12.2025 10:45:00",0,"0,7878407949853591","0,9095760221444958","0,29217883330657596",0,0,0,0,0,0,0,"4,246297616576982","",False</t>
  </si>
  <si>
    <t>PvRecord { Timestamp = 12.12.2025 11:00:00, Index = 0, DirectGeometryFactor = 0,7951175035471072, DiffuseGeometryFactor = 0,9095760221444958, CosSunElevation = 0,3058339817250513, GlobalHorizontalIrradiance = 0, SunshineDuration = 0, DiffuseHorizontalIrradiance = 0, AmbientTemp = 0, WindSpeed = 0, SnowDepth = 0, Weight = 0, Age = 4,246326136465063, MeasuredPower = , HasMeasuredPower = False },LEG.PV.Data.Processor.DataRecords+PvRecord,"12.12.2025 11:00:00",0,"0,7951175035471072","0,9095760221444958","0,3058339817250513",0,0,0,0,0,0,0,"4,246326136465063","",False</t>
  </si>
  <si>
    <t>PvRecord { Timestamp = 12.12.2025 11:15:00, Index = 0, DirectGeometryFactor = 0,7985998064010614, DiffuseGeometryFactor = 0,9095760221444958, CosSunElevation = 0,316960215505809, GlobalHorizontalIrradiance = 0, SunshineDuration = 0, DiffuseHorizontalIrradiance = 0, AmbientTemp = 0, WindSpeed = 0, SnowDepth = 0, Weight = 0, Age = 4,2463546563531445, MeasuredPower = , HasMeasuredPower = False },LEG.PV.Data.Processor.DataRecords+PvRecord,"12.12.2025 11:15:00",0,"0,7985998064010614","0,9095760221444958","0,316960215505809",0,0,0,0,0,0,0,"4,2463546563531445","",False</t>
  </si>
  <si>
    <t>PvRecord { Timestamp = 12.12.2025 11:30:00, Index = 0, DirectGeometryFactor = 0,7982713957074512, DiffuseGeometryFactor = 0,9095760221444958, CosSunElevation = 0,3255081809595047, GlobalHorizontalIrradiance = 0, SunshineDuration = 0, DiffuseHorizontalIrradiance = 0, AmbientTemp = 0, WindSpeed = 0, SnowDepth = 0, Weight = 0, Age = 4,246383176241226, MeasuredPower = , HasMeasuredPower = False },LEG.PV.Data.Processor.DataRecords+PvRecord,"12.12.2025 11:30:00",0,"0,7982713957074512","0,9095760221444958","0,3255081809595047",0,0,0,0,0,0,0,"4,246383176241226","",False</t>
  </si>
  <si>
    <t>PvRecord { Timestamp = 12.12.2025 11:45:00, Index = 0, DirectGeometryFactor = 0,7941327371910523, DiffuseGeometryFactor = 0,9095760221444958, CosSunElevation = 0,3314401206581227, GlobalHorizontalIrradiance = 0, SunshineDuration = 0, DiffuseHorizontalIrradiance = 0, AmbientTemp = 0, WindSpeed = 0, SnowDepth = 0, Weight = 0, Age = 4,246411696129308, MeasuredPower = , HasMeasuredPower = False },LEG.PV.Data.Processor.DataRecords+PvRecord,"12.12.2025 11:45:00",0,"0,7941327371910523","0,9095760221444958","0,3314401206581227",0,0,0,0,0,0,0,"4,246411696129308","",False</t>
  </si>
  <si>
    <t>PvRecord { Timestamp = 12.12.2025 12:00:00, Index = 0, DirectGeometryFactor = 0,786200957808429, DiffuseGeometryFactor = 0,9095760221444958, CosSunElevation = 0,3347299023927671, GlobalHorizontalIrradiance = 0, SunshineDuration = 0, DiffuseHorizontalIrradiance = 0, AmbientTemp = 0, WindSpeed = 0, SnowDepth = 0, Weight = 0, Age = 4,2464402160173895, MeasuredPower = , HasMeasuredPower = False },LEG.PV.Data.Processor.DataRecords+PvRecord,"12.12.2025 12:00:00",0,"0,786200957808429","0,9095760221444958","0,3347299023927671",0,0,0,0,0,0,0,"4,2464402160173895","",False</t>
  </si>
  <si>
    <t>PvRecord { Timestamp = 12.12.2025 12:15:00, Index = 0, DirectGeometryFactor = 0,7745097079115306, DiffuseGeometryFactor = 0,9095760221444958, CosSunElevation = 0,3353630534961131, GlobalHorizontalIrradiance = 0, SunshineDuration = 0, DiffuseHorizontalIrradiance = 0, AmbientTemp = 0, WindSpeed = 0, SnowDepth = 0, Weight = 0, Age = 4,246468735905471, MeasuredPower = , HasMeasuredPower = False },LEG.PV.Data.Processor.DataRecords+PvRecord,"12.12.2025 12:15:00",0,"0,7745097079115306","0,9095760221444958","0,3353630534961131",0,0,0,0,0,0,0,"4,246468735905471","",False</t>
  </si>
  <si>
    <t>PvRecord { Timestamp = 12.12.2025 12:30:00, Index = 0, DirectGeometryFactor = 0,759108984920081, DiffuseGeometryFactor = 0,9095760221444958, CosSunElevation = 0,33333678420371937, GlobalHorizontalIrradiance = 0, SunshineDuration = 0, DiffuseHorizontalIrradiance = 0, AmbientTemp = 0, WindSpeed = 0, SnowDepth = 0, Weight = 0, Age = 4,246497255793552, MeasuredPower = , HasMeasuredPower = False },LEG.PV.Data.Processor.DataRecords+PvRecord,"12.12.2025 12:30:00",0,"0,759108984920081","0,9095760221444958","0,33333678420371937",0,0,0,0,0,0,0,"4,246497255793552","",False</t>
  </si>
  <si>
    <t>PvRecord { Timestamp = 12.12.2025 12:45:00, Index = 0, DirectGeometryFactor = 0,740064913067306, DiffuseGeometryFactor = 0,9095760221444958, CosSunElevation = 0,3286599923864148, GlobalHorizontalIrradiance = 0, SunshineDuration = 0, DiffuseHorizontalIrradiance = 0, AmbientTemp = 0, WindSpeed = 0, SnowDepth = 0, Weight = 0, Age = 4,246525775681634, MeasuredPower = , HasMeasuredPower = False },LEG.PV.Data.Processor.DataRecords+PvRecord,"12.12.2025 12:45:00",0,"0,740064913067306","0,9095760221444958","0,3286599923864148",0,0,0,0,0,0,0,"4,246525775681634","",False</t>
  </si>
  <si>
    <t>PvRecord { Timestamp = 12.12.2025 13:00:00, Index = 0, DirectGeometryFactor = 0,7174594790088558, DiffuseGeometryFactor = 0,9095760221444958, CosSunElevation = 0,3213532483532466, GlobalHorizontalIrradiance = 0, SunshineDuration = 0, DiffuseHorizontalIrradiance = 0, AmbientTemp = 0, WindSpeed = 0, SnowDepth = 0, Weight = 0, Age = 4,246554295569716, MeasuredPower = , HasMeasuredPower = False },LEG.PV.Data.Processor.DataRecords+PvRecord,"12.12.2025 13:00:00",0,"0,7174594790088558","0,9095760221444958","0,3213532483532466",0,0,0,0,0,0,0,"4,246554295569716","",False</t>
  </si>
  <si>
    <t>PvRecord { Timestamp = 12.12.2025 13:15:00, Index = 0, DirectGeometryFactor = 0,6913902278523274, DiffuseGeometryFactor = 0,9095760221444958, CosSunElevation = 0,31144876413813155, GlobalHorizontalIrradiance = 0, SunshineDuration = 0, DiffuseHorizontalIrradiance = 0, AmbientTemp = 0, WindSpeed = 0, SnowDepth = 0, Weight = 0, Age = 4,246582815457797, MeasuredPower = , HasMeasuredPower = False },LEG.PV.Data.Processor.DataRecords+PvRecord,"12.12.2025 13:15:00",0,"0,6913902278523274","0,9095760221444958","0,31144876413813155",0,0,0,0,0,0,0,"4,246582815457797","",False</t>
  </si>
  <si>
    <t>PvRecord { Timestamp = 12.12.2025 13:30:00, Index = 0, DirectGeometryFactor = 0,6619699306646769, DiffuseGeometryFactor = 0,9095760221444958, CosSunElevation = 0,29899035904700816, GlobalHorizontalIrradiance = 0, SunshineDuration = 0, DiffuseHorizontalIrradiance = 0, AmbientTemp = 0, WindSpeed = 0, SnowDepth = 0, Weight = 0, Age = 4,246611335345879, MeasuredPower = , HasMeasuredPower = False },LEG.PV.Data.Processor.DataRecords+PvRecord,"12.12.2025 13:30:00",0,"0,6619699306646769","0,9095760221444958","0,29899035904700816",0,0,0,0,0,0,0,"4,246611335345879","",False</t>
  </si>
  <si>
    <t>PvRecord { Timestamp = 12.12.2025 13:45:00, Index = 0, DirectGeometryFactor = 0,6293262434577042, DiffuseGeometryFactor = 0,9095760221444958, CosSunElevation = 0,2840334442865861, GlobalHorizontalIrradiance = 0, SunshineDuration = 0, DiffuseHorizontalIrradiance = 0, AmbientTemp = 0, WindSpeed = 0, SnowDepth = 0, Weight = 0, Age = 4,24663985523396, MeasuredPower = , HasMeasuredPower = False },LEG.PV.Data.Processor.DataRecords+PvRecord,"12.12.2025 13:45:00",0,"0,6293262434577042","0,9095760221444958","0,2840334442865861",0,0,0,0,0,0,0,"4,24663985523396","",False</t>
  </si>
  <si>
    <t>PvRecord { Timestamp = 12.12.2025 14:00:00, Index = 0, DirectGeometryFactor = 0,5936013935785127, DiffuseGeometryFactor = 0,9095760221444958, CosSunElevation = 0,26664506878901717, GlobalHorizontalIrradiance = 0, SunshineDuration = 0, DiffuseHorizontalIrradiance = 0, AmbientTemp = 0, WindSpeed = 0, SnowDepth = 0, Weight = 0, Age = 4,2466683751220415, MeasuredPower = , HasMeasuredPower = False },LEG.PV.Data.Processor.DataRecords+PvRecord,"12.12.2025 14:00:00",0,"0,5936013935785127","0,9095760221444958","0,26664506878901717",0,0,0,0,0,0,0,"4,2466683751220415","",False</t>
  </si>
  <si>
    <t>PvRecord { Timestamp = 12.12.2025 14:15:00, Index = 0, DirectGeometryFactor = 0,5549519606621788, DiffuseGeometryFactor = 0,9095760221444958, CosSunElevation = 0,24690410568460125, GlobalHorizontalIrradiance = 0, SunshineDuration = 0, DiffuseHorizontalIrradiance = 0, AmbientTemp = 0, WindSpeed = 0, SnowDepth = 0, Weight = 0, Age = 4,246696895010124, MeasuredPower = , HasMeasuredPower = False },LEG.PV.Data.Processor.DataRecords+PvRecord,"12.12.2025 14:15:00",0,"0,5549519606621788","0,9095760221444958","0,24690410568460125",0,0,0,0,0,0,0,"4,246696895010124","",False</t>
  </si>
  <si>
    <t>PvRecord { Timestamp = 12.12.2025 14:30:00, Index = 0, DirectGeometryFactor = 0,5135488812911172, DiffuseGeometryFactor = 0,9095760221444958, CosSunElevation = 0,22490173444787967, GlobalHorizontalIrradiance = 0, SunshineDuration = 0, DiffuseHorizontalIrradiance = 0, AmbientTemp = 0, WindSpeed = 0, SnowDepth = 0, Weight = 0, Age = 4,246725414898205, MeasuredPower = , HasMeasuredPower = False },LEG.PV.Data.Processor.DataRecords+PvRecord,"12.12.2025 14:30:00",0,"0,5135488812911172","0,9095760221444958","0,22490173444787967",0,0,0,0,0,0,0,"4,246725414898205","",False</t>
  </si>
  <si>
    <t>PvRecord { Timestamp = 12.12.2025 14:45:00, Index = 0, DirectGeometryFactor = 0,46957794308096423, DiffuseGeometryFactor = 0,9095760221444958, CosSunElevation = 0,20074253951262938, GlobalHorizontalIrradiance = 0, SunshineDuration = 0, DiffuseHorizontalIrradiance = 0, AmbientTemp = 0, WindSpeed = 0, SnowDepth = 0, Weight = 0, Age = 4,246753934786287, MeasuredPower = , HasMeasuredPower = False },LEG.PV.Data.Processor.DataRecords+PvRecord,"12.12.2025 14:45:00",0,"0,46957794308096423","0,9095760221444958","0,20074253951262938",0,0,0,0,0,0,0,"4,246753934786287","",False</t>
  </si>
  <si>
    <t>PvRecord { Timestamp = 12.12.2025 15:00:00, Index = 0, DirectGeometryFactor = 0,42324135766823356, DiffuseGeometryFactor = 0,9095760221444958, CosSunElevation = 0,17454693850595698, GlobalHorizontalIrradiance = 0, SunshineDuration = 0, DiffuseHorizontalIrradiance = 0, AmbientTemp = 0, WindSpeed = 0, SnowDepth = 0, Weight = 0, Age = 4,246782454674368, MeasuredPower = , HasMeasuredPower = False },LEG.PV.Data.Processor.DataRecords+PvRecord,"12.12.2025 15:00:00",0,"0,42324135766823356","0,9095760221444958","0,17454693850595698",0,0,0,0,0,0,0,"4,246782454674368","",False</t>
  </si>
  <si>
    <t>PvRecord { Timestamp = 12.12.2025 15:15:00, Index = 0, DirectGeometryFactor = 0,37476183567135973, DiffuseGeometryFactor = 0,9095760221444958, CosSunElevation = 0,1464566652973214, GlobalHorizontalIrradiance = 0, SunshineDuration = 0, DiffuseHorizontalIrradiance = 0, AmbientTemp = 0, WindSpeed = 0, SnowDepth = 0, Weight = 0, Age = 4,24681097456245, MeasuredPower = , HasMeasuredPower = False },LEG.PV.Data.Processor.DataRecords+PvRecord,"12.12.2025 15:15:00",0,"0,37476183567135973","0,9095760221444958","0,1464566652973214",0,0,0,0,0,0,0,"4,24681097456245","",False</t>
  </si>
  <si>
    <t>PvRecord { Timestamp = 12.12.2025 15:30:00, Index = 0, DirectGeometryFactor = 0,32439298457187876, DiffuseGeometryFactor = 0,9095760221444958, CosSunElevation = 0,11664794224583329, GlobalHorizontalIrradiance = 0, SunshineDuration = 0, DiffuseHorizontalIrradiance = 0, AmbientTemp = 0, WindSpeed = 0, SnowDepth = 0, Weight = 0, Age = 4,246839494450532, MeasuredPower = , HasMeasuredPower = False },LEG.PV.Data.Processor.DataRecords+PvRecord,"12.12.2025 15:30:00",0,"0,32439298457187876","0,9095760221444958","0,11664794224583329",0,0,0,0,0,0,0,"4,246839494450532","",False</t>
  </si>
  <si>
    <t>PvRecord { Timestamp = 12.12.2025 15:45:00, Index = 0, DirectGeometryFactor = 0, DiffuseGeometryFactor = 0,9095760221444958, CosSunElevation = 0,08536646552690513, GlobalHorizontalIrradiance = 0, SunshineDuration = 0, DiffuseHorizontalIrradiance = 0, AmbientTemp = 0, WindSpeed = 0, SnowDepth = 0, Weight = 0, Age = 4,246868014338613, MeasuredPower = , HasMeasuredPower = False },LEG.PV.Data.Processor.DataRecords+PvRecord,"12.12.2025 15:45:00",0,0,"0,9095760221444958","0,08536646552690513",0,0,0,0,0,0,0,"4,246868014338613","",False</t>
  </si>
  <si>
    <t>PvRecord { Timestamp = 12.12.2025 16:00:00, Index = 0, DirectGeometryFactor = 0, DiffuseGeometryFactor = 0,9095760221444958, CosSunElevation = 0,053033728513293785, GlobalHorizontalIrradiance = 0, SunshineDuration = 0, DiffuseHorizontalIrradiance = 0, AmbientTemp = 0, WindSpeed = 0, SnowDepth = 0, Weight = 0, Age = 4,246896534226694, MeasuredPower = , HasMeasuredPower = False },LEG.PV.Data.Processor.DataRecords+PvRecord,"12.12.2025 16:00:00",0,0,"0,9095760221444958","0,053033728513293785",0,0,0,0,0,0,0,"4,246896534226694","",False</t>
  </si>
  <si>
    <t>PvRecord { Timestamp = 12.12.2025 16:15:00, Index = 0, DirectGeometryFactor = 0, DiffuseGeometryFactor = 0,9095760221444958, CosSunElevation = 0,020605794697694444, GlobalHorizontalIrradiance = 0, SunshineDuration = 0, DiffuseHorizontalIrradiance = 0, AmbientTemp = 0, WindSpeed = 0, SnowDepth = 0, Weight = 0, Age = 4,246925054114776, MeasuredPower = , HasMeasuredPower = False },LEG.PV.Data.Processor.DataRecords+PvRecord,"12.12.2025 16:15:00",0,0,"0,9095760221444958","0,020605794697694444",0,0,0,0,0,0,0,"4,246925054114776","",False</t>
  </si>
  <si>
    <t>PvRecord { Timestamp = 12.12.2025 16:30:00, Index = 0, DirectGeometryFactor = 0, DiffuseGeometryFactor = 0,9095760221444958, CosSunElevation = 0, GlobalHorizontalIrradiance = 0, SunshineDuration = 0, DiffuseHorizontalIrradiance = 0, AmbientTemp = 0, WindSpeed = 0, SnowDepth = 0, Weight = 0, Age = 4,246953574002858, MeasuredPower = , HasMeasuredPower = False },LEG.PV.Data.Processor.DataRecords+PvRecord,"12.12.2025 16:30:00",0,0,"0,9095760221444958",0,0,0,0,0,0,0,0,"4,246953574002858","",False</t>
  </si>
  <si>
    <t>PvRecord { Timestamp = 12.12.2025 16:45:00, Index = 0, DirectGeometryFactor = 0, DiffuseGeometryFactor = 0,9095760221444958, CosSunElevation = 0, GlobalHorizontalIrradiance = 0, SunshineDuration = 0, DiffuseHorizontalIrradiance = 0, AmbientTemp = 0, WindSpeed = 0, SnowDepth = 0, Weight = 0, Age = 4,2469820938909395, MeasuredPower = , HasMeasuredPower = False },LEG.PV.Data.Processor.DataRecords+PvRecord,"12.12.2025 16:45:00",0,0,"0,9095760221444958",0,0,0,0,0,0,0,0,"4,2469820938909395","",False</t>
  </si>
  <si>
    <t>PvRecord { Timestamp = 12.12.2025 17:00:00, Index = 0, DirectGeometryFactor = 0, DiffuseGeometryFactor = 0,9095760221444958, CosSunElevation = 0, GlobalHorizontalIrradiance = 0, SunshineDuration = 0, DiffuseHorizontalIrradiance = 0, AmbientTemp = 0, WindSpeed = 0, SnowDepth = 0, Weight = 0, Age = 4,247010613779021, MeasuredPower = , HasMeasuredPower = False },LEG.PV.Data.Processor.DataRecords+PvRecord,"12.12.2025 17:00:00",0,0,"0,9095760221444958",0,0,0,0,0,0,0,0,"4,247010613779021","",False</t>
  </si>
  <si>
    <t>PvRecord { Timestamp = 12.12.2025 17:15:00, Index = 0, DirectGeometryFactor = 0, DiffuseGeometryFactor = 0,9095760221444958, CosSunElevation = 0, GlobalHorizontalIrradiance = 0, SunshineDuration = 0, DiffuseHorizontalIrradiance = 0, AmbientTemp = 0, WindSpeed = 0, SnowDepth = 0, Weight = 0, Age = 4,247039133667102, MeasuredPower = , HasMeasuredPower = False },LEG.PV.Data.Processor.DataRecords+PvRecord,"12.12.2025 17:15:00",0,0,"0,9095760221444958",0,0,0,0,0,0,0,0,"4,247039133667102","",False</t>
  </si>
  <si>
    <t>PvRecord { Timestamp = 12.12.2025 17:30:00, Index = 0, DirectGeometryFactor = 0, DiffuseGeometryFactor = 0,9095760221444958, CosSunElevation = 0, GlobalHorizontalIrradiance = 0, SunshineDuration = 0, DiffuseHorizontalIrradiance = 0, AmbientTemp = 0, WindSpeed = 0, SnowDepth = 0, Weight = 0, Age = 4,247067653555184, MeasuredPower = , HasMeasuredPower = False },LEG.PV.Data.Processor.DataRecords+PvRecord,"12.12.2025 17:30:00",0,0,"0,9095760221444958",0,0,0,0,0,0,0,0,"4,247067653555184","",False</t>
  </si>
  <si>
    <t>PvRecord { Timestamp = 12.12.2025 17:45:00, Index = 0, DirectGeometryFactor = 0, DiffuseGeometryFactor = 0,9095760221444958, CosSunElevation = 0, GlobalHorizontalIrradiance = 0, SunshineDuration = 0, DiffuseHorizontalIrradiance = 0, AmbientTemp = 0, WindSpeed = 0, SnowDepth = 0, Weight = 0, Age = 4,247096173443266, MeasuredPower = , HasMeasuredPower = False },LEG.PV.Data.Processor.DataRecords+PvRecord,"12.12.2025 17:45:00",0,0,"0,9095760221444958",0,0,0,0,0,0,0,0,"4,247096173443266","",False</t>
  </si>
  <si>
    <t>PvRecord { Timestamp = 12.12.2025 18:00:00, Index = 0, DirectGeometryFactor = 0, DiffuseGeometryFactor = 0,9095760221444958, CosSunElevation = 0, GlobalHorizontalIrradiance = 0, SunshineDuration = 0, DiffuseHorizontalIrradiance = 0, AmbientTemp = 0, WindSpeed = 0, SnowDepth = 0, Weight = 0, Age = 4,247124693331347, MeasuredPower = , HasMeasuredPower = False },LEG.PV.Data.Processor.DataRecords+PvRecord,"12.12.2025 18:00:00",0,0,"0,9095760221444958",0,0,0,0,0,0,0,0,"4,247124693331347","",False</t>
  </si>
  <si>
    <t>PvRecord { Timestamp = 12.12.2025 18:15:00, Index = 0, DirectGeometryFactor = 0, DiffuseGeometryFactor = 0,9095760221444958, CosSunElevation = 0, GlobalHorizontalIrradiance = 0, SunshineDuration = 0, DiffuseHorizontalIrradiance = 0, AmbientTemp = 0, WindSpeed = 0, SnowDepth = 0, Weight = 0, Age = 4,247153213219429, MeasuredPower = , HasMeasuredPower = False },LEG.PV.Data.Processor.DataRecords+PvRecord,"12.12.2025 18:15:00",0,0,"0,9095760221444958",0,0,0,0,0,0,0,0,"4,247153213219429","",False</t>
  </si>
  <si>
    <t>PvRecord { Timestamp = 12.12.2025 18:30:00, Index = 0, DirectGeometryFactor = 0, DiffuseGeometryFactor = 0,9095760221444958, CosSunElevation = 0, GlobalHorizontalIrradiance = 0, SunshineDuration = 0, DiffuseHorizontalIrradiance = 0, AmbientTemp = 0, WindSpeed = 0, SnowDepth = 0, Weight = 0, Age = 4,24718173310751, MeasuredPower = , HasMeasuredPower = False },LEG.PV.Data.Processor.DataRecords+PvRecord,"12.12.2025 18:30:00",0,0,"0,9095760221444958",0,0,0,0,0,0,0,0,"4,24718173310751","",False</t>
  </si>
  <si>
    <t>PvRecord { Timestamp = 12.12.2025 18:45:00, Index = 0, DirectGeometryFactor = 0, DiffuseGeometryFactor = 0,9095760221444958, CosSunElevation = 0, GlobalHorizontalIrradiance = 0, SunshineDuration = 0, DiffuseHorizontalIrradiance = 0, AmbientTemp = 0, WindSpeed = 0, SnowDepth = 0, Weight = 0, Age = 4,2472102529955915, MeasuredPower = , HasMeasuredPower = False },LEG.PV.Data.Processor.DataRecords+PvRecord,"12.12.2025 18:45:00",0,0,"0,9095760221444958",0,0,0,0,0,0,0,0,"4,2472102529955915","",False</t>
  </si>
  <si>
    <t>PvRecord { Timestamp = 12.12.2025 19:00:00, Index = 0, DirectGeometryFactor = 0, DiffuseGeometryFactor = 0,9095760221444958, CosSunElevation = 0, GlobalHorizontalIrradiance = 0, SunshineDuration = 0, DiffuseHorizontalIrradiance = 0, AmbientTemp = 0, WindSpeed = 0, SnowDepth = 0, Weight = 0, Age = 4,247238772883674, MeasuredPower = , HasMeasuredPower = False },LEG.PV.Data.Processor.DataRecords+PvRecord,"12.12.2025 19:00:00",0,0,"0,9095760221444958",0,0,0,0,0,0,0,0,"4,247238772883674","",False</t>
  </si>
  <si>
    <t>PvRecord { Timestamp = 12.12.2025 19:15:00, Index = 0, DirectGeometryFactor = 0, DiffuseGeometryFactor = 0,9095760221444958, CosSunElevation = 0, GlobalHorizontalIrradiance = 0, SunshineDuration = 0, DiffuseHorizontalIrradiance = 0, AmbientTemp = 0, WindSpeed = 0, SnowDepth = 0, Weight = 0, Age = 4,247267292771755, MeasuredPower = , HasMeasuredPower = False },LEG.PV.Data.Processor.DataRecords+PvRecord,"12.12.2025 19:15:00",0,0,"0,9095760221444958",0,0,0,0,0,0,0,0,"4,247267292771755","",False</t>
  </si>
  <si>
    <t>, Index =</t>
  </si>
  <si>
    <t>, DirectGeometryFactor =</t>
  </si>
  <si>
    <t>, DiffuseGeometryFactor =</t>
  </si>
  <si>
    <t>, CosSunElevation =</t>
  </si>
  <si>
    <t>, GlobalHorizontalIrradiance =</t>
  </si>
  <si>
    <t>, SunshineDuration =</t>
  </si>
  <si>
    <t>, DiffuseHorizontalIrradiance =</t>
  </si>
  <si>
    <t>, AmbientTemp =</t>
  </si>
  <si>
    <t>, WindSpeed =</t>
  </si>
  <si>
    <t>, SnowDepth =</t>
  </si>
  <si>
    <t>, Weight =</t>
  </si>
  <si>
    <t>, Age =</t>
  </si>
  <si>
    <t>, MeasuredPower =</t>
  </si>
  <si>
    <t>, HasMeasuredPower =</t>
  </si>
  <si>
    <t xml:space="preserve"> },</t>
  </si>
  <si>
    <t>{ Timestamp =</t>
  </si>
  <si>
    <t>Check</t>
  </si>
  <si>
    <t>Data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</si>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</sst>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10" xfId="0" applyBorder="1"/>
    <xf numFmtId="2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D83-CCE5-4B62-B536-4DF147BE6960}">
  <dimension ref="A1:Q1538"/>
  <sheetViews>
    <sheetView workbookViewId="0">
      <selection activeCell="L11" sqref="L1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0</v>
      </c>
      <c r="E2">
        <v>0</v>
      </c>
      <c r="F2" t="s">
        <v>20</v>
      </c>
      <c r="G2">
        <v>0</v>
      </c>
      <c r="H2">
        <v>0</v>
      </c>
      <c r="I2">
        <v>0</v>
      </c>
      <c r="J2">
        <v>0</v>
      </c>
      <c r="K2" t="s">
        <v>21</v>
      </c>
      <c r="L2" t="s">
        <v>22</v>
      </c>
      <c r="M2">
        <v>0</v>
      </c>
      <c r="N2">
        <v>0</v>
      </c>
      <c r="O2" s="1">
        <v>4203460744678460</v>
      </c>
      <c r="Q2" t="b">
        <v>0</v>
      </c>
    </row>
    <row r="3" spans="1:17" x14ac:dyDescent="0.35">
      <c r="A3" t="s">
        <v>23</v>
      </c>
      <c r="B3" t="s">
        <v>18</v>
      </c>
      <c r="C3" t="s">
        <v>24</v>
      </c>
      <c r="D3">
        <v>0</v>
      </c>
      <c r="E3">
        <v>0</v>
      </c>
      <c r="F3" t="s">
        <v>20</v>
      </c>
      <c r="G3">
        <v>0</v>
      </c>
      <c r="H3">
        <v>0</v>
      </c>
      <c r="I3">
        <v>0</v>
      </c>
      <c r="J3">
        <v>0</v>
      </c>
      <c r="K3" t="s">
        <v>25</v>
      </c>
      <c r="L3" t="s">
        <v>26</v>
      </c>
      <c r="M3">
        <v>0</v>
      </c>
      <c r="N3">
        <v>0</v>
      </c>
      <c r="O3" s="1">
        <v>4203489264566540</v>
      </c>
      <c r="Q3" t="b">
        <v>0</v>
      </c>
    </row>
    <row r="4" spans="1:17" x14ac:dyDescent="0.35">
      <c r="A4" t="s">
        <v>27</v>
      </c>
      <c r="B4" t="s">
        <v>18</v>
      </c>
      <c r="C4" t="s">
        <v>28</v>
      </c>
      <c r="D4">
        <v>0</v>
      </c>
      <c r="E4">
        <v>0</v>
      </c>
      <c r="F4" t="s">
        <v>20</v>
      </c>
      <c r="G4">
        <v>0</v>
      </c>
      <c r="H4">
        <v>0</v>
      </c>
      <c r="I4">
        <v>0</v>
      </c>
      <c r="J4">
        <v>0</v>
      </c>
      <c r="K4" t="s">
        <v>25</v>
      </c>
      <c r="L4" t="s">
        <v>26</v>
      </c>
      <c r="M4">
        <v>0</v>
      </c>
      <c r="N4">
        <v>0</v>
      </c>
      <c r="O4" s="1">
        <v>4203517784454620</v>
      </c>
      <c r="Q4" t="b">
        <v>0</v>
      </c>
    </row>
    <row r="5" spans="1:17" x14ac:dyDescent="0.35">
      <c r="A5" t="s">
        <v>29</v>
      </c>
      <c r="B5" t="s">
        <v>18</v>
      </c>
      <c r="C5" t="s">
        <v>30</v>
      </c>
      <c r="D5">
        <v>0</v>
      </c>
      <c r="E5">
        <v>0</v>
      </c>
      <c r="F5" t="s">
        <v>20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32</v>
      </c>
      <c r="M5">
        <v>0</v>
      </c>
      <c r="N5">
        <v>0</v>
      </c>
      <c r="O5" s="1">
        <v>4203546304342700</v>
      </c>
      <c r="Q5" t="b">
        <v>0</v>
      </c>
    </row>
    <row r="6" spans="1:17" x14ac:dyDescent="0.35">
      <c r="A6" t="s">
        <v>33</v>
      </c>
      <c r="B6" t="s">
        <v>18</v>
      </c>
      <c r="C6" t="s">
        <v>34</v>
      </c>
      <c r="D6">
        <v>0</v>
      </c>
      <c r="E6">
        <v>0</v>
      </c>
      <c r="F6" t="s">
        <v>20</v>
      </c>
      <c r="G6">
        <v>0</v>
      </c>
      <c r="H6">
        <v>0</v>
      </c>
      <c r="I6">
        <v>0</v>
      </c>
      <c r="J6">
        <v>0</v>
      </c>
      <c r="K6" t="s">
        <v>25</v>
      </c>
      <c r="L6" t="s">
        <v>26</v>
      </c>
      <c r="M6">
        <v>0</v>
      </c>
      <c r="N6">
        <v>0</v>
      </c>
      <c r="O6" s="1">
        <v>4203574824230780</v>
      </c>
      <c r="Q6" t="b">
        <v>0</v>
      </c>
    </row>
    <row r="7" spans="1:17" x14ac:dyDescent="0.35">
      <c r="A7" t="s">
        <v>35</v>
      </c>
      <c r="B7" t="s">
        <v>18</v>
      </c>
      <c r="C7" t="s">
        <v>36</v>
      </c>
      <c r="D7">
        <v>0</v>
      </c>
      <c r="E7">
        <v>0</v>
      </c>
      <c r="F7" t="s">
        <v>20</v>
      </c>
      <c r="G7">
        <v>0</v>
      </c>
      <c r="H7">
        <v>0</v>
      </c>
      <c r="I7">
        <v>0</v>
      </c>
      <c r="J7">
        <v>0</v>
      </c>
      <c r="K7" s="1">
        <v>1.2E+16</v>
      </c>
      <c r="L7" t="s">
        <v>37</v>
      </c>
      <c r="M7">
        <v>0</v>
      </c>
      <c r="N7">
        <v>0</v>
      </c>
      <c r="O7" s="1">
        <v>4.2036033441188704E+16</v>
      </c>
      <c r="Q7" t="b">
        <v>0</v>
      </c>
    </row>
    <row r="8" spans="1:17" x14ac:dyDescent="0.35">
      <c r="A8" t="s">
        <v>38</v>
      </c>
      <c r="B8" t="s">
        <v>18</v>
      </c>
      <c r="C8" t="s">
        <v>39</v>
      </c>
      <c r="D8">
        <v>0</v>
      </c>
      <c r="E8">
        <v>0</v>
      </c>
      <c r="F8" t="s">
        <v>20</v>
      </c>
      <c r="G8">
        <v>0</v>
      </c>
      <c r="H8">
        <v>0</v>
      </c>
      <c r="I8">
        <v>0</v>
      </c>
      <c r="J8">
        <v>0</v>
      </c>
      <c r="K8" t="s">
        <v>40</v>
      </c>
      <c r="L8" t="s">
        <v>41</v>
      </c>
      <c r="M8">
        <v>0</v>
      </c>
      <c r="N8">
        <v>0</v>
      </c>
      <c r="O8" s="1">
        <v>4203631864006950</v>
      </c>
      <c r="Q8" t="b">
        <v>0</v>
      </c>
    </row>
    <row r="9" spans="1:17" x14ac:dyDescent="0.35">
      <c r="A9" t="s">
        <v>42</v>
      </c>
      <c r="B9" t="s">
        <v>18</v>
      </c>
      <c r="C9" t="s">
        <v>43</v>
      </c>
      <c r="D9">
        <v>0</v>
      </c>
      <c r="E9">
        <v>0</v>
      </c>
      <c r="F9" t="s">
        <v>20</v>
      </c>
      <c r="G9">
        <v>0</v>
      </c>
      <c r="H9">
        <v>0</v>
      </c>
      <c r="I9">
        <v>0</v>
      </c>
      <c r="J9">
        <v>0</v>
      </c>
      <c r="K9" t="s">
        <v>40</v>
      </c>
      <c r="L9" t="s">
        <v>44</v>
      </c>
      <c r="M9">
        <v>0</v>
      </c>
      <c r="N9">
        <v>0</v>
      </c>
      <c r="O9" s="1">
        <v>4203660383895030</v>
      </c>
      <c r="Q9" t="b">
        <v>0</v>
      </c>
    </row>
    <row r="10" spans="1:17" x14ac:dyDescent="0.35">
      <c r="A10" t="s">
        <v>45</v>
      </c>
      <c r="B10" t="s">
        <v>18</v>
      </c>
      <c r="C10" t="s">
        <v>46</v>
      </c>
      <c r="D10">
        <v>0</v>
      </c>
      <c r="E10">
        <v>0</v>
      </c>
      <c r="F10" t="s">
        <v>20</v>
      </c>
      <c r="G10">
        <v>0</v>
      </c>
      <c r="H10">
        <v>0</v>
      </c>
      <c r="I10">
        <v>0</v>
      </c>
      <c r="J10">
        <v>0</v>
      </c>
      <c r="K10" t="s">
        <v>40</v>
      </c>
      <c r="L10" t="s">
        <v>44</v>
      </c>
      <c r="M10">
        <v>0</v>
      </c>
      <c r="N10">
        <v>0</v>
      </c>
      <c r="O10" s="1">
        <v>4203688903783110</v>
      </c>
      <c r="Q10" t="b">
        <v>0</v>
      </c>
    </row>
    <row r="11" spans="1:17" x14ac:dyDescent="0.35">
      <c r="A11" t="s">
        <v>47</v>
      </c>
      <c r="B11" t="s">
        <v>18</v>
      </c>
      <c r="C11" t="s">
        <v>48</v>
      </c>
      <c r="D11">
        <v>0</v>
      </c>
      <c r="E11">
        <v>0</v>
      </c>
      <c r="F11" t="s">
        <v>20</v>
      </c>
      <c r="G11">
        <v>0</v>
      </c>
      <c r="H11">
        <v>0</v>
      </c>
      <c r="I11">
        <v>0</v>
      </c>
      <c r="J11">
        <v>0</v>
      </c>
      <c r="K11" t="s">
        <v>40</v>
      </c>
      <c r="L11" s="1">
        <v>1.22399999999999E+16</v>
      </c>
      <c r="M11">
        <v>0</v>
      </c>
      <c r="N11">
        <v>0</v>
      </c>
      <c r="O11" s="1">
        <v>4203717423671190</v>
      </c>
      <c r="Q11" t="b">
        <v>0</v>
      </c>
    </row>
    <row r="12" spans="1:17" x14ac:dyDescent="0.35">
      <c r="A12" t="s">
        <v>49</v>
      </c>
      <c r="B12" t="s">
        <v>18</v>
      </c>
      <c r="C12" t="s">
        <v>50</v>
      </c>
      <c r="D12">
        <v>0</v>
      </c>
      <c r="E12">
        <v>0</v>
      </c>
      <c r="F12" t="s">
        <v>20</v>
      </c>
      <c r="G12">
        <v>0</v>
      </c>
      <c r="H12">
        <v>0</v>
      </c>
      <c r="I12">
        <v>0</v>
      </c>
      <c r="J12">
        <v>0</v>
      </c>
      <c r="K12" t="s">
        <v>51</v>
      </c>
      <c r="L12" t="s">
        <v>52</v>
      </c>
      <c r="M12">
        <v>0</v>
      </c>
      <c r="N12">
        <v>0</v>
      </c>
      <c r="O12" s="1">
        <v>4203745943559270</v>
      </c>
      <c r="Q12" t="b">
        <v>0</v>
      </c>
    </row>
    <row r="13" spans="1:17" x14ac:dyDescent="0.35">
      <c r="A13" t="s">
        <v>53</v>
      </c>
      <c r="B13" t="s">
        <v>18</v>
      </c>
      <c r="C13" t="s">
        <v>54</v>
      </c>
      <c r="D13">
        <v>0</v>
      </c>
      <c r="E13">
        <v>0</v>
      </c>
      <c r="F13" t="s">
        <v>20</v>
      </c>
      <c r="G13">
        <v>0</v>
      </c>
      <c r="H13">
        <v>0</v>
      </c>
      <c r="I13">
        <v>0</v>
      </c>
      <c r="J13">
        <v>0</v>
      </c>
      <c r="K13" t="s">
        <v>51</v>
      </c>
      <c r="L13" t="s">
        <v>52</v>
      </c>
      <c r="M13">
        <v>0</v>
      </c>
      <c r="N13">
        <v>0</v>
      </c>
      <c r="O13" s="1">
        <v>420377446344736</v>
      </c>
      <c r="Q13" t="b">
        <v>0</v>
      </c>
    </row>
    <row r="14" spans="1:17" x14ac:dyDescent="0.35">
      <c r="A14" t="s">
        <v>55</v>
      </c>
      <c r="B14" t="s">
        <v>18</v>
      </c>
      <c r="C14" t="s">
        <v>56</v>
      </c>
      <c r="D14">
        <v>0</v>
      </c>
      <c r="E14">
        <v>0</v>
      </c>
      <c r="F14" t="s">
        <v>20</v>
      </c>
      <c r="G14">
        <v>0</v>
      </c>
      <c r="H14">
        <v>0</v>
      </c>
      <c r="I14">
        <v>0</v>
      </c>
      <c r="J14">
        <v>0</v>
      </c>
      <c r="K14" t="s">
        <v>51</v>
      </c>
      <c r="L14" t="s">
        <v>57</v>
      </c>
      <c r="M14">
        <v>0</v>
      </c>
      <c r="N14">
        <v>0</v>
      </c>
      <c r="O14" s="1">
        <v>4203802983335440</v>
      </c>
      <c r="Q14" t="b">
        <v>0</v>
      </c>
    </row>
    <row r="15" spans="1:17" x14ac:dyDescent="0.35">
      <c r="A15" t="s">
        <v>58</v>
      </c>
      <c r="B15" t="s">
        <v>18</v>
      </c>
      <c r="C15" t="s">
        <v>59</v>
      </c>
      <c r="D15">
        <v>0</v>
      </c>
      <c r="E15">
        <v>0</v>
      </c>
      <c r="F15" t="s">
        <v>20</v>
      </c>
      <c r="G15">
        <v>0</v>
      </c>
      <c r="H15">
        <v>0</v>
      </c>
      <c r="I15">
        <v>0</v>
      </c>
      <c r="J15">
        <v>0</v>
      </c>
      <c r="K15" t="s">
        <v>40</v>
      </c>
      <c r="L15" t="s">
        <v>60</v>
      </c>
      <c r="M15">
        <v>0</v>
      </c>
      <c r="N15">
        <v>0</v>
      </c>
      <c r="O15" s="1">
        <v>4.20383150322352E+16</v>
      </c>
      <c r="Q15" t="b">
        <v>0</v>
      </c>
    </row>
    <row r="16" spans="1:17" x14ac:dyDescent="0.35">
      <c r="A16" t="s">
        <v>61</v>
      </c>
      <c r="B16" t="s">
        <v>18</v>
      </c>
      <c r="C16" t="s">
        <v>62</v>
      </c>
      <c r="D16">
        <v>0</v>
      </c>
      <c r="E16">
        <v>0</v>
      </c>
      <c r="F16" t="s">
        <v>20</v>
      </c>
      <c r="G16">
        <v>0</v>
      </c>
      <c r="H16">
        <v>0</v>
      </c>
      <c r="I16">
        <v>0</v>
      </c>
      <c r="J16">
        <v>0</v>
      </c>
      <c r="K16">
        <v>1</v>
      </c>
      <c r="L16" t="s">
        <v>63</v>
      </c>
      <c r="M16">
        <v>0</v>
      </c>
      <c r="N16">
        <v>0</v>
      </c>
      <c r="O16" s="1">
        <v>4203860023111600</v>
      </c>
      <c r="Q16" t="b">
        <v>0</v>
      </c>
    </row>
    <row r="17" spans="1:17" x14ac:dyDescent="0.35">
      <c r="A17" t="s">
        <v>64</v>
      </c>
      <c r="B17" t="s">
        <v>18</v>
      </c>
      <c r="C17" t="s">
        <v>65</v>
      </c>
      <c r="D17">
        <v>0</v>
      </c>
      <c r="E17">
        <v>0</v>
      </c>
      <c r="F17" t="s">
        <v>20</v>
      </c>
      <c r="G17">
        <v>0</v>
      </c>
      <c r="H17">
        <v>0</v>
      </c>
      <c r="I17">
        <v>0</v>
      </c>
      <c r="J17">
        <v>0</v>
      </c>
      <c r="K17" t="s">
        <v>66</v>
      </c>
      <c r="L17" t="s">
        <v>44</v>
      </c>
      <c r="M17">
        <v>0</v>
      </c>
      <c r="N17">
        <v>0</v>
      </c>
      <c r="O17" s="1">
        <v>4203888542999680</v>
      </c>
      <c r="Q17" t="b">
        <v>0</v>
      </c>
    </row>
    <row r="18" spans="1:17" x14ac:dyDescent="0.35">
      <c r="A18" t="s">
        <v>67</v>
      </c>
      <c r="B18" t="s">
        <v>18</v>
      </c>
      <c r="C18" t="s">
        <v>68</v>
      </c>
      <c r="D18">
        <v>0</v>
      </c>
      <c r="E18">
        <v>0</v>
      </c>
      <c r="F18" t="s">
        <v>20</v>
      </c>
      <c r="G18">
        <v>0</v>
      </c>
      <c r="H18">
        <v>0</v>
      </c>
      <c r="I18">
        <v>0</v>
      </c>
      <c r="J18">
        <v>0</v>
      </c>
      <c r="K18" t="s">
        <v>69</v>
      </c>
      <c r="L18" t="s">
        <v>70</v>
      </c>
      <c r="M18">
        <v>0</v>
      </c>
      <c r="N18">
        <v>0</v>
      </c>
      <c r="O18" s="1">
        <v>4203917062887760</v>
      </c>
      <c r="Q18" t="b">
        <v>0</v>
      </c>
    </row>
    <row r="19" spans="1:17" x14ac:dyDescent="0.35">
      <c r="A19" t="s">
        <v>71</v>
      </c>
      <c r="B19" t="s">
        <v>18</v>
      </c>
      <c r="C19" t="s">
        <v>72</v>
      </c>
      <c r="D19">
        <v>0</v>
      </c>
      <c r="E19">
        <v>0</v>
      </c>
      <c r="F19" t="s">
        <v>20</v>
      </c>
      <c r="G19">
        <v>0</v>
      </c>
      <c r="H19">
        <v>0</v>
      </c>
      <c r="I19">
        <v>0</v>
      </c>
      <c r="J19">
        <v>0</v>
      </c>
      <c r="K19" t="s">
        <v>73</v>
      </c>
      <c r="L19" s="1">
        <v>9540000000000000</v>
      </c>
      <c r="M19">
        <v>0</v>
      </c>
      <c r="N19">
        <v>0</v>
      </c>
      <c r="O19" s="1">
        <v>4203945582775840</v>
      </c>
      <c r="Q19" t="b">
        <v>0</v>
      </c>
    </row>
    <row r="20" spans="1:17" x14ac:dyDescent="0.35">
      <c r="A20" t="s">
        <v>74</v>
      </c>
      <c r="B20" t="s">
        <v>18</v>
      </c>
      <c r="C20" t="s">
        <v>75</v>
      </c>
      <c r="D20">
        <v>0</v>
      </c>
      <c r="E20">
        <v>0</v>
      </c>
      <c r="F20" t="s">
        <v>20</v>
      </c>
      <c r="G20">
        <v>0</v>
      </c>
      <c r="H20">
        <v>0</v>
      </c>
      <c r="I20">
        <v>0</v>
      </c>
      <c r="J20">
        <v>0</v>
      </c>
      <c r="K20" t="s">
        <v>73</v>
      </c>
      <c r="L20">
        <v>9</v>
      </c>
      <c r="M20">
        <v>0</v>
      </c>
      <c r="N20">
        <v>0</v>
      </c>
      <c r="O20" s="1">
        <v>420397410266393</v>
      </c>
      <c r="Q20" t="b">
        <v>0</v>
      </c>
    </row>
    <row r="21" spans="1:17" x14ac:dyDescent="0.35">
      <c r="A21" t="s">
        <v>76</v>
      </c>
      <c r="B21" t="s">
        <v>18</v>
      </c>
      <c r="C21" t="s">
        <v>77</v>
      </c>
      <c r="D21">
        <v>0</v>
      </c>
      <c r="E21">
        <v>0</v>
      </c>
      <c r="F21" t="s">
        <v>20</v>
      </c>
      <c r="G21">
        <v>0</v>
      </c>
      <c r="H21">
        <v>0</v>
      </c>
      <c r="I21">
        <v>0</v>
      </c>
      <c r="J21">
        <v>0</v>
      </c>
      <c r="K21" t="s">
        <v>78</v>
      </c>
      <c r="L21" s="1">
        <v>7920000000000000</v>
      </c>
      <c r="M21">
        <v>0</v>
      </c>
      <c r="N21">
        <v>0</v>
      </c>
      <c r="O21" s="1">
        <v>4204002622552010</v>
      </c>
      <c r="Q21" t="b">
        <v>0</v>
      </c>
    </row>
    <row r="22" spans="1:17" x14ac:dyDescent="0.35">
      <c r="A22" t="s">
        <v>79</v>
      </c>
      <c r="B22" t="s">
        <v>18</v>
      </c>
      <c r="C22" t="s">
        <v>80</v>
      </c>
      <c r="D22">
        <v>0</v>
      </c>
      <c r="E22">
        <v>0</v>
      </c>
      <c r="F22" t="s">
        <v>20</v>
      </c>
      <c r="G22">
        <v>0</v>
      </c>
      <c r="H22">
        <v>0</v>
      </c>
      <c r="I22">
        <v>0</v>
      </c>
      <c r="J22">
        <v>0</v>
      </c>
      <c r="K22" t="s">
        <v>81</v>
      </c>
      <c r="L22" t="s">
        <v>82</v>
      </c>
      <c r="M22">
        <v>0</v>
      </c>
      <c r="N22">
        <v>0</v>
      </c>
      <c r="O22" s="1">
        <v>4204031142440090</v>
      </c>
      <c r="Q22" t="b">
        <v>0</v>
      </c>
    </row>
    <row r="23" spans="1:17" x14ac:dyDescent="0.35">
      <c r="A23" t="s">
        <v>83</v>
      </c>
      <c r="B23" t="s">
        <v>18</v>
      </c>
      <c r="C23" t="s">
        <v>84</v>
      </c>
      <c r="D23">
        <v>0</v>
      </c>
      <c r="E23">
        <v>0</v>
      </c>
      <c r="F23" t="s">
        <v>20</v>
      </c>
      <c r="G23">
        <v>0</v>
      </c>
      <c r="H23">
        <v>0</v>
      </c>
      <c r="I23">
        <v>0</v>
      </c>
      <c r="J23">
        <v>0</v>
      </c>
      <c r="K23" t="s">
        <v>85</v>
      </c>
      <c r="L23" s="1">
        <v>5760000000000000</v>
      </c>
      <c r="M23">
        <v>0</v>
      </c>
      <c r="N23">
        <v>0</v>
      </c>
      <c r="O23" s="1">
        <v>4204059662328170</v>
      </c>
      <c r="Q23" t="b">
        <v>0</v>
      </c>
    </row>
    <row r="24" spans="1:17" x14ac:dyDescent="0.35">
      <c r="A24" t="s">
        <v>86</v>
      </c>
      <c r="B24" t="s">
        <v>18</v>
      </c>
      <c r="C24" t="s">
        <v>87</v>
      </c>
      <c r="D24">
        <v>0</v>
      </c>
      <c r="E24">
        <v>0</v>
      </c>
      <c r="F24" t="s">
        <v>20</v>
      </c>
      <c r="G24">
        <v>0</v>
      </c>
      <c r="H24">
        <v>0</v>
      </c>
      <c r="I24">
        <v>0</v>
      </c>
      <c r="J24">
        <v>0</v>
      </c>
      <c r="K24" t="s">
        <v>85</v>
      </c>
      <c r="L24" s="1">
        <v>5040000000000000</v>
      </c>
      <c r="M24">
        <v>0</v>
      </c>
      <c r="N24">
        <v>0</v>
      </c>
      <c r="O24" s="1">
        <v>4204088182216250</v>
      </c>
      <c r="Q24" t="b">
        <v>0</v>
      </c>
    </row>
    <row r="25" spans="1:17" x14ac:dyDescent="0.35">
      <c r="A25" t="s">
        <v>88</v>
      </c>
      <c r="B25" t="s">
        <v>18</v>
      </c>
      <c r="C25" t="s">
        <v>89</v>
      </c>
      <c r="D25">
        <v>0</v>
      </c>
      <c r="E25">
        <v>0</v>
      </c>
      <c r="F25" t="s">
        <v>20</v>
      </c>
      <c r="G25">
        <v>0</v>
      </c>
      <c r="H25">
        <v>0</v>
      </c>
      <c r="I25">
        <v>0</v>
      </c>
      <c r="J25">
        <v>0</v>
      </c>
      <c r="K25" t="s">
        <v>85</v>
      </c>
      <c r="L25" t="s">
        <v>90</v>
      </c>
      <c r="M25">
        <v>0</v>
      </c>
      <c r="N25">
        <v>0</v>
      </c>
      <c r="O25" s="1">
        <v>4204116702104330</v>
      </c>
      <c r="Q25" t="b">
        <v>0</v>
      </c>
    </row>
    <row r="26" spans="1:17" x14ac:dyDescent="0.35">
      <c r="A26" t="s">
        <v>91</v>
      </c>
      <c r="B26" t="s">
        <v>18</v>
      </c>
      <c r="C26" t="s">
        <v>92</v>
      </c>
      <c r="D26">
        <v>0</v>
      </c>
      <c r="E26">
        <v>0</v>
      </c>
      <c r="F26" t="s">
        <v>20</v>
      </c>
      <c r="G26">
        <v>0</v>
      </c>
      <c r="H26">
        <v>0</v>
      </c>
      <c r="I26">
        <v>0</v>
      </c>
      <c r="J26">
        <v>0</v>
      </c>
      <c r="K26" t="s">
        <v>93</v>
      </c>
      <c r="L26" s="1">
        <v>3.42E+16</v>
      </c>
      <c r="M26">
        <v>0</v>
      </c>
      <c r="N26">
        <v>0</v>
      </c>
      <c r="O26" s="1">
        <v>4.20414522199242E+16</v>
      </c>
      <c r="Q26" t="b">
        <v>0</v>
      </c>
    </row>
    <row r="27" spans="1:17" x14ac:dyDescent="0.35">
      <c r="A27" t="s">
        <v>94</v>
      </c>
      <c r="B27" t="s">
        <v>18</v>
      </c>
      <c r="C27" t="s">
        <v>95</v>
      </c>
      <c r="D27">
        <v>0</v>
      </c>
      <c r="E27">
        <v>0</v>
      </c>
      <c r="F27" t="s">
        <v>20</v>
      </c>
      <c r="G27">
        <v>0</v>
      </c>
      <c r="H27">
        <v>0</v>
      </c>
      <c r="I27">
        <v>0</v>
      </c>
      <c r="J27">
        <v>0</v>
      </c>
      <c r="K27" t="s">
        <v>96</v>
      </c>
      <c r="L27" t="s">
        <v>97</v>
      </c>
      <c r="M27">
        <v>0</v>
      </c>
      <c r="N27">
        <v>0</v>
      </c>
      <c r="O27" s="1">
        <v>4204173741880500</v>
      </c>
      <c r="Q27" t="b">
        <v>0</v>
      </c>
    </row>
    <row r="28" spans="1:17" x14ac:dyDescent="0.35">
      <c r="A28" t="s">
        <v>98</v>
      </c>
      <c r="B28" t="s">
        <v>18</v>
      </c>
      <c r="C28" t="s">
        <v>99</v>
      </c>
      <c r="D28">
        <v>0</v>
      </c>
      <c r="E28">
        <v>0</v>
      </c>
      <c r="F28" t="s">
        <v>20</v>
      </c>
      <c r="G28">
        <v>0</v>
      </c>
      <c r="H28">
        <v>0</v>
      </c>
      <c r="I28">
        <v>0</v>
      </c>
      <c r="J28">
        <v>0</v>
      </c>
      <c r="K28" t="s">
        <v>96</v>
      </c>
      <c r="L28" s="1">
        <v>2.88E+16</v>
      </c>
      <c r="M28">
        <v>0</v>
      </c>
      <c r="N28">
        <v>0</v>
      </c>
      <c r="O28" s="1">
        <v>4204202261768580</v>
      </c>
      <c r="Q28" t="b">
        <v>0</v>
      </c>
    </row>
    <row r="29" spans="1:17" x14ac:dyDescent="0.35">
      <c r="A29" t="s">
        <v>100</v>
      </c>
      <c r="B29" t="s">
        <v>18</v>
      </c>
      <c r="C29" t="s">
        <v>101</v>
      </c>
      <c r="D29">
        <v>0</v>
      </c>
      <c r="E29">
        <v>0</v>
      </c>
      <c r="F29" t="s">
        <v>20</v>
      </c>
      <c r="G29">
        <v>0</v>
      </c>
      <c r="H29">
        <v>0</v>
      </c>
      <c r="I29">
        <v>0</v>
      </c>
      <c r="J29">
        <v>0</v>
      </c>
      <c r="K29" t="s">
        <v>102</v>
      </c>
      <c r="L29" t="s">
        <v>103</v>
      </c>
      <c r="M29">
        <v>0</v>
      </c>
      <c r="N29">
        <v>0</v>
      </c>
      <c r="O29" s="1">
        <v>4204230781656660</v>
      </c>
      <c r="Q29" t="b">
        <v>0</v>
      </c>
    </row>
    <row r="30" spans="1:17" x14ac:dyDescent="0.35">
      <c r="A30" t="s">
        <v>104</v>
      </c>
      <c r="B30" t="s">
        <v>18</v>
      </c>
      <c r="C30" t="s">
        <v>105</v>
      </c>
      <c r="D30">
        <v>0</v>
      </c>
      <c r="E30">
        <v>0</v>
      </c>
      <c r="F30" t="s">
        <v>20</v>
      </c>
      <c r="G30">
        <v>0</v>
      </c>
      <c r="H30">
        <v>0</v>
      </c>
      <c r="I30">
        <v>0</v>
      </c>
      <c r="J30">
        <v>0</v>
      </c>
      <c r="K30" t="s">
        <v>102</v>
      </c>
      <c r="L30" t="s">
        <v>103</v>
      </c>
      <c r="M30">
        <v>0</v>
      </c>
      <c r="N30">
        <v>0</v>
      </c>
      <c r="O30" s="1">
        <v>4204259301544740</v>
      </c>
      <c r="Q30" t="b">
        <v>0</v>
      </c>
    </row>
    <row r="31" spans="1:17" x14ac:dyDescent="0.35">
      <c r="A31" t="s">
        <v>106</v>
      </c>
      <c r="B31" t="s">
        <v>18</v>
      </c>
      <c r="C31" t="s">
        <v>107</v>
      </c>
      <c r="D31">
        <v>0</v>
      </c>
      <c r="E31">
        <v>0</v>
      </c>
      <c r="F31" t="s">
        <v>20</v>
      </c>
      <c r="G31">
        <v>0</v>
      </c>
      <c r="H31">
        <v>0</v>
      </c>
      <c r="I31">
        <v>0</v>
      </c>
      <c r="J31">
        <v>0</v>
      </c>
      <c r="K31" t="s">
        <v>102</v>
      </c>
      <c r="L31" t="s">
        <v>108</v>
      </c>
      <c r="M31">
        <v>0</v>
      </c>
      <c r="N31">
        <v>0</v>
      </c>
      <c r="O31" s="1">
        <v>4204287821432820</v>
      </c>
      <c r="Q31" t="b">
        <v>0</v>
      </c>
    </row>
    <row r="32" spans="1:17" x14ac:dyDescent="0.35">
      <c r="A32" t="s">
        <v>109</v>
      </c>
      <c r="B32" t="s">
        <v>18</v>
      </c>
      <c r="C32" t="s">
        <v>110</v>
      </c>
      <c r="D32">
        <v>0</v>
      </c>
      <c r="E32">
        <v>0</v>
      </c>
      <c r="F32" t="s">
        <v>20</v>
      </c>
      <c r="G32">
        <v>0</v>
      </c>
      <c r="H32">
        <v>0</v>
      </c>
      <c r="I32">
        <v>0</v>
      </c>
      <c r="J32">
        <v>0</v>
      </c>
      <c r="K32" t="s">
        <v>111</v>
      </c>
      <c r="L32" t="s">
        <v>90</v>
      </c>
      <c r="M32">
        <v>0</v>
      </c>
      <c r="N32">
        <v>0</v>
      </c>
      <c r="O32" s="1">
        <v>420431634132091</v>
      </c>
      <c r="Q32" t="b">
        <v>0</v>
      </c>
    </row>
    <row r="33" spans="1:17" x14ac:dyDescent="0.35">
      <c r="A33" t="s">
        <v>112</v>
      </c>
      <c r="B33" t="s">
        <v>18</v>
      </c>
      <c r="C33" t="s">
        <v>113</v>
      </c>
      <c r="D33">
        <v>0</v>
      </c>
      <c r="E33">
        <v>0</v>
      </c>
      <c r="F33" t="s">
        <v>20</v>
      </c>
      <c r="G33">
        <v>0</v>
      </c>
      <c r="H33">
        <v>0</v>
      </c>
      <c r="I33">
        <v>0</v>
      </c>
      <c r="J33">
        <v>0</v>
      </c>
      <c r="K33" t="s">
        <v>102</v>
      </c>
      <c r="L33" s="1">
        <v>4680000000000000</v>
      </c>
      <c r="M33">
        <v>0</v>
      </c>
      <c r="N33">
        <v>0</v>
      </c>
      <c r="O33" s="1">
        <v>4204344861208990</v>
      </c>
      <c r="Q33" t="b">
        <v>0</v>
      </c>
    </row>
    <row r="34" spans="1:17" x14ac:dyDescent="0.35">
      <c r="A34" t="s">
        <v>114</v>
      </c>
      <c r="B34" t="s">
        <v>18</v>
      </c>
      <c r="C34" t="s">
        <v>115</v>
      </c>
      <c r="D34">
        <v>0</v>
      </c>
      <c r="E34">
        <v>0</v>
      </c>
      <c r="F34" t="s">
        <v>20</v>
      </c>
      <c r="G34">
        <v>0</v>
      </c>
      <c r="H34">
        <v>0</v>
      </c>
      <c r="I34">
        <v>0</v>
      </c>
      <c r="J34">
        <v>0</v>
      </c>
      <c r="K34" t="s">
        <v>102</v>
      </c>
      <c r="L34" t="s">
        <v>116</v>
      </c>
      <c r="M34">
        <v>0</v>
      </c>
      <c r="N34">
        <v>0</v>
      </c>
      <c r="O34" s="1">
        <v>4.2043733810970704E+16</v>
      </c>
      <c r="Q34" t="b">
        <v>0</v>
      </c>
    </row>
    <row r="35" spans="1:17" x14ac:dyDescent="0.35">
      <c r="A35" t="s">
        <v>117</v>
      </c>
      <c r="B35" t="s">
        <v>18</v>
      </c>
      <c r="C35" t="s">
        <v>118</v>
      </c>
      <c r="D35">
        <v>0</v>
      </c>
      <c r="E35">
        <v>0</v>
      </c>
      <c r="F35" t="s">
        <v>20</v>
      </c>
      <c r="G35">
        <v>0</v>
      </c>
      <c r="H35">
        <v>0</v>
      </c>
      <c r="I35">
        <v>0</v>
      </c>
      <c r="J35">
        <v>0</v>
      </c>
      <c r="K35" t="s">
        <v>102</v>
      </c>
      <c r="L35" t="s">
        <v>119</v>
      </c>
      <c r="M35">
        <v>0</v>
      </c>
      <c r="N35">
        <v>0</v>
      </c>
      <c r="O35" s="1">
        <v>4204401900985150</v>
      </c>
      <c r="Q35" t="b">
        <v>0</v>
      </c>
    </row>
    <row r="36" spans="1:17" x14ac:dyDescent="0.35">
      <c r="A36" t="s">
        <v>120</v>
      </c>
      <c r="B36" t="s">
        <v>18</v>
      </c>
      <c r="C36" t="s">
        <v>121</v>
      </c>
      <c r="D36">
        <v>0</v>
      </c>
      <c r="E36">
        <v>0</v>
      </c>
      <c r="F36" t="s">
        <v>20</v>
      </c>
      <c r="G36">
        <v>0</v>
      </c>
      <c r="H36">
        <v>0</v>
      </c>
      <c r="I36">
        <v>0</v>
      </c>
      <c r="J36">
        <v>0</v>
      </c>
      <c r="K36" t="s">
        <v>122</v>
      </c>
      <c r="L36" t="s">
        <v>123</v>
      </c>
      <c r="M36">
        <v>0</v>
      </c>
      <c r="N36">
        <v>0</v>
      </c>
      <c r="O36" s="1">
        <v>4204430420873230</v>
      </c>
      <c r="Q36" t="b">
        <v>0</v>
      </c>
    </row>
    <row r="37" spans="1:17" x14ac:dyDescent="0.35">
      <c r="A37" t="s">
        <v>124</v>
      </c>
      <c r="B37" t="s">
        <v>18</v>
      </c>
      <c r="C37" t="s">
        <v>125</v>
      </c>
      <c r="D37">
        <v>0</v>
      </c>
      <c r="E37">
        <v>0</v>
      </c>
      <c r="F37" t="s">
        <v>20</v>
      </c>
      <c r="G37">
        <v>0</v>
      </c>
      <c r="H37">
        <v>0</v>
      </c>
      <c r="I37">
        <v>0</v>
      </c>
      <c r="J37">
        <v>0</v>
      </c>
      <c r="K37" t="s">
        <v>122</v>
      </c>
      <c r="L37" s="1">
        <v>7200000000000000</v>
      </c>
      <c r="M37">
        <v>0</v>
      </c>
      <c r="N37">
        <v>0</v>
      </c>
      <c r="O37" s="1">
        <v>4.2044589407613104E+16</v>
      </c>
      <c r="Q37" t="b">
        <v>0</v>
      </c>
    </row>
    <row r="38" spans="1:17" x14ac:dyDescent="0.35">
      <c r="A38" t="s">
        <v>126</v>
      </c>
      <c r="B38" t="s">
        <v>18</v>
      </c>
      <c r="C38" t="s">
        <v>127</v>
      </c>
      <c r="D38">
        <v>0</v>
      </c>
      <c r="E38">
        <v>0</v>
      </c>
      <c r="F38" t="s">
        <v>20</v>
      </c>
      <c r="G38">
        <v>0</v>
      </c>
      <c r="H38">
        <v>0</v>
      </c>
      <c r="I38">
        <v>0</v>
      </c>
      <c r="J38">
        <v>0</v>
      </c>
      <c r="K38" t="s">
        <v>128</v>
      </c>
      <c r="L38" s="1">
        <v>7920000000000000</v>
      </c>
      <c r="M38">
        <v>0</v>
      </c>
      <c r="N38">
        <v>0</v>
      </c>
      <c r="O38" s="1">
        <v>4204487460649390</v>
      </c>
      <c r="Q38" t="b">
        <v>0</v>
      </c>
    </row>
    <row r="39" spans="1:17" x14ac:dyDescent="0.35">
      <c r="A39" t="s">
        <v>129</v>
      </c>
      <c r="B39" t="s">
        <v>18</v>
      </c>
      <c r="C39" t="s">
        <v>130</v>
      </c>
      <c r="D39">
        <v>0</v>
      </c>
      <c r="E39">
        <v>0</v>
      </c>
      <c r="F39" t="s">
        <v>20</v>
      </c>
      <c r="G39">
        <v>0</v>
      </c>
      <c r="H39">
        <v>0</v>
      </c>
      <c r="I39">
        <v>0</v>
      </c>
      <c r="J39">
        <v>0</v>
      </c>
      <c r="K39" t="s">
        <v>131</v>
      </c>
      <c r="L39" t="s">
        <v>132</v>
      </c>
      <c r="M39">
        <v>0</v>
      </c>
      <c r="N39">
        <v>0</v>
      </c>
      <c r="O39" s="1">
        <v>420451598053748</v>
      </c>
      <c r="Q39" t="b">
        <v>0</v>
      </c>
    </row>
    <row r="40" spans="1:17" x14ac:dyDescent="0.35">
      <c r="A40" t="s">
        <v>133</v>
      </c>
      <c r="B40" t="s">
        <v>18</v>
      </c>
      <c r="C40" t="s">
        <v>134</v>
      </c>
      <c r="D40">
        <v>0</v>
      </c>
      <c r="E40">
        <v>0</v>
      </c>
      <c r="F40" t="s">
        <v>20</v>
      </c>
      <c r="G40">
        <v>0</v>
      </c>
      <c r="H40">
        <v>0</v>
      </c>
      <c r="I40">
        <v>0</v>
      </c>
      <c r="J40">
        <v>0</v>
      </c>
      <c r="K40" t="s">
        <v>135</v>
      </c>
      <c r="L40" t="s">
        <v>132</v>
      </c>
      <c r="M40">
        <v>0</v>
      </c>
      <c r="N40">
        <v>0</v>
      </c>
      <c r="O40" s="1">
        <v>4204544500425560</v>
      </c>
      <c r="Q40" t="b">
        <v>0</v>
      </c>
    </row>
    <row r="41" spans="1:17" x14ac:dyDescent="0.35">
      <c r="A41" t="s">
        <v>136</v>
      </c>
      <c r="B41" t="s">
        <v>18</v>
      </c>
      <c r="C41" t="s">
        <v>137</v>
      </c>
      <c r="D41">
        <v>0</v>
      </c>
      <c r="E41">
        <v>0</v>
      </c>
      <c r="F41" t="s">
        <v>20</v>
      </c>
      <c r="G41">
        <v>0</v>
      </c>
      <c r="H41">
        <v>0</v>
      </c>
      <c r="I41">
        <v>0</v>
      </c>
      <c r="J41">
        <v>0</v>
      </c>
      <c r="K41" t="s">
        <v>138</v>
      </c>
      <c r="L41" t="s">
        <v>139</v>
      </c>
      <c r="M41">
        <v>0</v>
      </c>
      <c r="N41">
        <v>0</v>
      </c>
      <c r="O41" s="1">
        <v>4204573020313640</v>
      </c>
      <c r="Q41" t="b">
        <v>0</v>
      </c>
    </row>
    <row r="42" spans="1:17" x14ac:dyDescent="0.35">
      <c r="A42" t="s">
        <v>140</v>
      </c>
      <c r="B42" t="s">
        <v>18</v>
      </c>
      <c r="C42" t="s">
        <v>141</v>
      </c>
      <c r="D42">
        <v>0</v>
      </c>
      <c r="E42">
        <v>0</v>
      </c>
      <c r="F42" t="s">
        <v>20</v>
      </c>
      <c r="G42">
        <v>0</v>
      </c>
      <c r="H42">
        <v>0</v>
      </c>
      <c r="I42">
        <v>0</v>
      </c>
      <c r="J42">
        <v>0</v>
      </c>
      <c r="K42" t="s">
        <v>142</v>
      </c>
      <c r="L42">
        <v>9</v>
      </c>
      <c r="M42">
        <v>0</v>
      </c>
      <c r="N42">
        <v>0</v>
      </c>
      <c r="O42" s="1">
        <v>4204601540201720</v>
      </c>
      <c r="Q42" t="b">
        <v>0</v>
      </c>
    </row>
    <row r="43" spans="1:17" x14ac:dyDescent="0.35">
      <c r="A43" t="s">
        <v>143</v>
      </c>
      <c r="B43" t="s">
        <v>18</v>
      </c>
      <c r="C43" t="s">
        <v>144</v>
      </c>
      <c r="D43">
        <v>0</v>
      </c>
      <c r="E43">
        <v>0</v>
      </c>
      <c r="F43" t="s">
        <v>20</v>
      </c>
      <c r="G43">
        <v>0</v>
      </c>
      <c r="H43">
        <v>0</v>
      </c>
      <c r="I43">
        <v>0</v>
      </c>
      <c r="J43">
        <v>0</v>
      </c>
      <c r="K43" t="s">
        <v>142</v>
      </c>
      <c r="L43" s="1">
        <v>8100000000000000</v>
      </c>
      <c r="M43">
        <v>0</v>
      </c>
      <c r="N43">
        <v>0</v>
      </c>
      <c r="O43" s="1">
        <v>4204630060089800</v>
      </c>
      <c r="Q43" t="b">
        <v>0</v>
      </c>
    </row>
    <row r="44" spans="1:17" x14ac:dyDescent="0.35">
      <c r="A44" t="s">
        <v>145</v>
      </c>
      <c r="B44" t="s">
        <v>18</v>
      </c>
      <c r="C44" t="s">
        <v>146</v>
      </c>
      <c r="D44">
        <v>0</v>
      </c>
      <c r="E44">
        <v>0</v>
      </c>
      <c r="F44" t="s">
        <v>20</v>
      </c>
      <c r="G44">
        <v>0</v>
      </c>
      <c r="H44">
        <v>0</v>
      </c>
      <c r="I44">
        <v>0</v>
      </c>
      <c r="J44">
        <v>0</v>
      </c>
      <c r="K44" t="s">
        <v>147</v>
      </c>
      <c r="L44" t="s">
        <v>148</v>
      </c>
      <c r="M44">
        <v>0</v>
      </c>
      <c r="N44">
        <v>0</v>
      </c>
      <c r="O44" s="1">
        <v>4204658579977880</v>
      </c>
      <c r="Q44" t="b">
        <v>0</v>
      </c>
    </row>
    <row r="45" spans="1:17" x14ac:dyDescent="0.35">
      <c r="A45" t="s">
        <v>149</v>
      </c>
      <c r="B45" t="s">
        <v>18</v>
      </c>
      <c r="C45" t="s">
        <v>150</v>
      </c>
      <c r="D45">
        <v>0</v>
      </c>
      <c r="E45">
        <v>0</v>
      </c>
      <c r="F45" t="s">
        <v>20</v>
      </c>
      <c r="G45">
        <v>0</v>
      </c>
      <c r="H45">
        <v>0</v>
      </c>
      <c r="I45">
        <v>0</v>
      </c>
      <c r="J45">
        <v>0</v>
      </c>
      <c r="K45" t="s">
        <v>147</v>
      </c>
      <c r="L45" s="1">
        <v>7920000000000000</v>
      </c>
      <c r="M45">
        <v>0</v>
      </c>
      <c r="N45">
        <v>0</v>
      </c>
      <c r="O45" s="1">
        <v>420468709986597</v>
      </c>
      <c r="Q45" t="b">
        <v>0</v>
      </c>
    </row>
    <row r="46" spans="1:17" x14ac:dyDescent="0.35">
      <c r="A46" t="s">
        <v>151</v>
      </c>
      <c r="B46" t="s">
        <v>18</v>
      </c>
      <c r="C46" t="s">
        <v>152</v>
      </c>
      <c r="D46">
        <v>0</v>
      </c>
      <c r="E46">
        <v>0</v>
      </c>
      <c r="F46" t="s">
        <v>20</v>
      </c>
      <c r="G46">
        <v>0</v>
      </c>
      <c r="H46">
        <v>0</v>
      </c>
      <c r="I46">
        <v>0</v>
      </c>
      <c r="J46">
        <v>0</v>
      </c>
      <c r="K46" t="s">
        <v>153</v>
      </c>
      <c r="L46" s="1">
        <v>7380000000000000</v>
      </c>
      <c r="M46">
        <v>0</v>
      </c>
      <c r="N46">
        <v>0</v>
      </c>
      <c r="O46" s="1">
        <v>4204715619754050</v>
      </c>
      <c r="Q46" t="b">
        <v>0</v>
      </c>
    </row>
    <row r="47" spans="1:17" x14ac:dyDescent="0.35">
      <c r="A47" t="s">
        <v>154</v>
      </c>
      <c r="B47" t="s">
        <v>18</v>
      </c>
      <c r="C47" t="s">
        <v>155</v>
      </c>
      <c r="D47">
        <v>0</v>
      </c>
      <c r="E47">
        <v>0</v>
      </c>
      <c r="F47" t="s">
        <v>20</v>
      </c>
      <c r="G47">
        <v>0</v>
      </c>
      <c r="H47">
        <v>0</v>
      </c>
      <c r="I47">
        <v>0</v>
      </c>
      <c r="J47">
        <v>0</v>
      </c>
      <c r="K47" t="s">
        <v>156</v>
      </c>
      <c r="L47" s="1">
        <v>7200000000000000</v>
      </c>
      <c r="M47">
        <v>0</v>
      </c>
      <c r="N47">
        <v>0</v>
      </c>
      <c r="O47" s="1">
        <v>4204744139642130</v>
      </c>
      <c r="Q47" t="b">
        <v>0</v>
      </c>
    </row>
    <row r="48" spans="1:17" x14ac:dyDescent="0.35">
      <c r="A48" t="s">
        <v>157</v>
      </c>
      <c r="B48" t="s">
        <v>18</v>
      </c>
      <c r="C48" t="s">
        <v>158</v>
      </c>
      <c r="D48">
        <v>0</v>
      </c>
      <c r="E48">
        <v>0</v>
      </c>
      <c r="F48" t="s">
        <v>20</v>
      </c>
      <c r="G48">
        <v>0</v>
      </c>
      <c r="H48">
        <v>0</v>
      </c>
      <c r="I48">
        <v>0</v>
      </c>
      <c r="J48">
        <v>0</v>
      </c>
      <c r="K48" t="s">
        <v>159</v>
      </c>
      <c r="L48" t="s">
        <v>160</v>
      </c>
      <c r="M48">
        <v>0</v>
      </c>
      <c r="N48">
        <v>0</v>
      </c>
      <c r="O48" s="1">
        <v>4204772659530210</v>
      </c>
      <c r="Q48" t="b">
        <v>0</v>
      </c>
    </row>
    <row r="49" spans="1:17" x14ac:dyDescent="0.35">
      <c r="A49" t="s">
        <v>161</v>
      </c>
      <c r="B49" t="s">
        <v>18</v>
      </c>
      <c r="C49" t="s">
        <v>162</v>
      </c>
      <c r="D49">
        <v>0</v>
      </c>
      <c r="E49">
        <v>0</v>
      </c>
      <c r="F49" t="s">
        <v>20</v>
      </c>
      <c r="G49">
        <v>0</v>
      </c>
      <c r="H49">
        <v>0</v>
      </c>
      <c r="I49">
        <v>0</v>
      </c>
      <c r="J49">
        <v>0</v>
      </c>
      <c r="K49" t="s">
        <v>163</v>
      </c>
      <c r="L49" t="s">
        <v>164</v>
      </c>
      <c r="M49">
        <v>0</v>
      </c>
      <c r="N49">
        <v>0</v>
      </c>
      <c r="O49" s="1">
        <v>4204801179418290</v>
      </c>
      <c r="Q49" t="b">
        <v>0</v>
      </c>
    </row>
    <row r="50" spans="1:17" x14ac:dyDescent="0.35">
      <c r="A50" t="s">
        <v>165</v>
      </c>
      <c r="B50" t="s">
        <v>18</v>
      </c>
      <c r="C50" t="s">
        <v>166</v>
      </c>
      <c r="D50">
        <v>0</v>
      </c>
      <c r="E50">
        <v>0</v>
      </c>
      <c r="F50" t="s">
        <v>20</v>
      </c>
      <c r="G50">
        <v>0</v>
      </c>
      <c r="H50">
        <v>0</v>
      </c>
      <c r="I50">
        <v>0</v>
      </c>
      <c r="J50">
        <v>0</v>
      </c>
      <c r="K50" t="s">
        <v>167</v>
      </c>
      <c r="L50" t="s">
        <v>168</v>
      </c>
      <c r="M50">
        <v>0</v>
      </c>
      <c r="N50">
        <v>0</v>
      </c>
      <c r="O50" s="1">
        <v>4204829699306370</v>
      </c>
      <c r="Q50" t="b">
        <v>0</v>
      </c>
    </row>
    <row r="51" spans="1:17" x14ac:dyDescent="0.35">
      <c r="A51" t="s">
        <v>169</v>
      </c>
      <c r="B51" t="s">
        <v>18</v>
      </c>
      <c r="C51" t="s">
        <v>170</v>
      </c>
      <c r="D51">
        <v>0</v>
      </c>
      <c r="E51">
        <v>0</v>
      </c>
      <c r="F51" t="s">
        <v>20</v>
      </c>
      <c r="G51">
        <v>0</v>
      </c>
      <c r="H51">
        <v>0</v>
      </c>
      <c r="I51">
        <v>0</v>
      </c>
      <c r="J51">
        <v>0</v>
      </c>
      <c r="K51" t="s">
        <v>171</v>
      </c>
      <c r="L51" t="s">
        <v>168</v>
      </c>
      <c r="M51">
        <v>0</v>
      </c>
      <c r="N51">
        <v>0</v>
      </c>
      <c r="O51" s="1">
        <v>420485821919446</v>
      </c>
      <c r="Q51" t="b">
        <v>0</v>
      </c>
    </row>
    <row r="52" spans="1:17" x14ac:dyDescent="0.35">
      <c r="A52" t="s">
        <v>172</v>
      </c>
      <c r="B52" t="s">
        <v>18</v>
      </c>
      <c r="C52" t="s">
        <v>173</v>
      </c>
      <c r="D52">
        <v>0</v>
      </c>
      <c r="E52">
        <v>0</v>
      </c>
      <c r="F52" t="s">
        <v>20</v>
      </c>
      <c r="G52" t="s">
        <v>174</v>
      </c>
      <c r="H52">
        <v>0</v>
      </c>
      <c r="I52">
        <v>0</v>
      </c>
      <c r="J52">
        <v>0</v>
      </c>
      <c r="K52" t="s">
        <v>175</v>
      </c>
      <c r="L52" t="s">
        <v>176</v>
      </c>
      <c r="M52">
        <v>0</v>
      </c>
      <c r="N52">
        <v>0</v>
      </c>
      <c r="O52" s="1">
        <v>4204886739082540</v>
      </c>
      <c r="Q52" t="b">
        <v>0</v>
      </c>
    </row>
    <row r="53" spans="1:17" x14ac:dyDescent="0.35">
      <c r="A53" t="s">
        <v>177</v>
      </c>
      <c r="B53" t="s">
        <v>18</v>
      </c>
      <c r="C53" t="s">
        <v>178</v>
      </c>
      <c r="D53">
        <v>0</v>
      </c>
      <c r="E53" t="s">
        <v>179</v>
      </c>
      <c r="F53" t="s">
        <v>20</v>
      </c>
      <c r="G53" t="s">
        <v>180</v>
      </c>
      <c r="H53">
        <v>0</v>
      </c>
      <c r="I53">
        <v>0</v>
      </c>
      <c r="J53">
        <v>0</v>
      </c>
      <c r="K53" t="s">
        <v>175</v>
      </c>
      <c r="L53" s="1">
        <v>1.062E+16</v>
      </c>
      <c r="M53">
        <v>0</v>
      </c>
      <c r="N53">
        <v>0</v>
      </c>
      <c r="O53" s="1">
        <v>4.20491525897062E+16</v>
      </c>
      <c r="Q53" t="b">
        <v>0</v>
      </c>
    </row>
    <row r="54" spans="1:17" x14ac:dyDescent="0.35">
      <c r="A54" t="s">
        <v>181</v>
      </c>
      <c r="B54" t="s">
        <v>18</v>
      </c>
      <c r="C54" t="s">
        <v>182</v>
      </c>
      <c r="D54">
        <v>0</v>
      </c>
      <c r="E54" t="s">
        <v>183</v>
      </c>
      <c r="F54" t="s">
        <v>20</v>
      </c>
      <c r="G54" t="s">
        <v>184</v>
      </c>
      <c r="H54" s="1">
        <v>1.59999999999999E+16</v>
      </c>
      <c r="I54">
        <v>0</v>
      </c>
      <c r="J54" t="s">
        <v>185</v>
      </c>
      <c r="K54" t="s">
        <v>186</v>
      </c>
      <c r="L54" s="1">
        <v>1.062E+16</v>
      </c>
      <c r="M54">
        <v>0</v>
      </c>
      <c r="N54">
        <v>0</v>
      </c>
      <c r="O54" s="1">
        <v>4204943778858700</v>
      </c>
      <c r="Q54" t="b">
        <v>0</v>
      </c>
    </row>
    <row r="55" spans="1:17" x14ac:dyDescent="0.35">
      <c r="A55" t="s">
        <v>187</v>
      </c>
      <c r="B55" t="s">
        <v>18</v>
      </c>
      <c r="C55" t="s">
        <v>188</v>
      </c>
      <c r="D55">
        <v>0</v>
      </c>
      <c r="E55" t="s">
        <v>189</v>
      </c>
      <c r="F55" t="s">
        <v>20</v>
      </c>
      <c r="G55" t="s">
        <v>190</v>
      </c>
      <c r="H55" s="1">
        <v>1.57166666666666E+16</v>
      </c>
      <c r="I55">
        <v>0</v>
      </c>
      <c r="J55" t="s">
        <v>191</v>
      </c>
      <c r="K55" t="s">
        <v>186</v>
      </c>
      <c r="L55" t="s">
        <v>192</v>
      </c>
      <c r="M55">
        <v>0</v>
      </c>
      <c r="N55">
        <v>0</v>
      </c>
      <c r="O55" s="1">
        <v>4204972298746780</v>
      </c>
      <c r="Q55" t="b">
        <v>0</v>
      </c>
    </row>
    <row r="56" spans="1:17" x14ac:dyDescent="0.35">
      <c r="A56" t="s">
        <v>193</v>
      </c>
      <c r="B56" t="s">
        <v>18</v>
      </c>
      <c r="C56" t="s">
        <v>194</v>
      </c>
      <c r="D56">
        <v>0</v>
      </c>
      <c r="E56" t="s">
        <v>195</v>
      </c>
      <c r="F56" t="s">
        <v>20</v>
      </c>
      <c r="G56" t="s">
        <v>196</v>
      </c>
      <c r="H56" t="s">
        <v>197</v>
      </c>
      <c r="I56">
        <v>0</v>
      </c>
      <c r="J56" t="s">
        <v>198</v>
      </c>
      <c r="K56">
        <v>-1</v>
      </c>
      <c r="L56" t="s">
        <v>176</v>
      </c>
      <c r="M56">
        <v>0</v>
      </c>
      <c r="N56">
        <v>0</v>
      </c>
      <c r="O56" s="1">
        <v>4.20500081863486E+16</v>
      </c>
      <c r="Q56" t="b">
        <v>0</v>
      </c>
    </row>
    <row r="57" spans="1:17" x14ac:dyDescent="0.35">
      <c r="A57" t="s">
        <v>199</v>
      </c>
      <c r="B57" t="s">
        <v>18</v>
      </c>
      <c r="C57" t="s">
        <v>200</v>
      </c>
      <c r="D57">
        <v>0</v>
      </c>
      <c r="E57" t="s">
        <v>201</v>
      </c>
      <c r="F57" t="s">
        <v>20</v>
      </c>
      <c r="G57" t="s">
        <v>202</v>
      </c>
      <c r="H57" s="1">
        <v>7536666666666660</v>
      </c>
      <c r="I57">
        <v>0</v>
      </c>
      <c r="J57" t="s">
        <v>203</v>
      </c>
      <c r="K57" t="s">
        <v>204</v>
      </c>
      <c r="L57">
        <v>9</v>
      </c>
      <c r="M57">
        <v>0</v>
      </c>
      <c r="N57">
        <v>0</v>
      </c>
      <c r="O57" s="1">
        <v>4205029338522940</v>
      </c>
      <c r="Q57" t="b">
        <v>0</v>
      </c>
    </row>
    <row r="58" spans="1:17" x14ac:dyDescent="0.35">
      <c r="A58" t="s">
        <v>205</v>
      </c>
      <c r="B58" t="s">
        <v>18</v>
      </c>
      <c r="C58" t="s">
        <v>206</v>
      </c>
      <c r="D58">
        <v>0</v>
      </c>
      <c r="E58" t="s">
        <v>207</v>
      </c>
      <c r="F58" t="s">
        <v>20</v>
      </c>
      <c r="G58" t="s">
        <v>208</v>
      </c>
      <c r="H58" s="1">
        <v>1.13166666666666E+16</v>
      </c>
      <c r="I58">
        <v>0</v>
      </c>
      <c r="J58" t="s">
        <v>209</v>
      </c>
      <c r="K58" t="s">
        <v>171</v>
      </c>
      <c r="L58" t="s">
        <v>210</v>
      </c>
      <c r="M58">
        <v>0</v>
      </c>
      <c r="N58">
        <v>0</v>
      </c>
      <c r="O58" s="1">
        <v>420505785841103</v>
      </c>
      <c r="Q58" t="b">
        <v>0</v>
      </c>
    </row>
    <row r="59" spans="1:17" x14ac:dyDescent="0.35">
      <c r="A59" t="s">
        <v>211</v>
      </c>
      <c r="B59" t="s">
        <v>18</v>
      </c>
      <c r="C59" t="s">
        <v>212</v>
      </c>
      <c r="D59">
        <v>0</v>
      </c>
      <c r="E59" t="s">
        <v>213</v>
      </c>
      <c r="F59" t="s">
        <v>20</v>
      </c>
      <c r="G59" t="s">
        <v>214</v>
      </c>
      <c r="H59" s="1">
        <v>1.13966666666666E+16</v>
      </c>
      <c r="I59">
        <v>0</v>
      </c>
      <c r="J59">
        <v>68</v>
      </c>
      <c r="K59" t="s">
        <v>163</v>
      </c>
      <c r="L59" t="s">
        <v>215</v>
      </c>
      <c r="M59">
        <v>0</v>
      </c>
      <c r="N59">
        <v>0</v>
      </c>
      <c r="O59" s="1">
        <v>4205086378299110</v>
      </c>
      <c r="Q59" t="b">
        <v>0</v>
      </c>
    </row>
    <row r="60" spans="1:17" x14ac:dyDescent="0.35">
      <c r="A60" t="s">
        <v>216</v>
      </c>
      <c r="B60" t="s">
        <v>18</v>
      </c>
      <c r="C60" t="s">
        <v>217</v>
      </c>
      <c r="D60">
        <v>0</v>
      </c>
      <c r="E60" t="s">
        <v>218</v>
      </c>
      <c r="F60" t="s">
        <v>20</v>
      </c>
      <c r="G60" t="s">
        <v>219</v>
      </c>
      <c r="H60" s="1">
        <v>1.03916666666666E+16</v>
      </c>
      <c r="I60">
        <v>0</v>
      </c>
      <c r="J60" s="1">
        <v>8294999999999990</v>
      </c>
      <c r="K60" t="s">
        <v>220</v>
      </c>
      <c r="L60" t="s">
        <v>70</v>
      </c>
      <c r="M60">
        <v>0</v>
      </c>
      <c r="N60">
        <v>0</v>
      </c>
      <c r="O60" s="1">
        <v>4205114898187190</v>
      </c>
      <c r="Q60" t="b">
        <v>0</v>
      </c>
    </row>
    <row r="61" spans="1:17" x14ac:dyDescent="0.35">
      <c r="A61" t="s">
        <v>221</v>
      </c>
      <c r="B61" t="s">
        <v>18</v>
      </c>
      <c r="C61" t="s">
        <v>222</v>
      </c>
      <c r="D61">
        <v>0</v>
      </c>
      <c r="E61" t="s">
        <v>223</v>
      </c>
      <c r="F61" t="s">
        <v>20</v>
      </c>
      <c r="G61" t="s">
        <v>224</v>
      </c>
      <c r="H61" s="1">
        <v>8961666666666660</v>
      </c>
      <c r="I61">
        <v>0</v>
      </c>
      <c r="J61" t="s">
        <v>225</v>
      </c>
      <c r="K61" t="s">
        <v>226</v>
      </c>
      <c r="L61" s="1">
        <v>1.24199999999999E+16</v>
      </c>
      <c r="M61">
        <v>0</v>
      </c>
      <c r="N61">
        <v>0</v>
      </c>
      <c r="O61" s="1">
        <v>4205143418075270</v>
      </c>
      <c r="Q61" t="b">
        <v>0</v>
      </c>
    </row>
    <row r="62" spans="1:17" x14ac:dyDescent="0.35">
      <c r="A62" t="s">
        <v>227</v>
      </c>
      <c r="B62" t="s">
        <v>18</v>
      </c>
      <c r="C62" t="s">
        <v>228</v>
      </c>
      <c r="D62">
        <v>0</v>
      </c>
      <c r="E62" t="s">
        <v>229</v>
      </c>
      <c r="F62" t="s">
        <v>20</v>
      </c>
      <c r="G62" t="s">
        <v>230</v>
      </c>
      <c r="H62" s="1">
        <v>1.43733333333333E+16</v>
      </c>
      <c r="I62">
        <v>0</v>
      </c>
      <c r="J62" t="s">
        <v>231</v>
      </c>
      <c r="K62" t="s">
        <v>232</v>
      </c>
      <c r="L62" s="1">
        <v>1.18799999999999E+16</v>
      </c>
      <c r="M62">
        <v>0</v>
      </c>
      <c r="N62">
        <v>0</v>
      </c>
      <c r="O62" s="1">
        <v>4205171937963350</v>
      </c>
      <c r="Q62" t="b">
        <v>0</v>
      </c>
    </row>
    <row r="63" spans="1:17" x14ac:dyDescent="0.35">
      <c r="A63" t="s">
        <v>233</v>
      </c>
      <c r="B63" t="s">
        <v>18</v>
      </c>
      <c r="C63" t="s">
        <v>234</v>
      </c>
      <c r="D63">
        <v>0</v>
      </c>
      <c r="E63" t="s">
        <v>235</v>
      </c>
      <c r="F63" t="s">
        <v>20</v>
      </c>
      <c r="G63" t="s">
        <v>236</v>
      </c>
      <c r="H63" s="1">
        <v>2.03783333333333E+16</v>
      </c>
      <c r="I63">
        <v>0</v>
      </c>
      <c r="J63" t="s">
        <v>237</v>
      </c>
      <c r="K63" t="s">
        <v>238</v>
      </c>
      <c r="L63" s="1">
        <v>9360000000000000</v>
      </c>
      <c r="M63">
        <v>0</v>
      </c>
      <c r="N63">
        <v>0</v>
      </c>
      <c r="O63" s="1">
        <v>4205200457851430</v>
      </c>
      <c r="Q63" t="b">
        <v>0</v>
      </c>
    </row>
    <row r="64" spans="1:17" x14ac:dyDescent="0.35">
      <c r="A64" t="s">
        <v>239</v>
      </c>
      <c r="B64" t="s">
        <v>18</v>
      </c>
      <c r="C64" t="s">
        <v>240</v>
      </c>
      <c r="D64">
        <v>0</v>
      </c>
      <c r="E64" t="s">
        <v>241</v>
      </c>
      <c r="F64" t="s">
        <v>20</v>
      </c>
      <c r="G64" t="s">
        <v>242</v>
      </c>
      <c r="H64" s="1">
        <v>2.61316666666666E+16</v>
      </c>
      <c r="I64">
        <v>0</v>
      </c>
      <c r="J64" t="s">
        <v>243</v>
      </c>
      <c r="K64" t="s">
        <v>96</v>
      </c>
      <c r="L64" t="s">
        <v>244</v>
      </c>
      <c r="M64">
        <v>0</v>
      </c>
      <c r="N64">
        <v>0</v>
      </c>
      <c r="O64" s="1">
        <v>4.2052289777395104E+16</v>
      </c>
      <c r="Q64" t="b">
        <v>0</v>
      </c>
    </row>
    <row r="65" spans="1:17" x14ac:dyDescent="0.35">
      <c r="A65" t="s">
        <v>245</v>
      </c>
      <c r="B65" t="s">
        <v>18</v>
      </c>
      <c r="C65" t="s">
        <v>246</v>
      </c>
      <c r="D65">
        <v>0</v>
      </c>
      <c r="E65" t="s">
        <v>247</v>
      </c>
      <c r="F65" t="s">
        <v>20</v>
      </c>
      <c r="G65" t="s">
        <v>248</v>
      </c>
      <c r="H65" s="1">
        <v>2.11883333333333E+16</v>
      </c>
      <c r="I65">
        <v>0</v>
      </c>
      <c r="J65" t="s">
        <v>249</v>
      </c>
      <c r="K65" t="s">
        <v>250</v>
      </c>
      <c r="L65" s="1">
        <v>6300000000000000</v>
      </c>
      <c r="M65">
        <v>0</v>
      </c>
      <c r="N65">
        <v>0</v>
      </c>
      <c r="O65" s="1">
        <v>4205257497627600</v>
      </c>
      <c r="Q65" t="b">
        <v>0</v>
      </c>
    </row>
    <row r="66" spans="1:17" x14ac:dyDescent="0.35">
      <c r="A66" t="s">
        <v>251</v>
      </c>
      <c r="B66" t="s">
        <v>18</v>
      </c>
      <c r="C66" t="s">
        <v>252</v>
      </c>
      <c r="D66">
        <v>0</v>
      </c>
      <c r="E66" t="s">
        <v>253</v>
      </c>
      <c r="F66" t="s">
        <v>20</v>
      </c>
      <c r="G66" t="s">
        <v>254</v>
      </c>
      <c r="H66" t="s">
        <v>255</v>
      </c>
      <c r="I66">
        <v>0</v>
      </c>
      <c r="J66" t="s">
        <v>256</v>
      </c>
      <c r="K66" t="s">
        <v>257</v>
      </c>
      <c r="L66" t="s">
        <v>164</v>
      </c>
      <c r="M66">
        <v>0</v>
      </c>
      <c r="N66">
        <v>0</v>
      </c>
      <c r="O66" s="1">
        <v>4205286017515680</v>
      </c>
      <c r="Q66" t="b">
        <v>0</v>
      </c>
    </row>
    <row r="67" spans="1:17" x14ac:dyDescent="0.35">
      <c r="A67" t="s">
        <v>258</v>
      </c>
      <c r="B67" t="s">
        <v>18</v>
      </c>
      <c r="C67" t="s">
        <v>259</v>
      </c>
      <c r="D67">
        <v>0</v>
      </c>
      <c r="E67" t="s">
        <v>260</v>
      </c>
      <c r="F67" t="s">
        <v>20</v>
      </c>
      <c r="G67" t="s">
        <v>261</v>
      </c>
      <c r="H67" s="1">
        <v>2.46216666666666E+16</v>
      </c>
      <c r="I67">
        <v>0</v>
      </c>
      <c r="J67" t="s">
        <v>262</v>
      </c>
      <c r="K67" t="s">
        <v>263</v>
      </c>
      <c r="L67" t="s">
        <v>168</v>
      </c>
      <c r="M67">
        <v>0</v>
      </c>
      <c r="N67">
        <v>0</v>
      </c>
      <c r="O67" s="1">
        <v>4205314537403760</v>
      </c>
      <c r="Q67" t="b">
        <v>0</v>
      </c>
    </row>
    <row r="68" spans="1:17" x14ac:dyDescent="0.35">
      <c r="A68" t="s">
        <v>264</v>
      </c>
      <c r="B68" t="s">
        <v>18</v>
      </c>
      <c r="C68" t="s">
        <v>265</v>
      </c>
      <c r="D68">
        <v>0</v>
      </c>
      <c r="E68" t="s">
        <v>266</v>
      </c>
      <c r="F68" t="s">
        <v>20</v>
      </c>
      <c r="G68" t="s">
        <v>267</v>
      </c>
      <c r="H68" s="1">
        <v>1.95933333333333E+16</v>
      </c>
      <c r="I68">
        <v>0</v>
      </c>
      <c r="J68" t="s">
        <v>268</v>
      </c>
      <c r="K68" t="s">
        <v>21</v>
      </c>
      <c r="L68" t="s">
        <v>269</v>
      </c>
      <c r="M68">
        <v>0</v>
      </c>
      <c r="N68">
        <v>0</v>
      </c>
      <c r="O68" s="1">
        <v>4205343057291840</v>
      </c>
      <c r="Q68" t="b">
        <v>0</v>
      </c>
    </row>
    <row r="69" spans="1:17" x14ac:dyDescent="0.35">
      <c r="A69" t="s">
        <v>270</v>
      </c>
      <c r="B69" t="s">
        <v>18</v>
      </c>
      <c r="C69" t="s">
        <v>271</v>
      </c>
      <c r="D69">
        <v>0</v>
      </c>
      <c r="E69" t="s">
        <v>272</v>
      </c>
      <c r="F69" t="s">
        <v>20</v>
      </c>
      <c r="G69" t="s">
        <v>273</v>
      </c>
      <c r="H69" s="1">
        <v>1.42916666666666E+16</v>
      </c>
      <c r="I69">
        <v>0</v>
      </c>
      <c r="J69" s="1">
        <v>1.35649999999999E+16</v>
      </c>
      <c r="K69" t="s">
        <v>274</v>
      </c>
      <c r="L69" s="1">
        <v>6840000000000000</v>
      </c>
      <c r="M69">
        <v>0</v>
      </c>
      <c r="N69">
        <v>0</v>
      </c>
      <c r="O69" s="1">
        <v>4205371577179920</v>
      </c>
      <c r="Q69" t="b">
        <v>0</v>
      </c>
    </row>
    <row r="70" spans="1:17" x14ac:dyDescent="0.35">
      <c r="A70" t="s">
        <v>275</v>
      </c>
      <c r="B70" t="s">
        <v>18</v>
      </c>
      <c r="C70" t="s">
        <v>276</v>
      </c>
      <c r="D70">
        <v>0</v>
      </c>
      <c r="E70" t="s">
        <v>277</v>
      </c>
      <c r="F70" t="s">
        <v>20</v>
      </c>
      <c r="G70" t="s">
        <v>278</v>
      </c>
      <c r="H70" s="1">
        <v>1.82033333333333E+16</v>
      </c>
      <c r="I70">
        <v>0</v>
      </c>
      <c r="J70" t="s">
        <v>279</v>
      </c>
      <c r="K70" t="s">
        <v>280</v>
      </c>
      <c r="L70" t="s">
        <v>119</v>
      </c>
      <c r="M70">
        <v>0</v>
      </c>
      <c r="N70">
        <v>0</v>
      </c>
      <c r="O70" s="1">
        <v>4205400097068000</v>
      </c>
      <c r="Q70" t="b">
        <v>0</v>
      </c>
    </row>
    <row r="71" spans="1:17" x14ac:dyDescent="0.35">
      <c r="A71" t="s">
        <v>281</v>
      </c>
      <c r="B71" t="s">
        <v>18</v>
      </c>
      <c r="C71" t="s">
        <v>282</v>
      </c>
      <c r="D71">
        <v>0</v>
      </c>
      <c r="E71" t="s">
        <v>283</v>
      </c>
      <c r="F71" t="s">
        <v>20</v>
      </c>
      <c r="G71" t="s">
        <v>284</v>
      </c>
      <c r="H71" s="1">
        <v>1.84333333333333E+16</v>
      </c>
      <c r="I71">
        <v>0</v>
      </c>
      <c r="J71" t="s">
        <v>285</v>
      </c>
      <c r="K71" t="s">
        <v>286</v>
      </c>
      <c r="L71" t="s">
        <v>287</v>
      </c>
      <c r="M71">
        <v>0</v>
      </c>
      <c r="N71">
        <v>0</v>
      </c>
      <c r="O71" s="1">
        <v>4205428616956090</v>
      </c>
      <c r="Q71" t="b">
        <v>0</v>
      </c>
    </row>
    <row r="72" spans="1:17" x14ac:dyDescent="0.35">
      <c r="A72" t="s">
        <v>288</v>
      </c>
      <c r="B72" t="s">
        <v>18</v>
      </c>
      <c r="C72" t="s">
        <v>289</v>
      </c>
      <c r="D72">
        <v>0</v>
      </c>
      <c r="E72" t="s">
        <v>290</v>
      </c>
      <c r="F72" t="s">
        <v>20</v>
      </c>
      <c r="G72" t="s">
        <v>291</v>
      </c>
      <c r="H72" s="1">
        <v>2.42149999999999E+16</v>
      </c>
      <c r="I72">
        <v>0</v>
      </c>
      <c r="J72" t="s">
        <v>292</v>
      </c>
      <c r="K72" t="s">
        <v>293</v>
      </c>
      <c r="L72" s="1">
        <v>5220000000000000</v>
      </c>
      <c r="M72">
        <v>0</v>
      </c>
      <c r="N72">
        <v>0</v>
      </c>
      <c r="O72" s="1">
        <v>4205457136844170</v>
      </c>
      <c r="Q72" t="b">
        <v>0</v>
      </c>
    </row>
    <row r="73" spans="1:17" x14ac:dyDescent="0.35">
      <c r="A73" t="s">
        <v>294</v>
      </c>
      <c r="B73" t="s">
        <v>18</v>
      </c>
      <c r="C73" t="s">
        <v>295</v>
      </c>
      <c r="D73">
        <v>0</v>
      </c>
      <c r="E73" t="s">
        <v>296</v>
      </c>
      <c r="F73" t="s">
        <v>20</v>
      </c>
      <c r="G73" t="s">
        <v>297</v>
      </c>
      <c r="H73" s="1">
        <v>1.68616666666666E+16</v>
      </c>
      <c r="I73">
        <v>0</v>
      </c>
      <c r="J73" t="s">
        <v>298</v>
      </c>
      <c r="K73" t="s">
        <v>299</v>
      </c>
      <c r="L73" t="s">
        <v>82</v>
      </c>
      <c r="M73">
        <v>0</v>
      </c>
      <c r="N73">
        <v>0</v>
      </c>
      <c r="O73" s="1">
        <v>4205485656732250</v>
      </c>
      <c r="Q73" t="b">
        <v>0</v>
      </c>
    </row>
    <row r="74" spans="1:17" x14ac:dyDescent="0.35">
      <c r="A74" t="s">
        <v>300</v>
      </c>
      <c r="B74" t="s">
        <v>18</v>
      </c>
      <c r="C74" t="s">
        <v>301</v>
      </c>
      <c r="D74">
        <v>0</v>
      </c>
      <c r="E74" t="s">
        <v>302</v>
      </c>
      <c r="F74" t="s">
        <v>20</v>
      </c>
      <c r="G74" t="s">
        <v>303</v>
      </c>
      <c r="H74" s="1">
        <v>1.08183333333333E+16</v>
      </c>
      <c r="I74">
        <v>0</v>
      </c>
      <c r="J74" t="s">
        <v>304</v>
      </c>
      <c r="K74" t="s">
        <v>305</v>
      </c>
      <c r="L74" t="s">
        <v>306</v>
      </c>
      <c r="M74">
        <v>0</v>
      </c>
      <c r="N74">
        <v>0</v>
      </c>
      <c r="O74" s="1">
        <v>4205514176620330</v>
      </c>
      <c r="Q74" t="b">
        <v>0</v>
      </c>
    </row>
    <row r="75" spans="1:17" x14ac:dyDescent="0.35">
      <c r="A75" t="s">
        <v>307</v>
      </c>
      <c r="B75" t="s">
        <v>18</v>
      </c>
      <c r="C75" t="s">
        <v>308</v>
      </c>
      <c r="D75">
        <v>0</v>
      </c>
      <c r="E75" t="s">
        <v>309</v>
      </c>
      <c r="F75" t="s">
        <v>20</v>
      </c>
      <c r="G75" t="s">
        <v>310</v>
      </c>
      <c r="H75" s="1">
        <v>1.21233333333333E+16</v>
      </c>
      <c r="I75">
        <v>0</v>
      </c>
      <c r="J75" t="s">
        <v>311</v>
      </c>
      <c r="K75" t="s">
        <v>312</v>
      </c>
      <c r="L75" t="s">
        <v>306</v>
      </c>
      <c r="M75">
        <v>0</v>
      </c>
      <c r="N75">
        <v>0</v>
      </c>
      <c r="O75" s="1">
        <v>4205542696508410</v>
      </c>
      <c r="Q75" t="b">
        <v>0</v>
      </c>
    </row>
    <row r="76" spans="1:17" x14ac:dyDescent="0.35">
      <c r="A76" t="s">
        <v>313</v>
      </c>
      <c r="B76" t="s">
        <v>18</v>
      </c>
      <c r="C76" t="s">
        <v>314</v>
      </c>
      <c r="D76">
        <v>0</v>
      </c>
      <c r="E76" t="s">
        <v>315</v>
      </c>
      <c r="F76" t="s">
        <v>20</v>
      </c>
      <c r="G76" t="s">
        <v>316</v>
      </c>
      <c r="H76" s="1">
        <v>1.18333333333333E+16</v>
      </c>
      <c r="I76">
        <v>0</v>
      </c>
      <c r="J76" t="s">
        <v>317</v>
      </c>
      <c r="K76" t="s">
        <v>312</v>
      </c>
      <c r="L76" s="1">
        <v>7.02E+16</v>
      </c>
      <c r="M76">
        <v>0</v>
      </c>
      <c r="N76">
        <v>0</v>
      </c>
      <c r="O76" s="1">
        <v>4205571216396490</v>
      </c>
      <c r="Q76" t="b">
        <v>0</v>
      </c>
    </row>
    <row r="77" spans="1:17" x14ac:dyDescent="0.35">
      <c r="A77" t="s">
        <v>318</v>
      </c>
      <c r="B77" t="s">
        <v>18</v>
      </c>
      <c r="C77" t="s">
        <v>319</v>
      </c>
      <c r="D77">
        <v>0</v>
      </c>
      <c r="E77" t="s">
        <v>320</v>
      </c>
      <c r="F77" t="s">
        <v>20</v>
      </c>
      <c r="G77" t="s">
        <v>321</v>
      </c>
      <c r="H77" t="s">
        <v>322</v>
      </c>
      <c r="I77">
        <v>0</v>
      </c>
      <c r="J77" t="s">
        <v>323</v>
      </c>
      <c r="K77" t="s">
        <v>324</v>
      </c>
      <c r="L77" s="1">
        <v>6120000000000000</v>
      </c>
      <c r="M77">
        <v>0</v>
      </c>
      <c r="N77">
        <v>0</v>
      </c>
      <c r="O77" s="1">
        <v>420559973628458</v>
      </c>
      <c r="Q77" t="b">
        <v>0</v>
      </c>
    </row>
    <row r="78" spans="1:17" x14ac:dyDescent="0.35">
      <c r="A78" t="s">
        <v>325</v>
      </c>
      <c r="B78" t="s">
        <v>18</v>
      </c>
      <c r="C78" t="s">
        <v>326</v>
      </c>
      <c r="D78">
        <v>0</v>
      </c>
      <c r="E78" t="s">
        <v>327</v>
      </c>
      <c r="F78" t="s">
        <v>20</v>
      </c>
      <c r="G78" t="s">
        <v>328</v>
      </c>
      <c r="H78" s="1">
        <v>1.16366666666666E+16</v>
      </c>
      <c r="I78">
        <v>0</v>
      </c>
      <c r="J78">
        <v>102</v>
      </c>
      <c r="K78" t="s">
        <v>329</v>
      </c>
      <c r="L78" t="s">
        <v>123</v>
      </c>
      <c r="M78">
        <v>0</v>
      </c>
      <c r="N78">
        <v>0</v>
      </c>
      <c r="O78" s="1">
        <v>4205628256172660</v>
      </c>
      <c r="Q78" t="b">
        <v>0</v>
      </c>
    </row>
    <row r="79" spans="1:17" x14ac:dyDescent="0.35">
      <c r="A79" t="s">
        <v>330</v>
      </c>
      <c r="B79" t="s">
        <v>18</v>
      </c>
      <c r="C79" t="s">
        <v>331</v>
      </c>
      <c r="D79">
        <v>0</v>
      </c>
      <c r="E79" t="s">
        <v>332</v>
      </c>
      <c r="F79" t="s">
        <v>20</v>
      </c>
      <c r="G79" t="s">
        <v>333</v>
      </c>
      <c r="H79" s="1">
        <v>9618333333333330</v>
      </c>
      <c r="I79">
        <v>0</v>
      </c>
      <c r="J79" t="s">
        <v>334</v>
      </c>
      <c r="K79" t="s">
        <v>329</v>
      </c>
      <c r="L79" t="s">
        <v>244</v>
      </c>
      <c r="M79">
        <v>0</v>
      </c>
      <c r="N79">
        <v>0</v>
      </c>
      <c r="O79" s="1">
        <v>4205656776060740</v>
      </c>
      <c r="Q79" t="b">
        <v>0</v>
      </c>
    </row>
    <row r="80" spans="1:17" x14ac:dyDescent="0.35">
      <c r="A80" t="s">
        <v>335</v>
      </c>
      <c r="B80" t="s">
        <v>18</v>
      </c>
      <c r="C80" t="s">
        <v>336</v>
      </c>
      <c r="D80">
        <v>0</v>
      </c>
      <c r="E80" t="s">
        <v>337</v>
      </c>
      <c r="F80" t="s">
        <v>20</v>
      </c>
      <c r="G80" t="s">
        <v>338</v>
      </c>
      <c r="H80">
        <v>103</v>
      </c>
      <c r="I80">
        <v>0</v>
      </c>
      <c r="J80" t="s">
        <v>339</v>
      </c>
      <c r="K80" t="s">
        <v>340</v>
      </c>
      <c r="L80" s="1">
        <v>7.56E+16</v>
      </c>
      <c r="M80">
        <v>0</v>
      </c>
      <c r="N80">
        <v>0</v>
      </c>
      <c r="O80" s="1">
        <v>4.20568529594882E+16</v>
      </c>
      <c r="Q80" t="b">
        <v>0</v>
      </c>
    </row>
    <row r="81" spans="1:17" x14ac:dyDescent="0.35">
      <c r="A81" t="s">
        <v>341</v>
      </c>
      <c r="B81" t="s">
        <v>18</v>
      </c>
      <c r="C81" t="s">
        <v>342</v>
      </c>
      <c r="D81">
        <v>0</v>
      </c>
      <c r="E81" t="s">
        <v>343</v>
      </c>
      <c r="F81" t="s">
        <v>20</v>
      </c>
      <c r="G81" t="s">
        <v>344</v>
      </c>
      <c r="H81" t="s">
        <v>345</v>
      </c>
      <c r="I81">
        <v>0</v>
      </c>
      <c r="J81" t="s">
        <v>346</v>
      </c>
      <c r="K81" t="s">
        <v>340</v>
      </c>
      <c r="L81" t="s">
        <v>168</v>
      </c>
      <c r="M81">
        <v>0</v>
      </c>
      <c r="N81">
        <v>0</v>
      </c>
      <c r="O81" s="1">
        <v>4205713815836900</v>
      </c>
      <c r="Q81" t="b">
        <v>0</v>
      </c>
    </row>
    <row r="82" spans="1:17" x14ac:dyDescent="0.35">
      <c r="A82" t="s">
        <v>347</v>
      </c>
      <c r="B82" t="s">
        <v>18</v>
      </c>
      <c r="C82" t="s">
        <v>348</v>
      </c>
      <c r="D82">
        <v>0</v>
      </c>
      <c r="E82" t="s">
        <v>349</v>
      </c>
      <c r="F82" t="s">
        <v>20</v>
      </c>
      <c r="G82" t="s">
        <v>350</v>
      </c>
      <c r="H82" t="s">
        <v>351</v>
      </c>
      <c r="I82">
        <v>0</v>
      </c>
      <c r="J82" t="s">
        <v>352</v>
      </c>
      <c r="K82" t="s">
        <v>340</v>
      </c>
      <c r="L82" s="1">
        <v>9719999999999990</v>
      </c>
      <c r="M82">
        <v>0</v>
      </c>
      <c r="N82">
        <v>0</v>
      </c>
      <c r="O82" s="1">
        <v>4205742335724980</v>
      </c>
      <c r="Q82" t="b">
        <v>0</v>
      </c>
    </row>
    <row r="83" spans="1:17" x14ac:dyDescent="0.35">
      <c r="A83" t="s">
        <v>353</v>
      </c>
      <c r="B83" t="s">
        <v>18</v>
      </c>
      <c r="C83" t="s">
        <v>354</v>
      </c>
      <c r="D83">
        <v>0</v>
      </c>
      <c r="E83" t="s">
        <v>355</v>
      </c>
      <c r="F83" t="s">
        <v>20</v>
      </c>
      <c r="G83" t="s">
        <v>356</v>
      </c>
      <c r="H83" s="1">
        <v>6633333333333330</v>
      </c>
      <c r="I83">
        <v>0</v>
      </c>
      <c r="J83" t="s">
        <v>357</v>
      </c>
      <c r="K83" t="s">
        <v>329</v>
      </c>
      <c r="L83" s="1">
        <v>9719999999999990</v>
      </c>
      <c r="M83">
        <v>0</v>
      </c>
      <c r="N83">
        <v>0</v>
      </c>
      <c r="O83" s="1">
        <v>4.20577085561306E+16</v>
      </c>
      <c r="Q83" t="b">
        <v>0</v>
      </c>
    </row>
    <row r="84" spans="1:17" x14ac:dyDescent="0.35">
      <c r="A84" t="s">
        <v>358</v>
      </c>
      <c r="B84" t="s">
        <v>18</v>
      </c>
      <c r="C84" t="s">
        <v>359</v>
      </c>
      <c r="D84">
        <v>0</v>
      </c>
      <c r="E84">
        <v>0</v>
      </c>
      <c r="F84" t="s">
        <v>20</v>
      </c>
      <c r="G84" t="s">
        <v>360</v>
      </c>
      <c r="H84" s="1">
        <v>6086666666666660</v>
      </c>
      <c r="I84">
        <v>0</v>
      </c>
      <c r="J84" t="s">
        <v>361</v>
      </c>
      <c r="K84" s="1">
        <v>2.84999999999999E+16</v>
      </c>
      <c r="L84">
        <v>9</v>
      </c>
      <c r="M84">
        <v>0</v>
      </c>
      <c r="N84">
        <v>0</v>
      </c>
      <c r="O84" s="1">
        <v>4205799375501150</v>
      </c>
      <c r="Q84" t="b">
        <v>0</v>
      </c>
    </row>
    <row r="85" spans="1:17" x14ac:dyDescent="0.35">
      <c r="A85" t="s">
        <v>362</v>
      </c>
      <c r="B85" t="s">
        <v>18</v>
      </c>
      <c r="C85" t="s">
        <v>363</v>
      </c>
      <c r="D85">
        <v>0</v>
      </c>
      <c r="E85">
        <v>0</v>
      </c>
      <c r="F85" t="s">
        <v>20</v>
      </c>
      <c r="G85" t="s">
        <v>364</v>
      </c>
      <c r="H85" s="1">
        <v>5403333333333330</v>
      </c>
      <c r="I85">
        <v>0</v>
      </c>
      <c r="J85" t="s">
        <v>365</v>
      </c>
      <c r="K85" t="s">
        <v>312</v>
      </c>
      <c r="L85" t="s">
        <v>132</v>
      </c>
      <c r="M85">
        <v>0</v>
      </c>
      <c r="N85">
        <v>0</v>
      </c>
      <c r="O85" s="1">
        <v>4205827895389230</v>
      </c>
      <c r="Q85" t="b">
        <v>0</v>
      </c>
    </row>
    <row r="86" spans="1:17" x14ac:dyDescent="0.35">
      <c r="A86" t="s">
        <v>366</v>
      </c>
      <c r="B86" t="s">
        <v>18</v>
      </c>
      <c r="C86" t="s">
        <v>367</v>
      </c>
      <c r="D86">
        <v>0</v>
      </c>
      <c r="E86">
        <v>0</v>
      </c>
      <c r="F86" t="s">
        <v>20</v>
      </c>
      <c r="G86" t="s">
        <v>368</v>
      </c>
      <c r="H86" s="1">
        <v>2853333333333330</v>
      </c>
      <c r="I86">
        <v>0</v>
      </c>
      <c r="J86" t="s">
        <v>369</v>
      </c>
      <c r="K86" s="1">
        <v>2.65E+16</v>
      </c>
      <c r="L86" t="s">
        <v>164</v>
      </c>
      <c r="M86">
        <v>0</v>
      </c>
      <c r="N86">
        <v>0</v>
      </c>
      <c r="O86" s="1">
        <v>4205856415277310</v>
      </c>
      <c r="Q86" t="b">
        <v>0</v>
      </c>
    </row>
    <row r="87" spans="1:17" x14ac:dyDescent="0.35">
      <c r="A87" t="s">
        <v>370</v>
      </c>
      <c r="B87" t="s">
        <v>18</v>
      </c>
      <c r="C87" t="s">
        <v>371</v>
      </c>
      <c r="D87">
        <v>0</v>
      </c>
      <c r="E87">
        <v>0</v>
      </c>
      <c r="F87" t="s">
        <v>20</v>
      </c>
      <c r="G87">
        <v>0</v>
      </c>
      <c r="H87" s="1">
        <v>8916666666666660</v>
      </c>
      <c r="I87">
        <v>0</v>
      </c>
      <c r="J87" t="s">
        <v>372</v>
      </c>
      <c r="K87" t="s">
        <v>299</v>
      </c>
      <c r="L87" t="s">
        <v>373</v>
      </c>
      <c r="M87">
        <v>0</v>
      </c>
      <c r="N87">
        <v>0</v>
      </c>
      <c r="O87" s="1">
        <v>4205884935165390</v>
      </c>
      <c r="Q87" t="b">
        <v>0</v>
      </c>
    </row>
    <row r="88" spans="1:17" x14ac:dyDescent="0.35">
      <c r="A88" t="s">
        <v>374</v>
      </c>
      <c r="B88" t="s">
        <v>18</v>
      </c>
      <c r="C88" t="s">
        <v>375</v>
      </c>
      <c r="D88">
        <v>0</v>
      </c>
      <c r="E88">
        <v>0</v>
      </c>
      <c r="F88" t="s">
        <v>20</v>
      </c>
      <c r="G88">
        <v>0</v>
      </c>
      <c r="H88" t="s">
        <v>376</v>
      </c>
      <c r="I88">
        <v>0</v>
      </c>
      <c r="J88" t="s">
        <v>377</v>
      </c>
      <c r="K88" s="1">
        <v>2.4E+16</v>
      </c>
      <c r="L88" t="s">
        <v>373</v>
      </c>
      <c r="M88">
        <v>0</v>
      </c>
      <c r="N88">
        <v>0</v>
      </c>
      <c r="O88" s="1">
        <v>4205913455053470</v>
      </c>
      <c r="Q88" t="b">
        <v>0</v>
      </c>
    </row>
    <row r="89" spans="1:17" x14ac:dyDescent="0.35">
      <c r="A89" t="s">
        <v>378</v>
      </c>
      <c r="B89" t="s">
        <v>18</v>
      </c>
      <c r="C89" t="s">
        <v>379</v>
      </c>
      <c r="D89">
        <v>0</v>
      </c>
      <c r="E89">
        <v>0</v>
      </c>
      <c r="F89" t="s">
        <v>20</v>
      </c>
      <c r="G89">
        <v>0</v>
      </c>
      <c r="H89">
        <v>0</v>
      </c>
      <c r="I89">
        <v>0</v>
      </c>
      <c r="J89">
        <v>0</v>
      </c>
      <c r="K89" t="s">
        <v>380</v>
      </c>
      <c r="L89">
        <v>9</v>
      </c>
      <c r="M89">
        <v>0</v>
      </c>
      <c r="N89">
        <v>0</v>
      </c>
      <c r="O89" s="1">
        <v>4205941974941550</v>
      </c>
      <c r="Q89" t="b">
        <v>0</v>
      </c>
    </row>
    <row r="90" spans="1:17" x14ac:dyDescent="0.35">
      <c r="A90" t="s">
        <v>381</v>
      </c>
      <c r="B90" t="s">
        <v>18</v>
      </c>
      <c r="C90" t="s">
        <v>382</v>
      </c>
      <c r="D90">
        <v>0</v>
      </c>
      <c r="E90">
        <v>0</v>
      </c>
      <c r="F90" t="s">
        <v>20</v>
      </c>
      <c r="G90">
        <v>0</v>
      </c>
      <c r="H90">
        <v>0</v>
      </c>
      <c r="I90">
        <v>0</v>
      </c>
      <c r="J90">
        <v>0</v>
      </c>
      <c r="K90" t="s">
        <v>383</v>
      </c>
      <c r="L90" t="s">
        <v>168</v>
      </c>
      <c r="M90">
        <v>0</v>
      </c>
      <c r="N90">
        <v>0</v>
      </c>
      <c r="O90" s="1">
        <v>420597049482964</v>
      </c>
      <c r="Q90" t="b">
        <v>0</v>
      </c>
    </row>
    <row r="91" spans="1:17" x14ac:dyDescent="0.35">
      <c r="A91" t="s">
        <v>384</v>
      </c>
      <c r="B91" t="s">
        <v>18</v>
      </c>
      <c r="C91" t="s">
        <v>385</v>
      </c>
      <c r="D91">
        <v>0</v>
      </c>
      <c r="E91">
        <v>0</v>
      </c>
      <c r="F91" t="s">
        <v>20</v>
      </c>
      <c r="G91">
        <v>0</v>
      </c>
      <c r="H91">
        <v>0</v>
      </c>
      <c r="I91">
        <v>0</v>
      </c>
      <c r="J91">
        <v>0</v>
      </c>
      <c r="K91" t="s">
        <v>274</v>
      </c>
      <c r="L91">
        <v>9</v>
      </c>
      <c r="M91">
        <v>0</v>
      </c>
      <c r="N91">
        <v>0</v>
      </c>
      <c r="O91" s="1">
        <v>4205999014717720</v>
      </c>
      <c r="Q91" t="b">
        <v>0</v>
      </c>
    </row>
    <row r="92" spans="1:17" x14ac:dyDescent="0.35">
      <c r="A92" t="s">
        <v>386</v>
      </c>
      <c r="B92" t="s">
        <v>18</v>
      </c>
      <c r="C92" t="s">
        <v>387</v>
      </c>
      <c r="D92">
        <v>0</v>
      </c>
      <c r="E92">
        <v>0</v>
      </c>
      <c r="F92" t="s">
        <v>20</v>
      </c>
      <c r="G92">
        <v>0</v>
      </c>
      <c r="H92">
        <v>0</v>
      </c>
      <c r="I92">
        <v>0</v>
      </c>
      <c r="J92">
        <v>0</v>
      </c>
      <c r="K92" t="s">
        <v>388</v>
      </c>
      <c r="L92" t="s">
        <v>132</v>
      </c>
      <c r="M92">
        <v>0</v>
      </c>
      <c r="N92">
        <v>0</v>
      </c>
      <c r="O92" s="1">
        <v>4206027534605800</v>
      </c>
      <c r="Q92" t="b">
        <v>0</v>
      </c>
    </row>
    <row r="93" spans="1:17" x14ac:dyDescent="0.35">
      <c r="A93" t="s">
        <v>389</v>
      </c>
      <c r="B93" t="s">
        <v>18</v>
      </c>
      <c r="C93" t="s">
        <v>390</v>
      </c>
      <c r="D93">
        <v>0</v>
      </c>
      <c r="E93">
        <v>0</v>
      </c>
      <c r="F93" t="s">
        <v>20</v>
      </c>
      <c r="G93">
        <v>0</v>
      </c>
      <c r="H93">
        <v>0</v>
      </c>
      <c r="I93">
        <v>0</v>
      </c>
      <c r="J93">
        <v>0</v>
      </c>
      <c r="K93" s="1">
        <v>1.54999999999999E+16</v>
      </c>
      <c r="L93" t="s">
        <v>164</v>
      </c>
      <c r="M93">
        <v>0</v>
      </c>
      <c r="N93">
        <v>0</v>
      </c>
      <c r="O93" s="1">
        <v>4206056054493880</v>
      </c>
      <c r="Q93" t="b">
        <v>0</v>
      </c>
    </row>
    <row r="94" spans="1:17" x14ac:dyDescent="0.35">
      <c r="A94" t="s">
        <v>391</v>
      </c>
      <c r="B94" t="s">
        <v>18</v>
      </c>
      <c r="C94" t="s">
        <v>392</v>
      </c>
      <c r="D94">
        <v>0</v>
      </c>
      <c r="E94">
        <v>0</v>
      </c>
      <c r="F94" t="s">
        <v>20</v>
      </c>
      <c r="G94">
        <v>0</v>
      </c>
      <c r="H94">
        <v>0</v>
      </c>
      <c r="I94">
        <v>0</v>
      </c>
      <c r="J94">
        <v>0</v>
      </c>
      <c r="K94" t="s">
        <v>31</v>
      </c>
      <c r="L94" s="1">
        <v>7.56E+16</v>
      </c>
      <c r="M94">
        <v>0</v>
      </c>
      <c r="N94">
        <v>0</v>
      </c>
      <c r="O94" s="1">
        <v>4206084574381960</v>
      </c>
      <c r="Q94" t="b">
        <v>0</v>
      </c>
    </row>
    <row r="95" spans="1:17" x14ac:dyDescent="0.35">
      <c r="A95" t="s">
        <v>393</v>
      </c>
      <c r="B95" t="s">
        <v>18</v>
      </c>
      <c r="C95" t="s">
        <v>394</v>
      </c>
      <c r="D95">
        <v>0</v>
      </c>
      <c r="E95">
        <v>0</v>
      </c>
      <c r="F95" t="s">
        <v>20</v>
      </c>
      <c r="G95">
        <v>0</v>
      </c>
      <c r="H95">
        <v>0</v>
      </c>
      <c r="I95">
        <v>0</v>
      </c>
      <c r="J95">
        <v>0</v>
      </c>
      <c r="K95" t="s">
        <v>263</v>
      </c>
      <c r="L95" t="s">
        <v>244</v>
      </c>
      <c r="M95">
        <v>0</v>
      </c>
      <c r="N95">
        <v>0</v>
      </c>
      <c r="O95" s="1">
        <v>4206113094270040</v>
      </c>
      <c r="Q95" t="b">
        <v>0</v>
      </c>
    </row>
    <row r="96" spans="1:17" x14ac:dyDescent="0.35">
      <c r="A96" t="s">
        <v>395</v>
      </c>
      <c r="B96" t="s">
        <v>18</v>
      </c>
      <c r="C96" t="s">
        <v>396</v>
      </c>
      <c r="D96">
        <v>0</v>
      </c>
      <c r="E96">
        <v>0</v>
      </c>
      <c r="F96" t="s">
        <v>20</v>
      </c>
      <c r="G96">
        <v>0</v>
      </c>
      <c r="H96">
        <v>0</v>
      </c>
      <c r="I96">
        <v>0</v>
      </c>
      <c r="J96">
        <v>0</v>
      </c>
      <c r="K96" t="s">
        <v>397</v>
      </c>
      <c r="L96" t="s">
        <v>398</v>
      </c>
      <c r="M96">
        <v>0</v>
      </c>
      <c r="N96">
        <v>0</v>
      </c>
      <c r="O96" s="1">
        <v>420614161415813</v>
      </c>
      <c r="Q96" t="b">
        <v>0</v>
      </c>
    </row>
    <row r="97" spans="1:17" x14ac:dyDescent="0.35">
      <c r="A97" t="s">
        <v>399</v>
      </c>
      <c r="B97" t="s">
        <v>18</v>
      </c>
      <c r="C97" t="s">
        <v>400</v>
      </c>
      <c r="D97">
        <v>0</v>
      </c>
      <c r="E97">
        <v>0</v>
      </c>
      <c r="F97" t="s">
        <v>20</v>
      </c>
      <c r="G97">
        <v>0</v>
      </c>
      <c r="H97">
        <v>0</v>
      </c>
      <c r="I97">
        <v>0</v>
      </c>
      <c r="J97">
        <v>0</v>
      </c>
      <c r="K97" t="s">
        <v>401</v>
      </c>
      <c r="L97" s="1">
        <v>3.78E+16</v>
      </c>
      <c r="M97">
        <v>0</v>
      </c>
      <c r="N97">
        <v>0</v>
      </c>
      <c r="O97" s="1">
        <v>4206170134046210</v>
      </c>
      <c r="Q97" t="b">
        <v>0</v>
      </c>
    </row>
    <row r="98" spans="1:17" x14ac:dyDescent="0.35">
      <c r="A98" t="s">
        <v>402</v>
      </c>
      <c r="B98" t="s">
        <v>18</v>
      </c>
      <c r="C98" t="s">
        <v>403</v>
      </c>
      <c r="D98">
        <v>0</v>
      </c>
      <c r="E98">
        <v>0</v>
      </c>
      <c r="F98" t="s">
        <v>20</v>
      </c>
      <c r="G98">
        <v>0</v>
      </c>
      <c r="H98">
        <v>0</v>
      </c>
      <c r="I98">
        <v>0</v>
      </c>
      <c r="J98">
        <v>0</v>
      </c>
      <c r="K98" t="s">
        <v>73</v>
      </c>
      <c r="L98" s="1">
        <v>3.6E+16</v>
      </c>
      <c r="M98">
        <v>0</v>
      </c>
      <c r="N98">
        <v>0</v>
      </c>
      <c r="O98" s="1">
        <v>4206198653934290</v>
      </c>
      <c r="Q98" t="b">
        <v>0</v>
      </c>
    </row>
    <row r="99" spans="1:17" x14ac:dyDescent="0.35">
      <c r="A99" t="s">
        <v>404</v>
      </c>
      <c r="B99" t="s">
        <v>18</v>
      </c>
      <c r="C99" t="s">
        <v>405</v>
      </c>
      <c r="D99">
        <v>0</v>
      </c>
      <c r="E99">
        <v>0</v>
      </c>
      <c r="F99" t="s">
        <v>20</v>
      </c>
      <c r="G99">
        <v>0</v>
      </c>
      <c r="H99">
        <v>0</v>
      </c>
      <c r="I99">
        <v>0</v>
      </c>
      <c r="J99">
        <v>0</v>
      </c>
      <c r="K99" t="s">
        <v>81</v>
      </c>
      <c r="L99" s="1">
        <v>3.6E+16</v>
      </c>
      <c r="M99">
        <v>0</v>
      </c>
      <c r="N99">
        <v>0</v>
      </c>
      <c r="O99" s="1">
        <v>4206227173822370</v>
      </c>
      <c r="Q99" t="b">
        <v>0</v>
      </c>
    </row>
    <row r="100" spans="1:17" x14ac:dyDescent="0.35">
      <c r="A100" t="s">
        <v>406</v>
      </c>
      <c r="B100" t="s">
        <v>18</v>
      </c>
      <c r="C100" t="s">
        <v>407</v>
      </c>
      <c r="D100">
        <v>0</v>
      </c>
      <c r="E100">
        <v>0</v>
      </c>
      <c r="F100" t="s">
        <v>20</v>
      </c>
      <c r="G100">
        <v>0</v>
      </c>
      <c r="H100">
        <v>0</v>
      </c>
      <c r="I100">
        <v>0</v>
      </c>
      <c r="J100">
        <v>0</v>
      </c>
      <c r="K100" t="s">
        <v>96</v>
      </c>
      <c r="L100" s="1">
        <v>3.6E+16</v>
      </c>
      <c r="M100">
        <v>0</v>
      </c>
      <c r="N100">
        <v>0</v>
      </c>
      <c r="O100" s="1">
        <v>4206255693710450</v>
      </c>
      <c r="Q100" t="b">
        <v>0</v>
      </c>
    </row>
    <row r="101" spans="1:17" x14ac:dyDescent="0.35">
      <c r="A101" t="s">
        <v>408</v>
      </c>
      <c r="B101" t="s">
        <v>18</v>
      </c>
      <c r="C101" t="s">
        <v>409</v>
      </c>
      <c r="D101">
        <v>0</v>
      </c>
      <c r="E101">
        <v>0</v>
      </c>
      <c r="F101" t="s">
        <v>20</v>
      </c>
      <c r="G101">
        <v>0</v>
      </c>
      <c r="H101">
        <v>0</v>
      </c>
      <c r="I101">
        <v>0</v>
      </c>
      <c r="J101">
        <v>0</v>
      </c>
      <c r="K101" t="s">
        <v>128</v>
      </c>
      <c r="L101" t="s">
        <v>103</v>
      </c>
      <c r="M101">
        <v>0</v>
      </c>
      <c r="N101">
        <v>0</v>
      </c>
      <c r="O101" s="1">
        <v>4206284213598530</v>
      </c>
      <c r="Q101" t="b">
        <v>0</v>
      </c>
    </row>
    <row r="102" spans="1:17" x14ac:dyDescent="0.35">
      <c r="A102" t="s">
        <v>410</v>
      </c>
      <c r="B102" t="s">
        <v>18</v>
      </c>
      <c r="C102" t="s">
        <v>411</v>
      </c>
      <c r="D102">
        <v>0</v>
      </c>
      <c r="E102">
        <v>0</v>
      </c>
      <c r="F102" t="s">
        <v>20</v>
      </c>
      <c r="G102">
        <v>0</v>
      </c>
      <c r="H102">
        <v>0</v>
      </c>
      <c r="I102">
        <v>0</v>
      </c>
      <c r="J102">
        <v>0</v>
      </c>
      <c r="K102" t="s">
        <v>412</v>
      </c>
      <c r="L102" t="s">
        <v>97</v>
      </c>
      <c r="M102">
        <v>0</v>
      </c>
      <c r="N102">
        <v>0</v>
      </c>
      <c r="O102" s="1">
        <v>4.2063127334866096E+16</v>
      </c>
      <c r="Q102" t="b">
        <v>0</v>
      </c>
    </row>
    <row r="103" spans="1:17" x14ac:dyDescent="0.35">
      <c r="A103" t="s">
        <v>413</v>
      </c>
      <c r="B103" t="s">
        <v>18</v>
      </c>
      <c r="C103" t="s">
        <v>414</v>
      </c>
      <c r="D103">
        <v>0</v>
      </c>
      <c r="E103">
        <v>0</v>
      </c>
      <c r="F103" t="s">
        <v>20</v>
      </c>
      <c r="G103">
        <v>0</v>
      </c>
      <c r="H103">
        <v>0</v>
      </c>
      <c r="I103">
        <v>0</v>
      </c>
      <c r="J103">
        <v>0</v>
      </c>
      <c r="K103" t="s">
        <v>135</v>
      </c>
      <c r="L103" s="1">
        <v>1.98E+16</v>
      </c>
      <c r="M103">
        <v>0</v>
      </c>
      <c r="N103">
        <v>0</v>
      </c>
      <c r="O103" s="1">
        <v>4206341253374700</v>
      </c>
      <c r="Q103" t="b">
        <v>0</v>
      </c>
    </row>
    <row r="104" spans="1:17" x14ac:dyDescent="0.35">
      <c r="A104" t="s">
        <v>415</v>
      </c>
      <c r="B104" t="s">
        <v>18</v>
      </c>
      <c r="C104" t="s">
        <v>416</v>
      </c>
      <c r="D104">
        <v>0</v>
      </c>
      <c r="E104">
        <v>0</v>
      </c>
      <c r="F104" t="s">
        <v>20</v>
      </c>
      <c r="G104">
        <v>0</v>
      </c>
      <c r="H104">
        <v>0</v>
      </c>
      <c r="I104">
        <v>0</v>
      </c>
      <c r="J104">
        <v>0</v>
      </c>
      <c r="K104" t="s">
        <v>232</v>
      </c>
      <c r="L104" s="1">
        <v>2.88E+16</v>
      </c>
      <c r="M104">
        <v>0</v>
      </c>
      <c r="N104">
        <v>0</v>
      </c>
      <c r="O104" s="1">
        <v>4206369773262780</v>
      </c>
      <c r="Q104" t="b">
        <v>0</v>
      </c>
    </row>
    <row r="105" spans="1:17" x14ac:dyDescent="0.35">
      <c r="A105" t="s">
        <v>417</v>
      </c>
      <c r="B105" t="s">
        <v>18</v>
      </c>
      <c r="C105" t="s">
        <v>418</v>
      </c>
      <c r="D105">
        <v>0</v>
      </c>
      <c r="E105">
        <v>0</v>
      </c>
      <c r="F105" t="s">
        <v>20</v>
      </c>
      <c r="G105">
        <v>0</v>
      </c>
      <c r="H105">
        <v>0</v>
      </c>
      <c r="I105">
        <v>0</v>
      </c>
      <c r="J105">
        <v>0</v>
      </c>
      <c r="K105" t="s">
        <v>419</v>
      </c>
      <c r="L105" s="1">
        <v>3.42E+16</v>
      </c>
      <c r="M105">
        <v>0</v>
      </c>
      <c r="N105">
        <v>0</v>
      </c>
      <c r="O105" s="1">
        <v>4.20639829315086E+16</v>
      </c>
      <c r="Q105" t="b">
        <v>0</v>
      </c>
    </row>
    <row r="106" spans="1:17" x14ac:dyDescent="0.35">
      <c r="A106" t="s">
        <v>420</v>
      </c>
      <c r="B106" t="s">
        <v>18</v>
      </c>
      <c r="C106" t="s">
        <v>421</v>
      </c>
      <c r="D106">
        <v>0</v>
      </c>
      <c r="E106">
        <v>0</v>
      </c>
      <c r="F106" t="s">
        <v>20</v>
      </c>
      <c r="G106">
        <v>0</v>
      </c>
      <c r="H106">
        <v>0</v>
      </c>
      <c r="I106">
        <v>0</v>
      </c>
      <c r="J106">
        <v>0</v>
      </c>
      <c r="K106" t="s">
        <v>419</v>
      </c>
      <c r="L106" s="1">
        <v>3.96E+16</v>
      </c>
      <c r="M106">
        <v>0</v>
      </c>
      <c r="N106">
        <v>0</v>
      </c>
      <c r="O106" s="1">
        <v>4206426813038940</v>
      </c>
      <c r="Q106" t="b">
        <v>0</v>
      </c>
    </row>
    <row r="107" spans="1:17" x14ac:dyDescent="0.35">
      <c r="A107" t="s">
        <v>422</v>
      </c>
      <c r="B107" t="s">
        <v>18</v>
      </c>
      <c r="C107" t="s">
        <v>423</v>
      </c>
      <c r="D107">
        <v>0</v>
      </c>
      <c r="E107">
        <v>0</v>
      </c>
      <c r="F107" t="s">
        <v>20</v>
      </c>
      <c r="G107">
        <v>0</v>
      </c>
      <c r="H107">
        <v>0</v>
      </c>
      <c r="I107">
        <v>0</v>
      </c>
      <c r="J107">
        <v>0</v>
      </c>
      <c r="K107" t="s">
        <v>153</v>
      </c>
      <c r="L107" t="s">
        <v>424</v>
      </c>
      <c r="M107">
        <v>0</v>
      </c>
      <c r="N107">
        <v>0</v>
      </c>
      <c r="O107" s="1">
        <v>4206455332927020</v>
      </c>
      <c r="Q107" t="b">
        <v>0</v>
      </c>
    </row>
    <row r="108" spans="1:17" x14ac:dyDescent="0.35">
      <c r="A108" t="s">
        <v>425</v>
      </c>
      <c r="B108" t="s">
        <v>18</v>
      </c>
      <c r="C108" t="s">
        <v>426</v>
      </c>
      <c r="D108">
        <v>0</v>
      </c>
      <c r="E108">
        <v>0</v>
      </c>
      <c r="F108" t="s">
        <v>20</v>
      </c>
      <c r="G108">
        <v>0</v>
      </c>
      <c r="H108">
        <v>0</v>
      </c>
      <c r="I108">
        <v>0</v>
      </c>
      <c r="J108">
        <v>0</v>
      </c>
      <c r="K108" t="s">
        <v>427</v>
      </c>
      <c r="L108" t="s">
        <v>424</v>
      </c>
      <c r="M108">
        <v>0</v>
      </c>
      <c r="N108">
        <v>0</v>
      </c>
      <c r="O108" s="1">
        <v>4206483852815100</v>
      </c>
      <c r="Q108" t="b">
        <v>0</v>
      </c>
    </row>
    <row r="109" spans="1:17" x14ac:dyDescent="0.35">
      <c r="A109" t="s">
        <v>428</v>
      </c>
      <c r="B109" t="s">
        <v>18</v>
      </c>
      <c r="C109" t="s">
        <v>429</v>
      </c>
      <c r="D109">
        <v>0</v>
      </c>
      <c r="E109">
        <v>0</v>
      </c>
      <c r="F109" t="s">
        <v>20</v>
      </c>
      <c r="G109">
        <v>0</v>
      </c>
      <c r="H109">
        <v>0</v>
      </c>
      <c r="I109">
        <v>0</v>
      </c>
      <c r="J109">
        <v>0</v>
      </c>
      <c r="K109" t="s">
        <v>430</v>
      </c>
      <c r="L109" t="s">
        <v>119</v>
      </c>
      <c r="M109">
        <v>0</v>
      </c>
      <c r="N109">
        <v>0</v>
      </c>
      <c r="O109" s="1">
        <v>420651237270319</v>
      </c>
      <c r="Q109" t="b">
        <v>0</v>
      </c>
    </row>
    <row r="110" spans="1:17" x14ac:dyDescent="0.35">
      <c r="A110" t="s">
        <v>431</v>
      </c>
      <c r="B110" t="s">
        <v>18</v>
      </c>
      <c r="C110" t="s">
        <v>432</v>
      </c>
      <c r="D110">
        <v>0</v>
      </c>
      <c r="E110">
        <v>0</v>
      </c>
      <c r="F110" t="s">
        <v>20</v>
      </c>
      <c r="G110">
        <v>0</v>
      </c>
      <c r="H110">
        <v>0</v>
      </c>
      <c r="I110">
        <v>0</v>
      </c>
      <c r="J110">
        <v>0</v>
      </c>
      <c r="K110" t="s">
        <v>220</v>
      </c>
      <c r="L110" t="s">
        <v>433</v>
      </c>
      <c r="M110">
        <v>0</v>
      </c>
      <c r="N110">
        <v>0</v>
      </c>
      <c r="O110" s="1">
        <v>4206540892591270</v>
      </c>
      <c r="Q110" t="b">
        <v>0</v>
      </c>
    </row>
    <row r="111" spans="1:17" x14ac:dyDescent="0.35">
      <c r="A111" t="s">
        <v>434</v>
      </c>
      <c r="B111" t="s">
        <v>18</v>
      </c>
      <c r="C111" t="s">
        <v>435</v>
      </c>
      <c r="D111">
        <v>0</v>
      </c>
      <c r="E111">
        <v>0</v>
      </c>
      <c r="F111" t="s">
        <v>20</v>
      </c>
      <c r="G111">
        <v>0</v>
      </c>
      <c r="H111">
        <v>0</v>
      </c>
      <c r="I111">
        <v>0</v>
      </c>
      <c r="J111">
        <v>0</v>
      </c>
      <c r="K111" t="s">
        <v>436</v>
      </c>
      <c r="L111" s="1">
        <v>5220000000000000</v>
      </c>
      <c r="M111">
        <v>0</v>
      </c>
      <c r="N111">
        <v>0</v>
      </c>
      <c r="O111" s="1">
        <v>4206569412479350</v>
      </c>
      <c r="Q111" t="b">
        <v>0</v>
      </c>
    </row>
    <row r="112" spans="1:17" x14ac:dyDescent="0.35">
      <c r="A112" t="s">
        <v>437</v>
      </c>
      <c r="B112" t="s">
        <v>18</v>
      </c>
      <c r="C112" t="s">
        <v>438</v>
      </c>
      <c r="D112">
        <v>0</v>
      </c>
      <c r="E112">
        <v>0</v>
      </c>
      <c r="F112" t="s">
        <v>20</v>
      </c>
      <c r="G112">
        <v>0</v>
      </c>
      <c r="H112">
        <v>0</v>
      </c>
      <c r="I112">
        <v>0</v>
      </c>
      <c r="J112">
        <v>0</v>
      </c>
      <c r="K112" t="s">
        <v>163</v>
      </c>
      <c r="L112" t="s">
        <v>398</v>
      </c>
      <c r="M112">
        <v>0</v>
      </c>
      <c r="N112">
        <v>0</v>
      </c>
      <c r="O112" s="1">
        <v>4206597932367430</v>
      </c>
      <c r="Q112" t="b">
        <v>0</v>
      </c>
    </row>
    <row r="113" spans="1:17" x14ac:dyDescent="0.35">
      <c r="A113" t="s">
        <v>439</v>
      </c>
      <c r="B113" t="s">
        <v>18</v>
      </c>
      <c r="C113" t="s">
        <v>440</v>
      </c>
      <c r="D113">
        <v>0</v>
      </c>
      <c r="E113">
        <v>0</v>
      </c>
      <c r="F113" t="s">
        <v>20</v>
      </c>
      <c r="G113">
        <v>0</v>
      </c>
      <c r="H113">
        <v>0</v>
      </c>
      <c r="I113">
        <v>0</v>
      </c>
      <c r="J113">
        <v>0</v>
      </c>
      <c r="K113" t="s">
        <v>167</v>
      </c>
      <c r="L113" t="s">
        <v>287</v>
      </c>
      <c r="M113">
        <v>0</v>
      </c>
      <c r="N113">
        <v>0</v>
      </c>
      <c r="O113" s="1">
        <v>4206626452255510</v>
      </c>
      <c r="Q113" t="b">
        <v>0</v>
      </c>
    </row>
    <row r="114" spans="1:17" x14ac:dyDescent="0.35">
      <c r="A114" t="s">
        <v>441</v>
      </c>
      <c r="B114" t="s">
        <v>18</v>
      </c>
      <c r="C114" t="s">
        <v>442</v>
      </c>
      <c r="D114">
        <v>0</v>
      </c>
      <c r="E114">
        <v>0</v>
      </c>
      <c r="F114" t="s">
        <v>20</v>
      </c>
      <c r="G114">
        <v>0</v>
      </c>
      <c r="H114">
        <v>0</v>
      </c>
      <c r="I114">
        <v>0</v>
      </c>
      <c r="J114">
        <v>0</v>
      </c>
      <c r="K114" t="s">
        <v>175</v>
      </c>
      <c r="L114" t="s">
        <v>287</v>
      </c>
      <c r="M114">
        <v>0</v>
      </c>
      <c r="N114">
        <v>0</v>
      </c>
      <c r="O114" s="1">
        <v>4206654972143590</v>
      </c>
      <c r="Q114" t="b">
        <v>0</v>
      </c>
    </row>
    <row r="115" spans="1:17" x14ac:dyDescent="0.35">
      <c r="A115" t="s">
        <v>443</v>
      </c>
      <c r="B115" t="s">
        <v>18</v>
      </c>
      <c r="C115" t="s">
        <v>444</v>
      </c>
      <c r="D115">
        <v>0</v>
      </c>
      <c r="E115">
        <v>0</v>
      </c>
      <c r="F115" t="s">
        <v>20</v>
      </c>
      <c r="G115">
        <v>0</v>
      </c>
      <c r="H115">
        <v>0</v>
      </c>
      <c r="I115">
        <v>0</v>
      </c>
      <c r="J115">
        <v>0</v>
      </c>
      <c r="K115">
        <v>-1</v>
      </c>
      <c r="L115" t="s">
        <v>116</v>
      </c>
      <c r="M115">
        <v>0</v>
      </c>
      <c r="N115">
        <v>0</v>
      </c>
      <c r="O115" s="1">
        <v>420668349203168</v>
      </c>
      <c r="Q115" t="b">
        <v>0</v>
      </c>
    </row>
    <row r="116" spans="1:17" x14ac:dyDescent="0.35">
      <c r="A116" t="s">
        <v>445</v>
      </c>
      <c r="B116" t="s">
        <v>18</v>
      </c>
      <c r="C116" t="s">
        <v>446</v>
      </c>
      <c r="D116">
        <v>0</v>
      </c>
      <c r="E116">
        <v>0</v>
      </c>
      <c r="F116" t="s">
        <v>20</v>
      </c>
      <c r="G116">
        <v>0</v>
      </c>
      <c r="H116">
        <v>0</v>
      </c>
      <c r="I116">
        <v>0</v>
      </c>
      <c r="J116">
        <v>0</v>
      </c>
      <c r="K116" t="s">
        <v>447</v>
      </c>
      <c r="L116" s="1">
        <v>7.02E+16</v>
      </c>
      <c r="M116">
        <v>0</v>
      </c>
      <c r="N116">
        <v>0</v>
      </c>
      <c r="O116" s="1">
        <v>4206712011919760</v>
      </c>
      <c r="Q116" t="b">
        <v>0</v>
      </c>
    </row>
    <row r="117" spans="1:17" x14ac:dyDescent="0.35">
      <c r="A117" t="s">
        <v>448</v>
      </c>
      <c r="B117" t="s">
        <v>18</v>
      </c>
      <c r="C117" t="s">
        <v>449</v>
      </c>
      <c r="D117">
        <v>0</v>
      </c>
      <c r="E117">
        <v>0</v>
      </c>
      <c r="F117" t="s">
        <v>20</v>
      </c>
      <c r="G117">
        <v>0</v>
      </c>
      <c r="H117">
        <v>0</v>
      </c>
      <c r="I117">
        <v>0</v>
      </c>
      <c r="J117">
        <v>0</v>
      </c>
      <c r="K117" t="s">
        <v>450</v>
      </c>
      <c r="L117" t="s">
        <v>168</v>
      </c>
      <c r="M117">
        <v>0</v>
      </c>
      <c r="N117">
        <v>0</v>
      </c>
      <c r="O117" s="1">
        <v>4206740531807840</v>
      </c>
      <c r="Q117" t="b">
        <v>0</v>
      </c>
    </row>
    <row r="118" spans="1:17" x14ac:dyDescent="0.35">
      <c r="A118" t="s">
        <v>451</v>
      </c>
      <c r="B118" t="s">
        <v>18</v>
      </c>
      <c r="C118" t="s">
        <v>452</v>
      </c>
      <c r="D118">
        <v>0</v>
      </c>
      <c r="E118">
        <v>0</v>
      </c>
      <c r="F118" t="s">
        <v>20</v>
      </c>
      <c r="G118">
        <v>0</v>
      </c>
      <c r="H118">
        <v>0</v>
      </c>
      <c r="I118">
        <v>0</v>
      </c>
      <c r="J118">
        <v>0</v>
      </c>
      <c r="K118" t="s">
        <v>453</v>
      </c>
      <c r="L118" s="1">
        <v>9719999999999990</v>
      </c>
      <c r="M118">
        <v>0</v>
      </c>
      <c r="N118">
        <v>0</v>
      </c>
      <c r="O118" s="1">
        <v>4206769051695920</v>
      </c>
      <c r="Q118" t="b">
        <v>0</v>
      </c>
    </row>
    <row r="119" spans="1:17" x14ac:dyDescent="0.35">
      <c r="A119" t="s">
        <v>454</v>
      </c>
      <c r="B119" t="s">
        <v>18</v>
      </c>
      <c r="C119" t="s">
        <v>455</v>
      </c>
      <c r="D119">
        <v>0</v>
      </c>
      <c r="E119">
        <v>0</v>
      </c>
      <c r="F119" t="s">
        <v>20</v>
      </c>
      <c r="G119">
        <v>0</v>
      </c>
      <c r="H119">
        <v>0</v>
      </c>
      <c r="I119">
        <v>0</v>
      </c>
      <c r="J119">
        <v>0</v>
      </c>
      <c r="K119" t="s">
        <v>456</v>
      </c>
      <c r="L119" t="s">
        <v>139</v>
      </c>
      <c r="M119">
        <v>0</v>
      </c>
      <c r="N119">
        <v>0</v>
      </c>
      <c r="O119" s="1">
        <v>4206797571584000</v>
      </c>
      <c r="Q119" t="b">
        <v>0</v>
      </c>
    </row>
    <row r="120" spans="1:17" x14ac:dyDescent="0.35">
      <c r="A120" t="s">
        <v>457</v>
      </c>
      <c r="B120" t="s">
        <v>18</v>
      </c>
      <c r="C120" t="s">
        <v>458</v>
      </c>
      <c r="D120">
        <v>0</v>
      </c>
      <c r="E120">
        <v>0</v>
      </c>
      <c r="F120" t="s">
        <v>20</v>
      </c>
      <c r="G120">
        <v>0</v>
      </c>
      <c r="H120">
        <v>0</v>
      </c>
      <c r="I120">
        <v>0</v>
      </c>
      <c r="J120">
        <v>0</v>
      </c>
      <c r="K120" t="s">
        <v>459</v>
      </c>
      <c r="L120" t="s">
        <v>269</v>
      </c>
      <c r="M120">
        <v>0</v>
      </c>
      <c r="N120">
        <v>0</v>
      </c>
      <c r="O120" s="1">
        <v>4206826091472080</v>
      </c>
      <c r="Q120" t="b">
        <v>0</v>
      </c>
    </row>
    <row r="121" spans="1:17" x14ac:dyDescent="0.35">
      <c r="A121" t="s">
        <v>460</v>
      </c>
      <c r="B121" t="s">
        <v>18</v>
      </c>
      <c r="C121" t="s">
        <v>461</v>
      </c>
      <c r="D121">
        <v>0</v>
      </c>
      <c r="E121">
        <v>0</v>
      </c>
      <c r="F121" t="s">
        <v>20</v>
      </c>
      <c r="G121">
        <v>0</v>
      </c>
      <c r="H121">
        <v>0</v>
      </c>
      <c r="I121">
        <v>0</v>
      </c>
      <c r="J121">
        <v>0</v>
      </c>
      <c r="K121" t="s">
        <v>462</v>
      </c>
      <c r="L121" t="s">
        <v>82</v>
      </c>
      <c r="M121">
        <v>0</v>
      </c>
      <c r="N121">
        <v>0</v>
      </c>
      <c r="O121" s="1">
        <v>4.20685461136016E+16</v>
      </c>
      <c r="Q121" t="b">
        <v>0</v>
      </c>
    </row>
    <row r="122" spans="1:17" x14ac:dyDescent="0.35">
      <c r="A122" t="s">
        <v>463</v>
      </c>
      <c r="B122" t="s">
        <v>18</v>
      </c>
      <c r="C122" t="s">
        <v>464</v>
      </c>
      <c r="D122">
        <v>0</v>
      </c>
      <c r="E122">
        <v>0</v>
      </c>
      <c r="F122" t="s">
        <v>20</v>
      </c>
      <c r="G122">
        <v>0</v>
      </c>
      <c r="H122">
        <v>0</v>
      </c>
      <c r="I122">
        <v>0</v>
      </c>
      <c r="J122">
        <v>0</v>
      </c>
      <c r="K122" t="s">
        <v>465</v>
      </c>
      <c r="L122" s="1">
        <v>5220000000000000</v>
      </c>
      <c r="M122">
        <v>0</v>
      </c>
      <c r="N122">
        <v>0</v>
      </c>
      <c r="O122" s="1">
        <v>4206883131248250</v>
      </c>
      <c r="Q122" t="b">
        <v>0</v>
      </c>
    </row>
    <row r="123" spans="1:17" x14ac:dyDescent="0.35">
      <c r="A123" t="s">
        <v>466</v>
      </c>
      <c r="B123" t="s">
        <v>18</v>
      </c>
      <c r="C123" t="s">
        <v>467</v>
      </c>
      <c r="D123">
        <v>0</v>
      </c>
      <c r="E123">
        <v>0</v>
      </c>
      <c r="F123" t="s">
        <v>20</v>
      </c>
      <c r="G123">
        <v>0</v>
      </c>
      <c r="H123">
        <v>0</v>
      </c>
      <c r="I123">
        <v>0</v>
      </c>
      <c r="J123">
        <v>0</v>
      </c>
      <c r="K123" s="1">
        <v>-1.79999999999999E+16</v>
      </c>
      <c r="L123" s="1">
        <v>3.78E+16</v>
      </c>
      <c r="M123">
        <v>0</v>
      </c>
      <c r="N123">
        <v>0</v>
      </c>
      <c r="O123" s="1">
        <v>4206911651136330</v>
      </c>
      <c r="Q123" t="b">
        <v>0</v>
      </c>
    </row>
    <row r="124" spans="1:17" x14ac:dyDescent="0.35">
      <c r="A124" t="s">
        <v>468</v>
      </c>
      <c r="B124" t="s">
        <v>18</v>
      </c>
      <c r="C124" t="s">
        <v>469</v>
      </c>
      <c r="D124">
        <v>0</v>
      </c>
      <c r="E124">
        <v>0</v>
      </c>
      <c r="F124" t="s">
        <v>20</v>
      </c>
      <c r="G124">
        <v>0</v>
      </c>
      <c r="H124">
        <v>0</v>
      </c>
      <c r="I124">
        <v>0</v>
      </c>
      <c r="J124">
        <v>0</v>
      </c>
      <c r="K124" s="1">
        <v>-1.84999999999999E+16</v>
      </c>
      <c r="L124" t="s">
        <v>470</v>
      </c>
      <c r="M124">
        <v>0</v>
      </c>
      <c r="N124">
        <v>0</v>
      </c>
      <c r="O124" s="1">
        <v>4206940171024410</v>
      </c>
      <c r="Q124" t="b">
        <v>0</v>
      </c>
    </row>
    <row r="125" spans="1:17" x14ac:dyDescent="0.35">
      <c r="A125" t="s">
        <v>471</v>
      </c>
      <c r="B125" t="s">
        <v>18</v>
      </c>
      <c r="C125" t="s">
        <v>472</v>
      </c>
      <c r="D125">
        <v>0</v>
      </c>
      <c r="E125">
        <v>0</v>
      </c>
      <c r="F125" t="s">
        <v>20</v>
      </c>
      <c r="G125">
        <v>0</v>
      </c>
      <c r="H125">
        <v>0</v>
      </c>
      <c r="I125">
        <v>0</v>
      </c>
      <c r="J125">
        <v>0</v>
      </c>
      <c r="K125" t="s">
        <v>473</v>
      </c>
      <c r="L125" t="s">
        <v>474</v>
      </c>
      <c r="M125">
        <v>0</v>
      </c>
      <c r="N125">
        <v>0</v>
      </c>
      <c r="O125" s="1">
        <v>4206968690912490</v>
      </c>
      <c r="Q125" t="b">
        <v>0</v>
      </c>
    </row>
    <row r="126" spans="1:17" x14ac:dyDescent="0.35">
      <c r="A126" t="s">
        <v>475</v>
      </c>
      <c r="B126" t="s">
        <v>18</v>
      </c>
      <c r="C126" t="s">
        <v>476</v>
      </c>
      <c r="D126">
        <v>0</v>
      </c>
      <c r="E126">
        <v>0</v>
      </c>
      <c r="F126" t="s">
        <v>20</v>
      </c>
      <c r="G126">
        <v>0</v>
      </c>
      <c r="H126">
        <v>0</v>
      </c>
      <c r="I126">
        <v>0</v>
      </c>
      <c r="J126">
        <v>0</v>
      </c>
      <c r="K126">
        <v>-2</v>
      </c>
      <c r="L126" t="s">
        <v>470</v>
      </c>
      <c r="M126">
        <v>0</v>
      </c>
      <c r="N126">
        <v>0</v>
      </c>
      <c r="O126" s="1">
        <v>4206997210800570</v>
      </c>
      <c r="Q126" t="b">
        <v>0</v>
      </c>
    </row>
    <row r="127" spans="1:17" x14ac:dyDescent="0.35">
      <c r="A127" t="s">
        <v>477</v>
      </c>
      <c r="B127" t="s">
        <v>18</v>
      </c>
      <c r="C127" t="s">
        <v>478</v>
      </c>
      <c r="D127">
        <v>0</v>
      </c>
      <c r="E127">
        <v>0</v>
      </c>
      <c r="F127" t="s">
        <v>20</v>
      </c>
      <c r="G127">
        <v>0</v>
      </c>
      <c r="H127">
        <v>0</v>
      </c>
      <c r="I127">
        <v>0</v>
      </c>
      <c r="J127">
        <v>0</v>
      </c>
      <c r="K127">
        <v>-2</v>
      </c>
      <c r="L127" t="s">
        <v>470</v>
      </c>
      <c r="M127">
        <v>0</v>
      </c>
      <c r="N127">
        <v>0</v>
      </c>
      <c r="O127" s="1">
        <v>4207025730688650</v>
      </c>
      <c r="Q127" t="b">
        <v>0</v>
      </c>
    </row>
    <row r="128" spans="1:17" x14ac:dyDescent="0.35">
      <c r="A128" t="s">
        <v>479</v>
      </c>
      <c r="B128" t="s">
        <v>18</v>
      </c>
      <c r="C128" t="s">
        <v>480</v>
      </c>
      <c r="D128">
        <v>0</v>
      </c>
      <c r="E128">
        <v>0</v>
      </c>
      <c r="F128" t="s">
        <v>20</v>
      </c>
      <c r="G128">
        <v>0</v>
      </c>
      <c r="H128">
        <v>0</v>
      </c>
      <c r="I128">
        <v>0</v>
      </c>
      <c r="J128">
        <v>0</v>
      </c>
      <c r="K128">
        <v>-2</v>
      </c>
      <c r="L128" t="s">
        <v>103</v>
      </c>
      <c r="M128">
        <v>0</v>
      </c>
      <c r="N128">
        <v>0</v>
      </c>
      <c r="O128" s="1">
        <v>420705425057674</v>
      </c>
      <c r="Q128" t="b">
        <v>0</v>
      </c>
    </row>
    <row r="129" spans="1:17" x14ac:dyDescent="0.35">
      <c r="A129" t="s">
        <v>481</v>
      </c>
      <c r="B129" t="s">
        <v>18</v>
      </c>
      <c r="C129" t="s">
        <v>482</v>
      </c>
      <c r="D129">
        <v>0</v>
      </c>
      <c r="E129">
        <v>0</v>
      </c>
      <c r="F129" t="s">
        <v>20</v>
      </c>
      <c r="G129">
        <v>0</v>
      </c>
      <c r="H129">
        <v>0</v>
      </c>
      <c r="I129">
        <v>0</v>
      </c>
      <c r="J129">
        <v>0</v>
      </c>
      <c r="K129" t="s">
        <v>483</v>
      </c>
      <c r="L129" s="1">
        <v>2.88E+16</v>
      </c>
      <c r="M129">
        <v>0</v>
      </c>
      <c r="N129">
        <v>0</v>
      </c>
      <c r="O129" s="1">
        <v>4.20708277046482E+16</v>
      </c>
      <c r="Q129" t="b">
        <v>0</v>
      </c>
    </row>
    <row r="130" spans="1:17" x14ac:dyDescent="0.35">
      <c r="A130" t="s">
        <v>484</v>
      </c>
      <c r="B130" t="s">
        <v>18</v>
      </c>
      <c r="C130" t="s">
        <v>485</v>
      </c>
      <c r="D130">
        <v>0</v>
      </c>
      <c r="E130">
        <v>0</v>
      </c>
      <c r="F130" t="s">
        <v>20</v>
      </c>
      <c r="G130">
        <v>0</v>
      </c>
      <c r="H130">
        <v>0</v>
      </c>
      <c r="I130">
        <v>0</v>
      </c>
      <c r="J130">
        <v>0</v>
      </c>
      <c r="K130" t="s">
        <v>483</v>
      </c>
      <c r="L130" t="s">
        <v>103</v>
      </c>
      <c r="M130">
        <v>0</v>
      </c>
      <c r="N130">
        <v>0</v>
      </c>
      <c r="O130" s="1">
        <v>4207111290352900</v>
      </c>
      <c r="Q130" t="b">
        <v>0</v>
      </c>
    </row>
    <row r="131" spans="1:17" x14ac:dyDescent="0.35">
      <c r="A131" t="s">
        <v>486</v>
      </c>
      <c r="B131" t="s">
        <v>18</v>
      </c>
      <c r="C131" t="s">
        <v>487</v>
      </c>
      <c r="D131">
        <v>0</v>
      </c>
      <c r="E131">
        <v>0</v>
      </c>
      <c r="F131" t="s">
        <v>20</v>
      </c>
      <c r="G131">
        <v>0</v>
      </c>
      <c r="H131">
        <v>0</v>
      </c>
      <c r="I131">
        <v>0</v>
      </c>
      <c r="J131">
        <v>0</v>
      </c>
      <c r="K131" t="s">
        <v>488</v>
      </c>
      <c r="L131" t="s">
        <v>489</v>
      </c>
      <c r="M131">
        <v>0</v>
      </c>
      <c r="N131">
        <v>0</v>
      </c>
      <c r="O131" s="1">
        <v>4207139810240980</v>
      </c>
      <c r="Q131" t="b">
        <v>0</v>
      </c>
    </row>
    <row r="132" spans="1:17" x14ac:dyDescent="0.35">
      <c r="A132" t="s">
        <v>490</v>
      </c>
      <c r="B132" t="s">
        <v>18</v>
      </c>
      <c r="C132" t="s">
        <v>491</v>
      </c>
      <c r="D132">
        <v>0</v>
      </c>
      <c r="E132">
        <v>0</v>
      </c>
      <c r="F132" t="s">
        <v>20</v>
      </c>
      <c r="G132">
        <v>0</v>
      </c>
      <c r="H132">
        <v>0</v>
      </c>
      <c r="I132">
        <v>0</v>
      </c>
      <c r="J132">
        <v>0</v>
      </c>
      <c r="K132" t="s">
        <v>492</v>
      </c>
      <c r="L132" s="1">
        <v>2.34E+16</v>
      </c>
      <c r="M132">
        <v>0</v>
      </c>
      <c r="N132">
        <v>0</v>
      </c>
      <c r="O132" s="1">
        <v>4.20716833012906E+16</v>
      </c>
      <c r="Q132" t="b">
        <v>0</v>
      </c>
    </row>
    <row r="133" spans="1:17" x14ac:dyDescent="0.35">
      <c r="A133" t="s">
        <v>493</v>
      </c>
      <c r="B133" t="s">
        <v>18</v>
      </c>
      <c r="C133" t="s">
        <v>494</v>
      </c>
      <c r="D133">
        <v>0</v>
      </c>
      <c r="E133">
        <v>0</v>
      </c>
      <c r="F133" t="s">
        <v>20</v>
      </c>
      <c r="G133">
        <v>0</v>
      </c>
      <c r="H133">
        <v>0</v>
      </c>
      <c r="I133">
        <v>0</v>
      </c>
      <c r="J133">
        <v>0</v>
      </c>
      <c r="K133" t="s">
        <v>495</v>
      </c>
      <c r="L133" s="1">
        <v>2.34E+16</v>
      </c>
      <c r="M133">
        <v>0</v>
      </c>
      <c r="N133">
        <v>0</v>
      </c>
      <c r="O133" s="1">
        <v>4207196850017140</v>
      </c>
      <c r="Q133" t="b">
        <v>0</v>
      </c>
    </row>
    <row r="134" spans="1:17" x14ac:dyDescent="0.35">
      <c r="A134" t="s">
        <v>496</v>
      </c>
      <c r="B134" t="s">
        <v>18</v>
      </c>
      <c r="C134" t="s">
        <v>497</v>
      </c>
      <c r="D134">
        <v>0</v>
      </c>
      <c r="E134">
        <v>0</v>
      </c>
      <c r="F134" t="s">
        <v>20</v>
      </c>
      <c r="G134">
        <v>0</v>
      </c>
      <c r="H134">
        <v>0</v>
      </c>
      <c r="I134">
        <v>0</v>
      </c>
      <c r="J134">
        <v>0</v>
      </c>
      <c r="K134" t="s">
        <v>498</v>
      </c>
      <c r="L134" s="1">
        <v>3.42E+16</v>
      </c>
      <c r="M134">
        <v>0</v>
      </c>
      <c r="N134">
        <v>0</v>
      </c>
      <c r="O134" s="1">
        <v>4207225369905220</v>
      </c>
      <c r="Q134" t="b">
        <v>0</v>
      </c>
    </row>
    <row r="135" spans="1:17" x14ac:dyDescent="0.35">
      <c r="A135" t="s">
        <v>499</v>
      </c>
      <c r="B135" t="s">
        <v>18</v>
      </c>
      <c r="C135" t="s">
        <v>500</v>
      </c>
      <c r="D135">
        <v>0</v>
      </c>
      <c r="E135">
        <v>0</v>
      </c>
      <c r="F135" t="s">
        <v>20</v>
      </c>
      <c r="G135">
        <v>0</v>
      </c>
      <c r="H135">
        <v>0</v>
      </c>
      <c r="I135">
        <v>0</v>
      </c>
      <c r="J135">
        <v>0</v>
      </c>
      <c r="K135" t="s">
        <v>498</v>
      </c>
      <c r="L135" t="s">
        <v>501</v>
      </c>
      <c r="M135">
        <v>0</v>
      </c>
      <c r="N135">
        <v>0</v>
      </c>
      <c r="O135" s="1">
        <v>4207253889793310</v>
      </c>
      <c r="Q135" t="b">
        <v>0</v>
      </c>
    </row>
    <row r="136" spans="1:17" x14ac:dyDescent="0.35">
      <c r="A136" t="s">
        <v>502</v>
      </c>
      <c r="B136" t="s">
        <v>18</v>
      </c>
      <c r="C136" t="s">
        <v>503</v>
      </c>
      <c r="D136">
        <v>0</v>
      </c>
      <c r="E136">
        <v>0</v>
      </c>
      <c r="F136" t="s">
        <v>20</v>
      </c>
      <c r="G136">
        <v>0</v>
      </c>
      <c r="H136">
        <v>0</v>
      </c>
      <c r="I136">
        <v>0</v>
      </c>
      <c r="J136">
        <v>0</v>
      </c>
      <c r="K136" t="s">
        <v>504</v>
      </c>
      <c r="L136" t="s">
        <v>505</v>
      </c>
      <c r="M136">
        <v>0</v>
      </c>
      <c r="N136">
        <v>0</v>
      </c>
      <c r="O136" s="1">
        <v>4207282409681390</v>
      </c>
      <c r="Q136" t="b">
        <v>0</v>
      </c>
    </row>
    <row r="137" spans="1:17" x14ac:dyDescent="0.35">
      <c r="A137" t="s">
        <v>506</v>
      </c>
      <c r="B137" t="s">
        <v>18</v>
      </c>
      <c r="C137" t="s">
        <v>507</v>
      </c>
      <c r="D137">
        <v>0</v>
      </c>
      <c r="E137">
        <v>0</v>
      </c>
      <c r="F137" t="s">
        <v>20</v>
      </c>
      <c r="G137">
        <v>0</v>
      </c>
      <c r="H137">
        <v>0</v>
      </c>
      <c r="I137">
        <v>0</v>
      </c>
      <c r="J137">
        <v>0</v>
      </c>
      <c r="K137" t="s">
        <v>498</v>
      </c>
      <c r="L137" s="1">
        <v>1.44E+16</v>
      </c>
      <c r="M137">
        <v>0</v>
      </c>
      <c r="N137">
        <v>0</v>
      </c>
      <c r="O137" s="1">
        <v>4207310929569470</v>
      </c>
      <c r="Q137" t="b">
        <v>0</v>
      </c>
    </row>
    <row r="138" spans="1:17" x14ac:dyDescent="0.35">
      <c r="A138" t="s">
        <v>508</v>
      </c>
      <c r="B138" t="s">
        <v>18</v>
      </c>
      <c r="C138" t="s">
        <v>509</v>
      </c>
      <c r="D138">
        <v>0</v>
      </c>
      <c r="E138">
        <v>0</v>
      </c>
      <c r="F138" t="s">
        <v>20</v>
      </c>
      <c r="G138">
        <v>0</v>
      </c>
      <c r="H138">
        <v>0</v>
      </c>
      <c r="I138">
        <v>0</v>
      </c>
      <c r="J138">
        <v>0</v>
      </c>
      <c r="K138" t="s">
        <v>498</v>
      </c>
      <c r="L138" s="1">
        <v>2.34E+16</v>
      </c>
      <c r="M138">
        <v>0</v>
      </c>
      <c r="N138">
        <v>0</v>
      </c>
      <c r="O138" s="1">
        <v>4207339449457550</v>
      </c>
      <c r="Q138" t="b">
        <v>0</v>
      </c>
    </row>
    <row r="139" spans="1:17" x14ac:dyDescent="0.35">
      <c r="A139" t="s">
        <v>510</v>
      </c>
      <c r="B139" t="s">
        <v>18</v>
      </c>
      <c r="C139" t="s">
        <v>511</v>
      </c>
      <c r="D139">
        <v>0</v>
      </c>
      <c r="E139">
        <v>0</v>
      </c>
      <c r="F139" t="s">
        <v>20</v>
      </c>
      <c r="G139">
        <v>0</v>
      </c>
      <c r="H139">
        <v>0</v>
      </c>
      <c r="I139">
        <v>0</v>
      </c>
      <c r="J139">
        <v>0</v>
      </c>
      <c r="K139" t="s">
        <v>504</v>
      </c>
      <c r="L139" t="s">
        <v>512</v>
      </c>
      <c r="M139">
        <v>0</v>
      </c>
      <c r="N139">
        <v>0</v>
      </c>
      <c r="O139" s="1">
        <v>4207367969345630</v>
      </c>
      <c r="Q139" t="b">
        <v>0</v>
      </c>
    </row>
    <row r="140" spans="1:17" x14ac:dyDescent="0.35">
      <c r="A140" t="s">
        <v>513</v>
      </c>
      <c r="B140" t="s">
        <v>18</v>
      </c>
      <c r="C140" t="s">
        <v>514</v>
      </c>
      <c r="D140">
        <v>0</v>
      </c>
      <c r="E140">
        <v>0</v>
      </c>
      <c r="F140" t="s">
        <v>20</v>
      </c>
      <c r="G140">
        <v>0</v>
      </c>
      <c r="H140">
        <v>0</v>
      </c>
      <c r="I140">
        <v>0</v>
      </c>
      <c r="J140">
        <v>0</v>
      </c>
      <c r="K140" t="s">
        <v>498</v>
      </c>
      <c r="L140" s="1">
        <v>2.34E+16</v>
      </c>
      <c r="M140">
        <v>0</v>
      </c>
      <c r="N140">
        <v>0</v>
      </c>
      <c r="O140" s="1">
        <v>4.2073964892337104E+16</v>
      </c>
      <c r="Q140" t="b">
        <v>0</v>
      </c>
    </row>
    <row r="141" spans="1:17" x14ac:dyDescent="0.35">
      <c r="A141" t="s">
        <v>515</v>
      </c>
      <c r="B141" t="s">
        <v>18</v>
      </c>
      <c r="C141" t="s">
        <v>516</v>
      </c>
      <c r="D141">
        <v>0</v>
      </c>
      <c r="E141">
        <v>0</v>
      </c>
      <c r="F141" t="s">
        <v>20</v>
      </c>
      <c r="G141">
        <v>0</v>
      </c>
      <c r="H141">
        <v>0</v>
      </c>
      <c r="I141">
        <v>0</v>
      </c>
      <c r="J141">
        <v>0</v>
      </c>
      <c r="K141" t="s">
        <v>517</v>
      </c>
      <c r="L141" s="1">
        <v>3.42E+16</v>
      </c>
      <c r="M141">
        <v>0</v>
      </c>
      <c r="N141">
        <v>0</v>
      </c>
      <c r="O141" s="1">
        <v>4207425009121800</v>
      </c>
      <c r="Q141" t="b">
        <v>0</v>
      </c>
    </row>
    <row r="142" spans="1:17" x14ac:dyDescent="0.35">
      <c r="A142" t="s">
        <v>518</v>
      </c>
      <c r="B142" t="s">
        <v>18</v>
      </c>
      <c r="C142" t="s">
        <v>519</v>
      </c>
      <c r="D142">
        <v>0</v>
      </c>
      <c r="E142">
        <v>0</v>
      </c>
      <c r="F142" t="s">
        <v>20</v>
      </c>
      <c r="G142">
        <v>0</v>
      </c>
      <c r="H142">
        <v>0</v>
      </c>
      <c r="I142">
        <v>0</v>
      </c>
      <c r="J142">
        <v>0</v>
      </c>
      <c r="K142" t="s">
        <v>517</v>
      </c>
      <c r="L142" s="1">
        <v>3.96E+16</v>
      </c>
      <c r="M142">
        <v>0</v>
      </c>
      <c r="N142">
        <v>0</v>
      </c>
      <c r="O142" s="1">
        <v>4207453529009880</v>
      </c>
      <c r="Q142" t="b">
        <v>0</v>
      </c>
    </row>
    <row r="143" spans="1:17" x14ac:dyDescent="0.35">
      <c r="A143" t="s">
        <v>520</v>
      </c>
      <c r="B143" t="s">
        <v>18</v>
      </c>
      <c r="C143" t="s">
        <v>521</v>
      </c>
      <c r="D143">
        <v>0</v>
      </c>
      <c r="E143">
        <v>0</v>
      </c>
      <c r="F143" t="s">
        <v>20</v>
      </c>
      <c r="G143">
        <v>0</v>
      </c>
      <c r="H143">
        <v>0</v>
      </c>
      <c r="I143">
        <v>0</v>
      </c>
      <c r="J143">
        <v>0</v>
      </c>
      <c r="K143" t="s">
        <v>517</v>
      </c>
      <c r="L143" s="1">
        <v>3.78E+16</v>
      </c>
      <c r="M143">
        <v>0</v>
      </c>
      <c r="N143">
        <v>0</v>
      </c>
      <c r="O143" s="1">
        <v>4207482048897960</v>
      </c>
      <c r="Q143" t="b">
        <v>0</v>
      </c>
    </row>
    <row r="144" spans="1:17" x14ac:dyDescent="0.35">
      <c r="A144" t="s">
        <v>522</v>
      </c>
      <c r="B144" t="s">
        <v>18</v>
      </c>
      <c r="C144" t="s">
        <v>523</v>
      </c>
      <c r="D144">
        <v>0</v>
      </c>
      <c r="E144">
        <v>0</v>
      </c>
      <c r="F144" t="s">
        <v>20</v>
      </c>
      <c r="G144">
        <v>0</v>
      </c>
      <c r="H144">
        <v>0</v>
      </c>
      <c r="I144">
        <v>0</v>
      </c>
      <c r="J144">
        <v>0</v>
      </c>
      <c r="K144" t="s">
        <v>504</v>
      </c>
      <c r="L144" s="1">
        <v>5220000000000000</v>
      </c>
      <c r="M144">
        <v>0</v>
      </c>
      <c r="N144">
        <v>0</v>
      </c>
      <c r="O144" s="1">
        <v>4207510568786040</v>
      </c>
      <c r="Q144" t="b">
        <v>0</v>
      </c>
    </row>
    <row r="145" spans="1:17" x14ac:dyDescent="0.35">
      <c r="A145" t="s">
        <v>524</v>
      </c>
      <c r="B145" t="s">
        <v>18</v>
      </c>
      <c r="C145" t="s">
        <v>525</v>
      </c>
      <c r="D145">
        <v>0</v>
      </c>
      <c r="E145">
        <v>0</v>
      </c>
      <c r="F145" t="s">
        <v>20</v>
      </c>
      <c r="G145">
        <v>0</v>
      </c>
      <c r="H145">
        <v>0</v>
      </c>
      <c r="I145">
        <v>0</v>
      </c>
      <c r="J145">
        <v>0</v>
      </c>
      <c r="K145" t="s">
        <v>495</v>
      </c>
      <c r="L145" s="1">
        <v>6300000000000000</v>
      </c>
      <c r="M145">
        <v>0</v>
      </c>
      <c r="N145">
        <v>0</v>
      </c>
      <c r="O145" s="1">
        <v>4207539088674120</v>
      </c>
      <c r="Q145" t="b">
        <v>0</v>
      </c>
    </row>
    <row r="146" spans="1:17" x14ac:dyDescent="0.35">
      <c r="A146" t="s">
        <v>526</v>
      </c>
      <c r="B146" t="s">
        <v>18</v>
      </c>
      <c r="C146" t="s">
        <v>527</v>
      </c>
      <c r="D146">
        <v>0</v>
      </c>
      <c r="E146">
        <v>0</v>
      </c>
      <c r="F146" t="s">
        <v>20</v>
      </c>
      <c r="G146">
        <v>0</v>
      </c>
      <c r="H146">
        <v>0</v>
      </c>
      <c r="I146">
        <v>0</v>
      </c>
      <c r="J146">
        <v>0</v>
      </c>
      <c r="K146" t="s">
        <v>492</v>
      </c>
      <c r="L146" s="1">
        <v>7.56E+16</v>
      </c>
      <c r="M146">
        <v>0</v>
      </c>
      <c r="N146">
        <v>0</v>
      </c>
      <c r="O146" s="1">
        <v>4207567608562200</v>
      </c>
      <c r="Q146" t="b">
        <v>0</v>
      </c>
    </row>
    <row r="147" spans="1:17" x14ac:dyDescent="0.35">
      <c r="A147" t="s">
        <v>528</v>
      </c>
      <c r="B147" t="s">
        <v>18</v>
      </c>
      <c r="C147" t="s">
        <v>529</v>
      </c>
      <c r="D147">
        <v>0</v>
      </c>
      <c r="E147">
        <v>0</v>
      </c>
      <c r="F147" t="s">
        <v>20</v>
      </c>
      <c r="G147">
        <v>0</v>
      </c>
      <c r="H147">
        <v>0</v>
      </c>
      <c r="I147">
        <v>0</v>
      </c>
      <c r="J147">
        <v>0</v>
      </c>
      <c r="K147" t="s">
        <v>483</v>
      </c>
      <c r="L147" t="s">
        <v>160</v>
      </c>
      <c r="M147">
        <v>0</v>
      </c>
      <c r="N147">
        <v>0</v>
      </c>
      <c r="O147" s="1">
        <v>420759612845029</v>
      </c>
      <c r="Q147" t="b">
        <v>0</v>
      </c>
    </row>
    <row r="148" spans="1:17" x14ac:dyDescent="0.35">
      <c r="A148" t="s">
        <v>530</v>
      </c>
      <c r="B148" t="s">
        <v>18</v>
      </c>
      <c r="C148" t="s">
        <v>531</v>
      </c>
      <c r="D148">
        <v>0</v>
      </c>
      <c r="E148">
        <v>0</v>
      </c>
      <c r="F148" t="s">
        <v>20</v>
      </c>
      <c r="G148" t="s">
        <v>532</v>
      </c>
      <c r="H148">
        <v>0</v>
      </c>
      <c r="I148">
        <v>0</v>
      </c>
      <c r="J148">
        <v>0</v>
      </c>
      <c r="K148">
        <v>-2</v>
      </c>
      <c r="L148" t="s">
        <v>244</v>
      </c>
      <c r="M148">
        <v>0</v>
      </c>
      <c r="N148">
        <v>0</v>
      </c>
      <c r="O148" s="1">
        <v>4.2076246483383696E+16</v>
      </c>
      <c r="Q148" t="b">
        <v>0</v>
      </c>
    </row>
    <row r="149" spans="1:17" x14ac:dyDescent="0.35">
      <c r="A149" t="s">
        <v>533</v>
      </c>
      <c r="B149" t="s">
        <v>18</v>
      </c>
      <c r="C149" t="s">
        <v>534</v>
      </c>
      <c r="D149">
        <v>0</v>
      </c>
      <c r="E149" t="s">
        <v>535</v>
      </c>
      <c r="F149" t="s">
        <v>20</v>
      </c>
      <c r="G149" t="s">
        <v>536</v>
      </c>
      <c r="H149">
        <v>0</v>
      </c>
      <c r="I149">
        <v>0</v>
      </c>
      <c r="J149">
        <v>0</v>
      </c>
      <c r="K149" t="s">
        <v>473</v>
      </c>
      <c r="L149" t="s">
        <v>433</v>
      </c>
      <c r="M149">
        <v>0</v>
      </c>
      <c r="N149">
        <v>0</v>
      </c>
      <c r="O149" s="1">
        <v>4207653168226450</v>
      </c>
      <c r="Q149" t="b">
        <v>0</v>
      </c>
    </row>
    <row r="150" spans="1:17" x14ac:dyDescent="0.35">
      <c r="A150" t="s">
        <v>537</v>
      </c>
      <c r="B150" t="s">
        <v>18</v>
      </c>
      <c r="C150" t="s">
        <v>538</v>
      </c>
      <c r="D150">
        <v>0</v>
      </c>
      <c r="E150" t="s">
        <v>539</v>
      </c>
      <c r="F150" t="s">
        <v>20</v>
      </c>
      <c r="G150" t="s">
        <v>540</v>
      </c>
      <c r="H150" s="1">
        <v>1.44999999999999E+16</v>
      </c>
      <c r="I150">
        <v>0</v>
      </c>
      <c r="J150">
        <v>0</v>
      </c>
      <c r="K150" t="s">
        <v>541</v>
      </c>
      <c r="L150" t="s">
        <v>398</v>
      </c>
      <c r="M150">
        <v>0</v>
      </c>
      <c r="N150">
        <v>0</v>
      </c>
      <c r="O150" s="1">
        <v>4207681688114530</v>
      </c>
      <c r="Q150" t="b">
        <v>0</v>
      </c>
    </row>
    <row r="151" spans="1:17" x14ac:dyDescent="0.35">
      <c r="A151" t="s">
        <v>542</v>
      </c>
      <c r="B151" t="s">
        <v>18</v>
      </c>
      <c r="C151" t="s">
        <v>543</v>
      </c>
      <c r="D151">
        <v>0</v>
      </c>
      <c r="E151" t="s">
        <v>544</v>
      </c>
      <c r="F151" t="s">
        <v>20</v>
      </c>
      <c r="G151" t="s">
        <v>545</v>
      </c>
      <c r="H151" s="1">
        <v>1.78499999999999E+16</v>
      </c>
      <c r="I151">
        <v>0</v>
      </c>
      <c r="J151" t="s">
        <v>546</v>
      </c>
      <c r="K151" t="s">
        <v>547</v>
      </c>
      <c r="L151" t="s">
        <v>548</v>
      </c>
      <c r="M151">
        <v>0</v>
      </c>
      <c r="N151">
        <v>0</v>
      </c>
      <c r="O151" s="1">
        <v>4.2077102080026096E+16</v>
      </c>
      <c r="Q151" t="b">
        <v>0</v>
      </c>
    </row>
    <row r="152" spans="1:17" x14ac:dyDescent="0.35">
      <c r="A152" t="s">
        <v>549</v>
      </c>
      <c r="B152" t="s">
        <v>18</v>
      </c>
      <c r="C152" t="s">
        <v>550</v>
      </c>
      <c r="D152">
        <v>0</v>
      </c>
      <c r="E152" t="s">
        <v>551</v>
      </c>
      <c r="F152" t="s">
        <v>20</v>
      </c>
      <c r="G152" t="s">
        <v>552</v>
      </c>
      <c r="H152" s="1">
        <v>5683333333333330</v>
      </c>
      <c r="I152">
        <v>0</v>
      </c>
      <c r="J152" s="1">
        <v>2.895E+16</v>
      </c>
      <c r="K152" s="1">
        <v>-1.7E+16</v>
      </c>
      <c r="L152" s="1">
        <v>2.88E+16</v>
      </c>
      <c r="M152">
        <v>0</v>
      </c>
      <c r="N152">
        <v>0</v>
      </c>
      <c r="O152" s="1">
        <v>4207738727890690</v>
      </c>
      <c r="Q152" t="b">
        <v>0</v>
      </c>
    </row>
    <row r="153" spans="1:17" x14ac:dyDescent="0.35">
      <c r="A153" t="s">
        <v>553</v>
      </c>
      <c r="B153" t="s">
        <v>18</v>
      </c>
      <c r="C153" t="s">
        <v>554</v>
      </c>
      <c r="D153">
        <v>0</v>
      </c>
      <c r="E153" t="s">
        <v>555</v>
      </c>
      <c r="F153" t="s">
        <v>20</v>
      </c>
      <c r="G153" t="s">
        <v>556</v>
      </c>
      <c r="H153" s="1">
        <v>1.01933333333333E+16</v>
      </c>
      <c r="I153">
        <v>0</v>
      </c>
      <c r="J153" t="s">
        <v>557</v>
      </c>
      <c r="K153" t="s">
        <v>462</v>
      </c>
      <c r="L153" s="1">
        <v>2.34E+16</v>
      </c>
      <c r="M153">
        <v>0</v>
      </c>
      <c r="N153">
        <v>0</v>
      </c>
      <c r="O153" s="1">
        <v>4207767247778770</v>
      </c>
      <c r="Q153" t="b">
        <v>0</v>
      </c>
    </row>
    <row r="154" spans="1:17" x14ac:dyDescent="0.35">
      <c r="A154" t="s">
        <v>558</v>
      </c>
      <c r="B154" t="s">
        <v>18</v>
      </c>
      <c r="C154" t="s">
        <v>559</v>
      </c>
      <c r="D154">
        <v>0</v>
      </c>
      <c r="E154" t="s">
        <v>560</v>
      </c>
      <c r="F154" t="s">
        <v>20</v>
      </c>
      <c r="G154" t="s">
        <v>561</v>
      </c>
      <c r="H154" s="1">
        <v>1.23733333333333E+16</v>
      </c>
      <c r="I154">
        <v>0</v>
      </c>
      <c r="J154" t="s">
        <v>562</v>
      </c>
      <c r="K154" t="s">
        <v>459</v>
      </c>
      <c r="L154" t="s">
        <v>103</v>
      </c>
      <c r="M154">
        <v>0</v>
      </c>
      <c r="N154">
        <v>0</v>
      </c>
      <c r="O154" s="1">
        <v>4207795767666860</v>
      </c>
      <c r="Q154" t="b">
        <v>0</v>
      </c>
    </row>
    <row r="155" spans="1:17" x14ac:dyDescent="0.35">
      <c r="A155" t="s">
        <v>563</v>
      </c>
      <c r="B155" t="s">
        <v>18</v>
      </c>
      <c r="C155" t="s">
        <v>564</v>
      </c>
      <c r="D155">
        <v>0</v>
      </c>
      <c r="E155" t="s">
        <v>565</v>
      </c>
      <c r="F155" t="s">
        <v>20</v>
      </c>
      <c r="G155" t="s">
        <v>566</v>
      </c>
      <c r="H155" t="s">
        <v>567</v>
      </c>
      <c r="I155">
        <v>0</v>
      </c>
      <c r="J155" t="s">
        <v>568</v>
      </c>
      <c r="K155" t="s">
        <v>453</v>
      </c>
      <c r="L155" s="1">
        <v>3.78E+16</v>
      </c>
      <c r="M155">
        <v>0</v>
      </c>
      <c r="N155">
        <v>0</v>
      </c>
      <c r="O155" s="1">
        <v>4207824287554940</v>
      </c>
      <c r="Q155" t="b">
        <v>0</v>
      </c>
    </row>
    <row r="156" spans="1:17" x14ac:dyDescent="0.35">
      <c r="A156" t="s">
        <v>569</v>
      </c>
      <c r="B156" t="s">
        <v>18</v>
      </c>
      <c r="C156" t="s">
        <v>570</v>
      </c>
      <c r="D156">
        <v>0</v>
      </c>
      <c r="E156" t="s">
        <v>571</v>
      </c>
      <c r="F156" t="s">
        <v>20</v>
      </c>
      <c r="G156" t="s">
        <v>572</v>
      </c>
      <c r="H156" s="1">
        <v>1.46283333333333E+16</v>
      </c>
      <c r="I156">
        <v>0</v>
      </c>
      <c r="J156" t="s">
        <v>573</v>
      </c>
      <c r="K156" t="s">
        <v>574</v>
      </c>
      <c r="L156" t="s">
        <v>575</v>
      </c>
      <c r="M156">
        <v>0</v>
      </c>
      <c r="N156">
        <v>0</v>
      </c>
      <c r="O156" s="1">
        <v>4207852807443020</v>
      </c>
      <c r="Q156" t="b">
        <v>0</v>
      </c>
    </row>
    <row r="157" spans="1:17" x14ac:dyDescent="0.35">
      <c r="A157" t="s">
        <v>576</v>
      </c>
      <c r="B157" t="s">
        <v>18</v>
      </c>
      <c r="C157" t="s">
        <v>577</v>
      </c>
      <c r="D157">
        <v>0</v>
      </c>
      <c r="E157" t="s">
        <v>578</v>
      </c>
      <c r="F157" t="s">
        <v>20</v>
      </c>
      <c r="G157" t="s">
        <v>579</v>
      </c>
      <c r="H157" s="1">
        <v>1.69083333333333E+16</v>
      </c>
      <c r="I157">
        <v>0</v>
      </c>
      <c r="J157" t="s">
        <v>580</v>
      </c>
      <c r="K157" t="s">
        <v>581</v>
      </c>
      <c r="L157" s="1">
        <v>5760000000000000</v>
      </c>
      <c r="M157">
        <v>0</v>
      </c>
      <c r="N157">
        <v>0</v>
      </c>
      <c r="O157" s="1">
        <v>4207881327331100</v>
      </c>
      <c r="Q157" t="b">
        <v>0</v>
      </c>
    </row>
    <row r="158" spans="1:17" x14ac:dyDescent="0.35">
      <c r="A158" t="s">
        <v>582</v>
      </c>
      <c r="B158" t="s">
        <v>18</v>
      </c>
      <c r="C158" t="s">
        <v>583</v>
      </c>
      <c r="D158">
        <v>0</v>
      </c>
      <c r="E158" t="s">
        <v>584</v>
      </c>
      <c r="F158" t="s">
        <v>20</v>
      </c>
      <c r="G158" t="s">
        <v>585</v>
      </c>
      <c r="H158" s="1">
        <v>1.75316666666666E+16</v>
      </c>
      <c r="I158">
        <v>0</v>
      </c>
      <c r="J158" s="1">
        <v>9744999999999990</v>
      </c>
      <c r="K158" t="s">
        <v>175</v>
      </c>
      <c r="L158" s="1">
        <v>7020000000000000</v>
      </c>
      <c r="M158">
        <v>0</v>
      </c>
      <c r="N158">
        <v>0</v>
      </c>
      <c r="O158" s="1">
        <v>4207909847219180</v>
      </c>
      <c r="Q158" t="b">
        <v>0</v>
      </c>
    </row>
    <row r="159" spans="1:17" x14ac:dyDescent="0.35">
      <c r="A159" t="s">
        <v>586</v>
      </c>
      <c r="B159" t="s">
        <v>18</v>
      </c>
      <c r="C159" t="s">
        <v>587</v>
      </c>
      <c r="D159">
        <v>0</v>
      </c>
      <c r="E159" t="s">
        <v>588</v>
      </c>
      <c r="F159" t="s">
        <v>20</v>
      </c>
      <c r="G159" t="s">
        <v>589</v>
      </c>
      <c r="H159" t="s">
        <v>590</v>
      </c>
      <c r="I159">
        <v>0</v>
      </c>
      <c r="J159">
        <v>105</v>
      </c>
      <c r="K159" t="s">
        <v>591</v>
      </c>
      <c r="L159" t="s">
        <v>160</v>
      </c>
      <c r="M159">
        <v>0</v>
      </c>
      <c r="N159">
        <v>0</v>
      </c>
      <c r="O159" s="1">
        <v>4.20793836710726E+16</v>
      </c>
      <c r="Q159" t="b">
        <v>0</v>
      </c>
    </row>
    <row r="160" spans="1:17" x14ac:dyDescent="0.35">
      <c r="A160" t="s">
        <v>592</v>
      </c>
      <c r="B160" t="s">
        <v>18</v>
      </c>
      <c r="C160" t="s">
        <v>593</v>
      </c>
      <c r="D160">
        <v>0</v>
      </c>
      <c r="E160" t="s">
        <v>594</v>
      </c>
      <c r="F160" t="s">
        <v>20</v>
      </c>
      <c r="G160" t="s">
        <v>595</v>
      </c>
      <c r="H160" s="1">
        <v>1.96033333333333E+16</v>
      </c>
      <c r="I160">
        <v>0</v>
      </c>
      <c r="J160" s="1">
        <v>1.1305E+16</v>
      </c>
      <c r="K160" t="s">
        <v>596</v>
      </c>
      <c r="L160" s="1">
        <v>7.56E+16</v>
      </c>
      <c r="M160">
        <v>0</v>
      </c>
      <c r="N160">
        <v>0</v>
      </c>
      <c r="O160" s="1">
        <v>4207966886995350</v>
      </c>
      <c r="Q160" t="b">
        <v>0</v>
      </c>
    </row>
    <row r="161" spans="1:17" x14ac:dyDescent="0.35">
      <c r="A161" t="s">
        <v>597</v>
      </c>
      <c r="B161" t="s">
        <v>18</v>
      </c>
      <c r="C161" t="s">
        <v>598</v>
      </c>
      <c r="D161">
        <v>0</v>
      </c>
      <c r="E161" t="s">
        <v>599</v>
      </c>
      <c r="F161" t="s">
        <v>20</v>
      </c>
      <c r="G161" t="s">
        <v>600</v>
      </c>
      <c r="H161" s="1">
        <v>1.76399999999999E+16</v>
      </c>
      <c r="I161">
        <v>0</v>
      </c>
      <c r="J161" t="s">
        <v>601</v>
      </c>
      <c r="K161" t="s">
        <v>602</v>
      </c>
      <c r="L161" s="1">
        <v>7.56E+16</v>
      </c>
      <c r="M161">
        <v>0</v>
      </c>
      <c r="N161">
        <v>0</v>
      </c>
      <c r="O161" s="1">
        <v>4207995406883430</v>
      </c>
      <c r="Q161" t="b">
        <v>0</v>
      </c>
    </row>
    <row r="162" spans="1:17" x14ac:dyDescent="0.35">
      <c r="A162" t="s">
        <v>603</v>
      </c>
      <c r="B162" t="s">
        <v>18</v>
      </c>
      <c r="C162" t="s">
        <v>604</v>
      </c>
      <c r="D162">
        <v>0</v>
      </c>
      <c r="E162" t="s">
        <v>605</v>
      </c>
      <c r="F162" t="s">
        <v>20</v>
      </c>
      <c r="G162" t="s">
        <v>606</v>
      </c>
      <c r="H162" t="s">
        <v>607</v>
      </c>
      <c r="I162">
        <v>0</v>
      </c>
      <c r="J162" t="s">
        <v>608</v>
      </c>
      <c r="K162" t="s">
        <v>135</v>
      </c>
      <c r="L162" t="s">
        <v>306</v>
      </c>
      <c r="M162">
        <v>0</v>
      </c>
      <c r="N162">
        <v>0</v>
      </c>
      <c r="O162" s="1">
        <v>4208023926771510</v>
      </c>
      <c r="Q162" t="b">
        <v>0</v>
      </c>
    </row>
    <row r="163" spans="1:17" x14ac:dyDescent="0.35">
      <c r="A163" t="s">
        <v>609</v>
      </c>
      <c r="B163" t="s">
        <v>18</v>
      </c>
      <c r="C163" t="s">
        <v>610</v>
      </c>
      <c r="D163">
        <v>0</v>
      </c>
      <c r="E163" t="s">
        <v>611</v>
      </c>
      <c r="F163" t="s">
        <v>20</v>
      </c>
      <c r="G163" t="s">
        <v>612</v>
      </c>
      <c r="H163" t="s">
        <v>613</v>
      </c>
      <c r="I163">
        <v>0</v>
      </c>
      <c r="J163" t="s">
        <v>614</v>
      </c>
      <c r="K163" t="s">
        <v>131</v>
      </c>
      <c r="L163" s="1">
        <v>6660000000000000</v>
      </c>
      <c r="M163">
        <v>0</v>
      </c>
      <c r="N163">
        <v>0</v>
      </c>
      <c r="O163" s="1">
        <v>4208052446659590</v>
      </c>
      <c r="Q163" t="b">
        <v>0</v>
      </c>
    </row>
    <row r="164" spans="1:17" x14ac:dyDescent="0.35">
      <c r="A164" t="s">
        <v>615</v>
      </c>
      <c r="B164" t="s">
        <v>18</v>
      </c>
      <c r="C164" t="s">
        <v>616</v>
      </c>
      <c r="D164">
        <v>0</v>
      </c>
      <c r="E164" t="s">
        <v>617</v>
      </c>
      <c r="F164" t="s">
        <v>20</v>
      </c>
      <c r="G164" t="s">
        <v>618</v>
      </c>
      <c r="H164" s="1">
        <v>1.43416666666666E+16</v>
      </c>
      <c r="I164">
        <v>0</v>
      </c>
      <c r="J164">
        <v>159</v>
      </c>
      <c r="K164" t="s">
        <v>102</v>
      </c>
      <c r="L164" t="s">
        <v>244</v>
      </c>
      <c r="M164">
        <v>0</v>
      </c>
      <c r="N164">
        <v>0</v>
      </c>
      <c r="O164" s="1">
        <v>4208080966547670</v>
      </c>
      <c r="Q164" t="b">
        <v>0</v>
      </c>
    </row>
    <row r="165" spans="1:17" x14ac:dyDescent="0.35">
      <c r="A165" t="s">
        <v>619</v>
      </c>
      <c r="B165" t="s">
        <v>18</v>
      </c>
      <c r="C165" t="s">
        <v>620</v>
      </c>
      <c r="D165">
        <v>0</v>
      </c>
      <c r="E165" t="s">
        <v>621</v>
      </c>
      <c r="F165" t="s">
        <v>20</v>
      </c>
      <c r="G165" t="s">
        <v>622</v>
      </c>
      <c r="H165" s="1">
        <v>1.55883333333333E+16</v>
      </c>
      <c r="I165">
        <v>0</v>
      </c>
      <c r="J165" t="s">
        <v>623</v>
      </c>
      <c r="K165" t="s">
        <v>85</v>
      </c>
      <c r="L165" t="s">
        <v>82</v>
      </c>
      <c r="M165">
        <v>0</v>
      </c>
      <c r="N165">
        <v>0</v>
      </c>
      <c r="O165" s="1">
        <v>4208109486435750</v>
      </c>
      <c r="Q165" t="b">
        <v>0</v>
      </c>
    </row>
    <row r="166" spans="1:17" x14ac:dyDescent="0.35">
      <c r="A166" t="s">
        <v>624</v>
      </c>
      <c r="B166" t="s">
        <v>18</v>
      </c>
      <c r="C166" t="s">
        <v>625</v>
      </c>
      <c r="D166">
        <v>0</v>
      </c>
      <c r="E166" t="s">
        <v>626</v>
      </c>
      <c r="F166" t="s">
        <v>20</v>
      </c>
      <c r="G166" t="s">
        <v>627</v>
      </c>
      <c r="H166" s="1">
        <v>1.76916666666666E+16</v>
      </c>
      <c r="I166">
        <v>0</v>
      </c>
      <c r="J166" t="s">
        <v>628</v>
      </c>
      <c r="K166" t="s">
        <v>78</v>
      </c>
      <c r="L166" t="s">
        <v>306</v>
      </c>
      <c r="M166">
        <v>0</v>
      </c>
      <c r="N166">
        <v>0</v>
      </c>
      <c r="O166" s="1">
        <v>420813800632384</v>
      </c>
      <c r="Q166" t="b">
        <v>0</v>
      </c>
    </row>
    <row r="167" spans="1:17" x14ac:dyDescent="0.35">
      <c r="A167" t="s">
        <v>629</v>
      </c>
      <c r="B167" t="s">
        <v>18</v>
      </c>
      <c r="C167" t="s">
        <v>630</v>
      </c>
      <c r="D167">
        <v>0</v>
      </c>
      <c r="E167" t="s">
        <v>631</v>
      </c>
      <c r="F167" t="s">
        <v>20</v>
      </c>
      <c r="G167" t="s">
        <v>632</v>
      </c>
      <c r="H167" s="1">
        <v>1.83916666666666E+16</v>
      </c>
      <c r="I167">
        <v>0</v>
      </c>
      <c r="J167" s="1">
        <v>1.67149999999999E+16</v>
      </c>
      <c r="K167" t="s">
        <v>633</v>
      </c>
      <c r="L167" t="s">
        <v>82</v>
      </c>
      <c r="M167">
        <v>0</v>
      </c>
      <c r="N167">
        <v>0</v>
      </c>
      <c r="O167" s="1">
        <v>4208166526211920</v>
      </c>
      <c r="Q167" t="b">
        <v>0</v>
      </c>
    </row>
    <row r="168" spans="1:17" x14ac:dyDescent="0.35">
      <c r="A168" t="s">
        <v>634</v>
      </c>
      <c r="B168" t="s">
        <v>18</v>
      </c>
      <c r="C168" t="s">
        <v>635</v>
      </c>
      <c r="D168">
        <v>0</v>
      </c>
      <c r="E168" t="s">
        <v>636</v>
      </c>
      <c r="F168" t="s">
        <v>20</v>
      </c>
      <c r="G168" t="s">
        <v>637</v>
      </c>
      <c r="H168" s="1">
        <v>1.53016666666666E+16</v>
      </c>
      <c r="I168">
        <v>0</v>
      </c>
      <c r="J168" t="s">
        <v>638</v>
      </c>
      <c r="K168" s="1">
        <v>1.29999999999999E+16</v>
      </c>
      <c r="L168" s="1">
        <v>6300000000000000</v>
      </c>
      <c r="M168">
        <v>0</v>
      </c>
      <c r="N168">
        <v>0</v>
      </c>
      <c r="O168" s="1">
        <v>4208195046100000</v>
      </c>
      <c r="Q168" t="b">
        <v>0</v>
      </c>
    </row>
    <row r="169" spans="1:17" x14ac:dyDescent="0.35">
      <c r="A169" t="s">
        <v>639</v>
      </c>
      <c r="B169" t="s">
        <v>18</v>
      </c>
      <c r="C169" t="s">
        <v>640</v>
      </c>
      <c r="D169">
        <v>0</v>
      </c>
      <c r="E169" t="s">
        <v>641</v>
      </c>
      <c r="F169" t="s">
        <v>20</v>
      </c>
      <c r="G169" t="s">
        <v>642</v>
      </c>
      <c r="H169" s="1">
        <v>2.04133333333333E+16</v>
      </c>
      <c r="I169">
        <v>0</v>
      </c>
      <c r="J169" s="1">
        <v>1.7685E+16</v>
      </c>
      <c r="K169" t="s">
        <v>21</v>
      </c>
      <c r="L169" t="s">
        <v>123</v>
      </c>
      <c r="M169">
        <v>0</v>
      </c>
      <c r="N169">
        <v>0</v>
      </c>
      <c r="O169" s="1">
        <v>4208223565988080</v>
      </c>
      <c r="Q169" t="b">
        <v>0</v>
      </c>
    </row>
    <row r="170" spans="1:17" x14ac:dyDescent="0.35">
      <c r="A170" t="s">
        <v>643</v>
      </c>
      <c r="B170" t="s">
        <v>18</v>
      </c>
      <c r="C170" t="s">
        <v>644</v>
      </c>
      <c r="D170">
        <v>0</v>
      </c>
      <c r="E170" t="s">
        <v>645</v>
      </c>
      <c r="F170" t="s">
        <v>20</v>
      </c>
      <c r="G170" t="s">
        <v>646</v>
      </c>
      <c r="H170" s="1">
        <v>2.15033333333333E+16</v>
      </c>
      <c r="I170">
        <v>0</v>
      </c>
      <c r="J170" t="s">
        <v>647</v>
      </c>
      <c r="K170" t="s">
        <v>274</v>
      </c>
      <c r="L170" t="s">
        <v>398</v>
      </c>
      <c r="M170">
        <v>0</v>
      </c>
      <c r="N170">
        <v>0</v>
      </c>
      <c r="O170" s="1">
        <v>4.20825208587616E+16</v>
      </c>
      <c r="Q170" t="b">
        <v>0</v>
      </c>
    </row>
    <row r="171" spans="1:17" x14ac:dyDescent="0.35">
      <c r="A171" t="s">
        <v>648</v>
      </c>
      <c r="B171" t="s">
        <v>18</v>
      </c>
      <c r="C171" t="s">
        <v>649</v>
      </c>
      <c r="D171">
        <v>0</v>
      </c>
      <c r="E171" t="s">
        <v>650</v>
      </c>
      <c r="F171" t="s">
        <v>20</v>
      </c>
      <c r="G171" t="s">
        <v>651</v>
      </c>
      <c r="H171" s="1">
        <v>1.81683333333333E+16</v>
      </c>
      <c r="I171">
        <v>0</v>
      </c>
      <c r="J171" t="s">
        <v>652</v>
      </c>
      <c r="K171">
        <v>2</v>
      </c>
      <c r="L171" s="1">
        <v>4680000000000000</v>
      </c>
      <c r="M171">
        <v>0</v>
      </c>
      <c r="N171">
        <v>0</v>
      </c>
      <c r="O171" s="1">
        <v>4208280605764240</v>
      </c>
      <c r="Q171" t="b">
        <v>0</v>
      </c>
    </row>
    <row r="172" spans="1:17" x14ac:dyDescent="0.35">
      <c r="A172" t="s">
        <v>653</v>
      </c>
      <c r="B172" t="s">
        <v>18</v>
      </c>
      <c r="C172" t="s">
        <v>654</v>
      </c>
      <c r="D172">
        <v>0</v>
      </c>
      <c r="E172" t="s">
        <v>655</v>
      </c>
      <c r="F172" t="s">
        <v>20</v>
      </c>
      <c r="G172" t="s">
        <v>656</v>
      </c>
      <c r="H172" s="1">
        <v>1.84399999999999E+16</v>
      </c>
      <c r="I172">
        <v>0</v>
      </c>
      <c r="J172" t="s">
        <v>657</v>
      </c>
      <c r="K172" t="s">
        <v>380</v>
      </c>
      <c r="L172" s="1">
        <v>5220000000000000</v>
      </c>
      <c r="M172">
        <v>0</v>
      </c>
      <c r="N172">
        <v>0</v>
      </c>
      <c r="O172" s="1">
        <v>4208309125652320</v>
      </c>
      <c r="Q172" t="b">
        <v>0</v>
      </c>
    </row>
    <row r="173" spans="1:17" x14ac:dyDescent="0.35">
      <c r="A173" t="s">
        <v>658</v>
      </c>
      <c r="B173" t="s">
        <v>18</v>
      </c>
      <c r="C173" t="s">
        <v>659</v>
      </c>
      <c r="D173">
        <v>0</v>
      </c>
      <c r="E173" t="s">
        <v>660</v>
      </c>
      <c r="F173" t="s">
        <v>20</v>
      </c>
      <c r="G173" t="s">
        <v>661</v>
      </c>
      <c r="H173" s="1">
        <v>2.09566666666666E+16</v>
      </c>
      <c r="I173">
        <v>0</v>
      </c>
      <c r="J173" t="s">
        <v>662</v>
      </c>
      <c r="K173" t="s">
        <v>663</v>
      </c>
      <c r="L173" t="s">
        <v>664</v>
      </c>
      <c r="M173">
        <v>0</v>
      </c>
      <c r="N173">
        <v>0</v>
      </c>
      <c r="O173" s="1">
        <v>4208337645540410</v>
      </c>
      <c r="Q173" t="b">
        <v>0</v>
      </c>
    </row>
    <row r="174" spans="1:17" x14ac:dyDescent="0.35">
      <c r="A174" t="s">
        <v>665</v>
      </c>
      <c r="B174" t="s">
        <v>18</v>
      </c>
      <c r="C174" t="s">
        <v>666</v>
      </c>
      <c r="D174">
        <v>0</v>
      </c>
      <c r="E174" t="s">
        <v>667</v>
      </c>
      <c r="F174" t="s">
        <v>20</v>
      </c>
      <c r="G174" t="s">
        <v>668</v>
      </c>
      <c r="H174" t="s">
        <v>669</v>
      </c>
      <c r="I174">
        <v>0</v>
      </c>
      <c r="J174" t="s">
        <v>670</v>
      </c>
      <c r="K174" t="s">
        <v>671</v>
      </c>
      <c r="L174" t="s">
        <v>672</v>
      </c>
      <c r="M174">
        <v>0</v>
      </c>
      <c r="N174">
        <v>0</v>
      </c>
      <c r="O174" s="1">
        <v>4208366165428490</v>
      </c>
      <c r="Q174" t="b">
        <v>0</v>
      </c>
    </row>
    <row r="175" spans="1:17" x14ac:dyDescent="0.35">
      <c r="A175" t="s">
        <v>673</v>
      </c>
      <c r="B175" t="s">
        <v>18</v>
      </c>
      <c r="C175" t="s">
        <v>674</v>
      </c>
      <c r="D175">
        <v>0</v>
      </c>
      <c r="E175" t="s">
        <v>675</v>
      </c>
      <c r="F175" t="s">
        <v>20</v>
      </c>
      <c r="G175" t="s">
        <v>676</v>
      </c>
      <c r="H175" t="s">
        <v>677</v>
      </c>
      <c r="I175">
        <v>0</v>
      </c>
      <c r="J175" t="s">
        <v>678</v>
      </c>
      <c r="K175" t="s">
        <v>299</v>
      </c>
      <c r="L175" t="s">
        <v>132</v>
      </c>
      <c r="M175">
        <v>0</v>
      </c>
      <c r="N175">
        <v>0</v>
      </c>
      <c r="O175" s="1">
        <v>4208394685316570</v>
      </c>
      <c r="Q175" t="b">
        <v>0</v>
      </c>
    </row>
    <row r="176" spans="1:17" x14ac:dyDescent="0.35">
      <c r="A176" t="s">
        <v>679</v>
      </c>
      <c r="B176" t="s">
        <v>18</v>
      </c>
      <c r="C176" t="s">
        <v>680</v>
      </c>
      <c r="D176">
        <v>0</v>
      </c>
      <c r="E176" t="s">
        <v>681</v>
      </c>
      <c r="F176" t="s">
        <v>20</v>
      </c>
      <c r="G176" t="s">
        <v>682</v>
      </c>
      <c r="H176" s="1">
        <v>2996333333333330</v>
      </c>
      <c r="I176">
        <v>0</v>
      </c>
      <c r="J176" t="s">
        <v>683</v>
      </c>
      <c r="K176" t="s">
        <v>312</v>
      </c>
      <c r="L176" s="1">
        <v>4140000000000000</v>
      </c>
      <c r="M176">
        <v>0</v>
      </c>
      <c r="N176">
        <v>0</v>
      </c>
      <c r="O176" s="1">
        <v>4208423205204650</v>
      </c>
      <c r="Q176" t="b">
        <v>0</v>
      </c>
    </row>
    <row r="177" spans="1:17" x14ac:dyDescent="0.35">
      <c r="A177" t="s">
        <v>684</v>
      </c>
      <c r="B177" t="s">
        <v>18</v>
      </c>
      <c r="C177" t="s">
        <v>685</v>
      </c>
      <c r="D177">
        <v>0</v>
      </c>
      <c r="E177" t="s">
        <v>686</v>
      </c>
      <c r="F177" t="s">
        <v>20</v>
      </c>
      <c r="G177" t="s">
        <v>687</v>
      </c>
      <c r="H177" t="s">
        <v>688</v>
      </c>
      <c r="I177">
        <v>0</v>
      </c>
      <c r="J177" t="s">
        <v>689</v>
      </c>
      <c r="K177" t="s">
        <v>324</v>
      </c>
      <c r="L177" s="1">
        <v>7380000000000000</v>
      </c>
      <c r="M177">
        <v>0</v>
      </c>
      <c r="N177">
        <v>0</v>
      </c>
      <c r="O177" s="1">
        <v>4208451725092730</v>
      </c>
      <c r="Q177" t="b">
        <v>0</v>
      </c>
    </row>
    <row r="178" spans="1:17" x14ac:dyDescent="0.35">
      <c r="A178" t="s">
        <v>690</v>
      </c>
      <c r="B178" t="s">
        <v>18</v>
      </c>
      <c r="C178" t="s">
        <v>691</v>
      </c>
      <c r="D178">
        <v>0</v>
      </c>
      <c r="E178" t="s">
        <v>692</v>
      </c>
      <c r="F178" t="s">
        <v>20</v>
      </c>
      <c r="G178" t="s">
        <v>693</v>
      </c>
      <c r="H178" s="1">
        <v>2.52249999999999E+16</v>
      </c>
      <c r="I178">
        <v>0</v>
      </c>
      <c r="J178" t="s">
        <v>694</v>
      </c>
      <c r="K178" s="1">
        <v>2.9E+16</v>
      </c>
      <c r="L178" t="s">
        <v>176</v>
      </c>
      <c r="M178">
        <v>0</v>
      </c>
      <c r="N178">
        <v>0</v>
      </c>
      <c r="O178" s="1">
        <v>4.2084802449808096E+16</v>
      </c>
      <c r="Q178" t="b">
        <v>0</v>
      </c>
    </row>
    <row r="179" spans="1:17" x14ac:dyDescent="0.35">
      <c r="A179" t="s">
        <v>695</v>
      </c>
      <c r="B179" t="s">
        <v>18</v>
      </c>
      <c r="C179" t="s">
        <v>696</v>
      </c>
      <c r="D179">
        <v>0</v>
      </c>
      <c r="E179" t="s">
        <v>697</v>
      </c>
      <c r="F179" t="s">
        <v>20</v>
      </c>
      <c r="G179" t="s">
        <v>698</v>
      </c>
      <c r="H179" s="1">
        <v>1.56066666666666E+16</v>
      </c>
      <c r="I179">
        <v>0</v>
      </c>
      <c r="J179" t="s">
        <v>699</v>
      </c>
      <c r="K179" s="1">
        <v>2.9E+16</v>
      </c>
      <c r="L179" s="1">
        <v>1.062E+16</v>
      </c>
      <c r="M179">
        <v>0</v>
      </c>
      <c r="N179">
        <v>0</v>
      </c>
      <c r="O179" s="1">
        <v>4208508764868900</v>
      </c>
      <c r="Q179" t="b">
        <v>0</v>
      </c>
    </row>
    <row r="180" spans="1:17" x14ac:dyDescent="0.35">
      <c r="A180" t="s">
        <v>700</v>
      </c>
      <c r="B180" t="s">
        <v>18</v>
      </c>
      <c r="C180" t="s">
        <v>701</v>
      </c>
      <c r="D180">
        <v>0</v>
      </c>
      <c r="E180">
        <v>0</v>
      </c>
      <c r="F180" t="s">
        <v>20</v>
      </c>
      <c r="G180" t="s">
        <v>702</v>
      </c>
      <c r="H180" s="1">
        <v>1.10299999999999E+16</v>
      </c>
      <c r="I180">
        <v>0</v>
      </c>
      <c r="J180" t="s">
        <v>703</v>
      </c>
      <c r="K180" t="s">
        <v>704</v>
      </c>
      <c r="L180" t="s">
        <v>269</v>
      </c>
      <c r="M180">
        <v>0</v>
      </c>
      <c r="N180">
        <v>0</v>
      </c>
      <c r="O180" s="1">
        <v>4208537284756980</v>
      </c>
      <c r="Q180" t="b">
        <v>0</v>
      </c>
    </row>
    <row r="181" spans="1:17" x14ac:dyDescent="0.35">
      <c r="A181" t="s">
        <v>705</v>
      </c>
      <c r="B181" t="s">
        <v>18</v>
      </c>
      <c r="C181" t="s">
        <v>706</v>
      </c>
      <c r="D181">
        <v>0</v>
      </c>
      <c r="E181">
        <v>0</v>
      </c>
      <c r="F181" t="s">
        <v>20</v>
      </c>
      <c r="G181" t="s">
        <v>707</v>
      </c>
      <c r="H181" s="1">
        <v>9678333333333330</v>
      </c>
      <c r="I181">
        <v>0</v>
      </c>
      <c r="J181" t="s">
        <v>708</v>
      </c>
      <c r="K181" t="s">
        <v>704</v>
      </c>
      <c r="L181" t="s">
        <v>709</v>
      </c>
      <c r="M181">
        <v>0</v>
      </c>
      <c r="N181">
        <v>0</v>
      </c>
      <c r="O181" s="1">
        <v>4208565804645060</v>
      </c>
      <c r="Q181" t="b">
        <v>0</v>
      </c>
    </row>
    <row r="182" spans="1:17" x14ac:dyDescent="0.35">
      <c r="A182" t="s">
        <v>710</v>
      </c>
      <c r="B182" t="s">
        <v>18</v>
      </c>
      <c r="C182" t="s">
        <v>711</v>
      </c>
      <c r="D182">
        <v>0</v>
      </c>
      <c r="E182">
        <v>0</v>
      </c>
      <c r="F182" t="s">
        <v>20</v>
      </c>
      <c r="G182" t="s">
        <v>712</v>
      </c>
      <c r="H182" t="s">
        <v>713</v>
      </c>
      <c r="I182">
        <v>0</v>
      </c>
      <c r="J182" t="s">
        <v>714</v>
      </c>
      <c r="K182" t="s">
        <v>704</v>
      </c>
      <c r="L182" s="1">
        <v>6120000000000000</v>
      </c>
      <c r="M182">
        <v>0</v>
      </c>
      <c r="N182">
        <v>0</v>
      </c>
      <c r="O182" s="1">
        <v>4208594324533140</v>
      </c>
      <c r="Q182" t="b">
        <v>0</v>
      </c>
    </row>
    <row r="183" spans="1:17" x14ac:dyDescent="0.35">
      <c r="A183" t="s">
        <v>715</v>
      </c>
      <c r="B183" t="s">
        <v>18</v>
      </c>
      <c r="C183" t="s">
        <v>716</v>
      </c>
      <c r="D183">
        <v>0</v>
      </c>
      <c r="E183">
        <v>0</v>
      </c>
      <c r="F183" t="s">
        <v>20</v>
      </c>
      <c r="G183">
        <v>0</v>
      </c>
      <c r="H183" s="1">
        <v>5033333333333330</v>
      </c>
      <c r="I183">
        <v>0</v>
      </c>
      <c r="J183">
        <v>20</v>
      </c>
      <c r="K183" t="s">
        <v>704</v>
      </c>
      <c r="L183" s="1">
        <v>6120000000000000</v>
      </c>
      <c r="M183">
        <v>0</v>
      </c>
      <c r="N183">
        <v>0</v>
      </c>
      <c r="O183" s="1">
        <v>4208622844421220</v>
      </c>
      <c r="Q183" t="b">
        <v>0</v>
      </c>
    </row>
    <row r="184" spans="1:17" x14ac:dyDescent="0.35">
      <c r="A184" t="s">
        <v>717</v>
      </c>
      <c r="B184" t="s">
        <v>18</v>
      </c>
      <c r="C184" t="s">
        <v>718</v>
      </c>
      <c r="D184">
        <v>0</v>
      </c>
      <c r="E184">
        <v>0</v>
      </c>
      <c r="F184" t="s">
        <v>20</v>
      </c>
      <c r="G184">
        <v>0</v>
      </c>
      <c r="H184" t="s">
        <v>719</v>
      </c>
      <c r="I184">
        <v>0</v>
      </c>
      <c r="J184" t="s">
        <v>720</v>
      </c>
      <c r="K184" t="s">
        <v>704</v>
      </c>
      <c r="L184" s="1">
        <v>6120000000000000</v>
      </c>
      <c r="M184">
        <v>0</v>
      </c>
      <c r="N184">
        <v>0</v>
      </c>
      <c r="O184" s="1">
        <v>4208651364309300</v>
      </c>
      <c r="Q184" t="b">
        <v>0</v>
      </c>
    </row>
    <row r="185" spans="1:17" x14ac:dyDescent="0.35">
      <c r="A185" t="s">
        <v>721</v>
      </c>
      <c r="B185" t="s">
        <v>18</v>
      </c>
      <c r="C185" t="s">
        <v>722</v>
      </c>
      <c r="D185">
        <v>0</v>
      </c>
      <c r="E185">
        <v>0</v>
      </c>
      <c r="F185" t="s">
        <v>20</v>
      </c>
      <c r="G185">
        <v>0</v>
      </c>
      <c r="H185" s="1">
        <v>1996666666666660</v>
      </c>
      <c r="I185">
        <v>0</v>
      </c>
      <c r="J185">
        <v>9</v>
      </c>
      <c r="K185" t="s">
        <v>704</v>
      </c>
      <c r="L185" s="1">
        <v>6120000000000000</v>
      </c>
      <c r="M185">
        <v>0</v>
      </c>
      <c r="N185">
        <v>0</v>
      </c>
      <c r="O185" s="1">
        <v>420867988419739</v>
      </c>
      <c r="Q185" t="b">
        <v>0</v>
      </c>
    </row>
    <row r="186" spans="1:17" x14ac:dyDescent="0.35">
      <c r="A186" t="s">
        <v>723</v>
      </c>
      <c r="B186" t="s">
        <v>18</v>
      </c>
      <c r="C186" t="s">
        <v>724</v>
      </c>
      <c r="D186">
        <v>0</v>
      </c>
      <c r="E186">
        <v>0</v>
      </c>
      <c r="F186" t="s">
        <v>20</v>
      </c>
      <c r="G186">
        <v>0</v>
      </c>
      <c r="H186" s="1">
        <v>1996666666666660</v>
      </c>
      <c r="I186">
        <v>0</v>
      </c>
      <c r="J186">
        <v>9</v>
      </c>
      <c r="K186" t="s">
        <v>93</v>
      </c>
      <c r="L186" t="s">
        <v>512</v>
      </c>
      <c r="M186">
        <v>0</v>
      </c>
      <c r="N186">
        <v>0</v>
      </c>
      <c r="O186" s="1">
        <v>4208708404085470</v>
      </c>
      <c r="Q186" t="b">
        <v>0</v>
      </c>
    </row>
    <row r="187" spans="1:17" x14ac:dyDescent="0.35">
      <c r="A187" t="s">
        <v>725</v>
      </c>
      <c r="B187" t="s">
        <v>18</v>
      </c>
      <c r="C187" t="s">
        <v>726</v>
      </c>
      <c r="D187">
        <v>0</v>
      </c>
      <c r="E187">
        <v>0</v>
      </c>
      <c r="F187" t="s">
        <v>20</v>
      </c>
      <c r="G187">
        <v>0</v>
      </c>
      <c r="H187">
        <v>0</v>
      </c>
      <c r="I187">
        <v>0</v>
      </c>
      <c r="J187">
        <v>0</v>
      </c>
      <c r="K187" t="s">
        <v>727</v>
      </c>
      <c r="L187" s="1">
        <v>4140000000000000</v>
      </c>
      <c r="M187">
        <v>0</v>
      </c>
      <c r="N187">
        <v>0</v>
      </c>
      <c r="O187" s="1">
        <v>4208736923973550</v>
      </c>
      <c r="Q187" t="b">
        <v>0</v>
      </c>
    </row>
    <row r="188" spans="1:17" x14ac:dyDescent="0.35">
      <c r="A188" t="s">
        <v>728</v>
      </c>
      <c r="B188" t="s">
        <v>18</v>
      </c>
      <c r="C188" t="s">
        <v>729</v>
      </c>
      <c r="D188">
        <v>0</v>
      </c>
      <c r="E188">
        <v>0</v>
      </c>
      <c r="F188" t="s">
        <v>20</v>
      </c>
      <c r="G188">
        <v>0</v>
      </c>
      <c r="H188">
        <v>0</v>
      </c>
      <c r="I188">
        <v>0</v>
      </c>
      <c r="J188">
        <v>0</v>
      </c>
      <c r="K188" t="s">
        <v>727</v>
      </c>
      <c r="L188" s="1">
        <v>4140000000000000</v>
      </c>
      <c r="M188">
        <v>0</v>
      </c>
      <c r="N188">
        <v>0</v>
      </c>
      <c r="O188" s="1">
        <v>4208765443861630</v>
      </c>
      <c r="Q188" t="b">
        <v>0</v>
      </c>
    </row>
    <row r="189" spans="1:17" x14ac:dyDescent="0.35">
      <c r="A189" t="s">
        <v>730</v>
      </c>
      <c r="B189" t="s">
        <v>18</v>
      </c>
      <c r="C189" t="s">
        <v>731</v>
      </c>
      <c r="D189">
        <v>0</v>
      </c>
      <c r="E189">
        <v>0</v>
      </c>
      <c r="F189" t="s">
        <v>20</v>
      </c>
      <c r="G189">
        <v>0</v>
      </c>
      <c r="H189">
        <v>0</v>
      </c>
      <c r="I189">
        <v>0</v>
      </c>
      <c r="J189">
        <v>0</v>
      </c>
      <c r="K189" t="s">
        <v>727</v>
      </c>
      <c r="L189" s="1">
        <v>4140000000000000</v>
      </c>
      <c r="M189">
        <v>0</v>
      </c>
      <c r="N189">
        <v>0</v>
      </c>
      <c r="O189" s="1">
        <v>4.2087939637497104E+16</v>
      </c>
      <c r="Q189" t="b">
        <v>0</v>
      </c>
    </row>
    <row r="190" spans="1:17" x14ac:dyDescent="0.35">
      <c r="A190" t="s">
        <v>732</v>
      </c>
      <c r="B190" t="s">
        <v>18</v>
      </c>
      <c r="C190" t="s">
        <v>733</v>
      </c>
      <c r="D190">
        <v>0</v>
      </c>
      <c r="E190">
        <v>0</v>
      </c>
      <c r="F190" t="s">
        <v>20</v>
      </c>
      <c r="G190">
        <v>0</v>
      </c>
      <c r="H190">
        <v>0</v>
      </c>
      <c r="I190">
        <v>0</v>
      </c>
      <c r="J190">
        <v>0</v>
      </c>
      <c r="K190" t="s">
        <v>727</v>
      </c>
      <c r="L190" s="1">
        <v>4140000000000000</v>
      </c>
      <c r="M190">
        <v>0</v>
      </c>
      <c r="N190">
        <v>0</v>
      </c>
      <c r="O190" s="1">
        <v>4208822483637790</v>
      </c>
      <c r="Q190" t="b">
        <v>0</v>
      </c>
    </row>
    <row r="191" spans="1:17" x14ac:dyDescent="0.35">
      <c r="A191" t="s">
        <v>734</v>
      </c>
      <c r="B191" t="s">
        <v>18</v>
      </c>
      <c r="C191" t="s">
        <v>735</v>
      </c>
      <c r="D191">
        <v>0</v>
      </c>
      <c r="E191">
        <v>0</v>
      </c>
      <c r="F191" t="s">
        <v>20</v>
      </c>
      <c r="G191">
        <v>0</v>
      </c>
      <c r="H191">
        <v>0</v>
      </c>
      <c r="I191">
        <v>0</v>
      </c>
      <c r="J191">
        <v>0</v>
      </c>
      <c r="K191" t="s">
        <v>135</v>
      </c>
      <c r="L191" s="1">
        <v>1.512E+16</v>
      </c>
      <c r="M191">
        <v>0</v>
      </c>
      <c r="N191">
        <v>0</v>
      </c>
      <c r="O191" s="1">
        <v>4208851003525870</v>
      </c>
      <c r="Q191" t="b">
        <v>0</v>
      </c>
    </row>
    <row r="192" spans="1:17" x14ac:dyDescent="0.35">
      <c r="A192" t="s">
        <v>736</v>
      </c>
      <c r="B192" t="s">
        <v>18</v>
      </c>
      <c r="C192" t="s">
        <v>737</v>
      </c>
      <c r="D192">
        <v>0</v>
      </c>
      <c r="E192">
        <v>0</v>
      </c>
      <c r="F192" t="s">
        <v>20</v>
      </c>
      <c r="G192">
        <v>0</v>
      </c>
      <c r="H192">
        <v>0</v>
      </c>
      <c r="I192">
        <v>0</v>
      </c>
      <c r="J192">
        <v>0</v>
      </c>
      <c r="K192" t="s">
        <v>135</v>
      </c>
      <c r="L192" s="1">
        <v>1.512E+16</v>
      </c>
      <c r="M192">
        <v>0</v>
      </c>
      <c r="N192">
        <v>0</v>
      </c>
      <c r="O192" s="1">
        <v>4208879523413960</v>
      </c>
      <c r="Q192" t="b">
        <v>0</v>
      </c>
    </row>
    <row r="193" spans="1:17" x14ac:dyDescent="0.35">
      <c r="A193" t="s">
        <v>738</v>
      </c>
      <c r="B193" t="s">
        <v>18</v>
      </c>
      <c r="C193" t="s">
        <v>739</v>
      </c>
      <c r="D193">
        <v>0</v>
      </c>
      <c r="E193">
        <v>0</v>
      </c>
      <c r="F193" t="s">
        <v>20</v>
      </c>
      <c r="G193">
        <v>0</v>
      </c>
      <c r="H193">
        <v>0</v>
      </c>
      <c r="I193">
        <v>0</v>
      </c>
      <c r="J193">
        <v>0</v>
      </c>
      <c r="K193" t="s">
        <v>135</v>
      </c>
      <c r="L193" s="1">
        <v>1.512E+16</v>
      </c>
      <c r="M193">
        <v>0</v>
      </c>
      <c r="N193">
        <v>0</v>
      </c>
      <c r="O193" s="1">
        <v>4208908043302040</v>
      </c>
      <c r="Q193" t="b">
        <v>0</v>
      </c>
    </row>
    <row r="194" spans="1:17" x14ac:dyDescent="0.35">
      <c r="A194" t="s">
        <v>740</v>
      </c>
      <c r="B194" t="s">
        <v>18</v>
      </c>
      <c r="C194" t="s">
        <v>741</v>
      </c>
      <c r="D194">
        <v>0</v>
      </c>
      <c r="E194">
        <v>0</v>
      </c>
      <c r="F194" t="s">
        <v>20</v>
      </c>
      <c r="G194">
        <v>0</v>
      </c>
      <c r="H194">
        <v>0</v>
      </c>
      <c r="I194">
        <v>0</v>
      </c>
      <c r="J194">
        <v>0</v>
      </c>
      <c r="K194" t="s">
        <v>135</v>
      </c>
      <c r="L194" s="1">
        <v>1.512E+16</v>
      </c>
      <c r="M194">
        <v>0</v>
      </c>
      <c r="N194">
        <v>0</v>
      </c>
      <c r="O194" s="1">
        <v>4208936563190120</v>
      </c>
      <c r="Q194" t="b">
        <v>0</v>
      </c>
    </row>
    <row r="195" spans="1:17" x14ac:dyDescent="0.35">
      <c r="A195" t="s">
        <v>742</v>
      </c>
      <c r="B195" t="s">
        <v>18</v>
      </c>
      <c r="C195" t="s">
        <v>743</v>
      </c>
      <c r="D195">
        <v>0</v>
      </c>
      <c r="E195">
        <v>0</v>
      </c>
      <c r="F195" t="s">
        <v>20</v>
      </c>
      <c r="G195">
        <v>0</v>
      </c>
      <c r="H195">
        <v>0</v>
      </c>
      <c r="I195">
        <v>0</v>
      </c>
      <c r="J195">
        <v>0</v>
      </c>
      <c r="K195" t="s">
        <v>744</v>
      </c>
      <c r="L195" t="s">
        <v>745</v>
      </c>
      <c r="M195">
        <v>0</v>
      </c>
      <c r="N195">
        <v>0</v>
      </c>
      <c r="O195" s="1">
        <v>4208965083078200</v>
      </c>
      <c r="Q195" t="b">
        <v>0</v>
      </c>
    </row>
    <row r="196" spans="1:17" x14ac:dyDescent="0.35">
      <c r="A196" t="s">
        <v>746</v>
      </c>
      <c r="B196" t="s">
        <v>18</v>
      </c>
      <c r="C196" t="s">
        <v>747</v>
      </c>
      <c r="D196">
        <v>0</v>
      </c>
      <c r="E196">
        <v>0</v>
      </c>
      <c r="F196" t="s">
        <v>20</v>
      </c>
      <c r="G196">
        <v>0</v>
      </c>
      <c r="H196">
        <v>0</v>
      </c>
      <c r="I196">
        <v>0</v>
      </c>
      <c r="J196">
        <v>0</v>
      </c>
      <c r="K196" t="s">
        <v>744</v>
      </c>
      <c r="L196" t="s">
        <v>745</v>
      </c>
      <c r="M196">
        <v>0</v>
      </c>
      <c r="N196">
        <v>0</v>
      </c>
      <c r="O196" s="1">
        <v>4208993602966280</v>
      </c>
      <c r="Q196" t="b">
        <v>0</v>
      </c>
    </row>
    <row r="197" spans="1:17" x14ac:dyDescent="0.35">
      <c r="A197" t="s">
        <v>748</v>
      </c>
      <c r="B197" t="s">
        <v>18</v>
      </c>
      <c r="C197" t="s">
        <v>749</v>
      </c>
      <c r="D197">
        <v>0</v>
      </c>
      <c r="E197">
        <v>0</v>
      </c>
      <c r="F197" t="s">
        <v>20</v>
      </c>
      <c r="G197">
        <v>0</v>
      </c>
      <c r="H197">
        <v>0</v>
      </c>
      <c r="I197">
        <v>0</v>
      </c>
      <c r="J197">
        <v>0</v>
      </c>
      <c r="K197" t="s">
        <v>744</v>
      </c>
      <c r="L197" t="s">
        <v>745</v>
      </c>
      <c r="M197">
        <v>0</v>
      </c>
      <c r="N197">
        <v>0</v>
      </c>
      <c r="O197" s="1">
        <v>4.20902212285436E+16</v>
      </c>
      <c r="Q197" t="b">
        <v>0</v>
      </c>
    </row>
    <row r="198" spans="1:17" x14ac:dyDescent="0.35">
      <c r="A198" t="s">
        <v>750</v>
      </c>
      <c r="B198" t="s">
        <v>18</v>
      </c>
      <c r="C198" t="s">
        <v>751</v>
      </c>
      <c r="D198">
        <v>0</v>
      </c>
      <c r="E198">
        <v>0</v>
      </c>
      <c r="F198" t="s">
        <v>20</v>
      </c>
      <c r="G198">
        <v>0</v>
      </c>
      <c r="H198">
        <v>0</v>
      </c>
      <c r="I198">
        <v>0</v>
      </c>
      <c r="J198">
        <v>0</v>
      </c>
      <c r="K198" t="s">
        <v>744</v>
      </c>
      <c r="L198" t="s">
        <v>745</v>
      </c>
      <c r="M198">
        <v>0</v>
      </c>
      <c r="N198">
        <v>0</v>
      </c>
      <c r="O198" s="1">
        <v>420905064274245</v>
      </c>
      <c r="Q198" t="b">
        <v>0</v>
      </c>
    </row>
    <row r="199" spans="1:17" x14ac:dyDescent="0.35">
      <c r="A199" t="s">
        <v>752</v>
      </c>
      <c r="B199" t="s">
        <v>18</v>
      </c>
      <c r="C199" t="s">
        <v>753</v>
      </c>
      <c r="D199">
        <v>0</v>
      </c>
      <c r="E199">
        <v>0</v>
      </c>
      <c r="F199" t="s">
        <v>20</v>
      </c>
      <c r="G199">
        <v>0</v>
      </c>
      <c r="H199">
        <v>0</v>
      </c>
      <c r="I199">
        <v>0</v>
      </c>
      <c r="J199">
        <v>0</v>
      </c>
      <c r="K199" t="s">
        <v>633</v>
      </c>
      <c r="L199" s="1">
        <v>1.404E+16</v>
      </c>
      <c r="M199">
        <v>0</v>
      </c>
      <c r="N199">
        <v>0</v>
      </c>
      <c r="O199" s="1">
        <v>4209079162630530</v>
      </c>
      <c r="Q199" t="b">
        <v>0</v>
      </c>
    </row>
    <row r="200" spans="1:17" x14ac:dyDescent="0.35">
      <c r="A200" t="s">
        <v>754</v>
      </c>
      <c r="B200" t="s">
        <v>18</v>
      </c>
      <c r="C200" t="s">
        <v>755</v>
      </c>
      <c r="D200">
        <v>0</v>
      </c>
      <c r="E200">
        <v>0</v>
      </c>
      <c r="F200" t="s">
        <v>20</v>
      </c>
      <c r="G200">
        <v>0</v>
      </c>
      <c r="H200">
        <v>0</v>
      </c>
      <c r="I200">
        <v>0</v>
      </c>
      <c r="J200">
        <v>0</v>
      </c>
      <c r="K200" t="s">
        <v>633</v>
      </c>
      <c r="L200" s="1">
        <v>1.404E+16</v>
      </c>
      <c r="M200">
        <v>0</v>
      </c>
      <c r="N200">
        <v>0</v>
      </c>
      <c r="O200" s="1">
        <v>4209107682518610</v>
      </c>
      <c r="Q200" t="b">
        <v>0</v>
      </c>
    </row>
    <row r="201" spans="1:17" x14ac:dyDescent="0.35">
      <c r="A201" t="s">
        <v>756</v>
      </c>
      <c r="B201" t="s">
        <v>18</v>
      </c>
      <c r="C201" t="s">
        <v>757</v>
      </c>
      <c r="D201">
        <v>0</v>
      </c>
      <c r="E201">
        <v>0</v>
      </c>
      <c r="F201" t="s">
        <v>20</v>
      </c>
      <c r="G201">
        <v>0</v>
      </c>
      <c r="H201">
        <v>0</v>
      </c>
      <c r="I201">
        <v>0</v>
      </c>
      <c r="J201">
        <v>0</v>
      </c>
      <c r="K201" t="s">
        <v>633</v>
      </c>
      <c r="L201" s="1">
        <v>1.404E+16</v>
      </c>
      <c r="M201">
        <v>0</v>
      </c>
      <c r="N201">
        <v>0</v>
      </c>
      <c r="O201" s="1">
        <v>4209136202406690</v>
      </c>
      <c r="Q201" t="b">
        <v>0</v>
      </c>
    </row>
    <row r="202" spans="1:17" x14ac:dyDescent="0.35">
      <c r="A202" t="s">
        <v>758</v>
      </c>
      <c r="B202" t="s">
        <v>18</v>
      </c>
      <c r="C202" t="s">
        <v>759</v>
      </c>
      <c r="D202">
        <v>0</v>
      </c>
      <c r="E202">
        <v>0</v>
      </c>
      <c r="F202" t="s">
        <v>20</v>
      </c>
      <c r="G202">
        <v>0</v>
      </c>
      <c r="H202">
        <v>0</v>
      </c>
      <c r="I202">
        <v>0</v>
      </c>
      <c r="J202">
        <v>0</v>
      </c>
      <c r="K202" t="s">
        <v>633</v>
      </c>
      <c r="L202" s="1">
        <v>1.404E+16</v>
      </c>
      <c r="M202">
        <v>0</v>
      </c>
      <c r="N202">
        <v>0</v>
      </c>
      <c r="O202" s="1">
        <v>4209164722294770</v>
      </c>
      <c r="Q202" t="b">
        <v>0</v>
      </c>
    </row>
    <row r="203" spans="1:17" x14ac:dyDescent="0.35">
      <c r="A203" t="s">
        <v>760</v>
      </c>
      <c r="B203" t="s">
        <v>18</v>
      </c>
      <c r="C203" t="s">
        <v>761</v>
      </c>
      <c r="D203">
        <v>0</v>
      </c>
      <c r="E203">
        <v>0</v>
      </c>
      <c r="F203" t="s">
        <v>20</v>
      </c>
      <c r="G203">
        <v>0</v>
      </c>
      <c r="H203">
        <v>0</v>
      </c>
      <c r="I203">
        <v>0</v>
      </c>
      <c r="J203">
        <v>0</v>
      </c>
      <c r="K203" t="s">
        <v>40</v>
      </c>
      <c r="L203" s="1">
        <v>1.26E+16</v>
      </c>
      <c r="M203">
        <v>0</v>
      </c>
      <c r="N203">
        <v>0</v>
      </c>
      <c r="O203" s="1">
        <v>4209193242182850</v>
      </c>
      <c r="Q203" t="b">
        <v>0</v>
      </c>
    </row>
    <row r="204" spans="1:17" x14ac:dyDescent="0.35">
      <c r="A204" t="s">
        <v>762</v>
      </c>
      <c r="B204" t="s">
        <v>18</v>
      </c>
      <c r="C204" t="s">
        <v>763</v>
      </c>
      <c r="D204">
        <v>0</v>
      </c>
      <c r="E204">
        <v>0</v>
      </c>
      <c r="F204" t="s">
        <v>20</v>
      </c>
      <c r="G204">
        <v>0</v>
      </c>
      <c r="H204">
        <v>0</v>
      </c>
      <c r="I204">
        <v>0</v>
      </c>
      <c r="J204">
        <v>0</v>
      </c>
      <c r="K204" t="s">
        <v>40</v>
      </c>
      <c r="L204" s="1">
        <v>1.26E+16</v>
      </c>
      <c r="M204">
        <v>0</v>
      </c>
      <c r="N204">
        <v>0</v>
      </c>
      <c r="O204" s="1">
        <v>420922176207094</v>
      </c>
      <c r="Q204" t="b">
        <v>0</v>
      </c>
    </row>
    <row r="205" spans="1:17" x14ac:dyDescent="0.35">
      <c r="A205" t="s">
        <v>764</v>
      </c>
      <c r="B205" t="s">
        <v>18</v>
      </c>
      <c r="C205" t="s">
        <v>765</v>
      </c>
      <c r="D205">
        <v>0</v>
      </c>
      <c r="E205">
        <v>0</v>
      </c>
      <c r="F205" t="s">
        <v>20</v>
      </c>
      <c r="G205">
        <v>0</v>
      </c>
      <c r="H205">
        <v>0</v>
      </c>
      <c r="I205">
        <v>0</v>
      </c>
      <c r="J205">
        <v>0</v>
      </c>
      <c r="K205" t="s">
        <v>40</v>
      </c>
      <c r="L205" s="1">
        <v>1.26E+16</v>
      </c>
      <c r="M205">
        <v>0</v>
      </c>
      <c r="N205">
        <v>0</v>
      </c>
      <c r="O205" s="1">
        <v>4209250281959020</v>
      </c>
      <c r="Q205" t="b">
        <v>0</v>
      </c>
    </row>
    <row r="206" spans="1:17" x14ac:dyDescent="0.35">
      <c r="A206" t="s">
        <v>766</v>
      </c>
      <c r="B206" t="s">
        <v>18</v>
      </c>
      <c r="C206" t="s">
        <v>767</v>
      </c>
      <c r="D206">
        <v>0</v>
      </c>
      <c r="E206">
        <v>0</v>
      </c>
      <c r="F206" t="s">
        <v>20</v>
      </c>
      <c r="G206">
        <v>0</v>
      </c>
      <c r="H206">
        <v>0</v>
      </c>
      <c r="I206">
        <v>0</v>
      </c>
      <c r="J206">
        <v>0</v>
      </c>
      <c r="K206" t="s">
        <v>40</v>
      </c>
      <c r="L206" s="1">
        <v>1.26E+16</v>
      </c>
      <c r="M206">
        <v>0</v>
      </c>
      <c r="N206">
        <v>0</v>
      </c>
      <c r="O206" s="1">
        <v>4209278801847100</v>
      </c>
      <c r="Q206" t="b">
        <v>0</v>
      </c>
    </row>
    <row r="207" spans="1:17" x14ac:dyDescent="0.35">
      <c r="A207" t="s">
        <v>768</v>
      </c>
      <c r="B207" t="s">
        <v>18</v>
      </c>
      <c r="C207" t="s">
        <v>769</v>
      </c>
      <c r="D207">
        <v>0</v>
      </c>
      <c r="E207">
        <v>0</v>
      </c>
      <c r="F207" t="s">
        <v>20</v>
      </c>
      <c r="G207">
        <v>0</v>
      </c>
      <c r="H207">
        <v>0</v>
      </c>
      <c r="I207">
        <v>0</v>
      </c>
      <c r="J207">
        <v>0</v>
      </c>
      <c r="K207" t="s">
        <v>66</v>
      </c>
      <c r="L207" t="s">
        <v>192</v>
      </c>
      <c r="M207">
        <v>0</v>
      </c>
      <c r="N207">
        <v>0</v>
      </c>
      <c r="O207" s="1">
        <v>4209307321735180</v>
      </c>
      <c r="Q207" t="b">
        <v>0</v>
      </c>
    </row>
    <row r="208" spans="1:17" x14ac:dyDescent="0.35">
      <c r="A208" t="s">
        <v>770</v>
      </c>
      <c r="B208" t="s">
        <v>18</v>
      </c>
      <c r="C208" t="s">
        <v>771</v>
      </c>
      <c r="D208">
        <v>0</v>
      </c>
      <c r="E208">
        <v>0</v>
      </c>
      <c r="F208" t="s">
        <v>20</v>
      </c>
      <c r="G208">
        <v>0</v>
      </c>
      <c r="H208">
        <v>0</v>
      </c>
      <c r="I208">
        <v>0</v>
      </c>
      <c r="J208">
        <v>0</v>
      </c>
      <c r="K208" t="s">
        <v>66</v>
      </c>
      <c r="L208" t="s">
        <v>192</v>
      </c>
      <c r="M208">
        <v>0</v>
      </c>
      <c r="N208">
        <v>0</v>
      </c>
      <c r="O208" s="1">
        <v>4209335841623260</v>
      </c>
      <c r="Q208" t="b">
        <v>0</v>
      </c>
    </row>
    <row r="209" spans="1:17" x14ac:dyDescent="0.35">
      <c r="A209" t="s">
        <v>772</v>
      </c>
      <c r="B209" t="s">
        <v>18</v>
      </c>
      <c r="C209" t="s">
        <v>773</v>
      </c>
      <c r="D209">
        <v>0</v>
      </c>
      <c r="E209">
        <v>0</v>
      </c>
      <c r="F209" t="s">
        <v>20</v>
      </c>
      <c r="G209">
        <v>0</v>
      </c>
      <c r="H209">
        <v>0</v>
      </c>
      <c r="I209">
        <v>0</v>
      </c>
      <c r="J209">
        <v>0</v>
      </c>
      <c r="K209" t="s">
        <v>66</v>
      </c>
      <c r="L209" t="s">
        <v>192</v>
      </c>
      <c r="M209">
        <v>0</v>
      </c>
      <c r="N209">
        <v>0</v>
      </c>
      <c r="O209" s="1">
        <v>4209364361511340</v>
      </c>
      <c r="Q209" t="b">
        <v>0</v>
      </c>
    </row>
    <row r="210" spans="1:17" x14ac:dyDescent="0.35">
      <c r="A210" t="s">
        <v>774</v>
      </c>
      <c r="B210" t="s">
        <v>18</v>
      </c>
      <c r="C210" t="s">
        <v>775</v>
      </c>
      <c r="D210">
        <v>0</v>
      </c>
      <c r="E210">
        <v>0</v>
      </c>
      <c r="F210" t="s">
        <v>20</v>
      </c>
      <c r="G210">
        <v>0</v>
      </c>
      <c r="H210">
        <v>0</v>
      </c>
      <c r="I210">
        <v>0</v>
      </c>
      <c r="J210">
        <v>0</v>
      </c>
      <c r="K210" t="s">
        <v>66</v>
      </c>
      <c r="L210" t="s">
        <v>192</v>
      </c>
      <c r="M210">
        <v>0</v>
      </c>
      <c r="N210">
        <v>0</v>
      </c>
      <c r="O210" s="1">
        <v>4209392881399420</v>
      </c>
      <c r="Q210" t="b">
        <v>0</v>
      </c>
    </row>
    <row r="211" spans="1:17" x14ac:dyDescent="0.35">
      <c r="A211" t="s">
        <v>776</v>
      </c>
      <c r="B211" t="s">
        <v>18</v>
      </c>
      <c r="C211" t="s">
        <v>777</v>
      </c>
      <c r="D211">
        <v>0</v>
      </c>
      <c r="E211">
        <v>0</v>
      </c>
      <c r="F211" t="s">
        <v>20</v>
      </c>
      <c r="G211">
        <v>0</v>
      </c>
      <c r="H211">
        <v>0</v>
      </c>
      <c r="I211">
        <v>0</v>
      </c>
      <c r="J211">
        <v>0</v>
      </c>
      <c r="K211" t="s">
        <v>25</v>
      </c>
      <c r="L211" t="s">
        <v>32</v>
      </c>
      <c r="M211">
        <v>0</v>
      </c>
      <c r="N211">
        <v>0</v>
      </c>
      <c r="O211" s="1">
        <v>4209421401287510</v>
      </c>
      <c r="Q211" t="b">
        <v>0</v>
      </c>
    </row>
    <row r="212" spans="1:17" x14ac:dyDescent="0.35">
      <c r="A212" t="s">
        <v>778</v>
      </c>
      <c r="B212" t="s">
        <v>18</v>
      </c>
      <c r="C212" t="s">
        <v>779</v>
      </c>
      <c r="D212">
        <v>0</v>
      </c>
      <c r="E212">
        <v>0</v>
      </c>
      <c r="F212" t="s">
        <v>20</v>
      </c>
      <c r="G212">
        <v>0</v>
      </c>
      <c r="H212">
        <v>0</v>
      </c>
      <c r="I212">
        <v>0</v>
      </c>
      <c r="J212">
        <v>0</v>
      </c>
      <c r="K212" t="s">
        <v>25</v>
      </c>
      <c r="L212" t="s">
        <v>32</v>
      </c>
      <c r="M212">
        <v>0</v>
      </c>
      <c r="N212">
        <v>0</v>
      </c>
      <c r="O212" s="1">
        <v>4209449921175590</v>
      </c>
      <c r="Q212" t="b">
        <v>0</v>
      </c>
    </row>
    <row r="213" spans="1:17" x14ac:dyDescent="0.35">
      <c r="A213" t="s">
        <v>780</v>
      </c>
      <c r="B213" t="s">
        <v>18</v>
      </c>
      <c r="C213" t="s">
        <v>781</v>
      </c>
      <c r="D213">
        <v>0</v>
      </c>
      <c r="E213">
        <v>0</v>
      </c>
      <c r="F213" t="s">
        <v>20</v>
      </c>
      <c r="G213">
        <v>0</v>
      </c>
      <c r="H213">
        <v>0</v>
      </c>
      <c r="I213">
        <v>0</v>
      </c>
      <c r="J213">
        <v>0</v>
      </c>
      <c r="K213" t="s">
        <v>25</v>
      </c>
      <c r="L213" t="s">
        <v>32</v>
      </c>
      <c r="M213">
        <v>0</v>
      </c>
      <c r="N213">
        <v>0</v>
      </c>
      <c r="O213" s="1">
        <v>4209478441063670</v>
      </c>
      <c r="Q213" t="b">
        <v>0</v>
      </c>
    </row>
    <row r="214" spans="1:17" x14ac:dyDescent="0.35">
      <c r="A214" t="s">
        <v>782</v>
      </c>
      <c r="B214" t="s">
        <v>18</v>
      </c>
      <c r="C214" t="s">
        <v>783</v>
      </c>
      <c r="D214">
        <v>0</v>
      </c>
      <c r="E214">
        <v>0</v>
      </c>
      <c r="F214" t="s">
        <v>20</v>
      </c>
      <c r="G214">
        <v>0</v>
      </c>
      <c r="H214">
        <v>0</v>
      </c>
      <c r="I214">
        <v>0</v>
      </c>
      <c r="J214">
        <v>0</v>
      </c>
      <c r="K214" t="s">
        <v>25</v>
      </c>
      <c r="L214" t="s">
        <v>32</v>
      </c>
      <c r="M214">
        <v>0</v>
      </c>
      <c r="N214">
        <v>0</v>
      </c>
      <c r="O214" s="1">
        <v>4209506960951750</v>
      </c>
      <c r="Q214" t="b">
        <v>0</v>
      </c>
    </row>
    <row r="215" spans="1:17" x14ac:dyDescent="0.35">
      <c r="A215" t="s">
        <v>784</v>
      </c>
      <c r="B215" t="s">
        <v>18</v>
      </c>
      <c r="C215" t="s">
        <v>785</v>
      </c>
      <c r="D215">
        <v>0</v>
      </c>
      <c r="E215">
        <v>0</v>
      </c>
      <c r="F215" t="s">
        <v>20</v>
      </c>
      <c r="G215">
        <v>0</v>
      </c>
      <c r="H215">
        <v>0</v>
      </c>
      <c r="I215">
        <v>0</v>
      </c>
      <c r="J215">
        <v>0</v>
      </c>
      <c r="K215" t="s">
        <v>21</v>
      </c>
      <c r="L215" t="s">
        <v>786</v>
      </c>
      <c r="M215">
        <v>0</v>
      </c>
      <c r="N215">
        <v>0</v>
      </c>
      <c r="O215" s="1">
        <v>4209535480839830</v>
      </c>
      <c r="Q215" t="b">
        <v>0</v>
      </c>
    </row>
    <row r="216" spans="1:17" x14ac:dyDescent="0.35">
      <c r="A216" t="s">
        <v>787</v>
      </c>
      <c r="B216" t="s">
        <v>18</v>
      </c>
      <c r="C216" t="s">
        <v>788</v>
      </c>
      <c r="D216">
        <v>0</v>
      </c>
      <c r="E216">
        <v>0</v>
      </c>
      <c r="F216" t="s">
        <v>20</v>
      </c>
      <c r="G216">
        <v>0</v>
      </c>
      <c r="H216">
        <v>0</v>
      </c>
      <c r="I216">
        <v>0</v>
      </c>
      <c r="J216">
        <v>0</v>
      </c>
      <c r="K216" t="s">
        <v>21</v>
      </c>
      <c r="L216" t="s">
        <v>786</v>
      </c>
      <c r="M216">
        <v>0</v>
      </c>
      <c r="N216">
        <v>0</v>
      </c>
      <c r="O216" s="1">
        <v>4.2095640007279104E+16</v>
      </c>
      <c r="Q216" t="b">
        <v>0</v>
      </c>
    </row>
    <row r="217" spans="1:17" x14ac:dyDescent="0.35">
      <c r="A217" t="s">
        <v>789</v>
      </c>
      <c r="B217" t="s">
        <v>18</v>
      </c>
      <c r="C217" t="s">
        <v>790</v>
      </c>
      <c r="D217">
        <v>0</v>
      </c>
      <c r="E217">
        <v>0</v>
      </c>
      <c r="F217" t="s">
        <v>20</v>
      </c>
      <c r="G217">
        <v>0</v>
      </c>
      <c r="H217">
        <v>0</v>
      </c>
      <c r="I217">
        <v>0</v>
      </c>
      <c r="J217">
        <v>0</v>
      </c>
      <c r="K217" t="s">
        <v>21</v>
      </c>
      <c r="L217" t="s">
        <v>786</v>
      </c>
      <c r="M217">
        <v>0</v>
      </c>
      <c r="N217">
        <v>0</v>
      </c>
      <c r="O217" s="1">
        <v>4209592520616</v>
      </c>
      <c r="Q217" t="b">
        <v>0</v>
      </c>
    </row>
    <row r="218" spans="1:17" x14ac:dyDescent="0.35">
      <c r="A218" t="s">
        <v>791</v>
      </c>
      <c r="B218" t="s">
        <v>18</v>
      </c>
      <c r="C218" t="s">
        <v>792</v>
      </c>
      <c r="D218">
        <v>0</v>
      </c>
      <c r="E218">
        <v>0</v>
      </c>
      <c r="F218" t="s">
        <v>20</v>
      </c>
      <c r="G218">
        <v>0</v>
      </c>
      <c r="H218">
        <v>0</v>
      </c>
      <c r="I218">
        <v>0</v>
      </c>
      <c r="J218">
        <v>0</v>
      </c>
      <c r="K218" t="s">
        <v>21</v>
      </c>
      <c r="L218" t="s">
        <v>786</v>
      </c>
      <c r="M218">
        <v>0</v>
      </c>
      <c r="N218">
        <v>0</v>
      </c>
      <c r="O218" s="1">
        <v>4209621040504080</v>
      </c>
      <c r="Q218" t="b">
        <v>0</v>
      </c>
    </row>
    <row r="219" spans="1:17" x14ac:dyDescent="0.35">
      <c r="A219" t="s">
        <v>793</v>
      </c>
      <c r="B219" t="s">
        <v>18</v>
      </c>
      <c r="C219" t="s">
        <v>794</v>
      </c>
      <c r="D219">
        <v>0</v>
      </c>
      <c r="E219">
        <v>0</v>
      </c>
      <c r="F219" t="s">
        <v>20</v>
      </c>
      <c r="G219">
        <v>0</v>
      </c>
      <c r="H219">
        <v>0</v>
      </c>
      <c r="I219">
        <v>0</v>
      </c>
      <c r="J219">
        <v>0</v>
      </c>
      <c r="K219" t="s">
        <v>388</v>
      </c>
      <c r="L219" t="s">
        <v>795</v>
      </c>
      <c r="M219">
        <v>0</v>
      </c>
      <c r="N219">
        <v>0</v>
      </c>
      <c r="O219" s="1">
        <v>4.20964956039216E+16</v>
      </c>
      <c r="Q219" t="b">
        <v>0</v>
      </c>
    </row>
    <row r="220" spans="1:17" x14ac:dyDescent="0.35">
      <c r="A220" t="s">
        <v>796</v>
      </c>
      <c r="B220" t="s">
        <v>18</v>
      </c>
      <c r="C220" t="s">
        <v>797</v>
      </c>
      <c r="D220">
        <v>0</v>
      </c>
      <c r="E220">
        <v>0</v>
      </c>
      <c r="F220" t="s">
        <v>20</v>
      </c>
      <c r="G220">
        <v>0</v>
      </c>
      <c r="H220">
        <v>0</v>
      </c>
      <c r="I220">
        <v>0</v>
      </c>
      <c r="J220">
        <v>0</v>
      </c>
      <c r="K220" t="s">
        <v>388</v>
      </c>
      <c r="L220" t="s">
        <v>795</v>
      </c>
      <c r="M220">
        <v>0</v>
      </c>
      <c r="N220">
        <v>0</v>
      </c>
      <c r="O220" s="1">
        <v>4209678080280240</v>
      </c>
      <c r="Q220" t="b">
        <v>0</v>
      </c>
    </row>
    <row r="221" spans="1:17" x14ac:dyDescent="0.35">
      <c r="A221" t="s">
        <v>798</v>
      </c>
      <c r="B221" t="s">
        <v>18</v>
      </c>
      <c r="C221" t="s">
        <v>799</v>
      </c>
      <c r="D221">
        <v>0</v>
      </c>
      <c r="E221">
        <v>0</v>
      </c>
      <c r="F221" t="s">
        <v>20</v>
      </c>
      <c r="G221">
        <v>0</v>
      </c>
      <c r="H221">
        <v>0</v>
      </c>
      <c r="I221">
        <v>0</v>
      </c>
      <c r="J221">
        <v>0</v>
      </c>
      <c r="K221" t="s">
        <v>388</v>
      </c>
      <c r="L221" t="s">
        <v>795</v>
      </c>
      <c r="M221">
        <v>0</v>
      </c>
      <c r="N221">
        <v>0</v>
      </c>
      <c r="O221" s="1">
        <v>4209706600168320</v>
      </c>
      <c r="Q221" t="b">
        <v>0</v>
      </c>
    </row>
    <row r="222" spans="1:17" x14ac:dyDescent="0.35">
      <c r="A222" t="s">
        <v>800</v>
      </c>
      <c r="B222" t="s">
        <v>18</v>
      </c>
      <c r="C222" t="s">
        <v>801</v>
      </c>
      <c r="D222">
        <v>0</v>
      </c>
      <c r="E222">
        <v>0</v>
      </c>
      <c r="F222" t="s">
        <v>20</v>
      </c>
      <c r="G222">
        <v>0</v>
      </c>
      <c r="H222">
        <v>0</v>
      </c>
      <c r="I222">
        <v>0</v>
      </c>
      <c r="J222">
        <v>0</v>
      </c>
      <c r="K222" t="s">
        <v>388</v>
      </c>
      <c r="L222" t="s">
        <v>795</v>
      </c>
      <c r="M222">
        <v>0</v>
      </c>
      <c r="N222">
        <v>0</v>
      </c>
      <c r="O222" s="1">
        <v>4209735120056400</v>
      </c>
      <c r="Q222" t="b">
        <v>0</v>
      </c>
    </row>
    <row r="223" spans="1:17" x14ac:dyDescent="0.35">
      <c r="A223" t="s">
        <v>802</v>
      </c>
      <c r="B223" t="s">
        <v>18</v>
      </c>
      <c r="C223" t="s">
        <v>803</v>
      </c>
      <c r="D223">
        <v>0</v>
      </c>
      <c r="E223">
        <v>0</v>
      </c>
      <c r="F223" t="s">
        <v>20</v>
      </c>
      <c r="G223">
        <v>0</v>
      </c>
      <c r="H223">
        <v>0</v>
      </c>
      <c r="I223">
        <v>0</v>
      </c>
      <c r="J223">
        <v>0</v>
      </c>
      <c r="K223" t="s">
        <v>804</v>
      </c>
      <c r="L223" t="s">
        <v>805</v>
      </c>
      <c r="M223">
        <v>0</v>
      </c>
      <c r="N223">
        <v>0</v>
      </c>
      <c r="O223" s="1">
        <v>4209763639944480</v>
      </c>
      <c r="Q223" t="b">
        <v>0</v>
      </c>
    </row>
    <row r="224" spans="1:17" x14ac:dyDescent="0.35">
      <c r="A224" t="s">
        <v>806</v>
      </c>
      <c r="B224" t="s">
        <v>18</v>
      </c>
      <c r="C224" t="s">
        <v>807</v>
      </c>
      <c r="D224">
        <v>0</v>
      </c>
      <c r="E224">
        <v>0</v>
      </c>
      <c r="F224" t="s">
        <v>20</v>
      </c>
      <c r="G224">
        <v>0</v>
      </c>
      <c r="H224">
        <v>0</v>
      </c>
      <c r="I224">
        <v>0</v>
      </c>
      <c r="J224">
        <v>0</v>
      </c>
      <c r="K224" t="s">
        <v>804</v>
      </c>
      <c r="L224" t="s">
        <v>805</v>
      </c>
      <c r="M224">
        <v>0</v>
      </c>
      <c r="N224">
        <v>0</v>
      </c>
      <c r="O224" s="1">
        <v>4209792159832570</v>
      </c>
      <c r="Q224" t="b">
        <v>0</v>
      </c>
    </row>
    <row r="225" spans="1:17" x14ac:dyDescent="0.35">
      <c r="A225" t="s">
        <v>808</v>
      </c>
      <c r="B225" t="s">
        <v>18</v>
      </c>
      <c r="C225" t="s">
        <v>809</v>
      </c>
      <c r="D225">
        <v>0</v>
      </c>
      <c r="E225">
        <v>0</v>
      </c>
      <c r="F225" t="s">
        <v>20</v>
      </c>
      <c r="G225">
        <v>0</v>
      </c>
      <c r="H225">
        <v>0</v>
      </c>
      <c r="I225">
        <v>0</v>
      </c>
      <c r="J225">
        <v>0</v>
      </c>
      <c r="K225" t="s">
        <v>804</v>
      </c>
      <c r="L225" t="s">
        <v>805</v>
      </c>
      <c r="M225">
        <v>0</v>
      </c>
      <c r="N225">
        <v>0</v>
      </c>
      <c r="O225" s="1">
        <v>4209820679720650</v>
      </c>
      <c r="Q225" t="b">
        <v>0</v>
      </c>
    </row>
    <row r="226" spans="1:17" x14ac:dyDescent="0.35">
      <c r="A226" t="s">
        <v>810</v>
      </c>
      <c r="B226" t="s">
        <v>18</v>
      </c>
      <c r="C226" t="s">
        <v>811</v>
      </c>
      <c r="D226">
        <v>0</v>
      </c>
      <c r="E226">
        <v>0</v>
      </c>
      <c r="F226" t="s">
        <v>20</v>
      </c>
      <c r="G226">
        <v>0</v>
      </c>
      <c r="H226">
        <v>0</v>
      </c>
      <c r="I226">
        <v>0</v>
      </c>
      <c r="J226">
        <v>0</v>
      </c>
      <c r="K226" t="s">
        <v>804</v>
      </c>
      <c r="L226" t="s">
        <v>805</v>
      </c>
      <c r="M226">
        <v>0</v>
      </c>
      <c r="N226">
        <v>0</v>
      </c>
      <c r="O226" s="1">
        <v>4209849199608730</v>
      </c>
      <c r="Q226" t="b">
        <v>0</v>
      </c>
    </row>
    <row r="227" spans="1:17" x14ac:dyDescent="0.35">
      <c r="A227" t="s">
        <v>812</v>
      </c>
      <c r="B227" t="s">
        <v>18</v>
      </c>
      <c r="C227" t="s">
        <v>813</v>
      </c>
      <c r="D227">
        <v>0</v>
      </c>
      <c r="E227">
        <v>0</v>
      </c>
      <c r="F227" t="s">
        <v>20</v>
      </c>
      <c r="G227">
        <v>0</v>
      </c>
      <c r="H227">
        <v>0</v>
      </c>
      <c r="I227">
        <v>0</v>
      </c>
      <c r="J227">
        <v>0</v>
      </c>
      <c r="K227" t="s">
        <v>814</v>
      </c>
      <c r="L227" t="s">
        <v>815</v>
      </c>
      <c r="M227">
        <v>0</v>
      </c>
      <c r="N227">
        <v>0</v>
      </c>
      <c r="O227" s="1">
        <v>4.2098777194968096E+16</v>
      </c>
      <c r="Q227" t="b">
        <v>0</v>
      </c>
    </row>
    <row r="228" spans="1:17" x14ac:dyDescent="0.35">
      <c r="A228" t="s">
        <v>816</v>
      </c>
      <c r="B228" t="s">
        <v>18</v>
      </c>
      <c r="C228" t="s">
        <v>817</v>
      </c>
      <c r="D228">
        <v>0</v>
      </c>
      <c r="E228">
        <v>0</v>
      </c>
      <c r="F228" t="s">
        <v>20</v>
      </c>
      <c r="G228">
        <v>0</v>
      </c>
      <c r="H228">
        <v>0</v>
      </c>
      <c r="I228">
        <v>0</v>
      </c>
      <c r="J228">
        <v>0</v>
      </c>
      <c r="K228" t="s">
        <v>814</v>
      </c>
      <c r="L228" t="s">
        <v>815</v>
      </c>
      <c r="M228">
        <v>0</v>
      </c>
      <c r="N228">
        <v>0</v>
      </c>
      <c r="O228" s="1">
        <v>4209906239384890</v>
      </c>
      <c r="Q228" t="b">
        <v>0</v>
      </c>
    </row>
    <row r="229" spans="1:17" x14ac:dyDescent="0.35">
      <c r="A229" t="s">
        <v>818</v>
      </c>
      <c r="B229" t="s">
        <v>18</v>
      </c>
      <c r="C229" t="s">
        <v>819</v>
      </c>
      <c r="D229">
        <v>0</v>
      </c>
      <c r="E229">
        <v>0</v>
      </c>
      <c r="F229" t="s">
        <v>20</v>
      </c>
      <c r="G229">
        <v>0</v>
      </c>
      <c r="H229">
        <v>0</v>
      </c>
      <c r="I229">
        <v>0</v>
      </c>
      <c r="J229">
        <v>0</v>
      </c>
      <c r="K229" t="s">
        <v>814</v>
      </c>
      <c r="L229" t="s">
        <v>815</v>
      </c>
      <c r="M229">
        <v>0</v>
      </c>
      <c r="N229">
        <v>0</v>
      </c>
      <c r="O229" s="1">
        <v>4209934759272970</v>
      </c>
      <c r="Q229" t="b">
        <v>0</v>
      </c>
    </row>
    <row r="230" spans="1:17" x14ac:dyDescent="0.35">
      <c r="A230" t="s">
        <v>820</v>
      </c>
      <c r="B230" t="s">
        <v>18</v>
      </c>
      <c r="C230" t="s">
        <v>821</v>
      </c>
      <c r="D230">
        <v>0</v>
      </c>
      <c r="E230">
        <v>0</v>
      </c>
      <c r="F230" t="s">
        <v>20</v>
      </c>
      <c r="G230">
        <v>0</v>
      </c>
      <c r="H230">
        <v>0</v>
      </c>
      <c r="I230">
        <v>0</v>
      </c>
      <c r="J230">
        <v>0</v>
      </c>
      <c r="K230" t="s">
        <v>814</v>
      </c>
      <c r="L230" t="s">
        <v>815</v>
      </c>
      <c r="M230">
        <v>0</v>
      </c>
      <c r="N230">
        <v>0</v>
      </c>
      <c r="O230" s="1">
        <v>4209963279161060</v>
      </c>
      <c r="Q230" t="b">
        <v>0</v>
      </c>
    </row>
    <row r="231" spans="1:17" x14ac:dyDescent="0.35">
      <c r="A231" t="s">
        <v>822</v>
      </c>
      <c r="B231" t="s">
        <v>18</v>
      </c>
      <c r="C231" t="s">
        <v>823</v>
      </c>
      <c r="D231">
        <v>0</v>
      </c>
      <c r="E231">
        <v>0</v>
      </c>
      <c r="F231" t="s">
        <v>20</v>
      </c>
      <c r="G231">
        <v>0</v>
      </c>
      <c r="H231">
        <v>0</v>
      </c>
      <c r="I231">
        <v>0</v>
      </c>
      <c r="J231">
        <v>0</v>
      </c>
      <c r="K231" s="1">
        <v>1.45E+16</v>
      </c>
      <c r="L231" t="s">
        <v>824</v>
      </c>
      <c r="M231">
        <v>0</v>
      </c>
      <c r="N231">
        <v>0</v>
      </c>
      <c r="O231" s="1">
        <v>4209991799049140</v>
      </c>
      <c r="Q231" t="b">
        <v>0</v>
      </c>
    </row>
    <row r="232" spans="1:17" x14ac:dyDescent="0.35">
      <c r="A232" t="s">
        <v>825</v>
      </c>
      <c r="B232" t="s">
        <v>18</v>
      </c>
      <c r="C232" t="s">
        <v>826</v>
      </c>
      <c r="D232">
        <v>0</v>
      </c>
      <c r="E232">
        <v>0</v>
      </c>
      <c r="F232" t="s">
        <v>20</v>
      </c>
      <c r="G232">
        <v>0</v>
      </c>
      <c r="H232">
        <v>0</v>
      </c>
      <c r="I232">
        <v>0</v>
      </c>
      <c r="J232">
        <v>0</v>
      </c>
      <c r="K232" s="1">
        <v>1.45E+16</v>
      </c>
      <c r="L232" t="s">
        <v>824</v>
      </c>
      <c r="M232">
        <v>0</v>
      </c>
      <c r="N232">
        <v>0</v>
      </c>
      <c r="O232" s="1">
        <v>4210020318937220</v>
      </c>
      <c r="Q232" t="b">
        <v>0</v>
      </c>
    </row>
    <row r="233" spans="1:17" x14ac:dyDescent="0.35">
      <c r="A233" t="s">
        <v>827</v>
      </c>
      <c r="B233" t="s">
        <v>18</v>
      </c>
      <c r="C233" t="s">
        <v>828</v>
      </c>
      <c r="D233">
        <v>0</v>
      </c>
      <c r="E233">
        <v>0</v>
      </c>
      <c r="F233" t="s">
        <v>20</v>
      </c>
      <c r="G233">
        <v>0</v>
      </c>
      <c r="H233">
        <v>0</v>
      </c>
      <c r="I233">
        <v>0</v>
      </c>
      <c r="J233">
        <v>0</v>
      </c>
      <c r="K233" s="1">
        <v>1.45E+16</v>
      </c>
      <c r="L233" t="s">
        <v>824</v>
      </c>
      <c r="M233">
        <v>0</v>
      </c>
      <c r="N233">
        <v>0</v>
      </c>
      <c r="O233" s="1">
        <v>4210048838825300</v>
      </c>
      <c r="Q233" t="b">
        <v>0</v>
      </c>
    </row>
    <row r="234" spans="1:17" x14ac:dyDescent="0.35">
      <c r="A234" t="s">
        <v>829</v>
      </c>
      <c r="B234" t="s">
        <v>18</v>
      </c>
      <c r="C234" t="s">
        <v>830</v>
      </c>
      <c r="D234">
        <v>0</v>
      </c>
      <c r="E234">
        <v>0</v>
      </c>
      <c r="F234" t="s">
        <v>20</v>
      </c>
      <c r="G234">
        <v>0</v>
      </c>
      <c r="H234">
        <v>0</v>
      </c>
      <c r="I234">
        <v>0</v>
      </c>
      <c r="J234">
        <v>0</v>
      </c>
      <c r="K234" s="1">
        <v>1.45E+16</v>
      </c>
      <c r="L234" t="s">
        <v>824</v>
      </c>
      <c r="M234">
        <v>0</v>
      </c>
      <c r="N234">
        <v>0</v>
      </c>
      <c r="O234" s="1">
        <v>4210077358713380</v>
      </c>
      <c r="Q234" t="b">
        <v>0</v>
      </c>
    </row>
    <row r="235" spans="1:17" x14ac:dyDescent="0.35">
      <c r="A235" t="s">
        <v>831</v>
      </c>
      <c r="B235" t="s">
        <v>18</v>
      </c>
      <c r="C235" t="s">
        <v>832</v>
      </c>
      <c r="D235">
        <v>0</v>
      </c>
      <c r="E235">
        <v>0</v>
      </c>
      <c r="F235" t="s">
        <v>20</v>
      </c>
      <c r="G235">
        <v>0</v>
      </c>
      <c r="H235">
        <v>0</v>
      </c>
      <c r="I235">
        <v>0</v>
      </c>
      <c r="J235">
        <v>0</v>
      </c>
      <c r="K235" t="s">
        <v>814</v>
      </c>
      <c r="L235" t="s">
        <v>833</v>
      </c>
      <c r="M235">
        <v>0</v>
      </c>
      <c r="N235">
        <v>0</v>
      </c>
      <c r="O235" s="1">
        <v>4.21010587860146E+16</v>
      </c>
      <c r="Q235" t="b">
        <v>0</v>
      </c>
    </row>
    <row r="236" spans="1:17" x14ac:dyDescent="0.35">
      <c r="A236" t="s">
        <v>834</v>
      </c>
      <c r="B236" t="s">
        <v>18</v>
      </c>
      <c r="C236" t="s">
        <v>835</v>
      </c>
      <c r="D236">
        <v>0</v>
      </c>
      <c r="E236">
        <v>0</v>
      </c>
      <c r="F236" t="s">
        <v>20</v>
      </c>
      <c r="G236">
        <v>0</v>
      </c>
      <c r="H236">
        <v>0</v>
      </c>
      <c r="I236">
        <v>0</v>
      </c>
      <c r="J236">
        <v>0</v>
      </c>
      <c r="K236" t="s">
        <v>814</v>
      </c>
      <c r="L236" t="s">
        <v>833</v>
      </c>
      <c r="M236">
        <v>0</v>
      </c>
      <c r="N236">
        <v>0</v>
      </c>
      <c r="O236" s="1">
        <v>421013439848955</v>
      </c>
      <c r="Q236" t="b">
        <v>0</v>
      </c>
    </row>
    <row r="237" spans="1:17" x14ac:dyDescent="0.35">
      <c r="A237" t="s">
        <v>836</v>
      </c>
      <c r="B237" t="s">
        <v>18</v>
      </c>
      <c r="C237" t="s">
        <v>837</v>
      </c>
      <c r="D237">
        <v>0</v>
      </c>
      <c r="E237">
        <v>0</v>
      </c>
      <c r="F237" t="s">
        <v>20</v>
      </c>
      <c r="G237">
        <v>0</v>
      </c>
      <c r="H237">
        <v>0</v>
      </c>
      <c r="I237">
        <v>0</v>
      </c>
      <c r="J237">
        <v>0</v>
      </c>
      <c r="K237" t="s">
        <v>814</v>
      </c>
      <c r="L237" t="s">
        <v>833</v>
      </c>
      <c r="M237">
        <v>0</v>
      </c>
      <c r="N237">
        <v>0</v>
      </c>
      <c r="O237" s="1">
        <v>4210162918377630</v>
      </c>
      <c r="Q237" t="b">
        <v>0</v>
      </c>
    </row>
    <row r="238" spans="1:17" x14ac:dyDescent="0.35">
      <c r="A238" t="s">
        <v>838</v>
      </c>
      <c r="B238" t="s">
        <v>18</v>
      </c>
      <c r="C238" t="s">
        <v>839</v>
      </c>
      <c r="D238">
        <v>0</v>
      </c>
      <c r="E238">
        <v>0</v>
      </c>
      <c r="F238" t="s">
        <v>20</v>
      </c>
      <c r="G238">
        <v>0</v>
      </c>
      <c r="H238">
        <v>0</v>
      </c>
      <c r="I238">
        <v>0</v>
      </c>
      <c r="J238">
        <v>0</v>
      </c>
      <c r="K238" t="s">
        <v>814</v>
      </c>
      <c r="L238" t="s">
        <v>833</v>
      </c>
      <c r="M238">
        <v>0</v>
      </c>
      <c r="N238">
        <v>0</v>
      </c>
      <c r="O238" s="1">
        <v>4210191438265710</v>
      </c>
      <c r="Q238" t="b">
        <v>0</v>
      </c>
    </row>
    <row r="239" spans="1:17" x14ac:dyDescent="0.35">
      <c r="A239" t="s">
        <v>840</v>
      </c>
      <c r="B239" t="s">
        <v>18</v>
      </c>
      <c r="C239" t="s">
        <v>841</v>
      </c>
      <c r="D239">
        <v>0</v>
      </c>
      <c r="E239">
        <v>0</v>
      </c>
      <c r="F239" t="s">
        <v>20</v>
      </c>
      <c r="G239">
        <v>0</v>
      </c>
      <c r="H239">
        <v>0</v>
      </c>
      <c r="I239">
        <v>0</v>
      </c>
      <c r="J239">
        <v>0</v>
      </c>
      <c r="K239" t="s">
        <v>842</v>
      </c>
      <c r="L239" t="s">
        <v>843</v>
      </c>
      <c r="M239">
        <v>0</v>
      </c>
      <c r="N239">
        <v>0</v>
      </c>
      <c r="O239" s="1">
        <v>4210219958153790</v>
      </c>
      <c r="Q239" t="b">
        <v>0</v>
      </c>
    </row>
    <row r="240" spans="1:17" x14ac:dyDescent="0.35">
      <c r="A240" t="s">
        <v>844</v>
      </c>
      <c r="B240" t="s">
        <v>18</v>
      </c>
      <c r="C240" t="s">
        <v>845</v>
      </c>
      <c r="D240">
        <v>0</v>
      </c>
      <c r="E240">
        <v>0</v>
      </c>
      <c r="F240" t="s">
        <v>20</v>
      </c>
      <c r="G240">
        <v>0</v>
      </c>
      <c r="H240">
        <v>0</v>
      </c>
      <c r="I240">
        <v>0</v>
      </c>
      <c r="J240">
        <v>0</v>
      </c>
      <c r="K240" t="s">
        <v>842</v>
      </c>
      <c r="L240" t="s">
        <v>843</v>
      </c>
      <c r="M240">
        <v>0</v>
      </c>
      <c r="N240">
        <v>0</v>
      </c>
      <c r="O240" s="1">
        <v>4210248478041870</v>
      </c>
      <c r="Q240" t="b">
        <v>0</v>
      </c>
    </row>
    <row r="241" spans="1:17" x14ac:dyDescent="0.35">
      <c r="A241" t="s">
        <v>846</v>
      </c>
      <c r="B241" t="s">
        <v>18</v>
      </c>
      <c r="C241" t="s">
        <v>847</v>
      </c>
      <c r="D241">
        <v>0</v>
      </c>
      <c r="E241">
        <v>0</v>
      </c>
      <c r="F241" t="s">
        <v>20</v>
      </c>
      <c r="G241">
        <v>0</v>
      </c>
      <c r="H241">
        <v>0</v>
      </c>
      <c r="I241">
        <v>0</v>
      </c>
      <c r="J241">
        <v>0</v>
      </c>
      <c r="K241" t="s">
        <v>842</v>
      </c>
      <c r="L241" t="s">
        <v>843</v>
      </c>
      <c r="M241">
        <v>0</v>
      </c>
      <c r="N241">
        <v>0</v>
      </c>
      <c r="O241" s="1">
        <v>4210276997929950</v>
      </c>
      <c r="Q241" t="b">
        <v>0</v>
      </c>
    </row>
    <row r="242" spans="1:17" x14ac:dyDescent="0.35">
      <c r="A242" t="s">
        <v>848</v>
      </c>
      <c r="B242" t="s">
        <v>18</v>
      </c>
      <c r="C242" t="s">
        <v>849</v>
      </c>
      <c r="D242">
        <v>0</v>
      </c>
      <c r="E242">
        <v>0</v>
      </c>
      <c r="F242" t="s">
        <v>20</v>
      </c>
      <c r="G242">
        <v>0</v>
      </c>
      <c r="H242">
        <v>0</v>
      </c>
      <c r="I242">
        <v>0</v>
      </c>
      <c r="J242">
        <v>0</v>
      </c>
      <c r="K242" t="s">
        <v>842</v>
      </c>
      <c r="L242" t="s">
        <v>843</v>
      </c>
      <c r="M242">
        <v>0</v>
      </c>
      <c r="N242">
        <v>0</v>
      </c>
      <c r="O242" s="1">
        <v>4210305517818030</v>
      </c>
      <c r="Q242" t="b">
        <v>0</v>
      </c>
    </row>
    <row r="243" spans="1:17" x14ac:dyDescent="0.35">
      <c r="A243" t="s">
        <v>850</v>
      </c>
      <c r="B243" t="s">
        <v>18</v>
      </c>
      <c r="C243" t="s">
        <v>851</v>
      </c>
      <c r="D243">
        <v>0</v>
      </c>
      <c r="E243">
        <v>0</v>
      </c>
      <c r="F243" t="s">
        <v>20</v>
      </c>
      <c r="G243">
        <v>0</v>
      </c>
      <c r="H243">
        <v>0</v>
      </c>
      <c r="I243">
        <v>0</v>
      </c>
      <c r="J243">
        <v>0</v>
      </c>
      <c r="K243">
        <v>2</v>
      </c>
      <c r="L243" t="s">
        <v>843</v>
      </c>
      <c r="M243">
        <v>0</v>
      </c>
      <c r="N243">
        <v>0</v>
      </c>
      <c r="O243" s="1">
        <v>4.21033403770612E+16</v>
      </c>
      <c r="Q243" t="b">
        <v>0</v>
      </c>
    </row>
    <row r="244" spans="1:17" x14ac:dyDescent="0.35">
      <c r="A244" t="s">
        <v>852</v>
      </c>
      <c r="B244" t="s">
        <v>18</v>
      </c>
      <c r="C244" t="s">
        <v>853</v>
      </c>
      <c r="D244">
        <v>0</v>
      </c>
      <c r="E244">
        <v>0</v>
      </c>
      <c r="F244" t="s">
        <v>20</v>
      </c>
      <c r="G244" t="s">
        <v>854</v>
      </c>
      <c r="H244">
        <v>0</v>
      </c>
      <c r="I244">
        <v>0</v>
      </c>
      <c r="J244">
        <v>0</v>
      </c>
      <c r="K244">
        <v>2</v>
      </c>
      <c r="L244" t="s">
        <v>843</v>
      </c>
      <c r="M244">
        <v>0</v>
      </c>
      <c r="N244">
        <v>0</v>
      </c>
      <c r="O244" s="1">
        <v>4210362557594200</v>
      </c>
      <c r="Q244" t="b">
        <v>0</v>
      </c>
    </row>
    <row r="245" spans="1:17" x14ac:dyDescent="0.35">
      <c r="A245" t="s">
        <v>855</v>
      </c>
      <c r="B245" t="s">
        <v>18</v>
      </c>
      <c r="C245" t="s">
        <v>856</v>
      </c>
      <c r="D245">
        <v>0</v>
      </c>
      <c r="E245" t="s">
        <v>857</v>
      </c>
      <c r="F245" t="s">
        <v>20</v>
      </c>
      <c r="G245" t="s">
        <v>858</v>
      </c>
      <c r="H245">
        <v>0</v>
      </c>
      <c r="I245">
        <v>0</v>
      </c>
      <c r="J245">
        <v>0</v>
      </c>
      <c r="K245">
        <v>2</v>
      </c>
      <c r="L245" t="s">
        <v>843</v>
      </c>
      <c r="M245">
        <v>0</v>
      </c>
      <c r="N245">
        <v>0</v>
      </c>
      <c r="O245" s="1">
        <v>4210391077482280</v>
      </c>
      <c r="Q245" t="b">
        <v>0</v>
      </c>
    </row>
    <row r="246" spans="1:17" x14ac:dyDescent="0.35">
      <c r="A246" t="s">
        <v>859</v>
      </c>
      <c r="B246" t="s">
        <v>18</v>
      </c>
      <c r="C246" t="s">
        <v>860</v>
      </c>
      <c r="D246">
        <v>0</v>
      </c>
      <c r="E246" t="s">
        <v>861</v>
      </c>
      <c r="F246" t="s">
        <v>20</v>
      </c>
      <c r="G246" t="s">
        <v>862</v>
      </c>
      <c r="H246">
        <v>0</v>
      </c>
      <c r="I246">
        <v>0</v>
      </c>
      <c r="J246">
        <v>0</v>
      </c>
      <c r="K246">
        <v>2</v>
      </c>
      <c r="L246" t="s">
        <v>843</v>
      </c>
      <c r="M246">
        <v>0</v>
      </c>
      <c r="N246">
        <v>0</v>
      </c>
      <c r="O246" s="1">
        <v>4.21041959737036E+16</v>
      </c>
      <c r="Q246" t="b">
        <v>0</v>
      </c>
    </row>
    <row r="247" spans="1:17" x14ac:dyDescent="0.35">
      <c r="A247" t="s">
        <v>863</v>
      </c>
      <c r="B247" t="s">
        <v>18</v>
      </c>
      <c r="C247" t="s">
        <v>864</v>
      </c>
      <c r="D247">
        <v>0</v>
      </c>
      <c r="E247" t="s">
        <v>865</v>
      </c>
      <c r="F247" t="s">
        <v>20</v>
      </c>
      <c r="G247" t="s">
        <v>866</v>
      </c>
      <c r="H247" s="1">
        <v>1.20333333333333E+16</v>
      </c>
      <c r="I247">
        <v>0</v>
      </c>
      <c r="J247">
        <v>12</v>
      </c>
      <c r="K247" s="1">
        <v>2.4E+16</v>
      </c>
      <c r="L247" t="s">
        <v>867</v>
      </c>
      <c r="M247">
        <v>0</v>
      </c>
      <c r="N247">
        <v>0</v>
      </c>
      <c r="O247" s="1">
        <v>4210448117258440</v>
      </c>
      <c r="Q247" t="b">
        <v>0</v>
      </c>
    </row>
    <row r="248" spans="1:17" x14ac:dyDescent="0.35">
      <c r="A248" t="s">
        <v>868</v>
      </c>
      <c r="B248" t="s">
        <v>18</v>
      </c>
      <c r="C248" t="s">
        <v>869</v>
      </c>
      <c r="D248">
        <v>0</v>
      </c>
      <c r="E248" t="s">
        <v>870</v>
      </c>
      <c r="F248" t="s">
        <v>20</v>
      </c>
      <c r="G248" t="s">
        <v>871</v>
      </c>
      <c r="H248" s="1">
        <v>1.20333333333333E+16</v>
      </c>
      <c r="I248">
        <v>0</v>
      </c>
      <c r="J248">
        <v>12</v>
      </c>
      <c r="K248" s="1">
        <v>2.4E+16</v>
      </c>
      <c r="L248" t="s">
        <v>867</v>
      </c>
      <c r="M248">
        <v>0</v>
      </c>
      <c r="N248">
        <v>0</v>
      </c>
      <c r="O248" s="1">
        <v>4210476637146520</v>
      </c>
      <c r="Q248" t="b">
        <v>0</v>
      </c>
    </row>
    <row r="249" spans="1:17" x14ac:dyDescent="0.35">
      <c r="A249" t="s">
        <v>872</v>
      </c>
      <c r="B249" t="s">
        <v>18</v>
      </c>
      <c r="C249" t="s">
        <v>873</v>
      </c>
      <c r="D249">
        <v>0</v>
      </c>
      <c r="E249" t="s">
        <v>874</v>
      </c>
      <c r="F249" t="s">
        <v>20</v>
      </c>
      <c r="G249" t="s">
        <v>875</v>
      </c>
      <c r="H249" s="1">
        <v>1.20333333333333E+16</v>
      </c>
      <c r="I249">
        <v>0</v>
      </c>
      <c r="J249">
        <v>12</v>
      </c>
      <c r="K249" s="1">
        <v>2.4E+16</v>
      </c>
      <c r="L249" t="s">
        <v>867</v>
      </c>
      <c r="M249">
        <v>0</v>
      </c>
      <c r="N249">
        <v>0</v>
      </c>
      <c r="O249" s="1">
        <v>4210505157034610</v>
      </c>
      <c r="Q249" t="b">
        <v>0</v>
      </c>
    </row>
    <row r="250" spans="1:17" x14ac:dyDescent="0.35">
      <c r="A250" t="s">
        <v>876</v>
      </c>
      <c r="B250" t="s">
        <v>18</v>
      </c>
      <c r="C250" t="s">
        <v>877</v>
      </c>
      <c r="D250">
        <v>0</v>
      </c>
      <c r="E250" t="s">
        <v>878</v>
      </c>
      <c r="F250" t="s">
        <v>20</v>
      </c>
      <c r="G250" t="s">
        <v>879</v>
      </c>
      <c r="H250" s="1">
        <v>1.20333333333333E+16</v>
      </c>
      <c r="I250">
        <v>0</v>
      </c>
      <c r="J250">
        <v>12</v>
      </c>
      <c r="K250" s="1">
        <v>2.4E+16</v>
      </c>
      <c r="L250" t="s">
        <v>867</v>
      </c>
      <c r="M250">
        <v>0</v>
      </c>
      <c r="N250">
        <v>0</v>
      </c>
      <c r="O250" s="1">
        <v>4210533676922690</v>
      </c>
      <c r="Q250" t="b">
        <v>0</v>
      </c>
    </row>
    <row r="251" spans="1:17" x14ac:dyDescent="0.35">
      <c r="A251" t="s">
        <v>880</v>
      </c>
      <c r="B251" t="s">
        <v>18</v>
      </c>
      <c r="C251" t="s">
        <v>881</v>
      </c>
      <c r="D251">
        <v>0</v>
      </c>
      <c r="E251" t="s">
        <v>882</v>
      </c>
      <c r="F251" t="s">
        <v>20</v>
      </c>
      <c r="G251" t="s">
        <v>883</v>
      </c>
      <c r="H251">
        <v>0</v>
      </c>
      <c r="I251">
        <v>0</v>
      </c>
      <c r="J251" t="s">
        <v>884</v>
      </c>
      <c r="K251" t="s">
        <v>885</v>
      </c>
      <c r="L251" t="s">
        <v>886</v>
      </c>
      <c r="M251">
        <v>0</v>
      </c>
      <c r="N251">
        <v>0</v>
      </c>
      <c r="O251" s="1">
        <v>4210562196810770</v>
      </c>
      <c r="Q251" t="b">
        <v>0</v>
      </c>
    </row>
    <row r="252" spans="1:17" x14ac:dyDescent="0.35">
      <c r="A252" t="s">
        <v>887</v>
      </c>
      <c r="B252" t="s">
        <v>18</v>
      </c>
      <c r="C252" t="s">
        <v>888</v>
      </c>
      <c r="D252">
        <v>0</v>
      </c>
      <c r="E252" t="s">
        <v>889</v>
      </c>
      <c r="F252" t="s">
        <v>20</v>
      </c>
      <c r="G252" t="s">
        <v>890</v>
      </c>
      <c r="H252">
        <v>0</v>
      </c>
      <c r="I252">
        <v>0</v>
      </c>
      <c r="J252" t="s">
        <v>884</v>
      </c>
      <c r="K252" t="s">
        <v>885</v>
      </c>
      <c r="L252" t="s">
        <v>886</v>
      </c>
      <c r="M252">
        <v>0</v>
      </c>
      <c r="N252">
        <v>0</v>
      </c>
      <c r="O252" s="1">
        <v>4210590716698850</v>
      </c>
      <c r="Q252" t="b">
        <v>0</v>
      </c>
    </row>
    <row r="253" spans="1:17" x14ac:dyDescent="0.35">
      <c r="A253" t="s">
        <v>891</v>
      </c>
      <c r="B253" t="s">
        <v>18</v>
      </c>
      <c r="C253" t="s">
        <v>892</v>
      </c>
      <c r="D253">
        <v>0</v>
      </c>
      <c r="E253" t="s">
        <v>893</v>
      </c>
      <c r="F253" t="s">
        <v>20</v>
      </c>
      <c r="G253" t="s">
        <v>894</v>
      </c>
      <c r="H253">
        <v>0</v>
      </c>
      <c r="I253">
        <v>0</v>
      </c>
      <c r="J253" t="s">
        <v>884</v>
      </c>
      <c r="K253" t="s">
        <v>885</v>
      </c>
      <c r="L253" t="s">
        <v>886</v>
      </c>
      <c r="M253">
        <v>0</v>
      </c>
      <c r="N253">
        <v>0</v>
      </c>
      <c r="O253" s="1">
        <v>4210619236586930</v>
      </c>
      <c r="Q253" t="b">
        <v>0</v>
      </c>
    </row>
    <row r="254" spans="1:17" x14ac:dyDescent="0.35">
      <c r="A254" t="s">
        <v>895</v>
      </c>
      <c r="B254" t="s">
        <v>18</v>
      </c>
      <c r="C254" t="s">
        <v>896</v>
      </c>
      <c r="D254">
        <v>0</v>
      </c>
      <c r="E254" t="s">
        <v>897</v>
      </c>
      <c r="F254" t="s">
        <v>20</v>
      </c>
      <c r="G254" t="s">
        <v>898</v>
      </c>
      <c r="H254">
        <v>0</v>
      </c>
      <c r="I254">
        <v>0</v>
      </c>
      <c r="J254" t="s">
        <v>884</v>
      </c>
      <c r="K254" t="s">
        <v>885</v>
      </c>
      <c r="L254" t="s">
        <v>886</v>
      </c>
      <c r="M254">
        <v>0</v>
      </c>
      <c r="N254">
        <v>0</v>
      </c>
      <c r="O254" s="1">
        <v>4210647756475010</v>
      </c>
      <c r="Q254" t="b">
        <v>0</v>
      </c>
    </row>
    <row r="255" spans="1:17" x14ac:dyDescent="0.35">
      <c r="A255" t="s">
        <v>899</v>
      </c>
      <c r="B255" t="s">
        <v>18</v>
      </c>
      <c r="C255" t="s">
        <v>900</v>
      </c>
      <c r="D255">
        <v>0</v>
      </c>
      <c r="E255" t="s">
        <v>901</v>
      </c>
      <c r="F255" t="s">
        <v>20</v>
      </c>
      <c r="G255" t="s">
        <v>902</v>
      </c>
      <c r="H255" s="1">
        <v>1.69833333333333E+16</v>
      </c>
      <c r="I255">
        <v>0</v>
      </c>
      <c r="J255" t="s">
        <v>903</v>
      </c>
      <c r="K255" t="s">
        <v>904</v>
      </c>
      <c r="L255" s="1">
        <v>8100000000000000</v>
      </c>
      <c r="M255">
        <v>0</v>
      </c>
      <c r="N255">
        <v>0</v>
      </c>
      <c r="O255" s="1">
        <v>42106762763631</v>
      </c>
      <c r="Q255" t="b">
        <v>0</v>
      </c>
    </row>
    <row r="256" spans="1:17" x14ac:dyDescent="0.35">
      <c r="A256" t="s">
        <v>905</v>
      </c>
      <c r="B256" t="s">
        <v>18</v>
      </c>
      <c r="C256" t="s">
        <v>906</v>
      </c>
      <c r="D256">
        <v>0</v>
      </c>
      <c r="E256" t="s">
        <v>907</v>
      </c>
      <c r="F256" t="s">
        <v>20</v>
      </c>
      <c r="G256" t="s">
        <v>908</v>
      </c>
      <c r="H256" s="1">
        <v>1.69833333333333E+16</v>
      </c>
      <c r="I256">
        <v>0</v>
      </c>
      <c r="J256" t="s">
        <v>903</v>
      </c>
      <c r="K256" t="s">
        <v>904</v>
      </c>
      <c r="L256" s="1">
        <v>8100000000000000</v>
      </c>
      <c r="M256">
        <v>0</v>
      </c>
      <c r="N256">
        <v>0</v>
      </c>
      <c r="O256" s="1">
        <v>4210704796251180</v>
      </c>
      <c r="Q256" t="b">
        <v>0</v>
      </c>
    </row>
    <row r="257" spans="1:17" x14ac:dyDescent="0.35">
      <c r="A257" t="s">
        <v>909</v>
      </c>
      <c r="B257" t="s">
        <v>18</v>
      </c>
      <c r="C257" t="s">
        <v>910</v>
      </c>
      <c r="D257">
        <v>0</v>
      </c>
      <c r="E257" t="s">
        <v>911</v>
      </c>
      <c r="F257" t="s">
        <v>20</v>
      </c>
      <c r="G257" t="s">
        <v>912</v>
      </c>
      <c r="H257" s="1">
        <v>1.69833333333333E+16</v>
      </c>
      <c r="I257">
        <v>0</v>
      </c>
      <c r="J257" t="s">
        <v>903</v>
      </c>
      <c r="K257" t="s">
        <v>904</v>
      </c>
      <c r="L257" s="1">
        <v>8100000000000000</v>
      </c>
      <c r="M257">
        <v>0</v>
      </c>
      <c r="N257">
        <v>0</v>
      </c>
      <c r="O257" s="1">
        <v>4210733316139260</v>
      </c>
      <c r="Q257" t="b">
        <v>0</v>
      </c>
    </row>
    <row r="258" spans="1:17" x14ac:dyDescent="0.35">
      <c r="A258" t="s">
        <v>913</v>
      </c>
      <c r="B258" t="s">
        <v>18</v>
      </c>
      <c r="C258" t="s">
        <v>914</v>
      </c>
      <c r="D258">
        <v>0</v>
      </c>
      <c r="E258" t="s">
        <v>915</v>
      </c>
      <c r="F258" t="s">
        <v>20</v>
      </c>
      <c r="G258" t="s">
        <v>916</v>
      </c>
      <c r="H258" s="1">
        <v>1.69833333333333E+16</v>
      </c>
      <c r="I258">
        <v>0</v>
      </c>
      <c r="J258" t="s">
        <v>903</v>
      </c>
      <c r="K258" t="s">
        <v>904</v>
      </c>
      <c r="L258" s="1">
        <v>8100000000000000</v>
      </c>
      <c r="M258">
        <v>0</v>
      </c>
      <c r="N258">
        <v>0</v>
      </c>
      <c r="O258" s="1">
        <v>4210761836027340</v>
      </c>
      <c r="Q258" t="b">
        <v>0</v>
      </c>
    </row>
    <row r="259" spans="1:17" x14ac:dyDescent="0.35">
      <c r="A259" t="s">
        <v>917</v>
      </c>
      <c r="B259" t="s">
        <v>18</v>
      </c>
      <c r="C259" t="s">
        <v>918</v>
      </c>
      <c r="D259">
        <v>0</v>
      </c>
      <c r="E259" t="s">
        <v>919</v>
      </c>
      <c r="F259" t="s">
        <v>20</v>
      </c>
      <c r="G259" t="s">
        <v>920</v>
      </c>
      <c r="H259" s="1">
        <v>2561166666666660</v>
      </c>
      <c r="I259">
        <v>0</v>
      </c>
      <c r="J259">
        <v>117</v>
      </c>
      <c r="K259" t="s">
        <v>921</v>
      </c>
      <c r="L259" s="1">
        <v>9360000000000000</v>
      </c>
      <c r="M259">
        <v>0</v>
      </c>
      <c r="N259">
        <v>0</v>
      </c>
      <c r="O259" s="1">
        <v>4210790355915420</v>
      </c>
      <c r="Q259" t="b">
        <v>0</v>
      </c>
    </row>
    <row r="260" spans="1:17" x14ac:dyDescent="0.35">
      <c r="A260" t="s">
        <v>922</v>
      </c>
      <c r="B260" t="s">
        <v>18</v>
      </c>
      <c r="C260" t="s">
        <v>923</v>
      </c>
      <c r="D260">
        <v>0</v>
      </c>
      <c r="E260" t="s">
        <v>924</v>
      </c>
      <c r="F260" t="s">
        <v>20</v>
      </c>
      <c r="G260" t="s">
        <v>925</v>
      </c>
      <c r="H260" s="1">
        <v>2561166666666660</v>
      </c>
      <c r="I260">
        <v>0</v>
      </c>
      <c r="J260">
        <v>117</v>
      </c>
      <c r="K260" t="s">
        <v>921</v>
      </c>
      <c r="L260" s="1">
        <v>9360000000000000</v>
      </c>
      <c r="M260">
        <v>0</v>
      </c>
      <c r="N260">
        <v>0</v>
      </c>
      <c r="O260" s="1">
        <v>4210818875803500</v>
      </c>
      <c r="Q260" t="b">
        <v>0</v>
      </c>
    </row>
    <row r="261" spans="1:17" x14ac:dyDescent="0.35">
      <c r="A261" t="s">
        <v>926</v>
      </c>
      <c r="B261" t="s">
        <v>18</v>
      </c>
      <c r="C261" t="s">
        <v>927</v>
      </c>
      <c r="D261">
        <v>0</v>
      </c>
      <c r="E261" t="s">
        <v>928</v>
      </c>
      <c r="F261" t="s">
        <v>20</v>
      </c>
      <c r="G261" t="s">
        <v>929</v>
      </c>
      <c r="H261" s="1">
        <v>2561166666666660</v>
      </c>
      <c r="I261">
        <v>0</v>
      </c>
      <c r="J261">
        <v>117</v>
      </c>
      <c r="K261" t="s">
        <v>921</v>
      </c>
      <c r="L261" s="1">
        <v>9360000000000000</v>
      </c>
      <c r="M261">
        <v>0</v>
      </c>
      <c r="N261">
        <v>0</v>
      </c>
      <c r="O261" s="1">
        <v>4210847395691580</v>
      </c>
      <c r="Q261" t="b">
        <v>0</v>
      </c>
    </row>
    <row r="262" spans="1:17" x14ac:dyDescent="0.35">
      <c r="A262" t="s">
        <v>930</v>
      </c>
      <c r="B262" t="s">
        <v>18</v>
      </c>
      <c r="C262" t="s">
        <v>931</v>
      </c>
      <c r="D262">
        <v>0</v>
      </c>
      <c r="E262" t="s">
        <v>932</v>
      </c>
      <c r="F262" t="s">
        <v>20</v>
      </c>
      <c r="G262" t="s">
        <v>933</v>
      </c>
      <c r="H262" s="1">
        <v>2561166666666660</v>
      </c>
      <c r="I262">
        <v>0</v>
      </c>
      <c r="J262">
        <v>117</v>
      </c>
      <c r="K262" t="s">
        <v>921</v>
      </c>
      <c r="L262" s="1">
        <v>9360000000000000</v>
      </c>
      <c r="M262">
        <v>0</v>
      </c>
      <c r="N262">
        <v>0</v>
      </c>
      <c r="O262" s="1">
        <v>4.2108759155796704E+16</v>
      </c>
      <c r="Q262" t="b">
        <v>0</v>
      </c>
    </row>
    <row r="263" spans="1:17" x14ac:dyDescent="0.35">
      <c r="A263" t="s">
        <v>934</v>
      </c>
      <c r="B263" t="s">
        <v>18</v>
      </c>
      <c r="C263" t="s">
        <v>935</v>
      </c>
      <c r="D263">
        <v>0</v>
      </c>
      <c r="E263" t="s">
        <v>936</v>
      </c>
      <c r="F263" t="s">
        <v>20</v>
      </c>
      <c r="G263" t="s">
        <v>937</v>
      </c>
      <c r="H263" s="1">
        <v>6361666666666660</v>
      </c>
      <c r="I263">
        <v>0</v>
      </c>
      <c r="J263" t="s">
        <v>938</v>
      </c>
      <c r="K263" t="s">
        <v>719</v>
      </c>
      <c r="L263" s="1">
        <v>1.224E+16</v>
      </c>
      <c r="M263">
        <v>0</v>
      </c>
      <c r="N263">
        <v>0</v>
      </c>
      <c r="O263" s="1">
        <v>4210904435467750</v>
      </c>
      <c r="Q263" t="b">
        <v>0</v>
      </c>
    </row>
    <row r="264" spans="1:17" x14ac:dyDescent="0.35">
      <c r="A264" t="s">
        <v>939</v>
      </c>
      <c r="B264" t="s">
        <v>18</v>
      </c>
      <c r="C264" t="s">
        <v>940</v>
      </c>
      <c r="D264">
        <v>0</v>
      </c>
      <c r="E264" t="s">
        <v>941</v>
      </c>
      <c r="F264" t="s">
        <v>20</v>
      </c>
      <c r="G264" t="s">
        <v>942</v>
      </c>
      <c r="H264" s="1">
        <v>6361666666666660</v>
      </c>
      <c r="I264">
        <v>0</v>
      </c>
      <c r="J264" t="s">
        <v>938</v>
      </c>
      <c r="K264" t="s">
        <v>719</v>
      </c>
      <c r="L264" s="1">
        <v>1.224E+16</v>
      </c>
      <c r="M264">
        <v>0</v>
      </c>
      <c r="N264">
        <v>0</v>
      </c>
      <c r="O264" s="1">
        <v>4210932955355830</v>
      </c>
      <c r="Q264" t="b">
        <v>0</v>
      </c>
    </row>
    <row r="265" spans="1:17" x14ac:dyDescent="0.35">
      <c r="A265" t="s">
        <v>943</v>
      </c>
      <c r="B265" t="s">
        <v>18</v>
      </c>
      <c r="C265" t="s">
        <v>944</v>
      </c>
      <c r="D265">
        <v>0</v>
      </c>
      <c r="E265" t="s">
        <v>945</v>
      </c>
      <c r="F265" t="s">
        <v>20</v>
      </c>
      <c r="G265" t="s">
        <v>946</v>
      </c>
      <c r="H265" s="1">
        <v>6361666666666660</v>
      </c>
      <c r="I265">
        <v>0</v>
      </c>
      <c r="J265" t="s">
        <v>938</v>
      </c>
      <c r="K265" t="s">
        <v>719</v>
      </c>
      <c r="L265" s="1">
        <v>1.224E+16</v>
      </c>
      <c r="M265">
        <v>0</v>
      </c>
      <c r="N265">
        <v>0</v>
      </c>
      <c r="O265" s="1">
        <v>4.2109614752439104E+16</v>
      </c>
      <c r="Q265" t="b">
        <v>0</v>
      </c>
    </row>
    <row r="266" spans="1:17" x14ac:dyDescent="0.35">
      <c r="A266" t="s">
        <v>947</v>
      </c>
      <c r="B266" t="s">
        <v>18</v>
      </c>
      <c r="C266" t="s">
        <v>948</v>
      </c>
      <c r="D266">
        <v>0</v>
      </c>
      <c r="E266" t="s">
        <v>949</v>
      </c>
      <c r="F266" t="s">
        <v>20</v>
      </c>
      <c r="G266" t="s">
        <v>950</v>
      </c>
      <c r="H266" s="1">
        <v>6361666666666660</v>
      </c>
      <c r="I266">
        <v>0</v>
      </c>
      <c r="J266" t="s">
        <v>938</v>
      </c>
      <c r="K266" t="s">
        <v>719</v>
      </c>
      <c r="L266" s="1">
        <v>1.224E+16</v>
      </c>
      <c r="M266">
        <v>0</v>
      </c>
      <c r="N266">
        <v>0</v>
      </c>
      <c r="O266" s="1">
        <v>4210989995131990</v>
      </c>
      <c r="Q266" t="b">
        <v>0</v>
      </c>
    </row>
    <row r="267" spans="1:17" x14ac:dyDescent="0.35">
      <c r="A267" t="s">
        <v>951</v>
      </c>
      <c r="B267" t="s">
        <v>18</v>
      </c>
      <c r="C267" t="s">
        <v>952</v>
      </c>
      <c r="D267">
        <v>0</v>
      </c>
      <c r="E267" t="s">
        <v>953</v>
      </c>
      <c r="F267" t="s">
        <v>20</v>
      </c>
      <c r="G267" t="s">
        <v>954</v>
      </c>
      <c r="H267" s="1">
        <v>6574833333333330</v>
      </c>
      <c r="I267">
        <v>0</v>
      </c>
      <c r="J267">
        <v>80</v>
      </c>
      <c r="K267" s="1">
        <v>6800000000000000</v>
      </c>
      <c r="L267" t="s">
        <v>955</v>
      </c>
      <c r="M267">
        <v>0</v>
      </c>
      <c r="N267">
        <v>0</v>
      </c>
      <c r="O267" s="1">
        <v>4211018515020070</v>
      </c>
      <c r="Q267" t="b">
        <v>0</v>
      </c>
    </row>
    <row r="268" spans="1:17" x14ac:dyDescent="0.35">
      <c r="A268" t="s">
        <v>956</v>
      </c>
      <c r="B268" t="s">
        <v>18</v>
      </c>
      <c r="C268" t="s">
        <v>957</v>
      </c>
      <c r="D268">
        <v>0</v>
      </c>
      <c r="E268" t="s">
        <v>958</v>
      </c>
      <c r="F268" t="s">
        <v>20</v>
      </c>
      <c r="G268" t="s">
        <v>959</v>
      </c>
      <c r="H268" s="1">
        <v>6574833333333330</v>
      </c>
      <c r="I268">
        <v>0</v>
      </c>
      <c r="J268">
        <v>80</v>
      </c>
      <c r="K268" s="1">
        <v>6800000000000000</v>
      </c>
      <c r="L268" t="s">
        <v>955</v>
      </c>
      <c r="M268">
        <v>0</v>
      </c>
      <c r="N268">
        <v>0</v>
      </c>
      <c r="O268" s="1">
        <v>4211047034908160</v>
      </c>
      <c r="Q268" t="b">
        <v>0</v>
      </c>
    </row>
    <row r="269" spans="1:17" x14ac:dyDescent="0.35">
      <c r="A269" t="s">
        <v>960</v>
      </c>
      <c r="B269" t="s">
        <v>18</v>
      </c>
      <c r="C269" t="s">
        <v>961</v>
      </c>
      <c r="D269">
        <v>0</v>
      </c>
      <c r="E269" t="s">
        <v>962</v>
      </c>
      <c r="F269" t="s">
        <v>20</v>
      </c>
      <c r="G269" t="s">
        <v>963</v>
      </c>
      <c r="H269" s="1">
        <v>6574833333333330</v>
      </c>
      <c r="I269">
        <v>0</v>
      </c>
      <c r="J269">
        <v>80</v>
      </c>
      <c r="K269" s="1">
        <v>6800000000000000</v>
      </c>
      <c r="L269" t="s">
        <v>955</v>
      </c>
      <c r="M269">
        <v>0</v>
      </c>
      <c r="N269">
        <v>0</v>
      </c>
      <c r="O269" s="1">
        <v>4211075554796240</v>
      </c>
      <c r="Q269" t="b">
        <v>0</v>
      </c>
    </row>
    <row r="270" spans="1:17" x14ac:dyDescent="0.35">
      <c r="A270" t="s">
        <v>964</v>
      </c>
      <c r="B270" t="s">
        <v>18</v>
      </c>
      <c r="C270" t="s">
        <v>965</v>
      </c>
      <c r="D270">
        <v>0</v>
      </c>
      <c r="E270" t="s">
        <v>966</v>
      </c>
      <c r="F270" t="s">
        <v>20</v>
      </c>
      <c r="G270" t="s">
        <v>967</v>
      </c>
      <c r="H270" s="1">
        <v>6574833333333330</v>
      </c>
      <c r="I270">
        <v>0</v>
      </c>
      <c r="J270">
        <v>80</v>
      </c>
      <c r="K270" s="1">
        <v>6800000000000000</v>
      </c>
      <c r="L270" t="s">
        <v>955</v>
      </c>
      <c r="M270">
        <v>0</v>
      </c>
      <c r="N270">
        <v>0</v>
      </c>
      <c r="O270" s="1">
        <v>4211104074684320</v>
      </c>
      <c r="Q270" t="b">
        <v>0</v>
      </c>
    </row>
    <row r="271" spans="1:17" x14ac:dyDescent="0.35">
      <c r="A271" t="s">
        <v>968</v>
      </c>
      <c r="B271" t="s">
        <v>18</v>
      </c>
      <c r="C271" t="s">
        <v>969</v>
      </c>
      <c r="D271">
        <v>0</v>
      </c>
      <c r="E271" t="s">
        <v>970</v>
      </c>
      <c r="F271" t="s">
        <v>20</v>
      </c>
      <c r="G271" t="s">
        <v>971</v>
      </c>
      <c r="H271" s="1">
        <v>2.50166666666666E+16</v>
      </c>
      <c r="I271">
        <v>0</v>
      </c>
      <c r="J271">
        <v>108</v>
      </c>
      <c r="K271" t="s">
        <v>972</v>
      </c>
      <c r="L271" t="s">
        <v>973</v>
      </c>
      <c r="M271">
        <v>0</v>
      </c>
      <c r="N271">
        <v>0</v>
      </c>
      <c r="O271" s="1">
        <v>4211132594572400</v>
      </c>
      <c r="Q271" t="b">
        <v>0</v>
      </c>
    </row>
    <row r="272" spans="1:17" x14ac:dyDescent="0.35">
      <c r="A272" t="s">
        <v>974</v>
      </c>
      <c r="B272" t="s">
        <v>18</v>
      </c>
      <c r="C272" t="s">
        <v>975</v>
      </c>
      <c r="D272">
        <v>0</v>
      </c>
      <c r="E272" t="s">
        <v>976</v>
      </c>
      <c r="F272" t="s">
        <v>20</v>
      </c>
      <c r="G272" t="s">
        <v>977</v>
      </c>
      <c r="H272" s="1">
        <v>2.50166666666666E+16</v>
      </c>
      <c r="I272">
        <v>0</v>
      </c>
      <c r="J272">
        <v>108</v>
      </c>
      <c r="K272" t="s">
        <v>972</v>
      </c>
      <c r="L272" t="s">
        <v>973</v>
      </c>
      <c r="M272">
        <v>0</v>
      </c>
      <c r="N272">
        <v>0</v>
      </c>
      <c r="O272" s="1">
        <v>4211161114460480</v>
      </c>
      <c r="Q272" t="b">
        <v>0</v>
      </c>
    </row>
    <row r="273" spans="1:17" x14ac:dyDescent="0.35">
      <c r="A273" t="s">
        <v>978</v>
      </c>
      <c r="B273" t="s">
        <v>18</v>
      </c>
      <c r="C273" t="s">
        <v>979</v>
      </c>
      <c r="D273">
        <v>0</v>
      </c>
      <c r="E273" t="s">
        <v>980</v>
      </c>
      <c r="F273" t="s">
        <v>20</v>
      </c>
      <c r="G273" t="s">
        <v>981</v>
      </c>
      <c r="H273" s="1">
        <v>2.50166666666666E+16</v>
      </c>
      <c r="I273">
        <v>0</v>
      </c>
      <c r="J273">
        <v>108</v>
      </c>
      <c r="K273" t="s">
        <v>972</v>
      </c>
      <c r="L273" t="s">
        <v>973</v>
      </c>
      <c r="M273">
        <v>0</v>
      </c>
      <c r="N273">
        <v>0</v>
      </c>
      <c r="O273" s="1">
        <v>4211189634348560</v>
      </c>
      <c r="Q273" t="b">
        <v>0</v>
      </c>
    </row>
    <row r="274" spans="1:17" x14ac:dyDescent="0.35">
      <c r="A274" t="s">
        <v>982</v>
      </c>
      <c r="B274" t="s">
        <v>18</v>
      </c>
      <c r="C274" t="s">
        <v>983</v>
      </c>
      <c r="D274">
        <v>0</v>
      </c>
      <c r="E274" t="s">
        <v>984</v>
      </c>
      <c r="F274" t="s">
        <v>20</v>
      </c>
      <c r="G274" t="s">
        <v>985</v>
      </c>
      <c r="H274" s="1">
        <v>2.50166666666666E+16</v>
      </c>
      <c r="I274">
        <v>0</v>
      </c>
      <c r="J274">
        <v>108</v>
      </c>
      <c r="K274" t="s">
        <v>972</v>
      </c>
      <c r="L274" t="s">
        <v>973</v>
      </c>
      <c r="M274">
        <v>0</v>
      </c>
      <c r="N274">
        <v>0</v>
      </c>
      <c r="O274" s="1">
        <v>421121815423665</v>
      </c>
      <c r="Q274" t="b">
        <v>0</v>
      </c>
    </row>
    <row r="275" spans="1:17" x14ac:dyDescent="0.35">
      <c r="A275" t="s">
        <v>986</v>
      </c>
      <c r="B275" t="s">
        <v>18</v>
      </c>
      <c r="C275" t="s">
        <v>987</v>
      </c>
      <c r="D275">
        <v>0</v>
      </c>
      <c r="E275" t="s">
        <v>988</v>
      </c>
      <c r="F275" t="s">
        <v>20</v>
      </c>
      <c r="G275" t="s">
        <v>989</v>
      </c>
      <c r="H275" s="1">
        <v>2.13883333333333E+16</v>
      </c>
      <c r="I275">
        <v>0</v>
      </c>
      <c r="J275" t="s">
        <v>990</v>
      </c>
      <c r="K275" t="s">
        <v>991</v>
      </c>
      <c r="L275" t="s">
        <v>22</v>
      </c>
      <c r="M275">
        <v>0</v>
      </c>
      <c r="N275">
        <v>0</v>
      </c>
      <c r="O275" s="1">
        <v>4211246674124730</v>
      </c>
      <c r="Q275" t="b">
        <v>0</v>
      </c>
    </row>
    <row r="276" spans="1:17" x14ac:dyDescent="0.35">
      <c r="A276" t="s">
        <v>992</v>
      </c>
      <c r="B276" t="s">
        <v>18</v>
      </c>
      <c r="C276" t="s">
        <v>993</v>
      </c>
      <c r="D276">
        <v>0</v>
      </c>
      <c r="E276">
        <v>0</v>
      </c>
      <c r="F276" t="s">
        <v>20</v>
      </c>
      <c r="G276" t="s">
        <v>994</v>
      </c>
      <c r="H276" s="1">
        <v>2.13883333333333E+16</v>
      </c>
      <c r="I276">
        <v>0</v>
      </c>
      <c r="J276" t="s">
        <v>990</v>
      </c>
      <c r="K276" t="s">
        <v>991</v>
      </c>
      <c r="L276" t="s">
        <v>22</v>
      </c>
      <c r="M276">
        <v>0</v>
      </c>
      <c r="N276">
        <v>0</v>
      </c>
      <c r="O276" s="1">
        <v>4211275194012810</v>
      </c>
      <c r="Q276" t="b">
        <v>0</v>
      </c>
    </row>
    <row r="277" spans="1:17" x14ac:dyDescent="0.35">
      <c r="A277" t="s">
        <v>995</v>
      </c>
      <c r="B277" t="s">
        <v>18</v>
      </c>
      <c r="C277" t="s">
        <v>996</v>
      </c>
      <c r="D277">
        <v>0</v>
      </c>
      <c r="E277">
        <v>0</v>
      </c>
      <c r="F277" t="s">
        <v>20</v>
      </c>
      <c r="G277" t="s">
        <v>997</v>
      </c>
      <c r="H277" s="1">
        <v>2.13883333333333E+16</v>
      </c>
      <c r="I277">
        <v>0</v>
      </c>
      <c r="J277" t="s">
        <v>990</v>
      </c>
      <c r="K277" t="s">
        <v>991</v>
      </c>
      <c r="L277" t="s">
        <v>22</v>
      </c>
      <c r="M277">
        <v>0</v>
      </c>
      <c r="N277">
        <v>0</v>
      </c>
      <c r="O277" s="1">
        <v>4211303713900890</v>
      </c>
      <c r="Q277" t="b">
        <v>0</v>
      </c>
    </row>
    <row r="278" spans="1:17" x14ac:dyDescent="0.35">
      <c r="A278" t="s">
        <v>998</v>
      </c>
      <c r="B278" t="s">
        <v>18</v>
      </c>
      <c r="C278" t="s">
        <v>999</v>
      </c>
      <c r="D278">
        <v>0</v>
      </c>
      <c r="E278">
        <v>0</v>
      </c>
      <c r="F278" t="s">
        <v>20</v>
      </c>
      <c r="G278" t="s">
        <v>1000</v>
      </c>
      <c r="H278" s="1">
        <v>2.13883333333333E+16</v>
      </c>
      <c r="I278">
        <v>0</v>
      </c>
      <c r="J278" t="s">
        <v>990</v>
      </c>
      <c r="K278" t="s">
        <v>991</v>
      </c>
      <c r="L278" t="s">
        <v>22</v>
      </c>
      <c r="M278">
        <v>0</v>
      </c>
      <c r="N278">
        <v>0</v>
      </c>
      <c r="O278" s="1">
        <v>4211332233788970</v>
      </c>
      <c r="Q278" t="b">
        <v>0</v>
      </c>
    </row>
    <row r="279" spans="1:17" x14ac:dyDescent="0.35">
      <c r="A279" t="s">
        <v>1001</v>
      </c>
      <c r="B279" t="s">
        <v>18</v>
      </c>
      <c r="C279" t="s">
        <v>1002</v>
      </c>
      <c r="D279">
        <v>0</v>
      </c>
      <c r="E279">
        <v>0</v>
      </c>
      <c r="F279" t="s">
        <v>20</v>
      </c>
      <c r="G279">
        <v>0</v>
      </c>
      <c r="H279" s="1">
        <v>3556666666666660</v>
      </c>
      <c r="I279">
        <v>0</v>
      </c>
      <c r="J279">
        <v>8</v>
      </c>
      <c r="K279" t="s">
        <v>1003</v>
      </c>
      <c r="L279" t="s">
        <v>164</v>
      </c>
      <c r="M279">
        <v>0</v>
      </c>
      <c r="N279">
        <v>0</v>
      </c>
      <c r="O279" s="1">
        <v>4211360753677050</v>
      </c>
      <c r="Q279" t="b">
        <v>0</v>
      </c>
    </row>
    <row r="280" spans="1:17" x14ac:dyDescent="0.35">
      <c r="A280" t="s">
        <v>1004</v>
      </c>
      <c r="B280" t="s">
        <v>18</v>
      </c>
      <c r="C280" t="s">
        <v>1005</v>
      </c>
      <c r="D280">
        <v>0</v>
      </c>
      <c r="E280">
        <v>0</v>
      </c>
      <c r="F280" t="s">
        <v>20</v>
      </c>
      <c r="G280">
        <v>0</v>
      </c>
      <c r="H280" s="1">
        <v>3556666666666660</v>
      </c>
      <c r="I280">
        <v>0</v>
      </c>
      <c r="J280">
        <v>8</v>
      </c>
      <c r="K280" t="s">
        <v>1003</v>
      </c>
      <c r="L280" t="s">
        <v>164</v>
      </c>
      <c r="M280">
        <v>0</v>
      </c>
      <c r="N280">
        <v>0</v>
      </c>
      <c r="O280" s="1">
        <v>4211389273565130</v>
      </c>
      <c r="Q280" t="b">
        <v>0</v>
      </c>
    </row>
    <row r="281" spans="1:17" x14ac:dyDescent="0.35">
      <c r="A281" t="s">
        <v>1006</v>
      </c>
      <c r="B281" t="s">
        <v>18</v>
      </c>
      <c r="C281" t="s">
        <v>1007</v>
      </c>
      <c r="D281">
        <v>0</v>
      </c>
      <c r="E281">
        <v>0</v>
      </c>
      <c r="F281" t="s">
        <v>20</v>
      </c>
      <c r="G281">
        <v>0</v>
      </c>
      <c r="H281" s="1">
        <v>3556666666666660</v>
      </c>
      <c r="I281">
        <v>0</v>
      </c>
      <c r="J281">
        <v>8</v>
      </c>
      <c r="K281" t="s">
        <v>1003</v>
      </c>
      <c r="L281" t="s">
        <v>164</v>
      </c>
      <c r="M281">
        <v>0</v>
      </c>
      <c r="N281">
        <v>0</v>
      </c>
      <c r="O281" s="1">
        <v>421141779345322</v>
      </c>
      <c r="Q281" t="b">
        <v>0</v>
      </c>
    </row>
    <row r="282" spans="1:17" x14ac:dyDescent="0.35">
      <c r="A282" t="s">
        <v>1008</v>
      </c>
      <c r="B282" t="s">
        <v>18</v>
      </c>
      <c r="C282" t="s">
        <v>1009</v>
      </c>
      <c r="D282">
        <v>0</v>
      </c>
      <c r="E282">
        <v>0</v>
      </c>
      <c r="F282" t="s">
        <v>20</v>
      </c>
      <c r="G282">
        <v>0</v>
      </c>
      <c r="H282" s="1">
        <v>3556666666666660</v>
      </c>
      <c r="I282">
        <v>0</v>
      </c>
      <c r="J282">
        <v>8</v>
      </c>
      <c r="K282" t="s">
        <v>1003</v>
      </c>
      <c r="L282" t="s">
        <v>164</v>
      </c>
      <c r="M282">
        <v>0</v>
      </c>
      <c r="N282">
        <v>0</v>
      </c>
      <c r="O282" s="1">
        <v>4211446313341300</v>
      </c>
      <c r="Q282" t="b">
        <v>0</v>
      </c>
    </row>
    <row r="283" spans="1:17" x14ac:dyDescent="0.35">
      <c r="A283" t="s">
        <v>1010</v>
      </c>
      <c r="B283" t="s">
        <v>18</v>
      </c>
      <c r="C283" t="s">
        <v>1011</v>
      </c>
      <c r="D283">
        <v>0</v>
      </c>
      <c r="E283">
        <v>0</v>
      </c>
      <c r="F283" t="s">
        <v>20</v>
      </c>
      <c r="G283">
        <v>0</v>
      </c>
      <c r="H283">
        <v>0</v>
      </c>
      <c r="I283">
        <v>0</v>
      </c>
      <c r="J283">
        <v>0</v>
      </c>
      <c r="K283" t="s">
        <v>274</v>
      </c>
      <c r="L283" s="1">
        <v>5760000000000000</v>
      </c>
      <c r="M283">
        <v>0</v>
      </c>
      <c r="N283">
        <v>0</v>
      </c>
      <c r="O283" s="1">
        <v>4211474833229380</v>
      </c>
      <c r="Q283" t="b">
        <v>0</v>
      </c>
    </row>
    <row r="284" spans="1:17" x14ac:dyDescent="0.35">
      <c r="A284" t="s">
        <v>1012</v>
      </c>
      <c r="B284" t="s">
        <v>18</v>
      </c>
      <c r="C284" t="s">
        <v>1013</v>
      </c>
      <c r="D284">
        <v>0</v>
      </c>
      <c r="E284">
        <v>0</v>
      </c>
      <c r="F284" t="s">
        <v>20</v>
      </c>
      <c r="G284">
        <v>0</v>
      </c>
      <c r="H284">
        <v>0</v>
      </c>
      <c r="I284">
        <v>0</v>
      </c>
      <c r="J284">
        <v>0</v>
      </c>
      <c r="K284" t="s">
        <v>274</v>
      </c>
      <c r="L284" s="1">
        <v>5760000000000000</v>
      </c>
      <c r="M284">
        <v>0</v>
      </c>
      <c r="N284">
        <v>0</v>
      </c>
      <c r="O284" s="1">
        <v>4.21150335311746E+16</v>
      </c>
      <c r="Q284" t="b">
        <v>0</v>
      </c>
    </row>
    <row r="285" spans="1:17" x14ac:dyDescent="0.35">
      <c r="A285" t="s">
        <v>1014</v>
      </c>
      <c r="B285" t="s">
        <v>18</v>
      </c>
      <c r="C285" t="s">
        <v>1015</v>
      </c>
      <c r="D285">
        <v>0</v>
      </c>
      <c r="E285">
        <v>0</v>
      </c>
      <c r="F285" t="s">
        <v>20</v>
      </c>
      <c r="G285">
        <v>0</v>
      </c>
      <c r="H285">
        <v>0</v>
      </c>
      <c r="I285">
        <v>0</v>
      </c>
      <c r="J285">
        <v>0</v>
      </c>
      <c r="K285" t="s">
        <v>274</v>
      </c>
      <c r="L285" s="1">
        <v>5760000000000000</v>
      </c>
      <c r="M285">
        <v>0</v>
      </c>
      <c r="N285">
        <v>0</v>
      </c>
      <c r="O285" s="1">
        <v>4211531873005540</v>
      </c>
      <c r="Q285" t="b">
        <v>0</v>
      </c>
    </row>
    <row r="286" spans="1:17" x14ac:dyDescent="0.35">
      <c r="A286" t="s">
        <v>1016</v>
      </c>
      <c r="B286" t="s">
        <v>18</v>
      </c>
      <c r="C286" t="s">
        <v>1017</v>
      </c>
      <c r="D286">
        <v>0</v>
      </c>
      <c r="E286">
        <v>0</v>
      </c>
      <c r="F286" t="s">
        <v>20</v>
      </c>
      <c r="G286">
        <v>0</v>
      </c>
      <c r="H286">
        <v>0</v>
      </c>
      <c r="I286">
        <v>0</v>
      </c>
      <c r="J286">
        <v>0</v>
      </c>
      <c r="K286" t="s">
        <v>274</v>
      </c>
      <c r="L286" s="1">
        <v>5760000000000000</v>
      </c>
      <c r="M286">
        <v>0</v>
      </c>
      <c r="N286">
        <v>0</v>
      </c>
      <c r="O286" s="1">
        <v>4211560392893620</v>
      </c>
      <c r="Q286" t="b">
        <v>0</v>
      </c>
    </row>
    <row r="287" spans="1:17" x14ac:dyDescent="0.35">
      <c r="A287" t="s">
        <v>1018</v>
      </c>
      <c r="B287" t="s">
        <v>18</v>
      </c>
      <c r="C287" t="s">
        <v>1019</v>
      </c>
      <c r="D287">
        <v>0</v>
      </c>
      <c r="E287">
        <v>0</v>
      </c>
      <c r="F287" t="s">
        <v>20</v>
      </c>
      <c r="G287">
        <v>0</v>
      </c>
      <c r="H287">
        <v>0</v>
      </c>
      <c r="I287">
        <v>0</v>
      </c>
      <c r="J287">
        <v>0</v>
      </c>
      <c r="K287" t="s">
        <v>51</v>
      </c>
      <c r="L287" s="1">
        <v>6840000000000000</v>
      </c>
      <c r="M287">
        <v>0</v>
      </c>
      <c r="N287">
        <v>0</v>
      </c>
      <c r="O287" s="1">
        <v>421158891278171</v>
      </c>
      <c r="Q287" t="b">
        <v>0</v>
      </c>
    </row>
    <row r="288" spans="1:17" x14ac:dyDescent="0.35">
      <c r="A288" t="s">
        <v>1020</v>
      </c>
      <c r="B288" t="s">
        <v>18</v>
      </c>
      <c r="C288" t="s">
        <v>1021</v>
      </c>
      <c r="D288">
        <v>0</v>
      </c>
      <c r="E288">
        <v>0</v>
      </c>
      <c r="F288" t="s">
        <v>20</v>
      </c>
      <c r="G288">
        <v>0</v>
      </c>
      <c r="H288">
        <v>0</v>
      </c>
      <c r="I288">
        <v>0</v>
      </c>
      <c r="J288">
        <v>0</v>
      </c>
      <c r="K288" t="s">
        <v>51</v>
      </c>
      <c r="L288" s="1">
        <v>6840000000000000</v>
      </c>
      <c r="M288">
        <v>0</v>
      </c>
      <c r="N288">
        <v>0</v>
      </c>
      <c r="O288" s="1">
        <v>4211617432669790</v>
      </c>
      <c r="Q288" t="b">
        <v>0</v>
      </c>
    </row>
    <row r="289" spans="1:17" x14ac:dyDescent="0.35">
      <c r="A289" t="s">
        <v>1022</v>
      </c>
      <c r="B289" t="s">
        <v>18</v>
      </c>
      <c r="C289" t="s">
        <v>1023</v>
      </c>
      <c r="D289">
        <v>0</v>
      </c>
      <c r="E289">
        <v>0</v>
      </c>
      <c r="F289" t="s">
        <v>20</v>
      </c>
      <c r="G289">
        <v>0</v>
      </c>
      <c r="H289">
        <v>0</v>
      </c>
      <c r="I289">
        <v>0</v>
      </c>
      <c r="J289">
        <v>0</v>
      </c>
      <c r="K289" t="s">
        <v>51</v>
      </c>
      <c r="L289" s="1">
        <v>6840000000000000</v>
      </c>
      <c r="M289">
        <v>0</v>
      </c>
      <c r="N289">
        <v>0</v>
      </c>
      <c r="O289" s="1">
        <v>4211645952557870</v>
      </c>
      <c r="Q289" t="b">
        <v>0</v>
      </c>
    </row>
    <row r="290" spans="1:17" x14ac:dyDescent="0.35">
      <c r="A290" t="s">
        <v>1024</v>
      </c>
      <c r="B290" t="s">
        <v>18</v>
      </c>
      <c r="C290" t="s">
        <v>1025</v>
      </c>
      <c r="D290">
        <v>0</v>
      </c>
      <c r="E290">
        <v>0</v>
      </c>
      <c r="F290" t="s">
        <v>20</v>
      </c>
      <c r="G290">
        <v>0</v>
      </c>
      <c r="H290">
        <v>0</v>
      </c>
      <c r="I290">
        <v>0</v>
      </c>
      <c r="J290">
        <v>0</v>
      </c>
      <c r="K290" t="s">
        <v>51</v>
      </c>
      <c r="L290" s="1">
        <v>6840000000000000</v>
      </c>
      <c r="M290">
        <v>0</v>
      </c>
      <c r="N290">
        <v>0</v>
      </c>
      <c r="O290" s="1">
        <v>4211674472445950</v>
      </c>
      <c r="Q290" t="b">
        <v>0</v>
      </c>
    </row>
    <row r="291" spans="1:17" x14ac:dyDescent="0.35">
      <c r="A291" t="s">
        <v>1026</v>
      </c>
      <c r="B291" t="s">
        <v>18</v>
      </c>
      <c r="C291" t="s">
        <v>1027</v>
      </c>
      <c r="D291">
        <v>0</v>
      </c>
      <c r="E291">
        <v>0</v>
      </c>
      <c r="F291" t="s">
        <v>20</v>
      </c>
      <c r="G291">
        <v>0</v>
      </c>
      <c r="H291">
        <v>0</v>
      </c>
      <c r="I291">
        <v>0</v>
      </c>
      <c r="J291">
        <v>0</v>
      </c>
      <c r="K291" t="s">
        <v>102</v>
      </c>
      <c r="L291" t="s">
        <v>1028</v>
      </c>
      <c r="M291">
        <v>0</v>
      </c>
      <c r="N291">
        <v>0</v>
      </c>
      <c r="O291" s="1">
        <v>4211702992334030</v>
      </c>
      <c r="Q291" t="b">
        <v>0</v>
      </c>
    </row>
    <row r="292" spans="1:17" x14ac:dyDescent="0.35">
      <c r="A292" t="s">
        <v>1029</v>
      </c>
      <c r="B292" t="s">
        <v>18</v>
      </c>
      <c r="C292" t="s">
        <v>1030</v>
      </c>
      <c r="D292">
        <v>0</v>
      </c>
      <c r="E292">
        <v>0</v>
      </c>
      <c r="F292" t="s">
        <v>20</v>
      </c>
      <c r="G292">
        <v>0</v>
      </c>
      <c r="H292">
        <v>0</v>
      </c>
      <c r="I292">
        <v>0</v>
      </c>
      <c r="J292">
        <v>0</v>
      </c>
      <c r="K292" t="s">
        <v>102</v>
      </c>
      <c r="L292" t="s">
        <v>1028</v>
      </c>
      <c r="M292">
        <v>0</v>
      </c>
      <c r="N292">
        <v>0</v>
      </c>
      <c r="O292" s="1">
        <v>4.2117315122221104E+16</v>
      </c>
      <c r="Q292" t="b">
        <v>0</v>
      </c>
    </row>
    <row r="293" spans="1:17" x14ac:dyDescent="0.35">
      <c r="A293" t="s">
        <v>1031</v>
      </c>
      <c r="B293" t="s">
        <v>18</v>
      </c>
      <c r="C293" t="s">
        <v>1032</v>
      </c>
      <c r="D293">
        <v>0</v>
      </c>
      <c r="E293">
        <v>0</v>
      </c>
      <c r="F293" t="s">
        <v>20</v>
      </c>
      <c r="G293">
        <v>0</v>
      </c>
      <c r="H293">
        <v>0</v>
      </c>
      <c r="I293">
        <v>0</v>
      </c>
      <c r="J293">
        <v>0</v>
      </c>
      <c r="K293" t="s">
        <v>102</v>
      </c>
      <c r="L293" t="s">
        <v>1028</v>
      </c>
      <c r="M293">
        <v>0</v>
      </c>
      <c r="N293">
        <v>0</v>
      </c>
      <c r="O293" s="1">
        <v>42117600321102</v>
      </c>
      <c r="Q293" t="b">
        <v>0</v>
      </c>
    </row>
    <row r="294" spans="1:17" x14ac:dyDescent="0.35">
      <c r="A294" t="s">
        <v>1033</v>
      </c>
      <c r="B294" t="s">
        <v>18</v>
      </c>
      <c r="C294" t="s">
        <v>1034</v>
      </c>
      <c r="D294">
        <v>0</v>
      </c>
      <c r="E294">
        <v>0</v>
      </c>
      <c r="F294" t="s">
        <v>20</v>
      </c>
      <c r="G294">
        <v>0</v>
      </c>
      <c r="H294">
        <v>0</v>
      </c>
      <c r="I294">
        <v>0</v>
      </c>
      <c r="J294">
        <v>0</v>
      </c>
      <c r="K294" t="s">
        <v>102</v>
      </c>
      <c r="L294" t="s">
        <v>1028</v>
      </c>
      <c r="M294">
        <v>0</v>
      </c>
      <c r="N294">
        <v>0</v>
      </c>
      <c r="O294" s="1">
        <v>4211788551998280</v>
      </c>
      <c r="Q294" t="b">
        <v>0</v>
      </c>
    </row>
    <row r="295" spans="1:17" x14ac:dyDescent="0.35">
      <c r="A295" t="s">
        <v>1035</v>
      </c>
      <c r="B295" t="s">
        <v>18</v>
      </c>
      <c r="C295" t="s">
        <v>1036</v>
      </c>
      <c r="D295">
        <v>0</v>
      </c>
      <c r="E295">
        <v>0</v>
      </c>
      <c r="F295" t="s">
        <v>20</v>
      </c>
      <c r="G295">
        <v>0</v>
      </c>
      <c r="H295">
        <v>0</v>
      </c>
      <c r="I295">
        <v>0</v>
      </c>
      <c r="J295" t="s">
        <v>1037</v>
      </c>
      <c r="K295" t="s">
        <v>153</v>
      </c>
      <c r="L295">
        <v>9</v>
      </c>
      <c r="M295">
        <v>0</v>
      </c>
      <c r="N295">
        <v>0</v>
      </c>
      <c r="O295" s="1">
        <v>4211817071886360</v>
      </c>
      <c r="Q295" t="b">
        <v>0</v>
      </c>
    </row>
    <row r="296" spans="1:17" x14ac:dyDescent="0.35">
      <c r="A296" t="s">
        <v>1038</v>
      </c>
      <c r="B296" t="s">
        <v>18</v>
      </c>
      <c r="C296" t="s">
        <v>1039</v>
      </c>
      <c r="D296">
        <v>0</v>
      </c>
      <c r="E296">
        <v>0</v>
      </c>
      <c r="F296" t="s">
        <v>20</v>
      </c>
      <c r="G296">
        <v>0</v>
      </c>
      <c r="H296">
        <v>0</v>
      </c>
      <c r="I296">
        <v>0</v>
      </c>
      <c r="J296" t="s">
        <v>1037</v>
      </c>
      <c r="K296" t="s">
        <v>153</v>
      </c>
      <c r="L296">
        <v>9</v>
      </c>
      <c r="M296">
        <v>0</v>
      </c>
      <c r="N296">
        <v>0</v>
      </c>
      <c r="O296" s="1">
        <v>4211845591774440</v>
      </c>
      <c r="Q296" t="b">
        <v>0</v>
      </c>
    </row>
    <row r="297" spans="1:17" x14ac:dyDescent="0.35">
      <c r="A297" t="s">
        <v>1040</v>
      </c>
      <c r="B297" t="s">
        <v>18</v>
      </c>
      <c r="C297" t="s">
        <v>1041</v>
      </c>
      <c r="D297">
        <v>0</v>
      </c>
      <c r="E297">
        <v>0</v>
      </c>
      <c r="F297" t="s">
        <v>20</v>
      </c>
      <c r="G297">
        <v>0</v>
      </c>
      <c r="H297">
        <v>0</v>
      </c>
      <c r="I297">
        <v>0</v>
      </c>
      <c r="J297" t="s">
        <v>1037</v>
      </c>
      <c r="K297" t="s">
        <v>153</v>
      </c>
      <c r="L297">
        <v>9</v>
      </c>
      <c r="M297">
        <v>0</v>
      </c>
      <c r="N297">
        <v>0</v>
      </c>
      <c r="O297" s="1">
        <v>4211874111662520</v>
      </c>
      <c r="Q297" t="b">
        <v>0</v>
      </c>
    </row>
    <row r="298" spans="1:17" x14ac:dyDescent="0.35">
      <c r="A298" t="s">
        <v>1042</v>
      </c>
      <c r="B298" t="s">
        <v>18</v>
      </c>
      <c r="C298" t="s">
        <v>1043</v>
      </c>
      <c r="D298">
        <v>0</v>
      </c>
      <c r="E298">
        <v>0</v>
      </c>
      <c r="F298" t="s">
        <v>20</v>
      </c>
      <c r="G298">
        <v>0</v>
      </c>
      <c r="H298">
        <v>0</v>
      </c>
      <c r="I298">
        <v>0</v>
      </c>
      <c r="J298" t="s">
        <v>1037</v>
      </c>
      <c r="K298" t="s">
        <v>153</v>
      </c>
      <c r="L298">
        <v>9</v>
      </c>
      <c r="M298">
        <v>0</v>
      </c>
      <c r="N298">
        <v>0</v>
      </c>
      <c r="O298" s="1">
        <v>4211902631550600</v>
      </c>
      <c r="Q298" t="b">
        <v>0</v>
      </c>
    </row>
    <row r="299" spans="1:17" x14ac:dyDescent="0.35">
      <c r="A299" t="s">
        <v>1044</v>
      </c>
      <c r="B299" t="s">
        <v>18</v>
      </c>
      <c r="C299" t="s">
        <v>1045</v>
      </c>
      <c r="D299">
        <v>0</v>
      </c>
      <c r="E299">
        <v>0</v>
      </c>
      <c r="F299" t="s">
        <v>20</v>
      </c>
      <c r="G299">
        <v>0</v>
      </c>
      <c r="H299">
        <v>0</v>
      </c>
      <c r="I299">
        <v>0</v>
      </c>
      <c r="J299">
        <v>0</v>
      </c>
      <c r="K299" t="s">
        <v>238</v>
      </c>
      <c r="L299" t="s">
        <v>123</v>
      </c>
      <c r="M299">
        <v>0</v>
      </c>
      <c r="N299">
        <v>0</v>
      </c>
      <c r="O299" s="1">
        <v>4211931151438680</v>
      </c>
      <c r="Q299" t="b">
        <v>0</v>
      </c>
    </row>
    <row r="300" spans="1:17" x14ac:dyDescent="0.35">
      <c r="A300" t="s">
        <v>1046</v>
      </c>
      <c r="B300" t="s">
        <v>18</v>
      </c>
      <c r="C300" t="s">
        <v>1047</v>
      </c>
      <c r="D300">
        <v>0</v>
      </c>
      <c r="E300">
        <v>0</v>
      </c>
      <c r="F300" t="s">
        <v>20</v>
      </c>
      <c r="G300">
        <v>0</v>
      </c>
      <c r="H300">
        <v>0</v>
      </c>
      <c r="I300">
        <v>0</v>
      </c>
      <c r="J300">
        <v>0</v>
      </c>
      <c r="K300" t="s">
        <v>238</v>
      </c>
      <c r="L300" t="s">
        <v>123</v>
      </c>
      <c r="M300">
        <v>0</v>
      </c>
      <c r="N300">
        <v>0</v>
      </c>
      <c r="O300" s="1">
        <v>421195967132677</v>
      </c>
      <c r="Q300" t="b">
        <v>0</v>
      </c>
    </row>
    <row r="301" spans="1:17" x14ac:dyDescent="0.35">
      <c r="A301" t="s">
        <v>1048</v>
      </c>
      <c r="B301" t="s">
        <v>18</v>
      </c>
      <c r="C301" t="s">
        <v>1049</v>
      </c>
      <c r="D301">
        <v>0</v>
      </c>
      <c r="E301">
        <v>0</v>
      </c>
      <c r="F301" t="s">
        <v>20</v>
      </c>
      <c r="G301">
        <v>0</v>
      </c>
      <c r="H301">
        <v>0</v>
      </c>
      <c r="I301">
        <v>0</v>
      </c>
      <c r="J301">
        <v>0</v>
      </c>
      <c r="K301" t="s">
        <v>238</v>
      </c>
      <c r="L301" t="s">
        <v>123</v>
      </c>
      <c r="M301">
        <v>0</v>
      </c>
      <c r="N301">
        <v>0</v>
      </c>
      <c r="O301" s="1">
        <v>4211988191214850</v>
      </c>
      <c r="Q301" t="b">
        <v>0</v>
      </c>
    </row>
    <row r="302" spans="1:17" x14ac:dyDescent="0.35">
      <c r="A302" t="s">
        <v>1050</v>
      </c>
      <c r="B302" t="s">
        <v>18</v>
      </c>
      <c r="C302" t="s">
        <v>1051</v>
      </c>
      <c r="D302">
        <v>0</v>
      </c>
      <c r="E302">
        <v>0</v>
      </c>
      <c r="F302" t="s">
        <v>20</v>
      </c>
      <c r="G302">
        <v>0</v>
      </c>
      <c r="H302">
        <v>0</v>
      </c>
      <c r="I302">
        <v>0</v>
      </c>
      <c r="J302">
        <v>0</v>
      </c>
      <c r="K302" t="s">
        <v>238</v>
      </c>
      <c r="L302" t="s">
        <v>123</v>
      </c>
      <c r="M302">
        <v>0</v>
      </c>
      <c r="N302">
        <v>0</v>
      </c>
      <c r="O302" s="1">
        <v>4212016711102930</v>
      </c>
      <c r="Q302" t="b">
        <v>0</v>
      </c>
    </row>
    <row r="303" spans="1:17" x14ac:dyDescent="0.35">
      <c r="A303" t="s">
        <v>1052</v>
      </c>
      <c r="B303" t="s">
        <v>18</v>
      </c>
      <c r="C303" t="s">
        <v>1053</v>
      </c>
      <c r="D303">
        <v>0</v>
      </c>
      <c r="E303">
        <v>0</v>
      </c>
      <c r="F303" t="s">
        <v>20</v>
      </c>
      <c r="G303">
        <v>0</v>
      </c>
      <c r="H303">
        <v>0</v>
      </c>
      <c r="I303">
        <v>0</v>
      </c>
      <c r="J303">
        <v>0</v>
      </c>
      <c r="K303" t="s">
        <v>138</v>
      </c>
      <c r="L303" t="s">
        <v>148</v>
      </c>
      <c r="M303">
        <v>0</v>
      </c>
      <c r="N303">
        <v>0</v>
      </c>
      <c r="O303" s="1">
        <v>4.2120452309910096E+16</v>
      </c>
      <c r="Q303" t="b">
        <v>0</v>
      </c>
    </row>
    <row r="304" spans="1:17" x14ac:dyDescent="0.35">
      <c r="A304" t="s">
        <v>1054</v>
      </c>
      <c r="B304" t="s">
        <v>18</v>
      </c>
      <c r="C304" t="s">
        <v>1055</v>
      </c>
      <c r="D304">
        <v>0</v>
      </c>
      <c r="E304">
        <v>0</v>
      </c>
      <c r="F304" t="s">
        <v>20</v>
      </c>
      <c r="G304">
        <v>0</v>
      </c>
      <c r="H304">
        <v>0</v>
      </c>
      <c r="I304">
        <v>0</v>
      </c>
      <c r="J304">
        <v>0</v>
      </c>
      <c r="K304" t="s">
        <v>138</v>
      </c>
      <c r="L304" t="s">
        <v>148</v>
      </c>
      <c r="M304">
        <v>0</v>
      </c>
      <c r="N304">
        <v>0</v>
      </c>
      <c r="O304" s="1">
        <v>4212073750879090</v>
      </c>
      <c r="Q304" t="b">
        <v>0</v>
      </c>
    </row>
    <row r="305" spans="1:17" x14ac:dyDescent="0.35">
      <c r="A305" t="s">
        <v>1056</v>
      </c>
      <c r="B305" t="s">
        <v>18</v>
      </c>
      <c r="C305" t="s">
        <v>1057</v>
      </c>
      <c r="D305">
        <v>0</v>
      </c>
      <c r="E305">
        <v>0</v>
      </c>
      <c r="F305" t="s">
        <v>20</v>
      </c>
      <c r="G305">
        <v>0</v>
      </c>
      <c r="H305">
        <v>0</v>
      </c>
      <c r="I305">
        <v>0</v>
      </c>
      <c r="J305">
        <v>0</v>
      </c>
      <c r="K305" t="s">
        <v>138</v>
      </c>
      <c r="L305" t="s">
        <v>148</v>
      </c>
      <c r="M305">
        <v>0</v>
      </c>
      <c r="N305">
        <v>0</v>
      </c>
      <c r="O305" s="1">
        <v>4212102270767170</v>
      </c>
      <c r="Q305" t="b">
        <v>0</v>
      </c>
    </row>
    <row r="306" spans="1:17" x14ac:dyDescent="0.35">
      <c r="A306" t="s">
        <v>1058</v>
      </c>
      <c r="B306" t="s">
        <v>18</v>
      </c>
      <c r="C306" t="s">
        <v>1059</v>
      </c>
      <c r="D306">
        <v>0</v>
      </c>
      <c r="E306">
        <v>0</v>
      </c>
      <c r="F306" t="s">
        <v>20</v>
      </c>
      <c r="G306">
        <v>0</v>
      </c>
      <c r="H306">
        <v>0</v>
      </c>
      <c r="I306">
        <v>0</v>
      </c>
      <c r="J306">
        <v>0</v>
      </c>
      <c r="K306" t="s">
        <v>138</v>
      </c>
      <c r="L306" t="s">
        <v>148</v>
      </c>
      <c r="M306">
        <v>0</v>
      </c>
      <c r="N306">
        <v>0</v>
      </c>
      <c r="O306" s="1">
        <v>421213079065526</v>
      </c>
      <c r="Q306" t="b">
        <v>0</v>
      </c>
    </row>
    <row r="307" spans="1:17" x14ac:dyDescent="0.35">
      <c r="A307" t="s">
        <v>1060</v>
      </c>
      <c r="B307" t="s">
        <v>18</v>
      </c>
      <c r="C307" t="s">
        <v>1061</v>
      </c>
      <c r="D307">
        <v>0</v>
      </c>
      <c r="E307">
        <v>0</v>
      </c>
      <c r="F307" t="s">
        <v>20</v>
      </c>
      <c r="G307">
        <v>0</v>
      </c>
      <c r="H307">
        <v>0</v>
      </c>
      <c r="I307">
        <v>0</v>
      </c>
      <c r="J307">
        <v>0</v>
      </c>
      <c r="K307" t="s">
        <v>142</v>
      </c>
      <c r="L307" t="s">
        <v>70</v>
      </c>
      <c r="M307">
        <v>0</v>
      </c>
      <c r="N307">
        <v>0</v>
      </c>
      <c r="O307" s="1">
        <v>4212159310543340</v>
      </c>
      <c r="Q307" t="b">
        <v>0</v>
      </c>
    </row>
    <row r="308" spans="1:17" x14ac:dyDescent="0.35">
      <c r="A308" t="s">
        <v>1062</v>
      </c>
      <c r="B308" t="s">
        <v>18</v>
      </c>
      <c r="C308" t="s">
        <v>1063</v>
      </c>
      <c r="D308">
        <v>0</v>
      </c>
      <c r="E308">
        <v>0</v>
      </c>
      <c r="F308" t="s">
        <v>20</v>
      </c>
      <c r="G308">
        <v>0</v>
      </c>
      <c r="H308">
        <v>0</v>
      </c>
      <c r="I308">
        <v>0</v>
      </c>
      <c r="J308">
        <v>0</v>
      </c>
      <c r="K308" t="s">
        <v>142</v>
      </c>
      <c r="L308" t="s">
        <v>70</v>
      </c>
      <c r="M308">
        <v>0</v>
      </c>
      <c r="N308">
        <v>0</v>
      </c>
      <c r="O308" s="1">
        <v>4212187830431420</v>
      </c>
      <c r="Q308" t="b">
        <v>0</v>
      </c>
    </row>
    <row r="309" spans="1:17" x14ac:dyDescent="0.35">
      <c r="A309" t="s">
        <v>1064</v>
      </c>
      <c r="B309" t="s">
        <v>18</v>
      </c>
      <c r="C309" t="s">
        <v>1065</v>
      </c>
      <c r="D309">
        <v>0</v>
      </c>
      <c r="E309">
        <v>0</v>
      </c>
      <c r="F309" t="s">
        <v>20</v>
      </c>
      <c r="G309">
        <v>0</v>
      </c>
      <c r="H309">
        <v>0</v>
      </c>
      <c r="I309">
        <v>0</v>
      </c>
      <c r="J309">
        <v>0</v>
      </c>
      <c r="K309" t="s">
        <v>142</v>
      </c>
      <c r="L309" t="s">
        <v>70</v>
      </c>
      <c r="M309">
        <v>0</v>
      </c>
      <c r="N309">
        <v>0</v>
      </c>
      <c r="O309" s="1">
        <v>4212216350319500</v>
      </c>
      <c r="Q309" t="b">
        <v>0</v>
      </c>
    </row>
    <row r="310" spans="1:17" x14ac:dyDescent="0.35">
      <c r="A310" t="s">
        <v>1066</v>
      </c>
      <c r="B310" t="s">
        <v>18</v>
      </c>
      <c r="C310" t="s">
        <v>1067</v>
      </c>
      <c r="D310">
        <v>0</v>
      </c>
      <c r="E310">
        <v>0</v>
      </c>
      <c r="F310" t="s">
        <v>20</v>
      </c>
      <c r="G310">
        <v>0</v>
      </c>
      <c r="H310">
        <v>0</v>
      </c>
      <c r="I310">
        <v>0</v>
      </c>
      <c r="J310">
        <v>0</v>
      </c>
      <c r="K310" t="s">
        <v>142</v>
      </c>
      <c r="L310" t="s">
        <v>70</v>
      </c>
      <c r="M310">
        <v>0</v>
      </c>
      <c r="N310">
        <v>0</v>
      </c>
      <c r="O310" s="1">
        <v>4212244870207580</v>
      </c>
      <c r="Q310" t="b">
        <v>0</v>
      </c>
    </row>
    <row r="311" spans="1:17" x14ac:dyDescent="0.35">
      <c r="A311" t="s">
        <v>1068</v>
      </c>
      <c r="B311" t="s">
        <v>18</v>
      </c>
      <c r="C311" t="s">
        <v>1069</v>
      </c>
      <c r="D311">
        <v>0</v>
      </c>
      <c r="E311">
        <v>0</v>
      </c>
      <c r="F311" t="s">
        <v>20</v>
      </c>
      <c r="G311">
        <v>0</v>
      </c>
      <c r="H311">
        <v>0</v>
      </c>
      <c r="I311">
        <v>0</v>
      </c>
      <c r="J311">
        <v>0</v>
      </c>
      <c r="K311" t="s">
        <v>238</v>
      </c>
      <c r="L311" s="1">
        <v>1.044E+16</v>
      </c>
      <c r="M311">
        <v>0</v>
      </c>
      <c r="N311">
        <v>0</v>
      </c>
      <c r="O311" s="1">
        <v>4.21227339009566E+16</v>
      </c>
      <c r="Q311" t="b">
        <v>0</v>
      </c>
    </row>
    <row r="312" spans="1:17" x14ac:dyDescent="0.35">
      <c r="A312" t="s">
        <v>1070</v>
      </c>
      <c r="B312" t="s">
        <v>18</v>
      </c>
      <c r="C312" t="s">
        <v>1071</v>
      </c>
      <c r="D312">
        <v>0</v>
      </c>
      <c r="E312">
        <v>0</v>
      </c>
      <c r="F312" t="s">
        <v>20</v>
      </c>
      <c r="G312">
        <v>0</v>
      </c>
      <c r="H312">
        <v>0</v>
      </c>
      <c r="I312">
        <v>0</v>
      </c>
      <c r="J312">
        <v>0</v>
      </c>
      <c r="K312" t="s">
        <v>238</v>
      </c>
      <c r="L312" s="1">
        <v>1.044E+16</v>
      </c>
      <c r="M312">
        <v>0</v>
      </c>
      <c r="N312">
        <v>0</v>
      </c>
      <c r="O312" s="1">
        <v>4212301909983740</v>
      </c>
      <c r="Q312" t="b">
        <v>0</v>
      </c>
    </row>
    <row r="313" spans="1:17" x14ac:dyDescent="0.35">
      <c r="A313" t="s">
        <v>1072</v>
      </c>
      <c r="B313" t="s">
        <v>18</v>
      </c>
      <c r="C313" t="s">
        <v>1073</v>
      </c>
      <c r="D313">
        <v>0</v>
      </c>
      <c r="E313">
        <v>0</v>
      </c>
      <c r="F313" t="s">
        <v>20</v>
      </c>
      <c r="G313">
        <v>0</v>
      </c>
      <c r="H313">
        <v>0</v>
      </c>
      <c r="I313">
        <v>0</v>
      </c>
      <c r="J313">
        <v>0</v>
      </c>
      <c r="K313" t="s">
        <v>238</v>
      </c>
      <c r="L313" s="1">
        <v>1.044E+16</v>
      </c>
      <c r="M313">
        <v>0</v>
      </c>
      <c r="N313">
        <v>0</v>
      </c>
      <c r="O313" s="1">
        <v>4212330429871830</v>
      </c>
      <c r="Q313" t="b">
        <v>0</v>
      </c>
    </row>
    <row r="314" spans="1:17" x14ac:dyDescent="0.35">
      <c r="A314" t="s">
        <v>1074</v>
      </c>
      <c r="B314" t="s">
        <v>18</v>
      </c>
      <c r="C314" t="s">
        <v>1075</v>
      </c>
      <c r="D314">
        <v>0</v>
      </c>
      <c r="E314">
        <v>0</v>
      </c>
      <c r="F314" t="s">
        <v>20</v>
      </c>
      <c r="G314">
        <v>0</v>
      </c>
      <c r="H314">
        <v>0</v>
      </c>
      <c r="I314">
        <v>0</v>
      </c>
      <c r="J314">
        <v>0</v>
      </c>
      <c r="K314" t="s">
        <v>238</v>
      </c>
      <c r="L314" s="1">
        <v>1.044E+16</v>
      </c>
      <c r="M314">
        <v>0</v>
      </c>
      <c r="N314">
        <v>0</v>
      </c>
      <c r="O314" s="1">
        <v>4.2123589497599104E+16</v>
      </c>
      <c r="Q314" t="b">
        <v>0</v>
      </c>
    </row>
    <row r="315" spans="1:17" x14ac:dyDescent="0.35">
      <c r="A315" t="s">
        <v>1076</v>
      </c>
      <c r="B315" t="s">
        <v>18</v>
      </c>
      <c r="C315" t="s">
        <v>1077</v>
      </c>
      <c r="D315">
        <v>0</v>
      </c>
      <c r="E315">
        <v>0</v>
      </c>
      <c r="F315" t="s">
        <v>20</v>
      </c>
      <c r="G315">
        <v>0</v>
      </c>
      <c r="H315">
        <v>0</v>
      </c>
      <c r="I315">
        <v>0</v>
      </c>
      <c r="J315">
        <v>0</v>
      </c>
      <c r="K315" t="s">
        <v>135</v>
      </c>
      <c r="L315" t="s">
        <v>132</v>
      </c>
      <c r="M315">
        <v>0</v>
      </c>
      <c r="N315">
        <v>0</v>
      </c>
      <c r="O315" s="1">
        <v>4212387469647990</v>
      </c>
      <c r="Q315" t="b">
        <v>0</v>
      </c>
    </row>
    <row r="316" spans="1:17" x14ac:dyDescent="0.35">
      <c r="A316" t="s">
        <v>1078</v>
      </c>
      <c r="B316" t="s">
        <v>18</v>
      </c>
      <c r="C316" t="s">
        <v>1079</v>
      </c>
      <c r="D316">
        <v>0</v>
      </c>
      <c r="E316">
        <v>0</v>
      </c>
      <c r="F316" t="s">
        <v>20</v>
      </c>
      <c r="G316">
        <v>0</v>
      </c>
      <c r="H316">
        <v>0</v>
      </c>
      <c r="I316">
        <v>0</v>
      </c>
      <c r="J316">
        <v>0</v>
      </c>
      <c r="K316" t="s">
        <v>135</v>
      </c>
      <c r="L316" t="s">
        <v>132</v>
      </c>
      <c r="M316">
        <v>0</v>
      </c>
      <c r="N316">
        <v>0</v>
      </c>
      <c r="O316" s="1">
        <v>4212415989536070</v>
      </c>
      <c r="Q316" t="b">
        <v>0</v>
      </c>
    </row>
    <row r="317" spans="1:17" x14ac:dyDescent="0.35">
      <c r="A317" t="s">
        <v>1080</v>
      </c>
      <c r="B317" t="s">
        <v>18</v>
      </c>
      <c r="C317" t="s">
        <v>1081</v>
      </c>
      <c r="D317">
        <v>0</v>
      </c>
      <c r="E317">
        <v>0</v>
      </c>
      <c r="F317" t="s">
        <v>20</v>
      </c>
      <c r="G317">
        <v>0</v>
      </c>
      <c r="H317">
        <v>0</v>
      </c>
      <c r="I317">
        <v>0</v>
      </c>
      <c r="J317">
        <v>0</v>
      </c>
      <c r="K317" t="s">
        <v>135</v>
      </c>
      <c r="L317" t="s">
        <v>132</v>
      </c>
      <c r="M317">
        <v>0</v>
      </c>
      <c r="N317">
        <v>0</v>
      </c>
      <c r="O317" s="1">
        <v>4212444509424150</v>
      </c>
      <c r="Q317" t="b">
        <v>0</v>
      </c>
    </row>
    <row r="318" spans="1:17" x14ac:dyDescent="0.35">
      <c r="A318" t="s">
        <v>1082</v>
      </c>
      <c r="B318" t="s">
        <v>18</v>
      </c>
      <c r="C318" t="s">
        <v>1083</v>
      </c>
      <c r="D318">
        <v>0</v>
      </c>
      <c r="E318">
        <v>0</v>
      </c>
      <c r="F318" t="s">
        <v>20</v>
      </c>
      <c r="G318">
        <v>0</v>
      </c>
      <c r="H318">
        <v>0</v>
      </c>
      <c r="I318">
        <v>0</v>
      </c>
      <c r="J318">
        <v>0</v>
      </c>
      <c r="K318" t="s">
        <v>135</v>
      </c>
      <c r="L318" t="s">
        <v>132</v>
      </c>
      <c r="M318">
        <v>0</v>
      </c>
      <c r="N318">
        <v>0</v>
      </c>
      <c r="O318" s="1">
        <v>4212473029312230</v>
      </c>
      <c r="Q318" t="b">
        <v>0</v>
      </c>
    </row>
    <row r="319" spans="1:17" x14ac:dyDescent="0.35">
      <c r="A319" t="s">
        <v>1084</v>
      </c>
      <c r="B319" t="s">
        <v>18</v>
      </c>
      <c r="C319" t="s">
        <v>1085</v>
      </c>
      <c r="D319">
        <v>0</v>
      </c>
      <c r="E319">
        <v>0</v>
      </c>
      <c r="F319" t="s">
        <v>20</v>
      </c>
      <c r="G319">
        <v>0</v>
      </c>
      <c r="H319">
        <v>0</v>
      </c>
      <c r="I319">
        <v>0</v>
      </c>
      <c r="J319">
        <v>0</v>
      </c>
      <c r="K319" t="s">
        <v>138</v>
      </c>
      <c r="L319" t="s">
        <v>795</v>
      </c>
      <c r="M319">
        <v>0</v>
      </c>
      <c r="N319">
        <v>0</v>
      </c>
      <c r="O319" s="1">
        <v>421250154920032</v>
      </c>
      <c r="Q319" t="b">
        <v>0</v>
      </c>
    </row>
    <row r="320" spans="1:17" x14ac:dyDescent="0.35">
      <c r="A320" t="s">
        <v>1086</v>
      </c>
      <c r="B320" t="s">
        <v>18</v>
      </c>
      <c r="C320" t="s">
        <v>1087</v>
      </c>
      <c r="D320">
        <v>0</v>
      </c>
      <c r="E320">
        <v>0</v>
      </c>
      <c r="F320" t="s">
        <v>20</v>
      </c>
      <c r="G320">
        <v>0</v>
      </c>
      <c r="H320">
        <v>0</v>
      </c>
      <c r="I320">
        <v>0</v>
      </c>
      <c r="J320">
        <v>0</v>
      </c>
      <c r="K320" t="s">
        <v>138</v>
      </c>
      <c r="L320" t="s">
        <v>795</v>
      </c>
      <c r="M320">
        <v>0</v>
      </c>
      <c r="N320">
        <v>0</v>
      </c>
      <c r="O320" s="1">
        <v>4212530069088400</v>
      </c>
      <c r="Q320" t="b">
        <v>0</v>
      </c>
    </row>
    <row r="321" spans="1:17" x14ac:dyDescent="0.35">
      <c r="A321" t="s">
        <v>1088</v>
      </c>
      <c r="B321" t="s">
        <v>18</v>
      </c>
      <c r="C321" t="s">
        <v>1089</v>
      </c>
      <c r="D321">
        <v>0</v>
      </c>
      <c r="E321">
        <v>0</v>
      </c>
      <c r="F321" t="s">
        <v>20</v>
      </c>
      <c r="G321">
        <v>0</v>
      </c>
      <c r="H321">
        <v>0</v>
      </c>
      <c r="I321">
        <v>0</v>
      </c>
      <c r="J321">
        <v>0</v>
      </c>
      <c r="K321" t="s">
        <v>138</v>
      </c>
      <c r="L321" t="s">
        <v>795</v>
      </c>
      <c r="M321">
        <v>0</v>
      </c>
      <c r="N321">
        <v>0</v>
      </c>
      <c r="O321" s="1">
        <v>4212558588976480</v>
      </c>
      <c r="Q321" t="b">
        <v>0</v>
      </c>
    </row>
    <row r="322" spans="1:17" x14ac:dyDescent="0.35">
      <c r="A322" t="s">
        <v>1090</v>
      </c>
      <c r="B322" t="s">
        <v>18</v>
      </c>
      <c r="C322" t="s">
        <v>1091</v>
      </c>
      <c r="D322">
        <v>0</v>
      </c>
      <c r="E322">
        <v>0</v>
      </c>
      <c r="F322" t="s">
        <v>20</v>
      </c>
      <c r="G322">
        <v>0</v>
      </c>
      <c r="H322">
        <v>0</v>
      </c>
      <c r="I322">
        <v>0</v>
      </c>
      <c r="J322">
        <v>0</v>
      </c>
      <c r="K322" t="s">
        <v>138</v>
      </c>
      <c r="L322" t="s">
        <v>795</v>
      </c>
      <c r="M322">
        <v>0</v>
      </c>
      <c r="N322">
        <v>0</v>
      </c>
      <c r="O322" s="1">
        <v>4.21258710886456E+16</v>
      </c>
      <c r="Q322" t="b">
        <v>0</v>
      </c>
    </row>
    <row r="323" spans="1:17" x14ac:dyDescent="0.35">
      <c r="A323" t="s">
        <v>1092</v>
      </c>
      <c r="B323" t="s">
        <v>18</v>
      </c>
      <c r="C323" t="s">
        <v>1093</v>
      </c>
      <c r="D323">
        <v>0</v>
      </c>
      <c r="E323">
        <v>0</v>
      </c>
      <c r="F323" t="s">
        <v>20</v>
      </c>
      <c r="G323">
        <v>0</v>
      </c>
      <c r="H323">
        <v>0</v>
      </c>
      <c r="I323">
        <v>0</v>
      </c>
      <c r="J323">
        <v>0</v>
      </c>
      <c r="K323" t="s">
        <v>138</v>
      </c>
      <c r="L323" t="s">
        <v>1094</v>
      </c>
      <c r="M323">
        <v>0</v>
      </c>
      <c r="N323">
        <v>0</v>
      </c>
      <c r="O323" s="1">
        <v>4212615628752640</v>
      </c>
      <c r="Q323" t="b">
        <v>0</v>
      </c>
    </row>
    <row r="324" spans="1:17" x14ac:dyDescent="0.35">
      <c r="A324" t="s">
        <v>1095</v>
      </c>
      <c r="B324" t="s">
        <v>18</v>
      </c>
      <c r="C324" t="s">
        <v>1096</v>
      </c>
      <c r="D324">
        <v>0</v>
      </c>
      <c r="E324">
        <v>0</v>
      </c>
      <c r="F324" t="s">
        <v>20</v>
      </c>
      <c r="G324">
        <v>0</v>
      </c>
      <c r="H324">
        <v>0</v>
      </c>
      <c r="I324">
        <v>0</v>
      </c>
      <c r="J324">
        <v>0</v>
      </c>
      <c r="K324" t="s">
        <v>138</v>
      </c>
      <c r="L324" t="s">
        <v>1094</v>
      </c>
      <c r="M324">
        <v>0</v>
      </c>
      <c r="N324">
        <v>0</v>
      </c>
      <c r="O324" s="1">
        <v>4212644148640720</v>
      </c>
      <c r="Q324" t="b">
        <v>0</v>
      </c>
    </row>
    <row r="325" spans="1:17" x14ac:dyDescent="0.35">
      <c r="A325" t="s">
        <v>1097</v>
      </c>
      <c r="B325" t="s">
        <v>18</v>
      </c>
      <c r="C325" t="s">
        <v>1098</v>
      </c>
      <c r="D325">
        <v>0</v>
      </c>
      <c r="E325">
        <v>0</v>
      </c>
      <c r="F325" t="s">
        <v>20</v>
      </c>
      <c r="G325">
        <v>0</v>
      </c>
      <c r="H325">
        <v>0</v>
      </c>
      <c r="I325">
        <v>0</v>
      </c>
      <c r="J325">
        <v>0</v>
      </c>
      <c r="K325" t="s">
        <v>138</v>
      </c>
      <c r="L325" t="s">
        <v>1094</v>
      </c>
      <c r="M325">
        <v>0</v>
      </c>
      <c r="N325">
        <v>0</v>
      </c>
      <c r="O325" s="1">
        <v>421267266852881</v>
      </c>
      <c r="Q325" t="b">
        <v>0</v>
      </c>
    </row>
    <row r="326" spans="1:17" x14ac:dyDescent="0.35">
      <c r="A326" t="s">
        <v>1099</v>
      </c>
      <c r="B326" t="s">
        <v>18</v>
      </c>
      <c r="C326" t="s">
        <v>1100</v>
      </c>
      <c r="D326">
        <v>0</v>
      </c>
      <c r="E326">
        <v>0</v>
      </c>
      <c r="F326" t="s">
        <v>20</v>
      </c>
      <c r="G326">
        <v>0</v>
      </c>
      <c r="H326">
        <v>0</v>
      </c>
      <c r="I326">
        <v>0</v>
      </c>
      <c r="J326">
        <v>0</v>
      </c>
      <c r="K326" t="s">
        <v>138</v>
      </c>
      <c r="L326" t="s">
        <v>1094</v>
      </c>
      <c r="M326">
        <v>0</v>
      </c>
      <c r="N326">
        <v>0</v>
      </c>
      <c r="O326" s="1">
        <v>4212701188416890</v>
      </c>
      <c r="Q326" t="b">
        <v>0</v>
      </c>
    </row>
    <row r="327" spans="1:17" x14ac:dyDescent="0.35">
      <c r="A327" t="s">
        <v>1101</v>
      </c>
      <c r="B327" t="s">
        <v>18</v>
      </c>
      <c r="C327" t="s">
        <v>1102</v>
      </c>
      <c r="D327">
        <v>0</v>
      </c>
      <c r="E327">
        <v>0</v>
      </c>
      <c r="F327" t="s">
        <v>20</v>
      </c>
      <c r="G327">
        <v>0</v>
      </c>
      <c r="H327">
        <v>0</v>
      </c>
      <c r="I327">
        <v>0</v>
      </c>
      <c r="J327">
        <v>0</v>
      </c>
      <c r="K327" t="s">
        <v>128</v>
      </c>
      <c r="L327" t="s">
        <v>1103</v>
      </c>
      <c r="M327">
        <v>0</v>
      </c>
      <c r="N327">
        <v>0</v>
      </c>
      <c r="O327" s="1">
        <v>4212729708304970</v>
      </c>
      <c r="Q327" t="b">
        <v>0</v>
      </c>
    </row>
    <row r="328" spans="1:17" x14ac:dyDescent="0.35">
      <c r="A328" t="s">
        <v>1104</v>
      </c>
      <c r="B328" t="s">
        <v>18</v>
      </c>
      <c r="C328" t="s">
        <v>1105</v>
      </c>
      <c r="D328">
        <v>0</v>
      </c>
      <c r="E328">
        <v>0</v>
      </c>
      <c r="F328" t="s">
        <v>20</v>
      </c>
      <c r="G328">
        <v>0</v>
      </c>
      <c r="H328">
        <v>0</v>
      </c>
      <c r="I328">
        <v>0</v>
      </c>
      <c r="J328">
        <v>0</v>
      </c>
      <c r="K328" t="s">
        <v>128</v>
      </c>
      <c r="L328" t="s">
        <v>1103</v>
      </c>
      <c r="M328">
        <v>0</v>
      </c>
      <c r="N328">
        <v>0</v>
      </c>
      <c r="O328" s="1">
        <v>4212758228193050</v>
      </c>
      <c r="Q328" t="b">
        <v>0</v>
      </c>
    </row>
    <row r="329" spans="1:17" x14ac:dyDescent="0.35">
      <c r="A329" t="s">
        <v>1106</v>
      </c>
      <c r="B329" t="s">
        <v>18</v>
      </c>
      <c r="C329" t="s">
        <v>1107</v>
      </c>
      <c r="D329">
        <v>0</v>
      </c>
      <c r="E329">
        <v>0</v>
      </c>
      <c r="F329" t="s">
        <v>20</v>
      </c>
      <c r="G329">
        <v>0</v>
      </c>
      <c r="H329">
        <v>0</v>
      </c>
      <c r="I329">
        <v>0</v>
      </c>
      <c r="J329">
        <v>0</v>
      </c>
      <c r="K329" t="s">
        <v>128</v>
      </c>
      <c r="L329" t="s">
        <v>1103</v>
      </c>
      <c r="M329">
        <v>0</v>
      </c>
      <c r="N329">
        <v>0</v>
      </c>
      <c r="O329" s="1">
        <v>4212786748081130</v>
      </c>
      <c r="Q329" t="b">
        <v>0</v>
      </c>
    </row>
    <row r="330" spans="1:17" x14ac:dyDescent="0.35">
      <c r="A330" t="s">
        <v>1108</v>
      </c>
      <c r="B330" t="s">
        <v>18</v>
      </c>
      <c r="C330" t="s">
        <v>1109</v>
      </c>
      <c r="D330">
        <v>0</v>
      </c>
      <c r="E330">
        <v>0</v>
      </c>
      <c r="F330" t="s">
        <v>20</v>
      </c>
      <c r="G330">
        <v>0</v>
      </c>
      <c r="H330">
        <v>0</v>
      </c>
      <c r="I330">
        <v>0</v>
      </c>
      <c r="J330">
        <v>0</v>
      </c>
      <c r="K330" t="s">
        <v>128</v>
      </c>
      <c r="L330" t="s">
        <v>1103</v>
      </c>
      <c r="M330">
        <v>0</v>
      </c>
      <c r="N330">
        <v>0</v>
      </c>
      <c r="O330" s="1">
        <v>4.2128152679692096E+16</v>
      </c>
      <c r="Q330" t="b">
        <v>0</v>
      </c>
    </row>
    <row r="331" spans="1:17" x14ac:dyDescent="0.35">
      <c r="A331" t="s">
        <v>1110</v>
      </c>
      <c r="B331" t="s">
        <v>18</v>
      </c>
      <c r="C331" t="s">
        <v>1111</v>
      </c>
      <c r="D331">
        <v>0</v>
      </c>
      <c r="E331">
        <v>0</v>
      </c>
      <c r="F331" t="s">
        <v>20</v>
      </c>
      <c r="G331">
        <v>0</v>
      </c>
      <c r="H331">
        <v>0</v>
      </c>
      <c r="I331">
        <v>0</v>
      </c>
      <c r="J331">
        <v>0</v>
      </c>
      <c r="K331" t="s">
        <v>1112</v>
      </c>
      <c r="L331" t="s">
        <v>824</v>
      </c>
      <c r="M331">
        <v>0</v>
      </c>
      <c r="N331">
        <v>0</v>
      </c>
      <c r="O331" s="1">
        <v>4212843787857290</v>
      </c>
      <c r="Q331" t="b">
        <v>0</v>
      </c>
    </row>
    <row r="332" spans="1:17" x14ac:dyDescent="0.35">
      <c r="A332" t="s">
        <v>1113</v>
      </c>
      <c r="B332" t="s">
        <v>18</v>
      </c>
      <c r="C332" t="s">
        <v>1114</v>
      </c>
      <c r="D332">
        <v>0</v>
      </c>
      <c r="E332">
        <v>0</v>
      </c>
      <c r="F332" t="s">
        <v>20</v>
      </c>
      <c r="G332">
        <v>0</v>
      </c>
      <c r="H332">
        <v>0</v>
      </c>
      <c r="I332">
        <v>0</v>
      </c>
      <c r="J332">
        <v>0</v>
      </c>
      <c r="K332" t="s">
        <v>1112</v>
      </c>
      <c r="L332" t="s">
        <v>824</v>
      </c>
      <c r="M332">
        <v>0</v>
      </c>
      <c r="N332">
        <v>0</v>
      </c>
      <c r="O332" s="1">
        <v>4212872307745380</v>
      </c>
      <c r="Q332" t="b">
        <v>0</v>
      </c>
    </row>
    <row r="333" spans="1:17" x14ac:dyDescent="0.35">
      <c r="A333" t="s">
        <v>1115</v>
      </c>
      <c r="B333" t="s">
        <v>18</v>
      </c>
      <c r="C333" t="s">
        <v>1116</v>
      </c>
      <c r="D333">
        <v>0</v>
      </c>
      <c r="E333">
        <v>0</v>
      </c>
      <c r="F333" t="s">
        <v>20</v>
      </c>
      <c r="G333">
        <v>0</v>
      </c>
      <c r="H333">
        <v>0</v>
      </c>
      <c r="I333">
        <v>0</v>
      </c>
      <c r="J333">
        <v>0</v>
      </c>
      <c r="K333" t="s">
        <v>1112</v>
      </c>
      <c r="L333" t="s">
        <v>824</v>
      </c>
      <c r="M333">
        <v>0</v>
      </c>
      <c r="N333">
        <v>0</v>
      </c>
      <c r="O333" s="1">
        <v>4.21290082763346E+16</v>
      </c>
      <c r="Q333" t="b">
        <v>0</v>
      </c>
    </row>
    <row r="334" spans="1:17" x14ac:dyDescent="0.35">
      <c r="A334" t="s">
        <v>1117</v>
      </c>
      <c r="B334" t="s">
        <v>18</v>
      </c>
      <c r="C334" t="s">
        <v>1118</v>
      </c>
      <c r="D334">
        <v>0</v>
      </c>
      <c r="E334">
        <v>0</v>
      </c>
      <c r="F334" t="s">
        <v>20</v>
      </c>
      <c r="G334">
        <v>0</v>
      </c>
      <c r="H334">
        <v>0</v>
      </c>
      <c r="I334">
        <v>0</v>
      </c>
      <c r="J334">
        <v>0</v>
      </c>
      <c r="K334" t="s">
        <v>1112</v>
      </c>
      <c r="L334" t="s">
        <v>824</v>
      </c>
      <c r="M334">
        <v>0</v>
      </c>
      <c r="N334">
        <v>0</v>
      </c>
      <c r="O334" s="1">
        <v>4212929347521540</v>
      </c>
      <c r="Q334" t="b">
        <v>0</v>
      </c>
    </row>
    <row r="335" spans="1:17" x14ac:dyDescent="0.35">
      <c r="A335" t="s">
        <v>1119</v>
      </c>
      <c r="B335" t="s">
        <v>18</v>
      </c>
      <c r="C335" t="s">
        <v>1120</v>
      </c>
      <c r="D335">
        <v>0</v>
      </c>
      <c r="E335">
        <v>0</v>
      </c>
      <c r="F335" t="s">
        <v>20</v>
      </c>
      <c r="G335">
        <v>0</v>
      </c>
      <c r="H335">
        <v>0</v>
      </c>
      <c r="I335">
        <v>0</v>
      </c>
      <c r="J335">
        <v>0</v>
      </c>
      <c r="K335" t="s">
        <v>85</v>
      </c>
      <c r="L335" t="s">
        <v>1121</v>
      </c>
      <c r="M335">
        <v>0</v>
      </c>
      <c r="N335">
        <v>0</v>
      </c>
      <c r="O335" s="1">
        <v>4212957867409620</v>
      </c>
      <c r="Q335" t="b">
        <v>0</v>
      </c>
    </row>
    <row r="336" spans="1:17" x14ac:dyDescent="0.35">
      <c r="A336" t="s">
        <v>1122</v>
      </c>
      <c r="B336" t="s">
        <v>18</v>
      </c>
      <c r="C336" t="s">
        <v>1123</v>
      </c>
      <c r="D336">
        <v>0</v>
      </c>
      <c r="E336">
        <v>0</v>
      </c>
      <c r="F336" t="s">
        <v>20</v>
      </c>
      <c r="G336">
        <v>0</v>
      </c>
      <c r="H336">
        <v>0</v>
      </c>
      <c r="I336">
        <v>0</v>
      </c>
      <c r="J336">
        <v>0</v>
      </c>
      <c r="K336" t="s">
        <v>85</v>
      </c>
      <c r="L336" t="s">
        <v>1121</v>
      </c>
      <c r="M336">
        <v>0</v>
      </c>
      <c r="N336">
        <v>0</v>
      </c>
      <c r="O336" s="1">
        <v>4212986387297700</v>
      </c>
      <c r="Q336" t="b">
        <v>0</v>
      </c>
    </row>
    <row r="337" spans="1:17" x14ac:dyDescent="0.35">
      <c r="A337" t="s">
        <v>1124</v>
      </c>
      <c r="B337" t="s">
        <v>18</v>
      </c>
      <c r="C337" t="s">
        <v>1125</v>
      </c>
      <c r="D337">
        <v>0</v>
      </c>
      <c r="E337">
        <v>0</v>
      </c>
      <c r="F337" t="s">
        <v>20</v>
      </c>
      <c r="G337">
        <v>0</v>
      </c>
      <c r="H337">
        <v>0</v>
      </c>
      <c r="I337">
        <v>0</v>
      </c>
      <c r="J337">
        <v>0</v>
      </c>
      <c r="K337" t="s">
        <v>85</v>
      </c>
      <c r="L337" t="s">
        <v>1121</v>
      </c>
      <c r="M337">
        <v>0</v>
      </c>
      <c r="N337">
        <v>0</v>
      </c>
      <c r="O337" s="1">
        <v>4213014907185780</v>
      </c>
      <c r="Q337" t="b">
        <v>0</v>
      </c>
    </row>
    <row r="338" spans="1:17" x14ac:dyDescent="0.35">
      <c r="A338" t="s">
        <v>1126</v>
      </c>
      <c r="B338" t="s">
        <v>18</v>
      </c>
      <c r="C338" t="s">
        <v>1127</v>
      </c>
      <c r="D338">
        <v>0</v>
      </c>
      <c r="E338">
        <v>0</v>
      </c>
      <c r="F338" t="s">
        <v>20</v>
      </c>
      <c r="G338">
        <v>0</v>
      </c>
      <c r="H338">
        <v>0</v>
      </c>
      <c r="I338">
        <v>0</v>
      </c>
      <c r="J338">
        <v>0</v>
      </c>
      <c r="K338" t="s">
        <v>85</v>
      </c>
      <c r="L338" t="s">
        <v>1121</v>
      </c>
      <c r="M338">
        <v>0</v>
      </c>
      <c r="N338">
        <v>0</v>
      </c>
      <c r="O338" s="1">
        <v>421304342707387</v>
      </c>
      <c r="Q338" t="b">
        <v>0</v>
      </c>
    </row>
    <row r="339" spans="1:17" x14ac:dyDescent="0.35">
      <c r="A339" t="s">
        <v>1128</v>
      </c>
      <c r="B339" t="s">
        <v>18</v>
      </c>
      <c r="C339" t="s">
        <v>1129</v>
      </c>
      <c r="D339">
        <v>0</v>
      </c>
      <c r="E339">
        <v>0</v>
      </c>
      <c r="F339" t="s">
        <v>20</v>
      </c>
      <c r="G339">
        <v>0</v>
      </c>
      <c r="H339">
        <v>0</v>
      </c>
      <c r="I339">
        <v>0</v>
      </c>
      <c r="J339">
        <v>0</v>
      </c>
      <c r="K339" t="s">
        <v>40</v>
      </c>
      <c r="L339" s="1">
        <v>1.94399999999999E+16</v>
      </c>
      <c r="M339">
        <v>0</v>
      </c>
      <c r="N339">
        <v>0</v>
      </c>
      <c r="O339" s="1">
        <v>4213071946961950</v>
      </c>
      <c r="Q339" t="b">
        <v>0</v>
      </c>
    </row>
    <row r="340" spans="1:17" x14ac:dyDescent="0.35">
      <c r="A340" t="s">
        <v>1130</v>
      </c>
      <c r="B340" t="s">
        <v>18</v>
      </c>
      <c r="C340" t="s">
        <v>1131</v>
      </c>
      <c r="D340">
        <v>0</v>
      </c>
      <c r="E340">
        <v>0</v>
      </c>
      <c r="F340" t="s">
        <v>20</v>
      </c>
      <c r="G340" t="s">
        <v>1132</v>
      </c>
      <c r="H340">
        <v>0</v>
      </c>
      <c r="I340">
        <v>0</v>
      </c>
      <c r="J340">
        <v>0</v>
      </c>
      <c r="K340" t="s">
        <v>40</v>
      </c>
      <c r="L340" s="1">
        <v>1.94399999999999E+16</v>
      </c>
      <c r="M340">
        <v>0</v>
      </c>
      <c r="N340">
        <v>0</v>
      </c>
      <c r="O340" s="1">
        <v>4213100466850030</v>
      </c>
      <c r="Q340" t="b">
        <v>0</v>
      </c>
    </row>
    <row r="341" spans="1:17" x14ac:dyDescent="0.35">
      <c r="A341" t="s">
        <v>1133</v>
      </c>
      <c r="B341" t="s">
        <v>18</v>
      </c>
      <c r="C341" t="s">
        <v>1134</v>
      </c>
      <c r="D341">
        <v>0</v>
      </c>
      <c r="E341" t="s">
        <v>1135</v>
      </c>
      <c r="F341" t="s">
        <v>20</v>
      </c>
      <c r="G341" t="s">
        <v>1136</v>
      </c>
      <c r="H341">
        <v>0</v>
      </c>
      <c r="I341">
        <v>0</v>
      </c>
      <c r="J341">
        <v>0</v>
      </c>
      <c r="K341" t="s">
        <v>40</v>
      </c>
      <c r="L341" s="1">
        <v>1.94399999999999E+16</v>
      </c>
      <c r="M341">
        <v>0</v>
      </c>
      <c r="N341">
        <v>0</v>
      </c>
      <c r="O341" s="1">
        <v>4.2131289867381104E+16</v>
      </c>
      <c r="Q341" t="b">
        <v>0</v>
      </c>
    </row>
    <row r="342" spans="1:17" x14ac:dyDescent="0.35">
      <c r="A342" t="s">
        <v>1137</v>
      </c>
      <c r="B342" t="s">
        <v>18</v>
      </c>
      <c r="C342" t="s">
        <v>1138</v>
      </c>
      <c r="D342">
        <v>0</v>
      </c>
      <c r="E342" t="s">
        <v>1139</v>
      </c>
      <c r="F342" t="s">
        <v>20</v>
      </c>
      <c r="G342" t="s">
        <v>1140</v>
      </c>
      <c r="H342">
        <v>0</v>
      </c>
      <c r="I342">
        <v>0</v>
      </c>
      <c r="J342">
        <v>0</v>
      </c>
      <c r="K342" t="s">
        <v>40</v>
      </c>
      <c r="L342" s="1">
        <v>1.94399999999999E+16</v>
      </c>
      <c r="M342">
        <v>0</v>
      </c>
      <c r="N342">
        <v>0</v>
      </c>
      <c r="O342" s="1">
        <v>4213157506626190</v>
      </c>
      <c r="Q342" t="b">
        <v>0</v>
      </c>
    </row>
    <row r="343" spans="1:17" x14ac:dyDescent="0.35">
      <c r="A343" t="s">
        <v>1141</v>
      </c>
      <c r="B343" t="s">
        <v>18</v>
      </c>
      <c r="C343" t="s">
        <v>1142</v>
      </c>
      <c r="D343">
        <v>0</v>
      </c>
      <c r="E343" t="s">
        <v>1143</v>
      </c>
      <c r="F343" t="s">
        <v>20</v>
      </c>
      <c r="G343" t="s">
        <v>1144</v>
      </c>
      <c r="H343" s="1">
        <v>9081666666666660</v>
      </c>
      <c r="I343">
        <v>0</v>
      </c>
      <c r="J343" t="s">
        <v>1145</v>
      </c>
      <c r="K343" t="s">
        <v>274</v>
      </c>
      <c r="L343" s="1">
        <v>1.404E+16</v>
      </c>
      <c r="M343">
        <v>0</v>
      </c>
      <c r="N343">
        <v>0</v>
      </c>
      <c r="O343" s="1">
        <v>4213186026514270</v>
      </c>
      <c r="Q343" t="b">
        <v>0</v>
      </c>
    </row>
    <row r="344" spans="1:17" x14ac:dyDescent="0.35">
      <c r="A344" t="s">
        <v>1146</v>
      </c>
      <c r="B344" t="s">
        <v>18</v>
      </c>
      <c r="C344" t="s">
        <v>1147</v>
      </c>
      <c r="D344">
        <v>0</v>
      </c>
      <c r="E344" t="s">
        <v>1148</v>
      </c>
      <c r="F344" t="s">
        <v>20</v>
      </c>
      <c r="G344" t="s">
        <v>1149</v>
      </c>
      <c r="H344" s="1">
        <v>9081666666666660</v>
      </c>
      <c r="I344">
        <v>0</v>
      </c>
      <c r="J344" t="s">
        <v>1145</v>
      </c>
      <c r="K344" t="s">
        <v>274</v>
      </c>
      <c r="L344" s="1">
        <v>1.404E+16</v>
      </c>
      <c r="M344">
        <v>0</v>
      </c>
      <c r="N344">
        <v>0</v>
      </c>
      <c r="O344" s="1">
        <v>421321454640236</v>
      </c>
      <c r="Q344" t="b">
        <v>0</v>
      </c>
    </row>
    <row r="345" spans="1:17" x14ac:dyDescent="0.35">
      <c r="A345" t="s">
        <v>1150</v>
      </c>
      <c r="B345" t="s">
        <v>18</v>
      </c>
      <c r="C345" t="s">
        <v>1151</v>
      </c>
      <c r="D345">
        <v>0</v>
      </c>
      <c r="E345" t="s">
        <v>1152</v>
      </c>
      <c r="F345" t="s">
        <v>20</v>
      </c>
      <c r="G345" t="s">
        <v>1153</v>
      </c>
      <c r="H345" s="1">
        <v>9081666666666660</v>
      </c>
      <c r="I345">
        <v>0</v>
      </c>
      <c r="J345" t="s">
        <v>1145</v>
      </c>
      <c r="K345" t="s">
        <v>274</v>
      </c>
      <c r="L345" s="1">
        <v>1.404E+16</v>
      </c>
      <c r="M345">
        <v>0</v>
      </c>
      <c r="N345">
        <v>0</v>
      </c>
      <c r="O345" s="1">
        <v>4213243066290440</v>
      </c>
      <c r="Q345" t="b">
        <v>0</v>
      </c>
    </row>
    <row r="346" spans="1:17" x14ac:dyDescent="0.35">
      <c r="A346" t="s">
        <v>1154</v>
      </c>
      <c r="B346" t="s">
        <v>18</v>
      </c>
      <c r="C346" t="s">
        <v>1155</v>
      </c>
      <c r="D346">
        <v>0</v>
      </c>
      <c r="E346" t="s">
        <v>1156</v>
      </c>
      <c r="F346" t="s">
        <v>20</v>
      </c>
      <c r="G346" t="s">
        <v>1157</v>
      </c>
      <c r="H346" s="1">
        <v>9081666666666660</v>
      </c>
      <c r="I346">
        <v>0</v>
      </c>
      <c r="J346" t="s">
        <v>1145</v>
      </c>
      <c r="K346" t="s">
        <v>274</v>
      </c>
      <c r="L346" s="1">
        <v>1.404E+16</v>
      </c>
      <c r="M346">
        <v>0</v>
      </c>
      <c r="N346">
        <v>0</v>
      </c>
      <c r="O346" s="1">
        <v>4213271586178520</v>
      </c>
      <c r="Q346" t="b">
        <v>0</v>
      </c>
    </row>
    <row r="347" spans="1:17" x14ac:dyDescent="0.35">
      <c r="A347" t="s">
        <v>1158</v>
      </c>
      <c r="B347" t="s">
        <v>18</v>
      </c>
      <c r="C347" t="s">
        <v>1159</v>
      </c>
      <c r="D347">
        <v>0</v>
      </c>
      <c r="E347" t="s">
        <v>1160</v>
      </c>
      <c r="F347" t="s">
        <v>20</v>
      </c>
      <c r="G347" t="s">
        <v>1161</v>
      </c>
      <c r="H347" s="1">
        <v>1.19316666666666E+16</v>
      </c>
      <c r="I347">
        <v>0</v>
      </c>
      <c r="J347" t="s">
        <v>1162</v>
      </c>
      <c r="K347" t="s">
        <v>305</v>
      </c>
      <c r="L347" t="s">
        <v>664</v>
      </c>
      <c r="M347">
        <v>0</v>
      </c>
      <c r="N347">
        <v>0</v>
      </c>
      <c r="O347" s="1">
        <v>4213300106066600</v>
      </c>
      <c r="Q347" t="b">
        <v>0</v>
      </c>
    </row>
    <row r="348" spans="1:17" x14ac:dyDescent="0.35">
      <c r="A348" t="s">
        <v>1163</v>
      </c>
      <c r="B348" t="s">
        <v>18</v>
      </c>
      <c r="C348" t="s">
        <v>1164</v>
      </c>
      <c r="D348">
        <v>0</v>
      </c>
      <c r="E348" t="s">
        <v>1165</v>
      </c>
      <c r="F348" t="s">
        <v>20</v>
      </c>
      <c r="G348" t="s">
        <v>1166</v>
      </c>
      <c r="H348" s="1">
        <v>1.19316666666666E+16</v>
      </c>
      <c r="I348">
        <v>0</v>
      </c>
      <c r="J348" t="s">
        <v>1162</v>
      </c>
      <c r="K348" t="s">
        <v>305</v>
      </c>
      <c r="L348" t="s">
        <v>664</v>
      </c>
      <c r="M348">
        <v>0</v>
      </c>
      <c r="N348">
        <v>0</v>
      </c>
      <c r="O348" s="1">
        <v>4213328625954680</v>
      </c>
      <c r="Q348" t="b">
        <v>0</v>
      </c>
    </row>
    <row r="349" spans="1:17" x14ac:dyDescent="0.35">
      <c r="A349" t="s">
        <v>1167</v>
      </c>
      <c r="B349" t="s">
        <v>18</v>
      </c>
      <c r="C349" t="s">
        <v>1168</v>
      </c>
      <c r="D349">
        <v>0</v>
      </c>
      <c r="E349" t="s">
        <v>1169</v>
      </c>
      <c r="F349" t="s">
        <v>20</v>
      </c>
      <c r="G349" t="s">
        <v>1170</v>
      </c>
      <c r="H349" s="1">
        <v>1.19316666666666E+16</v>
      </c>
      <c r="I349">
        <v>0</v>
      </c>
      <c r="J349" t="s">
        <v>1162</v>
      </c>
      <c r="K349" t="s">
        <v>305</v>
      </c>
      <c r="L349" t="s">
        <v>664</v>
      </c>
      <c r="M349">
        <v>0</v>
      </c>
      <c r="N349">
        <v>0</v>
      </c>
      <c r="O349" s="1">
        <v>4213357145842760</v>
      </c>
      <c r="Q349" t="b">
        <v>0</v>
      </c>
    </row>
    <row r="350" spans="1:17" x14ac:dyDescent="0.35">
      <c r="A350" t="s">
        <v>1171</v>
      </c>
      <c r="B350" t="s">
        <v>18</v>
      </c>
      <c r="C350" t="s">
        <v>1172</v>
      </c>
      <c r="D350">
        <v>0</v>
      </c>
      <c r="E350" t="s">
        <v>1173</v>
      </c>
      <c r="F350" t="s">
        <v>20</v>
      </c>
      <c r="G350" t="s">
        <v>1174</v>
      </c>
      <c r="H350" s="1">
        <v>1.19316666666666E+16</v>
      </c>
      <c r="I350">
        <v>0</v>
      </c>
      <c r="J350" t="s">
        <v>1162</v>
      </c>
      <c r="K350" t="s">
        <v>305</v>
      </c>
      <c r="L350" t="s">
        <v>664</v>
      </c>
      <c r="M350">
        <v>0</v>
      </c>
      <c r="N350">
        <v>0</v>
      </c>
      <c r="O350" s="1">
        <v>4213385665730840</v>
      </c>
      <c r="Q350" t="b">
        <v>0</v>
      </c>
    </row>
    <row r="351" spans="1:17" x14ac:dyDescent="0.35">
      <c r="A351" t="s">
        <v>1175</v>
      </c>
      <c r="B351" t="s">
        <v>18</v>
      </c>
      <c r="C351" t="s">
        <v>1176</v>
      </c>
      <c r="D351">
        <v>0</v>
      </c>
      <c r="E351" t="s">
        <v>1177</v>
      </c>
      <c r="F351" t="s">
        <v>20</v>
      </c>
      <c r="G351" t="s">
        <v>1178</v>
      </c>
      <c r="H351" s="1">
        <v>1.04249999999999E+16</v>
      </c>
      <c r="I351">
        <v>0</v>
      </c>
      <c r="J351">
        <v>93</v>
      </c>
      <c r="K351" t="s">
        <v>720</v>
      </c>
      <c r="L351" s="1">
        <v>7.56E+16</v>
      </c>
      <c r="M351">
        <v>0</v>
      </c>
      <c r="N351">
        <v>0</v>
      </c>
      <c r="O351" s="1">
        <v>421341418561893</v>
      </c>
      <c r="Q351" t="b">
        <v>0</v>
      </c>
    </row>
    <row r="352" spans="1:17" x14ac:dyDescent="0.35">
      <c r="A352" t="s">
        <v>1179</v>
      </c>
      <c r="B352" t="s">
        <v>18</v>
      </c>
      <c r="C352" t="s">
        <v>1180</v>
      </c>
      <c r="D352">
        <v>0</v>
      </c>
      <c r="E352" t="s">
        <v>1181</v>
      </c>
      <c r="F352" t="s">
        <v>20</v>
      </c>
      <c r="G352" t="s">
        <v>1182</v>
      </c>
      <c r="H352" s="1">
        <v>1.04249999999999E+16</v>
      </c>
      <c r="I352">
        <v>0</v>
      </c>
      <c r="J352">
        <v>93</v>
      </c>
      <c r="K352" t="s">
        <v>720</v>
      </c>
      <c r="L352" s="1">
        <v>7.56E+16</v>
      </c>
      <c r="M352">
        <v>0</v>
      </c>
      <c r="N352">
        <v>0</v>
      </c>
      <c r="O352" s="1">
        <v>4.2134427055070096E+16</v>
      </c>
      <c r="Q352" t="b">
        <v>0</v>
      </c>
    </row>
    <row r="353" spans="1:17" x14ac:dyDescent="0.35">
      <c r="A353" t="s">
        <v>1183</v>
      </c>
      <c r="B353" t="s">
        <v>18</v>
      </c>
      <c r="C353" t="s">
        <v>1184</v>
      </c>
      <c r="D353">
        <v>0</v>
      </c>
      <c r="E353" t="s">
        <v>1185</v>
      </c>
      <c r="F353" t="s">
        <v>20</v>
      </c>
      <c r="G353" t="s">
        <v>1186</v>
      </c>
      <c r="H353" s="1">
        <v>1.04249999999999E+16</v>
      </c>
      <c r="I353">
        <v>0</v>
      </c>
      <c r="J353">
        <v>93</v>
      </c>
      <c r="K353" t="s">
        <v>720</v>
      </c>
      <c r="L353" s="1">
        <v>7.56E+16</v>
      </c>
      <c r="M353">
        <v>0</v>
      </c>
      <c r="N353">
        <v>0</v>
      </c>
      <c r="O353" s="1">
        <v>4213471225395090</v>
      </c>
      <c r="Q353" t="b">
        <v>0</v>
      </c>
    </row>
    <row r="354" spans="1:17" x14ac:dyDescent="0.35">
      <c r="A354" t="s">
        <v>1187</v>
      </c>
      <c r="B354" t="s">
        <v>18</v>
      </c>
      <c r="C354" t="s">
        <v>1188</v>
      </c>
      <c r="D354">
        <v>0</v>
      </c>
      <c r="E354" t="s">
        <v>1189</v>
      </c>
      <c r="F354" t="s">
        <v>20</v>
      </c>
      <c r="G354" t="s">
        <v>1190</v>
      </c>
      <c r="H354" s="1">
        <v>1.04249999999999E+16</v>
      </c>
      <c r="I354">
        <v>0</v>
      </c>
      <c r="J354">
        <v>93</v>
      </c>
      <c r="K354" t="s">
        <v>720</v>
      </c>
      <c r="L354" s="1">
        <v>7.56E+16</v>
      </c>
      <c r="M354">
        <v>0</v>
      </c>
      <c r="N354">
        <v>0</v>
      </c>
      <c r="O354" s="1">
        <v>4213499745283170</v>
      </c>
      <c r="Q354" t="b">
        <v>0</v>
      </c>
    </row>
    <row r="355" spans="1:17" x14ac:dyDescent="0.35">
      <c r="A355" t="s">
        <v>1191</v>
      </c>
      <c r="B355" t="s">
        <v>18</v>
      </c>
      <c r="C355" t="s">
        <v>1192</v>
      </c>
      <c r="D355">
        <v>0</v>
      </c>
      <c r="E355" t="s">
        <v>1193</v>
      </c>
      <c r="F355" t="s">
        <v>20</v>
      </c>
      <c r="G355" t="s">
        <v>1194</v>
      </c>
      <c r="H355" s="1">
        <v>7991666666666660</v>
      </c>
      <c r="I355">
        <v>0</v>
      </c>
      <c r="J355" t="s">
        <v>1195</v>
      </c>
      <c r="K355" t="s">
        <v>1196</v>
      </c>
      <c r="L355" t="s">
        <v>373</v>
      </c>
      <c r="M355">
        <v>0</v>
      </c>
      <c r="N355">
        <v>0</v>
      </c>
      <c r="O355" s="1">
        <v>4213528265171250</v>
      </c>
      <c r="Q355" t="b">
        <v>0</v>
      </c>
    </row>
    <row r="356" spans="1:17" x14ac:dyDescent="0.35">
      <c r="A356" t="s">
        <v>1197</v>
      </c>
      <c r="B356" t="s">
        <v>18</v>
      </c>
      <c r="C356" t="s">
        <v>1198</v>
      </c>
      <c r="D356">
        <v>0</v>
      </c>
      <c r="E356" t="s">
        <v>1199</v>
      </c>
      <c r="F356" t="s">
        <v>20</v>
      </c>
      <c r="G356" t="s">
        <v>1200</v>
      </c>
      <c r="H356" s="1">
        <v>7991666666666660</v>
      </c>
      <c r="I356">
        <v>0</v>
      </c>
      <c r="J356" t="s">
        <v>1195</v>
      </c>
      <c r="K356" t="s">
        <v>1196</v>
      </c>
      <c r="L356" t="s">
        <v>373</v>
      </c>
      <c r="M356">
        <v>0</v>
      </c>
      <c r="N356">
        <v>0</v>
      </c>
      <c r="O356" s="1">
        <v>4213556785059330</v>
      </c>
      <c r="Q356" t="b">
        <v>0</v>
      </c>
    </row>
    <row r="357" spans="1:17" x14ac:dyDescent="0.35">
      <c r="A357" t="s">
        <v>1201</v>
      </c>
      <c r="B357" t="s">
        <v>18</v>
      </c>
      <c r="C357" t="s">
        <v>1202</v>
      </c>
      <c r="D357">
        <v>0</v>
      </c>
      <c r="E357" t="s">
        <v>1203</v>
      </c>
      <c r="F357" t="s">
        <v>20</v>
      </c>
      <c r="G357" t="s">
        <v>1204</v>
      </c>
      <c r="H357" s="1">
        <v>7991666666666660</v>
      </c>
      <c r="I357">
        <v>0</v>
      </c>
      <c r="J357" t="s">
        <v>1195</v>
      </c>
      <c r="K357" t="s">
        <v>1196</v>
      </c>
      <c r="L357" t="s">
        <v>373</v>
      </c>
      <c r="M357">
        <v>0</v>
      </c>
      <c r="N357">
        <v>0</v>
      </c>
      <c r="O357" s="1">
        <v>421358530494742</v>
      </c>
      <c r="Q357" t="b">
        <v>0</v>
      </c>
    </row>
    <row r="358" spans="1:17" x14ac:dyDescent="0.35">
      <c r="A358" t="s">
        <v>1205</v>
      </c>
      <c r="B358" t="s">
        <v>18</v>
      </c>
      <c r="C358" t="s">
        <v>1206</v>
      </c>
      <c r="D358">
        <v>0</v>
      </c>
      <c r="E358" t="s">
        <v>1207</v>
      </c>
      <c r="F358" t="s">
        <v>20</v>
      </c>
      <c r="G358" t="s">
        <v>1208</v>
      </c>
      <c r="H358" s="1">
        <v>7991666666666660</v>
      </c>
      <c r="I358">
        <v>0</v>
      </c>
      <c r="J358" t="s">
        <v>1195</v>
      </c>
      <c r="K358" t="s">
        <v>1196</v>
      </c>
      <c r="L358" t="s">
        <v>373</v>
      </c>
      <c r="M358">
        <v>0</v>
      </c>
      <c r="N358">
        <v>0</v>
      </c>
      <c r="O358" s="1">
        <v>4213613824835500</v>
      </c>
      <c r="Q358" t="b">
        <v>0</v>
      </c>
    </row>
    <row r="359" spans="1:17" x14ac:dyDescent="0.35">
      <c r="A359" t="s">
        <v>1209</v>
      </c>
      <c r="B359" t="s">
        <v>18</v>
      </c>
      <c r="C359" t="s">
        <v>1210</v>
      </c>
      <c r="D359">
        <v>0</v>
      </c>
      <c r="E359" t="s">
        <v>1211</v>
      </c>
      <c r="F359" t="s">
        <v>20</v>
      </c>
      <c r="G359" t="s">
        <v>1212</v>
      </c>
      <c r="H359" t="s">
        <v>1213</v>
      </c>
      <c r="I359">
        <v>0</v>
      </c>
      <c r="J359" t="s">
        <v>1214</v>
      </c>
      <c r="K359" t="s">
        <v>1215</v>
      </c>
      <c r="L359" t="s">
        <v>244</v>
      </c>
      <c r="M359">
        <v>0</v>
      </c>
      <c r="N359">
        <v>0</v>
      </c>
      <c r="O359" s="1">
        <v>4213642344723580</v>
      </c>
      <c r="Q359" t="b">
        <v>0</v>
      </c>
    </row>
    <row r="360" spans="1:17" x14ac:dyDescent="0.35">
      <c r="A360" t="s">
        <v>1216</v>
      </c>
      <c r="B360" t="s">
        <v>18</v>
      </c>
      <c r="C360" t="s">
        <v>1217</v>
      </c>
      <c r="D360">
        <v>0</v>
      </c>
      <c r="E360" t="s">
        <v>1218</v>
      </c>
      <c r="F360" t="s">
        <v>20</v>
      </c>
      <c r="G360" t="s">
        <v>1219</v>
      </c>
      <c r="H360" t="s">
        <v>1213</v>
      </c>
      <c r="I360">
        <v>0</v>
      </c>
      <c r="J360" t="s">
        <v>1214</v>
      </c>
      <c r="K360" t="s">
        <v>1215</v>
      </c>
      <c r="L360" t="s">
        <v>244</v>
      </c>
      <c r="M360">
        <v>0</v>
      </c>
      <c r="N360">
        <v>0</v>
      </c>
      <c r="O360" s="1">
        <v>4.21367086461166E+16</v>
      </c>
      <c r="Q360" t="b">
        <v>0</v>
      </c>
    </row>
    <row r="361" spans="1:17" x14ac:dyDescent="0.35">
      <c r="A361" t="s">
        <v>1220</v>
      </c>
      <c r="B361" t="s">
        <v>18</v>
      </c>
      <c r="C361" t="s">
        <v>1221</v>
      </c>
      <c r="D361">
        <v>0</v>
      </c>
      <c r="E361" t="s">
        <v>1222</v>
      </c>
      <c r="F361" t="s">
        <v>20</v>
      </c>
      <c r="G361" t="s">
        <v>1223</v>
      </c>
      <c r="H361" t="s">
        <v>1213</v>
      </c>
      <c r="I361">
        <v>0</v>
      </c>
      <c r="J361" t="s">
        <v>1214</v>
      </c>
      <c r="K361" t="s">
        <v>1215</v>
      </c>
      <c r="L361" t="s">
        <v>244</v>
      </c>
      <c r="M361">
        <v>0</v>
      </c>
      <c r="N361">
        <v>0</v>
      </c>
      <c r="O361" s="1">
        <v>4213699384499740</v>
      </c>
      <c r="Q361" t="b">
        <v>0</v>
      </c>
    </row>
    <row r="362" spans="1:17" x14ac:dyDescent="0.35">
      <c r="A362" t="s">
        <v>1224</v>
      </c>
      <c r="B362" t="s">
        <v>18</v>
      </c>
      <c r="C362" t="s">
        <v>1225</v>
      </c>
      <c r="D362">
        <v>0</v>
      </c>
      <c r="E362" t="s">
        <v>1226</v>
      </c>
      <c r="F362" t="s">
        <v>20</v>
      </c>
      <c r="G362" t="s">
        <v>1227</v>
      </c>
      <c r="H362" t="s">
        <v>1213</v>
      </c>
      <c r="I362">
        <v>0</v>
      </c>
      <c r="J362" t="s">
        <v>1214</v>
      </c>
      <c r="K362" t="s">
        <v>1215</v>
      </c>
      <c r="L362" t="s">
        <v>244</v>
      </c>
      <c r="M362">
        <v>0</v>
      </c>
      <c r="N362">
        <v>0</v>
      </c>
      <c r="O362" s="1">
        <v>4213727904387820</v>
      </c>
      <c r="Q362" t="b">
        <v>0</v>
      </c>
    </row>
    <row r="363" spans="1:17" x14ac:dyDescent="0.35">
      <c r="A363" t="s">
        <v>1228</v>
      </c>
      <c r="B363" t="s">
        <v>18</v>
      </c>
      <c r="C363" t="s">
        <v>1229</v>
      </c>
      <c r="D363">
        <v>0</v>
      </c>
      <c r="E363" t="s">
        <v>1230</v>
      </c>
      <c r="F363" t="s">
        <v>20</v>
      </c>
      <c r="G363" t="s">
        <v>1231</v>
      </c>
      <c r="H363">
        <v>39</v>
      </c>
      <c r="I363">
        <v>0</v>
      </c>
      <c r="J363" t="s">
        <v>1232</v>
      </c>
      <c r="K363" t="s">
        <v>921</v>
      </c>
      <c r="L363" t="s">
        <v>63</v>
      </c>
      <c r="M363">
        <v>0</v>
      </c>
      <c r="N363">
        <v>0</v>
      </c>
      <c r="O363" s="1">
        <v>421375642427591</v>
      </c>
      <c r="Q363" t="b">
        <v>0</v>
      </c>
    </row>
    <row r="364" spans="1:17" x14ac:dyDescent="0.35">
      <c r="A364" t="s">
        <v>1233</v>
      </c>
      <c r="B364" t="s">
        <v>18</v>
      </c>
      <c r="C364" t="s">
        <v>1234</v>
      </c>
      <c r="D364">
        <v>0</v>
      </c>
      <c r="E364" t="s">
        <v>1235</v>
      </c>
      <c r="F364" t="s">
        <v>20</v>
      </c>
      <c r="G364" t="s">
        <v>1236</v>
      </c>
      <c r="H364">
        <v>39</v>
      </c>
      <c r="I364">
        <v>0</v>
      </c>
      <c r="J364" t="s">
        <v>1232</v>
      </c>
      <c r="K364" t="s">
        <v>921</v>
      </c>
      <c r="L364" t="s">
        <v>63</v>
      </c>
      <c r="M364">
        <v>0</v>
      </c>
      <c r="N364">
        <v>0</v>
      </c>
      <c r="O364" s="1">
        <v>4213784944163990</v>
      </c>
      <c r="Q364" t="b">
        <v>0</v>
      </c>
    </row>
    <row r="365" spans="1:17" x14ac:dyDescent="0.35">
      <c r="A365" t="s">
        <v>1237</v>
      </c>
      <c r="B365" t="s">
        <v>18</v>
      </c>
      <c r="C365" t="s">
        <v>1238</v>
      </c>
      <c r="D365">
        <v>0</v>
      </c>
      <c r="E365" t="s">
        <v>1239</v>
      </c>
      <c r="F365" t="s">
        <v>20</v>
      </c>
      <c r="G365" t="s">
        <v>1240</v>
      </c>
      <c r="H365">
        <v>39</v>
      </c>
      <c r="I365">
        <v>0</v>
      </c>
      <c r="J365" t="s">
        <v>1232</v>
      </c>
      <c r="K365" t="s">
        <v>921</v>
      </c>
      <c r="L365" t="s">
        <v>63</v>
      </c>
      <c r="M365">
        <v>0</v>
      </c>
      <c r="N365">
        <v>0</v>
      </c>
      <c r="O365" s="1">
        <v>4213813464052070</v>
      </c>
      <c r="Q365" t="b">
        <v>0</v>
      </c>
    </row>
    <row r="366" spans="1:17" x14ac:dyDescent="0.35">
      <c r="A366" t="s">
        <v>1241</v>
      </c>
      <c r="B366" t="s">
        <v>18</v>
      </c>
      <c r="C366" t="s">
        <v>1242</v>
      </c>
      <c r="D366">
        <v>0</v>
      </c>
      <c r="E366" t="s">
        <v>1243</v>
      </c>
      <c r="F366" t="s">
        <v>20</v>
      </c>
      <c r="G366" t="s">
        <v>1244</v>
      </c>
      <c r="H366">
        <v>39</v>
      </c>
      <c r="I366">
        <v>0</v>
      </c>
      <c r="J366" t="s">
        <v>1232</v>
      </c>
      <c r="K366" t="s">
        <v>921</v>
      </c>
      <c r="L366" t="s">
        <v>63</v>
      </c>
      <c r="M366">
        <v>0</v>
      </c>
      <c r="N366">
        <v>0</v>
      </c>
      <c r="O366" s="1">
        <v>4213841983940150</v>
      </c>
      <c r="Q366" t="b">
        <v>0</v>
      </c>
    </row>
    <row r="367" spans="1:17" x14ac:dyDescent="0.35">
      <c r="A367" t="s">
        <v>1245</v>
      </c>
      <c r="B367" t="s">
        <v>18</v>
      </c>
      <c r="C367" t="s">
        <v>1246</v>
      </c>
      <c r="D367">
        <v>0</v>
      </c>
      <c r="E367" t="s">
        <v>1247</v>
      </c>
      <c r="F367" t="s">
        <v>20</v>
      </c>
      <c r="G367" t="s">
        <v>1248</v>
      </c>
      <c r="H367" s="1">
        <v>2.35499999999999E+16</v>
      </c>
      <c r="I367">
        <v>0</v>
      </c>
      <c r="J367" t="s">
        <v>1249</v>
      </c>
      <c r="K367" t="s">
        <v>1250</v>
      </c>
      <c r="L367" t="s">
        <v>1251</v>
      </c>
      <c r="M367">
        <v>0</v>
      </c>
      <c r="N367">
        <v>0</v>
      </c>
      <c r="O367" s="1">
        <v>4213870503828230</v>
      </c>
      <c r="Q367" t="b">
        <v>0</v>
      </c>
    </row>
    <row r="368" spans="1:17" x14ac:dyDescent="0.35">
      <c r="A368" t="s">
        <v>1252</v>
      </c>
      <c r="B368" t="s">
        <v>18</v>
      </c>
      <c r="C368" t="s">
        <v>1253</v>
      </c>
      <c r="D368">
        <v>0</v>
      </c>
      <c r="E368" t="s">
        <v>1254</v>
      </c>
      <c r="F368" t="s">
        <v>20</v>
      </c>
      <c r="G368" t="s">
        <v>1255</v>
      </c>
      <c r="H368" s="1">
        <v>2.35499999999999E+16</v>
      </c>
      <c r="I368">
        <v>0</v>
      </c>
      <c r="J368" t="s">
        <v>1249</v>
      </c>
      <c r="K368" t="s">
        <v>1250</v>
      </c>
      <c r="L368" t="s">
        <v>1251</v>
      </c>
      <c r="M368">
        <v>0</v>
      </c>
      <c r="N368">
        <v>0</v>
      </c>
      <c r="O368" s="1">
        <v>4213899023716310</v>
      </c>
      <c r="Q368" t="b">
        <v>0</v>
      </c>
    </row>
    <row r="369" spans="1:17" x14ac:dyDescent="0.35">
      <c r="A369" t="s">
        <v>1256</v>
      </c>
      <c r="B369" t="s">
        <v>18</v>
      </c>
      <c r="C369" t="s">
        <v>1257</v>
      </c>
      <c r="D369">
        <v>0</v>
      </c>
      <c r="E369" t="s">
        <v>1258</v>
      </c>
      <c r="F369" t="s">
        <v>20</v>
      </c>
      <c r="G369" t="s">
        <v>1259</v>
      </c>
      <c r="H369" s="1">
        <v>2.35499999999999E+16</v>
      </c>
      <c r="I369">
        <v>0</v>
      </c>
      <c r="J369" t="s">
        <v>1249</v>
      </c>
      <c r="K369" t="s">
        <v>1250</v>
      </c>
      <c r="L369" t="s">
        <v>1251</v>
      </c>
      <c r="M369">
        <v>0</v>
      </c>
      <c r="N369">
        <v>0</v>
      </c>
      <c r="O369" s="1">
        <v>4213927543604390</v>
      </c>
      <c r="Q369" t="b">
        <v>0</v>
      </c>
    </row>
    <row r="370" spans="1:17" x14ac:dyDescent="0.35">
      <c r="A370" t="s">
        <v>1260</v>
      </c>
      <c r="B370" t="s">
        <v>18</v>
      </c>
      <c r="C370" t="s">
        <v>1261</v>
      </c>
      <c r="D370">
        <v>0</v>
      </c>
      <c r="E370" t="s">
        <v>1262</v>
      </c>
      <c r="F370" t="s">
        <v>20</v>
      </c>
      <c r="G370" t="s">
        <v>1263</v>
      </c>
      <c r="H370" s="1">
        <v>2.35499999999999E+16</v>
      </c>
      <c r="I370">
        <v>0</v>
      </c>
      <c r="J370" t="s">
        <v>1249</v>
      </c>
      <c r="K370" t="s">
        <v>1250</v>
      </c>
      <c r="L370" t="s">
        <v>1251</v>
      </c>
      <c r="M370">
        <v>0</v>
      </c>
      <c r="N370">
        <v>0</v>
      </c>
      <c r="O370" s="1">
        <v>421395606349248</v>
      </c>
      <c r="Q370" t="b">
        <v>0</v>
      </c>
    </row>
    <row r="371" spans="1:17" x14ac:dyDescent="0.35">
      <c r="A371" t="s">
        <v>1264</v>
      </c>
      <c r="B371" t="s">
        <v>18</v>
      </c>
      <c r="C371" t="s">
        <v>1265</v>
      </c>
      <c r="D371">
        <v>0</v>
      </c>
      <c r="E371" t="s">
        <v>1266</v>
      </c>
      <c r="F371" t="s">
        <v>20</v>
      </c>
      <c r="G371" t="s">
        <v>1267</v>
      </c>
      <c r="H371" s="1">
        <v>1.06499999999999E+16</v>
      </c>
      <c r="I371">
        <v>0</v>
      </c>
      <c r="J371">
        <v>36</v>
      </c>
      <c r="K371" t="s">
        <v>1215</v>
      </c>
      <c r="L371" s="1">
        <v>4.248E+16</v>
      </c>
      <c r="M371">
        <v>0</v>
      </c>
      <c r="N371">
        <v>0</v>
      </c>
      <c r="O371" s="1">
        <v>4213984583380560</v>
      </c>
      <c r="Q371" t="b">
        <v>0</v>
      </c>
    </row>
    <row r="372" spans="1:17" x14ac:dyDescent="0.35">
      <c r="A372" t="s">
        <v>1268</v>
      </c>
      <c r="B372" t="s">
        <v>18</v>
      </c>
      <c r="C372" t="s">
        <v>1269</v>
      </c>
      <c r="D372">
        <v>0</v>
      </c>
      <c r="E372">
        <v>0</v>
      </c>
      <c r="F372" t="s">
        <v>20</v>
      </c>
      <c r="G372" t="s">
        <v>1270</v>
      </c>
      <c r="H372" s="1">
        <v>1.06499999999999E+16</v>
      </c>
      <c r="I372">
        <v>0</v>
      </c>
      <c r="J372">
        <v>36</v>
      </c>
      <c r="K372" t="s">
        <v>1215</v>
      </c>
      <c r="L372" s="1">
        <v>4.248E+16</v>
      </c>
      <c r="M372">
        <v>0</v>
      </c>
      <c r="N372">
        <v>0</v>
      </c>
      <c r="O372" s="1">
        <v>4214013103268640</v>
      </c>
      <c r="Q372" t="b">
        <v>0</v>
      </c>
    </row>
    <row r="373" spans="1:17" x14ac:dyDescent="0.35">
      <c r="A373" t="s">
        <v>1271</v>
      </c>
      <c r="B373" t="s">
        <v>18</v>
      </c>
      <c r="C373" t="s">
        <v>1272</v>
      </c>
      <c r="D373">
        <v>0</v>
      </c>
      <c r="E373">
        <v>0</v>
      </c>
      <c r="F373" t="s">
        <v>20</v>
      </c>
      <c r="G373" t="s">
        <v>1273</v>
      </c>
      <c r="H373" s="1">
        <v>1.06499999999999E+16</v>
      </c>
      <c r="I373">
        <v>0</v>
      </c>
      <c r="J373">
        <v>36</v>
      </c>
      <c r="K373" t="s">
        <v>1215</v>
      </c>
      <c r="L373" s="1">
        <v>4.248E+16</v>
      </c>
      <c r="M373">
        <v>0</v>
      </c>
      <c r="N373">
        <v>0</v>
      </c>
      <c r="O373" s="1">
        <v>4214041623156720</v>
      </c>
      <c r="Q373" t="b">
        <v>0</v>
      </c>
    </row>
    <row r="374" spans="1:17" x14ac:dyDescent="0.35">
      <c r="A374" t="s">
        <v>1274</v>
      </c>
      <c r="B374" t="s">
        <v>18</v>
      </c>
      <c r="C374" t="s">
        <v>1275</v>
      </c>
      <c r="D374">
        <v>0</v>
      </c>
      <c r="E374">
        <v>0</v>
      </c>
      <c r="F374" t="s">
        <v>20</v>
      </c>
      <c r="G374" t="s">
        <v>1276</v>
      </c>
      <c r="H374" s="1">
        <v>1.06499999999999E+16</v>
      </c>
      <c r="I374">
        <v>0</v>
      </c>
      <c r="J374">
        <v>36</v>
      </c>
      <c r="K374" t="s">
        <v>1215</v>
      </c>
      <c r="L374" s="1">
        <v>4.248E+16</v>
      </c>
      <c r="M374">
        <v>0</v>
      </c>
      <c r="N374">
        <v>0</v>
      </c>
      <c r="O374" s="1">
        <v>4214070143044800</v>
      </c>
      <c r="Q374" t="b">
        <v>0</v>
      </c>
    </row>
    <row r="375" spans="1:17" x14ac:dyDescent="0.35">
      <c r="A375" t="s">
        <v>1277</v>
      </c>
      <c r="B375" t="s">
        <v>18</v>
      </c>
      <c r="C375" t="s">
        <v>1278</v>
      </c>
      <c r="D375">
        <v>0</v>
      </c>
      <c r="E375">
        <v>0</v>
      </c>
      <c r="F375" t="s">
        <v>20</v>
      </c>
      <c r="G375">
        <v>0</v>
      </c>
      <c r="H375">
        <v>0</v>
      </c>
      <c r="I375">
        <v>0</v>
      </c>
      <c r="J375" t="s">
        <v>1279</v>
      </c>
      <c r="K375" t="s">
        <v>1280</v>
      </c>
      <c r="L375" t="s">
        <v>1281</v>
      </c>
      <c r="M375">
        <v>0</v>
      </c>
      <c r="N375">
        <v>0</v>
      </c>
      <c r="O375" s="1">
        <v>4214098662932880</v>
      </c>
      <c r="Q375" t="b">
        <v>0</v>
      </c>
    </row>
    <row r="376" spans="1:17" x14ac:dyDescent="0.35">
      <c r="A376" t="s">
        <v>1282</v>
      </c>
      <c r="B376" t="s">
        <v>18</v>
      </c>
      <c r="C376" t="s">
        <v>1283</v>
      </c>
      <c r="D376">
        <v>0</v>
      </c>
      <c r="E376">
        <v>0</v>
      </c>
      <c r="F376" t="s">
        <v>20</v>
      </c>
      <c r="G376">
        <v>0</v>
      </c>
      <c r="H376">
        <v>0</v>
      </c>
      <c r="I376">
        <v>0</v>
      </c>
      <c r="J376" t="s">
        <v>1279</v>
      </c>
      <c r="K376" t="s">
        <v>1280</v>
      </c>
      <c r="L376" t="s">
        <v>1281</v>
      </c>
      <c r="M376">
        <v>0</v>
      </c>
      <c r="N376">
        <v>0</v>
      </c>
      <c r="O376" s="1">
        <v>4214127182820960</v>
      </c>
      <c r="Q376" t="b">
        <v>0</v>
      </c>
    </row>
    <row r="377" spans="1:17" x14ac:dyDescent="0.35">
      <c r="A377" t="s">
        <v>1284</v>
      </c>
      <c r="B377" t="s">
        <v>18</v>
      </c>
      <c r="C377" t="s">
        <v>1285</v>
      </c>
      <c r="D377">
        <v>0</v>
      </c>
      <c r="E377">
        <v>0</v>
      </c>
      <c r="F377" t="s">
        <v>20</v>
      </c>
      <c r="G377">
        <v>0</v>
      </c>
      <c r="H377">
        <v>0</v>
      </c>
      <c r="I377">
        <v>0</v>
      </c>
      <c r="J377" t="s">
        <v>1279</v>
      </c>
      <c r="K377" t="s">
        <v>1280</v>
      </c>
      <c r="L377" t="s">
        <v>1281</v>
      </c>
      <c r="M377">
        <v>0</v>
      </c>
      <c r="N377">
        <v>0</v>
      </c>
      <c r="O377" s="1">
        <v>4214155702709050</v>
      </c>
      <c r="Q377" t="b">
        <v>0</v>
      </c>
    </row>
    <row r="378" spans="1:17" x14ac:dyDescent="0.35">
      <c r="A378" t="s">
        <v>1286</v>
      </c>
      <c r="B378" t="s">
        <v>18</v>
      </c>
      <c r="C378" t="s">
        <v>1287</v>
      </c>
      <c r="D378">
        <v>0</v>
      </c>
      <c r="E378">
        <v>0</v>
      </c>
      <c r="F378" t="s">
        <v>20</v>
      </c>
      <c r="G378">
        <v>0</v>
      </c>
      <c r="H378">
        <v>0</v>
      </c>
      <c r="I378">
        <v>0</v>
      </c>
      <c r="J378" t="s">
        <v>1279</v>
      </c>
      <c r="K378" t="s">
        <v>1280</v>
      </c>
      <c r="L378" t="s">
        <v>1281</v>
      </c>
      <c r="M378">
        <v>0</v>
      </c>
      <c r="N378">
        <v>0</v>
      </c>
      <c r="O378" s="1">
        <v>4214184222597130</v>
      </c>
      <c r="Q378" t="b">
        <v>0</v>
      </c>
    </row>
    <row r="379" spans="1:17" x14ac:dyDescent="0.35">
      <c r="A379" t="s">
        <v>1288</v>
      </c>
      <c r="B379" t="s">
        <v>18</v>
      </c>
      <c r="C379" t="s">
        <v>1289</v>
      </c>
      <c r="D379">
        <v>0</v>
      </c>
      <c r="E379">
        <v>0</v>
      </c>
      <c r="F379" t="s">
        <v>20</v>
      </c>
      <c r="G379">
        <v>0</v>
      </c>
      <c r="H379">
        <v>0</v>
      </c>
      <c r="I379">
        <v>0</v>
      </c>
      <c r="J379">
        <v>0</v>
      </c>
      <c r="K379" t="s">
        <v>1290</v>
      </c>
      <c r="L379" s="1">
        <v>3.312E+16</v>
      </c>
      <c r="M379">
        <v>0</v>
      </c>
      <c r="N379">
        <v>0</v>
      </c>
      <c r="O379" s="1">
        <v>4.2142127424852096E+16</v>
      </c>
      <c r="Q379" t="b">
        <v>0</v>
      </c>
    </row>
    <row r="380" spans="1:17" x14ac:dyDescent="0.35">
      <c r="A380" t="s">
        <v>1291</v>
      </c>
      <c r="B380" t="s">
        <v>18</v>
      </c>
      <c r="C380" t="s">
        <v>1292</v>
      </c>
      <c r="D380">
        <v>0</v>
      </c>
      <c r="E380">
        <v>0</v>
      </c>
      <c r="F380" t="s">
        <v>20</v>
      </c>
      <c r="G380">
        <v>0</v>
      </c>
      <c r="H380">
        <v>0</v>
      </c>
      <c r="I380">
        <v>0</v>
      </c>
      <c r="J380">
        <v>0</v>
      </c>
      <c r="K380" t="s">
        <v>1290</v>
      </c>
      <c r="L380" s="1">
        <v>3.312E+16</v>
      </c>
      <c r="M380">
        <v>0</v>
      </c>
      <c r="N380">
        <v>0</v>
      </c>
      <c r="O380" s="1">
        <v>4214241262373290</v>
      </c>
      <c r="Q380" t="b">
        <v>0</v>
      </c>
    </row>
    <row r="381" spans="1:17" x14ac:dyDescent="0.35">
      <c r="A381" t="s">
        <v>1293</v>
      </c>
      <c r="B381" t="s">
        <v>18</v>
      </c>
      <c r="C381" t="s">
        <v>1294</v>
      </c>
      <c r="D381">
        <v>0</v>
      </c>
      <c r="E381">
        <v>0</v>
      </c>
      <c r="F381" t="s">
        <v>20</v>
      </c>
      <c r="G381">
        <v>0</v>
      </c>
      <c r="H381">
        <v>0</v>
      </c>
      <c r="I381">
        <v>0</v>
      </c>
      <c r="J381">
        <v>0</v>
      </c>
      <c r="K381" t="s">
        <v>1290</v>
      </c>
      <c r="L381" s="1">
        <v>3.312E+16</v>
      </c>
      <c r="M381">
        <v>0</v>
      </c>
      <c r="N381">
        <v>0</v>
      </c>
      <c r="O381" s="1">
        <v>4214269782261370</v>
      </c>
      <c r="Q381" t="b">
        <v>0</v>
      </c>
    </row>
    <row r="382" spans="1:17" x14ac:dyDescent="0.35">
      <c r="A382" t="s">
        <v>1295</v>
      </c>
      <c r="B382" t="s">
        <v>18</v>
      </c>
      <c r="C382" t="s">
        <v>1296</v>
      </c>
      <c r="D382">
        <v>0</v>
      </c>
      <c r="E382">
        <v>0</v>
      </c>
      <c r="F382" t="s">
        <v>20</v>
      </c>
      <c r="G382">
        <v>0</v>
      </c>
      <c r="H382">
        <v>0</v>
      </c>
      <c r="I382">
        <v>0</v>
      </c>
      <c r="J382">
        <v>0</v>
      </c>
      <c r="K382" t="s">
        <v>1290</v>
      </c>
      <c r="L382" s="1">
        <v>3.312E+16</v>
      </c>
      <c r="M382">
        <v>0</v>
      </c>
      <c r="N382">
        <v>0</v>
      </c>
      <c r="O382" s="1">
        <v>4.2142983021494496E+16</v>
      </c>
      <c r="Q382" t="b">
        <v>0</v>
      </c>
    </row>
    <row r="383" spans="1:17" x14ac:dyDescent="0.35">
      <c r="A383" t="s">
        <v>1297</v>
      </c>
      <c r="B383" t="s">
        <v>18</v>
      </c>
      <c r="C383" t="s">
        <v>1298</v>
      </c>
      <c r="D383">
        <v>0</v>
      </c>
      <c r="E383">
        <v>0</v>
      </c>
      <c r="F383" t="s">
        <v>20</v>
      </c>
      <c r="G383">
        <v>0</v>
      </c>
      <c r="H383">
        <v>0</v>
      </c>
      <c r="I383">
        <v>0</v>
      </c>
      <c r="J383">
        <v>0</v>
      </c>
      <c r="K383" t="s">
        <v>1299</v>
      </c>
      <c r="L383">
        <v>27</v>
      </c>
      <c r="M383">
        <v>0</v>
      </c>
      <c r="N383">
        <v>0</v>
      </c>
      <c r="O383" s="1">
        <v>4214326822037540</v>
      </c>
      <c r="Q383" t="b">
        <v>0</v>
      </c>
    </row>
    <row r="384" spans="1:17" x14ac:dyDescent="0.35">
      <c r="A384" t="s">
        <v>1300</v>
      </c>
      <c r="B384" t="s">
        <v>18</v>
      </c>
      <c r="C384" t="s">
        <v>1301</v>
      </c>
      <c r="D384">
        <v>0</v>
      </c>
      <c r="E384">
        <v>0</v>
      </c>
      <c r="F384" t="s">
        <v>20</v>
      </c>
      <c r="G384">
        <v>0</v>
      </c>
      <c r="H384">
        <v>0</v>
      </c>
      <c r="I384">
        <v>0</v>
      </c>
      <c r="J384">
        <v>0</v>
      </c>
      <c r="K384" t="s">
        <v>1299</v>
      </c>
      <c r="L384">
        <v>27</v>
      </c>
      <c r="M384">
        <v>0</v>
      </c>
      <c r="N384">
        <v>0</v>
      </c>
      <c r="O384" s="1">
        <v>4214355341925620</v>
      </c>
      <c r="Q384" t="b">
        <v>0</v>
      </c>
    </row>
    <row r="385" spans="1:17" x14ac:dyDescent="0.35">
      <c r="A385" t="s">
        <v>1302</v>
      </c>
      <c r="B385" t="s">
        <v>18</v>
      </c>
      <c r="C385" t="s">
        <v>1303</v>
      </c>
      <c r="D385">
        <v>0</v>
      </c>
      <c r="E385">
        <v>0</v>
      </c>
      <c r="F385" t="s">
        <v>20</v>
      </c>
      <c r="G385">
        <v>0</v>
      </c>
      <c r="H385">
        <v>0</v>
      </c>
      <c r="I385">
        <v>0</v>
      </c>
      <c r="J385">
        <v>0</v>
      </c>
      <c r="K385" t="s">
        <v>1299</v>
      </c>
      <c r="L385">
        <v>27</v>
      </c>
      <c r="M385">
        <v>0</v>
      </c>
      <c r="N385">
        <v>0</v>
      </c>
      <c r="O385" s="1">
        <v>4214383861813700</v>
      </c>
      <c r="Q385" t="b">
        <v>0</v>
      </c>
    </row>
    <row r="386" spans="1:17" x14ac:dyDescent="0.35">
      <c r="A386" t="s">
        <v>1304</v>
      </c>
      <c r="B386" t="s">
        <v>18</v>
      </c>
      <c r="C386" t="s">
        <v>1305</v>
      </c>
      <c r="D386">
        <v>0</v>
      </c>
      <c r="E386">
        <v>0</v>
      </c>
      <c r="F386" t="s">
        <v>20</v>
      </c>
      <c r="G386">
        <v>0</v>
      </c>
      <c r="H386">
        <v>0</v>
      </c>
      <c r="I386">
        <v>0</v>
      </c>
      <c r="J386">
        <v>0</v>
      </c>
      <c r="K386" t="s">
        <v>1299</v>
      </c>
      <c r="L386">
        <v>27</v>
      </c>
      <c r="M386">
        <v>0</v>
      </c>
      <c r="N386">
        <v>0</v>
      </c>
      <c r="O386" s="1">
        <v>4214412381701780</v>
      </c>
      <c r="Q386" t="b">
        <v>0</v>
      </c>
    </row>
    <row r="387" spans="1:17" x14ac:dyDescent="0.35">
      <c r="A387" t="s">
        <v>1306</v>
      </c>
      <c r="B387" t="s">
        <v>18</v>
      </c>
      <c r="C387" t="s">
        <v>1307</v>
      </c>
      <c r="D387">
        <v>0</v>
      </c>
      <c r="E387">
        <v>0</v>
      </c>
      <c r="F387" t="s">
        <v>20</v>
      </c>
      <c r="G387">
        <v>0</v>
      </c>
      <c r="H387">
        <v>0</v>
      </c>
      <c r="I387">
        <v>0</v>
      </c>
      <c r="J387">
        <v>0</v>
      </c>
      <c r="K387" t="s">
        <v>340</v>
      </c>
      <c r="L387" t="s">
        <v>1308</v>
      </c>
      <c r="M387">
        <v>0</v>
      </c>
      <c r="N387">
        <v>0</v>
      </c>
      <c r="O387" s="1">
        <v>4214440901589860</v>
      </c>
      <c r="Q387" t="b">
        <v>0</v>
      </c>
    </row>
    <row r="388" spans="1:17" x14ac:dyDescent="0.35">
      <c r="A388" t="s">
        <v>1309</v>
      </c>
      <c r="B388" t="s">
        <v>18</v>
      </c>
      <c r="C388" t="s">
        <v>1310</v>
      </c>
      <c r="D388">
        <v>0</v>
      </c>
      <c r="E388">
        <v>0</v>
      </c>
      <c r="F388" t="s">
        <v>20</v>
      </c>
      <c r="G388">
        <v>0</v>
      </c>
      <c r="H388">
        <v>0</v>
      </c>
      <c r="I388">
        <v>0</v>
      </c>
      <c r="J388">
        <v>0</v>
      </c>
      <c r="K388" t="s">
        <v>340</v>
      </c>
      <c r="L388" t="s">
        <v>1308</v>
      </c>
      <c r="M388">
        <v>0</v>
      </c>
      <c r="N388">
        <v>0</v>
      </c>
      <c r="O388" s="1">
        <v>4214469421477940</v>
      </c>
      <c r="Q388" t="b">
        <v>0</v>
      </c>
    </row>
    <row r="389" spans="1:17" x14ac:dyDescent="0.35">
      <c r="A389" t="s">
        <v>1311</v>
      </c>
      <c r="B389" t="s">
        <v>18</v>
      </c>
      <c r="C389" t="s">
        <v>1312</v>
      </c>
      <c r="D389">
        <v>0</v>
      </c>
      <c r="E389">
        <v>0</v>
      </c>
      <c r="F389" t="s">
        <v>20</v>
      </c>
      <c r="G389">
        <v>0</v>
      </c>
      <c r="H389">
        <v>0</v>
      </c>
      <c r="I389">
        <v>0</v>
      </c>
      <c r="J389">
        <v>0</v>
      </c>
      <c r="K389" t="s">
        <v>340</v>
      </c>
      <c r="L389" t="s">
        <v>1308</v>
      </c>
      <c r="M389">
        <v>0</v>
      </c>
      <c r="N389">
        <v>0</v>
      </c>
      <c r="O389" s="1">
        <v>421449794136603</v>
      </c>
      <c r="Q389" t="b">
        <v>0</v>
      </c>
    </row>
    <row r="390" spans="1:17" x14ac:dyDescent="0.35">
      <c r="A390" t="s">
        <v>1313</v>
      </c>
      <c r="B390" t="s">
        <v>18</v>
      </c>
      <c r="C390" t="s">
        <v>1314</v>
      </c>
      <c r="D390">
        <v>0</v>
      </c>
      <c r="E390">
        <v>0</v>
      </c>
      <c r="F390" t="s">
        <v>20</v>
      </c>
      <c r="G390">
        <v>0</v>
      </c>
      <c r="H390">
        <v>0</v>
      </c>
      <c r="I390">
        <v>0</v>
      </c>
      <c r="J390">
        <v>0</v>
      </c>
      <c r="K390" t="s">
        <v>340</v>
      </c>
      <c r="L390" t="s">
        <v>1308</v>
      </c>
      <c r="M390">
        <v>0</v>
      </c>
      <c r="N390">
        <v>0</v>
      </c>
      <c r="O390" s="1">
        <v>4214526461254110</v>
      </c>
      <c r="Q390" t="b">
        <v>0</v>
      </c>
    </row>
    <row r="391" spans="1:17" x14ac:dyDescent="0.35">
      <c r="A391" t="s">
        <v>1315</v>
      </c>
      <c r="B391" t="s">
        <v>18</v>
      </c>
      <c r="C391" t="s">
        <v>1316</v>
      </c>
      <c r="D391">
        <v>0</v>
      </c>
      <c r="E391">
        <v>0</v>
      </c>
      <c r="F391" t="s">
        <v>20</v>
      </c>
      <c r="G391">
        <v>0</v>
      </c>
      <c r="H391">
        <v>0</v>
      </c>
      <c r="I391">
        <v>0</v>
      </c>
      <c r="J391">
        <v>0</v>
      </c>
      <c r="K391" t="s">
        <v>704</v>
      </c>
      <c r="L391" t="s">
        <v>1317</v>
      </c>
      <c r="M391">
        <v>0</v>
      </c>
      <c r="N391">
        <v>0</v>
      </c>
      <c r="O391" s="1">
        <v>4214554981142190</v>
      </c>
      <c r="Q391" t="b">
        <v>0</v>
      </c>
    </row>
    <row r="392" spans="1:17" x14ac:dyDescent="0.35">
      <c r="A392" t="s">
        <v>1318</v>
      </c>
      <c r="B392" t="s">
        <v>18</v>
      </c>
      <c r="C392" t="s">
        <v>1319</v>
      </c>
      <c r="D392">
        <v>0</v>
      </c>
      <c r="E392">
        <v>0</v>
      </c>
      <c r="F392" t="s">
        <v>20</v>
      </c>
      <c r="G392">
        <v>0</v>
      </c>
      <c r="H392">
        <v>0</v>
      </c>
      <c r="I392">
        <v>0</v>
      </c>
      <c r="J392">
        <v>0</v>
      </c>
      <c r="K392" t="s">
        <v>704</v>
      </c>
      <c r="L392" t="s">
        <v>1317</v>
      </c>
      <c r="M392">
        <v>0</v>
      </c>
      <c r="N392">
        <v>0</v>
      </c>
      <c r="O392" s="1">
        <v>4214583501030270</v>
      </c>
      <c r="Q392" t="b">
        <v>0</v>
      </c>
    </row>
    <row r="393" spans="1:17" x14ac:dyDescent="0.35">
      <c r="A393" t="s">
        <v>1320</v>
      </c>
      <c r="B393" t="s">
        <v>18</v>
      </c>
      <c r="C393" t="s">
        <v>1321</v>
      </c>
      <c r="D393">
        <v>0</v>
      </c>
      <c r="E393">
        <v>0</v>
      </c>
      <c r="F393" t="s">
        <v>20</v>
      </c>
      <c r="G393">
        <v>0</v>
      </c>
      <c r="H393">
        <v>0</v>
      </c>
      <c r="I393">
        <v>0</v>
      </c>
      <c r="J393">
        <v>0</v>
      </c>
      <c r="K393" t="s">
        <v>704</v>
      </c>
      <c r="L393" t="s">
        <v>1317</v>
      </c>
      <c r="M393">
        <v>0</v>
      </c>
      <c r="N393">
        <v>0</v>
      </c>
      <c r="O393" s="1">
        <v>4214612020918350</v>
      </c>
      <c r="Q393" t="b">
        <v>0</v>
      </c>
    </row>
    <row r="394" spans="1:17" x14ac:dyDescent="0.35">
      <c r="A394" t="s">
        <v>1322</v>
      </c>
      <c r="B394" t="s">
        <v>18</v>
      </c>
      <c r="C394" t="s">
        <v>1323</v>
      </c>
      <c r="D394">
        <v>0</v>
      </c>
      <c r="E394">
        <v>0</v>
      </c>
      <c r="F394" t="s">
        <v>20</v>
      </c>
      <c r="G394">
        <v>0</v>
      </c>
      <c r="H394">
        <v>0</v>
      </c>
      <c r="I394">
        <v>0</v>
      </c>
      <c r="J394">
        <v>0</v>
      </c>
      <c r="K394" t="s">
        <v>704</v>
      </c>
      <c r="L394" t="s">
        <v>1317</v>
      </c>
      <c r="M394">
        <v>0</v>
      </c>
      <c r="N394">
        <v>0</v>
      </c>
      <c r="O394" s="1">
        <v>4214640540806430</v>
      </c>
      <c r="Q394" t="b">
        <v>0</v>
      </c>
    </row>
    <row r="395" spans="1:17" x14ac:dyDescent="0.35">
      <c r="A395" t="s">
        <v>1324</v>
      </c>
      <c r="B395" t="s">
        <v>18</v>
      </c>
      <c r="C395" t="s">
        <v>1325</v>
      </c>
      <c r="D395">
        <v>0</v>
      </c>
      <c r="E395">
        <v>0</v>
      </c>
      <c r="F395" t="s">
        <v>20</v>
      </c>
      <c r="G395">
        <v>0</v>
      </c>
      <c r="H395">
        <v>0</v>
      </c>
      <c r="I395">
        <v>0</v>
      </c>
      <c r="J395">
        <v>0</v>
      </c>
      <c r="K395" t="s">
        <v>312</v>
      </c>
      <c r="L395" s="1">
        <v>2.37599999999999E+16</v>
      </c>
      <c r="M395">
        <v>0</v>
      </c>
      <c r="N395">
        <v>0</v>
      </c>
      <c r="O395" s="1">
        <v>4214669060694510</v>
      </c>
      <c r="Q395" t="b">
        <v>0</v>
      </c>
    </row>
    <row r="396" spans="1:17" x14ac:dyDescent="0.35">
      <c r="A396" t="s">
        <v>1326</v>
      </c>
      <c r="B396" t="s">
        <v>18</v>
      </c>
      <c r="C396" t="s">
        <v>1327</v>
      </c>
      <c r="D396">
        <v>0</v>
      </c>
      <c r="E396">
        <v>0</v>
      </c>
      <c r="F396" t="s">
        <v>20</v>
      </c>
      <c r="G396">
        <v>0</v>
      </c>
      <c r="H396">
        <v>0</v>
      </c>
      <c r="I396">
        <v>0</v>
      </c>
      <c r="J396">
        <v>0</v>
      </c>
      <c r="K396" t="s">
        <v>312</v>
      </c>
      <c r="L396" s="1">
        <v>2.37599999999999E+16</v>
      </c>
      <c r="M396">
        <v>0</v>
      </c>
      <c r="N396">
        <v>0</v>
      </c>
      <c r="O396" s="1">
        <v>4214697580582600</v>
      </c>
      <c r="Q396" t="b">
        <v>0</v>
      </c>
    </row>
    <row r="397" spans="1:17" x14ac:dyDescent="0.35">
      <c r="A397" t="s">
        <v>1328</v>
      </c>
      <c r="B397" t="s">
        <v>18</v>
      </c>
      <c r="C397" t="s">
        <v>1329</v>
      </c>
      <c r="D397">
        <v>0</v>
      </c>
      <c r="E397">
        <v>0</v>
      </c>
      <c r="F397" t="s">
        <v>20</v>
      </c>
      <c r="G397">
        <v>0</v>
      </c>
      <c r="H397">
        <v>0</v>
      </c>
      <c r="I397">
        <v>0</v>
      </c>
      <c r="J397">
        <v>0</v>
      </c>
      <c r="K397" t="s">
        <v>312</v>
      </c>
      <c r="L397" s="1">
        <v>2.37599999999999E+16</v>
      </c>
      <c r="M397">
        <v>0</v>
      </c>
      <c r="N397">
        <v>0</v>
      </c>
      <c r="O397" s="1">
        <v>4214726100470680</v>
      </c>
      <c r="Q397" t="b">
        <v>0</v>
      </c>
    </row>
    <row r="398" spans="1:17" x14ac:dyDescent="0.35">
      <c r="A398" t="s">
        <v>1330</v>
      </c>
      <c r="B398" t="s">
        <v>18</v>
      </c>
      <c r="C398" t="s">
        <v>1331</v>
      </c>
      <c r="D398">
        <v>0</v>
      </c>
      <c r="E398">
        <v>0</v>
      </c>
      <c r="F398" t="s">
        <v>20</v>
      </c>
      <c r="G398">
        <v>0</v>
      </c>
      <c r="H398">
        <v>0</v>
      </c>
      <c r="I398">
        <v>0</v>
      </c>
      <c r="J398">
        <v>0</v>
      </c>
      <c r="K398" t="s">
        <v>312</v>
      </c>
      <c r="L398" s="1">
        <v>2.37599999999999E+16</v>
      </c>
      <c r="M398">
        <v>0</v>
      </c>
      <c r="N398">
        <v>0</v>
      </c>
      <c r="O398" s="1">
        <v>4.21475462035876E+16</v>
      </c>
      <c r="Q398" t="b">
        <v>0</v>
      </c>
    </row>
    <row r="399" spans="1:17" x14ac:dyDescent="0.35">
      <c r="A399" t="s">
        <v>1332</v>
      </c>
      <c r="B399" t="s">
        <v>18</v>
      </c>
      <c r="C399" t="s">
        <v>1333</v>
      </c>
      <c r="D399">
        <v>0</v>
      </c>
      <c r="E399">
        <v>0</v>
      </c>
      <c r="F399" t="s">
        <v>20</v>
      </c>
      <c r="G399">
        <v>0</v>
      </c>
      <c r="H399">
        <v>0</v>
      </c>
      <c r="I399">
        <v>0</v>
      </c>
      <c r="J399">
        <v>0</v>
      </c>
      <c r="K399" s="1">
        <v>2.59999999999999E+16</v>
      </c>
      <c r="L399" t="s">
        <v>1334</v>
      </c>
      <c r="M399">
        <v>0</v>
      </c>
      <c r="N399">
        <v>0</v>
      </c>
      <c r="O399" s="1">
        <v>4214783140246840</v>
      </c>
      <c r="Q399" t="b">
        <v>0</v>
      </c>
    </row>
    <row r="400" spans="1:17" x14ac:dyDescent="0.35">
      <c r="A400" t="s">
        <v>1335</v>
      </c>
      <c r="B400" t="s">
        <v>18</v>
      </c>
      <c r="C400" t="s">
        <v>1336</v>
      </c>
      <c r="D400">
        <v>0</v>
      </c>
      <c r="E400">
        <v>0</v>
      </c>
      <c r="F400" t="s">
        <v>20</v>
      </c>
      <c r="G400">
        <v>0</v>
      </c>
      <c r="H400">
        <v>0</v>
      </c>
      <c r="I400">
        <v>0</v>
      </c>
      <c r="J400">
        <v>0</v>
      </c>
      <c r="K400" s="1">
        <v>2.59999999999999E+16</v>
      </c>
      <c r="L400" t="s">
        <v>1334</v>
      </c>
      <c r="M400">
        <v>0</v>
      </c>
      <c r="N400">
        <v>0</v>
      </c>
      <c r="O400" s="1">
        <v>4214811660134920</v>
      </c>
      <c r="Q400" t="b">
        <v>0</v>
      </c>
    </row>
    <row r="401" spans="1:17" x14ac:dyDescent="0.35">
      <c r="A401" t="s">
        <v>1337</v>
      </c>
      <c r="B401" t="s">
        <v>18</v>
      </c>
      <c r="C401" t="s">
        <v>1338</v>
      </c>
      <c r="D401">
        <v>0</v>
      </c>
      <c r="E401">
        <v>0</v>
      </c>
      <c r="F401" t="s">
        <v>20</v>
      </c>
      <c r="G401">
        <v>0</v>
      </c>
      <c r="H401">
        <v>0</v>
      </c>
      <c r="I401">
        <v>0</v>
      </c>
      <c r="J401">
        <v>0</v>
      </c>
      <c r="K401" s="1">
        <v>2.59999999999999E+16</v>
      </c>
      <c r="L401" t="s">
        <v>1334</v>
      </c>
      <c r="M401">
        <v>0</v>
      </c>
      <c r="N401">
        <v>0</v>
      </c>
      <c r="O401" s="1">
        <v>4214840180023000</v>
      </c>
      <c r="Q401" t="b">
        <v>0</v>
      </c>
    </row>
    <row r="402" spans="1:17" x14ac:dyDescent="0.35">
      <c r="A402" t="s">
        <v>1339</v>
      </c>
      <c r="B402" t="s">
        <v>18</v>
      </c>
      <c r="C402" t="s">
        <v>1340</v>
      </c>
      <c r="D402">
        <v>0</v>
      </c>
      <c r="E402">
        <v>0</v>
      </c>
      <c r="F402" t="s">
        <v>20</v>
      </c>
      <c r="G402">
        <v>0</v>
      </c>
      <c r="H402">
        <v>0</v>
      </c>
      <c r="I402">
        <v>0</v>
      </c>
      <c r="J402">
        <v>0</v>
      </c>
      <c r="K402" s="1">
        <v>2.59999999999999E+16</v>
      </c>
      <c r="L402" t="s">
        <v>1334</v>
      </c>
      <c r="M402">
        <v>0</v>
      </c>
      <c r="N402">
        <v>0</v>
      </c>
      <c r="O402" s="1">
        <v>4214868699911090</v>
      </c>
      <c r="Q402" t="b">
        <v>0</v>
      </c>
    </row>
    <row r="403" spans="1:17" x14ac:dyDescent="0.35">
      <c r="A403" t="s">
        <v>1341</v>
      </c>
      <c r="B403" t="s">
        <v>18</v>
      </c>
      <c r="C403" t="s">
        <v>1342</v>
      </c>
      <c r="D403">
        <v>0</v>
      </c>
      <c r="E403">
        <v>0</v>
      </c>
      <c r="F403" t="s">
        <v>20</v>
      </c>
      <c r="G403">
        <v>0</v>
      </c>
      <c r="H403">
        <v>0</v>
      </c>
      <c r="I403">
        <v>0</v>
      </c>
      <c r="J403">
        <v>0</v>
      </c>
      <c r="K403" t="s">
        <v>671</v>
      </c>
      <c r="L403" s="1">
        <v>1.96199999999999E+16</v>
      </c>
      <c r="M403">
        <v>0</v>
      </c>
      <c r="N403">
        <v>0</v>
      </c>
      <c r="O403" s="1">
        <v>4214897219799170</v>
      </c>
      <c r="Q403" t="b">
        <v>0</v>
      </c>
    </row>
    <row r="404" spans="1:17" x14ac:dyDescent="0.35">
      <c r="A404" t="s">
        <v>1343</v>
      </c>
      <c r="B404" t="s">
        <v>18</v>
      </c>
      <c r="C404" t="s">
        <v>1344</v>
      </c>
      <c r="D404">
        <v>0</v>
      </c>
      <c r="E404">
        <v>0</v>
      </c>
      <c r="F404" t="s">
        <v>20</v>
      </c>
      <c r="G404">
        <v>0</v>
      </c>
      <c r="H404">
        <v>0</v>
      </c>
      <c r="I404">
        <v>0</v>
      </c>
      <c r="J404">
        <v>0</v>
      </c>
      <c r="K404" t="s">
        <v>671</v>
      </c>
      <c r="L404" s="1">
        <v>1.96199999999999E+16</v>
      </c>
      <c r="M404">
        <v>0</v>
      </c>
      <c r="N404">
        <v>0</v>
      </c>
      <c r="O404" s="1">
        <v>4214925739687250</v>
      </c>
      <c r="Q404" t="b">
        <v>0</v>
      </c>
    </row>
    <row r="405" spans="1:17" x14ac:dyDescent="0.35">
      <c r="A405" t="s">
        <v>1345</v>
      </c>
      <c r="B405" t="s">
        <v>18</v>
      </c>
      <c r="C405" t="s">
        <v>1346</v>
      </c>
      <c r="D405">
        <v>0</v>
      </c>
      <c r="E405">
        <v>0</v>
      </c>
      <c r="F405" t="s">
        <v>20</v>
      </c>
      <c r="G405">
        <v>0</v>
      </c>
      <c r="H405">
        <v>0</v>
      </c>
      <c r="I405">
        <v>0</v>
      </c>
      <c r="J405">
        <v>0</v>
      </c>
      <c r="K405" t="s">
        <v>671</v>
      </c>
      <c r="L405" s="1">
        <v>1.96199999999999E+16</v>
      </c>
      <c r="M405">
        <v>0</v>
      </c>
      <c r="N405">
        <v>0</v>
      </c>
      <c r="O405" s="1">
        <v>4214954259575330</v>
      </c>
      <c r="Q405" t="b">
        <v>0</v>
      </c>
    </row>
    <row r="406" spans="1:17" x14ac:dyDescent="0.35">
      <c r="A406" t="s">
        <v>1347</v>
      </c>
      <c r="B406" t="s">
        <v>18</v>
      </c>
      <c r="C406" t="s">
        <v>1348</v>
      </c>
      <c r="D406">
        <v>0</v>
      </c>
      <c r="E406">
        <v>0</v>
      </c>
      <c r="F406" t="s">
        <v>20</v>
      </c>
      <c r="G406">
        <v>0</v>
      </c>
      <c r="H406">
        <v>0</v>
      </c>
      <c r="I406">
        <v>0</v>
      </c>
      <c r="J406">
        <v>0</v>
      </c>
      <c r="K406" t="s">
        <v>671</v>
      </c>
      <c r="L406" s="1">
        <v>1.96199999999999E+16</v>
      </c>
      <c r="M406">
        <v>0</v>
      </c>
      <c r="N406">
        <v>0</v>
      </c>
      <c r="O406" s="1">
        <v>4.2149827794634096E+16</v>
      </c>
      <c r="Q406" t="b">
        <v>0</v>
      </c>
    </row>
    <row r="407" spans="1:17" x14ac:dyDescent="0.35">
      <c r="A407" t="s">
        <v>1349</v>
      </c>
      <c r="B407" t="s">
        <v>18</v>
      </c>
      <c r="C407" t="s">
        <v>1350</v>
      </c>
      <c r="D407">
        <v>0</v>
      </c>
      <c r="E407">
        <v>0</v>
      </c>
      <c r="F407" t="s">
        <v>20</v>
      </c>
      <c r="G407">
        <v>0</v>
      </c>
      <c r="H407">
        <v>0</v>
      </c>
      <c r="I407">
        <v>0</v>
      </c>
      <c r="J407">
        <v>0</v>
      </c>
      <c r="K407" t="s">
        <v>663</v>
      </c>
      <c r="L407" t="s">
        <v>1103</v>
      </c>
      <c r="M407">
        <v>0</v>
      </c>
      <c r="N407">
        <v>0</v>
      </c>
      <c r="O407" s="1">
        <v>4215011299351490</v>
      </c>
      <c r="Q407" t="b">
        <v>0</v>
      </c>
    </row>
    <row r="408" spans="1:17" x14ac:dyDescent="0.35">
      <c r="A408" t="s">
        <v>1351</v>
      </c>
      <c r="B408" t="s">
        <v>18</v>
      </c>
      <c r="C408" t="s">
        <v>1352</v>
      </c>
      <c r="D408">
        <v>0</v>
      </c>
      <c r="E408">
        <v>0</v>
      </c>
      <c r="F408" t="s">
        <v>20</v>
      </c>
      <c r="G408">
        <v>0</v>
      </c>
      <c r="H408">
        <v>0</v>
      </c>
      <c r="I408">
        <v>0</v>
      </c>
      <c r="J408">
        <v>0</v>
      </c>
      <c r="K408" t="s">
        <v>663</v>
      </c>
      <c r="L408" t="s">
        <v>1103</v>
      </c>
      <c r="M408">
        <v>0</v>
      </c>
      <c r="N408">
        <v>0</v>
      </c>
      <c r="O408" s="1">
        <v>421503981923958</v>
      </c>
      <c r="Q408" t="b">
        <v>0</v>
      </c>
    </row>
    <row r="409" spans="1:17" x14ac:dyDescent="0.35">
      <c r="A409" t="s">
        <v>1353</v>
      </c>
      <c r="B409" t="s">
        <v>18</v>
      </c>
      <c r="C409" t="s">
        <v>1354</v>
      </c>
      <c r="D409">
        <v>0</v>
      </c>
      <c r="E409">
        <v>0</v>
      </c>
      <c r="F409" t="s">
        <v>20</v>
      </c>
      <c r="G409">
        <v>0</v>
      </c>
      <c r="H409">
        <v>0</v>
      </c>
      <c r="I409">
        <v>0</v>
      </c>
      <c r="J409">
        <v>0</v>
      </c>
      <c r="K409" t="s">
        <v>663</v>
      </c>
      <c r="L409" t="s">
        <v>1103</v>
      </c>
      <c r="M409">
        <v>0</v>
      </c>
      <c r="N409">
        <v>0</v>
      </c>
      <c r="O409" s="1">
        <v>4.21506833912766E+16</v>
      </c>
      <c r="Q409" t="b">
        <v>0</v>
      </c>
    </row>
    <row r="410" spans="1:17" x14ac:dyDescent="0.35">
      <c r="A410" t="s">
        <v>1355</v>
      </c>
      <c r="B410" t="s">
        <v>18</v>
      </c>
      <c r="C410" t="s">
        <v>1356</v>
      </c>
      <c r="D410">
        <v>0</v>
      </c>
      <c r="E410">
        <v>0</v>
      </c>
      <c r="F410" t="s">
        <v>20</v>
      </c>
      <c r="G410">
        <v>0</v>
      </c>
      <c r="H410">
        <v>0</v>
      </c>
      <c r="I410">
        <v>0</v>
      </c>
      <c r="J410">
        <v>0</v>
      </c>
      <c r="K410" t="s">
        <v>663</v>
      </c>
      <c r="L410" t="s">
        <v>1103</v>
      </c>
      <c r="M410">
        <v>0</v>
      </c>
      <c r="N410">
        <v>0</v>
      </c>
      <c r="O410" s="1">
        <v>4215096859015740</v>
      </c>
      <c r="Q410" t="b">
        <v>0</v>
      </c>
    </row>
    <row r="411" spans="1:17" x14ac:dyDescent="0.35">
      <c r="A411" t="s">
        <v>1357</v>
      </c>
      <c r="B411" t="s">
        <v>18</v>
      </c>
      <c r="C411" t="s">
        <v>1358</v>
      </c>
      <c r="D411">
        <v>0</v>
      </c>
      <c r="E411">
        <v>0</v>
      </c>
      <c r="F411" t="s">
        <v>20</v>
      </c>
      <c r="G411">
        <v>0</v>
      </c>
      <c r="H411">
        <v>0</v>
      </c>
      <c r="I411">
        <v>0</v>
      </c>
      <c r="J411">
        <v>0</v>
      </c>
      <c r="K411" t="s">
        <v>1359</v>
      </c>
      <c r="L411" s="1">
        <v>1.512E+16</v>
      </c>
      <c r="M411">
        <v>0</v>
      </c>
      <c r="N411">
        <v>0</v>
      </c>
      <c r="O411" s="1">
        <v>4215125378903820</v>
      </c>
      <c r="Q411" t="b">
        <v>0</v>
      </c>
    </row>
    <row r="412" spans="1:17" x14ac:dyDescent="0.35">
      <c r="A412" t="s">
        <v>1360</v>
      </c>
      <c r="B412" t="s">
        <v>18</v>
      </c>
      <c r="C412" t="s">
        <v>1361</v>
      </c>
      <c r="D412">
        <v>0</v>
      </c>
      <c r="E412">
        <v>0</v>
      </c>
      <c r="F412" t="s">
        <v>20</v>
      </c>
      <c r="G412">
        <v>0</v>
      </c>
      <c r="H412">
        <v>0</v>
      </c>
      <c r="I412">
        <v>0</v>
      </c>
      <c r="J412">
        <v>0</v>
      </c>
      <c r="K412" t="s">
        <v>1359</v>
      </c>
      <c r="L412" s="1">
        <v>1.512E+16</v>
      </c>
      <c r="M412">
        <v>0</v>
      </c>
      <c r="N412">
        <v>0</v>
      </c>
      <c r="O412" s="1">
        <v>4215153898791900</v>
      </c>
      <c r="Q412" t="b">
        <v>0</v>
      </c>
    </row>
    <row r="413" spans="1:17" x14ac:dyDescent="0.35">
      <c r="A413" t="s">
        <v>1362</v>
      </c>
      <c r="B413" t="s">
        <v>18</v>
      </c>
      <c r="C413" t="s">
        <v>1363</v>
      </c>
      <c r="D413">
        <v>0</v>
      </c>
      <c r="E413">
        <v>0</v>
      </c>
      <c r="F413" t="s">
        <v>20</v>
      </c>
      <c r="G413">
        <v>0</v>
      </c>
      <c r="H413">
        <v>0</v>
      </c>
      <c r="I413">
        <v>0</v>
      </c>
      <c r="J413">
        <v>0</v>
      </c>
      <c r="K413" t="s">
        <v>1359</v>
      </c>
      <c r="L413" s="1">
        <v>1.512E+16</v>
      </c>
      <c r="M413">
        <v>0</v>
      </c>
      <c r="N413">
        <v>0</v>
      </c>
      <c r="O413" s="1">
        <v>4215182418679980</v>
      </c>
      <c r="Q413" t="b">
        <v>0</v>
      </c>
    </row>
    <row r="414" spans="1:17" x14ac:dyDescent="0.35">
      <c r="A414" t="s">
        <v>1364</v>
      </c>
      <c r="B414" t="s">
        <v>18</v>
      </c>
      <c r="C414" t="s">
        <v>1365</v>
      </c>
      <c r="D414">
        <v>0</v>
      </c>
      <c r="E414">
        <v>0</v>
      </c>
      <c r="F414" t="s">
        <v>20</v>
      </c>
      <c r="G414">
        <v>0</v>
      </c>
      <c r="H414">
        <v>0</v>
      </c>
      <c r="I414">
        <v>0</v>
      </c>
      <c r="J414">
        <v>0</v>
      </c>
      <c r="K414" t="s">
        <v>1359</v>
      </c>
      <c r="L414" s="1">
        <v>1.512E+16</v>
      </c>
      <c r="M414">
        <v>0</v>
      </c>
      <c r="N414">
        <v>0</v>
      </c>
      <c r="O414" s="1">
        <v>4215210938568060</v>
      </c>
      <c r="Q414" t="b">
        <v>0</v>
      </c>
    </row>
    <row r="415" spans="1:17" x14ac:dyDescent="0.35">
      <c r="A415" t="s">
        <v>1366</v>
      </c>
      <c r="B415" t="s">
        <v>18</v>
      </c>
      <c r="C415" t="s">
        <v>1367</v>
      </c>
      <c r="D415">
        <v>0</v>
      </c>
      <c r="E415">
        <v>0</v>
      </c>
      <c r="F415" t="s">
        <v>20</v>
      </c>
      <c r="G415">
        <v>0</v>
      </c>
      <c r="H415">
        <v>0</v>
      </c>
      <c r="I415">
        <v>0</v>
      </c>
      <c r="J415">
        <v>0</v>
      </c>
      <c r="K415" t="s">
        <v>380</v>
      </c>
      <c r="L415" t="s">
        <v>41</v>
      </c>
      <c r="M415">
        <v>0</v>
      </c>
      <c r="N415">
        <v>0</v>
      </c>
      <c r="O415" s="1">
        <v>4215239458456150</v>
      </c>
      <c r="Q415" t="b">
        <v>0</v>
      </c>
    </row>
    <row r="416" spans="1:17" x14ac:dyDescent="0.35">
      <c r="A416" t="s">
        <v>1368</v>
      </c>
      <c r="B416" t="s">
        <v>18</v>
      </c>
      <c r="C416" t="s">
        <v>1369</v>
      </c>
      <c r="D416">
        <v>0</v>
      </c>
      <c r="E416">
        <v>0</v>
      </c>
      <c r="F416" t="s">
        <v>20</v>
      </c>
      <c r="G416">
        <v>0</v>
      </c>
      <c r="H416">
        <v>0</v>
      </c>
      <c r="I416">
        <v>0</v>
      </c>
      <c r="J416">
        <v>0</v>
      </c>
      <c r="K416" t="s">
        <v>380</v>
      </c>
      <c r="L416" t="s">
        <v>41</v>
      </c>
      <c r="M416">
        <v>0</v>
      </c>
      <c r="N416">
        <v>0</v>
      </c>
      <c r="O416" s="1">
        <v>4215267978344230</v>
      </c>
      <c r="Q416" t="b">
        <v>0</v>
      </c>
    </row>
    <row r="417" spans="1:17" x14ac:dyDescent="0.35">
      <c r="A417" t="s">
        <v>1370</v>
      </c>
      <c r="B417" t="s">
        <v>18</v>
      </c>
      <c r="C417" t="s">
        <v>1371</v>
      </c>
      <c r="D417">
        <v>0</v>
      </c>
      <c r="E417">
        <v>0</v>
      </c>
      <c r="F417" t="s">
        <v>20</v>
      </c>
      <c r="G417">
        <v>0</v>
      </c>
      <c r="H417">
        <v>0</v>
      </c>
      <c r="I417">
        <v>0</v>
      </c>
      <c r="J417">
        <v>0</v>
      </c>
      <c r="K417" t="s">
        <v>380</v>
      </c>
      <c r="L417" t="s">
        <v>41</v>
      </c>
      <c r="M417">
        <v>0</v>
      </c>
      <c r="N417">
        <v>0</v>
      </c>
      <c r="O417" s="1">
        <v>4.2152964982323104E+16</v>
      </c>
      <c r="Q417" t="b">
        <v>0</v>
      </c>
    </row>
    <row r="418" spans="1:17" x14ac:dyDescent="0.35">
      <c r="A418" t="s">
        <v>1372</v>
      </c>
      <c r="B418" t="s">
        <v>18</v>
      </c>
      <c r="C418" t="s">
        <v>1373</v>
      </c>
      <c r="D418">
        <v>0</v>
      </c>
      <c r="E418">
        <v>0</v>
      </c>
      <c r="F418" t="s">
        <v>20</v>
      </c>
      <c r="G418">
        <v>0</v>
      </c>
      <c r="H418">
        <v>0</v>
      </c>
      <c r="I418">
        <v>0</v>
      </c>
      <c r="J418">
        <v>0</v>
      </c>
      <c r="K418" t="s">
        <v>380</v>
      </c>
      <c r="L418" t="s">
        <v>41</v>
      </c>
      <c r="M418">
        <v>0</v>
      </c>
      <c r="N418">
        <v>0</v>
      </c>
      <c r="O418" s="1">
        <v>4215325018120390</v>
      </c>
      <c r="Q418" t="b">
        <v>0</v>
      </c>
    </row>
    <row r="419" spans="1:17" x14ac:dyDescent="0.35">
      <c r="A419" t="s">
        <v>1374</v>
      </c>
      <c r="B419" t="s">
        <v>18</v>
      </c>
      <c r="C419" t="s">
        <v>1375</v>
      </c>
      <c r="D419">
        <v>0</v>
      </c>
      <c r="E419">
        <v>0</v>
      </c>
      <c r="F419" t="s">
        <v>20</v>
      </c>
      <c r="G419">
        <v>0</v>
      </c>
      <c r="H419">
        <v>0</v>
      </c>
      <c r="I419">
        <v>0</v>
      </c>
      <c r="J419">
        <v>0</v>
      </c>
      <c r="K419" s="1">
        <v>2.09999999999999E+16</v>
      </c>
      <c r="L419" s="1">
        <v>9540000000000000</v>
      </c>
      <c r="M419">
        <v>0</v>
      </c>
      <c r="N419">
        <v>0</v>
      </c>
      <c r="O419" s="1">
        <v>4215353538008470</v>
      </c>
      <c r="Q419" t="b">
        <v>0</v>
      </c>
    </row>
    <row r="420" spans="1:17" x14ac:dyDescent="0.35">
      <c r="A420" t="s">
        <v>1376</v>
      </c>
      <c r="B420" t="s">
        <v>18</v>
      </c>
      <c r="C420" t="s">
        <v>1377</v>
      </c>
      <c r="D420">
        <v>0</v>
      </c>
      <c r="E420">
        <v>0</v>
      </c>
      <c r="F420" t="s">
        <v>20</v>
      </c>
      <c r="G420">
        <v>0</v>
      </c>
      <c r="H420">
        <v>0</v>
      </c>
      <c r="I420">
        <v>0</v>
      </c>
      <c r="J420">
        <v>0</v>
      </c>
      <c r="K420" s="1">
        <v>2.09999999999999E+16</v>
      </c>
      <c r="L420" s="1">
        <v>9540000000000000</v>
      </c>
      <c r="M420">
        <v>0</v>
      </c>
      <c r="N420">
        <v>0</v>
      </c>
      <c r="O420" s="1">
        <v>4215382057896550</v>
      </c>
      <c r="Q420" t="b">
        <v>0</v>
      </c>
    </row>
    <row r="421" spans="1:17" x14ac:dyDescent="0.35">
      <c r="A421" t="s">
        <v>1378</v>
      </c>
      <c r="B421" t="s">
        <v>18</v>
      </c>
      <c r="C421" t="s">
        <v>1379</v>
      </c>
      <c r="D421">
        <v>0</v>
      </c>
      <c r="E421">
        <v>0</v>
      </c>
      <c r="F421" t="s">
        <v>20</v>
      </c>
      <c r="G421">
        <v>0</v>
      </c>
      <c r="H421">
        <v>0</v>
      </c>
      <c r="I421">
        <v>0</v>
      </c>
      <c r="J421">
        <v>0</v>
      </c>
      <c r="K421" s="1">
        <v>2.09999999999999E+16</v>
      </c>
      <c r="L421" s="1">
        <v>9540000000000000</v>
      </c>
      <c r="M421">
        <v>0</v>
      </c>
      <c r="N421">
        <v>0</v>
      </c>
      <c r="O421" s="1">
        <v>4215410577784640</v>
      </c>
      <c r="Q421" t="b">
        <v>0</v>
      </c>
    </row>
    <row r="422" spans="1:17" x14ac:dyDescent="0.35">
      <c r="A422" t="s">
        <v>1380</v>
      </c>
      <c r="B422" t="s">
        <v>18</v>
      </c>
      <c r="C422" t="s">
        <v>1381</v>
      </c>
      <c r="D422">
        <v>0</v>
      </c>
      <c r="E422">
        <v>0</v>
      </c>
      <c r="F422" t="s">
        <v>20</v>
      </c>
      <c r="G422">
        <v>0</v>
      </c>
      <c r="H422">
        <v>0</v>
      </c>
      <c r="I422">
        <v>0</v>
      </c>
      <c r="J422">
        <v>0</v>
      </c>
      <c r="K422" s="1">
        <v>2.09999999999999E+16</v>
      </c>
      <c r="L422" s="1">
        <v>9540000000000000</v>
      </c>
      <c r="M422">
        <v>0</v>
      </c>
      <c r="N422">
        <v>0</v>
      </c>
      <c r="O422" s="1">
        <v>4215439097672720</v>
      </c>
      <c r="Q422" t="b">
        <v>0</v>
      </c>
    </row>
    <row r="423" spans="1:17" x14ac:dyDescent="0.35">
      <c r="A423" t="s">
        <v>1382</v>
      </c>
      <c r="B423" t="s">
        <v>18</v>
      </c>
      <c r="C423" t="s">
        <v>1383</v>
      </c>
      <c r="D423">
        <v>0</v>
      </c>
      <c r="E423">
        <v>0</v>
      </c>
      <c r="F423" t="s">
        <v>20</v>
      </c>
      <c r="G423">
        <v>0</v>
      </c>
      <c r="H423">
        <v>0</v>
      </c>
      <c r="I423">
        <v>0</v>
      </c>
      <c r="J423">
        <v>0</v>
      </c>
      <c r="K423" t="s">
        <v>383</v>
      </c>
      <c r="L423" t="s">
        <v>82</v>
      </c>
      <c r="M423">
        <v>0</v>
      </c>
      <c r="N423">
        <v>0</v>
      </c>
      <c r="O423" s="1">
        <v>4215467617560800</v>
      </c>
      <c r="Q423" t="b">
        <v>0</v>
      </c>
    </row>
    <row r="424" spans="1:17" x14ac:dyDescent="0.35">
      <c r="A424" t="s">
        <v>1384</v>
      </c>
      <c r="B424" t="s">
        <v>18</v>
      </c>
      <c r="C424" t="s">
        <v>1385</v>
      </c>
      <c r="D424">
        <v>0</v>
      </c>
      <c r="E424">
        <v>0</v>
      </c>
      <c r="F424" t="s">
        <v>20</v>
      </c>
      <c r="G424">
        <v>0</v>
      </c>
      <c r="H424">
        <v>0</v>
      </c>
      <c r="I424">
        <v>0</v>
      </c>
      <c r="J424">
        <v>0</v>
      </c>
      <c r="K424" t="s">
        <v>383</v>
      </c>
      <c r="L424" t="s">
        <v>82</v>
      </c>
      <c r="M424">
        <v>0</v>
      </c>
      <c r="N424">
        <v>0</v>
      </c>
      <c r="O424" s="1">
        <v>4215496137448880</v>
      </c>
      <c r="Q424" t="b">
        <v>0</v>
      </c>
    </row>
    <row r="425" spans="1:17" x14ac:dyDescent="0.35">
      <c r="A425" t="s">
        <v>1386</v>
      </c>
      <c r="B425" t="s">
        <v>18</v>
      </c>
      <c r="C425" t="s">
        <v>1387</v>
      </c>
      <c r="D425">
        <v>0</v>
      </c>
      <c r="E425">
        <v>0</v>
      </c>
      <c r="F425" t="s">
        <v>20</v>
      </c>
      <c r="G425">
        <v>0</v>
      </c>
      <c r="H425">
        <v>0</v>
      </c>
      <c r="I425">
        <v>0</v>
      </c>
      <c r="J425">
        <v>0</v>
      </c>
      <c r="K425" t="s">
        <v>383</v>
      </c>
      <c r="L425" t="s">
        <v>82</v>
      </c>
      <c r="M425">
        <v>0</v>
      </c>
      <c r="N425">
        <v>0</v>
      </c>
      <c r="O425" s="1">
        <v>4.21552465733696E+16</v>
      </c>
      <c r="Q425" t="b">
        <v>0</v>
      </c>
    </row>
    <row r="426" spans="1:17" x14ac:dyDescent="0.35">
      <c r="A426" t="s">
        <v>1388</v>
      </c>
      <c r="B426" t="s">
        <v>18</v>
      </c>
      <c r="C426" t="s">
        <v>1389</v>
      </c>
      <c r="D426">
        <v>0</v>
      </c>
      <c r="E426">
        <v>0</v>
      </c>
      <c r="F426" t="s">
        <v>20</v>
      </c>
      <c r="G426">
        <v>0</v>
      </c>
      <c r="H426">
        <v>0</v>
      </c>
      <c r="I426">
        <v>0</v>
      </c>
      <c r="J426">
        <v>0</v>
      </c>
      <c r="K426" t="s">
        <v>383</v>
      </c>
      <c r="L426" t="s">
        <v>82</v>
      </c>
      <c r="M426">
        <v>0</v>
      </c>
      <c r="N426">
        <v>0</v>
      </c>
      <c r="O426" s="1">
        <v>4215553177225040</v>
      </c>
      <c r="Q426" t="b">
        <v>0</v>
      </c>
    </row>
    <row r="427" spans="1:17" x14ac:dyDescent="0.35">
      <c r="A427" t="s">
        <v>1390</v>
      </c>
      <c r="B427" t="s">
        <v>18</v>
      </c>
      <c r="C427" t="s">
        <v>1391</v>
      </c>
      <c r="D427">
        <v>0</v>
      </c>
      <c r="E427">
        <v>0</v>
      </c>
      <c r="F427" t="s">
        <v>20</v>
      </c>
      <c r="G427">
        <v>0</v>
      </c>
      <c r="H427">
        <v>0</v>
      </c>
      <c r="I427">
        <v>0</v>
      </c>
      <c r="J427">
        <v>0</v>
      </c>
      <c r="K427">
        <v>2</v>
      </c>
      <c r="L427" s="1">
        <v>3.96E+16</v>
      </c>
      <c r="M427">
        <v>0</v>
      </c>
      <c r="N427">
        <v>0</v>
      </c>
      <c r="O427" s="1">
        <v>421558169711313</v>
      </c>
      <c r="Q427" t="b">
        <v>0</v>
      </c>
    </row>
    <row r="428" spans="1:17" x14ac:dyDescent="0.35">
      <c r="A428" t="s">
        <v>1392</v>
      </c>
      <c r="B428" t="s">
        <v>18</v>
      </c>
      <c r="C428" t="s">
        <v>1393</v>
      </c>
      <c r="D428">
        <v>0</v>
      </c>
      <c r="E428">
        <v>0</v>
      </c>
      <c r="F428" t="s">
        <v>20</v>
      </c>
      <c r="G428">
        <v>0</v>
      </c>
      <c r="H428">
        <v>0</v>
      </c>
      <c r="I428">
        <v>0</v>
      </c>
      <c r="J428">
        <v>0</v>
      </c>
      <c r="K428">
        <v>2</v>
      </c>
      <c r="L428" s="1">
        <v>3.96E+16</v>
      </c>
      <c r="M428">
        <v>0</v>
      </c>
      <c r="N428">
        <v>0</v>
      </c>
      <c r="O428" s="1">
        <v>4.2156102170012096E+16</v>
      </c>
      <c r="Q428" t="b">
        <v>0</v>
      </c>
    </row>
    <row r="429" spans="1:17" x14ac:dyDescent="0.35">
      <c r="A429" t="s">
        <v>1394</v>
      </c>
      <c r="B429" t="s">
        <v>18</v>
      </c>
      <c r="C429" t="s">
        <v>1395</v>
      </c>
      <c r="D429">
        <v>0</v>
      </c>
      <c r="E429">
        <v>0</v>
      </c>
      <c r="F429" t="s">
        <v>20</v>
      </c>
      <c r="G429">
        <v>0</v>
      </c>
      <c r="H429">
        <v>0</v>
      </c>
      <c r="I429">
        <v>0</v>
      </c>
      <c r="J429">
        <v>0</v>
      </c>
      <c r="K429">
        <v>2</v>
      </c>
      <c r="L429" s="1">
        <v>3.96E+16</v>
      </c>
      <c r="M429">
        <v>0</v>
      </c>
      <c r="N429">
        <v>0</v>
      </c>
      <c r="O429" s="1">
        <v>4215638736889290</v>
      </c>
      <c r="Q429" t="b">
        <v>0</v>
      </c>
    </row>
    <row r="430" spans="1:17" x14ac:dyDescent="0.35">
      <c r="A430" t="s">
        <v>1396</v>
      </c>
      <c r="B430" t="s">
        <v>18</v>
      </c>
      <c r="C430" t="s">
        <v>1397</v>
      </c>
      <c r="D430">
        <v>0</v>
      </c>
      <c r="E430">
        <v>0</v>
      </c>
      <c r="F430" t="s">
        <v>20</v>
      </c>
      <c r="G430">
        <v>0</v>
      </c>
      <c r="H430">
        <v>0</v>
      </c>
      <c r="I430">
        <v>0</v>
      </c>
      <c r="J430">
        <v>0</v>
      </c>
      <c r="K430">
        <v>2</v>
      </c>
      <c r="L430" s="1">
        <v>3.96E+16</v>
      </c>
      <c r="M430">
        <v>0</v>
      </c>
      <c r="N430">
        <v>0</v>
      </c>
      <c r="O430" s="1">
        <v>4215667256777370</v>
      </c>
      <c r="Q430" t="b">
        <v>0</v>
      </c>
    </row>
    <row r="431" spans="1:17" x14ac:dyDescent="0.35">
      <c r="A431" t="s">
        <v>1398</v>
      </c>
      <c r="B431" t="s">
        <v>18</v>
      </c>
      <c r="C431" t="s">
        <v>1399</v>
      </c>
      <c r="D431">
        <v>0</v>
      </c>
      <c r="E431">
        <v>0</v>
      </c>
      <c r="F431" t="s">
        <v>20</v>
      </c>
      <c r="G431">
        <v>0</v>
      </c>
      <c r="H431">
        <v>0</v>
      </c>
      <c r="I431">
        <v>0</v>
      </c>
      <c r="J431">
        <v>0</v>
      </c>
      <c r="K431" t="s">
        <v>383</v>
      </c>
      <c r="L431" s="1">
        <v>2.88E+16</v>
      </c>
      <c r="M431">
        <v>0</v>
      </c>
      <c r="N431">
        <v>0</v>
      </c>
      <c r="O431" s="1">
        <v>4215695776665450</v>
      </c>
      <c r="Q431" t="b">
        <v>0</v>
      </c>
    </row>
    <row r="432" spans="1:17" x14ac:dyDescent="0.35">
      <c r="A432" t="s">
        <v>1400</v>
      </c>
      <c r="B432" t="s">
        <v>18</v>
      </c>
      <c r="C432" t="s">
        <v>1401</v>
      </c>
      <c r="D432">
        <v>0</v>
      </c>
      <c r="E432">
        <v>0</v>
      </c>
      <c r="F432" t="s">
        <v>20</v>
      </c>
      <c r="G432">
        <v>0</v>
      </c>
      <c r="H432">
        <v>0</v>
      </c>
      <c r="I432">
        <v>0</v>
      </c>
      <c r="J432">
        <v>0</v>
      </c>
      <c r="K432" t="s">
        <v>383</v>
      </c>
      <c r="L432" s="1">
        <v>2.88E+16</v>
      </c>
      <c r="M432">
        <v>0</v>
      </c>
      <c r="N432">
        <v>0</v>
      </c>
      <c r="O432" s="1">
        <v>4215724296553530</v>
      </c>
      <c r="Q432" t="b">
        <v>0</v>
      </c>
    </row>
    <row r="433" spans="1:17" x14ac:dyDescent="0.35">
      <c r="A433" t="s">
        <v>1402</v>
      </c>
      <c r="B433" t="s">
        <v>18</v>
      </c>
      <c r="C433" t="s">
        <v>1403</v>
      </c>
      <c r="D433">
        <v>0</v>
      </c>
      <c r="E433">
        <v>0</v>
      </c>
      <c r="F433" t="s">
        <v>20</v>
      </c>
      <c r="G433">
        <v>0</v>
      </c>
      <c r="H433">
        <v>0</v>
      </c>
      <c r="I433">
        <v>0</v>
      </c>
      <c r="J433">
        <v>0</v>
      </c>
      <c r="K433" t="s">
        <v>383</v>
      </c>
      <c r="L433" s="1">
        <v>2.88E+16</v>
      </c>
      <c r="M433">
        <v>0</v>
      </c>
      <c r="N433">
        <v>0</v>
      </c>
      <c r="O433" s="1">
        <v>4215752816441610</v>
      </c>
      <c r="Q433" t="b">
        <v>0</v>
      </c>
    </row>
    <row r="434" spans="1:17" x14ac:dyDescent="0.35">
      <c r="A434" t="s">
        <v>1404</v>
      </c>
      <c r="B434" t="s">
        <v>18</v>
      </c>
      <c r="C434" t="s">
        <v>1405</v>
      </c>
      <c r="D434">
        <v>0</v>
      </c>
      <c r="E434">
        <v>0</v>
      </c>
      <c r="F434" t="s">
        <v>20</v>
      </c>
      <c r="G434">
        <v>0</v>
      </c>
      <c r="H434">
        <v>0</v>
      </c>
      <c r="I434">
        <v>0</v>
      </c>
      <c r="J434">
        <v>0</v>
      </c>
      <c r="K434" t="s">
        <v>383</v>
      </c>
      <c r="L434" s="1">
        <v>2.88E+16</v>
      </c>
      <c r="M434">
        <v>0</v>
      </c>
      <c r="N434">
        <v>0</v>
      </c>
      <c r="O434" s="1">
        <v>4215781336329700</v>
      </c>
      <c r="Q434" t="b">
        <v>0</v>
      </c>
    </row>
    <row r="435" spans="1:17" x14ac:dyDescent="0.35">
      <c r="A435" t="s">
        <v>1406</v>
      </c>
      <c r="B435" t="s">
        <v>18</v>
      </c>
      <c r="C435" t="s">
        <v>1407</v>
      </c>
      <c r="D435">
        <v>0</v>
      </c>
      <c r="E435">
        <v>0</v>
      </c>
      <c r="F435" t="s">
        <v>20</v>
      </c>
      <c r="G435">
        <v>0</v>
      </c>
      <c r="H435">
        <v>0</v>
      </c>
      <c r="I435">
        <v>0</v>
      </c>
      <c r="J435">
        <v>0</v>
      </c>
      <c r="K435" t="s">
        <v>1359</v>
      </c>
      <c r="L435" t="s">
        <v>1028</v>
      </c>
      <c r="M435">
        <v>0</v>
      </c>
      <c r="N435">
        <v>0</v>
      </c>
      <c r="O435" s="1">
        <v>4215809856217780</v>
      </c>
      <c r="Q435" t="b">
        <v>0</v>
      </c>
    </row>
    <row r="436" spans="1:17" x14ac:dyDescent="0.35">
      <c r="A436" t="s">
        <v>1408</v>
      </c>
      <c r="B436" t="s">
        <v>18</v>
      </c>
      <c r="C436" t="s">
        <v>1409</v>
      </c>
      <c r="D436">
        <v>0</v>
      </c>
      <c r="E436">
        <v>0</v>
      </c>
      <c r="F436" t="s">
        <v>20</v>
      </c>
      <c r="G436">
        <v>0</v>
      </c>
      <c r="H436">
        <v>0</v>
      </c>
      <c r="I436">
        <v>0</v>
      </c>
      <c r="J436">
        <v>0</v>
      </c>
      <c r="K436" t="s">
        <v>1359</v>
      </c>
      <c r="L436" t="s">
        <v>1028</v>
      </c>
      <c r="M436">
        <v>0</v>
      </c>
      <c r="N436">
        <v>0</v>
      </c>
      <c r="O436" s="1">
        <v>4215838376105860</v>
      </c>
      <c r="Q436" t="b">
        <v>0</v>
      </c>
    </row>
    <row r="437" spans="1:17" x14ac:dyDescent="0.35">
      <c r="A437" t="s">
        <v>1410</v>
      </c>
      <c r="B437" t="s">
        <v>18</v>
      </c>
      <c r="C437" t="s">
        <v>1411</v>
      </c>
      <c r="D437">
        <v>0</v>
      </c>
      <c r="E437">
        <v>0</v>
      </c>
      <c r="F437" t="s">
        <v>20</v>
      </c>
      <c r="G437" t="s">
        <v>1412</v>
      </c>
      <c r="H437">
        <v>0</v>
      </c>
      <c r="I437">
        <v>0</v>
      </c>
      <c r="J437">
        <v>0</v>
      </c>
      <c r="K437" t="s">
        <v>1359</v>
      </c>
      <c r="L437" t="s">
        <v>1028</v>
      </c>
      <c r="M437">
        <v>0</v>
      </c>
      <c r="N437">
        <v>0</v>
      </c>
      <c r="O437" s="1">
        <v>4215866895993940</v>
      </c>
      <c r="Q437" t="b">
        <v>0</v>
      </c>
    </row>
    <row r="438" spans="1:17" x14ac:dyDescent="0.35">
      <c r="A438" t="s">
        <v>1413</v>
      </c>
      <c r="B438" t="s">
        <v>18</v>
      </c>
      <c r="C438" t="s">
        <v>1414</v>
      </c>
      <c r="D438">
        <v>0</v>
      </c>
      <c r="E438" t="s">
        <v>1415</v>
      </c>
      <c r="F438" t="s">
        <v>20</v>
      </c>
      <c r="G438" t="s">
        <v>1416</v>
      </c>
      <c r="H438">
        <v>0</v>
      </c>
      <c r="I438">
        <v>0</v>
      </c>
      <c r="J438">
        <v>0</v>
      </c>
      <c r="K438" t="s">
        <v>1359</v>
      </c>
      <c r="L438" t="s">
        <v>1028</v>
      </c>
      <c r="M438">
        <v>0</v>
      </c>
      <c r="N438">
        <v>0</v>
      </c>
      <c r="O438" s="1">
        <v>4215895415882020</v>
      </c>
      <c r="Q438" t="b">
        <v>0</v>
      </c>
    </row>
    <row r="439" spans="1:17" x14ac:dyDescent="0.35">
      <c r="A439" t="s">
        <v>1417</v>
      </c>
      <c r="B439" t="s">
        <v>18</v>
      </c>
      <c r="C439" t="s">
        <v>1418</v>
      </c>
      <c r="D439">
        <v>0</v>
      </c>
      <c r="E439" t="s">
        <v>1419</v>
      </c>
      <c r="F439" t="s">
        <v>20</v>
      </c>
      <c r="G439" t="s">
        <v>1420</v>
      </c>
      <c r="H439" t="s">
        <v>1421</v>
      </c>
      <c r="I439">
        <v>0</v>
      </c>
      <c r="J439">
        <v>23</v>
      </c>
      <c r="K439" t="s">
        <v>1422</v>
      </c>
      <c r="L439" t="s">
        <v>1423</v>
      </c>
      <c r="M439">
        <v>0</v>
      </c>
      <c r="N439">
        <v>0</v>
      </c>
      <c r="O439" s="1">
        <v>4215923935770100</v>
      </c>
      <c r="Q439" t="b">
        <v>0</v>
      </c>
    </row>
    <row r="440" spans="1:17" x14ac:dyDescent="0.35">
      <c r="A440" t="s">
        <v>1424</v>
      </c>
      <c r="B440" t="s">
        <v>18</v>
      </c>
      <c r="C440" t="s">
        <v>1425</v>
      </c>
      <c r="D440">
        <v>0</v>
      </c>
      <c r="E440" t="s">
        <v>1426</v>
      </c>
      <c r="F440" t="s">
        <v>20</v>
      </c>
      <c r="G440" t="s">
        <v>1427</v>
      </c>
      <c r="H440" t="s">
        <v>1421</v>
      </c>
      <c r="I440">
        <v>0</v>
      </c>
      <c r="J440">
        <v>23</v>
      </c>
      <c r="K440" t="s">
        <v>1422</v>
      </c>
      <c r="L440" t="s">
        <v>1423</v>
      </c>
      <c r="M440">
        <v>0</v>
      </c>
      <c r="N440">
        <v>0</v>
      </c>
      <c r="O440" s="1">
        <v>421595245565819</v>
      </c>
      <c r="Q440" t="b">
        <v>0</v>
      </c>
    </row>
    <row r="441" spans="1:17" x14ac:dyDescent="0.35">
      <c r="A441" t="s">
        <v>1428</v>
      </c>
      <c r="B441" t="s">
        <v>18</v>
      </c>
      <c r="C441" t="s">
        <v>1429</v>
      </c>
      <c r="D441">
        <v>0</v>
      </c>
      <c r="E441" t="s">
        <v>1430</v>
      </c>
      <c r="F441" t="s">
        <v>20</v>
      </c>
      <c r="G441" t="s">
        <v>1431</v>
      </c>
      <c r="H441" t="s">
        <v>1421</v>
      </c>
      <c r="I441">
        <v>0</v>
      </c>
      <c r="J441">
        <v>23</v>
      </c>
      <c r="K441" t="s">
        <v>1422</v>
      </c>
      <c r="L441" t="s">
        <v>1423</v>
      </c>
      <c r="M441">
        <v>0</v>
      </c>
      <c r="N441">
        <v>0</v>
      </c>
      <c r="O441" s="1">
        <v>4215980975546270</v>
      </c>
      <c r="Q441" t="b">
        <v>0</v>
      </c>
    </row>
    <row r="442" spans="1:17" x14ac:dyDescent="0.35">
      <c r="A442" t="s">
        <v>1432</v>
      </c>
      <c r="B442" t="s">
        <v>18</v>
      </c>
      <c r="C442" t="s">
        <v>1433</v>
      </c>
      <c r="D442">
        <v>0</v>
      </c>
      <c r="E442" t="s">
        <v>1434</v>
      </c>
      <c r="F442" t="s">
        <v>20</v>
      </c>
      <c r="G442" t="s">
        <v>1435</v>
      </c>
      <c r="H442" t="s">
        <v>1421</v>
      </c>
      <c r="I442">
        <v>0</v>
      </c>
      <c r="J442">
        <v>23</v>
      </c>
      <c r="K442" t="s">
        <v>1422</v>
      </c>
      <c r="L442" t="s">
        <v>1423</v>
      </c>
      <c r="M442">
        <v>0</v>
      </c>
      <c r="N442">
        <v>0</v>
      </c>
      <c r="O442" s="1">
        <v>4216009495434350</v>
      </c>
      <c r="Q442" t="b">
        <v>0</v>
      </c>
    </row>
    <row r="443" spans="1:17" x14ac:dyDescent="0.35">
      <c r="A443" t="s">
        <v>1436</v>
      </c>
      <c r="B443" t="s">
        <v>18</v>
      </c>
      <c r="C443" t="s">
        <v>1437</v>
      </c>
      <c r="D443">
        <v>0</v>
      </c>
      <c r="E443" t="s">
        <v>1438</v>
      </c>
      <c r="F443" t="s">
        <v>20</v>
      </c>
      <c r="G443" t="s">
        <v>1439</v>
      </c>
      <c r="H443" s="1">
        <v>2.91999999999999E+16</v>
      </c>
      <c r="I443">
        <v>0</v>
      </c>
      <c r="J443" t="s">
        <v>1440</v>
      </c>
      <c r="K443" t="s">
        <v>312</v>
      </c>
      <c r="L443" s="1">
        <v>1.92599999999999E+16</v>
      </c>
      <c r="M443">
        <v>0</v>
      </c>
      <c r="N443">
        <v>0</v>
      </c>
      <c r="O443" s="1">
        <v>4216038015322430</v>
      </c>
      <c r="Q443" t="b">
        <v>0</v>
      </c>
    </row>
    <row r="444" spans="1:17" x14ac:dyDescent="0.35">
      <c r="A444" t="s">
        <v>1441</v>
      </c>
      <c r="B444" t="s">
        <v>18</v>
      </c>
      <c r="C444" t="s">
        <v>1442</v>
      </c>
      <c r="D444">
        <v>0</v>
      </c>
      <c r="E444" t="s">
        <v>1443</v>
      </c>
      <c r="F444" t="s">
        <v>20</v>
      </c>
      <c r="G444" t="s">
        <v>1444</v>
      </c>
      <c r="H444" s="1">
        <v>2.91999999999999E+16</v>
      </c>
      <c r="I444">
        <v>0</v>
      </c>
      <c r="J444" t="s">
        <v>1440</v>
      </c>
      <c r="K444" t="s">
        <v>312</v>
      </c>
      <c r="L444" s="1">
        <v>1.92599999999999E+16</v>
      </c>
      <c r="M444">
        <v>0</v>
      </c>
      <c r="N444">
        <v>0</v>
      </c>
      <c r="O444" s="1">
        <v>4216066535210510</v>
      </c>
      <c r="Q444" t="b">
        <v>0</v>
      </c>
    </row>
    <row r="445" spans="1:17" x14ac:dyDescent="0.35">
      <c r="A445" t="s">
        <v>1445</v>
      </c>
      <c r="B445" t="s">
        <v>18</v>
      </c>
      <c r="C445" t="s">
        <v>1446</v>
      </c>
      <c r="D445">
        <v>0</v>
      </c>
      <c r="E445" t="s">
        <v>1447</v>
      </c>
      <c r="F445" t="s">
        <v>20</v>
      </c>
      <c r="G445" t="s">
        <v>1448</v>
      </c>
      <c r="H445" s="1">
        <v>2.91999999999999E+16</v>
      </c>
      <c r="I445">
        <v>0</v>
      </c>
      <c r="J445" t="s">
        <v>1440</v>
      </c>
      <c r="K445" t="s">
        <v>312</v>
      </c>
      <c r="L445" s="1">
        <v>1.92599999999999E+16</v>
      </c>
      <c r="M445">
        <v>0</v>
      </c>
      <c r="N445">
        <v>0</v>
      </c>
      <c r="O445" s="1">
        <v>4216095055098590</v>
      </c>
      <c r="Q445" t="b">
        <v>0</v>
      </c>
    </row>
    <row r="446" spans="1:17" x14ac:dyDescent="0.35">
      <c r="A446" t="s">
        <v>1449</v>
      </c>
      <c r="B446" t="s">
        <v>18</v>
      </c>
      <c r="C446" t="s">
        <v>1450</v>
      </c>
      <c r="D446">
        <v>0</v>
      </c>
      <c r="E446" t="s">
        <v>1451</v>
      </c>
      <c r="F446" t="s">
        <v>20</v>
      </c>
      <c r="G446" t="s">
        <v>1452</v>
      </c>
      <c r="H446" s="1">
        <v>2.91999999999999E+16</v>
      </c>
      <c r="I446">
        <v>0</v>
      </c>
      <c r="J446" t="s">
        <v>1440</v>
      </c>
      <c r="K446" t="s">
        <v>312</v>
      </c>
      <c r="L446" s="1">
        <v>1.92599999999999E+16</v>
      </c>
      <c r="M446">
        <v>0</v>
      </c>
      <c r="N446">
        <v>0</v>
      </c>
      <c r="O446" s="1">
        <v>421612357498668</v>
      </c>
      <c r="Q446" t="b">
        <v>0</v>
      </c>
    </row>
    <row r="447" spans="1:17" x14ac:dyDescent="0.35">
      <c r="A447" t="s">
        <v>1453</v>
      </c>
      <c r="B447" t="s">
        <v>18</v>
      </c>
      <c r="C447" t="s">
        <v>1454</v>
      </c>
      <c r="D447">
        <v>0</v>
      </c>
      <c r="E447" t="s">
        <v>1455</v>
      </c>
      <c r="F447" t="s">
        <v>20</v>
      </c>
      <c r="G447" t="s">
        <v>1456</v>
      </c>
      <c r="H447" s="1">
        <v>5458333333333330</v>
      </c>
      <c r="I447">
        <v>0</v>
      </c>
      <c r="J447" t="s">
        <v>1457</v>
      </c>
      <c r="K447" t="s">
        <v>1003</v>
      </c>
      <c r="L447" s="1">
        <v>1.92599999999999E+16</v>
      </c>
      <c r="M447">
        <v>0</v>
      </c>
      <c r="N447">
        <v>0</v>
      </c>
      <c r="O447" s="1">
        <v>4.21615209487476E+16</v>
      </c>
      <c r="Q447" t="b">
        <v>0</v>
      </c>
    </row>
    <row r="448" spans="1:17" x14ac:dyDescent="0.35">
      <c r="A448" t="s">
        <v>1458</v>
      </c>
      <c r="B448" t="s">
        <v>18</v>
      </c>
      <c r="C448" t="s">
        <v>1459</v>
      </c>
      <c r="D448">
        <v>0</v>
      </c>
      <c r="E448" t="s">
        <v>1460</v>
      </c>
      <c r="F448" t="s">
        <v>20</v>
      </c>
      <c r="G448" t="s">
        <v>1461</v>
      </c>
      <c r="H448" s="1">
        <v>5458333333333330</v>
      </c>
      <c r="I448">
        <v>0</v>
      </c>
      <c r="J448" t="s">
        <v>1457</v>
      </c>
      <c r="K448" t="s">
        <v>1003</v>
      </c>
      <c r="L448" s="1">
        <v>1.92599999999999E+16</v>
      </c>
      <c r="M448">
        <v>0</v>
      </c>
      <c r="N448">
        <v>0</v>
      </c>
      <c r="O448" s="1">
        <v>4216180614762840</v>
      </c>
      <c r="Q448" t="b">
        <v>0</v>
      </c>
    </row>
    <row r="449" spans="1:17" x14ac:dyDescent="0.35">
      <c r="A449" t="s">
        <v>1462</v>
      </c>
      <c r="B449" t="s">
        <v>18</v>
      </c>
      <c r="C449" t="s">
        <v>1463</v>
      </c>
      <c r="D449">
        <v>0</v>
      </c>
      <c r="E449" t="s">
        <v>1464</v>
      </c>
      <c r="F449" t="s">
        <v>20</v>
      </c>
      <c r="G449" t="s">
        <v>1465</v>
      </c>
      <c r="H449" s="1">
        <v>5458333333333330</v>
      </c>
      <c r="I449">
        <v>0</v>
      </c>
      <c r="J449" t="s">
        <v>1457</v>
      </c>
      <c r="K449" t="s">
        <v>1003</v>
      </c>
      <c r="L449" s="1">
        <v>1.92599999999999E+16</v>
      </c>
      <c r="M449">
        <v>0</v>
      </c>
      <c r="N449">
        <v>0</v>
      </c>
      <c r="O449" s="1">
        <v>4216209134650920</v>
      </c>
      <c r="Q449" t="b">
        <v>0</v>
      </c>
    </row>
    <row r="450" spans="1:17" x14ac:dyDescent="0.35">
      <c r="A450" t="s">
        <v>1466</v>
      </c>
      <c r="B450" t="s">
        <v>18</v>
      </c>
      <c r="C450" t="s">
        <v>1467</v>
      </c>
      <c r="D450">
        <v>0</v>
      </c>
      <c r="E450" t="s">
        <v>1468</v>
      </c>
      <c r="F450" t="s">
        <v>20</v>
      </c>
      <c r="G450" t="s">
        <v>1469</v>
      </c>
      <c r="H450" s="1">
        <v>5458333333333330</v>
      </c>
      <c r="I450">
        <v>0</v>
      </c>
      <c r="J450" t="s">
        <v>1457</v>
      </c>
      <c r="K450" t="s">
        <v>1003</v>
      </c>
      <c r="L450" s="1">
        <v>1.92599999999999E+16</v>
      </c>
      <c r="M450">
        <v>0</v>
      </c>
      <c r="N450">
        <v>0</v>
      </c>
      <c r="O450" s="1">
        <v>4216237654539000</v>
      </c>
      <c r="Q450" t="b">
        <v>0</v>
      </c>
    </row>
    <row r="451" spans="1:17" x14ac:dyDescent="0.35">
      <c r="A451" t="s">
        <v>1470</v>
      </c>
      <c r="B451" t="s">
        <v>18</v>
      </c>
      <c r="C451" t="s">
        <v>1471</v>
      </c>
      <c r="D451">
        <v>0</v>
      </c>
      <c r="E451" t="s">
        <v>1472</v>
      </c>
      <c r="F451" t="s">
        <v>20</v>
      </c>
      <c r="G451" t="s">
        <v>1473</v>
      </c>
      <c r="H451" t="s">
        <v>1474</v>
      </c>
      <c r="I451">
        <v>0</v>
      </c>
      <c r="J451">
        <v>116</v>
      </c>
      <c r="K451" t="s">
        <v>1475</v>
      </c>
      <c r="L451" t="s">
        <v>1094</v>
      </c>
      <c r="M451">
        <v>0</v>
      </c>
      <c r="N451">
        <v>0</v>
      </c>
      <c r="O451" s="1">
        <v>4216266174427080</v>
      </c>
      <c r="Q451" t="b">
        <v>0</v>
      </c>
    </row>
    <row r="452" spans="1:17" x14ac:dyDescent="0.35">
      <c r="A452" t="s">
        <v>1476</v>
      </c>
      <c r="B452" t="s">
        <v>18</v>
      </c>
      <c r="C452" t="s">
        <v>1477</v>
      </c>
      <c r="D452">
        <v>0</v>
      </c>
      <c r="E452" t="s">
        <v>1478</v>
      </c>
      <c r="F452" t="s">
        <v>20</v>
      </c>
      <c r="G452" t="s">
        <v>1479</v>
      </c>
      <c r="H452" t="s">
        <v>1474</v>
      </c>
      <c r="I452">
        <v>0</v>
      </c>
      <c r="J452">
        <v>116</v>
      </c>
      <c r="K452" t="s">
        <v>1475</v>
      </c>
      <c r="L452" t="s">
        <v>1094</v>
      </c>
      <c r="M452">
        <v>0</v>
      </c>
      <c r="N452">
        <v>0</v>
      </c>
      <c r="O452" s="1">
        <v>4216294694315160</v>
      </c>
      <c r="Q452" t="b">
        <v>0</v>
      </c>
    </row>
    <row r="453" spans="1:17" x14ac:dyDescent="0.35">
      <c r="A453" t="s">
        <v>1480</v>
      </c>
      <c r="B453" t="s">
        <v>18</v>
      </c>
      <c r="C453" t="s">
        <v>1481</v>
      </c>
      <c r="D453">
        <v>0</v>
      </c>
      <c r="E453" t="s">
        <v>1482</v>
      </c>
      <c r="F453" t="s">
        <v>20</v>
      </c>
      <c r="G453" t="s">
        <v>1483</v>
      </c>
      <c r="H453" t="s">
        <v>1474</v>
      </c>
      <c r="I453">
        <v>0</v>
      </c>
      <c r="J453">
        <v>116</v>
      </c>
      <c r="K453" t="s">
        <v>1475</v>
      </c>
      <c r="L453" t="s">
        <v>1094</v>
      </c>
      <c r="M453">
        <v>0</v>
      </c>
      <c r="N453">
        <v>0</v>
      </c>
      <c r="O453" s="1">
        <v>4216323214203250</v>
      </c>
      <c r="Q453" t="b">
        <v>0</v>
      </c>
    </row>
    <row r="454" spans="1:17" x14ac:dyDescent="0.35">
      <c r="A454" t="s">
        <v>1484</v>
      </c>
      <c r="B454" t="s">
        <v>18</v>
      </c>
      <c r="C454" t="s">
        <v>1485</v>
      </c>
      <c r="D454">
        <v>0</v>
      </c>
      <c r="E454" t="s">
        <v>1486</v>
      </c>
      <c r="F454" t="s">
        <v>20</v>
      </c>
      <c r="G454" t="s">
        <v>1487</v>
      </c>
      <c r="H454" t="s">
        <v>1474</v>
      </c>
      <c r="I454">
        <v>0</v>
      </c>
      <c r="J454">
        <v>116</v>
      </c>
      <c r="K454" t="s">
        <v>1475</v>
      </c>
      <c r="L454" t="s">
        <v>1094</v>
      </c>
      <c r="M454">
        <v>0</v>
      </c>
      <c r="N454">
        <v>0</v>
      </c>
      <c r="O454" s="1">
        <v>4216351734091330</v>
      </c>
      <c r="Q454" t="b">
        <v>0</v>
      </c>
    </row>
    <row r="455" spans="1:17" x14ac:dyDescent="0.35">
      <c r="A455" t="s">
        <v>1488</v>
      </c>
      <c r="B455" t="s">
        <v>18</v>
      </c>
      <c r="C455" t="s">
        <v>1489</v>
      </c>
      <c r="D455">
        <v>0</v>
      </c>
      <c r="E455" t="s">
        <v>1490</v>
      </c>
      <c r="F455" t="s">
        <v>20</v>
      </c>
      <c r="G455" t="s">
        <v>1491</v>
      </c>
      <c r="H455" s="1">
        <v>1.11466666666666E+16</v>
      </c>
      <c r="I455">
        <v>0</v>
      </c>
      <c r="J455" t="s">
        <v>1492</v>
      </c>
      <c r="K455" t="s">
        <v>1493</v>
      </c>
      <c r="L455" t="s">
        <v>1494</v>
      </c>
      <c r="M455">
        <v>0</v>
      </c>
      <c r="N455">
        <v>0</v>
      </c>
      <c r="O455" s="1">
        <v>4.2163802539794096E+16</v>
      </c>
      <c r="Q455" t="b">
        <v>0</v>
      </c>
    </row>
    <row r="456" spans="1:17" x14ac:dyDescent="0.35">
      <c r="A456" t="s">
        <v>1495</v>
      </c>
      <c r="B456" t="s">
        <v>18</v>
      </c>
      <c r="C456" t="s">
        <v>1496</v>
      </c>
      <c r="D456">
        <v>0</v>
      </c>
      <c r="E456" t="s">
        <v>1497</v>
      </c>
      <c r="F456" t="s">
        <v>20</v>
      </c>
      <c r="G456" t="s">
        <v>1498</v>
      </c>
      <c r="H456" s="1">
        <v>1.11466666666666E+16</v>
      </c>
      <c r="I456">
        <v>0</v>
      </c>
      <c r="J456" t="s">
        <v>1492</v>
      </c>
      <c r="K456" t="s">
        <v>1493</v>
      </c>
      <c r="L456" t="s">
        <v>1494</v>
      </c>
      <c r="M456">
        <v>0</v>
      </c>
      <c r="N456">
        <v>0</v>
      </c>
      <c r="O456" s="1">
        <v>4216408773867490</v>
      </c>
      <c r="Q456" t="b">
        <v>0</v>
      </c>
    </row>
    <row r="457" spans="1:17" x14ac:dyDescent="0.35">
      <c r="A457" t="s">
        <v>1499</v>
      </c>
      <c r="B457" t="s">
        <v>18</v>
      </c>
      <c r="C457" t="s">
        <v>1500</v>
      </c>
      <c r="D457">
        <v>0</v>
      </c>
      <c r="E457" t="s">
        <v>1501</v>
      </c>
      <c r="F457" t="s">
        <v>20</v>
      </c>
      <c r="G457" t="s">
        <v>1502</v>
      </c>
      <c r="H457" s="1">
        <v>1.11466666666666E+16</v>
      </c>
      <c r="I457">
        <v>0</v>
      </c>
      <c r="J457" t="s">
        <v>1492</v>
      </c>
      <c r="K457" t="s">
        <v>1493</v>
      </c>
      <c r="L457" t="s">
        <v>1494</v>
      </c>
      <c r="M457">
        <v>0</v>
      </c>
      <c r="N457">
        <v>0</v>
      </c>
      <c r="O457" s="1">
        <v>4216437293755570</v>
      </c>
      <c r="Q457" t="b">
        <v>0</v>
      </c>
    </row>
    <row r="458" spans="1:17" x14ac:dyDescent="0.35">
      <c r="A458" t="s">
        <v>1503</v>
      </c>
      <c r="B458" t="s">
        <v>18</v>
      </c>
      <c r="C458" t="s">
        <v>1504</v>
      </c>
      <c r="D458">
        <v>0</v>
      </c>
      <c r="E458" t="s">
        <v>1505</v>
      </c>
      <c r="F458" t="s">
        <v>20</v>
      </c>
      <c r="G458" t="s">
        <v>1506</v>
      </c>
      <c r="H458" s="1">
        <v>1.11466666666666E+16</v>
      </c>
      <c r="I458">
        <v>0</v>
      </c>
      <c r="J458" t="s">
        <v>1492</v>
      </c>
      <c r="K458" t="s">
        <v>1493</v>
      </c>
      <c r="L458" t="s">
        <v>1494</v>
      </c>
      <c r="M458">
        <v>0</v>
      </c>
      <c r="N458">
        <v>0</v>
      </c>
      <c r="O458" s="1">
        <v>4216465813643650</v>
      </c>
      <c r="Q458" t="b">
        <v>0</v>
      </c>
    </row>
    <row r="459" spans="1:17" x14ac:dyDescent="0.35">
      <c r="A459" t="s">
        <v>1507</v>
      </c>
      <c r="B459" t="s">
        <v>18</v>
      </c>
      <c r="C459" t="s">
        <v>1508</v>
      </c>
      <c r="D459">
        <v>0</v>
      </c>
      <c r="E459" t="s">
        <v>1509</v>
      </c>
      <c r="F459" t="s">
        <v>20</v>
      </c>
      <c r="G459" t="s">
        <v>1510</v>
      </c>
      <c r="H459" s="1">
        <v>1.17866666666666E+16</v>
      </c>
      <c r="I459">
        <v>0</v>
      </c>
      <c r="J459" t="s">
        <v>1511</v>
      </c>
      <c r="K459" t="s">
        <v>1290</v>
      </c>
      <c r="L459" t="s">
        <v>1512</v>
      </c>
      <c r="M459">
        <v>0</v>
      </c>
      <c r="N459">
        <v>0</v>
      </c>
      <c r="O459" s="1">
        <v>421649433353174</v>
      </c>
      <c r="Q459" t="b">
        <v>0</v>
      </c>
    </row>
    <row r="460" spans="1:17" x14ac:dyDescent="0.35">
      <c r="A460" t="s">
        <v>1513</v>
      </c>
      <c r="B460" t="s">
        <v>18</v>
      </c>
      <c r="C460" t="s">
        <v>1514</v>
      </c>
      <c r="D460">
        <v>0</v>
      </c>
      <c r="E460" t="s">
        <v>1515</v>
      </c>
      <c r="F460" t="s">
        <v>20</v>
      </c>
      <c r="G460" t="s">
        <v>1516</v>
      </c>
      <c r="H460" s="1">
        <v>1.17866666666666E+16</v>
      </c>
      <c r="I460">
        <v>0</v>
      </c>
      <c r="J460" t="s">
        <v>1511</v>
      </c>
      <c r="K460" t="s">
        <v>1290</v>
      </c>
      <c r="L460" t="s">
        <v>1512</v>
      </c>
      <c r="M460">
        <v>0</v>
      </c>
      <c r="N460">
        <v>0</v>
      </c>
      <c r="O460" s="1">
        <v>4216522853419820</v>
      </c>
      <c r="Q460" t="b">
        <v>0</v>
      </c>
    </row>
    <row r="461" spans="1:17" x14ac:dyDescent="0.35">
      <c r="A461" t="s">
        <v>1517</v>
      </c>
      <c r="B461" t="s">
        <v>18</v>
      </c>
      <c r="C461" t="s">
        <v>1518</v>
      </c>
      <c r="D461">
        <v>0</v>
      </c>
      <c r="E461" t="s">
        <v>1519</v>
      </c>
      <c r="F461" t="s">
        <v>20</v>
      </c>
      <c r="G461" t="s">
        <v>1520</v>
      </c>
      <c r="H461" s="1">
        <v>1.17866666666666E+16</v>
      </c>
      <c r="I461">
        <v>0</v>
      </c>
      <c r="J461" t="s">
        <v>1511</v>
      </c>
      <c r="K461" t="s">
        <v>1290</v>
      </c>
      <c r="L461" t="s">
        <v>1512</v>
      </c>
      <c r="M461">
        <v>0</v>
      </c>
      <c r="N461">
        <v>0</v>
      </c>
      <c r="O461" s="1">
        <v>4216551373307900</v>
      </c>
      <c r="Q461" t="b">
        <v>0</v>
      </c>
    </row>
    <row r="462" spans="1:17" x14ac:dyDescent="0.35">
      <c r="A462" t="s">
        <v>1521</v>
      </c>
      <c r="B462" t="s">
        <v>18</v>
      </c>
      <c r="C462" t="s">
        <v>1522</v>
      </c>
      <c r="D462">
        <v>0</v>
      </c>
      <c r="E462" t="s">
        <v>1523</v>
      </c>
      <c r="F462" t="s">
        <v>20</v>
      </c>
      <c r="G462" t="s">
        <v>1524</v>
      </c>
      <c r="H462" s="1">
        <v>1.17866666666666E+16</v>
      </c>
      <c r="I462">
        <v>0</v>
      </c>
      <c r="J462" t="s">
        <v>1511</v>
      </c>
      <c r="K462" t="s">
        <v>1290</v>
      </c>
      <c r="L462" t="s">
        <v>1512</v>
      </c>
      <c r="M462">
        <v>0</v>
      </c>
      <c r="N462">
        <v>0</v>
      </c>
      <c r="O462" s="1">
        <v>4216579893195980</v>
      </c>
      <c r="Q462" t="b">
        <v>0</v>
      </c>
    </row>
    <row r="463" spans="1:17" x14ac:dyDescent="0.35">
      <c r="A463" t="s">
        <v>1525</v>
      </c>
      <c r="B463" t="s">
        <v>18</v>
      </c>
      <c r="C463" t="s">
        <v>1526</v>
      </c>
      <c r="D463">
        <v>0</v>
      </c>
      <c r="E463" t="s">
        <v>1527</v>
      </c>
      <c r="F463" t="s">
        <v>20</v>
      </c>
      <c r="G463" t="s">
        <v>1528</v>
      </c>
      <c r="H463" s="1">
        <v>1.13133333333333E+16</v>
      </c>
      <c r="I463">
        <v>0</v>
      </c>
      <c r="J463" t="s">
        <v>903</v>
      </c>
      <c r="K463" t="s">
        <v>1529</v>
      </c>
      <c r="L463" t="s">
        <v>955</v>
      </c>
      <c r="M463">
        <v>0</v>
      </c>
      <c r="N463">
        <v>0</v>
      </c>
      <c r="O463" s="1">
        <v>4216608413084060</v>
      </c>
      <c r="Q463" t="b">
        <v>0</v>
      </c>
    </row>
    <row r="464" spans="1:17" x14ac:dyDescent="0.35">
      <c r="A464" t="s">
        <v>1530</v>
      </c>
      <c r="B464" t="s">
        <v>18</v>
      </c>
      <c r="C464" t="s">
        <v>1531</v>
      </c>
      <c r="D464">
        <v>0</v>
      </c>
      <c r="E464" t="s">
        <v>1532</v>
      </c>
      <c r="F464" t="s">
        <v>20</v>
      </c>
      <c r="G464" t="s">
        <v>1533</v>
      </c>
      <c r="H464" s="1">
        <v>1.13133333333333E+16</v>
      </c>
      <c r="I464">
        <v>0</v>
      </c>
      <c r="J464" t="s">
        <v>903</v>
      </c>
      <c r="K464" t="s">
        <v>1529</v>
      </c>
      <c r="L464" t="s">
        <v>955</v>
      </c>
      <c r="M464">
        <v>0</v>
      </c>
      <c r="N464">
        <v>0</v>
      </c>
      <c r="O464" s="1">
        <v>4216636932972140</v>
      </c>
      <c r="Q464" t="b">
        <v>0</v>
      </c>
    </row>
    <row r="465" spans="1:17" x14ac:dyDescent="0.35">
      <c r="A465" t="s">
        <v>1534</v>
      </c>
      <c r="B465" t="s">
        <v>18</v>
      </c>
      <c r="C465" t="s">
        <v>1535</v>
      </c>
      <c r="D465">
        <v>0</v>
      </c>
      <c r="E465" t="s">
        <v>1536</v>
      </c>
      <c r="F465" t="s">
        <v>20</v>
      </c>
      <c r="G465" t="s">
        <v>1537</v>
      </c>
      <c r="H465" s="1">
        <v>1.13133333333333E+16</v>
      </c>
      <c r="I465">
        <v>0</v>
      </c>
      <c r="J465" t="s">
        <v>903</v>
      </c>
      <c r="K465" t="s">
        <v>1529</v>
      </c>
      <c r="L465" t="s">
        <v>955</v>
      </c>
      <c r="M465">
        <v>0</v>
      </c>
      <c r="N465">
        <v>0</v>
      </c>
      <c r="O465" s="1">
        <v>4216665452860220</v>
      </c>
      <c r="Q465" t="b">
        <v>0</v>
      </c>
    </row>
    <row r="466" spans="1:17" x14ac:dyDescent="0.35">
      <c r="A466" t="s">
        <v>1538</v>
      </c>
      <c r="B466" t="s">
        <v>18</v>
      </c>
      <c r="C466" t="s">
        <v>1539</v>
      </c>
      <c r="D466">
        <v>0</v>
      </c>
      <c r="E466" t="s">
        <v>1540</v>
      </c>
      <c r="F466" t="s">
        <v>20</v>
      </c>
      <c r="G466" t="s">
        <v>1541</v>
      </c>
      <c r="H466" s="1">
        <v>1.13133333333333E+16</v>
      </c>
      <c r="I466">
        <v>0</v>
      </c>
      <c r="J466" t="s">
        <v>903</v>
      </c>
      <c r="K466" t="s">
        <v>1529</v>
      </c>
      <c r="L466" t="s">
        <v>955</v>
      </c>
      <c r="M466">
        <v>0</v>
      </c>
      <c r="N466">
        <v>0</v>
      </c>
      <c r="O466" s="1">
        <v>4.2166939727483104E+16</v>
      </c>
      <c r="Q466" t="b">
        <v>0</v>
      </c>
    </row>
    <row r="467" spans="1:17" x14ac:dyDescent="0.35">
      <c r="A467" t="s">
        <v>1542</v>
      </c>
      <c r="B467" t="s">
        <v>18</v>
      </c>
      <c r="C467" t="s">
        <v>1543</v>
      </c>
      <c r="D467">
        <v>0</v>
      </c>
      <c r="E467" t="s">
        <v>1544</v>
      </c>
      <c r="F467" t="s">
        <v>20</v>
      </c>
      <c r="G467" t="s">
        <v>1545</v>
      </c>
      <c r="H467" s="1">
        <v>1.00049999999999E+16</v>
      </c>
      <c r="I467">
        <v>0</v>
      </c>
      <c r="J467" t="s">
        <v>1546</v>
      </c>
      <c r="K467" s="1">
        <v>3.59999999999999E+16</v>
      </c>
      <c r="L467" t="s">
        <v>22</v>
      </c>
      <c r="M467">
        <v>0</v>
      </c>
      <c r="N467">
        <v>0</v>
      </c>
      <c r="O467" s="1">
        <v>4216722492636390</v>
      </c>
      <c r="Q467" t="b">
        <v>0</v>
      </c>
    </row>
    <row r="468" spans="1:17" x14ac:dyDescent="0.35">
      <c r="A468" t="s">
        <v>1547</v>
      </c>
      <c r="B468" t="s">
        <v>18</v>
      </c>
      <c r="C468" t="s">
        <v>1548</v>
      </c>
      <c r="D468">
        <v>0</v>
      </c>
      <c r="E468">
        <v>0</v>
      </c>
      <c r="F468" t="s">
        <v>20</v>
      </c>
      <c r="G468" t="s">
        <v>1549</v>
      </c>
      <c r="H468" s="1">
        <v>1.00049999999999E+16</v>
      </c>
      <c r="I468">
        <v>0</v>
      </c>
      <c r="J468" t="s">
        <v>1546</v>
      </c>
      <c r="K468" s="1">
        <v>3.59999999999999E+16</v>
      </c>
      <c r="L468" t="s">
        <v>22</v>
      </c>
      <c r="M468">
        <v>0</v>
      </c>
      <c r="N468">
        <v>0</v>
      </c>
      <c r="O468" s="1">
        <v>4216751012524470</v>
      </c>
      <c r="Q468" t="b">
        <v>0</v>
      </c>
    </row>
    <row r="469" spans="1:17" x14ac:dyDescent="0.35">
      <c r="A469" t="s">
        <v>1550</v>
      </c>
      <c r="B469" t="s">
        <v>18</v>
      </c>
      <c r="C469" t="s">
        <v>1551</v>
      </c>
      <c r="D469">
        <v>0</v>
      </c>
      <c r="E469">
        <v>0</v>
      </c>
      <c r="F469" t="s">
        <v>20</v>
      </c>
      <c r="G469" t="s">
        <v>1552</v>
      </c>
      <c r="H469" s="1">
        <v>1.00049999999999E+16</v>
      </c>
      <c r="I469">
        <v>0</v>
      </c>
      <c r="J469" t="s">
        <v>1546</v>
      </c>
      <c r="K469" s="1">
        <v>3.59999999999999E+16</v>
      </c>
      <c r="L469" t="s">
        <v>22</v>
      </c>
      <c r="M469">
        <v>0</v>
      </c>
      <c r="N469">
        <v>0</v>
      </c>
      <c r="O469" s="1">
        <v>4216779532412550</v>
      </c>
      <c r="Q469" t="b">
        <v>0</v>
      </c>
    </row>
    <row r="470" spans="1:17" x14ac:dyDescent="0.35">
      <c r="A470" t="s">
        <v>1553</v>
      </c>
      <c r="B470" t="s">
        <v>18</v>
      </c>
      <c r="C470" t="s">
        <v>1554</v>
      </c>
      <c r="D470">
        <v>0</v>
      </c>
      <c r="E470">
        <v>0</v>
      </c>
      <c r="F470" t="s">
        <v>20</v>
      </c>
      <c r="G470" t="s">
        <v>1555</v>
      </c>
      <c r="H470" s="1">
        <v>1.00049999999999E+16</v>
      </c>
      <c r="I470">
        <v>0</v>
      </c>
      <c r="J470" t="s">
        <v>1546</v>
      </c>
      <c r="K470" s="1">
        <v>3.59999999999999E+16</v>
      </c>
      <c r="L470" t="s">
        <v>22</v>
      </c>
      <c r="M470">
        <v>0</v>
      </c>
      <c r="N470">
        <v>0</v>
      </c>
      <c r="O470" s="1">
        <v>4216808052300630</v>
      </c>
      <c r="Q470" t="b">
        <v>0</v>
      </c>
    </row>
    <row r="471" spans="1:17" x14ac:dyDescent="0.35">
      <c r="A471" t="s">
        <v>1556</v>
      </c>
      <c r="B471" t="s">
        <v>18</v>
      </c>
      <c r="C471" t="s">
        <v>1557</v>
      </c>
      <c r="D471">
        <v>0</v>
      </c>
      <c r="E471">
        <v>0</v>
      </c>
      <c r="F471" t="s">
        <v>20</v>
      </c>
      <c r="G471">
        <v>0</v>
      </c>
      <c r="H471" t="s">
        <v>1558</v>
      </c>
      <c r="I471">
        <v>0</v>
      </c>
      <c r="J471" t="s">
        <v>1559</v>
      </c>
      <c r="K471" t="s">
        <v>340</v>
      </c>
      <c r="L471" t="s">
        <v>70</v>
      </c>
      <c r="M471">
        <v>0</v>
      </c>
      <c r="N471">
        <v>0</v>
      </c>
      <c r="O471" s="1">
        <v>4216836572188710</v>
      </c>
      <c r="Q471" t="b">
        <v>0</v>
      </c>
    </row>
    <row r="472" spans="1:17" x14ac:dyDescent="0.35">
      <c r="A472" t="s">
        <v>1560</v>
      </c>
      <c r="B472" t="s">
        <v>18</v>
      </c>
      <c r="C472" t="s">
        <v>1561</v>
      </c>
      <c r="D472">
        <v>0</v>
      </c>
      <c r="E472">
        <v>0</v>
      </c>
      <c r="F472" t="s">
        <v>20</v>
      </c>
      <c r="G472">
        <v>0</v>
      </c>
      <c r="H472" t="s">
        <v>1558</v>
      </c>
      <c r="I472">
        <v>0</v>
      </c>
      <c r="J472" t="s">
        <v>1559</v>
      </c>
      <c r="K472" t="s">
        <v>340</v>
      </c>
      <c r="L472" t="s">
        <v>70</v>
      </c>
      <c r="M472">
        <v>0</v>
      </c>
      <c r="N472">
        <v>0</v>
      </c>
      <c r="O472" s="1">
        <v>4216865092076800</v>
      </c>
      <c r="Q472" t="b">
        <v>0</v>
      </c>
    </row>
    <row r="473" spans="1:17" x14ac:dyDescent="0.35">
      <c r="A473" t="s">
        <v>1562</v>
      </c>
      <c r="B473" t="s">
        <v>18</v>
      </c>
      <c r="C473" t="s">
        <v>1563</v>
      </c>
      <c r="D473">
        <v>0</v>
      </c>
      <c r="E473">
        <v>0</v>
      </c>
      <c r="F473" t="s">
        <v>20</v>
      </c>
      <c r="G473">
        <v>0</v>
      </c>
      <c r="H473" t="s">
        <v>1558</v>
      </c>
      <c r="I473">
        <v>0</v>
      </c>
      <c r="J473" t="s">
        <v>1559</v>
      </c>
      <c r="K473" t="s">
        <v>340</v>
      </c>
      <c r="L473" t="s">
        <v>70</v>
      </c>
      <c r="M473">
        <v>0</v>
      </c>
      <c r="N473">
        <v>0</v>
      </c>
      <c r="O473" s="1">
        <v>4216893611964880</v>
      </c>
      <c r="Q473" t="b">
        <v>0</v>
      </c>
    </row>
    <row r="474" spans="1:17" x14ac:dyDescent="0.35">
      <c r="A474" t="s">
        <v>1564</v>
      </c>
      <c r="B474" t="s">
        <v>18</v>
      </c>
      <c r="C474" t="s">
        <v>1565</v>
      </c>
      <c r="D474">
        <v>0</v>
      </c>
      <c r="E474">
        <v>0</v>
      </c>
      <c r="F474" t="s">
        <v>20</v>
      </c>
      <c r="G474">
        <v>0</v>
      </c>
      <c r="H474" t="s">
        <v>1558</v>
      </c>
      <c r="I474">
        <v>0</v>
      </c>
      <c r="J474" t="s">
        <v>1559</v>
      </c>
      <c r="K474" t="s">
        <v>340</v>
      </c>
      <c r="L474" t="s">
        <v>70</v>
      </c>
      <c r="M474">
        <v>0</v>
      </c>
      <c r="N474">
        <v>0</v>
      </c>
      <c r="O474" s="1">
        <v>4.21692213185296E+16</v>
      </c>
      <c r="Q474" t="b">
        <v>0</v>
      </c>
    </row>
    <row r="475" spans="1:17" x14ac:dyDescent="0.35">
      <c r="A475" t="s">
        <v>1566</v>
      </c>
      <c r="B475" t="s">
        <v>18</v>
      </c>
      <c r="C475" t="s">
        <v>1567</v>
      </c>
      <c r="D475">
        <v>0</v>
      </c>
      <c r="E475">
        <v>0</v>
      </c>
      <c r="F475" t="s">
        <v>20</v>
      </c>
      <c r="G475">
        <v>0</v>
      </c>
      <c r="H475">
        <v>0</v>
      </c>
      <c r="I475">
        <v>0</v>
      </c>
      <c r="J475">
        <v>0</v>
      </c>
      <c r="K475" t="s">
        <v>383</v>
      </c>
      <c r="L475" s="1">
        <v>1.26E+16</v>
      </c>
      <c r="M475">
        <v>0</v>
      </c>
      <c r="N475">
        <v>0</v>
      </c>
      <c r="O475" s="1">
        <v>4216950651741040</v>
      </c>
      <c r="Q475" t="b">
        <v>0</v>
      </c>
    </row>
    <row r="476" spans="1:17" x14ac:dyDescent="0.35">
      <c r="A476" t="s">
        <v>1568</v>
      </c>
      <c r="B476" t="s">
        <v>18</v>
      </c>
      <c r="C476" t="s">
        <v>1569</v>
      </c>
      <c r="D476">
        <v>0</v>
      </c>
      <c r="E476">
        <v>0</v>
      </c>
      <c r="F476" t="s">
        <v>20</v>
      </c>
      <c r="G476">
        <v>0</v>
      </c>
      <c r="H476">
        <v>0</v>
      </c>
      <c r="I476">
        <v>0</v>
      </c>
      <c r="J476">
        <v>0</v>
      </c>
      <c r="K476" t="s">
        <v>383</v>
      </c>
      <c r="L476" s="1">
        <v>1.26E+16</v>
      </c>
      <c r="M476">
        <v>0</v>
      </c>
      <c r="N476">
        <v>0</v>
      </c>
      <c r="O476" s="1">
        <v>4216979171629120</v>
      </c>
      <c r="Q476" t="b">
        <v>0</v>
      </c>
    </row>
    <row r="477" spans="1:17" x14ac:dyDescent="0.35">
      <c r="A477" t="s">
        <v>1570</v>
      </c>
      <c r="B477" t="s">
        <v>18</v>
      </c>
      <c r="C477" t="s">
        <v>1571</v>
      </c>
      <c r="D477">
        <v>0</v>
      </c>
      <c r="E477">
        <v>0</v>
      </c>
      <c r="F477" t="s">
        <v>20</v>
      </c>
      <c r="G477">
        <v>0</v>
      </c>
      <c r="H477">
        <v>0</v>
      </c>
      <c r="I477">
        <v>0</v>
      </c>
      <c r="J477">
        <v>0</v>
      </c>
      <c r="K477" t="s">
        <v>383</v>
      </c>
      <c r="L477" s="1">
        <v>1.26E+16</v>
      </c>
      <c r="M477">
        <v>0</v>
      </c>
      <c r="N477">
        <v>0</v>
      </c>
      <c r="O477" s="1">
        <v>4217007691517200</v>
      </c>
      <c r="Q477" t="b">
        <v>0</v>
      </c>
    </row>
    <row r="478" spans="1:17" x14ac:dyDescent="0.35">
      <c r="A478" t="s">
        <v>1572</v>
      </c>
      <c r="B478" t="s">
        <v>18</v>
      </c>
      <c r="C478" t="s">
        <v>1573</v>
      </c>
      <c r="D478">
        <v>0</v>
      </c>
      <c r="E478">
        <v>0</v>
      </c>
      <c r="F478" t="s">
        <v>20</v>
      </c>
      <c r="G478">
        <v>0</v>
      </c>
      <c r="H478">
        <v>0</v>
      </c>
      <c r="I478">
        <v>0</v>
      </c>
      <c r="J478">
        <v>0</v>
      </c>
      <c r="K478" t="s">
        <v>383</v>
      </c>
      <c r="L478" s="1">
        <v>1.26E+16</v>
      </c>
      <c r="M478">
        <v>0</v>
      </c>
      <c r="N478">
        <v>0</v>
      </c>
      <c r="O478" s="1">
        <v>421703621140529</v>
      </c>
      <c r="Q478" t="b">
        <v>0</v>
      </c>
    </row>
    <row r="479" spans="1:17" x14ac:dyDescent="0.35">
      <c r="A479" t="s">
        <v>1574</v>
      </c>
      <c r="B479" t="s">
        <v>18</v>
      </c>
      <c r="C479" t="s">
        <v>1575</v>
      </c>
      <c r="D479">
        <v>0</v>
      </c>
      <c r="E479">
        <v>0</v>
      </c>
      <c r="F479" t="s">
        <v>20</v>
      </c>
      <c r="G479">
        <v>0</v>
      </c>
      <c r="H479">
        <v>0</v>
      </c>
      <c r="I479">
        <v>0</v>
      </c>
      <c r="J479">
        <v>0</v>
      </c>
      <c r="K479" t="s">
        <v>51</v>
      </c>
      <c r="L479" t="s">
        <v>955</v>
      </c>
      <c r="M479">
        <v>0</v>
      </c>
      <c r="N479">
        <v>0</v>
      </c>
      <c r="O479" s="1">
        <v>4217064731293370</v>
      </c>
      <c r="Q479" t="b">
        <v>0</v>
      </c>
    </row>
    <row r="480" spans="1:17" x14ac:dyDescent="0.35">
      <c r="A480" t="s">
        <v>1576</v>
      </c>
      <c r="B480" t="s">
        <v>18</v>
      </c>
      <c r="C480" t="s">
        <v>1577</v>
      </c>
      <c r="D480">
        <v>0</v>
      </c>
      <c r="E480">
        <v>0</v>
      </c>
      <c r="F480" t="s">
        <v>20</v>
      </c>
      <c r="G480">
        <v>0</v>
      </c>
      <c r="H480">
        <v>0</v>
      </c>
      <c r="I480">
        <v>0</v>
      </c>
      <c r="J480">
        <v>0</v>
      </c>
      <c r="K480" t="s">
        <v>51</v>
      </c>
      <c r="L480" t="s">
        <v>955</v>
      </c>
      <c r="M480">
        <v>0</v>
      </c>
      <c r="N480">
        <v>0</v>
      </c>
      <c r="O480" s="1">
        <v>4217093251181450</v>
      </c>
      <c r="Q480" t="b">
        <v>0</v>
      </c>
    </row>
    <row r="481" spans="1:17" x14ac:dyDescent="0.35">
      <c r="A481" t="s">
        <v>1578</v>
      </c>
      <c r="B481" t="s">
        <v>18</v>
      </c>
      <c r="C481" t="s">
        <v>1579</v>
      </c>
      <c r="D481">
        <v>0</v>
      </c>
      <c r="E481">
        <v>0</v>
      </c>
      <c r="F481" t="s">
        <v>20</v>
      </c>
      <c r="G481">
        <v>0</v>
      </c>
      <c r="H481">
        <v>0</v>
      </c>
      <c r="I481">
        <v>0</v>
      </c>
      <c r="J481">
        <v>0</v>
      </c>
      <c r="K481" t="s">
        <v>51</v>
      </c>
      <c r="L481" t="s">
        <v>955</v>
      </c>
      <c r="M481">
        <v>0</v>
      </c>
      <c r="N481">
        <v>0</v>
      </c>
      <c r="O481" s="1">
        <v>4217121771069530</v>
      </c>
      <c r="Q481" t="b">
        <v>0</v>
      </c>
    </row>
    <row r="482" spans="1:17" x14ac:dyDescent="0.35">
      <c r="A482" t="s">
        <v>1580</v>
      </c>
      <c r="B482" t="s">
        <v>18</v>
      </c>
      <c r="C482" t="s">
        <v>1581</v>
      </c>
      <c r="D482">
        <v>0</v>
      </c>
      <c r="E482">
        <v>0</v>
      </c>
      <c r="F482" t="s">
        <v>20</v>
      </c>
      <c r="G482">
        <v>0</v>
      </c>
      <c r="H482">
        <v>0</v>
      </c>
      <c r="I482">
        <v>0</v>
      </c>
      <c r="J482">
        <v>0</v>
      </c>
      <c r="K482" t="s">
        <v>51</v>
      </c>
      <c r="L482" t="s">
        <v>955</v>
      </c>
      <c r="M482">
        <v>0</v>
      </c>
      <c r="N482">
        <v>0</v>
      </c>
      <c r="O482" s="1">
        <v>4217150290957610</v>
      </c>
      <c r="Q482" t="b">
        <v>0</v>
      </c>
    </row>
    <row r="483" spans="1:17" x14ac:dyDescent="0.35">
      <c r="A483" t="s">
        <v>1582</v>
      </c>
      <c r="B483" t="s">
        <v>18</v>
      </c>
      <c r="C483" t="s">
        <v>1583</v>
      </c>
      <c r="D483">
        <v>0</v>
      </c>
      <c r="E483">
        <v>0</v>
      </c>
      <c r="F483" t="s">
        <v>20</v>
      </c>
      <c r="G483">
        <v>0</v>
      </c>
      <c r="H483">
        <v>0</v>
      </c>
      <c r="I483">
        <v>0</v>
      </c>
      <c r="J483">
        <v>0</v>
      </c>
      <c r="K483" t="s">
        <v>122</v>
      </c>
      <c r="L483" t="s">
        <v>164</v>
      </c>
      <c r="M483">
        <v>0</v>
      </c>
      <c r="N483">
        <v>0</v>
      </c>
      <c r="O483" s="1">
        <v>4217178810845690</v>
      </c>
      <c r="Q483" t="b">
        <v>0</v>
      </c>
    </row>
    <row r="484" spans="1:17" x14ac:dyDescent="0.35">
      <c r="A484" t="s">
        <v>1584</v>
      </c>
      <c r="B484" t="s">
        <v>18</v>
      </c>
      <c r="C484" t="s">
        <v>1585</v>
      </c>
      <c r="D484">
        <v>0</v>
      </c>
      <c r="E484">
        <v>0</v>
      </c>
      <c r="F484" t="s">
        <v>20</v>
      </c>
      <c r="G484">
        <v>0</v>
      </c>
      <c r="H484">
        <v>0</v>
      </c>
      <c r="I484">
        <v>0</v>
      </c>
      <c r="J484">
        <v>0</v>
      </c>
      <c r="K484" t="s">
        <v>122</v>
      </c>
      <c r="L484" t="s">
        <v>164</v>
      </c>
      <c r="M484">
        <v>0</v>
      </c>
      <c r="N484">
        <v>0</v>
      </c>
      <c r="O484" s="1">
        <v>4217207330733770</v>
      </c>
      <c r="Q484" t="b">
        <v>0</v>
      </c>
    </row>
    <row r="485" spans="1:17" x14ac:dyDescent="0.35">
      <c r="A485" t="s">
        <v>1586</v>
      </c>
      <c r="B485" t="s">
        <v>18</v>
      </c>
      <c r="C485" t="s">
        <v>1587</v>
      </c>
      <c r="D485">
        <v>0</v>
      </c>
      <c r="E485">
        <v>0</v>
      </c>
      <c r="F485" t="s">
        <v>20</v>
      </c>
      <c r="G485">
        <v>0</v>
      </c>
      <c r="H485">
        <v>0</v>
      </c>
      <c r="I485">
        <v>0</v>
      </c>
      <c r="J485">
        <v>0</v>
      </c>
      <c r="K485" t="s">
        <v>122</v>
      </c>
      <c r="L485" t="s">
        <v>164</v>
      </c>
      <c r="M485">
        <v>0</v>
      </c>
      <c r="N485">
        <v>0</v>
      </c>
      <c r="O485" s="1">
        <v>4217235850621860</v>
      </c>
      <c r="Q485" t="b">
        <v>0</v>
      </c>
    </row>
    <row r="486" spans="1:17" x14ac:dyDescent="0.35">
      <c r="A486" t="s">
        <v>1588</v>
      </c>
      <c r="B486" t="s">
        <v>18</v>
      </c>
      <c r="C486" t="s">
        <v>1589</v>
      </c>
      <c r="D486">
        <v>0</v>
      </c>
      <c r="E486">
        <v>0</v>
      </c>
      <c r="F486" t="s">
        <v>20</v>
      </c>
      <c r="G486">
        <v>0</v>
      </c>
      <c r="H486">
        <v>0</v>
      </c>
      <c r="I486">
        <v>0</v>
      </c>
      <c r="J486">
        <v>0</v>
      </c>
      <c r="K486" t="s">
        <v>122</v>
      </c>
      <c r="L486" t="s">
        <v>164</v>
      </c>
      <c r="M486">
        <v>0</v>
      </c>
      <c r="N486">
        <v>0</v>
      </c>
      <c r="O486" s="1">
        <v>4217264370509940</v>
      </c>
      <c r="Q486" t="b">
        <v>0</v>
      </c>
    </row>
    <row r="487" spans="1:17" x14ac:dyDescent="0.35">
      <c r="A487" t="s">
        <v>1590</v>
      </c>
      <c r="B487" t="s">
        <v>18</v>
      </c>
      <c r="C487" t="s">
        <v>1591</v>
      </c>
      <c r="D487">
        <v>0</v>
      </c>
      <c r="E487">
        <v>0</v>
      </c>
      <c r="F487" t="s">
        <v>20</v>
      </c>
      <c r="G487">
        <v>0</v>
      </c>
      <c r="H487">
        <v>0</v>
      </c>
      <c r="I487">
        <v>0</v>
      </c>
      <c r="J487">
        <v>0</v>
      </c>
      <c r="K487" t="s">
        <v>430</v>
      </c>
      <c r="L487" s="1">
        <v>3.96E+16</v>
      </c>
      <c r="M487">
        <v>0</v>
      </c>
      <c r="N487">
        <v>0</v>
      </c>
      <c r="O487" s="1">
        <v>4217292890398020</v>
      </c>
      <c r="Q487" t="b">
        <v>0</v>
      </c>
    </row>
    <row r="488" spans="1:17" x14ac:dyDescent="0.35">
      <c r="A488" t="s">
        <v>1592</v>
      </c>
      <c r="B488" t="s">
        <v>18</v>
      </c>
      <c r="C488" t="s">
        <v>1593</v>
      </c>
      <c r="D488">
        <v>0</v>
      </c>
      <c r="E488">
        <v>0</v>
      </c>
      <c r="F488" t="s">
        <v>20</v>
      </c>
      <c r="G488">
        <v>0</v>
      </c>
      <c r="H488">
        <v>0</v>
      </c>
      <c r="I488">
        <v>0</v>
      </c>
      <c r="J488">
        <v>0</v>
      </c>
      <c r="K488" t="s">
        <v>430</v>
      </c>
      <c r="L488" s="1">
        <v>3.96E+16</v>
      </c>
      <c r="M488">
        <v>0</v>
      </c>
      <c r="N488">
        <v>0</v>
      </c>
      <c r="O488" s="1">
        <v>4217321410286100</v>
      </c>
      <c r="Q488" t="b">
        <v>0</v>
      </c>
    </row>
    <row r="489" spans="1:17" x14ac:dyDescent="0.35">
      <c r="A489" t="s">
        <v>1594</v>
      </c>
      <c r="B489" t="s">
        <v>18</v>
      </c>
      <c r="C489" t="s">
        <v>1595</v>
      </c>
      <c r="D489">
        <v>0</v>
      </c>
      <c r="E489">
        <v>0</v>
      </c>
      <c r="F489" t="s">
        <v>20</v>
      </c>
      <c r="G489">
        <v>0</v>
      </c>
      <c r="H489">
        <v>0</v>
      </c>
      <c r="I489">
        <v>0</v>
      </c>
      <c r="J489">
        <v>0</v>
      </c>
      <c r="K489" t="s">
        <v>430</v>
      </c>
      <c r="L489" s="1">
        <v>3.96E+16</v>
      </c>
      <c r="M489">
        <v>0</v>
      </c>
      <c r="N489">
        <v>0</v>
      </c>
      <c r="O489" s="1">
        <v>4217349930174180</v>
      </c>
      <c r="Q489" t="b">
        <v>0</v>
      </c>
    </row>
    <row r="490" spans="1:17" x14ac:dyDescent="0.35">
      <c r="A490" t="s">
        <v>1596</v>
      </c>
      <c r="B490" t="s">
        <v>18</v>
      </c>
      <c r="C490" t="s">
        <v>1597</v>
      </c>
      <c r="D490">
        <v>0</v>
      </c>
      <c r="E490">
        <v>0</v>
      </c>
      <c r="F490" t="s">
        <v>20</v>
      </c>
      <c r="G490">
        <v>0</v>
      </c>
      <c r="H490">
        <v>0</v>
      </c>
      <c r="I490">
        <v>0</v>
      </c>
      <c r="J490">
        <v>0</v>
      </c>
      <c r="K490" t="s">
        <v>430</v>
      </c>
      <c r="L490" s="1">
        <v>3.96E+16</v>
      </c>
      <c r="M490">
        <v>0</v>
      </c>
      <c r="N490">
        <v>0</v>
      </c>
      <c r="O490" s="1">
        <v>4217378450062260</v>
      </c>
      <c r="Q490" t="b">
        <v>0</v>
      </c>
    </row>
    <row r="491" spans="1:17" x14ac:dyDescent="0.35">
      <c r="A491" t="s">
        <v>1598</v>
      </c>
      <c r="B491" t="s">
        <v>18</v>
      </c>
      <c r="C491" t="s">
        <v>1599</v>
      </c>
      <c r="D491">
        <v>0</v>
      </c>
      <c r="E491">
        <v>0</v>
      </c>
      <c r="F491" t="s">
        <v>20</v>
      </c>
      <c r="G491">
        <v>0</v>
      </c>
      <c r="H491">
        <v>0</v>
      </c>
      <c r="I491">
        <v>0</v>
      </c>
      <c r="J491">
        <v>0</v>
      </c>
      <c r="K491" t="s">
        <v>581</v>
      </c>
      <c r="L491" t="s">
        <v>103</v>
      </c>
      <c r="M491">
        <v>0</v>
      </c>
      <c r="N491">
        <v>0</v>
      </c>
      <c r="O491" s="1">
        <v>4217406969950350</v>
      </c>
      <c r="Q491" t="b">
        <v>0</v>
      </c>
    </row>
    <row r="492" spans="1:17" x14ac:dyDescent="0.35">
      <c r="A492" t="s">
        <v>1600</v>
      </c>
      <c r="B492" t="s">
        <v>18</v>
      </c>
      <c r="C492" t="s">
        <v>1601</v>
      </c>
      <c r="D492">
        <v>0</v>
      </c>
      <c r="E492">
        <v>0</v>
      </c>
      <c r="F492" t="s">
        <v>20</v>
      </c>
      <c r="G492">
        <v>0</v>
      </c>
      <c r="H492">
        <v>0</v>
      </c>
      <c r="I492">
        <v>0</v>
      </c>
      <c r="J492">
        <v>0</v>
      </c>
      <c r="K492" t="s">
        <v>581</v>
      </c>
      <c r="L492" t="s">
        <v>103</v>
      </c>
      <c r="M492">
        <v>0</v>
      </c>
      <c r="N492">
        <v>0</v>
      </c>
      <c r="O492" s="1">
        <v>4217435489838430</v>
      </c>
      <c r="Q492" t="b">
        <v>0</v>
      </c>
    </row>
    <row r="493" spans="1:17" x14ac:dyDescent="0.35">
      <c r="A493" t="s">
        <v>1602</v>
      </c>
      <c r="B493" t="s">
        <v>18</v>
      </c>
      <c r="C493" t="s">
        <v>1603</v>
      </c>
      <c r="D493">
        <v>0</v>
      </c>
      <c r="E493">
        <v>0</v>
      </c>
      <c r="F493" t="s">
        <v>20</v>
      </c>
      <c r="G493">
        <v>0</v>
      </c>
      <c r="H493">
        <v>0</v>
      </c>
      <c r="I493">
        <v>0</v>
      </c>
      <c r="J493">
        <v>0</v>
      </c>
      <c r="K493" t="s">
        <v>581</v>
      </c>
      <c r="L493" t="s">
        <v>103</v>
      </c>
      <c r="M493">
        <v>0</v>
      </c>
      <c r="N493">
        <v>0</v>
      </c>
      <c r="O493" s="1">
        <v>4.2174640097265104E+16</v>
      </c>
      <c r="Q493" t="b">
        <v>0</v>
      </c>
    </row>
    <row r="494" spans="1:17" x14ac:dyDescent="0.35">
      <c r="A494" t="s">
        <v>1604</v>
      </c>
      <c r="B494" t="s">
        <v>18</v>
      </c>
      <c r="C494" t="s">
        <v>1605</v>
      </c>
      <c r="D494">
        <v>0</v>
      </c>
      <c r="E494">
        <v>0</v>
      </c>
      <c r="F494" t="s">
        <v>20</v>
      </c>
      <c r="G494">
        <v>0</v>
      </c>
      <c r="H494">
        <v>0</v>
      </c>
      <c r="I494">
        <v>0</v>
      </c>
      <c r="J494">
        <v>0</v>
      </c>
      <c r="K494" t="s">
        <v>581</v>
      </c>
      <c r="L494" t="s">
        <v>103</v>
      </c>
      <c r="M494">
        <v>0</v>
      </c>
      <c r="N494">
        <v>0</v>
      </c>
      <c r="O494" s="1">
        <v>4217492529614590</v>
      </c>
      <c r="Q494" t="b">
        <v>0</v>
      </c>
    </row>
    <row r="495" spans="1:17" x14ac:dyDescent="0.35">
      <c r="A495" t="s">
        <v>1606</v>
      </c>
      <c r="B495" t="s">
        <v>18</v>
      </c>
      <c r="C495" t="s">
        <v>1607</v>
      </c>
      <c r="D495">
        <v>0</v>
      </c>
      <c r="E495">
        <v>0</v>
      </c>
      <c r="F495" t="s">
        <v>20</v>
      </c>
      <c r="G495">
        <v>0</v>
      </c>
      <c r="H495">
        <v>0</v>
      </c>
      <c r="I495">
        <v>0</v>
      </c>
      <c r="J495">
        <v>0</v>
      </c>
      <c r="K495" t="s">
        <v>574</v>
      </c>
      <c r="L495" t="s">
        <v>1608</v>
      </c>
      <c r="M495">
        <v>0</v>
      </c>
      <c r="N495">
        <v>0</v>
      </c>
      <c r="O495" s="1">
        <v>4217521049502670</v>
      </c>
      <c r="Q495" t="b">
        <v>0</v>
      </c>
    </row>
    <row r="496" spans="1:17" x14ac:dyDescent="0.35">
      <c r="A496" t="s">
        <v>1609</v>
      </c>
      <c r="B496" t="s">
        <v>18</v>
      </c>
      <c r="C496" t="s">
        <v>1610</v>
      </c>
      <c r="D496">
        <v>0</v>
      </c>
      <c r="E496">
        <v>0</v>
      </c>
      <c r="F496" t="s">
        <v>20</v>
      </c>
      <c r="G496">
        <v>0</v>
      </c>
      <c r="H496">
        <v>0</v>
      </c>
      <c r="I496">
        <v>0</v>
      </c>
      <c r="J496">
        <v>0</v>
      </c>
      <c r="K496" t="s">
        <v>574</v>
      </c>
      <c r="L496" t="s">
        <v>1608</v>
      </c>
      <c r="M496">
        <v>0</v>
      </c>
      <c r="N496">
        <v>0</v>
      </c>
      <c r="O496" s="1">
        <v>4.2175495693907504E+16</v>
      </c>
      <c r="Q496" t="b">
        <v>0</v>
      </c>
    </row>
    <row r="497" spans="1:17" x14ac:dyDescent="0.35">
      <c r="A497" t="s">
        <v>1611</v>
      </c>
      <c r="B497" t="s">
        <v>18</v>
      </c>
      <c r="C497" t="s">
        <v>1612</v>
      </c>
      <c r="D497">
        <v>0</v>
      </c>
      <c r="E497">
        <v>0</v>
      </c>
      <c r="F497" t="s">
        <v>20</v>
      </c>
      <c r="G497">
        <v>0</v>
      </c>
      <c r="H497">
        <v>0</v>
      </c>
      <c r="I497">
        <v>0</v>
      </c>
      <c r="J497">
        <v>0</v>
      </c>
      <c r="K497" t="s">
        <v>574</v>
      </c>
      <c r="L497" t="s">
        <v>1608</v>
      </c>
      <c r="M497">
        <v>0</v>
      </c>
      <c r="N497">
        <v>0</v>
      </c>
      <c r="O497" s="1">
        <v>421757808927884</v>
      </c>
      <c r="Q497" t="b">
        <v>0</v>
      </c>
    </row>
    <row r="498" spans="1:17" x14ac:dyDescent="0.35">
      <c r="A498" t="s">
        <v>1613</v>
      </c>
      <c r="B498" t="s">
        <v>18</v>
      </c>
      <c r="C498" t="s">
        <v>1614</v>
      </c>
      <c r="D498">
        <v>0</v>
      </c>
      <c r="E498">
        <v>0</v>
      </c>
      <c r="F498" t="s">
        <v>20</v>
      </c>
      <c r="G498">
        <v>0</v>
      </c>
      <c r="H498">
        <v>0</v>
      </c>
      <c r="I498">
        <v>0</v>
      </c>
      <c r="J498">
        <v>0</v>
      </c>
      <c r="K498" t="s">
        <v>574</v>
      </c>
      <c r="L498" t="s">
        <v>1608</v>
      </c>
      <c r="M498">
        <v>0</v>
      </c>
      <c r="N498">
        <v>0</v>
      </c>
      <c r="O498" s="1">
        <v>4217606609166920</v>
      </c>
      <c r="Q498" t="b">
        <v>0</v>
      </c>
    </row>
    <row r="499" spans="1:17" x14ac:dyDescent="0.35">
      <c r="A499" t="s">
        <v>1615</v>
      </c>
      <c r="B499" t="s">
        <v>18</v>
      </c>
      <c r="C499" t="s">
        <v>1616</v>
      </c>
      <c r="D499">
        <v>0</v>
      </c>
      <c r="E499">
        <v>0</v>
      </c>
      <c r="F499" t="s">
        <v>20</v>
      </c>
      <c r="G499">
        <v>0</v>
      </c>
      <c r="H499">
        <v>0</v>
      </c>
      <c r="I499">
        <v>0</v>
      </c>
      <c r="J499">
        <v>0</v>
      </c>
      <c r="K499" t="s">
        <v>1617</v>
      </c>
      <c r="L499" t="s">
        <v>148</v>
      </c>
      <c r="M499">
        <v>0</v>
      </c>
      <c r="N499">
        <v>0</v>
      </c>
      <c r="O499" s="1">
        <v>4217635129055000</v>
      </c>
      <c r="Q499" t="b">
        <v>0</v>
      </c>
    </row>
    <row r="500" spans="1:17" x14ac:dyDescent="0.35">
      <c r="A500" t="s">
        <v>1618</v>
      </c>
      <c r="B500" t="s">
        <v>18</v>
      </c>
      <c r="C500" t="s">
        <v>1619</v>
      </c>
      <c r="D500">
        <v>0</v>
      </c>
      <c r="E500">
        <v>0</v>
      </c>
      <c r="F500" t="s">
        <v>20</v>
      </c>
      <c r="G500">
        <v>0</v>
      </c>
      <c r="H500">
        <v>0</v>
      </c>
      <c r="I500">
        <v>0</v>
      </c>
      <c r="J500">
        <v>0</v>
      </c>
      <c r="K500" t="s">
        <v>1617</v>
      </c>
      <c r="L500" t="s">
        <v>148</v>
      </c>
      <c r="M500">
        <v>0</v>
      </c>
      <c r="N500">
        <v>0</v>
      </c>
      <c r="O500" s="1">
        <v>4217663648943080</v>
      </c>
      <c r="Q500" t="b">
        <v>0</v>
      </c>
    </row>
    <row r="501" spans="1:17" x14ac:dyDescent="0.35">
      <c r="A501" t="s">
        <v>1620</v>
      </c>
      <c r="B501" t="s">
        <v>18</v>
      </c>
      <c r="C501" t="s">
        <v>1621</v>
      </c>
      <c r="D501">
        <v>0</v>
      </c>
      <c r="E501">
        <v>0</v>
      </c>
      <c r="F501" t="s">
        <v>20</v>
      </c>
      <c r="G501">
        <v>0</v>
      </c>
      <c r="H501">
        <v>0</v>
      </c>
      <c r="I501">
        <v>0</v>
      </c>
      <c r="J501">
        <v>0</v>
      </c>
      <c r="K501" t="s">
        <v>1617</v>
      </c>
      <c r="L501" t="s">
        <v>148</v>
      </c>
      <c r="M501">
        <v>0</v>
      </c>
      <c r="N501">
        <v>0</v>
      </c>
      <c r="O501" s="1">
        <v>4217692168831160</v>
      </c>
      <c r="Q501" t="b">
        <v>0</v>
      </c>
    </row>
    <row r="502" spans="1:17" x14ac:dyDescent="0.35">
      <c r="A502" t="s">
        <v>1622</v>
      </c>
      <c r="B502" t="s">
        <v>18</v>
      </c>
      <c r="C502" t="s">
        <v>1623</v>
      </c>
      <c r="D502">
        <v>0</v>
      </c>
      <c r="E502">
        <v>0</v>
      </c>
      <c r="F502" t="s">
        <v>20</v>
      </c>
      <c r="G502">
        <v>0</v>
      </c>
      <c r="H502">
        <v>0</v>
      </c>
      <c r="I502">
        <v>0</v>
      </c>
      <c r="J502">
        <v>0</v>
      </c>
      <c r="K502" t="s">
        <v>1617</v>
      </c>
      <c r="L502" t="s">
        <v>148</v>
      </c>
      <c r="M502">
        <v>0</v>
      </c>
      <c r="N502">
        <v>0</v>
      </c>
      <c r="O502" s="1">
        <v>4217720688719240</v>
      </c>
      <c r="Q502" t="b">
        <v>0</v>
      </c>
    </row>
    <row r="503" spans="1:17" x14ac:dyDescent="0.35">
      <c r="A503" t="s">
        <v>1624</v>
      </c>
      <c r="B503" t="s">
        <v>18</v>
      </c>
      <c r="C503" t="s">
        <v>1625</v>
      </c>
      <c r="D503">
        <v>0</v>
      </c>
      <c r="E503">
        <v>0</v>
      </c>
      <c r="F503" t="s">
        <v>20</v>
      </c>
      <c r="G503">
        <v>0</v>
      </c>
      <c r="H503">
        <v>0</v>
      </c>
      <c r="I503">
        <v>0</v>
      </c>
      <c r="J503">
        <v>0</v>
      </c>
      <c r="K503" t="s">
        <v>1617</v>
      </c>
      <c r="L503" s="1">
        <v>8280000000000000</v>
      </c>
      <c r="M503">
        <v>0</v>
      </c>
      <c r="N503">
        <v>0</v>
      </c>
      <c r="O503" s="1">
        <v>4217749208607320</v>
      </c>
      <c r="Q503" t="b">
        <v>0</v>
      </c>
    </row>
    <row r="504" spans="1:17" x14ac:dyDescent="0.35">
      <c r="A504" t="s">
        <v>1626</v>
      </c>
      <c r="B504" t="s">
        <v>18</v>
      </c>
      <c r="C504" t="s">
        <v>1627</v>
      </c>
      <c r="D504">
        <v>0</v>
      </c>
      <c r="E504">
        <v>0</v>
      </c>
      <c r="F504" t="s">
        <v>20</v>
      </c>
      <c r="G504">
        <v>0</v>
      </c>
      <c r="H504">
        <v>0</v>
      </c>
      <c r="I504">
        <v>0</v>
      </c>
      <c r="J504">
        <v>0</v>
      </c>
      <c r="K504" t="s">
        <v>1617</v>
      </c>
      <c r="L504" s="1">
        <v>8280000000000000</v>
      </c>
      <c r="M504">
        <v>0</v>
      </c>
      <c r="N504">
        <v>0</v>
      </c>
      <c r="O504" s="1">
        <v>4.2177777284954096E+16</v>
      </c>
      <c r="Q504" t="b">
        <v>0</v>
      </c>
    </row>
    <row r="505" spans="1:17" x14ac:dyDescent="0.35">
      <c r="A505" t="s">
        <v>1628</v>
      </c>
      <c r="B505" t="s">
        <v>18</v>
      </c>
      <c r="C505" t="s">
        <v>1629</v>
      </c>
      <c r="D505">
        <v>0</v>
      </c>
      <c r="E505">
        <v>0</v>
      </c>
      <c r="F505" t="s">
        <v>20</v>
      </c>
      <c r="G505">
        <v>0</v>
      </c>
      <c r="H505">
        <v>0</v>
      </c>
      <c r="I505">
        <v>0</v>
      </c>
      <c r="J505">
        <v>0</v>
      </c>
      <c r="K505" t="s">
        <v>1617</v>
      </c>
      <c r="L505" s="1">
        <v>8280000000000000</v>
      </c>
      <c r="M505">
        <v>0</v>
      </c>
      <c r="N505">
        <v>0</v>
      </c>
      <c r="O505" s="1">
        <v>4217806248383490</v>
      </c>
      <c r="Q505" t="b">
        <v>0</v>
      </c>
    </row>
    <row r="506" spans="1:17" x14ac:dyDescent="0.35">
      <c r="A506" t="s">
        <v>1630</v>
      </c>
      <c r="B506" t="s">
        <v>18</v>
      </c>
      <c r="C506" t="s">
        <v>1631</v>
      </c>
      <c r="D506">
        <v>0</v>
      </c>
      <c r="E506">
        <v>0</v>
      </c>
      <c r="F506" t="s">
        <v>20</v>
      </c>
      <c r="G506">
        <v>0</v>
      </c>
      <c r="H506">
        <v>0</v>
      </c>
      <c r="I506">
        <v>0</v>
      </c>
      <c r="J506">
        <v>0</v>
      </c>
      <c r="K506" t="s">
        <v>1617</v>
      </c>
      <c r="L506" s="1">
        <v>8280000000000000</v>
      </c>
      <c r="M506">
        <v>0</v>
      </c>
      <c r="N506">
        <v>0</v>
      </c>
      <c r="O506" s="1">
        <v>4217834768271570</v>
      </c>
      <c r="Q506" t="b">
        <v>0</v>
      </c>
    </row>
    <row r="507" spans="1:17" x14ac:dyDescent="0.35">
      <c r="A507" t="s">
        <v>1632</v>
      </c>
      <c r="B507" t="s">
        <v>18</v>
      </c>
      <c r="C507" t="s">
        <v>1633</v>
      </c>
      <c r="D507">
        <v>0</v>
      </c>
      <c r="E507">
        <v>0</v>
      </c>
      <c r="F507" t="s">
        <v>20</v>
      </c>
      <c r="G507">
        <v>0</v>
      </c>
      <c r="H507">
        <v>0</v>
      </c>
      <c r="I507">
        <v>0</v>
      </c>
      <c r="J507">
        <v>0</v>
      </c>
      <c r="K507" s="1">
        <v>-1.2E+16</v>
      </c>
      <c r="L507" s="1">
        <v>7.02E+16</v>
      </c>
      <c r="M507">
        <v>0</v>
      </c>
      <c r="N507">
        <v>0</v>
      </c>
      <c r="O507" s="1">
        <v>4217863288159650</v>
      </c>
      <c r="Q507" t="b">
        <v>0</v>
      </c>
    </row>
    <row r="508" spans="1:17" x14ac:dyDescent="0.35">
      <c r="A508" t="s">
        <v>1634</v>
      </c>
      <c r="B508" t="s">
        <v>18</v>
      </c>
      <c r="C508" t="s">
        <v>1635</v>
      </c>
      <c r="D508">
        <v>0</v>
      </c>
      <c r="E508">
        <v>0</v>
      </c>
      <c r="F508" t="s">
        <v>20</v>
      </c>
      <c r="G508">
        <v>0</v>
      </c>
      <c r="H508">
        <v>0</v>
      </c>
      <c r="I508">
        <v>0</v>
      </c>
      <c r="J508">
        <v>0</v>
      </c>
      <c r="K508" s="1">
        <v>-1.2E+16</v>
      </c>
      <c r="L508" s="1">
        <v>7.02E+16</v>
      </c>
      <c r="M508">
        <v>0</v>
      </c>
      <c r="N508">
        <v>0</v>
      </c>
      <c r="O508" s="1">
        <v>4217891808047730</v>
      </c>
      <c r="Q508" t="b">
        <v>0</v>
      </c>
    </row>
    <row r="509" spans="1:17" x14ac:dyDescent="0.35">
      <c r="A509" t="s">
        <v>1636</v>
      </c>
      <c r="B509" t="s">
        <v>18</v>
      </c>
      <c r="C509" t="s">
        <v>1637</v>
      </c>
      <c r="D509">
        <v>0</v>
      </c>
      <c r="E509">
        <v>0</v>
      </c>
      <c r="F509" t="s">
        <v>20</v>
      </c>
      <c r="G509">
        <v>0</v>
      </c>
      <c r="H509">
        <v>0</v>
      </c>
      <c r="I509">
        <v>0</v>
      </c>
      <c r="J509">
        <v>0</v>
      </c>
      <c r="K509" s="1">
        <v>-1.2E+16</v>
      </c>
      <c r="L509" s="1">
        <v>7.02E+16</v>
      </c>
      <c r="M509">
        <v>0</v>
      </c>
      <c r="N509">
        <v>0</v>
      </c>
      <c r="O509" s="1">
        <v>4217920327935810</v>
      </c>
      <c r="Q509" t="b">
        <v>0</v>
      </c>
    </row>
    <row r="510" spans="1:17" x14ac:dyDescent="0.35">
      <c r="A510" t="s">
        <v>1638</v>
      </c>
      <c r="B510" t="s">
        <v>18</v>
      </c>
      <c r="C510" t="s">
        <v>1639</v>
      </c>
      <c r="D510">
        <v>0</v>
      </c>
      <c r="E510">
        <v>0</v>
      </c>
      <c r="F510" t="s">
        <v>20</v>
      </c>
      <c r="G510">
        <v>0</v>
      </c>
      <c r="H510">
        <v>0</v>
      </c>
      <c r="I510">
        <v>0</v>
      </c>
      <c r="J510">
        <v>0</v>
      </c>
      <c r="K510" s="1">
        <v>-1.2E+16</v>
      </c>
      <c r="L510" s="1">
        <v>7.02E+16</v>
      </c>
      <c r="M510">
        <v>0</v>
      </c>
      <c r="N510">
        <v>0</v>
      </c>
      <c r="O510" s="1">
        <v>4217948847823900</v>
      </c>
      <c r="Q510" t="b">
        <v>0</v>
      </c>
    </row>
    <row r="511" spans="1:17" x14ac:dyDescent="0.35">
      <c r="A511" t="s">
        <v>1640</v>
      </c>
      <c r="B511" t="s">
        <v>18</v>
      </c>
      <c r="C511" t="s">
        <v>1641</v>
      </c>
      <c r="D511">
        <v>0</v>
      </c>
      <c r="E511">
        <v>0</v>
      </c>
      <c r="F511" t="s">
        <v>20</v>
      </c>
      <c r="G511">
        <v>0</v>
      </c>
      <c r="H511">
        <v>0</v>
      </c>
      <c r="I511">
        <v>0</v>
      </c>
      <c r="J511">
        <v>0</v>
      </c>
      <c r="K511" s="1">
        <v>-1.29999999999999E+16</v>
      </c>
      <c r="L511" s="1">
        <v>4680000000000000</v>
      </c>
      <c r="M511">
        <v>0</v>
      </c>
      <c r="N511">
        <v>0</v>
      </c>
      <c r="O511" s="1">
        <v>4217977367711980</v>
      </c>
      <c r="Q511" t="b">
        <v>0</v>
      </c>
    </row>
    <row r="512" spans="1:17" x14ac:dyDescent="0.35">
      <c r="A512" t="s">
        <v>1642</v>
      </c>
      <c r="B512" t="s">
        <v>18</v>
      </c>
      <c r="C512" t="s">
        <v>1643</v>
      </c>
      <c r="D512">
        <v>0</v>
      </c>
      <c r="E512">
        <v>0</v>
      </c>
      <c r="F512" t="s">
        <v>20</v>
      </c>
      <c r="G512">
        <v>0</v>
      </c>
      <c r="H512">
        <v>0</v>
      </c>
      <c r="I512">
        <v>0</v>
      </c>
      <c r="J512">
        <v>0</v>
      </c>
      <c r="K512" s="1">
        <v>-1.29999999999999E+16</v>
      </c>
      <c r="L512" s="1">
        <v>4680000000000000</v>
      </c>
      <c r="M512">
        <v>0</v>
      </c>
      <c r="N512">
        <v>0</v>
      </c>
      <c r="O512" s="1">
        <v>4.21800588760006E+16</v>
      </c>
      <c r="Q512" t="b">
        <v>0</v>
      </c>
    </row>
    <row r="513" spans="1:17" x14ac:dyDescent="0.35">
      <c r="A513" t="s">
        <v>1644</v>
      </c>
      <c r="B513" t="s">
        <v>18</v>
      </c>
      <c r="C513" t="s">
        <v>1645</v>
      </c>
      <c r="D513">
        <v>0</v>
      </c>
      <c r="E513">
        <v>0</v>
      </c>
      <c r="F513" t="s">
        <v>20</v>
      </c>
      <c r="G513">
        <v>0</v>
      </c>
      <c r="H513">
        <v>0</v>
      </c>
      <c r="I513">
        <v>0</v>
      </c>
      <c r="J513">
        <v>0</v>
      </c>
      <c r="K513" s="1">
        <v>-1.29999999999999E+16</v>
      </c>
      <c r="L513" s="1">
        <v>4680000000000000</v>
      </c>
      <c r="M513">
        <v>0</v>
      </c>
      <c r="N513">
        <v>0</v>
      </c>
      <c r="O513" s="1">
        <v>4218034407488140</v>
      </c>
      <c r="Q513" t="b">
        <v>0</v>
      </c>
    </row>
    <row r="514" spans="1:17" x14ac:dyDescent="0.35">
      <c r="A514" t="s">
        <v>1646</v>
      </c>
      <c r="B514" t="s">
        <v>18</v>
      </c>
      <c r="C514" t="s">
        <v>1647</v>
      </c>
      <c r="D514">
        <v>0</v>
      </c>
      <c r="E514">
        <v>0</v>
      </c>
      <c r="F514" t="s">
        <v>20</v>
      </c>
      <c r="G514">
        <v>0</v>
      </c>
      <c r="H514">
        <v>0</v>
      </c>
      <c r="I514">
        <v>0</v>
      </c>
      <c r="J514">
        <v>0</v>
      </c>
      <c r="K514" s="1">
        <v>-1.29999999999999E+16</v>
      </c>
      <c r="L514" s="1">
        <v>4680000000000000</v>
      </c>
      <c r="M514">
        <v>0</v>
      </c>
      <c r="N514">
        <v>0</v>
      </c>
      <c r="O514" s="1">
        <v>4218062927376220</v>
      </c>
      <c r="Q514" t="b">
        <v>0</v>
      </c>
    </row>
    <row r="515" spans="1:17" x14ac:dyDescent="0.35">
      <c r="A515" t="s">
        <v>1648</v>
      </c>
      <c r="B515" t="s">
        <v>18</v>
      </c>
      <c r="C515" t="s">
        <v>1649</v>
      </c>
      <c r="D515">
        <v>0</v>
      </c>
      <c r="E515">
        <v>0</v>
      </c>
      <c r="F515" t="s">
        <v>20</v>
      </c>
      <c r="G515">
        <v>0</v>
      </c>
      <c r="H515">
        <v>0</v>
      </c>
      <c r="I515">
        <v>0</v>
      </c>
      <c r="J515">
        <v>0</v>
      </c>
      <c r="K515" s="1">
        <v>-1.29999999999999E+16</v>
      </c>
      <c r="L515" t="s">
        <v>424</v>
      </c>
      <c r="M515">
        <v>0</v>
      </c>
      <c r="N515">
        <v>0</v>
      </c>
      <c r="O515" s="1">
        <v>4.2180914472643E+16</v>
      </c>
      <c r="Q515" t="b">
        <v>0</v>
      </c>
    </row>
    <row r="516" spans="1:17" x14ac:dyDescent="0.35">
      <c r="A516" t="s">
        <v>1650</v>
      </c>
      <c r="B516" t="s">
        <v>18</v>
      </c>
      <c r="C516" t="s">
        <v>1651</v>
      </c>
      <c r="D516">
        <v>0</v>
      </c>
      <c r="E516">
        <v>0</v>
      </c>
      <c r="F516" t="s">
        <v>20</v>
      </c>
      <c r="G516">
        <v>0</v>
      </c>
      <c r="H516">
        <v>0</v>
      </c>
      <c r="I516">
        <v>0</v>
      </c>
      <c r="J516">
        <v>0</v>
      </c>
      <c r="K516" s="1">
        <v>-1.29999999999999E+16</v>
      </c>
      <c r="L516" t="s">
        <v>424</v>
      </c>
      <c r="M516">
        <v>0</v>
      </c>
      <c r="N516">
        <v>0</v>
      </c>
      <c r="O516" s="1">
        <v>421811996715239</v>
      </c>
      <c r="Q516" t="b">
        <v>0</v>
      </c>
    </row>
    <row r="517" spans="1:17" x14ac:dyDescent="0.35">
      <c r="A517" t="s">
        <v>1652</v>
      </c>
      <c r="B517" t="s">
        <v>18</v>
      </c>
      <c r="C517" t="s">
        <v>1653</v>
      </c>
      <c r="D517">
        <v>0</v>
      </c>
      <c r="E517">
        <v>0</v>
      </c>
      <c r="F517" t="s">
        <v>20</v>
      </c>
      <c r="G517">
        <v>0</v>
      </c>
      <c r="H517">
        <v>0</v>
      </c>
      <c r="I517">
        <v>0</v>
      </c>
      <c r="J517">
        <v>0</v>
      </c>
      <c r="K517" s="1">
        <v>-1.29999999999999E+16</v>
      </c>
      <c r="L517" t="s">
        <v>424</v>
      </c>
      <c r="M517">
        <v>0</v>
      </c>
      <c r="N517">
        <v>0</v>
      </c>
      <c r="O517" s="1">
        <v>4218148487040470</v>
      </c>
      <c r="Q517" t="b">
        <v>0</v>
      </c>
    </row>
    <row r="518" spans="1:17" x14ac:dyDescent="0.35">
      <c r="A518" t="s">
        <v>1654</v>
      </c>
      <c r="B518" t="s">
        <v>18</v>
      </c>
      <c r="C518" t="s">
        <v>1655</v>
      </c>
      <c r="D518">
        <v>0</v>
      </c>
      <c r="E518">
        <v>0</v>
      </c>
      <c r="F518" t="s">
        <v>20</v>
      </c>
      <c r="G518">
        <v>0</v>
      </c>
      <c r="H518">
        <v>0</v>
      </c>
      <c r="I518">
        <v>0</v>
      </c>
      <c r="J518">
        <v>0</v>
      </c>
      <c r="K518" s="1">
        <v>-1.29999999999999E+16</v>
      </c>
      <c r="L518" t="s">
        <v>424</v>
      </c>
      <c r="M518">
        <v>0</v>
      </c>
      <c r="N518">
        <v>0</v>
      </c>
      <c r="O518" s="1">
        <v>4218177006928550</v>
      </c>
      <c r="Q518" t="b">
        <v>0</v>
      </c>
    </row>
    <row r="519" spans="1:17" x14ac:dyDescent="0.35">
      <c r="A519" t="s">
        <v>1656</v>
      </c>
      <c r="B519" t="s">
        <v>18</v>
      </c>
      <c r="C519" t="s">
        <v>1657</v>
      </c>
      <c r="D519">
        <v>0</v>
      </c>
      <c r="E519">
        <v>0</v>
      </c>
      <c r="F519" t="s">
        <v>20</v>
      </c>
      <c r="G519">
        <v>0</v>
      </c>
      <c r="H519">
        <v>0</v>
      </c>
      <c r="I519">
        <v>0</v>
      </c>
      <c r="J519">
        <v>0</v>
      </c>
      <c r="K519" t="s">
        <v>1658</v>
      </c>
      <c r="L519" s="1">
        <v>6300000000000000</v>
      </c>
      <c r="M519">
        <v>0</v>
      </c>
      <c r="N519">
        <v>0</v>
      </c>
      <c r="O519" s="1">
        <v>4218205526816630</v>
      </c>
      <c r="Q519" t="b">
        <v>0</v>
      </c>
    </row>
    <row r="520" spans="1:17" x14ac:dyDescent="0.35">
      <c r="A520" t="s">
        <v>1659</v>
      </c>
      <c r="B520" t="s">
        <v>18</v>
      </c>
      <c r="C520" t="s">
        <v>1660</v>
      </c>
      <c r="D520">
        <v>0</v>
      </c>
      <c r="E520">
        <v>0</v>
      </c>
      <c r="F520" t="s">
        <v>20</v>
      </c>
      <c r="G520">
        <v>0</v>
      </c>
      <c r="H520">
        <v>0</v>
      </c>
      <c r="I520">
        <v>0</v>
      </c>
      <c r="J520">
        <v>0</v>
      </c>
      <c r="K520" t="s">
        <v>1658</v>
      </c>
      <c r="L520" s="1">
        <v>6300000000000000</v>
      </c>
      <c r="M520">
        <v>0</v>
      </c>
      <c r="N520">
        <v>0</v>
      </c>
      <c r="O520" s="1">
        <v>4218234046704710</v>
      </c>
      <c r="Q520" t="b">
        <v>0</v>
      </c>
    </row>
    <row r="521" spans="1:17" x14ac:dyDescent="0.35">
      <c r="A521" t="s">
        <v>1661</v>
      </c>
      <c r="B521" t="s">
        <v>18</v>
      </c>
      <c r="C521" t="s">
        <v>1662</v>
      </c>
      <c r="D521">
        <v>0</v>
      </c>
      <c r="E521">
        <v>0</v>
      </c>
      <c r="F521" t="s">
        <v>20</v>
      </c>
      <c r="G521">
        <v>0</v>
      </c>
      <c r="H521">
        <v>0</v>
      </c>
      <c r="I521">
        <v>0</v>
      </c>
      <c r="J521">
        <v>0</v>
      </c>
      <c r="K521" t="s">
        <v>1658</v>
      </c>
      <c r="L521" s="1">
        <v>6300000000000000</v>
      </c>
      <c r="M521">
        <v>0</v>
      </c>
      <c r="N521">
        <v>0</v>
      </c>
      <c r="O521" s="1">
        <v>4218262566592790</v>
      </c>
      <c r="Q521" t="b">
        <v>0</v>
      </c>
    </row>
    <row r="522" spans="1:17" x14ac:dyDescent="0.35">
      <c r="A522" t="s">
        <v>1663</v>
      </c>
      <c r="B522" t="s">
        <v>18</v>
      </c>
      <c r="C522" t="s">
        <v>1664</v>
      </c>
      <c r="D522">
        <v>0</v>
      </c>
      <c r="E522">
        <v>0</v>
      </c>
      <c r="F522" t="s">
        <v>20</v>
      </c>
      <c r="G522">
        <v>0</v>
      </c>
      <c r="H522">
        <v>0</v>
      </c>
      <c r="I522">
        <v>0</v>
      </c>
      <c r="J522">
        <v>0</v>
      </c>
      <c r="K522" t="s">
        <v>1658</v>
      </c>
      <c r="L522" s="1">
        <v>6300000000000000</v>
      </c>
      <c r="M522">
        <v>0</v>
      </c>
      <c r="N522">
        <v>0</v>
      </c>
      <c r="O522" s="1">
        <v>4218291086480870</v>
      </c>
      <c r="Q522" t="b">
        <v>0</v>
      </c>
    </row>
    <row r="523" spans="1:17" x14ac:dyDescent="0.35">
      <c r="A523" t="s">
        <v>1665</v>
      </c>
      <c r="B523" t="s">
        <v>18</v>
      </c>
      <c r="C523" t="s">
        <v>1666</v>
      </c>
      <c r="D523">
        <v>0</v>
      </c>
      <c r="E523">
        <v>0</v>
      </c>
      <c r="F523" t="s">
        <v>20</v>
      </c>
      <c r="G523">
        <v>0</v>
      </c>
      <c r="H523">
        <v>0</v>
      </c>
      <c r="I523">
        <v>0</v>
      </c>
      <c r="J523">
        <v>0</v>
      </c>
      <c r="K523" t="s">
        <v>1658</v>
      </c>
      <c r="L523" t="s">
        <v>373</v>
      </c>
      <c r="M523">
        <v>0</v>
      </c>
      <c r="N523">
        <v>0</v>
      </c>
      <c r="O523" s="1">
        <v>4.21831960636896E+16</v>
      </c>
      <c r="Q523" t="b">
        <v>0</v>
      </c>
    </row>
    <row r="524" spans="1:17" x14ac:dyDescent="0.35">
      <c r="A524" t="s">
        <v>1667</v>
      </c>
      <c r="B524" t="s">
        <v>18</v>
      </c>
      <c r="C524" t="s">
        <v>1668</v>
      </c>
      <c r="D524">
        <v>0</v>
      </c>
      <c r="E524">
        <v>0</v>
      </c>
      <c r="F524" t="s">
        <v>20</v>
      </c>
      <c r="G524">
        <v>0</v>
      </c>
      <c r="H524">
        <v>0</v>
      </c>
      <c r="I524">
        <v>0</v>
      </c>
      <c r="J524">
        <v>0</v>
      </c>
      <c r="K524" t="s">
        <v>1658</v>
      </c>
      <c r="L524" t="s">
        <v>373</v>
      </c>
      <c r="M524">
        <v>0</v>
      </c>
      <c r="N524">
        <v>0</v>
      </c>
      <c r="O524" s="1">
        <v>4218348126257040</v>
      </c>
      <c r="Q524" t="b">
        <v>0</v>
      </c>
    </row>
    <row r="525" spans="1:17" x14ac:dyDescent="0.35">
      <c r="A525" t="s">
        <v>1669</v>
      </c>
      <c r="B525" t="s">
        <v>18</v>
      </c>
      <c r="C525" t="s">
        <v>1670</v>
      </c>
      <c r="D525">
        <v>0</v>
      </c>
      <c r="E525">
        <v>0</v>
      </c>
      <c r="F525" t="s">
        <v>20</v>
      </c>
      <c r="G525">
        <v>0</v>
      </c>
      <c r="H525">
        <v>0</v>
      </c>
      <c r="I525">
        <v>0</v>
      </c>
      <c r="J525">
        <v>0</v>
      </c>
      <c r="K525" t="s">
        <v>1658</v>
      </c>
      <c r="L525" t="s">
        <v>373</v>
      </c>
      <c r="M525">
        <v>0</v>
      </c>
      <c r="N525">
        <v>0</v>
      </c>
      <c r="O525" s="1">
        <v>4218376646145120</v>
      </c>
      <c r="Q525" t="b">
        <v>0</v>
      </c>
    </row>
    <row r="526" spans="1:17" x14ac:dyDescent="0.35">
      <c r="A526" t="s">
        <v>1671</v>
      </c>
      <c r="B526" t="s">
        <v>18</v>
      </c>
      <c r="C526" t="s">
        <v>1672</v>
      </c>
      <c r="D526">
        <v>0</v>
      </c>
      <c r="E526">
        <v>0</v>
      </c>
      <c r="F526" t="s">
        <v>20</v>
      </c>
      <c r="G526">
        <v>0</v>
      </c>
      <c r="H526">
        <v>0</v>
      </c>
      <c r="I526">
        <v>0</v>
      </c>
      <c r="J526">
        <v>0</v>
      </c>
      <c r="K526" t="s">
        <v>1658</v>
      </c>
      <c r="L526" t="s">
        <v>373</v>
      </c>
      <c r="M526">
        <v>0</v>
      </c>
      <c r="N526">
        <v>0</v>
      </c>
      <c r="O526" s="1">
        <v>4218405166033200</v>
      </c>
      <c r="Q526" t="b">
        <v>0</v>
      </c>
    </row>
    <row r="527" spans="1:17" x14ac:dyDescent="0.35">
      <c r="A527" t="s">
        <v>1673</v>
      </c>
      <c r="B527" t="s">
        <v>18</v>
      </c>
      <c r="C527" t="s">
        <v>1674</v>
      </c>
      <c r="D527">
        <v>0</v>
      </c>
      <c r="E527">
        <v>0</v>
      </c>
      <c r="F527" t="s">
        <v>20</v>
      </c>
      <c r="G527">
        <v>0</v>
      </c>
      <c r="H527">
        <v>0</v>
      </c>
      <c r="I527">
        <v>0</v>
      </c>
      <c r="J527">
        <v>0</v>
      </c>
      <c r="K527" t="s">
        <v>574</v>
      </c>
      <c r="L527" t="s">
        <v>215</v>
      </c>
      <c r="M527">
        <v>0</v>
      </c>
      <c r="N527">
        <v>0</v>
      </c>
      <c r="O527" s="1">
        <v>4218433685921280</v>
      </c>
      <c r="Q527" t="b">
        <v>0</v>
      </c>
    </row>
    <row r="528" spans="1:17" x14ac:dyDescent="0.35">
      <c r="A528" t="s">
        <v>1675</v>
      </c>
      <c r="B528" t="s">
        <v>18</v>
      </c>
      <c r="C528" t="s">
        <v>1676</v>
      </c>
      <c r="D528">
        <v>0</v>
      </c>
      <c r="E528">
        <v>0</v>
      </c>
      <c r="F528" t="s">
        <v>20</v>
      </c>
      <c r="G528">
        <v>0</v>
      </c>
      <c r="H528">
        <v>0</v>
      </c>
      <c r="I528">
        <v>0</v>
      </c>
      <c r="J528">
        <v>0</v>
      </c>
      <c r="K528" t="s">
        <v>574</v>
      </c>
      <c r="L528" t="s">
        <v>215</v>
      </c>
      <c r="M528">
        <v>0</v>
      </c>
      <c r="N528">
        <v>0</v>
      </c>
      <c r="O528" s="1">
        <v>4218462205809360</v>
      </c>
      <c r="Q528" t="b">
        <v>0</v>
      </c>
    </row>
    <row r="529" spans="1:17" x14ac:dyDescent="0.35">
      <c r="A529" t="s">
        <v>1677</v>
      </c>
      <c r="B529" t="s">
        <v>18</v>
      </c>
      <c r="C529" t="s">
        <v>1678</v>
      </c>
      <c r="D529">
        <v>0</v>
      </c>
      <c r="E529">
        <v>0</v>
      </c>
      <c r="F529" t="s">
        <v>20</v>
      </c>
      <c r="G529">
        <v>0</v>
      </c>
      <c r="H529">
        <v>0</v>
      </c>
      <c r="I529">
        <v>0</v>
      </c>
      <c r="J529">
        <v>0</v>
      </c>
      <c r="K529" t="s">
        <v>574</v>
      </c>
      <c r="L529" t="s">
        <v>215</v>
      </c>
      <c r="M529">
        <v>0</v>
      </c>
      <c r="N529">
        <v>0</v>
      </c>
      <c r="O529" s="1">
        <v>421849072569745</v>
      </c>
      <c r="Q529" t="b">
        <v>0</v>
      </c>
    </row>
    <row r="530" spans="1:17" x14ac:dyDescent="0.35">
      <c r="A530" t="s">
        <v>1679</v>
      </c>
      <c r="B530" t="s">
        <v>18</v>
      </c>
      <c r="C530" t="s">
        <v>1680</v>
      </c>
      <c r="D530">
        <v>0</v>
      </c>
      <c r="E530">
        <v>0</v>
      </c>
      <c r="F530" t="s">
        <v>20</v>
      </c>
      <c r="G530">
        <v>0</v>
      </c>
      <c r="H530">
        <v>0</v>
      </c>
      <c r="I530">
        <v>0</v>
      </c>
      <c r="J530">
        <v>0</v>
      </c>
      <c r="K530" t="s">
        <v>574</v>
      </c>
      <c r="L530" t="s">
        <v>215</v>
      </c>
      <c r="M530">
        <v>0</v>
      </c>
      <c r="N530">
        <v>0</v>
      </c>
      <c r="O530" s="1">
        <v>4218519245585530</v>
      </c>
      <c r="Q530" t="b">
        <v>0</v>
      </c>
    </row>
    <row r="531" spans="1:17" x14ac:dyDescent="0.35">
      <c r="A531" t="s">
        <v>1681</v>
      </c>
      <c r="B531" t="s">
        <v>18</v>
      </c>
      <c r="C531" t="s">
        <v>1682</v>
      </c>
      <c r="D531">
        <v>0</v>
      </c>
      <c r="E531">
        <v>0</v>
      </c>
      <c r="F531" t="s">
        <v>20</v>
      </c>
      <c r="G531">
        <v>0</v>
      </c>
      <c r="H531">
        <v>0</v>
      </c>
      <c r="I531">
        <v>0</v>
      </c>
      <c r="J531">
        <v>0</v>
      </c>
      <c r="K531" t="s">
        <v>175</v>
      </c>
      <c r="L531" t="s">
        <v>215</v>
      </c>
      <c r="M531">
        <v>0</v>
      </c>
      <c r="N531">
        <v>0</v>
      </c>
      <c r="O531" s="1">
        <v>4218547765473610</v>
      </c>
      <c r="Q531" t="b">
        <v>0</v>
      </c>
    </row>
    <row r="532" spans="1:17" x14ac:dyDescent="0.35">
      <c r="A532" t="s">
        <v>1683</v>
      </c>
      <c r="B532" t="s">
        <v>18</v>
      </c>
      <c r="C532" t="s">
        <v>1684</v>
      </c>
      <c r="D532">
        <v>0</v>
      </c>
      <c r="E532">
        <v>0</v>
      </c>
      <c r="F532" t="s">
        <v>20</v>
      </c>
      <c r="G532">
        <v>0</v>
      </c>
      <c r="H532">
        <v>0</v>
      </c>
      <c r="I532">
        <v>0</v>
      </c>
      <c r="J532">
        <v>0</v>
      </c>
      <c r="K532" t="s">
        <v>175</v>
      </c>
      <c r="L532" t="s">
        <v>215</v>
      </c>
      <c r="M532">
        <v>0</v>
      </c>
      <c r="N532">
        <v>0</v>
      </c>
      <c r="O532" s="1">
        <v>4218576285361690</v>
      </c>
      <c r="Q532" t="b">
        <v>0</v>
      </c>
    </row>
    <row r="533" spans="1:17" x14ac:dyDescent="0.35">
      <c r="A533" t="s">
        <v>1685</v>
      </c>
      <c r="B533" t="s">
        <v>18</v>
      </c>
      <c r="C533" t="s">
        <v>1686</v>
      </c>
      <c r="D533">
        <v>0</v>
      </c>
      <c r="E533">
        <v>0</v>
      </c>
      <c r="F533" t="s">
        <v>20</v>
      </c>
      <c r="G533" t="s">
        <v>1687</v>
      </c>
      <c r="H533">
        <v>0</v>
      </c>
      <c r="I533">
        <v>0</v>
      </c>
      <c r="J533">
        <v>0</v>
      </c>
      <c r="K533" t="s">
        <v>175</v>
      </c>
      <c r="L533" t="s">
        <v>215</v>
      </c>
      <c r="M533">
        <v>0</v>
      </c>
      <c r="N533">
        <v>0</v>
      </c>
      <c r="O533" s="1">
        <v>4218604805249770</v>
      </c>
      <c r="Q533" t="b">
        <v>0</v>
      </c>
    </row>
    <row r="534" spans="1:17" x14ac:dyDescent="0.35">
      <c r="A534" t="s">
        <v>1688</v>
      </c>
      <c r="B534" t="s">
        <v>18</v>
      </c>
      <c r="C534" t="s">
        <v>1689</v>
      </c>
      <c r="D534">
        <v>0</v>
      </c>
      <c r="E534" t="s">
        <v>1690</v>
      </c>
      <c r="F534" t="s">
        <v>20</v>
      </c>
      <c r="G534" t="s">
        <v>1691</v>
      </c>
      <c r="H534">
        <v>0</v>
      </c>
      <c r="I534">
        <v>0</v>
      </c>
      <c r="J534">
        <v>0</v>
      </c>
      <c r="K534" t="s">
        <v>175</v>
      </c>
      <c r="L534" t="s">
        <v>215</v>
      </c>
      <c r="M534">
        <v>0</v>
      </c>
      <c r="N534">
        <v>0</v>
      </c>
      <c r="O534" s="1">
        <v>4218633325137850</v>
      </c>
      <c r="Q534" t="b">
        <v>0</v>
      </c>
    </row>
    <row r="535" spans="1:17" x14ac:dyDescent="0.35">
      <c r="A535" t="s">
        <v>1692</v>
      </c>
      <c r="B535" t="s">
        <v>18</v>
      </c>
      <c r="C535" t="s">
        <v>1693</v>
      </c>
      <c r="D535">
        <v>0</v>
      </c>
      <c r="E535" t="s">
        <v>1694</v>
      </c>
      <c r="F535" t="s">
        <v>20</v>
      </c>
      <c r="G535" t="s">
        <v>1695</v>
      </c>
      <c r="H535" s="1">
        <v>1.53333333333333E+16</v>
      </c>
      <c r="I535">
        <v>0</v>
      </c>
      <c r="J535">
        <v>13</v>
      </c>
      <c r="K535" t="s">
        <v>153</v>
      </c>
      <c r="L535" t="s">
        <v>215</v>
      </c>
      <c r="M535">
        <v>0</v>
      </c>
      <c r="N535">
        <v>0</v>
      </c>
      <c r="O535" s="1">
        <v>421866184502594</v>
      </c>
      <c r="Q535" t="b">
        <v>0</v>
      </c>
    </row>
    <row r="536" spans="1:17" x14ac:dyDescent="0.35">
      <c r="A536" t="s">
        <v>1696</v>
      </c>
      <c r="B536" t="s">
        <v>18</v>
      </c>
      <c r="C536" t="s">
        <v>1697</v>
      </c>
      <c r="D536">
        <v>0</v>
      </c>
      <c r="E536" t="s">
        <v>1698</v>
      </c>
      <c r="F536" t="s">
        <v>20</v>
      </c>
      <c r="G536" t="s">
        <v>1699</v>
      </c>
      <c r="H536" s="1">
        <v>1.53333333333333E+16</v>
      </c>
      <c r="I536">
        <v>0</v>
      </c>
      <c r="J536">
        <v>13</v>
      </c>
      <c r="K536" t="s">
        <v>153</v>
      </c>
      <c r="L536" t="s">
        <v>215</v>
      </c>
      <c r="M536">
        <v>0</v>
      </c>
      <c r="N536">
        <v>0</v>
      </c>
      <c r="O536" s="1">
        <v>4218690364914020</v>
      </c>
      <c r="Q536" t="b">
        <v>0</v>
      </c>
    </row>
    <row r="537" spans="1:17" x14ac:dyDescent="0.35">
      <c r="A537" t="s">
        <v>1700</v>
      </c>
      <c r="B537" t="s">
        <v>18</v>
      </c>
      <c r="C537" t="s">
        <v>1701</v>
      </c>
      <c r="D537">
        <v>0</v>
      </c>
      <c r="E537" t="s">
        <v>1702</v>
      </c>
      <c r="F537" t="s">
        <v>20</v>
      </c>
      <c r="G537" t="s">
        <v>1703</v>
      </c>
      <c r="H537" s="1">
        <v>1.53333333333333E+16</v>
      </c>
      <c r="I537">
        <v>0</v>
      </c>
      <c r="J537">
        <v>13</v>
      </c>
      <c r="K537" t="s">
        <v>153</v>
      </c>
      <c r="L537" t="s">
        <v>215</v>
      </c>
      <c r="M537">
        <v>0</v>
      </c>
      <c r="N537">
        <v>0</v>
      </c>
      <c r="O537" s="1">
        <v>4218718884802100</v>
      </c>
      <c r="Q537" t="b">
        <v>0</v>
      </c>
    </row>
    <row r="538" spans="1:17" x14ac:dyDescent="0.35">
      <c r="A538" t="s">
        <v>1704</v>
      </c>
      <c r="B538" t="s">
        <v>18</v>
      </c>
      <c r="C538" t="s">
        <v>1705</v>
      </c>
      <c r="D538">
        <v>0</v>
      </c>
      <c r="E538" t="s">
        <v>1706</v>
      </c>
      <c r="F538" t="s">
        <v>20</v>
      </c>
      <c r="G538" t="s">
        <v>1707</v>
      </c>
      <c r="H538" s="1">
        <v>1.53333333333333E+16</v>
      </c>
      <c r="I538">
        <v>0</v>
      </c>
      <c r="J538">
        <v>13</v>
      </c>
      <c r="K538" t="s">
        <v>153</v>
      </c>
      <c r="L538" t="s">
        <v>215</v>
      </c>
      <c r="M538">
        <v>0</v>
      </c>
      <c r="N538">
        <v>0</v>
      </c>
      <c r="O538" s="1">
        <v>4218747404690180</v>
      </c>
      <c r="Q538" t="b">
        <v>0</v>
      </c>
    </row>
    <row r="539" spans="1:17" x14ac:dyDescent="0.35">
      <c r="A539" t="s">
        <v>1708</v>
      </c>
      <c r="B539" t="s">
        <v>18</v>
      </c>
      <c r="C539" t="s">
        <v>1709</v>
      </c>
      <c r="D539">
        <v>0</v>
      </c>
      <c r="E539" t="s">
        <v>1710</v>
      </c>
      <c r="F539" t="s">
        <v>20</v>
      </c>
      <c r="G539" t="s">
        <v>1711</v>
      </c>
      <c r="H539" t="s">
        <v>1475</v>
      </c>
      <c r="I539">
        <v>0</v>
      </c>
      <c r="J539" t="s">
        <v>1712</v>
      </c>
      <c r="K539" t="s">
        <v>131</v>
      </c>
      <c r="L539" t="s">
        <v>192</v>
      </c>
      <c r="M539">
        <v>0</v>
      </c>
      <c r="N539">
        <v>0</v>
      </c>
      <c r="O539" s="1">
        <v>4.21877592457826E+16</v>
      </c>
      <c r="Q539" t="b">
        <v>0</v>
      </c>
    </row>
    <row r="540" spans="1:17" x14ac:dyDescent="0.35">
      <c r="A540" t="s">
        <v>1713</v>
      </c>
      <c r="B540" t="s">
        <v>18</v>
      </c>
      <c r="C540" t="s">
        <v>1714</v>
      </c>
      <c r="D540">
        <v>0</v>
      </c>
      <c r="E540" t="s">
        <v>1715</v>
      </c>
      <c r="F540" t="s">
        <v>20</v>
      </c>
      <c r="G540" t="s">
        <v>1716</v>
      </c>
      <c r="H540" t="s">
        <v>1475</v>
      </c>
      <c r="I540">
        <v>0</v>
      </c>
      <c r="J540" t="s">
        <v>1712</v>
      </c>
      <c r="K540" t="s">
        <v>131</v>
      </c>
      <c r="L540" t="s">
        <v>192</v>
      </c>
      <c r="M540">
        <v>0</v>
      </c>
      <c r="N540">
        <v>0</v>
      </c>
      <c r="O540" s="1">
        <v>4218804444466340</v>
      </c>
      <c r="Q540" t="b">
        <v>0</v>
      </c>
    </row>
    <row r="541" spans="1:17" x14ac:dyDescent="0.35">
      <c r="A541" t="s">
        <v>1717</v>
      </c>
      <c r="B541" t="s">
        <v>18</v>
      </c>
      <c r="C541" t="s">
        <v>1718</v>
      </c>
      <c r="D541">
        <v>0</v>
      </c>
      <c r="E541" t="s">
        <v>1719</v>
      </c>
      <c r="F541" t="s">
        <v>20</v>
      </c>
      <c r="G541" t="s">
        <v>1720</v>
      </c>
      <c r="H541" t="s">
        <v>1475</v>
      </c>
      <c r="I541">
        <v>0</v>
      </c>
      <c r="J541" t="s">
        <v>1712</v>
      </c>
      <c r="K541" t="s">
        <v>131</v>
      </c>
      <c r="L541" t="s">
        <v>192</v>
      </c>
      <c r="M541">
        <v>0</v>
      </c>
      <c r="N541">
        <v>0</v>
      </c>
      <c r="O541" s="1">
        <v>4218832964354420</v>
      </c>
      <c r="Q541" t="b">
        <v>0</v>
      </c>
    </row>
    <row r="542" spans="1:17" x14ac:dyDescent="0.35">
      <c r="A542" t="s">
        <v>1721</v>
      </c>
      <c r="B542" t="s">
        <v>18</v>
      </c>
      <c r="C542" t="s">
        <v>1722</v>
      </c>
      <c r="D542">
        <v>0</v>
      </c>
      <c r="E542" t="s">
        <v>1723</v>
      </c>
      <c r="F542" t="s">
        <v>20</v>
      </c>
      <c r="G542" t="s">
        <v>1724</v>
      </c>
      <c r="H542" t="s">
        <v>1475</v>
      </c>
      <c r="I542">
        <v>0</v>
      </c>
      <c r="J542" t="s">
        <v>1712</v>
      </c>
      <c r="K542" t="s">
        <v>131</v>
      </c>
      <c r="L542" t="s">
        <v>192</v>
      </c>
      <c r="M542">
        <v>0</v>
      </c>
      <c r="N542">
        <v>0</v>
      </c>
      <c r="O542" s="1">
        <v>4.2188614842425104E+16</v>
      </c>
      <c r="Q542" t="b">
        <v>0</v>
      </c>
    </row>
    <row r="543" spans="1:17" x14ac:dyDescent="0.35">
      <c r="A543" t="s">
        <v>1725</v>
      </c>
      <c r="B543" t="s">
        <v>18</v>
      </c>
      <c r="C543" t="s">
        <v>1726</v>
      </c>
      <c r="D543">
        <v>0</v>
      </c>
      <c r="E543" t="s">
        <v>1727</v>
      </c>
      <c r="F543" t="s">
        <v>20</v>
      </c>
      <c r="G543" t="s">
        <v>1728</v>
      </c>
      <c r="H543" s="1">
        <v>6933333333333330</v>
      </c>
      <c r="I543">
        <v>0</v>
      </c>
      <c r="J543" t="s">
        <v>1729</v>
      </c>
      <c r="K543" s="1">
        <v>1.45E+16</v>
      </c>
      <c r="L543" s="1">
        <v>1.278E+16</v>
      </c>
      <c r="M543">
        <v>0</v>
      </c>
      <c r="N543">
        <v>0</v>
      </c>
      <c r="O543" s="1">
        <v>4218890004130590</v>
      </c>
      <c r="Q543" t="b">
        <v>0</v>
      </c>
    </row>
    <row r="544" spans="1:17" x14ac:dyDescent="0.35">
      <c r="A544" t="s">
        <v>1730</v>
      </c>
      <c r="B544" t="s">
        <v>18</v>
      </c>
      <c r="C544" t="s">
        <v>1731</v>
      </c>
      <c r="D544">
        <v>0</v>
      </c>
      <c r="E544" t="s">
        <v>1732</v>
      </c>
      <c r="F544" t="s">
        <v>20</v>
      </c>
      <c r="G544" t="s">
        <v>1733</v>
      </c>
      <c r="H544" s="1">
        <v>6933333333333330</v>
      </c>
      <c r="I544">
        <v>0</v>
      </c>
      <c r="J544" t="s">
        <v>1729</v>
      </c>
      <c r="K544" s="1">
        <v>1.45E+16</v>
      </c>
      <c r="L544" s="1">
        <v>1.278E+16</v>
      </c>
      <c r="M544">
        <v>0</v>
      </c>
      <c r="N544">
        <v>0</v>
      </c>
      <c r="O544" s="1">
        <v>4218918524018670</v>
      </c>
      <c r="Q544" t="b">
        <v>0</v>
      </c>
    </row>
    <row r="545" spans="1:17" x14ac:dyDescent="0.35">
      <c r="A545" t="s">
        <v>1734</v>
      </c>
      <c r="B545" t="s">
        <v>18</v>
      </c>
      <c r="C545" t="s">
        <v>1735</v>
      </c>
      <c r="D545">
        <v>0</v>
      </c>
      <c r="E545" t="s">
        <v>1736</v>
      </c>
      <c r="F545" t="s">
        <v>20</v>
      </c>
      <c r="G545" t="s">
        <v>1737</v>
      </c>
      <c r="H545" s="1">
        <v>6933333333333330</v>
      </c>
      <c r="I545">
        <v>0</v>
      </c>
      <c r="J545" t="s">
        <v>1729</v>
      </c>
      <c r="K545" s="1">
        <v>1.45E+16</v>
      </c>
      <c r="L545" s="1">
        <v>1.278E+16</v>
      </c>
      <c r="M545">
        <v>0</v>
      </c>
      <c r="N545">
        <v>0</v>
      </c>
      <c r="O545" s="1">
        <v>4218947043906750</v>
      </c>
      <c r="Q545" t="b">
        <v>0</v>
      </c>
    </row>
    <row r="546" spans="1:17" x14ac:dyDescent="0.35">
      <c r="A546" t="s">
        <v>1738</v>
      </c>
      <c r="B546" t="s">
        <v>18</v>
      </c>
      <c r="C546" t="s">
        <v>1739</v>
      </c>
      <c r="D546">
        <v>0</v>
      </c>
      <c r="E546" t="s">
        <v>1740</v>
      </c>
      <c r="F546" t="s">
        <v>20</v>
      </c>
      <c r="G546" t="s">
        <v>1741</v>
      </c>
      <c r="H546" s="1">
        <v>6933333333333330</v>
      </c>
      <c r="I546">
        <v>0</v>
      </c>
      <c r="J546" t="s">
        <v>1729</v>
      </c>
      <c r="K546" s="1">
        <v>1.45E+16</v>
      </c>
      <c r="L546" s="1">
        <v>1.278E+16</v>
      </c>
      <c r="M546">
        <v>0</v>
      </c>
      <c r="N546">
        <v>0</v>
      </c>
      <c r="O546" s="1">
        <v>4218975563794830</v>
      </c>
      <c r="Q546" t="b">
        <v>0</v>
      </c>
    </row>
    <row r="547" spans="1:17" x14ac:dyDescent="0.35">
      <c r="A547" t="s">
        <v>1742</v>
      </c>
      <c r="B547" t="s">
        <v>18</v>
      </c>
      <c r="C547" t="s">
        <v>1743</v>
      </c>
      <c r="D547">
        <v>0</v>
      </c>
      <c r="E547" t="s">
        <v>1744</v>
      </c>
      <c r="F547" t="s">
        <v>20</v>
      </c>
      <c r="G547" t="s">
        <v>1745</v>
      </c>
      <c r="H547" s="1">
        <v>1.03166666666666E+16</v>
      </c>
      <c r="I547">
        <v>0</v>
      </c>
      <c r="J547" t="s">
        <v>1746</v>
      </c>
      <c r="K547">
        <v>2</v>
      </c>
      <c r="L547" t="s">
        <v>63</v>
      </c>
      <c r="M547">
        <v>0</v>
      </c>
      <c r="N547">
        <v>0</v>
      </c>
      <c r="O547" s="1">
        <v>4219004083682910</v>
      </c>
      <c r="Q547" t="b">
        <v>0</v>
      </c>
    </row>
    <row r="548" spans="1:17" x14ac:dyDescent="0.35">
      <c r="A548" t="s">
        <v>1747</v>
      </c>
      <c r="B548" t="s">
        <v>18</v>
      </c>
      <c r="C548" t="s">
        <v>1748</v>
      </c>
      <c r="D548">
        <v>0</v>
      </c>
      <c r="E548" t="s">
        <v>1749</v>
      </c>
      <c r="F548" t="s">
        <v>20</v>
      </c>
      <c r="G548" t="s">
        <v>1750</v>
      </c>
      <c r="H548" s="1">
        <v>1.03166666666666E+16</v>
      </c>
      <c r="I548">
        <v>0</v>
      </c>
      <c r="J548" t="s">
        <v>1746</v>
      </c>
      <c r="K548">
        <v>2</v>
      </c>
      <c r="L548" t="s">
        <v>63</v>
      </c>
      <c r="M548">
        <v>0</v>
      </c>
      <c r="N548">
        <v>0</v>
      </c>
      <c r="O548" s="1">
        <v>4219032603571</v>
      </c>
      <c r="Q548" t="b">
        <v>0</v>
      </c>
    </row>
    <row r="549" spans="1:17" x14ac:dyDescent="0.35">
      <c r="A549" t="s">
        <v>1751</v>
      </c>
      <c r="B549" t="s">
        <v>18</v>
      </c>
      <c r="C549" t="s">
        <v>1752</v>
      </c>
      <c r="D549">
        <v>0</v>
      </c>
      <c r="E549" t="s">
        <v>1753</v>
      </c>
      <c r="F549" t="s">
        <v>20</v>
      </c>
      <c r="G549" t="s">
        <v>1754</v>
      </c>
      <c r="H549" s="1">
        <v>1.03166666666666E+16</v>
      </c>
      <c r="I549">
        <v>0</v>
      </c>
      <c r="J549" t="s">
        <v>1746</v>
      </c>
      <c r="K549">
        <v>2</v>
      </c>
      <c r="L549" t="s">
        <v>63</v>
      </c>
      <c r="M549">
        <v>0</v>
      </c>
      <c r="N549">
        <v>0</v>
      </c>
      <c r="O549" s="1">
        <v>4219061123459080</v>
      </c>
      <c r="Q549" t="b">
        <v>0</v>
      </c>
    </row>
    <row r="550" spans="1:17" x14ac:dyDescent="0.35">
      <c r="A550" t="s">
        <v>1755</v>
      </c>
      <c r="B550" t="s">
        <v>18</v>
      </c>
      <c r="C550" t="s">
        <v>1756</v>
      </c>
      <c r="D550">
        <v>0</v>
      </c>
      <c r="E550" t="s">
        <v>1757</v>
      </c>
      <c r="F550" t="s">
        <v>20</v>
      </c>
      <c r="G550" t="s">
        <v>1758</v>
      </c>
      <c r="H550" s="1">
        <v>1.03166666666666E+16</v>
      </c>
      <c r="I550">
        <v>0</v>
      </c>
      <c r="J550" t="s">
        <v>1746</v>
      </c>
      <c r="K550">
        <v>2</v>
      </c>
      <c r="L550" t="s">
        <v>63</v>
      </c>
      <c r="M550">
        <v>0</v>
      </c>
      <c r="N550">
        <v>0</v>
      </c>
      <c r="O550" s="1">
        <v>4219089643347160</v>
      </c>
      <c r="Q550" t="b">
        <v>0</v>
      </c>
    </row>
    <row r="551" spans="1:17" x14ac:dyDescent="0.35">
      <c r="A551" t="s">
        <v>1759</v>
      </c>
      <c r="B551" t="s">
        <v>18</v>
      </c>
      <c r="C551" t="s">
        <v>1760</v>
      </c>
      <c r="D551">
        <v>0</v>
      </c>
      <c r="E551" t="s">
        <v>1761</v>
      </c>
      <c r="F551" t="s">
        <v>20</v>
      </c>
      <c r="G551" t="s">
        <v>1762</v>
      </c>
      <c r="H551" s="1">
        <v>1.33666666666666E+16</v>
      </c>
      <c r="I551">
        <v>0</v>
      </c>
      <c r="J551" t="s">
        <v>1763</v>
      </c>
      <c r="K551" t="s">
        <v>663</v>
      </c>
      <c r="L551" t="s">
        <v>26</v>
      </c>
      <c r="M551">
        <v>0</v>
      </c>
      <c r="N551">
        <v>0</v>
      </c>
      <c r="O551" s="1">
        <v>4219118163235240</v>
      </c>
      <c r="Q551" t="b">
        <v>0</v>
      </c>
    </row>
    <row r="552" spans="1:17" x14ac:dyDescent="0.35">
      <c r="A552" t="s">
        <v>1764</v>
      </c>
      <c r="B552" t="s">
        <v>18</v>
      </c>
      <c r="C552" t="s">
        <v>1765</v>
      </c>
      <c r="D552">
        <v>0</v>
      </c>
      <c r="E552" t="s">
        <v>1766</v>
      </c>
      <c r="F552" t="s">
        <v>20</v>
      </c>
      <c r="G552" t="s">
        <v>1767</v>
      </c>
      <c r="H552" s="1">
        <v>1.33666666666666E+16</v>
      </c>
      <c r="I552">
        <v>0</v>
      </c>
      <c r="J552" t="s">
        <v>1763</v>
      </c>
      <c r="K552" t="s">
        <v>663</v>
      </c>
      <c r="L552" t="s">
        <v>26</v>
      </c>
      <c r="M552">
        <v>0</v>
      </c>
      <c r="N552">
        <v>0</v>
      </c>
      <c r="O552" s="1">
        <v>4219146683123320</v>
      </c>
      <c r="Q552" t="b">
        <v>0</v>
      </c>
    </row>
    <row r="553" spans="1:17" x14ac:dyDescent="0.35">
      <c r="A553" t="s">
        <v>1768</v>
      </c>
      <c r="B553" t="s">
        <v>18</v>
      </c>
      <c r="C553" t="s">
        <v>1769</v>
      </c>
      <c r="D553">
        <v>0</v>
      </c>
      <c r="E553" t="s">
        <v>1770</v>
      </c>
      <c r="F553" t="s">
        <v>20</v>
      </c>
      <c r="G553" t="s">
        <v>1771</v>
      </c>
      <c r="H553" s="1">
        <v>1.33666666666666E+16</v>
      </c>
      <c r="I553">
        <v>0</v>
      </c>
      <c r="J553" t="s">
        <v>1763</v>
      </c>
      <c r="K553" t="s">
        <v>663</v>
      </c>
      <c r="L553" t="s">
        <v>26</v>
      </c>
      <c r="M553">
        <v>0</v>
      </c>
      <c r="N553">
        <v>0</v>
      </c>
      <c r="O553" s="1">
        <v>4219175203011400</v>
      </c>
      <c r="Q553" t="b">
        <v>0</v>
      </c>
    </row>
    <row r="554" spans="1:17" x14ac:dyDescent="0.35">
      <c r="A554" t="s">
        <v>1772</v>
      </c>
      <c r="B554" t="s">
        <v>18</v>
      </c>
      <c r="C554" t="s">
        <v>1773</v>
      </c>
      <c r="D554">
        <v>0</v>
      </c>
      <c r="E554" t="s">
        <v>1774</v>
      </c>
      <c r="F554" t="s">
        <v>20</v>
      </c>
      <c r="G554" t="s">
        <v>1775</v>
      </c>
      <c r="H554" s="1">
        <v>1.33666666666666E+16</v>
      </c>
      <c r="I554">
        <v>0</v>
      </c>
      <c r="J554" t="s">
        <v>1763</v>
      </c>
      <c r="K554" t="s">
        <v>663</v>
      </c>
      <c r="L554" t="s">
        <v>26</v>
      </c>
      <c r="M554">
        <v>0</v>
      </c>
      <c r="N554">
        <v>0</v>
      </c>
      <c r="O554" s="1">
        <v>4219203722899480</v>
      </c>
      <c r="Q554" t="b">
        <v>0</v>
      </c>
    </row>
    <row r="555" spans="1:17" x14ac:dyDescent="0.35">
      <c r="A555" t="s">
        <v>1776</v>
      </c>
      <c r="B555" t="s">
        <v>18</v>
      </c>
      <c r="C555" t="s">
        <v>1777</v>
      </c>
      <c r="D555">
        <v>0</v>
      </c>
      <c r="E555" t="s">
        <v>1778</v>
      </c>
      <c r="F555" t="s">
        <v>20</v>
      </c>
      <c r="G555" t="s">
        <v>1779</v>
      </c>
      <c r="H555" s="1">
        <v>1.68666666666666E+16</v>
      </c>
      <c r="I555">
        <v>0</v>
      </c>
      <c r="J555" t="s">
        <v>1780</v>
      </c>
      <c r="K555" t="s">
        <v>293</v>
      </c>
      <c r="L555" t="s">
        <v>1781</v>
      </c>
      <c r="M555">
        <v>0</v>
      </c>
      <c r="N555">
        <v>0</v>
      </c>
      <c r="O555" s="1">
        <v>4219232242787570</v>
      </c>
      <c r="Q555" t="b">
        <v>0</v>
      </c>
    </row>
    <row r="556" spans="1:17" x14ac:dyDescent="0.35">
      <c r="A556" t="s">
        <v>1782</v>
      </c>
      <c r="B556" t="s">
        <v>18</v>
      </c>
      <c r="C556" t="s">
        <v>1783</v>
      </c>
      <c r="D556">
        <v>0</v>
      </c>
      <c r="E556" t="s">
        <v>1784</v>
      </c>
      <c r="F556" t="s">
        <v>20</v>
      </c>
      <c r="G556" t="s">
        <v>1785</v>
      </c>
      <c r="H556" s="1">
        <v>1.68666666666666E+16</v>
      </c>
      <c r="I556">
        <v>0</v>
      </c>
      <c r="J556" t="s">
        <v>1780</v>
      </c>
      <c r="K556" t="s">
        <v>293</v>
      </c>
      <c r="L556" t="s">
        <v>1781</v>
      </c>
      <c r="M556">
        <v>0</v>
      </c>
      <c r="N556">
        <v>0</v>
      </c>
      <c r="O556" s="1">
        <v>4219260762675650</v>
      </c>
      <c r="Q556" t="b">
        <v>0</v>
      </c>
    </row>
    <row r="557" spans="1:17" x14ac:dyDescent="0.35">
      <c r="A557" t="s">
        <v>1786</v>
      </c>
      <c r="B557" t="s">
        <v>18</v>
      </c>
      <c r="C557" t="s">
        <v>1787</v>
      </c>
      <c r="D557">
        <v>0</v>
      </c>
      <c r="E557" t="s">
        <v>1788</v>
      </c>
      <c r="F557" t="s">
        <v>20</v>
      </c>
      <c r="G557" t="s">
        <v>1789</v>
      </c>
      <c r="H557" s="1">
        <v>1.68666666666666E+16</v>
      </c>
      <c r="I557">
        <v>0</v>
      </c>
      <c r="J557" t="s">
        <v>1780</v>
      </c>
      <c r="K557" t="s">
        <v>293</v>
      </c>
      <c r="L557" t="s">
        <v>1781</v>
      </c>
      <c r="M557">
        <v>0</v>
      </c>
      <c r="N557">
        <v>0</v>
      </c>
      <c r="O557" s="1">
        <v>4219289282563730</v>
      </c>
      <c r="Q557" t="b">
        <v>0</v>
      </c>
    </row>
    <row r="558" spans="1:17" x14ac:dyDescent="0.35">
      <c r="A558" t="s">
        <v>1790</v>
      </c>
      <c r="B558" t="s">
        <v>18</v>
      </c>
      <c r="C558" t="s">
        <v>1791</v>
      </c>
      <c r="D558">
        <v>0</v>
      </c>
      <c r="E558" t="s">
        <v>1792</v>
      </c>
      <c r="F558" t="s">
        <v>20</v>
      </c>
      <c r="G558" t="s">
        <v>1793</v>
      </c>
      <c r="H558" s="1">
        <v>1.68666666666666E+16</v>
      </c>
      <c r="I558">
        <v>0</v>
      </c>
      <c r="J558" t="s">
        <v>1780</v>
      </c>
      <c r="K558" t="s">
        <v>293</v>
      </c>
      <c r="L558" t="s">
        <v>1781</v>
      </c>
      <c r="M558">
        <v>0</v>
      </c>
      <c r="N558">
        <v>0</v>
      </c>
      <c r="O558" s="1">
        <v>4219317802451810</v>
      </c>
      <c r="Q558" t="b">
        <v>0</v>
      </c>
    </row>
    <row r="559" spans="1:17" x14ac:dyDescent="0.35">
      <c r="A559" t="s">
        <v>1794</v>
      </c>
      <c r="B559" t="s">
        <v>18</v>
      </c>
      <c r="C559" t="s">
        <v>1795</v>
      </c>
      <c r="D559">
        <v>0</v>
      </c>
      <c r="E559" t="s">
        <v>1796</v>
      </c>
      <c r="F559" t="s">
        <v>20</v>
      </c>
      <c r="G559" t="s">
        <v>1797</v>
      </c>
      <c r="H559" s="1">
        <v>1983333333333330</v>
      </c>
      <c r="I559">
        <v>0</v>
      </c>
      <c r="J559">
        <v>67</v>
      </c>
      <c r="K559" t="s">
        <v>380</v>
      </c>
      <c r="L559" s="1">
        <v>9540000000000000</v>
      </c>
      <c r="M559">
        <v>0</v>
      </c>
      <c r="N559">
        <v>0</v>
      </c>
      <c r="O559" s="1">
        <v>4219346322339890</v>
      </c>
      <c r="Q559" t="b">
        <v>0</v>
      </c>
    </row>
    <row r="560" spans="1:17" x14ac:dyDescent="0.35">
      <c r="A560" t="s">
        <v>1798</v>
      </c>
      <c r="B560" t="s">
        <v>18</v>
      </c>
      <c r="C560" t="s">
        <v>1799</v>
      </c>
      <c r="D560">
        <v>0</v>
      </c>
      <c r="E560" t="s">
        <v>1800</v>
      </c>
      <c r="F560" t="s">
        <v>20</v>
      </c>
      <c r="G560" t="s">
        <v>1801</v>
      </c>
      <c r="H560" s="1">
        <v>1983333333333330</v>
      </c>
      <c r="I560">
        <v>0</v>
      </c>
      <c r="J560">
        <v>67</v>
      </c>
      <c r="K560" t="s">
        <v>380</v>
      </c>
      <c r="L560" s="1">
        <v>9540000000000000</v>
      </c>
      <c r="M560">
        <v>0</v>
      </c>
      <c r="N560">
        <v>0</v>
      </c>
      <c r="O560" s="1">
        <v>4219374842227970</v>
      </c>
      <c r="Q560" t="b">
        <v>0</v>
      </c>
    </row>
    <row r="561" spans="1:17" x14ac:dyDescent="0.35">
      <c r="A561" t="s">
        <v>1802</v>
      </c>
      <c r="B561" t="s">
        <v>18</v>
      </c>
      <c r="C561" t="s">
        <v>1803</v>
      </c>
      <c r="D561">
        <v>0</v>
      </c>
      <c r="E561" t="s">
        <v>1804</v>
      </c>
      <c r="F561" t="s">
        <v>20</v>
      </c>
      <c r="G561" t="s">
        <v>1805</v>
      </c>
      <c r="H561" s="1">
        <v>1983333333333330</v>
      </c>
      <c r="I561">
        <v>0</v>
      </c>
      <c r="J561">
        <v>67</v>
      </c>
      <c r="K561" t="s">
        <v>380</v>
      </c>
      <c r="L561" s="1">
        <v>9540000000000000</v>
      </c>
      <c r="M561">
        <v>0</v>
      </c>
      <c r="N561">
        <v>0</v>
      </c>
      <c r="O561" s="1">
        <v>4.21940336211606E+16</v>
      </c>
      <c r="Q561" t="b">
        <v>0</v>
      </c>
    </row>
    <row r="562" spans="1:17" x14ac:dyDescent="0.35">
      <c r="A562" t="s">
        <v>1806</v>
      </c>
      <c r="B562" t="s">
        <v>18</v>
      </c>
      <c r="C562" t="s">
        <v>1807</v>
      </c>
      <c r="D562">
        <v>0</v>
      </c>
      <c r="E562" t="s">
        <v>1808</v>
      </c>
      <c r="F562" t="s">
        <v>20</v>
      </c>
      <c r="G562" t="s">
        <v>1809</v>
      </c>
      <c r="H562" s="1">
        <v>1983333333333330</v>
      </c>
      <c r="I562">
        <v>0</v>
      </c>
      <c r="J562">
        <v>67</v>
      </c>
      <c r="K562" t="s">
        <v>380</v>
      </c>
      <c r="L562" s="1">
        <v>9540000000000000</v>
      </c>
      <c r="M562">
        <v>0</v>
      </c>
      <c r="N562">
        <v>0</v>
      </c>
      <c r="O562" s="1">
        <v>4219431882004140</v>
      </c>
      <c r="Q562" t="b">
        <v>0</v>
      </c>
    </row>
    <row r="563" spans="1:17" x14ac:dyDescent="0.35">
      <c r="A563" t="s">
        <v>1810</v>
      </c>
      <c r="B563" t="s">
        <v>18</v>
      </c>
      <c r="C563" t="s">
        <v>1811</v>
      </c>
      <c r="D563">
        <v>0</v>
      </c>
      <c r="E563" t="s">
        <v>1812</v>
      </c>
      <c r="F563" t="s">
        <v>20</v>
      </c>
      <c r="G563" t="s">
        <v>1813</v>
      </c>
      <c r="H563" t="s">
        <v>369</v>
      </c>
      <c r="I563">
        <v>0</v>
      </c>
      <c r="J563" t="s">
        <v>1814</v>
      </c>
      <c r="K563" t="s">
        <v>274</v>
      </c>
      <c r="L563" t="s">
        <v>123</v>
      </c>
      <c r="M563">
        <v>0</v>
      </c>
      <c r="N563">
        <v>0</v>
      </c>
      <c r="O563" s="1">
        <v>4219460401892220</v>
      </c>
      <c r="Q563" t="b">
        <v>0</v>
      </c>
    </row>
    <row r="564" spans="1:17" x14ac:dyDescent="0.35">
      <c r="A564" t="s">
        <v>1815</v>
      </c>
      <c r="B564" t="s">
        <v>18</v>
      </c>
      <c r="C564" t="s">
        <v>1816</v>
      </c>
      <c r="D564">
        <v>0</v>
      </c>
      <c r="E564">
        <v>0</v>
      </c>
      <c r="F564" t="s">
        <v>20</v>
      </c>
      <c r="G564" t="s">
        <v>1817</v>
      </c>
      <c r="H564" t="s">
        <v>369</v>
      </c>
      <c r="I564">
        <v>0</v>
      </c>
      <c r="J564" t="s">
        <v>1814</v>
      </c>
      <c r="K564" t="s">
        <v>274</v>
      </c>
      <c r="L564" t="s">
        <v>123</v>
      </c>
      <c r="M564">
        <v>0</v>
      </c>
      <c r="N564">
        <v>0</v>
      </c>
      <c r="O564" s="1">
        <v>4219488921780300</v>
      </c>
      <c r="Q564" t="b">
        <v>0</v>
      </c>
    </row>
    <row r="565" spans="1:17" x14ac:dyDescent="0.35">
      <c r="A565" t="s">
        <v>1818</v>
      </c>
      <c r="B565" t="s">
        <v>18</v>
      </c>
      <c r="C565" t="s">
        <v>1819</v>
      </c>
      <c r="D565">
        <v>0</v>
      </c>
      <c r="E565">
        <v>0</v>
      </c>
      <c r="F565" t="s">
        <v>20</v>
      </c>
      <c r="G565" t="s">
        <v>1820</v>
      </c>
      <c r="H565" t="s">
        <v>369</v>
      </c>
      <c r="I565">
        <v>0</v>
      </c>
      <c r="J565" t="s">
        <v>1814</v>
      </c>
      <c r="K565" t="s">
        <v>274</v>
      </c>
      <c r="L565" t="s">
        <v>123</v>
      </c>
      <c r="M565">
        <v>0</v>
      </c>
      <c r="N565">
        <v>0</v>
      </c>
      <c r="O565" s="1">
        <v>4219517441668380</v>
      </c>
      <c r="Q565" t="b">
        <v>0</v>
      </c>
    </row>
    <row r="566" spans="1:17" x14ac:dyDescent="0.35">
      <c r="A566" t="s">
        <v>1821</v>
      </c>
      <c r="B566" t="s">
        <v>18</v>
      </c>
      <c r="C566" t="s">
        <v>1822</v>
      </c>
      <c r="D566">
        <v>0</v>
      </c>
      <c r="E566">
        <v>0</v>
      </c>
      <c r="F566" t="s">
        <v>20</v>
      </c>
      <c r="G566" t="s">
        <v>1823</v>
      </c>
      <c r="H566" t="s">
        <v>369</v>
      </c>
      <c r="I566">
        <v>0</v>
      </c>
      <c r="J566" t="s">
        <v>1814</v>
      </c>
      <c r="K566" t="s">
        <v>274</v>
      </c>
      <c r="L566" t="s">
        <v>123</v>
      </c>
      <c r="M566">
        <v>0</v>
      </c>
      <c r="N566">
        <v>0</v>
      </c>
      <c r="O566" s="1">
        <v>4219545961556460</v>
      </c>
      <c r="Q566" t="b">
        <v>0</v>
      </c>
    </row>
    <row r="567" spans="1:17" x14ac:dyDescent="0.35">
      <c r="A567" t="s">
        <v>1824</v>
      </c>
      <c r="B567" t="s">
        <v>18</v>
      </c>
      <c r="C567" t="s">
        <v>1825</v>
      </c>
      <c r="D567">
        <v>0</v>
      </c>
      <c r="E567">
        <v>0</v>
      </c>
      <c r="F567" t="s">
        <v>20</v>
      </c>
      <c r="G567">
        <v>0</v>
      </c>
      <c r="H567" s="1">
        <v>1.14666666666666E+16</v>
      </c>
      <c r="I567">
        <v>0</v>
      </c>
      <c r="J567" t="s">
        <v>1826</v>
      </c>
      <c r="K567" t="s">
        <v>1827</v>
      </c>
      <c r="L567" t="s">
        <v>108</v>
      </c>
      <c r="M567">
        <v>0</v>
      </c>
      <c r="N567">
        <v>0</v>
      </c>
      <c r="O567" s="1">
        <v>421957448144455</v>
      </c>
      <c r="Q567" t="b">
        <v>0</v>
      </c>
    </row>
    <row r="568" spans="1:17" x14ac:dyDescent="0.35">
      <c r="A568" t="s">
        <v>1828</v>
      </c>
      <c r="B568" t="s">
        <v>18</v>
      </c>
      <c r="C568" t="s">
        <v>1829</v>
      </c>
      <c r="D568">
        <v>0</v>
      </c>
      <c r="E568">
        <v>0</v>
      </c>
      <c r="F568" t="s">
        <v>20</v>
      </c>
      <c r="G568">
        <v>0</v>
      </c>
      <c r="H568" s="1">
        <v>1.14666666666666E+16</v>
      </c>
      <c r="I568">
        <v>0</v>
      </c>
      <c r="J568" t="s">
        <v>1826</v>
      </c>
      <c r="K568" t="s">
        <v>1827</v>
      </c>
      <c r="L568" t="s">
        <v>108</v>
      </c>
      <c r="M568">
        <v>0</v>
      </c>
      <c r="N568">
        <v>0</v>
      </c>
      <c r="O568" s="1">
        <v>4219603001332630</v>
      </c>
      <c r="Q568" t="b">
        <v>0</v>
      </c>
    </row>
    <row r="569" spans="1:17" x14ac:dyDescent="0.35">
      <c r="A569" t="s">
        <v>1830</v>
      </c>
      <c r="B569" t="s">
        <v>18</v>
      </c>
      <c r="C569" t="s">
        <v>1831</v>
      </c>
      <c r="D569">
        <v>0</v>
      </c>
      <c r="E569">
        <v>0</v>
      </c>
      <c r="F569" t="s">
        <v>20</v>
      </c>
      <c r="G569">
        <v>0</v>
      </c>
      <c r="H569" s="1">
        <v>1.14666666666666E+16</v>
      </c>
      <c r="I569">
        <v>0</v>
      </c>
      <c r="J569" t="s">
        <v>1826</v>
      </c>
      <c r="K569" t="s">
        <v>1827</v>
      </c>
      <c r="L569" t="s">
        <v>108</v>
      </c>
      <c r="M569">
        <v>0</v>
      </c>
      <c r="N569">
        <v>0</v>
      </c>
      <c r="O569" s="1">
        <v>4219631521220710</v>
      </c>
      <c r="Q569" t="b">
        <v>0</v>
      </c>
    </row>
    <row r="570" spans="1:17" x14ac:dyDescent="0.35">
      <c r="A570" t="s">
        <v>1832</v>
      </c>
      <c r="B570" t="s">
        <v>18</v>
      </c>
      <c r="C570" t="s">
        <v>1833</v>
      </c>
      <c r="D570">
        <v>0</v>
      </c>
      <c r="E570">
        <v>0</v>
      </c>
      <c r="F570" t="s">
        <v>20</v>
      </c>
      <c r="G570">
        <v>0</v>
      </c>
      <c r="H570" s="1">
        <v>1.14666666666666E+16</v>
      </c>
      <c r="I570">
        <v>0</v>
      </c>
      <c r="J570" t="s">
        <v>1826</v>
      </c>
      <c r="K570" t="s">
        <v>1827</v>
      </c>
      <c r="L570" t="s">
        <v>108</v>
      </c>
      <c r="M570">
        <v>0</v>
      </c>
      <c r="N570">
        <v>0</v>
      </c>
      <c r="O570" s="1">
        <v>4219660041108790</v>
      </c>
      <c r="Q570" t="b">
        <v>0</v>
      </c>
    </row>
    <row r="571" spans="1:17" x14ac:dyDescent="0.35">
      <c r="A571" t="s">
        <v>1834</v>
      </c>
      <c r="B571" t="s">
        <v>18</v>
      </c>
      <c r="C571" t="s">
        <v>1835</v>
      </c>
      <c r="D571">
        <v>0</v>
      </c>
      <c r="E571">
        <v>0</v>
      </c>
      <c r="F571" t="s">
        <v>20</v>
      </c>
      <c r="G571">
        <v>0</v>
      </c>
      <c r="H571">
        <v>0</v>
      </c>
      <c r="I571">
        <v>0</v>
      </c>
      <c r="J571">
        <v>0</v>
      </c>
      <c r="K571" s="1">
        <v>1.04999999999999E+16</v>
      </c>
      <c r="L571" t="s">
        <v>1836</v>
      </c>
      <c r="M571">
        <v>0</v>
      </c>
      <c r="N571">
        <v>0</v>
      </c>
      <c r="O571" s="1">
        <v>4219688560996870</v>
      </c>
      <c r="Q571" t="b">
        <v>0</v>
      </c>
    </row>
    <row r="572" spans="1:17" x14ac:dyDescent="0.35">
      <c r="A572" t="s">
        <v>1837</v>
      </c>
      <c r="B572" t="s">
        <v>18</v>
      </c>
      <c r="C572" t="s">
        <v>1838</v>
      </c>
      <c r="D572">
        <v>0</v>
      </c>
      <c r="E572">
        <v>0</v>
      </c>
      <c r="F572" t="s">
        <v>20</v>
      </c>
      <c r="G572">
        <v>0</v>
      </c>
      <c r="H572">
        <v>0</v>
      </c>
      <c r="I572">
        <v>0</v>
      </c>
      <c r="J572">
        <v>0</v>
      </c>
      <c r="K572" s="1">
        <v>1.04999999999999E+16</v>
      </c>
      <c r="L572" t="s">
        <v>1836</v>
      </c>
      <c r="M572">
        <v>0</v>
      </c>
      <c r="N572">
        <v>0</v>
      </c>
      <c r="O572" s="1">
        <v>4219717080884950</v>
      </c>
      <c r="Q572" t="b">
        <v>0</v>
      </c>
    </row>
    <row r="573" spans="1:17" x14ac:dyDescent="0.35">
      <c r="A573" t="s">
        <v>1839</v>
      </c>
      <c r="B573" t="s">
        <v>18</v>
      </c>
      <c r="C573" t="s">
        <v>1840</v>
      </c>
      <c r="D573">
        <v>0</v>
      </c>
      <c r="E573">
        <v>0</v>
      </c>
      <c r="F573" t="s">
        <v>20</v>
      </c>
      <c r="G573">
        <v>0</v>
      </c>
      <c r="H573">
        <v>0</v>
      </c>
      <c r="I573">
        <v>0</v>
      </c>
      <c r="J573">
        <v>0</v>
      </c>
      <c r="K573" s="1">
        <v>1.04999999999999E+16</v>
      </c>
      <c r="L573" t="s">
        <v>1836</v>
      </c>
      <c r="M573">
        <v>0</v>
      </c>
      <c r="N573">
        <v>0</v>
      </c>
      <c r="O573" s="1">
        <v>4219745600773030</v>
      </c>
      <c r="Q573" t="b">
        <v>0</v>
      </c>
    </row>
    <row r="574" spans="1:17" x14ac:dyDescent="0.35">
      <c r="A574" t="s">
        <v>1841</v>
      </c>
      <c r="B574" t="s">
        <v>18</v>
      </c>
      <c r="C574" t="s">
        <v>1842</v>
      </c>
      <c r="D574">
        <v>0</v>
      </c>
      <c r="E574">
        <v>0</v>
      </c>
      <c r="F574" t="s">
        <v>20</v>
      </c>
      <c r="G574">
        <v>0</v>
      </c>
      <c r="H574">
        <v>0</v>
      </c>
      <c r="I574">
        <v>0</v>
      </c>
      <c r="J574">
        <v>0</v>
      </c>
      <c r="K574" s="1">
        <v>1.04999999999999E+16</v>
      </c>
      <c r="L574" t="s">
        <v>1836</v>
      </c>
      <c r="M574">
        <v>0</v>
      </c>
      <c r="N574">
        <v>0</v>
      </c>
      <c r="O574" s="1">
        <v>4219774120661120</v>
      </c>
      <c r="Q574" t="b">
        <v>0</v>
      </c>
    </row>
    <row r="575" spans="1:17" x14ac:dyDescent="0.35">
      <c r="A575" t="s">
        <v>1843</v>
      </c>
      <c r="B575" t="s">
        <v>18</v>
      </c>
      <c r="C575" t="s">
        <v>1844</v>
      </c>
      <c r="D575">
        <v>0</v>
      </c>
      <c r="E575">
        <v>0</v>
      </c>
      <c r="F575" t="s">
        <v>20</v>
      </c>
      <c r="G575">
        <v>0</v>
      </c>
      <c r="H575">
        <v>0</v>
      </c>
      <c r="I575">
        <v>0</v>
      </c>
      <c r="J575">
        <v>0</v>
      </c>
      <c r="K575" t="s">
        <v>73</v>
      </c>
      <c r="L575" t="s">
        <v>470</v>
      </c>
      <c r="M575">
        <v>0</v>
      </c>
      <c r="N575">
        <v>0</v>
      </c>
      <c r="O575" s="1">
        <v>4219802640549200</v>
      </c>
      <c r="Q575" t="b">
        <v>0</v>
      </c>
    </row>
    <row r="576" spans="1:17" x14ac:dyDescent="0.35">
      <c r="A576" t="s">
        <v>1845</v>
      </c>
      <c r="B576" t="s">
        <v>18</v>
      </c>
      <c r="C576" t="s">
        <v>1846</v>
      </c>
      <c r="D576">
        <v>0</v>
      </c>
      <c r="E576">
        <v>0</v>
      </c>
      <c r="F576" t="s">
        <v>20</v>
      </c>
      <c r="G576">
        <v>0</v>
      </c>
      <c r="H576">
        <v>0</v>
      </c>
      <c r="I576">
        <v>0</v>
      </c>
      <c r="J576">
        <v>0</v>
      </c>
      <c r="K576" t="s">
        <v>73</v>
      </c>
      <c r="L576" t="s">
        <v>470</v>
      </c>
      <c r="M576">
        <v>0</v>
      </c>
      <c r="N576">
        <v>0</v>
      </c>
      <c r="O576" s="1">
        <v>4219831160437280</v>
      </c>
      <c r="Q576" t="b">
        <v>0</v>
      </c>
    </row>
    <row r="577" spans="1:17" x14ac:dyDescent="0.35">
      <c r="A577" t="s">
        <v>1847</v>
      </c>
      <c r="B577" t="s">
        <v>18</v>
      </c>
      <c r="C577" t="s">
        <v>1848</v>
      </c>
      <c r="D577">
        <v>0</v>
      </c>
      <c r="E577">
        <v>0</v>
      </c>
      <c r="F577" t="s">
        <v>20</v>
      </c>
      <c r="G577">
        <v>0</v>
      </c>
      <c r="H577">
        <v>0</v>
      </c>
      <c r="I577">
        <v>0</v>
      </c>
      <c r="J577">
        <v>0</v>
      </c>
      <c r="K577" t="s">
        <v>73</v>
      </c>
      <c r="L577" t="s">
        <v>470</v>
      </c>
      <c r="M577">
        <v>0</v>
      </c>
      <c r="N577">
        <v>0</v>
      </c>
      <c r="O577" s="1">
        <v>4219859680325360</v>
      </c>
      <c r="Q577" t="b">
        <v>0</v>
      </c>
    </row>
    <row r="578" spans="1:17" x14ac:dyDescent="0.35">
      <c r="A578" t="s">
        <v>1849</v>
      </c>
      <c r="B578" t="s">
        <v>18</v>
      </c>
      <c r="C578" t="s">
        <v>1850</v>
      </c>
      <c r="D578">
        <v>0</v>
      </c>
      <c r="E578">
        <v>0</v>
      </c>
      <c r="F578" t="s">
        <v>20</v>
      </c>
      <c r="G578">
        <v>0</v>
      </c>
      <c r="H578">
        <v>0</v>
      </c>
      <c r="I578">
        <v>0</v>
      </c>
      <c r="J578">
        <v>0</v>
      </c>
      <c r="K578" t="s">
        <v>73</v>
      </c>
      <c r="L578" t="s">
        <v>470</v>
      </c>
      <c r="M578">
        <v>0</v>
      </c>
      <c r="N578">
        <v>0</v>
      </c>
      <c r="O578" s="1">
        <v>4219888200213440</v>
      </c>
      <c r="Q578" t="b">
        <v>0</v>
      </c>
    </row>
    <row r="579" spans="1:17" x14ac:dyDescent="0.35">
      <c r="A579" t="s">
        <v>1851</v>
      </c>
      <c r="B579" t="s">
        <v>18</v>
      </c>
      <c r="C579" t="s">
        <v>1852</v>
      </c>
      <c r="D579">
        <v>0</v>
      </c>
      <c r="E579">
        <v>0</v>
      </c>
      <c r="F579" t="s">
        <v>20</v>
      </c>
      <c r="G579">
        <v>0</v>
      </c>
      <c r="H579">
        <v>0</v>
      </c>
      <c r="I579">
        <v>0</v>
      </c>
      <c r="J579">
        <v>0</v>
      </c>
      <c r="K579" t="s">
        <v>93</v>
      </c>
      <c r="L579" s="1">
        <v>2.88E+16</v>
      </c>
      <c r="M579">
        <v>0</v>
      </c>
      <c r="N579">
        <v>0</v>
      </c>
      <c r="O579" s="1">
        <v>4219916720101520</v>
      </c>
      <c r="Q579" t="b">
        <v>0</v>
      </c>
    </row>
    <row r="580" spans="1:17" x14ac:dyDescent="0.35">
      <c r="A580" t="s">
        <v>1853</v>
      </c>
      <c r="B580" t="s">
        <v>18</v>
      </c>
      <c r="C580" t="s">
        <v>1854</v>
      </c>
      <c r="D580">
        <v>0</v>
      </c>
      <c r="E580">
        <v>0</v>
      </c>
      <c r="F580" t="s">
        <v>20</v>
      </c>
      <c r="G580">
        <v>0</v>
      </c>
      <c r="H580">
        <v>0</v>
      </c>
      <c r="I580">
        <v>0</v>
      </c>
      <c r="J580">
        <v>0</v>
      </c>
      <c r="K580" t="s">
        <v>93</v>
      </c>
      <c r="L580" s="1">
        <v>2.88E+16</v>
      </c>
      <c r="M580">
        <v>0</v>
      </c>
      <c r="N580">
        <v>0</v>
      </c>
      <c r="O580" s="1">
        <v>4.2199452399896096E+16</v>
      </c>
      <c r="Q580" t="b">
        <v>0</v>
      </c>
    </row>
    <row r="581" spans="1:17" x14ac:dyDescent="0.35">
      <c r="A581" t="s">
        <v>1855</v>
      </c>
      <c r="B581" t="s">
        <v>18</v>
      </c>
      <c r="C581" t="s">
        <v>1856</v>
      </c>
      <c r="D581">
        <v>0</v>
      </c>
      <c r="E581">
        <v>0</v>
      </c>
      <c r="F581" t="s">
        <v>20</v>
      </c>
      <c r="G581">
        <v>0</v>
      </c>
      <c r="H581">
        <v>0</v>
      </c>
      <c r="I581">
        <v>0</v>
      </c>
      <c r="J581">
        <v>0</v>
      </c>
      <c r="K581" t="s">
        <v>93</v>
      </c>
      <c r="L581" s="1">
        <v>2.88E+16</v>
      </c>
      <c r="M581">
        <v>0</v>
      </c>
      <c r="N581">
        <v>0</v>
      </c>
      <c r="O581" s="1">
        <v>4219973759877690</v>
      </c>
      <c r="Q581" t="b">
        <v>0</v>
      </c>
    </row>
    <row r="582" spans="1:17" x14ac:dyDescent="0.35">
      <c r="A582" t="s">
        <v>1857</v>
      </c>
      <c r="B582" t="s">
        <v>18</v>
      </c>
      <c r="C582" t="s">
        <v>1858</v>
      </c>
      <c r="D582">
        <v>0</v>
      </c>
      <c r="E582">
        <v>0</v>
      </c>
      <c r="F582" t="s">
        <v>20</v>
      </c>
      <c r="G582">
        <v>0</v>
      </c>
      <c r="H582">
        <v>0</v>
      </c>
      <c r="I582">
        <v>0</v>
      </c>
      <c r="J582">
        <v>0</v>
      </c>
      <c r="K582" t="s">
        <v>93</v>
      </c>
      <c r="L582" s="1">
        <v>2.88E+16</v>
      </c>
      <c r="M582">
        <v>0</v>
      </c>
      <c r="N582">
        <v>0</v>
      </c>
      <c r="O582" s="1">
        <v>4220002279765770</v>
      </c>
      <c r="Q582" t="b">
        <v>0</v>
      </c>
    </row>
    <row r="583" spans="1:17" x14ac:dyDescent="0.35">
      <c r="A583" t="s">
        <v>1859</v>
      </c>
      <c r="B583" t="s">
        <v>18</v>
      </c>
      <c r="C583" t="s">
        <v>1860</v>
      </c>
      <c r="D583">
        <v>0</v>
      </c>
      <c r="E583">
        <v>0</v>
      </c>
      <c r="F583" t="s">
        <v>20</v>
      </c>
      <c r="G583">
        <v>0</v>
      </c>
      <c r="H583">
        <v>0</v>
      </c>
      <c r="I583">
        <v>0</v>
      </c>
      <c r="J583">
        <v>0</v>
      </c>
      <c r="K583" t="s">
        <v>1861</v>
      </c>
      <c r="L583" t="s">
        <v>108</v>
      </c>
      <c r="M583">
        <v>0</v>
      </c>
      <c r="N583">
        <v>0</v>
      </c>
      <c r="O583" s="1">
        <v>4220030799653850</v>
      </c>
      <c r="Q583" t="b">
        <v>0</v>
      </c>
    </row>
    <row r="584" spans="1:17" x14ac:dyDescent="0.35">
      <c r="A584" t="s">
        <v>1862</v>
      </c>
      <c r="B584" t="s">
        <v>18</v>
      </c>
      <c r="C584" t="s">
        <v>1863</v>
      </c>
      <c r="D584">
        <v>0</v>
      </c>
      <c r="E584">
        <v>0</v>
      </c>
      <c r="F584" t="s">
        <v>20</v>
      </c>
      <c r="G584">
        <v>0</v>
      </c>
      <c r="H584">
        <v>0</v>
      </c>
      <c r="I584">
        <v>0</v>
      </c>
      <c r="J584">
        <v>0</v>
      </c>
      <c r="K584" t="s">
        <v>1861</v>
      </c>
      <c r="L584" t="s">
        <v>108</v>
      </c>
      <c r="M584">
        <v>0</v>
      </c>
      <c r="N584">
        <v>0</v>
      </c>
      <c r="O584" s="1">
        <v>4220059319541930</v>
      </c>
      <c r="Q584" t="b">
        <v>0</v>
      </c>
    </row>
    <row r="585" spans="1:17" x14ac:dyDescent="0.35">
      <c r="A585" t="s">
        <v>1864</v>
      </c>
      <c r="B585" t="s">
        <v>18</v>
      </c>
      <c r="C585" t="s">
        <v>1865</v>
      </c>
      <c r="D585">
        <v>0</v>
      </c>
      <c r="E585">
        <v>0</v>
      </c>
      <c r="F585" t="s">
        <v>20</v>
      </c>
      <c r="G585">
        <v>0</v>
      </c>
      <c r="H585">
        <v>0</v>
      </c>
      <c r="I585">
        <v>0</v>
      </c>
      <c r="J585">
        <v>0</v>
      </c>
      <c r="K585" t="s">
        <v>1861</v>
      </c>
      <c r="L585" t="s">
        <v>108</v>
      </c>
      <c r="M585">
        <v>0</v>
      </c>
      <c r="N585">
        <v>0</v>
      </c>
      <c r="O585" s="1">
        <v>4220087839430010</v>
      </c>
      <c r="Q585" t="b">
        <v>0</v>
      </c>
    </row>
    <row r="586" spans="1:17" x14ac:dyDescent="0.35">
      <c r="A586" t="s">
        <v>1866</v>
      </c>
      <c r="B586" t="s">
        <v>18</v>
      </c>
      <c r="C586" t="s">
        <v>1867</v>
      </c>
      <c r="D586">
        <v>0</v>
      </c>
      <c r="E586">
        <v>0</v>
      </c>
      <c r="F586" t="s">
        <v>20</v>
      </c>
      <c r="G586">
        <v>0</v>
      </c>
      <c r="H586">
        <v>0</v>
      </c>
      <c r="I586">
        <v>0</v>
      </c>
      <c r="J586">
        <v>0</v>
      </c>
      <c r="K586" t="s">
        <v>1861</v>
      </c>
      <c r="L586" t="s">
        <v>108</v>
      </c>
      <c r="M586">
        <v>0</v>
      </c>
      <c r="N586">
        <v>0</v>
      </c>
      <c r="O586" s="1">
        <v>42201163593181</v>
      </c>
      <c r="Q586" t="b">
        <v>0</v>
      </c>
    </row>
    <row r="587" spans="1:17" x14ac:dyDescent="0.35">
      <c r="A587" t="s">
        <v>1868</v>
      </c>
      <c r="B587" t="s">
        <v>18</v>
      </c>
      <c r="C587" t="s">
        <v>1869</v>
      </c>
      <c r="D587">
        <v>0</v>
      </c>
      <c r="E587">
        <v>0</v>
      </c>
      <c r="F587" t="s">
        <v>20</v>
      </c>
      <c r="G587">
        <v>0</v>
      </c>
      <c r="H587">
        <v>0</v>
      </c>
      <c r="I587">
        <v>0</v>
      </c>
      <c r="J587">
        <v>0</v>
      </c>
      <c r="K587" t="s">
        <v>1870</v>
      </c>
      <c r="L587" t="s">
        <v>548</v>
      </c>
      <c r="M587">
        <v>0</v>
      </c>
      <c r="N587">
        <v>0</v>
      </c>
      <c r="O587" s="1">
        <v>4220144879206180</v>
      </c>
      <c r="Q587" t="b">
        <v>0</v>
      </c>
    </row>
    <row r="588" spans="1:17" x14ac:dyDescent="0.35">
      <c r="A588" t="s">
        <v>1871</v>
      </c>
      <c r="B588" t="s">
        <v>18</v>
      </c>
      <c r="C588" t="s">
        <v>1872</v>
      </c>
      <c r="D588">
        <v>0</v>
      </c>
      <c r="E588">
        <v>0</v>
      </c>
      <c r="F588" t="s">
        <v>20</v>
      </c>
      <c r="G588">
        <v>0</v>
      </c>
      <c r="H588">
        <v>0</v>
      </c>
      <c r="I588">
        <v>0</v>
      </c>
      <c r="J588">
        <v>0</v>
      </c>
      <c r="K588" t="s">
        <v>1870</v>
      </c>
      <c r="L588" t="s">
        <v>548</v>
      </c>
      <c r="M588">
        <v>0</v>
      </c>
      <c r="N588">
        <v>0</v>
      </c>
      <c r="O588" s="1">
        <v>4.22017339909426E+16</v>
      </c>
      <c r="Q588" t="b">
        <v>0</v>
      </c>
    </row>
    <row r="589" spans="1:17" x14ac:dyDescent="0.35">
      <c r="A589" t="s">
        <v>1873</v>
      </c>
      <c r="B589" t="s">
        <v>18</v>
      </c>
      <c r="C589" t="s">
        <v>1874</v>
      </c>
      <c r="D589">
        <v>0</v>
      </c>
      <c r="E589">
        <v>0</v>
      </c>
      <c r="F589" t="s">
        <v>20</v>
      </c>
      <c r="G589">
        <v>0</v>
      </c>
      <c r="H589">
        <v>0</v>
      </c>
      <c r="I589">
        <v>0</v>
      </c>
      <c r="J589">
        <v>0</v>
      </c>
      <c r="K589" t="s">
        <v>1870</v>
      </c>
      <c r="L589" t="s">
        <v>548</v>
      </c>
      <c r="M589">
        <v>0</v>
      </c>
      <c r="N589">
        <v>0</v>
      </c>
      <c r="O589" s="1">
        <v>4220201918982340</v>
      </c>
      <c r="Q589" t="b">
        <v>0</v>
      </c>
    </row>
    <row r="590" spans="1:17" x14ac:dyDescent="0.35">
      <c r="A590" t="s">
        <v>1875</v>
      </c>
      <c r="B590" t="s">
        <v>18</v>
      </c>
      <c r="C590" t="s">
        <v>1876</v>
      </c>
      <c r="D590">
        <v>0</v>
      </c>
      <c r="E590">
        <v>0</v>
      </c>
      <c r="F590" t="s">
        <v>20</v>
      </c>
      <c r="G590">
        <v>0</v>
      </c>
      <c r="H590">
        <v>0</v>
      </c>
      <c r="I590">
        <v>0</v>
      </c>
      <c r="J590">
        <v>0</v>
      </c>
      <c r="K590" t="s">
        <v>1870</v>
      </c>
      <c r="L590" t="s">
        <v>548</v>
      </c>
      <c r="M590">
        <v>0</v>
      </c>
      <c r="N590">
        <v>0</v>
      </c>
      <c r="O590" s="1">
        <v>4220230438870420</v>
      </c>
      <c r="Q590" t="b">
        <v>0</v>
      </c>
    </row>
    <row r="591" spans="1:17" x14ac:dyDescent="0.35">
      <c r="A591" t="s">
        <v>1877</v>
      </c>
      <c r="B591" t="s">
        <v>18</v>
      </c>
      <c r="C591" t="s">
        <v>1878</v>
      </c>
      <c r="D591">
        <v>0</v>
      </c>
      <c r="E591">
        <v>0</v>
      </c>
      <c r="F591" t="s">
        <v>20</v>
      </c>
      <c r="G591">
        <v>0</v>
      </c>
      <c r="H591">
        <v>0</v>
      </c>
      <c r="I591">
        <v>0</v>
      </c>
      <c r="J591">
        <v>0</v>
      </c>
      <c r="K591" t="s">
        <v>220</v>
      </c>
      <c r="L591" s="1">
        <v>4680000000000000</v>
      </c>
      <c r="M591">
        <v>0</v>
      </c>
      <c r="N591">
        <v>0</v>
      </c>
      <c r="O591" s="1">
        <v>4.2202589587585E+16</v>
      </c>
      <c r="Q591" t="b">
        <v>0</v>
      </c>
    </row>
    <row r="592" spans="1:17" x14ac:dyDescent="0.35">
      <c r="A592" t="s">
        <v>1879</v>
      </c>
      <c r="B592" t="s">
        <v>18</v>
      </c>
      <c r="C592" t="s">
        <v>1880</v>
      </c>
      <c r="D592">
        <v>0</v>
      </c>
      <c r="E592">
        <v>0</v>
      </c>
      <c r="F592" t="s">
        <v>20</v>
      </c>
      <c r="G592">
        <v>0</v>
      </c>
      <c r="H592">
        <v>0</v>
      </c>
      <c r="I592">
        <v>0</v>
      </c>
      <c r="J592">
        <v>0</v>
      </c>
      <c r="K592" t="s">
        <v>220</v>
      </c>
      <c r="L592" s="1">
        <v>4680000000000000</v>
      </c>
      <c r="M592">
        <v>0</v>
      </c>
      <c r="N592">
        <v>0</v>
      </c>
      <c r="O592" s="1">
        <v>4220287478646580</v>
      </c>
      <c r="Q592" t="b">
        <v>0</v>
      </c>
    </row>
    <row r="593" spans="1:17" x14ac:dyDescent="0.35">
      <c r="A593" t="s">
        <v>1881</v>
      </c>
      <c r="B593" t="s">
        <v>18</v>
      </c>
      <c r="C593" t="s">
        <v>1882</v>
      </c>
      <c r="D593">
        <v>0</v>
      </c>
      <c r="E593">
        <v>0</v>
      </c>
      <c r="F593" t="s">
        <v>20</v>
      </c>
      <c r="G593">
        <v>0</v>
      </c>
      <c r="H593">
        <v>0</v>
      </c>
      <c r="I593">
        <v>0</v>
      </c>
      <c r="J593">
        <v>0</v>
      </c>
      <c r="K593" t="s">
        <v>220</v>
      </c>
      <c r="L593" s="1">
        <v>4680000000000000</v>
      </c>
      <c r="M593">
        <v>0</v>
      </c>
      <c r="N593">
        <v>0</v>
      </c>
      <c r="O593" s="1">
        <v>422031599853467</v>
      </c>
      <c r="Q593" t="b">
        <v>0</v>
      </c>
    </row>
    <row r="594" spans="1:17" x14ac:dyDescent="0.35">
      <c r="A594" t="s">
        <v>1883</v>
      </c>
      <c r="B594" t="s">
        <v>18</v>
      </c>
      <c r="C594" t="s">
        <v>1884</v>
      </c>
      <c r="D594">
        <v>0</v>
      </c>
      <c r="E594">
        <v>0</v>
      </c>
      <c r="F594" t="s">
        <v>20</v>
      </c>
      <c r="G594">
        <v>0</v>
      </c>
      <c r="H594">
        <v>0</v>
      </c>
      <c r="I594">
        <v>0</v>
      </c>
      <c r="J594">
        <v>0</v>
      </c>
      <c r="K594" t="s">
        <v>220</v>
      </c>
      <c r="L594" s="1">
        <v>4680000000000000</v>
      </c>
      <c r="M594">
        <v>0</v>
      </c>
      <c r="N594">
        <v>0</v>
      </c>
      <c r="O594" s="1">
        <v>4220344518422750</v>
      </c>
      <c r="Q594" t="b">
        <v>0</v>
      </c>
    </row>
    <row r="595" spans="1:17" x14ac:dyDescent="0.35">
      <c r="A595" t="s">
        <v>1885</v>
      </c>
      <c r="B595" t="s">
        <v>18</v>
      </c>
      <c r="C595" t="s">
        <v>1886</v>
      </c>
      <c r="D595">
        <v>0</v>
      </c>
      <c r="E595">
        <v>0</v>
      </c>
      <c r="F595" t="s">
        <v>20</v>
      </c>
      <c r="G595">
        <v>0</v>
      </c>
      <c r="H595">
        <v>0</v>
      </c>
      <c r="I595">
        <v>0</v>
      </c>
      <c r="J595">
        <v>0</v>
      </c>
      <c r="K595" t="s">
        <v>1887</v>
      </c>
      <c r="L595" t="s">
        <v>1888</v>
      </c>
      <c r="M595">
        <v>0</v>
      </c>
      <c r="N595">
        <v>0</v>
      </c>
      <c r="O595" s="1">
        <v>4220373038310830</v>
      </c>
      <c r="Q595" t="b">
        <v>0</v>
      </c>
    </row>
    <row r="596" spans="1:17" x14ac:dyDescent="0.35">
      <c r="A596" t="s">
        <v>1889</v>
      </c>
      <c r="B596" t="s">
        <v>18</v>
      </c>
      <c r="C596" t="s">
        <v>1890</v>
      </c>
      <c r="D596">
        <v>0</v>
      </c>
      <c r="E596">
        <v>0</v>
      </c>
      <c r="F596" t="s">
        <v>20</v>
      </c>
      <c r="G596">
        <v>0</v>
      </c>
      <c r="H596">
        <v>0</v>
      </c>
      <c r="I596">
        <v>0</v>
      </c>
      <c r="J596">
        <v>0</v>
      </c>
      <c r="K596" t="s">
        <v>1887</v>
      </c>
      <c r="L596" t="s">
        <v>1888</v>
      </c>
      <c r="M596">
        <v>0</v>
      </c>
      <c r="N596">
        <v>0</v>
      </c>
      <c r="O596" s="1">
        <v>4220401558198910</v>
      </c>
      <c r="Q596" t="b">
        <v>0</v>
      </c>
    </row>
    <row r="597" spans="1:17" x14ac:dyDescent="0.35">
      <c r="A597" t="s">
        <v>1891</v>
      </c>
      <c r="B597" t="s">
        <v>18</v>
      </c>
      <c r="C597" t="s">
        <v>1892</v>
      </c>
      <c r="D597">
        <v>0</v>
      </c>
      <c r="E597">
        <v>0</v>
      </c>
      <c r="F597" t="s">
        <v>20</v>
      </c>
      <c r="G597">
        <v>0</v>
      </c>
      <c r="H597">
        <v>0</v>
      </c>
      <c r="I597">
        <v>0</v>
      </c>
      <c r="J597">
        <v>0</v>
      </c>
      <c r="K597" t="s">
        <v>1887</v>
      </c>
      <c r="L597" t="s">
        <v>1888</v>
      </c>
      <c r="M597">
        <v>0</v>
      </c>
      <c r="N597">
        <v>0</v>
      </c>
      <c r="O597" s="1">
        <v>4220430078086990</v>
      </c>
      <c r="Q597" t="b">
        <v>0</v>
      </c>
    </row>
    <row r="598" spans="1:17" x14ac:dyDescent="0.35">
      <c r="A598" t="s">
        <v>1893</v>
      </c>
      <c r="B598" t="s">
        <v>18</v>
      </c>
      <c r="C598" t="s">
        <v>1894</v>
      </c>
      <c r="D598">
        <v>0</v>
      </c>
      <c r="E598">
        <v>0</v>
      </c>
      <c r="F598" t="s">
        <v>20</v>
      </c>
      <c r="G598">
        <v>0</v>
      </c>
      <c r="H598">
        <v>0</v>
      </c>
      <c r="I598">
        <v>0</v>
      </c>
      <c r="J598">
        <v>0</v>
      </c>
      <c r="K598" t="s">
        <v>1887</v>
      </c>
      <c r="L598" t="s">
        <v>1888</v>
      </c>
      <c r="M598">
        <v>0</v>
      </c>
      <c r="N598">
        <v>0</v>
      </c>
      <c r="O598" s="1">
        <v>4220458597975070</v>
      </c>
      <c r="Q598" t="b">
        <v>0</v>
      </c>
    </row>
    <row r="599" spans="1:17" x14ac:dyDescent="0.35">
      <c r="A599" t="s">
        <v>1895</v>
      </c>
      <c r="B599" t="s">
        <v>18</v>
      </c>
      <c r="C599" t="s">
        <v>1896</v>
      </c>
      <c r="D599">
        <v>0</v>
      </c>
      <c r="E599">
        <v>0</v>
      </c>
      <c r="F599" t="s">
        <v>20</v>
      </c>
      <c r="G599">
        <v>0</v>
      </c>
      <c r="H599">
        <v>0</v>
      </c>
      <c r="I599">
        <v>0</v>
      </c>
      <c r="J599">
        <v>0</v>
      </c>
      <c r="K599" t="s">
        <v>175</v>
      </c>
      <c r="L599" t="s">
        <v>548</v>
      </c>
      <c r="M599">
        <v>0</v>
      </c>
      <c r="N599">
        <v>0</v>
      </c>
      <c r="O599" s="1">
        <v>422048711786316</v>
      </c>
      <c r="Q599" t="b">
        <v>0</v>
      </c>
    </row>
    <row r="600" spans="1:17" x14ac:dyDescent="0.35">
      <c r="A600" t="s">
        <v>1897</v>
      </c>
      <c r="B600" t="s">
        <v>18</v>
      </c>
      <c r="C600" t="s">
        <v>1898</v>
      </c>
      <c r="D600">
        <v>0</v>
      </c>
      <c r="E600">
        <v>0</v>
      </c>
      <c r="F600" t="s">
        <v>20</v>
      </c>
      <c r="G600">
        <v>0</v>
      </c>
      <c r="H600">
        <v>0</v>
      </c>
      <c r="I600">
        <v>0</v>
      </c>
      <c r="J600">
        <v>0</v>
      </c>
      <c r="K600" t="s">
        <v>175</v>
      </c>
      <c r="L600" t="s">
        <v>548</v>
      </c>
      <c r="M600">
        <v>0</v>
      </c>
      <c r="N600">
        <v>0</v>
      </c>
      <c r="O600" s="1">
        <v>4220515637751240</v>
      </c>
      <c r="Q600" t="b">
        <v>0</v>
      </c>
    </row>
    <row r="601" spans="1:17" x14ac:dyDescent="0.35">
      <c r="A601" t="s">
        <v>1899</v>
      </c>
      <c r="B601" t="s">
        <v>18</v>
      </c>
      <c r="C601" t="s">
        <v>1900</v>
      </c>
      <c r="D601">
        <v>0</v>
      </c>
      <c r="E601">
        <v>0</v>
      </c>
      <c r="F601" t="s">
        <v>20</v>
      </c>
      <c r="G601">
        <v>0</v>
      </c>
      <c r="H601">
        <v>0</v>
      </c>
      <c r="I601">
        <v>0</v>
      </c>
      <c r="J601">
        <v>0</v>
      </c>
      <c r="K601" t="s">
        <v>175</v>
      </c>
      <c r="L601" t="s">
        <v>548</v>
      </c>
      <c r="M601">
        <v>0</v>
      </c>
      <c r="N601">
        <v>0</v>
      </c>
      <c r="O601" s="1">
        <v>4220544157639320</v>
      </c>
      <c r="Q601" t="b">
        <v>0</v>
      </c>
    </row>
    <row r="602" spans="1:17" x14ac:dyDescent="0.35">
      <c r="A602" t="s">
        <v>1901</v>
      </c>
      <c r="B602" t="s">
        <v>18</v>
      </c>
      <c r="C602" t="s">
        <v>1902</v>
      </c>
      <c r="D602">
        <v>0</v>
      </c>
      <c r="E602">
        <v>0</v>
      </c>
      <c r="F602" t="s">
        <v>20</v>
      </c>
      <c r="G602">
        <v>0</v>
      </c>
      <c r="H602">
        <v>0</v>
      </c>
      <c r="I602">
        <v>0</v>
      </c>
      <c r="J602">
        <v>0</v>
      </c>
      <c r="K602" t="s">
        <v>175</v>
      </c>
      <c r="L602" t="s">
        <v>548</v>
      </c>
      <c r="M602">
        <v>0</v>
      </c>
      <c r="N602">
        <v>0</v>
      </c>
      <c r="O602" s="1">
        <v>4220572677527400</v>
      </c>
      <c r="Q602" t="b">
        <v>0</v>
      </c>
    </row>
    <row r="603" spans="1:17" x14ac:dyDescent="0.35">
      <c r="A603" t="s">
        <v>1903</v>
      </c>
      <c r="B603" t="s">
        <v>18</v>
      </c>
      <c r="C603" t="s">
        <v>1904</v>
      </c>
      <c r="D603">
        <v>0</v>
      </c>
      <c r="E603">
        <v>0</v>
      </c>
      <c r="F603" t="s">
        <v>20</v>
      </c>
      <c r="G603">
        <v>0</v>
      </c>
      <c r="H603">
        <v>0</v>
      </c>
      <c r="I603">
        <v>0</v>
      </c>
      <c r="J603">
        <v>0</v>
      </c>
      <c r="K603" t="s">
        <v>1905</v>
      </c>
      <c r="L603" t="s">
        <v>548</v>
      </c>
      <c r="M603">
        <v>0</v>
      </c>
      <c r="N603">
        <v>0</v>
      </c>
      <c r="O603" s="1">
        <v>4220601197415480</v>
      </c>
      <c r="Q603" t="b">
        <v>0</v>
      </c>
    </row>
    <row r="604" spans="1:17" x14ac:dyDescent="0.35">
      <c r="A604" t="s">
        <v>1906</v>
      </c>
      <c r="B604" t="s">
        <v>18</v>
      </c>
      <c r="C604" t="s">
        <v>1907</v>
      </c>
      <c r="D604">
        <v>0</v>
      </c>
      <c r="E604">
        <v>0</v>
      </c>
      <c r="F604" t="s">
        <v>20</v>
      </c>
      <c r="G604">
        <v>0</v>
      </c>
      <c r="H604">
        <v>0</v>
      </c>
      <c r="I604">
        <v>0</v>
      </c>
      <c r="J604">
        <v>0</v>
      </c>
      <c r="K604" t="s">
        <v>1905</v>
      </c>
      <c r="L604" t="s">
        <v>548</v>
      </c>
      <c r="M604">
        <v>0</v>
      </c>
      <c r="N604">
        <v>0</v>
      </c>
      <c r="O604" s="1">
        <v>4220629717303560</v>
      </c>
      <c r="Q604" t="b">
        <v>0</v>
      </c>
    </row>
    <row r="605" spans="1:17" x14ac:dyDescent="0.35">
      <c r="A605" t="s">
        <v>1908</v>
      </c>
      <c r="B605" t="s">
        <v>18</v>
      </c>
      <c r="C605" t="s">
        <v>1909</v>
      </c>
      <c r="D605">
        <v>0</v>
      </c>
      <c r="E605">
        <v>0</v>
      </c>
      <c r="F605" t="s">
        <v>20</v>
      </c>
      <c r="G605">
        <v>0</v>
      </c>
      <c r="H605">
        <v>0</v>
      </c>
      <c r="I605">
        <v>0</v>
      </c>
      <c r="J605">
        <v>0</v>
      </c>
      <c r="K605" t="s">
        <v>1905</v>
      </c>
      <c r="L605" t="s">
        <v>548</v>
      </c>
      <c r="M605">
        <v>0</v>
      </c>
      <c r="N605">
        <v>0</v>
      </c>
      <c r="O605" s="1">
        <v>422065823719165</v>
      </c>
      <c r="Q605" t="b">
        <v>0</v>
      </c>
    </row>
    <row r="606" spans="1:17" x14ac:dyDescent="0.35">
      <c r="A606" t="s">
        <v>1910</v>
      </c>
      <c r="B606" t="s">
        <v>18</v>
      </c>
      <c r="C606" t="s">
        <v>1911</v>
      </c>
      <c r="D606">
        <v>0</v>
      </c>
      <c r="E606">
        <v>0</v>
      </c>
      <c r="F606" t="s">
        <v>20</v>
      </c>
      <c r="G606">
        <v>0</v>
      </c>
      <c r="H606">
        <v>0</v>
      </c>
      <c r="I606">
        <v>0</v>
      </c>
      <c r="J606">
        <v>0</v>
      </c>
      <c r="K606" t="s">
        <v>1905</v>
      </c>
      <c r="L606" t="s">
        <v>548</v>
      </c>
      <c r="M606">
        <v>0</v>
      </c>
      <c r="N606">
        <v>0</v>
      </c>
      <c r="O606" s="1">
        <v>4220686757079730</v>
      </c>
      <c r="Q606" t="b">
        <v>0</v>
      </c>
    </row>
    <row r="607" spans="1:17" x14ac:dyDescent="0.35">
      <c r="A607" t="s">
        <v>1912</v>
      </c>
      <c r="B607" t="s">
        <v>18</v>
      </c>
      <c r="C607" t="s">
        <v>1913</v>
      </c>
      <c r="D607">
        <v>0</v>
      </c>
      <c r="E607">
        <v>0</v>
      </c>
      <c r="F607" t="s">
        <v>20</v>
      </c>
      <c r="G607">
        <v>0</v>
      </c>
      <c r="H607">
        <v>0</v>
      </c>
      <c r="I607">
        <v>0</v>
      </c>
      <c r="J607">
        <v>0</v>
      </c>
      <c r="K607" t="s">
        <v>1617</v>
      </c>
      <c r="L607" t="s">
        <v>398</v>
      </c>
      <c r="M607">
        <v>0</v>
      </c>
      <c r="N607">
        <v>0</v>
      </c>
      <c r="O607" s="1">
        <v>4.2207152769678096E+16</v>
      </c>
      <c r="Q607" t="b">
        <v>0</v>
      </c>
    </row>
    <row r="608" spans="1:17" x14ac:dyDescent="0.35">
      <c r="A608" t="s">
        <v>1914</v>
      </c>
      <c r="B608" t="s">
        <v>18</v>
      </c>
      <c r="C608" t="s">
        <v>1915</v>
      </c>
      <c r="D608">
        <v>0</v>
      </c>
      <c r="E608">
        <v>0</v>
      </c>
      <c r="F608" t="s">
        <v>20</v>
      </c>
      <c r="G608">
        <v>0</v>
      </c>
      <c r="H608">
        <v>0</v>
      </c>
      <c r="I608">
        <v>0</v>
      </c>
      <c r="J608">
        <v>0</v>
      </c>
      <c r="K608" t="s">
        <v>1617</v>
      </c>
      <c r="L608" t="s">
        <v>398</v>
      </c>
      <c r="M608">
        <v>0</v>
      </c>
      <c r="N608">
        <v>0</v>
      </c>
      <c r="O608" s="1">
        <v>4220743796855890</v>
      </c>
      <c r="Q608" t="b">
        <v>0</v>
      </c>
    </row>
    <row r="609" spans="1:17" x14ac:dyDescent="0.35">
      <c r="A609" t="s">
        <v>1916</v>
      </c>
      <c r="B609" t="s">
        <v>18</v>
      </c>
      <c r="C609" t="s">
        <v>1917</v>
      </c>
      <c r="D609">
        <v>0</v>
      </c>
      <c r="E609">
        <v>0</v>
      </c>
      <c r="F609" t="s">
        <v>20</v>
      </c>
      <c r="G609">
        <v>0</v>
      </c>
      <c r="H609">
        <v>0</v>
      </c>
      <c r="I609">
        <v>0</v>
      </c>
      <c r="J609">
        <v>0</v>
      </c>
      <c r="K609" t="s">
        <v>1617</v>
      </c>
      <c r="L609" t="s">
        <v>398</v>
      </c>
      <c r="M609">
        <v>0</v>
      </c>
      <c r="N609">
        <v>0</v>
      </c>
      <c r="O609" s="1">
        <v>4220772316743970</v>
      </c>
      <c r="Q609" t="b">
        <v>0</v>
      </c>
    </row>
    <row r="610" spans="1:17" x14ac:dyDescent="0.35">
      <c r="A610" t="s">
        <v>1918</v>
      </c>
      <c r="B610" t="s">
        <v>18</v>
      </c>
      <c r="C610" t="s">
        <v>1919</v>
      </c>
      <c r="D610">
        <v>0</v>
      </c>
      <c r="E610">
        <v>0</v>
      </c>
      <c r="F610" t="s">
        <v>20</v>
      </c>
      <c r="G610">
        <v>0</v>
      </c>
      <c r="H610">
        <v>0</v>
      </c>
      <c r="I610">
        <v>0</v>
      </c>
      <c r="J610">
        <v>0</v>
      </c>
      <c r="K610" t="s">
        <v>1617</v>
      </c>
      <c r="L610" t="s">
        <v>398</v>
      </c>
      <c r="M610">
        <v>0</v>
      </c>
      <c r="N610">
        <v>0</v>
      </c>
      <c r="O610" s="1">
        <v>4.2208008366320496E+16</v>
      </c>
      <c r="Q610" t="b">
        <v>0</v>
      </c>
    </row>
    <row r="611" spans="1:17" x14ac:dyDescent="0.35">
      <c r="A611" t="s">
        <v>1920</v>
      </c>
      <c r="B611" t="s">
        <v>18</v>
      </c>
      <c r="C611" t="s">
        <v>1921</v>
      </c>
      <c r="D611">
        <v>0</v>
      </c>
      <c r="E611">
        <v>0</v>
      </c>
      <c r="F611" t="s">
        <v>20</v>
      </c>
      <c r="G611">
        <v>0</v>
      </c>
      <c r="H611">
        <v>0</v>
      </c>
      <c r="I611">
        <v>0</v>
      </c>
      <c r="J611">
        <v>0</v>
      </c>
      <c r="K611" t="s">
        <v>574</v>
      </c>
      <c r="L611" s="1">
        <v>8280000000000000</v>
      </c>
      <c r="M611">
        <v>0</v>
      </c>
      <c r="N611">
        <v>0</v>
      </c>
      <c r="O611" s="1">
        <v>4220829356520130</v>
      </c>
      <c r="Q611" t="b">
        <v>0</v>
      </c>
    </row>
    <row r="612" spans="1:17" x14ac:dyDescent="0.35">
      <c r="A612" t="s">
        <v>1922</v>
      </c>
      <c r="B612" t="s">
        <v>18</v>
      </c>
      <c r="C612" t="s">
        <v>1923</v>
      </c>
      <c r="D612">
        <v>0</v>
      </c>
      <c r="E612">
        <v>0</v>
      </c>
      <c r="F612" t="s">
        <v>20</v>
      </c>
      <c r="G612">
        <v>0</v>
      </c>
      <c r="H612">
        <v>0</v>
      </c>
      <c r="I612">
        <v>0</v>
      </c>
      <c r="J612">
        <v>0</v>
      </c>
      <c r="K612" t="s">
        <v>574</v>
      </c>
      <c r="L612" s="1">
        <v>8280000000000000</v>
      </c>
      <c r="M612">
        <v>0</v>
      </c>
      <c r="N612">
        <v>0</v>
      </c>
      <c r="O612" s="1">
        <v>422085787640822</v>
      </c>
      <c r="Q612" t="b">
        <v>0</v>
      </c>
    </row>
    <row r="613" spans="1:17" x14ac:dyDescent="0.35">
      <c r="A613" t="s">
        <v>1924</v>
      </c>
      <c r="B613" t="s">
        <v>18</v>
      </c>
      <c r="C613" t="s">
        <v>1925</v>
      </c>
      <c r="D613">
        <v>0</v>
      </c>
      <c r="E613">
        <v>0</v>
      </c>
      <c r="F613" t="s">
        <v>20</v>
      </c>
      <c r="G613">
        <v>0</v>
      </c>
      <c r="H613">
        <v>0</v>
      </c>
      <c r="I613">
        <v>0</v>
      </c>
      <c r="J613">
        <v>0</v>
      </c>
      <c r="K613" t="s">
        <v>574</v>
      </c>
      <c r="L613" s="1">
        <v>8280000000000000</v>
      </c>
      <c r="M613">
        <v>0</v>
      </c>
      <c r="N613">
        <v>0</v>
      </c>
      <c r="O613" s="1">
        <v>4220886396296300</v>
      </c>
      <c r="Q613" t="b">
        <v>0</v>
      </c>
    </row>
    <row r="614" spans="1:17" x14ac:dyDescent="0.35">
      <c r="A614" t="s">
        <v>1926</v>
      </c>
      <c r="B614" t="s">
        <v>18</v>
      </c>
      <c r="C614" t="s">
        <v>1927</v>
      </c>
      <c r="D614">
        <v>0</v>
      </c>
      <c r="E614">
        <v>0</v>
      </c>
      <c r="F614" t="s">
        <v>20</v>
      </c>
      <c r="G614">
        <v>0</v>
      </c>
      <c r="H614">
        <v>0</v>
      </c>
      <c r="I614">
        <v>0</v>
      </c>
      <c r="J614">
        <v>0</v>
      </c>
      <c r="K614" t="s">
        <v>574</v>
      </c>
      <c r="L614" s="1">
        <v>8280000000000000</v>
      </c>
      <c r="M614">
        <v>0</v>
      </c>
      <c r="N614">
        <v>0</v>
      </c>
      <c r="O614" s="1">
        <v>4220914916184380</v>
      </c>
      <c r="Q614" t="b">
        <v>0</v>
      </c>
    </row>
    <row r="615" spans="1:17" x14ac:dyDescent="0.35">
      <c r="A615" t="s">
        <v>1928</v>
      </c>
      <c r="B615" t="s">
        <v>18</v>
      </c>
      <c r="C615" t="s">
        <v>1929</v>
      </c>
      <c r="D615">
        <v>0</v>
      </c>
      <c r="E615">
        <v>0</v>
      </c>
      <c r="F615" t="s">
        <v>20</v>
      </c>
      <c r="G615">
        <v>0</v>
      </c>
      <c r="H615">
        <v>0</v>
      </c>
      <c r="I615">
        <v>0</v>
      </c>
      <c r="J615">
        <v>0</v>
      </c>
      <c r="K615" t="s">
        <v>574</v>
      </c>
      <c r="L615" t="s">
        <v>672</v>
      </c>
      <c r="M615">
        <v>0</v>
      </c>
      <c r="N615">
        <v>0</v>
      </c>
      <c r="O615" s="1">
        <v>4220943436072460</v>
      </c>
      <c r="Q615" t="b">
        <v>0</v>
      </c>
    </row>
    <row r="616" spans="1:17" x14ac:dyDescent="0.35">
      <c r="A616" t="s">
        <v>1930</v>
      </c>
      <c r="B616" t="s">
        <v>18</v>
      </c>
      <c r="C616" t="s">
        <v>1931</v>
      </c>
      <c r="D616">
        <v>0</v>
      </c>
      <c r="E616">
        <v>0</v>
      </c>
      <c r="F616" t="s">
        <v>20</v>
      </c>
      <c r="G616">
        <v>0</v>
      </c>
      <c r="H616">
        <v>0</v>
      </c>
      <c r="I616">
        <v>0</v>
      </c>
      <c r="J616">
        <v>0</v>
      </c>
      <c r="K616" t="s">
        <v>574</v>
      </c>
      <c r="L616" t="s">
        <v>672</v>
      </c>
      <c r="M616">
        <v>0</v>
      </c>
      <c r="N616">
        <v>0</v>
      </c>
      <c r="O616" s="1">
        <v>4220971955960540</v>
      </c>
      <c r="Q616" t="b">
        <v>0</v>
      </c>
    </row>
    <row r="617" spans="1:17" x14ac:dyDescent="0.35">
      <c r="A617" t="s">
        <v>1932</v>
      </c>
      <c r="B617" t="s">
        <v>18</v>
      </c>
      <c r="C617" t="s">
        <v>1933</v>
      </c>
      <c r="D617">
        <v>0</v>
      </c>
      <c r="E617">
        <v>0</v>
      </c>
      <c r="F617" t="s">
        <v>20</v>
      </c>
      <c r="G617">
        <v>0</v>
      </c>
      <c r="H617">
        <v>0</v>
      </c>
      <c r="I617">
        <v>0</v>
      </c>
      <c r="J617">
        <v>0</v>
      </c>
      <c r="K617" t="s">
        <v>574</v>
      </c>
      <c r="L617" t="s">
        <v>672</v>
      </c>
      <c r="M617">
        <v>0</v>
      </c>
      <c r="N617">
        <v>0</v>
      </c>
      <c r="O617" s="1">
        <v>4221000475848620</v>
      </c>
      <c r="Q617" t="b">
        <v>0</v>
      </c>
    </row>
    <row r="618" spans="1:17" x14ac:dyDescent="0.35">
      <c r="A618" t="s">
        <v>1934</v>
      </c>
      <c r="B618" t="s">
        <v>18</v>
      </c>
      <c r="C618" t="s">
        <v>1935</v>
      </c>
      <c r="D618">
        <v>0</v>
      </c>
      <c r="E618">
        <v>0</v>
      </c>
      <c r="F618" t="s">
        <v>20</v>
      </c>
      <c r="G618">
        <v>0</v>
      </c>
      <c r="H618">
        <v>0</v>
      </c>
      <c r="I618">
        <v>0</v>
      </c>
      <c r="J618">
        <v>0</v>
      </c>
      <c r="K618" t="s">
        <v>574</v>
      </c>
      <c r="L618" t="s">
        <v>672</v>
      </c>
      <c r="M618">
        <v>0</v>
      </c>
      <c r="N618">
        <v>0</v>
      </c>
      <c r="O618" s="1">
        <v>4.2210289957367E+16</v>
      </c>
      <c r="Q618" t="b">
        <v>0</v>
      </c>
    </row>
    <row r="619" spans="1:17" x14ac:dyDescent="0.35">
      <c r="A619" t="s">
        <v>1936</v>
      </c>
      <c r="B619" t="s">
        <v>18</v>
      </c>
      <c r="C619" t="s">
        <v>1937</v>
      </c>
      <c r="D619">
        <v>0</v>
      </c>
      <c r="E619">
        <v>0</v>
      </c>
      <c r="F619" t="s">
        <v>20</v>
      </c>
      <c r="G619">
        <v>0</v>
      </c>
      <c r="H619">
        <v>0</v>
      </c>
      <c r="I619">
        <v>0</v>
      </c>
      <c r="J619">
        <v>0</v>
      </c>
      <c r="K619" t="s">
        <v>447</v>
      </c>
      <c r="L619" t="s">
        <v>57</v>
      </c>
      <c r="M619">
        <v>0</v>
      </c>
      <c r="N619">
        <v>0</v>
      </c>
      <c r="O619" s="1">
        <v>4221057515624790</v>
      </c>
      <c r="Q619" t="b">
        <v>0</v>
      </c>
    </row>
    <row r="620" spans="1:17" x14ac:dyDescent="0.35">
      <c r="A620" t="s">
        <v>1938</v>
      </c>
      <c r="B620" t="s">
        <v>18</v>
      </c>
      <c r="C620" t="s">
        <v>1939</v>
      </c>
      <c r="D620">
        <v>0</v>
      </c>
      <c r="E620">
        <v>0</v>
      </c>
      <c r="F620" t="s">
        <v>20</v>
      </c>
      <c r="G620">
        <v>0</v>
      </c>
      <c r="H620">
        <v>0</v>
      </c>
      <c r="I620">
        <v>0</v>
      </c>
      <c r="J620">
        <v>0</v>
      </c>
      <c r="K620" t="s">
        <v>447</v>
      </c>
      <c r="L620" t="s">
        <v>57</v>
      </c>
      <c r="M620">
        <v>0</v>
      </c>
      <c r="N620">
        <v>0</v>
      </c>
      <c r="O620" s="1">
        <v>4221086035512870</v>
      </c>
      <c r="Q620" t="b">
        <v>0</v>
      </c>
    </row>
    <row r="621" spans="1:17" x14ac:dyDescent="0.35">
      <c r="A621" t="s">
        <v>1940</v>
      </c>
      <c r="B621" t="s">
        <v>18</v>
      </c>
      <c r="C621" t="s">
        <v>1941</v>
      </c>
      <c r="D621">
        <v>0</v>
      </c>
      <c r="E621">
        <v>0</v>
      </c>
      <c r="F621" t="s">
        <v>20</v>
      </c>
      <c r="G621">
        <v>0</v>
      </c>
      <c r="H621">
        <v>0</v>
      </c>
      <c r="I621">
        <v>0</v>
      </c>
      <c r="J621">
        <v>0</v>
      </c>
      <c r="K621" t="s">
        <v>447</v>
      </c>
      <c r="L621" t="s">
        <v>57</v>
      </c>
      <c r="M621">
        <v>0</v>
      </c>
      <c r="N621">
        <v>0</v>
      </c>
      <c r="O621" s="1">
        <v>4221114555400950</v>
      </c>
      <c r="Q621" t="b">
        <v>0</v>
      </c>
    </row>
    <row r="622" spans="1:17" x14ac:dyDescent="0.35">
      <c r="A622" t="s">
        <v>1942</v>
      </c>
      <c r="B622" t="s">
        <v>18</v>
      </c>
      <c r="C622" t="s">
        <v>1943</v>
      </c>
      <c r="D622">
        <v>0</v>
      </c>
      <c r="E622">
        <v>0</v>
      </c>
      <c r="F622" t="s">
        <v>20</v>
      </c>
      <c r="G622">
        <v>0</v>
      </c>
      <c r="H622">
        <v>0</v>
      </c>
      <c r="I622">
        <v>0</v>
      </c>
      <c r="J622">
        <v>0</v>
      </c>
      <c r="K622" t="s">
        <v>447</v>
      </c>
      <c r="L622" t="s">
        <v>57</v>
      </c>
      <c r="M622">
        <v>0</v>
      </c>
      <c r="N622">
        <v>0</v>
      </c>
      <c r="O622" s="1">
        <v>4221143075289030</v>
      </c>
      <c r="Q622" t="b">
        <v>0</v>
      </c>
    </row>
    <row r="623" spans="1:17" x14ac:dyDescent="0.35">
      <c r="A623" t="s">
        <v>1944</v>
      </c>
      <c r="B623" t="s">
        <v>18</v>
      </c>
      <c r="C623" t="s">
        <v>1945</v>
      </c>
      <c r="D623">
        <v>0</v>
      </c>
      <c r="E623">
        <v>0</v>
      </c>
      <c r="F623" t="s">
        <v>20</v>
      </c>
      <c r="G623">
        <v>0</v>
      </c>
      <c r="H623">
        <v>0</v>
      </c>
      <c r="I623">
        <v>0</v>
      </c>
      <c r="J623">
        <v>0</v>
      </c>
      <c r="K623" t="s">
        <v>1946</v>
      </c>
      <c r="L623" t="s">
        <v>1494</v>
      </c>
      <c r="M623">
        <v>0</v>
      </c>
      <c r="N623">
        <v>0</v>
      </c>
      <c r="O623" s="1">
        <v>4221171595177110</v>
      </c>
      <c r="Q623" t="b">
        <v>0</v>
      </c>
    </row>
    <row r="624" spans="1:17" x14ac:dyDescent="0.35">
      <c r="A624" t="s">
        <v>1947</v>
      </c>
      <c r="B624" t="s">
        <v>18</v>
      </c>
      <c r="C624" t="s">
        <v>1948</v>
      </c>
      <c r="D624">
        <v>0</v>
      </c>
      <c r="E624">
        <v>0</v>
      </c>
      <c r="F624" t="s">
        <v>20</v>
      </c>
      <c r="G624">
        <v>0</v>
      </c>
      <c r="H624">
        <v>0</v>
      </c>
      <c r="I624">
        <v>0</v>
      </c>
      <c r="J624">
        <v>0</v>
      </c>
      <c r="K624" t="s">
        <v>1946</v>
      </c>
      <c r="L624" t="s">
        <v>1494</v>
      </c>
      <c r="M624">
        <v>0</v>
      </c>
      <c r="N624">
        <v>0</v>
      </c>
      <c r="O624" s="1">
        <v>42212001150652</v>
      </c>
      <c r="Q624" t="b">
        <v>0</v>
      </c>
    </row>
    <row r="625" spans="1:17" x14ac:dyDescent="0.35">
      <c r="A625" t="s">
        <v>1949</v>
      </c>
      <c r="B625" t="s">
        <v>18</v>
      </c>
      <c r="C625" t="s">
        <v>1950</v>
      </c>
      <c r="D625">
        <v>0</v>
      </c>
      <c r="E625">
        <v>0</v>
      </c>
      <c r="F625" t="s">
        <v>20</v>
      </c>
      <c r="G625">
        <v>0</v>
      </c>
      <c r="H625">
        <v>0</v>
      </c>
      <c r="I625">
        <v>0</v>
      </c>
      <c r="J625">
        <v>0</v>
      </c>
      <c r="K625" t="s">
        <v>1946</v>
      </c>
      <c r="L625" t="s">
        <v>1494</v>
      </c>
      <c r="M625">
        <v>0</v>
      </c>
      <c r="N625">
        <v>0</v>
      </c>
      <c r="O625" s="1">
        <v>4221228634953280</v>
      </c>
      <c r="Q625" t="b">
        <v>0</v>
      </c>
    </row>
    <row r="626" spans="1:17" x14ac:dyDescent="0.35">
      <c r="A626" t="s">
        <v>1951</v>
      </c>
      <c r="B626" t="s">
        <v>18</v>
      </c>
      <c r="C626" t="s">
        <v>1952</v>
      </c>
      <c r="D626">
        <v>0</v>
      </c>
      <c r="E626">
        <v>0</v>
      </c>
      <c r="F626" t="s">
        <v>20</v>
      </c>
      <c r="G626">
        <v>0</v>
      </c>
      <c r="H626">
        <v>0</v>
      </c>
      <c r="I626">
        <v>0</v>
      </c>
      <c r="J626">
        <v>0</v>
      </c>
      <c r="K626" t="s">
        <v>1946</v>
      </c>
      <c r="L626" t="s">
        <v>1494</v>
      </c>
      <c r="M626">
        <v>0</v>
      </c>
      <c r="N626">
        <v>0</v>
      </c>
      <c r="O626" s="1">
        <v>4221257154841360</v>
      </c>
      <c r="Q626" t="b">
        <v>0</v>
      </c>
    </row>
    <row r="627" spans="1:17" x14ac:dyDescent="0.35">
      <c r="A627" t="s">
        <v>1953</v>
      </c>
      <c r="B627" t="s">
        <v>18</v>
      </c>
      <c r="C627" t="s">
        <v>1954</v>
      </c>
      <c r="D627">
        <v>0</v>
      </c>
      <c r="E627">
        <v>0</v>
      </c>
      <c r="F627" t="s">
        <v>20</v>
      </c>
      <c r="G627">
        <v>0</v>
      </c>
      <c r="H627">
        <v>0</v>
      </c>
      <c r="I627">
        <v>0</v>
      </c>
      <c r="J627">
        <v>0</v>
      </c>
      <c r="K627" t="s">
        <v>419</v>
      </c>
      <c r="L627" s="1">
        <v>1.43999999999999E+16</v>
      </c>
      <c r="M627">
        <v>0</v>
      </c>
      <c r="N627">
        <v>0</v>
      </c>
      <c r="O627" s="1">
        <v>4221285674729440</v>
      </c>
      <c r="Q627" t="b">
        <v>0</v>
      </c>
    </row>
    <row r="628" spans="1:17" x14ac:dyDescent="0.35">
      <c r="A628" t="s">
        <v>1955</v>
      </c>
      <c r="B628" t="s">
        <v>18</v>
      </c>
      <c r="C628" t="s">
        <v>1956</v>
      </c>
      <c r="D628">
        <v>0</v>
      </c>
      <c r="E628">
        <v>0</v>
      </c>
      <c r="F628" t="s">
        <v>20</v>
      </c>
      <c r="G628">
        <v>0</v>
      </c>
      <c r="H628">
        <v>0</v>
      </c>
      <c r="I628">
        <v>0</v>
      </c>
      <c r="J628">
        <v>0</v>
      </c>
      <c r="K628" t="s">
        <v>419</v>
      </c>
      <c r="L628" s="1">
        <v>1.43999999999999E+16</v>
      </c>
      <c r="M628">
        <v>0</v>
      </c>
      <c r="N628">
        <v>0</v>
      </c>
      <c r="O628" s="1">
        <v>4221314194617520</v>
      </c>
      <c r="Q628" t="b">
        <v>0</v>
      </c>
    </row>
    <row r="629" spans="1:17" x14ac:dyDescent="0.35">
      <c r="A629" t="s">
        <v>1957</v>
      </c>
      <c r="B629" t="s">
        <v>18</v>
      </c>
      <c r="C629" t="s">
        <v>1958</v>
      </c>
      <c r="D629">
        <v>0</v>
      </c>
      <c r="E629">
        <v>0</v>
      </c>
      <c r="F629" t="s">
        <v>20</v>
      </c>
      <c r="G629" t="s">
        <v>1959</v>
      </c>
      <c r="H629">
        <v>0</v>
      </c>
      <c r="I629">
        <v>0</v>
      </c>
      <c r="J629">
        <v>0</v>
      </c>
      <c r="K629" t="s">
        <v>419</v>
      </c>
      <c r="L629" s="1">
        <v>1.43999999999999E+16</v>
      </c>
      <c r="M629">
        <v>0</v>
      </c>
      <c r="N629">
        <v>0</v>
      </c>
      <c r="O629" s="1">
        <v>4.2213427145056E+16</v>
      </c>
      <c r="Q629" t="b">
        <v>0</v>
      </c>
    </row>
    <row r="630" spans="1:17" x14ac:dyDescent="0.35">
      <c r="A630" t="s">
        <v>1960</v>
      </c>
      <c r="B630" t="s">
        <v>18</v>
      </c>
      <c r="C630" t="s">
        <v>1961</v>
      </c>
      <c r="D630">
        <v>0</v>
      </c>
      <c r="E630" t="s">
        <v>1962</v>
      </c>
      <c r="F630" t="s">
        <v>20</v>
      </c>
      <c r="G630" t="s">
        <v>1963</v>
      </c>
      <c r="H630">
        <v>0</v>
      </c>
      <c r="I630">
        <v>0</v>
      </c>
      <c r="J630">
        <v>0</v>
      </c>
      <c r="K630" t="s">
        <v>419</v>
      </c>
      <c r="L630" s="1">
        <v>1.43999999999999E+16</v>
      </c>
      <c r="M630">
        <v>0</v>
      </c>
      <c r="N630">
        <v>0</v>
      </c>
      <c r="O630" s="1">
        <v>4221371234393680</v>
      </c>
      <c r="Q630" t="b">
        <v>0</v>
      </c>
    </row>
    <row r="631" spans="1:17" x14ac:dyDescent="0.35">
      <c r="A631" t="s">
        <v>1964</v>
      </c>
      <c r="B631" t="s">
        <v>18</v>
      </c>
      <c r="C631" t="s">
        <v>1965</v>
      </c>
      <c r="D631">
        <v>0</v>
      </c>
      <c r="E631" t="s">
        <v>1966</v>
      </c>
      <c r="F631" t="s">
        <v>20</v>
      </c>
      <c r="G631" t="s">
        <v>1967</v>
      </c>
      <c r="H631" s="1">
        <v>2.44216666666666E+16</v>
      </c>
      <c r="I631">
        <v>0</v>
      </c>
      <c r="J631">
        <v>25</v>
      </c>
      <c r="K631" t="s">
        <v>81</v>
      </c>
      <c r="L631" s="1">
        <v>1.278E+16</v>
      </c>
      <c r="M631">
        <v>0</v>
      </c>
      <c r="N631">
        <v>0</v>
      </c>
      <c r="O631" s="1">
        <v>422139975428177</v>
      </c>
      <c r="Q631" t="b">
        <v>0</v>
      </c>
    </row>
    <row r="632" spans="1:17" x14ac:dyDescent="0.35">
      <c r="A632" t="s">
        <v>1968</v>
      </c>
      <c r="B632" t="s">
        <v>18</v>
      </c>
      <c r="C632" t="s">
        <v>1969</v>
      </c>
      <c r="D632">
        <v>0</v>
      </c>
      <c r="E632" t="s">
        <v>1970</v>
      </c>
      <c r="F632" t="s">
        <v>20</v>
      </c>
      <c r="G632" t="s">
        <v>1971</v>
      </c>
      <c r="H632" s="1">
        <v>2.44216666666666E+16</v>
      </c>
      <c r="I632">
        <v>0</v>
      </c>
      <c r="J632">
        <v>25</v>
      </c>
      <c r="K632" t="s">
        <v>81</v>
      </c>
      <c r="L632" s="1">
        <v>1.278E+16</v>
      </c>
      <c r="M632">
        <v>0</v>
      </c>
      <c r="N632">
        <v>0</v>
      </c>
      <c r="O632" s="1">
        <v>4221428274169850</v>
      </c>
      <c r="Q632" t="b">
        <v>0</v>
      </c>
    </row>
    <row r="633" spans="1:17" x14ac:dyDescent="0.35">
      <c r="A633" t="s">
        <v>1972</v>
      </c>
      <c r="B633" t="s">
        <v>18</v>
      </c>
      <c r="C633" t="s">
        <v>1973</v>
      </c>
      <c r="D633">
        <v>0</v>
      </c>
      <c r="E633" t="s">
        <v>1974</v>
      </c>
      <c r="F633" t="s">
        <v>20</v>
      </c>
      <c r="G633" t="s">
        <v>1975</v>
      </c>
      <c r="H633" s="1">
        <v>2.44216666666666E+16</v>
      </c>
      <c r="I633">
        <v>0</v>
      </c>
      <c r="J633">
        <v>25</v>
      </c>
      <c r="K633" t="s">
        <v>81</v>
      </c>
      <c r="L633" s="1">
        <v>1.278E+16</v>
      </c>
      <c r="M633">
        <v>0</v>
      </c>
      <c r="N633">
        <v>0</v>
      </c>
      <c r="O633" s="1">
        <v>4221456794057930</v>
      </c>
      <c r="Q633" t="b">
        <v>0</v>
      </c>
    </row>
    <row r="634" spans="1:17" x14ac:dyDescent="0.35">
      <c r="A634" t="s">
        <v>1976</v>
      </c>
      <c r="B634" t="s">
        <v>18</v>
      </c>
      <c r="C634" t="s">
        <v>1977</v>
      </c>
      <c r="D634">
        <v>0</v>
      </c>
      <c r="E634" t="s">
        <v>1978</v>
      </c>
      <c r="F634" t="s">
        <v>20</v>
      </c>
      <c r="G634" t="s">
        <v>1979</v>
      </c>
      <c r="H634" s="1">
        <v>2.44216666666666E+16</v>
      </c>
      <c r="I634">
        <v>0</v>
      </c>
      <c r="J634">
        <v>25</v>
      </c>
      <c r="K634" t="s">
        <v>81</v>
      </c>
      <c r="L634" s="1">
        <v>1.278E+16</v>
      </c>
      <c r="M634">
        <v>0</v>
      </c>
      <c r="N634">
        <v>0</v>
      </c>
      <c r="O634" s="1">
        <v>4221485313946010</v>
      </c>
      <c r="Q634" t="b">
        <v>0</v>
      </c>
    </row>
    <row r="635" spans="1:17" x14ac:dyDescent="0.35">
      <c r="A635" t="s">
        <v>1980</v>
      </c>
      <c r="B635" t="s">
        <v>18</v>
      </c>
      <c r="C635" t="s">
        <v>1981</v>
      </c>
      <c r="D635">
        <v>0</v>
      </c>
      <c r="E635" t="s">
        <v>1982</v>
      </c>
      <c r="F635" t="s">
        <v>20</v>
      </c>
      <c r="G635" t="s">
        <v>1983</v>
      </c>
      <c r="H635" s="1">
        <v>3.71416666666666E+16</v>
      </c>
      <c r="I635">
        <v>0</v>
      </c>
      <c r="J635" t="s">
        <v>1984</v>
      </c>
      <c r="K635" s="1">
        <v>1.59999999999999E+16</v>
      </c>
      <c r="L635" t="s">
        <v>1985</v>
      </c>
      <c r="M635">
        <v>0</v>
      </c>
      <c r="N635">
        <v>0</v>
      </c>
      <c r="O635" s="1">
        <v>4221513833834090</v>
      </c>
      <c r="Q635" t="b">
        <v>0</v>
      </c>
    </row>
    <row r="636" spans="1:17" x14ac:dyDescent="0.35">
      <c r="A636" t="s">
        <v>1986</v>
      </c>
      <c r="B636" t="s">
        <v>18</v>
      </c>
      <c r="C636" t="s">
        <v>1987</v>
      </c>
      <c r="D636">
        <v>0</v>
      </c>
      <c r="E636" t="s">
        <v>1988</v>
      </c>
      <c r="F636" t="s">
        <v>20</v>
      </c>
      <c r="G636" t="s">
        <v>1989</v>
      </c>
      <c r="H636" s="1">
        <v>3.71416666666666E+16</v>
      </c>
      <c r="I636">
        <v>0</v>
      </c>
      <c r="J636" t="s">
        <v>1984</v>
      </c>
      <c r="K636" s="1">
        <v>1.59999999999999E+16</v>
      </c>
      <c r="L636" t="s">
        <v>1985</v>
      </c>
      <c r="M636">
        <v>0</v>
      </c>
      <c r="N636">
        <v>0</v>
      </c>
      <c r="O636" s="1">
        <v>4221542353722170</v>
      </c>
      <c r="Q636" t="b">
        <v>0</v>
      </c>
    </row>
    <row r="637" spans="1:17" x14ac:dyDescent="0.35">
      <c r="A637" t="s">
        <v>1990</v>
      </c>
      <c r="B637" t="s">
        <v>18</v>
      </c>
      <c r="C637" t="s">
        <v>1991</v>
      </c>
      <c r="D637">
        <v>0</v>
      </c>
      <c r="E637" t="s">
        <v>1992</v>
      </c>
      <c r="F637" t="s">
        <v>20</v>
      </c>
      <c r="G637" t="s">
        <v>1993</v>
      </c>
      <c r="H637" s="1">
        <v>3.71416666666666E+16</v>
      </c>
      <c r="I637">
        <v>0</v>
      </c>
      <c r="J637" t="s">
        <v>1984</v>
      </c>
      <c r="K637" s="1">
        <v>1.59999999999999E+16</v>
      </c>
      <c r="L637" t="s">
        <v>1985</v>
      </c>
      <c r="M637">
        <v>0</v>
      </c>
      <c r="N637">
        <v>0</v>
      </c>
      <c r="O637" s="1">
        <v>4.2215708736102496E+16</v>
      </c>
      <c r="Q637" t="b">
        <v>0</v>
      </c>
    </row>
    <row r="638" spans="1:17" x14ac:dyDescent="0.35">
      <c r="A638" t="s">
        <v>1994</v>
      </c>
      <c r="B638" t="s">
        <v>18</v>
      </c>
      <c r="C638" t="s">
        <v>1995</v>
      </c>
      <c r="D638">
        <v>0</v>
      </c>
      <c r="E638" t="s">
        <v>1996</v>
      </c>
      <c r="F638" t="s">
        <v>20</v>
      </c>
      <c r="G638" t="s">
        <v>1997</v>
      </c>
      <c r="H638" s="1">
        <v>3.71416666666666E+16</v>
      </c>
      <c r="I638">
        <v>0</v>
      </c>
      <c r="J638" t="s">
        <v>1984</v>
      </c>
      <c r="K638" s="1">
        <v>1.59999999999999E+16</v>
      </c>
      <c r="L638" t="s">
        <v>1985</v>
      </c>
      <c r="M638">
        <v>0</v>
      </c>
      <c r="N638">
        <v>0</v>
      </c>
      <c r="O638" s="1">
        <v>4221599393498340</v>
      </c>
      <c r="Q638" t="b">
        <v>0</v>
      </c>
    </row>
    <row r="639" spans="1:17" x14ac:dyDescent="0.35">
      <c r="A639" t="s">
        <v>1998</v>
      </c>
      <c r="B639" t="s">
        <v>18</v>
      </c>
      <c r="C639" t="s">
        <v>1999</v>
      </c>
      <c r="D639">
        <v>0</v>
      </c>
      <c r="E639" t="s">
        <v>2000</v>
      </c>
      <c r="F639" t="s">
        <v>20</v>
      </c>
      <c r="G639" t="s">
        <v>2001</v>
      </c>
      <c r="H639" t="s">
        <v>2002</v>
      </c>
      <c r="I639">
        <v>0</v>
      </c>
      <c r="J639">
        <v>104</v>
      </c>
      <c r="K639" t="s">
        <v>299</v>
      </c>
      <c r="L639" t="s">
        <v>664</v>
      </c>
      <c r="M639">
        <v>0</v>
      </c>
      <c r="N639">
        <v>0</v>
      </c>
      <c r="O639" s="1">
        <v>4221627913386420</v>
      </c>
      <c r="Q639" t="b">
        <v>0</v>
      </c>
    </row>
    <row r="640" spans="1:17" x14ac:dyDescent="0.35">
      <c r="A640" t="s">
        <v>2003</v>
      </c>
      <c r="B640" t="s">
        <v>18</v>
      </c>
      <c r="C640" t="s">
        <v>2004</v>
      </c>
      <c r="D640">
        <v>0</v>
      </c>
      <c r="E640" t="s">
        <v>2005</v>
      </c>
      <c r="F640" t="s">
        <v>20</v>
      </c>
      <c r="G640" t="s">
        <v>2006</v>
      </c>
      <c r="H640" t="s">
        <v>2002</v>
      </c>
      <c r="I640">
        <v>0</v>
      </c>
      <c r="J640">
        <v>104</v>
      </c>
      <c r="K640" t="s">
        <v>299</v>
      </c>
      <c r="L640" t="s">
        <v>664</v>
      </c>
      <c r="M640">
        <v>0</v>
      </c>
      <c r="N640">
        <v>0</v>
      </c>
      <c r="O640" s="1">
        <v>4221656433274500</v>
      </c>
      <c r="Q640" t="b">
        <v>0</v>
      </c>
    </row>
    <row r="641" spans="1:17" x14ac:dyDescent="0.35">
      <c r="A641" t="s">
        <v>2007</v>
      </c>
      <c r="B641" t="s">
        <v>18</v>
      </c>
      <c r="C641" t="s">
        <v>2008</v>
      </c>
      <c r="D641">
        <v>0</v>
      </c>
      <c r="E641" t="s">
        <v>2009</v>
      </c>
      <c r="F641" t="s">
        <v>20</v>
      </c>
      <c r="G641" t="s">
        <v>2010</v>
      </c>
      <c r="H641" t="s">
        <v>2002</v>
      </c>
      <c r="I641">
        <v>0</v>
      </c>
      <c r="J641">
        <v>104</v>
      </c>
      <c r="K641" t="s">
        <v>299</v>
      </c>
      <c r="L641" t="s">
        <v>664</v>
      </c>
      <c r="M641">
        <v>0</v>
      </c>
      <c r="N641">
        <v>0</v>
      </c>
      <c r="O641" s="1">
        <v>4221684953162580</v>
      </c>
      <c r="Q641" t="b">
        <v>0</v>
      </c>
    </row>
    <row r="642" spans="1:17" x14ac:dyDescent="0.35">
      <c r="A642" t="s">
        <v>2011</v>
      </c>
      <c r="B642" t="s">
        <v>18</v>
      </c>
      <c r="C642" t="s">
        <v>2012</v>
      </c>
      <c r="D642">
        <v>0</v>
      </c>
      <c r="E642" t="s">
        <v>2013</v>
      </c>
      <c r="F642" t="s">
        <v>20</v>
      </c>
      <c r="G642" t="s">
        <v>2014</v>
      </c>
      <c r="H642" t="s">
        <v>2002</v>
      </c>
      <c r="I642">
        <v>0</v>
      </c>
      <c r="J642">
        <v>104</v>
      </c>
      <c r="K642" t="s">
        <v>299</v>
      </c>
      <c r="L642" t="s">
        <v>664</v>
      </c>
      <c r="M642">
        <v>0</v>
      </c>
      <c r="N642">
        <v>0</v>
      </c>
      <c r="O642" s="1">
        <v>4221713473050660</v>
      </c>
      <c r="Q642" t="b">
        <v>0</v>
      </c>
    </row>
    <row r="643" spans="1:17" x14ac:dyDescent="0.35">
      <c r="A643" t="s">
        <v>2015</v>
      </c>
      <c r="B643" t="s">
        <v>18</v>
      </c>
      <c r="C643" t="s">
        <v>2016</v>
      </c>
      <c r="D643">
        <v>0</v>
      </c>
      <c r="E643" t="s">
        <v>2017</v>
      </c>
      <c r="F643" t="s">
        <v>20</v>
      </c>
      <c r="G643" t="s">
        <v>2018</v>
      </c>
      <c r="H643" s="1">
        <v>3695333333333330</v>
      </c>
      <c r="I643">
        <v>0</v>
      </c>
      <c r="J643">
        <v>124</v>
      </c>
      <c r="K643" t="s">
        <v>2019</v>
      </c>
      <c r="L643" s="1">
        <v>1.062E+16</v>
      </c>
      <c r="M643">
        <v>0</v>
      </c>
      <c r="N643">
        <v>0</v>
      </c>
      <c r="O643" s="1">
        <v>4221741992938740</v>
      </c>
      <c r="Q643" t="b">
        <v>0</v>
      </c>
    </row>
    <row r="644" spans="1:17" x14ac:dyDescent="0.35">
      <c r="A644" t="s">
        <v>2020</v>
      </c>
      <c r="B644" t="s">
        <v>18</v>
      </c>
      <c r="C644" t="s">
        <v>2021</v>
      </c>
      <c r="D644">
        <v>0</v>
      </c>
      <c r="E644" t="s">
        <v>2022</v>
      </c>
      <c r="F644" t="s">
        <v>20</v>
      </c>
      <c r="G644" t="s">
        <v>2023</v>
      </c>
      <c r="H644" s="1">
        <v>3695333333333330</v>
      </c>
      <c r="I644">
        <v>0</v>
      </c>
      <c r="J644">
        <v>124</v>
      </c>
      <c r="K644" t="s">
        <v>2019</v>
      </c>
      <c r="L644" s="1">
        <v>1.062E+16</v>
      </c>
      <c r="M644">
        <v>0</v>
      </c>
      <c r="N644">
        <v>0</v>
      </c>
      <c r="O644" s="1">
        <v>4221770512826830</v>
      </c>
      <c r="Q644" t="b">
        <v>0</v>
      </c>
    </row>
    <row r="645" spans="1:17" x14ac:dyDescent="0.35">
      <c r="A645" t="s">
        <v>2024</v>
      </c>
      <c r="B645" t="s">
        <v>18</v>
      </c>
      <c r="C645" t="s">
        <v>2025</v>
      </c>
      <c r="D645">
        <v>0</v>
      </c>
      <c r="E645" t="s">
        <v>2026</v>
      </c>
      <c r="F645" t="s">
        <v>20</v>
      </c>
      <c r="G645" t="s">
        <v>2027</v>
      </c>
      <c r="H645" s="1">
        <v>3695333333333330</v>
      </c>
      <c r="I645">
        <v>0</v>
      </c>
      <c r="J645">
        <v>124</v>
      </c>
      <c r="K645" t="s">
        <v>2019</v>
      </c>
      <c r="L645" s="1">
        <v>1.062E+16</v>
      </c>
      <c r="M645">
        <v>0</v>
      </c>
      <c r="N645">
        <v>0</v>
      </c>
      <c r="O645" s="1">
        <v>4221799032714910</v>
      </c>
      <c r="Q645" t="b">
        <v>0</v>
      </c>
    </row>
    <row r="646" spans="1:17" x14ac:dyDescent="0.35">
      <c r="A646" t="s">
        <v>2028</v>
      </c>
      <c r="B646" t="s">
        <v>18</v>
      </c>
      <c r="C646" t="s">
        <v>2029</v>
      </c>
      <c r="D646">
        <v>0</v>
      </c>
      <c r="E646" t="s">
        <v>2030</v>
      </c>
      <c r="F646" t="s">
        <v>20</v>
      </c>
      <c r="G646" t="s">
        <v>2031</v>
      </c>
      <c r="H646" s="1">
        <v>3695333333333330</v>
      </c>
      <c r="I646">
        <v>0</v>
      </c>
      <c r="J646">
        <v>124</v>
      </c>
      <c r="K646" t="s">
        <v>2019</v>
      </c>
      <c r="L646" s="1">
        <v>1.062E+16</v>
      </c>
      <c r="M646">
        <v>0</v>
      </c>
      <c r="N646">
        <v>0</v>
      </c>
      <c r="O646" s="1">
        <v>4221827552602990</v>
      </c>
      <c r="Q646" t="b">
        <v>0</v>
      </c>
    </row>
    <row r="647" spans="1:17" x14ac:dyDescent="0.35">
      <c r="A647" t="s">
        <v>2032</v>
      </c>
      <c r="B647" t="s">
        <v>18</v>
      </c>
      <c r="C647" t="s">
        <v>2033</v>
      </c>
      <c r="D647">
        <v>0</v>
      </c>
      <c r="E647" t="s">
        <v>2034</v>
      </c>
      <c r="F647" t="s">
        <v>20</v>
      </c>
      <c r="G647" t="s">
        <v>2035</v>
      </c>
      <c r="H647" s="1">
        <v>3615666666666660</v>
      </c>
      <c r="I647">
        <v>0</v>
      </c>
      <c r="J647">
        <v>128</v>
      </c>
      <c r="K647" t="s">
        <v>2036</v>
      </c>
      <c r="L647" t="s">
        <v>1781</v>
      </c>
      <c r="M647">
        <v>0</v>
      </c>
      <c r="N647">
        <v>0</v>
      </c>
      <c r="O647" s="1">
        <v>4221856072491070</v>
      </c>
      <c r="Q647" t="b">
        <v>0</v>
      </c>
    </row>
    <row r="648" spans="1:17" x14ac:dyDescent="0.35">
      <c r="A648" t="s">
        <v>2037</v>
      </c>
      <c r="B648" t="s">
        <v>18</v>
      </c>
      <c r="C648" t="s">
        <v>2038</v>
      </c>
      <c r="D648">
        <v>0</v>
      </c>
      <c r="E648" t="s">
        <v>2039</v>
      </c>
      <c r="F648" t="s">
        <v>20</v>
      </c>
      <c r="G648" t="s">
        <v>2040</v>
      </c>
      <c r="H648" s="1">
        <v>3615666666666660</v>
      </c>
      <c r="I648">
        <v>0</v>
      </c>
      <c r="J648">
        <v>128</v>
      </c>
      <c r="K648" t="s">
        <v>2036</v>
      </c>
      <c r="L648" t="s">
        <v>1781</v>
      </c>
      <c r="M648">
        <v>0</v>
      </c>
      <c r="N648">
        <v>0</v>
      </c>
      <c r="O648" s="1">
        <v>4.2218845923791504E+16</v>
      </c>
      <c r="Q648" t="b">
        <v>0</v>
      </c>
    </row>
    <row r="649" spans="1:17" x14ac:dyDescent="0.35">
      <c r="A649" t="s">
        <v>2041</v>
      </c>
      <c r="B649" t="s">
        <v>18</v>
      </c>
      <c r="C649" t="s">
        <v>2042</v>
      </c>
      <c r="D649">
        <v>0</v>
      </c>
      <c r="E649" t="s">
        <v>2043</v>
      </c>
      <c r="F649" t="s">
        <v>20</v>
      </c>
      <c r="G649" t="s">
        <v>2044</v>
      </c>
      <c r="H649" s="1">
        <v>3615666666666660</v>
      </c>
      <c r="I649">
        <v>0</v>
      </c>
      <c r="J649">
        <v>128</v>
      </c>
      <c r="K649" t="s">
        <v>2036</v>
      </c>
      <c r="L649" t="s">
        <v>1781</v>
      </c>
      <c r="M649">
        <v>0</v>
      </c>
      <c r="N649">
        <v>0</v>
      </c>
      <c r="O649" s="1">
        <v>4221913112267230</v>
      </c>
      <c r="Q649" t="b">
        <v>0</v>
      </c>
    </row>
    <row r="650" spans="1:17" x14ac:dyDescent="0.35">
      <c r="A650" t="s">
        <v>2045</v>
      </c>
      <c r="B650" t="s">
        <v>18</v>
      </c>
      <c r="C650" t="s">
        <v>2046</v>
      </c>
      <c r="D650">
        <v>0</v>
      </c>
      <c r="E650" t="s">
        <v>2047</v>
      </c>
      <c r="F650" t="s">
        <v>20</v>
      </c>
      <c r="G650" t="s">
        <v>2048</v>
      </c>
      <c r="H650" s="1">
        <v>3615666666666660</v>
      </c>
      <c r="I650">
        <v>0</v>
      </c>
      <c r="J650">
        <v>128</v>
      </c>
      <c r="K650" t="s">
        <v>2036</v>
      </c>
      <c r="L650" t="s">
        <v>1781</v>
      </c>
      <c r="M650">
        <v>0</v>
      </c>
      <c r="N650">
        <v>0</v>
      </c>
      <c r="O650" s="1">
        <v>422194163215532</v>
      </c>
      <c r="Q650" t="b">
        <v>0</v>
      </c>
    </row>
    <row r="651" spans="1:17" x14ac:dyDescent="0.35">
      <c r="A651" t="s">
        <v>2049</v>
      </c>
      <c r="B651" t="s">
        <v>18</v>
      </c>
      <c r="C651" t="s">
        <v>2050</v>
      </c>
      <c r="D651">
        <v>0</v>
      </c>
      <c r="E651" t="s">
        <v>2051</v>
      </c>
      <c r="F651" t="s">
        <v>20</v>
      </c>
      <c r="G651" t="s">
        <v>2052</v>
      </c>
      <c r="H651" s="1">
        <v>3.45249999999999E+16</v>
      </c>
      <c r="I651">
        <v>0</v>
      </c>
      <c r="J651">
        <v>117</v>
      </c>
      <c r="K651" t="s">
        <v>1290</v>
      </c>
      <c r="L651" t="s">
        <v>41</v>
      </c>
      <c r="M651">
        <v>0</v>
      </c>
      <c r="N651">
        <v>0</v>
      </c>
      <c r="O651" s="1">
        <v>4221970152043400</v>
      </c>
      <c r="Q651" t="b">
        <v>0</v>
      </c>
    </row>
    <row r="652" spans="1:17" x14ac:dyDescent="0.35">
      <c r="A652" t="s">
        <v>2053</v>
      </c>
      <c r="B652" t="s">
        <v>18</v>
      </c>
      <c r="C652" t="s">
        <v>2054</v>
      </c>
      <c r="D652">
        <v>0</v>
      </c>
      <c r="E652" t="s">
        <v>2055</v>
      </c>
      <c r="F652" t="s">
        <v>20</v>
      </c>
      <c r="G652" t="s">
        <v>2056</v>
      </c>
      <c r="H652" s="1">
        <v>3.45249999999999E+16</v>
      </c>
      <c r="I652">
        <v>0</v>
      </c>
      <c r="J652">
        <v>117</v>
      </c>
      <c r="K652" t="s">
        <v>1290</v>
      </c>
      <c r="L652" t="s">
        <v>41</v>
      </c>
      <c r="M652">
        <v>0</v>
      </c>
      <c r="N652">
        <v>0</v>
      </c>
      <c r="O652" s="1">
        <v>4221998671931480</v>
      </c>
      <c r="Q652" t="b">
        <v>0</v>
      </c>
    </row>
    <row r="653" spans="1:17" x14ac:dyDescent="0.35">
      <c r="A653" t="s">
        <v>2057</v>
      </c>
      <c r="B653" t="s">
        <v>18</v>
      </c>
      <c r="C653" t="s">
        <v>2058</v>
      </c>
      <c r="D653">
        <v>0</v>
      </c>
      <c r="E653" t="s">
        <v>2059</v>
      </c>
      <c r="F653" t="s">
        <v>20</v>
      </c>
      <c r="G653" t="s">
        <v>2060</v>
      </c>
      <c r="H653" s="1">
        <v>3.45249999999999E+16</v>
      </c>
      <c r="I653">
        <v>0</v>
      </c>
      <c r="J653">
        <v>117</v>
      </c>
      <c r="K653" t="s">
        <v>1290</v>
      </c>
      <c r="L653" t="s">
        <v>41</v>
      </c>
      <c r="M653">
        <v>0</v>
      </c>
      <c r="N653">
        <v>0</v>
      </c>
      <c r="O653" s="1">
        <v>4222027191819560</v>
      </c>
      <c r="Q653" t="b">
        <v>0</v>
      </c>
    </row>
    <row r="654" spans="1:17" x14ac:dyDescent="0.35">
      <c r="A654" t="s">
        <v>2061</v>
      </c>
      <c r="B654" t="s">
        <v>18</v>
      </c>
      <c r="C654" t="s">
        <v>2062</v>
      </c>
      <c r="D654">
        <v>0</v>
      </c>
      <c r="E654" t="s">
        <v>2063</v>
      </c>
      <c r="F654" t="s">
        <v>20</v>
      </c>
      <c r="G654" t="s">
        <v>2064</v>
      </c>
      <c r="H654" s="1">
        <v>3.45249999999999E+16</v>
      </c>
      <c r="I654">
        <v>0</v>
      </c>
      <c r="J654">
        <v>117</v>
      </c>
      <c r="K654" t="s">
        <v>1290</v>
      </c>
      <c r="L654" t="s">
        <v>41</v>
      </c>
      <c r="M654">
        <v>0</v>
      </c>
      <c r="N654">
        <v>0</v>
      </c>
      <c r="O654" s="1">
        <v>4222055711707640</v>
      </c>
      <c r="Q654" t="b">
        <v>0</v>
      </c>
    </row>
    <row r="655" spans="1:17" x14ac:dyDescent="0.35">
      <c r="A655" t="s">
        <v>2065</v>
      </c>
      <c r="B655" t="s">
        <v>18</v>
      </c>
      <c r="C655" t="s">
        <v>2066</v>
      </c>
      <c r="D655">
        <v>0</v>
      </c>
      <c r="E655" t="s">
        <v>2067</v>
      </c>
      <c r="F655" t="s">
        <v>20</v>
      </c>
      <c r="G655" t="s">
        <v>2068</v>
      </c>
      <c r="H655" s="1">
        <v>3.20933333333333E+16</v>
      </c>
      <c r="I655">
        <v>0</v>
      </c>
      <c r="J655">
        <v>91</v>
      </c>
      <c r="K655" t="s">
        <v>2069</v>
      </c>
      <c r="L655" t="s">
        <v>63</v>
      </c>
      <c r="M655">
        <v>0</v>
      </c>
      <c r="N655">
        <v>0</v>
      </c>
      <c r="O655" s="1">
        <v>4222084231595720</v>
      </c>
      <c r="Q655" t="b">
        <v>0</v>
      </c>
    </row>
    <row r="656" spans="1:17" x14ac:dyDescent="0.35">
      <c r="A656" t="s">
        <v>2070</v>
      </c>
      <c r="B656" t="s">
        <v>18</v>
      </c>
      <c r="C656" t="s">
        <v>2071</v>
      </c>
      <c r="D656">
        <v>0</v>
      </c>
      <c r="E656" t="s">
        <v>2072</v>
      </c>
      <c r="F656" t="s">
        <v>20</v>
      </c>
      <c r="G656" t="s">
        <v>2073</v>
      </c>
      <c r="H656" s="1">
        <v>3.20933333333333E+16</v>
      </c>
      <c r="I656">
        <v>0</v>
      </c>
      <c r="J656">
        <v>91</v>
      </c>
      <c r="K656" t="s">
        <v>2069</v>
      </c>
      <c r="L656" t="s">
        <v>63</v>
      </c>
      <c r="M656">
        <v>0</v>
      </c>
      <c r="N656">
        <v>0</v>
      </c>
      <c r="O656" s="1">
        <v>4.2221127514838E+16</v>
      </c>
      <c r="Q656" t="b">
        <v>0</v>
      </c>
    </row>
    <row r="657" spans="1:17" x14ac:dyDescent="0.35">
      <c r="A657" t="s">
        <v>2074</v>
      </c>
      <c r="B657" t="s">
        <v>18</v>
      </c>
      <c r="C657" t="s">
        <v>2075</v>
      </c>
      <c r="D657">
        <v>0</v>
      </c>
      <c r="E657" t="s">
        <v>2076</v>
      </c>
      <c r="F657" t="s">
        <v>20</v>
      </c>
      <c r="G657" t="s">
        <v>2077</v>
      </c>
      <c r="H657" s="1">
        <v>3.20933333333333E+16</v>
      </c>
      <c r="I657">
        <v>0</v>
      </c>
      <c r="J657">
        <v>91</v>
      </c>
      <c r="K657" t="s">
        <v>2069</v>
      </c>
      <c r="L657" t="s">
        <v>63</v>
      </c>
      <c r="M657">
        <v>0</v>
      </c>
      <c r="N657">
        <v>0</v>
      </c>
      <c r="O657" s="1">
        <v>4222141271371890</v>
      </c>
      <c r="Q657" t="b">
        <v>0</v>
      </c>
    </row>
    <row r="658" spans="1:17" x14ac:dyDescent="0.35">
      <c r="A658" t="s">
        <v>2078</v>
      </c>
      <c r="B658" t="s">
        <v>18</v>
      </c>
      <c r="C658" t="s">
        <v>2079</v>
      </c>
      <c r="D658">
        <v>0</v>
      </c>
      <c r="E658" t="s">
        <v>2080</v>
      </c>
      <c r="F658" t="s">
        <v>20</v>
      </c>
      <c r="G658" t="s">
        <v>2081</v>
      </c>
      <c r="H658" s="1">
        <v>3.20933333333333E+16</v>
      </c>
      <c r="I658">
        <v>0</v>
      </c>
      <c r="J658">
        <v>91</v>
      </c>
      <c r="K658" t="s">
        <v>2069</v>
      </c>
      <c r="L658" t="s">
        <v>63</v>
      </c>
      <c r="M658">
        <v>0</v>
      </c>
      <c r="N658">
        <v>0</v>
      </c>
      <c r="O658" s="1">
        <v>4222169791259970</v>
      </c>
      <c r="Q658" t="b">
        <v>0</v>
      </c>
    </row>
    <row r="659" spans="1:17" x14ac:dyDescent="0.35">
      <c r="A659" t="s">
        <v>2082</v>
      </c>
      <c r="B659" t="s">
        <v>18</v>
      </c>
      <c r="C659" t="s">
        <v>2083</v>
      </c>
      <c r="D659">
        <v>0</v>
      </c>
      <c r="E659" t="s">
        <v>2084</v>
      </c>
      <c r="F659" t="s">
        <v>20</v>
      </c>
      <c r="G659" t="s">
        <v>2085</v>
      </c>
      <c r="H659" t="s">
        <v>2086</v>
      </c>
      <c r="I659">
        <v>0</v>
      </c>
      <c r="J659">
        <v>51</v>
      </c>
      <c r="K659" t="s">
        <v>340</v>
      </c>
      <c r="L659" s="1">
        <v>1.512E+16</v>
      </c>
      <c r="M659">
        <v>0</v>
      </c>
      <c r="N659">
        <v>0</v>
      </c>
      <c r="O659" s="1">
        <v>4.2221983111480496E+16</v>
      </c>
      <c r="Q659" t="b">
        <v>0</v>
      </c>
    </row>
    <row r="660" spans="1:17" x14ac:dyDescent="0.35">
      <c r="A660" t="s">
        <v>2087</v>
      </c>
      <c r="B660" t="s">
        <v>18</v>
      </c>
      <c r="C660" t="s">
        <v>2088</v>
      </c>
      <c r="D660">
        <v>0</v>
      </c>
      <c r="E660">
        <v>0</v>
      </c>
      <c r="F660" t="s">
        <v>20</v>
      </c>
      <c r="G660" t="s">
        <v>2089</v>
      </c>
      <c r="H660" t="s">
        <v>2086</v>
      </c>
      <c r="I660">
        <v>0</v>
      </c>
      <c r="J660">
        <v>51</v>
      </c>
      <c r="K660" t="s">
        <v>340</v>
      </c>
      <c r="L660" s="1">
        <v>1.512E+16</v>
      </c>
      <c r="M660">
        <v>0</v>
      </c>
      <c r="N660">
        <v>0</v>
      </c>
      <c r="O660" s="1">
        <v>4222226831036130</v>
      </c>
      <c r="Q660" t="b">
        <v>0</v>
      </c>
    </row>
    <row r="661" spans="1:17" x14ac:dyDescent="0.35">
      <c r="A661" t="s">
        <v>2090</v>
      </c>
      <c r="B661" t="s">
        <v>18</v>
      </c>
      <c r="C661" t="s">
        <v>2091</v>
      </c>
      <c r="D661">
        <v>0</v>
      </c>
      <c r="E661">
        <v>0</v>
      </c>
      <c r="F661" t="s">
        <v>20</v>
      </c>
      <c r="G661" t="s">
        <v>2092</v>
      </c>
      <c r="H661" t="s">
        <v>2086</v>
      </c>
      <c r="I661">
        <v>0</v>
      </c>
      <c r="J661">
        <v>51</v>
      </c>
      <c r="K661" t="s">
        <v>340</v>
      </c>
      <c r="L661" s="1">
        <v>1.512E+16</v>
      </c>
      <c r="M661">
        <v>0</v>
      </c>
      <c r="N661">
        <v>0</v>
      </c>
      <c r="O661" s="1">
        <v>4222255350924210</v>
      </c>
      <c r="Q661" t="b">
        <v>0</v>
      </c>
    </row>
    <row r="662" spans="1:17" x14ac:dyDescent="0.35">
      <c r="A662" t="s">
        <v>2093</v>
      </c>
      <c r="B662" t="s">
        <v>18</v>
      </c>
      <c r="C662" t="s">
        <v>2094</v>
      </c>
      <c r="D662">
        <v>0</v>
      </c>
      <c r="E662">
        <v>0</v>
      </c>
      <c r="F662" t="s">
        <v>20</v>
      </c>
      <c r="G662" t="s">
        <v>2095</v>
      </c>
      <c r="H662" t="s">
        <v>2086</v>
      </c>
      <c r="I662">
        <v>0</v>
      </c>
      <c r="J662">
        <v>51</v>
      </c>
      <c r="K662" t="s">
        <v>340</v>
      </c>
      <c r="L662" s="1">
        <v>1.512E+16</v>
      </c>
      <c r="M662">
        <v>0</v>
      </c>
      <c r="N662">
        <v>0</v>
      </c>
      <c r="O662" s="1">
        <v>4222283870812290</v>
      </c>
      <c r="Q662" t="b">
        <v>0</v>
      </c>
    </row>
    <row r="663" spans="1:17" x14ac:dyDescent="0.35">
      <c r="A663" t="s">
        <v>2096</v>
      </c>
      <c r="B663" t="s">
        <v>18</v>
      </c>
      <c r="C663" t="s">
        <v>2097</v>
      </c>
      <c r="D663">
        <v>0</v>
      </c>
      <c r="E663">
        <v>0</v>
      </c>
      <c r="F663" t="s">
        <v>20</v>
      </c>
      <c r="G663">
        <v>0</v>
      </c>
      <c r="H663" s="1">
        <v>1.08983333333333E+16</v>
      </c>
      <c r="I663">
        <v>0</v>
      </c>
      <c r="J663">
        <v>11</v>
      </c>
      <c r="K663" s="1">
        <v>2.34999999999999E+16</v>
      </c>
      <c r="L663" s="1">
        <v>1.674E+16</v>
      </c>
      <c r="M663">
        <v>0</v>
      </c>
      <c r="N663">
        <v>0</v>
      </c>
      <c r="O663" s="1">
        <v>4222312390700380</v>
      </c>
      <c r="Q663" t="b">
        <v>0</v>
      </c>
    </row>
    <row r="664" spans="1:17" x14ac:dyDescent="0.35">
      <c r="A664" t="s">
        <v>2098</v>
      </c>
      <c r="B664" t="s">
        <v>18</v>
      </c>
      <c r="C664" t="s">
        <v>2099</v>
      </c>
      <c r="D664">
        <v>0</v>
      </c>
      <c r="E664">
        <v>0</v>
      </c>
      <c r="F664" t="s">
        <v>20</v>
      </c>
      <c r="G664">
        <v>0</v>
      </c>
      <c r="H664" s="1">
        <v>1.08983333333333E+16</v>
      </c>
      <c r="I664">
        <v>0</v>
      </c>
      <c r="J664">
        <v>11</v>
      </c>
      <c r="K664" s="1">
        <v>2.34999999999999E+16</v>
      </c>
      <c r="L664" s="1">
        <v>1.674E+16</v>
      </c>
      <c r="M664">
        <v>0</v>
      </c>
      <c r="N664">
        <v>0</v>
      </c>
      <c r="O664" s="1">
        <v>4222340910588460</v>
      </c>
      <c r="Q664" t="b">
        <v>0</v>
      </c>
    </row>
    <row r="665" spans="1:17" x14ac:dyDescent="0.35">
      <c r="A665" t="s">
        <v>2100</v>
      </c>
      <c r="B665" t="s">
        <v>18</v>
      </c>
      <c r="C665" t="s">
        <v>2101</v>
      </c>
      <c r="D665">
        <v>0</v>
      </c>
      <c r="E665">
        <v>0</v>
      </c>
      <c r="F665" t="s">
        <v>20</v>
      </c>
      <c r="G665">
        <v>0</v>
      </c>
      <c r="H665" s="1">
        <v>1.08983333333333E+16</v>
      </c>
      <c r="I665">
        <v>0</v>
      </c>
      <c r="J665">
        <v>11</v>
      </c>
      <c r="K665" s="1">
        <v>2.34999999999999E+16</v>
      </c>
      <c r="L665" s="1">
        <v>1.674E+16</v>
      </c>
      <c r="M665">
        <v>0</v>
      </c>
      <c r="N665">
        <v>0</v>
      </c>
      <c r="O665" s="1">
        <v>4222369430476540</v>
      </c>
      <c r="Q665" t="b">
        <v>0</v>
      </c>
    </row>
    <row r="666" spans="1:17" x14ac:dyDescent="0.35">
      <c r="A666" t="s">
        <v>2102</v>
      </c>
      <c r="B666" t="s">
        <v>18</v>
      </c>
      <c r="C666" t="s">
        <v>2103</v>
      </c>
      <c r="D666">
        <v>0</v>
      </c>
      <c r="E666">
        <v>0</v>
      </c>
      <c r="F666" t="s">
        <v>20</v>
      </c>
      <c r="G666">
        <v>0</v>
      </c>
      <c r="H666" s="1">
        <v>1.08983333333333E+16</v>
      </c>
      <c r="I666">
        <v>0</v>
      </c>
      <c r="J666">
        <v>11</v>
      </c>
      <c r="K666" s="1">
        <v>2.34999999999999E+16</v>
      </c>
      <c r="L666" s="1">
        <v>1.674E+16</v>
      </c>
      <c r="M666">
        <v>0</v>
      </c>
      <c r="N666">
        <v>0</v>
      </c>
      <c r="O666" s="1">
        <v>4222397950364620</v>
      </c>
      <c r="Q666" t="b">
        <v>0</v>
      </c>
    </row>
    <row r="667" spans="1:17" x14ac:dyDescent="0.35">
      <c r="A667" t="s">
        <v>2104</v>
      </c>
      <c r="B667" t="s">
        <v>18</v>
      </c>
      <c r="C667" t="s">
        <v>2105</v>
      </c>
      <c r="D667">
        <v>0</v>
      </c>
      <c r="E667">
        <v>0</v>
      </c>
      <c r="F667" t="s">
        <v>20</v>
      </c>
      <c r="G667">
        <v>0</v>
      </c>
      <c r="H667">
        <v>0</v>
      </c>
      <c r="I667">
        <v>0</v>
      </c>
      <c r="J667">
        <v>0</v>
      </c>
      <c r="K667" t="s">
        <v>274</v>
      </c>
      <c r="L667">
        <v>18</v>
      </c>
      <c r="M667">
        <v>0</v>
      </c>
      <c r="N667">
        <v>0</v>
      </c>
      <c r="O667" s="1">
        <v>4222426470252700</v>
      </c>
      <c r="Q667" t="b">
        <v>0</v>
      </c>
    </row>
    <row r="668" spans="1:17" x14ac:dyDescent="0.35">
      <c r="A668" t="s">
        <v>2106</v>
      </c>
      <c r="B668" t="s">
        <v>18</v>
      </c>
      <c r="C668" t="s">
        <v>2107</v>
      </c>
      <c r="D668">
        <v>0</v>
      </c>
      <c r="E668">
        <v>0</v>
      </c>
      <c r="F668" t="s">
        <v>20</v>
      </c>
      <c r="G668">
        <v>0</v>
      </c>
      <c r="H668">
        <v>0</v>
      </c>
      <c r="I668">
        <v>0</v>
      </c>
      <c r="J668">
        <v>0</v>
      </c>
      <c r="K668" t="s">
        <v>274</v>
      </c>
      <c r="L668">
        <v>18</v>
      </c>
      <c r="M668">
        <v>0</v>
      </c>
      <c r="N668">
        <v>0</v>
      </c>
      <c r="O668" s="1">
        <v>4222454990140780</v>
      </c>
      <c r="Q668" t="b">
        <v>0</v>
      </c>
    </row>
    <row r="669" spans="1:17" x14ac:dyDescent="0.35">
      <c r="A669" t="s">
        <v>2108</v>
      </c>
      <c r="B669" t="s">
        <v>18</v>
      </c>
      <c r="C669" t="s">
        <v>2109</v>
      </c>
      <c r="D669">
        <v>0</v>
      </c>
      <c r="E669">
        <v>0</v>
      </c>
      <c r="F669" t="s">
        <v>20</v>
      </c>
      <c r="G669">
        <v>0</v>
      </c>
      <c r="H669">
        <v>0</v>
      </c>
      <c r="I669">
        <v>0</v>
      </c>
      <c r="J669">
        <v>0</v>
      </c>
      <c r="K669" t="s">
        <v>274</v>
      </c>
      <c r="L669">
        <v>18</v>
      </c>
      <c r="M669">
        <v>0</v>
      </c>
      <c r="N669">
        <v>0</v>
      </c>
      <c r="O669" s="1">
        <v>422248351002887</v>
      </c>
      <c r="Q669" t="b">
        <v>0</v>
      </c>
    </row>
    <row r="670" spans="1:17" x14ac:dyDescent="0.35">
      <c r="A670" t="s">
        <v>2110</v>
      </c>
      <c r="B670" t="s">
        <v>18</v>
      </c>
      <c r="C670" t="s">
        <v>2111</v>
      </c>
      <c r="D670">
        <v>0</v>
      </c>
      <c r="E670">
        <v>0</v>
      </c>
      <c r="F670" t="s">
        <v>20</v>
      </c>
      <c r="G670">
        <v>0</v>
      </c>
      <c r="H670">
        <v>0</v>
      </c>
      <c r="I670">
        <v>0</v>
      </c>
      <c r="J670">
        <v>0</v>
      </c>
      <c r="K670" t="s">
        <v>274</v>
      </c>
      <c r="L670">
        <v>18</v>
      </c>
      <c r="M670">
        <v>0</v>
      </c>
      <c r="N670">
        <v>0</v>
      </c>
      <c r="O670" s="1">
        <v>4222512029916950</v>
      </c>
      <c r="Q670" t="b">
        <v>0</v>
      </c>
    </row>
    <row r="671" spans="1:17" x14ac:dyDescent="0.35">
      <c r="A671" t="s">
        <v>2112</v>
      </c>
      <c r="B671" t="s">
        <v>18</v>
      </c>
      <c r="C671" t="s">
        <v>2113</v>
      </c>
      <c r="D671">
        <v>0</v>
      </c>
      <c r="E671">
        <v>0</v>
      </c>
      <c r="F671" t="s">
        <v>20</v>
      </c>
      <c r="G671">
        <v>0</v>
      </c>
      <c r="H671">
        <v>0</v>
      </c>
      <c r="I671">
        <v>0</v>
      </c>
      <c r="J671">
        <v>0</v>
      </c>
      <c r="K671" t="s">
        <v>2114</v>
      </c>
      <c r="L671" t="s">
        <v>2115</v>
      </c>
      <c r="M671">
        <v>0</v>
      </c>
      <c r="N671">
        <v>0</v>
      </c>
      <c r="O671" s="1">
        <v>4222540549805030</v>
      </c>
      <c r="Q671" t="b">
        <v>0</v>
      </c>
    </row>
    <row r="672" spans="1:17" x14ac:dyDescent="0.35">
      <c r="A672" t="s">
        <v>2116</v>
      </c>
      <c r="B672" t="s">
        <v>18</v>
      </c>
      <c r="C672" t="s">
        <v>2117</v>
      </c>
      <c r="D672">
        <v>0</v>
      </c>
      <c r="E672">
        <v>0</v>
      </c>
      <c r="F672" t="s">
        <v>20</v>
      </c>
      <c r="G672">
        <v>0</v>
      </c>
      <c r="H672">
        <v>0</v>
      </c>
      <c r="I672">
        <v>0</v>
      </c>
      <c r="J672">
        <v>0</v>
      </c>
      <c r="K672" t="s">
        <v>2114</v>
      </c>
      <c r="L672" t="s">
        <v>2115</v>
      </c>
      <c r="M672">
        <v>0</v>
      </c>
      <c r="N672">
        <v>0</v>
      </c>
      <c r="O672" s="1">
        <v>4222569069693110</v>
      </c>
      <c r="Q672" t="b">
        <v>0</v>
      </c>
    </row>
    <row r="673" spans="1:17" x14ac:dyDescent="0.35">
      <c r="A673" t="s">
        <v>2118</v>
      </c>
      <c r="B673" t="s">
        <v>18</v>
      </c>
      <c r="C673" t="s">
        <v>2119</v>
      </c>
      <c r="D673">
        <v>0</v>
      </c>
      <c r="E673">
        <v>0</v>
      </c>
      <c r="F673" t="s">
        <v>20</v>
      </c>
      <c r="G673">
        <v>0</v>
      </c>
      <c r="H673">
        <v>0</v>
      </c>
      <c r="I673">
        <v>0</v>
      </c>
      <c r="J673">
        <v>0</v>
      </c>
      <c r="K673" t="s">
        <v>2114</v>
      </c>
      <c r="L673" t="s">
        <v>2115</v>
      </c>
      <c r="M673">
        <v>0</v>
      </c>
      <c r="N673">
        <v>0</v>
      </c>
      <c r="O673" s="1">
        <v>4222597589581190</v>
      </c>
      <c r="Q673" t="b">
        <v>0</v>
      </c>
    </row>
    <row r="674" spans="1:17" x14ac:dyDescent="0.35">
      <c r="A674" t="s">
        <v>2120</v>
      </c>
      <c r="B674" t="s">
        <v>18</v>
      </c>
      <c r="C674" t="s">
        <v>2121</v>
      </c>
      <c r="D674">
        <v>0</v>
      </c>
      <c r="E674">
        <v>0</v>
      </c>
      <c r="F674" t="s">
        <v>20</v>
      </c>
      <c r="G674">
        <v>0</v>
      </c>
      <c r="H674">
        <v>0</v>
      </c>
      <c r="I674">
        <v>0</v>
      </c>
      <c r="J674">
        <v>0</v>
      </c>
      <c r="K674" t="s">
        <v>2114</v>
      </c>
      <c r="L674" t="s">
        <v>2115</v>
      </c>
      <c r="M674">
        <v>0</v>
      </c>
      <c r="N674">
        <v>0</v>
      </c>
      <c r="O674" s="1">
        <v>4222626109469270</v>
      </c>
      <c r="Q674" t="b">
        <v>0</v>
      </c>
    </row>
    <row r="675" spans="1:17" x14ac:dyDescent="0.35">
      <c r="A675" t="s">
        <v>2122</v>
      </c>
      <c r="B675" t="s">
        <v>18</v>
      </c>
      <c r="C675" t="s">
        <v>2123</v>
      </c>
      <c r="D675">
        <v>0</v>
      </c>
      <c r="E675">
        <v>0</v>
      </c>
      <c r="F675" t="s">
        <v>20</v>
      </c>
      <c r="G675">
        <v>0</v>
      </c>
      <c r="H675">
        <v>0</v>
      </c>
      <c r="I675">
        <v>0</v>
      </c>
      <c r="J675">
        <v>0</v>
      </c>
      <c r="K675" t="s">
        <v>31</v>
      </c>
      <c r="L675" t="s">
        <v>1103</v>
      </c>
      <c r="M675">
        <v>0</v>
      </c>
      <c r="N675">
        <v>0</v>
      </c>
      <c r="O675" s="1">
        <v>4.2226546293573504E+16</v>
      </c>
      <c r="Q675" t="b">
        <v>0</v>
      </c>
    </row>
    <row r="676" spans="1:17" x14ac:dyDescent="0.35">
      <c r="A676" t="s">
        <v>2124</v>
      </c>
      <c r="B676" t="s">
        <v>18</v>
      </c>
      <c r="C676" t="s">
        <v>2125</v>
      </c>
      <c r="D676">
        <v>0</v>
      </c>
      <c r="E676">
        <v>0</v>
      </c>
      <c r="F676" t="s">
        <v>20</v>
      </c>
      <c r="G676">
        <v>0</v>
      </c>
      <c r="H676">
        <v>0</v>
      </c>
      <c r="I676">
        <v>0</v>
      </c>
      <c r="J676">
        <v>0</v>
      </c>
      <c r="K676" t="s">
        <v>31</v>
      </c>
      <c r="L676" t="s">
        <v>1103</v>
      </c>
      <c r="M676">
        <v>0</v>
      </c>
      <c r="N676">
        <v>0</v>
      </c>
      <c r="O676" s="1">
        <v>4222683149245440</v>
      </c>
      <c r="Q676" t="b">
        <v>0</v>
      </c>
    </row>
    <row r="677" spans="1:17" x14ac:dyDescent="0.35">
      <c r="A677" t="s">
        <v>2126</v>
      </c>
      <c r="B677" t="s">
        <v>18</v>
      </c>
      <c r="C677" t="s">
        <v>2127</v>
      </c>
      <c r="D677">
        <v>0</v>
      </c>
      <c r="E677">
        <v>0</v>
      </c>
      <c r="F677" t="s">
        <v>20</v>
      </c>
      <c r="G677">
        <v>0</v>
      </c>
      <c r="H677">
        <v>0</v>
      </c>
      <c r="I677">
        <v>0</v>
      </c>
      <c r="J677">
        <v>0</v>
      </c>
      <c r="K677" t="s">
        <v>31</v>
      </c>
      <c r="L677" t="s">
        <v>1103</v>
      </c>
      <c r="M677">
        <v>0</v>
      </c>
      <c r="N677">
        <v>0</v>
      </c>
      <c r="O677" s="1">
        <v>4222711669133520</v>
      </c>
      <c r="Q677" t="b">
        <v>0</v>
      </c>
    </row>
    <row r="678" spans="1:17" x14ac:dyDescent="0.35">
      <c r="A678" t="s">
        <v>2128</v>
      </c>
      <c r="B678" t="s">
        <v>18</v>
      </c>
      <c r="C678" t="s">
        <v>2129</v>
      </c>
      <c r="D678">
        <v>0</v>
      </c>
      <c r="E678">
        <v>0</v>
      </c>
      <c r="F678" t="s">
        <v>20</v>
      </c>
      <c r="G678">
        <v>0</v>
      </c>
      <c r="H678">
        <v>0</v>
      </c>
      <c r="I678">
        <v>0</v>
      </c>
      <c r="J678">
        <v>0</v>
      </c>
      <c r="K678" t="s">
        <v>31</v>
      </c>
      <c r="L678" t="s">
        <v>1103</v>
      </c>
      <c r="M678">
        <v>0</v>
      </c>
      <c r="N678">
        <v>0</v>
      </c>
      <c r="O678" s="1">
        <v>4.2227401890216E+16</v>
      </c>
      <c r="Q678" t="b">
        <v>0</v>
      </c>
    </row>
    <row r="679" spans="1:17" x14ac:dyDescent="0.35">
      <c r="A679" t="s">
        <v>2130</v>
      </c>
      <c r="B679" t="s">
        <v>18</v>
      </c>
      <c r="C679" t="s">
        <v>2131</v>
      </c>
      <c r="D679">
        <v>0</v>
      </c>
      <c r="E679">
        <v>0</v>
      </c>
      <c r="F679" t="s">
        <v>20</v>
      </c>
      <c r="G679">
        <v>0</v>
      </c>
      <c r="H679">
        <v>0</v>
      </c>
      <c r="I679">
        <v>0</v>
      </c>
      <c r="J679">
        <v>0</v>
      </c>
      <c r="K679" t="s">
        <v>51</v>
      </c>
      <c r="L679" s="1">
        <v>1.476E+16</v>
      </c>
      <c r="M679">
        <v>0</v>
      </c>
      <c r="N679">
        <v>0</v>
      </c>
      <c r="O679" s="1">
        <v>4222768708909680</v>
      </c>
      <c r="Q679" t="b">
        <v>0</v>
      </c>
    </row>
    <row r="680" spans="1:17" x14ac:dyDescent="0.35">
      <c r="A680" t="s">
        <v>2132</v>
      </c>
      <c r="B680" t="s">
        <v>18</v>
      </c>
      <c r="C680" t="s">
        <v>2133</v>
      </c>
      <c r="D680">
        <v>0</v>
      </c>
      <c r="E680">
        <v>0</v>
      </c>
      <c r="F680" t="s">
        <v>20</v>
      </c>
      <c r="G680">
        <v>0</v>
      </c>
      <c r="H680">
        <v>0</v>
      </c>
      <c r="I680">
        <v>0</v>
      </c>
      <c r="J680">
        <v>0</v>
      </c>
      <c r="K680" t="s">
        <v>51</v>
      </c>
      <c r="L680" s="1">
        <v>1.476E+16</v>
      </c>
      <c r="M680">
        <v>0</v>
      </c>
      <c r="N680">
        <v>0</v>
      </c>
      <c r="O680" s="1">
        <v>4222797228797760</v>
      </c>
      <c r="Q680" t="b">
        <v>0</v>
      </c>
    </row>
    <row r="681" spans="1:17" x14ac:dyDescent="0.35">
      <c r="A681" t="s">
        <v>2134</v>
      </c>
      <c r="B681" t="s">
        <v>18</v>
      </c>
      <c r="C681" t="s">
        <v>2135</v>
      </c>
      <c r="D681">
        <v>0</v>
      </c>
      <c r="E681">
        <v>0</v>
      </c>
      <c r="F681" t="s">
        <v>20</v>
      </c>
      <c r="G681">
        <v>0</v>
      </c>
      <c r="H681">
        <v>0</v>
      </c>
      <c r="I681">
        <v>0</v>
      </c>
      <c r="J681">
        <v>0</v>
      </c>
      <c r="K681" t="s">
        <v>51</v>
      </c>
      <c r="L681" s="1">
        <v>1.476E+16</v>
      </c>
      <c r="M681">
        <v>0</v>
      </c>
      <c r="N681">
        <v>0</v>
      </c>
      <c r="O681" s="1">
        <v>4222825748685840</v>
      </c>
      <c r="Q681" t="b">
        <v>0</v>
      </c>
    </row>
    <row r="682" spans="1:17" x14ac:dyDescent="0.35">
      <c r="A682" t="s">
        <v>2136</v>
      </c>
      <c r="B682" t="s">
        <v>18</v>
      </c>
      <c r="C682" t="s">
        <v>2137</v>
      </c>
      <c r="D682">
        <v>0</v>
      </c>
      <c r="E682">
        <v>0</v>
      </c>
      <c r="F682" t="s">
        <v>20</v>
      </c>
      <c r="G682">
        <v>0</v>
      </c>
      <c r="H682">
        <v>0</v>
      </c>
      <c r="I682">
        <v>0</v>
      </c>
      <c r="J682">
        <v>0</v>
      </c>
      <c r="K682" t="s">
        <v>51</v>
      </c>
      <c r="L682" s="1">
        <v>1.476E+16</v>
      </c>
      <c r="M682">
        <v>0</v>
      </c>
      <c r="N682">
        <v>0</v>
      </c>
      <c r="O682" s="1">
        <v>422285426857393</v>
      </c>
      <c r="Q682" t="b">
        <v>0</v>
      </c>
    </row>
    <row r="683" spans="1:17" x14ac:dyDescent="0.35">
      <c r="A683" t="s">
        <v>2138</v>
      </c>
      <c r="B683" t="s">
        <v>18</v>
      </c>
      <c r="C683" t="s">
        <v>2139</v>
      </c>
      <c r="D683">
        <v>0</v>
      </c>
      <c r="E683">
        <v>0</v>
      </c>
      <c r="F683" t="s">
        <v>20</v>
      </c>
      <c r="G683">
        <v>0</v>
      </c>
      <c r="H683">
        <v>0</v>
      </c>
      <c r="I683">
        <v>0</v>
      </c>
      <c r="J683">
        <v>0</v>
      </c>
      <c r="K683">
        <v>1</v>
      </c>
      <c r="L683" s="1">
        <v>1.17E+16</v>
      </c>
      <c r="M683">
        <v>0</v>
      </c>
      <c r="N683">
        <v>0</v>
      </c>
      <c r="O683" s="1">
        <v>4222882788462010</v>
      </c>
      <c r="Q683" t="b">
        <v>0</v>
      </c>
    </row>
    <row r="684" spans="1:17" x14ac:dyDescent="0.35">
      <c r="A684" t="s">
        <v>2140</v>
      </c>
      <c r="B684" t="s">
        <v>18</v>
      </c>
      <c r="C684" t="s">
        <v>2141</v>
      </c>
      <c r="D684">
        <v>0</v>
      </c>
      <c r="E684">
        <v>0</v>
      </c>
      <c r="F684" t="s">
        <v>20</v>
      </c>
      <c r="G684">
        <v>0</v>
      </c>
      <c r="H684">
        <v>0</v>
      </c>
      <c r="I684">
        <v>0</v>
      </c>
      <c r="J684">
        <v>0</v>
      </c>
      <c r="K684">
        <v>1</v>
      </c>
      <c r="L684" s="1">
        <v>1.17E+16</v>
      </c>
      <c r="M684">
        <v>0</v>
      </c>
      <c r="N684">
        <v>0</v>
      </c>
      <c r="O684" s="1">
        <v>4222911308350090</v>
      </c>
      <c r="Q684" t="b">
        <v>0</v>
      </c>
    </row>
    <row r="685" spans="1:17" x14ac:dyDescent="0.35">
      <c r="A685" t="s">
        <v>2142</v>
      </c>
      <c r="B685" t="s">
        <v>18</v>
      </c>
      <c r="C685" t="s">
        <v>2143</v>
      </c>
      <c r="D685">
        <v>0</v>
      </c>
      <c r="E685">
        <v>0</v>
      </c>
      <c r="F685" t="s">
        <v>20</v>
      </c>
      <c r="G685">
        <v>0</v>
      </c>
      <c r="H685">
        <v>0</v>
      </c>
      <c r="I685">
        <v>0</v>
      </c>
      <c r="J685">
        <v>0</v>
      </c>
      <c r="K685">
        <v>1</v>
      </c>
      <c r="L685" s="1">
        <v>1.17E+16</v>
      </c>
      <c r="M685">
        <v>0</v>
      </c>
      <c r="N685">
        <v>0</v>
      </c>
      <c r="O685" s="1">
        <v>4222939828238170</v>
      </c>
      <c r="Q685" t="b">
        <v>0</v>
      </c>
    </row>
    <row r="686" spans="1:17" x14ac:dyDescent="0.35">
      <c r="A686" t="s">
        <v>2144</v>
      </c>
      <c r="B686" t="s">
        <v>18</v>
      </c>
      <c r="C686" t="s">
        <v>2145</v>
      </c>
      <c r="D686">
        <v>0</v>
      </c>
      <c r="E686">
        <v>0</v>
      </c>
      <c r="F686" t="s">
        <v>20</v>
      </c>
      <c r="G686">
        <v>0</v>
      </c>
      <c r="H686">
        <v>0</v>
      </c>
      <c r="I686">
        <v>0</v>
      </c>
      <c r="J686">
        <v>0</v>
      </c>
      <c r="K686">
        <v>1</v>
      </c>
      <c r="L686" s="1">
        <v>1.17E+16</v>
      </c>
      <c r="M686">
        <v>0</v>
      </c>
      <c r="N686">
        <v>0</v>
      </c>
      <c r="O686" s="1">
        <v>4.2229683481262496E+16</v>
      </c>
      <c r="Q686" t="b">
        <v>0</v>
      </c>
    </row>
    <row r="687" spans="1:17" x14ac:dyDescent="0.35">
      <c r="A687" t="s">
        <v>2146</v>
      </c>
      <c r="B687" t="s">
        <v>18</v>
      </c>
      <c r="C687" t="s">
        <v>2147</v>
      </c>
      <c r="D687">
        <v>0</v>
      </c>
      <c r="E687">
        <v>0</v>
      </c>
      <c r="F687" t="s">
        <v>20</v>
      </c>
      <c r="G687">
        <v>0</v>
      </c>
      <c r="H687">
        <v>0</v>
      </c>
      <c r="I687">
        <v>0</v>
      </c>
      <c r="J687">
        <v>0</v>
      </c>
      <c r="K687" t="s">
        <v>257</v>
      </c>
      <c r="L687" s="1">
        <v>8280000000000000</v>
      </c>
      <c r="M687">
        <v>0</v>
      </c>
      <c r="N687">
        <v>0</v>
      </c>
      <c r="O687" s="1">
        <v>4222996868014330</v>
      </c>
      <c r="Q687" t="b">
        <v>0</v>
      </c>
    </row>
    <row r="688" spans="1:17" x14ac:dyDescent="0.35">
      <c r="A688" t="s">
        <v>2148</v>
      </c>
      <c r="B688" t="s">
        <v>18</v>
      </c>
      <c r="C688" t="s">
        <v>2149</v>
      </c>
      <c r="D688">
        <v>0</v>
      </c>
      <c r="E688">
        <v>0</v>
      </c>
      <c r="F688" t="s">
        <v>20</v>
      </c>
      <c r="G688">
        <v>0</v>
      </c>
      <c r="H688">
        <v>0</v>
      </c>
      <c r="I688">
        <v>0</v>
      </c>
      <c r="J688">
        <v>0</v>
      </c>
      <c r="K688" t="s">
        <v>257</v>
      </c>
      <c r="L688" s="1">
        <v>8280000000000000</v>
      </c>
      <c r="M688">
        <v>0</v>
      </c>
      <c r="N688">
        <v>0</v>
      </c>
      <c r="O688" s="1">
        <v>422302538790242</v>
      </c>
      <c r="Q688" t="b">
        <v>0</v>
      </c>
    </row>
    <row r="689" spans="1:17" x14ac:dyDescent="0.35">
      <c r="A689" t="s">
        <v>2150</v>
      </c>
      <c r="B689" t="s">
        <v>18</v>
      </c>
      <c r="C689" t="s">
        <v>2151</v>
      </c>
      <c r="D689">
        <v>0</v>
      </c>
      <c r="E689">
        <v>0</v>
      </c>
      <c r="F689" t="s">
        <v>20</v>
      </c>
      <c r="G689">
        <v>0</v>
      </c>
      <c r="H689">
        <v>0</v>
      </c>
      <c r="I689">
        <v>0</v>
      </c>
      <c r="J689">
        <v>0</v>
      </c>
      <c r="K689" t="s">
        <v>257</v>
      </c>
      <c r="L689" s="1">
        <v>8280000000000000</v>
      </c>
      <c r="M689">
        <v>0</v>
      </c>
      <c r="N689">
        <v>0</v>
      </c>
      <c r="O689" s="1">
        <v>4223053907790500</v>
      </c>
      <c r="Q689" t="b">
        <v>0</v>
      </c>
    </row>
    <row r="690" spans="1:17" x14ac:dyDescent="0.35">
      <c r="A690" t="s">
        <v>2152</v>
      </c>
      <c r="B690" t="s">
        <v>18</v>
      </c>
      <c r="C690" t="s">
        <v>2153</v>
      </c>
      <c r="D690">
        <v>0</v>
      </c>
      <c r="E690">
        <v>0</v>
      </c>
      <c r="F690" t="s">
        <v>20</v>
      </c>
      <c r="G690">
        <v>0</v>
      </c>
      <c r="H690">
        <v>0</v>
      </c>
      <c r="I690">
        <v>0</v>
      </c>
      <c r="J690">
        <v>0</v>
      </c>
      <c r="K690" t="s">
        <v>257</v>
      </c>
      <c r="L690" s="1">
        <v>8280000000000000</v>
      </c>
      <c r="M690">
        <v>0</v>
      </c>
      <c r="N690">
        <v>0</v>
      </c>
      <c r="O690" s="1">
        <v>4223082427678580</v>
      </c>
      <c r="Q690" t="b">
        <v>0</v>
      </c>
    </row>
    <row r="691" spans="1:17" x14ac:dyDescent="0.35">
      <c r="A691" t="s">
        <v>2154</v>
      </c>
      <c r="B691" t="s">
        <v>18</v>
      </c>
      <c r="C691" t="s">
        <v>2155</v>
      </c>
      <c r="D691">
        <v>0</v>
      </c>
      <c r="E691">
        <v>0</v>
      </c>
      <c r="F691" t="s">
        <v>20</v>
      </c>
      <c r="G691">
        <v>0</v>
      </c>
      <c r="H691">
        <v>0</v>
      </c>
      <c r="I691">
        <v>0</v>
      </c>
      <c r="J691">
        <v>0</v>
      </c>
      <c r="K691" t="s">
        <v>401</v>
      </c>
      <c r="L691" t="s">
        <v>1888</v>
      </c>
      <c r="M691">
        <v>0</v>
      </c>
      <c r="N691">
        <v>0</v>
      </c>
      <c r="O691" s="1">
        <v>4223110947566660</v>
      </c>
      <c r="Q691" t="b">
        <v>0</v>
      </c>
    </row>
    <row r="692" spans="1:17" x14ac:dyDescent="0.35">
      <c r="A692" t="s">
        <v>2156</v>
      </c>
      <c r="B692" t="s">
        <v>18</v>
      </c>
      <c r="C692" t="s">
        <v>2157</v>
      </c>
      <c r="D692">
        <v>0</v>
      </c>
      <c r="E692">
        <v>0</v>
      </c>
      <c r="F692" t="s">
        <v>20</v>
      </c>
      <c r="G692">
        <v>0</v>
      </c>
      <c r="H692">
        <v>0</v>
      </c>
      <c r="I692">
        <v>0</v>
      </c>
      <c r="J692">
        <v>0</v>
      </c>
      <c r="K692" t="s">
        <v>401</v>
      </c>
      <c r="L692" t="s">
        <v>1888</v>
      </c>
      <c r="M692">
        <v>0</v>
      </c>
      <c r="N692">
        <v>0</v>
      </c>
      <c r="O692" s="1">
        <v>4223139467454740</v>
      </c>
      <c r="Q692" t="b">
        <v>0</v>
      </c>
    </row>
    <row r="693" spans="1:17" x14ac:dyDescent="0.35">
      <c r="A693" t="s">
        <v>2158</v>
      </c>
      <c r="B693" t="s">
        <v>18</v>
      </c>
      <c r="C693" t="s">
        <v>2159</v>
      </c>
      <c r="D693">
        <v>0</v>
      </c>
      <c r="E693">
        <v>0</v>
      </c>
      <c r="F693" t="s">
        <v>20</v>
      </c>
      <c r="G693">
        <v>0</v>
      </c>
      <c r="H693">
        <v>0</v>
      </c>
      <c r="I693">
        <v>0</v>
      </c>
      <c r="J693">
        <v>0</v>
      </c>
      <c r="K693" t="s">
        <v>401</v>
      </c>
      <c r="L693" t="s">
        <v>1888</v>
      </c>
      <c r="M693">
        <v>0</v>
      </c>
      <c r="N693">
        <v>0</v>
      </c>
      <c r="O693" s="1">
        <v>4223167987342820</v>
      </c>
      <c r="Q693" t="b">
        <v>0</v>
      </c>
    </row>
    <row r="694" spans="1:17" x14ac:dyDescent="0.35">
      <c r="A694" t="s">
        <v>2160</v>
      </c>
      <c r="B694" t="s">
        <v>18</v>
      </c>
      <c r="C694" t="s">
        <v>2161</v>
      </c>
      <c r="D694">
        <v>0</v>
      </c>
      <c r="E694">
        <v>0</v>
      </c>
      <c r="F694" t="s">
        <v>20</v>
      </c>
      <c r="G694">
        <v>0</v>
      </c>
      <c r="H694">
        <v>0</v>
      </c>
      <c r="I694">
        <v>0</v>
      </c>
      <c r="J694">
        <v>0</v>
      </c>
      <c r="K694" t="s">
        <v>401</v>
      </c>
      <c r="L694" t="s">
        <v>1888</v>
      </c>
      <c r="M694">
        <v>0</v>
      </c>
      <c r="N694">
        <v>0</v>
      </c>
      <c r="O694" s="1">
        <v>4.2231965072309E+16</v>
      </c>
      <c r="Q694" t="b">
        <v>0</v>
      </c>
    </row>
    <row r="695" spans="1:17" x14ac:dyDescent="0.35">
      <c r="A695" t="s">
        <v>2162</v>
      </c>
      <c r="B695" t="s">
        <v>18</v>
      </c>
      <c r="C695" t="s">
        <v>2163</v>
      </c>
      <c r="D695">
        <v>0</v>
      </c>
      <c r="E695">
        <v>0</v>
      </c>
      <c r="F695" t="s">
        <v>20</v>
      </c>
      <c r="G695">
        <v>0</v>
      </c>
      <c r="H695">
        <v>0</v>
      </c>
      <c r="I695">
        <v>0</v>
      </c>
      <c r="J695">
        <v>0</v>
      </c>
      <c r="K695" t="s">
        <v>66</v>
      </c>
      <c r="L695" s="1">
        <v>3.06E+16</v>
      </c>
      <c r="M695">
        <v>0</v>
      </c>
      <c r="N695">
        <v>0</v>
      </c>
      <c r="O695" s="1">
        <v>4223225027118990</v>
      </c>
      <c r="Q695" t="b">
        <v>0</v>
      </c>
    </row>
    <row r="696" spans="1:17" x14ac:dyDescent="0.35">
      <c r="A696" t="s">
        <v>2164</v>
      </c>
      <c r="B696" t="s">
        <v>18</v>
      </c>
      <c r="C696" t="s">
        <v>2165</v>
      </c>
      <c r="D696">
        <v>0</v>
      </c>
      <c r="E696">
        <v>0</v>
      </c>
      <c r="F696" t="s">
        <v>20</v>
      </c>
      <c r="G696">
        <v>0</v>
      </c>
      <c r="H696">
        <v>0</v>
      </c>
      <c r="I696">
        <v>0</v>
      </c>
      <c r="J696">
        <v>0</v>
      </c>
      <c r="K696" t="s">
        <v>66</v>
      </c>
      <c r="L696" s="1">
        <v>3.06E+16</v>
      </c>
      <c r="M696">
        <v>0</v>
      </c>
      <c r="N696">
        <v>0</v>
      </c>
      <c r="O696" s="1">
        <v>4223253547007070</v>
      </c>
      <c r="Q696" t="b">
        <v>0</v>
      </c>
    </row>
    <row r="697" spans="1:17" x14ac:dyDescent="0.35">
      <c r="A697" t="s">
        <v>2166</v>
      </c>
      <c r="B697" t="s">
        <v>18</v>
      </c>
      <c r="C697" t="s">
        <v>2167</v>
      </c>
      <c r="D697">
        <v>0</v>
      </c>
      <c r="E697">
        <v>0</v>
      </c>
      <c r="F697" t="s">
        <v>20</v>
      </c>
      <c r="G697">
        <v>0</v>
      </c>
      <c r="H697">
        <v>0</v>
      </c>
      <c r="I697">
        <v>0</v>
      </c>
      <c r="J697">
        <v>0</v>
      </c>
      <c r="K697" t="s">
        <v>66</v>
      </c>
      <c r="L697" s="1">
        <v>3.06E+16</v>
      </c>
      <c r="M697">
        <v>0</v>
      </c>
      <c r="N697">
        <v>0</v>
      </c>
      <c r="O697" s="1">
        <v>4223282066895150</v>
      </c>
      <c r="Q697" t="b">
        <v>0</v>
      </c>
    </row>
    <row r="698" spans="1:17" x14ac:dyDescent="0.35">
      <c r="A698" t="s">
        <v>2168</v>
      </c>
      <c r="B698" t="s">
        <v>18</v>
      </c>
      <c r="C698" t="s">
        <v>2169</v>
      </c>
      <c r="D698">
        <v>0</v>
      </c>
      <c r="E698">
        <v>0</v>
      </c>
      <c r="F698" t="s">
        <v>20</v>
      </c>
      <c r="G698">
        <v>0</v>
      </c>
      <c r="H698">
        <v>0</v>
      </c>
      <c r="I698">
        <v>0</v>
      </c>
      <c r="J698">
        <v>0</v>
      </c>
      <c r="K698" t="s">
        <v>66</v>
      </c>
      <c r="L698" s="1">
        <v>3.06E+16</v>
      </c>
      <c r="M698">
        <v>0</v>
      </c>
      <c r="N698">
        <v>0</v>
      </c>
      <c r="O698" s="1">
        <v>4223310586783230</v>
      </c>
      <c r="Q698" t="b">
        <v>0</v>
      </c>
    </row>
    <row r="699" spans="1:17" x14ac:dyDescent="0.35">
      <c r="A699" t="s">
        <v>2170</v>
      </c>
      <c r="B699" t="s">
        <v>18</v>
      </c>
      <c r="C699" t="s">
        <v>2171</v>
      </c>
      <c r="D699">
        <v>0</v>
      </c>
      <c r="E699">
        <v>0</v>
      </c>
      <c r="F699" t="s">
        <v>20</v>
      </c>
      <c r="G699">
        <v>0</v>
      </c>
      <c r="H699">
        <v>0</v>
      </c>
      <c r="I699">
        <v>0</v>
      </c>
      <c r="J699">
        <v>0</v>
      </c>
      <c r="K699" t="s">
        <v>69</v>
      </c>
      <c r="L699" t="s">
        <v>512</v>
      </c>
      <c r="M699">
        <v>0</v>
      </c>
      <c r="N699">
        <v>0</v>
      </c>
      <c r="O699" s="1">
        <v>4223339106671310</v>
      </c>
      <c r="Q699" t="b">
        <v>0</v>
      </c>
    </row>
    <row r="700" spans="1:17" x14ac:dyDescent="0.35">
      <c r="A700" t="s">
        <v>2172</v>
      </c>
      <c r="B700" t="s">
        <v>18</v>
      </c>
      <c r="C700" t="s">
        <v>2173</v>
      </c>
      <c r="D700">
        <v>0</v>
      </c>
      <c r="E700">
        <v>0</v>
      </c>
      <c r="F700" t="s">
        <v>20</v>
      </c>
      <c r="G700">
        <v>0</v>
      </c>
      <c r="H700">
        <v>0</v>
      </c>
      <c r="I700">
        <v>0</v>
      </c>
      <c r="J700">
        <v>0</v>
      </c>
      <c r="K700" t="s">
        <v>69</v>
      </c>
      <c r="L700" t="s">
        <v>512</v>
      </c>
      <c r="M700">
        <v>0</v>
      </c>
      <c r="N700">
        <v>0</v>
      </c>
      <c r="O700" s="1">
        <v>4223367626559390</v>
      </c>
      <c r="Q700" t="b">
        <v>0</v>
      </c>
    </row>
    <row r="701" spans="1:17" x14ac:dyDescent="0.35">
      <c r="A701" t="s">
        <v>2174</v>
      </c>
      <c r="B701" t="s">
        <v>18</v>
      </c>
      <c r="C701" t="s">
        <v>2175</v>
      </c>
      <c r="D701">
        <v>0</v>
      </c>
      <c r="E701">
        <v>0</v>
      </c>
      <c r="F701" t="s">
        <v>20</v>
      </c>
      <c r="G701">
        <v>0</v>
      </c>
      <c r="H701">
        <v>0</v>
      </c>
      <c r="I701">
        <v>0</v>
      </c>
      <c r="J701">
        <v>0</v>
      </c>
      <c r="K701" t="s">
        <v>69</v>
      </c>
      <c r="L701" t="s">
        <v>512</v>
      </c>
      <c r="M701">
        <v>0</v>
      </c>
      <c r="N701">
        <v>0</v>
      </c>
      <c r="O701" s="1">
        <v>422339614644748</v>
      </c>
      <c r="Q701" t="b">
        <v>0</v>
      </c>
    </row>
    <row r="702" spans="1:17" x14ac:dyDescent="0.35">
      <c r="A702" t="s">
        <v>2176</v>
      </c>
      <c r="B702" t="s">
        <v>18</v>
      </c>
      <c r="C702" t="s">
        <v>2177</v>
      </c>
      <c r="D702">
        <v>0</v>
      </c>
      <c r="E702">
        <v>0</v>
      </c>
      <c r="F702" t="s">
        <v>20</v>
      </c>
      <c r="G702">
        <v>0</v>
      </c>
      <c r="H702">
        <v>0</v>
      </c>
      <c r="I702">
        <v>0</v>
      </c>
      <c r="J702">
        <v>0</v>
      </c>
      <c r="K702" t="s">
        <v>69</v>
      </c>
      <c r="L702" t="s">
        <v>512</v>
      </c>
      <c r="M702">
        <v>0</v>
      </c>
      <c r="N702">
        <v>0</v>
      </c>
      <c r="O702" s="1">
        <v>4.22342466633556E+16</v>
      </c>
      <c r="Q702" t="b">
        <v>0</v>
      </c>
    </row>
    <row r="703" spans="1:17" x14ac:dyDescent="0.35">
      <c r="A703" t="s">
        <v>2178</v>
      </c>
      <c r="B703" t="s">
        <v>18</v>
      </c>
      <c r="C703" t="s">
        <v>2179</v>
      </c>
      <c r="D703">
        <v>0</v>
      </c>
      <c r="E703">
        <v>0</v>
      </c>
      <c r="F703" t="s">
        <v>20</v>
      </c>
      <c r="G703">
        <v>0</v>
      </c>
      <c r="H703">
        <v>0</v>
      </c>
      <c r="I703">
        <v>0</v>
      </c>
      <c r="J703">
        <v>0</v>
      </c>
      <c r="K703" t="s">
        <v>69</v>
      </c>
      <c r="L703" t="s">
        <v>2180</v>
      </c>
      <c r="M703">
        <v>0</v>
      </c>
      <c r="N703">
        <v>0</v>
      </c>
      <c r="O703" s="1">
        <v>4223453186223640</v>
      </c>
      <c r="Q703" t="b">
        <v>0</v>
      </c>
    </row>
    <row r="704" spans="1:17" x14ac:dyDescent="0.35">
      <c r="A704" t="s">
        <v>2181</v>
      </c>
      <c r="B704" t="s">
        <v>18</v>
      </c>
      <c r="C704" t="s">
        <v>2182</v>
      </c>
      <c r="D704">
        <v>0</v>
      </c>
      <c r="E704">
        <v>0</v>
      </c>
      <c r="F704" t="s">
        <v>20</v>
      </c>
      <c r="G704">
        <v>0</v>
      </c>
      <c r="H704">
        <v>0</v>
      </c>
      <c r="I704">
        <v>0</v>
      </c>
      <c r="J704">
        <v>0</v>
      </c>
      <c r="K704" t="s">
        <v>69</v>
      </c>
      <c r="L704" t="s">
        <v>2180</v>
      </c>
      <c r="M704">
        <v>0</v>
      </c>
      <c r="N704">
        <v>0</v>
      </c>
      <c r="O704" s="1">
        <v>4223481706111720</v>
      </c>
      <c r="Q704" t="b">
        <v>0</v>
      </c>
    </row>
    <row r="705" spans="1:17" x14ac:dyDescent="0.35">
      <c r="A705" t="s">
        <v>2183</v>
      </c>
      <c r="B705" t="s">
        <v>18</v>
      </c>
      <c r="C705" t="s">
        <v>2184</v>
      </c>
      <c r="D705">
        <v>0</v>
      </c>
      <c r="E705">
        <v>0</v>
      </c>
      <c r="F705" t="s">
        <v>20</v>
      </c>
      <c r="G705">
        <v>0</v>
      </c>
      <c r="H705">
        <v>0</v>
      </c>
      <c r="I705">
        <v>0</v>
      </c>
      <c r="J705">
        <v>0</v>
      </c>
      <c r="K705" t="s">
        <v>69</v>
      </c>
      <c r="L705" t="s">
        <v>2180</v>
      </c>
      <c r="M705">
        <v>0</v>
      </c>
      <c r="N705">
        <v>0</v>
      </c>
      <c r="O705" s="1">
        <v>4.2235102259998E+16</v>
      </c>
      <c r="Q705" t="b">
        <v>0</v>
      </c>
    </row>
    <row r="706" spans="1:17" x14ac:dyDescent="0.35">
      <c r="A706" t="s">
        <v>2185</v>
      </c>
      <c r="B706" t="s">
        <v>18</v>
      </c>
      <c r="C706" t="s">
        <v>2186</v>
      </c>
      <c r="D706">
        <v>0</v>
      </c>
      <c r="E706">
        <v>0</v>
      </c>
      <c r="F706" t="s">
        <v>20</v>
      </c>
      <c r="G706">
        <v>0</v>
      </c>
      <c r="H706">
        <v>0</v>
      </c>
      <c r="I706">
        <v>0</v>
      </c>
      <c r="J706">
        <v>0</v>
      </c>
      <c r="K706" t="s">
        <v>69</v>
      </c>
      <c r="L706" t="s">
        <v>2180</v>
      </c>
      <c r="M706">
        <v>0</v>
      </c>
      <c r="N706">
        <v>0</v>
      </c>
      <c r="O706" s="1">
        <v>4223538745887880</v>
      </c>
      <c r="Q706" t="b">
        <v>0</v>
      </c>
    </row>
    <row r="707" spans="1:17" x14ac:dyDescent="0.35">
      <c r="A707" t="s">
        <v>2187</v>
      </c>
      <c r="B707" t="s">
        <v>18</v>
      </c>
      <c r="C707" t="s">
        <v>2188</v>
      </c>
      <c r="D707">
        <v>0</v>
      </c>
      <c r="E707">
        <v>0</v>
      </c>
      <c r="F707" t="s">
        <v>20</v>
      </c>
      <c r="G707">
        <v>0</v>
      </c>
      <c r="H707">
        <v>0</v>
      </c>
      <c r="I707">
        <v>0</v>
      </c>
      <c r="J707">
        <v>0</v>
      </c>
      <c r="K707" t="s">
        <v>69</v>
      </c>
      <c r="L707" t="s">
        <v>470</v>
      </c>
      <c r="M707">
        <v>0</v>
      </c>
      <c r="N707">
        <v>0</v>
      </c>
      <c r="O707" s="1">
        <v>4223567265775960</v>
      </c>
      <c r="Q707" t="b">
        <v>0</v>
      </c>
    </row>
    <row r="708" spans="1:17" x14ac:dyDescent="0.35">
      <c r="A708" t="s">
        <v>2189</v>
      </c>
      <c r="B708" t="s">
        <v>18</v>
      </c>
      <c r="C708" t="s">
        <v>2190</v>
      </c>
      <c r="D708">
        <v>0</v>
      </c>
      <c r="E708">
        <v>0</v>
      </c>
      <c r="F708" t="s">
        <v>20</v>
      </c>
      <c r="G708">
        <v>0</v>
      </c>
      <c r="H708">
        <v>0</v>
      </c>
      <c r="I708">
        <v>0</v>
      </c>
      <c r="J708">
        <v>0</v>
      </c>
      <c r="K708" t="s">
        <v>69</v>
      </c>
      <c r="L708" t="s">
        <v>470</v>
      </c>
      <c r="M708">
        <v>0</v>
      </c>
      <c r="N708">
        <v>0</v>
      </c>
      <c r="O708" s="1">
        <v>4223595785664050</v>
      </c>
      <c r="Q708" t="b">
        <v>0</v>
      </c>
    </row>
    <row r="709" spans="1:17" x14ac:dyDescent="0.35">
      <c r="A709" t="s">
        <v>2191</v>
      </c>
      <c r="B709" t="s">
        <v>18</v>
      </c>
      <c r="C709" t="s">
        <v>2192</v>
      </c>
      <c r="D709">
        <v>0</v>
      </c>
      <c r="E709">
        <v>0</v>
      </c>
      <c r="F709" t="s">
        <v>20</v>
      </c>
      <c r="G709">
        <v>0</v>
      </c>
      <c r="H709">
        <v>0</v>
      </c>
      <c r="I709">
        <v>0</v>
      </c>
      <c r="J709">
        <v>0</v>
      </c>
      <c r="K709" t="s">
        <v>69</v>
      </c>
      <c r="L709" t="s">
        <v>470</v>
      </c>
      <c r="M709">
        <v>0</v>
      </c>
      <c r="N709">
        <v>0</v>
      </c>
      <c r="O709" s="1">
        <v>4223624305552130</v>
      </c>
      <c r="Q709" t="b">
        <v>0</v>
      </c>
    </row>
    <row r="710" spans="1:17" x14ac:dyDescent="0.35">
      <c r="A710" t="s">
        <v>2193</v>
      </c>
      <c r="B710" t="s">
        <v>18</v>
      </c>
      <c r="C710" t="s">
        <v>2194</v>
      </c>
      <c r="D710">
        <v>0</v>
      </c>
      <c r="E710">
        <v>0</v>
      </c>
      <c r="F710" t="s">
        <v>20</v>
      </c>
      <c r="G710">
        <v>0</v>
      </c>
      <c r="H710">
        <v>0</v>
      </c>
      <c r="I710">
        <v>0</v>
      </c>
      <c r="J710">
        <v>0</v>
      </c>
      <c r="K710" t="s">
        <v>69</v>
      </c>
      <c r="L710" t="s">
        <v>470</v>
      </c>
      <c r="M710">
        <v>0</v>
      </c>
      <c r="N710">
        <v>0</v>
      </c>
      <c r="O710" s="1">
        <v>4223652825440210</v>
      </c>
      <c r="Q710" t="b">
        <v>0</v>
      </c>
    </row>
    <row r="711" spans="1:17" x14ac:dyDescent="0.35">
      <c r="A711" t="s">
        <v>2195</v>
      </c>
      <c r="B711" t="s">
        <v>18</v>
      </c>
      <c r="C711" t="s">
        <v>2196</v>
      </c>
      <c r="D711">
        <v>0</v>
      </c>
      <c r="E711">
        <v>0</v>
      </c>
      <c r="F711" t="s">
        <v>20</v>
      </c>
      <c r="G711">
        <v>0</v>
      </c>
      <c r="H711">
        <v>0</v>
      </c>
      <c r="I711">
        <v>0</v>
      </c>
      <c r="J711">
        <v>0</v>
      </c>
      <c r="K711" t="s">
        <v>69</v>
      </c>
      <c r="L711" t="s">
        <v>97</v>
      </c>
      <c r="M711">
        <v>0</v>
      </c>
      <c r="N711">
        <v>0</v>
      </c>
      <c r="O711" s="1">
        <v>4223681345328290</v>
      </c>
      <c r="Q711" t="b">
        <v>0</v>
      </c>
    </row>
    <row r="712" spans="1:17" x14ac:dyDescent="0.35">
      <c r="A712" t="s">
        <v>2197</v>
      </c>
      <c r="B712" t="s">
        <v>18</v>
      </c>
      <c r="C712" t="s">
        <v>2198</v>
      </c>
      <c r="D712">
        <v>0</v>
      </c>
      <c r="E712">
        <v>0</v>
      </c>
      <c r="F712" t="s">
        <v>20</v>
      </c>
      <c r="G712">
        <v>0</v>
      </c>
      <c r="H712">
        <v>0</v>
      </c>
      <c r="I712">
        <v>0</v>
      </c>
      <c r="J712">
        <v>0</v>
      </c>
      <c r="K712" t="s">
        <v>69</v>
      </c>
      <c r="L712" t="s">
        <v>97</v>
      </c>
      <c r="M712">
        <v>0</v>
      </c>
      <c r="N712">
        <v>0</v>
      </c>
      <c r="O712" s="1">
        <v>4223709865216370</v>
      </c>
      <c r="Q712" t="b">
        <v>0</v>
      </c>
    </row>
    <row r="713" spans="1:17" x14ac:dyDescent="0.35">
      <c r="A713" t="s">
        <v>2199</v>
      </c>
      <c r="B713" t="s">
        <v>18</v>
      </c>
      <c r="C713" t="s">
        <v>2200</v>
      </c>
      <c r="D713">
        <v>0</v>
      </c>
      <c r="E713">
        <v>0</v>
      </c>
      <c r="F713" t="s">
        <v>20</v>
      </c>
      <c r="G713">
        <v>0</v>
      </c>
      <c r="H713">
        <v>0</v>
      </c>
      <c r="I713">
        <v>0</v>
      </c>
      <c r="J713">
        <v>0</v>
      </c>
      <c r="K713" t="s">
        <v>69</v>
      </c>
      <c r="L713" t="s">
        <v>97</v>
      </c>
      <c r="M713">
        <v>0</v>
      </c>
      <c r="N713">
        <v>0</v>
      </c>
      <c r="O713" s="1">
        <v>4223738385104450</v>
      </c>
      <c r="Q713" t="b">
        <v>0</v>
      </c>
    </row>
    <row r="714" spans="1:17" x14ac:dyDescent="0.35">
      <c r="A714" t="s">
        <v>2201</v>
      </c>
      <c r="B714" t="s">
        <v>18</v>
      </c>
      <c r="C714" t="s">
        <v>2202</v>
      </c>
      <c r="D714">
        <v>0</v>
      </c>
      <c r="E714">
        <v>0</v>
      </c>
      <c r="F714" t="s">
        <v>20</v>
      </c>
      <c r="G714">
        <v>0</v>
      </c>
      <c r="H714">
        <v>0</v>
      </c>
      <c r="I714">
        <v>0</v>
      </c>
      <c r="J714">
        <v>0</v>
      </c>
      <c r="K714" t="s">
        <v>69</v>
      </c>
      <c r="L714" t="s">
        <v>97</v>
      </c>
      <c r="M714">
        <v>0</v>
      </c>
      <c r="N714">
        <v>0</v>
      </c>
      <c r="O714" s="1">
        <v>4223766904992540</v>
      </c>
      <c r="Q714" t="b">
        <v>0</v>
      </c>
    </row>
    <row r="715" spans="1:17" x14ac:dyDescent="0.35">
      <c r="A715" t="s">
        <v>2203</v>
      </c>
      <c r="B715" t="s">
        <v>18</v>
      </c>
      <c r="C715" t="s">
        <v>2204</v>
      </c>
      <c r="D715">
        <v>0</v>
      </c>
      <c r="E715">
        <v>0</v>
      </c>
      <c r="F715" t="s">
        <v>20</v>
      </c>
      <c r="G715">
        <v>0</v>
      </c>
      <c r="H715">
        <v>0</v>
      </c>
      <c r="I715">
        <v>0</v>
      </c>
      <c r="J715">
        <v>0</v>
      </c>
      <c r="K715" t="s">
        <v>633</v>
      </c>
      <c r="L715" t="s">
        <v>489</v>
      </c>
      <c r="M715">
        <v>0</v>
      </c>
      <c r="N715">
        <v>0</v>
      </c>
      <c r="O715" s="1">
        <v>4223795424880620</v>
      </c>
      <c r="Q715" t="b">
        <v>0</v>
      </c>
    </row>
    <row r="716" spans="1:17" x14ac:dyDescent="0.35">
      <c r="A716" t="s">
        <v>2205</v>
      </c>
      <c r="B716" t="s">
        <v>18</v>
      </c>
      <c r="C716" t="s">
        <v>2206</v>
      </c>
      <c r="D716">
        <v>0</v>
      </c>
      <c r="E716">
        <v>0</v>
      </c>
      <c r="F716" t="s">
        <v>20</v>
      </c>
      <c r="G716">
        <v>0</v>
      </c>
      <c r="H716">
        <v>0</v>
      </c>
      <c r="I716">
        <v>0</v>
      </c>
      <c r="J716">
        <v>0</v>
      </c>
      <c r="K716" t="s">
        <v>633</v>
      </c>
      <c r="L716" t="s">
        <v>489</v>
      </c>
      <c r="M716">
        <v>0</v>
      </c>
      <c r="N716">
        <v>0</v>
      </c>
      <c r="O716" s="1">
        <v>4223823944768700</v>
      </c>
      <c r="Q716" t="b">
        <v>0</v>
      </c>
    </row>
    <row r="717" spans="1:17" x14ac:dyDescent="0.35">
      <c r="A717" t="s">
        <v>2207</v>
      </c>
      <c r="B717" t="s">
        <v>18</v>
      </c>
      <c r="C717" t="s">
        <v>2208</v>
      </c>
      <c r="D717">
        <v>0</v>
      </c>
      <c r="E717">
        <v>0</v>
      </c>
      <c r="F717" t="s">
        <v>20</v>
      </c>
      <c r="G717">
        <v>0</v>
      </c>
      <c r="H717">
        <v>0</v>
      </c>
      <c r="I717">
        <v>0</v>
      </c>
      <c r="J717">
        <v>0</v>
      </c>
      <c r="K717" t="s">
        <v>633</v>
      </c>
      <c r="L717" t="s">
        <v>489</v>
      </c>
      <c r="M717">
        <v>0</v>
      </c>
      <c r="N717">
        <v>0</v>
      </c>
      <c r="O717" s="1">
        <v>4223852464656780</v>
      </c>
      <c r="Q717" t="b">
        <v>0</v>
      </c>
    </row>
    <row r="718" spans="1:17" x14ac:dyDescent="0.35">
      <c r="A718" t="s">
        <v>2209</v>
      </c>
      <c r="B718" t="s">
        <v>18</v>
      </c>
      <c r="C718" t="s">
        <v>2210</v>
      </c>
      <c r="D718">
        <v>0</v>
      </c>
      <c r="E718">
        <v>0</v>
      </c>
      <c r="F718" t="s">
        <v>20</v>
      </c>
      <c r="G718">
        <v>0</v>
      </c>
      <c r="H718">
        <v>0</v>
      </c>
      <c r="I718">
        <v>0</v>
      </c>
      <c r="J718">
        <v>0</v>
      </c>
      <c r="K718" t="s">
        <v>633</v>
      </c>
      <c r="L718" t="s">
        <v>489</v>
      </c>
      <c r="M718">
        <v>0</v>
      </c>
      <c r="N718">
        <v>0</v>
      </c>
      <c r="O718" s="1">
        <v>4223880984544860</v>
      </c>
      <c r="Q718" t="b">
        <v>0</v>
      </c>
    </row>
    <row r="719" spans="1:17" x14ac:dyDescent="0.35">
      <c r="A719" t="s">
        <v>2211</v>
      </c>
      <c r="B719" t="s">
        <v>18</v>
      </c>
      <c r="C719" t="s">
        <v>2212</v>
      </c>
      <c r="D719">
        <v>0</v>
      </c>
      <c r="E719">
        <v>0</v>
      </c>
      <c r="F719" t="s">
        <v>20</v>
      </c>
      <c r="G719">
        <v>0</v>
      </c>
      <c r="H719">
        <v>0</v>
      </c>
      <c r="I719">
        <v>0</v>
      </c>
      <c r="J719">
        <v>0</v>
      </c>
      <c r="K719" t="s">
        <v>51</v>
      </c>
      <c r="L719" t="s">
        <v>2213</v>
      </c>
      <c r="M719">
        <v>0</v>
      </c>
      <c r="N719">
        <v>0</v>
      </c>
      <c r="O719" s="1">
        <v>4223909504432940</v>
      </c>
      <c r="Q719" t="b">
        <v>0</v>
      </c>
    </row>
    <row r="720" spans="1:17" x14ac:dyDescent="0.35">
      <c r="A720" t="s">
        <v>2214</v>
      </c>
      <c r="B720" t="s">
        <v>18</v>
      </c>
      <c r="C720" t="s">
        <v>2215</v>
      </c>
      <c r="D720">
        <v>0</v>
      </c>
      <c r="E720">
        <v>0</v>
      </c>
      <c r="F720" t="s">
        <v>20</v>
      </c>
      <c r="G720">
        <v>0</v>
      </c>
      <c r="H720">
        <v>0</v>
      </c>
      <c r="I720">
        <v>0</v>
      </c>
      <c r="J720">
        <v>0</v>
      </c>
      <c r="K720" t="s">
        <v>51</v>
      </c>
      <c r="L720" t="s">
        <v>2213</v>
      </c>
      <c r="M720">
        <v>0</v>
      </c>
      <c r="N720">
        <v>0</v>
      </c>
      <c r="O720" s="1">
        <v>422393802432103</v>
      </c>
      <c r="Q720" t="b">
        <v>0</v>
      </c>
    </row>
    <row r="721" spans="1:17" x14ac:dyDescent="0.35">
      <c r="A721" t="s">
        <v>2216</v>
      </c>
      <c r="B721" t="s">
        <v>18</v>
      </c>
      <c r="C721" t="s">
        <v>2217</v>
      </c>
      <c r="D721">
        <v>0</v>
      </c>
      <c r="E721">
        <v>0</v>
      </c>
      <c r="F721" t="s">
        <v>20</v>
      </c>
      <c r="G721">
        <v>0</v>
      </c>
      <c r="H721">
        <v>0</v>
      </c>
      <c r="I721">
        <v>0</v>
      </c>
      <c r="J721">
        <v>0</v>
      </c>
      <c r="K721" t="s">
        <v>51</v>
      </c>
      <c r="L721" t="s">
        <v>2213</v>
      </c>
      <c r="M721">
        <v>0</v>
      </c>
      <c r="N721">
        <v>0</v>
      </c>
      <c r="O721" s="1">
        <v>4223966544209110</v>
      </c>
      <c r="Q721" t="b">
        <v>0</v>
      </c>
    </row>
    <row r="722" spans="1:17" x14ac:dyDescent="0.35">
      <c r="A722" t="s">
        <v>2218</v>
      </c>
      <c r="B722" t="s">
        <v>18</v>
      </c>
      <c r="C722" t="s">
        <v>2219</v>
      </c>
      <c r="D722">
        <v>0</v>
      </c>
      <c r="E722">
        <v>0</v>
      </c>
      <c r="F722" t="s">
        <v>20</v>
      </c>
      <c r="G722">
        <v>0</v>
      </c>
      <c r="H722">
        <v>0</v>
      </c>
      <c r="I722">
        <v>0</v>
      </c>
      <c r="J722">
        <v>0</v>
      </c>
      <c r="K722" t="s">
        <v>51</v>
      </c>
      <c r="L722" t="s">
        <v>2213</v>
      </c>
      <c r="M722">
        <v>0</v>
      </c>
      <c r="N722">
        <v>0</v>
      </c>
      <c r="O722" s="1">
        <v>4223995064097190</v>
      </c>
      <c r="Q722" t="b">
        <v>0</v>
      </c>
    </row>
    <row r="723" spans="1:17" x14ac:dyDescent="0.35">
      <c r="A723" t="s">
        <v>2220</v>
      </c>
      <c r="B723" t="s">
        <v>18</v>
      </c>
      <c r="C723" t="s">
        <v>2221</v>
      </c>
      <c r="D723">
        <v>0</v>
      </c>
      <c r="E723">
        <v>0</v>
      </c>
      <c r="F723" t="s">
        <v>20</v>
      </c>
      <c r="G723">
        <v>0</v>
      </c>
      <c r="H723">
        <v>0</v>
      </c>
      <c r="I723">
        <v>0</v>
      </c>
      <c r="J723">
        <v>0</v>
      </c>
      <c r="K723" t="s">
        <v>2114</v>
      </c>
      <c r="L723" t="s">
        <v>108</v>
      </c>
      <c r="M723">
        <v>0</v>
      </c>
      <c r="N723">
        <v>0</v>
      </c>
      <c r="O723" s="1">
        <v>4224023583985270</v>
      </c>
      <c r="Q723" t="b">
        <v>0</v>
      </c>
    </row>
    <row r="724" spans="1:17" x14ac:dyDescent="0.35">
      <c r="A724" t="s">
        <v>2222</v>
      </c>
      <c r="B724" t="s">
        <v>18</v>
      </c>
      <c r="C724" t="s">
        <v>2223</v>
      </c>
      <c r="D724">
        <v>0</v>
      </c>
      <c r="E724">
        <v>0</v>
      </c>
      <c r="F724" t="s">
        <v>20</v>
      </c>
      <c r="G724">
        <v>0</v>
      </c>
      <c r="H724">
        <v>0</v>
      </c>
      <c r="I724">
        <v>0</v>
      </c>
      <c r="J724">
        <v>0</v>
      </c>
      <c r="K724" t="s">
        <v>2114</v>
      </c>
      <c r="L724" t="s">
        <v>108</v>
      </c>
      <c r="M724">
        <v>0</v>
      </c>
      <c r="N724">
        <v>0</v>
      </c>
      <c r="O724" s="1">
        <v>4.2240521038733504E+16</v>
      </c>
      <c r="Q724" t="b">
        <v>0</v>
      </c>
    </row>
    <row r="725" spans="1:17" x14ac:dyDescent="0.35">
      <c r="A725" t="s">
        <v>2224</v>
      </c>
      <c r="B725" t="s">
        <v>18</v>
      </c>
      <c r="C725" t="s">
        <v>2225</v>
      </c>
      <c r="D725">
        <v>0</v>
      </c>
      <c r="E725">
        <v>0</v>
      </c>
      <c r="F725" t="s">
        <v>20</v>
      </c>
      <c r="G725" t="s">
        <v>2226</v>
      </c>
      <c r="H725">
        <v>0</v>
      </c>
      <c r="I725">
        <v>0</v>
      </c>
      <c r="J725">
        <v>0</v>
      </c>
      <c r="K725" t="s">
        <v>2114</v>
      </c>
      <c r="L725" t="s">
        <v>108</v>
      </c>
      <c r="M725">
        <v>0</v>
      </c>
      <c r="N725">
        <v>0</v>
      </c>
      <c r="O725" s="1">
        <v>4224080623761430</v>
      </c>
      <c r="Q725" t="b">
        <v>0</v>
      </c>
    </row>
    <row r="726" spans="1:17" x14ac:dyDescent="0.35">
      <c r="A726" t="s">
        <v>2227</v>
      </c>
      <c r="B726" t="s">
        <v>18</v>
      </c>
      <c r="C726" t="s">
        <v>2228</v>
      </c>
      <c r="D726">
        <v>0</v>
      </c>
      <c r="E726" t="s">
        <v>2229</v>
      </c>
      <c r="F726" t="s">
        <v>20</v>
      </c>
      <c r="G726" t="s">
        <v>2230</v>
      </c>
      <c r="H726">
        <v>0</v>
      </c>
      <c r="I726">
        <v>0</v>
      </c>
      <c r="J726">
        <v>0</v>
      </c>
      <c r="K726" t="s">
        <v>2114</v>
      </c>
      <c r="L726" t="s">
        <v>108</v>
      </c>
      <c r="M726">
        <v>0</v>
      </c>
      <c r="N726">
        <v>0</v>
      </c>
      <c r="O726" s="1">
        <v>4224109143649510</v>
      </c>
      <c r="Q726" t="b">
        <v>0</v>
      </c>
    </row>
    <row r="727" spans="1:17" x14ac:dyDescent="0.35">
      <c r="A727" t="s">
        <v>2231</v>
      </c>
      <c r="B727" t="s">
        <v>18</v>
      </c>
      <c r="C727" t="s">
        <v>2232</v>
      </c>
      <c r="D727">
        <v>0</v>
      </c>
      <c r="E727" t="s">
        <v>2233</v>
      </c>
      <c r="F727" t="s">
        <v>20</v>
      </c>
      <c r="G727" t="s">
        <v>2234</v>
      </c>
      <c r="H727" s="1">
        <v>5798333333333330</v>
      </c>
      <c r="I727">
        <v>0</v>
      </c>
      <c r="J727">
        <v>25</v>
      </c>
      <c r="K727">
        <v>2</v>
      </c>
      <c r="L727" t="s">
        <v>116</v>
      </c>
      <c r="M727">
        <v>0</v>
      </c>
      <c r="N727">
        <v>0</v>
      </c>
      <c r="O727" s="1">
        <v>4224137663537600</v>
      </c>
      <c r="Q727" t="b">
        <v>0</v>
      </c>
    </row>
    <row r="728" spans="1:17" x14ac:dyDescent="0.35">
      <c r="A728" t="s">
        <v>2235</v>
      </c>
      <c r="B728" t="s">
        <v>18</v>
      </c>
      <c r="C728" t="s">
        <v>2236</v>
      </c>
      <c r="D728">
        <v>0</v>
      </c>
      <c r="E728" t="s">
        <v>2237</v>
      </c>
      <c r="F728" t="s">
        <v>20</v>
      </c>
      <c r="G728" t="s">
        <v>2238</v>
      </c>
      <c r="H728" s="1">
        <v>5798333333333330</v>
      </c>
      <c r="I728">
        <v>0</v>
      </c>
      <c r="J728">
        <v>25</v>
      </c>
      <c r="K728">
        <v>2</v>
      </c>
      <c r="L728" t="s">
        <v>116</v>
      </c>
      <c r="M728">
        <v>0</v>
      </c>
      <c r="N728">
        <v>0</v>
      </c>
      <c r="O728" s="1">
        <v>4224166183425680</v>
      </c>
      <c r="Q728" t="b">
        <v>0</v>
      </c>
    </row>
    <row r="729" spans="1:17" x14ac:dyDescent="0.35">
      <c r="A729" t="s">
        <v>2239</v>
      </c>
      <c r="B729" t="s">
        <v>18</v>
      </c>
      <c r="C729" t="s">
        <v>2240</v>
      </c>
      <c r="D729">
        <v>0</v>
      </c>
      <c r="E729" t="s">
        <v>2241</v>
      </c>
      <c r="F729" t="s">
        <v>20</v>
      </c>
      <c r="G729" t="s">
        <v>2242</v>
      </c>
      <c r="H729" s="1">
        <v>5798333333333330</v>
      </c>
      <c r="I729">
        <v>0</v>
      </c>
      <c r="J729">
        <v>25</v>
      </c>
      <c r="K729">
        <v>2</v>
      </c>
      <c r="L729" t="s">
        <v>116</v>
      </c>
      <c r="M729">
        <v>0</v>
      </c>
      <c r="N729">
        <v>0</v>
      </c>
      <c r="O729" s="1">
        <v>4224194703313760</v>
      </c>
      <c r="Q729" t="b">
        <v>0</v>
      </c>
    </row>
    <row r="730" spans="1:17" x14ac:dyDescent="0.35">
      <c r="A730" t="s">
        <v>2243</v>
      </c>
      <c r="B730" t="s">
        <v>18</v>
      </c>
      <c r="C730" t="s">
        <v>2244</v>
      </c>
      <c r="D730">
        <v>0</v>
      </c>
      <c r="E730" t="s">
        <v>2245</v>
      </c>
      <c r="F730" t="s">
        <v>20</v>
      </c>
      <c r="G730" t="s">
        <v>2246</v>
      </c>
      <c r="H730" s="1">
        <v>5798333333333330</v>
      </c>
      <c r="I730">
        <v>0</v>
      </c>
      <c r="J730">
        <v>25</v>
      </c>
      <c r="K730">
        <v>2</v>
      </c>
      <c r="L730" t="s">
        <v>116</v>
      </c>
      <c r="M730">
        <v>0</v>
      </c>
      <c r="N730">
        <v>0</v>
      </c>
      <c r="O730" s="1">
        <v>4224223223201840</v>
      </c>
      <c r="Q730" t="b">
        <v>0</v>
      </c>
    </row>
    <row r="731" spans="1:17" x14ac:dyDescent="0.35">
      <c r="A731" t="s">
        <v>2247</v>
      </c>
      <c r="B731" t="s">
        <v>18</v>
      </c>
      <c r="C731" t="s">
        <v>2248</v>
      </c>
      <c r="D731">
        <v>0</v>
      </c>
      <c r="E731" t="s">
        <v>2249</v>
      </c>
      <c r="F731" t="s">
        <v>20</v>
      </c>
      <c r="G731" t="s">
        <v>2250</v>
      </c>
      <c r="H731" s="1">
        <v>9739999999999990</v>
      </c>
      <c r="I731">
        <v>0</v>
      </c>
      <c r="J731" t="s">
        <v>2251</v>
      </c>
      <c r="K731" t="s">
        <v>305</v>
      </c>
      <c r="L731" t="s">
        <v>168</v>
      </c>
      <c r="M731">
        <v>0</v>
      </c>
      <c r="N731">
        <v>0</v>
      </c>
      <c r="O731" s="1">
        <v>4224251743089920</v>
      </c>
      <c r="Q731" t="b">
        <v>0</v>
      </c>
    </row>
    <row r="732" spans="1:17" x14ac:dyDescent="0.35">
      <c r="A732" t="s">
        <v>2252</v>
      </c>
      <c r="B732" t="s">
        <v>18</v>
      </c>
      <c r="C732" t="s">
        <v>2253</v>
      </c>
      <c r="D732">
        <v>0</v>
      </c>
      <c r="E732" t="s">
        <v>2254</v>
      </c>
      <c r="F732" t="s">
        <v>20</v>
      </c>
      <c r="G732" t="s">
        <v>2255</v>
      </c>
      <c r="H732" s="1">
        <v>9739999999999990</v>
      </c>
      <c r="I732">
        <v>0</v>
      </c>
      <c r="J732" t="s">
        <v>2251</v>
      </c>
      <c r="K732" t="s">
        <v>305</v>
      </c>
      <c r="L732" t="s">
        <v>168</v>
      </c>
      <c r="M732">
        <v>0</v>
      </c>
      <c r="N732">
        <v>0</v>
      </c>
      <c r="O732" s="1">
        <v>4224280262978000</v>
      </c>
      <c r="Q732" t="b">
        <v>0</v>
      </c>
    </row>
    <row r="733" spans="1:17" x14ac:dyDescent="0.35">
      <c r="A733" t="s">
        <v>2256</v>
      </c>
      <c r="B733" t="s">
        <v>18</v>
      </c>
      <c r="C733" t="s">
        <v>2257</v>
      </c>
      <c r="D733">
        <v>0</v>
      </c>
      <c r="E733" t="s">
        <v>2258</v>
      </c>
      <c r="F733" t="s">
        <v>20</v>
      </c>
      <c r="G733" t="s">
        <v>2259</v>
      </c>
      <c r="H733" s="1">
        <v>9739999999999990</v>
      </c>
      <c r="I733">
        <v>0</v>
      </c>
      <c r="J733" t="s">
        <v>2251</v>
      </c>
      <c r="K733" t="s">
        <v>305</v>
      </c>
      <c r="L733" t="s">
        <v>168</v>
      </c>
      <c r="M733">
        <v>0</v>
      </c>
      <c r="N733">
        <v>0</v>
      </c>
      <c r="O733" s="1">
        <v>4224308782866090</v>
      </c>
      <c r="Q733" t="b">
        <v>0</v>
      </c>
    </row>
    <row r="734" spans="1:17" x14ac:dyDescent="0.35">
      <c r="A734" t="s">
        <v>2260</v>
      </c>
      <c r="B734" t="s">
        <v>18</v>
      </c>
      <c r="C734" t="s">
        <v>2261</v>
      </c>
      <c r="D734">
        <v>0</v>
      </c>
      <c r="E734" t="s">
        <v>2262</v>
      </c>
      <c r="F734" t="s">
        <v>20</v>
      </c>
      <c r="G734" t="s">
        <v>2263</v>
      </c>
      <c r="H734" s="1">
        <v>9739999999999990</v>
      </c>
      <c r="I734">
        <v>0</v>
      </c>
      <c r="J734" t="s">
        <v>2251</v>
      </c>
      <c r="K734" t="s">
        <v>305</v>
      </c>
      <c r="L734" t="s">
        <v>168</v>
      </c>
      <c r="M734">
        <v>0</v>
      </c>
      <c r="N734">
        <v>0</v>
      </c>
      <c r="O734" s="1">
        <v>4224337302754170</v>
      </c>
      <c r="Q734" t="b">
        <v>0</v>
      </c>
    </row>
    <row r="735" spans="1:17" x14ac:dyDescent="0.35">
      <c r="A735" t="s">
        <v>2264</v>
      </c>
      <c r="B735" t="s">
        <v>18</v>
      </c>
      <c r="C735" t="s">
        <v>2265</v>
      </c>
      <c r="D735">
        <v>0</v>
      </c>
      <c r="E735" t="s">
        <v>2266</v>
      </c>
      <c r="F735" t="s">
        <v>20</v>
      </c>
      <c r="G735" t="s">
        <v>2267</v>
      </c>
      <c r="H735" t="s">
        <v>2268</v>
      </c>
      <c r="I735">
        <v>0</v>
      </c>
      <c r="J735" t="s">
        <v>2269</v>
      </c>
      <c r="K735" s="1">
        <v>3.15E+16</v>
      </c>
      <c r="L735" s="1">
        <v>1.18799999999999E+16</v>
      </c>
      <c r="M735">
        <v>0</v>
      </c>
      <c r="N735">
        <v>0</v>
      </c>
      <c r="O735" s="1">
        <v>4224365822642250</v>
      </c>
      <c r="Q735" t="b">
        <v>0</v>
      </c>
    </row>
    <row r="736" spans="1:17" x14ac:dyDescent="0.35">
      <c r="A736" t="s">
        <v>2270</v>
      </c>
      <c r="B736" t="s">
        <v>18</v>
      </c>
      <c r="C736" t="s">
        <v>2271</v>
      </c>
      <c r="D736">
        <v>0</v>
      </c>
      <c r="E736" t="s">
        <v>2272</v>
      </c>
      <c r="F736" t="s">
        <v>20</v>
      </c>
      <c r="G736" t="s">
        <v>2273</v>
      </c>
      <c r="H736" t="s">
        <v>2268</v>
      </c>
      <c r="I736">
        <v>0</v>
      </c>
      <c r="J736" t="s">
        <v>2269</v>
      </c>
      <c r="K736" s="1">
        <v>3.15E+16</v>
      </c>
      <c r="L736" s="1">
        <v>1.18799999999999E+16</v>
      </c>
      <c r="M736">
        <v>0</v>
      </c>
      <c r="N736">
        <v>0</v>
      </c>
      <c r="O736" s="1">
        <v>4224394342530330</v>
      </c>
      <c r="Q736" t="b">
        <v>0</v>
      </c>
    </row>
    <row r="737" spans="1:17" x14ac:dyDescent="0.35">
      <c r="A737" t="s">
        <v>2274</v>
      </c>
      <c r="B737" t="s">
        <v>18</v>
      </c>
      <c r="C737" t="s">
        <v>2275</v>
      </c>
      <c r="D737">
        <v>0</v>
      </c>
      <c r="E737" t="s">
        <v>2276</v>
      </c>
      <c r="F737" t="s">
        <v>20</v>
      </c>
      <c r="G737" t="s">
        <v>2277</v>
      </c>
      <c r="H737" t="s">
        <v>2268</v>
      </c>
      <c r="I737">
        <v>0</v>
      </c>
      <c r="J737" t="s">
        <v>2269</v>
      </c>
      <c r="K737" s="1">
        <v>3.15E+16</v>
      </c>
      <c r="L737" s="1">
        <v>1.18799999999999E+16</v>
      </c>
      <c r="M737">
        <v>0</v>
      </c>
      <c r="N737">
        <v>0</v>
      </c>
      <c r="O737" s="1">
        <v>4224422862418410</v>
      </c>
      <c r="Q737" t="b">
        <v>0</v>
      </c>
    </row>
    <row r="738" spans="1:17" x14ac:dyDescent="0.35">
      <c r="A738" t="s">
        <v>2278</v>
      </c>
      <c r="B738" t="s">
        <v>18</v>
      </c>
      <c r="C738" t="s">
        <v>2279</v>
      </c>
      <c r="D738">
        <v>0</v>
      </c>
      <c r="E738" t="s">
        <v>2280</v>
      </c>
      <c r="F738" t="s">
        <v>20</v>
      </c>
      <c r="G738" t="s">
        <v>2281</v>
      </c>
      <c r="H738" t="s">
        <v>2268</v>
      </c>
      <c r="I738">
        <v>0</v>
      </c>
      <c r="J738" t="s">
        <v>2269</v>
      </c>
      <c r="K738" s="1">
        <v>3.15E+16</v>
      </c>
      <c r="L738" s="1">
        <v>1.18799999999999E+16</v>
      </c>
      <c r="M738">
        <v>0</v>
      </c>
      <c r="N738">
        <v>0</v>
      </c>
      <c r="O738" s="1">
        <v>4224451382306490</v>
      </c>
      <c r="Q738" t="b">
        <v>0</v>
      </c>
    </row>
    <row r="739" spans="1:17" x14ac:dyDescent="0.35">
      <c r="A739" t="s">
        <v>2282</v>
      </c>
      <c r="B739" t="s">
        <v>18</v>
      </c>
      <c r="C739" t="s">
        <v>2283</v>
      </c>
      <c r="D739">
        <v>0</v>
      </c>
      <c r="E739" t="s">
        <v>2284</v>
      </c>
      <c r="F739" t="s">
        <v>20</v>
      </c>
      <c r="G739" t="s">
        <v>2285</v>
      </c>
      <c r="H739" s="1">
        <v>9591666666666660</v>
      </c>
      <c r="I739">
        <v>0</v>
      </c>
      <c r="J739">
        <v>126</v>
      </c>
      <c r="K739" t="s">
        <v>2286</v>
      </c>
      <c r="L739" t="s">
        <v>2287</v>
      </c>
      <c r="M739">
        <v>0</v>
      </c>
      <c r="N739">
        <v>0</v>
      </c>
      <c r="O739" s="1">
        <v>422447990219458</v>
      </c>
      <c r="Q739" t="b">
        <v>0</v>
      </c>
    </row>
    <row r="740" spans="1:17" x14ac:dyDescent="0.35">
      <c r="A740" t="s">
        <v>2288</v>
      </c>
      <c r="B740" t="s">
        <v>18</v>
      </c>
      <c r="C740" t="s">
        <v>2289</v>
      </c>
      <c r="D740">
        <v>0</v>
      </c>
      <c r="E740" t="s">
        <v>2290</v>
      </c>
      <c r="F740" t="s">
        <v>20</v>
      </c>
      <c r="G740" t="s">
        <v>2291</v>
      </c>
      <c r="H740" s="1">
        <v>9591666666666660</v>
      </c>
      <c r="I740">
        <v>0</v>
      </c>
      <c r="J740">
        <v>126</v>
      </c>
      <c r="K740" t="s">
        <v>2286</v>
      </c>
      <c r="L740" t="s">
        <v>2287</v>
      </c>
      <c r="M740">
        <v>0</v>
      </c>
      <c r="N740">
        <v>0</v>
      </c>
      <c r="O740" s="1">
        <v>4224508422082660</v>
      </c>
      <c r="Q740" t="b">
        <v>0</v>
      </c>
    </row>
    <row r="741" spans="1:17" x14ac:dyDescent="0.35">
      <c r="A741" t="s">
        <v>2292</v>
      </c>
      <c r="B741" t="s">
        <v>18</v>
      </c>
      <c r="C741" t="s">
        <v>2293</v>
      </c>
      <c r="D741">
        <v>0</v>
      </c>
      <c r="E741" t="s">
        <v>2294</v>
      </c>
      <c r="F741" t="s">
        <v>20</v>
      </c>
      <c r="G741" t="s">
        <v>2295</v>
      </c>
      <c r="H741" s="1">
        <v>9591666666666660</v>
      </c>
      <c r="I741">
        <v>0</v>
      </c>
      <c r="J741">
        <v>126</v>
      </c>
      <c r="K741" t="s">
        <v>2286</v>
      </c>
      <c r="L741" t="s">
        <v>2287</v>
      </c>
      <c r="M741">
        <v>0</v>
      </c>
      <c r="N741">
        <v>0</v>
      </c>
      <c r="O741" s="1">
        <v>4224536941970740</v>
      </c>
      <c r="Q741" t="b">
        <v>0</v>
      </c>
    </row>
    <row r="742" spans="1:17" x14ac:dyDescent="0.35">
      <c r="A742" t="s">
        <v>2296</v>
      </c>
      <c r="B742" t="s">
        <v>18</v>
      </c>
      <c r="C742" t="s">
        <v>2297</v>
      </c>
      <c r="D742">
        <v>0</v>
      </c>
      <c r="E742" t="s">
        <v>2298</v>
      </c>
      <c r="F742" t="s">
        <v>20</v>
      </c>
      <c r="G742" t="s">
        <v>2299</v>
      </c>
      <c r="H742" s="1">
        <v>9591666666666660</v>
      </c>
      <c r="I742">
        <v>0</v>
      </c>
      <c r="J742">
        <v>126</v>
      </c>
      <c r="K742" t="s">
        <v>2286</v>
      </c>
      <c r="L742" t="s">
        <v>2287</v>
      </c>
      <c r="M742">
        <v>0</v>
      </c>
      <c r="N742">
        <v>0</v>
      </c>
      <c r="O742" s="1">
        <v>4224565461858820</v>
      </c>
      <c r="Q742" t="b">
        <v>0</v>
      </c>
    </row>
    <row r="743" spans="1:17" x14ac:dyDescent="0.35">
      <c r="A743" t="s">
        <v>2300</v>
      </c>
      <c r="B743" t="s">
        <v>18</v>
      </c>
      <c r="C743" t="s">
        <v>2301</v>
      </c>
      <c r="D743">
        <v>0</v>
      </c>
      <c r="E743" t="s">
        <v>2302</v>
      </c>
      <c r="F743" t="s">
        <v>20</v>
      </c>
      <c r="G743" t="s">
        <v>2303</v>
      </c>
      <c r="H743" s="1">
        <v>9046666666666660</v>
      </c>
      <c r="I743">
        <v>0</v>
      </c>
      <c r="J743">
        <v>129</v>
      </c>
      <c r="K743" t="s">
        <v>1529</v>
      </c>
      <c r="L743" t="s">
        <v>1494</v>
      </c>
      <c r="M743">
        <v>0</v>
      </c>
      <c r="N743">
        <v>0</v>
      </c>
      <c r="O743" s="1">
        <v>4.2245939817469E+16</v>
      </c>
      <c r="Q743" t="b">
        <v>0</v>
      </c>
    </row>
    <row r="744" spans="1:17" x14ac:dyDescent="0.35">
      <c r="A744" t="s">
        <v>2304</v>
      </c>
      <c r="B744" t="s">
        <v>18</v>
      </c>
      <c r="C744" t="s">
        <v>2305</v>
      </c>
      <c r="D744">
        <v>0</v>
      </c>
      <c r="E744" t="s">
        <v>2306</v>
      </c>
      <c r="F744" t="s">
        <v>20</v>
      </c>
      <c r="G744" t="s">
        <v>2307</v>
      </c>
      <c r="H744" s="1">
        <v>9046666666666660</v>
      </c>
      <c r="I744">
        <v>0</v>
      </c>
      <c r="J744">
        <v>129</v>
      </c>
      <c r="K744" t="s">
        <v>1529</v>
      </c>
      <c r="L744" t="s">
        <v>1494</v>
      </c>
      <c r="M744">
        <v>0</v>
      </c>
      <c r="N744">
        <v>0</v>
      </c>
      <c r="O744" s="1">
        <v>4224622501634980</v>
      </c>
      <c r="Q744" t="b">
        <v>0</v>
      </c>
    </row>
    <row r="745" spans="1:17" x14ac:dyDescent="0.35">
      <c r="A745" t="s">
        <v>2308</v>
      </c>
      <c r="B745" t="s">
        <v>18</v>
      </c>
      <c r="C745" t="s">
        <v>2309</v>
      </c>
      <c r="D745">
        <v>0</v>
      </c>
      <c r="E745" t="s">
        <v>2310</v>
      </c>
      <c r="F745" t="s">
        <v>20</v>
      </c>
      <c r="G745" t="s">
        <v>2311</v>
      </c>
      <c r="H745" s="1">
        <v>9046666666666660</v>
      </c>
      <c r="I745">
        <v>0</v>
      </c>
      <c r="J745">
        <v>129</v>
      </c>
      <c r="K745" t="s">
        <v>1529</v>
      </c>
      <c r="L745" t="s">
        <v>1494</v>
      </c>
      <c r="M745">
        <v>0</v>
      </c>
      <c r="N745">
        <v>0</v>
      </c>
      <c r="O745" s="1">
        <v>4224651021523060</v>
      </c>
      <c r="Q745" t="b">
        <v>0</v>
      </c>
    </row>
    <row r="746" spans="1:17" x14ac:dyDescent="0.35">
      <c r="A746" t="s">
        <v>2312</v>
      </c>
      <c r="B746" t="s">
        <v>18</v>
      </c>
      <c r="C746" t="s">
        <v>2313</v>
      </c>
      <c r="D746">
        <v>0</v>
      </c>
      <c r="E746" t="s">
        <v>2314</v>
      </c>
      <c r="F746" t="s">
        <v>20</v>
      </c>
      <c r="G746" t="s">
        <v>2315</v>
      </c>
      <c r="H746" s="1">
        <v>9046666666666660</v>
      </c>
      <c r="I746">
        <v>0</v>
      </c>
      <c r="J746">
        <v>129</v>
      </c>
      <c r="K746" t="s">
        <v>1529</v>
      </c>
      <c r="L746" t="s">
        <v>1494</v>
      </c>
      <c r="M746">
        <v>0</v>
      </c>
      <c r="N746">
        <v>0</v>
      </c>
      <c r="O746" s="1">
        <v>4224679541411150</v>
      </c>
      <c r="Q746" t="b">
        <v>0</v>
      </c>
    </row>
    <row r="747" spans="1:17" x14ac:dyDescent="0.35">
      <c r="A747" t="s">
        <v>2316</v>
      </c>
      <c r="B747" t="s">
        <v>18</v>
      </c>
      <c r="C747" t="s">
        <v>2317</v>
      </c>
      <c r="D747">
        <v>0</v>
      </c>
      <c r="E747" t="s">
        <v>2318</v>
      </c>
      <c r="F747" t="s">
        <v>20</v>
      </c>
      <c r="G747" t="s">
        <v>2319</v>
      </c>
      <c r="H747" t="s">
        <v>2320</v>
      </c>
      <c r="I747">
        <v>0</v>
      </c>
      <c r="J747">
        <v>114</v>
      </c>
      <c r="K747" t="s">
        <v>1290</v>
      </c>
      <c r="L747" s="1">
        <v>1.47599999999999E+16</v>
      </c>
      <c r="M747">
        <v>0</v>
      </c>
      <c r="N747">
        <v>0</v>
      </c>
      <c r="O747" s="1">
        <v>4224708061299230</v>
      </c>
      <c r="Q747" t="b">
        <v>0</v>
      </c>
    </row>
    <row r="748" spans="1:17" x14ac:dyDescent="0.35">
      <c r="A748" t="s">
        <v>2321</v>
      </c>
      <c r="B748" t="s">
        <v>18</v>
      </c>
      <c r="C748" t="s">
        <v>2322</v>
      </c>
      <c r="D748">
        <v>0</v>
      </c>
      <c r="E748" t="s">
        <v>2323</v>
      </c>
      <c r="F748" t="s">
        <v>20</v>
      </c>
      <c r="G748" t="s">
        <v>2324</v>
      </c>
      <c r="H748" t="s">
        <v>2320</v>
      </c>
      <c r="I748">
        <v>0</v>
      </c>
      <c r="J748">
        <v>114</v>
      </c>
      <c r="K748" t="s">
        <v>1290</v>
      </c>
      <c r="L748" s="1">
        <v>1.47599999999999E+16</v>
      </c>
      <c r="M748">
        <v>0</v>
      </c>
      <c r="N748">
        <v>0</v>
      </c>
      <c r="O748" s="1">
        <v>4224736581187310</v>
      </c>
      <c r="Q748" t="b">
        <v>0</v>
      </c>
    </row>
    <row r="749" spans="1:17" x14ac:dyDescent="0.35">
      <c r="A749" t="s">
        <v>2325</v>
      </c>
      <c r="B749" t="s">
        <v>18</v>
      </c>
      <c r="C749" t="s">
        <v>2326</v>
      </c>
      <c r="D749">
        <v>0</v>
      </c>
      <c r="E749" t="s">
        <v>2327</v>
      </c>
      <c r="F749" t="s">
        <v>20</v>
      </c>
      <c r="G749" t="s">
        <v>2328</v>
      </c>
      <c r="H749" t="s">
        <v>2320</v>
      </c>
      <c r="I749">
        <v>0</v>
      </c>
      <c r="J749">
        <v>114</v>
      </c>
      <c r="K749" t="s">
        <v>1290</v>
      </c>
      <c r="L749" s="1">
        <v>1.47599999999999E+16</v>
      </c>
      <c r="M749">
        <v>0</v>
      </c>
      <c r="N749">
        <v>0</v>
      </c>
      <c r="O749" s="1">
        <v>4224765101075390</v>
      </c>
      <c r="Q749" t="b">
        <v>0</v>
      </c>
    </row>
    <row r="750" spans="1:17" x14ac:dyDescent="0.35">
      <c r="A750" t="s">
        <v>2329</v>
      </c>
      <c r="B750" t="s">
        <v>18</v>
      </c>
      <c r="C750" t="s">
        <v>2330</v>
      </c>
      <c r="D750">
        <v>0</v>
      </c>
      <c r="E750" t="s">
        <v>2331</v>
      </c>
      <c r="F750" t="s">
        <v>20</v>
      </c>
      <c r="G750" t="s">
        <v>2332</v>
      </c>
      <c r="H750" t="s">
        <v>2320</v>
      </c>
      <c r="I750">
        <v>0</v>
      </c>
      <c r="J750">
        <v>114</v>
      </c>
      <c r="K750" t="s">
        <v>1290</v>
      </c>
      <c r="L750" s="1">
        <v>1.47599999999999E+16</v>
      </c>
      <c r="M750">
        <v>0</v>
      </c>
      <c r="N750">
        <v>0</v>
      </c>
      <c r="O750" s="1">
        <v>4224793620963470</v>
      </c>
      <c r="Q750" t="b">
        <v>0</v>
      </c>
    </row>
    <row r="751" spans="1:17" x14ac:dyDescent="0.35">
      <c r="A751" t="s">
        <v>2333</v>
      </c>
      <c r="B751" t="s">
        <v>18</v>
      </c>
      <c r="C751" t="s">
        <v>2334</v>
      </c>
      <c r="D751">
        <v>0</v>
      </c>
      <c r="E751" t="s">
        <v>2335</v>
      </c>
      <c r="F751" t="s">
        <v>20</v>
      </c>
      <c r="G751" t="s">
        <v>2336</v>
      </c>
      <c r="H751" s="1">
        <v>6764999999999990</v>
      </c>
      <c r="I751">
        <v>0</v>
      </c>
      <c r="J751">
        <v>84</v>
      </c>
      <c r="K751" t="s">
        <v>720</v>
      </c>
      <c r="L751" t="s">
        <v>26</v>
      </c>
      <c r="M751">
        <v>0</v>
      </c>
      <c r="N751">
        <v>0</v>
      </c>
      <c r="O751" s="1">
        <v>4.2248221408515504E+16</v>
      </c>
      <c r="Q751" t="b">
        <v>0</v>
      </c>
    </row>
    <row r="752" spans="1:17" x14ac:dyDescent="0.35">
      <c r="A752" t="s">
        <v>2337</v>
      </c>
      <c r="B752" t="s">
        <v>18</v>
      </c>
      <c r="C752" t="s">
        <v>2338</v>
      </c>
      <c r="D752">
        <v>0</v>
      </c>
      <c r="E752" t="s">
        <v>2339</v>
      </c>
      <c r="F752" t="s">
        <v>20</v>
      </c>
      <c r="G752" t="s">
        <v>2340</v>
      </c>
      <c r="H752" s="1">
        <v>6764999999999990</v>
      </c>
      <c r="I752">
        <v>0</v>
      </c>
      <c r="J752">
        <v>84</v>
      </c>
      <c r="K752" t="s">
        <v>720</v>
      </c>
      <c r="L752" t="s">
        <v>26</v>
      </c>
      <c r="M752">
        <v>0</v>
      </c>
      <c r="N752">
        <v>0</v>
      </c>
      <c r="O752" s="1">
        <v>4224850660739640</v>
      </c>
      <c r="Q752" t="b">
        <v>0</v>
      </c>
    </row>
    <row r="753" spans="1:17" x14ac:dyDescent="0.35">
      <c r="A753" t="s">
        <v>2341</v>
      </c>
      <c r="B753" t="s">
        <v>18</v>
      </c>
      <c r="C753" t="s">
        <v>2342</v>
      </c>
      <c r="D753">
        <v>0</v>
      </c>
      <c r="E753" t="s">
        <v>2343</v>
      </c>
      <c r="F753" t="s">
        <v>20</v>
      </c>
      <c r="G753" t="s">
        <v>2344</v>
      </c>
      <c r="H753" s="1">
        <v>6764999999999990</v>
      </c>
      <c r="I753">
        <v>0</v>
      </c>
      <c r="J753">
        <v>84</v>
      </c>
      <c r="K753" t="s">
        <v>720</v>
      </c>
      <c r="L753" t="s">
        <v>26</v>
      </c>
      <c r="M753">
        <v>0</v>
      </c>
      <c r="N753">
        <v>0</v>
      </c>
      <c r="O753" s="1">
        <v>4224879180627720</v>
      </c>
      <c r="Q753" t="b">
        <v>0</v>
      </c>
    </row>
    <row r="754" spans="1:17" x14ac:dyDescent="0.35">
      <c r="A754" t="s">
        <v>2345</v>
      </c>
      <c r="B754" t="s">
        <v>18</v>
      </c>
      <c r="C754" t="s">
        <v>2346</v>
      </c>
      <c r="D754">
        <v>0</v>
      </c>
      <c r="E754" t="s">
        <v>2347</v>
      </c>
      <c r="F754" t="s">
        <v>20</v>
      </c>
      <c r="G754" t="s">
        <v>2348</v>
      </c>
      <c r="H754" s="1">
        <v>6764999999999990</v>
      </c>
      <c r="I754">
        <v>0</v>
      </c>
      <c r="J754">
        <v>84</v>
      </c>
      <c r="K754" t="s">
        <v>720</v>
      </c>
      <c r="L754" t="s">
        <v>26</v>
      </c>
      <c r="M754">
        <v>0</v>
      </c>
      <c r="N754">
        <v>0</v>
      </c>
      <c r="O754" s="1">
        <v>4.2249077005158E+16</v>
      </c>
      <c r="Q754" t="b">
        <v>0</v>
      </c>
    </row>
    <row r="755" spans="1:17" x14ac:dyDescent="0.35">
      <c r="A755" t="s">
        <v>2349</v>
      </c>
      <c r="B755" t="s">
        <v>18</v>
      </c>
      <c r="C755" t="s">
        <v>2350</v>
      </c>
      <c r="D755">
        <v>0</v>
      </c>
      <c r="E755" t="s">
        <v>2351</v>
      </c>
      <c r="F755" t="s">
        <v>20</v>
      </c>
      <c r="G755" t="s">
        <v>2352</v>
      </c>
      <c r="H755" s="1">
        <v>5.0483333333333296E+16</v>
      </c>
      <c r="I755">
        <v>0</v>
      </c>
      <c r="J755">
        <v>44</v>
      </c>
      <c r="K755" t="s">
        <v>2353</v>
      </c>
      <c r="L755" s="1">
        <v>1.026E+16</v>
      </c>
      <c r="M755">
        <v>0</v>
      </c>
      <c r="N755">
        <v>0</v>
      </c>
      <c r="O755" s="1">
        <v>4224936220403880</v>
      </c>
      <c r="Q755" t="b">
        <v>0</v>
      </c>
    </row>
    <row r="756" spans="1:17" x14ac:dyDescent="0.35">
      <c r="A756" t="s">
        <v>2354</v>
      </c>
      <c r="B756" t="s">
        <v>18</v>
      </c>
      <c r="C756" t="s">
        <v>2355</v>
      </c>
      <c r="D756">
        <v>0</v>
      </c>
      <c r="E756">
        <v>0</v>
      </c>
      <c r="F756" t="s">
        <v>20</v>
      </c>
      <c r="G756" t="s">
        <v>2356</v>
      </c>
      <c r="H756" s="1">
        <v>5.0483333333333296E+16</v>
      </c>
      <c r="I756">
        <v>0</v>
      </c>
      <c r="J756">
        <v>44</v>
      </c>
      <c r="K756" t="s">
        <v>2353</v>
      </c>
      <c r="L756" s="1">
        <v>1.026E+16</v>
      </c>
      <c r="M756">
        <v>0</v>
      </c>
      <c r="N756">
        <v>0</v>
      </c>
      <c r="O756" s="1">
        <v>4224964740291960</v>
      </c>
      <c r="Q756" t="b">
        <v>0</v>
      </c>
    </row>
    <row r="757" spans="1:17" x14ac:dyDescent="0.35">
      <c r="A757" t="s">
        <v>2357</v>
      </c>
      <c r="B757" t="s">
        <v>18</v>
      </c>
      <c r="C757" t="s">
        <v>2358</v>
      </c>
      <c r="D757">
        <v>0</v>
      </c>
      <c r="E757">
        <v>0</v>
      </c>
      <c r="F757" t="s">
        <v>20</v>
      </c>
      <c r="G757" t="s">
        <v>2359</v>
      </c>
      <c r="H757" s="1">
        <v>5.0483333333333296E+16</v>
      </c>
      <c r="I757">
        <v>0</v>
      </c>
      <c r="J757">
        <v>44</v>
      </c>
      <c r="K757" t="s">
        <v>2353</v>
      </c>
      <c r="L757" s="1">
        <v>1.026E+16</v>
      </c>
      <c r="M757">
        <v>0</v>
      </c>
      <c r="N757">
        <v>0</v>
      </c>
      <c r="O757" s="1">
        <v>4224993260180040</v>
      </c>
      <c r="Q757" t="b">
        <v>0</v>
      </c>
    </row>
    <row r="758" spans="1:17" x14ac:dyDescent="0.35">
      <c r="A758" t="s">
        <v>2360</v>
      </c>
      <c r="B758" t="s">
        <v>18</v>
      </c>
      <c r="C758" t="s">
        <v>2361</v>
      </c>
      <c r="D758">
        <v>0</v>
      </c>
      <c r="E758">
        <v>0</v>
      </c>
      <c r="F758" t="s">
        <v>20</v>
      </c>
      <c r="G758" t="s">
        <v>2362</v>
      </c>
      <c r="H758" s="1">
        <v>5.0483333333333296E+16</v>
      </c>
      <c r="I758">
        <v>0</v>
      </c>
      <c r="J758">
        <v>44</v>
      </c>
      <c r="K758" t="s">
        <v>2353</v>
      </c>
      <c r="L758" s="1">
        <v>1.026E+16</v>
      </c>
      <c r="M758">
        <v>0</v>
      </c>
      <c r="N758">
        <v>0</v>
      </c>
      <c r="O758" s="1">
        <v>422502178006813</v>
      </c>
      <c r="Q758" t="b">
        <v>0</v>
      </c>
    </row>
    <row r="759" spans="1:17" x14ac:dyDescent="0.35">
      <c r="A759" t="s">
        <v>2363</v>
      </c>
      <c r="B759" t="s">
        <v>18</v>
      </c>
      <c r="C759" t="s">
        <v>2364</v>
      </c>
      <c r="D759">
        <v>0</v>
      </c>
      <c r="E759">
        <v>0</v>
      </c>
      <c r="F759" t="s">
        <v>20</v>
      </c>
      <c r="G759">
        <v>0</v>
      </c>
      <c r="H759" s="1">
        <v>1.39666666666666E+16</v>
      </c>
      <c r="I759">
        <v>0</v>
      </c>
      <c r="J759">
        <v>9</v>
      </c>
      <c r="K759" t="s">
        <v>97</v>
      </c>
      <c r="L759" t="s">
        <v>132</v>
      </c>
      <c r="M759">
        <v>0</v>
      </c>
      <c r="N759">
        <v>0</v>
      </c>
      <c r="O759" s="1">
        <v>4225050299956210</v>
      </c>
      <c r="Q759" t="b">
        <v>0</v>
      </c>
    </row>
    <row r="760" spans="1:17" x14ac:dyDescent="0.35">
      <c r="A760" t="s">
        <v>2365</v>
      </c>
      <c r="B760" t="s">
        <v>18</v>
      </c>
      <c r="C760" t="s">
        <v>2366</v>
      </c>
      <c r="D760">
        <v>0</v>
      </c>
      <c r="E760">
        <v>0</v>
      </c>
      <c r="F760" t="s">
        <v>20</v>
      </c>
      <c r="G760">
        <v>0</v>
      </c>
      <c r="H760" s="1">
        <v>1.39666666666666E+16</v>
      </c>
      <c r="I760">
        <v>0</v>
      </c>
      <c r="J760">
        <v>9</v>
      </c>
      <c r="K760" t="s">
        <v>97</v>
      </c>
      <c r="L760" t="s">
        <v>132</v>
      </c>
      <c r="M760">
        <v>0</v>
      </c>
      <c r="N760">
        <v>0</v>
      </c>
      <c r="O760" s="1">
        <v>4225078819844290</v>
      </c>
      <c r="Q760" t="b">
        <v>0</v>
      </c>
    </row>
    <row r="761" spans="1:17" x14ac:dyDescent="0.35">
      <c r="A761" t="s">
        <v>2367</v>
      </c>
      <c r="B761" t="s">
        <v>18</v>
      </c>
      <c r="C761" t="s">
        <v>2368</v>
      </c>
      <c r="D761">
        <v>0</v>
      </c>
      <c r="E761">
        <v>0</v>
      </c>
      <c r="F761" t="s">
        <v>20</v>
      </c>
      <c r="G761">
        <v>0</v>
      </c>
      <c r="H761" s="1">
        <v>1.39666666666666E+16</v>
      </c>
      <c r="I761">
        <v>0</v>
      </c>
      <c r="J761">
        <v>9</v>
      </c>
      <c r="K761" t="s">
        <v>97</v>
      </c>
      <c r="L761" t="s">
        <v>132</v>
      </c>
      <c r="M761">
        <v>0</v>
      </c>
      <c r="N761">
        <v>0</v>
      </c>
      <c r="O761" s="1">
        <v>4225107339732370</v>
      </c>
      <c r="Q761" t="b">
        <v>0</v>
      </c>
    </row>
    <row r="762" spans="1:17" x14ac:dyDescent="0.35">
      <c r="A762" t="s">
        <v>2369</v>
      </c>
      <c r="B762" t="s">
        <v>18</v>
      </c>
      <c r="C762" t="s">
        <v>2370</v>
      </c>
      <c r="D762">
        <v>0</v>
      </c>
      <c r="E762">
        <v>0</v>
      </c>
      <c r="F762" t="s">
        <v>20</v>
      </c>
      <c r="G762">
        <v>0</v>
      </c>
      <c r="H762" s="1">
        <v>1.39666666666666E+16</v>
      </c>
      <c r="I762">
        <v>0</v>
      </c>
      <c r="J762">
        <v>9</v>
      </c>
      <c r="K762" t="s">
        <v>97</v>
      </c>
      <c r="L762" t="s">
        <v>132</v>
      </c>
      <c r="M762">
        <v>0</v>
      </c>
      <c r="N762">
        <v>0</v>
      </c>
      <c r="O762" s="1">
        <v>4.2251358596204496E+16</v>
      </c>
      <c r="Q762" t="b">
        <v>0</v>
      </c>
    </row>
    <row r="763" spans="1:17" x14ac:dyDescent="0.35">
      <c r="A763" t="s">
        <v>2371</v>
      </c>
      <c r="B763" t="s">
        <v>18</v>
      </c>
      <c r="C763" t="s">
        <v>2372</v>
      </c>
      <c r="D763">
        <v>0</v>
      </c>
      <c r="E763">
        <v>0</v>
      </c>
      <c r="F763" t="s">
        <v>20</v>
      </c>
      <c r="G763">
        <v>0</v>
      </c>
      <c r="H763">
        <v>0</v>
      </c>
      <c r="I763">
        <v>0</v>
      </c>
      <c r="J763">
        <v>0</v>
      </c>
      <c r="K763" t="s">
        <v>663</v>
      </c>
      <c r="L763" t="s">
        <v>168</v>
      </c>
      <c r="M763">
        <v>0</v>
      </c>
      <c r="N763">
        <v>0</v>
      </c>
      <c r="O763" s="1">
        <v>4225164379508530</v>
      </c>
      <c r="Q763" t="b">
        <v>0</v>
      </c>
    </row>
    <row r="764" spans="1:17" x14ac:dyDescent="0.35">
      <c r="A764" t="s">
        <v>2373</v>
      </c>
      <c r="B764" t="s">
        <v>18</v>
      </c>
      <c r="C764" t="s">
        <v>2374</v>
      </c>
      <c r="D764">
        <v>0</v>
      </c>
      <c r="E764">
        <v>0</v>
      </c>
      <c r="F764" t="s">
        <v>20</v>
      </c>
      <c r="G764">
        <v>0</v>
      </c>
      <c r="H764">
        <v>0</v>
      </c>
      <c r="I764">
        <v>0</v>
      </c>
      <c r="J764">
        <v>0</v>
      </c>
      <c r="K764" t="s">
        <v>663</v>
      </c>
      <c r="L764" t="s">
        <v>168</v>
      </c>
      <c r="M764">
        <v>0</v>
      </c>
      <c r="N764">
        <v>0</v>
      </c>
      <c r="O764" s="1">
        <v>4225192899396610</v>
      </c>
      <c r="Q764" t="b">
        <v>0</v>
      </c>
    </row>
    <row r="765" spans="1:17" x14ac:dyDescent="0.35">
      <c r="A765" t="s">
        <v>2375</v>
      </c>
      <c r="B765" t="s">
        <v>18</v>
      </c>
      <c r="C765" t="s">
        <v>2376</v>
      </c>
      <c r="D765">
        <v>0</v>
      </c>
      <c r="E765">
        <v>0</v>
      </c>
      <c r="F765" t="s">
        <v>20</v>
      </c>
      <c r="G765">
        <v>0</v>
      </c>
      <c r="H765">
        <v>0</v>
      </c>
      <c r="I765">
        <v>0</v>
      </c>
      <c r="J765">
        <v>0</v>
      </c>
      <c r="K765" t="s">
        <v>663</v>
      </c>
      <c r="L765" t="s">
        <v>168</v>
      </c>
      <c r="M765">
        <v>0</v>
      </c>
      <c r="N765">
        <v>0</v>
      </c>
      <c r="O765" s="1">
        <v>4225221419284700</v>
      </c>
      <c r="Q765" t="b">
        <v>0</v>
      </c>
    </row>
    <row r="766" spans="1:17" x14ac:dyDescent="0.35">
      <c r="A766" t="s">
        <v>2377</v>
      </c>
      <c r="B766" t="s">
        <v>18</v>
      </c>
      <c r="C766" t="s">
        <v>2378</v>
      </c>
      <c r="D766">
        <v>0</v>
      </c>
      <c r="E766">
        <v>0</v>
      </c>
      <c r="F766" t="s">
        <v>20</v>
      </c>
      <c r="G766">
        <v>0</v>
      </c>
      <c r="H766">
        <v>0</v>
      </c>
      <c r="I766">
        <v>0</v>
      </c>
      <c r="J766">
        <v>0</v>
      </c>
      <c r="K766" t="s">
        <v>663</v>
      </c>
      <c r="L766" t="s">
        <v>168</v>
      </c>
      <c r="M766">
        <v>0</v>
      </c>
      <c r="N766">
        <v>0</v>
      </c>
      <c r="O766" s="1">
        <v>4225249939172780</v>
      </c>
      <c r="Q766" t="b">
        <v>0</v>
      </c>
    </row>
    <row r="767" spans="1:17" x14ac:dyDescent="0.35">
      <c r="A767" t="s">
        <v>2379</v>
      </c>
      <c r="B767" t="s">
        <v>18</v>
      </c>
      <c r="C767" t="s">
        <v>2380</v>
      </c>
      <c r="D767">
        <v>0</v>
      </c>
      <c r="E767">
        <v>0</v>
      </c>
      <c r="F767" t="s">
        <v>20</v>
      </c>
      <c r="G767">
        <v>0</v>
      </c>
      <c r="H767">
        <v>0</v>
      </c>
      <c r="I767">
        <v>0</v>
      </c>
      <c r="J767">
        <v>0</v>
      </c>
      <c r="K767" t="s">
        <v>2381</v>
      </c>
      <c r="L767" t="s">
        <v>210</v>
      </c>
      <c r="M767">
        <v>0</v>
      </c>
      <c r="N767">
        <v>0</v>
      </c>
      <c r="O767" s="1">
        <v>4225278459060860</v>
      </c>
      <c r="Q767" t="b">
        <v>0</v>
      </c>
    </row>
    <row r="768" spans="1:17" x14ac:dyDescent="0.35">
      <c r="A768" t="s">
        <v>2382</v>
      </c>
      <c r="B768" t="s">
        <v>18</v>
      </c>
      <c r="C768" t="s">
        <v>2383</v>
      </c>
      <c r="D768">
        <v>0</v>
      </c>
      <c r="E768">
        <v>0</v>
      </c>
      <c r="F768" t="s">
        <v>20</v>
      </c>
      <c r="G768">
        <v>0</v>
      </c>
      <c r="H768">
        <v>0</v>
      </c>
      <c r="I768">
        <v>0</v>
      </c>
      <c r="J768">
        <v>0</v>
      </c>
      <c r="K768" t="s">
        <v>2381</v>
      </c>
      <c r="L768" t="s">
        <v>210</v>
      </c>
      <c r="M768">
        <v>0</v>
      </c>
      <c r="N768">
        <v>0</v>
      </c>
      <c r="O768" s="1">
        <v>4225306978948940</v>
      </c>
      <c r="Q768" t="b">
        <v>0</v>
      </c>
    </row>
    <row r="769" spans="1:17" x14ac:dyDescent="0.35">
      <c r="A769" t="s">
        <v>2384</v>
      </c>
      <c r="B769" t="s">
        <v>18</v>
      </c>
      <c r="C769" t="s">
        <v>2385</v>
      </c>
      <c r="D769">
        <v>0</v>
      </c>
      <c r="E769">
        <v>0</v>
      </c>
      <c r="F769" t="s">
        <v>20</v>
      </c>
      <c r="G769">
        <v>0</v>
      </c>
      <c r="H769">
        <v>0</v>
      </c>
      <c r="I769">
        <v>0</v>
      </c>
      <c r="J769">
        <v>0</v>
      </c>
      <c r="K769" t="s">
        <v>2381</v>
      </c>
      <c r="L769" t="s">
        <v>210</v>
      </c>
      <c r="M769">
        <v>0</v>
      </c>
      <c r="N769">
        <v>0</v>
      </c>
      <c r="O769" s="1">
        <v>4225335498837020</v>
      </c>
      <c r="Q769" t="b">
        <v>0</v>
      </c>
    </row>
    <row r="770" spans="1:17" x14ac:dyDescent="0.35">
      <c r="A770" t="s">
        <v>2386</v>
      </c>
      <c r="B770" t="s">
        <v>18</v>
      </c>
      <c r="C770" t="s">
        <v>2387</v>
      </c>
      <c r="D770">
        <v>0</v>
      </c>
      <c r="E770">
        <v>0</v>
      </c>
      <c r="F770" t="s">
        <v>20</v>
      </c>
      <c r="G770">
        <v>0</v>
      </c>
      <c r="H770">
        <v>0</v>
      </c>
      <c r="I770">
        <v>0</v>
      </c>
      <c r="J770">
        <v>0</v>
      </c>
      <c r="K770" t="s">
        <v>2381</v>
      </c>
      <c r="L770" t="s">
        <v>210</v>
      </c>
      <c r="M770">
        <v>0</v>
      </c>
      <c r="N770">
        <v>0</v>
      </c>
      <c r="O770" s="1">
        <v>4.2253640187251E+16</v>
      </c>
      <c r="Q770" t="b">
        <v>0</v>
      </c>
    </row>
    <row r="771" spans="1:17" x14ac:dyDescent="0.35">
      <c r="A771" t="s">
        <v>2388</v>
      </c>
      <c r="B771" t="s">
        <v>18</v>
      </c>
      <c r="C771" t="s">
        <v>2389</v>
      </c>
      <c r="D771">
        <v>0</v>
      </c>
      <c r="E771">
        <v>0</v>
      </c>
      <c r="F771" t="s">
        <v>20</v>
      </c>
      <c r="G771">
        <v>0</v>
      </c>
      <c r="H771">
        <v>0</v>
      </c>
      <c r="I771">
        <v>0</v>
      </c>
      <c r="J771">
        <v>0</v>
      </c>
      <c r="K771" t="s">
        <v>2381</v>
      </c>
      <c r="L771" t="s">
        <v>210</v>
      </c>
      <c r="M771">
        <v>0</v>
      </c>
      <c r="N771">
        <v>0</v>
      </c>
      <c r="O771" s="1">
        <v>422539253861319</v>
      </c>
      <c r="Q771" t="b">
        <v>0</v>
      </c>
    </row>
    <row r="772" spans="1:17" x14ac:dyDescent="0.35">
      <c r="A772" t="s">
        <v>2390</v>
      </c>
      <c r="B772" t="s">
        <v>18</v>
      </c>
      <c r="C772" t="s">
        <v>2391</v>
      </c>
      <c r="D772">
        <v>0</v>
      </c>
      <c r="E772">
        <v>0</v>
      </c>
      <c r="F772" t="s">
        <v>20</v>
      </c>
      <c r="G772">
        <v>0</v>
      </c>
      <c r="H772">
        <v>0</v>
      </c>
      <c r="I772">
        <v>0</v>
      </c>
      <c r="J772">
        <v>0</v>
      </c>
      <c r="K772" t="s">
        <v>2381</v>
      </c>
      <c r="L772" t="s">
        <v>210</v>
      </c>
      <c r="M772">
        <v>0</v>
      </c>
      <c r="N772">
        <v>0</v>
      </c>
      <c r="O772" s="1">
        <v>4225421058501270</v>
      </c>
      <c r="Q772" t="b">
        <v>0</v>
      </c>
    </row>
    <row r="773" spans="1:17" x14ac:dyDescent="0.35">
      <c r="A773" t="s">
        <v>2392</v>
      </c>
      <c r="B773" t="s">
        <v>18</v>
      </c>
      <c r="C773" t="s">
        <v>2393</v>
      </c>
      <c r="D773">
        <v>0</v>
      </c>
      <c r="E773">
        <v>0</v>
      </c>
      <c r="F773" t="s">
        <v>20</v>
      </c>
      <c r="G773">
        <v>0</v>
      </c>
      <c r="H773">
        <v>0</v>
      </c>
      <c r="I773">
        <v>0</v>
      </c>
      <c r="J773">
        <v>0</v>
      </c>
      <c r="K773" t="s">
        <v>2381</v>
      </c>
      <c r="L773" t="s">
        <v>210</v>
      </c>
      <c r="M773">
        <v>0</v>
      </c>
      <c r="N773">
        <v>0</v>
      </c>
      <c r="O773" s="1">
        <v>4.2254495783893504E+16</v>
      </c>
      <c r="Q773" t="b">
        <v>0</v>
      </c>
    </row>
    <row r="774" spans="1:17" x14ac:dyDescent="0.35">
      <c r="A774" t="s">
        <v>2394</v>
      </c>
      <c r="B774" t="s">
        <v>18</v>
      </c>
      <c r="C774" t="s">
        <v>2395</v>
      </c>
      <c r="D774">
        <v>0</v>
      </c>
      <c r="E774">
        <v>0</v>
      </c>
      <c r="F774" t="s">
        <v>20</v>
      </c>
      <c r="G774">
        <v>0</v>
      </c>
      <c r="H774">
        <v>0</v>
      </c>
      <c r="I774">
        <v>0</v>
      </c>
      <c r="J774">
        <v>0</v>
      </c>
      <c r="K774" t="s">
        <v>2381</v>
      </c>
      <c r="L774" t="s">
        <v>210</v>
      </c>
      <c r="M774">
        <v>0</v>
      </c>
      <c r="N774">
        <v>0</v>
      </c>
      <c r="O774" s="1">
        <v>4225478098277430</v>
      </c>
      <c r="Q774" t="b">
        <v>0</v>
      </c>
    </row>
    <row r="775" spans="1:17" x14ac:dyDescent="0.35">
      <c r="A775" t="s">
        <v>2396</v>
      </c>
      <c r="B775" t="s">
        <v>18</v>
      </c>
      <c r="C775" t="s">
        <v>2397</v>
      </c>
      <c r="D775">
        <v>0</v>
      </c>
      <c r="E775">
        <v>0</v>
      </c>
      <c r="F775" t="s">
        <v>20</v>
      </c>
      <c r="G775">
        <v>0</v>
      </c>
      <c r="H775">
        <v>0</v>
      </c>
      <c r="I775">
        <v>0</v>
      </c>
      <c r="J775">
        <v>0</v>
      </c>
      <c r="K775" t="s">
        <v>380</v>
      </c>
      <c r="L775" t="s">
        <v>132</v>
      </c>
      <c r="M775">
        <v>0</v>
      </c>
      <c r="N775">
        <v>0</v>
      </c>
      <c r="O775" s="1">
        <v>4225506618165510</v>
      </c>
      <c r="Q775" t="b">
        <v>0</v>
      </c>
    </row>
    <row r="776" spans="1:17" x14ac:dyDescent="0.35">
      <c r="A776" t="s">
        <v>2398</v>
      </c>
      <c r="B776" t="s">
        <v>18</v>
      </c>
      <c r="C776" t="s">
        <v>2399</v>
      </c>
      <c r="D776">
        <v>0</v>
      </c>
      <c r="E776">
        <v>0</v>
      </c>
      <c r="F776" t="s">
        <v>20</v>
      </c>
      <c r="G776">
        <v>0</v>
      </c>
      <c r="H776">
        <v>0</v>
      </c>
      <c r="I776">
        <v>0</v>
      </c>
      <c r="J776">
        <v>0</v>
      </c>
      <c r="K776" t="s">
        <v>380</v>
      </c>
      <c r="L776" t="s">
        <v>132</v>
      </c>
      <c r="M776">
        <v>0</v>
      </c>
      <c r="N776">
        <v>0</v>
      </c>
      <c r="O776" s="1">
        <v>4225535138053590</v>
      </c>
      <c r="Q776" t="b">
        <v>0</v>
      </c>
    </row>
    <row r="777" spans="1:17" x14ac:dyDescent="0.35">
      <c r="A777" t="s">
        <v>2400</v>
      </c>
      <c r="B777" t="s">
        <v>18</v>
      </c>
      <c r="C777" t="s">
        <v>2401</v>
      </c>
      <c r="D777">
        <v>0</v>
      </c>
      <c r="E777">
        <v>0</v>
      </c>
      <c r="F777" t="s">
        <v>20</v>
      </c>
      <c r="G777">
        <v>0</v>
      </c>
      <c r="H777">
        <v>0</v>
      </c>
      <c r="I777">
        <v>0</v>
      </c>
      <c r="J777">
        <v>0</v>
      </c>
      <c r="K777" t="s">
        <v>380</v>
      </c>
      <c r="L777" t="s">
        <v>132</v>
      </c>
      <c r="M777">
        <v>0</v>
      </c>
      <c r="N777">
        <v>0</v>
      </c>
      <c r="O777" s="1">
        <v>422556365794168</v>
      </c>
      <c r="Q777" t="b">
        <v>0</v>
      </c>
    </row>
    <row r="778" spans="1:17" x14ac:dyDescent="0.35">
      <c r="A778" t="s">
        <v>2402</v>
      </c>
      <c r="B778" t="s">
        <v>18</v>
      </c>
      <c r="C778" t="s">
        <v>2403</v>
      </c>
      <c r="D778">
        <v>0</v>
      </c>
      <c r="E778">
        <v>0</v>
      </c>
      <c r="F778" t="s">
        <v>20</v>
      </c>
      <c r="G778">
        <v>0</v>
      </c>
      <c r="H778">
        <v>0</v>
      </c>
      <c r="I778">
        <v>0</v>
      </c>
      <c r="J778">
        <v>0</v>
      </c>
      <c r="K778" t="s">
        <v>380</v>
      </c>
      <c r="L778" t="s">
        <v>132</v>
      </c>
      <c r="M778">
        <v>0</v>
      </c>
      <c r="N778">
        <v>0</v>
      </c>
      <c r="O778" s="1">
        <v>4225592177829760</v>
      </c>
      <c r="Q778" t="b">
        <v>0</v>
      </c>
    </row>
    <row r="779" spans="1:17" x14ac:dyDescent="0.35">
      <c r="A779" t="s">
        <v>2404</v>
      </c>
      <c r="B779" t="s">
        <v>18</v>
      </c>
      <c r="C779" t="s">
        <v>2405</v>
      </c>
      <c r="D779">
        <v>0</v>
      </c>
      <c r="E779">
        <v>0</v>
      </c>
      <c r="F779" t="s">
        <v>20</v>
      </c>
      <c r="G779">
        <v>0</v>
      </c>
      <c r="H779">
        <v>0</v>
      </c>
      <c r="I779">
        <v>0</v>
      </c>
      <c r="J779">
        <v>0</v>
      </c>
      <c r="K779" t="s">
        <v>293</v>
      </c>
      <c r="L779" s="1">
        <v>7920000000000000</v>
      </c>
      <c r="M779">
        <v>0</v>
      </c>
      <c r="N779">
        <v>0</v>
      </c>
      <c r="O779" s="1">
        <v>4225620697717840</v>
      </c>
      <c r="Q779" t="b">
        <v>0</v>
      </c>
    </row>
    <row r="780" spans="1:17" x14ac:dyDescent="0.35">
      <c r="A780" t="s">
        <v>2406</v>
      </c>
      <c r="B780" t="s">
        <v>18</v>
      </c>
      <c r="C780" t="s">
        <v>2407</v>
      </c>
      <c r="D780">
        <v>0</v>
      </c>
      <c r="E780">
        <v>0</v>
      </c>
      <c r="F780" t="s">
        <v>20</v>
      </c>
      <c r="G780">
        <v>0</v>
      </c>
      <c r="H780">
        <v>0</v>
      </c>
      <c r="I780">
        <v>0</v>
      </c>
      <c r="J780">
        <v>0</v>
      </c>
      <c r="K780" t="s">
        <v>293</v>
      </c>
      <c r="L780" s="1">
        <v>7920000000000000</v>
      </c>
      <c r="M780">
        <v>0</v>
      </c>
      <c r="N780">
        <v>0</v>
      </c>
      <c r="O780" s="1">
        <v>4225649217605920</v>
      </c>
      <c r="Q780" t="b">
        <v>0</v>
      </c>
    </row>
    <row r="781" spans="1:17" x14ac:dyDescent="0.35">
      <c r="A781" t="s">
        <v>2408</v>
      </c>
      <c r="B781" t="s">
        <v>18</v>
      </c>
      <c r="C781" t="s">
        <v>2409</v>
      </c>
      <c r="D781">
        <v>0</v>
      </c>
      <c r="E781">
        <v>0</v>
      </c>
      <c r="F781" t="s">
        <v>20</v>
      </c>
      <c r="G781">
        <v>0</v>
      </c>
      <c r="H781">
        <v>0</v>
      </c>
      <c r="I781">
        <v>0</v>
      </c>
      <c r="J781">
        <v>0</v>
      </c>
      <c r="K781" t="s">
        <v>293</v>
      </c>
      <c r="L781" s="1">
        <v>7920000000000000</v>
      </c>
      <c r="M781">
        <v>0</v>
      </c>
      <c r="N781">
        <v>0</v>
      </c>
      <c r="O781" s="1">
        <v>4.225677737494E+16</v>
      </c>
      <c r="Q781" t="b">
        <v>0</v>
      </c>
    </row>
    <row r="782" spans="1:17" x14ac:dyDescent="0.35">
      <c r="A782" t="s">
        <v>2410</v>
      </c>
      <c r="B782" t="s">
        <v>18</v>
      </c>
      <c r="C782" t="s">
        <v>2411</v>
      </c>
      <c r="D782">
        <v>0</v>
      </c>
      <c r="E782">
        <v>0</v>
      </c>
      <c r="F782" t="s">
        <v>20</v>
      </c>
      <c r="G782">
        <v>0</v>
      </c>
      <c r="H782">
        <v>0</v>
      </c>
      <c r="I782">
        <v>0</v>
      </c>
      <c r="J782">
        <v>0</v>
      </c>
      <c r="K782" t="s">
        <v>293</v>
      </c>
      <c r="L782" s="1">
        <v>7920000000000000</v>
      </c>
      <c r="M782">
        <v>0</v>
      </c>
      <c r="N782">
        <v>0</v>
      </c>
      <c r="O782" s="1">
        <v>4225706257382080</v>
      </c>
      <c r="Q782" t="b">
        <v>0</v>
      </c>
    </row>
    <row r="783" spans="1:17" x14ac:dyDescent="0.35">
      <c r="A783" t="s">
        <v>2412</v>
      </c>
      <c r="B783" t="s">
        <v>18</v>
      </c>
      <c r="C783" t="s">
        <v>2413</v>
      </c>
      <c r="D783">
        <v>0</v>
      </c>
      <c r="E783">
        <v>0</v>
      </c>
      <c r="F783" t="s">
        <v>20</v>
      </c>
      <c r="G783">
        <v>0</v>
      </c>
      <c r="H783">
        <v>0</v>
      </c>
      <c r="I783">
        <v>0</v>
      </c>
      <c r="J783">
        <v>0</v>
      </c>
      <c r="K783" t="s">
        <v>305</v>
      </c>
      <c r="L783" t="s">
        <v>1028</v>
      </c>
      <c r="M783">
        <v>0</v>
      </c>
      <c r="N783">
        <v>0</v>
      </c>
      <c r="O783" s="1">
        <v>4225734777270160</v>
      </c>
      <c r="Q783" t="b">
        <v>0</v>
      </c>
    </row>
    <row r="784" spans="1:17" x14ac:dyDescent="0.35">
      <c r="A784" t="s">
        <v>2414</v>
      </c>
      <c r="B784" t="s">
        <v>18</v>
      </c>
      <c r="C784" t="s">
        <v>2415</v>
      </c>
      <c r="D784">
        <v>0</v>
      </c>
      <c r="E784">
        <v>0</v>
      </c>
      <c r="F784" t="s">
        <v>20</v>
      </c>
      <c r="G784">
        <v>0</v>
      </c>
      <c r="H784">
        <v>0</v>
      </c>
      <c r="I784">
        <v>0</v>
      </c>
      <c r="J784">
        <v>0</v>
      </c>
      <c r="K784" t="s">
        <v>305</v>
      </c>
      <c r="L784" t="s">
        <v>1028</v>
      </c>
      <c r="M784">
        <v>0</v>
      </c>
      <c r="N784">
        <v>0</v>
      </c>
      <c r="O784" s="1">
        <v>4225763297158250</v>
      </c>
      <c r="Q784" t="b">
        <v>0</v>
      </c>
    </row>
    <row r="785" spans="1:17" x14ac:dyDescent="0.35">
      <c r="A785" t="s">
        <v>2416</v>
      </c>
      <c r="B785" t="s">
        <v>18</v>
      </c>
      <c r="C785" t="s">
        <v>2417</v>
      </c>
      <c r="D785">
        <v>0</v>
      </c>
      <c r="E785">
        <v>0</v>
      </c>
      <c r="F785" t="s">
        <v>20</v>
      </c>
      <c r="G785">
        <v>0</v>
      </c>
      <c r="H785">
        <v>0</v>
      </c>
      <c r="I785">
        <v>0</v>
      </c>
      <c r="J785">
        <v>0</v>
      </c>
      <c r="K785" t="s">
        <v>305</v>
      </c>
      <c r="L785" t="s">
        <v>1028</v>
      </c>
      <c r="M785">
        <v>0</v>
      </c>
      <c r="N785">
        <v>0</v>
      </c>
      <c r="O785" s="1">
        <v>4225791817046330</v>
      </c>
      <c r="Q785" t="b">
        <v>0</v>
      </c>
    </row>
    <row r="786" spans="1:17" x14ac:dyDescent="0.35">
      <c r="A786" t="s">
        <v>2418</v>
      </c>
      <c r="B786" t="s">
        <v>18</v>
      </c>
      <c r="C786" t="s">
        <v>2419</v>
      </c>
      <c r="D786">
        <v>0</v>
      </c>
      <c r="E786">
        <v>0</v>
      </c>
      <c r="F786" t="s">
        <v>20</v>
      </c>
      <c r="G786">
        <v>0</v>
      </c>
      <c r="H786">
        <v>0</v>
      </c>
      <c r="I786">
        <v>0</v>
      </c>
      <c r="J786">
        <v>0</v>
      </c>
      <c r="K786" t="s">
        <v>305</v>
      </c>
      <c r="L786" t="s">
        <v>1028</v>
      </c>
      <c r="M786">
        <v>0</v>
      </c>
      <c r="N786">
        <v>0</v>
      </c>
      <c r="O786" s="1">
        <v>4225820336934410</v>
      </c>
      <c r="Q786" t="b">
        <v>0</v>
      </c>
    </row>
    <row r="787" spans="1:17" x14ac:dyDescent="0.35">
      <c r="A787" t="s">
        <v>2420</v>
      </c>
      <c r="B787" t="s">
        <v>18</v>
      </c>
      <c r="C787" t="s">
        <v>2421</v>
      </c>
      <c r="D787">
        <v>0</v>
      </c>
      <c r="E787">
        <v>0</v>
      </c>
      <c r="F787" t="s">
        <v>20</v>
      </c>
      <c r="G787">
        <v>0</v>
      </c>
      <c r="H787">
        <v>0</v>
      </c>
      <c r="I787">
        <v>0</v>
      </c>
      <c r="J787">
        <v>0</v>
      </c>
      <c r="K787" t="s">
        <v>97</v>
      </c>
      <c r="L787" s="1">
        <v>8280000000000000</v>
      </c>
      <c r="M787">
        <v>0</v>
      </c>
      <c r="N787">
        <v>0</v>
      </c>
      <c r="O787" s="1">
        <v>4225848856822490</v>
      </c>
      <c r="Q787" t="b">
        <v>0</v>
      </c>
    </row>
    <row r="788" spans="1:17" x14ac:dyDescent="0.35">
      <c r="A788" t="s">
        <v>2422</v>
      </c>
      <c r="B788" t="s">
        <v>18</v>
      </c>
      <c r="C788" t="s">
        <v>2423</v>
      </c>
      <c r="D788">
        <v>0</v>
      </c>
      <c r="E788">
        <v>0</v>
      </c>
      <c r="F788" t="s">
        <v>20</v>
      </c>
      <c r="G788">
        <v>0</v>
      </c>
      <c r="H788">
        <v>0</v>
      </c>
      <c r="I788">
        <v>0</v>
      </c>
      <c r="J788">
        <v>0</v>
      </c>
      <c r="K788" t="s">
        <v>97</v>
      </c>
      <c r="L788" s="1">
        <v>8280000000000000</v>
      </c>
      <c r="M788">
        <v>0</v>
      </c>
      <c r="N788">
        <v>0</v>
      </c>
      <c r="O788" s="1">
        <v>4225877376710570</v>
      </c>
      <c r="Q788" t="b">
        <v>0</v>
      </c>
    </row>
    <row r="789" spans="1:17" x14ac:dyDescent="0.35">
      <c r="A789" t="s">
        <v>2424</v>
      </c>
      <c r="B789" t="s">
        <v>18</v>
      </c>
      <c r="C789" t="s">
        <v>2425</v>
      </c>
      <c r="D789">
        <v>0</v>
      </c>
      <c r="E789">
        <v>0</v>
      </c>
      <c r="F789" t="s">
        <v>20</v>
      </c>
      <c r="G789">
        <v>0</v>
      </c>
      <c r="H789">
        <v>0</v>
      </c>
      <c r="I789">
        <v>0</v>
      </c>
      <c r="J789">
        <v>0</v>
      </c>
      <c r="K789" t="s">
        <v>97</v>
      </c>
      <c r="L789" s="1">
        <v>8280000000000000</v>
      </c>
      <c r="M789">
        <v>0</v>
      </c>
      <c r="N789">
        <v>0</v>
      </c>
      <c r="O789" s="1">
        <v>4.2259058965986496E+16</v>
      </c>
      <c r="Q789" t="b">
        <v>0</v>
      </c>
    </row>
    <row r="790" spans="1:17" x14ac:dyDescent="0.35">
      <c r="A790" t="s">
        <v>2426</v>
      </c>
      <c r="B790" t="s">
        <v>18</v>
      </c>
      <c r="C790" t="s">
        <v>2427</v>
      </c>
      <c r="D790">
        <v>0</v>
      </c>
      <c r="E790">
        <v>0</v>
      </c>
      <c r="F790" t="s">
        <v>20</v>
      </c>
      <c r="G790">
        <v>0</v>
      </c>
      <c r="H790">
        <v>0</v>
      </c>
      <c r="I790">
        <v>0</v>
      </c>
      <c r="J790">
        <v>0</v>
      </c>
      <c r="K790" t="s">
        <v>97</v>
      </c>
      <c r="L790" s="1">
        <v>8280000000000000</v>
      </c>
      <c r="M790">
        <v>0</v>
      </c>
      <c r="N790">
        <v>0</v>
      </c>
      <c r="O790" s="1">
        <v>422593441648674</v>
      </c>
      <c r="Q790" t="b">
        <v>0</v>
      </c>
    </row>
    <row r="791" spans="1:17" x14ac:dyDescent="0.35">
      <c r="A791" t="s">
        <v>2428</v>
      </c>
      <c r="B791" t="s">
        <v>18</v>
      </c>
      <c r="C791" t="s">
        <v>2429</v>
      </c>
      <c r="D791">
        <v>0</v>
      </c>
      <c r="E791">
        <v>0</v>
      </c>
      <c r="F791" t="s">
        <v>20</v>
      </c>
      <c r="G791">
        <v>0</v>
      </c>
      <c r="H791">
        <v>0</v>
      </c>
      <c r="I791">
        <v>0</v>
      </c>
      <c r="J791">
        <v>0</v>
      </c>
      <c r="K791" t="s">
        <v>312</v>
      </c>
      <c r="L791">
        <v>9</v>
      </c>
      <c r="M791">
        <v>0</v>
      </c>
      <c r="N791">
        <v>0</v>
      </c>
      <c r="O791" s="1">
        <v>4225962936374820</v>
      </c>
      <c r="Q791" t="b">
        <v>0</v>
      </c>
    </row>
    <row r="792" spans="1:17" x14ac:dyDescent="0.35">
      <c r="A792" t="s">
        <v>2430</v>
      </c>
      <c r="B792" t="s">
        <v>18</v>
      </c>
      <c r="C792" t="s">
        <v>2431</v>
      </c>
      <c r="D792">
        <v>0</v>
      </c>
      <c r="E792">
        <v>0</v>
      </c>
      <c r="F792" t="s">
        <v>20</v>
      </c>
      <c r="G792">
        <v>0</v>
      </c>
      <c r="H792">
        <v>0</v>
      </c>
      <c r="I792">
        <v>0</v>
      </c>
      <c r="J792">
        <v>0</v>
      </c>
      <c r="K792" t="s">
        <v>312</v>
      </c>
      <c r="L792">
        <v>9</v>
      </c>
      <c r="M792">
        <v>0</v>
      </c>
      <c r="N792">
        <v>0</v>
      </c>
      <c r="O792" s="1">
        <v>4.2259914562629E+16</v>
      </c>
      <c r="Q792" t="b">
        <v>0</v>
      </c>
    </row>
    <row r="793" spans="1:17" x14ac:dyDescent="0.35">
      <c r="A793" t="s">
        <v>2432</v>
      </c>
      <c r="B793" t="s">
        <v>18</v>
      </c>
      <c r="C793" t="s">
        <v>2433</v>
      </c>
      <c r="D793">
        <v>0</v>
      </c>
      <c r="E793">
        <v>0</v>
      </c>
      <c r="F793" t="s">
        <v>20</v>
      </c>
      <c r="G793">
        <v>0</v>
      </c>
      <c r="H793">
        <v>0</v>
      </c>
      <c r="I793">
        <v>0</v>
      </c>
      <c r="J793">
        <v>0</v>
      </c>
      <c r="K793" t="s">
        <v>312</v>
      </c>
      <c r="L793">
        <v>9</v>
      </c>
      <c r="M793">
        <v>0</v>
      </c>
      <c r="N793">
        <v>0</v>
      </c>
      <c r="O793" s="1">
        <v>4226019976150980</v>
      </c>
      <c r="Q793" t="b">
        <v>0</v>
      </c>
    </row>
    <row r="794" spans="1:17" x14ac:dyDescent="0.35">
      <c r="A794" t="s">
        <v>2434</v>
      </c>
      <c r="B794" t="s">
        <v>18</v>
      </c>
      <c r="C794" t="s">
        <v>2435</v>
      </c>
      <c r="D794">
        <v>0</v>
      </c>
      <c r="E794">
        <v>0</v>
      </c>
      <c r="F794" t="s">
        <v>20</v>
      </c>
      <c r="G794">
        <v>0</v>
      </c>
      <c r="H794">
        <v>0</v>
      </c>
      <c r="I794">
        <v>0</v>
      </c>
      <c r="J794">
        <v>0</v>
      </c>
      <c r="K794" t="s">
        <v>312</v>
      </c>
      <c r="L794">
        <v>9</v>
      </c>
      <c r="M794">
        <v>0</v>
      </c>
      <c r="N794">
        <v>0</v>
      </c>
      <c r="O794" s="1">
        <v>4226048496039060</v>
      </c>
      <c r="Q794" t="b">
        <v>0</v>
      </c>
    </row>
    <row r="795" spans="1:17" x14ac:dyDescent="0.35">
      <c r="A795" t="s">
        <v>2436</v>
      </c>
      <c r="B795" t="s">
        <v>18</v>
      </c>
      <c r="C795" t="s">
        <v>2437</v>
      </c>
      <c r="D795">
        <v>0</v>
      </c>
      <c r="E795">
        <v>0</v>
      </c>
      <c r="F795" t="s">
        <v>20</v>
      </c>
      <c r="G795">
        <v>0</v>
      </c>
      <c r="H795">
        <v>0</v>
      </c>
      <c r="I795">
        <v>0</v>
      </c>
      <c r="J795">
        <v>0</v>
      </c>
      <c r="K795" t="s">
        <v>2438</v>
      </c>
      <c r="L795" t="s">
        <v>176</v>
      </c>
      <c r="M795">
        <v>0</v>
      </c>
      <c r="N795">
        <v>0</v>
      </c>
      <c r="O795" s="1">
        <v>4226077015927140</v>
      </c>
      <c r="Q795" t="b">
        <v>0</v>
      </c>
    </row>
    <row r="796" spans="1:17" x14ac:dyDescent="0.35">
      <c r="A796" t="s">
        <v>2439</v>
      </c>
      <c r="B796" t="s">
        <v>18</v>
      </c>
      <c r="C796" t="s">
        <v>2440</v>
      </c>
      <c r="D796">
        <v>0</v>
      </c>
      <c r="E796">
        <v>0</v>
      </c>
      <c r="F796" t="s">
        <v>20</v>
      </c>
      <c r="G796">
        <v>0</v>
      </c>
      <c r="H796">
        <v>0</v>
      </c>
      <c r="I796">
        <v>0</v>
      </c>
      <c r="J796">
        <v>0</v>
      </c>
      <c r="K796" t="s">
        <v>2438</v>
      </c>
      <c r="L796" t="s">
        <v>176</v>
      </c>
      <c r="M796">
        <v>0</v>
      </c>
      <c r="N796">
        <v>0</v>
      </c>
      <c r="O796" s="1">
        <v>4226105535815220</v>
      </c>
      <c r="Q796" t="b">
        <v>0</v>
      </c>
    </row>
    <row r="797" spans="1:17" x14ac:dyDescent="0.35">
      <c r="A797" t="s">
        <v>2441</v>
      </c>
      <c r="B797" t="s">
        <v>18</v>
      </c>
      <c r="C797" t="s">
        <v>2442</v>
      </c>
      <c r="D797">
        <v>0</v>
      </c>
      <c r="E797">
        <v>0</v>
      </c>
      <c r="F797" t="s">
        <v>20</v>
      </c>
      <c r="G797">
        <v>0</v>
      </c>
      <c r="H797">
        <v>0</v>
      </c>
      <c r="I797">
        <v>0</v>
      </c>
      <c r="J797">
        <v>0</v>
      </c>
      <c r="K797" t="s">
        <v>2438</v>
      </c>
      <c r="L797" t="s">
        <v>176</v>
      </c>
      <c r="M797">
        <v>0</v>
      </c>
      <c r="N797">
        <v>0</v>
      </c>
      <c r="O797" s="1">
        <v>4226134055703310</v>
      </c>
      <c r="Q797" t="b">
        <v>0</v>
      </c>
    </row>
    <row r="798" spans="1:17" x14ac:dyDescent="0.35">
      <c r="A798" t="s">
        <v>2443</v>
      </c>
      <c r="B798" t="s">
        <v>18</v>
      </c>
      <c r="C798" t="s">
        <v>2444</v>
      </c>
      <c r="D798">
        <v>0</v>
      </c>
      <c r="E798">
        <v>0</v>
      </c>
      <c r="F798" t="s">
        <v>20</v>
      </c>
      <c r="G798">
        <v>0</v>
      </c>
      <c r="H798">
        <v>0</v>
      </c>
      <c r="I798">
        <v>0</v>
      </c>
      <c r="J798">
        <v>0</v>
      </c>
      <c r="K798" t="s">
        <v>2438</v>
      </c>
      <c r="L798" t="s">
        <v>176</v>
      </c>
      <c r="M798">
        <v>0</v>
      </c>
      <c r="N798">
        <v>0</v>
      </c>
      <c r="O798" s="1">
        <v>4226162575591390</v>
      </c>
      <c r="Q798" t="b">
        <v>0</v>
      </c>
    </row>
    <row r="799" spans="1:17" x14ac:dyDescent="0.35">
      <c r="A799" t="s">
        <v>2445</v>
      </c>
      <c r="B799" t="s">
        <v>18</v>
      </c>
      <c r="C799" t="s">
        <v>2446</v>
      </c>
      <c r="D799">
        <v>0</v>
      </c>
      <c r="E799">
        <v>0</v>
      </c>
      <c r="F799" t="s">
        <v>20</v>
      </c>
      <c r="G799">
        <v>0</v>
      </c>
      <c r="H799">
        <v>0</v>
      </c>
      <c r="I799">
        <v>0</v>
      </c>
      <c r="J799">
        <v>0</v>
      </c>
      <c r="K799" t="s">
        <v>671</v>
      </c>
      <c r="L799" t="s">
        <v>70</v>
      </c>
      <c r="M799">
        <v>0</v>
      </c>
      <c r="N799">
        <v>0</v>
      </c>
      <c r="O799" s="1">
        <v>4226191095479470</v>
      </c>
      <c r="Q799" t="b">
        <v>0</v>
      </c>
    </row>
    <row r="800" spans="1:17" x14ac:dyDescent="0.35">
      <c r="A800" t="s">
        <v>2447</v>
      </c>
      <c r="B800" t="s">
        <v>18</v>
      </c>
      <c r="C800" t="s">
        <v>2448</v>
      </c>
      <c r="D800">
        <v>0</v>
      </c>
      <c r="E800">
        <v>0</v>
      </c>
      <c r="F800" t="s">
        <v>20</v>
      </c>
      <c r="G800">
        <v>0</v>
      </c>
      <c r="H800">
        <v>0</v>
      </c>
      <c r="I800">
        <v>0</v>
      </c>
      <c r="J800">
        <v>0</v>
      </c>
      <c r="K800" t="s">
        <v>671</v>
      </c>
      <c r="L800" t="s">
        <v>70</v>
      </c>
      <c r="M800">
        <v>0</v>
      </c>
      <c r="N800">
        <v>0</v>
      </c>
      <c r="O800" s="1">
        <v>4.2262196153675504E+16</v>
      </c>
      <c r="Q800" t="b">
        <v>0</v>
      </c>
    </row>
    <row r="801" spans="1:17" x14ac:dyDescent="0.35">
      <c r="A801" t="s">
        <v>2449</v>
      </c>
      <c r="B801" t="s">
        <v>18</v>
      </c>
      <c r="C801" t="s">
        <v>2450</v>
      </c>
      <c r="D801">
        <v>0</v>
      </c>
      <c r="E801">
        <v>0</v>
      </c>
      <c r="F801" t="s">
        <v>20</v>
      </c>
      <c r="G801">
        <v>0</v>
      </c>
      <c r="H801">
        <v>0</v>
      </c>
      <c r="I801">
        <v>0</v>
      </c>
      <c r="J801">
        <v>0</v>
      </c>
      <c r="K801" t="s">
        <v>671</v>
      </c>
      <c r="L801" t="s">
        <v>70</v>
      </c>
      <c r="M801">
        <v>0</v>
      </c>
      <c r="N801">
        <v>0</v>
      </c>
      <c r="O801" s="1">
        <v>4226248135255630</v>
      </c>
      <c r="Q801" t="b">
        <v>0</v>
      </c>
    </row>
    <row r="802" spans="1:17" x14ac:dyDescent="0.35">
      <c r="A802" t="s">
        <v>2451</v>
      </c>
      <c r="B802" t="s">
        <v>18</v>
      </c>
      <c r="C802" t="s">
        <v>2452</v>
      </c>
      <c r="D802">
        <v>0</v>
      </c>
      <c r="E802">
        <v>0</v>
      </c>
      <c r="F802" t="s">
        <v>20</v>
      </c>
      <c r="G802">
        <v>0</v>
      </c>
      <c r="H802">
        <v>0</v>
      </c>
      <c r="I802">
        <v>0</v>
      </c>
      <c r="J802">
        <v>0</v>
      </c>
      <c r="K802" t="s">
        <v>671</v>
      </c>
      <c r="L802" t="s">
        <v>70</v>
      </c>
      <c r="M802">
        <v>0</v>
      </c>
      <c r="N802">
        <v>0</v>
      </c>
      <c r="O802" s="1">
        <v>4226276655143710</v>
      </c>
      <c r="Q802" t="b">
        <v>0</v>
      </c>
    </row>
    <row r="803" spans="1:17" x14ac:dyDescent="0.35">
      <c r="A803" t="s">
        <v>2453</v>
      </c>
      <c r="B803" t="s">
        <v>18</v>
      </c>
      <c r="C803" t="s">
        <v>2454</v>
      </c>
      <c r="D803">
        <v>0</v>
      </c>
      <c r="E803">
        <v>0</v>
      </c>
      <c r="F803" t="s">
        <v>20</v>
      </c>
      <c r="G803">
        <v>0</v>
      </c>
      <c r="H803">
        <v>0</v>
      </c>
      <c r="I803">
        <v>0</v>
      </c>
      <c r="J803">
        <v>0</v>
      </c>
      <c r="K803" t="s">
        <v>2381</v>
      </c>
      <c r="L803" s="1">
        <v>1.278E+16</v>
      </c>
      <c r="M803">
        <v>0</v>
      </c>
      <c r="N803">
        <v>0</v>
      </c>
      <c r="O803" s="1">
        <v>4226305175031800</v>
      </c>
      <c r="Q803" t="b">
        <v>0</v>
      </c>
    </row>
    <row r="804" spans="1:17" x14ac:dyDescent="0.35">
      <c r="A804" t="s">
        <v>2455</v>
      </c>
      <c r="B804" t="s">
        <v>18</v>
      </c>
      <c r="C804" t="s">
        <v>2456</v>
      </c>
      <c r="D804">
        <v>0</v>
      </c>
      <c r="E804">
        <v>0</v>
      </c>
      <c r="F804" t="s">
        <v>20</v>
      </c>
      <c r="G804">
        <v>0</v>
      </c>
      <c r="H804">
        <v>0</v>
      </c>
      <c r="I804">
        <v>0</v>
      </c>
      <c r="J804">
        <v>0</v>
      </c>
      <c r="K804" t="s">
        <v>2381</v>
      </c>
      <c r="L804" s="1">
        <v>1.278E+16</v>
      </c>
      <c r="M804">
        <v>0</v>
      </c>
      <c r="N804">
        <v>0</v>
      </c>
      <c r="O804" s="1">
        <v>4226333694919880</v>
      </c>
      <c r="Q804" t="b">
        <v>0</v>
      </c>
    </row>
    <row r="805" spans="1:17" x14ac:dyDescent="0.35">
      <c r="A805" t="s">
        <v>2457</v>
      </c>
      <c r="B805" t="s">
        <v>18</v>
      </c>
      <c r="C805" t="s">
        <v>2458</v>
      </c>
      <c r="D805">
        <v>0</v>
      </c>
      <c r="E805">
        <v>0</v>
      </c>
      <c r="F805" t="s">
        <v>20</v>
      </c>
      <c r="G805">
        <v>0</v>
      </c>
      <c r="H805">
        <v>0</v>
      </c>
      <c r="I805">
        <v>0</v>
      </c>
      <c r="J805">
        <v>0</v>
      </c>
      <c r="K805" t="s">
        <v>2381</v>
      </c>
      <c r="L805" s="1">
        <v>1.278E+16</v>
      </c>
      <c r="M805">
        <v>0</v>
      </c>
      <c r="N805">
        <v>0</v>
      </c>
      <c r="O805" s="1">
        <v>4226362214807960</v>
      </c>
      <c r="Q805" t="b">
        <v>0</v>
      </c>
    </row>
    <row r="806" spans="1:17" x14ac:dyDescent="0.35">
      <c r="A806" t="s">
        <v>2459</v>
      </c>
      <c r="B806" t="s">
        <v>18</v>
      </c>
      <c r="C806" t="s">
        <v>2460</v>
      </c>
      <c r="D806">
        <v>0</v>
      </c>
      <c r="E806">
        <v>0</v>
      </c>
      <c r="F806" t="s">
        <v>20</v>
      </c>
      <c r="G806">
        <v>0</v>
      </c>
      <c r="H806">
        <v>0</v>
      </c>
      <c r="I806">
        <v>0</v>
      </c>
      <c r="J806">
        <v>0</v>
      </c>
      <c r="K806" t="s">
        <v>2381</v>
      </c>
      <c r="L806" s="1">
        <v>1.278E+16</v>
      </c>
      <c r="M806">
        <v>0</v>
      </c>
      <c r="N806">
        <v>0</v>
      </c>
      <c r="O806" s="1">
        <v>4226390734696040</v>
      </c>
      <c r="Q806" t="b">
        <v>0</v>
      </c>
    </row>
    <row r="807" spans="1:17" x14ac:dyDescent="0.35">
      <c r="A807" t="s">
        <v>2461</v>
      </c>
      <c r="B807" t="s">
        <v>18</v>
      </c>
      <c r="C807" t="s">
        <v>2462</v>
      </c>
      <c r="D807">
        <v>0</v>
      </c>
      <c r="E807">
        <v>0</v>
      </c>
      <c r="F807" t="s">
        <v>20</v>
      </c>
      <c r="G807">
        <v>0</v>
      </c>
      <c r="H807">
        <v>0</v>
      </c>
      <c r="I807">
        <v>0</v>
      </c>
      <c r="J807">
        <v>0</v>
      </c>
      <c r="K807" s="1">
        <v>1.95E+16</v>
      </c>
      <c r="L807" t="s">
        <v>57</v>
      </c>
      <c r="M807">
        <v>0</v>
      </c>
      <c r="N807">
        <v>0</v>
      </c>
      <c r="O807" s="1">
        <v>4226419254584120</v>
      </c>
      <c r="Q807" t="b">
        <v>0</v>
      </c>
    </row>
    <row r="808" spans="1:17" x14ac:dyDescent="0.35">
      <c r="A808" t="s">
        <v>2463</v>
      </c>
      <c r="B808" t="s">
        <v>18</v>
      </c>
      <c r="C808" t="s">
        <v>2464</v>
      </c>
      <c r="D808">
        <v>0</v>
      </c>
      <c r="E808">
        <v>0</v>
      </c>
      <c r="F808" t="s">
        <v>20</v>
      </c>
      <c r="G808">
        <v>0</v>
      </c>
      <c r="H808">
        <v>0</v>
      </c>
      <c r="I808">
        <v>0</v>
      </c>
      <c r="J808">
        <v>0</v>
      </c>
      <c r="K808" s="1">
        <v>1.95E+16</v>
      </c>
      <c r="L808" t="s">
        <v>57</v>
      </c>
      <c r="M808">
        <v>0</v>
      </c>
      <c r="N808">
        <v>0</v>
      </c>
      <c r="O808" s="1">
        <v>4226447774472200</v>
      </c>
      <c r="Q808" t="b">
        <v>0</v>
      </c>
    </row>
    <row r="809" spans="1:17" x14ac:dyDescent="0.35">
      <c r="A809" t="s">
        <v>2465</v>
      </c>
      <c r="B809" t="s">
        <v>18</v>
      </c>
      <c r="C809" t="s">
        <v>2466</v>
      </c>
      <c r="D809">
        <v>0</v>
      </c>
      <c r="E809">
        <v>0</v>
      </c>
      <c r="F809" t="s">
        <v>20</v>
      </c>
      <c r="G809">
        <v>0</v>
      </c>
      <c r="H809">
        <v>0</v>
      </c>
      <c r="I809">
        <v>0</v>
      </c>
      <c r="J809">
        <v>0</v>
      </c>
      <c r="K809" s="1">
        <v>1.95E+16</v>
      </c>
      <c r="L809" t="s">
        <v>57</v>
      </c>
      <c r="M809">
        <v>0</v>
      </c>
      <c r="N809">
        <v>0</v>
      </c>
      <c r="O809" s="1">
        <v>422647629436029</v>
      </c>
      <c r="Q809" t="b">
        <v>0</v>
      </c>
    </row>
    <row r="810" spans="1:17" x14ac:dyDescent="0.35">
      <c r="A810" t="s">
        <v>2467</v>
      </c>
      <c r="B810" t="s">
        <v>18</v>
      </c>
      <c r="C810" t="s">
        <v>2468</v>
      </c>
      <c r="D810">
        <v>0</v>
      </c>
      <c r="E810">
        <v>0</v>
      </c>
      <c r="F810" t="s">
        <v>20</v>
      </c>
      <c r="G810">
        <v>0</v>
      </c>
      <c r="H810">
        <v>0</v>
      </c>
      <c r="I810">
        <v>0</v>
      </c>
      <c r="J810">
        <v>0</v>
      </c>
      <c r="K810" s="1">
        <v>1.95E+16</v>
      </c>
      <c r="L810" t="s">
        <v>57</v>
      </c>
      <c r="M810">
        <v>0</v>
      </c>
      <c r="N810">
        <v>0</v>
      </c>
      <c r="O810" s="1">
        <v>4226504814248370</v>
      </c>
      <c r="Q810" t="b">
        <v>0</v>
      </c>
    </row>
    <row r="811" spans="1:17" x14ac:dyDescent="0.35">
      <c r="A811" t="s">
        <v>2469</v>
      </c>
      <c r="B811" t="s">
        <v>18</v>
      </c>
      <c r="C811" t="s">
        <v>2470</v>
      </c>
      <c r="D811">
        <v>0</v>
      </c>
      <c r="E811">
        <v>0</v>
      </c>
      <c r="F811" t="s">
        <v>20</v>
      </c>
      <c r="G811">
        <v>0</v>
      </c>
      <c r="H811">
        <v>0</v>
      </c>
      <c r="I811">
        <v>0</v>
      </c>
      <c r="J811">
        <v>0</v>
      </c>
      <c r="K811" t="s">
        <v>804</v>
      </c>
      <c r="L811" s="1">
        <v>1.512E+16</v>
      </c>
      <c r="M811">
        <v>0</v>
      </c>
      <c r="N811">
        <v>0</v>
      </c>
      <c r="O811" s="1">
        <v>4.2265333341364496E+16</v>
      </c>
      <c r="Q811" t="b">
        <v>0</v>
      </c>
    </row>
    <row r="812" spans="1:17" x14ac:dyDescent="0.35">
      <c r="A812" t="s">
        <v>2471</v>
      </c>
      <c r="B812" t="s">
        <v>18</v>
      </c>
      <c r="C812" t="s">
        <v>2472</v>
      </c>
      <c r="D812">
        <v>0</v>
      </c>
      <c r="E812">
        <v>0</v>
      </c>
      <c r="F812" t="s">
        <v>20</v>
      </c>
      <c r="G812">
        <v>0</v>
      </c>
      <c r="H812">
        <v>0</v>
      </c>
      <c r="I812">
        <v>0</v>
      </c>
      <c r="J812">
        <v>0</v>
      </c>
      <c r="K812" t="s">
        <v>804</v>
      </c>
      <c r="L812" s="1">
        <v>1.512E+16</v>
      </c>
      <c r="M812">
        <v>0</v>
      </c>
      <c r="N812">
        <v>0</v>
      </c>
      <c r="O812" s="1">
        <v>4226561854024530</v>
      </c>
      <c r="Q812" t="b">
        <v>0</v>
      </c>
    </row>
    <row r="813" spans="1:17" x14ac:dyDescent="0.35">
      <c r="A813" t="s">
        <v>2473</v>
      </c>
      <c r="B813" t="s">
        <v>18</v>
      </c>
      <c r="C813" t="s">
        <v>2474</v>
      </c>
      <c r="D813">
        <v>0</v>
      </c>
      <c r="E813">
        <v>0</v>
      </c>
      <c r="F813" t="s">
        <v>20</v>
      </c>
      <c r="G813">
        <v>0</v>
      </c>
      <c r="H813">
        <v>0</v>
      </c>
      <c r="I813">
        <v>0</v>
      </c>
      <c r="J813">
        <v>0</v>
      </c>
      <c r="K813" t="s">
        <v>804</v>
      </c>
      <c r="L813" s="1">
        <v>1.512E+16</v>
      </c>
      <c r="M813">
        <v>0</v>
      </c>
      <c r="N813">
        <v>0</v>
      </c>
      <c r="O813" s="1">
        <v>4226590373912610</v>
      </c>
      <c r="Q813" t="b">
        <v>0</v>
      </c>
    </row>
    <row r="814" spans="1:17" x14ac:dyDescent="0.35">
      <c r="A814" t="s">
        <v>2475</v>
      </c>
      <c r="B814" t="s">
        <v>18</v>
      </c>
      <c r="C814" t="s">
        <v>2476</v>
      </c>
      <c r="D814">
        <v>0</v>
      </c>
      <c r="E814">
        <v>0</v>
      </c>
      <c r="F814" t="s">
        <v>20</v>
      </c>
      <c r="G814">
        <v>0</v>
      </c>
      <c r="H814">
        <v>0</v>
      </c>
      <c r="I814">
        <v>0</v>
      </c>
      <c r="J814">
        <v>0</v>
      </c>
      <c r="K814" t="s">
        <v>804</v>
      </c>
      <c r="L814" s="1">
        <v>1.512E+16</v>
      </c>
      <c r="M814">
        <v>0</v>
      </c>
      <c r="N814">
        <v>0</v>
      </c>
      <c r="O814" s="1">
        <v>4226618893800690</v>
      </c>
      <c r="Q814" t="b">
        <v>0</v>
      </c>
    </row>
    <row r="815" spans="1:17" x14ac:dyDescent="0.35">
      <c r="A815" t="s">
        <v>2477</v>
      </c>
      <c r="B815" t="s">
        <v>18</v>
      </c>
      <c r="C815" t="s">
        <v>2478</v>
      </c>
      <c r="D815">
        <v>0</v>
      </c>
      <c r="E815">
        <v>0</v>
      </c>
      <c r="F815" t="s">
        <v>20</v>
      </c>
      <c r="G815">
        <v>0</v>
      </c>
      <c r="H815">
        <v>0</v>
      </c>
      <c r="I815">
        <v>0</v>
      </c>
      <c r="J815">
        <v>0</v>
      </c>
      <c r="K815" t="s">
        <v>2479</v>
      </c>
      <c r="L815" t="s">
        <v>2480</v>
      </c>
      <c r="M815">
        <v>0</v>
      </c>
      <c r="N815">
        <v>0</v>
      </c>
      <c r="O815" s="1">
        <v>4226647413688770</v>
      </c>
      <c r="Q815" t="b">
        <v>0</v>
      </c>
    </row>
    <row r="816" spans="1:17" x14ac:dyDescent="0.35">
      <c r="A816" t="s">
        <v>2481</v>
      </c>
      <c r="B816" t="s">
        <v>18</v>
      </c>
      <c r="C816" t="s">
        <v>2482</v>
      </c>
      <c r="D816">
        <v>0</v>
      </c>
      <c r="E816">
        <v>0</v>
      </c>
      <c r="F816" t="s">
        <v>20</v>
      </c>
      <c r="G816">
        <v>0</v>
      </c>
      <c r="H816">
        <v>0</v>
      </c>
      <c r="I816">
        <v>0</v>
      </c>
      <c r="J816">
        <v>0</v>
      </c>
      <c r="K816" t="s">
        <v>2479</v>
      </c>
      <c r="L816" t="s">
        <v>2480</v>
      </c>
      <c r="M816">
        <v>0</v>
      </c>
      <c r="N816">
        <v>0</v>
      </c>
      <c r="O816" s="1">
        <v>4226675933576860</v>
      </c>
      <c r="Q816" t="b">
        <v>0</v>
      </c>
    </row>
    <row r="817" spans="1:17" x14ac:dyDescent="0.35">
      <c r="A817" t="s">
        <v>2483</v>
      </c>
      <c r="B817" t="s">
        <v>18</v>
      </c>
      <c r="C817" t="s">
        <v>2484</v>
      </c>
      <c r="D817">
        <v>0</v>
      </c>
      <c r="E817">
        <v>0</v>
      </c>
      <c r="F817" t="s">
        <v>20</v>
      </c>
      <c r="G817">
        <v>0</v>
      </c>
      <c r="H817">
        <v>0</v>
      </c>
      <c r="I817">
        <v>0</v>
      </c>
      <c r="J817">
        <v>0</v>
      </c>
      <c r="K817" t="s">
        <v>2479</v>
      </c>
      <c r="L817" t="s">
        <v>2480</v>
      </c>
      <c r="M817">
        <v>0</v>
      </c>
      <c r="N817">
        <v>0</v>
      </c>
      <c r="O817" s="1">
        <v>4226704453464940</v>
      </c>
      <c r="Q817" t="b">
        <v>0</v>
      </c>
    </row>
    <row r="818" spans="1:17" x14ac:dyDescent="0.35">
      <c r="A818" t="s">
        <v>2485</v>
      </c>
      <c r="B818" t="s">
        <v>18</v>
      </c>
      <c r="C818" t="s">
        <v>2486</v>
      </c>
      <c r="D818">
        <v>0</v>
      </c>
      <c r="E818">
        <v>0</v>
      </c>
      <c r="F818" t="s">
        <v>20</v>
      </c>
      <c r="G818">
        <v>0</v>
      </c>
      <c r="H818">
        <v>0</v>
      </c>
      <c r="I818">
        <v>0</v>
      </c>
      <c r="J818">
        <v>0</v>
      </c>
      <c r="K818" t="s">
        <v>2479</v>
      </c>
      <c r="L818" t="s">
        <v>2480</v>
      </c>
      <c r="M818">
        <v>0</v>
      </c>
      <c r="N818">
        <v>0</v>
      </c>
      <c r="O818" s="1">
        <v>4226732973353020</v>
      </c>
      <c r="Q818" t="b">
        <v>0</v>
      </c>
    </row>
    <row r="819" spans="1:17" x14ac:dyDescent="0.35">
      <c r="A819" t="s">
        <v>2487</v>
      </c>
      <c r="B819" t="s">
        <v>18</v>
      </c>
      <c r="C819" t="s">
        <v>2488</v>
      </c>
      <c r="D819">
        <v>0</v>
      </c>
      <c r="E819">
        <v>0</v>
      </c>
      <c r="F819" t="s">
        <v>20</v>
      </c>
      <c r="G819">
        <v>0</v>
      </c>
      <c r="H819">
        <v>0</v>
      </c>
      <c r="I819">
        <v>0</v>
      </c>
      <c r="J819">
        <v>0</v>
      </c>
      <c r="K819" t="s">
        <v>286</v>
      </c>
      <c r="L819" t="s">
        <v>1494</v>
      </c>
      <c r="M819">
        <v>0</v>
      </c>
      <c r="N819">
        <v>0</v>
      </c>
      <c r="O819" s="1">
        <v>4.2267614932411E+16</v>
      </c>
      <c r="Q819" t="b">
        <v>0</v>
      </c>
    </row>
    <row r="820" spans="1:17" x14ac:dyDescent="0.35">
      <c r="A820" t="s">
        <v>2489</v>
      </c>
      <c r="B820" t="s">
        <v>18</v>
      </c>
      <c r="C820" t="s">
        <v>2490</v>
      </c>
      <c r="D820">
        <v>0</v>
      </c>
      <c r="E820">
        <v>0</v>
      </c>
      <c r="F820" t="s">
        <v>20</v>
      </c>
      <c r="G820">
        <v>0</v>
      </c>
      <c r="H820">
        <v>0</v>
      </c>
      <c r="I820">
        <v>0</v>
      </c>
      <c r="J820">
        <v>0</v>
      </c>
      <c r="K820" t="s">
        <v>286</v>
      </c>
      <c r="L820" t="s">
        <v>1494</v>
      </c>
      <c r="M820">
        <v>0</v>
      </c>
      <c r="N820">
        <v>0</v>
      </c>
      <c r="O820" s="1">
        <v>4226790013129180</v>
      </c>
      <c r="Q820" t="b">
        <v>0</v>
      </c>
    </row>
    <row r="821" spans="1:17" x14ac:dyDescent="0.35">
      <c r="A821" t="s">
        <v>2491</v>
      </c>
      <c r="B821" t="s">
        <v>18</v>
      </c>
      <c r="C821" t="s">
        <v>2492</v>
      </c>
      <c r="D821">
        <v>0</v>
      </c>
      <c r="E821">
        <v>0</v>
      </c>
      <c r="F821" t="s">
        <v>20</v>
      </c>
      <c r="G821" t="s">
        <v>2493</v>
      </c>
      <c r="H821">
        <v>0</v>
      </c>
      <c r="I821">
        <v>0</v>
      </c>
      <c r="J821">
        <v>0</v>
      </c>
      <c r="K821" t="s">
        <v>286</v>
      </c>
      <c r="L821" t="s">
        <v>1494</v>
      </c>
      <c r="M821">
        <v>0</v>
      </c>
      <c r="N821">
        <v>0</v>
      </c>
      <c r="O821" s="1">
        <v>4226818533017260</v>
      </c>
      <c r="Q821" t="b">
        <v>0</v>
      </c>
    </row>
    <row r="822" spans="1:17" x14ac:dyDescent="0.35">
      <c r="A822" t="s">
        <v>2494</v>
      </c>
      <c r="B822" t="s">
        <v>18</v>
      </c>
      <c r="C822" t="s">
        <v>2495</v>
      </c>
      <c r="D822">
        <v>0</v>
      </c>
      <c r="E822" t="s">
        <v>2496</v>
      </c>
      <c r="F822" t="s">
        <v>20</v>
      </c>
      <c r="G822" t="s">
        <v>2497</v>
      </c>
      <c r="H822">
        <v>0</v>
      </c>
      <c r="I822">
        <v>0</v>
      </c>
      <c r="J822">
        <v>0</v>
      </c>
      <c r="K822" t="s">
        <v>286</v>
      </c>
      <c r="L822" t="s">
        <v>1494</v>
      </c>
      <c r="M822">
        <v>0</v>
      </c>
      <c r="N822">
        <v>0</v>
      </c>
      <c r="O822" s="1">
        <v>4226847052905350</v>
      </c>
      <c r="Q822" t="b">
        <v>0</v>
      </c>
    </row>
    <row r="823" spans="1:17" x14ac:dyDescent="0.35">
      <c r="A823" t="s">
        <v>2498</v>
      </c>
      <c r="B823" t="s">
        <v>18</v>
      </c>
      <c r="C823" t="s">
        <v>2499</v>
      </c>
      <c r="D823">
        <v>0</v>
      </c>
      <c r="E823" t="s">
        <v>2500</v>
      </c>
      <c r="F823" t="s">
        <v>20</v>
      </c>
      <c r="G823" t="s">
        <v>2501</v>
      </c>
      <c r="H823" s="1">
        <v>1.28916666666666E+16</v>
      </c>
      <c r="I823">
        <v>0</v>
      </c>
      <c r="J823" t="s">
        <v>2502</v>
      </c>
      <c r="K823" s="1">
        <v>2.9E+16</v>
      </c>
      <c r="L823" s="1">
        <v>1.404E+16</v>
      </c>
      <c r="M823">
        <v>0</v>
      </c>
      <c r="N823">
        <v>0</v>
      </c>
      <c r="O823" s="1">
        <v>4226875572793430</v>
      </c>
      <c r="Q823" t="b">
        <v>0</v>
      </c>
    </row>
    <row r="824" spans="1:17" x14ac:dyDescent="0.35">
      <c r="A824" t="s">
        <v>2503</v>
      </c>
      <c r="B824" t="s">
        <v>18</v>
      </c>
      <c r="C824" t="s">
        <v>2504</v>
      </c>
      <c r="D824">
        <v>0</v>
      </c>
      <c r="E824" t="s">
        <v>2505</v>
      </c>
      <c r="F824" t="s">
        <v>20</v>
      </c>
      <c r="G824" t="s">
        <v>2506</v>
      </c>
      <c r="H824" s="1">
        <v>1.28916666666666E+16</v>
      </c>
      <c r="I824">
        <v>0</v>
      </c>
      <c r="J824" t="s">
        <v>2502</v>
      </c>
      <c r="K824" s="1">
        <v>2.9E+16</v>
      </c>
      <c r="L824" s="1">
        <v>1.404E+16</v>
      </c>
      <c r="M824">
        <v>0</v>
      </c>
      <c r="N824">
        <v>0</v>
      </c>
      <c r="O824" s="1">
        <v>4226904092681510</v>
      </c>
      <c r="Q824" t="b">
        <v>0</v>
      </c>
    </row>
    <row r="825" spans="1:17" x14ac:dyDescent="0.35">
      <c r="A825" t="s">
        <v>2507</v>
      </c>
      <c r="B825" t="s">
        <v>18</v>
      </c>
      <c r="C825" t="s">
        <v>2508</v>
      </c>
      <c r="D825">
        <v>0</v>
      </c>
      <c r="E825" t="s">
        <v>2509</v>
      </c>
      <c r="F825" t="s">
        <v>20</v>
      </c>
      <c r="G825" t="s">
        <v>2510</v>
      </c>
      <c r="H825" s="1">
        <v>1.28916666666666E+16</v>
      </c>
      <c r="I825">
        <v>0</v>
      </c>
      <c r="J825" t="s">
        <v>2502</v>
      </c>
      <c r="K825" s="1">
        <v>2.9E+16</v>
      </c>
      <c r="L825" s="1">
        <v>1.404E+16</v>
      </c>
      <c r="M825">
        <v>0</v>
      </c>
      <c r="N825">
        <v>0</v>
      </c>
      <c r="O825" s="1">
        <v>4226932612569590</v>
      </c>
      <c r="Q825" t="b">
        <v>0</v>
      </c>
    </row>
    <row r="826" spans="1:17" x14ac:dyDescent="0.35">
      <c r="A826" t="s">
        <v>2511</v>
      </c>
      <c r="B826" t="s">
        <v>18</v>
      </c>
      <c r="C826" t="s">
        <v>2512</v>
      </c>
      <c r="D826">
        <v>0</v>
      </c>
      <c r="E826" t="s">
        <v>2513</v>
      </c>
      <c r="F826" t="s">
        <v>20</v>
      </c>
      <c r="G826" t="s">
        <v>2514</v>
      </c>
      <c r="H826" s="1">
        <v>1.28916666666666E+16</v>
      </c>
      <c r="I826">
        <v>0</v>
      </c>
      <c r="J826" t="s">
        <v>2502</v>
      </c>
      <c r="K826" s="1">
        <v>2.9E+16</v>
      </c>
      <c r="L826" s="1">
        <v>1.404E+16</v>
      </c>
      <c r="M826">
        <v>0</v>
      </c>
      <c r="N826">
        <v>0</v>
      </c>
      <c r="O826" s="1">
        <v>4226961132457670</v>
      </c>
      <c r="Q826" t="b">
        <v>0</v>
      </c>
    </row>
    <row r="827" spans="1:17" x14ac:dyDescent="0.35">
      <c r="A827" t="s">
        <v>2515</v>
      </c>
      <c r="B827" t="s">
        <v>18</v>
      </c>
      <c r="C827" t="s">
        <v>2516</v>
      </c>
      <c r="D827">
        <v>0</v>
      </c>
      <c r="E827" t="s">
        <v>2517</v>
      </c>
      <c r="F827" t="s">
        <v>20</v>
      </c>
      <c r="G827" t="s">
        <v>2518</v>
      </c>
      <c r="H827" s="1">
        <v>2.05533333333333E+16</v>
      </c>
      <c r="I827">
        <v>0</v>
      </c>
      <c r="J827" t="s">
        <v>2519</v>
      </c>
      <c r="K827" t="s">
        <v>2520</v>
      </c>
      <c r="L827" t="s">
        <v>63</v>
      </c>
      <c r="M827">
        <v>0</v>
      </c>
      <c r="N827">
        <v>0</v>
      </c>
      <c r="O827" s="1">
        <v>4226989652345750</v>
      </c>
      <c r="Q827" t="b">
        <v>0</v>
      </c>
    </row>
    <row r="828" spans="1:17" x14ac:dyDescent="0.35">
      <c r="A828" t="s">
        <v>2521</v>
      </c>
      <c r="B828" t="s">
        <v>18</v>
      </c>
      <c r="C828" t="s">
        <v>2522</v>
      </c>
      <c r="D828">
        <v>0</v>
      </c>
      <c r="E828" t="s">
        <v>2523</v>
      </c>
      <c r="F828" t="s">
        <v>20</v>
      </c>
      <c r="G828" t="s">
        <v>2524</v>
      </c>
      <c r="H828" s="1">
        <v>2.05533333333333E+16</v>
      </c>
      <c r="I828">
        <v>0</v>
      </c>
      <c r="J828" t="s">
        <v>2519</v>
      </c>
      <c r="K828" t="s">
        <v>2520</v>
      </c>
      <c r="L828" t="s">
        <v>63</v>
      </c>
      <c r="M828">
        <v>0</v>
      </c>
      <c r="N828">
        <v>0</v>
      </c>
      <c r="O828" s="1">
        <v>422701817223384</v>
      </c>
      <c r="Q828" t="b">
        <v>0</v>
      </c>
    </row>
    <row r="829" spans="1:17" x14ac:dyDescent="0.35">
      <c r="A829" t="s">
        <v>2525</v>
      </c>
      <c r="B829" t="s">
        <v>18</v>
      </c>
      <c r="C829" t="s">
        <v>2526</v>
      </c>
      <c r="D829">
        <v>0</v>
      </c>
      <c r="E829" t="s">
        <v>2527</v>
      </c>
      <c r="F829" t="s">
        <v>20</v>
      </c>
      <c r="G829" t="s">
        <v>2528</v>
      </c>
      <c r="H829" s="1">
        <v>2.05533333333333E+16</v>
      </c>
      <c r="I829">
        <v>0</v>
      </c>
      <c r="J829" t="s">
        <v>2519</v>
      </c>
      <c r="K829" t="s">
        <v>2520</v>
      </c>
      <c r="L829" t="s">
        <v>63</v>
      </c>
      <c r="M829">
        <v>0</v>
      </c>
      <c r="N829">
        <v>0</v>
      </c>
      <c r="O829" s="1">
        <v>4227046692121920</v>
      </c>
      <c r="Q829" t="b">
        <v>0</v>
      </c>
    </row>
    <row r="830" spans="1:17" x14ac:dyDescent="0.35">
      <c r="A830" t="s">
        <v>2529</v>
      </c>
      <c r="B830" t="s">
        <v>18</v>
      </c>
      <c r="C830" t="s">
        <v>2530</v>
      </c>
      <c r="D830">
        <v>0</v>
      </c>
      <c r="E830" t="s">
        <v>2531</v>
      </c>
      <c r="F830" t="s">
        <v>20</v>
      </c>
      <c r="G830" t="s">
        <v>2532</v>
      </c>
      <c r="H830" s="1">
        <v>2.05533333333333E+16</v>
      </c>
      <c r="I830">
        <v>0</v>
      </c>
      <c r="J830" t="s">
        <v>2519</v>
      </c>
      <c r="K830" t="s">
        <v>2520</v>
      </c>
      <c r="L830" t="s">
        <v>63</v>
      </c>
      <c r="M830">
        <v>0</v>
      </c>
      <c r="N830">
        <v>0</v>
      </c>
      <c r="O830" s="1">
        <v>4227075212010000</v>
      </c>
      <c r="Q830" t="b">
        <v>0</v>
      </c>
    </row>
    <row r="831" spans="1:17" x14ac:dyDescent="0.35">
      <c r="A831" t="s">
        <v>2533</v>
      </c>
      <c r="B831" t="s">
        <v>18</v>
      </c>
      <c r="C831" t="s">
        <v>2534</v>
      </c>
      <c r="D831">
        <v>0</v>
      </c>
      <c r="E831" t="s">
        <v>2535</v>
      </c>
      <c r="F831" t="s">
        <v>20</v>
      </c>
      <c r="G831" t="s">
        <v>2536</v>
      </c>
      <c r="H831" s="1">
        <v>2.06016666666666E+16</v>
      </c>
      <c r="I831">
        <v>0</v>
      </c>
      <c r="J831">
        <v>118</v>
      </c>
      <c r="K831" t="s">
        <v>2537</v>
      </c>
      <c r="L831" t="s">
        <v>60</v>
      </c>
      <c r="M831">
        <v>0</v>
      </c>
      <c r="N831">
        <v>0</v>
      </c>
      <c r="O831" s="1">
        <v>4227103731898080</v>
      </c>
      <c r="Q831" t="b">
        <v>0</v>
      </c>
    </row>
    <row r="832" spans="1:17" x14ac:dyDescent="0.35">
      <c r="A832" t="s">
        <v>2538</v>
      </c>
      <c r="B832" t="s">
        <v>18</v>
      </c>
      <c r="C832" t="s">
        <v>2539</v>
      </c>
      <c r="D832">
        <v>0</v>
      </c>
      <c r="E832" t="s">
        <v>2540</v>
      </c>
      <c r="F832" t="s">
        <v>20</v>
      </c>
      <c r="G832" t="s">
        <v>2541</v>
      </c>
      <c r="H832" s="1">
        <v>2.06016666666666E+16</v>
      </c>
      <c r="I832">
        <v>0</v>
      </c>
      <c r="J832">
        <v>118</v>
      </c>
      <c r="K832" t="s">
        <v>2537</v>
      </c>
      <c r="L832" t="s">
        <v>60</v>
      </c>
      <c r="M832">
        <v>0</v>
      </c>
      <c r="N832">
        <v>0</v>
      </c>
      <c r="O832" s="1">
        <v>4227132251786160</v>
      </c>
      <c r="Q832" t="b">
        <v>0</v>
      </c>
    </row>
    <row r="833" spans="1:17" x14ac:dyDescent="0.35">
      <c r="A833" t="s">
        <v>2542</v>
      </c>
      <c r="B833" t="s">
        <v>18</v>
      </c>
      <c r="C833" t="s">
        <v>2543</v>
      </c>
      <c r="D833">
        <v>0</v>
      </c>
      <c r="E833" t="s">
        <v>2544</v>
      </c>
      <c r="F833" t="s">
        <v>20</v>
      </c>
      <c r="G833" t="s">
        <v>2545</v>
      </c>
      <c r="H833" s="1">
        <v>2.06016666666666E+16</v>
      </c>
      <c r="I833">
        <v>0</v>
      </c>
      <c r="J833">
        <v>118</v>
      </c>
      <c r="K833" t="s">
        <v>2537</v>
      </c>
      <c r="L833" t="s">
        <v>60</v>
      </c>
      <c r="M833">
        <v>0</v>
      </c>
      <c r="N833">
        <v>0</v>
      </c>
      <c r="O833" s="1">
        <v>4227160771674240</v>
      </c>
      <c r="Q833" t="b">
        <v>0</v>
      </c>
    </row>
    <row r="834" spans="1:17" x14ac:dyDescent="0.35">
      <c r="A834" t="s">
        <v>2546</v>
      </c>
      <c r="B834" t="s">
        <v>18</v>
      </c>
      <c r="C834" t="s">
        <v>2547</v>
      </c>
      <c r="D834">
        <v>0</v>
      </c>
      <c r="E834" t="s">
        <v>2548</v>
      </c>
      <c r="F834" t="s">
        <v>20</v>
      </c>
      <c r="G834" t="s">
        <v>2549</v>
      </c>
      <c r="H834" s="1">
        <v>2.06016666666666E+16</v>
      </c>
      <c r="I834">
        <v>0</v>
      </c>
      <c r="J834">
        <v>118</v>
      </c>
      <c r="K834" t="s">
        <v>2537</v>
      </c>
      <c r="L834" t="s">
        <v>60</v>
      </c>
      <c r="M834">
        <v>0</v>
      </c>
      <c r="N834">
        <v>0</v>
      </c>
      <c r="O834" s="1">
        <v>4227189291562320</v>
      </c>
      <c r="Q834" t="b">
        <v>0</v>
      </c>
    </row>
    <row r="835" spans="1:17" x14ac:dyDescent="0.35">
      <c r="A835" t="s">
        <v>2550</v>
      </c>
      <c r="B835" t="s">
        <v>18</v>
      </c>
      <c r="C835" t="s">
        <v>2551</v>
      </c>
      <c r="D835">
        <v>0</v>
      </c>
      <c r="E835" t="s">
        <v>2552</v>
      </c>
      <c r="F835" t="s">
        <v>20</v>
      </c>
      <c r="G835" t="s">
        <v>2553</v>
      </c>
      <c r="H835" s="1">
        <v>2.04316666666666E+16</v>
      </c>
      <c r="I835">
        <v>0</v>
      </c>
      <c r="J835" t="s">
        <v>2554</v>
      </c>
      <c r="K835">
        <v>5</v>
      </c>
      <c r="L835" t="s">
        <v>973</v>
      </c>
      <c r="M835">
        <v>0</v>
      </c>
      <c r="N835">
        <v>0</v>
      </c>
      <c r="O835" s="1">
        <v>422721781145041</v>
      </c>
      <c r="Q835" t="b">
        <v>0</v>
      </c>
    </row>
    <row r="836" spans="1:17" x14ac:dyDescent="0.35">
      <c r="A836" t="s">
        <v>2555</v>
      </c>
      <c r="B836" t="s">
        <v>18</v>
      </c>
      <c r="C836" t="s">
        <v>2556</v>
      </c>
      <c r="D836">
        <v>0</v>
      </c>
      <c r="E836" t="s">
        <v>2557</v>
      </c>
      <c r="F836" t="s">
        <v>20</v>
      </c>
      <c r="G836" t="s">
        <v>2558</v>
      </c>
      <c r="H836" s="1">
        <v>2.04316666666666E+16</v>
      </c>
      <c r="I836">
        <v>0</v>
      </c>
      <c r="J836" t="s">
        <v>2554</v>
      </c>
      <c r="K836">
        <v>5</v>
      </c>
      <c r="L836" t="s">
        <v>973</v>
      </c>
      <c r="M836">
        <v>0</v>
      </c>
      <c r="N836">
        <v>0</v>
      </c>
      <c r="O836" s="1">
        <v>4227246331338490</v>
      </c>
      <c r="Q836" t="b">
        <v>0</v>
      </c>
    </row>
    <row r="837" spans="1:17" x14ac:dyDescent="0.35">
      <c r="A837" t="s">
        <v>2559</v>
      </c>
      <c r="B837" t="s">
        <v>18</v>
      </c>
      <c r="C837" t="s">
        <v>2560</v>
      </c>
      <c r="D837">
        <v>0</v>
      </c>
      <c r="E837" t="s">
        <v>2561</v>
      </c>
      <c r="F837" t="s">
        <v>20</v>
      </c>
      <c r="G837" t="s">
        <v>2562</v>
      </c>
      <c r="H837" s="1">
        <v>2.04316666666666E+16</v>
      </c>
      <c r="I837">
        <v>0</v>
      </c>
      <c r="J837" t="s">
        <v>2554</v>
      </c>
      <c r="K837">
        <v>5</v>
      </c>
      <c r="L837" t="s">
        <v>973</v>
      </c>
      <c r="M837">
        <v>0</v>
      </c>
      <c r="N837">
        <v>0</v>
      </c>
      <c r="O837" s="1">
        <v>4227274851226570</v>
      </c>
      <c r="Q837" t="b">
        <v>0</v>
      </c>
    </row>
    <row r="838" spans="1:17" x14ac:dyDescent="0.35">
      <c r="A838" t="s">
        <v>2563</v>
      </c>
      <c r="B838" t="s">
        <v>18</v>
      </c>
      <c r="C838" t="s">
        <v>2564</v>
      </c>
      <c r="D838">
        <v>0</v>
      </c>
      <c r="E838" t="s">
        <v>2565</v>
      </c>
      <c r="F838" t="s">
        <v>20</v>
      </c>
      <c r="G838" t="s">
        <v>2566</v>
      </c>
      <c r="H838" s="1">
        <v>2.04316666666666E+16</v>
      </c>
      <c r="I838">
        <v>0</v>
      </c>
      <c r="J838" t="s">
        <v>2554</v>
      </c>
      <c r="K838">
        <v>5</v>
      </c>
      <c r="L838" t="s">
        <v>973</v>
      </c>
      <c r="M838">
        <v>0</v>
      </c>
      <c r="N838">
        <v>0</v>
      </c>
      <c r="O838" s="1">
        <v>4.2273033711146496E+16</v>
      </c>
      <c r="Q838" t="b">
        <v>0</v>
      </c>
    </row>
    <row r="839" spans="1:17" x14ac:dyDescent="0.35">
      <c r="A839" t="s">
        <v>2567</v>
      </c>
      <c r="B839" t="s">
        <v>18</v>
      </c>
      <c r="C839" t="s">
        <v>2568</v>
      </c>
      <c r="D839">
        <v>0</v>
      </c>
      <c r="E839" t="s">
        <v>2569</v>
      </c>
      <c r="F839" t="s">
        <v>20</v>
      </c>
      <c r="G839" t="s">
        <v>2570</v>
      </c>
      <c r="H839" s="1">
        <v>1.97116666666666E+16</v>
      </c>
      <c r="I839">
        <v>0</v>
      </c>
      <c r="J839">
        <v>146</v>
      </c>
      <c r="K839" t="s">
        <v>116</v>
      </c>
      <c r="L839" s="1">
        <v>1.476E+16</v>
      </c>
      <c r="M839">
        <v>0</v>
      </c>
      <c r="N839">
        <v>0</v>
      </c>
      <c r="O839" s="1">
        <v>4227331891002730</v>
      </c>
      <c r="Q839" t="b">
        <v>0</v>
      </c>
    </row>
    <row r="840" spans="1:17" x14ac:dyDescent="0.35">
      <c r="A840" t="s">
        <v>2571</v>
      </c>
      <c r="B840" t="s">
        <v>18</v>
      </c>
      <c r="C840" t="s">
        <v>2572</v>
      </c>
      <c r="D840">
        <v>0</v>
      </c>
      <c r="E840" t="s">
        <v>2573</v>
      </c>
      <c r="F840" t="s">
        <v>20</v>
      </c>
      <c r="G840" t="s">
        <v>2574</v>
      </c>
      <c r="H840" s="1">
        <v>1.97116666666666E+16</v>
      </c>
      <c r="I840">
        <v>0</v>
      </c>
      <c r="J840">
        <v>146</v>
      </c>
      <c r="K840" t="s">
        <v>116</v>
      </c>
      <c r="L840" s="1">
        <v>1.476E+16</v>
      </c>
      <c r="M840">
        <v>0</v>
      </c>
      <c r="N840">
        <v>0</v>
      </c>
      <c r="O840" s="1">
        <v>4227360410890810</v>
      </c>
      <c r="Q840" t="b">
        <v>0</v>
      </c>
    </row>
    <row r="841" spans="1:17" x14ac:dyDescent="0.35">
      <c r="A841" t="s">
        <v>2575</v>
      </c>
      <c r="B841" t="s">
        <v>18</v>
      </c>
      <c r="C841" t="s">
        <v>2576</v>
      </c>
      <c r="D841">
        <v>0</v>
      </c>
      <c r="E841" t="s">
        <v>2577</v>
      </c>
      <c r="F841" t="s">
        <v>20</v>
      </c>
      <c r="G841" t="s">
        <v>2578</v>
      </c>
      <c r="H841" s="1">
        <v>1.97116666666666E+16</v>
      </c>
      <c r="I841">
        <v>0</v>
      </c>
      <c r="J841">
        <v>146</v>
      </c>
      <c r="K841" t="s">
        <v>116</v>
      </c>
      <c r="L841" s="1">
        <v>1.476E+16</v>
      </c>
      <c r="M841">
        <v>0</v>
      </c>
      <c r="N841">
        <v>0</v>
      </c>
      <c r="O841" s="1">
        <v>4.2273889307789E+16</v>
      </c>
      <c r="Q841" t="b">
        <v>0</v>
      </c>
    </row>
    <row r="842" spans="1:17" x14ac:dyDescent="0.35">
      <c r="A842" t="s">
        <v>2579</v>
      </c>
      <c r="B842" t="s">
        <v>18</v>
      </c>
      <c r="C842" t="s">
        <v>2580</v>
      </c>
      <c r="D842">
        <v>0</v>
      </c>
      <c r="E842" t="s">
        <v>2581</v>
      </c>
      <c r="F842" t="s">
        <v>20</v>
      </c>
      <c r="G842" t="s">
        <v>2582</v>
      </c>
      <c r="H842" s="1">
        <v>1.97116666666666E+16</v>
      </c>
      <c r="I842">
        <v>0</v>
      </c>
      <c r="J842">
        <v>146</v>
      </c>
      <c r="K842" t="s">
        <v>116</v>
      </c>
      <c r="L842" s="1">
        <v>1.476E+16</v>
      </c>
      <c r="M842">
        <v>0</v>
      </c>
      <c r="N842">
        <v>0</v>
      </c>
      <c r="O842" s="1">
        <v>4227417450666980</v>
      </c>
      <c r="Q842" t="b">
        <v>0</v>
      </c>
    </row>
    <row r="843" spans="1:17" x14ac:dyDescent="0.35">
      <c r="A843" t="s">
        <v>2583</v>
      </c>
      <c r="B843" t="s">
        <v>18</v>
      </c>
      <c r="C843" t="s">
        <v>2584</v>
      </c>
      <c r="D843">
        <v>0</v>
      </c>
      <c r="E843" t="s">
        <v>2585</v>
      </c>
      <c r="F843" t="s">
        <v>20</v>
      </c>
      <c r="G843" t="s">
        <v>2586</v>
      </c>
      <c r="H843" s="1">
        <v>1.85833333333333E+16</v>
      </c>
      <c r="I843">
        <v>0</v>
      </c>
      <c r="J843" t="s">
        <v>2587</v>
      </c>
      <c r="K843" s="1">
        <v>5449999999999990</v>
      </c>
      <c r="L843" t="s">
        <v>1494</v>
      </c>
      <c r="M843">
        <v>0</v>
      </c>
      <c r="N843">
        <v>0</v>
      </c>
      <c r="O843" s="1">
        <v>4227445970555060</v>
      </c>
      <c r="Q843" t="b">
        <v>0</v>
      </c>
    </row>
    <row r="844" spans="1:17" x14ac:dyDescent="0.35">
      <c r="A844" t="s">
        <v>2588</v>
      </c>
      <c r="B844" t="s">
        <v>18</v>
      </c>
      <c r="C844" t="s">
        <v>2589</v>
      </c>
      <c r="D844">
        <v>0</v>
      </c>
      <c r="E844" t="s">
        <v>2590</v>
      </c>
      <c r="F844" t="s">
        <v>20</v>
      </c>
      <c r="G844" t="s">
        <v>2591</v>
      </c>
      <c r="H844" s="1">
        <v>1.85833333333333E+16</v>
      </c>
      <c r="I844">
        <v>0</v>
      </c>
      <c r="J844" t="s">
        <v>2587</v>
      </c>
      <c r="K844" s="1">
        <v>5449999999999990</v>
      </c>
      <c r="L844" t="s">
        <v>1494</v>
      </c>
      <c r="M844">
        <v>0</v>
      </c>
      <c r="N844">
        <v>0</v>
      </c>
      <c r="O844" s="1">
        <v>4227474490443140</v>
      </c>
      <c r="Q844" t="b">
        <v>0</v>
      </c>
    </row>
    <row r="845" spans="1:17" x14ac:dyDescent="0.35">
      <c r="A845" t="s">
        <v>2592</v>
      </c>
      <c r="B845" t="s">
        <v>18</v>
      </c>
      <c r="C845" t="s">
        <v>2593</v>
      </c>
      <c r="D845">
        <v>0</v>
      </c>
      <c r="E845" t="s">
        <v>2594</v>
      </c>
      <c r="F845" t="s">
        <v>20</v>
      </c>
      <c r="G845" t="s">
        <v>2595</v>
      </c>
      <c r="H845" s="1">
        <v>1.85833333333333E+16</v>
      </c>
      <c r="I845">
        <v>0</v>
      </c>
      <c r="J845" t="s">
        <v>2587</v>
      </c>
      <c r="K845" s="1">
        <v>5449999999999990</v>
      </c>
      <c r="L845" t="s">
        <v>1494</v>
      </c>
      <c r="M845">
        <v>0</v>
      </c>
      <c r="N845">
        <v>0</v>
      </c>
      <c r="O845" s="1">
        <v>4227503010331220</v>
      </c>
      <c r="Q845" t="b">
        <v>0</v>
      </c>
    </row>
    <row r="846" spans="1:17" x14ac:dyDescent="0.35">
      <c r="A846" t="s">
        <v>2596</v>
      </c>
      <c r="B846" t="s">
        <v>18</v>
      </c>
      <c r="C846" t="s">
        <v>2597</v>
      </c>
      <c r="D846">
        <v>0</v>
      </c>
      <c r="E846" t="s">
        <v>2598</v>
      </c>
      <c r="F846" t="s">
        <v>20</v>
      </c>
      <c r="G846" t="s">
        <v>2599</v>
      </c>
      <c r="H846" s="1">
        <v>1.85833333333333E+16</v>
      </c>
      <c r="I846">
        <v>0</v>
      </c>
      <c r="J846" t="s">
        <v>2587</v>
      </c>
      <c r="K846" s="1">
        <v>5449999999999990</v>
      </c>
      <c r="L846" t="s">
        <v>1494</v>
      </c>
      <c r="M846">
        <v>0</v>
      </c>
      <c r="N846">
        <v>0</v>
      </c>
      <c r="O846" s="1">
        <v>4227531530219300</v>
      </c>
      <c r="Q846" t="b">
        <v>0</v>
      </c>
    </row>
    <row r="847" spans="1:17" x14ac:dyDescent="0.35">
      <c r="A847" t="s">
        <v>2600</v>
      </c>
      <c r="B847" t="s">
        <v>18</v>
      </c>
      <c r="C847" t="s">
        <v>2601</v>
      </c>
      <c r="D847">
        <v>0</v>
      </c>
      <c r="E847" t="s">
        <v>2602</v>
      </c>
      <c r="F847" t="s">
        <v>20</v>
      </c>
      <c r="G847" t="s">
        <v>2603</v>
      </c>
      <c r="H847" s="1">
        <v>1.69566666666666E+16</v>
      </c>
      <c r="I847">
        <v>0</v>
      </c>
      <c r="J847" t="s">
        <v>2604</v>
      </c>
      <c r="K847" t="s">
        <v>116</v>
      </c>
      <c r="L847" t="s">
        <v>2605</v>
      </c>
      <c r="M847">
        <v>0</v>
      </c>
      <c r="N847">
        <v>0</v>
      </c>
      <c r="O847" s="1">
        <v>422756005010739</v>
      </c>
      <c r="Q847" t="b">
        <v>0</v>
      </c>
    </row>
    <row r="848" spans="1:17" x14ac:dyDescent="0.35">
      <c r="A848" t="s">
        <v>2606</v>
      </c>
      <c r="B848" t="s">
        <v>18</v>
      </c>
      <c r="C848" t="s">
        <v>2607</v>
      </c>
      <c r="D848">
        <v>0</v>
      </c>
      <c r="E848" t="s">
        <v>2608</v>
      </c>
      <c r="F848" t="s">
        <v>20</v>
      </c>
      <c r="G848" t="s">
        <v>2609</v>
      </c>
      <c r="H848" s="1">
        <v>1.69566666666666E+16</v>
      </c>
      <c r="I848">
        <v>0</v>
      </c>
      <c r="J848" t="s">
        <v>2604</v>
      </c>
      <c r="K848" t="s">
        <v>116</v>
      </c>
      <c r="L848" t="s">
        <v>2605</v>
      </c>
      <c r="M848">
        <v>0</v>
      </c>
      <c r="N848">
        <v>0</v>
      </c>
      <c r="O848" s="1">
        <v>4227588569995470</v>
      </c>
      <c r="Q848" t="b">
        <v>0</v>
      </c>
    </row>
    <row r="849" spans="1:17" x14ac:dyDescent="0.35">
      <c r="A849" t="s">
        <v>2610</v>
      </c>
      <c r="B849" t="s">
        <v>18</v>
      </c>
      <c r="C849" t="s">
        <v>2611</v>
      </c>
      <c r="D849">
        <v>0</v>
      </c>
      <c r="E849" t="s">
        <v>2612</v>
      </c>
      <c r="F849" t="s">
        <v>20</v>
      </c>
      <c r="G849" t="s">
        <v>2613</v>
      </c>
      <c r="H849" s="1">
        <v>1.69566666666666E+16</v>
      </c>
      <c r="I849">
        <v>0</v>
      </c>
      <c r="J849" t="s">
        <v>2604</v>
      </c>
      <c r="K849" t="s">
        <v>116</v>
      </c>
      <c r="L849" t="s">
        <v>2605</v>
      </c>
      <c r="M849">
        <v>0</v>
      </c>
      <c r="N849">
        <v>0</v>
      </c>
      <c r="O849" s="1">
        <v>4227617089883550</v>
      </c>
      <c r="Q849" t="b">
        <v>0</v>
      </c>
    </row>
    <row r="850" spans="1:17" x14ac:dyDescent="0.35">
      <c r="A850" t="s">
        <v>2614</v>
      </c>
      <c r="B850" t="s">
        <v>18</v>
      </c>
      <c r="C850" t="s">
        <v>2615</v>
      </c>
      <c r="D850">
        <v>0</v>
      </c>
      <c r="E850" t="s">
        <v>2616</v>
      </c>
      <c r="F850" t="s">
        <v>20</v>
      </c>
      <c r="G850" t="s">
        <v>2617</v>
      </c>
      <c r="H850" s="1">
        <v>1.69566666666666E+16</v>
      </c>
      <c r="I850">
        <v>0</v>
      </c>
      <c r="J850" t="s">
        <v>2604</v>
      </c>
      <c r="K850" t="s">
        <v>116</v>
      </c>
      <c r="L850" t="s">
        <v>2605</v>
      </c>
      <c r="M850">
        <v>0</v>
      </c>
      <c r="N850">
        <v>0</v>
      </c>
      <c r="O850" s="1">
        <v>4227645609771630</v>
      </c>
      <c r="Q850" t="b">
        <v>0</v>
      </c>
    </row>
    <row r="851" spans="1:17" x14ac:dyDescent="0.35">
      <c r="A851" t="s">
        <v>2618</v>
      </c>
      <c r="B851" t="s">
        <v>18</v>
      </c>
      <c r="C851" t="s">
        <v>2619</v>
      </c>
      <c r="D851">
        <v>0</v>
      </c>
      <c r="E851" t="s">
        <v>2620</v>
      </c>
      <c r="F851" t="s">
        <v>20</v>
      </c>
      <c r="G851" t="s">
        <v>2621</v>
      </c>
      <c r="H851" s="1">
        <v>1.47466666666666E+16</v>
      </c>
      <c r="I851">
        <v>0</v>
      </c>
      <c r="J851">
        <v>58</v>
      </c>
      <c r="K851" t="s">
        <v>2622</v>
      </c>
      <c r="L851" t="s">
        <v>2623</v>
      </c>
      <c r="M851">
        <v>0</v>
      </c>
      <c r="N851">
        <v>0</v>
      </c>
      <c r="O851" s="1">
        <v>4227674129659710</v>
      </c>
      <c r="Q851" t="b">
        <v>0</v>
      </c>
    </row>
    <row r="852" spans="1:17" x14ac:dyDescent="0.35">
      <c r="A852" t="s">
        <v>2624</v>
      </c>
      <c r="B852" t="s">
        <v>18</v>
      </c>
      <c r="C852" t="s">
        <v>2625</v>
      </c>
      <c r="D852">
        <v>0</v>
      </c>
      <c r="E852">
        <v>0</v>
      </c>
      <c r="F852" t="s">
        <v>20</v>
      </c>
      <c r="G852" t="s">
        <v>2626</v>
      </c>
      <c r="H852" s="1">
        <v>1.47466666666666E+16</v>
      </c>
      <c r="I852">
        <v>0</v>
      </c>
      <c r="J852">
        <v>58</v>
      </c>
      <c r="K852" t="s">
        <v>2622</v>
      </c>
      <c r="L852" t="s">
        <v>2623</v>
      </c>
      <c r="M852">
        <v>0</v>
      </c>
      <c r="N852">
        <v>0</v>
      </c>
      <c r="O852" s="1">
        <v>4227702649547790</v>
      </c>
      <c r="Q852" t="b">
        <v>0</v>
      </c>
    </row>
    <row r="853" spans="1:17" x14ac:dyDescent="0.35">
      <c r="A853" t="s">
        <v>2627</v>
      </c>
      <c r="B853" t="s">
        <v>18</v>
      </c>
      <c r="C853" t="s">
        <v>2628</v>
      </c>
      <c r="D853">
        <v>0</v>
      </c>
      <c r="E853">
        <v>0</v>
      </c>
      <c r="F853" t="s">
        <v>20</v>
      </c>
      <c r="G853" t="s">
        <v>2629</v>
      </c>
      <c r="H853" s="1">
        <v>1.47466666666666E+16</v>
      </c>
      <c r="I853">
        <v>0</v>
      </c>
      <c r="J853">
        <v>58</v>
      </c>
      <c r="K853" t="s">
        <v>2622</v>
      </c>
      <c r="L853" t="s">
        <v>2623</v>
      </c>
      <c r="M853">
        <v>0</v>
      </c>
      <c r="N853">
        <v>0</v>
      </c>
      <c r="O853" s="1">
        <v>4227731169435870</v>
      </c>
      <c r="Q853" t="b">
        <v>0</v>
      </c>
    </row>
    <row r="854" spans="1:17" x14ac:dyDescent="0.35">
      <c r="A854" t="s">
        <v>2630</v>
      </c>
      <c r="B854" t="s">
        <v>18</v>
      </c>
      <c r="C854" t="s">
        <v>2631</v>
      </c>
      <c r="D854">
        <v>0</v>
      </c>
      <c r="E854">
        <v>0</v>
      </c>
      <c r="F854" t="s">
        <v>20</v>
      </c>
      <c r="G854" t="s">
        <v>2632</v>
      </c>
      <c r="H854" s="1">
        <v>1.47466666666666E+16</v>
      </c>
      <c r="I854">
        <v>0</v>
      </c>
      <c r="J854">
        <v>58</v>
      </c>
      <c r="K854" t="s">
        <v>2622</v>
      </c>
      <c r="L854" t="s">
        <v>2623</v>
      </c>
      <c r="M854">
        <v>0</v>
      </c>
      <c r="N854">
        <v>0</v>
      </c>
      <c r="O854" s="1">
        <v>422775968932396</v>
      </c>
      <c r="Q854" t="b">
        <v>0</v>
      </c>
    </row>
    <row r="855" spans="1:17" x14ac:dyDescent="0.35">
      <c r="A855" t="s">
        <v>2633</v>
      </c>
      <c r="B855" t="s">
        <v>18</v>
      </c>
      <c r="C855" t="s">
        <v>2634</v>
      </c>
      <c r="D855">
        <v>0</v>
      </c>
      <c r="E855">
        <v>0</v>
      </c>
      <c r="F855" t="s">
        <v>20</v>
      </c>
      <c r="G855">
        <v>0</v>
      </c>
      <c r="H855" t="s">
        <v>2635</v>
      </c>
      <c r="I855">
        <v>0</v>
      </c>
      <c r="J855" t="s">
        <v>2636</v>
      </c>
      <c r="K855" t="s">
        <v>991</v>
      </c>
      <c r="L855" s="1">
        <v>1.908E+16</v>
      </c>
      <c r="M855">
        <v>0</v>
      </c>
      <c r="N855">
        <v>0</v>
      </c>
      <c r="O855" s="1">
        <v>4227788209212040</v>
      </c>
      <c r="Q855" t="b">
        <v>0</v>
      </c>
    </row>
    <row r="856" spans="1:17" x14ac:dyDescent="0.35">
      <c r="A856" t="s">
        <v>2637</v>
      </c>
      <c r="B856" t="s">
        <v>18</v>
      </c>
      <c r="C856" t="s">
        <v>2638</v>
      </c>
      <c r="D856">
        <v>0</v>
      </c>
      <c r="E856">
        <v>0</v>
      </c>
      <c r="F856" t="s">
        <v>20</v>
      </c>
      <c r="G856">
        <v>0</v>
      </c>
      <c r="H856" t="s">
        <v>2635</v>
      </c>
      <c r="I856">
        <v>0</v>
      </c>
      <c r="J856" t="s">
        <v>2636</v>
      </c>
      <c r="K856" t="s">
        <v>991</v>
      </c>
      <c r="L856" s="1">
        <v>1.908E+16</v>
      </c>
      <c r="M856">
        <v>0</v>
      </c>
      <c r="N856">
        <v>0</v>
      </c>
      <c r="O856" s="1">
        <v>4227816729100120</v>
      </c>
      <c r="Q856" t="b">
        <v>0</v>
      </c>
    </row>
    <row r="857" spans="1:17" x14ac:dyDescent="0.35">
      <c r="A857" t="s">
        <v>2639</v>
      </c>
      <c r="B857" t="s">
        <v>18</v>
      </c>
      <c r="C857" t="s">
        <v>2640</v>
      </c>
      <c r="D857">
        <v>0</v>
      </c>
      <c r="E857">
        <v>0</v>
      </c>
      <c r="F857" t="s">
        <v>20</v>
      </c>
      <c r="G857">
        <v>0</v>
      </c>
      <c r="H857" t="s">
        <v>2635</v>
      </c>
      <c r="I857">
        <v>0</v>
      </c>
      <c r="J857" t="s">
        <v>2636</v>
      </c>
      <c r="K857" t="s">
        <v>991</v>
      </c>
      <c r="L857" s="1">
        <v>1.908E+16</v>
      </c>
      <c r="M857">
        <v>0</v>
      </c>
      <c r="N857">
        <v>0</v>
      </c>
      <c r="O857" s="1">
        <v>4.2278452489882E+16</v>
      </c>
      <c r="Q857" t="b">
        <v>0</v>
      </c>
    </row>
    <row r="858" spans="1:17" x14ac:dyDescent="0.35">
      <c r="A858" t="s">
        <v>2641</v>
      </c>
      <c r="B858" t="s">
        <v>18</v>
      </c>
      <c r="C858" t="s">
        <v>2642</v>
      </c>
      <c r="D858">
        <v>0</v>
      </c>
      <c r="E858">
        <v>0</v>
      </c>
      <c r="F858" t="s">
        <v>20</v>
      </c>
      <c r="G858">
        <v>0</v>
      </c>
      <c r="H858" t="s">
        <v>2635</v>
      </c>
      <c r="I858">
        <v>0</v>
      </c>
      <c r="J858" t="s">
        <v>2636</v>
      </c>
      <c r="K858" t="s">
        <v>991</v>
      </c>
      <c r="L858" s="1">
        <v>1.908E+16</v>
      </c>
      <c r="M858">
        <v>0</v>
      </c>
      <c r="N858">
        <v>0</v>
      </c>
      <c r="O858" s="1">
        <v>4227873768876280</v>
      </c>
      <c r="Q858" t="b">
        <v>0</v>
      </c>
    </row>
    <row r="859" spans="1:17" x14ac:dyDescent="0.35">
      <c r="A859" t="s">
        <v>2643</v>
      </c>
      <c r="B859" t="s">
        <v>18</v>
      </c>
      <c r="C859" t="s">
        <v>2644</v>
      </c>
      <c r="D859">
        <v>0</v>
      </c>
      <c r="E859">
        <v>0</v>
      </c>
      <c r="F859" t="s">
        <v>20</v>
      </c>
      <c r="G859">
        <v>0</v>
      </c>
      <c r="H859">
        <v>0</v>
      </c>
      <c r="I859">
        <v>0</v>
      </c>
      <c r="J859">
        <v>0</v>
      </c>
      <c r="K859" t="s">
        <v>2645</v>
      </c>
      <c r="L859" s="1">
        <v>2.124E+16</v>
      </c>
      <c r="M859">
        <v>0</v>
      </c>
      <c r="N859">
        <v>0</v>
      </c>
      <c r="O859" s="1">
        <v>4227902288764360</v>
      </c>
      <c r="Q859" t="b">
        <v>0</v>
      </c>
    </row>
    <row r="860" spans="1:17" x14ac:dyDescent="0.35">
      <c r="A860" t="s">
        <v>2646</v>
      </c>
      <c r="B860" t="s">
        <v>18</v>
      </c>
      <c r="C860" t="s">
        <v>2647</v>
      </c>
      <c r="D860">
        <v>0</v>
      </c>
      <c r="E860">
        <v>0</v>
      </c>
      <c r="F860" t="s">
        <v>20</v>
      </c>
      <c r="G860">
        <v>0</v>
      </c>
      <c r="H860">
        <v>0</v>
      </c>
      <c r="I860">
        <v>0</v>
      </c>
      <c r="J860">
        <v>0</v>
      </c>
      <c r="K860" t="s">
        <v>2645</v>
      </c>
      <c r="L860" s="1">
        <v>2.124E+16</v>
      </c>
      <c r="M860">
        <v>0</v>
      </c>
      <c r="N860">
        <v>0</v>
      </c>
      <c r="O860" s="1">
        <v>422793080865245</v>
      </c>
      <c r="Q860" t="b">
        <v>0</v>
      </c>
    </row>
    <row r="861" spans="1:17" x14ac:dyDescent="0.35">
      <c r="A861" t="s">
        <v>2648</v>
      </c>
      <c r="B861" t="s">
        <v>18</v>
      </c>
      <c r="C861" t="s">
        <v>2649</v>
      </c>
      <c r="D861">
        <v>0</v>
      </c>
      <c r="E861">
        <v>0</v>
      </c>
      <c r="F861" t="s">
        <v>20</v>
      </c>
      <c r="G861">
        <v>0</v>
      </c>
      <c r="H861">
        <v>0</v>
      </c>
      <c r="I861">
        <v>0</v>
      </c>
      <c r="J861">
        <v>0</v>
      </c>
      <c r="K861" t="s">
        <v>2645</v>
      </c>
      <c r="L861" s="1">
        <v>2.124E+16</v>
      </c>
      <c r="M861">
        <v>0</v>
      </c>
      <c r="N861">
        <v>0</v>
      </c>
      <c r="O861" s="1">
        <v>4227959328540530</v>
      </c>
      <c r="Q861" t="b">
        <v>0</v>
      </c>
    </row>
    <row r="862" spans="1:17" x14ac:dyDescent="0.35">
      <c r="A862" t="s">
        <v>2650</v>
      </c>
      <c r="B862" t="s">
        <v>18</v>
      </c>
      <c r="C862" t="s">
        <v>2651</v>
      </c>
      <c r="D862">
        <v>0</v>
      </c>
      <c r="E862">
        <v>0</v>
      </c>
      <c r="F862" t="s">
        <v>20</v>
      </c>
      <c r="G862">
        <v>0</v>
      </c>
      <c r="H862">
        <v>0</v>
      </c>
      <c r="I862">
        <v>0</v>
      </c>
      <c r="J862">
        <v>0</v>
      </c>
      <c r="K862" t="s">
        <v>2645</v>
      </c>
      <c r="L862" s="1">
        <v>2.124E+16</v>
      </c>
      <c r="M862">
        <v>0</v>
      </c>
      <c r="N862">
        <v>0</v>
      </c>
      <c r="O862" s="1">
        <v>4227987848428610</v>
      </c>
      <c r="Q862" t="b">
        <v>0</v>
      </c>
    </row>
    <row r="863" spans="1:17" x14ac:dyDescent="0.35">
      <c r="A863" t="s">
        <v>2652</v>
      </c>
      <c r="B863" t="s">
        <v>18</v>
      </c>
      <c r="C863" t="s">
        <v>2653</v>
      </c>
      <c r="D863">
        <v>0</v>
      </c>
      <c r="E863">
        <v>0</v>
      </c>
      <c r="F863" t="s">
        <v>20</v>
      </c>
      <c r="G863">
        <v>0</v>
      </c>
      <c r="H863">
        <v>0</v>
      </c>
      <c r="I863">
        <v>0</v>
      </c>
      <c r="J863">
        <v>0</v>
      </c>
      <c r="K863" t="s">
        <v>1280</v>
      </c>
      <c r="L863" t="s">
        <v>2654</v>
      </c>
      <c r="M863">
        <v>0</v>
      </c>
      <c r="N863">
        <v>0</v>
      </c>
      <c r="O863" s="1">
        <v>4228016368316690</v>
      </c>
      <c r="Q863" t="b">
        <v>0</v>
      </c>
    </row>
    <row r="864" spans="1:17" x14ac:dyDescent="0.35">
      <c r="A864" t="s">
        <v>2655</v>
      </c>
      <c r="B864" t="s">
        <v>18</v>
      </c>
      <c r="C864" t="s">
        <v>2656</v>
      </c>
      <c r="D864">
        <v>0</v>
      </c>
      <c r="E864">
        <v>0</v>
      </c>
      <c r="F864" t="s">
        <v>20</v>
      </c>
      <c r="G864">
        <v>0</v>
      </c>
      <c r="H864">
        <v>0</v>
      </c>
      <c r="I864">
        <v>0</v>
      </c>
      <c r="J864">
        <v>0</v>
      </c>
      <c r="K864" t="s">
        <v>1280</v>
      </c>
      <c r="L864" t="s">
        <v>2654</v>
      </c>
      <c r="M864">
        <v>0</v>
      </c>
      <c r="N864">
        <v>0</v>
      </c>
      <c r="O864" s="1">
        <v>4228044888204770</v>
      </c>
      <c r="Q864" t="b">
        <v>0</v>
      </c>
    </row>
    <row r="865" spans="1:17" x14ac:dyDescent="0.35">
      <c r="A865" t="s">
        <v>2657</v>
      </c>
      <c r="B865" t="s">
        <v>18</v>
      </c>
      <c r="C865" t="s">
        <v>2658</v>
      </c>
      <c r="D865">
        <v>0</v>
      </c>
      <c r="E865">
        <v>0</v>
      </c>
      <c r="F865" t="s">
        <v>20</v>
      </c>
      <c r="G865">
        <v>0</v>
      </c>
      <c r="H865">
        <v>0</v>
      </c>
      <c r="I865">
        <v>0</v>
      </c>
      <c r="J865">
        <v>0</v>
      </c>
      <c r="K865" t="s">
        <v>1280</v>
      </c>
      <c r="L865" t="s">
        <v>2654</v>
      </c>
      <c r="M865">
        <v>0</v>
      </c>
      <c r="N865">
        <v>0</v>
      </c>
      <c r="O865" s="1">
        <v>4.2280734080928496E+16</v>
      </c>
      <c r="Q865" t="b">
        <v>0</v>
      </c>
    </row>
    <row r="866" spans="1:17" x14ac:dyDescent="0.35">
      <c r="A866" t="s">
        <v>2659</v>
      </c>
      <c r="B866" t="s">
        <v>18</v>
      </c>
      <c r="C866" t="s">
        <v>2660</v>
      </c>
      <c r="D866">
        <v>0</v>
      </c>
      <c r="E866">
        <v>0</v>
      </c>
      <c r="F866" t="s">
        <v>20</v>
      </c>
      <c r="G866">
        <v>0</v>
      </c>
      <c r="H866">
        <v>0</v>
      </c>
      <c r="I866">
        <v>0</v>
      </c>
      <c r="J866">
        <v>0</v>
      </c>
      <c r="K866" t="s">
        <v>1280</v>
      </c>
      <c r="L866" t="s">
        <v>2654</v>
      </c>
      <c r="M866">
        <v>0</v>
      </c>
      <c r="N866">
        <v>0</v>
      </c>
      <c r="O866" s="1">
        <v>422810192798094</v>
      </c>
      <c r="Q866" t="b">
        <v>0</v>
      </c>
    </row>
    <row r="867" spans="1:17" x14ac:dyDescent="0.35">
      <c r="A867" t="s">
        <v>2661</v>
      </c>
      <c r="B867" t="s">
        <v>18</v>
      </c>
      <c r="C867" t="s">
        <v>2662</v>
      </c>
      <c r="D867">
        <v>0</v>
      </c>
      <c r="E867">
        <v>0</v>
      </c>
      <c r="F867" t="s">
        <v>20</v>
      </c>
      <c r="G867">
        <v>0</v>
      </c>
      <c r="H867">
        <v>0</v>
      </c>
      <c r="I867">
        <v>0</v>
      </c>
      <c r="J867">
        <v>0</v>
      </c>
      <c r="K867" t="s">
        <v>2663</v>
      </c>
      <c r="L867" t="s">
        <v>1121</v>
      </c>
      <c r="M867">
        <v>0</v>
      </c>
      <c r="N867">
        <v>0</v>
      </c>
      <c r="O867" s="1">
        <v>4228130447869020</v>
      </c>
      <c r="Q867" t="b">
        <v>0</v>
      </c>
    </row>
    <row r="868" spans="1:17" x14ac:dyDescent="0.35">
      <c r="A868" t="s">
        <v>2664</v>
      </c>
      <c r="B868" t="s">
        <v>18</v>
      </c>
      <c r="C868" t="s">
        <v>2665</v>
      </c>
      <c r="D868">
        <v>0</v>
      </c>
      <c r="E868">
        <v>0</v>
      </c>
      <c r="F868" t="s">
        <v>20</v>
      </c>
      <c r="G868">
        <v>0</v>
      </c>
      <c r="H868">
        <v>0</v>
      </c>
      <c r="I868">
        <v>0</v>
      </c>
      <c r="J868">
        <v>0</v>
      </c>
      <c r="K868" t="s">
        <v>2663</v>
      </c>
      <c r="L868" t="s">
        <v>1121</v>
      </c>
      <c r="M868">
        <v>0</v>
      </c>
      <c r="N868">
        <v>0</v>
      </c>
      <c r="O868" s="1">
        <v>4.2281589677571E+16</v>
      </c>
      <c r="Q868" t="b">
        <v>0</v>
      </c>
    </row>
    <row r="869" spans="1:17" x14ac:dyDescent="0.35">
      <c r="A869" t="s">
        <v>2666</v>
      </c>
      <c r="B869" t="s">
        <v>18</v>
      </c>
      <c r="C869" t="s">
        <v>2667</v>
      </c>
      <c r="D869">
        <v>0</v>
      </c>
      <c r="E869">
        <v>0</v>
      </c>
      <c r="F869" t="s">
        <v>20</v>
      </c>
      <c r="G869">
        <v>0</v>
      </c>
      <c r="H869">
        <v>0</v>
      </c>
      <c r="I869">
        <v>0</v>
      </c>
      <c r="J869">
        <v>0</v>
      </c>
      <c r="K869" t="s">
        <v>2663</v>
      </c>
      <c r="L869" t="s">
        <v>1121</v>
      </c>
      <c r="M869">
        <v>0</v>
      </c>
      <c r="N869">
        <v>0</v>
      </c>
      <c r="O869" s="1">
        <v>4228187487645180</v>
      </c>
      <c r="Q869" t="b">
        <v>0</v>
      </c>
    </row>
    <row r="870" spans="1:17" x14ac:dyDescent="0.35">
      <c r="A870" t="s">
        <v>2668</v>
      </c>
      <c r="B870" t="s">
        <v>18</v>
      </c>
      <c r="C870" t="s">
        <v>2669</v>
      </c>
      <c r="D870">
        <v>0</v>
      </c>
      <c r="E870">
        <v>0</v>
      </c>
      <c r="F870" t="s">
        <v>20</v>
      </c>
      <c r="G870">
        <v>0</v>
      </c>
      <c r="H870">
        <v>0</v>
      </c>
      <c r="I870">
        <v>0</v>
      </c>
      <c r="J870">
        <v>0</v>
      </c>
      <c r="K870" t="s">
        <v>2663</v>
      </c>
      <c r="L870" t="s">
        <v>1121</v>
      </c>
      <c r="M870">
        <v>0</v>
      </c>
      <c r="N870">
        <v>0</v>
      </c>
      <c r="O870" s="1">
        <v>4228216007533260</v>
      </c>
      <c r="Q870" t="b">
        <v>0</v>
      </c>
    </row>
    <row r="871" spans="1:17" x14ac:dyDescent="0.35">
      <c r="A871" t="s">
        <v>2670</v>
      </c>
      <c r="B871" t="s">
        <v>18</v>
      </c>
      <c r="C871" t="s">
        <v>2671</v>
      </c>
      <c r="D871">
        <v>0</v>
      </c>
      <c r="E871">
        <v>0</v>
      </c>
      <c r="F871" t="s">
        <v>20</v>
      </c>
      <c r="G871">
        <v>0</v>
      </c>
      <c r="H871">
        <v>0</v>
      </c>
      <c r="I871">
        <v>0</v>
      </c>
      <c r="J871">
        <v>0</v>
      </c>
      <c r="K871" t="s">
        <v>2672</v>
      </c>
      <c r="L871" t="s">
        <v>2623</v>
      </c>
      <c r="M871">
        <v>0</v>
      </c>
      <c r="N871">
        <v>0</v>
      </c>
      <c r="O871" s="1">
        <v>4228244527421340</v>
      </c>
      <c r="Q871" t="b">
        <v>0</v>
      </c>
    </row>
    <row r="872" spans="1:17" x14ac:dyDescent="0.35">
      <c r="A872" t="s">
        <v>2673</v>
      </c>
      <c r="B872" t="s">
        <v>18</v>
      </c>
      <c r="C872" t="s">
        <v>2674</v>
      </c>
      <c r="D872">
        <v>0</v>
      </c>
      <c r="E872">
        <v>0</v>
      </c>
      <c r="F872" t="s">
        <v>20</v>
      </c>
      <c r="G872">
        <v>0</v>
      </c>
      <c r="H872">
        <v>0</v>
      </c>
      <c r="I872">
        <v>0</v>
      </c>
      <c r="J872">
        <v>0</v>
      </c>
      <c r="K872" t="s">
        <v>2672</v>
      </c>
      <c r="L872" t="s">
        <v>2623</v>
      </c>
      <c r="M872">
        <v>0</v>
      </c>
      <c r="N872">
        <v>0</v>
      </c>
      <c r="O872" s="1">
        <v>4228273047309420</v>
      </c>
      <c r="Q872" t="b">
        <v>0</v>
      </c>
    </row>
    <row r="873" spans="1:17" x14ac:dyDescent="0.35">
      <c r="A873" t="s">
        <v>2675</v>
      </c>
      <c r="B873" t="s">
        <v>18</v>
      </c>
      <c r="C873" t="s">
        <v>2676</v>
      </c>
      <c r="D873">
        <v>0</v>
      </c>
      <c r="E873">
        <v>0</v>
      </c>
      <c r="F873" t="s">
        <v>20</v>
      </c>
      <c r="G873">
        <v>0</v>
      </c>
      <c r="H873">
        <v>0</v>
      </c>
      <c r="I873">
        <v>0</v>
      </c>
      <c r="J873">
        <v>0</v>
      </c>
      <c r="K873" t="s">
        <v>2672</v>
      </c>
      <c r="L873" t="s">
        <v>2623</v>
      </c>
      <c r="M873">
        <v>0</v>
      </c>
      <c r="N873">
        <v>0</v>
      </c>
      <c r="O873" s="1">
        <v>422830156719751</v>
      </c>
      <c r="Q873" t="b">
        <v>0</v>
      </c>
    </row>
    <row r="874" spans="1:17" x14ac:dyDescent="0.35">
      <c r="A874" t="s">
        <v>2677</v>
      </c>
      <c r="B874" t="s">
        <v>18</v>
      </c>
      <c r="C874" t="s">
        <v>2678</v>
      </c>
      <c r="D874">
        <v>0</v>
      </c>
      <c r="E874">
        <v>0</v>
      </c>
      <c r="F874" t="s">
        <v>20</v>
      </c>
      <c r="G874">
        <v>0</v>
      </c>
      <c r="H874">
        <v>0</v>
      </c>
      <c r="I874">
        <v>0</v>
      </c>
      <c r="J874">
        <v>0</v>
      </c>
      <c r="K874" t="s">
        <v>2672</v>
      </c>
      <c r="L874" t="s">
        <v>2623</v>
      </c>
      <c r="M874">
        <v>0</v>
      </c>
      <c r="N874">
        <v>0</v>
      </c>
      <c r="O874" s="1">
        <v>4228330087085590</v>
      </c>
      <c r="Q874" t="b">
        <v>0</v>
      </c>
    </row>
    <row r="875" spans="1:17" x14ac:dyDescent="0.35">
      <c r="A875" t="s">
        <v>2679</v>
      </c>
      <c r="B875" t="s">
        <v>18</v>
      </c>
      <c r="C875" t="s">
        <v>2680</v>
      </c>
      <c r="D875">
        <v>0</v>
      </c>
      <c r="E875">
        <v>0</v>
      </c>
      <c r="F875" t="s">
        <v>20</v>
      </c>
      <c r="G875">
        <v>0</v>
      </c>
      <c r="H875">
        <v>0</v>
      </c>
      <c r="I875">
        <v>0</v>
      </c>
      <c r="J875">
        <v>0</v>
      </c>
      <c r="K875" t="s">
        <v>2681</v>
      </c>
      <c r="L875" s="1">
        <v>1.386E+16</v>
      </c>
      <c r="M875">
        <v>0</v>
      </c>
      <c r="N875">
        <v>0</v>
      </c>
      <c r="O875" s="1">
        <v>4228358606973670</v>
      </c>
      <c r="Q875" t="b">
        <v>0</v>
      </c>
    </row>
    <row r="876" spans="1:17" x14ac:dyDescent="0.35">
      <c r="A876" t="s">
        <v>2682</v>
      </c>
      <c r="B876" t="s">
        <v>18</v>
      </c>
      <c r="C876" t="s">
        <v>2683</v>
      </c>
      <c r="D876">
        <v>0</v>
      </c>
      <c r="E876">
        <v>0</v>
      </c>
      <c r="F876" t="s">
        <v>20</v>
      </c>
      <c r="G876">
        <v>0</v>
      </c>
      <c r="H876">
        <v>0</v>
      </c>
      <c r="I876">
        <v>0</v>
      </c>
      <c r="J876">
        <v>0</v>
      </c>
      <c r="K876" t="s">
        <v>2681</v>
      </c>
      <c r="L876" s="1">
        <v>1.386E+16</v>
      </c>
      <c r="M876">
        <v>0</v>
      </c>
      <c r="N876">
        <v>0</v>
      </c>
      <c r="O876" s="1">
        <v>4228387126861750</v>
      </c>
      <c r="Q876" t="b">
        <v>0</v>
      </c>
    </row>
    <row r="877" spans="1:17" x14ac:dyDescent="0.35">
      <c r="A877" t="s">
        <v>2684</v>
      </c>
      <c r="B877" t="s">
        <v>18</v>
      </c>
      <c r="C877" t="s">
        <v>2685</v>
      </c>
      <c r="D877">
        <v>0</v>
      </c>
      <c r="E877">
        <v>0</v>
      </c>
      <c r="F877" t="s">
        <v>20</v>
      </c>
      <c r="G877">
        <v>0</v>
      </c>
      <c r="H877">
        <v>0</v>
      </c>
      <c r="I877">
        <v>0</v>
      </c>
      <c r="J877">
        <v>0</v>
      </c>
      <c r="K877" t="s">
        <v>2681</v>
      </c>
      <c r="L877" s="1">
        <v>1.386E+16</v>
      </c>
      <c r="M877">
        <v>0</v>
      </c>
      <c r="N877">
        <v>0</v>
      </c>
      <c r="O877" s="1">
        <v>4228415646749830</v>
      </c>
      <c r="Q877" t="b">
        <v>0</v>
      </c>
    </row>
    <row r="878" spans="1:17" x14ac:dyDescent="0.35">
      <c r="A878" t="s">
        <v>2686</v>
      </c>
      <c r="B878" t="s">
        <v>18</v>
      </c>
      <c r="C878" t="s">
        <v>2687</v>
      </c>
      <c r="D878">
        <v>0</v>
      </c>
      <c r="E878">
        <v>0</v>
      </c>
      <c r="F878" t="s">
        <v>20</v>
      </c>
      <c r="G878">
        <v>0</v>
      </c>
      <c r="H878">
        <v>0</v>
      </c>
      <c r="I878">
        <v>0</v>
      </c>
      <c r="J878">
        <v>0</v>
      </c>
      <c r="K878" t="s">
        <v>2681</v>
      </c>
      <c r="L878" s="1">
        <v>1.386E+16</v>
      </c>
      <c r="M878">
        <v>0</v>
      </c>
      <c r="N878">
        <v>0</v>
      </c>
      <c r="O878" s="1">
        <v>4228444166637910</v>
      </c>
      <c r="Q878" t="b">
        <v>0</v>
      </c>
    </row>
    <row r="879" spans="1:17" x14ac:dyDescent="0.35">
      <c r="A879" t="s">
        <v>2688</v>
      </c>
      <c r="B879" t="s">
        <v>18</v>
      </c>
      <c r="C879" t="s">
        <v>2689</v>
      </c>
      <c r="D879">
        <v>0</v>
      </c>
      <c r="E879">
        <v>0</v>
      </c>
      <c r="F879" t="s">
        <v>20</v>
      </c>
      <c r="G879">
        <v>0</v>
      </c>
      <c r="H879">
        <v>0</v>
      </c>
      <c r="I879">
        <v>0</v>
      </c>
      <c r="J879">
        <v>0</v>
      </c>
      <c r="K879" t="s">
        <v>885</v>
      </c>
      <c r="L879" s="1">
        <v>1.044E+16</v>
      </c>
      <c r="M879">
        <v>0</v>
      </c>
      <c r="N879">
        <v>0</v>
      </c>
      <c r="O879" s="1">
        <v>4228472686526</v>
      </c>
      <c r="Q879" t="b">
        <v>0</v>
      </c>
    </row>
    <row r="880" spans="1:17" x14ac:dyDescent="0.35">
      <c r="A880" t="s">
        <v>2690</v>
      </c>
      <c r="B880" t="s">
        <v>18</v>
      </c>
      <c r="C880" t="s">
        <v>2691</v>
      </c>
      <c r="D880">
        <v>0</v>
      </c>
      <c r="E880">
        <v>0</v>
      </c>
      <c r="F880" t="s">
        <v>20</v>
      </c>
      <c r="G880">
        <v>0</v>
      </c>
      <c r="H880">
        <v>0</v>
      </c>
      <c r="I880">
        <v>0</v>
      </c>
      <c r="J880">
        <v>0</v>
      </c>
      <c r="K880" t="s">
        <v>885</v>
      </c>
      <c r="L880" s="1">
        <v>1.044E+16</v>
      </c>
      <c r="M880">
        <v>0</v>
      </c>
      <c r="N880">
        <v>0</v>
      </c>
      <c r="O880" s="1">
        <v>4228501206414080</v>
      </c>
      <c r="Q880" t="b">
        <v>0</v>
      </c>
    </row>
    <row r="881" spans="1:17" x14ac:dyDescent="0.35">
      <c r="A881" t="s">
        <v>2692</v>
      </c>
      <c r="B881" t="s">
        <v>18</v>
      </c>
      <c r="C881" t="s">
        <v>2693</v>
      </c>
      <c r="D881">
        <v>0</v>
      </c>
      <c r="E881">
        <v>0</v>
      </c>
      <c r="F881" t="s">
        <v>20</v>
      </c>
      <c r="G881">
        <v>0</v>
      </c>
      <c r="H881">
        <v>0</v>
      </c>
      <c r="I881">
        <v>0</v>
      </c>
      <c r="J881">
        <v>0</v>
      </c>
      <c r="K881" t="s">
        <v>885</v>
      </c>
      <c r="L881" s="1">
        <v>1.044E+16</v>
      </c>
      <c r="M881">
        <v>0</v>
      </c>
      <c r="N881">
        <v>0</v>
      </c>
      <c r="O881" s="1">
        <v>4228529726302160</v>
      </c>
      <c r="Q881" t="b">
        <v>0</v>
      </c>
    </row>
    <row r="882" spans="1:17" x14ac:dyDescent="0.35">
      <c r="A882" t="s">
        <v>2694</v>
      </c>
      <c r="B882" t="s">
        <v>18</v>
      </c>
      <c r="C882" t="s">
        <v>2695</v>
      </c>
      <c r="D882">
        <v>0</v>
      </c>
      <c r="E882">
        <v>0</v>
      </c>
      <c r="F882" t="s">
        <v>20</v>
      </c>
      <c r="G882">
        <v>0</v>
      </c>
      <c r="H882">
        <v>0</v>
      </c>
      <c r="I882">
        <v>0</v>
      </c>
      <c r="J882">
        <v>0</v>
      </c>
      <c r="K882" t="s">
        <v>885</v>
      </c>
      <c r="L882" s="1">
        <v>1.044E+16</v>
      </c>
      <c r="M882">
        <v>0</v>
      </c>
      <c r="N882">
        <v>0</v>
      </c>
      <c r="O882" s="1">
        <v>4228558246190240</v>
      </c>
      <c r="Q882" t="b">
        <v>0</v>
      </c>
    </row>
    <row r="883" spans="1:17" x14ac:dyDescent="0.35">
      <c r="A883" t="s">
        <v>2696</v>
      </c>
      <c r="B883" t="s">
        <v>18</v>
      </c>
      <c r="C883" t="s">
        <v>2697</v>
      </c>
      <c r="D883">
        <v>0</v>
      </c>
      <c r="E883">
        <v>0</v>
      </c>
      <c r="F883" t="s">
        <v>20</v>
      </c>
      <c r="G883">
        <v>0</v>
      </c>
      <c r="H883">
        <v>0</v>
      </c>
      <c r="I883">
        <v>0</v>
      </c>
      <c r="J883">
        <v>0</v>
      </c>
      <c r="K883" t="s">
        <v>1003</v>
      </c>
      <c r="L883" t="s">
        <v>164</v>
      </c>
      <c r="M883">
        <v>0</v>
      </c>
      <c r="N883">
        <v>0</v>
      </c>
      <c r="O883" s="1">
        <v>4228586766078320</v>
      </c>
      <c r="Q883" t="b">
        <v>0</v>
      </c>
    </row>
    <row r="884" spans="1:17" x14ac:dyDescent="0.35">
      <c r="A884" t="s">
        <v>2698</v>
      </c>
      <c r="B884" t="s">
        <v>18</v>
      </c>
      <c r="C884" t="s">
        <v>2699</v>
      </c>
      <c r="D884">
        <v>0</v>
      </c>
      <c r="E884">
        <v>0</v>
      </c>
      <c r="F884" t="s">
        <v>20</v>
      </c>
      <c r="G884">
        <v>0</v>
      </c>
      <c r="H884">
        <v>0</v>
      </c>
      <c r="I884">
        <v>0</v>
      </c>
      <c r="J884">
        <v>0</v>
      </c>
      <c r="K884" t="s">
        <v>1003</v>
      </c>
      <c r="L884" t="s">
        <v>164</v>
      </c>
      <c r="M884">
        <v>0</v>
      </c>
      <c r="N884">
        <v>0</v>
      </c>
      <c r="O884" s="1">
        <v>4.2286152859664E+16</v>
      </c>
      <c r="Q884" t="b">
        <v>0</v>
      </c>
    </row>
    <row r="885" spans="1:17" x14ac:dyDescent="0.35">
      <c r="A885" t="s">
        <v>2700</v>
      </c>
      <c r="B885" t="s">
        <v>18</v>
      </c>
      <c r="C885" t="s">
        <v>2701</v>
      </c>
      <c r="D885">
        <v>0</v>
      </c>
      <c r="E885">
        <v>0</v>
      </c>
      <c r="F885" t="s">
        <v>20</v>
      </c>
      <c r="G885">
        <v>0</v>
      </c>
      <c r="H885">
        <v>0</v>
      </c>
      <c r="I885">
        <v>0</v>
      </c>
      <c r="J885">
        <v>0</v>
      </c>
      <c r="K885" t="s">
        <v>1003</v>
      </c>
      <c r="L885" t="s">
        <v>164</v>
      </c>
      <c r="M885">
        <v>0</v>
      </c>
      <c r="N885">
        <v>0</v>
      </c>
      <c r="O885" s="1">
        <v>422864380585449</v>
      </c>
      <c r="Q885" t="b">
        <v>0</v>
      </c>
    </row>
    <row r="886" spans="1:17" x14ac:dyDescent="0.35">
      <c r="A886" t="s">
        <v>2702</v>
      </c>
      <c r="B886" t="s">
        <v>18</v>
      </c>
      <c r="C886" t="s">
        <v>2703</v>
      </c>
      <c r="D886">
        <v>0</v>
      </c>
      <c r="E886">
        <v>0</v>
      </c>
      <c r="F886" t="s">
        <v>20</v>
      </c>
      <c r="G886">
        <v>0</v>
      </c>
      <c r="H886">
        <v>0</v>
      </c>
      <c r="I886">
        <v>0</v>
      </c>
      <c r="J886">
        <v>0</v>
      </c>
      <c r="K886" t="s">
        <v>1003</v>
      </c>
      <c r="L886" t="s">
        <v>164</v>
      </c>
      <c r="M886">
        <v>0</v>
      </c>
      <c r="N886">
        <v>0</v>
      </c>
      <c r="O886" s="1">
        <v>4228672325742570</v>
      </c>
      <c r="Q886" t="b">
        <v>0</v>
      </c>
    </row>
    <row r="887" spans="1:17" x14ac:dyDescent="0.35">
      <c r="A887" t="s">
        <v>2704</v>
      </c>
      <c r="B887" t="s">
        <v>18</v>
      </c>
      <c r="C887" t="s">
        <v>2705</v>
      </c>
      <c r="D887">
        <v>0</v>
      </c>
      <c r="E887">
        <v>0</v>
      </c>
      <c r="F887" t="s">
        <v>20</v>
      </c>
      <c r="G887">
        <v>0</v>
      </c>
      <c r="H887">
        <v>0</v>
      </c>
      <c r="I887">
        <v>0</v>
      </c>
      <c r="J887">
        <v>0</v>
      </c>
      <c r="K887" t="s">
        <v>2353</v>
      </c>
      <c r="L887" t="s">
        <v>373</v>
      </c>
      <c r="M887">
        <v>0</v>
      </c>
      <c r="N887">
        <v>0</v>
      </c>
      <c r="O887" s="1">
        <v>4.2287008456306496E+16</v>
      </c>
      <c r="Q887" t="b">
        <v>0</v>
      </c>
    </row>
    <row r="888" spans="1:17" x14ac:dyDescent="0.35">
      <c r="A888" t="s">
        <v>2706</v>
      </c>
      <c r="B888" t="s">
        <v>18</v>
      </c>
      <c r="C888" t="s">
        <v>2707</v>
      </c>
      <c r="D888">
        <v>0</v>
      </c>
      <c r="E888">
        <v>0</v>
      </c>
      <c r="F888" t="s">
        <v>20</v>
      </c>
      <c r="G888">
        <v>0</v>
      </c>
      <c r="H888">
        <v>0</v>
      </c>
      <c r="I888">
        <v>0</v>
      </c>
      <c r="J888">
        <v>0</v>
      </c>
      <c r="K888" t="s">
        <v>2353</v>
      </c>
      <c r="L888" t="s">
        <v>373</v>
      </c>
      <c r="M888">
        <v>0</v>
      </c>
      <c r="N888">
        <v>0</v>
      </c>
      <c r="O888" s="1">
        <v>4228729365518730</v>
      </c>
      <c r="Q888" t="b">
        <v>0</v>
      </c>
    </row>
    <row r="889" spans="1:17" x14ac:dyDescent="0.35">
      <c r="A889" t="s">
        <v>2708</v>
      </c>
      <c r="B889" t="s">
        <v>18</v>
      </c>
      <c r="C889" t="s">
        <v>2709</v>
      </c>
      <c r="D889">
        <v>0</v>
      </c>
      <c r="E889">
        <v>0</v>
      </c>
      <c r="F889" t="s">
        <v>20</v>
      </c>
      <c r="G889">
        <v>0</v>
      </c>
      <c r="H889">
        <v>0</v>
      </c>
      <c r="I889">
        <v>0</v>
      </c>
      <c r="J889">
        <v>0</v>
      </c>
      <c r="K889" t="s">
        <v>2353</v>
      </c>
      <c r="L889" t="s">
        <v>373</v>
      </c>
      <c r="M889">
        <v>0</v>
      </c>
      <c r="N889">
        <v>0</v>
      </c>
      <c r="O889" s="1">
        <v>4228757885406810</v>
      </c>
      <c r="Q889" t="b">
        <v>0</v>
      </c>
    </row>
    <row r="890" spans="1:17" x14ac:dyDescent="0.35">
      <c r="A890" t="s">
        <v>2710</v>
      </c>
      <c r="B890" t="s">
        <v>18</v>
      </c>
      <c r="C890" t="s">
        <v>2711</v>
      </c>
      <c r="D890">
        <v>0</v>
      </c>
      <c r="E890">
        <v>0</v>
      </c>
      <c r="F890" t="s">
        <v>20</v>
      </c>
      <c r="G890">
        <v>0</v>
      </c>
      <c r="H890">
        <v>0</v>
      </c>
      <c r="I890">
        <v>0</v>
      </c>
      <c r="J890">
        <v>0</v>
      </c>
      <c r="K890" t="s">
        <v>2353</v>
      </c>
      <c r="L890" t="s">
        <v>373</v>
      </c>
      <c r="M890">
        <v>0</v>
      </c>
      <c r="N890">
        <v>0</v>
      </c>
      <c r="O890" s="1">
        <v>4228786405294890</v>
      </c>
      <c r="Q890" t="b">
        <v>0</v>
      </c>
    </row>
    <row r="891" spans="1:17" x14ac:dyDescent="0.35">
      <c r="A891" t="s">
        <v>2712</v>
      </c>
      <c r="B891" t="s">
        <v>18</v>
      </c>
      <c r="C891" t="s">
        <v>2713</v>
      </c>
      <c r="D891">
        <v>0</v>
      </c>
      <c r="E891">
        <v>0</v>
      </c>
      <c r="F891" t="s">
        <v>20</v>
      </c>
      <c r="G891">
        <v>0</v>
      </c>
      <c r="H891">
        <v>0</v>
      </c>
      <c r="I891">
        <v>0</v>
      </c>
      <c r="J891">
        <v>0</v>
      </c>
      <c r="K891" t="s">
        <v>2019</v>
      </c>
      <c r="L891" s="1">
        <v>1.26E+16</v>
      </c>
      <c r="M891">
        <v>0</v>
      </c>
      <c r="N891">
        <v>0</v>
      </c>
      <c r="O891" s="1">
        <v>4228814925182970</v>
      </c>
      <c r="Q891" t="b">
        <v>0</v>
      </c>
    </row>
    <row r="892" spans="1:17" x14ac:dyDescent="0.35">
      <c r="A892" t="s">
        <v>2714</v>
      </c>
      <c r="B892" t="s">
        <v>18</v>
      </c>
      <c r="C892" t="s">
        <v>2715</v>
      </c>
      <c r="D892">
        <v>0</v>
      </c>
      <c r="E892">
        <v>0</v>
      </c>
      <c r="F892" t="s">
        <v>20</v>
      </c>
      <c r="G892">
        <v>0</v>
      </c>
      <c r="H892">
        <v>0</v>
      </c>
      <c r="I892">
        <v>0</v>
      </c>
      <c r="J892">
        <v>0</v>
      </c>
      <c r="K892" t="s">
        <v>2019</v>
      </c>
      <c r="L892" s="1">
        <v>1.26E+16</v>
      </c>
      <c r="M892">
        <v>0</v>
      </c>
      <c r="N892">
        <v>0</v>
      </c>
      <c r="O892" s="1">
        <v>422884344507106</v>
      </c>
      <c r="Q892" t="b">
        <v>0</v>
      </c>
    </row>
    <row r="893" spans="1:17" x14ac:dyDescent="0.35">
      <c r="A893" t="s">
        <v>2716</v>
      </c>
      <c r="B893" t="s">
        <v>18</v>
      </c>
      <c r="C893" t="s">
        <v>2717</v>
      </c>
      <c r="D893">
        <v>0</v>
      </c>
      <c r="E893">
        <v>0</v>
      </c>
      <c r="F893" t="s">
        <v>20</v>
      </c>
      <c r="G893">
        <v>0</v>
      </c>
      <c r="H893">
        <v>0</v>
      </c>
      <c r="I893">
        <v>0</v>
      </c>
      <c r="J893">
        <v>0</v>
      </c>
      <c r="K893" t="s">
        <v>2019</v>
      </c>
      <c r="L893" s="1">
        <v>1.26E+16</v>
      </c>
      <c r="M893">
        <v>0</v>
      </c>
      <c r="N893">
        <v>0</v>
      </c>
      <c r="O893" s="1">
        <v>4228871964959140</v>
      </c>
      <c r="Q893" t="b">
        <v>0</v>
      </c>
    </row>
    <row r="894" spans="1:17" x14ac:dyDescent="0.35">
      <c r="A894" t="s">
        <v>2718</v>
      </c>
      <c r="B894" t="s">
        <v>18</v>
      </c>
      <c r="C894" t="s">
        <v>2719</v>
      </c>
      <c r="D894">
        <v>0</v>
      </c>
      <c r="E894">
        <v>0</v>
      </c>
      <c r="F894" t="s">
        <v>20</v>
      </c>
      <c r="G894">
        <v>0</v>
      </c>
      <c r="H894">
        <v>0</v>
      </c>
      <c r="I894">
        <v>0</v>
      </c>
      <c r="J894">
        <v>0</v>
      </c>
      <c r="K894" t="s">
        <v>2019</v>
      </c>
      <c r="L894" s="1">
        <v>1.26E+16</v>
      </c>
      <c r="M894">
        <v>0</v>
      </c>
      <c r="N894">
        <v>0</v>
      </c>
      <c r="O894" s="1">
        <v>4228900484847220</v>
      </c>
      <c r="Q894" t="b">
        <v>0</v>
      </c>
    </row>
    <row r="895" spans="1:17" x14ac:dyDescent="0.35">
      <c r="A895" t="s">
        <v>2720</v>
      </c>
      <c r="B895" t="s">
        <v>18</v>
      </c>
      <c r="C895" t="s">
        <v>2721</v>
      </c>
      <c r="D895">
        <v>0</v>
      </c>
      <c r="E895">
        <v>0</v>
      </c>
      <c r="F895" t="s">
        <v>20</v>
      </c>
      <c r="G895">
        <v>0</v>
      </c>
      <c r="H895">
        <v>0</v>
      </c>
      <c r="I895">
        <v>0</v>
      </c>
      <c r="J895">
        <v>0</v>
      </c>
      <c r="K895" t="s">
        <v>1290</v>
      </c>
      <c r="L895" s="1">
        <v>1.94399999999999E+16</v>
      </c>
      <c r="M895">
        <v>0</v>
      </c>
      <c r="N895">
        <v>0</v>
      </c>
      <c r="O895" s="1">
        <v>4228929004735300</v>
      </c>
      <c r="Q895" t="b">
        <v>0</v>
      </c>
    </row>
    <row r="896" spans="1:17" x14ac:dyDescent="0.35">
      <c r="A896" t="s">
        <v>2722</v>
      </c>
      <c r="B896" t="s">
        <v>18</v>
      </c>
      <c r="C896" t="s">
        <v>2723</v>
      </c>
      <c r="D896">
        <v>0</v>
      </c>
      <c r="E896">
        <v>0</v>
      </c>
      <c r="F896" t="s">
        <v>20</v>
      </c>
      <c r="G896">
        <v>0</v>
      </c>
      <c r="H896">
        <v>0</v>
      </c>
      <c r="I896">
        <v>0</v>
      </c>
      <c r="J896">
        <v>0</v>
      </c>
      <c r="K896" t="s">
        <v>1290</v>
      </c>
      <c r="L896" s="1">
        <v>1.94399999999999E+16</v>
      </c>
      <c r="M896">
        <v>0</v>
      </c>
      <c r="N896">
        <v>0</v>
      </c>
      <c r="O896" s="1">
        <v>4228957524623380</v>
      </c>
      <c r="Q896" t="b">
        <v>0</v>
      </c>
    </row>
    <row r="897" spans="1:17" x14ac:dyDescent="0.35">
      <c r="A897" t="s">
        <v>2724</v>
      </c>
      <c r="B897" t="s">
        <v>18</v>
      </c>
      <c r="C897" t="s">
        <v>2725</v>
      </c>
      <c r="D897">
        <v>0</v>
      </c>
      <c r="E897">
        <v>0</v>
      </c>
      <c r="F897" t="s">
        <v>20</v>
      </c>
      <c r="G897">
        <v>0</v>
      </c>
      <c r="H897">
        <v>0</v>
      </c>
      <c r="I897">
        <v>0</v>
      </c>
      <c r="J897">
        <v>0</v>
      </c>
      <c r="K897" t="s">
        <v>1290</v>
      </c>
      <c r="L897" s="1">
        <v>1.94399999999999E+16</v>
      </c>
      <c r="M897">
        <v>0</v>
      </c>
      <c r="N897">
        <v>0</v>
      </c>
      <c r="O897" s="1">
        <v>4228986044511460</v>
      </c>
      <c r="Q897" t="b">
        <v>0</v>
      </c>
    </row>
    <row r="898" spans="1:17" x14ac:dyDescent="0.35">
      <c r="A898" t="s">
        <v>2726</v>
      </c>
      <c r="B898" t="s">
        <v>18</v>
      </c>
      <c r="C898" t="s">
        <v>2727</v>
      </c>
      <c r="D898">
        <v>0</v>
      </c>
      <c r="E898">
        <v>0</v>
      </c>
      <c r="F898" t="s">
        <v>20</v>
      </c>
      <c r="G898">
        <v>0</v>
      </c>
      <c r="H898">
        <v>0</v>
      </c>
      <c r="I898">
        <v>0</v>
      </c>
      <c r="J898">
        <v>0</v>
      </c>
      <c r="K898" t="s">
        <v>1290</v>
      </c>
      <c r="L898" s="1">
        <v>1.94399999999999E+16</v>
      </c>
      <c r="M898">
        <v>0</v>
      </c>
      <c r="N898">
        <v>0</v>
      </c>
      <c r="O898" s="1">
        <v>422901456439955</v>
      </c>
      <c r="Q898" t="b">
        <v>0</v>
      </c>
    </row>
    <row r="899" spans="1:17" x14ac:dyDescent="0.35">
      <c r="A899" t="s">
        <v>2728</v>
      </c>
      <c r="B899" t="s">
        <v>18</v>
      </c>
      <c r="C899" t="s">
        <v>2729</v>
      </c>
      <c r="D899">
        <v>0</v>
      </c>
      <c r="E899">
        <v>0</v>
      </c>
      <c r="F899" t="s">
        <v>20</v>
      </c>
      <c r="G899">
        <v>0</v>
      </c>
      <c r="H899">
        <v>0</v>
      </c>
      <c r="I899">
        <v>0</v>
      </c>
      <c r="J899">
        <v>0</v>
      </c>
      <c r="K899" t="s">
        <v>2537</v>
      </c>
      <c r="L899" t="s">
        <v>2730</v>
      </c>
      <c r="M899">
        <v>0</v>
      </c>
      <c r="N899">
        <v>0</v>
      </c>
      <c r="O899" s="1">
        <v>4229043084287630</v>
      </c>
      <c r="Q899" t="b">
        <v>0</v>
      </c>
    </row>
    <row r="900" spans="1:17" x14ac:dyDescent="0.35">
      <c r="A900" t="s">
        <v>2731</v>
      </c>
      <c r="B900" t="s">
        <v>18</v>
      </c>
      <c r="C900" t="s">
        <v>2732</v>
      </c>
      <c r="D900">
        <v>0</v>
      </c>
      <c r="E900">
        <v>0</v>
      </c>
      <c r="F900" t="s">
        <v>20</v>
      </c>
      <c r="G900">
        <v>0</v>
      </c>
      <c r="H900">
        <v>0</v>
      </c>
      <c r="I900">
        <v>0</v>
      </c>
      <c r="J900">
        <v>0</v>
      </c>
      <c r="K900" t="s">
        <v>2537</v>
      </c>
      <c r="L900" t="s">
        <v>2730</v>
      </c>
      <c r="M900">
        <v>0</v>
      </c>
      <c r="N900">
        <v>0</v>
      </c>
      <c r="O900" s="1">
        <v>4229071604175710</v>
      </c>
      <c r="Q900" t="b">
        <v>0</v>
      </c>
    </row>
    <row r="901" spans="1:17" x14ac:dyDescent="0.35">
      <c r="A901" t="s">
        <v>2733</v>
      </c>
      <c r="B901" t="s">
        <v>18</v>
      </c>
      <c r="C901" t="s">
        <v>2734</v>
      </c>
      <c r="D901">
        <v>0</v>
      </c>
      <c r="E901">
        <v>0</v>
      </c>
      <c r="F901" t="s">
        <v>20</v>
      </c>
      <c r="G901">
        <v>0</v>
      </c>
      <c r="H901">
        <v>0</v>
      </c>
      <c r="I901">
        <v>0</v>
      </c>
      <c r="J901">
        <v>0</v>
      </c>
      <c r="K901" t="s">
        <v>2537</v>
      </c>
      <c r="L901" t="s">
        <v>2730</v>
      </c>
      <c r="M901">
        <v>0</v>
      </c>
      <c r="N901">
        <v>0</v>
      </c>
      <c r="O901" s="1">
        <v>4229100124063790</v>
      </c>
      <c r="Q901" t="b">
        <v>0</v>
      </c>
    </row>
    <row r="902" spans="1:17" x14ac:dyDescent="0.35">
      <c r="A902" t="s">
        <v>2735</v>
      </c>
      <c r="B902" t="s">
        <v>18</v>
      </c>
      <c r="C902" t="s">
        <v>2736</v>
      </c>
      <c r="D902">
        <v>0</v>
      </c>
      <c r="E902">
        <v>0</v>
      </c>
      <c r="F902" t="s">
        <v>20</v>
      </c>
      <c r="G902">
        <v>0</v>
      </c>
      <c r="H902">
        <v>0</v>
      </c>
      <c r="I902">
        <v>0</v>
      </c>
      <c r="J902">
        <v>0</v>
      </c>
      <c r="K902" t="s">
        <v>2537</v>
      </c>
      <c r="L902" t="s">
        <v>2730</v>
      </c>
      <c r="M902">
        <v>0</v>
      </c>
      <c r="N902">
        <v>0</v>
      </c>
      <c r="O902" s="1">
        <v>4229128643951870</v>
      </c>
      <c r="Q902" t="b">
        <v>0</v>
      </c>
    </row>
    <row r="903" spans="1:17" x14ac:dyDescent="0.35">
      <c r="A903" t="s">
        <v>2737</v>
      </c>
      <c r="B903" t="s">
        <v>18</v>
      </c>
      <c r="C903" t="s">
        <v>2738</v>
      </c>
      <c r="D903">
        <v>0</v>
      </c>
      <c r="E903">
        <v>0</v>
      </c>
      <c r="F903" t="s">
        <v>20</v>
      </c>
      <c r="G903">
        <v>0</v>
      </c>
      <c r="H903">
        <v>0</v>
      </c>
      <c r="I903">
        <v>0</v>
      </c>
      <c r="J903">
        <v>0</v>
      </c>
      <c r="K903" t="s">
        <v>991</v>
      </c>
      <c r="L903" t="s">
        <v>2739</v>
      </c>
      <c r="M903">
        <v>0</v>
      </c>
      <c r="N903">
        <v>0</v>
      </c>
      <c r="O903" s="1">
        <v>4229157163839950</v>
      </c>
      <c r="Q903" t="b">
        <v>0</v>
      </c>
    </row>
    <row r="904" spans="1:17" x14ac:dyDescent="0.35">
      <c r="A904" t="s">
        <v>2740</v>
      </c>
      <c r="B904" t="s">
        <v>18</v>
      </c>
      <c r="C904" t="s">
        <v>2741</v>
      </c>
      <c r="D904">
        <v>0</v>
      </c>
      <c r="E904">
        <v>0</v>
      </c>
      <c r="F904" t="s">
        <v>20</v>
      </c>
      <c r="G904">
        <v>0</v>
      </c>
      <c r="H904">
        <v>0</v>
      </c>
      <c r="I904">
        <v>0</v>
      </c>
      <c r="J904">
        <v>0</v>
      </c>
      <c r="K904" t="s">
        <v>991</v>
      </c>
      <c r="L904" t="s">
        <v>2739</v>
      </c>
      <c r="M904">
        <v>0</v>
      </c>
      <c r="N904">
        <v>0</v>
      </c>
      <c r="O904" s="1">
        <v>4229185683728030</v>
      </c>
      <c r="Q904" t="b">
        <v>0</v>
      </c>
    </row>
    <row r="905" spans="1:17" x14ac:dyDescent="0.35">
      <c r="A905" t="s">
        <v>2742</v>
      </c>
      <c r="B905" t="s">
        <v>18</v>
      </c>
      <c r="C905" t="s">
        <v>2743</v>
      </c>
      <c r="D905">
        <v>0</v>
      </c>
      <c r="E905">
        <v>0</v>
      </c>
      <c r="F905" t="s">
        <v>20</v>
      </c>
      <c r="G905">
        <v>0</v>
      </c>
      <c r="H905">
        <v>0</v>
      </c>
      <c r="I905">
        <v>0</v>
      </c>
      <c r="J905">
        <v>0</v>
      </c>
      <c r="K905" t="s">
        <v>991</v>
      </c>
      <c r="L905" t="s">
        <v>2739</v>
      </c>
      <c r="M905">
        <v>0</v>
      </c>
      <c r="N905">
        <v>0</v>
      </c>
      <c r="O905" s="1">
        <v>4229214203616120</v>
      </c>
      <c r="Q905" t="b">
        <v>0</v>
      </c>
    </row>
    <row r="906" spans="1:17" x14ac:dyDescent="0.35">
      <c r="A906" t="s">
        <v>2744</v>
      </c>
      <c r="B906" t="s">
        <v>18</v>
      </c>
      <c r="C906" t="s">
        <v>2745</v>
      </c>
      <c r="D906">
        <v>0</v>
      </c>
      <c r="E906">
        <v>0</v>
      </c>
      <c r="F906" t="s">
        <v>20</v>
      </c>
      <c r="G906">
        <v>0</v>
      </c>
      <c r="H906">
        <v>0</v>
      </c>
      <c r="I906">
        <v>0</v>
      </c>
      <c r="J906">
        <v>0</v>
      </c>
      <c r="K906" t="s">
        <v>991</v>
      </c>
      <c r="L906" t="s">
        <v>2739</v>
      </c>
      <c r="M906">
        <v>0</v>
      </c>
      <c r="N906">
        <v>0</v>
      </c>
      <c r="O906" s="1">
        <v>4.2292427235042E+16</v>
      </c>
      <c r="Q906" t="b">
        <v>0</v>
      </c>
    </row>
    <row r="907" spans="1:17" x14ac:dyDescent="0.35">
      <c r="A907" t="s">
        <v>2746</v>
      </c>
      <c r="B907" t="s">
        <v>18</v>
      </c>
      <c r="C907" t="s">
        <v>2747</v>
      </c>
      <c r="D907">
        <v>0</v>
      </c>
      <c r="E907">
        <v>0</v>
      </c>
      <c r="F907" t="s">
        <v>20</v>
      </c>
      <c r="G907">
        <v>0</v>
      </c>
      <c r="H907">
        <v>0</v>
      </c>
      <c r="I907">
        <v>0</v>
      </c>
      <c r="J907">
        <v>0</v>
      </c>
      <c r="K907" t="s">
        <v>2748</v>
      </c>
      <c r="L907" t="s">
        <v>2749</v>
      </c>
      <c r="M907">
        <v>0</v>
      </c>
      <c r="N907">
        <v>0</v>
      </c>
      <c r="O907" s="1">
        <v>4229271243392280</v>
      </c>
      <c r="Q907" t="b">
        <v>0</v>
      </c>
    </row>
    <row r="908" spans="1:17" x14ac:dyDescent="0.35">
      <c r="A908" t="s">
        <v>2750</v>
      </c>
      <c r="B908" t="s">
        <v>18</v>
      </c>
      <c r="C908" t="s">
        <v>2751</v>
      </c>
      <c r="D908">
        <v>0</v>
      </c>
      <c r="E908">
        <v>0</v>
      </c>
      <c r="F908" t="s">
        <v>20</v>
      </c>
      <c r="G908">
        <v>0</v>
      </c>
      <c r="H908">
        <v>0</v>
      </c>
      <c r="I908">
        <v>0</v>
      </c>
      <c r="J908">
        <v>0</v>
      </c>
      <c r="K908" t="s">
        <v>2748</v>
      </c>
      <c r="L908" t="s">
        <v>2749</v>
      </c>
      <c r="M908">
        <v>0</v>
      </c>
      <c r="N908">
        <v>0</v>
      </c>
      <c r="O908" s="1">
        <v>4229299763280360</v>
      </c>
      <c r="Q908" t="b">
        <v>0</v>
      </c>
    </row>
    <row r="909" spans="1:17" x14ac:dyDescent="0.35">
      <c r="A909" t="s">
        <v>2752</v>
      </c>
      <c r="B909" t="s">
        <v>18</v>
      </c>
      <c r="C909" t="s">
        <v>2753</v>
      </c>
      <c r="D909">
        <v>0</v>
      </c>
      <c r="E909">
        <v>0</v>
      </c>
      <c r="F909" t="s">
        <v>20</v>
      </c>
      <c r="G909">
        <v>0</v>
      </c>
      <c r="H909">
        <v>0</v>
      </c>
      <c r="I909">
        <v>0</v>
      </c>
      <c r="J909">
        <v>0</v>
      </c>
      <c r="K909" t="s">
        <v>2748</v>
      </c>
      <c r="L909" t="s">
        <v>2749</v>
      </c>
      <c r="M909">
        <v>0</v>
      </c>
      <c r="N909">
        <v>0</v>
      </c>
      <c r="O909" s="1">
        <v>4229328283168440</v>
      </c>
      <c r="Q909" t="b">
        <v>0</v>
      </c>
    </row>
    <row r="910" spans="1:17" x14ac:dyDescent="0.35">
      <c r="A910" t="s">
        <v>2754</v>
      </c>
      <c r="B910" t="s">
        <v>18</v>
      </c>
      <c r="C910" t="s">
        <v>2755</v>
      </c>
      <c r="D910">
        <v>0</v>
      </c>
      <c r="E910">
        <v>0</v>
      </c>
      <c r="F910" t="s">
        <v>20</v>
      </c>
      <c r="G910">
        <v>0</v>
      </c>
      <c r="H910">
        <v>0</v>
      </c>
      <c r="I910">
        <v>0</v>
      </c>
      <c r="J910">
        <v>0</v>
      </c>
      <c r="K910" t="s">
        <v>2748</v>
      </c>
      <c r="L910" t="s">
        <v>2749</v>
      </c>
      <c r="M910">
        <v>0</v>
      </c>
      <c r="N910">
        <v>0</v>
      </c>
      <c r="O910" s="1">
        <v>4229356803056520</v>
      </c>
      <c r="Q910" t="b">
        <v>0</v>
      </c>
    </row>
    <row r="911" spans="1:17" x14ac:dyDescent="0.35">
      <c r="A911" t="s">
        <v>2756</v>
      </c>
      <c r="B911" t="s">
        <v>18</v>
      </c>
      <c r="C911" t="s">
        <v>2757</v>
      </c>
      <c r="D911">
        <v>0</v>
      </c>
      <c r="E911">
        <v>0</v>
      </c>
      <c r="F911" t="s">
        <v>20</v>
      </c>
      <c r="G911">
        <v>0</v>
      </c>
      <c r="H911">
        <v>0</v>
      </c>
      <c r="I911">
        <v>0</v>
      </c>
      <c r="J911">
        <v>0</v>
      </c>
      <c r="K911" s="1">
        <v>5949999999999990</v>
      </c>
      <c r="L911" t="s">
        <v>2758</v>
      </c>
      <c r="M911">
        <v>0</v>
      </c>
      <c r="N911">
        <v>0</v>
      </c>
      <c r="O911" s="1">
        <v>422938532294461</v>
      </c>
      <c r="Q911" t="b">
        <v>0</v>
      </c>
    </row>
    <row r="912" spans="1:17" x14ac:dyDescent="0.35">
      <c r="A912" t="s">
        <v>2759</v>
      </c>
      <c r="B912" t="s">
        <v>18</v>
      </c>
      <c r="C912" t="s">
        <v>2760</v>
      </c>
      <c r="D912">
        <v>0</v>
      </c>
      <c r="E912">
        <v>0</v>
      </c>
      <c r="F912" t="s">
        <v>20</v>
      </c>
      <c r="G912">
        <v>0</v>
      </c>
      <c r="H912">
        <v>0</v>
      </c>
      <c r="I912">
        <v>0</v>
      </c>
      <c r="J912">
        <v>0</v>
      </c>
      <c r="K912" s="1">
        <v>5949999999999990</v>
      </c>
      <c r="L912" t="s">
        <v>2758</v>
      </c>
      <c r="M912">
        <v>0</v>
      </c>
      <c r="N912">
        <v>0</v>
      </c>
      <c r="O912" s="1">
        <v>4229413842832690</v>
      </c>
      <c r="Q912" t="b">
        <v>0</v>
      </c>
    </row>
    <row r="913" spans="1:17" x14ac:dyDescent="0.35">
      <c r="A913" t="s">
        <v>2761</v>
      </c>
      <c r="B913" t="s">
        <v>18</v>
      </c>
      <c r="C913" t="s">
        <v>2762</v>
      </c>
      <c r="D913">
        <v>0</v>
      </c>
      <c r="E913">
        <v>0</v>
      </c>
      <c r="F913" t="s">
        <v>20</v>
      </c>
      <c r="G913">
        <v>0</v>
      </c>
      <c r="H913">
        <v>0</v>
      </c>
      <c r="I913">
        <v>0</v>
      </c>
      <c r="J913">
        <v>0</v>
      </c>
      <c r="K913" s="1">
        <v>5949999999999990</v>
      </c>
      <c r="L913" t="s">
        <v>2758</v>
      </c>
      <c r="M913">
        <v>0</v>
      </c>
      <c r="N913">
        <v>0</v>
      </c>
      <c r="O913" s="1">
        <v>4229442362720770</v>
      </c>
      <c r="Q913" t="b">
        <v>0</v>
      </c>
    </row>
    <row r="914" spans="1:17" x14ac:dyDescent="0.35">
      <c r="A914" t="s">
        <v>2763</v>
      </c>
      <c r="B914" t="s">
        <v>18</v>
      </c>
      <c r="C914" t="s">
        <v>2764</v>
      </c>
      <c r="D914">
        <v>0</v>
      </c>
      <c r="E914">
        <v>0</v>
      </c>
      <c r="F914" t="s">
        <v>20</v>
      </c>
      <c r="G914">
        <v>0</v>
      </c>
      <c r="H914">
        <v>0</v>
      </c>
      <c r="I914">
        <v>0</v>
      </c>
      <c r="J914">
        <v>0</v>
      </c>
      <c r="K914" s="1">
        <v>5949999999999990</v>
      </c>
      <c r="L914" t="s">
        <v>2758</v>
      </c>
      <c r="M914">
        <v>0</v>
      </c>
      <c r="N914">
        <v>0</v>
      </c>
      <c r="O914" s="1">
        <v>4.2294708826088496E+16</v>
      </c>
      <c r="Q914" t="b">
        <v>0</v>
      </c>
    </row>
    <row r="915" spans="1:17" x14ac:dyDescent="0.35">
      <c r="A915" t="s">
        <v>2765</v>
      </c>
      <c r="B915" t="s">
        <v>18</v>
      </c>
      <c r="C915" t="s">
        <v>2766</v>
      </c>
      <c r="D915">
        <v>0</v>
      </c>
      <c r="E915">
        <v>0</v>
      </c>
      <c r="F915" t="s">
        <v>20</v>
      </c>
      <c r="G915">
        <v>0</v>
      </c>
      <c r="H915">
        <v>0</v>
      </c>
      <c r="I915">
        <v>0</v>
      </c>
      <c r="J915">
        <v>0</v>
      </c>
      <c r="K915" s="1">
        <v>6300000000000000</v>
      </c>
      <c r="L915" s="1">
        <v>5.472E+16</v>
      </c>
      <c r="M915">
        <v>0</v>
      </c>
      <c r="N915">
        <v>0</v>
      </c>
      <c r="O915" s="1">
        <v>4229499402496930</v>
      </c>
      <c r="Q915" t="b">
        <v>0</v>
      </c>
    </row>
    <row r="916" spans="1:17" x14ac:dyDescent="0.35">
      <c r="A916" t="s">
        <v>2767</v>
      </c>
      <c r="B916" t="s">
        <v>18</v>
      </c>
      <c r="C916" t="s">
        <v>2768</v>
      </c>
      <c r="D916">
        <v>0</v>
      </c>
      <c r="E916">
        <v>0</v>
      </c>
      <c r="F916" t="s">
        <v>20</v>
      </c>
      <c r="G916">
        <v>0</v>
      </c>
      <c r="H916">
        <v>0</v>
      </c>
      <c r="I916">
        <v>0</v>
      </c>
      <c r="J916">
        <v>0</v>
      </c>
      <c r="K916" s="1">
        <v>6300000000000000</v>
      </c>
      <c r="L916" s="1">
        <v>5.472E+16</v>
      </c>
      <c r="M916">
        <v>0</v>
      </c>
      <c r="N916">
        <v>0</v>
      </c>
      <c r="O916" s="1">
        <v>4229527922385010</v>
      </c>
      <c r="Q916" t="b">
        <v>0</v>
      </c>
    </row>
    <row r="917" spans="1:17" x14ac:dyDescent="0.35">
      <c r="A917" t="s">
        <v>2769</v>
      </c>
      <c r="B917" t="s">
        <v>18</v>
      </c>
      <c r="C917" t="s">
        <v>2770</v>
      </c>
      <c r="D917">
        <v>0</v>
      </c>
      <c r="E917">
        <v>0</v>
      </c>
      <c r="F917" t="s">
        <v>20</v>
      </c>
      <c r="G917" t="s">
        <v>2771</v>
      </c>
      <c r="H917">
        <v>0</v>
      </c>
      <c r="I917">
        <v>0</v>
      </c>
      <c r="J917">
        <v>0</v>
      </c>
      <c r="K917" s="1">
        <v>6300000000000000</v>
      </c>
      <c r="L917" s="1">
        <v>5.472E+16</v>
      </c>
      <c r="M917">
        <v>0</v>
      </c>
      <c r="N917">
        <v>0</v>
      </c>
      <c r="O917" s="1">
        <v>42295564422731</v>
      </c>
      <c r="Q917" t="b">
        <v>0</v>
      </c>
    </row>
    <row r="918" spans="1:17" x14ac:dyDescent="0.35">
      <c r="A918" t="s">
        <v>2772</v>
      </c>
      <c r="B918" t="s">
        <v>18</v>
      </c>
      <c r="C918" t="s">
        <v>2773</v>
      </c>
      <c r="D918">
        <v>0</v>
      </c>
      <c r="E918" t="s">
        <v>2774</v>
      </c>
      <c r="F918" t="s">
        <v>20</v>
      </c>
      <c r="G918" t="s">
        <v>2775</v>
      </c>
      <c r="H918">
        <v>0</v>
      </c>
      <c r="I918">
        <v>0</v>
      </c>
      <c r="J918">
        <v>0</v>
      </c>
      <c r="K918" s="1">
        <v>6300000000000000</v>
      </c>
      <c r="L918" s="1">
        <v>5.472E+16</v>
      </c>
      <c r="M918">
        <v>0</v>
      </c>
      <c r="N918">
        <v>0</v>
      </c>
      <c r="O918" s="1">
        <v>4229584962161180</v>
      </c>
      <c r="Q918" t="b">
        <v>0</v>
      </c>
    </row>
    <row r="919" spans="1:17" x14ac:dyDescent="0.35">
      <c r="A919" t="s">
        <v>2776</v>
      </c>
      <c r="B919" t="s">
        <v>18</v>
      </c>
      <c r="C919" t="s">
        <v>2777</v>
      </c>
      <c r="D919">
        <v>0</v>
      </c>
      <c r="E919" t="s">
        <v>2778</v>
      </c>
      <c r="F919" t="s">
        <v>20</v>
      </c>
      <c r="G919" t="s">
        <v>2779</v>
      </c>
      <c r="H919" t="s">
        <v>2780</v>
      </c>
      <c r="I919">
        <v>0</v>
      </c>
      <c r="J919" t="s">
        <v>2781</v>
      </c>
      <c r="K919" t="s">
        <v>2782</v>
      </c>
      <c r="L919" t="s">
        <v>2783</v>
      </c>
      <c r="M919">
        <v>0</v>
      </c>
      <c r="N919">
        <v>0</v>
      </c>
      <c r="O919" s="1">
        <v>4229613482049260</v>
      </c>
      <c r="Q919" t="b">
        <v>0</v>
      </c>
    </row>
    <row r="920" spans="1:17" x14ac:dyDescent="0.35">
      <c r="A920" t="s">
        <v>2784</v>
      </c>
      <c r="B920" t="s">
        <v>18</v>
      </c>
      <c r="C920" t="s">
        <v>2785</v>
      </c>
      <c r="D920">
        <v>0</v>
      </c>
      <c r="E920" t="s">
        <v>2786</v>
      </c>
      <c r="F920" t="s">
        <v>20</v>
      </c>
      <c r="G920" t="s">
        <v>2787</v>
      </c>
      <c r="H920" t="s">
        <v>2780</v>
      </c>
      <c r="I920">
        <v>0</v>
      </c>
      <c r="J920" t="s">
        <v>2781</v>
      </c>
      <c r="K920" t="s">
        <v>2782</v>
      </c>
      <c r="L920" t="s">
        <v>2783</v>
      </c>
      <c r="M920">
        <v>0</v>
      </c>
      <c r="N920">
        <v>0</v>
      </c>
      <c r="O920" s="1">
        <v>4229642001937340</v>
      </c>
      <c r="Q920" t="b">
        <v>0</v>
      </c>
    </row>
    <row r="921" spans="1:17" x14ac:dyDescent="0.35">
      <c r="A921" t="s">
        <v>2788</v>
      </c>
      <c r="B921" t="s">
        <v>18</v>
      </c>
      <c r="C921" t="s">
        <v>2789</v>
      </c>
      <c r="D921">
        <v>0</v>
      </c>
      <c r="E921" t="s">
        <v>2790</v>
      </c>
      <c r="F921" t="s">
        <v>20</v>
      </c>
      <c r="G921" t="s">
        <v>2791</v>
      </c>
      <c r="H921" t="s">
        <v>2780</v>
      </c>
      <c r="I921">
        <v>0</v>
      </c>
      <c r="J921" t="s">
        <v>2781</v>
      </c>
      <c r="K921" t="s">
        <v>2782</v>
      </c>
      <c r="L921" t="s">
        <v>2783</v>
      </c>
      <c r="M921">
        <v>0</v>
      </c>
      <c r="N921">
        <v>0</v>
      </c>
      <c r="O921" s="1">
        <v>4229670521825420</v>
      </c>
      <c r="Q921" t="b">
        <v>0</v>
      </c>
    </row>
    <row r="922" spans="1:17" x14ac:dyDescent="0.35">
      <c r="A922" t="s">
        <v>2792</v>
      </c>
      <c r="B922" t="s">
        <v>18</v>
      </c>
      <c r="C922" t="s">
        <v>2793</v>
      </c>
      <c r="D922">
        <v>0</v>
      </c>
      <c r="E922" t="s">
        <v>2794</v>
      </c>
      <c r="F922" t="s">
        <v>20</v>
      </c>
      <c r="G922" t="s">
        <v>2795</v>
      </c>
      <c r="H922" t="s">
        <v>2780</v>
      </c>
      <c r="I922">
        <v>0</v>
      </c>
      <c r="J922" t="s">
        <v>2781</v>
      </c>
      <c r="K922" t="s">
        <v>2782</v>
      </c>
      <c r="L922" t="s">
        <v>2783</v>
      </c>
      <c r="M922">
        <v>0</v>
      </c>
      <c r="N922">
        <v>0</v>
      </c>
      <c r="O922" s="1">
        <v>4229699041713500</v>
      </c>
      <c r="Q922" t="b">
        <v>0</v>
      </c>
    </row>
    <row r="923" spans="1:17" x14ac:dyDescent="0.35">
      <c r="A923" t="s">
        <v>2796</v>
      </c>
      <c r="B923" t="s">
        <v>18</v>
      </c>
      <c r="C923" t="s">
        <v>2797</v>
      </c>
      <c r="D923">
        <v>0</v>
      </c>
      <c r="E923" t="s">
        <v>2798</v>
      </c>
      <c r="F923" t="s">
        <v>20</v>
      </c>
      <c r="G923" t="s">
        <v>2799</v>
      </c>
      <c r="H923" s="1">
        <v>3.7398333333333296E+16</v>
      </c>
      <c r="I923">
        <v>0</v>
      </c>
      <c r="J923" t="s">
        <v>2800</v>
      </c>
      <c r="K923">
        <v>7</v>
      </c>
      <c r="L923" t="s">
        <v>2801</v>
      </c>
      <c r="M923">
        <v>0</v>
      </c>
      <c r="N923">
        <v>0</v>
      </c>
      <c r="O923" s="1">
        <v>4229727561601580</v>
      </c>
      <c r="Q923" t="b">
        <v>0</v>
      </c>
    </row>
    <row r="924" spans="1:17" x14ac:dyDescent="0.35">
      <c r="A924" t="s">
        <v>2802</v>
      </c>
      <c r="B924" t="s">
        <v>18</v>
      </c>
      <c r="C924" t="s">
        <v>2803</v>
      </c>
      <c r="D924">
        <v>0</v>
      </c>
      <c r="E924" t="s">
        <v>2804</v>
      </c>
      <c r="F924" t="s">
        <v>20</v>
      </c>
      <c r="G924" t="s">
        <v>2805</v>
      </c>
      <c r="H924" s="1">
        <v>3.7398333333333296E+16</v>
      </c>
      <c r="I924">
        <v>0</v>
      </c>
      <c r="J924" t="s">
        <v>2800</v>
      </c>
      <c r="K924">
        <v>7</v>
      </c>
      <c r="L924" t="s">
        <v>2801</v>
      </c>
      <c r="M924">
        <v>0</v>
      </c>
      <c r="N924">
        <v>0</v>
      </c>
      <c r="O924" s="1">
        <v>422975608148967</v>
      </c>
      <c r="Q924" t="b">
        <v>0</v>
      </c>
    </row>
    <row r="925" spans="1:17" x14ac:dyDescent="0.35">
      <c r="A925" t="s">
        <v>2806</v>
      </c>
      <c r="B925" t="s">
        <v>18</v>
      </c>
      <c r="C925" t="s">
        <v>2807</v>
      </c>
      <c r="D925">
        <v>0</v>
      </c>
      <c r="E925" t="s">
        <v>2808</v>
      </c>
      <c r="F925" t="s">
        <v>20</v>
      </c>
      <c r="G925" t="s">
        <v>2809</v>
      </c>
      <c r="H925" s="1">
        <v>3.7398333333333296E+16</v>
      </c>
      <c r="I925">
        <v>0</v>
      </c>
      <c r="J925" t="s">
        <v>2800</v>
      </c>
      <c r="K925">
        <v>7</v>
      </c>
      <c r="L925" t="s">
        <v>2801</v>
      </c>
      <c r="M925">
        <v>0</v>
      </c>
      <c r="N925">
        <v>0</v>
      </c>
      <c r="O925" s="1">
        <v>4.2297846013777504E+16</v>
      </c>
      <c r="Q925" t="b">
        <v>0</v>
      </c>
    </row>
    <row r="926" spans="1:17" x14ac:dyDescent="0.35">
      <c r="A926" t="s">
        <v>2810</v>
      </c>
      <c r="B926" t="s">
        <v>18</v>
      </c>
      <c r="C926" t="s">
        <v>2811</v>
      </c>
      <c r="D926">
        <v>0</v>
      </c>
      <c r="E926" t="s">
        <v>2812</v>
      </c>
      <c r="F926" t="s">
        <v>20</v>
      </c>
      <c r="G926" t="s">
        <v>2813</v>
      </c>
      <c r="H926" s="1">
        <v>3.7398333333333296E+16</v>
      </c>
      <c r="I926">
        <v>0</v>
      </c>
      <c r="J926" t="s">
        <v>2800</v>
      </c>
      <c r="K926">
        <v>7</v>
      </c>
      <c r="L926" t="s">
        <v>2801</v>
      </c>
      <c r="M926">
        <v>0</v>
      </c>
      <c r="N926">
        <v>0</v>
      </c>
      <c r="O926" s="1">
        <v>4229813121265830</v>
      </c>
      <c r="Q926" t="b">
        <v>0</v>
      </c>
    </row>
    <row r="927" spans="1:17" x14ac:dyDescent="0.35">
      <c r="A927" t="s">
        <v>2814</v>
      </c>
      <c r="B927" t="s">
        <v>18</v>
      </c>
      <c r="C927" t="s">
        <v>2815</v>
      </c>
      <c r="D927">
        <v>0</v>
      </c>
      <c r="E927" t="s">
        <v>2816</v>
      </c>
      <c r="F927" t="s">
        <v>20</v>
      </c>
      <c r="G927" t="s">
        <v>2817</v>
      </c>
      <c r="H927" t="s">
        <v>2818</v>
      </c>
      <c r="I927">
        <v>0</v>
      </c>
      <c r="J927" t="s">
        <v>2519</v>
      </c>
      <c r="K927" t="s">
        <v>148</v>
      </c>
      <c r="L927" t="s">
        <v>2819</v>
      </c>
      <c r="M927">
        <v>0</v>
      </c>
      <c r="N927">
        <v>0</v>
      </c>
      <c r="O927" s="1">
        <v>4229841641153910</v>
      </c>
      <c r="Q927" t="b">
        <v>0</v>
      </c>
    </row>
    <row r="928" spans="1:17" x14ac:dyDescent="0.35">
      <c r="A928" t="s">
        <v>2820</v>
      </c>
      <c r="B928" t="s">
        <v>18</v>
      </c>
      <c r="C928" t="s">
        <v>2821</v>
      </c>
      <c r="D928">
        <v>0</v>
      </c>
      <c r="E928" t="s">
        <v>2822</v>
      </c>
      <c r="F928" t="s">
        <v>20</v>
      </c>
      <c r="G928" t="s">
        <v>2823</v>
      </c>
      <c r="H928" t="s">
        <v>2818</v>
      </c>
      <c r="I928">
        <v>0</v>
      </c>
      <c r="J928" t="s">
        <v>2519</v>
      </c>
      <c r="K928" t="s">
        <v>148</v>
      </c>
      <c r="L928" t="s">
        <v>2819</v>
      </c>
      <c r="M928">
        <v>0</v>
      </c>
      <c r="N928">
        <v>0</v>
      </c>
      <c r="O928" s="1">
        <v>4229870161041990</v>
      </c>
      <c r="Q928" t="b">
        <v>0</v>
      </c>
    </row>
    <row r="929" spans="1:17" x14ac:dyDescent="0.35">
      <c r="A929" t="s">
        <v>2824</v>
      </c>
      <c r="B929" t="s">
        <v>18</v>
      </c>
      <c r="C929" t="s">
        <v>2825</v>
      </c>
      <c r="D929">
        <v>0</v>
      </c>
      <c r="E929" t="s">
        <v>2826</v>
      </c>
      <c r="F929" t="s">
        <v>20</v>
      </c>
      <c r="G929" t="s">
        <v>2827</v>
      </c>
      <c r="H929" t="s">
        <v>2818</v>
      </c>
      <c r="I929">
        <v>0</v>
      </c>
      <c r="J929" t="s">
        <v>2519</v>
      </c>
      <c r="K929" t="s">
        <v>148</v>
      </c>
      <c r="L929" t="s">
        <v>2819</v>
      </c>
      <c r="M929">
        <v>0</v>
      </c>
      <c r="N929">
        <v>0</v>
      </c>
      <c r="O929" s="1">
        <v>4229898680930070</v>
      </c>
      <c r="Q929" t="b">
        <v>0</v>
      </c>
    </row>
    <row r="930" spans="1:17" x14ac:dyDescent="0.35">
      <c r="A930" t="s">
        <v>2828</v>
      </c>
      <c r="B930" t="s">
        <v>18</v>
      </c>
      <c r="C930" t="s">
        <v>2829</v>
      </c>
      <c r="D930">
        <v>0</v>
      </c>
      <c r="E930" t="s">
        <v>2830</v>
      </c>
      <c r="F930" t="s">
        <v>20</v>
      </c>
      <c r="G930" t="s">
        <v>2831</v>
      </c>
      <c r="H930" t="s">
        <v>2818</v>
      </c>
      <c r="I930">
        <v>0</v>
      </c>
      <c r="J930" t="s">
        <v>2519</v>
      </c>
      <c r="K930" t="s">
        <v>148</v>
      </c>
      <c r="L930" t="s">
        <v>2819</v>
      </c>
      <c r="M930">
        <v>0</v>
      </c>
      <c r="N930">
        <v>0</v>
      </c>
      <c r="O930" s="1">
        <v>422992720081816</v>
      </c>
      <c r="Q930" t="b">
        <v>0</v>
      </c>
    </row>
    <row r="931" spans="1:17" x14ac:dyDescent="0.35">
      <c r="A931" t="s">
        <v>2832</v>
      </c>
      <c r="B931" t="s">
        <v>18</v>
      </c>
      <c r="C931" t="s">
        <v>2833</v>
      </c>
      <c r="D931">
        <v>0</v>
      </c>
      <c r="E931" t="s">
        <v>2834</v>
      </c>
      <c r="F931" t="s">
        <v>20</v>
      </c>
      <c r="G931" t="s">
        <v>2835</v>
      </c>
      <c r="H931" s="1">
        <v>3.72216666666666E+16</v>
      </c>
      <c r="I931">
        <v>0</v>
      </c>
      <c r="J931">
        <v>94</v>
      </c>
      <c r="K931" s="1">
        <v>7300000000000000</v>
      </c>
      <c r="L931" t="s">
        <v>2836</v>
      </c>
      <c r="M931">
        <v>0</v>
      </c>
      <c r="N931">
        <v>0</v>
      </c>
      <c r="O931" s="1">
        <v>4229955720706240</v>
      </c>
      <c r="Q931" t="b">
        <v>0</v>
      </c>
    </row>
    <row r="932" spans="1:17" x14ac:dyDescent="0.35">
      <c r="A932" t="s">
        <v>2837</v>
      </c>
      <c r="B932" t="s">
        <v>18</v>
      </c>
      <c r="C932" t="s">
        <v>2838</v>
      </c>
      <c r="D932">
        <v>0</v>
      </c>
      <c r="E932" t="s">
        <v>2839</v>
      </c>
      <c r="F932" t="s">
        <v>20</v>
      </c>
      <c r="G932" t="s">
        <v>2840</v>
      </c>
      <c r="H932" s="1">
        <v>3.72216666666666E+16</v>
      </c>
      <c r="I932">
        <v>0</v>
      </c>
      <c r="J932">
        <v>94</v>
      </c>
      <c r="K932" s="1">
        <v>7300000000000000</v>
      </c>
      <c r="L932" t="s">
        <v>2836</v>
      </c>
      <c r="M932">
        <v>0</v>
      </c>
      <c r="N932">
        <v>0</v>
      </c>
      <c r="O932" s="1">
        <v>4229984240594320</v>
      </c>
      <c r="Q932" t="b">
        <v>0</v>
      </c>
    </row>
    <row r="933" spans="1:17" x14ac:dyDescent="0.35">
      <c r="A933" t="s">
        <v>2841</v>
      </c>
      <c r="B933" t="s">
        <v>18</v>
      </c>
      <c r="C933" t="s">
        <v>2842</v>
      </c>
      <c r="D933">
        <v>0</v>
      </c>
      <c r="E933" t="s">
        <v>2843</v>
      </c>
      <c r="F933" t="s">
        <v>20</v>
      </c>
      <c r="G933" t="s">
        <v>2844</v>
      </c>
      <c r="H933" s="1">
        <v>3.72216666666666E+16</v>
      </c>
      <c r="I933">
        <v>0</v>
      </c>
      <c r="J933">
        <v>94</v>
      </c>
      <c r="K933" s="1">
        <v>7300000000000000</v>
      </c>
      <c r="L933" t="s">
        <v>2836</v>
      </c>
      <c r="M933">
        <v>0</v>
      </c>
      <c r="N933">
        <v>0</v>
      </c>
      <c r="O933" s="1">
        <v>4.2300127604824E+16</v>
      </c>
      <c r="Q933" t="b">
        <v>0</v>
      </c>
    </row>
    <row r="934" spans="1:17" x14ac:dyDescent="0.35">
      <c r="A934" t="s">
        <v>2845</v>
      </c>
      <c r="B934" t="s">
        <v>18</v>
      </c>
      <c r="C934" t="s">
        <v>2846</v>
      </c>
      <c r="D934">
        <v>0</v>
      </c>
      <c r="E934" t="s">
        <v>2847</v>
      </c>
      <c r="F934" t="s">
        <v>20</v>
      </c>
      <c r="G934" t="s">
        <v>2848</v>
      </c>
      <c r="H934" s="1">
        <v>3.72216666666666E+16</v>
      </c>
      <c r="I934">
        <v>0</v>
      </c>
      <c r="J934">
        <v>94</v>
      </c>
      <c r="K934" s="1">
        <v>7300000000000000</v>
      </c>
      <c r="L934" t="s">
        <v>2836</v>
      </c>
      <c r="M934">
        <v>0</v>
      </c>
      <c r="N934">
        <v>0</v>
      </c>
      <c r="O934" s="1">
        <v>4230041280370480</v>
      </c>
      <c r="Q934" t="b">
        <v>0</v>
      </c>
    </row>
    <row r="935" spans="1:17" x14ac:dyDescent="0.35">
      <c r="A935" t="s">
        <v>2849</v>
      </c>
      <c r="B935" t="s">
        <v>18</v>
      </c>
      <c r="C935" t="s">
        <v>2850</v>
      </c>
      <c r="D935">
        <v>0</v>
      </c>
      <c r="E935" t="s">
        <v>2851</v>
      </c>
      <c r="F935" t="s">
        <v>20</v>
      </c>
      <c r="G935" t="s">
        <v>2852</v>
      </c>
      <c r="H935" t="s">
        <v>2853</v>
      </c>
      <c r="I935">
        <v>0</v>
      </c>
      <c r="J935" t="s">
        <v>2854</v>
      </c>
      <c r="K935" t="s">
        <v>2855</v>
      </c>
      <c r="L935" t="s">
        <v>2856</v>
      </c>
      <c r="M935">
        <v>0</v>
      </c>
      <c r="N935">
        <v>0</v>
      </c>
      <c r="O935" s="1">
        <v>4230069800258560</v>
      </c>
      <c r="Q935" t="b">
        <v>0</v>
      </c>
    </row>
    <row r="936" spans="1:17" x14ac:dyDescent="0.35">
      <c r="A936" t="s">
        <v>2857</v>
      </c>
      <c r="B936" t="s">
        <v>18</v>
      </c>
      <c r="C936" t="s">
        <v>2858</v>
      </c>
      <c r="D936">
        <v>0</v>
      </c>
      <c r="E936" t="s">
        <v>2859</v>
      </c>
      <c r="F936" t="s">
        <v>20</v>
      </c>
      <c r="G936" t="s">
        <v>2860</v>
      </c>
      <c r="H936" t="s">
        <v>2853</v>
      </c>
      <c r="I936">
        <v>0</v>
      </c>
      <c r="J936" t="s">
        <v>2854</v>
      </c>
      <c r="K936" t="s">
        <v>2855</v>
      </c>
      <c r="L936" t="s">
        <v>2856</v>
      </c>
      <c r="M936">
        <v>0</v>
      </c>
      <c r="N936">
        <v>0</v>
      </c>
      <c r="O936" s="1">
        <v>4.23009832014664E+16</v>
      </c>
      <c r="Q936" t="b">
        <v>0</v>
      </c>
    </row>
    <row r="937" spans="1:17" x14ac:dyDescent="0.35">
      <c r="A937" t="s">
        <v>2861</v>
      </c>
      <c r="B937" t="s">
        <v>18</v>
      </c>
      <c r="C937" t="s">
        <v>2862</v>
      </c>
      <c r="D937">
        <v>0</v>
      </c>
      <c r="E937" t="s">
        <v>2863</v>
      </c>
      <c r="F937" t="s">
        <v>20</v>
      </c>
      <c r="G937" t="s">
        <v>2864</v>
      </c>
      <c r="H937" t="s">
        <v>2853</v>
      </c>
      <c r="I937">
        <v>0</v>
      </c>
      <c r="J937" t="s">
        <v>2854</v>
      </c>
      <c r="K937" t="s">
        <v>2855</v>
      </c>
      <c r="L937" t="s">
        <v>2856</v>
      </c>
      <c r="M937">
        <v>0</v>
      </c>
      <c r="N937">
        <v>0</v>
      </c>
      <c r="O937" s="1">
        <v>4230126840034730</v>
      </c>
      <c r="Q937" t="b">
        <v>0</v>
      </c>
    </row>
    <row r="938" spans="1:17" x14ac:dyDescent="0.35">
      <c r="A938" t="s">
        <v>2865</v>
      </c>
      <c r="B938" t="s">
        <v>18</v>
      </c>
      <c r="C938" t="s">
        <v>2866</v>
      </c>
      <c r="D938">
        <v>0</v>
      </c>
      <c r="E938" t="s">
        <v>2867</v>
      </c>
      <c r="F938" t="s">
        <v>20</v>
      </c>
      <c r="G938" t="s">
        <v>2868</v>
      </c>
      <c r="H938" t="s">
        <v>2853</v>
      </c>
      <c r="I938">
        <v>0</v>
      </c>
      <c r="J938" t="s">
        <v>2854</v>
      </c>
      <c r="K938" t="s">
        <v>2855</v>
      </c>
      <c r="L938" t="s">
        <v>2856</v>
      </c>
      <c r="M938">
        <v>0</v>
      </c>
      <c r="N938">
        <v>0</v>
      </c>
      <c r="O938" s="1">
        <v>4230155359922810</v>
      </c>
      <c r="Q938" t="b">
        <v>0</v>
      </c>
    </row>
    <row r="939" spans="1:17" x14ac:dyDescent="0.35">
      <c r="A939" t="s">
        <v>2869</v>
      </c>
      <c r="B939" t="s">
        <v>18</v>
      </c>
      <c r="C939" t="s">
        <v>2870</v>
      </c>
      <c r="D939">
        <v>0</v>
      </c>
      <c r="E939" t="s">
        <v>2871</v>
      </c>
      <c r="F939" t="s">
        <v>20</v>
      </c>
      <c r="G939" t="s">
        <v>2872</v>
      </c>
      <c r="H939" s="1">
        <v>3418499999999990</v>
      </c>
      <c r="I939">
        <v>0</v>
      </c>
      <c r="J939" t="s">
        <v>2873</v>
      </c>
      <c r="K939" t="s">
        <v>2874</v>
      </c>
      <c r="L939" s="1">
        <v>7325999999999990</v>
      </c>
      <c r="M939">
        <v>0</v>
      </c>
      <c r="N939">
        <v>0</v>
      </c>
      <c r="O939" s="1">
        <v>4230183879810890</v>
      </c>
      <c r="Q939" t="b">
        <v>0</v>
      </c>
    </row>
    <row r="940" spans="1:17" x14ac:dyDescent="0.35">
      <c r="A940" t="s">
        <v>2875</v>
      </c>
      <c r="B940" t="s">
        <v>18</v>
      </c>
      <c r="C940" t="s">
        <v>2876</v>
      </c>
      <c r="D940">
        <v>0</v>
      </c>
      <c r="E940" t="s">
        <v>2877</v>
      </c>
      <c r="F940" t="s">
        <v>20</v>
      </c>
      <c r="G940" t="s">
        <v>2878</v>
      </c>
      <c r="H940" s="1">
        <v>3418499999999990</v>
      </c>
      <c r="I940">
        <v>0</v>
      </c>
      <c r="J940" t="s">
        <v>2873</v>
      </c>
      <c r="K940" t="s">
        <v>2874</v>
      </c>
      <c r="L940" s="1">
        <v>7325999999999990</v>
      </c>
      <c r="M940">
        <v>0</v>
      </c>
      <c r="N940">
        <v>0</v>
      </c>
      <c r="O940" s="1">
        <v>4230212399698970</v>
      </c>
      <c r="Q940" t="b">
        <v>0</v>
      </c>
    </row>
    <row r="941" spans="1:17" x14ac:dyDescent="0.35">
      <c r="A941" t="s">
        <v>2879</v>
      </c>
      <c r="B941" t="s">
        <v>18</v>
      </c>
      <c r="C941" t="s">
        <v>2880</v>
      </c>
      <c r="D941">
        <v>0</v>
      </c>
      <c r="E941" t="s">
        <v>2881</v>
      </c>
      <c r="F941" t="s">
        <v>20</v>
      </c>
      <c r="G941" t="s">
        <v>2882</v>
      </c>
      <c r="H941" s="1">
        <v>3418499999999990</v>
      </c>
      <c r="I941">
        <v>0</v>
      </c>
      <c r="J941" t="s">
        <v>2873</v>
      </c>
      <c r="K941" t="s">
        <v>2874</v>
      </c>
      <c r="L941" s="1">
        <v>7325999999999990</v>
      </c>
      <c r="M941">
        <v>0</v>
      </c>
      <c r="N941">
        <v>0</v>
      </c>
      <c r="O941" s="1">
        <v>4230240919587050</v>
      </c>
      <c r="Q941" t="b">
        <v>0</v>
      </c>
    </row>
    <row r="942" spans="1:17" x14ac:dyDescent="0.35">
      <c r="A942" t="s">
        <v>2883</v>
      </c>
      <c r="B942" t="s">
        <v>18</v>
      </c>
      <c r="C942" t="s">
        <v>2884</v>
      </c>
      <c r="D942">
        <v>0</v>
      </c>
      <c r="E942" t="s">
        <v>2885</v>
      </c>
      <c r="F942" t="s">
        <v>20</v>
      </c>
      <c r="G942" t="s">
        <v>2886</v>
      </c>
      <c r="H942" s="1">
        <v>3418499999999990</v>
      </c>
      <c r="I942">
        <v>0</v>
      </c>
      <c r="J942" t="s">
        <v>2873</v>
      </c>
      <c r="K942" t="s">
        <v>2874</v>
      </c>
      <c r="L942" s="1">
        <v>7325999999999990</v>
      </c>
      <c r="M942">
        <v>0</v>
      </c>
      <c r="N942">
        <v>0</v>
      </c>
      <c r="O942" s="1">
        <v>4230269439475130</v>
      </c>
      <c r="Q942" t="b">
        <v>0</v>
      </c>
    </row>
    <row r="943" spans="1:17" x14ac:dyDescent="0.35">
      <c r="A943" t="s">
        <v>2887</v>
      </c>
      <c r="B943" t="s">
        <v>18</v>
      </c>
      <c r="C943" t="s">
        <v>2888</v>
      </c>
      <c r="D943">
        <v>0</v>
      </c>
      <c r="E943" t="s">
        <v>2889</v>
      </c>
      <c r="F943" t="s">
        <v>20</v>
      </c>
      <c r="G943" t="s">
        <v>2890</v>
      </c>
      <c r="H943" s="1">
        <v>3.09983333333333E+16</v>
      </c>
      <c r="I943">
        <v>0</v>
      </c>
      <c r="J943">
        <v>68</v>
      </c>
      <c r="K943" t="s">
        <v>2891</v>
      </c>
      <c r="L943" s="1">
        <v>6875999999999990</v>
      </c>
      <c r="M943">
        <v>0</v>
      </c>
      <c r="N943">
        <v>0</v>
      </c>
      <c r="O943" s="1">
        <v>423029795936322</v>
      </c>
      <c r="Q943" t="b">
        <v>0</v>
      </c>
    </row>
    <row r="944" spans="1:17" x14ac:dyDescent="0.35">
      <c r="A944" t="s">
        <v>2892</v>
      </c>
      <c r="B944" t="s">
        <v>18</v>
      </c>
      <c r="C944" t="s">
        <v>2893</v>
      </c>
      <c r="D944">
        <v>0</v>
      </c>
      <c r="E944" t="s">
        <v>2894</v>
      </c>
      <c r="F944" t="s">
        <v>20</v>
      </c>
      <c r="G944" t="s">
        <v>2895</v>
      </c>
      <c r="H944" s="1">
        <v>3.09983333333333E+16</v>
      </c>
      <c r="I944">
        <v>0</v>
      </c>
      <c r="J944">
        <v>68</v>
      </c>
      <c r="K944" t="s">
        <v>2891</v>
      </c>
      <c r="L944" s="1">
        <v>6875999999999990</v>
      </c>
      <c r="M944">
        <v>0</v>
      </c>
      <c r="N944">
        <v>0</v>
      </c>
      <c r="O944" s="1">
        <v>4230326479251300</v>
      </c>
      <c r="Q944" t="b">
        <v>0</v>
      </c>
    </row>
    <row r="945" spans="1:17" x14ac:dyDescent="0.35">
      <c r="A945" t="s">
        <v>2896</v>
      </c>
      <c r="B945" t="s">
        <v>18</v>
      </c>
      <c r="C945" t="s">
        <v>2897</v>
      </c>
      <c r="D945">
        <v>0</v>
      </c>
      <c r="E945" t="s">
        <v>2898</v>
      </c>
      <c r="F945" t="s">
        <v>20</v>
      </c>
      <c r="G945" t="s">
        <v>2899</v>
      </c>
      <c r="H945" s="1">
        <v>3.09983333333333E+16</v>
      </c>
      <c r="I945">
        <v>0</v>
      </c>
      <c r="J945">
        <v>68</v>
      </c>
      <c r="K945" t="s">
        <v>2891</v>
      </c>
      <c r="L945" s="1">
        <v>6875999999999990</v>
      </c>
      <c r="M945">
        <v>0</v>
      </c>
      <c r="N945">
        <v>0</v>
      </c>
      <c r="O945" s="1">
        <v>4230354999139380</v>
      </c>
      <c r="Q945" t="b">
        <v>0</v>
      </c>
    </row>
    <row r="946" spans="1:17" x14ac:dyDescent="0.35">
      <c r="A946" t="s">
        <v>2900</v>
      </c>
      <c r="B946" t="s">
        <v>18</v>
      </c>
      <c r="C946" t="s">
        <v>2901</v>
      </c>
      <c r="D946">
        <v>0</v>
      </c>
      <c r="E946" t="s">
        <v>2902</v>
      </c>
      <c r="F946" t="s">
        <v>20</v>
      </c>
      <c r="G946" t="s">
        <v>2903</v>
      </c>
      <c r="H946" s="1">
        <v>3.09983333333333E+16</v>
      </c>
      <c r="I946">
        <v>0</v>
      </c>
      <c r="J946">
        <v>68</v>
      </c>
      <c r="K946" t="s">
        <v>2891</v>
      </c>
      <c r="L946" s="1">
        <v>6875999999999990</v>
      </c>
      <c r="M946">
        <v>0</v>
      </c>
      <c r="N946">
        <v>0</v>
      </c>
      <c r="O946" s="1">
        <v>4230383519027460</v>
      </c>
      <c r="Q946" t="b">
        <v>0</v>
      </c>
    </row>
    <row r="947" spans="1:17" x14ac:dyDescent="0.35">
      <c r="A947" t="s">
        <v>2904</v>
      </c>
      <c r="B947" t="s">
        <v>18</v>
      </c>
      <c r="C947" t="s">
        <v>2905</v>
      </c>
      <c r="D947">
        <v>0</v>
      </c>
      <c r="E947" t="s">
        <v>2906</v>
      </c>
      <c r="F947" t="s">
        <v>20</v>
      </c>
      <c r="G947" t="s">
        <v>2907</v>
      </c>
      <c r="H947" s="1">
        <v>2742833333333330</v>
      </c>
      <c r="I947">
        <v>0</v>
      </c>
      <c r="J947">
        <v>38</v>
      </c>
      <c r="K947" t="s">
        <v>2908</v>
      </c>
      <c r="L947" s="1">
        <v>6.354E+16</v>
      </c>
      <c r="M947">
        <v>0</v>
      </c>
      <c r="N947">
        <v>0</v>
      </c>
      <c r="O947" s="1">
        <v>4230412038915540</v>
      </c>
      <c r="Q947" t="b">
        <v>0</v>
      </c>
    </row>
    <row r="948" spans="1:17" x14ac:dyDescent="0.35">
      <c r="A948" t="s">
        <v>2909</v>
      </c>
      <c r="B948" t="s">
        <v>18</v>
      </c>
      <c r="C948" t="s">
        <v>2910</v>
      </c>
      <c r="D948">
        <v>0</v>
      </c>
      <c r="E948">
        <v>0</v>
      </c>
      <c r="F948" t="s">
        <v>20</v>
      </c>
      <c r="G948" t="s">
        <v>2911</v>
      </c>
      <c r="H948" s="1">
        <v>2742833333333330</v>
      </c>
      <c r="I948">
        <v>0</v>
      </c>
      <c r="J948">
        <v>38</v>
      </c>
      <c r="K948" t="s">
        <v>2908</v>
      </c>
      <c r="L948" s="1">
        <v>6.354E+16</v>
      </c>
      <c r="M948">
        <v>0</v>
      </c>
      <c r="N948">
        <v>0</v>
      </c>
      <c r="O948" s="1">
        <v>4230440558803620</v>
      </c>
      <c r="Q948" t="b">
        <v>0</v>
      </c>
    </row>
    <row r="949" spans="1:17" x14ac:dyDescent="0.35">
      <c r="A949" t="s">
        <v>2912</v>
      </c>
      <c r="B949" t="s">
        <v>18</v>
      </c>
      <c r="C949" t="s">
        <v>2913</v>
      </c>
      <c r="D949">
        <v>0</v>
      </c>
      <c r="E949">
        <v>0</v>
      </c>
      <c r="F949" t="s">
        <v>20</v>
      </c>
      <c r="G949" t="s">
        <v>2914</v>
      </c>
      <c r="H949" s="1">
        <v>2742833333333330</v>
      </c>
      <c r="I949">
        <v>0</v>
      </c>
      <c r="J949">
        <v>38</v>
      </c>
      <c r="K949" t="s">
        <v>2908</v>
      </c>
      <c r="L949" s="1">
        <v>6.354E+16</v>
      </c>
      <c r="M949">
        <v>0</v>
      </c>
      <c r="N949">
        <v>0</v>
      </c>
      <c r="O949" s="1">
        <v>4230469078691700</v>
      </c>
      <c r="Q949" t="b">
        <v>0</v>
      </c>
    </row>
    <row r="950" spans="1:17" x14ac:dyDescent="0.35">
      <c r="A950" t="s">
        <v>2915</v>
      </c>
      <c r="B950" t="s">
        <v>18</v>
      </c>
      <c r="C950" t="s">
        <v>2916</v>
      </c>
      <c r="D950">
        <v>0</v>
      </c>
      <c r="E950">
        <v>0</v>
      </c>
      <c r="F950" t="s">
        <v>20</v>
      </c>
      <c r="G950" t="s">
        <v>2917</v>
      </c>
      <c r="H950" s="1">
        <v>2742833333333330</v>
      </c>
      <c r="I950">
        <v>0</v>
      </c>
      <c r="J950">
        <v>38</v>
      </c>
      <c r="K950" t="s">
        <v>2908</v>
      </c>
      <c r="L950" s="1">
        <v>6.354E+16</v>
      </c>
      <c r="M950">
        <v>0</v>
      </c>
      <c r="N950">
        <v>0</v>
      </c>
      <c r="O950" s="1">
        <v>4230497598579790</v>
      </c>
      <c r="Q950" t="b">
        <v>0</v>
      </c>
    </row>
    <row r="951" spans="1:17" x14ac:dyDescent="0.35">
      <c r="A951" t="s">
        <v>2918</v>
      </c>
      <c r="B951" t="s">
        <v>18</v>
      </c>
      <c r="C951" t="s">
        <v>2919</v>
      </c>
      <c r="D951">
        <v>0</v>
      </c>
      <c r="E951">
        <v>0</v>
      </c>
      <c r="F951" t="s">
        <v>20</v>
      </c>
      <c r="G951">
        <v>0</v>
      </c>
      <c r="H951" s="1">
        <v>9616666666666660</v>
      </c>
      <c r="I951">
        <v>0</v>
      </c>
      <c r="J951" t="s">
        <v>2920</v>
      </c>
      <c r="K951" t="s">
        <v>2921</v>
      </c>
      <c r="L951" t="s">
        <v>2922</v>
      </c>
      <c r="M951">
        <v>0</v>
      </c>
      <c r="N951">
        <v>0</v>
      </c>
      <c r="O951" s="1">
        <v>4230526118467870</v>
      </c>
      <c r="Q951" t="b">
        <v>0</v>
      </c>
    </row>
    <row r="952" spans="1:17" x14ac:dyDescent="0.35">
      <c r="A952" t="s">
        <v>2923</v>
      </c>
      <c r="B952" t="s">
        <v>18</v>
      </c>
      <c r="C952" t="s">
        <v>2924</v>
      </c>
      <c r="D952">
        <v>0</v>
      </c>
      <c r="E952">
        <v>0</v>
      </c>
      <c r="F952" t="s">
        <v>20</v>
      </c>
      <c r="G952">
        <v>0</v>
      </c>
      <c r="H952" s="1">
        <v>9616666666666660</v>
      </c>
      <c r="I952">
        <v>0</v>
      </c>
      <c r="J952" t="s">
        <v>2920</v>
      </c>
      <c r="K952" t="s">
        <v>2921</v>
      </c>
      <c r="L952" t="s">
        <v>2922</v>
      </c>
      <c r="M952">
        <v>0</v>
      </c>
      <c r="N952">
        <v>0</v>
      </c>
      <c r="O952" s="1">
        <v>4.2305546383559504E+16</v>
      </c>
      <c r="Q952" t="b">
        <v>0</v>
      </c>
    </row>
    <row r="953" spans="1:17" x14ac:dyDescent="0.35">
      <c r="A953" t="s">
        <v>2925</v>
      </c>
      <c r="B953" t="s">
        <v>18</v>
      </c>
      <c r="C953" t="s">
        <v>2926</v>
      </c>
      <c r="D953">
        <v>0</v>
      </c>
      <c r="E953">
        <v>0</v>
      </c>
      <c r="F953" t="s">
        <v>20</v>
      </c>
      <c r="G953">
        <v>0</v>
      </c>
      <c r="H953" s="1">
        <v>9616666666666660</v>
      </c>
      <c r="I953">
        <v>0</v>
      </c>
      <c r="J953" t="s">
        <v>2920</v>
      </c>
      <c r="K953" t="s">
        <v>2921</v>
      </c>
      <c r="L953" t="s">
        <v>2922</v>
      </c>
      <c r="M953">
        <v>0</v>
      </c>
      <c r="N953">
        <v>0</v>
      </c>
      <c r="O953" s="1">
        <v>4230583158244030</v>
      </c>
      <c r="Q953" t="b">
        <v>0</v>
      </c>
    </row>
    <row r="954" spans="1:17" x14ac:dyDescent="0.35">
      <c r="A954" t="s">
        <v>2927</v>
      </c>
      <c r="B954" t="s">
        <v>18</v>
      </c>
      <c r="C954" t="s">
        <v>2928</v>
      </c>
      <c r="D954">
        <v>0</v>
      </c>
      <c r="E954">
        <v>0</v>
      </c>
      <c r="F954" t="s">
        <v>20</v>
      </c>
      <c r="G954">
        <v>0</v>
      </c>
      <c r="H954" s="1">
        <v>9616666666666660</v>
      </c>
      <c r="I954">
        <v>0</v>
      </c>
      <c r="J954" t="s">
        <v>2920</v>
      </c>
      <c r="K954" t="s">
        <v>2921</v>
      </c>
      <c r="L954" t="s">
        <v>2922</v>
      </c>
      <c r="M954">
        <v>0</v>
      </c>
      <c r="N954">
        <v>0</v>
      </c>
      <c r="O954" s="1">
        <v>4230611678132110</v>
      </c>
      <c r="Q954" t="b">
        <v>0</v>
      </c>
    </row>
    <row r="955" spans="1:17" x14ac:dyDescent="0.35">
      <c r="A955" t="s">
        <v>2929</v>
      </c>
      <c r="B955" t="s">
        <v>18</v>
      </c>
      <c r="C955" t="s">
        <v>2930</v>
      </c>
      <c r="D955">
        <v>0</v>
      </c>
      <c r="E955">
        <v>0</v>
      </c>
      <c r="F955" t="s">
        <v>20</v>
      </c>
      <c r="G955">
        <v>0</v>
      </c>
      <c r="H955">
        <v>0</v>
      </c>
      <c r="I955">
        <v>0</v>
      </c>
      <c r="J955">
        <v>0</v>
      </c>
      <c r="K955" t="s">
        <v>2036</v>
      </c>
      <c r="L955" t="s">
        <v>2931</v>
      </c>
      <c r="M955">
        <v>0</v>
      </c>
      <c r="N955">
        <v>0</v>
      </c>
      <c r="O955" s="1">
        <v>4.2306401980201904E+16</v>
      </c>
      <c r="Q955" t="b">
        <v>0</v>
      </c>
    </row>
    <row r="956" spans="1:17" x14ac:dyDescent="0.35">
      <c r="A956" t="s">
        <v>2932</v>
      </c>
      <c r="B956" t="s">
        <v>18</v>
      </c>
      <c r="C956" t="s">
        <v>2933</v>
      </c>
      <c r="D956">
        <v>0</v>
      </c>
      <c r="E956">
        <v>0</v>
      </c>
      <c r="F956" t="s">
        <v>20</v>
      </c>
      <c r="G956">
        <v>0</v>
      </c>
      <c r="H956">
        <v>0</v>
      </c>
      <c r="I956">
        <v>0</v>
      </c>
      <c r="J956">
        <v>0</v>
      </c>
      <c r="K956" t="s">
        <v>2036</v>
      </c>
      <c r="L956" t="s">
        <v>2931</v>
      </c>
      <c r="M956">
        <v>0</v>
      </c>
      <c r="N956">
        <v>0</v>
      </c>
      <c r="O956" s="1">
        <v>4230668717908280</v>
      </c>
      <c r="Q956" t="b">
        <v>0</v>
      </c>
    </row>
    <row r="957" spans="1:17" x14ac:dyDescent="0.35">
      <c r="A957" t="s">
        <v>2934</v>
      </c>
      <c r="B957" t="s">
        <v>18</v>
      </c>
      <c r="C957" t="s">
        <v>2935</v>
      </c>
      <c r="D957">
        <v>0</v>
      </c>
      <c r="E957">
        <v>0</v>
      </c>
      <c r="F957" t="s">
        <v>20</v>
      </c>
      <c r="G957">
        <v>0</v>
      </c>
      <c r="H957">
        <v>0</v>
      </c>
      <c r="I957">
        <v>0</v>
      </c>
      <c r="J957">
        <v>0</v>
      </c>
      <c r="K957" t="s">
        <v>2036</v>
      </c>
      <c r="L957" t="s">
        <v>2931</v>
      </c>
      <c r="M957">
        <v>0</v>
      </c>
      <c r="N957">
        <v>0</v>
      </c>
      <c r="O957" s="1">
        <v>4230697237796360</v>
      </c>
      <c r="Q957" t="b">
        <v>0</v>
      </c>
    </row>
    <row r="958" spans="1:17" x14ac:dyDescent="0.35">
      <c r="A958" t="s">
        <v>2936</v>
      </c>
      <c r="B958" t="s">
        <v>18</v>
      </c>
      <c r="C958" t="s">
        <v>2937</v>
      </c>
      <c r="D958">
        <v>0</v>
      </c>
      <c r="E958">
        <v>0</v>
      </c>
      <c r="F958" t="s">
        <v>20</v>
      </c>
      <c r="G958">
        <v>0</v>
      </c>
      <c r="H958">
        <v>0</v>
      </c>
      <c r="I958">
        <v>0</v>
      </c>
      <c r="J958">
        <v>0</v>
      </c>
      <c r="K958" t="s">
        <v>2036</v>
      </c>
      <c r="L958" t="s">
        <v>2931</v>
      </c>
      <c r="M958">
        <v>0</v>
      </c>
      <c r="N958">
        <v>0</v>
      </c>
      <c r="O958" s="1">
        <v>4230725757684440</v>
      </c>
      <c r="Q958" t="b">
        <v>0</v>
      </c>
    </row>
    <row r="959" spans="1:17" x14ac:dyDescent="0.35">
      <c r="A959" t="s">
        <v>2938</v>
      </c>
      <c r="B959" t="s">
        <v>18</v>
      </c>
      <c r="C959" t="s">
        <v>2939</v>
      </c>
      <c r="D959">
        <v>0</v>
      </c>
      <c r="E959">
        <v>0</v>
      </c>
      <c r="F959" t="s">
        <v>20</v>
      </c>
      <c r="G959">
        <v>0</v>
      </c>
      <c r="H959">
        <v>0</v>
      </c>
      <c r="I959">
        <v>0</v>
      </c>
      <c r="J959">
        <v>0</v>
      </c>
      <c r="K959" s="1">
        <v>3.09999999999999E+16</v>
      </c>
      <c r="L959" s="1">
        <v>5.004E+16</v>
      </c>
      <c r="M959">
        <v>0</v>
      </c>
      <c r="N959">
        <v>0</v>
      </c>
      <c r="O959" s="1">
        <v>4230754277572520</v>
      </c>
      <c r="Q959" t="b">
        <v>0</v>
      </c>
    </row>
    <row r="960" spans="1:17" x14ac:dyDescent="0.35">
      <c r="A960" t="s">
        <v>2940</v>
      </c>
      <c r="B960" t="s">
        <v>18</v>
      </c>
      <c r="C960" t="s">
        <v>2941</v>
      </c>
      <c r="D960">
        <v>0</v>
      </c>
      <c r="E960">
        <v>0</v>
      </c>
      <c r="F960" t="s">
        <v>20</v>
      </c>
      <c r="G960">
        <v>0</v>
      </c>
      <c r="H960">
        <v>0</v>
      </c>
      <c r="I960">
        <v>0</v>
      </c>
      <c r="J960">
        <v>0</v>
      </c>
      <c r="K960" s="1">
        <v>3.09999999999999E+16</v>
      </c>
      <c r="L960" s="1">
        <v>5.004E+16</v>
      </c>
      <c r="M960">
        <v>0</v>
      </c>
      <c r="N960">
        <v>0</v>
      </c>
      <c r="O960" s="1">
        <v>4230782797460600</v>
      </c>
      <c r="Q960" t="b">
        <v>0</v>
      </c>
    </row>
    <row r="961" spans="1:17" x14ac:dyDescent="0.35">
      <c r="A961" t="s">
        <v>2942</v>
      </c>
      <c r="B961" t="s">
        <v>18</v>
      </c>
      <c r="C961" t="s">
        <v>2943</v>
      </c>
      <c r="D961">
        <v>0</v>
      </c>
      <c r="E961">
        <v>0</v>
      </c>
      <c r="F961" t="s">
        <v>20</v>
      </c>
      <c r="G961">
        <v>0</v>
      </c>
      <c r="H961">
        <v>0</v>
      </c>
      <c r="I961">
        <v>0</v>
      </c>
      <c r="J961">
        <v>0</v>
      </c>
      <c r="K961" s="1">
        <v>3.09999999999999E+16</v>
      </c>
      <c r="L961" s="1">
        <v>5.004E+16</v>
      </c>
      <c r="M961">
        <v>0</v>
      </c>
      <c r="N961">
        <v>0</v>
      </c>
      <c r="O961" s="1">
        <v>4230811317348680</v>
      </c>
      <c r="Q961" t="b">
        <v>0</v>
      </c>
    </row>
    <row r="962" spans="1:17" x14ac:dyDescent="0.35">
      <c r="A962" t="s">
        <v>2944</v>
      </c>
      <c r="B962" t="s">
        <v>18</v>
      </c>
      <c r="C962" t="s">
        <v>2945</v>
      </c>
      <c r="D962">
        <v>0</v>
      </c>
      <c r="E962">
        <v>0</v>
      </c>
      <c r="F962" t="s">
        <v>20</v>
      </c>
      <c r="G962">
        <v>0</v>
      </c>
      <c r="H962">
        <v>0</v>
      </c>
      <c r="I962">
        <v>0</v>
      </c>
      <c r="J962">
        <v>0</v>
      </c>
      <c r="K962" s="1">
        <v>3.09999999999999E+16</v>
      </c>
      <c r="L962" s="1">
        <v>5.004E+16</v>
      </c>
      <c r="M962">
        <v>0</v>
      </c>
      <c r="N962">
        <v>0</v>
      </c>
      <c r="O962" s="1">
        <v>423083983723677</v>
      </c>
      <c r="Q962" t="b">
        <v>0</v>
      </c>
    </row>
    <row r="963" spans="1:17" x14ac:dyDescent="0.35">
      <c r="A963" t="s">
        <v>2946</v>
      </c>
      <c r="B963" t="s">
        <v>18</v>
      </c>
      <c r="C963" t="s">
        <v>2947</v>
      </c>
      <c r="D963">
        <v>0</v>
      </c>
      <c r="E963">
        <v>0</v>
      </c>
      <c r="F963" t="s">
        <v>20</v>
      </c>
      <c r="G963">
        <v>0</v>
      </c>
      <c r="H963">
        <v>0</v>
      </c>
      <c r="I963">
        <v>0</v>
      </c>
      <c r="J963">
        <v>0</v>
      </c>
      <c r="K963" t="s">
        <v>97</v>
      </c>
      <c r="L963" t="s">
        <v>2948</v>
      </c>
      <c r="M963">
        <v>0</v>
      </c>
      <c r="N963">
        <v>0</v>
      </c>
      <c r="O963" s="1">
        <v>4.2308683571248496E+16</v>
      </c>
      <c r="Q963" t="b">
        <v>0</v>
      </c>
    </row>
    <row r="964" spans="1:17" x14ac:dyDescent="0.35">
      <c r="A964" t="s">
        <v>2949</v>
      </c>
      <c r="B964" t="s">
        <v>18</v>
      </c>
      <c r="C964" t="s">
        <v>2950</v>
      </c>
      <c r="D964">
        <v>0</v>
      </c>
      <c r="E964">
        <v>0</v>
      </c>
      <c r="F964" t="s">
        <v>20</v>
      </c>
      <c r="G964">
        <v>0</v>
      </c>
      <c r="H964">
        <v>0</v>
      </c>
      <c r="I964">
        <v>0</v>
      </c>
      <c r="J964">
        <v>0</v>
      </c>
      <c r="K964" t="s">
        <v>97</v>
      </c>
      <c r="L964" t="s">
        <v>2948</v>
      </c>
      <c r="M964">
        <v>0</v>
      </c>
      <c r="N964">
        <v>0</v>
      </c>
      <c r="O964" s="1">
        <v>4230896877012930</v>
      </c>
      <c r="Q964" t="b">
        <v>0</v>
      </c>
    </row>
    <row r="965" spans="1:17" x14ac:dyDescent="0.35">
      <c r="A965" t="s">
        <v>2951</v>
      </c>
      <c r="B965" t="s">
        <v>18</v>
      </c>
      <c r="C965" t="s">
        <v>2952</v>
      </c>
      <c r="D965">
        <v>0</v>
      </c>
      <c r="E965">
        <v>0</v>
      </c>
      <c r="F965" t="s">
        <v>20</v>
      </c>
      <c r="G965">
        <v>0</v>
      </c>
      <c r="H965">
        <v>0</v>
      </c>
      <c r="I965">
        <v>0</v>
      </c>
      <c r="J965">
        <v>0</v>
      </c>
      <c r="K965" t="s">
        <v>97</v>
      </c>
      <c r="L965" t="s">
        <v>2948</v>
      </c>
      <c r="M965">
        <v>0</v>
      </c>
      <c r="N965">
        <v>0</v>
      </c>
      <c r="O965" s="1">
        <v>4230925396901010</v>
      </c>
      <c r="Q965" t="b">
        <v>0</v>
      </c>
    </row>
    <row r="966" spans="1:17" x14ac:dyDescent="0.35">
      <c r="A966" t="s">
        <v>2953</v>
      </c>
      <c r="B966" t="s">
        <v>18</v>
      </c>
      <c r="C966" t="s">
        <v>2954</v>
      </c>
      <c r="D966">
        <v>0</v>
      </c>
      <c r="E966">
        <v>0</v>
      </c>
      <c r="F966" t="s">
        <v>20</v>
      </c>
      <c r="G966">
        <v>0</v>
      </c>
      <c r="H966">
        <v>0</v>
      </c>
      <c r="I966">
        <v>0</v>
      </c>
      <c r="J966">
        <v>0</v>
      </c>
      <c r="K966" t="s">
        <v>97</v>
      </c>
      <c r="L966" t="s">
        <v>2948</v>
      </c>
      <c r="M966">
        <v>0</v>
      </c>
      <c r="N966">
        <v>0</v>
      </c>
      <c r="O966" s="1">
        <v>4230953916789090</v>
      </c>
      <c r="Q966" t="b">
        <v>0</v>
      </c>
    </row>
    <row r="967" spans="1:17" x14ac:dyDescent="0.35">
      <c r="A967" t="s">
        <v>2955</v>
      </c>
      <c r="B967" t="s">
        <v>18</v>
      </c>
      <c r="C967" t="s">
        <v>2956</v>
      </c>
      <c r="D967">
        <v>0</v>
      </c>
      <c r="E967">
        <v>0</v>
      </c>
      <c r="F967" t="s">
        <v>20</v>
      </c>
      <c r="G967">
        <v>0</v>
      </c>
      <c r="H967">
        <v>0</v>
      </c>
      <c r="I967">
        <v>0</v>
      </c>
      <c r="J967">
        <v>0</v>
      </c>
      <c r="K967" t="s">
        <v>671</v>
      </c>
      <c r="L967" s="1">
        <v>4.698E+16</v>
      </c>
      <c r="M967">
        <v>0</v>
      </c>
      <c r="N967">
        <v>0</v>
      </c>
      <c r="O967" s="1">
        <v>4230982436677170</v>
      </c>
      <c r="Q967" t="b">
        <v>0</v>
      </c>
    </row>
    <row r="968" spans="1:17" x14ac:dyDescent="0.35">
      <c r="A968" t="s">
        <v>2957</v>
      </c>
      <c r="B968" t="s">
        <v>18</v>
      </c>
      <c r="C968" t="s">
        <v>2958</v>
      </c>
      <c r="D968">
        <v>0</v>
      </c>
      <c r="E968">
        <v>0</v>
      </c>
      <c r="F968" t="s">
        <v>20</v>
      </c>
      <c r="G968">
        <v>0</v>
      </c>
      <c r="H968">
        <v>0</v>
      </c>
      <c r="I968">
        <v>0</v>
      </c>
      <c r="J968">
        <v>0</v>
      </c>
      <c r="K968" t="s">
        <v>671</v>
      </c>
      <c r="L968" s="1">
        <v>4.698E+16</v>
      </c>
      <c r="M968">
        <v>0</v>
      </c>
      <c r="N968">
        <v>0</v>
      </c>
      <c r="O968" s="1">
        <v>4231010956565250</v>
      </c>
      <c r="Q968" t="b">
        <v>0</v>
      </c>
    </row>
    <row r="969" spans="1:17" x14ac:dyDescent="0.35">
      <c r="A969" t="s">
        <v>2959</v>
      </c>
      <c r="B969" t="s">
        <v>18</v>
      </c>
      <c r="C969" t="s">
        <v>2960</v>
      </c>
      <c r="D969">
        <v>0</v>
      </c>
      <c r="E969">
        <v>0</v>
      </c>
      <c r="F969" t="s">
        <v>20</v>
      </c>
      <c r="G969">
        <v>0</v>
      </c>
      <c r="H969">
        <v>0</v>
      </c>
      <c r="I969">
        <v>0</v>
      </c>
      <c r="J969">
        <v>0</v>
      </c>
      <c r="K969" t="s">
        <v>671</v>
      </c>
      <c r="L969" s="1">
        <v>4.698E+16</v>
      </c>
      <c r="M969">
        <v>0</v>
      </c>
      <c r="N969">
        <v>0</v>
      </c>
      <c r="O969" s="1">
        <v>4231039476453340</v>
      </c>
      <c r="Q969" t="b">
        <v>0</v>
      </c>
    </row>
    <row r="970" spans="1:17" x14ac:dyDescent="0.35">
      <c r="A970" t="s">
        <v>2961</v>
      </c>
      <c r="B970" t="s">
        <v>18</v>
      </c>
      <c r="C970" t="s">
        <v>2962</v>
      </c>
      <c r="D970">
        <v>0</v>
      </c>
      <c r="E970">
        <v>0</v>
      </c>
      <c r="F970" t="s">
        <v>20</v>
      </c>
      <c r="G970">
        <v>0</v>
      </c>
      <c r="H970">
        <v>0</v>
      </c>
      <c r="I970">
        <v>0</v>
      </c>
      <c r="J970">
        <v>0</v>
      </c>
      <c r="K970" t="s">
        <v>671</v>
      </c>
      <c r="L970" s="1">
        <v>4.698E+16</v>
      </c>
      <c r="M970">
        <v>0</v>
      </c>
      <c r="N970">
        <v>0</v>
      </c>
      <c r="O970" s="1">
        <v>4231067996341420</v>
      </c>
      <c r="Q970" t="b">
        <v>0</v>
      </c>
    </row>
    <row r="971" spans="1:17" x14ac:dyDescent="0.35">
      <c r="A971" t="s">
        <v>2963</v>
      </c>
      <c r="B971" t="s">
        <v>18</v>
      </c>
      <c r="C971" t="s">
        <v>2964</v>
      </c>
      <c r="D971">
        <v>0</v>
      </c>
      <c r="E971">
        <v>0</v>
      </c>
      <c r="F971" t="s">
        <v>20</v>
      </c>
      <c r="G971">
        <v>0</v>
      </c>
      <c r="H971">
        <v>0</v>
      </c>
      <c r="I971">
        <v>0</v>
      </c>
      <c r="J971">
        <v>0</v>
      </c>
      <c r="K971" t="s">
        <v>380</v>
      </c>
      <c r="L971" s="1">
        <v>4.644E+16</v>
      </c>
      <c r="M971">
        <v>0</v>
      </c>
      <c r="N971">
        <v>0</v>
      </c>
      <c r="O971" s="1">
        <v>4.2310965162295E+16</v>
      </c>
      <c r="Q971" t="b">
        <v>0</v>
      </c>
    </row>
    <row r="972" spans="1:17" x14ac:dyDescent="0.35">
      <c r="A972" t="s">
        <v>2965</v>
      </c>
      <c r="B972" t="s">
        <v>18</v>
      </c>
      <c r="C972" t="s">
        <v>2966</v>
      </c>
      <c r="D972">
        <v>0</v>
      </c>
      <c r="E972">
        <v>0</v>
      </c>
      <c r="F972" t="s">
        <v>20</v>
      </c>
      <c r="G972">
        <v>0</v>
      </c>
      <c r="H972">
        <v>0</v>
      </c>
      <c r="I972">
        <v>0</v>
      </c>
      <c r="J972">
        <v>0</v>
      </c>
      <c r="K972" t="s">
        <v>380</v>
      </c>
      <c r="L972" s="1">
        <v>4.644E+16</v>
      </c>
      <c r="M972">
        <v>0</v>
      </c>
      <c r="N972">
        <v>0</v>
      </c>
      <c r="O972" s="1">
        <v>4231125036117580</v>
      </c>
      <c r="Q972" t="b">
        <v>0</v>
      </c>
    </row>
    <row r="973" spans="1:17" x14ac:dyDescent="0.35">
      <c r="A973" t="s">
        <v>2967</v>
      </c>
      <c r="B973" t="s">
        <v>18</v>
      </c>
      <c r="C973" t="s">
        <v>2968</v>
      </c>
      <c r="D973">
        <v>0</v>
      </c>
      <c r="E973">
        <v>0</v>
      </c>
      <c r="F973" t="s">
        <v>20</v>
      </c>
      <c r="G973">
        <v>0</v>
      </c>
      <c r="H973">
        <v>0</v>
      </c>
      <c r="I973">
        <v>0</v>
      </c>
      <c r="J973">
        <v>0</v>
      </c>
      <c r="K973" t="s">
        <v>380</v>
      </c>
      <c r="L973" s="1">
        <v>4.644E+16</v>
      </c>
      <c r="M973">
        <v>0</v>
      </c>
      <c r="N973">
        <v>0</v>
      </c>
      <c r="O973" s="1">
        <v>4231153556005660</v>
      </c>
      <c r="Q973" t="b">
        <v>0</v>
      </c>
    </row>
    <row r="974" spans="1:17" x14ac:dyDescent="0.35">
      <c r="A974" t="s">
        <v>2969</v>
      </c>
      <c r="B974" t="s">
        <v>18</v>
      </c>
      <c r="C974" t="s">
        <v>2970</v>
      </c>
      <c r="D974">
        <v>0</v>
      </c>
      <c r="E974">
        <v>0</v>
      </c>
      <c r="F974" t="s">
        <v>20</v>
      </c>
      <c r="G974">
        <v>0</v>
      </c>
      <c r="H974">
        <v>0</v>
      </c>
      <c r="I974">
        <v>0</v>
      </c>
      <c r="J974">
        <v>0</v>
      </c>
      <c r="K974" t="s">
        <v>380</v>
      </c>
      <c r="L974" s="1">
        <v>4.644E+16</v>
      </c>
      <c r="M974">
        <v>0</v>
      </c>
      <c r="N974">
        <v>0</v>
      </c>
      <c r="O974" s="1">
        <v>4.23118207589374E+16</v>
      </c>
      <c r="Q974" t="b">
        <v>0</v>
      </c>
    </row>
    <row r="975" spans="1:17" x14ac:dyDescent="0.35">
      <c r="A975" t="s">
        <v>2971</v>
      </c>
      <c r="B975" t="s">
        <v>18</v>
      </c>
      <c r="C975" t="s">
        <v>2972</v>
      </c>
      <c r="D975">
        <v>0</v>
      </c>
      <c r="E975">
        <v>0</v>
      </c>
      <c r="F975" t="s">
        <v>20</v>
      </c>
      <c r="G975">
        <v>0</v>
      </c>
      <c r="H975">
        <v>0</v>
      </c>
      <c r="I975">
        <v>0</v>
      </c>
      <c r="J975">
        <v>0</v>
      </c>
      <c r="K975" t="s">
        <v>383</v>
      </c>
      <c r="L975" s="1">
        <v>4.59E+16</v>
      </c>
      <c r="M975">
        <v>0</v>
      </c>
      <c r="N975">
        <v>0</v>
      </c>
      <c r="O975" s="1">
        <v>4231210595781830</v>
      </c>
      <c r="Q975" t="b">
        <v>0</v>
      </c>
    </row>
    <row r="976" spans="1:17" x14ac:dyDescent="0.35">
      <c r="A976" t="s">
        <v>2973</v>
      </c>
      <c r="B976" t="s">
        <v>18</v>
      </c>
      <c r="C976" t="s">
        <v>2974</v>
      </c>
      <c r="D976">
        <v>0</v>
      </c>
      <c r="E976">
        <v>0</v>
      </c>
      <c r="F976" t="s">
        <v>20</v>
      </c>
      <c r="G976">
        <v>0</v>
      </c>
      <c r="H976">
        <v>0</v>
      </c>
      <c r="I976">
        <v>0</v>
      </c>
      <c r="J976">
        <v>0</v>
      </c>
      <c r="K976" t="s">
        <v>383</v>
      </c>
      <c r="L976" s="1">
        <v>4.59E+16</v>
      </c>
      <c r="M976">
        <v>0</v>
      </c>
      <c r="N976">
        <v>0</v>
      </c>
      <c r="O976" s="1">
        <v>4231239115669910</v>
      </c>
      <c r="Q976" t="b">
        <v>0</v>
      </c>
    </row>
    <row r="977" spans="1:17" x14ac:dyDescent="0.35">
      <c r="A977" t="s">
        <v>2975</v>
      </c>
      <c r="B977" t="s">
        <v>18</v>
      </c>
      <c r="C977" t="s">
        <v>2976</v>
      </c>
      <c r="D977">
        <v>0</v>
      </c>
      <c r="E977">
        <v>0</v>
      </c>
      <c r="F977" t="s">
        <v>20</v>
      </c>
      <c r="G977">
        <v>0</v>
      </c>
      <c r="H977">
        <v>0</v>
      </c>
      <c r="I977">
        <v>0</v>
      </c>
      <c r="J977">
        <v>0</v>
      </c>
      <c r="K977" t="s">
        <v>383</v>
      </c>
      <c r="L977" s="1">
        <v>4.59E+16</v>
      </c>
      <c r="M977">
        <v>0</v>
      </c>
      <c r="N977">
        <v>0</v>
      </c>
      <c r="O977" s="1">
        <v>4231267635557990</v>
      </c>
      <c r="Q977" t="b">
        <v>0</v>
      </c>
    </row>
    <row r="978" spans="1:17" x14ac:dyDescent="0.35">
      <c r="A978" t="s">
        <v>2977</v>
      </c>
      <c r="B978" t="s">
        <v>18</v>
      </c>
      <c r="C978" t="s">
        <v>2978</v>
      </c>
      <c r="D978">
        <v>0</v>
      </c>
      <c r="E978">
        <v>0</v>
      </c>
      <c r="F978" t="s">
        <v>20</v>
      </c>
      <c r="G978">
        <v>0</v>
      </c>
      <c r="H978">
        <v>0</v>
      </c>
      <c r="I978">
        <v>0</v>
      </c>
      <c r="J978">
        <v>0</v>
      </c>
      <c r="K978" t="s">
        <v>383</v>
      </c>
      <c r="L978" s="1">
        <v>4.59E+16</v>
      </c>
      <c r="M978">
        <v>0</v>
      </c>
      <c r="N978">
        <v>0</v>
      </c>
      <c r="O978" s="1">
        <v>4231296155446070</v>
      </c>
      <c r="Q978" t="b">
        <v>0</v>
      </c>
    </row>
    <row r="979" spans="1:17" x14ac:dyDescent="0.35">
      <c r="A979" t="s">
        <v>2979</v>
      </c>
      <c r="B979" t="s">
        <v>18</v>
      </c>
      <c r="C979" t="s">
        <v>2980</v>
      </c>
      <c r="D979">
        <v>0</v>
      </c>
      <c r="E979">
        <v>0</v>
      </c>
      <c r="F979" t="s">
        <v>20</v>
      </c>
      <c r="G979">
        <v>0</v>
      </c>
      <c r="H979">
        <v>0</v>
      </c>
      <c r="I979">
        <v>0</v>
      </c>
      <c r="J979">
        <v>0</v>
      </c>
      <c r="K979" t="s">
        <v>2479</v>
      </c>
      <c r="L979" t="s">
        <v>2981</v>
      </c>
      <c r="M979">
        <v>0</v>
      </c>
      <c r="N979">
        <v>0</v>
      </c>
      <c r="O979" s="1">
        <v>4231324675334150</v>
      </c>
      <c r="Q979" t="b">
        <v>0</v>
      </c>
    </row>
    <row r="980" spans="1:17" x14ac:dyDescent="0.35">
      <c r="A980" t="s">
        <v>2982</v>
      </c>
      <c r="B980" t="s">
        <v>18</v>
      </c>
      <c r="C980" t="s">
        <v>2983</v>
      </c>
      <c r="D980">
        <v>0</v>
      </c>
      <c r="E980">
        <v>0</v>
      </c>
      <c r="F980" t="s">
        <v>20</v>
      </c>
      <c r="G980">
        <v>0</v>
      </c>
      <c r="H980">
        <v>0</v>
      </c>
      <c r="I980">
        <v>0</v>
      </c>
      <c r="J980">
        <v>0</v>
      </c>
      <c r="K980" t="s">
        <v>2479</v>
      </c>
      <c r="L980" t="s">
        <v>2981</v>
      </c>
      <c r="M980">
        <v>0</v>
      </c>
      <c r="N980">
        <v>0</v>
      </c>
      <c r="O980" s="1">
        <v>4231353195222230</v>
      </c>
      <c r="Q980" t="b">
        <v>0</v>
      </c>
    </row>
    <row r="981" spans="1:17" x14ac:dyDescent="0.35">
      <c r="A981" t="s">
        <v>2984</v>
      </c>
      <c r="B981" t="s">
        <v>18</v>
      </c>
      <c r="C981" t="s">
        <v>2985</v>
      </c>
      <c r="D981">
        <v>0</v>
      </c>
      <c r="E981">
        <v>0</v>
      </c>
      <c r="F981" t="s">
        <v>20</v>
      </c>
      <c r="G981">
        <v>0</v>
      </c>
      <c r="H981">
        <v>0</v>
      </c>
      <c r="I981">
        <v>0</v>
      </c>
      <c r="J981">
        <v>0</v>
      </c>
      <c r="K981" t="s">
        <v>2479</v>
      </c>
      <c r="L981" t="s">
        <v>2981</v>
      </c>
      <c r="M981">
        <v>0</v>
      </c>
      <c r="N981">
        <v>0</v>
      </c>
      <c r="O981" s="1">
        <v>423138171511032</v>
      </c>
      <c r="Q981" t="b">
        <v>0</v>
      </c>
    </row>
    <row r="982" spans="1:17" x14ac:dyDescent="0.35">
      <c r="A982" t="s">
        <v>2986</v>
      </c>
      <c r="B982" t="s">
        <v>18</v>
      </c>
      <c r="C982" t="s">
        <v>2987</v>
      </c>
      <c r="D982">
        <v>0</v>
      </c>
      <c r="E982">
        <v>0</v>
      </c>
      <c r="F982" t="s">
        <v>20</v>
      </c>
      <c r="G982">
        <v>0</v>
      </c>
      <c r="H982">
        <v>0</v>
      </c>
      <c r="I982">
        <v>0</v>
      </c>
      <c r="J982">
        <v>0</v>
      </c>
      <c r="K982" t="s">
        <v>2479</v>
      </c>
      <c r="L982" t="s">
        <v>2981</v>
      </c>
      <c r="M982">
        <v>0</v>
      </c>
      <c r="N982">
        <v>0</v>
      </c>
      <c r="O982" s="1">
        <v>4.2314102349984E+16</v>
      </c>
      <c r="Q982" t="b">
        <v>0</v>
      </c>
    </row>
    <row r="983" spans="1:17" x14ac:dyDescent="0.35">
      <c r="A983" t="s">
        <v>2988</v>
      </c>
      <c r="B983" t="s">
        <v>18</v>
      </c>
      <c r="C983" t="s">
        <v>2989</v>
      </c>
      <c r="D983">
        <v>0</v>
      </c>
      <c r="E983">
        <v>0</v>
      </c>
      <c r="F983" t="s">
        <v>20</v>
      </c>
      <c r="G983">
        <v>0</v>
      </c>
      <c r="H983">
        <v>0</v>
      </c>
      <c r="I983">
        <v>0</v>
      </c>
      <c r="J983">
        <v>0</v>
      </c>
      <c r="K983" t="s">
        <v>842</v>
      </c>
      <c r="L983" t="s">
        <v>2990</v>
      </c>
      <c r="M983">
        <v>0</v>
      </c>
      <c r="N983">
        <v>0</v>
      </c>
      <c r="O983" s="1">
        <v>4231438754886480</v>
      </c>
      <c r="Q983" t="b">
        <v>0</v>
      </c>
    </row>
    <row r="984" spans="1:17" x14ac:dyDescent="0.35">
      <c r="A984" t="s">
        <v>2991</v>
      </c>
      <c r="B984" t="s">
        <v>18</v>
      </c>
      <c r="C984" t="s">
        <v>2992</v>
      </c>
      <c r="D984">
        <v>0</v>
      </c>
      <c r="E984">
        <v>0</v>
      </c>
      <c r="F984" t="s">
        <v>20</v>
      </c>
      <c r="G984">
        <v>0</v>
      </c>
      <c r="H984">
        <v>0</v>
      </c>
      <c r="I984">
        <v>0</v>
      </c>
      <c r="J984">
        <v>0</v>
      </c>
      <c r="K984" t="s">
        <v>842</v>
      </c>
      <c r="L984" t="s">
        <v>2990</v>
      </c>
      <c r="M984">
        <v>0</v>
      </c>
      <c r="N984">
        <v>0</v>
      </c>
      <c r="O984" s="1">
        <v>4231467274774560</v>
      </c>
      <c r="Q984" t="b">
        <v>0</v>
      </c>
    </row>
    <row r="985" spans="1:17" x14ac:dyDescent="0.35">
      <c r="A985" t="s">
        <v>2993</v>
      </c>
      <c r="B985" t="s">
        <v>18</v>
      </c>
      <c r="C985" t="s">
        <v>2994</v>
      </c>
      <c r="D985">
        <v>0</v>
      </c>
      <c r="E985">
        <v>0</v>
      </c>
      <c r="F985" t="s">
        <v>20</v>
      </c>
      <c r="G985">
        <v>0</v>
      </c>
      <c r="H985">
        <v>0</v>
      </c>
      <c r="I985">
        <v>0</v>
      </c>
      <c r="J985">
        <v>0</v>
      </c>
      <c r="K985" t="s">
        <v>842</v>
      </c>
      <c r="L985" t="s">
        <v>2990</v>
      </c>
      <c r="M985">
        <v>0</v>
      </c>
      <c r="N985">
        <v>0</v>
      </c>
      <c r="O985" s="1">
        <v>4231495794662640</v>
      </c>
      <c r="Q985" t="b">
        <v>0</v>
      </c>
    </row>
    <row r="986" spans="1:17" x14ac:dyDescent="0.35">
      <c r="A986" t="s">
        <v>2995</v>
      </c>
      <c r="B986" t="s">
        <v>18</v>
      </c>
      <c r="C986" t="s">
        <v>2996</v>
      </c>
      <c r="D986">
        <v>0</v>
      </c>
      <c r="E986">
        <v>0</v>
      </c>
      <c r="F986" t="s">
        <v>20</v>
      </c>
      <c r="G986">
        <v>0</v>
      </c>
      <c r="H986">
        <v>0</v>
      </c>
      <c r="I986">
        <v>0</v>
      </c>
      <c r="J986">
        <v>0</v>
      </c>
      <c r="K986" t="s">
        <v>842</v>
      </c>
      <c r="L986" t="s">
        <v>2990</v>
      </c>
      <c r="M986">
        <v>0</v>
      </c>
      <c r="N986">
        <v>0</v>
      </c>
      <c r="O986" s="1">
        <v>4231524314550720</v>
      </c>
      <c r="Q986" t="b">
        <v>0</v>
      </c>
    </row>
    <row r="987" spans="1:17" x14ac:dyDescent="0.35">
      <c r="A987" t="s">
        <v>2997</v>
      </c>
      <c r="B987" t="s">
        <v>18</v>
      </c>
      <c r="C987" t="s">
        <v>2998</v>
      </c>
      <c r="D987">
        <v>0</v>
      </c>
      <c r="E987">
        <v>0</v>
      </c>
      <c r="F987" t="s">
        <v>20</v>
      </c>
      <c r="G987">
        <v>0</v>
      </c>
      <c r="H987">
        <v>0</v>
      </c>
      <c r="I987">
        <v>0</v>
      </c>
      <c r="J987">
        <v>0</v>
      </c>
      <c r="K987" t="s">
        <v>2999</v>
      </c>
      <c r="L987" t="s">
        <v>3000</v>
      </c>
      <c r="M987">
        <v>0</v>
      </c>
      <c r="N987">
        <v>0</v>
      </c>
      <c r="O987" s="1">
        <v>4231552834438800</v>
      </c>
      <c r="Q987" t="b">
        <v>0</v>
      </c>
    </row>
    <row r="988" spans="1:17" x14ac:dyDescent="0.35">
      <c r="A988" t="s">
        <v>3001</v>
      </c>
      <c r="B988" t="s">
        <v>18</v>
      </c>
      <c r="C988" t="s">
        <v>3002</v>
      </c>
      <c r="D988">
        <v>0</v>
      </c>
      <c r="E988">
        <v>0</v>
      </c>
      <c r="F988" t="s">
        <v>20</v>
      </c>
      <c r="G988">
        <v>0</v>
      </c>
      <c r="H988">
        <v>0</v>
      </c>
      <c r="I988">
        <v>0</v>
      </c>
      <c r="J988">
        <v>0</v>
      </c>
      <c r="K988" t="s">
        <v>2999</v>
      </c>
      <c r="L988" t="s">
        <v>3000</v>
      </c>
      <c r="M988">
        <v>0</v>
      </c>
      <c r="N988">
        <v>0</v>
      </c>
      <c r="O988" s="1">
        <v>4231581354326890</v>
      </c>
      <c r="Q988" t="b">
        <v>0</v>
      </c>
    </row>
    <row r="989" spans="1:17" x14ac:dyDescent="0.35">
      <c r="A989" t="s">
        <v>3003</v>
      </c>
      <c r="B989" t="s">
        <v>18</v>
      </c>
      <c r="C989" t="s">
        <v>3004</v>
      </c>
      <c r="D989">
        <v>0</v>
      </c>
      <c r="E989">
        <v>0</v>
      </c>
      <c r="F989" t="s">
        <v>20</v>
      </c>
      <c r="G989">
        <v>0</v>
      </c>
      <c r="H989">
        <v>0</v>
      </c>
      <c r="I989">
        <v>0</v>
      </c>
      <c r="J989">
        <v>0</v>
      </c>
      <c r="K989" t="s">
        <v>2999</v>
      </c>
      <c r="L989" t="s">
        <v>3000</v>
      </c>
      <c r="M989">
        <v>0</v>
      </c>
      <c r="N989">
        <v>0</v>
      </c>
      <c r="O989" s="1">
        <v>4231609874214970</v>
      </c>
      <c r="Q989" t="b">
        <v>0</v>
      </c>
    </row>
    <row r="990" spans="1:17" x14ac:dyDescent="0.35">
      <c r="A990" t="s">
        <v>3005</v>
      </c>
      <c r="B990" t="s">
        <v>18</v>
      </c>
      <c r="C990" t="s">
        <v>3006</v>
      </c>
      <c r="D990">
        <v>0</v>
      </c>
      <c r="E990">
        <v>0</v>
      </c>
      <c r="F990" t="s">
        <v>20</v>
      </c>
      <c r="G990">
        <v>0</v>
      </c>
      <c r="H990">
        <v>0</v>
      </c>
      <c r="I990">
        <v>0</v>
      </c>
      <c r="J990">
        <v>0</v>
      </c>
      <c r="K990" t="s">
        <v>2999</v>
      </c>
      <c r="L990" t="s">
        <v>3000</v>
      </c>
      <c r="M990">
        <v>0</v>
      </c>
      <c r="N990">
        <v>0</v>
      </c>
      <c r="O990" s="1">
        <v>4231638394103050</v>
      </c>
      <c r="Q990" t="b">
        <v>0</v>
      </c>
    </row>
    <row r="991" spans="1:17" x14ac:dyDescent="0.35">
      <c r="A991" t="s">
        <v>3007</v>
      </c>
      <c r="B991" t="s">
        <v>18</v>
      </c>
      <c r="C991" t="s">
        <v>3008</v>
      </c>
      <c r="D991">
        <v>0</v>
      </c>
      <c r="E991">
        <v>0</v>
      </c>
      <c r="F991" t="s">
        <v>20</v>
      </c>
      <c r="G991">
        <v>0</v>
      </c>
      <c r="H991">
        <v>0</v>
      </c>
      <c r="I991">
        <v>0</v>
      </c>
      <c r="J991">
        <v>0</v>
      </c>
      <c r="K991" t="s">
        <v>1827</v>
      </c>
      <c r="L991" t="s">
        <v>3009</v>
      </c>
      <c r="M991">
        <v>0</v>
      </c>
      <c r="N991">
        <v>0</v>
      </c>
      <c r="O991" s="1">
        <v>4231666913991130</v>
      </c>
      <c r="Q991" t="b">
        <v>0</v>
      </c>
    </row>
    <row r="992" spans="1:17" x14ac:dyDescent="0.35">
      <c r="A992" t="s">
        <v>3010</v>
      </c>
      <c r="B992" t="s">
        <v>18</v>
      </c>
      <c r="C992" t="s">
        <v>3011</v>
      </c>
      <c r="D992">
        <v>0</v>
      </c>
      <c r="E992">
        <v>0</v>
      </c>
      <c r="F992" t="s">
        <v>20</v>
      </c>
      <c r="G992">
        <v>0</v>
      </c>
      <c r="H992">
        <v>0</v>
      </c>
      <c r="I992">
        <v>0</v>
      </c>
      <c r="J992">
        <v>0</v>
      </c>
      <c r="K992" t="s">
        <v>1827</v>
      </c>
      <c r="L992" t="s">
        <v>3009</v>
      </c>
      <c r="M992">
        <v>0</v>
      </c>
      <c r="N992">
        <v>0</v>
      </c>
      <c r="O992" s="1">
        <v>4231695433879210</v>
      </c>
      <c r="Q992" t="b">
        <v>0</v>
      </c>
    </row>
    <row r="993" spans="1:17" x14ac:dyDescent="0.35">
      <c r="A993" t="s">
        <v>3012</v>
      </c>
      <c r="B993" t="s">
        <v>18</v>
      </c>
      <c r="C993" t="s">
        <v>3013</v>
      </c>
      <c r="D993">
        <v>0</v>
      </c>
      <c r="E993">
        <v>0</v>
      </c>
      <c r="F993" t="s">
        <v>20</v>
      </c>
      <c r="G993">
        <v>0</v>
      </c>
      <c r="H993">
        <v>0</v>
      </c>
      <c r="I993">
        <v>0</v>
      </c>
      <c r="J993">
        <v>0</v>
      </c>
      <c r="K993" t="s">
        <v>1827</v>
      </c>
      <c r="L993" t="s">
        <v>3009</v>
      </c>
      <c r="M993">
        <v>0</v>
      </c>
      <c r="N993">
        <v>0</v>
      </c>
      <c r="O993" s="1">
        <v>4231723953767290</v>
      </c>
      <c r="Q993" t="b">
        <v>0</v>
      </c>
    </row>
    <row r="994" spans="1:17" x14ac:dyDescent="0.35">
      <c r="A994" t="s">
        <v>3014</v>
      </c>
      <c r="B994" t="s">
        <v>18</v>
      </c>
      <c r="C994" t="s">
        <v>3015</v>
      </c>
      <c r="D994">
        <v>0</v>
      </c>
      <c r="E994">
        <v>0</v>
      </c>
      <c r="F994" t="s">
        <v>20</v>
      </c>
      <c r="G994">
        <v>0</v>
      </c>
      <c r="H994">
        <v>0</v>
      </c>
      <c r="I994">
        <v>0</v>
      </c>
      <c r="J994">
        <v>0</v>
      </c>
      <c r="K994" t="s">
        <v>1827</v>
      </c>
      <c r="L994" t="s">
        <v>3009</v>
      </c>
      <c r="M994">
        <v>0</v>
      </c>
      <c r="N994">
        <v>0</v>
      </c>
      <c r="O994" s="1">
        <v>4231752473655380</v>
      </c>
      <c r="Q994" t="b">
        <v>0</v>
      </c>
    </row>
    <row r="995" spans="1:17" x14ac:dyDescent="0.35">
      <c r="A995" t="s">
        <v>3016</v>
      </c>
      <c r="B995" t="s">
        <v>18</v>
      </c>
      <c r="C995" t="s">
        <v>3017</v>
      </c>
      <c r="D995">
        <v>0</v>
      </c>
      <c r="E995">
        <v>0</v>
      </c>
      <c r="F995" t="s">
        <v>20</v>
      </c>
      <c r="G995">
        <v>0</v>
      </c>
      <c r="H995">
        <v>0</v>
      </c>
      <c r="I995">
        <v>0</v>
      </c>
      <c r="J995">
        <v>0</v>
      </c>
      <c r="K995" t="s">
        <v>3018</v>
      </c>
      <c r="L995" s="1">
        <v>4.248E+16</v>
      </c>
      <c r="M995">
        <v>0</v>
      </c>
      <c r="N995">
        <v>0</v>
      </c>
      <c r="O995" s="1">
        <v>4231780993543460</v>
      </c>
      <c r="Q995" t="b">
        <v>0</v>
      </c>
    </row>
    <row r="996" spans="1:17" x14ac:dyDescent="0.35">
      <c r="A996" t="s">
        <v>3019</v>
      </c>
      <c r="B996" t="s">
        <v>18</v>
      </c>
      <c r="C996" t="s">
        <v>3020</v>
      </c>
      <c r="D996">
        <v>0</v>
      </c>
      <c r="E996">
        <v>0</v>
      </c>
      <c r="F996" t="s">
        <v>20</v>
      </c>
      <c r="G996">
        <v>0</v>
      </c>
      <c r="H996">
        <v>0</v>
      </c>
      <c r="I996">
        <v>0</v>
      </c>
      <c r="J996">
        <v>0</v>
      </c>
      <c r="K996" t="s">
        <v>3018</v>
      </c>
      <c r="L996" s="1">
        <v>4.248E+16</v>
      </c>
      <c r="M996">
        <v>0</v>
      </c>
      <c r="N996">
        <v>0</v>
      </c>
      <c r="O996" s="1">
        <v>4231809513431540</v>
      </c>
      <c r="Q996" t="b">
        <v>0</v>
      </c>
    </row>
    <row r="997" spans="1:17" x14ac:dyDescent="0.35">
      <c r="A997" t="s">
        <v>3021</v>
      </c>
      <c r="B997" t="s">
        <v>18</v>
      </c>
      <c r="C997" t="s">
        <v>3022</v>
      </c>
      <c r="D997">
        <v>0</v>
      </c>
      <c r="E997">
        <v>0</v>
      </c>
      <c r="F997" t="s">
        <v>20</v>
      </c>
      <c r="G997">
        <v>0</v>
      </c>
      <c r="H997">
        <v>0</v>
      </c>
      <c r="I997">
        <v>0</v>
      </c>
      <c r="J997">
        <v>0</v>
      </c>
      <c r="K997" t="s">
        <v>3018</v>
      </c>
      <c r="L997" s="1">
        <v>4.248E+16</v>
      </c>
      <c r="M997">
        <v>0</v>
      </c>
      <c r="N997">
        <v>0</v>
      </c>
      <c r="O997" s="1">
        <v>4231838033319620</v>
      </c>
      <c r="Q997" t="b">
        <v>0</v>
      </c>
    </row>
    <row r="998" spans="1:17" x14ac:dyDescent="0.35">
      <c r="A998" t="s">
        <v>3023</v>
      </c>
      <c r="B998" t="s">
        <v>18</v>
      </c>
      <c r="C998" t="s">
        <v>3024</v>
      </c>
      <c r="D998">
        <v>0</v>
      </c>
      <c r="E998">
        <v>0</v>
      </c>
      <c r="F998" t="s">
        <v>20</v>
      </c>
      <c r="G998">
        <v>0</v>
      </c>
      <c r="H998">
        <v>0</v>
      </c>
      <c r="I998">
        <v>0</v>
      </c>
      <c r="J998">
        <v>0</v>
      </c>
      <c r="K998" t="s">
        <v>3018</v>
      </c>
      <c r="L998" s="1">
        <v>4.248E+16</v>
      </c>
      <c r="M998">
        <v>0</v>
      </c>
      <c r="N998">
        <v>0</v>
      </c>
      <c r="O998" s="1">
        <v>4231866553207700</v>
      </c>
      <c r="Q998" t="b">
        <v>0</v>
      </c>
    </row>
    <row r="999" spans="1:17" x14ac:dyDescent="0.35">
      <c r="A999" t="s">
        <v>3025</v>
      </c>
      <c r="B999" t="s">
        <v>18</v>
      </c>
      <c r="C999" t="s">
        <v>3026</v>
      </c>
      <c r="D999">
        <v>0</v>
      </c>
      <c r="E999">
        <v>0</v>
      </c>
      <c r="F999" t="s">
        <v>20</v>
      </c>
      <c r="G999">
        <v>0</v>
      </c>
      <c r="H999">
        <v>0</v>
      </c>
      <c r="I999">
        <v>0</v>
      </c>
      <c r="J999">
        <v>0</v>
      </c>
      <c r="K999" t="s">
        <v>31</v>
      </c>
      <c r="L999" s="1">
        <v>4.248E+16</v>
      </c>
      <c r="M999">
        <v>0</v>
      </c>
      <c r="N999">
        <v>0</v>
      </c>
      <c r="O999" s="1">
        <v>4231895073095780</v>
      </c>
      <c r="Q999" t="b">
        <v>0</v>
      </c>
    </row>
    <row r="1000" spans="1:17" x14ac:dyDescent="0.35">
      <c r="A1000" t="s">
        <v>3027</v>
      </c>
      <c r="B1000" t="s">
        <v>18</v>
      </c>
      <c r="C1000" t="s">
        <v>3028</v>
      </c>
      <c r="D1000">
        <v>0</v>
      </c>
      <c r="E1000">
        <v>0</v>
      </c>
      <c r="F1000" t="s">
        <v>20</v>
      </c>
      <c r="G1000">
        <v>0</v>
      </c>
      <c r="H1000">
        <v>0</v>
      </c>
      <c r="I1000">
        <v>0</v>
      </c>
      <c r="J1000">
        <v>0</v>
      </c>
      <c r="K1000" t="s">
        <v>31</v>
      </c>
      <c r="L1000" s="1">
        <v>4.248E+16</v>
      </c>
      <c r="M1000">
        <v>0</v>
      </c>
      <c r="N1000">
        <v>0</v>
      </c>
      <c r="O1000" s="1">
        <v>423192359298387</v>
      </c>
      <c r="Q1000" t="b">
        <v>0</v>
      </c>
    </row>
    <row r="1001" spans="1:17" x14ac:dyDescent="0.35">
      <c r="A1001" t="s">
        <v>3029</v>
      </c>
      <c r="B1001" t="s">
        <v>18</v>
      </c>
      <c r="C1001" t="s">
        <v>3030</v>
      </c>
      <c r="D1001">
        <v>0</v>
      </c>
      <c r="E1001">
        <v>0</v>
      </c>
      <c r="F1001" t="s">
        <v>20</v>
      </c>
      <c r="G1001">
        <v>0</v>
      </c>
      <c r="H1001">
        <v>0</v>
      </c>
      <c r="I1001">
        <v>0</v>
      </c>
      <c r="J1001">
        <v>0</v>
      </c>
      <c r="K1001" t="s">
        <v>31</v>
      </c>
      <c r="L1001" s="1">
        <v>4.248E+16</v>
      </c>
      <c r="M1001">
        <v>0</v>
      </c>
      <c r="N1001">
        <v>0</v>
      </c>
      <c r="O1001" s="1">
        <v>4.2319521128719504E+16</v>
      </c>
      <c r="Q1001" t="b">
        <v>0</v>
      </c>
    </row>
    <row r="1002" spans="1:17" x14ac:dyDescent="0.35">
      <c r="A1002" t="s">
        <v>3031</v>
      </c>
      <c r="B1002" t="s">
        <v>18</v>
      </c>
      <c r="C1002" t="s">
        <v>3032</v>
      </c>
      <c r="D1002">
        <v>0</v>
      </c>
      <c r="E1002">
        <v>0</v>
      </c>
      <c r="F1002" t="s">
        <v>20</v>
      </c>
      <c r="G1002">
        <v>0</v>
      </c>
      <c r="H1002">
        <v>0</v>
      </c>
      <c r="I1002">
        <v>0</v>
      </c>
      <c r="J1002">
        <v>0</v>
      </c>
      <c r="K1002" t="s">
        <v>31</v>
      </c>
      <c r="L1002" s="1">
        <v>4.248E+16</v>
      </c>
      <c r="M1002">
        <v>0</v>
      </c>
      <c r="N1002">
        <v>0</v>
      </c>
      <c r="O1002" s="1">
        <v>4231980632760030</v>
      </c>
      <c r="Q1002" t="b">
        <v>0</v>
      </c>
    </row>
    <row r="1003" spans="1:17" x14ac:dyDescent="0.35">
      <c r="A1003" t="s">
        <v>3033</v>
      </c>
      <c r="B1003" t="s">
        <v>18</v>
      </c>
      <c r="C1003" t="s">
        <v>3034</v>
      </c>
      <c r="D1003">
        <v>0</v>
      </c>
      <c r="E1003">
        <v>0</v>
      </c>
      <c r="F1003" t="s">
        <v>20</v>
      </c>
      <c r="G1003">
        <v>0</v>
      </c>
      <c r="H1003">
        <v>0</v>
      </c>
      <c r="I1003">
        <v>0</v>
      </c>
      <c r="J1003">
        <v>0</v>
      </c>
      <c r="K1003" t="s">
        <v>31</v>
      </c>
      <c r="L1003" s="1">
        <v>4.248E+16</v>
      </c>
      <c r="M1003">
        <v>0</v>
      </c>
      <c r="N1003">
        <v>0</v>
      </c>
      <c r="O1003" s="1">
        <v>4232009152648110</v>
      </c>
      <c r="Q1003" t="b">
        <v>0</v>
      </c>
    </row>
    <row r="1004" spans="1:17" x14ac:dyDescent="0.35">
      <c r="A1004" t="s">
        <v>3035</v>
      </c>
      <c r="B1004" t="s">
        <v>18</v>
      </c>
      <c r="C1004" t="s">
        <v>3036</v>
      </c>
      <c r="D1004">
        <v>0</v>
      </c>
      <c r="E1004">
        <v>0</v>
      </c>
      <c r="F1004" t="s">
        <v>20</v>
      </c>
      <c r="G1004">
        <v>0</v>
      </c>
      <c r="H1004">
        <v>0</v>
      </c>
      <c r="I1004">
        <v>0</v>
      </c>
      <c r="J1004">
        <v>0</v>
      </c>
      <c r="K1004" t="s">
        <v>31</v>
      </c>
      <c r="L1004" s="1">
        <v>4.248E+16</v>
      </c>
      <c r="M1004">
        <v>0</v>
      </c>
      <c r="N1004">
        <v>0</v>
      </c>
      <c r="O1004" s="1">
        <v>4232037672536190</v>
      </c>
      <c r="Q1004" t="b">
        <v>0</v>
      </c>
    </row>
    <row r="1005" spans="1:17" x14ac:dyDescent="0.35">
      <c r="A1005" t="s">
        <v>3037</v>
      </c>
      <c r="B1005" t="s">
        <v>18</v>
      </c>
      <c r="C1005" t="s">
        <v>3038</v>
      </c>
      <c r="D1005">
        <v>0</v>
      </c>
      <c r="E1005">
        <v>0</v>
      </c>
      <c r="F1005" t="s">
        <v>20</v>
      </c>
      <c r="G1005">
        <v>0</v>
      </c>
      <c r="H1005">
        <v>0</v>
      </c>
      <c r="I1005">
        <v>0</v>
      </c>
      <c r="J1005">
        <v>0</v>
      </c>
      <c r="K1005" t="s">
        <v>31</v>
      </c>
      <c r="L1005" s="1">
        <v>4.248E+16</v>
      </c>
      <c r="M1005">
        <v>0</v>
      </c>
      <c r="N1005">
        <v>0</v>
      </c>
      <c r="O1005" s="1">
        <v>4232066192424270</v>
      </c>
      <c r="Q1005" t="b">
        <v>0</v>
      </c>
    </row>
    <row r="1006" spans="1:17" x14ac:dyDescent="0.35">
      <c r="A1006" t="s">
        <v>3039</v>
      </c>
      <c r="B1006" t="s">
        <v>18</v>
      </c>
      <c r="C1006" t="s">
        <v>3040</v>
      </c>
      <c r="D1006">
        <v>0</v>
      </c>
      <c r="E1006">
        <v>0</v>
      </c>
      <c r="F1006" t="s">
        <v>20</v>
      </c>
      <c r="G1006">
        <v>0</v>
      </c>
      <c r="H1006">
        <v>0</v>
      </c>
      <c r="I1006">
        <v>0</v>
      </c>
      <c r="J1006">
        <v>0</v>
      </c>
      <c r="K1006" t="s">
        <v>31</v>
      </c>
      <c r="L1006" s="1">
        <v>4.248E+16</v>
      </c>
      <c r="M1006">
        <v>0</v>
      </c>
      <c r="N1006">
        <v>0</v>
      </c>
      <c r="O1006" s="1">
        <v>4232094712312350</v>
      </c>
      <c r="Q1006" t="b">
        <v>0</v>
      </c>
    </row>
    <row r="1007" spans="1:17" x14ac:dyDescent="0.35">
      <c r="A1007" t="s">
        <v>3041</v>
      </c>
      <c r="B1007" t="s">
        <v>18</v>
      </c>
      <c r="C1007" t="s">
        <v>3042</v>
      </c>
      <c r="D1007">
        <v>0</v>
      </c>
      <c r="E1007">
        <v>0</v>
      </c>
      <c r="F1007" t="s">
        <v>20</v>
      </c>
      <c r="G1007">
        <v>0</v>
      </c>
      <c r="H1007">
        <v>0</v>
      </c>
      <c r="I1007">
        <v>0</v>
      </c>
      <c r="J1007">
        <v>0</v>
      </c>
      <c r="K1007" t="s">
        <v>3043</v>
      </c>
      <c r="L1007" t="s">
        <v>3044</v>
      </c>
      <c r="M1007">
        <v>0</v>
      </c>
      <c r="N1007">
        <v>0</v>
      </c>
      <c r="O1007" s="1">
        <v>4232123232200440</v>
      </c>
      <c r="Q1007" t="b">
        <v>0</v>
      </c>
    </row>
    <row r="1008" spans="1:17" x14ac:dyDescent="0.35">
      <c r="A1008" t="s">
        <v>3045</v>
      </c>
      <c r="B1008" t="s">
        <v>18</v>
      </c>
      <c r="C1008" t="s">
        <v>3046</v>
      </c>
      <c r="D1008">
        <v>0</v>
      </c>
      <c r="E1008">
        <v>0</v>
      </c>
      <c r="F1008" t="s">
        <v>20</v>
      </c>
      <c r="G1008">
        <v>0</v>
      </c>
      <c r="H1008">
        <v>0</v>
      </c>
      <c r="I1008">
        <v>0</v>
      </c>
      <c r="J1008">
        <v>0</v>
      </c>
      <c r="K1008" t="s">
        <v>3043</v>
      </c>
      <c r="L1008" t="s">
        <v>3044</v>
      </c>
      <c r="M1008">
        <v>0</v>
      </c>
      <c r="N1008">
        <v>0</v>
      </c>
      <c r="O1008" s="1">
        <v>4232151752088520</v>
      </c>
      <c r="Q1008" t="b">
        <v>0</v>
      </c>
    </row>
    <row r="1009" spans="1:17" x14ac:dyDescent="0.35">
      <c r="A1009" t="s">
        <v>3047</v>
      </c>
      <c r="B1009" t="s">
        <v>18</v>
      </c>
      <c r="C1009" t="s">
        <v>3048</v>
      </c>
      <c r="D1009">
        <v>0</v>
      </c>
      <c r="E1009">
        <v>0</v>
      </c>
      <c r="F1009" t="s">
        <v>20</v>
      </c>
      <c r="G1009">
        <v>0</v>
      </c>
      <c r="H1009">
        <v>0</v>
      </c>
      <c r="I1009">
        <v>0</v>
      </c>
      <c r="J1009">
        <v>0</v>
      </c>
      <c r="K1009" t="s">
        <v>3043</v>
      </c>
      <c r="L1009" t="s">
        <v>3044</v>
      </c>
      <c r="M1009">
        <v>0</v>
      </c>
      <c r="N1009">
        <v>0</v>
      </c>
      <c r="O1009" s="1">
        <v>4232180271976600</v>
      </c>
      <c r="Q1009" t="b">
        <v>0</v>
      </c>
    </row>
    <row r="1010" spans="1:17" x14ac:dyDescent="0.35">
      <c r="A1010" t="s">
        <v>3049</v>
      </c>
      <c r="B1010" t="s">
        <v>18</v>
      </c>
      <c r="C1010" t="s">
        <v>3050</v>
      </c>
      <c r="D1010">
        <v>0</v>
      </c>
      <c r="E1010">
        <v>0</v>
      </c>
      <c r="F1010" t="s">
        <v>20</v>
      </c>
      <c r="G1010">
        <v>0</v>
      </c>
      <c r="H1010">
        <v>0</v>
      </c>
      <c r="I1010">
        <v>0</v>
      </c>
      <c r="J1010">
        <v>0</v>
      </c>
      <c r="K1010" t="s">
        <v>3043</v>
      </c>
      <c r="L1010" t="s">
        <v>3044</v>
      </c>
      <c r="M1010">
        <v>0</v>
      </c>
      <c r="N1010">
        <v>0</v>
      </c>
      <c r="O1010" s="1">
        <v>4232208791864680</v>
      </c>
      <c r="Q1010" t="b">
        <v>0</v>
      </c>
    </row>
    <row r="1011" spans="1:17" x14ac:dyDescent="0.35">
      <c r="A1011" t="s">
        <v>3051</v>
      </c>
      <c r="B1011" t="s">
        <v>18</v>
      </c>
      <c r="C1011" t="s">
        <v>3052</v>
      </c>
      <c r="D1011">
        <v>0</v>
      </c>
      <c r="E1011">
        <v>0</v>
      </c>
      <c r="F1011" t="s">
        <v>20</v>
      </c>
      <c r="G1011">
        <v>0</v>
      </c>
      <c r="H1011">
        <v>0</v>
      </c>
      <c r="I1011">
        <v>0</v>
      </c>
      <c r="J1011">
        <v>0</v>
      </c>
      <c r="K1011" t="s">
        <v>2999</v>
      </c>
      <c r="L1011" s="1">
        <v>4.4099999999999904E+16</v>
      </c>
      <c r="M1011">
        <v>0</v>
      </c>
      <c r="N1011">
        <v>0</v>
      </c>
      <c r="O1011" s="1">
        <v>4232237311752760</v>
      </c>
      <c r="Q1011" t="b">
        <v>0</v>
      </c>
    </row>
    <row r="1012" spans="1:17" x14ac:dyDescent="0.35">
      <c r="A1012" t="s">
        <v>3053</v>
      </c>
      <c r="B1012" t="s">
        <v>18</v>
      </c>
      <c r="C1012" t="s">
        <v>3054</v>
      </c>
      <c r="D1012">
        <v>0</v>
      </c>
      <c r="E1012">
        <v>0</v>
      </c>
      <c r="F1012" t="s">
        <v>20</v>
      </c>
      <c r="G1012">
        <v>0</v>
      </c>
      <c r="H1012">
        <v>0</v>
      </c>
      <c r="I1012">
        <v>0</v>
      </c>
      <c r="J1012">
        <v>0</v>
      </c>
      <c r="K1012" t="s">
        <v>2999</v>
      </c>
      <c r="L1012" s="1">
        <v>4.4099999999999904E+16</v>
      </c>
      <c r="M1012">
        <v>0</v>
      </c>
      <c r="N1012">
        <v>0</v>
      </c>
      <c r="O1012" s="1">
        <v>4232265831640840</v>
      </c>
      <c r="Q1012" t="b">
        <v>0</v>
      </c>
    </row>
    <row r="1013" spans="1:17" x14ac:dyDescent="0.35">
      <c r="A1013" t="s">
        <v>3055</v>
      </c>
      <c r="B1013" t="s">
        <v>18</v>
      </c>
      <c r="C1013" t="s">
        <v>3056</v>
      </c>
      <c r="D1013">
        <v>0</v>
      </c>
      <c r="E1013">
        <v>0</v>
      </c>
      <c r="F1013" t="s">
        <v>20</v>
      </c>
      <c r="G1013" t="s">
        <v>3057</v>
      </c>
      <c r="H1013">
        <v>0</v>
      </c>
      <c r="I1013">
        <v>0</v>
      </c>
      <c r="J1013">
        <v>0</v>
      </c>
      <c r="K1013" t="s">
        <v>2999</v>
      </c>
      <c r="L1013" s="1">
        <v>4.4099999999999904E+16</v>
      </c>
      <c r="M1013">
        <v>0</v>
      </c>
      <c r="N1013">
        <v>0</v>
      </c>
      <c r="O1013" s="1">
        <v>423229435152893</v>
      </c>
      <c r="Q1013" t="b">
        <v>0</v>
      </c>
    </row>
    <row r="1014" spans="1:17" x14ac:dyDescent="0.35">
      <c r="A1014" t="s">
        <v>3058</v>
      </c>
      <c r="B1014" t="s">
        <v>18</v>
      </c>
      <c r="C1014" t="s">
        <v>3059</v>
      </c>
      <c r="D1014">
        <v>0</v>
      </c>
      <c r="E1014" t="s">
        <v>3060</v>
      </c>
      <c r="F1014" t="s">
        <v>20</v>
      </c>
      <c r="G1014" t="s">
        <v>3061</v>
      </c>
      <c r="H1014">
        <v>0</v>
      </c>
      <c r="I1014">
        <v>0</v>
      </c>
      <c r="J1014">
        <v>0</v>
      </c>
      <c r="K1014" t="s">
        <v>2999</v>
      </c>
      <c r="L1014" s="1">
        <v>4.4099999999999904E+16</v>
      </c>
      <c r="M1014">
        <v>0</v>
      </c>
      <c r="N1014">
        <v>0</v>
      </c>
      <c r="O1014" s="1">
        <v>4232322871417010</v>
      </c>
      <c r="Q1014" t="b">
        <v>0</v>
      </c>
    </row>
    <row r="1015" spans="1:17" x14ac:dyDescent="0.35">
      <c r="A1015" t="s">
        <v>3062</v>
      </c>
      <c r="B1015" t="s">
        <v>18</v>
      </c>
      <c r="C1015" t="s">
        <v>3063</v>
      </c>
      <c r="D1015">
        <v>0</v>
      </c>
      <c r="E1015" t="s">
        <v>3064</v>
      </c>
      <c r="F1015" t="s">
        <v>20</v>
      </c>
      <c r="G1015" t="s">
        <v>3065</v>
      </c>
      <c r="H1015" s="1">
        <v>4.89166666666666E+16</v>
      </c>
      <c r="I1015">
        <v>0</v>
      </c>
      <c r="J1015">
        <v>16</v>
      </c>
      <c r="K1015" t="s">
        <v>280</v>
      </c>
      <c r="L1015" s="1">
        <v>4.662E+16</v>
      </c>
      <c r="M1015">
        <v>0</v>
      </c>
      <c r="N1015">
        <v>0</v>
      </c>
      <c r="O1015" s="1">
        <v>4232351391305090</v>
      </c>
      <c r="Q1015" t="b">
        <v>0</v>
      </c>
    </row>
    <row r="1016" spans="1:17" x14ac:dyDescent="0.35">
      <c r="A1016" t="s">
        <v>3066</v>
      </c>
      <c r="B1016" t="s">
        <v>18</v>
      </c>
      <c r="C1016" t="s">
        <v>3067</v>
      </c>
      <c r="D1016">
        <v>0</v>
      </c>
      <c r="E1016" t="s">
        <v>3068</v>
      </c>
      <c r="F1016" t="s">
        <v>20</v>
      </c>
      <c r="G1016" t="s">
        <v>3069</v>
      </c>
      <c r="H1016" s="1">
        <v>4.89166666666666E+16</v>
      </c>
      <c r="I1016">
        <v>0</v>
      </c>
      <c r="J1016">
        <v>16</v>
      </c>
      <c r="K1016" t="s">
        <v>280</v>
      </c>
      <c r="L1016" s="1">
        <v>4.662E+16</v>
      </c>
      <c r="M1016">
        <v>0</v>
      </c>
      <c r="N1016">
        <v>0</v>
      </c>
      <c r="O1016" s="1">
        <v>4232379911193170</v>
      </c>
      <c r="Q1016" t="b">
        <v>0</v>
      </c>
    </row>
    <row r="1017" spans="1:17" x14ac:dyDescent="0.35">
      <c r="A1017" t="s">
        <v>3070</v>
      </c>
      <c r="B1017" t="s">
        <v>18</v>
      </c>
      <c r="C1017" t="s">
        <v>3071</v>
      </c>
      <c r="D1017">
        <v>0</v>
      </c>
      <c r="E1017" t="s">
        <v>3072</v>
      </c>
      <c r="F1017" t="s">
        <v>20</v>
      </c>
      <c r="G1017" t="s">
        <v>3073</v>
      </c>
      <c r="H1017" s="1">
        <v>4.89166666666666E+16</v>
      </c>
      <c r="I1017">
        <v>0</v>
      </c>
      <c r="J1017">
        <v>16</v>
      </c>
      <c r="K1017" t="s">
        <v>280</v>
      </c>
      <c r="L1017" s="1">
        <v>4.662E+16</v>
      </c>
      <c r="M1017">
        <v>0</v>
      </c>
      <c r="N1017">
        <v>0</v>
      </c>
      <c r="O1017" s="1">
        <v>4232408431081250</v>
      </c>
      <c r="Q1017" t="b">
        <v>0</v>
      </c>
    </row>
    <row r="1018" spans="1:17" x14ac:dyDescent="0.35">
      <c r="A1018" t="s">
        <v>3074</v>
      </c>
      <c r="B1018" t="s">
        <v>18</v>
      </c>
      <c r="C1018" t="s">
        <v>3075</v>
      </c>
      <c r="D1018">
        <v>0</v>
      </c>
      <c r="E1018" t="s">
        <v>3076</v>
      </c>
      <c r="F1018" t="s">
        <v>20</v>
      </c>
      <c r="G1018" t="s">
        <v>3077</v>
      </c>
      <c r="H1018" s="1">
        <v>4.89166666666666E+16</v>
      </c>
      <c r="I1018">
        <v>0</v>
      </c>
      <c r="J1018">
        <v>16</v>
      </c>
      <c r="K1018" t="s">
        <v>280</v>
      </c>
      <c r="L1018" s="1">
        <v>4.662E+16</v>
      </c>
      <c r="M1018">
        <v>0</v>
      </c>
      <c r="N1018">
        <v>0</v>
      </c>
      <c r="O1018" s="1">
        <v>4232436950969330</v>
      </c>
      <c r="Q1018" t="b">
        <v>0</v>
      </c>
    </row>
    <row r="1019" spans="1:17" x14ac:dyDescent="0.35">
      <c r="A1019" t="s">
        <v>3078</v>
      </c>
      <c r="B1019" t="s">
        <v>18</v>
      </c>
      <c r="C1019" t="s">
        <v>3079</v>
      </c>
      <c r="D1019">
        <v>0</v>
      </c>
      <c r="E1019" t="s">
        <v>3080</v>
      </c>
      <c r="F1019" t="s">
        <v>20</v>
      </c>
      <c r="G1019" t="s">
        <v>3081</v>
      </c>
      <c r="H1019" t="s">
        <v>3082</v>
      </c>
      <c r="I1019">
        <v>0</v>
      </c>
      <c r="J1019">
        <v>52</v>
      </c>
      <c r="K1019" s="1">
        <v>2.59999999999999E+16</v>
      </c>
      <c r="L1019" t="s">
        <v>2758</v>
      </c>
      <c r="M1019">
        <v>0</v>
      </c>
      <c r="N1019">
        <v>0</v>
      </c>
      <c r="O1019" s="1">
        <v>423246547085742</v>
      </c>
      <c r="Q1019" t="b">
        <v>0</v>
      </c>
    </row>
    <row r="1020" spans="1:17" x14ac:dyDescent="0.35">
      <c r="A1020" t="s">
        <v>3083</v>
      </c>
      <c r="B1020" t="s">
        <v>18</v>
      </c>
      <c r="C1020" t="s">
        <v>3084</v>
      </c>
      <c r="D1020">
        <v>0</v>
      </c>
      <c r="E1020" t="s">
        <v>3085</v>
      </c>
      <c r="F1020" t="s">
        <v>20</v>
      </c>
      <c r="G1020" t="s">
        <v>3086</v>
      </c>
      <c r="H1020" t="s">
        <v>3082</v>
      </c>
      <c r="I1020">
        <v>0</v>
      </c>
      <c r="J1020">
        <v>52</v>
      </c>
      <c r="K1020" s="1">
        <v>2.59999999999999E+16</v>
      </c>
      <c r="L1020" t="s">
        <v>2758</v>
      </c>
      <c r="M1020">
        <v>0</v>
      </c>
      <c r="N1020">
        <v>0</v>
      </c>
      <c r="O1020" s="1">
        <v>4.2324939907455E+16</v>
      </c>
      <c r="Q1020" t="b">
        <v>0</v>
      </c>
    </row>
    <row r="1021" spans="1:17" x14ac:dyDescent="0.35">
      <c r="A1021" t="s">
        <v>3087</v>
      </c>
      <c r="B1021" t="s">
        <v>18</v>
      </c>
      <c r="C1021" t="s">
        <v>3088</v>
      </c>
      <c r="D1021">
        <v>0</v>
      </c>
      <c r="E1021" t="s">
        <v>3089</v>
      </c>
      <c r="F1021" t="s">
        <v>20</v>
      </c>
      <c r="G1021" t="s">
        <v>3090</v>
      </c>
      <c r="H1021" t="s">
        <v>3082</v>
      </c>
      <c r="I1021">
        <v>0</v>
      </c>
      <c r="J1021">
        <v>52</v>
      </c>
      <c r="K1021" s="1">
        <v>2.59999999999999E+16</v>
      </c>
      <c r="L1021" t="s">
        <v>2758</v>
      </c>
      <c r="M1021">
        <v>0</v>
      </c>
      <c r="N1021">
        <v>0</v>
      </c>
      <c r="O1021" s="1">
        <v>4232522510633580</v>
      </c>
      <c r="Q1021" t="b">
        <v>0</v>
      </c>
    </row>
    <row r="1022" spans="1:17" x14ac:dyDescent="0.35">
      <c r="A1022" t="s">
        <v>3091</v>
      </c>
      <c r="B1022" t="s">
        <v>18</v>
      </c>
      <c r="C1022" t="s">
        <v>3092</v>
      </c>
      <c r="D1022">
        <v>0</v>
      </c>
      <c r="E1022" t="s">
        <v>3093</v>
      </c>
      <c r="F1022" t="s">
        <v>20</v>
      </c>
      <c r="G1022" t="s">
        <v>3094</v>
      </c>
      <c r="H1022" t="s">
        <v>3082</v>
      </c>
      <c r="I1022">
        <v>0</v>
      </c>
      <c r="J1022">
        <v>52</v>
      </c>
      <c r="K1022" s="1">
        <v>2.59999999999999E+16</v>
      </c>
      <c r="L1022" t="s">
        <v>2758</v>
      </c>
      <c r="M1022">
        <v>0</v>
      </c>
      <c r="N1022">
        <v>0</v>
      </c>
      <c r="O1022" s="1">
        <v>4232551030521660</v>
      </c>
      <c r="Q1022" t="b">
        <v>0</v>
      </c>
    </row>
    <row r="1023" spans="1:17" x14ac:dyDescent="0.35">
      <c r="A1023" t="s">
        <v>3095</v>
      </c>
      <c r="B1023" t="s">
        <v>18</v>
      </c>
      <c r="C1023" t="s">
        <v>3096</v>
      </c>
      <c r="D1023">
        <v>0</v>
      </c>
      <c r="E1023" t="s">
        <v>3097</v>
      </c>
      <c r="F1023" t="s">
        <v>20</v>
      </c>
      <c r="G1023" t="s">
        <v>3098</v>
      </c>
      <c r="H1023" s="1">
        <v>6841666666666660</v>
      </c>
      <c r="I1023">
        <v>0</v>
      </c>
      <c r="J1023" t="s">
        <v>3099</v>
      </c>
      <c r="K1023" t="s">
        <v>2353</v>
      </c>
      <c r="L1023" t="s">
        <v>3100</v>
      </c>
      <c r="M1023">
        <v>0</v>
      </c>
      <c r="N1023">
        <v>0</v>
      </c>
      <c r="O1023" s="1">
        <v>4232579550409740</v>
      </c>
      <c r="Q1023" t="b">
        <v>0</v>
      </c>
    </row>
    <row r="1024" spans="1:17" x14ac:dyDescent="0.35">
      <c r="A1024" t="s">
        <v>3101</v>
      </c>
      <c r="B1024" t="s">
        <v>18</v>
      </c>
      <c r="C1024" t="s">
        <v>3102</v>
      </c>
      <c r="D1024">
        <v>0</v>
      </c>
      <c r="E1024" t="s">
        <v>3103</v>
      </c>
      <c r="F1024" t="s">
        <v>20</v>
      </c>
      <c r="G1024" t="s">
        <v>3104</v>
      </c>
      <c r="H1024" s="1">
        <v>6841666666666660</v>
      </c>
      <c r="I1024">
        <v>0</v>
      </c>
      <c r="J1024" t="s">
        <v>3099</v>
      </c>
      <c r="K1024" t="s">
        <v>2353</v>
      </c>
      <c r="L1024" t="s">
        <v>3100</v>
      </c>
      <c r="M1024">
        <v>0</v>
      </c>
      <c r="N1024">
        <v>0</v>
      </c>
      <c r="O1024" s="1">
        <v>4232608070297820</v>
      </c>
      <c r="Q1024" t="b">
        <v>0</v>
      </c>
    </row>
    <row r="1025" spans="1:17" x14ac:dyDescent="0.35">
      <c r="A1025" t="s">
        <v>3105</v>
      </c>
      <c r="B1025" t="s">
        <v>18</v>
      </c>
      <c r="C1025" t="s">
        <v>3106</v>
      </c>
      <c r="D1025">
        <v>0</v>
      </c>
      <c r="E1025" t="s">
        <v>3107</v>
      </c>
      <c r="F1025" t="s">
        <v>20</v>
      </c>
      <c r="G1025" t="s">
        <v>3108</v>
      </c>
      <c r="H1025" s="1">
        <v>6841666666666660</v>
      </c>
      <c r="I1025">
        <v>0</v>
      </c>
      <c r="J1025" t="s">
        <v>3099</v>
      </c>
      <c r="K1025" t="s">
        <v>2353</v>
      </c>
      <c r="L1025" t="s">
        <v>3100</v>
      </c>
      <c r="M1025">
        <v>0</v>
      </c>
      <c r="N1025">
        <v>0</v>
      </c>
      <c r="O1025" s="1">
        <v>4232636590185900</v>
      </c>
      <c r="Q1025" t="b">
        <v>0</v>
      </c>
    </row>
    <row r="1026" spans="1:17" x14ac:dyDescent="0.35">
      <c r="A1026" t="s">
        <v>3109</v>
      </c>
      <c r="B1026" t="s">
        <v>18</v>
      </c>
      <c r="C1026" t="s">
        <v>3110</v>
      </c>
      <c r="D1026">
        <v>0</v>
      </c>
      <c r="E1026" t="s">
        <v>3111</v>
      </c>
      <c r="F1026" t="s">
        <v>20</v>
      </c>
      <c r="G1026" t="s">
        <v>3112</v>
      </c>
      <c r="H1026" s="1">
        <v>6841666666666660</v>
      </c>
      <c r="I1026">
        <v>0</v>
      </c>
      <c r="J1026" t="s">
        <v>3099</v>
      </c>
      <c r="K1026" t="s">
        <v>2353</v>
      </c>
      <c r="L1026" t="s">
        <v>3100</v>
      </c>
      <c r="M1026">
        <v>0</v>
      </c>
      <c r="N1026">
        <v>0</v>
      </c>
      <c r="O1026" s="1">
        <v>4232665110073990</v>
      </c>
      <c r="Q1026" t="b">
        <v>0</v>
      </c>
    </row>
    <row r="1027" spans="1:17" x14ac:dyDescent="0.35">
      <c r="A1027" t="s">
        <v>3113</v>
      </c>
      <c r="B1027" t="s">
        <v>18</v>
      </c>
      <c r="C1027" t="s">
        <v>3114</v>
      </c>
      <c r="D1027">
        <v>0</v>
      </c>
      <c r="E1027" t="s">
        <v>3115</v>
      </c>
      <c r="F1027" t="s">
        <v>20</v>
      </c>
      <c r="G1027" t="s">
        <v>3116</v>
      </c>
      <c r="H1027" s="1">
        <v>7348333333333330</v>
      </c>
      <c r="I1027">
        <v>0</v>
      </c>
      <c r="J1027" t="s">
        <v>1457</v>
      </c>
      <c r="K1027" t="s">
        <v>720</v>
      </c>
      <c r="L1027" t="s">
        <v>3117</v>
      </c>
      <c r="M1027">
        <v>0</v>
      </c>
      <c r="N1027">
        <v>0</v>
      </c>
      <c r="O1027" s="1">
        <v>4232693629962070</v>
      </c>
      <c r="Q1027" t="b">
        <v>0</v>
      </c>
    </row>
    <row r="1028" spans="1:17" x14ac:dyDescent="0.35">
      <c r="A1028" t="s">
        <v>3118</v>
      </c>
      <c r="B1028" t="s">
        <v>18</v>
      </c>
      <c r="C1028" t="s">
        <v>3119</v>
      </c>
      <c r="D1028">
        <v>0</v>
      </c>
      <c r="E1028" t="s">
        <v>3120</v>
      </c>
      <c r="F1028" t="s">
        <v>20</v>
      </c>
      <c r="G1028" t="s">
        <v>3121</v>
      </c>
      <c r="H1028" s="1">
        <v>7348333333333330</v>
      </c>
      <c r="I1028">
        <v>0</v>
      </c>
      <c r="J1028" t="s">
        <v>1457</v>
      </c>
      <c r="K1028" t="s">
        <v>720</v>
      </c>
      <c r="L1028" t="s">
        <v>3117</v>
      </c>
      <c r="M1028">
        <v>0</v>
      </c>
      <c r="N1028">
        <v>0</v>
      </c>
      <c r="O1028" s="1">
        <v>4.2327221498501504E+16</v>
      </c>
      <c r="Q1028" t="b">
        <v>0</v>
      </c>
    </row>
    <row r="1029" spans="1:17" x14ac:dyDescent="0.35">
      <c r="A1029" t="s">
        <v>3122</v>
      </c>
      <c r="B1029" t="s">
        <v>18</v>
      </c>
      <c r="C1029" t="s">
        <v>3123</v>
      </c>
      <c r="D1029">
        <v>0</v>
      </c>
      <c r="E1029" t="s">
        <v>3124</v>
      </c>
      <c r="F1029" t="s">
        <v>20</v>
      </c>
      <c r="G1029" t="s">
        <v>3125</v>
      </c>
      <c r="H1029" s="1">
        <v>7348333333333330</v>
      </c>
      <c r="I1029">
        <v>0</v>
      </c>
      <c r="J1029" t="s">
        <v>1457</v>
      </c>
      <c r="K1029" t="s">
        <v>720</v>
      </c>
      <c r="L1029" t="s">
        <v>3117</v>
      </c>
      <c r="M1029">
        <v>0</v>
      </c>
      <c r="N1029">
        <v>0</v>
      </c>
      <c r="O1029" s="1">
        <v>4232750669738230</v>
      </c>
      <c r="Q1029" t="b">
        <v>0</v>
      </c>
    </row>
    <row r="1030" spans="1:17" x14ac:dyDescent="0.35">
      <c r="A1030" t="s">
        <v>3126</v>
      </c>
      <c r="B1030" t="s">
        <v>18</v>
      </c>
      <c r="C1030" t="s">
        <v>3127</v>
      </c>
      <c r="D1030">
        <v>0</v>
      </c>
      <c r="E1030" t="s">
        <v>3128</v>
      </c>
      <c r="F1030" t="s">
        <v>20</v>
      </c>
      <c r="G1030" t="s">
        <v>3129</v>
      </c>
      <c r="H1030" s="1">
        <v>7348333333333330</v>
      </c>
      <c r="I1030">
        <v>0</v>
      </c>
      <c r="J1030" t="s">
        <v>1457</v>
      </c>
      <c r="K1030" t="s">
        <v>720</v>
      </c>
      <c r="L1030" t="s">
        <v>3117</v>
      </c>
      <c r="M1030">
        <v>0</v>
      </c>
      <c r="N1030">
        <v>0</v>
      </c>
      <c r="O1030" s="1">
        <v>4232779189626310</v>
      </c>
      <c r="Q1030" t="b">
        <v>0</v>
      </c>
    </row>
    <row r="1031" spans="1:17" x14ac:dyDescent="0.35">
      <c r="A1031" t="s">
        <v>3130</v>
      </c>
      <c r="B1031" t="s">
        <v>18</v>
      </c>
      <c r="C1031" t="s">
        <v>3131</v>
      </c>
      <c r="D1031">
        <v>0</v>
      </c>
      <c r="E1031" t="s">
        <v>3132</v>
      </c>
      <c r="F1031" t="s">
        <v>20</v>
      </c>
      <c r="G1031" t="s">
        <v>3133</v>
      </c>
      <c r="H1031" s="1">
        <v>9148333333333330</v>
      </c>
      <c r="I1031">
        <v>0</v>
      </c>
      <c r="J1031">
        <v>98</v>
      </c>
      <c r="K1031" t="s">
        <v>1493</v>
      </c>
      <c r="L1031" s="1">
        <v>5.6519999999999904E+16</v>
      </c>
      <c r="M1031">
        <v>0</v>
      </c>
      <c r="N1031">
        <v>0</v>
      </c>
      <c r="O1031" s="1">
        <v>4.2328077095143904E+16</v>
      </c>
      <c r="Q1031" t="b">
        <v>0</v>
      </c>
    </row>
    <row r="1032" spans="1:17" x14ac:dyDescent="0.35">
      <c r="A1032" t="s">
        <v>3134</v>
      </c>
      <c r="B1032" t="s">
        <v>18</v>
      </c>
      <c r="C1032" t="s">
        <v>3135</v>
      </c>
      <c r="D1032">
        <v>0</v>
      </c>
      <c r="E1032" t="s">
        <v>3136</v>
      </c>
      <c r="F1032" t="s">
        <v>20</v>
      </c>
      <c r="G1032" t="s">
        <v>3137</v>
      </c>
      <c r="H1032" s="1">
        <v>9148333333333330</v>
      </c>
      <c r="I1032">
        <v>0</v>
      </c>
      <c r="J1032">
        <v>98</v>
      </c>
      <c r="K1032" t="s">
        <v>1493</v>
      </c>
      <c r="L1032" s="1">
        <v>5.6519999999999904E+16</v>
      </c>
      <c r="M1032">
        <v>0</v>
      </c>
      <c r="N1032">
        <v>0</v>
      </c>
      <c r="O1032" s="1">
        <v>423283622940248</v>
      </c>
      <c r="Q1032" t="b">
        <v>0</v>
      </c>
    </row>
    <row r="1033" spans="1:17" x14ac:dyDescent="0.35">
      <c r="A1033" t="s">
        <v>3138</v>
      </c>
      <c r="B1033" t="s">
        <v>18</v>
      </c>
      <c r="C1033" t="s">
        <v>3139</v>
      </c>
      <c r="D1033">
        <v>0</v>
      </c>
      <c r="E1033" t="s">
        <v>3140</v>
      </c>
      <c r="F1033" t="s">
        <v>20</v>
      </c>
      <c r="G1033" t="s">
        <v>3141</v>
      </c>
      <c r="H1033" s="1">
        <v>9148333333333330</v>
      </c>
      <c r="I1033">
        <v>0</v>
      </c>
      <c r="J1033">
        <v>98</v>
      </c>
      <c r="K1033" t="s">
        <v>1493</v>
      </c>
      <c r="L1033" s="1">
        <v>5.6519999999999904E+16</v>
      </c>
      <c r="M1033">
        <v>0</v>
      </c>
      <c r="N1033">
        <v>0</v>
      </c>
      <c r="O1033" s="1">
        <v>4232864749290560</v>
      </c>
      <c r="Q1033" t="b">
        <v>0</v>
      </c>
    </row>
    <row r="1034" spans="1:17" x14ac:dyDescent="0.35">
      <c r="A1034" t="s">
        <v>3142</v>
      </c>
      <c r="B1034" t="s">
        <v>18</v>
      </c>
      <c r="C1034" t="s">
        <v>3143</v>
      </c>
      <c r="D1034">
        <v>0</v>
      </c>
      <c r="E1034" t="s">
        <v>3144</v>
      </c>
      <c r="F1034" t="s">
        <v>20</v>
      </c>
      <c r="G1034" t="s">
        <v>3145</v>
      </c>
      <c r="H1034" s="1">
        <v>9148333333333330</v>
      </c>
      <c r="I1034">
        <v>0</v>
      </c>
      <c r="J1034">
        <v>98</v>
      </c>
      <c r="K1034" t="s">
        <v>1493</v>
      </c>
      <c r="L1034" s="1">
        <v>5.6519999999999904E+16</v>
      </c>
      <c r="M1034">
        <v>0</v>
      </c>
      <c r="N1034">
        <v>0</v>
      </c>
      <c r="O1034" s="1">
        <v>4232893269178640</v>
      </c>
      <c r="Q1034" t="b">
        <v>0</v>
      </c>
    </row>
    <row r="1035" spans="1:17" x14ac:dyDescent="0.35">
      <c r="A1035" t="s">
        <v>3146</v>
      </c>
      <c r="B1035" t="s">
        <v>18</v>
      </c>
      <c r="C1035" t="s">
        <v>3147</v>
      </c>
      <c r="D1035">
        <v>0</v>
      </c>
      <c r="E1035" t="s">
        <v>3148</v>
      </c>
      <c r="F1035" t="s">
        <v>20</v>
      </c>
      <c r="G1035" t="s">
        <v>3149</v>
      </c>
      <c r="H1035" t="s">
        <v>3150</v>
      </c>
      <c r="I1035">
        <v>0</v>
      </c>
      <c r="J1035">
        <v>88</v>
      </c>
      <c r="K1035" t="s">
        <v>2069</v>
      </c>
      <c r="L1035" t="s">
        <v>3151</v>
      </c>
      <c r="M1035">
        <v>0</v>
      </c>
      <c r="N1035">
        <v>0</v>
      </c>
      <c r="O1035" s="1">
        <v>4232921789066720</v>
      </c>
      <c r="Q1035" t="b">
        <v>0</v>
      </c>
    </row>
    <row r="1036" spans="1:17" x14ac:dyDescent="0.35">
      <c r="A1036" t="s">
        <v>3152</v>
      </c>
      <c r="B1036" t="s">
        <v>18</v>
      </c>
      <c r="C1036" t="s">
        <v>3153</v>
      </c>
      <c r="D1036">
        <v>0</v>
      </c>
      <c r="E1036" t="s">
        <v>3154</v>
      </c>
      <c r="F1036" t="s">
        <v>20</v>
      </c>
      <c r="G1036" t="s">
        <v>3155</v>
      </c>
      <c r="H1036" t="s">
        <v>3150</v>
      </c>
      <c r="I1036">
        <v>0</v>
      </c>
      <c r="J1036">
        <v>88</v>
      </c>
      <c r="K1036" t="s">
        <v>2069</v>
      </c>
      <c r="L1036" t="s">
        <v>3151</v>
      </c>
      <c r="M1036">
        <v>0</v>
      </c>
      <c r="N1036">
        <v>0</v>
      </c>
      <c r="O1036" s="1">
        <v>4232950308954800</v>
      </c>
      <c r="Q1036" t="b">
        <v>0</v>
      </c>
    </row>
    <row r="1037" spans="1:17" x14ac:dyDescent="0.35">
      <c r="A1037" t="s">
        <v>3156</v>
      </c>
      <c r="B1037" t="s">
        <v>18</v>
      </c>
      <c r="C1037" t="s">
        <v>3157</v>
      </c>
      <c r="D1037">
        <v>0</v>
      </c>
      <c r="E1037" t="s">
        <v>3158</v>
      </c>
      <c r="F1037" t="s">
        <v>20</v>
      </c>
      <c r="G1037" t="s">
        <v>3159</v>
      </c>
      <c r="H1037" t="s">
        <v>3150</v>
      </c>
      <c r="I1037">
        <v>0</v>
      </c>
      <c r="J1037">
        <v>88</v>
      </c>
      <c r="K1037" t="s">
        <v>2069</v>
      </c>
      <c r="L1037" t="s">
        <v>3151</v>
      </c>
      <c r="M1037">
        <v>0</v>
      </c>
      <c r="N1037">
        <v>0</v>
      </c>
      <c r="O1037" s="1">
        <v>4232978828842880</v>
      </c>
      <c r="Q1037" t="b">
        <v>0</v>
      </c>
    </row>
    <row r="1038" spans="1:17" x14ac:dyDescent="0.35">
      <c r="A1038" t="s">
        <v>3160</v>
      </c>
      <c r="B1038" t="s">
        <v>18</v>
      </c>
      <c r="C1038" t="s">
        <v>3161</v>
      </c>
      <c r="D1038">
        <v>0</v>
      </c>
      <c r="E1038" t="s">
        <v>3162</v>
      </c>
      <c r="F1038" t="s">
        <v>20</v>
      </c>
      <c r="G1038" t="s">
        <v>3163</v>
      </c>
      <c r="H1038" t="s">
        <v>3150</v>
      </c>
      <c r="I1038">
        <v>0</v>
      </c>
      <c r="J1038">
        <v>88</v>
      </c>
      <c r="K1038" t="s">
        <v>2069</v>
      </c>
      <c r="L1038" t="s">
        <v>3151</v>
      </c>
      <c r="M1038">
        <v>0</v>
      </c>
      <c r="N1038">
        <v>0</v>
      </c>
      <c r="O1038" s="1">
        <v>4233007348730960</v>
      </c>
      <c r="Q1038" t="b">
        <v>0</v>
      </c>
    </row>
    <row r="1039" spans="1:17" x14ac:dyDescent="0.35">
      <c r="A1039" t="s">
        <v>3164</v>
      </c>
      <c r="B1039" t="s">
        <v>18</v>
      </c>
      <c r="C1039" t="s">
        <v>3165</v>
      </c>
      <c r="D1039">
        <v>0</v>
      </c>
      <c r="E1039" t="s">
        <v>3166</v>
      </c>
      <c r="F1039" t="s">
        <v>20</v>
      </c>
      <c r="G1039" t="s">
        <v>3167</v>
      </c>
      <c r="H1039" s="1">
        <v>1.84083333333333E+16</v>
      </c>
      <c r="I1039">
        <v>0</v>
      </c>
      <c r="J1039">
        <v>68</v>
      </c>
      <c r="K1039">
        <v>3</v>
      </c>
      <c r="L1039" t="s">
        <v>3168</v>
      </c>
      <c r="M1039">
        <v>0</v>
      </c>
      <c r="N1039">
        <v>0</v>
      </c>
      <c r="O1039" s="1">
        <v>4.2330358686190496E+16</v>
      </c>
      <c r="Q1039" t="b">
        <v>0</v>
      </c>
    </row>
    <row r="1040" spans="1:17" x14ac:dyDescent="0.35">
      <c r="A1040" t="s">
        <v>3169</v>
      </c>
      <c r="B1040" t="s">
        <v>18</v>
      </c>
      <c r="C1040" t="s">
        <v>3170</v>
      </c>
      <c r="D1040">
        <v>0</v>
      </c>
      <c r="E1040" t="s">
        <v>3171</v>
      </c>
      <c r="F1040" t="s">
        <v>20</v>
      </c>
      <c r="G1040" t="s">
        <v>3172</v>
      </c>
      <c r="H1040" s="1">
        <v>1.84083333333333E+16</v>
      </c>
      <c r="I1040">
        <v>0</v>
      </c>
      <c r="J1040">
        <v>68</v>
      </c>
      <c r="K1040">
        <v>3</v>
      </c>
      <c r="L1040" t="s">
        <v>3168</v>
      </c>
      <c r="M1040">
        <v>0</v>
      </c>
      <c r="N1040">
        <v>0</v>
      </c>
      <c r="O1040" s="1">
        <v>4233064388507130</v>
      </c>
      <c r="Q1040" t="b">
        <v>0</v>
      </c>
    </row>
    <row r="1041" spans="1:17" x14ac:dyDescent="0.35">
      <c r="A1041" t="s">
        <v>3173</v>
      </c>
      <c r="B1041" t="s">
        <v>18</v>
      </c>
      <c r="C1041" t="s">
        <v>3174</v>
      </c>
      <c r="D1041">
        <v>0</v>
      </c>
      <c r="E1041" t="s">
        <v>3175</v>
      </c>
      <c r="F1041" t="s">
        <v>20</v>
      </c>
      <c r="G1041" t="s">
        <v>3176</v>
      </c>
      <c r="H1041" s="1">
        <v>1.84083333333333E+16</v>
      </c>
      <c r="I1041">
        <v>0</v>
      </c>
      <c r="J1041">
        <v>68</v>
      </c>
      <c r="K1041">
        <v>3</v>
      </c>
      <c r="L1041" t="s">
        <v>3168</v>
      </c>
      <c r="M1041">
        <v>0</v>
      </c>
      <c r="N1041">
        <v>0</v>
      </c>
      <c r="O1041" s="1">
        <v>4233092908395210</v>
      </c>
      <c r="Q1041" t="b">
        <v>0</v>
      </c>
    </row>
    <row r="1042" spans="1:17" x14ac:dyDescent="0.35">
      <c r="A1042" t="s">
        <v>3177</v>
      </c>
      <c r="B1042" t="s">
        <v>18</v>
      </c>
      <c r="C1042" t="s">
        <v>3178</v>
      </c>
      <c r="D1042">
        <v>0</v>
      </c>
      <c r="E1042" t="s">
        <v>3179</v>
      </c>
      <c r="F1042" t="s">
        <v>20</v>
      </c>
      <c r="G1042" t="s">
        <v>3180</v>
      </c>
      <c r="H1042" s="1">
        <v>1.84083333333333E+16</v>
      </c>
      <c r="I1042">
        <v>0</v>
      </c>
      <c r="J1042">
        <v>68</v>
      </c>
      <c r="K1042">
        <v>3</v>
      </c>
      <c r="L1042" t="s">
        <v>3168</v>
      </c>
      <c r="M1042">
        <v>0</v>
      </c>
      <c r="N1042">
        <v>0</v>
      </c>
      <c r="O1042" s="1">
        <v>4233121428283290</v>
      </c>
      <c r="Q1042" t="b">
        <v>0</v>
      </c>
    </row>
    <row r="1043" spans="1:17" x14ac:dyDescent="0.35">
      <c r="A1043" t="s">
        <v>3181</v>
      </c>
      <c r="B1043" t="s">
        <v>18</v>
      </c>
      <c r="C1043" t="s">
        <v>3182</v>
      </c>
      <c r="D1043">
        <v>0</v>
      </c>
      <c r="E1043" t="s">
        <v>3183</v>
      </c>
      <c r="F1043" t="s">
        <v>20</v>
      </c>
      <c r="G1043" t="s">
        <v>3184</v>
      </c>
      <c r="H1043" s="1">
        <v>2.41649999999999E+16</v>
      </c>
      <c r="I1043">
        <v>0</v>
      </c>
      <c r="J1043" t="s">
        <v>1712</v>
      </c>
      <c r="K1043" t="s">
        <v>1422</v>
      </c>
      <c r="L1043" t="s">
        <v>3185</v>
      </c>
      <c r="M1043">
        <v>0</v>
      </c>
      <c r="N1043">
        <v>0</v>
      </c>
      <c r="O1043" s="1">
        <v>4233149948171370</v>
      </c>
      <c r="Q1043" t="b">
        <v>0</v>
      </c>
    </row>
    <row r="1044" spans="1:17" x14ac:dyDescent="0.35">
      <c r="A1044" t="s">
        <v>3186</v>
      </c>
      <c r="B1044" t="s">
        <v>18</v>
      </c>
      <c r="C1044" t="s">
        <v>3187</v>
      </c>
      <c r="D1044">
        <v>0</v>
      </c>
      <c r="E1044">
        <v>0</v>
      </c>
      <c r="F1044" t="s">
        <v>20</v>
      </c>
      <c r="G1044" t="s">
        <v>3188</v>
      </c>
      <c r="H1044" s="1">
        <v>2.41649999999999E+16</v>
      </c>
      <c r="I1044">
        <v>0</v>
      </c>
      <c r="J1044" t="s">
        <v>1712</v>
      </c>
      <c r="K1044" t="s">
        <v>1422</v>
      </c>
      <c r="L1044" t="s">
        <v>3185</v>
      </c>
      <c r="M1044">
        <v>0</v>
      </c>
      <c r="N1044">
        <v>0</v>
      </c>
      <c r="O1044" s="1">
        <v>4233178468059450</v>
      </c>
      <c r="Q1044" t="b">
        <v>0</v>
      </c>
    </row>
    <row r="1045" spans="1:17" x14ac:dyDescent="0.35">
      <c r="A1045" t="s">
        <v>3189</v>
      </c>
      <c r="B1045" t="s">
        <v>18</v>
      </c>
      <c r="C1045" t="s">
        <v>3190</v>
      </c>
      <c r="D1045">
        <v>0</v>
      </c>
      <c r="E1045">
        <v>0</v>
      </c>
      <c r="F1045" t="s">
        <v>20</v>
      </c>
      <c r="G1045" t="s">
        <v>3191</v>
      </c>
      <c r="H1045" s="1">
        <v>2.41649999999999E+16</v>
      </c>
      <c r="I1045">
        <v>0</v>
      </c>
      <c r="J1045" t="s">
        <v>1712</v>
      </c>
      <c r="K1045" t="s">
        <v>1422</v>
      </c>
      <c r="L1045" t="s">
        <v>3185</v>
      </c>
      <c r="M1045">
        <v>0</v>
      </c>
      <c r="N1045">
        <v>0</v>
      </c>
      <c r="O1045" s="1">
        <v>4233206987947540</v>
      </c>
      <c r="Q1045" t="b">
        <v>0</v>
      </c>
    </row>
    <row r="1046" spans="1:17" x14ac:dyDescent="0.35">
      <c r="A1046" t="s">
        <v>3192</v>
      </c>
      <c r="B1046" t="s">
        <v>18</v>
      </c>
      <c r="C1046" t="s">
        <v>3193</v>
      </c>
      <c r="D1046">
        <v>0</v>
      </c>
      <c r="E1046">
        <v>0</v>
      </c>
      <c r="F1046" t="s">
        <v>20</v>
      </c>
      <c r="G1046" t="s">
        <v>3194</v>
      </c>
      <c r="H1046" s="1">
        <v>2.41649999999999E+16</v>
      </c>
      <c r="I1046">
        <v>0</v>
      </c>
      <c r="J1046" t="s">
        <v>1712</v>
      </c>
      <c r="K1046" t="s">
        <v>1422</v>
      </c>
      <c r="L1046" t="s">
        <v>3185</v>
      </c>
      <c r="M1046">
        <v>0</v>
      </c>
      <c r="N1046">
        <v>0</v>
      </c>
      <c r="O1046" s="1">
        <v>4233235507835620</v>
      </c>
      <c r="Q1046" t="b">
        <v>0</v>
      </c>
    </row>
    <row r="1047" spans="1:17" x14ac:dyDescent="0.35">
      <c r="A1047" t="s">
        <v>3195</v>
      </c>
      <c r="B1047" t="s">
        <v>18</v>
      </c>
      <c r="C1047" t="s">
        <v>3196</v>
      </c>
      <c r="D1047">
        <v>0</v>
      </c>
      <c r="E1047">
        <v>0</v>
      </c>
      <c r="F1047" t="s">
        <v>20</v>
      </c>
      <c r="G1047">
        <v>0</v>
      </c>
      <c r="H1047" s="1">
        <v>1.22466666666666E+16</v>
      </c>
      <c r="I1047">
        <v>0</v>
      </c>
      <c r="J1047" t="s">
        <v>1559</v>
      </c>
      <c r="K1047" s="1">
        <v>1.95E+16</v>
      </c>
      <c r="L1047" t="s">
        <v>2739</v>
      </c>
      <c r="M1047">
        <v>0</v>
      </c>
      <c r="N1047">
        <v>0</v>
      </c>
      <c r="O1047" s="1">
        <v>4.2332640277237E+16</v>
      </c>
      <c r="Q1047" t="b">
        <v>0</v>
      </c>
    </row>
    <row r="1048" spans="1:17" x14ac:dyDescent="0.35">
      <c r="A1048" t="s">
        <v>3197</v>
      </c>
      <c r="B1048" t="s">
        <v>18</v>
      </c>
      <c r="C1048" t="s">
        <v>3198</v>
      </c>
      <c r="D1048">
        <v>0</v>
      </c>
      <c r="E1048">
        <v>0</v>
      </c>
      <c r="F1048" t="s">
        <v>20</v>
      </c>
      <c r="G1048">
        <v>0</v>
      </c>
      <c r="H1048" s="1">
        <v>1.22466666666666E+16</v>
      </c>
      <c r="I1048">
        <v>0</v>
      </c>
      <c r="J1048" t="s">
        <v>1559</v>
      </c>
      <c r="K1048" s="1">
        <v>1.95E+16</v>
      </c>
      <c r="L1048" t="s">
        <v>2739</v>
      </c>
      <c r="M1048">
        <v>0</v>
      </c>
      <c r="N1048">
        <v>0</v>
      </c>
      <c r="O1048" s="1">
        <v>4233292547611780</v>
      </c>
      <c r="Q1048" t="b">
        <v>0</v>
      </c>
    </row>
    <row r="1049" spans="1:17" x14ac:dyDescent="0.35">
      <c r="A1049" t="s">
        <v>3199</v>
      </c>
      <c r="B1049" t="s">
        <v>18</v>
      </c>
      <c r="C1049" t="s">
        <v>3200</v>
      </c>
      <c r="D1049">
        <v>0</v>
      </c>
      <c r="E1049">
        <v>0</v>
      </c>
      <c r="F1049" t="s">
        <v>20</v>
      </c>
      <c r="G1049">
        <v>0</v>
      </c>
      <c r="H1049" s="1">
        <v>1.22466666666666E+16</v>
      </c>
      <c r="I1049">
        <v>0</v>
      </c>
      <c r="J1049" t="s">
        <v>1559</v>
      </c>
      <c r="K1049" s="1">
        <v>1.95E+16</v>
      </c>
      <c r="L1049" t="s">
        <v>2739</v>
      </c>
      <c r="M1049">
        <v>0</v>
      </c>
      <c r="N1049">
        <v>0</v>
      </c>
      <c r="O1049" s="1">
        <v>4233321067499860</v>
      </c>
      <c r="Q1049" t="b">
        <v>0</v>
      </c>
    </row>
    <row r="1050" spans="1:17" x14ac:dyDescent="0.35">
      <c r="A1050" t="s">
        <v>3201</v>
      </c>
      <c r="B1050" t="s">
        <v>18</v>
      </c>
      <c r="C1050" t="s">
        <v>3202</v>
      </c>
      <c r="D1050">
        <v>0</v>
      </c>
      <c r="E1050">
        <v>0</v>
      </c>
      <c r="F1050" t="s">
        <v>20</v>
      </c>
      <c r="G1050">
        <v>0</v>
      </c>
      <c r="H1050" s="1">
        <v>1.22466666666666E+16</v>
      </c>
      <c r="I1050">
        <v>0</v>
      </c>
      <c r="J1050" t="s">
        <v>1559</v>
      </c>
      <c r="K1050" s="1">
        <v>1.95E+16</v>
      </c>
      <c r="L1050" t="s">
        <v>2739</v>
      </c>
      <c r="M1050">
        <v>0</v>
      </c>
      <c r="N1050">
        <v>0</v>
      </c>
      <c r="O1050" s="1">
        <v>4.23334958738794E+16</v>
      </c>
      <c r="Q1050" t="b">
        <v>0</v>
      </c>
    </row>
    <row r="1051" spans="1:17" x14ac:dyDescent="0.35">
      <c r="A1051" t="s">
        <v>3203</v>
      </c>
      <c r="B1051" t="s">
        <v>18</v>
      </c>
      <c r="C1051" t="s">
        <v>3204</v>
      </c>
      <c r="D1051">
        <v>0</v>
      </c>
      <c r="E1051">
        <v>0</v>
      </c>
      <c r="F1051" t="s">
        <v>20</v>
      </c>
      <c r="G1051">
        <v>0</v>
      </c>
      <c r="H1051">
        <v>0</v>
      </c>
      <c r="I1051">
        <v>0</v>
      </c>
      <c r="J1051">
        <v>0</v>
      </c>
      <c r="K1051" t="s">
        <v>3018</v>
      </c>
      <c r="L1051" s="1">
        <v>3.006E+16</v>
      </c>
      <c r="M1051">
        <v>0</v>
      </c>
      <c r="N1051">
        <v>0</v>
      </c>
      <c r="O1051" s="1">
        <v>423337810727603</v>
      </c>
      <c r="Q1051" t="b">
        <v>0</v>
      </c>
    </row>
    <row r="1052" spans="1:17" x14ac:dyDescent="0.35">
      <c r="A1052" t="s">
        <v>3205</v>
      </c>
      <c r="B1052" t="s">
        <v>18</v>
      </c>
      <c r="C1052" t="s">
        <v>3206</v>
      </c>
      <c r="D1052">
        <v>0</v>
      </c>
      <c r="E1052">
        <v>0</v>
      </c>
      <c r="F1052" t="s">
        <v>20</v>
      </c>
      <c r="G1052">
        <v>0</v>
      </c>
      <c r="H1052">
        <v>0</v>
      </c>
      <c r="I1052">
        <v>0</v>
      </c>
      <c r="J1052">
        <v>0</v>
      </c>
      <c r="K1052" t="s">
        <v>3018</v>
      </c>
      <c r="L1052" s="1">
        <v>3.006E+16</v>
      </c>
      <c r="M1052">
        <v>0</v>
      </c>
      <c r="N1052">
        <v>0</v>
      </c>
      <c r="O1052" s="1">
        <v>4233406627164110</v>
      </c>
      <c r="Q1052" t="b">
        <v>0</v>
      </c>
    </row>
    <row r="1053" spans="1:17" x14ac:dyDescent="0.35">
      <c r="A1053" t="s">
        <v>3207</v>
      </c>
      <c r="B1053" t="s">
        <v>18</v>
      </c>
      <c r="C1053" t="s">
        <v>3208</v>
      </c>
      <c r="D1053">
        <v>0</v>
      </c>
      <c r="E1053">
        <v>0</v>
      </c>
      <c r="F1053" t="s">
        <v>20</v>
      </c>
      <c r="G1053">
        <v>0</v>
      </c>
      <c r="H1053">
        <v>0</v>
      </c>
      <c r="I1053">
        <v>0</v>
      </c>
      <c r="J1053">
        <v>0</v>
      </c>
      <c r="K1053" t="s">
        <v>3018</v>
      </c>
      <c r="L1053" s="1">
        <v>3.006E+16</v>
      </c>
      <c r="M1053">
        <v>0</v>
      </c>
      <c r="N1053">
        <v>0</v>
      </c>
      <c r="O1053" s="1">
        <v>4233435147052190</v>
      </c>
      <c r="Q1053" t="b">
        <v>0</v>
      </c>
    </row>
    <row r="1054" spans="1:17" x14ac:dyDescent="0.35">
      <c r="A1054" t="s">
        <v>3209</v>
      </c>
      <c r="B1054" t="s">
        <v>18</v>
      </c>
      <c r="C1054" t="s">
        <v>3210</v>
      </c>
      <c r="D1054">
        <v>0</v>
      </c>
      <c r="E1054">
        <v>0</v>
      </c>
      <c r="F1054" t="s">
        <v>20</v>
      </c>
      <c r="G1054">
        <v>0</v>
      </c>
      <c r="H1054">
        <v>0</v>
      </c>
      <c r="I1054">
        <v>0</v>
      </c>
      <c r="J1054">
        <v>0</v>
      </c>
      <c r="K1054" t="s">
        <v>3018</v>
      </c>
      <c r="L1054" s="1">
        <v>3.006E+16</v>
      </c>
      <c r="M1054">
        <v>0</v>
      </c>
      <c r="N1054">
        <v>0</v>
      </c>
      <c r="O1054" s="1">
        <v>4233463666940270</v>
      </c>
      <c r="Q1054" t="b">
        <v>0</v>
      </c>
    </row>
    <row r="1055" spans="1:17" x14ac:dyDescent="0.35">
      <c r="A1055" t="s">
        <v>3211</v>
      </c>
      <c r="B1055" t="s">
        <v>18</v>
      </c>
      <c r="C1055" t="s">
        <v>3212</v>
      </c>
      <c r="D1055">
        <v>0</v>
      </c>
      <c r="E1055">
        <v>0</v>
      </c>
      <c r="F1055" t="s">
        <v>20</v>
      </c>
      <c r="G1055">
        <v>0</v>
      </c>
      <c r="H1055">
        <v>0</v>
      </c>
      <c r="I1055">
        <v>0</v>
      </c>
      <c r="J1055">
        <v>0</v>
      </c>
      <c r="K1055" t="s">
        <v>69</v>
      </c>
      <c r="L1055" s="1">
        <v>2.574E+16</v>
      </c>
      <c r="M1055">
        <v>0</v>
      </c>
      <c r="N1055">
        <v>0</v>
      </c>
      <c r="O1055" s="1">
        <v>4233492186828350</v>
      </c>
      <c r="Q1055" t="b">
        <v>0</v>
      </c>
    </row>
    <row r="1056" spans="1:17" x14ac:dyDescent="0.35">
      <c r="A1056" t="s">
        <v>3213</v>
      </c>
      <c r="B1056" t="s">
        <v>18</v>
      </c>
      <c r="C1056" t="s">
        <v>3214</v>
      </c>
      <c r="D1056">
        <v>0</v>
      </c>
      <c r="E1056">
        <v>0</v>
      </c>
      <c r="F1056" t="s">
        <v>20</v>
      </c>
      <c r="G1056">
        <v>0</v>
      </c>
      <c r="H1056">
        <v>0</v>
      </c>
      <c r="I1056">
        <v>0</v>
      </c>
      <c r="J1056">
        <v>0</v>
      </c>
      <c r="K1056" t="s">
        <v>69</v>
      </c>
      <c r="L1056" s="1">
        <v>2.574E+16</v>
      </c>
      <c r="M1056">
        <v>0</v>
      </c>
      <c r="N1056">
        <v>0</v>
      </c>
      <c r="O1056" s="1">
        <v>4233520706716430</v>
      </c>
      <c r="Q1056" t="b">
        <v>0</v>
      </c>
    </row>
    <row r="1057" spans="1:17" x14ac:dyDescent="0.35">
      <c r="A1057" t="s">
        <v>3215</v>
      </c>
      <c r="B1057" t="s">
        <v>18</v>
      </c>
      <c r="C1057" t="s">
        <v>3216</v>
      </c>
      <c r="D1057">
        <v>0</v>
      </c>
      <c r="E1057">
        <v>0</v>
      </c>
      <c r="F1057" t="s">
        <v>20</v>
      </c>
      <c r="G1057">
        <v>0</v>
      </c>
      <c r="H1057">
        <v>0</v>
      </c>
      <c r="I1057">
        <v>0</v>
      </c>
      <c r="J1057">
        <v>0</v>
      </c>
      <c r="K1057" t="s">
        <v>69</v>
      </c>
      <c r="L1057" s="1">
        <v>2.574E+16</v>
      </c>
      <c r="M1057">
        <v>0</v>
      </c>
      <c r="N1057">
        <v>0</v>
      </c>
      <c r="O1057" s="1">
        <v>4233549226604510</v>
      </c>
      <c r="Q1057" t="b">
        <v>0</v>
      </c>
    </row>
    <row r="1058" spans="1:17" x14ac:dyDescent="0.35">
      <c r="A1058" t="s">
        <v>3217</v>
      </c>
      <c r="B1058" t="s">
        <v>18</v>
      </c>
      <c r="C1058" t="s">
        <v>3218</v>
      </c>
      <c r="D1058">
        <v>0</v>
      </c>
      <c r="E1058">
        <v>0</v>
      </c>
      <c r="F1058" t="s">
        <v>20</v>
      </c>
      <c r="G1058">
        <v>0</v>
      </c>
      <c r="H1058">
        <v>0</v>
      </c>
      <c r="I1058">
        <v>0</v>
      </c>
      <c r="J1058">
        <v>0</v>
      </c>
      <c r="K1058" t="s">
        <v>69</v>
      </c>
      <c r="L1058" s="1">
        <v>2.574E+16</v>
      </c>
      <c r="M1058">
        <v>0</v>
      </c>
      <c r="N1058">
        <v>0</v>
      </c>
      <c r="O1058" s="1">
        <v>4233577746492600</v>
      </c>
      <c r="Q1058" t="b">
        <v>0</v>
      </c>
    </row>
    <row r="1059" spans="1:17" x14ac:dyDescent="0.35">
      <c r="A1059" t="s">
        <v>3219</v>
      </c>
      <c r="B1059" t="s">
        <v>18</v>
      </c>
      <c r="C1059" t="s">
        <v>3220</v>
      </c>
      <c r="D1059">
        <v>0</v>
      </c>
      <c r="E1059">
        <v>0</v>
      </c>
      <c r="F1059" t="s">
        <v>20</v>
      </c>
      <c r="G1059">
        <v>0</v>
      </c>
      <c r="H1059">
        <v>0</v>
      </c>
      <c r="I1059">
        <v>0</v>
      </c>
      <c r="J1059">
        <v>0</v>
      </c>
      <c r="K1059" t="s">
        <v>111</v>
      </c>
      <c r="L1059" s="1">
        <v>2.124E+16</v>
      </c>
      <c r="M1059">
        <v>0</v>
      </c>
      <c r="N1059">
        <v>0</v>
      </c>
      <c r="O1059" s="1">
        <v>4233606266380680</v>
      </c>
      <c r="Q1059" t="b">
        <v>0</v>
      </c>
    </row>
    <row r="1060" spans="1:17" x14ac:dyDescent="0.35">
      <c r="A1060" t="s">
        <v>3221</v>
      </c>
      <c r="B1060" t="s">
        <v>18</v>
      </c>
      <c r="C1060" t="s">
        <v>3222</v>
      </c>
      <c r="D1060">
        <v>0</v>
      </c>
      <c r="E1060">
        <v>0</v>
      </c>
      <c r="F1060" t="s">
        <v>20</v>
      </c>
      <c r="G1060">
        <v>0</v>
      </c>
      <c r="H1060">
        <v>0</v>
      </c>
      <c r="I1060">
        <v>0</v>
      </c>
      <c r="J1060">
        <v>0</v>
      </c>
      <c r="K1060" t="s">
        <v>111</v>
      </c>
      <c r="L1060" s="1">
        <v>2.124E+16</v>
      </c>
      <c r="M1060">
        <v>0</v>
      </c>
      <c r="N1060">
        <v>0</v>
      </c>
      <c r="O1060" s="1">
        <v>4233634786268760</v>
      </c>
      <c r="Q1060" t="b">
        <v>0</v>
      </c>
    </row>
    <row r="1061" spans="1:17" x14ac:dyDescent="0.35">
      <c r="A1061" t="s">
        <v>3223</v>
      </c>
      <c r="B1061" t="s">
        <v>18</v>
      </c>
      <c r="C1061" t="s">
        <v>3224</v>
      </c>
      <c r="D1061">
        <v>0</v>
      </c>
      <c r="E1061">
        <v>0</v>
      </c>
      <c r="F1061" t="s">
        <v>20</v>
      </c>
      <c r="G1061">
        <v>0</v>
      </c>
      <c r="H1061">
        <v>0</v>
      </c>
      <c r="I1061">
        <v>0</v>
      </c>
      <c r="J1061">
        <v>0</v>
      </c>
      <c r="K1061" t="s">
        <v>111</v>
      </c>
      <c r="L1061" s="1">
        <v>2.124E+16</v>
      </c>
      <c r="M1061">
        <v>0</v>
      </c>
      <c r="N1061">
        <v>0</v>
      </c>
      <c r="O1061" s="1">
        <v>4233663306156840</v>
      </c>
      <c r="Q1061" t="b">
        <v>0</v>
      </c>
    </row>
    <row r="1062" spans="1:17" x14ac:dyDescent="0.35">
      <c r="A1062" t="s">
        <v>3225</v>
      </c>
      <c r="B1062" t="s">
        <v>18</v>
      </c>
      <c r="C1062" t="s">
        <v>3226</v>
      </c>
      <c r="D1062">
        <v>0</v>
      </c>
      <c r="E1062">
        <v>0</v>
      </c>
      <c r="F1062" t="s">
        <v>20</v>
      </c>
      <c r="G1062">
        <v>0</v>
      </c>
      <c r="H1062">
        <v>0</v>
      </c>
      <c r="I1062">
        <v>0</v>
      </c>
      <c r="J1062">
        <v>0</v>
      </c>
      <c r="K1062" t="s">
        <v>111</v>
      </c>
      <c r="L1062" s="1">
        <v>2.124E+16</v>
      </c>
      <c r="M1062">
        <v>0</v>
      </c>
      <c r="N1062">
        <v>0</v>
      </c>
      <c r="O1062" s="1">
        <v>4233691826044920</v>
      </c>
      <c r="Q1062" t="b">
        <v>0</v>
      </c>
    </row>
    <row r="1063" spans="1:17" x14ac:dyDescent="0.35">
      <c r="A1063" t="s">
        <v>3227</v>
      </c>
      <c r="B1063" t="s">
        <v>18</v>
      </c>
      <c r="C1063" t="s">
        <v>3228</v>
      </c>
      <c r="D1063">
        <v>0</v>
      </c>
      <c r="E1063">
        <v>0</v>
      </c>
      <c r="F1063" t="s">
        <v>20</v>
      </c>
      <c r="G1063">
        <v>0</v>
      </c>
      <c r="H1063">
        <v>0</v>
      </c>
      <c r="I1063">
        <v>0</v>
      </c>
      <c r="J1063">
        <v>0</v>
      </c>
      <c r="K1063" t="s">
        <v>226</v>
      </c>
      <c r="L1063" t="s">
        <v>3229</v>
      </c>
      <c r="M1063">
        <v>0</v>
      </c>
      <c r="N1063">
        <v>0</v>
      </c>
      <c r="O1063" s="1">
        <v>4233720345933000</v>
      </c>
      <c r="Q1063" t="b">
        <v>0</v>
      </c>
    </row>
    <row r="1064" spans="1:17" x14ac:dyDescent="0.35">
      <c r="A1064" t="s">
        <v>3230</v>
      </c>
      <c r="B1064" t="s">
        <v>18</v>
      </c>
      <c r="C1064" t="s">
        <v>3231</v>
      </c>
      <c r="D1064">
        <v>0</v>
      </c>
      <c r="E1064">
        <v>0</v>
      </c>
      <c r="F1064" t="s">
        <v>20</v>
      </c>
      <c r="G1064">
        <v>0</v>
      </c>
      <c r="H1064">
        <v>0</v>
      </c>
      <c r="I1064">
        <v>0</v>
      </c>
      <c r="J1064">
        <v>0</v>
      </c>
      <c r="K1064" t="s">
        <v>226</v>
      </c>
      <c r="L1064" t="s">
        <v>3229</v>
      </c>
      <c r="M1064">
        <v>0</v>
      </c>
      <c r="N1064">
        <v>0</v>
      </c>
      <c r="O1064" s="1">
        <v>4233748865821090</v>
      </c>
      <c r="Q1064" t="b">
        <v>0</v>
      </c>
    </row>
    <row r="1065" spans="1:17" x14ac:dyDescent="0.35">
      <c r="A1065" t="s">
        <v>3232</v>
      </c>
      <c r="B1065" t="s">
        <v>18</v>
      </c>
      <c r="C1065" t="s">
        <v>3233</v>
      </c>
      <c r="D1065">
        <v>0</v>
      </c>
      <c r="E1065">
        <v>0</v>
      </c>
      <c r="F1065" t="s">
        <v>20</v>
      </c>
      <c r="G1065">
        <v>0</v>
      </c>
      <c r="H1065">
        <v>0</v>
      </c>
      <c r="I1065">
        <v>0</v>
      </c>
      <c r="J1065">
        <v>0</v>
      </c>
      <c r="K1065" t="s">
        <v>226</v>
      </c>
      <c r="L1065" t="s">
        <v>3229</v>
      </c>
      <c r="M1065">
        <v>0</v>
      </c>
      <c r="N1065">
        <v>0</v>
      </c>
      <c r="O1065" s="1">
        <v>4233777385709170</v>
      </c>
      <c r="Q1065" t="b">
        <v>0</v>
      </c>
    </row>
    <row r="1066" spans="1:17" x14ac:dyDescent="0.35">
      <c r="A1066" t="s">
        <v>3234</v>
      </c>
      <c r="B1066" t="s">
        <v>18</v>
      </c>
      <c r="C1066" t="s">
        <v>3235</v>
      </c>
      <c r="D1066">
        <v>0</v>
      </c>
      <c r="E1066">
        <v>0</v>
      </c>
      <c r="F1066" t="s">
        <v>20</v>
      </c>
      <c r="G1066">
        <v>0</v>
      </c>
      <c r="H1066">
        <v>0</v>
      </c>
      <c r="I1066">
        <v>0</v>
      </c>
      <c r="J1066">
        <v>0</v>
      </c>
      <c r="K1066" t="s">
        <v>226</v>
      </c>
      <c r="L1066" t="s">
        <v>3229</v>
      </c>
      <c r="M1066">
        <v>0</v>
      </c>
      <c r="N1066">
        <v>0</v>
      </c>
      <c r="O1066" s="1">
        <v>4.2338059055972496E+16</v>
      </c>
      <c r="Q1066" t="b">
        <v>0</v>
      </c>
    </row>
    <row r="1067" spans="1:17" x14ac:dyDescent="0.35">
      <c r="A1067" t="s">
        <v>3236</v>
      </c>
      <c r="B1067" t="s">
        <v>18</v>
      </c>
      <c r="C1067" t="s">
        <v>3237</v>
      </c>
      <c r="D1067">
        <v>0</v>
      </c>
      <c r="E1067">
        <v>0</v>
      </c>
      <c r="F1067" t="s">
        <v>20</v>
      </c>
      <c r="G1067">
        <v>0</v>
      </c>
      <c r="H1067">
        <v>0</v>
      </c>
      <c r="I1067">
        <v>0</v>
      </c>
      <c r="J1067">
        <v>0</v>
      </c>
      <c r="K1067" t="s">
        <v>171</v>
      </c>
      <c r="L1067" s="1">
        <v>1.18799999999999E+16</v>
      </c>
      <c r="M1067">
        <v>0</v>
      </c>
      <c r="N1067">
        <v>0</v>
      </c>
      <c r="O1067" s="1">
        <v>4233834425485330</v>
      </c>
      <c r="Q1067" t="b">
        <v>0</v>
      </c>
    </row>
    <row r="1068" spans="1:17" x14ac:dyDescent="0.35">
      <c r="A1068" t="s">
        <v>3238</v>
      </c>
      <c r="B1068" t="s">
        <v>18</v>
      </c>
      <c r="C1068" t="s">
        <v>3239</v>
      </c>
      <c r="D1068">
        <v>0</v>
      </c>
      <c r="E1068">
        <v>0</v>
      </c>
      <c r="F1068" t="s">
        <v>20</v>
      </c>
      <c r="G1068">
        <v>0</v>
      </c>
      <c r="H1068">
        <v>0</v>
      </c>
      <c r="I1068">
        <v>0</v>
      </c>
      <c r="J1068">
        <v>0</v>
      </c>
      <c r="K1068" t="s">
        <v>171</v>
      </c>
      <c r="L1068" s="1">
        <v>1.18799999999999E+16</v>
      </c>
      <c r="M1068">
        <v>0</v>
      </c>
      <c r="N1068">
        <v>0</v>
      </c>
      <c r="O1068" s="1">
        <v>4233862945373410</v>
      </c>
      <c r="Q1068" t="b">
        <v>0</v>
      </c>
    </row>
    <row r="1069" spans="1:17" x14ac:dyDescent="0.35">
      <c r="A1069" t="s">
        <v>3240</v>
      </c>
      <c r="B1069" t="s">
        <v>18</v>
      </c>
      <c r="C1069" t="s">
        <v>3241</v>
      </c>
      <c r="D1069">
        <v>0</v>
      </c>
      <c r="E1069">
        <v>0</v>
      </c>
      <c r="F1069" t="s">
        <v>20</v>
      </c>
      <c r="G1069">
        <v>0</v>
      </c>
      <c r="H1069">
        <v>0</v>
      </c>
      <c r="I1069">
        <v>0</v>
      </c>
      <c r="J1069">
        <v>0</v>
      </c>
      <c r="K1069" t="s">
        <v>171</v>
      </c>
      <c r="L1069" s="1">
        <v>1.18799999999999E+16</v>
      </c>
      <c r="M1069">
        <v>0</v>
      </c>
      <c r="N1069">
        <v>0</v>
      </c>
      <c r="O1069" s="1">
        <v>4.2338914652614896E+16</v>
      </c>
      <c r="Q1069" t="b">
        <v>0</v>
      </c>
    </row>
    <row r="1070" spans="1:17" x14ac:dyDescent="0.35">
      <c r="A1070" t="s">
        <v>3242</v>
      </c>
      <c r="B1070" t="s">
        <v>18</v>
      </c>
      <c r="C1070" t="s">
        <v>3243</v>
      </c>
      <c r="D1070">
        <v>0</v>
      </c>
      <c r="E1070">
        <v>0</v>
      </c>
      <c r="F1070" t="s">
        <v>20</v>
      </c>
      <c r="G1070">
        <v>0</v>
      </c>
      <c r="H1070">
        <v>0</v>
      </c>
      <c r="I1070">
        <v>0</v>
      </c>
      <c r="J1070">
        <v>0</v>
      </c>
      <c r="K1070" t="s">
        <v>171</v>
      </c>
      <c r="L1070" s="1">
        <v>1.18799999999999E+16</v>
      </c>
      <c r="M1070">
        <v>0</v>
      </c>
      <c r="N1070">
        <v>0</v>
      </c>
      <c r="O1070" s="1">
        <v>423391998514958</v>
      </c>
      <c r="Q1070" t="b">
        <v>0</v>
      </c>
    </row>
    <row r="1071" spans="1:17" x14ac:dyDescent="0.35">
      <c r="A1071" t="s">
        <v>3244</v>
      </c>
      <c r="B1071" t="s">
        <v>18</v>
      </c>
      <c r="C1071" t="s">
        <v>3245</v>
      </c>
      <c r="D1071">
        <v>0</v>
      </c>
      <c r="E1071">
        <v>0</v>
      </c>
      <c r="F1071" t="s">
        <v>20</v>
      </c>
      <c r="G1071">
        <v>0</v>
      </c>
      <c r="H1071">
        <v>0</v>
      </c>
      <c r="I1071">
        <v>0</v>
      </c>
      <c r="J1071">
        <v>0</v>
      </c>
      <c r="K1071" t="s">
        <v>453</v>
      </c>
      <c r="L1071" t="s">
        <v>1028</v>
      </c>
      <c r="M1071">
        <v>0</v>
      </c>
      <c r="N1071">
        <v>0</v>
      </c>
      <c r="O1071" s="1">
        <v>4233948505037660</v>
      </c>
      <c r="Q1071" t="b">
        <v>0</v>
      </c>
    </row>
    <row r="1072" spans="1:17" x14ac:dyDescent="0.35">
      <c r="A1072" t="s">
        <v>3246</v>
      </c>
      <c r="B1072" t="s">
        <v>18</v>
      </c>
      <c r="C1072" t="s">
        <v>3247</v>
      </c>
      <c r="D1072">
        <v>0</v>
      </c>
      <c r="E1072">
        <v>0</v>
      </c>
      <c r="F1072" t="s">
        <v>20</v>
      </c>
      <c r="G1072">
        <v>0</v>
      </c>
      <c r="H1072">
        <v>0</v>
      </c>
      <c r="I1072">
        <v>0</v>
      </c>
      <c r="J1072">
        <v>0</v>
      </c>
      <c r="K1072" t="s">
        <v>453</v>
      </c>
      <c r="L1072" t="s">
        <v>1028</v>
      </c>
      <c r="M1072">
        <v>0</v>
      </c>
      <c r="N1072">
        <v>0</v>
      </c>
      <c r="O1072" s="1">
        <v>4233977024925740</v>
      </c>
      <c r="Q1072" t="b">
        <v>0</v>
      </c>
    </row>
    <row r="1073" spans="1:17" x14ac:dyDescent="0.35">
      <c r="A1073" t="s">
        <v>3248</v>
      </c>
      <c r="B1073" t="s">
        <v>18</v>
      </c>
      <c r="C1073" t="s">
        <v>3249</v>
      </c>
      <c r="D1073">
        <v>0</v>
      </c>
      <c r="E1073">
        <v>0</v>
      </c>
      <c r="F1073" t="s">
        <v>20</v>
      </c>
      <c r="G1073">
        <v>0</v>
      </c>
      <c r="H1073">
        <v>0</v>
      </c>
      <c r="I1073">
        <v>0</v>
      </c>
      <c r="J1073">
        <v>0</v>
      </c>
      <c r="K1073" t="s">
        <v>453</v>
      </c>
      <c r="L1073" t="s">
        <v>1028</v>
      </c>
      <c r="M1073">
        <v>0</v>
      </c>
      <c r="N1073">
        <v>0</v>
      </c>
      <c r="O1073" s="1">
        <v>4234005544813820</v>
      </c>
      <c r="Q1073" t="b">
        <v>0</v>
      </c>
    </row>
    <row r="1074" spans="1:17" x14ac:dyDescent="0.35">
      <c r="A1074" t="s">
        <v>3250</v>
      </c>
      <c r="B1074" t="s">
        <v>18</v>
      </c>
      <c r="C1074" t="s">
        <v>3251</v>
      </c>
      <c r="D1074">
        <v>0</v>
      </c>
      <c r="E1074">
        <v>0</v>
      </c>
      <c r="F1074" t="s">
        <v>20</v>
      </c>
      <c r="G1074">
        <v>0</v>
      </c>
      <c r="H1074">
        <v>0</v>
      </c>
      <c r="I1074">
        <v>0</v>
      </c>
      <c r="J1074">
        <v>0</v>
      </c>
      <c r="K1074" t="s">
        <v>453</v>
      </c>
      <c r="L1074" t="s">
        <v>1028</v>
      </c>
      <c r="M1074">
        <v>0</v>
      </c>
      <c r="N1074">
        <v>0</v>
      </c>
      <c r="O1074" s="1">
        <v>4234034064701900</v>
      </c>
      <c r="Q1074" t="b">
        <v>0</v>
      </c>
    </row>
    <row r="1075" spans="1:17" x14ac:dyDescent="0.35">
      <c r="A1075" t="s">
        <v>3252</v>
      </c>
      <c r="B1075" t="s">
        <v>18</v>
      </c>
      <c r="C1075" t="s">
        <v>3253</v>
      </c>
      <c r="D1075">
        <v>0</v>
      </c>
      <c r="E1075">
        <v>0</v>
      </c>
      <c r="F1075" t="s">
        <v>20</v>
      </c>
      <c r="G1075">
        <v>0</v>
      </c>
      <c r="H1075">
        <v>0</v>
      </c>
      <c r="I1075">
        <v>0</v>
      </c>
      <c r="J1075">
        <v>0</v>
      </c>
      <c r="K1075" t="s">
        <v>541</v>
      </c>
      <c r="L1075" s="1">
        <v>5220000000000000</v>
      </c>
      <c r="M1075">
        <v>0</v>
      </c>
      <c r="N1075">
        <v>0</v>
      </c>
      <c r="O1075" s="1">
        <v>4234062584589980</v>
      </c>
      <c r="Q1075" t="b">
        <v>0</v>
      </c>
    </row>
    <row r="1076" spans="1:17" x14ac:dyDescent="0.35">
      <c r="A1076" t="s">
        <v>3254</v>
      </c>
      <c r="B1076" t="s">
        <v>18</v>
      </c>
      <c r="C1076" t="s">
        <v>3255</v>
      </c>
      <c r="D1076">
        <v>0</v>
      </c>
      <c r="E1076">
        <v>0</v>
      </c>
      <c r="F1076" t="s">
        <v>20</v>
      </c>
      <c r="G1076">
        <v>0</v>
      </c>
      <c r="H1076">
        <v>0</v>
      </c>
      <c r="I1076">
        <v>0</v>
      </c>
      <c r="J1076">
        <v>0</v>
      </c>
      <c r="K1076" t="s">
        <v>541</v>
      </c>
      <c r="L1076" s="1">
        <v>5220000000000000</v>
      </c>
      <c r="M1076">
        <v>0</v>
      </c>
      <c r="N1076">
        <v>0</v>
      </c>
      <c r="O1076" s="1">
        <v>4234091104478060</v>
      </c>
      <c r="Q1076" t="b">
        <v>0</v>
      </c>
    </row>
    <row r="1077" spans="1:17" x14ac:dyDescent="0.35">
      <c r="A1077" t="s">
        <v>3256</v>
      </c>
      <c r="B1077" t="s">
        <v>18</v>
      </c>
      <c r="C1077" t="s">
        <v>3257</v>
      </c>
      <c r="D1077">
        <v>0</v>
      </c>
      <c r="E1077">
        <v>0</v>
      </c>
      <c r="F1077" t="s">
        <v>20</v>
      </c>
      <c r="G1077">
        <v>0</v>
      </c>
      <c r="H1077">
        <v>0</v>
      </c>
      <c r="I1077">
        <v>0</v>
      </c>
      <c r="J1077">
        <v>0</v>
      </c>
      <c r="K1077" t="s">
        <v>541</v>
      </c>
      <c r="L1077" s="1">
        <v>5220000000000000</v>
      </c>
      <c r="M1077">
        <v>0</v>
      </c>
      <c r="N1077">
        <v>0</v>
      </c>
      <c r="O1077" s="1">
        <v>4.2341196243661504E+16</v>
      </c>
      <c r="Q1077" t="b">
        <v>0</v>
      </c>
    </row>
    <row r="1078" spans="1:17" x14ac:dyDescent="0.35">
      <c r="A1078" t="s">
        <v>3258</v>
      </c>
      <c r="B1078" t="s">
        <v>18</v>
      </c>
      <c r="C1078" t="s">
        <v>3259</v>
      </c>
      <c r="D1078">
        <v>0</v>
      </c>
      <c r="E1078">
        <v>0</v>
      </c>
      <c r="F1078" t="s">
        <v>20</v>
      </c>
      <c r="G1078">
        <v>0</v>
      </c>
      <c r="H1078">
        <v>0</v>
      </c>
      <c r="I1078">
        <v>0</v>
      </c>
      <c r="J1078">
        <v>0</v>
      </c>
      <c r="K1078" t="s">
        <v>541</v>
      </c>
      <c r="L1078" s="1">
        <v>5220000000000000</v>
      </c>
      <c r="M1078">
        <v>0</v>
      </c>
      <c r="N1078">
        <v>0</v>
      </c>
      <c r="O1078" s="1">
        <v>4234148144254230</v>
      </c>
      <c r="Q1078" t="b">
        <v>0</v>
      </c>
    </row>
    <row r="1079" spans="1:17" x14ac:dyDescent="0.35">
      <c r="A1079" t="s">
        <v>3260</v>
      </c>
      <c r="B1079" t="s">
        <v>18</v>
      </c>
      <c r="C1079" t="s">
        <v>3261</v>
      </c>
      <c r="D1079">
        <v>0</v>
      </c>
      <c r="E1079">
        <v>0</v>
      </c>
      <c r="F1079" t="s">
        <v>20</v>
      </c>
      <c r="G1079">
        <v>0</v>
      </c>
      <c r="H1079">
        <v>0</v>
      </c>
      <c r="I1079">
        <v>0</v>
      </c>
      <c r="J1079">
        <v>0</v>
      </c>
      <c r="K1079" t="s">
        <v>3262</v>
      </c>
      <c r="L1079" t="s">
        <v>287</v>
      </c>
      <c r="M1079">
        <v>0</v>
      </c>
      <c r="N1079">
        <v>0</v>
      </c>
      <c r="O1079" s="1">
        <v>4234176664142310</v>
      </c>
      <c r="Q1079" t="b">
        <v>0</v>
      </c>
    </row>
    <row r="1080" spans="1:17" x14ac:dyDescent="0.35">
      <c r="A1080" t="s">
        <v>3263</v>
      </c>
      <c r="B1080" t="s">
        <v>18</v>
      </c>
      <c r="C1080" t="s">
        <v>3264</v>
      </c>
      <c r="D1080">
        <v>0</v>
      </c>
      <c r="E1080">
        <v>0</v>
      </c>
      <c r="F1080" t="s">
        <v>20</v>
      </c>
      <c r="G1080">
        <v>0</v>
      </c>
      <c r="H1080">
        <v>0</v>
      </c>
      <c r="I1080">
        <v>0</v>
      </c>
      <c r="J1080">
        <v>0</v>
      </c>
      <c r="K1080" t="s">
        <v>3262</v>
      </c>
      <c r="L1080" t="s">
        <v>287</v>
      </c>
      <c r="M1080">
        <v>0</v>
      </c>
      <c r="N1080">
        <v>0</v>
      </c>
      <c r="O1080" s="1">
        <v>4234205184030390</v>
      </c>
      <c r="Q1080" t="b">
        <v>0</v>
      </c>
    </row>
    <row r="1081" spans="1:17" x14ac:dyDescent="0.35">
      <c r="A1081" t="s">
        <v>3265</v>
      </c>
      <c r="B1081" t="s">
        <v>18</v>
      </c>
      <c r="C1081" t="s">
        <v>3266</v>
      </c>
      <c r="D1081">
        <v>0</v>
      </c>
      <c r="E1081">
        <v>0</v>
      </c>
      <c r="F1081" t="s">
        <v>20</v>
      </c>
      <c r="G1081">
        <v>0</v>
      </c>
      <c r="H1081">
        <v>0</v>
      </c>
      <c r="I1081">
        <v>0</v>
      </c>
      <c r="J1081">
        <v>0</v>
      </c>
      <c r="K1081" t="s">
        <v>3262</v>
      </c>
      <c r="L1081" t="s">
        <v>287</v>
      </c>
      <c r="M1081">
        <v>0</v>
      </c>
      <c r="N1081">
        <v>0</v>
      </c>
      <c r="O1081" s="1">
        <v>4234233703918470</v>
      </c>
      <c r="Q1081" t="b">
        <v>0</v>
      </c>
    </row>
    <row r="1082" spans="1:17" x14ac:dyDescent="0.35">
      <c r="A1082" t="s">
        <v>3267</v>
      </c>
      <c r="B1082" t="s">
        <v>18</v>
      </c>
      <c r="C1082" t="s">
        <v>3268</v>
      </c>
      <c r="D1082">
        <v>0</v>
      </c>
      <c r="E1082">
        <v>0</v>
      </c>
      <c r="F1082" t="s">
        <v>20</v>
      </c>
      <c r="G1082">
        <v>0</v>
      </c>
      <c r="H1082">
        <v>0</v>
      </c>
      <c r="I1082">
        <v>0</v>
      </c>
      <c r="J1082">
        <v>0</v>
      </c>
      <c r="K1082" t="s">
        <v>3262</v>
      </c>
      <c r="L1082" t="s">
        <v>287</v>
      </c>
      <c r="M1082">
        <v>0</v>
      </c>
      <c r="N1082">
        <v>0</v>
      </c>
      <c r="O1082" s="1">
        <v>4234262223806550</v>
      </c>
      <c r="Q1082" t="b">
        <v>0</v>
      </c>
    </row>
    <row r="1083" spans="1:17" x14ac:dyDescent="0.35">
      <c r="A1083" t="s">
        <v>3269</v>
      </c>
      <c r="B1083" t="s">
        <v>18</v>
      </c>
      <c r="C1083" t="s">
        <v>3270</v>
      </c>
      <c r="D1083">
        <v>0</v>
      </c>
      <c r="E1083">
        <v>0</v>
      </c>
      <c r="F1083" t="s">
        <v>20</v>
      </c>
      <c r="G1083">
        <v>0</v>
      </c>
      <c r="H1083">
        <v>0</v>
      </c>
      <c r="I1083">
        <v>0</v>
      </c>
      <c r="J1083">
        <v>0</v>
      </c>
      <c r="K1083" t="s">
        <v>498</v>
      </c>
      <c r="L1083" s="1">
        <v>6660000000000000</v>
      </c>
      <c r="M1083">
        <v>0</v>
      </c>
      <c r="N1083">
        <v>0</v>
      </c>
      <c r="O1083" s="1">
        <v>4234290743694640</v>
      </c>
      <c r="Q1083" t="b">
        <v>0</v>
      </c>
    </row>
    <row r="1084" spans="1:17" x14ac:dyDescent="0.35">
      <c r="A1084" t="s">
        <v>3271</v>
      </c>
      <c r="B1084" t="s">
        <v>18</v>
      </c>
      <c r="C1084" t="s">
        <v>3272</v>
      </c>
      <c r="D1084">
        <v>0</v>
      </c>
      <c r="E1084">
        <v>0</v>
      </c>
      <c r="F1084" t="s">
        <v>20</v>
      </c>
      <c r="G1084">
        <v>0</v>
      </c>
      <c r="H1084">
        <v>0</v>
      </c>
      <c r="I1084">
        <v>0</v>
      </c>
      <c r="J1084">
        <v>0</v>
      </c>
      <c r="K1084" t="s">
        <v>498</v>
      </c>
      <c r="L1084" s="1">
        <v>6660000000000000</v>
      </c>
      <c r="M1084">
        <v>0</v>
      </c>
      <c r="N1084">
        <v>0</v>
      </c>
      <c r="O1084" s="1">
        <v>4234319263582720</v>
      </c>
      <c r="Q1084" t="b">
        <v>0</v>
      </c>
    </row>
    <row r="1085" spans="1:17" x14ac:dyDescent="0.35">
      <c r="A1085" t="s">
        <v>3273</v>
      </c>
      <c r="B1085" t="s">
        <v>18</v>
      </c>
      <c r="C1085" t="s">
        <v>3274</v>
      </c>
      <c r="D1085">
        <v>0</v>
      </c>
      <c r="E1085">
        <v>0</v>
      </c>
      <c r="F1085" t="s">
        <v>20</v>
      </c>
      <c r="G1085">
        <v>0</v>
      </c>
      <c r="H1085">
        <v>0</v>
      </c>
      <c r="I1085">
        <v>0</v>
      </c>
      <c r="J1085">
        <v>0</v>
      </c>
      <c r="K1085" t="s">
        <v>498</v>
      </c>
      <c r="L1085" s="1">
        <v>6660000000000000</v>
      </c>
      <c r="M1085">
        <v>0</v>
      </c>
      <c r="N1085">
        <v>0</v>
      </c>
      <c r="O1085" s="1">
        <v>4234347783470800</v>
      </c>
      <c r="Q1085" t="b">
        <v>0</v>
      </c>
    </row>
    <row r="1086" spans="1:17" x14ac:dyDescent="0.35">
      <c r="A1086" t="s">
        <v>3275</v>
      </c>
      <c r="B1086" t="s">
        <v>18</v>
      </c>
      <c r="C1086" t="s">
        <v>3276</v>
      </c>
      <c r="D1086">
        <v>0</v>
      </c>
      <c r="E1086">
        <v>0</v>
      </c>
      <c r="F1086" t="s">
        <v>20</v>
      </c>
      <c r="G1086">
        <v>0</v>
      </c>
      <c r="H1086">
        <v>0</v>
      </c>
      <c r="I1086">
        <v>0</v>
      </c>
      <c r="J1086">
        <v>0</v>
      </c>
      <c r="K1086" t="s">
        <v>498</v>
      </c>
      <c r="L1086" s="1">
        <v>6660000000000000</v>
      </c>
      <c r="M1086">
        <v>0</v>
      </c>
      <c r="N1086">
        <v>0</v>
      </c>
      <c r="O1086" s="1">
        <v>4234376303358880</v>
      </c>
      <c r="Q1086" t="b">
        <v>0</v>
      </c>
    </row>
    <row r="1087" spans="1:17" x14ac:dyDescent="0.35">
      <c r="A1087" t="s">
        <v>3277</v>
      </c>
      <c r="B1087" t="s">
        <v>18</v>
      </c>
      <c r="C1087" t="s">
        <v>3278</v>
      </c>
      <c r="D1087">
        <v>0</v>
      </c>
      <c r="E1087">
        <v>0</v>
      </c>
      <c r="F1087" t="s">
        <v>20</v>
      </c>
      <c r="G1087">
        <v>0</v>
      </c>
      <c r="H1087">
        <v>0</v>
      </c>
      <c r="I1087">
        <v>0</v>
      </c>
      <c r="J1087">
        <v>0</v>
      </c>
      <c r="K1087" t="s">
        <v>498</v>
      </c>
      <c r="L1087">
        <v>9</v>
      </c>
      <c r="M1087">
        <v>0</v>
      </c>
      <c r="N1087">
        <v>0</v>
      </c>
      <c r="O1087" s="1">
        <v>4234404823246960</v>
      </c>
      <c r="Q1087" t="b">
        <v>0</v>
      </c>
    </row>
    <row r="1088" spans="1:17" x14ac:dyDescent="0.35">
      <c r="A1088" t="s">
        <v>3279</v>
      </c>
      <c r="B1088" t="s">
        <v>18</v>
      </c>
      <c r="C1088" t="s">
        <v>3280</v>
      </c>
      <c r="D1088">
        <v>0</v>
      </c>
      <c r="E1088">
        <v>0</v>
      </c>
      <c r="F1088" t="s">
        <v>20</v>
      </c>
      <c r="G1088">
        <v>0</v>
      </c>
      <c r="H1088">
        <v>0</v>
      </c>
      <c r="I1088">
        <v>0</v>
      </c>
      <c r="J1088">
        <v>0</v>
      </c>
      <c r="K1088" t="s">
        <v>498</v>
      </c>
      <c r="L1088">
        <v>9</v>
      </c>
      <c r="M1088">
        <v>0</v>
      </c>
      <c r="N1088">
        <v>0</v>
      </c>
      <c r="O1088" s="1">
        <v>4.23443334313504E+16</v>
      </c>
      <c r="Q1088" t="b">
        <v>0</v>
      </c>
    </row>
    <row r="1089" spans="1:17" x14ac:dyDescent="0.35">
      <c r="A1089" t="s">
        <v>3281</v>
      </c>
      <c r="B1089" t="s">
        <v>18</v>
      </c>
      <c r="C1089" t="s">
        <v>3282</v>
      </c>
      <c r="D1089">
        <v>0</v>
      </c>
      <c r="E1089">
        <v>0</v>
      </c>
      <c r="F1089" t="s">
        <v>20</v>
      </c>
      <c r="G1089">
        <v>0</v>
      </c>
      <c r="H1089">
        <v>0</v>
      </c>
      <c r="I1089">
        <v>0</v>
      </c>
      <c r="J1089">
        <v>0</v>
      </c>
      <c r="K1089" t="s">
        <v>498</v>
      </c>
      <c r="L1089">
        <v>9</v>
      </c>
      <c r="M1089">
        <v>0</v>
      </c>
      <c r="N1089">
        <v>0</v>
      </c>
      <c r="O1089" s="1">
        <v>423446186302313</v>
      </c>
      <c r="Q1089" t="b">
        <v>0</v>
      </c>
    </row>
    <row r="1090" spans="1:17" x14ac:dyDescent="0.35">
      <c r="A1090" t="s">
        <v>3283</v>
      </c>
      <c r="B1090" t="s">
        <v>18</v>
      </c>
      <c r="C1090" t="s">
        <v>3284</v>
      </c>
      <c r="D1090">
        <v>0</v>
      </c>
      <c r="E1090">
        <v>0</v>
      </c>
      <c r="F1090" t="s">
        <v>20</v>
      </c>
      <c r="G1090">
        <v>0</v>
      </c>
      <c r="H1090">
        <v>0</v>
      </c>
      <c r="I1090">
        <v>0</v>
      </c>
      <c r="J1090">
        <v>0</v>
      </c>
      <c r="K1090" t="s">
        <v>498</v>
      </c>
      <c r="L1090">
        <v>9</v>
      </c>
      <c r="M1090">
        <v>0</v>
      </c>
      <c r="N1090">
        <v>0</v>
      </c>
      <c r="O1090" s="1">
        <v>4234490382911210</v>
      </c>
      <c r="Q1090" t="b">
        <v>0</v>
      </c>
    </row>
    <row r="1091" spans="1:17" x14ac:dyDescent="0.35">
      <c r="A1091" t="s">
        <v>3285</v>
      </c>
      <c r="B1091" t="s">
        <v>18</v>
      </c>
      <c r="C1091" t="s">
        <v>3286</v>
      </c>
      <c r="D1091">
        <v>0</v>
      </c>
      <c r="E1091">
        <v>0</v>
      </c>
      <c r="F1091" t="s">
        <v>20</v>
      </c>
      <c r="G1091">
        <v>0</v>
      </c>
      <c r="H1091">
        <v>0</v>
      </c>
      <c r="I1091">
        <v>0</v>
      </c>
      <c r="J1091">
        <v>0</v>
      </c>
      <c r="K1091" t="s">
        <v>495</v>
      </c>
      <c r="L1091" s="1">
        <v>1.026E+16</v>
      </c>
      <c r="M1091">
        <v>0</v>
      </c>
      <c r="N1091">
        <v>0</v>
      </c>
      <c r="O1091" s="1">
        <v>4234518902799290</v>
      </c>
      <c r="Q1091" t="b">
        <v>0</v>
      </c>
    </row>
    <row r="1092" spans="1:17" x14ac:dyDescent="0.35">
      <c r="A1092" t="s">
        <v>3287</v>
      </c>
      <c r="B1092" t="s">
        <v>18</v>
      </c>
      <c r="C1092" t="s">
        <v>3288</v>
      </c>
      <c r="D1092">
        <v>0</v>
      </c>
      <c r="E1092">
        <v>0</v>
      </c>
      <c r="F1092" t="s">
        <v>20</v>
      </c>
      <c r="G1092">
        <v>0</v>
      </c>
      <c r="H1092">
        <v>0</v>
      </c>
      <c r="I1092">
        <v>0</v>
      </c>
      <c r="J1092">
        <v>0</v>
      </c>
      <c r="K1092" t="s">
        <v>495</v>
      </c>
      <c r="L1092" s="1">
        <v>1.026E+16</v>
      </c>
      <c r="M1092">
        <v>0</v>
      </c>
      <c r="N1092">
        <v>0</v>
      </c>
      <c r="O1092" s="1">
        <v>4234547422687370</v>
      </c>
      <c r="Q1092" t="b">
        <v>0</v>
      </c>
    </row>
    <row r="1093" spans="1:17" x14ac:dyDescent="0.35">
      <c r="A1093" t="s">
        <v>3289</v>
      </c>
      <c r="B1093" t="s">
        <v>18</v>
      </c>
      <c r="C1093" t="s">
        <v>3290</v>
      </c>
      <c r="D1093">
        <v>0</v>
      </c>
      <c r="E1093">
        <v>0</v>
      </c>
      <c r="F1093" t="s">
        <v>20</v>
      </c>
      <c r="G1093">
        <v>0</v>
      </c>
      <c r="H1093">
        <v>0</v>
      </c>
      <c r="I1093">
        <v>0</v>
      </c>
      <c r="J1093">
        <v>0</v>
      </c>
      <c r="K1093" t="s">
        <v>495</v>
      </c>
      <c r="L1093" s="1">
        <v>1.026E+16</v>
      </c>
      <c r="M1093">
        <v>0</v>
      </c>
      <c r="N1093">
        <v>0</v>
      </c>
      <c r="O1093" s="1">
        <v>4234575942575450</v>
      </c>
      <c r="Q1093" t="b">
        <v>0</v>
      </c>
    </row>
    <row r="1094" spans="1:17" x14ac:dyDescent="0.35">
      <c r="A1094" t="s">
        <v>3291</v>
      </c>
      <c r="B1094" t="s">
        <v>18</v>
      </c>
      <c r="C1094" t="s">
        <v>3292</v>
      </c>
      <c r="D1094">
        <v>0</v>
      </c>
      <c r="E1094">
        <v>0</v>
      </c>
      <c r="F1094" t="s">
        <v>20</v>
      </c>
      <c r="G1094">
        <v>0</v>
      </c>
      <c r="H1094">
        <v>0</v>
      </c>
      <c r="I1094">
        <v>0</v>
      </c>
      <c r="J1094">
        <v>0</v>
      </c>
      <c r="K1094" t="s">
        <v>495</v>
      </c>
      <c r="L1094" s="1">
        <v>1.026E+16</v>
      </c>
      <c r="M1094">
        <v>0</v>
      </c>
      <c r="N1094">
        <v>0</v>
      </c>
      <c r="O1094" s="1">
        <v>4234604462463530</v>
      </c>
      <c r="Q1094" t="b">
        <v>0</v>
      </c>
    </row>
    <row r="1095" spans="1:17" x14ac:dyDescent="0.35">
      <c r="A1095" t="s">
        <v>3293</v>
      </c>
      <c r="B1095" t="s">
        <v>18</v>
      </c>
      <c r="C1095" t="s">
        <v>3294</v>
      </c>
      <c r="D1095">
        <v>0</v>
      </c>
      <c r="E1095">
        <v>0</v>
      </c>
      <c r="F1095" t="s">
        <v>20</v>
      </c>
      <c r="G1095">
        <v>0</v>
      </c>
      <c r="H1095">
        <v>0</v>
      </c>
      <c r="I1095">
        <v>0</v>
      </c>
      <c r="J1095">
        <v>0</v>
      </c>
      <c r="K1095" t="s">
        <v>483</v>
      </c>
      <c r="L1095" s="1">
        <v>1.134E+16</v>
      </c>
      <c r="M1095">
        <v>0</v>
      </c>
      <c r="N1095">
        <v>0</v>
      </c>
      <c r="O1095" s="1">
        <v>4234632982351610</v>
      </c>
      <c r="Q1095" t="b">
        <v>0</v>
      </c>
    </row>
    <row r="1096" spans="1:17" x14ac:dyDescent="0.35">
      <c r="A1096" t="s">
        <v>3295</v>
      </c>
      <c r="B1096" t="s">
        <v>18</v>
      </c>
      <c r="C1096" t="s">
        <v>3296</v>
      </c>
      <c r="D1096">
        <v>0</v>
      </c>
      <c r="E1096">
        <v>0</v>
      </c>
      <c r="F1096" t="s">
        <v>20</v>
      </c>
      <c r="G1096">
        <v>0</v>
      </c>
      <c r="H1096">
        <v>0</v>
      </c>
      <c r="I1096">
        <v>0</v>
      </c>
      <c r="J1096">
        <v>0</v>
      </c>
      <c r="K1096" t="s">
        <v>483</v>
      </c>
      <c r="L1096" s="1">
        <v>1.134E+16</v>
      </c>
      <c r="M1096">
        <v>0</v>
      </c>
      <c r="N1096">
        <v>0</v>
      </c>
      <c r="O1096" s="1">
        <v>4.2346615022397E+16</v>
      </c>
      <c r="Q1096" t="b">
        <v>0</v>
      </c>
    </row>
    <row r="1097" spans="1:17" x14ac:dyDescent="0.35">
      <c r="A1097" t="s">
        <v>3297</v>
      </c>
      <c r="B1097" t="s">
        <v>18</v>
      </c>
      <c r="C1097" t="s">
        <v>3298</v>
      </c>
      <c r="D1097">
        <v>0</v>
      </c>
      <c r="E1097">
        <v>0</v>
      </c>
      <c r="F1097" t="s">
        <v>20</v>
      </c>
      <c r="G1097">
        <v>0</v>
      </c>
      <c r="H1097">
        <v>0</v>
      </c>
      <c r="I1097">
        <v>0</v>
      </c>
      <c r="J1097">
        <v>0</v>
      </c>
      <c r="K1097" t="s">
        <v>483</v>
      </c>
      <c r="L1097" s="1">
        <v>1.134E+16</v>
      </c>
      <c r="M1097">
        <v>0</v>
      </c>
      <c r="N1097">
        <v>0</v>
      </c>
      <c r="O1097" s="1">
        <v>4234690022127780</v>
      </c>
      <c r="Q1097" t="b">
        <v>0</v>
      </c>
    </row>
    <row r="1098" spans="1:17" x14ac:dyDescent="0.35">
      <c r="A1098" t="s">
        <v>3299</v>
      </c>
      <c r="B1098" t="s">
        <v>18</v>
      </c>
      <c r="C1098" t="s">
        <v>3300</v>
      </c>
      <c r="D1098">
        <v>0</v>
      </c>
      <c r="E1098">
        <v>0</v>
      </c>
      <c r="F1098" t="s">
        <v>20</v>
      </c>
      <c r="G1098">
        <v>0</v>
      </c>
      <c r="H1098">
        <v>0</v>
      </c>
      <c r="I1098">
        <v>0</v>
      </c>
      <c r="J1098">
        <v>0</v>
      </c>
      <c r="K1098" t="s">
        <v>483</v>
      </c>
      <c r="L1098" s="1">
        <v>1.134E+16</v>
      </c>
      <c r="M1098">
        <v>0</v>
      </c>
      <c r="N1098">
        <v>0</v>
      </c>
      <c r="O1098" s="1">
        <v>4234718542015860</v>
      </c>
      <c r="Q1098" t="b">
        <v>0</v>
      </c>
    </row>
    <row r="1099" spans="1:17" x14ac:dyDescent="0.35">
      <c r="A1099" t="s">
        <v>3301</v>
      </c>
      <c r="B1099" t="s">
        <v>18</v>
      </c>
      <c r="C1099" t="s">
        <v>3302</v>
      </c>
      <c r="D1099">
        <v>0</v>
      </c>
      <c r="E1099">
        <v>0</v>
      </c>
      <c r="F1099" t="s">
        <v>20</v>
      </c>
      <c r="G1099">
        <v>0</v>
      </c>
      <c r="H1099">
        <v>0</v>
      </c>
      <c r="I1099">
        <v>0</v>
      </c>
      <c r="J1099">
        <v>0</v>
      </c>
      <c r="K1099" t="s">
        <v>541</v>
      </c>
      <c r="L1099" t="s">
        <v>32</v>
      </c>
      <c r="M1099">
        <v>0</v>
      </c>
      <c r="N1099">
        <v>0</v>
      </c>
      <c r="O1099" s="1">
        <v>4234747061903940</v>
      </c>
      <c r="Q1099" t="b">
        <v>0</v>
      </c>
    </row>
    <row r="1100" spans="1:17" x14ac:dyDescent="0.35">
      <c r="A1100" t="s">
        <v>3303</v>
      </c>
      <c r="B1100" t="s">
        <v>18</v>
      </c>
      <c r="C1100" t="s">
        <v>3304</v>
      </c>
      <c r="D1100">
        <v>0</v>
      </c>
      <c r="E1100">
        <v>0</v>
      </c>
      <c r="F1100" t="s">
        <v>20</v>
      </c>
      <c r="G1100">
        <v>0</v>
      </c>
      <c r="H1100">
        <v>0</v>
      </c>
      <c r="I1100">
        <v>0</v>
      </c>
      <c r="J1100">
        <v>0</v>
      </c>
      <c r="K1100" t="s">
        <v>541</v>
      </c>
      <c r="L1100" t="s">
        <v>32</v>
      </c>
      <c r="M1100">
        <v>0</v>
      </c>
      <c r="N1100">
        <v>0</v>
      </c>
      <c r="O1100" s="1">
        <v>4234775581792020</v>
      </c>
      <c r="Q1100" t="b">
        <v>0</v>
      </c>
    </row>
    <row r="1101" spans="1:17" x14ac:dyDescent="0.35">
      <c r="A1101" t="s">
        <v>3305</v>
      </c>
      <c r="B1101" t="s">
        <v>18</v>
      </c>
      <c r="C1101" t="s">
        <v>3306</v>
      </c>
      <c r="D1101">
        <v>0</v>
      </c>
      <c r="E1101">
        <v>0</v>
      </c>
      <c r="F1101" t="s">
        <v>20</v>
      </c>
      <c r="G1101">
        <v>0</v>
      </c>
      <c r="H1101">
        <v>0</v>
      </c>
      <c r="I1101">
        <v>0</v>
      </c>
      <c r="J1101">
        <v>0</v>
      </c>
      <c r="K1101" t="s">
        <v>541</v>
      </c>
      <c r="L1101" t="s">
        <v>32</v>
      </c>
      <c r="M1101">
        <v>0</v>
      </c>
      <c r="N1101">
        <v>0</v>
      </c>
      <c r="O1101" s="1">
        <v>4234804101680100</v>
      </c>
      <c r="Q1101" t="b">
        <v>0</v>
      </c>
    </row>
    <row r="1102" spans="1:17" x14ac:dyDescent="0.35">
      <c r="A1102" t="s">
        <v>3307</v>
      </c>
      <c r="B1102" t="s">
        <v>18</v>
      </c>
      <c r="C1102" t="s">
        <v>3308</v>
      </c>
      <c r="D1102">
        <v>0</v>
      </c>
      <c r="E1102">
        <v>0</v>
      </c>
      <c r="F1102" t="s">
        <v>20</v>
      </c>
      <c r="G1102">
        <v>0</v>
      </c>
      <c r="H1102">
        <v>0</v>
      </c>
      <c r="I1102">
        <v>0</v>
      </c>
      <c r="J1102">
        <v>0</v>
      </c>
      <c r="K1102" t="s">
        <v>541</v>
      </c>
      <c r="L1102" t="s">
        <v>32</v>
      </c>
      <c r="M1102">
        <v>0</v>
      </c>
      <c r="N1102">
        <v>0</v>
      </c>
      <c r="O1102" s="1">
        <v>423483262156819</v>
      </c>
      <c r="Q1102" t="b">
        <v>0</v>
      </c>
    </row>
    <row r="1103" spans="1:17" x14ac:dyDescent="0.35">
      <c r="A1103" t="s">
        <v>3309</v>
      </c>
      <c r="B1103" t="s">
        <v>18</v>
      </c>
      <c r="C1103" t="s">
        <v>3310</v>
      </c>
      <c r="D1103">
        <v>0</v>
      </c>
      <c r="E1103">
        <v>0</v>
      </c>
      <c r="F1103" t="s">
        <v>20</v>
      </c>
      <c r="G1103">
        <v>0</v>
      </c>
      <c r="H1103">
        <v>0</v>
      </c>
      <c r="I1103">
        <v>0</v>
      </c>
      <c r="J1103">
        <v>0</v>
      </c>
      <c r="K1103" t="s">
        <v>456</v>
      </c>
      <c r="L1103" t="s">
        <v>955</v>
      </c>
      <c r="M1103">
        <v>0</v>
      </c>
      <c r="N1103">
        <v>0</v>
      </c>
      <c r="O1103" s="1">
        <v>4234861141456270</v>
      </c>
      <c r="Q1103" t="b">
        <v>0</v>
      </c>
    </row>
    <row r="1104" spans="1:17" x14ac:dyDescent="0.35">
      <c r="A1104" t="s">
        <v>3311</v>
      </c>
      <c r="B1104" t="s">
        <v>18</v>
      </c>
      <c r="C1104" t="s">
        <v>3312</v>
      </c>
      <c r="D1104">
        <v>0</v>
      </c>
      <c r="E1104">
        <v>0</v>
      </c>
      <c r="F1104" t="s">
        <v>20</v>
      </c>
      <c r="G1104">
        <v>0</v>
      </c>
      <c r="H1104">
        <v>0</v>
      </c>
      <c r="I1104">
        <v>0</v>
      </c>
      <c r="J1104">
        <v>0</v>
      </c>
      <c r="K1104" t="s">
        <v>456</v>
      </c>
      <c r="L1104" t="s">
        <v>955</v>
      </c>
      <c r="M1104">
        <v>0</v>
      </c>
      <c r="N1104">
        <v>0</v>
      </c>
      <c r="O1104" s="1">
        <v>4234889661344350</v>
      </c>
      <c r="Q1104" t="b">
        <v>0</v>
      </c>
    </row>
    <row r="1105" spans="1:17" x14ac:dyDescent="0.35">
      <c r="A1105" t="s">
        <v>3313</v>
      </c>
      <c r="B1105" t="s">
        <v>18</v>
      </c>
      <c r="C1105" t="s">
        <v>3314</v>
      </c>
      <c r="D1105">
        <v>0</v>
      </c>
      <c r="E1105">
        <v>0</v>
      </c>
      <c r="F1105" t="s">
        <v>20</v>
      </c>
      <c r="G1105">
        <v>0</v>
      </c>
      <c r="H1105">
        <v>0</v>
      </c>
      <c r="I1105">
        <v>0</v>
      </c>
      <c r="J1105">
        <v>0</v>
      </c>
      <c r="K1105" t="s">
        <v>456</v>
      </c>
      <c r="L1105" t="s">
        <v>955</v>
      </c>
      <c r="M1105">
        <v>0</v>
      </c>
      <c r="N1105">
        <v>0</v>
      </c>
      <c r="O1105" s="1">
        <v>4234918181232430</v>
      </c>
      <c r="Q1105" t="b">
        <v>0</v>
      </c>
    </row>
    <row r="1106" spans="1:17" x14ac:dyDescent="0.35">
      <c r="A1106" t="s">
        <v>3315</v>
      </c>
      <c r="B1106" t="s">
        <v>18</v>
      </c>
      <c r="C1106" t="s">
        <v>3316</v>
      </c>
      <c r="D1106">
        <v>0</v>
      </c>
      <c r="E1106">
        <v>0</v>
      </c>
      <c r="F1106" t="s">
        <v>20</v>
      </c>
      <c r="G1106">
        <v>0</v>
      </c>
      <c r="H1106">
        <v>0</v>
      </c>
      <c r="I1106">
        <v>0</v>
      </c>
      <c r="J1106">
        <v>0</v>
      </c>
      <c r="K1106" t="s">
        <v>456</v>
      </c>
      <c r="L1106" t="s">
        <v>955</v>
      </c>
      <c r="M1106">
        <v>0</v>
      </c>
      <c r="N1106">
        <v>0</v>
      </c>
      <c r="O1106" s="1">
        <v>4234946701120510</v>
      </c>
      <c r="Q1106" t="b">
        <v>0</v>
      </c>
    </row>
    <row r="1107" spans="1:17" x14ac:dyDescent="0.35">
      <c r="A1107" t="s">
        <v>3317</v>
      </c>
      <c r="B1107" t="s">
        <v>18</v>
      </c>
      <c r="C1107" t="s">
        <v>3318</v>
      </c>
      <c r="D1107">
        <v>0</v>
      </c>
      <c r="E1107">
        <v>0</v>
      </c>
      <c r="F1107" t="s">
        <v>20</v>
      </c>
      <c r="G1107">
        <v>0</v>
      </c>
      <c r="H1107">
        <v>0</v>
      </c>
      <c r="I1107">
        <v>0</v>
      </c>
      <c r="J1107">
        <v>0</v>
      </c>
      <c r="K1107" t="s">
        <v>581</v>
      </c>
      <c r="L1107" t="s">
        <v>22</v>
      </c>
      <c r="M1107">
        <v>0</v>
      </c>
      <c r="N1107">
        <v>0</v>
      </c>
      <c r="O1107" s="1">
        <v>4234975221008590</v>
      </c>
      <c r="Q1107" t="b">
        <v>0</v>
      </c>
    </row>
    <row r="1108" spans="1:17" x14ac:dyDescent="0.35">
      <c r="A1108" t="s">
        <v>3319</v>
      </c>
      <c r="B1108" t="s">
        <v>18</v>
      </c>
      <c r="C1108" t="s">
        <v>3320</v>
      </c>
      <c r="D1108">
        <v>0</v>
      </c>
      <c r="E1108">
        <v>0</v>
      </c>
      <c r="F1108" t="s">
        <v>20</v>
      </c>
      <c r="G1108">
        <v>0</v>
      </c>
      <c r="H1108">
        <v>0</v>
      </c>
      <c r="I1108">
        <v>0</v>
      </c>
      <c r="J1108">
        <v>0</v>
      </c>
      <c r="K1108" t="s">
        <v>581</v>
      </c>
      <c r="L1108" t="s">
        <v>22</v>
      </c>
      <c r="M1108">
        <v>0</v>
      </c>
      <c r="N1108">
        <v>0</v>
      </c>
      <c r="O1108" s="1">
        <v>423500374089668</v>
      </c>
      <c r="Q1108" t="b">
        <v>0</v>
      </c>
    </row>
    <row r="1109" spans="1:17" x14ac:dyDescent="0.35">
      <c r="A1109" t="s">
        <v>3321</v>
      </c>
      <c r="B1109" t="s">
        <v>18</v>
      </c>
      <c r="C1109" t="s">
        <v>3322</v>
      </c>
      <c r="D1109">
        <v>0</v>
      </c>
      <c r="E1109">
        <v>0</v>
      </c>
      <c r="F1109" t="s">
        <v>20</v>
      </c>
      <c r="G1109" t="s">
        <v>3323</v>
      </c>
      <c r="H1109">
        <v>0</v>
      </c>
      <c r="I1109">
        <v>0</v>
      </c>
      <c r="J1109">
        <v>0</v>
      </c>
      <c r="K1109" t="s">
        <v>581</v>
      </c>
      <c r="L1109" t="s">
        <v>22</v>
      </c>
      <c r="M1109">
        <v>0</v>
      </c>
      <c r="N1109">
        <v>0</v>
      </c>
      <c r="O1109" s="1">
        <v>4235032260784760</v>
      </c>
      <c r="Q1109" t="b">
        <v>0</v>
      </c>
    </row>
    <row r="1110" spans="1:17" x14ac:dyDescent="0.35">
      <c r="A1110" t="s">
        <v>3324</v>
      </c>
      <c r="B1110" t="s">
        <v>18</v>
      </c>
      <c r="C1110" t="s">
        <v>3325</v>
      </c>
      <c r="D1110">
        <v>0</v>
      </c>
      <c r="E1110" t="s">
        <v>3326</v>
      </c>
      <c r="F1110" t="s">
        <v>20</v>
      </c>
      <c r="G1110" t="s">
        <v>3327</v>
      </c>
      <c r="H1110">
        <v>0</v>
      </c>
      <c r="I1110">
        <v>0</v>
      </c>
      <c r="J1110">
        <v>0</v>
      </c>
      <c r="K1110" t="s">
        <v>581</v>
      </c>
      <c r="L1110" t="s">
        <v>22</v>
      </c>
      <c r="M1110">
        <v>0</v>
      </c>
      <c r="N1110">
        <v>0</v>
      </c>
      <c r="O1110" s="1">
        <v>4235060780672840</v>
      </c>
      <c r="Q1110" t="b">
        <v>0</v>
      </c>
    </row>
    <row r="1111" spans="1:17" x14ac:dyDescent="0.35">
      <c r="A1111" t="s">
        <v>3328</v>
      </c>
      <c r="B1111" t="s">
        <v>18</v>
      </c>
      <c r="C1111" t="s">
        <v>3329</v>
      </c>
      <c r="D1111">
        <v>0</v>
      </c>
      <c r="E1111" t="s">
        <v>3330</v>
      </c>
      <c r="F1111" t="s">
        <v>20</v>
      </c>
      <c r="G1111" t="s">
        <v>3331</v>
      </c>
      <c r="H1111" s="1">
        <v>8533333333333330</v>
      </c>
      <c r="I1111">
        <v>0</v>
      </c>
      <c r="J1111" t="s">
        <v>52</v>
      </c>
      <c r="K1111" t="s">
        <v>596</v>
      </c>
      <c r="L1111" t="s">
        <v>210</v>
      </c>
      <c r="M1111">
        <v>0</v>
      </c>
      <c r="N1111">
        <v>0</v>
      </c>
      <c r="O1111" s="1">
        <v>4235089300560920</v>
      </c>
      <c r="Q1111" t="b">
        <v>0</v>
      </c>
    </row>
    <row r="1112" spans="1:17" x14ac:dyDescent="0.35">
      <c r="A1112" t="s">
        <v>3332</v>
      </c>
      <c r="B1112" t="s">
        <v>18</v>
      </c>
      <c r="C1112" t="s">
        <v>3333</v>
      </c>
      <c r="D1112">
        <v>0</v>
      </c>
      <c r="E1112" t="s">
        <v>3334</v>
      </c>
      <c r="F1112" t="s">
        <v>20</v>
      </c>
      <c r="G1112" t="s">
        <v>3335</v>
      </c>
      <c r="H1112" s="1">
        <v>8533333333333330</v>
      </c>
      <c r="I1112">
        <v>0</v>
      </c>
      <c r="J1112" t="s">
        <v>52</v>
      </c>
      <c r="K1112" t="s">
        <v>596</v>
      </c>
      <c r="L1112" t="s">
        <v>210</v>
      </c>
      <c r="M1112">
        <v>0</v>
      </c>
      <c r="N1112">
        <v>0</v>
      </c>
      <c r="O1112" s="1">
        <v>4235117820449000</v>
      </c>
      <c r="Q1112" t="b">
        <v>0</v>
      </c>
    </row>
    <row r="1113" spans="1:17" x14ac:dyDescent="0.35">
      <c r="A1113" t="s">
        <v>3336</v>
      </c>
      <c r="B1113" t="s">
        <v>18</v>
      </c>
      <c r="C1113" t="s">
        <v>3337</v>
      </c>
      <c r="D1113">
        <v>0</v>
      </c>
      <c r="E1113" t="s">
        <v>3338</v>
      </c>
      <c r="F1113" t="s">
        <v>20</v>
      </c>
      <c r="G1113" t="s">
        <v>3339</v>
      </c>
      <c r="H1113" s="1">
        <v>8533333333333330</v>
      </c>
      <c r="I1113">
        <v>0</v>
      </c>
      <c r="J1113" t="s">
        <v>52</v>
      </c>
      <c r="K1113" t="s">
        <v>596</v>
      </c>
      <c r="L1113" t="s">
        <v>210</v>
      </c>
      <c r="M1113">
        <v>0</v>
      </c>
      <c r="N1113">
        <v>0</v>
      </c>
      <c r="O1113" s="1">
        <v>4235146340337080</v>
      </c>
      <c r="Q1113" t="b">
        <v>0</v>
      </c>
    </row>
    <row r="1114" spans="1:17" x14ac:dyDescent="0.35">
      <c r="A1114" t="s">
        <v>3340</v>
      </c>
      <c r="B1114" t="s">
        <v>18</v>
      </c>
      <c r="C1114" t="s">
        <v>3341</v>
      </c>
      <c r="D1114">
        <v>0</v>
      </c>
      <c r="E1114" t="s">
        <v>3342</v>
      </c>
      <c r="F1114" t="s">
        <v>20</v>
      </c>
      <c r="G1114" t="s">
        <v>3343</v>
      </c>
      <c r="H1114" s="1">
        <v>8533333333333330</v>
      </c>
      <c r="I1114">
        <v>0</v>
      </c>
      <c r="J1114" t="s">
        <v>52</v>
      </c>
      <c r="K1114" t="s">
        <v>596</v>
      </c>
      <c r="L1114" t="s">
        <v>210</v>
      </c>
      <c r="M1114">
        <v>0</v>
      </c>
      <c r="N1114">
        <v>0</v>
      </c>
      <c r="O1114" s="1">
        <v>4235174860225160</v>
      </c>
      <c r="Q1114" t="b">
        <v>0</v>
      </c>
    </row>
    <row r="1115" spans="1:17" x14ac:dyDescent="0.35">
      <c r="A1115" t="s">
        <v>3344</v>
      </c>
      <c r="B1115" t="s">
        <v>18</v>
      </c>
      <c r="C1115" t="s">
        <v>3345</v>
      </c>
      <c r="D1115">
        <v>0</v>
      </c>
      <c r="E1115" t="s">
        <v>3346</v>
      </c>
      <c r="F1115" t="s">
        <v>20</v>
      </c>
      <c r="G1115" t="s">
        <v>3347</v>
      </c>
      <c r="H1115" s="1">
        <v>1.02333333333333E+16</v>
      </c>
      <c r="I1115">
        <v>0</v>
      </c>
      <c r="J1115">
        <v>45</v>
      </c>
      <c r="K1115" t="s">
        <v>102</v>
      </c>
      <c r="L1115" t="s">
        <v>306</v>
      </c>
      <c r="M1115">
        <v>0</v>
      </c>
      <c r="N1115">
        <v>0</v>
      </c>
      <c r="O1115" s="1">
        <v>4.2352033801132496E+16</v>
      </c>
      <c r="Q1115" t="b">
        <v>0</v>
      </c>
    </row>
    <row r="1116" spans="1:17" x14ac:dyDescent="0.35">
      <c r="A1116" t="s">
        <v>3348</v>
      </c>
      <c r="B1116" t="s">
        <v>18</v>
      </c>
      <c r="C1116" t="s">
        <v>3349</v>
      </c>
      <c r="D1116">
        <v>0</v>
      </c>
      <c r="E1116" t="s">
        <v>3350</v>
      </c>
      <c r="F1116" t="s">
        <v>20</v>
      </c>
      <c r="G1116" t="s">
        <v>3351</v>
      </c>
      <c r="H1116" s="1">
        <v>1.02333333333333E+16</v>
      </c>
      <c r="I1116">
        <v>0</v>
      </c>
      <c r="J1116">
        <v>45</v>
      </c>
      <c r="K1116" t="s">
        <v>102</v>
      </c>
      <c r="L1116" t="s">
        <v>306</v>
      </c>
      <c r="M1116">
        <v>0</v>
      </c>
      <c r="N1116">
        <v>0</v>
      </c>
      <c r="O1116" s="1">
        <v>4235231900001330</v>
      </c>
      <c r="Q1116" t="b">
        <v>0</v>
      </c>
    </row>
    <row r="1117" spans="1:17" x14ac:dyDescent="0.35">
      <c r="A1117" t="s">
        <v>3352</v>
      </c>
      <c r="B1117" t="s">
        <v>18</v>
      </c>
      <c r="C1117" t="s">
        <v>3353</v>
      </c>
      <c r="D1117">
        <v>0</v>
      </c>
      <c r="E1117" t="s">
        <v>3354</v>
      </c>
      <c r="F1117" t="s">
        <v>20</v>
      </c>
      <c r="G1117" t="s">
        <v>3355</v>
      </c>
      <c r="H1117" s="1">
        <v>1.02333333333333E+16</v>
      </c>
      <c r="I1117">
        <v>0</v>
      </c>
      <c r="J1117">
        <v>45</v>
      </c>
      <c r="K1117" t="s">
        <v>102</v>
      </c>
      <c r="L1117" t="s">
        <v>306</v>
      </c>
      <c r="M1117">
        <v>0</v>
      </c>
      <c r="N1117">
        <v>0</v>
      </c>
      <c r="O1117" s="1">
        <v>4235260419889410</v>
      </c>
      <c r="Q1117" t="b">
        <v>0</v>
      </c>
    </row>
    <row r="1118" spans="1:17" x14ac:dyDescent="0.35">
      <c r="A1118" t="s">
        <v>3356</v>
      </c>
      <c r="B1118" t="s">
        <v>18</v>
      </c>
      <c r="C1118" t="s">
        <v>3357</v>
      </c>
      <c r="D1118">
        <v>0</v>
      </c>
      <c r="E1118" t="s">
        <v>3358</v>
      </c>
      <c r="F1118" t="s">
        <v>20</v>
      </c>
      <c r="G1118" t="s">
        <v>3359</v>
      </c>
      <c r="H1118" s="1">
        <v>1.02333333333333E+16</v>
      </c>
      <c r="I1118">
        <v>0</v>
      </c>
      <c r="J1118">
        <v>45</v>
      </c>
      <c r="K1118" t="s">
        <v>102</v>
      </c>
      <c r="L1118" t="s">
        <v>306</v>
      </c>
      <c r="M1118">
        <v>0</v>
      </c>
      <c r="N1118">
        <v>0</v>
      </c>
      <c r="O1118" s="1">
        <v>4.2352889397774896E+16</v>
      </c>
      <c r="Q1118" t="b">
        <v>0</v>
      </c>
    </row>
    <row r="1119" spans="1:17" x14ac:dyDescent="0.35">
      <c r="A1119" t="s">
        <v>3360</v>
      </c>
      <c r="B1119" t="s">
        <v>18</v>
      </c>
      <c r="C1119" t="s">
        <v>3361</v>
      </c>
      <c r="D1119">
        <v>0</v>
      </c>
      <c r="E1119" t="s">
        <v>3362</v>
      </c>
      <c r="F1119" t="s">
        <v>20</v>
      </c>
      <c r="G1119" t="s">
        <v>3363</v>
      </c>
      <c r="H1119" t="s">
        <v>3364</v>
      </c>
      <c r="I1119">
        <v>0</v>
      </c>
      <c r="J1119" t="s">
        <v>3365</v>
      </c>
      <c r="K1119" t="s">
        <v>397</v>
      </c>
      <c r="L1119" s="1">
        <v>7.56E+16</v>
      </c>
      <c r="M1119">
        <v>0</v>
      </c>
      <c r="N1119">
        <v>0</v>
      </c>
      <c r="O1119" s="1">
        <v>4235317459665570</v>
      </c>
      <c r="Q1119" t="b">
        <v>0</v>
      </c>
    </row>
    <row r="1120" spans="1:17" x14ac:dyDescent="0.35">
      <c r="A1120" t="s">
        <v>3366</v>
      </c>
      <c r="B1120" t="s">
        <v>18</v>
      </c>
      <c r="C1120" t="s">
        <v>3367</v>
      </c>
      <c r="D1120">
        <v>0</v>
      </c>
      <c r="E1120" t="s">
        <v>3368</v>
      </c>
      <c r="F1120" t="s">
        <v>20</v>
      </c>
      <c r="G1120" t="s">
        <v>3369</v>
      </c>
      <c r="H1120" t="s">
        <v>3364</v>
      </c>
      <c r="I1120">
        <v>0</v>
      </c>
      <c r="J1120" t="s">
        <v>3365</v>
      </c>
      <c r="K1120" t="s">
        <v>397</v>
      </c>
      <c r="L1120" s="1">
        <v>7.56E+16</v>
      </c>
      <c r="M1120">
        <v>0</v>
      </c>
      <c r="N1120">
        <v>0</v>
      </c>
      <c r="O1120" s="1">
        <v>4235345979553650</v>
      </c>
      <c r="Q1120" t="b">
        <v>0</v>
      </c>
    </row>
    <row r="1121" spans="1:17" x14ac:dyDescent="0.35">
      <c r="A1121" t="s">
        <v>3370</v>
      </c>
      <c r="B1121" t="s">
        <v>18</v>
      </c>
      <c r="C1121" t="s">
        <v>3371</v>
      </c>
      <c r="D1121">
        <v>0</v>
      </c>
      <c r="E1121" t="s">
        <v>3372</v>
      </c>
      <c r="F1121" t="s">
        <v>20</v>
      </c>
      <c r="G1121" t="s">
        <v>3373</v>
      </c>
      <c r="H1121" t="s">
        <v>3364</v>
      </c>
      <c r="I1121">
        <v>0</v>
      </c>
      <c r="J1121" t="s">
        <v>3365</v>
      </c>
      <c r="K1121" t="s">
        <v>397</v>
      </c>
      <c r="L1121" s="1">
        <v>7.56E+16</v>
      </c>
      <c r="M1121">
        <v>0</v>
      </c>
      <c r="N1121">
        <v>0</v>
      </c>
      <c r="O1121" s="1">
        <v>423537449944174</v>
      </c>
      <c r="Q1121" t="b">
        <v>0</v>
      </c>
    </row>
    <row r="1122" spans="1:17" x14ac:dyDescent="0.35">
      <c r="A1122" t="s">
        <v>3374</v>
      </c>
      <c r="B1122" t="s">
        <v>18</v>
      </c>
      <c r="C1122" t="s">
        <v>3375</v>
      </c>
      <c r="D1122">
        <v>0</v>
      </c>
      <c r="E1122" t="s">
        <v>3376</v>
      </c>
      <c r="F1122" t="s">
        <v>20</v>
      </c>
      <c r="G1122" t="s">
        <v>3377</v>
      </c>
      <c r="H1122" t="s">
        <v>3364</v>
      </c>
      <c r="I1122">
        <v>0</v>
      </c>
      <c r="J1122" t="s">
        <v>3365</v>
      </c>
      <c r="K1122" t="s">
        <v>397</v>
      </c>
      <c r="L1122" s="1">
        <v>7.56E+16</v>
      </c>
      <c r="M1122">
        <v>0</v>
      </c>
      <c r="N1122">
        <v>0</v>
      </c>
      <c r="O1122" s="1">
        <v>4235403019329820</v>
      </c>
      <c r="Q1122" t="b">
        <v>0</v>
      </c>
    </row>
    <row r="1123" spans="1:17" x14ac:dyDescent="0.35">
      <c r="A1123" t="s">
        <v>3378</v>
      </c>
      <c r="B1123" t="s">
        <v>18</v>
      </c>
      <c r="C1123" t="s">
        <v>3379</v>
      </c>
      <c r="D1123">
        <v>0</v>
      </c>
      <c r="E1123" t="s">
        <v>3380</v>
      </c>
      <c r="F1123" t="s">
        <v>20</v>
      </c>
      <c r="G1123" t="s">
        <v>3381</v>
      </c>
      <c r="H1123" s="1">
        <v>1.12833333333333E+16</v>
      </c>
      <c r="I1123">
        <v>0</v>
      </c>
      <c r="J1123">
        <v>81</v>
      </c>
      <c r="K1123" t="s">
        <v>2999</v>
      </c>
      <c r="L1123">
        <v>9</v>
      </c>
      <c r="M1123">
        <v>0</v>
      </c>
      <c r="N1123">
        <v>0</v>
      </c>
      <c r="O1123" s="1">
        <v>4235431539217900</v>
      </c>
      <c r="Q1123" t="b">
        <v>0</v>
      </c>
    </row>
    <row r="1124" spans="1:17" x14ac:dyDescent="0.35">
      <c r="A1124" t="s">
        <v>3382</v>
      </c>
      <c r="B1124" t="s">
        <v>18</v>
      </c>
      <c r="C1124" t="s">
        <v>3383</v>
      </c>
      <c r="D1124">
        <v>0</v>
      </c>
      <c r="E1124" t="s">
        <v>3384</v>
      </c>
      <c r="F1124" t="s">
        <v>20</v>
      </c>
      <c r="G1124" t="s">
        <v>3385</v>
      </c>
      <c r="H1124" s="1">
        <v>1.12833333333333E+16</v>
      </c>
      <c r="I1124">
        <v>0</v>
      </c>
      <c r="J1124">
        <v>81</v>
      </c>
      <c r="K1124" t="s">
        <v>2999</v>
      </c>
      <c r="L1124">
        <v>9</v>
      </c>
      <c r="M1124">
        <v>0</v>
      </c>
      <c r="N1124">
        <v>0</v>
      </c>
      <c r="O1124" s="1">
        <v>4235460059105980</v>
      </c>
      <c r="Q1124" t="b">
        <v>0</v>
      </c>
    </row>
    <row r="1125" spans="1:17" x14ac:dyDescent="0.35">
      <c r="A1125" t="s">
        <v>3386</v>
      </c>
      <c r="B1125" t="s">
        <v>18</v>
      </c>
      <c r="C1125" t="s">
        <v>3387</v>
      </c>
      <c r="D1125">
        <v>0</v>
      </c>
      <c r="E1125" t="s">
        <v>3388</v>
      </c>
      <c r="F1125" t="s">
        <v>20</v>
      </c>
      <c r="G1125" t="s">
        <v>3389</v>
      </c>
      <c r="H1125" s="1">
        <v>1.12833333333333E+16</v>
      </c>
      <c r="I1125">
        <v>0</v>
      </c>
      <c r="J1125">
        <v>81</v>
      </c>
      <c r="K1125" t="s">
        <v>2999</v>
      </c>
      <c r="L1125">
        <v>9</v>
      </c>
      <c r="M1125">
        <v>0</v>
      </c>
      <c r="N1125">
        <v>0</v>
      </c>
      <c r="O1125" s="1">
        <v>4235488578994060</v>
      </c>
      <c r="Q1125" t="b">
        <v>0</v>
      </c>
    </row>
    <row r="1126" spans="1:17" x14ac:dyDescent="0.35">
      <c r="A1126" t="s">
        <v>3390</v>
      </c>
      <c r="B1126" t="s">
        <v>18</v>
      </c>
      <c r="C1126" t="s">
        <v>3391</v>
      </c>
      <c r="D1126">
        <v>0</v>
      </c>
      <c r="E1126" t="s">
        <v>3392</v>
      </c>
      <c r="F1126" t="s">
        <v>20</v>
      </c>
      <c r="G1126" t="s">
        <v>3393</v>
      </c>
      <c r="H1126" s="1">
        <v>1.12833333333333E+16</v>
      </c>
      <c r="I1126">
        <v>0</v>
      </c>
      <c r="J1126">
        <v>81</v>
      </c>
      <c r="K1126" t="s">
        <v>2999</v>
      </c>
      <c r="L1126">
        <v>9</v>
      </c>
      <c r="M1126">
        <v>0</v>
      </c>
      <c r="N1126">
        <v>0</v>
      </c>
      <c r="O1126" s="1">
        <v>4235517098882140</v>
      </c>
      <c r="Q1126" t="b">
        <v>0</v>
      </c>
    </row>
    <row r="1127" spans="1:17" x14ac:dyDescent="0.35">
      <c r="A1127" t="s">
        <v>3394</v>
      </c>
      <c r="B1127" t="s">
        <v>18</v>
      </c>
      <c r="C1127" t="s">
        <v>3395</v>
      </c>
      <c r="D1127">
        <v>0</v>
      </c>
      <c r="E1127" t="s">
        <v>3396</v>
      </c>
      <c r="F1127" t="s">
        <v>20</v>
      </c>
      <c r="G1127" t="s">
        <v>3397</v>
      </c>
      <c r="H1127" s="1">
        <v>8416666666666660</v>
      </c>
      <c r="I1127">
        <v>0</v>
      </c>
      <c r="J1127" t="s">
        <v>903</v>
      </c>
      <c r="K1127">
        <v>2</v>
      </c>
      <c r="L1127" s="1">
        <v>1.062E+16</v>
      </c>
      <c r="M1127">
        <v>0</v>
      </c>
      <c r="N1127">
        <v>0</v>
      </c>
      <c r="O1127" s="1">
        <v>423554561877023</v>
      </c>
      <c r="Q1127" t="b">
        <v>0</v>
      </c>
    </row>
    <row r="1128" spans="1:17" x14ac:dyDescent="0.35">
      <c r="A1128" t="s">
        <v>3398</v>
      </c>
      <c r="B1128" t="s">
        <v>18</v>
      </c>
      <c r="C1128" t="s">
        <v>3399</v>
      </c>
      <c r="D1128">
        <v>0</v>
      </c>
      <c r="E1128" t="s">
        <v>3400</v>
      </c>
      <c r="F1128" t="s">
        <v>20</v>
      </c>
      <c r="G1128" t="s">
        <v>3401</v>
      </c>
      <c r="H1128" s="1">
        <v>8416666666666660</v>
      </c>
      <c r="I1128">
        <v>0</v>
      </c>
      <c r="J1128" t="s">
        <v>903</v>
      </c>
      <c r="K1128">
        <v>2</v>
      </c>
      <c r="L1128" s="1">
        <v>1.062E+16</v>
      </c>
      <c r="M1128">
        <v>0</v>
      </c>
      <c r="N1128">
        <v>0</v>
      </c>
      <c r="O1128" s="1">
        <v>4235574138658310</v>
      </c>
      <c r="Q1128" t="b">
        <v>0</v>
      </c>
    </row>
    <row r="1129" spans="1:17" x14ac:dyDescent="0.35">
      <c r="A1129" t="s">
        <v>3402</v>
      </c>
      <c r="B1129" t="s">
        <v>18</v>
      </c>
      <c r="C1129" t="s">
        <v>3403</v>
      </c>
      <c r="D1129">
        <v>0</v>
      </c>
      <c r="E1129" t="s">
        <v>3404</v>
      </c>
      <c r="F1129" t="s">
        <v>20</v>
      </c>
      <c r="G1129" t="s">
        <v>3405</v>
      </c>
      <c r="H1129" s="1">
        <v>8416666666666660</v>
      </c>
      <c r="I1129">
        <v>0</v>
      </c>
      <c r="J1129" t="s">
        <v>903</v>
      </c>
      <c r="K1129">
        <v>2</v>
      </c>
      <c r="L1129" s="1">
        <v>1.062E+16</v>
      </c>
      <c r="M1129">
        <v>0</v>
      </c>
      <c r="N1129">
        <v>0</v>
      </c>
      <c r="O1129" s="1">
        <v>4235602658546390</v>
      </c>
      <c r="Q1129" t="b">
        <v>0</v>
      </c>
    </row>
    <row r="1130" spans="1:17" x14ac:dyDescent="0.35">
      <c r="A1130" t="s">
        <v>3406</v>
      </c>
      <c r="B1130" t="s">
        <v>18</v>
      </c>
      <c r="C1130" t="s">
        <v>3407</v>
      </c>
      <c r="D1130">
        <v>0</v>
      </c>
      <c r="E1130" t="s">
        <v>3408</v>
      </c>
      <c r="F1130" t="s">
        <v>20</v>
      </c>
      <c r="G1130" t="s">
        <v>3409</v>
      </c>
      <c r="H1130" s="1">
        <v>8416666666666660</v>
      </c>
      <c r="I1130">
        <v>0</v>
      </c>
      <c r="J1130" t="s">
        <v>903</v>
      </c>
      <c r="K1130">
        <v>2</v>
      </c>
      <c r="L1130" s="1">
        <v>1.062E+16</v>
      </c>
      <c r="M1130">
        <v>0</v>
      </c>
      <c r="N1130">
        <v>0</v>
      </c>
      <c r="O1130" s="1">
        <v>4235631178434470</v>
      </c>
      <c r="Q1130" t="b">
        <v>0</v>
      </c>
    </row>
    <row r="1131" spans="1:17" x14ac:dyDescent="0.35">
      <c r="A1131" t="s">
        <v>3410</v>
      </c>
      <c r="B1131" t="s">
        <v>18</v>
      </c>
      <c r="C1131" t="s">
        <v>3411</v>
      </c>
      <c r="D1131">
        <v>0</v>
      </c>
      <c r="E1131" t="s">
        <v>3412</v>
      </c>
      <c r="F1131" t="s">
        <v>20</v>
      </c>
      <c r="G1131" t="s">
        <v>3413</v>
      </c>
      <c r="H1131" t="s">
        <v>3414</v>
      </c>
      <c r="I1131">
        <v>0</v>
      </c>
      <c r="J1131">
        <v>74</v>
      </c>
      <c r="K1131" t="s">
        <v>383</v>
      </c>
      <c r="L1131" s="1">
        <v>1.17E+16</v>
      </c>
      <c r="M1131">
        <v>0</v>
      </c>
      <c r="N1131">
        <v>0</v>
      </c>
      <c r="O1131" s="1">
        <v>4235659698322550</v>
      </c>
      <c r="Q1131" t="b">
        <v>0</v>
      </c>
    </row>
    <row r="1132" spans="1:17" x14ac:dyDescent="0.35">
      <c r="A1132" t="s">
        <v>3415</v>
      </c>
      <c r="B1132" t="s">
        <v>18</v>
      </c>
      <c r="C1132" t="s">
        <v>3416</v>
      </c>
      <c r="D1132">
        <v>0</v>
      </c>
      <c r="E1132" t="s">
        <v>3417</v>
      </c>
      <c r="F1132" t="s">
        <v>20</v>
      </c>
      <c r="G1132" t="s">
        <v>3418</v>
      </c>
      <c r="H1132" t="s">
        <v>3414</v>
      </c>
      <c r="I1132">
        <v>0</v>
      </c>
      <c r="J1132">
        <v>74</v>
      </c>
      <c r="K1132" t="s">
        <v>383</v>
      </c>
      <c r="L1132" s="1">
        <v>1.17E+16</v>
      </c>
      <c r="M1132">
        <v>0</v>
      </c>
      <c r="N1132">
        <v>0</v>
      </c>
      <c r="O1132" s="1">
        <v>4235688218210630</v>
      </c>
      <c r="Q1132" t="b">
        <v>0</v>
      </c>
    </row>
    <row r="1133" spans="1:17" x14ac:dyDescent="0.35">
      <c r="A1133" t="s">
        <v>3419</v>
      </c>
      <c r="B1133" t="s">
        <v>18</v>
      </c>
      <c r="C1133" t="s">
        <v>3420</v>
      </c>
      <c r="D1133">
        <v>0</v>
      </c>
      <c r="E1133" t="s">
        <v>3421</v>
      </c>
      <c r="F1133" t="s">
        <v>20</v>
      </c>
      <c r="G1133" t="s">
        <v>3422</v>
      </c>
      <c r="H1133" t="s">
        <v>3414</v>
      </c>
      <c r="I1133">
        <v>0</v>
      </c>
      <c r="J1133">
        <v>74</v>
      </c>
      <c r="K1133" t="s">
        <v>383</v>
      </c>
      <c r="L1133" s="1">
        <v>1.17E+16</v>
      </c>
      <c r="M1133">
        <v>0</v>
      </c>
      <c r="N1133">
        <v>0</v>
      </c>
      <c r="O1133" s="1">
        <v>4235716738098710</v>
      </c>
      <c r="Q1133" t="b">
        <v>0</v>
      </c>
    </row>
    <row r="1134" spans="1:17" x14ac:dyDescent="0.35">
      <c r="A1134" t="s">
        <v>3423</v>
      </c>
      <c r="B1134" t="s">
        <v>18</v>
      </c>
      <c r="C1134" t="s">
        <v>3424</v>
      </c>
      <c r="D1134">
        <v>0</v>
      </c>
      <c r="E1134" t="s">
        <v>3425</v>
      </c>
      <c r="F1134" t="s">
        <v>20</v>
      </c>
      <c r="G1134" t="s">
        <v>3426</v>
      </c>
      <c r="H1134" t="s">
        <v>3414</v>
      </c>
      <c r="I1134">
        <v>0</v>
      </c>
      <c r="J1134">
        <v>74</v>
      </c>
      <c r="K1134" t="s">
        <v>383</v>
      </c>
      <c r="L1134" s="1">
        <v>1.17E+16</v>
      </c>
      <c r="M1134">
        <v>0</v>
      </c>
      <c r="N1134">
        <v>0</v>
      </c>
      <c r="O1134" s="1">
        <v>4.2357452579868E+16</v>
      </c>
      <c r="Q1134" t="b">
        <v>0</v>
      </c>
    </row>
    <row r="1135" spans="1:17" x14ac:dyDescent="0.35">
      <c r="A1135" t="s">
        <v>3427</v>
      </c>
      <c r="B1135" t="s">
        <v>18</v>
      </c>
      <c r="C1135" t="s">
        <v>3428</v>
      </c>
      <c r="D1135">
        <v>0</v>
      </c>
      <c r="E1135" t="s">
        <v>3429</v>
      </c>
      <c r="F1135" t="s">
        <v>20</v>
      </c>
      <c r="G1135" t="s">
        <v>3430</v>
      </c>
      <c r="H1135" s="1">
        <v>7716666666666660</v>
      </c>
      <c r="I1135">
        <v>0</v>
      </c>
      <c r="J1135" t="s">
        <v>3431</v>
      </c>
      <c r="K1135" t="s">
        <v>2479</v>
      </c>
      <c r="L1135" t="s">
        <v>26</v>
      </c>
      <c r="M1135">
        <v>0</v>
      </c>
      <c r="N1135">
        <v>0</v>
      </c>
      <c r="O1135" s="1">
        <v>4235773777874880</v>
      </c>
      <c r="Q1135" t="b">
        <v>0</v>
      </c>
    </row>
    <row r="1136" spans="1:17" x14ac:dyDescent="0.35">
      <c r="A1136" t="s">
        <v>3432</v>
      </c>
      <c r="B1136" t="s">
        <v>18</v>
      </c>
      <c r="C1136" t="s">
        <v>3433</v>
      </c>
      <c r="D1136">
        <v>0</v>
      </c>
      <c r="E1136" t="s">
        <v>3434</v>
      </c>
      <c r="F1136" t="s">
        <v>20</v>
      </c>
      <c r="G1136" t="s">
        <v>3435</v>
      </c>
      <c r="H1136" s="1">
        <v>7716666666666660</v>
      </c>
      <c r="I1136">
        <v>0</v>
      </c>
      <c r="J1136" t="s">
        <v>3431</v>
      </c>
      <c r="K1136" t="s">
        <v>2479</v>
      </c>
      <c r="L1136" t="s">
        <v>26</v>
      </c>
      <c r="M1136">
        <v>0</v>
      </c>
      <c r="N1136">
        <v>0</v>
      </c>
      <c r="O1136" s="1">
        <v>4235802297762960</v>
      </c>
      <c r="Q1136" t="b">
        <v>0</v>
      </c>
    </row>
    <row r="1137" spans="1:17" x14ac:dyDescent="0.35">
      <c r="A1137" t="s">
        <v>3436</v>
      </c>
      <c r="B1137" t="s">
        <v>18</v>
      </c>
      <c r="C1137" t="s">
        <v>3437</v>
      </c>
      <c r="D1137">
        <v>0</v>
      </c>
      <c r="E1137" t="s">
        <v>3438</v>
      </c>
      <c r="F1137" t="s">
        <v>20</v>
      </c>
      <c r="G1137" t="s">
        <v>3439</v>
      </c>
      <c r="H1137" s="1">
        <v>7716666666666660</v>
      </c>
      <c r="I1137">
        <v>0</v>
      </c>
      <c r="J1137" t="s">
        <v>3431</v>
      </c>
      <c r="K1137" t="s">
        <v>2479</v>
      </c>
      <c r="L1137" t="s">
        <v>26</v>
      </c>
      <c r="M1137">
        <v>0</v>
      </c>
      <c r="N1137">
        <v>0</v>
      </c>
      <c r="O1137" s="1">
        <v>4.23583081765104E+16</v>
      </c>
      <c r="Q1137" t="b">
        <v>0</v>
      </c>
    </row>
    <row r="1138" spans="1:17" x14ac:dyDescent="0.35">
      <c r="A1138" t="s">
        <v>3440</v>
      </c>
      <c r="B1138" t="s">
        <v>18</v>
      </c>
      <c r="C1138" t="s">
        <v>3441</v>
      </c>
      <c r="D1138">
        <v>0</v>
      </c>
      <c r="E1138" t="s">
        <v>3442</v>
      </c>
      <c r="F1138" t="s">
        <v>20</v>
      </c>
      <c r="G1138" t="s">
        <v>3443</v>
      </c>
      <c r="H1138" s="1">
        <v>7716666666666660</v>
      </c>
      <c r="I1138">
        <v>0</v>
      </c>
      <c r="J1138" t="s">
        <v>3431</v>
      </c>
      <c r="K1138" t="s">
        <v>2479</v>
      </c>
      <c r="L1138" t="s">
        <v>26</v>
      </c>
      <c r="M1138">
        <v>0</v>
      </c>
      <c r="N1138">
        <v>0</v>
      </c>
      <c r="O1138" s="1">
        <v>4235859337539120</v>
      </c>
      <c r="Q1138" t="b">
        <v>0</v>
      </c>
    </row>
    <row r="1139" spans="1:17" x14ac:dyDescent="0.35">
      <c r="A1139" t="s">
        <v>3444</v>
      </c>
      <c r="B1139" t="s">
        <v>18</v>
      </c>
      <c r="C1139" t="s">
        <v>3445</v>
      </c>
      <c r="D1139">
        <v>0</v>
      </c>
      <c r="E1139" t="s">
        <v>3446</v>
      </c>
      <c r="F1139" t="s">
        <v>20</v>
      </c>
      <c r="G1139" t="s">
        <v>3447</v>
      </c>
      <c r="H1139" s="1">
        <v>6266666666666660</v>
      </c>
      <c r="I1139">
        <v>0</v>
      </c>
      <c r="J1139">
        <v>28</v>
      </c>
      <c r="K1139" t="s">
        <v>814</v>
      </c>
      <c r="L1139" s="1">
        <v>1.476E+16</v>
      </c>
      <c r="M1139">
        <v>0</v>
      </c>
      <c r="N1139">
        <v>0</v>
      </c>
      <c r="O1139" s="1">
        <v>4235887857427200</v>
      </c>
      <c r="Q1139" t="b">
        <v>0</v>
      </c>
    </row>
    <row r="1140" spans="1:17" x14ac:dyDescent="0.35">
      <c r="A1140" t="s">
        <v>3448</v>
      </c>
      <c r="B1140" t="s">
        <v>18</v>
      </c>
      <c r="C1140" t="s">
        <v>3449</v>
      </c>
      <c r="D1140">
        <v>0</v>
      </c>
      <c r="E1140">
        <v>0</v>
      </c>
      <c r="F1140" t="s">
        <v>20</v>
      </c>
      <c r="G1140" t="s">
        <v>3450</v>
      </c>
      <c r="H1140" s="1">
        <v>6266666666666660</v>
      </c>
      <c r="I1140">
        <v>0</v>
      </c>
      <c r="J1140">
        <v>28</v>
      </c>
      <c r="K1140" t="s">
        <v>814</v>
      </c>
      <c r="L1140" s="1">
        <v>1.476E+16</v>
      </c>
      <c r="M1140">
        <v>0</v>
      </c>
      <c r="N1140">
        <v>0</v>
      </c>
      <c r="O1140" s="1">
        <v>423591637731529</v>
      </c>
      <c r="Q1140" t="b">
        <v>0</v>
      </c>
    </row>
    <row r="1141" spans="1:17" x14ac:dyDescent="0.35">
      <c r="A1141" t="s">
        <v>3451</v>
      </c>
      <c r="B1141" t="s">
        <v>18</v>
      </c>
      <c r="C1141" t="s">
        <v>3452</v>
      </c>
      <c r="D1141">
        <v>0</v>
      </c>
      <c r="E1141">
        <v>0</v>
      </c>
      <c r="F1141" t="s">
        <v>20</v>
      </c>
      <c r="G1141" t="s">
        <v>3453</v>
      </c>
      <c r="H1141" s="1">
        <v>6266666666666660</v>
      </c>
      <c r="I1141">
        <v>0</v>
      </c>
      <c r="J1141">
        <v>28</v>
      </c>
      <c r="K1141" t="s">
        <v>814</v>
      </c>
      <c r="L1141" s="1">
        <v>1.476E+16</v>
      </c>
      <c r="M1141">
        <v>0</v>
      </c>
      <c r="N1141">
        <v>0</v>
      </c>
      <c r="O1141" s="1">
        <v>4235944897203370</v>
      </c>
      <c r="Q1141" t="b">
        <v>0</v>
      </c>
    </row>
    <row r="1142" spans="1:17" x14ac:dyDescent="0.35">
      <c r="A1142" t="s">
        <v>3454</v>
      </c>
      <c r="B1142" t="s">
        <v>18</v>
      </c>
      <c r="C1142" t="s">
        <v>3455</v>
      </c>
      <c r="D1142">
        <v>0</v>
      </c>
      <c r="E1142">
        <v>0</v>
      </c>
      <c r="F1142" t="s">
        <v>20</v>
      </c>
      <c r="G1142" t="s">
        <v>3456</v>
      </c>
      <c r="H1142" s="1">
        <v>6266666666666660</v>
      </c>
      <c r="I1142">
        <v>0</v>
      </c>
      <c r="J1142">
        <v>28</v>
      </c>
      <c r="K1142" t="s">
        <v>814</v>
      </c>
      <c r="L1142" s="1">
        <v>1.476E+16</v>
      </c>
      <c r="M1142">
        <v>0</v>
      </c>
      <c r="N1142">
        <v>0</v>
      </c>
      <c r="O1142" s="1">
        <v>4235973417091450</v>
      </c>
      <c r="Q1142" t="b">
        <v>0</v>
      </c>
    </row>
    <row r="1143" spans="1:17" x14ac:dyDescent="0.35">
      <c r="A1143" t="s">
        <v>3457</v>
      </c>
      <c r="B1143" t="s">
        <v>18</v>
      </c>
      <c r="C1143" t="s">
        <v>3458</v>
      </c>
      <c r="D1143">
        <v>0</v>
      </c>
      <c r="E1143">
        <v>0</v>
      </c>
      <c r="F1143" t="s">
        <v>20</v>
      </c>
      <c r="G1143">
        <v>0</v>
      </c>
      <c r="H1143">
        <v>0</v>
      </c>
      <c r="I1143">
        <v>0</v>
      </c>
      <c r="J1143">
        <v>6</v>
      </c>
      <c r="K1143" t="s">
        <v>25</v>
      </c>
      <c r="L1143" t="s">
        <v>795</v>
      </c>
      <c r="M1143">
        <v>0</v>
      </c>
      <c r="N1143">
        <v>0</v>
      </c>
      <c r="O1143" s="1">
        <v>4236001936979530</v>
      </c>
      <c r="Q1143" t="b">
        <v>0</v>
      </c>
    </row>
    <row r="1144" spans="1:17" x14ac:dyDescent="0.35">
      <c r="A1144" t="s">
        <v>3459</v>
      </c>
      <c r="B1144" t="s">
        <v>18</v>
      </c>
      <c r="C1144" t="s">
        <v>3460</v>
      </c>
      <c r="D1144">
        <v>0</v>
      </c>
      <c r="E1144">
        <v>0</v>
      </c>
      <c r="F1144" t="s">
        <v>20</v>
      </c>
      <c r="G1144">
        <v>0</v>
      </c>
      <c r="H1144">
        <v>0</v>
      </c>
      <c r="I1144">
        <v>0</v>
      </c>
      <c r="J1144">
        <v>6</v>
      </c>
      <c r="K1144" t="s">
        <v>25</v>
      </c>
      <c r="L1144" t="s">
        <v>795</v>
      </c>
      <c r="M1144">
        <v>0</v>
      </c>
      <c r="N1144">
        <v>0</v>
      </c>
      <c r="O1144" s="1">
        <v>4236030456867610</v>
      </c>
      <c r="Q1144" t="b">
        <v>0</v>
      </c>
    </row>
    <row r="1145" spans="1:17" x14ac:dyDescent="0.35">
      <c r="A1145" t="s">
        <v>3461</v>
      </c>
      <c r="B1145" t="s">
        <v>18</v>
      </c>
      <c r="C1145" t="s">
        <v>3462</v>
      </c>
      <c r="D1145">
        <v>0</v>
      </c>
      <c r="E1145">
        <v>0</v>
      </c>
      <c r="F1145" t="s">
        <v>20</v>
      </c>
      <c r="G1145">
        <v>0</v>
      </c>
      <c r="H1145">
        <v>0</v>
      </c>
      <c r="I1145">
        <v>0</v>
      </c>
      <c r="J1145">
        <v>6</v>
      </c>
      <c r="K1145" t="s">
        <v>25</v>
      </c>
      <c r="L1145" t="s">
        <v>795</v>
      </c>
      <c r="M1145">
        <v>0</v>
      </c>
      <c r="N1145">
        <v>0</v>
      </c>
      <c r="O1145" s="1">
        <v>4.2360589767556896E+16</v>
      </c>
      <c r="Q1145" t="b">
        <v>0</v>
      </c>
    </row>
    <row r="1146" spans="1:17" x14ac:dyDescent="0.35">
      <c r="A1146" t="s">
        <v>3463</v>
      </c>
      <c r="B1146" t="s">
        <v>18</v>
      </c>
      <c r="C1146" t="s">
        <v>3464</v>
      </c>
      <c r="D1146">
        <v>0</v>
      </c>
      <c r="E1146">
        <v>0</v>
      </c>
      <c r="F1146" t="s">
        <v>20</v>
      </c>
      <c r="G1146">
        <v>0</v>
      </c>
      <c r="H1146">
        <v>0</v>
      </c>
      <c r="I1146">
        <v>0</v>
      </c>
      <c r="J1146">
        <v>6</v>
      </c>
      <c r="K1146" t="s">
        <v>25</v>
      </c>
      <c r="L1146" t="s">
        <v>795</v>
      </c>
      <c r="M1146">
        <v>0</v>
      </c>
      <c r="N1146">
        <v>0</v>
      </c>
      <c r="O1146" s="1">
        <v>4236087496643770</v>
      </c>
      <c r="Q1146" t="b">
        <v>0</v>
      </c>
    </row>
    <row r="1147" spans="1:17" x14ac:dyDescent="0.35">
      <c r="A1147" t="s">
        <v>3465</v>
      </c>
      <c r="B1147" t="s">
        <v>18</v>
      </c>
      <c r="C1147" t="s">
        <v>3466</v>
      </c>
      <c r="D1147">
        <v>0</v>
      </c>
      <c r="E1147">
        <v>0</v>
      </c>
      <c r="F1147" t="s">
        <v>20</v>
      </c>
      <c r="G1147">
        <v>0</v>
      </c>
      <c r="H1147">
        <v>0</v>
      </c>
      <c r="I1147">
        <v>0</v>
      </c>
      <c r="J1147">
        <v>0</v>
      </c>
      <c r="K1147" t="s">
        <v>633</v>
      </c>
      <c r="L1147" t="s">
        <v>3467</v>
      </c>
      <c r="M1147">
        <v>0</v>
      </c>
      <c r="N1147">
        <v>0</v>
      </c>
      <c r="O1147" s="1">
        <v>4236116016531860</v>
      </c>
      <c r="Q1147" t="b">
        <v>0</v>
      </c>
    </row>
    <row r="1148" spans="1:17" x14ac:dyDescent="0.35">
      <c r="A1148" t="s">
        <v>3468</v>
      </c>
      <c r="B1148" t="s">
        <v>18</v>
      </c>
      <c r="C1148" t="s">
        <v>3469</v>
      </c>
      <c r="D1148">
        <v>0</v>
      </c>
      <c r="E1148">
        <v>0</v>
      </c>
      <c r="F1148" t="s">
        <v>20</v>
      </c>
      <c r="G1148">
        <v>0</v>
      </c>
      <c r="H1148">
        <v>0</v>
      </c>
      <c r="I1148">
        <v>0</v>
      </c>
      <c r="J1148">
        <v>0</v>
      </c>
      <c r="K1148" t="s">
        <v>633</v>
      </c>
      <c r="L1148" t="s">
        <v>3467</v>
      </c>
      <c r="M1148">
        <v>0</v>
      </c>
      <c r="N1148">
        <v>0</v>
      </c>
      <c r="O1148" s="1">
        <v>4236144536419940</v>
      </c>
      <c r="Q1148" t="b">
        <v>0</v>
      </c>
    </row>
    <row r="1149" spans="1:17" x14ac:dyDescent="0.35">
      <c r="A1149" t="s">
        <v>3470</v>
      </c>
      <c r="B1149" t="s">
        <v>18</v>
      </c>
      <c r="C1149" t="s">
        <v>3471</v>
      </c>
      <c r="D1149">
        <v>0</v>
      </c>
      <c r="E1149">
        <v>0</v>
      </c>
      <c r="F1149" t="s">
        <v>20</v>
      </c>
      <c r="G1149">
        <v>0</v>
      </c>
      <c r="H1149">
        <v>0</v>
      </c>
      <c r="I1149">
        <v>0</v>
      </c>
      <c r="J1149">
        <v>0</v>
      </c>
      <c r="K1149" t="s">
        <v>633</v>
      </c>
      <c r="L1149" t="s">
        <v>3467</v>
      </c>
      <c r="M1149">
        <v>0</v>
      </c>
      <c r="N1149">
        <v>0</v>
      </c>
      <c r="O1149" s="1">
        <v>4236173056308020</v>
      </c>
      <c r="Q1149" t="b">
        <v>0</v>
      </c>
    </row>
    <row r="1150" spans="1:17" x14ac:dyDescent="0.35">
      <c r="A1150" t="s">
        <v>3472</v>
      </c>
      <c r="B1150" t="s">
        <v>18</v>
      </c>
      <c r="C1150" t="s">
        <v>3473</v>
      </c>
      <c r="D1150">
        <v>0</v>
      </c>
      <c r="E1150">
        <v>0</v>
      </c>
      <c r="F1150" t="s">
        <v>20</v>
      </c>
      <c r="G1150">
        <v>0</v>
      </c>
      <c r="H1150">
        <v>0</v>
      </c>
      <c r="I1150">
        <v>0</v>
      </c>
      <c r="J1150">
        <v>0</v>
      </c>
      <c r="K1150" t="s">
        <v>633</v>
      </c>
      <c r="L1150" t="s">
        <v>3467</v>
      </c>
      <c r="M1150">
        <v>0</v>
      </c>
      <c r="N1150">
        <v>0</v>
      </c>
      <c r="O1150" s="1">
        <v>4236201576196100</v>
      </c>
      <c r="Q1150" t="b">
        <v>0</v>
      </c>
    </row>
    <row r="1151" spans="1:17" x14ac:dyDescent="0.35">
      <c r="A1151" t="s">
        <v>3474</v>
      </c>
      <c r="B1151" t="s">
        <v>18</v>
      </c>
      <c r="C1151" t="s">
        <v>3475</v>
      </c>
      <c r="D1151">
        <v>0</v>
      </c>
      <c r="E1151">
        <v>0</v>
      </c>
      <c r="F1151" t="s">
        <v>20</v>
      </c>
      <c r="G1151">
        <v>0</v>
      </c>
      <c r="H1151">
        <v>0</v>
      </c>
      <c r="I1151">
        <v>0</v>
      </c>
      <c r="J1151">
        <v>0</v>
      </c>
      <c r="K1151" t="s">
        <v>73</v>
      </c>
      <c r="L1151" s="1">
        <v>2.052E+16</v>
      </c>
      <c r="M1151">
        <v>0</v>
      </c>
      <c r="N1151">
        <v>0</v>
      </c>
      <c r="O1151" s="1">
        <v>4236230096084180</v>
      </c>
      <c r="Q1151" t="b">
        <v>0</v>
      </c>
    </row>
    <row r="1152" spans="1:17" x14ac:dyDescent="0.35">
      <c r="A1152" t="s">
        <v>3476</v>
      </c>
      <c r="B1152" t="s">
        <v>18</v>
      </c>
      <c r="C1152" t="s">
        <v>3477</v>
      </c>
      <c r="D1152">
        <v>0</v>
      </c>
      <c r="E1152">
        <v>0</v>
      </c>
      <c r="F1152" t="s">
        <v>20</v>
      </c>
      <c r="G1152">
        <v>0</v>
      </c>
      <c r="H1152">
        <v>0</v>
      </c>
      <c r="I1152">
        <v>0</v>
      </c>
      <c r="J1152">
        <v>0</v>
      </c>
      <c r="K1152" t="s">
        <v>73</v>
      </c>
      <c r="L1152" s="1">
        <v>2.052E+16</v>
      </c>
      <c r="M1152">
        <v>0</v>
      </c>
      <c r="N1152">
        <v>0</v>
      </c>
      <c r="O1152" s="1">
        <v>4236258615972260</v>
      </c>
      <c r="Q1152" t="b">
        <v>0</v>
      </c>
    </row>
    <row r="1153" spans="1:17" x14ac:dyDescent="0.35">
      <c r="A1153" t="s">
        <v>3478</v>
      </c>
      <c r="B1153" t="s">
        <v>18</v>
      </c>
      <c r="C1153" t="s">
        <v>3479</v>
      </c>
      <c r="D1153">
        <v>0</v>
      </c>
      <c r="E1153">
        <v>0</v>
      </c>
      <c r="F1153" t="s">
        <v>20</v>
      </c>
      <c r="G1153">
        <v>0</v>
      </c>
      <c r="H1153">
        <v>0</v>
      </c>
      <c r="I1153">
        <v>0</v>
      </c>
      <c r="J1153">
        <v>0</v>
      </c>
      <c r="K1153" t="s">
        <v>73</v>
      </c>
      <c r="L1153" s="1">
        <v>2.052E+16</v>
      </c>
      <c r="M1153">
        <v>0</v>
      </c>
      <c r="N1153">
        <v>0</v>
      </c>
      <c r="O1153" s="1">
        <v>423628713586035</v>
      </c>
      <c r="Q1153" t="b">
        <v>0</v>
      </c>
    </row>
    <row r="1154" spans="1:17" x14ac:dyDescent="0.35">
      <c r="A1154" t="s">
        <v>3480</v>
      </c>
      <c r="B1154" t="s">
        <v>18</v>
      </c>
      <c r="C1154" t="s">
        <v>3481</v>
      </c>
      <c r="D1154">
        <v>0</v>
      </c>
      <c r="E1154">
        <v>0</v>
      </c>
      <c r="F1154" t="s">
        <v>20</v>
      </c>
      <c r="G1154">
        <v>0</v>
      </c>
      <c r="H1154">
        <v>0</v>
      </c>
      <c r="I1154">
        <v>0</v>
      </c>
      <c r="J1154">
        <v>0</v>
      </c>
      <c r="K1154" t="s">
        <v>73</v>
      </c>
      <c r="L1154" s="1">
        <v>2.052E+16</v>
      </c>
      <c r="M1154">
        <v>0</v>
      </c>
      <c r="N1154">
        <v>0</v>
      </c>
      <c r="O1154" s="1">
        <v>4236315655748430</v>
      </c>
      <c r="Q1154" t="b">
        <v>0</v>
      </c>
    </row>
    <row r="1155" spans="1:17" x14ac:dyDescent="0.35">
      <c r="A1155" t="s">
        <v>3482</v>
      </c>
      <c r="B1155" t="s">
        <v>18</v>
      </c>
      <c r="C1155" t="s">
        <v>3483</v>
      </c>
      <c r="D1155">
        <v>0</v>
      </c>
      <c r="E1155">
        <v>0</v>
      </c>
      <c r="F1155" t="s">
        <v>20</v>
      </c>
      <c r="G1155">
        <v>0</v>
      </c>
      <c r="H1155">
        <v>0</v>
      </c>
      <c r="I1155">
        <v>0</v>
      </c>
      <c r="J1155">
        <v>0</v>
      </c>
      <c r="K1155" t="s">
        <v>73</v>
      </c>
      <c r="L1155" t="s">
        <v>786</v>
      </c>
      <c r="M1155">
        <v>0</v>
      </c>
      <c r="N1155">
        <v>0</v>
      </c>
      <c r="O1155" s="1">
        <v>4236344175636510</v>
      </c>
      <c r="Q1155" t="b">
        <v>0</v>
      </c>
    </row>
    <row r="1156" spans="1:17" x14ac:dyDescent="0.35">
      <c r="A1156" t="s">
        <v>3484</v>
      </c>
      <c r="B1156" t="s">
        <v>18</v>
      </c>
      <c r="C1156" t="s">
        <v>3485</v>
      </c>
      <c r="D1156">
        <v>0</v>
      </c>
      <c r="E1156">
        <v>0</v>
      </c>
      <c r="F1156" t="s">
        <v>20</v>
      </c>
      <c r="G1156">
        <v>0</v>
      </c>
      <c r="H1156">
        <v>0</v>
      </c>
      <c r="I1156">
        <v>0</v>
      </c>
      <c r="J1156">
        <v>0</v>
      </c>
      <c r="K1156" t="s">
        <v>73</v>
      </c>
      <c r="L1156" t="s">
        <v>786</v>
      </c>
      <c r="M1156">
        <v>0</v>
      </c>
      <c r="N1156">
        <v>0</v>
      </c>
      <c r="O1156" s="1">
        <v>4236372695524590</v>
      </c>
      <c r="Q1156" t="b">
        <v>0</v>
      </c>
    </row>
    <row r="1157" spans="1:17" x14ac:dyDescent="0.35">
      <c r="A1157" t="s">
        <v>3486</v>
      </c>
      <c r="B1157" t="s">
        <v>18</v>
      </c>
      <c r="C1157" t="s">
        <v>3487</v>
      </c>
      <c r="D1157">
        <v>0</v>
      </c>
      <c r="E1157">
        <v>0</v>
      </c>
      <c r="F1157" t="s">
        <v>20</v>
      </c>
      <c r="G1157">
        <v>0</v>
      </c>
      <c r="H1157">
        <v>0</v>
      </c>
      <c r="I1157">
        <v>0</v>
      </c>
      <c r="J1157">
        <v>0</v>
      </c>
      <c r="K1157" t="s">
        <v>73</v>
      </c>
      <c r="L1157" t="s">
        <v>786</v>
      </c>
      <c r="M1157">
        <v>0</v>
      </c>
      <c r="N1157">
        <v>0</v>
      </c>
      <c r="O1157" s="1">
        <v>4236401215412670</v>
      </c>
      <c r="Q1157" t="b">
        <v>0</v>
      </c>
    </row>
    <row r="1158" spans="1:17" x14ac:dyDescent="0.35">
      <c r="A1158" t="s">
        <v>3488</v>
      </c>
      <c r="B1158" t="s">
        <v>18</v>
      </c>
      <c r="C1158" t="s">
        <v>3489</v>
      </c>
      <c r="D1158">
        <v>0</v>
      </c>
      <c r="E1158">
        <v>0</v>
      </c>
      <c r="F1158" t="s">
        <v>20</v>
      </c>
      <c r="G1158">
        <v>0</v>
      </c>
      <c r="H1158">
        <v>0</v>
      </c>
      <c r="I1158">
        <v>0</v>
      </c>
      <c r="J1158">
        <v>0</v>
      </c>
      <c r="K1158" t="s">
        <v>73</v>
      </c>
      <c r="L1158" t="s">
        <v>786</v>
      </c>
      <c r="M1158">
        <v>0</v>
      </c>
      <c r="N1158">
        <v>0</v>
      </c>
      <c r="O1158" s="1">
        <v>4236429735300750</v>
      </c>
      <c r="Q1158" t="b">
        <v>0</v>
      </c>
    </row>
    <row r="1159" spans="1:17" x14ac:dyDescent="0.35">
      <c r="A1159" t="s">
        <v>3490</v>
      </c>
      <c r="B1159" t="s">
        <v>18</v>
      </c>
      <c r="C1159" t="s">
        <v>3491</v>
      </c>
      <c r="D1159">
        <v>0</v>
      </c>
      <c r="E1159">
        <v>0</v>
      </c>
      <c r="F1159" t="s">
        <v>20</v>
      </c>
      <c r="G1159">
        <v>0</v>
      </c>
      <c r="H1159">
        <v>0</v>
      </c>
      <c r="I1159">
        <v>0</v>
      </c>
      <c r="J1159">
        <v>0</v>
      </c>
      <c r="K1159" t="s">
        <v>69</v>
      </c>
      <c r="L1159" t="s">
        <v>3492</v>
      </c>
      <c r="M1159">
        <v>0</v>
      </c>
      <c r="N1159">
        <v>0</v>
      </c>
      <c r="O1159" s="1">
        <v>423645825518884</v>
      </c>
      <c r="Q1159" t="b">
        <v>0</v>
      </c>
    </row>
    <row r="1160" spans="1:17" x14ac:dyDescent="0.35">
      <c r="A1160" t="s">
        <v>3493</v>
      </c>
      <c r="B1160" t="s">
        <v>18</v>
      </c>
      <c r="C1160" t="s">
        <v>3494</v>
      </c>
      <c r="D1160">
        <v>0</v>
      </c>
      <c r="E1160">
        <v>0</v>
      </c>
      <c r="F1160" t="s">
        <v>20</v>
      </c>
      <c r="G1160">
        <v>0</v>
      </c>
      <c r="H1160">
        <v>0</v>
      </c>
      <c r="I1160">
        <v>0</v>
      </c>
      <c r="J1160">
        <v>0</v>
      </c>
      <c r="K1160" t="s">
        <v>69</v>
      </c>
      <c r="L1160" t="s">
        <v>3492</v>
      </c>
      <c r="M1160">
        <v>0</v>
      </c>
      <c r="N1160">
        <v>0</v>
      </c>
      <c r="O1160" s="1">
        <v>4236486775076920</v>
      </c>
      <c r="Q1160" t="b">
        <v>0</v>
      </c>
    </row>
    <row r="1161" spans="1:17" x14ac:dyDescent="0.35">
      <c r="A1161" t="s">
        <v>3495</v>
      </c>
      <c r="B1161" t="s">
        <v>18</v>
      </c>
      <c r="C1161" t="s">
        <v>3496</v>
      </c>
      <c r="D1161">
        <v>0</v>
      </c>
      <c r="E1161">
        <v>0</v>
      </c>
      <c r="F1161" t="s">
        <v>20</v>
      </c>
      <c r="G1161">
        <v>0</v>
      </c>
      <c r="H1161">
        <v>0</v>
      </c>
      <c r="I1161">
        <v>0</v>
      </c>
      <c r="J1161">
        <v>0</v>
      </c>
      <c r="K1161" t="s">
        <v>69</v>
      </c>
      <c r="L1161" t="s">
        <v>3492</v>
      </c>
      <c r="M1161">
        <v>0</v>
      </c>
      <c r="N1161">
        <v>0</v>
      </c>
      <c r="O1161" s="1">
        <v>4.236515294965E+16</v>
      </c>
      <c r="Q1161" t="b">
        <v>0</v>
      </c>
    </row>
    <row r="1162" spans="1:17" x14ac:dyDescent="0.35">
      <c r="A1162" t="s">
        <v>3497</v>
      </c>
      <c r="B1162" t="s">
        <v>18</v>
      </c>
      <c r="C1162" t="s">
        <v>3498</v>
      </c>
      <c r="D1162">
        <v>0</v>
      </c>
      <c r="E1162">
        <v>0</v>
      </c>
      <c r="F1162" t="s">
        <v>20</v>
      </c>
      <c r="G1162">
        <v>0</v>
      </c>
      <c r="H1162">
        <v>0</v>
      </c>
      <c r="I1162">
        <v>0</v>
      </c>
      <c r="J1162">
        <v>0</v>
      </c>
      <c r="K1162" t="s">
        <v>69</v>
      </c>
      <c r="L1162" t="s">
        <v>3492</v>
      </c>
      <c r="M1162">
        <v>0</v>
      </c>
      <c r="N1162">
        <v>0</v>
      </c>
      <c r="O1162" s="1">
        <v>4236543814853080</v>
      </c>
      <c r="Q1162" t="b">
        <v>0</v>
      </c>
    </row>
    <row r="1163" spans="1:17" x14ac:dyDescent="0.35">
      <c r="A1163" t="s">
        <v>3499</v>
      </c>
      <c r="B1163" t="s">
        <v>18</v>
      </c>
      <c r="C1163" t="s">
        <v>3500</v>
      </c>
      <c r="D1163">
        <v>0</v>
      </c>
      <c r="E1163">
        <v>0</v>
      </c>
      <c r="F1163" t="s">
        <v>20</v>
      </c>
      <c r="G1163">
        <v>0</v>
      </c>
      <c r="H1163">
        <v>0</v>
      </c>
      <c r="I1163">
        <v>0</v>
      </c>
      <c r="J1163">
        <v>0</v>
      </c>
      <c r="K1163" t="s">
        <v>744</v>
      </c>
      <c r="L1163" t="s">
        <v>3501</v>
      </c>
      <c r="M1163">
        <v>0</v>
      </c>
      <c r="N1163">
        <v>0</v>
      </c>
      <c r="O1163" s="1">
        <v>4236572334741160</v>
      </c>
      <c r="Q1163" t="b">
        <v>0</v>
      </c>
    </row>
    <row r="1164" spans="1:17" x14ac:dyDescent="0.35">
      <c r="A1164" t="s">
        <v>3502</v>
      </c>
      <c r="B1164" t="s">
        <v>18</v>
      </c>
      <c r="C1164" t="s">
        <v>3503</v>
      </c>
      <c r="D1164">
        <v>0</v>
      </c>
      <c r="E1164">
        <v>0</v>
      </c>
      <c r="F1164" t="s">
        <v>20</v>
      </c>
      <c r="G1164">
        <v>0</v>
      </c>
      <c r="H1164">
        <v>0</v>
      </c>
      <c r="I1164">
        <v>0</v>
      </c>
      <c r="J1164">
        <v>0</v>
      </c>
      <c r="K1164" t="s">
        <v>744</v>
      </c>
      <c r="L1164" t="s">
        <v>3501</v>
      </c>
      <c r="M1164">
        <v>0</v>
      </c>
      <c r="N1164">
        <v>0</v>
      </c>
      <c r="O1164" s="1">
        <v>4.23660085462924E+16</v>
      </c>
      <c r="Q1164" t="b">
        <v>0</v>
      </c>
    </row>
    <row r="1165" spans="1:17" x14ac:dyDescent="0.35">
      <c r="A1165" t="s">
        <v>3504</v>
      </c>
      <c r="B1165" t="s">
        <v>18</v>
      </c>
      <c r="C1165" t="s">
        <v>3505</v>
      </c>
      <c r="D1165">
        <v>0</v>
      </c>
      <c r="E1165">
        <v>0</v>
      </c>
      <c r="F1165" t="s">
        <v>20</v>
      </c>
      <c r="G1165">
        <v>0</v>
      </c>
      <c r="H1165">
        <v>0</v>
      </c>
      <c r="I1165">
        <v>0</v>
      </c>
      <c r="J1165">
        <v>0</v>
      </c>
      <c r="K1165" t="s">
        <v>744</v>
      </c>
      <c r="L1165" t="s">
        <v>3501</v>
      </c>
      <c r="M1165">
        <v>0</v>
      </c>
      <c r="N1165">
        <v>0</v>
      </c>
      <c r="O1165" s="1">
        <v>4236629374517320</v>
      </c>
      <c r="Q1165" t="b">
        <v>0</v>
      </c>
    </row>
    <row r="1166" spans="1:17" x14ac:dyDescent="0.35">
      <c r="A1166" t="s">
        <v>3506</v>
      </c>
      <c r="B1166" t="s">
        <v>18</v>
      </c>
      <c r="C1166" t="s">
        <v>3507</v>
      </c>
      <c r="D1166">
        <v>0</v>
      </c>
      <c r="E1166">
        <v>0</v>
      </c>
      <c r="F1166" t="s">
        <v>20</v>
      </c>
      <c r="G1166">
        <v>0</v>
      </c>
      <c r="H1166">
        <v>0</v>
      </c>
      <c r="I1166">
        <v>0</v>
      </c>
      <c r="J1166">
        <v>0</v>
      </c>
      <c r="K1166" t="s">
        <v>744</v>
      </c>
      <c r="L1166" t="s">
        <v>3501</v>
      </c>
      <c r="M1166">
        <v>0</v>
      </c>
      <c r="N1166">
        <v>0</v>
      </c>
      <c r="O1166" s="1">
        <v>423665789440541</v>
      </c>
      <c r="Q1166" t="b">
        <v>0</v>
      </c>
    </row>
    <row r="1167" spans="1:17" x14ac:dyDescent="0.35">
      <c r="A1167" t="s">
        <v>3508</v>
      </c>
      <c r="B1167" t="s">
        <v>18</v>
      </c>
      <c r="C1167" t="s">
        <v>3509</v>
      </c>
      <c r="D1167">
        <v>0</v>
      </c>
      <c r="E1167">
        <v>0</v>
      </c>
      <c r="F1167" t="s">
        <v>20</v>
      </c>
      <c r="G1167">
        <v>0</v>
      </c>
      <c r="H1167">
        <v>0</v>
      </c>
      <c r="I1167">
        <v>0</v>
      </c>
      <c r="J1167">
        <v>0</v>
      </c>
      <c r="K1167" t="s">
        <v>633</v>
      </c>
      <c r="L1167" t="s">
        <v>3510</v>
      </c>
      <c r="M1167">
        <v>0</v>
      </c>
      <c r="N1167">
        <v>0</v>
      </c>
      <c r="O1167" s="1">
        <v>4236686414293490</v>
      </c>
      <c r="Q1167" t="b">
        <v>0</v>
      </c>
    </row>
    <row r="1168" spans="1:17" x14ac:dyDescent="0.35">
      <c r="A1168" t="s">
        <v>3511</v>
      </c>
      <c r="B1168" t="s">
        <v>18</v>
      </c>
      <c r="C1168" t="s">
        <v>3512</v>
      </c>
      <c r="D1168">
        <v>0</v>
      </c>
      <c r="E1168">
        <v>0</v>
      </c>
      <c r="F1168" t="s">
        <v>20</v>
      </c>
      <c r="G1168">
        <v>0</v>
      </c>
      <c r="H1168">
        <v>0</v>
      </c>
      <c r="I1168">
        <v>0</v>
      </c>
      <c r="J1168">
        <v>0</v>
      </c>
      <c r="K1168" t="s">
        <v>633</v>
      </c>
      <c r="L1168" t="s">
        <v>3510</v>
      </c>
      <c r="M1168">
        <v>0</v>
      </c>
      <c r="N1168">
        <v>0</v>
      </c>
      <c r="O1168" s="1">
        <v>4236714934181570</v>
      </c>
      <c r="Q1168" t="b">
        <v>0</v>
      </c>
    </row>
    <row r="1169" spans="1:17" x14ac:dyDescent="0.35">
      <c r="A1169" t="s">
        <v>3513</v>
      </c>
      <c r="B1169" t="s">
        <v>18</v>
      </c>
      <c r="C1169" t="s">
        <v>3514</v>
      </c>
      <c r="D1169">
        <v>0</v>
      </c>
      <c r="E1169">
        <v>0</v>
      </c>
      <c r="F1169" t="s">
        <v>20</v>
      </c>
      <c r="G1169">
        <v>0</v>
      </c>
      <c r="H1169">
        <v>0</v>
      </c>
      <c r="I1169">
        <v>0</v>
      </c>
      <c r="J1169">
        <v>0</v>
      </c>
      <c r="K1169" t="s">
        <v>633</v>
      </c>
      <c r="L1169" t="s">
        <v>3510</v>
      </c>
      <c r="M1169">
        <v>0</v>
      </c>
      <c r="N1169">
        <v>0</v>
      </c>
      <c r="O1169" s="1">
        <v>4236743454069650</v>
      </c>
      <c r="Q1169" t="b">
        <v>0</v>
      </c>
    </row>
    <row r="1170" spans="1:17" x14ac:dyDescent="0.35">
      <c r="A1170" t="s">
        <v>3515</v>
      </c>
      <c r="B1170" t="s">
        <v>18</v>
      </c>
      <c r="C1170" t="s">
        <v>3516</v>
      </c>
      <c r="D1170">
        <v>0</v>
      </c>
      <c r="E1170">
        <v>0</v>
      </c>
      <c r="F1170" t="s">
        <v>20</v>
      </c>
      <c r="G1170">
        <v>0</v>
      </c>
      <c r="H1170">
        <v>0</v>
      </c>
      <c r="I1170">
        <v>0</v>
      </c>
      <c r="J1170">
        <v>0</v>
      </c>
      <c r="K1170" t="s">
        <v>633</v>
      </c>
      <c r="L1170" t="s">
        <v>3510</v>
      </c>
      <c r="M1170">
        <v>0</v>
      </c>
      <c r="N1170">
        <v>0</v>
      </c>
      <c r="O1170" s="1">
        <v>4236771973957730</v>
      </c>
      <c r="Q1170" t="b">
        <v>0</v>
      </c>
    </row>
    <row r="1171" spans="1:17" x14ac:dyDescent="0.35">
      <c r="A1171" t="s">
        <v>3517</v>
      </c>
      <c r="B1171" t="s">
        <v>18</v>
      </c>
      <c r="C1171" t="s">
        <v>3518</v>
      </c>
      <c r="D1171">
        <v>0</v>
      </c>
      <c r="E1171">
        <v>0</v>
      </c>
      <c r="F1171" t="s">
        <v>20</v>
      </c>
      <c r="G1171">
        <v>0</v>
      </c>
      <c r="H1171">
        <v>0</v>
      </c>
      <c r="I1171">
        <v>0</v>
      </c>
      <c r="J1171">
        <v>0</v>
      </c>
      <c r="K1171" t="s">
        <v>633</v>
      </c>
      <c r="L1171" s="1">
        <v>2.41199999999999E+16</v>
      </c>
      <c r="M1171">
        <v>0</v>
      </c>
      <c r="N1171">
        <v>0</v>
      </c>
      <c r="O1171" s="1">
        <v>4236800493845810</v>
      </c>
      <c r="Q1171" t="b">
        <v>0</v>
      </c>
    </row>
    <row r="1172" spans="1:17" x14ac:dyDescent="0.35">
      <c r="A1172" t="s">
        <v>3519</v>
      </c>
      <c r="B1172" t="s">
        <v>18</v>
      </c>
      <c r="C1172" t="s">
        <v>3520</v>
      </c>
      <c r="D1172">
        <v>0</v>
      </c>
      <c r="E1172">
        <v>0</v>
      </c>
      <c r="F1172" t="s">
        <v>20</v>
      </c>
      <c r="G1172">
        <v>0</v>
      </c>
      <c r="H1172">
        <v>0</v>
      </c>
      <c r="I1172">
        <v>0</v>
      </c>
      <c r="J1172">
        <v>0</v>
      </c>
      <c r="K1172" t="s">
        <v>633</v>
      </c>
      <c r="L1172" s="1">
        <v>2.41199999999999E+16</v>
      </c>
      <c r="M1172">
        <v>0</v>
      </c>
      <c r="N1172">
        <v>0</v>
      </c>
      <c r="O1172" s="1">
        <v>42368290137339</v>
      </c>
      <c r="Q1172" t="b">
        <v>0</v>
      </c>
    </row>
    <row r="1173" spans="1:17" x14ac:dyDescent="0.35">
      <c r="A1173" t="s">
        <v>3521</v>
      </c>
      <c r="B1173" t="s">
        <v>18</v>
      </c>
      <c r="C1173" t="s">
        <v>3522</v>
      </c>
      <c r="D1173">
        <v>0</v>
      </c>
      <c r="E1173">
        <v>0</v>
      </c>
      <c r="F1173" t="s">
        <v>20</v>
      </c>
      <c r="G1173">
        <v>0</v>
      </c>
      <c r="H1173">
        <v>0</v>
      </c>
      <c r="I1173">
        <v>0</v>
      </c>
      <c r="J1173">
        <v>0</v>
      </c>
      <c r="K1173" t="s">
        <v>633</v>
      </c>
      <c r="L1173" s="1">
        <v>2.41199999999999E+16</v>
      </c>
      <c r="M1173">
        <v>0</v>
      </c>
      <c r="N1173">
        <v>0</v>
      </c>
      <c r="O1173" s="1">
        <v>4236857533621980</v>
      </c>
      <c r="Q1173" t="b">
        <v>0</v>
      </c>
    </row>
    <row r="1174" spans="1:17" x14ac:dyDescent="0.35">
      <c r="A1174" t="s">
        <v>3523</v>
      </c>
      <c r="B1174" t="s">
        <v>18</v>
      </c>
      <c r="C1174" t="s">
        <v>3524</v>
      </c>
      <c r="D1174">
        <v>0</v>
      </c>
      <c r="E1174">
        <v>0</v>
      </c>
      <c r="F1174" t="s">
        <v>20</v>
      </c>
      <c r="G1174">
        <v>0</v>
      </c>
      <c r="H1174">
        <v>0</v>
      </c>
      <c r="I1174">
        <v>0</v>
      </c>
      <c r="J1174">
        <v>0</v>
      </c>
      <c r="K1174" t="s">
        <v>633</v>
      </c>
      <c r="L1174" s="1">
        <v>2.41199999999999E+16</v>
      </c>
      <c r="M1174">
        <v>0</v>
      </c>
      <c r="N1174">
        <v>0</v>
      </c>
      <c r="O1174" s="1">
        <v>4236886053510060</v>
      </c>
      <c r="Q1174" t="b">
        <v>0</v>
      </c>
    </row>
    <row r="1175" spans="1:17" x14ac:dyDescent="0.35">
      <c r="A1175" t="s">
        <v>3525</v>
      </c>
      <c r="B1175" t="s">
        <v>18</v>
      </c>
      <c r="C1175" t="s">
        <v>3526</v>
      </c>
      <c r="D1175">
        <v>0</v>
      </c>
      <c r="E1175">
        <v>0</v>
      </c>
      <c r="F1175" t="s">
        <v>20</v>
      </c>
      <c r="G1175">
        <v>0</v>
      </c>
      <c r="H1175">
        <v>0</v>
      </c>
      <c r="I1175">
        <v>0</v>
      </c>
      <c r="J1175">
        <v>0</v>
      </c>
      <c r="K1175" t="s">
        <v>3527</v>
      </c>
      <c r="L1175" t="s">
        <v>3528</v>
      </c>
      <c r="M1175">
        <v>0</v>
      </c>
      <c r="N1175">
        <v>0</v>
      </c>
      <c r="O1175" s="1">
        <v>4236914573398140</v>
      </c>
      <c r="Q1175" t="b">
        <v>0</v>
      </c>
    </row>
    <row r="1176" spans="1:17" x14ac:dyDescent="0.35">
      <c r="A1176" t="s">
        <v>3529</v>
      </c>
      <c r="B1176" t="s">
        <v>18</v>
      </c>
      <c r="C1176" t="s">
        <v>3530</v>
      </c>
      <c r="D1176">
        <v>0</v>
      </c>
      <c r="E1176">
        <v>0</v>
      </c>
      <c r="F1176" t="s">
        <v>20</v>
      </c>
      <c r="G1176">
        <v>0</v>
      </c>
      <c r="H1176">
        <v>0</v>
      </c>
      <c r="I1176">
        <v>0</v>
      </c>
      <c r="J1176">
        <v>0</v>
      </c>
      <c r="K1176" t="s">
        <v>3527</v>
      </c>
      <c r="L1176" t="s">
        <v>3528</v>
      </c>
      <c r="M1176">
        <v>0</v>
      </c>
      <c r="N1176">
        <v>0</v>
      </c>
      <c r="O1176" s="1">
        <v>4236943093286220</v>
      </c>
      <c r="Q1176" t="b">
        <v>0</v>
      </c>
    </row>
    <row r="1177" spans="1:17" x14ac:dyDescent="0.35">
      <c r="A1177" t="s">
        <v>3531</v>
      </c>
      <c r="B1177" t="s">
        <v>18</v>
      </c>
      <c r="C1177" t="s">
        <v>3532</v>
      </c>
      <c r="D1177">
        <v>0</v>
      </c>
      <c r="E1177">
        <v>0</v>
      </c>
      <c r="F1177" t="s">
        <v>20</v>
      </c>
      <c r="G1177">
        <v>0</v>
      </c>
      <c r="H1177">
        <v>0</v>
      </c>
      <c r="I1177">
        <v>0</v>
      </c>
      <c r="J1177">
        <v>0</v>
      </c>
      <c r="K1177" t="s">
        <v>3527</v>
      </c>
      <c r="L1177" t="s">
        <v>3528</v>
      </c>
      <c r="M1177">
        <v>0</v>
      </c>
      <c r="N1177">
        <v>0</v>
      </c>
      <c r="O1177" s="1">
        <v>4236971613174300</v>
      </c>
      <c r="Q1177" t="b">
        <v>0</v>
      </c>
    </row>
    <row r="1178" spans="1:17" x14ac:dyDescent="0.35">
      <c r="A1178" t="s">
        <v>3533</v>
      </c>
      <c r="B1178" t="s">
        <v>18</v>
      </c>
      <c r="C1178" t="s">
        <v>3534</v>
      </c>
      <c r="D1178">
        <v>0</v>
      </c>
      <c r="E1178">
        <v>0</v>
      </c>
      <c r="F1178" t="s">
        <v>20</v>
      </c>
      <c r="G1178">
        <v>0</v>
      </c>
      <c r="H1178">
        <v>0</v>
      </c>
      <c r="I1178">
        <v>0</v>
      </c>
      <c r="J1178">
        <v>0</v>
      </c>
      <c r="K1178" t="s">
        <v>3527</v>
      </c>
      <c r="L1178" t="s">
        <v>3528</v>
      </c>
      <c r="M1178">
        <v>0</v>
      </c>
      <c r="N1178">
        <v>0</v>
      </c>
      <c r="O1178" s="1">
        <v>423700013306239</v>
      </c>
      <c r="Q1178" t="b">
        <v>0</v>
      </c>
    </row>
    <row r="1179" spans="1:17" x14ac:dyDescent="0.35">
      <c r="A1179" t="s">
        <v>3535</v>
      </c>
      <c r="B1179" t="s">
        <v>18</v>
      </c>
      <c r="C1179" t="s">
        <v>3536</v>
      </c>
      <c r="D1179">
        <v>0</v>
      </c>
      <c r="E1179">
        <v>0</v>
      </c>
      <c r="F1179" t="s">
        <v>20</v>
      </c>
      <c r="G1179">
        <v>0</v>
      </c>
      <c r="H1179">
        <v>0</v>
      </c>
      <c r="I1179">
        <v>0</v>
      </c>
      <c r="J1179">
        <v>0</v>
      </c>
      <c r="K1179" t="s">
        <v>250</v>
      </c>
      <c r="L1179" t="s">
        <v>3537</v>
      </c>
      <c r="M1179">
        <v>0</v>
      </c>
      <c r="N1179">
        <v>0</v>
      </c>
      <c r="O1179" s="1">
        <v>4237028652950470</v>
      </c>
      <c r="Q1179" t="b">
        <v>0</v>
      </c>
    </row>
    <row r="1180" spans="1:17" x14ac:dyDescent="0.35">
      <c r="A1180" t="s">
        <v>3538</v>
      </c>
      <c r="B1180" t="s">
        <v>18</v>
      </c>
      <c r="C1180" t="s">
        <v>3539</v>
      </c>
      <c r="D1180">
        <v>0</v>
      </c>
      <c r="E1180">
        <v>0</v>
      </c>
      <c r="F1180" t="s">
        <v>20</v>
      </c>
      <c r="G1180">
        <v>0</v>
      </c>
      <c r="H1180">
        <v>0</v>
      </c>
      <c r="I1180">
        <v>0</v>
      </c>
      <c r="J1180">
        <v>0</v>
      </c>
      <c r="K1180" t="s">
        <v>250</v>
      </c>
      <c r="L1180" t="s">
        <v>3537</v>
      </c>
      <c r="M1180">
        <v>0</v>
      </c>
      <c r="N1180">
        <v>0</v>
      </c>
      <c r="O1180" s="1">
        <v>4237057172838550</v>
      </c>
      <c r="Q1180" t="b">
        <v>0</v>
      </c>
    </row>
    <row r="1181" spans="1:17" x14ac:dyDescent="0.35">
      <c r="A1181" t="s">
        <v>3540</v>
      </c>
      <c r="B1181" t="s">
        <v>18</v>
      </c>
      <c r="C1181" t="s">
        <v>3541</v>
      </c>
      <c r="D1181">
        <v>0</v>
      </c>
      <c r="E1181">
        <v>0</v>
      </c>
      <c r="F1181" t="s">
        <v>20</v>
      </c>
      <c r="G1181">
        <v>0</v>
      </c>
      <c r="H1181">
        <v>0</v>
      </c>
      <c r="I1181">
        <v>0</v>
      </c>
      <c r="J1181">
        <v>0</v>
      </c>
      <c r="K1181" t="s">
        <v>250</v>
      </c>
      <c r="L1181" t="s">
        <v>3537</v>
      </c>
      <c r="M1181">
        <v>0</v>
      </c>
      <c r="N1181">
        <v>0</v>
      </c>
      <c r="O1181" s="1">
        <v>4237085692726630</v>
      </c>
      <c r="Q1181" t="b">
        <v>0</v>
      </c>
    </row>
    <row r="1182" spans="1:17" x14ac:dyDescent="0.35">
      <c r="A1182" t="s">
        <v>3542</v>
      </c>
      <c r="B1182" t="s">
        <v>18</v>
      </c>
      <c r="C1182" t="s">
        <v>3543</v>
      </c>
      <c r="D1182">
        <v>0</v>
      </c>
      <c r="E1182">
        <v>0</v>
      </c>
      <c r="F1182" t="s">
        <v>20</v>
      </c>
      <c r="G1182">
        <v>0</v>
      </c>
      <c r="H1182">
        <v>0</v>
      </c>
      <c r="I1182">
        <v>0</v>
      </c>
      <c r="J1182">
        <v>0</v>
      </c>
      <c r="K1182" t="s">
        <v>250</v>
      </c>
      <c r="L1182" t="s">
        <v>3537</v>
      </c>
      <c r="M1182">
        <v>0</v>
      </c>
      <c r="N1182">
        <v>0</v>
      </c>
      <c r="O1182" s="1">
        <v>4237114212614710</v>
      </c>
      <c r="Q1182" t="b">
        <v>0</v>
      </c>
    </row>
    <row r="1183" spans="1:17" x14ac:dyDescent="0.35">
      <c r="A1183" t="s">
        <v>3544</v>
      </c>
      <c r="B1183" t="s">
        <v>18</v>
      </c>
      <c r="C1183" t="s">
        <v>3545</v>
      </c>
      <c r="D1183">
        <v>0</v>
      </c>
      <c r="E1183">
        <v>0</v>
      </c>
      <c r="F1183" t="s">
        <v>20</v>
      </c>
      <c r="G1183">
        <v>0</v>
      </c>
      <c r="H1183">
        <v>0</v>
      </c>
      <c r="I1183">
        <v>0</v>
      </c>
      <c r="J1183">
        <v>0</v>
      </c>
      <c r="K1183" t="s">
        <v>128</v>
      </c>
      <c r="L1183" s="1">
        <v>1.44E+16</v>
      </c>
      <c r="M1183">
        <v>0</v>
      </c>
      <c r="N1183">
        <v>0</v>
      </c>
      <c r="O1183" s="1">
        <v>4.2371427325027904E+16</v>
      </c>
      <c r="Q1183" t="b">
        <v>0</v>
      </c>
    </row>
    <row r="1184" spans="1:17" x14ac:dyDescent="0.35">
      <c r="A1184" t="s">
        <v>3546</v>
      </c>
      <c r="B1184" t="s">
        <v>18</v>
      </c>
      <c r="C1184" t="s">
        <v>3547</v>
      </c>
      <c r="D1184">
        <v>0</v>
      </c>
      <c r="E1184">
        <v>0</v>
      </c>
      <c r="F1184" t="s">
        <v>20</v>
      </c>
      <c r="G1184">
        <v>0</v>
      </c>
      <c r="H1184">
        <v>0</v>
      </c>
      <c r="I1184">
        <v>0</v>
      </c>
      <c r="J1184">
        <v>0</v>
      </c>
      <c r="K1184" t="s">
        <v>128</v>
      </c>
      <c r="L1184" s="1">
        <v>1.44E+16</v>
      </c>
      <c r="M1184">
        <v>0</v>
      </c>
      <c r="N1184">
        <v>0</v>
      </c>
      <c r="O1184" s="1">
        <v>4237171252390870</v>
      </c>
      <c r="Q1184" t="b">
        <v>0</v>
      </c>
    </row>
    <row r="1185" spans="1:17" x14ac:dyDescent="0.35">
      <c r="A1185" t="s">
        <v>3548</v>
      </c>
      <c r="B1185" t="s">
        <v>18</v>
      </c>
      <c r="C1185" t="s">
        <v>3549</v>
      </c>
      <c r="D1185">
        <v>0</v>
      </c>
      <c r="E1185">
        <v>0</v>
      </c>
      <c r="F1185" t="s">
        <v>20</v>
      </c>
      <c r="G1185">
        <v>0</v>
      </c>
      <c r="H1185">
        <v>0</v>
      </c>
      <c r="I1185">
        <v>0</v>
      </c>
      <c r="J1185">
        <v>0</v>
      </c>
      <c r="K1185" t="s">
        <v>128</v>
      </c>
      <c r="L1185" s="1">
        <v>1.44E+16</v>
      </c>
      <c r="M1185">
        <v>0</v>
      </c>
      <c r="N1185">
        <v>0</v>
      </c>
      <c r="O1185" s="1">
        <v>423719977227896</v>
      </c>
      <c r="Q1185" t="b">
        <v>0</v>
      </c>
    </row>
    <row r="1186" spans="1:17" x14ac:dyDescent="0.35">
      <c r="A1186" t="s">
        <v>3550</v>
      </c>
      <c r="B1186" t="s">
        <v>18</v>
      </c>
      <c r="C1186" t="s">
        <v>3551</v>
      </c>
      <c r="D1186">
        <v>0</v>
      </c>
      <c r="E1186">
        <v>0</v>
      </c>
      <c r="F1186" t="s">
        <v>20</v>
      </c>
      <c r="G1186">
        <v>0</v>
      </c>
      <c r="H1186">
        <v>0</v>
      </c>
      <c r="I1186">
        <v>0</v>
      </c>
      <c r="J1186">
        <v>0</v>
      </c>
      <c r="K1186" t="s">
        <v>128</v>
      </c>
      <c r="L1186" s="1">
        <v>1.44E+16</v>
      </c>
      <c r="M1186">
        <v>0</v>
      </c>
      <c r="N1186">
        <v>0</v>
      </c>
      <c r="O1186" s="1">
        <v>4237228292167040</v>
      </c>
      <c r="Q1186" t="b">
        <v>0</v>
      </c>
    </row>
    <row r="1187" spans="1:17" x14ac:dyDescent="0.35">
      <c r="A1187" t="s">
        <v>3552</v>
      </c>
      <c r="B1187" t="s">
        <v>18</v>
      </c>
      <c r="C1187" t="s">
        <v>3553</v>
      </c>
      <c r="D1187">
        <v>0</v>
      </c>
      <c r="E1187">
        <v>0</v>
      </c>
      <c r="F1187" t="s">
        <v>20</v>
      </c>
      <c r="G1187">
        <v>0</v>
      </c>
      <c r="H1187">
        <v>0</v>
      </c>
      <c r="I1187">
        <v>0</v>
      </c>
      <c r="J1187">
        <v>0</v>
      </c>
      <c r="K1187" t="s">
        <v>602</v>
      </c>
      <c r="L1187" t="s">
        <v>132</v>
      </c>
      <c r="M1187">
        <v>0</v>
      </c>
      <c r="N1187">
        <v>0</v>
      </c>
      <c r="O1187" s="1">
        <v>4237256812055120</v>
      </c>
      <c r="Q1187" t="b">
        <v>0</v>
      </c>
    </row>
    <row r="1188" spans="1:17" x14ac:dyDescent="0.35">
      <c r="A1188" t="s">
        <v>3554</v>
      </c>
      <c r="B1188" t="s">
        <v>18</v>
      </c>
      <c r="C1188" t="s">
        <v>3555</v>
      </c>
      <c r="D1188">
        <v>0</v>
      </c>
      <c r="E1188">
        <v>0</v>
      </c>
      <c r="F1188" t="s">
        <v>20</v>
      </c>
      <c r="G1188">
        <v>0</v>
      </c>
      <c r="H1188">
        <v>0</v>
      </c>
      <c r="I1188">
        <v>0</v>
      </c>
      <c r="J1188">
        <v>0</v>
      </c>
      <c r="K1188" t="s">
        <v>602</v>
      </c>
      <c r="L1188" t="s">
        <v>132</v>
      </c>
      <c r="M1188">
        <v>0</v>
      </c>
      <c r="N1188">
        <v>0</v>
      </c>
      <c r="O1188" s="1">
        <v>4237285331943200</v>
      </c>
      <c r="Q1188" t="b">
        <v>0</v>
      </c>
    </row>
    <row r="1189" spans="1:17" x14ac:dyDescent="0.35">
      <c r="A1189" t="s">
        <v>3556</v>
      </c>
      <c r="B1189" t="s">
        <v>18</v>
      </c>
      <c r="C1189" t="s">
        <v>3557</v>
      </c>
      <c r="D1189">
        <v>0</v>
      </c>
      <c r="E1189">
        <v>0</v>
      </c>
      <c r="F1189" t="s">
        <v>20</v>
      </c>
      <c r="G1189">
        <v>0</v>
      </c>
      <c r="H1189">
        <v>0</v>
      </c>
      <c r="I1189">
        <v>0</v>
      </c>
      <c r="J1189">
        <v>0</v>
      </c>
      <c r="K1189" t="s">
        <v>602</v>
      </c>
      <c r="L1189" t="s">
        <v>132</v>
      </c>
      <c r="M1189">
        <v>0</v>
      </c>
      <c r="N1189">
        <v>0</v>
      </c>
      <c r="O1189" s="1">
        <v>4237313851831280</v>
      </c>
      <c r="Q1189" t="b">
        <v>0</v>
      </c>
    </row>
    <row r="1190" spans="1:17" x14ac:dyDescent="0.35">
      <c r="A1190" t="s">
        <v>3558</v>
      </c>
      <c r="B1190" t="s">
        <v>18</v>
      </c>
      <c r="C1190" t="s">
        <v>3559</v>
      </c>
      <c r="D1190">
        <v>0</v>
      </c>
      <c r="E1190">
        <v>0</v>
      </c>
      <c r="F1190" t="s">
        <v>20</v>
      </c>
      <c r="G1190">
        <v>0</v>
      </c>
      <c r="H1190">
        <v>0</v>
      </c>
      <c r="I1190">
        <v>0</v>
      </c>
      <c r="J1190">
        <v>0</v>
      </c>
      <c r="K1190" t="s">
        <v>602</v>
      </c>
      <c r="L1190" t="s">
        <v>132</v>
      </c>
      <c r="M1190">
        <v>0</v>
      </c>
      <c r="N1190">
        <v>0</v>
      </c>
      <c r="O1190" s="1">
        <v>4237342371719360</v>
      </c>
      <c r="Q1190" t="b">
        <v>0</v>
      </c>
    </row>
    <row r="1191" spans="1:17" x14ac:dyDescent="0.35">
      <c r="A1191" t="s">
        <v>3560</v>
      </c>
      <c r="B1191" t="s">
        <v>18</v>
      </c>
      <c r="C1191" t="s">
        <v>3561</v>
      </c>
      <c r="D1191">
        <v>0</v>
      </c>
      <c r="E1191">
        <v>0</v>
      </c>
      <c r="F1191" t="s">
        <v>20</v>
      </c>
      <c r="G1191">
        <v>0</v>
      </c>
      <c r="H1191">
        <v>0</v>
      </c>
      <c r="I1191">
        <v>0</v>
      </c>
      <c r="J1191">
        <v>0</v>
      </c>
      <c r="K1191" t="s">
        <v>220</v>
      </c>
      <c r="L1191" t="s">
        <v>548</v>
      </c>
      <c r="M1191">
        <v>0</v>
      </c>
      <c r="N1191">
        <v>0</v>
      </c>
      <c r="O1191" s="1">
        <v>4.23737089160744E+16</v>
      </c>
      <c r="Q1191" t="b">
        <v>0</v>
      </c>
    </row>
    <row r="1192" spans="1:17" x14ac:dyDescent="0.35">
      <c r="A1192" t="s">
        <v>3562</v>
      </c>
      <c r="B1192" t="s">
        <v>18</v>
      </c>
      <c r="C1192" t="s">
        <v>3563</v>
      </c>
      <c r="D1192">
        <v>0</v>
      </c>
      <c r="E1192">
        <v>0</v>
      </c>
      <c r="F1192" t="s">
        <v>20</v>
      </c>
      <c r="G1192">
        <v>0</v>
      </c>
      <c r="H1192">
        <v>0</v>
      </c>
      <c r="I1192">
        <v>0</v>
      </c>
      <c r="J1192">
        <v>0</v>
      </c>
      <c r="K1192" t="s">
        <v>220</v>
      </c>
      <c r="L1192" t="s">
        <v>548</v>
      </c>
      <c r="M1192">
        <v>0</v>
      </c>
      <c r="N1192">
        <v>0</v>
      </c>
      <c r="O1192" s="1">
        <v>4237399411495530</v>
      </c>
      <c r="Q1192" t="b">
        <v>0</v>
      </c>
    </row>
    <row r="1193" spans="1:17" x14ac:dyDescent="0.35">
      <c r="A1193" t="s">
        <v>3564</v>
      </c>
      <c r="B1193" t="s">
        <v>18</v>
      </c>
      <c r="C1193" t="s">
        <v>3565</v>
      </c>
      <c r="D1193">
        <v>0</v>
      </c>
      <c r="E1193">
        <v>0</v>
      </c>
      <c r="F1193" t="s">
        <v>20</v>
      </c>
      <c r="G1193">
        <v>0</v>
      </c>
      <c r="H1193">
        <v>0</v>
      </c>
      <c r="I1193">
        <v>0</v>
      </c>
      <c r="J1193">
        <v>0</v>
      </c>
      <c r="K1193" t="s">
        <v>220</v>
      </c>
      <c r="L1193" t="s">
        <v>548</v>
      </c>
      <c r="M1193">
        <v>0</v>
      </c>
      <c r="N1193">
        <v>0</v>
      </c>
      <c r="O1193" s="1">
        <v>4237427931383610</v>
      </c>
      <c r="Q1193" t="b">
        <v>0</v>
      </c>
    </row>
    <row r="1194" spans="1:17" x14ac:dyDescent="0.35">
      <c r="A1194" t="s">
        <v>3566</v>
      </c>
      <c r="B1194" t="s">
        <v>18</v>
      </c>
      <c r="C1194" t="s">
        <v>3567</v>
      </c>
      <c r="D1194">
        <v>0</v>
      </c>
      <c r="E1194">
        <v>0</v>
      </c>
      <c r="F1194" t="s">
        <v>20</v>
      </c>
      <c r="G1194">
        <v>0</v>
      </c>
      <c r="H1194">
        <v>0</v>
      </c>
      <c r="I1194">
        <v>0</v>
      </c>
      <c r="J1194">
        <v>0</v>
      </c>
      <c r="K1194" t="s">
        <v>220</v>
      </c>
      <c r="L1194" t="s">
        <v>548</v>
      </c>
      <c r="M1194">
        <v>0</v>
      </c>
      <c r="N1194">
        <v>0</v>
      </c>
      <c r="O1194" s="1">
        <v>4237456451271690</v>
      </c>
      <c r="Q1194" t="b">
        <v>0</v>
      </c>
    </row>
    <row r="1195" spans="1:17" x14ac:dyDescent="0.35">
      <c r="A1195" t="s">
        <v>3568</v>
      </c>
      <c r="B1195" t="s">
        <v>18</v>
      </c>
      <c r="C1195" t="s">
        <v>3569</v>
      </c>
      <c r="D1195">
        <v>0</v>
      </c>
      <c r="E1195">
        <v>0</v>
      </c>
      <c r="F1195" t="s">
        <v>20</v>
      </c>
      <c r="G1195">
        <v>0</v>
      </c>
      <c r="H1195">
        <v>0</v>
      </c>
      <c r="I1195">
        <v>0</v>
      </c>
      <c r="J1195">
        <v>0</v>
      </c>
      <c r="K1195" t="s">
        <v>167</v>
      </c>
      <c r="L1195" t="s">
        <v>575</v>
      </c>
      <c r="M1195">
        <v>0</v>
      </c>
      <c r="N1195">
        <v>0</v>
      </c>
      <c r="O1195" s="1">
        <v>4237484971159770</v>
      </c>
      <c r="Q1195" t="b">
        <v>0</v>
      </c>
    </row>
    <row r="1196" spans="1:17" x14ac:dyDescent="0.35">
      <c r="A1196" t="s">
        <v>3570</v>
      </c>
      <c r="B1196" t="s">
        <v>18</v>
      </c>
      <c r="C1196" t="s">
        <v>3571</v>
      </c>
      <c r="D1196">
        <v>0</v>
      </c>
      <c r="E1196">
        <v>0</v>
      </c>
      <c r="F1196" t="s">
        <v>20</v>
      </c>
      <c r="G1196">
        <v>0</v>
      </c>
      <c r="H1196">
        <v>0</v>
      </c>
      <c r="I1196">
        <v>0</v>
      </c>
      <c r="J1196">
        <v>0</v>
      </c>
      <c r="K1196" t="s">
        <v>167</v>
      </c>
      <c r="L1196" t="s">
        <v>575</v>
      </c>
      <c r="M1196">
        <v>0</v>
      </c>
      <c r="N1196">
        <v>0</v>
      </c>
      <c r="O1196" s="1">
        <v>4237513491047850</v>
      </c>
      <c r="Q1196" t="b">
        <v>0</v>
      </c>
    </row>
    <row r="1197" spans="1:17" x14ac:dyDescent="0.35">
      <c r="A1197" t="s">
        <v>3572</v>
      </c>
      <c r="B1197" t="s">
        <v>18</v>
      </c>
      <c r="C1197" t="s">
        <v>3573</v>
      </c>
      <c r="D1197">
        <v>0</v>
      </c>
      <c r="E1197">
        <v>0</v>
      </c>
      <c r="F1197" t="s">
        <v>20</v>
      </c>
      <c r="G1197">
        <v>0</v>
      </c>
      <c r="H1197">
        <v>0</v>
      </c>
      <c r="I1197">
        <v>0</v>
      </c>
      <c r="J1197">
        <v>0</v>
      </c>
      <c r="K1197" t="s">
        <v>167</v>
      </c>
      <c r="L1197" t="s">
        <v>575</v>
      </c>
      <c r="M1197">
        <v>0</v>
      </c>
      <c r="N1197">
        <v>0</v>
      </c>
      <c r="O1197" s="1">
        <v>423754201093594</v>
      </c>
      <c r="Q1197" t="b">
        <v>0</v>
      </c>
    </row>
    <row r="1198" spans="1:17" x14ac:dyDescent="0.35">
      <c r="A1198" t="s">
        <v>3574</v>
      </c>
      <c r="B1198" t="s">
        <v>18</v>
      </c>
      <c r="C1198" t="s">
        <v>3575</v>
      </c>
      <c r="D1198">
        <v>0</v>
      </c>
      <c r="E1198">
        <v>0</v>
      </c>
      <c r="F1198" t="s">
        <v>20</v>
      </c>
      <c r="G1198">
        <v>0</v>
      </c>
      <c r="H1198">
        <v>0</v>
      </c>
      <c r="I1198">
        <v>0</v>
      </c>
      <c r="J1198">
        <v>0</v>
      </c>
      <c r="K1198" t="s">
        <v>167</v>
      </c>
      <c r="L1198" t="s">
        <v>575</v>
      </c>
      <c r="M1198">
        <v>0</v>
      </c>
      <c r="N1198">
        <v>0</v>
      </c>
      <c r="O1198" s="1">
        <v>4237570530824020</v>
      </c>
      <c r="Q1198" t="b">
        <v>0</v>
      </c>
    </row>
    <row r="1199" spans="1:17" x14ac:dyDescent="0.35">
      <c r="A1199" t="s">
        <v>3576</v>
      </c>
      <c r="B1199" t="s">
        <v>18</v>
      </c>
      <c r="C1199" t="s">
        <v>3577</v>
      </c>
      <c r="D1199">
        <v>0</v>
      </c>
      <c r="E1199">
        <v>0</v>
      </c>
      <c r="F1199" t="s">
        <v>20</v>
      </c>
      <c r="G1199">
        <v>0</v>
      </c>
      <c r="H1199">
        <v>0</v>
      </c>
      <c r="I1199">
        <v>0</v>
      </c>
      <c r="J1199">
        <v>0</v>
      </c>
      <c r="K1199" t="s">
        <v>1946</v>
      </c>
      <c r="L1199" t="s">
        <v>148</v>
      </c>
      <c r="M1199">
        <v>0</v>
      </c>
      <c r="N1199">
        <v>0</v>
      </c>
      <c r="O1199" s="1">
        <v>4237599050712100</v>
      </c>
      <c r="Q1199" t="b">
        <v>0</v>
      </c>
    </row>
    <row r="1200" spans="1:17" x14ac:dyDescent="0.35">
      <c r="A1200" t="s">
        <v>3578</v>
      </c>
      <c r="B1200" t="s">
        <v>18</v>
      </c>
      <c r="C1200" t="s">
        <v>3579</v>
      </c>
      <c r="D1200">
        <v>0</v>
      </c>
      <c r="E1200">
        <v>0</v>
      </c>
      <c r="F1200" t="s">
        <v>20</v>
      </c>
      <c r="G1200">
        <v>0</v>
      </c>
      <c r="H1200">
        <v>0</v>
      </c>
      <c r="I1200">
        <v>0</v>
      </c>
      <c r="J1200">
        <v>0</v>
      </c>
      <c r="K1200" t="s">
        <v>1946</v>
      </c>
      <c r="L1200" t="s">
        <v>148</v>
      </c>
      <c r="M1200">
        <v>0</v>
      </c>
      <c r="N1200">
        <v>0</v>
      </c>
      <c r="O1200" s="1">
        <v>4237627570600180</v>
      </c>
      <c r="Q1200" t="b">
        <v>0</v>
      </c>
    </row>
    <row r="1201" spans="1:17" x14ac:dyDescent="0.35">
      <c r="A1201" t="s">
        <v>3580</v>
      </c>
      <c r="B1201" t="s">
        <v>18</v>
      </c>
      <c r="C1201" t="s">
        <v>3581</v>
      </c>
      <c r="D1201">
        <v>0</v>
      </c>
      <c r="E1201">
        <v>0</v>
      </c>
      <c r="F1201" t="s">
        <v>20</v>
      </c>
      <c r="G1201">
        <v>0</v>
      </c>
      <c r="H1201">
        <v>0</v>
      </c>
      <c r="I1201">
        <v>0</v>
      </c>
      <c r="J1201">
        <v>0</v>
      </c>
      <c r="K1201" t="s">
        <v>1946</v>
      </c>
      <c r="L1201" t="s">
        <v>148</v>
      </c>
      <c r="M1201">
        <v>0</v>
      </c>
      <c r="N1201">
        <v>0</v>
      </c>
      <c r="O1201" s="1">
        <v>4237656090488260</v>
      </c>
      <c r="Q1201" t="b">
        <v>0</v>
      </c>
    </row>
    <row r="1202" spans="1:17" x14ac:dyDescent="0.35">
      <c r="A1202" t="s">
        <v>3582</v>
      </c>
      <c r="B1202" t="s">
        <v>18</v>
      </c>
      <c r="C1202" t="s">
        <v>3583</v>
      </c>
      <c r="D1202">
        <v>0</v>
      </c>
      <c r="E1202">
        <v>0</v>
      </c>
      <c r="F1202" t="s">
        <v>20</v>
      </c>
      <c r="G1202">
        <v>0</v>
      </c>
      <c r="H1202">
        <v>0</v>
      </c>
      <c r="I1202">
        <v>0</v>
      </c>
      <c r="J1202">
        <v>0</v>
      </c>
      <c r="K1202" t="s">
        <v>1946</v>
      </c>
      <c r="L1202" t="s">
        <v>148</v>
      </c>
      <c r="M1202">
        <v>0</v>
      </c>
      <c r="N1202">
        <v>0</v>
      </c>
      <c r="O1202" s="1">
        <v>4.23768461037634E+16</v>
      </c>
      <c r="Q1202" t="b">
        <v>0</v>
      </c>
    </row>
    <row r="1203" spans="1:17" x14ac:dyDescent="0.35">
      <c r="A1203" t="s">
        <v>3584</v>
      </c>
      <c r="B1203" t="s">
        <v>18</v>
      </c>
      <c r="C1203" t="s">
        <v>3585</v>
      </c>
      <c r="D1203">
        <v>0</v>
      </c>
      <c r="E1203">
        <v>0</v>
      </c>
      <c r="F1203" t="s">
        <v>20</v>
      </c>
      <c r="G1203">
        <v>0</v>
      </c>
      <c r="H1203">
        <v>0</v>
      </c>
      <c r="I1203">
        <v>0</v>
      </c>
      <c r="J1203">
        <v>0</v>
      </c>
      <c r="K1203" t="s">
        <v>430</v>
      </c>
      <c r="L1203" t="s">
        <v>3586</v>
      </c>
      <c r="M1203">
        <v>0</v>
      </c>
      <c r="N1203">
        <v>0</v>
      </c>
      <c r="O1203" s="1">
        <v>4237713130264420</v>
      </c>
      <c r="Q1203" t="b">
        <v>0</v>
      </c>
    </row>
    <row r="1204" spans="1:17" x14ac:dyDescent="0.35">
      <c r="A1204" t="s">
        <v>3587</v>
      </c>
      <c r="B1204" t="s">
        <v>18</v>
      </c>
      <c r="C1204" t="s">
        <v>3588</v>
      </c>
      <c r="D1204">
        <v>0</v>
      </c>
      <c r="E1204">
        <v>0</v>
      </c>
      <c r="F1204" t="s">
        <v>20</v>
      </c>
      <c r="G1204">
        <v>0</v>
      </c>
      <c r="H1204">
        <v>0</v>
      </c>
      <c r="I1204">
        <v>0</v>
      </c>
      <c r="J1204">
        <v>0</v>
      </c>
      <c r="K1204" t="s">
        <v>430</v>
      </c>
      <c r="L1204" t="s">
        <v>3586</v>
      </c>
      <c r="M1204">
        <v>0</v>
      </c>
      <c r="N1204">
        <v>0</v>
      </c>
      <c r="O1204" s="1">
        <v>423774165015251</v>
      </c>
      <c r="Q1204" t="b">
        <v>0</v>
      </c>
    </row>
    <row r="1205" spans="1:17" x14ac:dyDescent="0.35">
      <c r="A1205" t="s">
        <v>3589</v>
      </c>
      <c r="B1205" t="s">
        <v>18</v>
      </c>
      <c r="C1205" t="s">
        <v>3590</v>
      </c>
      <c r="D1205">
        <v>0</v>
      </c>
      <c r="E1205">
        <v>0</v>
      </c>
      <c r="F1205" t="s">
        <v>20</v>
      </c>
      <c r="G1205" t="s">
        <v>3591</v>
      </c>
      <c r="H1205">
        <v>0</v>
      </c>
      <c r="I1205">
        <v>0</v>
      </c>
      <c r="J1205">
        <v>0</v>
      </c>
      <c r="K1205" t="s">
        <v>430</v>
      </c>
      <c r="L1205" t="s">
        <v>3586</v>
      </c>
      <c r="M1205">
        <v>0</v>
      </c>
      <c r="N1205">
        <v>0</v>
      </c>
      <c r="O1205" s="1">
        <v>4237770170040590</v>
      </c>
      <c r="Q1205" t="b">
        <v>0</v>
      </c>
    </row>
    <row r="1206" spans="1:17" x14ac:dyDescent="0.35">
      <c r="A1206" t="s">
        <v>3592</v>
      </c>
      <c r="B1206" t="s">
        <v>18</v>
      </c>
      <c r="C1206" t="s">
        <v>3593</v>
      </c>
      <c r="D1206">
        <v>0</v>
      </c>
      <c r="E1206" t="s">
        <v>3594</v>
      </c>
      <c r="F1206" t="s">
        <v>20</v>
      </c>
      <c r="G1206" t="s">
        <v>3595</v>
      </c>
      <c r="H1206">
        <v>0</v>
      </c>
      <c r="I1206">
        <v>0</v>
      </c>
      <c r="J1206">
        <v>0</v>
      </c>
      <c r="K1206" t="s">
        <v>430</v>
      </c>
      <c r="L1206" t="s">
        <v>3586</v>
      </c>
      <c r="M1206">
        <v>0</v>
      </c>
      <c r="N1206">
        <v>0</v>
      </c>
      <c r="O1206" s="1">
        <v>4237798689928670</v>
      </c>
      <c r="Q1206" t="b">
        <v>0</v>
      </c>
    </row>
    <row r="1207" spans="1:17" x14ac:dyDescent="0.35">
      <c r="A1207" t="s">
        <v>3596</v>
      </c>
      <c r="B1207" t="s">
        <v>18</v>
      </c>
      <c r="C1207" t="s">
        <v>3597</v>
      </c>
      <c r="D1207">
        <v>0</v>
      </c>
      <c r="E1207" t="s">
        <v>3598</v>
      </c>
      <c r="F1207" t="s">
        <v>20</v>
      </c>
      <c r="G1207" t="s">
        <v>3599</v>
      </c>
      <c r="H1207" s="1">
        <v>6028333333333330</v>
      </c>
      <c r="I1207">
        <v>0</v>
      </c>
      <c r="J1207" t="s">
        <v>2502</v>
      </c>
      <c r="K1207" t="s">
        <v>3600</v>
      </c>
      <c r="L1207" t="s">
        <v>132</v>
      </c>
      <c r="M1207">
        <v>0</v>
      </c>
      <c r="N1207">
        <v>0</v>
      </c>
      <c r="O1207" s="1">
        <v>4237827209816750</v>
      </c>
      <c r="Q1207" t="b">
        <v>0</v>
      </c>
    </row>
    <row r="1208" spans="1:17" x14ac:dyDescent="0.35">
      <c r="A1208" t="s">
        <v>3601</v>
      </c>
      <c r="B1208" t="s">
        <v>18</v>
      </c>
      <c r="C1208" t="s">
        <v>3602</v>
      </c>
      <c r="D1208">
        <v>0</v>
      </c>
      <c r="E1208" t="s">
        <v>3603</v>
      </c>
      <c r="F1208" t="s">
        <v>20</v>
      </c>
      <c r="G1208" t="s">
        <v>3604</v>
      </c>
      <c r="H1208" s="1">
        <v>6028333333333330</v>
      </c>
      <c r="I1208">
        <v>0</v>
      </c>
      <c r="J1208" t="s">
        <v>2502</v>
      </c>
      <c r="K1208" t="s">
        <v>3600</v>
      </c>
      <c r="L1208" t="s">
        <v>132</v>
      </c>
      <c r="M1208">
        <v>0</v>
      </c>
      <c r="N1208">
        <v>0</v>
      </c>
      <c r="O1208" s="1">
        <v>4237855729704830</v>
      </c>
      <c r="Q1208" t="b">
        <v>0</v>
      </c>
    </row>
    <row r="1209" spans="1:17" x14ac:dyDescent="0.35">
      <c r="A1209" t="s">
        <v>3605</v>
      </c>
      <c r="B1209" t="s">
        <v>18</v>
      </c>
      <c r="C1209" t="s">
        <v>3606</v>
      </c>
      <c r="D1209">
        <v>0</v>
      </c>
      <c r="E1209" t="s">
        <v>3607</v>
      </c>
      <c r="F1209" t="s">
        <v>20</v>
      </c>
      <c r="G1209" t="s">
        <v>3608</v>
      </c>
      <c r="H1209" s="1">
        <v>6028333333333330</v>
      </c>
      <c r="I1209">
        <v>0</v>
      </c>
      <c r="J1209" t="s">
        <v>2502</v>
      </c>
      <c r="K1209" t="s">
        <v>3600</v>
      </c>
      <c r="L1209" t="s">
        <v>132</v>
      </c>
      <c r="M1209">
        <v>0</v>
      </c>
      <c r="N1209">
        <v>0</v>
      </c>
      <c r="O1209" s="1">
        <v>4237884249592910</v>
      </c>
      <c r="Q1209" t="b">
        <v>0</v>
      </c>
    </row>
    <row r="1210" spans="1:17" x14ac:dyDescent="0.35">
      <c r="A1210" t="s">
        <v>3609</v>
      </c>
      <c r="B1210" t="s">
        <v>18</v>
      </c>
      <c r="C1210" t="s">
        <v>3610</v>
      </c>
      <c r="D1210">
        <v>0</v>
      </c>
      <c r="E1210" t="s">
        <v>3611</v>
      </c>
      <c r="F1210" t="s">
        <v>20</v>
      </c>
      <c r="G1210" t="s">
        <v>3612</v>
      </c>
      <c r="H1210" s="1">
        <v>6028333333333330</v>
      </c>
      <c r="I1210">
        <v>0</v>
      </c>
      <c r="J1210" t="s">
        <v>2502</v>
      </c>
      <c r="K1210" t="s">
        <v>3600</v>
      </c>
      <c r="L1210" t="s">
        <v>132</v>
      </c>
      <c r="M1210">
        <v>0</v>
      </c>
      <c r="N1210">
        <v>0</v>
      </c>
      <c r="O1210" s="1">
        <v>4.2379127694809904E+16</v>
      </c>
      <c r="Q1210" t="b">
        <v>0</v>
      </c>
    </row>
    <row r="1211" spans="1:17" x14ac:dyDescent="0.35">
      <c r="A1211" t="s">
        <v>3613</v>
      </c>
      <c r="B1211" t="s">
        <v>18</v>
      </c>
      <c r="C1211" t="s">
        <v>3614</v>
      </c>
      <c r="D1211">
        <v>0</v>
      </c>
      <c r="E1211" t="s">
        <v>3615</v>
      </c>
      <c r="F1211" t="s">
        <v>20</v>
      </c>
      <c r="G1211" t="s">
        <v>3616</v>
      </c>
      <c r="H1211" s="1">
        <v>1.03383333333333E+16</v>
      </c>
      <c r="I1211">
        <v>0</v>
      </c>
      <c r="J1211" t="s">
        <v>2873</v>
      </c>
      <c r="K1211" t="s">
        <v>73</v>
      </c>
      <c r="L1211" t="s">
        <v>373</v>
      </c>
      <c r="M1211">
        <v>0</v>
      </c>
      <c r="N1211">
        <v>0</v>
      </c>
      <c r="O1211" s="1">
        <v>4237941289369080</v>
      </c>
      <c r="Q1211" t="b">
        <v>0</v>
      </c>
    </row>
    <row r="1212" spans="1:17" x14ac:dyDescent="0.35">
      <c r="A1212" t="s">
        <v>3617</v>
      </c>
      <c r="B1212" t="s">
        <v>18</v>
      </c>
      <c r="C1212" t="s">
        <v>3618</v>
      </c>
      <c r="D1212">
        <v>0</v>
      </c>
      <c r="E1212" t="s">
        <v>3619</v>
      </c>
      <c r="F1212" t="s">
        <v>20</v>
      </c>
      <c r="G1212" t="s">
        <v>3620</v>
      </c>
      <c r="H1212" s="1">
        <v>1.03383333333333E+16</v>
      </c>
      <c r="I1212">
        <v>0</v>
      </c>
      <c r="J1212" t="s">
        <v>2873</v>
      </c>
      <c r="K1212" t="s">
        <v>73</v>
      </c>
      <c r="L1212" t="s">
        <v>373</v>
      </c>
      <c r="M1212">
        <v>0</v>
      </c>
      <c r="N1212">
        <v>0</v>
      </c>
      <c r="O1212" s="1">
        <v>4237969809257160</v>
      </c>
      <c r="Q1212" t="b">
        <v>0</v>
      </c>
    </row>
    <row r="1213" spans="1:17" x14ac:dyDescent="0.35">
      <c r="A1213" t="s">
        <v>3621</v>
      </c>
      <c r="B1213" t="s">
        <v>18</v>
      </c>
      <c r="C1213" t="s">
        <v>3622</v>
      </c>
      <c r="D1213">
        <v>0</v>
      </c>
      <c r="E1213" t="s">
        <v>3623</v>
      </c>
      <c r="F1213" t="s">
        <v>20</v>
      </c>
      <c r="G1213" t="s">
        <v>3624</v>
      </c>
      <c r="H1213" s="1">
        <v>1.03383333333333E+16</v>
      </c>
      <c r="I1213">
        <v>0</v>
      </c>
      <c r="J1213" t="s">
        <v>2873</v>
      </c>
      <c r="K1213" t="s">
        <v>73</v>
      </c>
      <c r="L1213" t="s">
        <v>373</v>
      </c>
      <c r="M1213">
        <v>0</v>
      </c>
      <c r="N1213">
        <v>0</v>
      </c>
      <c r="O1213" s="1">
        <v>4.23799832914524E+16</v>
      </c>
      <c r="Q1213" t="b">
        <v>0</v>
      </c>
    </row>
    <row r="1214" spans="1:17" x14ac:dyDescent="0.35">
      <c r="A1214" t="s">
        <v>3625</v>
      </c>
      <c r="B1214" t="s">
        <v>18</v>
      </c>
      <c r="C1214" t="s">
        <v>3626</v>
      </c>
      <c r="D1214">
        <v>0</v>
      </c>
      <c r="E1214" t="s">
        <v>3627</v>
      </c>
      <c r="F1214" t="s">
        <v>20</v>
      </c>
      <c r="G1214" t="s">
        <v>3628</v>
      </c>
      <c r="H1214" s="1">
        <v>1.03383333333333E+16</v>
      </c>
      <c r="I1214">
        <v>0</v>
      </c>
      <c r="J1214" t="s">
        <v>2873</v>
      </c>
      <c r="K1214" t="s">
        <v>73</v>
      </c>
      <c r="L1214" t="s">
        <v>373</v>
      </c>
      <c r="M1214">
        <v>0</v>
      </c>
      <c r="N1214">
        <v>0</v>
      </c>
      <c r="O1214" s="1">
        <v>4238026849033320</v>
      </c>
      <c r="Q1214" t="b">
        <v>0</v>
      </c>
    </row>
    <row r="1215" spans="1:17" x14ac:dyDescent="0.35">
      <c r="A1215" t="s">
        <v>3629</v>
      </c>
      <c r="B1215" t="s">
        <v>18</v>
      </c>
      <c r="C1215" t="s">
        <v>3630</v>
      </c>
      <c r="D1215">
        <v>0</v>
      </c>
      <c r="E1215" t="s">
        <v>3631</v>
      </c>
      <c r="F1215" t="s">
        <v>20</v>
      </c>
      <c r="G1215" t="s">
        <v>3632</v>
      </c>
      <c r="H1215" t="s">
        <v>3633</v>
      </c>
      <c r="I1215">
        <v>0</v>
      </c>
      <c r="J1215" t="s">
        <v>3634</v>
      </c>
      <c r="K1215" t="s">
        <v>21</v>
      </c>
      <c r="L1215" t="s">
        <v>269</v>
      </c>
      <c r="M1215">
        <v>0</v>
      </c>
      <c r="N1215">
        <v>0</v>
      </c>
      <c r="O1215" s="1">
        <v>4238055368921400</v>
      </c>
      <c r="Q1215" t="b">
        <v>0</v>
      </c>
    </row>
    <row r="1216" spans="1:17" x14ac:dyDescent="0.35">
      <c r="A1216" t="s">
        <v>3635</v>
      </c>
      <c r="B1216" t="s">
        <v>18</v>
      </c>
      <c r="C1216" t="s">
        <v>3636</v>
      </c>
      <c r="D1216">
        <v>0</v>
      </c>
      <c r="E1216" t="s">
        <v>3637</v>
      </c>
      <c r="F1216" t="s">
        <v>20</v>
      </c>
      <c r="G1216" t="s">
        <v>3638</v>
      </c>
      <c r="H1216" t="s">
        <v>3633</v>
      </c>
      <c r="I1216">
        <v>0</v>
      </c>
      <c r="J1216" t="s">
        <v>3634</v>
      </c>
      <c r="K1216" t="s">
        <v>21</v>
      </c>
      <c r="L1216" t="s">
        <v>269</v>
      </c>
      <c r="M1216">
        <v>0</v>
      </c>
      <c r="N1216">
        <v>0</v>
      </c>
      <c r="O1216" s="1">
        <v>423808388880949</v>
      </c>
      <c r="Q1216" t="b">
        <v>0</v>
      </c>
    </row>
    <row r="1217" spans="1:17" x14ac:dyDescent="0.35">
      <c r="A1217" t="s">
        <v>3639</v>
      </c>
      <c r="B1217" t="s">
        <v>18</v>
      </c>
      <c r="C1217" t="s">
        <v>3640</v>
      </c>
      <c r="D1217">
        <v>0</v>
      </c>
      <c r="E1217" t="s">
        <v>3641</v>
      </c>
      <c r="F1217" t="s">
        <v>20</v>
      </c>
      <c r="G1217" t="s">
        <v>3642</v>
      </c>
      <c r="H1217" t="s">
        <v>3633</v>
      </c>
      <c r="I1217">
        <v>0</v>
      </c>
      <c r="J1217" t="s">
        <v>3634</v>
      </c>
      <c r="K1217" t="s">
        <v>21</v>
      </c>
      <c r="L1217" t="s">
        <v>269</v>
      </c>
      <c r="M1217">
        <v>0</v>
      </c>
      <c r="N1217">
        <v>0</v>
      </c>
      <c r="O1217" s="1">
        <v>4238112408697570</v>
      </c>
      <c r="Q1217" t="b">
        <v>0</v>
      </c>
    </row>
    <row r="1218" spans="1:17" x14ac:dyDescent="0.35">
      <c r="A1218" t="s">
        <v>3643</v>
      </c>
      <c r="B1218" t="s">
        <v>18</v>
      </c>
      <c r="C1218" t="s">
        <v>3644</v>
      </c>
      <c r="D1218">
        <v>0</v>
      </c>
      <c r="E1218" t="s">
        <v>3645</v>
      </c>
      <c r="F1218" t="s">
        <v>20</v>
      </c>
      <c r="G1218" t="s">
        <v>3646</v>
      </c>
      <c r="H1218" t="s">
        <v>3633</v>
      </c>
      <c r="I1218">
        <v>0</v>
      </c>
      <c r="J1218" t="s">
        <v>3634</v>
      </c>
      <c r="K1218" t="s">
        <v>21</v>
      </c>
      <c r="L1218" t="s">
        <v>269</v>
      </c>
      <c r="M1218">
        <v>0</v>
      </c>
      <c r="N1218">
        <v>0</v>
      </c>
      <c r="O1218" s="1">
        <v>4238140928585650</v>
      </c>
      <c r="Q1218" t="b">
        <v>0</v>
      </c>
    </row>
    <row r="1219" spans="1:17" x14ac:dyDescent="0.35">
      <c r="A1219" t="s">
        <v>3647</v>
      </c>
      <c r="B1219" t="s">
        <v>18</v>
      </c>
      <c r="C1219" t="s">
        <v>3648</v>
      </c>
      <c r="D1219">
        <v>0</v>
      </c>
      <c r="E1219" t="s">
        <v>3649</v>
      </c>
      <c r="F1219" t="s">
        <v>20</v>
      </c>
      <c r="G1219" t="s">
        <v>3650</v>
      </c>
      <c r="H1219" s="1">
        <v>1.04216666666666E+16</v>
      </c>
      <c r="I1219">
        <v>0</v>
      </c>
      <c r="J1219">
        <v>162</v>
      </c>
      <c r="K1219" t="s">
        <v>280</v>
      </c>
      <c r="L1219" t="s">
        <v>148</v>
      </c>
      <c r="M1219">
        <v>0</v>
      </c>
      <c r="N1219">
        <v>0</v>
      </c>
      <c r="O1219" s="1">
        <v>4238169448473730</v>
      </c>
      <c r="Q1219" t="b">
        <v>0</v>
      </c>
    </row>
    <row r="1220" spans="1:17" x14ac:dyDescent="0.35">
      <c r="A1220" t="s">
        <v>3651</v>
      </c>
      <c r="B1220" t="s">
        <v>18</v>
      </c>
      <c r="C1220" t="s">
        <v>3652</v>
      </c>
      <c r="D1220">
        <v>0</v>
      </c>
      <c r="E1220" t="s">
        <v>3653</v>
      </c>
      <c r="F1220" t="s">
        <v>20</v>
      </c>
      <c r="G1220" t="s">
        <v>3654</v>
      </c>
      <c r="H1220" s="1">
        <v>1.04216666666666E+16</v>
      </c>
      <c r="I1220">
        <v>0</v>
      </c>
      <c r="J1220">
        <v>162</v>
      </c>
      <c r="K1220" t="s">
        <v>280</v>
      </c>
      <c r="L1220" t="s">
        <v>148</v>
      </c>
      <c r="M1220">
        <v>0</v>
      </c>
      <c r="N1220">
        <v>0</v>
      </c>
      <c r="O1220" s="1">
        <v>4238197968361810</v>
      </c>
      <c r="Q1220" t="b">
        <v>0</v>
      </c>
    </row>
    <row r="1221" spans="1:17" x14ac:dyDescent="0.35">
      <c r="A1221" t="s">
        <v>3655</v>
      </c>
      <c r="B1221" t="s">
        <v>18</v>
      </c>
      <c r="C1221" t="s">
        <v>3656</v>
      </c>
      <c r="D1221">
        <v>0</v>
      </c>
      <c r="E1221" t="s">
        <v>3657</v>
      </c>
      <c r="F1221" t="s">
        <v>20</v>
      </c>
      <c r="G1221" t="s">
        <v>3658</v>
      </c>
      <c r="H1221" s="1">
        <v>1.04216666666666E+16</v>
      </c>
      <c r="I1221">
        <v>0</v>
      </c>
      <c r="J1221">
        <v>162</v>
      </c>
      <c r="K1221" t="s">
        <v>280</v>
      </c>
      <c r="L1221" t="s">
        <v>148</v>
      </c>
      <c r="M1221">
        <v>0</v>
      </c>
      <c r="N1221">
        <v>0</v>
      </c>
      <c r="O1221" s="1">
        <v>4.2382264882498896E+16</v>
      </c>
      <c r="Q1221" t="b">
        <v>0</v>
      </c>
    </row>
    <row r="1222" spans="1:17" x14ac:dyDescent="0.35">
      <c r="A1222" t="s">
        <v>3659</v>
      </c>
      <c r="B1222" t="s">
        <v>18</v>
      </c>
      <c r="C1222" t="s">
        <v>3660</v>
      </c>
      <c r="D1222">
        <v>0</v>
      </c>
      <c r="E1222" t="s">
        <v>3661</v>
      </c>
      <c r="F1222" t="s">
        <v>20</v>
      </c>
      <c r="G1222" t="s">
        <v>3662</v>
      </c>
      <c r="H1222" s="1">
        <v>1.04216666666666E+16</v>
      </c>
      <c r="I1222">
        <v>0</v>
      </c>
      <c r="J1222">
        <v>162</v>
      </c>
      <c r="K1222" t="s">
        <v>280</v>
      </c>
      <c r="L1222" t="s">
        <v>148</v>
      </c>
      <c r="M1222">
        <v>0</v>
      </c>
      <c r="N1222">
        <v>0</v>
      </c>
      <c r="O1222" s="1">
        <v>4238255008137970</v>
      </c>
      <c r="Q1222" t="b">
        <v>0</v>
      </c>
    </row>
    <row r="1223" spans="1:17" x14ac:dyDescent="0.35">
      <c r="A1223" t="s">
        <v>3663</v>
      </c>
      <c r="B1223" t="s">
        <v>18</v>
      </c>
      <c r="C1223" t="s">
        <v>3664</v>
      </c>
      <c r="D1223">
        <v>0</v>
      </c>
      <c r="E1223" t="s">
        <v>3665</v>
      </c>
      <c r="F1223" t="s">
        <v>20</v>
      </c>
      <c r="G1223" t="s">
        <v>3666</v>
      </c>
      <c r="H1223" s="1">
        <v>9831666666666660</v>
      </c>
      <c r="I1223">
        <v>0</v>
      </c>
      <c r="J1223">
        <v>165</v>
      </c>
      <c r="K1223" t="s">
        <v>1422</v>
      </c>
      <c r="L1223" s="1">
        <v>7.02E+16</v>
      </c>
      <c r="M1223">
        <v>0</v>
      </c>
      <c r="N1223">
        <v>0</v>
      </c>
      <c r="O1223" s="1">
        <v>423828352802606</v>
      </c>
      <c r="Q1223" t="b">
        <v>0</v>
      </c>
    </row>
    <row r="1224" spans="1:17" x14ac:dyDescent="0.35">
      <c r="A1224" t="s">
        <v>3667</v>
      </c>
      <c r="B1224" t="s">
        <v>18</v>
      </c>
      <c r="C1224" t="s">
        <v>3668</v>
      </c>
      <c r="D1224">
        <v>0</v>
      </c>
      <c r="E1224" t="s">
        <v>3669</v>
      </c>
      <c r="F1224" t="s">
        <v>20</v>
      </c>
      <c r="G1224" t="s">
        <v>3670</v>
      </c>
      <c r="H1224" s="1">
        <v>9831666666666660</v>
      </c>
      <c r="I1224">
        <v>0</v>
      </c>
      <c r="J1224">
        <v>165</v>
      </c>
      <c r="K1224" t="s">
        <v>1422</v>
      </c>
      <c r="L1224" s="1">
        <v>7.02E+16</v>
      </c>
      <c r="M1224">
        <v>0</v>
      </c>
      <c r="N1224">
        <v>0</v>
      </c>
      <c r="O1224" s="1">
        <v>4238312047914140</v>
      </c>
      <c r="Q1224" t="b">
        <v>0</v>
      </c>
    </row>
    <row r="1225" spans="1:17" x14ac:dyDescent="0.35">
      <c r="A1225" t="s">
        <v>3671</v>
      </c>
      <c r="B1225" t="s">
        <v>18</v>
      </c>
      <c r="C1225" t="s">
        <v>3672</v>
      </c>
      <c r="D1225">
        <v>0</v>
      </c>
      <c r="E1225" t="s">
        <v>3673</v>
      </c>
      <c r="F1225" t="s">
        <v>20</v>
      </c>
      <c r="G1225" t="s">
        <v>3674</v>
      </c>
      <c r="H1225" s="1">
        <v>9831666666666660</v>
      </c>
      <c r="I1225">
        <v>0</v>
      </c>
      <c r="J1225">
        <v>165</v>
      </c>
      <c r="K1225" t="s">
        <v>1422</v>
      </c>
      <c r="L1225" s="1">
        <v>7.02E+16</v>
      </c>
      <c r="M1225">
        <v>0</v>
      </c>
      <c r="N1225">
        <v>0</v>
      </c>
      <c r="O1225" s="1">
        <v>4238340567802220</v>
      </c>
      <c r="Q1225" t="b">
        <v>0</v>
      </c>
    </row>
    <row r="1226" spans="1:17" x14ac:dyDescent="0.35">
      <c r="A1226" t="s">
        <v>3675</v>
      </c>
      <c r="B1226" t="s">
        <v>18</v>
      </c>
      <c r="C1226" t="s">
        <v>3676</v>
      </c>
      <c r="D1226">
        <v>0</v>
      </c>
      <c r="E1226" t="s">
        <v>3677</v>
      </c>
      <c r="F1226" t="s">
        <v>20</v>
      </c>
      <c r="G1226" t="s">
        <v>3678</v>
      </c>
      <c r="H1226" s="1">
        <v>9831666666666660</v>
      </c>
      <c r="I1226">
        <v>0</v>
      </c>
      <c r="J1226">
        <v>165</v>
      </c>
      <c r="K1226" t="s">
        <v>1422</v>
      </c>
      <c r="L1226" s="1">
        <v>7.02E+16</v>
      </c>
      <c r="M1226">
        <v>0</v>
      </c>
      <c r="N1226">
        <v>0</v>
      </c>
      <c r="O1226" s="1">
        <v>4238369087690300</v>
      </c>
      <c r="Q1226" t="b">
        <v>0</v>
      </c>
    </row>
    <row r="1227" spans="1:17" x14ac:dyDescent="0.35">
      <c r="A1227" t="s">
        <v>3679</v>
      </c>
      <c r="B1227" t="s">
        <v>18</v>
      </c>
      <c r="C1227" t="s">
        <v>3680</v>
      </c>
      <c r="D1227">
        <v>0</v>
      </c>
      <c r="E1227" t="s">
        <v>3681</v>
      </c>
      <c r="F1227" t="s">
        <v>20</v>
      </c>
      <c r="G1227" t="s">
        <v>3682</v>
      </c>
      <c r="H1227" s="1">
        <v>8666666666666660</v>
      </c>
      <c r="I1227">
        <v>0</v>
      </c>
      <c r="J1227" t="s">
        <v>3683</v>
      </c>
      <c r="K1227" t="s">
        <v>305</v>
      </c>
      <c r="L1227" t="s">
        <v>709</v>
      </c>
      <c r="M1227">
        <v>0</v>
      </c>
      <c r="N1227">
        <v>0</v>
      </c>
      <c r="O1227" s="1">
        <v>4238397607578380</v>
      </c>
      <c r="Q1227" t="b">
        <v>0</v>
      </c>
    </row>
    <row r="1228" spans="1:17" x14ac:dyDescent="0.35">
      <c r="A1228" t="s">
        <v>3684</v>
      </c>
      <c r="B1228" t="s">
        <v>18</v>
      </c>
      <c r="C1228" t="s">
        <v>3685</v>
      </c>
      <c r="D1228">
        <v>0</v>
      </c>
      <c r="E1228" t="s">
        <v>3686</v>
      </c>
      <c r="F1228" t="s">
        <v>20</v>
      </c>
      <c r="G1228" t="s">
        <v>3687</v>
      </c>
      <c r="H1228" s="1">
        <v>8666666666666660</v>
      </c>
      <c r="I1228">
        <v>0</v>
      </c>
      <c r="J1228" t="s">
        <v>3683</v>
      </c>
      <c r="K1228" t="s">
        <v>305</v>
      </c>
      <c r="L1228" t="s">
        <v>709</v>
      </c>
      <c r="M1228">
        <v>0</v>
      </c>
      <c r="N1228">
        <v>0</v>
      </c>
      <c r="O1228" s="1">
        <v>4238426127466460</v>
      </c>
      <c r="Q1228" t="b">
        <v>0</v>
      </c>
    </row>
    <row r="1229" spans="1:17" x14ac:dyDescent="0.35">
      <c r="A1229" t="s">
        <v>3688</v>
      </c>
      <c r="B1229" t="s">
        <v>18</v>
      </c>
      <c r="C1229" t="s">
        <v>3689</v>
      </c>
      <c r="D1229">
        <v>0</v>
      </c>
      <c r="E1229" t="s">
        <v>3690</v>
      </c>
      <c r="F1229" t="s">
        <v>20</v>
      </c>
      <c r="G1229" t="s">
        <v>3691</v>
      </c>
      <c r="H1229" s="1">
        <v>8666666666666660</v>
      </c>
      <c r="I1229">
        <v>0</v>
      </c>
      <c r="J1229" t="s">
        <v>3683</v>
      </c>
      <c r="K1229" t="s">
        <v>305</v>
      </c>
      <c r="L1229" t="s">
        <v>709</v>
      </c>
      <c r="M1229">
        <v>0</v>
      </c>
      <c r="N1229">
        <v>0</v>
      </c>
      <c r="O1229" s="1">
        <v>4.23845464735454E+16</v>
      </c>
      <c r="Q1229" t="b">
        <v>0</v>
      </c>
    </row>
    <row r="1230" spans="1:17" x14ac:dyDescent="0.35">
      <c r="A1230" t="s">
        <v>3692</v>
      </c>
      <c r="B1230" t="s">
        <v>18</v>
      </c>
      <c r="C1230" t="s">
        <v>3693</v>
      </c>
      <c r="D1230">
        <v>0</v>
      </c>
      <c r="E1230" t="s">
        <v>3694</v>
      </c>
      <c r="F1230" t="s">
        <v>20</v>
      </c>
      <c r="G1230" t="s">
        <v>3695</v>
      </c>
      <c r="H1230" s="1">
        <v>8666666666666660</v>
      </c>
      <c r="I1230">
        <v>0</v>
      </c>
      <c r="J1230" t="s">
        <v>3683</v>
      </c>
      <c r="K1230" t="s">
        <v>305</v>
      </c>
      <c r="L1230" t="s">
        <v>709</v>
      </c>
      <c r="M1230">
        <v>0</v>
      </c>
      <c r="N1230">
        <v>0</v>
      </c>
      <c r="O1230" s="1">
        <v>4238483167242630</v>
      </c>
      <c r="Q1230" t="b">
        <v>0</v>
      </c>
    </row>
    <row r="1231" spans="1:17" x14ac:dyDescent="0.35">
      <c r="A1231" t="s">
        <v>3696</v>
      </c>
      <c r="B1231" t="s">
        <v>18</v>
      </c>
      <c r="C1231" t="s">
        <v>3697</v>
      </c>
      <c r="D1231">
        <v>0</v>
      </c>
      <c r="E1231" t="s">
        <v>3698</v>
      </c>
      <c r="F1231" t="s">
        <v>20</v>
      </c>
      <c r="G1231" t="s">
        <v>3699</v>
      </c>
      <c r="H1231" s="1">
        <v>6788333333333330</v>
      </c>
      <c r="I1231">
        <v>0</v>
      </c>
      <c r="J1231" t="s">
        <v>2604</v>
      </c>
      <c r="K1231" t="s">
        <v>299</v>
      </c>
      <c r="L1231" t="s">
        <v>424</v>
      </c>
      <c r="M1231">
        <v>0</v>
      </c>
      <c r="N1231">
        <v>0</v>
      </c>
      <c r="O1231" s="1">
        <v>4238511687130710</v>
      </c>
      <c r="Q1231" t="b">
        <v>0</v>
      </c>
    </row>
    <row r="1232" spans="1:17" x14ac:dyDescent="0.35">
      <c r="A1232" t="s">
        <v>3700</v>
      </c>
      <c r="B1232" t="s">
        <v>18</v>
      </c>
      <c r="C1232" t="s">
        <v>3701</v>
      </c>
      <c r="D1232">
        <v>0</v>
      </c>
      <c r="E1232" t="s">
        <v>3702</v>
      </c>
      <c r="F1232" t="s">
        <v>20</v>
      </c>
      <c r="G1232" t="s">
        <v>3703</v>
      </c>
      <c r="H1232" s="1">
        <v>6788333333333330</v>
      </c>
      <c r="I1232">
        <v>0</v>
      </c>
      <c r="J1232" t="s">
        <v>2604</v>
      </c>
      <c r="K1232" t="s">
        <v>299</v>
      </c>
      <c r="L1232" t="s">
        <v>424</v>
      </c>
      <c r="M1232">
        <v>0</v>
      </c>
      <c r="N1232">
        <v>0</v>
      </c>
      <c r="O1232" s="1">
        <v>4.2385402070187904E+16</v>
      </c>
      <c r="Q1232" t="b">
        <v>0</v>
      </c>
    </row>
    <row r="1233" spans="1:17" x14ac:dyDescent="0.35">
      <c r="A1233" t="s">
        <v>3704</v>
      </c>
      <c r="B1233" t="s">
        <v>18</v>
      </c>
      <c r="C1233" t="s">
        <v>3705</v>
      </c>
      <c r="D1233">
        <v>0</v>
      </c>
      <c r="E1233" t="s">
        <v>3706</v>
      </c>
      <c r="F1233" t="s">
        <v>20</v>
      </c>
      <c r="G1233" t="s">
        <v>3707</v>
      </c>
      <c r="H1233" s="1">
        <v>6788333333333330</v>
      </c>
      <c r="I1233">
        <v>0</v>
      </c>
      <c r="J1233" t="s">
        <v>2604</v>
      </c>
      <c r="K1233" t="s">
        <v>299</v>
      </c>
      <c r="L1233" t="s">
        <v>424</v>
      </c>
      <c r="M1233">
        <v>0</v>
      </c>
      <c r="N1233">
        <v>0</v>
      </c>
      <c r="O1233" s="1">
        <v>4238568726906870</v>
      </c>
      <c r="Q1233" t="b">
        <v>0</v>
      </c>
    </row>
    <row r="1234" spans="1:17" x14ac:dyDescent="0.35">
      <c r="A1234" t="s">
        <v>3708</v>
      </c>
      <c r="B1234" t="s">
        <v>18</v>
      </c>
      <c r="C1234" t="s">
        <v>3709</v>
      </c>
      <c r="D1234">
        <v>0</v>
      </c>
      <c r="E1234" t="s">
        <v>3710</v>
      </c>
      <c r="F1234" t="s">
        <v>20</v>
      </c>
      <c r="G1234" t="s">
        <v>3711</v>
      </c>
      <c r="H1234" s="1">
        <v>6788333333333330</v>
      </c>
      <c r="I1234">
        <v>0</v>
      </c>
      <c r="J1234" t="s">
        <v>2604</v>
      </c>
      <c r="K1234" t="s">
        <v>299</v>
      </c>
      <c r="L1234" t="s">
        <v>424</v>
      </c>
      <c r="M1234">
        <v>0</v>
      </c>
      <c r="N1234">
        <v>0</v>
      </c>
      <c r="O1234" s="1">
        <v>4238597246794950</v>
      </c>
      <c r="Q1234" t="b">
        <v>0</v>
      </c>
    </row>
    <row r="1235" spans="1:17" x14ac:dyDescent="0.35">
      <c r="A1235" t="s">
        <v>3712</v>
      </c>
      <c r="B1235" t="s">
        <v>18</v>
      </c>
      <c r="C1235" t="s">
        <v>3713</v>
      </c>
      <c r="D1235">
        <v>0</v>
      </c>
      <c r="E1235" t="s">
        <v>3714</v>
      </c>
      <c r="F1235" t="s">
        <v>20</v>
      </c>
      <c r="G1235" t="s">
        <v>3715</v>
      </c>
      <c r="H1235" s="1">
        <v>4.7733333333333296E+16</v>
      </c>
      <c r="I1235">
        <v>0</v>
      </c>
      <c r="J1235">
        <v>51</v>
      </c>
      <c r="K1235" t="s">
        <v>663</v>
      </c>
      <c r="L1235" s="1">
        <v>2.88E+16</v>
      </c>
      <c r="M1235">
        <v>0</v>
      </c>
      <c r="N1235">
        <v>0</v>
      </c>
      <c r="O1235" s="1">
        <v>4238625766683030</v>
      </c>
      <c r="Q1235" t="b">
        <v>0</v>
      </c>
    </row>
    <row r="1236" spans="1:17" x14ac:dyDescent="0.35">
      <c r="A1236" t="s">
        <v>3716</v>
      </c>
      <c r="B1236" t="s">
        <v>18</v>
      </c>
      <c r="C1236" t="s">
        <v>3717</v>
      </c>
      <c r="D1236">
        <v>0</v>
      </c>
      <c r="E1236">
        <v>0</v>
      </c>
      <c r="F1236" t="s">
        <v>20</v>
      </c>
      <c r="G1236" t="s">
        <v>3718</v>
      </c>
      <c r="H1236" s="1">
        <v>4.7733333333333296E+16</v>
      </c>
      <c r="I1236">
        <v>0</v>
      </c>
      <c r="J1236">
        <v>51</v>
      </c>
      <c r="K1236" t="s">
        <v>663</v>
      </c>
      <c r="L1236" s="1">
        <v>2.88E+16</v>
      </c>
      <c r="M1236">
        <v>0</v>
      </c>
      <c r="N1236">
        <v>0</v>
      </c>
      <c r="O1236" s="1">
        <v>4238654286571120</v>
      </c>
      <c r="Q1236" t="b">
        <v>0</v>
      </c>
    </row>
    <row r="1237" spans="1:17" x14ac:dyDescent="0.35">
      <c r="A1237" t="s">
        <v>3719</v>
      </c>
      <c r="B1237" t="s">
        <v>18</v>
      </c>
      <c r="C1237" t="s">
        <v>3720</v>
      </c>
      <c r="D1237">
        <v>0</v>
      </c>
      <c r="E1237">
        <v>0</v>
      </c>
      <c r="F1237" t="s">
        <v>20</v>
      </c>
      <c r="G1237" t="s">
        <v>3721</v>
      </c>
      <c r="H1237" s="1">
        <v>4.7733333333333296E+16</v>
      </c>
      <c r="I1237">
        <v>0</v>
      </c>
      <c r="J1237">
        <v>51</v>
      </c>
      <c r="K1237" t="s">
        <v>663</v>
      </c>
      <c r="L1237" s="1">
        <v>2.88E+16</v>
      </c>
      <c r="M1237">
        <v>0</v>
      </c>
      <c r="N1237">
        <v>0</v>
      </c>
      <c r="O1237" s="1">
        <v>4238682806459200</v>
      </c>
      <c r="Q1237" t="b">
        <v>0</v>
      </c>
    </row>
    <row r="1238" spans="1:17" x14ac:dyDescent="0.35">
      <c r="A1238" t="s">
        <v>3722</v>
      </c>
      <c r="B1238" t="s">
        <v>18</v>
      </c>
      <c r="C1238" t="s">
        <v>3723</v>
      </c>
      <c r="D1238">
        <v>0</v>
      </c>
      <c r="E1238">
        <v>0</v>
      </c>
      <c r="F1238" t="s">
        <v>20</v>
      </c>
      <c r="G1238" t="s">
        <v>3724</v>
      </c>
      <c r="H1238" s="1">
        <v>4.7733333333333296E+16</v>
      </c>
      <c r="I1238">
        <v>0</v>
      </c>
      <c r="J1238">
        <v>51</v>
      </c>
      <c r="K1238" t="s">
        <v>663</v>
      </c>
      <c r="L1238" s="1">
        <v>2.88E+16</v>
      </c>
      <c r="M1238">
        <v>0</v>
      </c>
      <c r="N1238">
        <v>0</v>
      </c>
      <c r="O1238" s="1">
        <v>4238711326347280</v>
      </c>
      <c r="Q1238" t="b">
        <v>0</v>
      </c>
    </row>
    <row r="1239" spans="1:17" x14ac:dyDescent="0.35">
      <c r="A1239" t="s">
        <v>3725</v>
      </c>
      <c r="B1239" t="s">
        <v>18</v>
      </c>
      <c r="C1239" t="s">
        <v>3726</v>
      </c>
      <c r="D1239">
        <v>0</v>
      </c>
      <c r="E1239">
        <v>0</v>
      </c>
      <c r="F1239" t="s">
        <v>20</v>
      </c>
      <c r="G1239">
        <v>0</v>
      </c>
      <c r="H1239" s="1">
        <v>1.18833333333333E+16</v>
      </c>
      <c r="I1239">
        <v>0</v>
      </c>
      <c r="J1239">
        <v>10</v>
      </c>
      <c r="K1239" t="s">
        <v>280</v>
      </c>
      <c r="L1239" t="s">
        <v>501</v>
      </c>
      <c r="M1239">
        <v>0</v>
      </c>
      <c r="N1239">
        <v>0</v>
      </c>
      <c r="O1239" s="1">
        <v>4238739846235360</v>
      </c>
      <c r="Q1239" t="b">
        <v>0</v>
      </c>
    </row>
    <row r="1240" spans="1:17" x14ac:dyDescent="0.35">
      <c r="A1240" t="s">
        <v>3727</v>
      </c>
      <c r="B1240" t="s">
        <v>18</v>
      </c>
      <c r="C1240" t="s">
        <v>3728</v>
      </c>
      <c r="D1240">
        <v>0</v>
      </c>
      <c r="E1240">
        <v>0</v>
      </c>
      <c r="F1240" t="s">
        <v>20</v>
      </c>
      <c r="G1240">
        <v>0</v>
      </c>
      <c r="H1240" s="1">
        <v>1.18833333333333E+16</v>
      </c>
      <c r="I1240">
        <v>0</v>
      </c>
      <c r="J1240">
        <v>10</v>
      </c>
      <c r="K1240" t="s">
        <v>280</v>
      </c>
      <c r="L1240" t="s">
        <v>501</v>
      </c>
      <c r="M1240">
        <v>0</v>
      </c>
      <c r="N1240">
        <v>0</v>
      </c>
      <c r="O1240" s="1">
        <v>4.23876836612344E+16</v>
      </c>
      <c r="Q1240" t="b">
        <v>0</v>
      </c>
    </row>
    <row r="1241" spans="1:17" x14ac:dyDescent="0.35">
      <c r="A1241" t="s">
        <v>3729</v>
      </c>
      <c r="B1241" t="s">
        <v>18</v>
      </c>
      <c r="C1241" t="s">
        <v>3730</v>
      </c>
      <c r="D1241">
        <v>0</v>
      </c>
      <c r="E1241">
        <v>0</v>
      </c>
      <c r="F1241" t="s">
        <v>20</v>
      </c>
      <c r="G1241">
        <v>0</v>
      </c>
      <c r="H1241" s="1">
        <v>1.18833333333333E+16</v>
      </c>
      <c r="I1241">
        <v>0</v>
      </c>
      <c r="J1241">
        <v>10</v>
      </c>
      <c r="K1241" t="s">
        <v>280</v>
      </c>
      <c r="L1241" t="s">
        <v>501</v>
      </c>
      <c r="M1241">
        <v>0</v>
      </c>
      <c r="N1241">
        <v>0</v>
      </c>
      <c r="O1241" s="1">
        <v>4238796886011520</v>
      </c>
      <c r="Q1241" t="b">
        <v>0</v>
      </c>
    </row>
    <row r="1242" spans="1:17" x14ac:dyDescent="0.35">
      <c r="A1242" t="s">
        <v>3731</v>
      </c>
      <c r="B1242" t="s">
        <v>18</v>
      </c>
      <c r="C1242" t="s">
        <v>3732</v>
      </c>
      <c r="D1242">
        <v>0</v>
      </c>
      <c r="E1242">
        <v>0</v>
      </c>
      <c r="F1242" t="s">
        <v>20</v>
      </c>
      <c r="G1242">
        <v>0</v>
      </c>
      <c r="H1242" s="1">
        <v>1.18833333333333E+16</v>
      </c>
      <c r="I1242">
        <v>0</v>
      </c>
      <c r="J1242">
        <v>10</v>
      </c>
      <c r="K1242" t="s">
        <v>280</v>
      </c>
      <c r="L1242" t="s">
        <v>501</v>
      </c>
      <c r="M1242">
        <v>0</v>
      </c>
      <c r="N1242">
        <v>0</v>
      </c>
      <c r="O1242" s="1">
        <v>423882540589961</v>
      </c>
      <c r="Q1242" t="b">
        <v>0</v>
      </c>
    </row>
    <row r="1243" spans="1:17" x14ac:dyDescent="0.35">
      <c r="A1243" t="s">
        <v>3733</v>
      </c>
      <c r="B1243" t="s">
        <v>18</v>
      </c>
      <c r="C1243" t="s">
        <v>3734</v>
      </c>
      <c r="D1243">
        <v>0</v>
      </c>
      <c r="E1243">
        <v>0</v>
      </c>
      <c r="F1243" t="s">
        <v>20</v>
      </c>
      <c r="G1243">
        <v>0</v>
      </c>
      <c r="H1243">
        <v>0</v>
      </c>
      <c r="I1243">
        <v>0</v>
      </c>
      <c r="J1243">
        <v>0</v>
      </c>
      <c r="K1243" t="s">
        <v>274</v>
      </c>
      <c r="L1243" s="1">
        <v>4680000000000000</v>
      </c>
      <c r="M1243">
        <v>0</v>
      </c>
      <c r="N1243">
        <v>0</v>
      </c>
      <c r="O1243" s="1">
        <v>4238853925787690</v>
      </c>
      <c r="Q1243" t="b">
        <v>0</v>
      </c>
    </row>
    <row r="1244" spans="1:17" x14ac:dyDescent="0.35">
      <c r="A1244" t="s">
        <v>3735</v>
      </c>
      <c r="B1244" t="s">
        <v>18</v>
      </c>
      <c r="C1244" t="s">
        <v>3736</v>
      </c>
      <c r="D1244">
        <v>0</v>
      </c>
      <c r="E1244">
        <v>0</v>
      </c>
      <c r="F1244" t="s">
        <v>20</v>
      </c>
      <c r="G1244">
        <v>0</v>
      </c>
      <c r="H1244">
        <v>0</v>
      </c>
      <c r="I1244">
        <v>0</v>
      </c>
      <c r="J1244">
        <v>0</v>
      </c>
      <c r="K1244" t="s">
        <v>274</v>
      </c>
      <c r="L1244" s="1">
        <v>4680000000000000</v>
      </c>
      <c r="M1244">
        <v>0</v>
      </c>
      <c r="N1244">
        <v>0</v>
      </c>
      <c r="O1244" s="1">
        <v>4238882445675770</v>
      </c>
      <c r="Q1244" t="b">
        <v>0</v>
      </c>
    </row>
    <row r="1245" spans="1:17" x14ac:dyDescent="0.35">
      <c r="A1245" t="s">
        <v>3737</v>
      </c>
      <c r="B1245" t="s">
        <v>18</v>
      </c>
      <c r="C1245" t="s">
        <v>3738</v>
      </c>
      <c r="D1245">
        <v>0</v>
      </c>
      <c r="E1245">
        <v>0</v>
      </c>
      <c r="F1245" t="s">
        <v>20</v>
      </c>
      <c r="G1245">
        <v>0</v>
      </c>
      <c r="H1245">
        <v>0</v>
      </c>
      <c r="I1245">
        <v>0</v>
      </c>
      <c r="J1245">
        <v>0</v>
      </c>
      <c r="K1245" t="s">
        <v>274</v>
      </c>
      <c r="L1245" s="1">
        <v>4680000000000000</v>
      </c>
      <c r="M1245">
        <v>0</v>
      </c>
      <c r="N1245">
        <v>0</v>
      </c>
      <c r="O1245" s="1">
        <v>4238910965563850</v>
      </c>
      <c r="Q1245" t="b">
        <v>0</v>
      </c>
    </row>
    <row r="1246" spans="1:17" x14ac:dyDescent="0.35">
      <c r="A1246" t="s">
        <v>3739</v>
      </c>
      <c r="B1246" t="s">
        <v>18</v>
      </c>
      <c r="C1246" t="s">
        <v>3740</v>
      </c>
      <c r="D1246">
        <v>0</v>
      </c>
      <c r="E1246">
        <v>0</v>
      </c>
      <c r="F1246" t="s">
        <v>20</v>
      </c>
      <c r="G1246">
        <v>0</v>
      </c>
      <c r="H1246">
        <v>0</v>
      </c>
      <c r="I1246">
        <v>0</v>
      </c>
      <c r="J1246">
        <v>0</v>
      </c>
      <c r="K1246" t="s">
        <v>274</v>
      </c>
      <c r="L1246" s="1">
        <v>4680000000000000</v>
      </c>
      <c r="M1246">
        <v>0</v>
      </c>
      <c r="N1246">
        <v>0</v>
      </c>
      <c r="O1246" s="1">
        <v>4238939485451930</v>
      </c>
      <c r="Q1246" t="b">
        <v>0</v>
      </c>
    </row>
    <row r="1247" spans="1:17" x14ac:dyDescent="0.35">
      <c r="A1247" t="s">
        <v>3741</v>
      </c>
      <c r="B1247" t="s">
        <v>18</v>
      </c>
      <c r="C1247" t="s">
        <v>3742</v>
      </c>
      <c r="D1247">
        <v>0</v>
      </c>
      <c r="E1247">
        <v>0</v>
      </c>
      <c r="F1247" t="s">
        <v>20</v>
      </c>
      <c r="G1247">
        <v>0</v>
      </c>
      <c r="H1247">
        <v>0</v>
      </c>
      <c r="I1247">
        <v>0</v>
      </c>
      <c r="J1247">
        <v>0</v>
      </c>
      <c r="K1247" t="s">
        <v>388</v>
      </c>
      <c r="L1247" t="s">
        <v>244</v>
      </c>
      <c r="M1247">
        <v>0</v>
      </c>
      <c r="N1247">
        <v>0</v>
      </c>
      <c r="O1247" s="1">
        <v>4238968005340010</v>
      </c>
      <c r="Q1247" t="b">
        <v>0</v>
      </c>
    </row>
    <row r="1248" spans="1:17" x14ac:dyDescent="0.35">
      <c r="A1248" t="s">
        <v>3743</v>
      </c>
      <c r="B1248" t="s">
        <v>18</v>
      </c>
      <c r="C1248" t="s">
        <v>3744</v>
      </c>
      <c r="D1248">
        <v>0</v>
      </c>
      <c r="E1248">
        <v>0</v>
      </c>
      <c r="F1248" t="s">
        <v>20</v>
      </c>
      <c r="G1248">
        <v>0</v>
      </c>
      <c r="H1248">
        <v>0</v>
      </c>
      <c r="I1248">
        <v>0</v>
      </c>
      <c r="J1248">
        <v>0</v>
      </c>
      <c r="K1248" t="s">
        <v>388</v>
      </c>
      <c r="L1248" t="s">
        <v>244</v>
      </c>
      <c r="M1248">
        <v>0</v>
      </c>
      <c r="N1248">
        <v>0</v>
      </c>
      <c r="O1248" s="1">
        <v>4238996525228090</v>
      </c>
      <c r="Q1248" t="b">
        <v>0</v>
      </c>
    </row>
    <row r="1249" spans="1:17" x14ac:dyDescent="0.35">
      <c r="A1249" t="s">
        <v>3745</v>
      </c>
      <c r="B1249" t="s">
        <v>18</v>
      </c>
      <c r="C1249" t="s">
        <v>3746</v>
      </c>
      <c r="D1249">
        <v>0</v>
      </c>
      <c r="E1249">
        <v>0</v>
      </c>
      <c r="F1249" t="s">
        <v>20</v>
      </c>
      <c r="G1249">
        <v>0</v>
      </c>
      <c r="H1249">
        <v>0</v>
      </c>
      <c r="I1249">
        <v>0</v>
      </c>
      <c r="J1249">
        <v>0</v>
      </c>
      <c r="K1249" t="s">
        <v>388</v>
      </c>
      <c r="L1249" t="s">
        <v>244</v>
      </c>
      <c r="M1249">
        <v>0</v>
      </c>
      <c r="N1249">
        <v>0</v>
      </c>
      <c r="O1249" s="1">
        <v>4239025045116180</v>
      </c>
      <c r="Q1249" t="b">
        <v>0</v>
      </c>
    </row>
    <row r="1250" spans="1:17" x14ac:dyDescent="0.35">
      <c r="A1250" t="s">
        <v>3747</v>
      </c>
      <c r="B1250" t="s">
        <v>18</v>
      </c>
      <c r="C1250" t="s">
        <v>3748</v>
      </c>
      <c r="D1250">
        <v>0</v>
      </c>
      <c r="E1250">
        <v>0</v>
      </c>
      <c r="F1250" t="s">
        <v>20</v>
      </c>
      <c r="G1250">
        <v>0</v>
      </c>
      <c r="H1250">
        <v>0</v>
      </c>
      <c r="I1250">
        <v>0</v>
      </c>
      <c r="J1250">
        <v>0</v>
      </c>
      <c r="K1250" t="s">
        <v>388</v>
      </c>
      <c r="L1250" t="s">
        <v>244</v>
      </c>
      <c r="M1250">
        <v>0</v>
      </c>
      <c r="N1250">
        <v>0</v>
      </c>
      <c r="O1250" s="1">
        <v>4239053565004260</v>
      </c>
      <c r="Q1250" t="b">
        <v>0</v>
      </c>
    </row>
    <row r="1251" spans="1:17" x14ac:dyDescent="0.35">
      <c r="A1251" t="s">
        <v>3749</v>
      </c>
      <c r="B1251" t="s">
        <v>18</v>
      </c>
      <c r="C1251" t="s">
        <v>3750</v>
      </c>
      <c r="D1251">
        <v>0</v>
      </c>
      <c r="E1251">
        <v>0</v>
      </c>
      <c r="F1251" t="s">
        <v>20</v>
      </c>
      <c r="G1251">
        <v>0</v>
      </c>
      <c r="H1251">
        <v>0</v>
      </c>
      <c r="I1251">
        <v>0</v>
      </c>
      <c r="J1251">
        <v>0</v>
      </c>
      <c r="K1251" t="s">
        <v>2999</v>
      </c>
      <c r="L1251">
        <v>9</v>
      </c>
      <c r="M1251">
        <v>0</v>
      </c>
      <c r="N1251">
        <v>0</v>
      </c>
      <c r="O1251" s="1">
        <v>4.23908208489234E+16</v>
      </c>
      <c r="Q1251" t="b">
        <v>0</v>
      </c>
    </row>
    <row r="1252" spans="1:17" x14ac:dyDescent="0.35">
      <c r="A1252" t="s">
        <v>3751</v>
      </c>
      <c r="B1252" t="s">
        <v>18</v>
      </c>
      <c r="C1252" t="s">
        <v>3752</v>
      </c>
      <c r="D1252">
        <v>0</v>
      </c>
      <c r="E1252">
        <v>0</v>
      </c>
      <c r="F1252" t="s">
        <v>20</v>
      </c>
      <c r="G1252">
        <v>0</v>
      </c>
      <c r="H1252">
        <v>0</v>
      </c>
      <c r="I1252">
        <v>0</v>
      </c>
      <c r="J1252">
        <v>0</v>
      </c>
      <c r="K1252" t="s">
        <v>2999</v>
      </c>
      <c r="L1252">
        <v>9</v>
      </c>
      <c r="M1252">
        <v>0</v>
      </c>
      <c r="N1252">
        <v>0</v>
      </c>
      <c r="O1252" s="1">
        <v>4239110604780420</v>
      </c>
      <c r="Q1252" t="b">
        <v>0</v>
      </c>
    </row>
    <row r="1253" spans="1:17" x14ac:dyDescent="0.35">
      <c r="A1253" t="s">
        <v>3753</v>
      </c>
      <c r="B1253" t="s">
        <v>18</v>
      </c>
      <c r="C1253" t="s">
        <v>3754</v>
      </c>
      <c r="D1253">
        <v>0</v>
      </c>
      <c r="E1253">
        <v>0</v>
      </c>
      <c r="F1253" t="s">
        <v>20</v>
      </c>
      <c r="G1253">
        <v>0</v>
      </c>
      <c r="H1253">
        <v>0</v>
      </c>
      <c r="I1253">
        <v>0</v>
      </c>
      <c r="J1253">
        <v>0</v>
      </c>
      <c r="K1253" t="s">
        <v>2999</v>
      </c>
      <c r="L1253">
        <v>9</v>
      </c>
      <c r="M1253">
        <v>0</v>
      </c>
      <c r="N1253">
        <v>0</v>
      </c>
      <c r="O1253" s="1">
        <v>4239139124668500</v>
      </c>
      <c r="Q1253" t="b">
        <v>0</v>
      </c>
    </row>
    <row r="1254" spans="1:17" x14ac:dyDescent="0.35">
      <c r="A1254" t="s">
        <v>3755</v>
      </c>
      <c r="B1254" t="s">
        <v>18</v>
      </c>
      <c r="C1254" t="s">
        <v>3756</v>
      </c>
      <c r="D1254">
        <v>0</v>
      </c>
      <c r="E1254">
        <v>0</v>
      </c>
      <c r="F1254" t="s">
        <v>20</v>
      </c>
      <c r="G1254">
        <v>0</v>
      </c>
      <c r="H1254">
        <v>0</v>
      </c>
      <c r="I1254">
        <v>0</v>
      </c>
      <c r="J1254">
        <v>0</v>
      </c>
      <c r="K1254" t="s">
        <v>2999</v>
      </c>
      <c r="L1254">
        <v>9</v>
      </c>
      <c r="M1254">
        <v>0</v>
      </c>
      <c r="N1254">
        <v>0</v>
      </c>
      <c r="O1254" s="1">
        <v>4239167644556580</v>
      </c>
      <c r="Q1254" t="b">
        <v>0</v>
      </c>
    </row>
    <row r="1255" spans="1:17" x14ac:dyDescent="0.35">
      <c r="A1255" t="s">
        <v>3757</v>
      </c>
      <c r="B1255" t="s">
        <v>18</v>
      </c>
      <c r="C1255" t="s">
        <v>3758</v>
      </c>
      <c r="D1255">
        <v>0</v>
      </c>
      <c r="E1255">
        <v>0</v>
      </c>
      <c r="F1255" t="s">
        <v>20</v>
      </c>
      <c r="G1255">
        <v>0</v>
      </c>
      <c r="H1255">
        <v>0</v>
      </c>
      <c r="I1255">
        <v>0</v>
      </c>
      <c r="J1255">
        <v>0</v>
      </c>
      <c r="K1255" t="s">
        <v>21</v>
      </c>
      <c r="L1255" t="s">
        <v>955</v>
      </c>
      <c r="M1255">
        <v>0</v>
      </c>
      <c r="N1255">
        <v>0</v>
      </c>
      <c r="O1255" s="1">
        <v>423919616444467</v>
      </c>
      <c r="Q1255" t="b">
        <v>0</v>
      </c>
    </row>
    <row r="1256" spans="1:17" x14ac:dyDescent="0.35">
      <c r="A1256" t="s">
        <v>3759</v>
      </c>
      <c r="B1256" t="s">
        <v>18</v>
      </c>
      <c r="C1256" t="s">
        <v>3760</v>
      </c>
      <c r="D1256">
        <v>0</v>
      </c>
      <c r="E1256">
        <v>0</v>
      </c>
      <c r="F1256" t="s">
        <v>20</v>
      </c>
      <c r="G1256">
        <v>0</v>
      </c>
      <c r="H1256">
        <v>0</v>
      </c>
      <c r="I1256">
        <v>0</v>
      </c>
      <c r="J1256">
        <v>0</v>
      </c>
      <c r="K1256" t="s">
        <v>21</v>
      </c>
      <c r="L1256" t="s">
        <v>955</v>
      </c>
      <c r="M1256">
        <v>0</v>
      </c>
      <c r="N1256">
        <v>0</v>
      </c>
      <c r="O1256" s="1">
        <v>4239224684332750</v>
      </c>
      <c r="Q1256" t="b">
        <v>0</v>
      </c>
    </row>
    <row r="1257" spans="1:17" x14ac:dyDescent="0.35">
      <c r="A1257" t="s">
        <v>3761</v>
      </c>
      <c r="B1257" t="s">
        <v>18</v>
      </c>
      <c r="C1257" t="s">
        <v>3762</v>
      </c>
      <c r="D1257">
        <v>0</v>
      </c>
      <c r="E1257">
        <v>0</v>
      </c>
      <c r="F1257" t="s">
        <v>20</v>
      </c>
      <c r="G1257">
        <v>0</v>
      </c>
      <c r="H1257">
        <v>0</v>
      </c>
      <c r="I1257">
        <v>0</v>
      </c>
      <c r="J1257">
        <v>0</v>
      </c>
      <c r="K1257" t="s">
        <v>21</v>
      </c>
      <c r="L1257" t="s">
        <v>955</v>
      </c>
      <c r="M1257">
        <v>0</v>
      </c>
      <c r="N1257">
        <v>0</v>
      </c>
      <c r="O1257" s="1">
        <v>4239253204220830</v>
      </c>
      <c r="Q1257" t="b">
        <v>0</v>
      </c>
    </row>
    <row r="1258" spans="1:17" x14ac:dyDescent="0.35">
      <c r="A1258" t="s">
        <v>3763</v>
      </c>
      <c r="B1258" t="s">
        <v>18</v>
      </c>
      <c r="C1258" t="s">
        <v>3764</v>
      </c>
      <c r="D1258">
        <v>0</v>
      </c>
      <c r="E1258">
        <v>0</v>
      </c>
      <c r="F1258" t="s">
        <v>20</v>
      </c>
      <c r="G1258">
        <v>0</v>
      </c>
      <c r="H1258">
        <v>0</v>
      </c>
      <c r="I1258">
        <v>0</v>
      </c>
      <c r="J1258">
        <v>0</v>
      </c>
      <c r="K1258" t="s">
        <v>21</v>
      </c>
      <c r="L1258" t="s">
        <v>955</v>
      </c>
      <c r="M1258">
        <v>0</v>
      </c>
      <c r="N1258">
        <v>0</v>
      </c>
      <c r="O1258" s="1">
        <v>4239281724108910</v>
      </c>
      <c r="Q1258" t="b">
        <v>0</v>
      </c>
    </row>
    <row r="1259" spans="1:17" x14ac:dyDescent="0.35">
      <c r="A1259" t="s">
        <v>3765</v>
      </c>
      <c r="B1259" t="s">
        <v>18</v>
      </c>
      <c r="C1259" t="s">
        <v>3766</v>
      </c>
      <c r="D1259">
        <v>0</v>
      </c>
      <c r="E1259">
        <v>0</v>
      </c>
      <c r="F1259" t="s">
        <v>20</v>
      </c>
      <c r="G1259">
        <v>0</v>
      </c>
      <c r="H1259">
        <v>0</v>
      </c>
      <c r="I1259">
        <v>0</v>
      </c>
      <c r="J1259">
        <v>0</v>
      </c>
      <c r="K1259" t="s">
        <v>2114</v>
      </c>
      <c r="L1259" t="s">
        <v>3767</v>
      </c>
      <c r="M1259">
        <v>0</v>
      </c>
      <c r="N1259">
        <v>0</v>
      </c>
      <c r="O1259" s="1">
        <v>4.2393102439969904E+16</v>
      </c>
      <c r="Q1259" t="b">
        <v>0</v>
      </c>
    </row>
    <row r="1260" spans="1:17" x14ac:dyDescent="0.35">
      <c r="A1260" t="s">
        <v>3768</v>
      </c>
      <c r="B1260" t="s">
        <v>18</v>
      </c>
      <c r="C1260" t="s">
        <v>3769</v>
      </c>
      <c r="D1260">
        <v>0</v>
      </c>
      <c r="E1260">
        <v>0</v>
      </c>
      <c r="F1260" t="s">
        <v>20</v>
      </c>
      <c r="G1260">
        <v>0</v>
      </c>
      <c r="H1260">
        <v>0</v>
      </c>
      <c r="I1260">
        <v>0</v>
      </c>
      <c r="J1260">
        <v>0</v>
      </c>
      <c r="K1260" t="s">
        <v>2114</v>
      </c>
      <c r="L1260" t="s">
        <v>3767</v>
      </c>
      <c r="M1260">
        <v>0</v>
      </c>
      <c r="N1260">
        <v>0</v>
      </c>
      <c r="O1260" s="1">
        <v>4239338763885070</v>
      </c>
      <c r="Q1260" t="b">
        <v>0</v>
      </c>
    </row>
    <row r="1261" spans="1:17" x14ac:dyDescent="0.35">
      <c r="A1261" t="s">
        <v>3770</v>
      </c>
      <c r="B1261" t="s">
        <v>18</v>
      </c>
      <c r="C1261" t="s">
        <v>3771</v>
      </c>
      <c r="D1261">
        <v>0</v>
      </c>
      <c r="E1261">
        <v>0</v>
      </c>
      <c r="F1261" t="s">
        <v>20</v>
      </c>
      <c r="G1261">
        <v>0</v>
      </c>
      <c r="H1261">
        <v>0</v>
      </c>
      <c r="I1261">
        <v>0</v>
      </c>
      <c r="J1261">
        <v>0</v>
      </c>
      <c r="K1261" t="s">
        <v>2114</v>
      </c>
      <c r="L1261" t="s">
        <v>3767</v>
      </c>
      <c r="M1261">
        <v>0</v>
      </c>
      <c r="N1261">
        <v>0</v>
      </c>
      <c r="O1261" s="1">
        <v>423936728377316</v>
      </c>
      <c r="Q1261" t="b">
        <v>0</v>
      </c>
    </row>
    <row r="1262" spans="1:17" x14ac:dyDescent="0.35">
      <c r="A1262" t="s">
        <v>3772</v>
      </c>
      <c r="B1262" t="s">
        <v>18</v>
      </c>
      <c r="C1262" t="s">
        <v>3773</v>
      </c>
      <c r="D1262">
        <v>0</v>
      </c>
      <c r="E1262">
        <v>0</v>
      </c>
      <c r="F1262" t="s">
        <v>20</v>
      </c>
      <c r="G1262">
        <v>0</v>
      </c>
      <c r="H1262">
        <v>0</v>
      </c>
      <c r="I1262">
        <v>0</v>
      </c>
      <c r="J1262">
        <v>0</v>
      </c>
      <c r="K1262" t="s">
        <v>2114</v>
      </c>
      <c r="L1262" t="s">
        <v>3767</v>
      </c>
      <c r="M1262">
        <v>0</v>
      </c>
      <c r="N1262">
        <v>0</v>
      </c>
      <c r="O1262" s="1">
        <v>4239395803661240</v>
      </c>
      <c r="Q1262" t="b">
        <v>0</v>
      </c>
    </row>
    <row r="1263" spans="1:17" x14ac:dyDescent="0.35">
      <c r="A1263" t="s">
        <v>3774</v>
      </c>
      <c r="B1263" t="s">
        <v>18</v>
      </c>
      <c r="C1263" t="s">
        <v>3775</v>
      </c>
      <c r="D1263">
        <v>0</v>
      </c>
      <c r="E1263">
        <v>0</v>
      </c>
      <c r="F1263" t="s">
        <v>20</v>
      </c>
      <c r="G1263">
        <v>0</v>
      </c>
      <c r="H1263">
        <v>0</v>
      </c>
      <c r="I1263">
        <v>0</v>
      </c>
      <c r="J1263">
        <v>0</v>
      </c>
      <c r="K1263" t="s">
        <v>1827</v>
      </c>
      <c r="L1263" s="1">
        <v>1.94399999999999E+16</v>
      </c>
      <c r="M1263">
        <v>0</v>
      </c>
      <c r="N1263">
        <v>0</v>
      </c>
      <c r="O1263" s="1">
        <v>4239424323549320</v>
      </c>
      <c r="Q1263" t="b">
        <v>0</v>
      </c>
    </row>
    <row r="1264" spans="1:17" x14ac:dyDescent="0.35">
      <c r="A1264" t="s">
        <v>3776</v>
      </c>
      <c r="B1264" t="s">
        <v>18</v>
      </c>
      <c r="C1264" t="s">
        <v>3777</v>
      </c>
      <c r="D1264">
        <v>0</v>
      </c>
      <c r="E1264">
        <v>0</v>
      </c>
      <c r="F1264" t="s">
        <v>20</v>
      </c>
      <c r="G1264">
        <v>0</v>
      </c>
      <c r="H1264">
        <v>0</v>
      </c>
      <c r="I1264">
        <v>0</v>
      </c>
      <c r="J1264">
        <v>0</v>
      </c>
      <c r="K1264" t="s">
        <v>1827</v>
      </c>
      <c r="L1264" s="1">
        <v>1.94399999999999E+16</v>
      </c>
      <c r="M1264">
        <v>0</v>
      </c>
      <c r="N1264">
        <v>0</v>
      </c>
      <c r="O1264" s="1">
        <v>4239452843437400</v>
      </c>
      <c r="Q1264" t="b">
        <v>0</v>
      </c>
    </row>
    <row r="1265" spans="1:17" x14ac:dyDescent="0.35">
      <c r="A1265" t="s">
        <v>3778</v>
      </c>
      <c r="B1265" t="s">
        <v>18</v>
      </c>
      <c r="C1265" t="s">
        <v>3779</v>
      </c>
      <c r="D1265">
        <v>0</v>
      </c>
      <c r="E1265">
        <v>0</v>
      </c>
      <c r="F1265" t="s">
        <v>20</v>
      </c>
      <c r="G1265">
        <v>0</v>
      </c>
      <c r="H1265">
        <v>0</v>
      </c>
      <c r="I1265">
        <v>0</v>
      </c>
      <c r="J1265">
        <v>0</v>
      </c>
      <c r="K1265" t="s">
        <v>1827</v>
      </c>
      <c r="L1265" s="1">
        <v>1.94399999999999E+16</v>
      </c>
      <c r="M1265">
        <v>0</v>
      </c>
      <c r="N1265">
        <v>0</v>
      </c>
      <c r="O1265" s="1">
        <v>4239481363325480</v>
      </c>
      <c r="Q1265" t="b">
        <v>0</v>
      </c>
    </row>
    <row r="1266" spans="1:17" x14ac:dyDescent="0.35">
      <c r="A1266" t="s">
        <v>3780</v>
      </c>
      <c r="B1266" t="s">
        <v>18</v>
      </c>
      <c r="C1266" t="s">
        <v>3781</v>
      </c>
      <c r="D1266">
        <v>0</v>
      </c>
      <c r="E1266">
        <v>0</v>
      </c>
      <c r="F1266" t="s">
        <v>20</v>
      </c>
      <c r="G1266">
        <v>0</v>
      </c>
      <c r="H1266">
        <v>0</v>
      </c>
      <c r="I1266">
        <v>0</v>
      </c>
      <c r="J1266">
        <v>0</v>
      </c>
      <c r="K1266" t="s">
        <v>1827</v>
      </c>
      <c r="L1266" s="1">
        <v>1.94399999999999E+16</v>
      </c>
      <c r="M1266">
        <v>0</v>
      </c>
      <c r="N1266">
        <v>0</v>
      </c>
      <c r="O1266" s="1">
        <v>4239509883213560</v>
      </c>
      <c r="Q1266" t="b">
        <v>0</v>
      </c>
    </row>
    <row r="1267" spans="1:17" x14ac:dyDescent="0.35">
      <c r="A1267" t="s">
        <v>3782</v>
      </c>
      <c r="B1267" t="s">
        <v>18</v>
      </c>
      <c r="C1267" t="s">
        <v>3783</v>
      </c>
      <c r="D1267">
        <v>0</v>
      </c>
      <c r="E1267">
        <v>0</v>
      </c>
      <c r="F1267" t="s">
        <v>20</v>
      </c>
      <c r="G1267">
        <v>0</v>
      </c>
      <c r="H1267">
        <v>0</v>
      </c>
      <c r="I1267">
        <v>0</v>
      </c>
      <c r="J1267">
        <v>0</v>
      </c>
      <c r="K1267" t="s">
        <v>1827</v>
      </c>
      <c r="L1267" t="s">
        <v>3528</v>
      </c>
      <c r="M1267">
        <v>0</v>
      </c>
      <c r="N1267">
        <v>0</v>
      </c>
      <c r="O1267" s="1">
        <v>4239538403101640</v>
      </c>
      <c r="Q1267" t="b">
        <v>0</v>
      </c>
    </row>
    <row r="1268" spans="1:17" x14ac:dyDescent="0.35">
      <c r="A1268" t="s">
        <v>3784</v>
      </c>
      <c r="B1268" t="s">
        <v>18</v>
      </c>
      <c r="C1268" t="s">
        <v>3785</v>
      </c>
      <c r="D1268">
        <v>0</v>
      </c>
      <c r="E1268">
        <v>0</v>
      </c>
      <c r="F1268" t="s">
        <v>20</v>
      </c>
      <c r="G1268">
        <v>0</v>
      </c>
      <c r="H1268">
        <v>0</v>
      </c>
      <c r="I1268">
        <v>0</v>
      </c>
      <c r="J1268">
        <v>0</v>
      </c>
      <c r="K1268" t="s">
        <v>1827</v>
      </c>
      <c r="L1268" t="s">
        <v>3528</v>
      </c>
      <c r="M1268">
        <v>0</v>
      </c>
      <c r="N1268">
        <v>0</v>
      </c>
      <c r="O1268" s="1">
        <v>4239566922989730</v>
      </c>
      <c r="Q1268" t="b">
        <v>0</v>
      </c>
    </row>
    <row r="1269" spans="1:17" x14ac:dyDescent="0.35">
      <c r="A1269" t="s">
        <v>3786</v>
      </c>
      <c r="B1269" t="s">
        <v>18</v>
      </c>
      <c r="C1269" t="s">
        <v>3787</v>
      </c>
      <c r="D1269">
        <v>0</v>
      </c>
      <c r="E1269">
        <v>0</v>
      </c>
      <c r="F1269" t="s">
        <v>20</v>
      </c>
      <c r="G1269">
        <v>0</v>
      </c>
      <c r="H1269">
        <v>0</v>
      </c>
      <c r="I1269">
        <v>0</v>
      </c>
      <c r="J1269">
        <v>0</v>
      </c>
      <c r="K1269" t="s">
        <v>1827</v>
      </c>
      <c r="L1269" t="s">
        <v>3528</v>
      </c>
      <c r="M1269">
        <v>0</v>
      </c>
      <c r="N1269">
        <v>0</v>
      </c>
      <c r="O1269" s="1">
        <v>4239595442877810</v>
      </c>
      <c r="Q1269" t="b">
        <v>0</v>
      </c>
    </row>
    <row r="1270" spans="1:17" x14ac:dyDescent="0.35">
      <c r="A1270" t="s">
        <v>3788</v>
      </c>
      <c r="B1270" t="s">
        <v>18</v>
      </c>
      <c r="C1270" t="s">
        <v>3789</v>
      </c>
      <c r="D1270">
        <v>0</v>
      </c>
      <c r="E1270">
        <v>0</v>
      </c>
      <c r="F1270" t="s">
        <v>20</v>
      </c>
      <c r="G1270">
        <v>0</v>
      </c>
      <c r="H1270">
        <v>0</v>
      </c>
      <c r="I1270">
        <v>0</v>
      </c>
      <c r="J1270">
        <v>0</v>
      </c>
      <c r="K1270" t="s">
        <v>1827</v>
      </c>
      <c r="L1270" t="s">
        <v>3528</v>
      </c>
      <c r="M1270">
        <v>0</v>
      </c>
      <c r="N1270">
        <v>0</v>
      </c>
      <c r="O1270" s="1">
        <v>4239623962765890</v>
      </c>
      <c r="Q1270" t="b">
        <v>0</v>
      </c>
    </row>
    <row r="1271" spans="1:17" x14ac:dyDescent="0.35">
      <c r="A1271" t="s">
        <v>3790</v>
      </c>
      <c r="B1271" t="s">
        <v>18</v>
      </c>
      <c r="C1271" t="s">
        <v>3791</v>
      </c>
      <c r="D1271">
        <v>0</v>
      </c>
      <c r="E1271">
        <v>0</v>
      </c>
      <c r="F1271" t="s">
        <v>20</v>
      </c>
      <c r="G1271">
        <v>0</v>
      </c>
      <c r="H1271">
        <v>0</v>
      </c>
      <c r="I1271">
        <v>0</v>
      </c>
      <c r="J1271">
        <v>0</v>
      </c>
      <c r="K1271" t="s">
        <v>2114</v>
      </c>
      <c r="L1271" t="s">
        <v>3792</v>
      </c>
      <c r="M1271">
        <v>0</v>
      </c>
      <c r="N1271">
        <v>0</v>
      </c>
      <c r="O1271" s="1">
        <v>4239652482653970</v>
      </c>
      <c r="Q1271" t="b">
        <v>0</v>
      </c>
    </row>
    <row r="1272" spans="1:17" x14ac:dyDescent="0.35">
      <c r="A1272" t="s">
        <v>3793</v>
      </c>
      <c r="B1272" t="s">
        <v>18</v>
      </c>
      <c r="C1272" t="s">
        <v>3794</v>
      </c>
      <c r="D1272">
        <v>0</v>
      </c>
      <c r="E1272">
        <v>0</v>
      </c>
      <c r="F1272" t="s">
        <v>20</v>
      </c>
      <c r="G1272">
        <v>0</v>
      </c>
      <c r="H1272">
        <v>0</v>
      </c>
      <c r="I1272">
        <v>0</v>
      </c>
      <c r="J1272">
        <v>0</v>
      </c>
      <c r="K1272" t="s">
        <v>2114</v>
      </c>
      <c r="L1272" t="s">
        <v>3792</v>
      </c>
      <c r="M1272">
        <v>0</v>
      </c>
      <c r="N1272">
        <v>0</v>
      </c>
      <c r="O1272" s="1">
        <v>4239681002542050</v>
      </c>
      <c r="Q1272" t="b">
        <v>0</v>
      </c>
    </row>
    <row r="1273" spans="1:17" x14ac:dyDescent="0.35">
      <c r="A1273" t="s">
        <v>3795</v>
      </c>
      <c r="B1273" t="s">
        <v>18</v>
      </c>
      <c r="C1273" t="s">
        <v>3796</v>
      </c>
      <c r="D1273">
        <v>0</v>
      </c>
      <c r="E1273">
        <v>0</v>
      </c>
      <c r="F1273" t="s">
        <v>20</v>
      </c>
      <c r="G1273">
        <v>0</v>
      </c>
      <c r="H1273">
        <v>0</v>
      </c>
      <c r="I1273">
        <v>0</v>
      </c>
      <c r="J1273">
        <v>0</v>
      </c>
      <c r="K1273" t="s">
        <v>2114</v>
      </c>
      <c r="L1273" t="s">
        <v>3792</v>
      </c>
      <c r="M1273">
        <v>0</v>
      </c>
      <c r="N1273">
        <v>0</v>
      </c>
      <c r="O1273" s="1">
        <v>4239709522430130</v>
      </c>
      <c r="Q1273" t="b">
        <v>0</v>
      </c>
    </row>
    <row r="1274" spans="1:17" x14ac:dyDescent="0.35">
      <c r="A1274" t="s">
        <v>3797</v>
      </c>
      <c r="B1274" t="s">
        <v>18</v>
      </c>
      <c r="C1274" t="s">
        <v>3798</v>
      </c>
      <c r="D1274">
        <v>0</v>
      </c>
      <c r="E1274">
        <v>0</v>
      </c>
      <c r="F1274" t="s">
        <v>20</v>
      </c>
      <c r="G1274">
        <v>0</v>
      </c>
      <c r="H1274">
        <v>0</v>
      </c>
      <c r="I1274">
        <v>0</v>
      </c>
      <c r="J1274">
        <v>0</v>
      </c>
      <c r="K1274" t="s">
        <v>2114</v>
      </c>
      <c r="L1274" t="s">
        <v>3792</v>
      </c>
      <c r="M1274">
        <v>0</v>
      </c>
      <c r="N1274">
        <v>0</v>
      </c>
      <c r="O1274" s="1">
        <v>423973804231822</v>
      </c>
      <c r="Q1274" t="b">
        <v>0</v>
      </c>
    </row>
    <row r="1275" spans="1:17" x14ac:dyDescent="0.35">
      <c r="A1275" t="s">
        <v>3799</v>
      </c>
      <c r="B1275" t="s">
        <v>18</v>
      </c>
      <c r="C1275" t="s">
        <v>3800</v>
      </c>
      <c r="D1275">
        <v>0</v>
      </c>
      <c r="E1275">
        <v>0</v>
      </c>
      <c r="F1275" t="s">
        <v>20</v>
      </c>
      <c r="G1275">
        <v>0</v>
      </c>
      <c r="H1275">
        <v>0</v>
      </c>
      <c r="I1275">
        <v>0</v>
      </c>
      <c r="J1275">
        <v>0</v>
      </c>
      <c r="K1275" t="s">
        <v>21</v>
      </c>
      <c r="L1275" t="s">
        <v>3801</v>
      </c>
      <c r="M1275">
        <v>0</v>
      </c>
      <c r="N1275">
        <v>0</v>
      </c>
      <c r="O1275" s="1">
        <v>4239766562206300</v>
      </c>
      <c r="Q1275" t="b">
        <v>0</v>
      </c>
    </row>
    <row r="1276" spans="1:17" x14ac:dyDescent="0.35">
      <c r="A1276" t="s">
        <v>3802</v>
      </c>
      <c r="B1276" t="s">
        <v>18</v>
      </c>
      <c r="C1276" t="s">
        <v>3803</v>
      </c>
      <c r="D1276">
        <v>0</v>
      </c>
      <c r="E1276">
        <v>0</v>
      </c>
      <c r="F1276" t="s">
        <v>20</v>
      </c>
      <c r="G1276">
        <v>0</v>
      </c>
      <c r="H1276">
        <v>0</v>
      </c>
      <c r="I1276">
        <v>0</v>
      </c>
      <c r="J1276">
        <v>0</v>
      </c>
      <c r="K1276" t="s">
        <v>21</v>
      </c>
      <c r="L1276" t="s">
        <v>3801</v>
      </c>
      <c r="M1276">
        <v>0</v>
      </c>
      <c r="N1276">
        <v>0</v>
      </c>
      <c r="O1276" s="1">
        <v>4239795082094380</v>
      </c>
      <c r="Q1276" t="b">
        <v>0</v>
      </c>
    </row>
    <row r="1277" spans="1:17" x14ac:dyDescent="0.35">
      <c r="A1277" t="s">
        <v>3804</v>
      </c>
      <c r="B1277" t="s">
        <v>18</v>
      </c>
      <c r="C1277" t="s">
        <v>3805</v>
      </c>
      <c r="D1277">
        <v>0</v>
      </c>
      <c r="E1277">
        <v>0</v>
      </c>
      <c r="F1277" t="s">
        <v>20</v>
      </c>
      <c r="G1277">
        <v>0</v>
      </c>
      <c r="H1277">
        <v>0</v>
      </c>
      <c r="I1277">
        <v>0</v>
      </c>
      <c r="J1277">
        <v>0</v>
      </c>
      <c r="K1277" t="s">
        <v>21</v>
      </c>
      <c r="L1277" t="s">
        <v>3801</v>
      </c>
      <c r="M1277">
        <v>0</v>
      </c>
      <c r="N1277">
        <v>0</v>
      </c>
      <c r="O1277" s="1">
        <v>4239823601982460</v>
      </c>
      <c r="Q1277" t="b">
        <v>0</v>
      </c>
    </row>
    <row r="1278" spans="1:17" x14ac:dyDescent="0.35">
      <c r="A1278" t="s">
        <v>3806</v>
      </c>
      <c r="B1278" t="s">
        <v>18</v>
      </c>
      <c r="C1278" t="s">
        <v>3807</v>
      </c>
      <c r="D1278">
        <v>0</v>
      </c>
      <c r="E1278">
        <v>0</v>
      </c>
      <c r="F1278" t="s">
        <v>20</v>
      </c>
      <c r="G1278">
        <v>0</v>
      </c>
      <c r="H1278">
        <v>0</v>
      </c>
      <c r="I1278">
        <v>0</v>
      </c>
      <c r="J1278">
        <v>0</v>
      </c>
      <c r="K1278" t="s">
        <v>21</v>
      </c>
      <c r="L1278" t="s">
        <v>3801</v>
      </c>
      <c r="M1278">
        <v>0</v>
      </c>
      <c r="N1278">
        <v>0</v>
      </c>
      <c r="O1278" s="1">
        <v>4.23985212187054E+16</v>
      </c>
      <c r="Q1278" t="b">
        <v>0</v>
      </c>
    </row>
    <row r="1279" spans="1:17" x14ac:dyDescent="0.35">
      <c r="A1279" t="s">
        <v>3808</v>
      </c>
      <c r="B1279" t="s">
        <v>18</v>
      </c>
      <c r="C1279" t="s">
        <v>3809</v>
      </c>
      <c r="D1279">
        <v>0</v>
      </c>
      <c r="E1279">
        <v>0</v>
      </c>
      <c r="F1279" t="s">
        <v>20</v>
      </c>
      <c r="G1279">
        <v>0</v>
      </c>
      <c r="H1279">
        <v>0</v>
      </c>
      <c r="I1279">
        <v>0</v>
      </c>
      <c r="J1279">
        <v>0</v>
      </c>
      <c r="K1279" t="s">
        <v>388</v>
      </c>
      <c r="L1279" s="1">
        <v>3.186E+16</v>
      </c>
      <c r="M1279">
        <v>0</v>
      </c>
      <c r="N1279">
        <v>0</v>
      </c>
      <c r="O1279" s="1">
        <v>4239880641758620</v>
      </c>
      <c r="Q1279" t="b">
        <v>0</v>
      </c>
    </row>
    <row r="1280" spans="1:17" x14ac:dyDescent="0.35">
      <c r="A1280" t="s">
        <v>3810</v>
      </c>
      <c r="B1280" t="s">
        <v>18</v>
      </c>
      <c r="C1280" t="s">
        <v>3811</v>
      </c>
      <c r="D1280">
        <v>0</v>
      </c>
      <c r="E1280">
        <v>0</v>
      </c>
      <c r="F1280" t="s">
        <v>20</v>
      </c>
      <c r="G1280">
        <v>0</v>
      </c>
      <c r="H1280">
        <v>0</v>
      </c>
      <c r="I1280">
        <v>0</v>
      </c>
      <c r="J1280">
        <v>0</v>
      </c>
      <c r="K1280" t="s">
        <v>388</v>
      </c>
      <c r="L1280" s="1">
        <v>3.186E+16</v>
      </c>
      <c r="M1280">
        <v>0</v>
      </c>
      <c r="N1280">
        <v>0</v>
      </c>
      <c r="O1280" s="1">
        <v>423990916164671</v>
      </c>
      <c r="Q1280" t="b">
        <v>0</v>
      </c>
    </row>
    <row r="1281" spans="1:17" x14ac:dyDescent="0.35">
      <c r="A1281" t="s">
        <v>3812</v>
      </c>
      <c r="B1281" t="s">
        <v>18</v>
      </c>
      <c r="C1281" t="s">
        <v>3813</v>
      </c>
      <c r="D1281">
        <v>0</v>
      </c>
      <c r="E1281">
        <v>0</v>
      </c>
      <c r="F1281" t="s">
        <v>20</v>
      </c>
      <c r="G1281">
        <v>0</v>
      </c>
      <c r="H1281">
        <v>0</v>
      </c>
      <c r="I1281">
        <v>0</v>
      </c>
      <c r="J1281">
        <v>0</v>
      </c>
      <c r="K1281" t="s">
        <v>388</v>
      </c>
      <c r="L1281" s="1">
        <v>3.186E+16</v>
      </c>
      <c r="M1281">
        <v>0</v>
      </c>
      <c r="N1281">
        <v>0</v>
      </c>
      <c r="O1281" s="1">
        <v>4239937681534790</v>
      </c>
      <c r="Q1281" t="b">
        <v>0</v>
      </c>
    </row>
    <row r="1282" spans="1:17" x14ac:dyDescent="0.35">
      <c r="A1282" t="s">
        <v>3814</v>
      </c>
      <c r="B1282" t="s">
        <v>18</v>
      </c>
      <c r="C1282" t="s">
        <v>3815</v>
      </c>
      <c r="D1282">
        <v>0</v>
      </c>
      <c r="E1282">
        <v>0</v>
      </c>
      <c r="F1282" t="s">
        <v>20</v>
      </c>
      <c r="G1282">
        <v>0</v>
      </c>
      <c r="H1282">
        <v>0</v>
      </c>
      <c r="I1282">
        <v>0</v>
      </c>
      <c r="J1282">
        <v>0</v>
      </c>
      <c r="K1282" t="s">
        <v>388</v>
      </c>
      <c r="L1282" s="1">
        <v>3.186E+16</v>
      </c>
      <c r="M1282">
        <v>0</v>
      </c>
      <c r="N1282">
        <v>0</v>
      </c>
      <c r="O1282" s="1">
        <v>4239966201422870</v>
      </c>
      <c r="Q1282" t="b">
        <v>0</v>
      </c>
    </row>
    <row r="1283" spans="1:17" x14ac:dyDescent="0.35">
      <c r="A1283" t="s">
        <v>3816</v>
      </c>
      <c r="B1283" t="s">
        <v>18</v>
      </c>
      <c r="C1283" t="s">
        <v>3817</v>
      </c>
      <c r="D1283">
        <v>0</v>
      </c>
      <c r="E1283">
        <v>0</v>
      </c>
      <c r="F1283" t="s">
        <v>20</v>
      </c>
      <c r="G1283">
        <v>0</v>
      </c>
      <c r="H1283">
        <v>0</v>
      </c>
      <c r="I1283">
        <v>0</v>
      </c>
      <c r="J1283">
        <v>0</v>
      </c>
      <c r="K1283" t="s">
        <v>804</v>
      </c>
      <c r="L1283" t="s">
        <v>3818</v>
      </c>
      <c r="M1283">
        <v>0</v>
      </c>
      <c r="N1283">
        <v>0</v>
      </c>
      <c r="O1283" s="1">
        <v>4239994721310950</v>
      </c>
      <c r="Q1283" t="b">
        <v>0</v>
      </c>
    </row>
    <row r="1284" spans="1:17" x14ac:dyDescent="0.35">
      <c r="A1284" t="s">
        <v>3819</v>
      </c>
      <c r="B1284" t="s">
        <v>18</v>
      </c>
      <c r="C1284" t="s">
        <v>3820</v>
      </c>
      <c r="D1284">
        <v>0</v>
      </c>
      <c r="E1284">
        <v>0</v>
      </c>
      <c r="F1284" t="s">
        <v>20</v>
      </c>
      <c r="G1284">
        <v>0</v>
      </c>
      <c r="H1284">
        <v>0</v>
      </c>
      <c r="I1284">
        <v>0</v>
      </c>
      <c r="J1284">
        <v>0</v>
      </c>
      <c r="K1284" t="s">
        <v>804</v>
      </c>
      <c r="L1284" t="s">
        <v>3818</v>
      </c>
      <c r="M1284">
        <v>0</v>
      </c>
      <c r="N1284">
        <v>0</v>
      </c>
      <c r="O1284" s="1">
        <v>4240023241199030</v>
      </c>
      <c r="Q1284" t="b">
        <v>0</v>
      </c>
    </row>
    <row r="1285" spans="1:17" x14ac:dyDescent="0.35">
      <c r="A1285" t="s">
        <v>3821</v>
      </c>
      <c r="B1285" t="s">
        <v>18</v>
      </c>
      <c r="C1285" t="s">
        <v>3822</v>
      </c>
      <c r="D1285">
        <v>0</v>
      </c>
      <c r="E1285">
        <v>0</v>
      </c>
      <c r="F1285" t="s">
        <v>20</v>
      </c>
      <c r="G1285">
        <v>0</v>
      </c>
      <c r="H1285">
        <v>0</v>
      </c>
      <c r="I1285">
        <v>0</v>
      </c>
      <c r="J1285">
        <v>0</v>
      </c>
      <c r="K1285" t="s">
        <v>804</v>
      </c>
      <c r="L1285" t="s">
        <v>3818</v>
      </c>
      <c r="M1285">
        <v>0</v>
      </c>
      <c r="N1285">
        <v>0</v>
      </c>
      <c r="O1285" s="1">
        <v>4240051761087110</v>
      </c>
      <c r="Q1285" t="b">
        <v>0</v>
      </c>
    </row>
    <row r="1286" spans="1:17" x14ac:dyDescent="0.35">
      <c r="A1286" t="s">
        <v>3823</v>
      </c>
      <c r="B1286" t="s">
        <v>18</v>
      </c>
      <c r="C1286" t="s">
        <v>3824</v>
      </c>
      <c r="D1286">
        <v>0</v>
      </c>
      <c r="E1286">
        <v>0</v>
      </c>
      <c r="F1286" t="s">
        <v>20</v>
      </c>
      <c r="G1286">
        <v>0</v>
      </c>
      <c r="H1286">
        <v>0</v>
      </c>
      <c r="I1286">
        <v>0</v>
      </c>
      <c r="J1286">
        <v>0</v>
      </c>
      <c r="K1286" t="s">
        <v>804</v>
      </c>
      <c r="L1286" t="s">
        <v>3818</v>
      </c>
      <c r="M1286">
        <v>0</v>
      </c>
      <c r="N1286">
        <v>0</v>
      </c>
      <c r="O1286" s="1">
        <v>4240080280975190</v>
      </c>
      <c r="Q1286" t="b">
        <v>0</v>
      </c>
    </row>
    <row r="1287" spans="1:17" x14ac:dyDescent="0.35">
      <c r="A1287" t="s">
        <v>3825</v>
      </c>
      <c r="B1287" t="s">
        <v>18</v>
      </c>
      <c r="C1287" t="s">
        <v>3826</v>
      </c>
      <c r="D1287">
        <v>0</v>
      </c>
      <c r="E1287">
        <v>0</v>
      </c>
      <c r="F1287" t="s">
        <v>20</v>
      </c>
      <c r="G1287">
        <v>0</v>
      </c>
      <c r="H1287">
        <v>0</v>
      </c>
      <c r="I1287">
        <v>0</v>
      </c>
      <c r="J1287">
        <v>0</v>
      </c>
      <c r="K1287">
        <v>2</v>
      </c>
      <c r="L1287" s="1">
        <v>3.9239999999999904E+16</v>
      </c>
      <c r="M1287">
        <v>0</v>
      </c>
      <c r="N1287">
        <v>0</v>
      </c>
      <c r="O1287" s="1">
        <v>4240108800863280</v>
      </c>
      <c r="Q1287" t="b">
        <v>0</v>
      </c>
    </row>
    <row r="1288" spans="1:17" x14ac:dyDescent="0.35">
      <c r="A1288" t="s">
        <v>3827</v>
      </c>
      <c r="B1288" t="s">
        <v>18</v>
      </c>
      <c r="C1288" t="s">
        <v>3828</v>
      </c>
      <c r="D1288">
        <v>0</v>
      </c>
      <c r="E1288">
        <v>0</v>
      </c>
      <c r="F1288" t="s">
        <v>20</v>
      </c>
      <c r="G1288">
        <v>0</v>
      </c>
      <c r="H1288">
        <v>0</v>
      </c>
      <c r="I1288">
        <v>0</v>
      </c>
      <c r="J1288">
        <v>0</v>
      </c>
      <c r="K1288">
        <v>2</v>
      </c>
      <c r="L1288" s="1">
        <v>3.9239999999999904E+16</v>
      </c>
      <c r="M1288">
        <v>0</v>
      </c>
      <c r="N1288">
        <v>0</v>
      </c>
      <c r="O1288" s="1">
        <v>4240137320751360</v>
      </c>
      <c r="Q1288" t="b">
        <v>0</v>
      </c>
    </row>
    <row r="1289" spans="1:17" x14ac:dyDescent="0.35">
      <c r="A1289" t="s">
        <v>3829</v>
      </c>
      <c r="B1289" t="s">
        <v>18</v>
      </c>
      <c r="C1289" t="s">
        <v>3830</v>
      </c>
      <c r="D1289">
        <v>0</v>
      </c>
      <c r="E1289">
        <v>0</v>
      </c>
      <c r="F1289" t="s">
        <v>20</v>
      </c>
      <c r="G1289">
        <v>0</v>
      </c>
      <c r="H1289">
        <v>0</v>
      </c>
      <c r="I1289">
        <v>0</v>
      </c>
      <c r="J1289">
        <v>0</v>
      </c>
      <c r="K1289">
        <v>2</v>
      </c>
      <c r="L1289" s="1">
        <v>3.9239999999999904E+16</v>
      </c>
      <c r="M1289">
        <v>0</v>
      </c>
      <c r="N1289">
        <v>0</v>
      </c>
      <c r="O1289" s="1">
        <v>4240165840639440</v>
      </c>
      <c r="Q1289" t="b">
        <v>0</v>
      </c>
    </row>
    <row r="1290" spans="1:17" x14ac:dyDescent="0.35">
      <c r="A1290" t="s">
        <v>3831</v>
      </c>
      <c r="B1290" t="s">
        <v>18</v>
      </c>
      <c r="C1290" t="s">
        <v>3832</v>
      </c>
      <c r="D1290">
        <v>0</v>
      </c>
      <c r="E1290">
        <v>0</v>
      </c>
      <c r="F1290" t="s">
        <v>20</v>
      </c>
      <c r="G1290">
        <v>0</v>
      </c>
      <c r="H1290">
        <v>0</v>
      </c>
      <c r="I1290">
        <v>0</v>
      </c>
      <c r="J1290">
        <v>0</v>
      </c>
      <c r="K1290">
        <v>2</v>
      </c>
      <c r="L1290" s="1">
        <v>3.9239999999999904E+16</v>
      </c>
      <c r="M1290">
        <v>0</v>
      </c>
      <c r="N1290">
        <v>0</v>
      </c>
      <c r="O1290" s="1">
        <v>4240194360527520</v>
      </c>
      <c r="Q1290" t="b">
        <v>0</v>
      </c>
    </row>
    <row r="1291" spans="1:17" x14ac:dyDescent="0.35">
      <c r="A1291" t="s">
        <v>3833</v>
      </c>
      <c r="B1291" t="s">
        <v>18</v>
      </c>
      <c r="C1291" t="s">
        <v>3834</v>
      </c>
      <c r="D1291">
        <v>0</v>
      </c>
      <c r="E1291">
        <v>0</v>
      </c>
      <c r="F1291" t="s">
        <v>20</v>
      </c>
      <c r="G1291">
        <v>0</v>
      </c>
      <c r="H1291">
        <v>0</v>
      </c>
      <c r="I1291">
        <v>0</v>
      </c>
      <c r="J1291">
        <v>0</v>
      </c>
      <c r="K1291" t="s">
        <v>286</v>
      </c>
      <c r="L1291" t="s">
        <v>3835</v>
      </c>
      <c r="M1291">
        <v>0</v>
      </c>
      <c r="N1291">
        <v>0</v>
      </c>
      <c r="O1291" s="1">
        <v>4240222880415600</v>
      </c>
      <c r="Q1291" t="b">
        <v>0</v>
      </c>
    </row>
    <row r="1292" spans="1:17" x14ac:dyDescent="0.35">
      <c r="A1292" t="s">
        <v>3836</v>
      </c>
      <c r="B1292" t="s">
        <v>18</v>
      </c>
      <c r="C1292" t="s">
        <v>3837</v>
      </c>
      <c r="D1292">
        <v>0</v>
      </c>
      <c r="E1292">
        <v>0</v>
      </c>
      <c r="F1292" t="s">
        <v>20</v>
      </c>
      <c r="G1292">
        <v>0</v>
      </c>
      <c r="H1292">
        <v>0</v>
      </c>
      <c r="I1292">
        <v>0</v>
      </c>
      <c r="J1292">
        <v>0</v>
      </c>
      <c r="K1292" t="s">
        <v>286</v>
      </c>
      <c r="L1292" t="s">
        <v>3835</v>
      </c>
      <c r="M1292">
        <v>0</v>
      </c>
      <c r="N1292">
        <v>0</v>
      </c>
      <c r="O1292" s="1">
        <v>4240251400303680</v>
      </c>
      <c r="Q1292" t="b">
        <v>0</v>
      </c>
    </row>
    <row r="1293" spans="1:17" x14ac:dyDescent="0.35">
      <c r="A1293" t="s">
        <v>3838</v>
      </c>
      <c r="B1293" t="s">
        <v>18</v>
      </c>
      <c r="C1293" t="s">
        <v>3839</v>
      </c>
      <c r="D1293">
        <v>0</v>
      </c>
      <c r="E1293">
        <v>0</v>
      </c>
      <c r="F1293" t="s">
        <v>20</v>
      </c>
      <c r="G1293">
        <v>0</v>
      </c>
      <c r="H1293">
        <v>0</v>
      </c>
      <c r="I1293">
        <v>0</v>
      </c>
      <c r="J1293">
        <v>0</v>
      </c>
      <c r="K1293" t="s">
        <v>286</v>
      </c>
      <c r="L1293" t="s">
        <v>3835</v>
      </c>
      <c r="M1293">
        <v>0</v>
      </c>
      <c r="N1293">
        <v>0</v>
      </c>
      <c r="O1293" s="1">
        <v>424027992019177</v>
      </c>
      <c r="Q1293" t="b">
        <v>0</v>
      </c>
    </row>
    <row r="1294" spans="1:17" x14ac:dyDescent="0.35">
      <c r="A1294" t="s">
        <v>3840</v>
      </c>
      <c r="B1294" t="s">
        <v>18</v>
      </c>
      <c r="C1294" t="s">
        <v>3841</v>
      </c>
      <c r="D1294">
        <v>0</v>
      </c>
      <c r="E1294">
        <v>0</v>
      </c>
      <c r="F1294" t="s">
        <v>20</v>
      </c>
      <c r="G1294">
        <v>0</v>
      </c>
      <c r="H1294">
        <v>0</v>
      </c>
      <c r="I1294">
        <v>0</v>
      </c>
      <c r="J1294">
        <v>0</v>
      </c>
      <c r="K1294" t="s">
        <v>286</v>
      </c>
      <c r="L1294" t="s">
        <v>3835</v>
      </c>
      <c r="M1294">
        <v>0</v>
      </c>
      <c r="N1294">
        <v>0</v>
      </c>
      <c r="O1294" s="1">
        <v>4240308440079850</v>
      </c>
      <c r="Q1294" t="b">
        <v>0</v>
      </c>
    </row>
    <row r="1295" spans="1:17" x14ac:dyDescent="0.35">
      <c r="A1295" t="s">
        <v>3842</v>
      </c>
      <c r="B1295" t="s">
        <v>18</v>
      </c>
      <c r="C1295" t="s">
        <v>3843</v>
      </c>
      <c r="D1295">
        <v>0</v>
      </c>
      <c r="E1295">
        <v>0</v>
      </c>
      <c r="F1295" t="s">
        <v>20</v>
      </c>
      <c r="G1295">
        <v>0</v>
      </c>
      <c r="H1295">
        <v>0</v>
      </c>
      <c r="I1295">
        <v>0</v>
      </c>
      <c r="J1295">
        <v>0</v>
      </c>
      <c r="K1295" t="s">
        <v>312</v>
      </c>
      <c r="L1295" t="s">
        <v>3844</v>
      </c>
      <c r="M1295">
        <v>0</v>
      </c>
      <c r="N1295">
        <v>0</v>
      </c>
      <c r="O1295" s="1">
        <v>4240336959967930</v>
      </c>
      <c r="Q1295" t="b">
        <v>0</v>
      </c>
    </row>
    <row r="1296" spans="1:17" x14ac:dyDescent="0.35">
      <c r="A1296" t="s">
        <v>3845</v>
      </c>
      <c r="B1296" t="s">
        <v>18</v>
      </c>
      <c r="C1296" t="s">
        <v>3846</v>
      </c>
      <c r="D1296">
        <v>0</v>
      </c>
      <c r="E1296">
        <v>0</v>
      </c>
      <c r="F1296" t="s">
        <v>20</v>
      </c>
      <c r="G1296">
        <v>0</v>
      </c>
      <c r="H1296">
        <v>0</v>
      </c>
      <c r="I1296">
        <v>0</v>
      </c>
      <c r="J1296">
        <v>0</v>
      </c>
      <c r="K1296" t="s">
        <v>312</v>
      </c>
      <c r="L1296" t="s">
        <v>3844</v>
      </c>
      <c r="M1296">
        <v>0</v>
      </c>
      <c r="N1296">
        <v>0</v>
      </c>
      <c r="O1296" s="1">
        <v>4240365479856010</v>
      </c>
      <c r="Q1296" t="b">
        <v>0</v>
      </c>
    </row>
    <row r="1297" spans="1:17" x14ac:dyDescent="0.35">
      <c r="A1297" t="s">
        <v>3847</v>
      </c>
      <c r="B1297" t="s">
        <v>18</v>
      </c>
      <c r="C1297" t="s">
        <v>3848</v>
      </c>
      <c r="D1297">
        <v>0</v>
      </c>
      <c r="E1297">
        <v>0</v>
      </c>
      <c r="F1297" t="s">
        <v>20</v>
      </c>
      <c r="G1297">
        <v>0</v>
      </c>
      <c r="H1297">
        <v>0</v>
      </c>
      <c r="I1297">
        <v>0</v>
      </c>
      <c r="J1297">
        <v>0</v>
      </c>
      <c r="K1297" t="s">
        <v>312</v>
      </c>
      <c r="L1297" t="s">
        <v>3844</v>
      </c>
      <c r="M1297">
        <v>0</v>
      </c>
      <c r="N1297">
        <v>0</v>
      </c>
      <c r="O1297" s="1">
        <v>4.2403939997440896E+16</v>
      </c>
      <c r="Q1297" t="b">
        <v>0</v>
      </c>
    </row>
    <row r="1298" spans="1:17" x14ac:dyDescent="0.35">
      <c r="A1298" t="s">
        <v>3849</v>
      </c>
      <c r="B1298" t="s">
        <v>18</v>
      </c>
      <c r="C1298" t="s">
        <v>3850</v>
      </c>
      <c r="D1298">
        <v>0</v>
      </c>
      <c r="E1298">
        <v>0</v>
      </c>
      <c r="F1298" t="s">
        <v>20</v>
      </c>
      <c r="G1298">
        <v>0</v>
      </c>
      <c r="H1298">
        <v>0</v>
      </c>
      <c r="I1298">
        <v>0</v>
      </c>
      <c r="J1298">
        <v>0</v>
      </c>
      <c r="K1298" t="s">
        <v>312</v>
      </c>
      <c r="L1298" t="s">
        <v>3844</v>
      </c>
      <c r="M1298">
        <v>0</v>
      </c>
      <c r="N1298">
        <v>0</v>
      </c>
      <c r="O1298" s="1">
        <v>4240422519632170</v>
      </c>
      <c r="Q1298" t="b">
        <v>0</v>
      </c>
    </row>
    <row r="1299" spans="1:17" x14ac:dyDescent="0.35">
      <c r="A1299" t="s">
        <v>3851</v>
      </c>
      <c r="B1299" t="s">
        <v>18</v>
      </c>
      <c r="C1299" t="s">
        <v>3852</v>
      </c>
      <c r="D1299">
        <v>0</v>
      </c>
      <c r="E1299">
        <v>0</v>
      </c>
      <c r="F1299" t="s">
        <v>20</v>
      </c>
      <c r="G1299">
        <v>0</v>
      </c>
      <c r="H1299">
        <v>0</v>
      </c>
      <c r="I1299">
        <v>0</v>
      </c>
      <c r="J1299">
        <v>0</v>
      </c>
      <c r="K1299" t="s">
        <v>2681</v>
      </c>
      <c r="L1299" t="s">
        <v>3853</v>
      </c>
      <c r="M1299">
        <v>0</v>
      </c>
      <c r="N1299">
        <v>0</v>
      </c>
      <c r="O1299" s="1">
        <v>4240451039520250</v>
      </c>
      <c r="Q1299" t="b">
        <v>0</v>
      </c>
    </row>
    <row r="1300" spans="1:17" x14ac:dyDescent="0.35">
      <c r="A1300" t="s">
        <v>3854</v>
      </c>
      <c r="B1300" t="s">
        <v>18</v>
      </c>
      <c r="C1300" t="s">
        <v>3855</v>
      </c>
      <c r="D1300">
        <v>0</v>
      </c>
      <c r="E1300">
        <v>0</v>
      </c>
      <c r="F1300" t="s">
        <v>20</v>
      </c>
      <c r="G1300">
        <v>0</v>
      </c>
      <c r="H1300">
        <v>0</v>
      </c>
      <c r="I1300">
        <v>0</v>
      </c>
      <c r="J1300">
        <v>0</v>
      </c>
      <c r="K1300" t="s">
        <v>2681</v>
      </c>
      <c r="L1300" t="s">
        <v>3853</v>
      </c>
      <c r="M1300">
        <v>0</v>
      </c>
      <c r="N1300">
        <v>0</v>
      </c>
      <c r="O1300" s="1">
        <v>4.24047955940834E+16</v>
      </c>
      <c r="Q1300" t="b">
        <v>0</v>
      </c>
    </row>
    <row r="1301" spans="1:17" x14ac:dyDescent="0.35">
      <c r="A1301" t="s">
        <v>3856</v>
      </c>
      <c r="B1301" t="s">
        <v>18</v>
      </c>
      <c r="C1301" t="s">
        <v>3857</v>
      </c>
      <c r="D1301">
        <v>0</v>
      </c>
      <c r="E1301">
        <v>0</v>
      </c>
      <c r="F1301" t="s">
        <v>20</v>
      </c>
      <c r="G1301" t="s">
        <v>3858</v>
      </c>
      <c r="H1301">
        <v>0</v>
      </c>
      <c r="I1301">
        <v>0</v>
      </c>
      <c r="J1301">
        <v>0</v>
      </c>
      <c r="K1301" t="s">
        <v>2681</v>
      </c>
      <c r="L1301" t="s">
        <v>3853</v>
      </c>
      <c r="M1301">
        <v>0</v>
      </c>
      <c r="N1301">
        <v>0</v>
      </c>
      <c r="O1301" s="1">
        <v>4240508079296420</v>
      </c>
      <c r="Q1301" t="b">
        <v>0</v>
      </c>
    </row>
    <row r="1302" spans="1:17" x14ac:dyDescent="0.35">
      <c r="A1302" t="s">
        <v>3859</v>
      </c>
      <c r="B1302" t="s">
        <v>18</v>
      </c>
      <c r="C1302" t="s">
        <v>3860</v>
      </c>
      <c r="D1302">
        <v>0</v>
      </c>
      <c r="E1302" t="s">
        <v>3861</v>
      </c>
      <c r="F1302" t="s">
        <v>20</v>
      </c>
      <c r="G1302" t="s">
        <v>3862</v>
      </c>
      <c r="H1302">
        <v>0</v>
      </c>
      <c r="I1302">
        <v>0</v>
      </c>
      <c r="J1302">
        <v>0</v>
      </c>
      <c r="K1302" t="s">
        <v>2681</v>
      </c>
      <c r="L1302" t="s">
        <v>3853</v>
      </c>
      <c r="M1302">
        <v>0</v>
      </c>
      <c r="N1302">
        <v>0</v>
      </c>
      <c r="O1302" s="1">
        <v>4240536599184500</v>
      </c>
      <c r="Q1302" t="b">
        <v>0</v>
      </c>
    </row>
    <row r="1303" spans="1:17" x14ac:dyDescent="0.35">
      <c r="A1303" t="s">
        <v>3863</v>
      </c>
      <c r="B1303" t="s">
        <v>18</v>
      </c>
      <c r="C1303" t="s">
        <v>3864</v>
      </c>
      <c r="D1303">
        <v>0</v>
      </c>
      <c r="E1303" t="s">
        <v>3865</v>
      </c>
      <c r="F1303" t="s">
        <v>20</v>
      </c>
      <c r="G1303" t="s">
        <v>3866</v>
      </c>
      <c r="H1303" s="1">
        <v>3652333333333330</v>
      </c>
      <c r="I1303">
        <v>0</v>
      </c>
      <c r="J1303">
        <v>12</v>
      </c>
      <c r="K1303" t="s">
        <v>3867</v>
      </c>
      <c r="L1303" t="s">
        <v>3868</v>
      </c>
      <c r="M1303">
        <v>0</v>
      </c>
      <c r="N1303">
        <v>0</v>
      </c>
      <c r="O1303" s="1">
        <v>4240565119072580</v>
      </c>
      <c r="Q1303" t="b">
        <v>0</v>
      </c>
    </row>
    <row r="1304" spans="1:17" x14ac:dyDescent="0.35">
      <c r="A1304" t="s">
        <v>3869</v>
      </c>
      <c r="B1304" t="s">
        <v>18</v>
      </c>
      <c r="C1304" t="s">
        <v>3870</v>
      </c>
      <c r="D1304">
        <v>0</v>
      </c>
      <c r="E1304" t="s">
        <v>3871</v>
      </c>
      <c r="F1304" t="s">
        <v>20</v>
      </c>
      <c r="G1304" t="s">
        <v>3872</v>
      </c>
      <c r="H1304" s="1">
        <v>3652333333333330</v>
      </c>
      <c r="I1304">
        <v>0</v>
      </c>
      <c r="J1304">
        <v>12</v>
      </c>
      <c r="K1304" t="s">
        <v>3867</v>
      </c>
      <c r="L1304" t="s">
        <v>3868</v>
      </c>
      <c r="M1304">
        <v>0</v>
      </c>
      <c r="N1304">
        <v>0</v>
      </c>
      <c r="O1304" s="1">
        <v>4240593638960660</v>
      </c>
      <c r="Q1304" t="b">
        <v>0</v>
      </c>
    </row>
    <row r="1305" spans="1:17" x14ac:dyDescent="0.35">
      <c r="A1305" t="s">
        <v>3873</v>
      </c>
      <c r="B1305" t="s">
        <v>18</v>
      </c>
      <c r="C1305" t="s">
        <v>3874</v>
      </c>
      <c r="D1305">
        <v>0</v>
      </c>
      <c r="E1305" t="s">
        <v>3875</v>
      </c>
      <c r="F1305" t="s">
        <v>20</v>
      </c>
      <c r="G1305" t="s">
        <v>3876</v>
      </c>
      <c r="H1305" s="1">
        <v>3652333333333330</v>
      </c>
      <c r="I1305">
        <v>0</v>
      </c>
      <c r="J1305">
        <v>12</v>
      </c>
      <c r="K1305" t="s">
        <v>3867</v>
      </c>
      <c r="L1305" t="s">
        <v>3868</v>
      </c>
      <c r="M1305">
        <v>0</v>
      </c>
      <c r="N1305">
        <v>0</v>
      </c>
      <c r="O1305" s="1">
        <v>4240622158848740</v>
      </c>
      <c r="Q1305" t="b">
        <v>0</v>
      </c>
    </row>
    <row r="1306" spans="1:17" x14ac:dyDescent="0.35">
      <c r="A1306" t="s">
        <v>3877</v>
      </c>
      <c r="B1306" t="s">
        <v>18</v>
      </c>
      <c r="C1306" t="s">
        <v>3878</v>
      </c>
      <c r="D1306">
        <v>0</v>
      </c>
      <c r="E1306" t="s">
        <v>3879</v>
      </c>
      <c r="F1306" t="s">
        <v>20</v>
      </c>
      <c r="G1306" t="s">
        <v>3880</v>
      </c>
      <c r="H1306" s="1">
        <v>3652333333333330</v>
      </c>
      <c r="I1306">
        <v>0</v>
      </c>
      <c r="J1306">
        <v>12</v>
      </c>
      <c r="K1306" t="s">
        <v>3867</v>
      </c>
      <c r="L1306" t="s">
        <v>3868</v>
      </c>
      <c r="M1306">
        <v>0</v>
      </c>
      <c r="N1306">
        <v>0</v>
      </c>
      <c r="O1306" s="1">
        <v>4240650678736830</v>
      </c>
      <c r="Q1306" t="b">
        <v>0</v>
      </c>
    </row>
    <row r="1307" spans="1:17" x14ac:dyDescent="0.35">
      <c r="A1307" t="s">
        <v>3881</v>
      </c>
      <c r="B1307" t="s">
        <v>18</v>
      </c>
      <c r="C1307" t="s">
        <v>3882</v>
      </c>
      <c r="D1307">
        <v>0</v>
      </c>
      <c r="E1307" t="s">
        <v>3883</v>
      </c>
      <c r="F1307" t="s">
        <v>20</v>
      </c>
      <c r="G1307" t="s">
        <v>3884</v>
      </c>
      <c r="H1307" s="1">
        <v>6469833333333330</v>
      </c>
      <c r="I1307">
        <v>0</v>
      </c>
      <c r="J1307" t="s">
        <v>1814</v>
      </c>
      <c r="K1307" t="s">
        <v>3885</v>
      </c>
      <c r="L1307" t="s">
        <v>3886</v>
      </c>
      <c r="M1307">
        <v>0</v>
      </c>
      <c r="N1307">
        <v>0</v>
      </c>
      <c r="O1307" s="1">
        <v>4240679198624910</v>
      </c>
      <c r="Q1307" t="b">
        <v>0</v>
      </c>
    </row>
    <row r="1308" spans="1:17" x14ac:dyDescent="0.35">
      <c r="A1308" t="s">
        <v>3887</v>
      </c>
      <c r="B1308" t="s">
        <v>18</v>
      </c>
      <c r="C1308" t="s">
        <v>3888</v>
      </c>
      <c r="D1308">
        <v>0</v>
      </c>
      <c r="E1308" t="s">
        <v>3889</v>
      </c>
      <c r="F1308" t="s">
        <v>20</v>
      </c>
      <c r="G1308" t="s">
        <v>3890</v>
      </c>
      <c r="H1308" s="1">
        <v>6469833333333330</v>
      </c>
      <c r="I1308">
        <v>0</v>
      </c>
      <c r="J1308" t="s">
        <v>1814</v>
      </c>
      <c r="K1308" t="s">
        <v>3885</v>
      </c>
      <c r="L1308" t="s">
        <v>3886</v>
      </c>
      <c r="M1308">
        <v>0</v>
      </c>
      <c r="N1308">
        <v>0</v>
      </c>
      <c r="O1308" s="1">
        <v>4.2407077185129904E+16</v>
      </c>
      <c r="Q1308" t="b">
        <v>0</v>
      </c>
    </row>
    <row r="1309" spans="1:17" x14ac:dyDescent="0.35">
      <c r="A1309" t="s">
        <v>3891</v>
      </c>
      <c r="B1309" t="s">
        <v>18</v>
      </c>
      <c r="C1309" t="s">
        <v>3892</v>
      </c>
      <c r="D1309">
        <v>0</v>
      </c>
      <c r="E1309" t="s">
        <v>3893</v>
      </c>
      <c r="F1309" t="s">
        <v>20</v>
      </c>
      <c r="G1309" t="s">
        <v>3894</v>
      </c>
      <c r="H1309" s="1">
        <v>6469833333333330</v>
      </c>
      <c r="I1309">
        <v>0</v>
      </c>
      <c r="J1309" t="s">
        <v>1814</v>
      </c>
      <c r="K1309" t="s">
        <v>3885</v>
      </c>
      <c r="L1309" t="s">
        <v>3886</v>
      </c>
      <c r="M1309">
        <v>0</v>
      </c>
      <c r="N1309">
        <v>0</v>
      </c>
      <c r="O1309" s="1">
        <v>4240736238401070</v>
      </c>
      <c r="Q1309" t="b">
        <v>0</v>
      </c>
    </row>
    <row r="1310" spans="1:17" x14ac:dyDescent="0.35">
      <c r="A1310" t="s">
        <v>3895</v>
      </c>
      <c r="B1310" t="s">
        <v>18</v>
      </c>
      <c r="C1310" t="s">
        <v>3896</v>
      </c>
      <c r="D1310">
        <v>0</v>
      </c>
      <c r="E1310" t="s">
        <v>3897</v>
      </c>
      <c r="F1310" t="s">
        <v>20</v>
      </c>
      <c r="G1310" t="s">
        <v>3898</v>
      </c>
      <c r="H1310" s="1">
        <v>6469833333333330</v>
      </c>
      <c r="I1310">
        <v>0</v>
      </c>
      <c r="J1310" t="s">
        <v>1814</v>
      </c>
      <c r="K1310" t="s">
        <v>3885</v>
      </c>
      <c r="L1310" t="s">
        <v>3886</v>
      </c>
      <c r="M1310">
        <v>0</v>
      </c>
      <c r="N1310">
        <v>0</v>
      </c>
      <c r="O1310" s="1">
        <v>4240764758289150</v>
      </c>
      <c r="Q1310" t="b">
        <v>0</v>
      </c>
    </row>
    <row r="1311" spans="1:17" x14ac:dyDescent="0.35">
      <c r="A1311" t="s">
        <v>3899</v>
      </c>
      <c r="B1311" t="s">
        <v>18</v>
      </c>
      <c r="C1311" t="s">
        <v>3900</v>
      </c>
      <c r="D1311">
        <v>0</v>
      </c>
      <c r="E1311" t="s">
        <v>3901</v>
      </c>
      <c r="F1311" t="s">
        <v>20</v>
      </c>
      <c r="G1311" t="s">
        <v>3902</v>
      </c>
      <c r="H1311" s="1">
        <v>6460666666666660</v>
      </c>
      <c r="I1311">
        <v>0</v>
      </c>
      <c r="J1311">
        <v>61</v>
      </c>
      <c r="K1311" t="s">
        <v>2874</v>
      </c>
      <c r="L1311" t="s">
        <v>2819</v>
      </c>
      <c r="M1311">
        <v>0</v>
      </c>
      <c r="N1311">
        <v>0</v>
      </c>
      <c r="O1311" s="1">
        <v>4240793278177230</v>
      </c>
      <c r="Q1311" t="b">
        <v>0</v>
      </c>
    </row>
    <row r="1312" spans="1:17" x14ac:dyDescent="0.35">
      <c r="A1312" t="s">
        <v>3903</v>
      </c>
      <c r="B1312" t="s">
        <v>18</v>
      </c>
      <c r="C1312" t="s">
        <v>3904</v>
      </c>
      <c r="D1312">
        <v>0</v>
      </c>
      <c r="E1312" t="s">
        <v>3905</v>
      </c>
      <c r="F1312" t="s">
        <v>20</v>
      </c>
      <c r="G1312" t="s">
        <v>3906</v>
      </c>
      <c r="H1312" s="1">
        <v>6460666666666660</v>
      </c>
      <c r="I1312">
        <v>0</v>
      </c>
      <c r="J1312">
        <v>61</v>
      </c>
      <c r="K1312" t="s">
        <v>2874</v>
      </c>
      <c r="L1312" t="s">
        <v>2819</v>
      </c>
      <c r="M1312">
        <v>0</v>
      </c>
      <c r="N1312">
        <v>0</v>
      </c>
      <c r="O1312" s="1">
        <v>424082179806532</v>
      </c>
      <c r="Q1312" t="b">
        <v>0</v>
      </c>
    </row>
    <row r="1313" spans="1:17" x14ac:dyDescent="0.35">
      <c r="A1313" t="s">
        <v>3907</v>
      </c>
      <c r="B1313" t="s">
        <v>18</v>
      </c>
      <c r="C1313" t="s">
        <v>3908</v>
      </c>
      <c r="D1313">
        <v>0</v>
      </c>
      <c r="E1313" t="s">
        <v>3909</v>
      </c>
      <c r="F1313" t="s">
        <v>20</v>
      </c>
      <c r="G1313" t="s">
        <v>3910</v>
      </c>
      <c r="H1313" s="1">
        <v>6460666666666660</v>
      </c>
      <c r="I1313">
        <v>0</v>
      </c>
      <c r="J1313">
        <v>61</v>
      </c>
      <c r="K1313" t="s">
        <v>2874</v>
      </c>
      <c r="L1313" t="s">
        <v>2819</v>
      </c>
      <c r="M1313">
        <v>0</v>
      </c>
      <c r="N1313">
        <v>0</v>
      </c>
      <c r="O1313" s="1">
        <v>4240850317953400</v>
      </c>
      <c r="Q1313" t="b">
        <v>0</v>
      </c>
    </row>
    <row r="1314" spans="1:17" x14ac:dyDescent="0.35">
      <c r="A1314" t="s">
        <v>3911</v>
      </c>
      <c r="B1314" t="s">
        <v>18</v>
      </c>
      <c r="C1314" t="s">
        <v>3912</v>
      </c>
      <c r="D1314">
        <v>0</v>
      </c>
      <c r="E1314" t="s">
        <v>3913</v>
      </c>
      <c r="F1314" t="s">
        <v>20</v>
      </c>
      <c r="G1314" t="s">
        <v>3914</v>
      </c>
      <c r="H1314" s="1">
        <v>6460666666666660</v>
      </c>
      <c r="I1314">
        <v>0</v>
      </c>
      <c r="J1314">
        <v>61</v>
      </c>
      <c r="K1314" t="s">
        <v>2874</v>
      </c>
      <c r="L1314" t="s">
        <v>2819</v>
      </c>
      <c r="M1314">
        <v>0</v>
      </c>
      <c r="N1314">
        <v>0</v>
      </c>
      <c r="O1314" s="1">
        <v>4240878837841480</v>
      </c>
      <c r="Q1314" t="b">
        <v>0</v>
      </c>
    </row>
    <row r="1315" spans="1:17" x14ac:dyDescent="0.35">
      <c r="A1315" t="s">
        <v>3915</v>
      </c>
      <c r="B1315" t="s">
        <v>18</v>
      </c>
      <c r="C1315" t="s">
        <v>3916</v>
      </c>
      <c r="D1315">
        <v>0</v>
      </c>
      <c r="E1315" t="s">
        <v>3917</v>
      </c>
      <c r="F1315" t="s">
        <v>20</v>
      </c>
      <c r="G1315" t="s">
        <v>3918</v>
      </c>
      <c r="H1315" t="s">
        <v>3919</v>
      </c>
      <c r="I1315">
        <v>0</v>
      </c>
      <c r="J1315">
        <v>73</v>
      </c>
      <c r="K1315" t="s">
        <v>2920</v>
      </c>
      <c r="L1315" t="s">
        <v>3920</v>
      </c>
      <c r="M1315">
        <v>0</v>
      </c>
      <c r="N1315">
        <v>0</v>
      </c>
      <c r="O1315" s="1">
        <v>4240907357729560</v>
      </c>
      <c r="Q1315" t="b">
        <v>0</v>
      </c>
    </row>
    <row r="1316" spans="1:17" x14ac:dyDescent="0.35">
      <c r="A1316" t="s">
        <v>3921</v>
      </c>
      <c r="B1316" t="s">
        <v>18</v>
      </c>
      <c r="C1316" t="s">
        <v>3922</v>
      </c>
      <c r="D1316">
        <v>0</v>
      </c>
      <c r="E1316" t="s">
        <v>3923</v>
      </c>
      <c r="F1316" t="s">
        <v>20</v>
      </c>
      <c r="G1316" t="s">
        <v>3924</v>
      </c>
      <c r="H1316" t="s">
        <v>3919</v>
      </c>
      <c r="I1316">
        <v>0</v>
      </c>
      <c r="J1316">
        <v>73</v>
      </c>
      <c r="K1316" t="s">
        <v>2920</v>
      </c>
      <c r="L1316" t="s">
        <v>3920</v>
      </c>
      <c r="M1316">
        <v>0</v>
      </c>
      <c r="N1316">
        <v>0</v>
      </c>
      <c r="O1316" s="1">
        <v>4.24093587761764E+16</v>
      </c>
      <c r="Q1316" t="b">
        <v>0</v>
      </c>
    </row>
    <row r="1317" spans="1:17" x14ac:dyDescent="0.35">
      <c r="A1317" t="s">
        <v>3925</v>
      </c>
      <c r="B1317" t="s">
        <v>18</v>
      </c>
      <c r="C1317" t="s">
        <v>3926</v>
      </c>
      <c r="D1317">
        <v>0</v>
      </c>
      <c r="E1317" t="s">
        <v>3927</v>
      </c>
      <c r="F1317" t="s">
        <v>20</v>
      </c>
      <c r="G1317" t="s">
        <v>3928</v>
      </c>
      <c r="H1317" t="s">
        <v>3919</v>
      </c>
      <c r="I1317">
        <v>0</v>
      </c>
      <c r="J1317">
        <v>73</v>
      </c>
      <c r="K1317" t="s">
        <v>2920</v>
      </c>
      <c r="L1317" t="s">
        <v>3920</v>
      </c>
      <c r="M1317">
        <v>0</v>
      </c>
      <c r="N1317">
        <v>0</v>
      </c>
      <c r="O1317" s="1">
        <v>4240964397505720</v>
      </c>
      <c r="Q1317" t="b">
        <v>0</v>
      </c>
    </row>
    <row r="1318" spans="1:17" x14ac:dyDescent="0.35">
      <c r="A1318" t="s">
        <v>3929</v>
      </c>
      <c r="B1318" t="s">
        <v>18</v>
      </c>
      <c r="C1318" t="s">
        <v>3930</v>
      </c>
      <c r="D1318">
        <v>0</v>
      </c>
      <c r="E1318" t="s">
        <v>3931</v>
      </c>
      <c r="F1318" t="s">
        <v>20</v>
      </c>
      <c r="G1318" t="s">
        <v>3932</v>
      </c>
      <c r="H1318" t="s">
        <v>3919</v>
      </c>
      <c r="I1318">
        <v>0</v>
      </c>
      <c r="J1318">
        <v>73</v>
      </c>
      <c r="K1318" t="s">
        <v>2920</v>
      </c>
      <c r="L1318" t="s">
        <v>3920</v>
      </c>
      <c r="M1318">
        <v>0</v>
      </c>
      <c r="N1318">
        <v>0</v>
      </c>
      <c r="O1318" s="1">
        <v>4240992917393800</v>
      </c>
      <c r="Q1318" t="b">
        <v>0</v>
      </c>
    </row>
    <row r="1319" spans="1:17" x14ac:dyDescent="0.35">
      <c r="A1319" t="s">
        <v>3933</v>
      </c>
      <c r="B1319" t="s">
        <v>18</v>
      </c>
      <c r="C1319" t="s">
        <v>3934</v>
      </c>
      <c r="D1319">
        <v>0</v>
      </c>
      <c r="E1319" t="s">
        <v>3935</v>
      </c>
      <c r="F1319" t="s">
        <v>20</v>
      </c>
      <c r="G1319" t="s">
        <v>3936</v>
      </c>
      <c r="H1319" s="1">
        <v>6456333333333330</v>
      </c>
      <c r="I1319">
        <v>0</v>
      </c>
      <c r="J1319">
        <v>76</v>
      </c>
      <c r="K1319" t="s">
        <v>3937</v>
      </c>
      <c r="L1319" t="s">
        <v>3938</v>
      </c>
      <c r="M1319">
        <v>0</v>
      </c>
      <c r="N1319">
        <v>0</v>
      </c>
      <c r="O1319" s="1">
        <v>4241021437281890</v>
      </c>
      <c r="Q1319" t="b">
        <v>0</v>
      </c>
    </row>
    <row r="1320" spans="1:17" x14ac:dyDescent="0.35">
      <c r="A1320" t="s">
        <v>3939</v>
      </c>
      <c r="B1320" t="s">
        <v>18</v>
      </c>
      <c r="C1320" t="s">
        <v>3940</v>
      </c>
      <c r="D1320">
        <v>0</v>
      </c>
      <c r="E1320" t="s">
        <v>3941</v>
      </c>
      <c r="F1320" t="s">
        <v>20</v>
      </c>
      <c r="G1320" t="s">
        <v>3942</v>
      </c>
      <c r="H1320" s="1">
        <v>6456333333333330</v>
      </c>
      <c r="I1320">
        <v>0</v>
      </c>
      <c r="J1320">
        <v>76</v>
      </c>
      <c r="K1320" t="s">
        <v>3937</v>
      </c>
      <c r="L1320" t="s">
        <v>3938</v>
      </c>
      <c r="M1320">
        <v>0</v>
      </c>
      <c r="N1320">
        <v>0</v>
      </c>
      <c r="O1320" s="1">
        <v>4241049957169970</v>
      </c>
      <c r="Q1320" t="b">
        <v>0</v>
      </c>
    </row>
    <row r="1321" spans="1:17" x14ac:dyDescent="0.35">
      <c r="A1321" t="s">
        <v>3943</v>
      </c>
      <c r="B1321" t="s">
        <v>18</v>
      </c>
      <c r="C1321" t="s">
        <v>3944</v>
      </c>
      <c r="D1321">
        <v>0</v>
      </c>
      <c r="E1321" t="s">
        <v>3945</v>
      </c>
      <c r="F1321" t="s">
        <v>20</v>
      </c>
      <c r="G1321" t="s">
        <v>3946</v>
      </c>
      <c r="H1321" s="1">
        <v>6456333333333330</v>
      </c>
      <c r="I1321">
        <v>0</v>
      </c>
      <c r="J1321">
        <v>76</v>
      </c>
      <c r="K1321" t="s">
        <v>3937</v>
      </c>
      <c r="L1321" t="s">
        <v>3938</v>
      </c>
      <c r="M1321">
        <v>0</v>
      </c>
      <c r="N1321">
        <v>0</v>
      </c>
      <c r="O1321" s="1">
        <v>4241078477058050</v>
      </c>
      <c r="Q1321" t="b">
        <v>0</v>
      </c>
    </row>
    <row r="1322" spans="1:17" x14ac:dyDescent="0.35">
      <c r="A1322" t="s">
        <v>3947</v>
      </c>
      <c r="B1322" t="s">
        <v>18</v>
      </c>
      <c r="C1322" t="s">
        <v>3948</v>
      </c>
      <c r="D1322">
        <v>0</v>
      </c>
      <c r="E1322" t="s">
        <v>3949</v>
      </c>
      <c r="F1322" t="s">
        <v>20</v>
      </c>
      <c r="G1322" t="s">
        <v>3950</v>
      </c>
      <c r="H1322" s="1">
        <v>6456333333333330</v>
      </c>
      <c r="I1322">
        <v>0</v>
      </c>
      <c r="J1322">
        <v>76</v>
      </c>
      <c r="K1322" t="s">
        <v>3937</v>
      </c>
      <c r="L1322" t="s">
        <v>3938</v>
      </c>
      <c r="M1322">
        <v>0</v>
      </c>
      <c r="N1322">
        <v>0</v>
      </c>
      <c r="O1322" s="1">
        <v>4241106996946130</v>
      </c>
      <c r="Q1322" t="b">
        <v>0</v>
      </c>
    </row>
    <row r="1323" spans="1:17" x14ac:dyDescent="0.35">
      <c r="A1323" t="s">
        <v>3951</v>
      </c>
      <c r="B1323" t="s">
        <v>18</v>
      </c>
      <c r="C1323" t="s">
        <v>3952</v>
      </c>
      <c r="D1323">
        <v>0</v>
      </c>
      <c r="E1323" t="s">
        <v>3953</v>
      </c>
      <c r="F1323" t="s">
        <v>20</v>
      </c>
      <c r="G1323" t="s">
        <v>3954</v>
      </c>
      <c r="H1323" t="s">
        <v>3955</v>
      </c>
      <c r="I1323">
        <v>0</v>
      </c>
      <c r="J1323">
        <v>69</v>
      </c>
      <c r="K1323" s="1">
        <v>7.3999999999999904E+16</v>
      </c>
      <c r="L1323" s="1">
        <v>6480000000000000</v>
      </c>
      <c r="M1323">
        <v>0</v>
      </c>
      <c r="N1323">
        <v>0</v>
      </c>
      <c r="O1323" s="1">
        <v>4241135516834210</v>
      </c>
      <c r="Q1323" t="b">
        <v>0</v>
      </c>
    </row>
    <row r="1324" spans="1:17" x14ac:dyDescent="0.35">
      <c r="A1324" t="s">
        <v>3956</v>
      </c>
      <c r="B1324" t="s">
        <v>18</v>
      </c>
      <c r="C1324" t="s">
        <v>3957</v>
      </c>
      <c r="D1324">
        <v>0</v>
      </c>
      <c r="E1324" t="s">
        <v>3958</v>
      </c>
      <c r="F1324" t="s">
        <v>20</v>
      </c>
      <c r="G1324" t="s">
        <v>3959</v>
      </c>
      <c r="H1324" t="s">
        <v>3955</v>
      </c>
      <c r="I1324">
        <v>0</v>
      </c>
      <c r="J1324">
        <v>69</v>
      </c>
      <c r="K1324" s="1">
        <v>7.3999999999999904E+16</v>
      </c>
      <c r="L1324" s="1">
        <v>6480000000000000</v>
      </c>
      <c r="M1324">
        <v>0</v>
      </c>
      <c r="N1324">
        <v>0</v>
      </c>
      <c r="O1324" s="1">
        <v>4.2411640367222896E+16</v>
      </c>
      <c r="Q1324" t="b">
        <v>0</v>
      </c>
    </row>
    <row r="1325" spans="1:17" x14ac:dyDescent="0.35">
      <c r="A1325" t="s">
        <v>3960</v>
      </c>
      <c r="B1325" t="s">
        <v>18</v>
      </c>
      <c r="C1325" t="s">
        <v>3961</v>
      </c>
      <c r="D1325">
        <v>0</v>
      </c>
      <c r="E1325" t="s">
        <v>3962</v>
      </c>
      <c r="F1325" t="s">
        <v>20</v>
      </c>
      <c r="G1325" t="s">
        <v>3963</v>
      </c>
      <c r="H1325" t="s">
        <v>3955</v>
      </c>
      <c r="I1325">
        <v>0</v>
      </c>
      <c r="J1325">
        <v>69</v>
      </c>
      <c r="K1325" s="1">
        <v>7.3999999999999904E+16</v>
      </c>
      <c r="L1325" s="1">
        <v>6480000000000000</v>
      </c>
      <c r="M1325">
        <v>0</v>
      </c>
      <c r="N1325">
        <v>0</v>
      </c>
      <c r="O1325" s="1">
        <v>4241192556610380</v>
      </c>
      <c r="Q1325" t="b">
        <v>0</v>
      </c>
    </row>
    <row r="1326" spans="1:17" x14ac:dyDescent="0.35">
      <c r="A1326" t="s">
        <v>3964</v>
      </c>
      <c r="B1326" t="s">
        <v>18</v>
      </c>
      <c r="C1326" t="s">
        <v>3965</v>
      </c>
      <c r="D1326">
        <v>0</v>
      </c>
      <c r="E1326" t="s">
        <v>3966</v>
      </c>
      <c r="F1326" t="s">
        <v>20</v>
      </c>
      <c r="G1326" t="s">
        <v>3967</v>
      </c>
      <c r="H1326" t="s">
        <v>3955</v>
      </c>
      <c r="I1326">
        <v>0</v>
      </c>
      <c r="J1326">
        <v>69</v>
      </c>
      <c r="K1326" s="1">
        <v>7.3999999999999904E+16</v>
      </c>
      <c r="L1326" s="1">
        <v>6480000000000000</v>
      </c>
      <c r="M1326">
        <v>0</v>
      </c>
      <c r="N1326">
        <v>0</v>
      </c>
      <c r="O1326" s="1">
        <v>4241221076498460</v>
      </c>
      <c r="Q1326" t="b">
        <v>0</v>
      </c>
    </row>
    <row r="1327" spans="1:17" x14ac:dyDescent="0.35">
      <c r="A1327" t="s">
        <v>3968</v>
      </c>
      <c r="B1327" t="s">
        <v>18</v>
      </c>
      <c r="C1327" t="s">
        <v>3969</v>
      </c>
      <c r="D1327">
        <v>0</v>
      </c>
      <c r="E1327" t="s">
        <v>3970</v>
      </c>
      <c r="F1327" t="s">
        <v>20</v>
      </c>
      <c r="G1327" t="s">
        <v>3971</v>
      </c>
      <c r="H1327" s="1">
        <v>6430833333333330</v>
      </c>
      <c r="I1327">
        <v>0</v>
      </c>
      <c r="J1327" t="s">
        <v>2800</v>
      </c>
      <c r="K1327" t="s">
        <v>1279</v>
      </c>
      <c r="L1327" t="s">
        <v>3972</v>
      </c>
      <c r="M1327">
        <v>0</v>
      </c>
      <c r="N1327">
        <v>0</v>
      </c>
      <c r="O1327" s="1">
        <v>4.24124959638654E+16</v>
      </c>
      <c r="Q1327" t="b">
        <v>0</v>
      </c>
    </row>
    <row r="1328" spans="1:17" x14ac:dyDescent="0.35">
      <c r="A1328" t="s">
        <v>3973</v>
      </c>
      <c r="B1328" t="s">
        <v>18</v>
      </c>
      <c r="C1328" t="s">
        <v>3974</v>
      </c>
      <c r="D1328">
        <v>0</v>
      </c>
      <c r="E1328" t="s">
        <v>3975</v>
      </c>
      <c r="F1328" t="s">
        <v>20</v>
      </c>
      <c r="G1328" t="s">
        <v>3976</v>
      </c>
      <c r="H1328" s="1">
        <v>6430833333333330</v>
      </c>
      <c r="I1328">
        <v>0</v>
      </c>
      <c r="J1328" t="s">
        <v>2800</v>
      </c>
      <c r="K1328" t="s">
        <v>1279</v>
      </c>
      <c r="L1328" t="s">
        <v>3972</v>
      </c>
      <c r="M1328">
        <v>0</v>
      </c>
      <c r="N1328">
        <v>0</v>
      </c>
      <c r="O1328" s="1">
        <v>4241278116274620</v>
      </c>
      <c r="Q1328" t="b">
        <v>0</v>
      </c>
    </row>
    <row r="1329" spans="1:17" x14ac:dyDescent="0.35">
      <c r="A1329" t="s">
        <v>3977</v>
      </c>
      <c r="B1329" t="s">
        <v>18</v>
      </c>
      <c r="C1329" t="s">
        <v>3978</v>
      </c>
      <c r="D1329">
        <v>0</v>
      </c>
      <c r="E1329" t="s">
        <v>3979</v>
      </c>
      <c r="F1329" t="s">
        <v>20</v>
      </c>
      <c r="G1329" t="s">
        <v>3980</v>
      </c>
      <c r="H1329" s="1">
        <v>6430833333333330</v>
      </c>
      <c r="I1329">
        <v>0</v>
      </c>
      <c r="J1329" t="s">
        <v>2800</v>
      </c>
      <c r="K1329" t="s">
        <v>1279</v>
      </c>
      <c r="L1329" t="s">
        <v>3972</v>
      </c>
      <c r="M1329">
        <v>0</v>
      </c>
      <c r="N1329">
        <v>0</v>
      </c>
      <c r="O1329" s="1">
        <v>4241306636162700</v>
      </c>
      <c r="Q1329" t="b">
        <v>0</v>
      </c>
    </row>
    <row r="1330" spans="1:17" x14ac:dyDescent="0.35">
      <c r="A1330" t="s">
        <v>3981</v>
      </c>
      <c r="B1330" t="s">
        <v>18</v>
      </c>
      <c r="C1330" t="s">
        <v>3982</v>
      </c>
      <c r="D1330">
        <v>0</v>
      </c>
      <c r="E1330" t="s">
        <v>3983</v>
      </c>
      <c r="F1330" t="s">
        <v>20</v>
      </c>
      <c r="G1330" t="s">
        <v>3984</v>
      </c>
      <c r="H1330" s="1">
        <v>6430833333333330</v>
      </c>
      <c r="I1330">
        <v>0</v>
      </c>
      <c r="J1330" t="s">
        <v>2800</v>
      </c>
      <c r="K1330" t="s">
        <v>1279</v>
      </c>
      <c r="L1330" t="s">
        <v>3972</v>
      </c>
      <c r="M1330">
        <v>0</v>
      </c>
      <c r="N1330">
        <v>0</v>
      </c>
      <c r="O1330" s="1">
        <v>4241335156050780</v>
      </c>
      <c r="Q1330" t="b">
        <v>0</v>
      </c>
    </row>
    <row r="1331" spans="1:17" x14ac:dyDescent="0.35">
      <c r="A1331" t="s">
        <v>3985</v>
      </c>
      <c r="B1331" t="s">
        <v>18</v>
      </c>
      <c r="C1331" t="s">
        <v>3986</v>
      </c>
      <c r="D1331">
        <v>0</v>
      </c>
      <c r="E1331" t="s">
        <v>3987</v>
      </c>
      <c r="F1331" t="s">
        <v>20</v>
      </c>
      <c r="G1331" t="s">
        <v>3988</v>
      </c>
      <c r="H1331" t="s">
        <v>3989</v>
      </c>
      <c r="I1331">
        <v>0</v>
      </c>
      <c r="J1331">
        <v>29</v>
      </c>
      <c r="K1331" t="s">
        <v>3990</v>
      </c>
      <c r="L1331" t="s">
        <v>3991</v>
      </c>
      <c r="M1331">
        <v>0</v>
      </c>
      <c r="N1331">
        <v>0</v>
      </c>
      <c r="O1331" s="1">
        <v>424136367593887</v>
      </c>
      <c r="Q1331" t="b">
        <v>0</v>
      </c>
    </row>
    <row r="1332" spans="1:17" x14ac:dyDescent="0.35">
      <c r="A1332" t="s">
        <v>3992</v>
      </c>
      <c r="B1332" t="s">
        <v>18</v>
      </c>
      <c r="C1332" t="s">
        <v>3993</v>
      </c>
      <c r="D1332">
        <v>0</v>
      </c>
      <c r="E1332">
        <v>0</v>
      </c>
      <c r="F1332" t="s">
        <v>20</v>
      </c>
      <c r="G1332" t="s">
        <v>3994</v>
      </c>
      <c r="H1332" t="s">
        <v>3989</v>
      </c>
      <c r="I1332">
        <v>0</v>
      </c>
      <c r="J1332">
        <v>29</v>
      </c>
      <c r="K1332" t="s">
        <v>3990</v>
      </c>
      <c r="L1332" t="s">
        <v>3991</v>
      </c>
      <c r="M1332">
        <v>0</v>
      </c>
      <c r="N1332">
        <v>0</v>
      </c>
      <c r="O1332" s="1">
        <v>4241392195826950</v>
      </c>
      <c r="Q1332" t="b">
        <v>0</v>
      </c>
    </row>
    <row r="1333" spans="1:17" x14ac:dyDescent="0.35">
      <c r="A1333" t="s">
        <v>3995</v>
      </c>
      <c r="B1333" t="s">
        <v>18</v>
      </c>
      <c r="C1333" t="s">
        <v>3996</v>
      </c>
      <c r="D1333">
        <v>0</v>
      </c>
      <c r="E1333">
        <v>0</v>
      </c>
      <c r="F1333" t="s">
        <v>20</v>
      </c>
      <c r="G1333" t="s">
        <v>3997</v>
      </c>
      <c r="H1333" t="s">
        <v>3989</v>
      </c>
      <c r="I1333">
        <v>0</v>
      </c>
      <c r="J1333">
        <v>29</v>
      </c>
      <c r="K1333" t="s">
        <v>3990</v>
      </c>
      <c r="L1333" t="s">
        <v>3991</v>
      </c>
      <c r="M1333">
        <v>0</v>
      </c>
      <c r="N1333">
        <v>0</v>
      </c>
      <c r="O1333" s="1">
        <v>4241420715715030</v>
      </c>
      <c r="Q1333" t="b">
        <v>0</v>
      </c>
    </row>
    <row r="1334" spans="1:17" x14ac:dyDescent="0.35">
      <c r="A1334" t="s">
        <v>3998</v>
      </c>
      <c r="B1334" t="s">
        <v>18</v>
      </c>
      <c r="C1334" t="s">
        <v>3999</v>
      </c>
      <c r="D1334">
        <v>0</v>
      </c>
      <c r="E1334">
        <v>0</v>
      </c>
      <c r="F1334" t="s">
        <v>20</v>
      </c>
      <c r="G1334" t="s">
        <v>4000</v>
      </c>
      <c r="H1334" t="s">
        <v>3989</v>
      </c>
      <c r="I1334">
        <v>0</v>
      </c>
      <c r="J1334">
        <v>29</v>
      </c>
      <c r="K1334" t="s">
        <v>3990</v>
      </c>
      <c r="L1334" t="s">
        <v>3991</v>
      </c>
      <c r="M1334">
        <v>0</v>
      </c>
      <c r="N1334">
        <v>0</v>
      </c>
      <c r="O1334" s="1">
        <v>4241449235603110</v>
      </c>
      <c r="Q1334" t="b">
        <v>0</v>
      </c>
    </row>
    <row r="1335" spans="1:17" x14ac:dyDescent="0.35">
      <c r="A1335" t="s">
        <v>4001</v>
      </c>
      <c r="B1335" t="s">
        <v>18</v>
      </c>
      <c r="C1335" t="s">
        <v>4002</v>
      </c>
      <c r="D1335">
        <v>0</v>
      </c>
      <c r="E1335">
        <v>0</v>
      </c>
      <c r="F1335" t="s">
        <v>20</v>
      </c>
      <c r="G1335">
        <v>0</v>
      </c>
      <c r="H1335" s="1">
        <v>2.43133333333333E+16</v>
      </c>
      <c r="I1335">
        <v>0</v>
      </c>
      <c r="J1335" t="s">
        <v>2748</v>
      </c>
      <c r="K1335" t="s">
        <v>904</v>
      </c>
      <c r="L1335" t="s">
        <v>3492</v>
      </c>
      <c r="M1335">
        <v>0</v>
      </c>
      <c r="N1335">
        <v>0</v>
      </c>
      <c r="O1335" s="1">
        <v>4241477755491190</v>
      </c>
      <c r="Q1335" t="b">
        <v>0</v>
      </c>
    </row>
    <row r="1336" spans="1:17" x14ac:dyDescent="0.35">
      <c r="A1336" t="s">
        <v>4003</v>
      </c>
      <c r="B1336" t="s">
        <v>18</v>
      </c>
      <c r="C1336" t="s">
        <v>4004</v>
      </c>
      <c r="D1336">
        <v>0</v>
      </c>
      <c r="E1336">
        <v>0</v>
      </c>
      <c r="F1336" t="s">
        <v>20</v>
      </c>
      <c r="G1336">
        <v>0</v>
      </c>
      <c r="H1336" s="1">
        <v>2.43133333333333E+16</v>
      </c>
      <c r="I1336">
        <v>0</v>
      </c>
      <c r="J1336" t="s">
        <v>2748</v>
      </c>
      <c r="K1336" t="s">
        <v>904</v>
      </c>
      <c r="L1336" t="s">
        <v>3492</v>
      </c>
      <c r="M1336">
        <v>0</v>
      </c>
      <c r="N1336">
        <v>0</v>
      </c>
      <c r="O1336" s="1">
        <v>4241506275379270</v>
      </c>
      <c r="Q1336" t="b">
        <v>0</v>
      </c>
    </row>
    <row r="1337" spans="1:17" x14ac:dyDescent="0.35">
      <c r="A1337" t="s">
        <v>4005</v>
      </c>
      <c r="B1337" t="s">
        <v>18</v>
      </c>
      <c r="C1337" t="s">
        <v>4006</v>
      </c>
      <c r="D1337">
        <v>0</v>
      </c>
      <c r="E1337">
        <v>0</v>
      </c>
      <c r="F1337" t="s">
        <v>20</v>
      </c>
      <c r="G1337">
        <v>0</v>
      </c>
      <c r="H1337" s="1">
        <v>2.43133333333333E+16</v>
      </c>
      <c r="I1337">
        <v>0</v>
      </c>
      <c r="J1337" t="s">
        <v>2748</v>
      </c>
      <c r="K1337" t="s">
        <v>904</v>
      </c>
      <c r="L1337" t="s">
        <v>3492</v>
      </c>
      <c r="M1337">
        <v>0</v>
      </c>
      <c r="N1337">
        <v>0</v>
      </c>
      <c r="O1337" s="1">
        <v>4241534795267350</v>
      </c>
      <c r="Q1337" t="b">
        <v>0</v>
      </c>
    </row>
    <row r="1338" spans="1:17" x14ac:dyDescent="0.35">
      <c r="A1338" t="s">
        <v>4007</v>
      </c>
      <c r="B1338" t="s">
        <v>18</v>
      </c>
      <c r="C1338" t="s">
        <v>4008</v>
      </c>
      <c r="D1338">
        <v>0</v>
      </c>
      <c r="E1338">
        <v>0</v>
      </c>
      <c r="F1338" t="s">
        <v>20</v>
      </c>
      <c r="G1338">
        <v>0</v>
      </c>
      <c r="H1338" s="1">
        <v>2.43133333333333E+16</v>
      </c>
      <c r="I1338">
        <v>0</v>
      </c>
      <c r="J1338" t="s">
        <v>2748</v>
      </c>
      <c r="K1338" t="s">
        <v>904</v>
      </c>
      <c r="L1338" t="s">
        <v>3492</v>
      </c>
      <c r="M1338">
        <v>0</v>
      </c>
      <c r="N1338">
        <v>0</v>
      </c>
      <c r="O1338" s="1">
        <v>4241563315155440</v>
      </c>
      <c r="Q1338" t="b">
        <v>0</v>
      </c>
    </row>
    <row r="1339" spans="1:17" x14ac:dyDescent="0.35">
      <c r="A1339" t="s">
        <v>4009</v>
      </c>
      <c r="B1339" t="s">
        <v>18</v>
      </c>
      <c r="C1339" t="s">
        <v>4010</v>
      </c>
      <c r="D1339">
        <v>0</v>
      </c>
      <c r="E1339">
        <v>0</v>
      </c>
      <c r="F1339" t="s">
        <v>20</v>
      </c>
      <c r="G1339">
        <v>0</v>
      </c>
      <c r="H1339">
        <v>0</v>
      </c>
      <c r="I1339">
        <v>0</v>
      </c>
      <c r="J1339">
        <v>0</v>
      </c>
      <c r="K1339">
        <v>3</v>
      </c>
      <c r="L1339" t="s">
        <v>4011</v>
      </c>
      <c r="M1339">
        <v>0</v>
      </c>
      <c r="N1339">
        <v>0</v>
      </c>
      <c r="O1339" s="1">
        <v>4241591835043520</v>
      </c>
      <c r="Q1339" t="b">
        <v>0</v>
      </c>
    </row>
    <row r="1340" spans="1:17" x14ac:dyDescent="0.35">
      <c r="A1340" t="s">
        <v>4012</v>
      </c>
      <c r="B1340" t="s">
        <v>18</v>
      </c>
      <c r="C1340" t="s">
        <v>4013</v>
      </c>
      <c r="D1340">
        <v>0</v>
      </c>
      <c r="E1340">
        <v>0</v>
      </c>
      <c r="F1340" t="s">
        <v>20</v>
      </c>
      <c r="G1340">
        <v>0</v>
      </c>
      <c r="H1340">
        <v>0</v>
      </c>
      <c r="I1340">
        <v>0</v>
      </c>
      <c r="J1340">
        <v>0</v>
      </c>
      <c r="K1340">
        <v>3</v>
      </c>
      <c r="L1340" t="s">
        <v>4011</v>
      </c>
      <c r="M1340">
        <v>0</v>
      </c>
      <c r="N1340">
        <v>0</v>
      </c>
      <c r="O1340" s="1">
        <v>4241620354931600</v>
      </c>
      <c r="Q1340" t="b">
        <v>0</v>
      </c>
    </row>
    <row r="1341" spans="1:17" x14ac:dyDescent="0.35">
      <c r="A1341" t="s">
        <v>4014</v>
      </c>
      <c r="B1341" t="s">
        <v>18</v>
      </c>
      <c r="C1341" t="s">
        <v>4015</v>
      </c>
      <c r="D1341">
        <v>0</v>
      </c>
      <c r="E1341">
        <v>0</v>
      </c>
      <c r="F1341" t="s">
        <v>20</v>
      </c>
      <c r="G1341">
        <v>0</v>
      </c>
      <c r="H1341">
        <v>0</v>
      </c>
      <c r="I1341">
        <v>0</v>
      </c>
      <c r="J1341">
        <v>0</v>
      </c>
      <c r="K1341">
        <v>3</v>
      </c>
      <c r="L1341" t="s">
        <v>4011</v>
      </c>
      <c r="M1341">
        <v>0</v>
      </c>
      <c r="N1341">
        <v>0</v>
      </c>
      <c r="O1341" s="1">
        <v>4241648874819680</v>
      </c>
      <c r="Q1341" t="b">
        <v>0</v>
      </c>
    </row>
    <row r="1342" spans="1:17" x14ac:dyDescent="0.35">
      <c r="A1342" t="s">
        <v>4016</v>
      </c>
      <c r="B1342" t="s">
        <v>18</v>
      </c>
      <c r="C1342" t="s">
        <v>4017</v>
      </c>
      <c r="D1342">
        <v>0</v>
      </c>
      <c r="E1342">
        <v>0</v>
      </c>
      <c r="F1342" t="s">
        <v>20</v>
      </c>
      <c r="G1342">
        <v>0</v>
      </c>
      <c r="H1342">
        <v>0</v>
      </c>
      <c r="I1342">
        <v>0</v>
      </c>
      <c r="J1342">
        <v>0</v>
      </c>
      <c r="K1342">
        <v>3</v>
      </c>
      <c r="L1342" t="s">
        <v>4011</v>
      </c>
      <c r="M1342">
        <v>0</v>
      </c>
      <c r="N1342">
        <v>0</v>
      </c>
      <c r="O1342" s="1">
        <v>4241677394707760</v>
      </c>
      <c r="Q1342" t="b">
        <v>0</v>
      </c>
    </row>
    <row r="1343" spans="1:17" x14ac:dyDescent="0.35">
      <c r="A1343" t="s">
        <v>4018</v>
      </c>
      <c r="B1343" t="s">
        <v>18</v>
      </c>
      <c r="C1343" t="s">
        <v>4019</v>
      </c>
      <c r="D1343">
        <v>0</v>
      </c>
      <c r="E1343">
        <v>0</v>
      </c>
      <c r="F1343" t="s">
        <v>20</v>
      </c>
      <c r="G1343">
        <v>0</v>
      </c>
      <c r="H1343">
        <v>0</v>
      </c>
      <c r="I1343">
        <v>0</v>
      </c>
      <c r="J1343">
        <v>0</v>
      </c>
      <c r="K1343" s="1">
        <v>2.34999999999999E+16</v>
      </c>
      <c r="L1343" s="1">
        <v>6.4799999999999904E+16</v>
      </c>
      <c r="M1343">
        <v>0</v>
      </c>
      <c r="N1343">
        <v>0</v>
      </c>
      <c r="O1343" s="1">
        <v>4.24170591459584E+16</v>
      </c>
      <c r="Q1343" t="b">
        <v>0</v>
      </c>
    </row>
    <row r="1344" spans="1:17" x14ac:dyDescent="0.35">
      <c r="A1344" t="s">
        <v>4020</v>
      </c>
      <c r="B1344" t="s">
        <v>18</v>
      </c>
      <c r="C1344" t="s">
        <v>4021</v>
      </c>
      <c r="D1344">
        <v>0</v>
      </c>
      <c r="E1344">
        <v>0</v>
      </c>
      <c r="F1344" t="s">
        <v>20</v>
      </c>
      <c r="G1344">
        <v>0</v>
      </c>
      <c r="H1344">
        <v>0</v>
      </c>
      <c r="I1344">
        <v>0</v>
      </c>
      <c r="J1344">
        <v>0</v>
      </c>
      <c r="K1344" s="1">
        <v>2.34999999999999E+16</v>
      </c>
      <c r="L1344" s="1">
        <v>6.4799999999999904E+16</v>
      </c>
      <c r="M1344">
        <v>0</v>
      </c>
      <c r="N1344">
        <v>0</v>
      </c>
      <c r="O1344" s="1">
        <v>424173443448393</v>
      </c>
      <c r="Q1344" t="b">
        <v>0</v>
      </c>
    </row>
    <row r="1345" spans="1:17" x14ac:dyDescent="0.35">
      <c r="A1345" t="s">
        <v>4022</v>
      </c>
      <c r="B1345" t="s">
        <v>18</v>
      </c>
      <c r="C1345" t="s">
        <v>4023</v>
      </c>
      <c r="D1345">
        <v>0</v>
      </c>
      <c r="E1345">
        <v>0</v>
      </c>
      <c r="F1345" t="s">
        <v>20</v>
      </c>
      <c r="G1345">
        <v>0</v>
      </c>
      <c r="H1345">
        <v>0</v>
      </c>
      <c r="I1345">
        <v>0</v>
      </c>
      <c r="J1345">
        <v>0</v>
      </c>
      <c r="K1345" s="1">
        <v>2.34999999999999E+16</v>
      </c>
      <c r="L1345" s="1">
        <v>6.4799999999999904E+16</v>
      </c>
      <c r="M1345">
        <v>0</v>
      </c>
      <c r="N1345">
        <v>0</v>
      </c>
      <c r="O1345" s="1">
        <v>4241762954372010</v>
      </c>
      <c r="Q1345" t="b">
        <v>0</v>
      </c>
    </row>
    <row r="1346" spans="1:17" x14ac:dyDescent="0.35">
      <c r="A1346" t="s">
        <v>4024</v>
      </c>
      <c r="B1346" t="s">
        <v>18</v>
      </c>
      <c r="C1346" t="s">
        <v>4025</v>
      </c>
      <c r="D1346">
        <v>0</v>
      </c>
      <c r="E1346">
        <v>0</v>
      </c>
      <c r="F1346" t="s">
        <v>20</v>
      </c>
      <c r="G1346">
        <v>0</v>
      </c>
      <c r="H1346">
        <v>0</v>
      </c>
      <c r="I1346">
        <v>0</v>
      </c>
      <c r="J1346">
        <v>0</v>
      </c>
      <c r="K1346" s="1">
        <v>2.34999999999999E+16</v>
      </c>
      <c r="L1346" s="1">
        <v>6.4799999999999904E+16</v>
      </c>
      <c r="M1346">
        <v>0</v>
      </c>
      <c r="N1346">
        <v>0</v>
      </c>
      <c r="O1346" s="1">
        <v>4.2417914742600896E+16</v>
      </c>
      <c r="Q1346" t="b">
        <v>0</v>
      </c>
    </row>
    <row r="1347" spans="1:17" x14ac:dyDescent="0.35">
      <c r="A1347" t="s">
        <v>4026</v>
      </c>
      <c r="B1347" t="s">
        <v>18</v>
      </c>
      <c r="C1347" t="s">
        <v>4027</v>
      </c>
      <c r="D1347">
        <v>0</v>
      </c>
      <c r="E1347">
        <v>0</v>
      </c>
      <c r="F1347" t="s">
        <v>20</v>
      </c>
      <c r="G1347">
        <v>0</v>
      </c>
      <c r="H1347">
        <v>0</v>
      </c>
      <c r="I1347">
        <v>0</v>
      </c>
      <c r="J1347">
        <v>0</v>
      </c>
      <c r="K1347" t="s">
        <v>280</v>
      </c>
      <c r="L1347" s="1">
        <v>9540000000000000</v>
      </c>
      <c r="M1347">
        <v>0</v>
      </c>
      <c r="N1347">
        <v>0</v>
      </c>
      <c r="O1347" s="1">
        <v>4241819994148170</v>
      </c>
      <c r="Q1347" t="b">
        <v>0</v>
      </c>
    </row>
    <row r="1348" spans="1:17" x14ac:dyDescent="0.35">
      <c r="A1348" t="s">
        <v>4028</v>
      </c>
      <c r="B1348" t="s">
        <v>18</v>
      </c>
      <c r="C1348" t="s">
        <v>4029</v>
      </c>
      <c r="D1348">
        <v>0</v>
      </c>
      <c r="E1348">
        <v>0</v>
      </c>
      <c r="F1348" t="s">
        <v>20</v>
      </c>
      <c r="G1348">
        <v>0</v>
      </c>
      <c r="H1348">
        <v>0</v>
      </c>
      <c r="I1348">
        <v>0</v>
      </c>
      <c r="J1348">
        <v>0</v>
      </c>
      <c r="K1348" t="s">
        <v>280</v>
      </c>
      <c r="L1348" s="1">
        <v>9540000000000000</v>
      </c>
      <c r="M1348">
        <v>0</v>
      </c>
      <c r="N1348">
        <v>0</v>
      </c>
      <c r="O1348" s="1">
        <v>4241848514036250</v>
      </c>
      <c r="Q1348" t="b">
        <v>0</v>
      </c>
    </row>
    <row r="1349" spans="1:17" x14ac:dyDescent="0.35">
      <c r="A1349" t="s">
        <v>4030</v>
      </c>
      <c r="B1349" t="s">
        <v>18</v>
      </c>
      <c r="C1349" t="s">
        <v>4031</v>
      </c>
      <c r="D1349">
        <v>0</v>
      </c>
      <c r="E1349">
        <v>0</v>
      </c>
      <c r="F1349" t="s">
        <v>20</v>
      </c>
      <c r="G1349">
        <v>0</v>
      </c>
      <c r="H1349">
        <v>0</v>
      </c>
      <c r="I1349">
        <v>0</v>
      </c>
      <c r="J1349">
        <v>0</v>
      </c>
      <c r="K1349" t="s">
        <v>280</v>
      </c>
      <c r="L1349" s="1">
        <v>9540000000000000</v>
      </c>
      <c r="M1349">
        <v>0</v>
      </c>
      <c r="N1349">
        <v>0</v>
      </c>
      <c r="O1349" s="1">
        <v>4241877033924330</v>
      </c>
      <c r="Q1349" t="b">
        <v>0</v>
      </c>
    </row>
    <row r="1350" spans="1:17" x14ac:dyDescent="0.35">
      <c r="A1350" t="s">
        <v>4032</v>
      </c>
      <c r="B1350" t="s">
        <v>18</v>
      </c>
      <c r="C1350" t="s">
        <v>4033</v>
      </c>
      <c r="D1350">
        <v>0</v>
      </c>
      <c r="E1350">
        <v>0</v>
      </c>
      <c r="F1350" t="s">
        <v>20</v>
      </c>
      <c r="G1350">
        <v>0</v>
      </c>
      <c r="H1350">
        <v>0</v>
      </c>
      <c r="I1350">
        <v>0</v>
      </c>
      <c r="J1350">
        <v>0</v>
      </c>
      <c r="K1350" t="s">
        <v>280</v>
      </c>
      <c r="L1350" s="1">
        <v>9540000000000000</v>
      </c>
      <c r="M1350">
        <v>0</v>
      </c>
      <c r="N1350">
        <v>0</v>
      </c>
      <c r="O1350" s="1">
        <v>424190555381242</v>
      </c>
      <c r="Q1350" t="b">
        <v>0</v>
      </c>
    </row>
    <row r="1351" spans="1:17" x14ac:dyDescent="0.35">
      <c r="A1351" t="s">
        <v>4034</v>
      </c>
      <c r="B1351" t="s">
        <v>18</v>
      </c>
      <c r="C1351" t="s">
        <v>4035</v>
      </c>
      <c r="D1351">
        <v>0</v>
      </c>
      <c r="E1351">
        <v>0</v>
      </c>
      <c r="F1351" t="s">
        <v>20</v>
      </c>
      <c r="G1351">
        <v>0</v>
      </c>
      <c r="H1351">
        <v>0</v>
      </c>
      <c r="I1351">
        <v>0</v>
      </c>
      <c r="J1351">
        <v>0</v>
      </c>
      <c r="K1351" t="s">
        <v>2381</v>
      </c>
      <c r="L1351" s="1">
        <v>1.638E+16</v>
      </c>
      <c r="M1351">
        <v>0</v>
      </c>
      <c r="N1351">
        <v>0</v>
      </c>
      <c r="O1351" s="1">
        <v>4241934073700500</v>
      </c>
      <c r="Q1351" t="b">
        <v>0</v>
      </c>
    </row>
    <row r="1352" spans="1:17" x14ac:dyDescent="0.35">
      <c r="A1352" t="s">
        <v>4036</v>
      </c>
      <c r="B1352" t="s">
        <v>18</v>
      </c>
      <c r="C1352" t="s">
        <v>4037</v>
      </c>
      <c r="D1352">
        <v>0</v>
      </c>
      <c r="E1352">
        <v>0</v>
      </c>
      <c r="F1352" t="s">
        <v>20</v>
      </c>
      <c r="G1352">
        <v>0</v>
      </c>
      <c r="H1352">
        <v>0</v>
      </c>
      <c r="I1352">
        <v>0</v>
      </c>
      <c r="J1352">
        <v>0</v>
      </c>
      <c r="K1352" t="s">
        <v>2381</v>
      </c>
      <c r="L1352" s="1">
        <v>1.638E+16</v>
      </c>
      <c r="M1352">
        <v>0</v>
      </c>
      <c r="N1352">
        <v>0</v>
      </c>
      <c r="O1352" s="1">
        <v>4241962593588580</v>
      </c>
      <c r="Q1352" t="b">
        <v>0</v>
      </c>
    </row>
    <row r="1353" spans="1:17" x14ac:dyDescent="0.35">
      <c r="A1353" t="s">
        <v>4038</v>
      </c>
      <c r="B1353" t="s">
        <v>18</v>
      </c>
      <c r="C1353" t="s">
        <v>4039</v>
      </c>
      <c r="D1353">
        <v>0</v>
      </c>
      <c r="E1353">
        <v>0</v>
      </c>
      <c r="F1353" t="s">
        <v>20</v>
      </c>
      <c r="G1353">
        <v>0</v>
      </c>
      <c r="H1353">
        <v>0</v>
      </c>
      <c r="I1353">
        <v>0</v>
      </c>
      <c r="J1353">
        <v>0</v>
      </c>
      <c r="K1353" t="s">
        <v>2381</v>
      </c>
      <c r="L1353" s="1">
        <v>1.638E+16</v>
      </c>
      <c r="M1353">
        <v>0</v>
      </c>
      <c r="N1353">
        <v>0</v>
      </c>
      <c r="O1353" s="1">
        <v>4241991113476660</v>
      </c>
      <c r="Q1353" t="b">
        <v>0</v>
      </c>
    </row>
    <row r="1354" spans="1:17" x14ac:dyDescent="0.35">
      <c r="A1354" t="s">
        <v>4040</v>
      </c>
      <c r="B1354" t="s">
        <v>18</v>
      </c>
      <c r="C1354" t="s">
        <v>4041</v>
      </c>
      <c r="D1354">
        <v>0</v>
      </c>
      <c r="E1354">
        <v>0</v>
      </c>
      <c r="F1354" t="s">
        <v>20</v>
      </c>
      <c r="G1354">
        <v>0</v>
      </c>
      <c r="H1354">
        <v>0</v>
      </c>
      <c r="I1354">
        <v>0</v>
      </c>
      <c r="J1354">
        <v>0</v>
      </c>
      <c r="K1354" t="s">
        <v>2381</v>
      </c>
      <c r="L1354" s="1">
        <v>1.638E+16</v>
      </c>
      <c r="M1354">
        <v>0</v>
      </c>
      <c r="N1354">
        <v>0</v>
      </c>
      <c r="O1354" s="1">
        <v>4.24201963336474E+16</v>
      </c>
      <c r="Q1354" t="b">
        <v>0</v>
      </c>
    </row>
    <row r="1355" spans="1:17" x14ac:dyDescent="0.35">
      <c r="A1355" t="s">
        <v>4042</v>
      </c>
      <c r="B1355" t="s">
        <v>18</v>
      </c>
      <c r="C1355" t="s">
        <v>4043</v>
      </c>
      <c r="D1355">
        <v>0</v>
      </c>
      <c r="E1355">
        <v>0</v>
      </c>
      <c r="F1355" t="s">
        <v>20</v>
      </c>
      <c r="G1355">
        <v>0</v>
      </c>
      <c r="H1355">
        <v>0</v>
      </c>
      <c r="I1355">
        <v>0</v>
      </c>
      <c r="J1355">
        <v>0</v>
      </c>
      <c r="K1355" t="s">
        <v>286</v>
      </c>
      <c r="L1355" s="1">
        <v>2.556E+16</v>
      </c>
      <c r="M1355">
        <v>0</v>
      </c>
      <c r="N1355">
        <v>0</v>
      </c>
      <c r="O1355" s="1">
        <v>4242048153252820</v>
      </c>
      <c r="Q1355" t="b">
        <v>0</v>
      </c>
    </row>
    <row r="1356" spans="1:17" x14ac:dyDescent="0.35">
      <c r="A1356" t="s">
        <v>4044</v>
      </c>
      <c r="B1356" t="s">
        <v>18</v>
      </c>
      <c r="C1356" t="s">
        <v>4045</v>
      </c>
      <c r="D1356">
        <v>0</v>
      </c>
      <c r="E1356">
        <v>0</v>
      </c>
      <c r="F1356" t="s">
        <v>20</v>
      </c>
      <c r="G1356">
        <v>0</v>
      </c>
      <c r="H1356">
        <v>0</v>
      </c>
      <c r="I1356">
        <v>0</v>
      </c>
      <c r="J1356">
        <v>0</v>
      </c>
      <c r="K1356" t="s">
        <v>286</v>
      </c>
      <c r="L1356" s="1">
        <v>2.556E+16</v>
      </c>
      <c r="M1356">
        <v>0</v>
      </c>
      <c r="N1356">
        <v>0</v>
      </c>
      <c r="O1356" s="1">
        <v>4242076673140900</v>
      </c>
      <c r="Q1356" t="b">
        <v>0</v>
      </c>
    </row>
    <row r="1357" spans="1:17" x14ac:dyDescent="0.35">
      <c r="A1357" t="s">
        <v>4046</v>
      </c>
      <c r="B1357" t="s">
        <v>18</v>
      </c>
      <c r="C1357" t="s">
        <v>4047</v>
      </c>
      <c r="D1357">
        <v>0</v>
      </c>
      <c r="E1357">
        <v>0</v>
      </c>
      <c r="F1357" t="s">
        <v>20</v>
      </c>
      <c r="G1357">
        <v>0</v>
      </c>
      <c r="H1357">
        <v>0</v>
      </c>
      <c r="I1357">
        <v>0</v>
      </c>
      <c r="J1357">
        <v>0</v>
      </c>
      <c r="K1357" t="s">
        <v>286</v>
      </c>
      <c r="L1357" s="1">
        <v>2.556E+16</v>
      </c>
      <c r="M1357">
        <v>0</v>
      </c>
      <c r="N1357">
        <v>0</v>
      </c>
      <c r="O1357" s="1">
        <v>4242105193028990</v>
      </c>
      <c r="Q1357" t="b">
        <v>0</v>
      </c>
    </row>
    <row r="1358" spans="1:17" x14ac:dyDescent="0.35">
      <c r="A1358" t="s">
        <v>4048</v>
      </c>
      <c r="B1358" t="s">
        <v>18</v>
      </c>
      <c r="C1358" t="s">
        <v>4049</v>
      </c>
      <c r="D1358">
        <v>0</v>
      </c>
      <c r="E1358">
        <v>0</v>
      </c>
      <c r="F1358" t="s">
        <v>20</v>
      </c>
      <c r="G1358">
        <v>0</v>
      </c>
      <c r="H1358">
        <v>0</v>
      </c>
      <c r="I1358">
        <v>0</v>
      </c>
      <c r="J1358">
        <v>0</v>
      </c>
      <c r="K1358" t="s">
        <v>286</v>
      </c>
      <c r="L1358" s="1">
        <v>2.556E+16</v>
      </c>
      <c r="M1358">
        <v>0</v>
      </c>
      <c r="N1358">
        <v>0</v>
      </c>
      <c r="O1358" s="1">
        <v>4242133712917070</v>
      </c>
      <c r="Q1358" t="b">
        <v>0</v>
      </c>
    </row>
    <row r="1359" spans="1:17" x14ac:dyDescent="0.35">
      <c r="A1359" t="s">
        <v>4050</v>
      </c>
      <c r="B1359" t="s">
        <v>18</v>
      </c>
      <c r="C1359" t="s">
        <v>4051</v>
      </c>
      <c r="D1359">
        <v>0</v>
      </c>
      <c r="E1359">
        <v>0</v>
      </c>
      <c r="F1359" t="s">
        <v>20</v>
      </c>
      <c r="G1359">
        <v>0</v>
      </c>
      <c r="H1359">
        <v>0</v>
      </c>
      <c r="I1359">
        <v>0</v>
      </c>
      <c r="J1359">
        <v>0</v>
      </c>
      <c r="K1359" t="s">
        <v>299</v>
      </c>
      <c r="L1359" t="s">
        <v>4052</v>
      </c>
      <c r="M1359">
        <v>0</v>
      </c>
      <c r="N1359">
        <v>0</v>
      </c>
      <c r="O1359" s="1">
        <v>4242162232805150</v>
      </c>
      <c r="Q1359" t="b">
        <v>0</v>
      </c>
    </row>
    <row r="1360" spans="1:17" x14ac:dyDescent="0.35">
      <c r="A1360" t="s">
        <v>4053</v>
      </c>
      <c r="B1360" t="s">
        <v>18</v>
      </c>
      <c r="C1360" t="s">
        <v>4054</v>
      </c>
      <c r="D1360">
        <v>0</v>
      </c>
      <c r="E1360">
        <v>0</v>
      </c>
      <c r="F1360" t="s">
        <v>20</v>
      </c>
      <c r="G1360">
        <v>0</v>
      </c>
      <c r="H1360">
        <v>0</v>
      </c>
      <c r="I1360">
        <v>0</v>
      </c>
      <c r="J1360">
        <v>0</v>
      </c>
      <c r="K1360" t="s">
        <v>299</v>
      </c>
      <c r="L1360" t="s">
        <v>4052</v>
      </c>
      <c r="M1360">
        <v>0</v>
      </c>
      <c r="N1360">
        <v>0</v>
      </c>
      <c r="O1360" s="1">
        <v>4242190752693230</v>
      </c>
      <c r="Q1360" t="b">
        <v>0</v>
      </c>
    </row>
    <row r="1361" spans="1:17" x14ac:dyDescent="0.35">
      <c r="A1361" t="s">
        <v>4055</v>
      </c>
      <c r="B1361" t="s">
        <v>18</v>
      </c>
      <c r="C1361" t="s">
        <v>4056</v>
      </c>
      <c r="D1361">
        <v>0</v>
      </c>
      <c r="E1361">
        <v>0</v>
      </c>
      <c r="F1361" t="s">
        <v>20</v>
      </c>
      <c r="G1361">
        <v>0</v>
      </c>
      <c r="H1361">
        <v>0</v>
      </c>
      <c r="I1361">
        <v>0</v>
      </c>
      <c r="J1361">
        <v>0</v>
      </c>
      <c r="K1361" t="s">
        <v>299</v>
      </c>
      <c r="L1361" t="s">
        <v>4052</v>
      </c>
      <c r="M1361">
        <v>0</v>
      </c>
      <c r="N1361">
        <v>0</v>
      </c>
      <c r="O1361" s="1">
        <v>4242219272581310</v>
      </c>
      <c r="Q1361" t="b">
        <v>0</v>
      </c>
    </row>
    <row r="1362" spans="1:17" x14ac:dyDescent="0.35">
      <c r="A1362" t="s">
        <v>4057</v>
      </c>
      <c r="B1362" t="s">
        <v>18</v>
      </c>
      <c r="C1362" t="s">
        <v>4058</v>
      </c>
      <c r="D1362">
        <v>0</v>
      </c>
      <c r="E1362">
        <v>0</v>
      </c>
      <c r="F1362" t="s">
        <v>20</v>
      </c>
      <c r="G1362">
        <v>0</v>
      </c>
      <c r="H1362">
        <v>0</v>
      </c>
      <c r="I1362">
        <v>0</v>
      </c>
      <c r="J1362">
        <v>0</v>
      </c>
      <c r="K1362" t="s">
        <v>299</v>
      </c>
      <c r="L1362" t="s">
        <v>4052</v>
      </c>
      <c r="M1362">
        <v>0</v>
      </c>
      <c r="N1362">
        <v>0</v>
      </c>
      <c r="O1362" s="1">
        <v>4242247792469390</v>
      </c>
      <c r="Q1362" t="b">
        <v>0</v>
      </c>
    </row>
    <row r="1363" spans="1:17" x14ac:dyDescent="0.35">
      <c r="A1363" t="s">
        <v>4059</v>
      </c>
      <c r="B1363" t="s">
        <v>18</v>
      </c>
      <c r="C1363" t="s">
        <v>4060</v>
      </c>
      <c r="D1363">
        <v>0</v>
      </c>
      <c r="E1363">
        <v>0</v>
      </c>
      <c r="F1363" t="s">
        <v>20</v>
      </c>
      <c r="G1363">
        <v>0</v>
      </c>
      <c r="H1363">
        <v>0</v>
      </c>
      <c r="I1363">
        <v>0</v>
      </c>
      <c r="J1363">
        <v>0</v>
      </c>
      <c r="K1363" t="s">
        <v>324</v>
      </c>
      <c r="L1363" t="s">
        <v>4061</v>
      </c>
      <c r="M1363">
        <v>0</v>
      </c>
      <c r="N1363">
        <v>0</v>
      </c>
      <c r="O1363" s="1">
        <v>424227631235748</v>
      </c>
      <c r="Q1363" t="b">
        <v>0</v>
      </c>
    </row>
    <row r="1364" spans="1:17" x14ac:dyDescent="0.35">
      <c r="A1364" t="s">
        <v>4062</v>
      </c>
      <c r="B1364" t="s">
        <v>18</v>
      </c>
      <c r="C1364" t="s">
        <v>4063</v>
      </c>
      <c r="D1364">
        <v>0</v>
      </c>
      <c r="E1364">
        <v>0</v>
      </c>
      <c r="F1364" t="s">
        <v>20</v>
      </c>
      <c r="G1364">
        <v>0</v>
      </c>
      <c r="H1364">
        <v>0</v>
      </c>
      <c r="I1364">
        <v>0</v>
      </c>
      <c r="J1364">
        <v>0</v>
      </c>
      <c r="K1364" t="s">
        <v>324</v>
      </c>
      <c r="L1364" t="s">
        <v>4061</v>
      </c>
      <c r="M1364">
        <v>0</v>
      </c>
      <c r="N1364">
        <v>0</v>
      </c>
      <c r="O1364" s="1">
        <v>4242304832245560</v>
      </c>
      <c r="Q1364" t="b">
        <v>0</v>
      </c>
    </row>
    <row r="1365" spans="1:17" x14ac:dyDescent="0.35">
      <c r="A1365" t="s">
        <v>4064</v>
      </c>
      <c r="B1365" t="s">
        <v>18</v>
      </c>
      <c r="C1365" t="s">
        <v>4065</v>
      </c>
      <c r="D1365">
        <v>0</v>
      </c>
      <c r="E1365">
        <v>0</v>
      </c>
      <c r="F1365" t="s">
        <v>20</v>
      </c>
      <c r="G1365">
        <v>0</v>
      </c>
      <c r="H1365">
        <v>0</v>
      </c>
      <c r="I1365">
        <v>0</v>
      </c>
      <c r="J1365">
        <v>0</v>
      </c>
      <c r="K1365" t="s">
        <v>324</v>
      </c>
      <c r="L1365" t="s">
        <v>4061</v>
      </c>
      <c r="M1365">
        <v>0</v>
      </c>
      <c r="N1365">
        <v>0</v>
      </c>
      <c r="O1365" s="1">
        <v>4.24233335213364E+16</v>
      </c>
      <c r="Q1365" t="b">
        <v>0</v>
      </c>
    </row>
    <row r="1366" spans="1:17" x14ac:dyDescent="0.35">
      <c r="A1366" t="s">
        <v>4066</v>
      </c>
      <c r="B1366" t="s">
        <v>18</v>
      </c>
      <c r="C1366" t="s">
        <v>4067</v>
      </c>
      <c r="D1366">
        <v>0</v>
      </c>
      <c r="E1366">
        <v>0</v>
      </c>
      <c r="F1366" t="s">
        <v>20</v>
      </c>
      <c r="G1366">
        <v>0</v>
      </c>
      <c r="H1366">
        <v>0</v>
      </c>
      <c r="I1366">
        <v>0</v>
      </c>
      <c r="J1366">
        <v>0</v>
      </c>
      <c r="K1366" t="s">
        <v>324</v>
      </c>
      <c r="L1366" t="s">
        <v>4061</v>
      </c>
      <c r="M1366">
        <v>0</v>
      </c>
      <c r="N1366">
        <v>0</v>
      </c>
      <c r="O1366" s="1">
        <v>4242361872021720</v>
      </c>
      <c r="Q1366" t="b">
        <v>0</v>
      </c>
    </row>
    <row r="1367" spans="1:17" x14ac:dyDescent="0.35">
      <c r="A1367" t="s">
        <v>4068</v>
      </c>
      <c r="B1367" t="s">
        <v>18</v>
      </c>
      <c r="C1367" t="s">
        <v>4069</v>
      </c>
      <c r="D1367">
        <v>0</v>
      </c>
      <c r="E1367">
        <v>0</v>
      </c>
      <c r="F1367" t="s">
        <v>20</v>
      </c>
      <c r="G1367">
        <v>0</v>
      </c>
      <c r="H1367">
        <v>0</v>
      </c>
      <c r="I1367">
        <v>0</v>
      </c>
      <c r="J1367">
        <v>0</v>
      </c>
      <c r="K1367" s="1">
        <v>2.9E+16</v>
      </c>
      <c r="L1367" s="1">
        <v>5.076E+16</v>
      </c>
      <c r="M1367">
        <v>0</v>
      </c>
      <c r="N1367">
        <v>0</v>
      </c>
      <c r="O1367" s="1">
        <v>4242390391909800</v>
      </c>
      <c r="Q1367" t="b">
        <v>0</v>
      </c>
    </row>
    <row r="1368" spans="1:17" x14ac:dyDescent="0.35">
      <c r="A1368" t="s">
        <v>4070</v>
      </c>
      <c r="B1368" t="s">
        <v>18</v>
      </c>
      <c r="C1368" t="s">
        <v>4071</v>
      </c>
      <c r="D1368">
        <v>0</v>
      </c>
      <c r="E1368">
        <v>0</v>
      </c>
      <c r="F1368" t="s">
        <v>20</v>
      </c>
      <c r="G1368">
        <v>0</v>
      </c>
      <c r="H1368">
        <v>0</v>
      </c>
      <c r="I1368">
        <v>0</v>
      </c>
      <c r="J1368">
        <v>0</v>
      </c>
      <c r="K1368" s="1">
        <v>2.9E+16</v>
      </c>
      <c r="L1368" s="1">
        <v>5.076E+16</v>
      </c>
      <c r="M1368">
        <v>0</v>
      </c>
      <c r="N1368">
        <v>0</v>
      </c>
      <c r="O1368" s="1">
        <v>4242418911797880</v>
      </c>
      <c r="Q1368" t="b">
        <v>0</v>
      </c>
    </row>
    <row r="1369" spans="1:17" x14ac:dyDescent="0.35">
      <c r="A1369" t="s">
        <v>4072</v>
      </c>
      <c r="B1369" t="s">
        <v>18</v>
      </c>
      <c r="C1369" t="s">
        <v>4073</v>
      </c>
      <c r="D1369">
        <v>0</v>
      </c>
      <c r="E1369">
        <v>0</v>
      </c>
      <c r="F1369" t="s">
        <v>20</v>
      </c>
      <c r="G1369">
        <v>0</v>
      </c>
      <c r="H1369">
        <v>0</v>
      </c>
      <c r="I1369">
        <v>0</v>
      </c>
      <c r="J1369">
        <v>0</v>
      </c>
      <c r="K1369" s="1">
        <v>2.9E+16</v>
      </c>
      <c r="L1369" s="1">
        <v>5.076E+16</v>
      </c>
      <c r="M1369">
        <v>0</v>
      </c>
      <c r="N1369">
        <v>0</v>
      </c>
      <c r="O1369" s="1">
        <v>424244743168597</v>
      </c>
      <c r="Q1369" t="b">
        <v>0</v>
      </c>
    </row>
    <row r="1370" spans="1:17" x14ac:dyDescent="0.35">
      <c r="A1370" t="s">
        <v>4074</v>
      </c>
      <c r="B1370" t="s">
        <v>18</v>
      </c>
      <c r="C1370" t="s">
        <v>4075</v>
      </c>
      <c r="D1370">
        <v>0</v>
      </c>
      <c r="E1370">
        <v>0</v>
      </c>
      <c r="F1370" t="s">
        <v>20</v>
      </c>
      <c r="G1370">
        <v>0</v>
      </c>
      <c r="H1370">
        <v>0</v>
      </c>
      <c r="I1370">
        <v>0</v>
      </c>
      <c r="J1370">
        <v>0</v>
      </c>
      <c r="K1370" s="1">
        <v>2.9E+16</v>
      </c>
      <c r="L1370" s="1">
        <v>5.076E+16</v>
      </c>
      <c r="M1370">
        <v>0</v>
      </c>
      <c r="N1370">
        <v>0</v>
      </c>
      <c r="O1370" s="1">
        <v>4242475951574050</v>
      </c>
      <c r="Q1370" t="b">
        <v>0</v>
      </c>
    </row>
    <row r="1371" spans="1:17" x14ac:dyDescent="0.35">
      <c r="A1371" t="s">
        <v>4076</v>
      </c>
      <c r="B1371" t="s">
        <v>18</v>
      </c>
      <c r="C1371" t="s">
        <v>4077</v>
      </c>
      <c r="D1371">
        <v>0</v>
      </c>
      <c r="E1371">
        <v>0</v>
      </c>
      <c r="F1371" t="s">
        <v>20</v>
      </c>
      <c r="G1371">
        <v>0</v>
      </c>
      <c r="H1371">
        <v>0</v>
      </c>
      <c r="I1371">
        <v>0</v>
      </c>
      <c r="J1371">
        <v>0</v>
      </c>
      <c r="K1371" t="s">
        <v>340</v>
      </c>
      <c r="L1371" s="1">
        <v>5418000000000000</v>
      </c>
      <c r="M1371">
        <v>0</v>
      </c>
      <c r="N1371">
        <v>0</v>
      </c>
      <c r="O1371" s="1">
        <v>4242504471462130</v>
      </c>
      <c r="Q1371" t="b">
        <v>0</v>
      </c>
    </row>
    <row r="1372" spans="1:17" x14ac:dyDescent="0.35">
      <c r="A1372" t="s">
        <v>4078</v>
      </c>
      <c r="B1372" t="s">
        <v>18</v>
      </c>
      <c r="C1372" t="s">
        <v>4079</v>
      </c>
      <c r="D1372">
        <v>0</v>
      </c>
      <c r="E1372">
        <v>0</v>
      </c>
      <c r="F1372" t="s">
        <v>20</v>
      </c>
      <c r="G1372">
        <v>0</v>
      </c>
      <c r="H1372">
        <v>0</v>
      </c>
      <c r="I1372">
        <v>0</v>
      </c>
      <c r="J1372">
        <v>0</v>
      </c>
      <c r="K1372" t="s">
        <v>340</v>
      </c>
      <c r="L1372" s="1">
        <v>5418000000000000</v>
      </c>
      <c r="M1372">
        <v>0</v>
      </c>
      <c r="N1372">
        <v>0</v>
      </c>
      <c r="O1372" s="1">
        <v>4242532991350210</v>
      </c>
      <c r="Q1372" t="b">
        <v>0</v>
      </c>
    </row>
    <row r="1373" spans="1:17" x14ac:dyDescent="0.35">
      <c r="A1373" t="s">
        <v>4080</v>
      </c>
      <c r="B1373" t="s">
        <v>18</v>
      </c>
      <c r="C1373" t="s">
        <v>4081</v>
      </c>
      <c r="D1373">
        <v>0</v>
      </c>
      <c r="E1373">
        <v>0</v>
      </c>
      <c r="F1373" t="s">
        <v>20</v>
      </c>
      <c r="G1373">
        <v>0</v>
      </c>
      <c r="H1373">
        <v>0</v>
      </c>
      <c r="I1373">
        <v>0</v>
      </c>
      <c r="J1373">
        <v>0</v>
      </c>
      <c r="K1373" t="s">
        <v>340</v>
      </c>
      <c r="L1373" s="1">
        <v>5418000000000000</v>
      </c>
      <c r="M1373">
        <v>0</v>
      </c>
      <c r="N1373">
        <v>0</v>
      </c>
      <c r="O1373" s="1">
        <v>4.2425615112382896E+16</v>
      </c>
      <c r="Q1373" t="b">
        <v>0</v>
      </c>
    </row>
    <row r="1374" spans="1:17" x14ac:dyDescent="0.35">
      <c r="A1374" t="s">
        <v>4082</v>
      </c>
      <c r="B1374" t="s">
        <v>18</v>
      </c>
      <c r="C1374" t="s">
        <v>4083</v>
      </c>
      <c r="D1374">
        <v>0</v>
      </c>
      <c r="E1374">
        <v>0</v>
      </c>
      <c r="F1374" t="s">
        <v>20</v>
      </c>
      <c r="G1374">
        <v>0</v>
      </c>
      <c r="H1374">
        <v>0</v>
      </c>
      <c r="I1374">
        <v>0</v>
      </c>
      <c r="J1374">
        <v>0</v>
      </c>
      <c r="K1374" t="s">
        <v>340</v>
      </c>
      <c r="L1374" s="1">
        <v>5418000000000000</v>
      </c>
      <c r="M1374">
        <v>0</v>
      </c>
      <c r="N1374">
        <v>0</v>
      </c>
      <c r="O1374" s="1">
        <v>4242590031126370</v>
      </c>
      <c r="Q1374" t="b">
        <v>0</v>
      </c>
    </row>
    <row r="1375" spans="1:17" x14ac:dyDescent="0.35">
      <c r="A1375" t="s">
        <v>4084</v>
      </c>
      <c r="B1375" t="s">
        <v>18</v>
      </c>
      <c r="C1375" t="s">
        <v>4085</v>
      </c>
      <c r="D1375">
        <v>0</v>
      </c>
      <c r="E1375">
        <v>0</v>
      </c>
      <c r="F1375" t="s">
        <v>20</v>
      </c>
      <c r="G1375">
        <v>0</v>
      </c>
      <c r="H1375">
        <v>0</v>
      </c>
      <c r="I1375">
        <v>0</v>
      </c>
      <c r="J1375">
        <v>0</v>
      </c>
      <c r="K1375" t="s">
        <v>329</v>
      </c>
      <c r="L1375" t="s">
        <v>4086</v>
      </c>
      <c r="M1375">
        <v>0</v>
      </c>
      <c r="N1375">
        <v>0</v>
      </c>
      <c r="O1375" s="1">
        <v>4242618551014450</v>
      </c>
      <c r="Q1375" t="b">
        <v>0</v>
      </c>
    </row>
    <row r="1376" spans="1:17" x14ac:dyDescent="0.35">
      <c r="A1376" t="s">
        <v>4087</v>
      </c>
      <c r="B1376" t="s">
        <v>18</v>
      </c>
      <c r="C1376" t="s">
        <v>4088</v>
      </c>
      <c r="D1376">
        <v>0</v>
      </c>
      <c r="E1376">
        <v>0</v>
      </c>
      <c r="F1376" t="s">
        <v>20</v>
      </c>
      <c r="G1376">
        <v>0</v>
      </c>
      <c r="H1376">
        <v>0</v>
      </c>
      <c r="I1376">
        <v>0</v>
      </c>
      <c r="J1376">
        <v>0</v>
      </c>
      <c r="K1376" t="s">
        <v>329</v>
      </c>
      <c r="L1376" t="s">
        <v>4086</v>
      </c>
      <c r="M1376">
        <v>0</v>
      </c>
      <c r="N1376">
        <v>0</v>
      </c>
      <c r="O1376" s="1">
        <v>4242647070902540</v>
      </c>
      <c r="Q1376" t="b">
        <v>0</v>
      </c>
    </row>
    <row r="1377" spans="1:17" x14ac:dyDescent="0.35">
      <c r="A1377" t="s">
        <v>4089</v>
      </c>
      <c r="B1377" t="s">
        <v>18</v>
      </c>
      <c r="C1377" t="s">
        <v>4090</v>
      </c>
      <c r="D1377">
        <v>0</v>
      </c>
      <c r="E1377">
        <v>0</v>
      </c>
      <c r="F1377" t="s">
        <v>20</v>
      </c>
      <c r="G1377">
        <v>0</v>
      </c>
      <c r="H1377">
        <v>0</v>
      </c>
      <c r="I1377">
        <v>0</v>
      </c>
      <c r="J1377">
        <v>0</v>
      </c>
      <c r="K1377" t="s">
        <v>329</v>
      </c>
      <c r="L1377" t="s">
        <v>4086</v>
      </c>
      <c r="M1377">
        <v>0</v>
      </c>
      <c r="N1377">
        <v>0</v>
      </c>
      <c r="O1377" s="1">
        <v>4242675590790620</v>
      </c>
      <c r="Q1377" t="b">
        <v>0</v>
      </c>
    </row>
    <row r="1378" spans="1:17" x14ac:dyDescent="0.35">
      <c r="A1378" t="s">
        <v>4091</v>
      </c>
      <c r="B1378" t="s">
        <v>18</v>
      </c>
      <c r="C1378" t="s">
        <v>4092</v>
      </c>
      <c r="D1378">
        <v>0</v>
      </c>
      <c r="E1378">
        <v>0</v>
      </c>
      <c r="F1378" t="s">
        <v>20</v>
      </c>
      <c r="G1378">
        <v>0</v>
      </c>
      <c r="H1378">
        <v>0</v>
      </c>
      <c r="I1378">
        <v>0</v>
      </c>
      <c r="J1378">
        <v>0</v>
      </c>
      <c r="K1378" t="s">
        <v>329</v>
      </c>
      <c r="L1378" t="s">
        <v>4086</v>
      </c>
      <c r="M1378">
        <v>0</v>
      </c>
      <c r="N1378">
        <v>0</v>
      </c>
      <c r="O1378" s="1">
        <v>4242704110678700</v>
      </c>
      <c r="Q1378" t="b">
        <v>0</v>
      </c>
    </row>
    <row r="1379" spans="1:17" x14ac:dyDescent="0.35">
      <c r="A1379" t="s">
        <v>4093</v>
      </c>
      <c r="B1379" t="s">
        <v>18</v>
      </c>
      <c r="C1379" t="s">
        <v>4094</v>
      </c>
      <c r="D1379">
        <v>0</v>
      </c>
      <c r="E1379">
        <v>0</v>
      </c>
      <c r="F1379" t="s">
        <v>20</v>
      </c>
      <c r="G1379">
        <v>0</v>
      </c>
      <c r="H1379">
        <v>0</v>
      </c>
      <c r="I1379">
        <v>0</v>
      </c>
      <c r="J1379">
        <v>0</v>
      </c>
      <c r="K1379" s="1">
        <v>2.9E+16</v>
      </c>
      <c r="L1379" s="1">
        <v>6.066E+16</v>
      </c>
      <c r="M1379">
        <v>0</v>
      </c>
      <c r="N1379">
        <v>0</v>
      </c>
      <c r="O1379" s="1">
        <v>4242732630566780</v>
      </c>
      <c r="Q1379" t="b">
        <v>0</v>
      </c>
    </row>
    <row r="1380" spans="1:17" x14ac:dyDescent="0.35">
      <c r="A1380" t="s">
        <v>4095</v>
      </c>
      <c r="B1380" t="s">
        <v>18</v>
      </c>
      <c r="C1380" t="s">
        <v>4096</v>
      </c>
      <c r="D1380">
        <v>0</v>
      </c>
      <c r="E1380">
        <v>0</v>
      </c>
      <c r="F1380" t="s">
        <v>20</v>
      </c>
      <c r="G1380">
        <v>0</v>
      </c>
      <c r="H1380">
        <v>0</v>
      </c>
      <c r="I1380">
        <v>0</v>
      </c>
      <c r="J1380">
        <v>0</v>
      </c>
      <c r="K1380" s="1">
        <v>2.9E+16</v>
      </c>
      <c r="L1380" s="1">
        <v>6.066E+16</v>
      </c>
      <c r="M1380">
        <v>0</v>
      </c>
      <c r="N1380">
        <v>0</v>
      </c>
      <c r="O1380" s="1">
        <v>4242761150454860</v>
      </c>
      <c r="Q1380" t="b">
        <v>0</v>
      </c>
    </row>
    <row r="1381" spans="1:17" x14ac:dyDescent="0.35">
      <c r="A1381" t="s">
        <v>4097</v>
      </c>
      <c r="B1381" t="s">
        <v>18</v>
      </c>
      <c r="C1381" t="s">
        <v>4098</v>
      </c>
      <c r="D1381">
        <v>0</v>
      </c>
      <c r="E1381">
        <v>0</v>
      </c>
      <c r="F1381" t="s">
        <v>20</v>
      </c>
      <c r="G1381">
        <v>0</v>
      </c>
      <c r="H1381">
        <v>0</v>
      </c>
      <c r="I1381">
        <v>0</v>
      </c>
      <c r="J1381">
        <v>0</v>
      </c>
      <c r="K1381" s="1">
        <v>2.9E+16</v>
      </c>
      <c r="L1381" s="1">
        <v>6.066E+16</v>
      </c>
      <c r="M1381">
        <v>0</v>
      </c>
      <c r="N1381">
        <v>0</v>
      </c>
      <c r="O1381" s="1">
        <v>4242789670342940</v>
      </c>
      <c r="Q1381" t="b">
        <v>0</v>
      </c>
    </row>
    <row r="1382" spans="1:17" x14ac:dyDescent="0.35">
      <c r="A1382" t="s">
        <v>4099</v>
      </c>
      <c r="B1382" t="s">
        <v>18</v>
      </c>
      <c r="C1382" t="s">
        <v>4100</v>
      </c>
      <c r="D1382">
        <v>0</v>
      </c>
      <c r="E1382">
        <v>0</v>
      </c>
      <c r="F1382" t="s">
        <v>20</v>
      </c>
      <c r="G1382">
        <v>0</v>
      </c>
      <c r="H1382">
        <v>0</v>
      </c>
      <c r="I1382">
        <v>0</v>
      </c>
      <c r="J1382">
        <v>0</v>
      </c>
      <c r="K1382" s="1">
        <v>2.9E+16</v>
      </c>
      <c r="L1382" s="1">
        <v>6.066E+16</v>
      </c>
      <c r="M1382">
        <v>0</v>
      </c>
      <c r="N1382">
        <v>0</v>
      </c>
      <c r="O1382" s="1">
        <v>424281819023103</v>
      </c>
      <c r="Q1382" t="b">
        <v>0</v>
      </c>
    </row>
    <row r="1383" spans="1:17" x14ac:dyDescent="0.35">
      <c r="A1383" t="s">
        <v>4101</v>
      </c>
      <c r="B1383" t="s">
        <v>18</v>
      </c>
      <c r="C1383" t="s">
        <v>4102</v>
      </c>
      <c r="D1383">
        <v>0</v>
      </c>
      <c r="E1383">
        <v>0</v>
      </c>
      <c r="F1383" t="s">
        <v>20</v>
      </c>
      <c r="G1383">
        <v>0</v>
      </c>
      <c r="H1383">
        <v>0</v>
      </c>
      <c r="I1383">
        <v>0</v>
      </c>
      <c r="J1383">
        <v>0</v>
      </c>
      <c r="K1383" s="1">
        <v>2.84999999999999E+16</v>
      </c>
      <c r="L1383" s="1">
        <v>6.39E+16</v>
      </c>
      <c r="M1383">
        <v>0</v>
      </c>
      <c r="N1383">
        <v>0</v>
      </c>
      <c r="O1383" s="1">
        <v>4242846710119110</v>
      </c>
      <c r="Q1383" t="b">
        <v>0</v>
      </c>
    </row>
    <row r="1384" spans="1:17" x14ac:dyDescent="0.35">
      <c r="A1384" t="s">
        <v>4103</v>
      </c>
      <c r="B1384" t="s">
        <v>18</v>
      </c>
      <c r="C1384" t="s">
        <v>4104</v>
      </c>
      <c r="D1384">
        <v>0</v>
      </c>
      <c r="E1384">
        <v>0</v>
      </c>
      <c r="F1384" t="s">
        <v>20</v>
      </c>
      <c r="G1384">
        <v>0</v>
      </c>
      <c r="H1384">
        <v>0</v>
      </c>
      <c r="I1384">
        <v>0</v>
      </c>
      <c r="J1384">
        <v>0</v>
      </c>
      <c r="K1384" s="1">
        <v>2.84999999999999E+16</v>
      </c>
      <c r="L1384" s="1">
        <v>6.39E+16</v>
      </c>
      <c r="M1384">
        <v>0</v>
      </c>
      <c r="N1384">
        <v>0</v>
      </c>
      <c r="O1384" s="1">
        <v>4.2428752300071904E+16</v>
      </c>
      <c r="Q1384" t="b">
        <v>0</v>
      </c>
    </row>
    <row r="1385" spans="1:17" x14ac:dyDescent="0.35">
      <c r="A1385" t="s">
        <v>4105</v>
      </c>
      <c r="B1385" t="s">
        <v>18</v>
      </c>
      <c r="C1385" t="s">
        <v>4106</v>
      </c>
      <c r="D1385">
        <v>0</v>
      </c>
      <c r="E1385">
        <v>0</v>
      </c>
      <c r="F1385" t="s">
        <v>20</v>
      </c>
      <c r="G1385">
        <v>0</v>
      </c>
      <c r="H1385">
        <v>0</v>
      </c>
      <c r="I1385">
        <v>0</v>
      </c>
      <c r="J1385">
        <v>0</v>
      </c>
      <c r="K1385" s="1">
        <v>2.84999999999999E+16</v>
      </c>
      <c r="L1385" s="1">
        <v>6.39E+16</v>
      </c>
      <c r="M1385">
        <v>0</v>
      </c>
      <c r="N1385">
        <v>0</v>
      </c>
      <c r="O1385" s="1">
        <v>4242903749895270</v>
      </c>
      <c r="Q1385" t="b">
        <v>0</v>
      </c>
    </row>
    <row r="1386" spans="1:17" x14ac:dyDescent="0.35">
      <c r="A1386" t="s">
        <v>4107</v>
      </c>
      <c r="B1386" t="s">
        <v>18</v>
      </c>
      <c r="C1386" t="s">
        <v>4108</v>
      </c>
      <c r="D1386">
        <v>0</v>
      </c>
      <c r="E1386">
        <v>0</v>
      </c>
      <c r="F1386" t="s">
        <v>20</v>
      </c>
      <c r="G1386">
        <v>0</v>
      </c>
      <c r="H1386">
        <v>0</v>
      </c>
      <c r="I1386">
        <v>0</v>
      </c>
      <c r="J1386">
        <v>0</v>
      </c>
      <c r="K1386" s="1">
        <v>2.84999999999999E+16</v>
      </c>
      <c r="L1386" s="1">
        <v>6.39E+16</v>
      </c>
      <c r="M1386">
        <v>0</v>
      </c>
      <c r="N1386">
        <v>0</v>
      </c>
      <c r="O1386" s="1">
        <v>4242932269783350</v>
      </c>
      <c r="Q1386" t="b">
        <v>0</v>
      </c>
    </row>
    <row r="1387" spans="1:17" x14ac:dyDescent="0.35">
      <c r="A1387" t="s">
        <v>4109</v>
      </c>
      <c r="B1387" t="s">
        <v>18</v>
      </c>
      <c r="C1387" t="s">
        <v>4110</v>
      </c>
      <c r="D1387">
        <v>0</v>
      </c>
      <c r="E1387">
        <v>0</v>
      </c>
      <c r="F1387" t="s">
        <v>20</v>
      </c>
      <c r="G1387">
        <v>0</v>
      </c>
      <c r="H1387">
        <v>0</v>
      </c>
      <c r="I1387">
        <v>0</v>
      </c>
      <c r="J1387">
        <v>0</v>
      </c>
      <c r="K1387" t="s">
        <v>704</v>
      </c>
      <c r="L1387" t="s">
        <v>4111</v>
      </c>
      <c r="M1387">
        <v>0</v>
      </c>
      <c r="N1387">
        <v>0</v>
      </c>
      <c r="O1387" s="1">
        <v>4242960789671430</v>
      </c>
      <c r="Q1387" t="b">
        <v>0</v>
      </c>
    </row>
    <row r="1388" spans="1:17" x14ac:dyDescent="0.35">
      <c r="A1388" t="s">
        <v>4112</v>
      </c>
      <c r="B1388" t="s">
        <v>18</v>
      </c>
      <c r="C1388" t="s">
        <v>4113</v>
      </c>
      <c r="D1388">
        <v>0</v>
      </c>
      <c r="E1388">
        <v>0</v>
      </c>
      <c r="F1388" t="s">
        <v>20</v>
      </c>
      <c r="G1388">
        <v>0</v>
      </c>
      <c r="H1388">
        <v>0</v>
      </c>
      <c r="I1388">
        <v>0</v>
      </c>
      <c r="J1388">
        <v>0</v>
      </c>
      <c r="K1388" t="s">
        <v>704</v>
      </c>
      <c r="L1388" t="s">
        <v>4111</v>
      </c>
      <c r="M1388">
        <v>0</v>
      </c>
      <c r="N1388">
        <v>0</v>
      </c>
      <c r="O1388" s="1">
        <v>4242989309559510</v>
      </c>
      <c r="Q1388" t="b">
        <v>0</v>
      </c>
    </row>
    <row r="1389" spans="1:17" x14ac:dyDescent="0.35">
      <c r="A1389" t="s">
        <v>4114</v>
      </c>
      <c r="B1389" t="s">
        <v>18</v>
      </c>
      <c r="C1389" t="s">
        <v>4115</v>
      </c>
      <c r="D1389">
        <v>0</v>
      </c>
      <c r="E1389">
        <v>0</v>
      </c>
      <c r="F1389" t="s">
        <v>20</v>
      </c>
      <c r="G1389">
        <v>0</v>
      </c>
      <c r="H1389">
        <v>0</v>
      </c>
      <c r="I1389">
        <v>0</v>
      </c>
      <c r="J1389">
        <v>0</v>
      </c>
      <c r="K1389" t="s">
        <v>704</v>
      </c>
      <c r="L1389" t="s">
        <v>4111</v>
      </c>
      <c r="M1389">
        <v>0</v>
      </c>
      <c r="N1389">
        <v>0</v>
      </c>
      <c r="O1389" s="1">
        <v>4243017829447600</v>
      </c>
      <c r="Q1389" t="b">
        <v>0</v>
      </c>
    </row>
    <row r="1390" spans="1:17" x14ac:dyDescent="0.35">
      <c r="A1390" t="s">
        <v>4116</v>
      </c>
      <c r="B1390" t="s">
        <v>18</v>
      </c>
      <c r="C1390" t="s">
        <v>4117</v>
      </c>
      <c r="D1390">
        <v>0</v>
      </c>
      <c r="E1390">
        <v>0</v>
      </c>
      <c r="F1390" t="s">
        <v>20</v>
      </c>
      <c r="G1390">
        <v>0</v>
      </c>
      <c r="H1390">
        <v>0</v>
      </c>
      <c r="I1390">
        <v>0</v>
      </c>
      <c r="J1390">
        <v>0</v>
      </c>
      <c r="K1390" t="s">
        <v>704</v>
      </c>
      <c r="L1390" t="s">
        <v>4111</v>
      </c>
      <c r="M1390">
        <v>0</v>
      </c>
      <c r="N1390">
        <v>0</v>
      </c>
      <c r="O1390" s="1">
        <v>4243046349335680</v>
      </c>
      <c r="Q1390" t="b">
        <v>0</v>
      </c>
    </row>
    <row r="1391" spans="1:17" x14ac:dyDescent="0.35">
      <c r="A1391" t="s">
        <v>4118</v>
      </c>
      <c r="B1391" t="s">
        <v>18</v>
      </c>
      <c r="C1391" t="s">
        <v>4119</v>
      </c>
      <c r="D1391">
        <v>0</v>
      </c>
      <c r="E1391">
        <v>0</v>
      </c>
      <c r="F1391" t="s">
        <v>20</v>
      </c>
      <c r="G1391">
        <v>0</v>
      </c>
      <c r="H1391">
        <v>0</v>
      </c>
      <c r="I1391">
        <v>0</v>
      </c>
      <c r="J1391">
        <v>0</v>
      </c>
      <c r="K1391" t="s">
        <v>329</v>
      </c>
      <c r="L1391" t="s">
        <v>4120</v>
      </c>
      <c r="M1391">
        <v>0</v>
      </c>
      <c r="N1391">
        <v>0</v>
      </c>
      <c r="O1391" s="1">
        <v>4243074869223760</v>
      </c>
      <c r="Q1391" t="b">
        <v>0</v>
      </c>
    </row>
    <row r="1392" spans="1:17" x14ac:dyDescent="0.35">
      <c r="A1392" t="s">
        <v>4121</v>
      </c>
      <c r="B1392" t="s">
        <v>18</v>
      </c>
      <c r="C1392" t="s">
        <v>4122</v>
      </c>
      <c r="D1392">
        <v>0</v>
      </c>
      <c r="E1392">
        <v>0</v>
      </c>
      <c r="F1392" t="s">
        <v>20</v>
      </c>
      <c r="G1392">
        <v>0</v>
      </c>
      <c r="H1392">
        <v>0</v>
      </c>
      <c r="I1392">
        <v>0</v>
      </c>
      <c r="J1392">
        <v>0</v>
      </c>
      <c r="K1392" t="s">
        <v>329</v>
      </c>
      <c r="L1392" t="s">
        <v>4120</v>
      </c>
      <c r="M1392">
        <v>0</v>
      </c>
      <c r="N1392">
        <v>0</v>
      </c>
      <c r="O1392" s="1">
        <v>4.24310338911184E+16</v>
      </c>
      <c r="Q1392" t="b">
        <v>0</v>
      </c>
    </row>
    <row r="1393" spans="1:17" x14ac:dyDescent="0.35">
      <c r="A1393" t="s">
        <v>4123</v>
      </c>
      <c r="B1393" t="s">
        <v>18</v>
      </c>
      <c r="C1393" t="s">
        <v>4124</v>
      </c>
      <c r="D1393">
        <v>0</v>
      </c>
      <c r="E1393">
        <v>0</v>
      </c>
      <c r="F1393" t="s">
        <v>20</v>
      </c>
      <c r="G1393">
        <v>0</v>
      </c>
      <c r="H1393">
        <v>0</v>
      </c>
      <c r="I1393">
        <v>0</v>
      </c>
      <c r="J1393">
        <v>0</v>
      </c>
      <c r="K1393" t="s">
        <v>329</v>
      </c>
      <c r="L1393" t="s">
        <v>4120</v>
      </c>
      <c r="M1393">
        <v>0</v>
      </c>
      <c r="N1393">
        <v>0</v>
      </c>
      <c r="O1393" s="1">
        <v>4243131908999920</v>
      </c>
      <c r="Q1393" t="b">
        <v>0</v>
      </c>
    </row>
    <row r="1394" spans="1:17" x14ac:dyDescent="0.35">
      <c r="A1394" t="s">
        <v>4125</v>
      </c>
      <c r="B1394" t="s">
        <v>18</v>
      </c>
      <c r="C1394" t="s">
        <v>4126</v>
      </c>
      <c r="D1394">
        <v>0</v>
      </c>
      <c r="E1394">
        <v>0</v>
      </c>
      <c r="F1394" t="s">
        <v>20</v>
      </c>
      <c r="G1394">
        <v>0</v>
      </c>
      <c r="H1394">
        <v>0</v>
      </c>
      <c r="I1394">
        <v>0</v>
      </c>
      <c r="J1394">
        <v>0</v>
      </c>
      <c r="K1394" t="s">
        <v>329</v>
      </c>
      <c r="L1394" t="s">
        <v>4120</v>
      </c>
      <c r="M1394">
        <v>0</v>
      </c>
      <c r="N1394">
        <v>0</v>
      </c>
      <c r="O1394" s="1">
        <v>4243160428888000</v>
      </c>
      <c r="Q1394" t="b">
        <v>0</v>
      </c>
    </row>
    <row r="1395" spans="1:17" x14ac:dyDescent="0.35">
      <c r="A1395" t="s">
        <v>4127</v>
      </c>
      <c r="B1395" t="s">
        <v>18</v>
      </c>
      <c r="C1395" t="s">
        <v>4128</v>
      </c>
      <c r="D1395">
        <v>0</v>
      </c>
      <c r="E1395">
        <v>0</v>
      </c>
      <c r="F1395" t="s">
        <v>20</v>
      </c>
      <c r="G1395">
        <v>0</v>
      </c>
      <c r="H1395">
        <v>0</v>
      </c>
      <c r="I1395">
        <v>0</v>
      </c>
      <c r="J1395">
        <v>0</v>
      </c>
      <c r="K1395" t="s">
        <v>1003</v>
      </c>
      <c r="L1395" s="1">
        <v>6803999999999990</v>
      </c>
      <c r="M1395">
        <v>0</v>
      </c>
      <c r="N1395">
        <v>0</v>
      </c>
      <c r="O1395" s="1">
        <v>4.2431889487760896E+16</v>
      </c>
      <c r="Q1395" t="b">
        <v>0</v>
      </c>
    </row>
    <row r="1396" spans="1:17" x14ac:dyDescent="0.35">
      <c r="A1396" t="s">
        <v>4129</v>
      </c>
      <c r="B1396" t="s">
        <v>18</v>
      </c>
      <c r="C1396" t="s">
        <v>4130</v>
      </c>
      <c r="D1396">
        <v>0</v>
      </c>
      <c r="E1396">
        <v>0</v>
      </c>
      <c r="F1396" t="s">
        <v>20</v>
      </c>
      <c r="G1396">
        <v>0</v>
      </c>
      <c r="H1396">
        <v>0</v>
      </c>
      <c r="I1396">
        <v>0</v>
      </c>
      <c r="J1396">
        <v>0</v>
      </c>
      <c r="K1396" t="s">
        <v>1003</v>
      </c>
      <c r="L1396" s="1">
        <v>6803999999999990</v>
      </c>
      <c r="M1396">
        <v>0</v>
      </c>
      <c r="N1396">
        <v>0</v>
      </c>
      <c r="O1396" s="1">
        <v>4243217468664170</v>
      </c>
      <c r="Q1396" t="b">
        <v>0</v>
      </c>
    </row>
    <row r="1397" spans="1:17" x14ac:dyDescent="0.35">
      <c r="A1397" t="s">
        <v>4131</v>
      </c>
      <c r="B1397" t="s">
        <v>18</v>
      </c>
      <c r="C1397" t="s">
        <v>4132</v>
      </c>
      <c r="D1397">
        <v>0</v>
      </c>
      <c r="E1397">
        <v>0</v>
      </c>
      <c r="F1397" t="s">
        <v>20</v>
      </c>
      <c r="G1397" t="s">
        <v>4133</v>
      </c>
      <c r="H1397">
        <v>0</v>
      </c>
      <c r="I1397">
        <v>0</v>
      </c>
      <c r="J1397">
        <v>0</v>
      </c>
      <c r="K1397" t="s">
        <v>1003</v>
      </c>
      <c r="L1397" s="1">
        <v>6803999999999990</v>
      </c>
      <c r="M1397">
        <v>0</v>
      </c>
      <c r="N1397">
        <v>0</v>
      </c>
      <c r="O1397" s="1">
        <v>4243245988552250</v>
      </c>
      <c r="Q1397" t="b">
        <v>0</v>
      </c>
    </row>
    <row r="1398" spans="1:17" x14ac:dyDescent="0.35">
      <c r="A1398" t="s">
        <v>4134</v>
      </c>
      <c r="B1398" t="s">
        <v>18</v>
      </c>
      <c r="C1398" t="s">
        <v>4135</v>
      </c>
      <c r="D1398">
        <v>0</v>
      </c>
      <c r="E1398" t="s">
        <v>4136</v>
      </c>
      <c r="F1398" t="s">
        <v>20</v>
      </c>
      <c r="G1398" t="s">
        <v>4137</v>
      </c>
      <c r="H1398">
        <v>0</v>
      </c>
      <c r="I1398">
        <v>0</v>
      </c>
      <c r="J1398">
        <v>0</v>
      </c>
      <c r="K1398" t="s">
        <v>1003</v>
      </c>
      <c r="L1398" s="1">
        <v>6803999999999990</v>
      </c>
      <c r="M1398">
        <v>0</v>
      </c>
      <c r="N1398">
        <v>0</v>
      </c>
      <c r="O1398" s="1">
        <v>4243274508440330</v>
      </c>
      <c r="Q1398" t="b">
        <v>0</v>
      </c>
    </row>
    <row r="1399" spans="1:17" x14ac:dyDescent="0.35">
      <c r="A1399" t="s">
        <v>4138</v>
      </c>
      <c r="B1399" t="s">
        <v>18</v>
      </c>
      <c r="C1399" t="s">
        <v>4139</v>
      </c>
      <c r="D1399">
        <v>0</v>
      </c>
      <c r="E1399" t="s">
        <v>4140</v>
      </c>
      <c r="F1399" t="s">
        <v>20</v>
      </c>
      <c r="G1399" t="s">
        <v>4141</v>
      </c>
      <c r="H1399" s="1">
        <v>3.10849999999999E+16</v>
      </c>
      <c r="I1399">
        <v>0</v>
      </c>
      <c r="J1399">
        <v>15</v>
      </c>
      <c r="K1399" s="1">
        <v>3.34999999999999E+16</v>
      </c>
      <c r="L1399" t="s">
        <v>4142</v>
      </c>
      <c r="M1399">
        <v>0</v>
      </c>
      <c r="N1399">
        <v>0</v>
      </c>
      <c r="O1399" s="1">
        <v>4243303028328410</v>
      </c>
      <c r="Q1399" t="b">
        <v>0</v>
      </c>
    </row>
    <row r="1400" spans="1:17" x14ac:dyDescent="0.35">
      <c r="A1400" t="s">
        <v>4143</v>
      </c>
      <c r="B1400" t="s">
        <v>18</v>
      </c>
      <c r="C1400" t="s">
        <v>4144</v>
      </c>
      <c r="D1400">
        <v>0</v>
      </c>
      <c r="E1400" t="s">
        <v>4145</v>
      </c>
      <c r="F1400" t="s">
        <v>20</v>
      </c>
      <c r="G1400" t="s">
        <v>4146</v>
      </c>
      <c r="H1400" s="1">
        <v>3.10849999999999E+16</v>
      </c>
      <c r="I1400">
        <v>0</v>
      </c>
      <c r="J1400">
        <v>15</v>
      </c>
      <c r="K1400" s="1">
        <v>3.34999999999999E+16</v>
      </c>
      <c r="L1400" t="s">
        <v>4142</v>
      </c>
      <c r="M1400">
        <v>0</v>
      </c>
      <c r="N1400">
        <v>0</v>
      </c>
      <c r="O1400" s="1">
        <v>4243331548216490</v>
      </c>
      <c r="Q1400" t="b">
        <v>0</v>
      </c>
    </row>
    <row r="1401" spans="1:17" x14ac:dyDescent="0.35">
      <c r="A1401" t="s">
        <v>4147</v>
      </c>
      <c r="B1401" t="s">
        <v>18</v>
      </c>
      <c r="C1401" t="s">
        <v>4148</v>
      </c>
      <c r="D1401">
        <v>0</v>
      </c>
      <c r="E1401" t="s">
        <v>4149</v>
      </c>
      <c r="F1401" t="s">
        <v>20</v>
      </c>
      <c r="G1401" t="s">
        <v>4150</v>
      </c>
      <c r="H1401" s="1">
        <v>3.10849999999999E+16</v>
      </c>
      <c r="I1401">
        <v>0</v>
      </c>
      <c r="J1401">
        <v>15</v>
      </c>
      <c r="K1401" s="1">
        <v>3.34999999999999E+16</v>
      </c>
      <c r="L1401" t="s">
        <v>4142</v>
      </c>
      <c r="M1401">
        <v>0</v>
      </c>
      <c r="N1401">
        <v>0</v>
      </c>
      <c r="O1401" s="1">
        <v>424336006810458</v>
      </c>
      <c r="Q1401" t="b">
        <v>0</v>
      </c>
    </row>
    <row r="1402" spans="1:17" x14ac:dyDescent="0.35">
      <c r="A1402" t="s">
        <v>4151</v>
      </c>
      <c r="B1402" t="s">
        <v>18</v>
      </c>
      <c r="C1402" t="s">
        <v>4152</v>
      </c>
      <c r="D1402">
        <v>0</v>
      </c>
      <c r="E1402" t="s">
        <v>4153</v>
      </c>
      <c r="F1402" t="s">
        <v>20</v>
      </c>
      <c r="G1402" t="s">
        <v>4154</v>
      </c>
      <c r="H1402" s="1">
        <v>3.10849999999999E+16</v>
      </c>
      <c r="I1402">
        <v>0</v>
      </c>
      <c r="J1402">
        <v>15</v>
      </c>
      <c r="K1402" s="1">
        <v>3.34999999999999E+16</v>
      </c>
      <c r="L1402" t="s">
        <v>4142</v>
      </c>
      <c r="M1402">
        <v>0</v>
      </c>
      <c r="N1402">
        <v>0</v>
      </c>
      <c r="O1402" s="1">
        <v>4243388587992660</v>
      </c>
      <c r="Q1402" t="b">
        <v>0</v>
      </c>
    </row>
    <row r="1403" spans="1:17" x14ac:dyDescent="0.35">
      <c r="A1403" t="s">
        <v>4155</v>
      </c>
      <c r="B1403" t="s">
        <v>18</v>
      </c>
      <c r="C1403" t="s">
        <v>4156</v>
      </c>
      <c r="D1403">
        <v>0</v>
      </c>
      <c r="E1403" t="s">
        <v>4157</v>
      </c>
      <c r="F1403" t="s">
        <v>20</v>
      </c>
      <c r="G1403" t="s">
        <v>4158</v>
      </c>
      <c r="H1403" s="1">
        <v>5653833333333330</v>
      </c>
      <c r="I1403">
        <v>0</v>
      </c>
      <c r="J1403">
        <v>50</v>
      </c>
      <c r="K1403" t="s">
        <v>2520</v>
      </c>
      <c r="L1403" t="s">
        <v>4159</v>
      </c>
      <c r="M1403">
        <v>0</v>
      </c>
      <c r="N1403">
        <v>0</v>
      </c>
      <c r="O1403" s="1">
        <v>4.24341710788074E+16</v>
      </c>
      <c r="Q1403" t="b">
        <v>0</v>
      </c>
    </row>
    <row r="1404" spans="1:17" x14ac:dyDescent="0.35">
      <c r="A1404" t="s">
        <v>4160</v>
      </c>
      <c r="B1404" t="s">
        <v>18</v>
      </c>
      <c r="C1404" t="s">
        <v>4161</v>
      </c>
      <c r="D1404">
        <v>0</v>
      </c>
      <c r="E1404" t="s">
        <v>4162</v>
      </c>
      <c r="F1404" t="s">
        <v>20</v>
      </c>
      <c r="G1404" t="s">
        <v>4163</v>
      </c>
      <c r="H1404" s="1">
        <v>5653833333333330</v>
      </c>
      <c r="I1404">
        <v>0</v>
      </c>
      <c r="J1404">
        <v>50</v>
      </c>
      <c r="K1404" t="s">
        <v>2520</v>
      </c>
      <c r="L1404" t="s">
        <v>4159</v>
      </c>
      <c r="M1404">
        <v>0</v>
      </c>
      <c r="N1404">
        <v>0</v>
      </c>
      <c r="O1404" s="1">
        <v>4243445627768820</v>
      </c>
      <c r="Q1404" t="b">
        <v>0</v>
      </c>
    </row>
    <row r="1405" spans="1:17" x14ac:dyDescent="0.35">
      <c r="A1405" t="s">
        <v>4164</v>
      </c>
      <c r="B1405" t="s">
        <v>18</v>
      </c>
      <c r="C1405" t="s">
        <v>4165</v>
      </c>
      <c r="D1405">
        <v>0</v>
      </c>
      <c r="E1405" t="s">
        <v>4166</v>
      </c>
      <c r="F1405" t="s">
        <v>20</v>
      </c>
      <c r="G1405" t="s">
        <v>4167</v>
      </c>
      <c r="H1405" s="1">
        <v>5653833333333330</v>
      </c>
      <c r="I1405">
        <v>0</v>
      </c>
      <c r="J1405">
        <v>50</v>
      </c>
      <c r="K1405" t="s">
        <v>2520</v>
      </c>
      <c r="L1405" t="s">
        <v>4159</v>
      </c>
      <c r="M1405">
        <v>0</v>
      </c>
      <c r="N1405">
        <v>0</v>
      </c>
      <c r="O1405" s="1">
        <v>4243474147656900</v>
      </c>
      <c r="Q1405" t="b">
        <v>0</v>
      </c>
    </row>
    <row r="1406" spans="1:17" x14ac:dyDescent="0.35">
      <c r="A1406" t="s">
        <v>4168</v>
      </c>
      <c r="B1406" t="s">
        <v>18</v>
      </c>
      <c r="C1406" t="s">
        <v>4169</v>
      </c>
      <c r="D1406">
        <v>0</v>
      </c>
      <c r="E1406" t="s">
        <v>4170</v>
      </c>
      <c r="F1406" t="s">
        <v>20</v>
      </c>
      <c r="G1406" t="s">
        <v>4171</v>
      </c>
      <c r="H1406" s="1">
        <v>5653833333333330</v>
      </c>
      <c r="I1406">
        <v>0</v>
      </c>
      <c r="J1406">
        <v>50</v>
      </c>
      <c r="K1406" t="s">
        <v>2520</v>
      </c>
      <c r="L1406" t="s">
        <v>4159</v>
      </c>
      <c r="M1406">
        <v>0</v>
      </c>
      <c r="N1406">
        <v>0</v>
      </c>
      <c r="O1406" s="1">
        <v>4243502667544980</v>
      </c>
      <c r="Q1406" t="b">
        <v>0</v>
      </c>
    </row>
    <row r="1407" spans="1:17" x14ac:dyDescent="0.35">
      <c r="A1407" t="s">
        <v>4172</v>
      </c>
      <c r="B1407" t="s">
        <v>18</v>
      </c>
      <c r="C1407" t="s">
        <v>4173</v>
      </c>
      <c r="D1407">
        <v>0</v>
      </c>
      <c r="E1407" t="s">
        <v>4174</v>
      </c>
      <c r="F1407" t="s">
        <v>20</v>
      </c>
      <c r="G1407" t="s">
        <v>4175</v>
      </c>
      <c r="H1407" t="s">
        <v>4176</v>
      </c>
      <c r="I1407">
        <v>0</v>
      </c>
      <c r="J1407">
        <v>77</v>
      </c>
      <c r="K1407" t="s">
        <v>4177</v>
      </c>
      <c r="L1407" t="s">
        <v>4178</v>
      </c>
      <c r="M1407">
        <v>0</v>
      </c>
      <c r="N1407">
        <v>0</v>
      </c>
      <c r="O1407" s="1">
        <v>4243531187433060</v>
      </c>
      <c r="Q1407" t="b">
        <v>0</v>
      </c>
    </row>
    <row r="1408" spans="1:17" x14ac:dyDescent="0.35">
      <c r="A1408" t="s">
        <v>4179</v>
      </c>
      <c r="B1408" t="s">
        <v>18</v>
      </c>
      <c r="C1408" t="s">
        <v>4180</v>
      </c>
      <c r="D1408">
        <v>0</v>
      </c>
      <c r="E1408" t="s">
        <v>4181</v>
      </c>
      <c r="F1408" t="s">
        <v>20</v>
      </c>
      <c r="G1408" t="s">
        <v>4182</v>
      </c>
      <c r="H1408" t="s">
        <v>4176</v>
      </c>
      <c r="I1408">
        <v>0</v>
      </c>
      <c r="J1408">
        <v>77</v>
      </c>
      <c r="K1408" t="s">
        <v>4177</v>
      </c>
      <c r="L1408" t="s">
        <v>4178</v>
      </c>
      <c r="M1408">
        <v>0</v>
      </c>
      <c r="N1408">
        <v>0</v>
      </c>
      <c r="O1408" s="1">
        <v>424355970732115</v>
      </c>
      <c r="Q1408" t="b">
        <v>0</v>
      </c>
    </row>
    <row r="1409" spans="1:17" x14ac:dyDescent="0.35">
      <c r="A1409" t="s">
        <v>4183</v>
      </c>
      <c r="B1409" t="s">
        <v>18</v>
      </c>
      <c r="C1409" t="s">
        <v>4184</v>
      </c>
      <c r="D1409">
        <v>0</v>
      </c>
      <c r="E1409" t="s">
        <v>4185</v>
      </c>
      <c r="F1409" t="s">
        <v>20</v>
      </c>
      <c r="G1409" t="s">
        <v>4186</v>
      </c>
      <c r="H1409" t="s">
        <v>4176</v>
      </c>
      <c r="I1409">
        <v>0</v>
      </c>
      <c r="J1409">
        <v>77</v>
      </c>
      <c r="K1409" t="s">
        <v>4177</v>
      </c>
      <c r="L1409" t="s">
        <v>4178</v>
      </c>
      <c r="M1409">
        <v>0</v>
      </c>
      <c r="N1409">
        <v>0</v>
      </c>
      <c r="O1409" s="1">
        <v>4243588227209230</v>
      </c>
      <c r="Q1409" t="b">
        <v>0</v>
      </c>
    </row>
    <row r="1410" spans="1:17" x14ac:dyDescent="0.35">
      <c r="A1410" t="s">
        <v>4187</v>
      </c>
      <c r="B1410" t="s">
        <v>18</v>
      </c>
      <c r="C1410" t="s">
        <v>4188</v>
      </c>
      <c r="D1410">
        <v>0</v>
      </c>
      <c r="E1410" t="s">
        <v>4189</v>
      </c>
      <c r="F1410" t="s">
        <v>20</v>
      </c>
      <c r="G1410" t="s">
        <v>4190</v>
      </c>
      <c r="H1410" t="s">
        <v>4176</v>
      </c>
      <c r="I1410">
        <v>0</v>
      </c>
      <c r="J1410">
        <v>77</v>
      </c>
      <c r="K1410" t="s">
        <v>4177</v>
      </c>
      <c r="L1410" t="s">
        <v>4178</v>
      </c>
      <c r="M1410">
        <v>0</v>
      </c>
      <c r="N1410">
        <v>0</v>
      </c>
      <c r="O1410" s="1">
        <v>4243616747097310</v>
      </c>
      <c r="Q1410" t="b">
        <v>0</v>
      </c>
    </row>
    <row r="1411" spans="1:17" x14ac:dyDescent="0.35">
      <c r="A1411" t="s">
        <v>4191</v>
      </c>
      <c r="B1411" t="s">
        <v>18</v>
      </c>
      <c r="C1411" t="s">
        <v>4192</v>
      </c>
      <c r="D1411">
        <v>0</v>
      </c>
      <c r="E1411" t="s">
        <v>4193</v>
      </c>
      <c r="F1411" t="s">
        <v>20</v>
      </c>
      <c r="G1411" t="s">
        <v>4194</v>
      </c>
      <c r="H1411" s="1">
        <v>5642666666666660</v>
      </c>
      <c r="I1411">
        <v>0</v>
      </c>
      <c r="J1411">
        <v>93</v>
      </c>
      <c r="K1411" t="s">
        <v>2663</v>
      </c>
      <c r="L1411" s="1">
        <v>5.454E+16</v>
      </c>
      <c r="M1411">
        <v>0</v>
      </c>
      <c r="N1411">
        <v>0</v>
      </c>
      <c r="O1411" s="1">
        <v>4.2436452669853904E+16</v>
      </c>
      <c r="Q1411" t="b">
        <v>0</v>
      </c>
    </row>
    <row r="1412" spans="1:17" x14ac:dyDescent="0.35">
      <c r="A1412" t="s">
        <v>4195</v>
      </c>
      <c r="B1412" t="s">
        <v>18</v>
      </c>
      <c r="C1412" t="s">
        <v>4196</v>
      </c>
      <c r="D1412">
        <v>0</v>
      </c>
      <c r="E1412" t="s">
        <v>4197</v>
      </c>
      <c r="F1412" t="s">
        <v>20</v>
      </c>
      <c r="G1412" t="s">
        <v>4198</v>
      </c>
      <c r="H1412" s="1">
        <v>5642666666666660</v>
      </c>
      <c r="I1412">
        <v>0</v>
      </c>
      <c r="J1412">
        <v>93</v>
      </c>
      <c r="K1412" t="s">
        <v>2663</v>
      </c>
      <c r="L1412" s="1">
        <v>5.454E+16</v>
      </c>
      <c r="M1412">
        <v>0</v>
      </c>
      <c r="N1412">
        <v>0</v>
      </c>
      <c r="O1412" s="1">
        <v>4243673786873470</v>
      </c>
      <c r="Q1412" t="b">
        <v>0</v>
      </c>
    </row>
    <row r="1413" spans="1:17" x14ac:dyDescent="0.35">
      <c r="A1413" t="s">
        <v>4199</v>
      </c>
      <c r="B1413" t="s">
        <v>18</v>
      </c>
      <c r="C1413" t="s">
        <v>4200</v>
      </c>
      <c r="D1413">
        <v>0</v>
      </c>
      <c r="E1413" t="s">
        <v>4201</v>
      </c>
      <c r="F1413" t="s">
        <v>20</v>
      </c>
      <c r="G1413" t="s">
        <v>4202</v>
      </c>
      <c r="H1413" s="1">
        <v>5642666666666660</v>
      </c>
      <c r="I1413">
        <v>0</v>
      </c>
      <c r="J1413">
        <v>93</v>
      </c>
      <c r="K1413" t="s">
        <v>2663</v>
      </c>
      <c r="L1413" s="1">
        <v>5.454E+16</v>
      </c>
      <c r="M1413">
        <v>0</v>
      </c>
      <c r="N1413">
        <v>0</v>
      </c>
      <c r="O1413" s="1">
        <v>4243702306761550</v>
      </c>
      <c r="Q1413" t="b">
        <v>0</v>
      </c>
    </row>
    <row r="1414" spans="1:17" x14ac:dyDescent="0.35">
      <c r="A1414" t="s">
        <v>4203</v>
      </c>
      <c r="B1414" t="s">
        <v>18</v>
      </c>
      <c r="C1414" t="s">
        <v>4204</v>
      </c>
      <c r="D1414">
        <v>0</v>
      </c>
      <c r="E1414" t="s">
        <v>4205</v>
      </c>
      <c r="F1414" t="s">
        <v>20</v>
      </c>
      <c r="G1414" t="s">
        <v>4206</v>
      </c>
      <c r="H1414" s="1">
        <v>5642666666666660</v>
      </c>
      <c r="I1414">
        <v>0</v>
      </c>
      <c r="J1414">
        <v>93</v>
      </c>
      <c r="K1414" t="s">
        <v>2663</v>
      </c>
      <c r="L1414" s="1">
        <v>5.454E+16</v>
      </c>
      <c r="M1414">
        <v>0</v>
      </c>
      <c r="N1414">
        <v>0</v>
      </c>
      <c r="O1414" s="1">
        <v>4.24373082664964E+16</v>
      </c>
      <c r="Q1414" t="b">
        <v>0</v>
      </c>
    </row>
    <row r="1415" spans="1:17" x14ac:dyDescent="0.35">
      <c r="A1415" t="s">
        <v>4207</v>
      </c>
      <c r="B1415" t="s">
        <v>18</v>
      </c>
      <c r="C1415" t="s">
        <v>4208</v>
      </c>
      <c r="D1415">
        <v>0</v>
      </c>
      <c r="E1415" t="s">
        <v>4209</v>
      </c>
      <c r="F1415" t="s">
        <v>20</v>
      </c>
      <c r="G1415" t="s">
        <v>4210</v>
      </c>
      <c r="H1415" t="s">
        <v>4211</v>
      </c>
      <c r="I1415">
        <v>0</v>
      </c>
      <c r="J1415" t="s">
        <v>2854</v>
      </c>
      <c r="K1415" t="s">
        <v>1280</v>
      </c>
      <c r="L1415" t="s">
        <v>4212</v>
      </c>
      <c r="M1415">
        <v>0</v>
      </c>
      <c r="N1415">
        <v>0</v>
      </c>
      <c r="O1415" s="1">
        <v>4243759346537720</v>
      </c>
      <c r="Q1415" t="b">
        <v>0</v>
      </c>
    </row>
    <row r="1416" spans="1:17" x14ac:dyDescent="0.35">
      <c r="A1416" t="s">
        <v>4213</v>
      </c>
      <c r="B1416" t="s">
        <v>18</v>
      </c>
      <c r="C1416" t="s">
        <v>4214</v>
      </c>
      <c r="D1416">
        <v>0</v>
      </c>
      <c r="E1416" t="s">
        <v>4215</v>
      </c>
      <c r="F1416" t="s">
        <v>20</v>
      </c>
      <c r="G1416" t="s">
        <v>4216</v>
      </c>
      <c r="H1416" t="s">
        <v>4211</v>
      </c>
      <c r="I1416">
        <v>0</v>
      </c>
      <c r="J1416" t="s">
        <v>2854</v>
      </c>
      <c r="K1416" t="s">
        <v>1280</v>
      </c>
      <c r="L1416" t="s">
        <v>4212</v>
      </c>
      <c r="M1416">
        <v>0</v>
      </c>
      <c r="N1416">
        <v>0</v>
      </c>
      <c r="O1416" s="1">
        <v>4243787866425800</v>
      </c>
      <c r="Q1416" t="b">
        <v>0</v>
      </c>
    </row>
    <row r="1417" spans="1:17" x14ac:dyDescent="0.35">
      <c r="A1417" t="s">
        <v>4217</v>
      </c>
      <c r="B1417" t="s">
        <v>18</v>
      </c>
      <c r="C1417" t="s">
        <v>4218</v>
      </c>
      <c r="D1417">
        <v>0</v>
      </c>
      <c r="E1417" t="s">
        <v>4219</v>
      </c>
      <c r="F1417" t="s">
        <v>20</v>
      </c>
      <c r="G1417" t="s">
        <v>4220</v>
      </c>
      <c r="H1417" t="s">
        <v>4211</v>
      </c>
      <c r="I1417">
        <v>0</v>
      </c>
      <c r="J1417" t="s">
        <v>2854</v>
      </c>
      <c r="K1417" t="s">
        <v>1280</v>
      </c>
      <c r="L1417" t="s">
        <v>4212</v>
      </c>
      <c r="M1417">
        <v>0</v>
      </c>
      <c r="N1417">
        <v>0</v>
      </c>
      <c r="O1417" s="1">
        <v>4243816386313880</v>
      </c>
      <c r="Q1417" t="b">
        <v>0</v>
      </c>
    </row>
    <row r="1418" spans="1:17" x14ac:dyDescent="0.35">
      <c r="A1418" t="s">
        <v>4221</v>
      </c>
      <c r="B1418" t="s">
        <v>18</v>
      </c>
      <c r="C1418" t="s">
        <v>4222</v>
      </c>
      <c r="D1418">
        <v>0</v>
      </c>
      <c r="E1418" t="s">
        <v>4223</v>
      </c>
      <c r="F1418" t="s">
        <v>20</v>
      </c>
      <c r="G1418" t="s">
        <v>4224</v>
      </c>
      <c r="H1418" t="s">
        <v>4211</v>
      </c>
      <c r="I1418">
        <v>0</v>
      </c>
      <c r="J1418" t="s">
        <v>2854</v>
      </c>
      <c r="K1418" t="s">
        <v>1280</v>
      </c>
      <c r="L1418" t="s">
        <v>4212</v>
      </c>
      <c r="M1418">
        <v>0</v>
      </c>
      <c r="N1418">
        <v>0</v>
      </c>
      <c r="O1418" s="1">
        <v>4243844906201960</v>
      </c>
      <c r="Q1418" t="b">
        <v>0</v>
      </c>
    </row>
    <row r="1419" spans="1:17" x14ac:dyDescent="0.35">
      <c r="A1419" t="s">
        <v>4225</v>
      </c>
      <c r="B1419" t="s">
        <v>18</v>
      </c>
      <c r="C1419" t="s">
        <v>4226</v>
      </c>
      <c r="D1419">
        <v>0</v>
      </c>
      <c r="E1419" t="s">
        <v>4227</v>
      </c>
      <c r="F1419" t="s">
        <v>20</v>
      </c>
      <c r="G1419" t="s">
        <v>4228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s="1">
        <v>4243873426090040</v>
      </c>
      <c r="Q1419" t="b">
        <v>0</v>
      </c>
    </row>
    <row r="1420" spans="1:17" x14ac:dyDescent="0.35">
      <c r="A1420" t="s">
        <v>4229</v>
      </c>
      <c r="B1420" t="s">
        <v>18</v>
      </c>
      <c r="C1420" t="s">
        <v>4230</v>
      </c>
      <c r="D1420">
        <v>0</v>
      </c>
      <c r="E1420" t="s">
        <v>4231</v>
      </c>
      <c r="F1420" t="s">
        <v>20</v>
      </c>
      <c r="G1420" t="s">
        <v>4232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s="1">
        <v>424390194597813</v>
      </c>
      <c r="Q1420" t="b">
        <v>0</v>
      </c>
    </row>
    <row r="1421" spans="1:17" x14ac:dyDescent="0.35">
      <c r="A1421" t="s">
        <v>4233</v>
      </c>
      <c r="B1421" t="s">
        <v>18</v>
      </c>
      <c r="C1421" t="s">
        <v>4234</v>
      </c>
      <c r="D1421">
        <v>0</v>
      </c>
      <c r="E1421" t="s">
        <v>4235</v>
      </c>
      <c r="F1421" t="s">
        <v>20</v>
      </c>
      <c r="G1421" t="s">
        <v>4236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s="1">
        <v>4243930465866210</v>
      </c>
      <c r="Q1421" t="b">
        <v>0</v>
      </c>
    </row>
    <row r="1422" spans="1:17" x14ac:dyDescent="0.35">
      <c r="A1422" t="s">
        <v>4237</v>
      </c>
      <c r="B1422" t="s">
        <v>18</v>
      </c>
      <c r="C1422" t="s">
        <v>4238</v>
      </c>
      <c r="D1422">
        <v>0</v>
      </c>
      <c r="E1422" t="s">
        <v>4239</v>
      </c>
      <c r="F1422" t="s">
        <v>20</v>
      </c>
      <c r="G1422" t="s">
        <v>4240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s="1">
        <v>4.2439589857542896E+16</v>
      </c>
      <c r="Q1422" t="b">
        <v>0</v>
      </c>
    </row>
    <row r="1423" spans="1:17" x14ac:dyDescent="0.35">
      <c r="A1423" t="s">
        <v>4241</v>
      </c>
      <c r="B1423" t="s">
        <v>18</v>
      </c>
      <c r="C1423" t="s">
        <v>4242</v>
      </c>
      <c r="D1423">
        <v>0</v>
      </c>
      <c r="E1423" t="s">
        <v>4243</v>
      </c>
      <c r="F1423" t="s">
        <v>20</v>
      </c>
      <c r="G1423" t="s">
        <v>4244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s="1">
        <v>4243987505642370</v>
      </c>
      <c r="Q1423" t="b">
        <v>0</v>
      </c>
    </row>
    <row r="1424" spans="1:17" x14ac:dyDescent="0.35">
      <c r="A1424" t="s">
        <v>4245</v>
      </c>
      <c r="B1424" t="s">
        <v>18</v>
      </c>
      <c r="C1424" t="s">
        <v>4246</v>
      </c>
      <c r="D1424">
        <v>0</v>
      </c>
      <c r="E1424" t="s">
        <v>4247</v>
      </c>
      <c r="F1424" t="s">
        <v>20</v>
      </c>
      <c r="G1424" t="s">
        <v>4248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s="1">
        <v>4244016025530450</v>
      </c>
      <c r="Q1424" t="b">
        <v>0</v>
      </c>
    </row>
    <row r="1425" spans="1:17" x14ac:dyDescent="0.35">
      <c r="A1425" t="s">
        <v>4249</v>
      </c>
      <c r="B1425" t="s">
        <v>18</v>
      </c>
      <c r="C1425" t="s">
        <v>4250</v>
      </c>
      <c r="D1425">
        <v>0</v>
      </c>
      <c r="E1425" t="s">
        <v>4251</v>
      </c>
      <c r="F1425" t="s">
        <v>20</v>
      </c>
      <c r="G1425" t="s">
        <v>4252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s="1">
        <v>4244044545418530</v>
      </c>
      <c r="Q1425" t="b">
        <v>0</v>
      </c>
    </row>
    <row r="1426" spans="1:17" x14ac:dyDescent="0.35">
      <c r="A1426" t="s">
        <v>4253</v>
      </c>
      <c r="B1426" t="s">
        <v>18</v>
      </c>
      <c r="C1426" t="s">
        <v>4254</v>
      </c>
      <c r="D1426">
        <v>0</v>
      </c>
      <c r="E1426" t="s">
        <v>4255</v>
      </c>
      <c r="F1426" t="s">
        <v>20</v>
      </c>
      <c r="G1426" t="s">
        <v>4256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s="1">
        <v>4244073065306610</v>
      </c>
      <c r="Q1426" t="b">
        <v>0</v>
      </c>
    </row>
    <row r="1427" spans="1:17" x14ac:dyDescent="0.35">
      <c r="A1427" t="s">
        <v>4257</v>
      </c>
      <c r="B1427" t="s">
        <v>18</v>
      </c>
      <c r="C1427" t="s">
        <v>4258</v>
      </c>
      <c r="D1427">
        <v>0</v>
      </c>
      <c r="E1427" t="s">
        <v>4259</v>
      </c>
      <c r="F1427" t="s">
        <v>20</v>
      </c>
      <c r="G1427" t="s">
        <v>4260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s="1">
        <v>42441015851947</v>
      </c>
      <c r="Q1427" t="b">
        <v>0</v>
      </c>
    </row>
    <row r="1428" spans="1:17" x14ac:dyDescent="0.35">
      <c r="A1428" t="s">
        <v>4261</v>
      </c>
      <c r="B1428" t="s">
        <v>18</v>
      </c>
      <c r="C1428" t="s">
        <v>4262</v>
      </c>
      <c r="D1428">
        <v>0</v>
      </c>
      <c r="E1428">
        <v>0</v>
      </c>
      <c r="F1428" t="s">
        <v>20</v>
      </c>
      <c r="G1428" t="s">
        <v>4263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s="1">
        <v>4244130105082780</v>
      </c>
      <c r="Q1428" t="b">
        <v>0</v>
      </c>
    </row>
    <row r="1429" spans="1:17" x14ac:dyDescent="0.35">
      <c r="A1429" t="s">
        <v>4264</v>
      </c>
      <c r="B1429" t="s">
        <v>18</v>
      </c>
      <c r="C1429" t="s">
        <v>4265</v>
      </c>
      <c r="D1429">
        <v>0</v>
      </c>
      <c r="E1429">
        <v>0</v>
      </c>
      <c r="F1429" t="s">
        <v>20</v>
      </c>
      <c r="G1429" t="s">
        <v>4266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s="1">
        <v>4244158624970860</v>
      </c>
      <c r="Q1429" t="b">
        <v>0</v>
      </c>
    </row>
    <row r="1430" spans="1:17" x14ac:dyDescent="0.35">
      <c r="A1430" t="s">
        <v>4267</v>
      </c>
      <c r="B1430" t="s">
        <v>18</v>
      </c>
      <c r="C1430" t="s">
        <v>4268</v>
      </c>
      <c r="D1430">
        <v>0</v>
      </c>
      <c r="E1430">
        <v>0</v>
      </c>
      <c r="F1430" t="s">
        <v>20</v>
      </c>
      <c r="G1430" t="s">
        <v>4269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s="1">
        <v>4244187144858940</v>
      </c>
      <c r="Q1430" t="b">
        <v>0</v>
      </c>
    </row>
    <row r="1431" spans="1:17" x14ac:dyDescent="0.35">
      <c r="A1431" t="s">
        <v>4270</v>
      </c>
      <c r="B1431" t="s">
        <v>18</v>
      </c>
      <c r="C1431" t="s">
        <v>4271</v>
      </c>
      <c r="D1431">
        <v>0</v>
      </c>
      <c r="E1431">
        <v>0</v>
      </c>
      <c r="F1431" t="s">
        <v>20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s="1">
        <v>4244215664747020</v>
      </c>
      <c r="Q1431" t="b">
        <v>0</v>
      </c>
    </row>
    <row r="1432" spans="1:17" x14ac:dyDescent="0.35">
      <c r="A1432" t="s">
        <v>4272</v>
      </c>
      <c r="B1432" t="s">
        <v>18</v>
      </c>
      <c r="C1432" t="s">
        <v>4273</v>
      </c>
      <c r="D1432">
        <v>0</v>
      </c>
      <c r="E1432">
        <v>0</v>
      </c>
      <c r="F1432" t="s">
        <v>20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s="1">
        <v>4244244184635100</v>
      </c>
      <c r="Q1432" t="b">
        <v>0</v>
      </c>
    </row>
    <row r="1433" spans="1:17" x14ac:dyDescent="0.35">
      <c r="A1433" t="s">
        <v>4274</v>
      </c>
      <c r="B1433" t="s">
        <v>18</v>
      </c>
      <c r="C1433" t="s">
        <v>4275</v>
      </c>
      <c r="D1433">
        <v>0</v>
      </c>
      <c r="E1433">
        <v>0</v>
      </c>
      <c r="F1433" t="s">
        <v>20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s="1">
        <v>424427270452319</v>
      </c>
      <c r="Q1433" t="b">
        <v>0</v>
      </c>
    </row>
    <row r="1434" spans="1:17" x14ac:dyDescent="0.35">
      <c r="A1434" t="s">
        <v>4276</v>
      </c>
      <c r="B1434" t="s">
        <v>18</v>
      </c>
      <c r="C1434" t="s">
        <v>4277</v>
      </c>
      <c r="D1434">
        <v>0</v>
      </c>
      <c r="E1434">
        <v>0</v>
      </c>
      <c r="F1434" t="s">
        <v>20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s="1">
        <v>4244301224411270</v>
      </c>
      <c r="Q1434" t="b">
        <v>0</v>
      </c>
    </row>
    <row r="1435" spans="1:17" x14ac:dyDescent="0.35">
      <c r="A1435" t="s">
        <v>4278</v>
      </c>
      <c r="B1435" t="s">
        <v>18</v>
      </c>
      <c r="C1435" t="s">
        <v>4279</v>
      </c>
      <c r="D1435">
        <v>0</v>
      </c>
      <c r="E1435">
        <v>0</v>
      </c>
      <c r="F1435" t="s">
        <v>20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s="1">
        <v>4244329744299350</v>
      </c>
      <c r="Q1435" t="b">
        <v>0</v>
      </c>
    </row>
    <row r="1436" spans="1:17" x14ac:dyDescent="0.35">
      <c r="A1436" t="s">
        <v>4280</v>
      </c>
      <c r="B1436" t="s">
        <v>18</v>
      </c>
      <c r="C1436" t="s">
        <v>4281</v>
      </c>
      <c r="D1436">
        <v>0</v>
      </c>
      <c r="E1436">
        <v>0</v>
      </c>
      <c r="F1436" t="s">
        <v>20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s="1">
        <v>4244358264187430</v>
      </c>
      <c r="Q1436" t="b">
        <v>0</v>
      </c>
    </row>
    <row r="1437" spans="1:17" x14ac:dyDescent="0.35">
      <c r="A1437" t="s">
        <v>4282</v>
      </c>
      <c r="B1437" t="s">
        <v>18</v>
      </c>
      <c r="C1437" t="s">
        <v>4283</v>
      </c>
      <c r="D1437">
        <v>0</v>
      </c>
      <c r="E1437">
        <v>0</v>
      </c>
      <c r="F1437" t="s">
        <v>20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s="1">
        <v>4244386784075510</v>
      </c>
      <c r="Q1437" t="b">
        <v>0</v>
      </c>
    </row>
    <row r="1438" spans="1:17" x14ac:dyDescent="0.35">
      <c r="A1438" t="s">
        <v>4284</v>
      </c>
      <c r="B1438" t="s">
        <v>18</v>
      </c>
      <c r="C1438" t="s">
        <v>4285</v>
      </c>
      <c r="D1438">
        <v>0</v>
      </c>
      <c r="E1438">
        <v>0</v>
      </c>
      <c r="F1438" t="s">
        <v>20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s="1">
        <v>4.2444153039635904E+16</v>
      </c>
      <c r="Q1438" t="b">
        <v>0</v>
      </c>
    </row>
    <row r="1439" spans="1:17" x14ac:dyDescent="0.35">
      <c r="A1439" t="s">
        <v>4286</v>
      </c>
      <c r="B1439" t="s">
        <v>18</v>
      </c>
      <c r="C1439" t="s">
        <v>4287</v>
      </c>
      <c r="D1439">
        <v>0</v>
      </c>
      <c r="E1439">
        <v>0</v>
      </c>
      <c r="F1439" t="s">
        <v>20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s="1">
        <v>424444382385168</v>
      </c>
      <c r="Q1439" t="b">
        <v>0</v>
      </c>
    </row>
    <row r="1440" spans="1:17" x14ac:dyDescent="0.35">
      <c r="A1440" t="s">
        <v>4288</v>
      </c>
      <c r="B1440" t="s">
        <v>18</v>
      </c>
      <c r="C1440" t="s">
        <v>4289</v>
      </c>
      <c r="D1440">
        <v>0</v>
      </c>
      <c r="E1440">
        <v>0</v>
      </c>
      <c r="F1440" t="s">
        <v>20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s="1">
        <v>4244472343739760</v>
      </c>
      <c r="Q1440" t="b">
        <v>0</v>
      </c>
    </row>
    <row r="1441" spans="1:17" x14ac:dyDescent="0.35">
      <c r="A1441" t="s">
        <v>4290</v>
      </c>
      <c r="B1441" t="s">
        <v>18</v>
      </c>
      <c r="C1441" t="s">
        <v>4291</v>
      </c>
      <c r="D1441">
        <v>0</v>
      </c>
      <c r="E1441">
        <v>0</v>
      </c>
      <c r="F1441" t="s">
        <v>20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s="1">
        <v>4.24450086362784E+16</v>
      </c>
      <c r="Q1441" t="b">
        <v>0</v>
      </c>
    </row>
    <row r="1442" spans="1:17" x14ac:dyDescent="0.35">
      <c r="A1442" t="s">
        <v>4292</v>
      </c>
      <c r="B1442" t="s">
        <v>18</v>
      </c>
      <c r="C1442" t="s">
        <v>4293</v>
      </c>
      <c r="D1442">
        <v>0</v>
      </c>
      <c r="E1442">
        <v>0</v>
      </c>
      <c r="F1442" t="s">
        <v>20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s="1">
        <v>4244529383515920</v>
      </c>
      <c r="Q1442" t="b">
        <v>0</v>
      </c>
    </row>
    <row r="1443" spans="1:17" x14ac:dyDescent="0.35">
      <c r="A1443" t="s">
        <v>4294</v>
      </c>
      <c r="B1443" t="s">
        <v>18</v>
      </c>
      <c r="C1443" t="s">
        <v>4295</v>
      </c>
      <c r="D1443">
        <v>0</v>
      </c>
      <c r="E1443">
        <v>0</v>
      </c>
      <c r="F1443" t="s">
        <v>20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s="1">
        <v>4244557903404000</v>
      </c>
      <c r="Q1443" t="b">
        <v>0</v>
      </c>
    </row>
    <row r="1444" spans="1:17" x14ac:dyDescent="0.35">
      <c r="A1444" t="s">
        <v>4296</v>
      </c>
      <c r="B1444" t="s">
        <v>18</v>
      </c>
      <c r="C1444" t="s">
        <v>4297</v>
      </c>
      <c r="D1444">
        <v>0</v>
      </c>
      <c r="E1444">
        <v>0</v>
      </c>
      <c r="F1444" t="s">
        <v>20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s="1">
        <v>4244586423292080</v>
      </c>
      <c r="Q1444" t="b">
        <v>0</v>
      </c>
    </row>
    <row r="1445" spans="1:17" x14ac:dyDescent="0.35">
      <c r="A1445" t="s">
        <v>4298</v>
      </c>
      <c r="B1445" t="s">
        <v>18</v>
      </c>
      <c r="C1445" t="s">
        <v>4299</v>
      </c>
      <c r="D1445">
        <v>0</v>
      </c>
      <c r="E1445">
        <v>0</v>
      </c>
      <c r="F1445" t="s">
        <v>20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s="1">
        <v>4244614943180160</v>
      </c>
      <c r="Q1445" t="b">
        <v>0</v>
      </c>
    </row>
    <row r="1446" spans="1:17" x14ac:dyDescent="0.35">
      <c r="A1446" t="s">
        <v>4300</v>
      </c>
      <c r="B1446" t="s">
        <v>18</v>
      </c>
      <c r="C1446" t="s">
        <v>4301</v>
      </c>
      <c r="D1446">
        <v>0</v>
      </c>
      <c r="E1446">
        <v>0</v>
      </c>
      <c r="F1446" t="s">
        <v>20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s="1">
        <v>424464346306825</v>
      </c>
      <c r="Q1446" t="b">
        <v>0</v>
      </c>
    </row>
    <row r="1447" spans="1:17" x14ac:dyDescent="0.35">
      <c r="A1447" t="s">
        <v>4302</v>
      </c>
      <c r="B1447" t="s">
        <v>18</v>
      </c>
      <c r="C1447" t="s">
        <v>4303</v>
      </c>
      <c r="D1447">
        <v>0</v>
      </c>
      <c r="E1447">
        <v>0</v>
      </c>
      <c r="F1447" t="s">
        <v>20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s="1">
        <v>4244671982956330</v>
      </c>
      <c r="Q1447" t="b">
        <v>0</v>
      </c>
    </row>
    <row r="1448" spans="1:17" x14ac:dyDescent="0.35">
      <c r="A1448" t="s">
        <v>4304</v>
      </c>
      <c r="B1448" t="s">
        <v>18</v>
      </c>
      <c r="C1448" t="s">
        <v>4305</v>
      </c>
      <c r="D1448">
        <v>0</v>
      </c>
      <c r="E1448">
        <v>0</v>
      </c>
      <c r="F1448" t="s">
        <v>20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s="1">
        <v>4244700502844410</v>
      </c>
      <c r="Q1448" t="b">
        <v>0</v>
      </c>
    </row>
    <row r="1449" spans="1:17" x14ac:dyDescent="0.35">
      <c r="A1449" t="s">
        <v>4306</v>
      </c>
      <c r="B1449" t="s">
        <v>18</v>
      </c>
      <c r="C1449" t="s">
        <v>4307</v>
      </c>
      <c r="D1449">
        <v>0</v>
      </c>
      <c r="E1449">
        <v>0</v>
      </c>
      <c r="F1449" t="s">
        <v>20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s="1">
        <v>4244729022732490</v>
      </c>
      <c r="Q1449" t="b">
        <v>0</v>
      </c>
    </row>
    <row r="1450" spans="1:17" x14ac:dyDescent="0.35">
      <c r="A1450" t="s">
        <v>4308</v>
      </c>
      <c r="B1450" t="s">
        <v>18</v>
      </c>
      <c r="C1450" t="s">
        <v>4309</v>
      </c>
      <c r="D1450">
        <v>0</v>
      </c>
      <c r="E1450">
        <v>0</v>
      </c>
      <c r="F1450" t="s">
        <v>20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s="1">
        <v>4244757542620570</v>
      </c>
      <c r="Q1450" t="b">
        <v>0</v>
      </c>
    </row>
    <row r="1451" spans="1:17" x14ac:dyDescent="0.35">
      <c r="A1451" t="s">
        <v>4310</v>
      </c>
      <c r="B1451" t="s">
        <v>18</v>
      </c>
      <c r="C1451" t="s">
        <v>4311</v>
      </c>
      <c r="D1451">
        <v>0</v>
      </c>
      <c r="E1451">
        <v>0</v>
      </c>
      <c r="F1451" t="s">
        <v>20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s="1">
        <v>4244786062508650</v>
      </c>
      <c r="Q1451" t="b">
        <v>0</v>
      </c>
    </row>
    <row r="1452" spans="1:17" x14ac:dyDescent="0.35">
      <c r="A1452" t="s">
        <v>4312</v>
      </c>
      <c r="B1452" t="s">
        <v>18</v>
      </c>
      <c r="C1452" t="s">
        <v>4313</v>
      </c>
      <c r="D1452">
        <v>0</v>
      </c>
      <c r="E1452">
        <v>0</v>
      </c>
      <c r="F1452" t="s">
        <v>20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s="1">
        <v>424481458239674</v>
      </c>
      <c r="Q1452" t="b">
        <v>0</v>
      </c>
    </row>
    <row r="1453" spans="1:17" x14ac:dyDescent="0.35">
      <c r="A1453" t="s">
        <v>4314</v>
      </c>
      <c r="B1453" t="s">
        <v>18</v>
      </c>
      <c r="C1453" t="s">
        <v>4315</v>
      </c>
      <c r="D1453">
        <v>0</v>
      </c>
      <c r="E1453">
        <v>0</v>
      </c>
      <c r="F1453" t="s">
        <v>20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s="1">
        <v>4244843102284820</v>
      </c>
      <c r="Q1453" t="b">
        <v>0</v>
      </c>
    </row>
    <row r="1454" spans="1:17" x14ac:dyDescent="0.35">
      <c r="A1454" t="s">
        <v>4316</v>
      </c>
      <c r="B1454" t="s">
        <v>18</v>
      </c>
      <c r="C1454" t="s">
        <v>4317</v>
      </c>
      <c r="D1454">
        <v>0</v>
      </c>
      <c r="E1454">
        <v>0</v>
      </c>
      <c r="F1454" t="s">
        <v>20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s="1">
        <v>4244871622172900</v>
      </c>
      <c r="Q1454" t="b">
        <v>0</v>
      </c>
    </row>
    <row r="1455" spans="1:17" x14ac:dyDescent="0.35">
      <c r="A1455" t="s">
        <v>4318</v>
      </c>
      <c r="B1455" t="s">
        <v>18</v>
      </c>
      <c r="C1455" t="s">
        <v>4319</v>
      </c>
      <c r="D1455">
        <v>0</v>
      </c>
      <c r="E1455">
        <v>0</v>
      </c>
      <c r="F1455" t="s">
        <v>20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s="1">
        <v>4244900142060980</v>
      </c>
      <c r="Q1455" t="b">
        <v>0</v>
      </c>
    </row>
    <row r="1456" spans="1:17" x14ac:dyDescent="0.35">
      <c r="A1456" t="s">
        <v>4320</v>
      </c>
      <c r="B1456" t="s">
        <v>18</v>
      </c>
      <c r="C1456" t="s">
        <v>4321</v>
      </c>
      <c r="D1456">
        <v>0</v>
      </c>
      <c r="E1456">
        <v>0</v>
      </c>
      <c r="F1456" t="s">
        <v>20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s="1">
        <v>4244928661949060</v>
      </c>
      <c r="Q1456" t="b">
        <v>0</v>
      </c>
    </row>
    <row r="1457" spans="1:17" x14ac:dyDescent="0.35">
      <c r="A1457" t="s">
        <v>4322</v>
      </c>
      <c r="B1457" t="s">
        <v>18</v>
      </c>
      <c r="C1457" t="s">
        <v>4323</v>
      </c>
      <c r="D1457">
        <v>0</v>
      </c>
      <c r="E1457">
        <v>0</v>
      </c>
      <c r="F1457" t="s">
        <v>20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s="1">
        <v>4244957181837140</v>
      </c>
      <c r="Q1457" t="b">
        <v>0</v>
      </c>
    </row>
    <row r="1458" spans="1:17" x14ac:dyDescent="0.35">
      <c r="A1458" t="s">
        <v>4324</v>
      </c>
      <c r="B1458" t="s">
        <v>18</v>
      </c>
      <c r="C1458" t="s">
        <v>4325</v>
      </c>
      <c r="D1458">
        <v>0</v>
      </c>
      <c r="E1458">
        <v>0</v>
      </c>
      <c r="F1458" t="s">
        <v>20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s="1">
        <v>424498570172523</v>
      </c>
      <c r="Q1458" t="b">
        <v>0</v>
      </c>
    </row>
    <row r="1459" spans="1:17" x14ac:dyDescent="0.35">
      <c r="A1459" t="s">
        <v>4326</v>
      </c>
      <c r="B1459" t="s">
        <v>18</v>
      </c>
      <c r="C1459" t="s">
        <v>4327</v>
      </c>
      <c r="D1459">
        <v>0</v>
      </c>
      <c r="E1459">
        <v>0</v>
      </c>
      <c r="F1459" t="s">
        <v>20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s="1">
        <v>4245014221613310</v>
      </c>
      <c r="Q1459" t="b">
        <v>0</v>
      </c>
    </row>
    <row r="1460" spans="1:17" x14ac:dyDescent="0.35">
      <c r="A1460" t="s">
        <v>4328</v>
      </c>
      <c r="B1460" t="s">
        <v>18</v>
      </c>
      <c r="C1460" t="s">
        <v>4329</v>
      </c>
      <c r="D1460">
        <v>0</v>
      </c>
      <c r="E1460">
        <v>0</v>
      </c>
      <c r="F1460" t="s">
        <v>20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s="1">
        <v>4.2450427415013904E+16</v>
      </c>
      <c r="Q1460" t="b">
        <v>0</v>
      </c>
    </row>
    <row r="1461" spans="1:17" x14ac:dyDescent="0.35">
      <c r="A1461" t="s">
        <v>4330</v>
      </c>
      <c r="B1461" t="s">
        <v>18</v>
      </c>
      <c r="C1461" t="s">
        <v>4331</v>
      </c>
      <c r="D1461">
        <v>0</v>
      </c>
      <c r="E1461">
        <v>0</v>
      </c>
      <c r="F1461" t="s">
        <v>20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>
        <v>4245071261389470</v>
      </c>
      <c r="Q1461" t="b">
        <v>0</v>
      </c>
    </row>
    <row r="1462" spans="1:17" x14ac:dyDescent="0.35">
      <c r="A1462" t="s">
        <v>4332</v>
      </c>
      <c r="B1462" t="s">
        <v>18</v>
      </c>
      <c r="C1462" t="s">
        <v>4333</v>
      </c>
      <c r="D1462">
        <v>0</v>
      </c>
      <c r="E1462">
        <v>0</v>
      </c>
      <c r="F1462" t="s">
        <v>20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s="1">
        <v>4245099781277550</v>
      </c>
      <c r="Q1462" t="b">
        <v>0</v>
      </c>
    </row>
    <row r="1463" spans="1:17" x14ac:dyDescent="0.35">
      <c r="A1463" t="s">
        <v>4334</v>
      </c>
      <c r="B1463" t="s">
        <v>18</v>
      </c>
      <c r="C1463" t="s">
        <v>4335</v>
      </c>
      <c r="D1463">
        <v>0</v>
      </c>
      <c r="E1463">
        <v>0</v>
      </c>
      <c r="F1463" t="s">
        <v>20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s="1">
        <v>4.2451283011656304E+16</v>
      </c>
      <c r="Q1463" t="b">
        <v>0</v>
      </c>
    </row>
    <row r="1464" spans="1:17" x14ac:dyDescent="0.35">
      <c r="A1464" t="s">
        <v>4336</v>
      </c>
      <c r="B1464" t="s">
        <v>18</v>
      </c>
      <c r="C1464" t="s">
        <v>4337</v>
      </c>
      <c r="D1464">
        <v>0</v>
      </c>
      <c r="E1464">
        <v>0</v>
      </c>
      <c r="F1464" t="s">
        <v>20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s="1">
        <v>4245156821053710</v>
      </c>
      <c r="Q1464" t="b">
        <v>0</v>
      </c>
    </row>
    <row r="1465" spans="1:17" x14ac:dyDescent="0.35">
      <c r="A1465" t="s">
        <v>4338</v>
      </c>
      <c r="B1465" t="s">
        <v>18</v>
      </c>
      <c r="C1465" t="s">
        <v>4339</v>
      </c>
      <c r="D1465">
        <v>0</v>
      </c>
      <c r="E1465">
        <v>0</v>
      </c>
      <c r="F1465" t="s">
        <v>20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s="1">
        <v>42451853409418</v>
      </c>
      <c r="Q1465" t="b">
        <v>0</v>
      </c>
    </row>
    <row r="1466" spans="1:17" x14ac:dyDescent="0.35">
      <c r="A1466" t="s">
        <v>4340</v>
      </c>
      <c r="B1466" t="s">
        <v>18</v>
      </c>
      <c r="C1466" t="s">
        <v>4341</v>
      </c>
      <c r="D1466">
        <v>0</v>
      </c>
      <c r="E1466">
        <v>0</v>
      </c>
      <c r="F1466" t="s">
        <v>20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s="1">
        <v>4245213860829880</v>
      </c>
      <c r="Q1466" t="b">
        <v>0</v>
      </c>
    </row>
    <row r="1467" spans="1:17" x14ac:dyDescent="0.35">
      <c r="A1467" t="s">
        <v>4342</v>
      </c>
      <c r="B1467" t="s">
        <v>18</v>
      </c>
      <c r="C1467" t="s">
        <v>4343</v>
      </c>
      <c r="D1467">
        <v>0</v>
      </c>
      <c r="E1467">
        <v>0</v>
      </c>
      <c r="F1467" t="s">
        <v>20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s="1">
        <v>4245242380717960</v>
      </c>
      <c r="Q1467" t="b">
        <v>0</v>
      </c>
    </row>
    <row r="1468" spans="1:17" x14ac:dyDescent="0.35">
      <c r="A1468" t="s">
        <v>4344</v>
      </c>
      <c r="B1468" t="s">
        <v>18</v>
      </c>
      <c r="C1468" t="s">
        <v>4345</v>
      </c>
      <c r="D1468">
        <v>0</v>
      </c>
      <c r="E1468">
        <v>0</v>
      </c>
      <c r="F1468" t="s">
        <v>20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s="1">
        <v>4245270900606040</v>
      </c>
      <c r="Q1468" t="b">
        <v>0</v>
      </c>
    </row>
    <row r="1469" spans="1:17" x14ac:dyDescent="0.35">
      <c r="A1469" t="s">
        <v>4346</v>
      </c>
      <c r="B1469" t="s">
        <v>18</v>
      </c>
      <c r="C1469" t="s">
        <v>4347</v>
      </c>
      <c r="D1469">
        <v>0</v>
      </c>
      <c r="E1469">
        <v>0</v>
      </c>
      <c r="F1469" t="s">
        <v>20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s="1">
        <v>4245299420494120</v>
      </c>
      <c r="Q1469" t="b">
        <v>0</v>
      </c>
    </row>
    <row r="1470" spans="1:17" x14ac:dyDescent="0.35">
      <c r="A1470" t="s">
        <v>4348</v>
      </c>
      <c r="B1470" t="s">
        <v>18</v>
      </c>
      <c r="C1470" t="s">
        <v>4349</v>
      </c>
      <c r="D1470">
        <v>0</v>
      </c>
      <c r="E1470">
        <v>0</v>
      </c>
      <c r="F1470" t="s">
        <v>20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s="1">
        <v>4245327940382200</v>
      </c>
      <c r="Q1470" t="b">
        <v>0</v>
      </c>
    </row>
    <row r="1471" spans="1:17" x14ac:dyDescent="0.35">
      <c r="A1471" t="s">
        <v>4350</v>
      </c>
      <c r="B1471" t="s">
        <v>18</v>
      </c>
      <c r="C1471" t="s">
        <v>4351</v>
      </c>
      <c r="D1471">
        <v>0</v>
      </c>
      <c r="E1471">
        <v>0</v>
      </c>
      <c r="F1471" t="s">
        <v>20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s="1">
        <v>424535646027029</v>
      </c>
      <c r="Q1471" t="b">
        <v>0</v>
      </c>
    </row>
    <row r="1472" spans="1:17" x14ac:dyDescent="0.35">
      <c r="A1472" t="s">
        <v>4352</v>
      </c>
      <c r="B1472" t="s">
        <v>18</v>
      </c>
      <c r="C1472" t="s">
        <v>4353</v>
      </c>
      <c r="D1472">
        <v>0</v>
      </c>
      <c r="E1472">
        <v>0</v>
      </c>
      <c r="F1472" t="s">
        <v>20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s="1">
        <v>4245384980158370</v>
      </c>
      <c r="Q1472" t="b">
        <v>0</v>
      </c>
    </row>
    <row r="1473" spans="1:17" x14ac:dyDescent="0.35">
      <c r="A1473" t="s">
        <v>4354</v>
      </c>
      <c r="B1473" t="s">
        <v>18</v>
      </c>
      <c r="C1473" t="s">
        <v>4355</v>
      </c>
      <c r="D1473">
        <v>0</v>
      </c>
      <c r="E1473">
        <v>0</v>
      </c>
      <c r="F1473" t="s">
        <v>20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s="1">
        <v>4245413500046450</v>
      </c>
      <c r="Q1473" t="b">
        <v>0</v>
      </c>
    </row>
    <row r="1474" spans="1:17" x14ac:dyDescent="0.35">
      <c r="A1474" t="s">
        <v>4356</v>
      </c>
      <c r="B1474" t="s">
        <v>18</v>
      </c>
      <c r="C1474" t="s">
        <v>4357</v>
      </c>
      <c r="D1474">
        <v>0</v>
      </c>
      <c r="E1474">
        <v>0</v>
      </c>
      <c r="F1474" t="s">
        <v>20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s="1">
        <v>4245442019934530</v>
      </c>
      <c r="Q1474" t="b">
        <v>0</v>
      </c>
    </row>
    <row r="1475" spans="1:17" x14ac:dyDescent="0.35">
      <c r="A1475" t="s">
        <v>4358</v>
      </c>
      <c r="B1475" t="s">
        <v>18</v>
      </c>
      <c r="C1475" t="s">
        <v>4359</v>
      </c>
      <c r="D1475">
        <v>0</v>
      </c>
      <c r="E1475">
        <v>0</v>
      </c>
      <c r="F1475" t="s">
        <v>20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s="1">
        <v>4245470539822610</v>
      </c>
      <c r="Q1475" t="b">
        <v>0</v>
      </c>
    </row>
    <row r="1476" spans="1:17" x14ac:dyDescent="0.35">
      <c r="A1476" t="s">
        <v>4360</v>
      </c>
      <c r="B1476" t="s">
        <v>18</v>
      </c>
      <c r="C1476" t="s">
        <v>4361</v>
      </c>
      <c r="D1476">
        <v>0</v>
      </c>
      <c r="E1476">
        <v>0</v>
      </c>
      <c r="F1476" t="s">
        <v>20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s="1">
        <v>4245499059710690</v>
      </c>
      <c r="Q1476" t="b">
        <v>0</v>
      </c>
    </row>
    <row r="1477" spans="1:17" x14ac:dyDescent="0.35">
      <c r="A1477" t="s">
        <v>4362</v>
      </c>
      <c r="B1477" t="s">
        <v>18</v>
      </c>
      <c r="C1477" t="s">
        <v>4363</v>
      </c>
      <c r="D1477">
        <v>0</v>
      </c>
      <c r="E1477">
        <v>0</v>
      </c>
      <c r="F1477" t="s">
        <v>20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s="1">
        <v>4245527579598770</v>
      </c>
      <c r="Q1477" t="b">
        <v>0</v>
      </c>
    </row>
    <row r="1478" spans="1:17" x14ac:dyDescent="0.35">
      <c r="A1478" t="s">
        <v>4364</v>
      </c>
      <c r="B1478" t="s">
        <v>18</v>
      </c>
      <c r="C1478" t="s">
        <v>4365</v>
      </c>
      <c r="D1478">
        <v>0</v>
      </c>
      <c r="E1478">
        <v>0</v>
      </c>
      <c r="F1478" t="s">
        <v>20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s="1">
        <v>4245556099486860</v>
      </c>
      <c r="Q1478" t="b">
        <v>0</v>
      </c>
    </row>
    <row r="1479" spans="1:17" x14ac:dyDescent="0.35">
      <c r="A1479" t="s">
        <v>4366</v>
      </c>
      <c r="B1479" t="s">
        <v>18</v>
      </c>
      <c r="C1479" t="s">
        <v>4367</v>
      </c>
      <c r="D1479">
        <v>0</v>
      </c>
      <c r="E1479">
        <v>0</v>
      </c>
      <c r="F1479" t="s">
        <v>20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s="1">
        <v>4.24558461937494E+16</v>
      </c>
      <c r="Q1479" t="b">
        <v>0</v>
      </c>
    </row>
    <row r="1480" spans="1:17" x14ac:dyDescent="0.35">
      <c r="A1480" t="s">
        <v>4368</v>
      </c>
      <c r="B1480" t="s">
        <v>18</v>
      </c>
      <c r="C1480" t="s">
        <v>4369</v>
      </c>
      <c r="D1480">
        <v>0</v>
      </c>
      <c r="E1480">
        <v>0</v>
      </c>
      <c r="F1480" t="s">
        <v>20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s="1">
        <v>4245613139263020</v>
      </c>
      <c r="Q1480" t="b">
        <v>0</v>
      </c>
    </row>
    <row r="1481" spans="1:17" x14ac:dyDescent="0.35">
      <c r="A1481" t="s">
        <v>4370</v>
      </c>
      <c r="B1481" t="s">
        <v>18</v>
      </c>
      <c r="C1481" t="s">
        <v>4371</v>
      </c>
      <c r="D1481">
        <v>0</v>
      </c>
      <c r="E1481">
        <v>0</v>
      </c>
      <c r="F1481" t="s">
        <v>20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s="1">
        <v>4245641659151100</v>
      </c>
      <c r="Q1481" t="b">
        <v>0</v>
      </c>
    </row>
    <row r="1482" spans="1:17" x14ac:dyDescent="0.35">
      <c r="A1482" t="s">
        <v>4372</v>
      </c>
      <c r="B1482" t="s">
        <v>18</v>
      </c>
      <c r="C1482" t="s">
        <v>4373</v>
      </c>
      <c r="D1482">
        <v>0</v>
      </c>
      <c r="E1482">
        <v>0</v>
      </c>
      <c r="F1482" t="s">
        <v>20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s="1">
        <v>4245670179039180</v>
      </c>
      <c r="Q1482" t="b">
        <v>0</v>
      </c>
    </row>
    <row r="1483" spans="1:17" x14ac:dyDescent="0.35">
      <c r="A1483" t="s">
        <v>4374</v>
      </c>
      <c r="B1483" t="s">
        <v>18</v>
      </c>
      <c r="C1483" t="s">
        <v>4375</v>
      </c>
      <c r="D1483">
        <v>0</v>
      </c>
      <c r="E1483">
        <v>0</v>
      </c>
      <c r="F1483" t="s">
        <v>20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s="1">
        <v>4245698698927260</v>
      </c>
      <c r="Q1483" t="b">
        <v>0</v>
      </c>
    </row>
    <row r="1484" spans="1:17" x14ac:dyDescent="0.35">
      <c r="A1484" t="s">
        <v>4376</v>
      </c>
      <c r="B1484" t="s">
        <v>18</v>
      </c>
      <c r="C1484" t="s">
        <v>4377</v>
      </c>
      <c r="D1484">
        <v>0</v>
      </c>
      <c r="E1484">
        <v>0</v>
      </c>
      <c r="F1484" t="s">
        <v>20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s="1">
        <v>424572721881535</v>
      </c>
      <c r="Q1484" t="b">
        <v>0</v>
      </c>
    </row>
    <row r="1485" spans="1:17" x14ac:dyDescent="0.35">
      <c r="A1485" t="s">
        <v>4378</v>
      </c>
      <c r="B1485" t="s">
        <v>18</v>
      </c>
      <c r="C1485" t="s">
        <v>4379</v>
      </c>
      <c r="D1485">
        <v>0</v>
      </c>
      <c r="E1485">
        <v>0</v>
      </c>
      <c r="F1485" t="s">
        <v>20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s="1">
        <v>4245755738703430</v>
      </c>
      <c r="Q1485" t="b">
        <v>0</v>
      </c>
    </row>
    <row r="1486" spans="1:17" x14ac:dyDescent="0.35">
      <c r="A1486" t="s">
        <v>4380</v>
      </c>
      <c r="B1486" t="s">
        <v>18</v>
      </c>
      <c r="C1486" t="s">
        <v>4381</v>
      </c>
      <c r="D1486">
        <v>0</v>
      </c>
      <c r="E1486">
        <v>0</v>
      </c>
      <c r="F1486" t="s">
        <v>20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s="1">
        <v>4245784258591510</v>
      </c>
      <c r="Q1486" t="b">
        <v>0</v>
      </c>
    </row>
    <row r="1487" spans="1:17" x14ac:dyDescent="0.35">
      <c r="A1487" t="s">
        <v>4382</v>
      </c>
      <c r="B1487" t="s">
        <v>18</v>
      </c>
      <c r="C1487" t="s">
        <v>4383</v>
      </c>
      <c r="D1487">
        <v>0</v>
      </c>
      <c r="E1487">
        <v>0</v>
      </c>
      <c r="F1487" t="s">
        <v>20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s="1">
        <v>4.2458127784795904E+16</v>
      </c>
      <c r="Q1487" t="b">
        <v>0</v>
      </c>
    </row>
    <row r="1488" spans="1:17" x14ac:dyDescent="0.35">
      <c r="A1488" t="s">
        <v>4384</v>
      </c>
      <c r="B1488" t="s">
        <v>18</v>
      </c>
      <c r="C1488" t="s">
        <v>4385</v>
      </c>
      <c r="D1488">
        <v>0</v>
      </c>
      <c r="E1488">
        <v>0</v>
      </c>
      <c r="F1488" t="s">
        <v>20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s="1">
        <v>4245841298367670</v>
      </c>
      <c r="Q1488" t="b">
        <v>0</v>
      </c>
    </row>
    <row r="1489" spans="1:17" x14ac:dyDescent="0.35">
      <c r="A1489" t="s">
        <v>4386</v>
      </c>
      <c r="B1489" t="s">
        <v>18</v>
      </c>
      <c r="C1489" t="s">
        <v>4387</v>
      </c>
      <c r="D1489">
        <v>0</v>
      </c>
      <c r="E1489">
        <v>0</v>
      </c>
      <c r="F1489" t="s">
        <v>20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s="1">
        <v>4245869818255750</v>
      </c>
      <c r="Q1489" t="b">
        <v>0</v>
      </c>
    </row>
    <row r="1490" spans="1:17" x14ac:dyDescent="0.35">
      <c r="A1490" t="s">
        <v>4388</v>
      </c>
      <c r="B1490" t="s">
        <v>18</v>
      </c>
      <c r="C1490" t="s">
        <v>4389</v>
      </c>
      <c r="D1490">
        <v>0</v>
      </c>
      <c r="E1490">
        <v>0</v>
      </c>
      <c r="F1490" t="s">
        <v>20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s="1">
        <v>4.2458983381438304E+16</v>
      </c>
      <c r="Q1490" t="b">
        <v>0</v>
      </c>
    </row>
    <row r="1491" spans="1:17" x14ac:dyDescent="0.35">
      <c r="A1491" t="s">
        <v>4390</v>
      </c>
      <c r="B1491" t="s">
        <v>18</v>
      </c>
      <c r="C1491" t="s">
        <v>4391</v>
      </c>
      <c r="D1491">
        <v>0</v>
      </c>
      <c r="E1491">
        <v>0</v>
      </c>
      <c r="F1491" t="s">
        <v>20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s="1">
        <v>4245926858031920</v>
      </c>
      <c r="Q1491" t="b">
        <v>0</v>
      </c>
    </row>
    <row r="1492" spans="1:17" x14ac:dyDescent="0.35">
      <c r="A1492" t="s">
        <v>4392</v>
      </c>
      <c r="B1492" t="s">
        <v>18</v>
      </c>
      <c r="C1492" t="s">
        <v>4393</v>
      </c>
      <c r="D1492">
        <v>0</v>
      </c>
      <c r="E1492">
        <v>0</v>
      </c>
      <c r="F1492" t="s">
        <v>20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4245955377920000</v>
      </c>
      <c r="Q1492" t="b">
        <v>0</v>
      </c>
    </row>
    <row r="1493" spans="1:17" x14ac:dyDescent="0.35">
      <c r="A1493" t="s">
        <v>4394</v>
      </c>
      <c r="B1493" t="s">
        <v>18</v>
      </c>
      <c r="C1493" t="s">
        <v>4395</v>
      </c>
      <c r="D1493">
        <v>0</v>
      </c>
      <c r="E1493">
        <v>0</v>
      </c>
      <c r="F1493" t="s">
        <v>20</v>
      </c>
      <c r="G1493" t="s">
        <v>4396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s="1">
        <v>4245983897808080</v>
      </c>
      <c r="Q1493" t="b">
        <v>0</v>
      </c>
    </row>
    <row r="1494" spans="1:17" x14ac:dyDescent="0.35">
      <c r="A1494" t="s">
        <v>4397</v>
      </c>
      <c r="B1494" t="s">
        <v>18</v>
      </c>
      <c r="C1494" t="s">
        <v>4398</v>
      </c>
      <c r="D1494">
        <v>0</v>
      </c>
      <c r="E1494" t="s">
        <v>4399</v>
      </c>
      <c r="F1494" t="s">
        <v>20</v>
      </c>
      <c r="G1494" t="s">
        <v>4400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s="1">
        <v>4246012417696160</v>
      </c>
      <c r="Q1494" t="b">
        <v>0</v>
      </c>
    </row>
    <row r="1495" spans="1:17" x14ac:dyDescent="0.35">
      <c r="A1495" t="s">
        <v>4401</v>
      </c>
      <c r="B1495" t="s">
        <v>18</v>
      </c>
      <c r="C1495" t="s">
        <v>4402</v>
      </c>
      <c r="D1495">
        <v>0</v>
      </c>
      <c r="E1495" t="s">
        <v>4403</v>
      </c>
      <c r="F1495" t="s">
        <v>20</v>
      </c>
      <c r="G1495" t="s">
        <v>4404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s="1">
        <v>4246040937584240</v>
      </c>
      <c r="Q1495" t="b">
        <v>0</v>
      </c>
    </row>
    <row r="1496" spans="1:17" x14ac:dyDescent="0.35">
      <c r="A1496" t="s">
        <v>4405</v>
      </c>
      <c r="B1496" t="s">
        <v>18</v>
      </c>
      <c r="C1496" t="s">
        <v>4406</v>
      </c>
      <c r="D1496">
        <v>0</v>
      </c>
      <c r="E1496" t="s">
        <v>4407</v>
      </c>
      <c r="F1496" t="s">
        <v>20</v>
      </c>
      <c r="G1496" t="s">
        <v>4408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s="1">
        <v>4246069457472320</v>
      </c>
      <c r="Q1496" t="b">
        <v>0</v>
      </c>
    </row>
    <row r="1497" spans="1:17" x14ac:dyDescent="0.35">
      <c r="A1497" t="s">
        <v>4409</v>
      </c>
      <c r="B1497" t="s">
        <v>18</v>
      </c>
      <c r="C1497" t="s">
        <v>4410</v>
      </c>
      <c r="D1497">
        <v>0</v>
      </c>
      <c r="E1497" t="s">
        <v>4411</v>
      </c>
      <c r="F1497" t="s">
        <v>20</v>
      </c>
      <c r="G1497" t="s">
        <v>4412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s="1">
        <v>424609797736041</v>
      </c>
      <c r="Q1497" t="b">
        <v>0</v>
      </c>
    </row>
    <row r="1498" spans="1:17" x14ac:dyDescent="0.35">
      <c r="A1498" t="s">
        <v>4413</v>
      </c>
      <c r="B1498" t="s">
        <v>18</v>
      </c>
      <c r="C1498" t="s">
        <v>4414</v>
      </c>
      <c r="D1498">
        <v>0</v>
      </c>
      <c r="E1498" t="s">
        <v>4415</v>
      </c>
      <c r="F1498" t="s">
        <v>20</v>
      </c>
      <c r="G1498" t="s">
        <v>4416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s="1">
        <v>4.2461264972484896E+16</v>
      </c>
      <c r="Q1498" t="b">
        <v>0</v>
      </c>
    </row>
    <row r="1499" spans="1:17" x14ac:dyDescent="0.35">
      <c r="A1499" t="s">
        <v>4417</v>
      </c>
      <c r="B1499" t="s">
        <v>18</v>
      </c>
      <c r="C1499" t="s">
        <v>4418</v>
      </c>
      <c r="D1499">
        <v>0</v>
      </c>
      <c r="E1499" t="s">
        <v>4419</v>
      </c>
      <c r="F1499" t="s">
        <v>20</v>
      </c>
      <c r="G1499" t="s">
        <v>4420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s="1">
        <v>4246155017136570</v>
      </c>
      <c r="Q1499" t="b">
        <v>0</v>
      </c>
    </row>
    <row r="1500" spans="1:17" x14ac:dyDescent="0.35">
      <c r="A1500" t="s">
        <v>4421</v>
      </c>
      <c r="B1500" t="s">
        <v>18</v>
      </c>
      <c r="C1500" t="s">
        <v>4422</v>
      </c>
      <c r="D1500">
        <v>0</v>
      </c>
      <c r="E1500" t="s">
        <v>4423</v>
      </c>
      <c r="F1500" t="s">
        <v>20</v>
      </c>
      <c r="G1500" t="s">
        <v>4424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s="1">
        <v>4246183537024650</v>
      </c>
      <c r="Q1500" t="b">
        <v>0</v>
      </c>
    </row>
    <row r="1501" spans="1:17" x14ac:dyDescent="0.35">
      <c r="A1501" t="s">
        <v>4425</v>
      </c>
      <c r="B1501" t="s">
        <v>18</v>
      </c>
      <c r="C1501" t="s">
        <v>4426</v>
      </c>
      <c r="D1501">
        <v>0</v>
      </c>
      <c r="E1501" t="s">
        <v>4427</v>
      </c>
      <c r="F1501" t="s">
        <v>20</v>
      </c>
      <c r="G1501" t="s">
        <v>4428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s="1">
        <v>4246212056912730</v>
      </c>
      <c r="Q1501" t="b">
        <v>0</v>
      </c>
    </row>
    <row r="1502" spans="1:17" x14ac:dyDescent="0.35">
      <c r="A1502" t="s">
        <v>4429</v>
      </c>
      <c r="B1502" t="s">
        <v>18</v>
      </c>
      <c r="C1502" t="s">
        <v>4430</v>
      </c>
      <c r="D1502">
        <v>0</v>
      </c>
      <c r="E1502" t="s">
        <v>4431</v>
      </c>
      <c r="F1502" t="s">
        <v>20</v>
      </c>
      <c r="G1502" t="s">
        <v>4432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s="1">
        <v>4246240576800810</v>
      </c>
      <c r="Q1502" t="b">
        <v>0</v>
      </c>
    </row>
    <row r="1503" spans="1:17" x14ac:dyDescent="0.35">
      <c r="A1503" t="s">
        <v>4433</v>
      </c>
      <c r="B1503" t="s">
        <v>18</v>
      </c>
      <c r="C1503" t="s">
        <v>4434</v>
      </c>
      <c r="D1503">
        <v>0</v>
      </c>
      <c r="E1503" t="s">
        <v>4435</v>
      </c>
      <c r="F1503" t="s">
        <v>20</v>
      </c>
      <c r="G1503" t="s">
        <v>4436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s="1">
        <v>42462690966889</v>
      </c>
      <c r="Q1503" t="b">
        <v>0</v>
      </c>
    </row>
    <row r="1504" spans="1:17" x14ac:dyDescent="0.35">
      <c r="A1504" t="s">
        <v>4437</v>
      </c>
      <c r="B1504" t="s">
        <v>18</v>
      </c>
      <c r="C1504" t="s">
        <v>4438</v>
      </c>
      <c r="D1504">
        <v>0</v>
      </c>
      <c r="E1504" t="s">
        <v>4439</v>
      </c>
      <c r="F1504" t="s">
        <v>20</v>
      </c>
      <c r="G1504" t="s">
        <v>4440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s="1">
        <v>4246297616576980</v>
      </c>
      <c r="Q1504" t="b">
        <v>0</v>
      </c>
    </row>
    <row r="1505" spans="1:17" x14ac:dyDescent="0.35">
      <c r="A1505" t="s">
        <v>4441</v>
      </c>
      <c r="B1505" t="s">
        <v>18</v>
      </c>
      <c r="C1505" t="s">
        <v>4442</v>
      </c>
      <c r="D1505">
        <v>0</v>
      </c>
      <c r="E1505" t="s">
        <v>4443</v>
      </c>
      <c r="F1505" t="s">
        <v>20</v>
      </c>
      <c r="G1505" t="s">
        <v>4444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s="1">
        <v>4246326136465060</v>
      </c>
      <c r="Q1505" t="b">
        <v>0</v>
      </c>
    </row>
    <row r="1506" spans="1:17" x14ac:dyDescent="0.35">
      <c r="A1506" t="s">
        <v>4445</v>
      </c>
      <c r="B1506" t="s">
        <v>18</v>
      </c>
      <c r="C1506" t="s">
        <v>4446</v>
      </c>
      <c r="D1506">
        <v>0</v>
      </c>
      <c r="E1506" t="s">
        <v>4447</v>
      </c>
      <c r="F1506" t="s">
        <v>20</v>
      </c>
      <c r="G1506" t="s">
        <v>4448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s="1">
        <v>4.24635465635314E+16</v>
      </c>
      <c r="Q1506" t="b">
        <v>0</v>
      </c>
    </row>
    <row r="1507" spans="1:17" x14ac:dyDescent="0.35">
      <c r="A1507" t="s">
        <v>4449</v>
      </c>
      <c r="B1507" t="s">
        <v>18</v>
      </c>
      <c r="C1507" t="s">
        <v>4450</v>
      </c>
      <c r="D1507">
        <v>0</v>
      </c>
      <c r="E1507" t="s">
        <v>4451</v>
      </c>
      <c r="F1507" t="s">
        <v>20</v>
      </c>
      <c r="G1507" t="s">
        <v>4452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s="1">
        <v>4246383176241220</v>
      </c>
      <c r="Q1507" t="b">
        <v>0</v>
      </c>
    </row>
    <row r="1508" spans="1:17" x14ac:dyDescent="0.35">
      <c r="A1508" t="s">
        <v>4453</v>
      </c>
      <c r="B1508" t="s">
        <v>18</v>
      </c>
      <c r="C1508" t="s">
        <v>4454</v>
      </c>
      <c r="D1508">
        <v>0</v>
      </c>
      <c r="E1508" t="s">
        <v>4455</v>
      </c>
      <c r="F1508" t="s">
        <v>20</v>
      </c>
      <c r="G1508" t="s">
        <v>4456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s="1">
        <v>4246411696129300</v>
      </c>
      <c r="Q1508" t="b">
        <v>0</v>
      </c>
    </row>
    <row r="1509" spans="1:17" x14ac:dyDescent="0.35">
      <c r="A1509" t="s">
        <v>4457</v>
      </c>
      <c r="B1509" t="s">
        <v>18</v>
      </c>
      <c r="C1509" t="s">
        <v>4458</v>
      </c>
      <c r="D1509">
        <v>0</v>
      </c>
      <c r="E1509" t="s">
        <v>4459</v>
      </c>
      <c r="F1509" t="s">
        <v>20</v>
      </c>
      <c r="G1509" t="s">
        <v>4460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s="1">
        <v>4.24644021601738E+16</v>
      </c>
      <c r="Q1509" t="b">
        <v>0</v>
      </c>
    </row>
    <row r="1510" spans="1:17" x14ac:dyDescent="0.35">
      <c r="A1510" t="s">
        <v>4461</v>
      </c>
      <c r="B1510" t="s">
        <v>18</v>
      </c>
      <c r="C1510" t="s">
        <v>4462</v>
      </c>
      <c r="D1510">
        <v>0</v>
      </c>
      <c r="E1510" t="s">
        <v>4463</v>
      </c>
      <c r="F1510" t="s">
        <v>20</v>
      </c>
      <c r="G1510" t="s">
        <v>4464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s="1">
        <v>4246468735905470</v>
      </c>
      <c r="Q1510" t="b">
        <v>0</v>
      </c>
    </row>
    <row r="1511" spans="1:17" x14ac:dyDescent="0.35">
      <c r="A1511" t="s">
        <v>4465</v>
      </c>
      <c r="B1511" t="s">
        <v>18</v>
      </c>
      <c r="C1511" t="s">
        <v>4466</v>
      </c>
      <c r="D1511">
        <v>0</v>
      </c>
      <c r="E1511" t="s">
        <v>4467</v>
      </c>
      <c r="F1511" t="s">
        <v>20</v>
      </c>
      <c r="G1511" t="s">
        <v>4468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s="1">
        <v>4246497255793550</v>
      </c>
      <c r="Q1511" t="b">
        <v>0</v>
      </c>
    </row>
    <row r="1512" spans="1:17" x14ac:dyDescent="0.35">
      <c r="A1512" t="s">
        <v>4469</v>
      </c>
      <c r="B1512" t="s">
        <v>18</v>
      </c>
      <c r="C1512" t="s">
        <v>4470</v>
      </c>
      <c r="D1512">
        <v>0</v>
      </c>
      <c r="E1512" t="s">
        <v>4471</v>
      </c>
      <c r="F1512" t="s">
        <v>20</v>
      </c>
      <c r="G1512" t="s">
        <v>4472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s="1">
        <v>4246525775681630</v>
      </c>
      <c r="Q1512" t="b">
        <v>0</v>
      </c>
    </row>
    <row r="1513" spans="1:17" x14ac:dyDescent="0.35">
      <c r="A1513" t="s">
        <v>4473</v>
      </c>
      <c r="B1513" t="s">
        <v>18</v>
      </c>
      <c r="C1513" t="s">
        <v>4474</v>
      </c>
      <c r="D1513">
        <v>0</v>
      </c>
      <c r="E1513" t="s">
        <v>4475</v>
      </c>
      <c r="F1513" t="s">
        <v>20</v>
      </c>
      <c r="G1513" t="s">
        <v>4476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s="1">
        <v>4246554295569710</v>
      </c>
      <c r="Q1513" t="b">
        <v>0</v>
      </c>
    </row>
    <row r="1514" spans="1:17" x14ac:dyDescent="0.35">
      <c r="A1514" t="s">
        <v>4477</v>
      </c>
      <c r="B1514" t="s">
        <v>18</v>
      </c>
      <c r="C1514" t="s">
        <v>4478</v>
      </c>
      <c r="D1514">
        <v>0</v>
      </c>
      <c r="E1514" t="s">
        <v>4479</v>
      </c>
      <c r="F1514" t="s">
        <v>20</v>
      </c>
      <c r="G1514" t="s">
        <v>4480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s="1">
        <v>4246582815457790</v>
      </c>
      <c r="Q1514" t="b">
        <v>0</v>
      </c>
    </row>
    <row r="1515" spans="1:17" x14ac:dyDescent="0.35">
      <c r="A1515" t="s">
        <v>4481</v>
      </c>
      <c r="B1515" t="s">
        <v>18</v>
      </c>
      <c r="C1515" t="s">
        <v>4482</v>
      </c>
      <c r="D1515">
        <v>0</v>
      </c>
      <c r="E1515" t="s">
        <v>4483</v>
      </c>
      <c r="F1515" t="s">
        <v>20</v>
      </c>
      <c r="G1515" t="s">
        <v>4484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s="1">
        <v>4246611335345870</v>
      </c>
      <c r="Q1515" t="b">
        <v>0</v>
      </c>
    </row>
    <row r="1516" spans="1:17" x14ac:dyDescent="0.35">
      <c r="A1516" t="s">
        <v>4485</v>
      </c>
      <c r="B1516" t="s">
        <v>18</v>
      </c>
      <c r="C1516" t="s">
        <v>4486</v>
      </c>
      <c r="D1516">
        <v>0</v>
      </c>
      <c r="E1516" t="s">
        <v>4487</v>
      </c>
      <c r="F1516" t="s">
        <v>20</v>
      </c>
      <c r="G1516" t="s">
        <v>4488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s="1">
        <v>424663985523396</v>
      </c>
      <c r="Q1516" t="b">
        <v>0</v>
      </c>
    </row>
    <row r="1517" spans="1:17" x14ac:dyDescent="0.35">
      <c r="A1517" t="s">
        <v>4489</v>
      </c>
      <c r="B1517" t="s">
        <v>18</v>
      </c>
      <c r="C1517" t="s">
        <v>4490</v>
      </c>
      <c r="D1517">
        <v>0</v>
      </c>
      <c r="E1517" t="s">
        <v>4491</v>
      </c>
      <c r="F1517" t="s">
        <v>20</v>
      </c>
      <c r="G1517" t="s">
        <v>4492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s="1">
        <v>4.24666837512204E+16</v>
      </c>
      <c r="Q1517" t="b">
        <v>0</v>
      </c>
    </row>
    <row r="1518" spans="1:17" x14ac:dyDescent="0.35">
      <c r="A1518" t="s">
        <v>4493</v>
      </c>
      <c r="B1518" t="s">
        <v>18</v>
      </c>
      <c r="C1518" t="s">
        <v>4494</v>
      </c>
      <c r="D1518">
        <v>0</v>
      </c>
      <c r="E1518" t="s">
        <v>4495</v>
      </c>
      <c r="F1518" t="s">
        <v>20</v>
      </c>
      <c r="G1518" t="s">
        <v>4496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s="1">
        <v>4246696895010120</v>
      </c>
      <c r="Q1518" t="b">
        <v>0</v>
      </c>
    </row>
    <row r="1519" spans="1:17" x14ac:dyDescent="0.35">
      <c r="A1519" t="s">
        <v>4497</v>
      </c>
      <c r="B1519" t="s">
        <v>18</v>
      </c>
      <c r="C1519" t="s">
        <v>4498</v>
      </c>
      <c r="D1519">
        <v>0</v>
      </c>
      <c r="E1519" t="s">
        <v>4499</v>
      </c>
      <c r="F1519" t="s">
        <v>20</v>
      </c>
      <c r="G1519" t="s">
        <v>4500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s="1">
        <v>4246725414898200</v>
      </c>
      <c r="Q1519" t="b">
        <v>0</v>
      </c>
    </row>
    <row r="1520" spans="1:17" x14ac:dyDescent="0.35">
      <c r="A1520" t="s">
        <v>4501</v>
      </c>
      <c r="B1520" t="s">
        <v>18</v>
      </c>
      <c r="C1520" t="s">
        <v>4502</v>
      </c>
      <c r="D1520">
        <v>0</v>
      </c>
      <c r="E1520" t="s">
        <v>4503</v>
      </c>
      <c r="F1520" t="s">
        <v>20</v>
      </c>
      <c r="G1520" t="s">
        <v>4504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s="1">
        <v>4246753934786280</v>
      </c>
      <c r="Q1520" t="b">
        <v>0</v>
      </c>
    </row>
    <row r="1521" spans="1:17" x14ac:dyDescent="0.35">
      <c r="A1521" t="s">
        <v>4505</v>
      </c>
      <c r="B1521" t="s">
        <v>18</v>
      </c>
      <c r="C1521" t="s">
        <v>4506</v>
      </c>
      <c r="D1521">
        <v>0</v>
      </c>
      <c r="E1521" t="s">
        <v>4507</v>
      </c>
      <c r="F1521" t="s">
        <v>20</v>
      </c>
      <c r="G1521" t="s">
        <v>4508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s="1">
        <v>4246782454674360</v>
      </c>
      <c r="Q1521" t="b">
        <v>0</v>
      </c>
    </row>
    <row r="1522" spans="1:17" x14ac:dyDescent="0.35">
      <c r="A1522" t="s">
        <v>4509</v>
      </c>
      <c r="B1522" t="s">
        <v>18</v>
      </c>
      <c r="C1522" t="s">
        <v>4510</v>
      </c>
      <c r="D1522">
        <v>0</v>
      </c>
      <c r="E1522" t="s">
        <v>4511</v>
      </c>
      <c r="F1522" t="s">
        <v>20</v>
      </c>
      <c r="G1522" t="s">
        <v>4512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s="1">
        <v>424681097456245</v>
      </c>
      <c r="Q1522" t="b">
        <v>0</v>
      </c>
    </row>
    <row r="1523" spans="1:17" x14ac:dyDescent="0.35">
      <c r="A1523" t="s">
        <v>4513</v>
      </c>
      <c r="B1523" t="s">
        <v>18</v>
      </c>
      <c r="C1523" t="s">
        <v>4514</v>
      </c>
      <c r="D1523">
        <v>0</v>
      </c>
      <c r="E1523" t="s">
        <v>4515</v>
      </c>
      <c r="F1523" t="s">
        <v>20</v>
      </c>
      <c r="G1523" t="s">
        <v>4516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s="1">
        <v>4246839494450530</v>
      </c>
      <c r="Q1523" t="b">
        <v>0</v>
      </c>
    </row>
    <row r="1524" spans="1:17" x14ac:dyDescent="0.35">
      <c r="A1524" t="s">
        <v>4517</v>
      </c>
      <c r="B1524" t="s">
        <v>18</v>
      </c>
      <c r="C1524" t="s">
        <v>4518</v>
      </c>
      <c r="D1524">
        <v>0</v>
      </c>
      <c r="E1524">
        <v>0</v>
      </c>
      <c r="F1524" t="s">
        <v>20</v>
      </c>
      <c r="G1524" t="s">
        <v>4519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s="1">
        <v>4246868014338610</v>
      </c>
      <c r="Q1524" t="b">
        <v>0</v>
      </c>
    </row>
    <row r="1525" spans="1:17" x14ac:dyDescent="0.35">
      <c r="A1525" t="s">
        <v>4520</v>
      </c>
      <c r="B1525" t="s">
        <v>18</v>
      </c>
      <c r="C1525" t="s">
        <v>4521</v>
      </c>
      <c r="D1525">
        <v>0</v>
      </c>
      <c r="E1525">
        <v>0</v>
      </c>
      <c r="F1525" t="s">
        <v>20</v>
      </c>
      <c r="G1525" t="s">
        <v>4522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s="1">
        <v>4246896534226690</v>
      </c>
      <c r="Q1525" t="b">
        <v>0</v>
      </c>
    </row>
    <row r="1526" spans="1:17" x14ac:dyDescent="0.35">
      <c r="A1526" t="s">
        <v>4523</v>
      </c>
      <c r="B1526" t="s">
        <v>18</v>
      </c>
      <c r="C1526" t="s">
        <v>4524</v>
      </c>
      <c r="D1526">
        <v>0</v>
      </c>
      <c r="E1526">
        <v>0</v>
      </c>
      <c r="F1526" t="s">
        <v>20</v>
      </c>
      <c r="G1526" t="s">
        <v>4525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s="1">
        <v>4246925054114770</v>
      </c>
      <c r="Q1526" t="b">
        <v>0</v>
      </c>
    </row>
    <row r="1527" spans="1:17" x14ac:dyDescent="0.35">
      <c r="A1527" t="s">
        <v>4526</v>
      </c>
      <c r="B1527" t="s">
        <v>18</v>
      </c>
      <c r="C1527" t="s">
        <v>4527</v>
      </c>
      <c r="D1527">
        <v>0</v>
      </c>
      <c r="E1527">
        <v>0</v>
      </c>
      <c r="F1527" t="s">
        <v>20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s="1">
        <v>4246953574002850</v>
      </c>
      <c r="Q1527" t="b">
        <v>0</v>
      </c>
    </row>
    <row r="1528" spans="1:17" x14ac:dyDescent="0.35">
      <c r="A1528" t="s">
        <v>4528</v>
      </c>
      <c r="B1528" t="s">
        <v>18</v>
      </c>
      <c r="C1528" t="s">
        <v>4529</v>
      </c>
      <c r="D1528">
        <v>0</v>
      </c>
      <c r="E1528">
        <v>0</v>
      </c>
      <c r="F1528" t="s">
        <v>20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s="1">
        <v>4.2469820938909296E+16</v>
      </c>
      <c r="Q1528" t="b">
        <v>0</v>
      </c>
    </row>
    <row r="1529" spans="1:17" x14ac:dyDescent="0.35">
      <c r="A1529" t="s">
        <v>4530</v>
      </c>
      <c r="B1529" t="s">
        <v>18</v>
      </c>
      <c r="C1529" t="s">
        <v>4531</v>
      </c>
      <c r="D1529">
        <v>0</v>
      </c>
      <c r="E1529">
        <v>0</v>
      </c>
      <c r="F1529" t="s">
        <v>20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s="1">
        <v>4247010613779020</v>
      </c>
      <c r="Q1529" t="b">
        <v>0</v>
      </c>
    </row>
    <row r="1530" spans="1:17" x14ac:dyDescent="0.35">
      <c r="A1530" t="s">
        <v>4532</v>
      </c>
      <c r="B1530" t="s">
        <v>18</v>
      </c>
      <c r="C1530" t="s">
        <v>4533</v>
      </c>
      <c r="D1530">
        <v>0</v>
      </c>
      <c r="E1530">
        <v>0</v>
      </c>
      <c r="F1530" t="s">
        <v>20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s="1">
        <v>4247039133667100</v>
      </c>
      <c r="Q1530" t="b">
        <v>0</v>
      </c>
    </row>
    <row r="1531" spans="1:17" x14ac:dyDescent="0.35">
      <c r="A1531" t="s">
        <v>4534</v>
      </c>
      <c r="B1531" t="s">
        <v>18</v>
      </c>
      <c r="C1531" t="s">
        <v>4535</v>
      </c>
      <c r="D1531">
        <v>0</v>
      </c>
      <c r="E1531">
        <v>0</v>
      </c>
      <c r="F1531" t="s">
        <v>20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s="1">
        <v>4247067653555180</v>
      </c>
      <c r="Q1531" t="b">
        <v>0</v>
      </c>
    </row>
    <row r="1532" spans="1:17" x14ac:dyDescent="0.35">
      <c r="A1532" t="s">
        <v>4536</v>
      </c>
      <c r="B1532" t="s">
        <v>18</v>
      </c>
      <c r="C1532" t="s">
        <v>4537</v>
      </c>
      <c r="D1532">
        <v>0</v>
      </c>
      <c r="E1532">
        <v>0</v>
      </c>
      <c r="F1532" t="s">
        <v>20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s="1">
        <v>4247096173443260</v>
      </c>
      <c r="Q1532" t="b">
        <v>0</v>
      </c>
    </row>
    <row r="1533" spans="1:17" x14ac:dyDescent="0.35">
      <c r="A1533" t="s">
        <v>4538</v>
      </c>
      <c r="B1533" t="s">
        <v>18</v>
      </c>
      <c r="C1533" t="s">
        <v>4539</v>
      </c>
      <c r="D1533">
        <v>0</v>
      </c>
      <c r="E1533">
        <v>0</v>
      </c>
      <c r="F1533" t="s">
        <v>20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s="1">
        <v>4247124693331340</v>
      </c>
      <c r="Q1533" t="b">
        <v>0</v>
      </c>
    </row>
    <row r="1534" spans="1:17" x14ac:dyDescent="0.35">
      <c r="A1534" t="s">
        <v>4540</v>
      </c>
      <c r="B1534" t="s">
        <v>18</v>
      </c>
      <c r="C1534" t="s">
        <v>4541</v>
      </c>
      <c r="D1534">
        <v>0</v>
      </c>
      <c r="E1534">
        <v>0</v>
      </c>
      <c r="F1534" t="s">
        <v>20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s="1">
        <v>4247153213219420</v>
      </c>
      <c r="Q1534" t="b">
        <v>0</v>
      </c>
    </row>
    <row r="1535" spans="1:17" x14ac:dyDescent="0.35">
      <c r="A1535" t="s">
        <v>4542</v>
      </c>
      <c r="B1535" t="s">
        <v>18</v>
      </c>
      <c r="C1535" t="s">
        <v>4543</v>
      </c>
      <c r="D1535">
        <v>0</v>
      </c>
      <c r="E1535">
        <v>0</v>
      </c>
      <c r="F1535" t="s">
        <v>20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s="1">
        <v>424718173310751</v>
      </c>
      <c r="Q1535" t="b">
        <v>0</v>
      </c>
    </row>
    <row r="1536" spans="1:17" x14ac:dyDescent="0.35">
      <c r="A1536" t="s">
        <v>4544</v>
      </c>
      <c r="B1536" t="s">
        <v>18</v>
      </c>
      <c r="C1536" t="s">
        <v>4545</v>
      </c>
      <c r="D1536">
        <v>0</v>
      </c>
      <c r="E1536">
        <v>0</v>
      </c>
      <c r="F1536" t="s">
        <v>20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s="1">
        <v>4.2472102529955904E+16</v>
      </c>
      <c r="Q1536" t="b">
        <v>0</v>
      </c>
    </row>
    <row r="1537" spans="1:17" x14ac:dyDescent="0.35">
      <c r="A1537" t="s">
        <v>4546</v>
      </c>
      <c r="B1537" t="s">
        <v>18</v>
      </c>
      <c r="C1537" t="s">
        <v>4547</v>
      </c>
      <c r="D1537">
        <v>0</v>
      </c>
      <c r="E1537">
        <v>0</v>
      </c>
      <c r="F1537" t="s">
        <v>20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s="1">
        <v>4247238772883670</v>
      </c>
      <c r="Q1537" t="b">
        <v>0</v>
      </c>
    </row>
    <row r="1538" spans="1:17" x14ac:dyDescent="0.35">
      <c r="A1538" t="s">
        <v>4548</v>
      </c>
      <c r="B1538" t="s">
        <v>18</v>
      </c>
      <c r="C1538" t="s">
        <v>4549</v>
      </c>
      <c r="D1538">
        <v>0</v>
      </c>
      <c r="E1538">
        <v>0</v>
      </c>
      <c r="F1538" t="s">
        <v>20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s="1">
        <v>4247267292771750</v>
      </c>
      <c r="Q15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F5E8-E4A9-4DE0-AF0F-9A7F4559F763}">
  <dimension ref="A1:AK1539"/>
  <sheetViews>
    <sheetView tabSelected="1" topLeftCell="P1" workbookViewId="0">
      <selection activeCell="G89" sqref="G89"/>
    </sheetView>
  </sheetViews>
  <sheetFormatPr defaultRowHeight="14.5" x14ac:dyDescent="0.35"/>
  <cols>
    <col min="1" max="1" width="46.81640625" customWidth="1"/>
    <col min="2" max="2" width="21.08984375" customWidth="1"/>
    <col min="4" max="4" width="22.26953125" customWidth="1"/>
    <col min="5" max="5" width="25.1796875" customWidth="1"/>
    <col min="6" max="6" width="20.6328125" customWidth="1"/>
    <col min="7" max="7" width="26.36328125" customWidth="1"/>
    <col min="8" max="8" width="18.81640625" customWidth="1"/>
    <col min="9" max="9" width="26.81640625" customWidth="1"/>
    <col min="10" max="10" width="15.7265625" customWidth="1"/>
    <col min="11" max="11" width="13.54296875" customWidth="1"/>
    <col min="12" max="12" width="14.26953125" customWidth="1"/>
    <col min="13" max="13" width="10" customWidth="1"/>
    <col min="15" max="15" width="18.08984375" customWidth="1"/>
    <col min="16" max="16" width="20.6328125" customWidth="1"/>
    <col min="17" max="20" width="12.6328125" customWidth="1"/>
    <col min="21" max="21" width="19.90625" customWidth="1"/>
    <col min="22" max="22" width="8.7265625" style="9"/>
    <col min="23" max="23" width="20.453125" style="4" customWidth="1"/>
    <col min="24" max="24" width="22.08984375" style="4" customWidth="1"/>
    <col min="25" max="25" width="16.1796875" style="4" customWidth="1"/>
    <col min="26" max="26" width="24.26953125" style="3" customWidth="1"/>
    <col min="27" max="27" width="18.7265625" style="3" customWidth="1"/>
    <col min="28" max="28" width="25.1796875" style="3" customWidth="1"/>
    <col min="29" max="29" width="13.81640625" style="3" customWidth="1"/>
    <col min="30" max="30" width="13.7265625" style="3" customWidth="1"/>
    <col min="31" max="31" width="11.54296875" style="3" customWidth="1"/>
    <col min="32" max="32" width="15.36328125" style="3" customWidth="1"/>
    <col min="33" max="33" width="20.1796875" style="3" customWidth="1"/>
    <col min="34" max="34" width="17" customWidth="1"/>
    <col min="35" max="35" width="18.453125" style="8" customWidth="1"/>
  </cols>
  <sheetData>
    <row r="1" spans="1:37" x14ac:dyDescent="0.35">
      <c r="A1" t="s">
        <v>6104</v>
      </c>
      <c r="B1" t="s">
        <v>6102</v>
      </c>
      <c r="C1" t="s">
        <v>6087</v>
      </c>
      <c r="D1" t="s">
        <v>6088</v>
      </c>
      <c r="E1" t="s">
        <v>6089</v>
      </c>
      <c r="F1" t="s">
        <v>6090</v>
      </c>
      <c r="G1" t="s">
        <v>6091</v>
      </c>
      <c r="H1" t="s">
        <v>6092</v>
      </c>
      <c r="I1" t="s">
        <v>6093</v>
      </c>
      <c r="J1" t="s">
        <v>6094</v>
      </c>
      <c r="K1" t="s">
        <v>6095</v>
      </c>
      <c r="L1" t="s">
        <v>6096</v>
      </c>
      <c r="M1" t="s">
        <v>6097</v>
      </c>
      <c r="N1" t="s">
        <v>6098</v>
      </c>
      <c r="O1" t="s">
        <v>6099</v>
      </c>
      <c r="P1" t="s">
        <v>6100</v>
      </c>
      <c r="Q1" t="s">
        <v>6101</v>
      </c>
      <c r="S1" t="s">
        <v>6105</v>
      </c>
      <c r="T1" t="s">
        <v>6106</v>
      </c>
      <c r="U1" t="str">
        <f>MID(B1,3,B2-4)</f>
        <v>Timestamp</v>
      </c>
      <c r="V1" s="9" t="str">
        <f>MID(C1,3,C2-4)</f>
        <v>Index</v>
      </c>
      <c r="W1" s="5" t="str">
        <f>MID(D1,3,D2-4)</f>
        <v>DirectGeometryFactor</v>
      </c>
      <c r="X1" s="5" t="str">
        <f>MID(E1,3,E2-4)</f>
        <v>DiffuseGeometryFactor</v>
      </c>
      <c r="Y1" s="5" t="str">
        <f>MID(F1,3,F2-4)</f>
        <v>CosSunElevation</v>
      </c>
      <c r="Z1" s="6" t="str">
        <f>MID(G1,3,G2-4)</f>
        <v>GlobalHorizontalIrradiance</v>
      </c>
      <c r="AA1" s="6" t="str">
        <f>MID(H1,3,H2-4)</f>
        <v>SunshineDuration</v>
      </c>
      <c r="AB1" s="6" t="str">
        <f>MID(I1,3,I2-4)</f>
        <v>DiffuseHorizontalIrradiance</v>
      </c>
      <c r="AC1" s="6" t="str">
        <f>MID(J1,3,J2-4)</f>
        <v>AmbientTemp</v>
      </c>
      <c r="AD1" s="6" t="str">
        <f>MID(K1,3,K2-4)</f>
        <v>WindSpeed</v>
      </c>
      <c r="AE1" s="6" t="str">
        <f>MID(L1,3,L2-4)</f>
        <v>SnowDepth</v>
      </c>
      <c r="AF1" s="6" t="str">
        <f>MID(M1,3,M2-4)</f>
        <v>Weight</v>
      </c>
      <c r="AG1" s="6" t="str">
        <f>MID(N1,3,N2-4)</f>
        <v>Age</v>
      </c>
      <c r="AH1" s="7" t="str">
        <f>MID(O1,3,O2-4)</f>
        <v>MeasuredPower</v>
      </c>
      <c r="AI1" s="8" t="str">
        <f>MID(P1,3,P2-4)</f>
        <v>HasMeasuredPower</v>
      </c>
      <c r="AK1" t="s">
        <v>6103</v>
      </c>
    </row>
    <row r="2" spans="1:37" x14ac:dyDescent="0.35">
      <c r="A2" s="2">
        <v>0</v>
      </c>
      <c r="B2" s="2">
        <f>LEN(B1)</f>
        <v>13</v>
      </c>
      <c r="C2" s="2">
        <f t="shared" ref="C2:D2" si="0">LEN(C1)</f>
        <v>9</v>
      </c>
      <c r="D2" s="2">
        <f t="shared" si="0"/>
        <v>24</v>
      </c>
      <c r="E2" s="2">
        <f>LEN(E1)</f>
        <v>25</v>
      </c>
      <c r="F2" s="2">
        <f>LEN(F1)</f>
        <v>19</v>
      </c>
      <c r="G2" s="2">
        <f>LEN(G1)</f>
        <v>30</v>
      </c>
      <c r="H2" s="2">
        <f>LEN(H1)</f>
        <v>20</v>
      </c>
      <c r="I2" s="2">
        <f>LEN(I1)</f>
        <v>31</v>
      </c>
      <c r="J2" s="2">
        <f>LEN(J1)</f>
        <v>15</v>
      </c>
      <c r="K2" s="2">
        <f>LEN(K1)</f>
        <v>13</v>
      </c>
      <c r="L2" s="2">
        <f>LEN(L1)</f>
        <v>13</v>
      </c>
      <c r="M2" s="2">
        <f>LEN(M1)</f>
        <v>10</v>
      </c>
      <c r="N2" s="2">
        <f>LEN(N1)</f>
        <v>7</v>
      </c>
      <c r="O2" s="2">
        <f>LEN(O1)</f>
        <v>17</v>
      </c>
      <c r="P2" s="2">
        <f>LEN(P1)</f>
        <v>20</v>
      </c>
      <c r="Q2" s="2">
        <f t="shared" ref="Q2" si="1">LEN(Q1)</f>
        <v>3</v>
      </c>
      <c r="R2" s="10"/>
      <c r="S2" s="10"/>
    </row>
    <row r="3" spans="1:37" x14ac:dyDescent="0.35">
      <c r="A3" t="s">
        <v>4550</v>
      </c>
      <c r="B3">
        <f>FIND(B$1,$A3)</f>
        <v>10</v>
      </c>
      <c r="C3">
        <f t="shared" ref="C3:P18" si="2">FIND(C$1,$A3)</f>
        <v>43</v>
      </c>
      <c r="D3">
        <f t="shared" si="2"/>
        <v>54</v>
      </c>
      <c r="E3">
        <f>FIND(E$1,$A3)</f>
        <v>80</v>
      </c>
      <c r="F3">
        <f>FIND(F$1,$A3)</f>
        <v>124</v>
      </c>
      <c r="G3">
        <f>FIND(G$1,$A3)</f>
        <v>145</v>
      </c>
      <c r="H3">
        <f>FIND(H$1,$A3)</f>
        <v>177</v>
      </c>
      <c r="I3">
        <f>FIND(I$1,$A3)</f>
        <v>199</v>
      </c>
      <c r="J3">
        <f>FIND(J$1,$A3)</f>
        <v>232</v>
      </c>
      <c r="K3">
        <f>FIND(K$1,$A3)</f>
        <v>252</v>
      </c>
      <c r="L3">
        <f>FIND(L$1,$A3)</f>
        <v>270</v>
      </c>
      <c r="M3">
        <f>FIND(M$1,$A3)</f>
        <v>285</v>
      </c>
      <c r="N3">
        <f>FIND(N$1,$A3)</f>
        <v>297</v>
      </c>
      <c r="O3">
        <f>FIND(O$1,$A3)</f>
        <v>322</v>
      </c>
      <c r="P3">
        <f>FIND(P$1,$A3)</f>
        <v>340</v>
      </c>
      <c r="Q3">
        <f t="shared" ref="Q3:Q18" si="3">FIND(Q$1,$A3)</f>
        <v>366</v>
      </c>
      <c r="S3" t="str">
        <f t="shared" ref="S3:S66" si="4">LEFT(U3,10)</f>
        <v>26.11.2025</v>
      </c>
      <c r="T3" t="str">
        <f t="shared" ref="T3:T54" si="5">MID(U3,12,8)</f>
        <v>19:15:00</v>
      </c>
      <c r="U3" t="str">
        <f>MID($A3,B3+B$2+1,C3-B3-B$2-1)</f>
        <v>26.11.2025 19:15:00</v>
      </c>
      <c r="V3" s="9" t="str">
        <f>MID($A3,C3+C$2+1,D3-C3-C$2-1)</f>
        <v>0</v>
      </c>
      <c r="W3" s="4">
        <f>VALUE(SUBSTITUTE(MID($A3,D3+D$2+1,E3-D3-D$2-1),",","."))</f>
        <v>0</v>
      </c>
      <c r="X3" s="4">
        <f>VALUE(SUBSTITUTE(MID($A3,E3+E$2+1,F3-E3-E$2-1),",","."))</f>
        <v>0.90957602214449496</v>
      </c>
      <c r="Y3" s="4">
        <f>VALUE(SUBSTITUTE(MID($A3,F3+F$2+1,G3-F3-F$2-1),",","."))</f>
        <v>0</v>
      </c>
      <c r="Z3" s="3">
        <f>VALUE(SUBSTITUTE(MID($A3,G3+G$2+1,H3-G3-G$2-1),",","."))</f>
        <v>0</v>
      </c>
      <c r="AA3" s="3">
        <f>VALUE(SUBSTITUTE(MID($A3,H3+H$2+1,I3-H3-H$2-1),",","."))</f>
        <v>0</v>
      </c>
      <c r="AB3" s="3">
        <f>VALUE(SUBSTITUTE(MID($A3,I3+I$2+1,J3-I3-I$2-1),",","."))</f>
        <v>0</v>
      </c>
      <c r="AC3" s="3">
        <f>VALUE(SUBSTITUTE(MID($A3,J3+J$2+1,K3-J3-J$2-1),",","."))</f>
        <v>1.55</v>
      </c>
      <c r="AD3" s="3">
        <f>VALUE(SUBSTITUTE(MID($A3,K3+K$2+1,L3-K3-K$2-1),",","."))</f>
        <v>10.8</v>
      </c>
      <c r="AE3" s="3">
        <f>VALUE(SUBSTITUTE(MID($A3,L3+L$2+1,M3-L3-L$2-1),",","."))</f>
        <v>0</v>
      </c>
      <c r="AF3" s="3">
        <f>VALUE(SUBSTITUTE(MID($A3,M3+M$2+1,N3-M3-M$2-1),",","."))</f>
        <v>0</v>
      </c>
      <c r="AG3" s="3">
        <f>VALUE(SUBSTITUTE(MID($A3,N3+N$2+1,O3-N3-N$2-1),",","."))</f>
        <v>4.20346074467846</v>
      </c>
      <c r="AH3" t="str">
        <f>MID($A3,O3+O$2+1,P3-O3-O$2-1)</f>
        <v/>
      </c>
      <c r="AI3" s="8" t="str">
        <f>MID($A3,P3+P$2+1,Q3-P3-P$2-1)</f>
        <v>False</v>
      </c>
      <c r="AK3" t="b">
        <f>AB3&gt;Z3</f>
        <v>0</v>
      </c>
    </row>
    <row r="4" spans="1:37" x14ac:dyDescent="0.35">
      <c r="A4" t="s">
        <v>4551</v>
      </c>
      <c r="B4">
        <f t="shared" ref="B4:M38" si="6">FIND(B$1,$A4)</f>
        <v>10</v>
      </c>
      <c r="C4">
        <f t="shared" si="2"/>
        <v>43</v>
      </c>
      <c r="D4">
        <f t="shared" si="2"/>
        <v>54</v>
      </c>
      <c r="E4">
        <f t="shared" si="2"/>
        <v>80</v>
      </c>
      <c r="F4">
        <f t="shared" si="2"/>
        <v>124</v>
      </c>
      <c r="G4">
        <f t="shared" si="2"/>
        <v>145</v>
      </c>
      <c r="H4">
        <f t="shared" si="2"/>
        <v>177</v>
      </c>
      <c r="I4">
        <f t="shared" si="2"/>
        <v>199</v>
      </c>
      <c r="J4">
        <f t="shared" si="2"/>
        <v>232</v>
      </c>
      <c r="K4">
        <f t="shared" si="2"/>
        <v>252</v>
      </c>
      <c r="L4">
        <f t="shared" si="2"/>
        <v>271</v>
      </c>
      <c r="M4">
        <f t="shared" si="2"/>
        <v>286</v>
      </c>
      <c r="N4">
        <f t="shared" si="2"/>
        <v>298</v>
      </c>
      <c r="O4">
        <f t="shared" si="2"/>
        <v>323</v>
      </c>
      <c r="P4">
        <f t="shared" si="2"/>
        <v>341</v>
      </c>
      <c r="Q4">
        <f t="shared" si="3"/>
        <v>367</v>
      </c>
      <c r="S4" t="str">
        <f t="shared" si="4"/>
        <v>26.11.2025</v>
      </c>
      <c r="T4" t="str">
        <f t="shared" si="5"/>
        <v>19:30:00</v>
      </c>
      <c r="U4" t="str">
        <f t="shared" ref="U4:U67" si="7">MID($A4,B4+B$2+1,C4-B4-B$2-1)</f>
        <v>26.11.2025 19:30:00</v>
      </c>
      <c r="V4" s="9" t="str">
        <f>MID($A4,C4+C$2+1,D4-C4-C$2-1)</f>
        <v>0</v>
      </c>
      <c r="W4" s="4">
        <f>VALUE(SUBSTITUTE(MID($A4,D4+D$2+1,E4-D4-D$2-1),",","."))</f>
        <v>0</v>
      </c>
      <c r="X4" s="4">
        <f>VALUE(SUBSTITUTE(MID($A4,E4+E$2+1,F4-E4-E$2-1),",","."))</f>
        <v>0.90957602214449496</v>
      </c>
      <c r="Y4" s="4">
        <f>VALUE(SUBSTITUTE(MID($A4,F4+F$2+1,G4-F4-F$2-1),",","."))</f>
        <v>0</v>
      </c>
      <c r="Z4" s="3">
        <f>VALUE(SUBSTITUTE(MID($A4,G4+G$2+1,H4-G4-G$2-1),",","."))</f>
        <v>0</v>
      </c>
      <c r="AA4" s="3">
        <f>VALUE(SUBSTITUTE(MID($A4,H4+H$2+1,I4-H4-H$2-1),",","."))</f>
        <v>0</v>
      </c>
      <c r="AB4" s="3">
        <f>VALUE(SUBSTITUTE(MID($A4,I4+I$2+1,J4-I4-I$2-1),",","."))</f>
        <v>0</v>
      </c>
      <c r="AC4" s="3">
        <f>VALUE(SUBSTITUTE(MID($A4,J4+J$2+1,K4-J4-J$2-1),",","."))</f>
        <v>1.25</v>
      </c>
      <c r="AD4" s="3">
        <f>VALUE(SUBSTITUTE(MID($A4,K4+K$2+1,L4-K4-K$2-1),",","."))</f>
        <v>12.96</v>
      </c>
      <c r="AE4" s="3">
        <f>VALUE(SUBSTITUTE(MID($A4,L4+L$2+1,M4-L4-L$2-1),",","."))</f>
        <v>0</v>
      </c>
      <c r="AF4" s="3">
        <f>VALUE(SUBSTITUTE(MID($A4,M4+M$2+1,N4-M4-M$2-1),",","."))</f>
        <v>0</v>
      </c>
      <c r="AG4" s="3">
        <f>VALUE(SUBSTITUTE(MID($A4,N4+N$2+1,O4-N4-N$2-1),",","."))</f>
        <v>4.2034892645665396</v>
      </c>
      <c r="AH4" t="str">
        <f>MID($A4,O4+O$2+1,P4-O4-O$2-1)</f>
        <v/>
      </c>
      <c r="AI4" s="8" t="str">
        <f>MID($A4,P4+P$2+1,Q4-P4-P$2-1)</f>
        <v>False</v>
      </c>
      <c r="AK4" t="b">
        <f t="shared" ref="AK4:AK67" si="8">AB4&gt;Z4</f>
        <v>0</v>
      </c>
    </row>
    <row r="5" spans="1:37" x14ac:dyDescent="0.35">
      <c r="A5" t="s">
        <v>4552</v>
      </c>
      <c r="B5">
        <f t="shared" si="6"/>
        <v>10</v>
      </c>
      <c r="C5">
        <f t="shared" si="2"/>
        <v>43</v>
      </c>
      <c r="D5">
        <f t="shared" si="2"/>
        <v>54</v>
      </c>
      <c r="E5">
        <f t="shared" si="2"/>
        <v>80</v>
      </c>
      <c r="F5">
        <f t="shared" si="2"/>
        <v>124</v>
      </c>
      <c r="G5">
        <f t="shared" si="2"/>
        <v>145</v>
      </c>
      <c r="H5">
        <f t="shared" si="2"/>
        <v>177</v>
      </c>
      <c r="I5">
        <f t="shared" si="2"/>
        <v>199</v>
      </c>
      <c r="J5">
        <f t="shared" si="2"/>
        <v>232</v>
      </c>
      <c r="K5">
        <f t="shared" si="2"/>
        <v>252</v>
      </c>
      <c r="L5">
        <f t="shared" si="2"/>
        <v>271</v>
      </c>
      <c r="M5">
        <f t="shared" si="2"/>
        <v>286</v>
      </c>
      <c r="N5">
        <f t="shared" si="2"/>
        <v>298</v>
      </c>
      <c r="O5">
        <f t="shared" si="2"/>
        <v>323</v>
      </c>
      <c r="P5">
        <f t="shared" si="2"/>
        <v>341</v>
      </c>
      <c r="Q5">
        <f t="shared" si="3"/>
        <v>367</v>
      </c>
      <c r="S5" t="str">
        <f t="shared" si="4"/>
        <v>26.11.2025</v>
      </c>
      <c r="T5" t="str">
        <f t="shared" si="5"/>
        <v>19:45:00</v>
      </c>
      <c r="U5" t="str">
        <f t="shared" si="7"/>
        <v>26.11.2025 19:45:00</v>
      </c>
      <c r="V5" s="9" t="str">
        <f>MID($A5,C5+C$2+1,D5-C5-C$2-1)</f>
        <v>0</v>
      </c>
      <c r="W5" s="4">
        <f>VALUE(SUBSTITUTE(MID($A5,D5+D$2+1,E5-D5-D$2-1),",","."))</f>
        <v>0</v>
      </c>
      <c r="X5" s="4">
        <f>VALUE(SUBSTITUTE(MID($A5,E5+E$2+1,F5-E5-E$2-1),",","."))</f>
        <v>0.90957602214449496</v>
      </c>
      <c r="Y5" s="4">
        <f>VALUE(SUBSTITUTE(MID($A5,F5+F$2+1,G5-F5-F$2-1),",","."))</f>
        <v>0</v>
      </c>
      <c r="Z5" s="3">
        <f>VALUE(SUBSTITUTE(MID($A5,G5+G$2+1,H5-G5-G$2-1),",","."))</f>
        <v>0</v>
      </c>
      <c r="AA5" s="3">
        <f>VALUE(SUBSTITUTE(MID($A5,H5+H$2+1,I5-H5-H$2-1),",","."))</f>
        <v>0</v>
      </c>
      <c r="AB5" s="3">
        <f>VALUE(SUBSTITUTE(MID($A5,I5+I$2+1,J5-I5-I$2-1),",","."))</f>
        <v>0</v>
      </c>
      <c r="AC5" s="3">
        <f>VALUE(SUBSTITUTE(MID($A5,J5+J$2+1,K5-J5-J$2-1),",","."))</f>
        <v>1.25</v>
      </c>
      <c r="AD5" s="3">
        <f>VALUE(SUBSTITUTE(MID($A5,K5+K$2+1,L5-K5-K$2-1),",","."))</f>
        <v>12.96</v>
      </c>
      <c r="AE5" s="3">
        <f>VALUE(SUBSTITUTE(MID($A5,L5+L$2+1,M5-L5-L$2-1),",","."))</f>
        <v>0</v>
      </c>
      <c r="AF5" s="3">
        <f>VALUE(SUBSTITUTE(MID($A5,M5+M$2+1,N5-M5-M$2-1),",","."))</f>
        <v>0</v>
      </c>
      <c r="AG5" s="3">
        <f>VALUE(SUBSTITUTE(MID($A5,N5+N$2+1,O5-N5-N$2-1),",","."))</f>
        <v>4.2035177844546201</v>
      </c>
      <c r="AH5" t="str">
        <f>MID($A5,O5+O$2+1,P5-O5-O$2-1)</f>
        <v/>
      </c>
      <c r="AI5" s="8" t="str">
        <f>MID($A5,P5+P$2+1,Q5-P5-P$2-1)</f>
        <v>False</v>
      </c>
      <c r="AK5" t="b">
        <f t="shared" si="8"/>
        <v>0</v>
      </c>
    </row>
    <row r="6" spans="1:37" x14ac:dyDescent="0.35">
      <c r="A6" t="s">
        <v>4553</v>
      </c>
      <c r="B6">
        <f t="shared" si="6"/>
        <v>10</v>
      </c>
      <c r="C6">
        <f t="shared" si="2"/>
        <v>43</v>
      </c>
      <c r="D6">
        <f t="shared" si="2"/>
        <v>54</v>
      </c>
      <c r="E6">
        <f t="shared" si="2"/>
        <v>80</v>
      </c>
      <c r="F6">
        <f t="shared" si="2"/>
        <v>124</v>
      </c>
      <c r="G6">
        <f t="shared" si="2"/>
        <v>145</v>
      </c>
      <c r="H6">
        <f t="shared" si="2"/>
        <v>177</v>
      </c>
      <c r="I6">
        <f t="shared" si="2"/>
        <v>199</v>
      </c>
      <c r="J6">
        <f t="shared" si="2"/>
        <v>232</v>
      </c>
      <c r="K6">
        <f t="shared" si="2"/>
        <v>251</v>
      </c>
      <c r="L6">
        <f t="shared" si="2"/>
        <v>270</v>
      </c>
      <c r="M6">
        <f t="shared" si="2"/>
        <v>285</v>
      </c>
      <c r="N6">
        <f t="shared" si="2"/>
        <v>297</v>
      </c>
      <c r="O6">
        <f t="shared" si="2"/>
        <v>322</v>
      </c>
      <c r="P6">
        <f t="shared" si="2"/>
        <v>340</v>
      </c>
      <c r="Q6">
        <f t="shared" si="3"/>
        <v>366</v>
      </c>
      <c r="S6" t="str">
        <f t="shared" si="4"/>
        <v>26.11.2025</v>
      </c>
      <c r="T6" t="str">
        <f t="shared" si="5"/>
        <v>20:00:00</v>
      </c>
      <c r="U6" t="str">
        <f t="shared" si="7"/>
        <v>26.11.2025 20:00:00</v>
      </c>
      <c r="V6" s="9" t="str">
        <f>MID($A6,C6+C$2+1,D6-C6-C$2-1)</f>
        <v>0</v>
      </c>
      <c r="W6" s="4">
        <f>VALUE(SUBSTITUTE(MID($A6,D6+D$2+1,E6-D6-D$2-1),",","."))</f>
        <v>0</v>
      </c>
      <c r="X6" s="4">
        <f>VALUE(SUBSTITUTE(MID($A6,E6+E$2+1,F6-E6-E$2-1),",","."))</f>
        <v>0.90957602214449496</v>
      </c>
      <c r="Y6" s="4">
        <f>VALUE(SUBSTITUTE(MID($A6,F6+F$2+1,G6-F6-F$2-1),",","."))</f>
        <v>0</v>
      </c>
      <c r="Z6" s="3">
        <f>VALUE(SUBSTITUTE(MID($A6,G6+G$2+1,H6-G6-G$2-1),",","."))</f>
        <v>0</v>
      </c>
      <c r="AA6" s="3">
        <f>VALUE(SUBSTITUTE(MID($A6,H6+H$2+1,I6-H6-H$2-1),",","."))</f>
        <v>0</v>
      </c>
      <c r="AB6" s="3">
        <f>VALUE(SUBSTITUTE(MID($A6,I6+I$2+1,J6-I6-I$2-1),",","."))</f>
        <v>0</v>
      </c>
      <c r="AC6" s="3">
        <f>VALUE(SUBSTITUTE(MID($A6,J6+J$2+1,K6-J6-J$2-1),",","."))</f>
        <v>1.3</v>
      </c>
      <c r="AD6" s="3">
        <f>VALUE(SUBSTITUTE(MID($A6,K6+K$2+1,L6-K6-K$2-1),",","."))</f>
        <v>12.24</v>
      </c>
      <c r="AE6" s="3">
        <f>VALUE(SUBSTITUTE(MID($A6,L6+L$2+1,M6-L6-L$2-1),",","."))</f>
        <v>0</v>
      </c>
      <c r="AF6" s="3">
        <f>VALUE(SUBSTITUTE(MID($A6,M6+M$2+1,N6-M6-M$2-1),",","."))</f>
        <v>0</v>
      </c>
      <c r="AG6" s="3">
        <f>VALUE(SUBSTITUTE(MID($A6,N6+N$2+1,O6-N6-N$2-1),",","."))</f>
        <v>4.2035463043426997</v>
      </c>
      <c r="AH6" t="str">
        <f>MID($A6,O6+O$2+1,P6-O6-O$2-1)</f>
        <v/>
      </c>
      <c r="AI6" s="8" t="str">
        <f>MID($A6,P6+P$2+1,Q6-P6-P$2-1)</f>
        <v>False</v>
      </c>
      <c r="AK6" t="b">
        <f t="shared" si="8"/>
        <v>0</v>
      </c>
    </row>
    <row r="7" spans="1:37" x14ac:dyDescent="0.35">
      <c r="A7" t="s">
        <v>4554</v>
      </c>
      <c r="B7">
        <f t="shared" si="6"/>
        <v>10</v>
      </c>
      <c r="C7">
        <f t="shared" si="2"/>
        <v>43</v>
      </c>
      <c r="D7">
        <f t="shared" si="2"/>
        <v>54</v>
      </c>
      <c r="E7">
        <f t="shared" si="2"/>
        <v>80</v>
      </c>
      <c r="F7">
        <f t="shared" si="2"/>
        <v>124</v>
      </c>
      <c r="G7">
        <f t="shared" si="2"/>
        <v>145</v>
      </c>
      <c r="H7">
        <f t="shared" si="2"/>
        <v>177</v>
      </c>
      <c r="I7">
        <f t="shared" si="2"/>
        <v>199</v>
      </c>
      <c r="J7">
        <f t="shared" si="2"/>
        <v>232</v>
      </c>
      <c r="K7">
        <f t="shared" si="2"/>
        <v>252</v>
      </c>
      <c r="L7">
        <f t="shared" si="2"/>
        <v>271</v>
      </c>
      <c r="M7">
        <f t="shared" si="2"/>
        <v>286</v>
      </c>
      <c r="N7">
        <f t="shared" si="2"/>
        <v>298</v>
      </c>
      <c r="O7">
        <f t="shared" si="2"/>
        <v>323</v>
      </c>
      <c r="P7">
        <f t="shared" si="2"/>
        <v>341</v>
      </c>
      <c r="Q7">
        <f t="shared" si="3"/>
        <v>367</v>
      </c>
      <c r="S7" t="str">
        <f t="shared" si="4"/>
        <v>26.11.2025</v>
      </c>
      <c r="T7" t="str">
        <f t="shared" si="5"/>
        <v>20:15:00</v>
      </c>
      <c r="U7" t="str">
        <f t="shared" si="7"/>
        <v>26.11.2025 20:15:00</v>
      </c>
      <c r="V7" s="9" t="str">
        <f>MID($A7,C7+C$2+1,D7-C7-C$2-1)</f>
        <v>0</v>
      </c>
      <c r="W7" s="4">
        <f>VALUE(SUBSTITUTE(MID($A7,D7+D$2+1,E7-D7-D$2-1),",","."))</f>
        <v>0</v>
      </c>
      <c r="X7" s="4">
        <f>VALUE(SUBSTITUTE(MID($A7,E7+E$2+1,F7-E7-E$2-1),",","."))</f>
        <v>0.90957602214449496</v>
      </c>
      <c r="Y7" s="4">
        <f>VALUE(SUBSTITUTE(MID($A7,F7+F$2+1,G7-F7-F$2-1),",","."))</f>
        <v>0</v>
      </c>
      <c r="Z7" s="3">
        <f>VALUE(SUBSTITUTE(MID($A7,G7+G$2+1,H7-G7-G$2-1),",","."))</f>
        <v>0</v>
      </c>
      <c r="AA7" s="3">
        <f>VALUE(SUBSTITUTE(MID($A7,H7+H$2+1,I7-H7-H$2-1),",","."))</f>
        <v>0</v>
      </c>
      <c r="AB7" s="3">
        <f>VALUE(SUBSTITUTE(MID($A7,I7+I$2+1,J7-I7-I$2-1),",","."))</f>
        <v>0</v>
      </c>
      <c r="AC7" s="3">
        <f>VALUE(SUBSTITUTE(MID($A7,J7+J$2+1,K7-J7-J$2-1),",","."))</f>
        <v>1.25</v>
      </c>
      <c r="AD7" s="3">
        <f>VALUE(SUBSTITUTE(MID($A7,K7+K$2+1,L7-K7-K$2-1),",","."))</f>
        <v>12.96</v>
      </c>
      <c r="AE7" s="3">
        <f>VALUE(SUBSTITUTE(MID($A7,L7+L$2+1,M7-L7-L$2-1),",","."))</f>
        <v>0</v>
      </c>
      <c r="AF7" s="3">
        <f>VALUE(SUBSTITUTE(MID($A7,M7+M$2+1,N7-M7-M$2-1),",","."))</f>
        <v>0</v>
      </c>
      <c r="AG7" s="3">
        <f>VALUE(SUBSTITUTE(MID($A7,N7+N$2+1,O7-N7-N$2-1),",","."))</f>
        <v>4.2035748242307802</v>
      </c>
      <c r="AH7" t="str">
        <f>MID($A7,O7+O$2+1,P7-O7-O$2-1)</f>
        <v/>
      </c>
      <c r="AI7" s="8" t="str">
        <f>MID($A7,P7+P$2+1,Q7-P7-P$2-1)</f>
        <v>False</v>
      </c>
      <c r="AK7" t="b">
        <f t="shared" si="8"/>
        <v>0</v>
      </c>
    </row>
    <row r="8" spans="1:37" x14ac:dyDescent="0.35">
      <c r="A8" t="s">
        <v>4555</v>
      </c>
      <c r="B8">
        <f t="shared" si="6"/>
        <v>10</v>
      </c>
      <c r="C8">
        <f t="shared" si="2"/>
        <v>43</v>
      </c>
      <c r="D8">
        <f t="shared" si="2"/>
        <v>54</v>
      </c>
      <c r="E8">
        <f t="shared" si="2"/>
        <v>80</v>
      </c>
      <c r="F8">
        <f t="shared" si="2"/>
        <v>124</v>
      </c>
      <c r="G8">
        <f t="shared" si="2"/>
        <v>145</v>
      </c>
      <c r="H8">
        <f t="shared" si="2"/>
        <v>177</v>
      </c>
      <c r="I8">
        <f t="shared" si="2"/>
        <v>199</v>
      </c>
      <c r="J8">
        <f t="shared" si="2"/>
        <v>232</v>
      </c>
      <c r="K8">
        <f t="shared" si="2"/>
        <v>266</v>
      </c>
      <c r="L8">
        <f t="shared" si="2"/>
        <v>285</v>
      </c>
      <c r="M8">
        <f t="shared" si="2"/>
        <v>300</v>
      </c>
      <c r="N8">
        <f t="shared" si="2"/>
        <v>312</v>
      </c>
      <c r="O8">
        <f t="shared" si="2"/>
        <v>338</v>
      </c>
      <c r="P8">
        <f t="shared" si="2"/>
        <v>356</v>
      </c>
      <c r="Q8">
        <f t="shared" si="3"/>
        <v>382</v>
      </c>
      <c r="S8" t="str">
        <f t="shared" si="4"/>
        <v>26.11.2025</v>
      </c>
      <c r="T8" t="str">
        <f t="shared" si="5"/>
        <v>20:30:00</v>
      </c>
      <c r="U8" t="str">
        <f t="shared" si="7"/>
        <v>26.11.2025 20:30:00</v>
      </c>
      <c r="V8" s="9" t="str">
        <f>MID($A8,C8+C$2+1,D8-C8-C$2-1)</f>
        <v>0</v>
      </c>
      <c r="W8" s="4">
        <f>VALUE(SUBSTITUTE(MID($A8,D8+D$2+1,E8-D8-D$2-1),",","."))</f>
        <v>0</v>
      </c>
      <c r="X8" s="4">
        <f>VALUE(SUBSTITUTE(MID($A8,E8+E$2+1,F8-E8-E$2-1),",","."))</f>
        <v>0.90957602214449496</v>
      </c>
      <c r="Y8" s="4">
        <f>VALUE(SUBSTITUTE(MID($A8,F8+F$2+1,G8-F8-F$2-1),",","."))</f>
        <v>0</v>
      </c>
      <c r="Z8" s="3">
        <f>VALUE(SUBSTITUTE(MID($A8,G8+G$2+1,H8-G8-G$2-1),",","."))</f>
        <v>0</v>
      </c>
      <c r="AA8" s="3">
        <f>VALUE(SUBSTITUTE(MID($A8,H8+H$2+1,I8-H8-H$2-1),",","."))</f>
        <v>0</v>
      </c>
      <c r="AB8" s="3">
        <f>VALUE(SUBSTITUTE(MID($A8,I8+I$2+1,J8-I8-I$2-1),",","."))</f>
        <v>0</v>
      </c>
      <c r="AC8" s="3">
        <f>VALUE(SUBSTITUTE(MID($A8,J8+J$2+1,K8-J8-J$2-1),",","."))</f>
        <v>1.2</v>
      </c>
      <c r="AD8" s="3">
        <f>VALUE(SUBSTITUTE(MID($A8,K8+K$2+1,L8-K8-K$2-1),",","."))</f>
        <v>13.14</v>
      </c>
      <c r="AE8" s="3">
        <f>VALUE(SUBSTITUTE(MID($A8,L8+L$2+1,M8-L8-L$2-1),",","."))</f>
        <v>0</v>
      </c>
      <c r="AF8" s="3">
        <f>VALUE(SUBSTITUTE(MID($A8,M8+M$2+1,N8-M8-M$2-1),",","."))</f>
        <v>0</v>
      </c>
      <c r="AG8" s="3">
        <f>VALUE(SUBSTITUTE(MID($A8,N8+N$2+1,O8-N8-N$2-1),",","."))</f>
        <v>4.2036033441188696</v>
      </c>
      <c r="AH8" t="str">
        <f>MID($A8,O8+O$2+1,P8-O8-O$2-1)</f>
        <v/>
      </c>
      <c r="AI8" s="8" t="str">
        <f>MID($A8,P8+P$2+1,Q8-P8-P$2-1)</f>
        <v>False</v>
      </c>
      <c r="AK8" t="b">
        <f t="shared" si="8"/>
        <v>0</v>
      </c>
    </row>
    <row r="9" spans="1:37" x14ac:dyDescent="0.35">
      <c r="A9" t="s">
        <v>4556</v>
      </c>
      <c r="B9">
        <f t="shared" si="6"/>
        <v>10</v>
      </c>
      <c r="C9">
        <f t="shared" si="2"/>
        <v>43</v>
      </c>
      <c r="D9">
        <f t="shared" si="2"/>
        <v>54</v>
      </c>
      <c r="E9">
        <f t="shared" si="2"/>
        <v>80</v>
      </c>
      <c r="F9">
        <f t="shared" si="2"/>
        <v>124</v>
      </c>
      <c r="G9">
        <f t="shared" si="2"/>
        <v>145</v>
      </c>
      <c r="H9">
        <f t="shared" si="2"/>
        <v>177</v>
      </c>
      <c r="I9">
        <f t="shared" si="2"/>
        <v>199</v>
      </c>
      <c r="J9">
        <f t="shared" si="2"/>
        <v>232</v>
      </c>
      <c r="K9">
        <f t="shared" si="2"/>
        <v>251</v>
      </c>
      <c r="L9">
        <f t="shared" si="2"/>
        <v>269</v>
      </c>
      <c r="M9">
        <f t="shared" si="2"/>
        <v>284</v>
      </c>
      <c r="N9">
        <f t="shared" si="2"/>
        <v>296</v>
      </c>
      <c r="O9">
        <f t="shared" si="2"/>
        <v>321</v>
      </c>
      <c r="P9">
        <f t="shared" si="2"/>
        <v>339</v>
      </c>
      <c r="Q9">
        <f t="shared" si="3"/>
        <v>365</v>
      </c>
      <c r="S9" t="str">
        <f t="shared" si="4"/>
        <v>26.11.2025</v>
      </c>
      <c r="T9" t="str">
        <f t="shared" si="5"/>
        <v>20:45:00</v>
      </c>
      <c r="U9" t="str">
        <f t="shared" si="7"/>
        <v>26.11.2025 20:45:00</v>
      </c>
      <c r="V9" s="9" t="str">
        <f>MID($A9,C9+C$2+1,D9-C9-C$2-1)</f>
        <v>0</v>
      </c>
      <c r="W9" s="4">
        <f>VALUE(SUBSTITUTE(MID($A9,D9+D$2+1,E9-D9-D$2-1),",","."))</f>
        <v>0</v>
      </c>
      <c r="X9" s="4">
        <f>VALUE(SUBSTITUTE(MID($A9,E9+E$2+1,F9-E9-E$2-1),",","."))</f>
        <v>0.90957602214449496</v>
      </c>
      <c r="Y9" s="4">
        <f>VALUE(SUBSTITUTE(MID($A9,F9+F$2+1,G9-F9-F$2-1),",","."))</f>
        <v>0</v>
      </c>
      <c r="Z9" s="3">
        <f>VALUE(SUBSTITUTE(MID($A9,G9+G$2+1,H9-G9-G$2-1),",","."))</f>
        <v>0</v>
      </c>
      <c r="AA9" s="3">
        <f>VALUE(SUBSTITUTE(MID($A9,H9+H$2+1,I9-H9-H$2-1),",","."))</f>
        <v>0</v>
      </c>
      <c r="AB9" s="3">
        <f>VALUE(SUBSTITUTE(MID($A9,I9+I$2+1,J9-I9-I$2-1),",","."))</f>
        <v>0</v>
      </c>
      <c r="AC9" s="3">
        <f>VALUE(SUBSTITUTE(MID($A9,J9+J$2+1,K9-J9-J$2-1),",","."))</f>
        <v>1.1000000000000001</v>
      </c>
      <c r="AD9" s="3">
        <f>VALUE(SUBSTITUTE(MID($A9,K9+K$2+1,L9-K9-K$2-1),",","."))</f>
        <v>12.6</v>
      </c>
      <c r="AE9" s="3">
        <f>VALUE(SUBSTITUTE(MID($A9,L9+L$2+1,M9-L9-L$2-1),",","."))</f>
        <v>0</v>
      </c>
      <c r="AF9" s="3">
        <f>VALUE(SUBSTITUTE(MID($A9,M9+M$2+1,N9-M9-M$2-1),",","."))</f>
        <v>0</v>
      </c>
      <c r="AG9" s="3">
        <f>VALUE(SUBSTITUTE(MID($A9,N9+N$2+1,O9-N9-N$2-1),",","."))</f>
        <v>4.2036318640069501</v>
      </c>
      <c r="AH9" t="str">
        <f>MID($A9,O9+O$2+1,P9-O9-O$2-1)</f>
        <v/>
      </c>
      <c r="AI9" s="8" t="str">
        <f>MID($A9,P9+P$2+1,Q9-P9-P$2-1)</f>
        <v>False</v>
      </c>
      <c r="AK9" t="b">
        <f t="shared" si="8"/>
        <v>0</v>
      </c>
    </row>
    <row r="10" spans="1:37" x14ac:dyDescent="0.35">
      <c r="A10" t="s">
        <v>4557</v>
      </c>
      <c r="B10">
        <f t="shared" si="6"/>
        <v>10</v>
      </c>
      <c r="C10">
        <f t="shared" si="2"/>
        <v>43</v>
      </c>
      <c r="D10">
        <f t="shared" si="2"/>
        <v>54</v>
      </c>
      <c r="E10">
        <f t="shared" si="2"/>
        <v>80</v>
      </c>
      <c r="F10">
        <f t="shared" si="2"/>
        <v>124</v>
      </c>
      <c r="G10">
        <f t="shared" si="2"/>
        <v>145</v>
      </c>
      <c r="H10">
        <f t="shared" si="2"/>
        <v>177</v>
      </c>
      <c r="I10">
        <f t="shared" si="2"/>
        <v>199</v>
      </c>
      <c r="J10">
        <f t="shared" si="2"/>
        <v>232</v>
      </c>
      <c r="K10">
        <f t="shared" si="2"/>
        <v>251</v>
      </c>
      <c r="L10">
        <f t="shared" si="2"/>
        <v>270</v>
      </c>
      <c r="M10">
        <f t="shared" si="2"/>
        <v>285</v>
      </c>
      <c r="N10">
        <f t="shared" si="2"/>
        <v>297</v>
      </c>
      <c r="O10">
        <f t="shared" si="2"/>
        <v>322</v>
      </c>
      <c r="P10">
        <f t="shared" si="2"/>
        <v>340</v>
      </c>
      <c r="Q10">
        <f t="shared" si="3"/>
        <v>366</v>
      </c>
      <c r="S10" t="str">
        <f t="shared" si="4"/>
        <v>26.11.2025</v>
      </c>
      <c r="T10" t="str">
        <f t="shared" si="5"/>
        <v>21:00:00</v>
      </c>
      <c r="U10" t="str">
        <f t="shared" si="7"/>
        <v>26.11.2025 21:00:00</v>
      </c>
      <c r="V10" s="9" t="str">
        <f>MID($A10,C10+C$2+1,D10-C10-C$2-1)</f>
        <v>0</v>
      </c>
      <c r="W10" s="4">
        <f>VALUE(SUBSTITUTE(MID($A10,D10+D$2+1,E10-D10-D$2-1),",","."))</f>
        <v>0</v>
      </c>
      <c r="X10" s="4">
        <f>VALUE(SUBSTITUTE(MID($A10,E10+E$2+1,F10-E10-E$2-1),",","."))</f>
        <v>0.90957602214449496</v>
      </c>
      <c r="Y10" s="4">
        <f>VALUE(SUBSTITUTE(MID($A10,F10+F$2+1,G10-F10-F$2-1),",","."))</f>
        <v>0</v>
      </c>
      <c r="Z10" s="3">
        <f>VALUE(SUBSTITUTE(MID($A10,G10+G$2+1,H10-G10-G$2-1),",","."))</f>
        <v>0</v>
      </c>
      <c r="AA10" s="3">
        <f>VALUE(SUBSTITUTE(MID($A10,H10+H$2+1,I10-H10-H$2-1),",","."))</f>
        <v>0</v>
      </c>
      <c r="AB10" s="3">
        <f>VALUE(SUBSTITUTE(MID($A10,I10+I$2+1,J10-I10-I$2-1),",","."))</f>
        <v>0</v>
      </c>
      <c r="AC10" s="3">
        <f>VALUE(SUBSTITUTE(MID($A10,J10+J$2+1,K10-J10-J$2-1),",","."))</f>
        <v>1.1000000000000001</v>
      </c>
      <c r="AD10" s="3">
        <f>VALUE(SUBSTITUTE(MID($A10,K10+K$2+1,L10-K10-K$2-1),",","."))</f>
        <v>12.42</v>
      </c>
      <c r="AE10" s="3">
        <f>VALUE(SUBSTITUTE(MID($A10,L10+L$2+1,M10-L10-L$2-1),",","."))</f>
        <v>0</v>
      </c>
      <c r="AF10" s="3">
        <f>VALUE(SUBSTITUTE(MID($A10,M10+M$2+1,N10-M10-M$2-1),",","."))</f>
        <v>0</v>
      </c>
      <c r="AG10" s="3">
        <f>VALUE(SUBSTITUTE(MID($A10,N10+N$2+1,O10-N10-N$2-1),",","."))</f>
        <v>4.2036603838950297</v>
      </c>
      <c r="AH10" t="str">
        <f>MID($A10,O10+O$2+1,P10-O10-O$2-1)</f>
        <v/>
      </c>
      <c r="AI10" s="8" t="str">
        <f>MID($A10,P10+P$2+1,Q10-P10-P$2-1)</f>
        <v>False</v>
      </c>
      <c r="AK10" t="b">
        <f t="shared" si="8"/>
        <v>0</v>
      </c>
    </row>
    <row r="11" spans="1:37" x14ac:dyDescent="0.35">
      <c r="A11" t="s">
        <v>4558</v>
      </c>
      <c r="B11">
        <f t="shared" si="6"/>
        <v>10</v>
      </c>
      <c r="C11">
        <f t="shared" si="2"/>
        <v>43</v>
      </c>
      <c r="D11">
        <f t="shared" si="2"/>
        <v>54</v>
      </c>
      <c r="E11">
        <f t="shared" si="2"/>
        <v>80</v>
      </c>
      <c r="F11">
        <f t="shared" si="2"/>
        <v>124</v>
      </c>
      <c r="G11">
        <f t="shared" si="2"/>
        <v>145</v>
      </c>
      <c r="H11">
        <f t="shared" si="2"/>
        <v>177</v>
      </c>
      <c r="I11">
        <f t="shared" si="2"/>
        <v>199</v>
      </c>
      <c r="J11">
        <f t="shared" si="2"/>
        <v>232</v>
      </c>
      <c r="K11">
        <f t="shared" si="2"/>
        <v>251</v>
      </c>
      <c r="L11">
        <f t="shared" si="2"/>
        <v>270</v>
      </c>
      <c r="M11">
        <f t="shared" si="2"/>
        <v>285</v>
      </c>
      <c r="N11">
        <f t="shared" si="2"/>
        <v>297</v>
      </c>
      <c r="O11">
        <f t="shared" si="2"/>
        <v>322</v>
      </c>
      <c r="P11">
        <f t="shared" si="2"/>
        <v>340</v>
      </c>
      <c r="Q11">
        <f t="shared" si="3"/>
        <v>366</v>
      </c>
      <c r="S11" t="str">
        <f t="shared" si="4"/>
        <v>26.11.2025</v>
      </c>
      <c r="T11" t="str">
        <f t="shared" si="5"/>
        <v>21:15:00</v>
      </c>
      <c r="U11" t="str">
        <f t="shared" si="7"/>
        <v>26.11.2025 21:15:00</v>
      </c>
      <c r="V11" s="9" t="str">
        <f>MID($A11,C11+C$2+1,D11-C11-C$2-1)</f>
        <v>0</v>
      </c>
      <c r="W11" s="4">
        <f>VALUE(SUBSTITUTE(MID($A11,D11+D$2+1,E11-D11-D$2-1),",","."))</f>
        <v>0</v>
      </c>
      <c r="X11" s="4">
        <f>VALUE(SUBSTITUTE(MID($A11,E11+E$2+1,F11-E11-E$2-1),",","."))</f>
        <v>0.90957602214449496</v>
      </c>
      <c r="Y11" s="4">
        <f>VALUE(SUBSTITUTE(MID($A11,F11+F$2+1,G11-F11-F$2-1),",","."))</f>
        <v>0</v>
      </c>
      <c r="Z11" s="3">
        <f>VALUE(SUBSTITUTE(MID($A11,G11+G$2+1,H11-G11-G$2-1),",","."))</f>
        <v>0</v>
      </c>
      <c r="AA11" s="3">
        <f>VALUE(SUBSTITUTE(MID($A11,H11+H$2+1,I11-H11-H$2-1),",","."))</f>
        <v>0</v>
      </c>
      <c r="AB11" s="3">
        <f>VALUE(SUBSTITUTE(MID($A11,I11+I$2+1,J11-I11-I$2-1),",","."))</f>
        <v>0</v>
      </c>
      <c r="AC11" s="3">
        <f>VALUE(SUBSTITUTE(MID($A11,J11+J$2+1,K11-J11-J$2-1),",","."))</f>
        <v>1.1000000000000001</v>
      </c>
      <c r="AD11" s="3">
        <f>VALUE(SUBSTITUTE(MID($A11,K11+K$2+1,L11-K11-K$2-1),",","."))</f>
        <v>12.42</v>
      </c>
      <c r="AE11" s="3">
        <f>VALUE(SUBSTITUTE(MID($A11,L11+L$2+1,M11-L11-L$2-1),",","."))</f>
        <v>0</v>
      </c>
      <c r="AF11" s="3">
        <f>VALUE(SUBSTITUTE(MID($A11,M11+M$2+1,N11-M11-M$2-1),",","."))</f>
        <v>0</v>
      </c>
      <c r="AG11" s="3">
        <f>VALUE(SUBSTITUTE(MID($A11,N11+N$2+1,O11-N11-N$2-1),",","."))</f>
        <v>4.2036889037831102</v>
      </c>
      <c r="AH11" t="str">
        <f>MID($A11,O11+O$2+1,P11-O11-O$2-1)</f>
        <v/>
      </c>
      <c r="AI11" s="8" t="str">
        <f>MID($A11,P11+P$2+1,Q11-P11-P$2-1)</f>
        <v>False</v>
      </c>
      <c r="AK11" t="b">
        <f t="shared" si="8"/>
        <v>0</v>
      </c>
    </row>
    <row r="12" spans="1:37" x14ac:dyDescent="0.35">
      <c r="A12" t="s">
        <v>4559</v>
      </c>
      <c r="B12">
        <f t="shared" si="6"/>
        <v>10</v>
      </c>
      <c r="C12">
        <f t="shared" si="2"/>
        <v>43</v>
      </c>
      <c r="D12">
        <f t="shared" si="2"/>
        <v>54</v>
      </c>
      <c r="E12">
        <f t="shared" si="2"/>
        <v>80</v>
      </c>
      <c r="F12">
        <f t="shared" si="2"/>
        <v>124</v>
      </c>
      <c r="G12">
        <f t="shared" si="2"/>
        <v>145</v>
      </c>
      <c r="H12">
        <f t="shared" si="2"/>
        <v>177</v>
      </c>
      <c r="I12">
        <f t="shared" si="2"/>
        <v>199</v>
      </c>
      <c r="J12">
        <f t="shared" si="2"/>
        <v>232</v>
      </c>
      <c r="K12">
        <f t="shared" si="2"/>
        <v>251</v>
      </c>
      <c r="L12">
        <f t="shared" si="2"/>
        <v>283</v>
      </c>
      <c r="M12">
        <f t="shared" si="2"/>
        <v>298</v>
      </c>
      <c r="N12">
        <f t="shared" si="2"/>
        <v>310</v>
      </c>
      <c r="O12">
        <f t="shared" si="2"/>
        <v>335</v>
      </c>
      <c r="P12">
        <f t="shared" si="2"/>
        <v>353</v>
      </c>
      <c r="Q12">
        <f t="shared" si="3"/>
        <v>379</v>
      </c>
      <c r="S12" t="str">
        <f t="shared" si="4"/>
        <v>26.11.2025</v>
      </c>
      <c r="T12" t="str">
        <f t="shared" si="5"/>
        <v>21:30:00</v>
      </c>
      <c r="U12" t="str">
        <f t="shared" si="7"/>
        <v>26.11.2025 21:30:00</v>
      </c>
      <c r="V12" s="9" t="str">
        <f>MID($A12,C12+C$2+1,D12-C12-C$2-1)</f>
        <v>0</v>
      </c>
      <c r="W12" s="4">
        <f>VALUE(SUBSTITUTE(MID($A12,D12+D$2+1,E12-D12-D$2-1),",","."))</f>
        <v>0</v>
      </c>
      <c r="X12" s="4">
        <f>VALUE(SUBSTITUTE(MID($A12,E12+E$2+1,F12-E12-E$2-1),",","."))</f>
        <v>0.90957602214449496</v>
      </c>
      <c r="Y12" s="4">
        <f>VALUE(SUBSTITUTE(MID($A12,F12+F$2+1,G12-F12-F$2-1),",","."))</f>
        <v>0</v>
      </c>
      <c r="Z12" s="3">
        <f>VALUE(SUBSTITUTE(MID($A12,G12+G$2+1,H12-G12-G$2-1),",","."))</f>
        <v>0</v>
      </c>
      <c r="AA12" s="3">
        <f>VALUE(SUBSTITUTE(MID($A12,H12+H$2+1,I12-H12-H$2-1),",","."))</f>
        <v>0</v>
      </c>
      <c r="AB12" s="3">
        <f>VALUE(SUBSTITUTE(MID($A12,I12+I$2+1,J12-I12-I$2-1),",","."))</f>
        <v>0</v>
      </c>
      <c r="AC12" s="3">
        <f>VALUE(SUBSTITUTE(MID($A12,J12+J$2+1,K12-J12-J$2-1),",","."))</f>
        <v>1.1000000000000001</v>
      </c>
      <c r="AD12" s="3">
        <f>VALUE(SUBSTITUTE(MID($A12,K12+K$2+1,L12-K12-K$2-1),",","."))</f>
        <v>12.239999999999901</v>
      </c>
      <c r="AE12" s="3">
        <f>VALUE(SUBSTITUTE(MID($A12,L12+L$2+1,M12-L12-L$2-1),",","."))</f>
        <v>0</v>
      </c>
      <c r="AF12" s="3">
        <f>VALUE(SUBSTITUTE(MID($A12,M12+M$2+1,N12-M12-M$2-1),",","."))</f>
        <v>0</v>
      </c>
      <c r="AG12" s="3">
        <f>VALUE(SUBSTITUTE(MID($A12,N12+N$2+1,O12-N12-N$2-1),",","."))</f>
        <v>4.2037174236711898</v>
      </c>
      <c r="AH12" t="str">
        <f>MID($A12,O12+O$2+1,P12-O12-O$2-1)</f>
        <v/>
      </c>
      <c r="AI12" s="8" t="str">
        <f>MID($A12,P12+P$2+1,Q12-P12-P$2-1)</f>
        <v>False</v>
      </c>
      <c r="AK12" t="b">
        <f t="shared" si="8"/>
        <v>0</v>
      </c>
    </row>
    <row r="13" spans="1:37" x14ac:dyDescent="0.35">
      <c r="A13" t="s">
        <v>4560</v>
      </c>
      <c r="B13">
        <f t="shared" si="6"/>
        <v>10</v>
      </c>
      <c r="C13">
        <f t="shared" si="2"/>
        <v>43</v>
      </c>
      <c r="D13">
        <f t="shared" si="2"/>
        <v>54</v>
      </c>
      <c r="E13">
        <f t="shared" si="2"/>
        <v>80</v>
      </c>
      <c r="F13">
        <f t="shared" si="2"/>
        <v>124</v>
      </c>
      <c r="G13">
        <f t="shared" si="2"/>
        <v>145</v>
      </c>
      <c r="H13">
        <f t="shared" si="2"/>
        <v>177</v>
      </c>
      <c r="I13">
        <f t="shared" si="2"/>
        <v>199</v>
      </c>
      <c r="J13">
        <f t="shared" si="2"/>
        <v>232</v>
      </c>
      <c r="K13">
        <f t="shared" si="2"/>
        <v>252</v>
      </c>
      <c r="L13">
        <f t="shared" si="2"/>
        <v>270</v>
      </c>
      <c r="M13">
        <f t="shared" si="2"/>
        <v>285</v>
      </c>
      <c r="N13">
        <f t="shared" si="2"/>
        <v>297</v>
      </c>
      <c r="O13">
        <f t="shared" si="2"/>
        <v>322</v>
      </c>
      <c r="P13">
        <f t="shared" si="2"/>
        <v>340</v>
      </c>
      <c r="Q13">
        <f t="shared" si="3"/>
        <v>366</v>
      </c>
      <c r="S13" t="str">
        <f t="shared" si="4"/>
        <v>26.11.2025</v>
      </c>
      <c r="T13" t="str">
        <f t="shared" si="5"/>
        <v>21:45:00</v>
      </c>
      <c r="U13" t="str">
        <f t="shared" si="7"/>
        <v>26.11.2025 21:45:00</v>
      </c>
      <c r="V13" s="9" t="str">
        <f>MID($A13,C13+C$2+1,D13-C13-C$2-1)</f>
        <v>0</v>
      </c>
      <c r="W13" s="4">
        <f>VALUE(SUBSTITUTE(MID($A13,D13+D$2+1,E13-D13-D$2-1),",","."))</f>
        <v>0</v>
      </c>
      <c r="X13" s="4">
        <f>VALUE(SUBSTITUTE(MID($A13,E13+E$2+1,F13-E13-E$2-1),",","."))</f>
        <v>0.90957602214449496</v>
      </c>
      <c r="Y13" s="4">
        <f>VALUE(SUBSTITUTE(MID($A13,F13+F$2+1,G13-F13-F$2-1),",","."))</f>
        <v>0</v>
      </c>
      <c r="Z13" s="3">
        <f>VALUE(SUBSTITUTE(MID($A13,G13+G$2+1,H13-G13-G$2-1),",","."))</f>
        <v>0</v>
      </c>
      <c r="AA13" s="3">
        <f>VALUE(SUBSTITUTE(MID($A13,H13+H$2+1,I13-H13-H$2-1),",","."))</f>
        <v>0</v>
      </c>
      <c r="AB13" s="3">
        <f>VALUE(SUBSTITUTE(MID($A13,I13+I$2+1,J13-I13-I$2-1),",","."))</f>
        <v>0</v>
      </c>
      <c r="AC13" s="3">
        <f>VALUE(SUBSTITUTE(MID($A13,J13+J$2+1,K13-J13-J$2-1),",","."))</f>
        <v>1.1499999999999999</v>
      </c>
      <c r="AD13" s="3">
        <f>VALUE(SUBSTITUTE(MID($A13,K13+K$2+1,L13-K13-K$2-1),",","."))</f>
        <v>13.5</v>
      </c>
      <c r="AE13" s="3">
        <f>VALUE(SUBSTITUTE(MID($A13,L13+L$2+1,M13-L13-L$2-1),",","."))</f>
        <v>0</v>
      </c>
      <c r="AF13" s="3">
        <f>VALUE(SUBSTITUTE(MID($A13,M13+M$2+1,N13-M13-M$2-1),",","."))</f>
        <v>0</v>
      </c>
      <c r="AG13" s="3">
        <f>VALUE(SUBSTITUTE(MID($A13,N13+N$2+1,O13-N13-N$2-1),",","."))</f>
        <v>4.2037459435592703</v>
      </c>
      <c r="AH13" t="str">
        <f>MID($A13,O13+O$2+1,P13-O13-O$2-1)</f>
        <v/>
      </c>
      <c r="AI13" s="8" t="str">
        <f>MID($A13,P13+P$2+1,Q13-P13-P$2-1)</f>
        <v>False</v>
      </c>
      <c r="AK13" t="b">
        <f t="shared" si="8"/>
        <v>0</v>
      </c>
    </row>
    <row r="14" spans="1:37" x14ac:dyDescent="0.35">
      <c r="A14" t="s">
        <v>4561</v>
      </c>
      <c r="B14">
        <f t="shared" si="6"/>
        <v>10</v>
      </c>
      <c r="C14">
        <f t="shared" si="2"/>
        <v>43</v>
      </c>
      <c r="D14">
        <f t="shared" si="2"/>
        <v>54</v>
      </c>
      <c r="E14">
        <f t="shared" si="2"/>
        <v>80</v>
      </c>
      <c r="F14">
        <f t="shared" si="2"/>
        <v>124</v>
      </c>
      <c r="G14">
        <f t="shared" si="2"/>
        <v>145</v>
      </c>
      <c r="H14">
        <f t="shared" si="2"/>
        <v>177</v>
      </c>
      <c r="I14">
        <f t="shared" si="2"/>
        <v>199</v>
      </c>
      <c r="J14">
        <f t="shared" si="2"/>
        <v>232</v>
      </c>
      <c r="K14">
        <f t="shared" si="2"/>
        <v>252</v>
      </c>
      <c r="L14">
        <f t="shared" si="2"/>
        <v>270</v>
      </c>
      <c r="M14">
        <f t="shared" si="2"/>
        <v>285</v>
      </c>
      <c r="N14">
        <f t="shared" si="2"/>
        <v>297</v>
      </c>
      <c r="O14">
        <f t="shared" si="2"/>
        <v>321</v>
      </c>
      <c r="P14">
        <f t="shared" si="2"/>
        <v>339</v>
      </c>
      <c r="Q14">
        <f t="shared" si="3"/>
        <v>365</v>
      </c>
      <c r="S14" t="str">
        <f t="shared" si="4"/>
        <v>26.11.2025</v>
      </c>
      <c r="T14" t="str">
        <f t="shared" si="5"/>
        <v>22:00:00</v>
      </c>
      <c r="U14" t="str">
        <f t="shared" si="7"/>
        <v>26.11.2025 22:00:00</v>
      </c>
      <c r="V14" s="9" t="str">
        <f>MID($A14,C14+C$2+1,D14-C14-C$2-1)</f>
        <v>0</v>
      </c>
      <c r="W14" s="4">
        <f>VALUE(SUBSTITUTE(MID($A14,D14+D$2+1,E14-D14-D$2-1),",","."))</f>
        <v>0</v>
      </c>
      <c r="X14" s="4">
        <f>VALUE(SUBSTITUTE(MID($A14,E14+E$2+1,F14-E14-E$2-1),",","."))</f>
        <v>0.90957602214449496</v>
      </c>
      <c r="Y14" s="4">
        <f>VALUE(SUBSTITUTE(MID($A14,F14+F$2+1,G14-F14-F$2-1),",","."))</f>
        <v>0</v>
      </c>
      <c r="Z14" s="3">
        <f>VALUE(SUBSTITUTE(MID($A14,G14+G$2+1,H14-G14-G$2-1),",","."))</f>
        <v>0</v>
      </c>
      <c r="AA14" s="3">
        <f>VALUE(SUBSTITUTE(MID($A14,H14+H$2+1,I14-H14-H$2-1),",","."))</f>
        <v>0</v>
      </c>
      <c r="AB14" s="3">
        <f>VALUE(SUBSTITUTE(MID($A14,I14+I$2+1,J14-I14-I$2-1),",","."))</f>
        <v>0</v>
      </c>
      <c r="AC14" s="3">
        <f>VALUE(SUBSTITUTE(MID($A14,J14+J$2+1,K14-J14-J$2-1),",","."))</f>
        <v>1.1499999999999999</v>
      </c>
      <c r="AD14" s="3">
        <f>VALUE(SUBSTITUTE(MID($A14,K14+K$2+1,L14-K14-K$2-1),",","."))</f>
        <v>13.5</v>
      </c>
      <c r="AE14" s="3">
        <f>VALUE(SUBSTITUTE(MID($A14,L14+L$2+1,M14-L14-L$2-1),",","."))</f>
        <v>0</v>
      </c>
      <c r="AF14" s="3">
        <f>VALUE(SUBSTITUTE(MID($A14,M14+M$2+1,N14-M14-M$2-1),",","."))</f>
        <v>0</v>
      </c>
      <c r="AG14" s="3">
        <f>VALUE(SUBSTITUTE(MID($A14,N14+N$2+1,O14-N14-N$2-1),",","."))</f>
        <v>4.2037744634473597</v>
      </c>
      <c r="AH14" t="str">
        <f>MID($A14,O14+O$2+1,P14-O14-O$2-1)</f>
        <v/>
      </c>
      <c r="AI14" s="8" t="str">
        <f>MID($A14,P14+P$2+1,Q14-P14-P$2-1)</f>
        <v>False</v>
      </c>
      <c r="AK14" t="b">
        <f t="shared" si="8"/>
        <v>0</v>
      </c>
    </row>
    <row r="15" spans="1:37" x14ac:dyDescent="0.35">
      <c r="A15" t="s">
        <v>4562</v>
      </c>
      <c r="B15">
        <f t="shared" si="6"/>
        <v>10</v>
      </c>
      <c r="C15">
        <f t="shared" si="2"/>
        <v>43</v>
      </c>
      <c r="D15">
        <f t="shared" si="2"/>
        <v>54</v>
      </c>
      <c r="E15">
        <f t="shared" si="2"/>
        <v>80</v>
      </c>
      <c r="F15">
        <f t="shared" si="2"/>
        <v>124</v>
      </c>
      <c r="G15">
        <f t="shared" si="2"/>
        <v>145</v>
      </c>
      <c r="H15">
        <f t="shared" si="2"/>
        <v>177</v>
      </c>
      <c r="I15">
        <f t="shared" si="2"/>
        <v>199</v>
      </c>
      <c r="J15">
        <f t="shared" si="2"/>
        <v>232</v>
      </c>
      <c r="K15">
        <f t="shared" si="2"/>
        <v>252</v>
      </c>
      <c r="L15">
        <f t="shared" si="2"/>
        <v>271</v>
      </c>
      <c r="M15">
        <f t="shared" si="2"/>
        <v>286</v>
      </c>
      <c r="N15">
        <f t="shared" si="2"/>
        <v>298</v>
      </c>
      <c r="O15">
        <f t="shared" si="2"/>
        <v>323</v>
      </c>
      <c r="P15">
        <f t="shared" si="2"/>
        <v>341</v>
      </c>
      <c r="Q15">
        <f t="shared" si="3"/>
        <v>367</v>
      </c>
      <c r="S15" t="str">
        <f t="shared" si="4"/>
        <v>26.11.2025</v>
      </c>
      <c r="T15" t="str">
        <f t="shared" si="5"/>
        <v>22:15:00</v>
      </c>
      <c r="U15" t="str">
        <f t="shared" si="7"/>
        <v>26.11.2025 22:15:00</v>
      </c>
      <c r="V15" s="9" t="str">
        <f>MID($A15,C15+C$2+1,D15-C15-C$2-1)</f>
        <v>0</v>
      </c>
      <c r="W15" s="4">
        <f>VALUE(SUBSTITUTE(MID($A15,D15+D$2+1,E15-D15-D$2-1),",","."))</f>
        <v>0</v>
      </c>
      <c r="X15" s="4">
        <f>VALUE(SUBSTITUTE(MID($A15,E15+E$2+1,F15-E15-E$2-1),",","."))</f>
        <v>0.90957602214449496</v>
      </c>
      <c r="Y15" s="4">
        <f>VALUE(SUBSTITUTE(MID($A15,F15+F$2+1,G15-F15-F$2-1),",","."))</f>
        <v>0</v>
      </c>
      <c r="Z15" s="3">
        <f>VALUE(SUBSTITUTE(MID($A15,G15+G$2+1,H15-G15-G$2-1),",","."))</f>
        <v>0</v>
      </c>
      <c r="AA15" s="3">
        <f>VALUE(SUBSTITUTE(MID($A15,H15+H$2+1,I15-H15-H$2-1),",","."))</f>
        <v>0</v>
      </c>
      <c r="AB15" s="3">
        <f>VALUE(SUBSTITUTE(MID($A15,I15+I$2+1,J15-I15-I$2-1),",","."))</f>
        <v>0</v>
      </c>
      <c r="AC15" s="3">
        <f>VALUE(SUBSTITUTE(MID($A15,J15+J$2+1,K15-J15-J$2-1),",","."))</f>
        <v>1.1499999999999999</v>
      </c>
      <c r="AD15" s="3">
        <f>VALUE(SUBSTITUTE(MID($A15,K15+K$2+1,L15-K15-K$2-1),",","."))</f>
        <v>14.04</v>
      </c>
      <c r="AE15" s="3">
        <f>VALUE(SUBSTITUTE(MID($A15,L15+L$2+1,M15-L15-L$2-1),",","."))</f>
        <v>0</v>
      </c>
      <c r="AF15" s="3">
        <f>VALUE(SUBSTITUTE(MID($A15,M15+M$2+1,N15-M15-M$2-1),",","."))</f>
        <v>0</v>
      </c>
      <c r="AG15" s="3">
        <f>VALUE(SUBSTITUTE(MID($A15,N15+N$2+1,O15-N15-N$2-1),",","."))</f>
        <v>4.2038029833354402</v>
      </c>
      <c r="AH15" t="str">
        <f>MID($A15,O15+O$2+1,P15-O15-O$2-1)</f>
        <v/>
      </c>
      <c r="AI15" s="8" t="str">
        <f>MID($A15,P15+P$2+1,Q15-P15-P$2-1)</f>
        <v>False</v>
      </c>
      <c r="AK15" t="b">
        <f t="shared" si="8"/>
        <v>0</v>
      </c>
    </row>
    <row r="16" spans="1:37" x14ac:dyDescent="0.35">
      <c r="A16" t="s">
        <v>4563</v>
      </c>
      <c r="B16">
        <f t="shared" si="6"/>
        <v>10</v>
      </c>
      <c r="C16">
        <f t="shared" si="2"/>
        <v>43</v>
      </c>
      <c r="D16">
        <f t="shared" si="2"/>
        <v>54</v>
      </c>
      <c r="E16">
        <f t="shared" si="2"/>
        <v>80</v>
      </c>
      <c r="F16">
        <f t="shared" si="2"/>
        <v>124</v>
      </c>
      <c r="G16">
        <f t="shared" si="2"/>
        <v>145</v>
      </c>
      <c r="H16">
        <f t="shared" si="2"/>
        <v>177</v>
      </c>
      <c r="I16">
        <f t="shared" si="2"/>
        <v>199</v>
      </c>
      <c r="J16">
        <f t="shared" si="2"/>
        <v>232</v>
      </c>
      <c r="K16">
        <f t="shared" si="2"/>
        <v>251</v>
      </c>
      <c r="L16">
        <f t="shared" si="2"/>
        <v>270</v>
      </c>
      <c r="M16">
        <f t="shared" si="2"/>
        <v>285</v>
      </c>
      <c r="N16">
        <f t="shared" si="2"/>
        <v>297</v>
      </c>
      <c r="O16">
        <f t="shared" si="2"/>
        <v>323</v>
      </c>
      <c r="P16">
        <f t="shared" si="2"/>
        <v>341</v>
      </c>
      <c r="Q16">
        <f t="shared" si="3"/>
        <v>367</v>
      </c>
      <c r="S16" t="str">
        <f t="shared" si="4"/>
        <v>26.11.2025</v>
      </c>
      <c r="T16" t="str">
        <f t="shared" si="5"/>
        <v>22:30:00</v>
      </c>
      <c r="U16" t="str">
        <f t="shared" si="7"/>
        <v>26.11.2025 22:30:00</v>
      </c>
      <c r="V16" s="9" t="str">
        <f>MID($A16,C16+C$2+1,D16-C16-C$2-1)</f>
        <v>0</v>
      </c>
      <c r="W16" s="4">
        <f>VALUE(SUBSTITUTE(MID($A16,D16+D$2+1,E16-D16-D$2-1),",","."))</f>
        <v>0</v>
      </c>
      <c r="X16" s="4">
        <f>VALUE(SUBSTITUTE(MID($A16,E16+E$2+1,F16-E16-E$2-1),",","."))</f>
        <v>0.90957602214449496</v>
      </c>
      <c r="Y16" s="4">
        <f>VALUE(SUBSTITUTE(MID($A16,F16+F$2+1,G16-F16-F$2-1),",","."))</f>
        <v>0</v>
      </c>
      <c r="Z16" s="3">
        <f>VALUE(SUBSTITUTE(MID($A16,G16+G$2+1,H16-G16-G$2-1),",","."))</f>
        <v>0</v>
      </c>
      <c r="AA16" s="3">
        <f>VALUE(SUBSTITUTE(MID($A16,H16+H$2+1,I16-H16-H$2-1),",","."))</f>
        <v>0</v>
      </c>
      <c r="AB16" s="3">
        <f>VALUE(SUBSTITUTE(MID($A16,I16+I$2+1,J16-I16-I$2-1),",","."))</f>
        <v>0</v>
      </c>
      <c r="AC16" s="3">
        <f>VALUE(SUBSTITUTE(MID($A16,J16+J$2+1,K16-J16-J$2-1),",","."))</f>
        <v>1.1000000000000001</v>
      </c>
      <c r="AD16" s="3">
        <f>VALUE(SUBSTITUTE(MID($A16,K16+K$2+1,L16-K16-K$2-1),",","."))</f>
        <v>13.68</v>
      </c>
      <c r="AE16" s="3">
        <f>VALUE(SUBSTITUTE(MID($A16,L16+L$2+1,M16-L16-L$2-1),",","."))</f>
        <v>0</v>
      </c>
      <c r="AF16" s="3">
        <f>VALUE(SUBSTITUTE(MID($A16,M16+M$2+1,N16-M16-M$2-1),",","."))</f>
        <v>0</v>
      </c>
      <c r="AG16" s="3">
        <f>VALUE(SUBSTITUTE(MID($A16,N16+N$2+1,O16-N16-N$2-1),",","."))</f>
        <v>4.2038315032235198</v>
      </c>
      <c r="AH16" t="str">
        <f>MID($A16,O16+O$2+1,P16-O16-O$2-1)</f>
        <v/>
      </c>
      <c r="AI16" s="8" t="str">
        <f>MID($A16,P16+P$2+1,Q16-P16-P$2-1)</f>
        <v>False</v>
      </c>
      <c r="AK16" t="b">
        <f t="shared" si="8"/>
        <v>0</v>
      </c>
    </row>
    <row r="17" spans="1:37" x14ac:dyDescent="0.35">
      <c r="A17" t="s">
        <v>4564</v>
      </c>
      <c r="B17">
        <f t="shared" si="6"/>
        <v>10</v>
      </c>
      <c r="C17">
        <f t="shared" si="2"/>
        <v>43</v>
      </c>
      <c r="D17">
        <f t="shared" si="2"/>
        <v>54</v>
      </c>
      <c r="E17">
        <f t="shared" si="2"/>
        <v>80</v>
      </c>
      <c r="F17">
        <f t="shared" si="2"/>
        <v>124</v>
      </c>
      <c r="G17">
        <f t="shared" si="2"/>
        <v>145</v>
      </c>
      <c r="H17">
        <f t="shared" si="2"/>
        <v>177</v>
      </c>
      <c r="I17">
        <f t="shared" si="2"/>
        <v>199</v>
      </c>
      <c r="J17">
        <f t="shared" si="2"/>
        <v>232</v>
      </c>
      <c r="K17">
        <f t="shared" si="2"/>
        <v>249</v>
      </c>
      <c r="L17">
        <f t="shared" si="2"/>
        <v>268</v>
      </c>
      <c r="M17">
        <f t="shared" si="2"/>
        <v>283</v>
      </c>
      <c r="N17">
        <f t="shared" si="2"/>
        <v>295</v>
      </c>
      <c r="O17">
        <f t="shared" si="2"/>
        <v>320</v>
      </c>
      <c r="P17">
        <f t="shared" si="2"/>
        <v>338</v>
      </c>
      <c r="Q17">
        <f t="shared" si="3"/>
        <v>364</v>
      </c>
      <c r="S17" t="str">
        <f t="shared" si="4"/>
        <v>26.11.2025</v>
      </c>
      <c r="T17" t="str">
        <f t="shared" si="5"/>
        <v>22:45:00</v>
      </c>
      <c r="U17" t="str">
        <f t="shared" si="7"/>
        <v>26.11.2025 22:45:00</v>
      </c>
      <c r="V17" s="9" t="str">
        <f>MID($A17,C17+C$2+1,D17-C17-C$2-1)</f>
        <v>0</v>
      </c>
      <c r="W17" s="4">
        <f>VALUE(SUBSTITUTE(MID($A17,D17+D$2+1,E17-D17-D$2-1),",","."))</f>
        <v>0</v>
      </c>
      <c r="X17" s="4">
        <f>VALUE(SUBSTITUTE(MID($A17,E17+E$2+1,F17-E17-E$2-1),",","."))</f>
        <v>0.90957602214449496</v>
      </c>
      <c r="Y17" s="4">
        <f>VALUE(SUBSTITUTE(MID($A17,F17+F$2+1,G17-F17-F$2-1),",","."))</f>
        <v>0</v>
      </c>
      <c r="Z17" s="3">
        <f>VALUE(SUBSTITUTE(MID($A17,G17+G$2+1,H17-G17-G$2-1),",","."))</f>
        <v>0</v>
      </c>
      <c r="AA17" s="3">
        <f>VALUE(SUBSTITUTE(MID($A17,H17+H$2+1,I17-H17-H$2-1),",","."))</f>
        <v>0</v>
      </c>
      <c r="AB17" s="3">
        <f>VALUE(SUBSTITUTE(MID($A17,I17+I$2+1,J17-I17-I$2-1),",","."))</f>
        <v>0</v>
      </c>
      <c r="AC17" s="3">
        <f>VALUE(SUBSTITUTE(MID($A17,J17+J$2+1,K17-J17-J$2-1),",","."))</f>
        <v>1</v>
      </c>
      <c r="AD17" s="3">
        <f>VALUE(SUBSTITUTE(MID($A17,K17+K$2+1,L17-K17-K$2-1),",","."))</f>
        <v>13.32</v>
      </c>
      <c r="AE17" s="3">
        <f>VALUE(SUBSTITUTE(MID($A17,L17+L$2+1,M17-L17-L$2-1),",","."))</f>
        <v>0</v>
      </c>
      <c r="AF17" s="3">
        <f>VALUE(SUBSTITUTE(MID($A17,M17+M$2+1,N17-M17-M$2-1),",","."))</f>
        <v>0</v>
      </c>
      <c r="AG17" s="3">
        <f>VALUE(SUBSTITUTE(MID($A17,N17+N$2+1,O17-N17-N$2-1),",","."))</f>
        <v>4.2038600231116003</v>
      </c>
      <c r="AH17" t="str">
        <f>MID($A17,O17+O$2+1,P17-O17-O$2-1)</f>
        <v/>
      </c>
      <c r="AI17" s="8" t="str">
        <f>MID($A17,P17+P$2+1,Q17-P17-P$2-1)</f>
        <v>False</v>
      </c>
      <c r="AK17" t="b">
        <f t="shared" si="8"/>
        <v>0</v>
      </c>
    </row>
    <row r="18" spans="1:37" x14ac:dyDescent="0.35">
      <c r="A18" t="s">
        <v>4565</v>
      </c>
      <c r="B18">
        <f t="shared" si="6"/>
        <v>10</v>
      </c>
      <c r="C18">
        <f t="shared" si="2"/>
        <v>43</v>
      </c>
      <c r="D18">
        <f t="shared" si="2"/>
        <v>54</v>
      </c>
      <c r="E18">
        <f t="shared" si="2"/>
        <v>80</v>
      </c>
      <c r="F18">
        <f t="shared" si="2"/>
        <v>124</v>
      </c>
      <c r="G18">
        <f t="shared" si="2"/>
        <v>145</v>
      </c>
      <c r="H18">
        <f t="shared" si="2"/>
        <v>177</v>
      </c>
      <c r="I18">
        <f t="shared" si="2"/>
        <v>199</v>
      </c>
      <c r="J18">
        <f t="shared" si="2"/>
        <v>232</v>
      </c>
      <c r="K18">
        <f t="shared" si="2"/>
        <v>266</v>
      </c>
      <c r="L18">
        <f t="shared" si="2"/>
        <v>285</v>
      </c>
      <c r="M18">
        <f t="shared" si="2"/>
        <v>300</v>
      </c>
      <c r="N18">
        <f t="shared" ref="N18:Q81" si="9">FIND(N$1,$A18)</f>
        <v>312</v>
      </c>
      <c r="O18">
        <f t="shared" si="9"/>
        <v>337</v>
      </c>
      <c r="P18">
        <f t="shared" si="9"/>
        <v>355</v>
      </c>
      <c r="Q18">
        <f t="shared" si="3"/>
        <v>381</v>
      </c>
      <c r="S18" t="str">
        <f t="shared" si="4"/>
        <v>26.11.2025</v>
      </c>
      <c r="T18" t="str">
        <f t="shared" si="5"/>
        <v>23:00:00</v>
      </c>
      <c r="U18" t="str">
        <f t="shared" si="7"/>
        <v>26.11.2025 23:00:00</v>
      </c>
      <c r="V18" s="9" t="str">
        <f>MID($A18,C18+C$2+1,D18-C18-C$2-1)</f>
        <v>0</v>
      </c>
      <c r="W18" s="4">
        <f>VALUE(SUBSTITUTE(MID($A18,D18+D$2+1,E18-D18-D$2-1),",","."))</f>
        <v>0</v>
      </c>
      <c r="X18" s="4">
        <f>VALUE(SUBSTITUTE(MID($A18,E18+E$2+1,F18-E18-E$2-1),",","."))</f>
        <v>0.90957602214449496</v>
      </c>
      <c r="Y18" s="4">
        <f>VALUE(SUBSTITUTE(MID($A18,F18+F$2+1,G18-F18-F$2-1),",","."))</f>
        <v>0</v>
      </c>
      <c r="Z18" s="3">
        <f>VALUE(SUBSTITUTE(MID($A18,G18+G$2+1,H18-G18-G$2-1),",","."))</f>
        <v>0</v>
      </c>
      <c r="AA18" s="3">
        <f>VALUE(SUBSTITUTE(MID($A18,H18+H$2+1,I18-H18-H$2-1),",","."))</f>
        <v>0</v>
      </c>
      <c r="AB18" s="3">
        <f>VALUE(SUBSTITUTE(MID($A18,I18+I$2+1,J18-I18-I$2-1),",","."))</f>
        <v>0</v>
      </c>
      <c r="AC18" s="3">
        <f>VALUE(SUBSTITUTE(MID($A18,J18+J$2+1,K18-J18-J$2-1),",","."))</f>
        <v>0.85</v>
      </c>
      <c r="AD18" s="3">
        <f>VALUE(SUBSTITUTE(MID($A18,K18+K$2+1,L18-K18-K$2-1),",","."))</f>
        <v>12.42</v>
      </c>
      <c r="AE18" s="3">
        <f>VALUE(SUBSTITUTE(MID($A18,L18+L$2+1,M18-L18-L$2-1),",","."))</f>
        <v>0</v>
      </c>
      <c r="AF18" s="3">
        <f>VALUE(SUBSTITUTE(MID($A18,M18+M$2+1,N18-M18-M$2-1),",","."))</f>
        <v>0</v>
      </c>
      <c r="AG18" s="3">
        <f>VALUE(SUBSTITUTE(MID($A18,N18+N$2+1,O18-N18-N$2-1),",","."))</f>
        <v>4.20388854299968</v>
      </c>
      <c r="AH18" t="str">
        <f>MID($A18,O18+O$2+1,P18-O18-O$2-1)</f>
        <v/>
      </c>
      <c r="AI18" s="8" t="str">
        <f>MID($A18,P18+P$2+1,Q18-P18-P$2-1)</f>
        <v>False</v>
      </c>
      <c r="AK18" t="b">
        <f t="shared" si="8"/>
        <v>0</v>
      </c>
    </row>
    <row r="19" spans="1:37" x14ac:dyDescent="0.35">
      <c r="A19" t="s">
        <v>4566</v>
      </c>
      <c r="B19">
        <f t="shared" si="6"/>
        <v>10</v>
      </c>
      <c r="C19">
        <f t="shared" si="6"/>
        <v>43</v>
      </c>
      <c r="D19">
        <f t="shared" si="6"/>
        <v>54</v>
      </c>
      <c r="E19">
        <f t="shared" si="6"/>
        <v>80</v>
      </c>
      <c r="F19">
        <f t="shared" si="6"/>
        <v>124</v>
      </c>
      <c r="G19">
        <f t="shared" si="6"/>
        <v>145</v>
      </c>
      <c r="H19">
        <f t="shared" si="6"/>
        <v>177</v>
      </c>
      <c r="I19">
        <f t="shared" si="6"/>
        <v>199</v>
      </c>
      <c r="J19">
        <f t="shared" si="6"/>
        <v>232</v>
      </c>
      <c r="K19">
        <f t="shared" si="6"/>
        <v>251</v>
      </c>
      <c r="L19">
        <f t="shared" si="6"/>
        <v>270</v>
      </c>
      <c r="M19">
        <f t="shared" si="6"/>
        <v>285</v>
      </c>
      <c r="N19">
        <f t="shared" si="9"/>
        <v>297</v>
      </c>
      <c r="O19">
        <f t="shared" si="9"/>
        <v>322</v>
      </c>
      <c r="P19">
        <f t="shared" si="9"/>
        <v>340</v>
      </c>
      <c r="Q19">
        <f t="shared" si="9"/>
        <v>366</v>
      </c>
      <c r="S19" t="str">
        <f t="shared" si="4"/>
        <v>26.11.2025</v>
      </c>
      <c r="T19" t="str">
        <f t="shared" si="5"/>
        <v>23:15:00</v>
      </c>
      <c r="U19" t="str">
        <f t="shared" si="7"/>
        <v>26.11.2025 23:15:00</v>
      </c>
      <c r="V19" s="9" t="str">
        <f>MID($A19,C19+C$2+1,D19-C19-C$2-1)</f>
        <v>0</v>
      </c>
      <c r="W19" s="4">
        <f>VALUE(SUBSTITUTE(MID($A19,D19+D$2+1,E19-D19-D$2-1),",","."))</f>
        <v>0</v>
      </c>
      <c r="X19" s="4">
        <f>VALUE(SUBSTITUTE(MID($A19,E19+E$2+1,F19-E19-E$2-1),",","."))</f>
        <v>0.90957602214449496</v>
      </c>
      <c r="Y19" s="4">
        <f>VALUE(SUBSTITUTE(MID($A19,F19+F$2+1,G19-F19-F$2-1),",","."))</f>
        <v>0</v>
      </c>
      <c r="Z19" s="3">
        <f>VALUE(SUBSTITUTE(MID($A19,G19+G$2+1,H19-G19-G$2-1),",","."))</f>
        <v>0</v>
      </c>
      <c r="AA19" s="3">
        <f>VALUE(SUBSTITUTE(MID($A19,H19+H$2+1,I19-H19-H$2-1),",","."))</f>
        <v>0</v>
      </c>
      <c r="AB19" s="3">
        <f>VALUE(SUBSTITUTE(MID($A19,I19+I$2+1,J19-I19-I$2-1),",","."))</f>
        <v>0</v>
      </c>
      <c r="AC19" s="3">
        <f>VALUE(SUBSTITUTE(MID($A19,J19+J$2+1,K19-J19-J$2-1),",","."))</f>
        <v>0.8</v>
      </c>
      <c r="AD19" s="3">
        <f>VALUE(SUBSTITUTE(MID($A19,K19+K$2+1,L19-K19-K$2-1),",","."))</f>
        <v>11.34</v>
      </c>
      <c r="AE19" s="3">
        <f>VALUE(SUBSTITUTE(MID($A19,L19+L$2+1,M19-L19-L$2-1),",","."))</f>
        <v>0</v>
      </c>
      <c r="AF19" s="3">
        <f>VALUE(SUBSTITUTE(MID($A19,M19+M$2+1,N19-M19-M$2-1),",","."))</f>
        <v>0</v>
      </c>
      <c r="AG19" s="3">
        <f>VALUE(SUBSTITUTE(MID($A19,N19+N$2+1,O19-N19-N$2-1),",","."))</f>
        <v>4.2039170628877596</v>
      </c>
      <c r="AH19" t="str">
        <f>MID($A19,O19+O$2+1,P19-O19-O$2-1)</f>
        <v/>
      </c>
      <c r="AI19" s="8" t="str">
        <f>MID($A19,P19+P$2+1,Q19-P19-P$2-1)</f>
        <v>False</v>
      </c>
      <c r="AK19" t="b">
        <f t="shared" si="8"/>
        <v>0</v>
      </c>
    </row>
    <row r="20" spans="1:37" x14ac:dyDescent="0.35">
      <c r="A20" t="s">
        <v>4567</v>
      </c>
      <c r="B20">
        <f t="shared" si="6"/>
        <v>10</v>
      </c>
      <c r="C20">
        <f t="shared" si="6"/>
        <v>43</v>
      </c>
      <c r="D20">
        <f t="shared" si="6"/>
        <v>54</v>
      </c>
      <c r="E20">
        <f t="shared" si="6"/>
        <v>80</v>
      </c>
      <c r="F20">
        <f t="shared" si="6"/>
        <v>124</v>
      </c>
      <c r="G20">
        <f t="shared" si="6"/>
        <v>145</v>
      </c>
      <c r="H20">
        <f t="shared" si="6"/>
        <v>177</v>
      </c>
      <c r="I20">
        <f t="shared" si="6"/>
        <v>199</v>
      </c>
      <c r="J20">
        <f t="shared" si="6"/>
        <v>232</v>
      </c>
      <c r="K20">
        <f t="shared" si="6"/>
        <v>252</v>
      </c>
      <c r="L20">
        <f t="shared" si="6"/>
        <v>283</v>
      </c>
      <c r="M20">
        <f t="shared" si="6"/>
        <v>298</v>
      </c>
      <c r="N20">
        <f t="shared" si="9"/>
        <v>310</v>
      </c>
      <c r="O20">
        <f t="shared" si="9"/>
        <v>335</v>
      </c>
      <c r="P20">
        <f t="shared" si="9"/>
        <v>353</v>
      </c>
      <c r="Q20">
        <f t="shared" si="9"/>
        <v>379</v>
      </c>
      <c r="S20" t="str">
        <f t="shared" si="4"/>
        <v>26.11.2025</v>
      </c>
      <c r="T20" t="str">
        <f t="shared" si="5"/>
        <v>23:30:00</v>
      </c>
      <c r="U20" t="str">
        <f t="shared" si="7"/>
        <v>26.11.2025 23:30:00</v>
      </c>
      <c r="V20" s="9" t="str">
        <f>MID($A20,C20+C$2+1,D20-C20-C$2-1)</f>
        <v>0</v>
      </c>
      <c r="W20" s="4">
        <f>VALUE(SUBSTITUTE(MID($A20,D20+D$2+1,E20-D20-D$2-1),",","."))</f>
        <v>0</v>
      </c>
      <c r="X20" s="4">
        <f>VALUE(SUBSTITUTE(MID($A20,E20+E$2+1,F20-E20-E$2-1),",","."))</f>
        <v>0.90957602214449496</v>
      </c>
      <c r="Y20" s="4">
        <f>VALUE(SUBSTITUTE(MID($A20,F20+F$2+1,G20-F20-F$2-1),",","."))</f>
        <v>0</v>
      </c>
      <c r="Z20" s="3">
        <f>VALUE(SUBSTITUTE(MID($A20,G20+G$2+1,H20-G20-G$2-1),",","."))</f>
        <v>0</v>
      </c>
      <c r="AA20" s="3">
        <f>VALUE(SUBSTITUTE(MID($A20,H20+H$2+1,I20-H20-H$2-1),",","."))</f>
        <v>0</v>
      </c>
      <c r="AB20" s="3">
        <f>VALUE(SUBSTITUTE(MID($A20,I20+I$2+1,J20-I20-I$2-1),",","."))</f>
        <v>0</v>
      </c>
      <c r="AC20" s="3">
        <f>VALUE(SUBSTITUTE(MID($A20,J20+J$2+1,K20-J20-J$2-1),",","."))</f>
        <v>0.75</v>
      </c>
      <c r="AD20" s="3">
        <f>VALUE(SUBSTITUTE(MID($A20,K20+K$2+1,L20-K20-K$2-1),",","."))</f>
        <v>9.5399999999999991</v>
      </c>
      <c r="AE20" s="3">
        <f>VALUE(SUBSTITUTE(MID($A20,L20+L$2+1,M20-L20-L$2-1),",","."))</f>
        <v>0</v>
      </c>
      <c r="AF20" s="3">
        <f>VALUE(SUBSTITUTE(MID($A20,M20+M$2+1,N20-M20-M$2-1),",","."))</f>
        <v>0</v>
      </c>
      <c r="AG20" s="3">
        <f>VALUE(SUBSTITUTE(MID($A20,N20+N$2+1,O20-N20-N$2-1),",","."))</f>
        <v>4.2039455827758401</v>
      </c>
      <c r="AH20" t="str">
        <f>MID($A20,O20+O$2+1,P20-O20-O$2-1)</f>
        <v/>
      </c>
      <c r="AI20" s="8" t="str">
        <f>MID($A20,P20+P$2+1,Q20-P20-P$2-1)</f>
        <v>False</v>
      </c>
      <c r="AK20" t="b">
        <f t="shared" si="8"/>
        <v>0</v>
      </c>
    </row>
    <row r="21" spans="1:37" x14ac:dyDescent="0.35">
      <c r="A21" t="s">
        <v>4568</v>
      </c>
      <c r="B21">
        <f t="shared" si="6"/>
        <v>10</v>
      </c>
      <c r="C21">
        <f t="shared" si="6"/>
        <v>43</v>
      </c>
      <c r="D21">
        <f t="shared" si="6"/>
        <v>54</v>
      </c>
      <c r="E21">
        <f t="shared" si="6"/>
        <v>80</v>
      </c>
      <c r="F21">
        <f t="shared" si="6"/>
        <v>124</v>
      </c>
      <c r="G21">
        <f t="shared" si="6"/>
        <v>145</v>
      </c>
      <c r="H21">
        <f t="shared" si="6"/>
        <v>177</v>
      </c>
      <c r="I21">
        <f t="shared" si="6"/>
        <v>199</v>
      </c>
      <c r="J21">
        <f t="shared" si="6"/>
        <v>232</v>
      </c>
      <c r="K21">
        <f t="shared" si="6"/>
        <v>252</v>
      </c>
      <c r="L21">
        <f t="shared" si="6"/>
        <v>267</v>
      </c>
      <c r="M21">
        <f t="shared" si="6"/>
        <v>282</v>
      </c>
      <c r="N21">
        <f t="shared" si="9"/>
        <v>294</v>
      </c>
      <c r="O21">
        <f t="shared" si="9"/>
        <v>318</v>
      </c>
      <c r="P21">
        <f t="shared" si="9"/>
        <v>336</v>
      </c>
      <c r="Q21">
        <f t="shared" si="9"/>
        <v>362</v>
      </c>
      <c r="S21" t="str">
        <f t="shared" si="4"/>
        <v>26.11.2025</v>
      </c>
      <c r="T21" t="str">
        <f t="shared" si="5"/>
        <v>23:45:00</v>
      </c>
      <c r="U21" t="str">
        <f t="shared" si="7"/>
        <v>26.11.2025 23:45:00</v>
      </c>
      <c r="V21" s="9" t="str">
        <f>MID($A21,C21+C$2+1,D21-C21-C$2-1)</f>
        <v>0</v>
      </c>
      <c r="W21" s="4">
        <f>VALUE(SUBSTITUTE(MID($A21,D21+D$2+1,E21-D21-D$2-1),",","."))</f>
        <v>0</v>
      </c>
      <c r="X21" s="4">
        <f>VALUE(SUBSTITUTE(MID($A21,E21+E$2+1,F21-E21-E$2-1),",","."))</f>
        <v>0.90957602214449496</v>
      </c>
      <c r="Y21" s="4">
        <f>VALUE(SUBSTITUTE(MID($A21,F21+F$2+1,G21-F21-F$2-1),",","."))</f>
        <v>0</v>
      </c>
      <c r="Z21" s="3">
        <f>VALUE(SUBSTITUTE(MID($A21,G21+G$2+1,H21-G21-G$2-1),",","."))</f>
        <v>0</v>
      </c>
      <c r="AA21" s="3">
        <f>VALUE(SUBSTITUTE(MID($A21,H21+H$2+1,I21-H21-H$2-1),",","."))</f>
        <v>0</v>
      </c>
      <c r="AB21" s="3">
        <f>VALUE(SUBSTITUTE(MID($A21,I21+I$2+1,J21-I21-I$2-1),",","."))</f>
        <v>0</v>
      </c>
      <c r="AC21" s="3">
        <f>VALUE(SUBSTITUTE(MID($A21,J21+J$2+1,K21-J21-J$2-1),",","."))</f>
        <v>0.75</v>
      </c>
      <c r="AD21" s="3">
        <f>VALUE(SUBSTITUTE(MID($A21,K21+K$2+1,L21-K21-K$2-1),",","."))</f>
        <v>9</v>
      </c>
      <c r="AE21" s="3">
        <f>VALUE(SUBSTITUTE(MID($A21,L21+L$2+1,M21-L21-L$2-1),",","."))</f>
        <v>0</v>
      </c>
      <c r="AF21" s="3">
        <f>VALUE(SUBSTITUTE(MID($A21,M21+M$2+1,N21-M21-M$2-1),",","."))</f>
        <v>0</v>
      </c>
      <c r="AG21" s="3">
        <f>VALUE(SUBSTITUTE(MID($A21,N21+N$2+1,O21-N21-N$2-1),",","."))</f>
        <v>4.2039741026639303</v>
      </c>
      <c r="AH21" t="str">
        <f>MID($A21,O21+O$2+1,P21-O21-O$2-1)</f>
        <v/>
      </c>
      <c r="AI21" s="8" t="str">
        <f>MID($A21,P21+P$2+1,Q21-P21-P$2-1)</f>
        <v>False</v>
      </c>
      <c r="AK21" t="b">
        <f t="shared" si="8"/>
        <v>0</v>
      </c>
    </row>
    <row r="22" spans="1:37" x14ac:dyDescent="0.35">
      <c r="A22" t="s">
        <v>4569</v>
      </c>
      <c r="B22">
        <f t="shared" si="6"/>
        <v>10</v>
      </c>
      <c r="C22">
        <f t="shared" si="6"/>
        <v>43</v>
      </c>
      <c r="D22">
        <f t="shared" si="6"/>
        <v>54</v>
      </c>
      <c r="E22">
        <f t="shared" si="6"/>
        <v>80</v>
      </c>
      <c r="F22">
        <f t="shared" si="6"/>
        <v>124</v>
      </c>
      <c r="G22">
        <f t="shared" si="6"/>
        <v>145</v>
      </c>
      <c r="H22">
        <f t="shared" si="6"/>
        <v>177</v>
      </c>
      <c r="I22">
        <f t="shared" si="6"/>
        <v>199</v>
      </c>
      <c r="J22">
        <f t="shared" si="6"/>
        <v>232</v>
      </c>
      <c r="K22">
        <f t="shared" si="6"/>
        <v>251</v>
      </c>
      <c r="L22">
        <f t="shared" si="6"/>
        <v>282</v>
      </c>
      <c r="M22">
        <f t="shared" si="6"/>
        <v>297</v>
      </c>
      <c r="N22">
        <f t="shared" si="9"/>
        <v>309</v>
      </c>
      <c r="O22">
        <f t="shared" si="9"/>
        <v>334</v>
      </c>
      <c r="P22">
        <f t="shared" si="9"/>
        <v>352</v>
      </c>
      <c r="Q22">
        <f t="shared" si="9"/>
        <v>378</v>
      </c>
      <c r="S22" t="str">
        <f t="shared" si="4"/>
        <v>27.11.2025</v>
      </c>
      <c r="T22" t="str">
        <f t="shared" si="5"/>
        <v>00:00:00</v>
      </c>
      <c r="U22" t="str">
        <f t="shared" si="7"/>
        <v>27.11.2025 00:00:00</v>
      </c>
      <c r="V22" s="9" t="str">
        <f>MID($A22,C22+C$2+1,D22-C22-C$2-1)</f>
        <v>0</v>
      </c>
      <c r="W22" s="4">
        <f>VALUE(SUBSTITUTE(MID($A22,D22+D$2+1,E22-D22-D$2-1),",","."))</f>
        <v>0</v>
      </c>
      <c r="X22" s="4">
        <f>VALUE(SUBSTITUTE(MID($A22,E22+E$2+1,F22-E22-E$2-1),",","."))</f>
        <v>0.90957602214449496</v>
      </c>
      <c r="Y22" s="4">
        <f>VALUE(SUBSTITUTE(MID($A22,F22+F$2+1,G22-F22-F$2-1),",","."))</f>
        <v>0</v>
      </c>
      <c r="Z22" s="3">
        <f>VALUE(SUBSTITUTE(MID($A22,G22+G$2+1,H22-G22-G$2-1),",","."))</f>
        <v>0</v>
      </c>
      <c r="AA22" s="3">
        <f>VALUE(SUBSTITUTE(MID($A22,H22+H$2+1,I22-H22-H$2-1),",","."))</f>
        <v>0</v>
      </c>
      <c r="AB22" s="3">
        <f>VALUE(SUBSTITUTE(MID($A22,I22+I$2+1,J22-I22-I$2-1),",","."))</f>
        <v>0</v>
      </c>
      <c r="AC22" s="3">
        <f>VALUE(SUBSTITUTE(MID($A22,J22+J$2+1,K22-J22-J$2-1),",","."))</f>
        <v>0.7</v>
      </c>
      <c r="AD22" s="3">
        <f>VALUE(SUBSTITUTE(MID($A22,K22+K$2+1,L22-K22-K$2-1),",","."))</f>
        <v>7.92</v>
      </c>
      <c r="AE22" s="3">
        <f>VALUE(SUBSTITUTE(MID($A22,L22+L$2+1,M22-L22-L$2-1),",","."))</f>
        <v>0</v>
      </c>
      <c r="AF22" s="3">
        <f>VALUE(SUBSTITUTE(MID($A22,M22+M$2+1,N22-M22-M$2-1),",","."))</f>
        <v>0</v>
      </c>
      <c r="AG22" s="3">
        <f>VALUE(SUBSTITUTE(MID($A22,N22+N$2+1,O22-N22-N$2-1),",","."))</f>
        <v>4.20400262255201</v>
      </c>
      <c r="AH22" t="str">
        <f>MID($A22,O22+O$2+1,P22-O22-O$2-1)</f>
        <v/>
      </c>
      <c r="AI22" s="8" t="str">
        <f>MID($A22,P22+P$2+1,Q22-P22-P$2-1)</f>
        <v>False</v>
      </c>
      <c r="AK22" t="b">
        <f t="shared" si="8"/>
        <v>0</v>
      </c>
    </row>
    <row r="23" spans="1:37" x14ac:dyDescent="0.35">
      <c r="A23" t="s">
        <v>4570</v>
      </c>
      <c r="B23">
        <f t="shared" si="6"/>
        <v>10</v>
      </c>
      <c r="C23">
        <f t="shared" si="6"/>
        <v>43</v>
      </c>
      <c r="D23">
        <f t="shared" si="6"/>
        <v>54</v>
      </c>
      <c r="E23">
        <f t="shared" si="6"/>
        <v>80</v>
      </c>
      <c r="F23">
        <f t="shared" si="6"/>
        <v>124</v>
      </c>
      <c r="G23">
        <f t="shared" si="6"/>
        <v>145</v>
      </c>
      <c r="H23">
        <f t="shared" si="6"/>
        <v>177</v>
      </c>
      <c r="I23">
        <f t="shared" si="6"/>
        <v>199</v>
      </c>
      <c r="J23">
        <f t="shared" si="6"/>
        <v>232</v>
      </c>
      <c r="K23">
        <f t="shared" si="6"/>
        <v>251</v>
      </c>
      <c r="L23">
        <f t="shared" si="6"/>
        <v>269</v>
      </c>
      <c r="M23">
        <f t="shared" si="6"/>
        <v>284</v>
      </c>
      <c r="N23">
        <f t="shared" si="9"/>
        <v>296</v>
      </c>
      <c r="O23">
        <f t="shared" si="9"/>
        <v>321</v>
      </c>
      <c r="P23">
        <f t="shared" si="9"/>
        <v>339</v>
      </c>
      <c r="Q23">
        <f t="shared" si="9"/>
        <v>365</v>
      </c>
      <c r="S23" t="str">
        <f t="shared" si="4"/>
        <v>27.11.2025</v>
      </c>
      <c r="T23" t="str">
        <f t="shared" si="5"/>
        <v>00:15:00</v>
      </c>
      <c r="U23" t="str">
        <f t="shared" si="7"/>
        <v>27.11.2025 00:15:00</v>
      </c>
      <c r="V23" s="9" t="str">
        <f>MID($A23,C23+C$2+1,D23-C23-C$2-1)</f>
        <v>0</v>
      </c>
      <c r="W23" s="4">
        <f>VALUE(SUBSTITUTE(MID($A23,D23+D$2+1,E23-D23-D$2-1),",","."))</f>
        <v>0</v>
      </c>
      <c r="X23" s="4">
        <f>VALUE(SUBSTITUTE(MID($A23,E23+E$2+1,F23-E23-E$2-1),",","."))</f>
        <v>0.90957602214449496</v>
      </c>
      <c r="Y23" s="4">
        <f>VALUE(SUBSTITUTE(MID($A23,F23+F$2+1,G23-F23-F$2-1),",","."))</f>
        <v>0</v>
      </c>
      <c r="Z23" s="3">
        <f>VALUE(SUBSTITUTE(MID($A23,G23+G$2+1,H23-G23-G$2-1),",","."))</f>
        <v>0</v>
      </c>
      <c r="AA23" s="3">
        <f>VALUE(SUBSTITUTE(MID($A23,H23+H$2+1,I23-H23-H$2-1),",","."))</f>
        <v>0</v>
      </c>
      <c r="AB23" s="3">
        <f>VALUE(SUBSTITUTE(MID($A23,I23+I$2+1,J23-I23-I$2-1),",","."))</f>
        <v>0</v>
      </c>
      <c r="AC23" s="3">
        <f>VALUE(SUBSTITUTE(MID($A23,J23+J$2+1,K23-J23-J$2-1),",","."))</f>
        <v>0.6</v>
      </c>
      <c r="AD23" s="3">
        <f>VALUE(SUBSTITUTE(MID($A23,K23+K$2+1,L23-K23-K$2-1),",","."))</f>
        <v>6.84</v>
      </c>
      <c r="AE23" s="3">
        <f>VALUE(SUBSTITUTE(MID($A23,L23+L$2+1,M23-L23-L$2-1),",","."))</f>
        <v>0</v>
      </c>
      <c r="AF23" s="3">
        <f>VALUE(SUBSTITUTE(MID($A23,M23+M$2+1,N23-M23-M$2-1),",","."))</f>
        <v>0</v>
      </c>
      <c r="AG23" s="3">
        <f>VALUE(SUBSTITUTE(MID($A23,N23+N$2+1,O23-N23-N$2-1),",","."))</f>
        <v>4.2040311424400896</v>
      </c>
      <c r="AH23" t="str">
        <f>MID($A23,O23+O$2+1,P23-O23-O$2-1)</f>
        <v/>
      </c>
      <c r="AI23" s="8" t="str">
        <f>MID($A23,P23+P$2+1,Q23-P23-P$2-1)</f>
        <v>False</v>
      </c>
      <c r="AK23" t="b">
        <f t="shared" si="8"/>
        <v>0</v>
      </c>
    </row>
    <row r="24" spans="1:37" x14ac:dyDescent="0.35">
      <c r="A24" t="s">
        <v>4571</v>
      </c>
      <c r="B24">
        <f t="shared" si="6"/>
        <v>10</v>
      </c>
      <c r="C24">
        <f t="shared" si="6"/>
        <v>43</v>
      </c>
      <c r="D24">
        <f t="shared" si="6"/>
        <v>54</v>
      </c>
      <c r="E24">
        <f t="shared" si="6"/>
        <v>80</v>
      </c>
      <c r="F24">
        <f t="shared" si="6"/>
        <v>124</v>
      </c>
      <c r="G24">
        <f t="shared" si="6"/>
        <v>145</v>
      </c>
      <c r="H24">
        <f t="shared" si="6"/>
        <v>177</v>
      </c>
      <c r="I24">
        <f t="shared" si="6"/>
        <v>199</v>
      </c>
      <c r="J24">
        <f t="shared" si="6"/>
        <v>232</v>
      </c>
      <c r="K24">
        <f t="shared" si="6"/>
        <v>252</v>
      </c>
      <c r="L24">
        <f t="shared" si="6"/>
        <v>283</v>
      </c>
      <c r="M24">
        <f t="shared" si="6"/>
        <v>298</v>
      </c>
      <c r="N24">
        <f t="shared" si="9"/>
        <v>310</v>
      </c>
      <c r="O24">
        <f t="shared" si="9"/>
        <v>335</v>
      </c>
      <c r="P24">
        <f t="shared" si="9"/>
        <v>353</v>
      </c>
      <c r="Q24">
        <f t="shared" si="9"/>
        <v>379</v>
      </c>
      <c r="S24" t="str">
        <f t="shared" si="4"/>
        <v>27.11.2025</v>
      </c>
      <c r="T24" t="str">
        <f t="shared" si="5"/>
        <v>00:30:00</v>
      </c>
      <c r="U24" t="str">
        <f t="shared" si="7"/>
        <v>27.11.2025 00:30:00</v>
      </c>
      <c r="V24" s="9" t="str">
        <f>MID($A24,C24+C$2+1,D24-C24-C$2-1)</f>
        <v>0</v>
      </c>
      <c r="W24" s="4">
        <f>VALUE(SUBSTITUTE(MID($A24,D24+D$2+1,E24-D24-D$2-1),",","."))</f>
        <v>0</v>
      </c>
      <c r="X24" s="4">
        <f>VALUE(SUBSTITUTE(MID($A24,E24+E$2+1,F24-E24-E$2-1),",","."))</f>
        <v>0.90957602214449496</v>
      </c>
      <c r="Y24" s="4">
        <f>VALUE(SUBSTITUTE(MID($A24,F24+F$2+1,G24-F24-F$2-1),",","."))</f>
        <v>0</v>
      </c>
      <c r="Z24" s="3">
        <f>VALUE(SUBSTITUTE(MID($A24,G24+G$2+1,H24-G24-G$2-1),",","."))</f>
        <v>0</v>
      </c>
      <c r="AA24" s="3">
        <f>VALUE(SUBSTITUTE(MID($A24,H24+H$2+1,I24-H24-H$2-1),",","."))</f>
        <v>0</v>
      </c>
      <c r="AB24" s="3">
        <f>VALUE(SUBSTITUTE(MID($A24,I24+I$2+1,J24-I24-I$2-1),",","."))</f>
        <v>0</v>
      </c>
      <c r="AC24" s="3">
        <f>VALUE(SUBSTITUTE(MID($A24,J24+J$2+1,K24-J24-J$2-1),",","."))</f>
        <v>0.55000000000000004</v>
      </c>
      <c r="AD24" s="3">
        <f>VALUE(SUBSTITUTE(MID($A24,K24+K$2+1,L24-K24-K$2-1),",","."))</f>
        <v>5.76</v>
      </c>
      <c r="AE24" s="3">
        <f>VALUE(SUBSTITUTE(MID($A24,L24+L$2+1,M24-L24-L$2-1),",","."))</f>
        <v>0</v>
      </c>
      <c r="AF24" s="3">
        <f>VALUE(SUBSTITUTE(MID($A24,M24+M$2+1,N24-M24-M$2-1),",","."))</f>
        <v>0</v>
      </c>
      <c r="AG24" s="3">
        <f>VALUE(SUBSTITUTE(MID($A24,N24+N$2+1,O24-N24-N$2-1),",","."))</f>
        <v>4.2040596623281701</v>
      </c>
      <c r="AH24" t="str">
        <f>MID($A24,O24+O$2+1,P24-O24-O$2-1)</f>
        <v/>
      </c>
      <c r="AI24" s="8" t="str">
        <f>MID($A24,P24+P$2+1,Q24-P24-P$2-1)</f>
        <v>False</v>
      </c>
      <c r="AK24" t="b">
        <f t="shared" si="8"/>
        <v>0</v>
      </c>
    </row>
    <row r="25" spans="1:37" x14ac:dyDescent="0.35">
      <c r="A25" t="s">
        <v>4572</v>
      </c>
      <c r="B25">
        <f t="shared" si="6"/>
        <v>10</v>
      </c>
      <c r="C25">
        <f t="shared" si="6"/>
        <v>43</v>
      </c>
      <c r="D25">
        <f t="shared" si="6"/>
        <v>54</v>
      </c>
      <c r="E25">
        <f t="shared" si="6"/>
        <v>80</v>
      </c>
      <c r="F25">
        <f t="shared" si="6"/>
        <v>124</v>
      </c>
      <c r="G25">
        <f t="shared" si="6"/>
        <v>145</v>
      </c>
      <c r="H25">
        <f t="shared" si="6"/>
        <v>177</v>
      </c>
      <c r="I25">
        <f t="shared" si="6"/>
        <v>199</v>
      </c>
      <c r="J25">
        <f t="shared" si="6"/>
        <v>232</v>
      </c>
      <c r="K25">
        <f t="shared" si="6"/>
        <v>252</v>
      </c>
      <c r="L25">
        <f t="shared" si="6"/>
        <v>283</v>
      </c>
      <c r="M25">
        <f t="shared" si="6"/>
        <v>298</v>
      </c>
      <c r="N25">
        <f t="shared" si="9"/>
        <v>310</v>
      </c>
      <c r="O25">
        <f t="shared" si="9"/>
        <v>335</v>
      </c>
      <c r="P25">
        <f t="shared" si="9"/>
        <v>353</v>
      </c>
      <c r="Q25">
        <f t="shared" si="9"/>
        <v>379</v>
      </c>
      <c r="S25" t="str">
        <f t="shared" si="4"/>
        <v>27.11.2025</v>
      </c>
      <c r="T25" t="str">
        <f t="shared" si="5"/>
        <v>00:45:00</v>
      </c>
      <c r="U25" t="str">
        <f t="shared" si="7"/>
        <v>27.11.2025 00:45:00</v>
      </c>
      <c r="V25" s="9" t="str">
        <f>MID($A25,C25+C$2+1,D25-C25-C$2-1)</f>
        <v>0</v>
      </c>
      <c r="W25" s="4">
        <f>VALUE(SUBSTITUTE(MID($A25,D25+D$2+1,E25-D25-D$2-1),",","."))</f>
        <v>0</v>
      </c>
      <c r="X25" s="4">
        <f>VALUE(SUBSTITUTE(MID($A25,E25+E$2+1,F25-E25-E$2-1),",","."))</f>
        <v>0.90957602214449496</v>
      </c>
      <c r="Y25" s="4">
        <f>VALUE(SUBSTITUTE(MID($A25,F25+F$2+1,G25-F25-F$2-1),",","."))</f>
        <v>0</v>
      </c>
      <c r="Z25" s="3">
        <f>VALUE(SUBSTITUTE(MID($A25,G25+G$2+1,H25-G25-G$2-1),",","."))</f>
        <v>0</v>
      </c>
      <c r="AA25" s="3">
        <f>VALUE(SUBSTITUTE(MID($A25,H25+H$2+1,I25-H25-H$2-1),",","."))</f>
        <v>0</v>
      </c>
      <c r="AB25" s="3">
        <f>VALUE(SUBSTITUTE(MID($A25,I25+I$2+1,J25-I25-I$2-1),",","."))</f>
        <v>0</v>
      </c>
      <c r="AC25" s="3">
        <f>VALUE(SUBSTITUTE(MID($A25,J25+J$2+1,K25-J25-J$2-1),",","."))</f>
        <v>0.55000000000000004</v>
      </c>
      <c r="AD25" s="3">
        <f>VALUE(SUBSTITUTE(MID($A25,K25+K$2+1,L25-K25-K$2-1),",","."))</f>
        <v>5.04</v>
      </c>
      <c r="AE25" s="3">
        <f>VALUE(SUBSTITUTE(MID($A25,L25+L$2+1,M25-L25-L$2-1),",","."))</f>
        <v>0</v>
      </c>
      <c r="AF25" s="3">
        <f>VALUE(SUBSTITUTE(MID($A25,M25+M$2+1,N25-M25-M$2-1),",","."))</f>
        <v>0</v>
      </c>
      <c r="AG25" s="3">
        <f>VALUE(SUBSTITUTE(MID($A25,N25+N$2+1,O25-N25-N$2-1),",","."))</f>
        <v>4.2040881822162497</v>
      </c>
      <c r="AH25" t="str">
        <f>MID($A25,O25+O$2+1,P25-O25-O$2-1)</f>
        <v/>
      </c>
      <c r="AI25" s="8" t="str">
        <f>MID($A25,P25+P$2+1,Q25-P25-P$2-1)</f>
        <v>False</v>
      </c>
      <c r="AK25" t="b">
        <f t="shared" si="8"/>
        <v>0</v>
      </c>
    </row>
    <row r="26" spans="1:37" x14ac:dyDescent="0.35">
      <c r="A26" t="s">
        <v>4573</v>
      </c>
      <c r="B26">
        <f t="shared" si="6"/>
        <v>10</v>
      </c>
      <c r="C26">
        <f t="shared" si="6"/>
        <v>43</v>
      </c>
      <c r="D26">
        <f t="shared" si="6"/>
        <v>54</v>
      </c>
      <c r="E26">
        <f t="shared" si="6"/>
        <v>80</v>
      </c>
      <c r="F26">
        <f t="shared" si="6"/>
        <v>124</v>
      </c>
      <c r="G26">
        <f t="shared" si="6"/>
        <v>145</v>
      </c>
      <c r="H26">
        <f t="shared" si="6"/>
        <v>177</v>
      </c>
      <c r="I26">
        <f t="shared" si="6"/>
        <v>199</v>
      </c>
      <c r="J26">
        <f t="shared" si="6"/>
        <v>232</v>
      </c>
      <c r="K26">
        <f t="shared" si="6"/>
        <v>252</v>
      </c>
      <c r="L26">
        <f t="shared" si="6"/>
        <v>270</v>
      </c>
      <c r="M26">
        <f t="shared" si="6"/>
        <v>285</v>
      </c>
      <c r="N26">
        <f t="shared" si="9"/>
        <v>297</v>
      </c>
      <c r="O26">
        <f t="shared" si="9"/>
        <v>322</v>
      </c>
      <c r="P26">
        <f t="shared" si="9"/>
        <v>340</v>
      </c>
      <c r="Q26">
        <f t="shared" si="9"/>
        <v>366</v>
      </c>
      <c r="S26" t="str">
        <f t="shared" si="4"/>
        <v>27.11.2025</v>
      </c>
      <c r="T26" t="str">
        <f t="shared" si="5"/>
        <v>01:00:00</v>
      </c>
      <c r="U26" t="str">
        <f t="shared" si="7"/>
        <v>27.11.2025 01:00:00</v>
      </c>
      <c r="V26" s="9" t="str">
        <f>MID($A26,C26+C$2+1,D26-C26-C$2-1)</f>
        <v>0</v>
      </c>
      <c r="W26" s="4">
        <f>VALUE(SUBSTITUTE(MID($A26,D26+D$2+1,E26-D26-D$2-1),",","."))</f>
        <v>0</v>
      </c>
      <c r="X26" s="4">
        <f>VALUE(SUBSTITUTE(MID($A26,E26+E$2+1,F26-E26-E$2-1),",","."))</f>
        <v>0.90957602214449496</v>
      </c>
      <c r="Y26" s="4">
        <f>VALUE(SUBSTITUTE(MID($A26,F26+F$2+1,G26-F26-F$2-1),",","."))</f>
        <v>0</v>
      </c>
      <c r="Z26" s="3">
        <f>VALUE(SUBSTITUTE(MID($A26,G26+G$2+1,H26-G26-G$2-1),",","."))</f>
        <v>0</v>
      </c>
      <c r="AA26" s="3">
        <f>VALUE(SUBSTITUTE(MID($A26,H26+H$2+1,I26-H26-H$2-1),",","."))</f>
        <v>0</v>
      </c>
      <c r="AB26" s="3">
        <f>VALUE(SUBSTITUTE(MID($A26,I26+I$2+1,J26-I26-I$2-1),",","."))</f>
        <v>0</v>
      </c>
      <c r="AC26" s="3">
        <f>VALUE(SUBSTITUTE(MID($A26,J26+J$2+1,K26-J26-J$2-1),",","."))</f>
        <v>0.55000000000000004</v>
      </c>
      <c r="AD26" s="3">
        <f>VALUE(SUBSTITUTE(MID($A26,K26+K$2+1,L26-K26-K$2-1),",","."))</f>
        <v>3.96</v>
      </c>
      <c r="AE26" s="3">
        <f>VALUE(SUBSTITUTE(MID($A26,L26+L$2+1,M26-L26-L$2-1),",","."))</f>
        <v>0</v>
      </c>
      <c r="AF26" s="3">
        <f>VALUE(SUBSTITUTE(MID($A26,M26+M$2+1,N26-M26-M$2-1),",","."))</f>
        <v>0</v>
      </c>
      <c r="AG26" s="3">
        <f>VALUE(SUBSTITUTE(MID($A26,N26+N$2+1,O26-N26-N$2-1),",","."))</f>
        <v>4.2041167021043302</v>
      </c>
      <c r="AH26" t="str">
        <f>MID($A26,O26+O$2+1,P26-O26-O$2-1)</f>
        <v/>
      </c>
      <c r="AI26" s="8" t="str">
        <f>MID($A26,P26+P$2+1,Q26-P26-P$2-1)</f>
        <v>False</v>
      </c>
      <c r="AK26" t="b">
        <f t="shared" si="8"/>
        <v>0</v>
      </c>
    </row>
    <row r="27" spans="1:37" x14ac:dyDescent="0.35">
      <c r="A27" t="s">
        <v>4574</v>
      </c>
      <c r="B27">
        <f t="shared" si="6"/>
        <v>10</v>
      </c>
      <c r="C27">
        <f t="shared" si="6"/>
        <v>43</v>
      </c>
      <c r="D27">
        <f t="shared" si="6"/>
        <v>54</v>
      </c>
      <c r="E27">
        <f t="shared" si="6"/>
        <v>80</v>
      </c>
      <c r="F27">
        <f t="shared" si="6"/>
        <v>124</v>
      </c>
      <c r="G27">
        <f t="shared" si="6"/>
        <v>145</v>
      </c>
      <c r="H27">
        <f t="shared" si="6"/>
        <v>177</v>
      </c>
      <c r="I27">
        <f t="shared" si="6"/>
        <v>199</v>
      </c>
      <c r="J27">
        <f t="shared" si="6"/>
        <v>232</v>
      </c>
      <c r="K27">
        <f t="shared" si="6"/>
        <v>252</v>
      </c>
      <c r="L27">
        <f t="shared" si="6"/>
        <v>284</v>
      </c>
      <c r="M27">
        <f t="shared" si="6"/>
        <v>299</v>
      </c>
      <c r="N27">
        <f t="shared" si="9"/>
        <v>311</v>
      </c>
      <c r="O27">
        <f t="shared" si="9"/>
        <v>337</v>
      </c>
      <c r="P27">
        <f t="shared" si="9"/>
        <v>355</v>
      </c>
      <c r="Q27">
        <f t="shared" si="9"/>
        <v>381</v>
      </c>
      <c r="S27" t="str">
        <f t="shared" si="4"/>
        <v>27.11.2025</v>
      </c>
      <c r="T27" t="str">
        <f t="shared" si="5"/>
        <v>01:15:00</v>
      </c>
      <c r="U27" t="str">
        <f t="shared" si="7"/>
        <v>27.11.2025 01:15:00</v>
      </c>
      <c r="V27" s="9" t="str">
        <f>MID($A27,C27+C$2+1,D27-C27-C$2-1)</f>
        <v>0</v>
      </c>
      <c r="W27" s="4">
        <f>VALUE(SUBSTITUTE(MID($A27,D27+D$2+1,E27-D27-D$2-1),",","."))</f>
        <v>0</v>
      </c>
      <c r="X27" s="4">
        <f>VALUE(SUBSTITUTE(MID($A27,E27+E$2+1,F27-E27-E$2-1),",","."))</f>
        <v>0.90957602214449496</v>
      </c>
      <c r="Y27" s="4">
        <f>VALUE(SUBSTITUTE(MID($A27,F27+F$2+1,G27-F27-F$2-1),",","."))</f>
        <v>0</v>
      </c>
      <c r="Z27" s="3">
        <f>VALUE(SUBSTITUTE(MID($A27,G27+G$2+1,H27-G27-G$2-1),",","."))</f>
        <v>0</v>
      </c>
      <c r="AA27" s="3">
        <f>VALUE(SUBSTITUTE(MID($A27,H27+H$2+1,I27-H27-H$2-1),",","."))</f>
        <v>0</v>
      </c>
      <c r="AB27" s="3">
        <f>VALUE(SUBSTITUTE(MID($A27,I27+I$2+1,J27-I27-I$2-1),",","."))</f>
        <v>0</v>
      </c>
      <c r="AC27" s="3">
        <f>VALUE(SUBSTITUTE(MID($A27,J27+J$2+1,K27-J27-J$2-1),",","."))</f>
        <v>0.45</v>
      </c>
      <c r="AD27" s="3">
        <f>VALUE(SUBSTITUTE(MID($A27,K27+K$2+1,L27-K27-K$2-1),",","."))</f>
        <v>3.42</v>
      </c>
      <c r="AE27" s="3">
        <f>VALUE(SUBSTITUTE(MID($A27,L27+L$2+1,M27-L27-L$2-1),",","."))</f>
        <v>0</v>
      </c>
      <c r="AF27" s="3">
        <f>VALUE(SUBSTITUTE(MID($A27,M27+M$2+1,N27-M27-M$2-1),",","."))</f>
        <v>0</v>
      </c>
      <c r="AG27" s="3">
        <f>VALUE(SUBSTITUTE(MID($A27,N27+N$2+1,O27-N27-N$2-1),",","."))</f>
        <v>4.2041452219924196</v>
      </c>
      <c r="AH27" t="str">
        <f>MID($A27,O27+O$2+1,P27-O27-O$2-1)</f>
        <v/>
      </c>
      <c r="AI27" s="8" t="str">
        <f>MID($A27,P27+P$2+1,Q27-P27-P$2-1)</f>
        <v>False</v>
      </c>
      <c r="AK27" t="b">
        <f t="shared" si="8"/>
        <v>0</v>
      </c>
    </row>
    <row r="28" spans="1:37" x14ac:dyDescent="0.35">
      <c r="A28" t="s">
        <v>4575</v>
      </c>
      <c r="B28">
        <f t="shared" si="6"/>
        <v>10</v>
      </c>
      <c r="C28">
        <f t="shared" si="6"/>
        <v>43</v>
      </c>
      <c r="D28">
        <f t="shared" si="6"/>
        <v>54</v>
      </c>
      <c r="E28">
        <f t="shared" si="6"/>
        <v>80</v>
      </c>
      <c r="F28">
        <f t="shared" si="6"/>
        <v>124</v>
      </c>
      <c r="G28">
        <f t="shared" si="6"/>
        <v>145</v>
      </c>
      <c r="H28">
        <f t="shared" si="6"/>
        <v>177</v>
      </c>
      <c r="I28">
        <f t="shared" si="6"/>
        <v>199</v>
      </c>
      <c r="J28">
        <f t="shared" si="6"/>
        <v>232</v>
      </c>
      <c r="K28">
        <f t="shared" si="6"/>
        <v>251</v>
      </c>
      <c r="L28">
        <f t="shared" si="6"/>
        <v>268</v>
      </c>
      <c r="M28">
        <f t="shared" si="6"/>
        <v>283</v>
      </c>
      <c r="N28">
        <f t="shared" si="9"/>
        <v>295</v>
      </c>
      <c r="O28">
        <f t="shared" si="9"/>
        <v>320</v>
      </c>
      <c r="P28">
        <f t="shared" si="9"/>
        <v>338</v>
      </c>
      <c r="Q28">
        <f t="shared" si="9"/>
        <v>364</v>
      </c>
      <c r="S28" t="str">
        <f t="shared" si="4"/>
        <v>27.11.2025</v>
      </c>
      <c r="T28" t="str">
        <f t="shared" si="5"/>
        <v>01:30:00</v>
      </c>
      <c r="U28" t="str">
        <f t="shared" si="7"/>
        <v>27.11.2025 01:30:00</v>
      </c>
      <c r="V28" s="9" t="str">
        <f>MID($A28,C28+C$2+1,D28-C28-C$2-1)</f>
        <v>0</v>
      </c>
      <c r="W28" s="4">
        <f>VALUE(SUBSTITUTE(MID($A28,D28+D$2+1,E28-D28-D$2-1),",","."))</f>
        <v>0</v>
      </c>
      <c r="X28" s="4">
        <f>VALUE(SUBSTITUTE(MID($A28,E28+E$2+1,F28-E28-E$2-1),",","."))</f>
        <v>0.90957602214449496</v>
      </c>
      <c r="Y28" s="4">
        <f>VALUE(SUBSTITUTE(MID($A28,F28+F$2+1,G28-F28-F$2-1),",","."))</f>
        <v>0</v>
      </c>
      <c r="Z28" s="3">
        <f>VALUE(SUBSTITUTE(MID($A28,G28+G$2+1,H28-G28-G$2-1),",","."))</f>
        <v>0</v>
      </c>
      <c r="AA28" s="3">
        <f>VALUE(SUBSTITUTE(MID($A28,H28+H$2+1,I28-H28-H$2-1),",","."))</f>
        <v>0</v>
      </c>
      <c r="AB28" s="3">
        <f>VALUE(SUBSTITUTE(MID($A28,I28+I$2+1,J28-I28-I$2-1),",","."))</f>
        <v>0</v>
      </c>
      <c r="AC28" s="3">
        <f>VALUE(SUBSTITUTE(MID($A28,J28+J$2+1,K28-J28-J$2-1),",","."))</f>
        <v>0.4</v>
      </c>
      <c r="AD28" s="3">
        <f>VALUE(SUBSTITUTE(MID($A28,K28+K$2+1,L28-K28-K$2-1),",","."))</f>
        <v>2.7</v>
      </c>
      <c r="AE28" s="3">
        <f>VALUE(SUBSTITUTE(MID($A28,L28+L$2+1,M28-L28-L$2-1),",","."))</f>
        <v>0</v>
      </c>
      <c r="AF28" s="3">
        <f>VALUE(SUBSTITUTE(MID($A28,M28+M$2+1,N28-M28-M$2-1),",","."))</f>
        <v>0</v>
      </c>
      <c r="AG28" s="3">
        <f>VALUE(SUBSTITUTE(MID($A28,N28+N$2+1,O28-N28-N$2-1),",","."))</f>
        <v>4.2041737418805001</v>
      </c>
      <c r="AH28" t="str">
        <f>MID($A28,O28+O$2+1,P28-O28-O$2-1)</f>
        <v/>
      </c>
      <c r="AI28" s="8" t="str">
        <f>MID($A28,P28+P$2+1,Q28-P28-P$2-1)</f>
        <v>False</v>
      </c>
      <c r="AK28" t="b">
        <f t="shared" si="8"/>
        <v>0</v>
      </c>
    </row>
    <row r="29" spans="1:37" x14ac:dyDescent="0.35">
      <c r="A29" t="s">
        <v>4576</v>
      </c>
      <c r="B29">
        <f t="shared" si="6"/>
        <v>10</v>
      </c>
      <c r="C29">
        <f t="shared" si="6"/>
        <v>43</v>
      </c>
      <c r="D29">
        <f t="shared" si="6"/>
        <v>54</v>
      </c>
      <c r="E29">
        <f t="shared" si="6"/>
        <v>80</v>
      </c>
      <c r="F29">
        <f t="shared" si="6"/>
        <v>124</v>
      </c>
      <c r="G29">
        <f t="shared" si="6"/>
        <v>145</v>
      </c>
      <c r="H29">
        <f t="shared" si="6"/>
        <v>177</v>
      </c>
      <c r="I29">
        <f t="shared" si="6"/>
        <v>199</v>
      </c>
      <c r="J29">
        <f t="shared" si="6"/>
        <v>232</v>
      </c>
      <c r="K29">
        <f t="shared" si="6"/>
        <v>251</v>
      </c>
      <c r="L29">
        <f t="shared" si="6"/>
        <v>283</v>
      </c>
      <c r="M29">
        <f t="shared" si="6"/>
        <v>298</v>
      </c>
      <c r="N29">
        <f t="shared" si="9"/>
        <v>310</v>
      </c>
      <c r="O29">
        <f t="shared" si="9"/>
        <v>335</v>
      </c>
      <c r="P29">
        <f t="shared" si="9"/>
        <v>353</v>
      </c>
      <c r="Q29">
        <f t="shared" si="9"/>
        <v>379</v>
      </c>
      <c r="S29" t="str">
        <f t="shared" si="4"/>
        <v>27.11.2025</v>
      </c>
      <c r="T29" t="str">
        <f t="shared" si="5"/>
        <v>01:45:00</v>
      </c>
      <c r="U29" t="str">
        <f t="shared" si="7"/>
        <v>27.11.2025 01:45:00</v>
      </c>
      <c r="V29" s="9" t="str">
        <f>MID($A29,C29+C$2+1,D29-C29-C$2-1)</f>
        <v>0</v>
      </c>
      <c r="W29" s="4">
        <f>VALUE(SUBSTITUTE(MID($A29,D29+D$2+1,E29-D29-D$2-1),",","."))</f>
        <v>0</v>
      </c>
      <c r="X29" s="4">
        <f>VALUE(SUBSTITUTE(MID($A29,E29+E$2+1,F29-E29-E$2-1),",","."))</f>
        <v>0.90957602214449496</v>
      </c>
      <c r="Y29" s="4">
        <f>VALUE(SUBSTITUTE(MID($A29,F29+F$2+1,G29-F29-F$2-1),",","."))</f>
        <v>0</v>
      </c>
      <c r="Z29" s="3">
        <f>VALUE(SUBSTITUTE(MID($A29,G29+G$2+1,H29-G29-G$2-1),",","."))</f>
        <v>0</v>
      </c>
      <c r="AA29" s="3">
        <f>VALUE(SUBSTITUTE(MID($A29,H29+H$2+1,I29-H29-H$2-1),",","."))</f>
        <v>0</v>
      </c>
      <c r="AB29" s="3">
        <f>VALUE(SUBSTITUTE(MID($A29,I29+I$2+1,J29-I29-I$2-1),",","."))</f>
        <v>0</v>
      </c>
      <c r="AC29" s="3">
        <f>VALUE(SUBSTITUTE(MID($A29,J29+J$2+1,K29-J29-J$2-1),",","."))</f>
        <v>0.4</v>
      </c>
      <c r="AD29" s="3">
        <f>VALUE(SUBSTITUTE(MID($A29,K29+K$2+1,L29-K29-K$2-1),",","."))</f>
        <v>2.88</v>
      </c>
      <c r="AE29" s="3">
        <f>VALUE(SUBSTITUTE(MID($A29,L29+L$2+1,M29-L29-L$2-1),",","."))</f>
        <v>0</v>
      </c>
      <c r="AF29" s="3">
        <f>VALUE(SUBSTITUTE(MID($A29,M29+M$2+1,N29-M29-M$2-1),",","."))</f>
        <v>0</v>
      </c>
      <c r="AG29" s="3">
        <f>VALUE(SUBSTITUTE(MID($A29,N29+N$2+1,O29-N29-N$2-1),",","."))</f>
        <v>4.2042022617685797</v>
      </c>
      <c r="AH29" t="str">
        <f>MID($A29,O29+O$2+1,P29-O29-O$2-1)</f>
        <v/>
      </c>
      <c r="AI29" s="8" t="str">
        <f>MID($A29,P29+P$2+1,Q29-P29-P$2-1)</f>
        <v>False</v>
      </c>
      <c r="AK29" t="b">
        <f t="shared" si="8"/>
        <v>0</v>
      </c>
    </row>
    <row r="30" spans="1:37" x14ac:dyDescent="0.35">
      <c r="A30" t="s">
        <v>4577</v>
      </c>
      <c r="B30">
        <f t="shared" si="6"/>
        <v>10</v>
      </c>
      <c r="C30">
        <f t="shared" si="6"/>
        <v>43</v>
      </c>
      <c r="D30">
        <f t="shared" si="6"/>
        <v>54</v>
      </c>
      <c r="E30">
        <f t="shared" si="6"/>
        <v>80</v>
      </c>
      <c r="F30">
        <f t="shared" si="6"/>
        <v>124</v>
      </c>
      <c r="G30">
        <f t="shared" si="6"/>
        <v>145</v>
      </c>
      <c r="H30">
        <f t="shared" si="6"/>
        <v>177</v>
      </c>
      <c r="I30">
        <f t="shared" si="6"/>
        <v>199</v>
      </c>
      <c r="J30">
        <f t="shared" si="6"/>
        <v>232</v>
      </c>
      <c r="K30">
        <f t="shared" si="6"/>
        <v>252</v>
      </c>
      <c r="L30">
        <f t="shared" si="6"/>
        <v>270</v>
      </c>
      <c r="M30">
        <f t="shared" si="6"/>
        <v>285</v>
      </c>
      <c r="N30">
        <f t="shared" si="9"/>
        <v>297</v>
      </c>
      <c r="O30">
        <f t="shared" si="9"/>
        <v>322</v>
      </c>
      <c r="P30">
        <f t="shared" si="9"/>
        <v>340</v>
      </c>
      <c r="Q30">
        <f t="shared" si="9"/>
        <v>366</v>
      </c>
      <c r="S30" t="str">
        <f t="shared" si="4"/>
        <v>27.11.2025</v>
      </c>
      <c r="T30" t="str">
        <f t="shared" si="5"/>
        <v>02:00:00</v>
      </c>
      <c r="U30" t="str">
        <f t="shared" si="7"/>
        <v>27.11.2025 02:00:00</v>
      </c>
      <c r="V30" s="9" t="str">
        <f>MID($A30,C30+C$2+1,D30-C30-C$2-1)</f>
        <v>0</v>
      </c>
      <c r="W30" s="4">
        <f>VALUE(SUBSTITUTE(MID($A30,D30+D$2+1,E30-D30-D$2-1),",","."))</f>
        <v>0</v>
      </c>
      <c r="X30" s="4">
        <f>VALUE(SUBSTITUTE(MID($A30,E30+E$2+1,F30-E30-E$2-1),",","."))</f>
        <v>0.90957602214449496</v>
      </c>
      <c r="Y30" s="4">
        <f>VALUE(SUBSTITUTE(MID($A30,F30+F$2+1,G30-F30-F$2-1),",","."))</f>
        <v>0</v>
      </c>
      <c r="Z30" s="3">
        <f>VALUE(SUBSTITUTE(MID($A30,G30+G$2+1,H30-G30-G$2-1),",","."))</f>
        <v>0</v>
      </c>
      <c r="AA30" s="3">
        <f>VALUE(SUBSTITUTE(MID($A30,H30+H$2+1,I30-H30-H$2-1),",","."))</f>
        <v>0</v>
      </c>
      <c r="AB30" s="3">
        <f>VALUE(SUBSTITUTE(MID($A30,I30+I$2+1,J30-I30-I$2-1),",","."))</f>
        <v>0</v>
      </c>
      <c r="AC30" s="3">
        <f>VALUE(SUBSTITUTE(MID($A30,J30+J$2+1,K30-J30-J$2-1),",","."))</f>
        <v>0.35</v>
      </c>
      <c r="AD30" s="3">
        <f>VALUE(SUBSTITUTE(MID($A30,K30+K$2+1,L30-K30-K$2-1),",","."))</f>
        <v>3.24</v>
      </c>
      <c r="AE30" s="3">
        <f>VALUE(SUBSTITUTE(MID($A30,L30+L$2+1,M30-L30-L$2-1),",","."))</f>
        <v>0</v>
      </c>
      <c r="AF30" s="3">
        <f>VALUE(SUBSTITUTE(MID($A30,M30+M$2+1,N30-M30-M$2-1),",","."))</f>
        <v>0</v>
      </c>
      <c r="AG30" s="3">
        <f>VALUE(SUBSTITUTE(MID($A30,N30+N$2+1,O30-N30-N$2-1),",","."))</f>
        <v>4.2042307816566602</v>
      </c>
      <c r="AH30" t="str">
        <f>MID($A30,O30+O$2+1,P30-O30-O$2-1)</f>
        <v/>
      </c>
      <c r="AI30" s="8" t="str">
        <f>MID($A30,P30+P$2+1,Q30-P30-P$2-1)</f>
        <v>False</v>
      </c>
      <c r="AK30" t="b">
        <f t="shared" si="8"/>
        <v>0</v>
      </c>
    </row>
    <row r="31" spans="1:37" x14ac:dyDescent="0.35">
      <c r="A31" t="s">
        <v>4578</v>
      </c>
      <c r="B31">
        <f t="shared" si="6"/>
        <v>10</v>
      </c>
      <c r="C31">
        <f t="shared" si="6"/>
        <v>43</v>
      </c>
      <c r="D31">
        <f t="shared" si="6"/>
        <v>54</v>
      </c>
      <c r="E31">
        <f t="shared" si="6"/>
        <v>80</v>
      </c>
      <c r="F31">
        <f t="shared" si="6"/>
        <v>124</v>
      </c>
      <c r="G31">
        <f t="shared" si="6"/>
        <v>145</v>
      </c>
      <c r="H31">
        <f t="shared" si="6"/>
        <v>177</v>
      </c>
      <c r="I31">
        <f t="shared" si="6"/>
        <v>199</v>
      </c>
      <c r="J31">
        <f t="shared" si="6"/>
        <v>232</v>
      </c>
      <c r="K31">
        <f t="shared" si="6"/>
        <v>252</v>
      </c>
      <c r="L31">
        <f t="shared" si="6"/>
        <v>270</v>
      </c>
      <c r="M31">
        <f t="shared" si="6"/>
        <v>285</v>
      </c>
      <c r="N31">
        <f t="shared" si="9"/>
        <v>297</v>
      </c>
      <c r="O31">
        <f t="shared" si="9"/>
        <v>322</v>
      </c>
      <c r="P31">
        <f t="shared" si="9"/>
        <v>340</v>
      </c>
      <c r="Q31">
        <f t="shared" si="9"/>
        <v>366</v>
      </c>
      <c r="S31" t="str">
        <f t="shared" si="4"/>
        <v>27.11.2025</v>
      </c>
      <c r="T31" t="str">
        <f t="shared" si="5"/>
        <v>02:15:00</v>
      </c>
      <c r="U31" t="str">
        <f t="shared" si="7"/>
        <v>27.11.2025 02:15:00</v>
      </c>
      <c r="V31" s="9" t="str">
        <f>MID($A31,C31+C$2+1,D31-C31-C$2-1)</f>
        <v>0</v>
      </c>
      <c r="W31" s="4">
        <f>VALUE(SUBSTITUTE(MID($A31,D31+D$2+1,E31-D31-D$2-1),",","."))</f>
        <v>0</v>
      </c>
      <c r="X31" s="4">
        <f>VALUE(SUBSTITUTE(MID($A31,E31+E$2+1,F31-E31-E$2-1),",","."))</f>
        <v>0.90957602214449496</v>
      </c>
      <c r="Y31" s="4">
        <f>VALUE(SUBSTITUTE(MID($A31,F31+F$2+1,G31-F31-F$2-1),",","."))</f>
        <v>0</v>
      </c>
      <c r="Z31" s="3">
        <f>VALUE(SUBSTITUTE(MID($A31,G31+G$2+1,H31-G31-G$2-1),",","."))</f>
        <v>0</v>
      </c>
      <c r="AA31" s="3">
        <f>VALUE(SUBSTITUTE(MID($A31,H31+H$2+1,I31-H31-H$2-1),",","."))</f>
        <v>0</v>
      </c>
      <c r="AB31" s="3">
        <f>VALUE(SUBSTITUTE(MID($A31,I31+I$2+1,J31-I31-I$2-1),",","."))</f>
        <v>0</v>
      </c>
      <c r="AC31" s="3">
        <f>VALUE(SUBSTITUTE(MID($A31,J31+J$2+1,K31-J31-J$2-1),",","."))</f>
        <v>0.35</v>
      </c>
      <c r="AD31" s="3">
        <f>VALUE(SUBSTITUTE(MID($A31,K31+K$2+1,L31-K31-K$2-1),",","."))</f>
        <v>3.24</v>
      </c>
      <c r="AE31" s="3">
        <f>VALUE(SUBSTITUTE(MID($A31,L31+L$2+1,M31-L31-L$2-1),",","."))</f>
        <v>0</v>
      </c>
      <c r="AF31" s="3">
        <f>VALUE(SUBSTITUTE(MID($A31,M31+M$2+1,N31-M31-M$2-1),",","."))</f>
        <v>0</v>
      </c>
      <c r="AG31" s="3">
        <f>VALUE(SUBSTITUTE(MID($A31,N31+N$2+1,O31-N31-N$2-1),",","."))</f>
        <v>4.2042593015447398</v>
      </c>
      <c r="AH31" t="str">
        <f>MID($A31,O31+O$2+1,P31-O31-O$2-1)</f>
        <v/>
      </c>
      <c r="AI31" s="8" t="str">
        <f>MID($A31,P31+P$2+1,Q31-P31-P$2-1)</f>
        <v>False</v>
      </c>
      <c r="AK31" t="b">
        <f t="shared" si="8"/>
        <v>0</v>
      </c>
    </row>
    <row r="32" spans="1:37" x14ac:dyDescent="0.35">
      <c r="A32" t="s">
        <v>4579</v>
      </c>
      <c r="B32">
        <f t="shared" si="6"/>
        <v>10</v>
      </c>
      <c r="C32">
        <f t="shared" si="6"/>
        <v>43</v>
      </c>
      <c r="D32">
        <f t="shared" si="6"/>
        <v>54</v>
      </c>
      <c r="E32">
        <f t="shared" si="6"/>
        <v>80</v>
      </c>
      <c r="F32">
        <f t="shared" si="6"/>
        <v>124</v>
      </c>
      <c r="G32">
        <f t="shared" si="6"/>
        <v>145</v>
      </c>
      <c r="H32">
        <f t="shared" si="6"/>
        <v>177</v>
      </c>
      <c r="I32">
        <f t="shared" si="6"/>
        <v>199</v>
      </c>
      <c r="J32">
        <f t="shared" si="6"/>
        <v>232</v>
      </c>
      <c r="K32">
        <f t="shared" si="6"/>
        <v>252</v>
      </c>
      <c r="L32">
        <f t="shared" si="6"/>
        <v>270</v>
      </c>
      <c r="M32">
        <f t="shared" si="6"/>
        <v>285</v>
      </c>
      <c r="N32">
        <f t="shared" si="9"/>
        <v>297</v>
      </c>
      <c r="O32">
        <f t="shared" si="9"/>
        <v>322</v>
      </c>
      <c r="P32">
        <f t="shared" si="9"/>
        <v>340</v>
      </c>
      <c r="Q32">
        <f t="shared" si="9"/>
        <v>366</v>
      </c>
      <c r="S32" t="str">
        <f t="shared" si="4"/>
        <v>27.11.2025</v>
      </c>
      <c r="T32" t="str">
        <f t="shared" si="5"/>
        <v>02:30:00</v>
      </c>
      <c r="U32" t="str">
        <f t="shared" si="7"/>
        <v>27.11.2025 02:30:00</v>
      </c>
      <c r="V32" s="9" t="str">
        <f>MID($A32,C32+C$2+1,D32-C32-C$2-1)</f>
        <v>0</v>
      </c>
      <c r="W32" s="4">
        <f>VALUE(SUBSTITUTE(MID($A32,D32+D$2+1,E32-D32-D$2-1),",","."))</f>
        <v>0</v>
      </c>
      <c r="X32" s="4">
        <f>VALUE(SUBSTITUTE(MID($A32,E32+E$2+1,F32-E32-E$2-1),",","."))</f>
        <v>0.90957602214449496</v>
      </c>
      <c r="Y32" s="4">
        <f>VALUE(SUBSTITUTE(MID($A32,F32+F$2+1,G32-F32-F$2-1),",","."))</f>
        <v>0</v>
      </c>
      <c r="Z32" s="3">
        <f>VALUE(SUBSTITUTE(MID($A32,G32+G$2+1,H32-G32-G$2-1),",","."))</f>
        <v>0</v>
      </c>
      <c r="AA32" s="3">
        <f>VALUE(SUBSTITUTE(MID($A32,H32+H$2+1,I32-H32-H$2-1),",","."))</f>
        <v>0</v>
      </c>
      <c r="AB32" s="3">
        <f>VALUE(SUBSTITUTE(MID($A32,I32+I$2+1,J32-I32-I$2-1),",","."))</f>
        <v>0</v>
      </c>
      <c r="AC32" s="3">
        <f>VALUE(SUBSTITUTE(MID($A32,J32+J$2+1,K32-J32-J$2-1),",","."))</f>
        <v>0.35</v>
      </c>
      <c r="AD32" s="3">
        <f>VALUE(SUBSTITUTE(MID($A32,K32+K$2+1,L32-K32-K$2-1),",","."))</f>
        <v>3.42</v>
      </c>
      <c r="AE32" s="3">
        <f>VALUE(SUBSTITUTE(MID($A32,L32+L$2+1,M32-L32-L$2-1),",","."))</f>
        <v>0</v>
      </c>
      <c r="AF32" s="3">
        <f>VALUE(SUBSTITUTE(MID($A32,M32+M$2+1,N32-M32-M$2-1),",","."))</f>
        <v>0</v>
      </c>
      <c r="AG32" s="3">
        <f>VALUE(SUBSTITUTE(MID($A32,N32+N$2+1,O32-N32-N$2-1),",","."))</f>
        <v>4.2042878214328203</v>
      </c>
      <c r="AH32" t="str">
        <f>MID($A32,O32+O$2+1,P32-O32-O$2-1)</f>
        <v/>
      </c>
      <c r="AI32" s="8" t="str">
        <f>MID($A32,P32+P$2+1,Q32-P32-P$2-1)</f>
        <v>False</v>
      </c>
      <c r="AK32" t="b">
        <f t="shared" si="8"/>
        <v>0</v>
      </c>
    </row>
    <row r="33" spans="1:37" x14ac:dyDescent="0.35">
      <c r="A33" t="s">
        <v>4580</v>
      </c>
      <c r="B33">
        <f t="shared" si="6"/>
        <v>10</v>
      </c>
      <c r="C33">
        <f t="shared" si="6"/>
        <v>43</v>
      </c>
      <c r="D33">
        <f t="shared" si="6"/>
        <v>54</v>
      </c>
      <c r="E33">
        <f t="shared" si="6"/>
        <v>80</v>
      </c>
      <c r="F33">
        <f t="shared" si="6"/>
        <v>124</v>
      </c>
      <c r="G33">
        <f t="shared" si="6"/>
        <v>145</v>
      </c>
      <c r="H33">
        <f t="shared" si="6"/>
        <v>177</v>
      </c>
      <c r="I33">
        <f t="shared" si="6"/>
        <v>199</v>
      </c>
      <c r="J33">
        <f t="shared" si="6"/>
        <v>232</v>
      </c>
      <c r="K33">
        <f t="shared" si="6"/>
        <v>251</v>
      </c>
      <c r="L33">
        <f t="shared" si="6"/>
        <v>269</v>
      </c>
      <c r="M33">
        <f t="shared" si="6"/>
        <v>284</v>
      </c>
      <c r="N33">
        <f t="shared" si="9"/>
        <v>296</v>
      </c>
      <c r="O33">
        <f t="shared" si="9"/>
        <v>320</v>
      </c>
      <c r="P33">
        <f t="shared" si="9"/>
        <v>338</v>
      </c>
      <c r="Q33">
        <f t="shared" si="9"/>
        <v>364</v>
      </c>
      <c r="S33" t="str">
        <f t="shared" si="4"/>
        <v>27.11.2025</v>
      </c>
      <c r="T33" t="str">
        <f t="shared" si="5"/>
        <v>02:45:00</v>
      </c>
      <c r="U33" t="str">
        <f t="shared" si="7"/>
        <v>27.11.2025 02:45:00</v>
      </c>
      <c r="V33" s="9" t="str">
        <f>MID($A33,C33+C$2+1,D33-C33-C$2-1)</f>
        <v>0</v>
      </c>
      <c r="W33" s="4">
        <f>VALUE(SUBSTITUTE(MID($A33,D33+D$2+1,E33-D33-D$2-1),",","."))</f>
        <v>0</v>
      </c>
      <c r="X33" s="4">
        <f>VALUE(SUBSTITUTE(MID($A33,E33+E$2+1,F33-E33-E$2-1),",","."))</f>
        <v>0.90957602214449496</v>
      </c>
      <c r="Y33" s="4">
        <f>VALUE(SUBSTITUTE(MID($A33,F33+F$2+1,G33-F33-F$2-1),",","."))</f>
        <v>0</v>
      </c>
      <c r="Z33" s="3">
        <f>VALUE(SUBSTITUTE(MID($A33,G33+G$2+1,H33-G33-G$2-1),",","."))</f>
        <v>0</v>
      </c>
      <c r="AA33" s="3">
        <f>VALUE(SUBSTITUTE(MID($A33,H33+H$2+1,I33-H33-H$2-1),",","."))</f>
        <v>0</v>
      </c>
      <c r="AB33" s="3">
        <f>VALUE(SUBSTITUTE(MID($A33,I33+I$2+1,J33-I33-I$2-1),",","."))</f>
        <v>0</v>
      </c>
      <c r="AC33" s="3">
        <f>VALUE(SUBSTITUTE(MID($A33,J33+J$2+1,K33-J33-J$2-1),",","."))</f>
        <v>0.3</v>
      </c>
      <c r="AD33" s="3">
        <f>VALUE(SUBSTITUTE(MID($A33,K33+K$2+1,L33-K33-K$2-1),",","."))</f>
        <v>3.96</v>
      </c>
      <c r="AE33" s="3">
        <f>VALUE(SUBSTITUTE(MID($A33,L33+L$2+1,M33-L33-L$2-1),",","."))</f>
        <v>0</v>
      </c>
      <c r="AF33" s="3">
        <f>VALUE(SUBSTITUTE(MID($A33,M33+M$2+1,N33-M33-M$2-1),",","."))</f>
        <v>0</v>
      </c>
      <c r="AG33" s="3">
        <f>VALUE(SUBSTITUTE(MID($A33,N33+N$2+1,O33-N33-N$2-1),",","."))</f>
        <v>4.2043163413209097</v>
      </c>
      <c r="AH33" t="str">
        <f>MID($A33,O33+O$2+1,P33-O33-O$2-1)</f>
        <v/>
      </c>
      <c r="AI33" s="8" t="str">
        <f>MID($A33,P33+P$2+1,Q33-P33-P$2-1)</f>
        <v>False</v>
      </c>
      <c r="AK33" t="b">
        <f t="shared" si="8"/>
        <v>0</v>
      </c>
    </row>
    <row r="34" spans="1:37" x14ac:dyDescent="0.35">
      <c r="A34" t="s">
        <v>4581</v>
      </c>
      <c r="B34">
        <f t="shared" si="6"/>
        <v>10</v>
      </c>
      <c r="C34">
        <f t="shared" si="6"/>
        <v>43</v>
      </c>
      <c r="D34">
        <f t="shared" si="6"/>
        <v>54</v>
      </c>
      <c r="E34">
        <f t="shared" si="6"/>
        <v>80</v>
      </c>
      <c r="F34">
        <f t="shared" si="6"/>
        <v>124</v>
      </c>
      <c r="G34">
        <f t="shared" si="6"/>
        <v>145</v>
      </c>
      <c r="H34">
        <f t="shared" si="6"/>
        <v>177</v>
      </c>
      <c r="I34">
        <f t="shared" si="6"/>
        <v>199</v>
      </c>
      <c r="J34">
        <f t="shared" si="6"/>
        <v>232</v>
      </c>
      <c r="K34">
        <f t="shared" si="6"/>
        <v>252</v>
      </c>
      <c r="L34">
        <f t="shared" si="6"/>
        <v>283</v>
      </c>
      <c r="M34">
        <f t="shared" si="6"/>
        <v>298</v>
      </c>
      <c r="N34">
        <f t="shared" si="9"/>
        <v>310</v>
      </c>
      <c r="O34">
        <f t="shared" si="9"/>
        <v>335</v>
      </c>
      <c r="P34">
        <f t="shared" si="9"/>
        <v>353</v>
      </c>
      <c r="Q34">
        <f t="shared" si="9"/>
        <v>379</v>
      </c>
      <c r="S34" t="str">
        <f t="shared" si="4"/>
        <v>27.11.2025</v>
      </c>
      <c r="T34" t="str">
        <f t="shared" si="5"/>
        <v>03:00:00</v>
      </c>
      <c r="U34" t="str">
        <f t="shared" si="7"/>
        <v>27.11.2025 03:00:00</v>
      </c>
      <c r="V34" s="9" t="str">
        <f>MID($A34,C34+C$2+1,D34-C34-C$2-1)</f>
        <v>0</v>
      </c>
      <c r="W34" s="4">
        <f>VALUE(SUBSTITUTE(MID($A34,D34+D$2+1,E34-D34-D$2-1),",","."))</f>
        <v>0</v>
      </c>
      <c r="X34" s="4">
        <f>VALUE(SUBSTITUTE(MID($A34,E34+E$2+1,F34-E34-E$2-1),",","."))</f>
        <v>0.90957602214449496</v>
      </c>
      <c r="Y34" s="4">
        <f>VALUE(SUBSTITUTE(MID($A34,F34+F$2+1,G34-F34-F$2-1),",","."))</f>
        <v>0</v>
      </c>
      <c r="Z34" s="3">
        <f>VALUE(SUBSTITUTE(MID($A34,G34+G$2+1,H34-G34-G$2-1),",","."))</f>
        <v>0</v>
      </c>
      <c r="AA34" s="3">
        <f>VALUE(SUBSTITUTE(MID($A34,H34+H$2+1,I34-H34-H$2-1),",","."))</f>
        <v>0</v>
      </c>
      <c r="AB34" s="3">
        <f>VALUE(SUBSTITUTE(MID($A34,I34+I$2+1,J34-I34-I$2-1),",","."))</f>
        <v>0</v>
      </c>
      <c r="AC34" s="3">
        <f>VALUE(SUBSTITUTE(MID($A34,J34+J$2+1,K34-J34-J$2-1),",","."))</f>
        <v>0.35</v>
      </c>
      <c r="AD34" s="3">
        <f>VALUE(SUBSTITUTE(MID($A34,K34+K$2+1,L34-K34-K$2-1),",","."))</f>
        <v>4.68</v>
      </c>
      <c r="AE34" s="3">
        <f>VALUE(SUBSTITUTE(MID($A34,L34+L$2+1,M34-L34-L$2-1),",","."))</f>
        <v>0</v>
      </c>
      <c r="AF34" s="3">
        <f>VALUE(SUBSTITUTE(MID($A34,M34+M$2+1,N34-M34-M$2-1),",","."))</f>
        <v>0</v>
      </c>
      <c r="AG34" s="3">
        <f>VALUE(SUBSTITUTE(MID($A34,N34+N$2+1,O34-N34-N$2-1),",","."))</f>
        <v>4.2043448612089902</v>
      </c>
      <c r="AH34" t="str">
        <f>MID($A34,O34+O$2+1,P34-O34-O$2-1)</f>
        <v/>
      </c>
      <c r="AI34" s="8" t="str">
        <f>MID($A34,P34+P$2+1,Q34-P34-P$2-1)</f>
        <v>False</v>
      </c>
      <c r="AK34" t="b">
        <f t="shared" si="8"/>
        <v>0</v>
      </c>
    </row>
    <row r="35" spans="1:37" x14ac:dyDescent="0.35">
      <c r="A35" t="s">
        <v>4582</v>
      </c>
      <c r="B35">
        <f t="shared" si="6"/>
        <v>10</v>
      </c>
      <c r="C35">
        <f t="shared" si="6"/>
        <v>43</v>
      </c>
      <c r="D35">
        <f t="shared" si="6"/>
        <v>54</v>
      </c>
      <c r="E35">
        <f t="shared" si="6"/>
        <v>80</v>
      </c>
      <c r="F35">
        <f t="shared" si="6"/>
        <v>124</v>
      </c>
      <c r="G35">
        <f t="shared" si="6"/>
        <v>145</v>
      </c>
      <c r="H35">
        <f t="shared" si="6"/>
        <v>177</v>
      </c>
      <c r="I35">
        <f t="shared" si="6"/>
        <v>199</v>
      </c>
      <c r="J35">
        <f t="shared" si="6"/>
        <v>232</v>
      </c>
      <c r="K35">
        <f t="shared" si="6"/>
        <v>252</v>
      </c>
      <c r="L35">
        <f t="shared" si="6"/>
        <v>269</v>
      </c>
      <c r="M35">
        <f t="shared" si="6"/>
        <v>284</v>
      </c>
      <c r="N35">
        <f t="shared" si="9"/>
        <v>296</v>
      </c>
      <c r="O35">
        <f t="shared" si="9"/>
        <v>322</v>
      </c>
      <c r="P35">
        <f t="shared" si="9"/>
        <v>340</v>
      </c>
      <c r="Q35">
        <f t="shared" si="9"/>
        <v>366</v>
      </c>
      <c r="S35" t="str">
        <f t="shared" si="4"/>
        <v>27.11.2025</v>
      </c>
      <c r="T35" t="str">
        <f t="shared" si="5"/>
        <v>03:15:00</v>
      </c>
      <c r="U35" t="str">
        <f t="shared" si="7"/>
        <v>27.11.2025 03:15:00</v>
      </c>
      <c r="V35" s="9" t="str">
        <f>MID($A35,C35+C$2+1,D35-C35-C$2-1)</f>
        <v>0</v>
      </c>
      <c r="W35" s="4">
        <f>VALUE(SUBSTITUTE(MID($A35,D35+D$2+1,E35-D35-D$2-1),",","."))</f>
        <v>0</v>
      </c>
      <c r="X35" s="4">
        <f>VALUE(SUBSTITUTE(MID($A35,E35+E$2+1,F35-E35-E$2-1),",","."))</f>
        <v>0.90957602214449496</v>
      </c>
      <c r="Y35" s="4">
        <f>VALUE(SUBSTITUTE(MID($A35,F35+F$2+1,G35-F35-F$2-1),",","."))</f>
        <v>0</v>
      </c>
      <c r="Z35" s="3">
        <f>VALUE(SUBSTITUTE(MID($A35,G35+G$2+1,H35-G35-G$2-1),",","."))</f>
        <v>0</v>
      </c>
      <c r="AA35" s="3">
        <f>VALUE(SUBSTITUTE(MID($A35,H35+H$2+1,I35-H35-H$2-1),",","."))</f>
        <v>0</v>
      </c>
      <c r="AB35" s="3">
        <f>VALUE(SUBSTITUTE(MID($A35,I35+I$2+1,J35-I35-I$2-1),",","."))</f>
        <v>0</v>
      </c>
      <c r="AC35" s="3">
        <f>VALUE(SUBSTITUTE(MID($A35,J35+J$2+1,K35-J35-J$2-1),",","."))</f>
        <v>0.35</v>
      </c>
      <c r="AD35" s="3">
        <f>VALUE(SUBSTITUTE(MID($A35,K35+K$2+1,L35-K35-K$2-1),",","."))</f>
        <v>5.4</v>
      </c>
      <c r="AE35" s="3">
        <f>VALUE(SUBSTITUTE(MID($A35,L35+L$2+1,M35-L35-L$2-1),",","."))</f>
        <v>0</v>
      </c>
      <c r="AF35" s="3">
        <f>VALUE(SUBSTITUTE(MID($A35,M35+M$2+1,N35-M35-M$2-1),",","."))</f>
        <v>0</v>
      </c>
      <c r="AG35" s="3">
        <f>VALUE(SUBSTITUTE(MID($A35,N35+N$2+1,O35-N35-N$2-1),",","."))</f>
        <v>4.2043733810970698</v>
      </c>
      <c r="AH35" t="str">
        <f>MID($A35,O35+O$2+1,P35-O35-O$2-1)</f>
        <v/>
      </c>
      <c r="AI35" s="8" t="str">
        <f>MID($A35,P35+P$2+1,Q35-P35-P$2-1)</f>
        <v>False</v>
      </c>
      <c r="AK35" t="b">
        <f t="shared" si="8"/>
        <v>0</v>
      </c>
    </row>
    <row r="36" spans="1:37" x14ac:dyDescent="0.35">
      <c r="A36" t="s">
        <v>4583</v>
      </c>
      <c r="B36">
        <f t="shared" si="6"/>
        <v>10</v>
      </c>
      <c r="C36">
        <f t="shared" si="6"/>
        <v>43</v>
      </c>
      <c r="D36">
        <f t="shared" si="6"/>
        <v>54</v>
      </c>
      <c r="E36">
        <f t="shared" si="6"/>
        <v>80</v>
      </c>
      <c r="F36">
        <f t="shared" si="6"/>
        <v>124</v>
      </c>
      <c r="G36">
        <f t="shared" si="6"/>
        <v>145</v>
      </c>
      <c r="H36">
        <f t="shared" si="6"/>
        <v>177</v>
      </c>
      <c r="I36">
        <f t="shared" si="6"/>
        <v>199</v>
      </c>
      <c r="J36">
        <f t="shared" si="6"/>
        <v>232</v>
      </c>
      <c r="K36">
        <f t="shared" si="6"/>
        <v>252</v>
      </c>
      <c r="L36">
        <f t="shared" si="6"/>
        <v>270</v>
      </c>
      <c r="M36">
        <f t="shared" si="6"/>
        <v>285</v>
      </c>
      <c r="N36">
        <f t="shared" si="9"/>
        <v>297</v>
      </c>
      <c r="O36">
        <f t="shared" si="9"/>
        <v>322</v>
      </c>
      <c r="P36">
        <f t="shared" si="9"/>
        <v>340</v>
      </c>
      <c r="Q36">
        <f t="shared" si="9"/>
        <v>366</v>
      </c>
      <c r="S36" t="str">
        <f t="shared" si="4"/>
        <v>27.11.2025</v>
      </c>
      <c r="T36" t="str">
        <f t="shared" si="5"/>
        <v>03:30:00</v>
      </c>
      <c r="U36" t="str">
        <f t="shared" si="7"/>
        <v>27.11.2025 03:30:00</v>
      </c>
      <c r="V36" s="9" t="str">
        <f>MID($A36,C36+C$2+1,D36-C36-C$2-1)</f>
        <v>0</v>
      </c>
      <c r="W36" s="4">
        <f>VALUE(SUBSTITUTE(MID($A36,D36+D$2+1,E36-D36-D$2-1),",","."))</f>
        <v>0</v>
      </c>
      <c r="X36" s="4">
        <f>VALUE(SUBSTITUTE(MID($A36,E36+E$2+1,F36-E36-E$2-1),",","."))</f>
        <v>0.90957602214449496</v>
      </c>
      <c r="Y36" s="4">
        <f>VALUE(SUBSTITUTE(MID($A36,F36+F$2+1,G36-F36-F$2-1),",","."))</f>
        <v>0</v>
      </c>
      <c r="Z36" s="3">
        <f>VALUE(SUBSTITUTE(MID($A36,G36+G$2+1,H36-G36-G$2-1),",","."))</f>
        <v>0</v>
      </c>
      <c r="AA36" s="3">
        <f>VALUE(SUBSTITUTE(MID($A36,H36+H$2+1,I36-H36-H$2-1),",","."))</f>
        <v>0</v>
      </c>
      <c r="AB36" s="3">
        <f>VALUE(SUBSTITUTE(MID($A36,I36+I$2+1,J36-I36-I$2-1),",","."))</f>
        <v>0</v>
      </c>
      <c r="AC36" s="3">
        <f>VALUE(SUBSTITUTE(MID($A36,J36+J$2+1,K36-J36-J$2-1),",","."))</f>
        <v>0.35</v>
      </c>
      <c r="AD36" s="3">
        <f>VALUE(SUBSTITUTE(MID($A36,K36+K$2+1,L36-K36-K$2-1),",","."))</f>
        <v>5.94</v>
      </c>
      <c r="AE36" s="3">
        <f>VALUE(SUBSTITUTE(MID($A36,L36+L$2+1,M36-L36-L$2-1),",","."))</f>
        <v>0</v>
      </c>
      <c r="AF36" s="3">
        <f>VALUE(SUBSTITUTE(MID($A36,M36+M$2+1,N36-M36-M$2-1),",","."))</f>
        <v>0</v>
      </c>
      <c r="AG36" s="3">
        <f>VALUE(SUBSTITUTE(MID($A36,N36+N$2+1,O36-N36-N$2-1),",","."))</f>
        <v>4.2044019009851503</v>
      </c>
      <c r="AH36" t="str">
        <f>MID($A36,O36+O$2+1,P36-O36-O$2-1)</f>
        <v/>
      </c>
      <c r="AI36" s="8" t="str">
        <f>MID($A36,P36+P$2+1,Q36-P36-P$2-1)</f>
        <v>False</v>
      </c>
      <c r="AK36" t="b">
        <f t="shared" si="8"/>
        <v>0</v>
      </c>
    </row>
    <row r="37" spans="1:37" x14ac:dyDescent="0.35">
      <c r="A37" t="s">
        <v>4584</v>
      </c>
      <c r="B37">
        <f t="shared" si="6"/>
        <v>10</v>
      </c>
      <c r="C37">
        <f t="shared" si="6"/>
        <v>43</v>
      </c>
      <c r="D37">
        <f t="shared" si="6"/>
        <v>54</v>
      </c>
      <c r="E37">
        <f t="shared" si="6"/>
        <v>80</v>
      </c>
      <c r="F37">
        <f t="shared" si="6"/>
        <v>124</v>
      </c>
      <c r="G37">
        <f t="shared" si="6"/>
        <v>145</v>
      </c>
      <c r="H37">
        <f t="shared" si="6"/>
        <v>177</v>
      </c>
      <c r="I37">
        <f t="shared" si="6"/>
        <v>199</v>
      </c>
      <c r="J37">
        <f t="shared" si="6"/>
        <v>232</v>
      </c>
      <c r="K37">
        <f t="shared" si="6"/>
        <v>267</v>
      </c>
      <c r="L37">
        <f t="shared" si="6"/>
        <v>285</v>
      </c>
      <c r="M37">
        <f t="shared" si="6"/>
        <v>300</v>
      </c>
      <c r="N37">
        <f t="shared" si="9"/>
        <v>312</v>
      </c>
      <c r="O37">
        <f t="shared" si="9"/>
        <v>337</v>
      </c>
      <c r="P37">
        <f t="shared" si="9"/>
        <v>355</v>
      </c>
      <c r="Q37">
        <f t="shared" si="9"/>
        <v>381</v>
      </c>
      <c r="S37" t="str">
        <f t="shared" si="4"/>
        <v>27.11.2025</v>
      </c>
      <c r="T37" t="str">
        <f t="shared" si="5"/>
        <v>03:45:00</v>
      </c>
      <c r="U37" t="str">
        <f t="shared" si="7"/>
        <v>27.11.2025 03:45:00</v>
      </c>
      <c r="V37" s="9" t="str">
        <f>MID($A37,C37+C$2+1,D37-C37-C$2-1)</f>
        <v>0</v>
      </c>
      <c r="W37" s="4">
        <f>VALUE(SUBSTITUTE(MID($A37,D37+D$2+1,E37-D37-D$2-1),",","."))</f>
        <v>0</v>
      </c>
      <c r="X37" s="4">
        <f>VALUE(SUBSTITUTE(MID($A37,E37+E$2+1,F37-E37-E$2-1),",","."))</f>
        <v>0.90957602214449496</v>
      </c>
      <c r="Y37" s="4">
        <f>VALUE(SUBSTITUTE(MID($A37,F37+F$2+1,G37-F37-F$2-1),",","."))</f>
        <v>0</v>
      </c>
      <c r="Z37" s="3">
        <f>VALUE(SUBSTITUTE(MID($A37,G37+G$2+1,H37-G37-G$2-1),",","."))</f>
        <v>0</v>
      </c>
      <c r="AA37" s="3">
        <f>VALUE(SUBSTITUTE(MID($A37,H37+H$2+1,I37-H37-H$2-1),",","."))</f>
        <v>0</v>
      </c>
      <c r="AB37" s="3">
        <f>VALUE(SUBSTITUTE(MID($A37,I37+I$2+1,J37-I37-I$2-1),",","."))</f>
        <v>0</v>
      </c>
      <c r="AC37" s="3">
        <f>VALUE(SUBSTITUTE(MID($A37,J37+J$2+1,K37-J37-J$2-1),",","."))</f>
        <v>0.3</v>
      </c>
      <c r="AD37" s="3">
        <f>VALUE(SUBSTITUTE(MID($A37,K37+K$2+1,L37-K37-K$2-1),",","."))</f>
        <v>6.48</v>
      </c>
      <c r="AE37" s="3">
        <f>VALUE(SUBSTITUTE(MID($A37,L37+L$2+1,M37-L37-L$2-1),",","."))</f>
        <v>0</v>
      </c>
      <c r="AF37" s="3">
        <f>VALUE(SUBSTITUTE(MID($A37,M37+M$2+1,N37-M37-M$2-1),",","."))</f>
        <v>0</v>
      </c>
      <c r="AG37" s="3">
        <f>VALUE(SUBSTITUTE(MID($A37,N37+N$2+1,O37-N37-N$2-1),",","."))</f>
        <v>4.2044304208732299</v>
      </c>
      <c r="AH37" t="str">
        <f>MID($A37,O37+O$2+1,P37-O37-O$2-1)</f>
        <v/>
      </c>
      <c r="AI37" s="8" t="str">
        <f>MID($A37,P37+P$2+1,Q37-P37-P$2-1)</f>
        <v>False</v>
      </c>
      <c r="AK37" t="b">
        <f t="shared" si="8"/>
        <v>0</v>
      </c>
    </row>
    <row r="38" spans="1:37" x14ac:dyDescent="0.35">
      <c r="A38" t="s">
        <v>4585</v>
      </c>
      <c r="B38">
        <f t="shared" si="6"/>
        <v>10</v>
      </c>
      <c r="C38">
        <f t="shared" si="6"/>
        <v>43</v>
      </c>
      <c r="D38">
        <f t="shared" si="6"/>
        <v>54</v>
      </c>
      <c r="E38">
        <f t="shared" si="6"/>
        <v>80</v>
      </c>
      <c r="F38">
        <f t="shared" si="6"/>
        <v>124</v>
      </c>
      <c r="G38">
        <f t="shared" si="6"/>
        <v>145</v>
      </c>
      <c r="H38">
        <f t="shared" si="6"/>
        <v>177</v>
      </c>
      <c r="I38">
        <f t="shared" si="6"/>
        <v>199</v>
      </c>
      <c r="J38">
        <f t="shared" si="6"/>
        <v>232</v>
      </c>
      <c r="K38">
        <f t="shared" si="6"/>
        <v>267</v>
      </c>
      <c r="L38">
        <f t="shared" si="6"/>
        <v>298</v>
      </c>
      <c r="M38">
        <f t="shared" si="6"/>
        <v>313</v>
      </c>
      <c r="N38">
        <f t="shared" si="9"/>
        <v>325</v>
      </c>
      <c r="O38">
        <f t="shared" si="9"/>
        <v>351</v>
      </c>
      <c r="P38">
        <f t="shared" si="9"/>
        <v>369</v>
      </c>
      <c r="Q38">
        <f t="shared" si="9"/>
        <v>395</v>
      </c>
      <c r="S38" t="str">
        <f t="shared" si="4"/>
        <v>27.11.2025</v>
      </c>
      <c r="T38" t="str">
        <f t="shared" si="5"/>
        <v>04:00:00</v>
      </c>
      <c r="U38" t="str">
        <f t="shared" si="7"/>
        <v>27.11.2025 04:00:00</v>
      </c>
      <c r="V38" s="9" t="str">
        <f>MID($A38,C38+C$2+1,D38-C38-C$2-1)</f>
        <v>0</v>
      </c>
      <c r="W38" s="4">
        <f>VALUE(SUBSTITUTE(MID($A38,D38+D$2+1,E38-D38-D$2-1),",","."))</f>
        <v>0</v>
      </c>
      <c r="X38" s="4">
        <f>VALUE(SUBSTITUTE(MID($A38,E38+E$2+1,F38-E38-E$2-1),",","."))</f>
        <v>0.90957602214449496</v>
      </c>
      <c r="Y38" s="4">
        <f>VALUE(SUBSTITUTE(MID($A38,F38+F$2+1,G38-F38-F$2-1),",","."))</f>
        <v>0</v>
      </c>
      <c r="Z38" s="3">
        <f>VALUE(SUBSTITUTE(MID($A38,G38+G$2+1,H38-G38-G$2-1),",","."))</f>
        <v>0</v>
      </c>
      <c r="AA38" s="3">
        <f>VALUE(SUBSTITUTE(MID($A38,H38+H$2+1,I38-H38-H$2-1),",","."))</f>
        <v>0</v>
      </c>
      <c r="AB38" s="3">
        <f>VALUE(SUBSTITUTE(MID($A38,I38+I$2+1,J38-I38-I$2-1),",","."))</f>
        <v>0</v>
      </c>
      <c r="AC38" s="3">
        <f>VALUE(SUBSTITUTE(MID($A38,J38+J$2+1,K38-J38-J$2-1),",","."))</f>
        <v>0.3</v>
      </c>
      <c r="AD38" s="3">
        <f>VALUE(SUBSTITUTE(MID($A38,K38+K$2+1,L38-K38-K$2-1),",","."))</f>
        <v>7.2</v>
      </c>
      <c r="AE38" s="3">
        <f>VALUE(SUBSTITUTE(MID($A38,L38+L$2+1,M38-L38-L$2-1),",","."))</f>
        <v>0</v>
      </c>
      <c r="AF38" s="3">
        <f>VALUE(SUBSTITUTE(MID($A38,M38+M$2+1,N38-M38-M$2-1),",","."))</f>
        <v>0</v>
      </c>
      <c r="AG38" s="3">
        <f>VALUE(SUBSTITUTE(MID($A38,N38+N$2+1,O38-N38-N$2-1),",","."))</f>
        <v>4.2044589407613104</v>
      </c>
      <c r="AH38" t="str">
        <f>MID($A38,O38+O$2+1,P38-O38-O$2-1)</f>
        <v/>
      </c>
      <c r="AI38" s="8" t="str">
        <f>MID($A38,P38+P$2+1,Q38-P38-P$2-1)</f>
        <v>False</v>
      </c>
      <c r="AK38" t="b">
        <f t="shared" si="8"/>
        <v>0</v>
      </c>
    </row>
    <row r="39" spans="1:37" x14ac:dyDescent="0.35">
      <c r="A39" t="s">
        <v>4586</v>
      </c>
      <c r="B39">
        <f t="shared" ref="B39:M60" si="10">FIND(B$1,$A39)</f>
        <v>10</v>
      </c>
      <c r="C39">
        <f t="shared" si="10"/>
        <v>43</v>
      </c>
      <c r="D39">
        <f t="shared" si="10"/>
        <v>54</v>
      </c>
      <c r="E39">
        <f t="shared" si="10"/>
        <v>80</v>
      </c>
      <c r="F39">
        <f t="shared" si="10"/>
        <v>124</v>
      </c>
      <c r="G39">
        <f t="shared" si="10"/>
        <v>145</v>
      </c>
      <c r="H39">
        <f t="shared" si="10"/>
        <v>177</v>
      </c>
      <c r="I39">
        <f t="shared" si="10"/>
        <v>199</v>
      </c>
      <c r="J39">
        <f t="shared" si="10"/>
        <v>232</v>
      </c>
      <c r="K39">
        <f t="shared" si="10"/>
        <v>252</v>
      </c>
      <c r="L39">
        <f t="shared" si="10"/>
        <v>283</v>
      </c>
      <c r="M39">
        <f t="shared" si="10"/>
        <v>298</v>
      </c>
      <c r="N39">
        <f t="shared" si="9"/>
        <v>310</v>
      </c>
      <c r="O39">
        <f t="shared" si="9"/>
        <v>335</v>
      </c>
      <c r="P39">
        <f t="shared" si="9"/>
        <v>353</v>
      </c>
      <c r="Q39">
        <f t="shared" si="9"/>
        <v>379</v>
      </c>
      <c r="S39" t="str">
        <f t="shared" si="4"/>
        <v>27.11.2025</v>
      </c>
      <c r="T39" t="str">
        <f t="shared" si="5"/>
        <v>04:15:00</v>
      </c>
      <c r="U39" t="str">
        <f t="shared" si="7"/>
        <v>27.11.2025 04:15:00</v>
      </c>
      <c r="V39" s="9" t="str">
        <f>MID($A39,C39+C$2+1,D39-C39-C$2-1)</f>
        <v>0</v>
      </c>
      <c r="W39" s="4">
        <f>VALUE(SUBSTITUTE(MID($A39,D39+D$2+1,E39-D39-D$2-1),",","."))</f>
        <v>0</v>
      </c>
      <c r="X39" s="4">
        <f>VALUE(SUBSTITUTE(MID($A39,E39+E$2+1,F39-E39-E$2-1),",","."))</f>
        <v>0.90957602214449496</v>
      </c>
      <c r="Y39" s="4">
        <f>VALUE(SUBSTITUTE(MID($A39,F39+F$2+1,G39-F39-F$2-1),",","."))</f>
        <v>0</v>
      </c>
      <c r="Z39" s="3">
        <f>VALUE(SUBSTITUTE(MID($A39,G39+G$2+1,H39-G39-G$2-1),",","."))</f>
        <v>0</v>
      </c>
      <c r="AA39" s="3">
        <f>VALUE(SUBSTITUTE(MID($A39,H39+H$2+1,I39-H39-H$2-1),",","."))</f>
        <v>0</v>
      </c>
      <c r="AB39" s="3">
        <f>VALUE(SUBSTITUTE(MID($A39,I39+I$2+1,J39-I39-I$2-1),",","."))</f>
        <v>0</v>
      </c>
      <c r="AC39" s="3">
        <f>VALUE(SUBSTITUTE(MID($A39,J39+J$2+1,K39-J39-J$2-1),",","."))</f>
        <v>0.25</v>
      </c>
      <c r="AD39" s="3">
        <f>VALUE(SUBSTITUTE(MID($A39,K39+K$2+1,L39-K39-K$2-1),",","."))</f>
        <v>7.92</v>
      </c>
      <c r="AE39" s="3">
        <f>VALUE(SUBSTITUTE(MID($A39,L39+L$2+1,M39-L39-L$2-1),",","."))</f>
        <v>0</v>
      </c>
      <c r="AF39" s="3">
        <f>VALUE(SUBSTITUTE(MID($A39,M39+M$2+1,N39-M39-M$2-1),",","."))</f>
        <v>0</v>
      </c>
      <c r="AG39" s="3">
        <f>VALUE(SUBSTITUTE(MID($A39,N39+N$2+1,O39-N39-N$2-1),",","."))</f>
        <v>4.2044874606493901</v>
      </c>
      <c r="AH39" t="str">
        <f>MID($A39,O39+O$2+1,P39-O39-O$2-1)</f>
        <v/>
      </c>
      <c r="AI39" s="8" t="str">
        <f>MID($A39,P39+P$2+1,Q39-P39-P$2-1)</f>
        <v>False</v>
      </c>
      <c r="AK39" t="b">
        <f t="shared" si="8"/>
        <v>0</v>
      </c>
    </row>
    <row r="40" spans="1:37" x14ac:dyDescent="0.35">
      <c r="A40" t="s">
        <v>4587</v>
      </c>
      <c r="B40">
        <f t="shared" si="10"/>
        <v>10</v>
      </c>
      <c r="C40">
        <f t="shared" si="10"/>
        <v>43</v>
      </c>
      <c r="D40">
        <f t="shared" si="10"/>
        <v>54</v>
      </c>
      <c r="E40">
        <f t="shared" si="10"/>
        <v>80</v>
      </c>
      <c r="F40">
        <f t="shared" si="10"/>
        <v>124</v>
      </c>
      <c r="G40">
        <f t="shared" si="10"/>
        <v>145</v>
      </c>
      <c r="H40">
        <f t="shared" si="10"/>
        <v>177</v>
      </c>
      <c r="I40">
        <f t="shared" si="10"/>
        <v>199</v>
      </c>
      <c r="J40">
        <f t="shared" si="10"/>
        <v>232</v>
      </c>
      <c r="K40">
        <f t="shared" si="10"/>
        <v>251</v>
      </c>
      <c r="L40">
        <f t="shared" si="10"/>
        <v>269</v>
      </c>
      <c r="M40">
        <f t="shared" si="10"/>
        <v>284</v>
      </c>
      <c r="N40">
        <f t="shared" si="9"/>
        <v>296</v>
      </c>
      <c r="O40">
        <f t="shared" si="9"/>
        <v>320</v>
      </c>
      <c r="P40">
        <f t="shared" si="9"/>
        <v>338</v>
      </c>
      <c r="Q40">
        <f t="shared" si="9"/>
        <v>364</v>
      </c>
      <c r="S40" t="str">
        <f t="shared" si="4"/>
        <v>27.11.2025</v>
      </c>
      <c r="T40" t="str">
        <f t="shared" si="5"/>
        <v>04:30:00</v>
      </c>
      <c r="U40" t="str">
        <f t="shared" si="7"/>
        <v>27.11.2025 04:30:00</v>
      </c>
      <c r="V40" s="9" t="str">
        <f>MID($A40,C40+C$2+1,D40-C40-C$2-1)</f>
        <v>0</v>
      </c>
      <c r="W40" s="4">
        <f>VALUE(SUBSTITUTE(MID($A40,D40+D$2+1,E40-D40-D$2-1),",","."))</f>
        <v>0</v>
      </c>
      <c r="X40" s="4">
        <f>VALUE(SUBSTITUTE(MID($A40,E40+E$2+1,F40-E40-E$2-1),",","."))</f>
        <v>0.90957602214449496</v>
      </c>
      <c r="Y40" s="4">
        <f>VALUE(SUBSTITUTE(MID($A40,F40+F$2+1,G40-F40-F$2-1),",","."))</f>
        <v>0</v>
      </c>
      <c r="Z40" s="3">
        <f>VALUE(SUBSTITUTE(MID($A40,G40+G$2+1,H40-G40-G$2-1),",","."))</f>
        <v>0</v>
      </c>
      <c r="AA40" s="3">
        <f>VALUE(SUBSTITUTE(MID($A40,H40+H$2+1,I40-H40-H$2-1),",","."))</f>
        <v>0</v>
      </c>
      <c r="AB40" s="3">
        <f>VALUE(SUBSTITUTE(MID($A40,I40+I$2+1,J40-I40-I$2-1),",","."))</f>
        <v>0</v>
      </c>
      <c r="AC40" s="3">
        <f>VALUE(SUBSTITUTE(MID($A40,J40+J$2+1,K40-J40-J$2-1),",","."))</f>
        <v>0.2</v>
      </c>
      <c r="AD40" s="3">
        <f>VALUE(SUBSTITUTE(MID($A40,K40+K$2+1,L40-K40-K$2-1),",","."))</f>
        <v>8.64</v>
      </c>
      <c r="AE40" s="3">
        <f>VALUE(SUBSTITUTE(MID($A40,L40+L$2+1,M40-L40-L$2-1),",","."))</f>
        <v>0</v>
      </c>
      <c r="AF40" s="3">
        <f>VALUE(SUBSTITUTE(MID($A40,M40+M$2+1,N40-M40-M$2-1),",","."))</f>
        <v>0</v>
      </c>
      <c r="AG40" s="3">
        <f>VALUE(SUBSTITUTE(MID($A40,N40+N$2+1,O40-N40-N$2-1),",","."))</f>
        <v>4.2045159805374803</v>
      </c>
      <c r="AH40" t="str">
        <f>MID($A40,O40+O$2+1,P40-O40-O$2-1)</f>
        <v/>
      </c>
      <c r="AI40" s="8" t="str">
        <f>MID($A40,P40+P$2+1,Q40-P40-P$2-1)</f>
        <v>False</v>
      </c>
      <c r="AK40" t="b">
        <f t="shared" si="8"/>
        <v>0</v>
      </c>
    </row>
    <row r="41" spans="1:37" x14ac:dyDescent="0.35">
      <c r="A41" t="s">
        <v>4588</v>
      </c>
      <c r="B41">
        <f t="shared" si="10"/>
        <v>10</v>
      </c>
      <c r="C41">
        <f t="shared" si="10"/>
        <v>43</v>
      </c>
      <c r="D41">
        <f t="shared" si="10"/>
        <v>54</v>
      </c>
      <c r="E41">
        <f t="shared" si="10"/>
        <v>80</v>
      </c>
      <c r="F41">
        <f t="shared" si="10"/>
        <v>124</v>
      </c>
      <c r="G41">
        <f t="shared" si="10"/>
        <v>145</v>
      </c>
      <c r="H41">
        <f t="shared" si="10"/>
        <v>177</v>
      </c>
      <c r="I41">
        <f t="shared" si="10"/>
        <v>199</v>
      </c>
      <c r="J41">
        <f t="shared" si="10"/>
        <v>232</v>
      </c>
      <c r="K41">
        <f t="shared" si="10"/>
        <v>252</v>
      </c>
      <c r="L41">
        <f t="shared" si="10"/>
        <v>270</v>
      </c>
      <c r="M41">
        <f t="shared" si="10"/>
        <v>285</v>
      </c>
      <c r="N41">
        <f t="shared" si="9"/>
        <v>297</v>
      </c>
      <c r="O41">
        <f t="shared" si="9"/>
        <v>322</v>
      </c>
      <c r="P41">
        <f t="shared" si="9"/>
        <v>340</v>
      </c>
      <c r="Q41">
        <f t="shared" si="9"/>
        <v>366</v>
      </c>
      <c r="S41" t="str">
        <f t="shared" si="4"/>
        <v>27.11.2025</v>
      </c>
      <c r="T41" t="str">
        <f t="shared" si="5"/>
        <v>04:45:00</v>
      </c>
      <c r="U41" t="str">
        <f t="shared" si="7"/>
        <v>27.11.2025 04:45:00</v>
      </c>
      <c r="V41" s="9" t="str">
        <f>MID($A41,C41+C$2+1,D41-C41-C$2-1)</f>
        <v>0</v>
      </c>
      <c r="W41" s="4">
        <f>VALUE(SUBSTITUTE(MID($A41,D41+D$2+1,E41-D41-D$2-1),",","."))</f>
        <v>0</v>
      </c>
      <c r="X41" s="4">
        <f>VALUE(SUBSTITUTE(MID($A41,E41+E$2+1,F41-E41-E$2-1),",","."))</f>
        <v>0.90957602214449496</v>
      </c>
      <c r="Y41" s="4">
        <f>VALUE(SUBSTITUTE(MID($A41,F41+F$2+1,G41-F41-F$2-1),",","."))</f>
        <v>0</v>
      </c>
      <c r="Z41" s="3">
        <f>VALUE(SUBSTITUTE(MID($A41,G41+G$2+1,H41-G41-G$2-1),",","."))</f>
        <v>0</v>
      </c>
      <c r="AA41" s="3">
        <f>VALUE(SUBSTITUTE(MID($A41,H41+H$2+1,I41-H41-H$2-1),",","."))</f>
        <v>0</v>
      </c>
      <c r="AB41" s="3">
        <f>VALUE(SUBSTITUTE(MID($A41,I41+I$2+1,J41-I41-I$2-1),",","."))</f>
        <v>0</v>
      </c>
      <c r="AC41" s="3">
        <f>VALUE(SUBSTITUTE(MID($A41,J41+J$2+1,K41-J41-J$2-1),",","."))</f>
        <v>0.05</v>
      </c>
      <c r="AD41" s="3">
        <f>VALUE(SUBSTITUTE(MID($A41,K41+K$2+1,L41-K41-K$2-1),",","."))</f>
        <v>8.64</v>
      </c>
      <c r="AE41" s="3">
        <f>VALUE(SUBSTITUTE(MID($A41,L41+L$2+1,M41-L41-L$2-1),",","."))</f>
        <v>0</v>
      </c>
      <c r="AF41" s="3">
        <f>VALUE(SUBSTITUTE(MID($A41,M41+M$2+1,N41-M41-M$2-1),",","."))</f>
        <v>0</v>
      </c>
      <c r="AG41" s="3">
        <f>VALUE(SUBSTITUTE(MID($A41,N41+N$2+1,O41-N41-N$2-1),",","."))</f>
        <v>4.2045445004255599</v>
      </c>
      <c r="AH41" t="str">
        <f>MID($A41,O41+O$2+1,P41-O41-O$2-1)</f>
        <v/>
      </c>
      <c r="AI41" s="8" t="str">
        <f>MID($A41,P41+P$2+1,Q41-P41-P$2-1)</f>
        <v>False</v>
      </c>
      <c r="AK41" t="b">
        <f t="shared" si="8"/>
        <v>0</v>
      </c>
    </row>
    <row r="42" spans="1:37" x14ac:dyDescent="0.35">
      <c r="A42" t="s">
        <v>4589</v>
      </c>
      <c r="B42">
        <f t="shared" si="10"/>
        <v>10</v>
      </c>
      <c r="C42">
        <f t="shared" si="10"/>
        <v>43</v>
      </c>
      <c r="D42">
        <f t="shared" si="10"/>
        <v>54</v>
      </c>
      <c r="E42">
        <f t="shared" si="10"/>
        <v>80</v>
      </c>
      <c r="F42">
        <f t="shared" si="10"/>
        <v>124</v>
      </c>
      <c r="G42">
        <f t="shared" si="10"/>
        <v>145</v>
      </c>
      <c r="H42">
        <f t="shared" si="10"/>
        <v>177</v>
      </c>
      <c r="I42">
        <f t="shared" si="10"/>
        <v>199</v>
      </c>
      <c r="J42">
        <f t="shared" si="10"/>
        <v>232</v>
      </c>
      <c r="K42">
        <f t="shared" si="10"/>
        <v>253</v>
      </c>
      <c r="L42">
        <f t="shared" si="10"/>
        <v>271</v>
      </c>
      <c r="M42">
        <f t="shared" si="10"/>
        <v>286</v>
      </c>
      <c r="N42">
        <f t="shared" si="9"/>
        <v>298</v>
      </c>
      <c r="O42">
        <f t="shared" si="9"/>
        <v>323</v>
      </c>
      <c r="P42">
        <f t="shared" si="9"/>
        <v>341</v>
      </c>
      <c r="Q42">
        <f t="shared" si="9"/>
        <v>367</v>
      </c>
      <c r="S42" t="str">
        <f t="shared" si="4"/>
        <v>27.11.2025</v>
      </c>
      <c r="T42" t="str">
        <f t="shared" si="5"/>
        <v>05:00:00</v>
      </c>
      <c r="U42" t="str">
        <f t="shared" si="7"/>
        <v>27.11.2025 05:00:00</v>
      </c>
      <c r="V42" s="9" t="str">
        <f>MID($A42,C42+C$2+1,D42-C42-C$2-1)</f>
        <v>0</v>
      </c>
      <c r="W42" s="4">
        <f>VALUE(SUBSTITUTE(MID($A42,D42+D$2+1,E42-D42-D$2-1),",","."))</f>
        <v>0</v>
      </c>
      <c r="X42" s="4">
        <f>VALUE(SUBSTITUTE(MID($A42,E42+E$2+1,F42-E42-E$2-1),",","."))</f>
        <v>0.90957602214449496</v>
      </c>
      <c r="Y42" s="4">
        <f>VALUE(SUBSTITUTE(MID($A42,F42+F$2+1,G42-F42-F$2-1),",","."))</f>
        <v>0</v>
      </c>
      <c r="Z42" s="3">
        <f>VALUE(SUBSTITUTE(MID($A42,G42+G$2+1,H42-G42-G$2-1),",","."))</f>
        <v>0</v>
      </c>
      <c r="AA42" s="3">
        <f>VALUE(SUBSTITUTE(MID($A42,H42+H$2+1,I42-H42-H$2-1),",","."))</f>
        <v>0</v>
      </c>
      <c r="AB42" s="3">
        <f>VALUE(SUBSTITUTE(MID($A42,I42+I$2+1,J42-I42-I$2-1),",","."))</f>
        <v>0</v>
      </c>
      <c r="AC42" s="3">
        <f>VALUE(SUBSTITUTE(MID($A42,J42+J$2+1,K42-J42-J$2-1),",","."))</f>
        <v>-0.05</v>
      </c>
      <c r="AD42" s="3">
        <f>VALUE(SUBSTITUTE(MID($A42,K42+K$2+1,L42-K42-K$2-1),",","."))</f>
        <v>9.36</v>
      </c>
      <c r="AE42" s="3">
        <f>VALUE(SUBSTITUTE(MID($A42,L42+L$2+1,M42-L42-L$2-1),",","."))</f>
        <v>0</v>
      </c>
      <c r="AF42" s="3">
        <f>VALUE(SUBSTITUTE(MID($A42,M42+M$2+1,N42-M42-M$2-1),",","."))</f>
        <v>0</v>
      </c>
      <c r="AG42" s="3">
        <f>VALUE(SUBSTITUTE(MID($A42,N42+N$2+1,O42-N42-N$2-1),",","."))</f>
        <v>4.2045730203136404</v>
      </c>
      <c r="AH42" t="str">
        <f>MID($A42,O42+O$2+1,P42-O42-O$2-1)</f>
        <v/>
      </c>
      <c r="AI42" s="8" t="str">
        <f>MID($A42,P42+P$2+1,Q42-P42-P$2-1)</f>
        <v>False</v>
      </c>
      <c r="AK42" t="b">
        <f t="shared" si="8"/>
        <v>0</v>
      </c>
    </row>
    <row r="43" spans="1:37" x14ac:dyDescent="0.35">
      <c r="A43" t="s">
        <v>4590</v>
      </c>
      <c r="B43">
        <f t="shared" si="10"/>
        <v>10</v>
      </c>
      <c r="C43">
        <f t="shared" si="10"/>
        <v>43</v>
      </c>
      <c r="D43">
        <f t="shared" si="10"/>
        <v>54</v>
      </c>
      <c r="E43">
        <f t="shared" si="10"/>
        <v>80</v>
      </c>
      <c r="F43">
        <f t="shared" si="10"/>
        <v>124</v>
      </c>
      <c r="G43">
        <f t="shared" si="10"/>
        <v>145</v>
      </c>
      <c r="H43">
        <f t="shared" si="10"/>
        <v>177</v>
      </c>
      <c r="I43">
        <f t="shared" si="10"/>
        <v>199</v>
      </c>
      <c r="J43">
        <f t="shared" si="10"/>
        <v>232</v>
      </c>
      <c r="K43">
        <f t="shared" si="10"/>
        <v>252</v>
      </c>
      <c r="L43">
        <f t="shared" si="10"/>
        <v>267</v>
      </c>
      <c r="M43">
        <f t="shared" si="10"/>
        <v>282</v>
      </c>
      <c r="N43">
        <f t="shared" si="9"/>
        <v>294</v>
      </c>
      <c r="O43">
        <f t="shared" si="9"/>
        <v>319</v>
      </c>
      <c r="P43">
        <f t="shared" si="9"/>
        <v>337</v>
      </c>
      <c r="Q43">
        <f t="shared" si="9"/>
        <v>363</v>
      </c>
      <c r="S43" t="str">
        <f t="shared" si="4"/>
        <v>27.11.2025</v>
      </c>
      <c r="T43" t="str">
        <f t="shared" si="5"/>
        <v>05:15:00</v>
      </c>
      <c r="U43" t="str">
        <f t="shared" si="7"/>
        <v>27.11.2025 05:15:00</v>
      </c>
      <c r="V43" s="9" t="str">
        <f>MID($A43,C43+C$2+1,D43-C43-C$2-1)</f>
        <v>0</v>
      </c>
      <c r="W43" s="4">
        <f>VALUE(SUBSTITUTE(MID($A43,D43+D$2+1,E43-D43-D$2-1),",","."))</f>
        <v>0</v>
      </c>
      <c r="X43" s="4">
        <f>VALUE(SUBSTITUTE(MID($A43,E43+E$2+1,F43-E43-E$2-1),",","."))</f>
        <v>0.90957602214449496</v>
      </c>
      <c r="Y43" s="4">
        <f>VALUE(SUBSTITUTE(MID($A43,F43+F$2+1,G43-F43-F$2-1),",","."))</f>
        <v>0</v>
      </c>
      <c r="Z43" s="3">
        <f>VALUE(SUBSTITUTE(MID($A43,G43+G$2+1,H43-G43-G$2-1),",","."))</f>
        <v>0</v>
      </c>
      <c r="AA43" s="3">
        <f>VALUE(SUBSTITUTE(MID($A43,H43+H$2+1,I43-H43-H$2-1),",","."))</f>
        <v>0</v>
      </c>
      <c r="AB43" s="3">
        <f>VALUE(SUBSTITUTE(MID($A43,I43+I$2+1,J43-I43-I$2-1),",","."))</f>
        <v>0</v>
      </c>
      <c r="AC43" s="3">
        <f>VALUE(SUBSTITUTE(MID($A43,J43+J$2+1,K43-J43-J$2-1),",","."))</f>
        <v>-0.2</v>
      </c>
      <c r="AD43" s="3">
        <f>VALUE(SUBSTITUTE(MID($A43,K43+K$2+1,L43-K43-K$2-1),",","."))</f>
        <v>9</v>
      </c>
      <c r="AE43" s="3">
        <f>VALUE(SUBSTITUTE(MID($A43,L43+L$2+1,M43-L43-L$2-1),",","."))</f>
        <v>0</v>
      </c>
      <c r="AF43" s="3">
        <f>VALUE(SUBSTITUTE(MID($A43,M43+M$2+1,N43-M43-M$2-1),",","."))</f>
        <v>0</v>
      </c>
      <c r="AG43" s="3">
        <f>VALUE(SUBSTITUTE(MID($A43,N43+N$2+1,O43-N43-N$2-1),",","."))</f>
        <v>4.2046015402017201</v>
      </c>
      <c r="AH43" t="str">
        <f>MID($A43,O43+O$2+1,P43-O43-O$2-1)</f>
        <v/>
      </c>
      <c r="AI43" s="8" t="str">
        <f>MID($A43,P43+P$2+1,Q43-P43-P$2-1)</f>
        <v>False</v>
      </c>
      <c r="AK43" t="b">
        <f t="shared" si="8"/>
        <v>0</v>
      </c>
    </row>
    <row r="44" spans="1:37" x14ac:dyDescent="0.35">
      <c r="A44" t="s">
        <v>4591</v>
      </c>
      <c r="B44">
        <f t="shared" si="10"/>
        <v>10</v>
      </c>
      <c r="C44">
        <f t="shared" si="10"/>
        <v>43</v>
      </c>
      <c r="D44">
        <f t="shared" si="10"/>
        <v>54</v>
      </c>
      <c r="E44">
        <f t="shared" si="10"/>
        <v>80</v>
      </c>
      <c r="F44">
        <f t="shared" si="10"/>
        <v>124</v>
      </c>
      <c r="G44">
        <f t="shared" si="10"/>
        <v>145</v>
      </c>
      <c r="H44">
        <f t="shared" si="10"/>
        <v>177</v>
      </c>
      <c r="I44">
        <f t="shared" si="10"/>
        <v>199</v>
      </c>
      <c r="J44">
        <f t="shared" si="10"/>
        <v>232</v>
      </c>
      <c r="K44">
        <f t="shared" si="10"/>
        <v>252</v>
      </c>
      <c r="L44">
        <f t="shared" si="10"/>
        <v>283</v>
      </c>
      <c r="M44">
        <f t="shared" si="10"/>
        <v>298</v>
      </c>
      <c r="N44">
        <f t="shared" si="9"/>
        <v>310</v>
      </c>
      <c r="O44">
        <f t="shared" si="9"/>
        <v>335</v>
      </c>
      <c r="P44">
        <f t="shared" si="9"/>
        <v>353</v>
      </c>
      <c r="Q44">
        <f t="shared" si="9"/>
        <v>379</v>
      </c>
      <c r="S44" t="str">
        <f t="shared" si="4"/>
        <v>27.11.2025</v>
      </c>
      <c r="T44" t="str">
        <f t="shared" si="5"/>
        <v>05:30:00</v>
      </c>
      <c r="U44" t="str">
        <f t="shared" si="7"/>
        <v>27.11.2025 05:30:00</v>
      </c>
      <c r="V44" s="9" t="str">
        <f>MID($A44,C44+C$2+1,D44-C44-C$2-1)</f>
        <v>0</v>
      </c>
      <c r="W44" s="4">
        <f>VALUE(SUBSTITUTE(MID($A44,D44+D$2+1,E44-D44-D$2-1),",","."))</f>
        <v>0</v>
      </c>
      <c r="X44" s="4">
        <f>VALUE(SUBSTITUTE(MID($A44,E44+E$2+1,F44-E44-E$2-1),",","."))</f>
        <v>0.90957602214449496</v>
      </c>
      <c r="Y44" s="4">
        <f>VALUE(SUBSTITUTE(MID($A44,F44+F$2+1,G44-F44-F$2-1),",","."))</f>
        <v>0</v>
      </c>
      <c r="Z44" s="3">
        <f>VALUE(SUBSTITUTE(MID($A44,G44+G$2+1,H44-G44-G$2-1),",","."))</f>
        <v>0</v>
      </c>
      <c r="AA44" s="3">
        <f>VALUE(SUBSTITUTE(MID($A44,H44+H$2+1,I44-H44-H$2-1),",","."))</f>
        <v>0</v>
      </c>
      <c r="AB44" s="3">
        <f>VALUE(SUBSTITUTE(MID($A44,I44+I$2+1,J44-I44-I$2-1),",","."))</f>
        <v>0</v>
      </c>
      <c r="AC44" s="3">
        <f>VALUE(SUBSTITUTE(MID($A44,J44+J$2+1,K44-J44-J$2-1),",","."))</f>
        <v>-0.2</v>
      </c>
      <c r="AD44" s="3">
        <f>VALUE(SUBSTITUTE(MID($A44,K44+K$2+1,L44-K44-K$2-1),",","."))</f>
        <v>8.1</v>
      </c>
      <c r="AE44" s="3">
        <f>VALUE(SUBSTITUTE(MID($A44,L44+L$2+1,M44-L44-L$2-1),",","."))</f>
        <v>0</v>
      </c>
      <c r="AF44" s="3">
        <f>VALUE(SUBSTITUTE(MID($A44,M44+M$2+1,N44-M44-M$2-1),",","."))</f>
        <v>0</v>
      </c>
      <c r="AG44" s="3">
        <f>VALUE(SUBSTITUTE(MID($A44,N44+N$2+1,O44-N44-N$2-1),",","."))</f>
        <v>4.2046300600897997</v>
      </c>
      <c r="AH44" t="str">
        <f>MID($A44,O44+O$2+1,P44-O44-O$2-1)</f>
        <v/>
      </c>
      <c r="AI44" s="8" t="str">
        <f>MID($A44,P44+P$2+1,Q44-P44-P$2-1)</f>
        <v>False</v>
      </c>
      <c r="AK44" t="b">
        <f t="shared" si="8"/>
        <v>0</v>
      </c>
    </row>
    <row r="45" spans="1:37" x14ac:dyDescent="0.35">
      <c r="A45" t="s">
        <v>4592</v>
      </c>
      <c r="B45">
        <f t="shared" si="10"/>
        <v>10</v>
      </c>
      <c r="C45">
        <f t="shared" si="10"/>
        <v>43</v>
      </c>
      <c r="D45">
        <f t="shared" si="10"/>
        <v>54</v>
      </c>
      <c r="E45">
        <f t="shared" si="10"/>
        <v>80</v>
      </c>
      <c r="F45">
        <f t="shared" si="10"/>
        <v>124</v>
      </c>
      <c r="G45">
        <f t="shared" si="10"/>
        <v>145</v>
      </c>
      <c r="H45">
        <f t="shared" si="10"/>
        <v>177</v>
      </c>
      <c r="I45">
        <f t="shared" si="10"/>
        <v>199</v>
      </c>
      <c r="J45">
        <f t="shared" si="10"/>
        <v>232</v>
      </c>
      <c r="K45">
        <f t="shared" si="10"/>
        <v>268</v>
      </c>
      <c r="L45">
        <f t="shared" si="10"/>
        <v>285</v>
      </c>
      <c r="M45">
        <f t="shared" si="10"/>
        <v>300</v>
      </c>
      <c r="N45">
        <f t="shared" si="9"/>
        <v>312</v>
      </c>
      <c r="O45">
        <f t="shared" si="9"/>
        <v>337</v>
      </c>
      <c r="P45">
        <f t="shared" si="9"/>
        <v>355</v>
      </c>
      <c r="Q45">
        <f t="shared" si="9"/>
        <v>381</v>
      </c>
      <c r="S45" t="str">
        <f t="shared" si="4"/>
        <v>27.11.2025</v>
      </c>
      <c r="T45" t="str">
        <f t="shared" si="5"/>
        <v>05:45:00</v>
      </c>
      <c r="U45" t="str">
        <f t="shared" si="7"/>
        <v>27.11.2025 05:45:00</v>
      </c>
      <c r="V45" s="9" t="str">
        <f>MID($A45,C45+C$2+1,D45-C45-C$2-1)</f>
        <v>0</v>
      </c>
      <c r="W45" s="4">
        <f>VALUE(SUBSTITUTE(MID($A45,D45+D$2+1,E45-D45-D$2-1),",","."))</f>
        <v>0</v>
      </c>
      <c r="X45" s="4">
        <f>VALUE(SUBSTITUTE(MID($A45,E45+E$2+1,F45-E45-E$2-1),",","."))</f>
        <v>0.90957602214449496</v>
      </c>
      <c r="Y45" s="4">
        <f>VALUE(SUBSTITUTE(MID($A45,F45+F$2+1,G45-F45-F$2-1),",","."))</f>
        <v>0</v>
      </c>
      <c r="Z45" s="3">
        <f>VALUE(SUBSTITUTE(MID($A45,G45+G$2+1,H45-G45-G$2-1),",","."))</f>
        <v>0</v>
      </c>
      <c r="AA45" s="3">
        <f>VALUE(SUBSTITUTE(MID($A45,H45+H$2+1,I45-H45-H$2-1),",","."))</f>
        <v>0</v>
      </c>
      <c r="AB45" s="3">
        <f>VALUE(SUBSTITUTE(MID($A45,I45+I$2+1,J45-I45-I$2-1),",","."))</f>
        <v>0</v>
      </c>
      <c r="AC45" s="3">
        <f>VALUE(SUBSTITUTE(MID($A45,J45+J$2+1,K45-J45-J$2-1),",","."))</f>
        <v>-0.3</v>
      </c>
      <c r="AD45" s="3">
        <f>VALUE(SUBSTITUTE(MID($A45,K45+K$2+1,L45-K45-K$2-1),",","."))</f>
        <v>7.2</v>
      </c>
      <c r="AE45" s="3">
        <f>VALUE(SUBSTITUTE(MID($A45,L45+L$2+1,M45-L45-L$2-1),",","."))</f>
        <v>0</v>
      </c>
      <c r="AF45" s="3">
        <f>VALUE(SUBSTITUTE(MID($A45,M45+M$2+1,N45-M45-M$2-1),",","."))</f>
        <v>0</v>
      </c>
      <c r="AG45" s="3">
        <f>VALUE(SUBSTITUTE(MID($A45,N45+N$2+1,O45-N45-N$2-1),",","."))</f>
        <v>4.2046585799778802</v>
      </c>
      <c r="AH45" t="str">
        <f>MID($A45,O45+O$2+1,P45-O45-O$2-1)</f>
        <v/>
      </c>
      <c r="AI45" s="8" t="str">
        <f>MID($A45,P45+P$2+1,Q45-P45-P$2-1)</f>
        <v>False</v>
      </c>
      <c r="AK45" t="b">
        <f t="shared" si="8"/>
        <v>0</v>
      </c>
    </row>
    <row r="46" spans="1:37" x14ac:dyDescent="0.35">
      <c r="A46" t="s">
        <v>4593</v>
      </c>
      <c r="B46">
        <f t="shared" si="10"/>
        <v>10</v>
      </c>
      <c r="C46">
        <f t="shared" si="10"/>
        <v>43</v>
      </c>
      <c r="D46">
        <f t="shared" si="10"/>
        <v>54</v>
      </c>
      <c r="E46">
        <f t="shared" si="10"/>
        <v>80</v>
      </c>
      <c r="F46">
        <f t="shared" si="10"/>
        <v>124</v>
      </c>
      <c r="G46">
        <f t="shared" si="10"/>
        <v>145</v>
      </c>
      <c r="H46">
        <f t="shared" si="10"/>
        <v>177</v>
      </c>
      <c r="I46">
        <f t="shared" si="10"/>
        <v>199</v>
      </c>
      <c r="J46">
        <f t="shared" si="10"/>
        <v>232</v>
      </c>
      <c r="K46">
        <f t="shared" si="10"/>
        <v>268</v>
      </c>
      <c r="L46">
        <f t="shared" si="10"/>
        <v>299</v>
      </c>
      <c r="M46">
        <f t="shared" si="10"/>
        <v>314</v>
      </c>
      <c r="N46">
        <f t="shared" si="9"/>
        <v>326</v>
      </c>
      <c r="O46">
        <f t="shared" si="9"/>
        <v>350</v>
      </c>
      <c r="P46">
        <f t="shared" si="9"/>
        <v>368</v>
      </c>
      <c r="Q46">
        <f t="shared" si="9"/>
        <v>394</v>
      </c>
      <c r="S46" t="str">
        <f t="shared" si="4"/>
        <v>27.11.2025</v>
      </c>
      <c r="T46" t="str">
        <f t="shared" si="5"/>
        <v>06:00:00</v>
      </c>
      <c r="U46" t="str">
        <f t="shared" si="7"/>
        <v>27.11.2025 06:00:00</v>
      </c>
      <c r="V46" s="9" t="str">
        <f>MID($A46,C46+C$2+1,D46-C46-C$2-1)</f>
        <v>0</v>
      </c>
      <c r="W46" s="4">
        <f>VALUE(SUBSTITUTE(MID($A46,D46+D$2+1,E46-D46-D$2-1),",","."))</f>
        <v>0</v>
      </c>
      <c r="X46" s="4">
        <f>VALUE(SUBSTITUTE(MID($A46,E46+E$2+1,F46-E46-E$2-1),",","."))</f>
        <v>0.90957602214449496</v>
      </c>
      <c r="Y46" s="4">
        <f>VALUE(SUBSTITUTE(MID($A46,F46+F$2+1,G46-F46-F$2-1),",","."))</f>
        <v>0</v>
      </c>
      <c r="Z46" s="3">
        <f>VALUE(SUBSTITUTE(MID($A46,G46+G$2+1,H46-G46-G$2-1),",","."))</f>
        <v>0</v>
      </c>
      <c r="AA46" s="3">
        <f>VALUE(SUBSTITUTE(MID($A46,H46+H$2+1,I46-H46-H$2-1),",","."))</f>
        <v>0</v>
      </c>
      <c r="AB46" s="3">
        <f>VALUE(SUBSTITUTE(MID($A46,I46+I$2+1,J46-I46-I$2-1),",","."))</f>
        <v>0</v>
      </c>
      <c r="AC46" s="3">
        <f>VALUE(SUBSTITUTE(MID($A46,J46+J$2+1,K46-J46-J$2-1),",","."))</f>
        <v>-0.3</v>
      </c>
      <c r="AD46" s="3">
        <f>VALUE(SUBSTITUTE(MID($A46,K46+K$2+1,L46-K46-K$2-1),",","."))</f>
        <v>7.92</v>
      </c>
      <c r="AE46" s="3">
        <f>VALUE(SUBSTITUTE(MID($A46,L46+L$2+1,M46-L46-L$2-1),",","."))</f>
        <v>0</v>
      </c>
      <c r="AF46" s="3">
        <f>VALUE(SUBSTITUTE(MID($A46,M46+M$2+1,N46-M46-M$2-1),",","."))</f>
        <v>0</v>
      </c>
      <c r="AG46" s="3">
        <f>VALUE(SUBSTITUTE(MID($A46,N46+N$2+1,O46-N46-N$2-1),",","."))</f>
        <v>4.2046870998659696</v>
      </c>
      <c r="AH46" t="str">
        <f>MID($A46,O46+O$2+1,P46-O46-O$2-1)</f>
        <v/>
      </c>
      <c r="AI46" s="8" t="str">
        <f>MID($A46,P46+P$2+1,Q46-P46-P$2-1)</f>
        <v>False</v>
      </c>
      <c r="AK46" t="b">
        <f t="shared" si="8"/>
        <v>0</v>
      </c>
    </row>
    <row r="47" spans="1:37" x14ac:dyDescent="0.35">
      <c r="A47" t="s">
        <v>4594</v>
      </c>
      <c r="B47">
        <f t="shared" si="10"/>
        <v>10</v>
      </c>
      <c r="C47">
        <f t="shared" si="10"/>
        <v>43</v>
      </c>
      <c r="D47">
        <f t="shared" si="10"/>
        <v>54</v>
      </c>
      <c r="E47">
        <f t="shared" si="10"/>
        <v>80</v>
      </c>
      <c r="F47">
        <f t="shared" si="10"/>
        <v>124</v>
      </c>
      <c r="G47">
        <f t="shared" si="10"/>
        <v>145</v>
      </c>
      <c r="H47">
        <f t="shared" si="10"/>
        <v>177</v>
      </c>
      <c r="I47">
        <f t="shared" si="10"/>
        <v>199</v>
      </c>
      <c r="J47">
        <f t="shared" si="10"/>
        <v>232</v>
      </c>
      <c r="K47">
        <f t="shared" si="10"/>
        <v>253</v>
      </c>
      <c r="L47">
        <f t="shared" si="10"/>
        <v>284</v>
      </c>
      <c r="M47">
        <f t="shared" si="10"/>
        <v>299</v>
      </c>
      <c r="N47">
        <f t="shared" si="9"/>
        <v>311</v>
      </c>
      <c r="O47">
        <f t="shared" si="9"/>
        <v>336</v>
      </c>
      <c r="P47">
        <f t="shared" si="9"/>
        <v>354</v>
      </c>
      <c r="Q47">
        <f t="shared" si="9"/>
        <v>380</v>
      </c>
      <c r="S47" t="str">
        <f t="shared" si="4"/>
        <v>27.11.2025</v>
      </c>
      <c r="T47" t="str">
        <f t="shared" si="5"/>
        <v>06:15:00</v>
      </c>
      <c r="U47" t="str">
        <f t="shared" si="7"/>
        <v>27.11.2025 06:15:00</v>
      </c>
      <c r="V47" s="9" t="str">
        <f>MID($A47,C47+C$2+1,D47-C47-C$2-1)</f>
        <v>0</v>
      </c>
      <c r="W47" s="4">
        <f>VALUE(SUBSTITUTE(MID($A47,D47+D$2+1,E47-D47-D$2-1),",","."))</f>
        <v>0</v>
      </c>
      <c r="X47" s="4">
        <f>VALUE(SUBSTITUTE(MID($A47,E47+E$2+1,F47-E47-E$2-1),",","."))</f>
        <v>0.90957602214449496</v>
      </c>
      <c r="Y47" s="4">
        <f>VALUE(SUBSTITUTE(MID($A47,F47+F$2+1,G47-F47-F$2-1),",","."))</f>
        <v>0</v>
      </c>
      <c r="Z47" s="3">
        <f>VALUE(SUBSTITUTE(MID($A47,G47+G$2+1,H47-G47-G$2-1),",","."))</f>
        <v>0</v>
      </c>
      <c r="AA47" s="3">
        <f>VALUE(SUBSTITUTE(MID($A47,H47+H$2+1,I47-H47-H$2-1),",","."))</f>
        <v>0</v>
      </c>
      <c r="AB47" s="3">
        <f>VALUE(SUBSTITUTE(MID($A47,I47+I$2+1,J47-I47-I$2-1),",","."))</f>
        <v>0</v>
      </c>
      <c r="AC47" s="3">
        <f>VALUE(SUBSTITUTE(MID($A47,J47+J$2+1,K47-J47-J$2-1),",","."))</f>
        <v>-0.35</v>
      </c>
      <c r="AD47" s="3">
        <f>VALUE(SUBSTITUTE(MID($A47,K47+K$2+1,L47-K47-K$2-1),",","."))</f>
        <v>7.38</v>
      </c>
      <c r="AE47" s="3">
        <f>VALUE(SUBSTITUTE(MID($A47,L47+L$2+1,M47-L47-L$2-1),",","."))</f>
        <v>0</v>
      </c>
      <c r="AF47" s="3">
        <f>VALUE(SUBSTITUTE(MID($A47,M47+M$2+1,N47-M47-M$2-1),",","."))</f>
        <v>0</v>
      </c>
      <c r="AG47" s="3">
        <f>VALUE(SUBSTITUTE(MID($A47,N47+N$2+1,O47-N47-N$2-1),",","."))</f>
        <v>4.2047156197540501</v>
      </c>
      <c r="AH47" t="str">
        <f>MID($A47,O47+O$2+1,P47-O47-O$2-1)</f>
        <v/>
      </c>
      <c r="AI47" s="8" t="str">
        <f>MID($A47,P47+P$2+1,Q47-P47-P$2-1)</f>
        <v>False</v>
      </c>
      <c r="AK47" t="b">
        <f t="shared" si="8"/>
        <v>0</v>
      </c>
    </row>
    <row r="48" spans="1:37" x14ac:dyDescent="0.35">
      <c r="A48" t="s">
        <v>4595</v>
      </c>
      <c r="B48">
        <f t="shared" si="10"/>
        <v>10</v>
      </c>
      <c r="C48">
        <f t="shared" si="10"/>
        <v>43</v>
      </c>
      <c r="D48">
        <f t="shared" si="10"/>
        <v>54</v>
      </c>
      <c r="E48">
        <f t="shared" si="10"/>
        <v>80</v>
      </c>
      <c r="F48">
        <f t="shared" si="10"/>
        <v>124</v>
      </c>
      <c r="G48">
        <f t="shared" si="10"/>
        <v>145</v>
      </c>
      <c r="H48">
        <f t="shared" si="10"/>
        <v>177</v>
      </c>
      <c r="I48">
        <f t="shared" si="10"/>
        <v>199</v>
      </c>
      <c r="J48">
        <f t="shared" si="10"/>
        <v>232</v>
      </c>
      <c r="K48">
        <f t="shared" si="10"/>
        <v>268</v>
      </c>
      <c r="L48">
        <f t="shared" si="10"/>
        <v>299</v>
      </c>
      <c r="M48">
        <f t="shared" si="10"/>
        <v>314</v>
      </c>
      <c r="N48">
        <f t="shared" si="9"/>
        <v>326</v>
      </c>
      <c r="O48">
        <f t="shared" si="9"/>
        <v>351</v>
      </c>
      <c r="P48">
        <f t="shared" si="9"/>
        <v>369</v>
      </c>
      <c r="Q48">
        <f t="shared" si="9"/>
        <v>395</v>
      </c>
      <c r="S48" t="str">
        <f t="shared" si="4"/>
        <v>27.11.2025</v>
      </c>
      <c r="T48" t="str">
        <f t="shared" si="5"/>
        <v>06:30:00</v>
      </c>
      <c r="U48" t="str">
        <f t="shared" si="7"/>
        <v>27.11.2025 06:30:00</v>
      </c>
      <c r="V48" s="9" t="str">
        <f>MID($A48,C48+C$2+1,D48-C48-C$2-1)</f>
        <v>0</v>
      </c>
      <c r="W48" s="4">
        <f>VALUE(SUBSTITUTE(MID($A48,D48+D$2+1,E48-D48-D$2-1),",","."))</f>
        <v>0</v>
      </c>
      <c r="X48" s="4">
        <f>VALUE(SUBSTITUTE(MID($A48,E48+E$2+1,F48-E48-E$2-1),",","."))</f>
        <v>0.90957602214449496</v>
      </c>
      <c r="Y48" s="4">
        <f>VALUE(SUBSTITUTE(MID($A48,F48+F$2+1,G48-F48-F$2-1),",","."))</f>
        <v>0</v>
      </c>
      <c r="Z48" s="3">
        <f>VALUE(SUBSTITUTE(MID($A48,G48+G$2+1,H48-G48-G$2-1),",","."))</f>
        <v>0</v>
      </c>
      <c r="AA48" s="3">
        <f>VALUE(SUBSTITUTE(MID($A48,H48+H$2+1,I48-H48-H$2-1),",","."))</f>
        <v>0</v>
      </c>
      <c r="AB48" s="3">
        <f>VALUE(SUBSTITUTE(MID($A48,I48+I$2+1,J48-I48-I$2-1),",","."))</f>
        <v>0</v>
      </c>
      <c r="AC48" s="3">
        <f>VALUE(SUBSTITUTE(MID($A48,J48+J$2+1,K48-J48-J$2-1),",","."))</f>
        <v>-0.44999999999999901</v>
      </c>
      <c r="AD48" s="3">
        <f>VALUE(SUBSTITUTE(MID($A48,K48+K$2+1,L48-K48-K$2-1),",","."))</f>
        <v>7.2</v>
      </c>
      <c r="AE48" s="3">
        <f>VALUE(SUBSTITUTE(MID($A48,L48+L$2+1,M48-L48-L$2-1),",","."))</f>
        <v>0</v>
      </c>
      <c r="AF48" s="3">
        <f>VALUE(SUBSTITUTE(MID($A48,M48+M$2+1,N48-M48-M$2-1),",","."))</f>
        <v>0</v>
      </c>
      <c r="AG48" s="3">
        <f>VALUE(SUBSTITUTE(MID($A48,N48+N$2+1,O48-N48-N$2-1),",","."))</f>
        <v>4.2047441396421297</v>
      </c>
      <c r="AH48" t="str">
        <f>MID($A48,O48+O$2+1,P48-O48-O$2-1)</f>
        <v/>
      </c>
      <c r="AI48" s="8" t="str">
        <f>MID($A48,P48+P$2+1,Q48-P48-P$2-1)</f>
        <v>False</v>
      </c>
      <c r="AK48" t="b">
        <f t="shared" si="8"/>
        <v>0</v>
      </c>
    </row>
    <row r="49" spans="1:37" x14ac:dyDescent="0.35">
      <c r="A49" t="s">
        <v>4596</v>
      </c>
      <c r="B49">
        <f t="shared" si="10"/>
        <v>10</v>
      </c>
      <c r="C49">
        <f t="shared" si="10"/>
        <v>43</v>
      </c>
      <c r="D49">
        <f t="shared" si="10"/>
        <v>54</v>
      </c>
      <c r="E49">
        <f t="shared" si="10"/>
        <v>80</v>
      </c>
      <c r="F49">
        <f t="shared" si="10"/>
        <v>124</v>
      </c>
      <c r="G49">
        <f t="shared" si="10"/>
        <v>145</v>
      </c>
      <c r="H49">
        <f t="shared" si="10"/>
        <v>177</v>
      </c>
      <c r="I49">
        <f t="shared" si="10"/>
        <v>199</v>
      </c>
      <c r="J49">
        <f t="shared" si="10"/>
        <v>232</v>
      </c>
      <c r="K49">
        <f t="shared" si="10"/>
        <v>252</v>
      </c>
      <c r="L49">
        <f t="shared" si="10"/>
        <v>270</v>
      </c>
      <c r="M49">
        <f t="shared" si="10"/>
        <v>285</v>
      </c>
      <c r="N49">
        <f t="shared" si="9"/>
        <v>297</v>
      </c>
      <c r="O49">
        <f t="shared" si="9"/>
        <v>322</v>
      </c>
      <c r="P49">
        <f t="shared" si="9"/>
        <v>340</v>
      </c>
      <c r="Q49">
        <f t="shared" si="9"/>
        <v>366</v>
      </c>
      <c r="S49" t="str">
        <f t="shared" si="4"/>
        <v>27.11.2025</v>
      </c>
      <c r="T49" t="str">
        <f t="shared" si="5"/>
        <v>06:45:00</v>
      </c>
      <c r="U49" t="str">
        <f t="shared" si="7"/>
        <v>27.11.2025 06:45:00</v>
      </c>
      <c r="V49" s="9" t="str">
        <f>MID($A49,C49+C$2+1,D49-C49-C$2-1)</f>
        <v>0</v>
      </c>
      <c r="W49" s="4">
        <f>VALUE(SUBSTITUTE(MID($A49,D49+D$2+1,E49-D49-D$2-1),",","."))</f>
        <v>0</v>
      </c>
      <c r="X49" s="4">
        <f>VALUE(SUBSTITUTE(MID($A49,E49+E$2+1,F49-E49-E$2-1),",","."))</f>
        <v>0.90957602214449496</v>
      </c>
      <c r="Y49" s="4">
        <f>VALUE(SUBSTITUTE(MID($A49,F49+F$2+1,G49-F49-F$2-1),",","."))</f>
        <v>0</v>
      </c>
      <c r="Z49" s="3">
        <f>VALUE(SUBSTITUTE(MID($A49,G49+G$2+1,H49-G49-G$2-1),",","."))</f>
        <v>0</v>
      </c>
      <c r="AA49" s="3">
        <f>VALUE(SUBSTITUTE(MID($A49,H49+H$2+1,I49-H49-H$2-1),",","."))</f>
        <v>0</v>
      </c>
      <c r="AB49" s="3">
        <f>VALUE(SUBSTITUTE(MID($A49,I49+I$2+1,J49-I49-I$2-1),",","."))</f>
        <v>0</v>
      </c>
      <c r="AC49" s="3">
        <f>VALUE(SUBSTITUTE(MID($A49,J49+J$2+1,K49-J49-J$2-1),",","."))</f>
        <v>-0.6</v>
      </c>
      <c r="AD49" s="3">
        <f>VALUE(SUBSTITUTE(MID($A49,K49+K$2+1,L49-K49-K$2-1),",","."))</f>
        <v>7.02</v>
      </c>
      <c r="AE49" s="3">
        <f>VALUE(SUBSTITUTE(MID($A49,L49+L$2+1,M49-L49-L$2-1),",","."))</f>
        <v>0</v>
      </c>
      <c r="AF49" s="3">
        <f>VALUE(SUBSTITUTE(MID($A49,M49+M$2+1,N49-M49-M$2-1),",","."))</f>
        <v>0</v>
      </c>
      <c r="AG49" s="3">
        <f>VALUE(SUBSTITUTE(MID($A49,N49+N$2+1,O49-N49-N$2-1),",","."))</f>
        <v>4.2047726595302102</v>
      </c>
      <c r="AH49" t="str">
        <f>MID($A49,O49+O$2+1,P49-O49-O$2-1)</f>
        <v/>
      </c>
      <c r="AI49" s="8" t="str">
        <f>MID($A49,P49+P$2+1,Q49-P49-P$2-1)</f>
        <v>False</v>
      </c>
      <c r="AK49" t="b">
        <f t="shared" si="8"/>
        <v>0</v>
      </c>
    </row>
    <row r="50" spans="1:37" x14ac:dyDescent="0.35">
      <c r="A50" t="s">
        <v>4597</v>
      </c>
      <c r="B50">
        <f t="shared" si="10"/>
        <v>10</v>
      </c>
      <c r="C50">
        <f t="shared" si="10"/>
        <v>43</v>
      </c>
      <c r="D50">
        <f t="shared" si="10"/>
        <v>54</v>
      </c>
      <c r="E50">
        <f t="shared" si="10"/>
        <v>80</v>
      </c>
      <c r="F50">
        <f t="shared" si="10"/>
        <v>124</v>
      </c>
      <c r="G50">
        <f t="shared" si="10"/>
        <v>145</v>
      </c>
      <c r="H50">
        <f t="shared" si="10"/>
        <v>177</v>
      </c>
      <c r="I50">
        <f t="shared" si="10"/>
        <v>199</v>
      </c>
      <c r="J50">
        <f t="shared" si="10"/>
        <v>232</v>
      </c>
      <c r="K50">
        <f t="shared" si="10"/>
        <v>252</v>
      </c>
      <c r="L50">
        <f t="shared" si="10"/>
        <v>269</v>
      </c>
      <c r="M50">
        <f t="shared" si="10"/>
        <v>284</v>
      </c>
      <c r="N50">
        <f t="shared" si="9"/>
        <v>296</v>
      </c>
      <c r="O50">
        <f t="shared" si="9"/>
        <v>321</v>
      </c>
      <c r="P50">
        <f t="shared" si="9"/>
        <v>339</v>
      </c>
      <c r="Q50">
        <f t="shared" si="9"/>
        <v>365</v>
      </c>
      <c r="S50" t="str">
        <f t="shared" si="4"/>
        <v>27.11.2025</v>
      </c>
      <c r="T50" t="str">
        <f t="shared" si="5"/>
        <v>07:00:00</v>
      </c>
      <c r="U50" t="str">
        <f t="shared" si="7"/>
        <v>27.11.2025 07:00:00</v>
      </c>
      <c r="V50" s="9" t="str">
        <f>MID($A50,C50+C$2+1,D50-C50-C$2-1)</f>
        <v>0</v>
      </c>
      <c r="W50" s="4">
        <f>VALUE(SUBSTITUTE(MID($A50,D50+D$2+1,E50-D50-D$2-1),",","."))</f>
        <v>0</v>
      </c>
      <c r="X50" s="4">
        <f>VALUE(SUBSTITUTE(MID($A50,E50+E$2+1,F50-E50-E$2-1),",","."))</f>
        <v>0.90957602214449496</v>
      </c>
      <c r="Y50" s="4">
        <f>VALUE(SUBSTITUTE(MID($A50,F50+F$2+1,G50-F50-F$2-1),",","."))</f>
        <v>0</v>
      </c>
      <c r="Z50" s="3">
        <f>VALUE(SUBSTITUTE(MID($A50,G50+G$2+1,H50-G50-G$2-1),",","."))</f>
        <v>0</v>
      </c>
      <c r="AA50" s="3">
        <f>VALUE(SUBSTITUTE(MID($A50,H50+H$2+1,I50-H50-H$2-1),",","."))</f>
        <v>0</v>
      </c>
      <c r="AB50" s="3">
        <f>VALUE(SUBSTITUTE(MID($A50,I50+I$2+1,J50-I50-I$2-1),",","."))</f>
        <v>0</v>
      </c>
      <c r="AC50" s="3">
        <f>VALUE(SUBSTITUTE(MID($A50,J50+J$2+1,K50-J50-J$2-1),",","."))</f>
        <v>-0.7</v>
      </c>
      <c r="AD50" s="3">
        <f>VALUE(SUBSTITUTE(MID($A50,K50+K$2+1,L50-K50-K$2-1),",","."))</f>
        <v>8.1</v>
      </c>
      <c r="AE50" s="3">
        <f>VALUE(SUBSTITUTE(MID($A50,L50+L$2+1,M50-L50-L$2-1),",","."))</f>
        <v>0</v>
      </c>
      <c r="AF50" s="3">
        <f>VALUE(SUBSTITUTE(MID($A50,M50+M$2+1,N50-M50-M$2-1),",","."))</f>
        <v>0</v>
      </c>
      <c r="AG50" s="3">
        <f>VALUE(SUBSTITUTE(MID($A50,N50+N$2+1,O50-N50-N$2-1),",","."))</f>
        <v>4.2048011794182898</v>
      </c>
      <c r="AH50" t="str">
        <f>MID($A50,O50+O$2+1,P50-O50-O$2-1)</f>
        <v/>
      </c>
      <c r="AI50" s="8" t="str">
        <f>MID($A50,P50+P$2+1,Q50-P50-P$2-1)</f>
        <v>False</v>
      </c>
      <c r="AK50" t="b">
        <f t="shared" si="8"/>
        <v>0</v>
      </c>
    </row>
    <row r="51" spans="1:37" x14ac:dyDescent="0.35">
      <c r="A51" t="s">
        <v>4598</v>
      </c>
      <c r="B51">
        <f t="shared" si="10"/>
        <v>10</v>
      </c>
      <c r="C51">
        <f t="shared" si="10"/>
        <v>43</v>
      </c>
      <c r="D51">
        <f t="shared" si="10"/>
        <v>54</v>
      </c>
      <c r="E51">
        <f t="shared" si="10"/>
        <v>80</v>
      </c>
      <c r="F51">
        <f t="shared" si="10"/>
        <v>124</v>
      </c>
      <c r="G51">
        <f t="shared" si="10"/>
        <v>145</v>
      </c>
      <c r="H51">
        <f t="shared" si="10"/>
        <v>177</v>
      </c>
      <c r="I51">
        <f t="shared" si="10"/>
        <v>199</v>
      </c>
      <c r="J51">
        <f t="shared" si="10"/>
        <v>232</v>
      </c>
      <c r="K51">
        <f t="shared" si="10"/>
        <v>252</v>
      </c>
      <c r="L51">
        <f t="shared" si="10"/>
        <v>270</v>
      </c>
      <c r="M51">
        <f t="shared" si="10"/>
        <v>285</v>
      </c>
      <c r="N51">
        <f t="shared" si="9"/>
        <v>297</v>
      </c>
      <c r="O51">
        <f t="shared" si="9"/>
        <v>322</v>
      </c>
      <c r="P51">
        <f t="shared" si="9"/>
        <v>340</v>
      </c>
      <c r="Q51">
        <f t="shared" si="9"/>
        <v>366</v>
      </c>
      <c r="S51" t="str">
        <f t="shared" si="4"/>
        <v>27.11.2025</v>
      </c>
      <c r="T51" t="str">
        <f t="shared" si="5"/>
        <v>07:15:00</v>
      </c>
      <c r="U51" t="str">
        <f t="shared" si="7"/>
        <v>27.11.2025 07:15:00</v>
      </c>
      <c r="V51" s="9" t="str">
        <f>MID($A51,C51+C$2+1,D51-C51-C$2-1)</f>
        <v>0</v>
      </c>
      <c r="W51" s="4">
        <f>VALUE(SUBSTITUTE(MID($A51,D51+D$2+1,E51-D51-D$2-1),",","."))</f>
        <v>0</v>
      </c>
      <c r="X51" s="4">
        <f>VALUE(SUBSTITUTE(MID($A51,E51+E$2+1,F51-E51-E$2-1),",","."))</f>
        <v>0.90957602214449496</v>
      </c>
      <c r="Y51" s="4">
        <f>VALUE(SUBSTITUTE(MID($A51,F51+F$2+1,G51-F51-F$2-1),",","."))</f>
        <v>0</v>
      </c>
      <c r="Z51" s="3">
        <f>VALUE(SUBSTITUTE(MID($A51,G51+G$2+1,H51-G51-G$2-1),",","."))</f>
        <v>0</v>
      </c>
      <c r="AA51" s="3">
        <f>VALUE(SUBSTITUTE(MID($A51,H51+H$2+1,I51-H51-H$2-1),",","."))</f>
        <v>0</v>
      </c>
      <c r="AB51" s="3">
        <f>VALUE(SUBSTITUTE(MID($A51,I51+I$2+1,J51-I51-I$2-1),",","."))</f>
        <v>0</v>
      </c>
      <c r="AC51" s="3">
        <f>VALUE(SUBSTITUTE(MID($A51,J51+J$2+1,K51-J51-J$2-1),",","."))</f>
        <v>-0.8</v>
      </c>
      <c r="AD51" s="3">
        <f>VALUE(SUBSTITUTE(MID($A51,K51+K$2+1,L51-K51-K$2-1),",","."))</f>
        <v>8.82</v>
      </c>
      <c r="AE51" s="3">
        <f>VALUE(SUBSTITUTE(MID($A51,L51+L$2+1,M51-L51-L$2-1),",","."))</f>
        <v>0</v>
      </c>
      <c r="AF51" s="3">
        <f>VALUE(SUBSTITUTE(MID($A51,M51+M$2+1,N51-M51-M$2-1),",","."))</f>
        <v>0</v>
      </c>
      <c r="AG51" s="3">
        <f>VALUE(SUBSTITUTE(MID($A51,N51+N$2+1,O51-N51-N$2-1),",","."))</f>
        <v>4.2048296993063703</v>
      </c>
      <c r="AH51" t="str">
        <f>MID($A51,O51+O$2+1,P51-O51-O$2-1)</f>
        <v/>
      </c>
      <c r="AI51" s="8" t="str">
        <f>MID($A51,P51+P$2+1,Q51-P51-P$2-1)</f>
        <v>False</v>
      </c>
      <c r="AK51" t="b">
        <f t="shared" si="8"/>
        <v>0</v>
      </c>
    </row>
    <row r="52" spans="1:37" x14ac:dyDescent="0.35">
      <c r="A52" t="s">
        <v>4599</v>
      </c>
      <c r="B52">
        <f t="shared" si="10"/>
        <v>10</v>
      </c>
      <c r="C52">
        <f t="shared" si="10"/>
        <v>43</v>
      </c>
      <c r="D52">
        <f t="shared" si="10"/>
        <v>54</v>
      </c>
      <c r="E52">
        <f t="shared" si="10"/>
        <v>80</v>
      </c>
      <c r="F52">
        <f t="shared" si="10"/>
        <v>124</v>
      </c>
      <c r="G52">
        <f t="shared" si="10"/>
        <v>145</v>
      </c>
      <c r="H52">
        <f t="shared" si="10"/>
        <v>177</v>
      </c>
      <c r="I52">
        <f t="shared" si="10"/>
        <v>199</v>
      </c>
      <c r="J52">
        <f t="shared" si="10"/>
        <v>232</v>
      </c>
      <c r="K52">
        <f t="shared" si="10"/>
        <v>267</v>
      </c>
      <c r="L52">
        <f t="shared" si="10"/>
        <v>285</v>
      </c>
      <c r="M52">
        <f t="shared" si="10"/>
        <v>300</v>
      </c>
      <c r="N52">
        <f t="shared" si="9"/>
        <v>312</v>
      </c>
      <c r="O52">
        <f t="shared" si="9"/>
        <v>336</v>
      </c>
      <c r="P52">
        <f t="shared" si="9"/>
        <v>354</v>
      </c>
      <c r="Q52">
        <f t="shared" si="9"/>
        <v>380</v>
      </c>
      <c r="S52" t="str">
        <f t="shared" si="4"/>
        <v>27.11.2025</v>
      </c>
      <c r="T52" t="str">
        <f t="shared" si="5"/>
        <v>07:30:00</v>
      </c>
      <c r="U52" t="str">
        <f t="shared" si="7"/>
        <v>27.11.2025 07:30:00</v>
      </c>
      <c r="V52" s="9" t="str">
        <f>MID($A52,C52+C$2+1,D52-C52-C$2-1)</f>
        <v>0</v>
      </c>
      <c r="W52" s="4">
        <f>VALUE(SUBSTITUTE(MID($A52,D52+D$2+1,E52-D52-D$2-1),",","."))</f>
        <v>0</v>
      </c>
      <c r="X52" s="4">
        <f>VALUE(SUBSTITUTE(MID($A52,E52+E$2+1,F52-E52-E$2-1),",","."))</f>
        <v>0.90957602214449496</v>
      </c>
      <c r="Y52" s="4">
        <f>VALUE(SUBSTITUTE(MID($A52,F52+F$2+1,G52-F52-F$2-1),",","."))</f>
        <v>0</v>
      </c>
      <c r="Z52" s="3">
        <f>VALUE(SUBSTITUTE(MID($A52,G52+G$2+1,H52-G52-G$2-1),",","."))</f>
        <v>0</v>
      </c>
      <c r="AA52" s="3">
        <f>VALUE(SUBSTITUTE(MID($A52,H52+H$2+1,I52-H52-H$2-1),",","."))</f>
        <v>0</v>
      </c>
      <c r="AB52" s="3">
        <f>VALUE(SUBSTITUTE(MID($A52,I52+I$2+1,J52-I52-I$2-1),",","."))</f>
        <v>0</v>
      </c>
      <c r="AC52" s="3">
        <f>VALUE(SUBSTITUTE(MID($A52,J52+J$2+1,K52-J52-J$2-1),",","."))</f>
        <v>-0.85</v>
      </c>
      <c r="AD52" s="3">
        <f>VALUE(SUBSTITUTE(MID($A52,K52+K$2+1,L52-K52-K$2-1),",","."))</f>
        <v>8.82</v>
      </c>
      <c r="AE52" s="3">
        <f>VALUE(SUBSTITUTE(MID($A52,L52+L$2+1,M52-L52-L$2-1),",","."))</f>
        <v>0</v>
      </c>
      <c r="AF52" s="3">
        <f>VALUE(SUBSTITUTE(MID($A52,M52+M$2+1,N52-M52-M$2-1),",","."))</f>
        <v>0</v>
      </c>
      <c r="AG52" s="3">
        <f>VALUE(SUBSTITUTE(MID($A52,N52+N$2+1,O52-N52-N$2-1),",","."))</f>
        <v>4.2048582191944597</v>
      </c>
      <c r="AH52" t="str">
        <f>MID($A52,O52+O$2+1,P52-O52-O$2-1)</f>
        <v/>
      </c>
      <c r="AI52" s="8" t="str">
        <f>MID($A52,P52+P$2+1,Q52-P52-P$2-1)</f>
        <v>False</v>
      </c>
      <c r="AK52" t="b">
        <f t="shared" si="8"/>
        <v>0</v>
      </c>
    </row>
    <row r="53" spans="1:37" x14ac:dyDescent="0.35">
      <c r="A53" t="s">
        <v>4600</v>
      </c>
      <c r="B53">
        <f t="shared" si="10"/>
        <v>10</v>
      </c>
      <c r="C53">
        <f t="shared" si="10"/>
        <v>43</v>
      </c>
      <c r="D53">
        <f t="shared" si="10"/>
        <v>54</v>
      </c>
      <c r="E53">
        <f t="shared" si="10"/>
        <v>80</v>
      </c>
      <c r="F53">
        <f t="shared" si="10"/>
        <v>124</v>
      </c>
      <c r="G53">
        <f t="shared" si="10"/>
        <v>164</v>
      </c>
      <c r="H53">
        <f t="shared" si="10"/>
        <v>196</v>
      </c>
      <c r="I53">
        <f t="shared" si="10"/>
        <v>218</v>
      </c>
      <c r="J53">
        <f t="shared" si="10"/>
        <v>251</v>
      </c>
      <c r="K53">
        <f t="shared" si="10"/>
        <v>271</v>
      </c>
      <c r="L53">
        <f t="shared" si="10"/>
        <v>290</v>
      </c>
      <c r="M53">
        <f t="shared" si="10"/>
        <v>305</v>
      </c>
      <c r="N53">
        <f t="shared" si="9"/>
        <v>317</v>
      </c>
      <c r="O53">
        <f t="shared" si="9"/>
        <v>342</v>
      </c>
      <c r="P53">
        <f t="shared" si="9"/>
        <v>360</v>
      </c>
      <c r="Q53">
        <f t="shared" si="9"/>
        <v>386</v>
      </c>
      <c r="S53" t="str">
        <f t="shared" si="4"/>
        <v>27.11.2025</v>
      </c>
      <c r="T53" t="str">
        <f t="shared" si="5"/>
        <v>07:45:00</v>
      </c>
      <c r="U53" t="str">
        <f t="shared" si="7"/>
        <v>27.11.2025 07:45:00</v>
      </c>
      <c r="V53" s="9" t="str">
        <f>MID($A53,C53+C$2+1,D53-C53-C$2-1)</f>
        <v>0</v>
      </c>
      <c r="W53" s="4">
        <f>VALUE(SUBSTITUTE(MID($A53,D53+D$2+1,E53-D53-D$2-1),",","."))</f>
        <v>0</v>
      </c>
      <c r="X53" s="4">
        <f>VALUE(SUBSTITUTE(MID($A53,E53+E$2+1,F53-E53-E$2-1),",","."))</f>
        <v>0.90957602214449496</v>
      </c>
      <c r="Y53" s="4">
        <f>VALUE(SUBSTITUTE(MID($A53,F53+F$2+1,G53-F53-F$2-1),",","."))</f>
        <v>9.7116870766217993E-3</v>
      </c>
      <c r="Z53" s="3">
        <f>VALUE(SUBSTITUTE(MID($A53,G53+G$2+1,H53-G53-G$2-1),",","."))</f>
        <v>0</v>
      </c>
      <c r="AA53" s="3">
        <f>VALUE(SUBSTITUTE(MID($A53,H53+H$2+1,I53-H53-H$2-1),",","."))</f>
        <v>0</v>
      </c>
      <c r="AB53" s="3">
        <f>VALUE(SUBSTITUTE(MID($A53,I53+I$2+1,J53-I53-I$2-1),",","."))</f>
        <v>0</v>
      </c>
      <c r="AC53" s="3">
        <f>VALUE(SUBSTITUTE(MID($A53,J53+J$2+1,K53-J53-J$2-1),",","."))</f>
        <v>-0.9</v>
      </c>
      <c r="AD53" s="3">
        <f>VALUE(SUBSTITUTE(MID($A53,K53+K$2+1,L53-K53-K$2-1),",","."))</f>
        <v>10.26</v>
      </c>
      <c r="AE53" s="3">
        <f>VALUE(SUBSTITUTE(MID($A53,L53+L$2+1,M53-L53-L$2-1),",","."))</f>
        <v>0</v>
      </c>
      <c r="AF53" s="3">
        <f>VALUE(SUBSTITUTE(MID($A53,M53+M$2+1,N53-M53-M$2-1),",","."))</f>
        <v>0</v>
      </c>
      <c r="AG53" s="3">
        <f>VALUE(SUBSTITUTE(MID($A53,N53+N$2+1,O53-N53-N$2-1),",","."))</f>
        <v>4.2048867390825402</v>
      </c>
      <c r="AH53" t="str">
        <f>MID($A53,O53+O$2+1,P53-O53-O$2-1)</f>
        <v/>
      </c>
      <c r="AI53" s="8" t="str">
        <f>MID($A53,P53+P$2+1,Q53-P53-P$2-1)</f>
        <v>False</v>
      </c>
      <c r="AK53" t="b">
        <f t="shared" si="8"/>
        <v>0</v>
      </c>
    </row>
    <row r="54" spans="1:37" x14ac:dyDescent="0.35">
      <c r="A54" t="s">
        <v>4601</v>
      </c>
      <c r="B54">
        <f t="shared" si="10"/>
        <v>10</v>
      </c>
      <c r="C54">
        <f t="shared" si="10"/>
        <v>43</v>
      </c>
      <c r="D54">
        <f t="shared" si="10"/>
        <v>54</v>
      </c>
      <c r="E54">
        <f t="shared" si="10"/>
        <v>97</v>
      </c>
      <c r="F54">
        <f t="shared" si="10"/>
        <v>141</v>
      </c>
      <c r="G54">
        <f t="shared" si="10"/>
        <v>181</v>
      </c>
      <c r="H54">
        <f t="shared" si="10"/>
        <v>213</v>
      </c>
      <c r="I54">
        <f t="shared" si="10"/>
        <v>235</v>
      </c>
      <c r="J54">
        <f t="shared" si="10"/>
        <v>268</v>
      </c>
      <c r="K54">
        <f t="shared" si="10"/>
        <v>288</v>
      </c>
      <c r="L54">
        <f t="shared" si="10"/>
        <v>320</v>
      </c>
      <c r="M54">
        <f t="shared" si="10"/>
        <v>335</v>
      </c>
      <c r="N54">
        <f t="shared" si="9"/>
        <v>347</v>
      </c>
      <c r="O54">
        <f t="shared" si="9"/>
        <v>373</v>
      </c>
      <c r="P54">
        <f t="shared" si="9"/>
        <v>391</v>
      </c>
      <c r="Q54">
        <f t="shared" si="9"/>
        <v>417</v>
      </c>
      <c r="S54" t="str">
        <f t="shared" si="4"/>
        <v>27.11.2025</v>
      </c>
      <c r="T54" t="str">
        <f t="shared" si="5"/>
        <v>08:00:00</v>
      </c>
      <c r="U54" t="str">
        <f t="shared" si="7"/>
        <v>27.11.2025 08:00:00</v>
      </c>
      <c r="V54" s="9" t="str">
        <f>MID($A54,C54+C$2+1,D54-C54-C$2-1)</f>
        <v>0</v>
      </c>
      <c r="W54" s="4">
        <f>VALUE(SUBSTITUTE(MID($A54,D54+D$2+1,E54-D54-D$2-1),",","."))</f>
        <v>0.51317491057327103</v>
      </c>
      <c r="X54" s="4">
        <f>VALUE(SUBSTITUTE(MID($A54,E54+E$2+1,F54-E54-E$2-1),",","."))</f>
        <v>0.90957602214449496</v>
      </c>
      <c r="Y54" s="4">
        <f>VALUE(SUBSTITUTE(MID($A54,F54+F$2+1,G54-F54-F$2-1),",","."))</f>
        <v>4.3044682067644599E-2</v>
      </c>
      <c r="Z54" s="3">
        <f>VALUE(SUBSTITUTE(MID($A54,G54+G$2+1,H54-G54-G$2-1),",","."))</f>
        <v>0</v>
      </c>
      <c r="AA54" s="3">
        <f>VALUE(SUBSTITUTE(MID($A54,H54+H$2+1,I54-H54-H$2-1),",","."))</f>
        <v>0</v>
      </c>
      <c r="AB54" s="3">
        <f>VALUE(SUBSTITUTE(MID($A54,I54+I$2+1,J54-I54-I$2-1),",","."))</f>
        <v>0</v>
      </c>
      <c r="AC54" s="3">
        <f>VALUE(SUBSTITUTE(MID($A54,J54+J$2+1,K54-J54-J$2-1),",","."))</f>
        <v>-0.9</v>
      </c>
      <c r="AD54" s="3">
        <f>VALUE(SUBSTITUTE(MID($A54,K54+K$2+1,L54-K54-K$2-1),",","."))</f>
        <v>10.62</v>
      </c>
      <c r="AE54" s="3">
        <f>VALUE(SUBSTITUTE(MID($A54,L54+L$2+1,M54-L54-L$2-1),",","."))</f>
        <v>0</v>
      </c>
      <c r="AF54" s="3">
        <f>VALUE(SUBSTITUTE(MID($A54,M54+M$2+1,N54-M54-M$2-1),",","."))</f>
        <v>0</v>
      </c>
      <c r="AG54" s="3">
        <f>VALUE(SUBSTITUTE(MID($A54,N54+N$2+1,O54-N54-N$2-1),",","."))</f>
        <v>4.2049152589706198</v>
      </c>
      <c r="AH54" t="str">
        <f>MID($A54,O54+O$2+1,P54-O54-O$2-1)</f>
        <v/>
      </c>
      <c r="AI54" s="8" t="str">
        <f>MID($A54,P54+P$2+1,Q54-P54-P$2-1)</f>
        <v>False</v>
      </c>
      <c r="AK54" t="b">
        <f t="shared" si="8"/>
        <v>0</v>
      </c>
    </row>
    <row r="55" spans="1:37" x14ac:dyDescent="0.35">
      <c r="A55" t="s">
        <v>4602</v>
      </c>
      <c r="B55">
        <f t="shared" si="10"/>
        <v>10</v>
      </c>
      <c r="C55">
        <f t="shared" si="10"/>
        <v>43</v>
      </c>
      <c r="D55">
        <f t="shared" si="10"/>
        <v>54</v>
      </c>
      <c r="E55">
        <f t="shared" si="10"/>
        <v>97</v>
      </c>
      <c r="F55">
        <f t="shared" si="10"/>
        <v>141</v>
      </c>
      <c r="G55">
        <f t="shared" si="10"/>
        <v>180</v>
      </c>
      <c r="H55">
        <f t="shared" si="10"/>
        <v>229</v>
      </c>
      <c r="I55">
        <f t="shared" si="10"/>
        <v>251</v>
      </c>
      <c r="J55">
        <f t="shared" si="10"/>
        <v>287</v>
      </c>
      <c r="K55">
        <f t="shared" si="10"/>
        <v>322</v>
      </c>
      <c r="L55">
        <f t="shared" si="10"/>
        <v>354</v>
      </c>
      <c r="M55">
        <f t="shared" si="10"/>
        <v>369</v>
      </c>
      <c r="N55">
        <f t="shared" si="9"/>
        <v>381</v>
      </c>
      <c r="O55">
        <f t="shared" si="9"/>
        <v>406</v>
      </c>
      <c r="P55">
        <f t="shared" si="9"/>
        <v>424</v>
      </c>
      <c r="Q55">
        <f t="shared" si="9"/>
        <v>450</v>
      </c>
      <c r="S55" t="str">
        <f>LEFT(U55,10)</f>
        <v>27.11.2025</v>
      </c>
      <c r="T55" t="str">
        <f>MID(U55,12,8)</f>
        <v>08:15:00</v>
      </c>
      <c r="U55" t="str">
        <f t="shared" si="7"/>
        <v>27.11.2025 08:15:00</v>
      </c>
      <c r="V55" s="9" t="str">
        <f>MID($A55,C55+C$2+1,D55-C55-C$2-1)</f>
        <v>0</v>
      </c>
      <c r="W55" s="4">
        <f>VALUE(SUBSTITUTE(MID($A55,D55+D$2+1,E55-D55-D$2-1),",","."))</f>
        <v>0.555119756452364</v>
      </c>
      <c r="X55" s="4">
        <f>VALUE(SUBSTITUTE(MID($A55,E55+E$2+1,F55-E55-E$2-1),",","."))</f>
        <v>0.90957602214449496</v>
      </c>
      <c r="Y55" s="4">
        <f>VALUE(SUBSTITUTE(MID($A55,F55+F$2+1,G55-F55-F$2-1),",","."))</f>
        <v>7.7051531166407297E-2</v>
      </c>
      <c r="Z55" s="3">
        <f>VALUE(SUBSTITUTE(MID($A55,G55+G$2+1,H55-G55-G$2-1),",","."))</f>
        <v>1.5999999999999901</v>
      </c>
      <c r="AA55" s="3">
        <f>VALUE(SUBSTITUTE(MID($A55,H55+H$2+1,I55-H55-H$2-1),",","."))</f>
        <v>0</v>
      </c>
      <c r="AB55" s="3">
        <f>VALUE(SUBSTITUTE(MID($A55,I55+I$2+1,J55-I55-I$2-1),",","."))</f>
        <v>20.399999999999999</v>
      </c>
      <c r="AC55" s="3">
        <f>VALUE(SUBSTITUTE(MID($A55,J55+J$2+1,K55-J55-J$2-1),",","."))</f>
        <v>-0.95</v>
      </c>
      <c r="AD55" s="3">
        <f>VALUE(SUBSTITUTE(MID($A55,K55+K$2+1,L55-K55-K$2-1),",","."))</f>
        <v>10.62</v>
      </c>
      <c r="AE55" s="3">
        <f>VALUE(SUBSTITUTE(MID($A55,L55+L$2+1,M55-L55-L$2-1),",","."))</f>
        <v>0</v>
      </c>
      <c r="AF55" s="3">
        <f>VALUE(SUBSTITUTE(MID($A55,M55+M$2+1,N55-M55-M$2-1),",","."))</f>
        <v>0</v>
      </c>
      <c r="AG55" s="3">
        <f>VALUE(SUBSTITUTE(MID($A55,N55+N$2+1,O55-N55-N$2-1),",","."))</f>
        <v>4.2049437788587003</v>
      </c>
      <c r="AH55" t="str">
        <f>MID($A55,O55+O$2+1,P55-O55-O$2-1)</f>
        <v/>
      </c>
      <c r="AI55" s="8" t="str">
        <f>MID($A55,P55+P$2+1,Q55-P55-P$2-1)</f>
        <v>False</v>
      </c>
      <c r="AK55" t="b">
        <f t="shared" si="8"/>
        <v>1</v>
      </c>
    </row>
    <row r="56" spans="1:37" x14ac:dyDescent="0.35">
      <c r="A56" t="s">
        <v>4603</v>
      </c>
      <c r="B56">
        <f t="shared" si="10"/>
        <v>10</v>
      </c>
      <c r="C56">
        <f t="shared" si="10"/>
        <v>43</v>
      </c>
      <c r="D56">
        <f t="shared" si="10"/>
        <v>54</v>
      </c>
      <c r="E56">
        <f t="shared" si="10"/>
        <v>97</v>
      </c>
      <c r="F56">
        <f t="shared" si="10"/>
        <v>141</v>
      </c>
      <c r="G56">
        <f t="shared" si="10"/>
        <v>180</v>
      </c>
      <c r="H56">
        <f t="shared" si="10"/>
        <v>229</v>
      </c>
      <c r="I56">
        <f t="shared" si="10"/>
        <v>251</v>
      </c>
      <c r="J56">
        <f t="shared" si="10"/>
        <v>288</v>
      </c>
      <c r="K56">
        <f t="shared" si="10"/>
        <v>323</v>
      </c>
      <c r="L56">
        <f t="shared" si="10"/>
        <v>342</v>
      </c>
      <c r="M56">
        <f t="shared" si="10"/>
        <v>357</v>
      </c>
      <c r="N56">
        <f t="shared" si="9"/>
        <v>369</v>
      </c>
      <c r="O56">
        <f t="shared" si="9"/>
        <v>394</v>
      </c>
      <c r="P56">
        <f t="shared" si="9"/>
        <v>412</v>
      </c>
      <c r="Q56">
        <f t="shared" si="9"/>
        <v>438</v>
      </c>
      <c r="S56" t="str">
        <f t="shared" ref="S56:S119" si="11">LEFT(U56,10)</f>
        <v>27.11.2025</v>
      </c>
      <c r="T56" t="str">
        <f t="shared" ref="T56:T119" si="12">MID(U56,12,8)</f>
        <v>08:30:00</v>
      </c>
      <c r="U56" t="str">
        <f t="shared" si="7"/>
        <v>27.11.2025 08:30:00</v>
      </c>
      <c r="V56" s="9" t="str">
        <f>MID($A56,C56+C$2+1,D56-C56-C$2-1)</f>
        <v>0</v>
      </c>
      <c r="W56" s="4">
        <f>VALUE(SUBSTITUTE(MID($A56,D56+D$2+1,E56-D56-D$2-1),",","."))</f>
        <v>0.594942310364731</v>
      </c>
      <c r="X56" s="4">
        <f>VALUE(SUBSTITUTE(MID($A56,E56+E$2+1,F56-E56-E$2-1),",","."))</f>
        <v>0.90957602214449496</v>
      </c>
      <c r="Y56" s="4">
        <f>VALUE(SUBSTITUTE(MID($A56,F56+F$2+1,G56-F56-F$2-1),",","."))</f>
        <v>0.110340245665647</v>
      </c>
      <c r="Z56" s="3">
        <f>VALUE(SUBSTITUTE(MID($A56,G56+G$2+1,H56-G56-G$2-1),",","."))</f>
        <v>15.716666666666599</v>
      </c>
      <c r="AA56" s="3">
        <f>VALUE(SUBSTITUTE(MID($A56,H56+H$2+1,I56-H56-H$2-1),",","."))</f>
        <v>0</v>
      </c>
      <c r="AB56" s="3">
        <f>VALUE(SUBSTITUTE(MID($A56,I56+I$2+1,J56-I56-I$2-1),",","."))</f>
        <v>18.149999999999999</v>
      </c>
      <c r="AC56" s="3">
        <f>VALUE(SUBSTITUTE(MID($A56,J56+J$2+1,K56-J56-J$2-1),",","."))</f>
        <v>-0.95</v>
      </c>
      <c r="AD56" s="3">
        <f>VALUE(SUBSTITUTE(MID($A56,K56+K$2+1,L56-K56-K$2-1),",","."))</f>
        <v>10.08</v>
      </c>
      <c r="AE56" s="3">
        <f>VALUE(SUBSTITUTE(MID($A56,L56+L$2+1,M56-L56-L$2-1),",","."))</f>
        <v>0</v>
      </c>
      <c r="AF56" s="3">
        <f>VALUE(SUBSTITUTE(MID($A56,M56+M$2+1,N56-M56-M$2-1),",","."))</f>
        <v>0</v>
      </c>
      <c r="AG56" s="3">
        <f>VALUE(SUBSTITUTE(MID($A56,N56+N$2+1,O56-N56-N$2-1),",","."))</f>
        <v>4.2049722987467799</v>
      </c>
      <c r="AH56" t="str">
        <f>MID($A56,O56+O$2+1,P56-O56-O$2-1)</f>
        <v/>
      </c>
      <c r="AI56" s="8" t="str">
        <f>MID($A56,P56+P$2+1,Q56-P56-P$2-1)</f>
        <v>False</v>
      </c>
      <c r="AK56" t="b">
        <f t="shared" si="8"/>
        <v>1</v>
      </c>
    </row>
    <row r="57" spans="1:37" x14ac:dyDescent="0.35">
      <c r="A57" t="s">
        <v>4604</v>
      </c>
      <c r="B57">
        <f t="shared" si="10"/>
        <v>10</v>
      </c>
      <c r="C57">
        <f t="shared" si="10"/>
        <v>43</v>
      </c>
      <c r="D57">
        <f t="shared" si="10"/>
        <v>54</v>
      </c>
      <c r="E57">
        <f t="shared" si="10"/>
        <v>97</v>
      </c>
      <c r="F57">
        <f t="shared" si="10"/>
        <v>141</v>
      </c>
      <c r="G57">
        <f t="shared" si="10"/>
        <v>180</v>
      </c>
      <c r="H57">
        <f t="shared" si="10"/>
        <v>216</v>
      </c>
      <c r="I57">
        <f t="shared" si="10"/>
        <v>238</v>
      </c>
      <c r="J57">
        <f t="shared" si="10"/>
        <v>275</v>
      </c>
      <c r="K57">
        <f t="shared" si="10"/>
        <v>293</v>
      </c>
      <c r="L57">
        <f t="shared" si="10"/>
        <v>312</v>
      </c>
      <c r="M57">
        <f t="shared" si="10"/>
        <v>327</v>
      </c>
      <c r="N57">
        <f t="shared" si="9"/>
        <v>339</v>
      </c>
      <c r="O57">
        <f t="shared" si="9"/>
        <v>365</v>
      </c>
      <c r="P57">
        <f t="shared" si="9"/>
        <v>383</v>
      </c>
      <c r="Q57">
        <f t="shared" si="9"/>
        <v>409</v>
      </c>
      <c r="S57" t="str">
        <f t="shared" si="11"/>
        <v>27.11.2025</v>
      </c>
      <c r="T57" t="str">
        <f t="shared" si="12"/>
        <v>08:45:00</v>
      </c>
      <c r="U57" t="str">
        <f t="shared" si="7"/>
        <v>27.11.2025 08:45:00</v>
      </c>
      <c r="V57" s="9" t="str">
        <f>MID($A57,C57+C$2+1,D57-C57-C$2-1)</f>
        <v>0</v>
      </c>
      <c r="W57" s="4">
        <f>VALUE(SUBSTITUTE(MID($A57,D57+D$2+1,E57-D57-D$2-1),",","."))</f>
        <v>0.63212175353182698</v>
      </c>
      <c r="X57" s="4">
        <f>VALUE(SUBSTITUTE(MID($A57,E57+E$2+1,F57-E57-E$2-1),",","."))</f>
        <v>0.90957602214449496</v>
      </c>
      <c r="Y57" s="4">
        <f>VALUE(SUBSTITUTE(MID($A57,F57+F$2+1,G57-F57-F$2-1),",","."))</f>
        <v>0.14235016373364301</v>
      </c>
      <c r="Z57" s="3">
        <f>VALUE(SUBSTITUTE(MID($A57,G57+G$2+1,H57-G57-G$2-1),",","."))</f>
        <v>47.55</v>
      </c>
      <c r="AA57" s="3">
        <f>VALUE(SUBSTITUTE(MID($A57,H57+H$2+1,I57-H57-H$2-1),",","."))</f>
        <v>0</v>
      </c>
      <c r="AB57" s="3">
        <f>VALUE(SUBSTITUTE(MID($A57,I57+I$2+1,J57-I57-I$2-1),",","."))</f>
        <v>31.15</v>
      </c>
      <c r="AC57" s="3">
        <f>VALUE(SUBSTITUTE(MID($A57,J57+J$2+1,K57-J57-J$2-1),",","."))</f>
        <v>-1</v>
      </c>
      <c r="AD57" s="3">
        <f>VALUE(SUBSTITUTE(MID($A57,K57+K$2+1,L57-K57-K$2-1),",","."))</f>
        <v>10.26</v>
      </c>
      <c r="AE57" s="3">
        <f>VALUE(SUBSTITUTE(MID($A57,L57+L$2+1,M57-L57-L$2-1),",","."))</f>
        <v>0</v>
      </c>
      <c r="AF57" s="3">
        <f>VALUE(SUBSTITUTE(MID($A57,M57+M$2+1,N57-M57-M$2-1),",","."))</f>
        <v>0</v>
      </c>
      <c r="AG57" s="3">
        <f>VALUE(SUBSTITUTE(MID($A57,N57+N$2+1,O57-N57-N$2-1),",","."))</f>
        <v>4.2050008186348604</v>
      </c>
      <c r="AH57" t="str">
        <f>MID($A57,O57+O$2+1,P57-O57-O$2-1)</f>
        <v/>
      </c>
      <c r="AI57" s="8" t="str">
        <f>MID($A57,P57+P$2+1,Q57-P57-P$2-1)</f>
        <v>False</v>
      </c>
      <c r="AK57" t="b">
        <f t="shared" si="8"/>
        <v>0</v>
      </c>
    </row>
    <row r="58" spans="1:37" x14ac:dyDescent="0.35">
      <c r="A58" t="s">
        <v>4605</v>
      </c>
      <c r="B58">
        <f t="shared" si="10"/>
        <v>10</v>
      </c>
      <c r="C58">
        <f t="shared" si="10"/>
        <v>43</v>
      </c>
      <c r="D58">
        <f t="shared" si="10"/>
        <v>54</v>
      </c>
      <c r="E58">
        <f t="shared" si="10"/>
        <v>97</v>
      </c>
      <c r="F58">
        <f t="shared" si="10"/>
        <v>141</v>
      </c>
      <c r="G58">
        <f t="shared" si="10"/>
        <v>179</v>
      </c>
      <c r="H58">
        <f t="shared" si="10"/>
        <v>227</v>
      </c>
      <c r="I58">
        <f t="shared" si="10"/>
        <v>249</v>
      </c>
      <c r="J58">
        <f t="shared" si="10"/>
        <v>286</v>
      </c>
      <c r="K58">
        <f t="shared" si="10"/>
        <v>307</v>
      </c>
      <c r="L58">
        <f t="shared" si="10"/>
        <v>322</v>
      </c>
      <c r="M58">
        <f t="shared" si="10"/>
        <v>337</v>
      </c>
      <c r="N58">
        <f t="shared" si="9"/>
        <v>349</v>
      </c>
      <c r="O58">
        <f t="shared" si="9"/>
        <v>374</v>
      </c>
      <c r="P58">
        <f t="shared" si="9"/>
        <v>392</v>
      </c>
      <c r="Q58">
        <f t="shared" si="9"/>
        <v>418</v>
      </c>
      <c r="S58" t="str">
        <f t="shared" si="11"/>
        <v>27.11.2025</v>
      </c>
      <c r="T58" t="str">
        <f t="shared" si="12"/>
        <v>09:00:00</v>
      </c>
      <c r="U58" t="str">
        <f t="shared" si="7"/>
        <v>27.11.2025 09:00:00</v>
      </c>
      <c r="V58" s="9" t="str">
        <f>MID($A58,C58+C$2+1,D58-C58-C$2-1)</f>
        <v>0</v>
      </c>
      <c r="W58" s="4">
        <f>VALUE(SUBSTITUTE(MID($A58,D58+D$2+1,E58-D58-D$2-1),",","."))</f>
        <v>0.66636587776108502</v>
      </c>
      <c r="X58" s="4">
        <f>VALUE(SUBSTITUTE(MID($A58,E58+E$2+1,F58-E58-E$2-1),",","."))</f>
        <v>0.90957602214449496</v>
      </c>
      <c r="Y58" s="4">
        <f>VALUE(SUBSTITUTE(MID($A58,F58+F$2+1,G58-F58-F$2-1),",","."))</f>
        <v>0.17278488256350699</v>
      </c>
      <c r="Z58" s="3">
        <f>VALUE(SUBSTITUTE(MID($A58,G58+G$2+1,H58-G58-G$2-1),",","."))</f>
        <v>75.366666666666603</v>
      </c>
      <c r="AA58" s="3">
        <f>VALUE(SUBSTITUTE(MID($A58,H58+H$2+1,I58-H58-H$2-1),",","."))</f>
        <v>0</v>
      </c>
      <c r="AB58" s="3">
        <f>VALUE(SUBSTITUTE(MID($A58,I58+I$2+1,J58-I58-I$2-1),",","."))</f>
        <v>46.35</v>
      </c>
      <c r="AC58" s="3">
        <f>VALUE(SUBSTITUTE(MID($A58,J58+J$2+1,K58-J58-J$2-1),",","."))</f>
        <v>-0.95</v>
      </c>
      <c r="AD58" s="3">
        <f>VALUE(SUBSTITUTE(MID($A58,K58+K$2+1,L58-K58-K$2-1),",","."))</f>
        <v>9</v>
      </c>
      <c r="AE58" s="3">
        <f>VALUE(SUBSTITUTE(MID($A58,L58+L$2+1,M58-L58-L$2-1),",","."))</f>
        <v>0</v>
      </c>
      <c r="AF58" s="3">
        <f>VALUE(SUBSTITUTE(MID($A58,M58+M$2+1,N58-M58-M$2-1),",","."))</f>
        <v>0</v>
      </c>
      <c r="AG58" s="3">
        <f>VALUE(SUBSTITUTE(MID($A58,N58+N$2+1,O58-N58-N$2-1),",","."))</f>
        <v>4.20502933852294</v>
      </c>
      <c r="AH58" t="str">
        <f>MID($A58,O58+O$2+1,P58-O58-O$2-1)</f>
        <v/>
      </c>
      <c r="AI58" s="8" t="str">
        <f>MID($A58,P58+P$2+1,Q58-P58-P$2-1)</f>
        <v>False</v>
      </c>
      <c r="AK58" t="b">
        <f t="shared" si="8"/>
        <v>0</v>
      </c>
    </row>
    <row r="59" spans="1:37" x14ac:dyDescent="0.35">
      <c r="A59" t="s">
        <v>4606</v>
      </c>
      <c r="B59">
        <f t="shared" si="10"/>
        <v>10</v>
      </c>
      <c r="C59">
        <f t="shared" si="10"/>
        <v>43</v>
      </c>
      <c r="D59">
        <f t="shared" si="10"/>
        <v>54</v>
      </c>
      <c r="E59">
        <f t="shared" si="10"/>
        <v>97</v>
      </c>
      <c r="F59">
        <f t="shared" si="10"/>
        <v>141</v>
      </c>
      <c r="G59">
        <f t="shared" si="10"/>
        <v>180</v>
      </c>
      <c r="H59">
        <f t="shared" si="10"/>
        <v>229</v>
      </c>
      <c r="I59">
        <f t="shared" si="10"/>
        <v>251</v>
      </c>
      <c r="J59">
        <f t="shared" si="10"/>
        <v>288</v>
      </c>
      <c r="K59">
        <f t="shared" si="10"/>
        <v>323</v>
      </c>
      <c r="L59">
        <f t="shared" si="10"/>
        <v>341</v>
      </c>
      <c r="M59">
        <f t="shared" si="10"/>
        <v>356</v>
      </c>
      <c r="N59">
        <f t="shared" si="9"/>
        <v>368</v>
      </c>
      <c r="O59">
        <f t="shared" si="9"/>
        <v>392</v>
      </c>
      <c r="P59">
        <f t="shared" si="9"/>
        <v>410</v>
      </c>
      <c r="Q59">
        <f t="shared" si="9"/>
        <v>436</v>
      </c>
      <c r="S59" t="str">
        <f t="shared" si="11"/>
        <v>27.11.2025</v>
      </c>
      <c r="T59" t="str">
        <f t="shared" si="12"/>
        <v>09:15:00</v>
      </c>
      <c r="U59" t="str">
        <f t="shared" si="7"/>
        <v>27.11.2025 09:15:00</v>
      </c>
      <c r="V59" s="9" t="str">
        <f>MID($A59,C59+C$2+1,D59-C59-C$2-1)</f>
        <v>0</v>
      </c>
      <c r="W59" s="4">
        <f>VALUE(SUBSTITUTE(MID($A59,D59+D$2+1,E59-D59-D$2-1),",","."))</f>
        <v>0.69746861913008495</v>
      </c>
      <c r="X59" s="4">
        <f>VALUE(SUBSTITUTE(MID($A59,E59+E$2+1,F59-E59-E$2-1),",","."))</f>
        <v>0.90957602214449496</v>
      </c>
      <c r="Y59" s="4">
        <f>VALUE(SUBSTITUTE(MID($A59,F59+F$2+1,G59-F59-F$2-1),",","."))</f>
        <v>0.201442666967175</v>
      </c>
      <c r="Z59" s="3">
        <f>VALUE(SUBSTITUTE(MID($A59,G59+G$2+1,H59-G59-G$2-1),",","."))</f>
        <v>113.166666666666</v>
      </c>
      <c r="AA59" s="3">
        <f>VALUE(SUBSTITUTE(MID($A59,H59+H$2+1,I59-H59-H$2-1),",","."))</f>
        <v>0</v>
      </c>
      <c r="AB59" s="3">
        <f>VALUE(SUBSTITUTE(MID($A59,I59+I$2+1,J59-I59-I$2-1),",","."))</f>
        <v>59.05</v>
      </c>
      <c r="AC59" s="3">
        <f>VALUE(SUBSTITUTE(MID($A59,J59+J$2+1,K59-J59-J$2-1),",","."))</f>
        <v>-0.85</v>
      </c>
      <c r="AD59" s="3">
        <f>VALUE(SUBSTITUTE(MID($A59,K59+K$2+1,L59-K59-K$2-1),",","."))</f>
        <v>9.18</v>
      </c>
      <c r="AE59" s="3">
        <f>VALUE(SUBSTITUTE(MID($A59,L59+L$2+1,M59-L59-L$2-1),",","."))</f>
        <v>0</v>
      </c>
      <c r="AF59" s="3">
        <f>VALUE(SUBSTITUTE(MID($A59,M59+M$2+1,N59-M59-M$2-1),",","."))</f>
        <v>0</v>
      </c>
      <c r="AG59" s="3">
        <f>VALUE(SUBSTITUTE(MID($A59,N59+N$2+1,O59-N59-N$2-1),",","."))</f>
        <v>4.2050578584110303</v>
      </c>
      <c r="AH59" t="str">
        <f>MID($A59,O59+O$2+1,P59-O59-O$2-1)</f>
        <v/>
      </c>
      <c r="AI59" s="8" t="str">
        <f>MID($A59,P59+P$2+1,Q59-P59-P$2-1)</f>
        <v>False</v>
      </c>
      <c r="AK59" t="b">
        <f t="shared" si="8"/>
        <v>0</v>
      </c>
    </row>
    <row r="60" spans="1:37" x14ac:dyDescent="0.35">
      <c r="A60" t="s">
        <v>4607</v>
      </c>
      <c r="B60">
        <f t="shared" si="10"/>
        <v>10</v>
      </c>
      <c r="C60">
        <f t="shared" si="10"/>
        <v>43</v>
      </c>
      <c r="D60">
        <f t="shared" si="10"/>
        <v>54</v>
      </c>
      <c r="E60">
        <f t="shared" ref="E60:Q86" si="13">FIND(E$1,$A60)</f>
        <v>97</v>
      </c>
      <c r="F60">
        <f t="shared" si="13"/>
        <v>141</v>
      </c>
      <c r="G60">
        <f t="shared" si="13"/>
        <v>180</v>
      </c>
      <c r="H60">
        <f t="shared" si="13"/>
        <v>229</v>
      </c>
      <c r="I60">
        <f t="shared" si="13"/>
        <v>251</v>
      </c>
      <c r="J60">
        <f t="shared" si="13"/>
        <v>285</v>
      </c>
      <c r="K60">
        <f t="shared" si="13"/>
        <v>305</v>
      </c>
      <c r="L60">
        <f t="shared" si="13"/>
        <v>322</v>
      </c>
      <c r="M60">
        <f t="shared" si="13"/>
        <v>337</v>
      </c>
      <c r="N60">
        <f t="shared" si="9"/>
        <v>349</v>
      </c>
      <c r="O60">
        <f t="shared" si="9"/>
        <v>374</v>
      </c>
      <c r="P60">
        <f t="shared" si="9"/>
        <v>392</v>
      </c>
      <c r="Q60">
        <f t="shared" si="9"/>
        <v>418</v>
      </c>
      <c r="S60" t="str">
        <f t="shared" si="11"/>
        <v>27.11.2025</v>
      </c>
      <c r="T60" t="str">
        <f t="shared" si="12"/>
        <v>09:30:00</v>
      </c>
      <c r="U60" t="str">
        <f t="shared" si="7"/>
        <v>27.11.2025 09:30:00</v>
      </c>
      <c r="V60" s="9" t="str">
        <f>MID($A60,C60+C$2+1,D60-C60-C$2-1)</f>
        <v>0</v>
      </c>
      <c r="W60" s="4">
        <f>VALUE(SUBSTITUTE(MID($A60,D60+D$2+1,E60-D60-D$2-1),",","."))</f>
        <v>0.725266717913155</v>
      </c>
      <c r="X60" s="4">
        <f>VALUE(SUBSTITUTE(MID($A60,E60+E$2+1,F60-E60-E$2-1),",","."))</f>
        <v>0.90957602214449496</v>
      </c>
      <c r="Y60" s="4">
        <f>VALUE(SUBSTITUTE(MID($A60,F60+F$2+1,G60-F60-F$2-1),",","."))</f>
        <v>0.22816454493409799</v>
      </c>
      <c r="Z60" s="3">
        <f>VALUE(SUBSTITUTE(MID($A60,G60+G$2+1,H60-G60-G$2-1),",","."))</f>
        <v>113.966666666666</v>
      </c>
      <c r="AA60" s="3">
        <f>VALUE(SUBSTITUTE(MID($A60,H60+H$2+1,I60-H60-H$2-1),",","."))</f>
        <v>0</v>
      </c>
      <c r="AB60" s="3">
        <f>VALUE(SUBSTITUTE(MID($A60,I60+I$2+1,J60-I60-I$2-1),",","."))</f>
        <v>68</v>
      </c>
      <c r="AC60" s="3">
        <f>VALUE(SUBSTITUTE(MID($A60,J60+J$2+1,K60-J60-J$2-1),",","."))</f>
        <v>-0.7</v>
      </c>
      <c r="AD60" s="3">
        <f>VALUE(SUBSTITUTE(MID($A60,K60+K$2+1,L60-K60-K$2-1),",","."))</f>
        <v>9.9</v>
      </c>
      <c r="AE60" s="3">
        <f>VALUE(SUBSTITUTE(MID($A60,L60+L$2+1,M60-L60-L$2-1),",","."))</f>
        <v>0</v>
      </c>
      <c r="AF60" s="3">
        <f>VALUE(SUBSTITUTE(MID($A60,M60+M$2+1,N60-M60-M$2-1),",","."))</f>
        <v>0</v>
      </c>
      <c r="AG60" s="3">
        <f>VALUE(SUBSTITUTE(MID($A60,N60+N$2+1,O60-N60-N$2-1),",","."))</f>
        <v>4.2050863782991099</v>
      </c>
      <c r="AH60" t="str">
        <f>MID($A60,O60+O$2+1,P60-O60-O$2-1)</f>
        <v/>
      </c>
      <c r="AI60" s="8" t="str">
        <f>MID($A60,P60+P$2+1,Q60-P60-P$2-1)</f>
        <v>False</v>
      </c>
      <c r="AK60" t="b">
        <f t="shared" si="8"/>
        <v>0</v>
      </c>
    </row>
    <row r="61" spans="1:37" x14ac:dyDescent="0.35">
      <c r="A61" t="s">
        <v>4608</v>
      </c>
      <c r="B61">
        <f t="shared" ref="B61:I109" si="14">FIND(B$1,$A61)</f>
        <v>10</v>
      </c>
      <c r="C61">
        <f t="shared" si="14"/>
        <v>43</v>
      </c>
      <c r="D61">
        <f t="shared" si="14"/>
        <v>54</v>
      </c>
      <c r="E61">
        <f t="shared" si="13"/>
        <v>97</v>
      </c>
      <c r="F61">
        <f t="shared" si="13"/>
        <v>141</v>
      </c>
      <c r="G61">
        <f t="shared" si="13"/>
        <v>180</v>
      </c>
      <c r="H61">
        <f t="shared" si="13"/>
        <v>229</v>
      </c>
      <c r="I61">
        <f t="shared" si="13"/>
        <v>251</v>
      </c>
      <c r="J61">
        <f t="shared" si="13"/>
        <v>300</v>
      </c>
      <c r="K61">
        <f t="shared" si="13"/>
        <v>321</v>
      </c>
      <c r="L61">
        <f t="shared" si="13"/>
        <v>340</v>
      </c>
      <c r="M61">
        <f t="shared" si="13"/>
        <v>355</v>
      </c>
      <c r="N61">
        <f t="shared" si="9"/>
        <v>367</v>
      </c>
      <c r="O61">
        <f t="shared" si="9"/>
        <v>392</v>
      </c>
      <c r="P61">
        <f t="shared" si="9"/>
        <v>410</v>
      </c>
      <c r="Q61">
        <f t="shared" si="9"/>
        <v>436</v>
      </c>
      <c r="S61" t="str">
        <f t="shared" si="11"/>
        <v>27.11.2025</v>
      </c>
      <c r="T61" t="str">
        <f t="shared" si="12"/>
        <v>09:45:00</v>
      </c>
      <c r="U61" t="str">
        <f t="shared" si="7"/>
        <v>27.11.2025 09:45:00</v>
      </c>
      <c r="V61" s="9" t="str">
        <f>MID($A61,C61+C$2+1,D61-C61-C$2-1)</f>
        <v>0</v>
      </c>
      <c r="W61" s="4">
        <f>VALUE(SUBSTITUTE(MID($A61,D61+D$2+1,E61-D61-D$2-1),",","."))</f>
        <v>0.74962443557759095</v>
      </c>
      <c r="X61" s="4">
        <f>VALUE(SUBSTITUTE(MID($A61,E61+E$2+1,F61-E61-E$2-1),",","."))</f>
        <v>0.90957602214449496</v>
      </c>
      <c r="Y61" s="4">
        <f>VALUE(SUBSTITUTE(MID($A61,F61+F$2+1,G61-F61-F$2-1),",","."))</f>
        <v>0.25281587496165497</v>
      </c>
      <c r="Z61" s="3">
        <f>VALUE(SUBSTITUTE(MID($A61,G61+G$2+1,H61-G61-G$2-1),",","."))</f>
        <v>103.916666666666</v>
      </c>
      <c r="AA61" s="3">
        <f>VALUE(SUBSTITUTE(MID($A61,H61+H$2+1,I61-H61-H$2-1),",","."))</f>
        <v>0</v>
      </c>
      <c r="AB61" s="3">
        <f>VALUE(SUBSTITUTE(MID($A61,I61+I$2+1,J61-I61-I$2-1),",","."))</f>
        <v>82.949999999999903</v>
      </c>
      <c r="AC61" s="3">
        <f>VALUE(SUBSTITUTE(MID($A61,J61+J$2+1,K61-J61-J$2-1),",","."))</f>
        <v>-0.55000000000000004</v>
      </c>
      <c r="AD61" s="3">
        <f>VALUE(SUBSTITUTE(MID($A61,K61+K$2+1,L61-K61-K$2-1),",","."))</f>
        <v>11.34</v>
      </c>
      <c r="AE61" s="3">
        <f>VALUE(SUBSTITUTE(MID($A61,L61+L$2+1,M61-L61-L$2-1),",","."))</f>
        <v>0</v>
      </c>
      <c r="AF61" s="3">
        <f>VALUE(SUBSTITUTE(MID($A61,M61+M$2+1,N61-M61-M$2-1),",","."))</f>
        <v>0</v>
      </c>
      <c r="AG61" s="3">
        <f>VALUE(SUBSTITUTE(MID($A61,N61+N$2+1,O61-N61-N$2-1),",","."))</f>
        <v>4.2051148981871904</v>
      </c>
      <c r="AH61" t="str">
        <f>MID($A61,O61+O$2+1,P61-O61-O$2-1)</f>
        <v/>
      </c>
      <c r="AI61" s="8" t="str">
        <f>MID($A61,P61+P$2+1,Q61-P61-P$2-1)</f>
        <v>False</v>
      </c>
      <c r="AK61" t="b">
        <f t="shared" si="8"/>
        <v>0</v>
      </c>
    </row>
    <row r="62" spans="1:37" x14ac:dyDescent="0.35">
      <c r="A62" t="s">
        <v>4609</v>
      </c>
      <c r="B62">
        <f t="shared" si="14"/>
        <v>10</v>
      </c>
      <c r="C62">
        <f t="shared" si="14"/>
        <v>43</v>
      </c>
      <c r="D62">
        <f t="shared" si="14"/>
        <v>54</v>
      </c>
      <c r="E62">
        <f t="shared" si="13"/>
        <v>97</v>
      </c>
      <c r="F62">
        <f t="shared" si="13"/>
        <v>141</v>
      </c>
      <c r="G62">
        <f t="shared" si="13"/>
        <v>179</v>
      </c>
      <c r="H62">
        <f t="shared" si="13"/>
        <v>227</v>
      </c>
      <c r="I62">
        <f t="shared" si="13"/>
        <v>249</v>
      </c>
      <c r="J62">
        <f t="shared" si="13"/>
        <v>285</v>
      </c>
      <c r="K62">
        <f t="shared" si="13"/>
        <v>305</v>
      </c>
      <c r="L62">
        <f t="shared" si="13"/>
        <v>337</v>
      </c>
      <c r="M62">
        <f t="shared" si="13"/>
        <v>352</v>
      </c>
      <c r="N62">
        <f t="shared" si="9"/>
        <v>364</v>
      </c>
      <c r="O62">
        <f t="shared" si="9"/>
        <v>389</v>
      </c>
      <c r="P62">
        <f t="shared" si="9"/>
        <v>407</v>
      </c>
      <c r="Q62">
        <f t="shared" si="9"/>
        <v>433</v>
      </c>
      <c r="S62" t="str">
        <f t="shared" si="11"/>
        <v>27.11.2025</v>
      </c>
      <c r="T62" t="str">
        <f t="shared" si="12"/>
        <v>10:00:00</v>
      </c>
      <c r="U62" t="str">
        <f t="shared" si="7"/>
        <v>27.11.2025 10:00:00</v>
      </c>
      <c r="V62" s="9" t="str">
        <f>MID($A62,C62+C$2+1,D62-C62-C$2-1)</f>
        <v>0</v>
      </c>
      <c r="W62" s="4">
        <f>VALUE(SUBSTITUTE(MID($A62,D62+D$2+1,E62-D62-D$2-1),",","."))</f>
        <v>0.77042751581751501</v>
      </c>
      <c r="X62" s="4">
        <f>VALUE(SUBSTITUTE(MID($A62,E62+E$2+1,F62-E62-E$2-1),",","."))</f>
        <v>0.90957602214449496</v>
      </c>
      <c r="Y62" s="4">
        <f>VALUE(SUBSTITUTE(MID($A62,F62+F$2+1,G62-F62-F$2-1),",","."))</f>
        <v>0.27527899243769099</v>
      </c>
      <c r="Z62" s="3">
        <f>VALUE(SUBSTITUTE(MID($A62,G62+G$2+1,H62-G62-G$2-1),",","."))</f>
        <v>89.616666666666603</v>
      </c>
      <c r="AA62" s="3">
        <f>VALUE(SUBSTITUTE(MID($A62,H62+H$2+1,I62-H62-H$2-1),",","."))</f>
        <v>0</v>
      </c>
      <c r="AB62" s="3">
        <f>VALUE(SUBSTITUTE(MID($A62,I62+I$2+1,J62-I62-I$2-1),",","."))</f>
        <v>99.4</v>
      </c>
      <c r="AC62" s="3">
        <f>VALUE(SUBSTITUTE(MID($A62,J62+J$2+1,K62-J62-J$2-1),",","."))</f>
        <v>-0.3</v>
      </c>
      <c r="AD62" s="3">
        <f>VALUE(SUBSTITUTE(MID($A62,K62+K$2+1,L62-K62-K$2-1),",","."))</f>
        <v>12.4199999999999</v>
      </c>
      <c r="AE62" s="3">
        <f>VALUE(SUBSTITUTE(MID($A62,L62+L$2+1,M62-L62-L$2-1),",","."))</f>
        <v>0</v>
      </c>
      <c r="AF62" s="3">
        <f>VALUE(SUBSTITUTE(MID($A62,M62+M$2+1,N62-M62-M$2-1),",","."))</f>
        <v>0</v>
      </c>
      <c r="AG62" s="3">
        <f>VALUE(SUBSTITUTE(MID($A62,N62+N$2+1,O62-N62-N$2-1),",","."))</f>
        <v>4.20514341807527</v>
      </c>
      <c r="AH62" t="str">
        <f>MID($A62,O62+O$2+1,P62-O62-O$2-1)</f>
        <v/>
      </c>
      <c r="AI62" s="8" t="str">
        <f>MID($A62,P62+P$2+1,Q62-P62-P$2-1)</f>
        <v>False</v>
      </c>
      <c r="AK62" t="b">
        <f t="shared" si="8"/>
        <v>1</v>
      </c>
    </row>
    <row r="63" spans="1:37" x14ac:dyDescent="0.35">
      <c r="A63" t="s">
        <v>4610</v>
      </c>
      <c r="B63">
        <f t="shared" si="14"/>
        <v>10</v>
      </c>
      <c r="C63">
        <f t="shared" si="14"/>
        <v>43</v>
      </c>
      <c r="D63">
        <f t="shared" si="14"/>
        <v>54</v>
      </c>
      <c r="E63">
        <f t="shared" si="13"/>
        <v>97</v>
      </c>
      <c r="F63">
        <f t="shared" si="13"/>
        <v>141</v>
      </c>
      <c r="G63">
        <f t="shared" si="13"/>
        <v>179</v>
      </c>
      <c r="H63">
        <f t="shared" si="13"/>
        <v>228</v>
      </c>
      <c r="I63">
        <f t="shared" si="13"/>
        <v>250</v>
      </c>
      <c r="J63">
        <f t="shared" si="13"/>
        <v>288</v>
      </c>
      <c r="K63">
        <f t="shared" si="13"/>
        <v>308</v>
      </c>
      <c r="L63">
        <f t="shared" si="13"/>
        <v>340</v>
      </c>
      <c r="M63">
        <f t="shared" si="13"/>
        <v>355</v>
      </c>
      <c r="N63">
        <f t="shared" si="9"/>
        <v>367</v>
      </c>
      <c r="O63">
        <f t="shared" si="9"/>
        <v>392</v>
      </c>
      <c r="P63">
        <f t="shared" si="9"/>
        <v>410</v>
      </c>
      <c r="Q63">
        <f t="shared" si="9"/>
        <v>436</v>
      </c>
      <c r="S63" t="str">
        <f t="shared" si="11"/>
        <v>27.11.2025</v>
      </c>
      <c r="T63" t="str">
        <f t="shared" si="12"/>
        <v>10:15:00</v>
      </c>
      <c r="U63" t="str">
        <f t="shared" si="7"/>
        <v>27.11.2025 10:15:00</v>
      </c>
      <c r="V63" s="9" t="str">
        <f>MID($A63,C63+C$2+1,D63-C63-C$2-1)</f>
        <v>0</v>
      </c>
      <c r="W63" s="4">
        <f>VALUE(SUBSTITUTE(MID($A63,D63+D$2+1,E63-D63-D$2-1),",","."))</f>
        <v>0.78758061962301296</v>
      </c>
      <c r="X63" s="4">
        <f>VALUE(SUBSTITUTE(MID($A63,E63+E$2+1,F63-E63-E$2-1),",","."))</f>
        <v>0.90957602214449496</v>
      </c>
      <c r="Y63" s="4">
        <f>VALUE(SUBSTITUTE(MID($A63,F63+F$2+1,G63-F63-F$2-1),",","."))</f>
        <v>0.29545005033627098</v>
      </c>
      <c r="Z63" s="3">
        <f>VALUE(SUBSTITUTE(MID($A63,G63+G$2+1,H63-G63-G$2-1),",","."))</f>
        <v>143.73333333333301</v>
      </c>
      <c r="AA63" s="3">
        <f>VALUE(SUBSTITUTE(MID($A63,H63+H$2+1,I63-H63-H$2-1),",","."))</f>
        <v>0</v>
      </c>
      <c r="AB63" s="3">
        <f>VALUE(SUBSTITUTE(MID($A63,I63+I$2+1,J63-I63-I$2-1),",","."))</f>
        <v>104.15</v>
      </c>
      <c r="AC63" s="3">
        <f>VALUE(SUBSTITUTE(MID($A63,J63+J$2+1,K63-J63-J$2-1),",","."))</f>
        <v>-0.1</v>
      </c>
      <c r="AD63" s="3">
        <f>VALUE(SUBSTITUTE(MID($A63,K63+K$2+1,L63-K63-K$2-1),",","."))</f>
        <v>11.8799999999999</v>
      </c>
      <c r="AE63" s="3">
        <f>VALUE(SUBSTITUTE(MID($A63,L63+L$2+1,M63-L63-L$2-1),",","."))</f>
        <v>0</v>
      </c>
      <c r="AF63" s="3">
        <f>VALUE(SUBSTITUTE(MID($A63,M63+M$2+1,N63-M63-M$2-1),",","."))</f>
        <v>0</v>
      </c>
      <c r="AG63" s="3">
        <f>VALUE(SUBSTITUTE(MID($A63,N63+N$2+1,O63-N63-N$2-1),",","."))</f>
        <v>4.2051719379633496</v>
      </c>
      <c r="AH63" t="str">
        <f>MID($A63,O63+O$2+1,P63-O63-O$2-1)</f>
        <v/>
      </c>
      <c r="AI63" s="8" t="str">
        <f>MID($A63,P63+P$2+1,Q63-P63-P$2-1)</f>
        <v>False</v>
      </c>
      <c r="AK63" t="b">
        <f t="shared" si="8"/>
        <v>0</v>
      </c>
    </row>
    <row r="64" spans="1:37" x14ac:dyDescent="0.35">
      <c r="A64" t="s">
        <v>4611</v>
      </c>
      <c r="B64">
        <f t="shared" si="14"/>
        <v>10</v>
      </c>
      <c r="C64">
        <f t="shared" si="14"/>
        <v>43</v>
      </c>
      <c r="D64">
        <f t="shared" si="14"/>
        <v>54</v>
      </c>
      <c r="E64">
        <f t="shared" si="13"/>
        <v>97</v>
      </c>
      <c r="F64">
        <f t="shared" si="13"/>
        <v>141</v>
      </c>
      <c r="G64">
        <f t="shared" si="13"/>
        <v>179</v>
      </c>
      <c r="H64">
        <f t="shared" si="13"/>
        <v>228</v>
      </c>
      <c r="I64">
        <f t="shared" si="13"/>
        <v>250</v>
      </c>
      <c r="J64">
        <f t="shared" si="13"/>
        <v>287</v>
      </c>
      <c r="K64">
        <f t="shared" si="13"/>
        <v>306</v>
      </c>
      <c r="L64">
        <f t="shared" si="13"/>
        <v>337</v>
      </c>
      <c r="M64">
        <f t="shared" si="13"/>
        <v>352</v>
      </c>
      <c r="N64">
        <f t="shared" si="9"/>
        <v>364</v>
      </c>
      <c r="O64">
        <f t="shared" si="9"/>
        <v>389</v>
      </c>
      <c r="P64">
        <f t="shared" si="9"/>
        <v>407</v>
      </c>
      <c r="Q64">
        <f t="shared" si="9"/>
        <v>433</v>
      </c>
      <c r="S64" t="str">
        <f t="shared" si="11"/>
        <v>27.11.2025</v>
      </c>
      <c r="T64" t="str">
        <f t="shared" si="12"/>
        <v>10:30:00</v>
      </c>
      <c r="U64" t="str">
        <f t="shared" si="7"/>
        <v>27.11.2025 10:30:00</v>
      </c>
      <c r="V64" s="9" t="str">
        <f>MID($A64,C64+C$2+1,D64-C64-C$2-1)</f>
        <v>0</v>
      </c>
      <c r="W64" s="4">
        <f>VALUE(SUBSTITUTE(MID($A64,D64+D$2+1,E64-D64-D$2-1),",","."))</f>
        <v>0.80100619873819101</v>
      </c>
      <c r="X64" s="4">
        <f>VALUE(SUBSTITUTE(MID($A64,E64+E$2+1,F64-E64-E$2-1),",","."))</f>
        <v>0.90957602214449496</v>
      </c>
      <c r="Y64" s="4">
        <f>VALUE(SUBSTITUTE(MID($A64,F64+F$2+1,G64-F64-F$2-1),",","."))</f>
        <v>0.31323762127320298</v>
      </c>
      <c r="Z64" s="3">
        <f>VALUE(SUBSTITUTE(MID($A64,G64+G$2+1,H64-G64-G$2-1),",","."))</f>
        <v>203.78333333333299</v>
      </c>
      <c r="AA64" s="3">
        <f>VALUE(SUBSTITUTE(MID($A64,H64+H$2+1,I64-H64-H$2-1),",","."))</f>
        <v>0</v>
      </c>
      <c r="AB64" s="3">
        <f>VALUE(SUBSTITUTE(MID($A64,I64+I$2+1,J64-I64-I$2-1),",","."))</f>
        <v>115.3</v>
      </c>
      <c r="AC64" s="3">
        <f>VALUE(SUBSTITUTE(MID($A64,J64+J$2+1,K64-J64-J$2-1),",","."))</f>
        <v>0.1</v>
      </c>
      <c r="AD64" s="3">
        <f>VALUE(SUBSTITUTE(MID($A64,K64+K$2+1,L64-K64-K$2-1),",","."))</f>
        <v>9.36</v>
      </c>
      <c r="AE64" s="3">
        <f>VALUE(SUBSTITUTE(MID($A64,L64+L$2+1,M64-L64-L$2-1),",","."))</f>
        <v>0</v>
      </c>
      <c r="AF64" s="3">
        <f>VALUE(SUBSTITUTE(MID($A64,M64+M$2+1,N64-M64-M$2-1),",","."))</f>
        <v>0</v>
      </c>
      <c r="AG64" s="3">
        <f>VALUE(SUBSTITUTE(MID($A64,N64+N$2+1,O64-N64-N$2-1),",","."))</f>
        <v>4.2052004578514302</v>
      </c>
      <c r="AH64" t="str">
        <f>MID($A64,O64+O$2+1,P64-O64-O$2-1)</f>
        <v/>
      </c>
      <c r="AI64" s="8" t="str">
        <f>MID($A64,P64+P$2+1,Q64-P64-P$2-1)</f>
        <v>False</v>
      </c>
      <c r="AK64" t="b">
        <f t="shared" si="8"/>
        <v>0</v>
      </c>
    </row>
    <row r="65" spans="1:37" x14ac:dyDescent="0.35">
      <c r="A65" t="s">
        <v>4612</v>
      </c>
      <c r="B65">
        <f t="shared" si="14"/>
        <v>10</v>
      </c>
      <c r="C65">
        <f t="shared" si="14"/>
        <v>43</v>
      </c>
      <c r="D65">
        <f t="shared" si="14"/>
        <v>54</v>
      </c>
      <c r="E65">
        <f t="shared" si="13"/>
        <v>96</v>
      </c>
      <c r="F65">
        <f t="shared" si="13"/>
        <v>140</v>
      </c>
      <c r="G65">
        <f t="shared" si="13"/>
        <v>178</v>
      </c>
      <c r="H65">
        <f t="shared" si="13"/>
        <v>227</v>
      </c>
      <c r="I65">
        <f t="shared" si="13"/>
        <v>249</v>
      </c>
      <c r="J65">
        <f t="shared" si="13"/>
        <v>286</v>
      </c>
      <c r="K65">
        <f t="shared" si="13"/>
        <v>305</v>
      </c>
      <c r="L65">
        <f t="shared" si="13"/>
        <v>323</v>
      </c>
      <c r="M65">
        <f t="shared" si="13"/>
        <v>338</v>
      </c>
      <c r="N65">
        <f t="shared" si="9"/>
        <v>350</v>
      </c>
      <c r="O65">
        <f t="shared" si="9"/>
        <v>376</v>
      </c>
      <c r="P65">
        <f t="shared" si="9"/>
        <v>394</v>
      </c>
      <c r="Q65">
        <f t="shared" si="9"/>
        <v>420</v>
      </c>
      <c r="S65" t="str">
        <f t="shared" si="11"/>
        <v>27.11.2025</v>
      </c>
      <c r="T65" t="str">
        <f t="shared" si="12"/>
        <v>10:45:00</v>
      </c>
      <c r="U65" t="str">
        <f t="shared" si="7"/>
        <v>27.11.2025 10:45:00</v>
      </c>
      <c r="V65" s="9" t="str">
        <f>MID($A65,C65+C$2+1,D65-C65-C$2-1)</f>
        <v>0</v>
      </c>
      <c r="W65" s="4">
        <f>VALUE(SUBSTITUTE(MID($A65,D65+D$2+1,E65-D65-D$2-1),",","."))</f>
        <v>0.81064400197341302</v>
      </c>
      <c r="X65" s="4">
        <f>VALUE(SUBSTITUTE(MID($A65,E65+E$2+1,F65-E65-E$2-1),",","."))</f>
        <v>0.90957602214449496</v>
      </c>
      <c r="Y65" s="4">
        <f>VALUE(SUBSTITUTE(MID($A65,F65+F$2+1,G65-F65-F$2-1),",","."))</f>
        <v>0.32856209682722898</v>
      </c>
      <c r="Z65" s="3">
        <f>VALUE(SUBSTITUTE(MID($A65,G65+G$2+1,H65-G65-G$2-1),",","."))</f>
        <v>261.31666666666598</v>
      </c>
      <c r="AA65" s="3">
        <f>VALUE(SUBSTITUTE(MID($A65,H65+H$2+1,I65-H65-H$2-1),",","."))</f>
        <v>0</v>
      </c>
      <c r="AB65" s="3">
        <f>VALUE(SUBSTITUTE(MID($A65,I65+I$2+1,J65-I65-I$2-1),",","."))</f>
        <v>122.3</v>
      </c>
      <c r="AC65" s="3">
        <f>VALUE(SUBSTITUTE(MID($A65,J65+J$2+1,K65-J65-J$2-1),",","."))</f>
        <v>0.4</v>
      </c>
      <c r="AD65" s="3">
        <f>VALUE(SUBSTITUTE(MID($A65,K65+K$2+1,L65-K65-K$2-1),",","."))</f>
        <v>6.66</v>
      </c>
      <c r="AE65" s="3">
        <f>VALUE(SUBSTITUTE(MID($A65,L65+L$2+1,M65-L65-L$2-1),",","."))</f>
        <v>0</v>
      </c>
      <c r="AF65" s="3">
        <f>VALUE(SUBSTITUTE(MID($A65,M65+M$2+1,N65-M65-M$2-1),",","."))</f>
        <v>0</v>
      </c>
      <c r="AG65" s="3">
        <f>VALUE(SUBSTITUTE(MID($A65,N65+N$2+1,O65-N65-N$2-1),",","."))</f>
        <v>4.2052289777395098</v>
      </c>
      <c r="AH65" t="str">
        <f>MID($A65,O65+O$2+1,P65-O65-O$2-1)</f>
        <v/>
      </c>
      <c r="AI65" s="8" t="str">
        <f>MID($A65,P65+P$2+1,Q65-P65-P$2-1)</f>
        <v>False</v>
      </c>
      <c r="AK65" t="b">
        <f t="shared" si="8"/>
        <v>0</v>
      </c>
    </row>
    <row r="66" spans="1:37" x14ac:dyDescent="0.35">
      <c r="A66" t="s">
        <v>4613</v>
      </c>
      <c r="B66">
        <f t="shared" si="14"/>
        <v>10</v>
      </c>
      <c r="C66">
        <f t="shared" si="14"/>
        <v>43</v>
      </c>
      <c r="D66">
        <f t="shared" si="14"/>
        <v>54</v>
      </c>
      <c r="E66">
        <f t="shared" si="13"/>
        <v>97</v>
      </c>
      <c r="F66">
        <f t="shared" si="13"/>
        <v>141</v>
      </c>
      <c r="G66">
        <f t="shared" si="13"/>
        <v>179</v>
      </c>
      <c r="H66">
        <f t="shared" si="13"/>
        <v>228</v>
      </c>
      <c r="I66">
        <f t="shared" si="13"/>
        <v>250</v>
      </c>
      <c r="J66">
        <f t="shared" si="13"/>
        <v>288</v>
      </c>
      <c r="K66">
        <f t="shared" si="13"/>
        <v>308</v>
      </c>
      <c r="L66">
        <f t="shared" si="13"/>
        <v>339</v>
      </c>
      <c r="M66">
        <f t="shared" si="13"/>
        <v>354</v>
      </c>
      <c r="N66">
        <f t="shared" si="9"/>
        <v>366</v>
      </c>
      <c r="O66">
        <f t="shared" si="9"/>
        <v>391</v>
      </c>
      <c r="P66">
        <f t="shared" si="9"/>
        <v>409</v>
      </c>
      <c r="Q66">
        <f t="shared" si="9"/>
        <v>435</v>
      </c>
      <c r="S66" t="str">
        <f t="shared" si="11"/>
        <v>27.11.2025</v>
      </c>
      <c r="T66" t="str">
        <f t="shared" si="12"/>
        <v>11:00:00</v>
      </c>
      <c r="U66" t="str">
        <f t="shared" si="7"/>
        <v>27.11.2025 11:00:00</v>
      </c>
      <c r="V66" s="9" t="str">
        <f>MID($A66,C66+C$2+1,D66-C66-C$2-1)</f>
        <v>0</v>
      </c>
      <c r="W66" s="4">
        <f>VALUE(SUBSTITUTE(MID($A66,D66+D$2+1,E66-D66-D$2-1),",","."))</f>
        <v>0.81645086394372501</v>
      </c>
      <c r="X66" s="4">
        <f>VALUE(SUBSTITUTE(MID($A66,E66+E$2+1,F66-E66-E$2-1),",","."))</f>
        <v>0.90957602214449496</v>
      </c>
      <c r="Y66" s="4">
        <f>VALUE(SUBSTITUTE(MID($A66,F66+F$2+1,G66-F66-F$2-1),",","."))</f>
        <v>0.34135546427180302</v>
      </c>
      <c r="Z66" s="3">
        <f>VALUE(SUBSTITUTE(MID($A66,G66+G$2+1,H66-G66-G$2-1),",","."))</f>
        <v>211.88333333333301</v>
      </c>
      <c r="AA66" s="3">
        <f>VALUE(SUBSTITUTE(MID($A66,H66+H$2+1,I66-H66-H$2-1),",","."))</f>
        <v>0</v>
      </c>
      <c r="AB66" s="3">
        <f>VALUE(SUBSTITUTE(MID($A66,I66+I$2+1,J66-I66-I$2-1),",","."))</f>
        <v>127.25</v>
      </c>
      <c r="AC66" s="3">
        <f>VALUE(SUBSTITUTE(MID($A66,J66+J$2+1,K66-J66-J$2-1),",","."))</f>
        <v>0.65</v>
      </c>
      <c r="AD66" s="3">
        <f>VALUE(SUBSTITUTE(MID($A66,K66+K$2+1,L66-K66-K$2-1),",","."))</f>
        <v>6.3</v>
      </c>
      <c r="AE66" s="3">
        <f>VALUE(SUBSTITUTE(MID($A66,L66+L$2+1,M66-L66-L$2-1),",","."))</f>
        <v>0</v>
      </c>
      <c r="AF66" s="3">
        <f>VALUE(SUBSTITUTE(MID($A66,M66+M$2+1,N66-M66-M$2-1),",","."))</f>
        <v>0</v>
      </c>
      <c r="AG66" s="3">
        <f>VALUE(SUBSTITUTE(MID($A66,N66+N$2+1,O66-N66-N$2-1),",","."))</f>
        <v>4.2052574976276</v>
      </c>
      <c r="AH66" t="str">
        <f>MID($A66,O66+O$2+1,P66-O66-O$2-1)</f>
        <v/>
      </c>
      <c r="AI66" s="8" t="str">
        <f>MID($A66,P66+P$2+1,Q66-P66-P$2-1)</f>
        <v>False</v>
      </c>
      <c r="AK66" t="b">
        <f t="shared" si="8"/>
        <v>0</v>
      </c>
    </row>
    <row r="67" spans="1:37" x14ac:dyDescent="0.35">
      <c r="A67" t="s">
        <v>4614</v>
      </c>
      <c r="B67">
        <f t="shared" si="14"/>
        <v>10</v>
      </c>
      <c r="C67">
        <f t="shared" si="14"/>
        <v>43</v>
      </c>
      <c r="D67">
        <f t="shared" si="14"/>
        <v>54</v>
      </c>
      <c r="E67">
        <f t="shared" si="13"/>
        <v>96</v>
      </c>
      <c r="F67">
        <f t="shared" si="13"/>
        <v>140</v>
      </c>
      <c r="G67">
        <f t="shared" si="13"/>
        <v>178</v>
      </c>
      <c r="H67">
        <f t="shared" si="13"/>
        <v>215</v>
      </c>
      <c r="I67">
        <f t="shared" si="13"/>
        <v>237</v>
      </c>
      <c r="J67">
        <f t="shared" si="13"/>
        <v>275</v>
      </c>
      <c r="K67">
        <f t="shared" si="13"/>
        <v>309</v>
      </c>
      <c r="L67">
        <f t="shared" si="13"/>
        <v>326</v>
      </c>
      <c r="M67">
        <f t="shared" si="13"/>
        <v>341</v>
      </c>
      <c r="N67">
        <f t="shared" si="9"/>
        <v>353</v>
      </c>
      <c r="O67">
        <f t="shared" si="9"/>
        <v>378</v>
      </c>
      <c r="P67">
        <f t="shared" si="9"/>
        <v>396</v>
      </c>
      <c r="Q67">
        <f t="shared" si="9"/>
        <v>422</v>
      </c>
      <c r="S67" t="str">
        <f t="shared" si="11"/>
        <v>27.11.2025</v>
      </c>
      <c r="T67" t="str">
        <f t="shared" si="12"/>
        <v>11:15:00</v>
      </c>
      <c r="U67" t="str">
        <f t="shared" si="7"/>
        <v>27.11.2025 11:15:00</v>
      </c>
      <c r="V67" s="9" t="str">
        <f>MID($A67,C67+C$2+1,D67-C67-C$2-1)</f>
        <v>0</v>
      </c>
      <c r="W67" s="4">
        <f>VALUE(SUBSTITUTE(MID($A67,D67+D$2+1,E67-D67-D$2-1),",","."))</f>
        <v>0.81840061141403897</v>
      </c>
      <c r="X67" s="4">
        <f>VALUE(SUBSTITUTE(MID($A67,E67+E$2+1,F67-E67-E$2-1),",","."))</f>
        <v>0.90957602214449496</v>
      </c>
      <c r="Y67" s="4">
        <f>VALUE(SUBSTITUTE(MID($A67,F67+F$2+1,G67-F67-F$2-1),",","."))</f>
        <v>0.351561262870902</v>
      </c>
      <c r="Z67" s="3">
        <f>VALUE(SUBSTITUTE(MID($A67,G67+G$2+1,H67-G67-G$2-1),",","."))</f>
        <v>222.15</v>
      </c>
      <c r="AA67" s="3">
        <f>VALUE(SUBSTITUTE(MID($A67,H67+H$2+1,I67-H67-H$2-1),",","."))</f>
        <v>0</v>
      </c>
      <c r="AB67" s="3">
        <f>VALUE(SUBSTITUTE(MID($A67,I67+I$2+1,J67-I67-I$2-1),",","."))</f>
        <v>133.75</v>
      </c>
      <c r="AC67" s="3">
        <f>VALUE(SUBSTITUTE(MID($A67,J67+J$2+1,K67-J67-J$2-1),",","."))</f>
        <v>0.95</v>
      </c>
      <c r="AD67" s="3">
        <f>VALUE(SUBSTITUTE(MID($A67,K67+K$2+1,L67-K67-K$2-1),",","."))</f>
        <v>8.1</v>
      </c>
      <c r="AE67" s="3">
        <f>VALUE(SUBSTITUTE(MID($A67,L67+L$2+1,M67-L67-L$2-1),",","."))</f>
        <v>0</v>
      </c>
      <c r="AF67" s="3">
        <f>VALUE(SUBSTITUTE(MID($A67,M67+M$2+1,N67-M67-M$2-1),",","."))</f>
        <v>0</v>
      </c>
      <c r="AG67" s="3">
        <f>VALUE(SUBSTITUTE(MID($A67,N67+N$2+1,O67-N67-N$2-1),",","."))</f>
        <v>4.2052860175156797</v>
      </c>
      <c r="AH67" t="str">
        <f>MID($A67,O67+O$2+1,P67-O67-O$2-1)</f>
        <v/>
      </c>
      <c r="AI67" s="8" t="str">
        <f>MID($A67,P67+P$2+1,Q67-P67-P$2-1)</f>
        <v>False</v>
      </c>
      <c r="AK67" t="b">
        <f t="shared" si="8"/>
        <v>0</v>
      </c>
    </row>
    <row r="68" spans="1:37" x14ac:dyDescent="0.35">
      <c r="A68" t="s">
        <v>4615</v>
      </c>
      <c r="B68">
        <f t="shared" si="14"/>
        <v>10</v>
      </c>
      <c r="C68">
        <f t="shared" si="14"/>
        <v>43</v>
      </c>
      <c r="D68">
        <f t="shared" si="14"/>
        <v>54</v>
      </c>
      <c r="E68">
        <f t="shared" si="13"/>
        <v>97</v>
      </c>
      <c r="F68">
        <f t="shared" si="13"/>
        <v>141</v>
      </c>
      <c r="G68">
        <f t="shared" si="13"/>
        <v>179</v>
      </c>
      <c r="H68">
        <f t="shared" si="13"/>
        <v>228</v>
      </c>
      <c r="I68">
        <f t="shared" si="13"/>
        <v>250</v>
      </c>
      <c r="J68">
        <f t="shared" si="13"/>
        <v>288</v>
      </c>
      <c r="K68">
        <f t="shared" si="13"/>
        <v>307</v>
      </c>
      <c r="L68">
        <f t="shared" si="13"/>
        <v>325</v>
      </c>
      <c r="M68">
        <f t="shared" si="13"/>
        <v>340</v>
      </c>
      <c r="N68">
        <f t="shared" si="9"/>
        <v>352</v>
      </c>
      <c r="O68">
        <f t="shared" si="9"/>
        <v>377</v>
      </c>
      <c r="P68">
        <f t="shared" si="9"/>
        <v>395</v>
      </c>
      <c r="Q68">
        <f t="shared" si="9"/>
        <v>421</v>
      </c>
      <c r="S68" t="str">
        <f t="shared" si="11"/>
        <v>27.11.2025</v>
      </c>
      <c r="T68" t="str">
        <f t="shared" si="12"/>
        <v>11:30:00</v>
      </c>
      <c r="U68" t="str">
        <f t="shared" ref="U68:U131" si="15">MID($A68,B68+B$2+1,C68-B68-B$2-1)</f>
        <v>27.11.2025 11:30:00</v>
      </c>
      <c r="V68" s="9" t="str">
        <f>MID($A68,C68+C$2+1,D68-C68-C$2-1)</f>
        <v>0</v>
      </c>
      <c r="W68" s="4">
        <f>VALUE(SUBSTITUTE(MID($A68,D68+D$2+1,E68-D68-D$2-1),",","."))</f>
        <v>0.81648400503180096</v>
      </c>
      <c r="X68" s="4">
        <f>VALUE(SUBSTITUTE(MID($A68,E68+E$2+1,F68-E68-E$2-1),",","."))</f>
        <v>0.90957602214449496</v>
      </c>
      <c r="Y68" s="4">
        <f>VALUE(SUBSTITUTE(MID($A68,F68+F$2+1,G68-F68-F$2-1),",","."))</f>
        <v>0.35913462072558</v>
      </c>
      <c r="Z68" s="3">
        <f>VALUE(SUBSTITUTE(MID($A68,G68+G$2+1,H68-G68-G$2-1),",","."))</f>
        <v>246.21666666666599</v>
      </c>
      <c r="AA68" s="3">
        <f>VALUE(SUBSTITUTE(MID($A68,H68+H$2+1,I68-H68-H$2-1),",","."))</f>
        <v>0</v>
      </c>
      <c r="AB68" s="3">
        <f>VALUE(SUBSTITUTE(MID($A68,I68+I$2+1,J68-I68-I$2-1),",","."))</f>
        <v>143.85</v>
      </c>
      <c r="AC68" s="3">
        <f>VALUE(SUBSTITUTE(MID($A68,J68+J$2+1,K68-J68-J$2-1),",","."))</f>
        <v>1.2</v>
      </c>
      <c r="AD68" s="3">
        <f>VALUE(SUBSTITUTE(MID($A68,K68+K$2+1,L68-K68-K$2-1),",","."))</f>
        <v>8.82</v>
      </c>
      <c r="AE68" s="3">
        <f>VALUE(SUBSTITUTE(MID($A68,L68+L$2+1,M68-L68-L$2-1),",","."))</f>
        <v>0</v>
      </c>
      <c r="AF68" s="3">
        <f>VALUE(SUBSTITUTE(MID($A68,M68+M$2+1,N68-M68-M$2-1),",","."))</f>
        <v>0</v>
      </c>
      <c r="AG68" s="3">
        <f>VALUE(SUBSTITUTE(MID($A68,N68+N$2+1,O68-N68-N$2-1),",","."))</f>
        <v>4.2053145374037602</v>
      </c>
      <c r="AH68" t="str">
        <f>MID($A68,O68+O$2+1,P68-O68-O$2-1)</f>
        <v/>
      </c>
      <c r="AI68" s="8" t="str">
        <f>MID($A68,P68+P$2+1,Q68-P68-P$2-1)</f>
        <v>False</v>
      </c>
      <c r="AK68" t="b">
        <f t="shared" ref="AK68:AK131" si="16">AB68&gt;Z68</f>
        <v>0</v>
      </c>
    </row>
    <row r="69" spans="1:37" x14ac:dyDescent="0.35">
      <c r="A69" t="s">
        <v>4616</v>
      </c>
      <c r="B69">
        <f t="shared" si="14"/>
        <v>10</v>
      </c>
      <c r="C69">
        <f t="shared" si="14"/>
        <v>43</v>
      </c>
      <c r="D69">
        <f t="shared" si="14"/>
        <v>54</v>
      </c>
      <c r="E69">
        <f t="shared" si="13"/>
        <v>97</v>
      </c>
      <c r="F69">
        <f t="shared" si="13"/>
        <v>141</v>
      </c>
      <c r="G69">
        <f t="shared" si="13"/>
        <v>180</v>
      </c>
      <c r="H69">
        <f t="shared" si="13"/>
        <v>229</v>
      </c>
      <c r="I69">
        <f t="shared" si="13"/>
        <v>251</v>
      </c>
      <c r="J69">
        <f t="shared" si="13"/>
        <v>288</v>
      </c>
      <c r="K69">
        <f t="shared" si="13"/>
        <v>308</v>
      </c>
      <c r="L69">
        <f t="shared" si="13"/>
        <v>326</v>
      </c>
      <c r="M69">
        <f t="shared" si="13"/>
        <v>341</v>
      </c>
      <c r="N69">
        <f t="shared" si="9"/>
        <v>353</v>
      </c>
      <c r="O69">
        <f t="shared" si="9"/>
        <v>378</v>
      </c>
      <c r="P69">
        <f t="shared" si="9"/>
        <v>396</v>
      </c>
      <c r="Q69">
        <f t="shared" si="9"/>
        <v>422</v>
      </c>
      <c r="S69" t="str">
        <f t="shared" si="11"/>
        <v>27.11.2025</v>
      </c>
      <c r="T69" t="str">
        <f t="shared" si="12"/>
        <v>11:45:00</v>
      </c>
      <c r="U69" t="str">
        <f t="shared" si="15"/>
        <v>27.11.2025 11:45:00</v>
      </c>
      <c r="V69" s="9" t="str">
        <f>MID($A69,C69+C$2+1,D69-C69-C$2-1)</f>
        <v>0</v>
      </c>
      <c r="W69" s="4">
        <f>VALUE(SUBSTITUTE(MID($A69,D69+D$2+1,E69-D69-D$2-1),",","."))</f>
        <v>0.81070867315760597</v>
      </c>
      <c r="X69" s="4">
        <f>VALUE(SUBSTITUTE(MID($A69,E69+E$2+1,F69-E69-E$2-1),",","."))</f>
        <v>0.90957602214449496</v>
      </c>
      <c r="Y69" s="4">
        <f>VALUE(SUBSTITUTE(MID($A69,F69+F$2+1,G69-F69-F$2-1),",","."))</f>
        <v>0.36404231979743901</v>
      </c>
      <c r="Z69" s="3">
        <f>VALUE(SUBSTITUTE(MID($A69,G69+G$2+1,H69-G69-G$2-1),",","."))</f>
        <v>195.933333333333</v>
      </c>
      <c r="AA69" s="3">
        <f>VALUE(SUBSTITUTE(MID($A69,H69+H$2+1,I69-H69-H$2-1),",","."))</f>
        <v>0</v>
      </c>
      <c r="AB69" s="3">
        <f>VALUE(SUBSTITUTE(MID($A69,I69+I$2+1,J69-I69-I$2-1),",","."))</f>
        <v>139.19999999999999</v>
      </c>
      <c r="AC69" s="3">
        <f>VALUE(SUBSTITUTE(MID($A69,J69+J$2+1,K69-J69-J$2-1),",","."))</f>
        <v>1.55</v>
      </c>
      <c r="AD69" s="3">
        <f>VALUE(SUBSTITUTE(MID($A69,K69+K$2+1,L69-K69-K$2-1),",","."))</f>
        <v>7.92</v>
      </c>
      <c r="AE69" s="3">
        <f>VALUE(SUBSTITUTE(MID($A69,L69+L$2+1,M69-L69-L$2-1),",","."))</f>
        <v>0</v>
      </c>
      <c r="AF69" s="3">
        <f>VALUE(SUBSTITUTE(MID($A69,M69+M$2+1,N69-M69-M$2-1),",","."))</f>
        <v>0</v>
      </c>
      <c r="AG69" s="3">
        <f>VALUE(SUBSTITUTE(MID($A69,N69+N$2+1,O69-N69-N$2-1),",","."))</f>
        <v>4.2053430572918398</v>
      </c>
      <c r="AH69" t="str">
        <f>MID($A69,O69+O$2+1,P69-O69-O$2-1)</f>
        <v/>
      </c>
      <c r="AI69" s="8" t="str">
        <f>MID($A69,P69+P$2+1,Q69-P69-P$2-1)</f>
        <v>False</v>
      </c>
      <c r="AK69" t="b">
        <f t="shared" si="16"/>
        <v>0</v>
      </c>
    </row>
    <row r="70" spans="1:37" x14ac:dyDescent="0.35">
      <c r="A70" t="s">
        <v>4617</v>
      </c>
      <c r="B70">
        <f t="shared" si="14"/>
        <v>10</v>
      </c>
      <c r="C70">
        <f t="shared" si="14"/>
        <v>43</v>
      </c>
      <c r="D70">
        <f t="shared" si="14"/>
        <v>54</v>
      </c>
      <c r="E70">
        <f t="shared" si="13"/>
        <v>97</v>
      </c>
      <c r="F70">
        <f t="shared" si="13"/>
        <v>141</v>
      </c>
      <c r="G70">
        <f t="shared" si="13"/>
        <v>180</v>
      </c>
      <c r="H70">
        <f t="shared" si="13"/>
        <v>229</v>
      </c>
      <c r="I70">
        <f t="shared" si="13"/>
        <v>251</v>
      </c>
      <c r="J70">
        <f t="shared" si="13"/>
        <v>301</v>
      </c>
      <c r="K70">
        <f t="shared" si="13"/>
        <v>321</v>
      </c>
      <c r="L70">
        <f t="shared" si="13"/>
        <v>352</v>
      </c>
      <c r="M70">
        <f t="shared" si="13"/>
        <v>367</v>
      </c>
      <c r="N70">
        <f t="shared" si="9"/>
        <v>379</v>
      </c>
      <c r="O70">
        <f t="shared" si="9"/>
        <v>404</v>
      </c>
      <c r="P70">
        <f t="shared" si="9"/>
        <v>422</v>
      </c>
      <c r="Q70">
        <f t="shared" si="9"/>
        <v>448</v>
      </c>
      <c r="S70" t="str">
        <f t="shared" si="11"/>
        <v>27.11.2025</v>
      </c>
      <c r="T70" t="str">
        <f t="shared" si="12"/>
        <v>12:00:00</v>
      </c>
      <c r="U70" t="str">
        <f t="shared" si="15"/>
        <v>27.11.2025 12:00:00</v>
      </c>
      <c r="V70" s="9" t="str">
        <f>MID($A70,C70+C$2+1,D70-C70-C$2-1)</f>
        <v>0</v>
      </c>
      <c r="W70" s="4">
        <f>VALUE(SUBSTITUTE(MID($A70,D70+D$2+1,E70-D70-D$2-1),",","."))</f>
        <v>0.80109901438794295</v>
      </c>
      <c r="X70" s="4">
        <f>VALUE(SUBSTITUTE(MID($A70,E70+E$2+1,F70-E70-E$2-1),",","."))</f>
        <v>0.90957602214449496</v>
      </c>
      <c r="Y70" s="4">
        <f>VALUE(SUBSTITUTE(MID($A70,F70+F$2+1,G70-F70-F$2-1),",","."))</f>
        <v>0.36626286026503402</v>
      </c>
      <c r="Z70" s="3">
        <f>VALUE(SUBSTITUTE(MID($A70,G70+G$2+1,H70-G70-G$2-1),",","."))</f>
        <v>142.916666666666</v>
      </c>
      <c r="AA70" s="3">
        <f>VALUE(SUBSTITUTE(MID($A70,H70+H$2+1,I70-H70-H$2-1),",","."))</f>
        <v>0</v>
      </c>
      <c r="AB70" s="3">
        <f>VALUE(SUBSTITUTE(MID($A70,I70+I$2+1,J70-I70-I$2-1),",","."))</f>
        <v>135.64999999999901</v>
      </c>
      <c r="AC70" s="3">
        <f>VALUE(SUBSTITUTE(MID($A70,J70+J$2+1,K70-J70-J$2-1),",","."))</f>
        <v>1.85</v>
      </c>
      <c r="AD70" s="3">
        <f>VALUE(SUBSTITUTE(MID($A70,K70+K$2+1,L70-K70-K$2-1),",","."))</f>
        <v>6.84</v>
      </c>
      <c r="AE70" s="3">
        <f>VALUE(SUBSTITUTE(MID($A70,L70+L$2+1,M70-L70-L$2-1),",","."))</f>
        <v>0</v>
      </c>
      <c r="AF70" s="3">
        <f>VALUE(SUBSTITUTE(MID($A70,M70+M$2+1,N70-M70-M$2-1),",","."))</f>
        <v>0</v>
      </c>
      <c r="AG70" s="3">
        <f>VALUE(SUBSTITUTE(MID($A70,N70+N$2+1,O70-N70-N$2-1),",","."))</f>
        <v>4.2053715771799203</v>
      </c>
      <c r="AH70" t="str">
        <f>MID($A70,O70+O$2+1,P70-O70-O$2-1)</f>
        <v/>
      </c>
      <c r="AI70" s="8" t="str">
        <f>MID($A70,P70+P$2+1,Q70-P70-P$2-1)</f>
        <v>False</v>
      </c>
      <c r="AK70" t="b">
        <f t="shared" si="16"/>
        <v>0</v>
      </c>
    </row>
    <row r="71" spans="1:37" x14ac:dyDescent="0.35">
      <c r="A71" t="s">
        <v>4618</v>
      </c>
      <c r="B71">
        <f t="shared" si="14"/>
        <v>10</v>
      </c>
      <c r="C71">
        <f t="shared" si="14"/>
        <v>43</v>
      </c>
      <c r="D71">
        <f t="shared" si="14"/>
        <v>54</v>
      </c>
      <c r="E71">
        <f t="shared" si="13"/>
        <v>97</v>
      </c>
      <c r="F71">
        <f t="shared" si="13"/>
        <v>141</v>
      </c>
      <c r="G71">
        <f t="shared" si="13"/>
        <v>180</v>
      </c>
      <c r="H71">
        <f t="shared" si="13"/>
        <v>229</v>
      </c>
      <c r="I71">
        <f t="shared" si="13"/>
        <v>251</v>
      </c>
      <c r="J71">
        <f t="shared" si="13"/>
        <v>289</v>
      </c>
      <c r="K71">
        <f t="shared" si="13"/>
        <v>308</v>
      </c>
      <c r="L71">
        <f t="shared" si="13"/>
        <v>326</v>
      </c>
      <c r="M71">
        <f t="shared" si="13"/>
        <v>341</v>
      </c>
      <c r="N71">
        <f t="shared" si="9"/>
        <v>353</v>
      </c>
      <c r="O71">
        <f t="shared" si="9"/>
        <v>378</v>
      </c>
      <c r="P71">
        <f t="shared" si="9"/>
        <v>396</v>
      </c>
      <c r="Q71">
        <f t="shared" si="9"/>
        <v>422</v>
      </c>
      <c r="S71" t="str">
        <f t="shared" si="11"/>
        <v>27.11.2025</v>
      </c>
      <c r="T71" t="str">
        <f t="shared" si="12"/>
        <v>12:15:00</v>
      </c>
      <c r="U71" t="str">
        <f t="shared" si="15"/>
        <v>27.11.2025 12:15:00</v>
      </c>
      <c r="V71" s="9" t="str">
        <f>MID($A71,C71+C$2+1,D71-C71-C$2-1)</f>
        <v>0</v>
      </c>
      <c r="W71" s="4">
        <f>VALUE(SUBSTITUTE(MID($A71,D71+D$2+1,E71-D71-D$2-1),",","."))</f>
        <v>0.78769605625509298</v>
      </c>
      <c r="X71" s="4">
        <f>VALUE(SUBSTITUTE(MID($A71,E71+E$2+1,F71-E71-E$2-1),",","."))</f>
        <v>0.90957602214449496</v>
      </c>
      <c r="Y71" s="4">
        <f>VALUE(SUBSTITUTE(MID($A71,F71+F$2+1,G71-F71-F$2-1),",","."))</f>
        <v>0.36578650841511301</v>
      </c>
      <c r="Z71" s="3">
        <f>VALUE(SUBSTITUTE(MID($A71,G71+G$2+1,H71-G71-G$2-1),",","."))</f>
        <v>182.03333333333299</v>
      </c>
      <c r="AA71" s="3">
        <f>VALUE(SUBSTITUTE(MID($A71,H71+H$2+1,I71-H71-H$2-1),",","."))</f>
        <v>0</v>
      </c>
      <c r="AB71" s="3">
        <f>VALUE(SUBSTITUTE(MID($A71,I71+I$2+1,J71-I71-I$2-1),",","."))</f>
        <v>130.05000000000001</v>
      </c>
      <c r="AC71" s="3">
        <f>VALUE(SUBSTITUTE(MID($A71,J71+J$2+1,K71-J71-J$2-1),",","."))</f>
        <v>2.1</v>
      </c>
      <c r="AD71" s="3">
        <f>VALUE(SUBSTITUTE(MID($A71,K71+K$2+1,L71-K71-K$2-1),",","."))</f>
        <v>5.94</v>
      </c>
      <c r="AE71" s="3">
        <f>VALUE(SUBSTITUTE(MID($A71,L71+L$2+1,M71-L71-L$2-1),",","."))</f>
        <v>0</v>
      </c>
      <c r="AF71" s="3">
        <f>VALUE(SUBSTITUTE(MID($A71,M71+M$2+1,N71-M71-M$2-1),",","."))</f>
        <v>0</v>
      </c>
      <c r="AG71" s="3">
        <f>VALUE(SUBSTITUTE(MID($A71,N71+N$2+1,O71-N71-N$2-1),",","."))</f>
        <v>4.2054000970679999</v>
      </c>
      <c r="AH71" t="str">
        <f>MID($A71,O71+O$2+1,P71-O71-O$2-1)</f>
        <v/>
      </c>
      <c r="AI71" s="8" t="str">
        <f>MID($A71,P71+P$2+1,Q71-P71-P$2-1)</f>
        <v>False</v>
      </c>
      <c r="AK71" t="b">
        <f t="shared" si="16"/>
        <v>0</v>
      </c>
    </row>
    <row r="72" spans="1:37" x14ac:dyDescent="0.35">
      <c r="A72" t="s">
        <v>4619</v>
      </c>
      <c r="B72">
        <f t="shared" si="14"/>
        <v>10</v>
      </c>
      <c r="C72">
        <f t="shared" si="14"/>
        <v>43</v>
      </c>
      <c r="D72">
        <f t="shared" si="14"/>
        <v>54</v>
      </c>
      <c r="E72">
        <f t="shared" si="13"/>
        <v>97</v>
      </c>
      <c r="F72">
        <f t="shared" si="13"/>
        <v>141</v>
      </c>
      <c r="G72">
        <f t="shared" si="13"/>
        <v>179</v>
      </c>
      <c r="H72">
        <f t="shared" si="13"/>
        <v>228</v>
      </c>
      <c r="I72">
        <f t="shared" si="13"/>
        <v>250</v>
      </c>
      <c r="J72">
        <f t="shared" si="13"/>
        <v>287</v>
      </c>
      <c r="K72">
        <f t="shared" si="13"/>
        <v>306</v>
      </c>
      <c r="L72">
        <f t="shared" si="13"/>
        <v>324</v>
      </c>
      <c r="M72">
        <f t="shared" si="13"/>
        <v>339</v>
      </c>
      <c r="N72">
        <f t="shared" si="9"/>
        <v>351</v>
      </c>
      <c r="O72">
        <f t="shared" si="9"/>
        <v>376</v>
      </c>
      <c r="P72">
        <f t="shared" si="9"/>
        <v>394</v>
      </c>
      <c r="Q72">
        <f t="shared" si="9"/>
        <v>420</v>
      </c>
      <c r="S72" t="str">
        <f t="shared" si="11"/>
        <v>27.11.2025</v>
      </c>
      <c r="T72" t="str">
        <f t="shared" si="12"/>
        <v>12:30:00</v>
      </c>
      <c r="U72" t="str">
        <f t="shared" si="15"/>
        <v>27.11.2025 12:30:00</v>
      </c>
      <c r="V72" s="9" t="str">
        <f>MID($A72,C72+C$2+1,D72-C72-C$2-1)</f>
        <v>0</v>
      </c>
      <c r="W72" s="4">
        <f>VALUE(SUBSTITUTE(MID($A72,D72+D$2+1,E72-D72-D$2-1),",","."))</f>
        <v>0.77055726378123002</v>
      </c>
      <c r="X72" s="4">
        <f>VALUE(SUBSTITUTE(MID($A72,E72+E$2+1,F72-E72-E$2-1),",","."))</f>
        <v>0.90957602214449496</v>
      </c>
      <c r="Y72" s="4">
        <f>VALUE(SUBSTITUTE(MID($A72,F72+F$2+1,G72-F72-F$2-1),",","."))</f>
        <v>0.36261531966477001</v>
      </c>
      <c r="Z72" s="3">
        <f>VALUE(SUBSTITUTE(MID($A72,G72+G$2+1,H72-G72-G$2-1),",","."))</f>
        <v>184.333333333333</v>
      </c>
      <c r="AA72" s="3">
        <f>VALUE(SUBSTITUTE(MID($A72,H72+H$2+1,I72-H72-H$2-1),",","."))</f>
        <v>0</v>
      </c>
      <c r="AB72" s="3">
        <f>VALUE(SUBSTITUTE(MID($A72,I72+I$2+1,J72-I72-I$2-1),",","."))</f>
        <v>124.6</v>
      </c>
      <c r="AC72" s="3">
        <f>VALUE(SUBSTITUTE(MID($A72,J72+J$2+1,K72-J72-J$2-1),",","."))</f>
        <v>2.2999999999999998</v>
      </c>
      <c r="AD72" s="3">
        <f>VALUE(SUBSTITUTE(MID($A72,K72+K$2+1,L72-K72-K$2-1),",","."))</f>
        <v>5.04</v>
      </c>
      <c r="AE72" s="3">
        <f>VALUE(SUBSTITUTE(MID($A72,L72+L$2+1,M72-L72-L$2-1),",","."))</f>
        <v>0</v>
      </c>
      <c r="AF72" s="3">
        <f>VALUE(SUBSTITUTE(MID($A72,M72+M$2+1,N72-M72-M$2-1),",","."))</f>
        <v>0</v>
      </c>
      <c r="AG72" s="3">
        <f>VALUE(SUBSTITUTE(MID($A72,N72+N$2+1,O72-N72-N$2-1),",","."))</f>
        <v>4.2054286169560902</v>
      </c>
      <c r="AH72" t="str">
        <f>MID($A72,O72+O$2+1,P72-O72-O$2-1)</f>
        <v/>
      </c>
      <c r="AI72" s="8" t="str">
        <f>MID($A72,P72+P$2+1,Q72-P72-P$2-1)</f>
        <v>False</v>
      </c>
      <c r="AK72" t="b">
        <f t="shared" si="16"/>
        <v>0</v>
      </c>
    </row>
    <row r="73" spans="1:37" x14ac:dyDescent="0.35">
      <c r="A73" t="s">
        <v>4620</v>
      </c>
      <c r="B73">
        <f t="shared" si="14"/>
        <v>10</v>
      </c>
      <c r="C73">
        <f t="shared" si="14"/>
        <v>43</v>
      </c>
      <c r="D73">
        <f t="shared" si="14"/>
        <v>54</v>
      </c>
      <c r="E73">
        <f t="shared" si="13"/>
        <v>96</v>
      </c>
      <c r="F73">
        <f t="shared" si="13"/>
        <v>140</v>
      </c>
      <c r="G73">
        <f t="shared" si="13"/>
        <v>179</v>
      </c>
      <c r="H73">
        <f t="shared" si="13"/>
        <v>228</v>
      </c>
      <c r="I73">
        <f t="shared" si="13"/>
        <v>250</v>
      </c>
      <c r="J73">
        <f t="shared" si="13"/>
        <v>288</v>
      </c>
      <c r="K73">
        <f t="shared" si="13"/>
        <v>307</v>
      </c>
      <c r="L73">
        <f t="shared" si="13"/>
        <v>338</v>
      </c>
      <c r="M73">
        <f t="shared" si="13"/>
        <v>353</v>
      </c>
      <c r="N73">
        <f t="shared" si="9"/>
        <v>365</v>
      </c>
      <c r="O73">
        <f t="shared" si="9"/>
        <v>390</v>
      </c>
      <c r="P73">
        <f t="shared" si="9"/>
        <v>408</v>
      </c>
      <c r="Q73">
        <f t="shared" si="9"/>
        <v>434</v>
      </c>
      <c r="S73" t="str">
        <f t="shared" si="11"/>
        <v>27.11.2025</v>
      </c>
      <c r="T73" t="str">
        <f t="shared" si="12"/>
        <v>12:45:00</v>
      </c>
      <c r="U73" t="str">
        <f t="shared" si="15"/>
        <v>27.11.2025 12:45:00</v>
      </c>
      <c r="V73" s="9" t="str">
        <f>MID($A73,C73+C$2+1,D73-C73-C$2-1)</f>
        <v>0</v>
      </c>
      <c r="W73" s="4">
        <f>VALUE(SUBSTITUTE(MID($A73,D73+D$2+1,E73-D73-D$2-1),",","."))</f>
        <v>0.74975629609239403</v>
      </c>
      <c r="X73" s="4">
        <f>VALUE(SUBSTITUTE(MID($A73,E73+E$2+1,F73-E73-E$2-1),",","."))</f>
        <v>0.90957602214449496</v>
      </c>
      <c r="Y73" s="4">
        <f>VALUE(SUBSTITUTE(MID($A73,F73+F$2+1,G73-F73-F$2-1),",","."))</f>
        <v>0.35676313332443399</v>
      </c>
      <c r="Z73" s="3">
        <f>VALUE(SUBSTITUTE(MID($A73,G73+G$2+1,H73-G73-G$2-1),",","."))</f>
        <v>242.14999999999901</v>
      </c>
      <c r="AA73" s="3">
        <f>VALUE(SUBSTITUTE(MID($A73,H73+H$2+1,I73-H73-H$2-1),",","."))</f>
        <v>0</v>
      </c>
      <c r="AB73" s="3">
        <f>VALUE(SUBSTITUTE(MID($A73,I73+I$2+1,J73-I73-I$2-1),",","."))</f>
        <v>127.15</v>
      </c>
      <c r="AC73" s="3">
        <f>VALUE(SUBSTITUTE(MID($A73,J73+J$2+1,K73-J73-J$2-1),",","."))</f>
        <v>2.4</v>
      </c>
      <c r="AD73" s="3">
        <f>VALUE(SUBSTITUTE(MID($A73,K73+K$2+1,L73-K73-K$2-1),",","."))</f>
        <v>5.22</v>
      </c>
      <c r="AE73" s="3">
        <f>VALUE(SUBSTITUTE(MID($A73,L73+L$2+1,M73-L73-L$2-1),",","."))</f>
        <v>0</v>
      </c>
      <c r="AF73" s="3">
        <f>VALUE(SUBSTITUTE(MID($A73,M73+M$2+1,N73-M73-M$2-1),",","."))</f>
        <v>0</v>
      </c>
      <c r="AG73" s="3">
        <f>VALUE(SUBSTITUTE(MID($A73,N73+N$2+1,O73-N73-N$2-1),",","."))</f>
        <v>4.2054571368441698</v>
      </c>
      <c r="AH73" t="str">
        <f>MID($A73,O73+O$2+1,P73-O73-O$2-1)</f>
        <v/>
      </c>
      <c r="AI73" s="8" t="str">
        <f>MID($A73,P73+P$2+1,Q73-P73-P$2-1)</f>
        <v>False</v>
      </c>
      <c r="AK73" t="b">
        <f t="shared" si="16"/>
        <v>0</v>
      </c>
    </row>
    <row r="74" spans="1:37" x14ac:dyDescent="0.35">
      <c r="A74" t="s">
        <v>4621</v>
      </c>
      <c r="B74">
        <f t="shared" si="14"/>
        <v>10</v>
      </c>
      <c r="C74">
        <f t="shared" si="14"/>
        <v>43</v>
      </c>
      <c r="D74">
        <f t="shared" si="14"/>
        <v>54</v>
      </c>
      <c r="E74">
        <f t="shared" si="13"/>
        <v>97</v>
      </c>
      <c r="F74">
        <f t="shared" si="13"/>
        <v>141</v>
      </c>
      <c r="G74">
        <f t="shared" si="13"/>
        <v>180</v>
      </c>
      <c r="H74">
        <f t="shared" si="13"/>
        <v>229</v>
      </c>
      <c r="I74">
        <f t="shared" si="13"/>
        <v>251</v>
      </c>
      <c r="J74">
        <f t="shared" si="13"/>
        <v>289</v>
      </c>
      <c r="K74">
        <f t="shared" si="13"/>
        <v>309</v>
      </c>
      <c r="L74">
        <f t="shared" si="13"/>
        <v>327</v>
      </c>
      <c r="M74">
        <f t="shared" si="13"/>
        <v>342</v>
      </c>
      <c r="N74">
        <f t="shared" si="9"/>
        <v>354</v>
      </c>
      <c r="O74">
        <f t="shared" si="9"/>
        <v>379</v>
      </c>
      <c r="P74">
        <f t="shared" si="9"/>
        <v>397</v>
      </c>
      <c r="Q74">
        <f t="shared" si="9"/>
        <v>423</v>
      </c>
      <c r="S74" t="str">
        <f t="shared" si="11"/>
        <v>27.11.2025</v>
      </c>
      <c r="T74" t="str">
        <f t="shared" si="12"/>
        <v>13:00:00</v>
      </c>
      <c r="U74" t="str">
        <f t="shared" si="15"/>
        <v>27.11.2025 13:00:00</v>
      </c>
      <c r="V74" s="9" t="str">
        <f>MID($A74,C74+C$2+1,D74-C74-C$2-1)</f>
        <v>0</v>
      </c>
      <c r="W74" s="4">
        <f>VALUE(SUBSTITUTE(MID($A74,D74+D$2+1,E74-D74-D$2-1),",","."))</f>
        <v>0.72538271266276799</v>
      </c>
      <c r="X74" s="4">
        <f>VALUE(SUBSTITUTE(MID($A74,E74+E$2+1,F74-E74-E$2-1),",","."))</f>
        <v>0.90957602214449496</v>
      </c>
      <c r="Y74" s="4">
        <f>VALUE(SUBSTITUTE(MID($A74,F74+F$2+1,G74-F74-F$2-1),",","."))</f>
        <v>0.34825553986327901</v>
      </c>
      <c r="Z74" s="3">
        <f>VALUE(SUBSTITUTE(MID($A74,G74+G$2+1,H74-G74-G$2-1),",","."))</f>
        <v>168.61666666666599</v>
      </c>
      <c r="AA74" s="3">
        <f>VALUE(SUBSTITUTE(MID($A74,H74+H$2+1,I74-H74-H$2-1),",","."))</f>
        <v>0</v>
      </c>
      <c r="AB74" s="3">
        <f>VALUE(SUBSTITUTE(MID($A74,I74+I$2+1,J74-I74-I$2-1),",","."))</f>
        <v>130.15</v>
      </c>
      <c r="AC74" s="3">
        <f>VALUE(SUBSTITUTE(MID($A74,J74+J$2+1,K74-J74-J$2-1),",","."))</f>
        <v>2.5499999999999998</v>
      </c>
      <c r="AD74" s="3">
        <f>VALUE(SUBSTITUTE(MID($A74,K74+K$2+1,L74-K74-K$2-1),",","."))</f>
        <v>6.84</v>
      </c>
      <c r="AE74" s="3">
        <f>VALUE(SUBSTITUTE(MID($A74,L74+L$2+1,M74-L74-L$2-1),",","."))</f>
        <v>0</v>
      </c>
      <c r="AF74" s="3">
        <f>VALUE(SUBSTITUTE(MID($A74,M74+M$2+1,N74-M74-M$2-1),",","."))</f>
        <v>0</v>
      </c>
      <c r="AG74" s="3">
        <f>VALUE(SUBSTITUTE(MID($A74,N74+N$2+1,O74-N74-N$2-1),",","."))</f>
        <v>4.2054856567322503</v>
      </c>
      <c r="AH74" t="str">
        <f>MID($A74,O74+O$2+1,P74-O74-O$2-1)</f>
        <v/>
      </c>
      <c r="AI74" s="8" t="str">
        <f>MID($A74,P74+P$2+1,Q74-P74-P$2-1)</f>
        <v>False</v>
      </c>
      <c r="AK74" t="b">
        <f t="shared" si="16"/>
        <v>0</v>
      </c>
    </row>
    <row r="75" spans="1:37" x14ac:dyDescent="0.35">
      <c r="A75" t="s">
        <v>4622</v>
      </c>
      <c r="B75">
        <f t="shared" si="14"/>
        <v>10</v>
      </c>
      <c r="C75">
        <f t="shared" si="14"/>
        <v>43</v>
      </c>
      <c r="D75">
        <f t="shared" si="14"/>
        <v>54</v>
      </c>
      <c r="E75">
        <f t="shared" si="13"/>
        <v>97</v>
      </c>
      <c r="F75">
        <f t="shared" si="13"/>
        <v>141</v>
      </c>
      <c r="G75">
        <f t="shared" si="13"/>
        <v>180</v>
      </c>
      <c r="H75">
        <f t="shared" si="13"/>
        <v>229</v>
      </c>
      <c r="I75">
        <f t="shared" si="13"/>
        <v>251</v>
      </c>
      <c r="J75">
        <f t="shared" si="13"/>
        <v>289</v>
      </c>
      <c r="K75">
        <f t="shared" si="13"/>
        <v>308</v>
      </c>
      <c r="L75">
        <f t="shared" si="13"/>
        <v>326</v>
      </c>
      <c r="M75">
        <f t="shared" si="13"/>
        <v>341</v>
      </c>
      <c r="N75">
        <f t="shared" si="9"/>
        <v>353</v>
      </c>
      <c r="O75">
        <f t="shared" si="9"/>
        <v>378</v>
      </c>
      <c r="P75">
        <f t="shared" si="9"/>
        <v>396</v>
      </c>
      <c r="Q75">
        <f t="shared" si="9"/>
        <v>422</v>
      </c>
      <c r="S75" t="str">
        <f t="shared" si="11"/>
        <v>27.11.2025</v>
      </c>
      <c r="T75" t="str">
        <f t="shared" si="12"/>
        <v>13:15:00</v>
      </c>
      <c r="U75" t="str">
        <f t="shared" si="15"/>
        <v>27.11.2025 13:15:00</v>
      </c>
      <c r="V75" s="9" t="str">
        <f>MID($A75,C75+C$2+1,D75-C75-C$2-1)</f>
        <v>0</v>
      </c>
      <c r="W75" s="4">
        <f>VALUE(SUBSTITUTE(MID($A75,D75+D$2+1,E75-D75-D$2-1),",","."))</f>
        <v>0.69754163420749904</v>
      </c>
      <c r="X75" s="4">
        <f>VALUE(SUBSTITUTE(MID($A75,E75+E$2+1,F75-E75-E$2-1),",","."))</f>
        <v>0.90957602214449496</v>
      </c>
      <c r="Y75" s="4">
        <f>VALUE(SUBSTITUTE(MID($A75,F75+F$2+1,G75-F75-F$2-1),",","."))</f>
        <v>0.337129825565256</v>
      </c>
      <c r="Z75" s="3">
        <f>VALUE(SUBSTITUTE(MID($A75,G75+G$2+1,H75-G75-G$2-1),",","."))</f>
        <v>108.183333333333</v>
      </c>
      <c r="AA75" s="3">
        <f>VALUE(SUBSTITUTE(MID($A75,H75+H$2+1,I75-H75-H$2-1),",","."))</f>
        <v>0</v>
      </c>
      <c r="AB75" s="3">
        <f>VALUE(SUBSTITUTE(MID($A75,I75+I$2+1,J75-I75-I$2-1),",","."))</f>
        <v>129.15</v>
      </c>
      <c r="AC75" s="3">
        <f>VALUE(SUBSTITUTE(MID($A75,J75+J$2+1,K75-J75-J$2-1),",","."))</f>
        <v>2.6</v>
      </c>
      <c r="AD75" s="3">
        <f>VALUE(SUBSTITUTE(MID($A75,K75+K$2+1,L75-K75-K$2-1),",","."))</f>
        <v>7.38</v>
      </c>
      <c r="AE75" s="3">
        <f>VALUE(SUBSTITUTE(MID($A75,L75+L$2+1,M75-L75-L$2-1),",","."))</f>
        <v>0</v>
      </c>
      <c r="AF75" s="3">
        <f>VALUE(SUBSTITUTE(MID($A75,M75+M$2+1,N75-M75-M$2-1),",","."))</f>
        <v>0</v>
      </c>
      <c r="AG75" s="3">
        <f>VALUE(SUBSTITUTE(MID($A75,N75+N$2+1,O75-N75-N$2-1),",","."))</f>
        <v>4.2055141766203299</v>
      </c>
      <c r="AH75" t="str">
        <f>MID($A75,O75+O$2+1,P75-O75-O$2-1)</f>
        <v/>
      </c>
      <c r="AI75" s="8" t="str">
        <f>MID($A75,P75+P$2+1,Q75-P75-P$2-1)</f>
        <v>False</v>
      </c>
      <c r="AK75" t="b">
        <f t="shared" si="16"/>
        <v>1</v>
      </c>
    </row>
    <row r="76" spans="1:37" x14ac:dyDescent="0.35">
      <c r="A76" t="s">
        <v>4623</v>
      </c>
      <c r="B76">
        <f t="shared" si="14"/>
        <v>10</v>
      </c>
      <c r="C76">
        <f t="shared" si="14"/>
        <v>43</v>
      </c>
      <c r="D76">
        <f t="shared" si="14"/>
        <v>54</v>
      </c>
      <c r="E76">
        <f t="shared" si="13"/>
        <v>97</v>
      </c>
      <c r="F76">
        <f t="shared" si="13"/>
        <v>141</v>
      </c>
      <c r="G76">
        <f t="shared" si="13"/>
        <v>178</v>
      </c>
      <c r="H76">
        <f t="shared" si="13"/>
        <v>227</v>
      </c>
      <c r="I76">
        <f t="shared" si="13"/>
        <v>249</v>
      </c>
      <c r="J76">
        <f t="shared" si="13"/>
        <v>286</v>
      </c>
      <c r="K76">
        <f t="shared" si="13"/>
        <v>306</v>
      </c>
      <c r="L76">
        <f t="shared" si="13"/>
        <v>324</v>
      </c>
      <c r="M76">
        <f t="shared" si="13"/>
        <v>339</v>
      </c>
      <c r="N76">
        <f t="shared" si="9"/>
        <v>351</v>
      </c>
      <c r="O76">
        <f t="shared" si="9"/>
        <v>376</v>
      </c>
      <c r="P76">
        <f t="shared" si="9"/>
        <v>394</v>
      </c>
      <c r="Q76">
        <f t="shared" si="9"/>
        <v>420</v>
      </c>
      <c r="S76" t="str">
        <f t="shared" si="11"/>
        <v>27.11.2025</v>
      </c>
      <c r="T76" t="str">
        <f t="shared" si="12"/>
        <v>13:30:00</v>
      </c>
      <c r="U76" t="str">
        <f t="shared" si="15"/>
        <v>27.11.2025 13:30:00</v>
      </c>
      <c r="V76" s="9" t="str">
        <f>MID($A76,C76+C$2+1,D76-C76-C$2-1)</f>
        <v>0</v>
      </c>
      <c r="W76" s="4">
        <f>VALUE(SUBSTITUTE(MID($A76,D76+D$2+1,E76-D76-D$2-1),",","."))</f>
        <v>0.66635336849054805</v>
      </c>
      <c r="X76" s="4">
        <f>VALUE(SUBSTITUTE(MID($A76,E76+E$2+1,F76-E76-E$2-1),",","."))</f>
        <v>0.90957602214449496</v>
      </c>
      <c r="Y76" s="4">
        <f>VALUE(SUBSTITUTE(MID($A76,F76+F$2+1,G76-F76-F$2-1),",","."))</f>
        <v>0.32343490530186902</v>
      </c>
      <c r="Z76" s="3">
        <f>VALUE(SUBSTITUTE(MID($A76,G76+G$2+1,H76-G76-G$2-1),",","."))</f>
        <v>121.23333333333299</v>
      </c>
      <c r="AA76" s="3">
        <f>VALUE(SUBSTITUTE(MID($A76,H76+H$2+1,I76-H76-H$2-1),",","."))</f>
        <v>0</v>
      </c>
      <c r="AB76" s="3">
        <f>VALUE(SUBSTITUTE(MID($A76,I76+I$2+1,J76-I76-I$2-1),",","."))</f>
        <v>128.6</v>
      </c>
      <c r="AC76" s="3">
        <f>VALUE(SUBSTITUTE(MID($A76,J76+J$2+1,K76-J76-J$2-1),",","."))</f>
        <v>2.75</v>
      </c>
      <c r="AD76" s="3">
        <f>VALUE(SUBSTITUTE(MID($A76,K76+K$2+1,L76-K76-K$2-1),",","."))</f>
        <v>7.38</v>
      </c>
      <c r="AE76" s="3">
        <f>VALUE(SUBSTITUTE(MID($A76,L76+L$2+1,M76-L76-L$2-1),",","."))</f>
        <v>0</v>
      </c>
      <c r="AF76" s="3">
        <f>VALUE(SUBSTITUTE(MID($A76,M76+M$2+1,N76-M76-M$2-1),",","."))</f>
        <v>0</v>
      </c>
      <c r="AG76" s="3">
        <f>VALUE(SUBSTITUTE(MID($A76,N76+N$2+1,O76-N76-N$2-1),",","."))</f>
        <v>4.2055426965084104</v>
      </c>
      <c r="AH76" t="str">
        <f>MID($A76,O76+O$2+1,P76-O76-O$2-1)</f>
        <v/>
      </c>
      <c r="AI76" s="8" t="str">
        <f>MID($A76,P76+P$2+1,Q76-P76-P$2-1)</f>
        <v>False</v>
      </c>
      <c r="AK76" t="b">
        <f t="shared" si="16"/>
        <v>1</v>
      </c>
    </row>
    <row r="77" spans="1:37" x14ac:dyDescent="0.35">
      <c r="A77" t="s">
        <v>4624</v>
      </c>
      <c r="B77">
        <f t="shared" si="14"/>
        <v>10</v>
      </c>
      <c r="C77">
        <f t="shared" si="14"/>
        <v>43</v>
      </c>
      <c r="D77">
        <f t="shared" si="14"/>
        <v>54</v>
      </c>
      <c r="E77">
        <f t="shared" si="13"/>
        <v>97</v>
      </c>
      <c r="F77">
        <f t="shared" si="13"/>
        <v>141</v>
      </c>
      <c r="G77">
        <f t="shared" si="13"/>
        <v>179</v>
      </c>
      <c r="H77">
        <f t="shared" si="13"/>
        <v>228</v>
      </c>
      <c r="I77">
        <f t="shared" si="13"/>
        <v>250</v>
      </c>
      <c r="J77">
        <f t="shared" si="13"/>
        <v>287</v>
      </c>
      <c r="K77">
        <f t="shared" si="13"/>
        <v>307</v>
      </c>
      <c r="L77">
        <f t="shared" si="13"/>
        <v>339</v>
      </c>
      <c r="M77">
        <f t="shared" si="13"/>
        <v>354</v>
      </c>
      <c r="N77">
        <f t="shared" si="9"/>
        <v>366</v>
      </c>
      <c r="O77">
        <f t="shared" si="9"/>
        <v>391</v>
      </c>
      <c r="P77">
        <f t="shared" si="9"/>
        <v>409</v>
      </c>
      <c r="Q77">
        <f t="shared" si="9"/>
        <v>435</v>
      </c>
      <c r="S77" t="str">
        <f t="shared" si="11"/>
        <v>27.11.2025</v>
      </c>
      <c r="T77" t="str">
        <f t="shared" si="12"/>
        <v>13:45:00</v>
      </c>
      <c r="U77" t="str">
        <f t="shared" si="15"/>
        <v>27.11.2025 13:45:00</v>
      </c>
      <c r="V77" s="9" t="str">
        <f>MID($A77,C77+C$2+1,D77-C77-C$2-1)</f>
        <v>0</v>
      </c>
      <c r="W77" s="4">
        <f>VALUE(SUBSTITUTE(MID($A77,D77+D$2+1,E77-D77-D$2-1),",","."))</f>
        <v>0.63195301847644703</v>
      </c>
      <c r="X77" s="4">
        <f>VALUE(SUBSTITUTE(MID($A77,E77+E$2+1,F77-E77-E$2-1),",","."))</f>
        <v>0.90957602214449496</v>
      </c>
      <c r="Y77" s="4">
        <f>VALUE(SUBSTITUTE(MID($A77,F77+F$2+1,G77-F77-F$2-1),",","."))</f>
        <v>0.30723126306275</v>
      </c>
      <c r="Z77" s="3">
        <f>VALUE(SUBSTITUTE(MID($A77,G77+G$2+1,H77-G77-G$2-1),",","."))</f>
        <v>118.333333333333</v>
      </c>
      <c r="AA77" s="3">
        <f>VALUE(SUBSTITUTE(MID($A77,H77+H$2+1,I77-H77-H$2-1),",","."))</f>
        <v>0</v>
      </c>
      <c r="AB77" s="3">
        <f>VALUE(SUBSTITUTE(MID($A77,I77+I$2+1,J77-I77-I$2-1),",","."))</f>
        <v>125.6</v>
      </c>
      <c r="AC77" s="3">
        <f>VALUE(SUBSTITUTE(MID($A77,J77+J$2+1,K77-J77-J$2-1),",","."))</f>
        <v>2.75</v>
      </c>
      <c r="AD77" s="3">
        <f>VALUE(SUBSTITUTE(MID($A77,K77+K$2+1,L77-K77-K$2-1),",","."))</f>
        <v>7.02</v>
      </c>
      <c r="AE77" s="3">
        <f>VALUE(SUBSTITUTE(MID($A77,L77+L$2+1,M77-L77-L$2-1),",","."))</f>
        <v>0</v>
      </c>
      <c r="AF77" s="3">
        <f>VALUE(SUBSTITUTE(MID($A77,M77+M$2+1,N77-M77-M$2-1),",","."))</f>
        <v>0</v>
      </c>
      <c r="AG77" s="3">
        <f>VALUE(SUBSTITUTE(MID($A77,N77+N$2+1,O77-N77-N$2-1),",","."))</f>
        <v>4.20557121639649</v>
      </c>
      <c r="AH77" t="str">
        <f>MID($A77,O77+O$2+1,P77-O77-O$2-1)</f>
        <v/>
      </c>
      <c r="AI77" s="8" t="str">
        <f>MID($A77,P77+P$2+1,Q77-P77-P$2-1)</f>
        <v>False</v>
      </c>
      <c r="AK77" t="b">
        <f t="shared" si="16"/>
        <v>1</v>
      </c>
    </row>
    <row r="78" spans="1:37" x14ac:dyDescent="0.35">
      <c r="A78" t="s">
        <v>4625</v>
      </c>
      <c r="B78">
        <f t="shared" si="14"/>
        <v>10</v>
      </c>
      <c r="C78">
        <f t="shared" si="14"/>
        <v>43</v>
      </c>
      <c r="D78">
        <f t="shared" si="14"/>
        <v>54</v>
      </c>
      <c r="E78">
        <f t="shared" si="13"/>
        <v>97</v>
      </c>
      <c r="F78">
        <f t="shared" si="13"/>
        <v>141</v>
      </c>
      <c r="G78">
        <f t="shared" si="13"/>
        <v>179</v>
      </c>
      <c r="H78">
        <f t="shared" si="13"/>
        <v>215</v>
      </c>
      <c r="I78">
        <f t="shared" si="13"/>
        <v>237</v>
      </c>
      <c r="J78">
        <f t="shared" si="13"/>
        <v>274</v>
      </c>
      <c r="K78">
        <f t="shared" si="13"/>
        <v>293</v>
      </c>
      <c r="L78">
        <f t="shared" si="13"/>
        <v>324</v>
      </c>
      <c r="M78">
        <f t="shared" si="13"/>
        <v>339</v>
      </c>
      <c r="N78">
        <f t="shared" si="9"/>
        <v>351</v>
      </c>
      <c r="O78">
        <f t="shared" si="9"/>
        <v>375</v>
      </c>
      <c r="P78">
        <f t="shared" si="9"/>
        <v>393</v>
      </c>
      <c r="Q78">
        <f t="shared" si="9"/>
        <v>419</v>
      </c>
      <c r="S78" t="str">
        <f t="shared" si="11"/>
        <v>27.11.2025</v>
      </c>
      <c r="T78" t="str">
        <f t="shared" si="12"/>
        <v>14:00:00</v>
      </c>
      <c r="U78" t="str">
        <f t="shared" si="15"/>
        <v>27.11.2025 14:00:00</v>
      </c>
      <c r="V78" s="9" t="str">
        <f>MID($A78,C78+C$2+1,D78-C78-C$2-1)</f>
        <v>0</v>
      </c>
      <c r="W78" s="4">
        <f>VALUE(SUBSTITUTE(MID($A78,D78+D$2+1,E78-D78-D$2-1),",","."))</f>
        <v>0.59449010317876305</v>
      </c>
      <c r="X78" s="4">
        <f>VALUE(SUBSTITUTE(MID($A78,E78+E$2+1,F78-E78-E$2-1),",","."))</f>
        <v>0.90957602214449496</v>
      </c>
      <c r="Y78" s="4">
        <f>VALUE(SUBSTITUTE(MID($A78,F78+F$2+1,G78-F78-F$2-1),",","."))</f>
        <v>0.288590935551224</v>
      </c>
      <c r="Z78" s="3">
        <f>VALUE(SUBSTITUTE(MID($A78,G78+G$2+1,H78-G78-G$2-1),",","."))</f>
        <v>108.1</v>
      </c>
      <c r="AA78" s="3">
        <f>VALUE(SUBSTITUTE(MID($A78,H78+H$2+1,I78-H78-H$2-1),",","."))</f>
        <v>0</v>
      </c>
      <c r="AB78" s="3">
        <f>VALUE(SUBSTITUTE(MID($A78,I78+I$2+1,J78-I78-I$2-1),",","."))</f>
        <v>108.4</v>
      </c>
      <c r="AC78" s="3">
        <f>VALUE(SUBSTITUTE(MID($A78,J78+J$2+1,K78-J78-J$2-1),",","."))</f>
        <v>2.8</v>
      </c>
      <c r="AD78" s="3">
        <f>VALUE(SUBSTITUTE(MID($A78,K78+K$2+1,L78-K78-K$2-1),",","."))</f>
        <v>6.12</v>
      </c>
      <c r="AE78" s="3">
        <f>VALUE(SUBSTITUTE(MID($A78,L78+L$2+1,M78-L78-L$2-1),",","."))</f>
        <v>0</v>
      </c>
      <c r="AF78" s="3">
        <f>VALUE(SUBSTITUTE(MID($A78,M78+M$2+1,N78-M78-M$2-1),",","."))</f>
        <v>0</v>
      </c>
      <c r="AG78" s="3">
        <f>VALUE(SUBSTITUTE(MID($A78,N78+N$2+1,O78-N78-N$2-1),",","."))</f>
        <v>4.2055997362845803</v>
      </c>
      <c r="AH78" t="str">
        <f>MID($A78,O78+O$2+1,P78-O78-O$2-1)</f>
        <v/>
      </c>
      <c r="AI78" s="8" t="str">
        <f>MID($A78,P78+P$2+1,Q78-P78-P$2-1)</f>
        <v>False</v>
      </c>
      <c r="AK78" t="b">
        <f t="shared" si="16"/>
        <v>1</v>
      </c>
    </row>
    <row r="79" spans="1:37" x14ac:dyDescent="0.35">
      <c r="A79" t="s">
        <v>4626</v>
      </c>
      <c r="B79">
        <f t="shared" si="14"/>
        <v>10</v>
      </c>
      <c r="C79">
        <f t="shared" si="14"/>
        <v>43</v>
      </c>
      <c r="D79">
        <f t="shared" si="14"/>
        <v>54</v>
      </c>
      <c r="E79">
        <f t="shared" si="13"/>
        <v>97</v>
      </c>
      <c r="F79">
        <f t="shared" si="13"/>
        <v>141</v>
      </c>
      <c r="G79">
        <f t="shared" si="13"/>
        <v>179</v>
      </c>
      <c r="H79">
        <f t="shared" si="13"/>
        <v>228</v>
      </c>
      <c r="I79">
        <f t="shared" si="13"/>
        <v>250</v>
      </c>
      <c r="J79">
        <f t="shared" si="13"/>
        <v>285</v>
      </c>
      <c r="K79">
        <f t="shared" si="13"/>
        <v>304</v>
      </c>
      <c r="L79">
        <f t="shared" si="13"/>
        <v>322</v>
      </c>
      <c r="M79">
        <f t="shared" si="13"/>
        <v>337</v>
      </c>
      <c r="N79">
        <f t="shared" si="9"/>
        <v>349</v>
      </c>
      <c r="O79">
        <f t="shared" si="9"/>
        <v>374</v>
      </c>
      <c r="P79">
        <f t="shared" si="9"/>
        <v>392</v>
      </c>
      <c r="Q79">
        <f t="shared" si="9"/>
        <v>418</v>
      </c>
      <c r="S79" t="str">
        <f t="shared" si="11"/>
        <v>27.11.2025</v>
      </c>
      <c r="T79" t="str">
        <f t="shared" si="12"/>
        <v>14:15:00</v>
      </c>
      <c r="U79" t="str">
        <f t="shared" si="15"/>
        <v>27.11.2025 14:15:00</v>
      </c>
      <c r="V79" s="9" t="str">
        <f>MID($A79,C79+C$2+1,D79-C79-C$2-1)</f>
        <v>0</v>
      </c>
      <c r="W79" s="4">
        <f>VALUE(SUBSTITUTE(MID($A79,D79+D$2+1,E79-D79-D$2-1),",","."))</f>
        <v>0.55412824691139695</v>
      </c>
      <c r="X79" s="4">
        <f>VALUE(SUBSTITUTE(MID($A79,E79+E$2+1,F79-E79-E$2-1),",","."))</f>
        <v>0.90957602214449496</v>
      </c>
      <c r="Y79" s="4">
        <f>VALUE(SUBSTITUTE(MID($A79,F79+F$2+1,G79-F79-F$2-1),",","."))</f>
        <v>0.26759760437518398</v>
      </c>
      <c r="Z79" s="3">
        <f>VALUE(SUBSTITUTE(MID($A79,G79+G$2+1,H79-G79-G$2-1),",","."))</f>
        <v>116.36666666666601</v>
      </c>
      <c r="AA79" s="3">
        <f>VALUE(SUBSTITUTE(MID($A79,H79+H$2+1,I79-H79-H$2-1),",","."))</f>
        <v>0</v>
      </c>
      <c r="AB79" s="3">
        <f>VALUE(SUBSTITUTE(MID($A79,I79+I$2+1,J79-I79-I$2-1),",","."))</f>
        <v>102</v>
      </c>
      <c r="AC79" s="3">
        <f>VALUE(SUBSTITUTE(MID($A79,J79+J$2+1,K79-J79-J$2-1),",","."))</f>
        <v>2.9</v>
      </c>
      <c r="AD79" s="3">
        <f>VALUE(SUBSTITUTE(MID($A79,K79+K$2+1,L79-K79-K$2-1),",","."))</f>
        <v>6.48</v>
      </c>
      <c r="AE79" s="3">
        <f>VALUE(SUBSTITUTE(MID($A79,L79+L$2+1,M79-L79-L$2-1),",","."))</f>
        <v>0</v>
      </c>
      <c r="AF79" s="3">
        <f>VALUE(SUBSTITUTE(MID($A79,M79+M$2+1,N79-M79-M$2-1),",","."))</f>
        <v>0</v>
      </c>
      <c r="AG79" s="3">
        <f>VALUE(SUBSTITUTE(MID($A79,N79+N$2+1,O79-N79-N$2-1),",","."))</f>
        <v>4.2056282561726599</v>
      </c>
      <c r="AH79" t="str">
        <f>MID($A79,O79+O$2+1,P79-O79-O$2-1)</f>
        <v/>
      </c>
      <c r="AI79" s="8" t="str">
        <f>MID($A79,P79+P$2+1,Q79-P79-P$2-1)</f>
        <v>False</v>
      </c>
      <c r="AK79" t="b">
        <f t="shared" si="16"/>
        <v>0</v>
      </c>
    </row>
    <row r="80" spans="1:37" x14ac:dyDescent="0.35">
      <c r="A80" t="s">
        <v>4627</v>
      </c>
      <c r="B80">
        <f t="shared" si="14"/>
        <v>10</v>
      </c>
      <c r="C80">
        <f t="shared" si="14"/>
        <v>43</v>
      </c>
      <c r="D80">
        <f t="shared" si="14"/>
        <v>54</v>
      </c>
      <c r="E80">
        <f t="shared" si="13"/>
        <v>95</v>
      </c>
      <c r="F80">
        <f t="shared" si="13"/>
        <v>139</v>
      </c>
      <c r="G80">
        <f t="shared" si="13"/>
        <v>177</v>
      </c>
      <c r="H80">
        <f t="shared" si="13"/>
        <v>225</v>
      </c>
      <c r="I80">
        <f t="shared" si="13"/>
        <v>247</v>
      </c>
      <c r="J80">
        <f t="shared" si="13"/>
        <v>285</v>
      </c>
      <c r="K80">
        <f t="shared" si="13"/>
        <v>304</v>
      </c>
      <c r="L80">
        <f t="shared" si="13"/>
        <v>322</v>
      </c>
      <c r="M80">
        <f t="shared" si="13"/>
        <v>337</v>
      </c>
      <c r="N80">
        <f t="shared" si="9"/>
        <v>349</v>
      </c>
      <c r="O80">
        <f t="shared" si="9"/>
        <v>374</v>
      </c>
      <c r="P80">
        <f t="shared" si="9"/>
        <v>392</v>
      </c>
      <c r="Q80">
        <f t="shared" si="9"/>
        <v>418</v>
      </c>
      <c r="S80" t="str">
        <f t="shared" si="11"/>
        <v>27.11.2025</v>
      </c>
      <c r="T80" t="str">
        <f t="shared" si="12"/>
        <v>14:30:00</v>
      </c>
      <c r="U80" t="str">
        <f t="shared" si="15"/>
        <v>27.11.2025 14:30:00</v>
      </c>
      <c r="V80" s="9" t="str">
        <f>MID($A80,C80+C$2+1,D80-C80-C$2-1)</f>
        <v>0</v>
      </c>
      <c r="W80" s="4">
        <f>VALUE(SUBSTITUTE(MID($A80,D80+D$2+1,E80-D80-D$2-1),",","."))</f>
        <v>0.51104504190301003</v>
      </c>
      <c r="X80" s="4">
        <f>VALUE(SUBSTITUTE(MID($A80,E80+E$2+1,F80-E80-E$2-1),",","."))</f>
        <v>0.90957602214449496</v>
      </c>
      <c r="Y80" s="4">
        <f>VALUE(SUBSTITUTE(MID($A80,F80+F$2+1,G80-F80-F$2-1),",","."))</f>
        <v>0.244346922572104</v>
      </c>
      <c r="Z80" s="3">
        <f>VALUE(SUBSTITUTE(MID($A80,G80+G$2+1,H80-G80-G$2-1),",","."))</f>
        <v>96.183333333333294</v>
      </c>
      <c r="AA80" s="3">
        <f>VALUE(SUBSTITUTE(MID($A80,H80+H$2+1,I80-H80-H$2-1),",","."))</f>
        <v>0</v>
      </c>
      <c r="AB80" s="3">
        <f>VALUE(SUBSTITUTE(MID($A80,I80+I$2+1,J80-I80-I$2-1),",","."))</f>
        <v>106.15</v>
      </c>
      <c r="AC80" s="3">
        <f>VALUE(SUBSTITUTE(MID($A80,J80+J$2+1,K80-J80-J$2-1),",","."))</f>
        <v>2.9</v>
      </c>
      <c r="AD80" s="3">
        <f>VALUE(SUBSTITUTE(MID($A80,K80+K$2+1,L80-K80-K$2-1),",","."))</f>
        <v>6.66</v>
      </c>
      <c r="AE80" s="3">
        <f>VALUE(SUBSTITUTE(MID($A80,L80+L$2+1,M80-L80-L$2-1),",","."))</f>
        <v>0</v>
      </c>
      <c r="AF80" s="3">
        <f>VALUE(SUBSTITUTE(MID($A80,M80+M$2+1,N80-M80-M$2-1),",","."))</f>
        <v>0</v>
      </c>
      <c r="AG80" s="3">
        <f>VALUE(SUBSTITUTE(MID($A80,N80+N$2+1,O80-N80-N$2-1),",","."))</f>
        <v>4.2056567760607404</v>
      </c>
      <c r="AH80" t="str">
        <f>MID($A80,O80+O$2+1,P80-O80-O$2-1)</f>
        <v/>
      </c>
      <c r="AI80" s="8" t="str">
        <f>MID($A80,P80+P$2+1,Q80-P80-P$2-1)</f>
        <v>False</v>
      </c>
      <c r="AK80" t="b">
        <f t="shared" si="16"/>
        <v>1</v>
      </c>
    </row>
    <row r="81" spans="1:37" x14ac:dyDescent="0.35">
      <c r="A81" t="s">
        <v>4628</v>
      </c>
      <c r="B81">
        <f t="shared" si="14"/>
        <v>10</v>
      </c>
      <c r="C81">
        <f t="shared" si="14"/>
        <v>43</v>
      </c>
      <c r="D81">
        <f t="shared" si="14"/>
        <v>54</v>
      </c>
      <c r="E81">
        <f t="shared" si="13"/>
        <v>98</v>
      </c>
      <c r="F81">
        <f t="shared" si="13"/>
        <v>142</v>
      </c>
      <c r="G81">
        <f t="shared" si="13"/>
        <v>181</v>
      </c>
      <c r="H81">
        <f t="shared" si="13"/>
        <v>215</v>
      </c>
      <c r="I81">
        <f t="shared" si="13"/>
        <v>237</v>
      </c>
      <c r="J81">
        <f t="shared" si="13"/>
        <v>274</v>
      </c>
      <c r="K81">
        <f t="shared" si="13"/>
        <v>294</v>
      </c>
      <c r="L81">
        <f t="shared" si="13"/>
        <v>326</v>
      </c>
      <c r="M81">
        <f t="shared" si="13"/>
        <v>341</v>
      </c>
      <c r="N81">
        <f t="shared" si="9"/>
        <v>353</v>
      </c>
      <c r="O81">
        <f t="shared" si="9"/>
        <v>379</v>
      </c>
      <c r="P81">
        <f t="shared" si="9"/>
        <v>397</v>
      </c>
      <c r="Q81">
        <f t="shared" si="9"/>
        <v>423</v>
      </c>
      <c r="S81" t="str">
        <f t="shared" si="11"/>
        <v>27.11.2025</v>
      </c>
      <c r="T81" t="str">
        <f t="shared" si="12"/>
        <v>14:45:00</v>
      </c>
      <c r="U81" t="str">
        <f t="shared" si="15"/>
        <v>27.11.2025 14:45:00</v>
      </c>
      <c r="V81" s="9" t="str">
        <f>MID($A81,C81+C$2+1,D81-C81-C$2-1)</f>
        <v>0</v>
      </c>
      <c r="W81" s="4">
        <f>VALUE(SUBSTITUTE(MID($A81,D81+D$2+1,E81-D81-D$2-1),",","."))</f>
        <v>0.465432296343959</v>
      </c>
      <c r="X81" s="4">
        <f>VALUE(SUBSTITUTE(MID($A81,E81+E$2+1,F81-E81-E$2-1),",","."))</f>
        <v>0.90957602214449496</v>
      </c>
      <c r="Y81" s="4">
        <f>VALUE(SUBSTITUTE(MID($A81,F81+F$2+1,G81-F81-F$2-1),",","."))</f>
        <v>0.21894733137824099</v>
      </c>
      <c r="Z81" s="3">
        <f>VALUE(SUBSTITUTE(MID($A81,G81+G$2+1,H81-G81-G$2-1),",","."))</f>
        <v>103</v>
      </c>
      <c r="AA81" s="3">
        <f>VALUE(SUBSTITUTE(MID($A81,H81+H$2+1,I81-H81-H$2-1),",","."))</f>
        <v>0</v>
      </c>
      <c r="AB81" s="3">
        <f>VALUE(SUBSTITUTE(MID($A81,I81+I$2+1,J81-I81-I$2-1),",","."))</f>
        <v>94.85</v>
      </c>
      <c r="AC81" s="3">
        <f>VALUE(SUBSTITUTE(MID($A81,J81+J$2+1,K81-J81-J$2-1),",","."))</f>
        <v>2.95</v>
      </c>
      <c r="AD81" s="3">
        <f>VALUE(SUBSTITUTE(MID($A81,K81+K$2+1,L81-K81-K$2-1),",","."))</f>
        <v>7.56</v>
      </c>
      <c r="AE81" s="3">
        <f>VALUE(SUBSTITUTE(MID($A81,L81+L$2+1,M81-L81-L$2-1),",","."))</f>
        <v>0</v>
      </c>
      <c r="AF81" s="3">
        <f>VALUE(SUBSTITUTE(MID($A81,M81+M$2+1,N81-M81-M$2-1),",","."))</f>
        <v>0</v>
      </c>
      <c r="AG81" s="3">
        <f>VALUE(SUBSTITUTE(MID($A81,N81+N$2+1,O81-N81-N$2-1),",","."))</f>
        <v>4.20568529594882</v>
      </c>
      <c r="AH81" t="str">
        <f>MID($A81,O81+O$2+1,P81-O81-O$2-1)</f>
        <v/>
      </c>
      <c r="AI81" s="8" t="str">
        <f>MID($A81,P81+P$2+1,Q81-P81-P$2-1)</f>
        <v>False</v>
      </c>
      <c r="AK81" t="b">
        <f t="shared" si="16"/>
        <v>0</v>
      </c>
    </row>
    <row r="82" spans="1:37" x14ac:dyDescent="0.35">
      <c r="A82" t="s">
        <v>4629</v>
      </c>
      <c r="B82">
        <f t="shared" si="14"/>
        <v>10</v>
      </c>
      <c r="C82">
        <f t="shared" si="14"/>
        <v>43</v>
      </c>
      <c r="D82">
        <f t="shared" si="14"/>
        <v>54</v>
      </c>
      <c r="E82">
        <f t="shared" si="13"/>
        <v>98</v>
      </c>
      <c r="F82">
        <f t="shared" si="13"/>
        <v>142</v>
      </c>
      <c r="G82">
        <f t="shared" si="13"/>
        <v>180</v>
      </c>
      <c r="H82">
        <f t="shared" si="13"/>
        <v>216</v>
      </c>
      <c r="I82">
        <f t="shared" si="13"/>
        <v>238</v>
      </c>
      <c r="J82">
        <f t="shared" si="13"/>
        <v>274</v>
      </c>
      <c r="K82">
        <f t="shared" si="13"/>
        <v>294</v>
      </c>
      <c r="L82">
        <f t="shared" si="13"/>
        <v>312</v>
      </c>
      <c r="M82">
        <f t="shared" si="13"/>
        <v>327</v>
      </c>
      <c r="N82">
        <f t="shared" si="13"/>
        <v>339</v>
      </c>
      <c r="O82">
        <f t="shared" si="13"/>
        <v>364</v>
      </c>
      <c r="P82">
        <f t="shared" si="13"/>
        <v>382</v>
      </c>
      <c r="Q82">
        <f t="shared" si="13"/>
        <v>408</v>
      </c>
      <c r="S82" t="str">
        <f t="shared" si="11"/>
        <v>27.11.2025</v>
      </c>
      <c r="T82" t="str">
        <f t="shared" si="12"/>
        <v>15:00:00</v>
      </c>
      <c r="U82" t="str">
        <f t="shared" si="15"/>
        <v>27.11.2025 15:00:00</v>
      </c>
      <c r="V82" s="9" t="str">
        <f>MID($A82,C82+C$2+1,D82-C82-C$2-1)</f>
        <v>0</v>
      </c>
      <c r="W82" s="4">
        <f>VALUE(SUBSTITUTE(MID($A82,D82+D$2+1,E82-D82-D$2-1),",","."))</f>
        <v>0.41749712953912699</v>
      </c>
      <c r="X82" s="4">
        <f>VALUE(SUBSTITUTE(MID($A82,E82+E$2+1,F82-E82-E$2-1),",","."))</f>
        <v>0.90957602214449496</v>
      </c>
      <c r="Y82" s="4">
        <f>VALUE(SUBSTITUTE(MID($A82,F82+F$2+1,G82-F82-F$2-1),",","."))</f>
        <v>0.19152192591308301</v>
      </c>
      <c r="Z82" s="3">
        <f>VALUE(SUBSTITUTE(MID($A82,G82+G$2+1,H82-G82-G$2-1),",","."))</f>
        <v>91.05</v>
      </c>
      <c r="AA82" s="3">
        <f>VALUE(SUBSTITUTE(MID($A82,H82+H$2+1,I82-H82-H$2-1),",","."))</f>
        <v>0</v>
      </c>
      <c r="AB82" s="3">
        <f>VALUE(SUBSTITUTE(MID($A82,I82+I$2+1,J82-I82-I$2-1),",","."))</f>
        <v>86.9</v>
      </c>
      <c r="AC82" s="3">
        <f>VALUE(SUBSTITUTE(MID($A82,J82+J$2+1,K82-J82-J$2-1),",","."))</f>
        <v>2.95</v>
      </c>
      <c r="AD82" s="3">
        <f>VALUE(SUBSTITUTE(MID($A82,K82+K$2+1,L82-K82-K$2-1),",","."))</f>
        <v>8.82</v>
      </c>
      <c r="AE82" s="3">
        <f>VALUE(SUBSTITUTE(MID($A82,L82+L$2+1,M82-L82-L$2-1),",","."))</f>
        <v>0</v>
      </c>
      <c r="AF82" s="3">
        <f>VALUE(SUBSTITUTE(MID($A82,M82+M$2+1,N82-M82-M$2-1),",","."))</f>
        <v>0</v>
      </c>
      <c r="AG82" s="3">
        <f>VALUE(SUBSTITUTE(MID($A82,N82+N$2+1,O82-N82-N$2-1),",","."))</f>
        <v>4.2057138158368996</v>
      </c>
      <c r="AH82" t="str">
        <f>MID($A82,O82+O$2+1,P82-O82-O$2-1)</f>
        <v/>
      </c>
      <c r="AI82" s="8" t="str">
        <f>MID($A82,P82+P$2+1,Q82-P82-P$2-1)</f>
        <v>False</v>
      </c>
      <c r="AK82" t="b">
        <f t="shared" si="16"/>
        <v>0</v>
      </c>
    </row>
    <row r="83" spans="1:37" x14ac:dyDescent="0.35">
      <c r="A83" t="s">
        <v>4630</v>
      </c>
      <c r="B83">
        <f t="shared" si="14"/>
        <v>10</v>
      </c>
      <c r="C83">
        <f t="shared" si="14"/>
        <v>43</v>
      </c>
      <c r="D83">
        <f t="shared" si="14"/>
        <v>54</v>
      </c>
      <c r="E83">
        <f t="shared" si="13"/>
        <v>98</v>
      </c>
      <c r="F83">
        <f t="shared" si="13"/>
        <v>142</v>
      </c>
      <c r="G83">
        <f t="shared" si="13"/>
        <v>181</v>
      </c>
      <c r="H83">
        <f t="shared" si="13"/>
        <v>217</v>
      </c>
      <c r="I83">
        <f t="shared" si="13"/>
        <v>239</v>
      </c>
      <c r="J83">
        <f t="shared" si="13"/>
        <v>276</v>
      </c>
      <c r="K83">
        <f t="shared" si="13"/>
        <v>296</v>
      </c>
      <c r="L83">
        <f t="shared" si="13"/>
        <v>327</v>
      </c>
      <c r="M83">
        <f t="shared" si="13"/>
        <v>342</v>
      </c>
      <c r="N83">
        <f t="shared" si="13"/>
        <v>354</v>
      </c>
      <c r="O83">
        <f t="shared" si="13"/>
        <v>379</v>
      </c>
      <c r="P83">
        <f t="shared" si="13"/>
        <v>397</v>
      </c>
      <c r="Q83">
        <f t="shared" si="13"/>
        <v>423</v>
      </c>
      <c r="S83" t="str">
        <f t="shared" si="11"/>
        <v>27.11.2025</v>
      </c>
      <c r="T83" t="str">
        <f t="shared" si="12"/>
        <v>15:15:00</v>
      </c>
      <c r="U83" t="str">
        <f t="shared" si="15"/>
        <v>27.11.2025 15:15:00</v>
      </c>
      <c r="V83" s="9" t="str">
        <f>MID($A83,C83+C$2+1,D83-C83-C$2-1)</f>
        <v>0</v>
      </c>
      <c r="W83" s="4">
        <f>VALUE(SUBSTITUTE(MID($A83,D83+D$2+1,E83-D83-D$2-1),",","."))</f>
        <v>0.36746500426840201</v>
      </c>
      <c r="X83" s="4">
        <f>VALUE(SUBSTITUTE(MID($A83,E83+E$2+1,F83-E83-E$2-1),",","."))</f>
        <v>0.90957602214449496</v>
      </c>
      <c r="Y83" s="4">
        <f>VALUE(SUBSTITUTE(MID($A83,F83+F$2+1,G83-F83-F$2-1),",","."))</f>
        <v>0.162212692680826</v>
      </c>
      <c r="Z83" s="3">
        <f>VALUE(SUBSTITUTE(MID($A83,G83+G$2+1,H83-G83-G$2-1),",","."))</f>
        <v>80.349999999999994</v>
      </c>
      <c r="AA83" s="3">
        <f>VALUE(SUBSTITUTE(MID($A83,H83+H$2+1,I83-H83-H$2-1),",","."))</f>
        <v>0</v>
      </c>
      <c r="AB83" s="3">
        <f>VALUE(SUBSTITUTE(MID($A83,I83+I$2+1,J83-I83-I$2-1),",","."))</f>
        <v>73.25</v>
      </c>
      <c r="AC83" s="3">
        <f>VALUE(SUBSTITUTE(MID($A83,J83+J$2+1,K83-J83-J$2-1),",","."))</f>
        <v>2.95</v>
      </c>
      <c r="AD83" s="3">
        <f>VALUE(SUBSTITUTE(MID($A83,K83+K$2+1,L83-K83-K$2-1),",","."))</f>
        <v>9.71999999999999</v>
      </c>
      <c r="AE83" s="3">
        <f>VALUE(SUBSTITUTE(MID($A83,L83+L$2+1,M83-L83-L$2-1),",","."))</f>
        <v>0</v>
      </c>
      <c r="AF83" s="3">
        <f>VALUE(SUBSTITUTE(MID($A83,M83+M$2+1,N83-M83-M$2-1),",","."))</f>
        <v>0</v>
      </c>
      <c r="AG83" s="3">
        <f>VALUE(SUBSTITUTE(MID($A83,N83+N$2+1,O83-N83-N$2-1),",","."))</f>
        <v>4.2057423357249801</v>
      </c>
      <c r="AH83" t="str">
        <f>MID($A83,O83+O$2+1,P83-O83-O$2-1)</f>
        <v/>
      </c>
      <c r="AI83" s="8" t="str">
        <f>MID($A83,P83+P$2+1,Q83-P83-P$2-1)</f>
        <v>False</v>
      </c>
      <c r="AK83" t="b">
        <f t="shared" si="16"/>
        <v>0</v>
      </c>
    </row>
    <row r="84" spans="1:37" x14ac:dyDescent="0.35">
      <c r="A84" t="s">
        <v>4631</v>
      </c>
      <c r="B84">
        <f t="shared" si="14"/>
        <v>10</v>
      </c>
      <c r="C84">
        <f t="shared" si="14"/>
        <v>43</v>
      </c>
      <c r="D84">
        <f t="shared" si="14"/>
        <v>54</v>
      </c>
      <c r="E84">
        <f t="shared" si="13"/>
        <v>98</v>
      </c>
      <c r="F84">
        <f t="shared" si="13"/>
        <v>142</v>
      </c>
      <c r="G84">
        <f t="shared" si="13"/>
        <v>181</v>
      </c>
      <c r="H84">
        <f t="shared" si="13"/>
        <v>229</v>
      </c>
      <c r="I84">
        <f t="shared" si="13"/>
        <v>251</v>
      </c>
      <c r="J84">
        <f t="shared" si="13"/>
        <v>288</v>
      </c>
      <c r="K84">
        <f t="shared" si="13"/>
        <v>307</v>
      </c>
      <c r="L84">
        <f t="shared" si="13"/>
        <v>338</v>
      </c>
      <c r="M84">
        <f t="shared" si="13"/>
        <v>353</v>
      </c>
      <c r="N84">
        <f t="shared" si="13"/>
        <v>365</v>
      </c>
      <c r="O84">
        <f t="shared" si="13"/>
        <v>391</v>
      </c>
      <c r="P84">
        <f t="shared" si="13"/>
        <v>409</v>
      </c>
      <c r="Q84">
        <f t="shared" si="13"/>
        <v>435</v>
      </c>
      <c r="S84" t="str">
        <f t="shared" si="11"/>
        <v>27.11.2025</v>
      </c>
      <c r="T84" t="str">
        <f t="shared" si="12"/>
        <v>15:30:00</v>
      </c>
      <c r="U84" t="str">
        <f t="shared" si="15"/>
        <v>27.11.2025 15:30:00</v>
      </c>
      <c r="V84" s="9" t="str">
        <f>MID($A84,C84+C$2+1,D84-C84-C$2-1)</f>
        <v>0</v>
      </c>
      <c r="W84" s="4">
        <f>VALUE(SUBSTITUTE(MID($A84,D84+D$2+1,E84-D84-D$2-1),",","."))</f>
        <v>0.315587551026557</v>
      </c>
      <c r="X84" s="4">
        <f>VALUE(SUBSTITUTE(MID($A84,E84+E$2+1,F84-E84-E$2-1),",","."))</f>
        <v>0.90957602214449496</v>
      </c>
      <c r="Y84" s="4">
        <f>VALUE(SUBSTITUTE(MID($A84,F84+F$2+1,G84-F84-F$2-1),",","."))</f>
        <v>0.13119058613705201</v>
      </c>
      <c r="Z84" s="3">
        <f>VALUE(SUBSTITUTE(MID($A84,G84+G$2+1,H84-G84-G$2-1),",","."))</f>
        <v>66.3333333333333</v>
      </c>
      <c r="AA84" s="3">
        <f>VALUE(SUBSTITUTE(MID($A84,H84+H$2+1,I84-H84-H$2-1),",","."))</f>
        <v>0</v>
      </c>
      <c r="AB84" s="3">
        <f>VALUE(SUBSTITUTE(MID($A84,I84+I$2+1,J84-I84-I$2-1),",","."))</f>
        <v>62.45</v>
      </c>
      <c r="AC84" s="3">
        <f>VALUE(SUBSTITUTE(MID($A84,J84+J$2+1,K84-J84-J$2-1),",","."))</f>
        <v>2.9</v>
      </c>
      <c r="AD84" s="3">
        <f>VALUE(SUBSTITUTE(MID($A84,K84+K$2+1,L84-K84-K$2-1),",","."))</f>
        <v>9.71999999999999</v>
      </c>
      <c r="AE84" s="3">
        <f>VALUE(SUBSTITUTE(MID($A84,L84+L$2+1,M84-L84-L$2-1),",","."))</f>
        <v>0</v>
      </c>
      <c r="AF84" s="3">
        <f>VALUE(SUBSTITUTE(MID($A84,M84+M$2+1,N84-M84-M$2-1),",","."))</f>
        <v>0</v>
      </c>
      <c r="AG84" s="3">
        <f>VALUE(SUBSTITUTE(MID($A84,N84+N$2+1,O84-N84-N$2-1),",","."))</f>
        <v>4.2057708556130597</v>
      </c>
      <c r="AH84" t="str">
        <f>MID($A84,O84+O$2+1,P84-O84-O$2-1)</f>
        <v/>
      </c>
      <c r="AI84" s="8" t="str">
        <f>MID($A84,P84+P$2+1,Q84-P84-P$2-1)</f>
        <v>False</v>
      </c>
      <c r="AK84" t="b">
        <f t="shared" si="16"/>
        <v>0</v>
      </c>
    </row>
    <row r="85" spans="1:37" x14ac:dyDescent="0.35">
      <c r="A85" t="s">
        <v>4632</v>
      </c>
      <c r="B85">
        <f t="shared" si="14"/>
        <v>10</v>
      </c>
      <c r="C85">
        <f t="shared" si="14"/>
        <v>43</v>
      </c>
      <c r="D85">
        <f t="shared" si="14"/>
        <v>54</v>
      </c>
      <c r="E85">
        <f t="shared" si="13"/>
        <v>80</v>
      </c>
      <c r="F85">
        <f t="shared" si="13"/>
        <v>124</v>
      </c>
      <c r="G85">
        <f t="shared" si="13"/>
        <v>163</v>
      </c>
      <c r="H85">
        <f t="shared" si="13"/>
        <v>211</v>
      </c>
      <c r="I85">
        <f t="shared" si="13"/>
        <v>233</v>
      </c>
      <c r="J85">
        <f t="shared" si="13"/>
        <v>269</v>
      </c>
      <c r="K85">
        <f t="shared" si="13"/>
        <v>303</v>
      </c>
      <c r="L85">
        <f t="shared" si="13"/>
        <v>318</v>
      </c>
      <c r="M85">
        <f t="shared" si="13"/>
        <v>333</v>
      </c>
      <c r="N85">
        <f t="shared" si="13"/>
        <v>345</v>
      </c>
      <c r="O85">
        <f t="shared" si="13"/>
        <v>370</v>
      </c>
      <c r="P85">
        <f t="shared" si="13"/>
        <v>388</v>
      </c>
      <c r="Q85">
        <f t="shared" si="13"/>
        <v>414</v>
      </c>
      <c r="S85" t="str">
        <f t="shared" si="11"/>
        <v>27.11.2025</v>
      </c>
      <c r="T85" t="str">
        <f t="shared" si="12"/>
        <v>15:45:00</v>
      </c>
      <c r="U85" t="str">
        <f t="shared" si="15"/>
        <v>27.11.2025 15:45:00</v>
      </c>
      <c r="V85" s="9" t="str">
        <f>MID($A85,C85+C$2+1,D85-C85-C$2-1)</f>
        <v>0</v>
      </c>
      <c r="W85" s="4">
        <f>VALUE(SUBSTITUTE(MID($A85,D85+D$2+1,E85-D85-D$2-1),",","."))</f>
        <v>0</v>
      </c>
      <c r="X85" s="4">
        <f>VALUE(SUBSTITUTE(MID($A85,E85+E$2+1,F85-E85-E$2-1),",","."))</f>
        <v>0.90957602214449496</v>
      </c>
      <c r="Y85" s="4">
        <f>VALUE(SUBSTITUTE(MID($A85,F85+F$2+1,G85-F85-F$2-1),",","."))</f>
        <v>9.8681727068290703E-2</v>
      </c>
      <c r="Z85" s="3">
        <f>VALUE(SUBSTITUTE(MID($A85,G85+G$2+1,H85-G85-G$2-1),",","."))</f>
        <v>60.866666666666603</v>
      </c>
      <c r="AA85" s="3">
        <f>VALUE(SUBSTITUTE(MID($A85,H85+H$2+1,I85-H85-H$2-1),",","."))</f>
        <v>0</v>
      </c>
      <c r="AB85" s="3">
        <f>VALUE(SUBSTITUTE(MID($A85,I85+I$2+1,J85-I85-I$2-1),",","."))</f>
        <v>50.7</v>
      </c>
      <c r="AC85" s="3">
        <f>VALUE(SUBSTITUTE(MID($A85,J85+J$2+1,K85-J85-J$2-1),",","."))</f>
        <v>2.8499999999999899</v>
      </c>
      <c r="AD85" s="3">
        <f>VALUE(SUBSTITUTE(MID($A85,K85+K$2+1,L85-K85-K$2-1),",","."))</f>
        <v>9</v>
      </c>
      <c r="AE85" s="3">
        <f>VALUE(SUBSTITUTE(MID($A85,L85+L$2+1,M85-L85-L$2-1),",","."))</f>
        <v>0</v>
      </c>
      <c r="AF85" s="3">
        <f>VALUE(SUBSTITUTE(MID($A85,M85+M$2+1,N85-M85-M$2-1),",","."))</f>
        <v>0</v>
      </c>
      <c r="AG85" s="3">
        <f>VALUE(SUBSTITUTE(MID($A85,N85+N$2+1,O85-N85-N$2-1),",","."))</f>
        <v>4.20579937550115</v>
      </c>
      <c r="AH85" t="str">
        <f>MID($A85,O85+O$2+1,P85-O85-O$2-1)</f>
        <v/>
      </c>
      <c r="AI85" s="8" t="str">
        <f>MID($A85,P85+P$2+1,Q85-P85-P$2-1)</f>
        <v>False</v>
      </c>
      <c r="AK85" t="b">
        <f t="shared" si="16"/>
        <v>0</v>
      </c>
    </row>
    <row r="86" spans="1:37" x14ac:dyDescent="0.35">
      <c r="A86" t="s">
        <v>4633</v>
      </c>
      <c r="B86">
        <f t="shared" si="14"/>
        <v>10</v>
      </c>
      <c r="C86">
        <f t="shared" si="14"/>
        <v>43</v>
      </c>
      <c r="D86">
        <f t="shared" si="14"/>
        <v>54</v>
      </c>
      <c r="E86">
        <f t="shared" si="13"/>
        <v>80</v>
      </c>
      <c r="F86">
        <f t="shared" si="13"/>
        <v>124</v>
      </c>
      <c r="G86">
        <f t="shared" si="13"/>
        <v>163</v>
      </c>
      <c r="H86">
        <f t="shared" si="13"/>
        <v>211</v>
      </c>
      <c r="I86">
        <f t="shared" si="13"/>
        <v>233</v>
      </c>
      <c r="J86">
        <f t="shared" ref="J86:Q117" si="17">FIND(J$1,$A86)</f>
        <v>269</v>
      </c>
      <c r="K86">
        <f t="shared" si="17"/>
        <v>289</v>
      </c>
      <c r="L86">
        <f t="shared" si="17"/>
        <v>307</v>
      </c>
      <c r="M86">
        <f t="shared" si="17"/>
        <v>322</v>
      </c>
      <c r="N86">
        <f t="shared" si="17"/>
        <v>334</v>
      </c>
      <c r="O86">
        <f t="shared" si="17"/>
        <v>359</v>
      </c>
      <c r="P86">
        <f t="shared" si="17"/>
        <v>377</v>
      </c>
      <c r="Q86">
        <f t="shared" si="17"/>
        <v>403</v>
      </c>
      <c r="S86" t="str">
        <f t="shared" si="11"/>
        <v>27.11.2025</v>
      </c>
      <c r="T86" t="str">
        <f t="shared" si="12"/>
        <v>16:00:00</v>
      </c>
      <c r="U86" t="str">
        <f t="shared" si="15"/>
        <v>27.11.2025 16:00:00</v>
      </c>
      <c r="V86" s="9" t="str">
        <f>MID($A86,C86+C$2+1,D86-C86-C$2-1)</f>
        <v>0</v>
      </c>
      <c r="W86" s="4">
        <f>VALUE(SUBSTITUTE(MID($A86,D86+D$2+1,E86-D86-D$2-1),",","."))</f>
        <v>0</v>
      </c>
      <c r="X86" s="4">
        <f>VALUE(SUBSTITUTE(MID($A86,E86+E$2+1,F86-E86-E$2-1),",","."))</f>
        <v>0.90957602214449496</v>
      </c>
      <c r="Y86" s="4">
        <f>VALUE(SUBSTITUTE(MID($A86,F86+F$2+1,G86-F86-F$2-1),",","."))</f>
        <v>6.5045014164067494E-2</v>
      </c>
      <c r="Z86" s="3">
        <f>VALUE(SUBSTITUTE(MID($A86,G86+G$2+1,H86-G86-G$2-1),",","."))</f>
        <v>54.033333333333303</v>
      </c>
      <c r="AA86" s="3">
        <f>VALUE(SUBSTITUTE(MID($A86,H86+H$2+1,I86-H86-H$2-1),",","."))</f>
        <v>0</v>
      </c>
      <c r="AB86" s="3">
        <f>VALUE(SUBSTITUTE(MID($A86,I86+I$2+1,J86-I86-I$2-1),",","."))</f>
        <v>36.4</v>
      </c>
      <c r="AC86" s="3">
        <f>VALUE(SUBSTITUTE(MID($A86,J86+J$2+1,K86-J86-J$2-1),",","."))</f>
        <v>2.75</v>
      </c>
      <c r="AD86" s="3">
        <f>VALUE(SUBSTITUTE(MID($A86,K86+K$2+1,L86-K86-K$2-1),",","."))</f>
        <v>8.64</v>
      </c>
      <c r="AE86" s="3">
        <f>VALUE(SUBSTITUTE(MID($A86,L86+L$2+1,M86-L86-L$2-1),",","."))</f>
        <v>0</v>
      </c>
      <c r="AF86" s="3">
        <f>VALUE(SUBSTITUTE(MID($A86,M86+M$2+1,N86-M86-M$2-1),",","."))</f>
        <v>0</v>
      </c>
      <c r="AG86" s="3">
        <f>VALUE(SUBSTITUTE(MID($A86,N86+N$2+1,O86-N86-N$2-1),",","."))</f>
        <v>4.2058278953892296</v>
      </c>
      <c r="AH86" t="str">
        <f>MID($A86,O86+O$2+1,P86-O86-O$2-1)</f>
        <v/>
      </c>
      <c r="AI86" s="8" t="str">
        <f>MID($A86,P86+P$2+1,Q86-P86-P$2-1)</f>
        <v>False</v>
      </c>
      <c r="AK86" t="b">
        <f t="shared" si="16"/>
        <v>0</v>
      </c>
    </row>
    <row r="87" spans="1:37" x14ac:dyDescent="0.35">
      <c r="A87" t="s">
        <v>4634</v>
      </c>
      <c r="B87">
        <f t="shared" si="14"/>
        <v>10</v>
      </c>
      <c r="C87">
        <f t="shared" si="14"/>
        <v>43</v>
      </c>
      <c r="D87">
        <f t="shared" si="14"/>
        <v>54</v>
      </c>
      <c r="E87">
        <f t="shared" si="14"/>
        <v>80</v>
      </c>
      <c r="F87">
        <f t="shared" si="14"/>
        <v>124</v>
      </c>
      <c r="G87">
        <f t="shared" si="14"/>
        <v>164</v>
      </c>
      <c r="H87">
        <f t="shared" si="14"/>
        <v>212</v>
      </c>
      <c r="I87">
        <f t="shared" si="14"/>
        <v>234</v>
      </c>
      <c r="J87">
        <f t="shared" si="17"/>
        <v>270</v>
      </c>
      <c r="K87">
        <f t="shared" si="17"/>
        <v>304</v>
      </c>
      <c r="L87">
        <f t="shared" si="17"/>
        <v>321</v>
      </c>
      <c r="M87">
        <f t="shared" si="17"/>
        <v>336</v>
      </c>
      <c r="N87">
        <f t="shared" si="17"/>
        <v>348</v>
      </c>
      <c r="O87">
        <f t="shared" si="17"/>
        <v>373</v>
      </c>
      <c r="P87">
        <f t="shared" si="17"/>
        <v>391</v>
      </c>
      <c r="Q87">
        <f t="shared" si="17"/>
        <v>417</v>
      </c>
      <c r="S87" t="str">
        <f t="shared" si="11"/>
        <v>27.11.2025</v>
      </c>
      <c r="T87" t="str">
        <f t="shared" si="12"/>
        <v>16:15:00</v>
      </c>
      <c r="U87" t="str">
        <f t="shared" si="15"/>
        <v>27.11.2025 16:15:00</v>
      </c>
      <c r="V87" s="9" t="str">
        <f>MID($A87,C87+C$2+1,D87-C87-C$2-1)</f>
        <v>0</v>
      </c>
      <c r="W87" s="4">
        <f>VALUE(SUBSTITUTE(MID($A87,D87+D$2+1,E87-D87-D$2-1),",","."))</f>
        <v>0</v>
      </c>
      <c r="X87" s="4">
        <f>VALUE(SUBSTITUTE(MID($A87,E87+E$2+1,F87-E87-E$2-1),",","."))</f>
        <v>0.90957602214449496</v>
      </c>
      <c r="Y87" s="4">
        <f>VALUE(SUBSTITUTE(MID($A87,F87+F$2+1,G87-F87-F$2-1),",","."))</f>
        <v>3.10379146703188E-2</v>
      </c>
      <c r="Z87" s="3">
        <f>VALUE(SUBSTITUTE(MID($A87,G87+G$2+1,H87-G87-G$2-1),",","."))</f>
        <v>28.533333333333299</v>
      </c>
      <c r="AA87" s="3">
        <f>VALUE(SUBSTITUTE(MID($A87,H87+H$2+1,I87-H87-H$2-1),",","."))</f>
        <v>0</v>
      </c>
      <c r="AB87" s="3">
        <f>VALUE(SUBSTITUTE(MID($A87,I87+I$2+1,J87-I87-I$2-1),",","."))</f>
        <v>25.6</v>
      </c>
      <c r="AC87" s="3">
        <f>VALUE(SUBSTITUTE(MID($A87,J87+J$2+1,K87-J87-J$2-1),",","."))</f>
        <v>2.65</v>
      </c>
      <c r="AD87" s="3">
        <f>VALUE(SUBSTITUTE(MID($A87,K87+K$2+1,L87-K87-K$2-1),",","."))</f>
        <v>8.1</v>
      </c>
      <c r="AE87" s="3">
        <f>VALUE(SUBSTITUTE(MID($A87,L87+L$2+1,M87-L87-L$2-1),",","."))</f>
        <v>0</v>
      </c>
      <c r="AF87" s="3">
        <f>VALUE(SUBSTITUTE(MID($A87,M87+M$2+1,N87-M87-M$2-1),",","."))</f>
        <v>0</v>
      </c>
      <c r="AG87" s="3">
        <f>VALUE(SUBSTITUTE(MID($A87,N87+N$2+1,O87-N87-N$2-1),",","."))</f>
        <v>4.2058564152773101</v>
      </c>
      <c r="AH87" t="str">
        <f>MID($A87,O87+O$2+1,P87-O87-O$2-1)</f>
        <v/>
      </c>
      <c r="AI87" s="8" t="str">
        <f>MID($A87,P87+P$2+1,Q87-P87-P$2-1)</f>
        <v>False</v>
      </c>
      <c r="AK87" t="b">
        <f t="shared" si="16"/>
        <v>0</v>
      </c>
    </row>
    <row r="88" spans="1:37" x14ac:dyDescent="0.35">
      <c r="A88" t="s">
        <v>4635</v>
      </c>
      <c r="B88">
        <f t="shared" si="14"/>
        <v>10</v>
      </c>
      <c r="C88">
        <f t="shared" si="14"/>
        <v>43</v>
      </c>
      <c r="D88">
        <f t="shared" si="14"/>
        <v>54</v>
      </c>
      <c r="E88">
        <f t="shared" si="14"/>
        <v>80</v>
      </c>
      <c r="F88">
        <f t="shared" si="14"/>
        <v>124</v>
      </c>
      <c r="G88">
        <f t="shared" si="14"/>
        <v>145</v>
      </c>
      <c r="H88">
        <f t="shared" si="14"/>
        <v>193</v>
      </c>
      <c r="I88">
        <f t="shared" si="14"/>
        <v>215</v>
      </c>
      <c r="J88">
        <f t="shared" si="17"/>
        <v>252</v>
      </c>
      <c r="K88">
        <f t="shared" si="17"/>
        <v>272</v>
      </c>
      <c r="L88">
        <f t="shared" si="17"/>
        <v>290</v>
      </c>
      <c r="M88">
        <f t="shared" si="17"/>
        <v>305</v>
      </c>
      <c r="N88">
        <f t="shared" si="17"/>
        <v>317</v>
      </c>
      <c r="O88">
        <f t="shared" si="17"/>
        <v>342</v>
      </c>
      <c r="P88">
        <f t="shared" si="17"/>
        <v>360</v>
      </c>
      <c r="Q88">
        <f t="shared" si="17"/>
        <v>386</v>
      </c>
      <c r="S88" t="str">
        <f t="shared" si="11"/>
        <v>27.11.2025</v>
      </c>
      <c r="T88" t="str">
        <f t="shared" si="12"/>
        <v>16:30:00</v>
      </c>
      <c r="U88" t="str">
        <f t="shared" si="15"/>
        <v>27.11.2025 16:30:00</v>
      </c>
      <c r="V88" s="9" t="str">
        <f>MID($A88,C88+C$2+1,D88-C88-C$2-1)</f>
        <v>0</v>
      </c>
      <c r="W88" s="4">
        <f>VALUE(SUBSTITUTE(MID($A88,D88+D$2+1,E88-D88-D$2-1),",","."))</f>
        <v>0</v>
      </c>
      <c r="X88" s="4">
        <f>VALUE(SUBSTITUTE(MID($A88,E88+E$2+1,F88-E88-E$2-1),",","."))</f>
        <v>0.90957602214449496</v>
      </c>
      <c r="Y88" s="4">
        <f>VALUE(SUBSTITUTE(MID($A88,F88+F$2+1,G88-F88-F$2-1),",","."))</f>
        <v>0</v>
      </c>
      <c r="Z88" s="3">
        <f>VALUE(SUBSTITUTE(MID($A88,G88+G$2+1,H88-G88-G$2-1),",","."))</f>
        <v>8.9166666666666607</v>
      </c>
      <c r="AA88" s="3">
        <f>VALUE(SUBSTITUTE(MID($A88,H88+H$2+1,I88-H88-H$2-1),",","."))</f>
        <v>0</v>
      </c>
      <c r="AB88" s="3">
        <f>VALUE(SUBSTITUTE(MID($A88,I88+I$2+1,J88-I88-I$2-1),",","."))</f>
        <v>14.05</v>
      </c>
      <c r="AC88" s="3">
        <f>VALUE(SUBSTITUTE(MID($A88,J88+J$2+1,K88-J88-J$2-1),",","."))</f>
        <v>2.5499999999999998</v>
      </c>
      <c r="AD88" s="3">
        <f>VALUE(SUBSTITUTE(MID($A88,K88+K$2+1,L88-K88-K$2-1),",","."))</f>
        <v>8.4600000000000009</v>
      </c>
      <c r="AE88" s="3">
        <f>VALUE(SUBSTITUTE(MID($A88,L88+L$2+1,M88-L88-L$2-1),",","."))</f>
        <v>0</v>
      </c>
      <c r="AF88" s="3">
        <f>VALUE(SUBSTITUTE(MID($A88,M88+M$2+1,N88-M88-M$2-1),",","."))</f>
        <v>0</v>
      </c>
      <c r="AG88" s="3">
        <f>VALUE(SUBSTITUTE(MID($A88,N88+N$2+1,O88-N88-N$2-1),",","."))</f>
        <v>4.2058849351653897</v>
      </c>
      <c r="AH88" t="str">
        <f>MID($A88,O88+O$2+1,P88-O88-O$2-1)</f>
        <v/>
      </c>
      <c r="AI88" s="8" t="str">
        <f>MID($A88,P88+P$2+1,Q88-P88-P$2-1)</f>
        <v>False</v>
      </c>
      <c r="AK88" t="b">
        <f t="shared" si="16"/>
        <v>1</v>
      </c>
    </row>
    <row r="89" spans="1:37" x14ac:dyDescent="0.35">
      <c r="A89" t="s">
        <v>4636</v>
      </c>
      <c r="B89">
        <f t="shared" si="14"/>
        <v>10</v>
      </c>
      <c r="C89">
        <f t="shared" si="14"/>
        <v>43</v>
      </c>
      <c r="D89">
        <f t="shared" si="14"/>
        <v>54</v>
      </c>
      <c r="E89">
        <f t="shared" si="14"/>
        <v>80</v>
      </c>
      <c r="F89">
        <f t="shared" si="14"/>
        <v>124</v>
      </c>
      <c r="G89">
        <f t="shared" si="14"/>
        <v>145</v>
      </c>
      <c r="H89">
        <f t="shared" si="14"/>
        <v>194</v>
      </c>
      <c r="I89">
        <f t="shared" si="14"/>
        <v>216</v>
      </c>
      <c r="J89">
        <f t="shared" si="17"/>
        <v>252</v>
      </c>
      <c r="K89">
        <f t="shared" si="17"/>
        <v>286</v>
      </c>
      <c r="L89">
        <f t="shared" si="17"/>
        <v>304</v>
      </c>
      <c r="M89">
        <f t="shared" si="17"/>
        <v>319</v>
      </c>
      <c r="N89">
        <f t="shared" si="17"/>
        <v>331</v>
      </c>
      <c r="O89">
        <f t="shared" si="17"/>
        <v>356</v>
      </c>
      <c r="P89">
        <f t="shared" si="17"/>
        <v>374</v>
      </c>
      <c r="Q89">
        <f t="shared" si="17"/>
        <v>400</v>
      </c>
      <c r="S89" t="str">
        <f t="shared" si="11"/>
        <v>27.11.2025</v>
      </c>
      <c r="T89" t="str">
        <f t="shared" si="12"/>
        <v>16:45:00</v>
      </c>
      <c r="U89" t="str">
        <f t="shared" si="15"/>
        <v>27.11.2025 16:45:00</v>
      </c>
      <c r="V89" s="9" t="str">
        <f>MID($A89,C89+C$2+1,D89-C89-C$2-1)</f>
        <v>0</v>
      </c>
      <c r="W89" s="4">
        <f>VALUE(SUBSTITUTE(MID($A89,D89+D$2+1,E89-D89-D$2-1),",","."))</f>
        <v>0</v>
      </c>
      <c r="X89" s="4">
        <f>VALUE(SUBSTITUTE(MID($A89,E89+E$2+1,F89-E89-E$2-1),",","."))</f>
        <v>0.90957602214449496</v>
      </c>
      <c r="Y89" s="4">
        <f>VALUE(SUBSTITUTE(MID($A89,F89+F$2+1,G89-F89-F$2-1),",","."))</f>
        <v>0</v>
      </c>
      <c r="Z89" s="3">
        <f>VALUE(SUBSTITUTE(MID($A89,G89+G$2+1,H89-G89-G$2-1),",","."))</f>
        <v>0.73333333333333295</v>
      </c>
      <c r="AA89" s="3">
        <f>VALUE(SUBSTITUTE(MID($A89,H89+H$2+1,I89-H89-H$2-1),",","."))</f>
        <v>0</v>
      </c>
      <c r="AB89" s="3">
        <f>VALUE(SUBSTITUTE(MID($A89,I89+I$2+1,J89-I89-I$2-1),",","."))</f>
        <v>3.15</v>
      </c>
      <c r="AC89" s="3">
        <f>VALUE(SUBSTITUTE(MID($A89,J89+J$2+1,K89-J89-J$2-1),",","."))</f>
        <v>2.4</v>
      </c>
      <c r="AD89" s="3">
        <f>VALUE(SUBSTITUTE(MID($A89,K89+K$2+1,L89-K89-K$2-1),",","."))</f>
        <v>8.4600000000000009</v>
      </c>
      <c r="AE89" s="3">
        <f>VALUE(SUBSTITUTE(MID($A89,L89+L$2+1,M89-L89-L$2-1),",","."))</f>
        <v>0</v>
      </c>
      <c r="AF89" s="3">
        <f>VALUE(SUBSTITUTE(MID($A89,M89+M$2+1,N89-M89-M$2-1),",","."))</f>
        <v>0</v>
      </c>
      <c r="AG89" s="3">
        <f>VALUE(SUBSTITUTE(MID($A89,N89+N$2+1,O89-N89-N$2-1),",","."))</f>
        <v>4.2059134550534703</v>
      </c>
      <c r="AH89" t="str">
        <f>MID($A89,O89+O$2+1,P89-O89-O$2-1)</f>
        <v/>
      </c>
      <c r="AI89" s="8" t="str">
        <f>MID($A89,P89+P$2+1,Q89-P89-P$2-1)</f>
        <v>False</v>
      </c>
      <c r="AK89" t="b">
        <f t="shared" si="16"/>
        <v>1</v>
      </c>
    </row>
    <row r="90" spans="1:37" x14ac:dyDescent="0.35">
      <c r="A90" t="s">
        <v>4637</v>
      </c>
      <c r="B90">
        <f t="shared" si="14"/>
        <v>10</v>
      </c>
      <c r="C90">
        <f t="shared" si="14"/>
        <v>43</v>
      </c>
      <c r="D90">
        <f t="shared" si="14"/>
        <v>54</v>
      </c>
      <c r="E90">
        <f t="shared" si="14"/>
        <v>80</v>
      </c>
      <c r="F90">
        <f t="shared" si="14"/>
        <v>124</v>
      </c>
      <c r="G90">
        <f t="shared" si="14"/>
        <v>145</v>
      </c>
      <c r="H90">
        <f t="shared" si="14"/>
        <v>177</v>
      </c>
      <c r="I90">
        <f t="shared" si="14"/>
        <v>199</v>
      </c>
      <c r="J90">
        <f t="shared" si="17"/>
        <v>232</v>
      </c>
      <c r="K90">
        <f t="shared" si="17"/>
        <v>251</v>
      </c>
      <c r="L90">
        <f t="shared" si="17"/>
        <v>266</v>
      </c>
      <c r="M90">
        <f t="shared" si="17"/>
        <v>281</v>
      </c>
      <c r="N90">
        <f t="shared" si="17"/>
        <v>293</v>
      </c>
      <c r="O90">
        <f t="shared" si="17"/>
        <v>318</v>
      </c>
      <c r="P90">
        <f t="shared" si="17"/>
        <v>336</v>
      </c>
      <c r="Q90">
        <f t="shared" si="17"/>
        <v>362</v>
      </c>
      <c r="S90" t="str">
        <f t="shared" si="11"/>
        <v>27.11.2025</v>
      </c>
      <c r="T90" t="str">
        <f t="shared" si="12"/>
        <v>17:00:00</v>
      </c>
      <c r="U90" t="str">
        <f t="shared" si="15"/>
        <v>27.11.2025 17:00:00</v>
      </c>
      <c r="V90" s="9" t="str">
        <f>MID($A90,C90+C$2+1,D90-C90-C$2-1)</f>
        <v>0</v>
      </c>
      <c r="W90" s="4">
        <f>VALUE(SUBSTITUTE(MID($A90,D90+D$2+1,E90-D90-D$2-1),",","."))</f>
        <v>0</v>
      </c>
      <c r="X90" s="4">
        <f>VALUE(SUBSTITUTE(MID($A90,E90+E$2+1,F90-E90-E$2-1),",","."))</f>
        <v>0.90957602214449496</v>
      </c>
      <c r="Y90" s="4">
        <f>VALUE(SUBSTITUTE(MID($A90,F90+F$2+1,G90-F90-F$2-1),",","."))</f>
        <v>0</v>
      </c>
      <c r="Z90" s="3">
        <f>VALUE(SUBSTITUTE(MID($A90,G90+G$2+1,H90-G90-G$2-1),",","."))</f>
        <v>0</v>
      </c>
      <c r="AA90" s="3">
        <f>VALUE(SUBSTITUTE(MID($A90,H90+H$2+1,I90-H90-H$2-1),",","."))</f>
        <v>0</v>
      </c>
      <c r="AB90" s="3">
        <f>VALUE(SUBSTITUTE(MID($A90,I90+I$2+1,J90-I90-I$2-1),",","."))</f>
        <v>0</v>
      </c>
      <c r="AC90" s="3">
        <f>VALUE(SUBSTITUTE(MID($A90,J90+J$2+1,K90-J90-J$2-1),",","."))</f>
        <v>2.2000000000000002</v>
      </c>
      <c r="AD90" s="3">
        <f>VALUE(SUBSTITUTE(MID($A90,K90+K$2+1,L90-K90-K$2-1),",","."))</f>
        <v>9</v>
      </c>
      <c r="AE90" s="3">
        <f>VALUE(SUBSTITUTE(MID($A90,L90+L$2+1,M90-L90-L$2-1),",","."))</f>
        <v>0</v>
      </c>
      <c r="AF90" s="3">
        <f>VALUE(SUBSTITUTE(MID($A90,M90+M$2+1,N90-M90-M$2-1),",","."))</f>
        <v>0</v>
      </c>
      <c r="AG90" s="3">
        <f>VALUE(SUBSTITUTE(MID($A90,N90+N$2+1,O90-N90-N$2-1),",","."))</f>
        <v>4.2059419749415499</v>
      </c>
      <c r="AH90" t="str">
        <f>MID($A90,O90+O$2+1,P90-O90-O$2-1)</f>
        <v/>
      </c>
      <c r="AI90" s="8" t="str">
        <f>MID($A90,P90+P$2+1,Q90-P90-P$2-1)</f>
        <v>False</v>
      </c>
      <c r="AK90" t="b">
        <f t="shared" si="16"/>
        <v>0</v>
      </c>
    </row>
    <row r="91" spans="1:37" x14ac:dyDescent="0.35">
      <c r="A91" t="s">
        <v>4638</v>
      </c>
      <c r="B91">
        <f t="shared" si="14"/>
        <v>10</v>
      </c>
      <c r="C91">
        <f t="shared" si="14"/>
        <v>43</v>
      </c>
      <c r="D91">
        <f t="shared" si="14"/>
        <v>54</v>
      </c>
      <c r="E91">
        <f t="shared" si="14"/>
        <v>80</v>
      </c>
      <c r="F91">
        <f t="shared" si="14"/>
        <v>124</v>
      </c>
      <c r="G91">
        <f t="shared" si="14"/>
        <v>145</v>
      </c>
      <c r="H91">
        <f t="shared" si="14"/>
        <v>177</v>
      </c>
      <c r="I91">
        <f t="shared" si="14"/>
        <v>199</v>
      </c>
      <c r="J91">
        <f t="shared" si="17"/>
        <v>232</v>
      </c>
      <c r="K91">
        <f t="shared" si="17"/>
        <v>252</v>
      </c>
      <c r="L91">
        <f t="shared" si="17"/>
        <v>270</v>
      </c>
      <c r="M91">
        <f t="shared" si="17"/>
        <v>285</v>
      </c>
      <c r="N91">
        <f t="shared" si="17"/>
        <v>297</v>
      </c>
      <c r="O91">
        <f t="shared" si="17"/>
        <v>321</v>
      </c>
      <c r="P91">
        <f t="shared" si="17"/>
        <v>339</v>
      </c>
      <c r="Q91">
        <f t="shared" si="17"/>
        <v>365</v>
      </c>
      <c r="S91" t="str">
        <f t="shared" si="11"/>
        <v>27.11.2025</v>
      </c>
      <c r="T91" t="str">
        <f t="shared" si="12"/>
        <v>17:15:00</v>
      </c>
      <c r="U91" t="str">
        <f t="shared" si="15"/>
        <v>27.11.2025 17:15:00</v>
      </c>
      <c r="V91" s="9" t="str">
        <f>MID($A91,C91+C$2+1,D91-C91-C$2-1)</f>
        <v>0</v>
      </c>
      <c r="W91" s="4">
        <f>VALUE(SUBSTITUTE(MID($A91,D91+D$2+1,E91-D91-D$2-1),",","."))</f>
        <v>0</v>
      </c>
      <c r="X91" s="4">
        <f>VALUE(SUBSTITUTE(MID($A91,E91+E$2+1,F91-E91-E$2-1),",","."))</f>
        <v>0.90957602214449496</v>
      </c>
      <c r="Y91" s="4">
        <f>VALUE(SUBSTITUTE(MID($A91,F91+F$2+1,G91-F91-F$2-1),",","."))</f>
        <v>0</v>
      </c>
      <c r="Z91" s="3">
        <f>VALUE(SUBSTITUTE(MID($A91,G91+G$2+1,H91-G91-G$2-1),",","."))</f>
        <v>0</v>
      </c>
      <c r="AA91" s="3">
        <f>VALUE(SUBSTITUTE(MID($A91,H91+H$2+1,I91-H91-H$2-1),",","."))</f>
        <v>0</v>
      </c>
      <c r="AB91" s="3">
        <f>VALUE(SUBSTITUTE(MID($A91,I91+I$2+1,J91-I91-I$2-1),",","."))</f>
        <v>0</v>
      </c>
      <c r="AC91" s="3">
        <f>VALUE(SUBSTITUTE(MID($A91,J91+J$2+1,K91-J91-J$2-1),",","."))</f>
        <v>2.0499999999999998</v>
      </c>
      <c r="AD91" s="3">
        <f>VALUE(SUBSTITUTE(MID($A91,K91+K$2+1,L91-K91-K$2-1),",","."))</f>
        <v>8.82</v>
      </c>
      <c r="AE91" s="3">
        <f>VALUE(SUBSTITUTE(MID($A91,L91+L$2+1,M91-L91-L$2-1),",","."))</f>
        <v>0</v>
      </c>
      <c r="AF91" s="3">
        <f>VALUE(SUBSTITUTE(MID($A91,M91+M$2+1,N91-M91-M$2-1),",","."))</f>
        <v>0</v>
      </c>
      <c r="AG91" s="3">
        <f>VALUE(SUBSTITUTE(MID($A91,N91+N$2+1,O91-N91-N$2-1),",","."))</f>
        <v>4.2059704948296401</v>
      </c>
      <c r="AH91" t="str">
        <f>MID($A91,O91+O$2+1,P91-O91-O$2-1)</f>
        <v/>
      </c>
      <c r="AI91" s="8" t="str">
        <f>MID($A91,P91+P$2+1,Q91-P91-P$2-1)</f>
        <v>False</v>
      </c>
      <c r="AK91" t="b">
        <f t="shared" si="16"/>
        <v>0</v>
      </c>
    </row>
    <row r="92" spans="1:37" x14ac:dyDescent="0.35">
      <c r="A92" t="s">
        <v>4639</v>
      </c>
      <c r="B92">
        <f t="shared" si="14"/>
        <v>10</v>
      </c>
      <c r="C92">
        <f t="shared" si="14"/>
        <v>43</v>
      </c>
      <c r="D92">
        <f t="shared" si="14"/>
        <v>54</v>
      </c>
      <c r="E92">
        <f t="shared" si="14"/>
        <v>80</v>
      </c>
      <c r="F92">
        <f t="shared" si="14"/>
        <v>124</v>
      </c>
      <c r="G92">
        <f t="shared" si="14"/>
        <v>145</v>
      </c>
      <c r="H92">
        <f t="shared" si="14"/>
        <v>177</v>
      </c>
      <c r="I92">
        <f t="shared" si="14"/>
        <v>199</v>
      </c>
      <c r="J92">
        <f t="shared" si="17"/>
        <v>232</v>
      </c>
      <c r="K92">
        <f t="shared" si="17"/>
        <v>252</v>
      </c>
      <c r="L92">
        <f t="shared" si="17"/>
        <v>267</v>
      </c>
      <c r="M92">
        <f t="shared" si="17"/>
        <v>282</v>
      </c>
      <c r="N92">
        <f t="shared" si="17"/>
        <v>294</v>
      </c>
      <c r="O92">
        <f t="shared" si="17"/>
        <v>319</v>
      </c>
      <c r="P92">
        <f t="shared" si="17"/>
        <v>337</v>
      </c>
      <c r="Q92">
        <f t="shared" si="17"/>
        <v>363</v>
      </c>
      <c r="S92" t="str">
        <f t="shared" si="11"/>
        <v>27.11.2025</v>
      </c>
      <c r="T92" t="str">
        <f t="shared" si="12"/>
        <v>17:30:00</v>
      </c>
      <c r="U92" t="str">
        <f t="shared" si="15"/>
        <v>27.11.2025 17:30:00</v>
      </c>
      <c r="V92" s="9" t="str">
        <f>MID($A92,C92+C$2+1,D92-C92-C$2-1)</f>
        <v>0</v>
      </c>
      <c r="W92" s="4">
        <f>VALUE(SUBSTITUTE(MID($A92,D92+D$2+1,E92-D92-D$2-1),",","."))</f>
        <v>0</v>
      </c>
      <c r="X92" s="4">
        <f>VALUE(SUBSTITUTE(MID($A92,E92+E$2+1,F92-E92-E$2-1),",","."))</f>
        <v>0.90957602214449496</v>
      </c>
      <c r="Y92" s="4">
        <f>VALUE(SUBSTITUTE(MID($A92,F92+F$2+1,G92-F92-F$2-1),",","."))</f>
        <v>0</v>
      </c>
      <c r="Z92" s="3">
        <f>VALUE(SUBSTITUTE(MID($A92,G92+G$2+1,H92-G92-G$2-1),",","."))</f>
        <v>0</v>
      </c>
      <c r="AA92" s="3">
        <f>VALUE(SUBSTITUTE(MID($A92,H92+H$2+1,I92-H92-H$2-1),",","."))</f>
        <v>0</v>
      </c>
      <c r="AB92" s="3">
        <f>VALUE(SUBSTITUTE(MID($A92,I92+I$2+1,J92-I92-I$2-1),",","."))</f>
        <v>0</v>
      </c>
      <c r="AC92" s="3">
        <f>VALUE(SUBSTITUTE(MID($A92,J92+J$2+1,K92-J92-J$2-1),",","."))</f>
        <v>1.85</v>
      </c>
      <c r="AD92" s="3">
        <f>VALUE(SUBSTITUTE(MID($A92,K92+K$2+1,L92-K92-K$2-1),",","."))</f>
        <v>9</v>
      </c>
      <c r="AE92" s="3">
        <f>VALUE(SUBSTITUTE(MID($A92,L92+L$2+1,M92-L92-L$2-1),",","."))</f>
        <v>0</v>
      </c>
      <c r="AF92" s="3">
        <f>VALUE(SUBSTITUTE(MID($A92,M92+M$2+1,N92-M92-M$2-1),",","."))</f>
        <v>0</v>
      </c>
      <c r="AG92" s="3">
        <f>VALUE(SUBSTITUTE(MID($A92,N92+N$2+1,O92-N92-N$2-1),",","."))</f>
        <v>4.2059990147177198</v>
      </c>
      <c r="AH92" t="str">
        <f>MID($A92,O92+O$2+1,P92-O92-O$2-1)</f>
        <v/>
      </c>
      <c r="AI92" s="8" t="str">
        <f>MID($A92,P92+P$2+1,Q92-P92-P$2-1)</f>
        <v>False</v>
      </c>
      <c r="AK92" t="b">
        <f t="shared" si="16"/>
        <v>0</v>
      </c>
    </row>
    <row r="93" spans="1:37" x14ac:dyDescent="0.35">
      <c r="A93" t="s">
        <v>4640</v>
      </c>
      <c r="B93">
        <f t="shared" si="14"/>
        <v>10</v>
      </c>
      <c r="C93">
        <f t="shared" si="14"/>
        <v>43</v>
      </c>
      <c r="D93">
        <f t="shared" si="14"/>
        <v>54</v>
      </c>
      <c r="E93">
        <f t="shared" si="14"/>
        <v>80</v>
      </c>
      <c r="F93">
        <f t="shared" si="14"/>
        <v>124</v>
      </c>
      <c r="G93">
        <f t="shared" si="14"/>
        <v>145</v>
      </c>
      <c r="H93">
        <f t="shared" si="14"/>
        <v>177</v>
      </c>
      <c r="I93">
        <f t="shared" si="14"/>
        <v>199</v>
      </c>
      <c r="J93">
        <f t="shared" si="17"/>
        <v>232</v>
      </c>
      <c r="K93">
        <f t="shared" si="17"/>
        <v>251</v>
      </c>
      <c r="L93">
        <f t="shared" si="17"/>
        <v>269</v>
      </c>
      <c r="M93">
        <f t="shared" si="17"/>
        <v>284</v>
      </c>
      <c r="N93">
        <f t="shared" si="17"/>
        <v>296</v>
      </c>
      <c r="O93">
        <f t="shared" si="17"/>
        <v>321</v>
      </c>
      <c r="P93">
        <f t="shared" si="17"/>
        <v>339</v>
      </c>
      <c r="Q93">
        <f t="shared" si="17"/>
        <v>365</v>
      </c>
      <c r="S93" t="str">
        <f t="shared" si="11"/>
        <v>27.11.2025</v>
      </c>
      <c r="T93" t="str">
        <f t="shared" si="12"/>
        <v>17:45:00</v>
      </c>
      <c r="U93" t="str">
        <f t="shared" si="15"/>
        <v>27.11.2025 17:45:00</v>
      </c>
      <c r="V93" s="9" t="str">
        <f>MID($A93,C93+C$2+1,D93-C93-C$2-1)</f>
        <v>0</v>
      </c>
      <c r="W93" s="4">
        <f>VALUE(SUBSTITUTE(MID($A93,D93+D$2+1,E93-D93-D$2-1),",","."))</f>
        <v>0</v>
      </c>
      <c r="X93" s="4">
        <f>VALUE(SUBSTITUTE(MID($A93,E93+E$2+1,F93-E93-E$2-1),",","."))</f>
        <v>0.90957602214449496</v>
      </c>
      <c r="Y93" s="4">
        <f>VALUE(SUBSTITUTE(MID($A93,F93+F$2+1,G93-F93-F$2-1),",","."))</f>
        <v>0</v>
      </c>
      <c r="Z93" s="3">
        <f>VALUE(SUBSTITUTE(MID($A93,G93+G$2+1,H93-G93-G$2-1),",","."))</f>
        <v>0</v>
      </c>
      <c r="AA93" s="3">
        <f>VALUE(SUBSTITUTE(MID($A93,H93+H$2+1,I93-H93-H$2-1),",","."))</f>
        <v>0</v>
      </c>
      <c r="AB93" s="3">
        <f>VALUE(SUBSTITUTE(MID($A93,I93+I$2+1,J93-I93-I$2-1),",","."))</f>
        <v>0</v>
      </c>
      <c r="AC93" s="3">
        <f>VALUE(SUBSTITUTE(MID($A93,J93+J$2+1,K93-J93-J$2-1),",","."))</f>
        <v>1.7</v>
      </c>
      <c r="AD93" s="3">
        <f>VALUE(SUBSTITUTE(MID($A93,K93+K$2+1,L93-K93-K$2-1),",","."))</f>
        <v>8.64</v>
      </c>
      <c r="AE93" s="3">
        <f>VALUE(SUBSTITUTE(MID($A93,L93+L$2+1,M93-L93-L$2-1),",","."))</f>
        <v>0</v>
      </c>
      <c r="AF93" s="3">
        <f>VALUE(SUBSTITUTE(MID($A93,M93+M$2+1,N93-M93-M$2-1),",","."))</f>
        <v>0</v>
      </c>
      <c r="AG93" s="3">
        <f>VALUE(SUBSTITUTE(MID($A93,N93+N$2+1,O93-N93-N$2-1),",","."))</f>
        <v>4.2060275346058003</v>
      </c>
      <c r="AH93" t="str">
        <f>MID($A93,O93+O$2+1,P93-O93-O$2-1)</f>
        <v/>
      </c>
      <c r="AI93" s="8" t="str">
        <f>MID($A93,P93+P$2+1,Q93-P93-P$2-1)</f>
        <v>False</v>
      </c>
      <c r="AK93" t="b">
        <f t="shared" si="16"/>
        <v>0</v>
      </c>
    </row>
    <row r="94" spans="1:37" x14ac:dyDescent="0.35">
      <c r="A94" t="s">
        <v>4641</v>
      </c>
      <c r="B94">
        <f t="shared" si="14"/>
        <v>10</v>
      </c>
      <c r="C94">
        <f t="shared" si="14"/>
        <v>43</v>
      </c>
      <c r="D94">
        <f t="shared" si="14"/>
        <v>54</v>
      </c>
      <c r="E94">
        <f t="shared" si="14"/>
        <v>80</v>
      </c>
      <c r="F94">
        <f t="shared" si="14"/>
        <v>124</v>
      </c>
      <c r="G94">
        <f t="shared" si="14"/>
        <v>145</v>
      </c>
      <c r="H94">
        <f t="shared" si="14"/>
        <v>177</v>
      </c>
      <c r="I94">
        <f t="shared" si="14"/>
        <v>199</v>
      </c>
      <c r="J94">
        <f t="shared" si="17"/>
        <v>232</v>
      </c>
      <c r="K94">
        <f t="shared" si="17"/>
        <v>266</v>
      </c>
      <c r="L94">
        <f t="shared" si="17"/>
        <v>283</v>
      </c>
      <c r="M94">
        <f t="shared" si="17"/>
        <v>298</v>
      </c>
      <c r="N94">
        <f t="shared" si="17"/>
        <v>310</v>
      </c>
      <c r="O94">
        <f t="shared" si="17"/>
        <v>335</v>
      </c>
      <c r="P94">
        <f t="shared" si="17"/>
        <v>353</v>
      </c>
      <c r="Q94">
        <f t="shared" si="17"/>
        <v>379</v>
      </c>
      <c r="S94" t="str">
        <f t="shared" si="11"/>
        <v>27.11.2025</v>
      </c>
      <c r="T94" t="str">
        <f t="shared" si="12"/>
        <v>18:00:00</v>
      </c>
      <c r="U94" t="str">
        <f t="shared" si="15"/>
        <v>27.11.2025 18:00:00</v>
      </c>
      <c r="V94" s="9" t="str">
        <f>MID($A94,C94+C$2+1,D94-C94-C$2-1)</f>
        <v>0</v>
      </c>
      <c r="W94" s="4">
        <f>VALUE(SUBSTITUTE(MID($A94,D94+D$2+1,E94-D94-D$2-1),",","."))</f>
        <v>0</v>
      </c>
      <c r="X94" s="4">
        <f>VALUE(SUBSTITUTE(MID($A94,E94+E$2+1,F94-E94-E$2-1),",","."))</f>
        <v>0.90957602214449496</v>
      </c>
      <c r="Y94" s="4">
        <f>VALUE(SUBSTITUTE(MID($A94,F94+F$2+1,G94-F94-F$2-1),",","."))</f>
        <v>0</v>
      </c>
      <c r="Z94" s="3">
        <f>VALUE(SUBSTITUTE(MID($A94,G94+G$2+1,H94-G94-G$2-1),",","."))</f>
        <v>0</v>
      </c>
      <c r="AA94" s="3">
        <f>VALUE(SUBSTITUTE(MID($A94,H94+H$2+1,I94-H94-H$2-1),",","."))</f>
        <v>0</v>
      </c>
      <c r="AB94" s="3">
        <f>VALUE(SUBSTITUTE(MID($A94,I94+I$2+1,J94-I94-I$2-1),",","."))</f>
        <v>0</v>
      </c>
      <c r="AC94" s="3">
        <f>VALUE(SUBSTITUTE(MID($A94,J94+J$2+1,K94-J94-J$2-1),",","."))</f>
        <v>1.5499999999999901</v>
      </c>
      <c r="AD94" s="3">
        <f>VALUE(SUBSTITUTE(MID($A94,K94+K$2+1,L94-K94-K$2-1),",","."))</f>
        <v>8.1</v>
      </c>
      <c r="AE94" s="3">
        <f>VALUE(SUBSTITUTE(MID($A94,L94+L$2+1,M94-L94-L$2-1),",","."))</f>
        <v>0</v>
      </c>
      <c r="AF94" s="3">
        <f>VALUE(SUBSTITUTE(MID($A94,M94+M$2+1,N94-M94-M$2-1),",","."))</f>
        <v>0</v>
      </c>
      <c r="AG94" s="3">
        <f>VALUE(SUBSTITUTE(MID($A94,N94+N$2+1,O94-N94-N$2-1),",","."))</f>
        <v>4.2060560544938799</v>
      </c>
      <c r="AH94" t="str">
        <f>MID($A94,O94+O$2+1,P94-O94-O$2-1)</f>
        <v/>
      </c>
      <c r="AI94" s="8" t="str">
        <f>MID($A94,P94+P$2+1,Q94-P94-P$2-1)</f>
        <v>False</v>
      </c>
      <c r="AK94" t="b">
        <f t="shared" si="16"/>
        <v>0</v>
      </c>
    </row>
    <row r="95" spans="1:37" x14ac:dyDescent="0.35">
      <c r="A95" t="s">
        <v>4642</v>
      </c>
      <c r="B95">
        <f t="shared" si="14"/>
        <v>10</v>
      </c>
      <c r="C95">
        <f t="shared" si="14"/>
        <v>43</v>
      </c>
      <c r="D95">
        <f t="shared" si="14"/>
        <v>54</v>
      </c>
      <c r="E95">
        <f t="shared" si="14"/>
        <v>80</v>
      </c>
      <c r="F95">
        <f t="shared" si="14"/>
        <v>124</v>
      </c>
      <c r="G95">
        <f t="shared" si="14"/>
        <v>145</v>
      </c>
      <c r="H95">
        <f t="shared" si="14"/>
        <v>177</v>
      </c>
      <c r="I95">
        <f t="shared" si="14"/>
        <v>199</v>
      </c>
      <c r="J95">
        <f t="shared" si="17"/>
        <v>232</v>
      </c>
      <c r="K95">
        <f t="shared" si="17"/>
        <v>251</v>
      </c>
      <c r="L95">
        <f t="shared" si="17"/>
        <v>283</v>
      </c>
      <c r="M95">
        <f t="shared" si="17"/>
        <v>298</v>
      </c>
      <c r="N95">
        <f t="shared" si="17"/>
        <v>310</v>
      </c>
      <c r="O95">
        <f t="shared" si="17"/>
        <v>335</v>
      </c>
      <c r="P95">
        <f t="shared" si="17"/>
        <v>353</v>
      </c>
      <c r="Q95">
        <f t="shared" si="17"/>
        <v>379</v>
      </c>
      <c r="S95" t="str">
        <f t="shared" si="11"/>
        <v>27.11.2025</v>
      </c>
      <c r="T95" t="str">
        <f t="shared" si="12"/>
        <v>18:15:00</v>
      </c>
      <c r="U95" t="str">
        <f t="shared" si="15"/>
        <v>27.11.2025 18:15:00</v>
      </c>
      <c r="V95" s="9" t="str">
        <f>MID($A95,C95+C$2+1,D95-C95-C$2-1)</f>
        <v>0</v>
      </c>
      <c r="W95" s="4">
        <f>VALUE(SUBSTITUTE(MID($A95,D95+D$2+1,E95-D95-D$2-1),",","."))</f>
        <v>0</v>
      </c>
      <c r="X95" s="4">
        <f>VALUE(SUBSTITUTE(MID($A95,E95+E$2+1,F95-E95-E$2-1),",","."))</f>
        <v>0.90957602214449496</v>
      </c>
      <c r="Y95" s="4">
        <f>VALUE(SUBSTITUTE(MID($A95,F95+F$2+1,G95-F95-F$2-1),",","."))</f>
        <v>0</v>
      </c>
      <c r="Z95" s="3">
        <f>VALUE(SUBSTITUTE(MID($A95,G95+G$2+1,H95-G95-G$2-1),",","."))</f>
        <v>0</v>
      </c>
      <c r="AA95" s="3">
        <f>VALUE(SUBSTITUTE(MID($A95,H95+H$2+1,I95-H95-H$2-1),",","."))</f>
        <v>0</v>
      </c>
      <c r="AB95" s="3">
        <f>VALUE(SUBSTITUTE(MID($A95,I95+I$2+1,J95-I95-I$2-1),",","."))</f>
        <v>0</v>
      </c>
      <c r="AC95" s="3">
        <f>VALUE(SUBSTITUTE(MID($A95,J95+J$2+1,K95-J95-J$2-1),",","."))</f>
        <v>1.3</v>
      </c>
      <c r="AD95" s="3">
        <f>VALUE(SUBSTITUTE(MID($A95,K95+K$2+1,L95-K95-K$2-1),",","."))</f>
        <v>7.56</v>
      </c>
      <c r="AE95" s="3">
        <f>VALUE(SUBSTITUTE(MID($A95,L95+L$2+1,M95-L95-L$2-1),",","."))</f>
        <v>0</v>
      </c>
      <c r="AF95" s="3">
        <f>VALUE(SUBSTITUTE(MID($A95,M95+M$2+1,N95-M95-M$2-1),",","."))</f>
        <v>0</v>
      </c>
      <c r="AG95" s="3">
        <f>VALUE(SUBSTITUTE(MID($A95,N95+N$2+1,O95-N95-N$2-1),",","."))</f>
        <v>4.2060845743819604</v>
      </c>
      <c r="AH95" t="str">
        <f>MID($A95,O95+O$2+1,P95-O95-O$2-1)</f>
        <v/>
      </c>
      <c r="AI95" s="8" t="str">
        <f>MID($A95,P95+P$2+1,Q95-P95-P$2-1)</f>
        <v>False</v>
      </c>
      <c r="AK95" t="b">
        <f t="shared" si="16"/>
        <v>0</v>
      </c>
    </row>
    <row r="96" spans="1:37" x14ac:dyDescent="0.35">
      <c r="A96" t="s">
        <v>4643</v>
      </c>
      <c r="B96">
        <f t="shared" si="14"/>
        <v>10</v>
      </c>
      <c r="C96">
        <f t="shared" si="14"/>
        <v>43</v>
      </c>
      <c r="D96">
        <f t="shared" si="14"/>
        <v>54</v>
      </c>
      <c r="E96">
        <f t="shared" si="14"/>
        <v>80</v>
      </c>
      <c r="F96">
        <f t="shared" si="14"/>
        <v>124</v>
      </c>
      <c r="G96">
        <f t="shared" si="14"/>
        <v>145</v>
      </c>
      <c r="H96">
        <f t="shared" si="14"/>
        <v>177</v>
      </c>
      <c r="I96">
        <f t="shared" si="14"/>
        <v>199</v>
      </c>
      <c r="J96">
        <f t="shared" si="17"/>
        <v>232</v>
      </c>
      <c r="K96">
        <f t="shared" si="17"/>
        <v>251</v>
      </c>
      <c r="L96">
        <f t="shared" si="17"/>
        <v>269</v>
      </c>
      <c r="M96">
        <f t="shared" si="17"/>
        <v>284</v>
      </c>
      <c r="N96">
        <f t="shared" si="17"/>
        <v>296</v>
      </c>
      <c r="O96">
        <f t="shared" si="17"/>
        <v>321</v>
      </c>
      <c r="P96">
        <f t="shared" si="17"/>
        <v>339</v>
      </c>
      <c r="Q96">
        <f t="shared" si="17"/>
        <v>365</v>
      </c>
      <c r="S96" t="str">
        <f t="shared" si="11"/>
        <v>27.11.2025</v>
      </c>
      <c r="T96" t="str">
        <f t="shared" si="12"/>
        <v>18:30:00</v>
      </c>
      <c r="U96" t="str">
        <f t="shared" si="15"/>
        <v>27.11.2025 18:30:00</v>
      </c>
      <c r="V96" s="9" t="str">
        <f>MID($A96,C96+C$2+1,D96-C96-C$2-1)</f>
        <v>0</v>
      </c>
      <c r="W96" s="4">
        <f>VALUE(SUBSTITUTE(MID($A96,D96+D$2+1,E96-D96-D$2-1),",","."))</f>
        <v>0</v>
      </c>
      <c r="X96" s="4">
        <f>VALUE(SUBSTITUTE(MID($A96,E96+E$2+1,F96-E96-E$2-1),",","."))</f>
        <v>0.90957602214449496</v>
      </c>
      <c r="Y96" s="4">
        <f>VALUE(SUBSTITUTE(MID($A96,F96+F$2+1,G96-F96-F$2-1),",","."))</f>
        <v>0</v>
      </c>
      <c r="Z96" s="3">
        <f>VALUE(SUBSTITUTE(MID($A96,G96+G$2+1,H96-G96-G$2-1),",","."))</f>
        <v>0</v>
      </c>
      <c r="AA96" s="3">
        <f>VALUE(SUBSTITUTE(MID($A96,H96+H$2+1,I96-H96-H$2-1),",","."))</f>
        <v>0</v>
      </c>
      <c r="AB96" s="3">
        <f>VALUE(SUBSTITUTE(MID($A96,I96+I$2+1,J96-I96-I$2-1),",","."))</f>
        <v>0</v>
      </c>
      <c r="AC96" s="3">
        <f>VALUE(SUBSTITUTE(MID($A96,J96+J$2+1,K96-J96-J$2-1),",","."))</f>
        <v>1.2</v>
      </c>
      <c r="AD96" s="3">
        <f>VALUE(SUBSTITUTE(MID($A96,K96+K$2+1,L96-K96-K$2-1),",","."))</f>
        <v>6.66</v>
      </c>
      <c r="AE96" s="3">
        <f>VALUE(SUBSTITUTE(MID($A96,L96+L$2+1,M96-L96-L$2-1),",","."))</f>
        <v>0</v>
      </c>
      <c r="AF96" s="3">
        <f>VALUE(SUBSTITUTE(MID($A96,M96+M$2+1,N96-M96-M$2-1),",","."))</f>
        <v>0</v>
      </c>
      <c r="AG96" s="3">
        <f>VALUE(SUBSTITUTE(MID($A96,N96+N$2+1,O96-N96-N$2-1),",","."))</f>
        <v>4.20611309427004</v>
      </c>
      <c r="AH96" t="str">
        <f>MID($A96,O96+O$2+1,P96-O96-O$2-1)</f>
        <v/>
      </c>
      <c r="AI96" s="8" t="str">
        <f>MID($A96,P96+P$2+1,Q96-P96-P$2-1)</f>
        <v>False</v>
      </c>
      <c r="AK96" t="b">
        <f t="shared" si="16"/>
        <v>0</v>
      </c>
    </row>
    <row r="97" spans="1:37" x14ac:dyDescent="0.35">
      <c r="A97" t="s">
        <v>4644</v>
      </c>
      <c r="B97">
        <f t="shared" si="14"/>
        <v>10</v>
      </c>
      <c r="C97">
        <f t="shared" si="14"/>
        <v>43</v>
      </c>
      <c r="D97">
        <f t="shared" si="14"/>
        <v>54</v>
      </c>
      <c r="E97">
        <f t="shared" si="14"/>
        <v>80</v>
      </c>
      <c r="F97">
        <f t="shared" si="14"/>
        <v>124</v>
      </c>
      <c r="G97">
        <f t="shared" si="14"/>
        <v>145</v>
      </c>
      <c r="H97">
        <f t="shared" si="14"/>
        <v>177</v>
      </c>
      <c r="I97">
        <f t="shared" si="14"/>
        <v>199</v>
      </c>
      <c r="J97">
        <f t="shared" si="17"/>
        <v>232</v>
      </c>
      <c r="K97">
        <f t="shared" si="17"/>
        <v>252</v>
      </c>
      <c r="L97">
        <f t="shared" si="17"/>
        <v>270</v>
      </c>
      <c r="M97">
        <f t="shared" si="17"/>
        <v>285</v>
      </c>
      <c r="N97">
        <f t="shared" si="17"/>
        <v>297</v>
      </c>
      <c r="O97">
        <f t="shared" si="17"/>
        <v>321</v>
      </c>
      <c r="P97">
        <f t="shared" si="17"/>
        <v>339</v>
      </c>
      <c r="Q97">
        <f t="shared" si="17"/>
        <v>365</v>
      </c>
      <c r="S97" t="str">
        <f t="shared" si="11"/>
        <v>27.11.2025</v>
      </c>
      <c r="T97" t="str">
        <f t="shared" si="12"/>
        <v>18:45:00</v>
      </c>
      <c r="U97" t="str">
        <f t="shared" si="15"/>
        <v>27.11.2025 18:45:00</v>
      </c>
      <c r="V97" s="9" t="str">
        <f>MID($A97,C97+C$2+1,D97-C97-C$2-1)</f>
        <v>0</v>
      </c>
      <c r="W97" s="4">
        <f>VALUE(SUBSTITUTE(MID($A97,D97+D$2+1,E97-D97-D$2-1),",","."))</f>
        <v>0</v>
      </c>
      <c r="X97" s="4">
        <f>VALUE(SUBSTITUTE(MID($A97,E97+E$2+1,F97-E97-E$2-1),",","."))</f>
        <v>0.90957602214449496</v>
      </c>
      <c r="Y97" s="4">
        <f>VALUE(SUBSTITUTE(MID($A97,F97+F$2+1,G97-F97-F$2-1),",","."))</f>
        <v>0</v>
      </c>
      <c r="Z97" s="3">
        <f>VALUE(SUBSTITUTE(MID($A97,G97+G$2+1,H97-G97-G$2-1),",","."))</f>
        <v>0</v>
      </c>
      <c r="AA97" s="3">
        <f>VALUE(SUBSTITUTE(MID($A97,H97+H$2+1,I97-H97-H$2-1),",","."))</f>
        <v>0</v>
      </c>
      <c r="AB97" s="3">
        <f>VALUE(SUBSTITUTE(MID($A97,I97+I$2+1,J97-I97-I$2-1),",","."))</f>
        <v>0</v>
      </c>
      <c r="AC97" s="3">
        <f>VALUE(SUBSTITUTE(MID($A97,J97+J$2+1,K97-J97-J$2-1),",","."))</f>
        <v>1.05</v>
      </c>
      <c r="AD97" s="3">
        <f>VALUE(SUBSTITUTE(MID($A97,K97+K$2+1,L97-K97-K$2-1),",","."))</f>
        <v>5.58</v>
      </c>
      <c r="AE97" s="3">
        <f>VALUE(SUBSTITUTE(MID($A97,L97+L$2+1,M97-L97-L$2-1),",","."))</f>
        <v>0</v>
      </c>
      <c r="AF97" s="3">
        <f>VALUE(SUBSTITUTE(MID($A97,M97+M$2+1,N97-M97-M$2-1),",","."))</f>
        <v>0</v>
      </c>
      <c r="AG97" s="3">
        <f>VALUE(SUBSTITUTE(MID($A97,N97+N$2+1,O97-N97-N$2-1),",","."))</f>
        <v>4.2061416141581303</v>
      </c>
      <c r="AH97" t="str">
        <f>MID($A97,O97+O$2+1,P97-O97-O$2-1)</f>
        <v/>
      </c>
      <c r="AI97" s="8" t="str">
        <f>MID($A97,P97+P$2+1,Q97-P97-P$2-1)</f>
        <v>False</v>
      </c>
      <c r="AK97" t="b">
        <f t="shared" si="16"/>
        <v>0</v>
      </c>
    </row>
    <row r="98" spans="1:37" x14ac:dyDescent="0.35">
      <c r="A98" t="s">
        <v>4645</v>
      </c>
      <c r="B98">
        <f t="shared" si="14"/>
        <v>10</v>
      </c>
      <c r="C98">
        <f t="shared" si="14"/>
        <v>43</v>
      </c>
      <c r="D98">
        <f t="shared" si="14"/>
        <v>54</v>
      </c>
      <c r="E98">
        <f t="shared" si="14"/>
        <v>80</v>
      </c>
      <c r="F98">
        <f t="shared" si="14"/>
        <v>124</v>
      </c>
      <c r="G98">
        <f t="shared" si="14"/>
        <v>145</v>
      </c>
      <c r="H98">
        <f t="shared" si="14"/>
        <v>177</v>
      </c>
      <c r="I98">
        <f t="shared" si="14"/>
        <v>199</v>
      </c>
      <c r="J98">
        <f t="shared" si="17"/>
        <v>232</v>
      </c>
      <c r="K98">
        <f t="shared" si="17"/>
        <v>251</v>
      </c>
      <c r="L98">
        <f t="shared" si="17"/>
        <v>283</v>
      </c>
      <c r="M98">
        <f t="shared" si="17"/>
        <v>298</v>
      </c>
      <c r="N98">
        <f t="shared" si="17"/>
        <v>310</v>
      </c>
      <c r="O98">
        <f t="shared" si="17"/>
        <v>335</v>
      </c>
      <c r="P98">
        <f t="shared" si="17"/>
        <v>353</v>
      </c>
      <c r="Q98">
        <f t="shared" si="17"/>
        <v>379</v>
      </c>
      <c r="S98" t="str">
        <f t="shared" si="11"/>
        <v>27.11.2025</v>
      </c>
      <c r="T98" t="str">
        <f t="shared" si="12"/>
        <v>19:00:00</v>
      </c>
      <c r="U98" t="str">
        <f t="shared" si="15"/>
        <v>27.11.2025 19:00:00</v>
      </c>
      <c r="V98" s="9" t="str">
        <f>MID($A98,C98+C$2+1,D98-C98-C$2-1)</f>
        <v>0</v>
      </c>
      <c r="W98" s="4">
        <f>VALUE(SUBSTITUTE(MID($A98,D98+D$2+1,E98-D98-D$2-1),",","."))</f>
        <v>0</v>
      </c>
      <c r="X98" s="4">
        <f>VALUE(SUBSTITUTE(MID($A98,E98+E$2+1,F98-E98-E$2-1),",","."))</f>
        <v>0.90957602214449496</v>
      </c>
      <c r="Y98" s="4">
        <f>VALUE(SUBSTITUTE(MID($A98,F98+F$2+1,G98-F98-F$2-1),",","."))</f>
        <v>0</v>
      </c>
      <c r="Z98" s="3">
        <f>VALUE(SUBSTITUTE(MID($A98,G98+G$2+1,H98-G98-G$2-1),",","."))</f>
        <v>0</v>
      </c>
      <c r="AA98" s="3">
        <f>VALUE(SUBSTITUTE(MID($A98,H98+H$2+1,I98-H98-H$2-1),",","."))</f>
        <v>0</v>
      </c>
      <c r="AB98" s="3">
        <f>VALUE(SUBSTITUTE(MID($A98,I98+I$2+1,J98-I98-I$2-1),",","."))</f>
        <v>0</v>
      </c>
      <c r="AC98" s="3">
        <f>VALUE(SUBSTITUTE(MID($A98,J98+J$2+1,K98-J98-J$2-1),",","."))</f>
        <v>0.9</v>
      </c>
      <c r="AD98" s="3">
        <f>VALUE(SUBSTITUTE(MID($A98,K98+K$2+1,L98-K98-K$2-1),",","."))</f>
        <v>3.78</v>
      </c>
      <c r="AE98" s="3">
        <f>VALUE(SUBSTITUTE(MID($A98,L98+L$2+1,M98-L98-L$2-1),",","."))</f>
        <v>0</v>
      </c>
      <c r="AF98" s="3">
        <f>VALUE(SUBSTITUTE(MID($A98,M98+M$2+1,N98-M98-M$2-1),",","."))</f>
        <v>0</v>
      </c>
      <c r="AG98" s="3">
        <f>VALUE(SUBSTITUTE(MID($A98,N98+N$2+1,O98-N98-N$2-1),",","."))</f>
        <v>4.2061701340462099</v>
      </c>
      <c r="AH98" t="str">
        <f>MID($A98,O98+O$2+1,P98-O98-O$2-1)</f>
        <v/>
      </c>
      <c r="AI98" s="8" t="str">
        <f>MID($A98,P98+P$2+1,Q98-P98-P$2-1)</f>
        <v>False</v>
      </c>
      <c r="AK98" t="b">
        <f t="shared" si="16"/>
        <v>0</v>
      </c>
    </row>
    <row r="99" spans="1:37" x14ac:dyDescent="0.35">
      <c r="A99" t="s">
        <v>4646</v>
      </c>
      <c r="B99">
        <f t="shared" si="14"/>
        <v>10</v>
      </c>
      <c r="C99">
        <f t="shared" si="14"/>
        <v>43</v>
      </c>
      <c r="D99">
        <f t="shared" si="14"/>
        <v>54</v>
      </c>
      <c r="E99">
        <f t="shared" si="14"/>
        <v>80</v>
      </c>
      <c r="F99">
        <f t="shared" si="14"/>
        <v>124</v>
      </c>
      <c r="G99">
        <f t="shared" si="14"/>
        <v>145</v>
      </c>
      <c r="H99">
        <f t="shared" si="14"/>
        <v>177</v>
      </c>
      <c r="I99">
        <f t="shared" si="14"/>
        <v>199</v>
      </c>
      <c r="J99">
        <f t="shared" si="17"/>
        <v>232</v>
      </c>
      <c r="K99">
        <f t="shared" si="17"/>
        <v>252</v>
      </c>
      <c r="L99">
        <f t="shared" si="17"/>
        <v>284</v>
      </c>
      <c r="M99">
        <f t="shared" si="17"/>
        <v>299</v>
      </c>
      <c r="N99">
        <f t="shared" si="17"/>
        <v>311</v>
      </c>
      <c r="O99">
        <f t="shared" si="17"/>
        <v>336</v>
      </c>
      <c r="P99">
        <f t="shared" si="17"/>
        <v>354</v>
      </c>
      <c r="Q99">
        <f t="shared" si="17"/>
        <v>380</v>
      </c>
      <c r="S99" t="str">
        <f t="shared" si="11"/>
        <v>27.11.2025</v>
      </c>
      <c r="T99" t="str">
        <f t="shared" si="12"/>
        <v>19:15:00</v>
      </c>
      <c r="U99" t="str">
        <f t="shared" si="15"/>
        <v>27.11.2025 19:15:00</v>
      </c>
      <c r="V99" s="9" t="str">
        <f>MID($A99,C99+C$2+1,D99-C99-C$2-1)</f>
        <v>0</v>
      </c>
      <c r="W99" s="4">
        <f>VALUE(SUBSTITUTE(MID($A99,D99+D$2+1,E99-D99-D$2-1),",","."))</f>
        <v>0</v>
      </c>
      <c r="X99" s="4">
        <f>VALUE(SUBSTITUTE(MID($A99,E99+E$2+1,F99-E99-E$2-1),",","."))</f>
        <v>0.90957602214449496</v>
      </c>
      <c r="Y99" s="4">
        <f>VALUE(SUBSTITUTE(MID($A99,F99+F$2+1,G99-F99-F$2-1),",","."))</f>
        <v>0</v>
      </c>
      <c r="Z99" s="3">
        <f>VALUE(SUBSTITUTE(MID($A99,G99+G$2+1,H99-G99-G$2-1),",","."))</f>
        <v>0</v>
      </c>
      <c r="AA99" s="3">
        <f>VALUE(SUBSTITUTE(MID($A99,H99+H$2+1,I99-H99-H$2-1),",","."))</f>
        <v>0</v>
      </c>
      <c r="AB99" s="3">
        <f>VALUE(SUBSTITUTE(MID($A99,I99+I$2+1,J99-I99-I$2-1),",","."))</f>
        <v>0</v>
      </c>
      <c r="AC99" s="3">
        <f>VALUE(SUBSTITUTE(MID($A99,J99+J$2+1,K99-J99-J$2-1),",","."))</f>
        <v>0.75</v>
      </c>
      <c r="AD99" s="3">
        <f>VALUE(SUBSTITUTE(MID($A99,K99+K$2+1,L99-K99-K$2-1),",","."))</f>
        <v>3.6</v>
      </c>
      <c r="AE99" s="3">
        <f>VALUE(SUBSTITUTE(MID($A99,L99+L$2+1,M99-L99-L$2-1),",","."))</f>
        <v>0</v>
      </c>
      <c r="AF99" s="3">
        <f>VALUE(SUBSTITUTE(MID($A99,M99+M$2+1,N99-M99-M$2-1),",","."))</f>
        <v>0</v>
      </c>
      <c r="AG99" s="3">
        <f>VALUE(SUBSTITUTE(MID($A99,N99+N$2+1,O99-N99-N$2-1),",","."))</f>
        <v>4.2061986539342904</v>
      </c>
      <c r="AH99" t="str">
        <f>MID($A99,O99+O$2+1,P99-O99-O$2-1)</f>
        <v/>
      </c>
      <c r="AI99" s="8" t="str">
        <f>MID($A99,P99+P$2+1,Q99-P99-P$2-1)</f>
        <v>False</v>
      </c>
      <c r="AK99" t="b">
        <f t="shared" si="16"/>
        <v>0</v>
      </c>
    </row>
    <row r="100" spans="1:37" x14ac:dyDescent="0.35">
      <c r="A100" t="s">
        <v>4647</v>
      </c>
      <c r="B100">
        <f t="shared" si="14"/>
        <v>10</v>
      </c>
      <c r="C100">
        <f t="shared" si="14"/>
        <v>43</v>
      </c>
      <c r="D100">
        <f t="shared" si="14"/>
        <v>54</v>
      </c>
      <c r="E100">
        <f t="shared" si="14"/>
        <v>80</v>
      </c>
      <c r="F100">
        <f t="shared" si="14"/>
        <v>124</v>
      </c>
      <c r="G100">
        <f t="shared" si="14"/>
        <v>145</v>
      </c>
      <c r="H100">
        <f t="shared" si="14"/>
        <v>177</v>
      </c>
      <c r="I100">
        <f t="shared" si="14"/>
        <v>199</v>
      </c>
      <c r="J100">
        <f t="shared" si="17"/>
        <v>232</v>
      </c>
      <c r="K100">
        <f t="shared" si="17"/>
        <v>251</v>
      </c>
      <c r="L100">
        <f t="shared" si="17"/>
        <v>283</v>
      </c>
      <c r="M100">
        <f t="shared" si="17"/>
        <v>298</v>
      </c>
      <c r="N100">
        <f t="shared" si="17"/>
        <v>310</v>
      </c>
      <c r="O100">
        <f t="shared" si="17"/>
        <v>335</v>
      </c>
      <c r="P100">
        <f t="shared" si="17"/>
        <v>353</v>
      </c>
      <c r="Q100">
        <f t="shared" si="17"/>
        <v>379</v>
      </c>
      <c r="S100" t="str">
        <f t="shared" si="11"/>
        <v>27.11.2025</v>
      </c>
      <c r="T100" t="str">
        <f t="shared" si="12"/>
        <v>19:30:00</v>
      </c>
      <c r="U100" t="str">
        <f t="shared" si="15"/>
        <v>27.11.2025 19:30:00</v>
      </c>
      <c r="V100" s="9" t="str">
        <f>MID($A100,C100+C$2+1,D100-C100-C$2-1)</f>
        <v>0</v>
      </c>
      <c r="W100" s="4">
        <f>VALUE(SUBSTITUTE(MID($A100,D100+D$2+1,E100-D100-D$2-1),",","."))</f>
        <v>0</v>
      </c>
      <c r="X100" s="4">
        <f>VALUE(SUBSTITUTE(MID($A100,E100+E$2+1,F100-E100-E$2-1),",","."))</f>
        <v>0.90957602214449496</v>
      </c>
      <c r="Y100" s="4">
        <f>VALUE(SUBSTITUTE(MID($A100,F100+F$2+1,G100-F100-F$2-1),",","."))</f>
        <v>0</v>
      </c>
      <c r="Z100" s="3">
        <f>VALUE(SUBSTITUTE(MID($A100,G100+G$2+1,H100-G100-G$2-1),",","."))</f>
        <v>0</v>
      </c>
      <c r="AA100" s="3">
        <f>VALUE(SUBSTITUTE(MID($A100,H100+H$2+1,I100-H100-H$2-1),",","."))</f>
        <v>0</v>
      </c>
      <c r="AB100" s="3">
        <f>VALUE(SUBSTITUTE(MID($A100,I100+I$2+1,J100-I100-I$2-1),",","."))</f>
        <v>0</v>
      </c>
      <c r="AC100" s="3">
        <f>VALUE(SUBSTITUTE(MID($A100,J100+J$2+1,K100-J100-J$2-1),",","."))</f>
        <v>0.6</v>
      </c>
      <c r="AD100" s="3">
        <f>VALUE(SUBSTITUTE(MID($A100,K100+K$2+1,L100-K100-K$2-1),",","."))</f>
        <v>3.6</v>
      </c>
      <c r="AE100" s="3">
        <f>VALUE(SUBSTITUTE(MID($A100,L100+L$2+1,M100-L100-L$2-1),",","."))</f>
        <v>0</v>
      </c>
      <c r="AF100" s="3">
        <f>VALUE(SUBSTITUTE(MID($A100,M100+M$2+1,N100-M100-M$2-1),",","."))</f>
        <v>0</v>
      </c>
      <c r="AG100" s="3">
        <f>VALUE(SUBSTITUTE(MID($A100,N100+N$2+1,O100-N100-N$2-1),",","."))</f>
        <v>4.20622717382237</v>
      </c>
      <c r="AH100" t="str">
        <f>MID($A100,O100+O$2+1,P100-O100-O$2-1)</f>
        <v/>
      </c>
      <c r="AI100" s="8" t="str">
        <f>MID($A100,P100+P$2+1,Q100-P100-P$2-1)</f>
        <v>False</v>
      </c>
      <c r="AK100" t="b">
        <f t="shared" si="16"/>
        <v>0</v>
      </c>
    </row>
    <row r="101" spans="1:37" x14ac:dyDescent="0.35">
      <c r="A101" t="s">
        <v>4648</v>
      </c>
      <c r="B101">
        <f t="shared" si="14"/>
        <v>10</v>
      </c>
      <c r="C101">
        <f t="shared" si="14"/>
        <v>43</v>
      </c>
      <c r="D101">
        <f t="shared" si="14"/>
        <v>54</v>
      </c>
      <c r="E101">
        <f t="shared" si="14"/>
        <v>80</v>
      </c>
      <c r="F101">
        <f t="shared" si="14"/>
        <v>124</v>
      </c>
      <c r="G101">
        <f t="shared" si="14"/>
        <v>145</v>
      </c>
      <c r="H101">
        <f t="shared" si="14"/>
        <v>177</v>
      </c>
      <c r="I101">
        <f t="shared" si="14"/>
        <v>199</v>
      </c>
      <c r="J101">
        <f t="shared" si="17"/>
        <v>232</v>
      </c>
      <c r="K101">
        <f t="shared" si="17"/>
        <v>251</v>
      </c>
      <c r="L101">
        <f t="shared" si="17"/>
        <v>283</v>
      </c>
      <c r="M101">
        <f t="shared" si="17"/>
        <v>298</v>
      </c>
      <c r="N101">
        <f t="shared" si="17"/>
        <v>310</v>
      </c>
      <c r="O101">
        <f t="shared" si="17"/>
        <v>335</v>
      </c>
      <c r="P101">
        <f t="shared" si="17"/>
        <v>353</v>
      </c>
      <c r="Q101">
        <f t="shared" si="17"/>
        <v>379</v>
      </c>
      <c r="S101" t="str">
        <f t="shared" si="11"/>
        <v>27.11.2025</v>
      </c>
      <c r="T101" t="str">
        <f t="shared" si="12"/>
        <v>19:45:00</v>
      </c>
      <c r="U101" t="str">
        <f t="shared" si="15"/>
        <v>27.11.2025 19:45:00</v>
      </c>
      <c r="V101" s="9" t="str">
        <f>MID($A101,C101+C$2+1,D101-C101-C$2-1)</f>
        <v>0</v>
      </c>
      <c r="W101" s="4">
        <f>VALUE(SUBSTITUTE(MID($A101,D101+D$2+1,E101-D101-D$2-1),",","."))</f>
        <v>0</v>
      </c>
      <c r="X101" s="4">
        <f>VALUE(SUBSTITUTE(MID($A101,E101+E$2+1,F101-E101-E$2-1),",","."))</f>
        <v>0.90957602214449496</v>
      </c>
      <c r="Y101" s="4">
        <f>VALUE(SUBSTITUTE(MID($A101,F101+F$2+1,G101-F101-F$2-1),",","."))</f>
        <v>0</v>
      </c>
      <c r="Z101" s="3">
        <f>VALUE(SUBSTITUTE(MID($A101,G101+G$2+1,H101-G101-G$2-1),",","."))</f>
        <v>0</v>
      </c>
      <c r="AA101" s="3">
        <f>VALUE(SUBSTITUTE(MID($A101,H101+H$2+1,I101-H101-H$2-1),",","."))</f>
        <v>0</v>
      </c>
      <c r="AB101" s="3">
        <f>VALUE(SUBSTITUTE(MID($A101,I101+I$2+1,J101-I101-I$2-1),",","."))</f>
        <v>0</v>
      </c>
      <c r="AC101" s="3">
        <f>VALUE(SUBSTITUTE(MID($A101,J101+J$2+1,K101-J101-J$2-1),",","."))</f>
        <v>0.4</v>
      </c>
      <c r="AD101" s="3">
        <f>VALUE(SUBSTITUTE(MID($A101,K101+K$2+1,L101-K101-K$2-1),",","."))</f>
        <v>3.6</v>
      </c>
      <c r="AE101" s="3">
        <f>VALUE(SUBSTITUTE(MID($A101,L101+L$2+1,M101-L101-L$2-1),",","."))</f>
        <v>0</v>
      </c>
      <c r="AF101" s="3">
        <f>VALUE(SUBSTITUTE(MID($A101,M101+M$2+1,N101-M101-M$2-1),",","."))</f>
        <v>0</v>
      </c>
      <c r="AG101" s="3">
        <f>VALUE(SUBSTITUTE(MID($A101,N101+N$2+1,O101-N101-N$2-1),",","."))</f>
        <v>4.2062556937104496</v>
      </c>
      <c r="AH101" t="str">
        <f>MID($A101,O101+O$2+1,P101-O101-O$2-1)</f>
        <v/>
      </c>
      <c r="AI101" s="8" t="str">
        <f>MID($A101,P101+P$2+1,Q101-P101-P$2-1)</f>
        <v>False</v>
      </c>
      <c r="AK101" t="b">
        <f t="shared" si="16"/>
        <v>0</v>
      </c>
    </row>
    <row r="102" spans="1:37" x14ac:dyDescent="0.35">
      <c r="A102" t="s">
        <v>4649</v>
      </c>
      <c r="B102">
        <f t="shared" si="14"/>
        <v>10</v>
      </c>
      <c r="C102">
        <f t="shared" si="14"/>
        <v>43</v>
      </c>
      <c r="D102">
        <f t="shared" si="14"/>
        <v>54</v>
      </c>
      <c r="E102">
        <f t="shared" si="14"/>
        <v>80</v>
      </c>
      <c r="F102">
        <f t="shared" si="14"/>
        <v>124</v>
      </c>
      <c r="G102">
        <f t="shared" si="14"/>
        <v>145</v>
      </c>
      <c r="H102">
        <f t="shared" si="14"/>
        <v>177</v>
      </c>
      <c r="I102">
        <f t="shared" si="14"/>
        <v>199</v>
      </c>
      <c r="J102">
        <f t="shared" si="17"/>
        <v>232</v>
      </c>
      <c r="K102">
        <f t="shared" si="17"/>
        <v>252</v>
      </c>
      <c r="L102">
        <f t="shared" si="17"/>
        <v>270</v>
      </c>
      <c r="M102">
        <f t="shared" si="17"/>
        <v>285</v>
      </c>
      <c r="N102">
        <f t="shared" si="17"/>
        <v>297</v>
      </c>
      <c r="O102">
        <f t="shared" si="17"/>
        <v>322</v>
      </c>
      <c r="P102">
        <f t="shared" si="17"/>
        <v>340</v>
      </c>
      <c r="Q102">
        <f t="shared" si="17"/>
        <v>366</v>
      </c>
      <c r="S102" t="str">
        <f t="shared" si="11"/>
        <v>27.11.2025</v>
      </c>
      <c r="T102" t="str">
        <f t="shared" si="12"/>
        <v>20:00:00</v>
      </c>
      <c r="U102" t="str">
        <f t="shared" si="15"/>
        <v>27.11.2025 20:00:00</v>
      </c>
      <c r="V102" s="9" t="str">
        <f>MID($A102,C102+C$2+1,D102-C102-C$2-1)</f>
        <v>0</v>
      </c>
      <c r="W102" s="4">
        <f>VALUE(SUBSTITUTE(MID($A102,D102+D$2+1,E102-D102-D$2-1),",","."))</f>
        <v>0</v>
      </c>
      <c r="X102" s="4">
        <f>VALUE(SUBSTITUTE(MID($A102,E102+E$2+1,F102-E102-E$2-1),",","."))</f>
        <v>0.90957602214449496</v>
      </c>
      <c r="Y102" s="4">
        <f>VALUE(SUBSTITUTE(MID($A102,F102+F$2+1,G102-F102-F$2-1),",","."))</f>
        <v>0</v>
      </c>
      <c r="Z102" s="3">
        <f>VALUE(SUBSTITUTE(MID($A102,G102+G$2+1,H102-G102-G$2-1),",","."))</f>
        <v>0</v>
      </c>
      <c r="AA102" s="3">
        <f>VALUE(SUBSTITUTE(MID($A102,H102+H$2+1,I102-H102-H$2-1),",","."))</f>
        <v>0</v>
      </c>
      <c r="AB102" s="3">
        <f>VALUE(SUBSTITUTE(MID($A102,I102+I$2+1,J102-I102-I$2-1),",","."))</f>
        <v>0</v>
      </c>
      <c r="AC102" s="3">
        <f>VALUE(SUBSTITUTE(MID($A102,J102+J$2+1,K102-J102-J$2-1),",","."))</f>
        <v>0.25</v>
      </c>
      <c r="AD102" s="3">
        <f>VALUE(SUBSTITUTE(MID($A102,K102+K$2+1,L102-K102-K$2-1),",","."))</f>
        <v>3.24</v>
      </c>
      <c r="AE102" s="3">
        <f>VALUE(SUBSTITUTE(MID($A102,L102+L$2+1,M102-L102-L$2-1),",","."))</f>
        <v>0</v>
      </c>
      <c r="AF102" s="3">
        <f>VALUE(SUBSTITUTE(MID($A102,M102+M$2+1,N102-M102-M$2-1),",","."))</f>
        <v>0</v>
      </c>
      <c r="AG102" s="3">
        <f>VALUE(SUBSTITUTE(MID($A102,N102+N$2+1,O102-N102-N$2-1),",","."))</f>
        <v>4.2062842135985301</v>
      </c>
      <c r="AH102" t="str">
        <f>MID($A102,O102+O$2+1,P102-O102-O$2-1)</f>
        <v/>
      </c>
      <c r="AI102" s="8" t="str">
        <f>MID($A102,P102+P$2+1,Q102-P102-P$2-1)</f>
        <v>False</v>
      </c>
      <c r="AK102" t="b">
        <f t="shared" si="16"/>
        <v>0</v>
      </c>
    </row>
    <row r="103" spans="1:37" x14ac:dyDescent="0.35">
      <c r="A103" t="s">
        <v>4650</v>
      </c>
      <c r="B103">
        <f t="shared" si="14"/>
        <v>10</v>
      </c>
      <c r="C103">
        <f t="shared" si="14"/>
        <v>43</v>
      </c>
      <c r="D103">
        <f t="shared" si="14"/>
        <v>54</v>
      </c>
      <c r="E103">
        <f t="shared" si="14"/>
        <v>80</v>
      </c>
      <c r="F103">
        <f t="shared" si="14"/>
        <v>124</v>
      </c>
      <c r="G103">
        <f t="shared" si="14"/>
        <v>145</v>
      </c>
      <c r="H103">
        <f t="shared" si="14"/>
        <v>177</v>
      </c>
      <c r="I103">
        <f t="shared" si="14"/>
        <v>199</v>
      </c>
      <c r="J103">
        <f t="shared" si="17"/>
        <v>232</v>
      </c>
      <c r="K103">
        <f t="shared" si="17"/>
        <v>267</v>
      </c>
      <c r="L103">
        <f t="shared" si="17"/>
        <v>284</v>
      </c>
      <c r="M103">
        <f t="shared" si="17"/>
        <v>299</v>
      </c>
      <c r="N103">
        <f t="shared" si="17"/>
        <v>311</v>
      </c>
      <c r="O103">
        <f t="shared" si="17"/>
        <v>337</v>
      </c>
      <c r="P103">
        <f t="shared" si="17"/>
        <v>355</v>
      </c>
      <c r="Q103">
        <f t="shared" si="17"/>
        <v>381</v>
      </c>
      <c r="S103" t="str">
        <f t="shared" si="11"/>
        <v>27.11.2025</v>
      </c>
      <c r="T103" t="str">
        <f t="shared" si="12"/>
        <v>20:15:00</v>
      </c>
      <c r="U103" t="str">
        <f t="shared" si="15"/>
        <v>27.11.2025 20:15:00</v>
      </c>
      <c r="V103" s="9" t="str">
        <f>MID($A103,C103+C$2+1,D103-C103-C$2-1)</f>
        <v>0</v>
      </c>
      <c r="W103" s="4">
        <f>VALUE(SUBSTITUTE(MID($A103,D103+D$2+1,E103-D103-D$2-1),",","."))</f>
        <v>0</v>
      </c>
      <c r="X103" s="4">
        <f>VALUE(SUBSTITUTE(MID($A103,E103+E$2+1,F103-E103-E$2-1),",","."))</f>
        <v>0.90957602214449496</v>
      </c>
      <c r="Y103" s="4">
        <f>VALUE(SUBSTITUTE(MID($A103,F103+F$2+1,G103-F103-F$2-1),",","."))</f>
        <v>0</v>
      </c>
      <c r="Z103" s="3">
        <f>VALUE(SUBSTITUTE(MID($A103,G103+G$2+1,H103-G103-G$2-1),",","."))</f>
        <v>0</v>
      </c>
      <c r="AA103" s="3">
        <f>VALUE(SUBSTITUTE(MID($A103,H103+H$2+1,I103-H103-H$2-1),",","."))</f>
        <v>0</v>
      </c>
      <c r="AB103" s="3">
        <f>VALUE(SUBSTITUTE(MID($A103,I103+I$2+1,J103-I103-I$2-1),",","."))</f>
        <v>0</v>
      </c>
      <c r="AC103" s="3">
        <f>VALUE(SUBSTITUTE(MID($A103,J103+J$2+1,K103-J103-J$2-1),",","."))</f>
        <v>0.15</v>
      </c>
      <c r="AD103" s="3">
        <f>VALUE(SUBSTITUTE(MID($A103,K103+K$2+1,L103-K103-K$2-1),",","."))</f>
        <v>2.7</v>
      </c>
      <c r="AE103" s="3">
        <f>VALUE(SUBSTITUTE(MID($A103,L103+L$2+1,M103-L103-L$2-1),",","."))</f>
        <v>0</v>
      </c>
      <c r="AF103" s="3">
        <f>VALUE(SUBSTITUTE(MID($A103,M103+M$2+1,N103-M103-M$2-1),",","."))</f>
        <v>0</v>
      </c>
      <c r="AG103" s="3">
        <f>VALUE(SUBSTITUTE(MID($A103,N103+N$2+1,O103-N103-N$2-1),",","."))</f>
        <v>4.2063127334866097</v>
      </c>
      <c r="AH103" t="str">
        <f>MID($A103,O103+O$2+1,P103-O103-O$2-1)</f>
        <v/>
      </c>
      <c r="AI103" s="8" t="str">
        <f>MID($A103,P103+P$2+1,Q103-P103-P$2-1)</f>
        <v>False</v>
      </c>
      <c r="AK103" t="b">
        <f t="shared" si="16"/>
        <v>0</v>
      </c>
    </row>
    <row r="104" spans="1:37" x14ac:dyDescent="0.35">
      <c r="A104" t="s">
        <v>4651</v>
      </c>
      <c r="B104">
        <f t="shared" si="14"/>
        <v>10</v>
      </c>
      <c r="C104">
        <f t="shared" si="14"/>
        <v>43</v>
      </c>
      <c r="D104">
        <f t="shared" si="14"/>
        <v>54</v>
      </c>
      <c r="E104">
        <f t="shared" si="14"/>
        <v>80</v>
      </c>
      <c r="F104">
        <f t="shared" si="14"/>
        <v>124</v>
      </c>
      <c r="G104">
        <f t="shared" si="14"/>
        <v>145</v>
      </c>
      <c r="H104">
        <f t="shared" si="14"/>
        <v>177</v>
      </c>
      <c r="I104">
        <f t="shared" si="14"/>
        <v>199</v>
      </c>
      <c r="J104">
        <f t="shared" si="17"/>
        <v>232</v>
      </c>
      <c r="K104">
        <f t="shared" si="17"/>
        <v>252</v>
      </c>
      <c r="L104">
        <f t="shared" si="17"/>
        <v>284</v>
      </c>
      <c r="M104">
        <f t="shared" si="17"/>
        <v>299</v>
      </c>
      <c r="N104">
        <f t="shared" si="17"/>
        <v>311</v>
      </c>
      <c r="O104">
        <f t="shared" si="17"/>
        <v>336</v>
      </c>
      <c r="P104">
        <f t="shared" si="17"/>
        <v>354</v>
      </c>
      <c r="Q104">
        <f t="shared" si="17"/>
        <v>380</v>
      </c>
      <c r="S104" t="str">
        <f t="shared" si="11"/>
        <v>27.11.2025</v>
      </c>
      <c r="T104" t="str">
        <f t="shared" si="12"/>
        <v>20:30:00</v>
      </c>
      <c r="U104" t="str">
        <f t="shared" si="15"/>
        <v>27.11.2025 20:30:00</v>
      </c>
      <c r="V104" s="9" t="str">
        <f>MID($A104,C104+C$2+1,D104-C104-C$2-1)</f>
        <v>0</v>
      </c>
      <c r="W104" s="4">
        <f>VALUE(SUBSTITUTE(MID($A104,D104+D$2+1,E104-D104-D$2-1),",","."))</f>
        <v>0</v>
      </c>
      <c r="X104" s="4">
        <f>VALUE(SUBSTITUTE(MID($A104,E104+E$2+1,F104-E104-E$2-1),",","."))</f>
        <v>0.90957602214449496</v>
      </c>
      <c r="Y104" s="4">
        <f>VALUE(SUBSTITUTE(MID($A104,F104+F$2+1,G104-F104-F$2-1),",","."))</f>
        <v>0</v>
      </c>
      <c r="Z104" s="3">
        <f>VALUE(SUBSTITUTE(MID($A104,G104+G$2+1,H104-G104-G$2-1),",","."))</f>
        <v>0</v>
      </c>
      <c r="AA104" s="3">
        <f>VALUE(SUBSTITUTE(MID($A104,H104+H$2+1,I104-H104-H$2-1),",","."))</f>
        <v>0</v>
      </c>
      <c r="AB104" s="3">
        <f>VALUE(SUBSTITUTE(MID($A104,I104+I$2+1,J104-I104-I$2-1),",","."))</f>
        <v>0</v>
      </c>
      <c r="AC104" s="3">
        <f>VALUE(SUBSTITUTE(MID($A104,J104+J$2+1,K104-J104-J$2-1),",","."))</f>
        <v>0.05</v>
      </c>
      <c r="AD104" s="3">
        <f>VALUE(SUBSTITUTE(MID($A104,K104+K$2+1,L104-K104-K$2-1),",","."))</f>
        <v>1.98</v>
      </c>
      <c r="AE104" s="3">
        <f>VALUE(SUBSTITUTE(MID($A104,L104+L$2+1,M104-L104-L$2-1),",","."))</f>
        <v>0</v>
      </c>
      <c r="AF104" s="3">
        <f>VALUE(SUBSTITUTE(MID($A104,M104+M$2+1,N104-M104-M$2-1),",","."))</f>
        <v>0</v>
      </c>
      <c r="AG104" s="3">
        <f>VALUE(SUBSTITUTE(MID($A104,N104+N$2+1,O104-N104-N$2-1),",","."))</f>
        <v>4.2063412533747</v>
      </c>
      <c r="AH104" t="str">
        <f>MID($A104,O104+O$2+1,P104-O104-O$2-1)</f>
        <v/>
      </c>
      <c r="AI104" s="8" t="str">
        <f>MID($A104,P104+P$2+1,Q104-P104-P$2-1)</f>
        <v>False</v>
      </c>
      <c r="AK104" t="b">
        <f t="shared" si="16"/>
        <v>0</v>
      </c>
    </row>
    <row r="105" spans="1:37" x14ac:dyDescent="0.35">
      <c r="A105" t="s">
        <v>4652</v>
      </c>
      <c r="B105">
        <f t="shared" si="14"/>
        <v>10</v>
      </c>
      <c r="C105">
        <f t="shared" si="14"/>
        <v>43</v>
      </c>
      <c r="D105">
        <f t="shared" si="14"/>
        <v>54</v>
      </c>
      <c r="E105">
        <f t="shared" si="14"/>
        <v>80</v>
      </c>
      <c r="F105">
        <f t="shared" si="14"/>
        <v>124</v>
      </c>
      <c r="G105">
        <f t="shared" si="14"/>
        <v>145</v>
      </c>
      <c r="H105">
        <f t="shared" si="14"/>
        <v>177</v>
      </c>
      <c r="I105">
        <f t="shared" si="14"/>
        <v>199</v>
      </c>
      <c r="J105">
        <f t="shared" si="17"/>
        <v>232</v>
      </c>
      <c r="K105">
        <f t="shared" si="17"/>
        <v>252</v>
      </c>
      <c r="L105">
        <f t="shared" si="17"/>
        <v>284</v>
      </c>
      <c r="M105">
        <f t="shared" si="17"/>
        <v>299</v>
      </c>
      <c r="N105">
        <f t="shared" si="17"/>
        <v>311</v>
      </c>
      <c r="O105">
        <f t="shared" si="17"/>
        <v>336</v>
      </c>
      <c r="P105">
        <f t="shared" si="17"/>
        <v>354</v>
      </c>
      <c r="Q105">
        <f t="shared" si="17"/>
        <v>380</v>
      </c>
      <c r="S105" t="str">
        <f t="shared" si="11"/>
        <v>27.11.2025</v>
      </c>
      <c r="T105" t="str">
        <f t="shared" si="12"/>
        <v>20:45:00</v>
      </c>
      <c r="U105" t="str">
        <f t="shared" si="15"/>
        <v>27.11.2025 20:45:00</v>
      </c>
      <c r="V105" s="9" t="str">
        <f>MID($A105,C105+C$2+1,D105-C105-C$2-1)</f>
        <v>0</v>
      </c>
      <c r="W105" s="4">
        <f>VALUE(SUBSTITUTE(MID($A105,D105+D$2+1,E105-D105-D$2-1),",","."))</f>
        <v>0</v>
      </c>
      <c r="X105" s="4">
        <f>VALUE(SUBSTITUTE(MID($A105,E105+E$2+1,F105-E105-E$2-1),",","."))</f>
        <v>0.90957602214449496</v>
      </c>
      <c r="Y105" s="4">
        <f>VALUE(SUBSTITUTE(MID($A105,F105+F$2+1,G105-F105-F$2-1),",","."))</f>
        <v>0</v>
      </c>
      <c r="Z105" s="3">
        <f>VALUE(SUBSTITUTE(MID($A105,G105+G$2+1,H105-G105-G$2-1),",","."))</f>
        <v>0</v>
      </c>
      <c r="AA105" s="3">
        <f>VALUE(SUBSTITUTE(MID($A105,H105+H$2+1,I105-H105-H$2-1),",","."))</f>
        <v>0</v>
      </c>
      <c r="AB105" s="3">
        <f>VALUE(SUBSTITUTE(MID($A105,I105+I$2+1,J105-I105-I$2-1),",","."))</f>
        <v>0</v>
      </c>
      <c r="AC105" s="3">
        <f>VALUE(SUBSTITUTE(MID($A105,J105+J$2+1,K105-J105-J$2-1),",","."))</f>
        <v>-0.1</v>
      </c>
      <c r="AD105" s="3">
        <f>VALUE(SUBSTITUTE(MID($A105,K105+K$2+1,L105-K105-K$2-1),",","."))</f>
        <v>2.88</v>
      </c>
      <c r="AE105" s="3">
        <f>VALUE(SUBSTITUTE(MID($A105,L105+L$2+1,M105-L105-L$2-1),",","."))</f>
        <v>0</v>
      </c>
      <c r="AF105" s="3">
        <f>VALUE(SUBSTITUTE(MID($A105,M105+M$2+1,N105-M105-M$2-1),",","."))</f>
        <v>0</v>
      </c>
      <c r="AG105" s="3">
        <f>VALUE(SUBSTITUTE(MID($A105,N105+N$2+1,O105-N105-N$2-1),",","."))</f>
        <v>4.2063697732627796</v>
      </c>
      <c r="AH105" t="str">
        <f>MID($A105,O105+O$2+1,P105-O105-O$2-1)</f>
        <v/>
      </c>
      <c r="AI105" s="8" t="str">
        <f>MID($A105,P105+P$2+1,Q105-P105-P$2-1)</f>
        <v>False</v>
      </c>
      <c r="AK105" t="b">
        <f t="shared" si="16"/>
        <v>0</v>
      </c>
    </row>
    <row r="106" spans="1:37" x14ac:dyDescent="0.35">
      <c r="A106" t="s">
        <v>4653</v>
      </c>
      <c r="B106">
        <f t="shared" si="14"/>
        <v>10</v>
      </c>
      <c r="C106">
        <f t="shared" si="14"/>
        <v>43</v>
      </c>
      <c r="D106">
        <f t="shared" si="14"/>
        <v>54</v>
      </c>
      <c r="E106">
        <f t="shared" si="14"/>
        <v>80</v>
      </c>
      <c r="F106">
        <f t="shared" si="14"/>
        <v>124</v>
      </c>
      <c r="G106">
        <f t="shared" si="14"/>
        <v>145</v>
      </c>
      <c r="H106">
        <f t="shared" si="14"/>
        <v>177</v>
      </c>
      <c r="I106">
        <f t="shared" si="14"/>
        <v>199</v>
      </c>
      <c r="J106">
        <f t="shared" si="17"/>
        <v>232</v>
      </c>
      <c r="K106">
        <f t="shared" si="17"/>
        <v>253</v>
      </c>
      <c r="L106">
        <f t="shared" si="17"/>
        <v>285</v>
      </c>
      <c r="M106">
        <f t="shared" si="17"/>
        <v>300</v>
      </c>
      <c r="N106">
        <f t="shared" si="17"/>
        <v>312</v>
      </c>
      <c r="O106">
        <f t="shared" si="17"/>
        <v>338</v>
      </c>
      <c r="P106">
        <f t="shared" si="17"/>
        <v>356</v>
      </c>
      <c r="Q106">
        <f t="shared" si="17"/>
        <v>382</v>
      </c>
      <c r="S106" t="str">
        <f t="shared" si="11"/>
        <v>27.11.2025</v>
      </c>
      <c r="T106" t="str">
        <f t="shared" si="12"/>
        <v>21:00:00</v>
      </c>
      <c r="U106" t="str">
        <f t="shared" si="15"/>
        <v>27.11.2025 21:00:00</v>
      </c>
      <c r="V106" s="9" t="str">
        <f>MID($A106,C106+C$2+1,D106-C106-C$2-1)</f>
        <v>0</v>
      </c>
      <c r="W106" s="4">
        <f>VALUE(SUBSTITUTE(MID($A106,D106+D$2+1,E106-D106-D$2-1),",","."))</f>
        <v>0</v>
      </c>
      <c r="X106" s="4">
        <f>VALUE(SUBSTITUTE(MID($A106,E106+E$2+1,F106-E106-E$2-1),",","."))</f>
        <v>0.90957602214449496</v>
      </c>
      <c r="Y106" s="4">
        <f>VALUE(SUBSTITUTE(MID($A106,F106+F$2+1,G106-F106-F$2-1),",","."))</f>
        <v>0</v>
      </c>
      <c r="Z106" s="3">
        <f>VALUE(SUBSTITUTE(MID($A106,G106+G$2+1,H106-G106-G$2-1),",","."))</f>
        <v>0</v>
      </c>
      <c r="AA106" s="3">
        <f>VALUE(SUBSTITUTE(MID($A106,H106+H$2+1,I106-H106-H$2-1),",","."))</f>
        <v>0</v>
      </c>
      <c r="AB106" s="3">
        <f>VALUE(SUBSTITUTE(MID($A106,I106+I$2+1,J106-I106-I$2-1),",","."))</f>
        <v>0</v>
      </c>
      <c r="AC106" s="3">
        <f>VALUE(SUBSTITUTE(MID($A106,J106+J$2+1,K106-J106-J$2-1),",","."))</f>
        <v>-0.25</v>
      </c>
      <c r="AD106" s="3">
        <f>VALUE(SUBSTITUTE(MID($A106,K106+K$2+1,L106-K106-K$2-1),",","."))</f>
        <v>3.42</v>
      </c>
      <c r="AE106" s="3">
        <f>VALUE(SUBSTITUTE(MID($A106,L106+L$2+1,M106-L106-L$2-1),",","."))</f>
        <v>0</v>
      </c>
      <c r="AF106" s="3">
        <f>VALUE(SUBSTITUTE(MID($A106,M106+M$2+1,N106-M106-M$2-1),",","."))</f>
        <v>0</v>
      </c>
      <c r="AG106" s="3">
        <f>VALUE(SUBSTITUTE(MID($A106,N106+N$2+1,O106-N106-N$2-1),",","."))</f>
        <v>4.2063982931508601</v>
      </c>
      <c r="AH106" t="str">
        <f>MID($A106,O106+O$2+1,P106-O106-O$2-1)</f>
        <v/>
      </c>
      <c r="AI106" s="8" t="str">
        <f>MID($A106,P106+P$2+1,Q106-P106-P$2-1)</f>
        <v>False</v>
      </c>
      <c r="AK106" t="b">
        <f t="shared" si="16"/>
        <v>0</v>
      </c>
    </row>
    <row r="107" spans="1:37" x14ac:dyDescent="0.35">
      <c r="A107" t="s">
        <v>4654</v>
      </c>
      <c r="B107">
        <f t="shared" si="14"/>
        <v>10</v>
      </c>
      <c r="C107">
        <f t="shared" si="14"/>
        <v>43</v>
      </c>
      <c r="D107">
        <f t="shared" si="14"/>
        <v>54</v>
      </c>
      <c r="E107">
        <f t="shared" si="14"/>
        <v>80</v>
      </c>
      <c r="F107">
        <f t="shared" si="14"/>
        <v>124</v>
      </c>
      <c r="G107">
        <f t="shared" si="14"/>
        <v>145</v>
      </c>
      <c r="H107">
        <f t="shared" si="14"/>
        <v>177</v>
      </c>
      <c r="I107">
        <f t="shared" si="14"/>
        <v>199</v>
      </c>
      <c r="J107">
        <f t="shared" si="17"/>
        <v>232</v>
      </c>
      <c r="K107">
        <f t="shared" si="17"/>
        <v>253</v>
      </c>
      <c r="L107">
        <f t="shared" si="17"/>
        <v>285</v>
      </c>
      <c r="M107">
        <f t="shared" si="17"/>
        <v>300</v>
      </c>
      <c r="N107">
        <f t="shared" si="17"/>
        <v>312</v>
      </c>
      <c r="O107">
        <f t="shared" si="17"/>
        <v>337</v>
      </c>
      <c r="P107">
        <f t="shared" si="17"/>
        <v>355</v>
      </c>
      <c r="Q107">
        <f t="shared" si="17"/>
        <v>381</v>
      </c>
      <c r="S107" t="str">
        <f t="shared" si="11"/>
        <v>27.11.2025</v>
      </c>
      <c r="T107" t="str">
        <f t="shared" si="12"/>
        <v>21:15:00</v>
      </c>
      <c r="U107" t="str">
        <f t="shared" si="15"/>
        <v>27.11.2025 21:15:00</v>
      </c>
      <c r="V107" s="9" t="str">
        <f>MID($A107,C107+C$2+1,D107-C107-C$2-1)</f>
        <v>0</v>
      </c>
      <c r="W107" s="4">
        <f>VALUE(SUBSTITUTE(MID($A107,D107+D$2+1,E107-D107-D$2-1),",","."))</f>
        <v>0</v>
      </c>
      <c r="X107" s="4">
        <f>VALUE(SUBSTITUTE(MID($A107,E107+E$2+1,F107-E107-E$2-1),",","."))</f>
        <v>0.90957602214449496</v>
      </c>
      <c r="Y107" s="4">
        <f>VALUE(SUBSTITUTE(MID($A107,F107+F$2+1,G107-F107-F$2-1),",","."))</f>
        <v>0</v>
      </c>
      <c r="Z107" s="3">
        <f>VALUE(SUBSTITUTE(MID($A107,G107+G$2+1,H107-G107-G$2-1),",","."))</f>
        <v>0</v>
      </c>
      <c r="AA107" s="3">
        <f>VALUE(SUBSTITUTE(MID($A107,H107+H$2+1,I107-H107-H$2-1),",","."))</f>
        <v>0</v>
      </c>
      <c r="AB107" s="3">
        <f>VALUE(SUBSTITUTE(MID($A107,I107+I$2+1,J107-I107-I$2-1),",","."))</f>
        <v>0</v>
      </c>
      <c r="AC107" s="3">
        <f>VALUE(SUBSTITUTE(MID($A107,J107+J$2+1,K107-J107-J$2-1),",","."))</f>
        <v>-0.25</v>
      </c>
      <c r="AD107" s="3">
        <f>VALUE(SUBSTITUTE(MID($A107,K107+K$2+1,L107-K107-K$2-1),",","."))</f>
        <v>3.96</v>
      </c>
      <c r="AE107" s="3">
        <f>VALUE(SUBSTITUTE(MID($A107,L107+L$2+1,M107-L107-L$2-1),",","."))</f>
        <v>0</v>
      </c>
      <c r="AF107" s="3">
        <f>VALUE(SUBSTITUTE(MID($A107,M107+M$2+1,N107-M107-M$2-1),",","."))</f>
        <v>0</v>
      </c>
      <c r="AG107" s="3">
        <f>VALUE(SUBSTITUTE(MID($A107,N107+N$2+1,O107-N107-N$2-1),",","."))</f>
        <v>4.2064268130389397</v>
      </c>
      <c r="AH107" t="str">
        <f>MID($A107,O107+O$2+1,P107-O107-O$2-1)</f>
        <v/>
      </c>
      <c r="AI107" s="8" t="str">
        <f>MID($A107,P107+P$2+1,Q107-P107-P$2-1)</f>
        <v>False</v>
      </c>
      <c r="AK107" t="b">
        <f t="shared" si="16"/>
        <v>0</v>
      </c>
    </row>
    <row r="108" spans="1:37" x14ac:dyDescent="0.35">
      <c r="A108" t="s">
        <v>4655</v>
      </c>
      <c r="B108">
        <f t="shared" si="14"/>
        <v>10</v>
      </c>
      <c r="C108">
        <f t="shared" si="14"/>
        <v>43</v>
      </c>
      <c r="D108">
        <f t="shared" si="14"/>
        <v>54</v>
      </c>
      <c r="E108">
        <f t="shared" si="14"/>
        <v>80</v>
      </c>
      <c r="F108">
        <f t="shared" si="14"/>
        <v>124</v>
      </c>
      <c r="G108">
        <f t="shared" si="14"/>
        <v>145</v>
      </c>
      <c r="H108">
        <f t="shared" si="14"/>
        <v>177</v>
      </c>
      <c r="I108">
        <f t="shared" si="14"/>
        <v>199</v>
      </c>
      <c r="J108">
        <f t="shared" si="17"/>
        <v>232</v>
      </c>
      <c r="K108">
        <f t="shared" si="17"/>
        <v>253</v>
      </c>
      <c r="L108">
        <f t="shared" si="17"/>
        <v>270</v>
      </c>
      <c r="M108">
        <f t="shared" si="17"/>
        <v>285</v>
      </c>
      <c r="N108">
        <f t="shared" si="17"/>
        <v>297</v>
      </c>
      <c r="O108">
        <f t="shared" si="17"/>
        <v>322</v>
      </c>
      <c r="P108">
        <f t="shared" si="17"/>
        <v>340</v>
      </c>
      <c r="Q108">
        <f t="shared" si="17"/>
        <v>366</v>
      </c>
      <c r="S108" t="str">
        <f t="shared" si="11"/>
        <v>27.11.2025</v>
      </c>
      <c r="T108" t="str">
        <f t="shared" si="12"/>
        <v>21:30:00</v>
      </c>
      <c r="U108" t="str">
        <f t="shared" si="15"/>
        <v>27.11.2025 21:30:00</v>
      </c>
      <c r="V108" s="9" t="str">
        <f>MID($A108,C108+C$2+1,D108-C108-C$2-1)</f>
        <v>0</v>
      </c>
      <c r="W108" s="4">
        <f>VALUE(SUBSTITUTE(MID($A108,D108+D$2+1,E108-D108-D$2-1),",","."))</f>
        <v>0</v>
      </c>
      <c r="X108" s="4">
        <f>VALUE(SUBSTITUTE(MID($A108,E108+E$2+1,F108-E108-E$2-1),",","."))</f>
        <v>0.90957602214449496</v>
      </c>
      <c r="Y108" s="4">
        <f>VALUE(SUBSTITUTE(MID($A108,F108+F$2+1,G108-F108-F$2-1),",","."))</f>
        <v>0</v>
      </c>
      <c r="Z108" s="3">
        <f>VALUE(SUBSTITUTE(MID($A108,G108+G$2+1,H108-G108-G$2-1),",","."))</f>
        <v>0</v>
      </c>
      <c r="AA108" s="3">
        <f>VALUE(SUBSTITUTE(MID($A108,H108+H$2+1,I108-H108-H$2-1),",","."))</f>
        <v>0</v>
      </c>
      <c r="AB108" s="3">
        <f>VALUE(SUBSTITUTE(MID($A108,I108+I$2+1,J108-I108-I$2-1),",","."))</f>
        <v>0</v>
      </c>
      <c r="AC108" s="3">
        <f>VALUE(SUBSTITUTE(MID($A108,J108+J$2+1,K108-J108-J$2-1),",","."))</f>
        <v>-0.35</v>
      </c>
      <c r="AD108" s="3">
        <f>VALUE(SUBSTITUTE(MID($A108,K108+K$2+1,L108-K108-K$2-1),",","."))</f>
        <v>4.5</v>
      </c>
      <c r="AE108" s="3">
        <f>VALUE(SUBSTITUTE(MID($A108,L108+L$2+1,M108-L108-L$2-1),",","."))</f>
        <v>0</v>
      </c>
      <c r="AF108" s="3">
        <f>VALUE(SUBSTITUTE(MID($A108,M108+M$2+1,N108-M108-M$2-1),",","."))</f>
        <v>0</v>
      </c>
      <c r="AG108" s="3">
        <f>VALUE(SUBSTITUTE(MID($A108,N108+N$2+1,O108-N108-N$2-1),",","."))</f>
        <v>4.2064553329270202</v>
      </c>
      <c r="AH108" t="str">
        <f>MID($A108,O108+O$2+1,P108-O108-O$2-1)</f>
        <v/>
      </c>
      <c r="AI108" s="8" t="str">
        <f>MID($A108,P108+P$2+1,Q108-P108-P$2-1)</f>
        <v>False</v>
      </c>
      <c r="AK108" t="b">
        <f t="shared" si="16"/>
        <v>0</v>
      </c>
    </row>
    <row r="109" spans="1:37" x14ac:dyDescent="0.35">
      <c r="A109" t="s">
        <v>4656</v>
      </c>
      <c r="B109">
        <f t="shared" si="14"/>
        <v>10</v>
      </c>
      <c r="C109">
        <f t="shared" ref="C109:P131" si="18">FIND(C$1,$A109)</f>
        <v>43</v>
      </c>
      <c r="D109">
        <f t="shared" si="18"/>
        <v>54</v>
      </c>
      <c r="E109">
        <f t="shared" si="18"/>
        <v>80</v>
      </c>
      <c r="F109">
        <f t="shared" si="18"/>
        <v>124</v>
      </c>
      <c r="G109">
        <f t="shared" si="18"/>
        <v>145</v>
      </c>
      <c r="H109">
        <f t="shared" si="18"/>
        <v>177</v>
      </c>
      <c r="I109">
        <f t="shared" si="18"/>
        <v>199</v>
      </c>
      <c r="J109">
        <f t="shared" si="17"/>
        <v>232</v>
      </c>
      <c r="K109">
        <f t="shared" si="17"/>
        <v>253</v>
      </c>
      <c r="L109">
        <f t="shared" si="17"/>
        <v>270</v>
      </c>
      <c r="M109">
        <f t="shared" si="17"/>
        <v>285</v>
      </c>
      <c r="N109">
        <f t="shared" si="17"/>
        <v>297</v>
      </c>
      <c r="O109">
        <f t="shared" si="17"/>
        <v>322</v>
      </c>
      <c r="P109">
        <f t="shared" si="17"/>
        <v>340</v>
      </c>
      <c r="Q109">
        <f t="shared" si="17"/>
        <v>366</v>
      </c>
      <c r="S109" t="str">
        <f t="shared" si="11"/>
        <v>27.11.2025</v>
      </c>
      <c r="T109" t="str">
        <f t="shared" si="12"/>
        <v>21:45:00</v>
      </c>
      <c r="U109" t="str">
        <f t="shared" si="15"/>
        <v>27.11.2025 21:45:00</v>
      </c>
      <c r="V109" s="9" t="str">
        <f>MID($A109,C109+C$2+1,D109-C109-C$2-1)</f>
        <v>0</v>
      </c>
      <c r="W109" s="4">
        <f>VALUE(SUBSTITUTE(MID($A109,D109+D$2+1,E109-D109-D$2-1),",","."))</f>
        <v>0</v>
      </c>
      <c r="X109" s="4">
        <f>VALUE(SUBSTITUTE(MID($A109,E109+E$2+1,F109-E109-E$2-1),",","."))</f>
        <v>0.90957602214449496</v>
      </c>
      <c r="Y109" s="4">
        <f>VALUE(SUBSTITUTE(MID($A109,F109+F$2+1,G109-F109-F$2-1),",","."))</f>
        <v>0</v>
      </c>
      <c r="Z109" s="3">
        <f>VALUE(SUBSTITUTE(MID($A109,G109+G$2+1,H109-G109-G$2-1),",","."))</f>
        <v>0</v>
      </c>
      <c r="AA109" s="3">
        <f>VALUE(SUBSTITUTE(MID($A109,H109+H$2+1,I109-H109-H$2-1),",","."))</f>
        <v>0</v>
      </c>
      <c r="AB109" s="3">
        <f>VALUE(SUBSTITUTE(MID($A109,I109+I$2+1,J109-I109-I$2-1),",","."))</f>
        <v>0</v>
      </c>
      <c r="AC109" s="3">
        <f>VALUE(SUBSTITUTE(MID($A109,J109+J$2+1,K109-J109-J$2-1),",","."))</f>
        <v>-0.45</v>
      </c>
      <c r="AD109" s="3">
        <f>VALUE(SUBSTITUTE(MID($A109,K109+K$2+1,L109-K109-K$2-1),",","."))</f>
        <v>4.5</v>
      </c>
      <c r="AE109" s="3">
        <f>VALUE(SUBSTITUTE(MID($A109,L109+L$2+1,M109-L109-L$2-1),",","."))</f>
        <v>0</v>
      </c>
      <c r="AF109" s="3">
        <f>VALUE(SUBSTITUTE(MID($A109,M109+M$2+1,N109-M109-M$2-1),",","."))</f>
        <v>0</v>
      </c>
      <c r="AG109" s="3">
        <f>VALUE(SUBSTITUTE(MID($A109,N109+N$2+1,O109-N109-N$2-1),",","."))</f>
        <v>4.2064838528150998</v>
      </c>
      <c r="AH109" t="str">
        <f>MID($A109,O109+O$2+1,P109-O109-O$2-1)</f>
        <v/>
      </c>
      <c r="AI109" s="8" t="str">
        <f>MID($A109,P109+P$2+1,Q109-P109-P$2-1)</f>
        <v>False</v>
      </c>
      <c r="AK109" t="b">
        <f t="shared" si="16"/>
        <v>0</v>
      </c>
    </row>
    <row r="110" spans="1:37" x14ac:dyDescent="0.35">
      <c r="A110" t="s">
        <v>4657</v>
      </c>
      <c r="B110">
        <f t="shared" ref="B110:L153" si="19">FIND(B$1,$A110)</f>
        <v>10</v>
      </c>
      <c r="C110">
        <f t="shared" si="18"/>
        <v>43</v>
      </c>
      <c r="D110">
        <f t="shared" si="18"/>
        <v>54</v>
      </c>
      <c r="E110">
        <f t="shared" si="18"/>
        <v>80</v>
      </c>
      <c r="F110">
        <f t="shared" si="18"/>
        <v>124</v>
      </c>
      <c r="G110">
        <f t="shared" si="18"/>
        <v>145</v>
      </c>
      <c r="H110">
        <f t="shared" si="18"/>
        <v>177</v>
      </c>
      <c r="I110">
        <f t="shared" si="18"/>
        <v>199</v>
      </c>
      <c r="J110">
        <f t="shared" si="17"/>
        <v>232</v>
      </c>
      <c r="K110">
        <f t="shared" si="17"/>
        <v>252</v>
      </c>
      <c r="L110">
        <f t="shared" si="17"/>
        <v>270</v>
      </c>
      <c r="M110">
        <f t="shared" si="17"/>
        <v>285</v>
      </c>
      <c r="N110">
        <f t="shared" si="17"/>
        <v>297</v>
      </c>
      <c r="O110">
        <f t="shared" si="17"/>
        <v>321</v>
      </c>
      <c r="P110">
        <f t="shared" si="17"/>
        <v>339</v>
      </c>
      <c r="Q110">
        <f t="shared" si="17"/>
        <v>365</v>
      </c>
      <c r="S110" t="str">
        <f t="shared" si="11"/>
        <v>27.11.2025</v>
      </c>
      <c r="T110" t="str">
        <f t="shared" si="12"/>
        <v>22:00:00</v>
      </c>
      <c r="U110" t="str">
        <f t="shared" si="15"/>
        <v>27.11.2025 22:00:00</v>
      </c>
      <c r="V110" s="9" t="str">
        <f>MID($A110,C110+C$2+1,D110-C110-C$2-1)</f>
        <v>0</v>
      </c>
      <c r="W110" s="4">
        <f>VALUE(SUBSTITUTE(MID($A110,D110+D$2+1,E110-D110-D$2-1),",","."))</f>
        <v>0</v>
      </c>
      <c r="X110" s="4">
        <f>VALUE(SUBSTITUTE(MID($A110,E110+E$2+1,F110-E110-E$2-1),",","."))</f>
        <v>0.90957602214449496</v>
      </c>
      <c r="Y110" s="4">
        <f>VALUE(SUBSTITUTE(MID($A110,F110+F$2+1,G110-F110-F$2-1),",","."))</f>
        <v>0</v>
      </c>
      <c r="Z110" s="3">
        <f>VALUE(SUBSTITUTE(MID($A110,G110+G$2+1,H110-G110-G$2-1),",","."))</f>
        <v>0</v>
      </c>
      <c r="AA110" s="3">
        <f>VALUE(SUBSTITUTE(MID($A110,H110+H$2+1,I110-H110-H$2-1),",","."))</f>
        <v>0</v>
      </c>
      <c r="AB110" s="3">
        <f>VALUE(SUBSTITUTE(MID($A110,I110+I$2+1,J110-I110-I$2-1),",","."))</f>
        <v>0</v>
      </c>
      <c r="AC110" s="3">
        <f>VALUE(SUBSTITUTE(MID($A110,J110+J$2+1,K110-J110-J$2-1),",","."))</f>
        <v>-0.5</v>
      </c>
      <c r="AD110" s="3">
        <f>VALUE(SUBSTITUTE(MID($A110,K110+K$2+1,L110-K110-K$2-1),",","."))</f>
        <v>5.94</v>
      </c>
      <c r="AE110" s="3">
        <f>VALUE(SUBSTITUTE(MID($A110,L110+L$2+1,M110-L110-L$2-1),",","."))</f>
        <v>0</v>
      </c>
      <c r="AF110" s="3">
        <f>VALUE(SUBSTITUTE(MID($A110,M110+M$2+1,N110-M110-M$2-1),",","."))</f>
        <v>0</v>
      </c>
      <c r="AG110" s="3">
        <f>VALUE(SUBSTITUTE(MID($A110,N110+N$2+1,O110-N110-N$2-1),",","."))</f>
        <v>4.2065123727031901</v>
      </c>
      <c r="AH110" t="str">
        <f>MID($A110,O110+O$2+1,P110-O110-O$2-1)</f>
        <v/>
      </c>
      <c r="AI110" s="8" t="str">
        <f>MID($A110,P110+P$2+1,Q110-P110-P$2-1)</f>
        <v>False</v>
      </c>
      <c r="AK110" t="b">
        <f t="shared" si="16"/>
        <v>0</v>
      </c>
    </row>
    <row r="111" spans="1:37" x14ac:dyDescent="0.35">
      <c r="A111" t="s">
        <v>4658</v>
      </c>
      <c r="B111">
        <f t="shared" si="19"/>
        <v>10</v>
      </c>
      <c r="C111">
        <f t="shared" si="18"/>
        <v>43</v>
      </c>
      <c r="D111">
        <f t="shared" si="18"/>
        <v>54</v>
      </c>
      <c r="E111">
        <f t="shared" si="18"/>
        <v>80</v>
      </c>
      <c r="F111">
        <f t="shared" si="18"/>
        <v>124</v>
      </c>
      <c r="G111">
        <f t="shared" si="18"/>
        <v>145</v>
      </c>
      <c r="H111">
        <f t="shared" si="18"/>
        <v>177</v>
      </c>
      <c r="I111">
        <f t="shared" si="18"/>
        <v>199</v>
      </c>
      <c r="J111">
        <f t="shared" si="17"/>
        <v>232</v>
      </c>
      <c r="K111">
        <f t="shared" si="17"/>
        <v>253</v>
      </c>
      <c r="L111">
        <f t="shared" si="17"/>
        <v>271</v>
      </c>
      <c r="M111">
        <f t="shared" si="17"/>
        <v>286</v>
      </c>
      <c r="N111">
        <f t="shared" si="17"/>
        <v>298</v>
      </c>
      <c r="O111">
        <f t="shared" si="17"/>
        <v>323</v>
      </c>
      <c r="P111">
        <f t="shared" si="17"/>
        <v>341</v>
      </c>
      <c r="Q111">
        <f t="shared" si="17"/>
        <v>367</v>
      </c>
      <c r="S111" t="str">
        <f t="shared" si="11"/>
        <v>27.11.2025</v>
      </c>
      <c r="T111" t="str">
        <f t="shared" si="12"/>
        <v>22:15:00</v>
      </c>
      <c r="U111" t="str">
        <f t="shared" si="15"/>
        <v>27.11.2025 22:15:00</v>
      </c>
      <c r="V111" s="9" t="str">
        <f>MID($A111,C111+C$2+1,D111-C111-C$2-1)</f>
        <v>0</v>
      </c>
      <c r="W111" s="4">
        <f>VALUE(SUBSTITUTE(MID($A111,D111+D$2+1,E111-D111-D$2-1),",","."))</f>
        <v>0</v>
      </c>
      <c r="X111" s="4">
        <f>VALUE(SUBSTITUTE(MID($A111,E111+E$2+1,F111-E111-E$2-1),",","."))</f>
        <v>0.90957602214449496</v>
      </c>
      <c r="Y111" s="4">
        <f>VALUE(SUBSTITUTE(MID($A111,F111+F$2+1,G111-F111-F$2-1),",","."))</f>
        <v>0</v>
      </c>
      <c r="Z111" s="3">
        <f>VALUE(SUBSTITUTE(MID($A111,G111+G$2+1,H111-G111-G$2-1),",","."))</f>
        <v>0</v>
      </c>
      <c r="AA111" s="3">
        <f>VALUE(SUBSTITUTE(MID($A111,H111+H$2+1,I111-H111-H$2-1),",","."))</f>
        <v>0</v>
      </c>
      <c r="AB111" s="3">
        <f>VALUE(SUBSTITUTE(MID($A111,I111+I$2+1,J111-I111-I$2-1),",","."))</f>
        <v>0</v>
      </c>
      <c r="AC111" s="3">
        <f>VALUE(SUBSTITUTE(MID($A111,J111+J$2+1,K111-J111-J$2-1),",","."))</f>
        <v>-0.55000000000000004</v>
      </c>
      <c r="AD111" s="3">
        <f>VALUE(SUBSTITUTE(MID($A111,K111+K$2+1,L111-K111-K$2-1),",","."))</f>
        <v>5.76</v>
      </c>
      <c r="AE111" s="3">
        <f>VALUE(SUBSTITUTE(MID($A111,L111+L$2+1,M111-L111-L$2-1),",","."))</f>
        <v>0</v>
      </c>
      <c r="AF111" s="3">
        <f>VALUE(SUBSTITUTE(MID($A111,M111+M$2+1,N111-M111-M$2-1),",","."))</f>
        <v>0</v>
      </c>
      <c r="AG111" s="3">
        <f>VALUE(SUBSTITUTE(MID($A111,N111+N$2+1,O111-N111-N$2-1),",","."))</f>
        <v>4.2065408925912697</v>
      </c>
      <c r="AH111" t="str">
        <f>MID($A111,O111+O$2+1,P111-O111-O$2-1)</f>
        <v/>
      </c>
      <c r="AI111" s="8" t="str">
        <f>MID($A111,P111+P$2+1,Q111-P111-P$2-1)</f>
        <v>False</v>
      </c>
      <c r="AK111" t="b">
        <f t="shared" si="16"/>
        <v>0</v>
      </c>
    </row>
    <row r="112" spans="1:37" x14ac:dyDescent="0.35">
      <c r="A112" t="s">
        <v>4659</v>
      </c>
      <c r="B112">
        <f t="shared" si="19"/>
        <v>10</v>
      </c>
      <c r="C112">
        <f t="shared" si="18"/>
        <v>43</v>
      </c>
      <c r="D112">
        <f t="shared" si="18"/>
        <v>54</v>
      </c>
      <c r="E112">
        <f t="shared" si="18"/>
        <v>80</v>
      </c>
      <c r="F112">
        <f t="shared" si="18"/>
        <v>124</v>
      </c>
      <c r="G112">
        <f t="shared" si="18"/>
        <v>145</v>
      </c>
      <c r="H112">
        <f t="shared" si="18"/>
        <v>177</v>
      </c>
      <c r="I112">
        <f t="shared" si="18"/>
        <v>199</v>
      </c>
      <c r="J112">
        <f t="shared" si="17"/>
        <v>232</v>
      </c>
      <c r="K112">
        <f t="shared" si="17"/>
        <v>267</v>
      </c>
      <c r="L112">
        <f t="shared" si="17"/>
        <v>298</v>
      </c>
      <c r="M112">
        <f t="shared" si="17"/>
        <v>313</v>
      </c>
      <c r="N112">
        <f t="shared" si="17"/>
        <v>325</v>
      </c>
      <c r="O112">
        <f t="shared" si="17"/>
        <v>350</v>
      </c>
      <c r="P112">
        <f t="shared" si="17"/>
        <v>368</v>
      </c>
      <c r="Q112">
        <f t="shared" si="17"/>
        <v>394</v>
      </c>
      <c r="S112" t="str">
        <f t="shared" si="11"/>
        <v>27.11.2025</v>
      </c>
      <c r="T112" t="str">
        <f t="shared" si="12"/>
        <v>22:30:00</v>
      </c>
      <c r="U112" t="str">
        <f t="shared" si="15"/>
        <v>27.11.2025 22:30:00</v>
      </c>
      <c r="V112" s="9" t="str">
        <f>MID($A112,C112+C$2+1,D112-C112-C$2-1)</f>
        <v>0</v>
      </c>
      <c r="W112" s="4">
        <f>VALUE(SUBSTITUTE(MID($A112,D112+D$2+1,E112-D112-D$2-1),",","."))</f>
        <v>0</v>
      </c>
      <c r="X112" s="4">
        <f>VALUE(SUBSTITUTE(MID($A112,E112+E$2+1,F112-E112-E$2-1),",","."))</f>
        <v>0.90957602214449496</v>
      </c>
      <c r="Y112" s="4">
        <f>VALUE(SUBSTITUTE(MID($A112,F112+F$2+1,G112-F112-F$2-1),",","."))</f>
        <v>0</v>
      </c>
      <c r="Z112" s="3">
        <f>VALUE(SUBSTITUTE(MID($A112,G112+G$2+1,H112-G112-G$2-1),",","."))</f>
        <v>0</v>
      </c>
      <c r="AA112" s="3">
        <f>VALUE(SUBSTITUTE(MID($A112,H112+H$2+1,I112-H112-H$2-1),",","."))</f>
        <v>0</v>
      </c>
      <c r="AB112" s="3">
        <f>VALUE(SUBSTITUTE(MID($A112,I112+I$2+1,J112-I112-I$2-1),",","."))</f>
        <v>0</v>
      </c>
      <c r="AC112" s="3">
        <f>VALUE(SUBSTITUTE(MID($A112,J112+J$2+1,K112-J112-J$2-1),",","."))</f>
        <v>-0.64999999999999902</v>
      </c>
      <c r="AD112" s="3">
        <f>VALUE(SUBSTITUTE(MID($A112,K112+K$2+1,L112-K112-K$2-1),",","."))</f>
        <v>5.22</v>
      </c>
      <c r="AE112" s="3">
        <f>VALUE(SUBSTITUTE(MID($A112,L112+L$2+1,M112-L112-L$2-1),",","."))</f>
        <v>0</v>
      </c>
      <c r="AF112" s="3">
        <f>VALUE(SUBSTITUTE(MID($A112,M112+M$2+1,N112-M112-M$2-1),",","."))</f>
        <v>0</v>
      </c>
      <c r="AG112" s="3">
        <f>VALUE(SUBSTITUTE(MID($A112,N112+N$2+1,O112-N112-N$2-1),",","."))</f>
        <v>4.2065694124793502</v>
      </c>
      <c r="AH112" t="str">
        <f>MID($A112,O112+O$2+1,P112-O112-O$2-1)</f>
        <v/>
      </c>
      <c r="AI112" s="8" t="str">
        <f>MID($A112,P112+P$2+1,Q112-P112-P$2-1)</f>
        <v>False</v>
      </c>
      <c r="AK112" t="b">
        <f t="shared" si="16"/>
        <v>0</v>
      </c>
    </row>
    <row r="113" spans="1:37" x14ac:dyDescent="0.35">
      <c r="A113" t="s">
        <v>4660</v>
      </c>
      <c r="B113">
        <f t="shared" si="19"/>
        <v>10</v>
      </c>
      <c r="C113">
        <f t="shared" si="18"/>
        <v>43</v>
      </c>
      <c r="D113">
        <f t="shared" si="18"/>
        <v>54</v>
      </c>
      <c r="E113">
        <f t="shared" si="18"/>
        <v>80</v>
      </c>
      <c r="F113">
        <f t="shared" si="18"/>
        <v>124</v>
      </c>
      <c r="G113">
        <f t="shared" si="18"/>
        <v>145</v>
      </c>
      <c r="H113">
        <f t="shared" si="18"/>
        <v>177</v>
      </c>
      <c r="I113">
        <f t="shared" si="18"/>
        <v>199</v>
      </c>
      <c r="J113">
        <f t="shared" si="17"/>
        <v>232</v>
      </c>
      <c r="K113">
        <f t="shared" si="17"/>
        <v>252</v>
      </c>
      <c r="L113">
        <f t="shared" si="17"/>
        <v>270</v>
      </c>
      <c r="M113">
        <f t="shared" si="17"/>
        <v>285</v>
      </c>
      <c r="N113">
        <f t="shared" si="17"/>
        <v>297</v>
      </c>
      <c r="O113">
        <f t="shared" si="17"/>
        <v>322</v>
      </c>
      <c r="P113">
        <f t="shared" si="17"/>
        <v>340</v>
      </c>
      <c r="Q113">
        <f t="shared" si="17"/>
        <v>366</v>
      </c>
      <c r="S113" t="str">
        <f t="shared" si="11"/>
        <v>27.11.2025</v>
      </c>
      <c r="T113" t="str">
        <f t="shared" si="12"/>
        <v>22:45:00</v>
      </c>
      <c r="U113" t="str">
        <f t="shared" si="15"/>
        <v>27.11.2025 22:45:00</v>
      </c>
      <c r="V113" s="9" t="str">
        <f>MID($A113,C113+C$2+1,D113-C113-C$2-1)</f>
        <v>0</v>
      </c>
      <c r="W113" s="4">
        <f>VALUE(SUBSTITUTE(MID($A113,D113+D$2+1,E113-D113-D$2-1),",","."))</f>
        <v>0</v>
      </c>
      <c r="X113" s="4">
        <f>VALUE(SUBSTITUTE(MID($A113,E113+E$2+1,F113-E113-E$2-1),",","."))</f>
        <v>0.90957602214449496</v>
      </c>
      <c r="Y113" s="4">
        <f>VALUE(SUBSTITUTE(MID($A113,F113+F$2+1,G113-F113-F$2-1),",","."))</f>
        <v>0</v>
      </c>
      <c r="Z113" s="3">
        <f>VALUE(SUBSTITUTE(MID($A113,G113+G$2+1,H113-G113-G$2-1),",","."))</f>
        <v>0</v>
      </c>
      <c r="AA113" s="3">
        <f>VALUE(SUBSTITUTE(MID($A113,H113+H$2+1,I113-H113-H$2-1),",","."))</f>
        <v>0</v>
      </c>
      <c r="AB113" s="3">
        <f>VALUE(SUBSTITUTE(MID($A113,I113+I$2+1,J113-I113-I$2-1),",","."))</f>
        <v>0</v>
      </c>
      <c r="AC113" s="3">
        <f>VALUE(SUBSTITUTE(MID($A113,J113+J$2+1,K113-J113-J$2-1),",","."))</f>
        <v>-0.7</v>
      </c>
      <c r="AD113" s="3">
        <f>VALUE(SUBSTITUTE(MID($A113,K113+K$2+1,L113-K113-K$2-1),",","."))</f>
        <v>5.58</v>
      </c>
      <c r="AE113" s="3">
        <f>VALUE(SUBSTITUTE(MID($A113,L113+L$2+1,M113-L113-L$2-1),",","."))</f>
        <v>0</v>
      </c>
      <c r="AF113" s="3">
        <f>VALUE(SUBSTITUTE(MID($A113,M113+M$2+1,N113-M113-M$2-1),",","."))</f>
        <v>0</v>
      </c>
      <c r="AG113" s="3">
        <f>VALUE(SUBSTITUTE(MID($A113,N113+N$2+1,O113-N113-N$2-1),",","."))</f>
        <v>4.2065979323674298</v>
      </c>
      <c r="AH113" t="str">
        <f>MID($A113,O113+O$2+1,P113-O113-O$2-1)</f>
        <v/>
      </c>
      <c r="AI113" s="8" t="str">
        <f>MID($A113,P113+P$2+1,Q113-P113-P$2-1)</f>
        <v>False</v>
      </c>
      <c r="AK113" t="b">
        <f t="shared" si="16"/>
        <v>0</v>
      </c>
    </row>
    <row r="114" spans="1:37" x14ac:dyDescent="0.35">
      <c r="A114" t="s">
        <v>4661</v>
      </c>
      <c r="B114">
        <f t="shared" si="19"/>
        <v>10</v>
      </c>
      <c r="C114">
        <f t="shared" si="18"/>
        <v>43</v>
      </c>
      <c r="D114">
        <f t="shared" si="18"/>
        <v>54</v>
      </c>
      <c r="E114">
        <f t="shared" si="18"/>
        <v>80</v>
      </c>
      <c r="F114">
        <f t="shared" si="18"/>
        <v>124</v>
      </c>
      <c r="G114">
        <f t="shared" si="18"/>
        <v>145</v>
      </c>
      <c r="H114">
        <f t="shared" si="18"/>
        <v>177</v>
      </c>
      <c r="I114">
        <f t="shared" si="18"/>
        <v>199</v>
      </c>
      <c r="J114">
        <f t="shared" si="17"/>
        <v>232</v>
      </c>
      <c r="K114">
        <f t="shared" si="17"/>
        <v>252</v>
      </c>
      <c r="L114">
        <f t="shared" si="17"/>
        <v>270</v>
      </c>
      <c r="M114">
        <f t="shared" si="17"/>
        <v>285</v>
      </c>
      <c r="N114">
        <f t="shared" si="17"/>
        <v>297</v>
      </c>
      <c r="O114">
        <f t="shared" si="17"/>
        <v>322</v>
      </c>
      <c r="P114">
        <f t="shared" si="17"/>
        <v>340</v>
      </c>
      <c r="Q114">
        <f t="shared" si="17"/>
        <v>366</v>
      </c>
      <c r="S114" t="str">
        <f t="shared" si="11"/>
        <v>27.11.2025</v>
      </c>
      <c r="T114" t="str">
        <f t="shared" si="12"/>
        <v>23:00:00</v>
      </c>
      <c r="U114" t="str">
        <f t="shared" si="15"/>
        <v>27.11.2025 23:00:00</v>
      </c>
      <c r="V114" s="9" t="str">
        <f>MID($A114,C114+C$2+1,D114-C114-C$2-1)</f>
        <v>0</v>
      </c>
      <c r="W114" s="4">
        <f>VALUE(SUBSTITUTE(MID($A114,D114+D$2+1,E114-D114-D$2-1),",","."))</f>
        <v>0</v>
      </c>
      <c r="X114" s="4">
        <f>VALUE(SUBSTITUTE(MID($A114,E114+E$2+1,F114-E114-E$2-1),",","."))</f>
        <v>0.90957602214449496</v>
      </c>
      <c r="Y114" s="4">
        <f>VALUE(SUBSTITUTE(MID($A114,F114+F$2+1,G114-F114-F$2-1),",","."))</f>
        <v>0</v>
      </c>
      <c r="Z114" s="3">
        <f>VALUE(SUBSTITUTE(MID($A114,G114+G$2+1,H114-G114-G$2-1),",","."))</f>
        <v>0</v>
      </c>
      <c r="AA114" s="3">
        <f>VALUE(SUBSTITUTE(MID($A114,H114+H$2+1,I114-H114-H$2-1),",","."))</f>
        <v>0</v>
      </c>
      <c r="AB114" s="3">
        <f>VALUE(SUBSTITUTE(MID($A114,I114+I$2+1,J114-I114-I$2-1),",","."))</f>
        <v>0</v>
      </c>
      <c r="AC114" s="3">
        <f>VALUE(SUBSTITUTE(MID($A114,J114+J$2+1,K114-J114-J$2-1),",","."))</f>
        <v>-0.8</v>
      </c>
      <c r="AD114" s="3">
        <f>VALUE(SUBSTITUTE(MID($A114,K114+K$2+1,L114-K114-K$2-1),",","."))</f>
        <v>5.04</v>
      </c>
      <c r="AE114" s="3">
        <f>VALUE(SUBSTITUTE(MID($A114,L114+L$2+1,M114-L114-L$2-1),",","."))</f>
        <v>0</v>
      </c>
      <c r="AF114" s="3">
        <f>VALUE(SUBSTITUTE(MID($A114,M114+M$2+1,N114-M114-M$2-1),",","."))</f>
        <v>0</v>
      </c>
      <c r="AG114" s="3">
        <f>VALUE(SUBSTITUTE(MID($A114,N114+N$2+1,O114-N114-N$2-1),",","."))</f>
        <v>4.2066264522555104</v>
      </c>
      <c r="AH114" t="str">
        <f>MID($A114,O114+O$2+1,P114-O114-O$2-1)</f>
        <v/>
      </c>
      <c r="AI114" s="8" t="str">
        <f>MID($A114,P114+P$2+1,Q114-P114-P$2-1)</f>
        <v>False</v>
      </c>
      <c r="AK114" t="b">
        <f t="shared" si="16"/>
        <v>0</v>
      </c>
    </row>
    <row r="115" spans="1:37" x14ac:dyDescent="0.35">
      <c r="A115" t="s">
        <v>4662</v>
      </c>
      <c r="B115">
        <f t="shared" si="19"/>
        <v>10</v>
      </c>
      <c r="C115">
        <f t="shared" si="18"/>
        <v>43</v>
      </c>
      <c r="D115">
        <f t="shared" si="18"/>
        <v>54</v>
      </c>
      <c r="E115">
        <f t="shared" si="18"/>
        <v>80</v>
      </c>
      <c r="F115">
        <f t="shared" si="18"/>
        <v>124</v>
      </c>
      <c r="G115">
        <f t="shared" si="18"/>
        <v>145</v>
      </c>
      <c r="H115">
        <f t="shared" si="18"/>
        <v>177</v>
      </c>
      <c r="I115">
        <f t="shared" si="18"/>
        <v>199</v>
      </c>
      <c r="J115">
        <f t="shared" si="17"/>
        <v>232</v>
      </c>
      <c r="K115">
        <f t="shared" si="17"/>
        <v>252</v>
      </c>
      <c r="L115">
        <f t="shared" si="17"/>
        <v>270</v>
      </c>
      <c r="M115">
        <f t="shared" si="17"/>
        <v>285</v>
      </c>
      <c r="N115">
        <f t="shared" si="17"/>
        <v>297</v>
      </c>
      <c r="O115">
        <f t="shared" si="17"/>
        <v>322</v>
      </c>
      <c r="P115">
        <f t="shared" si="17"/>
        <v>340</v>
      </c>
      <c r="Q115">
        <f t="shared" si="17"/>
        <v>366</v>
      </c>
      <c r="S115" t="str">
        <f t="shared" si="11"/>
        <v>27.11.2025</v>
      </c>
      <c r="T115" t="str">
        <f t="shared" si="12"/>
        <v>23:15:00</v>
      </c>
      <c r="U115" t="str">
        <f t="shared" si="15"/>
        <v>27.11.2025 23:15:00</v>
      </c>
      <c r="V115" s="9" t="str">
        <f>MID($A115,C115+C$2+1,D115-C115-C$2-1)</f>
        <v>0</v>
      </c>
      <c r="W115" s="4">
        <f>VALUE(SUBSTITUTE(MID($A115,D115+D$2+1,E115-D115-D$2-1),",","."))</f>
        <v>0</v>
      </c>
      <c r="X115" s="4">
        <f>VALUE(SUBSTITUTE(MID($A115,E115+E$2+1,F115-E115-E$2-1),",","."))</f>
        <v>0.90957602214449496</v>
      </c>
      <c r="Y115" s="4">
        <f>VALUE(SUBSTITUTE(MID($A115,F115+F$2+1,G115-F115-F$2-1),",","."))</f>
        <v>0</v>
      </c>
      <c r="Z115" s="3">
        <f>VALUE(SUBSTITUTE(MID($A115,G115+G$2+1,H115-G115-G$2-1),",","."))</f>
        <v>0</v>
      </c>
      <c r="AA115" s="3">
        <f>VALUE(SUBSTITUTE(MID($A115,H115+H$2+1,I115-H115-H$2-1),",","."))</f>
        <v>0</v>
      </c>
      <c r="AB115" s="3">
        <f>VALUE(SUBSTITUTE(MID($A115,I115+I$2+1,J115-I115-I$2-1),",","."))</f>
        <v>0</v>
      </c>
      <c r="AC115" s="3">
        <f>VALUE(SUBSTITUTE(MID($A115,J115+J$2+1,K115-J115-J$2-1),",","."))</f>
        <v>-0.9</v>
      </c>
      <c r="AD115" s="3">
        <f>VALUE(SUBSTITUTE(MID($A115,K115+K$2+1,L115-K115-K$2-1),",","."))</f>
        <v>5.04</v>
      </c>
      <c r="AE115" s="3">
        <f>VALUE(SUBSTITUTE(MID($A115,L115+L$2+1,M115-L115-L$2-1),",","."))</f>
        <v>0</v>
      </c>
      <c r="AF115" s="3">
        <f>VALUE(SUBSTITUTE(MID($A115,M115+M$2+1,N115-M115-M$2-1),",","."))</f>
        <v>0</v>
      </c>
      <c r="AG115" s="3">
        <f>VALUE(SUBSTITUTE(MID($A115,N115+N$2+1,O115-N115-N$2-1),",","."))</f>
        <v>4.20665497214359</v>
      </c>
      <c r="AH115" t="str">
        <f>MID($A115,O115+O$2+1,P115-O115-O$2-1)</f>
        <v/>
      </c>
      <c r="AI115" s="8" t="str">
        <f>MID($A115,P115+P$2+1,Q115-P115-P$2-1)</f>
        <v>False</v>
      </c>
      <c r="AK115" t="b">
        <f t="shared" si="16"/>
        <v>0</v>
      </c>
    </row>
    <row r="116" spans="1:37" x14ac:dyDescent="0.35">
      <c r="A116" t="s">
        <v>4663</v>
      </c>
      <c r="B116">
        <f t="shared" si="19"/>
        <v>10</v>
      </c>
      <c r="C116">
        <f t="shared" si="18"/>
        <v>43</v>
      </c>
      <c r="D116">
        <f t="shared" si="18"/>
        <v>54</v>
      </c>
      <c r="E116">
        <f t="shared" si="18"/>
        <v>80</v>
      </c>
      <c r="F116">
        <f t="shared" si="18"/>
        <v>124</v>
      </c>
      <c r="G116">
        <f t="shared" si="18"/>
        <v>145</v>
      </c>
      <c r="H116">
        <f t="shared" si="18"/>
        <v>177</v>
      </c>
      <c r="I116">
        <f t="shared" si="18"/>
        <v>199</v>
      </c>
      <c r="J116">
        <f t="shared" si="17"/>
        <v>232</v>
      </c>
      <c r="K116">
        <f t="shared" si="17"/>
        <v>250</v>
      </c>
      <c r="L116">
        <f t="shared" si="17"/>
        <v>267</v>
      </c>
      <c r="M116">
        <f t="shared" si="17"/>
        <v>282</v>
      </c>
      <c r="N116">
        <f t="shared" si="17"/>
        <v>294</v>
      </c>
      <c r="O116">
        <f t="shared" si="17"/>
        <v>318</v>
      </c>
      <c r="P116">
        <f t="shared" si="17"/>
        <v>336</v>
      </c>
      <c r="Q116">
        <f t="shared" si="17"/>
        <v>362</v>
      </c>
      <c r="S116" t="str">
        <f t="shared" si="11"/>
        <v>27.11.2025</v>
      </c>
      <c r="T116" t="str">
        <f t="shared" si="12"/>
        <v>23:30:00</v>
      </c>
      <c r="U116" t="str">
        <f t="shared" si="15"/>
        <v>27.11.2025 23:30:00</v>
      </c>
      <c r="V116" s="9" t="str">
        <f>MID($A116,C116+C$2+1,D116-C116-C$2-1)</f>
        <v>0</v>
      </c>
      <c r="W116" s="4">
        <f>VALUE(SUBSTITUTE(MID($A116,D116+D$2+1,E116-D116-D$2-1),",","."))</f>
        <v>0</v>
      </c>
      <c r="X116" s="4">
        <f>VALUE(SUBSTITUTE(MID($A116,E116+E$2+1,F116-E116-E$2-1),",","."))</f>
        <v>0.90957602214449496</v>
      </c>
      <c r="Y116" s="4">
        <f>VALUE(SUBSTITUTE(MID($A116,F116+F$2+1,G116-F116-F$2-1),",","."))</f>
        <v>0</v>
      </c>
      <c r="Z116" s="3">
        <f>VALUE(SUBSTITUTE(MID($A116,G116+G$2+1,H116-G116-G$2-1),",","."))</f>
        <v>0</v>
      </c>
      <c r="AA116" s="3">
        <f>VALUE(SUBSTITUTE(MID($A116,H116+H$2+1,I116-H116-H$2-1),",","."))</f>
        <v>0</v>
      </c>
      <c r="AB116" s="3">
        <f>VALUE(SUBSTITUTE(MID($A116,I116+I$2+1,J116-I116-I$2-1),",","."))</f>
        <v>0</v>
      </c>
      <c r="AC116" s="3">
        <f>VALUE(SUBSTITUTE(MID($A116,J116+J$2+1,K116-J116-J$2-1),",","."))</f>
        <v>-1</v>
      </c>
      <c r="AD116" s="3">
        <f>VALUE(SUBSTITUTE(MID($A116,K116+K$2+1,L116-K116-K$2-1),",","."))</f>
        <v>5.4</v>
      </c>
      <c r="AE116" s="3">
        <f>VALUE(SUBSTITUTE(MID($A116,L116+L$2+1,M116-L116-L$2-1),",","."))</f>
        <v>0</v>
      </c>
      <c r="AF116" s="3">
        <f>VALUE(SUBSTITUTE(MID($A116,M116+M$2+1,N116-M116-M$2-1),",","."))</f>
        <v>0</v>
      </c>
      <c r="AG116" s="3">
        <f>VALUE(SUBSTITUTE(MID($A116,N116+N$2+1,O116-N116-N$2-1),",","."))</f>
        <v>4.2066834920316802</v>
      </c>
      <c r="AH116" t="str">
        <f>MID($A116,O116+O$2+1,P116-O116-O$2-1)</f>
        <v/>
      </c>
      <c r="AI116" s="8" t="str">
        <f>MID($A116,P116+P$2+1,Q116-P116-P$2-1)</f>
        <v>False</v>
      </c>
      <c r="AK116" t="b">
        <f t="shared" si="16"/>
        <v>0</v>
      </c>
    </row>
    <row r="117" spans="1:37" x14ac:dyDescent="0.35">
      <c r="A117" t="s">
        <v>4664</v>
      </c>
      <c r="B117">
        <f t="shared" si="19"/>
        <v>10</v>
      </c>
      <c r="C117">
        <f t="shared" si="18"/>
        <v>43</v>
      </c>
      <c r="D117">
        <f t="shared" si="18"/>
        <v>54</v>
      </c>
      <c r="E117">
        <f t="shared" si="18"/>
        <v>80</v>
      </c>
      <c r="F117">
        <f t="shared" si="18"/>
        <v>124</v>
      </c>
      <c r="G117">
        <f t="shared" si="18"/>
        <v>145</v>
      </c>
      <c r="H117">
        <f t="shared" si="18"/>
        <v>177</v>
      </c>
      <c r="I117">
        <f t="shared" si="18"/>
        <v>199</v>
      </c>
      <c r="J117">
        <f t="shared" si="17"/>
        <v>232</v>
      </c>
      <c r="K117">
        <f t="shared" si="17"/>
        <v>253</v>
      </c>
      <c r="L117">
        <f t="shared" si="17"/>
        <v>285</v>
      </c>
      <c r="M117">
        <f t="shared" si="17"/>
        <v>300</v>
      </c>
      <c r="N117">
        <f t="shared" si="17"/>
        <v>312</v>
      </c>
      <c r="O117">
        <f t="shared" si="17"/>
        <v>337</v>
      </c>
      <c r="P117">
        <f t="shared" si="17"/>
        <v>355</v>
      </c>
      <c r="Q117">
        <f t="shared" ref="Q117:Q180" si="20">FIND(Q$1,$A117)</f>
        <v>381</v>
      </c>
      <c r="S117" t="str">
        <f t="shared" si="11"/>
        <v>27.11.2025</v>
      </c>
      <c r="T117" t="str">
        <f t="shared" si="12"/>
        <v>23:45:00</v>
      </c>
      <c r="U117" t="str">
        <f t="shared" si="15"/>
        <v>27.11.2025 23:45:00</v>
      </c>
      <c r="V117" s="9" t="str">
        <f>MID($A117,C117+C$2+1,D117-C117-C$2-1)</f>
        <v>0</v>
      </c>
      <c r="W117" s="4">
        <f>VALUE(SUBSTITUTE(MID($A117,D117+D$2+1,E117-D117-D$2-1),",","."))</f>
        <v>0</v>
      </c>
      <c r="X117" s="4">
        <f>VALUE(SUBSTITUTE(MID($A117,E117+E$2+1,F117-E117-E$2-1),",","."))</f>
        <v>0.90957602214449496</v>
      </c>
      <c r="Y117" s="4">
        <f>VALUE(SUBSTITUTE(MID($A117,F117+F$2+1,G117-F117-F$2-1),",","."))</f>
        <v>0</v>
      </c>
      <c r="Z117" s="3">
        <f>VALUE(SUBSTITUTE(MID($A117,G117+G$2+1,H117-G117-G$2-1),",","."))</f>
        <v>0</v>
      </c>
      <c r="AA117" s="3">
        <f>VALUE(SUBSTITUTE(MID($A117,H117+H$2+1,I117-H117-H$2-1),",","."))</f>
        <v>0</v>
      </c>
      <c r="AB117" s="3">
        <f>VALUE(SUBSTITUTE(MID($A117,I117+I$2+1,J117-I117-I$2-1),",","."))</f>
        <v>0</v>
      </c>
      <c r="AC117" s="3">
        <f>VALUE(SUBSTITUTE(MID($A117,J117+J$2+1,K117-J117-J$2-1),",","."))</f>
        <v>-1.1499999999999999</v>
      </c>
      <c r="AD117" s="3">
        <f>VALUE(SUBSTITUTE(MID($A117,K117+K$2+1,L117-K117-K$2-1),",","."))</f>
        <v>7.02</v>
      </c>
      <c r="AE117" s="3">
        <f>VALUE(SUBSTITUTE(MID($A117,L117+L$2+1,M117-L117-L$2-1),",","."))</f>
        <v>0</v>
      </c>
      <c r="AF117" s="3">
        <f>VALUE(SUBSTITUTE(MID($A117,M117+M$2+1,N117-M117-M$2-1),",","."))</f>
        <v>0</v>
      </c>
      <c r="AG117" s="3">
        <f>VALUE(SUBSTITUTE(MID($A117,N117+N$2+1,O117-N117-N$2-1),",","."))</f>
        <v>4.2067120119197599</v>
      </c>
      <c r="AH117" t="str">
        <f>MID($A117,O117+O$2+1,P117-O117-O$2-1)</f>
        <v/>
      </c>
      <c r="AI117" s="8" t="str">
        <f>MID($A117,P117+P$2+1,Q117-P117-P$2-1)</f>
        <v>False</v>
      </c>
      <c r="AK117" t="b">
        <f t="shared" si="16"/>
        <v>0</v>
      </c>
    </row>
    <row r="118" spans="1:37" x14ac:dyDescent="0.35">
      <c r="A118" t="s">
        <v>4665</v>
      </c>
      <c r="B118">
        <f t="shared" si="19"/>
        <v>10</v>
      </c>
      <c r="C118">
        <f t="shared" si="18"/>
        <v>43</v>
      </c>
      <c r="D118">
        <f t="shared" si="18"/>
        <v>54</v>
      </c>
      <c r="E118">
        <f t="shared" si="18"/>
        <v>80</v>
      </c>
      <c r="F118">
        <f t="shared" si="18"/>
        <v>124</v>
      </c>
      <c r="G118">
        <f t="shared" si="18"/>
        <v>145</v>
      </c>
      <c r="H118">
        <f t="shared" si="18"/>
        <v>177</v>
      </c>
      <c r="I118">
        <f t="shared" si="18"/>
        <v>199</v>
      </c>
      <c r="J118">
        <f t="shared" si="18"/>
        <v>232</v>
      </c>
      <c r="K118">
        <f t="shared" si="18"/>
        <v>252</v>
      </c>
      <c r="L118">
        <f t="shared" si="18"/>
        <v>270</v>
      </c>
      <c r="M118">
        <f t="shared" si="18"/>
        <v>285</v>
      </c>
      <c r="N118">
        <f t="shared" si="18"/>
        <v>297</v>
      </c>
      <c r="O118">
        <f t="shared" si="18"/>
        <v>322</v>
      </c>
      <c r="P118">
        <f t="shared" si="18"/>
        <v>340</v>
      </c>
      <c r="Q118">
        <f t="shared" si="20"/>
        <v>366</v>
      </c>
      <c r="S118" t="str">
        <f t="shared" si="11"/>
        <v>28.11.2025</v>
      </c>
      <c r="T118" t="str">
        <f t="shared" si="12"/>
        <v>00:00:00</v>
      </c>
      <c r="U118" t="str">
        <f t="shared" si="15"/>
        <v>28.11.2025 00:00:00</v>
      </c>
      <c r="V118" s="9" t="str">
        <f>MID($A118,C118+C$2+1,D118-C118-C$2-1)</f>
        <v>0</v>
      </c>
      <c r="W118" s="4">
        <f>VALUE(SUBSTITUTE(MID($A118,D118+D$2+1,E118-D118-D$2-1),",","."))</f>
        <v>0</v>
      </c>
      <c r="X118" s="4">
        <f>VALUE(SUBSTITUTE(MID($A118,E118+E$2+1,F118-E118-E$2-1),",","."))</f>
        <v>0.90957602214449496</v>
      </c>
      <c r="Y118" s="4">
        <f>VALUE(SUBSTITUTE(MID($A118,F118+F$2+1,G118-F118-F$2-1),",","."))</f>
        <v>0</v>
      </c>
      <c r="Z118" s="3">
        <f>VALUE(SUBSTITUTE(MID($A118,G118+G$2+1,H118-G118-G$2-1),",","."))</f>
        <v>0</v>
      </c>
      <c r="AA118" s="3">
        <f>VALUE(SUBSTITUTE(MID($A118,H118+H$2+1,I118-H118-H$2-1),",","."))</f>
        <v>0</v>
      </c>
      <c r="AB118" s="3">
        <f>VALUE(SUBSTITUTE(MID($A118,I118+I$2+1,J118-I118-I$2-1),",","."))</f>
        <v>0</v>
      </c>
      <c r="AC118" s="3">
        <f>VALUE(SUBSTITUTE(MID($A118,J118+J$2+1,K118-J118-J$2-1),",","."))</f>
        <v>-1.3</v>
      </c>
      <c r="AD118" s="3">
        <f>VALUE(SUBSTITUTE(MID($A118,K118+K$2+1,L118-K118-K$2-1),",","."))</f>
        <v>8.82</v>
      </c>
      <c r="AE118" s="3">
        <f>VALUE(SUBSTITUTE(MID($A118,L118+L$2+1,M118-L118-L$2-1),",","."))</f>
        <v>0</v>
      </c>
      <c r="AF118" s="3">
        <f>VALUE(SUBSTITUTE(MID($A118,M118+M$2+1,N118-M118-M$2-1),",","."))</f>
        <v>0</v>
      </c>
      <c r="AG118" s="3">
        <f>VALUE(SUBSTITUTE(MID($A118,N118+N$2+1,O118-N118-N$2-1),",","."))</f>
        <v>4.2067405318078404</v>
      </c>
      <c r="AH118" t="str">
        <f>MID($A118,O118+O$2+1,P118-O118-O$2-1)</f>
        <v/>
      </c>
      <c r="AI118" s="8" t="str">
        <f>MID($A118,P118+P$2+1,Q118-P118-P$2-1)</f>
        <v>False</v>
      </c>
      <c r="AK118" t="b">
        <f t="shared" si="16"/>
        <v>0</v>
      </c>
    </row>
    <row r="119" spans="1:37" x14ac:dyDescent="0.35">
      <c r="A119" t="s">
        <v>4666</v>
      </c>
      <c r="B119">
        <f t="shared" si="19"/>
        <v>10</v>
      </c>
      <c r="C119">
        <f t="shared" si="18"/>
        <v>43</v>
      </c>
      <c r="D119">
        <f t="shared" si="18"/>
        <v>54</v>
      </c>
      <c r="E119">
        <f t="shared" si="18"/>
        <v>80</v>
      </c>
      <c r="F119">
        <f t="shared" si="18"/>
        <v>124</v>
      </c>
      <c r="G119">
        <f t="shared" si="18"/>
        <v>145</v>
      </c>
      <c r="H119">
        <f t="shared" si="18"/>
        <v>177</v>
      </c>
      <c r="I119">
        <f t="shared" si="18"/>
        <v>199</v>
      </c>
      <c r="J119">
        <f t="shared" si="18"/>
        <v>232</v>
      </c>
      <c r="K119">
        <f t="shared" si="18"/>
        <v>252</v>
      </c>
      <c r="L119">
        <f t="shared" si="18"/>
        <v>283</v>
      </c>
      <c r="M119">
        <f t="shared" si="18"/>
        <v>298</v>
      </c>
      <c r="N119">
        <f t="shared" si="18"/>
        <v>310</v>
      </c>
      <c r="O119">
        <f t="shared" si="18"/>
        <v>335</v>
      </c>
      <c r="P119">
        <f t="shared" si="18"/>
        <v>353</v>
      </c>
      <c r="Q119">
        <f t="shared" si="20"/>
        <v>379</v>
      </c>
      <c r="S119" t="str">
        <f t="shared" si="11"/>
        <v>28.11.2025</v>
      </c>
      <c r="T119" t="str">
        <f t="shared" si="12"/>
        <v>00:15:00</v>
      </c>
      <c r="U119" t="str">
        <f t="shared" si="15"/>
        <v>28.11.2025 00:15:00</v>
      </c>
      <c r="V119" s="9" t="str">
        <f>MID($A119,C119+C$2+1,D119-C119-C$2-1)</f>
        <v>0</v>
      </c>
      <c r="W119" s="4">
        <f>VALUE(SUBSTITUTE(MID($A119,D119+D$2+1,E119-D119-D$2-1),",","."))</f>
        <v>0</v>
      </c>
      <c r="X119" s="4">
        <f>VALUE(SUBSTITUTE(MID($A119,E119+E$2+1,F119-E119-E$2-1),",","."))</f>
        <v>0.90957602214449496</v>
      </c>
      <c r="Y119" s="4">
        <f>VALUE(SUBSTITUTE(MID($A119,F119+F$2+1,G119-F119-F$2-1),",","."))</f>
        <v>0</v>
      </c>
      <c r="Z119" s="3">
        <f>VALUE(SUBSTITUTE(MID($A119,G119+G$2+1,H119-G119-G$2-1),",","."))</f>
        <v>0</v>
      </c>
      <c r="AA119" s="3">
        <f>VALUE(SUBSTITUTE(MID($A119,H119+H$2+1,I119-H119-H$2-1),",","."))</f>
        <v>0</v>
      </c>
      <c r="AB119" s="3">
        <f>VALUE(SUBSTITUTE(MID($A119,I119+I$2+1,J119-I119-I$2-1),",","."))</f>
        <v>0</v>
      </c>
      <c r="AC119" s="3">
        <f>VALUE(SUBSTITUTE(MID($A119,J119+J$2+1,K119-J119-J$2-1),",","."))</f>
        <v>-1.4</v>
      </c>
      <c r="AD119" s="3">
        <f>VALUE(SUBSTITUTE(MID($A119,K119+K$2+1,L119-K119-K$2-1),",","."))</f>
        <v>9.71999999999999</v>
      </c>
      <c r="AE119" s="3">
        <f>VALUE(SUBSTITUTE(MID($A119,L119+L$2+1,M119-L119-L$2-1),",","."))</f>
        <v>0</v>
      </c>
      <c r="AF119" s="3">
        <f>VALUE(SUBSTITUTE(MID($A119,M119+M$2+1,N119-M119-M$2-1),",","."))</f>
        <v>0</v>
      </c>
      <c r="AG119" s="3">
        <f>VALUE(SUBSTITUTE(MID($A119,N119+N$2+1,O119-N119-N$2-1),",","."))</f>
        <v>4.20676905169592</v>
      </c>
      <c r="AH119" t="str">
        <f>MID($A119,O119+O$2+1,P119-O119-O$2-1)</f>
        <v/>
      </c>
      <c r="AI119" s="8" t="str">
        <f>MID($A119,P119+P$2+1,Q119-P119-P$2-1)</f>
        <v>False</v>
      </c>
      <c r="AK119" t="b">
        <f t="shared" si="16"/>
        <v>0</v>
      </c>
    </row>
    <row r="120" spans="1:37" x14ac:dyDescent="0.35">
      <c r="A120" t="s">
        <v>4667</v>
      </c>
      <c r="B120">
        <f t="shared" si="19"/>
        <v>10</v>
      </c>
      <c r="C120">
        <f t="shared" si="18"/>
        <v>43</v>
      </c>
      <c r="D120">
        <f t="shared" si="18"/>
        <v>54</v>
      </c>
      <c r="E120">
        <f t="shared" si="18"/>
        <v>80</v>
      </c>
      <c r="F120">
        <f t="shared" si="18"/>
        <v>124</v>
      </c>
      <c r="G120">
        <f t="shared" si="18"/>
        <v>145</v>
      </c>
      <c r="H120">
        <f t="shared" si="18"/>
        <v>177</v>
      </c>
      <c r="I120">
        <f t="shared" si="18"/>
        <v>199</v>
      </c>
      <c r="J120">
        <f t="shared" si="18"/>
        <v>232</v>
      </c>
      <c r="K120">
        <f t="shared" si="18"/>
        <v>252</v>
      </c>
      <c r="L120">
        <f t="shared" si="18"/>
        <v>270</v>
      </c>
      <c r="M120">
        <f t="shared" si="18"/>
        <v>285</v>
      </c>
      <c r="N120">
        <f t="shared" si="18"/>
        <v>297</v>
      </c>
      <c r="O120">
        <f t="shared" si="18"/>
        <v>322</v>
      </c>
      <c r="P120">
        <f t="shared" si="18"/>
        <v>340</v>
      </c>
      <c r="Q120">
        <f t="shared" si="20"/>
        <v>366</v>
      </c>
      <c r="S120" t="str">
        <f t="shared" ref="S120:S183" si="21">LEFT(U120,10)</f>
        <v>28.11.2025</v>
      </c>
      <c r="T120" t="str">
        <f t="shared" ref="T120:T183" si="22">MID(U120,12,8)</f>
        <v>00:30:00</v>
      </c>
      <c r="U120" t="str">
        <f t="shared" si="15"/>
        <v>28.11.2025 00:30:00</v>
      </c>
      <c r="V120" s="9" t="str">
        <f>MID($A120,C120+C$2+1,D120-C120-C$2-1)</f>
        <v>0</v>
      </c>
      <c r="W120" s="4">
        <f>VALUE(SUBSTITUTE(MID($A120,D120+D$2+1,E120-D120-D$2-1),",","."))</f>
        <v>0</v>
      </c>
      <c r="X120" s="4">
        <f>VALUE(SUBSTITUTE(MID($A120,E120+E$2+1,F120-E120-E$2-1),",","."))</f>
        <v>0.90957602214449496</v>
      </c>
      <c r="Y120" s="4">
        <f>VALUE(SUBSTITUTE(MID($A120,F120+F$2+1,G120-F120-F$2-1),",","."))</f>
        <v>0</v>
      </c>
      <c r="Z120" s="3">
        <f>VALUE(SUBSTITUTE(MID($A120,G120+G$2+1,H120-G120-G$2-1),",","."))</f>
        <v>0</v>
      </c>
      <c r="AA120" s="3">
        <f>VALUE(SUBSTITUTE(MID($A120,H120+H$2+1,I120-H120-H$2-1),",","."))</f>
        <v>0</v>
      </c>
      <c r="AB120" s="3">
        <f>VALUE(SUBSTITUTE(MID($A120,I120+I$2+1,J120-I120-I$2-1),",","."))</f>
        <v>0</v>
      </c>
      <c r="AC120" s="3">
        <f>VALUE(SUBSTITUTE(MID($A120,J120+J$2+1,K120-J120-J$2-1),",","."))</f>
        <v>-1.5</v>
      </c>
      <c r="AD120" s="3">
        <f>VALUE(SUBSTITUTE(MID($A120,K120+K$2+1,L120-K120-K$2-1),",","."))</f>
        <v>9.36</v>
      </c>
      <c r="AE120" s="3">
        <f>VALUE(SUBSTITUTE(MID($A120,L120+L$2+1,M120-L120-L$2-1),",","."))</f>
        <v>0</v>
      </c>
      <c r="AF120" s="3">
        <f>VALUE(SUBSTITUTE(MID($A120,M120+M$2+1,N120-M120-M$2-1),",","."))</f>
        <v>0</v>
      </c>
      <c r="AG120" s="3">
        <f>VALUE(SUBSTITUTE(MID($A120,N120+N$2+1,O120-N120-N$2-1),",","."))</f>
        <v>4.2067975715839996</v>
      </c>
      <c r="AH120" t="str">
        <f>MID($A120,O120+O$2+1,P120-O120-O$2-1)</f>
        <v/>
      </c>
      <c r="AI120" s="8" t="str">
        <f>MID($A120,P120+P$2+1,Q120-P120-P$2-1)</f>
        <v>False</v>
      </c>
      <c r="AK120" t="b">
        <f t="shared" si="16"/>
        <v>0</v>
      </c>
    </row>
    <row r="121" spans="1:37" x14ac:dyDescent="0.35">
      <c r="A121" t="s">
        <v>4668</v>
      </c>
      <c r="B121">
        <f t="shared" si="19"/>
        <v>10</v>
      </c>
      <c r="C121">
        <f t="shared" si="18"/>
        <v>43</v>
      </c>
      <c r="D121">
        <f t="shared" si="18"/>
        <v>54</v>
      </c>
      <c r="E121">
        <f t="shared" si="18"/>
        <v>80</v>
      </c>
      <c r="F121">
        <f t="shared" si="18"/>
        <v>124</v>
      </c>
      <c r="G121">
        <f t="shared" si="18"/>
        <v>145</v>
      </c>
      <c r="H121">
        <f t="shared" si="18"/>
        <v>177</v>
      </c>
      <c r="I121">
        <f t="shared" si="18"/>
        <v>199</v>
      </c>
      <c r="J121">
        <f t="shared" si="18"/>
        <v>232</v>
      </c>
      <c r="K121">
        <f t="shared" si="18"/>
        <v>252</v>
      </c>
      <c r="L121">
        <f t="shared" si="18"/>
        <v>270</v>
      </c>
      <c r="M121">
        <f t="shared" si="18"/>
        <v>285</v>
      </c>
      <c r="N121">
        <f t="shared" si="18"/>
        <v>297</v>
      </c>
      <c r="O121">
        <f t="shared" si="18"/>
        <v>322</v>
      </c>
      <c r="P121">
        <f t="shared" si="18"/>
        <v>340</v>
      </c>
      <c r="Q121">
        <f t="shared" si="20"/>
        <v>366</v>
      </c>
      <c r="S121" t="str">
        <f t="shared" si="21"/>
        <v>28.11.2025</v>
      </c>
      <c r="T121" t="str">
        <f t="shared" si="22"/>
        <v>00:45:00</v>
      </c>
      <c r="U121" t="str">
        <f t="shared" si="15"/>
        <v>28.11.2025 00:45:00</v>
      </c>
      <c r="V121" s="9" t="str">
        <f>MID($A121,C121+C$2+1,D121-C121-C$2-1)</f>
        <v>0</v>
      </c>
      <c r="W121" s="4">
        <f>VALUE(SUBSTITUTE(MID($A121,D121+D$2+1,E121-D121-D$2-1),",","."))</f>
        <v>0</v>
      </c>
      <c r="X121" s="4">
        <f>VALUE(SUBSTITUTE(MID($A121,E121+E$2+1,F121-E121-E$2-1),",","."))</f>
        <v>0.90957602214449496</v>
      </c>
      <c r="Y121" s="4">
        <f>VALUE(SUBSTITUTE(MID($A121,F121+F$2+1,G121-F121-F$2-1),",","."))</f>
        <v>0</v>
      </c>
      <c r="Z121" s="3">
        <f>VALUE(SUBSTITUTE(MID($A121,G121+G$2+1,H121-G121-G$2-1),",","."))</f>
        <v>0</v>
      </c>
      <c r="AA121" s="3">
        <f>VALUE(SUBSTITUTE(MID($A121,H121+H$2+1,I121-H121-H$2-1),",","."))</f>
        <v>0</v>
      </c>
      <c r="AB121" s="3">
        <f>VALUE(SUBSTITUTE(MID($A121,I121+I$2+1,J121-I121-I$2-1),",","."))</f>
        <v>0</v>
      </c>
      <c r="AC121" s="3">
        <f>VALUE(SUBSTITUTE(MID($A121,J121+J$2+1,K121-J121-J$2-1),",","."))</f>
        <v>-1.6</v>
      </c>
      <c r="AD121" s="3">
        <f>VALUE(SUBSTITUTE(MID($A121,K121+K$2+1,L121-K121-K$2-1),",","."))</f>
        <v>7.92</v>
      </c>
      <c r="AE121" s="3">
        <f>VALUE(SUBSTITUTE(MID($A121,L121+L$2+1,M121-L121-L$2-1),",","."))</f>
        <v>0</v>
      </c>
      <c r="AF121" s="3">
        <f>VALUE(SUBSTITUTE(MID($A121,M121+M$2+1,N121-M121-M$2-1),",","."))</f>
        <v>0</v>
      </c>
      <c r="AG121" s="3">
        <f>VALUE(SUBSTITUTE(MID($A121,N121+N$2+1,O121-N121-N$2-1),",","."))</f>
        <v>4.2068260914720801</v>
      </c>
      <c r="AH121" t="str">
        <f>MID($A121,O121+O$2+1,P121-O121-O$2-1)</f>
        <v/>
      </c>
      <c r="AI121" s="8" t="str">
        <f>MID($A121,P121+P$2+1,Q121-P121-P$2-1)</f>
        <v>False</v>
      </c>
      <c r="AK121" t="b">
        <f t="shared" si="16"/>
        <v>0</v>
      </c>
    </row>
    <row r="122" spans="1:37" x14ac:dyDescent="0.35">
      <c r="A122" t="s">
        <v>4669</v>
      </c>
      <c r="B122">
        <f t="shared" si="19"/>
        <v>10</v>
      </c>
      <c r="C122">
        <f t="shared" si="18"/>
        <v>43</v>
      </c>
      <c r="D122">
        <f t="shared" si="18"/>
        <v>54</v>
      </c>
      <c r="E122">
        <f t="shared" si="18"/>
        <v>80</v>
      </c>
      <c r="F122">
        <f t="shared" si="18"/>
        <v>124</v>
      </c>
      <c r="G122">
        <f t="shared" si="18"/>
        <v>145</v>
      </c>
      <c r="H122">
        <f t="shared" si="18"/>
        <v>177</v>
      </c>
      <c r="I122">
        <f t="shared" si="18"/>
        <v>199</v>
      </c>
      <c r="J122">
        <f t="shared" si="18"/>
        <v>232</v>
      </c>
      <c r="K122">
        <f t="shared" si="18"/>
        <v>253</v>
      </c>
      <c r="L122">
        <f t="shared" si="18"/>
        <v>271</v>
      </c>
      <c r="M122">
        <f t="shared" si="18"/>
        <v>286</v>
      </c>
      <c r="N122">
        <f t="shared" si="18"/>
        <v>298</v>
      </c>
      <c r="O122">
        <f t="shared" si="18"/>
        <v>324</v>
      </c>
      <c r="P122">
        <f t="shared" si="18"/>
        <v>342</v>
      </c>
      <c r="Q122">
        <f t="shared" si="20"/>
        <v>368</v>
      </c>
      <c r="S122" t="str">
        <f t="shared" si="21"/>
        <v>28.11.2025</v>
      </c>
      <c r="T122" t="str">
        <f t="shared" si="22"/>
        <v>01:00:00</v>
      </c>
      <c r="U122" t="str">
        <f t="shared" si="15"/>
        <v>28.11.2025 01:00:00</v>
      </c>
      <c r="V122" s="9" t="str">
        <f>MID($A122,C122+C$2+1,D122-C122-C$2-1)</f>
        <v>0</v>
      </c>
      <c r="W122" s="4">
        <f>VALUE(SUBSTITUTE(MID($A122,D122+D$2+1,E122-D122-D$2-1),",","."))</f>
        <v>0</v>
      </c>
      <c r="X122" s="4">
        <f>VALUE(SUBSTITUTE(MID($A122,E122+E$2+1,F122-E122-E$2-1),",","."))</f>
        <v>0.90957602214449496</v>
      </c>
      <c r="Y122" s="4">
        <f>VALUE(SUBSTITUTE(MID($A122,F122+F$2+1,G122-F122-F$2-1),",","."))</f>
        <v>0</v>
      </c>
      <c r="Z122" s="3">
        <f>VALUE(SUBSTITUTE(MID($A122,G122+G$2+1,H122-G122-G$2-1),",","."))</f>
        <v>0</v>
      </c>
      <c r="AA122" s="3">
        <f>VALUE(SUBSTITUTE(MID($A122,H122+H$2+1,I122-H122-H$2-1),",","."))</f>
        <v>0</v>
      </c>
      <c r="AB122" s="3">
        <f>VALUE(SUBSTITUTE(MID($A122,I122+I$2+1,J122-I122-I$2-1),",","."))</f>
        <v>0</v>
      </c>
      <c r="AC122" s="3">
        <f>VALUE(SUBSTITUTE(MID($A122,J122+J$2+1,K122-J122-J$2-1),",","."))</f>
        <v>-1.65</v>
      </c>
      <c r="AD122" s="3">
        <f>VALUE(SUBSTITUTE(MID($A122,K122+K$2+1,L122-K122-K$2-1),",","."))</f>
        <v>6.84</v>
      </c>
      <c r="AE122" s="3">
        <f>VALUE(SUBSTITUTE(MID($A122,L122+L$2+1,M122-L122-L$2-1),",","."))</f>
        <v>0</v>
      </c>
      <c r="AF122" s="3">
        <f>VALUE(SUBSTITUTE(MID($A122,M122+M$2+1,N122-M122-M$2-1),",","."))</f>
        <v>0</v>
      </c>
      <c r="AG122" s="3">
        <f>VALUE(SUBSTITUTE(MID($A122,N122+N$2+1,O122-N122-N$2-1),",","."))</f>
        <v>4.2068546113601597</v>
      </c>
      <c r="AH122" t="str">
        <f>MID($A122,O122+O$2+1,P122-O122-O$2-1)</f>
        <v/>
      </c>
      <c r="AI122" s="8" t="str">
        <f>MID($A122,P122+P$2+1,Q122-P122-P$2-1)</f>
        <v>False</v>
      </c>
      <c r="AK122" t="b">
        <f t="shared" si="16"/>
        <v>0</v>
      </c>
    </row>
    <row r="123" spans="1:37" x14ac:dyDescent="0.35">
      <c r="A123" t="s">
        <v>4670</v>
      </c>
      <c r="B123">
        <f t="shared" si="19"/>
        <v>10</v>
      </c>
      <c r="C123">
        <f t="shared" si="18"/>
        <v>43</v>
      </c>
      <c r="D123">
        <f t="shared" si="18"/>
        <v>54</v>
      </c>
      <c r="E123">
        <f t="shared" si="18"/>
        <v>80</v>
      </c>
      <c r="F123">
        <f t="shared" si="18"/>
        <v>124</v>
      </c>
      <c r="G123">
        <f t="shared" si="18"/>
        <v>145</v>
      </c>
      <c r="H123">
        <f t="shared" si="18"/>
        <v>177</v>
      </c>
      <c r="I123">
        <f t="shared" si="18"/>
        <v>199</v>
      </c>
      <c r="J123">
        <f t="shared" si="18"/>
        <v>232</v>
      </c>
      <c r="K123">
        <f t="shared" si="18"/>
        <v>253</v>
      </c>
      <c r="L123">
        <f t="shared" si="18"/>
        <v>284</v>
      </c>
      <c r="M123">
        <f t="shared" si="18"/>
        <v>299</v>
      </c>
      <c r="N123">
        <f t="shared" si="18"/>
        <v>311</v>
      </c>
      <c r="O123">
        <f t="shared" si="18"/>
        <v>336</v>
      </c>
      <c r="P123">
        <f t="shared" si="18"/>
        <v>354</v>
      </c>
      <c r="Q123">
        <f t="shared" si="20"/>
        <v>380</v>
      </c>
      <c r="S123" t="str">
        <f t="shared" si="21"/>
        <v>28.11.2025</v>
      </c>
      <c r="T123" t="str">
        <f t="shared" si="22"/>
        <v>01:15:00</v>
      </c>
      <c r="U123" t="str">
        <f t="shared" si="15"/>
        <v>28.11.2025 01:15:00</v>
      </c>
      <c r="V123" s="9" t="str">
        <f>MID($A123,C123+C$2+1,D123-C123-C$2-1)</f>
        <v>0</v>
      </c>
      <c r="W123" s="4">
        <f>VALUE(SUBSTITUTE(MID($A123,D123+D$2+1,E123-D123-D$2-1),",","."))</f>
        <v>0</v>
      </c>
      <c r="X123" s="4">
        <f>VALUE(SUBSTITUTE(MID($A123,E123+E$2+1,F123-E123-E$2-1),",","."))</f>
        <v>0.90957602214449496</v>
      </c>
      <c r="Y123" s="4">
        <f>VALUE(SUBSTITUTE(MID($A123,F123+F$2+1,G123-F123-F$2-1),",","."))</f>
        <v>0</v>
      </c>
      <c r="Z123" s="3">
        <f>VALUE(SUBSTITUTE(MID($A123,G123+G$2+1,H123-G123-G$2-1),",","."))</f>
        <v>0</v>
      </c>
      <c r="AA123" s="3">
        <f>VALUE(SUBSTITUTE(MID($A123,H123+H$2+1,I123-H123-H$2-1),",","."))</f>
        <v>0</v>
      </c>
      <c r="AB123" s="3">
        <f>VALUE(SUBSTITUTE(MID($A123,I123+I$2+1,J123-I123-I$2-1),",","."))</f>
        <v>0</v>
      </c>
      <c r="AC123" s="3">
        <f>VALUE(SUBSTITUTE(MID($A123,J123+J$2+1,K123-J123-J$2-1),",","."))</f>
        <v>-1.75</v>
      </c>
      <c r="AD123" s="3">
        <f>VALUE(SUBSTITUTE(MID($A123,K123+K$2+1,L123-K123-K$2-1),",","."))</f>
        <v>5.22</v>
      </c>
      <c r="AE123" s="3">
        <f>VALUE(SUBSTITUTE(MID($A123,L123+L$2+1,M123-L123-L$2-1),",","."))</f>
        <v>0</v>
      </c>
      <c r="AF123" s="3">
        <f>VALUE(SUBSTITUTE(MID($A123,M123+M$2+1,N123-M123-M$2-1),",","."))</f>
        <v>0</v>
      </c>
      <c r="AG123" s="3">
        <f>VALUE(SUBSTITUTE(MID($A123,N123+N$2+1,O123-N123-N$2-1),",","."))</f>
        <v>4.20688313124825</v>
      </c>
      <c r="AH123" t="str">
        <f>MID($A123,O123+O$2+1,P123-O123-O$2-1)</f>
        <v/>
      </c>
      <c r="AI123" s="8" t="str">
        <f>MID($A123,P123+P$2+1,Q123-P123-P$2-1)</f>
        <v>False</v>
      </c>
      <c r="AK123" t="b">
        <f t="shared" si="16"/>
        <v>0</v>
      </c>
    </row>
    <row r="124" spans="1:37" x14ac:dyDescent="0.35">
      <c r="A124" t="s">
        <v>4671</v>
      </c>
      <c r="B124">
        <f t="shared" si="19"/>
        <v>10</v>
      </c>
      <c r="C124">
        <f t="shared" si="18"/>
        <v>43</v>
      </c>
      <c r="D124">
        <f t="shared" si="18"/>
        <v>54</v>
      </c>
      <c r="E124">
        <f t="shared" si="18"/>
        <v>80</v>
      </c>
      <c r="F124">
        <f t="shared" si="18"/>
        <v>124</v>
      </c>
      <c r="G124">
        <f t="shared" si="18"/>
        <v>145</v>
      </c>
      <c r="H124">
        <f t="shared" si="18"/>
        <v>177</v>
      </c>
      <c r="I124">
        <f t="shared" si="18"/>
        <v>199</v>
      </c>
      <c r="J124">
        <f t="shared" si="18"/>
        <v>232</v>
      </c>
      <c r="K124">
        <f t="shared" si="18"/>
        <v>267</v>
      </c>
      <c r="L124">
        <f t="shared" si="18"/>
        <v>299</v>
      </c>
      <c r="M124">
        <f t="shared" si="18"/>
        <v>314</v>
      </c>
      <c r="N124">
        <f t="shared" si="18"/>
        <v>326</v>
      </c>
      <c r="O124">
        <f t="shared" si="18"/>
        <v>351</v>
      </c>
      <c r="P124">
        <f t="shared" si="18"/>
        <v>369</v>
      </c>
      <c r="Q124">
        <f t="shared" si="20"/>
        <v>395</v>
      </c>
      <c r="S124" t="str">
        <f t="shared" si="21"/>
        <v>28.11.2025</v>
      </c>
      <c r="T124" t="str">
        <f t="shared" si="22"/>
        <v>01:30:00</v>
      </c>
      <c r="U124" t="str">
        <f t="shared" si="15"/>
        <v>28.11.2025 01:30:00</v>
      </c>
      <c r="V124" s="9" t="str">
        <f>MID($A124,C124+C$2+1,D124-C124-C$2-1)</f>
        <v>0</v>
      </c>
      <c r="W124" s="4">
        <f>VALUE(SUBSTITUTE(MID($A124,D124+D$2+1,E124-D124-D$2-1),",","."))</f>
        <v>0</v>
      </c>
      <c r="X124" s="4">
        <f>VALUE(SUBSTITUTE(MID($A124,E124+E$2+1,F124-E124-E$2-1),",","."))</f>
        <v>0.90957602214449496</v>
      </c>
      <c r="Y124" s="4">
        <f>VALUE(SUBSTITUTE(MID($A124,F124+F$2+1,G124-F124-F$2-1),",","."))</f>
        <v>0</v>
      </c>
      <c r="Z124" s="3">
        <f>VALUE(SUBSTITUTE(MID($A124,G124+G$2+1,H124-G124-G$2-1),",","."))</f>
        <v>0</v>
      </c>
      <c r="AA124" s="3">
        <f>VALUE(SUBSTITUTE(MID($A124,H124+H$2+1,I124-H124-H$2-1),",","."))</f>
        <v>0</v>
      </c>
      <c r="AB124" s="3">
        <f>VALUE(SUBSTITUTE(MID($A124,I124+I$2+1,J124-I124-I$2-1),",","."))</f>
        <v>0</v>
      </c>
      <c r="AC124" s="3">
        <f>VALUE(SUBSTITUTE(MID($A124,J124+J$2+1,K124-J124-J$2-1),",","."))</f>
        <v>-1.7999999999999901</v>
      </c>
      <c r="AD124" s="3">
        <f>VALUE(SUBSTITUTE(MID($A124,K124+K$2+1,L124-K124-K$2-1),",","."))</f>
        <v>3.78</v>
      </c>
      <c r="AE124" s="3">
        <f>VALUE(SUBSTITUTE(MID($A124,L124+L$2+1,M124-L124-L$2-1),",","."))</f>
        <v>0</v>
      </c>
      <c r="AF124" s="3">
        <f>VALUE(SUBSTITUTE(MID($A124,M124+M$2+1,N124-M124-M$2-1),",","."))</f>
        <v>0</v>
      </c>
      <c r="AG124" s="3">
        <f>VALUE(SUBSTITUTE(MID($A124,N124+N$2+1,O124-N124-N$2-1),",","."))</f>
        <v>4.2069116511363296</v>
      </c>
      <c r="AH124" t="str">
        <f>MID($A124,O124+O$2+1,P124-O124-O$2-1)</f>
        <v/>
      </c>
      <c r="AI124" s="8" t="str">
        <f>MID($A124,P124+P$2+1,Q124-P124-P$2-1)</f>
        <v>False</v>
      </c>
      <c r="AK124" t="b">
        <f t="shared" si="16"/>
        <v>0</v>
      </c>
    </row>
    <row r="125" spans="1:37" x14ac:dyDescent="0.35">
      <c r="A125" t="s">
        <v>4672</v>
      </c>
      <c r="B125">
        <f t="shared" si="19"/>
        <v>10</v>
      </c>
      <c r="C125">
        <f t="shared" si="18"/>
        <v>43</v>
      </c>
      <c r="D125">
        <f t="shared" si="18"/>
        <v>54</v>
      </c>
      <c r="E125">
        <f t="shared" si="18"/>
        <v>80</v>
      </c>
      <c r="F125">
        <f t="shared" si="18"/>
        <v>124</v>
      </c>
      <c r="G125">
        <f t="shared" si="18"/>
        <v>145</v>
      </c>
      <c r="H125">
        <f t="shared" si="18"/>
        <v>177</v>
      </c>
      <c r="I125">
        <f t="shared" si="18"/>
        <v>199</v>
      </c>
      <c r="J125">
        <f t="shared" si="18"/>
        <v>232</v>
      </c>
      <c r="K125">
        <f t="shared" si="18"/>
        <v>267</v>
      </c>
      <c r="L125">
        <f t="shared" si="18"/>
        <v>285</v>
      </c>
      <c r="M125">
        <f t="shared" si="18"/>
        <v>300</v>
      </c>
      <c r="N125">
        <f t="shared" si="18"/>
        <v>312</v>
      </c>
      <c r="O125">
        <f t="shared" si="18"/>
        <v>337</v>
      </c>
      <c r="P125">
        <f t="shared" si="18"/>
        <v>355</v>
      </c>
      <c r="Q125">
        <f t="shared" si="20"/>
        <v>381</v>
      </c>
      <c r="S125" t="str">
        <f t="shared" si="21"/>
        <v>28.11.2025</v>
      </c>
      <c r="T125" t="str">
        <f t="shared" si="22"/>
        <v>01:45:00</v>
      </c>
      <c r="U125" t="str">
        <f t="shared" si="15"/>
        <v>28.11.2025 01:45:00</v>
      </c>
      <c r="V125" s="9" t="str">
        <f>MID($A125,C125+C$2+1,D125-C125-C$2-1)</f>
        <v>0</v>
      </c>
      <c r="W125" s="4">
        <f>VALUE(SUBSTITUTE(MID($A125,D125+D$2+1,E125-D125-D$2-1),",","."))</f>
        <v>0</v>
      </c>
      <c r="X125" s="4">
        <f>VALUE(SUBSTITUTE(MID($A125,E125+E$2+1,F125-E125-E$2-1),",","."))</f>
        <v>0.90957602214449496</v>
      </c>
      <c r="Y125" s="4">
        <f>VALUE(SUBSTITUTE(MID($A125,F125+F$2+1,G125-F125-F$2-1),",","."))</f>
        <v>0</v>
      </c>
      <c r="Z125" s="3">
        <f>VALUE(SUBSTITUTE(MID($A125,G125+G$2+1,H125-G125-G$2-1),",","."))</f>
        <v>0</v>
      </c>
      <c r="AA125" s="3">
        <f>VALUE(SUBSTITUTE(MID($A125,H125+H$2+1,I125-H125-H$2-1),",","."))</f>
        <v>0</v>
      </c>
      <c r="AB125" s="3">
        <f>VALUE(SUBSTITUTE(MID($A125,I125+I$2+1,J125-I125-I$2-1),",","."))</f>
        <v>0</v>
      </c>
      <c r="AC125" s="3">
        <f>VALUE(SUBSTITUTE(MID($A125,J125+J$2+1,K125-J125-J$2-1),",","."))</f>
        <v>-1.8499999999999901</v>
      </c>
      <c r="AD125" s="3">
        <f>VALUE(SUBSTITUTE(MID($A125,K125+K$2+1,L125-K125-K$2-1),",","."))</f>
        <v>2.16</v>
      </c>
      <c r="AE125" s="3">
        <f>VALUE(SUBSTITUTE(MID($A125,L125+L$2+1,M125-L125-L$2-1),",","."))</f>
        <v>0</v>
      </c>
      <c r="AF125" s="3">
        <f>VALUE(SUBSTITUTE(MID($A125,M125+M$2+1,N125-M125-M$2-1),",","."))</f>
        <v>0</v>
      </c>
      <c r="AG125" s="3">
        <f>VALUE(SUBSTITUTE(MID($A125,N125+N$2+1,O125-N125-N$2-1),",","."))</f>
        <v>4.2069401710244101</v>
      </c>
      <c r="AH125" t="str">
        <f>MID($A125,O125+O$2+1,P125-O125-O$2-1)</f>
        <v/>
      </c>
      <c r="AI125" s="8" t="str">
        <f>MID($A125,P125+P$2+1,Q125-P125-P$2-1)</f>
        <v>False</v>
      </c>
      <c r="AK125" t="b">
        <f t="shared" si="16"/>
        <v>0</v>
      </c>
    </row>
    <row r="126" spans="1:37" x14ac:dyDescent="0.35">
      <c r="A126" t="s">
        <v>4673</v>
      </c>
      <c r="B126">
        <f t="shared" si="19"/>
        <v>10</v>
      </c>
      <c r="C126">
        <f t="shared" si="18"/>
        <v>43</v>
      </c>
      <c r="D126">
        <f t="shared" si="18"/>
        <v>54</v>
      </c>
      <c r="E126">
        <f t="shared" si="18"/>
        <v>80</v>
      </c>
      <c r="F126">
        <f t="shared" si="18"/>
        <v>124</v>
      </c>
      <c r="G126">
        <f t="shared" si="18"/>
        <v>145</v>
      </c>
      <c r="H126">
        <f t="shared" si="18"/>
        <v>177</v>
      </c>
      <c r="I126">
        <f t="shared" si="18"/>
        <v>199</v>
      </c>
      <c r="J126">
        <f t="shared" si="18"/>
        <v>232</v>
      </c>
      <c r="K126">
        <f t="shared" si="18"/>
        <v>252</v>
      </c>
      <c r="L126">
        <f t="shared" si="18"/>
        <v>270</v>
      </c>
      <c r="M126">
        <f t="shared" si="18"/>
        <v>285</v>
      </c>
      <c r="N126">
        <f t="shared" si="18"/>
        <v>297</v>
      </c>
      <c r="O126">
        <f t="shared" si="18"/>
        <v>322</v>
      </c>
      <c r="P126">
        <f t="shared" si="18"/>
        <v>340</v>
      </c>
      <c r="Q126">
        <f t="shared" si="20"/>
        <v>366</v>
      </c>
      <c r="S126" t="str">
        <f t="shared" si="21"/>
        <v>28.11.2025</v>
      </c>
      <c r="T126" t="str">
        <f t="shared" si="22"/>
        <v>02:00:00</v>
      </c>
      <c r="U126" t="str">
        <f t="shared" si="15"/>
        <v>28.11.2025 02:00:00</v>
      </c>
      <c r="V126" s="9" t="str">
        <f>MID($A126,C126+C$2+1,D126-C126-C$2-1)</f>
        <v>0</v>
      </c>
      <c r="W126" s="4">
        <f>VALUE(SUBSTITUTE(MID($A126,D126+D$2+1,E126-D126-D$2-1),",","."))</f>
        <v>0</v>
      </c>
      <c r="X126" s="4">
        <f>VALUE(SUBSTITUTE(MID($A126,E126+E$2+1,F126-E126-E$2-1),",","."))</f>
        <v>0.90957602214449496</v>
      </c>
      <c r="Y126" s="4">
        <f>VALUE(SUBSTITUTE(MID($A126,F126+F$2+1,G126-F126-F$2-1),",","."))</f>
        <v>0</v>
      </c>
      <c r="Z126" s="3">
        <f>VALUE(SUBSTITUTE(MID($A126,G126+G$2+1,H126-G126-G$2-1),",","."))</f>
        <v>0</v>
      </c>
      <c r="AA126" s="3">
        <f>VALUE(SUBSTITUTE(MID($A126,H126+H$2+1,I126-H126-H$2-1),",","."))</f>
        <v>0</v>
      </c>
      <c r="AB126" s="3">
        <f>VALUE(SUBSTITUTE(MID($A126,I126+I$2+1,J126-I126-I$2-1),",","."))</f>
        <v>0</v>
      </c>
      <c r="AC126" s="3">
        <f>VALUE(SUBSTITUTE(MID($A126,J126+J$2+1,K126-J126-J$2-1),",","."))</f>
        <v>-1.9</v>
      </c>
      <c r="AD126" s="3">
        <f>VALUE(SUBSTITUTE(MID($A126,K126+K$2+1,L126-K126-K$2-1),",","."))</f>
        <v>1.26</v>
      </c>
      <c r="AE126" s="3">
        <f>VALUE(SUBSTITUTE(MID($A126,L126+L$2+1,M126-L126-L$2-1),",","."))</f>
        <v>0</v>
      </c>
      <c r="AF126" s="3">
        <f>VALUE(SUBSTITUTE(MID($A126,M126+M$2+1,N126-M126-M$2-1),",","."))</f>
        <v>0</v>
      </c>
      <c r="AG126" s="3">
        <f>VALUE(SUBSTITUTE(MID($A126,N126+N$2+1,O126-N126-N$2-1),",","."))</f>
        <v>4.2069686909124897</v>
      </c>
      <c r="AH126" t="str">
        <f>MID($A126,O126+O$2+1,P126-O126-O$2-1)</f>
        <v/>
      </c>
      <c r="AI126" s="8" t="str">
        <f>MID($A126,P126+P$2+1,Q126-P126-P$2-1)</f>
        <v>False</v>
      </c>
      <c r="AK126" t="b">
        <f t="shared" si="16"/>
        <v>0</v>
      </c>
    </row>
    <row r="127" spans="1:37" x14ac:dyDescent="0.35">
      <c r="A127" t="s">
        <v>4674</v>
      </c>
      <c r="B127">
        <f t="shared" si="19"/>
        <v>10</v>
      </c>
      <c r="C127">
        <f t="shared" si="18"/>
        <v>43</v>
      </c>
      <c r="D127">
        <f t="shared" si="18"/>
        <v>54</v>
      </c>
      <c r="E127">
        <f t="shared" si="18"/>
        <v>80</v>
      </c>
      <c r="F127">
        <f t="shared" si="18"/>
        <v>124</v>
      </c>
      <c r="G127">
        <f t="shared" si="18"/>
        <v>145</v>
      </c>
      <c r="H127">
        <f t="shared" si="18"/>
        <v>177</v>
      </c>
      <c r="I127">
        <f t="shared" si="18"/>
        <v>199</v>
      </c>
      <c r="J127">
        <f t="shared" si="18"/>
        <v>232</v>
      </c>
      <c r="K127">
        <f t="shared" si="18"/>
        <v>250</v>
      </c>
      <c r="L127">
        <f t="shared" si="18"/>
        <v>268</v>
      </c>
      <c r="M127">
        <f t="shared" si="18"/>
        <v>283</v>
      </c>
      <c r="N127">
        <f t="shared" si="18"/>
        <v>295</v>
      </c>
      <c r="O127">
        <f t="shared" si="18"/>
        <v>320</v>
      </c>
      <c r="P127">
        <f t="shared" si="18"/>
        <v>338</v>
      </c>
      <c r="Q127">
        <f t="shared" si="20"/>
        <v>364</v>
      </c>
      <c r="S127" t="str">
        <f t="shared" si="21"/>
        <v>28.11.2025</v>
      </c>
      <c r="T127" t="str">
        <f t="shared" si="22"/>
        <v>02:15:00</v>
      </c>
      <c r="U127" t="str">
        <f t="shared" si="15"/>
        <v>28.11.2025 02:15:00</v>
      </c>
      <c r="V127" s="9" t="str">
        <f>MID($A127,C127+C$2+1,D127-C127-C$2-1)</f>
        <v>0</v>
      </c>
      <c r="W127" s="4">
        <f>VALUE(SUBSTITUTE(MID($A127,D127+D$2+1,E127-D127-D$2-1),",","."))</f>
        <v>0</v>
      </c>
      <c r="X127" s="4">
        <f>VALUE(SUBSTITUTE(MID($A127,E127+E$2+1,F127-E127-E$2-1),",","."))</f>
        <v>0.90957602214449496</v>
      </c>
      <c r="Y127" s="4">
        <f>VALUE(SUBSTITUTE(MID($A127,F127+F$2+1,G127-F127-F$2-1),",","."))</f>
        <v>0</v>
      </c>
      <c r="Z127" s="3">
        <f>VALUE(SUBSTITUTE(MID($A127,G127+G$2+1,H127-G127-G$2-1),",","."))</f>
        <v>0</v>
      </c>
      <c r="AA127" s="3">
        <f>VALUE(SUBSTITUTE(MID($A127,H127+H$2+1,I127-H127-H$2-1),",","."))</f>
        <v>0</v>
      </c>
      <c r="AB127" s="3">
        <f>VALUE(SUBSTITUTE(MID($A127,I127+I$2+1,J127-I127-I$2-1),",","."))</f>
        <v>0</v>
      </c>
      <c r="AC127" s="3">
        <f>VALUE(SUBSTITUTE(MID($A127,J127+J$2+1,K127-J127-J$2-1),",","."))</f>
        <v>-2</v>
      </c>
      <c r="AD127" s="3">
        <f>VALUE(SUBSTITUTE(MID($A127,K127+K$2+1,L127-K127-K$2-1),",","."))</f>
        <v>2.16</v>
      </c>
      <c r="AE127" s="3">
        <f>VALUE(SUBSTITUTE(MID($A127,L127+L$2+1,M127-L127-L$2-1),",","."))</f>
        <v>0</v>
      </c>
      <c r="AF127" s="3">
        <f>VALUE(SUBSTITUTE(MID($A127,M127+M$2+1,N127-M127-M$2-1),",","."))</f>
        <v>0</v>
      </c>
      <c r="AG127" s="3">
        <f>VALUE(SUBSTITUTE(MID($A127,N127+N$2+1,O127-N127-N$2-1),",","."))</f>
        <v>4.2069972108005702</v>
      </c>
      <c r="AH127" t="str">
        <f>MID($A127,O127+O$2+1,P127-O127-O$2-1)</f>
        <v/>
      </c>
      <c r="AI127" s="8" t="str">
        <f>MID($A127,P127+P$2+1,Q127-P127-P$2-1)</f>
        <v>False</v>
      </c>
      <c r="AK127" t="b">
        <f t="shared" si="16"/>
        <v>0</v>
      </c>
    </row>
    <row r="128" spans="1:37" x14ac:dyDescent="0.35">
      <c r="A128" t="s">
        <v>4675</v>
      </c>
      <c r="B128">
        <f t="shared" si="19"/>
        <v>10</v>
      </c>
      <c r="C128">
        <f t="shared" si="18"/>
        <v>43</v>
      </c>
      <c r="D128">
        <f t="shared" si="18"/>
        <v>54</v>
      </c>
      <c r="E128">
        <f t="shared" si="18"/>
        <v>80</v>
      </c>
      <c r="F128">
        <f t="shared" si="18"/>
        <v>124</v>
      </c>
      <c r="G128">
        <f t="shared" si="18"/>
        <v>145</v>
      </c>
      <c r="H128">
        <f t="shared" si="18"/>
        <v>177</v>
      </c>
      <c r="I128">
        <f t="shared" si="18"/>
        <v>199</v>
      </c>
      <c r="J128">
        <f t="shared" si="18"/>
        <v>232</v>
      </c>
      <c r="K128">
        <f t="shared" si="18"/>
        <v>250</v>
      </c>
      <c r="L128">
        <f t="shared" si="18"/>
        <v>268</v>
      </c>
      <c r="M128">
        <f t="shared" si="18"/>
        <v>283</v>
      </c>
      <c r="N128">
        <f t="shared" si="18"/>
        <v>295</v>
      </c>
      <c r="O128">
        <f t="shared" si="18"/>
        <v>320</v>
      </c>
      <c r="P128">
        <f t="shared" si="18"/>
        <v>338</v>
      </c>
      <c r="Q128">
        <f t="shared" si="20"/>
        <v>364</v>
      </c>
      <c r="S128" t="str">
        <f t="shared" si="21"/>
        <v>28.11.2025</v>
      </c>
      <c r="T128" t="str">
        <f t="shared" si="22"/>
        <v>02:30:00</v>
      </c>
      <c r="U128" t="str">
        <f t="shared" si="15"/>
        <v>28.11.2025 02:30:00</v>
      </c>
      <c r="V128" s="9" t="str">
        <f>MID($A128,C128+C$2+1,D128-C128-C$2-1)</f>
        <v>0</v>
      </c>
      <c r="W128" s="4">
        <f>VALUE(SUBSTITUTE(MID($A128,D128+D$2+1,E128-D128-D$2-1),",","."))</f>
        <v>0</v>
      </c>
      <c r="X128" s="4">
        <f>VALUE(SUBSTITUTE(MID($A128,E128+E$2+1,F128-E128-E$2-1),",","."))</f>
        <v>0.90957602214449496</v>
      </c>
      <c r="Y128" s="4">
        <f>VALUE(SUBSTITUTE(MID($A128,F128+F$2+1,G128-F128-F$2-1),",","."))</f>
        <v>0</v>
      </c>
      <c r="Z128" s="3">
        <f>VALUE(SUBSTITUTE(MID($A128,G128+G$2+1,H128-G128-G$2-1),",","."))</f>
        <v>0</v>
      </c>
      <c r="AA128" s="3">
        <f>VALUE(SUBSTITUTE(MID($A128,H128+H$2+1,I128-H128-H$2-1),",","."))</f>
        <v>0</v>
      </c>
      <c r="AB128" s="3">
        <f>VALUE(SUBSTITUTE(MID($A128,I128+I$2+1,J128-I128-I$2-1),",","."))</f>
        <v>0</v>
      </c>
      <c r="AC128" s="3">
        <f>VALUE(SUBSTITUTE(MID($A128,J128+J$2+1,K128-J128-J$2-1),",","."))</f>
        <v>-2</v>
      </c>
      <c r="AD128" s="3">
        <f>VALUE(SUBSTITUTE(MID($A128,K128+K$2+1,L128-K128-K$2-1),",","."))</f>
        <v>2.16</v>
      </c>
      <c r="AE128" s="3">
        <f>VALUE(SUBSTITUTE(MID($A128,L128+L$2+1,M128-L128-L$2-1),",","."))</f>
        <v>0</v>
      </c>
      <c r="AF128" s="3">
        <f>VALUE(SUBSTITUTE(MID($A128,M128+M$2+1,N128-M128-M$2-1),",","."))</f>
        <v>0</v>
      </c>
      <c r="AG128" s="3">
        <f>VALUE(SUBSTITUTE(MID($A128,N128+N$2+1,O128-N128-N$2-1),",","."))</f>
        <v>4.2070257306886498</v>
      </c>
      <c r="AH128" t="str">
        <f>MID($A128,O128+O$2+1,P128-O128-O$2-1)</f>
        <v/>
      </c>
      <c r="AI128" s="8" t="str">
        <f>MID($A128,P128+P$2+1,Q128-P128-P$2-1)</f>
        <v>False</v>
      </c>
      <c r="AK128" t="b">
        <f t="shared" si="16"/>
        <v>0</v>
      </c>
    </row>
    <row r="129" spans="1:37" x14ac:dyDescent="0.35">
      <c r="A129" t="s">
        <v>4676</v>
      </c>
      <c r="B129">
        <f t="shared" si="19"/>
        <v>10</v>
      </c>
      <c r="C129">
        <f t="shared" si="18"/>
        <v>43</v>
      </c>
      <c r="D129">
        <f t="shared" si="18"/>
        <v>54</v>
      </c>
      <c r="E129">
        <f t="shared" si="18"/>
        <v>80</v>
      </c>
      <c r="F129">
        <f t="shared" si="18"/>
        <v>124</v>
      </c>
      <c r="G129">
        <f t="shared" si="18"/>
        <v>145</v>
      </c>
      <c r="H129">
        <f t="shared" si="18"/>
        <v>177</v>
      </c>
      <c r="I129">
        <f t="shared" si="18"/>
        <v>199</v>
      </c>
      <c r="J129">
        <f t="shared" si="18"/>
        <v>232</v>
      </c>
      <c r="K129">
        <f t="shared" si="18"/>
        <v>250</v>
      </c>
      <c r="L129">
        <f t="shared" si="18"/>
        <v>268</v>
      </c>
      <c r="M129">
        <f t="shared" si="18"/>
        <v>283</v>
      </c>
      <c r="N129">
        <f t="shared" si="18"/>
        <v>295</v>
      </c>
      <c r="O129">
        <f t="shared" si="18"/>
        <v>319</v>
      </c>
      <c r="P129">
        <f t="shared" si="18"/>
        <v>337</v>
      </c>
      <c r="Q129">
        <f t="shared" si="20"/>
        <v>363</v>
      </c>
      <c r="S129" t="str">
        <f t="shared" si="21"/>
        <v>28.11.2025</v>
      </c>
      <c r="T129" t="str">
        <f t="shared" si="22"/>
        <v>02:45:00</v>
      </c>
      <c r="U129" t="str">
        <f t="shared" si="15"/>
        <v>28.11.2025 02:45:00</v>
      </c>
      <c r="V129" s="9" t="str">
        <f>MID($A129,C129+C$2+1,D129-C129-C$2-1)</f>
        <v>0</v>
      </c>
      <c r="W129" s="4">
        <f>VALUE(SUBSTITUTE(MID($A129,D129+D$2+1,E129-D129-D$2-1),",","."))</f>
        <v>0</v>
      </c>
      <c r="X129" s="4">
        <f>VALUE(SUBSTITUTE(MID($A129,E129+E$2+1,F129-E129-E$2-1),",","."))</f>
        <v>0.90957602214449496</v>
      </c>
      <c r="Y129" s="4">
        <f>VALUE(SUBSTITUTE(MID($A129,F129+F$2+1,G129-F129-F$2-1),",","."))</f>
        <v>0</v>
      </c>
      <c r="Z129" s="3">
        <f>VALUE(SUBSTITUTE(MID($A129,G129+G$2+1,H129-G129-G$2-1),",","."))</f>
        <v>0</v>
      </c>
      <c r="AA129" s="3">
        <f>VALUE(SUBSTITUTE(MID($A129,H129+H$2+1,I129-H129-H$2-1),",","."))</f>
        <v>0</v>
      </c>
      <c r="AB129" s="3">
        <f>VALUE(SUBSTITUTE(MID($A129,I129+I$2+1,J129-I129-I$2-1),",","."))</f>
        <v>0</v>
      </c>
      <c r="AC129" s="3">
        <f>VALUE(SUBSTITUTE(MID($A129,J129+J$2+1,K129-J129-J$2-1),",","."))</f>
        <v>-2</v>
      </c>
      <c r="AD129" s="3">
        <f>VALUE(SUBSTITUTE(MID($A129,K129+K$2+1,L129-K129-K$2-1),",","."))</f>
        <v>3.24</v>
      </c>
      <c r="AE129" s="3">
        <f>VALUE(SUBSTITUTE(MID($A129,L129+L$2+1,M129-L129-L$2-1),",","."))</f>
        <v>0</v>
      </c>
      <c r="AF129" s="3">
        <f>VALUE(SUBSTITUTE(MID($A129,M129+M$2+1,N129-M129-M$2-1),",","."))</f>
        <v>0</v>
      </c>
      <c r="AG129" s="3">
        <f>VALUE(SUBSTITUTE(MID($A129,N129+N$2+1,O129-N129-N$2-1),",","."))</f>
        <v>4.2070542505767401</v>
      </c>
      <c r="AH129" t="str">
        <f>MID($A129,O129+O$2+1,P129-O129-O$2-1)</f>
        <v/>
      </c>
      <c r="AI129" s="8" t="str">
        <f>MID($A129,P129+P$2+1,Q129-P129-P$2-1)</f>
        <v>False</v>
      </c>
      <c r="AK129" t="b">
        <f t="shared" si="16"/>
        <v>0</v>
      </c>
    </row>
    <row r="130" spans="1:37" x14ac:dyDescent="0.35">
      <c r="A130" t="s">
        <v>4677</v>
      </c>
      <c r="B130">
        <f t="shared" si="19"/>
        <v>10</v>
      </c>
      <c r="C130">
        <f t="shared" si="18"/>
        <v>43</v>
      </c>
      <c r="D130">
        <f t="shared" si="18"/>
        <v>54</v>
      </c>
      <c r="E130">
        <f t="shared" si="18"/>
        <v>80</v>
      </c>
      <c r="F130">
        <f t="shared" si="18"/>
        <v>124</v>
      </c>
      <c r="G130">
        <f t="shared" si="18"/>
        <v>145</v>
      </c>
      <c r="H130">
        <f t="shared" si="18"/>
        <v>177</v>
      </c>
      <c r="I130">
        <f t="shared" si="18"/>
        <v>199</v>
      </c>
      <c r="J130">
        <f t="shared" si="18"/>
        <v>232</v>
      </c>
      <c r="K130">
        <f t="shared" si="18"/>
        <v>253</v>
      </c>
      <c r="L130">
        <f t="shared" si="18"/>
        <v>285</v>
      </c>
      <c r="M130">
        <f t="shared" si="18"/>
        <v>300</v>
      </c>
      <c r="N130">
        <f t="shared" si="18"/>
        <v>312</v>
      </c>
      <c r="O130">
        <f t="shared" si="18"/>
        <v>338</v>
      </c>
      <c r="P130">
        <f t="shared" si="18"/>
        <v>356</v>
      </c>
      <c r="Q130">
        <f t="shared" si="20"/>
        <v>382</v>
      </c>
      <c r="S130" t="str">
        <f t="shared" si="21"/>
        <v>28.11.2025</v>
      </c>
      <c r="T130" t="str">
        <f t="shared" si="22"/>
        <v>03:00:00</v>
      </c>
      <c r="U130" t="str">
        <f t="shared" si="15"/>
        <v>28.11.2025 03:00:00</v>
      </c>
      <c r="V130" s="9" t="str">
        <f>MID($A130,C130+C$2+1,D130-C130-C$2-1)</f>
        <v>0</v>
      </c>
      <c r="W130" s="4">
        <f>VALUE(SUBSTITUTE(MID($A130,D130+D$2+1,E130-D130-D$2-1),",","."))</f>
        <v>0</v>
      </c>
      <c r="X130" s="4">
        <f>VALUE(SUBSTITUTE(MID($A130,E130+E$2+1,F130-E130-E$2-1),",","."))</f>
        <v>0.90957602214449496</v>
      </c>
      <c r="Y130" s="4">
        <f>VALUE(SUBSTITUTE(MID($A130,F130+F$2+1,G130-F130-F$2-1),",","."))</f>
        <v>0</v>
      </c>
      <c r="Z130" s="3">
        <f>VALUE(SUBSTITUTE(MID($A130,G130+G$2+1,H130-G130-G$2-1),",","."))</f>
        <v>0</v>
      </c>
      <c r="AA130" s="3">
        <f>VALUE(SUBSTITUTE(MID($A130,H130+H$2+1,I130-H130-H$2-1),",","."))</f>
        <v>0</v>
      </c>
      <c r="AB130" s="3">
        <f>VALUE(SUBSTITUTE(MID($A130,I130+I$2+1,J130-I130-I$2-1),",","."))</f>
        <v>0</v>
      </c>
      <c r="AC130" s="3">
        <f>VALUE(SUBSTITUTE(MID($A130,J130+J$2+1,K130-J130-J$2-1),",","."))</f>
        <v>-2.0499999999999998</v>
      </c>
      <c r="AD130" s="3">
        <f>VALUE(SUBSTITUTE(MID($A130,K130+K$2+1,L130-K130-K$2-1),",","."))</f>
        <v>2.88</v>
      </c>
      <c r="AE130" s="3">
        <f>VALUE(SUBSTITUTE(MID($A130,L130+L$2+1,M130-L130-L$2-1),",","."))</f>
        <v>0</v>
      </c>
      <c r="AF130" s="3">
        <f>VALUE(SUBSTITUTE(MID($A130,M130+M$2+1,N130-M130-M$2-1),",","."))</f>
        <v>0</v>
      </c>
      <c r="AG130" s="3">
        <f>VALUE(SUBSTITUTE(MID($A130,N130+N$2+1,O130-N130-N$2-1),",","."))</f>
        <v>4.2070827704648197</v>
      </c>
      <c r="AH130" t="str">
        <f>MID($A130,O130+O$2+1,P130-O130-O$2-1)</f>
        <v/>
      </c>
      <c r="AI130" s="8" t="str">
        <f>MID($A130,P130+P$2+1,Q130-P130-P$2-1)</f>
        <v>False</v>
      </c>
      <c r="AK130" t="b">
        <f t="shared" si="16"/>
        <v>0</v>
      </c>
    </row>
    <row r="131" spans="1:37" x14ac:dyDescent="0.35">
      <c r="A131" t="s">
        <v>4678</v>
      </c>
      <c r="B131">
        <f t="shared" si="19"/>
        <v>10</v>
      </c>
      <c r="C131">
        <f t="shared" si="18"/>
        <v>43</v>
      </c>
      <c r="D131">
        <f t="shared" si="18"/>
        <v>54</v>
      </c>
      <c r="E131">
        <f t="shared" si="18"/>
        <v>80</v>
      </c>
      <c r="F131">
        <f t="shared" si="18"/>
        <v>124</v>
      </c>
      <c r="G131">
        <f t="shared" si="18"/>
        <v>145</v>
      </c>
      <c r="H131">
        <f t="shared" si="18"/>
        <v>177</v>
      </c>
      <c r="I131">
        <f t="shared" si="18"/>
        <v>199</v>
      </c>
      <c r="J131">
        <f t="shared" si="18"/>
        <v>232</v>
      </c>
      <c r="K131">
        <f t="shared" si="18"/>
        <v>253</v>
      </c>
      <c r="L131">
        <f t="shared" si="18"/>
        <v>271</v>
      </c>
      <c r="M131">
        <f t="shared" ref="M131:Q191" si="23">FIND(M$1,$A131)</f>
        <v>286</v>
      </c>
      <c r="N131">
        <f t="shared" si="23"/>
        <v>298</v>
      </c>
      <c r="O131">
        <f t="shared" si="23"/>
        <v>323</v>
      </c>
      <c r="P131">
        <f t="shared" si="23"/>
        <v>341</v>
      </c>
      <c r="Q131">
        <f t="shared" si="20"/>
        <v>367</v>
      </c>
      <c r="S131" t="str">
        <f t="shared" si="21"/>
        <v>28.11.2025</v>
      </c>
      <c r="T131" t="str">
        <f t="shared" si="22"/>
        <v>03:15:00</v>
      </c>
      <c r="U131" t="str">
        <f t="shared" si="15"/>
        <v>28.11.2025 03:15:00</v>
      </c>
      <c r="V131" s="9" t="str">
        <f>MID($A131,C131+C$2+1,D131-C131-C$2-1)</f>
        <v>0</v>
      </c>
      <c r="W131" s="4">
        <f>VALUE(SUBSTITUTE(MID($A131,D131+D$2+1,E131-D131-D$2-1),",","."))</f>
        <v>0</v>
      </c>
      <c r="X131" s="4">
        <f>VALUE(SUBSTITUTE(MID($A131,E131+E$2+1,F131-E131-E$2-1),",","."))</f>
        <v>0.90957602214449496</v>
      </c>
      <c r="Y131" s="4">
        <f>VALUE(SUBSTITUTE(MID($A131,F131+F$2+1,G131-F131-F$2-1),",","."))</f>
        <v>0</v>
      </c>
      <c r="Z131" s="3">
        <f>VALUE(SUBSTITUTE(MID($A131,G131+G$2+1,H131-G131-G$2-1),",","."))</f>
        <v>0</v>
      </c>
      <c r="AA131" s="3">
        <f>VALUE(SUBSTITUTE(MID($A131,H131+H$2+1,I131-H131-H$2-1),",","."))</f>
        <v>0</v>
      </c>
      <c r="AB131" s="3">
        <f>VALUE(SUBSTITUTE(MID($A131,I131+I$2+1,J131-I131-I$2-1),",","."))</f>
        <v>0</v>
      </c>
      <c r="AC131" s="3">
        <f>VALUE(SUBSTITUTE(MID($A131,J131+J$2+1,K131-J131-J$2-1),",","."))</f>
        <v>-2.0499999999999998</v>
      </c>
      <c r="AD131" s="3">
        <f>VALUE(SUBSTITUTE(MID($A131,K131+K$2+1,L131-K131-K$2-1),",","."))</f>
        <v>3.24</v>
      </c>
      <c r="AE131" s="3">
        <f>VALUE(SUBSTITUTE(MID($A131,L131+L$2+1,M131-L131-L$2-1),",","."))</f>
        <v>0</v>
      </c>
      <c r="AF131" s="3">
        <f>VALUE(SUBSTITUTE(MID($A131,M131+M$2+1,N131-M131-M$2-1),",","."))</f>
        <v>0</v>
      </c>
      <c r="AG131" s="3">
        <f>VALUE(SUBSTITUTE(MID($A131,N131+N$2+1,O131-N131-N$2-1),",","."))</f>
        <v>4.2071112903529002</v>
      </c>
      <c r="AH131" t="str">
        <f>MID($A131,O131+O$2+1,P131-O131-O$2-1)</f>
        <v/>
      </c>
      <c r="AI131" s="8" t="str">
        <f>MID($A131,P131+P$2+1,Q131-P131-P$2-1)</f>
        <v>False</v>
      </c>
      <c r="AK131" t="b">
        <f t="shared" si="16"/>
        <v>0</v>
      </c>
    </row>
    <row r="132" spans="1:37" x14ac:dyDescent="0.35">
      <c r="A132" t="s">
        <v>4679</v>
      </c>
      <c r="B132">
        <f t="shared" si="19"/>
        <v>10</v>
      </c>
      <c r="C132">
        <f t="shared" si="19"/>
        <v>43</v>
      </c>
      <c r="D132">
        <f t="shared" si="19"/>
        <v>54</v>
      </c>
      <c r="E132">
        <f t="shared" si="19"/>
        <v>80</v>
      </c>
      <c r="F132">
        <f t="shared" si="19"/>
        <v>124</v>
      </c>
      <c r="G132">
        <f t="shared" si="19"/>
        <v>145</v>
      </c>
      <c r="H132">
        <f t="shared" si="19"/>
        <v>177</v>
      </c>
      <c r="I132">
        <f t="shared" si="19"/>
        <v>199</v>
      </c>
      <c r="J132">
        <f t="shared" si="19"/>
        <v>232</v>
      </c>
      <c r="K132">
        <f t="shared" si="19"/>
        <v>252</v>
      </c>
      <c r="L132">
        <f t="shared" si="19"/>
        <v>270</v>
      </c>
      <c r="M132">
        <f t="shared" si="23"/>
        <v>285</v>
      </c>
      <c r="N132">
        <f t="shared" si="23"/>
        <v>297</v>
      </c>
      <c r="O132">
        <f t="shared" si="23"/>
        <v>322</v>
      </c>
      <c r="P132">
        <f t="shared" si="23"/>
        <v>340</v>
      </c>
      <c r="Q132">
        <f t="shared" si="20"/>
        <v>366</v>
      </c>
      <c r="S132" t="str">
        <f t="shared" si="21"/>
        <v>28.11.2025</v>
      </c>
      <c r="T132" t="str">
        <f t="shared" si="22"/>
        <v>03:30:00</v>
      </c>
      <c r="U132" t="str">
        <f t="shared" ref="U132:U195" si="24">MID($A132,B132+B$2+1,C132-B132-B$2-1)</f>
        <v>28.11.2025 03:30:00</v>
      </c>
      <c r="V132" s="9" t="str">
        <f>MID($A132,C132+C$2+1,D132-C132-C$2-1)</f>
        <v>0</v>
      </c>
      <c r="W132" s="4">
        <f>VALUE(SUBSTITUTE(MID($A132,D132+D$2+1,E132-D132-D$2-1),",","."))</f>
        <v>0</v>
      </c>
      <c r="X132" s="4">
        <f>VALUE(SUBSTITUTE(MID($A132,E132+E$2+1,F132-E132-E$2-1),",","."))</f>
        <v>0.90957602214449496</v>
      </c>
      <c r="Y132" s="4">
        <f>VALUE(SUBSTITUTE(MID($A132,F132+F$2+1,G132-F132-F$2-1),",","."))</f>
        <v>0</v>
      </c>
      <c r="Z132" s="3">
        <f>VALUE(SUBSTITUTE(MID($A132,G132+G$2+1,H132-G132-G$2-1),",","."))</f>
        <v>0</v>
      </c>
      <c r="AA132" s="3">
        <f>VALUE(SUBSTITUTE(MID($A132,H132+H$2+1,I132-H132-H$2-1),",","."))</f>
        <v>0</v>
      </c>
      <c r="AB132" s="3">
        <f>VALUE(SUBSTITUTE(MID($A132,I132+I$2+1,J132-I132-I$2-1),",","."))</f>
        <v>0</v>
      </c>
      <c r="AC132" s="3">
        <f>VALUE(SUBSTITUTE(MID($A132,J132+J$2+1,K132-J132-J$2-1),",","."))</f>
        <v>-2.1</v>
      </c>
      <c r="AD132" s="3">
        <f>VALUE(SUBSTITUTE(MID($A132,K132+K$2+1,L132-K132-K$2-1),",","."))</f>
        <v>3.06</v>
      </c>
      <c r="AE132" s="3">
        <f>VALUE(SUBSTITUTE(MID($A132,L132+L$2+1,M132-L132-L$2-1),",","."))</f>
        <v>0</v>
      </c>
      <c r="AF132" s="3">
        <f>VALUE(SUBSTITUTE(MID($A132,M132+M$2+1,N132-M132-M$2-1),",","."))</f>
        <v>0</v>
      </c>
      <c r="AG132" s="3">
        <f>VALUE(SUBSTITUTE(MID($A132,N132+N$2+1,O132-N132-N$2-1),",","."))</f>
        <v>4.2071398102409798</v>
      </c>
      <c r="AH132" t="str">
        <f>MID($A132,O132+O$2+1,P132-O132-O$2-1)</f>
        <v/>
      </c>
      <c r="AI132" s="8" t="str">
        <f>MID($A132,P132+P$2+1,Q132-P132-P$2-1)</f>
        <v>False</v>
      </c>
      <c r="AK132" t="b">
        <f t="shared" ref="AK132:AK195" si="25">AB132&gt;Z132</f>
        <v>0</v>
      </c>
    </row>
    <row r="133" spans="1:37" x14ac:dyDescent="0.35">
      <c r="A133" t="s">
        <v>4680</v>
      </c>
      <c r="B133">
        <f t="shared" si="19"/>
        <v>10</v>
      </c>
      <c r="C133">
        <f t="shared" si="19"/>
        <v>43</v>
      </c>
      <c r="D133">
        <f t="shared" si="19"/>
        <v>54</v>
      </c>
      <c r="E133">
        <f t="shared" si="19"/>
        <v>80</v>
      </c>
      <c r="F133">
        <f t="shared" si="19"/>
        <v>124</v>
      </c>
      <c r="G133">
        <f t="shared" si="19"/>
        <v>145</v>
      </c>
      <c r="H133">
        <f t="shared" si="19"/>
        <v>177</v>
      </c>
      <c r="I133">
        <f t="shared" si="19"/>
        <v>199</v>
      </c>
      <c r="J133">
        <f t="shared" si="19"/>
        <v>232</v>
      </c>
      <c r="K133">
        <f t="shared" si="19"/>
        <v>252</v>
      </c>
      <c r="L133">
        <f t="shared" si="19"/>
        <v>284</v>
      </c>
      <c r="M133">
        <f t="shared" si="23"/>
        <v>299</v>
      </c>
      <c r="N133">
        <f t="shared" si="23"/>
        <v>311</v>
      </c>
      <c r="O133">
        <f t="shared" si="23"/>
        <v>337</v>
      </c>
      <c r="P133">
        <f t="shared" si="23"/>
        <v>355</v>
      </c>
      <c r="Q133">
        <f t="shared" si="20"/>
        <v>381</v>
      </c>
      <c r="S133" t="str">
        <f t="shared" si="21"/>
        <v>28.11.2025</v>
      </c>
      <c r="T133" t="str">
        <f t="shared" si="22"/>
        <v>03:45:00</v>
      </c>
      <c r="U133" t="str">
        <f t="shared" si="24"/>
        <v>28.11.2025 03:45:00</v>
      </c>
      <c r="V133" s="9" t="str">
        <f>MID($A133,C133+C$2+1,D133-C133-C$2-1)</f>
        <v>0</v>
      </c>
      <c r="W133" s="4">
        <f>VALUE(SUBSTITUTE(MID($A133,D133+D$2+1,E133-D133-D$2-1),",","."))</f>
        <v>0</v>
      </c>
      <c r="X133" s="4">
        <f>VALUE(SUBSTITUTE(MID($A133,E133+E$2+1,F133-E133-E$2-1),",","."))</f>
        <v>0.90957602214449496</v>
      </c>
      <c r="Y133" s="4">
        <f>VALUE(SUBSTITUTE(MID($A133,F133+F$2+1,G133-F133-F$2-1),",","."))</f>
        <v>0</v>
      </c>
      <c r="Z133" s="3">
        <f>VALUE(SUBSTITUTE(MID($A133,G133+G$2+1,H133-G133-G$2-1),",","."))</f>
        <v>0</v>
      </c>
      <c r="AA133" s="3">
        <f>VALUE(SUBSTITUTE(MID($A133,H133+H$2+1,I133-H133-H$2-1),",","."))</f>
        <v>0</v>
      </c>
      <c r="AB133" s="3">
        <f>VALUE(SUBSTITUTE(MID($A133,I133+I$2+1,J133-I133-I$2-1),",","."))</f>
        <v>0</v>
      </c>
      <c r="AC133" s="3">
        <f>VALUE(SUBSTITUTE(MID($A133,J133+J$2+1,K133-J133-J$2-1),",","."))</f>
        <v>-2.2000000000000002</v>
      </c>
      <c r="AD133" s="3">
        <f>VALUE(SUBSTITUTE(MID($A133,K133+K$2+1,L133-K133-K$2-1),",","."))</f>
        <v>2.34</v>
      </c>
      <c r="AE133" s="3">
        <f>VALUE(SUBSTITUTE(MID($A133,L133+L$2+1,M133-L133-L$2-1),",","."))</f>
        <v>0</v>
      </c>
      <c r="AF133" s="3">
        <f>VALUE(SUBSTITUTE(MID($A133,M133+M$2+1,N133-M133-M$2-1),",","."))</f>
        <v>0</v>
      </c>
      <c r="AG133" s="3">
        <f>VALUE(SUBSTITUTE(MID($A133,N133+N$2+1,O133-N133-N$2-1),",","."))</f>
        <v>4.2071683301290603</v>
      </c>
      <c r="AH133" t="str">
        <f>MID($A133,O133+O$2+1,P133-O133-O$2-1)</f>
        <v/>
      </c>
      <c r="AI133" s="8" t="str">
        <f>MID($A133,P133+P$2+1,Q133-P133-P$2-1)</f>
        <v>False</v>
      </c>
      <c r="AK133" t="b">
        <f t="shared" si="25"/>
        <v>0</v>
      </c>
    </row>
    <row r="134" spans="1:37" x14ac:dyDescent="0.35">
      <c r="A134" t="s">
        <v>4681</v>
      </c>
      <c r="B134">
        <f t="shared" si="19"/>
        <v>10</v>
      </c>
      <c r="C134">
        <f t="shared" si="19"/>
        <v>43</v>
      </c>
      <c r="D134">
        <f t="shared" si="19"/>
        <v>54</v>
      </c>
      <c r="E134">
        <f t="shared" si="19"/>
        <v>80</v>
      </c>
      <c r="F134">
        <f t="shared" si="19"/>
        <v>124</v>
      </c>
      <c r="G134">
        <f t="shared" si="19"/>
        <v>145</v>
      </c>
      <c r="H134">
        <f t="shared" si="19"/>
        <v>177</v>
      </c>
      <c r="I134">
        <f t="shared" si="19"/>
        <v>199</v>
      </c>
      <c r="J134">
        <f t="shared" si="19"/>
        <v>232</v>
      </c>
      <c r="K134">
        <f t="shared" si="19"/>
        <v>253</v>
      </c>
      <c r="L134">
        <f t="shared" si="19"/>
        <v>285</v>
      </c>
      <c r="M134">
        <f t="shared" si="23"/>
        <v>300</v>
      </c>
      <c r="N134">
        <f t="shared" si="23"/>
        <v>312</v>
      </c>
      <c r="O134">
        <f t="shared" si="23"/>
        <v>337</v>
      </c>
      <c r="P134">
        <f t="shared" si="23"/>
        <v>355</v>
      </c>
      <c r="Q134">
        <f t="shared" si="20"/>
        <v>381</v>
      </c>
      <c r="S134" t="str">
        <f t="shared" si="21"/>
        <v>28.11.2025</v>
      </c>
      <c r="T134" t="str">
        <f t="shared" si="22"/>
        <v>04:00:00</v>
      </c>
      <c r="U134" t="str">
        <f t="shared" si="24"/>
        <v>28.11.2025 04:00:00</v>
      </c>
      <c r="V134" s="9" t="str">
        <f>MID($A134,C134+C$2+1,D134-C134-C$2-1)</f>
        <v>0</v>
      </c>
      <c r="W134" s="4">
        <f>VALUE(SUBSTITUTE(MID($A134,D134+D$2+1,E134-D134-D$2-1),",","."))</f>
        <v>0</v>
      </c>
      <c r="X134" s="4">
        <f>VALUE(SUBSTITUTE(MID($A134,E134+E$2+1,F134-E134-E$2-1),",","."))</f>
        <v>0.90957602214449496</v>
      </c>
      <c r="Y134" s="4">
        <f>VALUE(SUBSTITUTE(MID($A134,F134+F$2+1,G134-F134-F$2-1),",","."))</f>
        <v>0</v>
      </c>
      <c r="Z134" s="3">
        <f>VALUE(SUBSTITUTE(MID($A134,G134+G$2+1,H134-G134-G$2-1),",","."))</f>
        <v>0</v>
      </c>
      <c r="AA134" s="3">
        <f>VALUE(SUBSTITUTE(MID($A134,H134+H$2+1,I134-H134-H$2-1),",","."))</f>
        <v>0</v>
      </c>
      <c r="AB134" s="3">
        <f>VALUE(SUBSTITUTE(MID($A134,I134+I$2+1,J134-I134-I$2-1),",","."))</f>
        <v>0</v>
      </c>
      <c r="AC134" s="3">
        <f>VALUE(SUBSTITUTE(MID($A134,J134+J$2+1,K134-J134-J$2-1),",","."))</f>
        <v>-2.25</v>
      </c>
      <c r="AD134" s="3">
        <f>VALUE(SUBSTITUTE(MID($A134,K134+K$2+1,L134-K134-K$2-1),",","."))</f>
        <v>2.34</v>
      </c>
      <c r="AE134" s="3">
        <f>VALUE(SUBSTITUTE(MID($A134,L134+L$2+1,M134-L134-L$2-1),",","."))</f>
        <v>0</v>
      </c>
      <c r="AF134" s="3">
        <f>VALUE(SUBSTITUTE(MID($A134,M134+M$2+1,N134-M134-M$2-1),",","."))</f>
        <v>0</v>
      </c>
      <c r="AG134" s="3">
        <f>VALUE(SUBSTITUTE(MID($A134,N134+N$2+1,O134-N134-N$2-1),",","."))</f>
        <v>4.2071968500171399</v>
      </c>
      <c r="AH134" t="str">
        <f>MID($A134,O134+O$2+1,P134-O134-O$2-1)</f>
        <v/>
      </c>
      <c r="AI134" s="8" t="str">
        <f>MID($A134,P134+P$2+1,Q134-P134-P$2-1)</f>
        <v>False</v>
      </c>
      <c r="AK134" t="b">
        <f t="shared" si="25"/>
        <v>0</v>
      </c>
    </row>
    <row r="135" spans="1:37" x14ac:dyDescent="0.35">
      <c r="A135" t="s">
        <v>4682</v>
      </c>
      <c r="B135">
        <f t="shared" si="19"/>
        <v>10</v>
      </c>
      <c r="C135">
        <f t="shared" si="19"/>
        <v>43</v>
      </c>
      <c r="D135">
        <f t="shared" si="19"/>
        <v>54</v>
      </c>
      <c r="E135">
        <f t="shared" si="19"/>
        <v>80</v>
      </c>
      <c r="F135">
        <f t="shared" si="19"/>
        <v>124</v>
      </c>
      <c r="G135">
        <f t="shared" si="19"/>
        <v>145</v>
      </c>
      <c r="H135">
        <f t="shared" si="19"/>
        <v>177</v>
      </c>
      <c r="I135">
        <f t="shared" si="19"/>
        <v>199</v>
      </c>
      <c r="J135">
        <f t="shared" si="19"/>
        <v>232</v>
      </c>
      <c r="K135">
        <f t="shared" si="19"/>
        <v>252</v>
      </c>
      <c r="L135">
        <f t="shared" si="19"/>
        <v>284</v>
      </c>
      <c r="M135">
        <f t="shared" si="23"/>
        <v>299</v>
      </c>
      <c r="N135">
        <f t="shared" si="23"/>
        <v>311</v>
      </c>
      <c r="O135">
        <f t="shared" si="23"/>
        <v>336</v>
      </c>
      <c r="P135">
        <f t="shared" si="23"/>
        <v>354</v>
      </c>
      <c r="Q135">
        <f t="shared" si="20"/>
        <v>380</v>
      </c>
      <c r="S135" t="str">
        <f t="shared" si="21"/>
        <v>28.11.2025</v>
      </c>
      <c r="T135" t="str">
        <f t="shared" si="22"/>
        <v>04:15:00</v>
      </c>
      <c r="U135" t="str">
        <f t="shared" si="24"/>
        <v>28.11.2025 04:15:00</v>
      </c>
      <c r="V135" s="9" t="str">
        <f>MID($A135,C135+C$2+1,D135-C135-C$2-1)</f>
        <v>0</v>
      </c>
      <c r="W135" s="4">
        <f>VALUE(SUBSTITUTE(MID($A135,D135+D$2+1,E135-D135-D$2-1),",","."))</f>
        <v>0</v>
      </c>
      <c r="X135" s="4">
        <f>VALUE(SUBSTITUTE(MID($A135,E135+E$2+1,F135-E135-E$2-1),",","."))</f>
        <v>0.90957602214449496</v>
      </c>
      <c r="Y135" s="4">
        <f>VALUE(SUBSTITUTE(MID($A135,F135+F$2+1,G135-F135-F$2-1),",","."))</f>
        <v>0</v>
      </c>
      <c r="Z135" s="3">
        <f>VALUE(SUBSTITUTE(MID($A135,G135+G$2+1,H135-G135-G$2-1),",","."))</f>
        <v>0</v>
      </c>
      <c r="AA135" s="3">
        <f>VALUE(SUBSTITUTE(MID($A135,H135+H$2+1,I135-H135-H$2-1),",","."))</f>
        <v>0</v>
      </c>
      <c r="AB135" s="3">
        <f>VALUE(SUBSTITUTE(MID($A135,I135+I$2+1,J135-I135-I$2-1),",","."))</f>
        <v>0</v>
      </c>
      <c r="AC135" s="3">
        <f>VALUE(SUBSTITUTE(MID($A135,J135+J$2+1,K135-J135-J$2-1),",","."))</f>
        <v>-2.2999999999999998</v>
      </c>
      <c r="AD135" s="3">
        <f>VALUE(SUBSTITUTE(MID($A135,K135+K$2+1,L135-K135-K$2-1),",","."))</f>
        <v>3.42</v>
      </c>
      <c r="AE135" s="3">
        <f>VALUE(SUBSTITUTE(MID($A135,L135+L$2+1,M135-L135-L$2-1),",","."))</f>
        <v>0</v>
      </c>
      <c r="AF135" s="3">
        <f>VALUE(SUBSTITUTE(MID($A135,M135+M$2+1,N135-M135-M$2-1),",","."))</f>
        <v>0</v>
      </c>
      <c r="AG135" s="3">
        <f>VALUE(SUBSTITUTE(MID($A135,N135+N$2+1,O135-N135-N$2-1),",","."))</f>
        <v>4.2072253699052196</v>
      </c>
      <c r="AH135" t="str">
        <f>MID($A135,O135+O$2+1,P135-O135-O$2-1)</f>
        <v/>
      </c>
      <c r="AI135" s="8" t="str">
        <f>MID($A135,P135+P$2+1,Q135-P135-P$2-1)</f>
        <v>False</v>
      </c>
      <c r="AK135" t="b">
        <f t="shared" si="25"/>
        <v>0</v>
      </c>
    </row>
    <row r="136" spans="1:37" x14ac:dyDescent="0.35">
      <c r="A136" t="s">
        <v>4683</v>
      </c>
      <c r="B136">
        <f t="shared" si="19"/>
        <v>10</v>
      </c>
      <c r="C136">
        <f t="shared" si="19"/>
        <v>43</v>
      </c>
      <c r="D136">
        <f t="shared" si="19"/>
        <v>54</v>
      </c>
      <c r="E136">
        <f t="shared" si="19"/>
        <v>80</v>
      </c>
      <c r="F136">
        <f t="shared" si="19"/>
        <v>124</v>
      </c>
      <c r="G136">
        <f t="shared" si="19"/>
        <v>145</v>
      </c>
      <c r="H136">
        <f t="shared" si="19"/>
        <v>177</v>
      </c>
      <c r="I136">
        <f t="shared" si="19"/>
        <v>199</v>
      </c>
      <c r="J136">
        <f t="shared" si="19"/>
        <v>232</v>
      </c>
      <c r="K136">
        <f t="shared" si="19"/>
        <v>252</v>
      </c>
      <c r="L136">
        <f t="shared" si="19"/>
        <v>270</v>
      </c>
      <c r="M136">
        <f t="shared" si="23"/>
        <v>285</v>
      </c>
      <c r="N136">
        <f t="shared" si="23"/>
        <v>297</v>
      </c>
      <c r="O136">
        <f t="shared" si="23"/>
        <v>322</v>
      </c>
      <c r="P136">
        <f t="shared" si="23"/>
        <v>340</v>
      </c>
      <c r="Q136">
        <f t="shared" si="20"/>
        <v>366</v>
      </c>
      <c r="S136" t="str">
        <f t="shared" si="21"/>
        <v>28.11.2025</v>
      </c>
      <c r="T136" t="str">
        <f t="shared" si="22"/>
        <v>04:30:00</v>
      </c>
      <c r="U136" t="str">
        <f t="shared" si="24"/>
        <v>28.11.2025 04:30:00</v>
      </c>
      <c r="V136" s="9" t="str">
        <f>MID($A136,C136+C$2+1,D136-C136-C$2-1)</f>
        <v>0</v>
      </c>
      <c r="W136" s="4">
        <f>VALUE(SUBSTITUTE(MID($A136,D136+D$2+1,E136-D136-D$2-1),",","."))</f>
        <v>0</v>
      </c>
      <c r="X136" s="4">
        <f>VALUE(SUBSTITUTE(MID($A136,E136+E$2+1,F136-E136-E$2-1),",","."))</f>
        <v>0.90957602214449496</v>
      </c>
      <c r="Y136" s="4">
        <f>VALUE(SUBSTITUTE(MID($A136,F136+F$2+1,G136-F136-F$2-1),",","."))</f>
        <v>0</v>
      </c>
      <c r="Z136" s="3">
        <f>VALUE(SUBSTITUTE(MID($A136,G136+G$2+1,H136-G136-G$2-1),",","."))</f>
        <v>0</v>
      </c>
      <c r="AA136" s="3">
        <f>VALUE(SUBSTITUTE(MID($A136,H136+H$2+1,I136-H136-H$2-1),",","."))</f>
        <v>0</v>
      </c>
      <c r="AB136" s="3">
        <f>VALUE(SUBSTITUTE(MID($A136,I136+I$2+1,J136-I136-I$2-1),",","."))</f>
        <v>0</v>
      </c>
      <c r="AC136" s="3">
        <f>VALUE(SUBSTITUTE(MID($A136,J136+J$2+1,K136-J136-J$2-1),",","."))</f>
        <v>-2.2999999999999998</v>
      </c>
      <c r="AD136" s="3">
        <f>VALUE(SUBSTITUTE(MID($A136,K136+K$2+1,L136-K136-K$2-1),",","."))</f>
        <v>2.52</v>
      </c>
      <c r="AE136" s="3">
        <f>VALUE(SUBSTITUTE(MID($A136,L136+L$2+1,M136-L136-L$2-1),",","."))</f>
        <v>0</v>
      </c>
      <c r="AF136" s="3">
        <f>VALUE(SUBSTITUTE(MID($A136,M136+M$2+1,N136-M136-M$2-1),",","."))</f>
        <v>0</v>
      </c>
      <c r="AG136" s="3">
        <f>VALUE(SUBSTITUTE(MID($A136,N136+N$2+1,O136-N136-N$2-1),",","."))</f>
        <v>4.2072538897933098</v>
      </c>
      <c r="AH136" t="str">
        <f>MID($A136,O136+O$2+1,P136-O136-O$2-1)</f>
        <v/>
      </c>
      <c r="AI136" s="8" t="str">
        <f>MID($A136,P136+P$2+1,Q136-P136-P$2-1)</f>
        <v>False</v>
      </c>
      <c r="AK136" t="b">
        <f t="shared" si="25"/>
        <v>0</v>
      </c>
    </row>
    <row r="137" spans="1:37" x14ac:dyDescent="0.35">
      <c r="A137" t="s">
        <v>4684</v>
      </c>
      <c r="B137">
        <f t="shared" si="19"/>
        <v>10</v>
      </c>
      <c r="C137">
        <f t="shared" si="19"/>
        <v>43</v>
      </c>
      <c r="D137">
        <f t="shared" si="19"/>
        <v>54</v>
      </c>
      <c r="E137">
        <f t="shared" si="19"/>
        <v>80</v>
      </c>
      <c r="F137">
        <f t="shared" si="19"/>
        <v>124</v>
      </c>
      <c r="G137">
        <f t="shared" si="19"/>
        <v>145</v>
      </c>
      <c r="H137">
        <f t="shared" si="19"/>
        <v>177</v>
      </c>
      <c r="I137">
        <f t="shared" si="19"/>
        <v>199</v>
      </c>
      <c r="J137">
        <f t="shared" si="19"/>
        <v>232</v>
      </c>
      <c r="K137">
        <f t="shared" si="19"/>
        <v>253</v>
      </c>
      <c r="L137">
        <f t="shared" si="19"/>
        <v>271</v>
      </c>
      <c r="M137">
        <f t="shared" si="23"/>
        <v>286</v>
      </c>
      <c r="N137">
        <f t="shared" si="23"/>
        <v>298</v>
      </c>
      <c r="O137">
        <f t="shared" si="23"/>
        <v>323</v>
      </c>
      <c r="P137">
        <f t="shared" si="23"/>
        <v>341</v>
      </c>
      <c r="Q137">
        <f t="shared" si="20"/>
        <v>367</v>
      </c>
      <c r="S137" t="str">
        <f t="shared" si="21"/>
        <v>28.11.2025</v>
      </c>
      <c r="T137" t="str">
        <f t="shared" si="22"/>
        <v>04:45:00</v>
      </c>
      <c r="U137" t="str">
        <f t="shared" si="24"/>
        <v>28.11.2025 04:45:00</v>
      </c>
      <c r="V137" s="9" t="str">
        <f>MID($A137,C137+C$2+1,D137-C137-C$2-1)</f>
        <v>0</v>
      </c>
      <c r="W137" s="4">
        <f>VALUE(SUBSTITUTE(MID($A137,D137+D$2+1,E137-D137-D$2-1),",","."))</f>
        <v>0</v>
      </c>
      <c r="X137" s="4">
        <f>VALUE(SUBSTITUTE(MID($A137,E137+E$2+1,F137-E137-E$2-1),",","."))</f>
        <v>0.90957602214449496</v>
      </c>
      <c r="Y137" s="4">
        <f>VALUE(SUBSTITUTE(MID($A137,F137+F$2+1,G137-F137-F$2-1),",","."))</f>
        <v>0</v>
      </c>
      <c r="Z137" s="3">
        <f>VALUE(SUBSTITUTE(MID($A137,G137+G$2+1,H137-G137-G$2-1),",","."))</f>
        <v>0</v>
      </c>
      <c r="AA137" s="3">
        <f>VALUE(SUBSTITUTE(MID($A137,H137+H$2+1,I137-H137-H$2-1),",","."))</f>
        <v>0</v>
      </c>
      <c r="AB137" s="3">
        <f>VALUE(SUBSTITUTE(MID($A137,I137+I$2+1,J137-I137-I$2-1),",","."))</f>
        <v>0</v>
      </c>
      <c r="AC137" s="3">
        <f>VALUE(SUBSTITUTE(MID($A137,J137+J$2+1,K137-J137-J$2-1),",","."))</f>
        <v>-2.35</v>
      </c>
      <c r="AD137" s="3">
        <f>VALUE(SUBSTITUTE(MID($A137,K137+K$2+1,L137-K137-K$2-1),",","."))</f>
        <v>1.62</v>
      </c>
      <c r="AE137" s="3">
        <f>VALUE(SUBSTITUTE(MID($A137,L137+L$2+1,M137-L137-L$2-1),",","."))</f>
        <v>0</v>
      </c>
      <c r="AF137" s="3">
        <f>VALUE(SUBSTITUTE(MID($A137,M137+M$2+1,N137-M137-M$2-1),",","."))</f>
        <v>0</v>
      </c>
      <c r="AG137" s="3">
        <f>VALUE(SUBSTITUTE(MID($A137,N137+N$2+1,O137-N137-N$2-1),",","."))</f>
        <v>4.2072824096813903</v>
      </c>
      <c r="AH137" t="str">
        <f>MID($A137,O137+O$2+1,P137-O137-O$2-1)</f>
        <v/>
      </c>
      <c r="AI137" s="8" t="str">
        <f>MID($A137,P137+P$2+1,Q137-P137-P$2-1)</f>
        <v>False</v>
      </c>
      <c r="AK137" t="b">
        <f t="shared" si="25"/>
        <v>0</v>
      </c>
    </row>
    <row r="138" spans="1:37" x14ac:dyDescent="0.35">
      <c r="A138" t="s">
        <v>4685</v>
      </c>
      <c r="B138">
        <f t="shared" si="19"/>
        <v>10</v>
      </c>
      <c r="C138">
        <f t="shared" si="19"/>
        <v>43</v>
      </c>
      <c r="D138">
        <f t="shared" si="19"/>
        <v>54</v>
      </c>
      <c r="E138">
        <f t="shared" si="19"/>
        <v>80</v>
      </c>
      <c r="F138">
        <f t="shared" si="19"/>
        <v>124</v>
      </c>
      <c r="G138">
        <f t="shared" si="19"/>
        <v>145</v>
      </c>
      <c r="H138">
        <f t="shared" si="19"/>
        <v>177</v>
      </c>
      <c r="I138">
        <f t="shared" si="19"/>
        <v>199</v>
      </c>
      <c r="J138">
        <f t="shared" si="19"/>
        <v>232</v>
      </c>
      <c r="K138">
        <f t="shared" si="19"/>
        <v>252</v>
      </c>
      <c r="L138">
        <f t="shared" si="19"/>
        <v>284</v>
      </c>
      <c r="M138">
        <f t="shared" si="23"/>
        <v>299</v>
      </c>
      <c r="N138">
        <f t="shared" si="23"/>
        <v>311</v>
      </c>
      <c r="O138">
        <f t="shared" si="23"/>
        <v>336</v>
      </c>
      <c r="P138">
        <f t="shared" si="23"/>
        <v>354</v>
      </c>
      <c r="Q138">
        <f t="shared" si="20"/>
        <v>380</v>
      </c>
      <c r="S138" t="str">
        <f t="shared" si="21"/>
        <v>28.11.2025</v>
      </c>
      <c r="T138" t="str">
        <f t="shared" si="22"/>
        <v>05:00:00</v>
      </c>
      <c r="U138" t="str">
        <f t="shared" si="24"/>
        <v>28.11.2025 05:00:00</v>
      </c>
      <c r="V138" s="9" t="str">
        <f>MID($A138,C138+C$2+1,D138-C138-C$2-1)</f>
        <v>0</v>
      </c>
      <c r="W138" s="4">
        <f>VALUE(SUBSTITUTE(MID($A138,D138+D$2+1,E138-D138-D$2-1),",","."))</f>
        <v>0</v>
      </c>
      <c r="X138" s="4">
        <f>VALUE(SUBSTITUTE(MID($A138,E138+E$2+1,F138-E138-E$2-1),",","."))</f>
        <v>0.90957602214449496</v>
      </c>
      <c r="Y138" s="4">
        <f>VALUE(SUBSTITUTE(MID($A138,F138+F$2+1,G138-F138-F$2-1),",","."))</f>
        <v>0</v>
      </c>
      <c r="Z138" s="3">
        <f>VALUE(SUBSTITUTE(MID($A138,G138+G$2+1,H138-G138-G$2-1),",","."))</f>
        <v>0</v>
      </c>
      <c r="AA138" s="3">
        <f>VALUE(SUBSTITUTE(MID($A138,H138+H$2+1,I138-H138-H$2-1),",","."))</f>
        <v>0</v>
      </c>
      <c r="AB138" s="3">
        <f>VALUE(SUBSTITUTE(MID($A138,I138+I$2+1,J138-I138-I$2-1),",","."))</f>
        <v>0</v>
      </c>
      <c r="AC138" s="3">
        <f>VALUE(SUBSTITUTE(MID($A138,J138+J$2+1,K138-J138-J$2-1),",","."))</f>
        <v>-2.2999999999999998</v>
      </c>
      <c r="AD138" s="3">
        <f>VALUE(SUBSTITUTE(MID($A138,K138+K$2+1,L138-K138-K$2-1),",","."))</f>
        <v>1.44</v>
      </c>
      <c r="AE138" s="3">
        <f>VALUE(SUBSTITUTE(MID($A138,L138+L$2+1,M138-L138-L$2-1),",","."))</f>
        <v>0</v>
      </c>
      <c r="AF138" s="3">
        <f>VALUE(SUBSTITUTE(MID($A138,M138+M$2+1,N138-M138-M$2-1),",","."))</f>
        <v>0</v>
      </c>
      <c r="AG138" s="3">
        <f>VALUE(SUBSTITUTE(MID($A138,N138+N$2+1,O138-N138-N$2-1),",","."))</f>
        <v>4.2073109295694699</v>
      </c>
      <c r="AH138" t="str">
        <f>MID($A138,O138+O$2+1,P138-O138-O$2-1)</f>
        <v/>
      </c>
      <c r="AI138" s="8" t="str">
        <f>MID($A138,P138+P$2+1,Q138-P138-P$2-1)</f>
        <v>False</v>
      </c>
      <c r="AK138" t="b">
        <f t="shared" si="25"/>
        <v>0</v>
      </c>
    </row>
    <row r="139" spans="1:37" x14ac:dyDescent="0.35">
      <c r="A139" t="s">
        <v>4686</v>
      </c>
      <c r="B139">
        <f t="shared" si="19"/>
        <v>10</v>
      </c>
      <c r="C139">
        <f t="shared" si="19"/>
        <v>43</v>
      </c>
      <c r="D139">
        <f t="shared" si="19"/>
        <v>54</v>
      </c>
      <c r="E139">
        <f t="shared" si="19"/>
        <v>80</v>
      </c>
      <c r="F139">
        <f t="shared" si="19"/>
        <v>124</v>
      </c>
      <c r="G139">
        <f t="shared" si="19"/>
        <v>145</v>
      </c>
      <c r="H139">
        <f t="shared" si="19"/>
        <v>177</v>
      </c>
      <c r="I139">
        <f t="shared" si="19"/>
        <v>199</v>
      </c>
      <c r="J139">
        <f t="shared" si="19"/>
        <v>232</v>
      </c>
      <c r="K139">
        <f t="shared" si="19"/>
        <v>252</v>
      </c>
      <c r="L139">
        <f t="shared" si="19"/>
        <v>284</v>
      </c>
      <c r="M139">
        <f t="shared" si="23"/>
        <v>299</v>
      </c>
      <c r="N139">
        <f t="shared" si="23"/>
        <v>311</v>
      </c>
      <c r="O139">
        <f t="shared" si="23"/>
        <v>336</v>
      </c>
      <c r="P139">
        <f t="shared" si="23"/>
        <v>354</v>
      </c>
      <c r="Q139">
        <f t="shared" si="20"/>
        <v>380</v>
      </c>
      <c r="S139" t="str">
        <f t="shared" si="21"/>
        <v>28.11.2025</v>
      </c>
      <c r="T139" t="str">
        <f t="shared" si="22"/>
        <v>05:15:00</v>
      </c>
      <c r="U139" t="str">
        <f t="shared" si="24"/>
        <v>28.11.2025 05:15:00</v>
      </c>
      <c r="V139" s="9" t="str">
        <f>MID($A139,C139+C$2+1,D139-C139-C$2-1)</f>
        <v>0</v>
      </c>
      <c r="W139" s="4">
        <f>VALUE(SUBSTITUTE(MID($A139,D139+D$2+1,E139-D139-D$2-1),",","."))</f>
        <v>0</v>
      </c>
      <c r="X139" s="4">
        <f>VALUE(SUBSTITUTE(MID($A139,E139+E$2+1,F139-E139-E$2-1),",","."))</f>
        <v>0.90957602214449496</v>
      </c>
      <c r="Y139" s="4">
        <f>VALUE(SUBSTITUTE(MID($A139,F139+F$2+1,G139-F139-F$2-1),",","."))</f>
        <v>0</v>
      </c>
      <c r="Z139" s="3">
        <f>VALUE(SUBSTITUTE(MID($A139,G139+G$2+1,H139-G139-G$2-1),",","."))</f>
        <v>0</v>
      </c>
      <c r="AA139" s="3">
        <f>VALUE(SUBSTITUTE(MID($A139,H139+H$2+1,I139-H139-H$2-1),",","."))</f>
        <v>0</v>
      </c>
      <c r="AB139" s="3">
        <f>VALUE(SUBSTITUTE(MID($A139,I139+I$2+1,J139-I139-I$2-1),",","."))</f>
        <v>0</v>
      </c>
      <c r="AC139" s="3">
        <f>VALUE(SUBSTITUTE(MID($A139,J139+J$2+1,K139-J139-J$2-1),",","."))</f>
        <v>-2.2999999999999998</v>
      </c>
      <c r="AD139" s="3">
        <f>VALUE(SUBSTITUTE(MID($A139,K139+K$2+1,L139-K139-K$2-1),",","."))</f>
        <v>2.34</v>
      </c>
      <c r="AE139" s="3">
        <f>VALUE(SUBSTITUTE(MID($A139,L139+L$2+1,M139-L139-L$2-1),",","."))</f>
        <v>0</v>
      </c>
      <c r="AF139" s="3">
        <f>VALUE(SUBSTITUTE(MID($A139,M139+M$2+1,N139-M139-M$2-1),",","."))</f>
        <v>0</v>
      </c>
      <c r="AG139" s="3">
        <f>VALUE(SUBSTITUTE(MID($A139,N139+N$2+1,O139-N139-N$2-1),",","."))</f>
        <v>4.2073394494575496</v>
      </c>
      <c r="AH139" t="str">
        <f>MID($A139,O139+O$2+1,P139-O139-O$2-1)</f>
        <v/>
      </c>
      <c r="AI139" s="8" t="str">
        <f>MID($A139,P139+P$2+1,Q139-P139-P$2-1)</f>
        <v>False</v>
      </c>
      <c r="AK139" t="b">
        <f t="shared" si="25"/>
        <v>0</v>
      </c>
    </row>
    <row r="140" spans="1:37" x14ac:dyDescent="0.35">
      <c r="A140" t="s">
        <v>4687</v>
      </c>
      <c r="B140">
        <f t="shared" si="19"/>
        <v>10</v>
      </c>
      <c r="C140">
        <f t="shared" si="19"/>
        <v>43</v>
      </c>
      <c r="D140">
        <f t="shared" si="19"/>
        <v>54</v>
      </c>
      <c r="E140">
        <f t="shared" si="19"/>
        <v>80</v>
      </c>
      <c r="F140">
        <f t="shared" si="19"/>
        <v>124</v>
      </c>
      <c r="G140">
        <f t="shared" si="19"/>
        <v>145</v>
      </c>
      <c r="H140">
        <f t="shared" si="19"/>
        <v>177</v>
      </c>
      <c r="I140">
        <f t="shared" si="19"/>
        <v>199</v>
      </c>
      <c r="J140">
        <f t="shared" si="19"/>
        <v>232</v>
      </c>
      <c r="K140">
        <f t="shared" si="19"/>
        <v>253</v>
      </c>
      <c r="L140">
        <f t="shared" si="19"/>
        <v>271</v>
      </c>
      <c r="M140">
        <f t="shared" si="23"/>
        <v>286</v>
      </c>
      <c r="N140">
        <f t="shared" si="23"/>
        <v>298</v>
      </c>
      <c r="O140">
        <f t="shared" si="23"/>
        <v>323</v>
      </c>
      <c r="P140">
        <f t="shared" si="23"/>
        <v>341</v>
      </c>
      <c r="Q140">
        <f t="shared" si="20"/>
        <v>367</v>
      </c>
      <c r="S140" t="str">
        <f t="shared" si="21"/>
        <v>28.11.2025</v>
      </c>
      <c r="T140" t="str">
        <f t="shared" si="22"/>
        <v>05:30:00</v>
      </c>
      <c r="U140" t="str">
        <f t="shared" si="24"/>
        <v>28.11.2025 05:30:00</v>
      </c>
      <c r="V140" s="9" t="str">
        <f>MID($A140,C140+C$2+1,D140-C140-C$2-1)</f>
        <v>0</v>
      </c>
      <c r="W140" s="4">
        <f>VALUE(SUBSTITUTE(MID($A140,D140+D$2+1,E140-D140-D$2-1),",","."))</f>
        <v>0</v>
      </c>
      <c r="X140" s="4">
        <f>VALUE(SUBSTITUTE(MID($A140,E140+E$2+1,F140-E140-E$2-1),",","."))</f>
        <v>0.90957602214449496</v>
      </c>
      <c r="Y140" s="4">
        <f>VALUE(SUBSTITUTE(MID($A140,F140+F$2+1,G140-F140-F$2-1),",","."))</f>
        <v>0</v>
      </c>
      <c r="Z140" s="3">
        <f>VALUE(SUBSTITUTE(MID($A140,G140+G$2+1,H140-G140-G$2-1),",","."))</f>
        <v>0</v>
      </c>
      <c r="AA140" s="3">
        <f>VALUE(SUBSTITUTE(MID($A140,H140+H$2+1,I140-H140-H$2-1),",","."))</f>
        <v>0</v>
      </c>
      <c r="AB140" s="3">
        <f>VALUE(SUBSTITUTE(MID($A140,I140+I$2+1,J140-I140-I$2-1),",","."))</f>
        <v>0</v>
      </c>
      <c r="AC140" s="3">
        <f>VALUE(SUBSTITUTE(MID($A140,J140+J$2+1,K140-J140-J$2-1),",","."))</f>
        <v>-2.35</v>
      </c>
      <c r="AD140" s="3">
        <f>VALUE(SUBSTITUTE(MID($A140,K140+K$2+1,L140-K140-K$2-1),",","."))</f>
        <v>1.98</v>
      </c>
      <c r="AE140" s="3">
        <f>VALUE(SUBSTITUTE(MID($A140,L140+L$2+1,M140-L140-L$2-1),",","."))</f>
        <v>0</v>
      </c>
      <c r="AF140" s="3">
        <f>VALUE(SUBSTITUTE(MID($A140,M140+M$2+1,N140-M140-M$2-1),",","."))</f>
        <v>0</v>
      </c>
      <c r="AG140" s="3">
        <f>VALUE(SUBSTITUTE(MID($A140,N140+N$2+1,O140-N140-N$2-1),",","."))</f>
        <v>4.2073679693456301</v>
      </c>
      <c r="AH140" t="str">
        <f>MID($A140,O140+O$2+1,P140-O140-O$2-1)</f>
        <v/>
      </c>
      <c r="AI140" s="8" t="str">
        <f>MID($A140,P140+P$2+1,Q140-P140-P$2-1)</f>
        <v>False</v>
      </c>
      <c r="AK140" t="b">
        <f t="shared" si="25"/>
        <v>0</v>
      </c>
    </row>
    <row r="141" spans="1:37" x14ac:dyDescent="0.35">
      <c r="A141" t="s">
        <v>4688</v>
      </c>
      <c r="B141">
        <f t="shared" si="19"/>
        <v>10</v>
      </c>
      <c r="C141">
        <f t="shared" si="19"/>
        <v>43</v>
      </c>
      <c r="D141">
        <f t="shared" si="19"/>
        <v>54</v>
      </c>
      <c r="E141">
        <f t="shared" si="19"/>
        <v>80</v>
      </c>
      <c r="F141">
        <f t="shared" si="19"/>
        <v>124</v>
      </c>
      <c r="G141">
        <f t="shared" si="19"/>
        <v>145</v>
      </c>
      <c r="H141">
        <f t="shared" si="19"/>
        <v>177</v>
      </c>
      <c r="I141">
        <f t="shared" si="19"/>
        <v>199</v>
      </c>
      <c r="J141">
        <f t="shared" si="19"/>
        <v>232</v>
      </c>
      <c r="K141">
        <f t="shared" si="19"/>
        <v>252</v>
      </c>
      <c r="L141">
        <f t="shared" si="19"/>
        <v>284</v>
      </c>
      <c r="M141">
        <f t="shared" si="23"/>
        <v>299</v>
      </c>
      <c r="N141">
        <f t="shared" si="23"/>
        <v>311</v>
      </c>
      <c r="O141">
        <f t="shared" si="23"/>
        <v>337</v>
      </c>
      <c r="P141">
        <f t="shared" si="23"/>
        <v>355</v>
      </c>
      <c r="Q141">
        <f t="shared" si="20"/>
        <v>381</v>
      </c>
      <c r="S141" t="str">
        <f t="shared" si="21"/>
        <v>28.11.2025</v>
      </c>
      <c r="T141" t="str">
        <f t="shared" si="22"/>
        <v>05:45:00</v>
      </c>
      <c r="U141" t="str">
        <f t="shared" si="24"/>
        <v>28.11.2025 05:45:00</v>
      </c>
      <c r="V141" s="9" t="str">
        <f>MID($A141,C141+C$2+1,D141-C141-C$2-1)</f>
        <v>0</v>
      </c>
      <c r="W141" s="4">
        <f>VALUE(SUBSTITUTE(MID($A141,D141+D$2+1,E141-D141-D$2-1),",","."))</f>
        <v>0</v>
      </c>
      <c r="X141" s="4">
        <f>VALUE(SUBSTITUTE(MID($A141,E141+E$2+1,F141-E141-E$2-1),",","."))</f>
        <v>0.90957602214449496</v>
      </c>
      <c r="Y141" s="4">
        <f>VALUE(SUBSTITUTE(MID($A141,F141+F$2+1,G141-F141-F$2-1),",","."))</f>
        <v>0</v>
      </c>
      <c r="Z141" s="3">
        <f>VALUE(SUBSTITUTE(MID($A141,G141+G$2+1,H141-G141-G$2-1),",","."))</f>
        <v>0</v>
      </c>
      <c r="AA141" s="3">
        <f>VALUE(SUBSTITUTE(MID($A141,H141+H$2+1,I141-H141-H$2-1),",","."))</f>
        <v>0</v>
      </c>
      <c r="AB141" s="3">
        <f>VALUE(SUBSTITUTE(MID($A141,I141+I$2+1,J141-I141-I$2-1),",","."))</f>
        <v>0</v>
      </c>
      <c r="AC141" s="3">
        <f>VALUE(SUBSTITUTE(MID($A141,J141+J$2+1,K141-J141-J$2-1),",","."))</f>
        <v>-2.2999999999999998</v>
      </c>
      <c r="AD141" s="3">
        <f>VALUE(SUBSTITUTE(MID($A141,K141+K$2+1,L141-K141-K$2-1),",","."))</f>
        <v>2.34</v>
      </c>
      <c r="AE141" s="3">
        <f>VALUE(SUBSTITUTE(MID($A141,L141+L$2+1,M141-L141-L$2-1),",","."))</f>
        <v>0</v>
      </c>
      <c r="AF141" s="3">
        <f>VALUE(SUBSTITUTE(MID($A141,M141+M$2+1,N141-M141-M$2-1),",","."))</f>
        <v>0</v>
      </c>
      <c r="AG141" s="3">
        <f>VALUE(SUBSTITUTE(MID($A141,N141+N$2+1,O141-N141-N$2-1),",","."))</f>
        <v>4.2073964892337097</v>
      </c>
      <c r="AH141" t="str">
        <f>MID($A141,O141+O$2+1,P141-O141-O$2-1)</f>
        <v/>
      </c>
      <c r="AI141" s="8" t="str">
        <f>MID($A141,P141+P$2+1,Q141-P141-P$2-1)</f>
        <v>False</v>
      </c>
      <c r="AK141" t="b">
        <f t="shared" si="25"/>
        <v>0</v>
      </c>
    </row>
    <row r="142" spans="1:37" x14ac:dyDescent="0.35">
      <c r="A142" t="s">
        <v>4689</v>
      </c>
      <c r="B142">
        <f t="shared" si="19"/>
        <v>10</v>
      </c>
      <c r="C142">
        <f t="shared" si="19"/>
        <v>43</v>
      </c>
      <c r="D142">
        <f t="shared" si="19"/>
        <v>54</v>
      </c>
      <c r="E142">
        <f t="shared" si="19"/>
        <v>80</v>
      </c>
      <c r="F142">
        <f t="shared" si="19"/>
        <v>124</v>
      </c>
      <c r="G142">
        <f t="shared" si="19"/>
        <v>145</v>
      </c>
      <c r="H142">
        <f t="shared" si="19"/>
        <v>177</v>
      </c>
      <c r="I142">
        <f t="shared" si="19"/>
        <v>199</v>
      </c>
      <c r="J142">
        <f t="shared" si="19"/>
        <v>232</v>
      </c>
      <c r="K142">
        <f t="shared" si="19"/>
        <v>252</v>
      </c>
      <c r="L142">
        <f t="shared" si="19"/>
        <v>284</v>
      </c>
      <c r="M142">
        <f t="shared" si="23"/>
        <v>299</v>
      </c>
      <c r="N142">
        <f t="shared" si="23"/>
        <v>311</v>
      </c>
      <c r="O142">
        <f t="shared" si="23"/>
        <v>336</v>
      </c>
      <c r="P142">
        <f t="shared" si="23"/>
        <v>354</v>
      </c>
      <c r="Q142">
        <f t="shared" si="20"/>
        <v>380</v>
      </c>
      <c r="S142" t="str">
        <f t="shared" si="21"/>
        <v>28.11.2025</v>
      </c>
      <c r="T142" t="str">
        <f t="shared" si="22"/>
        <v>06:00:00</v>
      </c>
      <c r="U142" t="str">
        <f t="shared" si="24"/>
        <v>28.11.2025 06:00:00</v>
      </c>
      <c r="V142" s="9" t="str">
        <f>MID($A142,C142+C$2+1,D142-C142-C$2-1)</f>
        <v>0</v>
      </c>
      <c r="W142" s="4">
        <f>VALUE(SUBSTITUTE(MID($A142,D142+D$2+1,E142-D142-D$2-1),",","."))</f>
        <v>0</v>
      </c>
      <c r="X142" s="4">
        <f>VALUE(SUBSTITUTE(MID($A142,E142+E$2+1,F142-E142-E$2-1),",","."))</f>
        <v>0.90957602214449496</v>
      </c>
      <c r="Y142" s="4">
        <f>VALUE(SUBSTITUTE(MID($A142,F142+F$2+1,G142-F142-F$2-1),",","."))</f>
        <v>0</v>
      </c>
      <c r="Z142" s="3">
        <f>VALUE(SUBSTITUTE(MID($A142,G142+G$2+1,H142-G142-G$2-1),",","."))</f>
        <v>0</v>
      </c>
      <c r="AA142" s="3">
        <f>VALUE(SUBSTITUTE(MID($A142,H142+H$2+1,I142-H142-H$2-1),",","."))</f>
        <v>0</v>
      </c>
      <c r="AB142" s="3">
        <f>VALUE(SUBSTITUTE(MID($A142,I142+I$2+1,J142-I142-I$2-1),",","."))</f>
        <v>0</v>
      </c>
      <c r="AC142" s="3">
        <f>VALUE(SUBSTITUTE(MID($A142,J142+J$2+1,K142-J142-J$2-1),",","."))</f>
        <v>-2.4</v>
      </c>
      <c r="AD142" s="3">
        <f>VALUE(SUBSTITUTE(MID($A142,K142+K$2+1,L142-K142-K$2-1),",","."))</f>
        <v>3.42</v>
      </c>
      <c r="AE142" s="3">
        <f>VALUE(SUBSTITUTE(MID($A142,L142+L$2+1,M142-L142-L$2-1),",","."))</f>
        <v>0</v>
      </c>
      <c r="AF142" s="3">
        <f>VALUE(SUBSTITUTE(MID($A142,M142+M$2+1,N142-M142-M$2-1),",","."))</f>
        <v>0</v>
      </c>
      <c r="AG142" s="3">
        <f>VALUE(SUBSTITUTE(MID($A142,N142+N$2+1,O142-N142-N$2-1),",","."))</f>
        <v>4.2074250091218</v>
      </c>
      <c r="AH142" t="str">
        <f>MID($A142,O142+O$2+1,P142-O142-O$2-1)</f>
        <v/>
      </c>
      <c r="AI142" s="8" t="str">
        <f>MID($A142,P142+P$2+1,Q142-P142-P$2-1)</f>
        <v>False</v>
      </c>
      <c r="AK142" t="b">
        <f t="shared" si="25"/>
        <v>0</v>
      </c>
    </row>
    <row r="143" spans="1:37" x14ac:dyDescent="0.35">
      <c r="A143" t="s">
        <v>4690</v>
      </c>
      <c r="B143">
        <f t="shared" si="19"/>
        <v>10</v>
      </c>
      <c r="C143">
        <f t="shared" si="19"/>
        <v>43</v>
      </c>
      <c r="D143">
        <f t="shared" si="19"/>
        <v>54</v>
      </c>
      <c r="E143">
        <f t="shared" si="19"/>
        <v>80</v>
      </c>
      <c r="F143">
        <f t="shared" si="19"/>
        <v>124</v>
      </c>
      <c r="G143">
        <f t="shared" si="19"/>
        <v>145</v>
      </c>
      <c r="H143">
        <f t="shared" si="19"/>
        <v>177</v>
      </c>
      <c r="I143">
        <f t="shared" si="19"/>
        <v>199</v>
      </c>
      <c r="J143">
        <f t="shared" si="19"/>
        <v>232</v>
      </c>
      <c r="K143">
        <f t="shared" si="19"/>
        <v>252</v>
      </c>
      <c r="L143">
        <f t="shared" si="19"/>
        <v>284</v>
      </c>
      <c r="M143">
        <f t="shared" si="23"/>
        <v>299</v>
      </c>
      <c r="N143">
        <f t="shared" si="23"/>
        <v>311</v>
      </c>
      <c r="O143">
        <f t="shared" si="23"/>
        <v>336</v>
      </c>
      <c r="P143">
        <f t="shared" si="23"/>
        <v>354</v>
      </c>
      <c r="Q143">
        <f t="shared" si="20"/>
        <v>380</v>
      </c>
      <c r="S143" t="str">
        <f t="shared" si="21"/>
        <v>28.11.2025</v>
      </c>
      <c r="T143" t="str">
        <f t="shared" si="22"/>
        <v>06:15:00</v>
      </c>
      <c r="U143" t="str">
        <f t="shared" si="24"/>
        <v>28.11.2025 06:15:00</v>
      </c>
      <c r="V143" s="9" t="str">
        <f>MID($A143,C143+C$2+1,D143-C143-C$2-1)</f>
        <v>0</v>
      </c>
      <c r="W143" s="4">
        <f>VALUE(SUBSTITUTE(MID($A143,D143+D$2+1,E143-D143-D$2-1),",","."))</f>
        <v>0</v>
      </c>
      <c r="X143" s="4">
        <f>VALUE(SUBSTITUTE(MID($A143,E143+E$2+1,F143-E143-E$2-1),",","."))</f>
        <v>0.90957602214449496</v>
      </c>
      <c r="Y143" s="4">
        <f>VALUE(SUBSTITUTE(MID($A143,F143+F$2+1,G143-F143-F$2-1),",","."))</f>
        <v>0</v>
      </c>
      <c r="Z143" s="3">
        <f>VALUE(SUBSTITUTE(MID($A143,G143+G$2+1,H143-G143-G$2-1),",","."))</f>
        <v>0</v>
      </c>
      <c r="AA143" s="3">
        <f>VALUE(SUBSTITUTE(MID($A143,H143+H$2+1,I143-H143-H$2-1),",","."))</f>
        <v>0</v>
      </c>
      <c r="AB143" s="3">
        <f>VALUE(SUBSTITUTE(MID($A143,I143+I$2+1,J143-I143-I$2-1),",","."))</f>
        <v>0</v>
      </c>
      <c r="AC143" s="3">
        <f>VALUE(SUBSTITUTE(MID($A143,J143+J$2+1,K143-J143-J$2-1),",","."))</f>
        <v>-2.4</v>
      </c>
      <c r="AD143" s="3">
        <f>VALUE(SUBSTITUTE(MID($A143,K143+K$2+1,L143-K143-K$2-1),",","."))</f>
        <v>3.96</v>
      </c>
      <c r="AE143" s="3">
        <f>VALUE(SUBSTITUTE(MID($A143,L143+L$2+1,M143-L143-L$2-1),",","."))</f>
        <v>0</v>
      </c>
      <c r="AF143" s="3">
        <f>VALUE(SUBSTITUTE(MID($A143,M143+M$2+1,N143-M143-M$2-1),",","."))</f>
        <v>0</v>
      </c>
      <c r="AG143" s="3">
        <f>VALUE(SUBSTITUTE(MID($A143,N143+N$2+1,O143-N143-N$2-1),",","."))</f>
        <v>4.2074535290098796</v>
      </c>
      <c r="AH143" t="str">
        <f>MID($A143,O143+O$2+1,P143-O143-O$2-1)</f>
        <v/>
      </c>
      <c r="AI143" s="8" t="str">
        <f>MID($A143,P143+P$2+1,Q143-P143-P$2-1)</f>
        <v>False</v>
      </c>
      <c r="AK143" t="b">
        <f t="shared" si="25"/>
        <v>0</v>
      </c>
    </row>
    <row r="144" spans="1:37" x14ac:dyDescent="0.35">
      <c r="A144" t="s">
        <v>4691</v>
      </c>
      <c r="B144">
        <f t="shared" si="19"/>
        <v>10</v>
      </c>
      <c r="C144">
        <f t="shared" si="19"/>
        <v>43</v>
      </c>
      <c r="D144">
        <f t="shared" si="19"/>
        <v>54</v>
      </c>
      <c r="E144">
        <f t="shared" si="19"/>
        <v>80</v>
      </c>
      <c r="F144">
        <f t="shared" si="19"/>
        <v>124</v>
      </c>
      <c r="G144">
        <f t="shared" si="19"/>
        <v>145</v>
      </c>
      <c r="H144">
        <f t="shared" si="19"/>
        <v>177</v>
      </c>
      <c r="I144">
        <f t="shared" si="19"/>
        <v>199</v>
      </c>
      <c r="J144">
        <f t="shared" si="19"/>
        <v>232</v>
      </c>
      <c r="K144">
        <f t="shared" si="19"/>
        <v>252</v>
      </c>
      <c r="L144">
        <f t="shared" si="19"/>
        <v>284</v>
      </c>
      <c r="M144">
        <f t="shared" si="23"/>
        <v>299</v>
      </c>
      <c r="N144">
        <f t="shared" si="23"/>
        <v>311</v>
      </c>
      <c r="O144">
        <f t="shared" si="23"/>
        <v>336</v>
      </c>
      <c r="P144">
        <f t="shared" si="23"/>
        <v>354</v>
      </c>
      <c r="Q144">
        <f t="shared" si="20"/>
        <v>380</v>
      </c>
      <c r="S144" t="str">
        <f t="shared" si="21"/>
        <v>28.11.2025</v>
      </c>
      <c r="T144" t="str">
        <f t="shared" si="22"/>
        <v>06:30:00</v>
      </c>
      <c r="U144" t="str">
        <f t="shared" si="24"/>
        <v>28.11.2025 06:30:00</v>
      </c>
      <c r="V144" s="9" t="str">
        <f>MID($A144,C144+C$2+1,D144-C144-C$2-1)</f>
        <v>0</v>
      </c>
      <c r="W144" s="4">
        <f>VALUE(SUBSTITUTE(MID($A144,D144+D$2+1,E144-D144-D$2-1),",","."))</f>
        <v>0</v>
      </c>
      <c r="X144" s="4">
        <f>VALUE(SUBSTITUTE(MID($A144,E144+E$2+1,F144-E144-E$2-1),",","."))</f>
        <v>0.90957602214449496</v>
      </c>
      <c r="Y144" s="4">
        <f>VALUE(SUBSTITUTE(MID($A144,F144+F$2+1,G144-F144-F$2-1),",","."))</f>
        <v>0</v>
      </c>
      <c r="Z144" s="3">
        <f>VALUE(SUBSTITUTE(MID($A144,G144+G$2+1,H144-G144-G$2-1),",","."))</f>
        <v>0</v>
      </c>
      <c r="AA144" s="3">
        <f>VALUE(SUBSTITUTE(MID($A144,H144+H$2+1,I144-H144-H$2-1),",","."))</f>
        <v>0</v>
      </c>
      <c r="AB144" s="3">
        <f>VALUE(SUBSTITUTE(MID($A144,I144+I$2+1,J144-I144-I$2-1),",","."))</f>
        <v>0</v>
      </c>
      <c r="AC144" s="3">
        <f>VALUE(SUBSTITUTE(MID($A144,J144+J$2+1,K144-J144-J$2-1),",","."))</f>
        <v>-2.4</v>
      </c>
      <c r="AD144" s="3">
        <f>VALUE(SUBSTITUTE(MID($A144,K144+K$2+1,L144-K144-K$2-1),",","."))</f>
        <v>3.78</v>
      </c>
      <c r="AE144" s="3">
        <f>VALUE(SUBSTITUTE(MID($A144,L144+L$2+1,M144-L144-L$2-1),",","."))</f>
        <v>0</v>
      </c>
      <c r="AF144" s="3">
        <f>VALUE(SUBSTITUTE(MID($A144,M144+M$2+1,N144-M144-M$2-1),",","."))</f>
        <v>0</v>
      </c>
      <c r="AG144" s="3">
        <f>VALUE(SUBSTITUTE(MID($A144,N144+N$2+1,O144-N144-N$2-1),",","."))</f>
        <v>4.2074820488979601</v>
      </c>
      <c r="AH144" t="str">
        <f>MID($A144,O144+O$2+1,P144-O144-O$2-1)</f>
        <v/>
      </c>
      <c r="AI144" s="8" t="str">
        <f>MID($A144,P144+P$2+1,Q144-P144-P$2-1)</f>
        <v>False</v>
      </c>
      <c r="AK144" t="b">
        <f t="shared" si="25"/>
        <v>0</v>
      </c>
    </row>
    <row r="145" spans="1:37" x14ac:dyDescent="0.35">
      <c r="A145" t="s">
        <v>4692</v>
      </c>
      <c r="B145">
        <f t="shared" si="19"/>
        <v>10</v>
      </c>
      <c r="C145">
        <f t="shared" si="19"/>
        <v>43</v>
      </c>
      <c r="D145">
        <f t="shared" si="19"/>
        <v>54</v>
      </c>
      <c r="E145">
        <f t="shared" si="19"/>
        <v>80</v>
      </c>
      <c r="F145">
        <f t="shared" si="19"/>
        <v>124</v>
      </c>
      <c r="G145">
        <f t="shared" si="19"/>
        <v>145</v>
      </c>
      <c r="H145">
        <f t="shared" si="19"/>
        <v>177</v>
      </c>
      <c r="I145">
        <f t="shared" si="19"/>
        <v>199</v>
      </c>
      <c r="J145">
        <f t="shared" si="19"/>
        <v>232</v>
      </c>
      <c r="K145">
        <f t="shared" si="19"/>
        <v>253</v>
      </c>
      <c r="L145">
        <f t="shared" si="19"/>
        <v>284</v>
      </c>
      <c r="M145">
        <f t="shared" si="23"/>
        <v>299</v>
      </c>
      <c r="N145">
        <f t="shared" si="23"/>
        <v>311</v>
      </c>
      <c r="O145">
        <f t="shared" si="23"/>
        <v>336</v>
      </c>
      <c r="P145">
        <f t="shared" si="23"/>
        <v>354</v>
      </c>
      <c r="Q145">
        <f t="shared" si="20"/>
        <v>380</v>
      </c>
      <c r="S145" t="str">
        <f t="shared" si="21"/>
        <v>28.11.2025</v>
      </c>
      <c r="T145" t="str">
        <f t="shared" si="22"/>
        <v>06:45:00</v>
      </c>
      <c r="U145" t="str">
        <f t="shared" si="24"/>
        <v>28.11.2025 06:45:00</v>
      </c>
      <c r="V145" s="9" t="str">
        <f>MID($A145,C145+C$2+1,D145-C145-C$2-1)</f>
        <v>0</v>
      </c>
      <c r="W145" s="4">
        <f>VALUE(SUBSTITUTE(MID($A145,D145+D$2+1,E145-D145-D$2-1),",","."))</f>
        <v>0</v>
      </c>
      <c r="X145" s="4">
        <f>VALUE(SUBSTITUTE(MID($A145,E145+E$2+1,F145-E145-E$2-1),",","."))</f>
        <v>0.90957602214449496</v>
      </c>
      <c r="Y145" s="4">
        <f>VALUE(SUBSTITUTE(MID($A145,F145+F$2+1,G145-F145-F$2-1),",","."))</f>
        <v>0</v>
      </c>
      <c r="Z145" s="3">
        <f>VALUE(SUBSTITUTE(MID($A145,G145+G$2+1,H145-G145-G$2-1),",","."))</f>
        <v>0</v>
      </c>
      <c r="AA145" s="3">
        <f>VALUE(SUBSTITUTE(MID($A145,H145+H$2+1,I145-H145-H$2-1),",","."))</f>
        <v>0</v>
      </c>
      <c r="AB145" s="3">
        <f>VALUE(SUBSTITUTE(MID($A145,I145+I$2+1,J145-I145-I$2-1),",","."))</f>
        <v>0</v>
      </c>
      <c r="AC145" s="3">
        <f>VALUE(SUBSTITUTE(MID($A145,J145+J$2+1,K145-J145-J$2-1),",","."))</f>
        <v>-2.35</v>
      </c>
      <c r="AD145" s="3">
        <f>VALUE(SUBSTITUTE(MID($A145,K145+K$2+1,L145-K145-K$2-1),",","."))</f>
        <v>5.22</v>
      </c>
      <c r="AE145" s="3">
        <f>VALUE(SUBSTITUTE(MID($A145,L145+L$2+1,M145-L145-L$2-1),",","."))</f>
        <v>0</v>
      </c>
      <c r="AF145" s="3">
        <f>VALUE(SUBSTITUTE(MID($A145,M145+M$2+1,N145-M145-M$2-1),",","."))</f>
        <v>0</v>
      </c>
      <c r="AG145" s="3">
        <f>VALUE(SUBSTITUTE(MID($A145,N145+N$2+1,O145-N145-N$2-1),",","."))</f>
        <v>4.2075105687860397</v>
      </c>
      <c r="AH145" t="str">
        <f>MID($A145,O145+O$2+1,P145-O145-O$2-1)</f>
        <v/>
      </c>
      <c r="AI145" s="8" t="str">
        <f>MID($A145,P145+P$2+1,Q145-P145-P$2-1)</f>
        <v>False</v>
      </c>
      <c r="AK145" t="b">
        <f t="shared" si="25"/>
        <v>0</v>
      </c>
    </row>
    <row r="146" spans="1:37" x14ac:dyDescent="0.35">
      <c r="A146" t="s">
        <v>4693</v>
      </c>
      <c r="B146">
        <f t="shared" si="19"/>
        <v>10</v>
      </c>
      <c r="C146">
        <f t="shared" si="19"/>
        <v>43</v>
      </c>
      <c r="D146">
        <f t="shared" si="19"/>
        <v>54</v>
      </c>
      <c r="E146">
        <f t="shared" si="19"/>
        <v>80</v>
      </c>
      <c r="F146">
        <f t="shared" si="19"/>
        <v>124</v>
      </c>
      <c r="G146">
        <f t="shared" si="19"/>
        <v>145</v>
      </c>
      <c r="H146">
        <f t="shared" si="19"/>
        <v>177</v>
      </c>
      <c r="I146">
        <f t="shared" si="19"/>
        <v>199</v>
      </c>
      <c r="J146">
        <f t="shared" si="19"/>
        <v>232</v>
      </c>
      <c r="K146">
        <f t="shared" si="19"/>
        <v>253</v>
      </c>
      <c r="L146">
        <f t="shared" si="19"/>
        <v>284</v>
      </c>
      <c r="M146">
        <f t="shared" si="23"/>
        <v>299</v>
      </c>
      <c r="N146">
        <f t="shared" si="23"/>
        <v>311</v>
      </c>
      <c r="O146">
        <f t="shared" si="23"/>
        <v>336</v>
      </c>
      <c r="P146">
        <f t="shared" si="23"/>
        <v>354</v>
      </c>
      <c r="Q146">
        <f t="shared" si="20"/>
        <v>380</v>
      </c>
      <c r="S146" t="str">
        <f t="shared" si="21"/>
        <v>28.11.2025</v>
      </c>
      <c r="T146" t="str">
        <f t="shared" si="22"/>
        <v>07:00:00</v>
      </c>
      <c r="U146" t="str">
        <f t="shared" si="24"/>
        <v>28.11.2025 07:00:00</v>
      </c>
      <c r="V146" s="9" t="str">
        <f>MID($A146,C146+C$2+1,D146-C146-C$2-1)</f>
        <v>0</v>
      </c>
      <c r="W146" s="4">
        <f>VALUE(SUBSTITUTE(MID($A146,D146+D$2+1,E146-D146-D$2-1),",","."))</f>
        <v>0</v>
      </c>
      <c r="X146" s="4">
        <f>VALUE(SUBSTITUTE(MID($A146,E146+E$2+1,F146-E146-E$2-1),",","."))</f>
        <v>0.90957602214449496</v>
      </c>
      <c r="Y146" s="4">
        <f>VALUE(SUBSTITUTE(MID($A146,F146+F$2+1,G146-F146-F$2-1),",","."))</f>
        <v>0</v>
      </c>
      <c r="Z146" s="3">
        <f>VALUE(SUBSTITUTE(MID($A146,G146+G$2+1,H146-G146-G$2-1),",","."))</f>
        <v>0</v>
      </c>
      <c r="AA146" s="3">
        <f>VALUE(SUBSTITUTE(MID($A146,H146+H$2+1,I146-H146-H$2-1),",","."))</f>
        <v>0</v>
      </c>
      <c r="AB146" s="3">
        <f>VALUE(SUBSTITUTE(MID($A146,I146+I$2+1,J146-I146-I$2-1),",","."))</f>
        <v>0</v>
      </c>
      <c r="AC146" s="3">
        <f>VALUE(SUBSTITUTE(MID($A146,J146+J$2+1,K146-J146-J$2-1),",","."))</f>
        <v>-2.25</v>
      </c>
      <c r="AD146" s="3">
        <f>VALUE(SUBSTITUTE(MID($A146,K146+K$2+1,L146-K146-K$2-1),",","."))</f>
        <v>6.3</v>
      </c>
      <c r="AE146" s="3">
        <f>VALUE(SUBSTITUTE(MID($A146,L146+L$2+1,M146-L146-L$2-1),",","."))</f>
        <v>0</v>
      </c>
      <c r="AF146" s="3">
        <f>VALUE(SUBSTITUTE(MID($A146,M146+M$2+1,N146-M146-M$2-1),",","."))</f>
        <v>0</v>
      </c>
      <c r="AG146" s="3">
        <f>VALUE(SUBSTITUTE(MID($A146,N146+N$2+1,O146-N146-N$2-1),",","."))</f>
        <v>4.2075390886741202</v>
      </c>
      <c r="AH146" t="str">
        <f>MID($A146,O146+O$2+1,P146-O146-O$2-1)</f>
        <v/>
      </c>
      <c r="AI146" s="8" t="str">
        <f>MID($A146,P146+P$2+1,Q146-P146-P$2-1)</f>
        <v>False</v>
      </c>
      <c r="AK146" t="b">
        <f t="shared" si="25"/>
        <v>0</v>
      </c>
    </row>
    <row r="147" spans="1:37" x14ac:dyDescent="0.35">
      <c r="A147" t="s">
        <v>4694</v>
      </c>
      <c r="B147">
        <f t="shared" si="19"/>
        <v>10</v>
      </c>
      <c r="C147">
        <f t="shared" si="19"/>
        <v>43</v>
      </c>
      <c r="D147">
        <f t="shared" si="19"/>
        <v>54</v>
      </c>
      <c r="E147">
        <f t="shared" si="19"/>
        <v>80</v>
      </c>
      <c r="F147">
        <f t="shared" si="19"/>
        <v>124</v>
      </c>
      <c r="G147">
        <f t="shared" si="19"/>
        <v>145</v>
      </c>
      <c r="H147">
        <f t="shared" si="19"/>
        <v>177</v>
      </c>
      <c r="I147">
        <f t="shared" si="19"/>
        <v>199</v>
      </c>
      <c r="J147">
        <f t="shared" si="19"/>
        <v>232</v>
      </c>
      <c r="K147">
        <f t="shared" si="19"/>
        <v>252</v>
      </c>
      <c r="L147">
        <f t="shared" si="19"/>
        <v>284</v>
      </c>
      <c r="M147">
        <f t="shared" si="23"/>
        <v>299</v>
      </c>
      <c r="N147">
        <f t="shared" si="23"/>
        <v>311</v>
      </c>
      <c r="O147">
        <f t="shared" si="23"/>
        <v>336</v>
      </c>
      <c r="P147">
        <f t="shared" si="23"/>
        <v>354</v>
      </c>
      <c r="Q147">
        <f t="shared" si="20"/>
        <v>380</v>
      </c>
      <c r="S147" t="str">
        <f t="shared" si="21"/>
        <v>28.11.2025</v>
      </c>
      <c r="T147" t="str">
        <f t="shared" si="22"/>
        <v>07:15:00</v>
      </c>
      <c r="U147" t="str">
        <f t="shared" si="24"/>
        <v>28.11.2025 07:15:00</v>
      </c>
      <c r="V147" s="9" t="str">
        <f>MID($A147,C147+C$2+1,D147-C147-C$2-1)</f>
        <v>0</v>
      </c>
      <c r="W147" s="4">
        <f>VALUE(SUBSTITUTE(MID($A147,D147+D$2+1,E147-D147-D$2-1),",","."))</f>
        <v>0</v>
      </c>
      <c r="X147" s="4">
        <f>VALUE(SUBSTITUTE(MID($A147,E147+E$2+1,F147-E147-E$2-1),",","."))</f>
        <v>0.90957602214449496</v>
      </c>
      <c r="Y147" s="4">
        <f>VALUE(SUBSTITUTE(MID($A147,F147+F$2+1,G147-F147-F$2-1),",","."))</f>
        <v>0</v>
      </c>
      <c r="Z147" s="3">
        <f>VALUE(SUBSTITUTE(MID($A147,G147+G$2+1,H147-G147-G$2-1),",","."))</f>
        <v>0</v>
      </c>
      <c r="AA147" s="3">
        <f>VALUE(SUBSTITUTE(MID($A147,H147+H$2+1,I147-H147-H$2-1),",","."))</f>
        <v>0</v>
      </c>
      <c r="AB147" s="3">
        <f>VALUE(SUBSTITUTE(MID($A147,I147+I$2+1,J147-I147-I$2-1),",","."))</f>
        <v>0</v>
      </c>
      <c r="AC147" s="3">
        <f>VALUE(SUBSTITUTE(MID($A147,J147+J$2+1,K147-J147-J$2-1),",","."))</f>
        <v>-2.2000000000000002</v>
      </c>
      <c r="AD147" s="3">
        <f>VALUE(SUBSTITUTE(MID($A147,K147+K$2+1,L147-K147-K$2-1),",","."))</f>
        <v>7.56</v>
      </c>
      <c r="AE147" s="3">
        <f>VALUE(SUBSTITUTE(MID($A147,L147+L$2+1,M147-L147-L$2-1),",","."))</f>
        <v>0</v>
      </c>
      <c r="AF147" s="3">
        <f>VALUE(SUBSTITUTE(MID($A147,M147+M$2+1,N147-M147-M$2-1),",","."))</f>
        <v>0</v>
      </c>
      <c r="AG147" s="3">
        <f>VALUE(SUBSTITUTE(MID($A147,N147+N$2+1,O147-N147-N$2-1),",","."))</f>
        <v>4.2075676085621998</v>
      </c>
      <c r="AH147" t="str">
        <f>MID($A147,O147+O$2+1,P147-O147-O$2-1)</f>
        <v/>
      </c>
      <c r="AI147" s="8" t="str">
        <f>MID($A147,P147+P$2+1,Q147-P147-P$2-1)</f>
        <v>False</v>
      </c>
      <c r="AK147" t="b">
        <f t="shared" si="25"/>
        <v>0</v>
      </c>
    </row>
    <row r="148" spans="1:37" x14ac:dyDescent="0.35">
      <c r="A148" t="s">
        <v>4695</v>
      </c>
      <c r="B148">
        <f t="shared" si="19"/>
        <v>10</v>
      </c>
      <c r="C148">
        <f t="shared" si="19"/>
        <v>43</v>
      </c>
      <c r="D148">
        <f t="shared" si="19"/>
        <v>54</v>
      </c>
      <c r="E148">
        <f t="shared" si="19"/>
        <v>80</v>
      </c>
      <c r="F148">
        <f t="shared" si="19"/>
        <v>124</v>
      </c>
      <c r="G148">
        <f t="shared" si="19"/>
        <v>145</v>
      </c>
      <c r="H148">
        <f t="shared" si="19"/>
        <v>177</v>
      </c>
      <c r="I148">
        <f t="shared" si="19"/>
        <v>199</v>
      </c>
      <c r="J148">
        <f t="shared" si="19"/>
        <v>232</v>
      </c>
      <c r="K148">
        <f t="shared" si="19"/>
        <v>253</v>
      </c>
      <c r="L148">
        <f t="shared" si="19"/>
        <v>271</v>
      </c>
      <c r="M148">
        <f t="shared" si="23"/>
        <v>286</v>
      </c>
      <c r="N148">
        <f t="shared" si="23"/>
        <v>298</v>
      </c>
      <c r="O148">
        <f t="shared" si="23"/>
        <v>322</v>
      </c>
      <c r="P148">
        <f t="shared" si="23"/>
        <v>340</v>
      </c>
      <c r="Q148">
        <f t="shared" si="20"/>
        <v>366</v>
      </c>
      <c r="S148" t="str">
        <f t="shared" si="21"/>
        <v>28.11.2025</v>
      </c>
      <c r="T148" t="str">
        <f t="shared" si="22"/>
        <v>07:30:00</v>
      </c>
      <c r="U148" t="str">
        <f t="shared" si="24"/>
        <v>28.11.2025 07:30:00</v>
      </c>
      <c r="V148" s="9" t="str">
        <f>MID($A148,C148+C$2+1,D148-C148-C$2-1)</f>
        <v>0</v>
      </c>
      <c r="W148" s="4">
        <f>VALUE(SUBSTITUTE(MID($A148,D148+D$2+1,E148-D148-D$2-1),",","."))</f>
        <v>0</v>
      </c>
      <c r="X148" s="4">
        <f>VALUE(SUBSTITUTE(MID($A148,E148+E$2+1,F148-E148-E$2-1),",","."))</f>
        <v>0.90957602214449496</v>
      </c>
      <c r="Y148" s="4">
        <f>VALUE(SUBSTITUTE(MID($A148,F148+F$2+1,G148-F148-F$2-1),",","."))</f>
        <v>0</v>
      </c>
      <c r="Z148" s="3">
        <f>VALUE(SUBSTITUTE(MID($A148,G148+G$2+1,H148-G148-G$2-1),",","."))</f>
        <v>0</v>
      </c>
      <c r="AA148" s="3">
        <f>VALUE(SUBSTITUTE(MID($A148,H148+H$2+1,I148-H148-H$2-1),",","."))</f>
        <v>0</v>
      </c>
      <c r="AB148" s="3">
        <f>VALUE(SUBSTITUTE(MID($A148,I148+I$2+1,J148-I148-I$2-1),",","."))</f>
        <v>0</v>
      </c>
      <c r="AC148" s="3">
        <f>VALUE(SUBSTITUTE(MID($A148,J148+J$2+1,K148-J148-J$2-1),",","."))</f>
        <v>-2.0499999999999998</v>
      </c>
      <c r="AD148" s="3">
        <f>VALUE(SUBSTITUTE(MID($A148,K148+K$2+1,L148-K148-K$2-1),",","."))</f>
        <v>7.02</v>
      </c>
      <c r="AE148" s="3">
        <f>VALUE(SUBSTITUTE(MID($A148,L148+L$2+1,M148-L148-L$2-1),",","."))</f>
        <v>0</v>
      </c>
      <c r="AF148" s="3">
        <f>VALUE(SUBSTITUTE(MID($A148,M148+M$2+1,N148-M148-M$2-1),",","."))</f>
        <v>0</v>
      </c>
      <c r="AG148" s="3">
        <f>VALUE(SUBSTITUTE(MID($A148,N148+N$2+1,O148-N148-N$2-1),",","."))</f>
        <v>4.2075961284502901</v>
      </c>
      <c r="AH148" t="str">
        <f>MID($A148,O148+O$2+1,P148-O148-O$2-1)</f>
        <v/>
      </c>
      <c r="AI148" s="8" t="str">
        <f>MID($A148,P148+P$2+1,Q148-P148-P$2-1)</f>
        <v>False</v>
      </c>
      <c r="AK148" t="b">
        <f t="shared" si="25"/>
        <v>0</v>
      </c>
    </row>
    <row r="149" spans="1:37" x14ac:dyDescent="0.35">
      <c r="A149" t="s">
        <v>4696</v>
      </c>
      <c r="B149">
        <f t="shared" si="19"/>
        <v>10</v>
      </c>
      <c r="C149">
        <f t="shared" si="19"/>
        <v>43</v>
      </c>
      <c r="D149">
        <f t="shared" si="19"/>
        <v>54</v>
      </c>
      <c r="E149">
        <f t="shared" si="19"/>
        <v>80</v>
      </c>
      <c r="F149">
        <f t="shared" si="19"/>
        <v>124</v>
      </c>
      <c r="G149">
        <f t="shared" si="19"/>
        <v>164</v>
      </c>
      <c r="H149">
        <f t="shared" si="19"/>
        <v>196</v>
      </c>
      <c r="I149">
        <f t="shared" si="19"/>
        <v>218</v>
      </c>
      <c r="J149">
        <f t="shared" si="19"/>
        <v>251</v>
      </c>
      <c r="K149">
        <f t="shared" si="19"/>
        <v>269</v>
      </c>
      <c r="L149">
        <f t="shared" si="19"/>
        <v>287</v>
      </c>
      <c r="M149">
        <f t="shared" si="23"/>
        <v>302</v>
      </c>
      <c r="N149">
        <f t="shared" si="23"/>
        <v>314</v>
      </c>
      <c r="O149">
        <f t="shared" si="23"/>
        <v>340</v>
      </c>
      <c r="P149">
        <f t="shared" si="23"/>
        <v>358</v>
      </c>
      <c r="Q149">
        <f t="shared" si="20"/>
        <v>384</v>
      </c>
      <c r="S149" t="str">
        <f t="shared" si="21"/>
        <v>28.11.2025</v>
      </c>
      <c r="T149" t="str">
        <f t="shared" si="22"/>
        <v>07:45:00</v>
      </c>
      <c r="U149" t="str">
        <f t="shared" si="24"/>
        <v>28.11.2025 07:45:00</v>
      </c>
      <c r="V149" s="9" t="str">
        <f>MID($A149,C149+C$2+1,D149-C149-C$2-1)</f>
        <v>0</v>
      </c>
      <c r="W149" s="4">
        <f>VALUE(SUBSTITUTE(MID($A149,D149+D$2+1,E149-D149-D$2-1),",","."))</f>
        <v>0</v>
      </c>
      <c r="X149" s="4">
        <f>VALUE(SUBSTITUTE(MID($A149,E149+E$2+1,F149-E149-E$2-1),",","."))</f>
        <v>0.90957602214449496</v>
      </c>
      <c r="Y149" s="4">
        <f>VALUE(SUBSTITUTE(MID($A149,F149+F$2+1,G149-F149-F$2-1),",","."))</f>
        <v>6.9103096558415797E-3</v>
      </c>
      <c r="Z149" s="3">
        <f>VALUE(SUBSTITUTE(MID($A149,G149+G$2+1,H149-G149-G$2-1),",","."))</f>
        <v>0</v>
      </c>
      <c r="AA149" s="3">
        <f>VALUE(SUBSTITUTE(MID($A149,H149+H$2+1,I149-H149-H$2-1),",","."))</f>
        <v>0</v>
      </c>
      <c r="AB149" s="3">
        <f>VALUE(SUBSTITUTE(MID($A149,I149+I$2+1,J149-I149-I$2-1),",","."))</f>
        <v>0</v>
      </c>
      <c r="AC149" s="3">
        <f>VALUE(SUBSTITUTE(MID($A149,J149+J$2+1,K149-J149-J$2-1),",","."))</f>
        <v>-2</v>
      </c>
      <c r="AD149" s="3">
        <f>VALUE(SUBSTITUTE(MID($A149,K149+K$2+1,L149-K149-K$2-1),",","."))</f>
        <v>6.66</v>
      </c>
      <c r="AE149" s="3">
        <f>VALUE(SUBSTITUTE(MID($A149,L149+L$2+1,M149-L149-L$2-1),",","."))</f>
        <v>0</v>
      </c>
      <c r="AF149" s="3">
        <f>VALUE(SUBSTITUTE(MID($A149,M149+M$2+1,N149-M149-M$2-1),",","."))</f>
        <v>0</v>
      </c>
      <c r="AG149" s="3">
        <f>VALUE(SUBSTITUTE(MID($A149,N149+N$2+1,O149-N149-N$2-1),",","."))</f>
        <v>4.2076246483383697</v>
      </c>
      <c r="AH149" t="str">
        <f>MID($A149,O149+O$2+1,P149-O149-O$2-1)</f>
        <v/>
      </c>
      <c r="AI149" s="8" t="str">
        <f>MID($A149,P149+P$2+1,Q149-P149-P$2-1)</f>
        <v>False</v>
      </c>
      <c r="AK149" t="b">
        <f t="shared" si="25"/>
        <v>0</v>
      </c>
    </row>
    <row r="150" spans="1:37" x14ac:dyDescent="0.35">
      <c r="A150" t="s">
        <v>4697</v>
      </c>
      <c r="B150">
        <f t="shared" si="19"/>
        <v>10</v>
      </c>
      <c r="C150">
        <f t="shared" si="19"/>
        <v>43</v>
      </c>
      <c r="D150">
        <f t="shared" si="19"/>
        <v>54</v>
      </c>
      <c r="E150">
        <f t="shared" si="19"/>
        <v>97</v>
      </c>
      <c r="F150">
        <f t="shared" si="19"/>
        <v>141</v>
      </c>
      <c r="G150">
        <f t="shared" si="19"/>
        <v>181</v>
      </c>
      <c r="H150">
        <f t="shared" si="19"/>
        <v>213</v>
      </c>
      <c r="I150">
        <f t="shared" si="19"/>
        <v>235</v>
      </c>
      <c r="J150">
        <f t="shared" si="19"/>
        <v>268</v>
      </c>
      <c r="K150">
        <f t="shared" si="19"/>
        <v>288</v>
      </c>
      <c r="L150">
        <f t="shared" si="19"/>
        <v>306</v>
      </c>
      <c r="M150">
        <f t="shared" si="23"/>
        <v>321</v>
      </c>
      <c r="N150">
        <f t="shared" si="23"/>
        <v>333</v>
      </c>
      <c r="O150">
        <f t="shared" si="23"/>
        <v>358</v>
      </c>
      <c r="P150">
        <f t="shared" si="23"/>
        <v>376</v>
      </c>
      <c r="Q150">
        <f t="shared" si="20"/>
        <v>402</v>
      </c>
      <c r="S150" t="str">
        <f t="shared" si="21"/>
        <v>28.11.2025</v>
      </c>
      <c r="T150" t="str">
        <f t="shared" si="22"/>
        <v>08:00:00</v>
      </c>
      <c r="U150" t="str">
        <f t="shared" si="24"/>
        <v>28.11.2025 08:00:00</v>
      </c>
      <c r="V150" s="9" t="str">
        <f>MID($A150,C150+C$2+1,D150-C150-C$2-1)</f>
        <v>0</v>
      </c>
      <c r="W150" s="4">
        <f>VALUE(SUBSTITUTE(MID($A150,D150+D$2+1,E150-D150-D$2-1),",","."))</f>
        <v>0.51094120789952302</v>
      </c>
      <c r="X150" s="4">
        <f>VALUE(SUBSTITUTE(MID($A150,E150+E$2+1,F150-E150-E$2-1),",","."))</f>
        <v>0.90957602214449496</v>
      </c>
      <c r="Y150" s="4">
        <f>VALUE(SUBSTITUTE(MID($A150,F150+F$2+1,G150-F150-F$2-1),",","."))</f>
        <v>3.9956693883456101E-2</v>
      </c>
      <c r="Z150" s="3">
        <f>VALUE(SUBSTITUTE(MID($A150,G150+G$2+1,H150-G150-G$2-1),",","."))</f>
        <v>0</v>
      </c>
      <c r="AA150" s="3">
        <f>VALUE(SUBSTITUTE(MID($A150,H150+H$2+1,I150-H150-H$2-1),",","."))</f>
        <v>0</v>
      </c>
      <c r="AB150" s="3">
        <f>VALUE(SUBSTITUTE(MID($A150,I150+I$2+1,J150-I150-I$2-1),",","."))</f>
        <v>0</v>
      </c>
      <c r="AC150" s="3">
        <f>VALUE(SUBSTITUTE(MID($A150,J150+J$2+1,K150-J150-J$2-1),",","."))</f>
        <v>-1.9</v>
      </c>
      <c r="AD150" s="3">
        <f>VALUE(SUBSTITUTE(MID($A150,K150+K$2+1,L150-K150-K$2-1),",","."))</f>
        <v>5.76</v>
      </c>
      <c r="AE150" s="3">
        <f>VALUE(SUBSTITUTE(MID($A150,L150+L$2+1,M150-L150-L$2-1),",","."))</f>
        <v>0</v>
      </c>
      <c r="AF150" s="3">
        <f>VALUE(SUBSTITUTE(MID($A150,M150+M$2+1,N150-M150-M$2-1),",","."))</f>
        <v>0</v>
      </c>
      <c r="AG150" s="3">
        <f>VALUE(SUBSTITUTE(MID($A150,N150+N$2+1,O150-N150-N$2-1),",","."))</f>
        <v>4.2076531682264502</v>
      </c>
      <c r="AH150" t="str">
        <f>MID($A150,O150+O$2+1,P150-O150-O$2-1)</f>
        <v/>
      </c>
      <c r="AI150" s="8" t="str">
        <f>MID($A150,P150+P$2+1,Q150-P150-P$2-1)</f>
        <v>False</v>
      </c>
      <c r="AK150" t="b">
        <f t="shared" si="25"/>
        <v>0</v>
      </c>
    </row>
    <row r="151" spans="1:37" x14ac:dyDescent="0.35">
      <c r="A151" t="s">
        <v>4698</v>
      </c>
      <c r="B151">
        <f t="shared" si="19"/>
        <v>10</v>
      </c>
      <c r="C151">
        <f t="shared" si="19"/>
        <v>43</v>
      </c>
      <c r="D151">
        <f t="shared" si="19"/>
        <v>54</v>
      </c>
      <c r="E151">
        <f t="shared" si="19"/>
        <v>97</v>
      </c>
      <c r="F151">
        <f t="shared" si="19"/>
        <v>141</v>
      </c>
      <c r="G151">
        <f t="shared" si="19"/>
        <v>179</v>
      </c>
      <c r="H151">
        <f t="shared" si="19"/>
        <v>228</v>
      </c>
      <c r="I151">
        <f t="shared" si="19"/>
        <v>250</v>
      </c>
      <c r="J151">
        <f t="shared" si="19"/>
        <v>283</v>
      </c>
      <c r="K151">
        <f t="shared" si="19"/>
        <v>304</v>
      </c>
      <c r="L151">
        <f t="shared" si="19"/>
        <v>322</v>
      </c>
      <c r="M151">
        <f t="shared" si="23"/>
        <v>337</v>
      </c>
      <c r="N151">
        <f t="shared" si="23"/>
        <v>349</v>
      </c>
      <c r="O151">
        <f t="shared" si="23"/>
        <v>374</v>
      </c>
      <c r="P151">
        <f t="shared" si="23"/>
        <v>392</v>
      </c>
      <c r="Q151">
        <f t="shared" si="20"/>
        <v>418</v>
      </c>
      <c r="S151" t="str">
        <f t="shared" si="21"/>
        <v>28.11.2025</v>
      </c>
      <c r="T151" t="str">
        <f t="shared" si="22"/>
        <v>08:15:00</v>
      </c>
      <c r="U151" t="str">
        <f t="shared" si="24"/>
        <v>28.11.2025 08:15:00</v>
      </c>
      <c r="V151" s="9" t="str">
        <f>MID($A151,C151+C$2+1,D151-C151-C$2-1)</f>
        <v>0</v>
      </c>
      <c r="W151" s="4">
        <f>VALUE(SUBSTITUTE(MID($A151,D151+D$2+1,E151-D151-D$2-1),",","."))</f>
        <v>0.55280633136214996</v>
      </c>
      <c r="X151" s="4">
        <f>VALUE(SUBSTITUTE(MID($A151,E151+E$2+1,F151-E151-E$2-1),",","."))</f>
        <v>0.90957602214449496</v>
      </c>
      <c r="Y151" s="4">
        <f>VALUE(SUBSTITUTE(MID($A151,F151+F$2+1,G151-F151-F$2-1),",","."))</f>
        <v>7.3848515521008601E-2</v>
      </c>
      <c r="Z151" s="3">
        <f>VALUE(SUBSTITUTE(MID($A151,G151+G$2+1,H151-G151-G$2-1),",","."))</f>
        <v>1.44999999999999</v>
      </c>
      <c r="AA151" s="3">
        <f>VALUE(SUBSTITUTE(MID($A151,H151+H$2+1,I151-H151-H$2-1),",","."))</f>
        <v>0</v>
      </c>
      <c r="AB151" s="3">
        <f>VALUE(SUBSTITUTE(MID($A151,I151+I$2+1,J151-I151-I$2-1),",","."))</f>
        <v>0</v>
      </c>
      <c r="AC151" s="3">
        <f>VALUE(SUBSTITUTE(MID($A151,J151+J$2+1,K151-J151-J$2-1),",","."))</f>
        <v>-1.85</v>
      </c>
      <c r="AD151" s="3">
        <f>VALUE(SUBSTITUTE(MID($A151,K151+K$2+1,L151-K151-K$2-1),",","."))</f>
        <v>5.58</v>
      </c>
      <c r="AE151" s="3">
        <f>VALUE(SUBSTITUTE(MID($A151,L151+L$2+1,M151-L151-L$2-1),",","."))</f>
        <v>0</v>
      </c>
      <c r="AF151" s="3">
        <f>VALUE(SUBSTITUTE(MID($A151,M151+M$2+1,N151-M151-M$2-1),",","."))</f>
        <v>0</v>
      </c>
      <c r="AG151" s="3">
        <f>VALUE(SUBSTITUTE(MID($A151,N151+N$2+1,O151-N151-N$2-1),",","."))</f>
        <v>4.2076816881145298</v>
      </c>
      <c r="AH151" t="str">
        <f>MID($A151,O151+O$2+1,P151-O151-O$2-1)</f>
        <v/>
      </c>
      <c r="AI151" s="8" t="str">
        <f>MID($A151,P151+P$2+1,Q151-P151-P$2-1)</f>
        <v>False</v>
      </c>
      <c r="AK151" t="b">
        <f t="shared" si="25"/>
        <v>0</v>
      </c>
    </row>
    <row r="152" spans="1:37" x14ac:dyDescent="0.35">
      <c r="A152" t="s">
        <v>4699</v>
      </c>
      <c r="B152">
        <f t="shared" si="19"/>
        <v>10</v>
      </c>
      <c r="C152">
        <f t="shared" si="19"/>
        <v>43</v>
      </c>
      <c r="D152">
        <f t="shared" si="19"/>
        <v>54</v>
      </c>
      <c r="E152">
        <f t="shared" si="19"/>
        <v>97</v>
      </c>
      <c r="F152">
        <f t="shared" si="19"/>
        <v>141</v>
      </c>
      <c r="G152">
        <f t="shared" si="19"/>
        <v>180</v>
      </c>
      <c r="H152">
        <f t="shared" si="19"/>
        <v>229</v>
      </c>
      <c r="I152">
        <f t="shared" si="19"/>
        <v>251</v>
      </c>
      <c r="J152">
        <f t="shared" si="19"/>
        <v>288</v>
      </c>
      <c r="K152">
        <f t="shared" si="19"/>
        <v>308</v>
      </c>
      <c r="L152">
        <f t="shared" si="19"/>
        <v>326</v>
      </c>
      <c r="M152">
        <f t="shared" si="23"/>
        <v>341</v>
      </c>
      <c r="N152">
        <f t="shared" si="23"/>
        <v>353</v>
      </c>
      <c r="O152">
        <f t="shared" si="23"/>
        <v>379</v>
      </c>
      <c r="P152">
        <f t="shared" si="23"/>
        <v>397</v>
      </c>
      <c r="Q152">
        <f t="shared" si="20"/>
        <v>423</v>
      </c>
      <c r="S152" t="str">
        <f t="shared" si="21"/>
        <v>28.11.2025</v>
      </c>
      <c r="T152" t="str">
        <f t="shared" si="22"/>
        <v>08:30:00</v>
      </c>
      <c r="U152" t="str">
        <f t="shared" si="24"/>
        <v>28.11.2025 08:30:00</v>
      </c>
      <c r="V152" s="9" t="str">
        <f>MID($A152,C152+C$2+1,D152-C152-C$2-1)</f>
        <v>0</v>
      </c>
      <c r="W152" s="4">
        <f>VALUE(SUBSTITUTE(MID($A152,D152+D$2+1,E152-D152-D$2-1),",","."))</f>
        <v>0.59260811293307702</v>
      </c>
      <c r="X152" s="4">
        <f>VALUE(SUBSTITUTE(MID($A152,E152+E$2+1,F152-E152-E$2-1),",","."))</f>
        <v>0.90957602214449496</v>
      </c>
      <c r="Y152" s="4">
        <f>VALUE(SUBSTITUTE(MID($A152,F152+F$2+1,G152-F152-F$2-1),",","."))</f>
        <v>0.107088662960447</v>
      </c>
      <c r="Z152" s="3">
        <f>VALUE(SUBSTITUTE(MID($A152,G152+G$2+1,H152-G152-G$2-1),",","."))</f>
        <v>17.849999999999898</v>
      </c>
      <c r="AA152" s="3">
        <f>VALUE(SUBSTITUTE(MID($A152,H152+H$2+1,I152-H152-H$2-1),",","."))</f>
        <v>0</v>
      </c>
      <c r="AB152" s="3">
        <f>VALUE(SUBSTITUTE(MID($A152,I152+I$2+1,J152-I152-I$2-1),",","."))</f>
        <v>17.25</v>
      </c>
      <c r="AC152" s="3">
        <f>VALUE(SUBSTITUTE(MID($A152,J152+J$2+1,K152-J152-J$2-1),",","."))</f>
        <v>-1.8</v>
      </c>
      <c r="AD152" s="3">
        <f>VALUE(SUBSTITUTE(MID($A152,K152+K$2+1,L152-K152-K$2-1),",","."))</f>
        <v>4.32</v>
      </c>
      <c r="AE152" s="3">
        <f>VALUE(SUBSTITUTE(MID($A152,L152+L$2+1,M152-L152-L$2-1),",","."))</f>
        <v>0</v>
      </c>
      <c r="AF152" s="3">
        <f>VALUE(SUBSTITUTE(MID($A152,M152+M$2+1,N152-M152-M$2-1),",","."))</f>
        <v>0</v>
      </c>
      <c r="AG152" s="3">
        <f>VALUE(SUBSTITUTE(MID($A152,N152+N$2+1,O152-N152-N$2-1),",","."))</f>
        <v>4.2077102080026103</v>
      </c>
      <c r="AH152" t="str">
        <f>MID($A152,O152+O$2+1,P152-O152-O$2-1)</f>
        <v/>
      </c>
      <c r="AI152" s="8" t="str">
        <f>MID($A152,P152+P$2+1,Q152-P152-P$2-1)</f>
        <v>False</v>
      </c>
      <c r="AK152" t="b">
        <f t="shared" si="25"/>
        <v>0</v>
      </c>
    </row>
    <row r="153" spans="1:37" x14ac:dyDescent="0.35">
      <c r="A153" t="s">
        <v>4700</v>
      </c>
      <c r="B153">
        <f t="shared" si="19"/>
        <v>10</v>
      </c>
      <c r="C153">
        <f t="shared" si="19"/>
        <v>43</v>
      </c>
      <c r="D153">
        <f t="shared" ref="C153:L178" si="26">FIND(D$1,$A153)</f>
        <v>54</v>
      </c>
      <c r="E153">
        <f t="shared" si="26"/>
        <v>97</v>
      </c>
      <c r="F153">
        <f t="shared" si="26"/>
        <v>141</v>
      </c>
      <c r="G153">
        <f t="shared" si="26"/>
        <v>180</v>
      </c>
      <c r="H153">
        <f t="shared" si="26"/>
        <v>228</v>
      </c>
      <c r="I153">
        <f t="shared" si="26"/>
        <v>250</v>
      </c>
      <c r="J153">
        <f t="shared" si="26"/>
        <v>300</v>
      </c>
      <c r="K153">
        <f t="shared" si="26"/>
        <v>335</v>
      </c>
      <c r="L153">
        <f t="shared" si="26"/>
        <v>367</v>
      </c>
      <c r="M153">
        <f t="shared" si="23"/>
        <v>382</v>
      </c>
      <c r="N153">
        <f t="shared" si="23"/>
        <v>394</v>
      </c>
      <c r="O153">
        <f t="shared" si="23"/>
        <v>419</v>
      </c>
      <c r="P153">
        <f t="shared" si="23"/>
        <v>437</v>
      </c>
      <c r="Q153">
        <f t="shared" si="20"/>
        <v>463</v>
      </c>
      <c r="S153" t="str">
        <f t="shared" si="21"/>
        <v>28.11.2025</v>
      </c>
      <c r="T153" t="str">
        <f t="shared" si="22"/>
        <v>08:45:00</v>
      </c>
      <c r="U153" t="str">
        <f t="shared" si="24"/>
        <v>28.11.2025 08:45:00</v>
      </c>
      <c r="V153" s="9" t="str">
        <f>MID($A153,C153+C$2+1,D153-C153-C$2-1)</f>
        <v>0</v>
      </c>
      <c r="W153" s="4">
        <f>VALUE(SUBSTITUTE(MID($A153,D153+D$2+1,E153-D153-D$2-1),",","."))</f>
        <v>0.62979240886689203</v>
      </c>
      <c r="X153" s="4">
        <f>VALUE(SUBSTITUTE(MID($A153,E153+E$2+1,F153-E153-E$2-1),",","."))</f>
        <v>0.90957602214449496</v>
      </c>
      <c r="Y153" s="4">
        <f>VALUE(SUBSTITUTE(MID($A153,F153+F$2+1,G153-F153-F$2-1),",","."))</f>
        <v>0.139077035912271</v>
      </c>
      <c r="Z153" s="3">
        <f>VALUE(SUBSTITUTE(MID($A153,G153+G$2+1,H153-G153-G$2-1),",","."))</f>
        <v>56.8333333333333</v>
      </c>
      <c r="AA153" s="3">
        <f>VALUE(SUBSTITUTE(MID($A153,H153+H$2+1,I153-H153-H$2-1),",","."))</f>
        <v>0</v>
      </c>
      <c r="AB153" s="3">
        <f>VALUE(SUBSTITUTE(MID($A153,I153+I$2+1,J153-I153-I$2-1),",","."))</f>
        <v>28.95</v>
      </c>
      <c r="AC153" s="3">
        <f>VALUE(SUBSTITUTE(MID($A153,J153+J$2+1,K153-J153-J$2-1),",","."))</f>
        <v>-1.7</v>
      </c>
      <c r="AD153" s="3">
        <f>VALUE(SUBSTITUTE(MID($A153,K153+K$2+1,L153-K153-K$2-1),",","."))</f>
        <v>2.88</v>
      </c>
      <c r="AE153" s="3">
        <f>VALUE(SUBSTITUTE(MID($A153,L153+L$2+1,M153-L153-L$2-1),",","."))</f>
        <v>0</v>
      </c>
      <c r="AF153" s="3">
        <f>VALUE(SUBSTITUTE(MID($A153,M153+M$2+1,N153-M153-M$2-1),",","."))</f>
        <v>0</v>
      </c>
      <c r="AG153" s="3">
        <f>VALUE(SUBSTITUTE(MID($A153,N153+N$2+1,O153-N153-N$2-1),",","."))</f>
        <v>4.2077387278906899</v>
      </c>
      <c r="AH153" t="str">
        <f>MID($A153,O153+O$2+1,P153-O153-O$2-1)</f>
        <v/>
      </c>
      <c r="AI153" s="8" t="str">
        <f>MID($A153,P153+P$2+1,Q153-P153-P$2-1)</f>
        <v>False</v>
      </c>
      <c r="AK153" t="b">
        <f t="shared" si="25"/>
        <v>0</v>
      </c>
    </row>
    <row r="154" spans="1:37" x14ac:dyDescent="0.35">
      <c r="A154" t="s">
        <v>4701</v>
      </c>
      <c r="B154">
        <f t="shared" ref="B154:H211" si="27">FIND(B$1,$A154)</f>
        <v>10</v>
      </c>
      <c r="C154">
        <f t="shared" si="26"/>
        <v>43</v>
      </c>
      <c r="D154">
        <f t="shared" si="26"/>
        <v>54</v>
      </c>
      <c r="E154">
        <f t="shared" si="26"/>
        <v>97</v>
      </c>
      <c r="F154">
        <f t="shared" si="26"/>
        <v>141</v>
      </c>
      <c r="G154">
        <f t="shared" si="26"/>
        <v>180</v>
      </c>
      <c r="H154">
        <f t="shared" si="26"/>
        <v>229</v>
      </c>
      <c r="I154">
        <f t="shared" si="26"/>
        <v>251</v>
      </c>
      <c r="J154">
        <f t="shared" si="26"/>
        <v>288</v>
      </c>
      <c r="K154">
        <f t="shared" si="26"/>
        <v>309</v>
      </c>
      <c r="L154">
        <f t="shared" si="26"/>
        <v>341</v>
      </c>
      <c r="M154">
        <f t="shared" si="23"/>
        <v>356</v>
      </c>
      <c r="N154">
        <f t="shared" si="23"/>
        <v>368</v>
      </c>
      <c r="O154">
        <f t="shared" si="23"/>
        <v>393</v>
      </c>
      <c r="P154">
        <f t="shared" si="23"/>
        <v>411</v>
      </c>
      <c r="Q154">
        <f t="shared" si="20"/>
        <v>437</v>
      </c>
      <c r="S154" t="str">
        <f t="shared" si="21"/>
        <v>28.11.2025</v>
      </c>
      <c r="T154" t="str">
        <f t="shared" si="22"/>
        <v>09:00:00</v>
      </c>
      <c r="U154" t="str">
        <f t="shared" si="24"/>
        <v>28.11.2025 09:00:00</v>
      </c>
      <c r="V154" s="9" t="str">
        <f>MID($A154,C154+C$2+1,D154-C154-C$2-1)</f>
        <v>0</v>
      </c>
      <c r="W154" s="4">
        <f>VALUE(SUBSTITUTE(MID($A154,D154+D$2+1,E154-D154-D$2-1),",","."))</f>
        <v>0.66405631987827696</v>
      </c>
      <c r="X154" s="4">
        <f>VALUE(SUBSTITUTE(MID($A154,E154+E$2+1,F154-E154-E$2-1),",","."))</f>
        <v>0.90957602214449496</v>
      </c>
      <c r="Y154" s="4">
        <f>VALUE(SUBSTITUTE(MID($A154,F154+F$2+1,G154-F154-F$2-1),",","."))</f>
        <v>0.16950460906472201</v>
      </c>
      <c r="Z154" s="3">
        <f>VALUE(SUBSTITUTE(MID($A154,G154+G$2+1,H154-G154-G$2-1),",","."))</f>
        <v>101.933333333333</v>
      </c>
      <c r="AA154" s="3">
        <f>VALUE(SUBSTITUTE(MID($A154,H154+H$2+1,I154-H154-H$2-1),",","."))</f>
        <v>0</v>
      </c>
      <c r="AB154" s="3">
        <f>VALUE(SUBSTITUTE(MID($A154,I154+I$2+1,J154-I154-I$2-1),",","."))</f>
        <v>42.45</v>
      </c>
      <c r="AC154" s="3">
        <f>VALUE(SUBSTITUTE(MID($A154,J154+J$2+1,K154-J154-J$2-1),",","."))</f>
        <v>-1.65</v>
      </c>
      <c r="AD154" s="3">
        <f>VALUE(SUBSTITUTE(MID($A154,K154+K$2+1,L154-K154-K$2-1),",","."))</f>
        <v>2.34</v>
      </c>
      <c r="AE154" s="3">
        <f>VALUE(SUBSTITUTE(MID($A154,L154+L$2+1,M154-L154-L$2-1),",","."))</f>
        <v>0</v>
      </c>
      <c r="AF154" s="3">
        <f>VALUE(SUBSTITUTE(MID($A154,M154+M$2+1,N154-M154-M$2-1),",","."))</f>
        <v>0</v>
      </c>
      <c r="AG154" s="3">
        <f>VALUE(SUBSTITUTE(MID($A154,N154+N$2+1,O154-N154-N$2-1),",","."))</f>
        <v>4.2077672477787704</v>
      </c>
      <c r="AH154" t="str">
        <f>MID($A154,O154+O$2+1,P154-O154-O$2-1)</f>
        <v/>
      </c>
      <c r="AI154" s="8" t="str">
        <f>MID($A154,P154+P$2+1,Q154-P154-P$2-1)</f>
        <v>False</v>
      </c>
      <c r="AK154" t="b">
        <f t="shared" si="25"/>
        <v>0</v>
      </c>
    </row>
    <row r="155" spans="1:37" x14ac:dyDescent="0.35">
      <c r="A155" t="s">
        <v>4702</v>
      </c>
      <c r="B155">
        <f t="shared" si="27"/>
        <v>10</v>
      </c>
      <c r="C155">
        <f t="shared" si="26"/>
        <v>43</v>
      </c>
      <c r="D155">
        <f t="shared" si="26"/>
        <v>54</v>
      </c>
      <c r="E155">
        <f t="shared" si="26"/>
        <v>97</v>
      </c>
      <c r="F155">
        <f t="shared" si="26"/>
        <v>141</v>
      </c>
      <c r="G155">
        <f t="shared" si="26"/>
        <v>179</v>
      </c>
      <c r="H155">
        <f t="shared" si="26"/>
        <v>228</v>
      </c>
      <c r="I155">
        <f t="shared" si="26"/>
        <v>250</v>
      </c>
      <c r="J155">
        <f t="shared" si="26"/>
        <v>287</v>
      </c>
      <c r="K155">
        <f t="shared" si="26"/>
        <v>307</v>
      </c>
      <c r="L155">
        <f t="shared" si="26"/>
        <v>325</v>
      </c>
      <c r="M155">
        <f t="shared" si="23"/>
        <v>340</v>
      </c>
      <c r="N155">
        <f t="shared" si="23"/>
        <v>352</v>
      </c>
      <c r="O155">
        <f t="shared" si="23"/>
        <v>377</v>
      </c>
      <c r="P155">
        <f t="shared" si="23"/>
        <v>395</v>
      </c>
      <c r="Q155">
        <f t="shared" si="20"/>
        <v>421</v>
      </c>
      <c r="S155" t="str">
        <f t="shared" si="21"/>
        <v>28.11.2025</v>
      </c>
      <c r="T155" t="str">
        <f t="shared" si="22"/>
        <v>09:15:00</v>
      </c>
      <c r="U155" t="str">
        <f t="shared" si="24"/>
        <v>28.11.2025 09:15:00</v>
      </c>
      <c r="V155" s="9" t="str">
        <f>MID($A155,C155+C$2+1,D155-C155-C$2-1)</f>
        <v>0</v>
      </c>
      <c r="W155" s="4">
        <f>VALUE(SUBSTITUTE(MID($A155,D155+D$2+1,E155-D155-D$2-1),",","."))</f>
        <v>0.69518968284692795</v>
      </c>
      <c r="X155" s="4">
        <f>VALUE(SUBSTITUTE(MID($A155,E155+E$2+1,F155-E155-E$2-1),",","."))</f>
        <v>0.90957602214449496</v>
      </c>
      <c r="Y155" s="4">
        <f>VALUE(SUBSTITUTE(MID($A155,F155+F$2+1,G155-F155-F$2-1),",","."))</f>
        <v>0.19816488423821799</v>
      </c>
      <c r="Z155" s="3">
        <f>VALUE(SUBSTITUTE(MID($A155,G155+G$2+1,H155-G155-G$2-1),",","."))</f>
        <v>123.73333333333299</v>
      </c>
      <c r="AA155" s="3">
        <f>VALUE(SUBSTITUTE(MID($A155,H155+H$2+1,I155-H155-H$2-1),",","."))</f>
        <v>0</v>
      </c>
      <c r="AB155" s="3">
        <f>VALUE(SUBSTITUTE(MID($A155,I155+I$2+1,J155-I155-I$2-1),",","."))</f>
        <v>53.05</v>
      </c>
      <c r="AC155" s="3">
        <f>VALUE(SUBSTITUTE(MID($A155,J155+J$2+1,K155-J155-J$2-1),",","."))</f>
        <v>-1.6</v>
      </c>
      <c r="AD155" s="3">
        <f>VALUE(SUBSTITUTE(MID($A155,K155+K$2+1,L155-K155-K$2-1),",","."))</f>
        <v>3.24</v>
      </c>
      <c r="AE155" s="3">
        <f>VALUE(SUBSTITUTE(MID($A155,L155+L$2+1,M155-L155-L$2-1),",","."))</f>
        <v>0</v>
      </c>
      <c r="AF155" s="3">
        <f>VALUE(SUBSTITUTE(MID($A155,M155+M$2+1,N155-M155-M$2-1),",","."))</f>
        <v>0</v>
      </c>
      <c r="AG155" s="3">
        <f>VALUE(SUBSTITUTE(MID($A155,N155+N$2+1,O155-N155-N$2-1),",","."))</f>
        <v>4.2077957676668598</v>
      </c>
      <c r="AH155" t="str">
        <f>MID($A155,O155+O$2+1,P155-O155-O$2-1)</f>
        <v/>
      </c>
      <c r="AI155" s="8" t="str">
        <f>MID($A155,P155+P$2+1,Q155-P155-P$2-1)</f>
        <v>False</v>
      </c>
      <c r="AK155" t="b">
        <f t="shared" si="25"/>
        <v>0</v>
      </c>
    </row>
    <row r="156" spans="1:37" x14ac:dyDescent="0.35">
      <c r="A156" t="s">
        <v>4703</v>
      </c>
      <c r="B156">
        <f t="shared" si="27"/>
        <v>10</v>
      </c>
      <c r="C156">
        <f t="shared" si="26"/>
        <v>43</v>
      </c>
      <c r="D156">
        <f t="shared" si="26"/>
        <v>54</v>
      </c>
      <c r="E156">
        <f t="shared" si="26"/>
        <v>97</v>
      </c>
      <c r="F156">
        <f t="shared" si="26"/>
        <v>141</v>
      </c>
      <c r="G156">
        <f t="shared" si="26"/>
        <v>179</v>
      </c>
      <c r="H156">
        <f t="shared" si="26"/>
        <v>216</v>
      </c>
      <c r="I156">
        <f t="shared" si="26"/>
        <v>238</v>
      </c>
      <c r="J156">
        <f t="shared" si="26"/>
        <v>274</v>
      </c>
      <c r="K156">
        <f t="shared" si="26"/>
        <v>294</v>
      </c>
      <c r="L156">
        <f t="shared" si="26"/>
        <v>326</v>
      </c>
      <c r="M156">
        <f t="shared" si="23"/>
        <v>341</v>
      </c>
      <c r="N156">
        <f t="shared" si="23"/>
        <v>353</v>
      </c>
      <c r="O156">
        <f t="shared" si="23"/>
        <v>378</v>
      </c>
      <c r="P156">
        <f t="shared" si="23"/>
        <v>396</v>
      </c>
      <c r="Q156">
        <f t="shared" si="20"/>
        <v>422</v>
      </c>
      <c r="S156" t="str">
        <f t="shared" si="21"/>
        <v>28.11.2025</v>
      </c>
      <c r="T156" t="str">
        <f t="shared" si="22"/>
        <v>09:30:00</v>
      </c>
      <c r="U156" t="str">
        <f t="shared" si="24"/>
        <v>28.11.2025 09:30:00</v>
      </c>
      <c r="V156" s="9" t="str">
        <f>MID($A156,C156+C$2+1,D156-C156-C$2-1)</f>
        <v>0</v>
      </c>
      <c r="W156" s="4">
        <f>VALUE(SUBSTITUTE(MID($A156,D156+D$2+1,E156-D156-D$2-1),",","."))</f>
        <v>0.72302736056179095</v>
      </c>
      <c r="X156" s="4">
        <f>VALUE(SUBSTITUTE(MID($A156,E156+E$2+1,F156-E156-E$2-1),",","."))</f>
        <v>0.90957602214449496</v>
      </c>
      <c r="Y156" s="4">
        <f>VALUE(SUBSTITUTE(MID($A156,F156+F$2+1,G156-F156-F$2-1),",","."))</f>
        <v>0.22489679167680501</v>
      </c>
      <c r="Z156" s="3">
        <f>VALUE(SUBSTITUTE(MID($A156,G156+G$2+1,H156-G156-G$2-1),",","."))</f>
        <v>134.25</v>
      </c>
      <c r="AA156" s="3">
        <f>VALUE(SUBSTITUTE(MID($A156,H156+H$2+1,I156-H156-H$2-1),",","."))</f>
        <v>0</v>
      </c>
      <c r="AB156" s="3">
        <f>VALUE(SUBSTITUTE(MID($A156,I156+I$2+1,J156-I156-I$2-1),",","."))</f>
        <v>65.400000000000006</v>
      </c>
      <c r="AC156" s="3">
        <f>VALUE(SUBSTITUTE(MID($A156,J156+J$2+1,K156-J156-J$2-1),",","."))</f>
        <v>-1.4</v>
      </c>
      <c r="AD156" s="3">
        <f>VALUE(SUBSTITUTE(MID($A156,K156+K$2+1,L156-K156-K$2-1),",","."))</f>
        <v>3.78</v>
      </c>
      <c r="AE156" s="3">
        <f>VALUE(SUBSTITUTE(MID($A156,L156+L$2+1,M156-L156-L$2-1),",","."))</f>
        <v>0</v>
      </c>
      <c r="AF156" s="3">
        <f>VALUE(SUBSTITUTE(MID($A156,M156+M$2+1,N156-M156-M$2-1),",","."))</f>
        <v>0</v>
      </c>
      <c r="AG156" s="3">
        <f>VALUE(SUBSTITUTE(MID($A156,N156+N$2+1,O156-N156-N$2-1),",","."))</f>
        <v>4.2078242875549403</v>
      </c>
      <c r="AH156" t="str">
        <f>MID($A156,O156+O$2+1,P156-O156-O$2-1)</f>
        <v/>
      </c>
      <c r="AI156" s="8" t="str">
        <f>MID($A156,P156+P$2+1,Q156-P156-P$2-1)</f>
        <v>False</v>
      </c>
      <c r="AK156" t="b">
        <f t="shared" si="25"/>
        <v>0</v>
      </c>
    </row>
    <row r="157" spans="1:37" x14ac:dyDescent="0.35">
      <c r="A157" t="s">
        <v>4704</v>
      </c>
      <c r="B157">
        <f t="shared" si="27"/>
        <v>10</v>
      </c>
      <c r="C157">
        <f t="shared" si="26"/>
        <v>43</v>
      </c>
      <c r="D157">
        <f t="shared" si="26"/>
        <v>54</v>
      </c>
      <c r="E157">
        <f t="shared" si="26"/>
        <v>97</v>
      </c>
      <c r="F157">
        <f t="shared" si="26"/>
        <v>141</v>
      </c>
      <c r="G157">
        <f t="shared" si="26"/>
        <v>180</v>
      </c>
      <c r="H157">
        <f t="shared" si="26"/>
        <v>229</v>
      </c>
      <c r="I157">
        <f t="shared" si="26"/>
        <v>251</v>
      </c>
      <c r="J157">
        <f t="shared" si="26"/>
        <v>288</v>
      </c>
      <c r="K157">
        <f t="shared" si="26"/>
        <v>309</v>
      </c>
      <c r="L157">
        <f t="shared" si="26"/>
        <v>327</v>
      </c>
      <c r="M157">
        <f t="shared" si="23"/>
        <v>342</v>
      </c>
      <c r="N157">
        <f t="shared" si="23"/>
        <v>354</v>
      </c>
      <c r="O157">
        <f t="shared" si="23"/>
        <v>379</v>
      </c>
      <c r="P157">
        <f t="shared" si="23"/>
        <v>397</v>
      </c>
      <c r="Q157">
        <f t="shared" si="20"/>
        <v>423</v>
      </c>
      <c r="S157" t="str">
        <f t="shared" si="21"/>
        <v>28.11.2025</v>
      </c>
      <c r="T157" t="str">
        <f t="shared" si="22"/>
        <v>09:45:00</v>
      </c>
      <c r="U157" t="str">
        <f t="shared" si="24"/>
        <v>28.11.2025 09:45:00</v>
      </c>
      <c r="V157" s="9" t="str">
        <f>MID($A157,C157+C$2+1,D157-C157-C$2-1)</f>
        <v>0</v>
      </c>
      <c r="W157" s="4">
        <f>VALUE(SUBSTITUTE(MID($A157,D157+D$2+1,E157-D157-D$2-1),",","."))</f>
        <v>0.74743259406377005</v>
      </c>
      <c r="X157" s="4">
        <f>VALUE(SUBSTITUTE(MID($A157,E157+E$2+1,F157-E157-E$2-1),",","."))</f>
        <v>0.90957602214449496</v>
      </c>
      <c r="Y157" s="4">
        <f>VALUE(SUBSTITUTE(MID($A157,F157+F$2+1,G157-F157-F$2-1),",","."))</f>
        <v>0.24956463035673199</v>
      </c>
      <c r="Z157" s="3">
        <f>VALUE(SUBSTITUTE(MID($A157,G157+G$2+1,H157-G157-G$2-1),",","."))</f>
        <v>146.28333333333299</v>
      </c>
      <c r="AA157" s="3">
        <f>VALUE(SUBSTITUTE(MID($A157,H157+H$2+1,I157-H157-H$2-1),",","."))</f>
        <v>0</v>
      </c>
      <c r="AB157" s="3">
        <f>VALUE(SUBSTITUTE(MID($A157,I157+I$2+1,J157-I157-I$2-1),",","."))</f>
        <v>76.05</v>
      </c>
      <c r="AC157" s="3">
        <f>VALUE(SUBSTITUTE(MID($A157,J157+J$2+1,K157-J157-J$2-1),",","."))</f>
        <v>-1.25</v>
      </c>
      <c r="AD157" s="3">
        <f>VALUE(SUBSTITUTE(MID($A157,K157+K$2+1,L157-K157-K$2-1),",","."))</f>
        <v>4.68</v>
      </c>
      <c r="AE157" s="3">
        <f>VALUE(SUBSTITUTE(MID($A157,L157+L$2+1,M157-L157-L$2-1),",","."))</f>
        <v>0</v>
      </c>
      <c r="AF157" s="3">
        <f>VALUE(SUBSTITUTE(MID($A157,M157+M$2+1,N157-M157-M$2-1),",","."))</f>
        <v>0</v>
      </c>
      <c r="AG157" s="3">
        <f>VALUE(SUBSTITUTE(MID($A157,N157+N$2+1,O157-N157-N$2-1),",","."))</f>
        <v>4.2078528074430199</v>
      </c>
      <c r="AH157" t="str">
        <f>MID($A157,O157+O$2+1,P157-O157-O$2-1)</f>
        <v/>
      </c>
      <c r="AI157" s="8" t="str">
        <f>MID($A157,P157+P$2+1,Q157-P157-P$2-1)</f>
        <v>False</v>
      </c>
      <c r="AK157" t="b">
        <f t="shared" si="25"/>
        <v>0</v>
      </c>
    </row>
    <row r="158" spans="1:37" x14ac:dyDescent="0.35">
      <c r="A158" t="s">
        <v>4705</v>
      </c>
      <c r="B158">
        <f t="shared" si="27"/>
        <v>10</v>
      </c>
      <c r="C158">
        <f t="shared" si="26"/>
        <v>43</v>
      </c>
      <c r="D158">
        <f t="shared" si="26"/>
        <v>54</v>
      </c>
      <c r="E158">
        <f t="shared" si="26"/>
        <v>97</v>
      </c>
      <c r="F158">
        <f t="shared" si="26"/>
        <v>141</v>
      </c>
      <c r="G158">
        <f t="shared" si="26"/>
        <v>179</v>
      </c>
      <c r="H158">
        <f t="shared" si="26"/>
        <v>228</v>
      </c>
      <c r="I158">
        <f t="shared" si="26"/>
        <v>250</v>
      </c>
      <c r="J158">
        <f t="shared" si="26"/>
        <v>286</v>
      </c>
      <c r="K158">
        <f t="shared" si="26"/>
        <v>307</v>
      </c>
      <c r="L158">
        <f t="shared" si="26"/>
        <v>338</v>
      </c>
      <c r="M158">
        <f t="shared" si="23"/>
        <v>353</v>
      </c>
      <c r="N158">
        <f t="shared" si="23"/>
        <v>365</v>
      </c>
      <c r="O158">
        <f t="shared" si="23"/>
        <v>390</v>
      </c>
      <c r="P158">
        <f t="shared" si="23"/>
        <v>408</v>
      </c>
      <c r="Q158">
        <f t="shared" si="20"/>
        <v>434</v>
      </c>
      <c r="S158" t="str">
        <f t="shared" si="21"/>
        <v>28.11.2025</v>
      </c>
      <c r="T158" t="str">
        <f t="shared" si="22"/>
        <v>10:00:00</v>
      </c>
      <c r="U158" t="str">
        <f t="shared" si="24"/>
        <v>28.11.2025 10:00:00</v>
      </c>
      <c r="V158" s="9" t="str">
        <f>MID($A158,C158+C$2+1,D158-C158-C$2-1)</f>
        <v>0</v>
      </c>
      <c r="W158" s="4">
        <f>VALUE(SUBSTITUTE(MID($A158,D158+D$2+1,E158-D158-D$2-1),",","."))</f>
        <v>0.76829047051780996</v>
      </c>
      <c r="X158" s="4">
        <f>VALUE(SUBSTITUTE(MID($A158,E158+E$2+1,F158-E158-E$2-1),",","."))</f>
        <v>0.90957602214449496</v>
      </c>
      <c r="Y158" s="4">
        <f>VALUE(SUBSTITUTE(MID($A158,F158+F$2+1,G158-F158-F$2-1),",","."))</f>
        <v>0.27205012482233099</v>
      </c>
      <c r="Z158" s="3">
        <f>VALUE(SUBSTITUTE(MID($A158,G158+G$2+1,H158-G158-G$2-1),",","."))</f>
        <v>169.083333333333</v>
      </c>
      <c r="AA158" s="3">
        <f>VALUE(SUBSTITUTE(MID($A158,H158+H$2+1,I158-H158-H$2-1),",","."))</f>
        <v>0</v>
      </c>
      <c r="AB158" s="3">
        <f>VALUE(SUBSTITUTE(MID($A158,I158+I$2+1,J158-I158-I$2-1),",","."))</f>
        <v>85.7</v>
      </c>
      <c r="AC158" s="3">
        <f>VALUE(SUBSTITUTE(MID($A158,J158+J$2+1,K158-J158-J$2-1),",","."))</f>
        <v>-1.05</v>
      </c>
      <c r="AD158" s="3">
        <f>VALUE(SUBSTITUTE(MID($A158,K158+K$2+1,L158-K158-K$2-1),",","."))</f>
        <v>5.76</v>
      </c>
      <c r="AE158" s="3">
        <f>VALUE(SUBSTITUTE(MID($A158,L158+L$2+1,M158-L158-L$2-1),",","."))</f>
        <v>0</v>
      </c>
      <c r="AF158" s="3">
        <f>VALUE(SUBSTITUTE(MID($A158,M158+M$2+1,N158-M158-M$2-1),",","."))</f>
        <v>0</v>
      </c>
      <c r="AG158" s="3">
        <f>VALUE(SUBSTITUTE(MID($A158,N158+N$2+1,O158-N158-N$2-1),",","."))</f>
        <v>4.2078813273311004</v>
      </c>
      <c r="AH158" t="str">
        <f>MID($A158,O158+O$2+1,P158-O158-O$2-1)</f>
        <v/>
      </c>
      <c r="AI158" s="8" t="str">
        <f>MID($A158,P158+P$2+1,Q158-P158-P$2-1)</f>
        <v>False</v>
      </c>
      <c r="AK158" t="b">
        <f t="shared" si="25"/>
        <v>0</v>
      </c>
    </row>
    <row r="159" spans="1:37" x14ac:dyDescent="0.35">
      <c r="A159" t="s">
        <v>4706</v>
      </c>
      <c r="B159">
        <f t="shared" si="27"/>
        <v>10</v>
      </c>
      <c r="C159">
        <f t="shared" si="26"/>
        <v>43</v>
      </c>
      <c r="D159">
        <f t="shared" si="26"/>
        <v>54</v>
      </c>
      <c r="E159">
        <f t="shared" si="26"/>
        <v>97</v>
      </c>
      <c r="F159">
        <f t="shared" si="26"/>
        <v>141</v>
      </c>
      <c r="G159">
        <f t="shared" si="26"/>
        <v>179</v>
      </c>
      <c r="H159">
        <f t="shared" si="26"/>
        <v>228</v>
      </c>
      <c r="I159">
        <f t="shared" si="26"/>
        <v>250</v>
      </c>
      <c r="J159">
        <f t="shared" si="26"/>
        <v>299</v>
      </c>
      <c r="K159">
        <f t="shared" si="26"/>
        <v>319</v>
      </c>
      <c r="L159">
        <f t="shared" si="26"/>
        <v>350</v>
      </c>
      <c r="M159">
        <f t="shared" si="23"/>
        <v>365</v>
      </c>
      <c r="N159">
        <f t="shared" si="23"/>
        <v>377</v>
      </c>
      <c r="O159">
        <f t="shared" si="23"/>
        <v>402</v>
      </c>
      <c r="P159">
        <f t="shared" si="23"/>
        <v>420</v>
      </c>
      <c r="Q159">
        <f t="shared" si="20"/>
        <v>446</v>
      </c>
      <c r="S159" t="str">
        <f t="shared" si="21"/>
        <v>28.11.2025</v>
      </c>
      <c r="T159" t="str">
        <f t="shared" si="22"/>
        <v>10:15:00</v>
      </c>
      <c r="U159" t="str">
        <f t="shared" si="24"/>
        <v>28.11.2025 10:15:00</v>
      </c>
      <c r="V159" s="9" t="str">
        <f>MID($A159,C159+C$2+1,D159-C159-C$2-1)</f>
        <v>0</v>
      </c>
      <c r="W159" s="4">
        <f>VALUE(SUBSTITUTE(MID($A159,D159+D$2+1,E159-D159-D$2-1),",","."))</f>
        <v>0.78550515743774296</v>
      </c>
      <c r="X159" s="4">
        <f>VALUE(SUBSTITUTE(MID($A159,E159+E$2+1,F159-E159-E$2-1),",","."))</f>
        <v>0.90957602214449496</v>
      </c>
      <c r="Y159" s="4">
        <f>VALUE(SUBSTITUTE(MID($A159,F159+F$2+1,G159-F159-F$2-1),",","."))</f>
        <v>0.29224902497344402</v>
      </c>
      <c r="Z159" s="3">
        <f>VALUE(SUBSTITUTE(MID($A159,G159+G$2+1,H159-G159-G$2-1),",","."))</f>
        <v>175.31666666666601</v>
      </c>
      <c r="AA159" s="3">
        <f>VALUE(SUBSTITUTE(MID($A159,H159+H$2+1,I159-H159-H$2-1),",","."))</f>
        <v>0</v>
      </c>
      <c r="AB159" s="3">
        <f>VALUE(SUBSTITUTE(MID($A159,I159+I$2+1,J159-I159-I$2-1),",","."))</f>
        <v>97.449999999999903</v>
      </c>
      <c r="AC159" s="3">
        <f>VALUE(SUBSTITUTE(MID($A159,J159+J$2+1,K159-J159-J$2-1),",","."))</f>
        <v>-0.9</v>
      </c>
      <c r="AD159" s="3">
        <f>VALUE(SUBSTITUTE(MID($A159,K159+K$2+1,L159-K159-K$2-1),",","."))</f>
        <v>7.02</v>
      </c>
      <c r="AE159" s="3">
        <f>VALUE(SUBSTITUTE(MID($A159,L159+L$2+1,M159-L159-L$2-1),",","."))</f>
        <v>0</v>
      </c>
      <c r="AF159" s="3">
        <f>VALUE(SUBSTITUTE(MID($A159,M159+M$2+1,N159-M159-M$2-1),",","."))</f>
        <v>0</v>
      </c>
      <c r="AG159" s="3">
        <f>VALUE(SUBSTITUTE(MID($A159,N159+N$2+1,O159-N159-N$2-1),",","."))</f>
        <v>4.20790984721918</v>
      </c>
      <c r="AH159" t="str">
        <f>MID($A159,O159+O$2+1,P159-O159-O$2-1)</f>
        <v/>
      </c>
      <c r="AI159" s="8" t="str">
        <f>MID($A159,P159+P$2+1,Q159-P159-P$2-1)</f>
        <v>False</v>
      </c>
      <c r="AK159" t="b">
        <f t="shared" si="25"/>
        <v>0</v>
      </c>
    </row>
    <row r="160" spans="1:37" x14ac:dyDescent="0.35">
      <c r="A160" t="s">
        <v>4707</v>
      </c>
      <c r="B160">
        <f t="shared" si="27"/>
        <v>10</v>
      </c>
      <c r="C160">
        <f t="shared" si="26"/>
        <v>43</v>
      </c>
      <c r="D160">
        <f t="shared" si="26"/>
        <v>54</v>
      </c>
      <c r="E160">
        <f t="shared" si="26"/>
        <v>96</v>
      </c>
      <c r="F160">
        <f t="shared" si="26"/>
        <v>140</v>
      </c>
      <c r="G160">
        <f t="shared" si="26"/>
        <v>178</v>
      </c>
      <c r="H160">
        <f t="shared" si="26"/>
        <v>214</v>
      </c>
      <c r="I160">
        <f t="shared" si="26"/>
        <v>236</v>
      </c>
      <c r="J160">
        <f t="shared" si="26"/>
        <v>271</v>
      </c>
      <c r="K160">
        <f t="shared" si="26"/>
        <v>292</v>
      </c>
      <c r="L160">
        <f t="shared" si="26"/>
        <v>310</v>
      </c>
      <c r="M160">
        <f t="shared" si="23"/>
        <v>325</v>
      </c>
      <c r="N160">
        <f t="shared" si="23"/>
        <v>337</v>
      </c>
      <c r="O160">
        <f t="shared" si="23"/>
        <v>363</v>
      </c>
      <c r="P160">
        <f t="shared" si="23"/>
        <v>381</v>
      </c>
      <c r="Q160">
        <f t="shared" si="20"/>
        <v>407</v>
      </c>
      <c r="S160" t="str">
        <f t="shared" si="21"/>
        <v>28.11.2025</v>
      </c>
      <c r="T160" t="str">
        <f t="shared" si="22"/>
        <v>10:30:00</v>
      </c>
      <c r="U160" t="str">
        <f t="shared" si="24"/>
        <v>28.11.2025 10:30:00</v>
      </c>
      <c r="V160" s="9" t="str">
        <f>MID($A160,C160+C$2+1,D160-C160-C$2-1)</f>
        <v>0</v>
      </c>
      <c r="W160" s="4">
        <f>VALUE(SUBSTITUTE(MID($A160,D160+D$2+1,E160-D160-D$2-1),",","."))</f>
        <v>0.798998686303799</v>
      </c>
      <c r="X160" s="4">
        <f>VALUE(SUBSTITUTE(MID($A160,E160+E$2+1,F160-E160-E$2-1),",","."))</f>
        <v>0.90957602214449496</v>
      </c>
      <c r="Y160" s="4">
        <f>VALUE(SUBSTITUTE(MID($A160,F160+F$2+1,G160-F160-F$2-1),",","."))</f>
        <v>0.310069599764625</v>
      </c>
      <c r="Z160" s="3">
        <f>VALUE(SUBSTITUTE(MID($A160,G160+G$2+1,H160-G160-G$2-1),",","."))</f>
        <v>185.1</v>
      </c>
      <c r="AA160" s="3">
        <f>VALUE(SUBSTITUTE(MID($A160,H160+H$2+1,I160-H160-H$2-1),",","."))</f>
        <v>0</v>
      </c>
      <c r="AB160" s="3">
        <f>VALUE(SUBSTITUTE(MID($A160,I160+I$2+1,J160-I160-I$2-1),",","."))</f>
        <v>105</v>
      </c>
      <c r="AC160" s="3">
        <f>VALUE(SUBSTITUTE(MID($A160,J160+J$2+1,K160-J160-J$2-1),",","."))</f>
        <v>-0.65</v>
      </c>
      <c r="AD160" s="3">
        <f>VALUE(SUBSTITUTE(MID($A160,K160+K$2+1,L160-K160-K$2-1),",","."))</f>
        <v>7.02</v>
      </c>
      <c r="AE160" s="3">
        <f>VALUE(SUBSTITUTE(MID($A160,L160+L$2+1,M160-L160-L$2-1),",","."))</f>
        <v>0</v>
      </c>
      <c r="AF160" s="3">
        <f>VALUE(SUBSTITUTE(MID($A160,M160+M$2+1,N160-M160-M$2-1),",","."))</f>
        <v>0</v>
      </c>
      <c r="AG160" s="3">
        <f>VALUE(SUBSTITUTE(MID($A160,N160+N$2+1,O160-N160-N$2-1),",","."))</f>
        <v>4.2079383671072597</v>
      </c>
      <c r="AH160" t="str">
        <f>MID($A160,O160+O$2+1,P160-O160-O$2-1)</f>
        <v/>
      </c>
      <c r="AI160" s="8" t="str">
        <f>MID($A160,P160+P$2+1,Q160-P160-P$2-1)</f>
        <v>False</v>
      </c>
      <c r="AK160" t="b">
        <f t="shared" si="25"/>
        <v>0</v>
      </c>
    </row>
    <row r="161" spans="1:37" x14ac:dyDescent="0.35">
      <c r="A161" t="s">
        <v>4708</v>
      </c>
      <c r="B161">
        <f t="shared" si="27"/>
        <v>10</v>
      </c>
      <c r="C161">
        <f t="shared" si="26"/>
        <v>43</v>
      </c>
      <c r="D161">
        <f t="shared" si="26"/>
        <v>54</v>
      </c>
      <c r="E161">
        <f t="shared" si="26"/>
        <v>97</v>
      </c>
      <c r="F161">
        <f t="shared" si="26"/>
        <v>141</v>
      </c>
      <c r="G161">
        <f t="shared" si="26"/>
        <v>179</v>
      </c>
      <c r="H161">
        <f t="shared" si="26"/>
        <v>228</v>
      </c>
      <c r="I161">
        <f t="shared" si="26"/>
        <v>250</v>
      </c>
      <c r="J161">
        <f t="shared" si="26"/>
        <v>300</v>
      </c>
      <c r="K161">
        <f t="shared" si="26"/>
        <v>320</v>
      </c>
      <c r="L161">
        <f t="shared" si="26"/>
        <v>352</v>
      </c>
      <c r="M161">
        <f t="shared" si="23"/>
        <v>367</v>
      </c>
      <c r="N161">
        <f t="shared" si="23"/>
        <v>379</v>
      </c>
      <c r="O161">
        <f t="shared" si="23"/>
        <v>404</v>
      </c>
      <c r="P161">
        <f t="shared" si="23"/>
        <v>422</v>
      </c>
      <c r="Q161">
        <f t="shared" si="20"/>
        <v>448</v>
      </c>
      <c r="S161" t="str">
        <f t="shared" si="21"/>
        <v>28.11.2025</v>
      </c>
      <c r="T161" t="str">
        <f t="shared" si="22"/>
        <v>10:45:00</v>
      </c>
      <c r="U161" t="str">
        <f t="shared" si="24"/>
        <v>28.11.2025 10:45:00</v>
      </c>
      <c r="V161" s="9" t="str">
        <f>MID($A161,C161+C$2+1,D161-C161-C$2-1)</f>
        <v>0</v>
      </c>
      <c r="W161" s="4">
        <f>VALUE(SUBSTITUTE(MID($A161,D161+D$2+1,E161-D161-D$2-1),",","."))</f>
        <v>0.80871041571657298</v>
      </c>
      <c r="X161" s="4">
        <f>VALUE(SUBSTITUTE(MID($A161,E161+E$2+1,F161-E161-E$2-1),",","."))</f>
        <v>0.90957602214449496</v>
      </c>
      <c r="Y161" s="4">
        <f>VALUE(SUBSTITUTE(MID($A161,F161+F$2+1,G161-F161-F$2-1),",","."))</f>
        <v>0.32543198395138501</v>
      </c>
      <c r="Z161" s="3">
        <f>VALUE(SUBSTITUTE(MID($A161,G161+G$2+1,H161-G161-G$2-1),",","."))</f>
        <v>196.03333333333299</v>
      </c>
      <c r="AA161" s="3">
        <f>VALUE(SUBSTITUTE(MID($A161,H161+H$2+1,I161-H161-H$2-1),",","."))</f>
        <v>0</v>
      </c>
      <c r="AB161" s="3">
        <f>VALUE(SUBSTITUTE(MID($A161,I161+I$2+1,J161-I161-I$2-1),",","."))</f>
        <v>113.05</v>
      </c>
      <c r="AC161" s="3">
        <f>VALUE(SUBSTITUTE(MID($A161,J161+J$2+1,K161-J161-J$2-1),",","."))</f>
        <v>-0.4</v>
      </c>
      <c r="AD161" s="3">
        <f>VALUE(SUBSTITUTE(MID($A161,K161+K$2+1,L161-K161-K$2-1),",","."))</f>
        <v>7.56</v>
      </c>
      <c r="AE161" s="3">
        <f>VALUE(SUBSTITUTE(MID($A161,L161+L$2+1,M161-L161-L$2-1),",","."))</f>
        <v>0</v>
      </c>
      <c r="AF161" s="3">
        <f>VALUE(SUBSTITUTE(MID($A161,M161+M$2+1,N161-M161-M$2-1),",","."))</f>
        <v>0</v>
      </c>
      <c r="AG161" s="3">
        <f>VALUE(SUBSTITUTE(MID($A161,N161+N$2+1,O161-N161-N$2-1),",","."))</f>
        <v>4.2079668869953499</v>
      </c>
      <c r="AH161" t="str">
        <f>MID($A161,O161+O$2+1,P161-O161-O$2-1)</f>
        <v/>
      </c>
      <c r="AI161" s="8" t="str">
        <f>MID($A161,P161+P$2+1,Q161-P161-P$2-1)</f>
        <v>False</v>
      </c>
      <c r="AK161" t="b">
        <f t="shared" si="25"/>
        <v>0</v>
      </c>
    </row>
    <row r="162" spans="1:37" x14ac:dyDescent="0.35">
      <c r="A162" t="s">
        <v>4709</v>
      </c>
      <c r="B162">
        <f t="shared" si="27"/>
        <v>10</v>
      </c>
      <c r="C162">
        <f t="shared" si="26"/>
        <v>43</v>
      </c>
      <c r="D162">
        <f t="shared" si="26"/>
        <v>54</v>
      </c>
      <c r="E162">
        <f t="shared" si="26"/>
        <v>97</v>
      </c>
      <c r="F162">
        <f t="shared" si="26"/>
        <v>141</v>
      </c>
      <c r="G162">
        <f t="shared" si="26"/>
        <v>180</v>
      </c>
      <c r="H162">
        <f t="shared" si="26"/>
        <v>229</v>
      </c>
      <c r="I162">
        <f t="shared" si="26"/>
        <v>251</v>
      </c>
      <c r="J162">
        <f t="shared" si="26"/>
        <v>288</v>
      </c>
      <c r="K162">
        <f t="shared" si="26"/>
        <v>309</v>
      </c>
      <c r="L162">
        <f t="shared" si="26"/>
        <v>341</v>
      </c>
      <c r="M162">
        <f t="shared" si="23"/>
        <v>356</v>
      </c>
      <c r="N162">
        <f t="shared" si="23"/>
        <v>368</v>
      </c>
      <c r="O162">
        <f t="shared" si="23"/>
        <v>393</v>
      </c>
      <c r="P162">
        <f t="shared" si="23"/>
        <v>411</v>
      </c>
      <c r="Q162">
        <f t="shared" si="20"/>
        <v>437</v>
      </c>
      <c r="S162" t="str">
        <f t="shared" si="21"/>
        <v>28.11.2025</v>
      </c>
      <c r="T162" t="str">
        <f t="shared" si="22"/>
        <v>11:00:00</v>
      </c>
      <c r="U162" t="str">
        <f t="shared" si="24"/>
        <v>28.11.2025 11:00:00</v>
      </c>
      <c r="V162" s="9" t="str">
        <f>MID($A162,C162+C$2+1,D162-C162-C$2-1)</f>
        <v>0</v>
      </c>
      <c r="W162" s="4">
        <f>VALUE(SUBSTITUTE(MID($A162,D162+D$2+1,E162-D162-D$2-1),",","."))</f>
        <v>0.814596798345954</v>
      </c>
      <c r="X162" s="4">
        <f>VALUE(SUBSTITUTE(MID($A162,E162+E$2+1,F162-E162-E$2-1),",","."))</f>
        <v>0.90957602214449496</v>
      </c>
      <c r="Y162" s="4">
        <f>VALUE(SUBSTITUTE(MID($A162,F162+F$2+1,G162-F162-F$2-1),",","."))</f>
        <v>0.33826792778175302</v>
      </c>
      <c r="Z162" s="3">
        <f>VALUE(SUBSTITUTE(MID($A162,G162+G$2+1,H162-G162-G$2-1),",","."))</f>
        <v>176.39999999999901</v>
      </c>
      <c r="AA162" s="3">
        <f>VALUE(SUBSTITUTE(MID($A162,H162+H$2+1,I162-H162-H$2-1),",","."))</f>
        <v>0</v>
      </c>
      <c r="AB162" s="3">
        <f>VALUE(SUBSTITUTE(MID($A162,I162+I$2+1,J162-I162-I$2-1),",","."))</f>
        <v>137.1</v>
      </c>
      <c r="AC162" s="3">
        <f>VALUE(SUBSTITUTE(MID($A162,J162+J$2+1,K162-J162-J$2-1),",","."))</f>
        <v>-0.15</v>
      </c>
      <c r="AD162" s="3">
        <f>VALUE(SUBSTITUTE(MID($A162,K162+K$2+1,L162-K162-K$2-1),",","."))</f>
        <v>7.56</v>
      </c>
      <c r="AE162" s="3">
        <f>VALUE(SUBSTITUTE(MID($A162,L162+L$2+1,M162-L162-L$2-1),",","."))</f>
        <v>0</v>
      </c>
      <c r="AF162" s="3">
        <f>VALUE(SUBSTITUTE(MID($A162,M162+M$2+1,N162-M162-M$2-1),",","."))</f>
        <v>0</v>
      </c>
      <c r="AG162" s="3">
        <f>VALUE(SUBSTITUTE(MID($A162,N162+N$2+1,O162-N162-N$2-1),",","."))</f>
        <v>4.2079954068834304</v>
      </c>
      <c r="AH162" t="str">
        <f>MID($A162,O162+O$2+1,P162-O162-O$2-1)</f>
        <v/>
      </c>
      <c r="AI162" s="8" t="str">
        <f>MID($A162,P162+P$2+1,Q162-P162-P$2-1)</f>
        <v>False</v>
      </c>
      <c r="AK162" t="b">
        <f t="shared" si="25"/>
        <v>0</v>
      </c>
    </row>
    <row r="163" spans="1:37" x14ac:dyDescent="0.35">
      <c r="A163" t="s">
        <v>4710</v>
      </c>
      <c r="B163">
        <f t="shared" si="27"/>
        <v>10</v>
      </c>
      <c r="C163">
        <f t="shared" si="26"/>
        <v>43</v>
      </c>
      <c r="D163">
        <f t="shared" si="26"/>
        <v>54</v>
      </c>
      <c r="E163">
        <f t="shared" si="26"/>
        <v>97</v>
      </c>
      <c r="F163">
        <f t="shared" si="26"/>
        <v>141</v>
      </c>
      <c r="G163">
        <f t="shared" si="26"/>
        <v>178</v>
      </c>
      <c r="H163">
        <f t="shared" si="26"/>
        <v>214</v>
      </c>
      <c r="I163">
        <f t="shared" si="26"/>
        <v>236</v>
      </c>
      <c r="J163">
        <f t="shared" si="26"/>
        <v>273</v>
      </c>
      <c r="K163">
        <f t="shared" si="26"/>
        <v>293</v>
      </c>
      <c r="L163">
        <f t="shared" si="26"/>
        <v>311</v>
      </c>
      <c r="M163">
        <f t="shared" si="23"/>
        <v>326</v>
      </c>
      <c r="N163">
        <f t="shared" si="23"/>
        <v>338</v>
      </c>
      <c r="O163">
        <f t="shared" si="23"/>
        <v>363</v>
      </c>
      <c r="P163">
        <f t="shared" si="23"/>
        <v>381</v>
      </c>
      <c r="Q163">
        <f t="shared" si="20"/>
        <v>407</v>
      </c>
      <c r="S163" t="str">
        <f t="shared" si="21"/>
        <v>28.11.2025</v>
      </c>
      <c r="T163" t="str">
        <f t="shared" si="22"/>
        <v>11:15:00</v>
      </c>
      <c r="U163" t="str">
        <f t="shared" si="24"/>
        <v>28.11.2025 11:15:00</v>
      </c>
      <c r="V163" s="9" t="str">
        <f>MID($A163,C163+C$2+1,D163-C163-C$2-1)</f>
        <v>0</v>
      </c>
      <c r="W163" s="4">
        <f>VALUE(SUBSTITUTE(MID($A163,D163+D$2+1,E163-D163-D$2-1),",","."))</f>
        <v>0.81663127599728502</v>
      </c>
      <c r="X163" s="4">
        <f>VALUE(SUBSTITUTE(MID($A163,E163+E$2+1,F163-E163-E$2-1),",","."))</f>
        <v>0.90957602214449496</v>
      </c>
      <c r="Y163" s="4">
        <f>VALUE(SUBSTITUTE(MID($A163,F163+F$2+1,G163-F163-F$2-1),",","."))</f>
        <v>0.34852073880261503</v>
      </c>
      <c r="Z163" s="3">
        <f>VALUE(SUBSTITUTE(MID($A163,G163+G$2+1,H163-G163-G$2-1),",","."))</f>
        <v>166.1</v>
      </c>
      <c r="AA163" s="3">
        <f>VALUE(SUBSTITUTE(MID($A163,H163+H$2+1,I163-H163-H$2-1),",","."))</f>
        <v>0</v>
      </c>
      <c r="AB163" s="3">
        <f>VALUE(SUBSTITUTE(MID($A163,I163+I$2+1,J163-I163-I$2-1),",","."))</f>
        <v>132.80000000000001</v>
      </c>
      <c r="AC163" s="3">
        <f>VALUE(SUBSTITUTE(MID($A163,J163+J$2+1,K163-J163-J$2-1),",","."))</f>
        <v>0.05</v>
      </c>
      <c r="AD163" s="3">
        <f>VALUE(SUBSTITUTE(MID($A163,K163+K$2+1,L163-K163-K$2-1),",","."))</f>
        <v>7.38</v>
      </c>
      <c r="AE163" s="3">
        <f>VALUE(SUBSTITUTE(MID($A163,L163+L$2+1,M163-L163-L$2-1),",","."))</f>
        <v>0</v>
      </c>
      <c r="AF163" s="3">
        <f>VALUE(SUBSTITUTE(MID($A163,M163+M$2+1,N163-M163-M$2-1),",","."))</f>
        <v>0</v>
      </c>
      <c r="AG163" s="3">
        <f>VALUE(SUBSTITUTE(MID($A163,N163+N$2+1,O163-N163-N$2-1),",","."))</f>
        <v>4.20802392677151</v>
      </c>
      <c r="AH163" t="str">
        <f>MID($A163,O163+O$2+1,P163-O163-O$2-1)</f>
        <v/>
      </c>
      <c r="AI163" s="8" t="str">
        <f>MID($A163,P163+P$2+1,Q163-P163-P$2-1)</f>
        <v>False</v>
      </c>
      <c r="AK163" t="b">
        <f t="shared" si="25"/>
        <v>0</v>
      </c>
    </row>
    <row r="164" spans="1:37" x14ac:dyDescent="0.35">
      <c r="A164" t="s">
        <v>4711</v>
      </c>
      <c r="B164">
        <f t="shared" si="27"/>
        <v>10</v>
      </c>
      <c r="C164">
        <f t="shared" si="26"/>
        <v>43</v>
      </c>
      <c r="D164">
        <f t="shared" si="26"/>
        <v>54</v>
      </c>
      <c r="E164">
        <f t="shared" si="26"/>
        <v>96</v>
      </c>
      <c r="F164">
        <f t="shared" si="26"/>
        <v>140</v>
      </c>
      <c r="G164">
        <f t="shared" si="26"/>
        <v>179</v>
      </c>
      <c r="H164">
        <f t="shared" si="26"/>
        <v>215</v>
      </c>
      <c r="I164">
        <f t="shared" si="26"/>
        <v>237</v>
      </c>
      <c r="J164">
        <f t="shared" si="26"/>
        <v>275</v>
      </c>
      <c r="K164">
        <f t="shared" si="26"/>
        <v>294</v>
      </c>
      <c r="L164">
        <f t="shared" si="26"/>
        <v>325</v>
      </c>
      <c r="M164">
        <f t="shared" si="23"/>
        <v>340</v>
      </c>
      <c r="N164">
        <f t="shared" si="23"/>
        <v>352</v>
      </c>
      <c r="O164">
        <f t="shared" si="23"/>
        <v>377</v>
      </c>
      <c r="P164">
        <f t="shared" si="23"/>
        <v>395</v>
      </c>
      <c r="Q164">
        <f t="shared" si="20"/>
        <v>421</v>
      </c>
      <c r="S164" t="str">
        <f t="shared" si="21"/>
        <v>28.11.2025</v>
      </c>
      <c r="T164" t="str">
        <f t="shared" si="22"/>
        <v>11:30:00</v>
      </c>
      <c r="U164" t="str">
        <f t="shared" si="24"/>
        <v>28.11.2025 11:30:00</v>
      </c>
      <c r="V164" s="9" t="str">
        <f>MID($A164,C164+C$2+1,D164-C164-C$2-1)</f>
        <v>0</v>
      </c>
      <c r="W164" s="4">
        <f>VALUE(SUBSTITUTE(MID($A164,D164+D$2+1,E164-D164-D$2-1),",","."))</f>
        <v>0.81480421557180205</v>
      </c>
      <c r="X164" s="4">
        <f>VALUE(SUBSTITUTE(MID($A164,E164+E$2+1,F164-E164-E$2-1),",","."))</f>
        <v>0.90957602214449496</v>
      </c>
      <c r="Y164" s="4">
        <f>VALUE(SUBSTITUTE(MID($A164,F164+F$2+1,G164-F164-F$2-1),",","."))</f>
        <v>0.35614531078099199</v>
      </c>
      <c r="Z164" s="3">
        <f>VALUE(SUBSTITUTE(MID($A164,G164+G$2+1,H164-G164-G$2-1),",","."))</f>
        <v>184.2</v>
      </c>
      <c r="AA164" s="3">
        <f>VALUE(SUBSTITUTE(MID($A164,H164+H$2+1,I164-H164-H$2-1),",","."))</f>
        <v>0</v>
      </c>
      <c r="AB164" s="3">
        <f>VALUE(SUBSTITUTE(MID($A164,I164+I$2+1,J164-I164-I$2-1),",","."))</f>
        <v>140.85</v>
      </c>
      <c r="AC164" s="3">
        <f>VALUE(SUBSTITUTE(MID($A164,J164+J$2+1,K164-J164-J$2-1),",","."))</f>
        <v>0.2</v>
      </c>
      <c r="AD164" s="3">
        <f>VALUE(SUBSTITUTE(MID($A164,K164+K$2+1,L164-K164-K$2-1),",","."))</f>
        <v>6.66</v>
      </c>
      <c r="AE164" s="3">
        <f>VALUE(SUBSTITUTE(MID($A164,L164+L$2+1,M164-L164-L$2-1),",","."))</f>
        <v>0</v>
      </c>
      <c r="AF164" s="3">
        <f>VALUE(SUBSTITUTE(MID($A164,M164+M$2+1,N164-M164-M$2-1),",","."))</f>
        <v>0</v>
      </c>
      <c r="AG164" s="3">
        <f>VALUE(SUBSTITUTE(MID($A164,N164+N$2+1,O164-N164-N$2-1),",","."))</f>
        <v>4.2080524466595897</v>
      </c>
      <c r="AH164" t="str">
        <f>MID($A164,O164+O$2+1,P164-O164-O$2-1)</f>
        <v/>
      </c>
      <c r="AI164" s="8" t="str">
        <f>MID($A164,P164+P$2+1,Q164-P164-P$2-1)</f>
        <v>False</v>
      </c>
      <c r="AK164" t="b">
        <f t="shared" si="25"/>
        <v>0</v>
      </c>
    </row>
    <row r="165" spans="1:37" x14ac:dyDescent="0.35">
      <c r="A165" t="s">
        <v>4712</v>
      </c>
      <c r="B165">
        <f t="shared" si="27"/>
        <v>10</v>
      </c>
      <c r="C165">
        <f t="shared" si="26"/>
        <v>43</v>
      </c>
      <c r="D165">
        <f t="shared" si="26"/>
        <v>54</v>
      </c>
      <c r="E165">
        <f t="shared" si="26"/>
        <v>97</v>
      </c>
      <c r="F165">
        <f t="shared" si="26"/>
        <v>141</v>
      </c>
      <c r="G165">
        <f t="shared" si="26"/>
        <v>180</v>
      </c>
      <c r="H165">
        <f t="shared" si="26"/>
        <v>229</v>
      </c>
      <c r="I165">
        <f t="shared" si="26"/>
        <v>251</v>
      </c>
      <c r="J165">
        <f t="shared" si="26"/>
        <v>286</v>
      </c>
      <c r="K165">
        <f t="shared" si="26"/>
        <v>306</v>
      </c>
      <c r="L165">
        <f t="shared" si="26"/>
        <v>324</v>
      </c>
      <c r="M165">
        <f t="shared" si="23"/>
        <v>339</v>
      </c>
      <c r="N165">
        <f t="shared" si="23"/>
        <v>351</v>
      </c>
      <c r="O165">
        <f t="shared" si="23"/>
        <v>376</v>
      </c>
      <c r="P165">
        <f t="shared" si="23"/>
        <v>394</v>
      </c>
      <c r="Q165">
        <f t="shared" si="20"/>
        <v>420</v>
      </c>
      <c r="S165" t="str">
        <f t="shared" si="21"/>
        <v>28.11.2025</v>
      </c>
      <c r="T165" t="str">
        <f t="shared" si="22"/>
        <v>11:45:00</v>
      </c>
      <c r="U165" t="str">
        <f t="shared" si="24"/>
        <v>28.11.2025 11:45:00</v>
      </c>
      <c r="V165" s="9" t="str">
        <f>MID($A165,C165+C$2+1,D165-C165-C$2-1)</f>
        <v>0</v>
      </c>
      <c r="W165" s="4">
        <f>VALUE(SUBSTITUTE(MID($A165,D165+D$2+1,E165-D165-D$2-1),",","."))</f>
        <v>0.80912284018332203</v>
      </c>
      <c r="X165" s="4">
        <f>VALUE(SUBSTITUTE(MID($A165,E165+E$2+1,F165-E165-E$2-1),",","."))</f>
        <v>0.90957602214449496</v>
      </c>
      <c r="Y165" s="4">
        <f>VALUE(SUBSTITUTE(MID($A165,F165+F$2+1,G165-F165-F$2-1),",","."))</f>
        <v>0.36110818443714998</v>
      </c>
      <c r="Z165" s="3">
        <f>VALUE(SUBSTITUTE(MID($A165,G165+G$2+1,H165-G165-G$2-1),",","."))</f>
        <v>143.416666666666</v>
      </c>
      <c r="AA165" s="3">
        <f>VALUE(SUBSTITUTE(MID($A165,H165+H$2+1,I165-H165-H$2-1),",","."))</f>
        <v>0</v>
      </c>
      <c r="AB165" s="3">
        <f>VALUE(SUBSTITUTE(MID($A165,I165+I$2+1,J165-I165-I$2-1),",","."))</f>
        <v>159</v>
      </c>
      <c r="AC165" s="3">
        <f>VALUE(SUBSTITUTE(MID($A165,J165+J$2+1,K165-J165-J$2-1),",","."))</f>
        <v>0.35</v>
      </c>
      <c r="AD165" s="3">
        <f>VALUE(SUBSTITUTE(MID($A165,K165+K$2+1,L165-K165-K$2-1),",","."))</f>
        <v>6.66</v>
      </c>
      <c r="AE165" s="3">
        <f>VALUE(SUBSTITUTE(MID($A165,L165+L$2+1,M165-L165-L$2-1),",","."))</f>
        <v>0</v>
      </c>
      <c r="AF165" s="3">
        <f>VALUE(SUBSTITUTE(MID($A165,M165+M$2+1,N165-M165-M$2-1),",","."))</f>
        <v>0</v>
      </c>
      <c r="AG165" s="3">
        <f>VALUE(SUBSTITUTE(MID($A165,N165+N$2+1,O165-N165-N$2-1),",","."))</f>
        <v>4.2080809665476702</v>
      </c>
      <c r="AH165" t="str">
        <f>MID($A165,O165+O$2+1,P165-O165-O$2-1)</f>
        <v/>
      </c>
      <c r="AI165" s="8" t="str">
        <f>MID($A165,P165+P$2+1,Q165-P165-P$2-1)</f>
        <v>False</v>
      </c>
      <c r="AK165" t="b">
        <f t="shared" si="25"/>
        <v>1</v>
      </c>
    </row>
    <row r="166" spans="1:37" x14ac:dyDescent="0.35">
      <c r="A166" t="s">
        <v>4713</v>
      </c>
      <c r="B166">
        <f t="shared" si="27"/>
        <v>10</v>
      </c>
      <c r="C166">
        <f t="shared" si="26"/>
        <v>43</v>
      </c>
      <c r="D166">
        <f t="shared" si="26"/>
        <v>54</v>
      </c>
      <c r="E166">
        <f t="shared" si="26"/>
        <v>97</v>
      </c>
      <c r="F166">
        <f t="shared" si="26"/>
        <v>141</v>
      </c>
      <c r="G166">
        <f t="shared" si="26"/>
        <v>179</v>
      </c>
      <c r="H166">
        <f t="shared" si="26"/>
        <v>228</v>
      </c>
      <c r="I166">
        <f t="shared" si="26"/>
        <v>250</v>
      </c>
      <c r="J166">
        <f t="shared" si="26"/>
        <v>288</v>
      </c>
      <c r="K166">
        <f t="shared" si="26"/>
        <v>308</v>
      </c>
      <c r="L166">
        <f t="shared" si="26"/>
        <v>326</v>
      </c>
      <c r="M166">
        <f t="shared" si="23"/>
        <v>341</v>
      </c>
      <c r="N166">
        <f t="shared" si="23"/>
        <v>353</v>
      </c>
      <c r="O166">
        <f t="shared" si="23"/>
        <v>378</v>
      </c>
      <c r="P166">
        <f t="shared" si="23"/>
        <v>396</v>
      </c>
      <c r="Q166">
        <f t="shared" si="20"/>
        <v>422</v>
      </c>
      <c r="S166" t="str">
        <f t="shared" si="21"/>
        <v>28.11.2025</v>
      </c>
      <c r="T166" t="str">
        <f t="shared" si="22"/>
        <v>12:00:00</v>
      </c>
      <c r="U166" t="str">
        <f t="shared" si="24"/>
        <v>28.11.2025 12:00:00</v>
      </c>
      <c r="V166" s="9" t="str">
        <f>MID($A166,C166+C$2+1,D166-C166-C$2-1)</f>
        <v>0</v>
      </c>
      <c r="W166" s="4">
        <f>VALUE(SUBSTITUTE(MID($A166,D166+D$2+1,E166-D166-D$2-1),",","."))</f>
        <v>0.79961113076493995</v>
      </c>
      <c r="X166" s="4">
        <f>VALUE(SUBSTITUTE(MID($A166,E166+E$2+1,F166-E166-E$2-1),",","."))</f>
        <v>0.90957602214449496</v>
      </c>
      <c r="Y166" s="4">
        <f>VALUE(SUBSTITUTE(MID($A166,F166+F$2+1,G166-F166-F$2-1),",","."))</f>
        <v>0.36338760963958999</v>
      </c>
      <c r="Z166" s="3">
        <f>VALUE(SUBSTITUTE(MID($A166,G166+G$2+1,H166-G166-G$2-1),",","."))</f>
        <v>155.88333333333301</v>
      </c>
      <c r="AA166" s="3">
        <f>VALUE(SUBSTITUTE(MID($A166,H166+H$2+1,I166-H166-H$2-1),",","."))</f>
        <v>0</v>
      </c>
      <c r="AB166" s="3">
        <f>VALUE(SUBSTITUTE(MID($A166,I166+I$2+1,J166-I166-I$2-1),",","."))</f>
        <v>155.85</v>
      </c>
      <c r="AC166" s="3">
        <f>VALUE(SUBSTITUTE(MID($A166,J166+J$2+1,K166-J166-J$2-1),",","."))</f>
        <v>0.55000000000000004</v>
      </c>
      <c r="AD166" s="3">
        <f>VALUE(SUBSTITUTE(MID($A166,K166+K$2+1,L166-K166-K$2-1),",","."))</f>
        <v>6.84</v>
      </c>
      <c r="AE166" s="3">
        <f>VALUE(SUBSTITUTE(MID($A166,L166+L$2+1,M166-L166-L$2-1),",","."))</f>
        <v>0</v>
      </c>
      <c r="AF166" s="3">
        <f>VALUE(SUBSTITUTE(MID($A166,M166+M$2+1,N166-M166-M$2-1),",","."))</f>
        <v>0</v>
      </c>
      <c r="AG166" s="3">
        <f>VALUE(SUBSTITUTE(MID($A166,N166+N$2+1,O166-N166-N$2-1),",","."))</f>
        <v>4.2081094864357498</v>
      </c>
      <c r="AH166" t="str">
        <f>MID($A166,O166+O$2+1,P166-O166-O$2-1)</f>
        <v/>
      </c>
      <c r="AI166" s="8" t="str">
        <f>MID($A166,P166+P$2+1,Q166-P166-P$2-1)</f>
        <v>False</v>
      </c>
      <c r="AK166" t="b">
        <f t="shared" si="25"/>
        <v>0</v>
      </c>
    </row>
    <row r="167" spans="1:37" x14ac:dyDescent="0.35">
      <c r="A167" t="s">
        <v>4714</v>
      </c>
      <c r="B167">
        <f t="shared" si="27"/>
        <v>10</v>
      </c>
      <c r="C167">
        <f t="shared" si="26"/>
        <v>43</v>
      </c>
      <c r="D167">
        <f t="shared" si="26"/>
        <v>54</v>
      </c>
      <c r="E167">
        <f t="shared" si="26"/>
        <v>97</v>
      </c>
      <c r="F167">
        <f t="shared" si="26"/>
        <v>141</v>
      </c>
      <c r="G167">
        <f t="shared" si="26"/>
        <v>180</v>
      </c>
      <c r="H167">
        <f t="shared" si="26"/>
        <v>229</v>
      </c>
      <c r="I167">
        <f t="shared" si="26"/>
        <v>251</v>
      </c>
      <c r="J167">
        <f t="shared" si="26"/>
        <v>289</v>
      </c>
      <c r="K167">
        <f t="shared" si="26"/>
        <v>308</v>
      </c>
      <c r="L167">
        <f t="shared" si="26"/>
        <v>326</v>
      </c>
      <c r="M167">
        <f t="shared" si="23"/>
        <v>341</v>
      </c>
      <c r="N167">
        <f t="shared" si="23"/>
        <v>353</v>
      </c>
      <c r="O167">
        <f t="shared" si="23"/>
        <v>377</v>
      </c>
      <c r="P167">
        <f t="shared" si="23"/>
        <v>395</v>
      </c>
      <c r="Q167">
        <f t="shared" si="20"/>
        <v>421</v>
      </c>
      <c r="S167" t="str">
        <f t="shared" si="21"/>
        <v>28.11.2025</v>
      </c>
      <c r="T167" t="str">
        <f t="shared" si="22"/>
        <v>12:15:00</v>
      </c>
      <c r="U167" t="str">
        <f t="shared" si="24"/>
        <v>28.11.2025 12:15:00</v>
      </c>
      <c r="V167" s="9" t="str">
        <f>MID($A167,C167+C$2+1,D167-C167-C$2-1)</f>
        <v>0</v>
      </c>
      <c r="W167" s="4">
        <f>VALUE(SUBSTITUTE(MID($A167,D167+D$2+1,E167-D167-D$2-1),",","."))</f>
        <v>0.78630968498014697</v>
      </c>
      <c r="X167" s="4">
        <f>VALUE(SUBSTITUTE(MID($A167,E167+E$2+1,F167-E167-E$2-1),",","."))</f>
        <v>0.90957602214449496</v>
      </c>
      <c r="Y167" s="4">
        <f>VALUE(SUBSTITUTE(MID($A167,F167+F$2+1,G167-F167-F$2-1),",","."))</f>
        <v>0.36297359246410099</v>
      </c>
      <c r="Z167" s="3">
        <f>VALUE(SUBSTITUTE(MID($A167,G167+G$2+1,H167-G167-G$2-1),",","."))</f>
        <v>176.916666666666</v>
      </c>
      <c r="AA167" s="3">
        <f>VALUE(SUBSTITUTE(MID($A167,H167+H$2+1,I167-H167-H$2-1),",","."))</f>
        <v>0</v>
      </c>
      <c r="AB167" s="3">
        <f>VALUE(SUBSTITUTE(MID($A167,I167+I$2+1,J167-I167-I$2-1),",","."))</f>
        <v>163.75</v>
      </c>
      <c r="AC167" s="3">
        <f>VALUE(SUBSTITUTE(MID($A167,J167+J$2+1,K167-J167-J$2-1),",","."))</f>
        <v>0.7</v>
      </c>
      <c r="AD167" s="3">
        <f>VALUE(SUBSTITUTE(MID($A167,K167+K$2+1,L167-K167-K$2-1),",","."))</f>
        <v>7.38</v>
      </c>
      <c r="AE167" s="3">
        <f>VALUE(SUBSTITUTE(MID($A167,L167+L$2+1,M167-L167-L$2-1),",","."))</f>
        <v>0</v>
      </c>
      <c r="AF167" s="3">
        <f>VALUE(SUBSTITUTE(MID($A167,M167+M$2+1,N167-M167-M$2-1),",","."))</f>
        <v>0</v>
      </c>
      <c r="AG167" s="3">
        <f>VALUE(SUBSTITUTE(MID($A167,N167+N$2+1,O167-N167-N$2-1),",","."))</f>
        <v>4.2081380063238401</v>
      </c>
      <c r="AH167" t="str">
        <f>MID($A167,O167+O$2+1,P167-O167-O$2-1)</f>
        <v/>
      </c>
      <c r="AI167" s="8" t="str">
        <f>MID($A167,P167+P$2+1,Q167-P167-P$2-1)</f>
        <v>False</v>
      </c>
      <c r="AK167" t="b">
        <f t="shared" si="25"/>
        <v>0</v>
      </c>
    </row>
    <row r="168" spans="1:37" x14ac:dyDescent="0.35">
      <c r="A168" t="s">
        <v>4715</v>
      </c>
      <c r="B168">
        <f t="shared" si="27"/>
        <v>10</v>
      </c>
      <c r="C168">
        <f t="shared" si="26"/>
        <v>43</v>
      </c>
      <c r="D168">
        <f t="shared" si="26"/>
        <v>54</v>
      </c>
      <c r="E168">
        <f t="shared" si="26"/>
        <v>97</v>
      </c>
      <c r="F168">
        <f t="shared" si="26"/>
        <v>141</v>
      </c>
      <c r="G168">
        <f t="shared" si="26"/>
        <v>179</v>
      </c>
      <c r="H168">
        <f t="shared" si="26"/>
        <v>228</v>
      </c>
      <c r="I168">
        <f t="shared" si="26"/>
        <v>250</v>
      </c>
      <c r="J168">
        <f t="shared" si="26"/>
        <v>300</v>
      </c>
      <c r="K168">
        <f t="shared" si="26"/>
        <v>320</v>
      </c>
      <c r="L168">
        <f t="shared" si="26"/>
        <v>338</v>
      </c>
      <c r="M168">
        <f t="shared" si="23"/>
        <v>353</v>
      </c>
      <c r="N168">
        <f t="shared" si="23"/>
        <v>365</v>
      </c>
      <c r="O168">
        <f t="shared" si="23"/>
        <v>390</v>
      </c>
      <c r="P168">
        <f t="shared" si="23"/>
        <v>408</v>
      </c>
      <c r="Q168">
        <f t="shared" si="20"/>
        <v>434</v>
      </c>
      <c r="S168" t="str">
        <f t="shared" si="21"/>
        <v>28.11.2025</v>
      </c>
      <c r="T168" t="str">
        <f t="shared" si="22"/>
        <v>12:30:00</v>
      </c>
      <c r="U168" t="str">
        <f t="shared" si="24"/>
        <v>28.11.2025 12:30:00</v>
      </c>
      <c r="V168" s="9" t="str">
        <f>MID($A168,C168+C$2+1,D168-C168-C$2-1)</f>
        <v>0</v>
      </c>
      <c r="W168" s="4">
        <f>VALUE(SUBSTITUTE(MID($A168,D168+D$2+1,E168-D168-D$2-1),",","."))</f>
        <v>0.76927552675489597</v>
      </c>
      <c r="X168" s="4">
        <f>VALUE(SUBSTITUTE(MID($A168,E168+E$2+1,F168-E168-E$2-1),",","."))</f>
        <v>0.90957602214449496</v>
      </c>
      <c r="Y168" s="4">
        <f>VALUE(SUBSTITUTE(MID($A168,F168+F$2+1,G168-F168-F$2-1),",","."))</f>
        <v>0.35986791828473702</v>
      </c>
      <c r="Z168" s="3">
        <f>VALUE(SUBSTITUTE(MID($A168,G168+G$2+1,H168-G168-G$2-1),",","."))</f>
        <v>183.916666666666</v>
      </c>
      <c r="AA168" s="3">
        <f>VALUE(SUBSTITUTE(MID($A168,H168+H$2+1,I168-H168-H$2-1),",","."))</f>
        <v>0</v>
      </c>
      <c r="AB168" s="3">
        <f>VALUE(SUBSTITUTE(MID($A168,I168+I$2+1,J168-I168-I$2-1),",","."))</f>
        <v>167.14999999999901</v>
      </c>
      <c r="AC168" s="3">
        <f>VALUE(SUBSTITUTE(MID($A168,J168+J$2+1,K168-J168-J$2-1),",","."))</f>
        <v>0.95</v>
      </c>
      <c r="AD168" s="3">
        <f>VALUE(SUBSTITUTE(MID($A168,K168+K$2+1,L168-K168-K$2-1),",","."))</f>
        <v>6.84</v>
      </c>
      <c r="AE168" s="3">
        <f>VALUE(SUBSTITUTE(MID($A168,L168+L$2+1,M168-L168-L$2-1),",","."))</f>
        <v>0</v>
      </c>
      <c r="AF168" s="3">
        <f>VALUE(SUBSTITUTE(MID($A168,M168+M$2+1,N168-M168-M$2-1),",","."))</f>
        <v>0</v>
      </c>
      <c r="AG168" s="3">
        <f>VALUE(SUBSTITUTE(MID($A168,N168+N$2+1,O168-N168-N$2-1),",","."))</f>
        <v>4.2081665262119197</v>
      </c>
      <c r="AH168" t="str">
        <f>MID($A168,O168+O$2+1,P168-O168-O$2-1)</f>
        <v/>
      </c>
      <c r="AI168" s="8" t="str">
        <f>MID($A168,P168+P$2+1,Q168-P168-P$2-1)</f>
        <v>False</v>
      </c>
      <c r="AK168" t="b">
        <f t="shared" si="25"/>
        <v>0</v>
      </c>
    </row>
    <row r="169" spans="1:37" x14ac:dyDescent="0.35">
      <c r="A169" t="s">
        <v>4716</v>
      </c>
      <c r="B169">
        <f t="shared" si="27"/>
        <v>10</v>
      </c>
      <c r="C169">
        <f t="shared" si="26"/>
        <v>43</v>
      </c>
      <c r="D169">
        <f t="shared" si="26"/>
        <v>54</v>
      </c>
      <c r="E169">
        <f t="shared" si="26"/>
        <v>97</v>
      </c>
      <c r="F169">
        <f t="shared" si="26"/>
        <v>141</v>
      </c>
      <c r="G169">
        <f t="shared" si="26"/>
        <v>179</v>
      </c>
      <c r="H169">
        <f t="shared" si="26"/>
        <v>228</v>
      </c>
      <c r="I169">
        <f t="shared" si="26"/>
        <v>250</v>
      </c>
      <c r="J169">
        <f t="shared" si="26"/>
        <v>288</v>
      </c>
      <c r="K169">
        <f t="shared" si="26"/>
        <v>322</v>
      </c>
      <c r="L169">
        <f t="shared" si="26"/>
        <v>353</v>
      </c>
      <c r="M169">
        <f t="shared" si="23"/>
        <v>368</v>
      </c>
      <c r="N169">
        <f t="shared" si="23"/>
        <v>380</v>
      </c>
      <c r="O169">
        <f t="shared" si="23"/>
        <v>405</v>
      </c>
      <c r="P169">
        <f t="shared" si="23"/>
        <v>423</v>
      </c>
      <c r="Q169">
        <f t="shared" si="20"/>
        <v>449</v>
      </c>
      <c r="S169" t="str">
        <f t="shared" si="21"/>
        <v>28.11.2025</v>
      </c>
      <c r="T169" t="str">
        <f t="shared" si="22"/>
        <v>12:45:00</v>
      </c>
      <c r="U169" t="str">
        <f t="shared" si="24"/>
        <v>28.11.2025 12:45:00</v>
      </c>
      <c r="V169" s="9" t="str">
        <f>MID($A169,C169+C$2+1,D169-C169-C$2-1)</f>
        <v>0</v>
      </c>
      <c r="W169" s="4">
        <f>VALUE(SUBSTITUTE(MID($A169,D169+D$2+1,E169-D169-D$2-1),",","."))</f>
        <v>0.74858186445185204</v>
      </c>
      <c r="X169" s="4">
        <f>VALUE(SUBSTITUTE(MID($A169,E169+E$2+1,F169-E169-E$2-1),",","."))</f>
        <v>0.90957602214449496</v>
      </c>
      <c r="Y169" s="4">
        <f>VALUE(SUBSTITUTE(MID($A169,F169+F$2+1,G169-F169-F$2-1),",","."))</f>
        <v>0.35408414729127102</v>
      </c>
      <c r="Z169" s="3">
        <f>VALUE(SUBSTITUTE(MID($A169,G169+G$2+1,H169-G169-G$2-1),",","."))</f>
        <v>153.016666666666</v>
      </c>
      <c r="AA169" s="3">
        <f>VALUE(SUBSTITUTE(MID($A169,H169+H$2+1,I169-H169-H$2-1),",","."))</f>
        <v>0</v>
      </c>
      <c r="AB169" s="3">
        <f>VALUE(SUBSTITUTE(MID($A169,I169+I$2+1,J169-I169-I$2-1),",","."))</f>
        <v>168.55</v>
      </c>
      <c r="AC169" s="3">
        <f>VALUE(SUBSTITUTE(MID($A169,J169+J$2+1,K169-J169-J$2-1),",","."))</f>
        <v>1.2999999999999901</v>
      </c>
      <c r="AD169" s="3">
        <f>VALUE(SUBSTITUTE(MID($A169,K169+K$2+1,L169-K169-K$2-1),",","."))</f>
        <v>6.3</v>
      </c>
      <c r="AE169" s="3">
        <f>VALUE(SUBSTITUTE(MID($A169,L169+L$2+1,M169-L169-L$2-1),",","."))</f>
        <v>0</v>
      </c>
      <c r="AF169" s="3">
        <f>VALUE(SUBSTITUTE(MID($A169,M169+M$2+1,N169-M169-M$2-1),",","."))</f>
        <v>0</v>
      </c>
      <c r="AG169" s="3">
        <f>VALUE(SUBSTITUTE(MID($A169,N169+N$2+1,O169-N169-N$2-1),",","."))</f>
        <v>4.2081950461000002</v>
      </c>
      <c r="AH169" t="str">
        <f>MID($A169,O169+O$2+1,P169-O169-O$2-1)</f>
        <v/>
      </c>
      <c r="AI169" s="8" t="str">
        <f>MID($A169,P169+P$2+1,Q169-P169-P$2-1)</f>
        <v>False</v>
      </c>
      <c r="AK169" t="b">
        <f t="shared" si="25"/>
        <v>1</v>
      </c>
    </row>
    <row r="170" spans="1:37" x14ac:dyDescent="0.35">
      <c r="A170" t="s">
        <v>4717</v>
      </c>
      <c r="B170">
        <f t="shared" si="27"/>
        <v>10</v>
      </c>
      <c r="C170">
        <f t="shared" si="26"/>
        <v>43</v>
      </c>
      <c r="D170">
        <f t="shared" si="26"/>
        <v>54</v>
      </c>
      <c r="E170">
        <f t="shared" si="26"/>
        <v>97</v>
      </c>
      <c r="F170">
        <f t="shared" si="26"/>
        <v>141</v>
      </c>
      <c r="G170">
        <f t="shared" si="26"/>
        <v>179</v>
      </c>
      <c r="H170">
        <f t="shared" si="26"/>
        <v>228</v>
      </c>
      <c r="I170">
        <f t="shared" si="26"/>
        <v>250</v>
      </c>
      <c r="J170">
        <f t="shared" si="26"/>
        <v>300</v>
      </c>
      <c r="K170">
        <f t="shared" si="26"/>
        <v>320</v>
      </c>
      <c r="L170">
        <f t="shared" si="26"/>
        <v>338</v>
      </c>
      <c r="M170">
        <f t="shared" si="23"/>
        <v>353</v>
      </c>
      <c r="N170">
        <f t="shared" si="23"/>
        <v>365</v>
      </c>
      <c r="O170">
        <f t="shared" si="23"/>
        <v>390</v>
      </c>
      <c r="P170">
        <f t="shared" si="23"/>
        <v>408</v>
      </c>
      <c r="Q170">
        <f t="shared" si="20"/>
        <v>434</v>
      </c>
      <c r="S170" t="str">
        <f t="shared" si="21"/>
        <v>28.11.2025</v>
      </c>
      <c r="T170" t="str">
        <f t="shared" si="22"/>
        <v>13:00:00</v>
      </c>
      <c r="U170" t="str">
        <f t="shared" si="24"/>
        <v>28.11.2025 13:00:00</v>
      </c>
      <c r="V170" s="9" t="str">
        <f>MID($A170,C170+C$2+1,D170-C170-C$2-1)</f>
        <v>0</v>
      </c>
      <c r="W170" s="4">
        <f>VALUE(SUBSTITUTE(MID($A170,D170+D$2+1,E170-D170-D$2-1),",","."))</f>
        <v>0.72431779919378703</v>
      </c>
      <c r="X170" s="4">
        <f>VALUE(SUBSTITUTE(MID($A170,E170+E$2+1,F170-E170-E$2-1),",","."))</f>
        <v>0.90957602214449496</v>
      </c>
      <c r="Y170" s="4">
        <f>VALUE(SUBSTITUTE(MID($A170,F170+F$2+1,G170-F170-F$2-1),",","."))</f>
        <v>0.34564758312382299</v>
      </c>
      <c r="Z170" s="3">
        <f>VALUE(SUBSTITUTE(MID($A170,G170+G$2+1,H170-G170-G$2-1),",","."))</f>
        <v>204.13333333333301</v>
      </c>
      <c r="AA170" s="3">
        <f>VALUE(SUBSTITUTE(MID($A170,H170+H$2+1,I170-H170-H$2-1),",","."))</f>
        <v>0</v>
      </c>
      <c r="AB170" s="3">
        <f>VALUE(SUBSTITUTE(MID($A170,I170+I$2+1,J170-I170-I$2-1),",","."))</f>
        <v>176.85</v>
      </c>
      <c r="AC170" s="3">
        <f>VALUE(SUBSTITUTE(MID($A170,J170+J$2+1,K170-J170-J$2-1),",","."))</f>
        <v>1.55</v>
      </c>
      <c r="AD170" s="3">
        <f>VALUE(SUBSTITUTE(MID($A170,K170+K$2+1,L170-K170-K$2-1),",","."))</f>
        <v>6.48</v>
      </c>
      <c r="AE170" s="3">
        <f>VALUE(SUBSTITUTE(MID($A170,L170+L$2+1,M170-L170-L$2-1),",","."))</f>
        <v>0</v>
      </c>
      <c r="AF170" s="3">
        <f>VALUE(SUBSTITUTE(MID($A170,M170+M$2+1,N170-M170-M$2-1),",","."))</f>
        <v>0</v>
      </c>
      <c r="AG170" s="3">
        <f>VALUE(SUBSTITUTE(MID($A170,N170+N$2+1,O170-N170-N$2-1),",","."))</f>
        <v>4.2082235659880798</v>
      </c>
      <c r="AH170" t="str">
        <f>MID($A170,O170+O$2+1,P170-O170-O$2-1)</f>
        <v/>
      </c>
      <c r="AI170" s="8" t="str">
        <f>MID($A170,P170+P$2+1,Q170-P170-P$2-1)</f>
        <v>False</v>
      </c>
      <c r="AK170" t="b">
        <f t="shared" si="25"/>
        <v>0</v>
      </c>
    </row>
    <row r="171" spans="1:37" x14ac:dyDescent="0.35">
      <c r="A171" t="s">
        <v>4718</v>
      </c>
      <c r="B171">
        <f t="shared" si="27"/>
        <v>10</v>
      </c>
      <c r="C171">
        <f t="shared" si="26"/>
        <v>43</v>
      </c>
      <c r="D171">
        <f t="shared" si="26"/>
        <v>54</v>
      </c>
      <c r="E171">
        <f t="shared" si="26"/>
        <v>96</v>
      </c>
      <c r="F171">
        <f t="shared" si="26"/>
        <v>140</v>
      </c>
      <c r="G171">
        <f t="shared" si="26"/>
        <v>179</v>
      </c>
      <c r="H171">
        <f t="shared" si="26"/>
        <v>228</v>
      </c>
      <c r="I171">
        <f t="shared" si="26"/>
        <v>250</v>
      </c>
      <c r="J171">
        <f t="shared" si="26"/>
        <v>287</v>
      </c>
      <c r="K171">
        <f t="shared" si="26"/>
        <v>307</v>
      </c>
      <c r="L171">
        <f t="shared" si="26"/>
        <v>325</v>
      </c>
      <c r="M171">
        <f t="shared" si="23"/>
        <v>340</v>
      </c>
      <c r="N171">
        <f t="shared" si="23"/>
        <v>352</v>
      </c>
      <c r="O171">
        <f t="shared" si="23"/>
        <v>378</v>
      </c>
      <c r="P171">
        <f t="shared" si="23"/>
        <v>396</v>
      </c>
      <c r="Q171">
        <f t="shared" si="20"/>
        <v>422</v>
      </c>
      <c r="S171" t="str">
        <f t="shared" si="21"/>
        <v>28.11.2025</v>
      </c>
      <c r="T171" t="str">
        <f t="shared" si="22"/>
        <v>13:15:00</v>
      </c>
      <c r="U171" t="str">
        <f t="shared" si="24"/>
        <v>28.11.2025 13:15:00</v>
      </c>
      <c r="V171" s="9" t="str">
        <f>MID($A171,C171+C$2+1,D171-C171-C$2-1)</f>
        <v>0</v>
      </c>
      <c r="W171" s="4">
        <f>VALUE(SUBSTITUTE(MID($A171,D171+D$2+1,E171-D171-D$2-1),",","."))</f>
        <v>0.69658798839493197</v>
      </c>
      <c r="X171" s="4">
        <f>VALUE(SUBSTITUTE(MID($A171,E171+E$2+1,F171-E171-E$2-1),",","."))</f>
        <v>0.90957602214449496</v>
      </c>
      <c r="Y171" s="4">
        <f>VALUE(SUBSTITUTE(MID($A171,F171+F$2+1,G171-F171-F$2-1),",","."))</f>
        <v>0.33459521956723698</v>
      </c>
      <c r="Z171" s="3">
        <f>VALUE(SUBSTITUTE(MID($A171,G171+G$2+1,H171-G171-G$2-1),",","."))</f>
        <v>215.03333333333299</v>
      </c>
      <c r="AA171" s="3">
        <f>VALUE(SUBSTITUTE(MID($A171,H171+H$2+1,I171-H171-H$2-1),",","."))</f>
        <v>0</v>
      </c>
      <c r="AB171" s="3">
        <f>VALUE(SUBSTITUTE(MID($A171,I171+I$2+1,J171-I171-I$2-1),",","."))</f>
        <v>171.7</v>
      </c>
      <c r="AC171" s="3">
        <f>VALUE(SUBSTITUTE(MID($A171,J171+J$2+1,K171-J171-J$2-1),",","."))</f>
        <v>1.85</v>
      </c>
      <c r="AD171" s="3">
        <f>VALUE(SUBSTITUTE(MID($A171,K171+K$2+1,L171-K171-K$2-1),",","."))</f>
        <v>5.58</v>
      </c>
      <c r="AE171" s="3">
        <f>VALUE(SUBSTITUTE(MID($A171,L171+L$2+1,M171-L171-L$2-1),",","."))</f>
        <v>0</v>
      </c>
      <c r="AF171" s="3">
        <f>VALUE(SUBSTITUTE(MID($A171,M171+M$2+1,N171-M171-M$2-1),",","."))</f>
        <v>0</v>
      </c>
      <c r="AG171" s="3">
        <f>VALUE(SUBSTITUTE(MID($A171,N171+N$2+1,O171-N171-N$2-1),",","."))</f>
        <v>4.2082520858761603</v>
      </c>
      <c r="AH171" t="str">
        <f>MID($A171,O171+O$2+1,P171-O171-O$2-1)</f>
        <v/>
      </c>
      <c r="AI171" s="8" t="str">
        <f>MID($A171,P171+P$2+1,Q171-P171-P$2-1)</f>
        <v>False</v>
      </c>
      <c r="AK171" t="b">
        <f t="shared" si="25"/>
        <v>0</v>
      </c>
    </row>
    <row r="172" spans="1:37" x14ac:dyDescent="0.35">
      <c r="A172" t="s">
        <v>4719</v>
      </c>
      <c r="B172">
        <f t="shared" si="27"/>
        <v>10</v>
      </c>
      <c r="C172">
        <f t="shared" si="26"/>
        <v>43</v>
      </c>
      <c r="D172">
        <f t="shared" si="26"/>
        <v>54</v>
      </c>
      <c r="E172">
        <f t="shared" si="26"/>
        <v>97</v>
      </c>
      <c r="F172">
        <f t="shared" si="26"/>
        <v>141</v>
      </c>
      <c r="G172">
        <f t="shared" si="26"/>
        <v>180</v>
      </c>
      <c r="H172">
        <f t="shared" si="26"/>
        <v>229</v>
      </c>
      <c r="I172">
        <f t="shared" si="26"/>
        <v>251</v>
      </c>
      <c r="J172">
        <f t="shared" si="26"/>
        <v>289</v>
      </c>
      <c r="K172">
        <f t="shared" si="26"/>
        <v>306</v>
      </c>
      <c r="L172">
        <f t="shared" si="26"/>
        <v>337</v>
      </c>
      <c r="M172">
        <f t="shared" si="23"/>
        <v>352</v>
      </c>
      <c r="N172">
        <f t="shared" si="23"/>
        <v>364</v>
      </c>
      <c r="O172">
        <f t="shared" si="23"/>
        <v>389</v>
      </c>
      <c r="P172">
        <f t="shared" si="23"/>
        <v>407</v>
      </c>
      <c r="Q172">
        <f t="shared" si="20"/>
        <v>433</v>
      </c>
      <c r="S172" t="str">
        <f t="shared" si="21"/>
        <v>28.11.2025</v>
      </c>
      <c r="T172" t="str">
        <f t="shared" si="22"/>
        <v>13:30:00</v>
      </c>
      <c r="U172" t="str">
        <f t="shared" si="24"/>
        <v>28.11.2025 13:30:00</v>
      </c>
      <c r="V172" s="9" t="str">
        <f>MID($A172,C172+C$2+1,D172-C172-C$2-1)</f>
        <v>0</v>
      </c>
      <c r="W172" s="4">
        <f>VALUE(SUBSTITUTE(MID($A172,D172+D$2+1,E172-D172-D$2-1),",","."))</f>
        <v>0.66551227493059695</v>
      </c>
      <c r="X172" s="4">
        <f>VALUE(SUBSTITUTE(MID($A172,E172+E$2+1,F172-E172-E$2-1),",","."))</f>
        <v>0.90957602214449496</v>
      </c>
      <c r="Y172" s="4">
        <f>VALUE(SUBSTITUTE(MID($A172,F172+F$2+1,G172-F172-F$2-1),",","."))</f>
        <v>0.32097567623620898</v>
      </c>
      <c r="Z172" s="3">
        <f>VALUE(SUBSTITUTE(MID($A172,G172+G$2+1,H172-G172-G$2-1),",","."))</f>
        <v>181.683333333333</v>
      </c>
      <c r="AA172" s="3">
        <f>VALUE(SUBSTITUTE(MID($A172,H172+H$2+1,I172-H172-H$2-1),",","."))</f>
        <v>0</v>
      </c>
      <c r="AB172" s="3">
        <f>VALUE(SUBSTITUTE(MID($A172,I172+I$2+1,J172-I172-I$2-1),",","."))</f>
        <v>166.05</v>
      </c>
      <c r="AC172" s="3">
        <f>VALUE(SUBSTITUTE(MID($A172,J172+J$2+1,K172-J172-J$2-1),",","."))</f>
        <v>2</v>
      </c>
      <c r="AD172" s="3">
        <f>VALUE(SUBSTITUTE(MID($A172,K172+K$2+1,L172-K172-K$2-1),",","."))</f>
        <v>4.68</v>
      </c>
      <c r="AE172" s="3">
        <f>VALUE(SUBSTITUTE(MID($A172,L172+L$2+1,M172-L172-L$2-1),",","."))</f>
        <v>0</v>
      </c>
      <c r="AF172" s="3">
        <f>VALUE(SUBSTITUTE(MID($A172,M172+M$2+1,N172-M172-M$2-1),",","."))</f>
        <v>0</v>
      </c>
      <c r="AG172" s="3">
        <f>VALUE(SUBSTITUTE(MID($A172,N172+N$2+1,O172-N172-N$2-1),",","."))</f>
        <v>4.2082806057642399</v>
      </c>
      <c r="AH172" t="str">
        <f>MID($A172,O172+O$2+1,P172-O172-O$2-1)</f>
        <v/>
      </c>
      <c r="AI172" s="8" t="str">
        <f>MID($A172,P172+P$2+1,Q172-P172-P$2-1)</f>
        <v>False</v>
      </c>
      <c r="AK172" t="b">
        <f t="shared" si="25"/>
        <v>0</v>
      </c>
    </row>
    <row r="173" spans="1:37" x14ac:dyDescent="0.35">
      <c r="A173" t="s">
        <v>4720</v>
      </c>
      <c r="B173">
        <f t="shared" si="27"/>
        <v>10</v>
      </c>
      <c r="C173">
        <f t="shared" si="26"/>
        <v>43</v>
      </c>
      <c r="D173">
        <f t="shared" si="26"/>
        <v>54</v>
      </c>
      <c r="E173">
        <f t="shared" si="26"/>
        <v>97</v>
      </c>
      <c r="F173">
        <f t="shared" si="26"/>
        <v>141</v>
      </c>
      <c r="G173">
        <f t="shared" si="26"/>
        <v>179</v>
      </c>
      <c r="H173">
        <f t="shared" si="26"/>
        <v>228</v>
      </c>
      <c r="I173">
        <f t="shared" si="26"/>
        <v>250</v>
      </c>
      <c r="J173">
        <f t="shared" si="26"/>
        <v>288</v>
      </c>
      <c r="K173">
        <f t="shared" si="26"/>
        <v>307</v>
      </c>
      <c r="L173">
        <f t="shared" si="26"/>
        <v>338</v>
      </c>
      <c r="M173">
        <f t="shared" si="23"/>
        <v>353</v>
      </c>
      <c r="N173">
        <f t="shared" si="23"/>
        <v>365</v>
      </c>
      <c r="O173">
        <f t="shared" si="23"/>
        <v>390</v>
      </c>
      <c r="P173">
        <f t="shared" si="23"/>
        <v>408</v>
      </c>
      <c r="Q173">
        <f t="shared" si="20"/>
        <v>434</v>
      </c>
      <c r="S173" t="str">
        <f t="shared" si="21"/>
        <v>28.11.2025</v>
      </c>
      <c r="T173" t="str">
        <f t="shared" si="22"/>
        <v>13:45:00</v>
      </c>
      <c r="U173" t="str">
        <f t="shared" si="24"/>
        <v>28.11.2025 13:45:00</v>
      </c>
      <c r="V173" s="9" t="str">
        <f>MID($A173,C173+C$2+1,D173-C173-C$2-1)</f>
        <v>0</v>
      </c>
      <c r="W173" s="4">
        <f>VALUE(SUBSTITUTE(MID($A173,D173+D$2+1,E173-D173-D$2-1),",","."))</f>
        <v>0.63122529973736896</v>
      </c>
      <c r="X173" s="4">
        <f>VALUE(SUBSTITUTE(MID($A173,E173+E$2+1,F173-E173-E$2-1),",","."))</f>
        <v>0.90957602214449496</v>
      </c>
      <c r="Y173" s="4">
        <f>VALUE(SUBSTITUTE(MID($A173,F173+F$2+1,G173-F173-F$2-1),",","."))</f>
        <v>0.30484914333712898</v>
      </c>
      <c r="Z173" s="3">
        <f>VALUE(SUBSTITUTE(MID($A173,G173+G$2+1,H173-G173-G$2-1),",","."))</f>
        <v>184.39999999999901</v>
      </c>
      <c r="AA173" s="3">
        <f>VALUE(SUBSTITUTE(MID($A173,H173+H$2+1,I173-H173-H$2-1),",","."))</f>
        <v>0</v>
      </c>
      <c r="AB173" s="3">
        <f>VALUE(SUBSTITUTE(MID($A173,I173+I$2+1,J173-I173-I$2-1),",","."))</f>
        <v>156.94999999999999</v>
      </c>
      <c r="AC173" s="3">
        <f>VALUE(SUBSTITUTE(MID($A173,J173+J$2+1,K173-J173-J$2-1),",","."))</f>
        <v>2.2000000000000002</v>
      </c>
      <c r="AD173" s="3">
        <f>VALUE(SUBSTITUTE(MID($A173,K173+K$2+1,L173-K173-K$2-1),",","."))</f>
        <v>5.22</v>
      </c>
      <c r="AE173" s="3">
        <f>VALUE(SUBSTITUTE(MID($A173,L173+L$2+1,M173-L173-L$2-1),",","."))</f>
        <v>0</v>
      </c>
      <c r="AF173" s="3">
        <f>VALUE(SUBSTITUTE(MID($A173,M173+M$2+1,N173-M173-M$2-1),",","."))</f>
        <v>0</v>
      </c>
      <c r="AG173" s="3">
        <f>VALUE(SUBSTITUTE(MID($A173,N173+N$2+1,O173-N173-N$2-1),",","."))</f>
        <v>4.2083091256523204</v>
      </c>
      <c r="AH173" t="str">
        <f>MID($A173,O173+O$2+1,P173-O173-O$2-1)</f>
        <v/>
      </c>
      <c r="AI173" s="8" t="str">
        <f>MID($A173,P173+P$2+1,Q173-P173-P$2-1)</f>
        <v>False</v>
      </c>
      <c r="AK173" t="b">
        <f t="shared" si="25"/>
        <v>0</v>
      </c>
    </row>
    <row r="174" spans="1:37" x14ac:dyDescent="0.35">
      <c r="A174" t="s">
        <v>4721</v>
      </c>
      <c r="B174">
        <f t="shared" si="27"/>
        <v>10</v>
      </c>
      <c r="C174">
        <f t="shared" si="26"/>
        <v>43</v>
      </c>
      <c r="D174">
        <f t="shared" si="26"/>
        <v>54</v>
      </c>
      <c r="E174">
        <f t="shared" si="26"/>
        <v>97</v>
      </c>
      <c r="F174">
        <f t="shared" si="26"/>
        <v>141</v>
      </c>
      <c r="G174">
        <f t="shared" si="26"/>
        <v>180</v>
      </c>
      <c r="H174">
        <f t="shared" si="26"/>
        <v>229</v>
      </c>
      <c r="I174">
        <f t="shared" si="26"/>
        <v>251</v>
      </c>
      <c r="J174">
        <f t="shared" si="26"/>
        <v>289</v>
      </c>
      <c r="K174">
        <f t="shared" si="26"/>
        <v>309</v>
      </c>
      <c r="L174">
        <f t="shared" si="26"/>
        <v>327</v>
      </c>
      <c r="M174">
        <f t="shared" si="23"/>
        <v>342</v>
      </c>
      <c r="N174">
        <f t="shared" si="23"/>
        <v>354</v>
      </c>
      <c r="O174">
        <f t="shared" si="23"/>
        <v>379</v>
      </c>
      <c r="P174">
        <f t="shared" si="23"/>
        <v>397</v>
      </c>
      <c r="Q174">
        <f t="shared" si="20"/>
        <v>423</v>
      </c>
      <c r="S174" t="str">
        <f t="shared" si="21"/>
        <v>28.11.2025</v>
      </c>
      <c r="T174" t="str">
        <f t="shared" si="22"/>
        <v>14:00:00</v>
      </c>
      <c r="U174" t="str">
        <f t="shared" si="24"/>
        <v>28.11.2025 14:00:00</v>
      </c>
      <c r="V174" s="9" t="str">
        <f>MID($A174,C174+C$2+1,D174-C174-C$2-1)</f>
        <v>0</v>
      </c>
      <c r="W174" s="4">
        <f>VALUE(SUBSTITUTE(MID($A174,D174+D$2+1,E174-D174-D$2-1),",","."))</f>
        <v>0.59387612892237995</v>
      </c>
      <c r="X174" s="4">
        <f>VALUE(SUBSTITUTE(MID($A174,E174+E$2+1,F174-E174-E$2-1),",","."))</f>
        <v>0.90957602214449496</v>
      </c>
      <c r="Y174" s="4">
        <f>VALUE(SUBSTITUTE(MID($A174,F174+F$2+1,G174-F174-F$2-1),",","."))</f>
        <v>0.28628737169789398</v>
      </c>
      <c r="Z174" s="3">
        <f>VALUE(SUBSTITUTE(MID($A174,G174+G$2+1,H174-G174-G$2-1),",","."))</f>
        <v>209.56666666666601</v>
      </c>
      <c r="AA174" s="3">
        <f>VALUE(SUBSTITUTE(MID($A174,H174+H$2+1,I174-H174-H$2-1),",","."))</f>
        <v>0</v>
      </c>
      <c r="AB174" s="3">
        <f>VALUE(SUBSTITUTE(MID($A174,I174+I$2+1,J174-I174-I$2-1),",","."))</f>
        <v>145.94999999999999</v>
      </c>
      <c r="AC174" s="3">
        <f>VALUE(SUBSTITUTE(MID($A174,J174+J$2+1,K174-J174-J$2-1),",","."))</f>
        <v>2.35</v>
      </c>
      <c r="AD174" s="3">
        <f>VALUE(SUBSTITUTE(MID($A174,K174+K$2+1,L174-K174-K$2-1),",","."))</f>
        <v>9.7200000000000006</v>
      </c>
      <c r="AE174" s="3">
        <f>VALUE(SUBSTITUTE(MID($A174,L174+L$2+1,M174-L174-L$2-1),",","."))</f>
        <v>0</v>
      </c>
      <c r="AF174" s="3">
        <f>VALUE(SUBSTITUTE(MID($A174,M174+M$2+1,N174-M174-M$2-1),",","."))</f>
        <v>0</v>
      </c>
      <c r="AG174" s="3">
        <f>VALUE(SUBSTITUTE(MID($A174,N174+N$2+1,O174-N174-N$2-1),",","."))</f>
        <v>4.2083376455404098</v>
      </c>
      <c r="AH174" t="str">
        <f>MID($A174,O174+O$2+1,P174-O174-O$2-1)</f>
        <v/>
      </c>
      <c r="AI174" s="8" t="str">
        <f>MID($A174,P174+P$2+1,Q174-P174-P$2-1)</f>
        <v>False</v>
      </c>
      <c r="AK174" t="b">
        <f t="shared" si="25"/>
        <v>0</v>
      </c>
    </row>
    <row r="175" spans="1:37" x14ac:dyDescent="0.35">
      <c r="A175" t="s">
        <v>4722</v>
      </c>
      <c r="B175">
        <f t="shared" si="27"/>
        <v>10</v>
      </c>
      <c r="C175">
        <f t="shared" si="26"/>
        <v>43</v>
      </c>
      <c r="D175">
        <f t="shared" si="26"/>
        <v>54</v>
      </c>
      <c r="E175">
        <f t="shared" si="26"/>
        <v>97</v>
      </c>
      <c r="F175">
        <f t="shared" si="26"/>
        <v>141</v>
      </c>
      <c r="G175">
        <f t="shared" si="26"/>
        <v>179</v>
      </c>
      <c r="H175">
        <f t="shared" si="26"/>
        <v>216</v>
      </c>
      <c r="I175">
        <f t="shared" si="26"/>
        <v>238</v>
      </c>
      <c r="J175">
        <f t="shared" si="26"/>
        <v>276</v>
      </c>
      <c r="K175">
        <f t="shared" si="26"/>
        <v>296</v>
      </c>
      <c r="L175">
        <f t="shared" si="26"/>
        <v>315</v>
      </c>
      <c r="M175">
        <f t="shared" si="23"/>
        <v>330</v>
      </c>
      <c r="N175">
        <f t="shared" si="23"/>
        <v>342</v>
      </c>
      <c r="O175">
        <f t="shared" si="23"/>
        <v>367</v>
      </c>
      <c r="P175">
        <f t="shared" si="23"/>
        <v>385</v>
      </c>
      <c r="Q175">
        <f t="shared" si="20"/>
        <v>411</v>
      </c>
      <c r="S175" t="str">
        <f t="shared" si="21"/>
        <v>28.11.2025</v>
      </c>
      <c r="T175" t="str">
        <f t="shared" si="22"/>
        <v>14:15:00</v>
      </c>
      <c r="U175" t="str">
        <f t="shared" si="24"/>
        <v>28.11.2025 14:15:00</v>
      </c>
      <c r="V175" s="9" t="str">
        <f>MID($A175,C175+C$2+1,D175-C175-C$2-1)</f>
        <v>0</v>
      </c>
      <c r="W175" s="4">
        <f>VALUE(SUBSTITUTE(MID($A175,D175+D$2+1,E175-D175-D$2-1),",","."))</f>
        <v>0.55362795254256403</v>
      </c>
      <c r="X175" s="4">
        <f>VALUE(SUBSTITUTE(MID($A175,E175+E$2+1,F175-E175-E$2-1),",","."))</f>
        <v>0.90957602214449496</v>
      </c>
      <c r="Y175" s="4">
        <f>VALUE(SUBSTITUTE(MID($A175,F175+F$2+1,G175-F175-F$2-1),",","."))</f>
        <v>0.26537377536381501</v>
      </c>
      <c r="Z175" s="3">
        <f>VALUE(SUBSTITUTE(MID($A175,G175+G$2+1,H175-G175-G$2-1),",","."))</f>
        <v>241.15</v>
      </c>
      <c r="AA175" s="3">
        <f>VALUE(SUBSTITUTE(MID($A175,H175+H$2+1,I175-H175-H$2-1),",","."))</f>
        <v>0</v>
      </c>
      <c r="AB175" s="3">
        <f>VALUE(SUBSTITUTE(MID($A175,I175+I$2+1,J175-I175-I$2-1),",","."))</f>
        <v>132.55000000000001</v>
      </c>
      <c r="AC175" s="3">
        <f>VALUE(SUBSTITUTE(MID($A175,J175+J$2+1,K175-J175-J$2-1),",","."))</f>
        <v>2.4500000000000002</v>
      </c>
      <c r="AD175" s="3">
        <f>VALUE(SUBSTITUTE(MID($A175,K175+K$2+1,L175-K175-K$2-1),",","."))</f>
        <v>11.52</v>
      </c>
      <c r="AE175" s="3">
        <f>VALUE(SUBSTITUTE(MID($A175,L175+L$2+1,M175-L175-L$2-1),",","."))</f>
        <v>0</v>
      </c>
      <c r="AF175" s="3">
        <f>VALUE(SUBSTITUTE(MID($A175,M175+M$2+1,N175-M175-M$2-1),",","."))</f>
        <v>0</v>
      </c>
      <c r="AG175" s="3">
        <f>VALUE(SUBSTITUTE(MID($A175,N175+N$2+1,O175-N175-N$2-1),",","."))</f>
        <v>4.2083661654284903</v>
      </c>
      <c r="AH175" t="str">
        <f>MID($A175,O175+O$2+1,P175-O175-O$2-1)</f>
        <v/>
      </c>
      <c r="AI175" s="8" t="str">
        <f>MID($A175,P175+P$2+1,Q175-P175-P$2-1)</f>
        <v>False</v>
      </c>
      <c r="AK175" t="b">
        <f t="shared" si="25"/>
        <v>0</v>
      </c>
    </row>
    <row r="176" spans="1:37" x14ac:dyDescent="0.35">
      <c r="A176" t="s">
        <v>4723</v>
      </c>
      <c r="B176">
        <f t="shared" si="27"/>
        <v>10</v>
      </c>
      <c r="C176">
        <f t="shared" si="26"/>
        <v>43</v>
      </c>
      <c r="D176">
        <f t="shared" si="26"/>
        <v>54</v>
      </c>
      <c r="E176">
        <f t="shared" si="26"/>
        <v>97</v>
      </c>
      <c r="F176">
        <f t="shared" si="26"/>
        <v>141</v>
      </c>
      <c r="G176">
        <f t="shared" si="26"/>
        <v>179</v>
      </c>
      <c r="H176">
        <f t="shared" si="26"/>
        <v>216</v>
      </c>
      <c r="I176">
        <f t="shared" si="26"/>
        <v>238</v>
      </c>
      <c r="J176">
        <f t="shared" si="26"/>
        <v>276</v>
      </c>
      <c r="K176">
        <f t="shared" si="26"/>
        <v>296</v>
      </c>
      <c r="L176">
        <f t="shared" si="26"/>
        <v>314</v>
      </c>
      <c r="M176">
        <f t="shared" si="23"/>
        <v>329</v>
      </c>
      <c r="N176">
        <f t="shared" si="23"/>
        <v>341</v>
      </c>
      <c r="O176">
        <f t="shared" si="23"/>
        <v>366</v>
      </c>
      <c r="P176">
        <f t="shared" si="23"/>
        <v>384</v>
      </c>
      <c r="Q176">
        <f t="shared" si="20"/>
        <v>410</v>
      </c>
      <c r="S176" t="str">
        <f t="shared" si="21"/>
        <v>28.11.2025</v>
      </c>
      <c r="T176" t="str">
        <f t="shared" si="22"/>
        <v>14:30:00</v>
      </c>
      <c r="U176" t="str">
        <f t="shared" si="24"/>
        <v>28.11.2025 14:30:00</v>
      </c>
      <c r="V176" s="9" t="str">
        <f>MID($A176,C176+C$2+1,D176-C176-C$2-1)</f>
        <v>0</v>
      </c>
      <c r="W176" s="4">
        <f>VALUE(SUBSTITUTE(MID($A176,D176+D$2+1,E176-D176-D$2-1),",","."))</f>
        <v>0.51065796305400502</v>
      </c>
      <c r="X176" s="4">
        <f>VALUE(SUBSTITUTE(MID($A176,E176+E$2+1,F176-E176-E$2-1),",","."))</f>
        <v>0.90957602214449496</v>
      </c>
      <c r="Y176" s="4">
        <f>VALUE(SUBSTITUTE(MID($A176,F176+F$2+1,G176-F176-F$2-1),",","."))</f>
        <v>0.242203776184992</v>
      </c>
      <c r="Z176" s="3">
        <f>VALUE(SUBSTITUTE(MID($A176,G176+G$2+1,H176-G176-G$2-1),",","."))</f>
        <v>253.95</v>
      </c>
      <c r="AA176" s="3">
        <f>VALUE(SUBSTITUTE(MID($A176,H176+H$2+1,I176-H176-H$2-1),",","."))</f>
        <v>0</v>
      </c>
      <c r="AB176" s="3">
        <f>VALUE(SUBSTITUTE(MID($A176,I176+I$2+1,J176-I176-I$2-1),",","."))</f>
        <v>113.35</v>
      </c>
      <c r="AC176" s="3">
        <f>VALUE(SUBSTITUTE(MID($A176,J176+J$2+1,K176-J176-J$2-1),",","."))</f>
        <v>2.5499999999999998</v>
      </c>
      <c r="AD176" s="3">
        <f>VALUE(SUBSTITUTE(MID($A176,K176+K$2+1,L176-K176-K$2-1),",","."))</f>
        <v>8.64</v>
      </c>
      <c r="AE176" s="3">
        <f>VALUE(SUBSTITUTE(MID($A176,L176+L$2+1,M176-L176-L$2-1),",","."))</f>
        <v>0</v>
      </c>
      <c r="AF176" s="3">
        <f>VALUE(SUBSTITUTE(MID($A176,M176+M$2+1,N176-M176-M$2-1),",","."))</f>
        <v>0</v>
      </c>
      <c r="AG176" s="3">
        <f>VALUE(SUBSTITUTE(MID($A176,N176+N$2+1,O176-N176-N$2-1),",","."))</f>
        <v>4.2083946853165699</v>
      </c>
      <c r="AH176" t="str">
        <f>MID($A176,O176+O$2+1,P176-O176-O$2-1)</f>
        <v/>
      </c>
      <c r="AI176" s="8" t="str">
        <f>MID($A176,P176+P$2+1,Q176-P176-P$2-1)</f>
        <v>False</v>
      </c>
      <c r="AK176" t="b">
        <f t="shared" si="25"/>
        <v>0</v>
      </c>
    </row>
    <row r="177" spans="1:37" x14ac:dyDescent="0.35">
      <c r="A177" t="s">
        <v>4724</v>
      </c>
      <c r="B177">
        <f t="shared" si="27"/>
        <v>10</v>
      </c>
      <c r="C177">
        <f t="shared" si="26"/>
        <v>43</v>
      </c>
      <c r="D177">
        <f t="shared" si="26"/>
        <v>54</v>
      </c>
      <c r="E177">
        <f t="shared" si="26"/>
        <v>98</v>
      </c>
      <c r="F177">
        <f t="shared" si="26"/>
        <v>142</v>
      </c>
      <c r="G177">
        <f t="shared" si="26"/>
        <v>181</v>
      </c>
      <c r="H177">
        <f t="shared" si="26"/>
        <v>229</v>
      </c>
      <c r="I177">
        <f t="shared" si="26"/>
        <v>251</v>
      </c>
      <c r="J177">
        <f t="shared" si="26"/>
        <v>288</v>
      </c>
      <c r="K177">
        <f t="shared" si="26"/>
        <v>308</v>
      </c>
      <c r="L177">
        <f t="shared" si="26"/>
        <v>339</v>
      </c>
      <c r="M177">
        <f t="shared" si="23"/>
        <v>354</v>
      </c>
      <c r="N177">
        <f t="shared" si="23"/>
        <v>366</v>
      </c>
      <c r="O177">
        <f t="shared" si="23"/>
        <v>391</v>
      </c>
      <c r="P177">
        <f t="shared" si="23"/>
        <v>409</v>
      </c>
      <c r="Q177">
        <f t="shared" si="20"/>
        <v>435</v>
      </c>
      <c r="S177" t="str">
        <f t="shared" si="21"/>
        <v>28.11.2025</v>
      </c>
      <c r="T177" t="str">
        <f t="shared" si="22"/>
        <v>14:45:00</v>
      </c>
      <c r="U177" t="str">
        <f t="shared" si="24"/>
        <v>28.11.2025 14:45:00</v>
      </c>
      <c r="V177" s="9" t="str">
        <f>MID($A177,C177+C$2+1,D177-C177-C$2-1)</f>
        <v>0</v>
      </c>
      <c r="W177" s="4">
        <f>VALUE(SUBSTITUTE(MID($A177,D177+D$2+1,E177-D177-D$2-1),",","."))</f>
        <v>0.46515763222183598</v>
      </c>
      <c r="X177" s="4">
        <f>VALUE(SUBSTITUTE(MID($A177,E177+E$2+1,F177-E177-E$2-1),",","."))</f>
        <v>0.90957602214449496</v>
      </c>
      <c r="Y177" s="4">
        <f>VALUE(SUBSTITUTE(MID($A177,F177+F$2+1,G177-F177-F$2-1),",","."))</f>
        <v>0.21688565445083699</v>
      </c>
      <c r="Z177" s="3">
        <f>VALUE(SUBSTITUTE(MID($A177,G177+G$2+1,H177-G177-G$2-1),",","."))</f>
        <v>299.63333333333298</v>
      </c>
      <c r="AA177" s="3">
        <f>VALUE(SUBSTITUTE(MID($A177,H177+H$2+1,I177-H177-H$2-1),",","."))</f>
        <v>0</v>
      </c>
      <c r="AB177" s="3">
        <f>VALUE(SUBSTITUTE(MID($A177,I177+I$2+1,J177-I177-I$2-1),",","."))</f>
        <v>100.1</v>
      </c>
      <c r="AC177" s="3">
        <f>VALUE(SUBSTITUTE(MID($A177,J177+J$2+1,K177-J177-J$2-1),",","."))</f>
        <v>2.75</v>
      </c>
      <c r="AD177" s="3">
        <f>VALUE(SUBSTITUTE(MID($A177,K177+K$2+1,L177-K177-K$2-1),",","."))</f>
        <v>4.1399999999999997</v>
      </c>
      <c r="AE177" s="3">
        <f>VALUE(SUBSTITUTE(MID($A177,L177+L$2+1,M177-L177-L$2-1),",","."))</f>
        <v>0</v>
      </c>
      <c r="AF177" s="3">
        <f>VALUE(SUBSTITUTE(MID($A177,M177+M$2+1,N177-M177-M$2-1),",","."))</f>
        <v>0</v>
      </c>
      <c r="AG177" s="3">
        <f>VALUE(SUBSTITUTE(MID($A177,N177+N$2+1,O177-N177-N$2-1),",","."))</f>
        <v>4.2084232052046504</v>
      </c>
      <c r="AH177" t="str">
        <f>MID($A177,O177+O$2+1,P177-O177-O$2-1)</f>
        <v/>
      </c>
      <c r="AI177" s="8" t="str">
        <f>MID($A177,P177+P$2+1,Q177-P177-P$2-1)</f>
        <v>False</v>
      </c>
      <c r="AK177" t="b">
        <f t="shared" si="25"/>
        <v>0</v>
      </c>
    </row>
    <row r="178" spans="1:37" x14ac:dyDescent="0.35">
      <c r="A178" t="s">
        <v>4725</v>
      </c>
      <c r="B178">
        <f t="shared" si="27"/>
        <v>10</v>
      </c>
      <c r="C178">
        <f t="shared" si="26"/>
        <v>43</v>
      </c>
      <c r="D178">
        <f t="shared" si="26"/>
        <v>54</v>
      </c>
      <c r="E178">
        <f t="shared" si="26"/>
        <v>97</v>
      </c>
      <c r="F178">
        <f t="shared" si="26"/>
        <v>141</v>
      </c>
      <c r="G178">
        <f t="shared" si="26"/>
        <v>180</v>
      </c>
      <c r="H178">
        <f t="shared" si="26"/>
        <v>216</v>
      </c>
      <c r="I178">
        <f t="shared" ref="I178:Q214" si="28">FIND(I$1,$A178)</f>
        <v>238</v>
      </c>
      <c r="J178">
        <f t="shared" si="28"/>
        <v>275</v>
      </c>
      <c r="K178">
        <f t="shared" si="28"/>
        <v>294</v>
      </c>
      <c r="L178">
        <f t="shared" si="28"/>
        <v>325</v>
      </c>
      <c r="M178">
        <f t="shared" si="23"/>
        <v>340</v>
      </c>
      <c r="N178">
        <f t="shared" si="23"/>
        <v>352</v>
      </c>
      <c r="O178">
        <f t="shared" si="23"/>
        <v>377</v>
      </c>
      <c r="P178">
        <f t="shared" si="23"/>
        <v>395</v>
      </c>
      <c r="Q178">
        <f t="shared" si="20"/>
        <v>421</v>
      </c>
      <c r="S178" t="str">
        <f t="shared" si="21"/>
        <v>28.11.2025</v>
      </c>
      <c r="T178" t="str">
        <f t="shared" si="22"/>
        <v>15:00:00</v>
      </c>
      <c r="U178" t="str">
        <f t="shared" si="24"/>
        <v>28.11.2025 15:00:00</v>
      </c>
      <c r="V178" s="9" t="str">
        <f>MID($A178,C178+C$2+1,D178-C178-C$2-1)</f>
        <v>0</v>
      </c>
      <c r="W178" s="4">
        <f>VALUE(SUBSTITUTE(MID($A178,D178+D$2+1,E178-D178-D$2-1),",","."))</f>
        <v>0.41733386415441098</v>
      </c>
      <c r="X178" s="4">
        <f>VALUE(SUBSTITUTE(MID($A178,E178+E$2+1,F178-E178-E$2-1),",","."))</f>
        <v>0.90957602214449496</v>
      </c>
      <c r="Y178" s="4">
        <f>VALUE(SUBSTITUTE(MID($A178,F178+F$2+1,G178-F178-F$2-1),",","."))</f>
        <v>0.189542483615945</v>
      </c>
      <c r="Z178" s="3">
        <f>VALUE(SUBSTITUTE(MID($A178,G178+G$2+1,H178-G178-G$2-1),",","."))</f>
        <v>312.2</v>
      </c>
      <c r="AA178" s="3">
        <f>VALUE(SUBSTITUTE(MID($A178,H178+H$2+1,I178-H178-H$2-1),",","."))</f>
        <v>0</v>
      </c>
      <c r="AB178" s="3">
        <f>VALUE(SUBSTITUTE(MID($A178,I178+I$2+1,J178-I178-I$2-1),",","."))</f>
        <v>97.75</v>
      </c>
      <c r="AC178" s="3">
        <f>VALUE(SUBSTITUTE(MID($A178,J178+J$2+1,K178-J178-J$2-1),",","."))</f>
        <v>2.8</v>
      </c>
      <c r="AD178" s="3">
        <f>VALUE(SUBSTITUTE(MID($A178,K178+K$2+1,L178-K178-K$2-1),",","."))</f>
        <v>7.38</v>
      </c>
      <c r="AE178" s="3">
        <f>VALUE(SUBSTITUTE(MID($A178,L178+L$2+1,M178-L178-L$2-1),",","."))</f>
        <v>0</v>
      </c>
      <c r="AF178" s="3">
        <f>VALUE(SUBSTITUTE(MID($A178,M178+M$2+1,N178-M178-M$2-1),",","."))</f>
        <v>0</v>
      </c>
      <c r="AG178" s="3">
        <f>VALUE(SUBSTITUTE(MID($A178,N178+N$2+1,O178-N178-N$2-1),",","."))</f>
        <v>4.20845172509273</v>
      </c>
      <c r="AH178" t="str">
        <f>MID($A178,O178+O$2+1,P178-O178-O$2-1)</f>
        <v/>
      </c>
      <c r="AI178" s="8" t="str">
        <f>MID($A178,P178+P$2+1,Q178-P178-P$2-1)</f>
        <v>False</v>
      </c>
      <c r="AK178" t="b">
        <f t="shared" si="25"/>
        <v>0</v>
      </c>
    </row>
    <row r="179" spans="1:37" x14ac:dyDescent="0.35">
      <c r="A179" t="s">
        <v>4726</v>
      </c>
      <c r="B179">
        <f t="shared" si="27"/>
        <v>10</v>
      </c>
      <c r="C179">
        <f t="shared" si="27"/>
        <v>43</v>
      </c>
      <c r="D179">
        <f t="shared" si="27"/>
        <v>54</v>
      </c>
      <c r="E179">
        <f t="shared" si="27"/>
        <v>98</v>
      </c>
      <c r="F179">
        <f t="shared" si="27"/>
        <v>142</v>
      </c>
      <c r="G179">
        <f t="shared" si="27"/>
        <v>181</v>
      </c>
      <c r="H179">
        <f t="shared" si="27"/>
        <v>230</v>
      </c>
      <c r="I179">
        <f t="shared" si="28"/>
        <v>252</v>
      </c>
      <c r="J179">
        <f t="shared" si="28"/>
        <v>289</v>
      </c>
      <c r="K179">
        <f t="shared" si="28"/>
        <v>323</v>
      </c>
      <c r="L179">
        <f t="shared" si="28"/>
        <v>342</v>
      </c>
      <c r="M179">
        <f t="shared" si="23"/>
        <v>357</v>
      </c>
      <c r="N179">
        <f t="shared" si="23"/>
        <v>369</v>
      </c>
      <c r="O179">
        <f t="shared" si="23"/>
        <v>395</v>
      </c>
      <c r="P179">
        <f t="shared" si="23"/>
        <v>413</v>
      </c>
      <c r="Q179">
        <f t="shared" si="20"/>
        <v>439</v>
      </c>
      <c r="S179" t="str">
        <f t="shared" si="21"/>
        <v>28.11.2025</v>
      </c>
      <c r="T179" t="str">
        <f t="shared" si="22"/>
        <v>15:15:00</v>
      </c>
      <c r="U179" t="str">
        <f t="shared" si="24"/>
        <v>28.11.2025 15:15:00</v>
      </c>
      <c r="V179" s="9" t="str">
        <f>MID($A179,C179+C$2+1,D179-C179-C$2-1)</f>
        <v>0</v>
      </c>
      <c r="W179" s="4">
        <f>VALUE(SUBSTITUTE(MID($A179,D179+D$2+1,E179-D179-D$2-1),",","."))</f>
        <v>0.36741215618264</v>
      </c>
      <c r="X179" s="4">
        <f>VALUE(SUBSTITUTE(MID($A179,E179+E$2+1,F179-E179-E$2-1),",","."))</f>
        <v>0.90957602214449496</v>
      </c>
      <c r="Y179" s="4">
        <f>VALUE(SUBSTITUTE(MID($A179,F179+F$2+1,G179-F179-F$2-1),",","."))</f>
        <v>0.16031652243206501</v>
      </c>
      <c r="Z179" s="3">
        <f>VALUE(SUBSTITUTE(MID($A179,G179+G$2+1,H179-G179-G$2-1),",","."))</f>
        <v>252.24999999999901</v>
      </c>
      <c r="AA179" s="3">
        <f>VALUE(SUBSTITUTE(MID($A179,H179+H$2+1,I179-H179-H$2-1),",","."))</f>
        <v>0</v>
      </c>
      <c r="AB179" s="3">
        <f>VALUE(SUBSTITUTE(MID($A179,I179+I$2+1,J179-I179-I$2-1),",","."))</f>
        <v>90.55</v>
      </c>
      <c r="AC179" s="3">
        <f>VALUE(SUBSTITUTE(MID($A179,J179+J$2+1,K179-J179-J$2-1),",","."))</f>
        <v>2.9</v>
      </c>
      <c r="AD179" s="3">
        <f>VALUE(SUBSTITUTE(MID($A179,K179+K$2+1,L179-K179-K$2-1),",","."))</f>
        <v>10.26</v>
      </c>
      <c r="AE179" s="3">
        <f>VALUE(SUBSTITUTE(MID($A179,L179+L$2+1,M179-L179-L$2-1),",","."))</f>
        <v>0</v>
      </c>
      <c r="AF179" s="3">
        <f>VALUE(SUBSTITUTE(MID($A179,M179+M$2+1,N179-M179-M$2-1),",","."))</f>
        <v>0</v>
      </c>
      <c r="AG179" s="3">
        <f>VALUE(SUBSTITUTE(MID($A179,N179+N$2+1,O179-N179-N$2-1),",","."))</f>
        <v>4.2084802449808096</v>
      </c>
      <c r="AH179" t="str">
        <f>MID($A179,O179+O$2+1,P179-O179-O$2-1)</f>
        <v/>
      </c>
      <c r="AI179" s="8" t="str">
        <f>MID($A179,P179+P$2+1,Q179-P179-P$2-1)</f>
        <v>False</v>
      </c>
      <c r="AK179" t="b">
        <f t="shared" si="25"/>
        <v>0</v>
      </c>
    </row>
    <row r="180" spans="1:37" x14ac:dyDescent="0.35">
      <c r="A180" t="s">
        <v>4727</v>
      </c>
      <c r="B180">
        <f t="shared" si="27"/>
        <v>10</v>
      </c>
      <c r="C180">
        <f t="shared" si="27"/>
        <v>43</v>
      </c>
      <c r="D180">
        <f t="shared" si="27"/>
        <v>54</v>
      </c>
      <c r="E180">
        <f t="shared" si="27"/>
        <v>97</v>
      </c>
      <c r="F180">
        <f t="shared" si="27"/>
        <v>141</v>
      </c>
      <c r="G180">
        <f t="shared" si="27"/>
        <v>180</v>
      </c>
      <c r="H180">
        <f t="shared" si="27"/>
        <v>229</v>
      </c>
      <c r="I180">
        <f t="shared" si="28"/>
        <v>251</v>
      </c>
      <c r="J180">
        <f t="shared" si="28"/>
        <v>287</v>
      </c>
      <c r="K180">
        <f t="shared" si="28"/>
        <v>321</v>
      </c>
      <c r="L180">
        <f t="shared" si="28"/>
        <v>353</v>
      </c>
      <c r="M180">
        <f t="shared" si="23"/>
        <v>368</v>
      </c>
      <c r="N180">
        <f t="shared" si="23"/>
        <v>380</v>
      </c>
      <c r="O180">
        <f t="shared" si="23"/>
        <v>405</v>
      </c>
      <c r="P180">
        <f t="shared" si="23"/>
        <v>423</v>
      </c>
      <c r="Q180">
        <f t="shared" si="20"/>
        <v>449</v>
      </c>
      <c r="S180" t="str">
        <f t="shared" si="21"/>
        <v>28.11.2025</v>
      </c>
      <c r="T180" t="str">
        <f t="shared" si="22"/>
        <v>15:30:00</v>
      </c>
      <c r="U180" t="str">
        <f t="shared" si="24"/>
        <v>28.11.2025 15:30:00</v>
      </c>
      <c r="V180" s="9" t="str">
        <f>MID($A180,C180+C$2+1,D180-C180-C$2-1)</f>
        <v>0</v>
      </c>
      <c r="W180" s="4">
        <f>VALUE(SUBSTITUTE(MID($A180,D180+D$2+1,E180-D180-D$2-1),",","."))</f>
        <v>0.31564474302011802</v>
      </c>
      <c r="X180" s="4">
        <f>VALUE(SUBSTITUTE(MID($A180,E180+E$2+1,F180-E180-E$2-1),",","."))</f>
        <v>0.90957602214449496</v>
      </c>
      <c r="Y180" s="4">
        <f>VALUE(SUBSTITUTE(MID($A180,F180+F$2+1,G180-F180-F$2-1),",","."))</f>
        <v>0.12937967799361599</v>
      </c>
      <c r="Z180" s="3">
        <f>VALUE(SUBSTITUTE(MID($A180,G180+G$2+1,H180-G180-G$2-1),",","."))</f>
        <v>156.06666666666601</v>
      </c>
      <c r="AA180" s="3">
        <f>VALUE(SUBSTITUTE(MID($A180,H180+H$2+1,I180-H180-H$2-1),",","."))</f>
        <v>0</v>
      </c>
      <c r="AB180" s="3">
        <f>VALUE(SUBSTITUTE(MID($A180,I180+I$2+1,J180-I180-I$2-1),",","."))</f>
        <v>78.8</v>
      </c>
      <c r="AC180" s="3">
        <f>VALUE(SUBSTITUTE(MID($A180,J180+J$2+1,K180-J180-J$2-1),",","."))</f>
        <v>2.9</v>
      </c>
      <c r="AD180" s="3">
        <f>VALUE(SUBSTITUTE(MID($A180,K180+K$2+1,L180-K180-K$2-1),",","."))</f>
        <v>10.62</v>
      </c>
      <c r="AE180" s="3">
        <f>VALUE(SUBSTITUTE(MID($A180,L180+L$2+1,M180-L180-L$2-1),",","."))</f>
        <v>0</v>
      </c>
      <c r="AF180" s="3">
        <f>VALUE(SUBSTITUTE(MID($A180,M180+M$2+1,N180-M180-M$2-1),",","."))</f>
        <v>0</v>
      </c>
      <c r="AG180" s="3">
        <f>VALUE(SUBSTITUTE(MID($A180,N180+N$2+1,O180-N180-N$2-1),",","."))</f>
        <v>4.2085087648688999</v>
      </c>
      <c r="AH180" t="str">
        <f>MID($A180,O180+O$2+1,P180-O180-O$2-1)</f>
        <v/>
      </c>
      <c r="AI180" s="8" t="str">
        <f>MID($A180,P180+P$2+1,Q180-P180-P$2-1)</f>
        <v>False</v>
      </c>
      <c r="AK180" t="b">
        <f t="shared" si="25"/>
        <v>0</v>
      </c>
    </row>
    <row r="181" spans="1:37" x14ac:dyDescent="0.35">
      <c r="A181" t="s">
        <v>4728</v>
      </c>
      <c r="B181">
        <f t="shared" si="27"/>
        <v>10</v>
      </c>
      <c r="C181">
        <f t="shared" si="27"/>
        <v>43</v>
      </c>
      <c r="D181">
        <f t="shared" si="27"/>
        <v>54</v>
      </c>
      <c r="E181">
        <f t="shared" si="27"/>
        <v>80</v>
      </c>
      <c r="F181">
        <f t="shared" si="27"/>
        <v>124</v>
      </c>
      <c r="G181">
        <f t="shared" si="27"/>
        <v>163</v>
      </c>
      <c r="H181">
        <f t="shared" si="27"/>
        <v>212</v>
      </c>
      <c r="I181">
        <f t="shared" si="28"/>
        <v>234</v>
      </c>
      <c r="J181">
        <f t="shared" si="28"/>
        <v>270</v>
      </c>
      <c r="K181">
        <f t="shared" si="28"/>
        <v>290</v>
      </c>
      <c r="L181">
        <f t="shared" si="28"/>
        <v>308</v>
      </c>
      <c r="M181">
        <f t="shared" si="23"/>
        <v>323</v>
      </c>
      <c r="N181">
        <f t="shared" si="23"/>
        <v>335</v>
      </c>
      <c r="O181">
        <f t="shared" si="23"/>
        <v>360</v>
      </c>
      <c r="P181">
        <f t="shared" si="23"/>
        <v>378</v>
      </c>
      <c r="Q181">
        <f t="shared" si="23"/>
        <v>404</v>
      </c>
      <c r="S181" t="str">
        <f t="shared" si="21"/>
        <v>28.11.2025</v>
      </c>
      <c r="T181" t="str">
        <f t="shared" si="22"/>
        <v>15:45:00</v>
      </c>
      <c r="U181" t="str">
        <f t="shared" si="24"/>
        <v>28.11.2025 15:45:00</v>
      </c>
      <c r="V181" s="9" t="str">
        <f>MID($A181,C181+C$2+1,D181-C181-C$2-1)</f>
        <v>0</v>
      </c>
      <c r="W181" s="4">
        <f>VALUE(SUBSTITUTE(MID($A181,D181+D$2+1,E181-D181-D$2-1),",","."))</f>
        <v>0</v>
      </c>
      <c r="X181" s="4">
        <f>VALUE(SUBSTITUTE(MID($A181,E181+E$2+1,F181-E181-E$2-1),",","."))</f>
        <v>0.90957602214449496</v>
      </c>
      <c r="Y181" s="4">
        <f>VALUE(SUBSTITUTE(MID($A181,F181+F$2+1,G181-F181-F$2-1),",","."))</f>
        <v>9.6960805450486395E-2</v>
      </c>
      <c r="Z181" s="3">
        <f>VALUE(SUBSTITUTE(MID($A181,G181+G$2+1,H181-G181-G$2-1),",","."))</f>
        <v>110.299999999999</v>
      </c>
      <c r="AA181" s="3">
        <f>VALUE(SUBSTITUTE(MID($A181,H181+H$2+1,I181-H181-H$2-1),",","."))</f>
        <v>0</v>
      </c>
      <c r="AB181" s="3">
        <f>VALUE(SUBSTITUTE(MID($A181,I181+I$2+1,J181-I181-I$2-1),",","."))</f>
        <v>66.5</v>
      </c>
      <c r="AC181" s="3">
        <f>VALUE(SUBSTITUTE(MID($A181,J181+J$2+1,K181-J181-J$2-1),",","."))</f>
        <v>2.85</v>
      </c>
      <c r="AD181" s="3">
        <f>VALUE(SUBSTITUTE(MID($A181,K181+K$2+1,L181-K181-K$2-1),",","."))</f>
        <v>7.92</v>
      </c>
      <c r="AE181" s="3">
        <f>VALUE(SUBSTITUTE(MID($A181,L181+L$2+1,M181-L181-L$2-1),",","."))</f>
        <v>0</v>
      </c>
      <c r="AF181" s="3">
        <f>VALUE(SUBSTITUTE(MID($A181,M181+M$2+1,N181-M181-M$2-1),",","."))</f>
        <v>0</v>
      </c>
      <c r="AG181" s="3">
        <f>VALUE(SUBSTITUTE(MID($A181,N181+N$2+1,O181-N181-N$2-1),",","."))</f>
        <v>4.2085372847569804</v>
      </c>
      <c r="AH181" t="str">
        <f>MID($A181,O181+O$2+1,P181-O181-O$2-1)</f>
        <v/>
      </c>
      <c r="AI181" s="8" t="str">
        <f>MID($A181,P181+P$2+1,Q181-P181-P$2-1)</f>
        <v>False</v>
      </c>
      <c r="AK181" t="b">
        <f t="shared" si="25"/>
        <v>0</v>
      </c>
    </row>
    <row r="182" spans="1:37" x14ac:dyDescent="0.35">
      <c r="A182" t="s">
        <v>4729</v>
      </c>
      <c r="B182">
        <f t="shared" si="27"/>
        <v>10</v>
      </c>
      <c r="C182">
        <f t="shared" si="27"/>
        <v>43</v>
      </c>
      <c r="D182">
        <f t="shared" si="27"/>
        <v>54</v>
      </c>
      <c r="E182">
        <f t="shared" si="27"/>
        <v>80</v>
      </c>
      <c r="F182">
        <f t="shared" si="27"/>
        <v>124</v>
      </c>
      <c r="G182">
        <f t="shared" si="27"/>
        <v>163</v>
      </c>
      <c r="H182">
        <f t="shared" si="27"/>
        <v>211</v>
      </c>
      <c r="I182">
        <f t="shared" si="28"/>
        <v>233</v>
      </c>
      <c r="J182">
        <f t="shared" si="28"/>
        <v>270</v>
      </c>
      <c r="K182">
        <f t="shared" si="28"/>
        <v>290</v>
      </c>
      <c r="L182">
        <f t="shared" si="28"/>
        <v>308</v>
      </c>
      <c r="M182">
        <f t="shared" si="23"/>
        <v>323</v>
      </c>
      <c r="N182">
        <f t="shared" si="23"/>
        <v>335</v>
      </c>
      <c r="O182">
        <f t="shared" si="23"/>
        <v>360</v>
      </c>
      <c r="P182">
        <f t="shared" si="23"/>
        <v>378</v>
      </c>
      <c r="Q182">
        <f t="shared" si="23"/>
        <v>404</v>
      </c>
      <c r="S182" t="str">
        <f t="shared" si="21"/>
        <v>28.11.2025</v>
      </c>
      <c r="T182" t="str">
        <f t="shared" si="22"/>
        <v>16:00:00</v>
      </c>
      <c r="U182" t="str">
        <f t="shared" si="24"/>
        <v>28.11.2025 16:00:00</v>
      </c>
      <c r="V182" s="9" t="str">
        <f>MID($A182,C182+C$2+1,D182-C182-C$2-1)</f>
        <v>0</v>
      </c>
      <c r="W182" s="4">
        <f>VALUE(SUBSTITUTE(MID($A182,D182+D$2+1,E182-D182-D$2-1),",","."))</f>
        <v>0</v>
      </c>
      <c r="X182" s="4">
        <f>VALUE(SUBSTITUTE(MID($A182,E182+E$2+1,F182-E182-E$2-1),",","."))</f>
        <v>0.90957602214449496</v>
      </c>
      <c r="Y182" s="4">
        <f>VALUE(SUBSTITUTE(MID($A182,F182+F$2+1,G182-F182-F$2-1),",","."))</f>
        <v>6.3426963691159605E-2</v>
      </c>
      <c r="Z182" s="3">
        <f>VALUE(SUBSTITUTE(MID($A182,G182+G$2+1,H182-G182-G$2-1),",","."))</f>
        <v>96.783333333333303</v>
      </c>
      <c r="AA182" s="3">
        <f>VALUE(SUBSTITUTE(MID($A182,H182+H$2+1,I182-H182-H$2-1),",","."))</f>
        <v>0</v>
      </c>
      <c r="AB182" s="3">
        <f>VALUE(SUBSTITUTE(MID($A182,I182+I$2+1,J182-I182-I$2-1),",","."))</f>
        <v>51.05</v>
      </c>
      <c r="AC182" s="3">
        <f>VALUE(SUBSTITUTE(MID($A182,J182+J$2+1,K182-J182-J$2-1),",","."))</f>
        <v>2.85</v>
      </c>
      <c r="AD182" s="3">
        <f>VALUE(SUBSTITUTE(MID($A182,K182+K$2+1,L182-K182-K$2-1),",","."))</f>
        <v>6.12</v>
      </c>
      <c r="AE182" s="3">
        <f>VALUE(SUBSTITUTE(MID($A182,L182+L$2+1,M182-L182-L$2-1),",","."))</f>
        <v>0</v>
      </c>
      <c r="AF182" s="3">
        <f>VALUE(SUBSTITUTE(MID($A182,M182+M$2+1,N182-M182-M$2-1),",","."))</f>
        <v>0</v>
      </c>
      <c r="AG182" s="3">
        <f>VALUE(SUBSTITUTE(MID($A182,N182+N$2+1,O182-N182-N$2-1),",","."))</f>
        <v>4.20856580464506</v>
      </c>
      <c r="AH182" t="str">
        <f>MID($A182,O182+O$2+1,P182-O182-O$2-1)</f>
        <v/>
      </c>
      <c r="AI182" s="8" t="str">
        <f>MID($A182,P182+P$2+1,Q182-P182-P$2-1)</f>
        <v>False</v>
      </c>
      <c r="AK182" t="b">
        <f t="shared" si="25"/>
        <v>0</v>
      </c>
    </row>
    <row r="183" spans="1:37" x14ac:dyDescent="0.35">
      <c r="A183" t="s">
        <v>4730</v>
      </c>
      <c r="B183">
        <f t="shared" si="27"/>
        <v>10</v>
      </c>
      <c r="C183">
        <f t="shared" si="27"/>
        <v>43</v>
      </c>
      <c r="D183">
        <f t="shared" si="27"/>
        <v>54</v>
      </c>
      <c r="E183">
        <f t="shared" si="27"/>
        <v>80</v>
      </c>
      <c r="F183">
        <f t="shared" si="27"/>
        <v>124</v>
      </c>
      <c r="G183">
        <f t="shared" si="27"/>
        <v>164</v>
      </c>
      <c r="H183">
        <f t="shared" si="27"/>
        <v>200</v>
      </c>
      <c r="I183">
        <f t="shared" si="28"/>
        <v>222</v>
      </c>
      <c r="J183">
        <f t="shared" si="28"/>
        <v>259</v>
      </c>
      <c r="K183">
        <f t="shared" si="28"/>
        <v>279</v>
      </c>
      <c r="L183">
        <f t="shared" si="28"/>
        <v>310</v>
      </c>
      <c r="M183">
        <f t="shared" si="23"/>
        <v>325</v>
      </c>
      <c r="N183">
        <f t="shared" si="23"/>
        <v>337</v>
      </c>
      <c r="O183">
        <f t="shared" si="23"/>
        <v>362</v>
      </c>
      <c r="P183">
        <f t="shared" si="23"/>
        <v>380</v>
      </c>
      <c r="Q183">
        <f t="shared" si="23"/>
        <v>406</v>
      </c>
      <c r="S183" t="str">
        <f t="shared" si="21"/>
        <v>28.11.2025</v>
      </c>
      <c r="T183" t="str">
        <f t="shared" si="22"/>
        <v>16:15:00</v>
      </c>
      <c r="U183" t="str">
        <f t="shared" si="24"/>
        <v>28.11.2025 16:15:00</v>
      </c>
      <c r="V183" s="9" t="str">
        <f>MID($A183,C183+C$2+1,D183-C183-C$2-1)</f>
        <v>0</v>
      </c>
      <c r="W183" s="4">
        <f>VALUE(SUBSTITUTE(MID($A183,D183+D$2+1,E183-D183-D$2-1),",","."))</f>
        <v>0</v>
      </c>
      <c r="X183" s="4">
        <f>VALUE(SUBSTITUTE(MID($A183,E183+E$2+1,F183-E183-E$2-1),",","."))</f>
        <v>0.90957602214449496</v>
      </c>
      <c r="Y183" s="4">
        <f>VALUE(SUBSTITUTE(MID($A183,F183+F$2+1,G183-F183-F$2-1),",","."))</f>
        <v>2.9562180149231801E-2</v>
      </c>
      <c r="Z183" s="3">
        <f>VALUE(SUBSTITUTE(MID($A183,G183+G$2+1,H183-G183-G$2-1),",","."))</f>
        <v>83.65</v>
      </c>
      <c r="AA183" s="3">
        <f>VALUE(SUBSTITUTE(MID($A183,H183+H$2+1,I183-H183-H$2-1),",","."))</f>
        <v>0</v>
      </c>
      <c r="AB183" s="3">
        <f>VALUE(SUBSTITUTE(MID($A183,I183+I$2+1,J183-I183-I$2-1),",","."))</f>
        <v>35.85</v>
      </c>
      <c r="AC183" s="3">
        <f>VALUE(SUBSTITUTE(MID($A183,J183+J$2+1,K183-J183-J$2-1),",","."))</f>
        <v>2.85</v>
      </c>
      <c r="AD183" s="3">
        <f>VALUE(SUBSTITUTE(MID($A183,K183+K$2+1,L183-K183-K$2-1),",","."))</f>
        <v>6.12</v>
      </c>
      <c r="AE183" s="3">
        <f>VALUE(SUBSTITUTE(MID($A183,L183+L$2+1,M183-L183-L$2-1),",","."))</f>
        <v>0</v>
      </c>
      <c r="AF183" s="3">
        <f>VALUE(SUBSTITUTE(MID($A183,M183+M$2+1,N183-M183-M$2-1),",","."))</f>
        <v>0</v>
      </c>
      <c r="AG183" s="3">
        <f>VALUE(SUBSTITUTE(MID($A183,N183+N$2+1,O183-N183-N$2-1),",","."))</f>
        <v>4.2085943245331396</v>
      </c>
      <c r="AH183" t="str">
        <f>MID($A183,O183+O$2+1,P183-O183-O$2-1)</f>
        <v/>
      </c>
      <c r="AI183" s="8" t="str">
        <f>MID($A183,P183+P$2+1,Q183-P183-P$2-1)</f>
        <v>False</v>
      </c>
      <c r="AK183" t="b">
        <f t="shared" si="25"/>
        <v>0</v>
      </c>
    </row>
    <row r="184" spans="1:37" x14ac:dyDescent="0.35">
      <c r="A184" t="s">
        <v>4731</v>
      </c>
      <c r="B184">
        <f t="shared" si="27"/>
        <v>10</v>
      </c>
      <c r="C184">
        <f t="shared" si="27"/>
        <v>43</v>
      </c>
      <c r="D184">
        <f t="shared" si="27"/>
        <v>54</v>
      </c>
      <c r="E184">
        <f t="shared" si="27"/>
        <v>80</v>
      </c>
      <c r="F184">
        <f t="shared" si="27"/>
        <v>124</v>
      </c>
      <c r="G184">
        <f t="shared" si="27"/>
        <v>145</v>
      </c>
      <c r="H184">
        <f t="shared" si="27"/>
        <v>193</v>
      </c>
      <c r="I184">
        <f t="shared" si="28"/>
        <v>215</v>
      </c>
      <c r="J184">
        <f t="shared" si="28"/>
        <v>249</v>
      </c>
      <c r="K184">
        <f t="shared" si="28"/>
        <v>269</v>
      </c>
      <c r="L184">
        <f t="shared" si="28"/>
        <v>300</v>
      </c>
      <c r="M184">
        <f t="shared" si="23"/>
        <v>315</v>
      </c>
      <c r="N184">
        <f t="shared" si="23"/>
        <v>327</v>
      </c>
      <c r="O184">
        <f t="shared" si="23"/>
        <v>352</v>
      </c>
      <c r="P184">
        <f t="shared" si="23"/>
        <v>370</v>
      </c>
      <c r="Q184">
        <f t="shared" si="23"/>
        <v>396</v>
      </c>
      <c r="S184" t="str">
        <f t="shared" ref="S184:S247" si="29">LEFT(U184,10)</f>
        <v>28.11.2025</v>
      </c>
      <c r="T184" t="str">
        <f t="shared" ref="T184:T247" si="30">MID(U184,12,8)</f>
        <v>16:30:00</v>
      </c>
      <c r="U184" t="str">
        <f t="shared" si="24"/>
        <v>28.11.2025 16:30:00</v>
      </c>
      <c r="V184" s="9" t="str">
        <f>MID($A184,C184+C$2+1,D184-C184-C$2-1)</f>
        <v>0</v>
      </c>
      <c r="W184" s="4">
        <f>VALUE(SUBSTITUTE(MID($A184,D184+D$2+1,E184-D184-D$2-1),",","."))</f>
        <v>0</v>
      </c>
      <c r="X184" s="4">
        <f>VALUE(SUBSTITUTE(MID($A184,E184+E$2+1,F184-E184-E$2-1),",","."))</f>
        <v>0.90957602214449496</v>
      </c>
      <c r="Y184" s="4">
        <f>VALUE(SUBSTITUTE(MID($A184,F184+F$2+1,G184-F184-F$2-1),",","."))</f>
        <v>0</v>
      </c>
      <c r="Z184" s="3">
        <f>VALUE(SUBSTITUTE(MID($A184,G184+G$2+1,H184-G184-G$2-1),",","."))</f>
        <v>50.3333333333333</v>
      </c>
      <c r="AA184" s="3">
        <f>VALUE(SUBSTITUTE(MID($A184,H184+H$2+1,I184-H184-H$2-1),",","."))</f>
        <v>0</v>
      </c>
      <c r="AB184" s="3">
        <f>VALUE(SUBSTITUTE(MID($A184,I184+I$2+1,J184-I184-I$2-1),",","."))</f>
        <v>20</v>
      </c>
      <c r="AC184" s="3">
        <f>VALUE(SUBSTITUTE(MID($A184,J184+J$2+1,K184-J184-J$2-1),",","."))</f>
        <v>2.85</v>
      </c>
      <c r="AD184" s="3">
        <f>VALUE(SUBSTITUTE(MID($A184,K184+K$2+1,L184-K184-K$2-1),",","."))</f>
        <v>6.12</v>
      </c>
      <c r="AE184" s="3">
        <f>VALUE(SUBSTITUTE(MID($A184,L184+L$2+1,M184-L184-L$2-1),",","."))</f>
        <v>0</v>
      </c>
      <c r="AF184" s="3">
        <f>VALUE(SUBSTITUTE(MID($A184,M184+M$2+1,N184-M184-M$2-1),",","."))</f>
        <v>0</v>
      </c>
      <c r="AG184" s="3">
        <f>VALUE(SUBSTITUTE(MID($A184,N184+N$2+1,O184-N184-N$2-1),",","."))</f>
        <v>4.2086228444212201</v>
      </c>
      <c r="AH184" t="str">
        <f>MID($A184,O184+O$2+1,P184-O184-O$2-1)</f>
        <v/>
      </c>
      <c r="AI184" s="8" t="str">
        <f>MID($A184,P184+P$2+1,Q184-P184-P$2-1)</f>
        <v>False</v>
      </c>
      <c r="AK184" t="b">
        <f t="shared" si="25"/>
        <v>0</v>
      </c>
    </row>
    <row r="185" spans="1:37" x14ac:dyDescent="0.35">
      <c r="A185" t="s">
        <v>4732</v>
      </c>
      <c r="B185">
        <f t="shared" si="27"/>
        <v>10</v>
      </c>
      <c r="C185">
        <f t="shared" si="27"/>
        <v>43</v>
      </c>
      <c r="D185">
        <f t="shared" si="27"/>
        <v>54</v>
      </c>
      <c r="E185">
        <f t="shared" si="27"/>
        <v>80</v>
      </c>
      <c r="F185">
        <f t="shared" si="27"/>
        <v>124</v>
      </c>
      <c r="G185">
        <f t="shared" si="27"/>
        <v>145</v>
      </c>
      <c r="H185">
        <f t="shared" si="27"/>
        <v>180</v>
      </c>
      <c r="I185">
        <f t="shared" si="28"/>
        <v>202</v>
      </c>
      <c r="J185">
        <f t="shared" si="28"/>
        <v>238</v>
      </c>
      <c r="K185">
        <f t="shared" si="28"/>
        <v>258</v>
      </c>
      <c r="L185">
        <f t="shared" si="28"/>
        <v>289</v>
      </c>
      <c r="M185">
        <f t="shared" si="23"/>
        <v>304</v>
      </c>
      <c r="N185">
        <f t="shared" si="23"/>
        <v>316</v>
      </c>
      <c r="O185">
        <f t="shared" si="23"/>
        <v>341</v>
      </c>
      <c r="P185">
        <f t="shared" si="23"/>
        <v>359</v>
      </c>
      <c r="Q185">
        <f t="shared" si="23"/>
        <v>385</v>
      </c>
      <c r="S185" t="str">
        <f t="shared" si="29"/>
        <v>28.11.2025</v>
      </c>
      <c r="T185" t="str">
        <f t="shared" si="30"/>
        <v>16:45:00</v>
      </c>
      <c r="U185" t="str">
        <f t="shared" si="24"/>
        <v>28.11.2025 16:45:00</v>
      </c>
      <c r="V185" s="9" t="str">
        <f>MID($A185,C185+C$2+1,D185-C185-C$2-1)</f>
        <v>0</v>
      </c>
      <c r="W185" s="4">
        <f>VALUE(SUBSTITUTE(MID($A185,D185+D$2+1,E185-D185-D$2-1),",","."))</f>
        <v>0</v>
      </c>
      <c r="X185" s="4">
        <f>VALUE(SUBSTITUTE(MID($A185,E185+E$2+1,F185-E185-E$2-1),",","."))</f>
        <v>0.90957602214449496</v>
      </c>
      <c r="Y185" s="4">
        <f>VALUE(SUBSTITUTE(MID($A185,F185+F$2+1,G185-F185-F$2-1),",","."))</f>
        <v>0</v>
      </c>
      <c r="Z185" s="3">
        <f>VALUE(SUBSTITUTE(MID($A185,G185+G$2+1,H185-G185-G$2-1),",","."))</f>
        <v>6.15</v>
      </c>
      <c r="AA185" s="3">
        <f>VALUE(SUBSTITUTE(MID($A185,H185+H$2+1,I185-H185-H$2-1),",","."))</f>
        <v>0</v>
      </c>
      <c r="AB185" s="3">
        <f>VALUE(SUBSTITUTE(MID($A185,I185+I$2+1,J185-I185-I$2-1),",","."))</f>
        <v>3.45</v>
      </c>
      <c r="AC185" s="3">
        <f>VALUE(SUBSTITUTE(MID($A185,J185+J$2+1,K185-J185-J$2-1),",","."))</f>
        <v>2.85</v>
      </c>
      <c r="AD185" s="3">
        <f>VALUE(SUBSTITUTE(MID($A185,K185+K$2+1,L185-K185-K$2-1),",","."))</f>
        <v>6.12</v>
      </c>
      <c r="AE185" s="3">
        <f>VALUE(SUBSTITUTE(MID($A185,L185+L$2+1,M185-L185-L$2-1),",","."))</f>
        <v>0</v>
      </c>
      <c r="AF185" s="3">
        <f>VALUE(SUBSTITUTE(MID($A185,M185+M$2+1,N185-M185-M$2-1),",","."))</f>
        <v>0</v>
      </c>
      <c r="AG185" s="3">
        <f>VALUE(SUBSTITUTE(MID($A185,N185+N$2+1,O185-N185-N$2-1),",","."))</f>
        <v>4.2086513643092998</v>
      </c>
      <c r="AH185" t="str">
        <f>MID($A185,O185+O$2+1,P185-O185-O$2-1)</f>
        <v/>
      </c>
      <c r="AI185" s="8" t="str">
        <f>MID($A185,P185+P$2+1,Q185-P185-P$2-1)</f>
        <v>False</v>
      </c>
      <c r="AK185" t="b">
        <f t="shared" si="25"/>
        <v>0</v>
      </c>
    </row>
    <row r="186" spans="1:37" x14ac:dyDescent="0.35">
      <c r="A186" t="s">
        <v>4733</v>
      </c>
      <c r="B186">
        <f t="shared" si="27"/>
        <v>10</v>
      </c>
      <c r="C186">
        <f t="shared" si="27"/>
        <v>43</v>
      </c>
      <c r="D186">
        <f t="shared" si="27"/>
        <v>54</v>
      </c>
      <c r="E186">
        <f t="shared" si="27"/>
        <v>80</v>
      </c>
      <c r="F186">
        <f t="shared" si="27"/>
        <v>124</v>
      </c>
      <c r="G186">
        <f t="shared" si="27"/>
        <v>145</v>
      </c>
      <c r="H186">
        <f t="shared" si="27"/>
        <v>193</v>
      </c>
      <c r="I186">
        <f t="shared" si="28"/>
        <v>215</v>
      </c>
      <c r="J186">
        <f t="shared" si="28"/>
        <v>248</v>
      </c>
      <c r="K186">
        <f t="shared" si="28"/>
        <v>268</v>
      </c>
      <c r="L186">
        <f t="shared" si="28"/>
        <v>299</v>
      </c>
      <c r="M186">
        <f t="shared" si="23"/>
        <v>314</v>
      </c>
      <c r="N186">
        <f t="shared" si="23"/>
        <v>326</v>
      </c>
      <c r="O186">
        <f t="shared" si="23"/>
        <v>350</v>
      </c>
      <c r="P186">
        <f t="shared" si="23"/>
        <v>368</v>
      </c>
      <c r="Q186">
        <f t="shared" si="23"/>
        <v>394</v>
      </c>
      <c r="S186" t="str">
        <f t="shared" si="29"/>
        <v>28.11.2025</v>
      </c>
      <c r="T186" t="str">
        <f t="shared" si="30"/>
        <v>17:00:00</v>
      </c>
      <c r="U186" t="str">
        <f t="shared" si="24"/>
        <v>28.11.2025 17:00:00</v>
      </c>
      <c r="V186" s="9" t="str">
        <f>MID($A186,C186+C$2+1,D186-C186-C$2-1)</f>
        <v>0</v>
      </c>
      <c r="W186" s="4">
        <f>VALUE(SUBSTITUTE(MID($A186,D186+D$2+1,E186-D186-D$2-1),",","."))</f>
        <v>0</v>
      </c>
      <c r="X186" s="4">
        <f>VALUE(SUBSTITUTE(MID($A186,E186+E$2+1,F186-E186-E$2-1),",","."))</f>
        <v>0.90957602214449496</v>
      </c>
      <c r="Y186" s="4">
        <f>VALUE(SUBSTITUTE(MID($A186,F186+F$2+1,G186-F186-F$2-1),",","."))</f>
        <v>0</v>
      </c>
      <c r="Z186" s="3">
        <f>VALUE(SUBSTITUTE(MID($A186,G186+G$2+1,H186-G186-G$2-1),",","."))</f>
        <v>19.966666666666601</v>
      </c>
      <c r="AA186" s="3">
        <f>VALUE(SUBSTITUTE(MID($A186,H186+H$2+1,I186-H186-H$2-1),",","."))</f>
        <v>0</v>
      </c>
      <c r="AB186" s="3">
        <f>VALUE(SUBSTITUTE(MID($A186,I186+I$2+1,J186-I186-I$2-1),",","."))</f>
        <v>9</v>
      </c>
      <c r="AC186" s="3">
        <f>VALUE(SUBSTITUTE(MID($A186,J186+J$2+1,K186-J186-J$2-1),",","."))</f>
        <v>2.85</v>
      </c>
      <c r="AD186" s="3">
        <f>VALUE(SUBSTITUTE(MID($A186,K186+K$2+1,L186-K186-K$2-1),",","."))</f>
        <v>6.12</v>
      </c>
      <c r="AE186" s="3">
        <f>VALUE(SUBSTITUTE(MID($A186,L186+L$2+1,M186-L186-L$2-1),",","."))</f>
        <v>0</v>
      </c>
      <c r="AF186" s="3">
        <f>VALUE(SUBSTITUTE(MID($A186,M186+M$2+1,N186-M186-M$2-1),",","."))</f>
        <v>0</v>
      </c>
      <c r="AG186" s="3">
        <f>VALUE(SUBSTITUTE(MID($A186,N186+N$2+1,O186-N186-N$2-1),",","."))</f>
        <v>4.20867988419739</v>
      </c>
      <c r="AH186" t="str">
        <f>MID($A186,O186+O$2+1,P186-O186-O$2-1)</f>
        <v/>
      </c>
      <c r="AI186" s="8" t="str">
        <f>MID($A186,P186+P$2+1,Q186-P186-P$2-1)</f>
        <v>False</v>
      </c>
      <c r="AK186" t="b">
        <f t="shared" si="25"/>
        <v>0</v>
      </c>
    </row>
    <row r="187" spans="1:37" x14ac:dyDescent="0.35">
      <c r="A187" t="s">
        <v>4734</v>
      </c>
      <c r="B187">
        <f t="shared" si="27"/>
        <v>10</v>
      </c>
      <c r="C187">
        <f t="shared" si="27"/>
        <v>43</v>
      </c>
      <c r="D187">
        <f t="shared" si="27"/>
        <v>54</v>
      </c>
      <c r="E187">
        <f t="shared" si="27"/>
        <v>80</v>
      </c>
      <c r="F187">
        <f t="shared" si="27"/>
        <v>124</v>
      </c>
      <c r="G187">
        <f t="shared" si="27"/>
        <v>145</v>
      </c>
      <c r="H187">
        <f t="shared" si="27"/>
        <v>193</v>
      </c>
      <c r="I187">
        <f t="shared" si="28"/>
        <v>215</v>
      </c>
      <c r="J187">
        <f t="shared" si="28"/>
        <v>248</v>
      </c>
      <c r="K187">
        <f t="shared" si="28"/>
        <v>268</v>
      </c>
      <c r="L187">
        <f t="shared" si="28"/>
        <v>286</v>
      </c>
      <c r="M187">
        <f t="shared" si="23"/>
        <v>301</v>
      </c>
      <c r="N187">
        <f t="shared" si="23"/>
        <v>313</v>
      </c>
      <c r="O187">
        <f t="shared" si="23"/>
        <v>338</v>
      </c>
      <c r="P187">
        <f t="shared" si="23"/>
        <v>356</v>
      </c>
      <c r="Q187">
        <f t="shared" si="23"/>
        <v>382</v>
      </c>
      <c r="S187" t="str">
        <f t="shared" si="29"/>
        <v>28.11.2025</v>
      </c>
      <c r="T187" t="str">
        <f t="shared" si="30"/>
        <v>17:15:00</v>
      </c>
      <c r="U187" t="str">
        <f t="shared" si="24"/>
        <v>28.11.2025 17:15:00</v>
      </c>
      <c r="V187" s="9" t="str">
        <f>MID($A187,C187+C$2+1,D187-C187-C$2-1)</f>
        <v>0</v>
      </c>
      <c r="W187" s="4">
        <f>VALUE(SUBSTITUTE(MID($A187,D187+D$2+1,E187-D187-D$2-1),",","."))</f>
        <v>0</v>
      </c>
      <c r="X187" s="4">
        <f>VALUE(SUBSTITUTE(MID($A187,E187+E$2+1,F187-E187-E$2-1),",","."))</f>
        <v>0.90957602214449496</v>
      </c>
      <c r="Y187" s="4">
        <f>VALUE(SUBSTITUTE(MID($A187,F187+F$2+1,G187-F187-F$2-1),",","."))</f>
        <v>0</v>
      </c>
      <c r="Z187" s="3">
        <f>VALUE(SUBSTITUTE(MID($A187,G187+G$2+1,H187-G187-G$2-1),",","."))</f>
        <v>19.966666666666601</v>
      </c>
      <c r="AA187" s="3">
        <f>VALUE(SUBSTITUTE(MID($A187,H187+H$2+1,I187-H187-H$2-1),",","."))</f>
        <v>0</v>
      </c>
      <c r="AB187" s="3">
        <f>VALUE(SUBSTITUTE(MID($A187,I187+I$2+1,J187-I187-I$2-1),",","."))</f>
        <v>9</v>
      </c>
      <c r="AC187" s="3">
        <f>VALUE(SUBSTITUTE(MID($A187,J187+J$2+1,K187-J187-J$2-1),",","."))</f>
        <v>0.45</v>
      </c>
      <c r="AD187" s="3">
        <f>VALUE(SUBSTITUTE(MID($A187,K187+K$2+1,L187-K187-K$2-1),",","."))</f>
        <v>1.98</v>
      </c>
      <c r="AE187" s="3">
        <f>VALUE(SUBSTITUTE(MID($A187,L187+L$2+1,M187-L187-L$2-1),",","."))</f>
        <v>0</v>
      </c>
      <c r="AF187" s="3">
        <f>VALUE(SUBSTITUTE(MID($A187,M187+M$2+1,N187-M187-M$2-1),",","."))</f>
        <v>0</v>
      </c>
      <c r="AG187" s="3">
        <f>VALUE(SUBSTITUTE(MID($A187,N187+N$2+1,O187-N187-N$2-1),",","."))</f>
        <v>4.2087084040854696</v>
      </c>
      <c r="AH187" t="str">
        <f>MID($A187,O187+O$2+1,P187-O187-O$2-1)</f>
        <v/>
      </c>
      <c r="AI187" s="8" t="str">
        <f>MID($A187,P187+P$2+1,Q187-P187-P$2-1)</f>
        <v>False</v>
      </c>
      <c r="AK187" t="b">
        <f t="shared" si="25"/>
        <v>0</v>
      </c>
    </row>
    <row r="188" spans="1:37" x14ac:dyDescent="0.35">
      <c r="A188" t="s">
        <v>4735</v>
      </c>
      <c r="B188">
        <f t="shared" si="27"/>
        <v>10</v>
      </c>
      <c r="C188">
        <f t="shared" si="27"/>
        <v>43</v>
      </c>
      <c r="D188">
        <f t="shared" si="27"/>
        <v>54</v>
      </c>
      <c r="E188">
        <f t="shared" si="27"/>
        <v>80</v>
      </c>
      <c r="F188">
        <f t="shared" si="27"/>
        <v>124</v>
      </c>
      <c r="G188">
        <f t="shared" si="27"/>
        <v>145</v>
      </c>
      <c r="H188">
        <f t="shared" si="27"/>
        <v>177</v>
      </c>
      <c r="I188">
        <f t="shared" si="28"/>
        <v>199</v>
      </c>
      <c r="J188">
        <f t="shared" si="28"/>
        <v>232</v>
      </c>
      <c r="K188">
        <f t="shared" si="28"/>
        <v>267</v>
      </c>
      <c r="L188">
        <f t="shared" si="28"/>
        <v>298</v>
      </c>
      <c r="M188">
        <f t="shared" si="23"/>
        <v>313</v>
      </c>
      <c r="N188">
        <f t="shared" si="23"/>
        <v>325</v>
      </c>
      <c r="O188">
        <f t="shared" si="23"/>
        <v>350</v>
      </c>
      <c r="P188">
        <f t="shared" si="23"/>
        <v>368</v>
      </c>
      <c r="Q188">
        <f t="shared" si="23"/>
        <v>394</v>
      </c>
      <c r="S188" t="str">
        <f t="shared" si="29"/>
        <v>28.11.2025</v>
      </c>
      <c r="T188" t="str">
        <f t="shared" si="30"/>
        <v>17:30:00</v>
      </c>
      <c r="U188" t="str">
        <f t="shared" si="24"/>
        <v>28.11.2025 17:30:00</v>
      </c>
      <c r="V188" s="9" t="str">
        <f>MID($A188,C188+C$2+1,D188-C188-C$2-1)</f>
        <v>0</v>
      </c>
      <c r="W188" s="4">
        <f>VALUE(SUBSTITUTE(MID($A188,D188+D$2+1,E188-D188-D$2-1),",","."))</f>
        <v>0</v>
      </c>
      <c r="X188" s="4">
        <f>VALUE(SUBSTITUTE(MID($A188,E188+E$2+1,F188-E188-E$2-1),",","."))</f>
        <v>0.90957602214449496</v>
      </c>
      <c r="Y188" s="4">
        <f>VALUE(SUBSTITUTE(MID($A188,F188+F$2+1,G188-F188-F$2-1),",","."))</f>
        <v>0</v>
      </c>
      <c r="Z188" s="3">
        <f>VALUE(SUBSTITUTE(MID($A188,G188+G$2+1,H188-G188-G$2-1),",","."))</f>
        <v>0</v>
      </c>
      <c r="AA188" s="3">
        <f>VALUE(SUBSTITUTE(MID($A188,H188+H$2+1,I188-H188-H$2-1),",","."))</f>
        <v>0</v>
      </c>
      <c r="AB188" s="3">
        <f>VALUE(SUBSTITUTE(MID($A188,I188+I$2+1,J188-I188-I$2-1),",","."))</f>
        <v>0</v>
      </c>
      <c r="AC188" s="3">
        <f>VALUE(SUBSTITUTE(MID($A188,J188+J$2+1,K188-J188-J$2-1),",","."))</f>
        <v>0.39999999999999902</v>
      </c>
      <c r="AD188" s="3">
        <f>VALUE(SUBSTITUTE(MID($A188,K188+K$2+1,L188-K188-K$2-1),",","."))</f>
        <v>4.1399999999999997</v>
      </c>
      <c r="AE188" s="3">
        <f>VALUE(SUBSTITUTE(MID($A188,L188+L$2+1,M188-L188-L$2-1),",","."))</f>
        <v>0</v>
      </c>
      <c r="AF188" s="3">
        <f>VALUE(SUBSTITUTE(MID($A188,M188+M$2+1,N188-M188-M$2-1),",","."))</f>
        <v>0</v>
      </c>
      <c r="AG188" s="3">
        <f>VALUE(SUBSTITUTE(MID($A188,N188+N$2+1,O188-N188-N$2-1),",","."))</f>
        <v>4.2087369239735501</v>
      </c>
      <c r="AH188" t="str">
        <f>MID($A188,O188+O$2+1,P188-O188-O$2-1)</f>
        <v/>
      </c>
      <c r="AI188" s="8" t="str">
        <f>MID($A188,P188+P$2+1,Q188-P188-P$2-1)</f>
        <v>False</v>
      </c>
      <c r="AK188" t="b">
        <f t="shared" si="25"/>
        <v>0</v>
      </c>
    </row>
    <row r="189" spans="1:37" x14ac:dyDescent="0.35">
      <c r="A189" t="s">
        <v>4736</v>
      </c>
      <c r="B189">
        <f t="shared" si="27"/>
        <v>10</v>
      </c>
      <c r="C189">
        <f t="shared" si="27"/>
        <v>43</v>
      </c>
      <c r="D189">
        <f t="shared" si="27"/>
        <v>54</v>
      </c>
      <c r="E189">
        <f t="shared" si="27"/>
        <v>80</v>
      </c>
      <c r="F189">
        <f t="shared" si="27"/>
        <v>124</v>
      </c>
      <c r="G189">
        <f t="shared" si="27"/>
        <v>145</v>
      </c>
      <c r="H189">
        <f t="shared" si="27"/>
        <v>177</v>
      </c>
      <c r="I189">
        <f t="shared" si="28"/>
        <v>199</v>
      </c>
      <c r="J189">
        <f t="shared" si="28"/>
        <v>232</v>
      </c>
      <c r="K189">
        <f t="shared" si="28"/>
        <v>267</v>
      </c>
      <c r="L189">
        <f t="shared" si="28"/>
        <v>298</v>
      </c>
      <c r="M189">
        <f t="shared" si="23"/>
        <v>313</v>
      </c>
      <c r="N189">
        <f t="shared" si="23"/>
        <v>325</v>
      </c>
      <c r="O189">
        <f t="shared" si="23"/>
        <v>350</v>
      </c>
      <c r="P189">
        <f t="shared" si="23"/>
        <v>368</v>
      </c>
      <c r="Q189">
        <f t="shared" si="23"/>
        <v>394</v>
      </c>
      <c r="S189" t="str">
        <f t="shared" si="29"/>
        <v>28.11.2025</v>
      </c>
      <c r="T189" t="str">
        <f t="shared" si="30"/>
        <v>17:45:00</v>
      </c>
      <c r="U189" t="str">
        <f t="shared" si="24"/>
        <v>28.11.2025 17:45:00</v>
      </c>
      <c r="V189" s="9" t="str">
        <f>MID($A189,C189+C$2+1,D189-C189-C$2-1)</f>
        <v>0</v>
      </c>
      <c r="W189" s="4">
        <f>VALUE(SUBSTITUTE(MID($A189,D189+D$2+1,E189-D189-D$2-1),",","."))</f>
        <v>0</v>
      </c>
      <c r="X189" s="4">
        <f>VALUE(SUBSTITUTE(MID($A189,E189+E$2+1,F189-E189-E$2-1),",","."))</f>
        <v>0.90957602214449496</v>
      </c>
      <c r="Y189" s="4">
        <f>VALUE(SUBSTITUTE(MID($A189,F189+F$2+1,G189-F189-F$2-1),",","."))</f>
        <v>0</v>
      </c>
      <c r="Z189" s="3">
        <f>VALUE(SUBSTITUTE(MID($A189,G189+G$2+1,H189-G189-G$2-1),",","."))</f>
        <v>0</v>
      </c>
      <c r="AA189" s="3">
        <f>VALUE(SUBSTITUTE(MID($A189,H189+H$2+1,I189-H189-H$2-1),",","."))</f>
        <v>0</v>
      </c>
      <c r="AB189" s="3">
        <f>VALUE(SUBSTITUTE(MID($A189,I189+I$2+1,J189-I189-I$2-1),",","."))</f>
        <v>0</v>
      </c>
      <c r="AC189" s="3">
        <f>VALUE(SUBSTITUTE(MID($A189,J189+J$2+1,K189-J189-J$2-1),",","."))</f>
        <v>0.39999999999999902</v>
      </c>
      <c r="AD189" s="3">
        <f>VALUE(SUBSTITUTE(MID($A189,K189+K$2+1,L189-K189-K$2-1),",","."))</f>
        <v>4.1399999999999997</v>
      </c>
      <c r="AE189" s="3">
        <f>VALUE(SUBSTITUTE(MID($A189,L189+L$2+1,M189-L189-L$2-1),",","."))</f>
        <v>0</v>
      </c>
      <c r="AF189" s="3">
        <f>VALUE(SUBSTITUTE(MID($A189,M189+M$2+1,N189-M189-M$2-1),",","."))</f>
        <v>0</v>
      </c>
      <c r="AG189" s="3">
        <f>VALUE(SUBSTITUTE(MID($A189,N189+N$2+1,O189-N189-N$2-1),",","."))</f>
        <v>4.2087654438616298</v>
      </c>
      <c r="AH189" t="str">
        <f>MID($A189,O189+O$2+1,P189-O189-O$2-1)</f>
        <v/>
      </c>
      <c r="AI189" s="8" t="str">
        <f>MID($A189,P189+P$2+1,Q189-P189-P$2-1)</f>
        <v>False</v>
      </c>
      <c r="AK189" t="b">
        <f t="shared" si="25"/>
        <v>0</v>
      </c>
    </row>
    <row r="190" spans="1:37" x14ac:dyDescent="0.35">
      <c r="A190" t="s">
        <v>4737</v>
      </c>
      <c r="B190">
        <f t="shared" si="27"/>
        <v>10</v>
      </c>
      <c r="C190">
        <f t="shared" si="27"/>
        <v>43</v>
      </c>
      <c r="D190">
        <f t="shared" si="27"/>
        <v>54</v>
      </c>
      <c r="E190">
        <f t="shared" si="27"/>
        <v>80</v>
      </c>
      <c r="F190">
        <f t="shared" si="27"/>
        <v>124</v>
      </c>
      <c r="G190">
        <f t="shared" si="27"/>
        <v>145</v>
      </c>
      <c r="H190">
        <f t="shared" si="27"/>
        <v>177</v>
      </c>
      <c r="I190">
        <f t="shared" si="28"/>
        <v>199</v>
      </c>
      <c r="J190">
        <f t="shared" si="28"/>
        <v>232</v>
      </c>
      <c r="K190">
        <f t="shared" si="28"/>
        <v>267</v>
      </c>
      <c r="L190">
        <f t="shared" si="28"/>
        <v>298</v>
      </c>
      <c r="M190">
        <f t="shared" si="23"/>
        <v>313</v>
      </c>
      <c r="N190">
        <f t="shared" si="23"/>
        <v>325</v>
      </c>
      <c r="O190">
        <f t="shared" si="23"/>
        <v>351</v>
      </c>
      <c r="P190">
        <f t="shared" si="23"/>
        <v>369</v>
      </c>
      <c r="Q190">
        <f t="shared" si="23"/>
        <v>395</v>
      </c>
      <c r="S190" t="str">
        <f t="shared" si="29"/>
        <v>28.11.2025</v>
      </c>
      <c r="T190" t="str">
        <f t="shared" si="30"/>
        <v>18:00:00</v>
      </c>
      <c r="U190" t="str">
        <f t="shared" si="24"/>
        <v>28.11.2025 18:00:00</v>
      </c>
      <c r="V190" s="9" t="str">
        <f>MID($A190,C190+C$2+1,D190-C190-C$2-1)</f>
        <v>0</v>
      </c>
      <c r="W190" s="4">
        <f>VALUE(SUBSTITUTE(MID($A190,D190+D$2+1,E190-D190-D$2-1),",","."))</f>
        <v>0</v>
      </c>
      <c r="X190" s="4">
        <f>VALUE(SUBSTITUTE(MID($A190,E190+E$2+1,F190-E190-E$2-1),",","."))</f>
        <v>0.90957602214449496</v>
      </c>
      <c r="Y190" s="4">
        <f>VALUE(SUBSTITUTE(MID($A190,F190+F$2+1,G190-F190-F$2-1),",","."))</f>
        <v>0</v>
      </c>
      <c r="Z190" s="3">
        <f>VALUE(SUBSTITUTE(MID($A190,G190+G$2+1,H190-G190-G$2-1),",","."))</f>
        <v>0</v>
      </c>
      <c r="AA190" s="3">
        <f>VALUE(SUBSTITUTE(MID($A190,H190+H$2+1,I190-H190-H$2-1),",","."))</f>
        <v>0</v>
      </c>
      <c r="AB190" s="3">
        <f>VALUE(SUBSTITUTE(MID($A190,I190+I$2+1,J190-I190-I$2-1),",","."))</f>
        <v>0</v>
      </c>
      <c r="AC190" s="3">
        <f>VALUE(SUBSTITUTE(MID($A190,J190+J$2+1,K190-J190-J$2-1),",","."))</f>
        <v>0.39999999999999902</v>
      </c>
      <c r="AD190" s="3">
        <f>VALUE(SUBSTITUTE(MID($A190,K190+K$2+1,L190-K190-K$2-1),",","."))</f>
        <v>4.1399999999999997</v>
      </c>
      <c r="AE190" s="3">
        <f>VALUE(SUBSTITUTE(MID($A190,L190+L$2+1,M190-L190-L$2-1),",","."))</f>
        <v>0</v>
      </c>
      <c r="AF190" s="3">
        <f>VALUE(SUBSTITUTE(MID($A190,M190+M$2+1,N190-M190-M$2-1),",","."))</f>
        <v>0</v>
      </c>
      <c r="AG190" s="3">
        <f>VALUE(SUBSTITUTE(MID($A190,N190+N$2+1,O190-N190-N$2-1),",","."))</f>
        <v>4.2087939637497103</v>
      </c>
      <c r="AH190" t="str">
        <f>MID($A190,O190+O$2+1,P190-O190-O$2-1)</f>
        <v/>
      </c>
      <c r="AI190" s="8" t="str">
        <f>MID($A190,P190+P$2+1,Q190-P190-P$2-1)</f>
        <v>False</v>
      </c>
      <c r="AK190" t="b">
        <f t="shared" si="25"/>
        <v>0</v>
      </c>
    </row>
    <row r="191" spans="1:37" x14ac:dyDescent="0.35">
      <c r="A191" t="s">
        <v>4738</v>
      </c>
      <c r="B191">
        <f t="shared" si="27"/>
        <v>10</v>
      </c>
      <c r="C191">
        <f t="shared" si="27"/>
        <v>43</v>
      </c>
      <c r="D191">
        <f t="shared" si="27"/>
        <v>54</v>
      </c>
      <c r="E191">
        <f t="shared" si="27"/>
        <v>80</v>
      </c>
      <c r="F191">
        <f t="shared" si="27"/>
        <v>124</v>
      </c>
      <c r="G191">
        <f t="shared" si="27"/>
        <v>145</v>
      </c>
      <c r="H191">
        <f t="shared" si="27"/>
        <v>177</v>
      </c>
      <c r="I191">
        <f t="shared" si="28"/>
        <v>199</v>
      </c>
      <c r="J191">
        <f t="shared" si="28"/>
        <v>232</v>
      </c>
      <c r="K191">
        <f t="shared" si="28"/>
        <v>267</v>
      </c>
      <c r="L191">
        <f t="shared" si="28"/>
        <v>298</v>
      </c>
      <c r="M191">
        <f t="shared" si="23"/>
        <v>313</v>
      </c>
      <c r="N191">
        <f t="shared" si="23"/>
        <v>325</v>
      </c>
      <c r="O191">
        <f t="shared" si="23"/>
        <v>350</v>
      </c>
      <c r="P191">
        <f t="shared" si="23"/>
        <v>368</v>
      </c>
      <c r="Q191">
        <f t="shared" si="23"/>
        <v>394</v>
      </c>
      <c r="S191" t="str">
        <f t="shared" si="29"/>
        <v>28.11.2025</v>
      </c>
      <c r="T191" t="str">
        <f t="shared" si="30"/>
        <v>18:15:00</v>
      </c>
      <c r="U191" t="str">
        <f t="shared" si="24"/>
        <v>28.11.2025 18:15:00</v>
      </c>
      <c r="V191" s="9" t="str">
        <f>MID($A191,C191+C$2+1,D191-C191-C$2-1)</f>
        <v>0</v>
      </c>
      <c r="W191" s="4">
        <f>VALUE(SUBSTITUTE(MID($A191,D191+D$2+1,E191-D191-D$2-1),",","."))</f>
        <v>0</v>
      </c>
      <c r="X191" s="4">
        <f>VALUE(SUBSTITUTE(MID($A191,E191+E$2+1,F191-E191-E$2-1),",","."))</f>
        <v>0.90957602214449496</v>
      </c>
      <c r="Y191" s="4">
        <f>VALUE(SUBSTITUTE(MID($A191,F191+F$2+1,G191-F191-F$2-1),",","."))</f>
        <v>0</v>
      </c>
      <c r="Z191" s="3">
        <f>VALUE(SUBSTITUTE(MID($A191,G191+G$2+1,H191-G191-G$2-1),",","."))</f>
        <v>0</v>
      </c>
      <c r="AA191" s="3">
        <f>VALUE(SUBSTITUTE(MID($A191,H191+H$2+1,I191-H191-H$2-1),",","."))</f>
        <v>0</v>
      </c>
      <c r="AB191" s="3">
        <f>VALUE(SUBSTITUTE(MID($A191,I191+I$2+1,J191-I191-I$2-1),",","."))</f>
        <v>0</v>
      </c>
      <c r="AC191" s="3">
        <f>VALUE(SUBSTITUTE(MID($A191,J191+J$2+1,K191-J191-J$2-1),",","."))</f>
        <v>0.39999999999999902</v>
      </c>
      <c r="AD191" s="3">
        <f>VALUE(SUBSTITUTE(MID($A191,K191+K$2+1,L191-K191-K$2-1),",","."))</f>
        <v>4.1399999999999997</v>
      </c>
      <c r="AE191" s="3">
        <f>VALUE(SUBSTITUTE(MID($A191,L191+L$2+1,M191-L191-L$2-1),",","."))</f>
        <v>0</v>
      </c>
      <c r="AF191" s="3">
        <f>VALUE(SUBSTITUTE(MID($A191,M191+M$2+1,N191-M191-M$2-1),",","."))</f>
        <v>0</v>
      </c>
      <c r="AG191" s="3">
        <f>VALUE(SUBSTITUTE(MID($A191,N191+N$2+1,O191-N191-N$2-1),",","."))</f>
        <v>4.2088224836377899</v>
      </c>
      <c r="AH191" t="str">
        <f>MID($A191,O191+O$2+1,P191-O191-O$2-1)</f>
        <v/>
      </c>
      <c r="AI191" s="8" t="str">
        <f>MID($A191,P191+P$2+1,Q191-P191-P$2-1)</f>
        <v>False</v>
      </c>
      <c r="AK191" t="b">
        <f t="shared" si="25"/>
        <v>0</v>
      </c>
    </row>
    <row r="192" spans="1:37" x14ac:dyDescent="0.35">
      <c r="A192" t="s">
        <v>4739</v>
      </c>
      <c r="B192">
        <f t="shared" si="27"/>
        <v>10</v>
      </c>
      <c r="C192">
        <f t="shared" si="27"/>
        <v>43</v>
      </c>
      <c r="D192">
        <f t="shared" si="27"/>
        <v>54</v>
      </c>
      <c r="E192">
        <f t="shared" si="27"/>
        <v>80</v>
      </c>
      <c r="F192">
        <f t="shared" si="27"/>
        <v>124</v>
      </c>
      <c r="G192">
        <f t="shared" si="27"/>
        <v>145</v>
      </c>
      <c r="H192">
        <f t="shared" si="27"/>
        <v>177</v>
      </c>
      <c r="I192">
        <f t="shared" si="28"/>
        <v>199</v>
      </c>
      <c r="J192">
        <f t="shared" si="28"/>
        <v>232</v>
      </c>
      <c r="K192">
        <f t="shared" si="28"/>
        <v>252</v>
      </c>
      <c r="L192">
        <f t="shared" si="28"/>
        <v>284</v>
      </c>
      <c r="M192">
        <f t="shared" si="28"/>
        <v>299</v>
      </c>
      <c r="N192">
        <f t="shared" si="28"/>
        <v>311</v>
      </c>
      <c r="O192">
        <f t="shared" si="28"/>
        <v>336</v>
      </c>
      <c r="P192">
        <f t="shared" si="28"/>
        <v>354</v>
      </c>
      <c r="Q192">
        <f t="shared" si="28"/>
        <v>380</v>
      </c>
      <c r="S192" t="str">
        <f t="shared" si="29"/>
        <v>28.11.2025</v>
      </c>
      <c r="T192" t="str">
        <f t="shared" si="30"/>
        <v>18:30:00</v>
      </c>
      <c r="U192" t="str">
        <f t="shared" si="24"/>
        <v>28.11.2025 18:30:00</v>
      </c>
      <c r="V192" s="9" t="str">
        <f>MID($A192,C192+C$2+1,D192-C192-C$2-1)</f>
        <v>0</v>
      </c>
      <c r="W192" s="4">
        <f>VALUE(SUBSTITUTE(MID($A192,D192+D$2+1,E192-D192-D$2-1),",","."))</f>
        <v>0</v>
      </c>
      <c r="X192" s="4">
        <f>VALUE(SUBSTITUTE(MID($A192,E192+E$2+1,F192-E192-E$2-1),",","."))</f>
        <v>0.90957602214449496</v>
      </c>
      <c r="Y192" s="4">
        <f>VALUE(SUBSTITUTE(MID($A192,F192+F$2+1,G192-F192-F$2-1),",","."))</f>
        <v>0</v>
      </c>
      <c r="Z192" s="3">
        <f>VALUE(SUBSTITUTE(MID($A192,G192+G$2+1,H192-G192-G$2-1),",","."))</f>
        <v>0</v>
      </c>
      <c r="AA192" s="3">
        <f>VALUE(SUBSTITUTE(MID($A192,H192+H$2+1,I192-H192-H$2-1),",","."))</f>
        <v>0</v>
      </c>
      <c r="AB192" s="3">
        <f>VALUE(SUBSTITUTE(MID($A192,I192+I$2+1,J192-I192-I$2-1),",","."))</f>
        <v>0</v>
      </c>
      <c r="AC192" s="3">
        <f>VALUE(SUBSTITUTE(MID($A192,J192+J$2+1,K192-J192-J$2-1),",","."))</f>
        <v>0.05</v>
      </c>
      <c r="AD192" s="3">
        <f>VALUE(SUBSTITUTE(MID($A192,K192+K$2+1,L192-K192-K$2-1),",","."))</f>
        <v>15.12</v>
      </c>
      <c r="AE192" s="3">
        <f>VALUE(SUBSTITUTE(MID($A192,L192+L$2+1,M192-L192-L$2-1),",","."))</f>
        <v>0</v>
      </c>
      <c r="AF192" s="3">
        <f>VALUE(SUBSTITUTE(MID($A192,M192+M$2+1,N192-M192-M$2-1),",","."))</f>
        <v>0</v>
      </c>
      <c r="AG192" s="3">
        <f>VALUE(SUBSTITUTE(MID($A192,N192+N$2+1,O192-N192-N$2-1),",","."))</f>
        <v>4.2088510035258704</v>
      </c>
      <c r="AH192" t="str">
        <f>MID($A192,O192+O$2+1,P192-O192-O$2-1)</f>
        <v/>
      </c>
      <c r="AI192" s="8" t="str">
        <f>MID($A192,P192+P$2+1,Q192-P192-P$2-1)</f>
        <v>False</v>
      </c>
      <c r="AK192" t="b">
        <f t="shared" si="25"/>
        <v>0</v>
      </c>
    </row>
    <row r="193" spans="1:37" x14ac:dyDescent="0.35">
      <c r="A193" t="s">
        <v>4740</v>
      </c>
      <c r="B193">
        <f t="shared" si="27"/>
        <v>10</v>
      </c>
      <c r="C193">
        <f t="shared" si="27"/>
        <v>43</v>
      </c>
      <c r="D193">
        <f t="shared" si="27"/>
        <v>54</v>
      </c>
      <c r="E193">
        <f t="shared" si="27"/>
        <v>80</v>
      </c>
      <c r="F193">
        <f t="shared" si="27"/>
        <v>124</v>
      </c>
      <c r="G193">
        <f t="shared" si="27"/>
        <v>145</v>
      </c>
      <c r="H193">
        <f t="shared" si="27"/>
        <v>177</v>
      </c>
      <c r="I193">
        <f t="shared" si="28"/>
        <v>199</v>
      </c>
      <c r="J193">
        <f t="shared" si="28"/>
        <v>232</v>
      </c>
      <c r="K193">
        <f t="shared" si="28"/>
        <v>252</v>
      </c>
      <c r="L193">
        <f t="shared" si="28"/>
        <v>284</v>
      </c>
      <c r="M193">
        <f t="shared" si="28"/>
        <v>299</v>
      </c>
      <c r="N193">
        <f t="shared" si="28"/>
        <v>311</v>
      </c>
      <c r="O193">
        <f t="shared" si="28"/>
        <v>336</v>
      </c>
      <c r="P193">
        <f t="shared" si="28"/>
        <v>354</v>
      </c>
      <c r="Q193">
        <f t="shared" si="28"/>
        <v>380</v>
      </c>
      <c r="S193" t="str">
        <f t="shared" si="29"/>
        <v>28.11.2025</v>
      </c>
      <c r="T193" t="str">
        <f t="shared" si="30"/>
        <v>18:45:00</v>
      </c>
      <c r="U193" t="str">
        <f t="shared" si="24"/>
        <v>28.11.2025 18:45:00</v>
      </c>
      <c r="V193" s="9" t="str">
        <f>MID($A193,C193+C$2+1,D193-C193-C$2-1)</f>
        <v>0</v>
      </c>
      <c r="W193" s="4">
        <f>VALUE(SUBSTITUTE(MID($A193,D193+D$2+1,E193-D193-D$2-1),",","."))</f>
        <v>0</v>
      </c>
      <c r="X193" s="4">
        <f>VALUE(SUBSTITUTE(MID($A193,E193+E$2+1,F193-E193-E$2-1),",","."))</f>
        <v>0.90957602214449496</v>
      </c>
      <c r="Y193" s="4">
        <f>VALUE(SUBSTITUTE(MID($A193,F193+F$2+1,G193-F193-F$2-1),",","."))</f>
        <v>0</v>
      </c>
      <c r="Z193" s="3">
        <f>VALUE(SUBSTITUTE(MID($A193,G193+G$2+1,H193-G193-G$2-1),",","."))</f>
        <v>0</v>
      </c>
      <c r="AA193" s="3">
        <f>VALUE(SUBSTITUTE(MID($A193,H193+H$2+1,I193-H193-H$2-1),",","."))</f>
        <v>0</v>
      </c>
      <c r="AB193" s="3">
        <f>VALUE(SUBSTITUTE(MID($A193,I193+I$2+1,J193-I193-I$2-1),",","."))</f>
        <v>0</v>
      </c>
      <c r="AC193" s="3">
        <f>VALUE(SUBSTITUTE(MID($A193,J193+J$2+1,K193-J193-J$2-1),",","."))</f>
        <v>0.05</v>
      </c>
      <c r="AD193" s="3">
        <f>VALUE(SUBSTITUTE(MID($A193,K193+K$2+1,L193-K193-K$2-1),",","."))</f>
        <v>15.12</v>
      </c>
      <c r="AE193" s="3">
        <f>VALUE(SUBSTITUTE(MID($A193,L193+L$2+1,M193-L193-L$2-1),",","."))</f>
        <v>0</v>
      </c>
      <c r="AF193" s="3">
        <f>VALUE(SUBSTITUTE(MID($A193,M193+M$2+1,N193-M193-M$2-1),",","."))</f>
        <v>0</v>
      </c>
      <c r="AG193" s="3">
        <f>VALUE(SUBSTITUTE(MID($A193,N193+N$2+1,O193-N193-N$2-1),",","."))</f>
        <v>4.2088795234139598</v>
      </c>
      <c r="AH193" t="str">
        <f>MID($A193,O193+O$2+1,P193-O193-O$2-1)</f>
        <v/>
      </c>
      <c r="AI193" s="8" t="str">
        <f>MID($A193,P193+P$2+1,Q193-P193-P$2-1)</f>
        <v>False</v>
      </c>
      <c r="AK193" t="b">
        <f t="shared" si="25"/>
        <v>0</v>
      </c>
    </row>
    <row r="194" spans="1:37" x14ac:dyDescent="0.35">
      <c r="A194" t="s">
        <v>4741</v>
      </c>
      <c r="B194">
        <f t="shared" si="27"/>
        <v>10</v>
      </c>
      <c r="C194">
        <f t="shared" si="27"/>
        <v>43</v>
      </c>
      <c r="D194">
        <f t="shared" si="27"/>
        <v>54</v>
      </c>
      <c r="E194">
        <f t="shared" si="27"/>
        <v>80</v>
      </c>
      <c r="F194">
        <f t="shared" si="27"/>
        <v>124</v>
      </c>
      <c r="G194">
        <f t="shared" si="27"/>
        <v>145</v>
      </c>
      <c r="H194">
        <f t="shared" si="27"/>
        <v>177</v>
      </c>
      <c r="I194">
        <f t="shared" si="28"/>
        <v>199</v>
      </c>
      <c r="J194">
        <f t="shared" si="28"/>
        <v>232</v>
      </c>
      <c r="K194">
        <f t="shared" si="28"/>
        <v>252</v>
      </c>
      <c r="L194">
        <f t="shared" si="28"/>
        <v>284</v>
      </c>
      <c r="M194">
        <f t="shared" si="28"/>
        <v>299</v>
      </c>
      <c r="N194">
        <f t="shared" si="28"/>
        <v>311</v>
      </c>
      <c r="O194">
        <f t="shared" si="28"/>
        <v>336</v>
      </c>
      <c r="P194">
        <f t="shared" si="28"/>
        <v>354</v>
      </c>
      <c r="Q194">
        <f t="shared" si="28"/>
        <v>380</v>
      </c>
      <c r="S194" t="str">
        <f t="shared" si="29"/>
        <v>28.11.2025</v>
      </c>
      <c r="T194" t="str">
        <f t="shared" si="30"/>
        <v>19:00:00</v>
      </c>
      <c r="U194" t="str">
        <f t="shared" si="24"/>
        <v>28.11.2025 19:00:00</v>
      </c>
      <c r="V194" s="9" t="str">
        <f>MID($A194,C194+C$2+1,D194-C194-C$2-1)</f>
        <v>0</v>
      </c>
      <c r="W194" s="4">
        <f>VALUE(SUBSTITUTE(MID($A194,D194+D$2+1,E194-D194-D$2-1),",","."))</f>
        <v>0</v>
      </c>
      <c r="X194" s="4">
        <f>VALUE(SUBSTITUTE(MID($A194,E194+E$2+1,F194-E194-E$2-1),",","."))</f>
        <v>0.90957602214449496</v>
      </c>
      <c r="Y194" s="4">
        <f>VALUE(SUBSTITUTE(MID($A194,F194+F$2+1,G194-F194-F$2-1),",","."))</f>
        <v>0</v>
      </c>
      <c r="Z194" s="3">
        <f>VALUE(SUBSTITUTE(MID($A194,G194+G$2+1,H194-G194-G$2-1),",","."))</f>
        <v>0</v>
      </c>
      <c r="AA194" s="3">
        <f>VALUE(SUBSTITUTE(MID($A194,H194+H$2+1,I194-H194-H$2-1),",","."))</f>
        <v>0</v>
      </c>
      <c r="AB194" s="3">
        <f>VALUE(SUBSTITUTE(MID($A194,I194+I$2+1,J194-I194-I$2-1),",","."))</f>
        <v>0</v>
      </c>
      <c r="AC194" s="3">
        <f>VALUE(SUBSTITUTE(MID($A194,J194+J$2+1,K194-J194-J$2-1),",","."))</f>
        <v>0.05</v>
      </c>
      <c r="AD194" s="3">
        <f>VALUE(SUBSTITUTE(MID($A194,K194+K$2+1,L194-K194-K$2-1),",","."))</f>
        <v>15.12</v>
      </c>
      <c r="AE194" s="3">
        <f>VALUE(SUBSTITUTE(MID($A194,L194+L$2+1,M194-L194-L$2-1),",","."))</f>
        <v>0</v>
      </c>
      <c r="AF194" s="3">
        <f>VALUE(SUBSTITUTE(MID($A194,M194+M$2+1,N194-M194-M$2-1),",","."))</f>
        <v>0</v>
      </c>
      <c r="AG194" s="3">
        <f>VALUE(SUBSTITUTE(MID($A194,N194+N$2+1,O194-N194-N$2-1),",","."))</f>
        <v>4.2089080433020403</v>
      </c>
      <c r="AH194" t="str">
        <f>MID($A194,O194+O$2+1,P194-O194-O$2-1)</f>
        <v/>
      </c>
      <c r="AI194" s="8" t="str">
        <f>MID($A194,P194+P$2+1,Q194-P194-P$2-1)</f>
        <v>False</v>
      </c>
      <c r="AK194" t="b">
        <f t="shared" si="25"/>
        <v>0</v>
      </c>
    </row>
    <row r="195" spans="1:37" x14ac:dyDescent="0.35">
      <c r="A195" t="s">
        <v>4742</v>
      </c>
      <c r="B195">
        <f t="shared" si="27"/>
        <v>10</v>
      </c>
      <c r="C195">
        <f t="shared" si="27"/>
        <v>43</v>
      </c>
      <c r="D195">
        <f t="shared" si="27"/>
        <v>54</v>
      </c>
      <c r="E195">
        <f t="shared" si="27"/>
        <v>80</v>
      </c>
      <c r="F195">
        <f t="shared" si="27"/>
        <v>124</v>
      </c>
      <c r="G195">
        <f t="shared" si="27"/>
        <v>145</v>
      </c>
      <c r="H195">
        <f t="shared" si="27"/>
        <v>177</v>
      </c>
      <c r="I195">
        <f t="shared" si="28"/>
        <v>199</v>
      </c>
      <c r="J195">
        <f t="shared" si="28"/>
        <v>232</v>
      </c>
      <c r="K195">
        <f t="shared" si="28"/>
        <v>252</v>
      </c>
      <c r="L195">
        <f t="shared" si="28"/>
        <v>284</v>
      </c>
      <c r="M195">
        <f t="shared" si="28"/>
        <v>299</v>
      </c>
      <c r="N195">
        <f t="shared" si="28"/>
        <v>311</v>
      </c>
      <c r="O195">
        <f t="shared" si="28"/>
        <v>336</v>
      </c>
      <c r="P195">
        <f t="shared" si="28"/>
        <v>354</v>
      </c>
      <c r="Q195">
        <f t="shared" si="28"/>
        <v>380</v>
      </c>
      <c r="S195" t="str">
        <f t="shared" si="29"/>
        <v>28.11.2025</v>
      </c>
      <c r="T195" t="str">
        <f t="shared" si="30"/>
        <v>19:15:00</v>
      </c>
      <c r="U195" t="str">
        <f t="shared" si="24"/>
        <v>28.11.2025 19:15:00</v>
      </c>
      <c r="V195" s="9" t="str">
        <f>MID($A195,C195+C$2+1,D195-C195-C$2-1)</f>
        <v>0</v>
      </c>
      <c r="W195" s="4">
        <f>VALUE(SUBSTITUTE(MID($A195,D195+D$2+1,E195-D195-D$2-1),",","."))</f>
        <v>0</v>
      </c>
      <c r="X195" s="4">
        <f>VALUE(SUBSTITUTE(MID($A195,E195+E$2+1,F195-E195-E$2-1),",","."))</f>
        <v>0.90957602214449496</v>
      </c>
      <c r="Y195" s="4">
        <f>VALUE(SUBSTITUTE(MID($A195,F195+F$2+1,G195-F195-F$2-1),",","."))</f>
        <v>0</v>
      </c>
      <c r="Z195" s="3">
        <f>VALUE(SUBSTITUTE(MID($A195,G195+G$2+1,H195-G195-G$2-1),",","."))</f>
        <v>0</v>
      </c>
      <c r="AA195" s="3">
        <f>VALUE(SUBSTITUTE(MID($A195,H195+H$2+1,I195-H195-H$2-1),",","."))</f>
        <v>0</v>
      </c>
      <c r="AB195" s="3">
        <f>VALUE(SUBSTITUTE(MID($A195,I195+I$2+1,J195-I195-I$2-1),",","."))</f>
        <v>0</v>
      </c>
      <c r="AC195" s="3">
        <f>VALUE(SUBSTITUTE(MID($A195,J195+J$2+1,K195-J195-J$2-1),",","."))</f>
        <v>0.05</v>
      </c>
      <c r="AD195" s="3">
        <f>VALUE(SUBSTITUTE(MID($A195,K195+K$2+1,L195-K195-K$2-1),",","."))</f>
        <v>15.12</v>
      </c>
      <c r="AE195" s="3">
        <f>VALUE(SUBSTITUTE(MID($A195,L195+L$2+1,M195-L195-L$2-1),",","."))</f>
        <v>0</v>
      </c>
      <c r="AF195" s="3">
        <f>VALUE(SUBSTITUTE(MID($A195,M195+M$2+1,N195-M195-M$2-1),",","."))</f>
        <v>0</v>
      </c>
      <c r="AG195" s="3">
        <f>VALUE(SUBSTITUTE(MID($A195,N195+N$2+1,O195-N195-N$2-1),",","."))</f>
        <v>4.2089365631901199</v>
      </c>
      <c r="AH195" t="str">
        <f>MID($A195,O195+O$2+1,P195-O195-O$2-1)</f>
        <v/>
      </c>
      <c r="AI195" s="8" t="str">
        <f>MID($A195,P195+P$2+1,Q195-P195-P$2-1)</f>
        <v>False</v>
      </c>
      <c r="AK195" t="b">
        <f t="shared" si="25"/>
        <v>0</v>
      </c>
    </row>
    <row r="196" spans="1:37" x14ac:dyDescent="0.35">
      <c r="A196" t="s">
        <v>4743</v>
      </c>
      <c r="B196">
        <f t="shared" si="27"/>
        <v>10</v>
      </c>
      <c r="C196">
        <f t="shared" si="27"/>
        <v>43</v>
      </c>
      <c r="D196">
        <f t="shared" si="27"/>
        <v>54</v>
      </c>
      <c r="E196">
        <f t="shared" si="27"/>
        <v>80</v>
      </c>
      <c r="F196">
        <f t="shared" si="27"/>
        <v>124</v>
      </c>
      <c r="G196">
        <f t="shared" si="27"/>
        <v>145</v>
      </c>
      <c r="H196">
        <f t="shared" si="27"/>
        <v>177</v>
      </c>
      <c r="I196">
        <f t="shared" si="28"/>
        <v>199</v>
      </c>
      <c r="J196">
        <f t="shared" si="28"/>
        <v>232</v>
      </c>
      <c r="K196">
        <f t="shared" si="28"/>
        <v>252</v>
      </c>
      <c r="L196">
        <f t="shared" si="28"/>
        <v>271</v>
      </c>
      <c r="M196">
        <f t="shared" si="28"/>
        <v>286</v>
      </c>
      <c r="N196">
        <f t="shared" si="28"/>
        <v>298</v>
      </c>
      <c r="O196">
        <f t="shared" si="28"/>
        <v>323</v>
      </c>
      <c r="P196">
        <f t="shared" si="28"/>
        <v>341</v>
      </c>
      <c r="Q196">
        <f t="shared" si="28"/>
        <v>367</v>
      </c>
      <c r="S196" t="str">
        <f t="shared" si="29"/>
        <v>28.11.2025</v>
      </c>
      <c r="T196" t="str">
        <f t="shared" si="30"/>
        <v>19:30:00</v>
      </c>
      <c r="U196" t="str">
        <f t="shared" ref="U196:U259" si="31">MID($A196,B196+B$2+1,C196-B196-B$2-1)</f>
        <v>28.11.2025 19:30:00</v>
      </c>
      <c r="V196" s="9" t="str">
        <f>MID($A196,C196+C$2+1,D196-C196-C$2-1)</f>
        <v>0</v>
      </c>
      <c r="W196" s="4">
        <f>VALUE(SUBSTITUTE(MID($A196,D196+D$2+1,E196-D196-D$2-1),",","."))</f>
        <v>0</v>
      </c>
      <c r="X196" s="4">
        <f>VALUE(SUBSTITUTE(MID($A196,E196+E$2+1,F196-E196-E$2-1),",","."))</f>
        <v>0.90957602214449496</v>
      </c>
      <c r="Y196" s="4">
        <f>VALUE(SUBSTITUTE(MID($A196,F196+F$2+1,G196-F196-F$2-1),",","."))</f>
        <v>0</v>
      </c>
      <c r="Z196" s="3">
        <f>VALUE(SUBSTITUTE(MID($A196,G196+G$2+1,H196-G196-G$2-1),",","."))</f>
        <v>0</v>
      </c>
      <c r="AA196" s="3">
        <f>VALUE(SUBSTITUTE(MID($A196,H196+H$2+1,I196-H196-H$2-1),",","."))</f>
        <v>0</v>
      </c>
      <c r="AB196" s="3">
        <f>VALUE(SUBSTITUTE(MID($A196,I196+I$2+1,J196-I196-I$2-1),",","."))</f>
        <v>0</v>
      </c>
      <c r="AC196" s="3">
        <f>VALUE(SUBSTITUTE(MID($A196,J196+J$2+1,K196-J196-J$2-1),",","."))</f>
        <v>0.85</v>
      </c>
      <c r="AD196" s="3">
        <f>VALUE(SUBSTITUTE(MID($A196,K196+K$2+1,L196-K196-K$2-1),",","."))</f>
        <v>16.38</v>
      </c>
      <c r="AE196" s="3">
        <f>VALUE(SUBSTITUTE(MID($A196,L196+L$2+1,M196-L196-L$2-1),",","."))</f>
        <v>0</v>
      </c>
      <c r="AF196" s="3">
        <f>VALUE(SUBSTITUTE(MID($A196,M196+M$2+1,N196-M196-M$2-1),",","."))</f>
        <v>0</v>
      </c>
      <c r="AG196" s="3">
        <f>VALUE(SUBSTITUTE(MID($A196,N196+N$2+1,O196-N196-N$2-1),",","."))</f>
        <v>4.2089650830782004</v>
      </c>
      <c r="AH196" t="str">
        <f>MID($A196,O196+O$2+1,P196-O196-O$2-1)</f>
        <v/>
      </c>
      <c r="AI196" s="8" t="str">
        <f>MID($A196,P196+P$2+1,Q196-P196-P$2-1)</f>
        <v>False</v>
      </c>
      <c r="AK196" t="b">
        <f t="shared" ref="AK196:AK259" si="32">AB196&gt;Z196</f>
        <v>0</v>
      </c>
    </row>
    <row r="197" spans="1:37" x14ac:dyDescent="0.35">
      <c r="A197" t="s">
        <v>4744</v>
      </c>
      <c r="B197">
        <f t="shared" si="27"/>
        <v>10</v>
      </c>
      <c r="C197">
        <f t="shared" si="27"/>
        <v>43</v>
      </c>
      <c r="D197">
        <f t="shared" si="27"/>
        <v>54</v>
      </c>
      <c r="E197">
        <f t="shared" si="27"/>
        <v>80</v>
      </c>
      <c r="F197">
        <f t="shared" si="27"/>
        <v>124</v>
      </c>
      <c r="G197">
        <f t="shared" si="27"/>
        <v>145</v>
      </c>
      <c r="H197">
        <f t="shared" si="27"/>
        <v>177</v>
      </c>
      <c r="I197">
        <f t="shared" si="28"/>
        <v>199</v>
      </c>
      <c r="J197">
        <f t="shared" si="28"/>
        <v>232</v>
      </c>
      <c r="K197">
        <f t="shared" si="28"/>
        <v>252</v>
      </c>
      <c r="L197">
        <f t="shared" si="28"/>
        <v>271</v>
      </c>
      <c r="M197">
        <f t="shared" si="28"/>
        <v>286</v>
      </c>
      <c r="N197">
        <f t="shared" si="28"/>
        <v>298</v>
      </c>
      <c r="O197">
        <f t="shared" si="28"/>
        <v>323</v>
      </c>
      <c r="P197">
        <f t="shared" si="28"/>
        <v>341</v>
      </c>
      <c r="Q197">
        <f t="shared" si="28"/>
        <v>367</v>
      </c>
      <c r="S197" t="str">
        <f t="shared" si="29"/>
        <v>28.11.2025</v>
      </c>
      <c r="T197" t="str">
        <f t="shared" si="30"/>
        <v>19:45:00</v>
      </c>
      <c r="U197" t="str">
        <f t="shared" si="31"/>
        <v>28.11.2025 19:45:00</v>
      </c>
      <c r="V197" s="9" t="str">
        <f>MID($A197,C197+C$2+1,D197-C197-C$2-1)</f>
        <v>0</v>
      </c>
      <c r="W197" s="4">
        <f>VALUE(SUBSTITUTE(MID($A197,D197+D$2+1,E197-D197-D$2-1),",","."))</f>
        <v>0</v>
      </c>
      <c r="X197" s="4">
        <f>VALUE(SUBSTITUTE(MID($A197,E197+E$2+1,F197-E197-E$2-1),",","."))</f>
        <v>0.90957602214449496</v>
      </c>
      <c r="Y197" s="4">
        <f>VALUE(SUBSTITUTE(MID($A197,F197+F$2+1,G197-F197-F$2-1),",","."))</f>
        <v>0</v>
      </c>
      <c r="Z197" s="3">
        <f>VALUE(SUBSTITUTE(MID($A197,G197+G$2+1,H197-G197-G$2-1),",","."))</f>
        <v>0</v>
      </c>
      <c r="AA197" s="3">
        <f>VALUE(SUBSTITUTE(MID($A197,H197+H$2+1,I197-H197-H$2-1),",","."))</f>
        <v>0</v>
      </c>
      <c r="AB197" s="3">
        <f>VALUE(SUBSTITUTE(MID($A197,I197+I$2+1,J197-I197-I$2-1),",","."))</f>
        <v>0</v>
      </c>
      <c r="AC197" s="3">
        <f>VALUE(SUBSTITUTE(MID($A197,J197+J$2+1,K197-J197-J$2-1),",","."))</f>
        <v>0.85</v>
      </c>
      <c r="AD197" s="3">
        <f>VALUE(SUBSTITUTE(MID($A197,K197+K$2+1,L197-K197-K$2-1),",","."))</f>
        <v>16.38</v>
      </c>
      <c r="AE197" s="3">
        <f>VALUE(SUBSTITUTE(MID($A197,L197+L$2+1,M197-L197-L$2-1),",","."))</f>
        <v>0</v>
      </c>
      <c r="AF197" s="3">
        <f>VALUE(SUBSTITUTE(MID($A197,M197+M$2+1,N197-M197-M$2-1),",","."))</f>
        <v>0</v>
      </c>
      <c r="AG197" s="3">
        <f>VALUE(SUBSTITUTE(MID($A197,N197+N$2+1,O197-N197-N$2-1),",","."))</f>
        <v>4.20899360296628</v>
      </c>
      <c r="AH197" t="str">
        <f>MID($A197,O197+O$2+1,P197-O197-O$2-1)</f>
        <v/>
      </c>
      <c r="AI197" s="8" t="str">
        <f>MID($A197,P197+P$2+1,Q197-P197-P$2-1)</f>
        <v>False</v>
      </c>
      <c r="AK197" t="b">
        <f t="shared" si="32"/>
        <v>0</v>
      </c>
    </row>
    <row r="198" spans="1:37" x14ac:dyDescent="0.35">
      <c r="A198" t="s">
        <v>4745</v>
      </c>
      <c r="B198">
        <f t="shared" si="27"/>
        <v>10</v>
      </c>
      <c r="C198">
        <f t="shared" si="27"/>
        <v>43</v>
      </c>
      <c r="D198">
        <f t="shared" si="27"/>
        <v>54</v>
      </c>
      <c r="E198">
        <f t="shared" si="27"/>
        <v>80</v>
      </c>
      <c r="F198">
        <f t="shared" si="27"/>
        <v>124</v>
      </c>
      <c r="G198">
        <f t="shared" si="27"/>
        <v>145</v>
      </c>
      <c r="H198">
        <f t="shared" si="27"/>
        <v>177</v>
      </c>
      <c r="I198">
        <f t="shared" si="28"/>
        <v>199</v>
      </c>
      <c r="J198">
        <f t="shared" si="28"/>
        <v>232</v>
      </c>
      <c r="K198">
        <f t="shared" si="28"/>
        <v>252</v>
      </c>
      <c r="L198">
        <f t="shared" si="28"/>
        <v>271</v>
      </c>
      <c r="M198">
        <f t="shared" si="28"/>
        <v>286</v>
      </c>
      <c r="N198">
        <f t="shared" si="28"/>
        <v>298</v>
      </c>
      <c r="O198">
        <f t="shared" si="28"/>
        <v>324</v>
      </c>
      <c r="P198">
        <f t="shared" si="28"/>
        <v>342</v>
      </c>
      <c r="Q198">
        <f t="shared" si="28"/>
        <v>368</v>
      </c>
      <c r="S198" t="str">
        <f t="shared" si="29"/>
        <v>28.11.2025</v>
      </c>
      <c r="T198" t="str">
        <f t="shared" si="30"/>
        <v>20:00:00</v>
      </c>
      <c r="U198" t="str">
        <f t="shared" si="31"/>
        <v>28.11.2025 20:00:00</v>
      </c>
      <c r="V198" s="9" t="str">
        <f>MID($A198,C198+C$2+1,D198-C198-C$2-1)</f>
        <v>0</v>
      </c>
      <c r="W198" s="4">
        <f>VALUE(SUBSTITUTE(MID($A198,D198+D$2+1,E198-D198-D$2-1),",","."))</f>
        <v>0</v>
      </c>
      <c r="X198" s="4">
        <f>VALUE(SUBSTITUTE(MID($A198,E198+E$2+1,F198-E198-E$2-1),",","."))</f>
        <v>0.90957602214449496</v>
      </c>
      <c r="Y198" s="4">
        <f>VALUE(SUBSTITUTE(MID($A198,F198+F$2+1,G198-F198-F$2-1),",","."))</f>
        <v>0</v>
      </c>
      <c r="Z198" s="3">
        <f>VALUE(SUBSTITUTE(MID($A198,G198+G$2+1,H198-G198-G$2-1),",","."))</f>
        <v>0</v>
      </c>
      <c r="AA198" s="3">
        <f>VALUE(SUBSTITUTE(MID($A198,H198+H$2+1,I198-H198-H$2-1),",","."))</f>
        <v>0</v>
      </c>
      <c r="AB198" s="3">
        <f>VALUE(SUBSTITUTE(MID($A198,I198+I$2+1,J198-I198-I$2-1),",","."))</f>
        <v>0</v>
      </c>
      <c r="AC198" s="3">
        <f>VALUE(SUBSTITUTE(MID($A198,J198+J$2+1,K198-J198-J$2-1),",","."))</f>
        <v>0.85</v>
      </c>
      <c r="AD198" s="3">
        <f>VALUE(SUBSTITUTE(MID($A198,K198+K$2+1,L198-K198-K$2-1),",","."))</f>
        <v>16.38</v>
      </c>
      <c r="AE198" s="3">
        <f>VALUE(SUBSTITUTE(MID($A198,L198+L$2+1,M198-L198-L$2-1),",","."))</f>
        <v>0</v>
      </c>
      <c r="AF198" s="3">
        <f>VALUE(SUBSTITUTE(MID($A198,M198+M$2+1,N198-M198-M$2-1),",","."))</f>
        <v>0</v>
      </c>
      <c r="AG198" s="3">
        <f>VALUE(SUBSTITUTE(MID($A198,N198+N$2+1,O198-N198-N$2-1),",","."))</f>
        <v>4.2090221228543596</v>
      </c>
      <c r="AH198" t="str">
        <f>MID($A198,O198+O$2+1,P198-O198-O$2-1)</f>
        <v/>
      </c>
      <c r="AI198" s="8" t="str">
        <f>MID($A198,P198+P$2+1,Q198-P198-P$2-1)</f>
        <v>False</v>
      </c>
      <c r="AK198" t="b">
        <f t="shared" si="32"/>
        <v>0</v>
      </c>
    </row>
    <row r="199" spans="1:37" x14ac:dyDescent="0.35">
      <c r="A199" t="s">
        <v>4746</v>
      </c>
      <c r="B199">
        <f t="shared" si="27"/>
        <v>10</v>
      </c>
      <c r="C199">
        <f t="shared" si="27"/>
        <v>43</v>
      </c>
      <c r="D199">
        <f t="shared" si="27"/>
        <v>54</v>
      </c>
      <c r="E199">
        <f t="shared" si="27"/>
        <v>80</v>
      </c>
      <c r="F199">
        <f t="shared" si="27"/>
        <v>124</v>
      </c>
      <c r="G199">
        <f t="shared" si="27"/>
        <v>145</v>
      </c>
      <c r="H199">
        <f t="shared" si="27"/>
        <v>177</v>
      </c>
      <c r="I199">
        <f t="shared" si="28"/>
        <v>199</v>
      </c>
      <c r="J199">
        <f t="shared" si="28"/>
        <v>232</v>
      </c>
      <c r="K199">
        <f t="shared" si="28"/>
        <v>252</v>
      </c>
      <c r="L199">
        <f t="shared" si="28"/>
        <v>271</v>
      </c>
      <c r="M199">
        <f t="shared" si="28"/>
        <v>286</v>
      </c>
      <c r="N199">
        <f t="shared" si="28"/>
        <v>298</v>
      </c>
      <c r="O199">
        <f t="shared" si="28"/>
        <v>322</v>
      </c>
      <c r="P199">
        <f t="shared" si="28"/>
        <v>340</v>
      </c>
      <c r="Q199">
        <f t="shared" si="28"/>
        <v>366</v>
      </c>
      <c r="S199" t="str">
        <f t="shared" si="29"/>
        <v>28.11.2025</v>
      </c>
      <c r="T199" t="str">
        <f t="shared" si="30"/>
        <v>20:15:00</v>
      </c>
      <c r="U199" t="str">
        <f t="shared" si="31"/>
        <v>28.11.2025 20:15:00</v>
      </c>
      <c r="V199" s="9" t="str">
        <f>MID($A199,C199+C$2+1,D199-C199-C$2-1)</f>
        <v>0</v>
      </c>
      <c r="W199" s="4">
        <f>VALUE(SUBSTITUTE(MID($A199,D199+D$2+1,E199-D199-D$2-1),",","."))</f>
        <v>0</v>
      </c>
      <c r="X199" s="4">
        <f>VALUE(SUBSTITUTE(MID($A199,E199+E$2+1,F199-E199-E$2-1),",","."))</f>
        <v>0.90957602214449496</v>
      </c>
      <c r="Y199" s="4">
        <f>VALUE(SUBSTITUTE(MID($A199,F199+F$2+1,G199-F199-F$2-1),",","."))</f>
        <v>0</v>
      </c>
      <c r="Z199" s="3">
        <f>VALUE(SUBSTITUTE(MID($A199,G199+G$2+1,H199-G199-G$2-1),",","."))</f>
        <v>0</v>
      </c>
      <c r="AA199" s="3">
        <f>VALUE(SUBSTITUTE(MID($A199,H199+H$2+1,I199-H199-H$2-1),",","."))</f>
        <v>0</v>
      </c>
      <c r="AB199" s="3">
        <f>VALUE(SUBSTITUTE(MID($A199,I199+I$2+1,J199-I199-I$2-1),",","."))</f>
        <v>0</v>
      </c>
      <c r="AC199" s="3">
        <f>VALUE(SUBSTITUTE(MID($A199,J199+J$2+1,K199-J199-J$2-1),",","."))</f>
        <v>0.85</v>
      </c>
      <c r="AD199" s="3">
        <f>VALUE(SUBSTITUTE(MID($A199,K199+K$2+1,L199-K199-K$2-1),",","."))</f>
        <v>16.38</v>
      </c>
      <c r="AE199" s="3">
        <f>VALUE(SUBSTITUTE(MID($A199,L199+L$2+1,M199-L199-L$2-1),",","."))</f>
        <v>0</v>
      </c>
      <c r="AF199" s="3">
        <f>VALUE(SUBSTITUTE(MID($A199,M199+M$2+1,N199-M199-M$2-1),",","."))</f>
        <v>0</v>
      </c>
      <c r="AG199" s="3">
        <f>VALUE(SUBSTITUTE(MID($A199,N199+N$2+1,O199-N199-N$2-1),",","."))</f>
        <v>4.2090506427424499</v>
      </c>
      <c r="AH199" t="str">
        <f>MID($A199,O199+O$2+1,P199-O199-O$2-1)</f>
        <v/>
      </c>
      <c r="AI199" s="8" t="str">
        <f>MID($A199,P199+P$2+1,Q199-P199-P$2-1)</f>
        <v>False</v>
      </c>
      <c r="AK199" t="b">
        <f t="shared" si="32"/>
        <v>0</v>
      </c>
    </row>
    <row r="200" spans="1:37" x14ac:dyDescent="0.35">
      <c r="A200" t="s">
        <v>4747</v>
      </c>
      <c r="B200">
        <f t="shared" si="27"/>
        <v>10</v>
      </c>
      <c r="C200">
        <f t="shared" si="27"/>
        <v>43</v>
      </c>
      <c r="D200">
        <f t="shared" si="27"/>
        <v>54</v>
      </c>
      <c r="E200">
        <f t="shared" si="27"/>
        <v>80</v>
      </c>
      <c r="F200">
        <f t="shared" si="27"/>
        <v>124</v>
      </c>
      <c r="G200">
        <f t="shared" si="27"/>
        <v>145</v>
      </c>
      <c r="H200">
        <f t="shared" si="27"/>
        <v>177</v>
      </c>
      <c r="I200">
        <f t="shared" si="28"/>
        <v>199</v>
      </c>
      <c r="J200">
        <f t="shared" si="28"/>
        <v>232</v>
      </c>
      <c r="K200">
        <f t="shared" si="28"/>
        <v>252</v>
      </c>
      <c r="L200">
        <f t="shared" si="28"/>
        <v>284</v>
      </c>
      <c r="M200">
        <f t="shared" si="28"/>
        <v>299</v>
      </c>
      <c r="N200">
        <f t="shared" si="28"/>
        <v>311</v>
      </c>
      <c r="O200">
        <f t="shared" si="28"/>
        <v>336</v>
      </c>
      <c r="P200">
        <f t="shared" si="28"/>
        <v>354</v>
      </c>
      <c r="Q200">
        <f t="shared" si="28"/>
        <v>380</v>
      </c>
      <c r="S200" t="str">
        <f t="shared" si="29"/>
        <v>28.11.2025</v>
      </c>
      <c r="T200" t="str">
        <f t="shared" si="30"/>
        <v>20:30:00</v>
      </c>
      <c r="U200" t="str">
        <f t="shared" si="31"/>
        <v>28.11.2025 20:30:00</v>
      </c>
      <c r="V200" s="9" t="str">
        <f>MID($A200,C200+C$2+1,D200-C200-C$2-1)</f>
        <v>0</v>
      </c>
      <c r="W200" s="4">
        <f>VALUE(SUBSTITUTE(MID($A200,D200+D$2+1,E200-D200-D$2-1),",","."))</f>
        <v>0</v>
      </c>
      <c r="X200" s="4">
        <f>VALUE(SUBSTITUTE(MID($A200,E200+E$2+1,F200-E200-E$2-1),",","."))</f>
        <v>0.90957602214449496</v>
      </c>
      <c r="Y200" s="4">
        <f>VALUE(SUBSTITUTE(MID($A200,F200+F$2+1,G200-F200-F$2-1),",","."))</f>
        <v>0</v>
      </c>
      <c r="Z200" s="3">
        <f>VALUE(SUBSTITUTE(MID($A200,G200+G$2+1,H200-G200-G$2-1),",","."))</f>
        <v>0</v>
      </c>
      <c r="AA200" s="3">
        <f>VALUE(SUBSTITUTE(MID($A200,H200+H$2+1,I200-H200-H$2-1),",","."))</f>
        <v>0</v>
      </c>
      <c r="AB200" s="3">
        <f>VALUE(SUBSTITUTE(MID($A200,I200+I$2+1,J200-I200-I$2-1),",","."))</f>
        <v>0</v>
      </c>
      <c r="AC200" s="3">
        <f>VALUE(SUBSTITUTE(MID($A200,J200+J$2+1,K200-J200-J$2-1),",","."))</f>
        <v>0.95</v>
      </c>
      <c r="AD200" s="3">
        <f>VALUE(SUBSTITUTE(MID($A200,K200+K$2+1,L200-K200-K$2-1),",","."))</f>
        <v>14.04</v>
      </c>
      <c r="AE200" s="3">
        <f>VALUE(SUBSTITUTE(MID($A200,L200+L$2+1,M200-L200-L$2-1),",","."))</f>
        <v>0</v>
      </c>
      <c r="AF200" s="3">
        <f>VALUE(SUBSTITUTE(MID($A200,M200+M$2+1,N200-M200-M$2-1),",","."))</f>
        <v>0</v>
      </c>
      <c r="AG200" s="3">
        <f>VALUE(SUBSTITUTE(MID($A200,N200+N$2+1,O200-N200-N$2-1),",","."))</f>
        <v>4.2090791626305304</v>
      </c>
      <c r="AH200" t="str">
        <f>MID($A200,O200+O$2+1,P200-O200-O$2-1)</f>
        <v/>
      </c>
      <c r="AI200" s="8" t="str">
        <f>MID($A200,P200+P$2+1,Q200-P200-P$2-1)</f>
        <v>False</v>
      </c>
      <c r="AK200" t="b">
        <f t="shared" si="32"/>
        <v>0</v>
      </c>
    </row>
    <row r="201" spans="1:37" x14ac:dyDescent="0.35">
      <c r="A201" t="s">
        <v>4748</v>
      </c>
      <c r="B201">
        <f t="shared" si="27"/>
        <v>10</v>
      </c>
      <c r="C201">
        <f t="shared" si="27"/>
        <v>43</v>
      </c>
      <c r="D201">
        <f t="shared" si="27"/>
        <v>54</v>
      </c>
      <c r="E201">
        <f t="shared" si="27"/>
        <v>80</v>
      </c>
      <c r="F201">
        <f t="shared" si="27"/>
        <v>124</v>
      </c>
      <c r="G201">
        <f t="shared" si="27"/>
        <v>145</v>
      </c>
      <c r="H201">
        <f t="shared" si="27"/>
        <v>177</v>
      </c>
      <c r="I201">
        <f t="shared" si="28"/>
        <v>199</v>
      </c>
      <c r="J201">
        <f t="shared" si="28"/>
        <v>232</v>
      </c>
      <c r="K201">
        <f t="shared" si="28"/>
        <v>252</v>
      </c>
      <c r="L201">
        <f t="shared" si="28"/>
        <v>284</v>
      </c>
      <c r="M201">
        <f t="shared" si="28"/>
        <v>299</v>
      </c>
      <c r="N201">
        <f t="shared" si="28"/>
        <v>311</v>
      </c>
      <c r="O201">
        <f t="shared" si="28"/>
        <v>336</v>
      </c>
      <c r="P201">
        <f t="shared" si="28"/>
        <v>354</v>
      </c>
      <c r="Q201">
        <f t="shared" si="28"/>
        <v>380</v>
      </c>
      <c r="S201" t="str">
        <f t="shared" si="29"/>
        <v>28.11.2025</v>
      </c>
      <c r="T201" t="str">
        <f t="shared" si="30"/>
        <v>20:45:00</v>
      </c>
      <c r="U201" t="str">
        <f t="shared" si="31"/>
        <v>28.11.2025 20:45:00</v>
      </c>
      <c r="V201" s="9" t="str">
        <f>MID($A201,C201+C$2+1,D201-C201-C$2-1)</f>
        <v>0</v>
      </c>
      <c r="W201" s="4">
        <f>VALUE(SUBSTITUTE(MID($A201,D201+D$2+1,E201-D201-D$2-1),",","."))</f>
        <v>0</v>
      </c>
      <c r="X201" s="4">
        <f>VALUE(SUBSTITUTE(MID($A201,E201+E$2+1,F201-E201-E$2-1),",","."))</f>
        <v>0.90957602214449496</v>
      </c>
      <c r="Y201" s="4">
        <f>VALUE(SUBSTITUTE(MID($A201,F201+F$2+1,G201-F201-F$2-1),",","."))</f>
        <v>0</v>
      </c>
      <c r="Z201" s="3">
        <f>VALUE(SUBSTITUTE(MID($A201,G201+G$2+1,H201-G201-G$2-1),",","."))</f>
        <v>0</v>
      </c>
      <c r="AA201" s="3">
        <f>VALUE(SUBSTITUTE(MID($A201,H201+H$2+1,I201-H201-H$2-1),",","."))</f>
        <v>0</v>
      </c>
      <c r="AB201" s="3">
        <f>VALUE(SUBSTITUTE(MID($A201,I201+I$2+1,J201-I201-I$2-1),",","."))</f>
        <v>0</v>
      </c>
      <c r="AC201" s="3">
        <f>VALUE(SUBSTITUTE(MID($A201,J201+J$2+1,K201-J201-J$2-1),",","."))</f>
        <v>0.95</v>
      </c>
      <c r="AD201" s="3">
        <f>VALUE(SUBSTITUTE(MID($A201,K201+K$2+1,L201-K201-K$2-1),",","."))</f>
        <v>14.04</v>
      </c>
      <c r="AE201" s="3">
        <f>VALUE(SUBSTITUTE(MID($A201,L201+L$2+1,M201-L201-L$2-1),",","."))</f>
        <v>0</v>
      </c>
      <c r="AF201" s="3">
        <f>VALUE(SUBSTITUTE(MID($A201,M201+M$2+1,N201-M201-M$2-1),",","."))</f>
        <v>0</v>
      </c>
      <c r="AG201" s="3">
        <f>VALUE(SUBSTITUTE(MID($A201,N201+N$2+1,O201-N201-N$2-1),",","."))</f>
        <v>4.20910768251861</v>
      </c>
      <c r="AH201" t="str">
        <f>MID($A201,O201+O$2+1,P201-O201-O$2-1)</f>
        <v/>
      </c>
      <c r="AI201" s="8" t="str">
        <f>MID($A201,P201+P$2+1,Q201-P201-P$2-1)</f>
        <v>False</v>
      </c>
      <c r="AK201" t="b">
        <f t="shared" si="32"/>
        <v>0</v>
      </c>
    </row>
    <row r="202" spans="1:37" x14ac:dyDescent="0.35">
      <c r="A202" t="s">
        <v>4749</v>
      </c>
      <c r="B202">
        <f t="shared" si="27"/>
        <v>10</v>
      </c>
      <c r="C202">
        <f t="shared" si="27"/>
        <v>43</v>
      </c>
      <c r="D202">
        <f t="shared" si="27"/>
        <v>54</v>
      </c>
      <c r="E202">
        <f t="shared" si="27"/>
        <v>80</v>
      </c>
      <c r="F202">
        <f t="shared" si="27"/>
        <v>124</v>
      </c>
      <c r="G202">
        <f t="shared" si="27"/>
        <v>145</v>
      </c>
      <c r="H202">
        <f t="shared" si="27"/>
        <v>177</v>
      </c>
      <c r="I202">
        <f t="shared" si="28"/>
        <v>199</v>
      </c>
      <c r="J202">
        <f t="shared" si="28"/>
        <v>232</v>
      </c>
      <c r="K202">
        <f t="shared" si="28"/>
        <v>252</v>
      </c>
      <c r="L202">
        <f t="shared" si="28"/>
        <v>284</v>
      </c>
      <c r="M202">
        <f t="shared" si="28"/>
        <v>299</v>
      </c>
      <c r="N202">
        <f t="shared" si="28"/>
        <v>311</v>
      </c>
      <c r="O202">
        <f t="shared" si="28"/>
        <v>336</v>
      </c>
      <c r="P202">
        <f t="shared" si="28"/>
        <v>354</v>
      </c>
      <c r="Q202">
        <f t="shared" si="28"/>
        <v>380</v>
      </c>
      <c r="S202" t="str">
        <f t="shared" si="29"/>
        <v>28.11.2025</v>
      </c>
      <c r="T202" t="str">
        <f t="shared" si="30"/>
        <v>21:00:00</v>
      </c>
      <c r="U202" t="str">
        <f t="shared" si="31"/>
        <v>28.11.2025 21:00:00</v>
      </c>
      <c r="V202" s="9" t="str">
        <f>MID($A202,C202+C$2+1,D202-C202-C$2-1)</f>
        <v>0</v>
      </c>
      <c r="W202" s="4">
        <f>VALUE(SUBSTITUTE(MID($A202,D202+D$2+1,E202-D202-D$2-1),",","."))</f>
        <v>0</v>
      </c>
      <c r="X202" s="4">
        <f>VALUE(SUBSTITUTE(MID($A202,E202+E$2+1,F202-E202-E$2-1),",","."))</f>
        <v>0.90957602214449496</v>
      </c>
      <c r="Y202" s="4">
        <f>VALUE(SUBSTITUTE(MID($A202,F202+F$2+1,G202-F202-F$2-1),",","."))</f>
        <v>0</v>
      </c>
      <c r="Z202" s="3">
        <f>VALUE(SUBSTITUTE(MID($A202,G202+G$2+1,H202-G202-G$2-1),",","."))</f>
        <v>0</v>
      </c>
      <c r="AA202" s="3">
        <f>VALUE(SUBSTITUTE(MID($A202,H202+H$2+1,I202-H202-H$2-1),",","."))</f>
        <v>0</v>
      </c>
      <c r="AB202" s="3">
        <f>VALUE(SUBSTITUTE(MID($A202,I202+I$2+1,J202-I202-I$2-1),",","."))</f>
        <v>0</v>
      </c>
      <c r="AC202" s="3">
        <f>VALUE(SUBSTITUTE(MID($A202,J202+J$2+1,K202-J202-J$2-1),",","."))</f>
        <v>0.95</v>
      </c>
      <c r="AD202" s="3">
        <f>VALUE(SUBSTITUTE(MID($A202,K202+K$2+1,L202-K202-K$2-1),",","."))</f>
        <v>14.04</v>
      </c>
      <c r="AE202" s="3">
        <f>VALUE(SUBSTITUTE(MID($A202,L202+L$2+1,M202-L202-L$2-1),",","."))</f>
        <v>0</v>
      </c>
      <c r="AF202" s="3">
        <f>VALUE(SUBSTITUTE(MID($A202,M202+M$2+1,N202-M202-M$2-1),",","."))</f>
        <v>0</v>
      </c>
      <c r="AG202" s="3">
        <f>VALUE(SUBSTITUTE(MID($A202,N202+N$2+1,O202-N202-N$2-1),",","."))</f>
        <v>4.2091362024066896</v>
      </c>
      <c r="AH202" t="str">
        <f>MID($A202,O202+O$2+1,P202-O202-O$2-1)</f>
        <v/>
      </c>
      <c r="AI202" s="8" t="str">
        <f>MID($A202,P202+P$2+1,Q202-P202-P$2-1)</f>
        <v>False</v>
      </c>
      <c r="AK202" t="b">
        <f t="shared" si="32"/>
        <v>0</v>
      </c>
    </row>
    <row r="203" spans="1:37" x14ac:dyDescent="0.35">
      <c r="A203" t="s">
        <v>4750</v>
      </c>
      <c r="B203">
        <f t="shared" si="27"/>
        <v>10</v>
      </c>
      <c r="C203">
        <f t="shared" si="27"/>
        <v>43</v>
      </c>
      <c r="D203">
        <f t="shared" si="27"/>
        <v>54</v>
      </c>
      <c r="E203">
        <f t="shared" si="27"/>
        <v>80</v>
      </c>
      <c r="F203">
        <f t="shared" si="27"/>
        <v>124</v>
      </c>
      <c r="G203">
        <f t="shared" si="27"/>
        <v>145</v>
      </c>
      <c r="H203">
        <f t="shared" si="27"/>
        <v>177</v>
      </c>
      <c r="I203">
        <f t="shared" si="28"/>
        <v>199</v>
      </c>
      <c r="J203">
        <f t="shared" si="28"/>
        <v>232</v>
      </c>
      <c r="K203">
        <f t="shared" si="28"/>
        <v>252</v>
      </c>
      <c r="L203">
        <f t="shared" si="28"/>
        <v>284</v>
      </c>
      <c r="M203">
        <f t="shared" si="28"/>
        <v>299</v>
      </c>
      <c r="N203">
        <f t="shared" si="28"/>
        <v>311</v>
      </c>
      <c r="O203">
        <f t="shared" si="28"/>
        <v>336</v>
      </c>
      <c r="P203">
        <f t="shared" si="28"/>
        <v>354</v>
      </c>
      <c r="Q203">
        <f t="shared" si="28"/>
        <v>380</v>
      </c>
      <c r="S203" t="str">
        <f t="shared" si="29"/>
        <v>28.11.2025</v>
      </c>
      <c r="T203" t="str">
        <f t="shared" si="30"/>
        <v>21:15:00</v>
      </c>
      <c r="U203" t="str">
        <f t="shared" si="31"/>
        <v>28.11.2025 21:15:00</v>
      </c>
      <c r="V203" s="9" t="str">
        <f>MID($A203,C203+C$2+1,D203-C203-C$2-1)</f>
        <v>0</v>
      </c>
      <c r="W203" s="4">
        <f>VALUE(SUBSTITUTE(MID($A203,D203+D$2+1,E203-D203-D$2-1),",","."))</f>
        <v>0</v>
      </c>
      <c r="X203" s="4">
        <f>VALUE(SUBSTITUTE(MID($A203,E203+E$2+1,F203-E203-E$2-1),",","."))</f>
        <v>0.90957602214449496</v>
      </c>
      <c r="Y203" s="4">
        <f>VALUE(SUBSTITUTE(MID($A203,F203+F$2+1,G203-F203-F$2-1),",","."))</f>
        <v>0</v>
      </c>
      <c r="Z203" s="3">
        <f>VALUE(SUBSTITUTE(MID($A203,G203+G$2+1,H203-G203-G$2-1),",","."))</f>
        <v>0</v>
      </c>
      <c r="AA203" s="3">
        <f>VALUE(SUBSTITUTE(MID($A203,H203+H$2+1,I203-H203-H$2-1),",","."))</f>
        <v>0</v>
      </c>
      <c r="AB203" s="3">
        <f>VALUE(SUBSTITUTE(MID($A203,I203+I$2+1,J203-I203-I$2-1),",","."))</f>
        <v>0</v>
      </c>
      <c r="AC203" s="3">
        <f>VALUE(SUBSTITUTE(MID($A203,J203+J$2+1,K203-J203-J$2-1),",","."))</f>
        <v>0.95</v>
      </c>
      <c r="AD203" s="3">
        <f>VALUE(SUBSTITUTE(MID($A203,K203+K$2+1,L203-K203-K$2-1),",","."))</f>
        <v>14.04</v>
      </c>
      <c r="AE203" s="3">
        <f>VALUE(SUBSTITUTE(MID($A203,L203+L$2+1,M203-L203-L$2-1),",","."))</f>
        <v>0</v>
      </c>
      <c r="AF203" s="3">
        <f>VALUE(SUBSTITUTE(MID($A203,M203+M$2+1,N203-M203-M$2-1),",","."))</f>
        <v>0</v>
      </c>
      <c r="AG203" s="3">
        <f>VALUE(SUBSTITUTE(MID($A203,N203+N$2+1,O203-N203-N$2-1),",","."))</f>
        <v>4.2091647222947701</v>
      </c>
      <c r="AH203" t="str">
        <f>MID($A203,O203+O$2+1,P203-O203-O$2-1)</f>
        <v/>
      </c>
      <c r="AI203" s="8" t="str">
        <f>MID($A203,P203+P$2+1,Q203-P203-P$2-1)</f>
        <v>False</v>
      </c>
      <c r="AK203" t="b">
        <f t="shared" si="32"/>
        <v>0</v>
      </c>
    </row>
    <row r="204" spans="1:37" x14ac:dyDescent="0.35">
      <c r="A204" t="s">
        <v>4751</v>
      </c>
      <c r="B204">
        <f t="shared" si="27"/>
        <v>10</v>
      </c>
      <c r="C204">
        <f t="shared" si="27"/>
        <v>43</v>
      </c>
      <c r="D204">
        <f t="shared" si="27"/>
        <v>54</v>
      </c>
      <c r="E204">
        <f t="shared" si="27"/>
        <v>80</v>
      </c>
      <c r="F204">
        <f t="shared" si="27"/>
        <v>124</v>
      </c>
      <c r="G204">
        <f t="shared" si="27"/>
        <v>145</v>
      </c>
      <c r="H204">
        <f t="shared" si="27"/>
        <v>177</v>
      </c>
      <c r="I204">
        <f t="shared" si="28"/>
        <v>199</v>
      </c>
      <c r="J204">
        <f t="shared" si="28"/>
        <v>232</v>
      </c>
      <c r="K204">
        <f t="shared" si="28"/>
        <v>251</v>
      </c>
      <c r="L204">
        <f t="shared" si="28"/>
        <v>283</v>
      </c>
      <c r="M204">
        <f t="shared" si="28"/>
        <v>298</v>
      </c>
      <c r="N204">
        <f t="shared" si="28"/>
        <v>310</v>
      </c>
      <c r="O204">
        <f t="shared" si="28"/>
        <v>335</v>
      </c>
      <c r="P204">
        <f t="shared" si="28"/>
        <v>353</v>
      </c>
      <c r="Q204">
        <f t="shared" si="28"/>
        <v>379</v>
      </c>
      <c r="S204" t="str">
        <f t="shared" si="29"/>
        <v>28.11.2025</v>
      </c>
      <c r="T204" t="str">
        <f t="shared" si="30"/>
        <v>21:30:00</v>
      </c>
      <c r="U204" t="str">
        <f t="shared" si="31"/>
        <v>28.11.2025 21:30:00</v>
      </c>
      <c r="V204" s="9" t="str">
        <f>MID($A204,C204+C$2+1,D204-C204-C$2-1)</f>
        <v>0</v>
      </c>
      <c r="W204" s="4">
        <f>VALUE(SUBSTITUTE(MID($A204,D204+D$2+1,E204-D204-D$2-1),",","."))</f>
        <v>0</v>
      </c>
      <c r="X204" s="4">
        <f>VALUE(SUBSTITUTE(MID($A204,E204+E$2+1,F204-E204-E$2-1),",","."))</f>
        <v>0.90957602214449496</v>
      </c>
      <c r="Y204" s="4">
        <f>VALUE(SUBSTITUTE(MID($A204,F204+F$2+1,G204-F204-F$2-1),",","."))</f>
        <v>0</v>
      </c>
      <c r="Z204" s="3">
        <f>VALUE(SUBSTITUTE(MID($A204,G204+G$2+1,H204-G204-G$2-1),",","."))</f>
        <v>0</v>
      </c>
      <c r="AA204" s="3">
        <f>VALUE(SUBSTITUTE(MID($A204,H204+H$2+1,I204-H204-H$2-1),",","."))</f>
        <v>0</v>
      </c>
      <c r="AB204" s="3">
        <f>VALUE(SUBSTITUTE(MID($A204,I204+I$2+1,J204-I204-I$2-1),",","."))</f>
        <v>0</v>
      </c>
      <c r="AC204" s="3">
        <f>VALUE(SUBSTITUTE(MID($A204,J204+J$2+1,K204-J204-J$2-1),",","."))</f>
        <v>1.1000000000000001</v>
      </c>
      <c r="AD204" s="3">
        <f>VALUE(SUBSTITUTE(MID($A204,K204+K$2+1,L204-K204-K$2-1),",","."))</f>
        <v>12.6</v>
      </c>
      <c r="AE204" s="3">
        <f>VALUE(SUBSTITUTE(MID($A204,L204+L$2+1,M204-L204-L$2-1),",","."))</f>
        <v>0</v>
      </c>
      <c r="AF204" s="3">
        <f>VALUE(SUBSTITUTE(MID($A204,M204+M$2+1,N204-M204-M$2-1),",","."))</f>
        <v>0</v>
      </c>
      <c r="AG204" s="3">
        <f>VALUE(SUBSTITUTE(MID($A204,N204+N$2+1,O204-N204-N$2-1),",","."))</f>
        <v>4.2091932421828497</v>
      </c>
      <c r="AH204" t="str">
        <f>MID($A204,O204+O$2+1,P204-O204-O$2-1)</f>
        <v/>
      </c>
      <c r="AI204" s="8" t="str">
        <f>MID($A204,P204+P$2+1,Q204-P204-P$2-1)</f>
        <v>False</v>
      </c>
      <c r="AK204" t="b">
        <f t="shared" si="32"/>
        <v>0</v>
      </c>
    </row>
    <row r="205" spans="1:37" x14ac:dyDescent="0.35">
      <c r="A205" t="s">
        <v>4752</v>
      </c>
      <c r="B205">
        <f t="shared" si="27"/>
        <v>10</v>
      </c>
      <c r="C205">
        <f t="shared" si="27"/>
        <v>43</v>
      </c>
      <c r="D205">
        <f t="shared" si="27"/>
        <v>54</v>
      </c>
      <c r="E205">
        <f t="shared" si="27"/>
        <v>80</v>
      </c>
      <c r="F205">
        <f t="shared" si="27"/>
        <v>124</v>
      </c>
      <c r="G205">
        <f t="shared" si="27"/>
        <v>145</v>
      </c>
      <c r="H205">
        <f t="shared" si="27"/>
        <v>177</v>
      </c>
      <c r="I205">
        <f t="shared" si="28"/>
        <v>199</v>
      </c>
      <c r="J205">
        <f t="shared" si="28"/>
        <v>232</v>
      </c>
      <c r="K205">
        <f t="shared" si="28"/>
        <v>251</v>
      </c>
      <c r="L205">
        <f t="shared" si="28"/>
        <v>283</v>
      </c>
      <c r="M205">
        <f t="shared" si="28"/>
        <v>298</v>
      </c>
      <c r="N205">
        <f t="shared" si="28"/>
        <v>310</v>
      </c>
      <c r="O205">
        <f t="shared" si="28"/>
        <v>334</v>
      </c>
      <c r="P205">
        <f t="shared" si="28"/>
        <v>352</v>
      </c>
      <c r="Q205">
        <f t="shared" si="28"/>
        <v>378</v>
      </c>
      <c r="S205" t="str">
        <f t="shared" si="29"/>
        <v>28.11.2025</v>
      </c>
      <c r="T205" t="str">
        <f t="shared" si="30"/>
        <v>21:45:00</v>
      </c>
      <c r="U205" t="str">
        <f t="shared" si="31"/>
        <v>28.11.2025 21:45:00</v>
      </c>
      <c r="V205" s="9" t="str">
        <f>MID($A205,C205+C$2+1,D205-C205-C$2-1)</f>
        <v>0</v>
      </c>
      <c r="W205" s="4">
        <f>VALUE(SUBSTITUTE(MID($A205,D205+D$2+1,E205-D205-D$2-1),",","."))</f>
        <v>0</v>
      </c>
      <c r="X205" s="4">
        <f>VALUE(SUBSTITUTE(MID($A205,E205+E$2+1,F205-E205-E$2-1),",","."))</f>
        <v>0.90957602214449496</v>
      </c>
      <c r="Y205" s="4">
        <f>VALUE(SUBSTITUTE(MID($A205,F205+F$2+1,G205-F205-F$2-1),",","."))</f>
        <v>0</v>
      </c>
      <c r="Z205" s="3">
        <f>VALUE(SUBSTITUTE(MID($A205,G205+G$2+1,H205-G205-G$2-1),",","."))</f>
        <v>0</v>
      </c>
      <c r="AA205" s="3">
        <f>VALUE(SUBSTITUTE(MID($A205,H205+H$2+1,I205-H205-H$2-1),",","."))</f>
        <v>0</v>
      </c>
      <c r="AB205" s="3">
        <f>VALUE(SUBSTITUTE(MID($A205,I205+I$2+1,J205-I205-I$2-1),",","."))</f>
        <v>0</v>
      </c>
      <c r="AC205" s="3">
        <f>VALUE(SUBSTITUTE(MID($A205,J205+J$2+1,K205-J205-J$2-1),",","."))</f>
        <v>1.1000000000000001</v>
      </c>
      <c r="AD205" s="3">
        <f>VALUE(SUBSTITUTE(MID($A205,K205+K$2+1,L205-K205-K$2-1),",","."))</f>
        <v>12.6</v>
      </c>
      <c r="AE205" s="3">
        <f>VALUE(SUBSTITUTE(MID($A205,L205+L$2+1,M205-L205-L$2-1),",","."))</f>
        <v>0</v>
      </c>
      <c r="AF205" s="3">
        <f>VALUE(SUBSTITUTE(MID($A205,M205+M$2+1,N205-M205-M$2-1),",","."))</f>
        <v>0</v>
      </c>
      <c r="AG205" s="3">
        <f>VALUE(SUBSTITUTE(MID($A205,N205+N$2+1,O205-N205-N$2-1),",","."))</f>
        <v>4.20922176207094</v>
      </c>
      <c r="AH205" t="str">
        <f>MID($A205,O205+O$2+1,P205-O205-O$2-1)</f>
        <v/>
      </c>
      <c r="AI205" s="8" t="str">
        <f>MID($A205,P205+P$2+1,Q205-P205-P$2-1)</f>
        <v>False</v>
      </c>
      <c r="AK205" t="b">
        <f t="shared" si="32"/>
        <v>0</v>
      </c>
    </row>
    <row r="206" spans="1:37" x14ac:dyDescent="0.35">
      <c r="A206" t="s">
        <v>4753</v>
      </c>
      <c r="B206">
        <f t="shared" si="27"/>
        <v>10</v>
      </c>
      <c r="C206">
        <f t="shared" si="27"/>
        <v>43</v>
      </c>
      <c r="D206">
        <f t="shared" si="27"/>
        <v>54</v>
      </c>
      <c r="E206">
        <f t="shared" si="27"/>
        <v>80</v>
      </c>
      <c r="F206">
        <f t="shared" si="27"/>
        <v>124</v>
      </c>
      <c r="G206">
        <f t="shared" si="27"/>
        <v>145</v>
      </c>
      <c r="H206">
        <f t="shared" si="27"/>
        <v>177</v>
      </c>
      <c r="I206">
        <f t="shared" si="28"/>
        <v>199</v>
      </c>
      <c r="J206">
        <f t="shared" si="28"/>
        <v>232</v>
      </c>
      <c r="K206">
        <f t="shared" si="28"/>
        <v>251</v>
      </c>
      <c r="L206">
        <f t="shared" si="28"/>
        <v>283</v>
      </c>
      <c r="M206">
        <f t="shared" si="28"/>
        <v>298</v>
      </c>
      <c r="N206">
        <f t="shared" si="28"/>
        <v>310</v>
      </c>
      <c r="O206">
        <f t="shared" si="28"/>
        <v>335</v>
      </c>
      <c r="P206">
        <f t="shared" si="28"/>
        <v>353</v>
      </c>
      <c r="Q206">
        <f t="shared" si="28"/>
        <v>379</v>
      </c>
      <c r="S206" t="str">
        <f t="shared" si="29"/>
        <v>28.11.2025</v>
      </c>
      <c r="T206" t="str">
        <f t="shared" si="30"/>
        <v>22:00:00</v>
      </c>
      <c r="U206" t="str">
        <f t="shared" si="31"/>
        <v>28.11.2025 22:00:00</v>
      </c>
      <c r="V206" s="9" t="str">
        <f>MID($A206,C206+C$2+1,D206-C206-C$2-1)</f>
        <v>0</v>
      </c>
      <c r="W206" s="4">
        <f>VALUE(SUBSTITUTE(MID($A206,D206+D$2+1,E206-D206-D$2-1),",","."))</f>
        <v>0</v>
      </c>
      <c r="X206" s="4">
        <f>VALUE(SUBSTITUTE(MID($A206,E206+E$2+1,F206-E206-E$2-1),",","."))</f>
        <v>0.90957602214449496</v>
      </c>
      <c r="Y206" s="4">
        <f>VALUE(SUBSTITUTE(MID($A206,F206+F$2+1,G206-F206-F$2-1),",","."))</f>
        <v>0</v>
      </c>
      <c r="Z206" s="3">
        <f>VALUE(SUBSTITUTE(MID($A206,G206+G$2+1,H206-G206-G$2-1),",","."))</f>
        <v>0</v>
      </c>
      <c r="AA206" s="3">
        <f>VALUE(SUBSTITUTE(MID($A206,H206+H$2+1,I206-H206-H$2-1),",","."))</f>
        <v>0</v>
      </c>
      <c r="AB206" s="3">
        <f>VALUE(SUBSTITUTE(MID($A206,I206+I$2+1,J206-I206-I$2-1),",","."))</f>
        <v>0</v>
      </c>
      <c r="AC206" s="3">
        <f>VALUE(SUBSTITUTE(MID($A206,J206+J$2+1,K206-J206-J$2-1),",","."))</f>
        <v>1.1000000000000001</v>
      </c>
      <c r="AD206" s="3">
        <f>VALUE(SUBSTITUTE(MID($A206,K206+K$2+1,L206-K206-K$2-1),",","."))</f>
        <v>12.6</v>
      </c>
      <c r="AE206" s="3">
        <f>VALUE(SUBSTITUTE(MID($A206,L206+L$2+1,M206-L206-L$2-1),",","."))</f>
        <v>0</v>
      </c>
      <c r="AF206" s="3">
        <f>VALUE(SUBSTITUTE(MID($A206,M206+M$2+1,N206-M206-M$2-1),",","."))</f>
        <v>0</v>
      </c>
      <c r="AG206" s="3">
        <f>VALUE(SUBSTITUTE(MID($A206,N206+N$2+1,O206-N206-N$2-1),",","."))</f>
        <v>4.2092502819590196</v>
      </c>
      <c r="AH206" t="str">
        <f>MID($A206,O206+O$2+1,P206-O206-O$2-1)</f>
        <v/>
      </c>
      <c r="AI206" s="8" t="str">
        <f>MID($A206,P206+P$2+1,Q206-P206-P$2-1)</f>
        <v>False</v>
      </c>
      <c r="AK206" t="b">
        <f t="shared" si="32"/>
        <v>0</v>
      </c>
    </row>
    <row r="207" spans="1:37" x14ac:dyDescent="0.35">
      <c r="A207" t="s">
        <v>4754</v>
      </c>
      <c r="B207">
        <f t="shared" si="27"/>
        <v>10</v>
      </c>
      <c r="C207">
        <f t="shared" si="27"/>
        <v>43</v>
      </c>
      <c r="D207">
        <f t="shared" si="27"/>
        <v>54</v>
      </c>
      <c r="E207">
        <f t="shared" si="27"/>
        <v>80</v>
      </c>
      <c r="F207">
        <f t="shared" si="27"/>
        <v>124</v>
      </c>
      <c r="G207">
        <f t="shared" si="27"/>
        <v>145</v>
      </c>
      <c r="H207">
        <f t="shared" si="27"/>
        <v>177</v>
      </c>
      <c r="I207">
        <f t="shared" si="28"/>
        <v>199</v>
      </c>
      <c r="J207">
        <f t="shared" si="28"/>
        <v>232</v>
      </c>
      <c r="K207">
        <f t="shared" si="28"/>
        <v>251</v>
      </c>
      <c r="L207">
        <f t="shared" si="28"/>
        <v>283</v>
      </c>
      <c r="M207">
        <f t="shared" si="28"/>
        <v>298</v>
      </c>
      <c r="N207">
        <f t="shared" si="28"/>
        <v>310</v>
      </c>
      <c r="O207">
        <f t="shared" si="28"/>
        <v>335</v>
      </c>
      <c r="P207">
        <f t="shared" si="28"/>
        <v>353</v>
      </c>
      <c r="Q207">
        <f t="shared" si="28"/>
        <v>379</v>
      </c>
      <c r="S207" t="str">
        <f t="shared" si="29"/>
        <v>28.11.2025</v>
      </c>
      <c r="T207" t="str">
        <f t="shared" si="30"/>
        <v>22:15:00</v>
      </c>
      <c r="U207" t="str">
        <f t="shared" si="31"/>
        <v>28.11.2025 22:15:00</v>
      </c>
      <c r="V207" s="9" t="str">
        <f>MID($A207,C207+C$2+1,D207-C207-C$2-1)</f>
        <v>0</v>
      </c>
      <c r="W207" s="4">
        <f>VALUE(SUBSTITUTE(MID($A207,D207+D$2+1,E207-D207-D$2-1),",","."))</f>
        <v>0</v>
      </c>
      <c r="X207" s="4">
        <f>VALUE(SUBSTITUTE(MID($A207,E207+E$2+1,F207-E207-E$2-1),",","."))</f>
        <v>0.90957602214449496</v>
      </c>
      <c r="Y207" s="4">
        <f>VALUE(SUBSTITUTE(MID($A207,F207+F$2+1,G207-F207-F$2-1),",","."))</f>
        <v>0</v>
      </c>
      <c r="Z207" s="3">
        <f>VALUE(SUBSTITUTE(MID($A207,G207+G$2+1,H207-G207-G$2-1),",","."))</f>
        <v>0</v>
      </c>
      <c r="AA207" s="3">
        <f>VALUE(SUBSTITUTE(MID($A207,H207+H$2+1,I207-H207-H$2-1),",","."))</f>
        <v>0</v>
      </c>
      <c r="AB207" s="3">
        <f>VALUE(SUBSTITUTE(MID($A207,I207+I$2+1,J207-I207-I$2-1),",","."))</f>
        <v>0</v>
      </c>
      <c r="AC207" s="3">
        <f>VALUE(SUBSTITUTE(MID($A207,J207+J$2+1,K207-J207-J$2-1),",","."))</f>
        <v>1.1000000000000001</v>
      </c>
      <c r="AD207" s="3">
        <f>VALUE(SUBSTITUTE(MID($A207,K207+K$2+1,L207-K207-K$2-1),",","."))</f>
        <v>12.6</v>
      </c>
      <c r="AE207" s="3">
        <f>VALUE(SUBSTITUTE(MID($A207,L207+L$2+1,M207-L207-L$2-1),",","."))</f>
        <v>0</v>
      </c>
      <c r="AF207" s="3">
        <f>VALUE(SUBSTITUTE(MID($A207,M207+M$2+1,N207-M207-M$2-1),",","."))</f>
        <v>0</v>
      </c>
      <c r="AG207" s="3">
        <f>VALUE(SUBSTITUTE(MID($A207,N207+N$2+1,O207-N207-N$2-1),",","."))</f>
        <v>4.2092788018471001</v>
      </c>
      <c r="AH207" t="str">
        <f>MID($A207,O207+O$2+1,P207-O207-O$2-1)</f>
        <v/>
      </c>
      <c r="AI207" s="8" t="str">
        <f>MID($A207,P207+P$2+1,Q207-P207-P$2-1)</f>
        <v>False</v>
      </c>
      <c r="AK207" t="b">
        <f t="shared" si="32"/>
        <v>0</v>
      </c>
    </row>
    <row r="208" spans="1:37" x14ac:dyDescent="0.35">
      <c r="A208" t="s">
        <v>4755</v>
      </c>
      <c r="B208">
        <f t="shared" si="27"/>
        <v>10</v>
      </c>
      <c r="C208">
        <f t="shared" si="27"/>
        <v>43</v>
      </c>
      <c r="D208">
        <f t="shared" si="27"/>
        <v>54</v>
      </c>
      <c r="E208">
        <f t="shared" si="27"/>
        <v>80</v>
      </c>
      <c r="F208">
        <f t="shared" si="27"/>
        <v>124</v>
      </c>
      <c r="G208">
        <f t="shared" si="27"/>
        <v>145</v>
      </c>
      <c r="H208">
        <f t="shared" si="27"/>
        <v>177</v>
      </c>
      <c r="I208">
        <f t="shared" si="28"/>
        <v>199</v>
      </c>
      <c r="J208">
        <f t="shared" si="28"/>
        <v>232</v>
      </c>
      <c r="K208">
        <f t="shared" si="28"/>
        <v>266</v>
      </c>
      <c r="L208">
        <f t="shared" si="28"/>
        <v>285</v>
      </c>
      <c r="M208">
        <f t="shared" si="28"/>
        <v>300</v>
      </c>
      <c r="N208">
        <f t="shared" si="28"/>
        <v>312</v>
      </c>
      <c r="O208">
        <f t="shared" si="28"/>
        <v>337</v>
      </c>
      <c r="P208">
        <f t="shared" si="28"/>
        <v>355</v>
      </c>
      <c r="Q208">
        <f t="shared" si="28"/>
        <v>381</v>
      </c>
      <c r="S208" t="str">
        <f t="shared" si="29"/>
        <v>28.11.2025</v>
      </c>
      <c r="T208" t="str">
        <f t="shared" si="30"/>
        <v>22:30:00</v>
      </c>
      <c r="U208" t="str">
        <f t="shared" si="31"/>
        <v>28.11.2025 22:30:00</v>
      </c>
      <c r="V208" s="9" t="str">
        <f>MID($A208,C208+C$2+1,D208-C208-C$2-1)</f>
        <v>0</v>
      </c>
      <c r="W208" s="4">
        <f>VALUE(SUBSTITUTE(MID($A208,D208+D$2+1,E208-D208-D$2-1),",","."))</f>
        <v>0</v>
      </c>
      <c r="X208" s="4">
        <f>VALUE(SUBSTITUTE(MID($A208,E208+E$2+1,F208-E208-E$2-1),",","."))</f>
        <v>0.90957602214449496</v>
      </c>
      <c r="Y208" s="4">
        <f>VALUE(SUBSTITUTE(MID($A208,F208+F$2+1,G208-F208-F$2-1),",","."))</f>
        <v>0</v>
      </c>
      <c r="Z208" s="3">
        <f>VALUE(SUBSTITUTE(MID($A208,G208+G$2+1,H208-G208-G$2-1),",","."))</f>
        <v>0</v>
      </c>
      <c r="AA208" s="3">
        <f>VALUE(SUBSTITUTE(MID($A208,H208+H$2+1,I208-H208-H$2-1),",","."))</f>
        <v>0</v>
      </c>
      <c r="AB208" s="3">
        <f>VALUE(SUBSTITUTE(MID($A208,I208+I$2+1,J208-I208-I$2-1),",","."))</f>
        <v>0</v>
      </c>
      <c r="AC208" s="3">
        <f>VALUE(SUBSTITUTE(MID($A208,J208+J$2+1,K208-J208-J$2-1),",","."))</f>
        <v>0.85</v>
      </c>
      <c r="AD208" s="3">
        <f>VALUE(SUBSTITUTE(MID($A208,K208+K$2+1,L208-K208-K$2-1),",","."))</f>
        <v>10.08</v>
      </c>
      <c r="AE208" s="3">
        <f>VALUE(SUBSTITUTE(MID($A208,L208+L$2+1,M208-L208-L$2-1),",","."))</f>
        <v>0</v>
      </c>
      <c r="AF208" s="3">
        <f>VALUE(SUBSTITUTE(MID($A208,M208+M$2+1,N208-M208-M$2-1),",","."))</f>
        <v>0</v>
      </c>
      <c r="AG208" s="3">
        <f>VALUE(SUBSTITUTE(MID($A208,N208+N$2+1,O208-N208-N$2-1),",","."))</f>
        <v>4.2093073217351797</v>
      </c>
      <c r="AH208" t="str">
        <f>MID($A208,O208+O$2+1,P208-O208-O$2-1)</f>
        <v/>
      </c>
      <c r="AI208" s="8" t="str">
        <f>MID($A208,P208+P$2+1,Q208-P208-P$2-1)</f>
        <v>False</v>
      </c>
      <c r="AK208" t="b">
        <f t="shared" si="32"/>
        <v>0</v>
      </c>
    </row>
    <row r="209" spans="1:37" x14ac:dyDescent="0.35">
      <c r="A209" t="s">
        <v>4756</v>
      </c>
      <c r="B209">
        <f t="shared" si="27"/>
        <v>10</v>
      </c>
      <c r="C209">
        <f t="shared" si="27"/>
        <v>43</v>
      </c>
      <c r="D209">
        <f t="shared" si="27"/>
        <v>54</v>
      </c>
      <c r="E209">
        <f t="shared" si="27"/>
        <v>80</v>
      </c>
      <c r="F209">
        <f t="shared" si="27"/>
        <v>124</v>
      </c>
      <c r="G209">
        <f t="shared" si="27"/>
        <v>145</v>
      </c>
      <c r="H209">
        <f t="shared" si="27"/>
        <v>177</v>
      </c>
      <c r="I209">
        <f t="shared" si="28"/>
        <v>199</v>
      </c>
      <c r="J209">
        <f t="shared" si="28"/>
        <v>232</v>
      </c>
      <c r="K209">
        <f t="shared" si="28"/>
        <v>266</v>
      </c>
      <c r="L209">
        <f t="shared" si="28"/>
        <v>285</v>
      </c>
      <c r="M209">
        <f t="shared" si="28"/>
        <v>300</v>
      </c>
      <c r="N209">
        <f t="shared" si="28"/>
        <v>312</v>
      </c>
      <c r="O209">
        <f t="shared" si="28"/>
        <v>337</v>
      </c>
      <c r="P209">
        <f t="shared" si="28"/>
        <v>355</v>
      </c>
      <c r="Q209">
        <f t="shared" si="28"/>
        <v>381</v>
      </c>
      <c r="S209" t="str">
        <f t="shared" si="29"/>
        <v>28.11.2025</v>
      </c>
      <c r="T209" t="str">
        <f t="shared" si="30"/>
        <v>22:45:00</v>
      </c>
      <c r="U209" t="str">
        <f t="shared" si="31"/>
        <v>28.11.2025 22:45:00</v>
      </c>
      <c r="V209" s="9" t="str">
        <f>MID($A209,C209+C$2+1,D209-C209-C$2-1)</f>
        <v>0</v>
      </c>
      <c r="W209" s="4">
        <f>VALUE(SUBSTITUTE(MID($A209,D209+D$2+1,E209-D209-D$2-1),",","."))</f>
        <v>0</v>
      </c>
      <c r="X209" s="4">
        <f>VALUE(SUBSTITUTE(MID($A209,E209+E$2+1,F209-E209-E$2-1),",","."))</f>
        <v>0.90957602214449496</v>
      </c>
      <c r="Y209" s="4">
        <f>VALUE(SUBSTITUTE(MID($A209,F209+F$2+1,G209-F209-F$2-1),",","."))</f>
        <v>0</v>
      </c>
      <c r="Z209" s="3">
        <f>VALUE(SUBSTITUTE(MID($A209,G209+G$2+1,H209-G209-G$2-1),",","."))</f>
        <v>0</v>
      </c>
      <c r="AA209" s="3">
        <f>VALUE(SUBSTITUTE(MID($A209,H209+H$2+1,I209-H209-H$2-1),",","."))</f>
        <v>0</v>
      </c>
      <c r="AB209" s="3">
        <f>VALUE(SUBSTITUTE(MID($A209,I209+I$2+1,J209-I209-I$2-1),",","."))</f>
        <v>0</v>
      </c>
      <c r="AC209" s="3">
        <f>VALUE(SUBSTITUTE(MID($A209,J209+J$2+1,K209-J209-J$2-1),",","."))</f>
        <v>0.85</v>
      </c>
      <c r="AD209" s="3">
        <f>VALUE(SUBSTITUTE(MID($A209,K209+K$2+1,L209-K209-K$2-1),",","."))</f>
        <v>10.08</v>
      </c>
      <c r="AE209" s="3">
        <f>VALUE(SUBSTITUTE(MID($A209,L209+L$2+1,M209-L209-L$2-1),",","."))</f>
        <v>0</v>
      </c>
      <c r="AF209" s="3">
        <f>VALUE(SUBSTITUTE(MID($A209,M209+M$2+1,N209-M209-M$2-1),",","."))</f>
        <v>0</v>
      </c>
      <c r="AG209" s="3">
        <f>VALUE(SUBSTITUTE(MID($A209,N209+N$2+1,O209-N209-N$2-1),",","."))</f>
        <v>4.2093358416232602</v>
      </c>
      <c r="AH209" t="str">
        <f>MID($A209,O209+O$2+1,P209-O209-O$2-1)</f>
        <v/>
      </c>
      <c r="AI209" s="8" t="str">
        <f>MID($A209,P209+P$2+1,Q209-P209-P$2-1)</f>
        <v>False</v>
      </c>
      <c r="AK209" t="b">
        <f t="shared" si="32"/>
        <v>0</v>
      </c>
    </row>
    <row r="210" spans="1:37" x14ac:dyDescent="0.35">
      <c r="A210" t="s">
        <v>4757</v>
      </c>
      <c r="B210">
        <f t="shared" si="27"/>
        <v>10</v>
      </c>
      <c r="C210">
        <f t="shared" si="27"/>
        <v>43</v>
      </c>
      <c r="D210">
        <f t="shared" si="27"/>
        <v>54</v>
      </c>
      <c r="E210">
        <f t="shared" si="27"/>
        <v>80</v>
      </c>
      <c r="F210">
        <f t="shared" si="27"/>
        <v>124</v>
      </c>
      <c r="G210">
        <f t="shared" si="27"/>
        <v>145</v>
      </c>
      <c r="H210">
        <f t="shared" si="27"/>
        <v>177</v>
      </c>
      <c r="I210">
        <f t="shared" si="28"/>
        <v>199</v>
      </c>
      <c r="J210">
        <f t="shared" si="28"/>
        <v>232</v>
      </c>
      <c r="K210">
        <f t="shared" si="28"/>
        <v>266</v>
      </c>
      <c r="L210">
        <f t="shared" si="28"/>
        <v>285</v>
      </c>
      <c r="M210">
        <f t="shared" si="28"/>
        <v>300</v>
      </c>
      <c r="N210">
        <f t="shared" si="28"/>
        <v>312</v>
      </c>
      <c r="O210">
        <f t="shared" si="28"/>
        <v>337</v>
      </c>
      <c r="P210">
        <f t="shared" si="28"/>
        <v>355</v>
      </c>
      <c r="Q210">
        <f t="shared" si="28"/>
        <v>381</v>
      </c>
      <c r="S210" t="str">
        <f t="shared" si="29"/>
        <v>28.11.2025</v>
      </c>
      <c r="T210" t="str">
        <f t="shared" si="30"/>
        <v>23:00:00</v>
      </c>
      <c r="U210" t="str">
        <f t="shared" si="31"/>
        <v>28.11.2025 23:00:00</v>
      </c>
      <c r="V210" s="9" t="str">
        <f>MID($A210,C210+C$2+1,D210-C210-C$2-1)</f>
        <v>0</v>
      </c>
      <c r="W210" s="4">
        <f>VALUE(SUBSTITUTE(MID($A210,D210+D$2+1,E210-D210-D$2-1),",","."))</f>
        <v>0</v>
      </c>
      <c r="X210" s="4">
        <f>VALUE(SUBSTITUTE(MID($A210,E210+E$2+1,F210-E210-E$2-1),",","."))</f>
        <v>0.90957602214449496</v>
      </c>
      <c r="Y210" s="4">
        <f>VALUE(SUBSTITUTE(MID($A210,F210+F$2+1,G210-F210-F$2-1),",","."))</f>
        <v>0</v>
      </c>
      <c r="Z210" s="3">
        <f>VALUE(SUBSTITUTE(MID($A210,G210+G$2+1,H210-G210-G$2-1),",","."))</f>
        <v>0</v>
      </c>
      <c r="AA210" s="3">
        <f>VALUE(SUBSTITUTE(MID($A210,H210+H$2+1,I210-H210-H$2-1),",","."))</f>
        <v>0</v>
      </c>
      <c r="AB210" s="3">
        <f>VALUE(SUBSTITUTE(MID($A210,I210+I$2+1,J210-I210-I$2-1),",","."))</f>
        <v>0</v>
      </c>
      <c r="AC210" s="3">
        <f>VALUE(SUBSTITUTE(MID($A210,J210+J$2+1,K210-J210-J$2-1),",","."))</f>
        <v>0.85</v>
      </c>
      <c r="AD210" s="3">
        <f>VALUE(SUBSTITUTE(MID($A210,K210+K$2+1,L210-K210-K$2-1),",","."))</f>
        <v>10.08</v>
      </c>
      <c r="AE210" s="3">
        <f>VALUE(SUBSTITUTE(MID($A210,L210+L$2+1,M210-L210-L$2-1),",","."))</f>
        <v>0</v>
      </c>
      <c r="AF210" s="3">
        <f>VALUE(SUBSTITUTE(MID($A210,M210+M$2+1,N210-M210-M$2-1),",","."))</f>
        <v>0</v>
      </c>
      <c r="AG210" s="3">
        <f>VALUE(SUBSTITUTE(MID($A210,N210+N$2+1,O210-N210-N$2-1),",","."))</f>
        <v>4.2093643615113399</v>
      </c>
      <c r="AH210" t="str">
        <f>MID($A210,O210+O$2+1,P210-O210-O$2-1)</f>
        <v/>
      </c>
      <c r="AI210" s="8" t="str">
        <f>MID($A210,P210+P$2+1,Q210-P210-P$2-1)</f>
        <v>False</v>
      </c>
      <c r="AK210" t="b">
        <f t="shared" si="32"/>
        <v>0</v>
      </c>
    </row>
    <row r="211" spans="1:37" x14ac:dyDescent="0.35">
      <c r="A211" t="s">
        <v>4758</v>
      </c>
      <c r="B211">
        <f t="shared" si="27"/>
        <v>10</v>
      </c>
      <c r="C211">
        <f t="shared" si="27"/>
        <v>43</v>
      </c>
      <c r="D211">
        <f t="shared" si="27"/>
        <v>54</v>
      </c>
      <c r="E211">
        <f t="shared" si="27"/>
        <v>80</v>
      </c>
      <c r="F211">
        <f t="shared" si="27"/>
        <v>124</v>
      </c>
      <c r="G211">
        <f t="shared" si="27"/>
        <v>145</v>
      </c>
      <c r="H211">
        <f t="shared" ref="H211:P266" si="33">FIND(H$1,$A211)</f>
        <v>177</v>
      </c>
      <c r="I211">
        <f t="shared" si="28"/>
        <v>199</v>
      </c>
      <c r="J211">
        <f t="shared" si="28"/>
        <v>232</v>
      </c>
      <c r="K211">
        <f t="shared" si="28"/>
        <v>266</v>
      </c>
      <c r="L211">
        <f t="shared" si="28"/>
        <v>285</v>
      </c>
      <c r="M211">
        <f t="shared" si="28"/>
        <v>300</v>
      </c>
      <c r="N211">
        <f t="shared" si="28"/>
        <v>312</v>
      </c>
      <c r="O211">
        <f t="shared" si="28"/>
        <v>337</v>
      </c>
      <c r="P211">
        <f t="shared" si="28"/>
        <v>355</v>
      </c>
      <c r="Q211">
        <f t="shared" si="28"/>
        <v>381</v>
      </c>
      <c r="S211" t="str">
        <f t="shared" si="29"/>
        <v>28.11.2025</v>
      </c>
      <c r="T211" t="str">
        <f t="shared" si="30"/>
        <v>23:15:00</v>
      </c>
      <c r="U211" t="str">
        <f t="shared" si="31"/>
        <v>28.11.2025 23:15:00</v>
      </c>
      <c r="V211" s="9" t="str">
        <f>MID($A211,C211+C$2+1,D211-C211-C$2-1)</f>
        <v>0</v>
      </c>
      <c r="W211" s="4">
        <f>VALUE(SUBSTITUTE(MID($A211,D211+D$2+1,E211-D211-D$2-1),",","."))</f>
        <v>0</v>
      </c>
      <c r="X211" s="4">
        <f>VALUE(SUBSTITUTE(MID($A211,E211+E$2+1,F211-E211-E$2-1),",","."))</f>
        <v>0.90957602214449496</v>
      </c>
      <c r="Y211" s="4">
        <f>VALUE(SUBSTITUTE(MID($A211,F211+F$2+1,G211-F211-F$2-1),",","."))</f>
        <v>0</v>
      </c>
      <c r="Z211" s="3">
        <f>VALUE(SUBSTITUTE(MID($A211,G211+G$2+1,H211-G211-G$2-1),",","."))</f>
        <v>0</v>
      </c>
      <c r="AA211" s="3">
        <f>VALUE(SUBSTITUTE(MID($A211,H211+H$2+1,I211-H211-H$2-1),",","."))</f>
        <v>0</v>
      </c>
      <c r="AB211" s="3">
        <f>VALUE(SUBSTITUTE(MID($A211,I211+I$2+1,J211-I211-I$2-1),",","."))</f>
        <v>0</v>
      </c>
      <c r="AC211" s="3">
        <f>VALUE(SUBSTITUTE(MID($A211,J211+J$2+1,K211-J211-J$2-1),",","."))</f>
        <v>0.85</v>
      </c>
      <c r="AD211" s="3">
        <f>VALUE(SUBSTITUTE(MID($A211,K211+K$2+1,L211-K211-K$2-1),",","."))</f>
        <v>10.08</v>
      </c>
      <c r="AE211" s="3">
        <f>VALUE(SUBSTITUTE(MID($A211,L211+L$2+1,M211-L211-L$2-1),",","."))</f>
        <v>0</v>
      </c>
      <c r="AF211" s="3">
        <f>VALUE(SUBSTITUTE(MID($A211,M211+M$2+1,N211-M211-M$2-1),",","."))</f>
        <v>0</v>
      </c>
      <c r="AG211" s="3">
        <f>VALUE(SUBSTITUTE(MID($A211,N211+N$2+1,O211-N211-N$2-1),",","."))</f>
        <v>4.2093928813994204</v>
      </c>
      <c r="AH211" t="str">
        <f>MID($A211,O211+O$2+1,P211-O211-O$2-1)</f>
        <v/>
      </c>
      <c r="AI211" s="8" t="str">
        <f>MID($A211,P211+P$2+1,Q211-P211-P$2-1)</f>
        <v>False</v>
      </c>
      <c r="AK211" t="b">
        <f t="shared" si="32"/>
        <v>0</v>
      </c>
    </row>
    <row r="212" spans="1:37" x14ac:dyDescent="0.35">
      <c r="A212" t="s">
        <v>4759</v>
      </c>
      <c r="B212">
        <f t="shared" ref="B212:G254" si="34">FIND(B$1,$A212)</f>
        <v>10</v>
      </c>
      <c r="C212">
        <f t="shared" si="34"/>
        <v>43</v>
      </c>
      <c r="D212">
        <f t="shared" si="34"/>
        <v>54</v>
      </c>
      <c r="E212">
        <f t="shared" si="34"/>
        <v>80</v>
      </c>
      <c r="F212">
        <f t="shared" si="34"/>
        <v>124</v>
      </c>
      <c r="G212">
        <f t="shared" si="34"/>
        <v>145</v>
      </c>
      <c r="H212">
        <f t="shared" si="33"/>
        <v>177</v>
      </c>
      <c r="I212">
        <f t="shared" si="28"/>
        <v>199</v>
      </c>
      <c r="J212">
        <f t="shared" si="28"/>
        <v>232</v>
      </c>
      <c r="K212">
        <f t="shared" si="28"/>
        <v>252</v>
      </c>
      <c r="L212">
        <f t="shared" si="28"/>
        <v>271</v>
      </c>
      <c r="M212">
        <f t="shared" si="28"/>
        <v>286</v>
      </c>
      <c r="N212">
        <f t="shared" si="28"/>
        <v>298</v>
      </c>
      <c r="O212">
        <f t="shared" si="28"/>
        <v>323</v>
      </c>
      <c r="P212">
        <f t="shared" si="28"/>
        <v>341</v>
      </c>
      <c r="Q212">
        <f t="shared" si="28"/>
        <v>367</v>
      </c>
      <c r="S212" t="str">
        <f t="shared" si="29"/>
        <v>28.11.2025</v>
      </c>
      <c r="T212" t="str">
        <f t="shared" si="30"/>
        <v>23:30:00</v>
      </c>
      <c r="U212" t="str">
        <f t="shared" si="31"/>
        <v>28.11.2025 23:30:00</v>
      </c>
      <c r="V212" s="9" t="str">
        <f>MID($A212,C212+C$2+1,D212-C212-C$2-1)</f>
        <v>0</v>
      </c>
      <c r="W212" s="4">
        <f>VALUE(SUBSTITUTE(MID($A212,D212+D$2+1,E212-D212-D$2-1),",","."))</f>
        <v>0</v>
      </c>
      <c r="X212" s="4">
        <f>VALUE(SUBSTITUTE(MID($A212,E212+E$2+1,F212-E212-E$2-1),",","."))</f>
        <v>0.90957602214449496</v>
      </c>
      <c r="Y212" s="4">
        <f>VALUE(SUBSTITUTE(MID($A212,F212+F$2+1,G212-F212-F$2-1),",","."))</f>
        <v>0</v>
      </c>
      <c r="Z212" s="3">
        <f>VALUE(SUBSTITUTE(MID($A212,G212+G$2+1,H212-G212-G$2-1),",","."))</f>
        <v>0</v>
      </c>
      <c r="AA212" s="3">
        <f>VALUE(SUBSTITUTE(MID($A212,H212+H$2+1,I212-H212-H$2-1),",","."))</f>
        <v>0</v>
      </c>
      <c r="AB212" s="3">
        <f>VALUE(SUBSTITUTE(MID($A212,I212+I$2+1,J212-I212-I$2-1),",","."))</f>
        <v>0</v>
      </c>
      <c r="AC212" s="3">
        <f>VALUE(SUBSTITUTE(MID($A212,J212+J$2+1,K212-J212-J$2-1),",","."))</f>
        <v>1.25</v>
      </c>
      <c r="AD212" s="3">
        <f>VALUE(SUBSTITUTE(MID($A212,K212+K$2+1,L212-K212-K$2-1),",","."))</f>
        <v>12.24</v>
      </c>
      <c r="AE212" s="3">
        <f>VALUE(SUBSTITUTE(MID($A212,L212+L$2+1,M212-L212-L$2-1),",","."))</f>
        <v>0</v>
      </c>
      <c r="AF212" s="3">
        <f>VALUE(SUBSTITUTE(MID($A212,M212+M$2+1,N212-M212-M$2-1),",","."))</f>
        <v>0</v>
      </c>
      <c r="AG212" s="3">
        <f>VALUE(SUBSTITUTE(MID($A212,N212+N$2+1,O212-N212-N$2-1),",","."))</f>
        <v>4.2094214012875097</v>
      </c>
      <c r="AH212" t="str">
        <f>MID($A212,O212+O$2+1,P212-O212-O$2-1)</f>
        <v/>
      </c>
      <c r="AI212" s="8" t="str">
        <f>MID($A212,P212+P$2+1,Q212-P212-P$2-1)</f>
        <v>False</v>
      </c>
      <c r="AK212" t="b">
        <f t="shared" si="32"/>
        <v>0</v>
      </c>
    </row>
    <row r="213" spans="1:37" x14ac:dyDescent="0.35">
      <c r="A213" t="s">
        <v>4760</v>
      </c>
      <c r="B213">
        <f t="shared" si="34"/>
        <v>10</v>
      </c>
      <c r="C213">
        <f t="shared" si="34"/>
        <v>43</v>
      </c>
      <c r="D213">
        <f t="shared" si="34"/>
        <v>54</v>
      </c>
      <c r="E213">
        <f t="shared" si="34"/>
        <v>80</v>
      </c>
      <c r="F213">
        <f t="shared" si="34"/>
        <v>124</v>
      </c>
      <c r="G213">
        <f t="shared" si="34"/>
        <v>145</v>
      </c>
      <c r="H213">
        <f t="shared" si="33"/>
        <v>177</v>
      </c>
      <c r="I213">
        <f t="shared" si="28"/>
        <v>199</v>
      </c>
      <c r="J213">
        <f t="shared" si="28"/>
        <v>232</v>
      </c>
      <c r="K213">
        <f t="shared" si="28"/>
        <v>252</v>
      </c>
      <c r="L213">
        <f t="shared" si="28"/>
        <v>271</v>
      </c>
      <c r="M213">
        <f t="shared" si="28"/>
        <v>286</v>
      </c>
      <c r="N213">
        <f t="shared" si="28"/>
        <v>298</v>
      </c>
      <c r="O213">
        <f t="shared" si="28"/>
        <v>323</v>
      </c>
      <c r="P213">
        <f t="shared" si="28"/>
        <v>341</v>
      </c>
      <c r="Q213">
        <f t="shared" si="28"/>
        <v>367</v>
      </c>
      <c r="S213" t="str">
        <f t="shared" si="29"/>
        <v>28.11.2025</v>
      </c>
      <c r="T213" t="str">
        <f t="shared" si="30"/>
        <v>23:45:00</v>
      </c>
      <c r="U213" t="str">
        <f t="shared" si="31"/>
        <v>28.11.2025 23:45:00</v>
      </c>
      <c r="V213" s="9" t="str">
        <f>MID($A213,C213+C$2+1,D213-C213-C$2-1)</f>
        <v>0</v>
      </c>
      <c r="W213" s="4">
        <f>VALUE(SUBSTITUTE(MID($A213,D213+D$2+1,E213-D213-D$2-1),",","."))</f>
        <v>0</v>
      </c>
      <c r="X213" s="4">
        <f>VALUE(SUBSTITUTE(MID($A213,E213+E$2+1,F213-E213-E$2-1),",","."))</f>
        <v>0.90957602214449496</v>
      </c>
      <c r="Y213" s="4">
        <f>VALUE(SUBSTITUTE(MID($A213,F213+F$2+1,G213-F213-F$2-1),",","."))</f>
        <v>0</v>
      </c>
      <c r="Z213" s="3">
        <f>VALUE(SUBSTITUTE(MID($A213,G213+G$2+1,H213-G213-G$2-1),",","."))</f>
        <v>0</v>
      </c>
      <c r="AA213" s="3">
        <f>VALUE(SUBSTITUTE(MID($A213,H213+H$2+1,I213-H213-H$2-1),",","."))</f>
        <v>0</v>
      </c>
      <c r="AB213" s="3">
        <f>VALUE(SUBSTITUTE(MID($A213,I213+I$2+1,J213-I213-I$2-1),",","."))</f>
        <v>0</v>
      </c>
      <c r="AC213" s="3">
        <f>VALUE(SUBSTITUTE(MID($A213,J213+J$2+1,K213-J213-J$2-1),",","."))</f>
        <v>1.25</v>
      </c>
      <c r="AD213" s="3">
        <f>VALUE(SUBSTITUTE(MID($A213,K213+K$2+1,L213-K213-K$2-1),",","."))</f>
        <v>12.24</v>
      </c>
      <c r="AE213" s="3">
        <f>VALUE(SUBSTITUTE(MID($A213,L213+L$2+1,M213-L213-L$2-1),",","."))</f>
        <v>0</v>
      </c>
      <c r="AF213" s="3">
        <f>VALUE(SUBSTITUTE(MID($A213,M213+M$2+1,N213-M213-M$2-1),",","."))</f>
        <v>0</v>
      </c>
      <c r="AG213" s="3">
        <f>VALUE(SUBSTITUTE(MID($A213,N213+N$2+1,O213-N213-N$2-1),",","."))</f>
        <v>4.2094499211755902</v>
      </c>
      <c r="AH213" t="str">
        <f>MID($A213,O213+O$2+1,P213-O213-O$2-1)</f>
        <v/>
      </c>
      <c r="AI213" s="8" t="str">
        <f>MID($A213,P213+P$2+1,Q213-P213-P$2-1)</f>
        <v>False</v>
      </c>
      <c r="AK213" t="b">
        <f t="shared" si="32"/>
        <v>0</v>
      </c>
    </row>
    <row r="214" spans="1:37" x14ac:dyDescent="0.35">
      <c r="A214" t="s">
        <v>4761</v>
      </c>
      <c r="B214">
        <f t="shared" si="34"/>
        <v>10</v>
      </c>
      <c r="C214">
        <f t="shared" si="34"/>
        <v>43</v>
      </c>
      <c r="D214">
        <f t="shared" si="34"/>
        <v>54</v>
      </c>
      <c r="E214">
        <f t="shared" si="34"/>
        <v>80</v>
      </c>
      <c r="F214">
        <f t="shared" si="34"/>
        <v>124</v>
      </c>
      <c r="G214">
        <f t="shared" si="34"/>
        <v>145</v>
      </c>
      <c r="H214">
        <f t="shared" si="33"/>
        <v>177</v>
      </c>
      <c r="I214">
        <f t="shared" si="28"/>
        <v>199</v>
      </c>
      <c r="J214">
        <f t="shared" ref="J214:Q245" si="35">FIND(J$1,$A214)</f>
        <v>232</v>
      </c>
      <c r="K214">
        <f t="shared" si="35"/>
        <v>252</v>
      </c>
      <c r="L214">
        <f t="shared" si="35"/>
        <v>271</v>
      </c>
      <c r="M214">
        <f t="shared" si="35"/>
        <v>286</v>
      </c>
      <c r="N214">
        <f t="shared" si="35"/>
        <v>298</v>
      </c>
      <c r="O214">
        <f t="shared" si="35"/>
        <v>323</v>
      </c>
      <c r="P214">
        <f t="shared" si="35"/>
        <v>341</v>
      </c>
      <c r="Q214">
        <f t="shared" si="35"/>
        <v>367</v>
      </c>
      <c r="S214" t="str">
        <f t="shared" si="29"/>
        <v>29.11.2025</v>
      </c>
      <c r="T214" t="str">
        <f t="shared" si="30"/>
        <v>00:00:00</v>
      </c>
      <c r="U214" t="str">
        <f t="shared" si="31"/>
        <v>29.11.2025 00:00:00</v>
      </c>
      <c r="V214" s="9" t="str">
        <f>MID($A214,C214+C$2+1,D214-C214-C$2-1)</f>
        <v>0</v>
      </c>
      <c r="W214" s="4">
        <f>VALUE(SUBSTITUTE(MID($A214,D214+D$2+1,E214-D214-D$2-1),",","."))</f>
        <v>0</v>
      </c>
      <c r="X214" s="4">
        <f>VALUE(SUBSTITUTE(MID($A214,E214+E$2+1,F214-E214-E$2-1),",","."))</f>
        <v>0.90957602214449496</v>
      </c>
      <c r="Y214" s="4">
        <f>VALUE(SUBSTITUTE(MID($A214,F214+F$2+1,G214-F214-F$2-1),",","."))</f>
        <v>0</v>
      </c>
      <c r="Z214" s="3">
        <f>VALUE(SUBSTITUTE(MID($A214,G214+G$2+1,H214-G214-G$2-1),",","."))</f>
        <v>0</v>
      </c>
      <c r="AA214" s="3">
        <f>VALUE(SUBSTITUTE(MID($A214,H214+H$2+1,I214-H214-H$2-1),",","."))</f>
        <v>0</v>
      </c>
      <c r="AB214" s="3">
        <f>VALUE(SUBSTITUTE(MID($A214,I214+I$2+1,J214-I214-I$2-1),",","."))</f>
        <v>0</v>
      </c>
      <c r="AC214" s="3">
        <f>VALUE(SUBSTITUTE(MID($A214,J214+J$2+1,K214-J214-J$2-1),",","."))</f>
        <v>1.25</v>
      </c>
      <c r="AD214" s="3">
        <f>VALUE(SUBSTITUTE(MID($A214,K214+K$2+1,L214-K214-K$2-1),",","."))</f>
        <v>12.24</v>
      </c>
      <c r="AE214" s="3">
        <f>VALUE(SUBSTITUTE(MID($A214,L214+L$2+1,M214-L214-L$2-1),",","."))</f>
        <v>0</v>
      </c>
      <c r="AF214" s="3">
        <f>VALUE(SUBSTITUTE(MID($A214,M214+M$2+1,N214-M214-M$2-1),",","."))</f>
        <v>0</v>
      </c>
      <c r="AG214" s="3">
        <f>VALUE(SUBSTITUTE(MID($A214,N214+N$2+1,O214-N214-N$2-1),",","."))</f>
        <v>4.2094784410636699</v>
      </c>
      <c r="AH214" t="str">
        <f>MID($A214,O214+O$2+1,P214-O214-O$2-1)</f>
        <v/>
      </c>
      <c r="AI214" s="8" t="str">
        <f>MID($A214,P214+P$2+1,Q214-P214-P$2-1)</f>
        <v>False</v>
      </c>
      <c r="AK214" t="b">
        <f t="shared" si="32"/>
        <v>0</v>
      </c>
    </row>
    <row r="215" spans="1:37" x14ac:dyDescent="0.35">
      <c r="A215" t="s">
        <v>4762</v>
      </c>
      <c r="B215">
        <f t="shared" si="34"/>
        <v>10</v>
      </c>
      <c r="C215">
        <f t="shared" si="34"/>
        <v>43</v>
      </c>
      <c r="D215">
        <f t="shared" si="34"/>
        <v>54</v>
      </c>
      <c r="E215">
        <f t="shared" si="34"/>
        <v>80</v>
      </c>
      <c r="F215">
        <f t="shared" si="34"/>
        <v>124</v>
      </c>
      <c r="G215">
        <f t="shared" si="34"/>
        <v>145</v>
      </c>
      <c r="H215">
        <f t="shared" si="33"/>
        <v>177</v>
      </c>
      <c r="I215">
        <f t="shared" si="33"/>
        <v>199</v>
      </c>
      <c r="J215">
        <f t="shared" si="35"/>
        <v>232</v>
      </c>
      <c r="K215">
        <f t="shared" si="35"/>
        <v>252</v>
      </c>
      <c r="L215">
        <f t="shared" si="35"/>
        <v>271</v>
      </c>
      <c r="M215">
        <f t="shared" si="35"/>
        <v>286</v>
      </c>
      <c r="N215">
        <f t="shared" si="35"/>
        <v>298</v>
      </c>
      <c r="O215">
        <f t="shared" si="35"/>
        <v>323</v>
      </c>
      <c r="P215">
        <f t="shared" si="35"/>
        <v>341</v>
      </c>
      <c r="Q215">
        <f t="shared" si="35"/>
        <v>367</v>
      </c>
      <c r="S215" t="str">
        <f t="shared" si="29"/>
        <v>29.11.2025</v>
      </c>
      <c r="T215" t="str">
        <f t="shared" si="30"/>
        <v>00:15:00</v>
      </c>
      <c r="U215" t="str">
        <f t="shared" si="31"/>
        <v>29.11.2025 00:15:00</v>
      </c>
      <c r="V215" s="9" t="str">
        <f>MID($A215,C215+C$2+1,D215-C215-C$2-1)</f>
        <v>0</v>
      </c>
      <c r="W215" s="4">
        <f>VALUE(SUBSTITUTE(MID($A215,D215+D$2+1,E215-D215-D$2-1),",","."))</f>
        <v>0</v>
      </c>
      <c r="X215" s="4">
        <f>VALUE(SUBSTITUTE(MID($A215,E215+E$2+1,F215-E215-E$2-1),",","."))</f>
        <v>0.90957602214449496</v>
      </c>
      <c r="Y215" s="4">
        <f>VALUE(SUBSTITUTE(MID($A215,F215+F$2+1,G215-F215-F$2-1),",","."))</f>
        <v>0</v>
      </c>
      <c r="Z215" s="3">
        <f>VALUE(SUBSTITUTE(MID($A215,G215+G$2+1,H215-G215-G$2-1),",","."))</f>
        <v>0</v>
      </c>
      <c r="AA215" s="3">
        <f>VALUE(SUBSTITUTE(MID($A215,H215+H$2+1,I215-H215-H$2-1),",","."))</f>
        <v>0</v>
      </c>
      <c r="AB215" s="3">
        <f>VALUE(SUBSTITUTE(MID($A215,I215+I$2+1,J215-I215-I$2-1),",","."))</f>
        <v>0</v>
      </c>
      <c r="AC215" s="3">
        <f>VALUE(SUBSTITUTE(MID($A215,J215+J$2+1,K215-J215-J$2-1),",","."))</f>
        <v>1.25</v>
      </c>
      <c r="AD215" s="3">
        <f>VALUE(SUBSTITUTE(MID($A215,K215+K$2+1,L215-K215-K$2-1),",","."))</f>
        <v>12.24</v>
      </c>
      <c r="AE215" s="3">
        <f>VALUE(SUBSTITUTE(MID($A215,L215+L$2+1,M215-L215-L$2-1),",","."))</f>
        <v>0</v>
      </c>
      <c r="AF215" s="3">
        <f>VALUE(SUBSTITUTE(MID($A215,M215+M$2+1,N215-M215-M$2-1),",","."))</f>
        <v>0</v>
      </c>
      <c r="AG215" s="3">
        <f>VALUE(SUBSTITUTE(MID($A215,N215+N$2+1,O215-N215-N$2-1),",","."))</f>
        <v>4.2095069609517504</v>
      </c>
      <c r="AH215" t="str">
        <f>MID($A215,O215+O$2+1,P215-O215-O$2-1)</f>
        <v/>
      </c>
      <c r="AI215" s="8" t="str">
        <f>MID($A215,P215+P$2+1,Q215-P215-P$2-1)</f>
        <v>False</v>
      </c>
      <c r="AK215" t="b">
        <f t="shared" si="32"/>
        <v>0</v>
      </c>
    </row>
    <row r="216" spans="1:37" x14ac:dyDescent="0.35">
      <c r="A216" t="s">
        <v>4763</v>
      </c>
      <c r="B216">
        <f t="shared" si="34"/>
        <v>10</v>
      </c>
      <c r="C216">
        <f t="shared" si="34"/>
        <v>43</v>
      </c>
      <c r="D216">
        <f t="shared" si="34"/>
        <v>54</v>
      </c>
      <c r="E216">
        <f t="shared" si="34"/>
        <v>80</v>
      </c>
      <c r="F216">
        <f t="shared" si="34"/>
        <v>124</v>
      </c>
      <c r="G216">
        <f t="shared" si="34"/>
        <v>145</v>
      </c>
      <c r="H216">
        <f t="shared" si="33"/>
        <v>177</v>
      </c>
      <c r="I216">
        <f t="shared" si="33"/>
        <v>199</v>
      </c>
      <c r="J216">
        <f t="shared" si="35"/>
        <v>232</v>
      </c>
      <c r="K216">
        <f t="shared" si="35"/>
        <v>252</v>
      </c>
      <c r="L216">
        <f t="shared" si="35"/>
        <v>271</v>
      </c>
      <c r="M216">
        <f t="shared" si="35"/>
        <v>286</v>
      </c>
      <c r="N216">
        <f t="shared" si="35"/>
        <v>298</v>
      </c>
      <c r="O216">
        <f t="shared" si="35"/>
        <v>323</v>
      </c>
      <c r="P216">
        <f t="shared" si="35"/>
        <v>341</v>
      </c>
      <c r="Q216">
        <f t="shared" si="35"/>
        <v>367</v>
      </c>
      <c r="S216" t="str">
        <f t="shared" si="29"/>
        <v>29.11.2025</v>
      </c>
      <c r="T216" t="str">
        <f t="shared" si="30"/>
        <v>00:30:00</v>
      </c>
      <c r="U216" t="str">
        <f t="shared" si="31"/>
        <v>29.11.2025 00:30:00</v>
      </c>
      <c r="V216" s="9" t="str">
        <f>MID($A216,C216+C$2+1,D216-C216-C$2-1)</f>
        <v>0</v>
      </c>
      <c r="W216" s="4">
        <f>VALUE(SUBSTITUTE(MID($A216,D216+D$2+1,E216-D216-D$2-1),",","."))</f>
        <v>0</v>
      </c>
      <c r="X216" s="4">
        <f>VALUE(SUBSTITUTE(MID($A216,E216+E$2+1,F216-E216-E$2-1),",","."))</f>
        <v>0.90957602214449496</v>
      </c>
      <c r="Y216" s="4">
        <f>VALUE(SUBSTITUTE(MID($A216,F216+F$2+1,G216-F216-F$2-1),",","."))</f>
        <v>0</v>
      </c>
      <c r="Z216" s="3">
        <f>VALUE(SUBSTITUTE(MID($A216,G216+G$2+1,H216-G216-G$2-1),",","."))</f>
        <v>0</v>
      </c>
      <c r="AA216" s="3">
        <f>VALUE(SUBSTITUTE(MID($A216,H216+H$2+1,I216-H216-H$2-1),",","."))</f>
        <v>0</v>
      </c>
      <c r="AB216" s="3">
        <f>VALUE(SUBSTITUTE(MID($A216,I216+I$2+1,J216-I216-I$2-1),",","."))</f>
        <v>0</v>
      </c>
      <c r="AC216" s="3">
        <f>VALUE(SUBSTITUTE(MID($A216,J216+J$2+1,K216-J216-J$2-1),",","."))</f>
        <v>1.55</v>
      </c>
      <c r="AD216" s="3">
        <f>VALUE(SUBSTITUTE(MID($A216,K216+K$2+1,L216-K216-K$2-1),",","."))</f>
        <v>21.42</v>
      </c>
      <c r="AE216" s="3">
        <f>VALUE(SUBSTITUTE(MID($A216,L216+L$2+1,M216-L216-L$2-1),",","."))</f>
        <v>0</v>
      </c>
      <c r="AF216" s="3">
        <f>VALUE(SUBSTITUTE(MID($A216,M216+M$2+1,N216-M216-M$2-1),",","."))</f>
        <v>0</v>
      </c>
      <c r="AG216" s="3">
        <f>VALUE(SUBSTITUTE(MID($A216,N216+N$2+1,O216-N216-N$2-1),",","."))</f>
        <v>4.20953548083983</v>
      </c>
      <c r="AH216" t="str">
        <f>MID($A216,O216+O$2+1,P216-O216-O$2-1)</f>
        <v/>
      </c>
      <c r="AI216" s="8" t="str">
        <f>MID($A216,P216+P$2+1,Q216-P216-P$2-1)</f>
        <v>False</v>
      </c>
      <c r="AK216" t="b">
        <f t="shared" si="32"/>
        <v>0</v>
      </c>
    </row>
    <row r="217" spans="1:37" x14ac:dyDescent="0.35">
      <c r="A217" t="s">
        <v>4764</v>
      </c>
      <c r="B217">
        <f t="shared" si="34"/>
        <v>10</v>
      </c>
      <c r="C217">
        <f t="shared" si="34"/>
        <v>43</v>
      </c>
      <c r="D217">
        <f t="shared" si="34"/>
        <v>54</v>
      </c>
      <c r="E217">
        <f t="shared" si="34"/>
        <v>80</v>
      </c>
      <c r="F217">
        <f t="shared" si="34"/>
        <v>124</v>
      </c>
      <c r="G217">
        <f t="shared" si="34"/>
        <v>145</v>
      </c>
      <c r="H217">
        <f t="shared" si="33"/>
        <v>177</v>
      </c>
      <c r="I217">
        <f t="shared" si="33"/>
        <v>199</v>
      </c>
      <c r="J217">
        <f t="shared" si="35"/>
        <v>232</v>
      </c>
      <c r="K217">
        <f t="shared" si="35"/>
        <v>252</v>
      </c>
      <c r="L217">
        <f t="shared" si="35"/>
        <v>271</v>
      </c>
      <c r="M217">
        <f t="shared" si="35"/>
        <v>286</v>
      </c>
      <c r="N217">
        <f t="shared" si="35"/>
        <v>298</v>
      </c>
      <c r="O217">
        <f t="shared" si="35"/>
        <v>324</v>
      </c>
      <c r="P217">
        <f t="shared" si="35"/>
        <v>342</v>
      </c>
      <c r="Q217">
        <f t="shared" si="35"/>
        <v>368</v>
      </c>
      <c r="S217" t="str">
        <f t="shared" si="29"/>
        <v>29.11.2025</v>
      </c>
      <c r="T217" t="str">
        <f t="shared" si="30"/>
        <v>00:45:00</v>
      </c>
      <c r="U217" t="str">
        <f t="shared" si="31"/>
        <v>29.11.2025 00:45:00</v>
      </c>
      <c r="V217" s="9" t="str">
        <f>MID($A217,C217+C$2+1,D217-C217-C$2-1)</f>
        <v>0</v>
      </c>
      <c r="W217" s="4">
        <f>VALUE(SUBSTITUTE(MID($A217,D217+D$2+1,E217-D217-D$2-1),",","."))</f>
        <v>0</v>
      </c>
      <c r="X217" s="4">
        <f>VALUE(SUBSTITUTE(MID($A217,E217+E$2+1,F217-E217-E$2-1),",","."))</f>
        <v>0.90957602214449496</v>
      </c>
      <c r="Y217" s="4">
        <f>VALUE(SUBSTITUTE(MID($A217,F217+F$2+1,G217-F217-F$2-1),",","."))</f>
        <v>0</v>
      </c>
      <c r="Z217" s="3">
        <f>VALUE(SUBSTITUTE(MID($A217,G217+G$2+1,H217-G217-G$2-1),",","."))</f>
        <v>0</v>
      </c>
      <c r="AA217" s="3">
        <f>VALUE(SUBSTITUTE(MID($A217,H217+H$2+1,I217-H217-H$2-1),",","."))</f>
        <v>0</v>
      </c>
      <c r="AB217" s="3">
        <f>VALUE(SUBSTITUTE(MID($A217,I217+I$2+1,J217-I217-I$2-1),",","."))</f>
        <v>0</v>
      </c>
      <c r="AC217" s="3">
        <f>VALUE(SUBSTITUTE(MID($A217,J217+J$2+1,K217-J217-J$2-1),",","."))</f>
        <v>1.55</v>
      </c>
      <c r="AD217" s="3">
        <f>VALUE(SUBSTITUTE(MID($A217,K217+K$2+1,L217-K217-K$2-1),",","."))</f>
        <v>21.42</v>
      </c>
      <c r="AE217" s="3">
        <f>VALUE(SUBSTITUTE(MID($A217,L217+L$2+1,M217-L217-L$2-1),",","."))</f>
        <v>0</v>
      </c>
      <c r="AF217" s="3">
        <f>VALUE(SUBSTITUTE(MID($A217,M217+M$2+1,N217-M217-M$2-1),",","."))</f>
        <v>0</v>
      </c>
      <c r="AG217" s="3">
        <f>VALUE(SUBSTITUTE(MID($A217,N217+N$2+1,O217-N217-N$2-1),",","."))</f>
        <v>4.2095640007279096</v>
      </c>
      <c r="AH217" t="str">
        <f>MID($A217,O217+O$2+1,P217-O217-O$2-1)</f>
        <v/>
      </c>
      <c r="AI217" s="8" t="str">
        <f>MID($A217,P217+P$2+1,Q217-P217-P$2-1)</f>
        <v>False</v>
      </c>
      <c r="AK217" t="b">
        <f t="shared" si="32"/>
        <v>0</v>
      </c>
    </row>
    <row r="218" spans="1:37" x14ac:dyDescent="0.35">
      <c r="A218" t="s">
        <v>4765</v>
      </c>
      <c r="B218">
        <f t="shared" si="34"/>
        <v>10</v>
      </c>
      <c r="C218">
        <f t="shared" si="34"/>
        <v>43</v>
      </c>
      <c r="D218">
        <f t="shared" si="34"/>
        <v>54</v>
      </c>
      <c r="E218">
        <f t="shared" si="34"/>
        <v>80</v>
      </c>
      <c r="F218">
        <f t="shared" si="34"/>
        <v>124</v>
      </c>
      <c r="G218">
        <f t="shared" si="34"/>
        <v>145</v>
      </c>
      <c r="H218">
        <f t="shared" si="33"/>
        <v>177</v>
      </c>
      <c r="I218">
        <f t="shared" si="33"/>
        <v>199</v>
      </c>
      <c r="J218">
        <f t="shared" si="35"/>
        <v>232</v>
      </c>
      <c r="K218">
        <f t="shared" si="35"/>
        <v>252</v>
      </c>
      <c r="L218">
        <f t="shared" si="35"/>
        <v>271</v>
      </c>
      <c r="M218">
        <f t="shared" si="35"/>
        <v>286</v>
      </c>
      <c r="N218">
        <f t="shared" si="35"/>
        <v>298</v>
      </c>
      <c r="O218">
        <f t="shared" si="35"/>
        <v>320</v>
      </c>
      <c r="P218">
        <f t="shared" si="35"/>
        <v>338</v>
      </c>
      <c r="Q218">
        <f t="shared" si="35"/>
        <v>364</v>
      </c>
      <c r="S218" t="str">
        <f t="shared" si="29"/>
        <v>29.11.2025</v>
      </c>
      <c r="T218" t="str">
        <f t="shared" si="30"/>
        <v>01:00:00</v>
      </c>
      <c r="U218" t="str">
        <f t="shared" si="31"/>
        <v>29.11.2025 01:00:00</v>
      </c>
      <c r="V218" s="9" t="str">
        <f>MID($A218,C218+C$2+1,D218-C218-C$2-1)</f>
        <v>0</v>
      </c>
      <c r="W218" s="4">
        <f>VALUE(SUBSTITUTE(MID($A218,D218+D$2+1,E218-D218-D$2-1),",","."))</f>
        <v>0</v>
      </c>
      <c r="X218" s="4">
        <f>VALUE(SUBSTITUTE(MID($A218,E218+E$2+1,F218-E218-E$2-1),",","."))</f>
        <v>0.90957602214449496</v>
      </c>
      <c r="Y218" s="4">
        <f>VALUE(SUBSTITUTE(MID($A218,F218+F$2+1,G218-F218-F$2-1),",","."))</f>
        <v>0</v>
      </c>
      <c r="Z218" s="3">
        <f>VALUE(SUBSTITUTE(MID($A218,G218+G$2+1,H218-G218-G$2-1),",","."))</f>
        <v>0</v>
      </c>
      <c r="AA218" s="3">
        <f>VALUE(SUBSTITUTE(MID($A218,H218+H$2+1,I218-H218-H$2-1),",","."))</f>
        <v>0</v>
      </c>
      <c r="AB218" s="3">
        <f>VALUE(SUBSTITUTE(MID($A218,I218+I$2+1,J218-I218-I$2-1),",","."))</f>
        <v>0</v>
      </c>
      <c r="AC218" s="3">
        <f>VALUE(SUBSTITUTE(MID($A218,J218+J$2+1,K218-J218-J$2-1),",","."))</f>
        <v>1.55</v>
      </c>
      <c r="AD218" s="3">
        <f>VALUE(SUBSTITUTE(MID($A218,K218+K$2+1,L218-K218-K$2-1),",","."))</f>
        <v>21.42</v>
      </c>
      <c r="AE218" s="3">
        <f>VALUE(SUBSTITUTE(MID($A218,L218+L$2+1,M218-L218-L$2-1),",","."))</f>
        <v>0</v>
      </c>
      <c r="AF218" s="3">
        <f>VALUE(SUBSTITUTE(MID($A218,M218+M$2+1,N218-M218-M$2-1),",","."))</f>
        <v>0</v>
      </c>
      <c r="AG218" s="3">
        <f>VALUE(SUBSTITUTE(MID($A218,N218+N$2+1,O218-N218-N$2-1),",","."))</f>
        <v>4.2095925206159999</v>
      </c>
      <c r="AH218" t="str">
        <f>MID($A218,O218+O$2+1,P218-O218-O$2-1)</f>
        <v/>
      </c>
      <c r="AI218" s="8" t="str">
        <f>MID($A218,P218+P$2+1,Q218-P218-P$2-1)</f>
        <v>False</v>
      </c>
      <c r="AK218" t="b">
        <f t="shared" si="32"/>
        <v>0</v>
      </c>
    </row>
    <row r="219" spans="1:37" x14ac:dyDescent="0.35">
      <c r="A219" t="s">
        <v>4766</v>
      </c>
      <c r="B219">
        <f t="shared" si="34"/>
        <v>10</v>
      </c>
      <c r="C219">
        <f t="shared" si="34"/>
        <v>43</v>
      </c>
      <c r="D219">
        <f t="shared" si="34"/>
        <v>54</v>
      </c>
      <c r="E219">
        <f t="shared" si="34"/>
        <v>80</v>
      </c>
      <c r="F219">
        <f t="shared" si="34"/>
        <v>124</v>
      </c>
      <c r="G219">
        <f t="shared" si="34"/>
        <v>145</v>
      </c>
      <c r="H219">
        <f t="shared" si="33"/>
        <v>177</v>
      </c>
      <c r="I219">
        <f t="shared" si="33"/>
        <v>199</v>
      </c>
      <c r="J219">
        <f t="shared" si="35"/>
        <v>232</v>
      </c>
      <c r="K219">
        <f t="shared" si="35"/>
        <v>252</v>
      </c>
      <c r="L219">
        <f t="shared" si="35"/>
        <v>271</v>
      </c>
      <c r="M219">
        <f t="shared" si="35"/>
        <v>286</v>
      </c>
      <c r="N219">
        <f t="shared" si="35"/>
        <v>298</v>
      </c>
      <c r="O219">
        <f t="shared" si="35"/>
        <v>323</v>
      </c>
      <c r="P219">
        <f t="shared" si="35"/>
        <v>341</v>
      </c>
      <c r="Q219">
        <f t="shared" si="35"/>
        <v>367</v>
      </c>
      <c r="S219" t="str">
        <f t="shared" si="29"/>
        <v>29.11.2025</v>
      </c>
      <c r="T219" t="str">
        <f t="shared" si="30"/>
        <v>01:15:00</v>
      </c>
      <c r="U219" t="str">
        <f t="shared" si="31"/>
        <v>29.11.2025 01:15:00</v>
      </c>
      <c r="V219" s="9" t="str">
        <f>MID($A219,C219+C$2+1,D219-C219-C$2-1)</f>
        <v>0</v>
      </c>
      <c r="W219" s="4">
        <f>VALUE(SUBSTITUTE(MID($A219,D219+D$2+1,E219-D219-D$2-1),",","."))</f>
        <v>0</v>
      </c>
      <c r="X219" s="4">
        <f>VALUE(SUBSTITUTE(MID($A219,E219+E$2+1,F219-E219-E$2-1),",","."))</f>
        <v>0.90957602214449496</v>
      </c>
      <c r="Y219" s="4">
        <f>VALUE(SUBSTITUTE(MID($A219,F219+F$2+1,G219-F219-F$2-1),",","."))</f>
        <v>0</v>
      </c>
      <c r="Z219" s="3">
        <f>VALUE(SUBSTITUTE(MID($A219,G219+G$2+1,H219-G219-G$2-1),",","."))</f>
        <v>0</v>
      </c>
      <c r="AA219" s="3">
        <f>VALUE(SUBSTITUTE(MID($A219,H219+H$2+1,I219-H219-H$2-1),",","."))</f>
        <v>0</v>
      </c>
      <c r="AB219" s="3">
        <f>VALUE(SUBSTITUTE(MID($A219,I219+I$2+1,J219-I219-I$2-1),",","."))</f>
        <v>0</v>
      </c>
      <c r="AC219" s="3">
        <f>VALUE(SUBSTITUTE(MID($A219,J219+J$2+1,K219-J219-J$2-1),",","."))</f>
        <v>1.55</v>
      </c>
      <c r="AD219" s="3">
        <f>VALUE(SUBSTITUTE(MID($A219,K219+K$2+1,L219-K219-K$2-1),",","."))</f>
        <v>21.42</v>
      </c>
      <c r="AE219" s="3">
        <f>VALUE(SUBSTITUTE(MID($A219,L219+L$2+1,M219-L219-L$2-1),",","."))</f>
        <v>0</v>
      </c>
      <c r="AF219" s="3">
        <f>VALUE(SUBSTITUTE(MID($A219,M219+M$2+1,N219-M219-M$2-1),",","."))</f>
        <v>0</v>
      </c>
      <c r="AG219" s="3">
        <f>VALUE(SUBSTITUTE(MID($A219,N219+N$2+1,O219-N219-N$2-1),",","."))</f>
        <v>4.2096210405040804</v>
      </c>
      <c r="AH219" t="str">
        <f>MID($A219,O219+O$2+1,P219-O219-O$2-1)</f>
        <v/>
      </c>
      <c r="AI219" s="8" t="str">
        <f>MID($A219,P219+P$2+1,Q219-P219-P$2-1)</f>
        <v>False</v>
      </c>
      <c r="AK219" t="b">
        <f t="shared" si="32"/>
        <v>0</v>
      </c>
    </row>
    <row r="220" spans="1:37" x14ac:dyDescent="0.35">
      <c r="A220" t="s">
        <v>4767</v>
      </c>
      <c r="B220">
        <f t="shared" si="34"/>
        <v>10</v>
      </c>
      <c r="C220">
        <f t="shared" si="34"/>
        <v>43</v>
      </c>
      <c r="D220">
        <f t="shared" si="34"/>
        <v>54</v>
      </c>
      <c r="E220">
        <f t="shared" si="34"/>
        <v>80</v>
      </c>
      <c r="F220">
        <f t="shared" si="34"/>
        <v>124</v>
      </c>
      <c r="G220">
        <f t="shared" si="34"/>
        <v>145</v>
      </c>
      <c r="H220">
        <f t="shared" si="33"/>
        <v>177</v>
      </c>
      <c r="I220">
        <f t="shared" si="33"/>
        <v>199</v>
      </c>
      <c r="J220">
        <f t="shared" si="35"/>
        <v>232</v>
      </c>
      <c r="K220">
        <f t="shared" si="35"/>
        <v>251</v>
      </c>
      <c r="L220">
        <f t="shared" si="35"/>
        <v>269</v>
      </c>
      <c r="M220">
        <f t="shared" si="35"/>
        <v>284</v>
      </c>
      <c r="N220">
        <f t="shared" si="35"/>
        <v>296</v>
      </c>
      <c r="O220">
        <f t="shared" si="35"/>
        <v>322</v>
      </c>
      <c r="P220">
        <f t="shared" si="35"/>
        <v>340</v>
      </c>
      <c r="Q220">
        <f t="shared" si="35"/>
        <v>366</v>
      </c>
      <c r="S220" t="str">
        <f t="shared" si="29"/>
        <v>29.11.2025</v>
      </c>
      <c r="T220" t="str">
        <f t="shared" si="30"/>
        <v>01:30:00</v>
      </c>
      <c r="U220" t="str">
        <f t="shared" si="31"/>
        <v>29.11.2025 01:30:00</v>
      </c>
      <c r="V220" s="9" t="str">
        <f>MID($A220,C220+C$2+1,D220-C220-C$2-1)</f>
        <v>0</v>
      </c>
      <c r="W220" s="4">
        <f>VALUE(SUBSTITUTE(MID($A220,D220+D$2+1,E220-D220-D$2-1),",","."))</f>
        <v>0</v>
      </c>
      <c r="X220" s="4">
        <f>VALUE(SUBSTITUTE(MID($A220,E220+E$2+1,F220-E220-E$2-1),",","."))</f>
        <v>0.90957602214449496</v>
      </c>
      <c r="Y220" s="4">
        <f>VALUE(SUBSTITUTE(MID($A220,F220+F$2+1,G220-F220-F$2-1),",","."))</f>
        <v>0</v>
      </c>
      <c r="Z220" s="3">
        <f>VALUE(SUBSTITUTE(MID($A220,G220+G$2+1,H220-G220-G$2-1),",","."))</f>
        <v>0</v>
      </c>
      <c r="AA220" s="3">
        <f>VALUE(SUBSTITUTE(MID($A220,H220+H$2+1,I220-H220-H$2-1),",","."))</f>
        <v>0</v>
      </c>
      <c r="AB220" s="3">
        <f>VALUE(SUBSTITUTE(MID($A220,I220+I$2+1,J220-I220-I$2-1),",","."))</f>
        <v>0</v>
      </c>
      <c r="AC220" s="3">
        <f>VALUE(SUBSTITUTE(MID($A220,J220+J$2+1,K220-J220-J$2-1),",","."))</f>
        <v>1.7</v>
      </c>
      <c r="AD220" s="3">
        <f>VALUE(SUBSTITUTE(MID($A220,K220+K$2+1,L220-K220-K$2-1),",","."))</f>
        <v>17.100000000000001</v>
      </c>
      <c r="AE220" s="3">
        <f>VALUE(SUBSTITUTE(MID($A220,L220+L$2+1,M220-L220-L$2-1),",","."))</f>
        <v>0</v>
      </c>
      <c r="AF220" s="3">
        <f>VALUE(SUBSTITUTE(MID($A220,M220+M$2+1,N220-M220-M$2-1),",","."))</f>
        <v>0</v>
      </c>
      <c r="AG220" s="3">
        <f>VALUE(SUBSTITUTE(MID($A220,N220+N$2+1,O220-N220-N$2-1),",","."))</f>
        <v>4.20964956039216</v>
      </c>
      <c r="AH220" t="str">
        <f>MID($A220,O220+O$2+1,P220-O220-O$2-1)</f>
        <v/>
      </c>
      <c r="AI220" s="8" t="str">
        <f>MID($A220,P220+P$2+1,Q220-P220-P$2-1)</f>
        <v>False</v>
      </c>
      <c r="AK220" t="b">
        <f t="shared" si="32"/>
        <v>0</v>
      </c>
    </row>
    <row r="221" spans="1:37" x14ac:dyDescent="0.35">
      <c r="A221" t="s">
        <v>4768</v>
      </c>
      <c r="B221">
        <f t="shared" si="34"/>
        <v>10</v>
      </c>
      <c r="C221">
        <f t="shared" si="34"/>
        <v>43</v>
      </c>
      <c r="D221">
        <f t="shared" si="34"/>
        <v>54</v>
      </c>
      <c r="E221">
        <f t="shared" si="34"/>
        <v>80</v>
      </c>
      <c r="F221">
        <f t="shared" si="34"/>
        <v>124</v>
      </c>
      <c r="G221">
        <f t="shared" si="34"/>
        <v>145</v>
      </c>
      <c r="H221">
        <f t="shared" si="33"/>
        <v>177</v>
      </c>
      <c r="I221">
        <f t="shared" si="33"/>
        <v>199</v>
      </c>
      <c r="J221">
        <f t="shared" si="35"/>
        <v>232</v>
      </c>
      <c r="K221">
        <f t="shared" si="35"/>
        <v>251</v>
      </c>
      <c r="L221">
        <f t="shared" si="35"/>
        <v>269</v>
      </c>
      <c r="M221">
        <f t="shared" si="35"/>
        <v>284</v>
      </c>
      <c r="N221">
        <f t="shared" si="35"/>
        <v>296</v>
      </c>
      <c r="O221">
        <f t="shared" si="35"/>
        <v>321</v>
      </c>
      <c r="P221">
        <f t="shared" si="35"/>
        <v>339</v>
      </c>
      <c r="Q221">
        <f t="shared" si="35"/>
        <v>365</v>
      </c>
      <c r="S221" t="str">
        <f t="shared" si="29"/>
        <v>29.11.2025</v>
      </c>
      <c r="T221" t="str">
        <f t="shared" si="30"/>
        <v>01:45:00</v>
      </c>
      <c r="U221" t="str">
        <f t="shared" si="31"/>
        <v>29.11.2025 01:45:00</v>
      </c>
      <c r="V221" s="9" t="str">
        <f>MID($A221,C221+C$2+1,D221-C221-C$2-1)</f>
        <v>0</v>
      </c>
      <c r="W221" s="4">
        <f>VALUE(SUBSTITUTE(MID($A221,D221+D$2+1,E221-D221-D$2-1),",","."))</f>
        <v>0</v>
      </c>
      <c r="X221" s="4">
        <f>VALUE(SUBSTITUTE(MID($A221,E221+E$2+1,F221-E221-E$2-1),",","."))</f>
        <v>0.90957602214449496</v>
      </c>
      <c r="Y221" s="4">
        <f>VALUE(SUBSTITUTE(MID($A221,F221+F$2+1,G221-F221-F$2-1),",","."))</f>
        <v>0</v>
      </c>
      <c r="Z221" s="3">
        <f>VALUE(SUBSTITUTE(MID($A221,G221+G$2+1,H221-G221-G$2-1),",","."))</f>
        <v>0</v>
      </c>
      <c r="AA221" s="3">
        <f>VALUE(SUBSTITUTE(MID($A221,H221+H$2+1,I221-H221-H$2-1),",","."))</f>
        <v>0</v>
      </c>
      <c r="AB221" s="3">
        <f>VALUE(SUBSTITUTE(MID($A221,I221+I$2+1,J221-I221-I$2-1),",","."))</f>
        <v>0</v>
      </c>
      <c r="AC221" s="3">
        <f>VALUE(SUBSTITUTE(MID($A221,J221+J$2+1,K221-J221-J$2-1),",","."))</f>
        <v>1.7</v>
      </c>
      <c r="AD221" s="3">
        <f>VALUE(SUBSTITUTE(MID($A221,K221+K$2+1,L221-K221-K$2-1),",","."))</f>
        <v>17.100000000000001</v>
      </c>
      <c r="AE221" s="3">
        <f>VALUE(SUBSTITUTE(MID($A221,L221+L$2+1,M221-L221-L$2-1),",","."))</f>
        <v>0</v>
      </c>
      <c r="AF221" s="3">
        <f>VALUE(SUBSTITUTE(MID($A221,M221+M$2+1,N221-M221-M$2-1),",","."))</f>
        <v>0</v>
      </c>
      <c r="AG221" s="3">
        <f>VALUE(SUBSTITUTE(MID($A221,N221+N$2+1,O221-N221-N$2-1),",","."))</f>
        <v>4.2096780802802396</v>
      </c>
      <c r="AH221" t="str">
        <f>MID($A221,O221+O$2+1,P221-O221-O$2-1)</f>
        <v/>
      </c>
      <c r="AI221" s="8" t="str">
        <f>MID($A221,P221+P$2+1,Q221-P221-P$2-1)</f>
        <v>False</v>
      </c>
      <c r="AK221" t="b">
        <f t="shared" si="32"/>
        <v>0</v>
      </c>
    </row>
    <row r="222" spans="1:37" x14ac:dyDescent="0.35">
      <c r="A222" t="s">
        <v>4769</v>
      </c>
      <c r="B222">
        <f t="shared" si="34"/>
        <v>10</v>
      </c>
      <c r="C222">
        <f t="shared" si="34"/>
        <v>43</v>
      </c>
      <c r="D222">
        <f t="shared" si="34"/>
        <v>54</v>
      </c>
      <c r="E222">
        <f t="shared" si="34"/>
        <v>80</v>
      </c>
      <c r="F222">
        <f t="shared" si="34"/>
        <v>124</v>
      </c>
      <c r="G222">
        <f t="shared" si="34"/>
        <v>145</v>
      </c>
      <c r="H222">
        <f t="shared" si="33"/>
        <v>177</v>
      </c>
      <c r="I222">
        <f t="shared" si="33"/>
        <v>199</v>
      </c>
      <c r="J222">
        <f t="shared" si="35"/>
        <v>232</v>
      </c>
      <c r="K222">
        <f t="shared" si="35"/>
        <v>251</v>
      </c>
      <c r="L222">
        <f t="shared" si="35"/>
        <v>269</v>
      </c>
      <c r="M222">
        <f t="shared" si="35"/>
        <v>284</v>
      </c>
      <c r="N222">
        <f t="shared" si="35"/>
        <v>296</v>
      </c>
      <c r="O222">
        <f t="shared" si="35"/>
        <v>321</v>
      </c>
      <c r="P222">
        <f t="shared" si="35"/>
        <v>339</v>
      </c>
      <c r="Q222">
        <f t="shared" si="35"/>
        <v>365</v>
      </c>
      <c r="S222" t="str">
        <f t="shared" si="29"/>
        <v>29.11.2025</v>
      </c>
      <c r="T222" t="str">
        <f t="shared" si="30"/>
        <v>02:00:00</v>
      </c>
      <c r="U222" t="str">
        <f t="shared" si="31"/>
        <v>29.11.2025 02:00:00</v>
      </c>
      <c r="V222" s="9" t="str">
        <f>MID($A222,C222+C$2+1,D222-C222-C$2-1)</f>
        <v>0</v>
      </c>
      <c r="W222" s="4">
        <f>VALUE(SUBSTITUTE(MID($A222,D222+D$2+1,E222-D222-D$2-1),",","."))</f>
        <v>0</v>
      </c>
      <c r="X222" s="4">
        <f>VALUE(SUBSTITUTE(MID($A222,E222+E$2+1,F222-E222-E$2-1),",","."))</f>
        <v>0.90957602214449496</v>
      </c>
      <c r="Y222" s="4">
        <f>VALUE(SUBSTITUTE(MID($A222,F222+F$2+1,G222-F222-F$2-1),",","."))</f>
        <v>0</v>
      </c>
      <c r="Z222" s="3">
        <f>VALUE(SUBSTITUTE(MID($A222,G222+G$2+1,H222-G222-G$2-1),",","."))</f>
        <v>0</v>
      </c>
      <c r="AA222" s="3">
        <f>VALUE(SUBSTITUTE(MID($A222,H222+H$2+1,I222-H222-H$2-1),",","."))</f>
        <v>0</v>
      </c>
      <c r="AB222" s="3">
        <f>VALUE(SUBSTITUTE(MID($A222,I222+I$2+1,J222-I222-I$2-1),",","."))</f>
        <v>0</v>
      </c>
      <c r="AC222" s="3">
        <f>VALUE(SUBSTITUTE(MID($A222,J222+J$2+1,K222-J222-J$2-1),",","."))</f>
        <v>1.7</v>
      </c>
      <c r="AD222" s="3">
        <f>VALUE(SUBSTITUTE(MID($A222,K222+K$2+1,L222-K222-K$2-1),",","."))</f>
        <v>17.100000000000001</v>
      </c>
      <c r="AE222" s="3">
        <f>VALUE(SUBSTITUTE(MID($A222,L222+L$2+1,M222-L222-L$2-1),",","."))</f>
        <v>0</v>
      </c>
      <c r="AF222" s="3">
        <f>VALUE(SUBSTITUTE(MID($A222,M222+M$2+1,N222-M222-M$2-1),",","."))</f>
        <v>0</v>
      </c>
      <c r="AG222" s="3">
        <f>VALUE(SUBSTITUTE(MID($A222,N222+N$2+1,O222-N222-N$2-1),",","."))</f>
        <v>4.2097066001683201</v>
      </c>
      <c r="AH222" t="str">
        <f>MID($A222,O222+O$2+1,P222-O222-O$2-1)</f>
        <v/>
      </c>
      <c r="AI222" s="8" t="str">
        <f>MID($A222,P222+P$2+1,Q222-P222-P$2-1)</f>
        <v>False</v>
      </c>
      <c r="AK222" t="b">
        <f t="shared" si="32"/>
        <v>0</v>
      </c>
    </row>
    <row r="223" spans="1:37" x14ac:dyDescent="0.35">
      <c r="A223" t="s">
        <v>4770</v>
      </c>
      <c r="B223">
        <f t="shared" si="34"/>
        <v>10</v>
      </c>
      <c r="C223">
        <f t="shared" si="34"/>
        <v>43</v>
      </c>
      <c r="D223">
        <f t="shared" si="34"/>
        <v>54</v>
      </c>
      <c r="E223">
        <f t="shared" si="34"/>
        <v>80</v>
      </c>
      <c r="F223">
        <f t="shared" si="34"/>
        <v>124</v>
      </c>
      <c r="G223">
        <f t="shared" si="34"/>
        <v>145</v>
      </c>
      <c r="H223">
        <f t="shared" si="33"/>
        <v>177</v>
      </c>
      <c r="I223">
        <f t="shared" si="33"/>
        <v>199</v>
      </c>
      <c r="J223">
        <f t="shared" si="35"/>
        <v>232</v>
      </c>
      <c r="K223">
        <f t="shared" si="35"/>
        <v>251</v>
      </c>
      <c r="L223">
        <f t="shared" si="35"/>
        <v>269</v>
      </c>
      <c r="M223">
        <f t="shared" si="35"/>
        <v>284</v>
      </c>
      <c r="N223">
        <f t="shared" si="35"/>
        <v>296</v>
      </c>
      <c r="O223">
        <f t="shared" si="35"/>
        <v>321</v>
      </c>
      <c r="P223">
        <f t="shared" si="35"/>
        <v>339</v>
      </c>
      <c r="Q223">
        <f t="shared" si="35"/>
        <v>365</v>
      </c>
      <c r="S223" t="str">
        <f t="shared" si="29"/>
        <v>29.11.2025</v>
      </c>
      <c r="T223" t="str">
        <f t="shared" si="30"/>
        <v>02:15:00</v>
      </c>
      <c r="U223" t="str">
        <f t="shared" si="31"/>
        <v>29.11.2025 02:15:00</v>
      </c>
      <c r="V223" s="9" t="str">
        <f>MID($A223,C223+C$2+1,D223-C223-C$2-1)</f>
        <v>0</v>
      </c>
      <c r="W223" s="4">
        <f>VALUE(SUBSTITUTE(MID($A223,D223+D$2+1,E223-D223-D$2-1),",","."))</f>
        <v>0</v>
      </c>
      <c r="X223" s="4">
        <f>VALUE(SUBSTITUTE(MID($A223,E223+E$2+1,F223-E223-E$2-1),",","."))</f>
        <v>0.90957602214449496</v>
      </c>
      <c r="Y223" s="4">
        <f>VALUE(SUBSTITUTE(MID($A223,F223+F$2+1,G223-F223-F$2-1),",","."))</f>
        <v>0</v>
      </c>
      <c r="Z223" s="3">
        <f>VALUE(SUBSTITUTE(MID($A223,G223+G$2+1,H223-G223-G$2-1),",","."))</f>
        <v>0</v>
      </c>
      <c r="AA223" s="3">
        <f>VALUE(SUBSTITUTE(MID($A223,H223+H$2+1,I223-H223-H$2-1),",","."))</f>
        <v>0</v>
      </c>
      <c r="AB223" s="3">
        <f>VALUE(SUBSTITUTE(MID($A223,I223+I$2+1,J223-I223-I$2-1),",","."))</f>
        <v>0</v>
      </c>
      <c r="AC223" s="3">
        <f>VALUE(SUBSTITUTE(MID($A223,J223+J$2+1,K223-J223-J$2-1),",","."))</f>
        <v>1.7</v>
      </c>
      <c r="AD223" s="3">
        <f>VALUE(SUBSTITUTE(MID($A223,K223+K$2+1,L223-K223-K$2-1),",","."))</f>
        <v>17.100000000000001</v>
      </c>
      <c r="AE223" s="3">
        <f>VALUE(SUBSTITUTE(MID($A223,L223+L$2+1,M223-L223-L$2-1),",","."))</f>
        <v>0</v>
      </c>
      <c r="AF223" s="3">
        <f>VALUE(SUBSTITUTE(MID($A223,M223+M$2+1,N223-M223-M$2-1),",","."))</f>
        <v>0</v>
      </c>
      <c r="AG223" s="3">
        <f>VALUE(SUBSTITUTE(MID($A223,N223+N$2+1,O223-N223-N$2-1),",","."))</f>
        <v>4.2097351200563997</v>
      </c>
      <c r="AH223" t="str">
        <f>MID($A223,O223+O$2+1,P223-O223-O$2-1)</f>
        <v/>
      </c>
      <c r="AI223" s="8" t="str">
        <f>MID($A223,P223+P$2+1,Q223-P223-P$2-1)</f>
        <v>False</v>
      </c>
      <c r="AK223" t="b">
        <f t="shared" si="32"/>
        <v>0</v>
      </c>
    </row>
    <row r="224" spans="1:37" x14ac:dyDescent="0.35">
      <c r="A224" t="s">
        <v>4771</v>
      </c>
      <c r="B224">
        <f t="shared" si="34"/>
        <v>10</v>
      </c>
      <c r="C224">
        <f t="shared" si="34"/>
        <v>43</v>
      </c>
      <c r="D224">
        <f t="shared" si="34"/>
        <v>54</v>
      </c>
      <c r="E224">
        <f t="shared" si="34"/>
        <v>80</v>
      </c>
      <c r="F224">
        <f t="shared" si="34"/>
        <v>124</v>
      </c>
      <c r="G224">
        <f t="shared" si="34"/>
        <v>145</v>
      </c>
      <c r="H224">
        <f t="shared" si="33"/>
        <v>177</v>
      </c>
      <c r="I224">
        <f t="shared" si="33"/>
        <v>199</v>
      </c>
      <c r="J224">
        <f t="shared" si="35"/>
        <v>232</v>
      </c>
      <c r="K224">
        <f t="shared" si="35"/>
        <v>251</v>
      </c>
      <c r="L224">
        <f t="shared" si="35"/>
        <v>270</v>
      </c>
      <c r="M224">
        <f t="shared" si="35"/>
        <v>285</v>
      </c>
      <c r="N224">
        <f t="shared" si="35"/>
        <v>297</v>
      </c>
      <c r="O224">
        <f t="shared" si="35"/>
        <v>322</v>
      </c>
      <c r="P224">
        <f t="shared" si="35"/>
        <v>340</v>
      </c>
      <c r="Q224">
        <f t="shared" si="35"/>
        <v>366</v>
      </c>
      <c r="S224" t="str">
        <f t="shared" si="29"/>
        <v>29.11.2025</v>
      </c>
      <c r="T224" t="str">
        <f t="shared" si="30"/>
        <v>02:30:00</v>
      </c>
      <c r="U224" t="str">
        <f t="shared" si="31"/>
        <v>29.11.2025 02:30:00</v>
      </c>
      <c r="V224" s="9" t="str">
        <f>MID($A224,C224+C$2+1,D224-C224-C$2-1)</f>
        <v>0</v>
      </c>
      <c r="W224" s="4">
        <f>VALUE(SUBSTITUTE(MID($A224,D224+D$2+1,E224-D224-D$2-1),",","."))</f>
        <v>0</v>
      </c>
      <c r="X224" s="4">
        <f>VALUE(SUBSTITUTE(MID($A224,E224+E$2+1,F224-E224-E$2-1),",","."))</f>
        <v>0.90957602214449496</v>
      </c>
      <c r="Y224" s="4">
        <f>VALUE(SUBSTITUTE(MID($A224,F224+F$2+1,G224-F224-F$2-1),",","."))</f>
        <v>0</v>
      </c>
      <c r="Z224" s="3">
        <f>VALUE(SUBSTITUTE(MID($A224,G224+G$2+1,H224-G224-G$2-1),",","."))</f>
        <v>0</v>
      </c>
      <c r="AA224" s="3">
        <f>VALUE(SUBSTITUTE(MID($A224,H224+H$2+1,I224-H224-H$2-1),",","."))</f>
        <v>0</v>
      </c>
      <c r="AB224" s="3">
        <f>VALUE(SUBSTITUTE(MID($A224,I224+I$2+1,J224-I224-I$2-1),",","."))</f>
        <v>0</v>
      </c>
      <c r="AC224" s="3">
        <f>VALUE(SUBSTITUTE(MID($A224,J224+J$2+1,K224-J224-J$2-1),",","."))</f>
        <v>1.8</v>
      </c>
      <c r="AD224" s="3">
        <f>VALUE(SUBSTITUTE(MID($A224,K224+K$2+1,L224-K224-K$2-1),",","."))</f>
        <v>16.920000000000002</v>
      </c>
      <c r="AE224" s="3">
        <f>VALUE(SUBSTITUTE(MID($A224,L224+L$2+1,M224-L224-L$2-1),",","."))</f>
        <v>0</v>
      </c>
      <c r="AF224" s="3">
        <f>VALUE(SUBSTITUTE(MID($A224,M224+M$2+1,N224-M224-M$2-1),",","."))</f>
        <v>0</v>
      </c>
      <c r="AG224" s="3">
        <f>VALUE(SUBSTITUTE(MID($A224,N224+N$2+1,O224-N224-N$2-1),",","."))</f>
        <v>4.2097636399444802</v>
      </c>
      <c r="AH224" t="str">
        <f>MID($A224,O224+O$2+1,P224-O224-O$2-1)</f>
        <v/>
      </c>
      <c r="AI224" s="8" t="str">
        <f>MID($A224,P224+P$2+1,Q224-P224-P$2-1)</f>
        <v>False</v>
      </c>
      <c r="AK224" t="b">
        <f t="shared" si="32"/>
        <v>0</v>
      </c>
    </row>
    <row r="225" spans="1:37" x14ac:dyDescent="0.35">
      <c r="A225" t="s">
        <v>4772</v>
      </c>
      <c r="B225">
        <f t="shared" si="34"/>
        <v>10</v>
      </c>
      <c r="C225">
        <f t="shared" si="34"/>
        <v>43</v>
      </c>
      <c r="D225">
        <f t="shared" si="34"/>
        <v>54</v>
      </c>
      <c r="E225">
        <f t="shared" si="34"/>
        <v>80</v>
      </c>
      <c r="F225">
        <f t="shared" si="34"/>
        <v>124</v>
      </c>
      <c r="G225">
        <f t="shared" si="34"/>
        <v>145</v>
      </c>
      <c r="H225">
        <f t="shared" si="33"/>
        <v>177</v>
      </c>
      <c r="I225">
        <f t="shared" si="33"/>
        <v>199</v>
      </c>
      <c r="J225">
        <f t="shared" si="35"/>
        <v>232</v>
      </c>
      <c r="K225">
        <f t="shared" si="35"/>
        <v>251</v>
      </c>
      <c r="L225">
        <f t="shared" si="35"/>
        <v>270</v>
      </c>
      <c r="M225">
        <f t="shared" si="35"/>
        <v>285</v>
      </c>
      <c r="N225">
        <f t="shared" si="35"/>
        <v>297</v>
      </c>
      <c r="O225">
        <f t="shared" si="35"/>
        <v>322</v>
      </c>
      <c r="P225">
        <f t="shared" si="35"/>
        <v>340</v>
      </c>
      <c r="Q225">
        <f t="shared" si="35"/>
        <v>366</v>
      </c>
      <c r="S225" t="str">
        <f t="shared" si="29"/>
        <v>29.11.2025</v>
      </c>
      <c r="T225" t="str">
        <f t="shared" si="30"/>
        <v>02:45:00</v>
      </c>
      <c r="U225" t="str">
        <f t="shared" si="31"/>
        <v>29.11.2025 02:45:00</v>
      </c>
      <c r="V225" s="9" t="str">
        <f>MID($A225,C225+C$2+1,D225-C225-C$2-1)</f>
        <v>0</v>
      </c>
      <c r="W225" s="4">
        <f>VALUE(SUBSTITUTE(MID($A225,D225+D$2+1,E225-D225-D$2-1),",","."))</f>
        <v>0</v>
      </c>
      <c r="X225" s="4">
        <f>VALUE(SUBSTITUTE(MID($A225,E225+E$2+1,F225-E225-E$2-1),",","."))</f>
        <v>0.90957602214449496</v>
      </c>
      <c r="Y225" s="4">
        <f>VALUE(SUBSTITUTE(MID($A225,F225+F$2+1,G225-F225-F$2-1),",","."))</f>
        <v>0</v>
      </c>
      <c r="Z225" s="3">
        <f>VALUE(SUBSTITUTE(MID($A225,G225+G$2+1,H225-G225-G$2-1),",","."))</f>
        <v>0</v>
      </c>
      <c r="AA225" s="3">
        <f>VALUE(SUBSTITUTE(MID($A225,H225+H$2+1,I225-H225-H$2-1),",","."))</f>
        <v>0</v>
      </c>
      <c r="AB225" s="3">
        <f>VALUE(SUBSTITUTE(MID($A225,I225+I$2+1,J225-I225-I$2-1),",","."))</f>
        <v>0</v>
      </c>
      <c r="AC225" s="3">
        <f>VALUE(SUBSTITUTE(MID($A225,J225+J$2+1,K225-J225-J$2-1),",","."))</f>
        <v>1.8</v>
      </c>
      <c r="AD225" s="3">
        <f>VALUE(SUBSTITUTE(MID($A225,K225+K$2+1,L225-K225-K$2-1),",","."))</f>
        <v>16.920000000000002</v>
      </c>
      <c r="AE225" s="3">
        <f>VALUE(SUBSTITUTE(MID($A225,L225+L$2+1,M225-L225-L$2-1),",","."))</f>
        <v>0</v>
      </c>
      <c r="AF225" s="3">
        <f>VALUE(SUBSTITUTE(MID($A225,M225+M$2+1,N225-M225-M$2-1),",","."))</f>
        <v>0</v>
      </c>
      <c r="AG225" s="3">
        <f>VALUE(SUBSTITUTE(MID($A225,N225+N$2+1,O225-N225-N$2-1),",","."))</f>
        <v>4.2097921598325696</v>
      </c>
      <c r="AH225" t="str">
        <f>MID($A225,O225+O$2+1,P225-O225-O$2-1)</f>
        <v/>
      </c>
      <c r="AI225" s="8" t="str">
        <f>MID($A225,P225+P$2+1,Q225-P225-P$2-1)</f>
        <v>False</v>
      </c>
      <c r="AK225" t="b">
        <f t="shared" si="32"/>
        <v>0</v>
      </c>
    </row>
    <row r="226" spans="1:37" x14ac:dyDescent="0.35">
      <c r="A226" t="s">
        <v>4773</v>
      </c>
      <c r="B226">
        <f t="shared" si="34"/>
        <v>10</v>
      </c>
      <c r="C226">
        <f t="shared" si="34"/>
        <v>43</v>
      </c>
      <c r="D226">
        <f t="shared" si="34"/>
        <v>54</v>
      </c>
      <c r="E226">
        <f t="shared" si="34"/>
        <v>80</v>
      </c>
      <c r="F226">
        <f t="shared" si="34"/>
        <v>124</v>
      </c>
      <c r="G226">
        <f t="shared" si="34"/>
        <v>145</v>
      </c>
      <c r="H226">
        <f t="shared" si="33"/>
        <v>177</v>
      </c>
      <c r="I226">
        <f t="shared" si="33"/>
        <v>199</v>
      </c>
      <c r="J226">
        <f t="shared" si="35"/>
        <v>232</v>
      </c>
      <c r="K226">
        <f t="shared" si="35"/>
        <v>251</v>
      </c>
      <c r="L226">
        <f t="shared" si="35"/>
        <v>270</v>
      </c>
      <c r="M226">
        <f t="shared" si="35"/>
        <v>285</v>
      </c>
      <c r="N226">
        <f t="shared" si="35"/>
        <v>297</v>
      </c>
      <c r="O226">
        <f t="shared" si="35"/>
        <v>322</v>
      </c>
      <c r="P226">
        <f t="shared" si="35"/>
        <v>340</v>
      </c>
      <c r="Q226">
        <f t="shared" si="35"/>
        <v>366</v>
      </c>
      <c r="S226" t="str">
        <f t="shared" si="29"/>
        <v>29.11.2025</v>
      </c>
      <c r="T226" t="str">
        <f t="shared" si="30"/>
        <v>03:00:00</v>
      </c>
      <c r="U226" t="str">
        <f t="shared" si="31"/>
        <v>29.11.2025 03:00:00</v>
      </c>
      <c r="V226" s="9" t="str">
        <f>MID($A226,C226+C$2+1,D226-C226-C$2-1)</f>
        <v>0</v>
      </c>
      <c r="W226" s="4">
        <f>VALUE(SUBSTITUTE(MID($A226,D226+D$2+1,E226-D226-D$2-1),",","."))</f>
        <v>0</v>
      </c>
      <c r="X226" s="4">
        <f>VALUE(SUBSTITUTE(MID($A226,E226+E$2+1,F226-E226-E$2-1),",","."))</f>
        <v>0.90957602214449496</v>
      </c>
      <c r="Y226" s="4">
        <f>VALUE(SUBSTITUTE(MID($A226,F226+F$2+1,G226-F226-F$2-1),",","."))</f>
        <v>0</v>
      </c>
      <c r="Z226" s="3">
        <f>VALUE(SUBSTITUTE(MID($A226,G226+G$2+1,H226-G226-G$2-1),",","."))</f>
        <v>0</v>
      </c>
      <c r="AA226" s="3">
        <f>VALUE(SUBSTITUTE(MID($A226,H226+H$2+1,I226-H226-H$2-1),",","."))</f>
        <v>0</v>
      </c>
      <c r="AB226" s="3">
        <f>VALUE(SUBSTITUTE(MID($A226,I226+I$2+1,J226-I226-I$2-1),",","."))</f>
        <v>0</v>
      </c>
      <c r="AC226" s="3">
        <f>VALUE(SUBSTITUTE(MID($A226,J226+J$2+1,K226-J226-J$2-1),",","."))</f>
        <v>1.8</v>
      </c>
      <c r="AD226" s="3">
        <f>VALUE(SUBSTITUTE(MID($A226,K226+K$2+1,L226-K226-K$2-1),",","."))</f>
        <v>16.920000000000002</v>
      </c>
      <c r="AE226" s="3">
        <f>VALUE(SUBSTITUTE(MID($A226,L226+L$2+1,M226-L226-L$2-1),",","."))</f>
        <v>0</v>
      </c>
      <c r="AF226" s="3">
        <f>VALUE(SUBSTITUTE(MID($A226,M226+M$2+1,N226-M226-M$2-1),",","."))</f>
        <v>0</v>
      </c>
      <c r="AG226" s="3">
        <f>VALUE(SUBSTITUTE(MID($A226,N226+N$2+1,O226-N226-N$2-1),",","."))</f>
        <v>4.2098206797206501</v>
      </c>
      <c r="AH226" t="str">
        <f>MID($A226,O226+O$2+1,P226-O226-O$2-1)</f>
        <v/>
      </c>
      <c r="AI226" s="8" t="str">
        <f>MID($A226,P226+P$2+1,Q226-P226-P$2-1)</f>
        <v>False</v>
      </c>
      <c r="AK226" t="b">
        <f t="shared" si="32"/>
        <v>0</v>
      </c>
    </row>
    <row r="227" spans="1:37" x14ac:dyDescent="0.35">
      <c r="A227" t="s">
        <v>4774</v>
      </c>
      <c r="B227">
        <f t="shared" si="34"/>
        <v>10</v>
      </c>
      <c r="C227">
        <f t="shared" si="34"/>
        <v>43</v>
      </c>
      <c r="D227">
        <f t="shared" si="34"/>
        <v>54</v>
      </c>
      <c r="E227">
        <f t="shared" si="34"/>
        <v>80</v>
      </c>
      <c r="F227">
        <f t="shared" si="34"/>
        <v>124</v>
      </c>
      <c r="G227">
        <f t="shared" si="34"/>
        <v>145</v>
      </c>
      <c r="H227">
        <f t="shared" si="33"/>
        <v>177</v>
      </c>
      <c r="I227">
        <f t="shared" si="33"/>
        <v>199</v>
      </c>
      <c r="J227">
        <f t="shared" si="35"/>
        <v>232</v>
      </c>
      <c r="K227">
        <f t="shared" si="35"/>
        <v>251</v>
      </c>
      <c r="L227">
        <f t="shared" si="35"/>
        <v>270</v>
      </c>
      <c r="M227">
        <f t="shared" si="35"/>
        <v>285</v>
      </c>
      <c r="N227">
        <f t="shared" si="35"/>
        <v>297</v>
      </c>
      <c r="O227">
        <f t="shared" si="35"/>
        <v>322</v>
      </c>
      <c r="P227">
        <f t="shared" si="35"/>
        <v>340</v>
      </c>
      <c r="Q227">
        <f t="shared" si="35"/>
        <v>366</v>
      </c>
      <c r="S227" t="str">
        <f t="shared" si="29"/>
        <v>29.11.2025</v>
      </c>
      <c r="T227" t="str">
        <f t="shared" si="30"/>
        <v>03:15:00</v>
      </c>
      <c r="U227" t="str">
        <f t="shared" si="31"/>
        <v>29.11.2025 03:15:00</v>
      </c>
      <c r="V227" s="9" t="str">
        <f>MID($A227,C227+C$2+1,D227-C227-C$2-1)</f>
        <v>0</v>
      </c>
      <c r="W227" s="4">
        <f>VALUE(SUBSTITUTE(MID($A227,D227+D$2+1,E227-D227-D$2-1),",","."))</f>
        <v>0</v>
      </c>
      <c r="X227" s="4">
        <f>VALUE(SUBSTITUTE(MID($A227,E227+E$2+1,F227-E227-E$2-1),",","."))</f>
        <v>0.90957602214449496</v>
      </c>
      <c r="Y227" s="4">
        <f>VALUE(SUBSTITUTE(MID($A227,F227+F$2+1,G227-F227-F$2-1),",","."))</f>
        <v>0</v>
      </c>
      <c r="Z227" s="3">
        <f>VALUE(SUBSTITUTE(MID($A227,G227+G$2+1,H227-G227-G$2-1),",","."))</f>
        <v>0</v>
      </c>
      <c r="AA227" s="3">
        <f>VALUE(SUBSTITUTE(MID($A227,H227+H$2+1,I227-H227-H$2-1),",","."))</f>
        <v>0</v>
      </c>
      <c r="AB227" s="3">
        <f>VALUE(SUBSTITUTE(MID($A227,I227+I$2+1,J227-I227-I$2-1),",","."))</f>
        <v>0</v>
      </c>
      <c r="AC227" s="3">
        <f>VALUE(SUBSTITUTE(MID($A227,J227+J$2+1,K227-J227-J$2-1),",","."))</f>
        <v>1.8</v>
      </c>
      <c r="AD227" s="3">
        <f>VALUE(SUBSTITUTE(MID($A227,K227+K$2+1,L227-K227-K$2-1),",","."))</f>
        <v>16.920000000000002</v>
      </c>
      <c r="AE227" s="3">
        <f>VALUE(SUBSTITUTE(MID($A227,L227+L$2+1,M227-L227-L$2-1),",","."))</f>
        <v>0</v>
      </c>
      <c r="AF227" s="3">
        <f>VALUE(SUBSTITUTE(MID($A227,M227+M$2+1,N227-M227-M$2-1),",","."))</f>
        <v>0</v>
      </c>
      <c r="AG227" s="3">
        <f>VALUE(SUBSTITUTE(MID($A227,N227+N$2+1,O227-N227-N$2-1),",","."))</f>
        <v>4.2098491996087297</v>
      </c>
      <c r="AH227" t="str">
        <f>MID($A227,O227+O$2+1,P227-O227-O$2-1)</f>
        <v/>
      </c>
      <c r="AI227" s="8" t="str">
        <f>MID($A227,P227+P$2+1,Q227-P227-P$2-1)</f>
        <v>False</v>
      </c>
      <c r="AK227" t="b">
        <f t="shared" si="32"/>
        <v>0</v>
      </c>
    </row>
    <row r="228" spans="1:37" x14ac:dyDescent="0.35">
      <c r="A228" t="s">
        <v>4775</v>
      </c>
      <c r="B228">
        <f t="shared" si="34"/>
        <v>10</v>
      </c>
      <c r="C228">
        <f t="shared" si="34"/>
        <v>43</v>
      </c>
      <c r="D228">
        <f t="shared" si="34"/>
        <v>54</v>
      </c>
      <c r="E228">
        <f t="shared" si="34"/>
        <v>80</v>
      </c>
      <c r="F228">
        <f t="shared" si="34"/>
        <v>124</v>
      </c>
      <c r="G228">
        <f t="shared" si="34"/>
        <v>145</v>
      </c>
      <c r="H228">
        <f t="shared" si="33"/>
        <v>177</v>
      </c>
      <c r="I228">
        <f t="shared" si="33"/>
        <v>199</v>
      </c>
      <c r="J228">
        <f t="shared" si="35"/>
        <v>232</v>
      </c>
      <c r="K228">
        <f t="shared" si="35"/>
        <v>251</v>
      </c>
      <c r="L228">
        <f t="shared" si="35"/>
        <v>270</v>
      </c>
      <c r="M228">
        <f t="shared" si="35"/>
        <v>285</v>
      </c>
      <c r="N228">
        <f t="shared" si="35"/>
        <v>297</v>
      </c>
      <c r="O228">
        <f t="shared" si="35"/>
        <v>323</v>
      </c>
      <c r="P228">
        <f t="shared" si="35"/>
        <v>341</v>
      </c>
      <c r="Q228">
        <f t="shared" si="35"/>
        <v>367</v>
      </c>
      <c r="S228" t="str">
        <f t="shared" si="29"/>
        <v>29.11.2025</v>
      </c>
      <c r="T228" t="str">
        <f t="shared" si="30"/>
        <v>03:30:00</v>
      </c>
      <c r="U228" t="str">
        <f t="shared" si="31"/>
        <v>29.11.2025 03:30:00</v>
      </c>
      <c r="V228" s="9" t="str">
        <f>MID($A228,C228+C$2+1,D228-C228-C$2-1)</f>
        <v>0</v>
      </c>
      <c r="W228" s="4">
        <f>VALUE(SUBSTITUTE(MID($A228,D228+D$2+1,E228-D228-D$2-1),",","."))</f>
        <v>0</v>
      </c>
      <c r="X228" s="4">
        <f>VALUE(SUBSTITUTE(MID($A228,E228+E$2+1,F228-E228-E$2-1),",","."))</f>
        <v>0.90957602214449496</v>
      </c>
      <c r="Y228" s="4">
        <f>VALUE(SUBSTITUTE(MID($A228,F228+F$2+1,G228-F228-F$2-1),",","."))</f>
        <v>0</v>
      </c>
      <c r="Z228" s="3">
        <f>VALUE(SUBSTITUTE(MID($A228,G228+G$2+1,H228-G228-G$2-1),",","."))</f>
        <v>0</v>
      </c>
      <c r="AA228" s="3">
        <f>VALUE(SUBSTITUTE(MID($A228,H228+H$2+1,I228-H228-H$2-1),",","."))</f>
        <v>0</v>
      </c>
      <c r="AB228" s="3">
        <f>VALUE(SUBSTITUTE(MID($A228,I228+I$2+1,J228-I228-I$2-1),",","."))</f>
        <v>0</v>
      </c>
      <c r="AC228" s="3">
        <f>VALUE(SUBSTITUTE(MID($A228,J228+J$2+1,K228-J228-J$2-1),",","."))</f>
        <v>1.6</v>
      </c>
      <c r="AD228" s="3">
        <f>VALUE(SUBSTITUTE(MID($A228,K228+K$2+1,L228-K228-K$2-1),",","."))</f>
        <v>23.94</v>
      </c>
      <c r="AE228" s="3">
        <f>VALUE(SUBSTITUTE(MID($A228,L228+L$2+1,M228-L228-L$2-1),",","."))</f>
        <v>0</v>
      </c>
      <c r="AF228" s="3">
        <f>VALUE(SUBSTITUTE(MID($A228,M228+M$2+1,N228-M228-M$2-1),",","."))</f>
        <v>0</v>
      </c>
      <c r="AG228" s="3">
        <f>VALUE(SUBSTITUTE(MID($A228,N228+N$2+1,O228-N228-N$2-1),",","."))</f>
        <v>4.2098777194968102</v>
      </c>
      <c r="AH228" t="str">
        <f>MID($A228,O228+O$2+1,P228-O228-O$2-1)</f>
        <v/>
      </c>
      <c r="AI228" s="8" t="str">
        <f>MID($A228,P228+P$2+1,Q228-P228-P$2-1)</f>
        <v>False</v>
      </c>
      <c r="AK228" t="b">
        <f t="shared" si="32"/>
        <v>0</v>
      </c>
    </row>
    <row r="229" spans="1:37" x14ac:dyDescent="0.35">
      <c r="A229" t="s">
        <v>4776</v>
      </c>
      <c r="B229">
        <f t="shared" si="34"/>
        <v>10</v>
      </c>
      <c r="C229">
        <f t="shared" si="34"/>
        <v>43</v>
      </c>
      <c r="D229">
        <f t="shared" si="34"/>
        <v>54</v>
      </c>
      <c r="E229">
        <f t="shared" si="34"/>
        <v>80</v>
      </c>
      <c r="F229">
        <f t="shared" si="34"/>
        <v>124</v>
      </c>
      <c r="G229">
        <f t="shared" si="34"/>
        <v>145</v>
      </c>
      <c r="H229">
        <f t="shared" si="33"/>
        <v>177</v>
      </c>
      <c r="I229">
        <f t="shared" si="33"/>
        <v>199</v>
      </c>
      <c r="J229">
        <f t="shared" si="35"/>
        <v>232</v>
      </c>
      <c r="K229">
        <f t="shared" si="35"/>
        <v>251</v>
      </c>
      <c r="L229">
        <f t="shared" si="35"/>
        <v>270</v>
      </c>
      <c r="M229">
        <f t="shared" si="35"/>
        <v>285</v>
      </c>
      <c r="N229">
        <f t="shared" si="35"/>
        <v>297</v>
      </c>
      <c r="O229">
        <f t="shared" si="35"/>
        <v>322</v>
      </c>
      <c r="P229">
        <f t="shared" si="35"/>
        <v>340</v>
      </c>
      <c r="Q229">
        <f t="shared" si="35"/>
        <v>366</v>
      </c>
      <c r="S229" t="str">
        <f t="shared" si="29"/>
        <v>29.11.2025</v>
      </c>
      <c r="T229" t="str">
        <f t="shared" si="30"/>
        <v>03:45:00</v>
      </c>
      <c r="U229" t="str">
        <f t="shared" si="31"/>
        <v>29.11.2025 03:45:00</v>
      </c>
      <c r="V229" s="9" t="str">
        <f>MID($A229,C229+C$2+1,D229-C229-C$2-1)</f>
        <v>0</v>
      </c>
      <c r="W229" s="4">
        <f>VALUE(SUBSTITUTE(MID($A229,D229+D$2+1,E229-D229-D$2-1),",","."))</f>
        <v>0</v>
      </c>
      <c r="X229" s="4">
        <f>VALUE(SUBSTITUTE(MID($A229,E229+E$2+1,F229-E229-E$2-1),",","."))</f>
        <v>0.90957602214449496</v>
      </c>
      <c r="Y229" s="4">
        <f>VALUE(SUBSTITUTE(MID($A229,F229+F$2+1,G229-F229-F$2-1),",","."))</f>
        <v>0</v>
      </c>
      <c r="Z229" s="3">
        <f>VALUE(SUBSTITUTE(MID($A229,G229+G$2+1,H229-G229-G$2-1),",","."))</f>
        <v>0</v>
      </c>
      <c r="AA229" s="3">
        <f>VALUE(SUBSTITUTE(MID($A229,H229+H$2+1,I229-H229-H$2-1),",","."))</f>
        <v>0</v>
      </c>
      <c r="AB229" s="3">
        <f>VALUE(SUBSTITUTE(MID($A229,I229+I$2+1,J229-I229-I$2-1),",","."))</f>
        <v>0</v>
      </c>
      <c r="AC229" s="3">
        <f>VALUE(SUBSTITUTE(MID($A229,J229+J$2+1,K229-J229-J$2-1),",","."))</f>
        <v>1.6</v>
      </c>
      <c r="AD229" s="3">
        <f>VALUE(SUBSTITUTE(MID($A229,K229+K$2+1,L229-K229-K$2-1),",","."))</f>
        <v>23.94</v>
      </c>
      <c r="AE229" s="3">
        <f>VALUE(SUBSTITUTE(MID($A229,L229+L$2+1,M229-L229-L$2-1),",","."))</f>
        <v>0</v>
      </c>
      <c r="AF229" s="3">
        <f>VALUE(SUBSTITUTE(MID($A229,M229+M$2+1,N229-M229-M$2-1),",","."))</f>
        <v>0</v>
      </c>
      <c r="AG229" s="3">
        <f>VALUE(SUBSTITUTE(MID($A229,N229+N$2+1,O229-N229-N$2-1),",","."))</f>
        <v>4.2099062393848898</v>
      </c>
      <c r="AH229" t="str">
        <f>MID($A229,O229+O$2+1,P229-O229-O$2-1)</f>
        <v/>
      </c>
      <c r="AI229" s="8" t="str">
        <f>MID($A229,P229+P$2+1,Q229-P229-P$2-1)</f>
        <v>False</v>
      </c>
      <c r="AK229" t="b">
        <f t="shared" si="32"/>
        <v>0</v>
      </c>
    </row>
    <row r="230" spans="1:37" x14ac:dyDescent="0.35">
      <c r="A230" t="s">
        <v>4777</v>
      </c>
      <c r="B230">
        <f t="shared" si="34"/>
        <v>10</v>
      </c>
      <c r="C230">
        <f t="shared" si="34"/>
        <v>43</v>
      </c>
      <c r="D230">
        <f t="shared" si="34"/>
        <v>54</v>
      </c>
      <c r="E230">
        <f t="shared" si="34"/>
        <v>80</v>
      </c>
      <c r="F230">
        <f t="shared" si="34"/>
        <v>124</v>
      </c>
      <c r="G230">
        <f t="shared" si="34"/>
        <v>145</v>
      </c>
      <c r="H230">
        <f t="shared" si="33"/>
        <v>177</v>
      </c>
      <c r="I230">
        <f t="shared" si="33"/>
        <v>199</v>
      </c>
      <c r="J230">
        <f t="shared" si="35"/>
        <v>232</v>
      </c>
      <c r="K230">
        <f t="shared" si="35"/>
        <v>251</v>
      </c>
      <c r="L230">
        <f t="shared" si="35"/>
        <v>270</v>
      </c>
      <c r="M230">
        <f t="shared" si="35"/>
        <v>285</v>
      </c>
      <c r="N230">
        <f t="shared" si="35"/>
        <v>297</v>
      </c>
      <c r="O230">
        <f t="shared" si="35"/>
        <v>322</v>
      </c>
      <c r="P230">
        <f t="shared" si="35"/>
        <v>340</v>
      </c>
      <c r="Q230">
        <f t="shared" si="35"/>
        <v>366</v>
      </c>
      <c r="S230" t="str">
        <f t="shared" si="29"/>
        <v>29.11.2025</v>
      </c>
      <c r="T230" t="str">
        <f t="shared" si="30"/>
        <v>04:00:00</v>
      </c>
      <c r="U230" t="str">
        <f t="shared" si="31"/>
        <v>29.11.2025 04:00:00</v>
      </c>
      <c r="V230" s="9" t="str">
        <f>MID($A230,C230+C$2+1,D230-C230-C$2-1)</f>
        <v>0</v>
      </c>
      <c r="W230" s="4">
        <f>VALUE(SUBSTITUTE(MID($A230,D230+D$2+1,E230-D230-D$2-1),",","."))</f>
        <v>0</v>
      </c>
      <c r="X230" s="4">
        <f>VALUE(SUBSTITUTE(MID($A230,E230+E$2+1,F230-E230-E$2-1),",","."))</f>
        <v>0.90957602214449496</v>
      </c>
      <c r="Y230" s="4">
        <f>VALUE(SUBSTITUTE(MID($A230,F230+F$2+1,G230-F230-F$2-1),",","."))</f>
        <v>0</v>
      </c>
      <c r="Z230" s="3">
        <f>VALUE(SUBSTITUTE(MID($A230,G230+G$2+1,H230-G230-G$2-1),",","."))</f>
        <v>0</v>
      </c>
      <c r="AA230" s="3">
        <f>VALUE(SUBSTITUTE(MID($A230,H230+H$2+1,I230-H230-H$2-1),",","."))</f>
        <v>0</v>
      </c>
      <c r="AB230" s="3">
        <f>VALUE(SUBSTITUTE(MID($A230,I230+I$2+1,J230-I230-I$2-1),",","."))</f>
        <v>0</v>
      </c>
      <c r="AC230" s="3">
        <f>VALUE(SUBSTITUTE(MID($A230,J230+J$2+1,K230-J230-J$2-1),",","."))</f>
        <v>1.6</v>
      </c>
      <c r="AD230" s="3">
        <f>VALUE(SUBSTITUTE(MID($A230,K230+K$2+1,L230-K230-K$2-1),",","."))</f>
        <v>23.94</v>
      </c>
      <c r="AE230" s="3">
        <f>VALUE(SUBSTITUTE(MID($A230,L230+L$2+1,M230-L230-L$2-1),",","."))</f>
        <v>0</v>
      </c>
      <c r="AF230" s="3">
        <f>VALUE(SUBSTITUTE(MID($A230,M230+M$2+1,N230-M230-M$2-1),",","."))</f>
        <v>0</v>
      </c>
      <c r="AG230" s="3">
        <f>VALUE(SUBSTITUTE(MID($A230,N230+N$2+1,O230-N230-N$2-1),",","."))</f>
        <v>4.2099347592729703</v>
      </c>
      <c r="AH230" t="str">
        <f>MID($A230,O230+O$2+1,P230-O230-O$2-1)</f>
        <v/>
      </c>
      <c r="AI230" s="8" t="str">
        <f>MID($A230,P230+P$2+1,Q230-P230-P$2-1)</f>
        <v>False</v>
      </c>
      <c r="AK230" t="b">
        <f t="shared" si="32"/>
        <v>0</v>
      </c>
    </row>
    <row r="231" spans="1:37" x14ac:dyDescent="0.35">
      <c r="A231" t="s">
        <v>4778</v>
      </c>
      <c r="B231">
        <f t="shared" si="34"/>
        <v>10</v>
      </c>
      <c r="C231">
        <f t="shared" si="34"/>
        <v>43</v>
      </c>
      <c r="D231">
        <f t="shared" si="34"/>
        <v>54</v>
      </c>
      <c r="E231">
        <f t="shared" si="34"/>
        <v>80</v>
      </c>
      <c r="F231">
        <f t="shared" si="34"/>
        <v>124</v>
      </c>
      <c r="G231">
        <f t="shared" si="34"/>
        <v>145</v>
      </c>
      <c r="H231">
        <f t="shared" si="33"/>
        <v>177</v>
      </c>
      <c r="I231">
        <f t="shared" si="33"/>
        <v>199</v>
      </c>
      <c r="J231">
        <f t="shared" si="35"/>
        <v>232</v>
      </c>
      <c r="K231">
        <f t="shared" si="35"/>
        <v>251</v>
      </c>
      <c r="L231">
        <f t="shared" si="35"/>
        <v>270</v>
      </c>
      <c r="M231">
        <f t="shared" si="35"/>
        <v>285</v>
      </c>
      <c r="N231">
        <f t="shared" si="35"/>
        <v>297</v>
      </c>
      <c r="O231">
        <f t="shared" si="35"/>
        <v>322</v>
      </c>
      <c r="P231">
        <f t="shared" si="35"/>
        <v>340</v>
      </c>
      <c r="Q231">
        <f t="shared" si="35"/>
        <v>366</v>
      </c>
      <c r="S231" t="str">
        <f t="shared" si="29"/>
        <v>29.11.2025</v>
      </c>
      <c r="T231" t="str">
        <f t="shared" si="30"/>
        <v>04:15:00</v>
      </c>
      <c r="U231" t="str">
        <f t="shared" si="31"/>
        <v>29.11.2025 04:15:00</v>
      </c>
      <c r="V231" s="9" t="str">
        <f>MID($A231,C231+C$2+1,D231-C231-C$2-1)</f>
        <v>0</v>
      </c>
      <c r="W231" s="4">
        <f>VALUE(SUBSTITUTE(MID($A231,D231+D$2+1,E231-D231-D$2-1),",","."))</f>
        <v>0</v>
      </c>
      <c r="X231" s="4">
        <f>VALUE(SUBSTITUTE(MID($A231,E231+E$2+1,F231-E231-E$2-1),",","."))</f>
        <v>0.90957602214449496</v>
      </c>
      <c r="Y231" s="4">
        <f>VALUE(SUBSTITUTE(MID($A231,F231+F$2+1,G231-F231-F$2-1),",","."))</f>
        <v>0</v>
      </c>
      <c r="Z231" s="3">
        <f>VALUE(SUBSTITUTE(MID($A231,G231+G$2+1,H231-G231-G$2-1),",","."))</f>
        <v>0</v>
      </c>
      <c r="AA231" s="3">
        <f>VALUE(SUBSTITUTE(MID($A231,H231+H$2+1,I231-H231-H$2-1),",","."))</f>
        <v>0</v>
      </c>
      <c r="AB231" s="3">
        <f>VALUE(SUBSTITUTE(MID($A231,I231+I$2+1,J231-I231-I$2-1),",","."))</f>
        <v>0</v>
      </c>
      <c r="AC231" s="3">
        <f>VALUE(SUBSTITUTE(MID($A231,J231+J$2+1,K231-J231-J$2-1),",","."))</f>
        <v>1.6</v>
      </c>
      <c r="AD231" s="3">
        <f>VALUE(SUBSTITUTE(MID($A231,K231+K$2+1,L231-K231-K$2-1),",","."))</f>
        <v>23.94</v>
      </c>
      <c r="AE231" s="3">
        <f>VALUE(SUBSTITUTE(MID($A231,L231+L$2+1,M231-L231-L$2-1),",","."))</f>
        <v>0</v>
      </c>
      <c r="AF231" s="3">
        <f>VALUE(SUBSTITUTE(MID($A231,M231+M$2+1,N231-M231-M$2-1),",","."))</f>
        <v>0</v>
      </c>
      <c r="AG231" s="3">
        <f>VALUE(SUBSTITUTE(MID($A231,N231+N$2+1,O231-N231-N$2-1),",","."))</f>
        <v>4.2099632791610597</v>
      </c>
      <c r="AH231" t="str">
        <f>MID($A231,O231+O$2+1,P231-O231-O$2-1)</f>
        <v/>
      </c>
      <c r="AI231" s="8" t="str">
        <f>MID($A231,P231+P$2+1,Q231-P231-P$2-1)</f>
        <v>False</v>
      </c>
      <c r="AK231" t="b">
        <f t="shared" si="32"/>
        <v>0</v>
      </c>
    </row>
    <row r="232" spans="1:37" x14ac:dyDescent="0.35">
      <c r="A232" t="s">
        <v>4779</v>
      </c>
      <c r="B232">
        <f t="shared" si="34"/>
        <v>10</v>
      </c>
      <c r="C232">
        <f t="shared" si="34"/>
        <v>43</v>
      </c>
      <c r="D232">
        <f t="shared" si="34"/>
        <v>54</v>
      </c>
      <c r="E232">
        <f t="shared" si="34"/>
        <v>80</v>
      </c>
      <c r="F232">
        <f t="shared" si="34"/>
        <v>124</v>
      </c>
      <c r="G232">
        <f t="shared" si="34"/>
        <v>145</v>
      </c>
      <c r="H232">
        <f t="shared" si="33"/>
        <v>177</v>
      </c>
      <c r="I232">
        <f t="shared" si="33"/>
        <v>199</v>
      </c>
      <c r="J232">
        <f t="shared" si="35"/>
        <v>232</v>
      </c>
      <c r="K232">
        <f t="shared" si="35"/>
        <v>266</v>
      </c>
      <c r="L232">
        <f t="shared" si="35"/>
        <v>284</v>
      </c>
      <c r="M232">
        <f t="shared" si="35"/>
        <v>299</v>
      </c>
      <c r="N232">
        <f t="shared" si="35"/>
        <v>311</v>
      </c>
      <c r="O232">
        <f t="shared" si="35"/>
        <v>336</v>
      </c>
      <c r="P232">
        <f t="shared" si="35"/>
        <v>354</v>
      </c>
      <c r="Q232">
        <f t="shared" si="35"/>
        <v>380</v>
      </c>
      <c r="S232" t="str">
        <f t="shared" si="29"/>
        <v>29.11.2025</v>
      </c>
      <c r="T232" t="str">
        <f t="shared" si="30"/>
        <v>04:30:00</v>
      </c>
      <c r="U232" t="str">
        <f t="shared" si="31"/>
        <v>29.11.2025 04:30:00</v>
      </c>
      <c r="V232" s="9" t="str">
        <f>MID($A232,C232+C$2+1,D232-C232-C$2-1)</f>
        <v>0</v>
      </c>
      <c r="W232" s="4">
        <f>VALUE(SUBSTITUTE(MID($A232,D232+D$2+1,E232-D232-D$2-1),",","."))</f>
        <v>0</v>
      </c>
      <c r="X232" s="4">
        <f>VALUE(SUBSTITUTE(MID($A232,E232+E$2+1,F232-E232-E$2-1),",","."))</f>
        <v>0.90957602214449496</v>
      </c>
      <c r="Y232" s="4">
        <f>VALUE(SUBSTITUTE(MID($A232,F232+F$2+1,G232-F232-F$2-1),",","."))</f>
        <v>0</v>
      </c>
      <c r="Z232" s="3">
        <f>VALUE(SUBSTITUTE(MID($A232,G232+G$2+1,H232-G232-G$2-1),",","."))</f>
        <v>0</v>
      </c>
      <c r="AA232" s="3">
        <f>VALUE(SUBSTITUTE(MID($A232,H232+H$2+1,I232-H232-H$2-1),",","."))</f>
        <v>0</v>
      </c>
      <c r="AB232" s="3">
        <f>VALUE(SUBSTITUTE(MID($A232,I232+I$2+1,J232-I232-I$2-1),",","."))</f>
        <v>0</v>
      </c>
      <c r="AC232" s="3">
        <f>VALUE(SUBSTITUTE(MID($A232,J232+J$2+1,K232-J232-J$2-1),",","."))</f>
        <v>1.45</v>
      </c>
      <c r="AD232" s="3">
        <f>VALUE(SUBSTITUTE(MID($A232,K232+K$2+1,L232-K232-K$2-1),",","."))</f>
        <v>21.6</v>
      </c>
      <c r="AE232" s="3">
        <f>VALUE(SUBSTITUTE(MID($A232,L232+L$2+1,M232-L232-L$2-1),",","."))</f>
        <v>0</v>
      </c>
      <c r="AF232" s="3">
        <f>VALUE(SUBSTITUTE(MID($A232,M232+M$2+1,N232-M232-M$2-1),",","."))</f>
        <v>0</v>
      </c>
      <c r="AG232" s="3">
        <f>VALUE(SUBSTITUTE(MID($A232,N232+N$2+1,O232-N232-N$2-1),",","."))</f>
        <v>4.2099917990491402</v>
      </c>
      <c r="AH232" t="str">
        <f>MID($A232,O232+O$2+1,P232-O232-O$2-1)</f>
        <v/>
      </c>
      <c r="AI232" s="8" t="str">
        <f>MID($A232,P232+P$2+1,Q232-P232-P$2-1)</f>
        <v>False</v>
      </c>
      <c r="AK232" t="b">
        <f t="shared" si="32"/>
        <v>0</v>
      </c>
    </row>
    <row r="233" spans="1:37" x14ac:dyDescent="0.35">
      <c r="A233" t="s">
        <v>4780</v>
      </c>
      <c r="B233">
        <f t="shared" si="34"/>
        <v>10</v>
      </c>
      <c r="C233">
        <f t="shared" si="34"/>
        <v>43</v>
      </c>
      <c r="D233">
        <f t="shared" si="34"/>
        <v>54</v>
      </c>
      <c r="E233">
        <f t="shared" si="34"/>
        <v>80</v>
      </c>
      <c r="F233">
        <f t="shared" si="34"/>
        <v>124</v>
      </c>
      <c r="G233">
        <f t="shared" si="34"/>
        <v>145</v>
      </c>
      <c r="H233">
        <f t="shared" si="33"/>
        <v>177</v>
      </c>
      <c r="I233">
        <f t="shared" si="33"/>
        <v>199</v>
      </c>
      <c r="J233">
        <f t="shared" si="35"/>
        <v>232</v>
      </c>
      <c r="K233">
        <f t="shared" si="35"/>
        <v>266</v>
      </c>
      <c r="L233">
        <f t="shared" si="35"/>
        <v>284</v>
      </c>
      <c r="M233">
        <f t="shared" si="35"/>
        <v>299</v>
      </c>
      <c r="N233">
        <f t="shared" si="35"/>
        <v>311</v>
      </c>
      <c r="O233">
        <f t="shared" si="35"/>
        <v>336</v>
      </c>
      <c r="P233">
        <f t="shared" si="35"/>
        <v>354</v>
      </c>
      <c r="Q233">
        <f t="shared" si="35"/>
        <v>380</v>
      </c>
      <c r="S233" t="str">
        <f t="shared" si="29"/>
        <v>29.11.2025</v>
      </c>
      <c r="T233" t="str">
        <f t="shared" si="30"/>
        <v>04:45:00</v>
      </c>
      <c r="U233" t="str">
        <f t="shared" si="31"/>
        <v>29.11.2025 04:45:00</v>
      </c>
      <c r="V233" s="9" t="str">
        <f>MID($A233,C233+C$2+1,D233-C233-C$2-1)</f>
        <v>0</v>
      </c>
      <c r="W233" s="4">
        <f>VALUE(SUBSTITUTE(MID($A233,D233+D$2+1,E233-D233-D$2-1),",","."))</f>
        <v>0</v>
      </c>
      <c r="X233" s="4">
        <f>VALUE(SUBSTITUTE(MID($A233,E233+E$2+1,F233-E233-E$2-1),",","."))</f>
        <v>0.90957602214449496</v>
      </c>
      <c r="Y233" s="4">
        <f>VALUE(SUBSTITUTE(MID($A233,F233+F$2+1,G233-F233-F$2-1),",","."))</f>
        <v>0</v>
      </c>
      <c r="Z233" s="3">
        <f>VALUE(SUBSTITUTE(MID($A233,G233+G$2+1,H233-G233-G$2-1),",","."))</f>
        <v>0</v>
      </c>
      <c r="AA233" s="3">
        <f>VALUE(SUBSTITUTE(MID($A233,H233+H$2+1,I233-H233-H$2-1),",","."))</f>
        <v>0</v>
      </c>
      <c r="AB233" s="3">
        <f>VALUE(SUBSTITUTE(MID($A233,I233+I$2+1,J233-I233-I$2-1),",","."))</f>
        <v>0</v>
      </c>
      <c r="AC233" s="3">
        <f>VALUE(SUBSTITUTE(MID($A233,J233+J$2+1,K233-J233-J$2-1),",","."))</f>
        <v>1.45</v>
      </c>
      <c r="AD233" s="3">
        <f>VALUE(SUBSTITUTE(MID($A233,K233+K$2+1,L233-K233-K$2-1),",","."))</f>
        <v>21.6</v>
      </c>
      <c r="AE233" s="3">
        <f>VALUE(SUBSTITUTE(MID($A233,L233+L$2+1,M233-L233-L$2-1),",","."))</f>
        <v>0</v>
      </c>
      <c r="AF233" s="3">
        <f>VALUE(SUBSTITUTE(MID($A233,M233+M$2+1,N233-M233-M$2-1),",","."))</f>
        <v>0</v>
      </c>
      <c r="AG233" s="3">
        <f>VALUE(SUBSTITUTE(MID($A233,N233+N$2+1,O233-N233-N$2-1),",","."))</f>
        <v>4.2100203189372198</v>
      </c>
      <c r="AH233" t="str">
        <f>MID($A233,O233+O$2+1,P233-O233-O$2-1)</f>
        <v/>
      </c>
      <c r="AI233" s="8" t="str">
        <f>MID($A233,P233+P$2+1,Q233-P233-P$2-1)</f>
        <v>False</v>
      </c>
      <c r="AK233" t="b">
        <f t="shared" si="32"/>
        <v>0</v>
      </c>
    </row>
    <row r="234" spans="1:37" x14ac:dyDescent="0.35">
      <c r="A234" t="s">
        <v>4781</v>
      </c>
      <c r="B234">
        <f t="shared" si="34"/>
        <v>10</v>
      </c>
      <c r="C234">
        <f t="shared" si="34"/>
        <v>43</v>
      </c>
      <c r="D234">
        <f t="shared" si="34"/>
        <v>54</v>
      </c>
      <c r="E234">
        <f t="shared" si="34"/>
        <v>80</v>
      </c>
      <c r="F234">
        <f t="shared" si="34"/>
        <v>124</v>
      </c>
      <c r="G234">
        <f t="shared" si="34"/>
        <v>145</v>
      </c>
      <c r="H234">
        <f t="shared" si="33"/>
        <v>177</v>
      </c>
      <c r="I234">
        <f t="shared" si="33"/>
        <v>199</v>
      </c>
      <c r="J234">
        <f t="shared" si="35"/>
        <v>232</v>
      </c>
      <c r="K234">
        <f t="shared" si="35"/>
        <v>266</v>
      </c>
      <c r="L234">
        <f t="shared" si="35"/>
        <v>284</v>
      </c>
      <c r="M234">
        <f t="shared" si="35"/>
        <v>299</v>
      </c>
      <c r="N234">
        <f t="shared" si="35"/>
        <v>311</v>
      </c>
      <c r="O234">
        <f t="shared" si="35"/>
        <v>336</v>
      </c>
      <c r="P234">
        <f t="shared" si="35"/>
        <v>354</v>
      </c>
      <c r="Q234">
        <f t="shared" si="35"/>
        <v>380</v>
      </c>
      <c r="S234" t="str">
        <f t="shared" si="29"/>
        <v>29.11.2025</v>
      </c>
      <c r="T234" t="str">
        <f t="shared" si="30"/>
        <v>05:00:00</v>
      </c>
      <c r="U234" t="str">
        <f t="shared" si="31"/>
        <v>29.11.2025 05:00:00</v>
      </c>
      <c r="V234" s="9" t="str">
        <f>MID($A234,C234+C$2+1,D234-C234-C$2-1)</f>
        <v>0</v>
      </c>
      <c r="W234" s="4">
        <f>VALUE(SUBSTITUTE(MID($A234,D234+D$2+1,E234-D234-D$2-1),",","."))</f>
        <v>0</v>
      </c>
      <c r="X234" s="4">
        <f>VALUE(SUBSTITUTE(MID($A234,E234+E$2+1,F234-E234-E$2-1),",","."))</f>
        <v>0.90957602214449496</v>
      </c>
      <c r="Y234" s="4">
        <f>VALUE(SUBSTITUTE(MID($A234,F234+F$2+1,G234-F234-F$2-1),",","."))</f>
        <v>0</v>
      </c>
      <c r="Z234" s="3">
        <f>VALUE(SUBSTITUTE(MID($A234,G234+G$2+1,H234-G234-G$2-1),",","."))</f>
        <v>0</v>
      </c>
      <c r="AA234" s="3">
        <f>VALUE(SUBSTITUTE(MID($A234,H234+H$2+1,I234-H234-H$2-1),",","."))</f>
        <v>0</v>
      </c>
      <c r="AB234" s="3">
        <f>VALUE(SUBSTITUTE(MID($A234,I234+I$2+1,J234-I234-I$2-1),",","."))</f>
        <v>0</v>
      </c>
      <c r="AC234" s="3">
        <f>VALUE(SUBSTITUTE(MID($A234,J234+J$2+1,K234-J234-J$2-1),",","."))</f>
        <v>1.45</v>
      </c>
      <c r="AD234" s="3">
        <f>VALUE(SUBSTITUTE(MID($A234,K234+K$2+1,L234-K234-K$2-1),",","."))</f>
        <v>21.6</v>
      </c>
      <c r="AE234" s="3">
        <f>VALUE(SUBSTITUTE(MID($A234,L234+L$2+1,M234-L234-L$2-1),",","."))</f>
        <v>0</v>
      </c>
      <c r="AF234" s="3">
        <f>VALUE(SUBSTITUTE(MID($A234,M234+M$2+1,N234-M234-M$2-1),",","."))</f>
        <v>0</v>
      </c>
      <c r="AG234" s="3">
        <f>VALUE(SUBSTITUTE(MID($A234,N234+N$2+1,O234-N234-N$2-1),",","."))</f>
        <v>4.2100488388253003</v>
      </c>
      <c r="AH234" t="str">
        <f>MID($A234,O234+O$2+1,P234-O234-O$2-1)</f>
        <v/>
      </c>
      <c r="AI234" s="8" t="str">
        <f>MID($A234,P234+P$2+1,Q234-P234-P$2-1)</f>
        <v>False</v>
      </c>
      <c r="AK234" t="b">
        <f t="shared" si="32"/>
        <v>0</v>
      </c>
    </row>
    <row r="235" spans="1:37" x14ac:dyDescent="0.35">
      <c r="A235" t="s">
        <v>4782</v>
      </c>
      <c r="B235">
        <f t="shared" si="34"/>
        <v>10</v>
      </c>
      <c r="C235">
        <f t="shared" si="34"/>
        <v>43</v>
      </c>
      <c r="D235">
        <f t="shared" si="34"/>
        <v>54</v>
      </c>
      <c r="E235">
        <f t="shared" si="34"/>
        <v>80</v>
      </c>
      <c r="F235">
        <f t="shared" si="34"/>
        <v>124</v>
      </c>
      <c r="G235">
        <f t="shared" si="34"/>
        <v>145</v>
      </c>
      <c r="H235">
        <f t="shared" si="33"/>
        <v>177</v>
      </c>
      <c r="I235">
        <f t="shared" si="33"/>
        <v>199</v>
      </c>
      <c r="J235">
        <f t="shared" si="35"/>
        <v>232</v>
      </c>
      <c r="K235">
        <f t="shared" si="35"/>
        <v>266</v>
      </c>
      <c r="L235">
        <f t="shared" si="35"/>
        <v>284</v>
      </c>
      <c r="M235">
        <f t="shared" si="35"/>
        <v>299</v>
      </c>
      <c r="N235">
        <f t="shared" si="35"/>
        <v>311</v>
      </c>
      <c r="O235">
        <f t="shared" si="35"/>
        <v>336</v>
      </c>
      <c r="P235">
        <f t="shared" si="35"/>
        <v>354</v>
      </c>
      <c r="Q235">
        <f t="shared" si="35"/>
        <v>380</v>
      </c>
      <c r="S235" t="str">
        <f t="shared" si="29"/>
        <v>29.11.2025</v>
      </c>
      <c r="T235" t="str">
        <f t="shared" si="30"/>
        <v>05:15:00</v>
      </c>
      <c r="U235" t="str">
        <f t="shared" si="31"/>
        <v>29.11.2025 05:15:00</v>
      </c>
      <c r="V235" s="9" t="str">
        <f>MID($A235,C235+C$2+1,D235-C235-C$2-1)</f>
        <v>0</v>
      </c>
      <c r="W235" s="4">
        <f>VALUE(SUBSTITUTE(MID($A235,D235+D$2+1,E235-D235-D$2-1),",","."))</f>
        <v>0</v>
      </c>
      <c r="X235" s="4">
        <f>VALUE(SUBSTITUTE(MID($A235,E235+E$2+1,F235-E235-E$2-1),",","."))</f>
        <v>0.90957602214449496</v>
      </c>
      <c r="Y235" s="4">
        <f>VALUE(SUBSTITUTE(MID($A235,F235+F$2+1,G235-F235-F$2-1),",","."))</f>
        <v>0</v>
      </c>
      <c r="Z235" s="3">
        <f>VALUE(SUBSTITUTE(MID($A235,G235+G$2+1,H235-G235-G$2-1),",","."))</f>
        <v>0</v>
      </c>
      <c r="AA235" s="3">
        <f>VALUE(SUBSTITUTE(MID($A235,H235+H$2+1,I235-H235-H$2-1),",","."))</f>
        <v>0</v>
      </c>
      <c r="AB235" s="3">
        <f>VALUE(SUBSTITUTE(MID($A235,I235+I$2+1,J235-I235-I$2-1),",","."))</f>
        <v>0</v>
      </c>
      <c r="AC235" s="3">
        <f>VALUE(SUBSTITUTE(MID($A235,J235+J$2+1,K235-J235-J$2-1),",","."))</f>
        <v>1.45</v>
      </c>
      <c r="AD235" s="3">
        <f>VALUE(SUBSTITUTE(MID($A235,K235+K$2+1,L235-K235-K$2-1),",","."))</f>
        <v>21.6</v>
      </c>
      <c r="AE235" s="3">
        <f>VALUE(SUBSTITUTE(MID($A235,L235+L$2+1,M235-L235-L$2-1),",","."))</f>
        <v>0</v>
      </c>
      <c r="AF235" s="3">
        <f>VALUE(SUBSTITUTE(MID($A235,M235+M$2+1,N235-M235-M$2-1),",","."))</f>
        <v>0</v>
      </c>
      <c r="AG235" s="3">
        <f>VALUE(SUBSTITUTE(MID($A235,N235+N$2+1,O235-N235-N$2-1),",","."))</f>
        <v>4.21007735871338</v>
      </c>
      <c r="AH235" t="str">
        <f>MID($A235,O235+O$2+1,P235-O235-O$2-1)</f>
        <v/>
      </c>
      <c r="AI235" s="8" t="str">
        <f>MID($A235,P235+P$2+1,Q235-P235-P$2-1)</f>
        <v>False</v>
      </c>
      <c r="AK235" t="b">
        <f t="shared" si="32"/>
        <v>0</v>
      </c>
    </row>
    <row r="236" spans="1:37" x14ac:dyDescent="0.35">
      <c r="A236" t="s">
        <v>4783</v>
      </c>
      <c r="B236">
        <f t="shared" si="34"/>
        <v>10</v>
      </c>
      <c r="C236">
        <f t="shared" si="34"/>
        <v>43</v>
      </c>
      <c r="D236">
        <f t="shared" si="34"/>
        <v>54</v>
      </c>
      <c r="E236">
        <f t="shared" si="34"/>
        <v>80</v>
      </c>
      <c r="F236">
        <f t="shared" si="34"/>
        <v>124</v>
      </c>
      <c r="G236">
        <f t="shared" si="34"/>
        <v>145</v>
      </c>
      <c r="H236">
        <f t="shared" si="33"/>
        <v>177</v>
      </c>
      <c r="I236">
        <f t="shared" si="33"/>
        <v>199</v>
      </c>
      <c r="J236">
        <f t="shared" si="35"/>
        <v>232</v>
      </c>
      <c r="K236">
        <f t="shared" si="35"/>
        <v>251</v>
      </c>
      <c r="L236">
        <f t="shared" si="35"/>
        <v>270</v>
      </c>
      <c r="M236">
        <f t="shared" si="35"/>
        <v>285</v>
      </c>
      <c r="N236">
        <f t="shared" si="35"/>
        <v>297</v>
      </c>
      <c r="O236">
        <f t="shared" si="35"/>
        <v>323</v>
      </c>
      <c r="P236">
        <f t="shared" si="35"/>
        <v>341</v>
      </c>
      <c r="Q236">
        <f t="shared" si="35"/>
        <v>367</v>
      </c>
      <c r="S236" t="str">
        <f t="shared" si="29"/>
        <v>29.11.2025</v>
      </c>
      <c r="T236" t="str">
        <f t="shared" si="30"/>
        <v>05:30:00</v>
      </c>
      <c r="U236" t="str">
        <f t="shared" si="31"/>
        <v>29.11.2025 05:30:00</v>
      </c>
      <c r="V236" s="9" t="str">
        <f>MID($A236,C236+C$2+1,D236-C236-C$2-1)</f>
        <v>0</v>
      </c>
      <c r="W236" s="4">
        <f>VALUE(SUBSTITUTE(MID($A236,D236+D$2+1,E236-D236-D$2-1),",","."))</f>
        <v>0</v>
      </c>
      <c r="X236" s="4">
        <f>VALUE(SUBSTITUTE(MID($A236,E236+E$2+1,F236-E236-E$2-1),",","."))</f>
        <v>0.90957602214449496</v>
      </c>
      <c r="Y236" s="4">
        <f>VALUE(SUBSTITUTE(MID($A236,F236+F$2+1,G236-F236-F$2-1),",","."))</f>
        <v>0</v>
      </c>
      <c r="Z236" s="3">
        <f>VALUE(SUBSTITUTE(MID($A236,G236+G$2+1,H236-G236-G$2-1),",","."))</f>
        <v>0</v>
      </c>
      <c r="AA236" s="3">
        <f>VALUE(SUBSTITUTE(MID($A236,H236+H$2+1,I236-H236-H$2-1),",","."))</f>
        <v>0</v>
      </c>
      <c r="AB236" s="3">
        <f>VALUE(SUBSTITUTE(MID($A236,I236+I$2+1,J236-I236-I$2-1),",","."))</f>
        <v>0</v>
      </c>
      <c r="AC236" s="3">
        <f>VALUE(SUBSTITUTE(MID($A236,J236+J$2+1,K236-J236-J$2-1),",","."))</f>
        <v>1.6</v>
      </c>
      <c r="AD236" s="3">
        <f>VALUE(SUBSTITUTE(MID($A236,K236+K$2+1,L236-K236-K$2-1),",","."))</f>
        <v>22.32</v>
      </c>
      <c r="AE236" s="3">
        <f>VALUE(SUBSTITUTE(MID($A236,L236+L$2+1,M236-L236-L$2-1),",","."))</f>
        <v>0</v>
      </c>
      <c r="AF236" s="3">
        <f>VALUE(SUBSTITUTE(MID($A236,M236+M$2+1,N236-M236-M$2-1),",","."))</f>
        <v>0</v>
      </c>
      <c r="AG236" s="3">
        <f>VALUE(SUBSTITUTE(MID($A236,N236+N$2+1,O236-N236-N$2-1),",","."))</f>
        <v>4.2101058786014596</v>
      </c>
      <c r="AH236" t="str">
        <f>MID($A236,O236+O$2+1,P236-O236-O$2-1)</f>
        <v/>
      </c>
      <c r="AI236" s="8" t="str">
        <f>MID($A236,P236+P$2+1,Q236-P236-P$2-1)</f>
        <v>False</v>
      </c>
      <c r="AK236" t="b">
        <f t="shared" si="32"/>
        <v>0</v>
      </c>
    </row>
    <row r="237" spans="1:37" x14ac:dyDescent="0.35">
      <c r="A237" t="s">
        <v>4784</v>
      </c>
      <c r="B237">
        <f t="shared" si="34"/>
        <v>10</v>
      </c>
      <c r="C237">
        <f t="shared" si="34"/>
        <v>43</v>
      </c>
      <c r="D237">
        <f t="shared" si="34"/>
        <v>54</v>
      </c>
      <c r="E237">
        <f t="shared" si="34"/>
        <v>80</v>
      </c>
      <c r="F237">
        <f t="shared" si="34"/>
        <v>124</v>
      </c>
      <c r="G237">
        <f t="shared" si="34"/>
        <v>145</v>
      </c>
      <c r="H237">
        <f t="shared" si="33"/>
        <v>177</v>
      </c>
      <c r="I237">
        <f t="shared" si="33"/>
        <v>199</v>
      </c>
      <c r="J237">
        <f t="shared" si="35"/>
        <v>232</v>
      </c>
      <c r="K237">
        <f t="shared" si="35"/>
        <v>251</v>
      </c>
      <c r="L237">
        <f t="shared" si="35"/>
        <v>270</v>
      </c>
      <c r="M237">
        <f t="shared" si="35"/>
        <v>285</v>
      </c>
      <c r="N237">
        <f t="shared" si="35"/>
        <v>297</v>
      </c>
      <c r="O237">
        <f t="shared" si="35"/>
        <v>321</v>
      </c>
      <c r="P237">
        <f t="shared" si="35"/>
        <v>339</v>
      </c>
      <c r="Q237">
        <f t="shared" si="35"/>
        <v>365</v>
      </c>
      <c r="S237" t="str">
        <f t="shared" si="29"/>
        <v>29.11.2025</v>
      </c>
      <c r="T237" t="str">
        <f t="shared" si="30"/>
        <v>05:45:00</v>
      </c>
      <c r="U237" t="str">
        <f t="shared" si="31"/>
        <v>29.11.2025 05:45:00</v>
      </c>
      <c r="V237" s="9" t="str">
        <f>MID($A237,C237+C$2+1,D237-C237-C$2-1)</f>
        <v>0</v>
      </c>
      <c r="W237" s="4">
        <f>VALUE(SUBSTITUTE(MID($A237,D237+D$2+1,E237-D237-D$2-1),",","."))</f>
        <v>0</v>
      </c>
      <c r="X237" s="4">
        <f>VALUE(SUBSTITUTE(MID($A237,E237+E$2+1,F237-E237-E$2-1),",","."))</f>
        <v>0.90957602214449496</v>
      </c>
      <c r="Y237" s="4">
        <f>VALUE(SUBSTITUTE(MID($A237,F237+F$2+1,G237-F237-F$2-1),",","."))</f>
        <v>0</v>
      </c>
      <c r="Z237" s="3">
        <f>VALUE(SUBSTITUTE(MID($A237,G237+G$2+1,H237-G237-G$2-1),",","."))</f>
        <v>0</v>
      </c>
      <c r="AA237" s="3">
        <f>VALUE(SUBSTITUTE(MID($A237,H237+H$2+1,I237-H237-H$2-1),",","."))</f>
        <v>0</v>
      </c>
      <c r="AB237" s="3">
        <f>VALUE(SUBSTITUTE(MID($A237,I237+I$2+1,J237-I237-I$2-1),",","."))</f>
        <v>0</v>
      </c>
      <c r="AC237" s="3">
        <f>VALUE(SUBSTITUTE(MID($A237,J237+J$2+1,K237-J237-J$2-1),",","."))</f>
        <v>1.6</v>
      </c>
      <c r="AD237" s="3">
        <f>VALUE(SUBSTITUTE(MID($A237,K237+K$2+1,L237-K237-K$2-1),",","."))</f>
        <v>22.32</v>
      </c>
      <c r="AE237" s="3">
        <f>VALUE(SUBSTITUTE(MID($A237,L237+L$2+1,M237-L237-L$2-1),",","."))</f>
        <v>0</v>
      </c>
      <c r="AF237" s="3">
        <f>VALUE(SUBSTITUTE(MID($A237,M237+M$2+1,N237-M237-M$2-1),",","."))</f>
        <v>0</v>
      </c>
      <c r="AG237" s="3">
        <f>VALUE(SUBSTITUTE(MID($A237,N237+N$2+1,O237-N237-N$2-1),",","."))</f>
        <v>4.2101343984895498</v>
      </c>
      <c r="AH237" t="str">
        <f>MID($A237,O237+O$2+1,P237-O237-O$2-1)</f>
        <v/>
      </c>
      <c r="AI237" s="8" t="str">
        <f>MID($A237,P237+P$2+1,Q237-P237-P$2-1)</f>
        <v>False</v>
      </c>
      <c r="AK237" t="b">
        <f t="shared" si="32"/>
        <v>0</v>
      </c>
    </row>
    <row r="238" spans="1:37" x14ac:dyDescent="0.35">
      <c r="A238" t="s">
        <v>4785</v>
      </c>
      <c r="B238">
        <f t="shared" si="34"/>
        <v>10</v>
      </c>
      <c r="C238">
        <f t="shared" si="34"/>
        <v>43</v>
      </c>
      <c r="D238">
        <f t="shared" si="34"/>
        <v>54</v>
      </c>
      <c r="E238">
        <f t="shared" si="34"/>
        <v>80</v>
      </c>
      <c r="F238">
        <f t="shared" si="34"/>
        <v>124</v>
      </c>
      <c r="G238">
        <f t="shared" si="34"/>
        <v>145</v>
      </c>
      <c r="H238">
        <f t="shared" si="33"/>
        <v>177</v>
      </c>
      <c r="I238">
        <f t="shared" si="33"/>
        <v>199</v>
      </c>
      <c r="J238">
        <f t="shared" si="35"/>
        <v>232</v>
      </c>
      <c r="K238">
        <f t="shared" si="35"/>
        <v>251</v>
      </c>
      <c r="L238">
        <f t="shared" si="35"/>
        <v>270</v>
      </c>
      <c r="M238">
        <f t="shared" si="35"/>
        <v>285</v>
      </c>
      <c r="N238">
        <f t="shared" si="35"/>
        <v>297</v>
      </c>
      <c r="O238">
        <f t="shared" si="35"/>
        <v>322</v>
      </c>
      <c r="P238">
        <f t="shared" si="35"/>
        <v>340</v>
      </c>
      <c r="Q238">
        <f t="shared" si="35"/>
        <v>366</v>
      </c>
      <c r="S238" t="str">
        <f t="shared" si="29"/>
        <v>29.11.2025</v>
      </c>
      <c r="T238" t="str">
        <f t="shared" si="30"/>
        <v>06:00:00</v>
      </c>
      <c r="U238" t="str">
        <f t="shared" si="31"/>
        <v>29.11.2025 06:00:00</v>
      </c>
      <c r="V238" s="9" t="str">
        <f>MID($A238,C238+C$2+1,D238-C238-C$2-1)</f>
        <v>0</v>
      </c>
      <c r="W238" s="4">
        <f>VALUE(SUBSTITUTE(MID($A238,D238+D$2+1,E238-D238-D$2-1),",","."))</f>
        <v>0</v>
      </c>
      <c r="X238" s="4">
        <f>VALUE(SUBSTITUTE(MID($A238,E238+E$2+1,F238-E238-E$2-1),",","."))</f>
        <v>0.90957602214449496</v>
      </c>
      <c r="Y238" s="4">
        <f>VALUE(SUBSTITUTE(MID($A238,F238+F$2+1,G238-F238-F$2-1),",","."))</f>
        <v>0</v>
      </c>
      <c r="Z238" s="3">
        <f>VALUE(SUBSTITUTE(MID($A238,G238+G$2+1,H238-G238-G$2-1),",","."))</f>
        <v>0</v>
      </c>
      <c r="AA238" s="3">
        <f>VALUE(SUBSTITUTE(MID($A238,H238+H$2+1,I238-H238-H$2-1),",","."))</f>
        <v>0</v>
      </c>
      <c r="AB238" s="3">
        <f>VALUE(SUBSTITUTE(MID($A238,I238+I$2+1,J238-I238-I$2-1),",","."))</f>
        <v>0</v>
      </c>
      <c r="AC238" s="3">
        <f>VALUE(SUBSTITUTE(MID($A238,J238+J$2+1,K238-J238-J$2-1),",","."))</f>
        <v>1.6</v>
      </c>
      <c r="AD238" s="3">
        <f>VALUE(SUBSTITUTE(MID($A238,K238+K$2+1,L238-K238-K$2-1),",","."))</f>
        <v>22.32</v>
      </c>
      <c r="AE238" s="3">
        <f>VALUE(SUBSTITUTE(MID($A238,L238+L$2+1,M238-L238-L$2-1),",","."))</f>
        <v>0</v>
      </c>
      <c r="AF238" s="3">
        <f>VALUE(SUBSTITUTE(MID($A238,M238+M$2+1,N238-M238-M$2-1),",","."))</f>
        <v>0</v>
      </c>
      <c r="AG238" s="3">
        <f>VALUE(SUBSTITUTE(MID($A238,N238+N$2+1,O238-N238-N$2-1),",","."))</f>
        <v>4.2101629183776303</v>
      </c>
      <c r="AH238" t="str">
        <f>MID($A238,O238+O$2+1,P238-O238-O$2-1)</f>
        <v/>
      </c>
      <c r="AI238" s="8" t="str">
        <f>MID($A238,P238+P$2+1,Q238-P238-P$2-1)</f>
        <v>False</v>
      </c>
      <c r="AK238" t="b">
        <f t="shared" si="32"/>
        <v>0</v>
      </c>
    </row>
    <row r="239" spans="1:37" x14ac:dyDescent="0.35">
      <c r="A239" t="s">
        <v>4786</v>
      </c>
      <c r="B239">
        <f t="shared" si="34"/>
        <v>10</v>
      </c>
      <c r="C239">
        <f t="shared" si="34"/>
        <v>43</v>
      </c>
      <c r="D239">
        <f t="shared" si="34"/>
        <v>54</v>
      </c>
      <c r="E239">
        <f t="shared" si="34"/>
        <v>80</v>
      </c>
      <c r="F239">
        <f t="shared" si="34"/>
        <v>124</v>
      </c>
      <c r="G239">
        <f t="shared" si="34"/>
        <v>145</v>
      </c>
      <c r="H239">
        <f t="shared" si="33"/>
        <v>177</v>
      </c>
      <c r="I239">
        <f t="shared" si="33"/>
        <v>199</v>
      </c>
      <c r="J239">
        <f t="shared" si="35"/>
        <v>232</v>
      </c>
      <c r="K239">
        <f t="shared" si="35"/>
        <v>251</v>
      </c>
      <c r="L239">
        <f t="shared" si="35"/>
        <v>270</v>
      </c>
      <c r="M239">
        <f t="shared" si="35"/>
        <v>285</v>
      </c>
      <c r="N239">
        <f t="shared" si="35"/>
        <v>297</v>
      </c>
      <c r="O239">
        <f t="shared" si="35"/>
        <v>322</v>
      </c>
      <c r="P239">
        <f t="shared" si="35"/>
        <v>340</v>
      </c>
      <c r="Q239">
        <f t="shared" si="35"/>
        <v>366</v>
      </c>
      <c r="S239" t="str">
        <f t="shared" si="29"/>
        <v>29.11.2025</v>
      </c>
      <c r="T239" t="str">
        <f t="shared" si="30"/>
        <v>06:15:00</v>
      </c>
      <c r="U239" t="str">
        <f t="shared" si="31"/>
        <v>29.11.2025 06:15:00</v>
      </c>
      <c r="V239" s="9" t="str">
        <f>MID($A239,C239+C$2+1,D239-C239-C$2-1)</f>
        <v>0</v>
      </c>
      <c r="W239" s="4">
        <f>VALUE(SUBSTITUTE(MID($A239,D239+D$2+1,E239-D239-D$2-1),",","."))</f>
        <v>0</v>
      </c>
      <c r="X239" s="4">
        <f>VALUE(SUBSTITUTE(MID($A239,E239+E$2+1,F239-E239-E$2-1),",","."))</f>
        <v>0.90957602214449496</v>
      </c>
      <c r="Y239" s="4">
        <f>VALUE(SUBSTITUTE(MID($A239,F239+F$2+1,G239-F239-F$2-1),",","."))</f>
        <v>0</v>
      </c>
      <c r="Z239" s="3">
        <f>VALUE(SUBSTITUTE(MID($A239,G239+G$2+1,H239-G239-G$2-1),",","."))</f>
        <v>0</v>
      </c>
      <c r="AA239" s="3">
        <f>VALUE(SUBSTITUTE(MID($A239,H239+H$2+1,I239-H239-H$2-1),",","."))</f>
        <v>0</v>
      </c>
      <c r="AB239" s="3">
        <f>VALUE(SUBSTITUTE(MID($A239,I239+I$2+1,J239-I239-I$2-1),",","."))</f>
        <v>0</v>
      </c>
      <c r="AC239" s="3">
        <f>VALUE(SUBSTITUTE(MID($A239,J239+J$2+1,K239-J239-J$2-1),",","."))</f>
        <v>1.6</v>
      </c>
      <c r="AD239" s="3">
        <f>VALUE(SUBSTITUTE(MID($A239,K239+K$2+1,L239-K239-K$2-1),",","."))</f>
        <v>22.32</v>
      </c>
      <c r="AE239" s="3">
        <f>VALUE(SUBSTITUTE(MID($A239,L239+L$2+1,M239-L239-L$2-1),",","."))</f>
        <v>0</v>
      </c>
      <c r="AF239" s="3">
        <f>VALUE(SUBSTITUTE(MID($A239,M239+M$2+1,N239-M239-M$2-1),",","."))</f>
        <v>0</v>
      </c>
      <c r="AG239" s="3">
        <f>VALUE(SUBSTITUTE(MID($A239,N239+N$2+1,O239-N239-N$2-1),",","."))</f>
        <v>4.21019143826571</v>
      </c>
      <c r="AH239" t="str">
        <f>MID($A239,O239+O$2+1,P239-O239-O$2-1)</f>
        <v/>
      </c>
      <c r="AI239" s="8" t="str">
        <f>MID($A239,P239+P$2+1,Q239-P239-P$2-1)</f>
        <v>False</v>
      </c>
      <c r="AK239" t="b">
        <f t="shared" si="32"/>
        <v>0</v>
      </c>
    </row>
    <row r="240" spans="1:37" x14ac:dyDescent="0.35">
      <c r="A240" t="s">
        <v>4787</v>
      </c>
      <c r="B240">
        <f t="shared" si="34"/>
        <v>10</v>
      </c>
      <c r="C240">
        <f t="shared" si="34"/>
        <v>43</v>
      </c>
      <c r="D240">
        <f t="shared" si="34"/>
        <v>54</v>
      </c>
      <c r="E240">
        <f t="shared" si="34"/>
        <v>80</v>
      </c>
      <c r="F240">
        <f t="shared" si="34"/>
        <v>124</v>
      </c>
      <c r="G240">
        <f t="shared" si="34"/>
        <v>145</v>
      </c>
      <c r="H240">
        <f t="shared" si="33"/>
        <v>177</v>
      </c>
      <c r="I240">
        <f t="shared" si="33"/>
        <v>199</v>
      </c>
      <c r="J240">
        <f t="shared" si="35"/>
        <v>232</v>
      </c>
      <c r="K240">
        <f t="shared" si="35"/>
        <v>252</v>
      </c>
      <c r="L240">
        <f t="shared" si="35"/>
        <v>271</v>
      </c>
      <c r="M240">
        <f t="shared" si="35"/>
        <v>286</v>
      </c>
      <c r="N240">
        <f t="shared" si="35"/>
        <v>298</v>
      </c>
      <c r="O240">
        <f t="shared" si="35"/>
        <v>323</v>
      </c>
      <c r="P240">
        <f t="shared" si="35"/>
        <v>341</v>
      </c>
      <c r="Q240">
        <f t="shared" si="35"/>
        <v>367</v>
      </c>
      <c r="S240" t="str">
        <f t="shared" si="29"/>
        <v>29.11.2025</v>
      </c>
      <c r="T240" t="str">
        <f t="shared" si="30"/>
        <v>06:30:00</v>
      </c>
      <c r="U240" t="str">
        <f t="shared" si="31"/>
        <v>29.11.2025 06:30:00</v>
      </c>
      <c r="V240" s="9" t="str">
        <f>MID($A240,C240+C$2+1,D240-C240-C$2-1)</f>
        <v>0</v>
      </c>
      <c r="W240" s="4">
        <f>VALUE(SUBSTITUTE(MID($A240,D240+D$2+1,E240-D240-D$2-1),",","."))</f>
        <v>0</v>
      </c>
      <c r="X240" s="4">
        <f>VALUE(SUBSTITUTE(MID($A240,E240+E$2+1,F240-E240-E$2-1),",","."))</f>
        <v>0.90957602214449496</v>
      </c>
      <c r="Y240" s="4">
        <f>VALUE(SUBSTITUTE(MID($A240,F240+F$2+1,G240-F240-F$2-1),",","."))</f>
        <v>0</v>
      </c>
      <c r="Z240" s="3">
        <f>VALUE(SUBSTITUTE(MID($A240,G240+G$2+1,H240-G240-G$2-1),",","."))</f>
        <v>0</v>
      </c>
      <c r="AA240" s="3">
        <f>VALUE(SUBSTITUTE(MID($A240,H240+H$2+1,I240-H240-H$2-1),",","."))</f>
        <v>0</v>
      </c>
      <c r="AB240" s="3">
        <f>VALUE(SUBSTITUTE(MID($A240,I240+I$2+1,J240-I240-I$2-1),",","."))</f>
        <v>0</v>
      </c>
      <c r="AC240" s="3">
        <f>VALUE(SUBSTITUTE(MID($A240,J240+J$2+1,K240-J240-J$2-1),",","."))</f>
        <v>1.75</v>
      </c>
      <c r="AD240" s="3">
        <f>VALUE(SUBSTITUTE(MID($A240,K240+K$2+1,L240-K240-K$2-1),",","."))</f>
        <v>19.440000000000001</v>
      </c>
      <c r="AE240" s="3">
        <f>VALUE(SUBSTITUTE(MID($A240,L240+L$2+1,M240-L240-L$2-1),",","."))</f>
        <v>0</v>
      </c>
      <c r="AF240" s="3">
        <f>VALUE(SUBSTITUTE(MID($A240,M240+M$2+1,N240-M240-M$2-1),",","."))</f>
        <v>0</v>
      </c>
      <c r="AG240" s="3">
        <f>VALUE(SUBSTITUTE(MID($A240,N240+N$2+1,O240-N240-N$2-1),",","."))</f>
        <v>4.2102199581537896</v>
      </c>
      <c r="AH240" t="str">
        <f>MID($A240,O240+O$2+1,P240-O240-O$2-1)</f>
        <v/>
      </c>
      <c r="AI240" s="8" t="str">
        <f>MID($A240,P240+P$2+1,Q240-P240-P$2-1)</f>
        <v>False</v>
      </c>
      <c r="AK240" t="b">
        <f t="shared" si="32"/>
        <v>0</v>
      </c>
    </row>
    <row r="241" spans="1:37" x14ac:dyDescent="0.35">
      <c r="A241" t="s">
        <v>4788</v>
      </c>
      <c r="B241">
        <f t="shared" si="34"/>
        <v>10</v>
      </c>
      <c r="C241">
        <f t="shared" si="34"/>
        <v>43</v>
      </c>
      <c r="D241">
        <f t="shared" si="34"/>
        <v>54</v>
      </c>
      <c r="E241">
        <f t="shared" si="34"/>
        <v>80</v>
      </c>
      <c r="F241">
        <f t="shared" si="34"/>
        <v>124</v>
      </c>
      <c r="G241">
        <f t="shared" si="34"/>
        <v>145</v>
      </c>
      <c r="H241">
        <f t="shared" si="33"/>
        <v>177</v>
      </c>
      <c r="I241">
        <f t="shared" si="33"/>
        <v>199</v>
      </c>
      <c r="J241">
        <f t="shared" si="35"/>
        <v>232</v>
      </c>
      <c r="K241">
        <f t="shared" si="35"/>
        <v>252</v>
      </c>
      <c r="L241">
        <f t="shared" si="35"/>
        <v>271</v>
      </c>
      <c r="M241">
        <f t="shared" si="35"/>
        <v>286</v>
      </c>
      <c r="N241">
        <f t="shared" si="35"/>
        <v>298</v>
      </c>
      <c r="O241">
        <f t="shared" si="35"/>
        <v>323</v>
      </c>
      <c r="P241">
        <f t="shared" si="35"/>
        <v>341</v>
      </c>
      <c r="Q241">
        <f t="shared" si="35"/>
        <v>367</v>
      </c>
      <c r="S241" t="str">
        <f t="shared" si="29"/>
        <v>29.11.2025</v>
      </c>
      <c r="T241" t="str">
        <f t="shared" si="30"/>
        <v>06:45:00</v>
      </c>
      <c r="U241" t="str">
        <f t="shared" si="31"/>
        <v>29.11.2025 06:45:00</v>
      </c>
      <c r="V241" s="9" t="str">
        <f>MID($A241,C241+C$2+1,D241-C241-C$2-1)</f>
        <v>0</v>
      </c>
      <c r="W241" s="4">
        <f>VALUE(SUBSTITUTE(MID($A241,D241+D$2+1,E241-D241-D$2-1),",","."))</f>
        <v>0</v>
      </c>
      <c r="X241" s="4">
        <f>VALUE(SUBSTITUTE(MID($A241,E241+E$2+1,F241-E241-E$2-1),",","."))</f>
        <v>0.90957602214449496</v>
      </c>
      <c r="Y241" s="4">
        <f>VALUE(SUBSTITUTE(MID($A241,F241+F$2+1,G241-F241-F$2-1),",","."))</f>
        <v>0</v>
      </c>
      <c r="Z241" s="3">
        <f>VALUE(SUBSTITUTE(MID($A241,G241+G$2+1,H241-G241-G$2-1),",","."))</f>
        <v>0</v>
      </c>
      <c r="AA241" s="3">
        <f>VALUE(SUBSTITUTE(MID($A241,H241+H$2+1,I241-H241-H$2-1),",","."))</f>
        <v>0</v>
      </c>
      <c r="AB241" s="3">
        <f>VALUE(SUBSTITUTE(MID($A241,I241+I$2+1,J241-I241-I$2-1),",","."))</f>
        <v>0</v>
      </c>
      <c r="AC241" s="3">
        <f>VALUE(SUBSTITUTE(MID($A241,J241+J$2+1,K241-J241-J$2-1),",","."))</f>
        <v>1.75</v>
      </c>
      <c r="AD241" s="3">
        <f>VALUE(SUBSTITUTE(MID($A241,K241+K$2+1,L241-K241-K$2-1),",","."))</f>
        <v>19.440000000000001</v>
      </c>
      <c r="AE241" s="3">
        <f>VALUE(SUBSTITUTE(MID($A241,L241+L$2+1,M241-L241-L$2-1),",","."))</f>
        <v>0</v>
      </c>
      <c r="AF241" s="3">
        <f>VALUE(SUBSTITUTE(MID($A241,M241+M$2+1,N241-M241-M$2-1),",","."))</f>
        <v>0</v>
      </c>
      <c r="AG241" s="3">
        <f>VALUE(SUBSTITUTE(MID($A241,N241+N$2+1,O241-N241-N$2-1),",","."))</f>
        <v>4.2102484780418701</v>
      </c>
      <c r="AH241" t="str">
        <f>MID($A241,O241+O$2+1,P241-O241-O$2-1)</f>
        <v/>
      </c>
      <c r="AI241" s="8" t="str">
        <f>MID($A241,P241+P$2+1,Q241-P241-P$2-1)</f>
        <v>False</v>
      </c>
      <c r="AK241" t="b">
        <f t="shared" si="32"/>
        <v>0</v>
      </c>
    </row>
    <row r="242" spans="1:37" x14ac:dyDescent="0.35">
      <c r="A242" t="s">
        <v>4789</v>
      </c>
      <c r="B242">
        <f t="shared" si="34"/>
        <v>10</v>
      </c>
      <c r="C242">
        <f t="shared" si="34"/>
        <v>43</v>
      </c>
      <c r="D242">
        <f t="shared" si="34"/>
        <v>54</v>
      </c>
      <c r="E242">
        <f t="shared" si="34"/>
        <v>80</v>
      </c>
      <c r="F242">
        <f t="shared" si="34"/>
        <v>124</v>
      </c>
      <c r="G242">
        <f t="shared" si="34"/>
        <v>145</v>
      </c>
      <c r="H242">
        <f t="shared" si="33"/>
        <v>177</v>
      </c>
      <c r="I242">
        <f t="shared" si="33"/>
        <v>199</v>
      </c>
      <c r="J242">
        <f t="shared" si="35"/>
        <v>232</v>
      </c>
      <c r="K242">
        <f t="shared" si="35"/>
        <v>252</v>
      </c>
      <c r="L242">
        <f t="shared" si="35"/>
        <v>271</v>
      </c>
      <c r="M242">
        <f t="shared" si="35"/>
        <v>286</v>
      </c>
      <c r="N242">
        <f t="shared" si="35"/>
        <v>298</v>
      </c>
      <c r="O242">
        <f t="shared" si="35"/>
        <v>323</v>
      </c>
      <c r="P242">
        <f t="shared" si="35"/>
        <v>341</v>
      </c>
      <c r="Q242">
        <f t="shared" si="35"/>
        <v>367</v>
      </c>
      <c r="S242" t="str">
        <f t="shared" si="29"/>
        <v>29.11.2025</v>
      </c>
      <c r="T242" t="str">
        <f t="shared" si="30"/>
        <v>07:00:00</v>
      </c>
      <c r="U242" t="str">
        <f t="shared" si="31"/>
        <v>29.11.2025 07:00:00</v>
      </c>
      <c r="V242" s="9" t="str">
        <f>MID($A242,C242+C$2+1,D242-C242-C$2-1)</f>
        <v>0</v>
      </c>
      <c r="W242" s="4">
        <f>VALUE(SUBSTITUTE(MID($A242,D242+D$2+1,E242-D242-D$2-1),",","."))</f>
        <v>0</v>
      </c>
      <c r="X242" s="4">
        <f>VALUE(SUBSTITUTE(MID($A242,E242+E$2+1,F242-E242-E$2-1),",","."))</f>
        <v>0.90957602214449496</v>
      </c>
      <c r="Y242" s="4">
        <f>VALUE(SUBSTITUTE(MID($A242,F242+F$2+1,G242-F242-F$2-1),",","."))</f>
        <v>0</v>
      </c>
      <c r="Z242" s="3">
        <f>VALUE(SUBSTITUTE(MID($A242,G242+G$2+1,H242-G242-G$2-1),",","."))</f>
        <v>0</v>
      </c>
      <c r="AA242" s="3">
        <f>VALUE(SUBSTITUTE(MID($A242,H242+H$2+1,I242-H242-H$2-1),",","."))</f>
        <v>0</v>
      </c>
      <c r="AB242" s="3">
        <f>VALUE(SUBSTITUTE(MID($A242,I242+I$2+1,J242-I242-I$2-1),",","."))</f>
        <v>0</v>
      </c>
      <c r="AC242" s="3">
        <f>VALUE(SUBSTITUTE(MID($A242,J242+J$2+1,K242-J242-J$2-1),",","."))</f>
        <v>1.75</v>
      </c>
      <c r="AD242" s="3">
        <f>VALUE(SUBSTITUTE(MID($A242,K242+K$2+1,L242-K242-K$2-1),",","."))</f>
        <v>19.440000000000001</v>
      </c>
      <c r="AE242" s="3">
        <f>VALUE(SUBSTITUTE(MID($A242,L242+L$2+1,M242-L242-L$2-1),",","."))</f>
        <v>0</v>
      </c>
      <c r="AF242" s="3">
        <f>VALUE(SUBSTITUTE(MID($A242,M242+M$2+1,N242-M242-M$2-1),",","."))</f>
        <v>0</v>
      </c>
      <c r="AG242" s="3">
        <f>VALUE(SUBSTITUTE(MID($A242,N242+N$2+1,O242-N242-N$2-1),",","."))</f>
        <v>4.2102769979299497</v>
      </c>
      <c r="AH242" t="str">
        <f>MID($A242,O242+O$2+1,P242-O242-O$2-1)</f>
        <v/>
      </c>
      <c r="AI242" s="8" t="str">
        <f>MID($A242,P242+P$2+1,Q242-P242-P$2-1)</f>
        <v>False</v>
      </c>
      <c r="AK242" t="b">
        <f t="shared" si="32"/>
        <v>0</v>
      </c>
    </row>
    <row r="243" spans="1:37" x14ac:dyDescent="0.35">
      <c r="A243" t="s">
        <v>4790</v>
      </c>
      <c r="B243">
        <f t="shared" si="34"/>
        <v>10</v>
      </c>
      <c r="C243">
        <f t="shared" si="34"/>
        <v>43</v>
      </c>
      <c r="D243">
        <f t="shared" si="34"/>
        <v>54</v>
      </c>
      <c r="E243">
        <f t="shared" si="34"/>
        <v>80</v>
      </c>
      <c r="F243">
        <f t="shared" si="34"/>
        <v>124</v>
      </c>
      <c r="G243">
        <f t="shared" si="34"/>
        <v>145</v>
      </c>
      <c r="H243">
        <f t="shared" si="33"/>
        <v>177</v>
      </c>
      <c r="I243">
        <f t="shared" si="33"/>
        <v>199</v>
      </c>
      <c r="J243">
        <f t="shared" si="35"/>
        <v>232</v>
      </c>
      <c r="K243">
        <f t="shared" si="35"/>
        <v>252</v>
      </c>
      <c r="L243">
        <f t="shared" si="35"/>
        <v>271</v>
      </c>
      <c r="M243">
        <f t="shared" si="35"/>
        <v>286</v>
      </c>
      <c r="N243">
        <f t="shared" si="35"/>
        <v>298</v>
      </c>
      <c r="O243">
        <f t="shared" si="35"/>
        <v>323</v>
      </c>
      <c r="P243">
        <f t="shared" si="35"/>
        <v>341</v>
      </c>
      <c r="Q243">
        <f t="shared" si="35"/>
        <v>367</v>
      </c>
      <c r="S243" t="str">
        <f t="shared" si="29"/>
        <v>29.11.2025</v>
      </c>
      <c r="T243" t="str">
        <f t="shared" si="30"/>
        <v>07:15:00</v>
      </c>
      <c r="U243" t="str">
        <f t="shared" si="31"/>
        <v>29.11.2025 07:15:00</v>
      </c>
      <c r="V243" s="9" t="str">
        <f>MID($A243,C243+C$2+1,D243-C243-C$2-1)</f>
        <v>0</v>
      </c>
      <c r="W243" s="4">
        <f>VALUE(SUBSTITUTE(MID($A243,D243+D$2+1,E243-D243-D$2-1),",","."))</f>
        <v>0</v>
      </c>
      <c r="X243" s="4">
        <f>VALUE(SUBSTITUTE(MID($A243,E243+E$2+1,F243-E243-E$2-1),",","."))</f>
        <v>0.90957602214449496</v>
      </c>
      <c r="Y243" s="4">
        <f>VALUE(SUBSTITUTE(MID($A243,F243+F$2+1,G243-F243-F$2-1),",","."))</f>
        <v>0</v>
      </c>
      <c r="Z243" s="3">
        <f>VALUE(SUBSTITUTE(MID($A243,G243+G$2+1,H243-G243-G$2-1),",","."))</f>
        <v>0</v>
      </c>
      <c r="AA243" s="3">
        <f>VALUE(SUBSTITUTE(MID($A243,H243+H$2+1,I243-H243-H$2-1),",","."))</f>
        <v>0</v>
      </c>
      <c r="AB243" s="3">
        <f>VALUE(SUBSTITUTE(MID($A243,I243+I$2+1,J243-I243-I$2-1),",","."))</f>
        <v>0</v>
      </c>
      <c r="AC243" s="3">
        <f>VALUE(SUBSTITUTE(MID($A243,J243+J$2+1,K243-J243-J$2-1),",","."))</f>
        <v>1.75</v>
      </c>
      <c r="AD243" s="3">
        <f>VALUE(SUBSTITUTE(MID($A243,K243+K$2+1,L243-K243-K$2-1),",","."))</f>
        <v>19.440000000000001</v>
      </c>
      <c r="AE243" s="3">
        <f>VALUE(SUBSTITUTE(MID($A243,L243+L$2+1,M243-L243-L$2-1),",","."))</f>
        <v>0</v>
      </c>
      <c r="AF243" s="3">
        <f>VALUE(SUBSTITUTE(MID($A243,M243+M$2+1,N243-M243-M$2-1),",","."))</f>
        <v>0</v>
      </c>
      <c r="AG243" s="3">
        <f>VALUE(SUBSTITUTE(MID($A243,N243+N$2+1,O243-N243-N$2-1),",","."))</f>
        <v>4.2103055178180302</v>
      </c>
      <c r="AH243" t="str">
        <f>MID($A243,O243+O$2+1,P243-O243-O$2-1)</f>
        <v/>
      </c>
      <c r="AI243" s="8" t="str">
        <f>MID($A243,P243+P$2+1,Q243-P243-P$2-1)</f>
        <v>False</v>
      </c>
      <c r="AK243" t="b">
        <f t="shared" si="32"/>
        <v>0</v>
      </c>
    </row>
    <row r="244" spans="1:37" x14ac:dyDescent="0.35">
      <c r="A244" t="s">
        <v>4791</v>
      </c>
      <c r="B244">
        <f t="shared" si="34"/>
        <v>10</v>
      </c>
      <c r="C244">
        <f t="shared" si="34"/>
        <v>43</v>
      </c>
      <c r="D244">
        <f t="shared" si="34"/>
        <v>54</v>
      </c>
      <c r="E244">
        <f t="shared" si="34"/>
        <v>80</v>
      </c>
      <c r="F244">
        <f t="shared" si="34"/>
        <v>124</v>
      </c>
      <c r="G244">
        <f t="shared" si="34"/>
        <v>145</v>
      </c>
      <c r="H244">
        <f t="shared" si="33"/>
        <v>177</v>
      </c>
      <c r="I244">
        <f t="shared" si="33"/>
        <v>199</v>
      </c>
      <c r="J244">
        <f t="shared" si="35"/>
        <v>232</v>
      </c>
      <c r="K244">
        <f t="shared" si="35"/>
        <v>249</v>
      </c>
      <c r="L244">
        <f t="shared" si="35"/>
        <v>268</v>
      </c>
      <c r="M244">
        <f t="shared" si="35"/>
        <v>283</v>
      </c>
      <c r="N244">
        <f t="shared" si="35"/>
        <v>295</v>
      </c>
      <c r="O244">
        <f t="shared" si="35"/>
        <v>321</v>
      </c>
      <c r="P244">
        <f t="shared" si="35"/>
        <v>339</v>
      </c>
      <c r="Q244">
        <f t="shared" si="35"/>
        <v>365</v>
      </c>
      <c r="S244" t="str">
        <f t="shared" si="29"/>
        <v>29.11.2025</v>
      </c>
      <c r="T244" t="str">
        <f t="shared" si="30"/>
        <v>07:30:00</v>
      </c>
      <c r="U244" t="str">
        <f t="shared" si="31"/>
        <v>29.11.2025 07:30:00</v>
      </c>
      <c r="V244" s="9" t="str">
        <f>MID($A244,C244+C$2+1,D244-C244-C$2-1)</f>
        <v>0</v>
      </c>
      <c r="W244" s="4">
        <f>VALUE(SUBSTITUTE(MID($A244,D244+D$2+1,E244-D244-D$2-1),",","."))</f>
        <v>0</v>
      </c>
      <c r="X244" s="4">
        <f>VALUE(SUBSTITUTE(MID($A244,E244+E$2+1,F244-E244-E$2-1),",","."))</f>
        <v>0.90957602214449496</v>
      </c>
      <c r="Y244" s="4">
        <f>VALUE(SUBSTITUTE(MID($A244,F244+F$2+1,G244-F244-F$2-1),",","."))</f>
        <v>0</v>
      </c>
      <c r="Z244" s="3">
        <f>VALUE(SUBSTITUTE(MID($A244,G244+G$2+1,H244-G244-G$2-1),",","."))</f>
        <v>0</v>
      </c>
      <c r="AA244" s="3">
        <f>VALUE(SUBSTITUTE(MID($A244,H244+H$2+1,I244-H244-H$2-1),",","."))</f>
        <v>0</v>
      </c>
      <c r="AB244" s="3">
        <f>VALUE(SUBSTITUTE(MID($A244,I244+I$2+1,J244-I244-I$2-1),",","."))</f>
        <v>0</v>
      </c>
      <c r="AC244" s="3">
        <f>VALUE(SUBSTITUTE(MID($A244,J244+J$2+1,K244-J244-J$2-1),",","."))</f>
        <v>2</v>
      </c>
      <c r="AD244" s="3">
        <f>VALUE(SUBSTITUTE(MID($A244,K244+K$2+1,L244-K244-K$2-1),",","."))</f>
        <v>19.440000000000001</v>
      </c>
      <c r="AE244" s="3">
        <f>VALUE(SUBSTITUTE(MID($A244,L244+L$2+1,M244-L244-L$2-1),",","."))</f>
        <v>0</v>
      </c>
      <c r="AF244" s="3">
        <f>VALUE(SUBSTITUTE(MID($A244,M244+M$2+1,N244-M244-M$2-1),",","."))</f>
        <v>0</v>
      </c>
      <c r="AG244" s="3">
        <f>VALUE(SUBSTITUTE(MID($A244,N244+N$2+1,O244-N244-N$2-1),",","."))</f>
        <v>4.2103340377061196</v>
      </c>
      <c r="AH244" t="str">
        <f>MID($A244,O244+O$2+1,P244-O244-O$2-1)</f>
        <v/>
      </c>
      <c r="AI244" s="8" t="str">
        <f>MID($A244,P244+P$2+1,Q244-P244-P$2-1)</f>
        <v>False</v>
      </c>
      <c r="AK244" t="b">
        <f t="shared" si="32"/>
        <v>0</v>
      </c>
    </row>
    <row r="245" spans="1:37" x14ac:dyDescent="0.35">
      <c r="A245" t="s">
        <v>4792</v>
      </c>
      <c r="B245">
        <f t="shared" si="34"/>
        <v>10</v>
      </c>
      <c r="C245">
        <f t="shared" si="34"/>
        <v>43</v>
      </c>
      <c r="D245">
        <f t="shared" si="34"/>
        <v>54</v>
      </c>
      <c r="E245">
        <f t="shared" si="34"/>
        <v>80</v>
      </c>
      <c r="F245">
        <f t="shared" si="34"/>
        <v>124</v>
      </c>
      <c r="G245">
        <f t="shared" si="34"/>
        <v>164</v>
      </c>
      <c r="H245">
        <f t="shared" si="33"/>
        <v>196</v>
      </c>
      <c r="I245">
        <f t="shared" si="33"/>
        <v>218</v>
      </c>
      <c r="J245">
        <f t="shared" si="35"/>
        <v>251</v>
      </c>
      <c r="K245">
        <f t="shared" si="35"/>
        <v>268</v>
      </c>
      <c r="L245">
        <f t="shared" si="35"/>
        <v>287</v>
      </c>
      <c r="M245">
        <f t="shared" si="35"/>
        <v>302</v>
      </c>
      <c r="N245">
        <f t="shared" si="35"/>
        <v>314</v>
      </c>
      <c r="O245">
        <f t="shared" si="35"/>
        <v>339</v>
      </c>
      <c r="P245">
        <f t="shared" si="35"/>
        <v>357</v>
      </c>
      <c r="Q245">
        <f t="shared" ref="Q245:Q308" si="36">FIND(Q$1,$A245)</f>
        <v>383</v>
      </c>
      <c r="S245" t="str">
        <f t="shared" si="29"/>
        <v>29.11.2025</v>
      </c>
      <c r="T245" t="str">
        <f t="shared" si="30"/>
        <v>07:45:00</v>
      </c>
      <c r="U245" t="str">
        <f t="shared" si="31"/>
        <v>29.11.2025 07:45:00</v>
      </c>
      <c r="V245" s="9" t="str">
        <f>MID($A245,C245+C$2+1,D245-C245-C$2-1)</f>
        <v>0</v>
      </c>
      <c r="W245" s="4">
        <f>VALUE(SUBSTITUTE(MID($A245,D245+D$2+1,E245-D245-D$2-1),",","."))</f>
        <v>0</v>
      </c>
      <c r="X245" s="4">
        <f>VALUE(SUBSTITUTE(MID($A245,E245+E$2+1,F245-E245-E$2-1),",","."))</f>
        <v>0.90957602214449496</v>
      </c>
      <c r="Y245" s="4">
        <f>VALUE(SUBSTITUTE(MID($A245,F245+F$2+1,G245-F245-F$2-1),",","."))</f>
        <v>4.1933481489218102E-3</v>
      </c>
      <c r="Z245" s="3">
        <f>VALUE(SUBSTITUTE(MID($A245,G245+G$2+1,H245-G245-G$2-1),",","."))</f>
        <v>0</v>
      </c>
      <c r="AA245" s="3">
        <f>VALUE(SUBSTITUTE(MID($A245,H245+H$2+1,I245-H245-H$2-1),",","."))</f>
        <v>0</v>
      </c>
      <c r="AB245" s="3">
        <f>VALUE(SUBSTITUTE(MID($A245,I245+I$2+1,J245-I245-I$2-1),",","."))</f>
        <v>0</v>
      </c>
      <c r="AC245" s="3">
        <f>VALUE(SUBSTITUTE(MID($A245,J245+J$2+1,K245-J245-J$2-1),",","."))</f>
        <v>2</v>
      </c>
      <c r="AD245" s="3">
        <f>VALUE(SUBSTITUTE(MID($A245,K245+K$2+1,L245-K245-K$2-1),",","."))</f>
        <v>19.440000000000001</v>
      </c>
      <c r="AE245" s="3">
        <f>VALUE(SUBSTITUTE(MID($A245,L245+L$2+1,M245-L245-L$2-1),",","."))</f>
        <v>0</v>
      </c>
      <c r="AF245" s="3">
        <f>VALUE(SUBSTITUTE(MID($A245,M245+M$2+1,N245-M245-M$2-1),",","."))</f>
        <v>0</v>
      </c>
      <c r="AG245" s="3">
        <f>VALUE(SUBSTITUTE(MID($A245,N245+N$2+1,O245-N245-N$2-1),",","."))</f>
        <v>4.2103625575942001</v>
      </c>
      <c r="AH245" t="str">
        <f>MID($A245,O245+O$2+1,P245-O245-O$2-1)</f>
        <v/>
      </c>
      <c r="AI245" s="8" t="str">
        <f>MID($A245,P245+P$2+1,Q245-P245-P$2-1)</f>
        <v>False</v>
      </c>
      <c r="AK245" t="b">
        <f t="shared" si="32"/>
        <v>0</v>
      </c>
    </row>
    <row r="246" spans="1:37" x14ac:dyDescent="0.35">
      <c r="A246" t="s">
        <v>4793</v>
      </c>
      <c r="B246">
        <f t="shared" si="34"/>
        <v>10</v>
      </c>
      <c r="C246">
        <f t="shared" si="34"/>
        <v>43</v>
      </c>
      <c r="D246">
        <f t="shared" si="34"/>
        <v>54</v>
      </c>
      <c r="E246">
        <f t="shared" si="34"/>
        <v>96</v>
      </c>
      <c r="F246">
        <f t="shared" si="34"/>
        <v>140</v>
      </c>
      <c r="G246">
        <f t="shared" si="34"/>
        <v>179</v>
      </c>
      <c r="H246">
        <f t="shared" si="33"/>
        <v>211</v>
      </c>
      <c r="I246">
        <f t="shared" si="33"/>
        <v>233</v>
      </c>
      <c r="J246">
        <f t="shared" si="33"/>
        <v>266</v>
      </c>
      <c r="K246">
        <f t="shared" si="33"/>
        <v>283</v>
      </c>
      <c r="L246">
        <f t="shared" si="33"/>
        <v>302</v>
      </c>
      <c r="M246">
        <f t="shared" si="33"/>
        <v>317</v>
      </c>
      <c r="N246">
        <f t="shared" si="33"/>
        <v>329</v>
      </c>
      <c r="O246">
        <f t="shared" si="33"/>
        <v>354</v>
      </c>
      <c r="P246">
        <f t="shared" si="33"/>
        <v>372</v>
      </c>
      <c r="Q246">
        <f t="shared" si="36"/>
        <v>398</v>
      </c>
      <c r="S246" t="str">
        <f t="shared" si="29"/>
        <v>29.11.2025</v>
      </c>
      <c r="T246" t="str">
        <f t="shared" si="30"/>
        <v>08:00:00</v>
      </c>
      <c r="U246" t="str">
        <f t="shared" si="31"/>
        <v>29.11.2025 08:00:00</v>
      </c>
      <c r="V246" s="9" t="str">
        <f>MID($A246,C246+C$2+1,D246-C246-C$2-1)</f>
        <v>0</v>
      </c>
      <c r="W246" s="4">
        <f>VALUE(SUBSTITUTE(MID($A246,D246+D$2+1,E246-D246-D$2-1),",","."))</f>
        <v>0.50873219600169794</v>
      </c>
      <c r="X246" s="4">
        <f>VALUE(SUBSTITUTE(MID($A246,E246+E$2+1,F246-E246-E$2-1),",","."))</f>
        <v>0.90957602214449496</v>
      </c>
      <c r="Y246" s="4">
        <f>VALUE(SUBSTITUTE(MID($A246,F246+F$2+1,G246-F246-F$2-1),",","."))</f>
        <v>3.6946861106432603E-2</v>
      </c>
      <c r="Z246" s="3">
        <f>VALUE(SUBSTITUTE(MID($A246,G246+G$2+1,H246-G246-G$2-1),",","."))</f>
        <v>0</v>
      </c>
      <c r="AA246" s="3">
        <f>VALUE(SUBSTITUTE(MID($A246,H246+H$2+1,I246-H246-H$2-1),",","."))</f>
        <v>0</v>
      </c>
      <c r="AB246" s="3">
        <f>VALUE(SUBSTITUTE(MID($A246,I246+I$2+1,J246-I246-I$2-1),",","."))</f>
        <v>0</v>
      </c>
      <c r="AC246" s="3">
        <f>VALUE(SUBSTITUTE(MID($A246,J246+J$2+1,K246-J246-J$2-1),",","."))</f>
        <v>2</v>
      </c>
      <c r="AD246" s="3">
        <f>VALUE(SUBSTITUTE(MID($A246,K246+K$2+1,L246-K246-K$2-1),",","."))</f>
        <v>19.440000000000001</v>
      </c>
      <c r="AE246" s="3">
        <f>VALUE(SUBSTITUTE(MID($A246,L246+L$2+1,M246-L246-L$2-1),",","."))</f>
        <v>0</v>
      </c>
      <c r="AF246" s="3">
        <f>VALUE(SUBSTITUTE(MID($A246,M246+M$2+1,N246-M246-M$2-1),",","."))</f>
        <v>0</v>
      </c>
      <c r="AG246" s="3">
        <f>VALUE(SUBSTITUTE(MID($A246,N246+N$2+1,O246-N246-N$2-1),",","."))</f>
        <v>4.2103910774822797</v>
      </c>
      <c r="AH246" t="str">
        <f>MID($A246,O246+O$2+1,P246-O246-O$2-1)</f>
        <v/>
      </c>
      <c r="AI246" s="8" t="str">
        <f>MID($A246,P246+P$2+1,Q246-P246-P$2-1)</f>
        <v>False</v>
      </c>
      <c r="AK246" t="b">
        <f t="shared" si="32"/>
        <v>0</v>
      </c>
    </row>
    <row r="247" spans="1:37" x14ac:dyDescent="0.35">
      <c r="A247" t="s">
        <v>4794</v>
      </c>
      <c r="B247">
        <f t="shared" si="34"/>
        <v>10</v>
      </c>
      <c r="C247">
        <f t="shared" si="34"/>
        <v>43</v>
      </c>
      <c r="D247">
        <f t="shared" si="34"/>
        <v>54</v>
      </c>
      <c r="E247">
        <f t="shared" si="34"/>
        <v>97</v>
      </c>
      <c r="F247">
        <f t="shared" si="34"/>
        <v>141</v>
      </c>
      <c r="G247">
        <f t="shared" si="34"/>
        <v>180</v>
      </c>
      <c r="H247">
        <f t="shared" si="33"/>
        <v>212</v>
      </c>
      <c r="I247">
        <f t="shared" si="33"/>
        <v>234</v>
      </c>
      <c r="J247">
        <f t="shared" si="33"/>
        <v>267</v>
      </c>
      <c r="K247">
        <f t="shared" si="33"/>
        <v>284</v>
      </c>
      <c r="L247">
        <f t="shared" si="33"/>
        <v>303</v>
      </c>
      <c r="M247">
        <f t="shared" si="33"/>
        <v>318</v>
      </c>
      <c r="N247">
        <f t="shared" si="33"/>
        <v>330</v>
      </c>
      <c r="O247">
        <f t="shared" si="33"/>
        <v>356</v>
      </c>
      <c r="P247">
        <f t="shared" si="33"/>
        <v>374</v>
      </c>
      <c r="Q247">
        <f t="shared" si="36"/>
        <v>400</v>
      </c>
      <c r="S247" t="str">
        <f t="shared" si="29"/>
        <v>29.11.2025</v>
      </c>
      <c r="T247" t="str">
        <f t="shared" si="30"/>
        <v>08:15:00</v>
      </c>
      <c r="U247" t="str">
        <f t="shared" si="31"/>
        <v>29.11.2025 08:15:00</v>
      </c>
      <c r="V247" s="9" t="str">
        <f>MID($A247,C247+C$2+1,D247-C247-C$2-1)</f>
        <v>0</v>
      </c>
      <c r="W247" s="4">
        <f>VALUE(SUBSTITUTE(MID($A247,D247+D$2+1,E247-D247-D$2-1),",","."))</f>
        <v>0.55051491672477104</v>
      </c>
      <c r="X247" s="4">
        <f>VALUE(SUBSTITUTE(MID($A247,E247+E$2+1,F247-E247-E$2-1),",","."))</f>
        <v>0.90957602214449496</v>
      </c>
      <c r="Y247" s="4">
        <f>VALUE(SUBSTITUTE(MID($A247,F247+F$2+1,G247-F247-F$2-1),",","."))</f>
        <v>7.0718677897024296E-2</v>
      </c>
      <c r="Z247" s="3">
        <f>VALUE(SUBSTITUTE(MID($A247,G247+G$2+1,H247-G247-G$2-1),",","."))</f>
        <v>0</v>
      </c>
      <c r="AA247" s="3">
        <f>VALUE(SUBSTITUTE(MID($A247,H247+H$2+1,I247-H247-H$2-1),",","."))</f>
        <v>0</v>
      </c>
      <c r="AB247" s="3">
        <f>VALUE(SUBSTITUTE(MID($A247,I247+I$2+1,J247-I247-I$2-1),",","."))</f>
        <v>0</v>
      </c>
      <c r="AC247" s="3">
        <f>VALUE(SUBSTITUTE(MID($A247,J247+J$2+1,K247-J247-J$2-1),",","."))</f>
        <v>2</v>
      </c>
      <c r="AD247" s="3">
        <f>VALUE(SUBSTITUTE(MID($A247,K247+K$2+1,L247-K247-K$2-1),",","."))</f>
        <v>19.440000000000001</v>
      </c>
      <c r="AE247" s="3">
        <f>VALUE(SUBSTITUTE(MID($A247,L247+L$2+1,M247-L247-L$2-1),",","."))</f>
        <v>0</v>
      </c>
      <c r="AF247" s="3">
        <f>VALUE(SUBSTITUTE(MID($A247,M247+M$2+1,N247-M247-M$2-1),",","."))</f>
        <v>0</v>
      </c>
      <c r="AG247" s="3">
        <f>VALUE(SUBSTITUTE(MID($A247,N247+N$2+1,O247-N247-N$2-1),",","."))</f>
        <v>4.2104195973703602</v>
      </c>
      <c r="AH247" t="str">
        <f>MID($A247,O247+O$2+1,P247-O247-O$2-1)</f>
        <v/>
      </c>
      <c r="AI247" s="8" t="str">
        <f>MID($A247,P247+P$2+1,Q247-P247-P$2-1)</f>
        <v>False</v>
      </c>
      <c r="AK247" t="b">
        <f t="shared" si="32"/>
        <v>0</v>
      </c>
    </row>
    <row r="248" spans="1:37" x14ac:dyDescent="0.35">
      <c r="A248" t="s">
        <v>4795</v>
      </c>
      <c r="B248">
        <f t="shared" si="34"/>
        <v>10</v>
      </c>
      <c r="C248">
        <f t="shared" si="34"/>
        <v>43</v>
      </c>
      <c r="D248">
        <f t="shared" si="34"/>
        <v>54</v>
      </c>
      <c r="E248">
        <f t="shared" si="34"/>
        <v>97</v>
      </c>
      <c r="F248">
        <f t="shared" si="34"/>
        <v>141</v>
      </c>
      <c r="G248">
        <f t="shared" si="34"/>
        <v>180</v>
      </c>
      <c r="H248">
        <f t="shared" si="33"/>
        <v>229</v>
      </c>
      <c r="I248">
        <f t="shared" si="33"/>
        <v>251</v>
      </c>
      <c r="J248">
        <f t="shared" si="33"/>
        <v>285</v>
      </c>
      <c r="K248">
        <f t="shared" si="33"/>
        <v>319</v>
      </c>
      <c r="L248">
        <f t="shared" si="33"/>
        <v>338</v>
      </c>
      <c r="M248">
        <f t="shared" si="33"/>
        <v>353</v>
      </c>
      <c r="N248">
        <f t="shared" si="33"/>
        <v>365</v>
      </c>
      <c r="O248">
        <f t="shared" si="33"/>
        <v>390</v>
      </c>
      <c r="P248">
        <f t="shared" si="33"/>
        <v>408</v>
      </c>
      <c r="Q248">
        <f t="shared" si="36"/>
        <v>434</v>
      </c>
      <c r="S248" t="str">
        <f t="shared" ref="S248:S311" si="37">LEFT(U248,10)</f>
        <v>29.11.2025</v>
      </c>
      <c r="T248" t="str">
        <f t="shared" ref="T248:T311" si="38">MID(U248,12,8)</f>
        <v>08:30:00</v>
      </c>
      <c r="U248" t="str">
        <f t="shared" si="31"/>
        <v>29.11.2025 08:30:00</v>
      </c>
      <c r="V248" s="9" t="str">
        <f>MID($A248,C248+C$2+1,D248-C248-C$2-1)</f>
        <v>0</v>
      </c>
      <c r="W248" s="4">
        <f>VALUE(SUBSTITUTE(MID($A248,D248+D$2+1,E248-D248-D$2-1),",","."))</f>
        <v>0.59029743206232299</v>
      </c>
      <c r="X248" s="4">
        <f>VALUE(SUBSTITUTE(MID($A248,E248+E$2+1,F248-E248-E$2-1),",","."))</f>
        <v>0.90957602214449496</v>
      </c>
      <c r="Y248" s="4">
        <f>VALUE(SUBSTITUTE(MID($A248,F248+F$2+1,G248-F248-F$2-1),",","."))</f>
        <v>0.103910234700148</v>
      </c>
      <c r="Z248" s="3">
        <f>VALUE(SUBSTITUTE(MID($A248,G248+G$2+1,H248-G248-G$2-1),",","."))</f>
        <v>12.033333333333299</v>
      </c>
      <c r="AA248" s="3">
        <f>VALUE(SUBSTITUTE(MID($A248,H248+H$2+1,I248-H248-H$2-1),",","."))</f>
        <v>0</v>
      </c>
      <c r="AB248" s="3">
        <f>VALUE(SUBSTITUTE(MID($A248,I248+I$2+1,J248-I248-I$2-1),",","."))</f>
        <v>12</v>
      </c>
      <c r="AC248" s="3">
        <f>VALUE(SUBSTITUTE(MID($A248,J248+J$2+1,K248-J248-J$2-1),",","."))</f>
        <v>2.4</v>
      </c>
      <c r="AD248" s="3">
        <f>VALUE(SUBSTITUTE(MID($A248,K248+K$2+1,L248-K248-K$2-1),",","."))</f>
        <v>20.88</v>
      </c>
      <c r="AE248" s="3">
        <f>VALUE(SUBSTITUTE(MID($A248,L248+L$2+1,M248-L248-L$2-1),",","."))</f>
        <v>0</v>
      </c>
      <c r="AF248" s="3">
        <f>VALUE(SUBSTITUTE(MID($A248,M248+M$2+1,N248-M248-M$2-1),",","."))</f>
        <v>0</v>
      </c>
      <c r="AG248" s="3">
        <f>VALUE(SUBSTITUTE(MID($A248,N248+N$2+1,O248-N248-N$2-1),",","."))</f>
        <v>4.2104481172584398</v>
      </c>
      <c r="AH248" t="str">
        <f>MID($A248,O248+O$2+1,P248-O248-O$2-1)</f>
        <v/>
      </c>
      <c r="AI248" s="8" t="str">
        <f>MID($A248,P248+P$2+1,Q248-P248-P$2-1)</f>
        <v>False</v>
      </c>
      <c r="AK248" t="b">
        <f t="shared" si="32"/>
        <v>0</v>
      </c>
    </row>
    <row r="249" spans="1:37" x14ac:dyDescent="0.35">
      <c r="A249" t="s">
        <v>4796</v>
      </c>
      <c r="B249">
        <f t="shared" si="34"/>
        <v>10</v>
      </c>
      <c r="C249">
        <f t="shared" si="34"/>
        <v>43</v>
      </c>
      <c r="D249">
        <f t="shared" si="34"/>
        <v>54</v>
      </c>
      <c r="E249">
        <f t="shared" si="34"/>
        <v>97</v>
      </c>
      <c r="F249">
        <f t="shared" si="34"/>
        <v>141</v>
      </c>
      <c r="G249">
        <f t="shared" si="34"/>
        <v>180</v>
      </c>
      <c r="H249">
        <f t="shared" si="33"/>
        <v>229</v>
      </c>
      <c r="I249">
        <f t="shared" si="33"/>
        <v>251</v>
      </c>
      <c r="J249">
        <f t="shared" si="33"/>
        <v>285</v>
      </c>
      <c r="K249">
        <f t="shared" si="33"/>
        <v>319</v>
      </c>
      <c r="L249">
        <f t="shared" si="33"/>
        <v>338</v>
      </c>
      <c r="M249">
        <f t="shared" si="33"/>
        <v>353</v>
      </c>
      <c r="N249">
        <f t="shared" si="33"/>
        <v>365</v>
      </c>
      <c r="O249">
        <f t="shared" si="33"/>
        <v>390</v>
      </c>
      <c r="P249">
        <f t="shared" si="33"/>
        <v>408</v>
      </c>
      <c r="Q249">
        <f t="shared" si="36"/>
        <v>434</v>
      </c>
      <c r="S249" t="str">
        <f t="shared" si="37"/>
        <v>29.11.2025</v>
      </c>
      <c r="T249" t="str">
        <f t="shared" si="38"/>
        <v>08:45:00</v>
      </c>
      <c r="U249" t="str">
        <f t="shared" si="31"/>
        <v>29.11.2025 08:45:00</v>
      </c>
      <c r="V249" s="9" t="str">
        <f>MID($A249,C249+C$2+1,D249-C249-C$2-1)</f>
        <v>0</v>
      </c>
      <c r="W249" s="4">
        <f>VALUE(SUBSTITUTE(MID($A249,D249+D$2+1,E249-D249-D$2-1),",","."))</f>
        <v>0.62748934081884</v>
      </c>
      <c r="X249" s="4">
        <f>VALUE(SUBSTITUTE(MID($A249,E249+E$2+1,F249-E249-E$2-1),",","."))</f>
        <v>0.90957602214449496</v>
      </c>
      <c r="Y249" s="4">
        <f>VALUE(SUBSTITUTE(MID($A249,F249+F$2+1,G249-F249-F$2-1),",","."))</f>
        <v>0.135878551985677</v>
      </c>
      <c r="Z249" s="3">
        <f>VALUE(SUBSTITUTE(MID($A249,G249+G$2+1,H249-G249-G$2-1),",","."))</f>
        <v>12.033333333333299</v>
      </c>
      <c r="AA249" s="3">
        <f>VALUE(SUBSTITUTE(MID($A249,H249+H$2+1,I249-H249-H$2-1),",","."))</f>
        <v>0</v>
      </c>
      <c r="AB249" s="3">
        <f>VALUE(SUBSTITUTE(MID($A249,I249+I$2+1,J249-I249-I$2-1),",","."))</f>
        <v>12</v>
      </c>
      <c r="AC249" s="3">
        <f>VALUE(SUBSTITUTE(MID($A249,J249+J$2+1,K249-J249-J$2-1),",","."))</f>
        <v>2.4</v>
      </c>
      <c r="AD249" s="3">
        <f>VALUE(SUBSTITUTE(MID($A249,K249+K$2+1,L249-K249-K$2-1),",","."))</f>
        <v>20.88</v>
      </c>
      <c r="AE249" s="3">
        <f>VALUE(SUBSTITUTE(MID($A249,L249+L$2+1,M249-L249-L$2-1),",","."))</f>
        <v>0</v>
      </c>
      <c r="AF249" s="3">
        <f>VALUE(SUBSTITUTE(MID($A249,M249+M$2+1,N249-M249-M$2-1),",","."))</f>
        <v>0</v>
      </c>
      <c r="AG249" s="3">
        <f>VALUE(SUBSTITUTE(MID($A249,N249+N$2+1,O249-N249-N$2-1),",","."))</f>
        <v>4.2104766371465203</v>
      </c>
      <c r="AH249" t="str">
        <f>MID($A249,O249+O$2+1,P249-O249-O$2-1)</f>
        <v/>
      </c>
      <c r="AI249" s="8" t="str">
        <f>MID($A249,P249+P$2+1,Q249-P249-P$2-1)</f>
        <v>False</v>
      </c>
      <c r="AK249" t="b">
        <f t="shared" si="32"/>
        <v>0</v>
      </c>
    </row>
    <row r="250" spans="1:37" x14ac:dyDescent="0.35">
      <c r="A250" t="s">
        <v>4797</v>
      </c>
      <c r="B250">
        <f t="shared" si="34"/>
        <v>10</v>
      </c>
      <c r="C250">
        <f t="shared" si="34"/>
        <v>43</v>
      </c>
      <c r="D250">
        <f t="shared" si="34"/>
        <v>54</v>
      </c>
      <c r="E250">
        <f t="shared" si="34"/>
        <v>97</v>
      </c>
      <c r="F250">
        <f t="shared" si="34"/>
        <v>141</v>
      </c>
      <c r="G250">
        <f t="shared" si="34"/>
        <v>180</v>
      </c>
      <c r="H250">
        <f t="shared" si="33"/>
        <v>229</v>
      </c>
      <c r="I250">
        <f t="shared" si="33"/>
        <v>251</v>
      </c>
      <c r="J250">
        <f t="shared" si="33"/>
        <v>285</v>
      </c>
      <c r="K250">
        <f t="shared" si="33"/>
        <v>319</v>
      </c>
      <c r="L250">
        <f t="shared" si="33"/>
        <v>338</v>
      </c>
      <c r="M250">
        <f t="shared" si="33"/>
        <v>353</v>
      </c>
      <c r="N250">
        <f t="shared" si="33"/>
        <v>365</v>
      </c>
      <c r="O250">
        <f t="shared" si="33"/>
        <v>390</v>
      </c>
      <c r="P250">
        <f t="shared" si="33"/>
        <v>408</v>
      </c>
      <c r="Q250">
        <f t="shared" si="36"/>
        <v>434</v>
      </c>
      <c r="S250" t="str">
        <f t="shared" si="37"/>
        <v>29.11.2025</v>
      </c>
      <c r="T250" t="str">
        <f t="shared" si="38"/>
        <v>09:00:00</v>
      </c>
      <c r="U250" t="str">
        <f t="shared" si="31"/>
        <v>29.11.2025 09:00:00</v>
      </c>
      <c r="V250" s="9" t="str">
        <f>MID($A250,C250+C$2+1,D250-C250-C$2-1)</f>
        <v>0</v>
      </c>
      <c r="W250" s="4">
        <f>VALUE(SUBSTITUTE(MID($A250,D250+D$2+1,E250-D250-D$2-1),",","."))</f>
        <v>0.66177621779111695</v>
      </c>
      <c r="X250" s="4">
        <f>VALUE(SUBSTITUTE(MID($A250,E250+E$2+1,F250-E250-E$2-1),",","."))</f>
        <v>0.90957602214449496</v>
      </c>
      <c r="Y250" s="4">
        <f>VALUE(SUBSTITUTE(MID($A250,F250+F$2+1,G250-F250-F$2-1),",","."))</f>
        <v>0.16630099972388299</v>
      </c>
      <c r="Z250" s="3">
        <f>VALUE(SUBSTITUTE(MID($A250,G250+G$2+1,H250-G250-G$2-1),",","."))</f>
        <v>12.033333333333299</v>
      </c>
      <c r="AA250" s="3">
        <f>VALUE(SUBSTITUTE(MID($A250,H250+H$2+1,I250-H250-H$2-1),",","."))</f>
        <v>0</v>
      </c>
      <c r="AB250" s="3">
        <f>VALUE(SUBSTITUTE(MID($A250,I250+I$2+1,J250-I250-I$2-1),",","."))</f>
        <v>12</v>
      </c>
      <c r="AC250" s="3">
        <f>VALUE(SUBSTITUTE(MID($A250,J250+J$2+1,K250-J250-J$2-1),",","."))</f>
        <v>2.4</v>
      </c>
      <c r="AD250" s="3">
        <f>VALUE(SUBSTITUTE(MID($A250,K250+K$2+1,L250-K250-K$2-1),",","."))</f>
        <v>20.88</v>
      </c>
      <c r="AE250" s="3">
        <f>VALUE(SUBSTITUTE(MID($A250,L250+L$2+1,M250-L250-L$2-1),",","."))</f>
        <v>0</v>
      </c>
      <c r="AF250" s="3">
        <f>VALUE(SUBSTITUTE(MID($A250,M250+M$2+1,N250-M250-M$2-1),",","."))</f>
        <v>0</v>
      </c>
      <c r="AG250" s="3">
        <f>VALUE(SUBSTITUTE(MID($A250,N250+N$2+1,O250-N250-N$2-1),",","."))</f>
        <v>4.2105051570346097</v>
      </c>
      <c r="AH250" t="str">
        <f>MID($A250,O250+O$2+1,P250-O250-O$2-1)</f>
        <v/>
      </c>
      <c r="AI250" s="8" t="str">
        <f>MID($A250,P250+P$2+1,Q250-P250-P$2-1)</f>
        <v>False</v>
      </c>
      <c r="AK250" t="b">
        <f t="shared" si="32"/>
        <v>0</v>
      </c>
    </row>
    <row r="251" spans="1:37" x14ac:dyDescent="0.35">
      <c r="A251" t="s">
        <v>4798</v>
      </c>
      <c r="B251">
        <f t="shared" si="34"/>
        <v>10</v>
      </c>
      <c r="C251">
        <f t="shared" si="34"/>
        <v>43</v>
      </c>
      <c r="D251">
        <f t="shared" si="34"/>
        <v>54</v>
      </c>
      <c r="E251">
        <f t="shared" si="34"/>
        <v>97</v>
      </c>
      <c r="F251">
        <f t="shared" si="34"/>
        <v>141</v>
      </c>
      <c r="G251">
        <f t="shared" si="34"/>
        <v>180</v>
      </c>
      <c r="H251">
        <f t="shared" si="33"/>
        <v>229</v>
      </c>
      <c r="I251">
        <f t="shared" si="33"/>
        <v>251</v>
      </c>
      <c r="J251">
        <f t="shared" si="33"/>
        <v>285</v>
      </c>
      <c r="K251">
        <f t="shared" si="33"/>
        <v>319</v>
      </c>
      <c r="L251">
        <f t="shared" si="33"/>
        <v>338</v>
      </c>
      <c r="M251">
        <f t="shared" si="33"/>
        <v>353</v>
      </c>
      <c r="N251">
        <f t="shared" si="33"/>
        <v>365</v>
      </c>
      <c r="O251">
        <f t="shared" si="33"/>
        <v>390</v>
      </c>
      <c r="P251">
        <f t="shared" si="33"/>
        <v>408</v>
      </c>
      <c r="Q251">
        <f t="shared" si="36"/>
        <v>434</v>
      </c>
      <c r="S251" t="str">
        <f t="shared" si="37"/>
        <v>29.11.2025</v>
      </c>
      <c r="T251" t="str">
        <f t="shared" si="38"/>
        <v>09:15:00</v>
      </c>
      <c r="U251" t="str">
        <f t="shared" si="31"/>
        <v>29.11.2025 09:15:00</v>
      </c>
      <c r="V251" s="9" t="str">
        <f>MID($A251,C251+C$2+1,D251-C251-C$2-1)</f>
        <v>0</v>
      </c>
      <c r="W251" s="4">
        <f>VALUE(SUBSTITUTE(MID($A251,D251+D$2+1,E251-D251-D$2-1),",","."))</f>
        <v>0.69294353283347698</v>
      </c>
      <c r="X251" s="4">
        <f>VALUE(SUBSTITUTE(MID($A251,E251+E$2+1,F251-E251-E$2-1),",","."))</f>
        <v>0.90957602214449496</v>
      </c>
      <c r="Y251" s="4">
        <f>VALUE(SUBSTITUTE(MID($A251,F251+F$2+1,G251-F251-F$2-1),",","."))</f>
        <v>0.19496600574099801</v>
      </c>
      <c r="Z251" s="3">
        <f>VALUE(SUBSTITUTE(MID($A251,G251+G$2+1,H251-G251-G$2-1),",","."))</f>
        <v>12.033333333333299</v>
      </c>
      <c r="AA251" s="3">
        <f>VALUE(SUBSTITUTE(MID($A251,H251+H$2+1,I251-H251-H$2-1),",","."))</f>
        <v>0</v>
      </c>
      <c r="AB251" s="3">
        <f>VALUE(SUBSTITUTE(MID($A251,I251+I$2+1,J251-I251-I$2-1),",","."))</f>
        <v>12</v>
      </c>
      <c r="AC251" s="3">
        <f>VALUE(SUBSTITUTE(MID($A251,J251+J$2+1,K251-J251-J$2-1),",","."))</f>
        <v>2.4</v>
      </c>
      <c r="AD251" s="3">
        <f>VALUE(SUBSTITUTE(MID($A251,K251+K$2+1,L251-K251-K$2-1),",","."))</f>
        <v>20.88</v>
      </c>
      <c r="AE251" s="3">
        <f>VALUE(SUBSTITUTE(MID($A251,L251+L$2+1,M251-L251-L$2-1),",","."))</f>
        <v>0</v>
      </c>
      <c r="AF251" s="3">
        <f>VALUE(SUBSTITUTE(MID($A251,M251+M$2+1,N251-M251-M$2-1),",","."))</f>
        <v>0</v>
      </c>
      <c r="AG251" s="3">
        <f>VALUE(SUBSTITUTE(MID($A251,N251+N$2+1,O251-N251-N$2-1),",","."))</f>
        <v>4.2105336769226902</v>
      </c>
      <c r="AH251" t="str">
        <f>MID($A251,O251+O$2+1,P251-O251-O$2-1)</f>
        <v/>
      </c>
      <c r="AI251" s="8" t="str">
        <f>MID($A251,P251+P$2+1,Q251-P251-P$2-1)</f>
        <v>False</v>
      </c>
      <c r="AK251" t="b">
        <f t="shared" si="32"/>
        <v>0</v>
      </c>
    </row>
    <row r="252" spans="1:37" x14ac:dyDescent="0.35">
      <c r="A252" t="s">
        <v>4799</v>
      </c>
      <c r="B252">
        <f t="shared" si="34"/>
        <v>10</v>
      </c>
      <c r="C252">
        <f t="shared" si="34"/>
        <v>43</v>
      </c>
      <c r="D252">
        <f t="shared" si="34"/>
        <v>54</v>
      </c>
      <c r="E252">
        <f t="shared" si="34"/>
        <v>97</v>
      </c>
      <c r="F252">
        <f t="shared" si="34"/>
        <v>141</v>
      </c>
      <c r="G252">
        <f t="shared" si="34"/>
        <v>180</v>
      </c>
      <c r="H252">
        <f t="shared" si="33"/>
        <v>212</v>
      </c>
      <c r="I252">
        <f t="shared" si="33"/>
        <v>234</v>
      </c>
      <c r="J252">
        <f t="shared" si="33"/>
        <v>270</v>
      </c>
      <c r="K252">
        <f t="shared" si="33"/>
        <v>289</v>
      </c>
      <c r="L252">
        <f t="shared" si="33"/>
        <v>308</v>
      </c>
      <c r="M252">
        <f t="shared" si="33"/>
        <v>323</v>
      </c>
      <c r="N252">
        <f t="shared" si="33"/>
        <v>335</v>
      </c>
      <c r="O252">
        <f t="shared" si="33"/>
        <v>360</v>
      </c>
      <c r="P252">
        <f t="shared" si="33"/>
        <v>378</v>
      </c>
      <c r="Q252">
        <f t="shared" si="36"/>
        <v>404</v>
      </c>
      <c r="S252" t="str">
        <f t="shared" si="37"/>
        <v>29.11.2025</v>
      </c>
      <c r="T252" t="str">
        <f t="shared" si="38"/>
        <v>09:30:00</v>
      </c>
      <c r="U252" t="str">
        <f t="shared" si="31"/>
        <v>29.11.2025 09:30:00</v>
      </c>
      <c r="V252" s="9" t="str">
        <f>MID($A252,C252+C$2+1,D252-C252-C$2-1)</f>
        <v>0</v>
      </c>
      <c r="W252" s="4">
        <f>VALUE(SUBSTITUTE(MID($A252,D252+D$2+1,E252-D252-D$2-1),",","."))</f>
        <v>0.72082416580250297</v>
      </c>
      <c r="X252" s="4">
        <f>VALUE(SUBSTITUTE(MID($A252,E252+E$2+1,F252-E252-E$2-1),",","."))</f>
        <v>0.90957602214449496</v>
      </c>
      <c r="Y252" s="4">
        <f>VALUE(SUBSTITUTE(MID($A252,F252+F$2+1,G252-F252-F$2-1),",","."))</f>
        <v>0.22171028433449799</v>
      </c>
      <c r="Z252" s="3">
        <f>VALUE(SUBSTITUTE(MID($A252,G252+G$2+1,H252-G252-G$2-1),",","."))</f>
        <v>0</v>
      </c>
      <c r="AA252" s="3">
        <f>VALUE(SUBSTITUTE(MID($A252,H252+H$2+1,I252-H252-H$2-1),",","."))</f>
        <v>0</v>
      </c>
      <c r="AB252" s="3">
        <f>VALUE(SUBSTITUTE(MID($A252,I252+I$2+1,J252-I252-I$2-1),",","."))</f>
        <v>47.5</v>
      </c>
      <c r="AC252" s="3">
        <f>VALUE(SUBSTITUTE(MID($A252,J252+J$2+1,K252-J252-J$2-1),",","."))</f>
        <v>3.2</v>
      </c>
      <c r="AD252" s="3">
        <f>VALUE(SUBSTITUTE(MID($A252,K252+K$2+1,L252-K252-K$2-1),",","."))</f>
        <v>19.98</v>
      </c>
      <c r="AE252" s="3">
        <f>VALUE(SUBSTITUTE(MID($A252,L252+L$2+1,M252-L252-L$2-1),",","."))</f>
        <v>0</v>
      </c>
      <c r="AF252" s="3">
        <f>VALUE(SUBSTITUTE(MID($A252,M252+M$2+1,N252-M252-M$2-1),",","."))</f>
        <v>0</v>
      </c>
      <c r="AG252" s="3">
        <f>VALUE(SUBSTITUTE(MID($A252,N252+N$2+1,O252-N252-N$2-1),",","."))</f>
        <v>4.2105621968107698</v>
      </c>
      <c r="AH252" t="str">
        <f>MID($A252,O252+O$2+1,P252-O252-O$2-1)</f>
        <v/>
      </c>
      <c r="AI252" s="8" t="str">
        <f>MID($A252,P252+P$2+1,Q252-P252-P$2-1)</f>
        <v>False</v>
      </c>
      <c r="AK252" t="b">
        <f t="shared" si="32"/>
        <v>1</v>
      </c>
    </row>
    <row r="253" spans="1:37" x14ac:dyDescent="0.35">
      <c r="A253" t="s">
        <v>4800</v>
      </c>
      <c r="B253">
        <f t="shared" si="34"/>
        <v>10</v>
      </c>
      <c r="C253">
        <f t="shared" si="34"/>
        <v>43</v>
      </c>
      <c r="D253">
        <f t="shared" si="34"/>
        <v>54</v>
      </c>
      <c r="E253">
        <f t="shared" si="34"/>
        <v>97</v>
      </c>
      <c r="F253">
        <f t="shared" si="34"/>
        <v>141</v>
      </c>
      <c r="G253">
        <f t="shared" si="34"/>
        <v>180</v>
      </c>
      <c r="H253">
        <f t="shared" si="33"/>
        <v>212</v>
      </c>
      <c r="I253">
        <f t="shared" si="33"/>
        <v>234</v>
      </c>
      <c r="J253">
        <f t="shared" si="33"/>
        <v>270</v>
      </c>
      <c r="K253">
        <f t="shared" si="33"/>
        <v>289</v>
      </c>
      <c r="L253">
        <f t="shared" si="33"/>
        <v>308</v>
      </c>
      <c r="M253">
        <f t="shared" si="33"/>
        <v>323</v>
      </c>
      <c r="N253">
        <f t="shared" si="33"/>
        <v>335</v>
      </c>
      <c r="O253">
        <f t="shared" si="33"/>
        <v>360</v>
      </c>
      <c r="P253">
        <f t="shared" si="33"/>
        <v>378</v>
      </c>
      <c r="Q253">
        <f t="shared" si="36"/>
        <v>404</v>
      </c>
      <c r="S253" t="str">
        <f t="shared" si="37"/>
        <v>29.11.2025</v>
      </c>
      <c r="T253" t="str">
        <f t="shared" si="38"/>
        <v>09:45:00</v>
      </c>
      <c r="U253" t="str">
        <f t="shared" si="31"/>
        <v>29.11.2025 09:45:00</v>
      </c>
      <c r="V253" s="9" t="str">
        <f>MID($A253,C253+C$2+1,D253-C253-C$2-1)</f>
        <v>0</v>
      </c>
      <c r="W253" s="4">
        <f>VALUE(SUBSTITUTE(MID($A253,D253+D$2+1,E253-D253-D$2-1),",","."))</f>
        <v>0.74528028573170402</v>
      </c>
      <c r="X253" s="4">
        <f>VALUE(SUBSTITUTE(MID($A253,E253+E$2+1,F253-E253-E$2-1),",","."))</f>
        <v>0.90957602214449496</v>
      </c>
      <c r="Y253" s="4">
        <f>VALUE(SUBSTITUTE(MID($A253,F253+F$2+1,G253-F253-F$2-1),",","."))</f>
        <v>0.246397020707249</v>
      </c>
      <c r="Z253" s="3">
        <f>VALUE(SUBSTITUTE(MID($A253,G253+G$2+1,H253-G253-G$2-1),",","."))</f>
        <v>0</v>
      </c>
      <c r="AA253" s="3">
        <f>VALUE(SUBSTITUTE(MID($A253,H253+H$2+1,I253-H253-H$2-1),",","."))</f>
        <v>0</v>
      </c>
      <c r="AB253" s="3">
        <f>VALUE(SUBSTITUTE(MID($A253,I253+I$2+1,J253-I253-I$2-1),",","."))</f>
        <v>47.5</v>
      </c>
      <c r="AC253" s="3">
        <f>VALUE(SUBSTITUTE(MID($A253,J253+J$2+1,K253-J253-J$2-1),",","."))</f>
        <v>3.2</v>
      </c>
      <c r="AD253" s="3">
        <f>VALUE(SUBSTITUTE(MID($A253,K253+K$2+1,L253-K253-K$2-1),",","."))</f>
        <v>19.98</v>
      </c>
      <c r="AE253" s="3">
        <f>VALUE(SUBSTITUTE(MID($A253,L253+L$2+1,M253-L253-L$2-1),",","."))</f>
        <v>0</v>
      </c>
      <c r="AF253" s="3">
        <f>VALUE(SUBSTITUTE(MID($A253,M253+M$2+1,N253-M253-M$2-1),",","."))</f>
        <v>0</v>
      </c>
      <c r="AG253" s="3">
        <f>VALUE(SUBSTITUTE(MID($A253,N253+N$2+1,O253-N253-N$2-1),",","."))</f>
        <v>4.2105907166988503</v>
      </c>
      <c r="AH253" t="str">
        <f>MID($A253,O253+O$2+1,P253-O253-O$2-1)</f>
        <v/>
      </c>
      <c r="AI253" s="8" t="str">
        <f>MID($A253,P253+P$2+1,Q253-P253-P$2-1)</f>
        <v>False</v>
      </c>
      <c r="AK253" t="b">
        <f t="shared" si="32"/>
        <v>1</v>
      </c>
    </row>
    <row r="254" spans="1:37" x14ac:dyDescent="0.35">
      <c r="A254" t="s">
        <v>4801</v>
      </c>
      <c r="B254">
        <f t="shared" si="34"/>
        <v>10</v>
      </c>
      <c r="C254">
        <f t="shared" si="34"/>
        <v>43</v>
      </c>
      <c r="D254">
        <f t="shared" si="34"/>
        <v>54</v>
      </c>
      <c r="E254">
        <f t="shared" ref="E254:P284" si="39">FIND(E$1,$A254)</f>
        <v>97</v>
      </c>
      <c r="F254">
        <f t="shared" si="39"/>
        <v>141</v>
      </c>
      <c r="G254">
        <f t="shared" si="39"/>
        <v>179</v>
      </c>
      <c r="H254">
        <f t="shared" si="33"/>
        <v>211</v>
      </c>
      <c r="I254">
        <f t="shared" si="33"/>
        <v>233</v>
      </c>
      <c r="J254">
        <f t="shared" si="33"/>
        <v>269</v>
      </c>
      <c r="K254">
        <f t="shared" si="33"/>
        <v>288</v>
      </c>
      <c r="L254">
        <f t="shared" si="33"/>
        <v>307</v>
      </c>
      <c r="M254">
        <f t="shared" si="33"/>
        <v>322</v>
      </c>
      <c r="N254">
        <f t="shared" si="33"/>
        <v>334</v>
      </c>
      <c r="O254">
        <f t="shared" si="33"/>
        <v>359</v>
      </c>
      <c r="P254">
        <f t="shared" si="33"/>
        <v>377</v>
      </c>
      <c r="Q254">
        <f t="shared" si="36"/>
        <v>403</v>
      </c>
      <c r="S254" t="str">
        <f t="shared" si="37"/>
        <v>29.11.2025</v>
      </c>
      <c r="T254" t="str">
        <f t="shared" si="38"/>
        <v>10:00:00</v>
      </c>
      <c r="U254" t="str">
        <f t="shared" si="31"/>
        <v>29.11.2025 10:00:00</v>
      </c>
      <c r="V254" s="9" t="str">
        <f>MID($A254,C254+C$2+1,D254-C254-C$2-1)</f>
        <v>0</v>
      </c>
      <c r="W254" s="4">
        <f>VALUE(SUBSTITUTE(MID($A254,D254+D$2+1,E254-D254-D$2-1),",","."))</f>
        <v>0.76619629207944695</v>
      </c>
      <c r="X254" s="4">
        <f>VALUE(SUBSTITUTE(MID($A254,E254+E$2+1,F254-E254-E$2-1),",","."))</f>
        <v>0.90957602214449496</v>
      </c>
      <c r="Y254" s="4">
        <f>VALUE(SUBSTITUTE(MID($A254,F254+F$2+1,G254-F254-F$2-1),",","."))</f>
        <v>0.26890729840934002</v>
      </c>
      <c r="Z254" s="3">
        <f>VALUE(SUBSTITUTE(MID($A254,G254+G$2+1,H254-G254-G$2-1),",","."))</f>
        <v>0</v>
      </c>
      <c r="AA254" s="3">
        <f>VALUE(SUBSTITUTE(MID($A254,H254+H$2+1,I254-H254-H$2-1),",","."))</f>
        <v>0</v>
      </c>
      <c r="AB254" s="3">
        <f>VALUE(SUBSTITUTE(MID($A254,I254+I$2+1,J254-I254-I$2-1),",","."))</f>
        <v>47.5</v>
      </c>
      <c r="AC254" s="3">
        <f>VALUE(SUBSTITUTE(MID($A254,J254+J$2+1,K254-J254-J$2-1),",","."))</f>
        <v>3.2</v>
      </c>
      <c r="AD254" s="3">
        <f>VALUE(SUBSTITUTE(MID($A254,K254+K$2+1,L254-K254-K$2-1),",","."))</f>
        <v>19.98</v>
      </c>
      <c r="AE254" s="3">
        <f>VALUE(SUBSTITUTE(MID($A254,L254+L$2+1,M254-L254-L$2-1),",","."))</f>
        <v>0</v>
      </c>
      <c r="AF254" s="3">
        <f>VALUE(SUBSTITUTE(MID($A254,M254+M$2+1,N254-M254-M$2-1),",","."))</f>
        <v>0</v>
      </c>
      <c r="AG254" s="3">
        <f>VALUE(SUBSTITUTE(MID($A254,N254+N$2+1,O254-N254-N$2-1),",","."))</f>
        <v>4.2106192365869299</v>
      </c>
      <c r="AH254" t="str">
        <f>MID($A254,O254+O$2+1,P254-O254-O$2-1)</f>
        <v/>
      </c>
      <c r="AI254" s="8" t="str">
        <f>MID($A254,P254+P$2+1,Q254-P254-P$2-1)</f>
        <v>False</v>
      </c>
      <c r="AK254" t="b">
        <f t="shared" si="32"/>
        <v>1</v>
      </c>
    </row>
    <row r="255" spans="1:37" x14ac:dyDescent="0.35">
      <c r="A255" t="s">
        <v>4802</v>
      </c>
      <c r="B255">
        <f t="shared" ref="B255:P295" si="40">FIND(B$1,$A255)</f>
        <v>10</v>
      </c>
      <c r="C255">
        <f t="shared" si="40"/>
        <v>43</v>
      </c>
      <c r="D255">
        <f t="shared" si="40"/>
        <v>54</v>
      </c>
      <c r="E255">
        <f t="shared" si="39"/>
        <v>97</v>
      </c>
      <c r="F255">
        <f t="shared" si="39"/>
        <v>141</v>
      </c>
      <c r="G255">
        <f t="shared" si="39"/>
        <v>179</v>
      </c>
      <c r="H255">
        <f t="shared" si="33"/>
        <v>211</v>
      </c>
      <c r="I255">
        <f t="shared" si="33"/>
        <v>233</v>
      </c>
      <c r="J255">
        <f t="shared" si="33"/>
        <v>269</v>
      </c>
      <c r="K255">
        <f t="shared" si="33"/>
        <v>288</v>
      </c>
      <c r="L255">
        <f t="shared" si="33"/>
        <v>307</v>
      </c>
      <c r="M255">
        <f t="shared" si="33"/>
        <v>322</v>
      </c>
      <c r="N255">
        <f t="shared" si="33"/>
        <v>334</v>
      </c>
      <c r="O255">
        <f t="shared" si="33"/>
        <v>359</v>
      </c>
      <c r="P255">
        <f t="shared" si="33"/>
        <v>377</v>
      </c>
      <c r="Q255">
        <f t="shared" si="36"/>
        <v>403</v>
      </c>
      <c r="S255" t="str">
        <f t="shared" si="37"/>
        <v>29.11.2025</v>
      </c>
      <c r="T255" t="str">
        <f t="shared" si="38"/>
        <v>10:15:00</v>
      </c>
      <c r="U255" t="str">
        <f t="shared" si="31"/>
        <v>29.11.2025 10:15:00</v>
      </c>
      <c r="V255" s="9" t="str">
        <f>MID($A255,C255+C$2+1,D255-C255-C$2-1)</f>
        <v>0</v>
      </c>
      <c r="W255" s="4">
        <f>VALUE(SUBSTITUTE(MID($A255,D255+D$2+1,E255-D255-D$2-1),",","."))</f>
        <v>0.78347583638919405</v>
      </c>
      <c r="X255" s="4">
        <f>VALUE(SUBSTITUTE(MID($A255,E255+E$2+1,F255-E255-E$2-1),",","."))</f>
        <v>0.90957602214449496</v>
      </c>
      <c r="Y255" s="4">
        <f>VALUE(SUBSTITUTE(MID($A255,F255+F$2+1,G255-F255-F$2-1),",","."))</f>
        <v>0.28913644421873802</v>
      </c>
      <c r="Z255" s="3">
        <f>VALUE(SUBSTITUTE(MID($A255,G255+G$2+1,H255-G255-G$2-1),",","."))</f>
        <v>0</v>
      </c>
      <c r="AA255" s="3">
        <f>VALUE(SUBSTITUTE(MID($A255,H255+H$2+1,I255-H255-H$2-1),",","."))</f>
        <v>0</v>
      </c>
      <c r="AB255" s="3">
        <f>VALUE(SUBSTITUTE(MID($A255,I255+I$2+1,J255-I255-I$2-1),",","."))</f>
        <v>47.5</v>
      </c>
      <c r="AC255" s="3">
        <f>VALUE(SUBSTITUTE(MID($A255,J255+J$2+1,K255-J255-J$2-1),",","."))</f>
        <v>3.2</v>
      </c>
      <c r="AD255" s="3">
        <f>VALUE(SUBSTITUTE(MID($A255,K255+K$2+1,L255-K255-K$2-1),",","."))</f>
        <v>19.98</v>
      </c>
      <c r="AE255" s="3">
        <f>VALUE(SUBSTITUTE(MID($A255,L255+L$2+1,M255-L255-L$2-1),",","."))</f>
        <v>0</v>
      </c>
      <c r="AF255" s="3">
        <f>VALUE(SUBSTITUTE(MID($A255,M255+M$2+1,N255-M255-M$2-1),",","."))</f>
        <v>0</v>
      </c>
      <c r="AG255" s="3">
        <f>VALUE(SUBSTITUTE(MID($A255,N255+N$2+1,O255-N255-N$2-1),",","."))</f>
        <v>4.2106477564750104</v>
      </c>
      <c r="AH255" t="str">
        <f>MID($A255,O255+O$2+1,P255-O255-O$2-1)</f>
        <v/>
      </c>
      <c r="AI255" s="8" t="str">
        <f>MID($A255,P255+P$2+1,Q255-P255-P$2-1)</f>
        <v>False</v>
      </c>
      <c r="AK255" t="b">
        <f t="shared" si="32"/>
        <v>1</v>
      </c>
    </row>
    <row r="256" spans="1:37" x14ac:dyDescent="0.35">
      <c r="A256" t="s">
        <v>4803</v>
      </c>
      <c r="B256">
        <f t="shared" si="40"/>
        <v>10</v>
      </c>
      <c r="C256">
        <f t="shared" si="40"/>
        <v>43</v>
      </c>
      <c r="D256">
        <f t="shared" si="40"/>
        <v>54</v>
      </c>
      <c r="E256">
        <f t="shared" si="39"/>
        <v>97</v>
      </c>
      <c r="F256">
        <f t="shared" si="39"/>
        <v>141</v>
      </c>
      <c r="G256">
        <f t="shared" si="39"/>
        <v>179</v>
      </c>
      <c r="H256">
        <f t="shared" si="33"/>
        <v>228</v>
      </c>
      <c r="I256">
        <f t="shared" si="33"/>
        <v>250</v>
      </c>
      <c r="J256">
        <f t="shared" si="33"/>
        <v>286</v>
      </c>
      <c r="K256">
        <f t="shared" si="33"/>
        <v>305</v>
      </c>
      <c r="L256">
        <f t="shared" si="33"/>
        <v>336</v>
      </c>
      <c r="M256">
        <f t="shared" si="33"/>
        <v>351</v>
      </c>
      <c r="N256">
        <f t="shared" si="33"/>
        <v>363</v>
      </c>
      <c r="O256">
        <f t="shared" si="33"/>
        <v>386</v>
      </c>
      <c r="P256">
        <f t="shared" si="33"/>
        <v>404</v>
      </c>
      <c r="Q256">
        <f t="shared" si="36"/>
        <v>430</v>
      </c>
      <c r="S256" t="str">
        <f t="shared" si="37"/>
        <v>29.11.2025</v>
      </c>
      <c r="T256" t="str">
        <f t="shared" si="38"/>
        <v>10:30:00</v>
      </c>
      <c r="U256" t="str">
        <f t="shared" si="31"/>
        <v>29.11.2025 10:30:00</v>
      </c>
      <c r="V256" s="9" t="str">
        <f>MID($A256,C256+C$2+1,D256-C256-C$2-1)</f>
        <v>0</v>
      </c>
      <c r="W256" s="4">
        <f>VALUE(SUBSTITUTE(MID($A256,D256+D$2+1,E256-D256-D$2-1),",","."))</f>
        <v>0.79704051151645305</v>
      </c>
      <c r="X256" s="4">
        <f>VALUE(SUBSTITUTE(MID($A256,E256+E$2+1,F256-E256-E$2-1),",","."))</f>
        <v>0.90957602214449496</v>
      </c>
      <c r="Y256" s="4">
        <f>VALUE(SUBSTITUTE(MID($A256,F256+F$2+1,G256-F256-F$2-1),",","."))</f>
        <v>0.306992408025555</v>
      </c>
      <c r="Z256" s="3">
        <f>VALUE(SUBSTITUTE(MID($A256,G256+G$2+1,H256-G256-G$2-1),",","."))</f>
        <v>16.983333333333299</v>
      </c>
      <c r="AA256" s="3">
        <f>VALUE(SUBSTITUTE(MID($A256,H256+H$2+1,I256-H256-H$2-1),",","."))</f>
        <v>0</v>
      </c>
      <c r="AB256" s="3">
        <f>VALUE(SUBSTITUTE(MID($A256,I256+I$2+1,J256-I256-I$2-1),",","."))</f>
        <v>83.5</v>
      </c>
      <c r="AC256" s="3">
        <f>VALUE(SUBSTITUTE(MID($A256,J256+J$2+1,K256-J256-J$2-1),",","."))</f>
        <v>4.0999999999999996</v>
      </c>
      <c r="AD256" s="3">
        <f>VALUE(SUBSTITUTE(MID($A256,K256+K$2+1,L256-K256-K$2-1),",","."))</f>
        <v>8.1</v>
      </c>
      <c r="AE256" s="3">
        <f>VALUE(SUBSTITUTE(MID($A256,L256+L$2+1,M256-L256-L$2-1),",","."))</f>
        <v>0</v>
      </c>
      <c r="AF256" s="3">
        <f>VALUE(SUBSTITUTE(MID($A256,M256+M$2+1,N256-M256-M$2-1),",","."))</f>
        <v>0</v>
      </c>
      <c r="AG256" s="3">
        <f>VALUE(SUBSTITUTE(MID($A256,N256+N$2+1,O256-N256-N$2-1),",","."))</f>
        <v>4.2106762763630998</v>
      </c>
      <c r="AH256" t="str">
        <f>MID($A256,O256+O$2+1,P256-O256-O$2-1)</f>
        <v/>
      </c>
      <c r="AI256" s="8" t="str">
        <f>MID($A256,P256+P$2+1,Q256-P256-P$2-1)</f>
        <v>False</v>
      </c>
      <c r="AK256" t="b">
        <f t="shared" si="32"/>
        <v>1</v>
      </c>
    </row>
    <row r="257" spans="1:37" x14ac:dyDescent="0.35">
      <c r="A257" t="s">
        <v>4804</v>
      </c>
      <c r="B257">
        <f t="shared" si="40"/>
        <v>10</v>
      </c>
      <c r="C257">
        <f t="shared" si="40"/>
        <v>43</v>
      </c>
      <c r="D257">
        <f t="shared" si="40"/>
        <v>54</v>
      </c>
      <c r="E257">
        <f t="shared" si="39"/>
        <v>97</v>
      </c>
      <c r="F257">
        <f t="shared" si="39"/>
        <v>141</v>
      </c>
      <c r="G257">
        <f t="shared" si="39"/>
        <v>179</v>
      </c>
      <c r="H257">
        <f t="shared" si="33"/>
        <v>228</v>
      </c>
      <c r="I257">
        <f t="shared" si="33"/>
        <v>250</v>
      </c>
      <c r="J257">
        <f t="shared" si="33"/>
        <v>286</v>
      </c>
      <c r="K257">
        <f t="shared" si="33"/>
        <v>305</v>
      </c>
      <c r="L257">
        <f t="shared" si="33"/>
        <v>336</v>
      </c>
      <c r="M257">
        <f t="shared" si="33"/>
        <v>351</v>
      </c>
      <c r="N257">
        <f t="shared" si="33"/>
        <v>363</v>
      </c>
      <c r="O257">
        <f t="shared" si="33"/>
        <v>388</v>
      </c>
      <c r="P257">
        <f t="shared" si="33"/>
        <v>406</v>
      </c>
      <c r="Q257">
        <f t="shared" si="36"/>
        <v>432</v>
      </c>
      <c r="S257" t="str">
        <f t="shared" si="37"/>
        <v>29.11.2025</v>
      </c>
      <c r="T257" t="str">
        <f t="shared" si="38"/>
        <v>10:45:00</v>
      </c>
      <c r="U257" t="str">
        <f t="shared" si="31"/>
        <v>29.11.2025 10:45:00</v>
      </c>
      <c r="V257" s="9" t="str">
        <f>MID($A257,C257+C$2+1,D257-C257-C$2-1)</f>
        <v>0</v>
      </c>
      <c r="W257" s="4">
        <f>VALUE(SUBSTITUTE(MID($A257,D257+D$2+1,E257-D257-D$2-1),",","."))</f>
        <v>0.80682926971306601</v>
      </c>
      <c r="X257" s="4">
        <f>VALUE(SUBSTITUTE(MID($A257,E257+E$2+1,F257-E257-E$2-1),",","."))</f>
        <v>0.90957602214449496</v>
      </c>
      <c r="Y257" s="4">
        <f>VALUE(SUBSTITUTE(MID($A257,F257+F$2+1,G257-F257-F$2-1),",","."))</f>
        <v>0.32239505469214502</v>
      </c>
      <c r="Z257" s="3">
        <f>VALUE(SUBSTITUTE(MID($A257,G257+G$2+1,H257-G257-G$2-1),",","."))</f>
        <v>16.983333333333299</v>
      </c>
      <c r="AA257" s="3">
        <f>VALUE(SUBSTITUTE(MID($A257,H257+H$2+1,I257-H257-H$2-1),",","."))</f>
        <v>0</v>
      </c>
      <c r="AB257" s="3">
        <f>VALUE(SUBSTITUTE(MID($A257,I257+I$2+1,J257-I257-I$2-1),",","."))</f>
        <v>83.5</v>
      </c>
      <c r="AC257" s="3">
        <f>VALUE(SUBSTITUTE(MID($A257,J257+J$2+1,K257-J257-J$2-1),",","."))</f>
        <v>4.0999999999999996</v>
      </c>
      <c r="AD257" s="3">
        <f>VALUE(SUBSTITUTE(MID($A257,K257+K$2+1,L257-K257-K$2-1),",","."))</f>
        <v>8.1</v>
      </c>
      <c r="AE257" s="3">
        <f>VALUE(SUBSTITUTE(MID($A257,L257+L$2+1,M257-L257-L$2-1),",","."))</f>
        <v>0</v>
      </c>
      <c r="AF257" s="3">
        <f>VALUE(SUBSTITUTE(MID($A257,M257+M$2+1,N257-M257-M$2-1),",","."))</f>
        <v>0</v>
      </c>
      <c r="AG257" s="3">
        <f>VALUE(SUBSTITUTE(MID($A257,N257+N$2+1,O257-N257-N$2-1),",","."))</f>
        <v>4.2107047962511803</v>
      </c>
      <c r="AH257" t="str">
        <f>MID($A257,O257+O$2+1,P257-O257-O$2-1)</f>
        <v/>
      </c>
      <c r="AI257" s="8" t="str">
        <f>MID($A257,P257+P$2+1,Q257-P257-P$2-1)</f>
        <v>False</v>
      </c>
      <c r="AK257" t="b">
        <f t="shared" si="32"/>
        <v>1</v>
      </c>
    </row>
    <row r="258" spans="1:37" x14ac:dyDescent="0.35">
      <c r="A258" t="s">
        <v>4805</v>
      </c>
      <c r="B258">
        <f t="shared" si="40"/>
        <v>10</v>
      </c>
      <c r="C258">
        <f t="shared" si="40"/>
        <v>43</v>
      </c>
      <c r="D258">
        <f t="shared" si="40"/>
        <v>54</v>
      </c>
      <c r="E258">
        <f t="shared" si="39"/>
        <v>97</v>
      </c>
      <c r="F258">
        <f t="shared" si="39"/>
        <v>141</v>
      </c>
      <c r="G258">
        <f t="shared" si="39"/>
        <v>180</v>
      </c>
      <c r="H258">
        <f t="shared" si="33"/>
        <v>229</v>
      </c>
      <c r="I258">
        <f t="shared" si="33"/>
        <v>251</v>
      </c>
      <c r="J258">
        <f t="shared" si="33"/>
        <v>287</v>
      </c>
      <c r="K258">
        <f t="shared" si="33"/>
        <v>306</v>
      </c>
      <c r="L258">
        <f t="shared" si="33"/>
        <v>337</v>
      </c>
      <c r="M258">
        <f t="shared" si="33"/>
        <v>352</v>
      </c>
      <c r="N258">
        <f t="shared" si="33"/>
        <v>364</v>
      </c>
      <c r="O258">
        <f t="shared" si="33"/>
        <v>389</v>
      </c>
      <c r="P258">
        <f t="shared" si="33"/>
        <v>407</v>
      </c>
      <c r="Q258">
        <f t="shared" si="36"/>
        <v>433</v>
      </c>
      <c r="S258" t="str">
        <f t="shared" si="37"/>
        <v>29.11.2025</v>
      </c>
      <c r="T258" t="str">
        <f t="shared" si="38"/>
        <v>11:00:00</v>
      </c>
      <c r="U258" t="str">
        <f t="shared" si="31"/>
        <v>29.11.2025 11:00:00</v>
      </c>
      <c r="V258" s="9" t="str">
        <f>MID($A258,C258+C$2+1,D258-C258-C$2-1)</f>
        <v>0</v>
      </c>
      <c r="W258" s="4">
        <f>VALUE(SUBSTITUTE(MID($A258,D258+D$2+1,E258-D258-D$2-1),",","."))</f>
        <v>0.81279816693784801</v>
      </c>
      <c r="X258" s="4">
        <f>VALUE(SUBSTITUTE(MID($A258,E258+E$2+1,F258-E258-E$2-1),",","."))</f>
        <v>0.90957602214449496</v>
      </c>
      <c r="Y258" s="4">
        <f>VALUE(SUBSTITUTE(MID($A258,F258+F$2+1,G258-F258-F$2-1),",","."))</f>
        <v>0.33527588566292399</v>
      </c>
      <c r="Z258" s="3">
        <f>VALUE(SUBSTITUTE(MID($A258,G258+G$2+1,H258-G258-G$2-1),",","."))</f>
        <v>16.983333333333299</v>
      </c>
      <c r="AA258" s="3">
        <f>VALUE(SUBSTITUTE(MID($A258,H258+H$2+1,I258-H258-H$2-1),",","."))</f>
        <v>0</v>
      </c>
      <c r="AB258" s="3">
        <f>VALUE(SUBSTITUTE(MID($A258,I258+I$2+1,J258-I258-I$2-1),",","."))</f>
        <v>83.5</v>
      </c>
      <c r="AC258" s="3">
        <f>VALUE(SUBSTITUTE(MID($A258,J258+J$2+1,K258-J258-J$2-1),",","."))</f>
        <v>4.0999999999999996</v>
      </c>
      <c r="AD258" s="3">
        <f>VALUE(SUBSTITUTE(MID($A258,K258+K$2+1,L258-K258-K$2-1),",","."))</f>
        <v>8.1</v>
      </c>
      <c r="AE258" s="3">
        <f>VALUE(SUBSTITUTE(MID($A258,L258+L$2+1,M258-L258-L$2-1),",","."))</f>
        <v>0</v>
      </c>
      <c r="AF258" s="3">
        <f>VALUE(SUBSTITUTE(MID($A258,M258+M$2+1,N258-M258-M$2-1),",","."))</f>
        <v>0</v>
      </c>
      <c r="AG258" s="3">
        <f>VALUE(SUBSTITUTE(MID($A258,N258+N$2+1,O258-N258-N$2-1),",","."))</f>
        <v>4.2107333161392599</v>
      </c>
      <c r="AH258" t="str">
        <f>MID($A258,O258+O$2+1,P258-O258-O$2-1)</f>
        <v/>
      </c>
      <c r="AI258" s="8" t="str">
        <f>MID($A258,P258+P$2+1,Q258-P258-P$2-1)</f>
        <v>False</v>
      </c>
      <c r="AK258" t="b">
        <f t="shared" si="32"/>
        <v>1</v>
      </c>
    </row>
    <row r="259" spans="1:37" x14ac:dyDescent="0.35">
      <c r="A259" t="s">
        <v>4806</v>
      </c>
      <c r="B259">
        <f t="shared" si="40"/>
        <v>10</v>
      </c>
      <c r="C259">
        <f t="shared" si="40"/>
        <v>43</v>
      </c>
      <c r="D259">
        <f t="shared" si="40"/>
        <v>54</v>
      </c>
      <c r="E259">
        <f t="shared" si="39"/>
        <v>97</v>
      </c>
      <c r="F259">
        <f t="shared" si="39"/>
        <v>141</v>
      </c>
      <c r="G259">
        <f t="shared" si="39"/>
        <v>178</v>
      </c>
      <c r="H259">
        <f t="shared" si="33"/>
        <v>227</v>
      </c>
      <c r="I259">
        <f t="shared" si="33"/>
        <v>249</v>
      </c>
      <c r="J259">
        <f t="shared" si="33"/>
        <v>285</v>
      </c>
      <c r="K259">
        <f t="shared" si="33"/>
        <v>304</v>
      </c>
      <c r="L259">
        <f t="shared" si="33"/>
        <v>335</v>
      </c>
      <c r="M259">
        <f t="shared" si="33"/>
        <v>350</v>
      </c>
      <c r="N259">
        <f t="shared" si="33"/>
        <v>362</v>
      </c>
      <c r="O259">
        <f t="shared" si="33"/>
        <v>387</v>
      </c>
      <c r="P259">
        <f t="shared" si="33"/>
        <v>405</v>
      </c>
      <c r="Q259">
        <f t="shared" si="36"/>
        <v>431</v>
      </c>
      <c r="S259" t="str">
        <f t="shared" si="37"/>
        <v>29.11.2025</v>
      </c>
      <c r="T259" t="str">
        <f t="shared" si="38"/>
        <v>11:15:00</v>
      </c>
      <c r="U259" t="str">
        <f t="shared" si="31"/>
        <v>29.11.2025 11:15:00</v>
      </c>
      <c r="V259" s="9" t="str">
        <f>MID($A259,C259+C$2+1,D259-C259-C$2-1)</f>
        <v>0</v>
      </c>
      <c r="W259" s="4">
        <f>VALUE(SUBSTITUTE(MID($A259,D259+D$2+1,E259-D259-D$2-1),",","."))</f>
        <v>0.81492024625566795</v>
      </c>
      <c r="X259" s="4">
        <f>VALUE(SUBSTITUTE(MID($A259,E259+E$2+1,F259-E259-E$2-1),",","."))</f>
        <v>0.90957602214449496</v>
      </c>
      <c r="Y259" s="4">
        <f>VALUE(SUBSTITUTE(MID($A259,F259+F$2+1,G259-F259-F$2-1),",","."))</f>
        <v>0.34557796579151401</v>
      </c>
      <c r="Z259" s="3">
        <f>VALUE(SUBSTITUTE(MID($A259,G259+G$2+1,H259-G259-G$2-1),",","."))</f>
        <v>16.983333333333299</v>
      </c>
      <c r="AA259" s="3">
        <f>VALUE(SUBSTITUTE(MID($A259,H259+H$2+1,I259-H259-H$2-1),",","."))</f>
        <v>0</v>
      </c>
      <c r="AB259" s="3">
        <f>VALUE(SUBSTITUTE(MID($A259,I259+I$2+1,J259-I259-I$2-1),",","."))</f>
        <v>83.5</v>
      </c>
      <c r="AC259" s="3">
        <f>VALUE(SUBSTITUTE(MID($A259,J259+J$2+1,K259-J259-J$2-1),",","."))</f>
        <v>4.0999999999999996</v>
      </c>
      <c r="AD259" s="3">
        <f>VALUE(SUBSTITUTE(MID($A259,K259+K$2+1,L259-K259-K$2-1),",","."))</f>
        <v>8.1</v>
      </c>
      <c r="AE259" s="3">
        <f>VALUE(SUBSTITUTE(MID($A259,L259+L$2+1,M259-L259-L$2-1),",","."))</f>
        <v>0</v>
      </c>
      <c r="AF259" s="3">
        <f>VALUE(SUBSTITUTE(MID($A259,M259+M$2+1,N259-M259-M$2-1),",","."))</f>
        <v>0</v>
      </c>
      <c r="AG259" s="3">
        <f>VALUE(SUBSTITUTE(MID($A259,N259+N$2+1,O259-N259-N$2-1),",","."))</f>
        <v>4.2107618360273404</v>
      </c>
      <c r="AH259" t="str">
        <f>MID($A259,O259+O$2+1,P259-O259-O$2-1)</f>
        <v/>
      </c>
      <c r="AI259" s="8" t="str">
        <f>MID($A259,P259+P$2+1,Q259-P259-P$2-1)</f>
        <v>False</v>
      </c>
      <c r="AK259" t="b">
        <f t="shared" si="32"/>
        <v>1</v>
      </c>
    </row>
    <row r="260" spans="1:37" x14ac:dyDescent="0.35">
      <c r="A260" t="s">
        <v>4807</v>
      </c>
      <c r="B260">
        <f t="shared" si="40"/>
        <v>10</v>
      </c>
      <c r="C260">
        <f t="shared" si="40"/>
        <v>43</v>
      </c>
      <c r="D260">
        <f t="shared" si="40"/>
        <v>54</v>
      </c>
      <c r="E260">
        <f t="shared" si="39"/>
        <v>97</v>
      </c>
      <c r="F260">
        <f t="shared" si="39"/>
        <v>141</v>
      </c>
      <c r="G260">
        <f t="shared" si="39"/>
        <v>179</v>
      </c>
      <c r="H260">
        <f t="shared" si="33"/>
        <v>227</v>
      </c>
      <c r="I260">
        <f t="shared" si="33"/>
        <v>249</v>
      </c>
      <c r="J260">
        <f t="shared" si="33"/>
        <v>284</v>
      </c>
      <c r="K260">
        <f t="shared" si="33"/>
        <v>304</v>
      </c>
      <c r="L260">
        <f t="shared" si="33"/>
        <v>335</v>
      </c>
      <c r="M260">
        <f t="shared" si="33"/>
        <v>350</v>
      </c>
      <c r="N260">
        <f t="shared" si="33"/>
        <v>362</v>
      </c>
      <c r="O260">
        <f t="shared" si="33"/>
        <v>387</v>
      </c>
      <c r="P260">
        <f t="shared" si="33"/>
        <v>405</v>
      </c>
      <c r="Q260">
        <f t="shared" si="36"/>
        <v>431</v>
      </c>
      <c r="S260" t="str">
        <f t="shared" si="37"/>
        <v>29.11.2025</v>
      </c>
      <c r="T260" t="str">
        <f t="shared" si="38"/>
        <v>11:30:00</v>
      </c>
      <c r="U260" t="str">
        <f t="shared" ref="U260:U323" si="41">MID($A260,B260+B$2+1,C260-B260-B$2-1)</f>
        <v>29.11.2025 11:30:00</v>
      </c>
      <c r="V260" s="9" t="str">
        <f>MID($A260,C260+C$2+1,D260-C260-C$2-1)</f>
        <v>0</v>
      </c>
      <c r="W260" s="4">
        <f>VALUE(SUBSTITUTE(MID($A260,D260+D$2+1,E260-D260-D$2-1),",","."))</f>
        <v>0.81318546784963897</v>
      </c>
      <c r="X260" s="4">
        <f>VALUE(SUBSTITUTE(MID($A260,E260+E$2+1,F260-E260-E$2-1),",","."))</f>
        <v>0.90957602214449496</v>
      </c>
      <c r="Y260" s="4">
        <f>VALUE(SUBSTITUTE(MID($A260,F260+F$2+1,G260-F260-F$2-1),",","."))</f>
        <v>0.35325594410221101</v>
      </c>
      <c r="Z260" s="3">
        <f>VALUE(SUBSTITUTE(MID($A260,G260+G$2+1,H260-G260-G$2-1),",","."))</f>
        <v>256.11666666666599</v>
      </c>
      <c r="AA260" s="3">
        <f>VALUE(SUBSTITUTE(MID($A260,H260+H$2+1,I260-H260-H$2-1),",","."))</f>
        <v>0</v>
      </c>
      <c r="AB260" s="3">
        <f>VALUE(SUBSTITUTE(MID($A260,I260+I$2+1,J260-I260-I$2-1),",","."))</f>
        <v>117</v>
      </c>
      <c r="AC260" s="3">
        <f>VALUE(SUBSTITUTE(MID($A260,J260+J$2+1,K260-J260-J$2-1),",","."))</f>
        <v>5.15</v>
      </c>
      <c r="AD260" s="3">
        <f>VALUE(SUBSTITUTE(MID($A260,K260+K$2+1,L260-K260-K$2-1),",","."))</f>
        <v>9.36</v>
      </c>
      <c r="AE260" s="3">
        <f>VALUE(SUBSTITUTE(MID($A260,L260+L$2+1,M260-L260-L$2-1),",","."))</f>
        <v>0</v>
      </c>
      <c r="AF260" s="3">
        <f>VALUE(SUBSTITUTE(MID($A260,M260+M$2+1,N260-M260-M$2-1),",","."))</f>
        <v>0</v>
      </c>
      <c r="AG260" s="3">
        <f>VALUE(SUBSTITUTE(MID($A260,N260+N$2+1,O260-N260-N$2-1),",","."))</f>
        <v>4.2107903559154201</v>
      </c>
      <c r="AH260" t="str">
        <f>MID($A260,O260+O$2+1,P260-O260-O$2-1)</f>
        <v/>
      </c>
      <c r="AI260" s="8" t="str">
        <f>MID($A260,P260+P$2+1,Q260-P260-P$2-1)</f>
        <v>False</v>
      </c>
      <c r="AK260" t="b">
        <f t="shared" ref="AK260:AK323" si="42">AB260&gt;Z260</f>
        <v>0</v>
      </c>
    </row>
    <row r="261" spans="1:37" x14ac:dyDescent="0.35">
      <c r="A261" t="s">
        <v>4808</v>
      </c>
      <c r="B261">
        <f t="shared" si="40"/>
        <v>10</v>
      </c>
      <c r="C261">
        <f t="shared" si="40"/>
        <v>43</v>
      </c>
      <c r="D261">
        <f t="shared" si="40"/>
        <v>54</v>
      </c>
      <c r="E261">
        <f t="shared" si="39"/>
        <v>97</v>
      </c>
      <c r="F261">
        <f t="shared" si="39"/>
        <v>141</v>
      </c>
      <c r="G261">
        <f t="shared" si="39"/>
        <v>180</v>
      </c>
      <c r="H261">
        <f t="shared" si="33"/>
        <v>228</v>
      </c>
      <c r="I261">
        <f t="shared" si="33"/>
        <v>250</v>
      </c>
      <c r="J261">
        <f t="shared" si="33"/>
        <v>285</v>
      </c>
      <c r="K261">
        <f t="shared" si="33"/>
        <v>305</v>
      </c>
      <c r="L261">
        <f t="shared" si="33"/>
        <v>336</v>
      </c>
      <c r="M261">
        <f t="shared" si="33"/>
        <v>351</v>
      </c>
      <c r="N261">
        <f t="shared" si="33"/>
        <v>363</v>
      </c>
      <c r="O261">
        <f t="shared" si="33"/>
        <v>388</v>
      </c>
      <c r="P261">
        <f t="shared" si="33"/>
        <v>406</v>
      </c>
      <c r="Q261">
        <f t="shared" si="36"/>
        <v>432</v>
      </c>
      <c r="S261" t="str">
        <f t="shared" si="37"/>
        <v>29.11.2025</v>
      </c>
      <c r="T261" t="str">
        <f t="shared" si="38"/>
        <v>11:45:00</v>
      </c>
      <c r="U261" t="str">
        <f t="shared" si="41"/>
        <v>29.11.2025 11:45:00</v>
      </c>
      <c r="V261" s="9" t="str">
        <f>MID($A261,C261+C$2+1,D261-C261-C$2-1)</f>
        <v>0</v>
      </c>
      <c r="W261" s="4">
        <f>VALUE(SUBSTITUTE(MID($A261,D261+D$2+1,E261-D261-D$2-1),",","."))</f>
        <v>0.80760063734943</v>
      </c>
      <c r="X261" s="4">
        <f>VALUE(SUBSTITUTE(MID($A261,E261+E$2+1,F261-E261-E$2-1),",","."))</f>
        <v>0.90957602214449496</v>
      </c>
      <c r="Y261" s="4">
        <f>VALUE(SUBSTITUTE(MID($A261,F261+F$2+1,G261-F261-F$2-1),",","."))</f>
        <v>0.35827611012126998</v>
      </c>
      <c r="Z261" s="3">
        <f>VALUE(SUBSTITUTE(MID($A261,G261+G$2+1,H261-G261-G$2-1),",","."))</f>
        <v>256.11666666666599</v>
      </c>
      <c r="AA261" s="3">
        <f>VALUE(SUBSTITUTE(MID($A261,H261+H$2+1,I261-H261-H$2-1),",","."))</f>
        <v>0</v>
      </c>
      <c r="AB261" s="3">
        <f>VALUE(SUBSTITUTE(MID($A261,I261+I$2+1,J261-I261-I$2-1),",","."))</f>
        <v>117</v>
      </c>
      <c r="AC261" s="3">
        <f>VALUE(SUBSTITUTE(MID($A261,J261+J$2+1,K261-J261-J$2-1),",","."))</f>
        <v>5.15</v>
      </c>
      <c r="AD261" s="3">
        <f>VALUE(SUBSTITUTE(MID($A261,K261+K$2+1,L261-K261-K$2-1),",","."))</f>
        <v>9.36</v>
      </c>
      <c r="AE261" s="3">
        <f>VALUE(SUBSTITUTE(MID($A261,L261+L$2+1,M261-L261-L$2-1),",","."))</f>
        <v>0</v>
      </c>
      <c r="AF261" s="3">
        <f>VALUE(SUBSTITUTE(MID($A261,M261+M$2+1,N261-M261-M$2-1),",","."))</f>
        <v>0</v>
      </c>
      <c r="AG261" s="3">
        <f>VALUE(SUBSTITUTE(MID($A261,N261+N$2+1,O261-N261-N$2-1),",","."))</f>
        <v>4.2108188758034997</v>
      </c>
      <c r="AH261" t="str">
        <f>MID($A261,O261+O$2+1,P261-O261-O$2-1)</f>
        <v/>
      </c>
      <c r="AI261" s="8" t="str">
        <f>MID($A261,P261+P$2+1,Q261-P261-P$2-1)</f>
        <v>False</v>
      </c>
      <c r="AK261" t="b">
        <f t="shared" si="42"/>
        <v>0</v>
      </c>
    </row>
    <row r="262" spans="1:37" x14ac:dyDescent="0.35">
      <c r="A262" t="s">
        <v>4809</v>
      </c>
      <c r="B262">
        <f t="shared" si="40"/>
        <v>10</v>
      </c>
      <c r="C262">
        <f t="shared" si="40"/>
        <v>43</v>
      </c>
      <c r="D262">
        <f t="shared" si="40"/>
        <v>54</v>
      </c>
      <c r="E262">
        <f t="shared" si="39"/>
        <v>97</v>
      </c>
      <c r="F262">
        <f t="shared" si="39"/>
        <v>141</v>
      </c>
      <c r="G262">
        <f t="shared" si="39"/>
        <v>180</v>
      </c>
      <c r="H262">
        <f t="shared" si="33"/>
        <v>228</v>
      </c>
      <c r="I262">
        <f t="shared" si="33"/>
        <v>250</v>
      </c>
      <c r="J262">
        <f t="shared" si="33"/>
        <v>285</v>
      </c>
      <c r="K262">
        <f t="shared" si="33"/>
        <v>305</v>
      </c>
      <c r="L262">
        <f t="shared" si="33"/>
        <v>336</v>
      </c>
      <c r="M262">
        <f t="shared" si="33"/>
        <v>351</v>
      </c>
      <c r="N262">
        <f t="shared" si="33"/>
        <v>363</v>
      </c>
      <c r="O262">
        <f t="shared" si="33"/>
        <v>388</v>
      </c>
      <c r="P262">
        <f t="shared" si="33"/>
        <v>406</v>
      </c>
      <c r="Q262">
        <f t="shared" si="36"/>
        <v>432</v>
      </c>
      <c r="S262" t="str">
        <f t="shared" si="37"/>
        <v>29.11.2025</v>
      </c>
      <c r="T262" t="str">
        <f t="shared" si="38"/>
        <v>12:00:00</v>
      </c>
      <c r="U262" t="str">
        <f t="shared" si="41"/>
        <v>29.11.2025 12:00:00</v>
      </c>
      <c r="V262" s="9" t="str">
        <f>MID($A262,C262+C$2+1,D262-C262-C$2-1)</f>
        <v>0</v>
      </c>
      <c r="W262" s="4">
        <f>VALUE(SUBSTITUTE(MID($A262,D262+D$2+1,E262-D262-D$2-1),",","."))</f>
        <v>0.798189306496915</v>
      </c>
      <c r="X262" s="4">
        <f>VALUE(SUBSTITUTE(MID($A262,E262+E$2+1,F262-E262-E$2-1),",","."))</f>
        <v>0.90957602214449496</v>
      </c>
      <c r="Y262" s="4">
        <f>VALUE(SUBSTITUTE(MID($A262,F262+F$2+1,G262-F262-F$2-1),",","."))</f>
        <v>0.36061645386007701</v>
      </c>
      <c r="Z262" s="3">
        <f>VALUE(SUBSTITUTE(MID($A262,G262+G$2+1,H262-G262-G$2-1),",","."))</f>
        <v>256.11666666666599</v>
      </c>
      <c r="AA262" s="3">
        <f>VALUE(SUBSTITUTE(MID($A262,H262+H$2+1,I262-H262-H$2-1),",","."))</f>
        <v>0</v>
      </c>
      <c r="AB262" s="3">
        <f>VALUE(SUBSTITUTE(MID($A262,I262+I$2+1,J262-I262-I$2-1),",","."))</f>
        <v>117</v>
      </c>
      <c r="AC262" s="3">
        <f>VALUE(SUBSTITUTE(MID($A262,J262+J$2+1,K262-J262-J$2-1),",","."))</f>
        <v>5.15</v>
      </c>
      <c r="AD262" s="3">
        <f>VALUE(SUBSTITUTE(MID($A262,K262+K$2+1,L262-K262-K$2-1),",","."))</f>
        <v>9.36</v>
      </c>
      <c r="AE262" s="3">
        <f>VALUE(SUBSTITUTE(MID($A262,L262+L$2+1,M262-L262-L$2-1),",","."))</f>
        <v>0</v>
      </c>
      <c r="AF262" s="3">
        <f>VALUE(SUBSTITUTE(MID($A262,M262+M$2+1,N262-M262-M$2-1),",","."))</f>
        <v>0</v>
      </c>
      <c r="AG262" s="3">
        <f>VALUE(SUBSTITUTE(MID($A262,N262+N$2+1,O262-N262-N$2-1),",","."))</f>
        <v>4.2108473956915802</v>
      </c>
      <c r="AH262" t="str">
        <f>MID($A262,O262+O$2+1,P262-O262-O$2-1)</f>
        <v/>
      </c>
      <c r="AI262" s="8" t="str">
        <f>MID($A262,P262+P$2+1,Q262-P262-P$2-1)</f>
        <v>False</v>
      </c>
      <c r="AK262" t="b">
        <f t="shared" si="42"/>
        <v>0</v>
      </c>
    </row>
    <row r="263" spans="1:37" x14ac:dyDescent="0.35">
      <c r="A263" t="s">
        <v>4810</v>
      </c>
      <c r="B263">
        <f t="shared" si="40"/>
        <v>10</v>
      </c>
      <c r="C263">
        <f t="shared" si="40"/>
        <v>43</v>
      </c>
      <c r="D263">
        <f t="shared" si="40"/>
        <v>54</v>
      </c>
      <c r="E263">
        <f t="shared" si="39"/>
        <v>97</v>
      </c>
      <c r="F263">
        <f t="shared" si="39"/>
        <v>141</v>
      </c>
      <c r="G263">
        <f t="shared" si="39"/>
        <v>177</v>
      </c>
      <c r="H263">
        <f t="shared" si="33"/>
        <v>225</v>
      </c>
      <c r="I263">
        <f t="shared" si="33"/>
        <v>247</v>
      </c>
      <c r="J263">
        <f t="shared" si="33"/>
        <v>282</v>
      </c>
      <c r="K263">
        <f t="shared" si="33"/>
        <v>302</v>
      </c>
      <c r="L263">
        <f t="shared" si="33"/>
        <v>333</v>
      </c>
      <c r="M263">
        <f t="shared" si="33"/>
        <v>348</v>
      </c>
      <c r="N263">
        <f t="shared" si="33"/>
        <v>360</v>
      </c>
      <c r="O263">
        <f t="shared" si="33"/>
        <v>386</v>
      </c>
      <c r="P263">
        <f t="shared" si="33"/>
        <v>404</v>
      </c>
      <c r="Q263">
        <f t="shared" si="36"/>
        <v>430</v>
      </c>
      <c r="S263" t="str">
        <f t="shared" si="37"/>
        <v>29.11.2025</v>
      </c>
      <c r="T263" t="str">
        <f t="shared" si="38"/>
        <v>12:15:00</v>
      </c>
      <c r="U263" t="str">
        <f t="shared" si="41"/>
        <v>29.11.2025 12:15:00</v>
      </c>
      <c r="V263" s="9" t="str">
        <f>MID($A263,C263+C$2+1,D263-C263-C$2-1)</f>
        <v>0</v>
      </c>
      <c r="W263" s="4">
        <f>VALUE(SUBSTITUTE(MID($A263,D263+D$2+1,E263-D263-D$2-1),",","."))</f>
        <v>0.78499163226665603</v>
      </c>
      <c r="X263" s="4">
        <f>VALUE(SUBSTITUTE(MID($A263,E263+E$2+1,F263-E263-E$2-1),",","."))</f>
        <v>0.90957602214449496</v>
      </c>
      <c r="Y263" s="4">
        <f>VALUE(SUBSTITUTE(MID($A263,F263+F$2+1,G263-F263-F$2-1),",","."))</f>
        <v>0.36026671202116001</v>
      </c>
      <c r="Z263" s="3">
        <f>VALUE(SUBSTITUTE(MID($A263,G263+G$2+1,H263-G263-G$2-1),",","."))</f>
        <v>256.11666666666599</v>
      </c>
      <c r="AA263" s="3">
        <f>VALUE(SUBSTITUTE(MID($A263,H263+H$2+1,I263-H263-H$2-1),",","."))</f>
        <v>0</v>
      </c>
      <c r="AB263" s="3">
        <f>VALUE(SUBSTITUTE(MID($A263,I263+I$2+1,J263-I263-I$2-1),",","."))</f>
        <v>117</v>
      </c>
      <c r="AC263" s="3">
        <f>VALUE(SUBSTITUTE(MID($A263,J263+J$2+1,K263-J263-J$2-1),",","."))</f>
        <v>5.15</v>
      </c>
      <c r="AD263" s="3">
        <f>VALUE(SUBSTITUTE(MID($A263,K263+K$2+1,L263-K263-K$2-1),",","."))</f>
        <v>9.36</v>
      </c>
      <c r="AE263" s="3">
        <f>VALUE(SUBSTITUTE(MID($A263,L263+L$2+1,M263-L263-L$2-1),",","."))</f>
        <v>0</v>
      </c>
      <c r="AF263" s="3">
        <f>VALUE(SUBSTITUTE(MID($A263,M263+M$2+1,N263-M263-M$2-1),",","."))</f>
        <v>0</v>
      </c>
      <c r="AG263" s="3">
        <f>VALUE(SUBSTITUTE(MID($A263,N263+N$2+1,O263-N263-N$2-1),",","."))</f>
        <v>4.2108759155796696</v>
      </c>
      <c r="AH263" t="str">
        <f>MID($A263,O263+O$2+1,P263-O263-O$2-1)</f>
        <v/>
      </c>
      <c r="AI263" s="8" t="str">
        <f>MID($A263,P263+P$2+1,Q263-P263-P$2-1)</f>
        <v>False</v>
      </c>
      <c r="AK263" t="b">
        <f t="shared" si="42"/>
        <v>0</v>
      </c>
    </row>
    <row r="264" spans="1:37" x14ac:dyDescent="0.35">
      <c r="A264" t="s">
        <v>4811</v>
      </c>
      <c r="B264">
        <f t="shared" si="40"/>
        <v>10</v>
      </c>
      <c r="C264">
        <f t="shared" si="40"/>
        <v>43</v>
      </c>
      <c r="D264">
        <f t="shared" si="40"/>
        <v>54</v>
      </c>
      <c r="E264">
        <f t="shared" si="39"/>
        <v>97</v>
      </c>
      <c r="F264">
        <f t="shared" si="39"/>
        <v>141</v>
      </c>
      <c r="G264">
        <f t="shared" si="39"/>
        <v>180</v>
      </c>
      <c r="H264">
        <f t="shared" si="33"/>
        <v>228</v>
      </c>
      <c r="I264">
        <f t="shared" si="33"/>
        <v>250</v>
      </c>
      <c r="J264">
        <f t="shared" si="33"/>
        <v>286</v>
      </c>
      <c r="K264">
        <f t="shared" si="33"/>
        <v>306</v>
      </c>
      <c r="L264">
        <f t="shared" si="33"/>
        <v>338</v>
      </c>
      <c r="M264">
        <f t="shared" si="33"/>
        <v>353</v>
      </c>
      <c r="N264">
        <f t="shared" si="33"/>
        <v>365</v>
      </c>
      <c r="O264">
        <f t="shared" si="33"/>
        <v>390</v>
      </c>
      <c r="P264">
        <f t="shared" si="33"/>
        <v>408</v>
      </c>
      <c r="Q264">
        <f t="shared" si="36"/>
        <v>434</v>
      </c>
      <c r="S264" t="str">
        <f t="shared" si="37"/>
        <v>29.11.2025</v>
      </c>
      <c r="T264" t="str">
        <f t="shared" si="38"/>
        <v>12:30:00</v>
      </c>
      <c r="U264" t="str">
        <f t="shared" si="41"/>
        <v>29.11.2025 12:30:00</v>
      </c>
      <c r="V264" s="9" t="str">
        <f>MID($A264,C264+C$2+1,D264-C264-C$2-1)</f>
        <v>0</v>
      </c>
      <c r="W264" s="4">
        <f>VALUE(SUBSTITUTE(MID($A264,D264+D$2+1,E264-D264-D$2-1),",","."))</f>
        <v>0.76806418738261595</v>
      </c>
      <c r="X264" s="4">
        <f>VALUE(SUBSTITUTE(MID($A264,E264+E$2+1,F264-E264-E$2-1),",","."))</f>
        <v>0.90957602214449496</v>
      </c>
      <c r="Y264" s="4">
        <f>VALUE(SUBSTITUTE(MID($A264,F264+F$2+1,G264-F264-F$2-1),",","."))</f>
        <v>0.35722839114924698</v>
      </c>
      <c r="Z264" s="3">
        <f>VALUE(SUBSTITUTE(MID($A264,G264+G$2+1,H264-G264-G$2-1),",","."))</f>
        <v>636.16666666666595</v>
      </c>
      <c r="AA264" s="3">
        <f>VALUE(SUBSTITUTE(MID($A264,H264+H$2+1,I264-H264-H$2-1),",","."))</f>
        <v>0</v>
      </c>
      <c r="AB264" s="3">
        <f>VALUE(SUBSTITUTE(MID($A264,I264+I$2+1,J264-I264-I$2-1),",","."))</f>
        <v>93.5</v>
      </c>
      <c r="AC264" s="3">
        <f>VALUE(SUBSTITUTE(MID($A264,J264+J$2+1,K264-J264-J$2-1),",","."))</f>
        <v>6.15</v>
      </c>
      <c r="AD264" s="3">
        <f>VALUE(SUBSTITUTE(MID($A264,K264+K$2+1,L264-K264-K$2-1),",","."))</f>
        <v>12.24</v>
      </c>
      <c r="AE264" s="3">
        <f>VALUE(SUBSTITUTE(MID($A264,L264+L$2+1,M264-L264-L$2-1),",","."))</f>
        <v>0</v>
      </c>
      <c r="AF264" s="3">
        <f>VALUE(SUBSTITUTE(MID($A264,M264+M$2+1,N264-M264-M$2-1),",","."))</f>
        <v>0</v>
      </c>
      <c r="AG264" s="3">
        <f>VALUE(SUBSTITUTE(MID($A264,N264+N$2+1,O264-N264-N$2-1),",","."))</f>
        <v>4.2109044354677501</v>
      </c>
      <c r="AH264" t="str">
        <f>MID($A264,O264+O$2+1,P264-O264-O$2-1)</f>
        <v/>
      </c>
      <c r="AI264" s="8" t="str">
        <f>MID($A264,P264+P$2+1,Q264-P264-P$2-1)</f>
        <v>False</v>
      </c>
      <c r="AK264" t="b">
        <f t="shared" si="42"/>
        <v>0</v>
      </c>
    </row>
    <row r="265" spans="1:37" x14ac:dyDescent="0.35">
      <c r="A265" t="s">
        <v>4812</v>
      </c>
      <c r="B265">
        <f t="shared" si="40"/>
        <v>10</v>
      </c>
      <c r="C265">
        <f t="shared" si="40"/>
        <v>43</v>
      </c>
      <c r="D265">
        <f t="shared" si="40"/>
        <v>54</v>
      </c>
      <c r="E265">
        <f t="shared" si="39"/>
        <v>97</v>
      </c>
      <c r="F265">
        <f t="shared" si="39"/>
        <v>141</v>
      </c>
      <c r="G265">
        <f t="shared" si="39"/>
        <v>180</v>
      </c>
      <c r="H265">
        <f t="shared" si="33"/>
        <v>228</v>
      </c>
      <c r="I265">
        <f t="shared" si="33"/>
        <v>250</v>
      </c>
      <c r="J265">
        <f t="shared" si="33"/>
        <v>286</v>
      </c>
      <c r="K265">
        <f t="shared" si="33"/>
        <v>306</v>
      </c>
      <c r="L265">
        <f t="shared" si="33"/>
        <v>338</v>
      </c>
      <c r="M265">
        <f t="shared" si="33"/>
        <v>353</v>
      </c>
      <c r="N265">
        <f t="shared" si="33"/>
        <v>365</v>
      </c>
      <c r="O265">
        <f t="shared" si="33"/>
        <v>390</v>
      </c>
      <c r="P265">
        <f t="shared" si="33"/>
        <v>408</v>
      </c>
      <c r="Q265">
        <f t="shared" si="36"/>
        <v>434</v>
      </c>
      <c r="S265" t="str">
        <f t="shared" si="37"/>
        <v>29.11.2025</v>
      </c>
      <c r="T265" t="str">
        <f t="shared" si="38"/>
        <v>12:45:00</v>
      </c>
      <c r="U265" t="str">
        <f t="shared" si="41"/>
        <v>29.11.2025 12:45:00</v>
      </c>
      <c r="V265" s="9" t="str">
        <f>MID($A265,C265+C$2+1,D265-C265-C$2-1)</f>
        <v>0</v>
      </c>
      <c r="W265" s="4">
        <f>VALUE(SUBSTITUTE(MID($A265,D265+D$2+1,E265-D265-D$2-1),",","."))</f>
        <v>0.74747972005851204</v>
      </c>
      <c r="X265" s="4">
        <f>VALUE(SUBSTITUTE(MID($A265,E265+E$2+1,F265-E265-E$2-1),",","."))</f>
        <v>0.90957602214449496</v>
      </c>
      <c r="Y265" s="4">
        <f>VALUE(SUBSTITUTE(MID($A265,F265+F$2+1,G265-F265-F$2-1),",","."))</f>
        <v>0.35151476389546499</v>
      </c>
      <c r="Z265" s="3">
        <f>VALUE(SUBSTITUTE(MID($A265,G265+G$2+1,H265-G265-G$2-1),",","."))</f>
        <v>636.16666666666595</v>
      </c>
      <c r="AA265" s="3">
        <f>VALUE(SUBSTITUTE(MID($A265,H265+H$2+1,I265-H265-H$2-1),",","."))</f>
        <v>0</v>
      </c>
      <c r="AB265" s="3">
        <f>VALUE(SUBSTITUTE(MID($A265,I265+I$2+1,J265-I265-I$2-1),",","."))</f>
        <v>93.5</v>
      </c>
      <c r="AC265" s="3">
        <f>VALUE(SUBSTITUTE(MID($A265,J265+J$2+1,K265-J265-J$2-1),",","."))</f>
        <v>6.15</v>
      </c>
      <c r="AD265" s="3">
        <f>VALUE(SUBSTITUTE(MID($A265,K265+K$2+1,L265-K265-K$2-1),",","."))</f>
        <v>12.24</v>
      </c>
      <c r="AE265" s="3">
        <f>VALUE(SUBSTITUTE(MID($A265,L265+L$2+1,M265-L265-L$2-1),",","."))</f>
        <v>0</v>
      </c>
      <c r="AF265" s="3">
        <f>VALUE(SUBSTITUTE(MID($A265,M265+M$2+1,N265-M265-M$2-1),",","."))</f>
        <v>0</v>
      </c>
      <c r="AG265" s="3">
        <f>VALUE(SUBSTITUTE(MID($A265,N265+N$2+1,O265-N265-N$2-1),",","."))</f>
        <v>4.2109329553558297</v>
      </c>
      <c r="AH265" t="str">
        <f>MID($A265,O265+O$2+1,P265-O265-O$2-1)</f>
        <v/>
      </c>
      <c r="AI265" s="8" t="str">
        <f>MID($A265,P265+P$2+1,Q265-P265-P$2-1)</f>
        <v>False</v>
      </c>
      <c r="AK265" t="b">
        <f t="shared" si="42"/>
        <v>0</v>
      </c>
    </row>
    <row r="266" spans="1:37" x14ac:dyDescent="0.35">
      <c r="A266" t="s">
        <v>4813</v>
      </c>
      <c r="B266">
        <f t="shared" si="40"/>
        <v>10</v>
      </c>
      <c r="C266">
        <f t="shared" si="40"/>
        <v>43</v>
      </c>
      <c r="D266">
        <f t="shared" si="40"/>
        <v>54</v>
      </c>
      <c r="E266">
        <f t="shared" si="39"/>
        <v>97</v>
      </c>
      <c r="F266">
        <f t="shared" si="39"/>
        <v>141</v>
      </c>
      <c r="G266">
        <f t="shared" si="39"/>
        <v>180</v>
      </c>
      <c r="H266">
        <f t="shared" si="33"/>
        <v>228</v>
      </c>
      <c r="I266">
        <f t="shared" si="33"/>
        <v>250</v>
      </c>
      <c r="J266">
        <f t="shared" si="33"/>
        <v>286</v>
      </c>
      <c r="K266">
        <f t="shared" si="33"/>
        <v>306</v>
      </c>
      <c r="L266">
        <f t="shared" si="33"/>
        <v>338</v>
      </c>
      <c r="M266">
        <f t="shared" si="33"/>
        <v>353</v>
      </c>
      <c r="N266">
        <f t="shared" si="33"/>
        <v>365</v>
      </c>
      <c r="O266">
        <f t="shared" si="33"/>
        <v>391</v>
      </c>
      <c r="P266">
        <f t="shared" si="33"/>
        <v>409</v>
      </c>
      <c r="Q266">
        <f t="shared" si="36"/>
        <v>435</v>
      </c>
      <c r="S266" t="str">
        <f t="shared" si="37"/>
        <v>29.11.2025</v>
      </c>
      <c r="T266" t="str">
        <f t="shared" si="38"/>
        <v>13:00:00</v>
      </c>
      <c r="U266" t="str">
        <f t="shared" si="41"/>
        <v>29.11.2025 13:00:00</v>
      </c>
      <c r="V266" s="9" t="str">
        <f>MID($A266,C266+C$2+1,D266-C266-C$2-1)</f>
        <v>0</v>
      </c>
      <c r="W266" s="4">
        <f>VALUE(SUBSTITUTE(MID($A266,D266+D$2+1,E266-D266-D$2-1),",","."))</f>
        <v>0.72332686439770699</v>
      </c>
      <c r="X266" s="4">
        <f>VALUE(SUBSTITUTE(MID($A266,E266+E$2+1,F266-E266-E$2-1),",","."))</f>
        <v>0.90957602214449496</v>
      </c>
      <c r="Y266" s="4">
        <f>VALUE(SUBSTITUTE(MID($A266,F266+F$2+1,G266-F266-F$2-1),",","."))</f>
        <v>0.34315083900511301</v>
      </c>
      <c r="Z266" s="3">
        <f>VALUE(SUBSTITUTE(MID($A266,G266+G$2+1,H266-G266-G$2-1),",","."))</f>
        <v>636.16666666666595</v>
      </c>
      <c r="AA266" s="3">
        <f>VALUE(SUBSTITUTE(MID($A266,H266+H$2+1,I266-H266-H$2-1),",","."))</f>
        <v>0</v>
      </c>
      <c r="AB266" s="3">
        <f>VALUE(SUBSTITUTE(MID($A266,I266+I$2+1,J266-I266-I$2-1),",","."))</f>
        <v>93.5</v>
      </c>
      <c r="AC266" s="3">
        <f>VALUE(SUBSTITUTE(MID($A266,J266+J$2+1,K266-J266-J$2-1),",","."))</f>
        <v>6.15</v>
      </c>
      <c r="AD266" s="3">
        <f>VALUE(SUBSTITUTE(MID($A266,K266+K$2+1,L266-K266-K$2-1),",","."))</f>
        <v>12.24</v>
      </c>
      <c r="AE266" s="3">
        <f>VALUE(SUBSTITUTE(MID($A266,L266+L$2+1,M266-L266-L$2-1),",","."))</f>
        <v>0</v>
      </c>
      <c r="AF266" s="3">
        <f>VALUE(SUBSTITUTE(MID($A266,M266+M$2+1,N266-M266-M$2-1),",","."))</f>
        <v>0</v>
      </c>
      <c r="AG266" s="3">
        <f>VALUE(SUBSTITUTE(MID($A266,N266+N$2+1,O266-N266-N$2-1),",","."))</f>
        <v>4.2109614752439102</v>
      </c>
      <c r="AH266" t="str">
        <f>MID($A266,O266+O$2+1,P266-O266-O$2-1)</f>
        <v/>
      </c>
      <c r="AI266" s="8" t="str">
        <f>MID($A266,P266+P$2+1,Q266-P266-P$2-1)</f>
        <v>False</v>
      </c>
      <c r="AK266" t="b">
        <f t="shared" si="42"/>
        <v>0</v>
      </c>
    </row>
    <row r="267" spans="1:37" x14ac:dyDescent="0.35">
      <c r="A267" t="s">
        <v>4814</v>
      </c>
      <c r="B267">
        <f t="shared" si="40"/>
        <v>10</v>
      </c>
      <c r="C267">
        <f t="shared" si="40"/>
        <v>43</v>
      </c>
      <c r="D267">
        <f t="shared" si="40"/>
        <v>54</v>
      </c>
      <c r="E267">
        <f t="shared" si="39"/>
        <v>97</v>
      </c>
      <c r="F267">
        <f t="shared" si="39"/>
        <v>141</v>
      </c>
      <c r="G267">
        <f t="shared" si="39"/>
        <v>179</v>
      </c>
      <c r="H267">
        <f t="shared" si="39"/>
        <v>227</v>
      </c>
      <c r="I267">
        <f t="shared" si="39"/>
        <v>249</v>
      </c>
      <c r="J267">
        <f t="shared" si="39"/>
        <v>285</v>
      </c>
      <c r="K267">
        <f t="shared" si="39"/>
        <v>305</v>
      </c>
      <c r="L267">
        <f t="shared" si="39"/>
        <v>337</v>
      </c>
      <c r="M267">
        <f t="shared" si="39"/>
        <v>352</v>
      </c>
      <c r="N267">
        <f t="shared" si="39"/>
        <v>364</v>
      </c>
      <c r="O267">
        <f t="shared" si="39"/>
        <v>389</v>
      </c>
      <c r="P267">
        <f t="shared" si="39"/>
        <v>407</v>
      </c>
      <c r="Q267">
        <f t="shared" si="36"/>
        <v>433</v>
      </c>
      <c r="S267" t="str">
        <f t="shared" si="37"/>
        <v>29.11.2025</v>
      </c>
      <c r="T267" t="str">
        <f t="shared" si="38"/>
        <v>13:15:00</v>
      </c>
      <c r="U267" t="str">
        <f t="shared" si="41"/>
        <v>29.11.2025 13:15:00</v>
      </c>
      <c r="V267" s="9" t="str">
        <f>MID($A267,C267+C$2+1,D267-C267-C$2-1)</f>
        <v>0</v>
      </c>
      <c r="W267" s="4">
        <f>VALUE(SUBSTITUTE(MID($A267,D267+D$2+1,E267-D267-D$2-1),",","."))</f>
        <v>0.69570980654345904</v>
      </c>
      <c r="X267" s="4">
        <f>VALUE(SUBSTITUTE(MID($A267,E267+E$2+1,F267-E267-E$2-1),",","."))</f>
        <v>0.90957602214449496</v>
      </c>
      <c r="Y267" s="4">
        <f>VALUE(SUBSTITUTE(MID($A267,F267+F$2+1,G267-F267-F$2-1),",","."))</f>
        <v>0.33217331001598899</v>
      </c>
      <c r="Z267" s="3">
        <f>VALUE(SUBSTITUTE(MID($A267,G267+G$2+1,H267-G267-G$2-1),",","."))</f>
        <v>636.16666666666595</v>
      </c>
      <c r="AA267" s="3">
        <f>VALUE(SUBSTITUTE(MID($A267,H267+H$2+1,I267-H267-H$2-1),",","."))</f>
        <v>0</v>
      </c>
      <c r="AB267" s="3">
        <f>VALUE(SUBSTITUTE(MID($A267,I267+I$2+1,J267-I267-I$2-1),",","."))</f>
        <v>93.5</v>
      </c>
      <c r="AC267" s="3">
        <f>VALUE(SUBSTITUTE(MID($A267,J267+J$2+1,K267-J267-J$2-1),",","."))</f>
        <v>6.15</v>
      </c>
      <c r="AD267" s="3">
        <f>VALUE(SUBSTITUTE(MID($A267,K267+K$2+1,L267-K267-K$2-1),",","."))</f>
        <v>12.24</v>
      </c>
      <c r="AE267" s="3">
        <f>VALUE(SUBSTITUTE(MID($A267,L267+L$2+1,M267-L267-L$2-1),",","."))</f>
        <v>0</v>
      </c>
      <c r="AF267" s="3">
        <f>VALUE(SUBSTITUTE(MID($A267,M267+M$2+1,N267-M267-M$2-1),",","."))</f>
        <v>0</v>
      </c>
      <c r="AG267" s="3">
        <f>VALUE(SUBSTITUTE(MID($A267,N267+N$2+1,O267-N267-N$2-1),",","."))</f>
        <v>4.2109899951319898</v>
      </c>
      <c r="AH267" t="str">
        <f>MID($A267,O267+O$2+1,P267-O267-O$2-1)</f>
        <v/>
      </c>
      <c r="AI267" s="8" t="str">
        <f>MID($A267,P267+P$2+1,Q267-P267-P$2-1)</f>
        <v>False</v>
      </c>
      <c r="AK267" t="b">
        <f t="shared" si="42"/>
        <v>0</v>
      </c>
    </row>
    <row r="268" spans="1:37" x14ac:dyDescent="0.35">
      <c r="A268" t="s">
        <v>4815</v>
      </c>
      <c r="B268">
        <f t="shared" si="40"/>
        <v>10</v>
      </c>
      <c r="C268">
        <f t="shared" si="40"/>
        <v>43</v>
      </c>
      <c r="D268">
        <f t="shared" si="40"/>
        <v>54</v>
      </c>
      <c r="E268">
        <f t="shared" si="39"/>
        <v>96</v>
      </c>
      <c r="F268">
        <f t="shared" si="39"/>
        <v>140</v>
      </c>
      <c r="G268">
        <f t="shared" si="39"/>
        <v>178</v>
      </c>
      <c r="H268">
        <f t="shared" si="39"/>
        <v>226</v>
      </c>
      <c r="I268">
        <f t="shared" si="39"/>
        <v>248</v>
      </c>
      <c r="J268">
        <f t="shared" si="39"/>
        <v>282</v>
      </c>
      <c r="K268">
        <f t="shared" si="39"/>
        <v>315</v>
      </c>
      <c r="L268">
        <f t="shared" si="39"/>
        <v>334</v>
      </c>
      <c r="M268">
        <f t="shared" si="39"/>
        <v>349</v>
      </c>
      <c r="N268">
        <f t="shared" si="39"/>
        <v>361</v>
      </c>
      <c r="O268">
        <f t="shared" si="39"/>
        <v>386</v>
      </c>
      <c r="P268">
        <f t="shared" si="39"/>
        <v>404</v>
      </c>
      <c r="Q268">
        <f t="shared" si="36"/>
        <v>430</v>
      </c>
      <c r="S268" t="str">
        <f t="shared" si="37"/>
        <v>29.11.2025</v>
      </c>
      <c r="T268" t="str">
        <f t="shared" si="38"/>
        <v>13:30:00</v>
      </c>
      <c r="U268" t="str">
        <f t="shared" si="41"/>
        <v>29.11.2025 13:30:00</v>
      </c>
      <c r="V268" s="9" t="str">
        <f>MID($A268,C268+C$2+1,D268-C268-C$2-1)</f>
        <v>0</v>
      </c>
      <c r="W268" s="4">
        <f>VALUE(SUBSTITUTE(MID($A268,D268+D$2+1,E268-D268-D$2-1),",","."))</f>
        <v>0.66474791716193304</v>
      </c>
      <c r="X268" s="4">
        <f>VALUE(SUBSTITUTE(MID($A268,E268+E$2+1,F268-E268-E$2-1),",","."))</f>
        <v>0.90957602214449496</v>
      </c>
      <c r="Y268" s="4">
        <f>VALUE(SUBSTITUTE(MID($A268,F268+F$2+1,G268-F268-F$2-1),",","."))</f>
        <v>0.31863049378861502</v>
      </c>
      <c r="Z268" s="3">
        <f>VALUE(SUBSTITUTE(MID($A268,G268+G$2+1,H268-G268-G$2-1),",","."))</f>
        <v>657.48333333333301</v>
      </c>
      <c r="AA268" s="3">
        <f>VALUE(SUBSTITUTE(MID($A268,H268+H$2+1,I268-H268-H$2-1),",","."))</f>
        <v>0</v>
      </c>
      <c r="AB268" s="3">
        <f>VALUE(SUBSTITUTE(MID($A268,I268+I$2+1,J268-I268-I$2-1),",","."))</f>
        <v>80</v>
      </c>
      <c r="AC268" s="3">
        <f>VALUE(SUBSTITUTE(MID($A268,J268+J$2+1,K268-J268-J$2-1),",","."))</f>
        <v>6.8</v>
      </c>
      <c r="AD268" s="3">
        <f>VALUE(SUBSTITUTE(MID($A268,K268+K$2+1,L268-K268-K$2-1),",","."))</f>
        <v>12.06</v>
      </c>
      <c r="AE268" s="3">
        <f>VALUE(SUBSTITUTE(MID($A268,L268+L$2+1,M268-L268-L$2-1),",","."))</f>
        <v>0</v>
      </c>
      <c r="AF268" s="3">
        <f>VALUE(SUBSTITUTE(MID($A268,M268+M$2+1,N268-M268-M$2-1),",","."))</f>
        <v>0</v>
      </c>
      <c r="AG268" s="3">
        <f>VALUE(SUBSTITUTE(MID($A268,N268+N$2+1,O268-N268-N$2-1),",","."))</f>
        <v>4.2110185150200703</v>
      </c>
      <c r="AH268" t="str">
        <f>MID($A268,O268+O$2+1,P268-O268-O$2-1)</f>
        <v/>
      </c>
      <c r="AI268" s="8" t="str">
        <f>MID($A268,P268+P$2+1,Q268-P268-P$2-1)</f>
        <v>False</v>
      </c>
      <c r="AK268" t="b">
        <f t="shared" si="42"/>
        <v>0</v>
      </c>
    </row>
    <row r="269" spans="1:37" x14ac:dyDescent="0.35">
      <c r="A269" t="s">
        <v>4816</v>
      </c>
      <c r="B269">
        <f t="shared" si="40"/>
        <v>10</v>
      </c>
      <c r="C269">
        <f t="shared" si="40"/>
        <v>43</v>
      </c>
      <c r="D269">
        <f t="shared" si="40"/>
        <v>54</v>
      </c>
      <c r="E269">
        <f t="shared" si="39"/>
        <v>97</v>
      </c>
      <c r="F269">
        <f t="shared" si="39"/>
        <v>141</v>
      </c>
      <c r="G269">
        <f t="shared" si="39"/>
        <v>180</v>
      </c>
      <c r="H269">
        <f t="shared" si="39"/>
        <v>228</v>
      </c>
      <c r="I269">
        <f t="shared" si="39"/>
        <v>250</v>
      </c>
      <c r="J269">
        <f t="shared" si="39"/>
        <v>284</v>
      </c>
      <c r="K269">
        <f t="shared" si="39"/>
        <v>317</v>
      </c>
      <c r="L269">
        <f t="shared" si="39"/>
        <v>336</v>
      </c>
      <c r="M269">
        <f t="shared" si="39"/>
        <v>351</v>
      </c>
      <c r="N269">
        <f t="shared" si="39"/>
        <v>363</v>
      </c>
      <c r="O269">
        <f t="shared" si="39"/>
        <v>388</v>
      </c>
      <c r="P269">
        <f t="shared" si="39"/>
        <v>406</v>
      </c>
      <c r="Q269">
        <f t="shared" si="36"/>
        <v>432</v>
      </c>
      <c r="S269" t="str">
        <f t="shared" si="37"/>
        <v>29.11.2025</v>
      </c>
      <c r="T269" t="str">
        <f t="shared" si="38"/>
        <v>13:45:00</v>
      </c>
      <c r="U269" t="str">
        <f t="shared" si="41"/>
        <v>29.11.2025 13:45:00</v>
      </c>
      <c r="V269" s="9" t="str">
        <f>MID($A269,C269+C$2+1,D269-C269-C$2-1)</f>
        <v>0</v>
      </c>
      <c r="W269" s="4">
        <f>VALUE(SUBSTITUTE(MID($A269,D269+D$2+1,E269-D269-D$2-1),",","."))</f>
        <v>0.63057536839435702</v>
      </c>
      <c r="X269" s="4">
        <f>VALUE(SUBSTITUTE(MID($A269,E269+E$2+1,F269-E269-E$2-1),",","."))</f>
        <v>0.90957602214449496</v>
      </c>
      <c r="Y269" s="4">
        <f>VALUE(SUBSTITUTE(MID($A269,F269+F$2+1,G269-F269-F$2-1),",","."))</f>
        <v>0.30258227937596399</v>
      </c>
      <c r="Z269" s="3">
        <f>VALUE(SUBSTITUTE(MID($A269,G269+G$2+1,H269-G269-G$2-1),",","."))</f>
        <v>657.48333333333301</v>
      </c>
      <c r="AA269" s="3">
        <f>VALUE(SUBSTITUTE(MID($A269,H269+H$2+1,I269-H269-H$2-1),",","."))</f>
        <v>0</v>
      </c>
      <c r="AB269" s="3">
        <f>VALUE(SUBSTITUTE(MID($A269,I269+I$2+1,J269-I269-I$2-1),",","."))</f>
        <v>80</v>
      </c>
      <c r="AC269" s="3">
        <f>VALUE(SUBSTITUTE(MID($A269,J269+J$2+1,K269-J269-J$2-1),",","."))</f>
        <v>6.8</v>
      </c>
      <c r="AD269" s="3">
        <f>VALUE(SUBSTITUTE(MID($A269,K269+K$2+1,L269-K269-K$2-1),",","."))</f>
        <v>12.06</v>
      </c>
      <c r="AE269" s="3">
        <f>VALUE(SUBSTITUTE(MID($A269,L269+L$2+1,M269-L269-L$2-1),",","."))</f>
        <v>0</v>
      </c>
      <c r="AF269" s="3">
        <f>VALUE(SUBSTITUTE(MID($A269,M269+M$2+1,N269-M269-M$2-1),",","."))</f>
        <v>0</v>
      </c>
      <c r="AG269" s="3">
        <f>VALUE(SUBSTITUTE(MID($A269,N269+N$2+1,O269-N269-N$2-1),",","."))</f>
        <v>4.2110470349081597</v>
      </c>
      <c r="AH269" t="str">
        <f>MID($A269,O269+O$2+1,P269-O269-O$2-1)</f>
        <v/>
      </c>
      <c r="AI269" s="8" t="str">
        <f>MID($A269,P269+P$2+1,Q269-P269-P$2-1)</f>
        <v>False</v>
      </c>
      <c r="AK269" t="b">
        <f t="shared" si="42"/>
        <v>0</v>
      </c>
    </row>
    <row r="270" spans="1:37" x14ac:dyDescent="0.35">
      <c r="A270" t="s">
        <v>4817</v>
      </c>
      <c r="B270">
        <f t="shared" si="40"/>
        <v>10</v>
      </c>
      <c r="C270">
        <f t="shared" si="40"/>
        <v>43</v>
      </c>
      <c r="D270">
        <f t="shared" si="40"/>
        <v>54</v>
      </c>
      <c r="E270">
        <f t="shared" si="39"/>
        <v>97</v>
      </c>
      <c r="F270">
        <f t="shared" si="39"/>
        <v>141</v>
      </c>
      <c r="G270">
        <f t="shared" si="39"/>
        <v>179</v>
      </c>
      <c r="H270">
        <f t="shared" si="39"/>
        <v>227</v>
      </c>
      <c r="I270">
        <f t="shared" si="39"/>
        <v>249</v>
      </c>
      <c r="J270">
        <f t="shared" si="39"/>
        <v>283</v>
      </c>
      <c r="K270">
        <f t="shared" si="39"/>
        <v>316</v>
      </c>
      <c r="L270">
        <f t="shared" si="39"/>
        <v>335</v>
      </c>
      <c r="M270">
        <f t="shared" si="39"/>
        <v>350</v>
      </c>
      <c r="N270">
        <f t="shared" si="39"/>
        <v>362</v>
      </c>
      <c r="O270">
        <f t="shared" si="39"/>
        <v>387</v>
      </c>
      <c r="P270">
        <f t="shared" si="39"/>
        <v>405</v>
      </c>
      <c r="Q270">
        <f t="shared" si="36"/>
        <v>431</v>
      </c>
      <c r="S270" t="str">
        <f t="shared" si="37"/>
        <v>29.11.2025</v>
      </c>
      <c r="T270" t="str">
        <f t="shared" si="38"/>
        <v>14:00:00</v>
      </c>
      <c r="U270" t="str">
        <f t="shared" si="41"/>
        <v>29.11.2025 14:00:00</v>
      </c>
      <c r="V270" s="9" t="str">
        <f>MID($A270,C270+C$2+1,D270-C270-C$2-1)</f>
        <v>0</v>
      </c>
      <c r="W270" s="4">
        <f>VALUE(SUBSTITUTE(MID($A270,D270+D$2+1,E270-D270-D$2-1),",","."))</f>
        <v>0.59334076704846805</v>
      </c>
      <c r="X270" s="4">
        <f>VALUE(SUBSTITUTE(MID($A270,E270+E$2+1,F270-E270-E$2-1),",","."))</f>
        <v>0.90957602214449496</v>
      </c>
      <c r="Y270" s="4">
        <f>VALUE(SUBSTITUTE(MID($A270,F270+F$2+1,G270-F270-F$2-1),",","."))</f>
        <v>0.28410012426644599</v>
      </c>
      <c r="Z270" s="3">
        <f>VALUE(SUBSTITUTE(MID($A270,G270+G$2+1,H270-G270-G$2-1),",","."))</f>
        <v>657.48333333333301</v>
      </c>
      <c r="AA270" s="3">
        <f>VALUE(SUBSTITUTE(MID($A270,H270+H$2+1,I270-H270-H$2-1),",","."))</f>
        <v>0</v>
      </c>
      <c r="AB270" s="3">
        <f>VALUE(SUBSTITUTE(MID($A270,I270+I$2+1,J270-I270-I$2-1),",","."))</f>
        <v>80</v>
      </c>
      <c r="AC270" s="3">
        <f>VALUE(SUBSTITUTE(MID($A270,J270+J$2+1,K270-J270-J$2-1),",","."))</f>
        <v>6.8</v>
      </c>
      <c r="AD270" s="3">
        <f>VALUE(SUBSTITUTE(MID($A270,K270+K$2+1,L270-K270-K$2-1),",","."))</f>
        <v>12.06</v>
      </c>
      <c r="AE270" s="3">
        <f>VALUE(SUBSTITUTE(MID($A270,L270+L$2+1,M270-L270-L$2-1),",","."))</f>
        <v>0</v>
      </c>
      <c r="AF270" s="3">
        <f>VALUE(SUBSTITUTE(MID($A270,M270+M$2+1,N270-M270-M$2-1),",","."))</f>
        <v>0</v>
      </c>
      <c r="AG270" s="3">
        <f>VALUE(SUBSTITUTE(MID($A270,N270+N$2+1,O270-N270-N$2-1),",","."))</f>
        <v>4.2110755547962402</v>
      </c>
      <c r="AH270" t="str">
        <f>MID($A270,O270+O$2+1,P270-O270-O$2-1)</f>
        <v/>
      </c>
      <c r="AI270" s="8" t="str">
        <f>MID($A270,P270+P$2+1,Q270-P270-P$2-1)</f>
        <v>False</v>
      </c>
      <c r="AK270" t="b">
        <f t="shared" si="42"/>
        <v>0</v>
      </c>
    </row>
    <row r="271" spans="1:37" x14ac:dyDescent="0.35">
      <c r="A271" t="s">
        <v>4818</v>
      </c>
      <c r="B271">
        <f t="shared" si="40"/>
        <v>10</v>
      </c>
      <c r="C271">
        <f t="shared" si="40"/>
        <v>43</v>
      </c>
      <c r="D271">
        <f t="shared" si="40"/>
        <v>54</v>
      </c>
      <c r="E271">
        <f t="shared" si="39"/>
        <v>97</v>
      </c>
      <c r="F271">
        <f t="shared" si="39"/>
        <v>141</v>
      </c>
      <c r="G271">
        <f t="shared" si="39"/>
        <v>178</v>
      </c>
      <c r="H271">
        <f t="shared" si="39"/>
        <v>226</v>
      </c>
      <c r="I271">
        <f t="shared" si="39"/>
        <v>248</v>
      </c>
      <c r="J271">
        <f t="shared" si="39"/>
        <v>282</v>
      </c>
      <c r="K271">
        <f t="shared" si="39"/>
        <v>315</v>
      </c>
      <c r="L271">
        <f t="shared" si="39"/>
        <v>334</v>
      </c>
      <c r="M271">
        <f t="shared" si="39"/>
        <v>349</v>
      </c>
      <c r="N271">
        <f t="shared" si="39"/>
        <v>361</v>
      </c>
      <c r="O271">
        <f t="shared" si="39"/>
        <v>386</v>
      </c>
      <c r="P271">
        <f t="shared" si="39"/>
        <v>404</v>
      </c>
      <c r="Q271">
        <f t="shared" si="36"/>
        <v>430</v>
      </c>
      <c r="S271" t="str">
        <f t="shared" si="37"/>
        <v>29.11.2025</v>
      </c>
      <c r="T271" t="str">
        <f t="shared" si="38"/>
        <v>14:15:00</v>
      </c>
      <c r="U271" t="str">
        <f t="shared" si="41"/>
        <v>29.11.2025 14:15:00</v>
      </c>
      <c r="V271" s="9" t="str">
        <f>MID($A271,C271+C$2+1,D271-C271-C$2-1)</f>
        <v>0</v>
      </c>
      <c r="W271" s="4">
        <f>VALUE(SUBSTITUTE(MID($A271,D271+D$2+1,E271-D271-D$2-1),",","."))</f>
        <v>0.55320686258074803</v>
      </c>
      <c r="X271" s="4">
        <f>VALUE(SUBSTITUTE(MID($A271,E271+E$2+1,F271-E271-E$2-1),",","."))</f>
        <v>0.90957602214449496</v>
      </c>
      <c r="Y271" s="4">
        <f>VALUE(SUBSTITUTE(MID($A271,F271+F$2+1,G271-F271-F$2-1),",","."))</f>
        <v>0.263267166987877</v>
      </c>
      <c r="Z271" s="3">
        <f>VALUE(SUBSTITUTE(MID($A271,G271+G$2+1,H271-G271-G$2-1),",","."))</f>
        <v>657.48333333333301</v>
      </c>
      <c r="AA271" s="3">
        <f>VALUE(SUBSTITUTE(MID($A271,H271+H$2+1,I271-H271-H$2-1),",","."))</f>
        <v>0</v>
      </c>
      <c r="AB271" s="3">
        <f>VALUE(SUBSTITUTE(MID($A271,I271+I$2+1,J271-I271-I$2-1),",","."))</f>
        <v>80</v>
      </c>
      <c r="AC271" s="3">
        <f>VALUE(SUBSTITUTE(MID($A271,J271+J$2+1,K271-J271-J$2-1),",","."))</f>
        <v>6.8</v>
      </c>
      <c r="AD271" s="3">
        <f>VALUE(SUBSTITUTE(MID($A271,K271+K$2+1,L271-K271-K$2-1),",","."))</f>
        <v>12.06</v>
      </c>
      <c r="AE271" s="3">
        <f>VALUE(SUBSTITUTE(MID($A271,L271+L$2+1,M271-L271-L$2-1),",","."))</f>
        <v>0</v>
      </c>
      <c r="AF271" s="3">
        <f>VALUE(SUBSTITUTE(MID($A271,M271+M$2+1,N271-M271-M$2-1),",","."))</f>
        <v>0</v>
      </c>
      <c r="AG271" s="3">
        <f>VALUE(SUBSTITUTE(MID($A271,N271+N$2+1,O271-N271-N$2-1),",","."))</f>
        <v>4.2111040746843198</v>
      </c>
      <c r="AH271" t="str">
        <f>MID($A271,O271+O$2+1,P271-O271-O$2-1)</f>
        <v/>
      </c>
      <c r="AI271" s="8" t="str">
        <f>MID($A271,P271+P$2+1,Q271-P271-P$2-1)</f>
        <v>False</v>
      </c>
      <c r="AK271" t="b">
        <f t="shared" si="42"/>
        <v>0</v>
      </c>
    </row>
    <row r="272" spans="1:37" x14ac:dyDescent="0.35">
      <c r="A272" t="s">
        <v>4819</v>
      </c>
      <c r="B272">
        <f t="shared" si="40"/>
        <v>10</v>
      </c>
      <c r="C272">
        <f t="shared" si="40"/>
        <v>43</v>
      </c>
      <c r="D272">
        <f t="shared" si="40"/>
        <v>54</v>
      </c>
      <c r="E272">
        <f t="shared" si="39"/>
        <v>97</v>
      </c>
      <c r="F272">
        <f t="shared" si="39"/>
        <v>141</v>
      </c>
      <c r="G272">
        <f t="shared" si="39"/>
        <v>180</v>
      </c>
      <c r="H272">
        <f t="shared" si="39"/>
        <v>229</v>
      </c>
      <c r="I272">
        <f t="shared" si="39"/>
        <v>251</v>
      </c>
      <c r="J272">
        <f t="shared" si="39"/>
        <v>286</v>
      </c>
      <c r="K272">
        <f t="shared" si="39"/>
        <v>305</v>
      </c>
      <c r="L272">
        <f t="shared" si="39"/>
        <v>323</v>
      </c>
      <c r="M272">
        <f t="shared" si="39"/>
        <v>338</v>
      </c>
      <c r="N272">
        <f t="shared" si="39"/>
        <v>350</v>
      </c>
      <c r="O272">
        <f t="shared" si="39"/>
        <v>375</v>
      </c>
      <c r="P272">
        <f t="shared" si="39"/>
        <v>393</v>
      </c>
      <c r="Q272">
        <f t="shared" si="36"/>
        <v>419</v>
      </c>
      <c r="S272" t="str">
        <f t="shared" si="37"/>
        <v>29.11.2025</v>
      </c>
      <c r="T272" t="str">
        <f t="shared" si="38"/>
        <v>14:30:00</v>
      </c>
      <c r="U272" t="str">
        <f t="shared" si="41"/>
        <v>29.11.2025 14:30:00</v>
      </c>
      <c r="V272" s="9" t="str">
        <f>MID($A272,C272+C$2+1,D272-C272-C$2-1)</f>
        <v>0</v>
      </c>
      <c r="W272" s="4">
        <f>VALUE(SUBSTITUTE(MID($A272,D272+D$2+1,E272-D272-D$2-1),",","."))</f>
        <v>0.51035044078122804</v>
      </c>
      <c r="X272" s="4">
        <f>VALUE(SUBSTITUTE(MID($A272,E272+E$2+1,F272-E272-E$2-1),",","."))</f>
        <v>0.90957602214449496</v>
      </c>
      <c r="Y272" s="4">
        <f>VALUE(SUBSTITUTE(MID($A272,F272+F$2+1,G272-F272-F$2-1),",","."))</f>
        <v>0.240178589028477</v>
      </c>
      <c r="Z272" s="3">
        <f>VALUE(SUBSTITUTE(MID($A272,G272+G$2+1,H272-G272-G$2-1),",","."))</f>
        <v>250.166666666666</v>
      </c>
      <c r="AA272" s="3">
        <f>VALUE(SUBSTITUTE(MID($A272,H272+H$2+1,I272-H272-H$2-1),",","."))</f>
        <v>0</v>
      </c>
      <c r="AB272" s="3">
        <f>VALUE(SUBSTITUTE(MID($A272,I272+I$2+1,J272-I272-I$2-1),",","."))</f>
        <v>108</v>
      </c>
      <c r="AC272" s="3">
        <f>VALUE(SUBSTITUTE(MID($A272,J272+J$2+1,K272-J272-J$2-1),",","."))</f>
        <v>6.4</v>
      </c>
      <c r="AD272" s="3">
        <f>VALUE(SUBSTITUTE(MID($A272,K272+K$2+1,L272-K272-K$2-1),",","."))</f>
        <v>14.4</v>
      </c>
      <c r="AE272" s="3">
        <f>VALUE(SUBSTITUTE(MID($A272,L272+L$2+1,M272-L272-L$2-1),",","."))</f>
        <v>0</v>
      </c>
      <c r="AF272" s="3">
        <f>VALUE(SUBSTITUTE(MID($A272,M272+M$2+1,N272-M272-M$2-1),",","."))</f>
        <v>0</v>
      </c>
      <c r="AG272" s="3">
        <f>VALUE(SUBSTITUTE(MID($A272,N272+N$2+1,O272-N272-N$2-1),",","."))</f>
        <v>4.2111325945724003</v>
      </c>
      <c r="AH272" t="str">
        <f>MID($A272,O272+O$2+1,P272-O272-O$2-1)</f>
        <v/>
      </c>
      <c r="AI272" s="8" t="str">
        <f>MID($A272,P272+P$2+1,Q272-P272-P$2-1)</f>
        <v>False</v>
      </c>
      <c r="AK272" t="b">
        <f t="shared" si="42"/>
        <v>0</v>
      </c>
    </row>
    <row r="273" spans="1:37" x14ac:dyDescent="0.35">
      <c r="A273" t="s">
        <v>4820</v>
      </c>
      <c r="B273">
        <f t="shared" si="40"/>
        <v>10</v>
      </c>
      <c r="C273">
        <f t="shared" si="40"/>
        <v>43</v>
      </c>
      <c r="D273">
        <f t="shared" si="40"/>
        <v>54</v>
      </c>
      <c r="E273">
        <f t="shared" si="39"/>
        <v>97</v>
      </c>
      <c r="F273">
        <f t="shared" si="39"/>
        <v>141</v>
      </c>
      <c r="G273">
        <f t="shared" si="39"/>
        <v>180</v>
      </c>
      <c r="H273">
        <f t="shared" si="39"/>
        <v>229</v>
      </c>
      <c r="I273">
        <f t="shared" si="39"/>
        <v>251</v>
      </c>
      <c r="J273">
        <f t="shared" si="39"/>
        <v>286</v>
      </c>
      <c r="K273">
        <f t="shared" si="39"/>
        <v>305</v>
      </c>
      <c r="L273">
        <f t="shared" si="39"/>
        <v>323</v>
      </c>
      <c r="M273">
        <f t="shared" si="39"/>
        <v>338</v>
      </c>
      <c r="N273">
        <f t="shared" si="39"/>
        <v>350</v>
      </c>
      <c r="O273">
        <f t="shared" si="39"/>
        <v>375</v>
      </c>
      <c r="P273">
        <f t="shared" si="39"/>
        <v>393</v>
      </c>
      <c r="Q273">
        <f t="shared" si="36"/>
        <v>419</v>
      </c>
      <c r="S273" t="str">
        <f t="shared" si="37"/>
        <v>29.11.2025</v>
      </c>
      <c r="T273" t="str">
        <f t="shared" si="38"/>
        <v>14:45:00</v>
      </c>
      <c r="U273" t="str">
        <f t="shared" si="41"/>
        <v>29.11.2025 14:45:00</v>
      </c>
      <c r="V273" s="9" t="str">
        <f>MID($A273,C273+C$2+1,D273-C273-C$2-1)</f>
        <v>0</v>
      </c>
      <c r="W273" s="4">
        <f>VALUE(SUBSTITUTE(MID($A273,D273+D$2+1,E273-D273-D$2-1),",","."))</f>
        <v>0.464962628403226</v>
      </c>
      <c r="X273" s="4">
        <f>VALUE(SUBSTITUTE(MID($A273,E273+E$2+1,F273-E273-E$2-1),",","."))</f>
        <v>0.90957602214449496</v>
      </c>
      <c r="Y273" s="4">
        <f>VALUE(SUBSTITUTE(MID($A273,F273+F$2+1,G273-F273-F$2-1),",","."))</f>
        <v>0.21494249794767301</v>
      </c>
      <c r="Z273" s="3">
        <f>VALUE(SUBSTITUTE(MID($A273,G273+G$2+1,H273-G273-G$2-1),",","."))</f>
        <v>250.166666666666</v>
      </c>
      <c r="AA273" s="3">
        <f>VALUE(SUBSTITUTE(MID($A273,H273+H$2+1,I273-H273-H$2-1),",","."))</f>
        <v>0</v>
      </c>
      <c r="AB273" s="3">
        <f>VALUE(SUBSTITUTE(MID($A273,I273+I$2+1,J273-I273-I$2-1),",","."))</f>
        <v>108</v>
      </c>
      <c r="AC273" s="3">
        <f>VALUE(SUBSTITUTE(MID($A273,J273+J$2+1,K273-J273-J$2-1),",","."))</f>
        <v>6.4</v>
      </c>
      <c r="AD273" s="3">
        <f>VALUE(SUBSTITUTE(MID($A273,K273+K$2+1,L273-K273-K$2-1),",","."))</f>
        <v>14.4</v>
      </c>
      <c r="AE273" s="3">
        <f>VALUE(SUBSTITUTE(MID($A273,L273+L$2+1,M273-L273-L$2-1),",","."))</f>
        <v>0</v>
      </c>
      <c r="AF273" s="3">
        <f>VALUE(SUBSTITUTE(MID($A273,M273+M$2+1,N273-M273-M$2-1),",","."))</f>
        <v>0</v>
      </c>
      <c r="AG273" s="3">
        <f>VALUE(SUBSTITUTE(MID($A273,N273+N$2+1,O273-N273-N$2-1),",","."))</f>
        <v>4.2111611144604799</v>
      </c>
      <c r="AH273" t="str">
        <f>MID($A273,O273+O$2+1,P273-O273-O$2-1)</f>
        <v/>
      </c>
      <c r="AI273" s="8" t="str">
        <f>MID($A273,P273+P$2+1,Q273-P273-P$2-1)</f>
        <v>False</v>
      </c>
      <c r="AK273" t="b">
        <f t="shared" si="42"/>
        <v>0</v>
      </c>
    </row>
    <row r="274" spans="1:37" x14ac:dyDescent="0.35">
      <c r="A274" t="s">
        <v>4821</v>
      </c>
      <c r="B274">
        <f t="shared" si="40"/>
        <v>10</v>
      </c>
      <c r="C274">
        <f t="shared" si="40"/>
        <v>43</v>
      </c>
      <c r="D274">
        <f t="shared" si="40"/>
        <v>54</v>
      </c>
      <c r="E274">
        <f t="shared" si="39"/>
        <v>98</v>
      </c>
      <c r="F274">
        <f t="shared" si="39"/>
        <v>142</v>
      </c>
      <c r="G274">
        <f t="shared" si="39"/>
        <v>181</v>
      </c>
      <c r="H274">
        <f t="shared" si="39"/>
        <v>230</v>
      </c>
      <c r="I274">
        <f t="shared" si="39"/>
        <v>252</v>
      </c>
      <c r="J274">
        <f t="shared" si="39"/>
        <v>287</v>
      </c>
      <c r="K274">
        <f t="shared" si="39"/>
        <v>306</v>
      </c>
      <c r="L274">
        <f t="shared" si="39"/>
        <v>324</v>
      </c>
      <c r="M274">
        <f t="shared" si="39"/>
        <v>339</v>
      </c>
      <c r="N274">
        <f t="shared" si="39"/>
        <v>351</v>
      </c>
      <c r="O274">
        <f t="shared" si="39"/>
        <v>376</v>
      </c>
      <c r="P274">
        <f t="shared" si="39"/>
        <v>394</v>
      </c>
      <c r="Q274">
        <f t="shared" si="36"/>
        <v>420</v>
      </c>
      <c r="S274" t="str">
        <f t="shared" si="37"/>
        <v>29.11.2025</v>
      </c>
      <c r="T274" t="str">
        <f t="shared" si="38"/>
        <v>15:00:00</v>
      </c>
      <c r="U274" t="str">
        <f t="shared" si="41"/>
        <v>29.11.2025 15:00:00</v>
      </c>
      <c r="V274" s="9" t="str">
        <f>MID($A274,C274+C$2+1,D274-C274-C$2-1)</f>
        <v>0</v>
      </c>
      <c r="W274" s="4">
        <f>VALUE(SUBSTITUTE(MID($A274,D274+D$2+1,E274-D274-D$2-1),",","."))</f>
        <v>0.41725010178406902</v>
      </c>
      <c r="X274" s="4">
        <f>VALUE(SUBSTITUTE(MID($A274,E274+E$2+1,F274-E274-E$2-1),",","."))</f>
        <v>0.90957602214449496</v>
      </c>
      <c r="Y274" s="4">
        <f>VALUE(SUBSTITUTE(MID($A274,F274+F$2+1,G274-F274-F$2-1),",","."))</f>
        <v>0.18768192835321601</v>
      </c>
      <c r="Z274" s="3">
        <f>VALUE(SUBSTITUTE(MID($A274,G274+G$2+1,H274-G274-G$2-1),",","."))</f>
        <v>250.166666666666</v>
      </c>
      <c r="AA274" s="3">
        <f>VALUE(SUBSTITUTE(MID($A274,H274+H$2+1,I274-H274-H$2-1),",","."))</f>
        <v>0</v>
      </c>
      <c r="AB274" s="3">
        <f>VALUE(SUBSTITUTE(MID($A274,I274+I$2+1,J274-I274-I$2-1),",","."))</f>
        <v>108</v>
      </c>
      <c r="AC274" s="3">
        <f>VALUE(SUBSTITUTE(MID($A274,J274+J$2+1,K274-J274-J$2-1),",","."))</f>
        <v>6.4</v>
      </c>
      <c r="AD274" s="3">
        <f>VALUE(SUBSTITUTE(MID($A274,K274+K$2+1,L274-K274-K$2-1),",","."))</f>
        <v>14.4</v>
      </c>
      <c r="AE274" s="3">
        <f>VALUE(SUBSTITUTE(MID($A274,L274+L$2+1,M274-L274-L$2-1),",","."))</f>
        <v>0</v>
      </c>
      <c r="AF274" s="3">
        <f>VALUE(SUBSTITUTE(MID($A274,M274+M$2+1,N274-M274-M$2-1),",","."))</f>
        <v>0</v>
      </c>
      <c r="AG274" s="3">
        <f>VALUE(SUBSTITUTE(MID($A274,N274+N$2+1,O274-N274-N$2-1),",","."))</f>
        <v>4.2111896343485604</v>
      </c>
      <c r="AH274" t="str">
        <f>MID($A274,O274+O$2+1,P274-O274-O$2-1)</f>
        <v/>
      </c>
      <c r="AI274" s="8" t="str">
        <f>MID($A274,P274+P$2+1,Q274-P274-P$2-1)</f>
        <v>False</v>
      </c>
      <c r="AK274" t="b">
        <f t="shared" si="42"/>
        <v>0</v>
      </c>
    </row>
    <row r="275" spans="1:37" x14ac:dyDescent="0.35">
      <c r="A275" t="s">
        <v>4822</v>
      </c>
      <c r="B275">
        <f t="shared" si="40"/>
        <v>10</v>
      </c>
      <c r="C275">
        <f t="shared" si="40"/>
        <v>43</v>
      </c>
      <c r="D275">
        <f t="shared" si="40"/>
        <v>54</v>
      </c>
      <c r="E275">
        <f t="shared" si="39"/>
        <v>96</v>
      </c>
      <c r="F275">
        <f t="shared" si="39"/>
        <v>140</v>
      </c>
      <c r="G275">
        <f t="shared" si="39"/>
        <v>178</v>
      </c>
      <c r="H275">
        <f t="shared" si="39"/>
        <v>227</v>
      </c>
      <c r="I275">
        <f t="shared" si="39"/>
        <v>249</v>
      </c>
      <c r="J275">
        <f t="shared" si="39"/>
        <v>284</v>
      </c>
      <c r="K275">
        <f t="shared" si="39"/>
        <v>303</v>
      </c>
      <c r="L275">
        <f t="shared" si="39"/>
        <v>321</v>
      </c>
      <c r="M275">
        <f t="shared" si="39"/>
        <v>336</v>
      </c>
      <c r="N275">
        <f t="shared" si="39"/>
        <v>348</v>
      </c>
      <c r="O275">
        <f t="shared" si="39"/>
        <v>372</v>
      </c>
      <c r="P275">
        <f t="shared" si="39"/>
        <v>390</v>
      </c>
      <c r="Q275">
        <f t="shared" si="36"/>
        <v>416</v>
      </c>
      <c r="S275" t="str">
        <f t="shared" si="37"/>
        <v>29.11.2025</v>
      </c>
      <c r="T275" t="str">
        <f t="shared" si="38"/>
        <v>15:15:00</v>
      </c>
      <c r="U275" t="str">
        <f t="shared" si="41"/>
        <v>29.11.2025 15:15:00</v>
      </c>
      <c r="V275" s="9" t="str">
        <f>MID($A275,C275+C$2+1,D275-C275-C$2-1)</f>
        <v>0</v>
      </c>
      <c r="W275" s="4">
        <f>VALUE(SUBSTITUTE(MID($A275,D275+D$2+1,E275-D275-D$2-1),",","."))</f>
        <v>0.36743837132220802</v>
      </c>
      <c r="X275" s="4">
        <f>VALUE(SUBSTITUTE(MID($A275,E275+E$2+1,F275-E275-E$2-1),",","."))</f>
        <v>0.90957602214449496</v>
      </c>
      <c r="Y275" s="4">
        <f>VALUE(SUBSTITUTE(MID($A275,F275+F$2+1,G275-F275-F$2-1),",","."))</f>
        <v>0.15853938267239401</v>
      </c>
      <c r="Z275" s="3">
        <f>VALUE(SUBSTITUTE(MID($A275,G275+G$2+1,H275-G275-G$2-1),",","."))</f>
        <v>250.166666666666</v>
      </c>
      <c r="AA275" s="3">
        <f>VALUE(SUBSTITUTE(MID($A275,H275+H$2+1,I275-H275-H$2-1),",","."))</f>
        <v>0</v>
      </c>
      <c r="AB275" s="3">
        <f>VALUE(SUBSTITUTE(MID($A275,I275+I$2+1,J275-I275-I$2-1),",","."))</f>
        <v>108</v>
      </c>
      <c r="AC275" s="3">
        <f>VALUE(SUBSTITUTE(MID($A275,J275+J$2+1,K275-J275-J$2-1),",","."))</f>
        <v>6.4</v>
      </c>
      <c r="AD275" s="3">
        <f>VALUE(SUBSTITUTE(MID($A275,K275+K$2+1,L275-K275-K$2-1),",","."))</f>
        <v>14.4</v>
      </c>
      <c r="AE275" s="3">
        <f>VALUE(SUBSTITUTE(MID($A275,L275+L$2+1,M275-L275-L$2-1),",","."))</f>
        <v>0</v>
      </c>
      <c r="AF275" s="3">
        <f>VALUE(SUBSTITUTE(MID($A275,M275+M$2+1,N275-M275-M$2-1),",","."))</f>
        <v>0</v>
      </c>
      <c r="AG275" s="3">
        <f>VALUE(SUBSTITUTE(MID($A275,N275+N$2+1,O275-N275-N$2-1),",","."))</f>
        <v>4.2112181542366498</v>
      </c>
      <c r="AH275" t="str">
        <f>MID($A275,O275+O$2+1,P275-O275-O$2-1)</f>
        <v/>
      </c>
      <c r="AI275" s="8" t="str">
        <f>MID($A275,P275+P$2+1,Q275-P275-P$2-1)</f>
        <v>False</v>
      </c>
      <c r="AK275" t="b">
        <f t="shared" si="42"/>
        <v>0</v>
      </c>
    </row>
    <row r="276" spans="1:37" x14ac:dyDescent="0.35">
      <c r="A276" t="s">
        <v>4823</v>
      </c>
      <c r="B276">
        <f t="shared" si="40"/>
        <v>10</v>
      </c>
      <c r="C276">
        <f t="shared" si="40"/>
        <v>43</v>
      </c>
      <c r="D276">
        <f t="shared" si="40"/>
        <v>54</v>
      </c>
      <c r="E276">
        <f t="shared" si="39"/>
        <v>98</v>
      </c>
      <c r="F276">
        <f t="shared" si="39"/>
        <v>142</v>
      </c>
      <c r="G276">
        <f t="shared" si="39"/>
        <v>180</v>
      </c>
      <c r="H276">
        <f t="shared" si="39"/>
        <v>229</v>
      </c>
      <c r="I276">
        <f t="shared" si="39"/>
        <v>251</v>
      </c>
      <c r="J276">
        <f t="shared" si="39"/>
        <v>287</v>
      </c>
      <c r="K276">
        <f t="shared" si="39"/>
        <v>307</v>
      </c>
      <c r="L276">
        <f t="shared" si="39"/>
        <v>325</v>
      </c>
      <c r="M276">
        <f t="shared" si="39"/>
        <v>340</v>
      </c>
      <c r="N276">
        <f t="shared" si="39"/>
        <v>352</v>
      </c>
      <c r="O276">
        <f t="shared" si="39"/>
        <v>377</v>
      </c>
      <c r="P276">
        <f t="shared" si="39"/>
        <v>395</v>
      </c>
      <c r="Q276">
        <f t="shared" si="36"/>
        <v>421</v>
      </c>
      <c r="S276" t="str">
        <f t="shared" si="37"/>
        <v>29.11.2025</v>
      </c>
      <c r="T276" t="str">
        <f t="shared" si="38"/>
        <v>15:30:00</v>
      </c>
      <c r="U276" t="str">
        <f t="shared" si="41"/>
        <v>29.11.2025 15:30:00</v>
      </c>
      <c r="V276" s="9" t="str">
        <f>MID($A276,C276+C$2+1,D276-C276-C$2-1)</f>
        <v>0</v>
      </c>
      <c r="W276" s="4">
        <f>VALUE(SUBSTITUTE(MID($A276,D276+D$2+1,E276-D276-D$2-1),",","."))</f>
        <v>0.31578023408431</v>
      </c>
      <c r="X276" s="4">
        <f>VALUE(SUBSTITUTE(MID($A276,E276+E$2+1,F276-E276-E$2-1),",","."))</f>
        <v>0.90957602214449496</v>
      </c>
      <c r="Y276" s="4">
        <f>VALUE(SUBSTITUTE(MID($A276,F276+F$2+1,G276-F276-F$2-1),",","."))</f>
        <v>0.127687666688754</v>
      </c>
      <c r="Z276" s="3">
        <f>VALUE(SUBSTITUTE(MID($A276,G276+G$2+1,H276-G276-G$2-1),",","."))</f>
        <v>213.88333333333301</v>
      </c>
      <c r="AA276" s="3">
        <f>VALUE(SUBSTITUTE(MID($A276,H276+H$2+1,I276-H276-H$2-1),",","."))</f>
        <v>0</v>
      </c>
      <c r="AB276" s="3">
        <f>VALUE(SUBSTITUTE(MID($A276,I276+I$2+1,J276-I276-I$2-1),",","."))</f>
        <v>55.5</v>
      </c>
      <c r="AC276" s="3">
        <f>VALUE(SUBSTITUTE(MID($A276,J276+J$2+1,K276-J276-J$2-1),",","."))</f>
        <v>4.95</v>
      </c>
      <c r="AD276" s="3">
        <f>VALUE(SUBSTITUTE(MID($A276,K276+K$2+1,L276-K276-K$2-1),",","."))</f>
        <v>10.8</v>
      </c>
      <c r="AE276" s="3">
        <f>VALUE(SUBSTITUTE(MID($A276,L276+L$2+1,M276-L276-L$2-1),",","."))</f>
        <v>0</v>
      </c>
      <c r="AF276" s="3">
        <f>VALUE(SUBSTITUTE(MID($A276,M276+M$2+1,N276-M276-M$2-1),",","."))</f>
        <v>0</v>
      </c>
      <c r="AG276" s="3">
        <f>VALUE(SUBSTITUTE(MID($A276,N276+N$2+1,O276-N276-N$2-1),",","."))</f>
        <v>4.2112466741247303</v>
      </c>
      <c r="AH276" t="str">
        <f>MID($A276,O276+O$2+1,P276-O276-O$2-1)</f>
        <v/>
      </c>
      <c r="AI276" s="8" t="str">
        <f>MID($A276,P276+P$2+1,Q276-P276-P$2-1)</f>
        <v>False</v>
      </c>
      <c r="AK276" t="b">
        <f t="shared" si="42"/>
        <v>0</v>
      </c>
    </row>
    <row r="277" spans="1:37" x14ac:dyDescent="0.35">
      <c r="A277" t="s">
        <v>4824</v>
      </c>
      <c r="B277">
        <f t="shared" si="40"/>
        <v>10</v>
      </c>
      <c r="C277">
        <f t="shared" si="40"/>
        <v>43</v>
      </c>
      <c r="D277">
        <f t="shared" si="40"/>
        <v>54</v>
      </c>
      <c r="E277">
        <f t="shared" si="39"/>
        <v>80</v>
      </c>
      <c r="F277">
        <f t="shared" si="39"/>
        <v>124</v>
      </c>
      <c r="G277">
        <f t="shared" si="39"/>
        <v>162</v>
      </c>
      <c r="H277">
        <f t="shared" si="39"/>
        <v>211</v>
      </c>
      <c r="I277">
        <f t="shared" si="39"/>
        <v>233</v>
      </c>
      <c r="J277">
        <f t="shared" si="39"/>
        <v>269</v>
      </c>
      <c r="K277">
        <f t="shared" si="39"/>
        <v>289</v>
      </c>
      <c r="L277">
        <f t="shared" si="39"/>
        <v>307</v>
      </c>
      <c r="M277">
        <f t="shared" si="39"/>
        <v>322</v>
      </c>
      <c r="N277">
        <f t="shared" si="39"/>
        <v>334</v>
      </c>
      <c r="O277">
        <f t="shared" si="39"/>
        <v>359</v>
      </c>
      <c r="P277">
        <f t="shared" si="39"/>
        <v>377</v>
      </c>
      <c r="Q277">
        <f t="shared" si="36"/>
        <v>403</v>
      </c>
      <c r="S277" t="str">
        <f t="shared" si="37"/>
        <v>29.11.2025</v>
      </c>
      <c r="T277" t="str">
        <f t="shared" si="38"/>
        <v>15:45:00</v>
      </c>
      <c r="U277" t="str">
        <f t="shared" si="41"/>
        <v>29.11.2025 15:45:00</v>
      </c>
      <c r="V277" s="9" t="str">
        <f>MID($A277,C277+C$2+1,D277-C277-C$2-1)</f>
        <v>0</v>
      </c>
      <c r="W277" s="4">
        <f>VALUE(SUBSTITUTE(MID($A277,D277+D$2+1,E277-D277-D$2-1),",","."))</f>
        <v>0</v>
      </c>
      <c r="X277" s="4">
        <f>VALUE(SUBSTITUTE(MID($A277,E277+E$2+1,F277-E277-E$2-1),",","."))</f>
        <v>0.90957602214449496</v>
      </c>
      <c r="Y277" s="4">
        <f>VALUE(SUBSTITUTE(MID($A277,F277+F$2+1,G277-F277-F$2-1),",","."))</f>
        <v>9.5358254225039699E-2</v>
      </c>
      <c r="Z277" s="3">
        <f>VALUE(SUBSTITUTE(MID($A277,G277+G$2+1,H277-G277-G$2-1),",","."))</f>
        <v>213.88333333333301</v>
      </c>
      <c r="AA277" s="3">
        <f>VALUE(SUBSTITUTE(MID($A277,H277+H$2+1,I277-H277-H$2-1),",","."))</f>
        <v>0</v>
      </c>
      <c r="AB277" s="3">
        <f>VALUE(SUBSTITUTE(MID($A277,I277+I$2+1,J277-I277-I$2-1),",","."))</f>
        <v>55.5</v>
      </c>
      <c r="AC277" s="3">
        <f>VALUE(SUBSTITUTE(MID($A277,J277+J$2+1,K277-J277-J$2-1),",","."))</f>
        <v>4.95</v>
      </c>
      <c r="AD277" s="3">
        <f>VALUE(SUBSTITUTE(MID($A277,K277+K$2+1,L277-K277-K$2-1),",","."))</f>
        <v>10.8</v>
      </c>
      <c r="AE277" s="3">
        <f>VALUE(SUBSTITUTE(MID($A277,L277+L$2+1,M277-L277-L$2-1),",","."))</f>
        <v>0</v>
      </c>
      <c r="AF277" s="3">
        <f>VALUE(SUBSTITUTE(MID($A277,M277+M$2+1,N277-M277-M$2-1),",","."))</f>
        <v>0</v>
      </c>
      <c r="AG277" s="3">
        <f>VALUE(SUBSTITUTE(MID($A277,N277+N$2+1,O277-N277-N$2-1),",","."))</f>
        <v>4.2112751940128099</v>
      </c>
      <c r="AH277" t="str">
        <f>MID($A277,O277+O$2+1,P277-O277-O$2-1)</f>
        <v/>
      </c>
      <c r="AI277" s="8" t="str">
        <f>MID($A277,P277+P$2+1,Q277-P277-P$2-1)</f>
        <v>False</v>
      </c>
      <c r="AK277" t="b">
        <f t="shared" si="42"/>
        <v>0</v>
      </c>
    </row>
    <row r="278" spans="1:37" x14ac:dyDescent="0.35">
      <c r="A278" t="s">
        <v>4825</v>
      </c>
      <c r="B278">
        <f t="shared" si="40"/>
        <v>10</v>
      </c>
      <c r="C278">
        <f t="shared" si="40"/>
        <v>43</v>
      </c>
      <c r="D278">
        <f t="shared" si="40"/>
        <v>54</v>
      </c>
      <c r="E278">
        <f t="shared" si="39"/>
        <v>80</v>
      </c>
      <c r="F278">
        <f t="shared" si="39"/>
        <v>124</v>
      </c>
      <c r="G278">
        <f t="shared" si="39"/>
        <v>164</v>
      </c>
      <c r="H278">
        <f t="shared" si="39"/>
        <v>213</v>
      </c>
      <c r="I278">
        <f t="shared" si="39"/>
        <v>235</v>
      </c>
      <c r="J278">
        <f t="shared" si="39"/>
        <v>271</v>
      </c>
      <c r="K278">
        <f t="shared" si="39"/>
        <v>291</v>
      </c>
      <c r="L278">
        <f t="shared" si="39"/>
        <v>309</v>
      </c>
      <c r="M278">
        <f t="shared" si="39"/>
        <v>324</v>
      </c>
      <c r="N278">
        <f t="shared" si="39"/>
        <v>336</v>
      </c>
      <c r="O278">
        <f t="shared" si="39"/>
        <v>361</v>
      </c>
      <c r="P278">
        <f t="shared" si="39"/>
        <v>379</v>
      </c>
      <c r="Q278">
        <f t="shared" si="36"/>
        <v>405</v>
      </c>
      <c r="S278" t="str">
        <f t="shared" si="37"/>
        <v>29.11.2025</v>
      </c>
      <c r="T278" t="str">
        <f t="shared" si="38"/>
        <v>16:00:00</v>
      </c>
      <c r="U278" t="str">
        <f t="shared" si="41"/>
        <v>29.11.2025 16:00:00</v>
      </c>
      <c r="V278" s="9" t="str">
        <f>MID($A278,C278+C$2+1,D278-C278-C$2-1)</f>
        <v>0</v>
      </c>
      <c r="W278" s="4">
        <f>VALUE(SUBSTITUTE(MID($A278,D278+D$2+1,E278-D278-D$2-1),",","."))</f>
        <v>0</v>
      </c>
      <c r="X278" s="4">
        <f>VALUE(SUBSTITUTE(MID($A278,E278+E$2+1,F278-E278-E$2-1),",","."))</f>
        <v>0.90957602214449496</v>
      </c>
      <c r="Y278" s="4">
        <f>VALUE(SUBSTITUTE(MID($A278,F278+F$2+1,G278-F278-F$2-1),",","."))</f>
        <v>6.1926075223934597E-2</v>
      </c>
      <c r="Z278" s="3">
        <f>VALUE(SUBSTITUTE(MID($A278,G278+G$2+1,H278-G278-G$2-1),",","."))</f>
        <v>213.88333333333301</v>
      </c>
      <c r="AA278" s="3">
        <f>VALUE(SUBSTITUTE(MID($A278,H278+H$2+1,I278-H278-H$2-1),",","."))</f>
        <v>0</v>
      </c>
      <c r="AB278" s="3">
        <f>VALUE(SUBSTITUTE(MID($A278,I278+I$2+1,J278-I278-I$2-1),",","."))</f>
        <v>55.5</v>
      </c>
      <c r="AC278" s="3">
        <f>VALUE(SUBSTITUTE(MID($A278,J278+J$2+1,K278-J278-J$2-1),",","."))</f>
        <v>4.95</v>
      </c>
      <c r="AD278" s="3">
        <f>VALUE(SUBSTITUTE(MID($A278,K278+K$2+1,L278-K278-K$2-1),",","."))</f>
        <v>10.8</v>
      </c>
      <c r="AE278" s="3">
        <f>VALUE(SUBSTITUTE(MID($A278,L278+L$2+1,M278-L278-L$2-1),",","."))</f>
        <v>0</v>
      </c>
      <c r="AF278" s="3">
        <f>VALUE(SUBSTITUTE(MID($A278,M278+M$2+1,N278-M278-M$2-1),",","."))</f>
        <v>0</v>
      </c>
      <c r="AG278" s="3">
        <f>VALUE(SUBSTITUTE(MID($A278,N278+N$2+1,O278-N278-N$2-1),",","."))</f>
        <v>4.2113037139008904</v>
      </c>
      <c r="AH278" t="str">
        <f>MID($A278,O278+O$2+1,P278-O278-O$2-1)</f>
        <v/>
      </c>
      <c r="AI278" s="8" t="str">
        <f>MID($A278,P278+P$2+1,Q278-P278-P$2-1)</f>
        <v>False</v>
      </c>
      <c r="AK278" t="b">
        <f t="shared" si="42"/>
        <v>0</v>
      </c>
    </row>
    <row r="279" spans="1:37" x14ac:dyDescent="0.35">
      <c r="A279" t="s">
        <v>4826</v>
      </c>
      <c r="B279">
        <f t="shared" si="40"/>
        <v>10</v>
      </c>
      <c r="C279">
        <f t="shared" si="40"/>
        <v>43</v>
      </c>
      <c r="D279">
        <f t="shared" si="40"/>
        <v>54</v>
      </c>
      <c r="E279">
        <f t="shared" si="39"/>
        <v>80</v>
      </c>
      <c r="F279">
        <f t="shared" si="39"/>
        <v>124</v>
      </c>
      <c r="G279">
        <f t="shared" si="39"/>
        <v>164</v>
      </c>
      <c r="H279">
        <f t="shared" si="39"/>
        <v>213</v>
      </c>
      <c r="I279">
        <f t="shared" si="39"/>
        <v>235</v>
      </c>
      <c r="J279">
        <f t="shared" si="39"/>
        <v>271</v>
      </c>
      <c r="K279">
        <f t="shared" si="39"/>
        <v>291</v>
      </c>
      <c r="L279">
        <f t="shared" si="39"/>
        <v>309</v>
      </c>
      <c r="M279">
        <f t="shared" si="39"/>
        <v>324</v>
      </c>
      <c r="N279">
        <f t="shared" si="39"/>
        <v>336</v>
      </c>
      <c r="O279">
        <f t="shared" si="39"/>
        <v>361</v>
      </c>
      <c r="P279">
        <f t="shared" si="39"/>
        <v>379</v>
      </c>
      <c r="Q279">
        <f t="shared" si="36"/>
        <v>405</v>
      </c>
      <c r="S279" t="str">
        <f t="shared" si="37"/>
        <v>29.11.2025</v>
      </c>
      <c r="T279" t="str">
        <f t="shared" si="38"/>
        <v>16:15:00</v>
      </c>
      <c r="U279" t="str">
        <f t="shared" si="41"/>
        <v>29.11.2025 16:15:00</v>
      </c>
      <c r="V279" s="9" t="str">
        <f>MID($A279,C279+C$2+1,D279-C279-C$2-1)</f>
        <v>0</v>
      </c>
      <c r="W279" s="4">
        <f>VALUE(SUBSTITUTE(MID($A279,D279+D$2+1,E279-D279-D$2-1),",","."))</f>
        <v>0</v>
      </c>
      <c r="X279" s="4">
        <f>VALUE(SUBSTITUTE(MID($A279,E279+E$2+1,F279-E279-E$2-1),",","."))</f>
        <v>0.90957602214449496</v>
      </c>
      <c r="Y279" s="4">
        <f>VALUE(SUBSTITUTE(MID($A279,F279+F$2+1,G279-F279-F$2-1),",","."))</f>
        <v>2.8200707019647799E-2</v>
      </c>
      <c r="Z279" s="3">
        <f>VALUE(SUBSTITUTE(MID($A279,G279+G$2+1,H279-G279-G$2-1),",","."))</f>
        <v>213.88333333333301</v>
      </c>
      <c r="AA279" s="3">
        <f>VALUE(SUBSTITUTE(MID($A279,H279+H$2+1,I279-H279-H$2-1),",","."))</f>
        <v>0</v>
      </c>
      <c r="AB279" s="3">
        <f>VALUE(SUBSTITUTE(MID($A279,I279+I$2+1,J279-I279-I$2-1),",","."))</f>
        <v>55.5</v>
      </c>
      <c r="AC279" s="3">
        <f>VALUE(SUBSTITUTE(MID($A279,J279+J$2+1,K279-J279-J$2-1),",","."))</f>
        <v>4.95</v>
      </c>
      <c r="AD279" s="3">
        <f>VALUE(SUBSTITUTE(MID($A279,K279+K$2+1,L279-K279-K$2-1),",","."))</f>
        <v>10.8</v>
      </c>
      <c r="AE279" s="3">
        <f>VALUE(SUBSTITUTE(MID($A279,L279+L$2+1,M279-L279-L$2-1),",","."))</f>
        <v>0</v>
      </c>
      <c r="AF279" s="3">
        <f>VALUE(SUBSTITUTE(MID($A279,M279+M$2+1,N279-M279-M$2-1),",","."))</f>
        <v>0</v>
      </c>
      <c r="AG279" s="3">
        <f>VALUE(SUBSTITUTE(MID($A279,N279+N$2+1,O279-N279-N$2-1),",","."))</f>
        <v>4.21133223378897</v>
      </c>
      <c r="AH279" t="str">
        <f>MID($A279,O279+O$2+1,P279-O279-O$2-1)</f>
        <v/>
      </c>
      <c r="AI279" s="8" t="str">
        <f>MID($A279,P279+P$2+1,Q279-P279-P$2-1)</f>
        <v>False</v>
      </c>
      <c r="AK279" t="b">
        <f t="shared" si="42"/>
        <v>0</v>
      </c>
    </row>
    <row r="280" spans="1:37" x14ac:dyDescent="0.35">
      <c r="A280" t="s">
        <v>4827</v>
      </c>
      <c r="B280">
        <f t="shared" si="40"/>
        <v>10</v>
      </c>
      <c r="C280">
        <f t="shared" si="40"/>
        <v>43</v>
      </c>
      <c r="D280">
        <f t="shared" si="40"/>
        <v>54</v>
      </c>
      <c r="E280">
        <f t="shared" si="39"/>
        <v>80</v>
      </c>
      <c r="F280">
        <f t="shared" si="39"/>
        <v>124</v>
      </c>
      <c r="G280">
        <f t="shared" si="39"/>
        <v>145</v>
      </c>
      <c r="H280">
        <f t="shared" si="39"/>
        <v>193</v>
      </c>
      <c r="I280">
        <f t="shared" si="39"/>
        <v>215</v>
      </c>
      <c r="J280">
        <f t="shared" si="39"/>
        <v>248</v>
      </c>
      <c r="K280">
        <f t="shared" si="39"/>
        <v>268</v>
      </c>
      <c r="L280">
        <f t="shared" si="39"/>
        <v>285</v>
      </c>
      <c r="M280">
        <f t="shared" si="39"/>
        <v>300</v>
      </c>
      <c r="N280">
        <f t="shared" si="39"/>
        <v>312</v>
      </c>
      <c r="O280">
        <f t="shared" si="39"/>
        <v>337</v>
      </c>
      <c r="P280">
        <f t="shared" si="39"/>
        <v>355</v>
      </c>
      <c r="Q280">
        <f t="shared" si="36"/>
        <v>381</v>
      </c>
      <c r="S280" t="str">
        <f t="shared" si="37"/>
        <v>29.11.2025</v>
      </c>
      <c r="T280" t="str">
        <f t="shared" si="38"/>
        <v>16:30:00</v>
      </c>
      <c r="U280" t="str">
        <f t="shared" si="41"/>
        <v>29.11.2025 16:30:00</v>
      </c>
      <c r="V280" s="9" t="str">
        <f>MID($A280,C280+C$2+1,D280-C280-C$2-1)</f>
        <v>0</v>
      </c>
      <c r="W280" s="4">
        <f>VALUE(SUBSTITUTE(MID($A280,D280+D$2+1,E280-D280-D$2-1),",","."))</f>
        <v>0</v>
      </c>
      <c r="X280" s="4">
        <f>VALUE(SUBSTITUTE(MID($A280,E280+E$2+1,F280-E280-E$2-1),",","."))</f>
        <v>0.90957602214449496</v>
      </c>
      <c r="Y280" s="4">
        <f>VALUE(SUBSTITUTE(MID($A280,F280+F$2+1,G280-F280-F$2-1),",","."))</f>
        <v>0</v>
      </c>
      <c r="Z280" s="3">
        <f>VALUE(SUBSTITUTE(MID($A280,G280+G$2+1,H280-G280-G$2-1),",","."))</f>
        <v>35.566666666666599</v>
      </c>
      <c r="AA280" s="3">
        <f>VALUE(SUBSTITUTE(MID($A280,H280+H$2+1,I280-H280-H$2-1),",","."))</f>
        <v>0</v>
      </c>
      <c r="AB280" s="3">
        <f>VALUE(SUBSTITUTE(MID($A280,I280+I$2+1,J280-I280-I$2-1),",","."))</f>
        <v>8</v>
      </c>
      <c r="AC280" s="3">
        <f>VALUE(SUBSTITUTE(MID($A280,J280+J$2+1,K280-J280-J$2-1),",","."))</f>
        <v>3.05</v>
      </c>
      <c r="AD280" s="3">
        <f>VALUE(SUBSTITUTE(MID($A280,K280+K$2+1,L280-K280-K$2-1),",","."))</f>
        <v>8.1</v>
      </c>
      <c r="AE280" s="3">
        <f>VALUE(SUBSTITUTE(MID($A280,L280+L$2+1,M280-L280-L$2-1),",","."))</f>
        <v>0</v>
      </c>
      <c r="AF280" s="3">
        <f>VALUE(SUBSTITUTE(MID($A280,M280+M$2+1,N280-M280-M$2-1),",","."))</f>
        <v>0</v>
      </c>
      <c r="AG280" s="3">
        <f>VALUE(SUBSTITUTE(MID($A280,N280+N$2+1,O280-N280-N$2-1),",","."))</f>
        <v>4.2113607536770497</v>
      </c>
      <c r="AH280" t="str">
        <f>MID($A280,O280+O$2+1,P280-O280-O$2-1)</f>
        <v/>
      </c>
      <c r="AI280" s="8" t="str">
        <f>MID($A280,P280+P$2+1,Q280-P280-P$2-1)</f>
        <v>False</v>
      </c>
      <c r="AK280" t="b">
        <f t="shared" si="42"/>
        <v>0</v>
      </c>
    </row>
    <row r="281" spans="1:37" x14ac:dyDescent="0.35">
      <c r="A281" t="s">
        <v>4828</v>
      </c>
      <c r="B281">
        <f t="shared" si="40"/>
        <v>10</v>
      </c>
      <c r="C281">
        <f t="shared" si="40"/>
        <v>43</v>
      </c>
      <c r="D281">
        <f t="shared" si="40"/>
        <v>54</v>
      </c>
      <c r="E281">
        <f t="shared" si="39"/>
        <v>80</v>
      </c>
      <c r="F281">
        <f t="shared" si="39"/>
        <v>124</v>
      </c>
      <c r="G281">
        <f t="shared" si="39"/>
        <v>145</v>
      </c>
      <c r="H281">
        <f t="shared" si="39"/>
        <v>193</v>
      </c>
      <c r="I281">
        <f t="shared" si="39"/>
        <v>215</v>
      </c>
      <c r="J281">
        <f t="shared" si="39"/>
        <v>248</v>
      </c>
      <c r="K281">
        <f t="shared" si="39"/>
        <v>268</v>
      </c>
      <c r="L281">
        <f t="shared" si="39"/>
        <v>285</v>
      </c>
      <c r="M281">
        <f t="shared" si="39"/>
        <v>300</v>
      </c>
      <c r="N281">
        <f t="shared" si="39"/>
        <v>312</v>
      </c>
      <c r="O281">
        <f t="shared" si="39"/>
        <v>337</v>
      </c>
      <c r="P281">
        <f t="shared" si="39"/>
        <v>355</v>
      </c>
      <c r="Q281">
        <f t="shared" si="36"/>
        <v>381</v>
      </c>
      <c r="S281" t="str">
        <f t="shared" si="37"/>
        <v>29.11.2025</v>
      </c>
      <c r="T281" t="str">
        <f t="shared" si="38"/>
        <v>16:45:00</v>
      </c>
      <c r="U281" t="str">
        <f t="shared" si="41"/>
        <v>29.11.2025 16:45:00</v>
      </c>
      <c r="V281" s="9" t="str">
        <f>MID($A281,C281+C$2+1,D281-C281-C$2-1)</f>
        <v>0</v>
      </c>
      <c r="W281" s="4">
        <f>VALUE(SUBSTITUTE(MID($A281,D281+D$2+1,E281-D281-D$2-1),",","."))</f>
        <v>0</v>
      </c>
      <c r="X281" s="4">
        <f>VALUE(SUBSTITUTE(MID($A281,E281+E$2+1,F281-E281-E$2-1),",","."))</f>
        <v>0.90957602214449496</v>
      </c>
      <c r="Y281" s="4">
        <f>VALUE(SUBSTITUTE(MID($A281,F281+F$2+1,G281-F281-F$2-1),",","."))</f>
        <v>0</v>
      </c>
      <c r="Z281" s="3">
        <f>VALUE(SUBSTITUTE(MID($A281,G281+G$2+1,H281-G281-G$2-1),",","."))</f>
        <v>35.566666666666599</v>
      </c>
      <c r="AA281" s="3">
        <f>VALUE(SUBSTITUTE(MID($A281,H281+H$2+1,I281-H281-H$2-1),",","."))</f>
        <v>0</v>
      </c>
      <c r="AB281" s="3">
        <f>VALUE(SUBSTITUTE(MID($A281,I281+I$2+1,J281-I281-I$2-1),",","."))</f>
        <v>8</v>
      </c>
      <c r="AC281" s="3">
        <f>VALUE(SUBSTITUTE(MID($A281,J281+J$2+1,K281-J281-J$2-1),",","."))</f>
        <v>3.05</v>
      </c>
      <c r="AD281" s="3">
        <f>VALUE(SUBSTITUTE(MID($A281,K281+K$2+1,L281-K281-K$2-1),",","."))</f>
        <v>8.1</v>
      </c>
      <c r="AE281" s="3">
        <f>VALUE(SUBSTITUTE(MID($A281,L281+L$2+1,M281-L281-L$2-1),",","."))</f>
        <v>0</v>
      </c>
      <c r="AF281" s="3">
        <f>VALUE(SUBSTITUTE(MID($A281,M281+M$2+1,N281-M281-M$2-1),",","."))</f>
        <v>0</v>
      </c>
      <c r="AG281" s="3">
        <f>VALUE(SUBSTITUTE(MID($A281,N281+N$2+1,O281-N281-N$2-1),",","."))</f>
        <v>4.2113892735651302</v>
      </c>
      <c r="AH281" t="str">
        <f>MID($A281,O281+O$2+1,P281-O281-O$2-1)</f>
        <v/>
      </c>
      <c r="AI281" s="8" t="str">
        <f>MID($A281,P281+P$2+1,Q281-P281-P$2-1)</f>
        <v>False</v>
      </c>
      <c r="AK281" t="b">
        <f t="shared" si="42"/>
        <v>0</v>
      </c>
    </row>
    <row r="282" spans="1:37" x14ac:dyDescent="0.35">
      <c r="A282" t="s">
        <v>4829</v>
      </c>
      <c r="B282">
        <f t="shared" si="40"/>
        <v>10</v>
      </c>
      <c r="C282">
        <f t="shared" si="40"/>
        <v>43</v>
      </c>
      <c r="D282">
        <f t="shared" si="40"/>
        <v>54</v>
      </c>
      <c r="E282">
        <f t="shared" si="39"/>
        <v>80</v>
      </c>
      <c r="F282">
        <f t="shared" si="39"/>
        <v>124</v>
      </c>
      <c r="G282">
        <f t="shared" si="39"/>
        <v>145</v>
      </c>
      <c r="H282">
        <f t="shared" si="39"/>
        <v>193</v>
      </c>
      <c r="I282">
        <f t="shared" si="39"/>
        <v>215</v>
      </c>
      <c r="J282">
        <f t="shared" si="39"/>
        <v>248</v>
      </c>
      <c r="K282">
        <f t="shared" si="39"/>
        <v>268</v>
      </c>
      <c r="L282">
        <f t="shared" si="39"/>
        <v>285</v>
      </c>
      <c r="M282">
        <f t="shared" si="39"/>
        <v>300</v>
      </c>
      <c r="N282">
        <f t="shared" si="39"/>
        <v>312</v>
      </c>
      <c r="O282">
        <f t="shared" si="39"/>
        <v>336</v>
      </c>
      <c r="P282">
        <f t="shared" si="39"/>
        <v>354</v>
      </c>
      <c r="Q282">
        <f t="shared" si="36"/>
        <v>380</v>
      </c>
      <c r="S282" t="str">
        <f t="shared" si="37"/>
        <v>29.11.2025</v>
      </c>
      <c r="T282" t="str">
        <f t="shared" si="38"/>
        <v>17:00:00</v>
      </c>
      <c r="U282" t="str">
        <f t="shared" si="41"/>
        <v>29.11.2025 17:00:00</v>
      </c>
      <c r="V282" s="9" t="str">
        <f>MID($A282,C282+C$2+1,D282-C282-C$2-1)</f>
        <v>0</v>
      </c>
      <c r="W282" s="4">
        <f>VALUE(SUBSTITUTE(MID($A282,D282+D$2+1,E282-D282-D$2-1),",","."))</f>
        <v>0</v>
      </c>
      <c r="X282" s="4">
        <f>VALUE(SUBSTITUTE(MID($A282,E282+E$2+1,F282-E282-E$2-1),",","."))</f>
        <v>0.90957602214449496</v>
      </c>
      <c r="Y282" s="4">
        <f>VALUE(SUBSTITUTE(MID($A282,F282+F$2+1,G282-F282-F$2-1),",","."))</f>
        <v>0</v>
      </c>
      <c r="Z282" s="3">
        <f>VALUE(SUBSTITUTE(MID($A282,G282+G$2+1,H282-G282-G$2-1),",","."))</f>
        <v>35.566666666666599</v>
      </c>
      <c r="AA282" s="3">
        <f>VALUE(SUBSTITUTE(MID($A282,H282+H$2+1,I282-H282-H$2-1),",","."))</f>
        <v>0</v>
      </c>
      <c r="AB282" s="3">
        <f>VALUE(SUBSTITUTE(MID($A282,I282+I$2+1,J282-I282-I$2-1),",","."))</f>
        <v>8</v>
      </c>
      <c r="AC282" s="3">
        <f>VALUE(SUBSTITUTE(MID($A282,J282+J$2+1,K282-J282-J$2-1),",","."))</f>
        <v>3.05</v>
      </c>
      <c r="AD282" s="3">
        <f>VALUE(SUBSTITUTE(MID($A282,K282+K$2+1,L282-K282-K$2-1),",","."))</f>
        <v>8.1</v>
      </c>
      <c r="AE282" s="3">
        <f>VALUE(SUBSTITUTE(MID($A282,L282+L$2+1,M282-L282-L$2-1),",","."))</f>
        <v>0</v>
      </c>
      <c r="AF282" s="3">
        <f>VALUE(SUBSTITUTE(MID($A282,M282+M$2+1,N282-M282-M$2-1),",","."))</f>
        <v>0</v>
      </c>
      <c r="AG282" s="3">
        <f>VALUE(SUBSTITUTE(MID($A282,N282+N$2+1,O282-N282-N$2-1),",","."))</f>
        <v>4.2114177934532204</v>
      </c>
      <c r="AH282" t="str">
        <f>MID($A282,O282+O$2+1,P282-O282-O$2-1)</f>
        <v/>
      </c>
      <c r="AI282" s="8" t="str">
        <f>MID($A282,P282+P$2+1,Q282-P282-P$2-1)</f>
        <v>False</v>
      </c>
      <c r="AK282" t="b">
        <f t="shared" si="42"/>
        <v>0</v>
      </c>
    </row>
    <row r="283" spans="1:37" x14ac:dyDescent="0.35">
      <c r="A283" t="s">
        <v>4830</v>
      </c>
      <c r="B283">
        <f t="shared" si="40"/>
        <v>10</v>
      </c>
      <c r="C283">
        <f t="shared" si="40"/>
        <v>43</v>
      </c>
      <c r="D283">
        <f t="shared" si="40"/>
        <v>54</v>
      </c>
      <c r="E283">
        <f t="shared" si="39"/>
        <v>80</v>
      </c>
      <c r="F283">
        <f t="shared" si="39"/>
        <v>124</v>
      </c>
      <c r="G283">
        <f t="shared" si="39"/>
        <v>145</v>
      </c>
      <c r="H283">
        <f t="shared" si="39"/>
        <v>193</v>
      </c>
      <c r="I283">
        <f t="shared" si="39"/>
        <v>215</v>
      </c>
      <c r="J283">
        <f t="shared" si="39"/>
        <v>248</v>
      </c>
      <c r="K283">
        <f t="shared" si="39"/>
        <v>268</v>
      </c>
      <c r="L283">
        <f t="shared" si="39"/>
        <v>285</v>
      </c>
      <c r="M283">
        <f t="shared" si="39"/>
        <v>300</v>
      </c>
      <c r="N283">
        <f t="shared" si="39"/>
        <v>312</v>
      </c>
      <c r="O283">
        <f t="shared" si="39"/>
        <v>337</v>
      </c>
      <c r="P283">
        <f t="shared" si="39"/>
        <v>355</v>
      </c>
      <c r="Q283">
        <f t="shared" si="36"/>
        <v>381</v>
      </c>
      <c r="S283" t="str">
        <f t="shared" si="37"/>
        <v>29.11.2025</v>
      </c>
      <c r="T283" t="str">
        <f t="shared" si="38"/>
        <v>17:15:00</v>
      </c>
      <c r="U283" t="str">
        <f t="shared" si="41"/>
        <v>29.11.2025 17:15:00</v>
      </c>
      <c r="V283" s="9" t="str">
        <f>MID($A283,C283+C$2+1,D283-C283-C$2-1)</f>
        <v>0</v>
      </c>
      <c r="W283" s="4">
        <f>VALUE(SUBSTITUTE(MID($A283,D283+D$2+1,E283-D283-D$2-1),",","."))</f>
        <v>0</v>
      </c>
      <c r="X283" s="4">
        <f>VALUE(SUBSTITUTE(MID($A283,E283+E$2+1,F283-E283-E$2-1),",","."))</f>
        <v>0.90957602214449496</v>
      </c>
      <c r="Y283" s="4">
        <f>VALUE(SUBSTITUTE(MID($A283,F283+F$2+1,G283-F283-F$2-1),",","."))</f>
        <v>0</v>
      </c>
      <c r="Z283" s="3">
        <f>VALUE(SUBSTITUTE(MID($A283,G283+G$2+1,H283-G283-G$2-1),",","."))</f>
        <v>35.566666666666599</v>
      </c>
      <c r="AA283" s="3">
        <f>VALUE(SUBSTITUTE(MID($A283,H283+H$2+1,I283-H283-H$2-1),",","."))</f>
        <v>0</v>
      </c>
      <c r="AB283" s="3">
        <f>VALUE(SUBSTITUTE(MID($A283,I283+I$2+1,J283-I283-I$2-1),",","."))</f>
        <v>8</v>
      </c>
      <c r="AC283" s="3">
        <f>VALUE(SUBSTITUTE(MID($A283,J283+J$2+1,K283-J283-J$2-1),",","."))</f>
        <v>3.05</v>
      </c>
      <c r="AD283" s="3">
        <f>VALUE(SUBSTITUTE(MID($A283,K283+K$2+1,L283-K283-K$2-1),",","."))</f>
        <v>8.1</v>
      </c>
      <c r="AE283" s="3">
        <f>VALUE(SUBSTITUTE(MID($A283,L283+L$2+1,M283-L283-L$2-1),",","."))</f>
        <v>0</v>
      </c>
      <c r="AF283" s="3">
        <f>VALUE(SUBSTITUTE(MID($A283,M283+M$2+1,N283-M283-M$2-1),",","."))</f>
        <v>0</v>
      </c>
      <c r="AG283" s="3">
        <f>VALUE(SUBSTITUTE(MID($A283,N283+N$2+1,O283-N283-N$2-1),",","."))</f>
        <v>4.2114463133413</v>
      </c>
      <c r="AH283" t="str">
        <f>MID($A283,O283+O$2+1,P283-O283-O$2-1)</f>
        <v/>
      </c>
      <c r="AI283" s="8" t="str">
        <f>MID($A283,P283+P$2+1,Q283-P283-P$2-1)</f>
        <v>False</v>
      </c>
      <c r="AK283" t="b">
        <f t="shared" si="42"/>
        <v>0</v>
      </c>
    </row>
    <row r="284" spans="1:37" x14ac:dyDescent="0.35">
      <c r="A284" t="s">
        <v>4831</v>
      </c>
      <c r="B284">
        <f t="shared" si="40"/>
        <v>10</v>
      </c>
      <c r="C284">
        <f t="shared" si="40"/>
        <v>43</v>
      </c>
      <c r="D284">
        <f t="shared" si="40"/>
        <v>54</v>
      </c>
      <c r="E284">
        <f t="shared" si="39"/>
        <v>80</v>
      </c>
      <c r="F284">
        <f t="shared" si="39"/>
        <v>124</v>
      </c>
      <c r="G284">
        <f t="shared" si="39"/>
        <v>145</v>
      </c>
      <c r="H284">
        <f t="shared" si="39"/>
        <v>177</v>
      </c>
      <c r="I284">
        <f t="shared" si="39"/>
        <v>199</v>
      </c>
      <c r="J284">
        <f t="shared" si="39"/>
        <v>232</v>
      </c>
      <c r="K284">
        <f t="shared" si="39"/>
        <v>252</v>
      </c>
      <c r="L284">
        <f t="shared" si="39"/>
        <v>283</v>
      </c>
      <c r="M284">
        <f t="shared" si="39"/>
        <v>298</v>
      </c>
      <c r="N284">
        <f t="shared" si="39"/>
        <v>310</v>
      </c>
      <c r="O284">
        <f t="shared" si="39"/>
        <v>335</v>
      </c>
      <c r="P284">
        <f t="shared" si="39"/>
        <v>353</v>
      </c>
      <c r="Q284">
        <f t="shared" si="36"/>
        <v>379</v>
      </c>
      <c r="S284" t="str">
        <f t="shared" si="37"/>
        <v>29.11.2025</v>
      </c>
      <c r="T284" t="str">
        <f t="shared" si="38"/>
        <v>17:30:00</v>
      </c>
      <c r="U284" t="str">
        <f t="shared" si="41"/>
        <v>29.11.2025 17:30:00</v>
      </c>
      <c r="V284" s="9" t="str">
        <f>MID($A284,C284+C$2+1,D284-C284-C$2-1)</f>
        <v>0</v>
      </c>
      <c r="W284" s="4">
        <f>VALUE(SUBSTITUTE(MID($A284,D284+D$2+1,E284-D284-D$2-1),",","."))</f>
        <v>0</v>
      </c>
      <c r="X284" s="4">
        <f>VALUE(SUBSTITUTE(MID($A284,E284+E$2+1,F284-E284-E$2-1),",","."))</f>
        <v>0.90957602214449496</v>
      </c>
      <c r="Y284" s="4">
        <f>VALUE(SUBSTITUTE(MID($A284,F284+F$2+1,G284-F284-F$2-1),",","."))</f>
        <v>0</v>
      </c>
      <c r="Z284" s="3">
        <f>VALUE(SUBSTITUTE(MID($A284,G284+G$2+1,H284-G284-G$2-1),",","."))</f>
        <v>0</v>
      </c>
      <c r="AA284" s="3">
        <f>VALUE(SUBSTITUTE(MID($A284,H284+H$2+1,I284-H284-H$2-1),",","."))</f>
        <v>0</v>
      </c>
      <c r="AB284" s="3">
        <f>VALUE(SUBSTITUTE(MID($A284,I284+I$2+1,J284-I284-I$2-1),",","."))</f>
        <v>0</v>
      </c>
      <c r="AC284" s="3">
        <f>VALUE(SUBSTITUTE(MID($A284,J284+J$2+1,K284-J284-J$2-1),",","."))</f>
        <v>1.85</v>
      </c>
      <c r="AD284" s="3">
        <f>VALUE(SUBSTITUTE(MID($A284,K284+K$2+1,L284-K284-K$2-1),",","."))</f>
        <v>5.76</v>
      </c>
      <c r="AE284" s="3">
        <f>VALUE(SUBSTITUTE(MID($A284,L284+L$2+1,M284-L284-L$2-1),",","."))</f>
        <v>0</v>
      </c>
      <c r="AF284" s="3">
        <f>VALUE(SUBSTITUTE(MID($A284,M284+M$2+1,N284-M284-M$2-1),",","."))</f>
        <v>0</v>
      </c>
      <c r="AG284" s="3">
        <f>VALUE(SUBSTITUTE(MID($A284,N284+N$2+1,O284-N284-N$2-1),",","."))</f>
        <v>4.2114748332293797</v>
      </c>
      <c r="AH284" t="str">
        <f>MID($A284,O284+O$2+1,P284-O284-O$2-1)</f>
        <v/>
      </c>
      <c r="AI284" s="8" t="str">
        <f>MID($A284,P284+P$2+1,Q284-P284-P$2-1)</f>
        <v>False</v>
      </c>
      <c r="AK284" t="b">
        <f t="shared" si="42"/>
        <v>0</v>
      </c>
    </row>
    <row r="285" spans="1:37" x14ac:dyDescent="0.35">
      <c r="A285" t="s">
        <v>4832</v>
      </c>
      <c r="B285">
        <f t="shared" si="40"/>
        <v>10</v>
      </c>
      <c r="C285">
        <f t="shared" si="40"/>
        <v>43</v>
      </c>
      <c r="D285">
        <f t="shared" si="40"/>
        <v>54</v>
      </c>
      <c r="E285">
        <f t="shared" si="40"/>
        <v>80</v>
      </c>
      <c r="F285">
        <f t="shared" si="40"/>
        <v>124</v>
      </c>
      <c r="G285">
        <f t="shared" si="40"/>
        <v>145</v>
      </c>
      <c r="H285">
        <f t="shared" si="40"/>
        <v>177</v>
      </c>
      <c r="I285">
        <f t="shared" si="40"/>
        <v>199</v>
      </c>
      <c r="J285">
        <f t="shared" si="40"/>
        <v>232</v>
      </c>
      <c r="K285">
        <f t="shared" si="40"/>
        <v>252</v>
      </c>
      <c r="L285">
        <f t="shared" si="40"/>
        <v>283</v>
      </c>
      <c r="M285">
        <f t="shared" si="40"/>
        <v>298</v>
      </c>
      <c r="N285">
        <f t="shared" si="40"/>
        <v>310</v>
      </c>
      <c r="O285">
        <f t="shared" si="40"/>
        <v>336</v>
      </c>
      <c r="P285">
        <f t="shared" si="40"/>
        <v>354</v>
      </c>
      <c r="Q285">
        <f t="shared" si="36"/>
        <v>380</v>
      </c>
      <c r="S285" t="str">
        <f t="shared" si="37"/>
        <v>29.11.2025</v>
      </c>
      <c r="T285" t="str">
        <f t="shared" si="38"/>
        <v>17:45:00</v>
      </c>
      <c r="U285" t="str">
        <f t="shared" si="41"/>
        <v>29.11.2025 17:45:00</v>
      </c>
      <c r="V285" s="9" t="str">
        <f>MID($A285,C285+C$2+1,D285-C285-C$2-1)</f>
        <v>0</v>
      </c>
      <c r="W285" s="4">
        <f>VALUE(SUBSTITUTE(MID($A285,D285+D$2+1,E285-D285-D$2-1),",","."))</f>
        <v>0</v>
      </c>
      <c r="X285" s="4">
        <f>VALUE(SUBSTITUTE(MID($A285,E285+E$2+1,F285-E285-E$2-1),",","."))</f>
        <v>0.90957602214449496</v>
      </c>
      <c r="Y285" s="4">
        <f>VALUE(SUBSTITUTE(MID($A285,F285+F$2+1,G285-F285-F$2-1),",","."))</f>
        <v>0</v>
      </c>
      <c r="Z285" s="3">
        <f>VALUE(SUBSTITUTE(MID($A285,G285+G$2+1,H285-G285-G$2-1),",","."))</f>
        <v>0</v>
      </c>
      <c r="AA285" s="3">
        <f>VALUE(SUBSTITUTE(MID($A285,H285+H$2+1,I285-H285-H$2-1),",","."))</f>
        <v>0</v>
      </c>
      <c r="AB285" s="3">
        <f>VALUE(SUBSTITUTE(MID($A285,I285+I$2+1,J285-I285-I$2-1),",","."))</f>
        <v>0</v>
      </c>
      <c r="AC285" s="3">
        <f>VALUE(SUBSTITUTE(MID($A285,J285+J$2+1,K285-J285-J$2-1),",","."))</f>
        <v>1.85</v>
      </c>
      <c r="AD285" s="3">
        <f>VALUE(SUBSTITUTE(MID($A285,K285+K$2+1,L285-K285-K$2-1),",","."))</f>
        <v>5.76</v>
      </c>
      <c r="AE285" s="3">
        <f>VALUE(SUBSTITUTE(MID($A285,L285+L$2+1,M285-L285-L$2-1),",","."))</f>
        <v>0</v>
      </c>
      <c r="AF285" s="3">
        <f>VALUE(SUBSTITUTE(MID($A285,M285+M$2+1,N285-M285-M$2-1),",","."))</f>
        <v>0</v>
      </c>
      <c r="AG285" s="3">
        <f>VALUE(SUBSTITUTE(MID($A285,N285+N$2+1,O285-N285-N$2-1),",","."))</f>
        <v>4.2115033531174602</v>
      </c>
      <c r="AH285" t="str">
        <f>MID($A285,O285+O$2+1,P285-O285-O$2-1)</f>
        <v/>
      </c>
      <c r="AI285" s="8" t="str">
        <f>MID($A285,P285+P$2+1,Q285-P285-P$2-1)</f>
        <v>False</v>
      </c>
      <c r="AK285" t="b">
        <f t="shared" si="42"/>
        <v>0</v>
      </c>
    </row>
    <row r="286" spans="1:37" x14ac:dyDescent="0.35">
      <c r="A286" t="s">
        <v>4833</v>
      </c>
      <c r="B286">
        <f t="shared" si="40"/>
        <v>10</v>
      </c>
      <c r="C286">
        <f t="shared" si="40"/>
        <v>43</v>
      </c>
      <c r="D286">
        <f t="shared" si="40"/>
        <v>54</v>
      </c>
      <c r="E286">
        <f t="shared" si="40"/>
        <v>80</v>
      </c>
      <c r="F286">
        <f t="shared" si="40"/>
        <v>124</v>
      </c>
      <c r="G286">
        <f t="shared" si="40"/>
        <v>145</v>
      </c>
      <c r="H286">
        <f t="shared" si="40"/>
        <v>177</v>
      </c>
      <c r="I286">
        <f t="shared" si="40"/>
        <v>199</v>
      </c>
      <c r="J286">
        <f t="shared" si="40"/>
        <v>232</v>
      </c>
      <c r="K286">
        <f t="shared" si="40"/>
        <v>252</v>
      </c>
      <c r="L286">
        <f t="shared" si="40"/>
        <v>283</v>
      </c>
      <c r="M286">
        <f t="shared" si="40"/>
        <v>298</v>
      </c>
      <c r="N286">
        <f t="shared" si="40"/>
        <v>310</v>
      </c>
      <c r="O286">
        <f t="shared" si="40"/>
        <v>335</v>
      </c>
      <c r="P286">
        <f t="shared" si="40"/>
        <v>353</v>
      </c>
      <c r="Q286">
        <f t="shared" si="36"/>
        <v>379</v>
      </c>
      <c r="S286" t="str">
        <f t="shared" si="37"/>
        <v>29.11.2025</v>
      </c>
      <c r="T286" t="str">
        <f t="shared" si="38"/>
        <v>18:00:00</v>
      </c>
      <c r="U286" t="str">
        <f t="shared" si="41"/>
        <v>29.11.2025 18:00:00</v>
      </c>
      <c r="V286" s="9" t="str">
        <f>MID($A286,C286+C$2+1,D286-C286-C$2-1)</f>
        <v>0</v>
      </c>
      <c r="W286" s="4">
        <f>VALUE(SUBSTITUTE(MID($A286,D286+D$2+1,E286-D286-D$2-1),",","."))</f>
        <v>0</v>
      </c>
      <c r="X286" s="4">
        <f>VALUE(SUBSTITUTE(MID($A286,E286+E$2+1,F286-E286-E$2-1),",","."))</f>
        <v>0.90957602214449496</v>
      </c>
      <c r="Y286" s="4">
        <f>VALUE(SUBSTITUTE(MID($A286,F286+F$2+1,G286-F286-F$2-1),",","."))</f>
        <v>0</v>
      </c>
      <c r="Z286" s="3">
        <f>VALUE(SUBSTITUTE(MID($A286,G286+G$2+1,H286-G286-G$2-1),",","."))</f>
        <v>0</v>
      </c>
      <c r="AA286" s="3">
        <f>VALUE(SUBSTITUTE(MID($A286,H286+H$2+1,I286-H286-H$2-1),",","."))</f>
        <v>0</v>
      </c>
      <c r="AB286" s="3">
        <f>VALUE(SUBSTITUTE(MID($A286,I286+I$2+1,J286-I286-I$2-1),",","."))</f>
        <v>0</v>
      </c>
      <c r="AC286" s="3">
        <f>VALUE(SUBSTITUTE(MID($A286,J286+J$2+1,K286-J286-J$2-1),",","."))</f>
        <v>1.85</v>
      </c>
      <c r="AD286" s="3">
        <f>VALUE(SUBSTITUTE(MID($A286,K286+K$2+1,L286-K286-K$2-1),",","."))</f>
        <v>5.76</v>
      </c>
      <c r="AE286" s="3">
        <f>VALUE(SUBSTITUTE(MID($A286,L286+L$2+1,M286-L286-L$2-1),",","."))</f>
        <v>0</v>
      </c>
      <c r="AF286" s="3">
        <f>VALUE(SUBSTITUTE(MID($A286,M286+M$2+1,N286-M286-M$2-1),",","."))</f>
        <v>0</v>
      </c>
      <c r="AG286" s="3">
        <f>VALUE(SUBSTITUTE(MID($A286,N286+N$2+1,O286-N286-N$2-1),",","."))</f>
        <v>4.2115318730055398</v>
      </c>
      <c r="AH286" t="str">
        <f>MID($A286,O286+O$2+1,P286-O286-O$2-1)</f>
        <v/>
      </c>
      <c r="AI286" s="8" t="str">
        <f>MID($A286,P286+P$2+1,Q286-P286-P$2-1)</f>
        <v>False</v>
      </c>
      <c r="AK286" t="b">
        <f t="shared" si="42"/>
        <v>0</v>
      </c>
    </row>
    <row r="287" spans="1:37" x14ac:dyDescent="0.35">
      <c r="A287" t="s">
        <v>4834</v>
      </c>
      <c r="B287">
        <f t="shared" si="40"/>
        <v>10</v>
      </c>
      <c r="C287">
        <f t="shared" si="40"/>
        <v>43</v>
      </c>
      <c r="D287">
        <f t="shared" si="40"/>
        <v>54</v>
      </c>
      <c r="E287">
        <f t="shared" si="40"/>
        <v>80</v>
      </c>
      <c r="F287">
        <f t="shared" si="40"/>
        <v>124</v>
      </c>
      <c r="G287">
        <f t="shared" si="40"/>
        <v>145</v>
      </c>
      <c r="H287">
        <f t="shared" si="40"/>
        <v>177</v>
      </c>
      <c r="I287">
        <f t="shared" si="40"/>
        <v>199</v>
      </c>
      <c r="J287">
        <f t="shared" si="40"/>
        <v>232</v>
      </c>
      <c r="K287">
        <f t="shared" si="40"/>
        <v>252</v>
      </c>
      <c r="L287">
        <f t="shared" si="40"/>
        <v>283</v>
      </c>
      <c r="M287">
        <f t="shared" si="40"/>
        <v>298</v>
      </c>
      <c r="N287">
        <f t="shared" si="40"/>
        <v>310</v>
      </c>
      <c r="O287">
        <f t="shared" si="40"/>
        <v>335</v>
      </c>
      <c r="P287">
        <f t="shared" si="40"/>
        <v>353</v>
      </c>
      <c r="Q287">
        <f t="shared" si="36"/>
        <v>379</v>
      </c>
      <c r="S287" t="str">
        <f t="shared" si="37"/>
        <v>29.11.2025</v>
      </c>
      <c r="T287" t="str">
        <f t="shared" si="38"/>
        <v>18:15:00</v>
      </c>
      <c r="U287" t="str">
        <f t="shared" si="41"/>
        <v>29.11.2025 18:15:00</v>
      </c>
      <c r="V287" s="9" t="str">
        <f>MID($A287,C287+C$2+1,D287-C287-C$2-1)</f>
        <v>0</v>
      </c>
      <c r="W287" s="4">
        <f>VALUE(SUBSTITUTE(MID($A287,D287+D$2+1,E287-D287-D$2-1),",","."))</f>
        <v>0</v>
      </c>
      <c r="X287" s="4">
        <f>VALUE(SUBSTITUTE(MID($A287,E287+E$2+1,F287-E287-E$2-1),",","."))</f>
        <v>0.90957602214449496</v>
      </c>
      <c r="Y287" s="4">
        <f>VALUE(SUBSTITUTE(MID($A287,F287+F$2+1,G287-F287-F$2-1),",","."))</f>
        <v>0</v>
      </c>
      <c r="Z287" s="3">
        <f>VALUE(SUBSTITUTE(MID($A287,G287+G$2+1,H287-G287-G$2-1),",","."))</f>
        <v>0</v>
      </c>
      <c r="AA287" s="3">
        <f>VALUE(SUBSTITUTE(MID($A287,H287+H$2+1,I287-H287-H$2-1),",","."))</f>
        <v>0</v>
      </c>
      <c r="AB287" s="3">
        <f>VALUE(SUBSTITUTE(MID($A287,I287+I$2+1,J287-I287-I$2-1),",","."))</f>
        <v>0</v>
      </c>
      <c r="AC287" s="3">
        <f>VALUE(SUBSTITUTE(MID($A287,J287+J$2+1,K287-J287-J$2-1),",","."))</f>
        <v>1.85</v>
      </c>
      <c r="AD287" s="3">
        <f>VALUE(SUBSTITUTE(MID($A287,K287+K$2+1,L287-K287-K$2-1),",","."))</f>
        <v>5.76</v>
      </c>
      <c r="AE287" s="3">
        <f>VALUE(SUBSTITUTE(MID($A287,L287+L$2+1,M287-L287-L$2-1),",","."))</f>
        <v>0</v>
      </c>
      <c r="AF287" s="3">
        <f>VALUE(SUBSTITUTE(MID($A287,M287+M$2+1,N287-M287-M$2-1),",","."))</f>
        <v>0</v>
      </c>
      <c r="AG287" s="3">
        <f>VALUE(SUBSTITUTE(MID($A287,N287+N$2+1,O287-N287-N$2-1),",","."))</f>
        <v>4.2115603928936203</v>
      </c>
      <c r="AH287" t="str">
        <f>MID($A287,O287+O$2+1,P287-O287-O$2-1)</f>
        <v/>
      </c>
      <c r="AI287" s="8" t="str">
        <f>MID($A287,P287+P$2+1,Q287-P287-P$2-1)</f>
        <v>False</v>
      </c>
      <c r="AK287" t="b">
        <f t="shared" si="42"/>
        <v>0</v>
      </c>
    </row>
    <row r="288" spans="1:37" x14ac:dyDescent="0.35">
      <c r="A288" t="s">
        <v>4835</v>
      </c>
      <c r="B288">
        <f t="shared" si="40"/>
        <v>10</v>
      </c>
      <c r="C288">
        <f t="shared" si="40"/>
        <v>43</v>
      </c>
      <c r="D288">
        <f t="shared" si="40"/>
        <v>54</v>
      </c>
      <c r="E288">
        <f t="shared" si="40"/>
        <v>80</v>
      </c>
      <c r="F288">
        <f t="shared" si="40"/>
        <v>124</v>
      </c>
      <c r="G288">
        <f t="shared" si="40"/>
        <v>145</v>
      </c>
      <c r="H288">
        <f t="shared" si="40"/>
        <v>177</v>
      </c>
      <c r="I288">
        <f t="shared" si="40"/>
        <v>199</v>
      </c>
      <c r="J288">
        <f t="shared" si="40"/>
        <v>232</v>
      </c>
      <c r="K288">
        <f t="shared" si="40"/>
        <v>252</v>
      </c>
      <c r="L288">
        <f t="shared" si="40"/>
        <v>283</v>
      </c>
      <c r="M288">
        <f t="shared" si="40"/>
        <v>298</v>
      </c>
      <c r="N288">
        <f t="shared" si="40"/>
        <v>310</v>
      </c>
      <c r="O288">
        <f t="shared" si="40"/>
        <v>334</v>
      </c>
      <c r="P288">
        <f t="shared" si="40"/>
        <v>352</v>
      </c>
      <c r="Q288">
        <f t="shared" si="36"/>
        <v>378</v>
      </c>
      <c r="S288" t="str">
        <f t="shared" si="37"/>
        <v>29.11.2025</v>
      </c>
      <c r="T288" t="str">
        <f t="shared" si="38"/>
        <v>18:30:00</v>
      </c>
      <c r="U288" t="str">
        <f t="shared" si="41"/>
        <v>29.11.2025 18:30:00</v>
      </c>
      <c r="V288" s="9" t="str">
        <f>MID($A288,C288+C$2+1,D288-C288-C$2-1)</f>
        <v>0</v>
      </c>
      <c r="W288" s="4">
        <f>VALUE(SUBSTITUTE(MID($A288,D288+D$2+1,E288-D288-D$2-1),",","."))</f>
        <v>0</v>
      </c>
      <c r="X288" s="4">
        <f>VALUE(SUBSTITUTE(MID($A288,E288+E$2+1,F288-E288-E$2-1),",","."))</f>
        <v>0.90957602214449496</v>
      </c>
      <c r="Y288" s="4">
        <f>VALUE(SUBSTITUTE(MID($A288,F288+F$2+1,G288-F288-F$2-1),",","."))</f>
        <v>0</v>
      </c>
      <c r="Z288" s="3">
        <f>VALUE(SUBSTITUTE(MID($A288,G288+G$2+1,H288-G288-G$2-1),",","."))</f>
        <v>0</v>
      </c>
      <c r="AA288" s="3">
        <f>VALUE(SUBSTITUTE(MID($A288,H288+H$2+1,I288-H288-H$2-1),",","."))</f>
        <v>0</v>
      </c>
      <c r="AB288" s="3">
        <f>VALUE(SUBSTITUTE(MID($A288,I288+I$2+1,J288-I288-I$2-1),",","."))</f>
        <v>0</v>
      </c>
      <c r="AC288" s="3">
        <f>VALUE(SUBSTITUTE(MID($A288,J288+J$2+1,K288-J288-J$2-1),",","."))</f>
        <v>1.1499999999999999</v>
      </c>
      <c r="AD288" s="3">
        <f>VALUE(SUBSTITUTE(MID($A288,K288+K$2+1,L288-K288-K$2-1),",","."))</f>
        <v>6.84</v>
      </c>
      <c r="AE288" s="3">
        <f>VALUE(SUBSTITUTE(MID($A288,L288+L$2+1,M288-L288-L$2-1),",","."))</f>
        <v>0</v>
      </c>
      <c r="AF288" s="3">
        <f>VALUE(SUBSTITUTE(MID($A288,M288+M$2+1,N288-M288-M$2-1),",","."))</f>
        <v>0</v>
      </c>
      <c r="AG288" s="3">
        <f>VALUE(SUBSTITUTE(MID($A288,N288+N$2+1,O288-N288-N$2-1),",","."))</f>
        <v>4.2115889127817097</v>
      </c>
      <c r="AH288" t="str">
        <f>MID($A288,O288+O$2+1,P288-O288-O$2-1)</f>
        <v/>
      </c>
      <c r="AI288" s="8" t="str">
        <f>MID($A288,P288+P$2+1,Q288-P288-P$2-1)</f>
        <v>False</v>
      </c>
      <c r="AK288" t="b">
        <f t="shared" si="42"/>
        <v>0</v>
      </c>
    </row>
    <row r="289" spans="1:37" x14ac:dyDescent="0.35">
      <c r="A289" t="s">
        <v>4836</v>
      </c>
      <c r="B289">
        <f t="shared" si="40"/>
        <v>10</v>
      </c>
      <c r="C289">
        <f t="shared" si="40"/>
        <v>43</v>
      </c>
      <c r="D289">
        <f t="shared" si="40"/>
        <v>54</v>
      </c>
      <c r="E289">
        <f t="shared" si="40"/>
        <v>80</v>
      </c>
      <c r="F289">
        <f t="shared" si="40"/>
        <v>124</v>
      </c>
      <c r="G289">
        <f t="shared" si="40"/>
        <v>145</v>
      </c>
      <c r="H289">
        <f t="shared" si="40"/>
        <v>177</v>
      </c>
      <c r="I289">
        <f t="shared" si="40"/>
        <v>199</v>
      </c>
      <c r="J289">
        <f t="shared" si="40"/>
        <v>232</v>
      </c>
      <c r="K289">
        <f t="shared" si="40"/>
        <v>252</v>
      </c>
      <c r="L289">
        <f t="shared" si="40"/>
        <v>283</v>
      </c>
      <c r="M289">
        <f t="shared" si="40"/>
        <v>298</v>
      </c>
      <c r="N289">
        <f t="shared" si="40"/>
        <v>310</v>
      </c>
      <c r="O289">
        <f t="shared" si="40"/>
        <v>335</v>
      </c>
      <c r="P289">
        <f t="shared" si="40"/>
        <v>353</v>
      </c>
      <c r="Q289">
        <f t="shared" si="36"/>
        <v>379</v>
      </c>
      <c r="S289" t="str">
        <f t="shared" si="37"/>
        <v>29.11.2025</v>
      </c>
      <c r="T289" t="str">
        <f t="shared" si="38"/>
        <v>18:45:00</v>
      </c>
      <c r="U289" t="str">
        <f t="shared" si="41"/>
        <v>29.11.2025 18:45:00</v>
      </c>
      <c r="V289" s="9" t="str">
        <f>MID($A289,C289+C$2+1,D289-C289-C$2-1)</f>
        <v>0</v>
      </c>
      <c r="W289" s="4">
        <f>VALUE(SUBSTITUTE(MID($A289,D289+D$2+1,E289-D289-D$2-1),",","."))</f>
        <v>0</v>
      </c>
      <c r="X289" s="4">
        <f>VALUE(SUBSTITUTE(MID($A289,E289+E$2+1,F289-E289-E$2-1),",","."))</f>
        <v>0.90957602214449496</v>
      </c>
      <c r="Y289" s="4">
        <f>VALUE(SUBSTITUTE(MID($A289,F289+F$2+1,G289-F289-F$2-1),",","."))</f>
        <v>0</v>
      </c>
      <c r="Z289" s="3">
        <f>VALUE(SUBSTITUTE(MID($A289,G289+G$2+1,H289-G289-G$2-1),",","."))</f>
        <v>0</v>
      </c>
      <c r="AA289" s="3">
        <f>VALUE(SUBSTITUTE(MID($A289,H289+H$2+1,I289-H289-H$2-1),",","."))</f>
        <v>0</v>
      </c>
      <c r="AB289" s="3">
        <f>VALUE(SUBSTITUTE(MID($A289,I289+I$2+1,J289-I289-I$2-1),",","."))</f>
        <v>0</v>
      </c>
      <c r="AC289" s="3">
        <f>VALUE(SUBSTITUTE(MID($A289,J289+J$2+1,K289-J289-J$2-1),",","."))</f>
        <v>1.1499999999999999</v>
      </c>
      <c r="AD289" s="3">
        <f>VALUE(SUBSTITUTE(MID($A289,K289+K$2+1,L289-K289-K$2-1),",","."))</f>
        <v>6.84</v>
      </c>
      <c r="AE289" s="3">
        <f>VALUE(SUBSTITUTE(MID($A289,L289+L$2+1,M289-L289-L$2-1),",","."))</f>
        <v>0</v>
      </c>
      <c r="AF289" s="3">
        <f>VALUE(SUBSTITUTE(MID($A289,M289+M$2+1,N289-M289-M$2-1),",","."))</f>
        <v>0</v>
      </c>
      <c r="AG289" s="3">
        <f>VALUE(SUBSTITUTE(MID($A289,N289+N$2+1,O289-N289-N$2-1),",","."))</f>
        <v>4.2116174326697902</v>
      </c>
      <c r="AH289" t="str">
        <f>MID($A289,O289+O$2+1,P289-O289-O$2-1)</f>
        <v/>
      </c>
      <c r="AI289" s="8" t="str">
        <f>MID($A289,P289+P$2+1,Q289-P289-P$2-1)</f>
        <v>False</v>
      </c>
      <c r="AK289" t="b">
        <f t="shared" si="42"/>
        <v>0</v>
      </c>
    </row>
    <row r="290" spans="1:37" x14ac:dyDescent="0.35">
      <c r="A290" t="s">
        <v>4837</v>
      </c>
      <c r="B290">
        <f t="shared" si="40"/>
        <v>10</v>
      </c>
      <c r="C290">
        <f t="shared" si="40"/>
        <v>43</v>
      </c>
      <c r="D290">
        <f t="shared" si="40"/>
        <v>54</v>
      </c>
      <c r="E290">
        <f t="shared" si="40"/>
        <v>80</v>
      </c>
      <c r="F290">
        <f t="shared" si="40"/>
        <v>124</v>
      </c>
      <c r="G290">
        <f t="shared" si="40"/>
        <v>145</v>
      </c>
      <c r="H290">
        <f t="shared" si="40"/>
        <v>177</v>
      </c>
      <c r="I290">
        <f t="shared" si="40"/>
        <v>199</v>
      </c>
      <c r="J290">
        <f t="shared" si="40"/>
        <v>232</v>
      </c>
      <c r="K290">
        <f t="shared" si="40"/>
        <v>252</v>
      </c>
      <c r="L290">
        <f t="shared" si="40"/>
        <v>283</v>
      </c>
      <c r="M290">
        <f t="shared" si="40"/>
        <v>298</v>
      </c>
      <c r="N290">
        <f t="shared" si="40"/>
        <v>310</v>
      </c>
      <c r="O290">
        <f t="shared" si="40"/>
        <v>335</v>
      </c>
      <c r="P290">
        <f t="shared" si="40"/>
        <v>353</v>
      </c>
      <c r="Q290">
        <f t="shared" si="36"/>
        <v>379</v>
      </c>
      <c r="S290" t="str">
        <f t="shared" si="37"/>
        <v>29.11.2025</v>
      </c>
      <c r="T290" t="str">
        <f t="shared" si="38"/>
        <v>19:00:00</v>
      </c>
      <c r="U290" t="str">
        <f t="shared" si="41"/>
        <v>29.11.2025 19:00:00</v>
      </c>
      <c r="V290" s="9" t="str">
        <f>MID($A290,C290+C$2+1,D290-C290-C$2-1)</f>
        <v>0</v>
      </c>
      <c r="W290" s="4">
        <f>VALUE(SUBSTITUTE(MID($A290,D290+D$2+1,E290-D290-D$2-1),",","."))</f>
        <v>0</v>
      </c>
      <c r="X290" s="4">
        <f>VALUE(SUBSTITUTE(MID($A290,E290+E$2+1,F290-E290-E$2-1),",","."))</f>
        <v>0.90957602214449496</v>
      </c>
      <c r="Y290" s="4">
        <f>VALUE(SUBSTITUTE(MID($A290,F290+F$2+1,G290-F290-F$2-1),",","."))</f>
        <v>0</v>
      </c>
      <c r="Z290" s="3">
        <f>VALUE(SUBSTITUTE(MID($A290,G290+G$2+1,H290-G290-G$2-1),",","."))</f>
        <v>0</v>
      </c>
      <c r="AA290" s="3">
        <f>VALUE(SUBSTITUTE(MID($A290,H290+H$2+1,I290-H290-H$2-1),",","."))</f>
        <v>0</v>
      </c>
      <c r="AB290" s="3">
        <f>VALUE(SUBSTITUTE(MID($A290,I290+I$2+1,J290-I290-I$2-1),",","."))</f>
        <v>0</v>
      </c>
      <c r="AC290" s="3">
        <f>VALUE(SUBSTITUTE(MID($A290,J290+J$2+1,K290-J290-J$2-1),",","."))</f>
        <v>1.1499999999999999</v>
      </c>
      <c r="AD290" s="3">
        <f>VALUE(SUBSTITUTE(MID($A290,K290+K$2+1,L290-K290-K$2-1),",","."))</f>
        <v>6.84</v>
      </c>
      <c r="AE290" s="3">
        <f>VALUE(SUBSTITUTE(MID($A290,L290+L$2+1,M290-L290-L$2-1),",","."))</f>
        <v>0</v>
      </c>
      <c r="AF290" s="3">
        <f>VALUE(SUBSTITUTE(MID($A290,M290+M$2+1,N290-M290-M$2-1),",","."))</f>
        <v>0</v>
      </c>
      <c r="AG290" s="3">
        <f>VALUE(SUBSTITUTE(MID($A290,N290+N$2+1,O290-N290-N$2-1),",","."))</f>
        <v>4.2116459525578698</v>
      </c>
      <c r="AH290" t="str">
        <f>MID($A290,O290+O$2+1,P290-O290-O$2-1)</f>
        <v/>
      </c>
      <c r="AI290" s="8" t="str">
        <f>MID($A290,P290+P$2+1,Q290-P290-P$2-1)</f>
        <v>False</v>
      </c>
      <c r="AK290" t="b">
        <f t="shared" si="42"/>
        <v>0</v>
      </c>
    </row>
    <row r="291" spans="1:37" x14ac:dyDescent="0.35">
      <c r="A291" t="s">
        <v>4838</v>
      </c>
      <c r="B291">
        <f t="shared" si="40"/>
        <v>10</v>
      </c>
      <c r="C291">
        <f t="shared" si="40"/>
        <v>43</v>
      </c>
      <c r="D291">
        <f t="shared" si="40"/>
        <v>54</v>
      </c>
      <c r="E291">
        <f t="shared" si="40"/>
        <v>80</v>
      </c>
      <c r="F291">
        <f t="shared" si="40"/>
        <v>124</v>
      </c>
      <c r="G291">
        <f t="shared" si="40"/>
        <v>145</v>
      </c>
      <c r="H291">
        <f t="shared" si="40"/>
        <v>177</v>
      </c>
      <c r="I291">
        <f t="shared" si="40"/>
        <v>199</v>
      </c>
      <c r="J291">
        <f t="shared" si="40"/>
        <v>232</v>
      </c>
      <c r="K291">
        <f t="shared" si="40"/>
        <v>252</v>
      </c>
      <c r="L291">
        <f t="shared" si="40"/>
        <v>283</v>
      </c>
      <c r="M291">
        <f t="shared" si="40"/>
        <v>298</v>
      </c>
      <c r="N291">
        <f t="shared" si="40"/>
        <v>310</v>
      </c>
      <c r="O291">
        <f t="shared" si="40"/>
        <v>335</v>
      </c>
      <c r="P291">
        <f t="shared" si="40"/>
        <v>353</v>
      </c>
      <c r="Q291">
        <f t="shared" si="36"/>
        <v>379</v>
      </c>
      <c r="S291" t="str">
        <f t="shared" si="37"/>
        <v>29.11.2025</v>
      </c>
      <c r="T291" t="str">
        <f t="shared" si="38"/>
        <v>19:15:00</v>
      </c>
      <c r="U291" t="str">
        <f t="shared" si="41"/>
        <v>29.11.2025 19:15:00</v>
      </c>
      <c r="V291" s="9" t="str">
        <f>MID($A291,C291+C$2+1,D291-C291-C$2-1)</f>
        <v>0</v>
      </c>
      <c r="W291" s="4">
        <f>VALUE(SUBSTITUTE(MID($A291,D291+D$2+1,E291-D291-D$2-1),",","."))</f>
        <v>0</v>
      </c>
      <c r="X291" s="4">
        <f>VALUE(SUBSTITUTE(MID($A291,E291+E$2+1,F291-E291-E$2-1),",","."))</f>
        <v>0.90957602214449496</v>
      </c>
      <c r="Y291" s="4">
        <f>VALUE(SUBSTITUTE(MID($A291,F291+F$2+1,G291-F291-F$2-1),",","."))</f>
        <v>0</v>
      </c>
      <c r="Z291" s="3">
        <f>VALUE(SUBSTITUTE(MID($A291,G291+G$2+1,H291-G291-G$2-1),",","."))</f>
        <v>0</v>
      </c>
      <c r="AA291" s="3">
        <f>VALUE(SUBSTITUTE(MID($A291,H291+H$2+1,I291-H291-H$2-1),",","."))</f>
        <v>0</v>
      </c>
      <c r="AB291" s="3">
        <f>VALUE(SUBSTITUTE(MID($A291,I291+I$2+1,J291-I291-I$2-1),",","."))</f>
        <v>0</v>
      </c>
      <c r="AC291" s="3">
        <f>VALUE(SUBSTITUTE(MID($A291,J291+J$2+1,K291-J291-J$2-1),",","."))</f>
        <v>1.1499999999999999</v>
      </c>
      <c r="AD291" s="3">
        <f>VALUE(SUBSTITUTE(MID($A291,K291+K$2+1,L291-K291-K$2-1),",","."))</f>
        <v>6.84</v>
      </c>
      <c r="AE291" s="3">
        <f>VALUE(SUBSTITUTE(MID($A291,L291+L$2+1,M291-L291-L$2-1),",","."))</f>
        <v>0</v>
      </c>
      <c r="AF291" s="3">
        <f>VALUE(SUBSTITUTE(MID($A291,M291+M$2+1,N291-M291-M$2-1),",","."))</f>
        <v>0</v>
      </c>
      <c r="AG291" s="3">
        <f>VALUE(SUBSTITUTE(MID($A291,N291+N$2+1,O291-N291-N$2-1),",","."))</f>
        <v>4.2116744724459503</v>
      </c>
      <c r="AH291" t="str">
        <f>MID($A291,O291+O$2+1,P291-O291-O$2-1)</f>
        <v/>
      </c>
      <c r="AI291" s="8" t="str">
        <f>MID($A291,P291+P$2+1,Q291-P291-P$2-1)</f>
        <v>False</v>
      </c>
      <c r="AK291" t="b">
        <f t="shared" si="42"/>
        <v>0</v>
      </c>
    </row>
    <row r="292" spans="1:37" x14ac:dyDescent="0.35">
      <c r="A292" t="s">
        <v>4839</v>
      </c>
      <c r="B292">
        <f t="shared" si="40"/>
        <v>10</v>
      </c>
      <c r="C292">
        <f t="shared" si="40"/>
        <v>43</v>
      </c>
      <c r="D292">
        <f t="shared" si="40"/>
        <v>54</v>
      </c>
      <c r="E292">
        <f t="shared" si="40"/>
        <v>80</v>
      </c>
      <c r="F292">
        <f t="shared" si="40"/>
        <v>124</v>
      </c>
      <c r="G292">
        <f t="shared" si="40"/>
        <v>145</v>
      </c>
      <c r="H292">
        <f t="shared" si="40"/>
        <v>177</v>
      </c>
      <c r="I292">
        <f t="shared" si="40"/>
        <v>199</v>
      </c>
      <c r="J292">
        <f t="shared" si="40"/>
        <v>232</v>
      </c>
      <c r="K292">
        <f t="shared" si="40"/>
        <v>252</v>
      </c>
      <c r="L292">
        <f t="shared" si="40"/>
        <v>270</v>
      </c>
      <c r="M292">
        <f t="shared" si="40"/>
        <v>285</v>
      </c>
      <c r="N292">
        <f t="shared" si="40"/>
        <v>297</v>
      </c>
      <c r="O292">
        <f t="shared" si="40"/>
        <v>322</v>
      </c>
      <c r="P292">
        <f t="shared" si="40"/>
        <v>340</v>
      </c>
      <c r="Q292">
        <f t="shared" si="36"/>
        <v>366</v>
      </c>
      <c r="S292" t="str">
        <f t="shared" si="37"/>
        <v>29.11.2025</v>
      </c>
      <c r="T292" t="str">
        <f t="shared" si="38"/>
        <v>19:30:00</v>
      </c>
      <c r="U292" t="str">
        <f t="shared" si="41"/>
        <v>29.11.2025 19:30:00</v>
      </c>
      <c r="V292" s="9" t="str">
        <f>MID($A292,C292+C$2+1,D292-C292-C$2-1)</f>
        <v>0</v>
      </c>
      <c r="W292" s="4">
        <f>VALUE(SUBSTITUTE(MID($A292,D292+D$2+1,E292-D292-D$2-1),",","."))</f>
        <v>0</v>
      </c>
      <c r="X292" s="4">
        <f>VALUE(SUBSTITUTE(MID($A292,E292+E$2+1,F292-E292-E$2-1),",","."))</f>
        <v>0.90957602214449496</v>
      </c>
      <c r="Y292" s="4">
        <f>VALUE(SUBSTITUTE(MID($A292,F292+F$2+1,G292-F292-F$2-1),",","."))</f>
        <v>0</v>
      </c>
      <c r="Z292" s="3">
        <f>VALUE(SUBSTITUTE(MID($A292,G292+G$2+1,H292-G292-G$2-1),",","."))</f>
        <v>0</v>
      </c>
      <c r="AA292" s="3">
        <f>VALUE(SUBSTITUTE(MID($A292,H292+H$2+1,I292-H292-H$2-1),",","."))</f>
        <v>0</v>
      </c>
      <c r="AB292" s="3">
        <f>VALUE(SUBSTITUTE(MID($A292,I292+I$2+1,J292-I292-I$2-1),",","."))</f>
        <v>0</v>
      </c>
      <c r="AC292" s="3">
        <f>VALUE(SUBSTITUTE(MID($A292,J292+J$2+1,K292-J292-J$2-1),",","."))</f>
        <v>0.35</v>
      </c>
      <c r="AD292" s="3">
        <f>VALUE(SUBSTITUTE(MID($A292,K292+K$2+1,L292-K292-K$2-1),",","."))</f>
        <v>7.74</v>
      </c>
      <c r="AE292" s="3">
        <f>VALUE(SUBSTITUTE(MID($A292,L292+L$2+1,M292-L292-L$2-1),",","."))</f>
        <v>0</v>
      </c>
      <c r="AF292" s="3">
        <f>VALUE(SUBSTITUTE(MID($A292,M292+M$2+1,N292-M292-M$2-1),",","."))</f>
        <v>0</v>
      </c>
      <c r="AG292" s="3">
        <f>VALUE(SUBSTITUTE(MID($A292,N292+N$2+1,O292-N292-N$2-1),",","."))</f>
        <v>4.2117029923340299</v>
      </c>
      <c r="AH292" t="str">
        <f>MID($A292,O292+O$2+1,P292-O292-O$2-1)</f>
        <v/>
      </c>
      <c r="AI292" s="8" t="str">
        <f>MID($A292,P292+P$2+1,Q292-P292-P$2-1)</f>
        <v>False</v>
      </c>
      <c r="AK292" t="b">
        <f t="shared" si="42"/>
        <v>0</v>
      </c>
    </row>
    <row r="293" spans="1:37" x14ac:dyDescent="0.35">
      <c r="A293" t="s">
        <v>4840</v>
      </c>
      <c r="B293">
        <f t="shared" si="40"/>
        <v>10</v>
      </c>
      <c r="C293">
        <f t="shared" si="40"/>
        <v>43</v>
      </c>
      <c r="D293">
        <f t="shared" si="40"/>
        <v>54</v>
      </c>
      <c r="E293">
        <f t="shared" si="40"/>
        <v>80</v>
      </c>
      <c r="F293">
        <f t="shared" si="40"/>
        <v>124</v>
      </c>
      <c r="G293">
        <f t="shared" si="40"/>
        <v>145</v>
      </c>
      <c r="H293">
        <f t="shared" si="40"/>
        <v>177</v>
      </c>
      <c r="I293">
        <f t="shared" si="40"/>
        <v>199</v>
      </c>
      <c r="J293">
        <f t="shared" si="40"/>
        <v>232</v>
      </c>
      <c r="K293">
        <f t="shared" si="40"/>
        <v>252</v>
      </c>
      <c r="L293">
        <f t="shared" si="40"/>
        <v>270</v>
      </c>
      <c r="M293">
        <f t="shared" si="40"/>
        <v>285</v>
      </c>
      <c r="N293">
        <f t="shared" si="40"/>
        <v>297</v>
      </c>
      <c r="O293">
        <f t="shared" si="40"/>
        <v>323</v>
      </c>
      <c r="P293">
        <f t="shared" si="40"/>
        <v>341</v>
      </c>
      <c r="Q293">
        <f t="shared" si="36"/>
        <v>367</v>
      </c>
      <c r="S293" t="str">
        <f t="shared" si="37"/>
        <v>29.11.2025</v>
      </c>
      <c r="T293" t="str">
        <f t="shared" si="38"/>
        <v>19:45:00</v>
      </c>
      <c r="U293" t="str">
        <f t="shared" si="41"/>
        <v>29.11.2025 19:45:00</v>
      </c>
      <c r="V293" s="9" t="str">
        <f>MID($A293,C293+C$2+1,D293-C293-C$2-1)</f>
        <v>0</v>
      </c>
      <c r="W293" s="4">
        <f>VALUE(SUBSTITUTE(MID($A293,D293+D$2+1,E293-D293-D$2-1),",","."))</f>
        <v>0</v>
      </c>
      <c r="X293" s="4">
        <f>VALUE(SUBSTITUTE(MID($A293,E293+E$2+1,F293-E293-E$2-1),",","."))</f>
        <v>0.90957602214449496</v>
      </c>
      <c r="Y293" s="4">
        <f>VALUE(SUBSTITUTE(MID($A293,F293+F$2+1,G293-F293-F$2-1),",","."))</f>
        <v>0</v>
      </c>
      <c r="Z293" s="3">
        <f>VALUE(SUBSTITUTE(MID($A293,G293+G$2+1,H293-G293-G$2-1),",","."))</f>
        <v>0</v>
      </c>
      <c r="AA293" s="3">
        <f>VALUE(SUBSTITUTE(MID($A293,H293+H$2+1,I293-H293-H$2-1),",","."))</f>
        <v>0</v>
      </c>
      <c r="AB293" s="3">
        <f>VALUE(SUBSTITUTE(MID($A293,I293+I$2+1,J293-I293-I$2-1),",","."))</f>
        <v>0</v>
      </c>
      <c r="AC293" s="3">
        <f>VALUE(SUBSTITUTE(MID($A293,J293+J$2+1,K293-J293-J$2-1),",","."))</f>
        <v>0.35</v>
      </c>
      <c r="AD293" s="3">
        <f>VALUE(SUBSTITUTE(MID($A293,K293+K$2+1,L293-K293-K$2-1),",","."))</f>
        <v>7.74</v>
      </c>
      <c r="AE293" s="3">
        <f>VALUE(SUBSTITUTE(MID($A293,L293+L$2+1,M293-L293-L$2-1),",","."))</f>
        <v>0</v>
      </c>
      <c r="AF293" s="3">
        <f>VALUE(SUBSTITUTE(MID($A293,M293+M$2+1,N293-M293-M$2-1),",","."))</f>
        <v>0</v>
      </c>
      <c r="AG293" s="3">
        <f>VALUE(SUBSTITUTE(MID($A293,N293+N$2+1,O293-N293-N$2-1),",","."))</f>
        <v>4.2117315122221104</v>
      </c>
      <c r="AH293" t="str">
        <f>MID($A293,O293+O$2+1,P293-O293-O$2-1)</f>
        <v/>
      </c>
      <c r="AI293" s="8" t="str">
        <f>MID($A293,P293+P$2+1,Q293-P293-P$2-1)</f>
        <v>False</v>
      </c>
      <c r="AK293" t="b">
        <f t="shared" si="42"/>
        <v>0</v>
      </c>
    </row>
    <row r="294" spans="1:37" x14ac:dyDescent="0.35">
      <c r="A294" t="s">
        <v>4841</v>
      </c>
      <c r="B294">
        <f t="shared" si="40"/>
        <v>10</v>
      </c>
      <c r="C294">
        <f t="shared" si="40"/>
        <v>43</v>
      </c>
      <c r="D294">
        <f t="shared" si="40"/>
        <v>54</v>
      </c>
      <c r="E294">
        <f t="shared" si="40"/>
        <v>80</v>
      </c>
      <c r="F294">
        <f t="shared" si="40"/>
        <v>124</v>
      </c>
      <c r="G294">
        <f t="shared" si="40"/>
        <v>145</v>
      </c>
      <c r="H294">
        <f t="shared" si="40"/>
        <v>177</v>
      </c>
      <c r="I294">
        <f t="shared" si="40"/>
        <v>199</v>
      </c>
      <c r="J294">
        <f t="shared" si="40"/>
        <v>232</v>
      </c>
      <c r="K294">
        <f t="shared" si="40"/>
        <v>252</v>
      </c>
      <c r="L294">
        <f t="shared" si="40"/>
        <v>270</v>
      </c>
      <c r="M294">
        <f t="shared" si="40"/>
        <v>285</v>
      </c>
      <c r="N294">
        <f t="shared" si="40"/>
        <v>297</v>
      </c>
      <c r="O294">
        <f t="shared" si="40"/>
        <v>320</v>
      </c>
      <c r="P294">
        <f t="shared" si="40"/>
        <v>338</v>
      </c>
      <c r="Q294">
        <f t="shared" si="36"/>
        <v>364</v>
      </c>
      <c r="S294" t="str">
        <f t="shared" si="37"/>
        <v>29.11.2025</v>
      </c>
      <c r="T294" t="str">
        <f t="shared" si="38"/>
        <v>20:00:00</v>
      </c>
      <c r="U294" t="str">
        <f t="shared" si="41"/>
        <v>29.11.2025 20:00:00</v>
      </c>
      <c r="V294" s="9" t="str">
        <f>MID($A294,C294+C$2+1,D294-C294-C$2-1)</f>
        <v>0</v>
      </c>
      <c r="W294" s="4">
        <f>VALUE(SUBSTITUTE(MID($A294,D294+D$2+1,E294-D294-D$2-1),",","."))</f>
        <v>0</v>
      </c>
      <c r="X294" s="4">
        <f>VALUE(SUBSTITUTE(MID($A294,E294+E$2+1,F294-E294-E$2-1),",","."))</f>
        <v>0.90957602214449496</v>
      </c>
      <c r="Y294" s="4">
        <f>VALUE(SUBSTITUTE(MID($A294,F294+F$2+1,G294-F294-F$2-1),",","."))</f>
        <v>0</v>
      </c>
      <c r="Z294" s="3">
        <f>VALUE(SUBSTITUTE(MID($A294,G294+G$2+1,H294-G294-G$2-1),",","."))</f>
        <v>0</v>
      </c>
      <c r="AA294" s="3">
        <f>VALUE(SUBSTITUTE(MID($A294,H294+H$2+1,I294-H294-H$2-1),",","."))</f>
        <v>0</v>
      </c>
      <c r="AB294" s="3">
        <f>VALUE(SUBSTITUTE(MID($A294,I294+I$2+1,J294-I294-I$2-1),",","."))</f>
        <v>0</v>
      </c>
      <c r="AC294" s="3">
        <f>VALUE(SUBSTITUTE(MID($A294,J294+J$2+1,K294-J294-J$2-1),",","."))</f>
        <v>0.35</v>
      </c>
      <c r="AD294" s="3">
        <f>VALUE(SUBSTITUTE(MID($A294,K294+K$2+1,L294-K294-K$2-1),",","."))</f>
        <v>7.74</v>
      </c>
      <c r="AE294" s="3">
        <f>VALUE(SUBSTITUTE(MID($A294,L294+L$2+1,M294-L294-L$2-1),",","."))</f>
        <v>0</v>
      </c>
      <c r="AF294" s="3">
        <f>VALUE(SUBSTITUTE(MID($A294,M294+M$2+1,N294-M294-M$2-1),",","."))</f>
        <v>0</v>
      </c>
      <c r="AG294" s="3">
        <f>VALUE(SUBSTITUTE(MID($A294,N294+N$2+1,O294-N294-N$2-1),",","."))</f>
        <v>4.2117600321101998</v>
      </c>
      <c r="AH294" t="str">
        <f>MID($A294,O294+O$2+1,P294-O294-O$2-1)</f>
        <v/>
      </c>
      <c r="AI294" s="8" t="str">
        <f>MID($A294,P294+P$2+1,Q294-P294-P$2-1)</f>
        <v>False</v>
      </c>
      <c r="AK294" t="b">
        <f t="shared" si="42"/>
        <v>0</v>
      </c>
    </row>
    <row r="295" spans="1:37" x14ac:dyDescent="0.35">
      <c r="A295" t="s">
        <v>4842</v>
      </c>
      <c r="B295">
        <f t="shared" si="40"/>
        <v>10</v>
      </c>
      <c r="C295">
        <f t="shared" si="40"/>
        <v>43</v>
      </c>
      <c r="D295">
        <f t="shared" si="40"/>
        <v>54</v>
      </c>
      <c r="E295">
        <f t="shared" si="40"/>
        <v>80</v>
      </c>
      <c r="F295">
        <f t="shared" si="40"/>
        <v>124</v>
      </c>
      <c r="G295">
        <f t="shared" si="40"/>
        <v>145</v>
      </c>
      <c r="H295">
        <f t="shared" si="40"/>
        <v>177</v>
      </c>
      <c r="I295">
        <f t="shared" si="40"/>
        <v>199</v>
      </c>
      <c r="J295">
        <f t="shared" si="40"/>
        <v>232</v>
      </c>
      <c r="K295">
        <f t="shared" si="40"/>
        <v>252</v>
      </c>
      <c r="L295">
        <f t="shared" si="40"/>
        <v>270</v>
      </c>
      <c r="M295">
        <f t="shared" si="40"/>
        <v>285</v>
      </c>
      <c r="N295">
        <f t="shared" si="40"/>
        <v>297</v>
      </c>
      <c r="O295">
        <f t="shared" si="40"/>
        <v>322</v>
      </c>
      <c r="P295">
        <f t="shared" si="40"/>
        <v>340</v>
      </c>
      <c r="Q295">
        <f t="shared" si="36"/>
        <v>366</v>
      </c>
      <c r="S295" t="str">
        <f t="shared" si="37"/>
        <v>29.11.2025</v>
      </c>
      <c r="T295" t="str">
        <f t="shared" si="38"/>
        <v>20:15:00</v>
      </c>
      <c r="U295" t="str">
        <f t="shared" si="41"/>
        <v>29.11.2025 20:15:00</v>
      </c>
      <c r="V295" s="9" t="str">
        <f>MID($A295,C295+C$2+1,D295-C295-C$2-1)</f>
        <v>0</v>
      </c>
      <c r="W295" s="4">
        <f>VALUE(SUBSTITUTE(MID($A295,D295+D$2+1,E295-D295-D$2-1),",","."))</f>
        <v>0</v>
      </c>
      <c r="X295" s="4">
        <f>VALUE(SUBSTITUTE(MID($A295,E295+E$2+1,F295-E295-E$2-1),",","."))</f>
        <v>0.90957602214449496</v>
      </c>
      <c r="Y295" s="4">
        <f>VALUE(SUBSTITUTE(MID($A295,F295+F$2+1,G295-F295-F$2-1),",","."))</f>
        <v>0</v>
      </c>
      <c r="Z295" s="3">
        <f>VALUE(SUBSTITUTE(MID($A295,G295+G$2+1,H295-G295-G$2-1),",","."))</f>
        <v>0</v>
      </c>
      <c r="AA295" s="3">
        <f>VALUE(SUBSTITUTE(MID($A295,H295+H$2+1,I295-H295-H$2-1),",","."))</f>
        <v>0</v>
      </c>
      <c r="AB295" s="3">
        <f>VALUE(SUBSTITUTE(MID($A295,I295+I$2+1,J295-I295-I$2-1),",","."))</f>
        <v>0</v>
      </c>
      <c r="AC295" s="3">
        <f>VALUE(SUBSTITUTE(MID($A295,J295+J$2+1,K295-J295-J$2-1),",","."))</f>
        <v>0.35</v>
      </c>
      <c r="AD295" s="3">
        <f>VALUE(SUBSTITUTE(MID($A295,K295+K$2+1,L295-K295-K$2-1),",","."))</f>
        <v>7.74</v>
      </c>
      <c r="AE295" s="3">
        <f>VALUE(SUBSTITUTE(MID($A295,L295+L$2+1,M295-L295-L$2-1),",","."))</f>
        <v>0</v>
      </c>
      <c r="AF295" s="3">
        <f>VALUE(SUBSTITUTE(MID($A295,M295+M$2+1,N295-M295-M$2-1),",","."))</f>
        <v>0</v>
      </c>
      <c r="AG295" s="3">
        <f>VALUE(SUBSTITUTE(MID($A295,N295+N$2+1,O295-N295-N$2-1),",","."))</f>
        <v>4.2117885519982803</v>
      </c>
      <c r="AH295" t="str">
        <f>MID($A295,O295+O$2+1,P295-O295-O$2-1)</f>
        <v/>
      </c>
      <c r="AI295" s="8" t="str">
        <f>MID($A295,P295+P$2+1,Q295-P295-P$2-1)</f>
        <v>False</v>
      </c>
      <c r="AK295" t="b">
        <f t="shared" si="42"/>
        <v>0</v>
      </c>
    </row>
    <row r="296" spans="1:37" x14ac:dyDescent="0.35">
      <c r="A296" t="s">
        <v>4843</v>
      </c>
      <c r="B296">
        <f t="shared" ref="B296:Q312" si="43">FIND(B$1,$A296)</f>
        <v>10</v>
      </c>
      <c r="C296">
        <f t="shared" si="43"/>
        <v>43</v>
      </c>
      <c r="D296">
        <f t="shared" si="43"/>
        <v>54</v>
      </c>
      <c r="E296">
        <f t="shared" si="43"/>
        <v>80</v>
      </c>
      <c r="F296">
        <f t="shared" si="43"/>
        <v>124</v>
      </c>
      <c r="G296">
        <f t="shared" si="43"/>
        <v>145</v>
      </c>
      <c r="H296">
        <f t="shared" si="43"/>
        <v>177</v>
      </c>
      <c r="I296">
        <f t="shared" si="43"/>
        <v>199</v>
      </c>
      <c r="J296">
        <f t="shared" si="43"/>
        <v>234</v>
      </c>
      <c r="K296">
        <f t="shared" si="43"/>
        <v>255</v>
      </c>
      <c r="L296">
        <f t="shared" si="43"/>
        <v>270</v>
      </c>
      <c r="M296">
        <f t="shared" si="43"/>
        <v>285</v>
      </c>
      <c r="N296">
        <f t="shared" si="43"/>
        <v>297</v>
      </c>
      <c r="O296">
        <f t="shared" si="43"/>
        <v>322</v>
      </c>
      <c r="P296">
        <f t="shared" si="43"/>
        <v>340</v>
      </c>
      <c r="Q296">
        <f t="shared" si="36"/>
        <v>366</v>
      </c>
      <c r="S296" t="str">
        <f t="shared" si="37"/>
        <v>29.11.2025</v>
      </c>
      <c r="T296" t="str">
        <f t="shared" si="38"/>
        <v>20:30:00</v>
      </c>
      <c r="U296" t="str">
        <f t="shared" si="41"/>
        <v>29.11.2025 20:30:00</v>
      </c>
      <c r="V296" s="9" t="str">
        <f>MID($A296,C296+C$2+1,D296-C296-C$2-1)</f>
        <v>0</v>
      </c>
      <c r="W296" s="4">
        <f>VALUE(SUBSTITUTE(MID($A296,D296+D$2+1,E296-D296-D$2-1),",","."))</f>
        <v>0</v>
      </c>
      <c r="X296" s="4">
        <f>VALUE(SUBSTITUTE(MID($A296,E296+E$2+1,F296-E296-E$2-1),",","."))</f>
        <v>0.90957602214449496</v>
      </c>
      <c r="Y296" s="4">
        <f>VALUE(SUBSTITUTE(MID($A296,F296+F$2+1,G296-F296-F$2-1),",","."))</f>
        <v>0</v>
      </c>
      <c r="Z296" s="3">
        <f>VALUE(SUBSTITUTE(MID($A296,G296+G$2+1,H296-G296-G$2-1),",","."))</f>
        <v>0</v>
      </c>
      <c r="AA296" s="3">
        <f>VALUE(SUBSTITUTE(MID($A296,H296+H$2+1,I296-H296-H$2-1),",","."))</f>
        <v>0</v>
      </c>
      <c r="AB296" s="3">
        <f>VALUE(SUBSTITUTE(MID($A296,I296+I$2+1,J296-I296-I$2-1),",","."))</f>
        <v>0.5</v>
      </c>
      <c r="AC296" s="3">
        <f>VALUE(SUBSTITUTE(MID($A296,J296+J$2+1,K296-J296-J$2-1),",","."))</f>
        <v>-0.35</v>
      </c>
      <c r="AD296" s="3">
        <f>VALUE(SUBSTITUTE(MID($A296,K296+K$2+1,L296-K296-K$2-1),",","."))</f>
        <v>9</v>
      </c>
      <c r="AE296" s="3">
        <f>VALUE(SUBSTITUTE(MID($A296,L296+L$2+1,M296-L296-L$2-1),",","."))</f>
        <v>0</v>
      </c>
      <c r="AF296" s="3">
        <f>VALUE(SUBSTITUTE(MID($A296,M296+M$2+1,N296-M296-M$2-1),",","."))</f>
        <v>0</v>
      </c>
      <c r="AG296" s="3">
        <f>VALUE(SUBSTITUTE(MID($A296,N296+N$2+1,O296-N296-N$2-1),",","."))</f>
        <v>4.2118170718863599</v>
      </c>
      <c r="AH296" t="str">
        <f>MID($A296,O296+O$2+1,P296-O296-O$2-1)</f>
        <v/>
      </c>
      <c r="AI296" s="8" t="str">
        <f>MID($A296,P296+P$2+1,Q296-P296-P$2-1)</f>
        <v>False</v>
      </c>
      <c r="AK296" t="b">
        <f t="shared" si="42"/>
        <v>1</v>
      </c>
    </row>
    <row r="297" spans="1:37" x14ac:dyDescent="0.35">
      <c r="A297" t="s">
        <v>4844</v>
      </c>
      <c r="B297">
        <f t="shared" si="43"/>
        <v>10</v>
      </c>
      <c r="C297">
        <f t="shared" si="43"/>
        <v>43</v>
      </c>
      <c r="D297">
        <f t="shared" si="43"/>
        <v>54</v>
      </c>
      <c r="E297">
        <f t="shared" si="43"/>
        <v>80</v>
      </c>
      <c r="F297">
        <f t="shared" si="43"/>
        <v>124</v>
      </c>
      <c r="G297">
        <f t="shared" si="43"/>
        <v>145</v>
      </c>
      <c r="H297">
        <f t="shared" si="43"/>
        <v>177</v>
      </c>
      <c r="I297">
        <f t="shared" si="43"/>
        <v>199</v>
      </c>
      <c r="J297">
        <f t="shared" si="43"/>
        <v>234</v>
      </c>
      <c r="K297">
        <f t="shared" si="43"/>
        <v>255</v>
      </c>
      <c r="L297">
        <f t="shared" si="43"/>
        <v>270</v>
      </c>
      <c r="M297">
        <f t="shared" si="43"/>
        <v>285</v>
      </c>
      <c r="N297">
        <f t="shared" si="43"/>
        <v>297</v>
      </c>
      <c r="O297">
        <f t="shared" si="43"/>
        <v>322</v>
      </c>
      <c r="P297">
        <f t="shared" si="43"/>
        <v>340</v>
      </c>
      <c r="Q297">
        <f t="shared" si="36"/>
        <v>366</v>
      </c>
      <c r="S297" t="str">
        <f t="shared" si="37"/>
        <v>29.11.2025</v>
      </c>
      <c r="T297" t="str">
        <f t="shared" si="38"/>
        <v>20:45:00</v>
      </c>
      <c r="U297" t="str">
        <f t="shared" si="41"/>
        <v>29.11.2025 20:45:00</v>
      </c>
      <c r="V297" s="9" t="str">
        <f>MID($A297,C297+C$2+1,D297-C297-C$2-1)</f>
        <v>0</v>
      </c>
      <c r="W297" s="4">
        <f>VALUE(SUBSTITUTE(MID($A297,D297+D$2+1,E297-D297-D$2-1),",","."))</f>
        <v>0</v>
      </c>
      <c r="X297" s="4">
        <f>VALUE(SUBSTITUTE(MID($A297,E297+E$2+1,F297-E297-E$2-1),",","."))</f>
        <v>0.90957602214449496</v>
      </c>
      <c r="Y297" s="4">
        <f>VALUE(SUBSTITUTE(MID($A297,F297+F$2+1,G297-F297-F$2-1),",","."))</f>
        <v>0</v>
      </c>
      <c r="Z297" s="3">
        <f>VALUE(SUBSTITUTE(MID($A297,G297+G$2+1,H297-G297-G$2-1),",","."))</f>
        <v>0</v>
      </c>
      <c r="AA297" s="3">
        <f>VALUE(SUBSTITUTE(MID($A297,H297+H$2+1,I297-H297-H$2-1),",","."))</f>
        <v>0</v>
      </c>
      <c r="AB297" s="3">
        <f>VALUE(SUBSTITUTE(MID($A297,I297+I$2+1,J297-I297-I$2-1),",","."))</f>
        <v>0.5</v>
      </c>
      <c r="AC297" s="3">
        <f>VALUE(SUBSTITUTE(MID($A297,J297+J$2+1,K297-J297-J$2-1),",","."))</f>
        <v>-0.35</v>
      </c>
      <c r="AD297" s="3">
        <f>VALUE(SUBSTITUTE(MID($A297,K297+K$2+1,L297-K297-K$2-1),",","."))</f>
        <v>9</v>
      </c>
      <c r="AE297" s="3">
        <f>VALUE(SUBSTITUTE(MID($A297,L297+L$2+1,M297-L297-L$2-1),",","."))</f>
        <v>0</v>
      </c>
      <c r="AF297" s="3">
        <f>VALUE(SUBSTITUTE(MID($A297,M297+M$2+1,N297-M297-M$2-1),",","."))</f>
        <v>0</v>
      </c>
      <c r="AG297" s="3">
        <f>VALUE(SUBSTITUTE(MID($A297,N297+N$2+1,O297-N297-N$2-1),",","."))</f>
        <v>4.2118455917744404</v>
      </c>
      <c r="AH297" t="str">
        <f>MID($A297,O297+O$2+1,P297-O297-O$2-1)</f>
        <v/>
      </c>
      <c r="AI297" s="8" t="str">
        <f>MID($A297,P297+P$2+1,Q297-P297-P$2-1)</f>
        <v>False</v>
      </c>
      <c r="AK297" t="b">
        <f t="shared" si="42"/>
        <v>1</v>
      </c>
    </row>
    <row r="298" spans="1:37" x14ac:dyDescent="0.35">
      <c r="A298" t="s">
        <v>4845</v>
      </c>
      <c r="B298">
        <f t="shared" si="43"/>
        <v>10</v>
      </c>
      <c r="C298">
        <f t="shared" si="43"/>
        <v>43</v>
      </c>
      <c r="D298">
        <f t="shared" si="43"/>
        <v>54</v>
      </c>
      <c r="E298">
        <f t="shared" si="43"/>
        <v>80</v>
      </c>
      <c r="F298">
        <f t="shared" si="43"/>
        <v>124</v>
      </c>
      <c r="G298">
        <f t="shared" si="43"/>
        <v>145</v>
      </c>
      <c r="H298">
        <f t="shared" si="43"/>
        <v>177</v>
      </c>
      <c r="I298">
        <f t="shared" si="43"/>
        <v>199</v>
      </c>
      <c r="J298">
        <f t="shared" si="43"/>
        <v>234</v>
      </c>
      <c r="K298">
        <f t="shared" si="43"/>
        <v>255</v>
      </c>
      <c r="L298">
        <f t="shared" si="43"/>
        <v>270</v>
      </c>
      <c r="M298">
        <f t="shared" si="43"/>
        <v>285</v>
      </c>
      <c r="N298">
        <f t="shared" si="43"/>
        <v>297</v>
      </c>
      <c r="O298">
        <f t="shared" si="43"/>
        <v>322</v>
      </c>
      <c r="P298">
        <f t="shared" si="43"/>
        <v>340</v>
      </c>
      <c r="Q298">
        <f t="shared" si="36"/>
        <v>366</v>
      </c>
      <c r="S298" t="str">
        <f t="shared" si="37"/>
        <v>29.11.2025</v>
      </c>
      <c r="T298" t="str">
        <f t="shared" si="38"/>
        <v>21:00:00</v>
      </c>
      <c r="U298" t="str">
        <f t="shared" si="41"/>
        <v>29.11.2025 21:00:00</v>
      </c>
      <c r="V298" s="9" t="str">
        <f>MID($A298,C298+C$2+1,D298-C298-C$2-1)</f>
        <v>0</v>
      </c>
      <c r="W298" s="4">
        <f>VALUE(SUBSTITUTE(MID($A298,D298+D$2+1,E298-D298-D$2-1),",","."))</f>
        <v>0</v>
      </c>
      <c r="X298" s="4">
        <f>VALUE(SUBSTITUTE(MID($A298,E298+E$2+1,F298-E298-E$2-1),",","."))</f>
        <v>0.90957602214449496</v>
      </c>
      <c r="Y298" s="4">
        <f>VALUE(SUBSTITUTE(MID($A298,F298+F$2+1,G298-F298-F$2-1),",","."))</f>
        <v>0</v>
      </c>
      <c r="Z298" s="3">
        <f>VALUE(SUBSTITUTE(MID($A298,G298+G$2+1,H298-G298-G$2-1),",","."))</f>
        <v>0</v>
      </c>
      <c r="AA298" s="3">
        <f>VALUE(SUBSTITUTE(MID($A298,H298+H$2+1,I298-H298-H$2-1),",","."))</f>
        <v>0</v>
      </c>
      <c r="AB298" s="3">
        <f>VALUE(SUBSTITUTE(MID($A298,I298+I$2+1,J298-I298-I$2-1),",","."))</f>
        <v>0.5</v>
      </c>
      <c r="AC298" s="3">
        <f>VALUE(SUBSTITUTE(MID($A298,J298+J$2+1,K298-J298-J$2-1),",","."))</f>
        <v>-0.35</v>
      </c>
      <c r="AD298" s="3">
        <f>VALUE(SUBSTITUTE(MID($A298,K298+K$2+1,L298-K298-K$2-1),",","."))</f>
        <v>9</v>
      </c>
      <c r="AE298" s="3">
        <f>VALUE(SUBSTITUTE(MID($A298,L298+L$2+1,M298-L298-L$2-1),",","."))</f>
        <v>0</v>
      </c>
      <c r="AF298" s="3">
        <f>VALUE(SUBSTITUTE(MID($A298,M298+M$2+1,N298-M298-M$2-1),",","."))</f>
        <v>0</v>
      </c>
      <c r="AG298" s="3">
        <f>VALUE(SUBSTITUTE(MID($A298,N298+N$2+1,O298-N298-N$2-1),",","."))</f>
        <v>4.21187411166252</v>
      </c>
      <c r="AH298" t="str">
        <f>MID($A298,O298+O$2+1,P298-O298-O$2-1)</f>
        <v/>
      </c>
      <c r="AI298" s="8" t="str">
        <f>MID($A298,P298+P$2+1,Q298-P298-P$2-1)</f>
        <v>False</v>
      </c>
      <c r="AK298" t="b">
        <f t="shared" si="42"/>
        <v>1</v>
      </c>
    </row>
    <row r="299" spans="1:37" x14ac:dyDescent="0.35">
      <c r="A299" t="s">
        <v>4846</v>
      </c>
      <c r="B299">
        <f t="shared" si="43"/>
        <v>10</v>
      </c>
      <c r="C299">
        <f t="shared" si="43"/>
        <v>43</v>
      </c>
      <c r="D299">
        <f t="shared" si="43"/>
        <v>54</v>
      </c>
      <c r="E299">
        <f t="shared" si="43"/>
        <v>80</v>
      </c>
      <c r="F299">
        <f t="shared" si="43"/>
        <v>124</v>
      </c>
      <c r="G299">
        <f t="shared" si="43"/>
        <v>145</v>
      </c>
      <c r="H299">
        <f t="shared" si="43"/>
        <v>177</v>
      </c>
      <c r="I299">
        <f t="shared" si="43"/>
        <v>199</v>
      </c>
      <c r="J299">
        <f t="shared" si="43"/>
        <v>234</v>
      </c>
      <c r="K299">
        <f t="shared" si="43"/>
        <v>255</v>
      </c>
      <c r="L299">
        <f t="shared" si="43"/>
        <v>270</v>
      </c>
      <c r="M299">
        <f t="shared" si="43"/>
        <v>285</v>
      </c>
      <c r="N299">
        <f t="shared" si="43"/>
        <v>297</v>
      </c>
      <c r="O299">
        <f t="shared" si="43"/>
        <v>322</v>
      </c>
      <c r="P299">
        <f t="shared" si="43"/>
        <v>340</v>
      </c>
      <c r="Q299">
        <f t="shared" si="36"/>
        <v>366</v>
      </c>
      <c r="S299" t="str">
        <f t="shared" si="37"/>
        <v>29.11.2025</v>
      </c>
      <c r="T299" t="str">
        <f t="shared" si="38"/>
        <v>21:15:00</v>
      </c>
      <c r="U299" t="str">
        <f t="shared" si="41"/>
        <v>29.11.2025 21:15:00</v>
      </c>
      <c r="V299" s="9" t="str">
        <f>MID($A299,C299+C$2+1,D299-C299-C$2-1)</f>
        <v>0</v>
      </c>
      <c r="W299" s="4">
        <f>VALUE(SUBSTITUTE(MID($A299,D299+D$2+1,E299-D299-D$2-1),",","."))</f>
        <v>0</v>
      </c>
      <c r="X299" s="4">
        <f>VALUE(SUBSTITUTE(MID($A299,E299+E$2+1,F299-E299-E$2-1),",","."))</f>
        <v>0.90957602214449496</v>
      </c>
      <c r="Y299" s="4">
        <f>VALUE(SUBSTITUTE(MID($A299,F299+F$2+1,G299-F299-F$2-1),",","."))</f>
        <v>0</v>
      </c>
      <c r="Z299" s="3">
        <f>VALUE(SUBSTITUTE(MID($A299,G299+G$2+1,H299-G299-G$2-1),",","."))</f>
        <v>0</v>
      </c>
      <c r="AA299" s="3">
        <f>VALUE(SUBSTITUTE(MID($A299,H299+H$2+1,I299-H299-H$2-1),",","."))</f>
        <v>0</v>
      </c>
      <c r="AB299" s="3">
        <f>VALUE(SUBSTITUTE(MID($A299,I299+I$2+1,J299-I299-I$2-1),",","."))</f>
        <v>0.5</v>
      </c>
      <c r="AC299" s="3">
        <f>VALUE(SUBSTITUTE(MID($A299,J299+J$2+1,K299-J299-J$2-1),",","."))</f>
        <v>-0.35</v>
      </c>
      <c r="AD299" s="3">
        <f>VALUE(SUBSTITUTE(MID($A299,K299+K$2+1,L299-K299-K$2-1),",","."))</f>
        <v>9</v>
      </c>
      <c r="AE299" s="3">
        <f>VALUE(SUBSTITUTE(MID($A299,L299+L$2+1,M299-L299-L$2-1),",","."))</f>
        <v>0</v>
      </c>
      <c r="AF299" s="3">
        <f>VALUE(SUBSTITUTE(MID($A299,M299+M$2+1,N299-M299-M$2-1),",","."))</f>
        <v>0</v>
      </c>
      <c r="AG299" s="3">
        <f>VALUE(SUBSTITUTE(MID($A299,N299+N$2+1,O299-N299-N$2-1),",","."))</f>
        <v>4.2119026315505996</v>
      </c>
      <c r="AH299" t="str">
        <f>MID($A299,O299+O$2+1,P299-O299-O$2-1)</f>
        <v/>
      </c>
      <c r="AI299" s="8" t="str">
        <f>MID($A299,P299+P$2+1,Q299-P299-P$2-1)</f>
        <v>False</v>
      </c>
      <c r="AK299" t="b">
        <f t="shared" si="42"/>
        <v>1</v>
      </c>
    </row>
    <row r="300" spans="1:37" x14ac:dyDescent="0.35">
      <c r="A300" t="s">
        <v>4847</v>
      </c>
      <c r="B300">
        <f t="shared" si="43"/>
        <v>10</v>
      </c>
      <c r="C300">
        <f t="shared" si="43"/>
        <v>43</v>
      </c>
      <c r="D300">
        <f t="shared" si="43"/>
        <v>54</v>
      </c>
      <c r="E300">
        <f t="shared" si="43"/>
        <v>80</v>
      </c>
      <c r="F300">
        <f t="shared" si="43"/>
        <v>124</v>
      </c>
      <c r="G300">
        <f t="shared" si="43"/>
        <v>145</v>
      </c>
      <c r="H300">
        <f t="shared" si="43"/>
        <v>177</v>
      </c>
      <c r="I300">
        <f t="shared" si="43"/>
        <v>199</v>
      </c>
      <c r="J300">
        <f t="shared" si="43"/>
        <v>232</v>
      </c>
      <c r="K300">
        <f t="shared" si="43"/>
        <v>251</v>
      </c>
      <c r="L300">
        <f t="shared" si="43"/>
        <v>269</v>
      </c>
      <c r="M300">
        <f t="shared" si="43"/>
        <v>284</v>
      </c>
      <c r="N300">
        <f t="shared" si="43"/>
        <v>296</v>
      </c>
      <c r="O300">
        <f t="shared" si="43"/>
        <v>321</v>
      </c>
      <c r="P300">
        <f t="shared" si="43"/>
        <v>339</v>
      </c>
      <c r="Q300">
        <f t="shared" si="36"/>
        <v>365</v>
      </c>
      <c r="S300" t="str">
        <f t="shared" si="37"/>
        <v>29.11.2025</v>
      </c>
      <c r="T300" t="str">
        <f t="shared" si="38"/>
        <v>21:30:00</v>
      </c>
      <c r="U300" t="str">
        <f t="shared" si="41"/>
        <v>29.11.2025 21:30:00</v>
      </c>
      <c r="V300" s="9" t="str">
        <f>MID($A300,C300+C$2+1,D300-C300-C$2-1)</f>
        <v>0</v>
      </c>
      <c r="W300" s="4">
        <f>VALUE(SUBSTITUTE(MID($A300,D300+D$2+1,E300-D300-D$2-1),",","."))</f>
        <v>0</v>
      </c>
      <c r="X300" s="4">
        <f>VALUE(SUBSTITUTE(MID($A300,E300+E$2+1,F300-E300-E$2-1),",","."))</f>
        <v>0.90957602214449496</v>
      </c>
      <c r="Y300" s="4">
        <f>VALUE(SUBSTITUTE(MID($A300,F300+F$2+1,G300-F300-F$2-1),",","."))</f>
        <v>0</v>
      </c>
      <c r="Z300" s="3">
        <f>VALUE(SUBSTITUTE(MID($A300,G300+G$2+1,H300-G300-G$2-1),",","."))</f>
        <v>0</v>
      </c>
      <c r="AA300" s="3">
        <f>VALUE(SUBSTITUTE(MID($A300,H300+H$2+1,I300-H300-H$2-1),",","."))</f>
        <v>0</v>
      </c>
      <c r="AB300" s="3">
        <f>VALUE(SUBSTITUTE(MID($A300,I300+I$2+1,J300-I300-I$2-1),",","."))</f>
        <v>0</v>
      </c>
      <c r="AC300" s="3">
        <f>VALUE(SUBSTITUTE(MID($A300,J300+J$2+1,K300-J300-J$2-1),",","."))</f>
        <v>0.1</v>
      </c>
      <c r="AD300" s="3">
        <f>VALUE(SUBSTITUTE(MID($A300,K300+K$2+1,L300-K300-K$2-1),",","."))</f>
        <v>6.48</v>
      </c>
      <c r="AE300" s="3">
        <f>VALUE(SUBSTITUTE(MID($A300,L300+L$2+1,M300-L300-L$2-1),",","."))</f>
        <v>0</v>
      </c>
      <c r="AF300" s="3">
        <f>VALUE(SUBSTITUTE(MID($A300,M300+M$2+1,N300-M300-M$2-1),",","."))</f>
        <v>0</v>
      </c>
      <c r="AG300" s="3">
        <f>VALUE(SUBSTITUTE(MID($A300,N300+N$2+1,O300-N300-N$2-1),",","."))</f>
        <v>4.2119311514386801</v>
      </c>
      <c r="AH300" t="str">
        <f>MID($A300,O300+O$2+1,P300-O300-O$2-1)</f>
        <v/>
      </c>
      <c r="AI300" s="8" t="str">
        <f>MID($A300,P300+P$2+1,Q300-P300-P$2-1)</f>
        <v>False</v>
      </c>
      <c r="AK300" t="b">
        <f t="shared" si="42"/>
        <v>0</v>
      </c>
    </row>
    <row r="301" spans="1:37" x14ac:dyDescent="0.35">
      <c r="A301" t="s">
        <v>4848</v>
      </c>
      <c r="B301">
        <f t="shared" si="43"/>
        <v>10</v>
      </c>
      <c r="C301">
        <f t="shared" si="43"/>
        <v>43</v>
      </c>
      <c r="D301">
        <f t="shared" si="43"/>
        <v>54</v>
      </c>
      <c r="E301">
        <f t="shared" si="43"/>
        <v>80</v>
      </c>
      <c r="F301">
        <f t="shared" si="43"/>
        <v>124</v>
      </c>
      <c r="G301">
        <f t="shared" si="43"/>
        <v>145</v>
      </c>
      <c r="H301">
        <f t="shared" si="43"/>
        <v>177</v>
      </c>
      <c r="I301">
        <f t="shared" si="43"/>
        <v>199</v>
      </c>
      <c r="J301">
        <f t="shared" si="43"/>
        <v>232</v>
      </c>
      <c r="K301">
        <f t="shared" si="43"/>
        <v>251</v>
      </c>
      <c r="L301">
        <f t="shared" si="43"/>
        <v>269</v>
      </c>
      <c r="M301">
        <f t="shared" si="43"/>
        <v>284</v>
      </c>
      <c r="N301">
        <f t="shared" si="43"/>
        <v>296</v>
      </c>
      <c r="O301">
        <f t="shared" si="43"/>
        <v>320</v>
      </c>
      <c r="P301">
        <f t="shared" si="43"/>
        <v>338</v>
      </c>
      <c r="Q301">
        <f t="shared" si="36"/>
        <v>364</v>
      </c>
      <c r="S301" t="str">
        <f t="shared" si="37"/>
        <v>29.11.2025</v>
      </c>
      <c r="T301" t="str">
        <f t="shared" si="38"/>
        <v>21:45:00</v>
      </c>
      <c r="U301" t="str">
        <f t="shared" si="41"/>
        <v>29.11.2025 21:45:00</v>
      </c>
      <c r="V301" s="9" t="str">
        <f>MID($A301,C301+C$2+1,D301-C301-C$2-1)</f>
        <v>0</v>
      </c>
      <c r="W301" s="4">
        <f>VALUE(SUBSTITUTE(MID($A301,D301+D$2+1,E301-D301-D$2-1),",","."))</f>
        <v>0</v>
      </c>
      <c r="X301" s="4">
        <f>VALUE(SUBSTITUTE(MID($A301,E301+E$2+1,F301-E301-E$2-1),",","."))</f>
        <v>0.90957602214449496</v>
      </c>
      <c r="Y301" s="4">
        <f>VALUE(SUBSTITUTE(MID($A301,F301+F$2+1,G301-F301-F$2-1),",","."))</f>
        <v>0</v>
      </c>
      <c r="Z301" s="3">
        <f>VALUE(SUBSTITUTE(MID($A301,G301+G$2+1,H301-G301-G$2-1),",","."))</f>
        <v>0</v>
      </c>
      <c r="AA301" s="3">
        <f>VALUE(SUBSTITUTE(MID($A301,H301+H$2+1,I301-H301-H$2-1),",","."))</f>
        <v>0</v>
      </c>
      <c r="AB301" s="3">
        <f>VALUE(SUBSTITUTE(MID($A301,I301+I$2+1,J301-I301-I$2-1),",","."))</f>
        <v>0</v>
      </c>
      <c r="AC301" s="3">
        <f>VALUE(SUBSTITUTE(MID($A301,J301+J$2+1,K301-J301-J$2-1),",","."))</f>
        <v>0.1</v>
      </c>
      <c r="AD301" s="3">
        <f>VALUE(SUBSTITUTE(MID($A301,K301+K$2+1,L301-K301-K$2-1),",","."))</f>
        <v>6.48</v>
      </c>
      <c r="AE301" s="3">
        <f>VALUE(SUBSTITUTE(MID($A301,L301+L$2+1,M301-L301-L$2-1),",","."))</f>
        <v>0</v>
      </c>
      <c r="AF301" s="3">
        <f>VALUE(SUBSTITUTE(MID($A301,M301+M$2+1,N301-M301-M$2-1),",","."))</f>
        <v>0</v>
      </c>
      <c r="AG301" s="3">
        <f>VALUE(SUBSTITUTE(MID($A301,N301+N$2+1,O301-N301-N$2-1),",","."))</f>
        <v>4.2119596713267704</v>
      </c>
      <c r="AH301" t="str">
        <f>MID($A301,O301+O$2+1,P301-O301-O$2-1)</f>
        <v/>
      </c>
      <c r="AI301" s="8" t="str">
        <f>MID($A301,P301+P$2+1,Q301-P301-P$2-1)</f>
        <v>False</v>
      </c>
      <c r="AK301" t="b">
        <f t="shared" si="42"/>
        <v>0</v>
      </c>
    </row>
    <row r="302" spans="1:37" x14ac:dyDescent="0.35">
      <c r="A302" t="s">
        <v>4849</v>
      </c>
      <c r="B302">
        <f t="shared" si="43"/>
        <v>10</v>
      </c>
      <c r="C302">
        <f t="shared" si="43"/>
        <v>43</v>
      </c>
      <c r="D302">
        <f t="shared" si="43"/>
        <v>54</v>
      </c>
      <c r="E302">
        <f t="shared" si="43"/>
        <v>80</v>
      </c>
      <c r="F302">
        <f t="shared" si="43"/>
        <v>124</v>
      </c>
      <c r="G302">
        <f t="shared" si="43"/>
        <v>145</v>
      </c>
      <c r="H302">
        <f t="shared" si="43"/>
        <v>177</v>
      </c>
      <c r="I302">
        <f t="shared" si="43"/>
        <v>199</v>
      </c>
      <c r="J302">
        <f t="shared" si="43"/>
        <v>232</v>
      </c>
      <c r="K302">
        <f t="shared" si="43"/>
        <v>251</v>
      </c>
      <c r="L302">
        <f t="shared" si="43"/>
        <v>269</v>
      </c>
      <c r="M302">
        <f t="shared" si="43"/>
        <v>284</v>
      </c>
      <c r="N302">
        <f t="shared" si="43"/>
        <v>296</v>
      </c>
      <c r="O302">
        <f t="shared" si="43"/>
        <v>321</v>
      </c>
      <c r="P302">
        <f t="shared" si="43"/>
        <v>339</v>
      </c>
      <c r="Q302">
        <f t="shared" si="36"/>
        <v>365</v>
      </c>
      <c r="S302" t="str">
        <f t="shared" si="37"/>
        <v>29.11.2025</v>
      </c>
      <c r="T302" t="str">
        <f t="shared" si="38"/>
        <v>22:00:00</v>
      </c>
      <c r="U302" t="str">
        <f t="shared" si="41"/>
        <v>29.11.2025 22:00:00</v>
      </c>
      <c r="V302" s="9" t="str">
        <f>MID($A302,C302+C$2+1,D302-C302-C$2-1)</f>
        <v>0</v>
      </c>
      <c r="W302" s="4">
        <f>VALUE(SUBSTITUTE(MID($A302,D302+D$2+1,E302-D302-D$2-1),",","."))</f>
        <v>0</v>
      </c>
      <c r="X302" s="4">
        <f>VALUE(SUBSTITUTE(MID($A302,E302+E$2+1,F302-E302-E$2-1),",","."))</f>
        <v>0.90957602214449496</v>
      </c>
      <c r="Y302" s="4">
        <f>VALUE(SUBSTITUTE(MID($A302,F302+F$2+1,G302-F302-F$2-1),",","."))</f>
        <v>0</v>
      </c>
      <c r="Z302" s="3">
        <f>VALUE(SUBSTITUTE(MID($A302,G302+G$2+1,H302-G302-G$2-1),",","."))</f>
        <v>0</v>
      </c>
      <c r="AA302" s="3">
        <f>VALUE(SUBSTITUTE(MID($A302,H302+H$2+1,I302-H302-H$2-1),",","."))</f>
        <v>0</v>
      </c>
      <c r="AB302" s="3">
        <f>VALUE(SUBSTITUTE(MID($A302,I302+I$2+1,J302-I302-I$2-1),",","."))</f>
        <v>0</v>
      </c>
      <c r="AC302" s="3">
        <f>VALUE(SUBSTITUTE(MID($A302,J302+J$2+1,K302-J302-J$2-1),",","."))</f>
        <v>0.1</v>
      </c>
      <c r="AD302" s="3">
        <f>VALUE(SUBSTITUTE(MID($A302,K302+K$2+1,L302-K302-K$2-1),",","."))</f>
        <v>6.48</v>
      </c>
      <c r="AE302" s="3">
        <f>VALUE(SUBSTITUTE(MID($A302,L302+L$2+1,M302-L302-L$2-1),",","."))</f>
        <v>0</v>
      </c>
      <c r="AF302" s="3">
        <f>VALUE(SUBSTITUTE(MID($A302,M302+M$2+1,N302-M302-M$2-1),",","."))</f>
        <v>0</v>
      </c>
      <c r="AG302" s="3">
        <f>VALUE(SUBSTITUTE(MID($A302,N302+N$2+1,O302-N302-N$2-1),",","."))</f>
        <v>4.21198819121485</v>
      </c>
      <c r="AH302" t="str">
        <f>MID($A302,O302+O$2+1,P302-O302-O$2-1)</f>
        <v/>
      </c>
      <c r="AI302" s="8" t="str">
        <f>MID($A302,P302+P$2+1,Q302-P302-P$2-1)</f>
        <v>False</v>
      </c>
      <c r="AK302" t="b">
        <f t="shared" si="42"/>
        <v>0</v>
      </c>
    </row>
    <row r="303" spans="1:37" x14ac:dyDescent="0.35">
      <c r="A303" t="s">
        <v>4850</v>
      </c>
      <c r="B303">
        <f t="shared" si="43"/>
        <v>10</v>
      </c>
      <c r="C303">
        <f t="shared" si="43"/>
        <v>43</v>
      </c>
      <c r="D303">
        <f t="shared" si="43"/>
        <v>54</v>
      </c>
      <c r="E303">
        <f t="shared" si="43"/>
        <v>80</v>
      </c>
      <c r="F303">
        <f t="shared" si="43"/>
        <v>124</v>
      </c>
      <c r="G303">
        <f t="shared" si="43"/>
        <v>145</v>
      </c>
      <c r="H303">
        <f t="shared" si="43"/>
        <v>177</v>
      </c>
      <c r="I303">
        <f t="shared" si="43"/>
        <v>199</v>
      </c>
      <c r="J303">
        <f t="shared" si="43"/>
        <v>232</v>
      </c>
      <c r="K303">
        <f t="shared" si="43"/>
        <v>251</v>
      </c>
      <c r="L303">
        <f t="shared" si="43"/>
        <v>269</v>
      </c>
      <c r="M303">
        <f t="shared" si="43"/>
        <v>284</v>
      </c>
      <c r="N303">
        <f t="shared" si="43"/>
        <v>296</v>
      </c>
      <c r="O303">
        <f t="shared" si="43"/>
        <v>321</v>
      </c>
      <c r="P303">
        <f t="shared" si="43"/>
        <v>339</v>
      </c>
      <c r="Q303">
        <f t="shared" si="36"/>
        <v>365</v>
      </c>
      <c r="S303" t="str">
        <f t="shared" si="37"/>
        <v>29.11.2025</v>
      </c>
      <c r="T303" t="str">
        <f t="shared" si="38"/>
        <v>22:15:00</v>
      </c>
      <c r="U303" t="str">
        <f t="shared" si="41"/>
        <v>29.11.2025 22:15:00</v>
      </c>
      <c r="V303" s="9" t="str">
        <f>MID($A303,C303+C$2+1,D303-C303-C$2-1)</f>
        <v>0</v>
      </c>
      <c r="W303" s="4">
        <f>VALUE(SUBSTITUTE(MID($A303,D303+D$2+1,E303-D303-D$2-1),",","."))</f>
        <v>0</v>
      </c>
      <c r="X303" s="4">
        <f>VALUE(SUBSTITUTE(MID($A303,E303+E$2+1,F303-E303-E$2-1),",","."))</f>
        <v>0.90957602214449496</v>
      </c>
      <c r="Y303" s="4">
        <f>VALUE(SUBSTITUTE(MID($A303,F303+F$2+1,G303-F303-F$2-1),",","."))</f>
        <v>0</v>
      </c>
      <c r="Z303" s="3">
        <f>VALUE(SUBSTITUTE(MID($A303,G303+G$2+1,H303-G303-G$2-1),",","."))</f>
        <v>0</v>
      </c>
      <c r="AA303" s="3">
        <f>VALUE(SUBSTITUTE(MID($A303,H303+H$2+1,I303-H303-H$2-1),",","."))</f>
        <v>0</v>
      </c>
      <c r="AB303" s="3">
        <f>VALUE(SUBSTITUTE(MID($A303,I303+I$2+1,J303-I303-I$2-1),",","."))</f>
        <v>0</v>
      </c>
      <c r="AC303" s="3">
        <f>VALUE(SUBSTITUTE(MID($A303,J303+J$2+1,K303-J303-J$2-1),",","."))</f>
        <v>0.1</v>
      </c>
      <c r="AD303" s="3">
        <f>VALUE(SUBSTITUTE(MID($A303,K303+K$2+1,L303-K303-K$2-1),",","."))</f>
        <v>6.48</v>
      </c>
      <c r="AE303" s="3">
        <f>VALUE(SUBSTITUTE(MID($A303,L303+L$2+1,M303-L303-L$2-1),",","."))</f>
        <v>0</v>
      </c>
      <c r="AF303" s="3">
        <f>VALUE(SUBSTITUTE(MID($A303,M303+M$2+1,N303-M303-M$2-1),",","."))</f>
        <v>0</v>
      </c>
      <c r="AG303" s="3">
        <f>VALUE(SUBSTITUTE(MID($A303,N303+N$2+1,O303-N303-N$2-1),",","."))</f>
        <v>4.2120167111029296</v>
      </c>
      <c r="AH303" t="str">
        <f>MID($A303,O303+O$2+1,P303-O303-O$2-1)</f>
        <v/>
      </c>
      <c r="AI303" s="8" t="str">
        <f>MID($A303,P303+P$2+1,Q303-P303-P$2-1)</f>
        <v>False</v>
      </c>
      <c r="AK303" t="b">
        <f t="shared" si="42"/>
        <v>0</v>
      </c>
    </row>
    <row r="304" spans="1:37" x14ac:dyDescent="0.35">
      <c r="A304" t="s">
        <v>4851</v>
      </c>
      <c r="B304">
        <f t="shared" si="43"/>
        <v>10</v>
      </c>
      <c r="C304">
        <f t="shared" si="43"/>
        <v>43</v>
      </c>
      <c r="D304">
        <f t="shared" si="43"/>
        <v>54</v>
      </c>
      <c r="E304">
        <f t="shared" si="43"/>
        <v>80</v>
      </c>
      <c r="F304">
        <f t="shared" si="43"/>
        <v>124</v>
      </c>
      <c r="G304">
        <f t="shared" si="43"/>
        <v>145</v>
      </c>
      <c r="H304">
        <f t="shared" si="43"/>
        <v>177</v>
      </c>
      <c r="I304">
        <f t="shared" si="43"/>
        <v>199</v>
      </c>
      <c r="J304">
        <f t="shared" si="43"/>
        <v>232</v>
      </c>
      <c r="K304">
        <f t="shared" si="43"/>
        <v>253</v>
      </c>
      <c r="L304">
        <f t="shared" si="43"/>
        <v>270</v>
      </c>
      <c r="M304">
        <f t="shared" si="43"/>
        <v>285</v>
      </c>
      <c r="N304">
        <f t="shared" si="43"/>
        <v>297</v>
      </c>
      <c r="O304">
        <f t="shared" si="43"/>
        <v>323</v>
      </c>
      <c r="P304">
        <f t="shared" si="43"/>
        <v>341</v>
      </c>
      <c r="Q304">
        <f t="shared" si="36"/>
        <v>367</v>
      </c>
      <c r="S304" t="str">
        <f t="shared" si="37"/>
        <v>29.11.2025</v>
      </c>
      <c r="T304" t="str">
        <f t="shared" si="38"/>
        <v>22:30:00</v>
      </c>
      <c r="U304" t="str">
        <f t="shared" si="41"/>
        <v>29.11.2025 22:30:00</v>
      </c>
      <c r="V304" s="9" t="str">
        <f>MID($A304,C304+C$2+1,D304-C304-C$2-1)</f>
        <v>0</v>
      </c>
      <c r="W304" s="4">
        <f>VALUE(SUBSTITUTE(MID($A304,D304+D$2+1,E304-D304-D$2-1),",","."))</f>
        <v>0</v>
      </c>
      <c r="X304" s="4">
        <f>VALUE(SUBSTITUTE(MID($A304,E304+E$2+1,F304-E304-E$2-1),",","."))</f>
        <v>0.90957602214449496</v>
      </c>
      <c r="Y304" s="4">
        <f>VALUE(SUBSTITUTE(MID($A304,F304+F$2+1,G304-F304-F$2-1),",","."))</f>
        <v>0</v>
      </c>
      <c r="Z304" s="3">
        <f>VALUE(SUBSTITUTE(MID($A304,G304+G$2+1,H304-G304-G$2-1),",","."))</f>
        <v>0</v>
      </c>
      <c r="AA304" s="3">
        <f>VALUE(SUBSTITUTE(MID($A304,H304+H$2+1,I304-H304-H$2-1),",","."))</f>
        <v>0</v>
      </c>
      <c r="AB304" s="3">
        <f>VALUE(SUBSTITUTE(MID($A304,I304+I$2+1,J304-I304-I$2-1),",","."))</f>
        <v>0</v>
      </c>
      <c r="AC304" s="3">
        <f>VALUE(SUBSTITUTE(MID($A304,J304+J$2+1,K304-J304-J$2-1),",","."))</f>
        <v>-0.05</v>
      </c>
      <c r="AD304" s="3">
        <f>VALUE(SUBSTITUTE(MID($A304,K304+K$2+1,L304-K304-K$2-1),",","."))</f>
        <v>7.2</v>
      </c>
      <c r="AE304" s="3">
        <f>VALUE(SUBSTITUTE(MID($A304,L304+L$2+1,M304-L304-L$2-1),",","."))</f>
        <v>0</v>
      </c>
      <c r="AF304" s="3">
        <f>VALUE(SUBSTITUTE(MID($A304,M304+M$2+1,N304-M304-M$2-1),",","."))</f>
        <v>0</v>
      </c>
      <c r="AG304" s="3">
        <f>VALUE(SUBSTITUTE(MID($A304,N304+N$2+1,O304-N304-N$2-1),",","."))</f>
        <v>4.2120452309910101</v>
      </c>
      <c r="AH304" t="str">
        <f>MID($A304,O304+O$2+1,P304-O304-O$2-1)</f>
        <v/>
      </c>
      <c r="AI304" s="8" t="str">
        <f>MID($A304,P304+P$2+1,Q304-P304-P$2-1)</f>
        <v>False</v>
      </c>
      <c r="AK304" t="b">
        <f t="shared" si="42"/>
        <v>0</v>
      </c>
    </row>
    <row r="305" spans="1:37" x14ac:dyDescent="0.35">
      <c r="A305" t="s">
        <v>4852</v>
      </c>
      <c r="B305">
        <f t="shared" si="43"/>
        <v>10</v>
      </c>
      <c r="C305">
        <f t="shared" si="43"/>
        <v>43</v>
      </c>
      <c r="D305">
        <f t="shared" si="43"/>
        <v>54</v>
      </c>
      <c r="E305">
        <f t="shared" si="43"/>
        <v>80</v>
      </c>
      <c r="F305">
        <f t="shared" si="43"/>
        <v>124</v>
      </c>
      <c r="G305">
        <f t="shared" si="43"/>
        <v>145</v>
      </c>
      <c r="H305">
        <f t="shared" si="43"/>
        <v>177</v>
      </c>
      <c r="I305">
        <f t="shared" si="43"/>
        <v>199</v>
      </c>
      <c r="J305">
        <f t="shared" si="43"/>
        <v>232</v>
      </c>
      <c r="K305">
        <f t="shared" si="43"/>
        <v>253</v>
      </c>
      <c r="L305">
        <f t="shared" si="43"/>
        <v>270</v>
      </c>
      <c r="M305">
        <f t="shared" si="43"/>
        <v>285</v>
      </c>
      <c r="N305">
        <f t="shared" si="43"/>
        <v>297</v>
      </c>
      <c r="O305">
        <f t="shared" si="43"/>
        <v>322</v>
      </c>
      <c r="P305">
        <f t="shared" si="43"/>
        <v>340</v>
      </c>
      <c r="Q305">
        <f t="shared" si="36"/>
        <v>366</v>
      </c>
      <c r="S305" t="str">
        <f t="shared" si="37"/>
        <v>29.11.2025</v>
      </c>
      <c r="T305" t="str">
        <f t="shared" si="38"/>
        <v>22:45:00</v>
      </c>
      <c r="U305" t="str">
        <f t="shared" si="41"/>
        <v>29.11.2025 22:45:00</v>
      </c>
      <c r="V305" s="9" t="str">
        <f>MID($A305,C305+C$2+1,D305-C305-C$2-1)</f>
        <v>0</v>
      </c>
      <c r="W305" s="4">
        <f>VALUE(SUBSTITUTE(MID($A305,D305+D$2+1,E305-D305-D$2-1),",","."))</f>
        <v>0</v>
      </c>
      <c r="X305" s="4">
        <f>VALUE(SUBSTITUTE(MID($A305,E305+E$2+1,F305-E305-E$2-1),",","."))</f>
        <v>0.90957602214449496</v>
      </c>
      <c r="Y305" s="4">
        <f>VALUE(SUBSTITUTE(MID($A305,F305+F$2+1,G305-F305-F$2-1),",","."))</f>
        <v>0</v>
      </c>
      <c r="Z305" s="3">
        <f>VALUE(SUBSTITUTE(MID($A305,G305+G$2+1,H305-G305-G$2-1),",","."))</f>
        <v>0</v>
      </c>
      <c r="AA305" s="3">
        <f>VALUE(SUBSTITUTE(MID($A305,H305+H$2+1,I305-H305-H$2-1),",","."))</f>
        <v>0</v>
      </c>
      <c r="AB305" s="3">
        <f>VALUE(SUBSTITUTE(MID($A305,I305+I$2+1,J305-I305-I$2-1),",","."))</f>
        <v>0</v>
      </c>
      <c r="AC305" s="3">
        <f>VALUE(SUBSTITUTE(MID($A305,J305+J$2+1,K305-J305-J$2-1),",","."))</f>
        <v>-0.05</v>
      </c>
      <c r="AD305" s="3">
        <f>VALUE(SUBSTITUTE(MID($A305,K305+K$2+1,L305-K305-K$2-1),",","."))</f>
        <v>7.2</v>
      </c>
      <c r="AE305" s="3">
        <f>VALUE(SUBSTITUTE(MID($A305,L305+L$2+1,M305-L305-L$2-1),",","."))</f>
        <v>0</v>
      </c>
      <c r="AF305" s="3">
        <f>VALUE(SUBSTITUTE(MID($A305,M305+M$2+1,N305-M305-M$2-1),",","."))</f>
        <v>0</v>
      </c>
      <c r="AG305" s="3">
        <f>VALUE(SUBSTITUTE(MID($A305,N305+N$2+1,O305-N305-N$2-1),",","."))</f>
        <v>4.2120737508790898</v>
      </c>
      <c r="AH305" t="str">
        <f>MID($A305,O305+O$2+1,P305-O305-O$2-1)</f>
        <v/>
      </c>
      <c r="AI305" s="8" t="str">
        <f>MID($A305,P305+P$2+1,Q305-P305-P$2-1)</f>
        <v>False</v>
      </c>
      <c r="AK305" t="b">
        <f t="shared" si="42"/>
        <v>0</v>
      </c>
    </row>
    <row r="306" spans="1:37" x14ac:dyDescent="0.35">
      <c r="A306" t="s">
        <v>4853</v>
      </c>
      <c r="B306">
        <f t="shared" si="43"/>
        <v>10</v>
      </c>
      <c r="C306">
        <f t="shared" si="43"/>
        <v>43</v>
      </c>
      <c r="D306">
        <f t="shared" si="43"/>
        <v>54</v>
      </c>
      <c r="E306">
        <f t="shared" si="43"/>
        <v>80</v>
      </c>
      <c r="F306">
        <f t="shared" si="43"/>
        <v>124</v>
      </c>
      <c r="G306">
        <f t="shared" si="43"/>
        <v>145</v>
      </c>
      <c r="H306">
        <f t="shared" si="43"/>
        <v>177</v>
      </c>
      <c r="I306">
        <f t="shared" si="43"/>
        <v>199</v>
      </c>
      <c r="J306">
        <f t="shared" si="43"/>
        <v>232</v>
      </c>
      <c r="K306">
        <f t="shared" si="43"/>
        <v>253</v>
      </c>
      <c r="L306">
        <f t="shared" si="43"/>
        <v>270</v>
      </c>
      <c r="M306">
        <f t="shared" si="43"/>
        <v>285</v>
      </c>
      <c r="N306">
        <f t="shared" si="43"/>
        <v>297</v>
      </c>
      <c r="O306">
        <f t="shared" si="43"/>
        <v>322</v>
      </c>
      <c r="P306">
        <f t="shared" si="43"/>
        <v>340</v>
      </c>
      <c r="Q306">
        <f t="shared" si="36"/>
        <v>366</v>
      </c>
      <c r="S306" t="str">
        <f t="shared" si="37"/>
        <v>29.11.2025</v>
      </c>
      <c r="T306" t="str">
        <f t="shared" si="38"/>
        <v>23:00:00</v>
      </c>
      <c r="U306" t="str">
        <f t="shared" si="41"/>
        <v>29.11.2025 23:00:00</v>
      </c>
      <c r="V306" s="9" t="str">
        <f>MID($A306,C306+C$2+1,D306-C306-C$2-1)</f>
        <v>0</v>
      </c>
      <c r="W306" s="4">
        <f>VALUE(SUBSTITUTE(MID($A306,D306+D$2+1,E306-D306-D$2-1),",","."))</f>
        <v>0</v>
      </c>
      <c r="X306" s="4">
        <f>VALUE(SUBSTITUTE(MID($A306,E306+E$2+1,F306-E306-E$2-1),",","."))</f>
        <v>0.90957602214449496</v>
      </c>
      <c r="Y306" s="4">
        <f>VALUE(SUBSTITUTE(MID($A306,F306+F$2+1,G306-F306-F$2-1),",","."))</f>
        <v>0</v>
      </c>
      <c r="Z306" s="3">
        <f>VALUE(SUBSTITUTE(MID($A306,G306+G$2+1,H306-G306-G$2-1),",","."))</f>
        <v>0</v>
      </c>
      <c r="AA306" s="3">
        <f>VALUE(SUBSTITUTE(MID($A306,H306+H$2+1,I306-H306-H$2-1),",","."))</f>
        <v>0</v>
      </c>
      <c r="AB306" s="3">
        <f>VALUE(SUBSTITUTE(MID($A306,I306+I$2+1,J306-I306-I$2-1),",","."))</f>
        <v>0</v>
      </c>
      <c r="AC306" s="3">
        <f>VALUE(SUBSTITUTE(MID($A306,J306+J$2+1,K306-J306-J$2-1),",","."))</f>
        <v>-0.05</v>
      </c>
      <c r="AD306" s="3">
        <f>VALUE(SUBSTITUTE(MID($A306,K306+K$2+1,L306-K306-K$2-1),",","."))</f>
        <v>7.2</v>
      </c>
      <c r="AE306" s="3">
        <f>VALUE(SUBSTITUTE(MID($A306,L306+L$2+1,M306-L306-L$2-1),",","."))</f>
        <v>0</v>
      </c>
      <c r="AF306" s="3">
        <f>VALUE(SUBSTITUTE(MID($A306,M306+M$2+1,N306-M306-M$2-1),",","."))</f>
        <v>0</v>
      </c>
      <c r="AG306" s="3">
        <f>VALUE(SUBSTITUTE(MID($A306,N306+N$2+1,O306-N306-N$2-1),",","."))</f>
        <v>4.2121022707671703</v>
      </c>
      <c r="AH306" t="str">
        <f>MID($A306,O306+O$2+1,P306-O306-O$2-1)</f>
        <v/>
      </c>
      <c r="AI306" s="8" t="str">
        <f>MID($A306,P306+P$2+1,Q306-P306-P$2-1)</f>
        <v>False</v>
      </c>
      <c r="AK306" t="b">
        <f t="shared" si="42"/>
        <v>0</v>
      </c>
    </row>
    <row r="307" spans="1:37" x14ac:dyDescent="0.35">
      <c r="A307" t="s">
        <v>4854</v>
      </c>
      <c r="B307">
        <f t="shared" si="43"/>
        <v>10</v>
      </c>
      <c r="C307">
        <f t="shared" si="43"/>
        <v>43</v>
      </c>
      <c r="D307">
        <f t="shared" si="43"/>
        <v>54</v>
      </c>
      <c r="E307">
        <f t="shared" si="43"/>
        <v>80</v>
      </c>
      <c r="F307">
        <f t="shared" si="43"/>
        <v>124</v>
      </c>
      <c r="G307">
        <f t="shared" si="43"/>
        <v>145</v>
      </c>
      <c r="H307">
        <f t="shared" si="43"/>
        <v>177</v>
      </c>
      <c r="I307">
        <f t="shared" si="43"/>
        <v>199</v>
      </c>
      <c r="J307">
        <f t="shared" si="43"/>
        <v>232</v>
      </c>
      <c r="K307">
        <f t="shared" si="43"/>
        <v>253</v>
      </c>
      <c r="L307">
        <f t="shared" si="43"/>
        <v>270</v>
      </c>
      <c r="M307">
        <f t="shared" si="43"/>
        <v>285</v>
      </c>
      <c r="N307">
        <f t="shared" si="43"/>
        <v>297</v>
      </c>
      <c r="O307">
        <f t="shared" si="43"/>
        <v>321</v>
      </c>
      <c r="P307">
        <f t="shared" si="43"/>
        <v>339</v>
      </c>
      <c r="Q307">
        <f t="shared" si="36"/>
        <v>365</v>
      </c>
      <c r="S307" t="str">
        <f t="shared" si="37"/>
        <v>29.11.2025</v>
      </c>
      <c r="T307" t="str">
        <f t="shared" si="38"/>
        <v>23:15:00</v>
      </c>
      <c r="U307" t="str">
        <f t="shared" si="41"/>
        <v>29.11.2025 23:15:00</v>
      </c>
      <c r="V307" s="9" t="str">
        <f>MID($A307,C307+C$2+1,D307-C307-C$2-1)</f>
        <v>0</v>
      </c>
      <c r="W307" s="4">
        <f>VALUE(SUBSTITUTE(MID($A307,D307+D$2+1,E307-D307-D$2-1),",","."))</f>
        <v>0</v>
      </c>
      <c r="X307" s="4">
        <f>VALUE(SUBSTITUTE(MID($A307,E307+E$2+1,F307-E307-E$2-1),",","."))</f>
        <v>0.90957602214449496</v>
      </c>
      <c r="Y307" s="4">
        <f>VALUE(SUBSTITUTE(MID($A307,F307+F$2+1,G307-F307-F$2-1),",","."))</f>
        <v>0</v>
      </c>
      <c r="Z307" s="3">
        <f>VALUE(SUBSTITUTE(MID($A307,G307+G$2+1,H307-G307-G$2-1),",","."))</f>
        <v>0</v>
      </c>
      <c r="AA307" s="3">
        <f>VALUE(SUBSTITUTE(MID($A307,H307+H$2+1,I307-H307-H$2-1),",","."))</f>
        <v>0</v>
      </c>
      <c r="AB307" s="3">
        <f>VALUE(SUBSTITUTE(MID($A307,I307+I$2+1,J307-I307-I$2-1),",","."))</f>
        <v>0</v>
      </c>
      <c r="AC307" s="3">
        <f>VALUE(SUBSTITUTE(MID($A307,J307+J$2+1,K307-J307-J$2-1),",","."))</f>
        <v>-0.05</v>
      </c>
      <c r="AD307" s="3">
        <f>VALUE(SUBSTITUTE(MID($A307,K307+K$2+1,L307-K307-K$2-1),",","."))</f>
        <v>7.2</v>
      </c>
      <c r="AE307" s="3">
        <f>VALUE(SUBSTITUTE(MID($A307,L307+L$2+1,M307-L307-L$2-1),",","."))</f>
        <v>0</v>
      </c>
      <c r="AF307" s="3">
        <f>VALUE(SUBSTITUTE(MID($A307,M307+M$2+1,N307-M307-M$2-1),",","."))</f>
        <v>0</v>
      </c>
      <c r="AG307" s="3">
        <f>VALUE(SUBSTITUTE(MID($A307,N307+N$2+1,O307-N307-N$2-1),",","."))</f>
        <v>4.2121307906552596</v>
      </c>
      <c r="AH307" t="str">
        <f>MID($A307,O307+O$2+1,P307-O307-O$2-1)</f>
        <v/>
      </c>
      <c r="AI307" s="8" t="str">
        <f>MID($A307,P307+P$2+1,Q307-P307-P$2-1)</f>
        <v>False</v>
      </c>
      <c r="AK307" t="b">
        <f t="shared" si="42"/>
        <v>0</v>
      </c>
    </row>
    <row r="308" spans="1:37" x14ac:dyDescent="0.35">
      <c r="A308" t="s">
        <v>4855</v>
      </c>
      <c r="B308">
        <f t="shared" si="43"/>
        <v>10</v>
      </c>
      <c r="C308">
        <f t="shared" si="43"/>
        <v>43</v>
      </c>
      <c r="D308">
        <f t="shared" si="43"/>
        <v>54</v>
      </c>
      <c r="E308">
        <f t="shared" si="43"/>
        <v>80</v>
      </c>
      <c r="F308">
        <f t="shared" si="43"/>
        <v>124</v>
      </c>
      <c r="G308">
        <f t="shared" si="43"/>
        <v>145</v>
      </c>
      <c r="H308">
        <f t="shared" si="43"/>
        <v>177</v>
      </c>
      <c r="I308">
        <f t="shared" si="43"/>
        <v>199</v>
      </c>
      <c r="J308">
        <f t="shared" si="43"/>
        <v>232</v>
      </c>
      <c r="K308">
        <f t="shared" si="43"/>
        <v>252</v>
      </c>
      <c r="L308">
        <f t="shared" si="43"/>
        <v>271</v>
      </c>
      <c r="M308">
        <f t="shared" si="43"/>
        <v>286</v>
      </c>
      <c r="N308">
        <f t="shared" si="43"/>
        <v>298</v>
      </c>
      <c r="O308">
        <f t="shared" si="43"/>
        <v>323</v>
      </c>
      <c r="P308">
        <f t="shared" si="43"/>
        <v>341</v>
      </c>
      <c r="Q308">
        <f t="shared" si="36"/>
        <v>367</v>
      </c>
      <c r="S308" t="str">
        <f t="shared" si="37"/>
        <v>29.11.2025</v>
      </c>
      <c r="T308" t="str">
        <f t="shared" si="38"/>
        <v>23:30:00</v>
      </c>
      <c r="U308" t="str">
        <f t="shared" si="41"/>
        <v>29.11.2025 23:30:00</v>
      </c>
      <c r="V308" s="9" t="str">
        <f>MID($A308,C308+C$2+1,D308-C308-C$2-1)</f>
        <v>0</v>
      </c>
      <c r="W308" s="4">
        <f>VALUE(SUBSTITUTE(MID($A308,D308+D$2+1,E308-D308-D$2-1),",","."))</f>
        <v>0</v>
      </c>
      <c r="X308" s="4">
        <f>VALUE(SUBSTITUTE(MID($A308,E308+E$2+1,F308-E308-E$2-1),",","."))</f>
        <v>0.90957602214449496</v>
      </c>
      <c r="Y308" s="4">
        <f>VALUE(SUBSTITUTE(MID($A308,F308+F$2+1,G308-F308-F$2-1),",","."))</f>
        <v>0</v>
      </c>
      <c r="Z308" s="3">
        <f>VALUE(SUBSTITUTE(MID($A308,G308+G$2+1,H308-G308-G$2-1),",","."))</f>
        <v>0</v>
      </c>
      <c r="AA308" s="3">
        <f>VALUE(SUBSTITUTE(MID($A308,H308+H$2+1,I308-H308-H$2-1),",","."))</f>
        <v>0</v>
      </c>
      <c r="AB308" s="3">
        <f>VALUE(SUBSTITUTE(MID($A308,I308+I$2+1,J308-I308-I$2-1),",","."))</f>
        <v>0</v>
      </c>
      <c r="AC308" s="3">
        <f>VALUE(SUBSTITUTE(MID($A308,J308+J$2+1,K308-J308-J$2-1),",","."))</f>
        <v>-0.2</v>
      </c>
      <c r="AD308" s="3">
        <f>VALUE(SUBSTITUTE(MID($A308,K308+K$2+1,L308-K308-K$2-1),",","."))</f>
        <v>11.34</v>
      </c>
      <c r="AE308" s="3">
        <f>VALUE(SUBSTITUTE(MID($A308,L308+L$2+1,M308-L308-L$2-1),",","."))</f>
        <v>0</v>
      </c>
      <c r="AF308" s="3">
        <f>VALUE(SUBSTITUTE(MID($A308,M308+M$2+1,N308-M308-M$2-1),",","."))</f>
        <v>0</v>
      </c>
      <c r="AG308" s="3">
        <f>VALUE(SUBSTITUTE(MID($A308,N308+N$2+1,O308-N308-N$2-1),",","."))</f>
        <v>4.2121593105433401</v>
      </c>
      <c r="AH308" t="str">
        <f>MID($A308,O308+O$2+1,P308-O308-O$2-1)</f>
        <v/>
      </c>
      <c r="AI308" s="8" t="str">
        <f>MID($A308,P308+P$2+1,Q308-P308-P$2-1)</f>
        <v>False</v>
      </c>
      <c r="AK308" t="b">
        <f t="shared" si="42"/>
        <v>0</v>
      </c>
    </row>
    <row r="309" spans="1:37" x14ac:dyDescent="0.35">
      <c r="A309" t="s">
        <v>4856</v>
      </c>
      <c r="B309">
        <f t="shared" si="43"/>
        <v>10</v>
      </c>
      <c r="C309">
        <f t="shared" si="43"/>
        <v>43</v>
      </c>
      <c r="D309">
        <f t="shared" si="43"/>
        <v>54</v>
      </c>
      <c r="E309">
        <f t="shared" si="43"/>
        <v>80</v>
      </c>
      <c r="F309">
        <f t="shared" si="43"/>
        <v>124</v>
      </c>
      <c r="G309">
        <f t="shared" si="43"/>
        <v>145</v>
      </c>
      <c r="H309">
        <f t="shared" si="43"/>
        <v>177</v>
      </c>
      <c r="I309">
        <f t="shared" si="43"/>
        <v>199</v>
      </c>
      <c r="J309">
        <f t="shared" si="43"/>
        <v>232</v>
      </c>
      <c r="K309">
        <f t="shared" si="43"/>
        <v>252</v>
      </c>
      <c r="L309">
        <f t="shared" si="43"/>
        <v>271</v>
      </c>
      <c r="M309">
        <f t="shared" si="43"/>
        <v>286</v>
      </c>
      <c r="N309">
        <f t="shared" si="43"/>
        <v>298</v>
      </c>
      <c r="O309">
        <f t="shared" si="43"/>
        <v>323</v>
      </c>
      <c r="P309">
        <f t="shared" si="43"/>
        <v>341</v>
      </c>
      <c r="Q309">
        <f t="shared" si="43"/>
        <v>367</v>
      </c>
      <c r="S309" t="str">
        <f t="shared" si="37"/>
        <v>29.11.2025</v>
      </c>
      <c r="T309" t="str">
        <f t="shared" si="38"/>
        <v>23:45:00</v>
      </c>
      <c r="U309" t="str">
        <f t="shared" si="41"/>
        <v>29.11.2025 23:45:00</v>
      </c>
      <c r="V309" s="9" t="str">
        <f>MID($A309,C309+C$2+1,D309-C309-C$2-1)</f>
        <v>0</v>
      </c>
      <c r="W309" s="4">
        <f>VALUE(SUBSTITUTE(MID($A309,D309+D$2+1,E309-D309-D$2-1),",","."))</f>
        <v>0</v>
      </c>
      <c r="X309" s="4">
        <f>VALUE(SUBSTITUTE(MID($A309,E309+E$2+1,F309-E309-E$2-1),",","."))</f>
        <v>0.90957602214449496</v>
      </c>
      <c r="Y309" s="4">
        <f>VALUE(SUBSTITUTE(MID($A309,F309+F$2+1,G309-F309-F$2-1),",","."))</f>
        <v>0</v>
      </c>
      <c r="Z309" s="3">
        <f>VALUE(SUBSTITUTE(MID($A309,G309+G$2+1,H309-G309-G$2-1),",","."))</f>
        <v>0</v>
      </c>
      <c r="AA309" s="3">
        <f>VALUE(SUBSTITUTE(MID($A309,H309+H$2+1,I309-H309-H$2-1),",","."))</f>
        <v>0</v>
      </c>
      <c r="AB309" s="3">
        <f>VALUE(SUBSTITUTE(MID($A309,I309+I$2+1,J309-I309-I$2-1),",","."))</f>
        <v>0</v>
      </c>
      <c r="AC309" s="3">
        <f>VALUE(SUBSTITUTE(MID($A309,J309+J$2+1,K309-J309-J$2-1),",","."))</f>
        <v>-0.2</v>
      </c>
      <c r="AD309" s="3">
        <f>VALUE(SUBSTITUTE(MID($A309,K309+K$2+1,L309-K309-K$2-1),",","."))</f>
        <v>11.34</v>
      </c>
      <c r="AE309" s="3">
        <f>VALUE(SUBSTITUTE(MID($A309,L309+L$2+1,M309-L309-L$2-1),",","."))</f>
        <v>0</v>
      </c>
      <c r="AF309" s="3">
        <f>VALUE(SUBSTITUTE(MID($A309,M309+M$2+1,N309-M309-M$2-1),",","."))</f>
        <v>0</v>
      </c>
      <c r="AG309" s="3">
        <f>VALUE(SUBSTITUTE(MID($A309,N309+N$2+1,O309-N309-N$2-1),",","."))</f>
        <v>4.2121878304314198</v>
      </c>
      <c r="AH309" t="str">
        <f>MID($A309,O309+O$2+1,P309-O309-O$2-1)</f>
        <v/>
      </c>
      <c r="AI309" s="8" t="str">
        <f>MID($A309,P309+P$2+1,Q309-P309-P$2-1)</f>
        <v>False</v>
      </c>
      <c r="AK309" t="b">
        <f t="shared" si="42"/>
        <v>0</v>
      </c>
    </row>
    <row r="310" spans="1:37" x14ac:dyDescent="0.35">
      <c r="A310" t="s">
        <v>4857</v>
      </c>
      <c r="B310">
        <f t="shared" si="43"/>
        <v>10</v>
      </c>
      <c r="C310">
        <f t="shared" si="43"/>
        <v>43</v>
      </c>
      <c r="D310">
        <f t="shared" si="43"/>
        <v>54</v>
      </c>
      <c r="E310">
        <f t="shared" si="43"/>
        <v>80</v>
      </c>
      <c r="F310">
        <f t="shared" si="43"/>
        <v>124</v>
      </c>
      <c r="G310">
        <f t="shared" si="43"/>
        <v>145</v>
      </c>
      <c r="H310">
        <f t="shared" si="43"/>
        <v>177</v>
      </c>
      <c r="I310">
        <f t="shared" si="43"/>
        <v>199</v>
      </c>
      <c r="J310">
        <f t="shared" si="43"/>
        <v>232</v>
      </c>
      <c r="K310">
        <f t="shared" si="43"/>
        <v>252</v>
      </c>
      <c r="L310">
        <f t="shared" si="43"/>
        <v>271</v>
      </c>
      <c r="M310">
        <f t="shared" si="43"/>
        <v>286</v>
      </c>
      <c r="N310">
        <f t="shared" si="43"/>
        <v>298</v>
      </c>
      <c r="O310">
        <f t="shared" si="43"/>
        <v>323</v>
      </c>
      <c r="P310">
        <f t="shared" si="43"/>
        <v>341</v>
      </c>
      <c r="Q310">
        <f t="shared" si="43"/>
        <v>367</v>
      </c>
      <c r="S310" t="str">
        <f t="shared" si="37"/>
        <v>30.11.2025</v>
      </c>
      <c r="T310" t="str">
        <f t="shared" si="38"/>
        <v>00:00:00</v>
      </c>
      <c r="U310" t="str">
        <f t="shared" si="41"/>
        <v>30.11.2025 00:00:00</v>
      </c>
      <c r="V310" s="9" t="str">
        <f>MID($A310,C310+C$2+1,D310-C310-C$2-1)</f>
        <v>0</v>
      </c>
      <c r="W310" s="4">
        <f>VALUE(SUBSTITUTE(MID($A310,D310+D$2+1,E310-D310-D$2-1),",","."))</f>
        <v>0</v>
      </c>
      <c r="X310" s="4">
        <f>VALUE(SUBSTITUTE(MID($A310,E310+E$2+1,F310-E310-E$2-1),",","."))</f>
        <v>0.90957602214449496</v>
      </c>
      <c r="Y310" s="4">
        <f>VALUE(SUBSTITUTE(MID($A310,F310+F$2+1,G310-F310-F$2-1),",","."))</f>
        <v>0</v>
      </c>
      <c r="Z310" s="3">
        <f>VALUE(SUBSTITUTE(MID($A310,G310+G$2+1,H310-G310-G$2-1),",","."))</f>
        <v>0</v>
      </c>
      <c r="AA310" s="3">
        <f>VALUE(SUBSTITUTE(MID($A310,H310+H$2+1,I310-H310-H$2-1),",","."))</f>
        <v>0</v>
      </c>
      <c r="AB310" s="3">
        <f>VALUE(SUBSTITUTE(MID($A310,I310+I$2+1,J310-I310-I$2-1),",","."))</f>
        <v>0</v>
      </c>
      <c r="AC310" s="3">
        <f>VALUE(SUBSTITUTE(MID($A310,J310+J$2+1,K310-J310-J$2-1),",","."))</f>
        <v>-0.2</v>
      </c>
      <c r="AD310" s="3">
        <f>VALUE(SUBSTITUTE(MID($A310,K310+K$2+1,L310-K310-K$2-1),",","."))</f>
        <v>11.34</v>
      </c>
      <c r="AE310" s="3">
        <f>VALUE(SUBSTITUTE(MID($A310,L310+L$2+1,M310-L310-L$2-1),",","."))</f>
        <v>0</v>
      </c>
      <c r="AF310" s="3">
        <f>VALUE(SUBSTITUTE(MID($A310,M310+M$2+1,N310-M310-M$2-1),",","."))</f>
        <v>0</v>
      </c>
      <c r="AG310" s="3">
        <f>VALUE(SUBSTITUTE(MID($A310,N310+N$2+1,O310-N310-N$2-1),",","."))</f>
        <v>4.2122163503195003</v>
      </c>
      <c r="AH310" t="str">
        <f>MID($A310,O310+O$2+1,P310-O310-O$2-1)</f>
        <v/>
      </c>
      <c r="AI310" s="8" t="str">
        <f>MID($A310,P310+P$2+1,Q310-P310-P$2-1)</f>
        <v>False</v>
      </c>
      <c r="AK310" t="b">
        <f t="shared" si="42"/>
        <v>0</v>
      </c>
    </row>
    <row r="311" spans="1:37" x14ac:dyDescent="0.35">
      <c r="A311" t="s">
        <v>4858</v>
      </c>
      <c r="B311">
        <f t="shared" si="43"/>
        <v>10</v>
      </c>
      <c r="C311">
        <f t="shared" si="43"/>
        <v>43</v>
      </c>
      <c r="D311">
        <f t="shared" si="43"/>
        <v>54</v>
      </c>
      <c r="E311">
        <f t="shared" si="43"/>
        <v>80</v>
      </c>
      <c r="F311">
        <f t="shared" si="43"/>
        <v>124</v>
      </c>
      <c r="G311">
        <f t="shared" si="43"/>
        <v>145</v>
      </c>
      <c r="H311">
        <f t="shared" si="43"/>
        <v>177</v>
      </c>
      <c r="I311">
        <f t="shared" si="43"/>
        <v>199</v>
      </c>
      <c r="J311">
        <f t="shared" si="43"/>
        <v>232</v>
      </c>
      <c r="K311">
        <f t="shared" si="43"/>
        <v>252</v>
      </c>
      <c r="L311">
        <f t="shared" si="43"/>
        <v>271</v>
      </c>
      <c r="M311">
        <f t="shared" si="43"/>
        <v>286</v>
      </c>
      <c r="N311">
        <f t="shared" si="43"/>
        <v>298</v>
      </c>
      <c r="O311">
        <f t="shared" si="43"/>
        <v>323</v>
      </c>
      <c r="P311">
        <f t="shared" si="43"/>
        <v>341</v>
      </c>
      <c r="Q311">
        <f t="shared" si="43"/>
        <v>367</v>
      </c>
      <c r="S311" t="str">
        <f t="shared" si="37"/>
        <v>30.11.2025</v>
      </c>
      <c r="T311" t="str">
        <f t="shared" si="38"/>
        <v>00:15:00</v>
      </c>
      <c r="U311" t="str">
        <f t="shared" si="41"/>
        <v>30.11.2025 00:15:00</v>
      </c>
      <c r="V311" s="9" t="str">
        <f>MID($A311,C311+C$2+1,D311-C311-C$2-1)</f>
        <v>0</v>
      </c>
      <c r="W311" s="4">
        <f>VALUE(SUBSTITUTE(MID($A311,D311+D$2+1,E311-D311-D$2-1),",","."))</f>
        <v>0</v>
      </c>
      <c r="X311" s="4">
        <f>VALUE(SUBSTITUTE(MID($A311,E311+E$2+1,F311-E311-E$2-1),",","."))</f>
        <v>0.90957602214449496</v>
      </c>
      <c r="Y311" s="4">
        <f>VALUE(SUBSTITUTE(MID($A311,F311+F$2+1,G311-F311-F$2-1),",","."))</f>
        <v>0</v>
      </c>
      <c r="Z311" s="3">
        <f>VALUE(SUBSTITUTE(MID($A311,G311+G$2+1,H311-G311-G$2-1),",","."))</f>
        <v>0</v>
      </c>
      <c r="AA311" s="3">
        <f>VALUE(SUBSTITUTE(MID($A311,H311+H$2+1,I311-H311-H$2-1),",","."))</f>
        <v>0</v>
      </c>
      <c r="AB311" s="3">
        <f>VALUE(SUBSTITUTE(MID($A311,I311+I$2+1,J311-I311-I$2-1),",","."))</f>
        <v>0</v>
      </c>
      <c r="AC311" s="3">
        <f>VALUE(SUBSTITUTE(MID($A311,J311+J$2+1,K311-J311-J$2-1),",","."))</f>
        <v>-0.2</v>
      </c>
      <c r="AD311" s="3">
        <f>VALUE(SUBSTITUTE(MID($A311,K311+K$2+1,L311-K311-K$2-1),",","."))</f>
        <v>11.34</v>
      </c>
      <c r="AE311" s="3">
        <f>VALUE(SUBSTITUTE(MID($A311,L311+L$2+1,M311-L311-L$2-1),",","."))</f>
        <v>0</v>
      </c>
      <c r="AF311" s="3">
        <f>VALUE(SUBSTITUTE(MID($A311,M311+M$2+1,N311-M311-M$2-1),",","."))</f>
        <v>0</v>
      </c>
      <c r="AG311" s="3">
        <f>VALUE(SUBSTITUTE(MID($A311,N311+N$2+1,O311-N311-N$2-1),",","."))</f>
        <v>4.2122448702075799</v>
      </c>
      <c r="AH311" t="str">
        <f>MID($A311,O311+O$2+1,P311-O311-O$2-1)</f>
        <v/>
      </c>
      <c r="AI311" s="8" t="str">
        <f>MID($A311,P311+P$2+1,Q311-P311-P$2-1)</f>
        <v>False</v>
      </c>
      <c r="AK311" t="b">
        <f t="shared" si="42"/>
        <v>0</v>
      </c>
    </row>
    <row r="312" spans="1:37" x14ac:dyDescent="0.35">
      <c r="A312" t="s">
        <v>4859</v>
      </c>
      <c r="B312">
        <f t="shared" si="43"/>
        <v>10</v>
      </c>
      <c r="C312">
        <f t="shared" si="43"/>
        <v>43</v>
      </c>
      <c r="D312">
        <f t="shared" si="43"/>
        <v>54</v>
      </c>
      <c r="E312">
        <f t="shared" si="43"/>
        <v>80</v>
      </c>
      <c r="F312">
        <f t="shared" si="43"/>
        <v>124</v>
      </c>
      <c r="G312">
        <f t="shared" si="43"/>
        <v>145</v>
      </c>
      <c r="H312">
        <f t="shared" si="43"/>
        <v>177</v>
      </c>
      <c r="I312">
        <f t="shared" si="43"/>
        <v>199</v>
      </c>
      <c r="J312">
        <f t="shared" si="43"/>
        <v>232</v>
      </c>
      <c r="K312">
        <f t="shared" si="43"/>
        <v>251</v>
      </c>
      <c r="L312">
        <f t="shared" si="43"/>
        <v>283</v>
      </c>
      <c r="M312">
        <f t="shared" si="43"/>
        <v>298</v>
      </c>
      <c r="N312">
        <f t="shared" ref="N312:Q375" si="44">FIND(N$1,$A312)</f>
        <v>310</v>
      </c>
      <c r="O312">
        <f t="shared" si="44"/>
        <v>336</v>
      </c>
      <c r="P312">
        <f t="shared" si="44"/>
        <v>354</v>
      </c>
      <c r="Q312">
        <f t="shared" si="44"/>
        <v>380</v>
      </c>
      <c r="S312" t="str">
        <f t="shared" ref="S312:S375" si="45">LEFT(U312,10)</f>
        <v>30.11.2025</v>
      </c>
      <c r="T312" t="str">
        <f t="shared" ref="T312:T375" si="46">MID(U312,12,8)</f>
        <v>00:30:00</v>
      </c>
      <c r="U312" t="str">
        <f t="shared" si="41"/>
        <v>30.11.2025 00:30:00</v>
      </c>
      <c r="V312" s="9" t="str">
        <f>MID($A312,C312+C$2+1,D312-C312-C$2-1)</f>
        <v>0</v>
      </c>
      <c r="W312" s="4">
        <f>VALUE(SUBSTITUTE(MID($A312,D312+D$2+1,E312-D312-D$2-1),",","."))</f>
        <v>0</v>
      </c>
      <c r="X312" s="4">
        <f>VALUE(SUBSTITUTE(MID($A312,E312+E$2+1,F312-E312-E$2-1),",","."))</f>
        <v>0.90957602214449496</v>
      </c>
      <c r="Y312" s="4">
        <f>VALUE(SUBSTITUTE(MID($A312,F312+F$2+1,G312-F312-F$2-1),",","."))</f>
        <v>0</v>
      </c>
      <c r="Z312" s="3">
        <f>VALUE(SUBSTITUTE(MID($A312,G312+G$2+1,H312-G312-G$2-1),",","."))</f>
        <v>0</v>
      </c>
      <c r="AA312" s="3">
        <f>VALUE(SUBSTITUTE(MID($A312,H312+H$2+1,I312-H312-H$2-1),",","."))</f>
        <v>0</v>
      </c>
      <c r="AB312" s="3">
        <f>VALUE(SUBSTITUTE(MID($A312,I312+I$2+1,J312-I312-I$2-1),",","."))</f>
        <v>0</v>
      </c>
      <c r="AC312" s="3">
        <f>VALUE(SUBSTITUTE(MID($A312,J312+J$2+1,K312-J312-J$2-1),",","."))</f>
        <v>0.1</v>
      </c>
      <c r="AD312" s="3">
        <f>VALUE(SUBSTITUTE(MID($A312,K312+K$2+1,L312-K312-K$2-1),",","."))</f>
        <v>10.44</v>
      </c>
      <c r="AE312" s="3">
        <f>VALUE(SUBSTITUTE(MID($A312,L312+L$2+1,M312-L312-L$2-1),",","."))</f>
        <v>0</v>
      </c>
      <c r="AF312" s="3">
        <f>VALUE(SUBSTITUTE(MID($A312,M312+M$2+1,N312-M312-M$2-1),",","."))</f>
        <v>0</v>
      </c>
      <c r="AG312" s="3">
        <f>VALUE(SUBSTITUTE(MID($A312,N312+N$2+1,O312-N312-N$2-1),",","."))</f>
        <v>4.2122733900956604</v>
      </c>
      <c r="AH312" t="str">
        <f>MID($A312,O312+O$2+1,P312-O312-O$2-1)</f>
        <v/>
      </c>
      <c r="AI312" s="8" t="str">
        <f>MID($A312,P312+P$2+1,Q312-P312-P$2-1)</f>
        <v>False</v>
      </c>
      <c r="AK312" t="b">
        <f t="shared" si="42"/>
        <v>0</v>
      </c>
    </row>
    <row r="313" spans="1:37" x14ac:dyDescent="0.35">
      <c r="A313" t="s">
        <v>4860</v>
      </c>
      <c r="B313">
        <f t="shared" ref="B313:M334" si="47">FIND(B$1,$A313)</f>
        <v>10</v>
      </c>
      <c r="C313">
        <f t="shared" si="47"/>
        <v>43</v>
      </c>
      <c r="D313">
        <f t="shared" si="47"/>
        <v>54</v>
      </c>
      <c r="E313">
        <f t="shared" si="47"/>
        <v>80</v>
      </c>
      <c r="F313">
        <f t="shared" si="47"/>
        <v>124</v>
      </c>
      <c r="G313">
        <f t="shared" si="47"/>
        <v>145</v>
      </c>
      <c r="H313">
        <f t="shared" si="47"/>
        <v>177</v>
      </c>
      <c r="I313">
        <f t="shared" si="47"/>
        <v>199</v>
      </c>
      <c r="J313">
        <f t="shared" si="47"/>
        <v>232</v>
      </c>
      <c r="K313">
        <f t="shared" si="47"/>
        <v>251</v>
      </c>
      <c r="L313">
        <f t="shared" si="47"/>
        <v>283</v>
      </c>
      <c r="M313">
        <f t="shared" si="47"/>
        <v>298</v>
      </c>
      <c r="N313">
        <f t="shared" si="44"/>
        <v>310</v>
      </c>
      <c r="O313">
        <f t="shared" si="44"/>
        <v>335</v>
      </c>
      <c r="P313">
        <f t="shared" si="44"/>
        <v>353</v>
      </c>
      <c r="Q313">
        <f t="shared" si="44"/>
        <v>379</v>
      </c>
      <c r="S313" t="str">
        <f t="shared" si="45"/>
        <v>30.11.2025</v>
      </c>
      <c r="T313" t="str">
        <f t="shared" si="46"/>
        <v>00:45:00</v>
      </c>
      <c r="U313" t="str">
        <f t="shared" si="41"/>
        <v>30.11.2025 00:45:00</v>
      </c>
      <c r="V313" s="9" t="str">
        <f>MID($A313,C313+C$2+1,D313-C313-C$2-1)</f>
        <v>0</v>
      </c>
      <c r="W313" s="4">
        <f>VALUE(SUBSTITUTE(MID($A313,D313+D$2+1,E313-D313-D$2-1),",","."))</f>
        <v>0</v>
      </c>
      <c r="X313" s="4">
        <f>VALUE(SUBSTITUTE(MID($A313,E313+E$2+1,F313-E313-E$2-1),",","."))</f>
        <v>0.90957602214449496</v>
      </c>
      <c r="Y313" s="4">
        <f>VALUE(SUBSTITUTE(MID($A313,F313+F$2+1,G313-F313-F$2-1),",","."))</f>
        <v>0</v>
      </c>
      <c r="Z313" s="3">
        <f>VALUE(SUBSTITUTE(MID($A313,G313+G$2+1,H313-G313-G$2-1),",","."))</f>
        <v>0</v>
      </c>
      <c r="AA313" s="3">
        <f>VALUE(SUBSTITUTE(MID($A313,H313+H$2+1,I313-H313-H$2-1),",","."))</f>
        <v>0</v>
      </c>
      <c r="AB313" s="3">
        <f>VALUE(SUBSTITUTE(MID($A313,I313+I$2+1,J313-I313-I$2-1),",","."))</f>
        <v>0</v>
      </c>
      <c r="AC313" s="3">
        <f>VALUE(SUBSTITUTE(MID($A313,J313+J$2+1,K313-J313-J$2-1),",","."))</f>
        <v>0.1</v>
      </c>
      <c r="AD313" s="3">
        <f>VALUE(SUBSTITUTE(MID($A313,K313+K$2+1,L313-K313-K$2-1),",","."))</f>
        <v>10.44</v>
      </c>
      <c r="AE313" s="3">
        <f>VALUE(SUBSTITUTE(MID($A313,L313+L$2+1,M313-L313-L$2-1),",","."))</f>
        <v>0</v>
      </c>
      <c r="AF313" s="3">
        <f>VALUE(SUBSTITUTE(MID($A313,M313+M$2+1,N313-M313-M$2-1),",","."))</f>
        <v>0</v>
      </c>
      <c r="AG313" s="3">
        <f>VALUE(SUBSTITUTE(MID($A313,N313+N$2+1,O313-N313-N$2-1),",","."))</f>
        <v>4.21230190998374</v>
      </c>
      <c r="AH313" t="str">
        <f>MID($A313,O313+O$2+1,P313-O313-O$2-1)</f>
        <v/>
      </c>
      <c r="AI313" s="8" t="str">
        <f>MID($A313,P313+P$2+1,Q313-P313-P$2-1)</f>
        <v>False</v>
      </c>
      <c r="AK313" t="b">
        <f t="shared" si="42"/>
        <v>0</v>
      </c>
    </row>
    <row r="314" spans="1:37" x14ac:dyDescent="0.35">
      <c r="A314" t="s">
        <v>4861</v>
      </c>
      <c r="B314">
        <f t="shared" si="47"/>
        <v>10</v>
      </c>
      <c r="C314">
        <f t="shared" si="47"/>
        <v>43</v>
      </c>
      <c r="D314">
        <f t="shared" si="47"/>
        <v>54</v>
      </c>
      <c r="E314">
        <f t="shared" si="47"/>
        <v>80</v>
      </c>
      <c r="F314">
        <f t="shared" si="47"/>
        <v>124</v>
      </c>
      <c r="G314">
        <f t="shared" si="47"/>
        <v>145</v>
      </c>
      <c r="H314">
        <f t="shared" si="47"/>
        <v>177</v>
      </c>
      <c r="I314">
        <f t="shared" si="47"/>
        <v>199</v>
      </c>
      <c r="J314">
        <f t="shared" si="47"/>
        <v>232</v>
      </c>
      <c r="K314">
        <f t="shared" si="47"/>
        <v>251</v>
      </c>
      <c r="L314">
        <f t="shared" si="47"/>
        <v>283</v>
      </c>
      <c r="M314">
        <f t="shared" si="47"/>
        <v>298</v>
      </c>
      <c r="N314">
        <f t="shared" si="44"/>
        <v>310</v>
      </c>
      <c r="O314">
        <f t="shared" si="44"/>
        <v>335</v>
      </c>
      <c r="P314">
        <f t="shared" si="44"/>
        <v>353</v>
      </c>
      <c r="Q314">
        <f t="shared" si="44"/>
        <v>379</v>
      </c>
      <c r="S314" t="str">
        <f t="shared" si="45"/>
        <v>30.11.2025</v>
      </c>
      <c r="T314" t="str">
        <f t="shared" si="46"/>
        <v>01:00:00</v>
      </c>
      <c r="U314" t="str">
        <f t="shared" si="41"/>
        <v>30.11.2025 01:00:00</v>
      </c>
      <c r="V314" s="9" t="str">
        <f>MID($A314,C314+C$2+1,D314-C314-C$2-1)</f>
        <v>0</v>
      </c>
      <c r="W314" s="4">
        <f>VALUE(SUBSTITUTE(MID($A314,D314+D$2+1,E314-D314-D$2-1),",","."))</f>
        <v>0</v>
      </c>
      <c r="X314" s="4">
        <f>VALUE(SUBSTITUTE(MID($A314,E314+E$2+1,F314-E314-E$2-1),",","."))</f>
        <v>0.90957602214449496</v>
      </c>
      <c r="Y314" s="4">
        <f>VALUE(SUBSTITUTE(MID($A314,F314+F$2+1,G314-F314-F$2-1),",","."))</f>
        <v>0</v>
      </c>
      <c r="Z314" s="3">
        <f>VALUE(SUBSTITUTE(MID($A314,G314+G$2+1,H314-G314-G$2-1),",","."))</f>
        <v>0</v>
      </c>
      <c r="AA314" s="3">
        <f>VALUE(SUBSTITUTE(MID($A314,H314+H$2+1,I314-H314-H$2-1),",","."))</f>
        <v>0</v>
      </c>
      <c r="AB314" s="3">
        <f>VALUE(SUBSTITUTE(MID($A314,I314+I$2+1,J314-I314-I$2-1),",","."))</f>
        <v>0</v>
      </c>
      <c r="AC314" s="3">
        <f>VALUE(SUBSTITUTE(MID($A314,J314+J$2+1,K314-J314-J$2-1),",","."))</f>
        <v>0.1</v>
      </c>
      <c r="AD314" s="3">
        <f>VALUE(SUBSTITUTE(MID($A314,K314+K$2+1,L314-K314-K$2-1),",","."))</f>
        <v>10.44</v>
      </c>
      <c r="AE314" s="3">
        <f>VALUE(SUBSTITUTE(MID($A314,L314+L$2+1,M314-L314-L$2-1),",","."))</f>
        <v>0</v>
      </c>
      <c r="AF314" s="3">
        <f>VALUE(SUBSTITUTE(MID($A314,M314+M$2+1,N314-M314-M$2-1),",","."))</f>
        <v>0</v>
      </c>
      <c r="AG314" s="3">
        <f>VALUE(SUBSTITUTE(MID($A314,N314+N$2+1,O314-N314-N$2-1),",","."))</f>
        <v>4.2123304298718303</v>
      </c>
      <c r="AH314" t="str">
        <f>MID($A314,O314+O$2+1,P314-O314-O$2-1)</f>
        <v/>
      </c>
      <c r="AI314" s="8" t="str">
        <f>MID($A314,P314+P$2+1,Q314-P314-P$2-1)</f>
        <v>False</v>
      </c>
      <c r="AK314" t="b">
        <f t="shared" si="42"/>
        <v>0</v>
      </c>
    </row>
    <row r="315" spans="1:37" x14ac:dyDescent="0.35">
      <c r="A315" t="s">
        <v>4862</v>
      </c>
      <c r="B315">
        <f t="shared" si="47"/>
        <v>10</v>
      </c>
      <c r="C315">
        <f t="shared" si="47"/>
        <v>43</v>
      </c>
      <c r="D315">
        <f t="shared" si="47"/>
        <v>54</v>
      </c>
      <c r="E315">
        <f t="shared" si="47"/>
        <v>80</v>
      </c>
      <c r="F315">
        <f t="shared" si="47"/>
        <v>124</v>
      </c>
      <c r="G315">
        <f t="shared" si="47"/>
        <v>145</v>
      </c>
      <c r="H315">
        <f t="shared" si="47"/>
        <v>177</v>
      </c>
      <c r="I315">
        <f t="shared" si="47"/>
        <v>199</v>
      </c>
      <c r="J315">
        <f t="shared" si="47"/>
        <v>232</v>
      </c>
      <c r="K315">
        <f t="shared" si="47"/>
        <v>251</v>
      </c>
      <c r="L315">
        <f t="shared" si="47"/>
        <v>283</v>
      </c>
      <c r="M315">
        <f t="shared" si="47"/>
        <v>298</v>
      </c>
      <c r="N315">
        <f t="shared" si="44"/>
        <v>310</v>
      </c>
      <c r="O315">
        <f t="shared" si="44"/>
        <v>336</v>
      </c>
      <c r="P315">
        <f t="shared" si="44"/>
        <v>354</v>
      </c>
      <c r="Q315">
        <f t="shared" si="44"/>
        <v>380</v>
      </c>
      <c r="S315" t="str">
        <f t="shared" si="45"/>
        <v>30.11.2025</v>
      </c>
      <c r="T315" t="str">
        <f t="shared" si="46"/>
        <v>01:15:00</v>
      </c>
      <c r="U315" t="str">
        <f t="shared" si="41"/>
        <v>30.11.2025 01:15:00</v>
      </c>
      <c r="V315" s="9" t="str">
        <f>MID($A315,C315+C$2+1,D315-C315-C$2-1)</f>
        <v>0</v>
      </c>
      <c r="W315" s="4">
        <f>VALUE(SUBSTITUTE(MID($A315,D315+D$2+1,E315-D315-D$2-1),",","."))</f>
        <v>0</v>
      </c>
      <c r="X315" s="4">
        <f>VALUE(SUBSTITUTE(MID($A315,E315+E$2+1,F315-E315-E$2-1),",","."))</f>
        <v>0.90957602214449496</v>
      </c>
      <c r="Y315" s="4">
        <f>VALUE(SUBSTITUTE(MID($A315,F315+F$2+1,G315-F315-F$2-1),",","."))</f>
        <v>0</v>
      </c>
      <c r="Z315" s="3">
        <f>VALUE(SUBSTITUTE(MID($A315,G315+G$2+1,H315-G315-G$2-1),",","."))</f>
        <v>0</v>
      </c>
      <c r="AA315" s="3">
        <f>VALUE(SUBSTITUTE(MID($A315,H315+H$2+1,I315-H315-H$2-1),",","."))</f>
        <v>0</v>
      </c>
      <c r="AB315" s="3">
        <f>VALUE(SUBSTITUTE(MID($A315,I315+I$2+1,J315-I315-I$2-1),",","."))</f>
        <v>0</v>
      </c>
      <c r="AC315" s="3">
        <f>VALUE(SUBSTITUTE(MID($A315,J315+J$2+1,K315-J315-J$2-1),",","."))</f>
        <v>0.1</v>
      </c>
      <c r="AD315" s="3">
        <f>VALUE(SUBSTITUTE(MID($A315,K315+K$2+1,L315-K315-K$2-1),",","."))</f>
        <v>10.44</v>
      </c>
      <c r="AE315" s="3">
        <f>VALUE(SUBSTITUTE(MID($A315,L315+L$2+1,M315-L315-L$2-1),",","."))</f>
        <v>0</v>
      </c>
      <c r="AF315" s="3">
        <f>VALUE(SUBSTITUTE(MID($A315,M315+M$2+1,N315-M315-M$2-1),",","."))</f>
        <v>0</v>
      </c>
      <c r="AG315" s="3">
        <f>VALUE(SUBSTITUTE(MID($A315,N315+N$2+1,O315-N315-N$2-1),",","."))</f>
        <v>4.2123589497599099</v>
      </c>
      <c r="AH315" t="str">
        <f>MID($A315,O315+O$2+1,P315-O315-O$2-1)</f>
        <v/>
      </c>
      <c r="AI315" s="8" t="str">
        <f>MID($A315,P315+P$2+1,Q315-P315-P$2-1)</f>
        <v>False</v>
      </c>
      <c r="AK315" t="b">
        <f t="shared" si="42"/>
        <v>0</v>
      </c>
    </row>
    <row r="316" spans="1:37" x14ac:dyDescent="0.35">
      <c r="A316" t="s">
        <v>4863</v>
      </c>
      <c r="B316">
        <f t="shared" si="47"/>
        <v>10</v>
      </c>
      <c r="C316">
        <f t="shared" si="47"/>
        <v>43</v>
      </c>
      <c r="D316">
        <f t="shared" si="47"/>
        <v>54</v>
      </c>
      <c r="E316">
        <f t="shared" si="47"/>
        <v>80</v>
      </c>
      <c r="F316">
        <f t="shared" si="47"/>
        <v>124</v>
      </c>
      <c r="G316">
        <f t="shared" si="47"/>
        <v>145</v>
      </c>
      <c r="H316">
        <f t="shared" si="47"/>
        <v>177</v>
      </c>
      <c r="I316">
        <f t="shared" si="47"/>
        <v>199</v>
      </c>
      <c r="J316">
        <f t="shared" si="47"/>
        <v>232</v>
      </c>
      <c r="K316">
        <f t="shared" si="47"/>
        <v>252</v>
      </c>
      <c r="L316">
        <f t="shared" si="47"/>
        <v>270</v>
      </c>
      <c r="M316">
        <f t="shared" si="47"/>
        <v>285</v>
      </c>
      <c r="N316">
        <f t="shared" si="44"/>
        <v>297</v>
      </c>
      <c r="O316">
        <f t="shared" si="44"/>
        <v>322</v>
      </c>
      <c r="P316">
        <f t="shared" si="44"/>
        <v>340</v>
      </c>
      <c r="Q316">
        <f t="shared" si="44"/>
        <v>366</v>
      </c>
      <c r="S316" t="str">
        <f t="shared" si="45"/>
        <v>30.11.2025</v>
      </c>
      <c r="T316" t="str">
        <f t="shared" si="46"/>
        <v>01:30:00</v>
      </c>
      <c r="U316" t="str">
        <f t="shared" si="41"/>
        <v>30.11.2025 01:30:00</v>
      </c>
      <c r="V316" s="9" t="str">
        <f>MID($A316,C316+C$2+1,D316-C316-C$2-1)</f>
        <v>0</v>
      </c>
      <c r="W316" s="4">
        <f>VALUE(SUBSTITUTE(MID($A316,D316+D$2+1,E316-D316-D$2-1),",","."))</f>
        <v>0</v>
      </c>
      <c r="X316" s="4">
        <f>VALUE(SUBSTITUTE(MID($A316,E316+E$2+1,F316-E316-E$2-1),",","."))</f>
        <v>0.90957602214449496</v>
      </c>
      <c r="Y316" s="4">
        <f>VALUE(SUBSTITUTE(MID($A316,F316+F$2+1,G316-F316-F$2-1),",","."))</f>
        <v>0</v>
      </c>
      <c r="Z316" s="3">
        <f>VALUE(SUBSTITUTE(MID($A316,G316+G$2+1,H316-G316-G$2-1),",","."))</f>
        <v>0</v>
      </c>
      <c r="AA316" s="3">
        <f>VALUE(SUBSTITUTE(MID($A316,H316+H$2+1,I316-H316-H$2-1),",","."))</f>
        <v>0</v>
      </c>
      <c r="AB316" s="3">
        <f>VALUE(SUBSTITUTE(MID($A316,I316+I$2+1,J316-I316-I$2-1),",","."))</f>
        <v>0</v>
      </c>
      <c r="AC316" s="3">
        <f>VALUE(SUBSTITUTE(MID($A316,J316+J$2+1,K316-J316-J$2-1),",","."))</f>
        <v>0.05</v>
      </c>
      <c r="AD316" s="3">
        <f>VALUE(SUBSTITUTE(MID($A316,K316+K$2+1,L316-K316-K$2-1),",","."))</f>
        <v>8.64</v>
      </c>
      <c r="AE316" s="3">
        <f>VALUE(SUBSTITUTE(MID($A316,L316+L$2+1,M316-L316-L$2-1),",","."))</f>
        <v>0</v>
      </c>
      <c r="AF316" s="3">
        <f>VALUE(SUBSTITUTE(MID($A316,M316+M$2+1,N316-M316-M$2-1),",","."))</f>
        <v>0</v>
      </c>
      <c r="AG316" s="3">
        <f>VALUE(SUBSTITUTE(MID($A316,N316+N$2+1,O316-N316-N$2-1),",","."))</f>
        <v>4.2123874696479904</v>
      </c>
      <c r="AH316" t="str">
        <f>MID($A316,O316+O$2+1,P316-O316-O$2-1)</f>
        <v/>
      </c>
      <c r="AI316" s="8" t="str">
        <f>MID($A316,P316+P$2+1,Q316-P316-P$2-1)</f>
        <v>False</v>
      </c>
      <c r="AK316" t="b">
        <f t="shared" si="42"/>
        <v>0</v>
      </c>
    </row>
    <row r="317" spans="1:37" x14ac:dyDescent="0.35">
      <c r="A317" t="s">
        <v>4864</v>
      </c>
      <c r="B317">
        <f t="shared" si="47"/>
        <v>10</v>
      </c>
      <c r="C317">
        <f t="shared" si="47"/>
        <v>43</v>
      </c>
      <c r="D317">
        <f t="shared" si="47"/>
        <v>54</v>
      </c>
      <c r="E317">
        <f t="shared" si="47"/>
        <v>80</v>
      </c>
      <c r="F317">
        <f t="shared" si="47"/>
        <v>124</v>
      </c>
      <c r="G317">
        <f t="shared" si="47"/>
        <v>145</v>
      </c>
      <c r="H317">
        <f t="shared" si="47"/>
        <v>177</v>
      </c>
      <c r="I317">
        <f t="shared" si="47"/>
        <v>199</v>
      </c>
      <c r="J317">
        <f t="shared" si="47"/>
        <v>232</v>
      </c>
      <c r="K317">
        <f t="shared" si="47"/>
        <v>252</v>
      </c>
      <c r="L317">
        <f t="shared" si="47"/>
        <v>270</v>
      </c>
      <c r="M317">
        <f t="shared" si="47"/>
        <v>285</v>
      </c>
      <c r="N317">
        <f t="shared" si="44"/>
        <v>297</v>
      </c>
      <c r="O317">
        <f t="shared" si="44"/>
        <v>322</v>
      </c>
      <c r="P317">
        <f t="shared" si="44"/>
        <v>340</v>
      </c>
      <c r="Q317">
        <f t="shared" si="44"/>
        <v>366</v>
      </c>
      <c r="S317" t="str">
        <f t="shared" si="45"/>
        <v>30.11.2025</v>
      </c>
      <c r="T317" t="str">
        <f t="shared" si="46"/>
        <v>01:45:00</v>
      </c>
      <c r="U317" t="str">
        <f t="shared" si="41"/>
        <v>30.11.2025 01:45:00</v>
      </c>
      <c r="V317" s="9" t="str">
        <f>MID($A317,C317+C$2+1,D317-C317-C$2-1)</f>
        <v>0</v>
      </c>
      <c r="W317" s="4">
        <f>VALUE(SUBSTITUTE(MID($A317,D317+D$2+1,E317-D317-D$2-1),",","."))</f>
        <v>0</v>
      </c>
      <c r="X317" s="4">
        <f>VALUE(SUBSTITUTE(MID($A317,E317+E$2+1,F317-E317-E$2-1),",","."))</f>
        <v>0.90957602214449496</v>
      </c>
      <c r="Y317" s="4">
        <f>VALUE(SUBSTITUTE(MID($A317,F317+F$2+1,G317-F317-F$2-1),",","."))</f>
        <v>0</v>
      </c>
      <c r="Z317" s="3">
        <f>VALUE(SUBSTITUTE(MID($A317,G317+G$2+1,H317-G317-G$2-1),",","."))</f>
        <v>0</v>
      </c>
      <c r="AA317" s="3">
        <f>VALUE(SUBSTITUTE(MID($A317,H317+H$2+1,I317-H317-H$2-1),",","."))</f>
        <v>0</v>
      </c>
      <c r="AB317" s="3">
        <f>VALUE(SUBSTITUTE(MID($A317,I317+I$2+1,J317-I317-I$2-1),",","."))</f>
        <v>0</v>
      </c>
      <c r="AC317" s="3">
        <f>VALUE(SUBSTITUTE(MID($A317,J317+J$2+1,K317-J317-J$2-1),",","."))</f>
        <v>0.05</v>
      </c>
      <c r="AD317" s="3">
        <f>VALUE(SUBSTITUTE(MID($A317,K317+K$2+1,L317-K317-K$2-1),",","."))</f>
        <v>8.64</v>
      </c>
      <c r="AE317" s="3">
        <f>VALUE(SUBSTITUTE(MID($A317,L317+L$2+1,M317-L317-L$2-1),",","."))</f>
        <v>0</v>
      </c>
      <c r="AF317" s="3">
        <f>VALUE(SUBSTITUTE(MID($A317,M317+M$2+1,N317-M317-M$2-1),",","."))</f>
        <v>0</v>
      </c>
      <c r="AG317" s="3">
        <f>VALUE(SUBSTITUTE(MID($A317,N317+N$2+1,O317-N317-N$2-1),",","."))</f>
        <v>4.21241598953607</v>
      </c>
      <c r="AH317" t="str">
        <f>MID($A317,O317+O$2+1,P317-O317-O$2-1)</f>
        <v/>
      </c>
      <c r="AI317" s="8" t="str">
        <f>MID($A317,P317+P$2+1,Q317-P317-P$2-1)</f>
        <v>False</v>
      </c>
      <c r="AK317" t="b">
        <f t="shared" si="42"/>
        <v>0</v>
      </c>
    </row>
    <row r="318" spans="1:37" x14ac:dyDescent="0.35">
      <c r="A318" t="s">
        <v>4865</v>
      </c>
      <c r="B318">
        <f t="shared" si="47"/>
        <v>10</v>
      </c>
      <c r="C318">
        <f t="shared" si="47"/>
        <v>43</v>
      </c>
      <c r="D318">
        <f t="shared" si="47"/>
        <v>54</v>
      </c>
      <c r="E318">
        <f t="shared" si="47"/>
        <v>80</v>
      </c>
      <c r="F318">
        <f t="shared" si="47"/>
        <v>124</v>
      </c>
      <c r="G318">
        <f t="shared" si="47"/>
        <v>145</v>
      </c>
      <c r="H318">
        <f t="shared" si="47"/>
        <v>177</v>
      </c>
      <c r="I318">
        <f t="shared" si="47"/>
        <v>199</v>
      </c>
      <c r="J318">
        <f t="shared" si="47"/>
        <v>232</v>
      </c>
      <c r="K318">
        <f t="shared" si="47"/>
        <v>252</v>
      </c>
      <c r="L318">
        <f t="shared" si="47"/>
        <v>270</v>
      </c>
      <c r="M318">
        <f t="shared" si="47"/>
        <v>285</v>
      </c>
      <c r="N318">
        <f t="shared" si="44"/>
        <v>297</v>
      </c>
      <c r="O318">
        <f t="shared" si="44"/>
        <v>322</v>
      </c>
      <c r="P318">
        <f t="shared" si="44"/>
        <v>340</v>
      </c>
      <c r="Q318">
        <f t="shared" si="44"/>
        <v>366</v>
      </c>
      <c r="S318" t="str">
        <f t="shared" si="45"/>
        <v>30.11.2025</v>
      </c>
      <c r="T318" t="str">
        <f t="shared" si="46"/>
        <v>02:00:00</v>
      </c>
      <c r="U318" t="str">
        <f t="shared" si="41"/>
        <v>30.11.2025 02:00:00</v>
      </c>
      <c r="V318" s="9" t="str">
        <f>MID($A318,C318+C$2+1,D318-C318-C$2-1)</f>
        <v>0</v>
      </c>
      <c r="W318" s="4">
        <f>VALUE(SUBSTITUTE(MID($A318,D318+D$2+1,E318-D318-D$2-1),",","."))</f>
        <v>0</v>
      </c>
      <c r="X318" s="4">
        <f>VALUE(SUBSTITUTE(MID($A318,E318+E$2+1,F318-E318-E$2-1),",","."))</f>
        <v>0.90957602214449496</v>
      </c>
      <c r="Y318" s="4">
        <f>VALUE(SUBSTITUTE(MID($A318,F318+F$2+1,G318-F318-F$2-1),",","."))</f>
        <v>0</v>
      </c>
      <c r="Z318" s="3">
        <f>VALUE(SUBSTITUTE(MID($A318,G318+G$2+1,H318-G318-G$2-1),",","."))</f>
        <v>0</v>
      </c>
      <c r="AA318" s="3">
        <f>VALUE(SUBSTITUTE(MID($A318,H318+H$2+1,I318-H318-H$2-1),",","."))</f>
        <v>0</v>
      </c>
      <c r="AB318" s="3">
        <f>VALUE(SUBSTITUTE(MID($A318,I318+I$2+1,J318-I318-I$2-1),",","."))</f>
        <v>0</v>
      </c>
      <c r="AC318" s="3">
        <f>VALUE(SUBSTITUTE(MID($A318,J318+J$2+1,K318-J318-J$2-1),",","."))</f>
        <v>0.05</v>
      </c>
      <c r="AD318" s="3">
        <f>VALUE(SUBSTITUTE(MID($A318,K318+K$2+1,L318-K318-K$2-1),",","."))</f>
        <v>8.64</v>
      </c>
      <c r="AE318" s="3">
        <f>VALUE(SUBSTITUTE(MID($A318,L318+L$2+1,M318-L318-L$2-1),",","."))</f>
        <v>0</v>
      </c>
      <c r="AF318" s="3">
        <f>VALUE(SUBSTITUTE(MID($A318,M318+M$2+1,N318-M318-M$2-1),",","."))</f>
        <v>0</v>
      </c>
      <c r="AG318" s="3">
        <f>VALUE(SUBSTITUTE(MID($A318,N318+N$2+1,O318-N318-N$2-1),",","."))</f>
        <v>4.2124445094241496</v>
      </c>
      <c r="AH318" t="str">
        <f>MID($A318,O318+O$2+1,P318-O318-O$2-1)</f>
        <v/>
      </c>
      <c r="AI318" s="8" t="str">
        <f>MID($A318,P318+P$2+1,Q318-P318-P$2-1)</f>
        <v>False</v>
      </c>
      <c r="AK318" t="b">
        <f t="shared" si="42"/>
        <v>0</v>
      </c>
    </row>
    <row r="319" spans="1:37" x14ac:dyDescent="0.35">
      <c r="A319" t="s">
        <v>4866</v>
      </c>
      <c r="B319">
        <f t="shared" si="47"/>
        <v>10</v>
      </c>
      <c r="C319">
        <f t="shared" si="47"/>
        <v>43</v>
      </c>
      <c r="D319">
        <f t="shared" si="47"/>
        <v>54</v>
      </c>
      <c r="E319">
        <f t="shared" si="47"/>
        <v>80</v>
      </c>
      <c r="F319">
        <f t="shared" si="47"/>
        <v>124</v>
      </c>
      <c r="G319">
        <f t="shared" si="47"/>
        <v>145</v>
      </c>
      <c r="H319">
        <f t="shared" si="47"/>
        <v>177</v>
      </c>
      <c r="I319">
        <f t="shared" si="47"/>
        <v>199</v>
      </c>
      <c r="J319">
        <f t="shared" si="47"/>
        <v>232</v>
      </c>
      <c r="K319">
        <f t="shared" si="47"/>
        <v>252</v>
      </c>
      <c r="L319">
        <f t="shared" si="47"/>
        <v>270</v>
      </c>
      <c r="M319">
        <f t="shared" si="47"/>
        <v>285</v>
      </c>
      <c r="N319">
        <f t="shared" si="44"/>
        <v>297</v>
      </c>
      <c r="O319">
        <f t="shared" si="44"/>
        <v>322</v>
      </c>
      <c r="P319">
        <f t="shared" si="44"/>
        <v>340</v>
      </c>
      <c r="Q319">
        <f t="shared" si="44"/>
        <v>366</v>
      </c>
      <c r="S319" t="str">
        <f t="shared" si="45"/>
        <v>30.11.2025</v>
      </c>
      <c r="T319" t="str">
        <f t="shared" si="46"/>
        <v>02:15:00</v>
      </c>
      <c r="U319" t="str">
        <f t="shared" si="41"/>
        <v>30.11.2025 02:15:00</v>
      </c>
      <c r="V319" s="9" t="str">
        <f>MID($A319,C319+C$2+1,D319-C319-C$2-1)</f>
        <v>0</v>
      </c>
      <c r="W319" s="4">
        <f>VALUE(SUBSTITUTE(MID($A319,D319+D$2+1,E319-D319-D$2-1),",","."))</f>
        <v>0</v>
      </c>
      <c r="X319" s="4">
        <f>VALUE(SUBSTITUTE(MID($A319,E319+E$2+1,F319-E319-E$2-1),",","."))</f>
        <v>0.90957602214449496</v>
      </c>
      <c r="Y319" s="4">
        <f>VALUE(SUBSTITUTE(MID($A319,F319+F$2+1,G319-F319-F$2-1),",","."))</f>
        <v>0</v>
      </c>
      <c r="Z319" s="3">
        <f>VALUE(SUBSTITUTE(MID($A319,G319+G$2+1,H319-G319-G$2-1),",","."))</f>
        <v>0</v>
      </c>
      <c r="AA319" s="3">
        <f>VALUE(SUBSTITUTE(MID($A319,H319+H$2+1,I319-H319-H$2-1),",","."))</f>
        <v>0</v>
      </c>
      <c r="AB319" s="3">
        <f>VALUE(SUBSTITUTE(MID($A319,I319+I$2+1,J319-I319-I$2-1),",","."))</f>
        <v>0</v>
      </c>
      <c r="AC319" s="3">
        <f>VALUE(SUBSTITUTE(MID($A319,J319+J$2+1,K319-J319-J$2-1),",","."))</f>
        <v>0.05</v>
      </c>
      <c r="AD319" s="3">
        <f>VALUE(SUBSTITUTE(MID($A319,K319+K$2+1,L319-K319-K$2-1),",","."))</f>
        <v>8.64</v>
      </c>
      <c r="AE319" s="3">
        <f>VALUE(SUBSTITUTE(MID($A319,L319+L$2+1,M319-L319-L$2-1),",","."))</f>
        <v>0</v>
      </c>
      <c r="AF319" s="3">
        <f>VALUE(SUBSTITUTE(MID($A319,M319+M$2+1,N319-M319-M$2-1),",","."))</f>
        <v>0</v>
      </c>
      <c r="AG319" s="3">
        <f>VALUE(SUBSTITUTE(MID($A319,N319+N$2+1,O319-N319-N$2-1),",","."))</f>
        <v>4.2124730293122301</v>
      </c>
      <c r="AH319" t="str">
        <f>MID($A319,O319+O$2+1,P319-O319-O$2-1)</f>
        <v/>
      </c>
      <c r="AI319" s="8" t="str">
        <f>MID($A319,P319+P$2+1,Q319-P319-P$2-1)</f>
        <v>False</v>
      </c>
      <c r="AK319" t="b">
        <f t="shared" si="42"/>
        <v>0</v>
      </c>
    </row>
    <row r="320" spans="1:37" x14ac:dyDescent="0.35">
      <c r="A320" t="s">
        <v>4867</v>
      </c>
      <c r="B320">
        <f t="shared" si="47"/>
        <v>10</v>
      </c>
      <c r="C320">
        <f t="shared" si="47"/>
        <v>43</v>
      </c>
      <c r="D320">
        <f t="shared" si="47"/>
        <v>54</v>
      </c>
      <c r="E320">
        <f t="shared" si="47"/>
        <v>80</v>
      </c>
      <c r="F320">
        <f t="shared" si="47"/>
        <v>124</v>
      </c>
      <c r="G320">
        <f t="shared" si="47"/>
        <v>145</v>
      </c>
      <c r="H320">
        <f t="shared" si="47"/>
        <v>177</v>
      </c>
      <c r="I320">
        <f t="shared" si="47"/>
        <v>199</v>
      </c>
      <c r="J320">
        <f t="shared" si="47"/>
        <v>232</v>
      </c>
      <c r="K320">
        <f t="shared" si="47"/>
        <v>253</v>
      </c>
      <c r="L320">
        <f t="shared" si="47"/>
        <v>271</v>
      </c>
      <c r="M320">
        <f t="shared" si="47"/>
        <v>286</v>
      </c>
      <c r="N320">
        <f t="shared" si="44"/>
        <v>298</v>
      </c>
      <c r="O320">
        <f t="shared" si="44"/>
        <v>322</v>
      </c>
      <c r="P320">
        <f t="shared" si="44"/>
        <v>340</v>
      </c>
      <c r="Q320">
        <f t="shared" si="44"/>
        <v>366</v>
      </c>
      <c r="S320" t="str">
        <f t="shared" si="45"/>
        <v>30.11.2025</v>
      </c>
      <c r="T320" t="str">
        <f t="shared" si="46"/>
        <v>02:30:00</v>
      </c>
      <c r="U320" t="str">
        <f t="shared" si="41"/>
        <v>30.11.2025 02:30:00</v>
      </c>
      <c r="V320" s="9" t="str">
        <f>MID($A320,C320+C$2+1,D320-C320-C$2-1)</f>
        <v>0</v>
      </c>
      <c r="W320" s="4">
        <f>VALUE(SUBSTITUTE(MID($A320,D320+D$2+1,E320-D320-D$2-1),",","."))</f>
        <v>0</v>
      </c>
      <c r="X320" s="4">
        <f>VALUE(SUBSTITUTE(MID($A320,E320+E$2+1,F320-E320-E$2-1),",","."))</f>
        <v>0.90957602214449496</v>
      </c>
      <c r="Y320" s="4">
        <f>VALUE(SUBSTITUTE(MID($A320,F320+F$2+1,G320-F320-F$2-1),",","."))</f>
        <v>0</v>
      </c>
      <c r="Z320" s="3">
        <f>VALUE(SUBSTITUTE(MID($A320,G320+G$2+1,H320-G320-G$2-1),",","."))</f>
        <v>0</v>
      </c>
      <c r="AA320" s="3">
        <f>VALUE(SUBSTITUTE(MID($A320,H320+H$2+1,I320-H320-H$2-1),",","."))</f>
        <v>0</v>
      </c>
      <c r="AB320" s="3">
        <f>VALUE(SUBSTITUTE(MID($A320,I320+I$2+1,J320-I320-I$2-1),",","."))</f>
        <v>0</v>
      </c>
      <c r="AC320" s="3">
        <f>VALUE(SUBSTITUTE(MID($A320,J320+J$2+1,K320-J320-J$2-1),",","."))</f>
        <v>-0.05</v>
      </c>
      <c r="AD320" s="3">
        <f>VALUE(SUBSTITUTE(MID($A320,K320+K$2+1,L320-K320-K$2-1),",","."))</f>
        <v>17.100000000000001</v>
      </c>
      <c r="AE320" s="3">
        <f>VALUE(SUBSTITUTE(MID($A320,L320+L$2+1,M320-L320-L$2-1),",","."))</f>
        <v>0</v>
      </c>
      <c r="AF320" s="3">
        <f>VALUE(SUBSTITUTE(MID($A320,M320+M$2+1,N320-M320-M$2-1),",","."))</f>
        <v>0</v>
      </c>
      <c r="AG320" s="3">
        <f>VALUE(SUBSTITUTE(MID($A320,N320+N$2+1,O320-N320-N$2-1),",","."))</f>
        <v>4.2125015492003204</v>
      </c>
      <c r="AH320" t="str">
        <f>MID($A320,O320+O$2+1,P320-O320-O$2-1)</f>
        <v/>
      </c>
      <c r="AI320" s="8" t="str">
        <f>MID($A320,P320+P$2+1,Q320-P320-P$2-1)</f>
        <v>False</v>
      </c>
      <c r="AK320" t="b">
        <f t="shared" si="42"/>
        <v>0</v>
      </c>
    </row>
    <row r="321" spans="1:37" x14ac:dyDescent="0.35">
      <c r="A321" t="s">
        <v>4868</v>
      </c>
      <c r="B321">
        <f t="shared" si="47"/>
        <v>10</v>
      </c>
      <c r="C321">
        <f t="shared" si="47"/>
        <v>43</v>
      </c>
      <c r="D321">
        <f t="shared" si="47"/>
        <v>54</v>
      </c>
      <c r="E321">
        <f t="shared" si="47"/>
        <v>80</v>
      </c>
      <c r="F321">
        <f t="shared" si="47"/>
        <v>124</v>
      </c>
      <c r="G321">
        <f t="shared" si="47"/>
        <v>145</v>
      </c>
      <c r="H321">
        <f t="shared" si="47"/>
        <v>177</v>
      </c>
      <c r="I321">
        <f t="shared" si="47"/>
        <v>199</v>
      </c>
      <c r="J321">
        <f t="shared" si="47"/>
        <v>232</v>
      </c>
      <c r="K321">
        <f t="shared" si="47"/>
        <v>253</v>
      </c>
      <c r="L321">
        <f t="shared" si="47"/>
        <v>271</v>
      </c>
      <c r="M321">
        <f t="shared" si="47"/>
        <v>286</v>
      </c>
      <c r="N321">
        <f t="shared" si="44"/>
        <v>298</v>
      </c>
      <c r="O321">
        <f t="shared" si="44"/>
        <v>323</v>
      </c>
      <c r="P321">
        <f t="shared" si="44"/>
        <v>341</v>
      </c>
      <c r="Q321">
        <f t="shared" si="44"/>
        <v>367</v>
      </c>
      <c r="S321" t="str">
        <f t="shared" si="45"/>
        <v>30.11.2025</v>
      </c>
      <c r="T321" t="str">
        <f t="shared" si="46"/>
        <v>02:45:00</v>
      </c>
      <c r="U321" t="str">
        <f t="shared" si="41"/>
        <v>30.11.2025 02:45:00</v>
      </c>
      <c r="V321" s="9" t="str">
        <f>MID($A321,C321+C$2+1,D321-C321-C$2-1)</f>
        <v>0</v>
      </c>
      <c r="W321" s="4">
        <f>VALUE(SUBSTITUTE(MID($A321,D321+D$2+1,E321-D321-D$2-1),",","."))</f>
        <v>0</v>
      </c>
      <c r="X321" s="4">
        <f>VALUE(SUBSTITUTE(MID($A321,E321+E$2+1,F321-E321-E$2-1),",","."))</f>
        <v>0.90957602214449496</v>
      </c>
      <c r="Y321" s="4">
        <f>VALUE(SUBSTITUTE(MID($A321,F321+F$2+1,G321-F321-F$2-1),",","."))</f>
        <v>0</v>
      </c>
      <c r="Z321" s="3">
        <f>VALUE(SUBSTITUTE(MID($A321,G321+G$2+1,H321-G321-G$2-1),",","."))</f>
        <v>0</v>
      </c>
      <c r="AA321" s="3">
        <f>VALUE(SUBSTITUTE(MID($A321,H321+H$2+1,I321-H321-H$2-1),",","."))</f>
        <v>0</v>
      </c>
      <c r="AB321" s="3">
        <f>VALUE(SUBSTITUTE(MID($A321,I321+I$2+1,J321-I321-I$2-1),",","."))</f>
        <v>0</v>
      </c>
      <c r="AC321" s="3">
        <f>VALUE(SUBSTITUTE(MID($A321,J321+J$2+1,K321-J321-J$2-1),",","."))</f>
        <v>-0.05</v>
      </c>
      <c r="AD321" s="3">
        <f>VALUE(SUBSTITUTE(MID($A321,K321+K$2+1,L321-K321-K$2-1),",","."))</f>
        <v>17.100000000000001</v>
      </c>
      <c r="AE321" s="3">
        <f>VALUE(SUBSTITUTE(MID($A321,L321+L$2+1,M321-L321-L$2-1),",","."))</f>
        <v>0</v>
      </c>
      <c r="AF321" s="3">
        <f>VALUE(SUBSTITUTE(MID($A321,M321+M$2+1,N321-M321-M$2-1),",","."))</f>
        <v>0</v>
      </c>
      <c r="AG321" s="3">
        <f>VALUE(SUBSTITUTE(MID($A321,N321+N$2+1,O321-N321-N$2-1),",","."))</f>
        <v>4.2125300690884</v>
      </c>
      <c r="AH321" t="str">
        <f>MID($A321,O321+O$2+1,P321-O321-O$2-1)</f>
        <v/>
      </c>
      <c r="AI321" s="8" t="str">
        <f>MID($A321,P321+P$2+1,Q321-P321-P$2-1)</f>
        <v>False</v>
      </c>
      <c r="AK321" t="b">
        <f t="shared" si="42"/>
        <v>0</v>
      </c>
    </row>
    <row r="322" spans="1:37" x14ac:dyDescent="0.35">
      <c r="A322" t="s">
        <v>4869</v>
      </c>
      <c r="B322">
        <f t="shared" si="47"/>
        <v>10</v>
      </c>
      <c r="C322">
        <f t="shared" si="47"/>
        <v>43</v>
      </c>
      <c r="D322">
        <f t="shared" si="47"/>
        <v>54</v>
      </c>
      <c r="E322">
        <f t="shared" si="47"/>
        <v>80</v>
      </c>
      <c r="F322">
        <f t="shared" si="47"/>
        <v>124</v>
      </c>
      <c r="G322">
        <f t="shared" si="47"/>
        <v>145</v>
      </c>
      <c r="H322">
        <f t="shared" si="47"/>
        <v>177</v>
      </c>
      <c r="I322">
        <f t="shared" si="47"/>
        <v>199</v>
      </c>
      <c r="J322">
        <f t="shared" si="47"/>
        <v>232</v>
      </c>
      <c r="K322">
        <f t="shared" si="47"/>
        <v>253</v>
      </c>
      <c r="L322">
        <f t="shared" si="47"/>
        <v>271</v>
      </c>
      <c r="M322">
        <f t="shared" si="47"/>
        <v>286</v>
      </c>
      <c r="N322">
        <f t="shared" si="44"/>
        <v>298</v>
      </c>
      <c r="O322">
        <f t="shared" si="44"/>
        <v>323</v>
      </c>
      <c r="P322">
        <f t="shared" si="44"/>
        <v>341</v>
      </c>
      <c r="Q322">
        <f t="shared" si="44"/>
        <v>367</v>
      </c>
      <c r="S322" t="str">
        <f t="shared" si="45"/>
        <v>30.11.2025</v>
      </c>
      <c r="T322" t="str">
        <f t="shared" si="46"/>
        <v>03:00:00</v>
      </c>
      <c r="U322" t="str">
        <f t="shared" si="41"/>
        <v>30.11.2025 03:00:00</v>
      </c>
      <c r="V322" s="9" t="str">
        <f>MID($A322,C322+C$2+1,D322-C322-C$2-1)</f>
        <v>0</v>
      </c>
      <c r="W322" s="4">
        <f>VALUE(SUBSTITUTE(MID($A322,D322+D$2+1,E322-D322-D$2-1),",","."))</f>
        <v>0</v>
      </c>
      <c r="X322" s="4">
        <f>VALUE(SUBSTITUTE(MID($A322,E322+E$2+1,F322-E322-E$2-1),",","."))</f>
        <v>0.90957602214449496</v>
      </c>
      <c r="Y322" s="4">
        <f>VALUE(SUBSTITUTE(MID($A322,F322+F$2+1,G322-F322-F$2-1),",","."))</f>
        <v>0</v>
      </c>
      <c r="Z322" s="3">
        <f>VALUE(SUBSTITUTE(MID($A322,G322+G$2+1,H322-G322-G$2-1),",","."))</f>
        <v>0</v>
      </c>
      <c r="AA322" s="3">
        <f>VALUE(SUBSTITUTE(MID($A322,H322+H$2+1,I322-H322-H$2-1),",","."))</f>
        <v>0</v>
      </c>
      <c r="AB322" s="3">
        <f>VALUE(SUBSTITUTE(MID($A322,I322+I$2+1,J322-I322-I$2-1),",","."))</f>
        <v>0</v>
      </c>
      <c r="AC322" s="3">
        <f>VALUE(SUBSTITUTE(MID($A322,J322+J$2+1,K322-J322-J$2-1),",","."))</f>
        <v>-0.05</v>
      </c>
      <c r="AD322" s="3">
        <f>VALUE(SUBSTITUTE(MID($A322,K322+K$2+1,L322-K322-K$2-1),",","."))</f>
        <v>17.100000000000001</v>
      </c>
      <c r="AE322" s="3">
        <f>VALUE(SUBSTITUTE(MID($A322,L322+L$2+1,M322-L322-L$2-1),",","."))</f>
        <v>0</v>
      </c>
      <c r="AF322" s="3">
        <f>VALUE(SUBSTITUTE(MID($A322,M322+M$2+1,N322-M322-M$2-1),",","."))</f>
        <v>0</v>
      </c>
      <c r="AG322" s="3">
        <f>VALUE(SUBSTITUTE(MID($A322,N322+N$2+1,O322-N322-N$2-1),",","."))</f>
        <v>4.2125585889764796</v>
      </c>
      <c r="AH322" t="str">
        <f>MID($A322,O322+O$2+1,P322-O322-O$2-1)</f>
        <v/>
      </c>
      <c r="AI322" s="8" t="str">
        <f>MID($A322,P322+P$2+1,Q322-P322-P$2-1)</f>
        <v>False</v>
      </c>
      <c r="AK322" t="b">
        <f t="shared" si="42"/>
        <v>0</v>
      </c>
    </row>
    <row r="323" spans="1:37" x14ac:dyDescent="0.35">
      <c r="A323" t="s">
        <v>4870</v>
      </c>
      <c r="B323">
        <f t="shared" si="47"/>
        <v>10</v>
      </c>
      <c r="C323">
        <f t="shared" si="47"/>
        <v>43</v>
      </c>
      <c r="D323">
        <f t="shared" si="47"/>
        <v>54</v>
      </c>
      <c r="E323">
        <f t="shared" si="47"/>
        <v>80</v>
      </c>
      <c r="F323">
        <f t="shared" si="47"/>
        <v>124</v>
      </c>
      <c r="G323">
        <f t="shared" si="47"/>
        <v>145</v>
      </c>
      <c r="H323">
        <f t="shared" si="47"/>
        <v>177</v>
      </c>
      <c r="I323">
        <f t="shared" si="47"/>
        <v>199</v>
      </c>
      <c r="J323">
        <f t="shared" si="47"/>
        <v>232</v>
      </c>
      <c r="K323">
        <f t="shared" si="47"/>
        <v>253</v>
      </c>
      <c r="L323">
        <f t="shared" si="47"/>
        <v>271</v>
      </c>
      <c r="M323">
        <f t="shared" si="47"/>
        <v>286</v>
      </c>
      <c r="N323">
        <f t="shared" si="44"/>
        <v>298</v>
      </c>
      <c r="O323">
        <f t="shared" si="44"/>
        <v>324</v>
      </c>
      <c r="P323">
        <f t="shared" si="44"/>
        <v>342</v>
      </c>
      <c r="Q323">
        <f t="shared" si="44"/>
        <v>368</v>
      </c>
      <c r="S323" t="str">
        <f t="shared" si="45"/>
        <v>30.11.2025</v>
      </c>
      <c r="T323" t="str">
        <f t="shared" si="46"/>
        <v>03:15:00</v>
      </c>
      <c r="U323" t="str">
        <f t="shared" si="41"/>
        <v>30.11.2025 03:15:00</v>
      </c>
      <c r="V323" s="9" t="str">
        <f>MID($A323,C323+C$2+1,D323-C323-C$2-1)</f>
        <v>0</v>
      </c>
      <c r="W323" s="4">
        <f>VALUE(SUBSTITUTE(MID($A323,D323+D$2+1,E323-D323-D$2-1),",","."))</f>
        <v>0</v>
      </c>
      <c r="X323" s="4">
        <f>VALUE(SUBSTITUTE(MID($A323,E323+E$2+1,F323-E323-E$2-1),",","."))</f>
        <v>0.90957602214449496</v>
      </c>
      <c r="Y323" s="4">
        <f>VALUE(SUBSTITUTE(MID($A323,F323+F$2+1,G323-F323-F$2-1),",","."))</f>
        <v>0</v>
      </c>
      <c r="Z323" s="3">
        <f>VALUE(SUBSTITUTE(MID($A323,G323+G$2+1,H323-G323-G$2-1),",","."))</f>
        <v>0</v>
      </c>
      <c r="AA323" s="3">
        <f>VALUE(SUBSTITUTE(MID($A323,H323+H$2+1,I323-H323-H$2-1),",","."))</f>
        <v>0</v>
      </c>
      <c r="AB323" s="3">
        <f>VALUE(SUBSTITUTE(MID($A323,I323+I$2+1,J323-I323-I$2-1),",","."))</f>
        <v>0</v>
      </c>
      <c r="AC323" s="3">
        <f>VALUE(SUBSTITUTE(MID($A323,J323+J$2+1,K323-J323-J$2-1),",","."))</f>
        <v>-0.05</v>
      </c>
      <c r="AD323" s="3">
        <f>VALUE(SUBSTITUTE(MID($A323,K323+K$2+1,L323-K323-K$2-1),",","."))</f>
        <v>17.100000000000001</v>
      </c>
      <c r="AE323" s="3">
        <f>VALUE(SUBSTITUTE(MID($A323,L323+L$2+1,M323-L323-L$2-1),",","."))</f>
        <v>0</v>
      </c>
      <c r="AF323" s="3">
        <f>VALUE(SUBSTITUTE(MID($A323,M323+M$2+1,N323-M323-M$2-1),",","."))</f>
        <v>0</v>
      </c>
      <c r="AG323" s="3">
        <f>VALUE(SUBSTITUTE(MID($A323,N323+N$2+1,O323-N323-N$2-1),",","."))</f>
        <v>4.2125871088645601</v>
      </c>
      <c r="AH323" t="str">
        <f>MID($A323,O323+O$2+1,P323-O323-O$2-1)</f>
        <v/>
      </c>
      <c r="AI323" s="8" t="str">
        <f>MID($A323,P323+P$2+1,Q323-P323-P$2-1)</f>
        <v>False</v>
      </c>
      <c r="AK323" t="b">
        <f t="shared" si="42"/>
        <v>0</v>
      </c>
    </row>
    <row r="324" spans="1:37" x14ac:dyDescent="0.35">
      <c r="A324" t="s">
        <v>4871</v>
      </c>
      <c r="B324">
        <f t="shared" si="47"/>
        <v>10</v>
      </c>
      <c r="C324">
        <f t="shared" si="47"/>
        <v>43</v>
      </c>
      <c r="D324">
        <f t="shared" si="47"/>
        <v>54</v>
      </c>
      <c r="E324">
        <f t="shared" si="47"/>
        <v>80</v>
      </c>
      <c r="F324">
        <f t="shared" si="47"/>
        <v>124</v>
      </c>
      <c r="G324">
        <f t="shared" si="47"/>
        <v>145</v>
      </c>
      <c r="H324">
        <f t="shared" si="47"/>
        <v>177</v>
      </c>
      <c r="I324">
        <f t="shared" si="47"/>
        <v>199</v>
      </c>
      <c r="J324">
        <f t="shared" si="47"/>
        <v>232</v>
      </c>
      <c r="K324">
        <f t="shared" si="47"/>
        <v>253</v>
      </c>
      <c r="L324">
        <f t="shared" si="47"/>
        <v>272</v>
      </c>
      <c r="M324">
        <f t="shared" si="47"/>
        <v>287</v>
      </c>
      <c r="N324">
        <f t="shared" si="44"/>
        <v>299</v>
      </c>
      <c r="O324">
        <f t="shared" si="44"/>
        <v>324</v>
      </c>
      <c r="P324">
        <f t="shared" si="44"/>
        <v>342</v>
      </c>
      <c r="Q324">
        <f t="shared" si="44"/>
        <v>368</v>
      </c>
      <c r="S324" t="str">
        <f t="shared" si="45"/>
        <v>30.11.2025</v>
      </c>
      <c r="T324" t="str">
        <f t="shared" si="46"/>
        <v>03:30:00</v>
      </c>
      <c r="U324" t="str">
        <f t="shared" ref="U324:U387" si="48">MID($A324,B324+B$2+1,C324-B324-B$2-1)</f>
        <v>30.11.2025 03:30:00</v>
      </c>
      <c r="V324" s="9" t="str">
        <f>MID($A324,C324+C$2+1,D324-C324-C$2-1)</f>
        <v>0</v>
      </c>
      <c r="W324" s="4">
        <f>VALUE(SUBSTITUTE(MID($A324,D324+D$2+1,E324-D324-D$2-1),",","."))</f>
        <v>0</v>
      </c>
      <c r="X324" s="4">
        <f>VALUE(SUBSTITUTE(MID($A324,E324+E$2+1,F324-E324-E$2-1),",","."))</f>
        <v>0.90957602214449496</v>
      </c>
      <c r="Y324" s="4">
        <f>VALUE(SUBSTITUTE(MID($A324,F324+F$2+1,G324-F324-F$2-1),",","."))</f>
        <v>0</v>
      </c>
      <c r="Z324" s="3">
        <f>VALUE(SUBSTITUTE(MID($A324,G324+G$2+1,H324-G324-G$2-1),",","."))</f>
        <v>0</v>
      </c>
      <c r="AA324" s="3">
        <f>VALUE(SUBSTITUTE(MID($A324,H324+H$2+1,I324-H324-H$2-1),",","."))</f>
        <v>0</v>
      </c>
      <c r="AB324" s="3">
        <f>VALUE(SUBSTITUTE(MID($A324,I324+I$2+1,J324-I324-I$2-1),",","."))</f>
        <v>0</v>
      </c>
      <c r="AC324" s="3">
        <f>VALUE(SUBSTITUTE(MID($A324,J324+J$2+1,K324-J324-J$2-1),",","."))</f>
        <v>-0.05</v>
      </c>
      <c r="AD324" s="3">
        <f>VALUE(SUBSTITUTE(MID($A324,K324+K$2+1,L324-K324-K$2-1),",","."))</f>
        <v>17.28</v>
      </c>
      <c r="AE324" s="3">
        <f>VALUE(SUBSTITUTE(MID($A324,L324+L$2+1,M324-L324-L$2-1),",","."))</f>
        <v>0</v>
      </c>
      <c r="AF324" s="3">
        <f>VALUE(SUBSTITUTE(MID($A324,M324+M$2+1,N324-M324-M$2-1),",","."))</f>
        <v>0</v>
      </c>
      <c r="AG324" s="3">
        <f>VALUE(SUBSTITUTE(MID($A324,N324+N$2+1,O324-N324-N$2-1),",","."))</f>
        <v>4.2126156287526397</v>
      </c>
      <c r="AH324" t="str">
        <f>MID($A324,O324+O$2+1,P324-O324-O$2-1)</f>
        <v/>
      </c>
      <c r="AI324" s="8" t="str">
        <f>MID($A324,P324+P$2+1,Q324-P324-P$2-1)</f>
        <v>False</v>
      </c>
      <c r="AK324" t="b">
        <f t="shared" ref="AK324:AK387" si="49">AB324&gt;Z324</f>
        <v>0</v>
      </c>
    </row>
    <row r="325" spans="1:37" x14ac:dyDescent="0.35">
      <c r="A325" t="s">
        <v>4872</v>
      </c>
      <c r="B325">
        <f t="shared" si="47"/>
        <v>10</v>
      </c>
      <c r="C325">
        <f t="shared" si="47"/>
        <v>43</v>
      </c>
      <c r="D325">
        <f t="shared" si="47"/>
        <v>54</v>
      </c>
      <c r="E325">
        <f t="shared" si="47"/>
        <v>80</v>
      </c>
      <c r="F325">
        <f t="shared" si="47"/>
        <v>124</v>
      </c>
      <c r="G325">
        <f t="shared" si="47"/>
        <v>145</v>
      </c>
      <c r="H325">
        <f t="shared" si="47"/>
        <v>177</v>
      </c>
      <c r="I325">
        <f t="shared" si="47"/>
        <v>199</v>
      </c>
      <c r="J325">
        <f t="shared" si="47"/>
        <v>232</v>
      </c>
      <c r="K325">
        <f t="shared" si="47"/>
        <v>253</v>
      </c>
      <c r="L325">
        <f t="shared" si="47"/>
        <v>272</v>
      </c>
      <c r="M325">
        <f t="shared" si="47"/>
        <v>287</v>
      </c>
      <c r="N325">
        <f t="shared" si="44"/>
        <v>299</v>
      </c>
      <c r="O325">
        <f t="shared" si="44"/>
        <v>324</v>
      </c>
      <c r="P325">
        <f t="shared" si="44"/>
        <v>342</v>
      </c>
      <c r="Q325">
        <f t="shared" si="44"/>
        <v>368</v>
      </c>
      <c r="S325" t="str">
        <f t="shared" si="45"/>
        <v>30.11.2025</v>
      </c>
      <c r="T325" t="str">
        <f t="shared" si="46"/>
        <v>03:45:00</v>
      </c>
      <c r="U325" t="str">
        <f t="shared" si="48"/>
        <v>30.11.2025 03:45:00</v>
      </c>
      <c r="V325" s="9" t="str">
        <f>MID($A325,C325+C$2+1,D325-C325-C$2-1)</f>
        <v>0</v>
      </c>
      <c r="W325" s="4">
        <f>VALUE(SUBSTITUTE(MID($A325,D325+D$2+1,E325-D325-D$2-1),",","."))</f>
        <v>0</v>
      </c>
      <c r="X325" s="4">
        <f>VALUE(SUBSTITUTE(MID($A325,E325+E$2+1,F325-E325-E$2-1),",","."))</f>
        <v>0.90957602214449496</v>
      </c>
      <c r="Y325" s="4">
        <f>VALUE(SUBSTITUTE(MID($A325,F325+F$2+1,G325-F325-F$2-1),",","."))</f>
        <v>0</v>
      </c>
      <c r="Z325" s="3">
        <f>VALUE(SUBSTITUTE(MID($A325,G325+G$2+1,H325-G325-G$2-1),",","."))</f>
        <v>0</v>
      </c>
      <c r="AA325" s="3">
        <f>VALUE(SUBSTITUTE(MID($A325,H325+H$2+1,I325-H325-H$2-1),",","."))</f>
        <v>0</v>
      </c>
      <c r="AB325" s="3">
        <f>VALUE(SUBSTITUTE(MID($A325,I325+I$2+1,J325-I325-I$2-1),",","."))</f>
        <v>0</v>
      </c>
      <c r="AC325" s="3">
        <f>VALUE(SUBSTITUTE(MID($A325,J325+J$2+1,K325-J325-J$2-1),",","."))</f>
        <v>-0.05</v>
      </c>
      <c r="AD325" s="3">
        <f>VALUE(SUBSTITUTE(MID($A325,K325+K$2+1,L325-K325-K$2-1),",","."))</f>
        <v>17.28</v>
      </c>
      <c r="AE325" s="3">
        <f>VALUE(SUBSTITUTE(MID($A325,L325+L$2+1,M325-L325-L$2-1),",","."))</f>
        <v>0</v>
      </c>
      <c r="AF325" s="3">
        <f>VALUE(SUBSTITUTE(MID($A325,M325+M$2+1,N325-M325-M$2-1),",","."))</f>
        <v>0</v>
      </c>
      <c r="AG325" s="3">
        <f>VALUE(SUBSTITUTE(MID($A325,N325+N$2+1,O325-N325-N$2-1),",","."))</f>
        <v>4.2126441486407202</v>
      </c>
      <c r="AH325" t="str">
        <f>MID($A325,O325+O$2+1,P325-O325-O$2-1)</f>
        <v/>
      </c>
      <c r="AI325" s="8" t="str">
        <f>MID($A325,P325+P$2+1,Q325-P325-P$2-1)</f>
        <v>False</v>
      </c>
      <c r="AK325" t="b">
        <f t="shared" si="49"/>
        <v>0</v>
      </c>
    </row>
    <row r="326" spans="1:37" x14ac:dyDescent="0.35">
      <c r="A326" t="s">
        <v>4873</v>
      </c>
      <c r="B326">
        <f t="shared" si="47"/>
        <v>10</v>
      </c>
      <c r="C326">
        <f t="shared" si="47"/>
        <v>43</v>
      </c>
      <c r="D326">
        <f t="shared" si="47"/>
        <v>54</v>
      </c>
      <c r="E326">
        <f t="shared" si="47"/>
        <v>80</v>
      </c>
      <c r="F326">
        <f t="shared" si="47"/>
        <v>124</v>
      </c>
      <c r="G326">
        <f t="shared" si="47"/>
        <v>145</v>
      </c>
      <c r="H326">
        <f t="shared" si="47"/>
        <v>177</v>
      </c>
      <c r="I326">
        <f t="shared" si="47"/>
        <v>199</v>
      </c>
      <c r="J326">
        <f t="shared" si="47"/>
        <v>232</v>
      </c>
      <c r="K326">
        <f t="shared" si="47"/>
        <v>253</v>
      </c>
      <c r="L326">
        <f t="shared" si="47"/>
        <v>272</v>
      </c>
      <c r="M326">
        <f t="shared" si="47"/>
        <v>287</v>
      </c>
      <c r="N326">
        <f t="shared" si="44"/>
        <v>299</v>
      </c>
      <c r="O326">
        <f t="shared" si="44"/>
        <v>323</v>
      </c>
      <c r="P326">
        <f t="shared" si="44"/>
        <v>341</v>
      </c>
      <c r="Q326">
        <f t="shared" si="44"/>
        <v>367</v>
      </c>
      <c r="S326" t="str">
        <f t="shared" si="45"/>
        <v>30.11.2025</v>
      </c>
      <c r="T326" t="str">
        <f t="shared" si="46"/>
        <v>04:00:00</v>
      </c>
      <c r="U326" t="str">
        <f t="shared" si="48"/>
        <v>30.11.2025 04:00:00</v>
      </c>
      <c r="V326" s="9" t="str">
        <f>MID($A326,C326+C$2+1,D326-C326-C$2-1)</f>
        <v>0</v>
      </c>
      <c r="W326" s="4">
        <f>VALUE(SUBSTITUTE(MID($A326,D326+D$2+1,E326-D326-D$2-1),",","."))</f>
        <v>0</v>
      </c>
      <c r="X326" s="4">
        <f>VALUE(SUBSTITUTE(MID($A326,E326+E$2+1,F326-E326-E$2-1),",","."))</f>
        <v>0.90957602214449496</v>
      </c>
      <c r="Y326" s="4">
        <f>VALUE(SUBSTITUTE(MID($A326,F326+F$2+1,G326-F326-F$2-1),",","."))</f>
        <v>0</v>
      </c>
      <c r="Z326" s="3">
        <f>VALUE(SUBSTITUTE(MID($A326,G326+G$2+1,H326-G326-G$2-1),",","."))</f>
        <v>0</v>
      </c>
      <c r="AA326" s="3">
        <f>VALUE(SUBSTITUTE(MID($A326,H326+H$2+1,I326-H326-H$2-1),",","."))</f>
        <v>0</v>
      </c>
      <c r="AB326" s="3">
        <f>VALUE(SUBSTITUTE(MID($A326,I326+I$2+1,J326-I326-I$2-1),",","."))</f>
        <v>0</v>
      </c>
      <c r="AC326" s="3">
        <f>VALUE(SUBSTITUTE(MID($A326,J326+J$2+1,K326-J326-J$2-1),",","."))</f>
        <v>-0.05</v>
      </c>
      <c r="AD326" s="3">
        <f>VALUE(SUBSTITUTE(MID($A326,K326+K$2+1,L326-K326-K$2-1),",","."))</f>
        <v>17.28</v>
      </c>
      <c r="AE326" s="3">
        <f>VALUE(SUBSTITUTE(MID($A326,L326+L$2+1,M326-L326-L$2-1),",","."))</f>
        <v>0</v>
      </c>
      <c r="AF326" s="3">
        <f>VALUE(SUBSTITUTE(MID($A326,M326+M$2+1,N326-M326-M$2-1),",","."))</f>
        <v>0</v>
      </c>
      <c r="AG326" s="3">
        <f>VALUE(SUBSTITUTE(MID($A326,N326+N$2+1,O326-N326-N$2-1),",","."))</f>
        <v>4.2126726685288096</v>
      </c>
      <c r="AH326" t="str">
        <f>MID($A326,O326+O$2+1,P326-O326-O$2-1)</f>
        <v/>
      </c>
      <c r="AI326" s="8" t="str">
        <f>MID($A326,P326+P$2+1,Q326-P326-P$2-1)</f>
        <v>False</v>
      </c>
      <c r="AK326" t="b">
        <f t="shared" si="49"/>
        <v>0</v>
      </c>
    </row>
    <row r="327" spans="1:37" x14ac:dyDescent="0.35">
      <c r="A327" t="s">
        <v>4874</v>
      </c>
      <c r="B327">
        <f t="shared" si="47"/>
        <v>10</v>
      </c>
      <c r="C327">
        <f t="shared" si="47"/>
        <v>43</v>
      </c>
      <c r="D327">
        <f t="shared" si="47"/>
        <v>54</v>
      </c>
      <c r="E327">
        <f t="shared" si="47"/>
        <v>80</v>
      </c>
      <c r="F327">
        <f t="shared" si="47"/>
        <v>124</v>
      </c>
      <c r="G327">
        <f t="shared" si="47"/>
        <v>145</v>
      </c>
      <c r="H327">
        <f t="shared" si="47"/>
        <v>177</v>
      </c>
      <c r="I327">
        <f t="shared" si="47"/>
        <v>199</v>
      </c>
      <c r="J327">
        <f t="shared" si="47"/>
        <v>232</v>
      </c>
      <c r="K327">
        <f t="shared" si="47"/>
        <v>253</v>
      </c>
      <c r="L327">
        <f t="shared" si="47"/>
        <v>272</v>
      </c>
      <c r="M327">
        <f t="shared" si="47"/>
        <v>287</v>
      </c>
      <c r="N327">
        <f t="shared" si="44"/>
        <v>299</v>
      </c>
      <c r="O327">
        <f t="shared" si="44"/>
        <v>324</v>
      </c>
      <c r="P327">
        <f t="shared" si="44"/>
        <v>342</v>
      </c>
      <c r="Q327">
        <f t="shared" si="44"/>
        <v>368</v>
      </c>
      <c r="S327" t="str">
        <f t="shared" si="45"/>
        <v>30.11.2025</v>
      </c>
      <c r="T327" t="str">
        <f t="shared" si="46"/>
        <v>04:15:00</v>
      </c>
      <c r="U327" t="str">
        <f t="shared" si="48"/>
        <v>30.11.2025 04:15:00</v>
      </c>
      <c r="V327" s="9" t="str">
        <f>MID($A327,C327+C$2+1,D327-C327-C$2-1)</f>
        <v>0</v>
      </c>
      <c r="W327" s="4">
        <f>VALUE(SUBSTITUTE(MID($A327,D327+D$2+1,E327-D327-D$2-1),",","."))</f>
        <v>0</v>
      </c>
      <c r="X327" s="4">
        <f>VALUE(SUBSTITUTE(MID($A327,E327+E$2+1,F327-E327-E$2-1),",","."))</f>
        <v>0.90957602214449496</v>
      </c>
      <c r="Y327" s="4">
        <f>VALUE(SUBSTITUTE(MID($A327,F327+F$2+1,G327-F327-F$2-1),",","."))</f>
        <v>0</v>
      </c>
      <c r="Z327" s="3">
        <f>VALUE(SUBSTITUTE(MID($A327,G327+G$2+1,H327-G327-G$2-1),",","."))</f>
        <v>0</v>
      </c>
      <c r="AA327" s="3">
        <f>VALUE(SUBSTITUTE(MID($A327,H327+H$2+1,I327-H327-H$2-1),",","."))</f>
        <v>0</v>
      </c>
      <c r="AB327" s="3">
        <f>VALUE(SUBSTITUTE(MID($A327,I327+I$2+1,J327-I327-I$2-1),",","."))</f>
        <v>0</v>
      </c>
      <c r="AC327" s="3">
        <f>VALUE(SUBSTITUTE(MID($A327,J327+J$2+1,K327-J327-J$2-1),",","."))</f>
        <v>-0.05</v>
      </c>
      <c r="AD327" s="3">
        <f>VALUE(SUBSTITUTE(MID($A327,K327+K$2+1,L327-K327-K$2-1),",","."))</f>
        <v>17.28</v>
      </c>
      <c r="AE327" s="3">
        <f>VALUE(SUBSTITUTE(MID($A327,L327+L$2+1,M327-L327-L$2-1),",","."))</f>
        <v>0</v>
      </c>
      <c r="AF327" s="3">
        <f>VALUE(SUBSTITUTE(MID($A327,M327+M$2+1,N327-M327-M$2-1),",","."))</f>
        <v>0</v>
      </c>
      <c r="AG327" s="3">
        <f>VALUE(SUBSTITUTE(MID($A327,N327+N$2+1,O327-N327-N$2-1),",","."))</f>
        <v>4.2127011884168901</v>
      </c>
      <c r="AH327" t="str">
        <f>MID($A327,O327+O$2+1,P327-O327-O$2-1)</f>
        <v/>
      </c>
      <c r="AI327" s="8" t="str">
        <f>MID($A327,P327+P$2+1,Q327-P327-P$2-1)</f>
        <v>False</v>
      </c>
      <c r="AK327" t="b">
        <f t="shared" si="49"/>
        <v>0</v>
      </c>
    </row>
    <row r="328" spans="1:37" x14ac:dyDescent="0.35">
      <c r="A328" t="s">
        <v>4875</v>
      </c>
      <c r="B328">
        <f t="shared" si="47"/>
        <v>10</v>
      </c>
      <c r="C328">
        <f t="shared" si="47"/>
        <v>43</v>
      </c>
      <c r="D328">
        <f t="shared" si="47"/>
        <v>54</v>
      </c>
      <c r="E328">
        <f t="shared" si="47"/>
        <v>80</v>
      </c>
      <c r="F328">
        <f t="shared" si="47"/>
        <v>124</v>
      </c>
      <c r="G328">
        <f t="shared" si="47"/>
        <v>145</v>
      </c>
      <c r="H328">
        <f t="shared" si="47"/>
        <v>177</v>
      </c>
      <c r="I328">
        <f t="shared" si="47"/>
        <v>199</v>
      </c>
      <c r="J328">
        <f t="shared" si="47"/>
        <v>232</v>
      </c>
      <c r="K328">
        <f t="shared" si="47"/>
        <v>252</v>
      </c>
      <c r="L328">
        <f t="shared" si="47"/>
        <v>271</v>
      </c>
      <c r="M328">
        <f t="shared" si="47"/>
        <v>286</v>
      </c>
      <c r="N328">
        <f t="shared" si="44"/>
        <v>298</v>
      </c>
      <c r="O328">
        <f t="shared" si="44"/>
        <v>323</v>
      </c>
      <c r="P328">
        <f t="shared" si="44"/>
        <v>341</v>
      </c>
      <c r="Q328">
        <f t="shared" si="44"/>
        <v>367</v>
      </c>
      <c r="S328" t="str">
        <f t="shared" si="45"/>
        <v>30.11.2025</v>
      </c>
      <c r="T328" t="str">
        <f t="shared" si="46"/>
        <v>04:30:00</v>
      </c>
      <c r="U328" t="str">
        <f t="shared" si="48"/>
        <v>30.11.2025 04:30:00</v>
      </c>
      <c r="V328" s="9" t="str">
        <f>MID($A328,C328+C$2+1,D328-C328-C$2-1)</f>
        <v>0</v>
      </c>
      <c r="W328" s="4">
        <f>VALUE(SUBSTITUTE(MID($A328,D328+D$2+1,E328-D328-D$2-1),",","."))</f>
        <v>0</v>
      </c>
      <c r="X328" s="4">
        <f>VALUE(SUBSTITUTE(MID($A328,E328+E$2+1,F328-E328-E$2-1),",","."))</f>
        <v>0.90957602214449496</v>
      </c>
      <c r="Y328" s="4">
        <f>VALUE(SUBSTITUTE(MID($A328,F328+F$2+1,G328-F328-F$2-1),",","."))</f>
        <v>0</v>
      </c>
      <c r="Z328" s="3">
        <f>VALUE(SUBSTITUTE(MID($A328,G328+G$2+1,H328-G328-G$2-1),",","."))</f>
        <v>0</v>
      </c>
      <c r="AA328" s="3">
        <f>VALUE(SUBSTITUTE(MID($A328,H328+H$2+1,I328-H328-H$2-1),",","."))</f>
        <v>0</v>
      </c>
      <c r="AB328" s="3">
        <f>VALUE(SUBSTITUTE(MID($A328,I328+I$2+1,J328-I328-I$2-1),",","."))</f>
        <v>0</v>
      </c>
      <c r="AC328" s="3">
        <f>VALUE(SUBSTITUTE(MID($A328,J328+J$2+1,K328-J328-J$2-1),",","."))</f>
        <v>0.25</v>
      </c>
      <c r="AD328" s="3">
        <f>VALUE(SUBSTITUTE(MID($A328,K328+K$2+1,L328-K328-K$2-1),",","."))</f>
        <v>17.64</v>
      </c>
      <c r="AE328" s="3">
        <f>VALUE(SUBSTITUTE(MID($A328,L328+L$2+1,M328-L328-L$2-1),",","."))</f>
        <v>0</v>
      </c>
      <c r="AF328" s="3">
        <f>VALUE(SUBSTITUTE(MID($A328,M328+M$2+1,N328-M328-M$2-1),",","."))</f>
        <v>0</v>
      </c>
      <c r="AG328" s="3">
        <f>VALUE(SUBSTITUTE(MID($A328,N328+N$2+1,O328-N328-N$2-1),",","."))</f>
        <v>4.2127297083049697</v>
      </c>
      <c r="AH328" t="str">
        <f>MID($A328,O328+O$2+1,P328-O328-O$2-1)</f>
        <v/>
      </c>
      <c r="AI328" s="8" t="str">
        <f>MID($A328,P328+P$2+1,Q328-P328-P$2-1)</f>
        <v>False</v>
      </c>
      <c r="AK328" t="b">
        <f t="shared" si="49"/>
        <v>0</v>
      </c>
    </row>
    <row r="329" spans="1:37" x14ac:dyDescent="0.35">
      <c r="A329" t="s">
        <v>4876</v>
      </c>
      <c r="B329">
        <f t="shared" si="47"/>
        <v>10</v>
      </c>
      <c r="C329">
        <f t="shared" si="47"/>
        <v>43</v>
      </c>
      <c r="D329">
        <f t="shared" si="47"/>
        <v>54</v>
      </c>
      <c r="E329">
        <f t="shared" si="47"/>
        <v>80</v>
      </c>
      <c r="F329">
        <f t="shared" si="47"/>
        <v>124</v>
      </c>
      <c r="G329">
        <f t="shared" si="47"/>
        <v>145</v>
      </c>
      <c r="H329">
        <f t="shared" si="47"/>
        <v>177</v>
      </c>
      <c r="I329">
        <f t="shared" si="47"/>
        <v>199</v>
      </c>
      <c r="J329">
        <f t="shared" si="47"/>
        <v>232</v>
      </c>
      <c r="K329">
        <f t="shared" si="47"/>
        <v>252</v>
      </c>
      <c r="L329">
        <f t="shared" si="47"/>
        <v>271</v>
      </c>
      <c r="M329">
        <f t="shared" si="47"/>
        <v>286</v>
      </c>
      <c r="N329">
        <f t="shared" si="44"/>
        <v>298</v>
      </c>
      <c r="O329">
        <f t="shared" si="44"/>
        <v>323</v>
      </c>
      <c r="P329">
        <f t="shared" si="44"/>
        <v>341</v>
      </c>
      <c r="Q329">
        <f t="shared" si="44"/>
        <v>367</v>
      </c>
      <c r="S329" t="str">
        <f t="shared" si="45"/>
        <v>30.11.2025</v>
      </c>
      <c r="T329" t="str">
        <f t="shared" si="46"/>
        <v>04:45:00</v>
      </c>
      <c r="U329" t="str">
        <f t="shared" si="48"/>
        <v>30.11.2025 04:45:00</v>
      </c>
      <c r="V329" s="9" t="str">
        <f>MID($A329,C329+C$2+1,D329-C329-C$2-1)</f>
        <v>0</v>
      </c>
      <c r="W329" s="4">
        <f>VALUE(SUBSTITUTE(MID($A329,D329+D$2+1,E329-D329-D$2-1),",","."))</f>
        <v>0</v>
      </c>
      <c r="X329" s="4">
        <f>VALUE(SUBSTITUTE(MID($A329,E329+E$2+1,F329-E329-E$2-1),",","."))</f>
        <v>0.90957602214449496</v>
      </c>
      <c r="Y329" s="4">
        <f>VALUE(SUBSTITUTE(MID($A329,F329+F$2+1,G329-F329-F$2-1),",","."))</f>
        <v>0</v>
      </c>
      <c r="Z329" s="3">
        <f>VALUE(SUBSTITUTE(MID($A329,G329+G$2+1,H329-G329-G$2-1),",","."))</f>
        <v>0</v>
      </c>
      <c r="AA329" s="3">
        <f>VALUE(SUBSTITUTE(MID($A329,H329+H$2+1,I329-H329-H$2-1),",","."))</f>
        <v>0</v>
      </c>
      <c r="AB329" s="3">
        <f>VALUE(SUBSTITUTE(MID($A329,I329+I$2+1,J329-I329-I$2-1),",","."))</f>
        <v>0</v>
      </c>
      <c r="AC329" s="3">
        <f>VALUE(SUBSTITUTE(MID($A329,J329+J$2+1,K329-J329-J$2-1),",","."))</f>
        <v>0.25</v>
      </c>
      <c r="AD329" s="3">
        <f>VALUE(SUBSTITUTE(MID($A329,K329+K$2+1,L329-K329-K$2-1),",","."))</f>
        <v>17.64</v>
      </c>
      <c r="AE329" s="3">
        <f>VALUE(SUBSTITUTE(MID($A329,L329+L$2+1,M329-L329-L$2-1),",","."))</f>
        <v>0</v>
      </c>
      <c r="AF329" s="3">
        <f>VALUE(SUBSTITUTE(MID($A329,M329+M$2+1,N329-M329-M$2-1),",","."))</f>
        <v>0</v>
      </c>
      <c r="AG329" s="3">
        <f>VALUE(SUBSTITUTE(MID($A329,N329+N$2+1,O329-N329-N$2-1),",","."))</f>
        <v>4.2127582281930502</v>
      </c>
      <c r="AH329" t="str">
        <f>MID($A329,O329+O$2+1,P329-O329-O$2-1)</f>
        <v/>
      </c>
      <c r="AI329" s="8" t="str">
        <f>MID($A329,P329+P$2+1,Q329-P329-P$2-1)</f>
        <v>False</v>
      </c>
      <c r="AK329" t="b">
        <f t="shared" si="49"/>
        <v>0</v>
      </c>
    </row>
    <row r="330" spans="1:37" x14ac:dyDescent="0.35">
      <c r="A330" t="s">
        <v>4877</v>
      </c>
      <c r="B330">
        <f t="shared" si="47"/>
        <v>10</v>
      </c>
      <c r="C330">
        <f t="shared" si="47"/>
        <v>43</v>
      </c>
      <c r="D330">
        <f t="shared" si="47"/>
        <v>54</v>
      </c>
      <c r="E330">
        <f t="shared" si="47"/>
        <v>80</v>
      </c>
      <c r="F330">
        <f t="shared" si="47"/>
        <v>124</v>
      </c>
      <c r="G330">
        <f t="shared" si="47"/>
        <v>145</v>
      </c>
      <c r="H330">
        <f t="shared" si="47"/>
        <v>177</v>
      </c>
      <c r="I330">
        <f t="shared" si="47"/>
        <v>199</v>
      </c>
      <c r="J330">
        <f t="shared" si="47"/>
        <v>232</v>
      </c>
      <c r="K330">
        <f t="shared" si="47"/>
        <v>252</v>
      </c>
      <c r="L330">
        <f t="shared" si="47"/>
        <v>271</v>
      </c>
      <c r="M330">
        <f t="shared" si="47"/>
        <v>286</v>
      </c>
      <c r="N330">
        <f t="shared" si="44"/>
        <v>298</v>
      </c>
      <c r="O330">
        <f t="shared" si="44"/>
        <v>323</v>
      </c>
      <c r="P330">
        <f t="shared" si="44"/>
        <v>341</v>
      </c>
      <c r="Q330">
        <f t="shared" si="44"/>
        <v>367</v>
      </c>
      <c r="S330" t="str">
        <f t="shared" si="45"/>
        <v>30.11.2025</v>
      </c>
      <c r="T330" t="str">
        <f t="shared" si="46"/>
        <v>05:00:00</v>
      </c>
      <c r="U330" t="str">
        <f t="shared" si="48"/>
        <v>30.11.2025 05:00:00</v>
      </c>
      <c r="V330" s="9" t="str">
        <f>MID($A330,C330+C$2+1,D330-C330-C$2-1)</f>
        <v>0</v>
      </c>
      <c r="W330" s="4">
        <f>VALUE(SUBSTITUTE(MID($A330,D330+D$2+1,E330-D330-D$2-1),",","."))</f>
        <v>0</v>
      </c>
      <c r="X330" s="4">
        <f>VALUE(SUBSTITUTE(MID($A330,E330+E$2+1,F330-E330-E$2-1),",","."))</f>
        <v>0.90957602214449496</v>
      </c>
      <c r="Y330" s="4">
        <f>VALUE(SUBSTITUTE(MID($A330,F330+F$2+1,G330-F330-F$2-1),",","."))</f>
        <v>0</v>
      </c>
      <c r="Z330" s="3">
        <f>VALUE(SUBSTITUTE(MID($A330,G330+G$2+1,H330-G330-G$2-1),",","."))</f>
        <v>0</v>
      </c>
      <c r="AA330" s="3">
        <f>VALUE(SUBSTITUTE(MID($A330,H330+H$2+1,I330-H330-H$2-1),",","."))</f>
        <v>0</v>
      </c>
      <c r="AB330" s="3">
        <f>VALUE(SUBSTITUTE(MID($A330,I330+I$2+1,J330-I330-I$2-1),",","."))</f>
        <v>0</v>
      </c>
      <c r="AC330" s="3">
        <f>VALUE(SUBSTITUTE(MID($A330,J330+J$2+1,K330-J330-J$2-1),",","."))</f>
        <v>0.25</v>
      </c>
      <c r="AD330" s="3">
        <f>VALUE(SUBSTITUTE(MID($A330,K330+K$2+1,L330-K330-K$2-1),",","."))</f>
        <v>17.64</v>
      </c>
      <c r="AE330" s="3">
        <f>VALUE(SUBSTITUTE(MID($A330,L330+L$2+1,M330-L330-L$2-1),",","."))</f>
        <v>0</v>
      </c>
      <c r="AF330" s="3">
        <f>VALUE(SUBSTITUTE(MID($A330,M330+M$2+1,N330-M330-M$2-1),",","."))</f>
        <v>0</v>
      </c>
      <c r="AG330" s="3">
        <f>VALUE(SUBSTITUTE(MID($A330,N330+N$2+1,O330-N330-N$2-1),",","."))</f>
        <v>4.2127867480811299</v>
      </c>
      <c r="AH330" t="str">
        <f>MID($A330,O330+O$2+1,P330-O330-O$2-1)</f>
        <v/>
      </c>
      <c r="AI330" s="8" t="str">
        <f>MID($A330,P330+P$2+1,Q330-P330-P$2-1)</f>
        <v>False</v>
      </c>
      <c r="AK330" t="b">
        <f t="shared" si="49"/>
        <v>0</v>
      </c>
    </row>
    <row r="331" spans="1:37" x14ac:dyDescent="0.35">
      <c r="A331" t="s">
        <v>4878</v>
      </c>
      <c r="B331">
        <f t="shared" si="47"/>
        <v>10</v>
      </c>
      <c r="C331">
        <f t="shared" si="47"/>
        <v>43</v>
      </c>
      <c r="D331">
        <f t="shared" si="47"/>
        <v>54</v>
      </c>
      <c r="E331">
        <f t="shared" si="47"/>
        <v>80</v>
      </c>
      <c r="F331">
        <f t="shared" si="47"/>
        <v>124</v>
      </c>
      <c r="G331">
        <f t="shared" si="47"/>
        <v>145</v>
      </c>
      <c r="H331">
        <f t="shared" si="47"/>
        <v>177</v>
      </c>
      <c r="I331">
        <f t="shared" si="47"/>
        <v>199</v>
      </c>
      <c r="J331">
        <f t="shared" si="47"/>
        <v>232</v>
      </c>
      <c r="K331">
        <f t="shared" si="47"/>
        <v>252</v>
      </c>
      <c r="L331">
        <f t="shared" si="47"/>
        <v>271</v>
      </c>
      <c r="M331">
        <f t="shared" si="47"/>
        <v>286</v>
      </c>
      <c r="N331">
        <f t="shared" si="44"/>
        <v>298</v>
      </c>
      <c r="O331">
        <f t="shared" si="44"/>
        <v>324</v>
      </c>
      <c r="P331">
        <f t="shared" si="44"/>
        <v>342</v>
      </c>
      <c r="Q331">
        <f t="shared" si="44"/>
        <v>368</v>
      </c>
      <c r="S331" t="str">
        <f t="shared" si="45"/>
        <v>30.11.2025</v>
      </c>
      <c r="T331" t="str">
        <f t="shared" si="46"/>
        <v>05:15:00</v>
      </c>
      <c r="U331" t="str">
        <f t="shared" si="48"/>
        <v>30.11.2025 05:15:00</v>
      </c>
      <c r="V331" s="9" t="str">
        <f>MID($A331,C331+C$2+1,D331-C331-C$2-1)</f>
        <v>0</v>
      </c>
      <c r="W331" s="4">
        <f>VALUE(SUBSTITUTE(MID($A331,D331+D$2+1,E331-D331-D$2-1),",","."))</f>
        <v>0</v>
      </c>
      <c r="X331" s="4">
        <f>VALUE(SUBSTITUTE(MID($A331,E331+E$2+1,F331-E331-E$2-1),",","."))</f>
        <v>0.90957602214449496</v>
      </c>
      <c r="Y331" s="4">
        <f>VALUE(SUBSTITUTE(MID($A331,F331+F$2+1,G331-F331-F$2-1),",","."))</f>
        <v>0</v>
      </c>
      <c r="Z331" s="3">
        <f>VALUE(SUBSTITUTE(MID($A331,G331+G$2+1,H331-G331-G$2-1),",","."))</f>
        <v>0</v>
      </c>
      <c r="AA331" s="3">
        <f>VALUE(SUBSTITUTE(MID($A331,H331+H$2+1,I331-H331-H$2-1),",","."))</f>
        <v>0</v>
      </c>
      <c r="AB331" s="3">
        <f>VALUE(SUBSTITUTE(MID($A331,I331+I$2+1,J331-I331-I$2-1),",","."))</f>
        <v>0</v>
      </c>
      <c r="AC331" s="3">
        <f>VALUE(SUBSTITUTE(MID($A331,J331+J$2+1,K331-J331-J$2-1),",","."))</f>
        <v>0.25</v>
      </c>
      <c r="AD331" s="3">
        <f>VALUE(SUBSTITUTE(MID($A331,K331+K$2+1,L331-K331-K$2-1),",","."))</f>
        <v>17.64</v>
      </c>
      <c r="AE331" s="3">
        <f>VALUE(SUBSTITUTE(MID($A331,L331+L$2+1,M331-L331-L$2-1),",","."))</f>
        <v>0</v>
      </c>
      <c r="AF331" s="3">
        <f>VALUE(SUBSTITUTE(MID($A331,M331+M$2+1,N331-M331-M$2-1),",","."))</f>
        <v>0</v>
      </c>
      <c r="AG331" s="3">
        <f>VALUE(SUBSTITUTE(MID($A331,N331+N$2+1,O331-N331-N$2-1),",","."))</f>
        <v>4.2128152679692104</v>
      </c>
      <c r="AH331" t="str">
        <f>MID($A331,O331+O$2+1,P331-O331-O$2-1)</f>
        <v/>
      </c>
      <c r="AI331" s="8" t="str">
        <f>MID($A331,P331+P$2+1,Q331-P331-P$2-1)</f>
        <v>False</v>
      </c>
      <c r="AK331" t="b">
        <f t="shared" si="49"/>
        <v>0</v>
      </c>
    </row>
    <row r="332" spans="1:37" x14ac:dyDescent="0.35">
      <c r="A332" t="s">
        <v>4879</v>
      </c>
      <c r="B332">
        <f t="shared" si="47"/>
        <v>10</v>
      </c>
      <c r="C332">
        <f t="shared" si="47"/>
        <v>43</v>
      </c>
      <c r="D332">
        <f t="shared" si="47"/>
        <v>54</v>
      </c>
      <c r="E332">
        <f t="shared" si="47"/>
        <v>80</v>
      </c>
      <c r="F332">
        <f t="shared" si="47"/>
        <v>124</v>
      </c>
      <c r="G332">
        <f t="shared" si="47"/>
        <v>145</v>
      </c>
      <c r="H332">
        <f t="shared" si="47"/>
        <v>177</v>
      </c>
      <c r="I332">
        <f t="shared" si="47"/>
        <v>199</v>
      </c>
      <c r="J332">
        <f t="shared" si="47"/>
        <v>232</v>
      </c>
      <c r="K332">
        <f t="shared" si="47"/>
        <v>267</v>
      </c>
      <c r="L332">
        <f t="shared" si="47"/>
        <v>285</v>
      </c>
      <c r="M332">
        <f t="shared" si="47"/>
        <v>300</v>
      </c>
      <c r="N332">
        <f t="shared" si="44"/>
        <v>312</v>
      </c>
      <c r="O332">
        <f t="shared" si="44"/>
        <v>337</v>
      </c>
      <c r="P332">
        <f t="shared" si="44"/>
        <v>355</v>
      </c>
      <c r="Q332">
        <f t="shared" si="44"/>
        <v>381</v>
      </c>
      <c r="S332" t="str">
        <f t="shared" si="45"/>
        <v>30.11.2025</v>
      </c>
      <c r="T332" t="str">
        <f t="shared" si="46"/>
        <v>05:30:00</v>
      </c>
      <c r="U332" t="str">
        <f t="shared" si="48"/>
        <v>30.11.2025 05:30:00</v>
      </c>
      <c r="V332" s="9" t="str">
        <f>MID($A332,C332+C$2+1,D332-C332-C$2-1)</f>
        <v>0</v>
      </c>
      <c r="W332" s="4">
        <f>VALUE(SUBSTITUTE(MID($A332,D332+D$2+1,E332-D332-D$2-1),",","."))</f>
        <v>0</v>
      </c>
      <c r="X332" s="4">
        <f>VALUE(SUBSTITUTE(MID($A332,E332+E$2+1,F332-E332-E$2-1),",","."))</f>
        <v>0.90957602214449496</v>
      </c>
      <c r="Y332" s="4">
        <f>VALUE(SUBSTITUTE(MID($A332,F332+F$2+1,G332-F332-F$2-1),",","."))</f>
        <v>0</v>
      </c>
      <c r="Z332" s="3">
        <f>VALUE(SUBSTITUTE(MID($A332,G332+G$2+1,H332-G332-G$2-1),",","."))</f>
        <v>0</v>
      </c>
      <c r="AA332" s="3">
        <f>VALUE(SUBSTITUTE(MID($A332,H332+H$2+1,I332-H332-H$2-1),",","."))</f>
        <v>0</v>
      </c>
      <c r="AB332" s="3">
        <f>VALUE(SUBSTITUTE(MID($A332,I332+I$2+1,J332-I332-I$2-1),",","."))</f>
        <v>0</v>
      </c>
      <c r="AC332" s="3">
        <f>VALUE(SUBSTITUTE(MID($A332,J332+J$2+1,K332-J332-J$2-1),",","."))</f>
        <v>0.44999999999999901</v>
      </c>
      <c r="AD332" s="3">
        <f>VALUE(SUBSTITUTE(MID($A332,K332+K$2+1,L332-K332-K$2-1),",","."))</f>
        <v>21.6</v>
      </c>
      <c r="AE332" s="3">
        <f>VALUE(SUBSTITUTE(MID($A332,L332+L$2+1,M332-L332-L$2-1),",","."))</f>
        <v>0</v>
      </c>
      <c r="AF332" s="3">
        <f>VALUE(SUBSTITUTE(MID($A332,M332+M$2+1,N332-M332-M$2-1),",","."))</f>
        <v>0</v>
      </c>
      <c r="AG332" s="3">
        <f>VALUE(SUBSTITUTE(MID($A332,N332+N$2+1,O332-N332-N$2-1),",","."))</f>
        <v>4.21284378785729</v>
      </c>
      <c r="AH332" t="str">
        <f>MID($A332,O332+O$2+1,P332-O332-O$2-1)</f>
        <v/>
      </c>
      <c r="AI332" s="8" t="str">
        <f>MID($A332,P332+P$2+1,Q332-P332-P$2-1)</f>
        <v>False</v>
      </c>
      <c r="AK332" t="b">
        <f t="shared" si="49"/>
        <v>0</v>
      </c>
    </row>
    <row r="333" spans="1:37" x14ac:dyDescent="0.35">
      <c r="A333" t="s">
        <v>4880</v>
      </c>
      <c r="B333">
        <f t="shared" si="47"/>
        <v>10</v>
      </c>
      <c r="C333">
        <f t="shared" si="47"/>
        <v>43</v>
      </c>
      <c r="D333">
        <f t="shared" si="47"/>
        <v>54</v>
      </c>
      <c r="E333">
        <f t="shared" si="47"/>
        <v>80</v>
      </c>
      <c r="F333">
        <f t="shared" si="47"/>
        <v>124</v>
      </c>
      <c r="G333">
        <f t="shared" si="47"/>
        <v>145</v>
      </c>
      <c r="H333">
        <f t="shared" si="47"/>
        <v>177</v>
      </c>
      <c r="I333">
        <f t="shared" si="47"/>
        <v>199</v>
      </c>
      <c r="J333">
        <f t="shared" si="47"/>
        <v>232</v>
      </c>
      <c r="K333">
        <f t="shared" si="47"/>
        <v>267</v>
      </c>
      <c r="L333">
        <f t="shared" si="47"/>
        <v>285</v>
      </c>
      <c r="M333">
        <f t="shared" si="47"/>
        <v>300</v>
      </c>
      <c r="N333">
        <f t="shared" si="44"/>
        <v>312</v>
      </c>
      <c r="O333">
        <f t="shared" si="44"/>
        <v>337</v>
      </c>
      <c r="P333">
        <f t="shared" si="44"/>
        <v>355</v>
      </c>
      <c r="Q333">
        <f t="shared" si="44"/>
        <v>381</v>
      </c>
      <c r="S333" t="str">
        <f t="shared" si="45"/>
        <v>30.11.2025</v>
      </c>
      <c r="T333" t="str">
        <f t="shared" si="46"/>
        <v>05:45:00</v>
      </c>
      <c r="U333" t="str">
        <f t="shared" si="48"/>
        <v>30.11.2025 05:45:00</v>
      </c>
      <c r="V333" s="9" t="str">
        <f>MID($A333,C333+C$2+1,D333-C333-C$2-1)</f>
        <v>0</v>
      </c>
      <c r="W333" s="4">
        <f>VALUE(SUBSTITUTE(MID($A333,D333+D$2+1,E333-D333-D$2-1),",","."))</f>
        <v>0</v>
      </c>
      <c r="X333" s="4">
        <f>VALUE(SUBSTITUTE(MID($A333,E333+E$2+1,F333-E333-E$2-1),",","."))</f>
        <v>0.90957602214449496</v>
      </c>
      <c r="Y333" s="4">
        <f>VALUE(SUBSTITUTE(MID($A333,F333+F$2+1,G333-F333-F$2-1),",","."))</f>
        <v>0</v>
      </c>
      <c r="Z333" s="3">
        <f>VALUE(SUBSTITUTE(MID($A333,G333+G$2+1,H333-G333-G$2-1),",","."))</f>
        <v>0</v>
      </c>
      <c r="AA333" s="3">
        <f>VALUE(SUBSTITUTE(MID($A333,H333+H$2+1,I333-H333-H$2-1),",","."))</f>
        <v>0</v>
      </c>
      <c r="AB333" s="3">
        <f>VALUE(SUBSTITUTE(MID($A333,I333+I$2+1,J333-I333-I$2-1),",","."))</f>
        <v>0</v>
      </c>
      <c r="AC333" s="3">
        <f>VALUE(SUBSTITUTE(MID($A333,J333+J$2+1,K333-J333-J$2-1),",","."))</f>
        <v>0.44999999999999901</v>
      </c>
      <c r="AD333" s="3">
        <f>VALUE(SUBSTITUTE(MID($A333,K333+K$2+1,L333-K333-K$2-1),",","."))</f>
        <v>21.6</v>
      </c>
      <c r="AE333" s="3">
        <f>VALUE(SUBSTITUTE(MID($A333,L333+L$2+1,M333-L333-L$2-1),",","."))</f>
        <v>0</v>
      </c>
      <c r="AF333" s="3">
        <f>VALUE(SUBSTITUTE(MID($A333,M333+M$2+1,N333-M333-M$2-1),",","."))</f>
        <v>0</v>
      </c>
      <c r="AG333" s="3">
        <f>VALUE(SUBSTITUTE(MID($A333,N333+N$2+1,O333-N333-N$2-1),",","."))</f>
        <v>4.2128723077453802</v>
      </c>
      <c r="AH333" t="str">
        <f>MID($A333,O333+O$2+1,P333-O333-O$2-1)</f>
        <v/>
      </c>
      <c r="AI333" s="8" t="str">
        <f>MID($A333,P333+P$2+1,Q333-P333-P$2-1)</f>
        <v>False</v>
      </c>
      <c r="AK333" t="b">
        <f t="shared" si="49"/>
        <v>0</v>
      </c>
    </row>
    <row r="334" spans="1:37" x14ac:dyDescent="0.35">
      <c r="A334" t="s">
        <v>4881</v>
      </c>
      <c r="B334">
        <f t="shared" si="47"/>
        <v>10</v>
      </c>
      <c r="C334">
        <f t="shared" si="47"/>
        <v>43</v>
      </c>
      <c r="D334">
        <f t="shared" si="47"/>
        <v>54</v>
      </c>
      <c r="E334">
        <f t="shared" ref="E334:M362" si="50">FIND(E$1,$A334)</f>
        <v>80</v>
      </c>
      <c r="F334">
        <f t="shared" si="50"/>
        <v>124</v>
      </c>
      <c r="G334">
        <f t="shared" si="50"/>
        <v>145</v>
      </c>
      <c r="H334">
        <f t="shared" si="50"/>
        <v>177</v>
      </c>
      <c r="I334">
        <f t="shared" si="50"/>
        <v>199</v>
      </c>
      <c r="J334">
        <f t="shared" si="50"/>
        <v>232</v>
      </c>
      <c r="K334">
        <f t="shared" si="50"/>
        <v>267</v>
      </c>
      <c r="L334">
        <f t="shared" si="50"/>
        <v>285</v>
      </c>
      <c r="M334">
        <f t="shared" si="50"/>
        <v>300</v>
      </c>
      <c r="N334">
        <f t="shared" si="44"/>
        <v>312</v>
      </c>
      <c r="O334">
        <f t="shared" si="44"/>
        <v>338</v>
      </c>
      <c r="P334">
        <f t="shared" si="44"/>
        <v>356</v>
      </c>
      <c r="Q334">
        <f t="shared" si="44"/>
        <v>382</v>
      </c>
      <c r="S334" t="str">
        <f t="shared" si="45"/>
        <v>30.11.2025</v>
      </c>
      <c r="T334" t="str">
        <f t="shared" si="46"/>
        <v>06:00:00</v>
      </c>
      <c r="U334" t="str">
        <f t="shared" si="48"/>
        <v>30.11.2025 06:00:00</v>
      </c>
      <c r="V334" s="9" t="str">
        <f>MID($A334,C334+C$2+1,D334-C334-C$2-1)</f>
        <v>0</v>
      </c>
      <c r="W334" s="4">
        <f>VALUE(SUBSTITUTE(MID($A334,D334+D$2+1,E334-D334-D$2-1),",","."))</f>
        <v>0</v>
      </c>
      <c r="X334" s="4">
        <f>VALUE(SUBSTITUTE(MID($A334,E334+E$2+1,F334-E334-E$2-1),",","."))</f>
        <v>0.90957602214449496</v>
      </c>
      <c r="Y334" s="4">
        <f>VALUE(SUBSTITUTE(MID($A334,F334+F$2+1,G334-F334-F$2-1),",","."))</f>
        <v>0</v>
      </c>
      <c r="Z334" s="3">
        <f>VALUE(SUBSTITUTE(MID($A334,G334+G$2+1,H334-G334-G$2-1),",","."))</f>
        <v>0</v>
      </c>
      <c r="AA334" s="3">
        <f>VALUE(SUBSTITUTE(MID($A334,H334+H$2+1,I334-H334-H$2-1),",","."))</f>
        <v>0</v>
      </c>
      <c r="AB334" s="3">
        <f>VALUE(SUBSTITUTE(MID($A334,I334+I$2+1,J334-I334-I$2-1),",","."))</f>
        <v>0</v>
      </c>
      <c r="AC334" s="3">
        <f>VALUE(SUBSTITUTE(MID($A334,J334+J$2+1,K334-J334-J$2-1),",","."))</f>
        <v>0.44999999999999901</v>
      </c>
      <c r="AD334" s="3">
        <f>VALUE(SUBSTITUTE(MID($A334,K334+K$2+1,L334-K334-K$2-1),",","."))</f>
        <v>21.6</v>
      </c>
      <c r="AE334" s="3">
        <f>VALUE(SUBSTITUTE(MID($A334,L334+L$2+1,M334-L334-L$2-1),",","."))</f>
        <v>0</v>
      </c>
      <c r="AF334" s="3">
        <f>VALUE(SUBSTITUTE(MID($A334,M334+M$2+1,N334-M334-M$2-1),",","."))</f>
        <v>0</v>
      </c>
      <c r="AG334" s="3">
        <f>VALUE(SUBSTITUTE(MID($A334,N334+N$2+1,O334-N334-N$2-1),",","."))</f>
        <v>4.2129008276334599</v>
      </c>
      <c r="AH334" t="str">
        <f>MID($A334,O334+O$2+1,P334-O334-O$2-1)</f>
        <v/>
      </c>
      <c r="AI334" s="8" t="str">
        <f>MID($A334,P334+P$2+1,Q334-P334-P$2-1)</f>
        <v>False</v>
      </c>
      <c r="AK334" t="b">
        <f t="shared" si="49"/>
        <v>0</v>
      </c>
    </row>
    <row r="335" spans="1:37" x14ac:dyDescent="0.35">
      <c r="A335" t="s">
        <v>4882</v>
      </c>
      <c r="B335">
        <f t="shared" ref="B335:G391" si="51">FIND(B$1,$A335)</f>
        <v>10</v>
      </c>
      <c r="C335">
        <f t="shared" si="51"/>
        <v>43</v>
      </c>
      <c r="D335">
        <f t="shared" si="51"/>
        <v>54</v>
      </c>
      <c r="E335">
        <f t="shared" si="50"/>
        <v>80</v>
      </c>
      <c r="F335">
        <f t="shared" si="50"/>
        <v>124</v>
      </c>
      <c r="G335">
        <f t="shared" si="50"/>
        <v>145</v>
      </c>
      <c r="H335">
        <f t="shared" si="50"/>
        <v>177</v>
      </c>
      <c r="I335">
        <f t="shared" si="50"/>
        <v>199</v>
      </c>
      <c r="J335">
        <f t="shared" si="50"/>
        <v>232</v>
      </c>
      <c r="K335">
        <f t="shared" si="50"/>
        <v>267</v>
      </c>
      <c r="L335">
        <f t="shared" si="50"/>
        <v>285</v>
      </c>
      <c r="M335">
        <f t="shared" si="50"/>
        <v>300</v>
      </c>
      <c r="N335">
        <f t="shared" si="44"/>
        <v>312</v>
      </c>
      <c r="O335">
        <f t="shared" si="44"/>
        <v>337</v>
      </c>
      <c r="P335">
        <f t="shared" si="44"/>
        <v>355</v>
      </c>
      <c r="Q335">
        <f t="shared" si="44"/>
        <v>381</v>
      </c>
      <c r="S335" t="str">
        <f t="shared" si="45"/>
        <v>30.11.2025</v>
      </c>
      <c r="T335" t="str">
        <f t="shared" si="46"/>
        <v>06:15:00</v>
      </c>
      <c r="U335" t="str">
        <f t="shared" si="48"/>
        <v>30.11.2025 06:15:00</v>
      </c>
      <c r="V335" s="9" t="str">
        <f>MID($A335,C335+C$2+1,D335-C335-C$2-1)</f>
        <v>0</v>
      </c>
      <c r="W335" s="4">
        <f>VALUE(SUBSTITUTE(MID($A335,D335+D$2+1,E335-D335-D$2-1),",","."))</f>
        <v>0</v>
      </c>
      <c r="X335" s="4">
        <f>VALUE(SUBSTITUTE(MID($A335,E335+E$2+1,F335-E335-E$2-1),",","."))</f>
        <v>0.90957602214449496</v>
      </c>
      <c r="Y335" s="4">
        <f>VALUE(SUBSTITUTE(MID($A335,F335+F$2+1,G335-F335-F$2-1),",","."))</f>
        <v>0</v>
      </c>
      <c r="Z335" s="3">
        <f>VALUE(SUBSTITUTE(MID($A335,G335+G$2+1,H335-G335-G$2-1),",","."))</f>
        <v>0</v>
      </c>
      <c r="AA335" s="3">
        <f>VALUE(SUBSTITUTE(MID($A335,H335+H$2+1,I335-H335-H$2-1),",","."))</f>
        <v>0</v>
      </c>
      <c r="AB335" s="3">
        <f>VALUE(SUBSTITUTE(MID($A335,I335+I$2+1,J335-I335-I$2-1),",","."))</f>
        <v>0</v>
      </c>
      <c r="AC335" s="3">
        <f>VALUE(SUBSTITUTE(MID($A335,J335+J$2+1,K335-J335-J$2-1),",","."))</f>
        <v>0.44999999999999901</v>
      </c>
      <c r="AD335" s="3">
        <f>VALUE(SUBSTITUTE(MID($A335,K335+K$2+1,L335-K335-K$2-1),",","."))</f>
        <v>21.6</v>
      </c>
      <c r="AE335" s="3">
        <f>VALUE(SUBSTITUTE(MID($A335,L335+L$2+1,M335-L335-L$2-1),",","."))</f>
        <v>0</v>
      </c>
      <c r="AF335" s="3">
        <f>VALUE(SUBSTITUTE(MID($A335,M335+M$2+1,N335-M335-M$2-1),",","."))</f>
        <v>0</v>
      </c>
      <c r="AG335" s="3">
        <f>VALUE(SUBSTITUTE(MID($A335,N335+N$2+1,O335-N335-N$2-1),",","."))</f>
        <v>4.2129293475215404</v>
      </c>
      <c r="AH335" t="str">
        <f>MID($A335,O335+O$2+1,P335-O335-O$2-1)</f>
        <v/>
      </c>
      <c r="AI335" s="8" t="str">
        <f>MID($A335,P335+P$2+1,Q335-P335-P$2-1)</f>
        <v>False</v>
      </c>
      <c r="AK335" t="b">
        <f t="shared" si="49"/>
        <v>0</v>
      </c>
    </row>
    <row r="336" spans="1:37" x14ac:dyDescent="0.35">
      <c r="A336" t="s">
        <v>4883</v>
      </c>
      <c r="B336">
        <f t="shared" si="51"/>
        <v>10</v>
      </c>
      <c r="C336">
        <f t="shared" si="51"/>
        <v>43</v>
      </c>
      <c r="D336">
        <f t="shared" si="51"/>
        <v>54</v>
      </c>
      <c r="E336">
        <f t="shared" si="50"/>
        <v>80</v>
      </c>
      <c r="F336">
        <f t="shared" si="50"/>
        <v>124</v>
      </c>
      <c r="G336">
        <f t="shared" si="50"/>
        <v>145</v>
      </c>
      <c r="H336">
        <f t="shared" si="50"/>
        <v>177</v>
      </c>
      <c r="I336">
        <f t="shared" si="50"/>
        <v>199</v>
      </c>
      <c r="J336">
        <f t="shared" si="50"/>
        <v>232</v>
      </c>
      <c r="K336">
        <f t="shared" si="50"/>
        <v>252</v>
      </c>
      <c r="L336">
        <f t="shared" si="50"/>
        <v>271</v>
      </c>
      <c r="M336">
        <f t="shared" si="50"/>
        <v>286</v>
      </c>
      <c r="N336">
        <f t="shared" si="44"/>
        <v>298</v>
      </c>
      <c r="O336">
        <f t="shared" si="44"/>
        <v>323</v>
      </c>
      <c r="P336">
        <f t="shared" si="44"/>
        <v>341</v>
      </c>
      <c r="Q336">
        <f t="shared" si="44"/>
        <v>367</v>
      </c>
      <c r="S336" t="str">
        <f t="shared" si="45"/>
        <v>30.11.2025</v>
      </c>
      <c r="T336" t="str">
        <f t="shared" si="46"/>
        <v>06:30:00</v>
      </c>
      <c r="U336" t="str">
        <f t="shared" si="48"/>
        <v>30.11.2025 06:30:00</v>
      </c>
      <c r="V336" s="9" t="str">
        <f>MID($A336,C336+C$2+1,D336-C336-C$2-1)</f>
        <v>0</v>
      </c>
      <c r="W336" s="4">
        <f>VALUE(SUBSTITUTE(MID($A336,D336+D$2+1,E336-D336-D$2-1),",","."))</f>
        <v>0</v>
      </c>
      <c r="X336" s="4">
        <f>VALUE(SUBSTITUTE(MID($A336,E336+E$2+1,F336-E336-E$2-1),",","."))</f>
        <v>0.90957602214449496</v>
      </c>
      <c r="Y336" s="4">
        <f>VALUE(SUBSTITUTE(MID($A336,F336+F$2+1,G336-F336-F$2-1),",","."))</f>
        <v>0</v>
      </c>
      <c r="Z336" s="3">
        <f>VALUE(SUBSTITUTE(MID($A336,G336+G$2+1,H336-G336-G$2-1),",","."))</f>
        <v>0</v>
      </c>
      <c r="AA336" s="3">
        <f>VALUE(SUBSTITUTE(MID($A336,H336+H$2+1,I336-H336-H$2-1),",","."))</f>
        <v>0</v>
      </c>
      <c r="AB336" s="3">
        <f>VALUE(SUBSTITUTE(MID($A336,I336+I$2+1,J336-I336-I$2-1),",","."))</f>
        <v>0</v>
      </c>
      <c r="AC336" s="3">
        <f>VALUE(SUBSTITUTE(MID($A336,J336+J$2+1,K336-J336-J$2-1),",","."))</f>
        <v>0.55000000000000004</v>
      </c>
      <c r="AD336" s="3">
        <f>VALUE(SUBSTITUTE(MID($A336,K336+K$2+1,L336-K336-K$2-1),",","."))</f>
        <v>20.34</v>
      </c>
      <c r="AE336" s="3">
        <f>VALUE(SUBSTITUTE(MID($A336,L336+L$2+1,M336-L336-L$2-1),",","."))</f>
        <v>0</v>
      </c>
      <c r="AF336" s="3">
        <f>VALUE(SUBSTITUTE(MID($A336,M336+M$2+1,N336-M336-M$2-1),",","."))</f>
        <v>0</v>
      </c>
      <c r="AG336" s="3">
        <f>VALUE(SUBSTITUTE(MID($A336,N336+N$2+1,O336-N336-N$2-1),",","."))</f>
        <v>4.21295786740962</v>
      </c>
      <c r="AH336" t="str">
        <f>MID($A336,O336+O$2+1,P336-O336-O$2-1)</f>
        <v/>
      </c>
      <c r="AI336" s="8" t="str">
        <f>MID($A336,P336+P$2+1,Q336-P336-P$2-1)</f>
        <v>False</v>
      </c>
      <c r="AK336" t="b">
        <f t="shared" si="49"/>
        <v>0</v>
      </c>
    </row>
    <row r="337" spans="1:37" x14ac:dyDescent="0.35">
      <c r="A337" t="s">
        <v>4884</v>
      </c>
      <c r="B337">
        <f t="shared" si="51"/>
        <v>10</v>
      </c>
      <c r="C337">
        <f t="shared" si="51"/>
        <v>43</v>
      </c>
      <c r="D337">
        <f t="shared" si="51"/>
        <v>54</v>
      </c>
      <c r="E337">
        <f t="shared" si="50"/>
        <v>80</v>
      </c>
      <c r="F337">
        <f t="shared" si="50"/>
        <v>124</v>
      </c>
      <c r="G337">
        <f t="shared" si="50"/>
        <v>145</v>
      </c>
      <c r="H337">
        <f t="shared" si="50"/>
        <v>177</v>
      </c>
      <c r="I337">
        <f t="shared" si="50"/>
        <v>199</v>
      </c>
      <c r="J337">
        <f t="shared" si="50"/>
        <v>232</v>
      </c>
      <c r="K337">
        <f t="shared" si="50"/>
        <v>252</v>
      </c>
      <c r="L337">
        <f t="shared" si="50"/>
        <v>271</v>
      </c>
      <c r="M337">
        <f t="shared" si="50"/>
        <v>286</v>
      </c>
      <c r="N337">
        <f t="shared" si="44"/>
        <v>298</v>
      </c>
      <c r="O337">
        <f t="shared" si="44"/>
        <v>323</v>
      </c>
      <c r="P337">
        <f t="shared" si="44"/>
        <v>341</v>
      </c>
      <c r="Q337">
        <f t="shared" si="44"/>
        <v>367</v>
      </c>
      <c r="S337" t="str">
        <f t="shared" si="45"/>
        <v>30.11.2025</v>
      </c>
      <c r="T337" t="str">
        <f t="shared" si="46"/>
        <v>06:45:00</v>
      </c>
      <c r="U337" t="str">
        <f t="shared" si="48"/>
        <v>30.11.2025 06:45:00</v>
      </c>
      <c r="V337" s="9" t="str">
        <f>MID($A337,C337+C$2+1,D337-C337-C$2-1)</f>
        <v>0</v>
      </c>
      <c r="W337" s="4">
        <f>VALUE(SUBSTITUTE(MID($A337,D337+D$2+1,E337-D337-D$2-1),",","."))</f>
        <v>0</v>
      </c>
      <c r="X337" s="4">
        <f>VALUE(SUBSTITUTE(MID($A337,E337+E$2+1,F337-E337-E$2-1),",","."))</f>
        <v>0.90957602214449496</v>
      </c>
      <c r="Y337" s="4">
        <f>VALUE(SUBSTITUTE(MID($A337,F337+F$2+1,G337-F337-F$2-1),",","."))</f>
        <v>0</v>
      </c>
      <c r="Z337" s="3">
        <f>VALUE(SUBSTITUTE(MID($A337,G337+G$2+1,H337-G337-G$2-1),",","."))</f>
        <v>0</v>
      </c>
      <c r="AA337" s="3">
        <f>VALUE(SUBSTITUTE(MID($A337,H337+H$2+1,I337-H337-H$2-1),",","."))</f>
        <v>0</v>
      </c>
      <c r="AB337" s="3">
        <f>VALUE(SUBSTITUTE(MID($A337,I337+I$2+1,J337-I337-I$2-1),",","."))</f>
        <v>0</v>
      </c>
      <c r="AC337" s="3">
        <f>VALUE(SUBSTITUTE(MID($A337,J337+J$2+1,K337-J337-J$2-1),",","."))</f>
        <v>0.55000000000000004</v>
      </c>
      <c r="AD337" s="3">
        <f>VALUE(SUBSTITUTE(MID($A337,K337+K$2+1,L337-K337-K$2-1),",","."))</f>
        <v>20.34</v>
      </c>
      <c r="AE337" s="3">
        <f>VALUE(SUBSTITUTE(MID($A337,L337+L$2+1,M337-L337-L$2-1),",","."))</f>
        <v>0</v>
      </c>
      <c r="AF337" s="3">
        <f>VALUE(SUBSTITUTE(MID($A337,M337+M$2+1,N337-M337-M$2-1),",","."))</f>
        <v>0</v>
      </c>
      <c r="AG337" s="3">
        <f>VALUE(SUBSTITUTE(MID($A337,N337+N$2+1,O337-N337-N$2-1),",","."))</f>
        <v>4.2129863872976996</v>
      </c>
      <c r="AH337" t="str">
        <f>MID($A337,O337+O$2+1,P337-O337-O$2-1)</f>
        <v/>
      </c>
      <c r="AI337" s="8" t="str">
        <f>MID($A337,P337+P$2+1,Q337-P337-P$2-1)</f>
        <v>False</v>
      </c>
      <c r="AK337" t="b">
        <f t="shared" si="49"/>
        <v>0</v>
      </c>
    </row>
    <row r="338" spans="1:37" x14ac:dyDescent="0.35">
      <c r="A338" t="s">
        <v>4885</v>
      </c>
      <c r="B338">
        <f t="shared" si="51"/>
        <v>10</v>
      </c>
      <c r="C338">
        <f t="shared" si="51"/>
        <v>43</v>
      </c>
      <c r="D338">
        <f t="shared" si="51"/>
        <v>54</v>
      </c>
      <c r="E338">
        <f t="shared" si="50"/>
        <v>80</v>
      </c>
      <c r="F338">
        <f t="shared" si="50"/>
        <v>124</v>
      </c>
      <c r="G338">
        <f t="shared" si="50"/>
        <v>145</v>
      </c>
      <c r="H338">
        <f t="shared" si="50"/>
        <v>177</v>
      </c>
      <c r="I338">
        <f t="shared" si="50"/>
        <v>199</v>
      </c>
      <c r="J338">
        <f t="shared" si="50"/>
        <v>232</v>
      </c>
      <c r="K338">
        <f t="shared" si="50"/>
        <v>252</v>
      </c>
      <c r="L338">
        <f t="shared" si="50"/>
        <v>271</v>
      </c>
      <c r="M338">
        <f t="shared" si="50"/>
        <v>286</v>
      </c>
      <c r="N338">
        <f t="shared" si="44"/>
        <v>298</v>
      </c>
      <c r="O338">
        <f t="shared" si="44"/>
        <v>323</v>
      </c>
      <c r="P338">
        <f t="shared" si="44"/>
        <v>341</v>
      </c>
      <c r="Q338">
        <f t="shared" si="44"/>
        <v>367</v>
      </c>
      <c r="S338" t="str">
        <f t="shared" si="45"/>
        <v>30.11.2025</v>
      </c>
      <c r="T338" t="str">
        <f t="shared" si="46"/>
        <v>07:00:00</v>
      </c>
      <c r="U338" t="str">
        <f t="shared" si="48"/>
        <v>30.11.2025 07:00:00</v>
      </c>
      <c r="V338" s="9" t="str">
        <f>MID($A338,C338+C$2+1,D338-C338-C$2-1)</f>
        <v>0</v>
      </c>
      <c r="W338" s="4">
        <f>VALUE(SUBSTITUTE(MID($A338,D338+D$2+1,E338-D338-D$2-1),",","."))</f>
        <v>0</v>
      </c>
      <c r="X338" s="4">
        <f>VALUE(SUBSTITUTE(MID($A338,E338+E$2+1,F338-E338-E$2-1),",","."))</f>
        <v>0.90957602214449496</v>
      </c>
      <c r="Y338" s="4">
        <f>VALUE(SUBSTITUTE(MID($A338,F338+F$2+1,G338-F338-F$2-1),",","."))</f>
        <v>0</v>
      </c>
      <c r="Z338" s="3">
        <f>VALUE(SUBSTITUTE(MID($A338,G338+G$2+1,H338-G338-G$2-1),",","."))</f>
        <v>0</v>
      </c>
      <c r="AA338" s="3">
        <f>VALUE(SUBSTITUTE(MID($A338,H338+H$2+1,I338-H338-H$2-1),",","."))</f>
        <v>0</v>
      </c>
      <c r="AB338" s="3">
        <f>VALUE(SUBSTITUTE(MID($A338,I338+I$2+1,J338-I338-I$2-1),",","."))</f>
        <v>0</v>
      </c>
      <c r="AC338" s="3">
        <f>VALUE(SUBSTITUTE(MID($A338,J338+J$2+1,K338-J338-J$2-1),",","."))</f>
        <v>0.55000000000000004</v>
      </c>
      <c r="AD338" s="3">
        <f>VALUE(SUBSTITUTE(MID($A338,K338+K$2+1,L338-K338-K$2-1),",","."))</f>
        <v>20.34</v>
      </c>
      <c r="AE338" s="3">
        <f>VALUE(SUBSTITUTE(MID($A338,L338+L$2+1,M338-L338-L$2-1),",","."))</f>
        <v>0</v>
      </c>
      <c r="AF338" s="3">
        <f>VALUE(SUBSTITUTE(MID($A338,M338+M$2+1,N338-M338-M$2-1),",","."))</f>
        <v>0</v>
      </c>
      <c r="AG338" s="3">
        <f>VALUE(SUBSTITUTE(MID($A338,N338+N$2+1,O338-N338-N$2-1),",","."))</f>
        <v>4.2130149071857801</v>
      </c>
      <c r="AH338" t="str">
        <f>MID($A338,O338+O$2+1,P338-O338-O$2-1)</f>
        <v/>
      </c>
      <c r="AI338" s="8" t="str">
        <f>MID($A338,P338+P$2+1,Q338-P338-P$2-1)</f>
        <v>False</v>
      </c>
      <c r="AK338" t="b">
        <f t="shared" si="49"/>
        <v>0</v>
      </c>
    </row>
    <row r="339" spans="1:37" x14ac:dyDescent="0.35">
      <c r="A339" t="s">
        <v>4886</v>
      </c>
      <c r="B339">
        <f t="shared" si="51"/>
        <v>10</v>
      </c>
      <c r="C339">
        <f t="shared" si="51"/>
        <v>43</v>
      </c>
      <c r="D339">
        <f t="shared" si="51"/>
        <v>54</v>
      </c>
      <c r="E339">
        <f t="shared" si="50"/>
        <v>80</v>
      </c>
      <c r="F339">
        <f t="shared" si="50"/>
        <v>124</v>
      </c>
      <c r="G339">
        <f t="shared" si="50"/>
        <v>145</v>
      </c>
      <c r="H339">
        <f t="shared" si="50"/>
        <v>177</v>
      </c>
      <c r="I339">
        <f t="shared" si="50"/>
        <v>199</v>
      </c>
      <c r="J339">
        <f t="shared" si="50"/>
        <v>232</v>
      </c>
      <c r="K339">
        <f t="shared" si="50"/>
        <v>252</v>
      </c>
      <c r="L339">
        <f t="shared" si="50"/>
        <v>271</v>
      </c>
      <c r="M339">
        <f t="shared" si="50"/>
        <v>286</v>
      </c>
      <c r="N339">
        <f t="shared" si="44"/>
        <v>298</v>
      </c>
      <c r="O339">
        <f t="shared" si="44"/>
        <v>322</v>
      </c>
      <c r="P339">
        <f t="shared" si="44"/>
        <v>340</v>
      </c>
      <c r="Q339">
        <f t="shared" si="44"/>
        <v>366</v>
      </c>
      <c r="S339" t="str">
        <f t="shared" si="45"/>
        <v>30.11.2025</v>
      </c>
      <c r="T339" t="str">
        <f t="shared" si="46"/>
        <v>07:15:00</v>
      </c>
      <c r="U339" t="str">
        <f t="shared" si="48"/>
        <v>30.11.2025 07:15:00</v>
      </c>
      <c r="V339" s="9" t="str">
        <f>MID($A339,C339+C$2+1,D339-C339-C$2-1)</f>
        <v>0</v>
      </c>
      <c r="W339" s="4">
        <f>VALUE(SUBSTITUTE(MID($A339,D339+D$2+1,E339-D339-D$2-1),",","."))</f>
        <v>0</v>
      </c>
      <c r="X339" s="4">
        <f>VALUE(SUBSTITUTE(MID($A339,E339+E$2+1,F339-E339-E$2-1),",","."))</f>
        <v>0.90957602214449496</v>
      </c>
      <c r="Y339" s="4">
        <f>VALUE(SUBSTITUTE(MID($A339,F339+F$2+1,G339-F339-F$2-1),",","."))</f>
        <v>0</v>
      </c>
      <c r="Z339" s="3">
        <f>VALUE(SUBSTITUTE(MID($A339,G339+G$2+1,H339-G339-G$2-1),",","."))</f>
        <v>0</v>
      </c>
      <c r="AA339" s="3">
        <f>VALUE(SUBSTITUTE(MID($A339,H339+H$2+1,I339-H339-H$2-1),",","."))</f>
        <v>0</v>
      </c>
      <c r="AB339" s="3">
        <f>VALUE(SUBSTITUTE(MID($A339,I339+I$2+1,J339-I339-I$2-1),",","."))</f>
        <v>0</v>
      </c>
      <c r="AC339" s="3">
        <f>VALUE(SUBSTITUTE(MID($A339,J339+J$2+1,K339-J339-J$2-1),",","."))</f>
        <v>0.55000000000000004</v>
      </c>
      <c r="AD339" s="3">
        <f>VALUE(SUBSTITUTE(MID($A339,K339+K$2+1,L339-K339-K$2-1),",","."))</f>
        <v>20.34</v>
      </c>
      <c r="AE339" s="3">
        <f>VALUE(SUBSTITUTE(MID($A339,L339+L$2+1,M339-L339-L$2-1),",","."))</f>
        <v>0</v>
      </c>
      <c r="AF339" s="3">
        <f>VALUE(SUBSTITUTE(MID($A339,M339+M$2+1,N339-M339-M$2-1),",","."))</f>
        <v>0</v>
      </c>
      <c r="AG339" s="3">
        <f>VALUE(SUBSTITUTE(MID($A339,N339+N$2+1,O339-N339-N$2-1),",","."))</f>
        <v>4.2130434270738704</v>
      </c>
      <c r="AH339" t="str">
        <f>MID($A339,O339+O$2+1,P339-O339-O$2-1)</f>
        <v/>
      </c>
      <c r="AI339" s="8" t="str">
        <f>MID($A339,P339+P$2+1,Q339-P339-P$2-1)</f>
        <v>False</v>
      </c>
      <c r="AK339" t="b">
        <f t="shared" si="49"/>
        <v>0</v>
      </c>
    </row>
    <row r="340" spans="1:37" x14ac:dyDescent="0.35">
      <c r="A340" t="s">
        <v>4887</v>
      </c>
      <c r="B340">
        <f t="shared" si="51"/>
        <v>10</v>
      </c>
      <c r="C340">
        <f t="shared" si="51"/>
        <v>43</v>
      </c>
      <c r="D340">
        <f t="shared" si="51"/>
        <v>54</v>
      </c>
      <c r="E340">
        <f t="shared" si="50"/>
        <v>80</v>
      </c>
      <c r="F340">
        <f t="shared" si="50"/>
        <v>124</v>
      </c>
      <c r="G340">
        <f t="shared" si="50"/>
        <v>145</v>
      </c>
      <c r="H340">
        <f t="shared" si="50"/>
        <v>177</v>
      </c>
      <c r="I340">
        <f t="shared" si="50"/>
        <v>199</v>
      </c>
      <c r="J340">
        <f t="shared" si="50"/>
        <v>232</v>
      </c>
      <c r="K340">
        <f t="shared" si="50"/>
        <v>251</v>
      </c>
      <c r="L340">
        <f t="shared" si="50"/>
        <v>283</v>
      </c>
      <c r="M340">
        <f t="shared" si="50"/>
        <v>298</v>
      </c>
      <c r="N340">
        <f t="shared" si="44"/>
        <v>310</v>
      </c>
      <c r="O340">
        <f t="shared" si="44"/>
        <v>335</v>
      </c>
      <c r="P340">
        <f t="shared" si="44"/>
        <v>353</v>
      </c>
      <c r="Q340">
        <f t="shared" si="44"/>
        <v>379</v>
      </c>
      <c r="S340" t="str">
        <f t="shared" si="45"/>
        <v>30.11.2025</v>
      </c>
      <c r="T340" t="str">
        <f t="shared" si="46"/>
        <v>07:30:00</v>
      </c>
      <c r="U340" t="str">
        <f t="shared" si="48"/>
        <v>30.11.2025 07:30:00</v>
      </c>
      <c r="V340" s="9" t="str">
        <f>MID($A340,C340+C$2+1,D340-C340-C$2-1)</f>
        <v>0</v>
      </c>
      <c r="W340" s="4">
        <f>VALUE(SUBSTITUTE(MID($A340,D340+D$2+1,E340-D340-D$2-1),",","."))</f>
        <v>0</v>
      </c>
      <c r="X340" s="4">
        <f>VALUE(SUBSTITUTE(MID($A340,E340+E$2+1,F340-E340-E$2-1),",","."))</f>
        <v>0.90957602214449496</v>
      </c>
      <c r="Y340" s="4">
        <f>VALUE(SUBSTITUTE(MID($A340,F340+F$2+1,G340-F340-F$2-1),",","."))</f>
        <v>0</v>
      </c>
      <c r="Z340" s="3">
        <f>VALUE(SUBSTITUTE(MID($A340,G340+G$2+1,H340-G340-G$2-1),",","."))</f>
        <v>0</v>
      </c>
      <c r="AA340" s="3">
        <f>VALUE(SUBSTITUTE(MID($A340,H340+H$2+1,I340-H340-H$2-1),",","."))</f>
        <v>0</v>
      </c>
      <c r="AB340" s="3">
        <f>VALUE(SUBSTITUTE(MID($A340,I340+I$2+1,J340-I340-I$2-1),",","."))</f>
        <v>0</v>
      </c>
      <c r="AC340" s="3">
        <f>VALUE(SUBSTITUTE(MID($A340,J340+J$2+1,K340-J340-J$2-1),",","."))</f>
        <v>1.1000000000000001</v>
      </c>
      <c r="AD340" s="3">
        <f>VALUE(SUBSTITUTE(MID($A340,K340+K$2+1,L340-K340-K$2-1),",","."))</f>
        <v>19.439999999999898</v>
      </c>
      <c r="AE340" s="3">
        <f>VALUE(SUBSTITUTE(MID($A340,L340+L$2+1,M340-L340-L$2-1),",","."))</f>
        <v>0</v>
      </c>
      <c r="AF340" s="3">
        <f>VALUE(SUBSTITUTE(MID($A340,M340+M$2+1,N340-M340-M$2-1),",","."))</f>
        <v>0</v>
      </c>
      <c r="AG340" s="3">
        <f>VALUE(SUBSTITUTE(MID($A340,N340+N$2+1,O340-N340-N$2-1),",","."))</f>
        <v>4.21307194696195</v>
      </c>
      <c r="AH340" t="str">
        <f>MID($A340,O340+O$2+1,P340-O340-O$2-1)</f>
        <v/>
      </c>
      <c r="AI340" s="8" t="str">
        <f>MID($A340,P340+P$2+1,Q340-P340-P$2-1)</f>
        <v>False</v>
      </c>
      <c r="AK340" t="b">
        <f t="shared" si="49"/>
        <v>0</v>
      </c>
    </row>
    <row r="341" spans="1:37" x14ac:dyDescent="0.35">
      <c r="A341" t="s">
        <v>4888</v>
      </c>
      <c r="B341">
        <f t="shared" si="51"/>
        <v>10</v>
      </c>
      <c r="C341">
        <f t="shared" si="51"/>
        <v>43</v>
      </c>
      <c r="D341">
        <f t="shared" si="51"/>
        <v>54</v>
      </c>
      <c r="E341">
        <f t="shared" si="50"/>
        <v>80</v>
      </c>
      <c r="F341">
        <f t="shared" si="50"/>
        <v>124</v>
      </c>
      <c r="G341">
        <f t="shared" si="50"/>
        <v>165</v>
      </c>
      <c r="H341">
        <f t="shared" si="50"/>
        <v>197</v>
      </c>
      <c r="I341">
        <f t="shared" si="50"/>
        <v>219</v>
      </c>
      <c r="J341">
        <f t="shared" si="50"/>
        <v>252</v>
      </c>
      <c r="K341">
        <f t="shared" si="50"/>
        <v>271</v>
      </c>
      <c r="L341">
        <f t="shared" si="50"/>
        <v>303</v>
      </c>
      <c r="M341">
        <f t="shared" si="50"/>
        <v>318</v>
      </c>
      <c r="N341">
        <f t="shared" si="44"/>
        <v>330</v>
      </c>
      <c r="O341">
        <f t="shared" si="44"/>
        <v>355</v>
      </c>
      <c r="P341">
        <f t="shared" si="44"/>
        <v>373</v>
      </c>
      <c r="Q341">
        <f t="shared" si="44"/>
        <v>399</v>
      </c>
      <c r="S341" t="str">
        <f t="shared" si="45"/>
        <v>30.11.2025</v>
      </c>
      <c r="T341" t="str">
        <f t="shared" si="46"/>
        <v>07:45:00</v>
      </c>
      <c r="U341" t="str">
        <f t="shared" si="48"/>
        <v>30.11.2025 07:45:00</v>
      </c>
      <c r="V341" s="9" t="str">
        <f>MID($A341,C341+C$2+1,D341-C341-C$2-1)</f>
        <v>0</v>
      </c>
      <c r="W341" s="4">
        <f>VALUE(SUBSTITUTE(MID($A341,D341+D$2+1,E341-D341-D$2-1),",","."))</f>
        <v>0</v>
      </c>
      <c r="X341" s="4">
        <f>VALUE(SUBSTITUTE(MID($A341,E341+E$2+1,F341-E341-E$2-1),",","."))</f>
        <v>0.90957602214449496</v>
      </c>
      <c r="Y341" s="4">
        <f>VALUE(SUBSTITUTE(MID($A341,F341+F$2+1,G341-F341-F$2-1),",","."))</f>
        <v>1.55754047029332E-3</v>
      </c>
      <c r="Z341" s="3">
        <f>VALUE(SUBSTITUTE(MID($A341,G341+G$2+1,H341-G341-G$2-1),",","."))</f>
        <v>0</v>
      </c>
      <c r="AA341" s="3">
        <f>VALUE(SUBSTITUTE(MID($A341,H341+H$2+1,I341-H341-H$2-1),",","."))</f>
        <v>0</v>
      </c>
      <c r="AB341" s="3">
        <f>VALUE(SUBSTITUTE(MID($A341,I341+I$2+1,J341-I341-I$2-1),",","."))</f>
        <v>0</v>
      </c>
      <c r="AC341" s="3">
        <f>VALUE(SUBSTITUTE(MID($A341,J341+J$2+1,K341-J341-J$2-1),",","."))</f>
        <v>1.1000000000000001</v>
      </c>
      <c r="AD341" s="3">
        <f>VALUE(SUBSTITUTE(MID($A341,K341+K$2+1,L341-K341-K$2-1),",","."))</f>
        <v>19.439999999999898</v>
      </c>
      <c r="AE341" s="3">
        <f>VALUE(SUBSTITUTE(MID($A341,L341+L$2+1,M341-L341-L$2-1),",","."))</f>
        <v>0</v>
      </c>
      <c r="AF341" s="3">
        <f>VALUE(SUBSTITUTE(MID($A341,M341+M$2+1,N341-M341-M$2-1),",","."))</f>
        <v>0</v>
      </c>
      <c r="AG341" s="3">
        <f>VALUE(SUBSTITUTE(MID($A341,N341+N$2+1,O341-N341-N$2-1),",","."))</f>
        <v>4.2131004668500296</v>
      </c>
      <c r="AH341" t="str">
        <f>MID($A341,O341+O$2+1,P341-O341-O$2-1)</f>
        <v/>
      </c>
      <c r="AI341" s="8" t="str">
        <f>MID($A341,P341+P$2+1,Q341-P341-P$2-1)</f>
        <v>False</v>
      </c>
      <c r="AK341" t="b">
        <f t="shared" si="49"/>
        <v>0</v>
      </c>
    </row>
    <row r="342" spans="1:37" x14ac:dyDescent="0.35">
      <c r="A342" t="s">
        <v>4889</v>
      </c>
      <c r="B342">
        <f t="shared" si="51"/>
        <v>10</v>
      </c>
      <c r="C342">
        <f t="shared" si="51"/>
        <v>43</v>
      </c>
      <c r="D342">
        <f t="shared" si="51"/>
        <v>54</v>
      </c>
      <c r="E342">
        <f t="shared" si="50"/>
        <v>97</v>
      </c>
      <c r="F342">
        <f t="shared" si="50"/>
        <v>141</v>
      </c>
      <c r="G342">
        <f t="shared" si="50"/>
        <v>180</v>
      </c>
      <c r="H342">
        <f t="shared" si="50"/>
        <v>212</v>
      </c>
      <c r="I342">
        <f t="shared" si="50"/>
        <v>234</v>
      </c>
      <c r="J342">
        <f t="shared" si="50"/>
        <v>267</v>
      </c>
      <c r="K342">
        <f t="shared" si="50"/>
        <v>286</v>
      </c>
      <c r="L342">
        <f t="shared" si="50"/>
        <v>318</v>
      </c>
      <c r="M342">
        <f t="shared" si="50"/>
        <v>333</v>
      </c>
      <c r="N342">
        <f t="shared" si="44"/>
        <v>345</v>
      </c>
      <c r="O342">
        <f t="shared" si="44"/>
        <v>371</v>
      </c>
      <c r="P342">
        <f t="shared" si="44"/>
        <v>389</v>
      </c>
      <c r="Q342">
        <f t="shared" si="44"/>
        <v>415</v>
      </c>
      <c r="S342" t="str">
        <f t="shared" si="45"/>
        <v>30.11.2025</v>
      </c>
      <c r="T342" t="str">
        <f t="shared" si="46"/>
        <v>08:00:00</v>
      </c>
      <c r="U342" t="str">
        <f t="shared" si="48"/>
        <v>30.11.2025 08:00:00</v>
      </c>
      <c r="V342" s="9" t="str">
        <f>MID($A342,C342+C$2+1,D342-C342-C$2-1)</f>
        <v>0</v>
      </c>
      <c r="W342" s="4">
        <f>VALUE(SUBSTITUTE(MID($A342,D342+D$2+1,E342-D342-D$2-1),",","."))</f>
        <v>0.50655015442884099</v>
      </c>
      <c r="X342" s="4">
        <f>VALUE(SUBSTITUTE(MID($A342,E342+E$2+1,F342-E342-E$2-1),",","."))</f>
        <v>0.90957602214449496</v>
      </c>
      <c r="Y342" s="4">
        <f>VALUE(SUBSTITUTE(MID($A342,F342+F$2+1,G342-F342-F$2-1),",","."))</f>
        <v>3.4017405999203401E-2</v>
      </c>
      <c r="Z342" s="3">
        <f>VALUE(SUBSTITUTE(MID($A342,G342+G$2+1,H342-G342-G$2-1),",","."))</f>
        <v>0</v>
      </c>
      <c r="AA342" s="3">
        <f>VALUE(SUBSTITUTE(MID($A342,H342+H$2+1,I342-H342-H$2-1),",","."))</f>
        <v>0</v>
      </c>
      <c r="AB342" s="3">
        <f>VALUE(SUBSTITUTE(MID($A342,I342+I$2+1,J342-I342-I$2-1),",","."))</f>
        <v>0</v>
      </c>
      <c r="AC342" s="3">
        <f>VALUE(SUBSTITUTE(MID($A342,J342+J$2+1,K342-J342-J$2-1),",","."))</f>
        <v>1.1000000000000001</v>
      </c>
      <c r="AD342" s="3">
        <f>VALUE(SUBSTITUTE(MID($A342,K342+K$2+1,L342-K342-K$2-1),",","."))</f>
        <v>19.439999999999898</v>
      </c>
      <c r="AE342" s="3">
        <f>VALUE(SUBSTITUTE(MID($A342,L342+L$2+1,M342-L342-L$2-1),",","."))</f>
        <v>0</v>
      </c>
      <c r="AF342" s="3">
        <f>VALUE(SUBSTITUTE(MID($A342,M342+M$2+1,N342-M342-M$2-1),",","."))</f>
        <v>0</v>
      </c>
      <c r="AG342" s="3">
        <f>VALUE(SUBSTITUTE(MID($A342,N342+N$2+1,O342-N342-N$2-1),",","."))</f>
        <v>4.2131289867381101</v>
      </c>
      <c r="AH342" t="str">
        <f>MID($A342,O342+O$2+1,P342-O342-O$2-1)</f>
        <v/>
      </c>
      <c r="AI342" s="8" t="str">
        <f>MID($A342,P342+P$2+1,Q342-P342-P$2-1)</f>
        <v>False</v>
      </c>
      <c r="AK342" t="b">
        <f t="shared" si="49"/>
        <v>0</v>
      </c>
    </row>
    <row r="343" spans="1:37" x14ac:dyDescent="0.35">
      <c r="A343" t="s">
        <v>4890</v>
      </c>
      <c r="B343">
        <f t="shared" si="51"/>
        <v>10</v>
      </c>
      <c r="C343">
        <f t="shared" si="51"/>
        <v>43</v>
      </c>
      <c r="D343">
        <f t="shared" si="51"/>
        <v>54</v>
      </c>
      <c r="E343">
        <f t="shared" si="50"/>
        <v>97</v>
      </c>
      <c r="F343">
        <f t="shared" si="50"/>
        <v>141</v>
      </c>
      <c r="G343">
        <f t="shared" si="50"/>
        <v>180</v>
      </c>
      <c r="H343">
        <f t="shared" si="50"/>
        <v>212</v>
      </c>
      <c r="I343">
        <f t="shared" si="50"/>
        <v>234</v>
      </c>
      <c r="J343">
        <f t="shared" si="50"/>
        <v>267</v>
      </c>
      <c r="K343">
        <f t="shared" si="50"/>
        <v>286</v>
      </c>
      <c r="L343">
        <f t="shared" si="50"/>
        <v>318</v>
      </c>
      <c r="M343">
        <f t="shared" si="50"/>
        <v>333</v>
      </c>
      <c r="N343">
        <f t="shared" si="44"/>
        <v>345</v>
      </c>
      <c r="O343">
        <f t="shared" si="44"/>
        <v>370</v>
      </c>
      <c r="P343">
        <f t="shared" si="44"/>
        <v>388</v>
      </c>
      <c r="Q343">
        <f t="shared" si="44"/>
        <v>414</v>
      </c>
      <c r="S343" t="str">
        <f t="shared" si="45"/>
        <v>30.11.2025</v>
      </c>
      <c r="T343" t="str">
        <f t="shared" si="46"/>
        <v>08:15:00</v>
      </c>
      <c r="U343" t="str">
        <f t="shared" si="48"/>
        <v>30.11.2025 08:15:00</v>
      </c>
      <c r="V343" s="9" t="str">
        <f>MID($A343,C343+C$2+1,D343-C343-C$2-1)</f>
        <v>0</v>
      </c>
      <c r="W343" s="4">
        <f>VALUE(SUBSTITUTE(MID($A343,D343+D$2+1,E343-D343-D$2-1),",","."))</f>
        <v>0.54824756794916696</v>
      </c>
      <c r="X343" s="4">
        <f>VALUE(SUBSTITUTE(MID($A343,E343+E$2+1,F343-E343-E$2-1),",","."))</f>
        <v>0.90957602214449496</v>
      </c>
      <c r="Y343" s="4">
        <f>VALUE(SUBSTITUTE(MID($A343,F343+F$2+1,G343-F343-F$2-1),",","."))</f>
        <v>6.7663998824842794E-2</v>
      </c>
      <c r="Z343" s="3">
        <f>VALUE(SUBSTITUTE(MID($A343,G343+G$2+1,H343-G343-G$2-1),",","."))</f>
        <v>0</v>
      </c>
      <c r="AA343" s="3">
        <f>VALUE(SUBSTITUTE(MID($A343,H343+H$2+1,I343-H343-H$2-1),",","."))</f>
        <v>0</v>
      </c>
      <c r="AB343" s="3">
        <f>VALUE(SUBSTITUTE(MID($A343,I343+I$2+1,J343-I343-I$2-1),",","."))</f>
        <v>0</v>
      </c>
      <c r="AC343" s="3">
        <f>VALUE(SUBSTITUTE(MID($A343,J343+J$2+1,K343-J343-J$2-1),",","."))</f>
        <v>1.1000000000000001</v>
      </c>
      <c r="AD343" s="3">
        <f>VALUE(SUBSTITUTE(MID($A343,K343+K$2+1,L343-K343-K$2-1),",","."))</f>
        <v>19.439999999999898</v>
      </c>
      <c r="AE343" s="3">
        <f>VALUE(SUBSTITUTE(MID($A343,L343+L$2+1,M343-L343-L$2-1),",","."))</f>
        <v>0</v>
      </c>
      <c r="AF343" s="3">
        <f>VALUE(SUBSTITUTE(MID($A343,M343+M$2+1,N343-M343-M$2-1),",","."))</f>
        <v>0</v>
      </c>
      <c r="AG343" s="3">
        <f>VALUE(SUBSTITUTE(MID($A343,N343+N$2+1,O343-N343-N$2-1),",","."))</f>
        <v>4.2131575066261897</v>
      </c>
      <c r="AH343" t="str">
        <f>MID($A343,O343+O$2+1,P343-O343-O$2-1)</f>
        <v/>
      </c>
      <c r="AI343" s="8" t="str">
        <f>MID($A343,P343+P$2+1,Q343-P343-P$2-1)</f>
        <v>False</v>
      </c>
      <c r="AK343" t="b">
        <f t="shared" si="49"/>
        <v>0</v>
      </c>
    </row>
    <row r="344" spans="1:37" x14ac:dyDescent="0.35">
      <c r="A344" t="s">
        <v>4891</v>
      </c>
      <c r="B344">
        <f t="shared" si="51"/>
        <v>10</v>
      </c>
      <c r="C344">
        <f t="shared" si="51"/>
        <v>43</v>
      </c>
      <c r="D344">
        <f t="shared" si="51"/>
        <v>54</v>
      </c>
      <c r="E344">
        <f t="shared" si="50"/>
        <v>97</v>
      </c>
      <c r="F344">
        <f t="shared" si="50"/>
        <v>141</v>
      </c>
      <c r="G344">
        <f t="shared" si="50"/>
        <v>180</v>
      </c>
      <c r="H344">
        <f t="shared" si="50"/>
        <v>228</v>
      </c>
      <c r="I344">
        <f t="shared" si="50"/>
        <v>250</v>
      </c>
      <c r="J344">
        <f t="shared" si="50"/>
        <v>286</v>
      </c>
      <c r="K344">
        <f t="shared" si="50"/>
        <v>306</v>
      </c>
      <c r="L344">
        <f t="shared" si="50"/>
        <v>338</v>
      </c>
      <c r="M344">
        <f t="shared" si="50"/>
        <v>353</v>
      </c>
      <c r="N344">
        <f t="shared" si="44"/>
        <v>365</v>
      </c>
      <c r="O344">
        <f t="shared" si="44"/>
        <v>390</v>
      </c>
      <c r="P344">
        <f t="shared" si="44"/>
        <v>408</v>
      </c>
      <c r="Q344">
        <f t="shared" si="44"/>
        <v>434</v>
      </c>
      <c r="S344" t="str">
        <f t="shared" si="45"/>
        <v>30.11.2025</v>
      </c>
      <c r="T344" t="str">
        <f t="shared" si="46"/>
        <v>08:30:00</v>
      </c>
      <c r="U344" t="str">
        <f t="shared" si="48"/>
        <v>30.11.2025 08:30:00</v>
      </c>
      <c r="V344" s="9" t="str">
        <f>MID($A344,C344+C$2+1,D344-C344-C$2-1)</f>
        <v>0</v>
      </c>
      <c r="W344" s="4">
        <f>VALUE(SUBSTITUTE(MID($A344,D344+D$2+1,E344-D344-D$2-1),",","."))</f>
        <v>0.588012265055182</v>
      </c>
      <c r="X344" s="4">
        <f>VALUE(SUBSTITUTE(MID($A344,E344+E$2+1,F344-E344-E$2-1),",","."))</f>
        <v>0.90957602214449496</v>
      </c>
      <c r="Y344" s="4">
        <f>VALUE(SUBSTITUTE(MID($A344,F344+F$2+1,G344-F344-F$2-1),",","."))</f>
        <v>0.100806892066321</v>
      </c>
      <c r="Z344" s="3">
        <f>VALUE(SUBSTITUTE(MID($A344,G344+G$2+1,H344-G344-G$2-1),",","."))</f>
        <v>90.816666666666606</v>
      </c>
      <c r="AA344" s="3">
        <f>VALUE(SUBSTITUTE(MID($A344,H344+H$2+1,I344-H344-H$2-1),",","."))</f>
        <v>0</v>
      </c>
      <c r="AB344" s="3">
        <f>VALUE(SUBSTITUTE(MID($A344,I344+I$2+1,J344-I344-I$2-1),",","."))</f>
        <v>24.5</v>
      </c>
      <c r="AC344" s="3">
        <f>VALUE(SUBSTITUTE(MID($A344,J344+J$2+1,K344-J344-J$2-1),",","."))</f>
        <v>1.85</v>
      </c>
      <c r="AD344" s="3">
        <f>VALUE(SUBSTITUTE(MID($A344,K344+K$2+1,L344-K344-K$2-1),",","."))</f>
        <v>14.04</v>
      </c>
      <c r="AE344" s="3">
        <f>VALUE(SUBSTITUTE(MID($A344,L344+L$2+1,M344-L344-L$2-1),",","."))</f>
        <v>0</v>
      </c>
      <c r="AF344" s="3">
        <f>VALUE(SUBSTITUTE(MID($A344,M344+M$2+1,N344-M344-M$2-1),",","."))</f>
        <v>0</v>
      </c>
      <c r="AG344" s="3">
        <f>VALUE(SUBSTITUTE(MID($A344,N344+N$2+1,O344-N344-N$2-1),",","."))</f>
        <v>4.2131860265142702</v>
      </c>
      <c r="AH344" t="str">
        <f>MID($A344,O344+O$2+1,P344-O344-O$2-1)</f>
        <v/>
      </c>
      <c r="AI344" s="8" t="str">
        <f>MID($A344,P344+P$2+1,Q344-P344-P$2-1)</f>
        <v>False</v>
      </c>
      <c r="AK344" t="b">
        <f t="shared" si="49"/>
        <v>0</v>
      </c>
    </row>
    <row r="345" spans="1:37" x14ac:dyDescent="0.35">
      <c r="A345" t="s">
        <v>4892</v>
      </c>
      <c r="B345">
        <f t="shared" si="51"/>
        <v>10</v>
      </c>
      <c r="C345">
        <f t="shared" si="51"/>
        <v>43</v>
      </c>
      <c r="D345">
        <f t="shared" si="51"/>
        <v>54</v>
      </c>
      <c r="E345">
        <f t="shared" si="50"/>
        <v>97</v>
      </c>
      <c r="F345">
        <f t="shared" si="50"/>
        <v>141</v>
      </c>
      <c r="G345">
        <f t="shared" si="50"/>
        <v>180</v>
      </c>
      <c r="H345">
        <f t="shared" si="50"/>
        <v>228</v>
      </c>
      <c r="I345">
        <f t="shared" si="50"/>
        <v>250</v>
      </c>
      <c r="J345">
        <f t="shared" si="50"/>
        <v>286</v>
      </c>
      <c r="K345">
        <f t="shared" si="50"/>
        <v>306</v>
      </c>
      <c r="L345">
        <f t="shared" si="50"/>
        <v>338</v>
      </c>
      <c r="M345">
        <f t="shared" si="50"/>
        <v>353</v>
      </c>
      <c r="N345">
        <f t="shared" si="44"/>
        <v>365</v>
      </c>
      <c r="O345">
        <f t="shared" si="44"/>
        <v>389</v>
      </c>
      <c r="P345">
        <f t="shared" si="44"/>
        <v>407</v>
      </c>
      <c r="Q345">
        <f t="shared" si="44"/>
        <v>433</v>
      </c>
      <c r="S345" t="str">
        <f t="shared" si="45"/>
        <v>30.11.2025</v>
      </c>
      <c r="T345" t="str">
        <f t="shared" si="46"/>
        <v>08:45:00</v>
      </c>
      <c r="U345" t="str">
        <f t="shared" si="48"/>
        <v>30.11.2025 08:45:00</v>
      </c>
      <c r="V345" s="9" t="str">
        <f>MID($A345,C345+C$2+1,D345-C345-C$2-1)</f>
        <v>0</v>
      </c>
      <c r="W345" s="4">
        <f>VALUE(SUBSTITUTE(MID($A345,D345+D$2+1,E345-D345-D$2-1),",","."))</f>
        <v>0.62521453242491898</v>
      </c>
      <c r="X345" s="4">
        <f>VALUE(SUBSTITUTE(MID($A345,E345+E$2+1,F345-E345-E$2-1),",","."))</f>
        <v>0.90957602214449496</v>
      </c>
      <c r="Y345" s="4">
        <f>VALUE(SUBSTITUTE(MID($A345,F345+F$2+1,G345-F345-F$2-1),",","."))</f>
        <v>0.132756648898223</v>
      </c>
      <c r="Z345" s="3">
        <f>VALUE(SUBSTITUTE(MID($A345,G345+G$2+1,H345-G345-G$2-1),",","."))</f>
        <v>90.816666666666606</v>
      </c>
      <c r="AA345" s="3">
        <f>VALUE(SUBSTITUTE(MID($A345,H345+H$2+1,I345-H345-H$2-1),",","."))</f>
        <v>0</v>
      </c>
      <c r="AB345" s="3">
        <f>VALUE(SUBSTITUTE(MID($A345,I345+I$2+1,J345-I345-I$2-1),",","."))</f>
        <v>24.5</v>
      </c>
      <c r="AC345" s="3">
        <f>VALUE(SUBSTITUTE(MID($A345,J345+J$2+1,K345-J345-J$2-1),",","."))</f>
        <v>1.85</v>
      </c>
      <c r="AD345" s="3">
        <f>VALUE(SUBSTITUTE(MID($A345,K345+K$2+1,L345-K345-K$2-1),",","."))</f>
        <v>14.04</v>
      </c>
      <c r="AE345" s="3">
        <f>VALUE(SUBSTITUTE(MID($A345,L345+L$2+1,M345-L345-L$2-1),",","."))</f>
        <v>0</v>
      </c>
      <c r="AF345" s="3">
        <f>VALUE(SUBSTITUTE(MID($A345,M345+M$2+1,N345-M345-M$2-1),",","."))</f>
        <v>0</v>
      </c>
      <c r="AG345" s="3">
        <f>VALUE(SUBSTITUTE(MID($A345,N345+N$2+1,O345-N345-N$2-1),",","."))</f>
        <v>4.2132145464023596</v>
      </c>
      <c r="AH345" t="str">
        <f>MID($A345,O345+O$2+1,P345-O345-O$2-1)</f>
        <v/>
      </c>
      <c r="AI345" s="8" t="str">
        <f>MID($A345,P345+P$2+1,Q345-P345-P$2-1)</f>
        <v>False</v>
      </c>
      <c r="AK345" t="b">
        <f t="shared" si="49"/>
        <v>0</v>
      </c>
    </row>
    <row r="346" spans="1:37" x14ac:dyDescent="0.35">
      <c r="A346" t="s">
        <v>4893</v>
      </c>
      <c r="B346">
        <f t="shared" si="51"/>
        <v>10</v>
      </c>
      <c r="C346">
        <f t="shared" si="51"/>
        <v>43</v>
      </c>
      <c r="D346">
        <f t="shared" si="51"/>
        <v>54</v>
      </c>
      <c r="E346">
        <f t="shared" si="50"/>
        <v>97</v>
      </c>
      <c r="F346">
        <f t="shared" si="50"/>
        <v>141</v>
      </c>
      <c r="G346">
        <f t="shared" si="50"/>
        <v>180</v>
      </c>
      <c r="H346">
        <f t="shared" si="50"/>
        <v>228</v>
      </c>
      <c r="I346">
        <f t="shared" si="50"/>
        <v>250</v>
      </c>
      <c r="J346">
        <f t="shared" si="50"/>
        <v>286</v>
      </c>
      <c r="K346">
        <f t="shared" si="50"/>
        <v>306</v>
      </c>
      <c r="L346">
        <f t="shared" si="50"/>
        <v>338</v>
      </c>
      <c r="M346">
        <f t="shared" si="50"/>
        <v>353</v>
      </c>
      <c r="N346">
        <f t="shared" si="44"/>
        <v>365</v>
      </c>
      <c r="O346">
        <f t="shared" si="44"/>
        <v>390</v>
      </c>
      <c r="P346">
        <f t="shared" si="44"/>
        <v>408</v>
      </c>
      <c r="Q346">
        <f t="shared" si="44"/>
        <v>434</v>
      </c>
      <c r="S346" t="str">
        <f t="shared" si="45"/>
        <v>30.11.2025</v>
      </c>
      <c r="T346" t="str">
        <f t="shared" si="46"/>
        <v>09:00:00</v>
      </c>
      <c r="U346" t="str">
        <f t="shared" si="48"/>
        <v>30.11.2025 09:00:00</v>
      </c>
      <c r="V346" s="9" t="str">
        <f>MID($A346,C346+C$2+1,D346-C346-C$2-1)</f>
        <v>0</v>
      </c>
      <c r="W346" s="4">
        <f>VALUE(SUBSTITUTE(MID($A346,D346+D$2+1,E346-D346-D$2-1),",","."))</f>
        <v>0.65952754201305197</v>
      </c>
      <c r="X346" s="4">
        <f>VALUE(SUBSTITUTE(MID($A346,E346+E$2+1,F346-E346-E$2-1),",","."))</f>
        <v>0.90957602214449496</v>
      </c>
      <c r="Y346" s="4">
        <f>VALUE(SUBSTITUTE(MID($A346,F346+F$2+1,G346-F346-F$2-1),",","."))</f>
        <v>0.163176002932722</v>
      </c>
      <c r="Z346" s="3">
        <f>VALUE(SUBSTITUTE(MID($A346,G346+G$2+1,H346-G346-G$2-1),",","."))</f>
        <v>90.816666666666606</v>
      </c>
      <c r="AA346" s="3">
        <f>VALUE(SUBSTITUTE(MID($A346,H346+H$2+1,I346-H346-H$2-1),",","."))</f>
        <v>0</v>
      </c>
      <c r="AB346" s="3">
        <f>VALUE(SUBSTITUTE(MID($A346,I346+I$2+1,J346-I346-I$2-1),",","."))</f>
        <v>24.5</v>
      </c>
      <c r="AC346" s="3">
        <f>VALUE(SUBSTITUTE(MID($A346,J346+J$2+1,K346-J346-J$2-1),",","."))</f>
        <v>1.85</v>
      </c>
      <c r="AD346" s="3">
        <f>VALUE(SUBSTITUTE(MID($A346,K346+K$2+1,L346-K346-K$2-1),",","."))</f>
        <v>14.04</v>
      </c>
      <c r="AE346" s="3">
        <f>VALUE(SUBSTITUTE(MID($A346,L346+L$2+1,M346-L346-L$2-1),",","."))</f>
        <v>0</v>
      </c>
      <c r="AF346" s="3">
        <f>VALUE(SUBSTITUTE(MID($A346,M346+M$2+1,N346-M346-M$2-1),",","."))</f>
        <v>0</v>
      </c>
      <c r="AG346" s="3">
        <f>VALUE(SUBSTITUTE(MID($A346,N346+N$2+1,O346-N346-N$2-1),",","."))</f>
        <v>4.2132430662904401</v>
      </c>
      <c r="AH346" t="str">
        <f>MID($A346,O346+O$2+1,P346-O346-O$2-1)</f>
        <v/>
      </c>
      <c r="AI346" s="8" t="str">
        <f>MID($A346,P346+P$2+1,Q346-P346-P$2-1)</f>
        <v>False</v>
      </c>
      <c r="AK346" t="b">
        <f t="shared" si="49"/>
        <v>0</v>
      </c>
    </row>
    <row r="347" spans="1:37" x14ac:dyDescent="0.35">
      <c r="A347" t="s">
        <v>4894</v>
      </c>
      <c r="B347">
        <f t="shared" si="51"/>
        <v>10</v>
      </c>
      <c r="C347">
        <f t="shared" si="51"/>
        <v>43</v>
      </c>
      <c r="D347">
        <f t="shared" si="51"/>
        <v>54</v>
      </c>
      <c r="E347">
        <f t="shared" si="50"/>
        <v>97</v>
      </c>
      <c r="F347">
        <f t="shared" si="50"/>
        <v>141</v>
      </c>
      <c r="G347">
        <f t="shared" si="50"/>
        <v>180</v>
      </c>
      <c r="H347">
        <f t="shared" si="50"/>
        <v>228</v>
      </c>
      <c r="I347">
        <f t="shared" si="50"/>
        <v>250</v>
      </c>
      <c r="J347">
        <f t="shared" si="50"/>
        <v>286</v>
      </c>
      <c r="K347">
        <f t="shared" si="50"/>
        <v>306</v>
      </c>
      <c r="L347">
        <f t="shared" si="50"/>
        <v>338</v>
      </c>
      <c r="M347">
        <f t="shared" si="50"/>
        <v>353</v>
      </c>
      <c r="N347">
        <f t="shared" si="44"/>
        <v>365</v>
      </c>
      <c r="O347">
        <f t="shared" si="44"/>
        <v>390</v>
      </c>
      <c r="P347">
        <f t="shared" si="44"/>
        <v>408</v>
      </c>
      <c r="Q347">
        <f t="shared" si="44"/>
        <v>434</v>
      </c>
      <c r="S347" t="str">
        <f t="shared" si="45"/>
        <v>30.11.2025</v>
      </c>
      <c r="T347" t="str">
        <f t="shared" si="46"/>
        <v>09:15:00</v>
      </c>
      <c r="U347" t="str">
        <f t="shared" si="48"/>
        <v>30.11.2025 09:15:00</v>
      </c>
      <c r="V347" s="9" t="str">
        <f>MID($A347,C347+C$2+1,D347-C347-C$2-1)</f>
        <v>0</v>
      </c>
      <c r="W347" s="4">
        <f>VALUE(SUBSTITUTE(MID($A347,D347+D$2+1,E347-D347-D$2-1),",","."))</f>
        <v>0.69073212008364204</v>
      </c>
      <c r="X347" s="4">
        <f>VALUE(SUBSTITUTE(MID($A347,E347+E$2+1,F347-E347-E$2-1),",","."))</f>
        <v>0.90957602214449496</v>
      </c>
      <c r="Y347" s="4">
        <f>VALUE(SUBSTITUTE(MID($A347,F347+F$2+1,G347-F347-F$2-1),",","."))</f>
        <v>0.19184798660242</v>
      </c>
      <c r="Z347" s="3">
        <f>VALUE(SUBSTITUTE(MID($A347,G347+G$2+1,H347-G347-G$2-1),",","."))</f>
        <v>90.816666666666606</v>
      </c>
      <c r="AA347" s="3">
        <f>VALUE(SUBSTITUTE(MID($A347,H347+H$2+1,I347-H347-H$2-1),",","."))</f>
        <v>0</v>
      </c>
      <c r="AB347" s="3">
        <f>VALUE(SUBSTITUTE(MID($A347,I347+I$2+1,J347-I347-I$2-1),",","."))</f>
        <v>24.5</v>
      </c>
      <c r="AC347" s="3">
        <f>VALUE(SUBSTITUTE(MID($A347,J347+J$2+1,K347-J347-J$2-1),",","."))</f>
        <v>1.85</v>
      </c>
      <c r="AD347" s="3">
        <f>VALUE(SUBSTITUTE(MID($A347,K347+K$2+1,L347-K347-K$2-1),",","."))</f>
        <v>14.04</v>
      </c>
      <c r="AE347" s="3">
        <f>VALUE(SUBSTITUTE(MID($A347,L347+L$2+1,M347-L347-L$2-1),",","."))</f>
        <v>0</v>
      </c>
      <c r="AF347" s="3">
        <f>VALUE(SUBSTITUTE(MID($A347,M347+M$2+1,N347-M347-M$2-1),",","."))</f>
        <v>0</v>
      </c>
      <c r="AG347" s="3">
        <f>VALUE(SUBSTITUTE(MID($A347,N347+N$2+1,O347-N347-N$2-1),",","."))</f>
        <v>4.2132715861785197</v>
      </c>
      <c r="AH347" t="str">
        <f>MID($A347,O347+O$2+1,P347-O347-O$2-1)</f>
        <v/>
      </c>
      <c r="AI347" s="8" t="str">
        <f>MID($A347,P347+P$2+1,Q347-P347-P$2-1)</f>
        <v>False</v>
      </c>
      <c r="AK347" t="b">
        <f t="shared" si="49"/>
        <v>0</v>
      </c>
    </row>
    <row r="348" spans="1:37" x14ac:dyDescent="0.35">
      <c r="A348" t="s">
        <v>4895</v>
      </c>
      <c r="B348">
        <f t="shared" si="51"/>
        <v>10</v>
      </c>
      <c r="C348">
        <f t="shared" si="51"/>
        <v>43</v>
      </c>
      <c r="D348">
        <f t="shared" si="51"/>
        <v>54</v>
      </c>
      <c r="E348">
        <f t="shared" si="50"/>
        <v>97</v>
      </c>
      <c r="F348">
        <f t="shared" si="50"/>
        <v>141</v>
      </c>
      <c r="G348">
        <f t="shared" si="50"/>
        <v>180</v>
      </c>
      <c r="H348">
        <f t="shared" si="50"/>
        <v>229</v>
      </c>
      <c r="I348">
        <f t="shared" si="50"/>
        <v>251</v>
      </c>
      <c r="J348">
        <f t="shared" si="50"/>
        <v>287</v>
      </c>
      <c r="K348">
        <f t="shared" si="50"/>
        <v>306</v>
      </c>
      <c r="L348">
        <f t="shared" si="50"/>
        <v>324</v>
      </c>
      <c r="M348">
        <f t="shared" si="50"/>
        <v>339</v>
      </c>
      <c r="N348">
        <f t="shared" si="44"/>
        <v>351</v>
      </c>
      <c r="O348">
        <f t="shared" si="44"/>
        <v>376</v>
      </c>
      <c r="P348">
        <f t="shared" si="44"/>
        <v>394</v>
      </c>
      <c r="Q348">
        <f t="shared" si="44"/>
        <v>420</v>
      </c>
      <c r="S348" t="str">
        <f t="shared" si="45"/>
        <v>30.11.2025</v>
      </c>
      <c r="T348" t="str">
        <f t="shared" si="46"/>
        <v>09:30:00</v>
      </c>
      <c r="U348" t="str">
        <f t="shared" si="48"/>
        <v>30.11.2025 09:30:00</v>
      </c>
      <c r="V348" s="9" t="str">
        <f>MID($A348,C348+C$2+1,D348-C348-C$2-1)</f>
        <v>0</v>
      </c>
      <c r="W348" s="4">
        <f>VALUE(SUBSTITUTE(MID($A348,D348+D$2+1,E348-D348-D$2-1),",","."))</f>
        <v>0.71865905661378904</v>
      </c>
      <c r="X348" s="4">
        <f>VALUE(SUBSTITUTE(MID($A348,E348+E$2+1,F348-E348-E$2-1),",","."))</f>
        <v>0.90957602214449496</v>
      </c>
      <c r="Y348" s="4">
        <f>VALUE(SUBSTITUTE(MID($A348,F348+F$2+1,G348-F348-F$2-1),",","."))</f>
        <v>0.21860697816972799</v>
      </c>
      <c r="Z348" s="3">
        <f>VALUE(SUBSTITUTE(MID($A348,G348+G$2+1,H348-G348-G$2-1),",","."))</f>
        <v>119.31666666666599</v>
      </c>
      <c r="AA348" s="3">
        <f>VALUE(SUBSTITUTE(MID($A348,H348+H$2+1,I348-H348-H$2-1),",","."))</f>
        <v>0</v>
      </c>
      <c r="AB348" s="3">
        <f>VALUE(SUBSTITUTE(MID($A348,I348+I$2+1,J348-I348-I$2-1),",","."))</f>
        <v>62.5</v>
      </c>
      <c r="AC348" s="3">
        <f>VALUE(SUBSTITUTE(MID($A348,J348+J$2+1,K348-J348-J$2-1),",","."))</f>
        <v>2.6</v>
      </c>
      <c r="AD348" s="3">
        <f>VALUE(SUBSTITUTE(MID($A348,K348+K$2+1,L348-K348-K$2-1),",","."))</f>
        <v>9.7200000000000006</v>
      </c>
      <c r="AE348" s="3">
        <f>VALUE(SUBSTITUTE(MID($A348,L348+L$2+1,M348-L348-L$2-1),",","."))</f>
        <v>0</v>
      </c>
      <c r="AF348" s="3">
        <f>VALUE(SUBSTITUTE(MID($A348,M348+M$2+1,N348-M348-M$2-1),",","."))</f>
        <v>0</v>
      </c>
      <c r="AG348" s="3">
        <f>VALUE(SUBSTITUTE(MID($A348,N348+N$2+1,O348-N348-N$2-1),",","."))</f>
        <v>4.2133001060666002</v>
      </c>
      <c r="AH348" t="str">
        <f>MID($A348,O348+O$2+1,P348-O348-O$2-1)</f>
        <v/>
      </c>
      <c r="AI348" s="8" t="str">
        <f>MID($A348,P348+P$2+1,Q348-P348-P$2-1)</f>
        <v>False</v>
      </c>
      <c r="AK348" t="b">
        <f t="shared" si="49"/>
        <v>0</v>
      </c>
    </row>
    <row r="349" spans="1:37" x14ac:dyDescent="0.35">
      <c r="A349" t="s">
        <v>4896</v>
      </c>
      <c r="B349">
        <f t="shared" si="51"/>
        <v>10</v>
      </c>
      <c r="C349">
        <f t="shared" si="51"/>
        <v>43</v>
      </c>
      <c r="D349">
        <f t="shared" si="51"/>
        <v>54</v>
      </c>
      <c r="E349">
        <f t="shared" si="50"/>
        <v>97</v>
      </c>
      <c r="F349">
        <f t="shared" si="50"/>
        <v>141</v>
      </c>
      <c r="G349">
        <f t="shared" si="50"/>
        <v>180</v>
      </c>
      <c r="H349">
        <f t="shared" si="50"/>
        <v>229</v>
      </c>
      <c r="I349">
        <f t="shared" si="50"/>
        <v>251</v>
      </c>
      <c r="J349">
        <f t="shared" si="50"/>
        <v>287</v>
      </c>
      <c r="K349">
        <f t="shared" si="50"/>
        <v>306</v>
      </c>
      <c r="L349">
        <f t="shared" si="50"/>
        <v>324</v>
      </c>
      <c r="M349">
        <f t="shared" si="50"/>
        <v>339</v>
      </c>
      <c r="N349">
        <f t="shared" si="44"/>
        <v>351</v>
      </c>
      <c r="O349">
        <f t="shared" si="44"/>
        <v>376</v>
      </c>
      <c r="P349">
        <f t="shared" si="44"/>
        <v>394</v>
      </c>
      <c r="Q349">
        <f t="shared" si="44"/>
        <v>420</v>
      </c>
      <c r="S349" t="str">
        <f t="shared" si="45"/>
        <v>30.11.2025</v>
      </c>
      <c r="T349" t="str">
        <f t="shared" si="46"/>
        <v>09:45:00</v>
      </c>
      <c r="U349" t="str">
        <f t="shared" si="48"/>
        <v>30.11.2025 09:45:00</v>
      </c>
      <c r="V349" s="9" t="str">
        <f>MID($A349,C349+C$2+1,D349-C349-C$2-1)</f>
        <v>0</v>
      </c>
      <c r="W349" s="4">
        <f>VALUE(SUBSTITUTE(MID($A349,D349+D$2+1,E349-D349-D$2-1),",","."))</f>
        <v>0.74316939710896801</v>
      </c>
      <c r="X349" s="4">
        <f>VALUE(SUBSTITUTE(MID($A349,E349+E$2+1,F349-E349-E$2-1),",","."))</f>
        <v>0.90957602214449496</v>
      </c>
      <c r="Y349" s="4">
        <f>VALUE(SUBSTITUTE(MID($A349,F349+F$2+1,G349-F349-F$2-1),",","."))</f>
        <v>0.243314994749154</v>
      </c>
      <c r="Z349" s="3">
        <f>VALUE(SUBSTITUTE(MID($A349,G349+G$2+1,H349-G349-G$2-1),",","."))</f>
        <v>119.31666666666599</v>
      </c>
      <c r="AA349" s="3">
        <f>VALUE(SUBSTITUTE(MID($A349,H349+H$2+1,I349-H349-H$2-1),",","."))</f>
        <v>0</v>
      </c>
      <c r="AB349" s="3">
        <f>VALUE(SUBSTITUTE(MID($A349,I349+I$2+1,J349-I349-I$2-1),",","."))</f>
        <v>62.5</v>
      </c>
      <c r="AC349" s="3">
        <f>VALUE(SUBSTITUTE(MID($A349,J349+J$2+1,K349-J349-J$2-1),",","."))</f>
        <v>2.6</v>
      </c>
      <c r="AD349" s="3">
        <f>VALUE(SUBSTITUTE(MID($A349,K349+K$2+1,L349-K349-K$2-1),",","."))</f>
        <v>9.7200000000000006</v>
      </c>
      <c r="AE349" s="3">
        <f>VALUE(SUBSTITUTE(MID($A349,L349+L$2+1,M349-L349-L$2-1),",","."))</f>
        <v>0</v>
      </c>
      <c r="AF349" s="3">
        <f>VALUE(SUBSTITUTE(MID($A349,M349+M$2+1,N349-M349-M$2-1),",","."))</f>
        <v>0</v>
      </c>
      <c r="AG349" s="3">
        <f>VALUE(SUBSTITUTE(MID($A349,N349+N$2+1,O349-N349-N$2-1),",","."))</f>
        <v>4.2133286259546798</v>
      </c>
      <c r="AH349" t="str">
        <f>MID($A349,O349+O$2+1,P349-O349-O$2-1)</f>
        <v/>
      </c>
      <c r="AI349" s="8" t="str">
        <f>MID($A349,P349+P$2+1,Q349-P349-P$2-1)</f>
        <v>False</v>
      </c>
      <c r="AK349" t="b">
        <f t="shared" si="49"/>
        <v>0</v>
      </c>
    </row>
    <row r="350" spans="1:37" x14ac:dyDescent="0.35">
      <c r="A350" t="s">
        <v>4897</v>
      </c>
      <c r="B350">
        <f t="shared" si="51"/>
        <v>10</v>
      </c>
      <c r="C350">
        <f t="shared" si="51"/>
        <v>43</v>
      </c>
      <c r="D350">
        <f t="shared" si="51"/>
        <v>54</v>
      </c>
      <c r="E350">
        <f t="shared" si="50"/>
        <v>97</v>
      </c>
      <c r="F350">
        <f t="shared" si="50"/>
        <v>141</v>
      </c>
      <c r="G350">
        <f t="shared" si="50"/>
        <v>180</v>
      </c>
      <c r="H350">
        <f t="shared" si="50"/>
        <v>229</v>
      </c>
      <c r="I350">
        <f t="shared" si="50"/>
        <v>251</v>
      </c>
      <c r="J350">
        <f t="shared" si="50"/>
        <v>287</v>
      </c>
      <c r="K350">
        <f t="shared" si="50"/>
        <v>306</v>
      </c>
      <c r="L350">
        <f t="shared" si="50"/>
        <v>324</v>
      </c>
      <c r="M350">
        <f t="shared" si="50"/>
        <v>339</v>
      </c>
      <c r="N350">
        <f t="shared" si="44"/>
        <v>351</v>
      </c>
      <c r="O350">
        <f t="shared" si="44"/>
        <v>376</v>
      </c>
      <c r="P350">
        <f t="shared" si="44"/>
        <v>394</v>
      </c>
      <c r="Q350">
        <f t="shared" si="44"/>
        <v>420</v>
      </c>
      <c r="S350" t="str">
        <f t="shared" si="45"/>
        <v>30.11.2025</v>
      </c>
      <c r="T350" t="str">
        <f t="shared" si="46"/>
        <v>10:00:00</v>
      </c>
      <c r="U350" t="str">
        <f t="shared" si="48"/>
        <v>30.11.2025 10:00:00</v>
      </c>
      <c r="V350" s="9" t="str">
        <f>MID($A350,C350+C$2+1,D350-C350-C$2-1)</f>
        <v>0</v>
      </c>
      <c r="W350" s="4">
        <f>VALUE(SUBSTITUTE(MID($A350,D350+D$2+1,E350-D350-D$2-1),",","."))</f>
        <v>0.76414682251619004</v>
      </c>
      <c r="X350" s="4">
        <f>VALUE(SUBSTITUTE(MID($A350,E350+E$2+1,F350-E350-E$2-1),",","."))</f>
        <v>0.90957602214449496</v>
      </c>
      <c r="Y350" s="4">
        <f>VALUE(SUBSTITUTE(MID($A350,F350+F$2+1,G350-F350-F$2-1),",","."))</f>
        <v>0.26585244903494498</v>
      </c>
      <c r="Z350" s="3">
        <f>VALUE(SUBSTITUTE(MID($A350,G350+G$2+1,H350-G350-G$2-1),",","."))</f>
        <v>119.31666666666599</v>
      </c>
      <c r="AA350" s="3">
        <f>VALUE(SUBSTITUTE(MID($A350,H350+H$2+1,I350-H350-H$2-1),",","."))</f>
        <v>0</v>
      </c>
      <c r="AB350" s="3">
        <f>VALUE(SUBSTITUTE(MID($A350,I350+I$2+1,J350-I350-I$2-1),",","."))</f>
        <v>62.5</v>
      </c>
      <c r="AC350" s="3">
        <f>VALUE(SUBSTITUTE(MID($A350,J350+J$2+1,K350-J350-J$2-1),",","."))</f>
        <v>2.6</v>
      </c>
      <c r="AD350" s="3">
        <f>VALUE(SUBSTITUTE(MID($A350,K350+K$2+1,L350-K350-K$2-1),",","."))</f>
        <v>9.7200000000000006</v>
      </c>
      <c r="AE350" s="3">
        <f>VALUE(SUBSTITUTE(MID($A350,L350+L$2+1,M350-L350-L$2-1),",","."))</f>
        <v>0</v>
      </c>
      <c r="AF350" s="3">
        <f>VALUE(SUBSTITUTE(MID($A350,M350+M$2+1,N350-M350-M$2-1),",","."))</f>
        <v>0</v>
      </c>
      <c r="AG350" s="3">
        <f>VALUE(SUBSTITUTE(MID($A350,N350+N$2+1,O350-N350-N$2-1),",","."))</f>
        <v>4.2133571458427603</v>
      </c>
      <c r="AH350" t="str">
        <f>MID($A350,O350+O$2+1,P350-O350-O$2-1)</f>
        <v/>
      </c>
      <c r="AI350" s="8" t="str">
        <f>MID($A350,P350+P$2+1,Q350-P350-P$2-1)</f>
        <v>False</v>
      </c>
      <c r="AK350" t="b">
        <f t="shared" si="49"/>
        <v>0</v>
      </c>
    </row>
    <row r="351" spans="1:37" x14ac:dyDescent="0.35">
      <c r="A351" t="s">
        <v>4898</v>
      </c>
      <c r="B351">
        <f t="shared" si="51"/>
        <v>10</v>
      </c>
      <c r="C351">
        <f t="shared" si="51"/>
        <v>43</v>
      </c>
      <c r="D351">
        <f t="shared" si="51"/>
        <v>54</v>
      </c>
      <c r="E351">
        <f t="shared" si="50"/>
        <v>97</v>
      </c>
      <c r="F351">
        <f t="shared" si="50"/>
        <v>141</v>
      </c>
      <c r="G351">
        <f t="shared" si="50"/>
        <v>179</v>
      </c>
      <c r="H351">
        <f t="shared" si="50"/>
        <v>228</v>
      </c>
      <c r="I351">
        <f t="shared" si="50"/>
        <v>250</v>
      </c>
      <c r="J351">
        <f t="shared" si="50"/>
        <v>286</v>
      </c>
      <c r="K351">
        <f t="shared" si="50"/>
        <v>305</v>
      </c>
      <c r="L351">
        <f t="shared" si="50"/>
        <v>323</v>
      </c>
      <c r="M351">
        <f t="shared" si="50"/>
        <v>338</v>
      </c>
      <c r="N351">
        <f t="shared" si="44"/>
        <v>350</v>
      </c>
      <c r="O351">
        <f t="shared" si="44"/>
        <v>375</v>
      </c>
      <c r="P351">
        <f t="shared" si="44"/>
        <v>393</v>
      </c>
      <c r="Q351">
        <f t="shared" si="44"/>
        <v>419</v>
      </c>
      <c r="S351" t="str">
        <f t="shared" si="45"/>
        <v>30.11.2025</v>
      </c>
      <c r="T351" t="str">
        <f t="shared" si="46"/>
        <v>10:15:00</v>
      </c>
      <c r="U351" t="str">
        <f t="shared" si="48"/>
        <v>30.11.2025 10:15:00</v>
      </c>
      <c r="V351" s="9" t="str">
        <f>MID($A351,C351+C$2+1,D351-C351-C$2-1)</f>
        <v>0</v>
      </c>
      <c r="W351" s="4">
        <f>VALUE(SUBSTITUTE(MID($A351,D351+D$2+1,E351-D351-D$2-1),",","."))</f>
        <v>0.78149444632349796</v>
      </c>
      <c r="X351" s="4">
        <f>VALUE(SUBSTITUTE(MID($A351,E351+E$2+1,F351-E351-E$2-1),",","."))</f>
        <v>0.90957602214449496</v>
      </c>
      <c r="Y351" s="4">
        <f>VALUE(SUBSTITUTE(MID($A351,F351+F$2+1,G351-F351-F$2-1),",","."))</f>
        <v>0.286114224951876</v>
      </c>
      <c r="Z351" s="3">
        <f>VALUE(SUBSTITUTE(MID($A351,G351+G$2+1,H351-G351-G$2-1),",","."))</f>
        <v>119.31666666666599</v>
      </c>
      <c r="AA351" s="3">
        <f>VALUE(SUBSTITUTE(MID($A351,H351+H$2+1,I351-H351-H$2-1),",","."))</f>
        <v>0</v>
      </c>
      <c r="AB351" s="3">
        <f>VALUE(SUBSTITUTE(MID($A351,I351+I$2+1,J351-I351-I$2-1),",","."))</f>
        <v>62.5</v>
      </c>
      <c r="AC351" s="3">
        <f>VALUE(SUBSTITUTE(MID($A351,J351+J$2+1,K351-J351-J$2-1),",","."))</f>
        <v>2.6</v>
      </c>
      <c r="AD351" s="3">
        <f>VALUE(SUBSTITUTE(MID($A351,K351+K$2+1,L351-K351-K$2-1),",","."))</f>
        <v>9.7200000000000006</v>
      </c>
      <c r="AE351" s="3">
        <f>VALUE(SUBSTITUTE(MID($A351,L351+L$2+1,M351-L351-L$2-1),",","."))</f>
        <v>0</v>
      </c>
      <c r="AF351" s="3">
        <f>VALUE(SUBSTITUTE(MID($A351,M351+M$2+1,N351-M351-M$2-1),",","."))</f>
        <v>0</v>
      </c>
      <c r="AG351" s="3">
        <f>VALUE(SUBSTITUTE(MID($A351,N351+N$2+1,O351-N351-N$2-1),",","."))</f>
        <v>4.2133856657308399</v>
      </c>
      <c r="AH351" t="str">
        <f>MID($A351,O351+O$2+1,P351-O351-O$2-1)</f>
        <v/>
      </c>
      <c r="AI351" s="8" t="str">
        <f>MID($A351,P351+P$2+1,Q351-P351-P$2-1)</f>
        <v>False</v>
      </c>
      <c r="AK351" t="b">
        <f t="shared" si="49"/>
        <v>0</v>
      </c>
    </row>
    <row r="352" spans="1:37" x14ac:dyDescent="0.35">
      <c r="A352" t="s">
        <v>4899</v>
      </c>
      <c r="B352">
        <f t="shared" si="51"/>
        <v>10</v>
      </c>
      <c r="C352">
        <f t="shared" si="51"/>
        <v>43</v>
      </c>
      <c r="D352">
        <f t="shared" si="51"/>
        <v>54</v>
      </c>
      <c r="E352">
        <f t="shared" si="50"/>
        <v>97</v>
      </c>
      <c r="F352">
        <f t="shared" si="50"/>
        <v>141</v>
      </c>
      <c r="G352">
        <f t="shared" si="50"/>
        <v>179</v>
      </c>
      <c r="H352">
        <f t="shared" si="50"/>
        <v>228</v>
      </c>
      <c r="I352">
        <f t="shared" si="50"/>
        <v>250</v>
      </c>
      <c r="J352">
        <f t="shared" si="50"/>
        <v>284</v>
      </c>
      <c r="K352">
        <f t="shared" si="50"/>
        <v>304</v>
      </c>
      <c r="L352">
        <f t="shared" si="50"/>
        <v>336</v>
      </c>
      <c r="M352">
        <f t="shared" si="50"/>
        <v>351</v>
      </c>
      <c r="N352">
        <f t="shared" si="44"/>
        <v>363</v>
      </c>
      <c r="O352">
        <f t="shared" si="44"/>
        <v>387</v>
      </c>
      <c r="P352">
        <f t="shared" si="44"/>
        <v>405</v>
      </c>
      <c r="Q352">
        <f t="shared" si="44"/>
        <v>431</v>
      </c>
      <c r="S352" t="str">
        <f t="shared" si="45"/>
        <v>30.11.2025</v>
      </c>
      <c r="T352" t="str">
        <f t="shared" si="46"/>
        <v>10:30:00</v>
      </c>
      <c r="U352" t="str">
        <f t="shared" si="48"/>
        <v>30.11.2025 10:30:00</v>
      </c>
      <c r="V352" s="9" t="str">
        <f>MID($A352,C352+C$2+1,D352-C352-C$2-1)</f>
        <v>0</v>
      </c>
      <c r="W352" s="4">
        <f>VALUE(SUBSTITUTE(MID($A352,D352+D$2+1,E352-D352-D$2-1),",","."))</f>
        <v>0.79513340479549999</v>
      </c>
      <c r="X352" s="4">
        <f>VALUE(SUBSTITUTE(MID($A352,E352+E$2+1,F352-E352-E$2-1),",","."))</f>
        <v>0.90957602214449496</v>
      </c>
      <c r="Y352" s="4">
        <f>VALUE(SUBSTITUTE(MID($A352,F352+F$2+1,G352-F352-F$2-1),",","."))</f>
        <v>0.30400793820722999</v>
      </c>
      <c r="Z352" s="3">
        <f>VALUE(SUBSTITUTE(MID($A352,G352+G$2+1,H352-G352-G$2-1),",","."))</f>
        <v>104.24999999999901</v>
      </c>
      <c r="AA352" s="3">
        <f>VALUE(SUBSTITUTE(MID($A352,H352+H$2+1,I352-H352-H$2-1),",","."))</f>
        <v>0</v>
      </c>
      <c r="AB352" s="3">
        <f>VALUE(SUBSTITUTE(MID($A352,I352+I$2+1,J352-I352-I$2-1),",","."))</f>
        <v>93</v>
      </c>
      <c r="AC352" s="3">
        <f>VALUE(SUBSTITUTE(MID($A352,J352+J$2+1,K352-J352-J$2-1),",","."))</f>
        <v>3.45</v>
      </c>
      <c r="AD352" s="3">
        <f>VALUE(SUBSTITUTE(MID($A352,K352+K$2+1,L352-K352-K$2-1),",","."))</f>
        <v>7.56</v>
      </c>
      <c r="AE352" s="3">
        <f>VALUE(SUBSTITUTE(MID($A352,L352+L$2+1,M352-L352-L$2-1),",","."))</f>
        <v>0</v>
      </c>
      <c r="AF352" s="3">
        <f>VALUE(SUBSTITUTE(MID($A352,M352+M$2+1,N352-M352-M$2-1),",","."))</f>
        <v>0</v>
      </c>
      <c r="AG352" s="3">
        <f>VALUE(SUBSTITUTE(MID($A352,N352+N$2+1,O352-N352-N$2-1),",","."))</f>
        <v>4.2134141856189302</v>
      </c>
      <c r="AH352" t="str">
        <f>MID($A352,O352+O$2+1,P352-O352-O$2-1)</f>
        <v/>
      </c>
      <c r="AI352" s="8" t="str">
        <f>MID($A352,P352+P$2+1,Q352-P352-P$2-1)</f>
        <v>False</v>
      </c>
      <c r="AK352" t="b">
        <f t="shared" si="49"/>
        <v>0</v>
      </c>
    </row>
    <row r="353" spans="1:37" x14ac:dyDescent="0.35">
      <c r="A353" t="s">
        <v>4900</v>
      </c>
      <c r="B353">
        <f t="shared" si="51"/>
        <v>10</v>
      </c>
      <c r="C353">
        <f t="shared" si="51"/>
        <v>43</v>
      </c>
      <c r="D353">
        <f t="shared" si="51"/>
        <v>54</v>
      </c>
      <c r="E353">
        <f t="shared" si="50"/>
        <v>97</v>
      </c>
      <c r="F353">
        <f t="shared" si="50"/>
        <v>141</v>
      </c>
      <c r="G353">
        <f t="shared" si="50"/>
        <v>179</v>
      </c>
      <c r="H353">
        <f t="shared" si="50"/>
        <v>228</v>
      </c>
      <c r="I353">
        <f t="shared" si="50"/>
        <v>250</v>
      </c>
      <c r="J353">
        <f t="shared" si="50"/>
        <v>284</v>
      </c>
      <c r="K353">
        <f t="shared" si="50"/>
        <v>304</v>
      </c>
      <c r="L353">
        <f t="shared" si="50"/>
        <v>336</v>
      </c>
      <c r="M353">
        <f t="shared" si="50"/>
        <v>351</v>
      </c>
      <c r="N353">
        <f t="shared" si="44"/>
        <v>363</v>
      </c>
      <c r="O353">
        <f t="shared" si="44"/>
        <v>389</v>
      </c>
      <c r="P353">
        <f t="shared" si="44"/>
        <v>407</v>
      </c>
      <c r="Q353">
        <f t="shared" si="44"/>
        <v>433</v>
      </c>
      <c r="S353" t="str">
        <f t="shared" si="45"/>
        <v>30.11.2025</v>
      </c>
      <c r="T353" t="str">
        <f t="shared" si="46"/>
        <v>10:45:00</v>
      </c>
      <c r="U353" t="str">
        <f t="shared" si="48"/>
        <v>30.11.2025 10:45:00</v>
      </c>
      <c r="V353" s="9" t="str">
        <f>MID($A353,C353+C$2+1,D353-C353-C$2-1)</f>
        <v>0</v>
      </c>
      <c r="W353" s="4">
        <f>VALUE(SUBSTITUTE(MID($A353,D353+D$2+1,E353-D353-D$2-1),",","."))</f>
        <v>0.80500222807621602</v>
      </c>
      <c r="X353" s="4">
        <f>VALUE(SUBSTITUTE(MID($A353,E353+E$2+1,F353-E353-E$2-1),",","."))</f>
        <v>0.90957602214449496</v>
      </c>
      <c r="Y353" s="4">
        <f>VALUE(SUBSTITUTE(MID($A353,F353+F$2+1,G353-F353-F$2-1),",","."))</f>
        <v>0.31945317095435899</v>
      </c>
      <c r="Z353" s="3">
        <f>VALUE(SUBSTITUTE(MID($A353,G353+G$2+1,H353-G353-G$2-1),",","."))</f>
        <v>104.24999999999901</v>
      </c>
      <c r="AA353" s="3">
        <f>VALUE(SUBSTITUTE(MID($A353,H353+H$2+1,I353-H353-H$2-1),",","."))</f>
        <v>0</v>
      </c>
      <c r="AB353" s="3">
        <f>VALUE(SUBSTITUTE(MID($A353,I353+I$2+1,J353-I353-I$2-1),",","."))</f>
        <v>93</v>
      </c>
      <c r="AC353" s="3">
        <f>VALUE(SUBSTITUTE(MID($A353,J353+J$2+1,K353-J353-J$2-1),",","."))</f>
        <v>3.45</v>
      </c>
      <c r="AD353" s="3">
        <f>VALUE(SUBSTITUTE(MID($A353,K353+K$2+1,L353-K353-K$2-1),",","."))</f>
        <v>7.56</v>
      </c>
      <c r="AE353" s="3">
        <f>VALUE(SUBSTITUTE(MID($A353,L353+L$2+1,M353-L353-L$2-1),",","."))</f>
        <v>0</v>
      </c>
      <c r="AF353" s="3">
        <f>VALUE(SUBSTITUTE(MID($A353,M353+M$2+1,N353-M353-M$2-1),",","."))</f>
        <v>0</v>
      </c>
      <c r="AG353" s="3">
        <f>VALUE(SUBSTITUTE(MID($A353,N353+N$2+1,O353-N353-N$2-1),",","."))</f>
        <v>4.2134427055070098</v>
      </c>
      <c r="AH353" t="str">
        <f>MID($A353,O353+O$2+1,P353-O353-O$2-1)</f>
        <v/>
      </c>
      <c r="AI353" s="8" t="str">
        <f>MID($A353,P353+P$2+1,Q353-P353-P$2-1)</f>
        <v>False</v>
      </c>
      <c r="AK353" t="b">
        <f t="shared" si="49"/>
        <v>0</v>
      </c>
    </row>
    <row r="354" spans="1:37" x14ac:dyDescent="0.35">
      <c r="A354" t="s">
        <v>4901</v>
      </c>
      <c r="B354">
        <f t="shared" si="51"/>
        <v>10</v>
      </c>
      <c r="C354">
        <f t="shared" si="51"/>
        <v>43</v>
      </c>
      <c r="D354">
        <f t="shared" si="51"/>
        <v>54</v>
      </c>
      <c r="E354">
        <f t="shared" si="50"/>
        <v>97</v>
      </c>
      <c r="F354">
        <f t="shared" si="50"/>
        <v>141</v>
      </c>
      <c r="G354">
        <f t="shared" si="50"/>
        <v>180</v>
      </c>
      <c r="H354">
        <f t="shared" si="50"/>
        <v>229</v>
      </c>
      <c r="I354">
        <f t="shared" si="50"/>
        <v>251</v>
      </c>
      <c r="J354">
        <f t="shared" si="50"/>
        <v>285</v>
      </c>
      <c r="K354">
        <f t="shared" si="50"/>
        <v>305</v>
      </c>
      <c r="L354">
        <f t="shared" si="50"/>
        <v>337</v>
      </c>
      <c r="M354">
        <f t="shared" si="50"/>
        <v>352</v>
      </c>
      <c r="N354">
        <f t="shared" si="44"/>
        <v>364</v>
      </c>
      <c r="O354">
        <f t="shared" si="44"/>
        <v>389</v>
      </c>
      <c r="P354">
        <f t="shared" si="44"/>
        <v>407</v>
      </c>
      <c r="Q354">
        <f t="shared" si="44"/>
        <v>433</v>
      </c>
      <c r="S354" t="str">
        <f t="shared" si="45"/>
        <v>30.11.2025</v>
      </c>
      <c r="T354" t="str">
        <f t="shared" si="46"/>
        <v>11:00:00</v>
      </c>
      <c r="U354" t="str">
        <f t="shared" si="48"/>
        <v>30.11.2025 11:00:00</v>
      </c>
      <c r="V354" s="9" t="str">
        <f>MID($A354,C354+C$2+1,D354-C354-C$2-1)</f>
        <v>0</v>
      </c>
      <c r="W354" s="4">
        <f>VALUE(SUBSTITUTE(MID($A354,D354+D$2+1,E354-D354-D$2-1),",","."))</f>
        <v>0.81105656102145496</v>
      </c>
      <c r="X354" s="4">
        <f>VALUE(SUBSTITUTE(MID($A354,E354+E$2+1,F354-E354-E$2-1),",","."))</f>
        <v>0.90957602214449496</v>
      </c>
      <c r="Y354" s="4">
        <f>VALUE(SUBSTITUTE(MID($A354,F354+F$2+1,G354-F354-F$2-1),",","."))</f>
        <v>0.332381164290804</v>
      </c>
      <c r="Z354" s="3">
        <f>VALUE(SUBSTITUTE(MID($A354,G354+G$2+1,H354-G354-G$2-1),",","."))</f>
        <v>104.24999999999901</v>
      </c>
      <c r="AA354" s="3">
        <f>VALUE(SUBSTITUTE(MID($A354,H354+H$2+1,I354-H354-H$2-1),",","."))</f>
        <v>0</v>
      </c>
      <c r="AB354" s="3">
        <f>VALUE(SUBSTITUTE(MID($A354,I354+I$2+1,J354-I354-I$2-1),",","."))</f>
        <v>93</v>
      </c>
      <c r="AC354" s="3">
        <f>VALUE(SUBSTITUTE(MID($A354,J354+J$2+1,K354-J354-J$2-1),",","."))</f>
        <v>3.45</v>
      </c>
      <c r="AD354" s="3">
        <f>VALUE(SUBSTITUTE(MID($A354,K354+K$2+1,L354-K354-K$2-1),",","."))</f>
        <v>7.56</v>
      </c>
      <c r="AE354" s="3">
        <f>VALUE(SUBSTITUTE(MID($A354,L354+L$2+1,M354-L354-L$2-1),",","."))</f>
        <v>0</v>
      </c>
      <c r="AF354" s="3">
        <f>VALUE(SUBSTITUTE(MID($A354,M354+M$2+1,N354-M354-M$2-1),",","."))</f>
        <v>0</v>
      </c>
      <c r="AG354" s="3">
        <f>VALUE(SUBSTITUTE(MID($A354,N354+N$2+1,O354-N354-N$2-1),",","."))</f>
        <v>4.2134712253950903</v>
      </c>
      <c r="AH354" t="str">
        <f>MID($A354,O354+O$2+1,P354-O354-O$2-1)</f>
        <v/>
      </c>
      <c r="AI354" s="8" t="str">
        <f>MID($A354,P354+P$2+1,Q354-P354-P$2-1)</f>
        <v>False</v>
      </c>
      <c r="AK354" t="b">
        <f t="shared" si="49"/>
        <v>0</v>
      </c>
    </row>
    <row r="355" spans="1:37" x14ac:dyDescent="0.35">
      <c r="A355" t="s">
        <v>4902</v>
      </c>
      <c r="B355">
        <f t="shared" si="51"/>
        <v>10</v>
      </c>
      <c r="C355">
        <f t="shared" si="51"/>
        <v>43</v>
      </c>
      <c r="D355">
        <f t="shared" si="51"/>
        <v>54</v>
      </c>
      <c r="E355">
        <f t="shared" si="50"/>
        <v>97</v>
      </c>
      <c r="F355">
        <f t="shared" si="50"/>
        <v>141</v>
      </c>
      <c r="G355">
        <f t="shared" si="50"/>
        <v>180</v>
      </c>
      <c r="H355">
        <f t="shared" si="50"/>
        <v>229</v>
      </c>
      <c r="I355">
        <f t="shared" si="50"/>
        <v>251</v>
      </c>
      <c r="J355">
        <f t="shared" si="50"/>
        <v>285</v>
      </c>
      <c r="K355">
        <f t="shared" si="50"/>
        <v>305</v>
      </c>
      <c r="L355">
        <f t="shared" si="50"/>
        <v>337</v>
      </c>
      <c r="M355">
        <f t="shared" si="50"/>
        <v>352</v>
      </c>
      <c r="N355">
        <f t="shared" si="44"/>
        <v>364</v>
      </c>
      <c r="O355">
        <f t="shared" si="44"/>
        <v>389</v>
      </c>
      <c r="P355">
        <f t="shared" si="44"/>
        <v>407</v>
      </c>
      <c r="Q355">
        <f t="shared" si="44"/>
        <v>433</v>
      </c>
      <c r="S355" t="str">
        <f t="shared" si="45"/>
        <v>30.11.2025</v>
      </c>
      <c r="T355" t="str">
        <f t="shared" si="46"/>
        <v>11:15:00</v>
      </c>
      <c r="U355" t="str">
        <f t="shared" si="48"/>
        <v>30.11.2025 11:15:00</v>
      </c>
      <c r="V355" s="9" t="str">
        <f>MID($A355,C355+C$2+1,D355-C355-C$2-1)</f>
        <v>0</v>
      </c>
      <c r="W355" s="4">
        <f>VALUE(SUBSTITUTE(MID($A355,D355+D$2+1,E355-D355-D$2-1),",","."))</f>
        <v>0.81326903455074695</v>
      </c>
      <c r="X355" s="4">
        <f>VALUE(SUBSTITUTE(MID($A355,E355+E$2+1,F355-E355-E$2-1),",","."))</f>
        <v>0.90957602214449496</v>
      </c>
      <c r="Y355" s="4">
        <f>VALUE(SUBSTITUTE(MID($A355,F355+F$2+1,G355-F355-F$2-1),",","."))</f>
        <v>0.342734729627174</v>
      </c>
      <c r="Z355" s="3">
        <f>VALUE(SUBSTITUTE(MID($A355,G355+G$2+1,H355-G355-G$2-1),",","."))</f>
        <v>104.24999999999901</v>
      </c>
      <c r="AA355" s="3">
        <f>VALUE(SUBSTITUTE(MID($A355,H355+H$2+1,I355-H355-H$2-1),",","."))</f>
        <v>0</v>
      </c>
      <c r="AB355" s="3">
        <f>VALUE(SUBSTITUTE(MID($A355,I355+I$2+1,J355-I355-I$2-1),",","."))</f>
        <v>93</v>
      </c>
      <c r="AC355" s="3">
        <f>VALUE(SUBSTITUTE(MID($A355,J355+J$2+1,K355-J355-J$2-1),",","."))</f>
        <v>3.45</v>
      </c>
      <c r="AD355" s="3">
        <f>VALUE(SUBSTITUTE(MID($A355,K355+K$2+1,L355-K355-K$2-1),",","."))</f>
        <v>7.56</v>
      </c>
      <c r="AE355" s="3">
        <f>VALUE(SUBSTITUTE(MID($A355,L355+L$2+1,M355-L355-L$2-1),",","."))</f>
        <v>0</v>
      </c>
      <c r="AF355" s="3">
        <f>VALUE(SUBSTITUTE(MID($A355,M355+M$2+1,N355-M355-M$2-1),",","."))</f>
        <v>0</v>
      </c>
      <c r="AG355" s="3">
        <f>VALUE(SUBSTITUTE(MID($A355,N355+N$2+1,O355-N355-N$2-1),",","."))</f>
        <v>4.21349974528317</v>
      </c>
      <c r="AH355" t="str">
        <f>MID($A355,O355+O$2+1,P355-O355-O$2-1)</f>
        <v/>
      </c>
      <c r="AI355" s="8" t="str">
        <f>MID($A355,P355+P$2+1,Q355-P355-P$2-1)</f>
        <v>False</v>
      </c>
      <c r="AK355" t="b">
        <f t="shared" si="49"/>
        <v>0</v>
      </c>
    </row>
    <row r="356" spans="1:37" x14ac:dyDescent="0.35">
      <c r="A356" t="s">
        <v>4903</v>
      </c>
      <c r="B356">
        <f t="shared" si="51"/>
        <v>10</v>
      </c>
      <c r="C356">
        <f t="shared" si="51"/>
        <v>43</v>
      </c>
      <c r="D356">
        <f t="shared" si="51"/>
        <v>54</v>
      </c>
      <c r="E356">
        <f t="shared" si="50"/>
        <v>97</v>
      </c>
      <c r="F356">
        <f t="shared" si="50"/>
        <v>141</v>
      </c>
      <c r="G356">
        <f t="shared" si="50"/>
        <v>179</v>
      </c>
      <c r="H356">
        <f t="shared" si="50"/>
        <v>227</v>
      </c>
      <c r="I356">
        <f t="shared" si="50"/>
        <v>249</v>
      </c>
      <c r="J356">
        <f t="shared" si="50"/>
        <v>286</v>
      </c>
      <c r="K356">
        <f t="shared" si="50"/>
        <v>305</v>
      </c>
      <c r="L356">
        <f t="shared" si="50"/>
        <v>323</v>
      </c>
      <c r="M356">
        <f t="shared" si="50"/>
        <v>338</v>
      </c>
      <c r="N356">
        <f t="shared" si="44"/>
        <v>350</v>
      </c>
      <c r="O356">
        <f t="shared" si="44"/>
        <v>375</v>
      </c>
      <c r="P356">
        <f t="shared" si="44"/>
        <v>393</v>
      </c>
      <c r="Q356">
        <f t="shared" si="44"/>
        <v>419</v>
      </c>
      <c r="S356" t="str">
        <f t="shared" si="45"/>
        <v>30.11.2025</v>
      </c>
      <c r="T356" t="str">
        <f t="shared" si="46"/>
        <v>11:30:00</v>
      </c>
      <c r="U356" t="str">
        <f t="shared" si="48"/>
        <v>30.11.2025 11:30:00</v>
      </c>
      <c r="V356" s="9" t="str">
        <f>MID($A356,C356+C$2+1,D356-C356-C$2-1)</f>
        <v>0</v>
      </c>
      <c r="W356" s="4">
        <f>VALUE(SUBSTITUTE(MID($A356,D356+D$2+1,E356-D356-D$2-1),",","."))</f>
        <v>0.81162918954056296</v>
      </c>
      <c r="X356" s="4">
        <f>VALUE(SUBSTITUTE(MID($A356,E356+E$2+1,F356-E356-E$2-1),",","."))</f>
        <v>0.90957602214449496</v>
      </c>
      <c r="Y356" s="4">
        <f>VALUE(SUBSTITUTE(MID($A356,F356+F$2+1,G356-F356-F$2-1),",","."))</f>
        <v>0.35046826106152001</v>
      </c>
      <c r="Z356" s="3">
        <f>VALUE(SUBSTITUTE(MID($A356,G356+G$2+1,H356-G356-G$2-1),",","."))</f>
        <v>79.9166666666666</v>
      </c>
      <c r="AA356" s="3">
        <f>VALUE(SUBSTITUTE(MID($A356,H356+H$2+1,I356-H356-H$2-1),",","."))</f>
        <v>0</v>
      </c>
      <c r="AB356" s="3">
        <f>VALUE(SUBSTITUTE(MID($A356,I356+I$2+1,J356-I356-I$2-1),",","."))</f>
        <v>112.5</v>
      </c>
      <c r="AC356" s="3">
        <f>VALUE(SUBSTITUTE(MID($A356,J356+J$2+1,K356-J356-J$2-1),",","."))</f>
        <v>4.3</v>
      </c>
      <c r="AD356" s="3">
        <f>VALUE(SUBSTITUTE(MID($A356,K356+K$2+1,L356-K356-K$2-1),",","."))</f>
        <v>8.4600000000000009</v>
      </c>
      <c r="AE356" s="3">
        <f>VALUE(SUBSTITUTE(MID($A356,L356+L$2+1,M356-L356-L$2-1),",","."))</f>
        <v>0</v>
      </c>
      <c r="AF356" s="3">
        <f>VALUE(SUBSTITUTE(MID($A356,M356+M$2+1,N356-M356-M$2-1),",","."))</f>
        <v>0</v>
      </c>
      <c r="AG356" s="3">
        <f>VALUE(SUBSTITUTE(MID($A356,N356+N$2+1,O356-N356-N$2-1),",","."))</f>
        <v>4.2135282651712496</v>
      </c>
      <c r="AH356" t="str">
        <f>MID($A356,O356+O$2+1,P356-O356-O$2-1)</f>
        <v/>
      </c>
      <c r="AI356" s="8" t="str">
        <f>MID($A356,P356+P$2+1,Q356-P356-P$2-1)</f>
        <v>False</v>
      </c>
      <c r="AK356" t="b">
        <f t="shared" si="49"/>
        <v>1</v>
      </c>
    </row>
    <row r="357" spans="1:37" x14ac:dyDescent="0.35">
      <c r="A357" t="s">
        <v>4904</v>
      </c>
      <c r="B357">
        <f t="shared" si="51"/>
        <v>10</v>
      </c>
      <c r="C357">
        <f t="shared" si="51"/>
        <v>43</v>
      </c>
      <c r="D357">
        <f t="shared" si="51"/>
        <v>54</v>
      </c>
      <c r="E357">
        <f t="shared" si="50"/>
        <v>96</v>
      </c>
      <c r="F357">
        <f t="shared" si="50"/>
        <v>140</v>
      </c>
      <c r="G357">
        <f t="shared" si="50"/>
        <v>178</v>
      </c>
      <c r="H357">
        <f t="shared" si="50"/>
        <v>226</v>
      </c>
      <c r="I357">
        <f t="shared" si="50"/>
        <v>248</v>
      </c>
      <c r="J357">
        <f t="shared" si="50"/>
        <v>285</v>
      </c>
      <c r="K357">
        <f t="shared" si="50"/>
        <v>304</v>
      </c>
      <c r="L357">
        <f t="shared" si="50"/>
        <v>322</v>
      </c>
      <c r="M357">
        <f t="shared" si="50"/>
        <v>337</v>
      </c>
      <c r="N357">
        <f t="shared" si="44"/>
        <v>349</v>
      </c>
      <c r="O357">
        <f t="shared" si="44"/>
        <v>374</v>
      </c>
      <c r="P357">
        <f t="shared" si="44"/>
        <v>392</v>
      </c>
      <c r="Q357">
        <f t="shared" si="44"/>
        <v>418</v>
      </c>
      <c r="S357" t="str">
        <f t="shared" si="45"/>
        <v>30.11.2025</v>
      </c>
      <c r="T357" t="str">
        <f t="shared" si="46"/>
        <v>11:45:00</v>
      </c>
      <c r="U357" t="str">
        <f t="shared" si="48"/>
        <v>30.11.2025 11:45:00</v>
      </c>
      <c r="V357" s="9" t="str">
        <f>MID($A357,C357+C$2+1,D357-C357-C$2-1)</f>
        <v>0</v>
      </c>
      <c r="W357" s="4">
        <f>VALUE(SUBSTITUTE(MID($A357,D357+D$2+1,E357-D357-D$2-1),",","."))</f>
        <v>0.80614340229291803</v>
      </c>
      <c r="X357" s="4">
        <f>VALUE(SUBSTITUTE(MID($A357,E357+E$2+1,F357-E357-E$2-1),",","."))</f>
        <v>0.90957602214449496</v>
      </c>
      <c r="Y357" s="4">
        <f>VALUE(SUBSTITUTE(MID($A357,F357+F$2+1,G357-F357-F$2-1),",","."))</f>
        <v>0.35554778720216601</v>
      </c>
      <c r="Z357" s="3">
        <f>VALUE(SUBSTITUTE(MID($A357,G357+G$2+1,H357-G357-G$2-1),",","."))</f>
        <v>79.9166666666666</v>
      </c>
      <c r="AA357" s="3">
        <f>VALUE(SUBSTITUTE(MID($A357,H357+H$2+1,I357-H357-H$2-1),",","."))</f>
        <v>0</v>
      </c>
      <c r="AB357" s="3">
        <f>VALUE(SUBSTITUTE(MID($A357,I357+I$2+1,J357-I357-I$2-1),",","."))</f>
        <v>112.5</v>
      </c>
      <c r="AC357" s="3">
        <f>VALUE(SUBSTITUTE(MID($A357,J357+J$2+1,K357-J357-J$2-1),",","."))</f>
        <v>4.3</v>
      </c>
      <c r="AD357" s="3">
        <f>VALUE(SUBSTITUTE(MID($A357,K357+K$2+1,L357-K357-K$2-1),",","."))</f>
        <v>8.4600000000000009</v>
      </c>
      <c r="AE357" s="3">
        <f>VALUE(SUBSTITUTE(MID($A357,L357+L$2+1,M357-L357-L$2-1),",","."))</f>
        <v>0</v>
      </c>
      <c r="AF357" s="3">
        <f>VALUE(SUBSTITUTE(MID($A357,M357+M$2+1,N357-M357-M$2-1),",","."))</f>
        <v>0</v>
      </c>
      <c r="AG357" s="3">
        <f>VALUE(SUBSTITUTE(MID($A357,N357+N$2+1,O357-N357-N$2-1),",","."))</f>
        <v>4.2135567850593301</v>
      </c>
      <c r="AH357" t="str">
        <f>MID($A357,O357+O$2+1,P357-O357-O$2-1)</f>
        <v/>
      </c>
      <c r="AI357" s="8" t="str">
        <f>MID($A357,P357+P$2+1,Q357-P357-P$2-1)</f>
        <v>False</v>
      </c>
      <c r="AK357" t="b">
        <f t="shared" si="49"/>
        <v>1</v>
      </c>
    </row>
    <row r="358" spans="1:37" x14ac:dyDescent="0.35">
      <c r="A358" t="s">
        <v>4905</v>
      </c>
      <c r="B358">
        <f t="shared" si="51"/>
        <v>10</v>
      </c>
      <c r="C358">
        <f t="shared" si="51"/>
        <v>43</v>
      </c>
      <c r="D358">
        <f t="shared" si="51"/>
        <v>54</v>
      </c>
      <c r="E358">
        <f t="shared" si="50"/>
        <v>97</v>
      </c>
      <c r="F358">
        <f t="shared" si="50"/>
        <v>141</v>
      </c>
      <c r="G358">
        <f t="shared" si="50"/>
        <v>179</v>
      </c>
      <c r="H358">
        <f t="shared" si="50"/>
        <v>227</v>
      </c>
      <c r="I358">
        <f t="shared" si="50"/>
        <v>249</v>
      </c>
      <c r="J358">
        <f t="shared" si="50"/>
        <v>286</v>
      </c>
      <c r="K358">
        <f t="shared" si="50"/>
        <v>305</v>
      </c>
      <c r="L358">
        <f t="shared" si="50"/>
        <v>323</v>
      </c>
      <c r="M358">
        <f t="shared" si="50"/>
        <v>338</v>
      </c>
      <c r="N358">
        <f t="shared" si="44"/>
        <v>350</v>
      </c>
      <c r="O358">
        <f t="shared" si="44"/>
        <v>374</v>
      </c>
      <c r="P358">
        <f t="shared" si="44"/>
        <v>392</v>
      </c>
      <c r="Q358">
        <f t="shared" si="44"/>
        <v>418</v>
      </c>
      <c r="S358" t="str">
        <f t="shared" si="45"/>
        <v>30.11.2025</v>
      </c>
      <c r="T358" t="str">
        <f t="shared" si="46"/>
        <v>12:00:00</v>
      </c>
      <c r="U358" t="str">
        <f t="shared" si="48"/>
        <v>30.11.2025 12:00:00</v>
      </c>
      <c r="V358" s="9" t="str">
        <f>MID($A358,C358+C$2+1,D358-C358-C$2-1)</f>
        <v>0</v>
      </c>
      <c r="W358" s="4">
        <f>VALUE(SUBSTITUTE(MID($A358,D358+D$2+1,E358-D358-D$2-1),",","."))</f>
        <v>0.796834784236233</v>
      </c>
      <c r="X358" s="4">
        <f>VALUE(SUBSTITUTE(MID($A358,E358+E$2+1,F358-E358-E$2-1),",","."))</f>
        <v>0.90957602214449496</v>
      </c>
      <c r="Y358" s="4">
        <f>VALUE(SUBSTITUTE(MID($A358,F358+F$2+1,G358-F358-F$2-1),",","."))</f>
        <v>0.35795102889126301</v>
      </c>
      <c r="Z358" s="3">
        <f>VALUE(SUBSTITUTE(MID($A358,G358+G$2+1,H358-G358-G$2-1),",","."))</f>
        <v>79.9166666666666</v>
      </c>
      <c r="AA358" s="3">
        <f>VALUE(SUBSTITUTE(MID($A358,H358+H$2+1,I358-H358-H$2-1),",","."))</f>
        <v>0</v>
      </c>
      <c r="AB358" s="3">
        <f>VALUE(SUBSTITUTE(MID($A358,I358+I$2+1,J358-I358-I$2-1),",","."))</f>
        <v>112.5</v>
      </c>
      <c r="AC358" s="3">
        <f>VALUE(SUBSTITUTE(MID($A358,J358+J$2+1,K358-J358-J$2-1),",","."))</f>
        <v>4.3</v>
      </c>
      <c r="AD358" s="3">
        <f>VALUE(SUBSTITUTE(MID($A358,K358+K$2+1,L358-K358-K$2-1),",","."))</f>
        <v>8.4600000000000009</v>
      </c>
      <c r="AE358" s="3">
        <f>VALUE(SUBSTITUTE(MID($A358,L358+L$2+1,M358-L358-L$2-1),",","."))</f>
        <v>0</v>
      </c>
      <c r="AF358" s="3">
        <f>VALUE(SUBSTITUTE(MID($A358,M358+M$2+1,N358-M358-M$2-1),",","."))</f>
        <v>0</v>
      </c>
      <c r="AG358" s="3">
        <f>VALUE(SUBSTITUTE(MID($A358,N358+N$2+1,O358-N358-N$2-1),",","."))</f>
        <v>4.2135853049474203</v>
      </c>
      <c r="AH358" t="str">
        <f>MID($A358,O358+O$2+1,P358-O358-O$2-1)</f>
        <v/>
      </c>
      <c r="AI358" s="8" t="str">
        <f>MID($A358,P358+P$2+1,Q358-P358-P$2-1)</f>
        <v>False</v>
      </c>
      <c r="AK358" t="b">
        <f t="shared" si="49"/>
        <v>1</v>
      </c>
    </row>
    <row r="359" spans="1:37" x14ac:dyDescent="0.35">
      <c r="A359" t="s">
        <v>4906</v>
      </c>
      <c r="B359">
        <f t="shared" si="51"/>
        <v>10</v>
      </c>
      <c r="C359">
        <f t="shared" si="51"/>
        <v>43</v>
      </c>
      <c r="D359">
        <f t="shared" si="51"/>
        <v>54</v>
      </c>
      <c r="E359">
        <f t="shared" si="50"/>
        <v>97</v>
      </c>
      <c r="F359">
        <f t="shared" si="50"/>
        <v>141</v>
      </c>
      <c r="G359">
        <f t="shared" si="50"/>
        <v>179</v>
      </c>
      <c r="H359">
        <f t="shared" si="50"/>
        <v>227</v>
      </c>
      <c r="I359">
        <f t="shared" si="50"/>
        <v>249</v>
      </c>
      <c r="J359">
        <f t="shared" si="50"/>
        <v>286</v>
      </c>
      <c r="K359">
        <f t="shared" si="50"/>
        <v>305</v>
      </c>
      <c r="L359">
        <f t="shared" si="50"/>
        <v>323</v>
      </c>
      <c r="M359">
        <f t="shared" si="50"/>
        <v>338</v>
      </c>
      <c r="N359">
        <f t="shared" si="44"/>
        <v>350</v>
      </c>
      <c r="O359">
        <f t="shared" si="44"/>
        <v>375</v>
      </c>
      <c r="P359">
        <f t="shared" si="44"/>
        <v>393</v>
      </c>
      <c r="Q359">
        <f t="shared" si="44"/>
        <v>419</v>
      </c>
      <c r="S359" t="str">
        <f t="shared" si="45"/>
        <v>30.11.2025</v>
      </c>
      <c r="T359" t="str">
        <f t="shared" si="46"/>
        <v>12:15:00</v>
      </c>
      <c r="U359" t="str">
        <f t="shared" si="48"/>
        <v>30.11.2025 12:15:00</v>
      </c>
      <c r="V359" s="9" t="str">
        <f>MID($A359,C359+C$2+1,D359-C359-C$2-1)</f>
        <v>0</v>
      </c>
      <c r="W359" s="4">
        <f>VALUE(SUBSTITUTE(MID($A359,D359+D$2+1,E359-D359-D$2-1),",","."))</f>
        <v>0.78374304125317495</v>
      </c>
      <c r="X359" s="4">
        <f>VALUE(SUBSTITUTE(MID($A359,E359+E$2+1,F359-E359-E$2-1),",","."))</f>
        <v>0.90957602214449496</v>
      </c>
      <c r="Y359" s="4">
        <f>VALUE(SUBSTITUTE(MID($A359,F359+F$2+1,G359-F359-F$2-1),",","."))</f>
        <v>0.357667444537696</v>
      </c>
      <c r="Z359" s="3">
        <f>VALUE(SUBSTITUTE(MID($A359,G359+G$2+1,H359-G359-G$2-1),",","."))</f>
        <v>79.9166666666666</v>
      </c>
      <c r="AA359" s="3">
        <f>VALUE(SUBSTITUTE(MID($A359,H359+H$2+1,I359-H359-H$2-1),",","."))</f>
        <v>0</v>
      </c>
      <c r="AB359" s="3">
        <f>VALUE(SUBSTITUTE(MID($A359,I359+I$2+1,J359-I359-I$2-1),",","."))</f>
        <v>112.5</v>
      </c>
      <c r="AC359" s="3">
        <f>VALUE(SUBSTITUTE(MID($A359,J359+J$2+1,K359-J359-J$2-1),",","."))</f>
        <v>4.3</v>
      </c>
      <c r="AD359" s="3">
        <f>VALUE(SUBSTITUTE(MID($A359,K359+K$2+1,L359-K359-K$2-1),",","."))</f>
        <v>8.4600000000000009</v>
      </c>
      <c r="AE359" s="3">
        <f>VALUE(SUBSTITUTE(MID($A359,L359+L$2+1,M359-L359-L$2-1),",","."))</f>
        <v>0</v>
      </c>
      <c r="AF359" s="3">
        <f>VALUE(SUBSTITUTE(MID($A359,M359+M$2+1,N359-M359-M$2-1),",","."))</f>
        <v>0</v>
      </c>
      <c r="AG359" s="3">
        <f>VALUE(SUBSTITUTE(MID($A359,N359+N$2+1,O359-N359-N$2-1),",","."))</f>
        <v>4.2136138248355</v>
      </c>
      <c r="AH359" t="str">
        <f>MID($A359,O359+O$2+1,P359-O359-O$2-1)</f>
        <v/>
      </c>
      <c r="AI359" s="8" t="str">
        <f>MID($A359,P359+P$2+1,Q359-P359-P$2-1)</f>
        <v>False</v>
      </c>
      <c r="AK359" t="b">
        <f t="shared" si="49"/>
        <v>1</v>
      </c>
    </row>
    <row r="360" spans="1:37" x14ac:dyDescent="0.35">
      <c r="A360" t="s">
        <v>4907</v>
      </c>
      <c r="B360">
        <f t="shared" si="51"/>
        <v>10</v>
      </c>
      <c r="C360">
        <f t="shared" si="51"/>
        <v>43</v>
      </c>
      <c r="D360">
        <f t="shared" si="51"/>
        <v>54</v>
      </c>
      <c r="E360">
        <f t="shared" si="50"/>
        <v>97</v>
      </c>
      <c r="F360">
        <f t="shared" si="50"/>
        <v>141</v>
      </c>
      <c r="G360">
        <f t="shared" si="50"/>
        <v>180</v>
      </c>
      <c r="H360">
        <f t="shared" si="50"/>
        <v>216</v>
      </c>
      <c r="I360">
        <f t="shared" si="50"/>
        <v>238</v>
      </c>
      <c r="J360">
        <f t="shared" si="50"/>
        <v>275</v>
      </c>
      <c r="K360">
        <f t="shared" si="50"/>
        <v>294</v>
      </c>
      <c r="L360">
        <f t="shared" si="50"/>
        <v>312</v>
      </c>
      <c r="M360">
        <f t="shared" si="50"/>
        <v>327</v>
      </c>
      <c r="N360">
        <f t="shared" si="44"/>
        <v>339</v>
      </c>
      <c r="O360">
        <f t="shared" si="44"/>
        <v>364</v>
      </c>
      <c r="P360">
        <f t="shared" si="44"/>
        <v>382</v>
      </c>
      <c r="Q360">
        <f t="shared" si="44"/>
        <v>408</v>
      </c>
      <c r="S360" t="str">
        <f t="shared" si="45"/>
        <v>30.11.2025</v>
      </c>
      <c r="T360" t="str">
        <f t="shared" si="46"/>
        <v>12:30:00</v>
      </c>
      <c r="U360" t="str">
        <f t="shared" si="48"/>
        <v>30.11.2025 12:30:00</v>
      </c>
      <c r="V360" s="9" t="str">
        <f>MID($A360,C360+C$2+1,D360-C360-C$2-1)</f>
        <v>0</v>
      </c>
      <c r="W360" s="4">
        <f>VALUE(SUBSTITUTE(MID($A360,D360+D$2+1,E360-D360-D$2-1),",","."))</f>
        <v>0.76692428518734701</v>
      </c>
      <c r="X360" s="4">
        <f>VALUE(SUBSTITUTE(MID($A360,E360+E$2+1,F360-E360-E$2-1),",","."))</f>
        <v>0.90957602214449496</v>
      </c>
      <c r="Y360" s="4">
        <f>VALUE(SUBSTITUTE(MID($A360,F360+F$2+1,G360-F360-F$2-1),",","."))</f>
        <v>0.35469825331907401</v>
      </c>
      <c r="Z360" s="3">
        <f>VALUE(SUBSTITUTE(MID($A360,G360+G$2+1,H360-G360-G$2-1),",","."))</f>
        <v>57.95</v>
      </c>
      <c r="AA360" s="3">
        <f>VALUE(SUBSTITUTE(MID($A360,H360+H$2+1,I360-H360-H$2-1),",","."))</f>
        <v>0</v>
      </c>
      <c r="AB360" s="3">
        <f>VALUE(SUBSTITUTE(MID($A360,I360+I$2+1,J360-I360-I$2-1),",","."))</f>
        <v>115.5</v>
      </c>
      <c r="AC360" s="3">
        <f>VALUE(SUBSTITUTE(MID($A360,J360+J$2+1,K360-J360-J$2-1),",","."))</f>
        <v>4.9000000000000004</v>
      </c>
      <c r="AD360" s="3">
        <f>VALUE(SUBSTITUTE(MID($A360,K360+K$2+1,L360-K360-K$2-1),",","."))</f>
        <v>6.66</v>
      </c>
      <c r="AE360" s="3">
        <f>VALUE(SUBSTITUTE(MID($A360,L360+L$2+1,M360-L360-L$2-1),",","."))</f>
        <v>0</v>
      </c>
      <c r="AF360" s="3">
        <f>VALUE(SUBSTITUTE(MID($A360,M360+M$2+1,N360-M360-M$2-1),",","."))</f>
        <v>0</v>
      </c>
      <c r="AG360" s="3">
        <f>VALUE(SUBSTITUTE(MID($A360,N360+N$2+1,O360-N360-N$2-1),",","."))</f>
        <v>4.2136423447235796</v>
      </c>
      <c r="AH360" t="str">
        <f>MID($A360,O360+O$2+1,P360-O360-O$2-1)</f>
        <v/>
      </c>
      <c r="AI360" s="8" t="str">
        <f>MID($A360,P360+P$2+1,Q360-P360-P$2-1)</f>
        <v>False</v>
      </c>
      <c r="AK360" t="b">
        <f t="shared" si="49"/>
        <v>1</v>
      </c>
    </row>
    <row r="361" spans="1:37" x14ac:dyDescent="0.35">
      <c r="A361" t="s">
        <v>4908</v>
      </c>
      <c r="B361">
        <f t="shared" si="51"/>
        <v>10</v>
      </c>
      <c r="C361">
        <f t="shared" si="51"/>
        <v>43</v>
      </c>
      <c r="D361">
        <f t="shared" si="51"/>
        <v>54</v>
      </c>
      <c r="E361">
        <f t="shared" si="50"/>
        <v>97</v>
      </c>
      <c r="F361">
        <f t="shared" si="50"/>
        <v>141</v>
      </c>
      <c r="G361">
        <f t="shared" si="50"/>
        <v>179</v>
      </c>
      <c r="H361">
        <f t="shared" si="50"/>
        <v>215</v>
      </c>
      <c r="I361">
        <f t="shared" si="50"/>
        <v>237</v>
      </c>
      <c r="J361">
        <f t="shared" si="50"/>
        <v>274</v>
      </c>
      <c r="K361">
        <f t="shared" si="50"/>
        <v>293</v>
      </c>
      <c r="L361">
        <f t="shared" si="50"/>
        <v>311</v>
      </c>
      <c r="M361">
        <f t="shared" si="50"/>
        <v>326</v>
      </c>
      <c r="N361">
        <f t="shared" si="44"/>
        <v>338</v>
      </c>
      <c r="O361">
        <f t="shared" si="44"/>
        <v>364</v>
      </c>
      <c r="P361">
        <f t="shared" si="44"/>
        <v>382</v>
      </c>
      <c r="Q361">
        <f t="shared" si="44"/>
        <v>408</v>
      </c>
      <c r="S361" t="str">
        <f t="shared" si="45"/>
        <v>30.11.2025</v>
      </c>
      <c r="T361" t="str">
        <f t="shared" si="46"/>
        <v>12:45:00</v>
      </c>
      <c r="U361" t="str">
        <f t="shared" si="48"/>
        <v>30.11.2025 12:45:00</v>
      </c>
      <c r="V361" s="9" t="str">
        <f>MID($A361,C361+C$2+1,D361-C361-C$2-1)</f>
        <v>0</v>
      </c>
      <c r="W361" s="4">
        <f>VALUE(SUBSTITUTE(MID($A361,D361+D$2+1,E361-D361-D$2-1),",","."))</f>
        <v>0.74645079515301205</v>
      </c>
      <c r="X361" s="4">
        <f>VALUE(SUBSTITUTE(MID($A361,E361+E$2+1,F361-E361-E$2-1),",","."))</f>
        <v>0.90957602214449496</v>
      </c>
      <c r="Y361" s="4">
        <f>VALUE(SUBSTITUTE(MID($A361,F361+F$2+1,G361-F361-F$2-1),",","."))</f>
        <v>0.34905643218289201</v>
      </c>
      <c r="Z361" s="3">
        <f>VALUE(SUBSTITUTE(MID($A361,G361+G$2+1,H361-G361-G$2-1),",","."))</f>
        <v>57.95</v>
      </c>
      <c r="AA361" s="3">
        <f>VALUE(SUBSTITUTE(MID($A361,H361+H$2+1,I361-H361-H$2-1),",","."))</f>
        <v>0</v>
      </c>
      <c r="AB361" s="3">
        <f>VALUE(SUBSTITUTE(MID($A361,I361+I$2+1,J361-I361-I$2-1),",","."))</f>
        <v>115.5</v>
      </c>
      <c r="AC361" s="3">
        <f>VALUE(SUBSTITUTE(MID($A361,J361+J$2+1,K361-J361-J$2-1),",","."))</f>
        <v>4.9000000000000004</v>
      </c>
      <c r="AD361" s="3">
        <f>VALUE(SUBSTITUTE(MID($A361,K361+K$2+1,L361-K361-K$2-1),",","."))</f>
        <v>6.66</v>
      </c>
      <c r="AE361" s="3">
        <f>VALUE(SUBSTITUTE(MID($A361,L361+L$2+1,M361-L361-L$2-1),",","."))</f>
        <v>0</v>
      </c>
      <c r="AF361" s="3">
        <f>VALUE(SUBSTITUTE(MID($A361,M361+M$2+1,N361-M361-M$2-1),",","."))</f>
        <v>0</v>
      </c>
      <c r="AG361" s="3">
        <f>VALUE(SUBSTITUTE(MID($A361,N361+N$2+1,O361-N361-N$2-1),",","."))</f>
        <v>4.2136708646116601</v>
      </c>
      <c r="AH361" t="str">
        <f>MID($A361,O361+O$2+1,P361-O361-O$2-1)</f>
        <v/>
      </c>
      <c r="AI361" s="8" t="str">
        <f>MID($A361,P361+P$2+1,Q361-P361-P$2-1)</f>
        <v>False</v>
      </c>
      <c r="AK361" t="b">
        <f t="shared" si="49"/>
        <v>1</v>
      </c>
    </row>
    <row r="362" spans="1:37" x14ac:dyDescent="0.35">
      <c r="A362" t="s">
        <v>4909</v>
      </c>
      <c r="B362">
        <f t="shared" si="51"/>
        <v>10</v>
      </c>
      <c r="C362">
        <f t="shared" si="51"/>
        <v>43</v>
      </c>
      <c r="D362">
        <f t="shared" si="51"/>
        <v>54</v>
      </c>
      <c r="E362">
        <f t="shared" si="50"/>
        <v>97</v>
      </c>
      <c r="F362">
        <f t="shared" si="50"/>
        <v>141</v>
      </c>
      <c r="G362">
        <f t="shared" si="50"/>
        <v>179</v>
      </c>
      <c r="H362">
        <f t="shared" ref="H362:P394" si="52">FIND(H$1,$A362)</f>
        <v>215</v>
      </c>
      <c r="I362">
        <f t="shared" si="52"/>
        <v>237</v>
      </c>
      <c r="J362">
        <f t="shared" si="52"/>
        <v>274</v>
      </c>
      <c r="K362">
        <f t="shared" si="52"/>
        <v>293</v>
      </c>
      <c r="L362">
        <f t="shared" si="52"/>
        <v>311</v>
      </c>
      <c r="M362">
        <f t="shared" si="52"/>
        <v>326</v>
      </c>
      <c r="N362">
        <f t="shared" si="44"/>
        <v>338</v>
      </c>
      <c r="O362">
        <f t="shared" si="44"/>
        <v>363</v>
      </c>
      <c r="P362">
        <f t="shared" si="44"/>
        <v>381</v>
      </c>
      <c r="Q362">
        <f t="shared" si="44"/>
        <v>407</v>
      </c>
      <c r="S362" t="str">
        <f t="shared" si="45"/>
        <v>30.11.2025</v>
      </c>
      <c r="T362" t="str">
        <f t="shared" si="46"/>
        <v>13:00:00</v>
      </c>
      <c r="U362" t="str">
        <f t="shared" si="48"/>
        <v>30.11.2025 13:00:00</v>
      </c>
      <c r="V362" s="9" t="str">
        <f>MID($A362,C362+C$2+1,D362-C362-C$2-1)</f>
        <v>0</v>
      </c>
      <c r="W362" s="4">
        <f>VALUE(SUBSTITUTE(MID($A362,D362+D$2+1,E362-D362-D$2-1),",","."))</f>
        <v>0.72241073000482803</v>
      </c>
      <c r="X362" s="4">
        <f>VALUE(SUBSTITUTE(MID($A362,E362+E$2+1,F362-E362-E$2-1),",","."))</f>
        <v>0.90957602214449496</v>
      </c>
      <c r="Y362" s="4">
        <f>VALUE(SUBSTITUTE(MID($A362,F362+F$2+1,G362-F362-F$2-1),",","."))</f>
        <v>0.34076668716779801</v>
      </c>
      <c r="Z362" s="3">
        <f>VALUE(SUBSTITUTE(MID($A362,G362+G$2+1,H362-G362-G$2-1),",","."))</f>
        <v>57.95</v>
      </c>
      <c r="AA362" s="3">
        <f>VALUE(SUBSTITUTE(MID($A362,H362+H$2+1,I362-H362-H$2-1),",","."))</f>
        <v>0</v>
      </c>
      <c r="AB362" s="3">
        <f>VALUE(SUBSTITUTE(MID($A362,I362+I$2+1,J362-I362-I$2-1),",","."))</f>
        <v>115.5</v>
      </c>
      <c r="AC362" s="3">
        <f>VALUE(SUBSTITUTE(MID($A362,J362+J$2+1,K362-J362-J$2-1),",","."))</f>
        <v>4.9000000000000004</v>
      </c>
      <c r="AD362" s="3">
        <f>VALUE(SUBSTITUTE(MID($A362,K362+K$2+1,L362-K362-K$2-1),",","."))</f>
        <v>6.66</v>
      </c>
      <c r="AE362" s="3">
        <f>VALUE(SUBSTITUTE(MID($A362,L362+L$2+1,M362-L362-L$2-1),",","."))</f>
        <v>0</v>
      </c>
      <c r="AF362" s="3">
        <f>VALUE(SUBSTITUTE(MID($A362,M362+M$2+1,N362-M362-M$2-1),",","."))</f>
        <v>0</v>
      </c>
      <c r="AG362" s="3">
        <f>VALUE(SUBSTITUTE(MID($A362,N362+N$2+1,O362-N362-N$2-1),",","."))</f>
        <v>4.2136993844997397</v>
      </c>
      <c r="AH362" t="str">
        <f>MID($A362,O362+O$2+1,P362-O362-O$2-1)</f>
        <v/>
      </c>
      <c r="AI362" s="8" t="str">
        <f>MID($A362,P362+P$2+1,Q362-P362-P$2-1)</f>
        <v>False</v>
      </c>
      <c r="AK362" t="b">
        <f t="shared" si="49"/>
        <v>1</v>
      </c>
    </row>
    <row r="363" spans="1:37" x14ac:dyDescent="0.35">
      <c r="A363" t="s">
        <v>4910</v>
      </c>
      <c r="B363">
        <f t="shared" si="51"/>
        <v>10</v>
      </c>
      <c r="C363">
        <f t="shared" si="51"/>
        <v>43</v>
      </c>
      <c r="D363">
        <f t="shared" si="51"/>
        <v>54</v>
      </c>
      <c r="E363">
        <f t="shared" si="51"/>
        <v>97</v>
      </c>
      <c r="F363">
        <f t="shared" si="51"/>
        <v>141</v>
      </c>
      <c r="G363">
        <f t="shared" si="51"/>
        <v>179</v>
      </c>
      <c r="H363">
        <f t="shared" si="52"/>
        <v>215</v>
      </c>
      <c r="I363">
        <f t="shared" si="52"/>
        <v>237</v>
      </c>
      <c r="J363">
        <f t="shared" si="52"/>
        <v>274</v>
      </c>
      <c r="K363">
        <f t="shared" si="52"/>
        <v>293</v>
      </c>
      <c r="L363">
        <f t="shared" si="52"/>
        <v>311</v>
      </c>
      <c r="M363">
        <f t="shared" si="52"/>
        <v>326</v>
      </c>
      <c r="N363">
        <f t="shared" si="44"/>
        <v>338</v>
      </c>
      <c r="O363">
        <f t="shared" si="44"/>
        <v>363</v>
      </c>
      <c r="P363">
        <f t="shared" si="44"/>
        <v>381</v>
      </c>
      <c r="Q363">
        <f t="shared" si="44"/>
        <v>407</v>
      </c>
      <c r="S363" t="str">
        <f t="shared" si="45"/>
        <v>30.11.2025</v>
      </c>
      <c r="T363" t="str">
        <f t="shared" si="46"/>
        <v>13:15:00</v>
      </c>
      <c r="U363" t="str">
        <f t="shared" si="48"/>
        <v>30.11.2025 13:15:00</v>
      </c>
      <c r="V363" s="9" t="str">
        <f>MID($A363,C363+C$2+1,D363-C363-C$2-1)</f>
        <v>0</v>
      </c>
      <c r="W363" s="4">
        <f>VALUE(SUBSTITUTE(MID($A363,D363+D$2+1,E363-D363-D$2-1),",","."))</f>
        <v>0.69490779708134798</v>
      </c>
      <c r="X363" s="4">
        <f>VALUE(SUBSTITUTE(MID($A363,E363+E$2+1,F363-E363-E$2-1),",","."))</f>
        <v>0.90957602214449496</v>
      </c>
      <c r="Y363" s="4">
        <f>VALUE(SUBSTITUTE(MID($A363,F363+F$2+1,G363-F363-F$2-1),",","."))</f>
        <v>0.32986540406533599</v>
      </c>
      <c r="Z363" s="3">
        <f>VALUE(SUBSTITUTE(MID($A363,G363+G$2+1,H363-G363-G$2-1),",","."))</f>
        <v>57.95</v>
      </c>
      <c r="AA363" s="3">
        <f>VALUE(SUBSTITUTE(MID($A363,H363+H$2+1,I363-H363-H$2-1),",","."))</f>
        <v>0</v>
      </c>
      <c r="AB363" s="3">
        <f>VALUE(SUBSTITUTE(MID($A363,I363+I$2+1,J363-I363-I$2-1),",","."))</f>
        <v>115.5</v>
      </c>
      <c r="AC363" s="3">
        <f>VALUE(SUBSTITUTE(MID($A363,J363+J$2+1,K363-J363-J$2-1),",","."))</f>
        <v>4.9000000000000004</v>
      </c>
      <c r="AD363" s="3">
        <f>VALUE(SUBSTITUTE(MID($A363,K363+K$2+1,L363-K363-K$2-1),",","."))</f>
        <v>6.66</v>
      </c>
      <c r="AE363" s="3">
        <f>VALUE(SUBSTITUTE(MID($A363,L363+L$2+1,M363-L363-L$2-1),",","."))</f>
        <v>0</v>
      </c>
      <c r="AF363" s="3">
        <f>VALUE(SUBSTITUTE(MID($A363,M363+M$2+1,N363-M363-M$2-1),",","."))</f>
        <v>0</v>
      </c>
      <c r="AG363" s="3">
        <f>VALUE(SUBSTITUTE(MID($A363,N363+N$2+1,O363-N363-N$2-1),",","."))</f>
        <v>4.2137279043878202</v>
      </c>
      <c r="AH363" t="str">
        <f>MID($A363,O363+O$2+1,P363-O363-O$2-1)</f>
        <v/>
      </c>
      <c r="AI363" s="8" t="str">
        <f>MID($A363,P363+P$2+1,Q363-P363-P$2-1)</f>
        <v>False</v>
      </c>
      <c r="AK363" t="b">
        <f t="shared" si="49"/>
        <v>1</v>
      </c>
    </row>
    <row r="364" spans="1:37" x14ac:dyDescent="0.35">
      <c r="A364" t="s">
        <v>4911</v>
      </c>
      <c r="B364">
        <f t="shared" si="51"/>
        <v>10</v>
      </c>
      <c r="C364">
        <f t="shared" si="51"/>
        <v>43</v>
      </c>
      <c r="D364">
        <f t="shared" si="51"/>
        <v>54</v>
      </c>
      <c r="E364">
        <f t="shared" si="51"/>
        <v>97</v>
      </c>
      <c r="F364">
        <f t="shared" si="51"/>
        <v>141</v>
      </c>
      <c r="G364">
        <f t="shared" si="51"/>
        <v>179</v>
      </c>
      <c r="H364">
        <f t="shared" si="52"/>
        <v>212</v>
      </c>
      <c r="I364">
        <f t="shared" si="52"/>
        <v>234</v>
      </c>
      <c r="J364">
        <f t="shared" si="52"/>
        <v>271</v>
      </c>
      <c r="K364">
        <f t="shared" si="52"/>
        <v>291</v>
      </c>
      <c r="L364">
        <f t="shared" si="52"/>
        <v>310</v>
      </c>
      <c r="M364">
        <f t="shared" si="52"/>
        <v>325</v>
      </c>
      <c r="N364">
        <f t="shared" si="44"/>
        <v>337</v>
      </c>
      <c r="O364">
        <f t="shared" si="44"/>
        <v>361</v>
      </c>
      <c r="P364">
        <f t="shared" si="44"/>
        <v>379</v>
      </c>
      <c r="Q364">
        <f t="shared" si="44"/>
        <v>405</v>
      </c>
      <c r="S364" t="str">
        <f t="shared" si="45"/>
        <v>30.11.2025</v>
      </c>
      <c r="T364" t="str">
        <f t="shared" si="46"/>
        <v>13:30:00</v>
      </c>
      <c r="U364" t="str">
        <f t="shared" si="48"/>
        <v>30.11.2025 13:30:00</v>
      </c>
      <c r="V364" s="9" t="str">
        <f>MID($A364,C364+C$2+1,D364-C364-C$2-1)</f>
        <v>0</v>
      </c>
      <c r="W364" s="4">
        <f>VALUE(SUBSTITUTE(MID($A364,D364+D$2+1,E364-D364-D$2-1),",","."))</f>
        <v>0.66406088794391804</v>
      </c>
      <c r="X364" s="4">
        <f>VALUE(SUBSTITUTE(MID($A364,E364+E$2+1,F364-E364-E$2-1),",","."))</f>
        <v>0.90957602214449496</v>
      </c>
      <c r="Y364" s="4">
        <f>VALUE(SUBSTITUTE(MID($A364,F364+F$2+1,G364-F364-F$2-1),",","."))</f>
        <v>0.31640058971819901</v>
      </c>
      <c r="Z364" s="3">
        <f>VALUE(SUBSTITUTE(MID($A364,G364+G$2+1,H364-G364-G$2-1),",","."))</f>
        <v>39</v>
      </c>
      <c r="AA364" s="3">
        <f>VALUE(SUBSTITUTE(MID($A364,H364+H$2+1,I364-H364-H$2-1),",","."))</f>
        <v>0</v>
      </c>
      <c r="AB364" s="3">
        <f>VALUE(SUBSTITUTE(MID($A364,I364+I$2+1,J364-I364-I$2-1),",","."))</f>
        <v>101.5</v>
      </c>
      <c r="AC364" s="3">
        <f>VALUE(SUBSTITUTE(MID($A364,J364+J$2+1,K364-J364-J$2-1),",","."))</f>
        <v>5.15</v>
      </c>
      <c r="AD364" s="3">
        <f>VALUE(SUBSTITUTE(MID($A364,K364+K$2+1,L364-K364-K$2-1),",","."))</f>
        <v>13.32</v>
      </c>
      <c r="AE364" s="3">
        <f>VALUE(SUBSTITUTE(MID($A364,L364+L$2+1,M364-L364-L$2-1),",","."))</f>
        <v>0</v>
      </c>
      <c r="AF364" s="3">
        <f>VALUE(SUBSTITUTE(MID($A364,M364+M$2+1,N364-M364-M$2-1),",","."))</f>
        <v>0</v>
      </c>
      <c r="AG364" s="3">
        <f>VALUE(SUBSTITUTE(MID($A364,N364+N$2+1,O364-N364-N$2-1),",","."))</f>
        <v>4.2137564242759096</v>
      </c>
      <c r="AH364" t="str">
        <f>MID($A364,O364+O$2+1,P364-O364-O$2-1)</f>
        <v/>
      </c>
      <c r="AI364" s="8" t="str">
        <f>MID($A364,P364+P$2+1,Q364-P364-P$2-1)</f>
        <v>False</v>
      </c>
      <c r="AK364" t="b">
        <f t="shared" si="49"/>
        <v>1</v>
      </c>
    </row>
    <row r="365" spans="1:37" x14ac:dyDescent="0.35">
      <c r="A365" t="s">
        <v>4912</v>
      </c>
      <c r="B365">
        <f t="shared" si="51"/>
        <v>10</v>
      </c>
      <c r="C365">
        <f t="shared" si="51"/>
        <v>43</v>
      </c>
      <c r="D365">
        <f t="shared" si="51"/>
        <v>54</v>
      </c>
      <c r="E365">
        <f t="shared" si="51"/>
        <v>97</v>
      </c>
      <c r="F365">
        <f t="shared" si="51"/>
        <v>141</v>
      </c>
      <c r="G365">
        <f t="shared" si="51"/>
        <v>180</v>
      </c>
      <c r="H365">
        <f t="shared" si="52"/>
        <v>213</v>
      </c>
      <c r="I365">
        <f t="shared" si="52"/>
        <v>235</v>
      </c>
      <c r="J365">
        <f t="shared" si="52"/>
        <v>272</v>
      </c>
      <c r="K365">
        <f t="shared" si="52"/>
        <v>292</v>
      </c>
      <c r="L365">
        <f t="shared" si="52"/>
        <v>311</v>
      </c>
      <c r="M365">
        <f t="shared" si="52"/>
        <v>326</v>
      </c>
      <c r="N365">
        <f t="shared" si="44"/>
        <v>338</v>
      </c>
      <c r="O365">
        <f t="shared" si="44"/>
        <v>363</v>
      </c>
      <c r="P365">
        <f t="shared" si="44"/>
        <v>381</v>
      </c>
      <c r="Q365">
        <f t="shared" si="44"/>
        <v>407</v>
      </c>
      <c r="S365" t="str">
        <f t="shared" si="45"/>
        <v>30.11.2025</v>
      </c>
      <c r="T365" t="str">
        <f t="shared" si="46"/>
        <v>13:45:00</v>
      </c>
      <c r="U365" t="str">
        <f t="shared" si="48"/>
        <v>30.11.2025 13:45:00</v>
      </c>
      <c r="V365" s="9" t="str">
        <f>MID($A365,C365+C$2+1,D365-C365-C$2-1)</f>
        <v>0</v>
      </c>
      <c r="W365" s="4">
        <f>VALUE(SUBSTITUTE(MID($A365,D365+D$2+1,E365-D365-D$2-1),",","."))</f>
        <v>0.63000369956972402</v>
      </c>
      <c r="X365" s="4">
        <f>VALUE(SUBSTITUTE(MID($A365,E365+E$2+1,F365-E365-E$2-1),",","."))</f>
        <v>0.90957602214449496</v>
      </c>
      <c r="Y365" s="4">
        <f>VALUE(SUBSTITUTE(MID($A365,F365+F$2+1,G365-F365-F$2-1),",","."))</f>
        <v>0.30043182485807002</v>
      </c>
      <c r="Z365" s="3">
        <f>VALUE(SUBSTITUTE(MID($A365,G365+G$2+1,H365-G365-G$2-1),",","."))</f>
        <v>39</v>
      </c>
      <c r="AA365" s="3">
        <f>VALUE(SUBSTITUTE(MID($A365,H365+H$2+1,I365-H365-H$2-1),",","."))</f>
        <v>0</v>
      </c>
      <c r="AB365" s="3">
        <f>VALUE(SUBSTITUTE(MID($A365,I365+I$2+1,J365-I365-I$2-1),",","."))</f>
        <v>101.5</v>
      </c>
      <c r="AC365" s="3">
        <f>VALUE(SUBSTITUTE(MID($A365,J365+J$2+1,K365-J365-J$2-1),",","."))</f>
        <v>5.15</v>
      </c>
      <c r="AD365" s="3">
        <f>VALUE(SUBSTITUTE(MID($A365,K365+K$2+1,L365-K365-K$2-1),",","."))</f>
        <v>13.32</v>
      </c>
      <c r="AE365" s="3">
        <f>VALUE(SUBSTITUTE(MID($A365,L365+L$2+1,M365-L365-L$2-1),",","."))</f>
        <v>0</v>
      </c>
      <c r="AF365" s="3">
        <f>VALUE(SUBSTITUTE(MID($A365,M365+M$2+1,N365-M365-M$2-1),",","."))</f>
        <v>0</v>
      </c>
      <c r="AG365" s="3">
        <f>VALUE(SUBSTITUTE(MID($A365,N365+N$2+1,O365-N365-N$2-1),",","."))</f>
        <v>4.2137849441639901</v>
      </c>
      <c r="AH365" t="str">
        <f>MID($A365,O365+O$2+1,P365-O365-O$2-1)</f>
        <v/>
      </c>
      <c r="AI365" s="8" t="str">
        <f>MID($A365,P365+P$2+1,Q365-P365-P$2-1)</f>
        <v>False</v>
      </c>
      <c r="AK365" t="b">
        <f t="shared" si="49"/>
        <v>1</v>
      </c>
    </row>
    <row r="366" spans="1:37" x14ac:dyDescent="0.35">
      <c r="A366" t="s">
        <v>4913</v>
      </c>
      <c r="B366">
        <f t="shared" si="51"/>
        <v>10</v>
      </c>
      <c r="C366">
        <f t="shared" si="51"/>
        <v>43</v>
      </c>
      <c r="D366">
        <f t="shared" si="51"/>
        <v>54</v>
      </c>
      <c r="E366">
        <f t="shared" si="51"/>
        <v>96</v>
      </c>
      <c r="F366">
        <f t="shared" si="51"/>
        <v>140</v>
      </c>
      <c r="G366">
        <f t="shared" si="51"/>
        <v>179</v>
      </c>
      <c r="H366">
        <f t="shared" si="52"/>
        <v>212</v>
      </c>
      <c r="I366">
        <f t="shared" si="52"/>
        <v>234</v>
      </c>
      <c r="J366">
        <f t="shared" si="52"/>
        <v>271</v>
      </c>
      <c r="K366">
        <f t="shared" si="52"/>
        <v>291</v>
      </c>
      <c r="L366">
        <f t="shared" si="52"/>
        <v>310</v>
      </c>
      <c r="M366">
        <f t="shared" si="52"/>
        <v>325</v>
      </c>
      <c r="N366">
        <f t="shared" si="44"/>
        <v>337</v>
      </c>
      <c r="O366">
        <f t="shared" si="44"/>
        <v>362</v>
      </c>
      <c r="P366">
        <f t="shared" si="44"/>
        <v>380</v>
      </c>
      <c r="Q366">
        <f t="shared" si="44"/>
        <v>406</v>
      </c>
      <c r="S366" t="str">
        <f t="shared" si="45"/>
        <v>30.11.2025</v>
      </c>
      <c r="T366" t="str">
        <f t="shared" si="46"/>
        <v>14:00:00</v>
      </c>
      <c r="U366" t="str">
        <f t="shared" si="48"/>
        <v>30.11.2025 14:00:00</v>
      </c>
      <c r="V366" s="9" t="str">
        <f>MID($A366,C366+C$2+1,D366-C366-C$2-1)</f>
        <v>0</v>
      </c>
      <c r="W366" s="4">
        <f>VALUE(SUBSTITUTE(MID($A366,D366+D$2+1,E366-D366-D$2-1),",","."))</f>
        <v>0.59288437342262401</v>
      </c>
      <c r="X366" s="4">
        <f>VALUE(SUBSTITUTE(MID($A366,E366+E$2+1,F366-E366-E$2-1),",","."))</f>
        <v>0.90957602214449496</v>
      </c>
      <c r="Y366" s="4">
        <f>VALUE(SUBSTITUTE(MID($A366,F366+F$2+1,G366-F366-F$2-1),",","."))</f>
        <v>0.28203026631254702</v>
      </c>
      <c r="Z366" s="3">
        <f>VALUE(SUBSTITUTE(MID($A366,G366+G$2+1,H366-G366-G$2-1),",","."))</f>
        <v>39</v>
      </c>
      <c r="AA366" s="3">
        <f>VALUE(SUBSTITUTE(MID($A366,H366+H$2+1,I366-H366-H$2-1),",","."))</f>
        <v>0</v>
      </c>
      <c r="AB366" s="3">
        <f>VALUE(SUBSTITUTE(MID($A366,I366+I$2+1,J366-I366-I$2-1),",","."))</f>
        <v>101.5</v>
      </c>
      <c r="AC366" s="3">
        <f>VALUE(SUBSTITUTE(MID($A366,J366+J$2+1,K366-J366-J$2-1),",","."))</f>
        <v>5.15</v>
      </c>
      <c r="AD366" s="3">
        <f>VALUE(SUBSTITUTE(MID($A366,K366+K$2+1,L366-K366-K$2-1),",","."))</f>
        <v>13.32</v>
      </c>
      <c r="AE366" s="3">
        <f>VALUE(SUBSTITUTE(MID($A366,L366+L$2+1,M366-L366-L$2-1),",","."))</f>
        <v>0</v>
      </c>
      <c r="AF366" s="3">
        <f>VALUE(SUBSTITUTE(MID($A366,M366+M$2+1,N366-M366-M$2-1),",","."))</f>
        <v>0</v>
      </c>
      <c r="AG366" s="3">
        <f>VALUE(SUBSTITUTE(MID($A366,N366+N$2+1,O366-N366-N$2-1),",","."))</f>
        <v>4.2138134640520697</v>
      </c>
      <c r="AH366" t="str">
        <f>MID($A366,O366+O$2+1,P366-O366-O$2-1)</f>
        <v/>
      </c>
      <c r="AI366" s="8" t="str">
        <f>MID($A366,P366+P$2+1,Q366-P366-P$2-1)</f>
        <v>False</v>
      </c>
      <c r="AK366" t="b">
        <f t="shared" si="49"/>
        <v>1</v>
      </c>
    </row>
    <row r="367" spans="1:37" x14ac:dyDescent="0.35">
      <c r="A367" t="s">
        <v>4914</v>
      </c>
      <c r="B367">
        <f t="shared" si="51"/>
        <v>10</v>
      </c>
      <c r="C367">
        <f t="shared" si="51"/>
        <v>43</v>
      </c>
      <c r="D367">
        <f t="shared" si="51"/>
        <v>54</v>
      </c>
      <c r="E367">
        <f t="shared" si="51"/>
        <v>96</v>
      </c>
      <c r="F367">
        <f t="shared" si="51"/>
        <v>140</v>
      </c>
      <c r="G367">
        <f t="shared" si="51"/>
        <v>177</v>
      </c>
      <c r="H367">
        <f t="shared" si="52"/>
        <v>210</v>
      </c>
      <c r="I367">
        <f t="shared" si="52"/>
        <v>232</v>
      </c>
      <c r="J367">
        <f t="shared" si="52"/>
        <v>269</v>
      </c>
      <c r="K367">
        <f t="shared" si="52"/>
        <v>289</v>
      </c>
      <c r="L367">
        <f t="shared" si="52"/>
        <v>308</v>
      </c>
      <c r="M367">
        <f t="shared" si="52"/>
        <v>323</v>
      </c>
      <c r="N367">
        <f t="shared" si="44"/>
        <v>335</v>
      </c>
      <c r="O367">
        <f t="shared" si="44"/>
        <v>360</v>
      </c>
      <c r="P367">
        <f t="shared" si="44"/>
        <v>378</v>
      </c>
      <c r="Q367">
        <f t="shared" si="44"/>
        <v>404</v>
      </c>
      <c r="S367" t="str">
        <f t="shared" si="45"/>
        <v>30.11.2025</v>
      </c>
      <c r="T367" t="str">
        <f t="shared" si="46"/>
        <v>14:15:00</v>
      </c>
      <c r="U367" t="str">
        <f t="shared" si="48"/>
        <v>30.11.2025 14:15:00</v>
      </c>
      <c r="V367" s="9" t="str">
        <f>MID($A367,C367+C$2+1,D367-C367-C$2-1)</f>
        <v>0</v>
      </c>
      <c r="W367" s="4">
        <f>VALUE(SUBSTITUTE(MID($A367,D367+D$2+1,E367-D367-D$2-1),",","."))</f>
        <v>0.55286521226989604</v>
      </c>
      <c r="X367" s="4">
        <f>VALUE(SUBSTITUTE(MID($A367,E367+E$2+1,F367-E367-E$2-1),",","."))</f>
        <v>0.90957602214449496</v>
      </c>
      <c r="Y367" s="4">
        <f>VALUE(SUBSTITUTE(MID($A367,F367+F$2+1,G367-F367-F$2-1),",","."))</f>
        <v>0.26127876916894399</v>
      </c>
      <c r="Z367" s="3">
        <f>VALUE(SUBSTITUTE(MID($A367,G367+G$2+1,H367-G367-G$2-1),",","."))</f>
        <v>39</v>
      </c>
      <c r="AA367" s="3">
        <f>VALUE(SUBSTITUTE(MID($A367,H367+H$2+1,I367-H367-H$2-1),",","."))</f>
        <v>0</v>
      </c>
      <c r="AB367" s="3">
        <f>VALUE(SUBSTITUTE(MID($A367,I367+I$2+1,J367-I367-I$2-1),",","."))</f>
        <v>101.5</v>
      </c>
      <c r="AC367" s="3">
        <f>VALUE(SUBSTITUTE(MID($A367,J367+J$2+1,K367-J367-J$2-1),",","."))</f>
        <v>5.15</v>
      </c>
      <c r="AD367" s="3">
        <f>VALUE(SUBSTITUTE(MID($A367,K367+K$2+1,L367-K367-K$2-1),",","."))</f>
        <v>13.32</v>
      </c>
      <c r="AE367" s="3">
        <f>VALUE(SUBSTITUTE(MID($A367,L367+L$2+1,M367-L367-L$2-1),",","."))</f>
        <v>0</v>
      </c>
      <c r="AF367" s="3">
        <f>VALUE(SUBSTITUTE(MID($A367,M367+M$2+1,N367-M367-M$2-1),",","."))</f>
        <v>0</v>
      </c>
      <c r="AG367" s="3">
        <f>VALUE(SUBSTITUTE(MID($A367,N367+N$2+1,O367-N367-N$2-1),",","."))</f>
        <v>4.2138419839401502</v>
      </c>
      <c r="AH367" t="str">
        <f>MID($A367,O367+O$2+1,P367-O367-O$2-1)</f>
        <v/>
      </c>
      <c r="AI367" s="8" t="str">
        <f>MID($A367,P367+P$2+1,Q367-P367-P$2-1)</f>
        <v>False</v>
      </c>
      <c r="AK367" t="b">
        <f t="shared" si="49"/>
        <v>1</v>
      </c>
    </row>
    <row r="368" spans="1:37" x14ac:dyDescent="0.35">
      <c r="A368" t="s">
        <v>4915</v>
      </c>
      <c r="B368">
        <f t="shared" si="51"/>
        <v>10</v>
      </c>
      <c r="C368">
        <f t="shared" si="51"/>
        <v>43</v>
      </c>
      <c r="D368">
        <f t="shared" si="51"/>
        <v>54</v>
      </c>
      <c r="E368">
        <f t="shared" si="51"/>
        <v>97</v>
      </c>
      <c r="F368">
        <f t="shared" si="51"/>
        <v>141</v>
      </c>
      <c r="G368">
        <f t="shared" si="51"/>
        <v>180</v>
      </c>
      <c r="H368">
        <f t="shared" si="52"/>
        <v>229</v>
      </c>
      <c r="I368">
        <f t="shared" si="52"/>
        <v>251</v>
      </c>
      <c r="J368">
        <f t="shared" si="52"/>
        <v>287</v>
      </c>
      <c r="K368">
        <f t="shared" si="52"/>
        <v>307</v>
      </c>
      <c r="L368">
        <f t="shared" si="52"/>
        <v>326</v>
      </c>
      <c r="M368">
        <f t="shared" si="52"/>
        <v>341</v>
      </c>
      <c r="N368">
        <f t="shared" si="44"/>
        <v>353</v>
      </c>
      <c r="O368">
        <f t="shared" si="44"/>
        <v>378</v>
      </c>
      <c r="P368">
        <f t="shared" si="44"/>
        <v>396</v>
      </c>
      <c r="Q368">
        <f t="shared" si="44"/>
        <v>422</v>
      </c>
      <c r="S368" t="str">
        <f t="shared" si="45"/>
        <v>30.11.2025</v>
      </c>
      <c r="T368" t="str">
        <f t="shared" si="46"/>
        <v>14:30:00</v>
      </c>
      <c r="U368" t="str">
        <f t="shared" si="48"/>
        <v>30.11.2025 14:30:00</v>
      </c>
      <c r="V368" s="9" t="str">
        <f>MID($A368,C368+C$2+1,D368-C368-C$2-1)</f>
        <v>0</v>
      </c>
      <c r="W368" s="4">
        <f>VALUE(SUBSTITUTE(MID($A368,D368+D$2+1,E368-D368-D$2-1),",","."))</f>
        <v>0.51012258842067604</v>
      </c>
      <c r="X368" s="4">
        <f>VALUE(SUBSTITUTE(MID($A368,E368+E$2+1,F368-E368-E$2-1),",","."))</f>
        <v>0.90957602214449496</v>
      </c>
      <c r="Y368" s="4">
        <f>VALUE(SUBSTITUTE(MID($A368,F368+F$2+1,G368-F368-F$2-1),",","."))</f>
        <v>0.23827226520155101</v>
      </c>
      <c r="Z368" s="3">
        <f>VALUE(SUBSTITUTE(MID($A368,G368+G$2+1,H368-G368-G$2-1),",","."))</f>
        <v>23.549999999999901</v>
      </c>
      <c r="AA368" s="3">
        <f>VALUE(SUBSTITUTE(MID($A368,H368+H$2+1,I368-H368-H$2-1),",","."))</f>
        <v>0</v>
      </c>
      <c r="AB368" s="3">
        <f>VALUE(SUBSTITUTE(MID($A368,I368+I$2+1,J368-I368-I$2-1),",","."))</f>
        <v>72.5</v>
      </c>
      <c r="AC368" s="3">
        <f>VALUE(SUBSTITUTE(MID($A368,J368+J$2+1,K368-J368-J$2-1),",","."))</f>
        <v>5.05</v>
      </c>
      <c r="AD368" s="3">
        <f>VALUE(SUBSTITUTE(MID($A368,K368+K$2+1,L368-K368-K$2-1),",","."))</f>
        <v>30.78</v>
      </c>
      <c r="AE368" s="3">
        <f>VALUE(SUBSTITUTE(MID($A368,L368+L$2+1,M368-L368-L$2-1),",","."))</f>
        <v>0</v>
      </c>
      <c r="AF368" s="3">
        <f>VALUE(SUBSTITUTE(MID($A368,M368+M$2+1,N368-M368-M$2-1),",","."))</f>
        <v>0</v>
      </c>
      <c r="AG368" s="3">
        <f>VALUE(SUBSTITUTE(MID($A368,N368+N$2+1,O368-N368-N$2-1),",","."))</f>
        <v>4.2138705038282298</v>
      </c>
      <c r="AH368" t="str">
        <f>MID($A368,O368+O$2+1,P368-O368-O$2-1)</f>
        <v/>
      </c>
      <c r="AI368" s="8" t="str">
        <f>MID($A368,P368+P$2+1,Q368-P368-P$2-1)</f>
        <v>False</v>
      </c>
      <c r="AK368" t="b">
        <f t="shared" si="49"/>
        <v>1</v>
      </c>
    </row>
    <row r="369" spans="1:37" x14ac:dyDescent="0.35">
      <c r="A369" t="s">
        <v>4916</v>
      </c>
      <c r="B369">
        <f t="shared" si="51"/>
        <v>10</v>
      </c>
      <c r="C369">
        <f t="shared" si="51"/>
        <v>43</v>
      </c>
      <c r="D369">
        <f t="shared" si="51"/>
        <v>54</v>
      </c>
      <c r="E369">
        <f t="shared" si="51"/>
        <v>98</v>
      </c>
      <c r="F369">
        <f t="shared" si="51"/>
        <v>142</v>
      </c>
      <c r="G369">
        <f t="shared" si="51"/>
        <v>180</v>
      </c>
      <c r="H369">
        <f t="shared" si="52"/>
        <v>229</v>
      </c>
      <c r="I369">
        <f t="shared" si="52"/>
        <v>251</v>
      </c>
      <c r="J369">
        <f t="shared" si="52"/>
        <v>287</v>
      </c>
      <c r="K369">
        <f t="shared" si="52"/>
        <v>307</v>
      </c>
      <c r="L369">
        <f t="shared" si="52"/>
        <v>326</v>
      </c>
      <c r="M369">
        <f t="shared" si="52"/>
        <v>341</v>
      </c>
      <c r="N369">
        <f t="shared" si="44"/>
        <v>353</v>
      </c>
      <c r="O369">
        <f t="shared" si="44"/>
        <v>378</v>
      </c>
      <c r="P369">
        <f t="shared" si="44"/>
        <v>396</v>
      </c>
      <c r="Q369">
        <f t="shared" si="44"/>
        <v>422</v>
      </c>
      <c r="S369" t="str">
        <f t="shared" si="45"/>
        <v>30.11.2025</v>
      </c>
      <c r="T369" t="str">
        <f t="shared" si="46"/>
        <v>14:45:00</v>
      </c>
      <c r="U369" t="str">
        <f t="shared" si="48"/>
        <v>30.11.2025 14:45:00</v>
      </c>
      <c r="V369" s="9" t="str">
        <f>MID($A369,C369+C$2+1,D369-C369-C$2-1)</f>
        <v>0</v>
      </c>
      <c r="W369" s="4">
        <f>VALUE(SUBSTITUTE(MID($A369,D369+D$2+1,E369-D369-D$2-1),",","."))</f>
        <v>0.46484727476292598</v>
      </c>
      <c r="X369" s="4">
        <f>VALUE(SUBSTITUTE(MID($A369,E369+E$2+1,F369-E369-E$2-1),",","."))</f>
        <v>0.90957602214449496</v>
      </c>
      <c r="Y369" s="4">
        <f>VALUE(SUBSTITUTE(MID($A369,F369+F$2+1,G369-F369-F$2-1),",","."))</f>
        <v>0.213118676865972</v>
      </c>
      <c r="Z369" s="3">
        <f>VALUE(SUBSTITUTE(MID($A369,G369+G$2+1,H369-G369-G$2-1),",","."))</f>
        <v>23.549999999999901</v>
      </c>
      <c r="AA369" s="3">
        <f>VALUE(SUBSTITUTE(MID($A369,H369+H$2+1,I369-H369-H$2-1),",","."))</f>
        <v>0</v>
      </c>
      <c r="AB369" s="3">
        <f>VALUE(SUBSTITUTE(MID($A369,I369+I$2+1,J369-I369-I$2-1),",","."))</f>
        <v>72.5</v>
      </c>
      <c r="AC369" s="3">
        <f>VALUE(SUBSTITUTE(MID($A369,J369+J$2+1,K369-J369-J$2-1),",","."))</f>
        <v>5.05</v>
      </c>
      <c r="AD369" s="3">
        <f>VALUE(SUBSTITUTE(MID($A369,K369+K$2+1,L369-K369-K$2-1),",","."))</f>
        <v>30.78</v>
      </c>
      <c r="AE369" s="3">
        <f>VALUE(SUBSTITUTE(MID($A369,L369+L$2+1,M369-L369-L$2-1),",","."))</f>
        <v>0</v>
      </c>
      <c r="AF369" s="3">
        <f>VALUE(SUBSTITUTE(MID($A369,M369+M$2+1,N369-M369-M$2-1),",","."))</f>
        <v>0</v>
      </c>
      <c r="AG369" s="3">
        <f>VALUE(SUBSTITUTE(MID($A369,N369+N$2+1,O369-N369-N$2-1),",","."))</f>
        <v>4.2138990237163103</v>
      </c>
      <c r="AH369" t="str">
        <f>MID($A369,O369+O$2+1,P369-O369-O$2-1)</f>
        <v/>
      </c>
      <c r="AI369" s="8" t="str">
        <f>MID($A369,P369+P$2+1,Q369-P369-P$2-1)</f>
        <v>False</v>
      </c>
      <c r="AK369" t="b">
        <f t="shared" si="49"/>
        <v>1</v>
      </c>
    </row>
    <row r="370" spans="1:37" x14ac:dyDescent="0.35">
      <c r="A370" t="s">
        <v>4917</v>
      </c>
      <c r="B370">
        <f t="shared" si="51"/>
        <v>10</v>
      </c>
      <c r="C370">
        <f t="shared" si="51"/>
        <v>43</v>
      </c>
      <c r="D370">
        <f t="shared" si="51"/>
        <v>54</v>
      </c>
      <c r="E370">
        <f t="shared" si="51"/>
        <v>98</v>
      </c>
      <c r="F370">
        <f t="shared" si="51"/>
        <v>142</v>
      </c>
      <c r="G370">
        <f t="shared" si="51"/>
        <v>181</v>
      </c>
      <c r="H370">
        <f t="shared" si="52"/>
        <v>230</v>
      </c>
      <c r="I370">
        <f t="shared" si="52"/>
        <v>252</v>
      </c>
      <c r="J370">
        <f t="shared" si="52"/>
        <v>288</v>
      </c>
      <c r="K370">
        <f t="shared" si="52"/>
        <v>308</v>
      </c>
      <c r="L370">
        <f t="shared" si="52"/>
        <v>327</v>
      </c>
      <c r="M370">
        <f t="shared" si="52"/>
        <v>342</v>
      </c>
      <c r="N370">
        <f t="shared" si="44"/>
        <v>354</v>
      </c>
      <c r="O370">
        <f t="shared" si="44"/>
        <v>379</v>
      </c>
      <c r="P370">
        <f t="shared" si="44"/>
        <v>397</v>
      </c>
      <c r="Q370">
        <f t="shared" si="44"/>
        <v>423</v>
      </c>
      <c r="S370" t="str">
        <f t="shared" si="45"/>
        <v>30.11.2025</v>
      </c>
      <c r="T370" t="str">
        <f t="shared" si="46"/>
        <v>15:00:00</v>
      </c>
      <c r="U370" t="str">
        <f t="shared" si="48"/>
        <v>30.11.2025 15:00:00</v>
      </c>
      <c r="V370" s="9" t="str">
        <f>MID($A370,C370+C$2+1,D370-C370-C$2-1)</f>
        <v>0</v>
      </c>
      <c r="W370" s="4">
        <f>VALUE(SUBSTITUTE(MID($A370,D370+D$2+1,E370-D370-D$2-1),",","."))</f>
        <v>0.417245706299325</v>
      </c>
      <c r="X370" s="4">
        <f>VALUE(SUBSTITUTE(MID($A370,E370+E$2+1,F370-E370-E$2-1),",","."))</f>
        <v>0.90957602214449496</v>
      </c>
      <c r="Y370" s="4">
        <f>VALUE(SUBSTITUTE(MID($A370,F370+F$2+1,G370-F370-F$2-1),",","."))</f>
        <v>0.185940981282677</v>
      </c>
      <c r="Z370" s="3">
        <f>VALUE(SUBSTITUTE(MID($A370,G370+G$2+1,H370-G370-G$2-1),",","."))</f>
        <v>23.549999999999901</v>
      </c>
      <c r="AA370" s="3">
        <f>VALUE(SUBSTITUTE(MID($A370,H370+H$2+1,I370-H370-H$2-1),",","."))</f>
        <v>0</v>
      </c>
      <c r="AB370" s="3">
        <f>VALUE(SUBSTITUTE(MID($A370,I370+I$2+1,J370-I370-I$2-1),",","."))</f>
        <v>72.5</v>
      </c>
      <c r="AC370" s="3">
        <f>VALUE(SUBSTITUTE(MID($A370,J370+J$2+1,K370-J370-J$2-1),",","."))</f>
        <v>5.05</v>
      </c>
      <c r="AD370" s="3">
        <f>VALUE(SUBSTITUTE(MID($A370,K370+K$2+1,L370-K370-K$2-1),",","."))</f>
        <v>30.78</v>
      </c>
      <c r="AE370" s="3">
        <f>VALUE(SUBSTITUTE(MID($A370,L370+L$2+1,M370-L370-L$2-1),",","."))</f>
        <v>0</v>
      </c>
      <c r="AF370" s="3">
        <f>VALUE(SUBSTITUTE(MID($A370,M370+M$2+1,N370-M370-M$2-1),",","."))</f>
        <v>0</v>
      </c>
      <c r="AG370" s="3">
        <f>VALUE(SUBSTITUTE(MID($A370,N370+N$2+1,O370-N370-N$2-1),",","."))</f>
        <v>4.2139275436043899</v>
      </c>
      <c r="AH370" t="str">
        <f>MID($A370,O370+O$2+1,P370-O370-O$2-1)</f>
        <v/>
      </c>
      <c r="AI370" s="8" t="str">
        <f>MID($A370,P370+P$2+1,Q370-P370-P$2-1)</f>
        <v>False</v>
      </c>
      <c r="AK370" t="b">
        <f t="shared" si="49"/>
        <v>1</v>
      </c>
    </row>
    <row r="371" spans="1:37" x14ac:dyDescent="0.35">
      <c r="A371" t="s">
        <v>4918</v>
      </c>
      <c r="B371">
        <f t="shared" si="51"/>
        <v>10</v>
      </c>
      <c r="C371">
        <f t="shared" si="51"/>
        <v>43</v>
      </c>
      <c r="D371">
        <f t="shared" si="51"/>
        <v>54</v>
      </c>
      <c r="E371">
        <f t="shared" si="51"/>
        <v>96</v>
      </c>
      <c r="F371">
        <f t="shared" si="51"/>
        <v>140</v>
      </c>
      <c r="G371">
        <f t="shared" si="51"/>
        <v>178</v>
      </c>
      <c r="H371">
        <f t="shared" si="52"/>
        <v>227</v>
      </c>
      <c r="I371">
        <f t="shared" si="52"/>
        <v>249</v>
      </c>
      <c r="J371">
        <f t="shared" si="52"/>
        <v>285</v>
      </c>
      <c r="K371">
        <f t="shared" si="52"/>
        <v>305</v>
      </c>
      <c r="L371">
        <f t="shared" si="52"/>
        <v>324</v>
      </c>
      <c r="M371">
        <f t="shared" si="52"/>
        <v>339</v>
      </c>
      <c r="N371">
        <f t="shared" si="44"/>
        <v>351</v>
      </c>
      <c r="O371">
        <f t="shared" si="44"/>
        <v>375</v>
      </c>
      <c r="P371">
        <f t="shared" si="44"/>
        <v>393</v>
      </c>
      <c r="Q371">
        <f t="shared" si="44"/>
        <v>419</v>
      </c>
      <c r="S371" t="str">
        <f t="shared" si="45"/>
        <v>30.11.2025</v>
      </c>
      <c r="T371" t="str">
        <f t="shared" si="46"/>
        <v>15:15:00</v>
      </c>
      <c r="U371" t="str">
        <f t="shared" si="48"/>
        <v>30.11.2025 15:15:00</v>
      </c>
      <c r="V371" s="9" t="str">
        <f>MID($A371,C371+C$2+1,D371-C371-C$2-1)</f>
        <v>0</v>
      </c>
      <c r="W371" s="4">
        <f>VALUE(SUBSTITUTE(MID($A371,D371+D$2+1,E371-D371-D$2-1),",","."))</f>
        <v>0.36754338237823397</v>
      </c>
      <c r="X371" s="4">
        <f>VALUE(SUBSTITUTE(MID($A371,E371+E$2+1,F371-E371-E$2-1),",","."))</f>
        <v>0.90957602214449496</v>
      </c>
      <c r="Y371" s="4">
        <f>VALUE(SUBSTITUTE(MID($A371,F371+F$2+1,G371-F371-F$2-1),",","."))</f>
        <v>0.156881892540506</v>
      </c>
      <c r="Z371" s="3">
        <f>VALUE(SUBSTITUTE(MID($A371,G371+G$2+1,H371-G371-G$2-1),",","."))</f>
        <v>23.549999999999901</v>
      </c>
      <c r="AA371" s="3">
        <f>VALUE(SUBSTITUTE(MID($A371,H371+H$2+1,I371-H371-H$2-1),",","."))</f>
        <v>0</v>
      </c>
      <c r="AB371" s="3">
        <f>VALUE(SUBSTITUTE(MID($A371,I371+I$2+1,J371-I371-I$2-1),",","."))</f>
        <v>72.5</v>
      </c>
      <c r="AC371" s="3">
        <f>VALUE(SUBSTITUTE(MID($A371,J371+J$2+1,K371-J371-J$2-1),",","."))</f>
        <v>5.05</v>
      </c>
      <c r="AD371" s="3">
        <f>VALUE(SUBSTITUTE(MID($A371,K371+K$2+1,L371-K371-K$2-1),",","."))</f>
        <v>30.78</v>
      </c>
      <c r="AE371" s="3">
        <f>VALUE(SUBSTITUTE(MID($A371,L371+L$2+1,M371-L371-L$2-1),",","."))</f>
        <v>0</v>
      </c>
      <c r="AF371" s="3">
        <f>VALUE(SUBSTITUTE(MID($A371,M371+M$2+1,N371-M371-M$2-1),",","."))</f>
        <v>0</v>
      </c>
      <c r="AG371" s="3">
        <f>VALUE(SUBSTITUTE(MID($A371,N371+N$2+1,O371-N371-N$2-1),",","."))</f>
        <v>4.2139560634924802</v>
      </c>
      <c r="AH371" t="str">
        <f>MID($A371,O371+O$2+1,P371-O371-O$2-1)</f>
        <v/>
      </c>
      <c r="AI371" s="8" t="str">
        <f>MID($A371,P371+P$2+1,Q371-P371-P$2-1)</f>
        <v>False</v>
      </c>
      <c r="AK371" t="b">
        <f t="shared" si="49"/>
        <v>1</v>
      </c>
    </row>
    <row r="372" spans="1:37" x14ac:dyDescent="0.35">
      <c r="A372" t="s">
        <v>4919</v>
      </c>
      <c r="B372">
        <f t="shared" si="51"/>
        <v>10</v>
      </c>
      <c r="C372">
        <f t="shared" si="51"/>
        <v>43</v>
      </c>
      <c r="D372">
        <f t="shared" si="51"/>
        <v>54</v>
      </c>
      <c r="E372">
        <f t="shared" si="51"/>
        <v>97</v>
      </c>
      <c r="F372">
        <f t="shared" si="51"/>
        <v>141</v>
      </c>
      <c r="G372">
        <f t="shared" si="51"/>
        <v>180</v>
      </c>
      <c r="H372">
        <f t="shared" si="52"/>
        <v>229</v>
      </c>
      <c r="I372">
        <f t="shared" si="52"/>
        <v>251</v>
      </c>
      <c r="J372">
        <f t="shared" si="52"/>
        <v>285</v>
      </c>
      <c r="K372">
        <f t="shared" si="52"/>
        <v>304</v>
      </c>
      <c r="L372">
        <f t="shared" si="52"/>
        <v>336</v>
      </c>
      <c r="M372">
        <f t="shared" si="52"/>
        <v>351</v>
      </c>
      <c r="N372">
        <f t="shared" si="44"/>
        <v>363</v>
      </c>
      <c r="O372">
        <f t="shared" si="44"/>
        <v>388</v>
      </c>
      <c r="P372">
        <f t="shared" si="44"/>
        <v>406</v>
      </c>
      <c r="Q372">
        <f t="shared" si="44"/>
        <v>432</v>
      </c>
      <c r="S372" t="str">
        <f t="shared" si="45"/>
        <v>30.11.2025</v>
      </c>
      <c r="T372" t="str">
        <f t="shared" si="46"/>
        <v>15:30:00</v>
      </c>
      <c r="U372" t="str">
        <f t="shared" si="48"/>
        <v>30.11.2025 15:30:00</v>
      </c>
      <c r="V372" s="9" t="str">
        <f>MID($A372,C372+C$2+1,D372-C372-C$2-1)</f>
        <v>0</v>
      </c>
      <c r="W372" s="4">
        <f>VALUE(SUBSTITUTE(MID($A372,D372+D$2+1,E372-D372-D$2-1),",","."))</f>
        <v>0.315993613738769</v>
      </c>
      <c r="X372" s="4">
        <f>VALUE(SUBSTITUTE(MID($A372,E372+E$2+1,F372-E372-E$2-1),",","."))</f>
        <v>0.90957602214449496</v>
      </c>
      <c r="Y372" s="4">
        <f>VALUE(SUBSTITUTE(MID($A372,F372+F$2+1,G372-F372-F$2-1),",","."))</f>
        <v>0.12611505266942599</v>
      </c>
      <c r="Z372" s="3">
        <f>VALUE(SUBSTITUTE(MID($A372,G372+G$2+1,H372-G372-G$2-1),",","."))</f>
        <v>10.649999999999901</v>
      </c>
      <c r="AA372" s="3">
        <f>VALUE(SUBSTITUTE(MID($A372,H372+H$2+1,I372-H372-H$2-1),",","."))</f>
        <v>0</v>
      </c>
      <c r="AB372" s="3">
        <f>VALUE(SUBSTITUTE(MID($A372,I372+I$2+1,J372-I372-I$2-1),",","."))</f>
        <v>36</v>
      </c>
      <c r="AC372" s="3">
        <f>VALUE(SUBSTITUTE(MID($A372,J372+J$2+1,K372-J372-J$2-1),",","."))</f>
        <v>4.9000000000000004</v>
      </c>
      <c r="AD372" s="3">
        <f>VALUE(SUBSTITUTE(MID($A372,K372+K$2+1,L372-K372-K$2-1),",","."))</f>
        <v>42.48</v>
      </c>
      <c r="AE372" s="3">
        <f>VALUE(SUBSTITUTE(MID($A372,L372+L$2+1,M372-L372-L$2-1),",","."))</f>
        <v>0</v>
      </c>
      <c r="AF372" s="3">
        <f>VALUE(SUBSTITUTE(MID($A372,M372+M$2+1,N372-M372-M$2-1),",","."))</f>
        <v>0</v>
      </c>
      <c r="AG372" s="3">
        <f>VALUE(SUBSTITUTE(MID($A372,N372+N$2+1,O372-N372-N$2-1),",","."))</f>
        <v>4.2139845833805598</v>
      </c>
      <c r="AH372" t="str">
        <f>MID($A372,O372+O$2+1,P372-O372-O$2-1)</f>
        <v/>
      </c>
      <c r="AI372" s="8" t="str">
        <f>MID($A372,P372+P$2+1,Q372-P372-P$2-1)</f>
        <v>False</v>
      </c>
      <c r="AK372" t="b">
        <f t="shared" si="49"/>
        <v>1</v>
      </c>
    </row>
    <row r="373" spans="1:37" x14ac:dyDescent="0.35">
      <c r="A373" t="s">
        <v>4920</v>
      </c>
      <c r="B373">
        <f t="shared" si="51"/>
        <v>10</v>
      </c>
      <c r="C373">
        <f t="shared" si="51"/>
        <v>43</v>
      </c>
      <c r="D373">
        <f t="shared" si="51"/>
        <v>54</v>
      </c>
      <c r="E373">
        <f t="shared" si="51"/>
        <v>80</v>
      </c>
      <c r="F373">
        <f t="shared" si="51"/>
        <v>124</v>
      </c>
      <c r="G373">
        <f t="shared" si="51"/>
        <v>163</v>
      </c>
      <c r="H373">
        <f t="shared" si="52"/>
        <v>212</v>
      </c>
      <c r="I373">
        <f t="shared" si="52"/>
        <v>234</v>
      </c>
      <c r="J373">
        <f t="shared" si="52"/>
        <v>268</v>
      </c>
      <c r="K373">
        <f t="shared" si="52"/>
        <v>287</v>
      </c>
      <c r="L373">
        <f t="shared" si="52"/>
        <v>319</v>
      </c>
      <c r="M373">
        <f t="shared" si="52"/>
        <v>334</v>
      </c>
      <c r="N373">
        <f t="shared" si="44"/>
        <v>346</v>
      </c>
      <c r="O373">
        <f t="shared" si="44"/>
        <v>371</v>
      </c>
      <c r="P373">
        <f t="shared" si="44"/>
        <v>389</v>
      </c>
      <c r="Q373">
        <f t="shared" si="44"/>
        <v>415</v>
      </c>
      <c r="S373" t="str">
        <f t="shared" si="45"/>
        <v>30.11.2025</v>
      </c>
      <c r="T373" t="str">
        <f t="shared" si="46"/>
        <v>15:45:00</v>
      </c>
      <c r="U373" t="str">
        <f t="shared" si="48"/>
        <v>30.11.2025 15:45:00</v>
      </c>
      <c r="V373" s="9" t="str">
        <f>MID($A373,C373+C$2+1,D373-C373-C$2-1)</f>
        <v>0</v>
      </c>
      <c r="W373" s="4">
        <f>VALUE(SUBSTITUTE(MID($A373,D373+D$2+1,E373-D373-D$2-1),",","."))</f>
        <v>0</v>
      </c>
      <c r="X373" s="4">
        <f>VALUE(SUBSTITUTE(MID($A373,E373+E$2+1,F373-E373-E$2-1),",","."))</f>
        <v>0.90957602214449496</v>
      </c>
      <c r="Y373" s="4">
        <f>VALUE(SUBSTITUTE(MID($A373,F373+F$2+1,G373-F373-F$2-1),",","."))</f>
        <v>9.3874415257741595E-2</v>
      </c>
      <c r="Z373" s="3">
        <f>VALUE(SUBSTITUTE(MID($A373,G373+G$2+1,H373-G373-G$2-1),",","."))</f>
        <v>10.649999999999901</v>
      </c>
      <c r="AA373" s="3">
        <f>VALUE(SUBSTITUTE(MID($A373,H373+H$2+1,I373-H373-H$2-1),",","."))</f>
        <v>0</v>
      </c>
      <c r="AB373" s="3">
        <f>VALUE(SUBSTITUTE(MID($A373,I373+I$2+1,J373-I373-I$2-1),",","."))</f>
        <v>36</v>
      </c>
      <c r="AC373" s="3">
        <f>VALUE(SUBSTITUTE(MID($A373,J373+J$2+1,K373-J373-J$2-1),",","."))</f>
        <v>4.9000000000000004</v>
      </c>
      <c r="AD373" s="3">
        <f>VALUE(SUBSTITUTE(MID($A373,K373+K$2+1,L373-K373-K$2-1),",","."))</f>
        <v>42.48</v>
      </c>
      <c r="AE373" s="3">
        <f>VALUE(SUBSTITUTE(MID($A373,L373+L$2+1,M373-L373-L$2-1),",","."))</f>
        <v>0</v>
      </c>
      <c r="AF373" s="3">
        <f>VALUE(SUBSTITUTE(MID($A373,M373+M$2+1,N373-M373-M$2-1),",","."))</f>
        <v>0</v>
      </c>
      <c r="AG373" s="3">
        <f>VALUE(SUBSTITUTE(MID($A373,N373+N$2+1,O373-N373-N$2-1),",","."))</f>
        <v>4.2140131032686403</v>
      </c>
      <c r="AH373" t="str">
        <f>MID($A373,O373+O$2+1,P373-O373-O$2-1)</f>
        <v/>
      </c>
      <c r="AI373" s="8" t="str">
        <f>MID($A373,P373+P$2+1,Q373-P373-P$2-1)</f>
        <v>False</v>
      </c>
      <c r="AK373" t="b">
        <f t="shared" si="49"/>
        <v>1</v>
      </c>
    </row>
    <row r="374" spans="1:37" x14ac:dyDescent="0.35">
      <c r="A374" t="s">
        <v>4921</v>
      </c>
      <c r="B374">
        <f t="shared" si="51"/>
        <v>10</v>
      </c>
      <c r="C374">
        <f t="shared" si="51"/>
        <v>43</v>
      </c>
      <c r="D374">
        <f t="shared" si="51"/>
        <v>54</v>
      </c>
      <c r="E374">
        <f t="shared" si="51"/>
        <v>80</v>
      </c>
      <c r="F374">
        <f t="shared" si="51"/>
        <v>124</v>
      </c>
      <c r="G374">
        <f t="shared" si="51"/>
        <v>163</v>
      </c>
      <c r="H374">
        <f t="shared" si="52"/>
        <v>212</v>
      </c>
      <c r="I374">
        <f t="shared" si="52"/>
        <v>234</v>
      </c>
      <c r="J374">
        <f t="shared" si="52"/>
        <v>268</v>
      </c>
      <c r="K374">
        <f t="shared" si="52"/>
        <v>287</v>
      </c>
      <c r="L374">
        <f t="shared" si="52"/>
        <v>319</v>
      </c>
      <c r="M374">
        <f t="shared" si="52"/>
        <v>334</v>
      </c>
      <c r="N374">
        <f t="shared" si="44"/>
        <v>346</v>
      </c>
      <c r="O374">
        <f t="shared" si="44"/>
        <v>371</v>
      </c>
      <c r="P374">
        <f t="shared" si="44"/>
        <v>389</v>
      </c>
      <c r="Q374">
        <f t="shared" si="44"/>
        <v>415</v>
      </c>
      <c r="S374" t="str">
        <f t="shared" si="45"/>
        <v>30.11.2025</v>
      </c>
      <c r="T374" t="str">
        <f t="shared" si="46"/>
        <v>16:00:00</v>
      </c>
      <c r="U374" t="str">
        <f t="shared" si="48"/>
        <v>30.11.2025 16:00:00</v>
      </c>
      <c r="V374" s="9" t="str">
        <f>MID($A374,C374+C$2+1,D374-C374-C$2-1)</f>
        <v>0</v>
      </c>
      <c r="W374" s="4">
        <f>VALUE(SUBSTITUTE(MID($A374,D374+D$2+1,E374-D374-D$2-1),",","."))</f>
        <v>0</v>
      </c>
      <c r="X374" s="4">
        <f>VALUE(SUBSTITUTE(MID($A374,E374+E$2+1,F374-E374-E$2-1),",","."))</f>
        <v>0.90957602214449496</v>
      </c>
      <c r="Y374" s="4">
        <f>VALUE(SUBSTITUTE(MID($A374,F374+F$2+1,G374-F374-F$2-1),",","."))</f>
        <v>6.0542418757560203E-2</v>
      </c>
      <c r="Z374" s="3">
        <f>VALUE(SUBSTITUTE(MID($A374,G374+G$2+1,H374-G374-G$2-1),",","."))</f>
        <v>10.649999999999901</v>
      </c>
      <c r="AA374" s="3">
        <f>VALUE(SUBSTITUTE(MID($A374,H374+H$2+1,I374-H374-H$2-1),",","."))</f>
        <v>0</v>
      </c>
      <c r="AB374" s="3">
        <f>VALUE(SUBSTITUTE(MID($A374,I374+I$2+1,J374-I374-I$2-1),",","."))</f>
        <v>36</v>
      </c>
      <c r="AC374" s="3">
        <f>VALUE(SUBSTITUTE(MID($A374,J374+J$2+1,K374-J374-J$2-1),",","."))</f>
        <v>4.9000000000000004</v>
      </c>
      <c r="AD374" s="3">
        <f>VALUE(SUBSTITUTE(MID($A374,K374+K$2+1,L374-K374-K$2-1),",","."))</f>
        <v>42.48</v>
      </c>
      <c r="AE374" s="3">
        <f>VALUE(SUBSTITUTE(MID($A374,L374+L$2+1,M374-L374-L$2-1),",","."))</f>
        <v>0</v>
      </c>
      <c r="AF374" s="3">
        <f>VALUE(SUBSTITUTE(MID($A374,M374+M$2+1,N374-M374-M$2-1),",","."))</f>
        <v>0</v>
      </c>
      <c r="AG374" s="3">
        <f>VALUE(SUBSTITUTE(MID($A374,N374+N$2+1,O374-N374-N$2-1),",","."))</f>
        <v>4.2140416231567199</v>
      </c>
      <c r="AH374" t="str">
        <f>MID($A374,O374+O$2+1,P374-O374-O$2-1)</f>
        <v/>
      </c>
      <c r="AI374" s="8" t="str">
        <f>MID($A374,P374+P$2+1,Q374-P374-P$2-1)</f>
        <v>False</v>
      </c>
      <c r="AK374" t="b">
        <f t="shared" si="49"/>
        <v>1</v>
      </c>
    </row>
    <row r="375" spans="1:37" x14ac:dyDescent="0.35">
      <c r="A375" t="s">
        <v>4922</v>
      </c>
      <c r="B375">
        <f t="shared" si="51"/>
        <v>10</v>
      </c>
      <c r="C375">
        <f t="shared" si="51"/>
        <v>43</v>
      </c>
      <c r="D375">
        <f t="shared" si="51"/>
        <v>54</v>
      </c>
      <c r="E375">
        <f t="shared" si="51"/>
        <v>80</v>
      </c>
      <c r="F375">
        <f t="shared" si="51"/>
        <v>124</v>
      </c>
      <c r="G375">
        <f t="shared" si="51"/>
        <v>163</v>
      </c>
      <c r="H375">
        <f t="shared" si="52"/>
        <v>212</v>
      </c>
      <c r="I375">
        <f t="shared" si="52"/>
        <v>234</v>
      </c>
      <c r="J375">
        <f t="shared" si="52"/>
        <v>268</v>
      </c>
      <c r="K375">
        <f t="shared" si="52"/>
        <v>287</v>
      </c>
      <c r="L375">
        <f t="shared" si="52"/>
        <v>319</v>
      </c>
      <c r="M375">
        <f t="shared" si="52"/>
        <v>334</v>
      </c>
      <c r="N375">
        <f t="shared" si="44"/>
        <v>346</v>
      </c>
      <c r="O375">
        <f t="shared" si="44"/>
        <v>371</v>
      </c>
      <c r="P375">
        <f t="shared" si="44"/>
        <v>389</v>
      </c>
      <c r="Q375">
        <f t="shared" ref="Q375:Q438" si="53">FIND(Q$1,$A375)</f>
        <v>415</v>
      </c>
      <c r="S375" t="str">
        <f t="shared" si="45"/>
        <v>30.11.2025</v>
      </c>
      <c r="T375" t="str">
        <f t="shared" si="46"/>
        <v>16:15:00</v>
      </c>
      <c r="U375" t="str">
        <f t="shared" si="48"/>
        <v>30.11.2025 16:15:00</v>
      </c>
      <c r="V375" s="9" t="str">
        <f>MID($A375,C375+C$2+1,D375-C375-C$2-1)</f>
        <v>0</v>
      </c>
      <c r="W375" s="4">
        <f>VALUE(SUBSTITUTE(MID($A375,D375+D$2+1,E375-D375-D$2-1),",","."))</f>
        <v>0</v>
      </c>
      <c r="X375" s="4">
        <f>VALUE(SUBSTITUTE(MID($A375,E375+E$2+1,F375-E375-E$2-1),",","."))</f>
        <v>0.90957602214449496</v>
      </c>
      <c r="Y375" s="4">
        <f>VALUE(SUBSTITUTE(MID($A375,F375+F$2+1,G375-F375-F$2-1),",","."))</f>
        <v>2.6952923045910099E-2</v>
      </c>
      <c r="Z375" s="3">
        <f>VALUE(SUBSTITUTE(MID($A375,G375+G$2+1,H375-G375-G$2-1),",","."))</f>
        <v>10.649999999999901</v>
      </c>
      <c r="AA375" s="3">
        <f>VALUE(SUBSTITUTE(MID($A375,H375+H$2+1,I375-H375-H$2-1),",","."))</f>
        <v>0</v>
      </c>
      <c r="AB375" s="3">
        <f>VALUE(SUBSTITUTE(MID($A375,I375+I$2+1,J375-I375-I$2-1),",","."))</f>
        <v>36</v>
      </c>
      <c r="AC375" s="3">
        <f>VALUE(SUBSTITUTE(MID($A375,J375+J$2+1,K375-J375-J$2-1),",","."))</f>
        <v>4.9000000000000004</v>
      </c>
      <c r="AD375" s="3">
        <f>VALUE(SUBSTITUTE(MID($A375,K375+K$2+1,L375-K375-K$2-1),",","."))</f>
        <v>42.48</v>
      </c>
      <c r="AE375" s="3">
        <f>VALUE(SUBSTITUTE(MID($A375,L375+L$2+1,M375-L375-L$2-1),",","."))</f>
        <v>0</v>
      </c>
      <c r="AF375" s="3">
        <f>VALUE(SUBSTITUTE(MID($A375,M375+M$2+1,N375-M375-M$2-1),",","."))</f>
        <v>0</v>
      </c>
      <c r="AG375" s="3">
        <f>VALUE(SUBSTITUTE(MID($A375,N375+N$2+1,O375-N375-N$2-1),",","."))</f>
        <v>4.2140701430448004</v>
      </c>
      <c r="AH375" t="str">
        <f>MID($A375,O375+O$2+1,P375-O375-O$2-1)</f>
        <v/>
      </c>
      <c r="AI375" s="8" t="str">
        <f>MID($A375,P375+P$2+1,Q375-P375-P$2-1)</f>
        <v>False</v>
      </c>
      <c r="AK375" t="b">
        <f t="shared" si="49"/>
        <v>1</v>
      </c>
    </row>
    <row r="376" spans="1:37" x14ac:dyDescent="0.35">
      <c r="A376" t="s">
        <v>4923</v>
      </c>
      <c r="B376">
        <f t="shared" si="51"/>
        <v>10</v>
      </c>
      <c r="C376">
        <f t="shared" si="51"/>
        <v>43</v>
      </c>
      <c r="D376">
        <f t="shared" si="51"/>
        <v>54</v>
      </c>
      <c r="E376">
        <f t="shared" si="51"/>
        <v>80</v>
      </c>
      <c r="F376">
        <f t="shared" si="51"/>
        <v>124</v>
      </c>
      <c r="G376">
        <f t="shared" si="51"/>
        <v>145</v>
      </c>
      <c r="H376">
        <f t="shared" si="52"/>
        <v>177</v>
      </c>
      <c r="I376">
        <f t="shared" si="52"/>
        <v>199</v>
      </c>
      <c r="J376">
        <f t="shared" si="52"/>
        <v>234</v>
      </c>
      <c r="K376">
        <f t="shared" si="52"/>
        <v>253</v>
      </c>
      <c r="L376">
        <f t="shared" si="52"/>
        <v>272</v>
      </c>
      <c r="M376">
        <f t="shared" si="52"/>
        <v>287</v>
      </c>
      <c r="N376">
        <f t="shared" si="52"/>
        <v>299</v>
      </c>
      <c r="O376">
        <f t="shared" si="52"/>
        <v>324</v>
      </c>
      <c r="P376">
        <f t="shared" si="52"/>
        <v>342</v>
      </c>
      <c r="Q376">
        <f t="shared" si="53"/>
        <v>368</v>
      </c>
      <c r="S376" t="str">
        <f t="shared" ref="S376:S439" si="54">LEFT(U376,10)</f>
        <v>30.11.2025</v>
      </c>
      <c r="T376" t="str">
        <f t="shared" ref="T376:T439" si="55">MID(U376,12,8)</f>
        <v>16:30:00</v>
      </c>
      <c r="U376" t="str">
        <f t="shared" si="48"/>
        <v>30.11.2025 16:30:00</v>
      </c>
      <c r="V376" s="9" t="str">
        <f>MID($A376,C376+C$2+1,D376-C376-C$2-1)</f>
        <v>0</v>
      </c>
      <c r="W376" s="4">
        <f>VALUE(SUBSTITUTE(MID($A376,D376+D$2+1,E376-D376-D$2-1),",","."))</f>
        <v>0</v>
      </c>
      <c r="X376" s="4">
        <f>VALUE(SUBSTITUTE(MID($A376,E376+E$2+1,F376-E376-E$2-1),",","."))</f>
        <v>0.90957602214449496</v>
      </c>
      <c r="Y376" s="4">
        <f>VALUE(SUBSTITUTE(MID($A376,F376+F$2+1,G376-F376-F$2-1),",","."))</f>
        <v>0</v>
      </c>
      <c r="Z376" s="3">
        <f>VALUE(SUBSTITUTE(MID($A376,G376+G$2+1,H376-G376-G$2-1),",","."))</f>
        <v>0</v>
      </c>
      <c r="AA376" s="3">
        <f>VALUE(SUBSTITUTE(MID($A376,H376+H$2+1,I376-H376-H$2-1),",","."))</f>
        <v>0</v>
      </c>
      <c r="AB376" s="3">
        <f>VALUE(SUBSTITUTE(MID($A376,I376+I$2+1,J376-I376-I$2-1),",","."))</f>
        <v>6.5</v>
      </c>
      <c r="AC376" s="3">
        <f>VALUE(SUBSTITUTE(MID($A376,J376+J$2+1,K376-J376-J$2-1),",","."))</f>
        <v>4.4000000000000004</v>
      </c>
      <c r="AD376" s="3">
        <f>VALUE(SUBSTITUTE(MID($A376,K376+K$2+1,L376-K376-K$2-1),",","."))</f>
        <v>40.86</v>
      </c>
      <c r="AE376" s="3">
        <f>VALUE(SUBSTITUTE(MID($A376,L376+L$2+1,M376-L376-L$2-1),",","."))</f>
        <v>0</v>
      </c>
      <c r="AF376" s="3">
        <f>VALUE(SUBSTITUTE(MID($A376,M376+M$2+1,N376-M376-M$2-1),",","."))</f>
        <v>0</v>
      </c>
      <c r="AG376" s="3">
        <f>VALUE(SUBSTITUTE(MID($A376,N376+N$2+1,O376-N376-N$2-1),",","."))</f>
        <v>4.21409866293288</v>
      </c>
      <c r="AH376" t="str">
        <f>MID($A376,O376+O$2+1,P376-O376-O$2-1)</f>
        <v/>
      </c>
      <c r="AI376" s="8" t="str">
        <f>MID($A376,P376+P$2+1,Q376-P376-P$2-1)</f>
        <v>False</v>
      </c>
      <c r="AK376" t="b">
        <f t="shared" si="49"/>
        <v>1</v>
      </c>
    </row>
    <row r="377" spans="1:37" x14ac:dyDescent="0.35">
      <c r="A377" t="s">
        <v>4924</v>
      </c>
      <c r="B377">
        <f t="shared" si="51"/>
        <v>10</v>
      </c>
      <c r="C377">
        <f t="shared" si="51"/>
        <v>43</v>
      </c>
      <c r="D377">
        <f t="shared" si="51"/>
        <v>54</v>
      </c>
      <c r="E377">
        <f t="shared" si="51"/>
        <v>80</v>
      </c>
      <c r="F377">
        <f t="shared" si="51"/>
        <v>124</v>
      </c>
      <c r="G377">
        <f t="shared" si="51"/>
        <v>145</v>
      </c>
      <c r="H377">
        <f t="shared" si="52"/>
        <v>177</v>
      </c>
      <c r="I377">
        <f t="shared" si="52"/>
        <v>199</v>
      </c>
      <c r="J377">
        <f t="shared" si="52"/>
        <v>234</v>
      </c>
      <c r="K377">
        <f t="shared" si="52"/>
        <v>253</v>
      </c>
      <c r="L377">
        <f t="shared" si="52"/>
        <v>272</v>
      </c>
      <c r="M377">
        <f t="shared" si="52"/>
        <v>287</v>
      </c>
      <c r="N377">
        <f t="shared" si="52"/>
        <v>299</v>
      </c>
      <c r="O377">
        <f t="shared" si="52"/>
        <v>324</v>
      </c>
      <c r="P377">
        <f t="shared" si="52"/>
        <v>342</v>
      </c>
      <c r="Q377">
        <f t="shared" si="53"/>
        <v>368</v>
      </c>
      <c r="S377" t="str">
        <f t="shared" si="54"/>
        <v>30.11.2025</v>
      </c>
      <c r="T377" t="str">
        <f t="shared" si="55"/>
        <v>16:45:00</v>
      </c>
      <c r="U377" t="str">
        <f t="shared" si="48"/>
        <v>30.11.2025 16:45:00</v>
      </c>
      <c r="V377" s="9" t="str">
        <f>MID($A377,C377+C$2+1,D377-C377-C$2-1)</f>
        <v>0</v>
      </c>
      <c r="W377" s="4">
        <f>VALUE(SUBSTITUTE(MID($A377,D377+D$2+1,E377-D377-D$2-1),",","."))</f>
        <v>0</v>
      </c>
      <c r="X377" s="4">
        <f>VALUE(SUBSTITUTE(MID($A377,E377+E$2+1,F377-E377-E$2-1),",","."))</f>
        <v>0.90957602214449496</v>
      </c>
      <c r="Y377" s="4">
        <f>VALUE(SUBSTITUTE(MID($A377,F377+F$2+1,G377-F377-F$2-1),",","."))</f>
        <v>0</v>
      </c>
      <c r="Z377" s="3">
        <f>VALUE(SUBSTITUTE(MID($A377,G377+G$2+1,H377-G377-G$2-1),",","."))</f>
        <v>0</v>
      </c>
      <c r="AA377" s="3">
        <f>VALUE(SUBSTITUTE(MID($A377,H377+H$2+1,I377-H377-H$2-1),",","."))</f>
        <v>0</v>
      </c>
      <c r="AB377" s="3">
        <f>VALUE(SUBSTITUTE(MID($A377,I377+I$2+1,J377-I377-I$2-1),",","."))</f>
        <v>6.5</v>
      </c>
      <c r="AC377" s="3">
        <f>VALUE(SUBSTITUTE(MID($A377,J377+J$2+1,K377-J377-J$2-1),",","."))</f>
        <v>4.4000000000000004</v>
      </c>
      <c r="AD377" s="3">
        <f>VALUE(SUBSTITUTE(MID($A377,K377+K$2+1,L377-K377-K$2-1),",","."))</f>
        <v>40.86</v>
      </c>
      <c r="AE377" s="3">
        <f>VALUE(SUBSTITUTE(MID($A377,L377+L$2+1,M377-L377-L$2-1),",","."))</f>
        <v>0</v>
      </c>
      <c r="AF377" s="3">
        <f>VALUE(SUBSTITUTE(MID($A377,M377+M$2+1,N377-M377-M$2-1),",","."))</f>
        <v>0</v>
      </c>
      <c r="AG377" s="3">
        <f>VALUE(SUBSTITUTE(MID($A377,N377+N$2+1,O377-N377-N$2-1),",","."))</f>
        <v>4.2141271828209597</v>
      </c>
      <c r="AH377" t="str">
        <f>MID($A377,O377+O$2+1,P377-O377-O$2-1)</f>
        <v/>
      </c>
      <c r="AI377" s="8" t="str">
        <f>MID($A377,P377+P$2+1,Q377-P377-P$2-1)</f>
        <v>False</v>
      </c>
      <c r="AK377" t="b">
        <f t="shared" si="49"/>
        <v>1</v>
      </c>
    </row>
    <row r="378" spans="1:37" x14ac:dyDescent="0.35">
      <c r="A378" t="s">
        <v>4925</v>
      </c>
      <c r="B378">
        <f t="shared" si="51"/>
        <v>10</v>
      </c>
      <c r="C378">
        <f t="shared" si="51"/>
        <v>43</v>
      </c>
      <c r="D378">
        <f t="shared" si="51"/>
        <v>54</v>
      </c>
      <c r="E378">
        <f t="shared" si="51"/>
        <v>80</v>
      </c>
      <c r="F378">
        <f t="shared" si="51"/>
        <v>124</v>
      </c>
      <c r="G378">
        <f t="shared" si="51"/>
        <v>145</v>
      </c>
      <c r="H378">
        <f t="shared" si="52"/>
        <v>177</v>
      </c>
      <c r="I378">
        <f t="shared" si="52"/>
        <v>199</v>
      </c>
      <c r="J378">
        <f t="shared" si="52"/>
        <v>234</v>
      </c>
      <c r="K378">
        <f t="shared" si="52"/>
        <v>253</v>
      </c>
      <c r="L378">
        <f t="shared" si="52"/>
        <v>272</v>
      </c>
      <c r="M378">
        <f t="shared" si="52"/>
        <v>287</v>
      </c>
      <c r="N378">
        <f t="shared" si="52"/>
        <v>299</v>
      </c>
      <c r="O378">
        <f t="shared" si="52"/>
        <v>324</v>
      </c>
      <c r="P378">
        <f t="shared" si="52"/>
        <v>342</v>
      </c>
      <c r="Q378">
        <f t="shared" si="53"/>
        <v>368</v>
      </c>
      <c r="S378" t="str">
        <f t="shared" si="54"/>
        <v>30.11.2025</v>
      </c>
      <c r="T378" t="str">
        <f t="shared" si="55"/>
        <v>17:00:00</v>
      </c>
      <c r="U378" t="str">
        <f t="shared" si="48"/>
        <v>30.11.2025 17:00:00</v>
      </c>
      <c r="V378" s="9" t="str">
        <f>MID($A378,C378+C$2+1,D378-C378-C$2-1)</f>
        <v>0</v>
      </c>
      <c r="W378" s="4">
        <f>VALUE(SUBSTITUTE(MID($A378,D378+D$2+1,E378-D378-D$2-1),",","."))</f>
        <v>0</v>
      </c>
      <c r="X378" s="4">
        <f>VALUE(SUBSTITUTE(MID($A378,E378+E$2+1,F378-E378-E$2-1),",","."))</f>
        <v>0.90957602214449496</v>
      </c>
      <c r="Y378" s="4">
        <f>VALUE(SUBSTITUTE(MID($A378,F378+F$2+1,G378-F378-F$2-1),",","."))</f>
        <v>0</v>
      </c>
      <c r="Z378" s="3">
        <f>VALUE(SUBSTITUTE(MID($A378,G378+G$2+1,H378-G378-G$2-1),",","."))</f>
        <v>0</v>
      </c>
      <c r="AA378" s="3">
        <f>VALUE(SUBSTITUTE(MID($A378,H378+H$2+1,I378-H378-H$2-1),",","."))</f>
        <v>0</v>
      </c>
      <c r="AB378" s="3">
        <f>VALUE(SUBSTITUTE(MID($A378,I378+I$2+1,J378-I378-I$2-1),",","."))</f>
        <v>6.5</v>
      </c>
      <c r="AC378" s="3">
        <f>VALUE(SUBSTITUTE(MID($A378,J378+J$2+1,K378-J378-J$2-1),",","."))</f>
        <v>4.4000000000000004</v>
      </c>
      <c r="AD378" s="3">
        <f>VALUE(SUBSTITUTE(MID($A378,K378+K$2+1,L378-K378-K$2-1),",","."))</f>
        <v>40.86</v>
      </c>
      <c r="AE378" s="3">
        <f>VALUE(SUBSTITUTE(MID($A378,L378+L$2+1,M378-L378-L$2-1),",","."))</f>
        <v>0</v>
      </c>
      <c r="AF378" s="3">
        <f>VALUE(SUBSTITUTE(MID($A378,M378+M$2+1,N378-M378-M$2-1),",","."))</f>
        <v>0</v>
      </c>
      <c r="AG378" s="3">
        <f>VALUE(SUBSTITUTE(MID($A378,N378+N$2+1,O378-N378-N$2-1),",","."))</f>
        <v>4.2141557027090499</v>
      </c>
      <c r="AH378" t="str">
        <f>MID($A378,O378+O$2+1,P378-O378-O$2-1)</f>
        <v/>
      </c>
      <c r="AI378" s="8" t="str">
        <f>MID($A378,P378+P$2+1,Q378-P378-P$2-1)</f>
        <v>False</v>
      </c>
      <c r="AK378" t="b">
        <f t="shared" si="49"/>
        <v>1</v>
      </c>
    </row>
    <row r="379" spans="1:37" x14ac:dyDescent="0.35">
      <c r="A379" t="s">
        <v>4926</v>
      </c>
      <c r="B379">
        <f t="shared" si="51"/>
        <v>10</v>
      </c>
      <c r="C379">
        <f t="shared" si="51"/>
        <v>43</v>
      </c>
      <c r="D379">
        <f t="shared" si="51"/>
        <v>54</v>
      </c>
      <c r="E379">
        <f t="shared" si="51"/>
        <v>80</v>
      </c>
      <c r="F379">
        <f t="shared" si="51"/>
        <v>124</v>
      </c>
      <c r="G379">
        <f t="shared" si="51"/>
        <v>145</v>
      </c>
      <c r="H379">
        <f t="shared" si="52"/>
        <v>177</v>
      </c>
      <c r="I379">
        <f t="shared" si="52"/>
        <v>199</v>
      </c>
      <c r="J379">
        <f t="shared" si="52"/>
        <v>234</v>
      </c>
      <c r="K379">
        <f t="shared" si="52"/>
        <v>253</v>
      </c>
      <c r="L379">
        <f t="shared" si="52"/>
        <v>272</v>
      </c>
      <c r="M379">
        <f t="shared" si="52"/>
        <v>287</v>
      </c>
      <c r="N379">
        <f t="shared" si="52"/>
        <v>299</v>
      </c>
      <c r="O379">
        <f t="shared" si="52"/>
        <v>324</v>
      </c>
      <c r="P379">
        <f t="shared" si="52"/>
        <v>342</v>
      </c>
      <c r="Q379">
        <f t="shared" si="53"/>
        <v>368</v>
      </c>
      <c r="S379" t="str">
        <f t="shared" si="54"/>
        <v>30.11.2025</v>
      </c>
      <c r="T379" t="str">
        <f t="shared" si="55"/>
        <v>17:15:00</v>
      </c>
      <c r="U379" t="str">
        <f t="shared" si="48"/>
        <v>30.11.2025 17:15:00</v>
      </c>
      <c r="V379" s="9" t="str">
        <f>MID($A379,C379+C$2+1,D379-C379-C$2-1)</f>
        <v>0</v>
      </c>
      <c r="W379" s="4">
        <f>VALUE(SUBSTITUTE(MID($A379,D379+D$2+1,E379-D379-D$2-1),",","."))</f>
        <v>0</v>
      </c>
      <c r="X379" s="4">
        <f>VALUE(SUBSTITUTE(MID($A379,E379+E$2+1,F379-E379-E$2-1),",","."))</f>
        <v>0.90957602214449496</v>
      </c>
      <c r="Y379" s="4">
        <f>VALUE(SUBSTITUTE(MID($A379,F379+F$2+1,G379-F379-F$2-1),",","."))</f>
        <v>0</v>
      </c>
      <c r="Z379" s="3">
        <f>VALUE(SUBSTITUTE(MID($A379,G379+G$2+1,H379-G379-G$2-1),",","."))</f>
        <v>0</v>
      </c>
      <c r="AA379" s="3">
        <f>VALUE(SUBSTITUTE(MID($A379,H379+H$2+1,I379-H379-H$2-1),",","."))</f>
        <v>0</v>
      </c>
      <c r="AB379" s="3">
        <f>VALUE(SUBSTITUTE(MID($A379,I379+I$2+1,J379-I379-I$2-1),",","."))</f>
        <v>6.5</v>
      </c>
      <c r="AC379" s="3">
        <f>VALUE(SUBSTITUTE(MID($A379,J379+J$2+1,K379-J379-J$2-1),",","."))</f>
        <v>4.4000000000000004</v>
      </c>
      <c r="AD379" s="3">
        <f>VALUE(SUBSTITUTE(MID($A379,K379+K$2+1,L379-K379-K$2-1),",","."))</f>
        <v>40.86</v>
      </c>
      <c r="AE379" s="3">
        <f>VALUE(SUBSTITUTE(MID($A379,L379+L$2+1,M379-L379-L$2-1),",","."))</f>
        <v>0</v>
      </c>
      <c r="AF379" s="3">
        <f>VALUE(SUBSTITUTE(MID($A379,M379+M$2+1,N379-M379-M$2-1),",","."))</f>
        <v>0</v>
      </c>
      <c r="AG379" s="3">
        <f>VALUE(SUBSTITUTE(MID($A379,N379+N$2+1,O379-N379-N$2-1),",","."))</f>
        <v>4.2141842225971304</v>
      </c>
      <c r="AH379" t="str">
        <f>MID($A379,O379+O$2+1,P379-O379-O$2-1)</f>
        <v/>
      </c>
      <c r="AI379" s="8" t="str">
        <f>MID($A379,P379+P$2+1,Q379-P379-P$2-1)</f>
        <v>False</v>
      </c>
      <c r="AK379" t="b">
        <f t="shared" si="49"/>
        <v>1</v>
      </c>
    </row>
    <row r="380" spans="1:37" x14ac:dyDescent="0.35">
      <c r="A380" t="s">
        <v>4927</v>
      </c>
      <c r="B380">
        <f t="shared" si="51"/>
        <v>10</v>
      </c>
      <c r="C380">
        <f t="shared" si="51"/>
        <v>43</v>
      </c>
      <c r="D380">
        <f t="shared" si="51"/>
        <v>54</v>
      </c>
      <c r="E380">
        <f t="shared" si="51"/>
        <v>80</v>
      </c>
      <c r="F380">
        <f t="shared" si="51"/>
        <v>124</v>
      </c>
      <c r="G380">
        <f t="shared" si="51"/>
        <v>145</v>
      </c>
      <c r="H380">
        <f t="shared" si="52"/>
        <v>177</v>
      </c>
      <c r="I380">
        <f t="shared" si="52"/>
        <v>199</v>
      </c>
      <c r="J380">
        <f t="shared" si="52"/>
        <v>232</v>
      </c>
      <c r="K380">
        <f t="shared" si="52"/>
        <v>252</v>
      </c>
      <c r="L380">
        <f t="shared" si="52"/>
        <v>284</v>
      </c>
      <c r="M380">
        <f t="shared" si="52"/>
        <v>299</v>
      </c>
      <c r="N380">
        <f t="shared" si="52"/>
        <v>311</v>
      </c>
      <c r="O380">
        <f t="shared" si="52"/>
        <v>337</v>
      </c>
      <c r="P380">
        <f t="shared" si="52"/>
        <v>355</v>
      </c>
      <c r="Q380">
        <f t="shared" si="53"/>
        <v>381</v>
      </c>
      <c r="S380" t="str">
        <f t="shared" si="54"/>
        <v>30.11.2025</v>
      </c>
      <c r="T380" t="str">
        <f t="shared" si="55"/>
        <v>17:30:00</v>
      </c>
      <c r="U380" t="str">
        <f t="shared" si="48"/>
        <v>30.11.2025 17:30:00</v>
      </c>
      <c r="V380" s="9" t="str">
        <f>MID($A380,C380+C$2+1,D380-C380-C$2-1)</f>
        <v>0</v>
      </c>
      <c r="W380" s="4">
        <f>VALUE(SUBSTITUTE(MID($A380,D380+D$2+1,E380-D380-D$2-1),",","."))</f>
        <v>0</v>
      </c>
      <c r="X380" s="4">
        <f>VALUE(SUBSTITUTE(MID($A380,E380+E$2+1,F380-E380-E$2-1),",","."))</f>
        <v>0.90957602214449496</v>
      </c>
      <c r="Y380" s="4">
        <f>VALUE(SUBSTITUTE(MID($A380,F380+F$2+1,G380-F380-F$2-1),",","."))</f>
        <v>0</v>
      </c>
      <c r="Z380" s="3">
        <f>VALUE(SUBSTITUTE(MID($A380,G380+G$2+1,H380-G380-G$2-1),",","."))</f>
        <v>0</v>
      </c>
      <c r="AA380" s="3">
        <f>VALUE(SUBSTITUTE(MID($A380,H380+H$2+1,I380-H380-H$2-1),",","."))</f>
        <v>0</v>
      </c>
      <c r="AB380" s="3">
        <f>VALUE(SUBSTITUTE(MID($A380,I380+I$2+1,J380-I380-I$2-1),",","."))</f>
        <v>0</v>
      </c>
      <c r="AC380" s="3">
        <f>VALUE(SUBSTITUTE(MID($A380,J380+J$2+1,K380-J380-J$2-1),",","."))</f>
        <v>3.75</v>
      </c>
      <c r="AD380" s="3">
        <f>VALUE(SUBSTITUTE(MID($A380,K380+K$2+1,L380-K380-K$2-1),",","."))</f>
        <v>33.119999999999997</v>
      </c>
      <c r="AE380" s="3">
        <f>VALUE(SUBSTITUTE(MID($A380,L380+L$2+1,M380-L380-L$2-1),",","."))</f>
        <v>0</v>
      </c>
      <c r="AF380" s="3">
        <f>VALUE(SUBSTITUTE(MID($A380,M380+M$2+1,N380-M380-M$2-1),",","."))</f>
        <v>0</v>
      </c>
      <c r="AG380" s="3">
        <f>VALUE(SUBSTITUTE(MID($A380,N380+N$2+1,O380-N380-N$2-1),",","."))</f>
        <v>4.2142127424852101</v>
      </c>
      <c r="AH380" t="str">
        <f>MID($A380,O380+O$2+1,P380-O380-O$2-1)</f>
        <v/>
      </c>
      <c r="AI380" s="8" t="str">
        <f>MID($A380,P380+P$2+1,Q380-P380-P$2-1)</f>
        <v>False</v>
      </c>
      <c r="AK380" t="b">
        <f t="shared" si="49"/>
        <v>0</v>
      </c>
    </row>
    <row r="381" spans="1:37" x14ac:dyDescent="0.35">
      <c r="A381" t="s">
        <v>4928</v>
      </c>
      <c r="B381">
        <f t="shared" si="51"/>
        <v>10</v>
      </c>
      <c r="C381">
        <f t="shared" si="51"/>
        <v>43</v>
      </c>
      <c r="D381">
        <f t="shared" si="51"/>
        <v>54</v>
      </c>
      <c r="E381">
        <f t="shared" si="51"/>
        <v>80</v>
      </c>
      <c r="F381">
        <f t="shared" si="51"/>
        <v>124</v>
      </c>
      <c r="G381">
        <f t="shared" si="51"/>
        <v>145</v>
      </c>
      <c r="H381">
        <f t="shared" si="52"/>
        <v>177</v>
      </c>
      <c r="I381">
        <f t="shared" si="52"/>
        <v>199</v>
      </c>
      <c r="J381">
        <f t="shared" si="52"/>
        <v>232</v>
      </c>
      <c r="K381">
        <f t="shared" si="52"/>
        <v>252</v>
      </c>
      <c r="L381">
        <f t="shared" si="52"/>
        <v>284</v>
      </c>
      <c r="M381">
        <f t="shared" si="52"/>
        <v>299</v>
      </c>
      <c r="N381">
        <f t="shared" si="52"/>
        <v>311</v>
      </c>
      <c r="O381">
        <f t="shared" si="52"/>
        <v>336</v>
      </c>
      <c r="P381">
        <f t="shared" si="52"/>
        <v>354</v>
      </c>
      <c r="Q381">
        <f t="shared" si="53"/>
        <v>380</v>
      </c>
      <c r="S381" t="str">
        <f t="shared" si="54"/>
        <v>30.11.2025</v>
      </c>
      <c r="T381" t="str">
        <f t="shared" si="55"/>
        <v>17:45:00</v>
      </c>
      <c r="U381" t="str">
        <f t="shared" si="48"/>
        <v>30.11.2025 17:45:00</v>
      </c>
      <c r="V381" s="9" t="str">
        <f>MID($A381,C381+C$2+1,D381-C381-C$2-1)</f>
        <v>0</v>
      </c>
      <c r="W381" s="4">
        <f>VALUE(SUBSTITUTE(MID($A381,D381+D$2+1,E381-D381-D$2-1),",","."))</f>
        <v>0</v>
      </c>
      <c r="X381" s="4">
        <f>VALUE(SUBSTITUTE(MID($A381,E381+E$2+1,F381-E381-E$2-1),",","."))</f>
        <v>0.90957602214449496</v>
      </c>
      <c r="Y381" s="4">
        <f>VALUE(SUBSTITUTE(MID($A381,F381+F$2+1,G381-F381-F$2-1),",","."))</f>
        <v>0</v>
      </c>
      <c r="Z381" s="3">
        <f>VALUE(SUBSTITUTE(MID($A381,G381+G$2+1,H381-G381-G$2-1),",","."))</f>
        <v>0</v>
      </c>
      <c r="AA381" s="3">
        <f>VALUE(SUBSTITUTE(MID($A381,H381+H$2+1,I381-H381-H$2-1),",","."))</f>
        <v>0</v>
      </c>
      <c r="AB381" s="3">
        <f>VALUE(SUBSTITUTE(MID($A381,I381+I$2+1,J381-I381-I$2-1),",","."))</f>
        <v>0</v>
      </c>
      <c r="AC381" s="3">
        <f>VALUE(SUBSTITUTE(MID($A381,J381+J$2+1,K381-J381-J$2-1),",","."))</f>
        <v>3.75</v>
      </c>
      <c r="AD381" s="3">
        <f>VALUE(SUBSTITUTE(MID($A381,K381+K$2+1,L381-K381-K$2-1),",","."))</f>
        <v>33.119999999999997</v>
      </c>
      <c r="AE381" s="3">
        <f>VALUE(SUBSTITUTE(MID($A381,L381+L$2+1,M381-L381-L$2-1),",","."))</f>
        <v>0</v>
      </c>
      <c r="AF381" s="3">
        <f>VALUE(SUBSTITUTE(MID($A381,M381+M$2+1,N381-M381-M$2-1),",","."))</f>
        <v>0</v>
      </c>
      <c r="AG381" s="3">
        <f>VALUE(SUBSTITUTE(MID($A381,N381+N$2+1,O381-N381-N$2-1),",","."))</f>
        <v>4.2142412623732897</v>
      </c>
      <c r="AH381" t="str">
        <f>MID($A381,O381+O$2+1,P381-O381-O$2-1)</f>
        <v/>
      </c>
      <c r="AI381" s="8" t="str">
        <f>MID($A381,P381+P$2+1,Q381-P381-P$2-1)</f>
        <v>False</v>
      </c>
      <c r="AK381" t="b">
        <f t="shared" si="49"/>
        <v>0</v>
      </c>
    </row>
    <row r="382" spans="1:37" x14ac:dyDescent="0.35">
      <c r="A382" t="s">
        <v>4929</v>
      </c>
      <c r="B382">
        <f t="shared" si="51"/>
        <v>10</v>
      </c>
      <c r="C382">
        <f t="shared" si="51"/>
        <v>43</v>
      </c>
      <c r="D382">
        <f t="shared" si="51"/>
        <v>54</v>
      </c>
      <c r="E382">
        <f t="shared" si="51"/>
        <v>80</v>
      </c>
      <c r="F382">
        <f t="shared" si="51"/>
        <v>124</v>
      </c>
      <c r="G382">
        <f t="shared" si="51"/>
        <v>145</v>
      </c>
      <c r="H382">
        <f t="shared" si="52"/>
        <v>177</v>
      </c>
      <c r="I382">
        <f t="shared" si="52"/>
        <v>199</v>
      </c>
      <c r="J382">
        <f t="shared" si="52"/>
        <v>232</v>
      </c>
      <c r="K382">
        <f t="shared" si="52"/>
        <v>252</v>
      </c>
      <c r="L382">
        <f t="shared" si="52"/>
        <v>284</v>
      </c>
      <c r="M382">
        <f t="shared" si="52"/>
        <v>299</v>
      </c>
      <c r="N382">
        <f t="shared" si="52"/>
        <v>311</v>
      </c>
      <c r="O382">
        <f t="shared" si="52"/>
        <v>336</v>
      </c>
      <c r="P382">
        <f t="shared" si="52"/>
        <v>354</v>
      </c>
      <c r="Q382">
        <f t="shared" si="53"/>
        <v>380</v>
      </c>
      <c r="S382" t="str">
        <f t="shared" si="54"/>
        <v>30.11.2025</v>
      </c>
      <c r="T382" t="str">
        <f t="shared" si="55"/>
        <v>18:00:00</v>
      </c>
      <c r="U382" t="str">
        <f t="shared" si="48"/>
        <v>30.11.2025 18:00:00</v>
      </c>
      <c r="V382" s="9" t="str">
        <f>MID($A382,C382+C$2+1,D382-C382-C$2-1)</f>
        <v>0</v>
      </c>
      <c r="W382" s="4">
        <f>VALUE(SUBSTITUTE(MID($A382,D382+D$2+1,E382-D382-D$2-1),",","."))</f>
        <v>0</v>
      </c>
      <c r="X382" s="4">
        <f>VALUE(SUBSTITUTE(MID($A382,E382+E$2+1,F382-E382-E$2-1),",","."))</f>
        <v>0.90957602214449496</v>
      </c>
      <c r="Y382" s="4">
        <f>VALUE(SUBSTITUTE(MID($A382,F382+F$2+1,G382-F382-F$2-1),",","."))</f>
        <v>0</v>
      </c>
      <c r="Z382" s="3">
        <f>VALUE(SUBSTITUTE(MID($A382,G382+G$2+1,H382-G382-G$2-1),",","."))</f>
        <v>0</v>
      </c>
      <c r="AA382" s="3">
        <f>VALUE(SUBSTITUTE(MID($A382,H382+H$2+1,I382-H382-H$2-1),",","."))</f>
        <v>0</v>
      </c>
      <c r="AB382" s="3">
        <f>VALUE(SUBSTITUTE(MID($A382,I382+I$2+1,J382-I382-I$2-1),",","."))</f>
        <v>0</v>
      </c>
      <c r="AC382" s="3">
        <f>VALUE(SUBSTITUTE(MID($A382,J382+J$2+1,K382-J382-J$2-1),",","."))</f>
        <v>3.75</v>
      </c>
      <c r="AD382" s="3">
        <f>VALUE(SUBSTITUTE(MID($A382,K382+K$2+1,L382-K382-K$2-1),",","."))</f>
        <v>33.119999999999997</v>
      </c>
      <c r="AE382" s="3">
        <f>VALUE(SUBSTITUTE(MID($A382,L382+L$2+1,M382-L382-L$2-1),",","."))</f>
        <v>0</v>
      </c>
      <c r="AF382" s="3">
        <f>VALUE(SUBSTITUTE(MID($A382,M382+M$2+1,N382-M382-M$2-1),",","."))</f>
        <v>0</v>
      </c>
      <c r="AG382" s="3">
        <f>VALUE(SUBSTITUTE(MID($A382,N382+N$2+1,O382-N382-N$2-1),",","."))</f>
        <v>4.2142697822613702</v>
      </c>
      <c r="AH382" t="str">
        <f>MID($A382,O382+O$2+1,P382-O382-O$2-1)</f>
        <v/>
      </c>
      <c r="AI382" s="8" t="str">
        <f>MID($A382,P382+P$2+1,Q382-P382-P$2-1)</f>
        <v>False</v>
      </c>
      <c r="AK382" t="b">
        <f t="shared" si="49"/>
        <v>0</v>
      </c>
    </row>
    <row r="383" spans="1:37" x14ac:dyDescent="0.35">
      <c r="A383" t="s">
        <v>4930</v>
      </c>
      <c r="B383">
        <f t="shared" si="51"/>
        <v>10</v>
      </c>
      <c r="C383">
        <f t="shared" si="51"/>
        <v>43</v>
      </c>
      <c r="D383">
        <f t="shared" si="51"/>
        <v>54</v>
      </c>
      <c r="E383">
        <f t="shared" si="51"/>
        <v>80</v>
      </c>
      <c r="F383">
        <f t="shared" si="51"/>
        <v>124</v>
      </c>
      <c r="G383">
        <f t="shared" si="51"/>
        <v>145</v>
      </c>
      <c r="H383">
        <f t="shared" si="52"/>
        <v>177</v>
      </c>
      <c r="I383">
        <f t="shared" si="52"/>
        <v>199</v>
      </c>
      <c r="J383">
        <f t="shared" si="52"/>
        <v>232</v>
      </c>
      <c r="K383">
        <f t="shared" si="52"/>
        <v>252</v>
      </c>
      <c r="L383">
        <f t="shared" si="52"/>
        <v>284</v>
      </c>
      <c r="M383">
        <f t="shared" si="52"/>
        <v>299</v>
      </c>
      <c r="N383">
        <f t="shared" si="52"/>
        <v>311</v>
      </c>
      <c r="O383">
        <f t="shared" si="52"/>
        <v>337</v>
      </c>
      <c r="P383">
        <f t="shared" si="52"/>
        <v>355</v>
      </c>
      <c r="Q383">
        <f t="shared" si="53"/>
        <v>381</v>
      </c>
      <c r="S383" t="str">
        <f t="shared" si="54"/>
        <v>30.11.2025</v>
      </c>
      <c r="T383" t="str">
        <f t="shared" si="55"/>
        <v>18:15:00</v>
      </c>
      <c r="U383" t="str">
        <f t="shared" si="48"/>
        <v>30.11.2025 18:15:00</v>
      </c>
      <c r="V383" s="9" t="str">
        <f>MID($A383,C383+C$2+1,D383-C383-C$2-1)</f>
        <v>0</v>
      </c>
      <c r="W383" s="4">
        <f>VALUE(SUBSTITUTE(MID($A383,D383+D$2+1,E383-D383-D$2-1),",","."))</f>
        <v>0</v>
      </c>
      <c r="X383" s="4">
        <f>VALUE(SUBSTITUTE(MID($A383,E383+E$2+1,F383-E383-E$2-1),",","."))</f>
        <v>0.90957602214449496</v>
      </c>
      <c r="Y383" s="4">
        <f>VALUE(SUBSTITUTE(MID($A383,F383+F$2+1,G383-F383-F$2-1),",","."))</f>
        <v>0</v>
      </c>
      <c r="Z383" s="3">
        <f>VALUE(SUBSTITUTE(MID($A383,G383+G$2+1,H383-G383-G$2-1),",","."))</f>
        <v>0</v>
      </c>
      <c r="AA383" s="3">
        <f>VALUE(SUBSTITUTE(MID($A383,H383+H$2+1,I383-H383-H$2-1),",","."))</f>
        <v>0</v>
      </c>
      <c r="AB383" s="3">
        <f>VALUE(SUBSTITUTE(MID($A383,I383+I$2+1,J383-I383-I$2-1),",","."))</f>
        <v>0</v>
      </c>
      <c r="AC383" s="3">
        <f>VALUE(SUBSTITUTE(MID($A383,J383+J$2+1,K383-J383-J$2-1),",","."))</f>
        <v>3.75</v>
      </c>
      <c r="AD383" s="3">
        <f>VALUE(SUBSTITUTE(MID($A383,K383+K$2+1,L383-K383-K$2-1),",","."))</f>
        <v>33.119999999999997</v>
      </c>
      <c r="AE383" s="3">
        <f>VALUE(SUBSTITUTE(MID($A383,L383+L$2+1,M383-L383-L$2-1),",","."))</f>
        <v>0</v>
      </c>
      <c r="AF383" s="3">
        <f>VALUE(SUBSTITUTE(MID($A383,M383+M$2+1,N383-M383-M$2-1),",","."))</f>
        <v>0</v>
      </c>
      <c r="AG383" s="3">
        <f>VALUE(SUBSTITUTE(MID($A383,N383+N$2+1,O383-N383-N$2-1),",","."))</f>
        <v>4.2142983021494498</v>
      </c>
      <c r="AH383" t="str">
        <f>MID($A383,O383+O$2+1,P383-O383-O$2-1)</f>
        <v/>
      </c>
      <c r="AI383" s="8" t="str">
        <f>MID($A383,P383+P$2+1,Q383-P383-P$2-1)</f>
        <v>False</v>
      </c>
      <c r="AK383" t="b">
        <f t="shared" si="49"/>
        <v>0</v>
      </c>
    </row>
    <row r="384" spans="1:37" x14ac:dyDescent="0.35">
      <c r="A384" t="s">
        <v>4931</v>
      </c>
      <c r="B384">
        <f t="shared" si="51"/>
        <v>10</v>
      </c>
      <c r="C384">
        <f t="shared" si="51"/>
        <v>43</v>
      </c>
      <c r="D384">
        <f t="shared" si="51"/>
        <v>54</v>
      </c>
      <c r="E384">
        <f t="shared" si="51"/>
        <v>80</v>
      </c>
      <c r="F384">
        <f t="shared" si="51"/>
        <v>124</v>
      </c>
      <c r="G384">
        <f t="shared" si="51"/>
        <v>145</v>
      </c>
      <c r="H384">
        <f t="shared" si="52"/>
        <v>177</v>
      </c>
      <c r="I384">
        <f t="shared" si="52"/>
        <v>199</v>
      </c>
      <c r="J384">
        <f t="shared" si="52"/>
        <v>232</v>
      </c>
      <c r="K384">
        <f t="shared" si="52"/>
        <v>252</v>
      </c>
      <c r="L384">
        <f t="shared" si="52"/>
        <v>268</v>
      </c>
      <c r="M384">
        <f t="shared" si="52"/>
        <v>283</v>
      </c>
      <c r="N384">
        <f t="shared" si="52"/>
        <v>295</v>
      </c>
      <c r="O384">
        <f t="shared" si="52"/>
        <v>320</v>
      </c>
      <c r="P384">
        <f t="shared" si="52"/>
        <v>338</v>
      </c>
      <c r="Q384">
        <f t="shared" si="53"/>
        <v>364</v>
      </c>
      <c r="S384" t="str">
        <f t="shared" si="54"/>
        <v>30.11.2025</v>
      </c>
      <c r="T384" t="str">
        <f t="shared" si="55"/>
        <v>18:30:00</v>
      </c>
      <c r="U384" t="str">
        <f t="shared" si="48"/>
        <v>30.11.2025 18:30:00</v>
      </c>
      <c r="V384" s="9" t="str">
        <f>MID($A384,C384+C$2+1,D384-C384-C$2-1)</f>
        <v>0</v>
      </c>
      <c r="W384" s="4">
        <f>VALUE(SUBSTITUTE(MID($A384,D384+D$2+1,E384-D384-D$2-1),",","."))</f>
        <v>0</v>
      </c>
      <c r="X384" s="4">
        <f>VALUE(SUBSTITUTE(MID($A384,E384+E$2+1,F384-E384-E$2-1),",","."))</f>
        <v>0.90957602214449496</v>
      </c>
      <c r="Y384" s="4">
        <f>VALUE(SUBSTITUTE(MID($A384,F384+F$2+1,G384-F384-F$2-1),",","."))</f>
        <v>0</v>
      </c>
      <c r="Z384" s="3">
        <f>VALUE(SUBSTITUTE(MID($A384,G384+G$2+1,H384-G384-G$2-1),",","."))</f>
        <v>0</v>
      </c>
      <c r="AA384" s="3">
        <f>VALUE(SUBSTITUTE(MID($A384,H384+H$2+1,I384-H384-H$2-1),",","."))</f>
        <v>0</v>
      </c>
      <c r="AB384" s="3">
        <f>VALUE(SUBSTITUTE(MID($A384,I384+I$2+1,J384-I384-I$2-1),",","."))</f>
        <v>0</v>
      </c>
      <c r="AC384" s="3">
        <f>VALUE(SUBSTITUTE(MID($A384,J384+J$2+1,K384-J384-J$2-1),",","."))</f>
        <v>3.25</v>
      </c>
      <c r="AD384" s="3">
        <f>VALUE(SUBSTITUTE(MID($A384,K384+K$2+1,L384-K384-K$2-1),",","."))</f>
        <v>27</v>
      </c>
      <c r="AE384" s="3">
        <f>VALUE(SUBSTITUTE(MID($A384,L384+L$2+1,M384-L384-L$2-1),",","."))</f>
        <v>0</v>
      </c>
      <c r="AF384" s="3">
        <f>VALUE(SUBSTITUTE(MID($A384,M384+M$2+1,N384-M384-M$2-1),",","."))</f>
        <v>0</v>
      </c>
      <c r="AG384" s="3">
        <f>VALUE(SUBSTITUTE(MID($A384,N384+N$2+1,O384-N384-N$2-1),",","."))</f>
        <v>4.2143268220375401</v>
      </c>
      <c r="AH384" t="str">
        <f>MID($A384,O384+O$2+1,P384-O384-O$2-1)</f>
        <v/>
      </c>
      <c r="AI384" s="8" t="str">
        <f>MID($A384,P384+P$2+1,Q384-P384-P$2-1)</f>
        <v>False</v>
      </c>
      <c r="AK384" t="b">
        <f t="shared" si="49"/>
        <v>0</v>
      </c>
    </row>
    <row r="385" spans="1:37" x14ac:dyDescent="0.35">
      <c r="A385" t="s">
        <v>4932</v>
      </c>
      <c r="B385">
        <f t="shared" si="51"/>
        <v>10</v>
      </c>
      <c r="C385">
        <f t="shared" si="51"/>
        <v>43</v>
      </c>
      <c r="D385">
        <f t="shared" si="51"/>
        <v>54</v>
      </c>
      <c r="E385">
        <f t="shared" si="51"/>
        <v>80</v>
      </c>
      <c r="F385">
        <f t="shared" si="51"/>
        <v>124</v>
      </c>
      <c r="G385">
        <f t="shared" si="51"/>
        <v>145</v>
      </c>
      <c r="H385">
        <f t="shared" si="52"/>
        <v>177</v>
      </c>
      <c r="I385">
        <f t="shared" si="52"/>
        <v>199</v>
      </c>
      <c r="J385">
        <f t="shared" si="52"/>
        <v>232</v>
      </c>
      <c r="K385">
        <f t="shared" si="52"/>
        <v>252</v>
      </c>
      <c r="L385">
        <f t="shared" si="52"/>
        <v>268</v>
      </c>
      <c r="M385">
        <f t="shared" si="52"/>
        <v>283</v>
      </c>
      <c r="N385">
        <f t="shared" si="52"/>
        <v>295</v>
      </c>
      <c r="O385">
        <f t="shared" si="52"/>
        <v>320</v>
      </c>
      <c r="P385">
        <f t="shared" si="52"/>
        <v>338</v>
      </c>
      <c r="Q385">
        <f t="shared" si="53"/>
        <v>364</v>
      </c>
      <c r="S385" t="str">
        <f t="shared" si="54"/>
        <v>30.11.2025</v>
      </c>
      <c r="T385" t="str">
        <f t="shared" si="55"/>
        <v>18:45:00</v>
      </c>
      <c r="U385" t="str">
        <f t="shared" si="48"/>
        <v>30.11.2025 18:45:00</v>
      </c>
      <c r="V385" s="9" t="str">
        <f>MID($A385,C385+C$2+1,D385-C385-C$2-1)</f>
        <v>0</v>
      </c>
      <c r="W385" s="4">
        <f>VALUE(SUBSTITUTE(MID($A385,D385+D$2+1,E385-D385-D$2-1),",","."))</f>
        <v>0</v>
      </c>
      <c r="X385" s="4">
        <f>VALUE(SUBSTITUTE(MID($A385,E385+E$2+1,F385-E385-E$2-1),",","."))</f>
        <v>0.90957602214449496</v>
      </c>
      <c r="Y385" s="4">
        <f>VALUE(SUBSTITUTE(MID($A385,F385+F$2+1,G385-F385-F$2-1),",","."))</f>
        <v>0</v>
      </c>
      <c r="Z385" s="3">
        <f>VALUE(SUBSTITUTE(MID($A385,G385+G$2+1,H385-G385-G$2-1),",","."))</f>
        <v>0</v>
      </c>
      <c r="AA385" s="3">
        <f>VALUE(SUBSTITUTE(MID($A385,H385+H$2+1,I385-H385-H$2-1),",","."))</f>
        <v>0</v>
      </c>
      <c r="AB385" s="3">
        <f>VALUE(SUBSTITUTE(MID($A385,I385+I$2+1,J385-I385-I$2-1),",","."))</f>
        <v>0</v>
      </c>
      <c r="AC385" s="3">
        <f>VALUE(SUBSTITUTE(MID($A385,J385+J$2+1,K385-J385-J$2-1),",","."))</f>
        <v>3.25</v>
      </c>
      <c r="AD385" s="3">
        <f>VALUE(SUBSTITUTE(MID($A385,K385+K$2+1,L385-K385-K$2-1),",","."))</f>
        <v>27</v>
      </c>
      <c r="AE385" s="3">
        <f>VALUE(SUBSTITUTE(MID($A385,L385+L$2+1,M385-L385-L$2-1),",","."))</f>
        <v>0</v>
      </c>
      <c r="AF385" s="3">
        <f>VALUE(SUBSTITUTE(MID($A385,M385+M$2+1,N385-M385-M$2-1),",","."))</f>
        <v>0</v>
      </c>
      <c r="AG385" s="3">
        <f>VALUE(SUBSTITUTE(MID($A385,N385+N$2+1,O385-N385-N$2-1),",","."))</f>
        <v>4.2143553419256197</v>
      </c>
      <c r="AH385" t="str">
        <f>MID($A385,O385+O$2+1,P385-O385-O$2-1)</f>
        <v/>
      </c>
      <c r="AI385" s="8" t="str">
        <f>MID($A385,P385+P$2+1,Q385-P385-P$2-1)</f>
        <v>False</v>
      </c>
      <c r="AK385" t="b">
        <f t="shared" si="49"/>
        <v>0</v>
      </c>
    </row>
    <row r="386" spans="1:37" x14ac:dyDescent="0.35">
      <c r="A386" t="s">
        <v>4933</v>
      </c>
      <c r="B386">
        <f t="shared" si="51"/>
        <v>10</v>
      </c>
      <c r="C386">
        <f t="shared" si="51"/>
        <v>43</v>
      </c>
      <c r="D386">
        <f t="shared" si="51"/>
        <v>54</v>
      </c>
      <c r="E386">
        <f t="shared" si="51"/>
        <v>80</v>
      </c>
      <c r="F386">
        <f t="shared" si="51"/>
        <v>124</v>
      </c>
      <c r="G386">
        <f t="shared" si="51"/>
        <v>145</v>
      </c>
      <c r="H386">
        <f t="shared" si="52"/>
        <v>177</v>
      </c>
      <c r="I386">
        <f t="shared" si="52"/>
        <v>199</v>
      </c>
      <c r="J386">
        <f t="shared" si="52"/>
        <v>232</v>
      </c>
      <c r="K386">
        <f t="shared" si="52"/>
        <v>252</v>
      </c>
      <c r="L386">
        <f t="shared" si="52"/>
        <v>268</v>
      </c>
      <c r="M386">
        <f t="shared" si="52"/>
        <v>283</v>
      </c>
      <c r="N386">
        <f t="shared" si="52"/>
        <v>295</v>
      </c>
      <c r="O386">
        <f t="shared" si="52"/>
        <v>320</v>
      </c>
      <c r="P386">
        <f t="shared" si="52"/>
        <v>338</v>
      </c>
      <c r="Q386">
        <f t="shared" si="53"/>
        <v>364</v>
      </c>
      <c r="S386" t="str">
        <f t="shared" si="54"/>
        <v>30.11.2025</v>
      </c>
      <c r="T386" t="str">
        <f t="shared" si="55"/>
        <v>19:00:00</v>
      </c>
      <c r="U386" t="str">
        <f t="shared" si="48"/>
        <v>30.11.2025 19:00:00</v>
      </c>
      <c r="V386" s="9" t="str">
        <f>MID($A386,C386+C$2+1,D386-C386-C$2-1)</f>
        <v>0</v>
      </c>
      <c r="W386" s="4">
        <f>VALUE(SUBSTITUTE(MID($A386,D386+D$2+1,E386-D386-D$2-1),",","."))</f>
        <v>0</v>
      </c>
      <c r="X386" s="4">
        <f>VALUE(SUBSTITUTE(MID($A386,E386+E$2+1,F386-E386-E$2-1),",","."))</f>
        <v>0.90957602214449496</v>
      </c>
      <c r="Y386" s="4">
        <f>VALUE(SUBSTITUTE(MID($A386,F386+F$2+1,G386-F386-F$2-1),",","."))</f>
        <v>0</v>
      </c>
      <c r="Z386" s="3">
        <f>VALUE(SUBSTITUTE(MID($A386,G386+G$2+1,H386-G386-G$2-1),",","."))</f>
        <v>0</v>
      </c>
      <c r="AA386" s="3">
        <f>VALUE(SUBSTITUTE(MID($A386,H386+H$2+1,I386-H386-H$2-1),",","."))</f>
        <v>0</v>
      </c>
      <c r="AB386" s="3">
        <f>VALUE(SUBSTITUTE(MID($A386,I386+I$2+1,J386-I386-I$2-1),",","."))</f>
        <v>0</v>
      </c>
      <c r="AC386" s="3">
        <f>VALUE(SUBSTITUTE(MID($A386,J386+J$2+1,K386-J386-J$2-1),",","."))</f>
        <v>3.25</v>
      </c>
      <c r="AD386" s="3">
        <f>VALUE(SUBSTITUTE(MID($A386,K386+K$2+1,L386-K386-K$2-1),",","."))</f>
        <v>27</v>
      </c>
      <c r="AE386" s="3">
        <f>VALUE(SUBSTITUTE(MID($A386,L386+L$2+1,M386-L386-L$2-1),",","."))</f>
        <v>0</v>
      </c>
      <c r="AF386" s="3">
        <f>VALUE(SUBSTITUTE(MID($A386,M386+M$2+1,N386-M386-M$2-1),",","."))</f>
        <v>0</v>
      </c>
      <c r="AG386" s="3">
        <f>VALUE(SUBSTITUTE(MID($A386,N386+N$2+1,O386-N386-N$2-1),",","."))</f>
        <v>4.2143838618137002</v>
      </c>
      <c r="AH386" t="str">
        <f>MID($A386,O386+O$2+1,P386-O386-O$2-1)</f>
        <v/>
      </c>
      <c r="AI386" s="8" t="str">
        <f>MID($A386,P386+P$2+1,Q386-P386-P$2-1)</f>
        <v>False</v>
      </c>
      <c r="AK386" t="b">
        <f t="shared" si="49"/>
        <v>0</v>
      </c>
    </row>
    <row r="387" spans="1:37" x14ac:dyDescent="0.35">
      <c r="A387" t="s">
        <v>4934</v>
      </c>
      <c r="B387">
        <f t="shared" si="51"/>
        <v>10</v>
      </c>
      <c r="C387">
        <f t="shared" si="51"/>
        <v>43</v>
      </c>
      <c r="D387">
        <f t="shared" si="51"/>
        <v>54</v>
      </c>
      <c r="E387">
        <f t="shared" si="51"/>
        <v>80</v>
      </c>
      <c r="F387">
        <f t="shared" si="51"/>
        <v>124</v>
      </c>
      <c r="G387">
        <f t="shared" si="51"/>
        <v>145</v>
      </c>
      <c r="H387">
        <f t="shared" si="52"/>
        <v>177</v>
      </c>
      <c r="I387">
        <f t="shared" si="52"/>
        <v>199</v>
      </c>
      <c r="J387">
        <f t="shared" si="52"/>
        <v>232</v>
      </c>
      <c r="K387">
        <f t="shared" si="52"/>
        <v>252</v>
      </c>
      <c r="L387">
        <f t="shared" si="52"/>
        <v>268</v>
      </c>
      <c r="M387">
        <f t="shared" si="52"/>
        <v>283</v>
      </c>
      <c r="N387">
        <f t="shared" si="52"/>
        <v>295</v>
      </c>
      <c r="O387">
        <f t="shared" si="52"/>
        <v>320</v>
      </c>
      <c r="P387">
        <f t="shared" si="52"/>
        <v>338</v>
      </c>
      <c r="Q387">
        <f t="shared" si="53"/>
        <v>364</v>
      </c>
      <c r="S387" t="str">
        <f t="shared" si="54"/>
        <v>30.11.2025</v>
      </c>
      <c r="T387" t="str">
        <f t="shared" si="55"/>
        <v>19:15:00</v>
      </c>
      <c r="U387" t="str">
        <f t="shared" si="48"/>
        <v>30.11.2025 19:15:00</v>
      </c>
      <c r="V387" s="9" t="str">
        <f>MID($A387,C387+C$2+1,D387-C387-C$2-1)</f>
        <v>0</v>
      </c>
      <c r="W387" s="4">
        <f>VALUE(SUBSTITUTE(MID($A387,D387+D$2+1,E387-D387-D$2-1),",","."))</f>
        <v>0</v>
      </c>
      <c r="X387" s="4">
        <f>VALUE(SUBSTITUTE(MID($A387,E387+E$2+1,F387-E387-E$2-1),",","."))</f>
        <v>0.90957602214449496</v>
      </c>
      <c r="Y387" s="4">
        <f>VALUE(SUBSTITUTE(MID($A387,F387+F$2+1,G387-F387-F$2-1),",","."))</f>
        <v>0</v>
      </c>
      <c r="Z387" s="3">
        <f>VALUE(SUBSTITUTE(MID($A387,G387+G$2+1,H387-G387-G$2-1),",","."))</f>
        <v>0</v>
      </c>
      <c r="AA387" s="3">
        <f>VALUE(SUBSTITUTE(MID($A387,H387+H$2+1,I387-H387-H$2-1),",","."))</f>
        <v>0</v>
      </c>
      <c r="AB387" s="3">
        <f>VALUE(SUBSTITUTE(MID($A387,I387+I$2+1,J387-I387-I$2-1),",","."))</f>
        <v>0</v>
      </c>
      <c r="AC387" s="3">
        <f>VALUE(SUBSTITUTE(MID($A387,J387+J$2+1,K387-J387-J$2-1),",","."))</f>
        <v>3.25</v>
      </c>
      <c r="AD387" s="3">
        <f>VALUE(SUBSTITUTE(MID($A387,K387+K$2+1,L387-K387-K$2-1),",","."))</f>
        <v>27</v>
      </c>
      <c r="AE387" s="3">
        <f>VALUE(SUBSTITUTE(MID($A387,L387+L$2+1,M387-L387-L$2-1),",","."))</f>
        <v>0</v>
      </c>
      <c r="AF387" s="3">
        <f>VALUE(SUBSTITUTE(MID($A387,M387+M$2+1,N387-M387-M$2-1),",","."))</f>
        <v>0</v>
      </c>
      <c r="AG387" s="3">
        <f>VALUE(SUBSTITUTE(MID($A387,N387+N$2+1,O387-N387-N$2-1),",","."))</f>
        <v>4.2144123817017798</v>
      </c>
      <c r="AH387" t="str">
        <f>MID($A387,O387+O$2+1,P387-O387-O$2-1)</f>
        <v/>
      </c>
      <c r="AI387" s="8" t="str">
        <f>MID($A387,P387+P$2+1,Q387-P387-P$2-1)</f>
        <v>False</v>
      </c>
      <c r="AK387" t="b">
        <f t="shared" si="49"/>
        <v>0</v>
      </c>
    </row>
    <row r="388" spans="1:37" x14ac:dyDescent="0.35">
      <c r="A388" t="s">
        <v>4935</v>
      </c>
      <c r="B388">
        <f t="shared" si="51"/>
        <v>10</v>
      </c>
      <c r="C388">
        <f t="shared" si="51"/>
        <v>43</v>
      </c>
      <c r="D388">
        <f t="shared" si="51"/>
        <v>54</v>
      </c>
      <c r="E388">
        <f t="shared" si="51"/>
        <v>80</v>
      </c>
      <c r="F388">
        <f t="shared" si="51"/>
        <v>124</v>
      </c>
      <c r="G388">
        <f t="shared" si="51"/>
        <v>145</v>
      </c>
      <c r="H388">
        <f t="shared" si="52"/>
        <v>177</v>
      </c>
      <c r="I388">
        <f t="shared" si="52"/>
        <v>199</v>
      </c>
      <c r="J388">
        <f t="shared" si="52"/>
        <v>232</v>
      </c>
      <c r="K388">
        <f t="shared" si="52"/>
        <v>252</v>
      </c>
      <c r="L388">
        <f t="shared" si="52"/>
        <v>270</v>
      </c>
      <c r="M388">
        <f t="shared" si="52"/>
        <v>285</v>
      </c>
      <c r="N388">
        <f t="shared" si="52"/>
        <v>297</v>
      </c>
      <c r="O388">
        <f t="shared" si="52"/>
        <v>322</v>
      </c>
      <c r="P388">
        <f t="shared" si="52"/>
        <v>340</v>
      </c>
      <c r="Q388">
        <f t="shared" si="53"/>
        <v>366</v>
      </c>
      <c r="S388" t="str">
        <f t="shared" si="54"/>
        <v>30.11.2025</v>
      </c>
      <c r="T388" t="str">
        <f t="shared" si="55"/>
        <v>19:30:00</v>
      </c>
      <c r="U388" t="str">
        <f t="shared" ref="U388:U451" si="56">MID($A388,B388+B$2+1,C388-B388-B$2-1)</f>
        <v>30.11.2025 19:30:00</v>
      </c>
      <c r="V388" s="9" t="str">
        <f>MID($A388,C388+C$2+1,D388-C388-C$2-1)</f>
        <v>0</v>
      </c>
      <c r="W388" s="4">
        <f>VALUE(SUBSTITUTE(MID($A388,D388+D$2+1,E388-D388-D$2-1),",","."))</f>
        <v>0</v>
      </c>
      <c r="X388" s="4">
        <f>VALUE(SUBSTITUTE(MID($A388,E388+E$2+1,F388-E388-E$2-1),",","."))</f>
        <v>0.90957602214449496</v>
      </c>
      <c r="Y388" s="4">
        <f>VALUE(SUBSTITUTE(MID($A388,F388+F$2+1,G388-F388-F$2-1),",","."))</f>
        <v>0</v>
      </c>
      <c r="Z388" s="3">
        <f>VALUE(SUBSTITUTE(MID($A388,G388+G$2+1,H388-G388-G$2-1),",","."))</f>
        <v>0</v>
      </c>
      <c r="AA388" s="3">
        <f>VALUE(SUBSTITUTE(MID($A388,H388+H$2+1,I388-H388-H$2-1),",","."))</f>
        <v>0</v>
      </c>
      <c r="AB388" s="3">
        <f>VALUE(SUBSTITUTE(MID($A388,I388+I$2+1,J388-I388-I$2-1),",","."))</f>
        <v>0</v>
      </c>
      <c r="AC388" s="3">
        <f>VALUE(SUBSTITUTE(MID($A388,J388+J$2+1,K388-J388-J$2-1),",","."))</f>
        <v>2.95</v>
      </c>
      <c r="AD388" s="3">
        <f>VALUE(SUBSTITUTE(MID($A388,K388+K$2+1,L388-K388-K$2-1),",","."))</f>
        <v>25.2</v>
      </c>
      <c r="AE388" s="3">
        <f>VALUE(SUBSTITUTE(MID($A388,L388+L$2+1,M388-L388-L$2-1),",","."))</f>
        <v>0</v>
      </c>
      <c r="AF388" s="3">
        <f>VALUE(SUBSTITUTE(MID($A388,M388+M$2+1,N388-M388-M$2-1),",","."))</f>
        <v>0</v>
      </c>
      <c r="AG388" s="3">
        <f>VALUE(SUBSTITUTE(MID($A388,N388+N$2+1,O388-N388-N$2-1),",","."))</f>
        <v>4.2144409015898603</v>
      </c>
      <c r="AH388" t="str">
        <f>MID($A388,O388+O$2+1,P388-O388-O$2-1)</f>
        <v/>
      </c>
      <c r="AI388" s="8" t="str">
        <f>MID($A388,P388+P$2+1,Q388-P388-P$2-1)</f>
        <v>False</v>
      </c>
      <c r="AK388" t="b">
        <f t="shared" ref="AK388:AK451" si="57">AB388&gt;Z388</f>
        <v>0</v>
      </c>
    </row>
    <row r="389" spans="1:37" x14ac:dyDescent="0.35">
      <c r="A389" t="s">
        <v>4936</v>
      </c>
      <c r="B389">
        <f t="shared" si="51"/>
        <v>10</v>
      </c>
      <c r="C389">
        <f t="shared" si="51"/>
        <v>43</v>
      </c>
      <c r="D389">
        <f t="shared" si="51"/>
        <v>54</v>
      </c>
      <c r="E389">
        <f t="shared" si="51"/>
        <v>80</v>
      </c>
      <c r="F389">
        <f t="shared" si="51"/>
        <v>124</v>
      </c>
      <c r="G389">
        <f t="shared" si="51"/>
        <v>145</v>
      </c>
      <c r="H389">
        <f t="shared" si="52"/>
        <v>177</v>
      </c>
      <c r="I389">
        <f t="shared" si="52"/>
        <v>199</v>
      </c>
      <c r="J389">
        <f t="shared" si="52"/>
        <v>232</v>
      </c>
      <c r="K389">
        <f t="shared" si="52"/>
        <v>252</v>
      </c>
      <c r="L389">
        <f t="shared" si="52"/>
        <v>270</v>
      </c>
      <c r="M389">
        <f t="shared" si="52"/>
        <v>285</v>
      </c>
      <c r="N389">
        <f t="shared" si="52"/>
        <v>297</v>
      </c>
      <c r="O389">
        <f t="shared" si="52"/>
        <v>322</v>
      </c>
      <c r="P389">
        <f t="shared" si="52"/>
        <v>340</v>
      </c>
      <c r="Q389">
        <f t="shared" si="53"/>
        <v>366</v>
      </c>
      <c r="S389" t="str">
        <f t="shared" si="54"/>
        <v>30.11.2025</v>
      </c>
      <c r="T389" t="str">
        <f t="shared" si="55"/>
        <v>19:45:00</v>
      </c>
      <c r="U389" t="str">
        <f t="shared" si="56"/>
        <v>30.11.2025 19:45:00</v>
      </c>
      <c r="V389" s="9" t="str">
        <f>MID($A389,C389+C$2+1,D389-C389-C$2-1)</f>
        <v>0</v>
      </c>
      <c r="W389" s="4">
        <f>VALUE(SUBSTITUTE(MID($A389,D389+D$2+1,E389-D389-D$2-1),",","."))</f>
        <v>0</v>
      </c>
      <c r="X389" s="4">
        <f>VALUE(SUBSTITUTE(MID($A389,E389+E$2+1,F389-E389-E$2-1),",","."))</f>
        <v>0.90957602214449496</v>
      </c>
      <c r="Y389" s="4">
        <f>VALUE(SUBSTITUTE(MID($A389,F389+F$2+1,G389-F389-F$2-1),",","."))</f>
        <v>0</v>
      </c>
      <c r="Z389" s="3">
        <f>VALUE(SUBSTITUTE(MID($A389,G389+G$2+1,H389-G389-G$2-1),",","."))</f>
        <v>0</v>
      </c>
      <c r="AA389" s="3">
        <f>VALUE(SUBSTITUTE(MID($A389,H389+H$2+1,I389-H389-H$2-1),",","."))</f>
        <v>0</v>
      </c>
      <c r="AB389" s="3">
        <f>VALUE(SUBSTITUTE(MID($A389,I389+I$2+1,J389-I389-I$2-1),",","."))</f>
        <v>0</v>
      </c>
      <c r="AC389" s="3">
        <f>VALUE(SUBSTITUTE(MID($A389,J389+J$2+1,K389-J389-J$2-1),",","."))</f>
        <v>2.95</v>
      </c>
      <c r="AD389" s="3">
        <f>VALUE(SUBSTITUTE(MID($A389,K389+K$2+1,L389-K389-K$2-1),",","."))</f>
        <v>25.2</v>
      </c>
      <c r="AE389" s="3">
        <f>VALUE(SUBSTITUTE(MID($A389,L389+L$2+1,M389-L389-L$2-1),",","."))</f>
        <v>0</v>
      </c>
      <c r="AF389" s="3">
        <f>VALUE(SUBSTITUTE(MID($A389,M389+M$2+1,N389-M389-M$2-1),",","."))</f>
        <v>0</v>
      </c>
      <c r="AG389" s="3">
        <f>VALUE(SUBSTITUTE(MID($A389,N389+N$2+1,O389-N389-N$2-1),",","."))</f>
        <v>4.2144694214779399</v>
      </c>
      <c r="AH389" t="str">
        <f>MID($A389,O389+O$2+1,P389-O389-O$2-1)</f>
        <v/>
      </c>
      <c r="AI389" s="8" t="str">
        <f>MID($A389,P389+P$2+1,Q389-P389-P$2-1)</f>
        <v>False</v>
      </c>
      <c r="AK389" t="b">
        <f t="shared" si="57"/>
        <v>0</v>
      </c>
    </row>
    <row r="390" spans="1:37" x14ac:dyDescent="0.35">
      <c r="A390" t="s">
        <v>4937</v>
      </c>
      <c r="B390">
        <f t="shared" si="51"/>
        <v>10</v>
      </c>
      <c r="C390">
        <f t="shared" si="51"/>
        <v>43</v>
      </c>
      <c r="D390">
        <f t="shared" si="51"/>
        <v>54</v>
      </c>
      <c r="E390">
        <f t="shared" si="51"/>
        <v>80</v>
      </c>
      <c r="F390">
        <f t="shared" si="51"/>
        <v>124</v>
      </c>
      <c r="G390">
        <f t="shared" si="51"/>
        <v>145</v>
      </c>
      <c r="H390">
        <f t="shared" si="52"/>
        <v>177</v>
      </c>
      <c r="I390">
        <f t="shared" si="52"/>
        <v>199</v>
      </c>
      <c r="J390">
        <f t="shared" si="52"/>
        <v>232</v>
      </c>
      <c r="K390">
        <f t="shared" si="52"/>
        <v>252</v>
      </c>
      <c r="L390">
        <f t="shared" si="52"/>
        <v>270</v>
      </c>
      <c r="M390">
        <f t="shared" si="52"/>
        <v>285</v>
      </c>
      <c r="N390">
        <f t="shared" si="52"/>
        <v>297</v>
      </c>
      <c r="O390">
        <f t="shared" si="52"/>
        <v>321</v>
      </c>
      <c r="P390">
        <f t="shared" si="52"/>
        <v>339</v>
      </c>
      <c r="Q390">
        <f t="shared" si="53"/>
        <v>365</v>
      </c>
      <c r="S390" t="str">
        <f t="shared" si="54"/>
        <v>30.11.2025</v>
      </c>
      <c r="T390" t="str">
        <f t="shared" si="55"/>
        <v>20:00:00</v>
      </c>
      <c r="U390" t="str">
        <f t="shared" si="56"/>
        <v>30.11.2025 20:00:00</v>
      </c>
      <c r="V390" s="9" t="str">
        <f>MID($A390,C390+C$2+1,D390-C390-C$2-1)</f>
        <v>0</v>
      </c>
      <c r="W390" s="4">
        <f>VALUE(SUBSTITUTE(MID($A390,D390+D$2+1,E390-D390-D$2-1),",","."))</f>
        <v>0</v>
      </c>
      <c r="X390" s="4">
        <f>VALUE(SUBSTITUTE(MID($A390,E390+E$2+1,F390-E390-E$2-1),",","."))</f>
        <v>0.90957602214449496</v>
      </c>
      <c r="Y390" s="4">
        <f>VALUE(SUBSTITUTE(MID($A390,F390+F$2+1,G390-F390-F$2-1),",","."))</f>
        <v>0</v>
      </c>
      <c r="Z390" s="3">
        <f>VALUE(SUBSTITUTE(MID($A390,G390+G$2+1,H390-G390-G$2-1),",","."))</f>
        <v>0</v>
      </c>
      <c r="AA390" s="3">
        <f>VALUE(SUBSTITUTE(MID($A390,H390+H$2+1,I390-H390-H$2-1),",","."))</f>
        <v>0</v>
      </c>
      <c r="AB390" s="3">
        <f>VALUE(SUBSTITUTE(MID($A390,I390+I$2+1,J390-I390-I$2-1),",","."))</f>
        <v>0</v>
      </c>
      <c r="AC390" s="3">
        <f>VALUE(SUBSTITUTE(MID($A390,J390+J$2+1,K390-J390-J$2-1),",","."))</f>
        <v>2.95</v>
      </c>
      <c r="AD390" s="3">
        <f>VALUE(SUBSTITUTE(MID($A390,K390+K$2+1,L390-K390-K$2-1),",","."))</f>
        <v>25.2</v>
      </c>
      <c r="AE390" s="3">
        <f>VALUE(SUBSTITUTE(MID($A390,L390+L$2+1,M390-L390-L$2-1),",","."))</f>
        <v>0</v>
      </c>
      <c r="AF390" s="3">
        <f>VALUE(SUBSTITUTE(MID($A390,M390+M$2+1,N390-M390-M$2-1),",","."))</f>
        <v>0</v>
      </c>
      <c r="AG390" s="3">
        <f>VALUE(SUBSTITUTE(MID($A390,N390+N$2+1,O390-N390-N$2-1),",","."))</f>
        <v>4.2144979413660302</v>
      </c>
      <c r="AH390" t="str">
        <f>MID($A390,O390+O$2+1,P390-O390-O$2-1)</f>
        <v/>
      </c>
      <c r="AI390" s="8" t="str">
        <f>MID($A390,P390+P$2+1,Q390-P390-P$2-1)</f>
        <v>False</v>
      </c>
      <c r="AK390" t="b">
        <f t="shared" si="57"/>
        <v>0</v>
      </c>
    </row>
    <row r="391" spans="1:37" x14ac:dyDescent="0.35">
      <c r="A391" t="s">
        <v>4938</v>
      </c>
      <c r="B391">
        <f t="shared" si="51"/>
        <v>10</v>
      </c>
      <c r="C391">
        <f t="shared" si="51"/>
        <v>43</v>
      </c>
      <c r="D391">
        <f t="shared" si="51"/>
        <v>54</v>
      </c>
      <c r="E391">
        <f t="shared" ref="E391:P415" si="58">FIND(E$1,$A391)</f>
        <v>80</v>
      </c>
      <c r="F391">
        <f t="shared" si="58"/>
        <v>124</v>
      </c>
      <c r="G391">
        <f t="shared" si="58"/>
        <v>145</v>
      </c>
      <c r="H391">
        <f t="shared" si="52"/>
        <v>177</v>
      </c>
      <c r="I391">
        <f t="shared" si="52"/>
        <v>199</v>
      </c>
      <c r="J391">
        <f t="shared" si="52"/>
        <v>232</v>
      </c>
      <c r="K391">
        <f t="shared" si="52"/>
        <v>252</v>
      </c>
      <c r="L391">
        <f t="shared" si="52"/>
        <v>270</v>
      </c>
      <c r="M391">
        <f t="shared" si="52"/>
        <v>285</v>
      </c>
      <c r="N391">
        <f t="shared" si="52"/>
        <v>297</v>
      </c>
      <c r="O391">
        <f t="shared" si="52"/>
        <v>322</v>
      </c>
      <c r="P391">
        <f t="shared" si="52"/>
        <v>340</v>
      </c>
      <c r="Q391">
        <f t="shared" si="53"/>
        <v>366</v>
      </c>
      <c r="S391" t="str">
        <f t="shared" si="54"/>
        <v>30.11.2025</v>
      </c>
      <c r="T391" t="str">
        <f t="shared" si="55"/>
        <v>20:15:00</v>
      </c>
      <c r="U391" t="str">
        <f t="shared" si="56"/>
        <v>30.11.2025 20:15:00</v>
      </c>
      <c r="V391" s="9" t="str">
        <f>MID($A391,C391+C$2+1,D391-C391-C$2-1)</f>
        <v>0</v>
      </c>
      <c r="W391" s="4">
        <f>VALUE(SUBSTITUTE(MID($A391,D391+D$2+1,E391-D391-D$2-1),",","."))</f>
        <v>0</v>
      </c>
      <c r="X391" s="4">
        <f>VALUE(SUBSTITUTE(MID($A391,E391+E$2+1,F391-E391-E$2-1),",","."))</f>
        <v>0.90957602214449496</v>
      </c>
      <c r="Y391" s="4">
        <f>VALUE(SUBSTITUTE(MID($A391,F391+F$2+1,G391-F391-F$2-1),",","."))</f>
        <v>0</v>
      </c>
      <c r="Z391" s="3">
        <f>VALUE(SUBSTITUTE(MID($A391,G391+G$2+1,H391-G391-G$2-1),",","."))</f>
        <v>0</v>
      </c>
      <c r="AA391" s="3">
        <f>VALUE(SUBSTITUTE(MID($A391,H391+H$2+1,I391-H391-H$2-1),",","."))</f>
        <v>0</v>
      </c>
      <c r="AB391" s="3">
        <f>VALUE(SUBSTITUTE(MID($A391,I391+I$2+1,J391-I391-I$2-1),",","."))</f>
        <v>0</v>
      </c>
      <c r="AC391" s="3">
        <f>VALUE(SUBSTITUTE(MID($A391,J391+J$2+1,K391-J391-J$2-1),",","."))</f>
        <v>2.95</v>
      </c>
      <c r="AD391" s="3">
        <f>VALUE(SUBSTITUTE(MID($A391,K391+K$2+1,L391-K391-K$2-1),",","."))</f>
        <v>25.2</v>
      </c>
      <c r="AE391" s="3">
        <f>VALUE(SUBSTITUTE(MID($A391,L391+L$2+1,M391-L391-L$2-1),",","."))</f>
        <v>0</v>
      </c>
      <c r="AF391" s="3">
        <f>VALUE(SUBSTITUTE(MID($A391,M391+M$2+1,N391-M391-M$2-1),",","."))</f>
        <v>0</v>
      </c>
      <c r="AG391" s="3">
        <f>VALUE(SUBSTITUTE(MID($A391,N391+N$2+1,O391-N391-N$2-1),",","."))</f>
        <v>4.2145264612541098</v>
      </c>
      <c r="AH391" t="str">
        <f>MID($A391,O391+O$2+1,P391-O391-O$2-1)</f>
        <v/>
      </c>
      <c r="AI391" s="8" t="str">
        <f>MID($A391,P391+P$2+1,Q391-P391-P$2-1)</f>
        <v>False</v>
      </c>
      <c r="AK391" t="b">
        <f t="shared" si="57"/>
        <v>0</v>
      </c>
    </row>
    <row r="392" spans="1:37" x14ac:dyDescent="0.35">
      <c r="A392" t="s">
        <v>4939</v>
      </c>
      <c r="B392">
        <f t="shared" ref="B392:P444" si="59">FIND(B$1,$A392)</f>
        <v>10</v>
      </c>
      <c r="C392">
        <f t="shared" si="59"/>
        <v>43</v>
      </c>
      <c r="D392">
        <f t="shared" si="59"/>
        <v>54</v>
      </c>
      <c r="E392">
        <f t="shared" si="58"/>
        <v>80</v>
      </c>
      <c r="F392">
        <f t="shared" si="58"/>
        <v>124</v>
      </c>
      <c r="G392">
        <f t="shared" si="58"/>
        <v>145</v>
      </c>
      <c r="H392">
        <f t="shared" si="52"/>
        <v>177</v>
      </c>
      <c r="I392">
        <f t="shared" si="52"/>
        <v>199</v>
      </c>
      <c r="J392">
        <f t="shared" si="52"/>
        <v>232</v>
      </c>
      <c r="K392">
        <f t="shared" si="52"/>
        <v>252</v>
      </c>
      <c r="L392">
        <f t="shared" si="52"/>
        <v>270</v>
      </c>
      <c r="M392">
        <f t="shared" si="52"/>
        <v>285</v>
      </c>
      <c r="N392">
        <f t="shared" si="52"/>
        <v>297</v>
      </c>
      <c r="O392">
        <f t="shared" si="52"/>
        <v>322</v>
      </c>
      <c r="P392">
        <f t="shared" si="52"/>
        <v>340</v>
      </c>
      <c r="Q392">
        <f t="shared" si="53"/>
        <v>366</v>
      </c>
      <c r="S392" t="str">
        <f t="shared" si="54"/>
        <v>30.11.2025</v>
      </c>
      <c r="T392" t="str">
        <f t="shared" si="55"/>
        <v>20:30:00</v>
      </c>
      <c r="U392" t="str">
        <f t="shared" si="56"/>
        <v>30.11.2025 20:30:00</v>
      </c>
      <c r="V392" s="9" t="str">
        <f>MID($A392,C392+C$2+1,D392-C392-C$2-1)</f>
        <v>0</v>
      </c>
      <c r="W392" s="4">
        <f>VALUE(SUBSTITUTE(MID($A392,D392+D$2+1,E392-D392-D$2-1),",","."))</f>
        <v>0</v>
      </c>
      <c r="X392" s="4">
        <f>VALUE(SUBSTITUTE(MID($A392,E392+E$2+1,F392-E392-E$2-1),",","."))</f>
        <v>0.90957602214449496</v>
      </c>
      <c r="Y392" s="4">
        <f>VALUE(SUBSTITUTE(MID($A392,F392+F$2+1,G392-F392-F$2-1),",","."))</f>
        <v>0</v>
      </c>
      <c r="Z392" s="3">
        <f>VALUE(SUBSTITUTE(MID($A392,G392+G$2+1,H392-G392-G$2-1),",","."))</f>
        <v>0</v>
      </c>
      <c r="AA392" s="3">
        <f>VALUE(SUBSTITUTE(MID($A392,H392+H$2+1,I392-H392-H$2-1),",","."))</f>
        <v>0</v>
      </c>
      <c r="AB392" s="3">
        <f>VALUE(SUBSTITUTE(MID($A392,I392+I$2+1,J392-I392-I$2-1),",","."))</f>
        <v>0</v>
      </c>
      <c r="AC392" s="3">
        <f>VALUE(SUBSTITUTE(MID($A392,J392+J$2+1,K392-J392-J$2-1),",","."))</f>
        <v>2.85</v>
      </c>
      <c r="AD392" s="3">
        <f>VALUE(SUBSTITUTE(MID($A392,K392+K$2+1,L392-K392-K$2-1),",","."))</f>
        <v>24.3</v>
      </c>
      <c r="AE392" s="3">
        <f>VALUE(SUBSTITUTE(MID($A392,L392+L$2+1,M392-L392-L$2-1),",","."))</f>
        <v>0</v>
      </c>
      <c r="AF392" s="3">
        <f>VALUE(SUBSTITUTE(MID($A392,M392+M$2+1,N392-M392-M$2-1),",","."))</f>
        <v>0</v>
      </c>
      <c r="AG392" s="3">
        <f>VALUE(SUBSTITUTE(MID($A392,N392+N$2+1,O392-N392-N$2-1),",","."))</f>
        <v>4.2145549811421903</v>
      </c>
      <c r="AH392" t="str">
        <f>MID($A392,O392+O$2+1,P392-O392-O$2-1)</f>
        <v/>
      </c>
      <c r="AI392" s="8" t="str">
        <f>MID($A392,P392+P$2+1,Q392-P392-P$2-1)</f>
        <v>False</v>
      </c>
      <c r="AK392" t="b">
        <f t="shared" si="57"/>
        <v>0</v>
      </c>
    </row>
    <row r="393" spans="1:37" x14ac:dyDescent="0.35">
      <c r="A393" t="s">
        <v>4940</v>
      </c>
      <c r="B393">
        <f t="shared" si="59"/>
        <v>10</v>
      </c>
      <c r="C393">
        <f t="shared" si="59"/>
        <v>43</v>
      </c>
      <c r="D393">
        <f t="shared" si="59"/>
        <v>54</v>
      </c>
      <c r="E393">
        <f t="shared" si="58"/>
        <v>80</v>
      </c>
      <c r="F393">
        <f t="shared" si="58"/>
        <v>124</v>
      </c>
      <c r="G393">
        <f t="shared" si="58"/>
        <v>145</v>
      </c>
      <c r="H393">
        <f t="shared" si="52"/>
        <v>177</v>
      </c>
      <c r="I393">
        <f t="shared" si="52"/>
        <v>199</v>
      </c>
      <c r="J393">
        <f t="shared" si="52"/>
        <v>232</v>
      </c>
      <c r="K393">
        <f t="shared" si="52"/>
        <v>252</v>
      </c>
      <c r="L393">
        <f t="shared" si="52"/>
        <v>270</v>
      </c>
      <c r="M393">
        <f t="shared" si="52"/>
        <v>285</v>
      </c>
      <c r="N393">
        <f t="shared" si="52"/>
        <v>297</v>
      </c>
      <c r="O393">
        <f t="shared" si="52"/>
        <v>322</v>
      </c>
      <c r="P393">
        <f t="shared" si="52"/>
        <v>340</v>
      </c>
      <c r="Q393">
        <f t="shared" si="53"/>
        <v>366</v>
      </c>
      <c r="S393" t="str">
        <f t="shared" si="54"/>
        <v>30.11.2025</v>
      </c>
      <c r="T393" t="str">
        <f t="shared" si="55"/>
        <v>20:45:00</v>
      </c>
      <c r="U393" t="str">
        <f t="shared" si="56"/>
        <v>30.11.2025 20:45:00</v>
      </c>
      <c r="V393" s="9" t="str">
        <f>MID($A393,C393+C$2+1,D393-C393-C$2-1)</f>
        <v>0</v>
      </c>
      <c r="W393" s="4">
        <f>VALUE(SUBSTITUTE(MID($A393,D393+D$2+1,E393-D393-D$2-1),",","."))</f>
        <v>0</v>
      </c>
      <c r="X393" s="4">
        <f>VALUE(SUBSTITUTE(MID($A393,E393+E$2+1,F393-E393-E$2-1),",","."))</f>
        <v>0.90957602214449496</v>
      </c>
      <c r="Y393" s="4">
        <f>VALUE(SUBSTITUTE(MID($A393,F393+F$2+1,G393-F393-F$2-1),",","."))</f>
        <v>0</v>
      </c>
      <c r="Z393" s="3">
        <f>VALUE(SUBSTITUTE(MID($A393,G393+G$2+1,H393-G393-G$2-1),",","."))</f>
        <v>0</v>
      </c>
      <c r="AA393" s="3">
        <f>VALUE(SUBSTITUTE(MID($A393,H393+H$2+1,I393-H393-H$2-1),",","."))</f>
        <v>0</v>
      </c>
      <c r="AB393" s="3">
        <f>VALUE(SUBSTITUTE(MID($A393,I393+I$2+1,J393-I393-I$2-1),",","."))</f>
        <v>0</v>
      </c>
      <c r="AC393" s="3">
        <f>VALUE(SUBSTITUTE(MID($A393,J393+J$2+1,K393-J393-J$2-1),",","."))</f>
        <v>2.85</v>
      </c>
      <c r="AD393" s="3">
        <f>VALUE(SUBSTITUTE(MID($A393,K393+K$2+1,L393-K393-K$2-1),",","."))</f>
        <v>24.3</v>
      </c>
      <c r="AE393" s="3">
        <f>VALUE(SUBSTITUTE(MID($A393,L393+L$2+1,M393-L393-L$2-1),",","."))</f>
        <v>0</v>
      </c>
      <c r="AF393" s="3">
        <f>VALUE(SUBSTITUTE(MID($A393,M393+M$2+1,N393-M393-M$2-1),",","."))</f>
        <v>0</v>
      </c>
      <c r="AG393" s="3">
        <f>VALUE(SUBSTITUTE(MID($A393,N393+N$2+1,O393-N393-N$2-1),",","."))</f>
        <v>4.2145835010302699</v>
      </c>
      <c r="AH393" t="str">
        <f>MID($A393,O393+O$2+1,P393-O393-O$2-1)</f>
        <v/>
      </c>
      <c r="AI393" s="8" t="str">
        <f>MID($A393,P393+P$2+1,Q393-P393-P$2-1)</f>
        <v>False</v>
      </c>
      <c r="AK393" t="b">
        <f t="shared" si="57"/>
        <v>0</v>
      </c>
    </row>
    <row r="394" spans="1:37" x14ac:dyDescent="0.35">
      <c r="A394" t="s">
        <v>4941</v>
      </c>
      <c r="B394">
        <f t="shared" si="59"/>
        <v>10</v>
      </c>
      <c r="C394">
        <f t="shared" si="59"/>
        <v>43</v>
      </c>
      <c r="D394">
        <f t="shared" si="59"/>
        <v>54</v>
      </c>
      <c r="E394">
        <f t="shared" si="58"/>
        <v>80</v>
      </c>
      <c r="F394">
        <f t="shared" si="58"/>
        <v>124</v>
      </c>
      <c r="G394">
        <f t="shared" si="58"/>
        <v>145</v>
      </c>
      <c r="H394">
        <f t="shared" si="52"/>
        <v>177</v>
      </c>
      <c r="I394">
        <f t="shared" si="52"/>
        <v>199</v>
      </c>
      <c r="J394">
        <f t="shared" si="52"/>
        <v>232</v>
      </c>
      <c r="K394">
        <f t="shared" si="52"/>
        <v>252</v>
      </c>
      <c r="L394">
        <f t="shared" si="52"/>
        <v>270</v>
      </c>
      <c r="M394">
        <f t="shared" si="52"/>
        <v>285</v>
      </c>
      <c r="N394">
        <f t="shared" si="52"/>
        <v>297</v>
      </c>
      <c r="O394">
        <f t="shared" si="52"/>
        <v>322</v>
      </c>
      <c r="P394">
        <f t="shared" si="52"/>
        <v>340</v>
      </c>
      <c r="Q394">
        <f t="shared" si="53"/>
        <v>366</v>
      </c>
      <c r="S394" t="str">
        <f t="shared" si="54"/>
        <v>30.11.2025</v>
      </c>
      <c r="T394" t="str">
        <f t="shared" si="55"/>
        <v>21:00:00</v>
      </c>
      <c r="U394" t="str">
        <f t="shared" si="56"/>
        <v>30.11.2025 21:00:00</v>
      </c>
      <c r="V394" s="9" t="str">
        <f>MID($A394,C394+C$2+1,D394-C394-C$2-1)</f>
        <v>0</v>
      </c>
      <c r="W394" s="4">
        <f>VALUE(SUBSTITUTE(MID($A394,D394+D$2+1,E394-D394-D$2-1),",","."))</f>
        <v>0</v>
      </c>
      <c r="X394" s="4">
        <f>VALUE(SUBSTITUTE(MID($A394,E394+E$2+1,F394-E394-E$2-1),",","."))</f>
        <v>0.90957602214449496</v>
      </c>
      <c r="Y394" s="4">
        <f>VALUE(SUBSTITUTE(MID($A394,F394+F$2+1,G394-F394-F$2-1),",","."))</f>
        <v>0</v>
      </c>
      <c r="Z394" s="3">
        <f>VALUE(SUBSTITUTE(MID($A394,G394+G$2+1,H394-G394-G$2-1),",","."))</f>
        <v>0</v>
      </c>
      <c r="AA394" s="3">
        <f>VALUE(SUBSTITUTE(MID($A394,H394+H$2+1,I394-H394-H$2-1),",","."))</f>
        <v>0</v>
      </c>
      <c r="AB394" s="3">
        <f>VALUE(SUBSTITUTE(MID($A394,I394+I$2+1,J394-I394-I$2-1),",","."))</f>
        <v>0</v>
      </c>
      <c r="AC394" s="3">
        <f>VALUE(SUBSTITUTE(MID($A394,J394+J$2+1,K394-J394-J$2-1),",","."))</f>
        <v>2.85</v>
      </c>
      <c r="AD394" s="3">
        <f>VALUE(SUBSTITUTE(MID($A394,K394+K$2+1,L394-K394-K$2-1),",","."))</f>
        <v>24.3</v>
      </c>
      <c r="AE394" s="3">
        <f>VALUE(SUBSTITUTE(MID($A394,L394+L$2+1,M394-L394-L$2-1),",","."))</f>
        <v>0</v>
      </c>
      <c r="AF394" s="3">
        <f>VALUE(SUBSTITUTE(MID($A394,M394+M$2+1,N394-M394-M$2-1),",","."))</f>
        <v>0</v>
      </c>
      <c r="AG394" s="3">
        <f>VALUE(SUBSTITUTE(MID($A394,N394+N$2+1,O394-N394-N$2-1),",","."))</f>
        <v>4.2146120209183504</v>
      </c>
      <c r="AH394" t="str">
        <f>MID($A394,O394+O$2+1,P394-O394-O$2-1)</f>
        <v/>
      </c>
      <c r="AI394" s="8" t="str">
        <f>MID($A394,P394+P$2+1,Q394-P394-P$2-1)</f>
        <v>False</v>
      </c>
      <c r="AK394" t="b">
        <f t="shared" si="57"/>
        <v>0</v>
      </c>
    </row>
    <row r="395" spans="1:37" x14ac:dyDescent="0.35">
      <c r="A395" t="s">
        <v>4942</v>
      </c>
      <c r="B395">
        <f t="shared" si="59"/>
        <v>10</v>
      </c>
      <c r="C395">
        <f t="shared" si="59"/>
        <v>43</v>
      </c>
      <c r="D395">
        <f t="shared" si="59"/>
        <v>54</v>
      </c>
      <c r="E395">
        <f t="shared" si="58"/>
        <v>80</v>
      </c>
      <c r="F395">
        <f t="shared" si="58"/>
        <v>124</v>
      </c>
      <c r="G395">
        <f t="shared" si="58"/>
        <v>145</v>
      </c>
      <c r="H395">
        <f t="shared" si="58"/>
        <v>177</v>
      </c>
      <c r="I395">
        <f t="shared" si="58"/>
        <v>199</v>
      </c>
      <c r="J395">
        <f t="shared" si="58"/>
        <v>232</v>
      </c>
      <c r="K395">
        <f t="shared" si="58"/>
        <v>252</v>
      </c>
      <c r="L395">
        <f t="shared" si="58"/>
        <v>270</v>
      </c>
      <c r="M395">
        <f t="shared" si="58"/>
        <v>285</v>
      </c>
      <c r="N395">
        <f t="shared" si="58"/>
        <v>297</v>
      </c>
      <c r="O395">
        <f t="shared" si="58"/>
        <v>322</v>
      </c>
      <c r="P395">
        <f t="shared" si="58"/>
        <v>340</v>
      </c>
      <c r="Q395">
        <f t="shared" si="53"/>
        <v>366</v>
      </c>
      <c r="S395" t="str">
        <f t="shared" si="54"/>
        <v>30.11.2025</v>
      </c>
      <c r="T395" t="str">
        <f t="shared" si="55"/>
        <v>21:15:00</v>
      </c>
      <c r="U395" t="str">
        <f t="shared" si="56"/>
        <v>30.11.2025 21:15:00</v>
      </c>
      <c r="V395" s="9" t="str">
        <f>MID($A395,C395+C$2+1,D395-C395-C$2-1)</f>
        <v>0</v>
      </c>
      <c r="W395" s="4">
        <f>VALUE(SUBSTITUTE(MID($A395,D395+D$2+1,E395-D395-D$2-1),",","."))</f>
        <v>0</v>
      </c>
      <c r="X395" s="4">
        <f>VALUE(SUBSTITUTE(MID($A395,E395+E$2+1,F395-E395-E$2-1),",","."))</f>
        <v>0.90957602214449496</v>
      </c>
      <c r="Y395" s="4">
        <f>VALUE(SUBSTITUTE(MID($A395,F395+F$2+1,G395-F395-F$2-1),",","."))</f>
        <v>0</v>
      </c>
      <c r="Z395" s="3">
        <f>VALUE(SUBSTITUTE(MID($A395,G395+G$2+1,H395-G395-G$2-1),",","."))</f>
        <v>0</v>
      </c>
      <c r="AA395" s="3">
        <f>VALUE(SUBSTITUTE(MID($A395,H395+H$2+1,I395-H395-H$2-1),",","."))</f>
        <v>0</v>
      </c>
      <c r="AB395" s="3">
        <f>VALUE(SUBSTITUTE(MID($A395,I395+I$2+1,J395-I395-I$2-1),",","."))</f>
        <v>0</v>
      </c>
      <c r="AC395" s="3">
        <f>VALUE(SUBSTITUTE(MID($A395,J395+J$2+1,K395-J395-J$2-1),",","."))</f>
        <v>2.85</v>
      </c>
      <c r="AD395" s="3">
        <f>VALUE(SUBSTITUTE(MID($A395,K395+K$2+1,L395-K395-K$2-1),",","."))</f>
        <v>24.3</v>
      </c>
      <c r="AE395" s="3">
        <f>VALUE(SUBSTITUTE(MID($A395,L395+L$2+1,M395-L395-L$2-1),",","."))</f>
        <v>0</v>
      </c>
      <c r="AF395" s="3">
        <f>VALUE(SUBSTITUTE(MID($A395,M395+M$2+1,N395-M395-M$2-1),",","."))</f>
        <v>0</v>
      </c>
      <c r="AG395" s="3">
        <f>VALUE(SUBSTITUTE(MID($A395,N395+N$2+1,O395-N395-N$2-1),",","."))</f>
        <v>4.21464054080643</v>
      </c>
      <c r="AH395" t="str">
        <f>MID($A395,O395+O$2+1,P395-O395-O$2-1)</f>
        <v/>
      </c>
      <c r="AI395" s="8" t="str">
        <f>MID($A395,P395+P$2+1,Q395-P395-P$2-1)</f>
        <v>False</v>
      </c>
      <c r="AK395" t="b">
        <f t="shared" si="57"/>
        <v>0</v>
      </c>
    </row>
    <row r="396" spans="1:37" x14ac:dyDescent="0.35">
      <c r="A396" t="s">
        <v>4943</v>
      </c>
      <c r="B396">
        <f t="shared" si="59"/>
        <v>10</v>
      </c>
      <c r="C396">
        <f t="shared" si="59"/>
        <v>43</v>
      </c>
      <c r="D396">
        <f t="shared" si="59"/>
        <v>54</v>
      </c>
      <c r="E396">
        <f t="shared" si="58"/>
        <v>80</v>
      </c>
      <c r="F396">
        <f t="shared" si="58"/>
        <v>124</v>
      </c>
      <c r="G396">
        <f t="shared" si="58"/>
        <v>145</v>
      </c>
      <c r="H396">
        <f t="shared" si="58"/>
        <v>177</v>
      </c>
      <c r="I396">
        <f t="shared" si="58"/>
        <v>199</v>
      </c>
      <c r="J396">
        <f t="shared" si="58"/>
        <v>232</v>
      </c>
      <c r="K396">
        <f t="shared" si="58"/>
        <v>252</v>
      </c>
      <c r="L396">
        <f t="shared" si="58"/>
        <v>284</v>
      </c>
      <c r="M396">
        <f t="shared" si="58"/>
        <v>299</v>
      </c>
      <c r="N396">
        <f t="shared" si="58"/>
        <v>311</v>
      </c>
      <c r="O396">
        <f t="shared" si="58"/>
        <v>336</v>
      </c>
      <c r="P396">
        <f t="shared" si="58"/>
        <v>354</v>
      </c>
      <c r="Q396">
        <f t="shared" si="53"/>
        <v>380</v>
      </c>
      <c r="S396" t="str">
        <f t="shared" si="54"/>
        <v>30.11.2025</v>
      </c>
      <c r="T396" t="str">
        <f t="shared" si="55"/>
        <v>21:30:00</v>
      </c>
      <c r="U396" t="str">
        <f t="shared" si="56"/>
        <v>30.11.2025 21:30:00</v>
      </c>
      <c r="V396" s="9" t="str">
        <f>MID($A396,C396+C$2+1,D396-C396-C$2-1)</f>
        <v>0</v>
      </c>
      <c r="W396" s="4">
        <f>VALUE(SUBSTITUTE(MID($A396,D396+D$2+1,E396-D396-D$2-1),",","."))</f>
        <v>0</v>
      </c>
      <c r="X396" s="4">
        <f>VALUE(SUBSTITUTE(MID($A396,E396+E$2+1,F396-E396-E$2-1),",","."))</f>
        <v>0.90957602214449496</v>
      </c>
      <c r="Y396" s="4">
        <f>VALUE(SUBSTITUTE(MID($A396,F396+F$2+1,G396-F396-F$2-1),",","."))</f>
        <v>0</v>
      </c>
      <c r="Z396" s="3">
        <f>VALUE(SUBSTITUTE(MID($A396,G396+G$2+1,H396-G396-G$2-1),",","."))</f>
        <v>0</v>
      </c>
      <c r="AA396" s="3">
        <f>VALUE(SUBSTITUTE(MID($A396,H396+H$2+1,I396-H396-H$2-1),",","."))</f>
        <v>0</v>
      </c>
      <c r="AB396" s="3">
        <f>VALUE(SUBSTITUTE(MID($A396,I396+I$2+1,J396-I396-I$2-1),",","."))</f>
        <v>0</v>
      </c>
      <c r="AC396" s="3">
        <f>VALUE(SUBSTITUTE(MID($A396,J396+J$2+1,K396-J396-J$2-1),",","."))</f>
        <v>2.75</v>
      </c>
      <c r="AD396" s="3">
        <f>VALUE(SUBSTITUTE(MID($A396,K396+K$2+1,L396-K396-K$2-1),",","."))</f>
        <v>23.759999999999899</v>
      </c>
      <c r="AE396" s="3">
        <f>VALUE(SUBSTITUTE(MID($A396,L396+L$2+1,M396-L396-L$2-1),",","."))</f>
        <v>0</v>
      </c>
      <c r="AF396" s="3">
        <f>VALUE(SUBSTITUTE(MID($A396,M396+M$2+1,N396-M396-M$2-1),",","."))</f>
        <v>0</v>
      </c>
      <c r="AG396" s="3">
        <f>VALUE(SUBSTITUTE(MID($A396,N396+N$2+1,O396-N396-N$2-1),",","."))</f>
        <v>4.2146690606945096</v>
      </c>
      <c r="AH396" t="str">
        <f>MID($A396,O396+O$2+1,P396-O396-O$2-1)</f>
        <v/>
      </c>
      <c r="AI396" s="8" t="str">
        <f>MID($A396,P396+P$2+1,Q396-P396-P$2-1)</f>
        <v>False</v>
      </c>
      <c r="AK396" t="b">
        <f t="shared" si="57"/>
        <v>0</v>
      </c>
    </row>
    <row r="397" spans="1:37" x14ac:dyDescent="0.35">
      <c r="A397" t="s">
        <v>4944</v>
      </c>
      <c r="B397">
        <f t="shared" si="59"/>
        <v>10</v>
      </c>
      <c r="C397">
        <f t="shared" si="59"/>
        <v>43</v>
      </c>
      <c r="D397">
        <f t="shared" si="59"/>
        <v>54</v>
      </c>
      <c r="E397">
        <f t="shared" si="58"/>
        <v>80</v>
      </c>
      <c r="F397">
        <f t="shared" si="58"/>
        <v>124</v>
      </c>
      <c r="G397">
        <f t="shared" si="58"/>
        <v>145</v>
      </c>
      <c r="H397">
        <f t="shared" si="58"/>
        <v>177</v>
      </c>
      <c r="I397">
        <f t="shared" si="58"/>
        <v>199</v>
      </c>
      <c r="J397">
        <f t="shared" si="58"/>
        <v>232</v>
      </c>
      <c r="K397">
        <f t="shared" si="58"/>
        <v>252</v>
      </c>
      <c r="L397">
        <f t="shared" si="58"/>
        <v>284</v>
      </c>
      <c r="M397">
        <f t="shared" si="58"/>
        <v>299</v>
      </c>
      <c r="N397">
        <f t="shared" si="58"/>
        <v>311</v>
      </c>
      <c r="O397">
        <f t="shared" si="58"/>
        <v>336</v>
      </c>
      <c r="P397">
        <f t="shared" si="58"/>
        <v>354</v>
      </c>
      <c r="Q397">
        <f t="shared" si="53"/>
        <v>380</v>
      </c>
      <c r="S397" t="str">
        <f t="shared" si="54"/>
        <v>30.11.2025</v>
      </c>
      <c r="T397" t="str">
        <f t="shared" si="55"/>
        <v>21:45:00</v>
      </c>
      <c r="U397" t="str">
        <f t="shared" si="56"/>
        <v>30.11.2025 21:45:00</v>
      </c>
      <c r="V397" s="9" t="str">
        <f>MID($A397,C397+C$2+1,D397-C397-C$2-1)</f>
        <v>0</v>
      </c>
      <c r="W397" s="4">
        <f>VALUE(SUBSTITUTE(MID($A397,D397+D$2+1,E397-D397-D$2-1),",","."))</f>
        <v>0</v>
      </c>
      <c r="X397" s="4">
        <f>VALUE(SUBSTITUTE(MID($A397,E397+E$2+1,F397-E397-E$2-1),",","."))</f>
        <v>0.90957602214449496</v>
      </c>
      <c r="Y397" s="4">
        <f>VALUE(SUBSTITUTE(MID($A397,F397+F$2+1,G397-F397-F$2-1),",","."))</f>
        <v>0</v>
      </c>
      <c r="Z397" s="3">
        <f>VALUE(SUBSTITUTE(MID($A397,G397+G$2+1,H397-G397-G$2-1),",","."))</f>
        <v>0</v>
      </c>
      <c r="AA397" s="3">
        <f>VALUE(SUBSTITUTE(MID($A397,H397+H$2+1,I397-H397-H$2-1),",","."))</f>
        <v>0</v>
      </c>
      <c r="AB397" s="3">
        <f>VALUE(SUBSTITUTE(MID($A397,I397+I$2+1,J397-I397-I$2-1),",","."))</f>
        <v>0</v>
      </c>
      <c r="AC397" s="3">
        <f>VALUE(SUBSTITUTE(MID($A397,J397+J$2+1,K397-J397-J$2-1),",","."))</f>
        <v>2.75</v>
      </c>
      <c r="AD397" s="3">
        <f>VALUE(SUBSTITUTE(MID($A397,K397+K$2+1,L397-K397-K$2-1),",","."))</f>
        <v>23.759999999999899</v>
      </c>
      <c r="AE397" s="3">
        <f>VALUE(SUBSTITUTE(MID($A397,L397+L$2+1,M397-L397-L$2-1),",","."))</f>
        <v>0</v>
      </c>
      <c r="AF397" s="3">
        <f>VALUE(SUBSTITUTE(MID($A397,M397+M$2+1,N397-M397-M$2-1),",","."))</f>
        <v>0</v>
      </c>
      <c r="AG397" s="3">
        <f>VALUE(SUBSTITUTE(MID($A397,N397+N$2+1,O397-N397-N$2-1),",","."))</f>
        <v>4.2146975805825999</v>
      </c>
      <c r="AH397" t="str">
        <f>MID($A397,O397+O$2+1,P397-O397-O$2-1)</f>
        <v/>
      </c>
      <c r="AI397" s="8" t="str">
        <f>MID($A397,P397+P$2+1,Q397-P397-P$2-1)</f>
        <v>False</v>
      </c>
      <c r="AK397" t="b">
        <f t="shared" si="57"/>
        <v>0</v>
      </c>
    </row>
    <row r="398" spans="1:37" x14ac:dyDescent="0.35">
      <c r="A398" t="s">
        <v>4945</v>
      </c>
      <c r="B398">
        <f t="shared" si="59"/>
        <v>10</v>
      </c>
      <c r="C398">
        <f t="shared" si="59"/>
        <v>43</v>
      </c>
      <c r="D398">
        <f t="shared" si="59"/>
        <v>54</v>
      </c>
      <c r="E398">
        <f t="shared" si="58"/>
        <v>80</v>
      </c>
      <c r="F398">
        <f t="shared" si="58"/>
        <v>124</v>
      </c>
      <c r="G398">
        <f t="shared" si="58"/>
        <v>145</v>
      </c>
      <c r="H398">
        <f t="shared" si="58"/>
        <v>177</v>
      </c>
      <c r="I398">
        <f t="shared" si="58"/>
        <v>199</v>
      </c>
      <c r="J398">
        <f t="shared" si="58"/>
        <v>232</v>
      </c>
      <c r="K398">
        <f t="shared" si="58"/>
        <v>252</v>
      </c>
      <c r="L398">
        <f t="shared" si="58"/>
        <v>284</v>
      </c>
      <c r="M398">
        <f t="shared" si="58"/>
        <v>299</v>
      </c>
      <c r="N398">
        <f t="shared" si="58"/>
        <v>311</v>
      </c>
      <c r="O398">
        <f t="shared" si="58"/>
        <v>336</v>
      </c>
      <c r="P398">
        <f t="shared" si="58"/>
        <v>354</v>
      </c>
      <c r="Q398">
        <f t="shared" si="53"/>
        <v>380</v>
      </c>
      <c r="S398" t="str">
        <f t="shared" si="54"/>
        <v>30.11.2025</v>
      </c>
      <c r="T398" t="str">
        <f t="shared" si="55"/>
        <v>22:00:00</v>
      </c>
      <c r="U398" t="str">
        <f t="shared" si="56"/>
        <v>30.11.2025 22:00:00</v>
      </c>
      <c r="V398" s="9" t="str">
        <f>MID($A398,C398+C$2+1,D398-C398-C$2-1)</f>
        <v>0</v>
      </c>
      <c r="W398" s="4">
        <f>VALUE(SUBSTITUTE(MID($A398,D398+D$2+1,E398-D398-D$2-1),",","."))</f>
        <v>0</v>
      </c>
      <c r="X398" s="4">
        <f>VALUE(SUBSTITUTE(MID($A398,E398+E$2+1,F398-E398-E$2-1),",","."))</f>
        <v>0.90957602214449496</v>
      </c>
      <c r="Y398" s="4">
        <f>VALUE(SUBSTITUTE(MID($A398,F398+F$2+1,G398-F398-F$2-1),",","."))</f>
        <v>0</v>
      </c>
      <c r="Z398" s="3">
        <f>VALUE(SUBSTITUTE(MID($A398,G398+G$2+1,H398-G398-G$2-1),",","."))</f>
        <v>0</v>
      </c>
      <c r="AA398" s="3">
        <f>VALUE(SUBSTITUTE(MID($A398,H398+H$2+1,I398-H398-H$2-1),",","."))</f>
        <v>0</v>
      </c>
      <c r="AB398" s="3">
        <f>VALUE(SUBSTITUTE(MID($A398,I398+I$2+1,J398-I398-I$2-1),",","."))</f>
        <v>0</v>
      </c>
      <c r="AC398" s="3">
        <f>VALUE(SUBSTITUTE(MID($A398,J398+J$2+1,K398-J398-J$2-1),",","."))</f>
        <v>2.75</v>
      </c>
      <c r="AD398" s="3">
        <f>VALUE(SUBSTITUTE(MID($A398,K398+K$2+1,L398-K398-K$2-1),",","."))</f>
        <v>23.759999999999899</v>
      </c>
      <c r="AE398" s="3">
        <f>VALUE(SUBSTITUTE(MID($A398,L398+L$2+1,M398-L398-L$2-1),",","."))</f>
        <v>0</v>
      </c>
      <c r="AF398" s="3">
        <f>VALUE(SUBSTITUTE(MID($A398,M398+M$2+1,N398-M398-M$2-1),",","."))</f>
        <v>0</v>
      </c>
      <c r="AG398" s="3">
        <f>VALUE(SUBSTITUTE(MID($A398,N398+N$2+1,O398-N398-N$2-1),",","."))</f>
        <v>4.2147261004706804</v>
      </c>
      <c r="AH398" t="str">
        <f>MID($A398,O398+O$2+1,P398-O398-O$2-1)</f>
        <v/>
      </c>
      <c r="AI398" s="8" t="str">
        <f>MID($A398,P398+P$2+1,Q398-P398-P$2-1)</f>
        <v>False</v>
      </c>
      <c r="AK398" t="b">
        <f t="shared" si="57"/>
        <v>0</v>
      </c>
    </row>
    <row r="399" spans="1:37" x14ac:dyDescent="0.35">
      <c r="A399" t="s">
        <v>4946</v>
      </c>
      <c r="B399">
        <f t="shared" si="59"/>
        <v>10</v>
      </c>
      <c r="C399">
        <f t="shared" si="59"/>
        <v>43</v>
      </c>
      <c r="D399">
        <f t="shared" si="59"/>
        <v>54</v>
      </c>
      <c r="E399">
        <f t="shared" si="58"/>
        <v>80</v>
      </c>
      <c r="F399">
        <f t="shared" si="58"/>
        <v>124</v>
      </c>
      <c r="G399">
        <f t="shared" si="58"/>
        <v>145</v>
      </c>
      <c r="H399">
        <f t="shared" si="58"/>
        <v>177</v>
      </c>
      <c r="I399">
        <f t="shared" si="58"/>
        <v>199</v>
      </c>
      <c r="J399">
        <f t="shared" si="58"/>
        <v>232</v>
      </c>
      <c r="K399">
        <f t="shared" si="58"/>
        <v>252</v>
      </c>
      <c r="L399">
        <f t="shared" si="58"/>
        <v>284</v>
      </c>
      <c r="M399">
        <f t="shared" si="58"/>
        <v>299</v>
      </c>
      <c r="N399">
        <f t="shared" si="58"/>
        <v>311</v>
      </c>
      <c r="O399">
        <f t="shared" si="58"/>
        <v>337</v>
      </c>
      <c r="P399">
        <f t="shared" si="58"/>
        <v>355</v>
      </c>
      <c r="Q399">
        <f t="shared" si="53"/>
        <v>381</v>
      </c>
      <c r="S399" t="str">
        <f t="shared" si="54"/>
        <v>30.11.2025</v>
      </c>
      <c r="T399" t="str">
        <f t="shared" si="55"/>
        <v>22:15:00</v>
      </c>
      <c r="U399" t="str">
        <f t="shared" si="56"/>
        <v>30.11.2025 22:15:00</v>
      </c>
      <c r="V399" s="9" t="str">
        <f>MID($A399,C399+C$2+1,D399-C399-C$2-1)</f>
        <v>0</v>
      </c>
      <c r="W399" s="4">
        <f>VALUE(SUBSTITUTE(MID($A399,D399+D$2+1,E399-D399-D$2-1),",","."))</f>
        <v>0</v>
      </c>
      <c r="X399" s="4">
        <f>VALUE(SUBSTITUTE(MID($A399,E399+E$2+1,F399-E399-E$2-1),",","."))</f>
        <v>0.90957602214449496</v>
      </c>
      <c r="Y399" s="4">
        <f>VALUE(SUBSTITUTE(MID($A399,F399+F$2+1,G399-F399-F$2-1),",","."))</f>
        <v>0</v>
      </c>
      <c r="Z399" s="3">
        <f>VALUE(SUBSTITUTE(MID($A399,G399+G$2+1,H399-G399-G$2-1),",","."))</f>
        <v>0</v>
      </c>
      <c r="AA399" s="3">
        <f>VALUE(SUBSTITUTE(MID($A399,H399+H$2+1,I399-H399-H$2-1),",","."))</f>
        <v>0</v>
      </c>
      <c r="AB399" s="3">
        <f>VALUE(SUBSTITUTE(MID($A399,I399+I$2+1,J399-I399-I$2-1),",","."))</f>
        <v>0</v>
      </c>
      <c r="AC399" s="3">
        <f>VALUE(SUBSTITUTE(MID($A399,J399+J$2+1,K399-J399-J$2-1),",","."))</f>
        <v>2.75</v>
      </c>
      <c r="AD399" s="3">
        <f>VALUE(SUBSTITUTE(MID($A399,K399+K$2+1,L399-K399-K$2-1),",","."))</f>
        <v>23.759999999999899</v>
      </c>
      <c r="AE399" s="3">
        <f>VALUE(SUBSTITUTE(MID($A399,L399+L$2+1,M399-L399-L$2-1),",","."))</f>
        <v>0</v>
      </c>
      <c r="AF399" s="3">
        <f>VALUE(SUBSTITUTE(MID($A399,M399+M$2+1,N399-M399-M$2-1),",","."))</f>
        <v>0</v>
      </c>
      <c r="AG399" s="3">
        <f>VALUE(SUBSTITUTE(MID($A399,N399+N$2+1,O399-N399-N$2-1),",","."))</f>
        <v>4.21475462035876</v>
      </c>
      <c r="AH399" t="str">
        <f>MID($A399,O399+O$2+1,P399-O399-O$2-1)</f>
        <v/>
      </c>
      <c r="AI399" s="8" t="str">
        <f>MID($A399,P399+P$2+1,Q399-P399-P$2-1)</f>
        <v>False</v>
      </c>
      <c r="AK399" t="b">
        <f t="shared" si="57"/>
        <v>0</v>
      </c>
    </row>
    <row r="400" spans="1:37" x14ac:dyDescent="0.35">
      <c r="A400" t="s">
        <v>4947</v>
      </c>
      <c r="B400">
        <f t="shared" si="59"/>
        <v>10</v>
      </c>
      <c r="C400">
        <f t="shared" si="59"/>
        <v>43</v>
      </c>
      <c r="D400">
        <f t="shared" si="59"/>
        <v>54</v>
      </c>
      <c r="E400">
        <f t="shared" si="58"/>
        <v>80</v>
      </c>
      <c r="F400">
        <f t="shared" si="58"/>
        <v>124</v>
      </c>
      <c r="G400">
        <f t="shared" si="58"/>
        <v>145</v>
      </c>
      <c r="H400">
        <f t="shared" si="58"/>
        <v>177</v>
      </c>
      <c r="I400">
        <f t="shared" si="58"/>
        <v>199</v>
      </c>
      <c r="J400">
        <f t="shared" si="58"/>
        <v>232</v>
      </c>
      <c r="K400">
        <f t="shared" si="58"/>
        <v>266</v>
      </c>
      <c r="L400">
        <f t="shared" si="58"/>
        <v>285</v>
      </c>
      <c r="M400">
        <f t="shared" si="58"/>
        <v>300</v>
      </c>
      <c r="N400">
        <f t="shared" si="58"/>
        <v>312</v>
      </c>
      <c r="O400">
        <f t="shared" si="58"/>
        <v>337</v>
      </c>
      <c r="P400">
        <f t="shared" si="58"/>
        <v>355</v>
      </c>
      <c r="Q400">
        <f t="shared" si="53"/>
        <v>381</v>
      </c>
      <c r="S400" t="str">
        <f t="shared" si="54"/>
        <v>30.11.2025</v>
      </c>
      <c r="T400" t="str">
        <f t="shared" si="55"/>
        <v>22:30:00</v>
      </c>
      <c r="U400" t="str">
        <f t="shared" si="56"/>
        <v>30.11.2025 22:30:00</v>
      </c>
      <c r="V400" s="9" t="str">
        <f>MID($A400,C400+C$2+1,D400-C400-C$2-1)</f>
        <v>0</v>
      </c>
      <c r="W400" s="4">
        <f>VALUE(SUBSTITUTE(MID($A400,D400+D$2+1,E400-D400-D$2-1),",","."))</f>
        <v>0</v>
      </c>
      <c r="X400" s="4">
        <f>VALUE(SUBSTITUTE(MID($A400,E400+E$2+1,F400-E400-E$2-1),",","."))</f>
        <v>0.90957602214449496</v>
      </c>
      <c r="Y400" s="4">
        <f>VALUE(SUBSTITUTE(MID($A400,F400+F$2+1,G400-F400-F$2-1),",","."))</f>
        <v>0</v>
      </c>
      <c r="Z400" s="3">
        <f>VALUE(SUBSTITUTE(MID($A400,G400+G$2+1,H400-G400-G$2-1),",","."))</f>
        <v>0</v>
      </c>
      <c r="AA400" s="3">
        <f>VALUE(SUBSTITUTE(MID($A400,H400+H$2+1,I400-H400-H$2-1),",","."))</f>
        <v>0</v>
      </c>
      <c r="AB400" s="3">
        <f>VALUE(SUBSTITUTE(MID($A400,I400+I$2+1,J400-I400-I$2-1),",","."))</f>
        <v>0</v>
      </c>
      <c r="AC400" s="3">
        <f>VALUE(SUBSTITUTE(MID($A400,J400+J$2+1,K400-J400-J$2-1),",","."))</f>
        <v>2.5999999999999899</v>
      </c>
      <c r="AD400" s="3">
        <f>VALUE(SUBSTITUTE(MID($A400,K400+K$2+1,L400-K400-K$2-1),",","."))</f>
        <v>22.14</v>
      </c>
      <c r="AE400" s="3">
        <f>VALUE(SUBSTITUTE(MID($A400,L400+L$2+1,M400-L400-L$2-1),",","."))</f>
        <v>0</v>
      </c>
      <c r="AF400" s="3">
        <f>VALUE(SUBSTITUTE(MID($A400,M400+M$2+1,N400-M400-M$2-1),",","."))</f>
        <v>0</v>
      </c>
      <c r="AG400" s="3">
        <f>VALUE(SUBSTITUTE(MID($A400,N400+N$2+1,O400-N400-N$2-1),",","."))</f>
        <v>4.2147831402468396</v>
      </c>
      <c r="AH400" t="str">
        <f>MID($A400,O400+O$2+1,P400-O400-O$2-1)</f>
        <v/>
      </c>
      <c r="AI400" s="8" t="str">
        <f>MID($A400,P400+P$2+1,Q400-P400-P$2-1)</f>
        <v>False</v>
      </c>
      <c r="AK400" t="b">
        <f t="shared" si="57"/>
        <v>0</v>
      </c>
    </row>
    <row r="401" spans="1:37" x14ac:dyDescent="0.35">
      <c r="A401" t="s">
        <v>4948</v>
      </c>
      <c r="B401">
        <f t="shared" si="59"/>
        <v>10</v>
      </c>
      <c r="C401">
        <f t="shared" si="59"/>
        <v>43</v>
      </c>
      <c r="D401">
        <f t="shared" si="59"/>
        <v>54</v>
      </c>
      <c r="E401">
        <f t="shared" si="58"/>
        <v>80</v>
      </c>
      <c r="F401">
        <f t="shared" si="58"/>
        <v>124</v>
      </c>
      <c r="G401">
        <f t="shared" si="58"/>
        <v>145</v>
      </c>
      <c r="H401">
        <f t="shared" si="58"/>
        <v>177</v>
      </c>
      <c r="I401">
        <f t="shared" si="58"/>
        <v>199</v>
      </c>
      <c r="J401">
        <f t="shared" si="58"/>
        <v>232</v>
      </c>
      <c r="K401">
        <f t="shared" si="58"/>
        <v>266</v>
      </c>
      <c r="L401">
        <f t="shared" si="58"/>
        <v>285</v>
      </c>
      <c r="M401">
        <f t="shared" si="58"/>
        <v>300</v>
      </c>
      <c r="N401">
        <f t="shared" si="58"/>
        <v>312</v>
      </c>
      <c r="O401">
        <f t="shared" si="58"/>
        <v>337</v>
      </c>
      <c r="P401">
        <f t="shared" si="58"/>
        <v>355</v>
      </c>
      <c r="Q401">
        <f t="shared" si="53"/>
        <v>381</v>
      </c>
      <c r="S401" t="str">
        <f t="shared" si="54"/>
        <v>30.11.2025</v>
      </c>
      <c r="T401" t="str">
        <f t="shared" si="55"/>
        <v>22:45:00</v>
      </c>
      <c r="U401" t="str">
        <f t="shared" si="56"/>
        <v>30.11.2025 22:45:00</v>
      </c>
      <c r="V401" s="9" t="str">
        <f>MID($A401,C401+C$2+1,D401-C401-C$2-1)</f>
        <v>0</v>
      </c>
      <c r="W401" s="4">
        <f>VALUE(SUBSTITUTE(MID($A401,D401+D$2+1,E401-D401-D$2-1),",","."))</f>
        <v>0</v>
      </c>
      <c r="X401" s="4">
        <f>VALUE(SUBSTITUTE(MID($A401,E401+E$2+1,F401-E401-E$2-1),",","."))</f>
        <v>0.90957602214449496</v>
      </c>
      <c r="Y401" s="4">
        <f>VALUE(SUBSTITUTE(MID($A401,F401+F$2+1,G401-F401-F$2-1),",","."))</f>
        <v>0</v>
      </c>
      <c r="Z401" s="3">
        <f>VALUE(SUBSTITUTE(MID($A401,G401+G$2+1,H401-G401-G$2-1),",","."))</f>
        <v>0</v>
      </c>
      <c r="AA401" s="3">
        <f>VALUE(SUBSTITUTE(MID($A401,H401+H$2+1,I401-H401-H$2-1),",","."))</f>
        <v>0</v>
      </c>
      <c r="AB401" s="3">
        <f>VALUE(SUBSTITUTE(MID($A401,I401+I$2+1,J401-I401-I$2-1),",","."))</f>
        <v>0</v>
      </c>
      <c r="AC401" s="3">
        <f>VALUE(SUBSTITUTE(MID($A401,J401+J$2+1,K401-J401-J$2-1),",","."))</f>
        <v>2.5999999999999899</v>
      </c>
      <c r="AD401" s="3">
        <f>VALUE(SUBSTITUTE(MID($A401,K401+K$2+1,L401-K401-K$2-1),",","."))</f>
        <v>22.14</v>
      </c>
      <c r="AE401" s="3">
        <f>VALUE(SUBSTITUTE(MID($A401,L401+L$2+1,M401-L401-L$2-1),",","."))</f>
        <v>0</v>
      </c>
      <c r="AF401" s="3">
        <f>VALUE(SUBSTITUTE(MID($A401,M401+M$2+1,N401-M401-M$2-1),",","."))</f>
        <v>0</v>
      </c>
      <c r="AG401" s="3">
        <f>VALUE(SUBSTITUTE(MID($A401,N401+N$2+1,O401-N401-N$2-1),",","."))</f>
        <v>4.2148116601349201</v>
      </c>
      <c r="AH401" t="str">
        <f>MID($A401,O401+O$2+1,P401-O401-O$2-1)</f>
        <v/>
      </c>
      <c r="AI401" s="8" t="str">
        <f>MID($A401,P401+P$2+1,Q401-P401-P$2-1)</f>
        <v>False</v>
      </c>
      <c r="AK401" t="b">
        <f t="shared" si="57"/>
        <v>0</v>
      </c>
    </row>
    <row r="402" spans="1:37" x14ac:dyDescent="0.35">
      <c r="A402" t="s">
        <v>4949</v>
      </c>
      <c r="B402">
        <f t="shared" si="59"/>
        <v>10</v>
      </c>
      <c r="C402">
        <f t="shared" si="59"/>
        <v>43</v>
      </c>
      <c r="D402">
        <f t="shared" si="59"/>
        <v>54</v>
      </c>
      <c r="E402">
        <f t="shared" si="58"/>
        <v>80</v>
      </c>
      <c r="F402">
        <f t="shared" si="58"/>
        <v>124</v>
      </c>
      <c r="G402">
        <f t="shared" si="58"/>
        <v>145</v>
      </c>
      <c r="H402">
        <f t="shared" si="58"/>
        <v>177</v>
      </c>
      <c r="I402">
        <f t="shared" si="58"/>
        <v>199</v>
      </c>
      <c r="J402">
        <f t="shared" si="58"/>
        <v>232</v>
      </c>
      <c r="K402">
        <f t="shared" si="58"/>
        <v>266</v>
      </c>
      <c r="L402">
        <f t="shared" si="58"/>
        <v>285</v>
      </c>
      <c r="M402">
        <f t="shared" si="58"/>
        <v>300</v>
      </c>
      <c r="N402">
        <f t="shared" si="58"/>
        <v>312</v>
      </c>
      <c r="O402">
        <f t="shared" si="58"/>
        <v>337</v>
      </c>
      <c r="P402">
        <f t="shared" si="58"/>
        <v>355</v>
      </c>
      <c r="Q402">
        <f t="shared" si="53"/>
        <v>381</v>
      </c>
      <c r="S402" t="str">
        <f t="shared" si="54"/>
        <v>30.11.2025</v>
      </c>
      <c r="T402" t="str">
        <f t="shared" si="55"/>
        <v>23:00:00</v>
      </c>
      <c r="U402" t="str">
        <f t="shared" si="56"/>
        <v>30.11.2025 23:00:00</v>
      </c>
      <c r="V402" s="9" t="str">
        <f>MID($A402,C402+C$2+1,D402-C402-C$2-1)</f>
        <v>0</v>
      </c>
      <c r="W402" s="4">
        <f>VALUE(SUBSTITUTE(MID($A402,D402+D$2+1,E402-D402-D$2-1),",","."))</f>
        <v>0</v>
      </c>
      <c r="X402" s="4">
        <f>VALUE(SUBSTITUTE(MID($A402,E402+E$2+1,F402-E402-E$2-1),",","."))</f>
        <v>0.90957602214449496</v>
      </c>
      <c r="Y402" s="4">
        <f>VALUE(SUBSTITUTE(MID($A402,F402+F$2+1,G402-F402-F$2-1),",","."))</f>
        <v>0</v>
      </c>
      <c r="Z402" s="3">
        <f>VALUE(SUBSTITUTE(MID($A402,G402+G$2+1,H402-G402-G$2-1),",","."))</f>
        <v>0</v>
      </c>
      <c r="AA402" s="3">
        <f>VALUE(SUBSTITUTE(MID($A402,H402+H$2+1,I402-H402-H$2-1),",","."))</f>
        <v>0</v>
      </c>
      <c r="AB402" s="3">
        <f>VALUE(SUBSTITUTE(MID($A402,I402+I$2+1,J402-I402-I$2-1),",","."))</f>
        <v>0</v>
      </c>
      <c r="AC402" s="3">
        <f>VALUE(SUBSTITUTE(MID($A402,J402+J$2+1,K402-J402-J$2-1),",","."))</f>
        <v>2.5999999999999899</v>
      </c>
      <c r="AD402" s="3">
        <f>VALUE(SUBSTITUTE(MID($A402,K402+K$2+1,L402-K402-K$2-1),",","."))</f>
        <v>22.14</v>
      </c>
      <c r="AE402" s="3">
        <f>VALUE(SUBSTITUTE(MID($A402,L402+L$2+1,M402-L402-L$2-1),",","."))</f>
        <v>0</v>
      </c>
      <c r="AF402" s="3">
        <f>VALUE(SUBSTITUTE(MID($A402,M402+M$2+1,N402-M402-M$2-1),",","."))</f>
        <v>0</v>
      </c>
      <c r="AG402" s="3">
        <f>VALUE(SUBSTITUTE(MID($A402,N402+N$2+1,O402-N402-N$2-1),",","."))</f>
        <v>4.2148401800229998</v>
      </c>
      <c r="AH402" t="str">
        <f>MID($A402,O402+O$2+1,P402-O402-O$2-1)</f>
        <v/>
      </c>
      <c r="AI402" s="8" t="str">
        <f>MID($A402,P402+P$2+1,Q402-P402-P$2-1)</f>
        <v>False</v>
      </c>
      <c r="AK402" t="b">
        <f t="shared" si="57"/>
        <v>0</v>
      </c>
    </row>
    <row r="403" spans="1:37" x14ac:dyDescent="0.35">
      <c r="A403" t="s">
        <v>4950</v>
      </c>
      <c r="B403">
        <f t="shared" si="59"/>
        <v>10</v>
      </c>
      <c r="C403">
        <f t="shared" si="59"/>
        <v>43</v>
      </c>
      <c r="D403">
        <f t="shared" si="59"/>
        <v>54</v>
      </c>
      <c r="E403">
        <f t="shared" si="58"/>
        <v>80</v>
      </c>
      <c r="F403">
        <f t="shared" si="58"/>
        <v>124</v>
      </c>
      <c r="G403">
        <f t="shared" si="58"/>
        <v>145</v>
      </c>
      <c r="H403">
        <f t="shared" si="58"/>
        <v>177</v>
      </c>
      <c r="I403">
        <f t="shared" si="58"/>
        <v>199</v>
      </c>
      <c r="J403">
        <f t="shared" si="58"/>
        <v>232</v>
      </c>
      <c r="K403">
        <f t="shared" si="58"/>
        <v>266</v>
      </c>
      <c r="L403">
        <f t="shared" si="58"/>
        <v>285</v>
      </c>
      <c r="M403">
        <f t="shared" si="58"/>
        <v>300</v>
      </c>
      <c r="N403">
        <f t="shared" si="58"/>
        <v>312</v>
      </c>
      <c r="O403">
        <f t="shared" si="58"/>
        <v>337</v>
      </c>
      <c r="P403">
        <f t="shared" si="58"/>
        <v>355</v>
      </c>
      <c r="Q403">
        <f t="shared" si="53"/>
        <v>381</v>
      </c>
      <c r="S403" t="str">
        <f t="shared" si="54"/>
        <v>30.11.2025</v>
      </c>
      <c r="T403" t="str">
        <f t="shared" si="55"/>
        <v>23:15:00</v>
      </c>
      <c r="U403" t="str">
        <f t="shared" si="56"/>
        <v>30.11.2025 23:15:00</v>
      </c>
      <c r="V403" s="9" t="str">
        <f>MID($A403,C403+C$2+1,D403-C403-C$2-1)</f>
        <v>0</v>
      </c>
      <c r="W403" s="4">
        <f>VALUE(SUBSTITUTE(MID($A403,D403+D$2+1,E403-D403-D$2-1),",","."))</f>
        <v>0</v>
      </c>
      <c r="X403" s="4">
        <f>VALUE(SUBSTITUTE(MID($A403,E403+E$2+1,F403-E403-E$2-1),",","."))</f>
        <v>0.90957602214449496</v>
      </c>
      <c r="Y403" s="4">
        <f>VALUE(SUBSTITUTE(MID($A403,F403+F$2+1,G403-F403-F$2-1),",","."))</f>
        <v>0</v>
      </c>
      <c r="Z403" s="3">
        <f>VALUE(SUBSTITUTE(MID($A403,G403+G$2+1,H403-G403-G$2-1),",","."))</f>
        <v>0</v>
      </c>
      <c r="AA403" s="3">
        <f>VALUE(SUBSTITUTE(MID($A403,H403+H$2+1,I403-H403-H$2-1),",","."))</f>
        <v>0</v>
      </c>
      <c r="AB403" s="3">
        <f>VALUE(SUBSTITUTE(MID($A403,I403+I$2+1,J403-I403-I$2-1),",","."))</f>
        <v>0</v>
      </c>
      <c r="AC403" s="3">
        <f>VALUE(SUBSTITUTE(MID($A403,J403+J$2+1,K403-J403-J$2-1),",","."))</f>
        <v>2.5999999999999899</v>
      </c>
      <c r="AD403" s="3">
        <f>VALUE(SUBSTITUTE(MID($A403,K403+K$2+1,L403-K403-K$2-1),",","."))</f>
        <v>22.14</v>
      </c>
      <c r="AE403" s="3">
        <f>VALUE(SUBSTITUTE(MID($A403,L403+L$2+1,M403-L403-L$2-1),",","."))</f>
        <v>0</v>
      </c>
      <c r="AF403" s="3">
        <f>VALUE(SUBSTITUTE(MID($A403,M403+M$2+1,N403-M403-M$2-1),",","."))</f>
        <v>0</v>
      </c>
      <c r="AG403" s="3">
        <f>VALUE(SUBSTITUTE(MID($A403,N403+N$2+1,O403-N403-N$2-1),",","."))</f>
        <v>4.21486869991109</v>
      </c>
      <c r="AH403" t="str">
        <f>MID($A403,O403+O$2+1,P403-O403-O$2-1)</f>
        <v/>
      </c>
      <c r="AI403" s="8" t="str">
        <f>MID($A403,P403+P$2+1,Q403-P403-P$2-1)</f>
        <v>False</v>
      </c>
      <c r="AK403" t="b">
        <f t="shared" si="57"/>
        <v>0</v>
      </c>
    </row>
    <row r="404" spans="1:37" x14ac:dyDescent="0.35">
      <c r="A404" t="s">
        <v>4951</v>
      </c>
      <c r="B404">
        <f t="shared" si="59"/>
        <v>10</v>
      </c>
      <c r="C404">
        <f t="shared" si="59"/>
        <v>43</v>
      </c>
      <c r="D404">
        <f t="shared" si="59"/>
        <v>54</v>
      </c>
      <c r="E404">
        <f t="shared" si="58"/>
        <v>80</v>
      </c>
      <c r="F404">
        <f t="shared" si="58"/>
        <v>124</v>
      </c>
      <c r="G404">
        <f t="shared" si="58"/>
        <v>145</v>
      </c>
      <c r="H404">
        <f t="shared" si="58"/>
        <v>177</v>
      </c>
      <c r="I404">
        <f t="shared" si="58"/>
        <v>199</v>
      </c>
      <c r="J404">
        <f t="shared" si="58"/>
        <v>232</v>
      </c>
      <c r="K404">
        <f t="shared" si="58"/>
        <v>252</v>
      </c>
      <c r="L404">
        <f t="shared" si="58"/>
        <v>284</v>
      </c>
      <c r="M404">
        <f t="shared" si="58"/>
        <v>299</v>
      </c>
      <c r="N404">
        <f t="shared" si="58"/>
        <v>311</v>
      </c>
      <c r="O404">
        <f t="shared" si="58"/>
        <v>336</v>
      </c>
      <c r="P404">
        <f t="shared" si="58"/>
        <v>354</v>
      </c>
      <c r="Q404">
        <f t="shared" si="53"/>
        <v>380</v>
      </c>
      <c r="S404" t="str">
        <f t="shared" si="54"/>
        <v>30.11.2025</v>
      </c>
      <c r="T404" t="str">
        <f t="shared" si="55"/>
        <v>23:30:00</v>
      </c>
      <c r="U404" t="str">
        <f t="shared" si="56"/>
        <v>30.11.2025 23:30:00</v>
      </c>
      <c r="V404" s="9" t="str">
        <f>MID($A404,C404+C$2+1,D404-C404-C$2-1)</f>
        <v>0</v>
      </c>
      <c r="W404" s="4">
        <f>VALUE(SUBSTITUTE(MID($A404,D404+D$2+1,E404-D404-D$2-1),",","."))</f>
        <v>0</v>
      </c>
      <c r="X404" s="4">
        <f>VALUE(SUBSTITUTE(MID($A404,E404+E$2+1,F404-E404-E$2-1),",","."))</f>
        <v>0.90957602214449496</v>
      </c>
      <c r="Y404" s="4">
        <f>VALUE(SUBSTITUTE(MID($A404,F404+F$2+1,G404-F404-F$2-1),",","."))</f>
        <v>0</v>
      </c>
      <c r="Z404" s="3">
        <f>VALUE(SUBSTITUTE(MID($A404,G404+G$2+1,H404-G404-G$2-1),",","."))</f>
        <v>0</v>
      </c>
      <c r="AA404" s="3">
        <f>VALUE(SUBSTITUTE(MID($A404,H404+H$2+1,I404-H404-H$2-1),",","."))</f>
        <v>0</v>
      </c>
      <c r="AB404" s="3">
        <f>VALUE(SUBSTITUTE(MID($A404,I404+I$2+1,J404-I404-I$2-1),",","."))</f>
        <v>0</v>
      </c>
      <c r="AC404" s="3">
        <f>VALUE(SUBSTITUTE(MID($A404,J404+J$2+1,K404-J404-J$2-1),",","."))</f>
        <v>2.4500000000000002</v>
      </c>
      <c r="AD404" s="3">
        <f>VALUE(SUBSTITUTE(MID($A404,K404+K$2+1,L404-K404-K$2-1),",","."))</f>
        <v>19.619999999999902</v>
      </c>
      <c r="AE404" s="3">
        <f>VALUE(SUBSTITUTE(MID($A404,L404+L$2+1,M404-L404-L$2-1),",","."))</f>
        <v>0</v>
      </c>
      <c r="AF404" s="3">
        <f>VALUE(SUBSTITUTE(MID($A404,M404+M$2+1,N404-M404-M$2-1),",","."))</f>
        <v>0</v>
      </c>
      <c r="AG404" s="3">
        <f>VALUE(SUBSTITUTE(MID($A404,N404+N$2+1,O404-N404-N$2-1),",","."))</f>
        <v>4.2148972197991696</v>
      </c>
      <c r="AH404" t="str">
        <f>MID($A404,O404+O$2+1,P404-O404-O$2-1)</f>
        <v/>
      </c>
      <c r="AI404" s="8" t="str">
        <f>MID($A404,P404+P$2+1,Q404-P404-P$2-1)</f>
        <v>False</v>
      </c>
      <c r="AK404" t="b">
        <f t="shared" si="57"/>
        <v>0</v>
      </c>
    </row>
    <row r="405" spans="1:37" x14ac:dyDescent="0.35">
      <c r="A405" t="s">
        <v>4952</v>
      </c>
      <c r="B405">
        <f t="shared" si="59"/>
        <v>10</v>
      </c>
      <c r="C405">
        <f t="shared" si="59"/>
        <v>43</v>
      </c>
      <c r="D405">
        <f t="shared" si="59"/>
        <v>54</v>
      </c>
      <c r="E405">
        <f t="shared" si="58"/>
        <v>80</v>
      </c>
      <c r="F405">
        <f t="shared" si="58"/>
        <v>124</v>
      </c>
      <c r="G405">
        <f t="shared" si="58"/>
        <v>145</v>
      </c>
      <c r="H405">
        <f t="shared" si="58"/>
        <v>177</v>
      </c>
      <c r="I405">
        <f t="shared" si="58"/>
        <v>199</v>
      </c>
      <c r="J405">
        <f t="shared" si="58"/>
        <v>232</v>
      </c>
      <c r="K405">
        <f t="shared" si="58"/>
        <v>252</v>
      </c>
      <c r="L405">
        <f t="shared" si="58"/>
        <v>284</v>
      </c>
      <c r="M405">
        <f t="shared" si="58"/>
        <v>299</v>
      </c>
      <c r="N405">
        <f t="shared" si="58"/>
        <v>311</v>
      </c>
      <c r="O405">
        <f t="shared" si="58"/>
        <v>336</v>
      </c>
      <c r="P405">
        <f t="shared" si="58"/>
        <v>354</v>
      </c>
      <c r="Q405">
        <f t="shared" si="53"/>
        <v>380</v>
      </c>
      <c r="S405" t="str">
        <f t="shared" si="54"/>
        <v>30.11.2025</v>
      </c>
      <c r="T405" t="str">
        <f t="shared" si="55"/>
        <v>23:45:00</v>
      </c>
      <c r="U405" t="str">
        <f t="shared" si="56"/>
        <v>30.11.2025 23:45:00</v>
      </c>
      <c r="V405" s="9" t="str">
        <f>MID($A405,C405+C$2+1,D405-C405-C$2-1)</f>
        <v>0</v>
      </c>
      <c r="W405" s="4">
        <f>VALUE(SUBSTITUTE(MID($A405,D405+D$2+1,E405-D405-D$2-1),",","."))</f>
        <v>0</v>
      </c>
      <c r="X405" s="4">
        <f>VALUE(SUBSTITUTE(MID($A405,E405+E$2+1,F405-E405-E$2-1),",","."))</f>
        <v>0.90957602214449496</v>
      </c>
      <c r="Y405" s="4">
        <f>VALUE(SUBSTITUTE(MID($A405,F405+F$2+1,G405-F405-F$2-1),",","."))</f>
        <v>0</v>
      </c>
      <c r="Z405" s="3">
        <f>VALUE(SUBSTITUTE(MID($A405,G405+G$2+1,H405-G405-G$2-1),",","."))</f>
        <v>0</v>
      </c>
      <c r="AA405" s="3">
        <f>VALUE(SUBSTITUTE(MID($A405,H405+H$2+1,I405-H405-H$2-1),",","."))</f>
        <v>0</v>
      </c>
      <c r="AB405" s="3">
        <f>VALUE(SUBSTITUTE(MID($A405,I405+I$2+1,J405-I405-I$2-1),",","."))</f>
        <v>0</v>
      </c>
      <c r="AC405" s="3">
        <f>VALUE(SUBSTITUTE(MID($A405,J405+J$2+1,K405-J405-J$2-1),",","."))</f>
        <v>2.4500000000000002</v>
      </c>
      <c r="AD405" s="3">
        <f>VALUE(SUBSTITUTE(MID($A405,K405+K$2+1,L405-K405-K$2-1),",","."))</f>
        <v>19.619999999999902</v>
      </c>
      <c r="AE405" s="3">
        <f>VALUE(SUBSTITUTE(MID($A405,L405+L$2+1,M405-L405-L$2-1),",","."))</f>
        <v>0</v>
      </c>
      <c r="AF405" s="3">
        <f>VALUE(SUBSTITUTE(MID($A405,M405+M$2+1,N405-M405-M$2-1),",","."))</f>
        <v>0</v>
      </c>
      <c r="AG405" s="3">
        <f>VALUE(SUBSTITUTE(MID($A405,N405+N$2+1,O405-N405-N$2-1),",","."))</f>
        <v>4.2149257396872502</v>
      </c>
      <c r="AH405" t="str">
        <f>MID($A405,O405+O$2+1,P405-O405-O$2-1)</f>
        <v/>
      </c>
      <c r="AI405" s="8" t="str">
        <f>MID($A405,P405+P$2+1,Q405-P405-P$2-1)</f>
        <v>False</v>
      </c>
      <c r="AK405" t="b">
        <f t="shared" si="57"/>
        <v>0</v>
      </c>
    </row>
    <row r="406" spans="1:37" x14ac:dyDescent="0.35">
      <c r="A406" t="s">
        <v>4953</v>
      </c>
      <c r="B406">
        <f t="shared" si="59"/>
        <v>10</v>
      </c>
      <c r="C406">
        <f t="shared" si="59"/>
        <v>43</v>
      </c>
      <c r="D406">
        <f t="shared" si="59"/>
        <v>54</v>
      </c>
      <c r="E406">
        <f t="shared" si="58"/>
        <v>80</v>
      </c>
      <c r="F406">
        <f t="shared" si="58"/>
        <v>124</v>
      </c>
      <c r="G406">
        <f t="shared" si="58"/>
        <v>145</v>
      </c>
      <c r="H406">
        <f t="shared" si="58"/>
        <v>177</v>
      </c>
      <c r="I406">
        <f t="shared" si="58"/>
        <v>199</v>
      </c>
      <c r="J406">
        <f t="shared" si="58"/>
        <v>232</v>
      </c>
      <c r="K406">
        <f t="shared" si="58"/>
        <v>252</v>
      </c>
      <c r="L406">
        <f t="shared" si="58"/>
        <v>284</v>
      </c>
      <c r="M406">
        <f t="shared" si="58"/>
        <v>299</v>
      </c>
      <c r="N406">
        <f t="shared" si="58"/>
        <v>311</v>
      </c>
      <c r="O406">
        <f t="shared" si="58"/>
        <v>336</v>
      </c>
      <c r="P406">
        <f t="shared" si="58"/>
        <v>354</v>
      </c>
      <c r="Q406">
        <f t="shared" si="53"/>
        <v>380</v>
      </c>
      <c r="S406" t="str">
        <f t="shared" si="54"/>
        <v>01.12.2025</v>
      </c>
      <c r="T406" t="str">
        <f t="shared" si="55"/>
        <v>00:00:00</v>
      </c>
      <c r="U406" t="str">
        <f t="shared" si="56"/>
        <v>01.12.2025 00:00:00</v>
      </c>
      <c r="V406" s="9" t="str">
        <f>MID($A406,C406+C$2+1,D406-C406-C$2-1)</f>
        <v>0</v>
      </c>
      <c r="W406" s="4">
        <f>VALUE(SUBSTITUTE(MID($A406,D406+D$2+1,E406-D406-D$2-1),",","."))</f>
        <v>0</v>
      </c>
      <c r="X406" s="4">
        <f>VALUE(SUBSTITUTE(MID($A406,E406+E$2+1,F406-E406-E$2-1),",","."))</f>
        <v>0.90957602214449496</v>
      </c>
      <c r="Y406" s="4">
        <f>VALUE(SUBSTITUTE(MID($A406,F406+F$2+1,G406-F406-F$2-1),",","."))</f>
        <v>0</v>
      </c>
      <c r="Z406" s="3">
        <f>VALUE(SUBSTITUTE(MID($A406,G406+G$2+1,H406-G406-G$2-1),",","."))</f>
        <v>0</v>
      </c>
      <c r="AA406" s="3">
        <f>VALUE(SUBSTITUTE(MID($A406,H406+H$2+1,I406-H406-H$2-1),",","."))</f>
        <v>0</v>
      </c>
      <c r="AB406" s="3">
        <f>VALUE(SUBSTITUTE(MID($A406,I406+I$2+1,J406-I406-I$2-1),",","."))</f>
        <v>0</v>
      </c>
      <c r="AC406" s="3">
        <f>VALUE(SUBSTITUTE(MID($A406,J406+J$2+1,K406-J406-J$2-1),",","."))</f>
        <v>2.4500000000000002</v>
      </c>
      <c r="AD406" s="3">
        <f>VALUE(SUBSTITUTE(MID($A406,K406+K$2+1,L406-K406-K$2-1),",","."))</f>
        <v>19.619999999999902</v>
      </c>
      <c r="AE406" s="3">
        <f>VALUE(SUBSTITUTE(MID($A406,L406+L$2+1,M406-L406-L$2-1),",","."))</f>
        <v>0</v>
      </c>
      <c r="AF406" s="3">
        <f>VALUE(SUBSTITUTE(MID($A406,M406+M$2+1,N406-M406-M$2-1),",","."))</f>
        <v>0</v>
      </c>
      <c r="AG406" s="3">
        <f>VALUE(SUBSTITUTE(MID($A406,N406+N$2+1,O406-N406-N$2-1),",","."))</f>
        <v>4.2149542595753298</v>
      </c>
      <c r="AH406" t="str">
        <f>MID($A406,O406+O$2+1,P406-O406-O$2-1)</f>
        <v/>
      </c>
      <c r="AI406" s="8" t="str">
        <f>MID($A406,P406+P$2+1,Q406-P406-P$2-1)</f>
        <v>False</v>
      </c>
      <c r="AK406" t="b">
        <f t="shared" si="57"/>
        <v>0</v>
      </c>
    </row>
    <row r="407" spans="1:37" x14ac:dyDescent="0.35">
      <c r="A407" t="s">
        <v>4954</v>
      </c>
      <c r="B407">
        <f t="shared" si="59"/>
        <v>10</v>
      </c>
      <c r="C407">
        <f t="shared" si="59"/>
        <v>43</v>
      </c>
      <c r="D407">
        <f t="shared" si="59"/>
        <v>54</v>
      </c>
      <c r="E407">
        <f t="shared" si="58"/>
        <v>80</v>
      </c>
      <c r="F407">
        <f t="shared" si="58"/>
        <v>124</v>
      </c>
      <c r="G407">
        <f t="shared" si="58"/>
        <v>145</v>
      </c>
      <c r="H407">
        <f t="shared" si="58"/>
        <v>177</v>
      </c>
      <c r="I407">
        <f t="shared" si="58"/>
        <v>199</v>
      </c>
      <c r="J407">
        <f t="shared" si="58"/>
        <v>232</v>
      </c>
      <c r="K407">
        <f t="shared" si="58"/>
        <v>252</v>
      </c>
      <c r="L407">
        <f t="shared" si="58"/>
        <v>284</v>
      </c>
      <c r="M407">
        <f t="shared" si="58"/>
        <v>299</v>
      </c>
      <c r="N407">
        <f t="shared" si="58"/>
        <v>311</v>
      </c>
      <c r="O407">
        <f t="shared" si="58"/>
        <v>337</v>
      </c>
      <c r="P407">
        <f t="shared" si="58"/>
        <v>355</v>
      </c>
      <c r="Q407">
        <f t="shared" si="53"/>
        <v>381</v>
      </c>
      <c r="S407" t="str">
        <f t="shared" si="54"/>
        <v>01.12.2025</v>
      </c>
      <c r="T407" t="str">
        <f t="shared" si="55"/>
        <v>00:15:00</v>
      </c>
      <c r="U407" t="str">
        <f t="shared" si="56"/>
        <v>01.12.2025 00:15:00</v>
      </c>
      <c r="V407" s="9" t="str">
        <f>MID($A407,C407+C$2+1,D407-C407-C$2-1)</f>
        <v>0</v>
      </c>
      <c r="W407" s="4">
        <f>VALUE(SUBSTITUTE(MID($A407,D407+D$2+1,E407-D407-D$2-1),",","."))</f>
        <v>0</v>
      </c>
      <c r="X407" s="4">
        <f>VALUE(SUBSTITUTE(MID($A407,E407+E$2+1,F407-E407-E$2-1),",","."))</f>
        <v>0.90957602214449496</v>
      </c>
      <c r="Y407" s="4">
        <f>VALUE(SUBSTITUTE(MID($A407,F407+F$2+1,G407-F407-F$2-1),",","."))</f>
        <v>0</v>
      </c>
      <c r="Z407" s="3">
        <f>VALUE(SUBSTITUTE(MID($A407,G407+G$2+1,H407-G407-G$2-1),",","."))</f>
        <v>0</v>
      </c>
      <c r="AA407" s="3">
        <f>VALUE(SUBSTITUTE(MID($A407,H407+H$2+1,I407-H407-H$2-1),",","."))</f>
        <v>0</v>
      </c>
      <c r="AB407" s="3">
        <f>VALUE(SUBSTITUTE(MID($A407,I407+I$2+1,J407-I407-I$2-1),",","."))</f>
        <v>0</v>
      </c>
      <c r="AC407" s="3">
        <f>VALUE(SUBSTITUTE(MID($A407,J407+J$2+1,K407-J407-J$2-1),",","."))</f>
        <v>2.4500000000000002</v>
      </c>
      <c r="AD407" s="3">
        <f>VALUE(SUBSTITUTE(MID($A407,K407+K$2+1,L407-K407-K$2-1),",","."))</f>
        <v>19.619999999999902</v>
      </c>
      <c r="AE407" s="3">
        <f>VALUE(SUBSTITUTE(MID($A407,L407+L$2+1,M407-L407-L$2-1),",","."))</f>
        <v>0</v>
      </c>
      <c r="AF407" s="3">
        <f>VALUE(SUBSTITUTE(MID($A407,M407+M$2+1,N407-M407-M$2-1),",","."))</f>
        <v>0</v>
      </c>
      <c r="AG407" s="3">
        <f>VALUE(SUBSTITUTE(MID($A407,N407+N$2+1,O407-N407-N$2-1),",","."))</f>
        <v>4.2149827794634103</v>
      </c>
      <c r="AH407" t="str">
        <f>MID($A407,O407+O$2+1,P407-O407-O$2-1)</f>
        <v/>
      </c>
      <c r="AI407" s="8" t="str">
        <f>MID($A407,P407+P$2+1,Q407-P407-P$2-1)</f>
        <v>False</v>
      </c>
      <c r="AK407" t="b">
        <f t="shared" si="57"/>
        <v>0</v>
      </c>
    </row>
    <row r="408" spans="1:37" x14ac:dyDescent="0.35">
      <c r="A408" t="s">
        <v>4955</v>
      </c>
      <c r="B408">
        <f t="shared" si="59"/>
        <v>10</v>
      </c>
      <c r="C408">
        <f t="shared" si="59"/>
        <v>43</v>
      </c>
      <c r="D408">
        <f t="shared" si="59"/>
        <v>54</v>
      </c>
      <c r="E408">
        <f t="shared" si="58"/>
        <v>80</v>
      </c>
      <c r="F408">
        <f t="shared" si="58"/>
        <v>124</v>
      </c>
      <c r="G408">
        <f t="shared" si="58"/>
        <v>145</v>
      </c>
      <c r="H408">
        <f t="shared" si="58"/>
        <v>177</v>
      </c>
      <c r="I408">
        <f t="shared" si="58"/>
        <v>199</v>
      </c>
      <c r="J408">
        <f t="shared" si="58"/>
        <v>232</v>
      </c>
      <c r="K408">
        <f t="shared" si="58"/>
        <v>252</v>
      </c>
      <c r="L408">
        <f t="shared" si="58"/>
        <v>271</v>
      </c>
      <c r="M408">
        <f t="shared" si="58"/>
        <v>286</v>
      </c>
      <c r="N408">
        <f t="shared" si="58"/>
        <v>298</v>
      </c>
      <c r="O408">
        <f t="shared" si="58"/>
        <v>323</v>
      </c>
      <c r="P408">
        <f t="shared" si="58"/>
        <v>341</v>
      </c>
      <c r="Q408">
        <f t="shared" si="53"/>
        <v>367</v>
      </c>
      <c r="S408" t="str">
        <f t="shared" si="54"/>
        <v>01.12.2025</v>
      </c>
      <c r="T408" t="str">
        <f t="shared" si="55"/>
        <v>00:30:00</v>
      </c>
      <c r="U408" t="str">
        <f t="shared" si="56"/>
        <v>01.12.2025 00:30:00</v>
      </c>
      <c r="V408" s="9" t="str">
        <f>MID($A408,C408+C$2+1,D408-C408-C$2-1)</f>
        <v>0</v>
      </c>
      <c r="W408" s="4">
        <f>VALUE(SUBSTITUTE(MID($A408,D408+D$2+1,E408-D408-D$2-1),",","."))</f>
        <v>0</v>
      </c>
      <c r="X408" s="4">
        <f>VALUE(SUBSTITUTE(MID($A408,E408+E$2+1,F408-E408-E$2-1),",","."))</f>
        <v>0.90957602214449496</v>
      </c>
      <c r="Y408" s="4">
        <f>VALUE(SUBSTITUTE(MID($A408,F408+F$2+1,G408-F408-F$2-1),",","."))</f>
        <v>0</v>
      </c>
      <c r="Z408" s="3">
        <f>VALUE(SUBSTITUTE(MID($A408,G408+G$2+1,H408-G408-G$2-1),",","."))</f>
        <v>0</v>
      </c>
      <c r="AA408" s="3">
        <f>VALUE(SUBSTITUTE(MID($A408,H408+H$2+1,I408-H408-H$2-1),",","."))</f>
        <v>0</v>
      </c>
      <c r="AB408" s="3">
        <f>VALUE(SUBSTITUTE(MID($A408,I408+I$2+1,J408-I408-I$2-1),",","."))</f>
        <v>0</v>
      </c>
      <c r="AC408" s="3">
        <f>VALUE(SUBSTITUTE(MID($A408,J408+J$2+1,K408-J408-J$2-1),",","."))</f>
        <v>2.35</v>
      </c>
      <c r="AD408" s="3">
        <f>VALUE(SUBSTITUTE(MID($A408,K408+K$2+1,L408-K408-K$2-1),",","."))</f>
        <v>17.64</v>
      </c>
      <c r="AE408" s="3">
        <f>VALUE(SUBSTITUTE(MID($A408,L408+L$2+1,M408-L408-L$2-1),",","."))</f>
        <v>0</v>
      </c>
      <c r="AF408" s="3">
        <f>VALUE(SUBSTITUTE(MID($A408,M408+M$2+1,N408-M408-M$2-1),",","."))</f>
        <v>0</v>
      </c>
      <c r="AG408" s="3">
        <f>VALUE(SUBSTITUTE(MID($A408,N408+N$2+1,O408-N408-N$2-1),",","."))</f>
        <v>4.2150112993514899</v>
      </c>
      <c r="AH408" t="str">
        <f>MID($A408,O408+O$2+1,P408-O408-O$2-1)</f>
        <v/>
      </c>
      <c r="AI408" s="8" t="str">
        <f>MID($A408,P408+P$2+1,Q408-P408-P$2-1)</f>
        <v>False</v>
      </c>
      <c r="AK408" t="b">
        <f t="shared" si="57"/>
        <v>0</v>
      </c>
    </row>
    <row r="409" spans="1:37" x14ac:dyDescent="0.35">
      <c r="A409" t="s">
        <v>4956</v>
      </c>
      <c r="B409">
        <f t="shared" si="59"/>
        <v>10</v>
      </c>
      <c r="C409">
        <f t="shared" si="59"/>
        <v>43</v>
      </c>
      <c r="D409">
        <f t="shared" si="59"/>
        <v>54</v>
      </c>
      <c r="E409">
        <f t="shared" si="58"/>
        <v>80</v>
      </c>
      <c r="F409">
        <f t="shared" si="58"/>
        <v>124</v>
      </c>
      <c r="G409">
        <f t="shared" si="58"/>
        <v>145</v>
      </c>
      <c r="H409">
        <f t="shared" si="58"/>
        <v>177</v>
      </c>
      <c r="I409">
        <f t="shared" si="58"/>
        <v>199</v>
      </c>
      <c r="J409">
        <f t="shared" si="58"/>
        <v>232</v>
      </c>
      <c r="K409">
        <f t="shared" si="58"/>
        <v>252</v>
      </c>
      <c r="L409">
        <f t="shared" si="58"/>
        <v>271</v>
      </c>
      <c r="M409">
        <f t="shared" si="58"/>
        <v>286</v>
      </c>
      <c r="N409">
        <f t="shared" si="58"/>
        <v>298</v>
      </c>
      <c r="O409">
        <f t="shared" si="58"/>
        <v>322</v>
      </c>
      <c r="P409">
        <f t="shared" si="58"/>
        <v>340</v>
      </c>
      <c r="Q409">
        <f t="shared" si="53"/>
        <v>366</v>
      </c>
      <c r="S409" t="str">
        <f t="shared" si="54"/>
        <v>01.12.2025</v>
      </c>
      <c r="T409" t="str">
        <f t="shared" si="55"/>
        <v>00:45:00</v>
      </c>
      <c r="U409" t="str">
        <f t="shared" si="56"/>
        <v>01.12.2025 00:45:00</v>
      </c>
      <c r="V409" s="9" t="str">
        <f>MID($A409,C409+C$2+1,D409-C409-C$2-1)</f>
        <v>0</v>
      </c>
      <c r="W409" s="4">
        <f>VALUE(SUBSTITUTE(MID($A409,D409+D$2+1,E409-D409-D$2-1),",","."))</f>
        <v>0</v>
      </c>
      <c r="X409" s="4">
        <f>VALUE(SUBSTITUTE(MID($A409,E409+E$2+1,F409-E409-E$2-1),",","."))</f>
        <v>0.90957602214449496</v>
      </c>
      <c r="Y409" s="4">
        <f>VALUE(SUBSTITUTE(MID($A409,F409+F$2+1,G409-F409-F$2-1),",","."))</f>
        <v>0</v>
      </c>
      <c r="Z409" s="3">
        <f>VALUE(SUBSTITUTE(MID($A409,G409+G$2+1,H409-G409-G$2-1),",","."))</f>
        <v>0</v>
      </c>
      <c r="AA409" s="3">
        <f>VALUE(SUBSTITUTE(MID($A409,H409+H$2+1,I409-H409-H$2-1),",","."))</f>
        <v>0</v>
      </c>
      <c r="AB409" s="3">
        <f>VALUE(SUBSTITUTE(MID($A409,I409+I$2+1,J409-I409-I$2-1),",","."))</f>
        <v>0</v>
      </c>
      <c r="AC409" s="3">
        <f>VALUE(SUBSTITUTE(MID($A409,J409+J$2+1,K409-J409-J$2-1),",","."))</f>
        <v>2.35</v>
      </c>
      <c r="AD409" s="3">
        <f>VALUE(SUBSTITUTE(MID($A409,K409+K$2+1,L409-K409-K$2-1),",","."))</f>
        <v>17.64</v>
      </c>
      <c r="AE409" s="3">
        <f>VALUE(SUBSTITUTE(MID($A409,L409+L$2+1,M409-L409-L$2-1),",","."))</f>
        <v>0</v>
      </c>
      <c r="AF409" s="3">
        <f>VALUE(SUBSTITUTE(MID($A409,M409+M$2+1,N409-M409-M$2-1),",","."))</f>
        <v>0</v>
      </c>
      <c r="AG409" s="3">
        <f>VALUE(SUBSTITUTE(MID($A409,N409+N$2+1,O409-N409-N$2-1),",","."))</f>
        <v>4.2150398192395802</v>
      </c>
      <c r="AH409" t="str">
        <f>MID($A409,O409+O$2+1,P409-O409-O$2-1)</f>
        <v/>
      </c>
      <c r="AI409" s="8" t="str">
        <f>MID($A409,P409+P$2+1,Q409-P409-P$2-1)</f>
        <v>False</v>
      </c>
      <c r="AK409" t="b">
        <f t="shared" si="57"/>
        <v>0</v>
      </c>
    </row>
    <row r="410" spans="1:37" x14ac:dyDescent="0.35">
      <c r="A410" t="s">
        <v>4957</v>
      </c>
      <c r="B410">
        <f t="shared" si="59"/>
        <v>10</v>
      </c>
      <c r="C410">
        <f t="shared" si="59"/>
        <v>43</v>
      </c>
      <c r="D410">
        <f t="shared" si="59"/>
        <v>54</v>
      </c>
      <c r="E410">
        <f t="shared" si="58"/>
        <v>80</v>
      </c>
      <c r="F410">
        <f t="shared" si="58"/>
        <v>124</v>
      </c>
      <c r="G410">
        <f t="shared" si="58"/>
        <v>145</v>
      </c>
      <c r="H410">
        <f t="shared" si="58"/>
        <v>177</v>
      </c>
      <c r="I410">
        <f t="shared" si="58"/>
        <v>199</v>
      </c>
      <c r="J410">
        <f t="shared" si="58"/>
        <v>232</v>
      </c>
      <c r="K410">
        <f t="shared" si="58"/>
        <v>252</v>
      </c>
      <c r="L410">
        <f t="shared" si="58"/>
        <v>271</v>
      </c>
      <c r="M410">
        <f t="shared" si="58"/>
        <v>286</v>
      </c>
      <c r="N410">
        <f t="shared" si="58"/>
        <v>298</v>
      </c>
      <c r="O410">
        <f t="shared" si="58"/>
        <v>324</v>
      </c>
      <c r="P410">
        <f t="shared" si="58"/>
        <v>342</v>
      </c>
      <c r="Q410">
        <f t="shared" si="53"/>
        <v>368</v>
      </c>
      <c r="S410" t="str">
        <f t="shared" si="54"/>
        <v>01.12.2025</v>
      </c>
      <c r="T410" t="str">
        <f t="shared" si="55"/>
        <v>01:00:00</v>
      </c>
      <c r="U410" t="str">
        <f t="shared" si="56"/>
        <v>01.12.2025 01:00:00</v>
      </c>
      <c r="V410" s="9" t="str">
        <f>MID($A410,C410+C$2+1,D410-C410-C$2-1)</f>
        <v>0</v>
      </c>
      <c r="W410" s="4">
        <f>VALUE(SUBSTITUTE(MID($A410,D410+D$2+1,E410-D410-D$2-1),",","."))</f>
        <v>0</v>
      </c>
      <c r="X410" s="4">
        <f>VALUE(SUBSTITUTE(MID($A410,E410+E$2+1,F410-E410-E$2-1),",","."))</f>
        <v>0.90957602214449496</v>
      </c>
      <c r="Y410" s="4">
        <f>VALUE(SUBSTITUTE(MID($A410,F410+F$2+1,G410-F410-F$2-1),",","."))</f>
        <v>0</v>
      </c>
      <c r="Z410" s="3">
        <f>VALUE(SUBSTITUTE(MID($A410,G410+G$2+1,H410-G410-G$2-1),",","."))</f>
        <v>0</v>
      </c>
      <c r="AA410" s="3">
        <f>VALUE(SUBSTITUTE(MID($A410,H410+H$2+1,I410-H410-H$2-1),",","."))</f>
        <v>0</v>
      </c>
      <c r="AB410" s="3">
        <f>VALUE(SUBSTITUTE(MID($A410,I410+I$2+1,J410-I410-I$2-1),",","."))</f>
        <v>0</v>
      </c>
      <c r="AC410" s="3">
        <f>VALUE(SUBSTITUTE(MID($A410,J410+J$2+1,K410-J410-J$2-1),",","."))</f>
        <v>2.35</v>
      </c>
      <c r="AD410" s="3">
        <f>VALUE(SUBSTITUTE(MID($A410,K410+K$2+1,L410-K410-K$2-1),",","."))</f>
        <v>17.64</v>
      </c>
      <c r="AE410" s="3">
        <f>VALUE(SUBSTITUTE(MID($A410,L410+L$2+1,M410-L410-L$2-1),",","."))</f>
        <v>0</v>
      </c>
      <c r="AF410" s="3">
        <f>VALUE(SUBSTITUTE(MID($A410,M410+M$2+1,N410-M410-M$2-1),",","."))</f>
        <v>0</v>
      </c>
      <c r="AG410" s="3">
        <f>VALUE(SUBSTITUTE(MID($A410,N410+N$2+1,O410-N410-N$2-1),",","."))</f>
        <v>4.2150683391276598</v>
      </c>
      <c r="AH410" t="str">
        <f>MID($A410,O410+O$2+1,P410-O410-O$2-1)</f>
        <v/>
      </c>
      <c r="AI410" s="8" t="str">
        <f>MID($A410,P410+P$2+1,Q410-P410-P$2-1)</f>
        <v>False</v>
      </c>
      <c r="AK410" t="b">
        <f t="shared" si="57"/>
        <v>0</v>
      </c>
    </row>
    <row r="411" spans="1:37" x14ac:dyDescent="0.35">
      <c r="A411" t="s">
        <v>4958</v>
      </c>
      <c r="B411">
        <f t="shared" si="59"/>
        <v>10</v>
      </c>
      <c r="C411">
        <f t="shared" si="59"/>
        <v>43</v>
      </c>
      <c r="D411">
        <f t="shared" si="59"/>
        <v>54</v>
      </c>
      <c r="E411">
        <f t="shared" si="58"/>
        <v>80</v>
      </c>
      <c r="F411">
        <f t="shared" si="58"/>
        <v>124</v>
      </c>
      <c r="G411">
        <f t="shared" si="58"/>
        <v>145</v>
      </c>
      <c r="H411">
        <f t="shared" si="58"/>
        <v>177</v>
      </c>
      <c r="I411">
        <f t="shared" si="58"/>
        <v>199</v>
      </c>
      <c r="J411">
        <f t="shared" si="58"/>
        <v>232</v>
      </c>
      <c r="K411">
        <f t="shared" si="58"/>
        <v>252</v>
      </c>
      <c r="L411">
        <f t="shared" si="58"/>
        <v>271</v>
      </c>
      <c r="M411">
        <f t="shared" si="58"/>
        <v>286</v>
      </c>
      <c r="N411">
        <f t="shared" si="58"/>
        <v>298</v>
      </c>
      <c r="O411">
        <f t="shared" si="58"/>
        <v>323</v>
      </c>
      <c r="P411">
        <f t="shared" si="58"/>
        <v>341</v>
      </c>
      <c r="Q411">
        <f t="shared" si="53"/>
        <v>367</v>
      </c>
      <c r="S411" t="str">
        <f t="shared" si="54"/>
        <v>01.12.2025</v>
      </c>
      <c r="T411" t="str">
        <f t="shared" si="55"/>
        <v>01:15:00</v>
      </c>
      <c r="U411" t="str">
        <f t="shared" si="56"/>
        <v>01.12.2025 01:15:00</v>
      </c>
      <c r="V411" s="9" t="str">
        <f>MID($A411,C411+C$2+1,D411-C411-C$2-1)</f>
        <v>0</v>
      </c>
      <c r="W411" s="4">
        <f>VALUE(SUBSTITUTE(MID($A411,D411+D$2+1,E411-D411-D$2-1),",","."))</f>
        <v>0</v>
      </c>
      <c r="X411" s="4">
        <f>VALUE(SUBSTITUTE(MID($A411,E411+E$2+1,F411-E411-E$2-1),",","."))</f>
        <v>0.90957602214449496</v>
      </c>
      <c r="Y411" s="4">
        <f>VALUE(SUBSTITUTE(MID($A411,F411+F$2+1,G411-F411-F$2-1),",","."))</f>
        <v>0</v>
      </c>
      <c r="Z411" s="3">
        <f>VALUE(SUBSTITUTE(MID($A411,G411+G$2+1,H411-G411-G$2-1),",","."))</f>
        <v>0</v>
      </c>
      <c r="AA411" s="3">
        <f>VALUE(SUBSTITUTE(MID($A411,H411+H$2+1,I411-H411-H$2-1),",","."))</f>
        <v>0</v>
      </c>
      <c r="AB411" s="3">
        <f>VALUE(SUBSTITUTE(MID($A411,I411+I$2+1,J411-I411-I$2-1),",","."))</f>
        <v>0</v>
      </c>
      <c r="AC411" s="3">
        <f>VALUE(SUBSTITUTE(MID($A411,J411+J$2+1,K411-J411-J$2-1),",","."))</f>
        <v>2.35</v>
      </c>
      <c r="AD411" s="3">
        <f>VALUE(SUBSTITUTE(MID($A411,K411+K$2+1,L411-K411-K$2-1),",","."))</f>
        <v>17.64</v>
      </c>
      <c r="AE411" s="3">
        <f>VALUE(SUBSTITUTE(MID($A411,L411+L$2+1,M411-L411-L$2-1),",","."))</f>
        <v>0</v>
      </c>
      <c r="AF411" s="3">
        <f>VALUE(SUBSTITUTE(MID($A411,M411+M$2+1,N411-M411-M$2-1),",","."))</f>
        <v>0</v>
      </c>
      <c r="AG411" s="3">
        <f>VALUE(SUBSTITUTE(MID($A411,N411+N$2+1,O411-N411-N$2-1),",","."))</f>
        <v>4.2150968590157403</v>
      </c>
      <c r="AH411" t="str">
        <f>MID($A411,O411+O$2+1,P411-O411-O$2-1)</f>
        <v/>
      </c>
      <c r="AI411" s="8" t="str">
        <f>MID($A411,P411+P$2+1,Q411-P411-P$2-1)</f>
        <v>False</v>
      </c>
      <c r="AK411" t="b">
        <f t="shared" si="57"/>
        <v>0</v>
      </c>
    </row>
    <row r="412" spans="1:37" x14ac:dyDescent="0.35">
      <c r="A412" t="s">
        <v>4959</v>
      </c>
      <c r="B412">
        <f t="shared" si="59"/>
        <v>10</v>
      </c>
      <c r="C412">
        <f t="shared" si="59"/>
        <v>43</v>
      </c>
      <c r="D412">
        <f t="shared" si="59"/>
        <v>54</v>
      </c>
      <c r="E412">
        <f t="shared" si="58"/>
        <v>80</v>
      </c>
      <c r="F412">
        <f t="shared" si="58"/>
        <v>124</v>
      </c>
      <c r="G412">
        <f t="shared" si="58"/>
        <v>145</v>
      </c>
      <c r="H412">
        <f t="shared" si="58"/>
        <v>177</v>
      </c>
      <c r="I412">
        <f t="shared" si="58"/>
        <v>199</v>
      </c>
      <c r="J412">
        <f t="shared" si="58"/>
        <v>232</v>
      </c>
      <c r="K412">
        <f t="shared" si="58"/>
        <v>252</v>
      </c>
      <c r="L412">
        <f t="shared" si="58"/>
        <v>284</v>
      </c>
      <c r="M412">
        <f t="shared" si="58"/>
        <v>299</v>
      </c>
      <c r="N412">
        <f t="shared" si="58"/>
        <v>311</v>
      </c>
      <c r="O412">
        <f t="shared" si="58"/>
        <v>336</v>
      </c>
      <c r="P412">
        <f t="shared" si="58"/>
        <v>354</v>
      </c>
      <c r="Q412">
        <f t="shared" si="53"/>
        <v>380</v>
      </c>
      <c r="S412" t="str">
        <f t="shared" si="54"/>
        <v>01.12.2025</v>
      </c>
      <c r="T412" t="str">
        <f t="shared" si="55"/>
        <v>01:30:00</v>
      </c>
      <c r="U412" t="str">
        <f t="shared" si="56"/>
        <v>01.12.2025 01:30:00</v>
      </c>
      <c r="V412" s="9" t="str">
        <f>MID($A412,C412+C$2+1,D412-C412-C$2-1)</f>
        <v>0</v>
      </c>
      <c r="W412" s="4">
        <f>VALUE(SUBSTITUTE(MID($A412,D412+D$2+1,E412-D412-D$2-1),",","."))</f>
        <v>0</v>
      </c>
      <c r="X412" s="4">
        <f>VALUE(SUBSTITUTE(MID($A412,E412+E$2+1,F412-E412-E$2-1),",","."))</f>
        <v>0.90957602214449496</v>
      </c>
      <c r="Y412" s="4">
        <f>VALUE(SUBSTITUTE(MID($A412,F412+F$2+1,G412-F412-F$2-1),",","."))</f>
        <v>0</v>
      </c>
      <c r="Z412" s="3">
        <f>VALUE(SUBSTITUTE(MID($A412,G412+G$2+1,H412-G412-G$2-1),",","."))</f>
        <v>0</v>
      </c>
      <c r="AA412" s="3">
        <f>VALUE(SUBSTITUTE(MID($A412,H412+H$2+1,I412-H412-H$2-1),",","."))</f>
        <v>0</v>
      </c>
      <c r="AB412" s="3">
        <f>VALUE(SUBSTITUTE(MID($A412,I412+I$2+1,J412-I412-I$2-1),",","."))</f>
        <v>0</v>
      </c>
      <c r="AC412" s="3">
        <f>VALUE(SUBSTITUTE(MID($A412,J412+J$2+1,K412-J412-J$2-1),",","."))</f>
        <v>2.25</v>
      </c>
      <c r="AD412" s="3">
        <f>VALUE(SUBSTITUTE(MID($A412,K412+K$2+1,L412-K412-K$2-1),",","."))</f>
        <v>15.12</v>
      </c>
      <c r="AE412" s="3">
        <f>VALUE(SUBSTITUTE(MID($A412,L412+L$2+1,M412-L412-L$2-1),",","."))</f>
        <v>0</v>
      </c>
      <c r="AF412" s="3">
        <f>VALUE(SUBSTITUTE(MID($A412,M412+M$2+1,N412-M412-M$2-1),",","."))</f>
        <v>0</v>
      </c>
      <c r="AG412" s="3">
        <f>VALUE(SUBSTITUTE(MID($A412,N412+N$2+1,O412-N412-N$2-1),",","."))</f>
        <v>4.2151253789038199</v>
      </c>
      <c r="AH412" t="str">
        <f>MID($A412,O412+O$2+1,P412-O412-O$2-1)</f>
        <v/>
      </c>
      <c r="AI412" s="8" t="str">
        <f>MID($A412,P412+P$2+1,Q412-P412-P$2-1)</f>
        <v>False</v>
      </c>
      <c r="AK412" t="b">
        <f t="shared" si="57"/>
        <v>0</v>
      </c>
    </row>
    <row r="413" spans="1:37" x14ac:dyDescent="0.35">
      <c r="A413" t="s">
        <v>4960</v>
      </c>
      <c r="B413">
        <f t="shared" si="59"/>
        <v>10</v>
      </c>
      <c r="C413">
        <f t="shared" si="59"/>
        <v>43</v>
      </c>
      <c r="D413">
        <f t="shared" si="59"/>
        <v>54</v>
      </c>
      <c r="E413">
        <f t="shared" si="58"/>
        <v>80</v>
      </c>
      <c r="F413">
        <f t="shared" si="58"/>
        <v>124</v>
      </c>
      <c r="G413">
        <f t="shared" si="58"/>
        <v>145</v>
      </c>
      <c r="H413">
        <f t="shared" si="58"/>
        <v>177</v>
      </c>
      <c r="I413">
        <f t="shared" si="58"/>
        <v>199</v>
      </c>
      <c r="J413">
        <f t="shared" si="58"/>
        <v>232</v>
      </c>
      <c r="K413">
        <f t="shared" si="58"/>
        <v>252</v>
      </c>
      <c r="L413">
        <f t="shared" si="58"/>
        <v>284</v>
      </c>
      <c r="M413">
        <f t="shared" si="58"/>
        <v>299</v>
      </c>
      <c r="N413">
        <f t="shared" si="58"/>
        <v>311</v>
      </c>
      <c r="O413">
        <f t="shared" si="58"/>
        <v>336</v>
      </c>
      <c r="P413">
        <f t="shared" si="58"/>
        <v>354</v>
      </c>
      <c r="Q413">
        <f t="shared" si="53"/>
        <v>380</v>
      </c>
      <c r="S413" t="str">
        <f t="shared" si="54"/>
        <v>01.12.2025</v>
      </c>
      <c r="T413" t="str">
        <f t="shared" si="55"/>
        <v>01:45:00</v>
      </c>
      <c r="U413" t="str">
        <f t="shared" si="56"/>
        <v>01.12.2025 01:45:00</v>
      </c>
      <c r="V413" s="9" t="str">
        <f>MID($A413,C413+C$2+1,D413-C413-C$2-1)</f>
        <v>0</v>
      </c>
      <c r="W413" s="4">
        <f>VALUE(SUBSTITUTE(MID($A413,D413+D$2+1,E413-D413-D$2-1),",","."))</f>
        <v>0</v>
      </c>
      <c r="X413" s="4">
        <f>VALUE(SUBSTITUTE(MID($A413,E413+E$2+1,F413-E413-E$2-1),",","."))</f>
        <v>0.90957602214449496</v>
      </c>
      <c r="Y413" s="4">
        <f>VALUE(SUBSTITUTE(MID($A413,F413+F$2+1,G413-F413-F$2-1),",","."))</f>
        <v>0</v>
      </c>
      <c r="Z413" s="3">
        <f>VALUE(SUBSTITUTE(MID($A413,G413+G$2+1,H413-G413-G$2-1),",","."))</f>
        <v>0</v>
      </c>
      <c r="AA413" s="3">
        <f>VALUE(SUBSTITUTE(MID($A413,H413+H$2+1,I413-H413-H$2-1),",","."))</f>
        <v>0</v>
      </c>
      <c r="AB413" s="3">
        <f>VALUE(SUBSTITUTE(MID($A413,I413+I$2+1,J413-I413-I$2-1),",","."))</f>
        <v>0</v>
      </c>
      <c r="AC413" s="3">
        <f>VALUE(SUBSTITUTE(MID($A413,J413+J$2+1,K413-J413-J$2-1),",","."))</f>
        <v>2.25</v>
      </c>
      <c r="AD413" s="3">
        <f>VALUE(SUBSTITUTE(MID($A413,K413+K$2+1,L413-K413-K$2-1),",","."))</f>
        <v>15.12</v>
      </c>
      <c r="AE413" s="3">
        <f>VALUE(SUBSTITUTE(MID($A413,L413+L$2+1,M413-L413-L$2-1),",","."))</f>
        <v>0</v>
      </c>
      <c r="AF413" s="3">
        <f>VALUE(SUBSTITUTE(MID($A413,M413+M$2+1,N413-M413-M$2-1),",","."))</f>
        <v>0</v>
      </c>
      <c r="AG413" s="3">
        <f>VALUE(SUBSTITUTE(MID($A413,N413+N$2+1,O413-N413-N$2-1),",","."))</f>
        <v>4.2151538987919004</v>
      </c>
      <c r="AH413" t="str">
        <f>MID($A413,O413+O$2+1,P413-O413-O$2-1)</f>
        <v/>
      </c>
      <c r="AI413" s="8" t="str">
        <f>MID($A413,P413+P$2+1,Q413-P413-P$2-1)</f>
        <v>False</v>
      </c>
      <c r="AK413" t="b">
        <f t="shared" si="57"/>
        <v>0</v>
      </c>
    </row>
    <row r="414" spans="1:37" x14ac:dyDescent="0.35">
      <c r="A414" t="s">
        <v>4961</v>
      </c>
      <c r="B414">
        <f t="shared" si="59"/>
        <v>10</v>
      </c>
      <c r="C414">
        <f t="shared" si="59"/>
        <v>43</v>
      </c>
      <c r="D414">
        <f t="shared" si="59"/>
        <v>54</v>
      </c>
      <c r="E414">
        <f t="shared" si="58"/>
        <v>80</v>
      </c>
      <c r="F414">
        <f t="shared" si="58"/>
        <v>124</v>
      </c>
      <c r="G414">
        <f t="shared" si="58"/>
        <v>145</v>
      </c>
      <c r="H414">
        <f t="shared" si="58"/>
        <v>177</v>
      </c>
      <c r="I414">
        <f t="shared" si="58"/>
        <v>199</v>
      </c>
      <c r="J414">
        <f t="shared" si="58"/>
        <v>232</v>
      </c>
      <c r="K414">
        <f t="shared" si="58"/>
        <v>252</v>
      </c>
      <c r="L414">
        <f t="shared" si="58"/>
        <v>284</v>
      </c>
      <c r="M414">
        <f t="shared" si="58"/>
        <v>299</v>
      </c>
      <c r="N414">
        <f t="shared" si="58"/>
        <v>311</v>
      </c>
      <c r="O414">
        <f t="shared" si="58"/>
        <v>336</v>
      </c>
      <c r="P414">
        <f t="shared" si="58"/>
        <v>354</v>
      </c>
      <c r="Q414">
        <f t="shared" si="53"/>
        <v>380</v>
      </c>
      <c r="S414" t="str">
        <f t="shared" si="54"/>
        <v>01.12.2025</v>
      </c>
      <c r="T414" t="str">
        <f t="shared" si="55"/>
        <v>02:00:00</v>
      </c>
      <c r="U414" t="str">
        <f t="shared" si="56"/>
        <v>01.12.2025 02:00:00</v>
      </c>
      <c r="V414" s="9" t="str">
        <f>MID($A414,C414+C$2+1,D414-C414-C$2-1)</f>
        <v>0</v>
      </c>
      <c r="W414" s="4">
        <f>VALUE(SUBSTITUTE(MID($A414,D414+D$2+1,E414-D414-D$2-1),",","."))</f>
        <v>0</v>
      </c>
      <c r="X414" s="4">
        <f>VALUE(SUBSTITUTE(MID($A414,E414+E$2+1,F414-E414-E$2-1),",","."))</f>
        <v>0.90957602214449496</v>
      </c>
      <c r="Y414" s="4">
        <f>VALUE(SUBSTITUTE(MID($A414,F414+F$2+1,G414-F414-F$2-1),",","."))</f>
        <v>0</v>
      </c>
      <c r="Z414" s="3">
        <f>VALUE(SUBSTITUTE(MID($A414,G414+G$2+1,H414-G414-G$2-1),",","."))</f>
        <v>0</v>
      </c>
      <c r="AA414" s="3">
        <f>VALUE(SUBSTITUTE(MID($A414,H414+H$2+1,I414-H414-H$2-1),",","."))</f>
        <v>0</v>
      </c>
      <c r="AB414" s="3">
        <f>VALUE(SUBSTITUTE(MID($A414,I414+I$2+1,J414-I414-I$2-1),",","."))</f>
        <v>0</v>
      </c>
      <c r="AC414" s="3">
        <f>VALUE(SUBSTITUTE(MID($A414,J414+J$2+1,K414-J414-J$2-1),",","."))</f>
        <v>2.25</v>
      </c>
      <c r="AD414" s="3">
        <f>VALUE(SUBSTITUTE(MID($A414,K414+K$2+1,L414-K414-K$2-1),",","."))</f>
        <v>15.12</v>
      </c>
      <c r="AE414" s="3">
        <f>VALUE(SUBSTITUTE(MID($A414,L414+L$2+1,M414-L414-L$2-1),",","."))</f>
        <v>0</v>
      </c>
      <c r="AF414" s="3">
        <f>VALUE(SUBSTITUTE(MID($A414,M414+M$2+1,N414-M414-M$2-1),",","."))</f>
        <v>0</v>
      </c>
      <c r="AG414" s="3">
        <f>VALUE(SUBSTITUTE(MID($A414,N414+N$2+1,O414-N414-N$2-1),",","."))</f>
        <v>4.21518241867998</v>
      </c>
      <c r="AH414" t="str">
        <f>MID($A414,O414+O$2+1,P414-O414-O$2-1)</f>
        <v/>
      </c>
      <c r="AI414" s="8" t="str">
        <f>MID($A414,P414+P$2+1,Q414-P414-P$2-1)</f>
        <v>False</v>
      </c>
      <c r="AK414" t="b">
        <f t="shared" si="57"/>
        <v>0</v>
      </c>
    </row>
    <row r="415" spans="1:37" x14ac:dyDescent="0.35">
      <c r="A415" t="s">
        <v>4962</v>
      </c>
      <c r="B415">
        <f t="shared" si="59"/>
        <v>10</v>
      </c>
      <c r="C415">
        <f t="shared" si="59"/>
        <v>43</v>
      </c>
      <c r="D415">
        <f t="shared" si="59"/>
        <v>54</v>
      </c>
      <c r="E415">
        <f t="shared" si="58"/>
        <v>80</v>
      </c>
      <c r="F415">
        <f t="shared" si="58"/>
        <v>124</v>
      </c>
      <c r="G415">
        <f t="shared" si="58"/>
        <v>145</v>
      </c>
      <c r="H415">
        <f t="shared" ref="H415:Q442" si="60">FIND(H$1,$A415)</f>
        <v>177</v>
      </c>
      <c r="I415">
        <f t="shared" si="60"/>
        <v>199</v>
      </c>
      <c r="J415">
        <f t="shared" si="60"/>
        <v>232</v>
      </c>
      <c r="K415">
        <f t="shared" si="60"/>
        <v>252</v>
      </c>
      <c r="L415">
        <f t="shared" si="60"/>
        <v>284</v>
      </c>
      <c r="M415">
        <f t="shared" si="60"/>
        <v>299</v>
      </c>
      <c r="N415">
        <f t="shared" si="60"/>
        <v>311</v>
      </c>
      <c r="O415">
        <f t="shared" si="60"/>
        <v>336</v>
      </c>
      <c r="P415">
        <f t="shared" si="60"/>
        <v>354</v>
      </c>
      <c r="Q415">
        <f t="shared" si="53"/>
        <v>380</v>
      </c>
      <c r="S415" t="str">
        <f t="shared" si="54"/>
        <v>01.12.2025</v>
      </c>
      <c r="T415" t="str">
        <f t="shared" si="55"/>
        <v>02:15:00</v>
      </c>
      <c r="U415" t="str">
        <f t="shared" si="56"/>
        <v>01.12.2025 02:15:00</v>
      </c>
      <c r="V415" s="9" t="str">
        <f>MID($A415,C415+C$2+1,D415-C415-C$2-1)</f>
        <v>0</v>
      </c>
      <c r="W415" s="4">
        <f>VALUE(SUBSTITUTE(MID($A415,D415+D$2+1,E415-D415-D$2-1),",","."))</f>
        <v>0</v>
      </c>
      <c r="X415" s="4">
        <f>VALUE(SUBSTITUTE(MID($A415,E415+E$2+1,F415-E415-E$2-1),",","."))</f>
        <v>0.90957602214449496</v>
      </c>
      <c r="Y415" s="4">
        <f>VALUE(SUBSTITUTE(MID($A415,F415+F$2+1,G415-F415-F$2-1),",","."))</f>
        <v>0</v>
      </c>
      <c r="Z415" s="3">
        <f>VALUE(SUBSTITUTE(MID($A415,G415+G$2+1,H415-G415-G$2-1),",","."))</f>
        <v>0</v>
      </c>
      <c r="AA415" s="3">
        <f>VALUE(SUBSTITUTE(MID($A415,H415+H$2+1,I415-H415-H$2-1),",","."))</f>
        <v>0</v>
      </c>
      <c r="AB415" s="3">
        <f>VALUE(SUBSTITUTE(MID($A415,I415+I$2+1,J415-I415-I$2-1),",","."))</f>
        <v>0</v>
      </c>
      <c r="AC415" s="3">
        <f>VALUE(SUBSTITUTE(MID($A415,J415+J$2+1,K415-J415-J$2-1),",","."))</f>
        <v>2.25</v>
      </c>
      <c r="AD415" s="3">
        <f>VALUE(SUBSTITUTE(MID($A415,K415+K$2+1,L415-K415-K$2-1),",","."))</f>
        <v>15.12</v>
      </c>
      <c r="AE415" s="3">
        <f>VALUE(SUBSTITUTE(MID($A415,L415+L$2+1,M415-L415-L$2-1),",","."))</f>
        <v>0</v>
      </c>
      <c r="AF415" s="3">
        <f>VALUE(SUBSTITUTE(MID($A415,M415+M$2+1,N415-M415-M$2-1),",","."))</f>
        <v>0</v>
      </c>
      <c r="AG415" s="3">
        <f>VALUE(SUBSTITUTE(MID($A415,N415+N$2+1,O415-N415-N$2-1),",","."))</f>
        <v>4.2152109385680596</v>
      </c>
      <c r="AH415" t="str">
        <f>MID($A415,O415+O$2+1,P415-O415-O$2-1)</f>
        <v/>
      </c>
      <c r="AI415" s="8" t="str">
        <f>MID($A415,P415+P$2+1,Q415-P415-P$2-1)</f>
        <v>False</v>
      </c>
      <c r="AK415" t="b">
        <f t="shared" si="57"/>
        <v>0</v>
      </c>
    </row>
    <row r="416" spans="1:37" x14ac:dyDescent="0.35">
      <c r="A416" t="s">
        <v>4963</v>
      </c>
      <c r="B416">
        <f t="shared" si="59"/>
        <v>10</v>
      </c>
      <c r="C416">
        <f t="shared" si="59"/>
        <v>43</v>
      </c>
      <c r="D416">
        <f t="shared" si="59"/>
        <v>54</v>
      </c>
      <c r="E416">
        <f t="shared" si="59"/>
        <v>80</v>
      </c>
      <c r="F416">
        <f t="shared" si="59"/>
        <v>124</v>
      </c>
      <c r="G416">
        <f t="shared" si="59"/>
        <v>145</v>
      </c>
      <c r="H416">
        <f t="shared" si="60"/>
        <v>177</v>
      </c>
      <c r="I416">
        <f t="shared" si="60"/>
        <v>199</v>
      </c>
      <c r="J416">
        <f t="shared" si="60"/>
        <v>232</v>
      </c>
      <c r="K416">
        <f t="shared" si="60"/>
        <v>251</v>
      </c>
      <c r="L416">
        <f t="shared" si="60"/>
        <v>269</v>
      </c>
      <c r="M416">
        <f t="shared" si="60"/>
        <v>284</v>
      </c>
      <c r="N416">
        <f t="shared" si="60"/>
        <v>296</v>
      </c>
      <c r="O416">
        <f t="shared" si="60"/>
        <v>321</v>
      </c>
      <c r="P416">
        <f t="shared" si="60"/>
        <v>339</v>
      </c>
      <c r="Q416">
        <f t="shared" si="53"/>
        <v>365</v>
      </c>
      <c r="S416" t="str">
        <f t="shared" si="54"/>
        <v>01.12.2025</v>
      </c>
      <c r="T416" t="str">
        <f t="shared" si="55"/>
        <v>02:30:00</v>
      </c>
      <c r="U416" t="str">
        <f t="shared" si="56"/>
        <v>01.12.2025 02:30:00</v>
      </c>
      <c r="V416" s="9" t="str">
        <f>MID($A416,C416+C$2+1,D416-C416-C$2-1)</f>
        <v>0</v>
      </c>
      <c r="W416" s="4">
        <f>VALUE(SUBSTITUTE(MID($A416,D416+D$2+1,E416-D416-D$2-1),",","."))</f>
        <v>0</v>
      </c>
      <c r="X416" s="4">
        <f>VALUE(SUBSTITUTE(MID($A416,E416+E$2+1,F416-E416-E$2-1),",","."))</f>
        <v>0.90957602214449496</v>
      </c>
      <c r="Y416" s="4">
        <f>VALUE(SUBSTITUTE(MID($A416,F416+F$2+1,G416-F416-F$2-1),",","."))</f>
        <v>0</v>
      </c>
      <c r="Z416" s="3">
        <f>VALUE(SUBSTITUTE(MID($A416,G416+G$2+1,H416-G416-G$2-1),",","."))</f>
        <v>0</v>
      </c>
      <c r="AA416" s="3">
        <f>VALUE(SUBSTITUTE(MID($A416,H416+H$2+1,I416-H416-H$2-1),",","."))</f>
        <v>0</v>
      </c>
      <c r="AB416" s="3">
        <f>VALUE(SUBSTITUTE(MID($A416,I416+I$2+1,J416-I416-I$2-1),",","."))</f>
        <v>0</v>
      </c>
      <c r="AC416" s="3">
        <f>VALUE(SUBSTITUTE(MID($A416,J416+J$2+1,K416-J416-J$2-1),",","."))</f>
        <v>2.2000000000000002</v>
      </c>
      <c r="AD416" s="3">
        <f>VALUE(SUBSTITUTE(MID($A416,K416+K$2+1,L416-K416-K$2-1),",","."))</f>
        <v>12.6</v>
      </c>
      <c r="AE416" s="3">
        <f>VALUE(SUBSTITUTE(MID($A416,L416+L$2+1,M416-L416-L$2-1),",","."))</f>
        <v>0</v>
      </c>
      <c r="AF416" s="3">
        <f>VALUE(SUBSTITUTE(MID($A416,M416+M$2+1,N416-M416-M$2-1),",","."))</f>
        <v>0</v>
      </c>
      <c r="AG416" s="3">
        <f>VALUE(SUBSTITUTE(MID($A416,N416+N$2+1,O416-N416-N$2-1),",","."))</f>
        <v>4.2152394584561499</v>
      </c>
      <c r="AH416" t="str">
        <f>MID($A416,O416+O$2+1,P416-O416-O$2-1)</f>
        <v/>
      </c>
      <c r="AI416" s="8" t="str">
        <f>MID($A416,P416+P$2+1,Q416-P416-P$2-1)</f>
        <v>False</v>
      </c>
      <c r="AK416" t="b">
        <f t="shared" si="57"/>
        <v>0</v>
      </c>
    </row>
    <row r="417" spans="1:37" x14ac:dyDescent="0.35">
      <c r="A417" t="s">
        <v>4964</v>
      </c>
      <c r="B417">
        <f t="shared" si="59"/>
        <v>10</v>
      </c>
      <c r="C417">
        <f t="shared" si="59"/>
        <v>43</v>
      </c>
      <c r="D417">
        <f t="shared" si="59"/>
        <v>54</v>
      </c>
      <c r="E417">
        <f t="shared" si="59"/>
        <v>80</v>
      </c>
      <c r="F417">
        <f t="shared" si="59"/>
        <v>124</v>
      </c>
      <c r="G417">
        <f t="shared" si="59"/>
        <v>145</v>
      </c>
      <c r="H417">
        <f t="shared" si="60"/>
        <v>177</v>
      </c>
      <c r="I417">
        <f t="shared" si="60"/>
        <v>199</v>
      </c>
      <c r="J417">
        <f t="shared" si="60"/>
        <v>232</v>
      </c>
      <c r="K417">
        <f t="shared" si="60"/>
        <v>251</v>
      </c>
      <c r="L417">
        <f t="shared" si="60"/>
        <v>269</v>
      </c>
      <c r="M417">
        <f t="shared" si="60"/>
        <v>284</v>
      </c>
      <c r="N417">
        <f t="shared" si="60"/>
        <v>296</v>
      </c>
      <c r="O417">
        <f t="shared" si="60"/>
        <v>321</v>
      </c>
      <c r="P417">
        <f t="shared" si="60"/>
        <v>339</v>
      </c>
      <c r="Q417">
        <f t="shared" si="53"/>
        <v>365</v>
      </c>
      <c r="S417" t="str">
        <f t="shared" si="54"/>
        <v>01.12.2025</v>
      </c>
      <c r="T417" t="str">
        <f t="shared" si="55"/>
        <v>02:45:00</v>
      </c>
      <c r="U417" t="str">
        <f t="shared" si="56"/>
        <v>01.12.2025 02:45:00</v>
      </c>
      <c r="V417" s="9" t="str">
        <f>MID($A417,C417+C$2+1,D417-C417-C$2-1)</f>
        <v>0</v>
      </c>
      <c r="W417" s="4">
        <f>VALUE(SUBSTITUTE(MID($A417,D417+D$2+1,E417-D417-D$2-1),",","."))</f>
        <v>0</v>
      </c>
      <c r="X417" s="4">
        <f>VALUE(SUBSTITUTE(MID($A417,E417+E$2+1,F417-E417-E$2-1),",","."))</f>
        <v>0.90957602214449496</v>
      </c>
      <c r="Y417" s="4">
        <f>VALUE(SUBSTITUTE(MID($A417,F417+F$2+1,G417-F417-F$2-1),",","."))</f>
        <v>0</v>
      </c>
      <c r="Z417" s="3">
        <f>VALUE(SUBSTITUTE(MID($A417,G417+G$2+1,H417-G417-G$2-1),",","."))</f>
        <v>0</v>
      </c>
      <c r="AA417" s="3">
        <f>VALUE(SUBSTITUTE(MID($A417,H417+H$2+1,I417-H417-H$2-1),",","."))</f>
        <v>0</v>
      </c>
      <c r="AB417" s="3">
        <f>VALUE(SUBSTITUTE(MID($A417,I417+I$2+1,J417-I417-I$2-1),",","."))</f>
        <v>0</v>
      </c>
      <c r="AC417" s="3">
        <f>VALUE(SUBSTITUTE(MID($A417,J417+J$2+1,K417-J417-J$2-1),",","."))</f>
        <v>2.2000000000000002</v>
      </c>
      <c r="AD417" s="3">
        <f>VALUE(SUBSTITUTE(MID($A417,K417+K$2+1,L417-K417-K$2-1),",","."))</f>
        <v>12.6</v>
      </c>
      <c r="AE417" s="3">
        <f>VALUE(SUBSTITUTE(MID($A417,L417+L$2+1,M417-L417-L$2-1),",","."))</f>
        <v>0</v>
      </c>
      <c r="AF417" s="3">
        <f>VALUE(SUBSTITUTE(MID($A417,M417+M$2+1,N417-M417-M$2-1),",","."))</f>
        <v>0</v>
      </c>
      <c r="AG417" s="3">
        <f>VALUE(SUBSTITUTE(MID($A417,N417+N$2+1,O417-N417-N$2-1),",","."))</f>
        <v>4.2152679783442304</v>
      </c>
      <c r="AH417" t="str">
        <f>MID($A417,O417+O$2+1,P417-O417-O$2-1)</f>
        <v/>
      </c>
      <c r="AI417" s="8" t="str">
        <f>MID($A417,P417+P$2+1,Q417-P417-P$2-1)</f>
        <v>False</v>
      </c>
      <c r="AK417" t="b">
        <f t="shared" si="57"/>
        <v>0</v>
      </c>
    </row>
    <row r="418" spans="1:37" x14ac:dyDescent="0.35">
      <c r="A418" t="s">
        <v>4965</v>
      </c>
      <c r="B418">
        <f t="shared" si="59"/>
        <v>10</v>
      </c>
      <c r="C418">
        <f t="shared" si="59"/>
        <v>43</v>
      </c>
      <c r="D418">
        <f t="shared" si="59"/>
        <v>54</v>
      </c>
      <c r="E418">
        <f t="shared" si="59"/>
        <v>80</v>
      </c>
      <c r="F418">
        <f t="shared" si="59"/>
        <v>124</v>
      </c>
      <c r="G418">
        <f t="shared" si="59"/>
        <v>145</v>
      </c>
      <c r="H418">
        <f t="shared" si="60"/>
        <v>177</v>
      </c>
      <c r="I418">
        <f t="shared" si="60"/>
        <v>199</v>
      </c>
      <c r="J418">
        <f t="shared" si="60"/>
        <v>232</v>
      </c>
      <c r="K418">
        <f t="shared" si="60"/>
        <v>251</v>
      </c>
      <c r="L418">
        <f t="shared" si="60"/>
        <v>269</v>
      </c>
      <c r="M418">
        <f t="shared" si="60"/>
        <v>284</v>
      </c>
      <c r="N418">
        <f t="shared" si="60"/>
        <v>296</v>
      </c>
      <c r="O418">
        <f t="shared" si="60"/>
        <v>322</v>
      </c>
      <c r="P418">
        <f t="shared" si="60"/>
        <v>340</v>
      </c>
      <c r="Q418">
        <f t="shared" si="53"/>
        <v>366</v>
      </c>
      <c r="S418" t="str">
        <f t="shared" si="54"/>
        <v>01.12.2025</v>
      </c>
      <c r="T418" t="str">
        <f t="shared" si="55"/>
        <v>03:00:00</v>
      </c>
      <c r="U418" t="str">
        <f t="shared" si="56"/>
        <v>01.12.2025 03:00:00</v>
      </c>
      <c r="V418" s="9" t="str">
        <f>MID($A418,C418+C$2+1,D418-C418-C$2-1)</f>
        <v>0</v>
      </c>
      <c r="W418" s="4">
        <f>VALUE(SUBSTITUTE(MID($A418,D418+D$2+1,E418-D418-D$2-1),",","."))</f>
        <v>0</v>
      </c>
      <c r="X418" s="4">
        <f>VALUE(SUBSTITUTE(MID($A418,E418+E$2+1,F418-E418-E$2-1),",","."))</f>
        <v>0.90957602214449496</v>
      </c>
      <c r="Y418" s="4">
        <f>VALUE(SUBSTITUTE(MID($A418,F418+F$2+1,G418-F418-F$2-1),",","."))</f>
        <v>0</v>
      </c>
      <c r="Z418" s="3">
        <f>VALUE(SUBSTITUTE(MID($A418,G418+G$2+1,H418-G418-G$2-1),",","."))</f>
        <v>0</v>
      </c>
      <c r="AA418" s="3">
        <f>VALUE(SUBSTITUTE(MID($A418,H418+H$2+1,I418-H418-H$2-1),",","."))</f>
        <v>0</v>
      </c>
      <c r="AB418" s="3">
        <f>VALUE(SUBSTITUTE(MID($A418,I418+I$2+1,J418-I418-I$2-1),",","."))</f>
        <v>0</v>
      </c>
      <c r="AC418" s="3">
        <f>VALUE(SUBSTITUTE(MID($A418,J418+J$2+1,K418-J418-J$2-1),",","."))</f>
        <v>2.2000000000000002</v>
      </c>
      <c r="AD418" s="3">
        <f>VALUE(SUBSTITUTE(MID($A418,K418+K$2+1,L418-K418-K$2-1),",","."))</f>
        <v>12.6</v>
      </c>
      <c r="AE418" s="3">
        <f>VALUE(SUBSTITUTE(MID($A418,L418+L$2+1,M418-L418-L$2-1),",","."))</f>
        <v>0</v>
      </c>
      <c r="AF418" s="3">
        <f>VALUE(SUBSTITUTE(MID($A418,M418+M$2+1,N418-M418-M$2-1),",","."))</f>
        <v>0</v>
      </c>
      <c r="AG418" s="3">
        <f>VALUE(SUBSTITUTE(MID($A418,N418+N$2+1,O418-N418-N$2-1),",","."))</f>
        <v>4.21529649823231</v>
      </c>
      <c r="AH418" t="str">
        <f>MID($A418,O418+O$2+1,P418-O418-O$2-1)</f>
        <v/>
      </c>
      <c r="AI418" s="8" t="str">
        <f>MID($A418,P418+P$2+1,Q418-P418-P$2-1)</f>
        <v>False</v>
      </c>
      <c r="AK418" t="b">
        <f t="shared" si="57"/>
        <v>0</v>
      </c>
    </row>
    <row r="419" spans="1:37" x14ac:dyDescent="0.35">
      <c r="A419" t="s">
        <v>4966</v>
      </c>
      <c r="B419">
        <f t="shared" si="59"/>
        <v>10</v>
      </c>
      <c r="C419">
        <f t="shared" si="59"/>
        <v>43</v>
      </c>
      <c r="D419">
        <f t="shared" si="59"/>
        <v>54</v>
      </c>
      <c r="E419">
        <f t="shared" si="59"/>
        <v>80</v>
      </c>
      <c r="F419">
        <f t="shared" si="59"/>
        <v>124</v>
      </c>
      <c r="G419">
        <f t="shared" si="59"/>
        <v>145</v>
      </c>
      <c r="H419">
        <f t="shared" si="60"/>
        <v>177</v>
      </c>
      <c r="I419">
        <f t="shared" si="60"/>
        <v>199</v>
      </c>
      <c r="J419">
        <f t="shared" si="60"/>
        <v>232</v>
      </c>
      <c r="K419">
        <f t="shared" si="60"/>
        <v>251</v>
      </c>
      <c r="L419">
        <f t="shared" si="60"/>
        <v>269</v>
      </c>
      <c r="M419">
        <f t="shared" si="60"/>
        <v>284</v>
      </c>
      <c r="N419">
        <f t="shared" si="60"/>
        <v>296</v>
      </c>
      <c r="O419">
        <f t="shared" si="60"/>
        <v>321</v>
      </c>
      <c r="P419">
        <f t="shared" si="60"/>
        <v>339</v>
      </c>
      <c r="Q419">
        <f t="shared" si="53"/>
        <v>365</v>
      </c>
      <c r="S419" t="str">
        <f t="shared" si="54"/>
        <v>01.12.2025</v>
      </c>
      <c r="T419" t="str">
        <f t="shared" si="55"/>
        <v>03:15:00</v>
      </c>
      <c r="U419" t="str">
        <f t="shared" si="56"/>
        <v>01.12.2025 03:15:00</v>
      </c>
      <c r="V419" s="9" t="str">
        <f>MID($A419,C419+C$2+1,D419-C419-C$2-1)</f>
        <v>0</v>
      </c>
      <c r="W419" s="4">
        <f>VALUE(SUBSTITUTE(MID($A419,D419+D$2+1,E419-D419-D$2-1),",","."))</f>
        <v>0</v>
      </c>
      <c r="X419" s="4">
        <f>VALUE(SUBSTITUTE(MID($A419,E419+E$2+1,F419-E419-E$2-1),",","."))</f>
        <v>0.90957602214449496</v>
      </c>
      <c r="Y419" s="4">
        <f>VALUE(SUBSTITUTE(MID($A419,F419+F$2+1,G419-F419-F$2-1),",","."))</f>
        <v>0</v>
      </c>
      <c r="Z419" s="3">
        <f>VALUE(SUBSTITUTE(MID($A419,G419+G$2+1,H419-G419-G$2-1),",","."))</f>
        <v>0</v>
      </c>
      <c r="AA419" s="3">
        <f>VALUE(SUBSTITUTE(MID($A419,H419+H$2+1,I419-H419-H$2-1),",","."))</f>
        <v>0</v>
      </c>
      <c r="AB419" s="3">
        <f>VALUE(SUBSTITUTE(MID($A419,I419+I$2+1,J419-I419-I$2-1),",","."))</f>
        <v>0</v>
      </c>
      <c r="AC419" s="3">
        <f>VALUE(SUBSTITUTE(MID($A419,J419+J$2+1,K419-J419-J$2-1),",","."))</f>
        <v>2.2000000000000002</v>
      </c>
      <c r="AD419" s="3">
        <f>VALUE(SUBSTITUTE(MID($A419,K419+K$2+1,L419-K419-K$2-1),",","."))</f>
        <v>12.6</v>
      </c>
      <c r="AE419" s="3">
        <f>VALUE(SUBSTITUTE(MID($A419,L419+L$2+1,M419-L419-L$2-1),",","."))</f>
        <v>0</v>
      </c>
      <c r="AF419" s="3">
        <f>VALUE(SUBSTITUTE(MID($A419,M419+M$2+1,N419-M419-M$2-1),",","."))</f>
        <v>0</v>
      </c>
      <c r="AG419" s="3">
        <f>VALUE(SUBSTITUTE(MID($A419,N419+N$2+1,O419-N419-N$2-1),",","."))</f>
        <v>4.2153250181203896</v>
      </c>
      <c r="AH419" t="str">
        <f>MID($A419,O419+O$2+1,P419-O419-O$2-1)</f>
        <v/>
      </c>
      <c r="AI419" s="8" t="str">
        <f>MID($A419,P419+P$2+1,Q419-P419-P$2-1)</f>
        <v>False</v>
      </c>
      <c r="AK419" t="b">
        <f t="shared" si="57"/>
        <v>0</v>
      </c>
    </row>
    <row r="420" spans="1:37" x14ac:dyDescent="0.35">
      <c r="A420" t="s">
        <v>4967</v>
      </c>
      <c r="B420">
        <f t="shared" si="59"/>
        <v>10</v>
      </c>
      <c r="C420">
        <f t="shared" si="59"/>
        <v>43</v>
      </c>
      <c r="D420">
        <f t="shared" si="59"/>
        <v>54</v>
      </c>
      <c r="E420">
        <f t="shared" si="59"/>
        <v>80</v>
      </c>
      <c r="F420">
        <f t="shared" si="59"/>
        <v>124</v>
      </c>
      <c r="G420">
        <f t="shared" si="59"/>
        <v>145</v>
      </c>
      <c r="H420">
        <f t="shared" si="60"/>
        <v>177</v>
      </c>
      <c r="I420">
        <f t="shared" si="60"/>
        <v>199</v>
      </c>
      <c r="J420">
        <f t="shared" si="60"/>
        <v>232</v>
      </c>
      <c r="K420">
        <f t="shared" si="60"/>
        <v>266</v>
      </c>
      <c r="L420">
        <f t="shared" si="60"/>
        <v>297</v>
      </c>
      <c r="M420">
        <f t="shared" si="60"/>
        <v>312</v>
      </c>
      <c r="N420">
        <f t="shared" si="60"/>
        <v>324</v>
      </c>
      <c r="O420">
        <f t="shared" si="60"/>
        <v>349</v>
      </c>
      <c r="P420">
        <f t="shared" si="60"/>
        <v>367</v>
      </c>
      <c r="Q420">
        <f t="shared" si="53"/>
        <v>393</v>
      </c>
      <c r="S420" t="str">
        <f t="shared" si="54"/>
        <v>01.12.2025</v>
      </c>
      <c r="T420" t="str">
        <f t="shared" si="55"/>
        <v>03:30:00</v>
      </c>
      <c r="U420" t="str">
        <f t="shared" si="56"/>
        <v>01.12.2025 03:30:00</v>
      </c>
      <c r="V420" s="9" t="str">
        <f>MID($A420,C420+C$2+1,D420-C420-C$2-1)</f>
        <v>0</v>
      </c>
      <c r="W420" s="4">
        <f>VALUE(SUBSTITUTE(MID($A420,D420+D$2+1,E420-D420-D$2-1),",","."))</f>
        <v>0</v>
      </c>
      <c r="X420" s="4">
        <f>VALUE(SUBSTITUTE(MID($A420,E420+E$2+1,F420-E420-E$2-1),",","."))</f>
        <v>0.90957602214449496</v>
      </c>
      <c r="Y420" s="4">
        <f>VALUE(SUBSTITUTE(MID($A420,F420+F$2+1,G420-F420-F$2-1),",","."))</f>
        <v>0</v>
      </c>
      <c r="Z420" s="3">
        <f>VALUE(SUBSTITUTE(MID($A420,G420+G$2+1,H420-G420-G$2-1),",","."))</f>
        <v>0</v>
      </c>
      <c r="AA420" s="3">
        <f>VALUE(SUBSTITUTE(MID($A420,H420+H$2+1,I420-H420-H$2-1),",","."))</f>
        <v>0</v>
      </c>
      <c r="AB420" s="3">
        <f>VALUE(SUBSTITUTE(MID($A420,I420+I$2+1,J420-I420-I$2-1),",","."))</f>
        <v>0</v>
      </c>
      <c r="AC420" s="3">
        <f>VALUE(SUBSTITUTE(MID($A420,J420+J$2+1,K420-J420-J$2-1),",","."))</f>
        <v>2.0999999999999899</v>
      </c>
      <c r="AD420" s="3">
        <f>VALUE(SUBSTITUTE(MID($A420,K420+K$2+1,L420-K420-K$2-1),",","."))</f>
        <v>9.5399999999999991</v>
      </c>
      <c r="AE420" s="3">
        <f>VALUE(SUBSTITUTE(MID($A420,L420+L$2+1,M420-L420-L$2-1),",","."))</f>
        <v>0</v>
      </c>
      <c r="AF420" s="3">
        <f>VALUE(SUBSTITUTE(MID($A420,M420+M$2+1,N420-M420-M$2-1),",","."))</f>
        <v>0</v>
      </c>
      <c r="AG420" s="3">
        <f>VALUE(SUBSTITUTE(MID($A420,N420+N$2+1,O420-N420-N$2-1),",","."))</f>
        <v>4.2153535380084701</v>
      </c>
      <c r="AH420" t="str">
        <f>MID($A420,O420+O$2+1,P420-O420-O$2-1)</f>
        <v/>
      </c>
      <c r="AI420" s="8" t="str">
        <f>MID($A420,P420+P$2+1,Q420-P420-P$2-1)</f>
        <v>False</v>
      </c>
      <c r="AK420" t="b">
        <f t="shared" si="57"/>
        <v>0</v>
      </c>
    </row>
    <row r="421" spans="1:37" x14ac:dyDescent="0.35">
      <c r="A421" t="s">
        <v>4968</v>
      </c>
      <c r="B421">
        <f t="shared" si="59"/>
        <v>10</v>
      </c>
      <c r="C421">
        <f t="shared" si="59"/>
        <v>43</v>
      </c>
      <c r="D421">
        <f t="shared" si="59"/>
        <v>54</v>
      </c>
      <c r="E421">
        <f t="shared" si="59"/>
        <v>80</v>
      </c>
      <c r="F421">
        <f t="shared" si="59"/>
        <v>124</v>
      </c>
      <c r="G421">
        <f t="shared" si="59"/>
        <v>145</v>
      </c>
      <c r="H421">
        <f t="shared" si="60"/>
        <v>177</v>
      </c>
      <c r="I421">
        <f t="shared" si="60"/>
        <v>199</v>
      </c>
      <c r="J421">
        <f t="shared" si="60"/>
        <v>232</v>
      </c>
      <c r="K421">
        <f t="shared" si="60"/>
        <v>266</v>
      </c>
      <c r="L421">
        <f t="shared" si="60"/>
        <v>297</v>
      </c>
      <c r="M421">
        <f t="shared" si="60"/>
        <v>312</v>
      </c>
      <c r="N421">
        <f t="shared" si="60"/>
        <v>324</v>
      </c>
      <c r="O421">
        <f t="shared" si="60"/>
        <v>349</v>
      </c>
      <c r="P421">
        <f t="shared" si="60"/>
        <v>367</v>
      </c>
      <c r="Q421">
        <f t="shared" si="53"/>
        <v>393</v>
      </c>
      <c r="S421" t="str">
        <f t="shared" si="54"/>
        <v>01.12.2025</v>
      </c>
      <c r="T421" t="str">
        <f t="shared" si="55"/>
        <v>03:45:00</v>
      </c>
      <c r="U421" t="str">
        <f t="shared" si="56"/>
        <v>01.12.2025 03:45:00</v>
      </c>
      <c r="V421" s="9" t="str">
        <f>MID($A421,C421+C$2+1,D421-C421-C$2-1)</f>
        <v>0</v>
      </c>
      <c r="W421" s="4">
        <f>VALUE(SUBSTITUTE(MID($A421,D421+D$2+1,E421-D421-D$2-1),",","."))</f>
        <v>0</v>
      </c>
      <c r="X421" s="4">
        <f>VALUE(SUBSTITUTE(MID($A421,E421+E$2+1,F421-E421-E$2-1),",","."))</f>
        <v>0.90957602214449496</v>
      </c>
      <c r="Y421" s="4">
        <f>VALUE(SUBSTITUTE(MID($A421,F421+F$2+1,G421-F421-F$2-1),",","."))</f>
        <v>0</v>
      </c>
      <c r="Z421" s="3">
        <f>VALUE(SUBSTITUTE(MID($A421,G421+G$2+1,H421-G421-G$2-1),",","."))</f>
        <v>0</v>
      </c>
      <c r="AA421" s="3">
        <f>VALUE(SUBSTITUTE(MID($A421,H421+H$2+1,I421-H421-H$2-1),",","."))</f>
        <v>0</v>
      </c>
      <c r="AB421" s="3">
        <f>VALUE(SUBSTITUTE(MID($A421,I421+I$2+1,J421-I421-I$2-1),",","."))</f>
        <v>0</v>
      </c>
      <c r="AC421" s="3">
        <f>VALUE(SUBSTITUTE(MID($A421,J421+J$2+1,K421-J421-J$2-1),",","."))</f>
        <v>2.0999999999999899</v>
      </c>
      <c r="AD421" s="3">
        <f>VALUE(SUBSTITUTE(MID($A421,K421+K$2+1,L421-K421-K$2-1),",","."))</f>
        <v>9.5399999999999991</v>
      </c>
      <c r="AE421" s="3">
        <f>VALUE(SUBSTITUTE(MID($A421,L421+L$2+1,M421-L421-L$2-1),",","."))</f>
        <v>0</v>
      </c>
      <c r="AF421" s="3">
        <f>VALUE(SUBSTITUTE(MID($A421,M421+M$2+1,N421-M421-M$2-1),",","."))</f>
        <v>0</v>
      </c>
      <c r="AG421" s="3">
        <f>VALUE(SUBSTITUTE(MID($A421,N421+N$2+1,O421-N421-N$2-1),",","."))</f>
        <v>4.2153820578965497</v>
      </c>
      <c r="AH421" t="str">
        <f>MID($A421,O421+O$2+1,P421-O421-O$2-1)</f>
        <v/>
      </c>
      <c r="AI421" s="8" t="str">
        <f>MID($A421,P421+P$2+1,Q421-P421-P$2-1)</f>
        <v>False</v>
      </c>
      <c r="AK421" t="b">
        <f t="shared" si="57"/>
        <v>0</v>
      </c>
    </row>
    <row r="422" spans="1:37" x14ac:dyDescent="0.35">
      <c r="A422" t="s">
        <v>4969</v>
      </c>
      <c r="B422">
        <f t="shared" si="59"/>
        <v>10</v>
      </c>
      <c r="C422">
        <f t="shared" si="59"/>
        <v>43</v>
      </c>
      <c r="D422">
        <f t="shared" si="59"/>
        <v>54</v>
      </c>
      <c r="E422">
        <f t="shared" si="59"/>
        <v>80</v>
      </c>
      <c r="F422">
        <f t="shared" si="59"/>
        <v>124</v>
      </c>
      <c r="G422">
        <f t="shared" si="59"/>
        <v>145</v>
      </c>
      <c r="H422">
        <f t="shared" si="60"/>
        <v>177</v>
      </c>
      <c r="I422">
        <f t="shared" si="60"/>
        <v>199</v>
      </c>
      <c r="J422">
        <f t="shared" si="60"/>
        <v>232</v>
      </c>
      <c r="K422">
        <f t="shared" si="60"/>
        <v>266</v>
      </c>
      <c r="L422">
        <f t="shared" si="60"/>
        <v>297</v>
      </c>
      <c r="M422">
        <f t="shared" si="60"/>
        <v>312</v>
      </c>
      <c r="N422">
        <f t="shared" si="60"/>
        <v>324</v>
      </c>
      <c r="O422">
        <f t="shared" si="60"/>
        <v>349</v>
      </c>
      <c r="P422">
        <f t="shared" si="60"/>
        <v>367</v>
      </c>
      <c r="Q422">
        <f t="shared" si="53"/>
        <v>393</v>
      </c>
      <c r="S422" t="str">
        <f t="shared" si="54"/>
        <v>01.12.2025</v>
      </c>
      <c r="T422" t="str">
        <f t="shared" si="55"/>
        <v>04:00:00</v>
      </c>
      <c r="U422" t="str">
        <f t="shared" si="56"/>
        <v>01.12.2025 04:00:00</v>
      </c>
      <c r="V422" s="9" t="str">
        <f>MID($A422,C422+C$2+1,D422-C422-C$2-1)</f>
        <v>0</v>
      </c>
      <c r="W422" s="4">
        <f>VALUE(SUBSTITUTE(MID($A422,D422+D$2+1,E422-D422-D$2-1),",","."))</f>
        <v>0</v>
      </c>
      <c r="X422" s="4">
        <f>VALUE(SUBSTITUTE(MID($A422,E422+E$2+1,F422-E422-E$2-1),",","."))</f>
        <v>0.90957602214449496</v>
      </c>
      <c r="Y422" s="4">
        <f>VALUE(SUBSTITUTE(MID($A422,F422+F$2+1,G422-F422-F$2-1),",","."))</f>
        <v>0</v>
      </c>
      <c r="Z422" s="3">
        <f>VALUE(SUBSTITUTE(MID($A422,G422+G$2+1,H422-G422-G$2-1),",","."))</f>
        <v>0</v>
      </c>
      <c r="AA422" s="3">
        <f>VALUE(SUBSTITUTE(MID($A422,H422+H$2+1,I422-H422-H$2-1),",","."))</f>
        <v>0</v>
      </c>
      <c r="AB422" s="3">
        <f>VALUE(SUBSTITUTE(MID($A422,I422+I$2+1,J422-I422-I$2-1),",","."))</f>
        <v>0</v>
      </c>
      <c r="AC422" s="3">
        <f>VALUE(SUBSTITUTE(MID($A422,J422+J$2+1,K422-J422-J$2-1),",","."))</f>
        <v>2.0999999999999899</v>
      </c>
      <c r="AD422" s="3">
        <f>VALUE(SUBSTITUTE(MID($A422,K422+K$2+1,L422-K422-K$2-1),",","."))</f>
        <v>9.5399999999999991</v>
      </c>
      <c r="AE422" s="3">
        <f>VALUE(SUBSTITUTE(MID($A422,L422+L$2+1,M422-L422-L$2-1),",","."))</f>
        <v>0</v>
      </c>
      <c r="AF422" s="3">
        <f>VALUE(SUBSTITUTE(MID($A422,M422+M$2+1,N422-M422-M$2-1),",","."))</f>
        <v>0</v>
      </c>
      <c r="AG422" s="3">
        <f>VALUE(SUBSTITUTE(MID($A422,N422+N$2+1,O422-N422-N$2-1),",","."))</f>
        <v>4.21541057778464</v>
      </c>
      <c r="AH422" t="str">
        <f>MID($A422,O422+O$2+1,P422-O422-O$2-1)</f>
        <v/>
      </c>
      <c r="AI422" s="8" t="str">
        <f>MID($A422,P422+P$2+1,Q422-P422-P$2-1)</f>
        <v>False</v>
      </c>
      <c r="AK422" t="b">
        <f t="shared" si="57"/>
        <v>0</v>
      </c>
    </row>
    <row r="423" spans="1:37" x14ac:dyDescent="0.35">
      <c r="A423" t="s">
        <v>4970</v>
      </c>
      <c r="B423">
        <f t="shared" si="59"/>
        <v>10</v>
      </c>
      <c r="C423">
        <f t="shared" si="59"/>
        <v>43</v>
      </c>
      <c r="D423">
        <f t="shared" si="59"/>
        <v>54</v>
      </c>
      <c r="E423">
        <f t="shared" si="59"/>
        <v>80</v>
      </c>
      <c r="F423">
        <f t="shared" si="59"/>
        <v>124</v>
      </c>
      <c r="G423">
        <f t="shared" si="59"/>
        <v>145</v>
      </c>
      <c r="H423">
        <f t="shared" si="60"/>
        <v>177</v>
      </c>
      <c r="I423">
        <f t="shared" si="60"/>
        <v>199</v>
      </c>
      <c r="J423">
        <f t="shared" si="60"/>
        <v>232</v>
      </c>
      <c r="K423">
        <f t="shared" si="60"/>
        <v>266</v>
      </c>
      <c r="L423">
        <f t="shared" si="60"/>
        <v>297</v>
      </c>
      <c r="M423">
        <f t="shared" si="60"/>
        <v>312</v>
      </c>
      <c r="N423">
        <f t="shared" si="60"/>
        <v>324</v>
      </c>
      <c r="O423">
        <f t="shared" si="60"/>
        <v>349</v>
      </c>
      <c r="P423">
        <f t="shared" si="60"/>
        <v>367</v>
      </c>
      <c r="Q423">
        <f t="shared" si="53"/>
        <v>393</v>
      </c>
      <c r="S423" t="str">
        <f t="shared" si="54"/>
        <v>01.12.2025</v>
      </c>
      <c r="T423" t="str">
        <f t="shared" si="55"/>
        <v>04:15:00</v>
      </c>
      <c r="U423" t="str">
        <f t="shared" si="56"/>
        <v>01.12.2025 04:15:00</v>
      </c>
      <c r="V423" s="9" t="str">
        <f>MID($A423,C423+C$2+1,D423-C423-C$2-1)</f>
        <v>0</v>
      </c>
      <c r="W423" s="4">
        <f>VALUE(SUBSTITUTE(MID($A423,D423+D$2+1,E423-D423-D$2-1),",","."))</f>
        <v>0</v>
      </c>
      <c r="X423" s="4">
        <f>VALUE(SUBSTITUTE(MID($A423,E423+E$2+1,F423-E423-E$2-1),",","."))</f>
        <v>0.90957602214449496</v>
      </c>
      <c r="Y423" s="4">
        <f>VALUE(SUBSTITUTE(MID($A423,F423+F$2+1,G423-F423-F$2-1),",","."))</f>
        <v>0</v>
      </c>
      <c r="Z423" s="3">
        <f>VALUE(SUBSTITUTE(MID($A423,G423+G$2+1,H423-G423-G$2-1),",","."))</f>
        <v>0</v>
      </c>
      <c r="AA423" s="3">
        <f>VALUE(SUBSTITUTE(MID($A423,H423+H$2+1,I423-H423-H$2-1),",","."))</f>
        <v>0</v>
      </c>
      <c r="AB423" s="3">
        <f>VALUE(SUBSTITUTE(MID($A423,I423+I$2+1,J423-I423-I$2-1),",","."))</f>
        <v>0</v>
      </c>
      <c r="AC423" s="3">
        <f>VALUE(SUBSTITUTE(MID($A423,J423+J$2+1,K423-J423-J$2-1),",","."))</f>
        <v>2.0999999999999899</v>
      </c>
      <c r="AD423" s="3">
        <f>VALUE(SUBSTITUTE(MID($A423,K423+K$2+1,L423-K423-K$2-1),",","."))</f>
        <v>9.5399999999999991</v>
      </c>
      <c r="AE423" s="3">
        <f>VALUE(SUBSTITUTE(MID($A423,L423+L$2+1,M423-L423-L$2-1),",","."))</f>
        <v>0</v>
      </c>
      <c r="AF423" s="3">
        <f>VALUE(SUBSTITUTE(MID($A423,M423+M$2+1,N423-M423-M$2-1),",","."))</f>
        <v>0</v>
      </c>
      <c r="AG423" s="3">
        <f>VALUE(SUBSTITUTE(MID($A423,N423+N$2+1,O423-N423-N$2-1),",","."))</f>
        <v>4.2154390976727196</v>
      </c>
      <c r="AH423" t="str">
        <f>MID($A423,O423+O$2+1,P423-O423-O$2-1)</f>
        <v/>
      </c>
      <c r="AI423" s="8" t="str">
        <f>MID($A423,P423+P$2+1,Q423-P423-P$2-1)</f>
        <v>False</v>
      </c>
      <c r="AK423" t="b">
        <f t="shared" si="57"/>
        <v>0</v>
      </c>
    </row>
    <row r="424" spans="1:37" x14ac:dyDescent="0.35">
      <c r="A424" t="s">
        <v>4971</v>
      </c>
      <c r="B424">
        <f t="shared" si="59"/>
        <v>10</v>
      </c>
      <c r="C424">
        <f t="shared" si="59"/>
        <v>43</v>
      </c>
      <c r="D424">
        <f t="shared" si="59"/>
        <v>54</v>
      </c>
      <c r="E424">
        <f t="shared" si="59"/>
        <v>80</v>
      </c>
      <c r="F424">
        <f t="shared" si="59"/>
        <v>124</v>
      </c>
      <c r="G424">
        <f t="shared" si="59"/>
        <v>145</v>
      </c>
      <c r="H424">
        <f t="shared" si="60"/>
        <v>177</v>
      </c>
      <c r="I424">
        <f t="shared" si="60"/>
        <v>199</v>
      </c>
      <c r="J424">
        <f t="shared" si="60"/>
        <v>232</v>
      </c>
      <c r="K424">
        <f t="shared" si="60"/>
        <v>252</v>
      </c>
      <c r="L424">
        <f t="shared" si="60"/>
        <v>270</v>
      </c>
      <c r="M424">
        <f t="shared" si="60"/>
        <v>285</v>
      </c>
      <c r="N424">
        <f t="shared" si="60"/>
        <v>297</v>
      </c>
      <c r="O424">
        <f t="shared" si="60"/>
        <v>322</v>
      </c>
      <c r="P424">
        <f t="shared" si="60"/>
        <v>340</v>
      </c>
      <c r="Q424">
        <f t="shared" si="53"/>
        <v>366</v>
      </c>
      <c r="S424" t="str">
        <f t="shared" si="54"/>
        <v>01.12.2025</v>
      </c>
      <c r="T424" t="str">
        <f t="shared" si="55"/>
        <v>04:30:00</v>
      </c>
      <c r="U424" t="str">
        <f t="shared" si="56"/>
        <v>01.12.2025 04:30:00</v>
      </c>
      <c r="V424" s="9" t="str">
        <f>MID($A424,C424+C$2+1,D424-C424-C$2-1)</f>
        <v>0</v>
      </c>
      <c r="W424" s="4">
        <f>VALUE(SUBSTITUTE(MID($A424,D424+D$2+1,E424-D424-D$2-1),",","."))</f>
        <v>0</v>
      </c>
      <c r="X424" s="4">
        <f>VALUE(SUBSTITUTE(MID($A424,E424+E$2+1,F424-E424-E$2-1),",","."))</f>
        <v>0.90957602214449496</v>
      </c>
      <c r="Y424" s="4">
        <f>VALUE(SUBSTITUTE(MID($A424,F424+F$2+1,G424-F424-F$2-1),",","."))</f>
        <v>0</v>
      </c>
      <c r="Z424" s="3">
        <f>VALUE(SUBSTITUTE(MID($A424,G424+G$2+1,H424-G424-G$2-1),",","."))</f>
        <v>0</v>
      </c>
      <c r="AA424" s="3">
        <f>VALUE(SUBSTITUTE(MID($A424,H424+H$2+1,I424-H424-H$2-1),",","."))</f>
        <v>0</v>
      </c>
      <c r="AB424" s="3">
        <f>VALUE(SUBSTITUTE(MID($A424,I424+I$2+1,J424-I424-I$2-1),",","."))</f>
        <v>0</v>
      </c>
      <c r="AC424" s="3">
        <f>VALUE(SUBSTITUTE(MID($A424,J424+J$2+1,K424-J424-J$2-1),",","."))</f>
        <v>2.0499999999999998</v>
      </c>
      <c r="AD424" s="3">
        <f>VALUE(SUBSTITUTE(MID($A424,K424+K$2+1,L424-K424-K$2-1),",","."))</f>
        <v>6.84</v>
      </c>
      <c r="AE424" s="3">
        <f>VALUE(SUBSTITUTE(MID($A424,L424+L$2+1,M424-L424-L$2-1),",","."))</f>
        <v>0</v>
      </c>
      <c r="AF424" s="3">
        <f>VALUE(SUBSTITUTE(MID($A424,M424+M$2+1,N424-M424-M$2-1),",","."))</f>
        <v>0</v>
      </c>
      <c r="AG424" s="3">
        <f>VALUE(SUBSTITUTE(MID($A424,N424+N$2+1,O424-N424-N$2-1),",","."))</f>
        <v>4.2154676175608001</v>
      </c>
      <c r="AH424" t="str">
        <f>MID($A424,O424+O$2+1,P424-O424-O$2-1)</f>
        <v/>
      </c>
      <c r="AI424" s="8" t="str">
        <f>MID($A424,P424+P$2+1,Q424-P424-P$2-1)</f>
        <v>False</v>
      </c>
      <c r="AK424" t="b">
        <f t="shared" si="57"/>
        <v>0</v>
      </c>
    </row>
    <row r="425" spans="1:37" x14ac:dyDescent="0.35">
      <c r="A425" t="s">
        <v>4972</v>
      </c>
      <c r="B425">
        <f t="shared" si="59"/>
        <v>10</v>
      </c>
      <c r="C425">
        <f t="shared" si="59"/>
        <v>43</v>
      </c>
      <c r="D425">
        <f t="shared" si="59"/>
        <v>54</v>
      </c>
      <c r="E425">
        <f t="shared" si="59"/>
        <v>80</v>
      </c>
      <c r="F425">
        <f t="shared" si="59"/>
        <v>124</v>
      </c>
      <c r="G425">
        <f t="shared" si="59"/>
        <v>145</v>
      </c>
      <c r="H425">
        <f t="shared" si="60"/>
        <v>177</v>
      </c>
      <c r="I425">
        <f t="shared" si="60"/>
        <v>199</v>
      </c>
      <c r="J425">
        <f t="shared" si="60"/>
        <v>232</v>
      </c>
      <c r="K425">
        <f t="shared" si="60"/>
        <v>252</v>
      </c>
      <c r="L425">
        <f t="shared" si="60"/>
        <v>270</v>
      </c>
      <c r="M425">
        <f t="shared" si="60"/>
        <v>285</v>
      </c>
      <c r="N425">
        <f t="shared" si="60"/>
        <v>297</v>
      </c>
      <c r="O425">
        <f t="shared" si="60"/>
        <v>322</v>
      </c>
      <c r="P425">
        <f t="shared" si="60"/>
        <v>340</v>
      </c>
      <c r="Q425">
        <f t="shared" si="53"/>
        <v>366</v>
      </c>
      <c r="S425" t="str">
        <f t="shared" si="54"/>
        <v>01.12.2025</v>
      </c>
      <c r="T425" t="str">
        <f t="shared" si="55"/>
        <v>04:45:00</v>
      </c>
      <c r="U425" t="str">
        <f t="shared" si="56"/>
        <v>01.12.2025 04:45:00</v>
      </c>
      <c r="V425" s="9" t="str">
        <f>MID($A425,C425+C$2+1,D425-C425-C$2-1)</f>
        <v>0</v>
      </c>
      <c r="W425" s="4">
        <f>VALUE(SUBSTITUTE(MID($A425,D425+D$2+1,E425-D425-D$2-1),",","."))</f>
        <v>0</v>
      </c>
      <c r="X425" s="4">
        <f>VALUE(SUBSTITUTE(MID($A425,E425+E$2+1,F425-E425-E$2-1),",","."))</f>
        <v>0.90957602214449496</v>
      </c>
      <c r="Y425" s="4">
        <f>VALUE(SUBSTITUTE(MID($A425,F425+F$2+1,G425-F425-F$2-1),",","."))</f>
        <v>0</v>
      </c>
      <c r="Z425" s="3">
        <f>VALUE(SUBSTITUTE(MID($A425,G425+G$2+1,H425-G425-G$2-1),",","."))</f>
        <v>0</v>
      </c>
      <c r="AA425" s="3">
        <f>VALUE(SUBSTITUTE(MID($A425,H425+H$2+1,I425-H425-H$2-1),",","."))</f>
        <v>0</v>
      </c>
      <c r="AB425" s="3">
        <f>VALUE(SUBSTITUTE(MID($A425,I425+I$2+1,J425-I425-I$2-1),",","."))</f>
        <v>0</v>
      </c>
      <c r="AC425" s="3">
        <f>VALUE(SUBSTITUTE(MID($A425,J425+J$2+1,K425-J425-J$2-1),",","."))</f>
        <v>2.0499999999999998</v>
      </c>
      <c r="AD425" s="3">
        <f>VALUE(SUBSTITUTE(MID($A425,K425+K$2+1,L425-K425-K$2-1),",","."))</f>
        <v>6.84</v>
      </c>
      <c r="AE425" s="3">
        <f>VALUE(SUBSTITUTE(MID($A425,L425+L$2+1,M425-L425-L$2-1),",","."))</f>
        <v>0</v>
      </c>
      <c r="AF425" s="3">
        <f>VALUE(SUBSTITUTE(MID($A425,M425+M$2+1,N425-M425-M$2-1),",","."))</f>
        <v>0</v>
      </c>
      <c r="AG425" s="3">
        <f>VALUE(SUBSTITUTE(MID($A425,N425+N$2+1,O425-N425-N$2-1),",","."))</f>
        <v>4.2154961374488797</v>
      </c>
      <c r="AH425" t="str">
        <f>MID($A425,O425+O$2+1,P425-O425-O$2-1)</f>
        <v/>
      </c>
      <c r="AI425" s="8" t="str">
        <f>MID($A425,P425+P$2+1,Q425-P425-P$2-1)</f>
        <v>False</v>
      </c>
      <c r="AK425" t="b">
        <f t="shared" si="57"/>
        <v>0</v>
      </c>
    </row>
    <row r="426" spans="1:37" x14ac:dyDescent="0.35">
      <c r="A426" t="s">
        <v>4973</v>
      </c>
      <c r="B426">
        <f t="shared" si="59"/>
        <v>10</v>
      </c>
      <c r="C426">
        <f t="shared" si="59"/>
        <v>43</v>
      </c>
      <c r="D426">
        <f t="shared" si="59"/>
        <v>54</v>
      </c>
      <c r="E426">
        <f t="shared" si="59"/>
        <v>80</v>
      </c>
      <c r="F426">
        <f t="shared" si="59"/>
        <v>124</v>
      </c>
      <c r="G426">
        <f t="shared" si="59"/>
        <v>145</v>
      </c>
      <c r="H426">
        <f t="shared" si="60"/>
        <v>177</v>
      </c>
      <c r="I426">
        <f t="shared" si="60"/>
        <v>199</v>
      </c>
      <c r="J426">
        <f t="shared" si="60"/>
        <v>232</v>
      </c>
      <c r="K426">
        <f t="shared" si="60"/>
        <v>252</v>
      </c>
      <c r="L426">
        <f t="shared" si="60"/>
        <v>270</v>
      </c>
      <c r="M426">
        <f t="shared" si="60"/>
        <v>285</v>
      </c>
      <c r="N426">
        <f t="shared" si="60"/>
        <v>297</v>
      </c>
      <c r="O426">
        <f t="shared" si="60"/>
        <v>323</v>
      </c>
      <c r="P426">
        <f t="shared" si="60"/>
        <v>341</v>
      </c>
      <c r="Q426">
        <f t="shared" si="53"/>
        <v>367</v>
      </c>
      <c r="S426" t="str">
        <f t="shared" si="54"/>
        <v>01.12.2025</v>
      </c>
      <c r="T426" t="str">
        <f t="shared" si="55"/>
        <v>05:00:00</v>
      </c>
      <c r="U426" t="str">
        <f t="shared" si="56"/>
        <v>01.12.2025 05:00:00</v>
      </c>
      <c r="V426" s="9" t="str">
        <f>MID($A426,C426+C$2+1,D426-C426-C$2-1)</f>
        <v>0</v>
      </c>
      <c r="W426" s="4">
        <f>VALUE(SUBSTITUTE(MID($A426,D426+D$2+1,E426-D426-D$2-1),",","."))</f>
        <v>0</v>
      </c>
      <c r="X426" s="4">
        <f>VALUE(SUBSTITUTE(MID($A426,E426+E$2+1,F426-E426-E$2-1),",","."))</f>
        <v>0.90957602214449496</v>
      </c>
      <c r="Y426" s="4">
        <f>VALUE(SUBSTITUTE(MID($A426,F426+F$2+1,G426-F426-F$2-1),",","."))</f>
        <v>0</v>
      </c>
      <c r="Z426" s="3">
        <f>VALUE(SUBSTITUTE(MID($A426,G426+G$2+1,H426-G426-G$2-1),",","."))</f>
        <v>0</v>
      </c>
      <c r="AA426" s="3">
        <f>VALUE(SUBSTITUTE(MID($A426,H426+H$2+1,I426-H426-H$2-1),",","."))</f>
        <v>0</v>
      </c>
      <c r="AB426" s="3">
        <f>VALUE(SUBSTITUTE(MID($A426,I426+I$2+1,J426-I426-I$2-1),",","."))</f>
        <v>0</v>
      </c>
      <c r="AC426" s="3">
        <f>VALUE(SUBSTITUTE(MID($A426,J426+J$2+1,K426-J426-J$2-1),",","."))</f>
        <v>2.0499999999999998</v>
      </c>
      <c r="AD426" s="3">
        <f>VALUE(SUBSTITUTE(MID($A426,K426+K$2+1,L426-K426-K$2-1),",","."))</f>
        <v>6.84</v>
      </c>
      <c r="AE426" s="3">
        <f>VALUE(SUBSTITUTE(MID($A426,L426+L$2+1,M426-L426-L$2-1),",","."))</f>
        <v>0</v>
      </c>
      <c r="AF426" s="3">
        <f>VALUE(SUBSTITUTE(MID($A426,M426+M$2+1,N426-M426-M$2-1),",","."))</f>
        <v>0</v>
      </c>
      <c r="AG426" s="3">
        <f>VALUE(SUBSTITUTE(MID($A426,N426+N$2+1,O426-N426-N$2-1),",","."))</f>
        <v>4.2155246573369602</v>
      </c>
      <c r="AH426" t="str">
        <f>MID($A426,O426+O$2+1,P426-O426-O$2-1)</f>
        <v/>
      </c>
      <c r="AI426" s="8" t="str">
        <f>MID($A426,P426+P$2+1,Q426-P426-P$2-1)</f>
        <v>False</v>
      </c>
      <c r="AK426" t="b">
        <f t="shared" si="57"/>
        <v>0</v>
      </c>
    </row>
    <row r="427" spans="1:37" x14ac:dyDescent="0.35">
      <c r="A427" t="s">
        <v>4974</v>
      </c>
      <c r="B427">
        <f t="shared" si="59"/>
        <v>10</v>
      </c>
      <c r="C427">
        <f t="shared" si="59"/>
        <v>43</v>
      </c>
      <c r="D427">
        <f t="shared" si="59"/>
        <v>54</v>
      </c>
      <c r="E427">
        <f t="shared" si="59"/>
        <v>80</v>
      </c>
      <c r="F427">
        <f t="shared" si="59"/>
        <v>124</v>
      </c>
      <c r="G427">
        <f t="shared" si="59"/>
        <v>145</v>
      </c>
      <c r="H427">
        <f t="shared" si="60"/>
        <v>177</v>
      </c>
      <c r="I427">
        <f t="shared" si="60"/>
        <v>199</v>
      </c>
      <c r="J427">
        <f t="shared" si="60"/>
        <v>232</v>
      </c>
      <c r="K427">
        <f t="shared" si="60"/>
        <v>252</v>
      </c>
      <c r="L427">
        <f t="shared" si="60"/>
        <v>270</v>
      </c>
      <c r="M427">
        <f t="shared" si="60"/>
        <v>285</v>
      </c>
      <c r="N427">
        <f t="shared" si="60"/>
        <v>297</v>
      </c>
      <c r="O427">
        <f t="shared" si="60"/>
        <v>322</v>
      </c>
      <c r="P427">
        <f t="shared" si="60"/>
        <v>340</v>
      </c>
      <c r="Q427">
        <f t="shared" si="53"/>
        <v>366</v>
      </c>
      <c r="S427" t="str">
        <f t="shared" si="54"/>
        <v>01.12.2025</v>
      </c>
      <c r="T427" t="str">
        <f t="shared" si="55"/>
        <v>05:15:00</v>
      </c>
      <c r="U427" t="str">
        <f t="shared" si="56"/>
        <v>01.12.2025 05:15:00</v>
      </c>
      <c r="V427" s="9" t="str">
        <f>MID($A427,C427+C$2+1,D427-C427-C$2-1)</f>
        <v>0</v>
      </c>
      <c r="W427" s="4">
        <f>VALUE(SUBSTITUTE(MID($A427,D427+D$2+1,E427-D427-D$2-1),",","."))</f>
        <v>0</v>
      </c>
      <c r="X427" s="4">
        <f>VALUE(SUBSTITUTE(MID($A427,E427+E$2+1,F427-E427-E$2-1),",","."))</f>
        <v>0.90957602214449496</v>
      </c>
      <c r="Y427" s="4">
        <f>VALUE(SUBSTITUTE(MID($A427,F427+F$2+1,G427-F427-F$2-1),",","."))</f>
        <v>0</v>
      </c>
      <c r="Z427" s="3">
        <f>VALUE(SUBSTITUTE(MID($A427,G427+G$2+1,H427-G427-G$2-1),",","."))</f>
        <v>0</v>
      </c>
      <c r="AA427" s="3">
        <f>VALUE(SUBSTITUTE(MID($A427,H427+H$2+1,I427-H427-H$2-1),",","."))</f>
        <v>0</v>
      </c>
      <c r="AB427" s="3">
        <f>VALUE(SUBSTITUTE(MID($A427,I427+I$2+1,J427-I427-I$2-1),",","."))</f>
        <v>0</v>
      </c>
      <c r="AC427" s="3">
        <f>VALUE(SUBSTITUTE(MID($A427,J427+J$2+1,K427-J427-J$2-1),",","."))</f>
        <v>2.0499999999999998</v>
      </c>
      <c r="AD427" s="3">
        <f>VALUE(SUBSTITUTE(MID($A427,K427+K$2+1,L427-K427-K$2-1),",","."))</f>
        <v>6.84</v>
      </c>
      <c r="AE427" s="3">
        <f>VALUE(SUBSTITUTE(MID($A427,L427+L$2+1,M427-L427-L$2-1),",","."))</f>
        <v>0</v>
      </c>
      <c r="AF427" s="3">
        <f>VALUE(SUBSTITUTE(MID($A427,M427+M$2+1,N427-M427-M$2-1),",","."))</f>
        <v>0</v>
      </c>
      <c r="AG427" s="3">
        <f>VALUE(SUBSTITUTE(MID($A427,N427+N$2+1,O427-N427-N$2-1),",","."))</f>
        <v>4.2155531772250399</v>
      </c>
      <c r="AH427" t="str">
        <f>MID($A427,O427+O$2+1,P427-O427-O$2-1)</f>
        <v/>
      </c>
      <c r="AI427" s="8" t="str">
        <f>MID($A427,P427+P$2+1,Q427-P427-P$2-1)</f>
        <v>False</v>
      </c>
      <c r="AK427" t="b">
        <f t="shared" si="57"/>
        <v>0</v>
      </c>
    </row>
    <row r="428" spans="1:37" x14ac:dyDescent="0.35">
      <c r="A428" t="s">
        <v>4975</v>
      </c>
      <c r="B428">
        <f t="shared" si="59"/>
        <v>10</v>
      </c>
      <c r="C428">
        <f t="shared" si="59"/>
        <v>43</v>
      </c>
      <c r="D428">
        <f t="shared" si="59"/>
        <v>54</v>
      </c>
      <c r="E428">
        <f t="shared" si="59"/>
        <v>80</v>
      </c>
      <c r="F428">
        <f t="shared" si="59"/>
        <v>124</v>
      </c>
      <c r="G428">
        <f t="shared" si="59"/>
        <v>145</v>
      </c>
      <c r="H428">
        <f t="shared" si="60"/>
        <v>177</v>
      </c>
      <c r="I428">
        <f t="shared" si="60"/>
        <v>199</v>
      </c>
      <c r="J428">
        <f t="shared" si="60"/>
        <v>232</v>
      </c>
      <c r="K428">
        <f t="shared" si="60"/>
        <v>249</v>
      </c>
      <c r="L428">
        <f t="shared" si="60"/>
        <v>281</v>
      </c>
      <c r="M428">
        <f t="shared" si="60"/>
        <v>296</v>
      </c>
      <c r="N428">
        <f t="shared" si="60"/>
        <v>308</v>
      </c>
      <c r="O428">
        <f t="shared" si="60"/>
        <v>332</v>
      </c>
      <c r="P428">
        <f t="shared" si="60"/>
        <v>350</v>
      </c>
      <c r="Q428">
        <f t="shared" si="53"/>
        <v>376</v>
      </c>
      <c r="S428" t="str">
        <f t="shared" si="54"/>
        <v>01.12.2025</v>
      </c>
      <c r="T428" t="str">
        <f t="shared" si="55"/>
        <v>05:30:00</v>
      </c>
      <c r="U428" t="str">
        <f t="shared" si="56"/>
        <v>01.12.2025 05:30:00</v>
      </c>
      <c r="V428" s="9" t="str">
        <f>MID($A428,C428+C$2+1,D428-C428-C$2-1)</f>
        <v>0</v>
      </c>
      <c r="W428" s="4">
        <f>VALUE(SUBSTITUTE(MID($A428,D428+D$2+1,E428-D428-D$2-1),",","."))</f>
        <v>0</v>
      </c>
      <c r="X428" s="4">
        <f>VALUE(SUBSTITUTE(MID($A428,E428+E$2+1,F428-E428-E$2-1),",","."))</f>
        <v>0.90957602214449496</v>
      </c>
      <c r="Y428" s="4">
        <f>VALUE(SUBSTITUTE(MID($A428,F428+F$2+1,G428-F428-F$2-1),",","."))</f>
        <v>0</v>
      </c>
      <c r="Z428" s="3">
        <f>VALUE(SUBSTITUTE(MID($A428,G428+G$2+1,H428-G428-G$2-1),",","."))</f>
        <v>0</v>
      </c>
      <c r="AA428" s="3">
        <f>VALUE(SUBSTITUTE(MID($A428,H428+H$2+1,I428-H428-H$2-1),",","."))</f>
        <v>0</v>
      </c>
      <c r="AB428" s="3">
        <f>VALUE(SUBSTITUTE(MID($A428,I428+I$2+1,J428-I428-I$2-1),",","."))</f>
        <v>0</v>
      </c>
      <c r="AC428" s="3">
        <f>VALUE(SUBSTITUTE(MID($A428,J428+J$2+1,K428-J428-J$2-1),",","."))</f>
        <v>2</v>
      </c>
      <c r="AD428" s="3">
        <f>VALUE(SUBSTITUTE(MID($A428,K428+K$2+1,L428-K428-K$2-1),",","."))</f>
        <v>3.96</v>
      </c>
      <c r="AE428" s="3">
        <f>VALUE(SUBSTITUTE(MID($A428,L428+L$2+1,M428-L428-L$2-1),",","."))</f>
        <v>0</v>
      </c>
      <c r="AF428" s="3">
        <f>VALUE(SUBSTITUTE(MID($A428,M428+M$2+1,N428-M428-M$2-1),",","."))</f>
        <v>0</v>
      </c>
      <c r="AG428" s="3">
        <f>VALUE(SUBSTITUTE(MID($A428,N428+N$2+1,O428-N428-N$2-1),",","."))</f>
        <v>4.2155816971131301</v>
      </c>
      <c r="AH428" t="str">
        <f>MID($A428,O428+O$2+1,P428-O428-O$2-1)</f>
        <v/>
      </c>
      <c r="AI428" s="8" t="str">
        <f>MID($A428,P428+P$2+1,Q428-P428-P$2-1)</f>
        <v>False</v>
      </c>
      <c r="AK428" t="b">
        <f t="shared" si="57"/>
        <v>0</v>
      </c>
    </row>
    <row r="429" spans="1:37" x14ac:dyDescent="0.35">
      <c r="A429" t="s">
        <v>4976</v>
      </c>
      <c r="B429">
        <f t="shared" si="59"/>
        <v>10</v>
      </c>
      <c r="C429">
        <f t="shared" si="59"/>
        <v>43</v>
      </c>
      <c r="D429">
        <f t="shared" si="59"/>
        <v>54</v>
      </c>
      <c r="E429">
        <f t="shared" si="59"/>
        <v>80</v>
      </c>
      <c r="F429">
        <f t="shared" si="59"/>
        <v>124</v>
      </c>
      <c r="G429">
        <f t="shared" si="59"/>
        <v>145</v>
      </c>
      <c r="H429">
        <f t="shared" si="60"/>
        <v>177</v>
      </c>
      <c r="I429">
        <f t="shared" si="60"/>
        <v>199</v>
      </c>
      <c r="J429">
        <f t="shared" si="60"/>
        <v>232</v>
      </c>
      <c r="K429">
        <f t="shared" si="60"/>
        <v>249</v>
      </c>
      <c r="L429">
        <f t="shared" si="60"/>
        <v>281</v>
      </c>
      <c r="M429">
        <f t="shared" si="60"/>
        <v>296</v>
      </c>
      <c r="N429">
        <f t="shared" si="60"/>
        <v>308</v>
      </c>
      <c r="O429">
        <f t="shared" si="60"/>
        <v>334</v>
      </c>
      <c r="P429">
        <f t="shared" si="60"/>
        <v>352</v>
      </c>
      <c r="Q429">
        <f t="shared" si="53"/>
        <v>378</v>
      </c>
      <c r="S429" t="str">
        <f t="shared" si="54"/>
        <v>01.12.2025</v>
      </c>
      <c r="T429" t="str">
        <f t="shared" si="55"/>
        <v>05:45:00</v>
      </c>
      <c r="U429" t="str">
        <f t="shared" si="56"/>
        <v>01.12.2025 05:45:00</v>
      </c>
      <c r="V429" s="9" t="str">
        <f>MID($A429,C429+C$2+1,D429-C429-C$2-1)</f>
        <v>0</v>
      </c>
      <c r="W429" s="4">
        <f>VALUE(SUBSTITUTE(MID($A429,D429+D$2+1,E429-D429-D$2-1),",","."))</f>
        <v>0</v>
      </c>
      <c r="X429" s="4">
        <f>VALUE(SUBSTITUTE(MID($A429,E429+E$2+1,F429-E429-E$2-1),",","."))</f>
        <v>0.90957602214449496</v>
      </c>
      <c r="Y429" s="4">
        <f>VALUE(SUBSTITUTE(MID($A429,F429+F$2+1,G429-F429-F$2-1),",","."))</f>
        <v>0</v>
      </c>
      <c r="Z429" s="3">
        <f>VALUE(SUBSTITUTE(MID($A429,G429+G$2+1,H429-G429-G$2-1),",","."))</f>
        <v>0</v>
      </c>
      <c r="AA429" s="3">
        <f>VALUE(SUBSTITUTE(MID($A429,H429+H$2+1,I429-H429-H$2-1),",","."))</f>
        <v>0</v>
      </c>
      <c r="AB429" s="3">
        <f>VALUE(SUBSTITUTE(MID($A429,I429+I$2+1,J429-I429-I$2-1),",","."))</f>
        <v>0</v>
      </c>
      <c r="AC429" s="3">
        <f>VALUE(SUBSTITUTE(MID($A429,J429+J$2+1,K429-J429-J$2-1),",","."))</f>
        <v>2</v>
      </c>
      <c r="AD429" s="3">
        <f>VALUE(SUBSTITUTE(MID($A429,K429+K$2+1,L429-K429-K$2-1),",","."))</f>
        <v>3.96</v>
      </c>
      <c r="AE429" s="3">
        <f>VALUE(SUBSTITUTE(MID($A429,L429+L$2+1,M429-L429-L$2-1),",","."))</f>
        <v>0</v>
      </c>
      <c r="AF429" s="3">
        <f>VALUE(SUBSTITUTE(MID($A429,M429+M$2+1,N429-M429-M$2-1),",","."))</f>
        <v>0</v>
      </c>
      <c r="AG429" s="3">
        <f>VALUE(SUBSTITUTE(MID($A429,N429+N$2+1,O429-N429-N$2-1),",","."))</f>
        <v>4.2156102170012097</v>
      </c>
      <c r="AH429" t="str">
        <f>MID($A429,O429+O$2+1,P429-O429-O$2-1)</f>
        <v/>
      </c>
      <c r="AI429" s="8" t="str">
        <f>MID($A429,P429+P$2+1,Q429-P429-P$2-1)</f>
        <v>False</v>
      </c>
      <c r="AK429" t="b">
        <f t="shared" si="57"/>
        <v>0</v>
      </c>
    </row>
    <row r="430" spans="1:37" x14ac:dyDescent="0.35">
      <c r="A430" t="s">
        <v>4977</v>
      </c>
      <c r="B430">
        <f t="shared" si="59"/>
        <v>10</v>
      </c>
      <c r="C430">
        <f t="shared" si="59"/>
        <v>43</v>
      </c>
      <c r="D430">
        <f t="shared" si="59"/>
        <v>54</v>
      </c>
      <c r="E430">
        <f t="shared" si="59"/>
        <v>80</v>
      </c>
      <c r="F430">
        <f t="shared" si="59"/>
        <v>124</v>
      </c>
      <c r="G430">
        <f t="shared" si="59"/>
        <v>145</v>
      </c>
      <c r="H430">
        <f t="shared" si="60"/>
        <v>177</v>
      </c>
      <c r="I430">
        <f t="shared" si="60"/>
        <v>199</v>
      </c>
      <c r="J430">
        <f t="shared" si="60"/>
        <v>232</v>
      </c>
      <c r="K430">
        <f t="shared" si="60"/>
        <v>249</v>
      </c>
      <c r="L430">
        <f t="shared" si="60"/>
        <v>281</v>
      </c>
      <c r="M430">
        <f t="shared" si="60"/>
        <v>296</v>
      </c>
      <c r="N430">
        <f t="shared" si="60"/>
        <v>308</v>
      </c>
      <c r="O430">
        <f t="shared" si="60"/>
        <v>333</v>
      </c>
      <c r="P430">
        <f t="shared" si="60"/>
        <v>351</v>
      </c>
      <c r="Q430">
        <f t="shared" si="53"/>
        <v>377</v>
      </c>
      <c r="S430" t="str">
        <f t="shared" si="54"/>
        <v>01.12.2025</v>
      </c>
      <c r="T430" t="str">
        <f t="shared" si="55"/>
        <v>06:00:00</v>
      </c>
      <c r="U430" t="str">
        <f t="shared" si="56"/>
        <v>01.12.2025 06:00:00</v>
      </c>
      <c r="V430" s="9" t="str">
        <f>MID($A430,C430+C$2+1,D430-C430-C$2-1)</f>
        <v>0</v>
      </c>
      <c r="W430" s="4">
        <f>VALUE(SUBSTITUTE(MID($A430,D430+D$2+1,E430-D430-D$2-1),",","."))</f>
        <v>0</v>
      </c>
      <c r="X430" s="4">
        <f>VALUE(SUBSTITUTE(MID($A430,E430+E$2+1,F430-E430-E$2-1),",","."))</f>
        <v>0.90957602214449496</v>
      </c>
      <c r="Y430" s="4">
        <f>VALUE(SUBSTITUTE(MID($A430,F430+F$2+1,G430-F430-F$2-1),",","."))</f>
        <v>0</v>
      </c>
      <c r="Z430" s="3">
        <f>VALUE(SUBSTITUTE(MID($A430,G430+G$2+1,H430-G430-G$2-1),",","."))</f>
        <v>0</v>
      </c>
      <c r="AA430" s="3">
        <f>VALUE(SUBSTITUTE(MID($A430,H430+H$2+1,I430-H430-H$2-1),",","."))</f>
        <v>0</v>
      </c>
      <c r="AB430" s="3">
        <f>VALUE(SUBSTITUTE(MID($A430,I430+I$2+1,J430-I430-I$2-1),",","."))</f>
        <v>0</v>
      </c>
      <c r="AC430" s="3">
        <f>VALUE(SUBSTITUTE(MID($A430,J430+J$2+1,K430-J430-J$2-1),",","."))</f>
        <v>2</v>
      </c>
      <c r="AD430" s="3">
        <f>VALUE(SUBSTITUTE(MID($A430,K430+K$2+1,L430-K430-K$2-1),",","."))</f>
        <v>3.96</v>
      </c>
      <c r="AE430" s="3">
        <f>VALUE(SUBSTITUTE(MID($A430,L430+L$2+1,M430-L430-L$2-1),",","."))</f>
        <v>0</v>
      </c>
      <c r="AF430" s="3">
        <f>VALUE(SUBSTITUTE(MID($A430,M430+M$2+1,N430-M430-M$2-1),",","."))</f>
        <v>0</v>
      </c>
      <c r="AG430" s="3">
        <f>VALUE(SUBSTITUTE(MID($A430,N430+N$2+1,O430-N430-N$2-1),",","."))</f>
        <v>4.2156387368892903</v>
      </c>
      <c r="AH430" t="str">
        <f>MID($A430,O430+O$2+1,P430-O430-O$2-1)</f>
        <v/>
      </c>
      <c r="AI430" s="8" t="str">
        <f>MID($A430,P430+P$2+1,Q430-P430-P$2-1)</f>
        <v>False</v>
      </c>
      <c r="AK430" t="b">
        <f t="shared" si="57"/>
        <v>0</v>
      </c>
    </row>
    <row r="431" spans="1:37" x14ac:dyDescent="0.35">
      <c r="A431" t="s">
        <v>4978</v>
      </c>
      <c r="B431">
        <f t="shared" si="59"/>
        <v>10</v>
      </c>
      <c r="C431">
        <f t="shared" si="59"/>
        <v>43</v>
      </c>
      <c r="D431">
        <f t="shared" si="59"/>
        <v>54</v>
      </c>
      <c r="E431">
        <f t="shared" si="59"/>
        <v>80</v>
      </c>
      <c r="F431">
        <f t="shared" si="59"/>
        <v>124</v>
      </c>
      <c r="G431">
        <f t="shared" si="59"/>
        <v>145</v>
      </c>
      <c r="H431">
        <f t="shared" si="60"/>
        <v>177</v>
      </c>
      <c r="I431">
        <f t="shared" si="60"/>
        <v>199</v>
      </c>
      <c r="J431">
        <f t="shared" si="60"/>
        <v>232</v>
      </c>
      <c r="K431">
        <f t="shared" si="60"/>
        <v>249</v>
      </c>
      <c r="L431">
        <f t="shared" si="60"/>
        <v>281</v>
      </c>
      <c r="M431">
        <f t="shared" si="60"/>
        <v>296</v>
      </c>
      <c r="N431">
        <f t="shared" si="60"/>
        <v>308</v>
      </c>
      <c r="O431">
        <f t="shared" si="60"/>
        <v>333</v>
      </c>
      <c r="P431">
        <f t="shared" si="60"/>
        <v>351</v>
      </c>
      <c r="Q431">
        <f t="shared" si="53"/>
        <v>377</v>
      </c>
      <c r="S431" t="str">
        <f t="shared" si="54"/>
        <v>01.12.2025</v>
      </c>
      <c r="T431" t="str">
        <f t="shared" si="55"/>
        <v>06:15:00</v>
      </c>
      <c r="U431" t="str">
        <f t="shared" si="56"/>
        <v>01.12.2025 06:15:00</v>
      </c>
      <c r="V431" s="9" t="str">
        <f>MID($A431,C431+C$2+1,D431-C431-C$2-1)</f>
        <v>0</v>
      </c>
      <c r="W431" s="4">
        <f>VALUE(SUBSTITUTE(MID($A431,D431+D$2+1,E431-D431-D$2-1),",","."))</f>
        <v>0</v>
      </c>
      <c r="X431" s="4">
        <f>VALUE(SUBSTITUTE(MID($A431,E431+E$2+1,F431-E431-E$2-1),",","."))</f>
        <v>0.90957602214449496</v>
      </c>
      <c r="Y431" s="4">
        <f>VALUE(SUBSTITUTE(MID($A431,F431+F$2+1,G431-F431-F$2-1),",","."))</f>
        <v>0</v>
      </c>
      <c r="Z431" s="3">
        <f>VALUE(SUBSTITUTE(MID($A431,G431+G$2+1,H431-G431-G$2-1),",","."))</f>
        <v>0</v>
      </c>
      <c r="AA431" s="3">
        <f>VALUE(SUBSTITUTE(MID($A431,H431+H$2+1,I431-H431-H$2-1),",","."))</f>
        <v>0</v>
      </c>
      <c r="AB431" s="3">
        <f>VALUE(SUBSTITUTE(MID($A431,I431+I$2+1,J431-I431-I$2-1),",","."))</f>
        <v>0</v>
      </c>
      <c r="AC431" s="3">
        <f>VALUE(SUBSTITUTE(MID($A431,J431+J$2+1,K431-J431-J$2-1),",","."))</f>
        <v>2</v>
      </c>
      <c r="AD431" s="3">
        <f>VALUE(SUBSTITUTE(MID($A431,K431+K$2+1,L431-K431-K$2-1),",","."))</f>
        <v>3.96</v>
      </c>
      <c r="AE431" s="3">
        <f>VALUE(SUBSTITUTE(MID($A431,L431+L$2+1,M431-L431-L$2-1),",","."))</f>
        <v>0</v>
      </c>
      <c r="AF431" s="3">
        <f>VALUE(SUBSTITUTE(MID($A431,M431+M$2+1,N431-M431-M$2-1),",","."))</f>
        <v>0</v>
      </c>
      <c r="AG431" s="3">
        <f>VALUE(SUBSTITUTE(MID($A431,N431+N$2+1,O431-N431-N$2-1),",","."))</f>
        <v>4.2156672567773699</v>
      </c>
      <c r="AH431" t="str">
        <f>MID($A431,O431+O$2+1,P431-O431-O$2-1)</f>
        <v/>
      </c>
      <c r="AI431" s="8" t="str">
        <f>MID($A431,P431+P$2+1,Q431-P431-P$2-1)</f>
        <v>False</v>
      </c>
      <c r="AK431" t="b">
        <f t="shared" si="57"/>
        <v>0</v>
      </c>
    </row>
    <row r="432" spans="1:37" x14ac:dyDescent="0.35">
      <c r="A432" t="s">
        <v>4979</v>
      </c>
      <c r="B432">
        <f t="shared" si="59"/>
        <v>10</v>
      </c>
      <c r="C432">
        <f t="shared" si="59"/>
        <v>43</v>
      </c>
      <c r="D432">
        <f t="shared" si="59"/>
        <v>54</v>
      </c>
      <c r="E432">
        <f t="shared" si="59"/>
        <v>80</v>
      </c>
      <c r="F432">
        <f t="shared" si="59"/>
        <v>124</v>
      </c>
      <c r="G432">
        <f t="shared" si="59"/>
        <v>145</v>
      </c>
      <c r="H432">
        <f t="shared" si="60"/>
        <v>177</v>
      </c>
      <c r="I432">
        <f t="shared" si="60"/>
        <v>199</v>
      </c>
      <c r="J432">
        <f t="shared" si="60"/>
        <v>232</v>
      </c>
      <c r="K432">
        <f t="shared" si="60"/>
        <v>252</v>
      </c>
      <c r="L432">
        <f t="shared" si="60"/>
        <v>284</v>
      </c>
      <c r="M432">
        <f t="shared" si="60"/>
        <v>299</v>
      </c>
      <c r="N432">
        <f t="shared" si="60"/>
        <v>311</v>
      </c>
      <c r="O432">
        <f t="shared" si="60"/>
        <v>336</v>
      </c>
      <c r="P432">
        <f t="shared" si="60"/>
        <v>354</v>
      </c>
      <c r="Q432">
        <f t="shared" si="53"/>
        <v>380</v>
      </c>
      <c r="S432" t="str">
        <f t="shared" si="54"/>
        <v>01.12.2025</v>
      </c>
      <c r="T432" t="str">
        <f t="shared" si="55"/>
        <v>06:30:00</v>
      </c>
      <c r="U432" t="str">
        <f t="shared" si="56"/>
        <v>01.12.2025 06:30:00</v>
      </c>
      <c r="V432" s="9" t="str">
        <f>MID($A432,C432+C$2+1,D432-C432-C$2-1)</f>
        <v>0</v>
      </c>
      <c r="W432" s="4">
        <f>VALUE(SUBSTITUTE(MID($A432,D432+D$2+1,E432-D432-D$2-1),",","."))</f>
        <v>0</v>
      </c>
      <c r="X432" s="4">
        <f>VALUE(SUBSTITUTE(MID($A432,E432+E$2+1,F432-E432-E$2-1),",","."))</f>
        <v>0.90957602214449496</v>
      </c>
      <c r="Y432" s="4">
        <f>VALUE(SUBSTITUTE(MID($A432,F432+F$2+1,G432-F432-F$2-1),",","."))</f>
        <v>0</v>
      </c>
      <c r="Z432" s="3">
        <f>VALUE(SUBSTITUTE(MID($A432,G432+G$2+1,H432-G432-G$2-1),",","."))</f>
        <v>0</v>
      </c>
      <c r="AA432" s="3">
        <f>VALUE(SUBSTITUTE(MID($A432,H432+H$2+1,I432-H432-H$2-1),",","."))</f>
        <v>0</v>
      </c>
      <c r="AB432" s="3">
        <f>VALUE(SUBSTITUTE(MID($A432,I432+I$2+1,J432-I432-I$2-1),",","."))</f>
        <v>0</v>
      </c>
      <c r="AC432" s="3">
        <f>VALUE(SUBSTITUTE(MID($A432,J432+J$2+1,K432-J432-J$2-1),",","."))</f>
        <v>2.0499999999999998</v>
      </c>
      <c r="AD432" s="3">
        <f>VALUE(SUBSTITUTE(MID($A432,K432+K$2+1,L432-K432-K$2-1),",","."))</f>
        <v>2.88</v>
      </c>
      <c r="AE432" s="3">
        <f>VALUE(SUBSTITUTE(MID($A432,L432+L$2+1,M432-L432-L$2-1),",","."))</f>
        <v>0</v>
      </c>
      <c r="AF432" s="3">
        <f>VALUE(SUBSTITUTE(MID($A432,M432+M$2+1,N432-M432-M$2-1),",","."))</f>
        <v>0</v>
      </c>
      <c r="AG432" s="3">
        <f>VALUE(SUBSTITUTE(MID($A432,N432+N$2+1,O432-N432-N$2-1),",","."))</f>
        <v>4.2156957766654504</v>
      </c>
      <c r="AH432" t="str">
        <f>MID($A432,O432+O$2+1,P432-O432-O$2-1)</f>
        <v/>
      </c>
      <c r="AI432" s="8" t="str">
        <f>MID($A432,P432+P$2+1,Q432-P432-P$2-1)</f>
        <v>False</v>
      </c>
      <c r="AK432" t="b">
        <f t="shared" si="57"/>
        <v>0</v>
      </c>
    </row>
    <row r="433" spans="1:37" x14ac:dyDescent="0.35">
      <c r="A433" t="s">
        <v>4980</v>
      </c>
      <c r="B433">
        <f t="shared" si="59"/>
        <v>10</v>
      </c>
      <c r="C433">
        <f t="shared" si="59"/>
        <v>43</v>
      </c>
      <c r="D433">
        <f t="shared" si="59"/>
        <v>54</v>
      </c>
      <c r="E433">
        <f t="shared" si="59"/>
        <v>80</v>
      </c>
      <c r="F433">
        <f t="shared" si="59"/>
        <v>124</v>
      </c>
      <c r="G433">
        <f t="shared" si="59"/>
        <v>145</v>
      </c>
      <c r="H433">
        <f t="shared" si="60"/>
        <v>177</v>
      </c>
      <c r="I433">
        <f t="shared" si="60"/>
        <v>199</v>
      </c>
      <c r="J433">
        <f t="shared" si="60"/>
        <v>232</v>
      </c>
      <c r="K433">
        <f t="shared" si="60"/>
        <v>252</v>
      </c>
      <c r="L433">
        <f t="shared" si="60"/>
        <v>284</v>
      </c>
      <c r="M433">
        <f t="shared" si="60"/>
        <v>299</v>
      </c>
      <c r="N433">
        <f t="shared" si="60"/>
        <v>311</v>
      </c>
      <c r="O433">
        <f t="shared" si="60"/>
        <v>336</v>
      </c>
      <c r="P433">
        <f t="shared" si="60"/>
        <v>354</v>
      </c>
      <c r="Q433">
        <f t="shared" si="53"/>
        <v>380</v>
      </c>
      <c r="S433" t="str">
        <f t="shared" si="54"/>
        <v>01.12.2025</v>
      </c>
      <c r="T433" t="str">
        <f t="shared" si="55"/>
        <v>06:45:00</v>
      </c>
      <c r="U433" t="str">
        <f t="shared" si="56"/>
        <v>01.12.2025 06:45:00</v>
      </c>
      <c r="V433" s="9" t="str">
        <f>MID($A433,C433+C$2+1,D433-C433-C$2-1)</f>
        <v>0</v>
      </c>
      <c r="W433" s="4">
        <f>VALUE(SUBSTITUTE(MID($A433,D433+D$2+1,E433-D433-D$2-1),",","."))</f>
        <v>0</v>
      </c>
      <c r="X433" s="4">
        <f>VALUE(SUBSTITUTE(MID($A433,E433+E$2+1,F433-E433-E$2-1),",","."))</f>
        <v>0.90957602214449496</v>
      </c>
      <c r="Y433" s="4">
        <f>VALUE(SUBSTITUTE(MID($A433,F433+F$2+1,G433-F433-F$2-1),",","."))</f>
        <v>0</v>
      </c>
      <c r="Z433" s="3">
        <f>VALUE(SUBSTITUTE(MID($A433,G433+G$2+1,H433-G433-G$2-1),",","."))</f>
        <v>0</v>
      </c>
      <c r="AA433" s="3">
        <f>VALUE(SUBSTITUTE(MID($A433,H433+H$2+1,I433-H433-H$2-1),",","."))</f>
        <v>0</v>
      </c>
      <c r="AB433" s="3">
        <f>VALUE(SUBSTITUTE(MID($A433,I433+I$2+1,J433-I433-I$2-1),",","."))</f>
        <v>0</v>
      </c>
      <c r="AC433" s="3">
        <f>VALUE(SUBSTITUTE(MID($A433,J433+J$2+1,K433-J433-J$2-1),",","."))</f>
        <v>2.0499999999999998</v>
      </c>
      <c r="AD433" s="3">
        <f>VALUE(SUBSTITUTE(MID($A433,K433+K$2+1,L433-K433-K$2-1),",","."))</f>
        <v>2.88</v>
      </c>
      <c r="AE433" s="3">
        <f>VALUE(SUBSTITUTE(MID($A433,L433+L$2+1,M433-L433-L$2-1),",","."))</f>
        <v>0</v>
      </c>
      <c r="AF433" s="3">
        <f>VALUE(SUBSTITUTE(MID($A433,M433+M$2+1,N433-M433-M$2-1),",","."))</f>
        <v>0</v>
      </c>
      <c r="AG433" s="3">
        <f>VALUE(SUBSTITUTE(MID($A433,N433+N$2+1,O433-N433-N$2-1),",","."))</f>
        <v>4.21572429655353</v>
      </c>
      <c r="AH433" t="str">
        <f>MID($A433,O433+O$2+1,P433-O433-O$2-1)</f>
        <v/>
      </c>
      <c r="AI433" s="8" t="str">
        <f>MID($A433,P433+P$2+1,Q433-P433-P$2-1)</f>
        <v>False</v>
      </c>
      <c r="AK433" t="b">
        <f t="shared" si="57"/>
        <v>0</v>
      </c>
    </row>
    <row r="434" spans="1:37" x14ac:dyDescent="0.35">
      <c r="A434" t="s">
        <v>4981</v>
      </c>
      <c r="B434">
        <f t="shared" si="59"/>
        <v>10</v>
      </c>
      <c r="C434">
        <f t="shared" si="59"/>
        <v>43</v>
      </c>
      <c r="D434">
        <f t="shared" si="59"/>
        <v>54</v>
      </c>
      <c r="E434">
        <f t="shared" si="59"/>
        <v>80</v>
      </c>
      <c r="F434">
        <f t="shared" si="59"/>
        <v>124</v>
      </c>
      <c r="G434">
        <f t="shared" si="59"/>
        <v>145</v>
      </c>
      <c r="H434">
        <f t="shared" si="60"/>
        <v>177</v>
      </c>
      <c r="I434">
        <f t="shared" si="60"/>
        <v>199</v>
      </c>
      <c r="J434">
        <f t="shared" si="60"/>
        <v>232</v>
      </c>
      <c r="K434">
        <f t="shared" si="60"/>
        <v>252</v>
      </c>
      <c r="L434">
        <f t="shared" si="60"/>
        <v>284</v>
      </c>
      <c r="M434">
        <f t="shared" si="60"/>
        <v>299</v>
      </c>
      <c r="N434">
        <f t="shared" si="60"/>
        <v>311</v>
      </c>
      <c r="O434">
        <f t="shared" si="60"/>
        <v>336</v>
      </c>
      <c r="P434">
        <f t="shared" si="60"/>
        <v>354</v>
      </c>
      <c r="Q434">
        <f t="shared" si="53"/>
        <v>380</v>
      </c>
      <c r="S434" t="str">
        <f t="shared" si="54"/>
        <v>01.12.2025</v>
      </c>
      <c r="T434" t="str">
        <f t="shared" si="55"/>
        <v>07:00:00</v>
      </c>
      <c r="U434" t="str">
        <f t="shared" si="56"/>
        <v>01.12.2025 07:00:00</v>
      </c>
      <c r="V434" s="9" t="str">
        <f>MID($A434,C434+C$2+1,D434-C434-C$2-1)</f>
        <v>0</v>
      </c>
      <c r="W434" s="4">
        <f>VALUE(SUBSTITUTE(MID($A434,D434+D$2+1,E434-D434-D$2-1),",","."))</f>
        <v>0</v>
      </c>
      <c r="X434" s="4">
        <f>VALUE(SUBSTITUTE(MID($A434,E434+E$2+1,F434-E434-E$2-1),",","."))</f>
        <v>0.90957602214449496</v>
      </c>
      <c r="Y434" s="4">
        <f>VALUE(SUBSTITUTE(MID($A434,F434+F$2+1,G434-F434-F$2-1),",","."))</f>
        <v>0</v>
      </c>
      <c r="Z434" s="3">
        <f>VALUE(SUBSTITUTE(MID($A434,G434+G$2+1,H434-G434-G$2-1),",","."))</f>
        <v>0</v>
      </c>
      <c r="AA434" s="3">
        <f>VALUE(SUBSTITUTE(MID($A434,H434+H$2+1,I434-H434-H$2-1),",","."))</f>
        <v>0</v>
      </c>
      <c r="AB434" s="3">
        <f>VALUE(SUBSTITUTE(MID($A434,I434+I$2+1,J434-I434-I$2-1),",","."))</f>
        <v>0</v>
      </c>
      <c r="AC434" s="3">
        <f>VALUE(SUBSTITUTE(MID($A434,J434+J$2+1,K434-J434-J$2-1),",","."))</f>
        <v>2.0499999999999998</v>
      </c>
      <c r="AD434" s="3">
        <f>VALUE(SUBSTITUTE(MID($A434,K434+K$2+1,L434-K434-K$2-1),",","."))</f>
        <v>2.88</v>
      </c>
      <c r="AE434" s="3">
        <f>VALUE(SUBSTITUTE(MID($A434,L434+L$2+1,M434-L434-L$2-1),",","."))</f>
        <v>0</v>
      </c>
      <c r="AF434" s="3">
        <f>VALUE(SUBSTITUTE(MID($A434,M434+M$2+1,N434-M434-M$2-1),",","."))</f>
        <v>0</v>
      </c>
      <c r="AG434" s="3">
        <f>VALUE(SUBSTITUTE(MID($A434,N434+N$2+1,O434-N434-N$2-1),",","."))</f>
        <v>4.2157528164416096</v>
      </c>
      <c r="AH434" t="str">
        <f>MID($A434,O434+O$2+1,P434-O434-O$2-1)</f>
        <v/>
      </c>
      <c r="AI434" s="8" t="str">
        <f>MID($A434,P434+P$2+1,Q434-P434-P$2-1)</f>
        <v>False</v>
      </c>
      <c r="AK434" t="b">
        <f t="shared" si="57"/>
        <v>0</v>
      </c>
    </row>
    <row r="435" spans="1:37" x14ac:dyDescent="0.35">
      <c r="A435" t="s">
        <v>4982</v>
      </c>
      <c r="B435">
        <f t="shared" si="59"/>
        <v>10</v>
      </c>
      <c r="C435">
        <f t="shared" si="59"/>
        <v>43</v>
      </c>
      <c r="D435">
        <f t="shared" si="59"/>
        <v>54</v>
      </c>
      <c r="E435">
        <f t="shared" si="59"/>
        <v>80</v>
      </c>
      <c r="F435">
        <f t="shared" si="59"/>
        <v>124</v>
      </c>
      <c r="G435">
        <f t="shared" si="59"/>
        <v>145</v>
      </c>
      <c r="H435">
        <f t="shared" si="60"/>
        <v>177</v>
      </c>
      <c r="I435">
        <f t="shared" si="60"/>
        <v>199</v>
      </c>
      <c r="J435">
        <f t="shared" si="60"/>
        <v>232</v>
      </c>
      <c r="K435">
        <f t="shared" si="60"/>
        <v>252</v>
      </c>
      <c r="L435">
        <f t="shared" si="60"/>
        <v>284</v>
      </c>
      <c r="M435">
        <f t="shared" si="60"/>
        <v>299</v>
      </c>
      <c r="N435">
        <f t="shared" si="60"/>
        <v>311</v>
      </c>
      <c r="O435">
        <f t="shared" si="60"/>
        <v>336</v>
      </c>
      <c r="P435">
        <f t="shared" si="60"/>
        <v>354</v>
      </c>
      <c r="Q435">
        <f t="shared" si="53"/>
        <v>380</v>
      </c>
      <c r="S435" t="str">
        <f t="shared" si="54"/>
        <v>01.12.2025</v>
      </c>
      <c r="T435" t="str">
        <f t="shared" si="55"/>
        <v>07:15:00</v>
      </c>
      <c r="U435" t="str">
        <f t="shared" si="56"/>
        <v>01.12.2025 07:15:00</v>
      </c>
      <c r="V435" s="9" t="str">
        <f>MID($A435,C435+C$2+1,D435-C435-C$2-1)</f>
        <v>0</v>
      </c>
      <c r="W435" s="4">
        <f>VALUE(SUBSTITUTE(MID($A435,D435+D$2+1,E435-D435-D$2-1),",","."))</f>
        <v>0</v>
      </c>
      <c r="X435" s="4">
        <f>VALUE(SUBSTITUTE(MID($A435,E435+E$2+1,F435-E435-E$2-1),",","."))</f>
        <v>0.90957602214449496</v>
      </c>
      <c r="Y435" s="4">
        <f>VALUE(SUBSTITUTE(MID($A435,F435+F$2+1,G435-F435-F$2-1),",","."))</f>
        <v>0</v>
      </c>
      <c r="Z435" s="3">
        <f>VALUE(SUBSTITUTE(MID($A435,G435+G$2+1,H435-G435-G$2-1),",","."))</f>
        <v>0</v>
      </c>
      <c r="AA435" s="3">
        <f>VALUE(SUBSTITUTE(MID($A435,H435+H$2+1,I435-H435-H$2-1),",","."))</f>
        <v>0</v>
      </c>
      <c r="AB435" s="3">
        <f>VALUE(SUBSTITUTE(MID($A435,I435+I$2+1,J435-I435-I$2-1),",","."))</f>
        <v>0</v>
      </c>
      <c r="AC435" s="3">
        <f>VALUE(SUBSTITUTE(MID($A435,J435+J$2+1,K435-J435-J$2-1),",","."))</f>
        <v>2.0499999999999998</v>
      </c>
      <c r="AD435" s="3">
        <f>VALUE(SUBSTITUTE(MID($A435,K435+K$2+1,L435-K435-K$2-1),",","."))</f>
        <v>2.88</v>
      </c>
      <c r="AE435" s="3">
        <f>VALUE(SUBSTITUTE(MID($A435,L435+L$2+1,M435-L435-L$2-1),",","."))</f>
        <v>0</v>
      </c>
      <c r="AF435" s="3">
        <f>VALUE(SUBSTITUTE(MID($A435,M435+M$2+1,N435-M435-M$2-1),",","."))</f>
        <v>0</v>
      </c>
      <c r="AG435" s="3">
        <f>VALUE(SUBSTITUTE(MID($A435,N435+N$2+1,O435-N435-N$2-1),",","."))</f>
        <v>4.2157813363296999</v>
      </c>
      <c r="AH435" t="str">
        <f>MID($A435,O435+O$2+1,P435-O435-O$2-1)</f>
        <v/>
      </c>
      <c r="AI435" s="8" t="str">
        <f>MID($A435,P435+P$2+1,Q435-P435-P$2-1)</f>
        <v>False</v>
      </c>
      <c r="AK435" t="b">
        <f t="shared" si="57"/>
        <v>0</v>
      </c>
    </row>
    <row r="436" spans="1:37" x14ac:dyDescent="0.35">
      <c r="A436" t="s">
        <v>4983</v>
      </c>
      <c r="B436">
        <f t="shared" si="59"/>
        <v>10</v>
      </c>
      <c r="C436">
        <f t="shared" si="59"/>
        <v>43</v>
      </c>
      <c r="D436">
        <f t="shared" si="59"/>
        <v>54</v>
      </c>
      <c r="E436">
        <f t="shared" si="59"/>
        <v>80</v>
      </c>
      <c r="F436">
        <f t="shared" si="59"/>
        <v>124</v>
      </c>
      <c r="G436">
        <f t="shared" si="59"/>
        <v>145</v>
      </c>
      <c r="H436">
        <f t="shared" si="60"/>
        <v>177</v>
      </c>
      <c r="I436">
        <f t="shared" si="60"/>
        <v>199</v>
      </c>
      <c r="J436">
        <f t="shared" si="60"/>
        <v>232</v>
      </c>
      <c r="K436">
        <f t="shared" si="60"/>
        <v>252</v>
      </c>
      <c r="L436">
        <f t="shared" si="60"/>
        <v>270</v>
      </c>
      <c r="M436">
        <f t="shared" si="60"/>
        <v>285</v>
      </c>
      <c r="N436">
        <f t="shared" si="60"/>
        <v>297</v>
      </c>
      <c r="O436">
        <f t="shared" si="60"/>
        <v>322</v>
      </c>
      <c r="P436">
        <f t="shared" si="60"/>
        <v>340</v>
      </c>
      <c r="Q436">
        <f t="shared" si="53"/>
        <v>366</v>
      </c>
      <c r="S436" t="str">
        <f t="shared" si="54"/>
        <v>01.12.2025</v>
      </c>
      <c r="T436" t="str">
        <f t="shared" si="55"/>
        <v>07:30:00</v>
      </c>
      <c r="U436" t="str">
        <f t="shared" si="56"/>
        <v>01.12.2025 07:30:00</v>
      </c>
      <c r="V436" s="9" t="str">
        <f>MID($A436,C436+C$2+1,D436-C436-C$2-1)</f>
        <v>0</v>
      </c>
      <c r="W436" s="4">
        <f>VALUE(SUBSTITUTE(MID($A436,D436+D$2+1,E436-D436-D$2-1),",","."))</f>
        <v>0</v>
      </c>
      <c r="X436" s="4">
        <f>VALUE(SUBSTITUTE(MID($A436,E436+E$2+1,F436-E436-E$2-1),",","."))</f>
        <v>0.90957602214449496</v>
      </c>
      <c r="Y436" s="4">
        <f>VALUE(SUBSTITUTE(MID($A436,F436+F$2+1,G436-F436-F$2-1),",","."))</f>
        <v>0</v>
      </c>
      <c r="Z436" s="3">
        <f>VALUE(SUBSTITUTE(MID($A436,G436+G$2+1,H436-G436-G$2-1),",","."))</f>
        <v>0</v>
      </c>
      <c r="AA436" s="3">
        <f>VALUE(SUBSTITUTE(MID($A436,H436+H$2+1,I436-H436-H$2-1),",","."))</f>
        <v>0</v>
      </c>
      <c r="AB436" s="3">
        <f>VALUE(SUBSTITUTE(MID($A436,I436+I$2+1,J436-I436-I$2-1),",","."))</f>
        <v>0</v>
      </c>
      <c r="AC436" s="3">
        <f>VALUE(SUBSTITUTE(MID($A436,J436+J$2+1,K436-J436-J$2-1),",","."))</f>
        <v>2.25</v>
      </c>
      <c r="AD436" s="3">
        <f>VALUE(SUBSTITUTE(MID($A436,K436+K$2+1,L436-K436-K$2-1),",","."))</f>
        <v>7.74</v>
      </c>
      <c r="AE436" s="3">
        <f>VALUE(SUBSTITUTE(MID($A436,L436+L$2+1,M436-L436-L$2-1),",","."))</f>
        <v>0</v>
      </c>
      <c r="AF436" s="3">
        <f>VALUE(SUBSTITUTE(MID($A436,M436+M$2+1,N436-M436-M$2-1),",","."))</f>
        <v>0</v>
      </c>
      <c r="AG436" s="3">
        <f>VALUE(SUBSTITUTE(MID($A436,N436+N$2+1,O436-N436-N$2-1),",","."))</f>
        <v>4.2158098562177804</v>
      </c>
      <c r="AH436" t="str">
        <f>MID($A436,O436+O$2+1,P436-O436-O$2-1)</f>
        <v/>
      </c>
      <c r="AI436" s="8" t="str">
        <f>MID($A436,P436+P$2+1,Q436-P436-P$2-1)</f>
        <v>False</v>
      </c>
      <c r="AK436" t="b">
        <f t="shared" si="57"/>
        <v>0</v>
      </c>
    </row>
    <row r="437" spans="1:37" x14ac:dyDescent="0.35">
      <c r="A437" t="s">
        <v>4984</v>
      </c>
      <c r="B437">
        <f t="shared" si="59"/>
        <v>10</v>
      </c>
      <c r="C437">
        <f t="shared" si="59"/>
        <v>43</v>
      </c>
      <c r="D437">
        <f t="shared" si="59"/>
        <v>54</v>
      </c>
      <c r="E437">
        <f t="shared" si="59"/>
        <v>80</v>
      </c>
      <c r="F437">
        <f t="shared" si="59"/>
        <v>124</v>
      </c>
      <c r="G437">
        <f t="shared" si="59"/>
        <v>145</v>
      </c>
      <c r="H437">
        <f t="shared" si="60"/>
        <v>177</v>
      </c>
      <c r="I437">
        <f t="shared" si="60"/>
        <v>199</v>
      </c>
      <c r="J437">
        <f t="shared" si="60"/>
        <v>232</v>
      </c>
      <c r="K437">
        <f t="shared" si="60"/>
        <v>252</v>
      </c>
      <c r="L437">
        <f t="shared" si="60"/>
        <v>270</v>
      </c>
      <c r="M437">
        <f t="shared" si="60"/>
        <v>285</v>
      </c>
      <c r="N437">
        <f t="shared" si="60"/>
        <v>297</v>
      </c>
      <c r="O437">
        <f t="shared" si="60"/>
        <v>322</v>
      </c>
      <c r="P437">
        <f t="shared" si="60"/>
        <v>340</v>
      </c>
      <c r="Q437">
        <f t="shared" si="53"/>
        <v>366</v>
      </c>
      <c r="S437" t="str">
        <f t="shared" si="54"/>
        <v>01.12.2025</v>
      </c>
      <c r="T437" t="str">
        <f t="shared" si="55"/>
        <v>07:45:00</v>
      </c>
      <c r="U437" t="str">
        <f t="shared" si="56"/>
        <v>01.12.2025 07:45:00</v>
      </c>
      <c r="V437" s="9" t="str">
        <f>MID($A437,C437+C$2+1,D437-C437-C$2-1)</f>
        <v>0</v>
      </c>
      <c r="W437" s="4">
        <f>VALUE(SUBSTITUTE(MID($A437,D437+D$2+1,E437-D437-D$2-1),",","."))</f>
        <v>0</v>
      </c>
      <c r="X437" s="4">
        <f>VALUE(SUBSTITUTE(MID($A437,E437+E$2+1,F437-E437-E$2-1),",","."))</f>
        <v>0.90957602214449496</v>
      </c>
      <c r="Y437" s="4">
        <f>VALUE(SUBSTITUTE(MID($A437,F437+F$2+1,G437-F437-F$2-1),",","."))</f>
        <v>0</v>
      </c>
      <c r="Z437" s="3">
        <f>VALUE(SUBSTITUTE(MID($A437,G437+G$2+1,H437-G437-G$2-1),",","."))</f>
        <v>0</v>
      </c>
      <c r="AA437" s="3">
        <f>VALUE(SUBSTITUTE(MID($A437,H437+H$2+1,I437-H437-H$2-1),",","."))</f>
        <v>0</v>
      </c>
      <c r="AB437" s="3">
        <f>VALUE(SUBSTITUTE(MID($A437,I437+I$2+1,J437-I437-I$2-1),",","."))</f>
        <v>0</v>
      </c>
      <c r="AC437" s="3">
        <f>VALUE(SUBSTITUTE(MID($A437,J437+J$2+1,K437-J437-J$2-1),",","."))</f>
        <v>2.25</v>
      </c>
      <c r="AD437" s="3">
        <f>VALUE(SUBSTITUTE(MID($A437,K437+K$2+1,L437-K437-K$2-1),",","."))</f>
        <v>7.74</v>
      </c>
      <c r="AE437" s="3">
        <f>VALUE(SUBSTITUTE(MID($A437,L437+L$2+1,M437-L437-L$2-1),",","."))</f>
        <v>0</v>
      </c>
      <c r="AF437" s="3">
        <f>VALUE(SUBSTITUTE(MID($A437,M437+M$2+1,N437-M437-M$2-1),",","."))</f>
        <v>0</v>
      </c>
      <c r="AG437" s="3">
        <f>VALUE(SUBSTITUTE(MID($A437,N437+N$2+1,O437-N437-N$2-1),",","."))</f>
        <v>4.21583837610586</v>
      </c>
      <c r="AH437" t="str">
        <f>MID($A437,O437+O$2+1,P437-O437-O$2-1)</f>
        <v/>
      </c>
      <c r="AI437" s="8" t="str">
        <f>MID($A437,P437+P$2+1,Q437-P437-P$2-1)</f>
        <v>False</v>
      </c>
      <c r="AK437" t="b">
        <f t="shared" si="57"/>
        <v>0</v>
      </c>
    </row>
    <row r="438" spans="1:37" x14ac:dyDescent="0.35">
      <c r="A438" t="s">
        <v>4985</v>
      </c>
      <c r="B438">
        <f t="shared" si="59"/>
        <v>10</v>
      </c>
      <c r="C438">
        <f t="shared" si="59"/>
        <v>43</v>
      </c>
      <c r="D438">
        <f t="shared" si="59"/>
        <v>54</v>
      </c>
      <c r="E438">
        <f t="shared" si="59"/>
        <v>80</v>
      </c>
      <c r="F438">
        <f t="shared" si="59"/>
        <v>124</v>
      </c>
      <c r="G438">
        <f t="shared" si="59"/>
        <v>164</v>
      </c>
      <c r="H438">
        <f t="shared" si="60"/>
        <v>196</v>
      </c>
      <c r="I438">
        <f t="shared" si="60"/>
        <v>218</v>
      </c>
      <c r="J438">
        <f t="shared" si="60"/>
        <v>251</v>
      </c>
      <c r="K438">
        <f t="shared" si="60"/>
        <v>271</v>
      </c>
      <c r="L438">
        <f t="shared" si="60"/>
        <v>289</v>
      </c>
      <c r="M438">
        <f t="shared" si="60"/>
        <v>304</v>
      </c>
      <c r="N438">
        <f t="shared" si="60"/>
        <v>316</v>
      </c>
      <c r="O438">
        <f t="shared" si="60"/>
        <v>341</v>
      </c>
      <c r="P438">
        <f t="shared" si="60"/>
        <v>359</v>
      </c>
      <c r="Q438">
        <f t="shared" si="53"/>
        <v>385</v>
      </c>
      <c r="S438" t="str">
        <f t="shared" si="54"/>
        <v>01.12.2025</v>
      </c>
      <c r="T438" t="str">
        <f t="shared" si="55"/>
        <v>08:00:00</v>
      </c>
      <c r="U438" t="str">
        <f t="shared" si="56"/>
        <v>01.12.2025 08:00:00</v>
      </c>
      <c r="V438" s="9" t="str">
        <f>MID($A438,C438+C$2+1,D438-C438-C$2-1)</f>
        <v>0</v>
      </c>
      <c r="W438" s="4">
        <f>VALUE(SUBSTITUTE(MID($A438,D438+D$2+1,E438-D438-D$2-1),",","."))</f>
        <v>0</v>
      </c>
      <c r="X438" s="4">
        <f>VALUE(SUBSTITUTE(MID($A438,E438+E$2+1,F438-E438-E$2-1),",","."))</f>
        <v>0.90957602214449496</v>
      </c>
      <c r="Y438" s="4">
        <f>VALUE(SUBSTITUTE(MID($A438,F438+F$2+1,G438-F438-F$2-1),",","."))</f>
        <v>3.11704545758799E-2</v>
      </c>
      <c r="Z438" s="3">
        <f>VALUE(SUBSTITUTE(MID($A438,G438+G$2+1,H438-G438-G$2-1),",","."))</f>
        <v>0</v>
      </c>
      <c r="AA438" s="3">
        <f>VALUE(SUBSTITUTE(MID($A438,H438+H$2+1,I438-H438-H$2-1),",","."))</f>
        <v>0</v>
      </c>
      <c r="AB438" s="3">
        <f>VALUE(SUBSTITUTE(MID($A438,I438+I$2+1,J438-I438-I$2-1),",","."))</f>
        <v>0</v>
      </c>
      <c r="AC438" s="3">
        <f>VALUE(SUBSTITUTE(MID($A438,J438+J$2+1,K438-J438-J$2-1),",","."))</f>
        <v>2.25</v>
      </c>
      <c r="AD438" s="3">
        <f>VALUE(SUBSTITUTE(MID($A438,K438+K$2+1,L438-K438-K$2-1),",","."))</f>
        <v>7.74</v>
      </c>
      <c r="AE438" s="3">
        <f>VALUE(SUBSTITUTE(MID($A438,L438+L$2+1,M438-L438-L$2-1),",","."))</f>
        <v>0</v>
      </c>
      <c r="AF438" s="3">
        <f>VALUE(SUBSTITUTE(MID($A438,M438+M$2+1,N438-M438-M$2-1),",","."))</f>
        <v>0</v>
      </c>
      <c r="AG438" s="3">
        <f>VALUE(SUBSTITUTE(MID($A438,N438+N$2+1,O438-N438-N$2-1),",","."))</f>
        <v>4.2158668959939396</v>
      </c>
      <c r="AH438" t="str">
        <f>MID($A438,O438+O$2+1,P438-O438-O$2-1)</f>
        <v/>
      </c>
      <c r="AI438" s="8" t="str">
        <f>MID($A438,P438+P$2+1,Q438-P438-P$2-1)</f>
        <v>False</v>
      </c>
      <c r="AK438" t="b">
        <f t="shared" si="57"/>
        <v>0</v>
      </c>
    </row>
    <row r="439" spans="1:37" x14ac:dyDescent="0.35">
      <c r="A439" t="s">
        <v>4986</v>
      </c>
      <c r="B439">
        <f t="shared" si="59"/>
        <v>10</v>
      </c>
      <c r="C439">
        <f t="shared" si="59"/>
        <v>43</v>
      </c>
      <c r="D439">
        <f t="shared" si="59"/>
        <v>54</v>
      </c>
      <c r="E439">
        <f t="shared" si="59"/>
        <v>97</v>
      </c>
      <c r="F439">
        <f t="shared" si="59"/>
        <v>141</v>
      </c>
      <c r="G439">
        <f t="shared" si="59"/>
        <v>180</v>
      </c>
      <c r="H439">
        <f t="shared" si="60"/>
        <v>212</v>
      </c>
      <c r="I439">
        <f t="shared" si="60"/>
        <v>234</v>
      </c>
      <c r="J439">
        <f t="shared" si="60"/>
        <v>267</v>
      </c>
      <c r="K439">
        <f t="shared" si="60"/>
        <v>287</v>
      </c>
      <c r="L439">
        <f t="shared" si="60"/>
        <v>305</v>
      </c>
      <c r="M439">
        <f t="shared" si="60"/>
        <v>320</v>
      </c>
      <c r="N439">
        <f t="shared" si="60"/>
        <v>332</v>
      </c>
      <c r="O439">
        <f t="shared" si="60"/>
        <v>357</v>
      </c>
      <c r="P439">
        <f t="shared" si="60"/>
        <v>375</v>
      </c>
      <c r="Q439">
        <f t="shared" si="60"/>
        <v>401</v>
      </c>
      <c r="S439" t="str">
        <f t="shared" si="54"/>
        <v>01.12.2025</v>
      </c>
      <c r="T439" t="str">
        <f t="shared" si="55"/>
        <v>08:15:00</v>
      </c>
      <c r="U439" t="str">
        <f t="shared" si="56"/>
        <v>01.12.2025 08:15:00</v>
      </c>
      <c r="V439" s="9" t="str">
        <f>MID($A439,C439+C$2+1,D439-C439-C$2-1)</f>
        <v>0</v>
      </c>
      <c r="W439" s="4">
        <f>VALUE(SUBSTITUTE(MID($A439,D439+D$2+1,E439-D439-D$2-1),",","."))</f>
        <v>0.54600631730619298</v>
      </c>
      <c r="X439" s="4">
        <f>VALUE(SUBSTITUTE(MID($A439,E439+E$2+1,F439-E439-E$2-1),",","."))</f>
        <v>0.90957602214449496</v>
      </c>
      <c r="Y439" s="4">
        <f>VALUE(SUBSTITUTE(MID($A439,F439+F$2+1,G439-F439-F$2-1),",","."))</f>
        <v>6.4686420472222103E-2</v>
      </c>
      <c r="Z439" s="3">
        <f>VALUE(SUBSTITUTE(MID($A439,G439+G$2+1,H439-G439-G$2-1),",","."))</f>
        <v>0</v>
      </c>
      <c r="AA439" s="3">
        <f>VALUE(SUBSTITUTE(MID($A439,H439+H$2+1,I439-H439-H$2-1),",","."))</f>
        <v>0</v>
      </c>
      <c r="AB439" s="3">
        <f>VALUE(SUBSTITUTE(MID($A439,I439+I$2+1,J439-I439-I$2-1),",","."))</f>
        <v>0</v>
      </c>
      <c r="AC439" s="3">
        <f>VALUE(SUBSTITUTE(MID($A439,J439+J$2+1,K439-J439-J$2-1),",","."))</f>
        <v>2.25</v>
      </c>
      <c r="AD439" s="3">
        <f>VALUE(SUBSTITUTE(MID($A439,K439+K$2+1,L439-K439-K$2-1),",","."))</f>
        <v>7.74</v>
      </c>
      <c r="AE439" s="3">
        <f>VALUE(SUBSTITUTE(MID($A439,L439+L$2+1,M439-L439-L$2-1),",","."))</f>
        <v>0</v>
      </c>
      <c r="AF439" s="3">
        <f>VALUE(SUBSTITUTE(MID($A439,M439+M$2+1,N439-M439-M$2-1),",","."))</f>
        <v>0</v>
      </c>
      <c r="AG439" s="3">
        <f>VALUE(SUBSTITUTE(MID($A439,N439+N$2+1,O439-N439-N$2-1),",","."))</f>
        <v>4.2158954158820201</v>
      </c>
      <c r="AH439" t="str">
        <f>MID($A439,O439+O$2+1,P439-O439-O$2-1)</f>
        <v/>
      </c>
      <c r="AI439" s="8" t="str">
        <f>MID($A439,P439+P$2+1,Q439-P439-P$2-1)</f>
        <v>False</v>
      </c>
      <c r="AK439" t="b">
        <f t="shared" si="57"/>
        <v>0</v>
      </c>
    </row>
    <row r="440" spans="1:37" x14ac:dyDescent="0.35">
      <c r="A440" t="s">
        <v>4987</v>
      </c>
      <c r="B440">
        <f t="shared" si="59"/>
        <v>10</v>
      </c>
      <c r="C440">
        <f t="shared" si="59"/>
        <v>43</v>
      </c>
      <c r="D440">
        <f t="shared" si="59"/>
        <v>54</v>
      </c>
      <c r="E440">
        <f t="shared" si="59"/>
        <v>97</v>
      </c>
      <c r="F440">
        <f t="shared" si="59"/>
        <v>141</v>
      </c>
      <c r="G440">
        <f t="shared" si="59"/>
        <v>180</v>
      </c>
      <c r="H440">
        <f t="shared" si="60"/>
        <v>215</v>
      </c>
      <c r="I440">
        <f t="shared" si="60"/>
        <v>237</v>
      </c>
      <c r="J440">
        <f t="shared" si="60"/>
        <v>271</v>
      </c>
      <c r="K440">
        <f t="shared" si="60"/>
        <v>290</v>
      </c>
      <c r="L440">
        <f t="shared" si="60"/>
        <v>309</v>
      </c>
      <c r="M440">
        <f t="shared" si="60"/>
        <v>324</v>
      </c>
      <c r="N440">
        <f t="shared" si="60"/>
        <v>336</v>
      </c>
      <c r="O440">
        <f t="shared" si="60"/>
        <v>361</v>
      </c>
      <c r="P440">
        <f t="shared" si="60"/>
        <v>379</v>
      </c>
      <c r="Q440">
        <f t="shared" si="60"/>
        <v>405</v>
      </c>
      <c r="S440" t="str">
        <f t="shared" ref="S440:S503" si="61">LEFT(U440,10)</f>
        <v>01.12.2025</v>
      </c>
      <c r="T440" t="str">
        <f t="shared" ref="T440:T503" si="62">MID(U440,12,8)</f>
        <v>08:30:00</v>
      </c>
      <c r="U440" t="str">
        <f t="shared" si="56"/>
        <v>01.12.2025 08:30:00</v>
      </c>
      <c r="V440" s="9" t="str">
        <f>MID($A440,C440+C$2+1,D440-C440-C$2-1)</f>
        <v>0</v>
      </c>
      <c r="W440" s="4">
        <f>VALUE(SUBSTITUTE(MID($A440,D440+D$2+1,E440-D440-D$2-1),",","."))</f>
        <v>0.58575459152796805</v>
      </c>
      <c r="X440" s="4">
        <f>VALUE(SUBSTITUTE(MID($A440,E440+E$2+1,F440-E440-E$2-1),",","."))</f>
        <v>0.90957602214449496</v>
      </c>
      <c r="Y440" s="4">
        <f>VALUE(SUBSTITUTE(MID($A440,F440+F$2+1,G440-F440-F$2-1),",","."))</f>
        <v>9.7780536580512806E-2</v>
      </c>
      <c r="Z440" s="3">
        <f>VALUE(SUBSTITUTE(MID($A440,G440+G$2+1,H440-G440-G$2-1),",","."))</f>
        <v>16.899999999999999</v>
      </c>
      <c r="AA440" s="3">
        <f>VALUE(SUBSTITUTE(MID($A440,H440+H$2+1,I440-H440-H$2-1),",","."))</f>
        <v>0</v>
      </c>
      <c r="AB440" s="3">
        <f>VALUE(SUBSTITUTE(MID($A440,I440+I$2+1,J440-I440-I$2-1),",","."))</f>
        <v>23</v>
      </c>
      <c r="AC440" s="3">
        <f>VALUE(SUBSTITUTE(MID($A440,J440+J$2+1,K440-J440-J$2-1),",","."))</f>
        <v>2.5</v>
      </c>
      <c r="AD440" s="3">
        <f>VALUE(SUBSTITUTE(MID($A440,K440+K$2+1,L440-K440-K$2-1),",","."))</f>
        <v>14.76</v>
      </c>
      <c r="AE440" s="3">
        <f>VALUE(SUBSTITUTE(MID($A440,L440+L$2+1,M440-L440-L$2-1),",","."))</f>
        <v>0</v>
      </c>
      <c r="AF440" s="3">
        <f>VALUE(SUBSTITUTE(MID($A440,M440+M$2+1,N440-M440-M$2-1),",","."))</f>
        <v>0</v>
      </c>
      <c r="AG440" s="3">
        <f>VALUE(SUBSTITUTE(MID($A440,N440+N$2+1,O440-N440-N$2-1),",","."))</f>
        <v>4.2159239357700997</v>
      </c>
      <c r="AH440" t="str">
        <f>MID($A440,O440+O$2+1,P440-O440-O$2-1)</f>
        <v/>
      </c>
      <c r="AI440" s="8" t="str">
        <f>MID($A440,P440+P$2+1,Q440-P440-P$2-1)</f>
        <v>False</v>
      </c>
      <c r="AK440" t="b">
        <f t="shared" si="57"/>
        <v>1</v>
      </c>
    </row>
    <row r="441" spans="1:37" x14ac:dyDescent="0.35">
      <c r="A441" t="s">
        <v>4988</v>
      </c>
      <c r="B441">
        <f t="shared" si="59"/>
        <v>10</v>
      </c>
      <c r="C441">
        <f t="shared" si="59"/>
        <v>43</v>
      </c>
      <c r="D441">
        <f t="shared" si="59"/>
        <v>54</v>
      </c>
      <c r="E441">
        <f t="shared" si="59"/>
        <v>97</v>
      </c>
      <c r="F441">
        <f t="shared" si="59"/>
        <v>141</v>
      </c>
      <c r="G441">
        <f t="shared" si="59"/>
        <v>180</v>
      </c>
      <c r="H441">
        <f t="shared" si="60"/>
        <v>215</v>
      </c>
      <c r="I441">
        <f t="shared" si="60"/>
        <v>237</v>
      </c>
      <c r="J441">
        <f t="shared" si="60"/>
        <v>271</v>
      </c>
      <c r="K441">
        <f t="shared" si="60"/>
        <v>290</v>
      </c>
      <c r="L441">
        <f t="shared" si="60"/>
        <v>309</v>
      </c>
      <c r="M441">
        <f t="shared" si="60"/>
        <v>324</v>
      </c>
      <c r="N441">
        <f t="shared" si="60"/>
        <v>336</v>
      </c>
      <c r="O441">
        <f t="shared" si="60"/>
        <v>360</v>
      </c>
      <c r="P441">
        <f t="shared" si="60"/>
        <v>378</v>
      </c>
      <c r="Q441">
        <f t="shared" si="60"/>
        <v>404</v>
      </c>
      <c r="S441" t="str">
        <f t="shared" si="61"/>
        <v>01.12.2025</v>
      </c>
      <c r="T441" t="str">
        <f t="shared" si="62"/>
        <v>08:45:00</v>
      </c>
      <c r="U441" t="str">
        <f t="shared" si="56"/>
        <v>01.12.2025 08:45:00</v>
      </c>
      <c r="V441" s="9" t="str">
        <f>MID($A441,C441+C$2+1,D441-C441-C$2-1)</f>
        <v>0</v>
      </c>
      <c r="W441" s="4">
        <f>VALUE(SUBSTITUTE(MID($A441,D441+D$2+1,E441-D441-D$2-1),",","."))</f>
        <v>0.62296994956210605</v>
      </c>
      <c r="X441" s="4">
        <f>VALUE(SUBSTITUTE(MID($A441,E441+E$2+1,F441-E441-E$2-1),",","."))</f>
        <v>0.90957602214449496</v>
      </c>
      <c r="Y441" s="4">
        <f>VALUE(SUBSTITUTE(MID($A441,F441+F$2+1,G441-F441-F$2-1),",","."))</f>
        <v>0.12971323664238399</v>
      </c>
      <c r="Z441" s="3">
        <f>VALUE(SUBSTITUTE(MID($A441,G441+G$2+1,H441-G441-G$2-1),",","."))</f>
        <v>16.899999999999999</v>
      </c>
      <c r="AA441" s="3">
        <f>VALUE(SUBSTITUTE(MID($A441,H441+H$2+1,I441-H441-H$2-1),",","."))</f>
        <v>0</v>
      </c>
      <c r="AB441" s="3">
        <f>VALUE(SUBSTITUTE(MID($A441,I441+I$2+1,J441-I441-I$2-1),",","."))</f>
        <v>23</v>
      </c>
      <c r="AC441" s="3">
        <f>VALUE(SUBSTITUTE(MID($A441,J441+J$2+1,K441-J441-J$2-1),",","."))</f>
        <v>2.5</v>
      </c>
      <c r="AD441" s="3">
        <f>VALUE(SUBSTITUTE(MID($A441,K441+K$2+1,L441-K441-K$2-1),",","."))</f>
        <v>14.76</v>
      </c>
      <c r="AE441" s="3">
        <f>VALUE(SUBSTITUTE(MID($A441,L441+L$2+1,M441-L441-L$2-1),",","."))</f>
        <v>0</v>
      </c>
      <c r="AF441" s="3">
        <f>VALUE(SUBSTITUTE(MID($A441,M441+M$2+1,N441-M441-M$2-1),",","."))</f>
        <v>0</v>
      </c>
      <c r="AG441" s="3">
        <f>VALUE(SUBSTITUTE(MID($A441,N441+N$2+1,O441-N441-N$2-1),",","."))</f>
        <v>4.21595245565819</v>
      </c>
      <c r="AH441" t="str">
        <f>MID($A441,O441+O$2+1,P441-O441-O$2-1)</f>
        <v/>
      </c>
      <c r="AI441" s="8" t="str">
        <f>MID($A441,P441+P$2+1,Q441-P441-P$2-1)</f>
        <v>False</v>
      </c>
      <c r="AK441" t="b">
        <f t="shared" si="57"/>
        <v>1</v>
      </c>
    </row>
    <row r="442" spans="1:37" x14ac:dyDescent="0.35">
      <c r="A442" t="s">
        <v>4989</v>
      </c>
      <c r="B442">
        <f t="shared" si="59"/>
        <v>10</v>
      </c>
      <c r="C442">
        <f t="shared" si="59"/>
        <v>43</v>
      </c>
      <c r="D442">
        <f t="shared" si="59"/>
        <v>54</v>
      </c>
      <c r="E442">
        <f t="shared" si="59"/>
        <v>97</v>
      </c>
      <c r="F442">
        <f t="shared" si="59"/>
        <v>141</v>
      </c>
      <c r="G442">
        <f t="shared" si="59"/>
        <v>180</v>
      </c>
      <c r="H442">
        <f t="shared" si="60"/>
        <v>215</v>
      </c>
      <c r="I442">
        <f t="shared" si="60"/>
        <v>237</v>
      </c>
      <c r="J442">
        <f t="shared" si="60"/>
        <v>271</v>
      </c>
      <c r="K442">
        <f t="shared" si="60"/>
        <v>290</v>
      </c>
      <c r="L442">
        <f t="shared" si="60"/>
        <v>309</v>
      </c>
      <c r="M442">
        <f t="shared" si="60"/>
        <v>324</v>
      </c>
      <c r="N442">
        <f t="shared" si="60"/>
        <v>336</v>
      </c>
      <c r="O442">
        <f t="shared" si="60"/>
        <v>361</v>
      </c>
      <c r="P442">
        <f t="shared" si="60"/>
        <v>379</v>
      </c>
      <c r="Q442">
        <f t="shared" ref="Q442:Q505" si="63">FIND(Q$1,$A442)</f>
        <v>405</v>
      </c>
      <c r="S442" t="str">
        <f t="shared" si="61"/>
        <v>01.12.2025</v>
      </c>
      <c r="T442" t="str">
        <f t="shared" si="62"/>
        <v>09:00:00</v>
      </c>
      <c r="U442" t="str">
        <f t="shared" si="56"/>
        <v>01.12.2025 09:00:00</v>
      </c>
      <c r="V442" s="9" t="str">
        <f>MID($A442,C442+C$2+1,D442-C442-C$2-1)</f>
        <v>0</v>
      </c>
      <c r="W442" s="4">
        <f>VALUE(SUBSTITUTE(MID($A442,D442+D$2+1,E442-D442-D$2-1),",","."))</f>
        <v>0.65731224423993895</v>
      </c>
      <c r="X442" s="4">
        <f>VALUE(SUBSTITUTE(MID($A442,E442+E$2+1,F442-E442-E$2-1),",","."))</f>
        <v>0.90957602214449496</v>
      </c>
      <c r="Y442" s="4">
        <f>VALUE(SUBSTITUTE(MID($A442,F442+F$2+1,G442-F442-F$2-1),",","."))</f>
        <v>0.160131540179933</v>
      </c>
      <c r="Z442" s="3">
        <f>VALUE(SUBSTITUTE(MID($A442,G442+G$2+1,H442-G442-G$2-1),",","."))</f>
        <v>16.899999999999999</v>
      </c>
      <c r="AA442" s="3">
        <f>VALUE(SUBSTITUTE(MID($A442,H442+H$2+1,I442-H442-H$2-1),",","."))</f>
        <v>0</v>
      </c>
      <c r="AB442" s="3">
        <f>VALUE(SUBSTITUTE(MID($A442,I442+I$2+1,J442-I442-I$2-1),",","."))</f>
        <v>23</v>
      </c>
      <c r="AC442" s="3">
        <f>VALUE(SUBSTITUTE(MID($A442,J442+J$2+1,K442-J442-J$2-1),",","."))</f>
        <v>2.5</v>
      </c>
      <c r="AD442" s="3">
        <f>VALUE(SUBSTITUTE(MID($A442,K442+K$2+1,L442-K442-K$2-1),",","."))</f>
        <v>14.76</v>
      </c>
      <c r="AE442" s="3">
        <f>VALUE(SUBSTITUTE(MID($A442,L442+L$2+1,M442-L442-L$2-1),",","."))</f>
        <v>0</v>
      </c>
      <c r="AF442" s="3">
        <f>VALUE(SUBSTITUTE(MID($A442,M442+M$2+1,N442-M442-M$2-1),",","."))</f>
        <v>0</v>
      </c>
      <c r="AG442" s="3">
        <f>VALUE(SUBSTITUTE(MID($A442,N442+N$2+1,O442-N442-N$2-1),",","."))</f>
        <v>4.2159809755462696</v>
      </c>
      <c r="AH442" t="str">
        <f>MID($A442,O442+O$2+1,P442-O442-O$2-1)</f>
        <v/>
      </c>
      <c r="AI442" s="8" t="str">
        <f>MID($A442,P442+P$2+1,Q442-P442-P$2-1)</f>
        <v>False</v>
      </c>
      <c r="AK442" t="b">
        <f t="shared" si="57"/>
        <v>1</v>
      </c>
    </row>
    <row r="443" spans="1:37" x14ac:dyDescent="0.35">
      <c r="A443" t="s">
        <v>4990</v>
      </c>
      <c r="B443">
        <f t="shared" si="59"/>
        <v>10</v>
      </c>
      <c r="C443">
        <f t="shared" si="59"/>
        <v>43</v>
      </c>
      <c r="D443">
        <f t="shared" si="59"/>
        <v>54</v>
      </c>
      <c r="E443">
        <f t="shared" si="59"/>
        <v>97</v>
      </c>
      <c r="F443">
        <f t="shared" si="59"/>
        <v>141</v>
      </c>
      <c r="G443">
        <f t="shared" si="59"/>
        <v>180</v>
      </c>
      <c r="H443">
        <f t="shared" si="59"/>
        <v>215</v>
      </c>
      <c r="I443">
        <f t="shared" si="59"/>
        <v>237</v>
      </c>
      <c r="J443">
        <f t="shared" si="59"/>
        <v>271</v>
      </c>
      <c r="K443">
        <f t="shared" si="59"/>
        <v>290</v>
      </c>
      <c r="L443">
        <f t="shared" si="59"/>
        <v>309</v>
      </c>
      <c r="M443">
        <f t="shared" si="59"/>
        <v>324</v>
      </c>
      <c r="N443">
        <f t="shared" si="59"/>
        <v>336</v>
      </c>
      <c r="O443">
        <f t="shared" si="59"/>
        <v>361</v>
      </c>
      <c r="P443">
        <f t="shared" si="59"/>
        <v>379</v>
      </c>
      <c r="Q443">
        <f t="shared" si="63"/>
        <v>405</v>
      </c>
      <c r="S443" t="str">
        <f t="shared" si="61"/>
        <v>01.12.2025</v>
      </c>
      <c r="T443" t="str">
        <f t="shared" si="62"/>
        <v>09:15:00</v>
      </c>
      <c r="U443" t="str">
        <f t="shared" si="56"/>
        <v>01.12.2025 09:15:00</v>
      </c>
      <c r="V443" s="9" t="str">
        <f>MID($A443,C443+C$2+1,D443-C443-C$2-1)</f>
        <v>0</v>
      </c>
      <c r="W443" s="4">
        <f>VALUE(SUBSTITUTE(MID($A443,D443+D$2+1,E443-D443-D$2-1),",","."))</f>
        <v>0.68855737407005102</v>
      </c>
      <c r="X443" s="4">
        <f>VALUE(SUBSTITUTE(MID($A443,E443+E$2+1,F443-E443-E$2-1),",","."))</f>
        <v>0.90957602214449496</v>
      </c>
      <c r="Y443" s="4">
        <f>VALUE(SUBSTITUTE(MID($A443,F443+F$2+1,G443-F443-F$2-1),",","."))</f>
        <v>0.18881275379052601</v>
      </c>
      <c r="Z443" s="3">
        <f>VALUE(SUBSTITUTE(MID($A443,G443+G$2+1,H443-G443-G$2-1),",","."))</f>
        <v>16.899999999999999</v>
      </c>
      <c r="AA443" s="3">
        <f>VALUE(SUBSTITUTE(MID($A443,H443+H$2+1,I443-H443-H$2-1),",","."))</f>
        <v>0</v>
      </c>
      <c r="AB443" s="3">
        <f>VALUE(SUBSTITUTE(MID($A443,I443+I$2+1,J443-I443-I$2-1),",","."))</f>
        <v>23</v>
      </c>
      <c r="AC443" s="3">
        <f>VALUE(SUBSTITUTE(MID($A443,J443+J$2+1,K443-J443-J$2-1),",","."))</f>
        <v>2.5</v>
      </c>
      <c r="AD443" s="3">
        <f>VALUE(SUBSTITUTE(MID($A443,K443+K$2+1,L443-K443-K$2-1),",","."))</f>
        <v>14.76</v>
      </c>
      <c r="AE443" s="3">
        <f>VALUE(SUBSTITUTE(MID($A443,L443+L$2+1,M443-L443-L$2-1),",","."))</f>
        <v>0</v>
      </c>
      <c r="AF443" s="3">
        <f>VALUE(SUBSTITUTE(MID($A443,M443+M$2+1,N443-M443-M$2-1),",","."))</f>
        <v>0</v>
      </c>
      <c r="AG443" s="3">
        <f>VALUE(SUBSTITUTE(MID($A443,N443+N$2+1,O443-N443-N$2-1),",","."))</f>
        <v>4.2160094954343501</v>
      </c>
      <c r="AH443" t="str">
        <f>MID($A443,O443+O$2+1,P443-O443-O$2-1)</f>
        <v/>
      </c>
      <c r="AI443" s="8" t="str">
        <f>MID($A443,P443+P$2+1,Q443-P443-P$2-1)</f>
        <v>False</v>
      </c>
      <c r="AK443" t="b">
        <f t="shared" si="57"/>
        <v>1</v>
      </c>
    </row>
    <row r="444" spans="1:37" x14ac:dyDescent="0.35">
      <c r="A444" t="s">
        <v>4991</v>
      </c>
      <c r="B444">
        <f t="shared" si="59"/>
        <v>10</v>
      </c>
      <c r="C444">
        <f t="shared" si="59"/>
        <v>43</v>
      </c>
      <c r="D444">
        <f t="shared" si="59"/>
        <v>54</v>
      </c>
      <c r="E444">
        <f t="shared" si="59"/>
        <v>97</v>
      </c>
      <c r="F444">
        <f t="shared" si="59"/>
        <v>141</v>
      </c>
      <c r="G444">
        <f t="shared" si="59"/>
        <v>180</v>
      </c>
      <c r="H444">
        <f t="shared" ref="H444:P472" si="64">FIND(H$1,$A444)</f>
        <v>229</v>
      </c>
      <c r="I444">
        <f t="shared" si="64"/>
        <v>251</v>
      </c>
      <c r="J444">
        <f t="shared" si="64"/>
        <v>287</v>
      </c>
      <c r="K444">
        <f t="shared" si="64"/>
        <v>307</v>
      </c>
      <c r="L444">
        <f t="shared" si="64"/>
        <v>339</v>
      </c>
      <c r="M444">
        <f t="shared" si="64"/>
        <v>354</v>
      </c>
      <c r="N444">
        <f t="shared" si="64"/>
        <v>366</v>
      </c>
      <c r="O444">
        <f t="shared" si="64"/>
        <v>391</v>
      </c>
      <c r="P444">
        <f t="shared" si="64"/>
        <v>409</v>
      </c>
      <c r="Q444">
        <f t="shared" si="63"/>
        <v>435</v>
      </c>
      <c r="S444" t="str">
        <f t="shared" si="61"/>
        <v>01.12.2025</v>
      </c>
      <c r="T444" t="str">
        <f t="shared" si="62"/>
        <v>09:30:00</v>
      </c>
      <c r="U444" t="str">
        <f t="shared" si="56"/>
        <v>01.12.2025 09:30:00</v>
      </c>
      <c r="V444" s="9" t="str">
        <f>MID($A444,C444+C$2+1,D444-C444-C$2-1)</f>
        <v>0</v>
      </c>
      <c r="W444" s="4">
        <f>VALUE(SUBSTITUTE(MID($A444,D444+D$2+1,E444-D444-D$2-1),",","."))</f>
        <v>0.71653393124739195</v>
      </c>
      <c r="X444" s="4">
        <f>VALUE(SUBSTITUTE(MID($A444,E444+E$2+1,F444-E444-E$2-1),",","."))</f>
        <v>0.90957602214449496</v>
      </c>
      <c r="Y444" s="4">
        <f>VALUE(SUBSTITUTE(MID($A444,F444+F$2+1,G444-F444-F$2-1),",","."))</f>
        <v>0.21558879836806</v>
      </c>
      <c r="Z444" s="3">
        <f>VALUE(SUBSTITUTE(MID($A444,G444+G$2+1,H444-G444-G$2-1),",","."))</f>
        <v>29.1999999999999</v>
      </c>
      <c r="AA444" s="3">
        <f>VALUE(SUBSTITUTE(MID($A444,H444+H$2+1,I444-H444-H$2-1),",","."))</f>
        <v>0</v>
      </c>
      <c r="AB444" s="3">
        <f>VALUE(SUBSTITUTE(MID($A444,I444+I$2+1,J444-I444-I$2-1),",","."))</f>
        <v>63.5</v>
      </c>
      <c r="AC444" s="3">
        <f>VALUE(SUBSTITUTE(MID($A444,J444+J$2+1,K444-J444-J$2-1),",","."))</f>
        <v>2.75</v>
      </c>
      <c r="AD444" s="3">
        <f>VALUE(SUBSTITUTE(MID($A444,K444+K$2+1,L444-K444-K$2-1),",","."))</f>
        <v>19.259999999999899</v>
      </c>
      <c r="AE444" s="3">
        <f>VALUE(SUBSTITUTE(MID($A444,L444+L$2+1,M444-L444-L$2-1),",","."))</f>
        <v>0</v>
      </c>
      <c r="AF444" s="3">
        <f>VALUE(SUBSTITUTE(MID($A444,M444+M$2+1,N444-M444-M$2-1),",","."))</f>
        <v>0</v>
      </c>
      <c r="AG444" s="3">
        <f>VALUE(SUBSTITUTE(MID($A444,N444+N$2+1,O444-N444-N$2-1),",","."))</f>
        <v>4.2160380153224297</v>
      </c>
      <c r="AH444" t="str">
        <f>MID($A444,O444+O$2+1,P444-O444-O$2-1)</f>
        <v/>
      </c>
      <c r="AI444" s="8" t="str">
        <f>MID($A444,P444+P$2+1,Q444-P444-P$2-1)</f>
        <v>False</v>
      </c>
      <c r="AK444" t="b">
        <f t="shared" si="57"/>
        <v>1</v>
      </c>
    </row>
    <row r="445" spans="1:37" x14ac:dyDescent="0.35">
      <c r="A445" t="s">
        <v>4992</v>
      </c>
      <c r="B445">
        <f t="shared" ref="B445:J482" si="65">FIND(B$1,$A445)</f>
        <v>10</v>
      </c>
      <c r="C445">
        <f t="shared" si="65"/>
        <v>43</v>
      </c>
      <c r="D445">
        <f t="shared" si="65"/>
        <v>54</v>
      </c>
      <c r="E445">
        <f t="shared" si="65"/>
        <v>97</v>
      </c>
      <c r="F445">
        <f t="shared" si="65"/>
        <v>141</v>
      </c>
      <c r="G445">
        <f t="shared" si="65"/>
        <v>179</v>
      </c>
      <c r="H445">
        <f t="shared" si="64"/>
        <v>228</v>
      </c>
      <c r="I445">
        <f t="shared" si="64"/>
        <v>250</v>
      </c>
      <c r="J445">
        <f t="shared" si="64"/>
        <v>286</v>
      </c>
      <c r="K445">
        <f t="shared" si="64"/>
        <v>306</v>
      </c>
      <c r="L445">
        <f t="shared" si="64"/>
        <v>338</v>
      </c>
      <c r="M445">
        <f t="shared" si="64"/>
        <v>353</v>
      </c>
      <c r="N445">
        <f t="shared" si="64"/>
        <v>365</v>
      </c>
      <c r="O445">
        <f t="shared" si="64"/>
        <v>390</v>
      </c>
      <c r="P445">
        <f t="shared" si="64"/>
        <v>408</v>
      </c>
      <c r="Q445">
        <f t="shared" si="63"/>
        <v>434</v>
      </c>
      <c r="S445" t="str">
        <f t="shared" si="61"/>
        <v>01.12.2025</v>
      </c>
      <c r="T445" t="str">
        <f t="shared" si="62"/>
        <v>09:45:00</v>
      </c>
      <c r="U445" t="str">
        <f t="shared" si="56"/>
        <v>01.12.2025 09:45:00</v>
      </c>
      <c r="V445" s="9" t="str">
        <f>MID($A445,C445+C$2+1,D445-C445-C$2-1)</f>
        <v>0</v>
      </c>
      <c r="W445" s="4">
        <f>VALUE(SUBSTITUTE(MID($A445,D445+D$2+1,E445-D445-D$2-1),",","."))</f>
        <v>0.74110178655978498</v>
      </c>
      <c r="X445" s="4">
        <f>VALUE(SUBSTITUTE(MID($A445,E445+E$2+1,F445-E445-E$2-1),",","."))</f>
        <v>0.90957602214449496</v>
      </c>
      <c r="Y445" s="4">
        <f>VALUE(SUBSTITUTE(MID($A445,F445+F$2+1,G445-F445-F$2-1),",","."))</f>
        <v>0.24032046887613601</v>
      </c>
      <c r="Z445" s="3">
        <f>VALUE(SUBSTITUTE(MID($A445,G445+G$2+1,H445-G445-G$2-1),",","."))</f>
        <v>29.1999999999999</v>
      </c>
      <c r="AA445" s="3">
        <f>VALUE(SUBSTITUTE(MID($A445,H445+H$2+1,I445-H445-H$2-1),",","."))</f>
        <v>0</v>
      </c>
      <c r="AB445" s="3">
        <f>VALUE(SUBSTITUTE(MID($A445,I445+I$2+1,J445-I445-I$2-1),",","."))</f>
        <v>63.5</v>
      </c>
      <c r="AC445" s="3">
        <f>VALUE(SUBSTITUTE(MID($A445,J445+J$2+1,K445-J445-J$2-1),",","."))</f>
        <v>2.75</v>
      </c>
      <c r="AD445" s="3">
        <f>VALUE(SUBSTITUTE(MID($A445,K445+K$2+1,L445-K445-K$2-1),",","."))</f>
        <v>19.259999999999899</v>
      </c>
      <c r="AE445" s="3">
        <f>VALUE(SUBSTITUTE(MID($A445,L445+L$2+1,M445-L445-L$2-1),",","."))</f>
        <v>0</v>
      </c>
      <c r="AF445" s="3">
        <f>VALUE(SUBSTITUTE(MID($A445,M445+M$2+1,N445-M445-M$2-1),",","."))</f>
        <v>0</v>
      </c>
      <c r="AG445" s="3">
        <f>VALUE(SUBSTITUTE(MID($A445,N445+N$2+1,O445-N445-N$2-1),",","."))</f>
        <v>4.2160665352105102</v>
      </c>
      <c r="AH445" t="str">
        <f>MID($A445,O445+O$2+1,P445-O445-O$2-1)</f>
        <v/>
      </c>
      <c r="AI445" s="8" t="str">
        <f>MID($A445,P445+P$2+1,Q445-P445-P$2-1)</f>
        <v>False</v>
      </c>
      <c r="AK445" t="b">
        <f t="shared" si="57"/>
        <v>1</v>
      </c>
    </row>
    <row r="446" spans="1:37" x14ac:dyDescent="0.35">
      <c r="A446" t="s">
        <v>4993</v>
      </c>
      <c r="B446">
        <f t="shared" si="65"/>
        <v>10</v>
      </c>
      <c r="C446">
        <f t="shared" si="65"/>
        <v>43</v>
      </c>
      <c r="D446">
        <f t="shared" si="65"/>
        <v>54</v>
      </c>
      <c r="E446">
        <f t="shared" si="65"/>
        <v>97</v>
      </c>
      <c r="F446">
        <f t="shared" si="65"/>
        <v>141</v>
      </c>
      <c r="G446">
        <f t="shared" si="65"/>
        <v>180</v>
      </c>
      <c r="H446">
        <f t="shared" si="64"/>
        <v>229</v>
      </c>
      <c r="I446">
        <f t="shared" si="64"/>
        <v>251</v>
      </c>
      <c r="J446">
        <f t="shared" si="64"/>
        <v>287</v>
      </c>
      <c r="K446">
        <f t="shared" si="64"/>
        <v>307</v>
      </c>
      <c r="L446">
        <f t="shared" si="64"/>
        <v>339</v>
      </c>
      <c r="M446">
        <f t="shared" si="64"/>
        <v>354</v>
      </c>
      <c r="N446">
        <f t="shared" si="64"/>
        <v>366</v>
      </c>
      <c r="O446">
        <f t="shared" si="64"/>
        <v>391</v>
      </c>
      <c r="P446">
        <f t="shared" si="64"/>
        <v>409</v>
      </c>
      <c r="Q446">
        <f t="shared" si="63"/>
        <v>435</v>
      </c>
      <c r="S446" t="str">
        <f t="shared" si="61"/>
        <v>01.12.2025</v>
      </c>
      <c r="T446" t="str">
        <f t="shared" si="62"/>
        <v>10:00:00</v>
      </c>
      <c r="U446" t="str">
        <f t="shared" si="56"/>
        <v>01.12.2025 10:00:00</v>
      </c>
      <c r="V446" s="9" t="str">
        <f>MID($A446,C446+C$2+1,D446-C446-C$2-1)</f>
        <v>0</v>
      </c>
      <c r="W446" s="4">
        <f>VALUE(SUBSTITUTE(MID($A446,D446+D$2+1,E446-D446-D$2-1),",","."))</f>
        <v>0.76214387215483304</v>
      </c>
      <c r="X446" s="4">
        <f>VALUE(SUBSTITUTE(MID($A446,E446+E$2+1,F446-E446-E$2-1),",","."))</f>
        <v>0.90957602214449496</v>
      </c>
      <c r="Y446" s="4">
        <f>VALUE(SUBSTITUTE(MID($A446,F446+F$2+1,G446-F446-F$2-1),",","."))</f>
        <v>0.26288747774499399</v>
      </c>
      <c r="Z446" s="3">
        <f>VALUE(SUBSTITUTE(MID($A446,G446+G$2+1,H446-G446-G$2-1),",","."))</f>
        <v>29.1999999999999</v>
      </c>
      <c r="AA446" s="3">
        <f>VALUE(SUBSTITUTE(MID($A446,H446+H$2+1,I446-H446-H$2-1),",","."))</f>
        <v>0</v>
      </c>
      <c r="AB446" s="3">
        <f>VALUE(SUBSTITUTE(MID($A446,I446+I$2+1,J446-I446-I$2-1),",","."))</f>
        <v>63.5</v>
      </c>
      <c r="AC446" s="3">
        <f>VALUE(SUBSTITUTE(MID($A446,J446+J$2+1,K446-J446-J$2-1),",","."))</f>
        <v>2.75</v>
      </c>
      <c r="AD446" s="3">
        <f>VALUE(SUBSTITUTE(MID($A446,K446+K$2+1,L446-K446-K$2-1),",","."))</f>
        <v>19.259999999999899</v>
      </c>
      <c r="AE446" s="3">
        <f>VALUE(SUBSTITUTE(MID($A446,L446+L$2+1,M446-L446-L$2-1),",","."))</f>
        <v>0</v>
      </c>
      <c r="AF446" s="3">
        <f>VALUE(SUBSTITUTE(MID($A446,M446+M$2+1,N446-M446-M$2-1),",","."))</f>
        <v>0</v>
      </c>
      <c r="AG446" s="3">
        <f>VALUE(SUBSTITUTE(MID($A446,N446+N$2+1,O446-N446-N$2-1),",","."))</f>
        <v>4.2160950550985898</v>
      </c>
      <c r="AH446" t="str">
        <f>MID($A446,O446+O$2+1,P446-O446-O$2-1)</f>
        <v/>
      </c>
      <c r="AI446" s="8" t="str">
        <f>MID($A446,P446+P$2+1,Q446-P446-P$2-1)</f>
        <v>False</v>
      </c>
      <c r="AK446" t="b">
        <f t="shared" si="57"/>
        <v>1</v>
      </c>
    </row>
    <row r="447" spans="1:37" x14ac:dyDescent="0.35">
      <c r="A447" t="s">
        <v>4994</v>
      </c>
      <c r="B447">
        <f t="shared" si="65"/>
        <v>10</v>
      </c>
      <c r="C447">
        <f t="shared" si="65"/>
        <v>43</v>
      </c>
      <c r="D447">
        <f t="shared" si="65"/>
        <v>54</v>
      </c>
      <c r="E447">
        <f t="shared" si="65"/>
        <v>97</v>
      </c>
      <c r="F447">
        <f t="shared" si="65"/>
        <v>141</v>
      </c>
      <c r="G447">
        <f t="shared" si="65"/>
        <v>180</v>
      </c>
      <c r="H447">
        <f t="shared" si="64"/>
        <v>229</v>
      </c>
      <c r="I447">
        <f t="shared" si="64"/>
        <v>251</v>
      </c>
      <c r="J447">
        <f t="shared" si="64"/>
        <v>287</v>
      </c>
      <c r="K447">
        <f t="shared" si="64"/>
        <v>307</v>
      </c>
      <c r="L447">
        <f t="shared" si="64"/>
        <v>339</v>
      </c>
      <c r="M447">
        <f t="shared" si="64"/>
        <v>354</v>
      </c>
      <c r="N447">
        <f t="shared" si="64"/>
        <v>366</v>
      </c>
      <c r="O447">
        <f t="shared" si="64"/>
        <v>390</v>
      </c>
      <c r="P447">
        <f t="shared" si="64"/>
        <v>408</v>
      </c>
      <c r="Q447">
        <f t="shared" si="63"/>
        <v>434</v>
      </c>
      <c r="S447" t="str">
        <f t="shared" si="61"/>
        <v>01.12.2025</v>
      </c>
      <c r="T447" t="str">
        <f t="shared" si="62"/>
        <v>10:15:00</v>
      </c>
      <c r="U447" t="str">
        <f t="shared" si="56"/>
        <v>01.12.2025 10:15:00</v>
      </c>
      <c r="V447" s="9" t="str">
        <f>MID($A447,C447+C$2+1,D447-C447-C$2-1)</f>
        <v>0</v>
      </c>
      <c r="W447" s="4">
        <f>VALUE(SUBSTITUTE(MID($A447,D447+D$2+1,E447-D447-D$2-1),",","."))</f>
        <v>0.77956274187311903</v>
      </c>
      <c r="X447" s="4">
        <f>VALUE(SUBSTITUTE(MID($A447,E447+E$2+1,F447-E447-E$2-1),",","."))</f>
        <v>0.90957602214449496</v>
      </c>
      <c r="Y447" s="4">
        <f>VALUE(SUBSTITUTE(MID($A447,F447+F$2+1,G447-F447-F$2-1),",","."))</f>
        <v>0.28318424672401998</v>
      </c>
      <c r="Z447" s="3">
        <f>VALUE(SUBSTITUTE(MID($A447,G447+G$2+1,H447-G447-G$2-1),",","."))</f>
        <v>29.1999999999999</v>
      </c>
      <c r="AA447" s="3">
        <f>VALUE(SUBSTITUTE(MID($A447,H447+H$2+1,I447-H447-H$2-1),",","."))</f>
        <v>0</v>
      </c>
      <c r="AB447" s="3">
        <f>VALUE(SUBSTITUTE(MID($A447,I447+I$2+1,J447-I447-I$2-1),",","."))</f>
        <v>63.5</v>
      </c>
      <c r="AC447" s="3">
        <f>VALUE(SUBSTITUTE(MID($A447,J447+J$2+1,K447-J447-J$2-1),",","."))</f>
        <v>2.75</v>
      </c>
      <c r="AD447" s="3">
        <f>VALUE(SUBSTITUTE(MID($A447,K447+K$2+1,L447-K447-K$2-1),",","."))</f>
        <v>19.259999999999899</v>
      </c>
      <c r="AE447" s="3">
        <f>VALUE(SUBSTITUTE(MID($A447,L447+L$2+1,M447-L447-L$2-1),",","."))</f>
        <v>0</v>
      </c>
      <c r="AF447" s="3">
        <f>VALUE(SUBSTITUTE(MID($A447,M447+M$2+1,N447-M447-M$2-1),",","."))</f>
        <v>0</v>
      </c>
      <c r="AG447" s="3">
        <f>VALUE(SUBSTITUTE(MID($A447,N447+N$2+1,O447-N447-N$2-1),",","."))</f>
        <v>4.2161235749866801</v>
      </c>
      <c r="AH447" t="str">
        <f>MID($A447,O447+O$2+1,P447-O447-O$2-1)</f>
        <v/>
      </c>
      <c r="AI447" s="8" t="str">
        <f>MID($A447,P447+P$2+1,Q447-P447-P$2-1)</f>
        <v>False</v>
      </c>
      <c r="AK447" t="b">
        <f t="shared" si="57"/>
        <v>1</v>
      </c>
    </row>
    <row r="448" spans="1:37" x14ac:dyDescent="0.35">
      <c r="A448" t="s">
        <v>4995</v>
      </c>
      <c r="B448">
        <f t="shared" si="65"/>
        <v>10</v>
      </c>
      <c r="C448">
        <f t="shared" si="65"/>
        <v>43</v>
      </c>
      <c r="D448">
        <f t="shared" si="65"/>
        <v>54</v>
      </c>
      <c r="E448">
        <f t="shared" si="65"/>
        <v>97</v>
      </c>
      <c r="F448">
        <f t="shared" si="65"/>
        <v>141</v>
      </c>
      <c r="G448">
        <f t="shared" si="65"/>
        <v>178</v>
      </c>
      <c r="H448">
        <f t="shared" si="64"/>
        <v>226</v>
      </c>
      <c r="I448">
        <f t="shared" si="64"/>
        <v>248</v>
      </c>
      <c r="J448">
        <f t="shared" si="64"/>
        <v>284</v>
      </c>
      <c r="K448">
        <f t="shared" si="64"/>
        <v>304</v>
      </c>
      <c r="L448">
        <f t="shared" si="64"/>
        <v>336</v>
      </c>
      <c r="M448">
        <f t="shared" si="64"/>
        <v>351</v>
      </c>
      <c r="N448">
        <f t="shared" si="64"/>
        <v>363</v>
      </c>
      <c r="O448">
        <f t="shared" si="64"/>
        <v>389</v>
      </c>
      <c r="P448">
        <f t="shared" si="64"/>
        <v>407</v>
      </c>
      <c r="Q448">
        <f t="shared" si="63"/>
        <v>433</v>
      </c>
      <c r="S448" t="str">
        <f t="shared" si="61"/>
        <v>01.12.2025</v>
      </c>
      <c r="T448" t="str">
        <f t="shared" si="62"/>
        <v>10:30:00</v>
      </c>
      <c r="U448" t="str">
        <f t="shared" si="56"/>
        <v>01.12.2025 10:30:00</v>
      </c>
      <c r="V448" s="9" t="str">
        <f>MID($A448,C448+C$2+1,D448-C448-C$2-1)</f>
        <v>0</v>
      </c>
      <c r="W448" s="4">
        <f>VALUE(SUBSTITUTE(MID($A448,D448+D$2+1,E448-D448-D$2-1),",","."))</f>
        <v>0.79327905787025998</v>
      </c>
      <c r="X448" s="4">
        <f>VALUE(SUBSTITUTE(MID($A448,E448+E$2+1,F448-E448-E$2-1),",","."))</f>
        <v>0.90957602214449496</v>
      </c>
      <c r="Y448" s="4">
        <f>VALUE(SUBSTITUTE(MID($A448,F448+F$2+1,G448-F448-F$2-1),",","."))</f>
        <v>0.30111804256070801</v>
      </c>
      <c r="Z448" s="3">
        <f>VALUE(SUBSTITUTE(MID($A448,G448+G$2+1,H448-G448-G$2-1),",","."))</f>
        <v>54.5833333333333</v>
      </c>
      <c r="AA448" s="3">
        <f>VALUE(SUBSTITUTE(MID($A448,H448+H$2+1,I448-H448-H$2-1),",","."))</f>
        <v>0</v>
      </c>
      <c r="AB448" s="3">
        <f>VALUE(SUBSTITUTE(MID($A448,I448+I$2+1,J448-I448-I$2-1),",","."))</f>
        <v>94.5</v>
      </c>
      <c r="AC448" s="3">
        <f>VALUE(SUBSTITUTE(MID($A448,J448+J$2+1,K448-J448-J$2-1),",","."))</f>
        <v>3.05</v>
      </c>
      <c r="AD448" s="3">
        <f>VALUE(SUBSTITUTE(MID($A448,K448+K$2+1,L448-K448-K$2-1),",","."))</f>
        <v>19.259999999999899</v>
      </c>
      <c r="AE448" s="3">
        <f>VALUE(SUBSTITUTE(MID($A448,L448+L$2+1,M448-L448-L$2-1),",","."))</f>
        <v>0</v>
      </c>
      <c r="AF448" s="3">
        <f>VALUE(SUBSTITUTE(MID($A448,M448+M$2+1,N448-M448-M$2-1),",","."))</f>
        <v>0</v>
      </c>
      <c r="AG448" s="3">
        <f>VALUE(SUBSTITUTE(MID($A448,N448+N$2+1,O448-N448-N$2-1),",","."))</f>
        <v>4.2161520948747597</v>
      </c>
      <c r="AH448" t="str">
        <f>MID($A448,O448+O$2+1,P448-O448-O$2-1)</f>
        <v/>
      </c>
      <c r="AI448" s="8" t="str">
        <f>MID($A448,P448+P$2+1,Q448-P448-P$2-1)</f>
        <v>False</v>
      </c>
      <c r="AK448" t="b">
        <f t="shared" si="57"/>
        <v>1</v>
      </c>
    </row>
    <row r="449" spans="1:37" x14ac:dyDescent="0.35">
      <c r="A449" t="s">
        <v>4996</v>
      </c>
      <c r="B449">
        <f t="shared" si="65"/>
        <v>10</v>
      </c>
      <c r="C449">
        <f t="shared" si="65"/>
        <v>43</v>
      </c>
      <c r="D449">
        <f t="shared" si="65"/>
        <v>54</v>
      </c>
      <c r="E449">
        <f t="shared" si="65"/>
        <v>97</v>
      </c>
      <c r="F449">
        <f t="shared" si="65"/>
        <v>141</v>
      </c>
      <c r="G449">
        <f t="shared" si="65"/>
        <v>179</v>
      </c>
      <c r="H449">
        <f t="shared" si="64"/>
        <v>227</v>
      </c>
      <c r="I449">
        <f t="shared" si="64"/>
        <v>249</v>
      </c>
      <c r="J449">
        <f t="shared" si="64"/>
        <v>285</v>
      </c>
      <c r="K449">
        <f t="shared" si="64"/>
        <v>305</v>
      </c>
      <c r="L449">
        <f t="shared" si="64"/>
        <v>337</v>
      </c>
      <c r="M449">
        <f t="shared" si="64"/>
        <v>352</v>
      </c>
      <c r="N449">
        <f t="shared" si="64"/>
        <v>364</v>
      </c>
      <c r="O449">
        <f t="shared" si="64"/>
        <v>389</v>
      </c>
      <c r="P449">
        <f t="shared" si="64"/>
        <v>407</v>
      </c>
      <c r="Q449">
        <f t="shared" si="63"/>
        <v>433</v>
      </c>
      <c r="S449" t="str">
        <f t="shared" si="61"/>
        <v>01.12.2025</v>
      </c>
      <c r="T449" t="str">
        <f t="shared" si="62"/>
        <v>10:45:00</v>
      </c>
      <c r="U449" t="str">
        <f t="shared" si="56"/>
        <v>01.12.2025 10:45:00</v>
      </c>
      <c r="V449" s="9" t="str">
        <f>MID($A449,C449+C$2+1,D449-C449-C$2-1)</f>
        <v>0</v>
      </c>
      <c r="W449" s="4">
        <f>VALUE(SUBSTITUTE(MID($A449,D449+D$2+1,E449-D449-D$2-1),",","."))</f>
        <v>0.80323091284078296</v>
      </c>
      <c r="X449" s="4">
        <f>VALUE(SUBSTITUTE(MID($A449,E449+E$2+1,F449-E449-E$2-1),",","."))</f>
        <v>0.90957602214449496</v>
      </c>
      <c r="Y449" s="4">
        <f>VALUE(SUBSTITUTE(MID($A449,F449+F$2+1,G449-F449-F$2-1),",","."))</f>
        <v>0.316608152175611</v>
      </c>
      <c r="Z449" s="3">
        <f>VALUE(SUBSTITUTE(MID($A449,G449+G$2+1,H449-G449-G$2-1),",","."))</f>
        <v>54.5833333333333</v>
      </c>
      <c r="AA449" s="3">
        <f>VALUE(SUBSTITUTE(MID($A449,H449+H$2+1,I449-H449-H$2-1),",","."))</f>
        <v>0</v>
      </c>
      <c r="AB449" s="3">
        <f>VALUE(SUBSTITUTE(MID($A449,I449+I$2+1,J449-I449-I$2-1),",","."))</f>
        <v>94.5</v>
      </c>
      <c r="AC449" s="3">
        <f>VALUE(SUBSTITUTE(MID($A449,J449+J$2+1,K449-J449-J$2-1),",","."))</f>
        <v>3.05</v>
      </c>
      <c r="AD449" s="3">
        <f>VALUE(SUBSTITUTE(MID($A449,K449+K$2+1,L449-K449-K$2-1),",","."))</f>
        <v>19.259999999999899</v>
      </c>
      <c r="AE449" s="3">
        <f>VALUE(SUBSTITUTE(MID($A449,L449+L$2+1,M449-L449-L$2-1),",","."))</f>
        <v>0</v>
      </c>
      <c r="AF449" s="3">
        <f>VALUE(SUBSTITUTE(MID($A449,M449+M$2+1,N449-M449-M$2-1),",","."))</f>
        <v>0</v>
      </c>
      <c r="AG449" s="3">
        <f>VALUE(SUBSTITUTE(MID($A449,N449+N$2+1,O449-N449-N$2-1),",","."))</f>
        <v>4.2161806147628402</v>
      </c>
      <c r="AH449" t="str">
        <f>MID($A449,O449+O$2+1,P449-O449-O$2-1)</f>
        <v/>
      </c>
      <c r="AI449" s="8" t="str">
        <f>MID($A449,P449+P$2+1,Q449-P449-P$2-1)</f>
        <v>False</v>
      </c>
      <c r="AK449" t="b">
        <f t="shared" si="57"/>
        <v>1</v>
      </c>
    </row>
    <row r="450" spans="1:37" x14ac:dyDescent="0.35">
      <c r="A450" t="s">
        <v>4997</v>
      </c>
      <c r="B450">
        <f t="shared" si="65"/>
        <v>10</v>
      </c>
      <c r="C450">
        <f t="shared" si="65"/>
        <v>43</v>
      </c>
      <c r="D450">
        <f t="shared" si="65"/>
        <v>54</v>
      </c>
      <c r="E450">
        <f t="shared" si="65"/>
        <v>97</v>
      </c>
      <c r="F450">
        <f t="shared" si="65"/>
        <v>141</v>
      </c>
      <c r="G450">
        <f t="shared" si="65"/>
        <v>179</v>
      </c>
      <c r="H450">
        <f t="shared" si="64"/>
        <v>227</v>
      </c>
      <c r="I450">
        <f t="shared" si="64"/>
        <v>249</v>
      </c>
      <c r="J450">
        <f t="shared" si="64"/>
        <v>285</v>
      </c>
      <c r="K450">
        <f t="shared" si="64"/>
        <v>305</v>
      </c>
      <c r="L450">
        <f t="shared" si="64"/>
        <v>337</v>
      </c>
      <c r="M450">
        <f t="shared" si="64"/>
        <v>352</v>
      </c>
      <c r="N450">
        <f t="shared" si="64"/>
        <v>364</v>
      </c>
      <c r="O450">
        <f t="shared" si="64"/>
        <v>389</v>
      </c>
      <c r="P450">
        <f t="shared" si="64"/>
        <v>407</v>
      </c>
      <c r="Q450">
        <f t="shared" si="63"/>
        <v>433</v>
      </c>
      <c r="S450" t="str">
        <f t="shared" si="61"/>
        <v>01.12.2025</v>
      </c>
      <c r="T450" t="str">
        <f t="shared" si="62"/>
        <v>11:00:00</v>
      </c>
      <c r="U450" t="str">
        <f t="shared" si="56"/>
        <v>01.12.2025 11:00:00</v>
      </c>
      <c r="V450" s="9" t="str">
        <f>MID($A450,C450+C$2+1,D450-C450-C$2-1)</f>
        <v>0</v>
      </c>
      <c r="W450" s="4">
        <f>VALUE(SUBSTITUTE(MID($A450,D450+D$2+1,E450-D450-D$2-1),",","."))</f>
        <v>0.80937352654796102</v>
      </c>
      <c r="X450" s="4">
        <f>VALUE(SUBSTITUTE(MID($A450,E450+E$2+1,F450-E450-E$2-1),",","."))</f>
        <v>0.90957602214449496</v>
      </c>
      <c r="Y450" s="4">
        <f>VALUE(SUBSTITUTE(MID($A450,F450+F$2+1,G450-F450-F$2-1),",","."))</f>
        <v>0.32958554503867599</v>
      </c>
      <c r="Z450" s="3">
        <f>VALUE(SUBSTITUTE(MID($A450,G450+G$2+1,H450-G450-G$2-1),",","."))</f>
        <v>54.5833333333333</v>
      </c>
      <c r="AA450" s="3">
        <f>VALUE(SUBSTITUTE(MID($A450,H450+H$2+1,I450-H450-H$2-1),",","."))</f>
        <v>0</v>
      </c>
      <c r="AB450" s="3">
        <f>VALUE(SUBSTITUTE(MID($A450,I450+I$2+1,J450-I450-I$2-1),",","."))</f>
        <v>94.5</v>
      </c>
      <c r="AC450" s="3">
        <f>VALUE(SUBSTITUTE(MID($A450,J450+J$2+1,K450-J450-J$2-1),",","."))</f>
        <v>3.05</v>
      </c>
      <c r="AD450" s="3">
        <f>VALUE(SUBSTITUTE(MID($A450,K450+K$2+1,L450-K450-K$2-1),",","."))</f>
        <v>19.259999999999899</v>
      </c>
      <c r="AE450" s="3">
        <f>VALUE(SUBSTITUTE(MID($A450,L450+L$2+1,M450-L450-L$2-1),",","."))</f>
        <v>0</v>
      </c>
      <c r="AF450" s="3">
        <f>VALUE(SUBSTITUTE(MID($A450,M450+M$2+1,N450-M450-M$2-1),",","."))</f>
        <v>0</v>
      </c>
      <c r="AG450" s="3">
        <f>VALUE(SUBSTITUTE(MID($A450,N450+N$2+1,O450-N450-N$2-1),",","."))</f>
        <v>4.2162091346509198</v>
      </c>
      <c r="AH450" t="str">
        <f>MID($A450,O450+O$2+1,P450-O450-O$2-1)</f>
        <v/>
      </c>
      <c r="AI450" s="8" t="str">
        <f>MID($A450,P450+P$2+1,Q450-P450-P$2-1)</f>
        <v>False</v>
      </c>
      <c r="AK450" t="b">
        <f t="shared" si="57"/>
        <v>1</v>
      </c>
    </row>
    <row r="451" spans="1:37" x14ac:dyDescent="0.35">
      <c r="A451" t="s">
        <v>4998</v>
      </c>
      <c r="B451">
        <f t="shared" si="65"/>
        <v>10</v>
      </c>
      <c r="C451">
        <f t="shared" si="65"/>
        <v>43</v>
      </c>
      <c r="D451">
        <f t="shared" si="65"/>
        <v>54</v>
      </c>
      <c r="E451">
        <f t="shared" si="65"/>
        <v>97</v>
      </c>
      <c r="F451">
        <f t="shared" si="65"/>
        <v>141</v>
      </c>
      <c r="G451">
        <f t="shared" si="65"/>
        <v>178</v>
      </c>
      <c r="H451">
        <f t="shared" si="64"/>
        <v>226</v>
      </c>
      <c r="I451">
        <f t="shared" si="64"/>
        <v>248</v>
      </c>
      <c r="J451">
        <f t="shared" si="64"/>
        <v>284</v>
      </c>
      <c r="K451">
        <f t="shared" si="64"/>
        <v>304</v>
      </c>
      <c r="L451">
        <f t="shared" si="64"/>
        <v>336</v>
      </c>
      <c r="M451">
        <f t="shared" si="64"/>
        <v>351</v>
      </c>
      <c r="N451">
        <f t="shared" si="64"/>
        <v>363</v>
      </c>
      <c r="O451">
        <f t="shared" si="64"/>
        <v>388</v>
      </c>
      <c r="P451">
        <f t="shared" si="64"/>
        <v>406</v>
      </c>
      <c r="Q451">
        <f t="shared" si="63"/>
        <v>432</v>
      </c>
      <c r="S451" t="str">
        <f t="shared" si="61"/>
        <v>01.12.2025</v>
      </c>
      <c r="T451" t="str">
        <f t="shared" si="62"/>
        <v>11:15:00</v>
      </c>
      <c r="U451" t="str">
        <f t="shared" si="56"/>
        <v>01.12.2025 11:15:00</v>
      </c>
      <c r="V451" s="9" t="str">
        <f>MID($A451,C451+C$2+1,D451-C451-C$2-1)</f>
        <v>0</v>
      </c>
      <c r="W451" s="4">
        <f>VALUE(SUBSTITUTE(MID($A451,D451+D$2+1,E451-D451-D$2-1),",","."))</f>
        <v>0.81167910475998495</v>
      </c>
      <c r="X451" s="4">
        <f>VALUE(SUBSTITUTE(MID($A451,E451+E$2+1,F451-E451-E$2-1),",","."))</f>
        <v>0.90957602214449496</v>
      </c>
      <c r="Y451" s="4">
        <f>VALUE(SUBSTITUTE(MID($A451,F451+F$2+1,G451-F451-F$2-1),",","."))</f>
        <v>0.339992768615478</v>
      </c>
      <c r="Z451" s="3">
        <f>VALUE(SUBSTITUTE(MID($A451,G451+G$2+1,H451-G451-G$2-1),",","."))</f>
        <v>54.5833333333333</v>
      </c>
      <c r="AA451" s="3">
        <f>VALUE(SUBSTITUTE(MID($A451,H451+H$2+1,I451-H451-H$2-1),",","."))</f>
        <v>0</v>
      </c>
      <c r="AB451" s="3">
        <f>VALUE(SUBSTITUTE(MID($A451,I451+I$2+1,J451-I451-I$2-1),",","."))</f>
        <v>94.5</v>
      </c>
      <c r="AC451" s="3">
        <f>VALUE(SUBSTITUTE(MID($A451,J451+J$2+1,K451-J451-J$2-1),",","."))</f>
        <v>3.05</v>
      </c>
      <c r="AD451" s="3">
        <f>VALUE(SUBSTITUTE(MID($A451,K451+K$2+1,L451-K451-K$2-1),",","."))</f>
        <v>19.259999999999899</v>
      </c>
      <c r="AE451" s="3">
        <f>VALUE(SUBSTITUTE(MID($A451,L451+L$2+1,M451-L451-L$2-1),",","."))</f>
        <v>0</v>
      </c>
      <c r="AF451" s="3">
        <f>VALUE(SUBSTITUTE(MID($A451,M451+M$2+1,N451-M451-M$2-1),",","."))</f>
        <v>0</v>
      </c>
      <c r="AG451" s="3">
        <f>VALUE(SUBSTITUTE(MID($A451,N451+N$2+1,O451-N451-N$2-1),",","."))</f>
        <v>4.2162376545390003</v>
      </c>
      <c r="AH451" t="str">
        <f>MID($A451,O451+O$2+1,P451-O451-O$2-1)</f>
        <v/>
      </c>
      <c r="AI451" s="8" t="str">
        <f>MID($A451,P451+P$2+1,Q451-P451-P$2-1)</f>
        <v>False</v>
      </c>
      <c r="AK451" t="b">
        <f t="shared" si="57"/>
        <v>1</v>
      </c>
    </row>
    <row r="452" spans="1:37" x14ac:dyDescent="0.35">
      <c r="A452" t="s">
        <v>4999</v>
      </c>
      <c r="B452">
        <f t="shared" si="65"/>
        <v>10</v>
      </c>
      <c r="C452">
        <f t="shared" si="65"/>
        <v>43</v>
      </c>
      <c r="D452">
        <f t="shared" si="65"/>
        <v>54</v>
      </c>
      <c r="E452">
        <f t="shared" si="65"/>
        <v>97</v>
      </c>
      <c r="F452">
        <f t="shared" si="65"/>
        <v>141</v>
      </c>
      <c r="G452">
        <f t="shared" si="65"/>
        <v>179</v>
      </c>
      <c r="H452">
        <f t="shared" si="64"/>
        <v>215</v>
      </c>
      <c r="I452">
        <f t="shared" si="64"/>
        <v>237</v>
      </c>
      <c r="J452">
        <f t="shared" si="64"/>
        <v>272</v>
      </c>
      <c r="K452">
        <f t="shared" si="64"/>
        <v>292</v>
      </c>
      <c r="L452">
        <f t="shared" si="64"/>
        <v>311</v>
      </c>
      <c r="M452">
        <f t="shared" si="64"/>
        <v>326</v>
      </c>
      <c r="N452">
        <f t="shared" si="64"/>
        <v>338</v>
      </c>
      <c r="O452">
        <f t="shared" si="64"/>
        <v>363</v>
      </c>
      <c r="P452">
        <f t="shared" si="64"/>
        <v>381</v>
      </c>
      <c r="Q452">
        <f t="shared" si="63"/>
        <v>407</v>
      </c>
      <c r="S452" t="str">
        <f t="shared" si="61"/>
        <v>01.12.2025</v>
      </c>
      <c r="T452" t="str">
        <f t="shared" si="62"/>
        <v>11:30:00</v>
      </c>
      <c r="U452" t="str">
        <f t="shared" ref="U452:U515" si="66">MID($A452,B452+B$2+1,C452-B452-B$2-1)</f>
        <v>01.12.2025 11:30:00</v>
      </c>
      <c r="V452" s="9" t="str">
        <f>MID($A452,C452+C$2+1,D452-C452-C$2-1)</f>
        <v>0</v>
      </c>
      <c r="W452" s="4">
        <f>VALUE(SUBSTITUTE(MID($A452,D452+D$2+1,E452-D452-D$2-1),",","."))</f>
        <v>0.81013675686090703</v>
      </c>
      <c r="X452" s="4">
        <f>VALUE(SUBSTITUTE(MID($A452,E452+E$2+1,F452-E452-E$2-1),",","."))</f>
        <v>0.90957602214449496</v>
      </c>
      <c r="Y452" s="4">
        <f>VALUE(SUBSTITUTE(MID($A452,F452+F$2+1,G452-F452-F$2-1),",","."))</f>
        <v>0.34778395213720198</v>
      </c>
      <c r="Z452" s="3">
        <f>VALUE(SUBSTITUTE(MID($A452,G452+G$2+1,H452-G452-G$2-1),",","."))</f>
        <v>88.75</v>
      </c>
      <c r="AA452" s="3">
        <f>VALUE(SUBSTITUTE(MID($A452,H452+H$2+1,I452-H452-H$2-1),",","."))</f>
        <v>0</v>
      </c>
      <c r="AB452" s="3">
        <f>VALUE(SUBSTITUTE(MID($A452,I452+I$2+1,J452-I452-I$2-1),",","."))</f>
        <v>116</v>
      </c>
      <c r="AC452" s="3">
        <f>VALUE(SUBSTITUTE(MID($A452,J452+J$2+1,K452-J452-J$2-1),",","."))</f>
        <v>3.35</v>
      </c>
      <c r="AD452" s="3">
        <f>VALUE(SUBSTITUTE(MID($A452,K452+K$2+1,L452-K452-K$2-1),",","."))</f>
        <v>17.28</v>
      </c>
      <c r="AE452" s="3">
        <f>VALUE(SUBSTITUTE(MID($A452,L452+L$2+1,M452-L452-L$2-1),",","."))</f>
        <v>0</v>
      </c>
      <c r="AF452" s="3">
        <f>VALUE(SUBSTITUTE(MID($A452,M452+M$2+1,N452-M452-M$2-1),",","."))</f>
        <v>0</v>
      </c>
      <c r="AG452" s="3">
        <f>VALUE(SUBSTITUTE(MID($A452,N452+N$2+1,O452-N452-N$2-1),",","."))</f>
        <v>4.21626617442708</v>
      </c>
      <c r="AH452" t="str">
        <f>MID($A452,O452+O$2+1,P452-O452-O$2-1)</f>
        <v/>
      </c>
      <c r="AI452" s="8" t="str">
        <f>MID($A452,P452+P$2+1,Q452-P452-P$2-1)</f>
        <v>False</v>
      </c>
      <c r="AK452" t="b">
        <f t="shared" ref="AK452:AK515" si="67">AB452&gt;Z452</f>
        <v>1</v>
      </c>
    </row>
    <row r="453" spans="1:37" x14ac:dyDescent="0.35">
      <c r="A453" t="s">
        <v>5000</v>
      </c>
      <c r="B453">
        <f t="shared" si="65"/>
        <v>10</v>
      </c>
      <c r="C453">
        <f t="shared" si="65"/>
        <v>43</v>
      </c>
      <c r="D453">
        <f t="shared" si="65"/>
        <v>54</v>
      </c>
      <c r="E453">
        <f t="shared" si="65"/>
        <v>96</v>
      </c>
      <c r="F453">
        <f t="shared" si="65"/>
        <v>140</v>
      </c>
      <c r="G453">
        <f t="shared" si="65"/>
        <v>178</v>
      </c>
      <c r="H453">
        <f t="shared" si="64"/>
        <v>214</v>
      </c>
      <c r="I453">
        <f t="shared" si="64"/>
        <v>236</v>
      </c>
      <c r="J453">
        <f t="shared" si="64"/>
        <v>271</v>
      </c>
      <c r="K453">
        <f t="shared" si="64"/>
        <v>291</v>
      </c>
      <c r="L453">
        <f t="shared" si="64"/>
        <v>310</v>
      </c>
      <c r="M453">
        <f t="shared" si="64"/>
        <v>325</v>
      </c>
      <c r="N453">
        <f t="shared" si="64"/>
        <v>337</v>
      </c>
      <c r="O453">
        <f t="shared" si="64"/>
        <v>362</v>
      </c>
      <c r="P453">
        <f t="shared" si="64"/>
        <v>380</v>
      </c>
      <c r="Q453">
        <f t="shared" si="63"/>
        <v>406</v>
      </c>
      <c r="S453" t="str">
        <f t="shared" si="61"/>
        <v>01.12.2025</v>
      </c>
      <c r="T453" t="str">
        <f t="shared" si="62"/>
        <v>11:45:00</v>
      </c>
      <c r="U453" t="str">
        <f t="shared" si="66"/>
        <v>01.12.2025 11:45:00</v>
      </c>
      <c r="V453" s="9" t="str">
        <f>MID($A453,C453+C$2+1,D453-C453-C$2-1)</f>
        <v>0</v>
      </c>
      <c r="W453" s="4">
        <f>VALUE(SUBSTITUTE(MID($A453,D453+D$2+1,E453-D453-D$2-1),",","."))</f>
        <v>0.80475241839227396</v>
      </c>
      <c r="X453" s="4">
        <f>VALUE(SUBSTITUTE(MID($A453,E453+E$2+1,F453-E453-E$2-1),",","."))</f>
        <v>0.90957602214449496</v>
      </c>
      <c r="Y453" s="4">
        <f>VALUE(SUBSTITUTE(MID($A453,F453+F$2+1,G453-F453-F$2-1),",","."))</f>
        <v>0.35292485381427602</v>
      </c>
      <c r="Z453" s="3">
        <f>VALUE(SUBSTITUTE(MID($A453,G453+G$2+1,H453-G453-G$2-1),",","."))</f>
        <v>88.75</v>
      </c>
      <c r="AA453" s="3">
        <f>VALUE(SUBSTITUTE(MID($A453,H453+H$2+1,I453-H453-H$2-1),",","."))</f>
        <v>0</v>
      </c>
      <c r="AB453" s="3">
        <f>VALUE(SUBSTITUTE(MID($A453,I453+I$2+1,J453-I453-I$2-1),",","."))</f>
        <v>116</v>
      </c>
      <c r="AC453" s="3">
        <f>VALUE(SUBSTITUTE(MID($A453,J453+J$2+1,K453-J453-J$2-1),",","."))</f>
        <v>3.35</v>
      </c>
      <c r="AD453" s="3">
        <f>VALUE(SUBSTITUTE(MID($A453,K453+K$2+1,L453-K453-K$2-1),",","."))</f>
        <v>17.28</v>
      </c>
      <c r="AE453" s="3">
        <f>VALUE(SUBSTITUTE(MID($A453,L453+L$2+1,M453-L453-L$2-1),",","."))</f>
        <v>0</v>
      </c>
      <c r="AF453" s="3">
        <f>VALUE(SUBSTITUTE(MID($A453,M453+M$2+1,N453-M453-M$2-1),",","."))</f>
        <v>0</v>
      </c>
      <c r="AG453" s="3">
        <f>VALUE(SUBSTITUTE(MID($A453,N453+N$2+1,O453-N453-N$2-1),",","."))</f>
        <v>4.2162946943151596</v>
      </c>
      <c r="AH453" t="str">
        <f>MID($A453,O453+O$2+1,P453-O453-O$2-1)</f>
        <v/>
      </c>
      <c r="AI453" s="8" t="str">
        <f>MID($A453,P453+P$2+1,Q453-P453-P$2-1)</f>
        <v>False</v>
      </c>
      <c r="AK453" t="b">
        <f t="shared" si="67"/>
        <v>1</v>
      </c>
    </row>
    <row r="454" spans="1:37" x14ac:dyDescent="0.35">
      <c r="A454" t="s">
        <v>5001</v>
      </c>
      <c r="B454">
        <f t="shared" si="65"/>
        <v>10</v>
      </c>
      <c r="C454">
        <f t="shared" si="65"/>
        <v>43</v>
      </c>
      <c r="D454">
        <f t="shared" si="65"/>
        <v>54</v>
      </c>
      <c r="E454">
        <f t="shared" si="65"/>
        <v>97</v>
      </c>
      <c r="F454">
        <f t="shared" si="65"/>
        <v>141</v>
      </c>
      <c r="G454">
        <f t="shared" si="65"/>
        <v>179</v>
      </c>
      <c r="H454">
        <f t="shared" si="64"/>
        <v>215</v>
      </c>
      <c r="I454">
        <f t="shared" si="64"/>
        <v>237</v>
      </c>
      <c r="J454">
        <f t="shared" si="64"/>
        <v>272</v>
      </c>
      <c r="K454">
        <f t="shared" si="64"/>
        <v>292</v>
      </c>
      <c r="L454">
        <f t="shared" si="64"/>
        <v>311</v>
      </c>
      <c r="M454">
        <f t="shared" si="64"/>
        <v>326</v>
      </c>
      <c r="N454">
        <f t="shared" si="64"/>
        <v>338</v>
      </c>
      <c r="O454">
        <f t="shared" si="64"/>
        <v>363</v>
      </c>
      <c r="P454">
        <f t="shared" si="64"/>
        <v>381</v>
      </c>
      <c r="Q454">
        <f t="shared" si="63"/>
        <v>407</v>
      </c>
      <c r="S454" t="str">
        <f t="shared" si="61"/>
        <v>01.12.2025</v>
      </c>
      <c r="T454" t="str">
        <f t="shared" si="62"/>
        <v>12:00:00</v>
      </c>
      <c r="U454" t="str">
        <f t="shared" si="66"/>
        <v>01.12.2025 12:00:00</v>
      </c>
      <c r="V454" s="9" t="str">
        <f>MID($A454,C454+C$2+1,D454-C454-C$2-1)</f>
        <v>0</v>
      </c>
      <c r="W454" s="4">
        <f>VALUE(SUBSTITUTE(MID($A454,D454+D$2+1,E454-D454-D$2-1),",","."))</f>
        <v>0.79554874976742496</v>
      </c>
      <c r="X454" s="4">
        <f>VALUE(SUBSTITUTE(MID($A454,E454+E$2+1,F454-E454-E$2-1),",","."))</f>
        <v>0.90957602214449496</v>
      </c>
      <c r="Y454" s="4">
        <f>VALUE(SUBSTITUTE(MID($A454,F454+F$2+1,G454-F454-F$2-1),",","."))</f>
        <v>0.35539291625587</v>
      </c>
      <c r="Z454" s="3">
        <f>VALUE(SUBSTITUTE(MID($A454,G454+G$2+1,H454-G454-G$2-1),",","."))</f>
        <v>88.75</v>
      </c>
      <c r="AA454" s="3">
        <f>VALUE(SUBSTITUTE(MID($A454,H454+H$2+1,I454-H454-H$2-1),",","."))</f>
        <v>0</v>
      </c>
      <c r="AB454" s="3">
        <f>VALUE(SUBSTITUTE(MID($A454,I454+I$2+1,J454-I454-I$2-1),",","."))</f>
        <v>116</v>
      </c>
      <c r="AC454" s="3">
        <f>VALUE(SUBSTITUTE(MID($A454,J454+J$2+1,K454-J454-J$2-1),",","."))</f>
        <v>3.35</v>
      </c>
      <c r="AD454" s="3">
        <f>VALUE(SUBSTITUTE(MID($A454,K454+K$2+1,L454-K454-K$2-1),",","."))</f>
        <v>17.28</v>
      </c>
      <c r="AE454" s="3">
        <f>VALUE(SUBSTITUTE(MID($A454,L454+L$2+1,M454-L454-L$2-1),",","."))</f>
        <v>0</v>
      </c>
      <c r="AF454" s="3">
        <f>VALUE(SUBSTITUTE(MID($A454,M454+M$2+1,N454-M454-M$2-1),",","."))</f>
        <v>0</v>
      </c>
      <c r="AG454" s="3">
        <f>VALUE(SUBSTITUTE(MID($A454,N454+N$2+1,O454-N454-N$2-1),",","."))</f>
        <v>4.2163232142032498</v>
      </c>
      <c r="AH454" t="str">
        <f>MID($A454,O454+O$2+1,P454-O454-O$2-1)</f>
        <v/>
      </c>
      <c r="AI454" s="8" t="str">
        <f>MID($A454,P454+P$2+1,Q454-P454-P$2-1)</f>
        <v>False</v>
      </c>
      <c r="AK454" t="b">
        <f t="shared" si="67"/>
        <v>1</v>
      </c>
    </row>
    <row r="455" spans="1:37" x14ac:dyDescent="0.35">
      <c r="A455" t="s">
        <v>5002</v>
      </c>
      <c r="B455">
        <f t="shared" si="65"/>
        <v>10</v>
      </c>
      <c r="C455">
        <f t="shared" si="65"/>
        <v>43</v>
      </c>
      <c r="D455">
        <f t="shared" si="65"/>
        <v>54</v>
      </c>
      <c r="E455">
        <f t="shared" si="65"/>
        <v>97</v>
      </c>
      <c r="F455">
        <f t="shared" si="65"/>
        <v>141</v>
      </c>
      <c r="G455">
        <f t="shared" si="65"/>
        <v>180</v>
      </c>
      <c r="H455">
        <f t="shared" si="64"/>
        <v>216</v>
      </c>
      <c r="I455">
        <f t="shared" si="64"/>
        <v>238</v>
      </c>
      <c r="J455">
        <f t="shared" si="64"/>
        <v>273</v>
      </c>
      <c r="K455">
        <f t="shared" si="64"/>
        <v>293</v>
      </c>
      <c r="L455">
        <f t="shared" si="64"/>
        <v>312</v>
      </c>
      <c r="M455">
        <f t="shared" si="64"/>
        <v>327</v>
      </c>
      <c r="N455">
        <f t="shared" si="64"/>
        <v>339</v>
      </c>
      <c r="O455">
        <f t="shared" si="64"/>
        <v>364</v>
      </c>
      <c r="P455">
        <f t="shared" si="64"/>
        <v>382</v>
      </c>
      <c r="Q455">
        <f t="shared" si="63"/>
        <v>408</v>
      </c>
      <c r="S455" t="str">
        <f t="shared" si="61"/>
        <v>01.12.2025</v>
      </c>
      <c r="T455" t="str">
        <f t="shared" si="62"/>
        <v>12:15:00</v>
      </c>
      <c r="U455" t="str">
        <f t="shared" si="66"/>
        <v>01.12.2025 12:15:00</v>
      </c>
      <c r="V455" s="9" t="str">
        <f>MID($A455,C455+C$2+1,D455-C455-C$2-1)</f>
        <v>0</v>
      </c>
      <c r="W455" s="4">
        <f>VALUE(SUBSTITUTE(MID($A455,D455+D$2+1,E455-D455-D$2-1),",","."))</f>
        <v>0.78256499580488403</v>
      </c>
      <c r="X455" s="4">
        <f>VALUE(SUBSTITUTE(MID($A455,E455+E$2+1,F455-E455-E$2-1),",","."))</f>
        <v>0.90957602214449496</v>
      </c>
      <c r="Y455" s="4">
        <f>VALUE(SUBSTITUTE(MID($A455,F455+F$2+1,G455-F455-F$2-1),",","."))</f>
        <v>0.35517731091112098</v>
      </c>
      <c r="Z455" s="3">
        <f>VALUE(SUBSTITUTE(MID($A455,G455+G$2+1,H455-G455-G$2-1),",","."))</f>
        <v>88.75</v>
      </c>
      <c r="AA455" s="3">
        <f>VALUE(SUBSTITUTE(MID($A455,H455+H$2+1,I455-H455-H$2-1),",","."))</f>
        <v>0</v>
      </c>
      <c r="AB455" s="3">
        <f>VALUE(SUBSTITUTE(MID($A455,I455+I$2+1,J455-I455-I$2-1),",","."))</f>
        <v>116</v>
      </c>
      <c r="AC455" s="3">
        <f>VALUE(SUBSTITUTE(MID($A455,J455+J$2+1,K455-J455-J$2-1),",","."))</f>
        <v>3.35</v>
      </c>
      <c r="AD455" s="3">
        <f>VALUE(SUBSTITUTE(MID($A455,K455+K$2+1,L455-K455-K$2-1),",","."))</f>
        <v>17.28</v>
      </c>
      <c r="AE455" s="3">
        <f>VALUE(SUBSTITUTE(MID($A455,L455+L$2+1,M455-L455-L$2-1),",","."))</f>
        <v>0</v>
      </c>
      <c r="AF455" s="3">
        <f>VALUE(SUBSTITUTE(MID($A455,M455+M$2+1,N455-M455-M$2-1),",","."))</f>
        <v>0</v>
      </c>
      <c r="AG455" s="3">
        <f>VALUE(SUBSTITUTE(MID($A455,N455+N$2+1,O455-N455-N$2-1),",","."))</f>
        <v>4.2163517340913303</v>
      </c>
      <c r="AH455" t="str">
        <f>MID($A455,O455+O$2+1,P455-O455-O$2-1)</f>
        <v/>
      </c>
      <c r="AI455" s="8" t="str">
        <f>MID($A455,P455+P$2+1,Q455-P455-P$2-1)</f>
        <v>False</v>
      </c>
      <c r="AK455" t="b">
        <f t="shared" si="67"/>
        <v>1</v>
      </c>
    </row>
    <row r="456" spans="1:37" x14ac:dyDescent="0.35">
      <c r="A456" t="s">
        <v>5003</v>
      </c>
      <c r="B456">
        <f t="shared" si="65"/>
        <v>10</v>
      </c>
      <c r="C456">
        <f t="shared" si="65"/>
        <v>43</v>
      </c>
      <c r="D456">
        <f t="shared" si="65"/>
        <v>54</v>
      </c>
      <c r="E456">
        <f t="shared" si="65"/>
        <v>95</v>
      </c>
      <c r="F456">
        <f t="shared" si="65"/>
        <v>139</v>
      </c>
      <c r="G456">
        <f t="shared" si="65"/>
        <v>177</v>
      </c>
      <c r="H456">
        <f t="shared" si="64"/>
        <v>226</v>
      </c>
      <c r="I456">
        <f t="shared" si="64"/>
        <v>248</v>
      </c>
      <c r="J456">
        <f t="shared" si="64"/>
        <v>285</v>
      </c>
      <c r="K456">
        <f t="shared" si="64"/>
        <v>305</v>
      </c>
      <c r="L456">
        <f t="shared" si="64"/>
        <v>323</v>
      </c>
      <c r="M456">
        <f t="shared" si="64"/>
        <v>338</v>
      </c>
      <c r="N456">
        <f t="shared" si="64"/>
        <v>350</v>
      </c>
      <c r="O456">
        <f t="shared" si="64"/>
        <v>376</v>
      </c>
      <c r="P456">
        <f t="shared" si="64"/>
        <v>394</v>
      </c>
      <c r="Q456">
        <f t="shared" si="63"/>
        <v>420</v>
      </c>
      <c r="S456" t="str">
        <f t="shared" si="61"/>
        <v>01.12.2025</v>
      </c>
      <c r="T456" t="str">
        <f t="shared" si="62"/>
        <v>12:30:00</v>
      </c>
      <c r="U456" t="str">
        <f t="shared" si="66"/>
        <v>01.12.2025 12:30:00</v>
      </c>
      <c r="V456" s="9" t="str">
        <f>MID($A456,C456+C$2+1,D456-C456-C$2-1)</f>
        <v>0</v>
      </c>
      <c r="W456" s="4">
        <f>VALUE(SUBSTITUTE(MID($A456,D456+D$2+1,E456-D456-D$2-1),",","."))</f>
        <v>0.76585679822921005</v>
      </c>
      <c r="X456" s="4">
        <f>VALUE(SUBSTITUTE(MID($A456,E456+E$2+1,F456-E456-E$2-1),",","."))</f>
        <v>0.90957602214449496</v>
      </c>
      <c r="Y456" s="4">
        <f>VALUE(SUBSTITUTE(MID($A456,F456+F$2+1,G456-F456-F$2-1),",","."))</f>
        <v>0.35227896131257302</v>
      </c>
      <c r="Z456" s="3">
        <f>VALUE(SUBSTITUTE(MID($A456,G456+G$2+1,H456-G456-G$2-1),",","."))</f>
        <v>111.466666666666</v>
      </c>
      <c r="AA456" s="3">
        <f>VALUE(SUBSTITUTE(MID($A456,H456+H$2+1,I456-H456-H$2-1),",","."))</f>
        <v>0</v>
      </c>
      <c r="AB456" s="3">
        <f>VALUE(SUBSTITUTE(MID($A456,I456+I$2+1,J456-I456-I$2-1),",","."))</f>
        <v>121.5</v>
      </c>
      <c r="AC456" s="3">
        <f>VALUE(SUBSTITUTE(MID($A456,J456+J$2+1,K456-J456-J$2-1),",","."))</f>
        <v>3.55</v>
      </c>
      <c r="AD456" s="3">
        <f>VALUE(SUBSTITUTE(MID($A456,K456+K$2+1,L456-K456-K$2-1),",","."))</f>
        <v>15.3</v>
      </c>
      <c r="AE456" s="3">
        <f>VALUE(SUBSTITUTE(MID($A456,L456+L$2+1,M456-L456-L$2-1),",","."))</f>
        <v>0</v>
      </c>
      <c r="AF456" s="3">
        <f>VALUE(SUBSTITUTE(MID($A456,M456+M$2+1,N456-M456-M$2-1),",","."))</f>
        <v>0</v>
      </c>
      <c r="AG456" s="3">
        <f>VALUE(SUBSTITUTE(MID($A456,N456+N$2+1,O456-N456-N$2-1),",","."))</f>
        <v>4.21638025397941</v>
      </c>
      <c r="AH456" t="str">
        <f>MID($A456,O456+O$2+1,P456-O456-O$2-1)</f>
        <v/>
      </c>
      <c r="AI456" s="8" t="str">
        <f>MID($A456,P456+P$2+1,Q456-P456-P$2-1)</f>
        <v>False</v>
      </c>
      <c r="AK456" t="b">
        <f t="shared" si="67"/>
        <v>1</v>
      </c>
    </row>
    <row r="457" spans="1:37" x14ac:dyDescent="0.35">
      <c r="A457" t="s">
        <v>5004</v>
      </c>
      <c r="B457">
        <f t="shared" si="65"/>
        <v>10</v>
      </c>
      <c r="C457">
        <f t="shared" si="65"/>
        <v>43</v>
      </c>
      <c r="D457">
        <f t="shared" si="65"/>
        <v>54</v>
      </c>
      <c r="E457">
        <f t="shared" si="65"/>
        <v>96</v>
      </c>
      <c r="F457">
        <f t="shared" si="65"/>
        <v>140</v>
      </c>
      <c r="G457">
        <f t="shared" si="65"/>
        <v>177</v>
      </c>
      <c r="H457">
        <f t="shared" si="64"/>
        <v>226</v>
      </c>
      <c r="I457">
        <f t="shared" si="64"/>
        <v>248</v>
      </c>
      <c r="J457">
        <f t="shared" si="64"/>
        <v>285</v>
      </c>
      <c r="K457">
        <f t="shared" si="64"/>
        <v>305</v>
      </c>
      <c r="L457">
        <f t="shared" si="64"/>
        <v>323</v>
      </c>
      <c r="M457">
        <f t="shared" si="64"/>
        <v>338</v>
      </c>
      <c r="N457">
        <f t="shared" si="64"/>
        <v>350</v>
      </c>
      <c r="O457">
        <f t="shared" si="64"/>
        <v>375</v>
      </c>
      <c r="P457">
        <f t="shared" si="64"/>
        <v>393</v>
      </c>
      <c r="Q457">
        <f t="shared" si="63"/>
        <v>419</v>
      </c>
      <c r="S457" t="str">
        <f t="shared" si="61"/>
        <v>01.12.2025</v>
      </c>
      <c r="T457" t="str">
        <f t="shared" si="62"/>
        <v>12:45:00</v>
      </c>
      <c r="U457" t="str">
        <f t="shared" si="66"/>
        <v>01.12.2025 12:45:00</v>
      </c>
      <c r="V457" s="9" t="str">
        <f>MID($A457,C457+C$2+1,D457-C457-C$2-1)</f>
        <v>0</v>
      </c>
      <c r="W457" s="4">
        <f>VALUE(SUBSTITUTE(MID($A457,D457+D$2+1,E457-D457-D$2-1),",","."))</f>
        <v>0.74549595855097195</v>
      </c>
      <c r="X457" s="4">
        <f>VALUE(SUBSTITUTE(MID($A457,E457+E$2+1,F457-E457-E$2-1),",","."))</f>
        <v>0.90957602214449496</v>
      </c>
      <c r="Y457" s="4">
        <f>VALUE(SUBSTITUTE(MID($A457,F457+F$2+1,G457-F457-F$2-1),",","."))</f>
        <v>0.34671054080282399</v>
      </c>
      <c r="Z457" s="3">
        <f>VALUE(SUBSTITUTE(MID($A457,G457+G$2+1,H457-G457-G$2-1),",","."))</f>
        <v>111.466666666666</v>
      </c>
      <c r="AA457" s="3">
        <f>VALUE(SUBSTITUTE(MID($A457,H457+H$2+1,I457-H457-H$2-1),",","."))</f>
        <v>0</v>
      </c>
      <c r="AB457" s="3">
        <f>VALUE(SUBSTITUTE(MID($A457,I457+I$2+1,J457-I457-I$2-1),",","."))</f>
        <v>121.5</v>
      </c>
      <c r="AC457" s="3">
        <f>VALUE(SUBSTITUTE(MID($A457,J457+J$2+1,K457-J457-J$2-1),",","."))</f>
        <v>3.55</v>
      </c>
      <c r="AD457" s="3">
        <f>VALUE(SUBSTITUTE(MID($A457,K457+K$2+1,L457-K457-K$2-1),",","."))</f>
        <v>15.3</v>
      </c>
      <c r="AE457" s="3">
        <f>VALUE(SUBSTITUTE(MID($A457,L457+L$2+1,M457-L457-L$2-1),",","."))</f>
        <v>0</v>
      </c>
      <c r="AF457" s="3">
        <f>VALUE(SUBSTITUTE(MID($A457,M457+M$2+1,N457-M457-M$2-1),",","."))</f>
        <v>0</v>
      </c>
      <c r="AG457" s="3">
        <f>VALUE(SUBSTITUTE(MID($A457,N457+N$2+1,O457-N457-N$2-1),",","."))</f>
        <v>4.2164087738674896</v>
      </c>
      <c r="AH457" t="str">
        <f>MID($A457,O457+O$2+1,P457-O457-O$2-1)</f>
        <v/>
      </c>
      <c r="AI457" s="8" t="str">
        <f>MID($A457,P457+P$2+1,Q457-P457-P$2-1)</f>
        <v>False</v>
      </c>
      <c r="AK457" t="b">
        <f t="shared" si="67"/>
        <v>1</v>
      </c>
    </row>
    <row r="458" spans="1:37" x14ac:dyDescent="0.35">
      <c r="A458" t="s">
        <v>5005</v>
      </c>
      <c r="B458">
        <f t="shared" si="65"/>
        <v>10</v>
      </c>
      <c r="C458">
        <f t="shared" si="65"/>
        <v>43</v>
      </c>
      <c r="D458">
        <f t="shared" si="65"/>
        <v>54</v>
      </c>
      <c r="E458">
        <f t="shared" si="65"/>
        <v>97</v>
      </c>
      <c r="F458">
        <f t="shared" si="65"/>
        <v>141</v>
      </c>
      <c r="G458">
        <f t="shared" si="65"/>
        <v>179</v>
      </c>
      <c r="H458">
        <f t="shared" si="64"/>
        <v>228</v>
      </c>
      <c r="I458">
        <f t="shared" si="64"/>
        <v>250</v>
      </c>
      <c r="J458">
        <f t="shared" si="64"/>
        <v>287</v>
      </c>
      <c r="K458">
        <f t="shared" si="64"/>
        <v>307</v>
      </c>
      <c r="L458">
        <f t="shared" si="64"/>
        <v>325</v>
      </c>
      <c r="M458">
        <f t="shared" si="64"/>
        <v>340</v>
      </c>
      <c r="N458">
        <f t="shared" si="64"/>
        <v>352</v>
      </c>
      <c r="O458">
        <f t="shared" si="64"/>
        <v>377</v>
      </c>
      <c r="P458">
        <f t="shared" si="64"/>
        <v>395</v>
      </c>
      <c r="Q458">
        <f t="shared" si="63"/>
        <v>421</v>
      </c>
      <c r="S458" t="str">
        <f t="shared" si="61"/>
        <v>01.12.2025</v>
      </c>
      <c r="T458" t="str">
        <f t="shared" si="62"/>
        <v>13:00:00</v>
      </c>
      <c r="U458" t="str">
        <f t="shared" si="66"/>
        <v>01.12.2025 13:00:00</v>
      </c>
      <c r="V458" s="9" t="str">
        <f>MID($A458,C458+C$2+1,D458-C458-C$2-1)</f>
        <v>0</v>
      </c>
      <c r="W458" s="4">
        <f>VALUE(SUBSTITUTE(MID($A458,D458+D$2+1,E458-D458-D$2-1),",","."))</f>
        <v>0.72157015259571899</v>
      </c>
      <c r="X458" s="4">
        <f>VALUE(SUBSTITUTE(MID($A458,E458+E$2+1,F458-E458-E$2-1),",","."))</f>
        <v>0.90957602214449496</v>
      </c>
      <c r="Y458" s="4">
        <f>VALUE(SUBSTITUTE(MID($A458,F458+F$2+1,G458-F458-F$2-1),",","."))</f>
        <v>0.33849644516610999</v>
      </c>
      <c r="Z458" s="3">
        <f>VALUE(SUBSTITUTE(MID($A458,G458+G$2+1,H458-G458-G$2-1),",","."))</f>
        <v>111.466666666666</v>
      </c>
      <c r="AA458" s="3">
        <f>VALUE(SUBSTITUTE(MID($A458,H458+H$2+1,I458-H458-H$2-1),",","."))</f>
        <v>0</v>
      </c>
      <c r="AB458" s="3">
        <f>VALUE(SUBSTITUTE(MID($A458,I458+I$2+1,J458-I458-I$2-1),",","."))</f>
        <v>121.5</v>
      </c>
      <c r="AC458" s="3">
        <f>VALUE(SUBSTITUTE(MID($A458,J458+J$2+1,K458-J458-J$2-1),",","."))</f>
        <v>3.55</v>
      </c>
      <c r="AD458" s="3">
        <f>VALUE(SUBSTITUTE(MID($A458,K458+K$2+1,L458-K458-K$2-1),",","."))</f>
        <v>15.3</v>
      </c>
      <c r="AE458" s="3">
        <f>VALUE(SUBSTITUTE(MID($A458,L458+L$2+1,M458-L458-L$2-1),",","."))</f>
        <v>0</v>
      </c>
      <c r="AF458" s="3">
        <f>VALUE(SUBSTITUTE(MID($A458,M458+M$2+1,N458-M458-M$2-1),",","."))</f>
        <v>0</v>
      </c>
      <c r="AG458" s="3">
        <f>VALUE(SUBSTITUTE(MID($A458,N458+N$2+1,O458-N458-N$2-1),",","."))</f>
        <v>4.2164372937555701</v>
      </c>
      <c r="AH458" t="str">
        <f>MID($A458,O458+O$2+1,P458-O458-O$2-1)</f>
        <v/>
      </c>
      <c r="AI458" s="8" t="str">
        <f>MID($A458,P458+P$2+1,Q458-P458-P$2-1)</f>
        <v>False</v>
      </c>
      <c r="AK458" t="b">
        <f t="shared" si="67"/>
        <v>1</v>
      </c>
    </row>
    <row r="459" spans="1:37" x14ac:dyDescent="0.35">
      <c r="A459" t="s">
        <v>5006</v>
      </c>
      <c r="B459">
        <f t="shared" si="65"/>
        <v>10</v>
      </c>
      <c r="C459">
        <f t="shared" si="65"/>
        <v>43</v>
      </c>
      <c r="D459">
        <f t="shared" si="65"/>
        <v>54</v>
      </c>
      <c r="E459">
        <f t="shared" si="65"/>
        <v>97</v>
      </c>
      <c r="F459">
        <f t="shared" si="65"/>
        <v>141</v>
      </c>
      <c r="G459">
        <f t="shared" si="65"/>
        <v>179</v>
      </c>
      <c r="H459">
        <f t="shared" si="64"/>
        <v>228</v>
      </c>
      <c r="I459">
        <f t="shared" si="64"/>
        <v>250</v>
      </c>
      <c r="J459">
        <f t="shared" si="64"/>
        <v>287</v>
      </c>
      <c r="K459">
        <f t="shared" si="64"/>
        <v>307</v>
      </c>
      <c r="L459">
        <f t="shared" si="64"/>
        <v>325</v>
      </c>
      <c r="M459">
        <f t="shared" si="64"/>
        <v>340</v>
      </c>
      <c r="N459">
        <f t="shared" si="64"/>
        <v>352</v>
      </c>
      <c r="O459">
        <f t="shared" si="64"/>
        <v>377</v>
      </c>
      <c r="P459">
        <f t="shared" si="64"/>
        <v>395</v>
      </c>
      <c r="Q459">
        <f t="shared" si="63"/>
        <v>421</v>
      </c>
      <c r="S459" t="str">
        <f t="shared" si="61"/>
        <v>01.12.2025</v>
      </c>
      <c r="T459" t="str">
        <f t="shared" si="62"/>
        <v>13:15:00</v>
      </c>
      <c r="U459" t="str">
        <f t="shared" si="66"/>
        <v>01.12.2025 13:15:00</v>
      </c>
      <c r="V459" s="9" t="str">
        <f>MID($A459,C459+C$2+1,D459-C459-C$2-1)</f>
        <v>0</v>
      </c>
      <c r="W459" s="4">
        <f>VALUE(SUBSTITUTE(MID($A459,D459+D$2+1,E459-D459-D$2-1),",","."))</f>
        <v>0.69418260180938096</v>
      </c>
      <c r="X459" s="4">
        <f>VALUE(SUBSTITUTE(MID($A459,E459+E$2+1,F459-E459-E$2-1),",","."))</f>
        <v>0.90957602214449496</v>
      </c>
      <c r="Y459" s="4">
        <f>VALUE(SUBSTITUTE(MID($A459,F459+F$2+1,G459-F459-F$2-1),",","."))</f>
        <v>0.32767274520707801</v>
      </c>
      <c r="Z459" s="3">
        <f>VALUE(SUBSTITUTE(MID($A459,G459+G$2+1,H459-G459-G$2-1),",","."))</f>
        <v>111.466666666666</v>
      </c>
      <c r="AA459" s="3">
        <f>VALUE(SUBSTITUTE(MID($A459,H459+H$2+1,I459-H459-H$2-1),",","."))</f>
        <v>0</v>
      </c>
      <c r="AB459" s="3">
        <f>VALUE(SUBSTITUTE(MID($A459,I459+I$2+1,J459-I459-I$2-1),",","."))</f>
        <v>121.5</v>
      </c>
      <c r="AC459" s="3">
        <f>VALUE(SUBSTITUTE(MID($A459,J459+J$2+1,K459-J459-J$2-1),",","."))</f>
        <v>3.55</v>
      </c>
      <c r="AD459" s="3">
        <f>VALUE(SUBSTITUTE(MID($A459,K459+K$2+1,L459-K459-K$2-1),",","."))</f>
        <v>15.3</v>
      </c>
      <c r="AE459" s="3">
        <f>VALUE(SUBSTITUTE(MID($A459,L459+L$2+1,M459-L459-L$2-1),",","."))</f>
        <v>0</v>
      </c>
      <c r="AF459" s="3">
        <f>VALUE(SUBSTITUTE(MID($A459,M459+M$2+1,N459-M459-M$2-1),",","."))</f>
        <v>0</v>
      </c>
      <c r="AG459" s="3">
        <f>VALUE(SUBSTITUTE(MID($A459,N459+N$2+1,O459-N459-N$2-1),",","."))</f>
        <v>4.2164658136436497</v>
      </c>
      <c r="AH459" t="str">
        <f>MID($A459,O459+O$2+1,P459-O459-O$2-1)</f>
        <v/>
      </c>
      <c r="AI459" s="8" t="str">
        <f>MID($A459,P459+P$2+1,Q459-P459-P$2-1)</f>
        <v>False</v>
      </c>
      <c r="AK459" t="b">
        <f t="shared" si="67"/>
        <v>1</v>
      </c>
    </row>
    <row r="460" spans="1:37" x14ac:dyDescent="0.35">
      <c r="A460" t="s">
        <v>5007</v>
      </c>
      <c r="B460">
        <f t="shared" si="65"/>
        <v>10</v>
      </c>
      <c r="C460">
        <f t="shared" si="65"/>
        <v>43</v>
      </c>
      <c r="D460">
        <f t="shared" si="65"/>
        <v>54</v>
      </c>
      <c r="E460">
        <f t="shared" si="65"/>
        <v>96</v>
      </c>
      <c r="F460">
        <f t="shared" si="65"/>
        <v>140</v>
      </c>
      <c r="G460">
        <f t="shared" si="65"/>
        <v>177</v>
      </c>
      <c r="H460">
        <f t="shared" si="64"/>
        <v>226</v>
      </c>
      <c r="I460">
        <f t="shared" si="64"/>
        <v>248</v>
      </c>
      <c r="J460">
        <f t="shared" si="64"/>
        <v>285</v>
      </c>
      <c r="K460">
        <f t="shared" si="64"/>
        <v>305</v>
      </c>
      <c r="L460">
        <f t="shared" si="64"/>
        <v>324</v>
      </c>
      <c r="M460">
        <f t="shared" si="64"/>
        <v>339</v>
      </c>
      <c r="N460">
        <f t="shared" si="64"/>
        <v>351</v>
      </c>
      <c r="O460">
        <f t="shared" si="64"/>
        <v>375</v>
      </c>
      <c r="P460">
        <f t="shared" si="64"/>
        <v>393</v>
      </c>
      <c r="Q460">
        <f t="shared" si="63"/>
        <v>419</v>
      </c>
      <c r="S460" t="str">
        <f t="shared" si="61"/>
        <v>01.12.2025</v>
      </c>
      <c r="T460" t="str">
        <f t="shared" si="62"/>
        <v>13:30:00</v>
      </c>
      <c r="U460" t="str">
        <f t="shared" si="66"/>
        <v>01.12.2025 13:30:00</v>
      </c>
      <c r="V460" s="9" t="str">
        <f>MID($A460,C460+C$2+1,D460-C460-C$2-1)</f>
        <v>0</v>
      </c>
      <c r="W460" s="4">
        <f>VALUE(SUBSTITUTE(MID($A460,D460+D$2+1,E460-D460-D$2-1),",","."))</f>
        <v>0.66345171218648602</v>
      </c>
      <c r="X460" s="4">
        <f>VALUE(SUBSTITUTE(MID($A460,E460+E$2+1,F460-E460-E$2-1),",","."))</f>
        <v>0.90957602214449496</v>
      </c>
      <c r="Y460" s="4">
        <f>VALUE(SUBSTITUTE(MID($A460,F460+F$2+1,G460-F460-F$2-1),",","."))</f>
        <v>0.31428713073040299</v>
      </c>
      <c r="Z460" s="3">
        <f>VALUE(SUBSTITUTE(MID($A460,G460+G$2+1,H460-G460-G$2-1),",","."))</f>
        <v>117.86666666666601</v>
      </c>
      <c r="AA460" s="3">
        <f>VALUE(SUBSTITUTE(MID($A460,H460+H$2+1,I460-H460-H$2-1),",","."))</f>
        <v>0</v>
      </c>
      <c r="AB460" s="3">
        <f>VALUE(SUBSTITUTE(MID($A460,I460+I$2+1,J460-I460-I$2-1),",","."))</f>
        <v>109.5</v>
      </c>
      <c r="AC460" s="3">
        <f>VALUE(SUBSTITUTE(MID($A460,J460+J$2+1,K460-J460-J$2-1),",","."))</f>
        <v>3.75</v>
      </c>
      <c r="AD460" s="3">
        <f>VALUE(SUBSTITUTE(MID($A460,K460+K$2+1,L460-K460-K$2-1),",","."))</f>
        <v>13.86</v>
      </c>
      <c r="AE460" s="3">
        <f>VALUE(SUBSTITUTE(MID($A460,L460+L$2+1,M460-L460-L$2-1),",","."))</f>
        <v>0</v>
      </c>
      <c r="AF460" s="3">
        <f>VALUE(SUBSTITUTE(MID($A460,M460+M$2+1,N460-M460-M$2-1),",","."))</f>
        <v>0</v>
      </c>
      <c r="AG460" s="3">
        <f>VALUE(SUBSTITUTE(MID($A460,N460+N$2+1,O460-N460-N$2-1),",","."))</f>
        <v>4.21649433353174</v>
      </c>
      <c r="AH460" t="str">
        <f>MID($A460,O460+O$2+1,P460-O460-O$2-1)</f>
        <v/>
      </c>
      <c r="AI460" s="8" t="str">
        <f>MID($A460,P460+P$2+1,Q460-P460-P$2-1)</f>
        <v>False</v>
      </c>
      <c r="AK460" t="b">
        <f t="shared" si="67"/>
        <v>0</v>
      </c>
    </row>
    <row r="461" spans="1:37" x14ac:dyDescent="0.35">
      <c r="A461" t="s">
        <v>5008</v>
      </c>
      <c r="B461">
        <f t="shared" si="65"/>
        <v>10</v>
      </c>
      <c r="C461">
        <f t="shared" si="65"/>
        <v>43</v>
      </c>
      <c r="D461">
        <f t="shared" si="65"/>
        <v>54</v>
      </c>
      <c r="E461">
        <f t="shared" si="65"/>
        <v>97</v>
      </c>
      <c r="F461">
        <f t="shared" si="65"/>
        <v>141</v>
      </c>
      <c r="G461">
        <f t="shared" si="65"/>
        <v>180</v>
      </c>
      <c r="H461">
        <f t="shared" si="64"/>
        <v>229</v>
      </c>
      <c r="I461">
        <f t="shared" si="64"/>
        <v>251</v>
      </c>
      <c r="J461">
        <f t="shared" si="64"/>
        <v>288</v>
      </c>
      <c r="K461">
        <f t="shared" si="64"/>
        <v>308</v>
      </c>
      <c r="L461">
        <f t="shared" si="64"/>
        <v>327</v>
      </c>
      <c r="M461">
        <f t="shared" si="64"/>
        <v>342</v>
      </c>
      <c r="N461">
        <f t="shared" si="64"/>
        <v>354</v>
      </c>
      <c r="O461">
        <f t="shared" si="64"/>
        <v>379</v>
      </c>
      <c r="P461">
        <f t="shared" si="64"/>
        <v>397</v>
      </c>
      <c r="Q461">
        <f t="shared" si="63"/>
        <v>423</v>
      </c>
      <c r="S461" t="str">
        <f t="shared" si="61"/>
        <v>01.12.2025</v>
      </c>
      <c r="T461" t="str">
        <f t="shared" si="62"/>
        <v>13:45:00</v>
      </c>
      <c r="U461" t="str">
        <f t="shared" si="66"/>
        <v>01.12.2025 13:45:00</v>
      </c>
      <c r="V461" s="9" t="str">
        <f>MID($A461,C461+C$2+1,D461-C461-C$2-1)</f>
        <v>0</v>
      </c>
      <c r="W461" s="4">
        <f>VALUE(SUBSTITUTE(MID($A461,D461+D$2+1,E461-D461-D$2-1),",","."))</f>
        <v>0.62951069957900896</v>
      </c>
      <c r="X461" s="4">
        <f>VALUE(SUBSTITUTE(MID($A461,E461+E$2+1,F461-E461-E$2-1),",","."))</f>
        <v>0.90957602214449496</v>
      </c>
      <c r="Y461" s="4">
        <f>VALUE(SUBSTITUTE(MID($A461,F461+F$2+1,G461-F461-F$2-1),",","."))</f>
        <v>0.298398867191073</v>
      </c>
      <c r="Z461" s="3">
        <f>VALUE(SUBSTITUTE(MID($A461,G461+G$2+1,H461-G461-G$2-1),",","."))</f>
        <v>117.86666666666601</v>
      </c>
      <c r="AA461" s="3">
        <f>VALUE(SUBSTITUTE(MID($A461,H461+H$2+1,I461-H461-H$2-1),",","."))</f>
        <v>0</v>
      </c>
      <c r="AB461" s="3">
        <f>VALUE(SUBSTITUTE(MID($A461,I461+I$2+1,J461-I461-I$2-1),",","."))</f>
        <v>109.5</v>
      </c>
      <c r="AC461" s="3">
        <f>VALUE(SUBSTITUTE(MID($A461,J461+J$2+1,K461-J461-J$2-1),",","."))</f>
        <v>3.75</v>
      </c>
      <c r="AD461" s="3">
        <f>VALUE(SUBSTITUTE(MID($A461,K461+K$2+1,L461-K461-K$2-1),",","."))</f>
        <v>13.86</v>
      </c>
      <c r="AE461" s="3">
        <f>VALUE(SUBSTITUTE(MID($A461,L461+L$2+1,M461-L461-L$2-1),",","."))</f>
        <v>0</v>
      </c>
      <c r="AF461" s="3">
        <f>VALUE(SUBSTITUTE(MID($A461,M461+M$2+1,N461-M461-M$2-1),",","."))</f>
        <v>0</v>
      </c>
      <c r="AG461" s="3">
        <f>VALUE(SUBSTITUTE(MID($A461,N461+N$2+1,O461-N461-N$2-1),",","."))</f>
        <v>4.2165228534198196</v>
      </c>
      <c r="AH461" t="str">
        <f>MID($A461,O461+O$2+1,P461-O461-O$2-1)</f>
        <v/>
      </c>
      <c r="AI461" s="8" t="str">
        <f>MID($A461,P461+P$2+1,Q461-P461-P$2-1)</f>
        <v>False</v>
      </c>
      <c r="AK461" t="b">
        <f t="shared" si="67"/>
        <v>0</v>
      </c>
    </row>
    <row r="462" spans="1:37" x14ac:dyDescent="0.35">
      <c r="A462" t="s">
        <v>5009</v>
      </c>
      <c r="B462">
        <f t="shared" si="65"/>
        <v>10</v>
      </c>
      <c r="C462">
        <f t="shared" si="65"/>
        <v>43</v>
      </c>
      <c r="D462">
        <f t="shared" si="65"/>
        <v>54</v>
      </c>
      <c r="E462">
        <f t="shared" si="65"/>
        <v>97</v>
      </c>
      <c r="F462">
        <f t="shared" si="65"/>
        <v>141</v>
      </c>
      <c r="G462">
        <f t="shared" si="65"/>
        <v>179</v>
      </c>
      <c r="H462">
        <f t="shared" si="64"/>
        <v>228</v>
      </c>
      <c r="I462">
        <f t="shared" si="64"/>
        <v>250</v>
      </c>
      <c r="J462">
        <f t="shared" si="64"/>
        <v>287</v>
      </c>
      <c r="K462">
        <f t="shared" si="64"/>
        <v>307</v>
      </c>
      <c r="L462">
        <f t="shared" si="64"/>
        <v>326</v>
      </c>
      <c r="M462">
        <f t="shared" si="64"/>
        <v>341</v>
      </c>
      <c r="N462">
        <f t="shared" si="64"/>
        <v>353</v>
      </c>
      <c r="O462">
        <f t="shared" si="64"/>
        <v>378</v>
      </c>
      <c r="P462">
        <f t="shared" si="64"/>
        <v>396</v>
      </c>
      <c r="Q462">
        <f t="shared" si="63"/>
        <v>422</v>
      </c>
      <c r="S462" t="str">
        <f t="shared" si="61"/>
        <v>01.12.2025</v>
      </c>
      <c r="T462" t="str">
        <f t="shared" si="62"/>
        <v>14:00:00</v>
      </c>
      <c r="U462" t="str">
        <f t="shared" si="66"/>
        <v>01.12.2025 14:00:00</v>
      </c>
      <c r="V462" s="9" t="str">
        <f>MID($A462,C462+C$2+1,D462-C462-C$2-1)</f>
        <v>0</v>
      </c>
      <c r="W462" s="4">
        <f>VALUE(SUBSTITUTE(MID($A462,D462+D$2+1,E462-D462-D$2-1),",","."))</f>
        <v>0.59250723441988296</v>
      </c>
      <c r="X462" s="4">
        <f>VALUE(SUBSTITUTE(MID($A462,E462+E$2+1,F462-E462-E$2-1),",","."))</f>
        <v>0.90957602214449496</v>
      </c>
      <c r="Y462" s="4">
        <f>VALUE(SUBSTITUTE(MID($A462,F462+F$2+1,G462-F462-F$2-1),",","."))</f>
        <v>0.28007880358846698</v>
      </c>
      <c r="Z462" s="3">
        <f>VALUE(SUBSTITUTE(MID($A462,G462+G$2+1,H462-G462-G$2-1),",","."))</f>
        <v>117.86666666666601</v>
      </c>
      <c r="AA462" s="3">
        <f>VALUE(SUBSTITUTE(MID($A462,H462+H$2+1,I462-H462-H$2-1),",","."))</f>
        <v>0</v>
      </c>
      <c r="AB462" s="3">
        <f>VALUE(SUBSTITUTE(MID($A462,I462+I$2+1,J462-I462-I$2-1),",","."))</f>
        <v>109.5</v>
      </c>
      <c r="AC462" s="3">
        <f>VALUE(SUBSTITUTE(MID($A462,J462+J$2+1,K462-J462-J$2-1),",","."))</f>
        <v>3.75</v>
      </c>
      <c r="AD462" s="3">
        <f>VALUE(SUBSTITUTE(MID($A462,K462+K$2+1,L462-K462-K$2-1),",","."))</f>
        <v>13.86</v>
      </c>
      <c r="AE462" s="3">
        <f>VALUE(SUBSTITUTE(MID($A462,L462+L$2+1,M462-L462-L$2-1),",","."))</f>
        <v>0</v>
      </c>
      <c r="AF462" s="3">
        <f>VALUE(SUBSTITUTE(MID($A462,M462+M$2+1,N462-M462-M$2-1),",","."))</f>
        <v>0</v>
      </c>
      <c r="AG462" s="3">
        <f>VALUE(SUBSTITUTE(MID($A462,N462+N$2+1,O462-N462-N$2-1),",","."))</f>
        <v>4.2165513733079001</v>
      </c>
      <c r="AH462" t="str">
        <f>MID($A462,O462+O$2+1,P462-O462-O$2-1)</f>
        <v/>
      </c>
      <c r="AI462" s="8" t="str">
        <f>MID($A462,P462+P$2+1,Q462-P462-P$2-1)</f>
        <v>False</v>
      </c>
      <c r="AK462" t="b">
        <f t="shared" si="67"/>
        <v>0</v>
      </c>
    </row>
    <row r="463" spans="1:37" x14ac:dyDescent="0.35">
      <c r="A463" t="s">
        <v>5010</v>
      </c>
      <c r="B463">
        <f t="shared" si="65"/>
        <v>10</v>
      </c>
      <c r="C463">
        <f t="shared" si="65"/>
        <v>43</v>
      </c>
      <c r="D463">
        <f t="shared" si="65"/>
        <v>54</v>
      </c>
      <c r="E463">
        <f t="shared" si="65"/>
        <v>97</v>
      </c>
      <c r="F463">
        <f t="shared" si="65"/>
        <v>141</v>
      </c>
      <c r="G463">
        <f t="shared" si="65"/>
        <v>179</v>
      </c>
      <c r="H463">
        <f t="shared" si="64"/>
        <v>228</v>
      </c>
      <c r="I463">
        <f t="shared" si="64"/>
        <v>250</v>
      </c>
      <c r="J463">
        <f t="shared" si="64"/>
        <v>287</v>
      </c>
      <c r="K463">
        <f t="shared" si="64"/>
        <v>307</v>
      </c>
      <c r="L463">
        <f t="shared" si="64"/>
        <v>326</v>
      </c>
      <c r="M463">
        <f t="shared" si="64"/>
        <v>341</v>
      </c>
      <c r="N463">
        <f t="shared" si="64"/>
        <v>353</v>
      </c>
      <c r="O463">
        <f t="shared" si="64"/>
        <v>378</v>
      </c>
      <c r="P463">
        <f t="shared" si="64"/>
        <v>396</v>
      </c>
      <c r="Q463">
        <f t="shared" si="63"/>
        <v>422</v>
      </c>
      <c r="S463" t="str">
        <f t="shared" si="61"/>
        <v>01.12.2025</v>
      </c>
      <c r="T463" t="str">
        <f t="shared" si="62"/>
        <v>14:15:00</v>
      </c>
      <c r="U463" t="str">
        <f t="shared" si="66"/>
        <v>01.12.2025 14:15:00</v>
      </c>
      <c r="V463" s="9" t="str">
        <f>MID($A463,C463+C$2+1,D463-C463-C$2-1)</f>
        <v>0</v>
      </c>
      <c r="W463" s="4">
        <f>VALUE(SUBSTITUTE(MID($A463,D463+D$2+1,E463-D463-D$2-1),",","."))</f>
        <v>0.55260316696344103</v>
      </c>
      <c r="X463" s="4">
        <f>VALUE(SUBSTITUTE(MID($A463,E463+E$2+1,F463-E463-E$2-1),",","."))</f>
        <v>0.90957602214449496</v>
      </c>
      <c r="Y463" s="4">
        <f>VALUE(SUBSTITUTE(MID($A463,F463+F$2+1,G463-F463-F$2-1),",","."))</f>
        <v>0.25940950369167598</v>
      </c>
      <c r="Z463" s="3">
        <f>VALUE(SUBSTITUTE(MID($A463,G463+G$2+1,H463-G463-G$2-1),",","."))</f>
        <v>117.86666666666601</v>
      </c>
      <c r="AA463" s="3">
        <f>VALUE(SUBSTITUTE(MID($A463,H463+H$2+1,I463-H463-H$2-1),",","."))</f>
        <v>0</v>
      </c>
      <c r="AB463" s="3">
        <f>VALUE(SUBSTITUTE(MID($A463,I463+I$2+1,J463-I463-I$2-1),",","."))</f>
        <v>109.5</v>
      </c>
      <c r="AC463" s="3">
        <f>VALUE(SUBSTITUTE(MID($A463,J463+J$2+1,K463-J463-J$2-1),",","."))</f>
        <v>3.75</v>
      </c>
      <c r="AD463" s="3">
        <f>VALUE(SUBSTITUTE(MID($A463,K463+K$2+1,L463-K463-K$2-1),",","."))</f>
        <v>13.86</v>
      </c>
      <c r="AE463" s="3">
        <f>VALUE(SUBSTITUTE(MID($A463,L463+L$2+1,M463-L463-L$2-1),",","."))</f>
        <v>0</v>
      </c>
      <c r="AF463" s="3">
        <f>VALUE(SUBSTITUTE(MID($A463,M463+M$2+1,N463-M463-M$2-1),",","."))</f>
        <v>0</v>
      </c>
      <c r="AG463" s="3">
        <f>VALUE(SUBSTITUTE(MID($A463,N463+N$2+1,O463-N463-N$2-1),",","."))</f>
        <v>4.2165798931959797</v>
      </c>
      <c r="AH463" t="str">
        <f>MID($A463,O463+O$2+1,P463-O463-O$2-1)</f>
        <v/>
      </c>
      <c r="AI463" s="8" t="str">
        <f>MID($A463,P463+P$2+1,Q463-P463-P$2-1)</f>
        <v>False</v>
      </c>
      <c r="AK463" t="b">
        <f t="shared" si="67"/>
        <v>0</v>
      </c>
    </row>
    <row r="464" spans="1:37" x14ac:dyDescent="0.35">
      <c r="A464" t="s">
        <v>5011</v>
      </c>
      <c r="B464">
        <f t="shared" si="65"/>
        <v>10</v>
      </c>
      <c r="C464">
        <f t="shared" si="65"/>
        <v>43</v>
      </c>
      <c r="D464">
        <f t="shared" si="65"/>
        <v>54</v>
      </c>
      <c r="E464">
        <f t="shared" si="65"/>
        <v>96</v>
      </c>
      <c r="F464">
        <f t="shared" si="65"/>
        <v>140</v>
      </c>
      <c r="G464">
        <f t="shared" si="65"/>
        <v>179</v>
      </c>
      <c r="H464">
        <f t="shared" si="64"/>
        <v>228</v>
      </c>
      <c r="I464">
        <f t="shared" si="64"/>
        <v>250</v>
      </c>
      <c r="J464">
        <f t="shared" si="64"/>
        <v>286</v>
      </c>
      <c r="K464">
        <f t="shared" si="64"/>
        <v>305</v>
      </c>
      <c r="L464">
        <f t="shared" si="64"/>
        <v>324</v>
      </c>
      <c r="M464">
        <f t="shared" si="64"/>
        <v>339</v>
      </c>
      <c r="N464">
        <f t="shared" si="64"/>
        <v>351</v>
      </c>
      <c r="O464">
        <f t="shared" si="64"/>
        <v>376</v>
      </c>
      <c r="P464">
        <f t="shared" si="64"/>
        <v>394</v>
      </c>
      <c r="Q464">
        <f t="shared" si="63"/>
        <v>420</v>
      </c>
      <c r="S464" t="str">
        <f t="shared" si="61"/>
        <v>01.12.2025</v>
      </c>
      <c r="T464" t="str">
        <f t="shared" si="62"/>
        <v>14:30:00</v>
      </c>
      <c r="U464" t="str">
        <f t="shared" si="66"/>
        <v>01.12.2025 14:30:00</v>
      </c>
      <c r="V464" s="9" t="str">
        <f>MID($A464,C464+C$2+1,D464-C464-C$2-1)</f>
        <v>0</v>
      </c>
      <c r="W464" s="4">
        <f>VALUE(SUBSTITUTE(MID($A464,D464+D$2+1,E464-D464-D$2-1),",","."))</f>
        <v>0.50997444931474201</v>
      </c>
      <c r="X464" s="4">
        <f>VALUE(SUBSTITUTE(MID($A464,E464+E$2+1,F464-E464-E$2-1),",","."))</f>
        <v>0.90957602214449496</v>
      </c>
      <c r="Y464" s="4">
        <f>VALUE(SUBSTITUTE(MID($A464,F464+F$2+1,G464-F464-F$2-1),",","."))</f>
        <v>0.23648564004897099</v>
      </c>
      <c r="Z464" s="3">
        <f>VALUE(SUBSTITUTE(MID($A464,G464+G$2+1,H464-G464-G$2-1),",","."))</f>
        <v>113.133333333333</v>
      </c>
      <c r="AA464" s="3">
        <f>VALUE(SUBSTITUTE(MID($A464,H464+H$2+1,I464-H464-H$2-1),",","."))</f>
        <v>0</v>
      </c>
      <c r="AB464" s="3">
        <f>VALUE(SUBSTITUTE(MID($A464,I464+I$2+1,J464-I464-I$2-1),",","."))</f>
        <v>83.5</v>
      </c>
      <c r="AC464" s="3">
        <f>VALUE(SUBSTITUTE(MID($A464,J464+J$2+1,K464-J464-J$2-1),",","."))</f>
        <v>3.8</v>
      </c>
      <c r="AD464" s="3">
        <f>VALUE(SUBSTITUTE(MID($A464,K464+K$2+1,L464-K464-K$2-1),",","."))</f>
        <v>12.06</v>
      </c>
      <c r="AE464" s="3">
        <f>VALUE(SUBSTITUTE(MID($A464,L464+L$2+1,M464-L464-L$2-1),",","."))</f>
        <v>0</v>
      </c>
      <c r="AF464" s="3">
        <f>VALUE(SUBSTITUTE(MID($A464,M464+M$2+1,N464-M464-M$2-1),",","."))</f>
        <v>0</v>
      </c>
      <c r="AG464" s="3">
        <f>VALUE(SUBSTITUTE(MID($A464,N464+N$2+1,O464-N464-N$2-1),",","."))</f>
        <v>4.2166084130840602</v>
      </c>
      <c r="AH464" t="str">
        <f>MID($A464,O464+O$2+1,P464-O464-O$2-1)</f>
        <v/>
      </c>
      <c r="AI464" s="8" t="str">
        <f>MID($A464,P464+P$2+1,Q464-P464-P$2-1)</f>
        <v>False</v>
      </c>
      <c r="AK464" t="b">
        <f t="shared" si="67"/>
        <v>0</v>
      </c>
    </row>
    <row r="465" spans="1:37" x14ac:dyDescent="0.35">
      <c r="A465" t="s">
        <v>5012</v>
      </c>
      <c r="B465">
        <f t="shared" si="65"/>
        <v>10</v>
      </c>
      <c r="C465">
        <f t="shared" si="65"/>
        <v>43</v>
      </c>
      <c r="D465">
        <f t="shared" si="65"/>
        <v>54</v>
      </c>
      <c r="E465">
        <f t="shared" si="65"/>
        <v>97</v>
      </c>
      <c r="F465">
        <f t="shared" si="65"/>
        <v>141</v>
      </c>
      <c r="G465">
        <f t="shared" si="65"/>
        <v>180</v>
      </c>
      <c r="H465">
        <f t="shared" si="64"/>
        <v>229</v>
      </c>
      <c r="I465">
        <f t="shared" si="64"/>
        <v>251</v>
      </c>
      <c r="J465">
        <f t="shared" si="64"/>
        <v>287</v>
      </c>
      <c r="K465">
        <f t="shared" si="64"/>
        <v>306</v>
      </c>
      <c r="L465">
        <f t="shared" si="64"/>
        <v>325</v>
      </c>
      <c r="M465">
        <f t="shared" si="64"/>
        <v>340</v>
      </c>
      <c r="N465">
        <f t="shared" si="64"/>
        <v>352</v>
      </c>
      <c r="O465">
        <f t="shared" si="64"/>
        <v>377</v>
      </c>
      <c r="P465">
        <f t="shared" si="64"/>
        <v>395</v>
      </c>
      <c r="Q465">
        <f t="shared" si="63"/>
        <v>421</v>
      </c>
      <c r="S465" t="str">
        <f t="shared" si="61"/>
        <v>01.12.2025</v>
      </c>
      <c r="T465" t="str">
        <f t="shared" si="62"/>
        <v>14:45:00</v>
      </c>
      <c r="U465" t="str">
        <f t="shared" si="66"/>
        <v>01.12.2025 14:45:00</v>
      </c>
      <c r="V465" s="9" t="str">
        <f>MID($A465,C465+C$2+1,D465-C465-C$2-1)</f>
        <v>0</v>
      </c>
      <c r="W465" s="4">
        <f>VALUE(SUBSTITUTE(MID($A465,D465+D$2+1,E465-D465-D$2-1),",","."))</f>
        <v>0.464811491394651</v>
      </c>
      <c r="X465" s="4">
        <f>VALUE(SUBSTITUTE(MID($A465,E465+E$2+1,F465-E465-E$2-1),",","."))</f>
        <v>0.90957602214449496</v>
      </c>
      <c r="Y465" s="4">
        <f>VALUE(SUBSTITUTE(MID($A465,F465+F$2+1,G465-F465-F$2-1),",","."))</f>
        <v>0.21141493707282299</v>
      </c>
      <c r="Z465" s="3">
        <f>VALUE(SUBSTITUTE(MID($A465,G465+G$2+1,H465-G465-G$2-1),",","."))</f>
        <v>113.133333333333</v>
      </c>
      <c r="AA465" s="3">
        <f>VALUE(SUBSTITUTE(MID($A465,H465+H$2+1,I465-H465-H$2-1),",","."))</f>
        <v>0</v>
      </c>
      <c r="AB465" s="3">
        <f>VALUE(SUBSTITUTE(MID($A465,I465+I$2+1,J465-I465-I$2-1),",","."))</f>
        <v>83.5</v>
      </c>
      <c r="AC465" s="3">
        <f>VALUE(SUBSTITUTE(MID($A465,J465+J$2+1,K465-J465-J$2-1),",","."))</f>
        <v>3.8</v>
      </c>
      <c r="AD465" s="3">
        <f>VALUE(SUBSTITUTE(MID($A465,K465+K$2+1,L465-K465-K$2-1),",","."))</f>
        <v>12.06</v>
      </c>
      <c r="AE465" s="3">
        <f>VALUE(SUBSTITUTE(MID($A465,L465+L$2+1,M465-L465-L$2-1),",","."))</f>
        <v>0</v>
      </c>
      <c r="AF465" s="3">
        <f>VALUE(SUBSTITUTE(MID($A465,M465+M$2+1,N465-M465-M$2-1),",","."))</f>
        <v>0</v>
      </c>
      <c r="AG465" s="3">
        <f>VALUE(SUBSTITUTE(MID($A465,N465+N$2+1,O465-N465-N$2-1),",","."))</f>
        <v>4.2166369329721398</v>
      </c>
      <c r="AH465" t="str">
        <f>MID($A465,O465+O$2+1,P465-O465-O$2-1)</f>
        <v/>
      </c>
      <c r="AI465" s="8" t="str">
        <f>MID($A465,P465+P$2+1,Q465-P465-P$2-1)</f>
        <v>False</v>
      </c>
      <c r="AK465" t="b">
        <f t="shared" si="67"/>
        <v>0</v>
      </c>
    </row>
    <row r="466" spans="1:37" x14ac:dyDescent="0.35">
      <c r="A466" t="s">
        <v>5013</v>
      </c>
      <c r="B466">
        <f t="shared" si="65"/>
        <v>10</v>
      </c>
      <c r="C466">
        <f t="shared" si="65"/>
        <v>43</v>
      </c>
      <c r="D466">
        <f t="shared" si="65"/>
        <v>54</v>
      </c>
      <c r="E466">
        <f t="shared" si="65"/>
        <v>97</v>
      </c>
      <c r="F466">
        <f t="shared" si="65"/>
        <v>141</v>
      </c>
      <c r="G466">
        <f t="shared" si="65"/>
        <v>179</v>
      </c>
      <c r="H466">
        <f t="shared" si="64"/>
        <v>228</v>
      </c>
      <c r="I466">
        <f t="shared" si="64"/>
        <v>250</v>
      </c>
      <c r="J466">
        <f t="shared" si="64"/>
        <v>286</v>
      </c>
      <c r="K466">
        <f t="shared" si="64"/>
        <v>305</v>
      </c>
      <c r="L466">
        <f t="shared" si="64"/>
        <v>324</v>
      </c>
      <c r="M466">
        <f t="shared" si="64"/>
        <v>339</v>
      </c>
      <c r="N466">
        <f t="shared" si="64"/>
        <v>351</v>
      </c>
      <c r="O466">
        <f t="shared" si="64"/>
        <v>376</v>
      </c>
      <c r="P466">
        <f t="shared" si="64"/>
        <v>394</v>
      </c>
      <c r="Q466">
        <f t="shared" si="63"/>
        <v>420</v>
      </c>
      <c r="S466" t="str">
        <f t="shared" si="61"/>
        <v>01.12.2025</v>
      </c>
      <c r="T466" t="str">
        <f t="shared" si="62"/>
        <v>15:00:00</v>
      </c>
      <c r="U466" t="str">
        <f t="shared" si="66"/>
        <v>01.12.2025 15:00:00</v>
      </c>
      <c r="V466" s="9" t="str">
        <f>MID($A466,C466+C$2+1,D466-C466-C$2-1)</f>
        <v>0</v>
      </c>
      <c r="W466" s="4">
        <f>VALUE(SUBSTITUTE(MID($A466,D466+D$2+1,E466-D466-D$2-1),",","."))</f>
        <v>0.41732047234821401</v>
      </c>
      <c r="X466" s="4">
        <f>VALUE(SUBSTITUTE(MID($A466,E466+E$2+1,F466-E466-E$2-1),",","."))</f>
        <v>0.90957602214449496</v>
      </c>
      <c r="Y466" s="4">
        <f>VALUE(SUBSTITUTE(MID($A466,F466+F$2+1,G466-F466-F$2-1),",","."))</f>
        <v>0.18432029433687899</v>
      </c>
      <c r="Z466" s="3">
        <f>VALUE(SUBSTITUTE(MID($A466,G466+G$2+1,H466-G466-G$2-1),",","."))</f>
        <v>113.133333333333</v>
      </c>
      <c r="AA466" s="3">
        <f>VALUE(SUBSTITUTE(MID($A466,H466+H$2+1,I466-H466-H$2-1),",","."))</f>
        <v>0</v>
      </c>
      <c r="AB466" s="3">
        <f>VALUE(SUBSTITUTE(MID($A466,I466+I$2+1,J466-I466-I$2-1),",","."))</f>
        <v>83.5</v>
      </c>
      <c r="AC466" s="3">
        <f>VALUE(SUBSTITUTE(MID($A466,J466+J$2+1,K466-J466-J$2-1),",","."))</f>
        <v>3.8</v>
      </c>
      <c r="AD466" s="3">
        <f>VALUE(SUBSTITUTE(MID($A466,K466+K$2+1,L466-K466-K$2-1),",","."))</f>
        <v>12.06</v>
      </c>
      <c r="AE466" s="3">
        <f>VALUE(SUBSTITUTE(MID($A466,L466+L$2+1,M466-L466-L$2-1),",","."))</f>
        <v>0</v>
      </c>
      <c r="AF466" s="3">
        <f>VALUE(SUBSTITUTE(MID($A466,M466+M$2+1,N466-M466-M$2-1),",","."))</f>
        <v>0</v>
      </c>
      <c r="AG466" s="3">
        <f>VALUE(SUBSTITUTE(MID($A466,N466+N$2+1,O466-N466-N$2-1),",","."))</f>
        <v>4.2166654528602203</v>
      </c>
      <c r="AH466" t="str">
        <f>MID($A466,O466+O$2+1,P466-O466-O$2-1)</f>
        <v/>
      </c>
      <c r="AI466" s="8" t="str">
        <f>MID($A466,P466+P$2+1,Q466-P466-P$2-1)</f>
        <v>False</v>
      </c>
      <c r="AK466" t="b">
        <f t="shared" si="67"/>
        <v>0</v>
      </c>
    </row>
    <row r="467" spans="1:37" x14ac:dyDescent="0.35">
      <c r="A467" t="s">
        <v>5014</v>
      </c>
      <c r="B467">
        <f t="shared" si="65"/>
        <v>10</v>
      </c>
      <c r="C467">
        <f t="shared" si="65"/>
        <v>43</v>
      </c>
      <c r="D467">
        <f t="shared" si="65"/>
        <v>54</v>
      </c>
      <c r="E467">
        <f t="shared" si="65"/>
        <v>98</v>
      </c>
      <c r="F467">
        <f t="shared" si="65"/>
        <v>142</v>
      </c>
      <c r="G467">
        <f t="shared" si="65"/>
        <v>181</v>
      </c>
      <c r="H467">
        <f t="shared" si="64"/>
        <v>230</v>
      </c>
      <c r="I467">
        <f t="shared" si="64"/>
        <v>252</v>
      </c>
      <c r="J467">
        <f t="shared" si="64"/>
        <v>288</v>
      </c>
      <c r="K467">
        <f t="shared" si="64"/>
        <v>307</v>
      </c>
      <c r="L467">
        <f t="shared" si="64"/>
        <v>326</v>
      </c>
      <c r="M467">
        <f t="shared" si="64"/>
        <v>341</v>
      </c>
      <c r="N467">
        <f t="shared" si="64"/>
        <v>353</v>
      </c>
      <c r="O467">
        <f t="shared" si="64"/>
        <v>379</v>
      </c>
      <c r="P467">
        <f t="shared" si="64"/>
        <v>397</v>
      </c>
      <c r="Q467">
        <f t="shared" si="63"/>
        <v>423</v>
      </c>
      <c r="S467" t="str">
        <f t="shared" si="61"/>
        <v>01.12.2025</v>
      </c>
      <c r="T467" t="str">
        <f t="shared" si="62"/>
        <v>15:15:00</v>
      </c>
      <c r="U467" t="str">
        <f t="shared" si="66"/>
        <v>01.12.2025 15:15:00</v>
      </c>
      <c r="V467" s="9" t="str">
        <f>MID($A467,C467+C$2+1,D467-C467-C$2-1)</f>
        <v>0</v>
      </c>
      <c r="W467" s="4">
        <f>VALUE(SUBSTITUTE(MID($A467,D467+D$2+1,E467-D467-D$2-1),",","."))</f>
        <v>0.367726853770796</v>
      </c>
      <c r="X467" s="4">
        <f>VALUE(SUBSTITUTE(MID($A467,E467+E$2+1,F467-E467-E$2-1),",","."))</f>
        <v>0.90957602214449496</v>
      </c>
      <c r="Y467" s="4">
        <f>VALUE(SUBSTITUTE(MID($A467,F467+F$2+1,G467-F467-F$2-1),",","."))</f>
        <v>0.155344602199638</v>
      </c>
      <c r="Z467" s="3">
        <f>VALUE(SUBSTITUTE(MID($A467,G467+G$2+1,H467-G467-G$2-1),",","."))</f>
        <v>113.133333333333</v>
      </c>
      <c r="AA467" s="3">
        <f>VALUE(SUBSTITUTE(MID($A467,H467+H$2+1,I467-H467-H$2-1),",","."))</f>
        <v>0</v>
      </c>
      <c r="AB467" s="3">
        <f>VALUE(SUBSTITUTE(MID($A467,I467+I$2+1,J467-I467-I$2-1),",","."))</f>
        <v>83.5</v>
      </c>
      <c r="AC467" s="3">
        <f>VALUE(SUBSTITUTE(MID($A467,J467+J$2+1,K467-J467-J$2-1),",","."))</f>
        <v>3.8</v>
      </c>
      <c r="AD467" s="3">
        <f>VALUE(SUBSTITUTE(MID($A467,K467+K$2+1,L467-K467-K$2-1),",","."))</f>
        <v>12.06</v>
      </c>
      <c r="AE467" s="3">
        <f>VALUE(SUBSTITUTE(MID($A467,L467+L$2+1,M467-L467-L$2-1),",","."))</f>
        <v>0</v>
      </c>
      <c r="AF467" s="3">
        <f>VALUE(SUBSTITUTE(MID($A467,M467+M$2+1,N467-M467-M$2-1),",","."))</f>
        <v>0</v>
      </c>
      <c r="AG467" s="3">
        <f>VALUE(SUBSTITUTE(MID($A467,N467+N$2+1,O467-N467-N$2-1),",","."))</f>
        <v>4.2166939727483097</v>
      </c>
      <c r="AH467" t="str">
        <f>MID($A467,O467+O$2+1,P467-O467-O$2-1)</f>
        <v/>
      </c>
      <c r="AI467" s="8" t="str">
        <f>MID($A467,P467+P$2+1,Q467-P467-P$2-1)</f>
        <v>False</v>
      </c>
      <c r="AK467" t="b">
        <f t="shared" si="67"/>
        <v>0</v>
      </c>
    </row>
    <row r="468" spans="1:37" x14ac:dyDescent="0.35">
      <c r="A468" t="s">
        <v>5015</v>
      </c>
      <c r="B468">
        <f t="shared" si="65"/>
        <v>10</v>
      </c>
      <c r="C468">
        <f t="shared" si="65"/>
        <v>43</v>
      </c>
      <c r="D468">
        <f t="shared" si="65"/>
        <v>54</v>
      </c>
      <c r="E468">
        <f t="shared" si="65"/>
        <v>97</v>
      </c>
      <c r="F468">
        <f t="shared" si="65"/>
        <v>141</v>
      </c>
      <c r="G468">
        <f t="shared" si="65"/>
        <v>180</v>
      </c>
      <c r="H468">
        <f t="shared" si="64"/>
        <v>229</v>
      </c>
      <c r="I468">
        <f t="shared" si="64"/>
        <v>251</v>
      </c>
      <c r="J468">
        <f t="shared" si="64"/>
        <v>287</v>
      </c>
      <c r="K468">
        <f t="shared" si="64"/>
        <v>321</v>
      </c>
      <c r="L468">
        <f t="shared" si="64"/>
        <v>339</v>
      </c>
      <c r="M468">
        <f t="shared" si="64"/>
        <v>354</v>
      </c>
      <c r="N468">
        <f t="shared" si="64"/>
        <v>366</v>
      </c>
      <c r="O468">
        <f t="shared" si="64"/>
        <v>391</v>
      </c>
      <c r="P468">
        <f t="shared" si="64"/>
        <v>409</v>
      </c>
      <c r="Q468">
        <f t="shared" si="63"/>
        <v>435</v>
      </c>
      <c r="S468" t="str">
        <f t="shared" si="61"/>
        <v>01.12.2025</v>
      </c>
      <c r="T468" t="str">
        <f t="shared" si="62"/>
        <v>15:30:00</v>
      </c>
      <c r="U468" t="str">
        <f t="shared" si="66"/>
        <v>01.12.2025 15:30:00</v>
      </c>
      <c r="V468" s="9" t="str">
        <f>MID($A468,C468+C$2+1,D468-C468-C$2-1)</f>
        <v>0</v>
      </c>
      <c r="W468" s="4">
        <f>VALUE(SUBSTITUTE(MID($A468,D468+D$2+1,E468-D468-D$2-1),",","."))</f>
        <v>0.316284404655997</v>
      </c>
      <c r="X468" s="4">
        <f>VALUE(SUBSTITUTE(MID($A468,E468+E$2+1,F468-E468-E$2-1),",","."))</f>
        <v>0.90957602214449496</v>
      </c>
      <c r="Y468" s="4">
        <f>VALUE(SUBSTITUTE(MID($A468,F468+F$2+1,G468-F468-F$2-1),",","."))</f>
        <v>0.124662268103104</v>
      </c>
      <c r="Z468" s="3">
        <f>VALUE(SUBSTITUTE(MID($A468,G468+G$2+1,H468-G468-G$2-1),",","."))</f>
        <v>100.049999999999</v>
      </c>
      <c r="AA468" s="3">
        <f>VALUE(SUBSTITUTE(MID($A468,H468+H$2+1,I468-H468-H$2-1),",","."))</f>
        <v>0</v>
      </c>
      <c r="AB468" s="3">
        <f>VALUE(SUBSTITUTE(MID($A468,I468+I$2+1,J468-I468-I$2-1),",","."))</f>
        <v>44.5</v>
      </c>
      <c r="AC468" s="3">
        <f>VALUE(SUBSTITUTE(MID($A468,J468+J$2+1,K468-J468-J$2-1),",","."))</f>
        <v>3.5999999999999899</v>
      </c>
      <c r="AD468" s="3">
        <f>VALUE(SUBSTITUTE(MID($A468,K468+K$2+1,L468-K468-K$2-1),",","."))</f>
        <v>10.8</v>
      </c>
      <c r="AE468" s="3">
        <f>VALUE(SUBSTITUTE(MID($A468,L468+L$2+1,M468-L468-L$2-1),",","."))</f>
        <v>0</v>
      </c>
      <c r="AF468" s="3">
        <f>VALUE(SUBSTITUTE(MID($A468,M468+M$2+1,N468-M468-M$2-1),",","."))</f>
        <v>0</v>
      </c>
      <c r="AG468" s="3">
        <f>VALUE(SUBSTITUTE(MID($A468,N468+N$2+1,O468-N468-N$2-1),",","."))</f>
        <v>4.2167224926363902</v>
      </c>
      <c r="AH468" t="str">
        <f>MID($A468,O468+O$2+1,P468-O468-O$2-1)</f>
        <v/>
      </c>
      <c r="AI468" s="8" t="str">
        <f>MID($A468,P468+P$2+1,Q468-P468-P$2-1)</f>
        <v>False</v>
      </c>
      <c r="AK468" t="b">
        <f t="shared" si="67"/>
        <v>0</v>
      </c>
    </row>
    <row r="469" spans="1:37" x14ac:dyDescent="0.35">
      <c r="A469" t="s">
        <v>5016</v>
      </c>
      <c r="B469">
        <f t="shared" si="65"/>
        <v>10</v>
      </c>
      <c r="C469">
        <f t="shared" si="65"/>
        <v>43</v>
      </c>
      <c r="D469">
        <f t="shared" si="65"/>
        <v>54</v>
      </c>
      <c r="E469">
        <f t="shared" si="65"/>
        <v>80</v>
      </c>
      <c r="F469">
        <f t="shared" si="65"/>
        <v>124</v>
      </c>
      <c r="G469">
        <f t="shared" si="65"/>
        <v>162</v>
      </c>
      <c r="H469">
        <f t="shared" si="64"/>
        <v>211</v>
      </c>
      <c r="I469">
        <f t="shared" si="64"/>
        <v>233</v>
      </c>
      <c r="J469">
        <f t="shared" si="64"/>
        <v>269</v>
      </c>
      <c r="K469">
        <f t="shared" si="64"/>
        <v>303</v>
      </c>
      <c r="L469">
        <f t="shared" si="64"/>
        <v>321</v>
      </c>
      <c r="M469">
        <f t="shared" si="64"/>
        <v>336</v>
      </c>
      <c r="N469">
        <f t="shared" si="64"/>
        <v>348</v>
      </c>
      <c r="O469">
        <f t="shared" si="64"/>
        <v>373</v>
      </c>
      <c r="P469">
        <f t="shared" si="64"/>
        <v>391</v>
      </c>
      <c r="Q469">
        <f t="shared" si="63"/>
        <v>417</v>
      </c>
      <c r="S469" t="str">
        <f t="shared" si="61"/>
        <v>01.12.2025</v>
      </c>
      <c r="T469" t="str">
        <f t="shared" si="62"/>
        <v>15:45:00</v>
      </c>
      <c r="U469" t="str">
        <f t="shared" si="66"/>
        <v>01.12.2025 15:45:00</v>
      </c>
      <c r="V469" s="9" t="str">
        <f>MID($A469,C469+C$2+1,D469-C469-C$2-1)</f>
        <v>0</v>
      </c>
      <c r="W469" s="4">
        <f>VALUE(SUBSTITUTE(MID($A469,D469+D$2+1,E469-D469-D$2-1),",","."))</f>
        <v>0</v>
      </c>
      <c r="X469" s="4">
        <f>VALUE(SUBSTITUTE(MID($A469,E469+E$2+1,F469-E469-E$2-1),",","."))</f>
        <v>0.90957602214449496</v>
      </c>
      <c r="Y469" s="4">
        <f>VALUE(SUBSTITUTE(MID($A469,F469+F$2+1,G469-F469-F$2-1),",","."))</f>
        <v>9.2509563399234399E-2</v>
      </c>
      <c r="Z469" s="3">
        <f>VALUE(SUBSTITUTE(MID($A469,G469+G$2+1,H469-G469-G$2-1),",","."))</f>
        <v>100.049999999999</v>
      </c>
      <c r="AA469" s="3">
        <f>VALUE(SUBSTITUTE(MID($A469,H469+H$2+1,I469-H469-H$2-1),",","."))</f>
        <v>0</v>
      </c>
      <c r="AB469" s="3">
        <f>VALUE(SUBSTITUTE(MID($A469,I469+I$2+1,J469-I469-I$2-1),",","."))</f>
        <v>44.5</v>
      </c>
      <c r="AC469" s="3">
        <f>VALUE(SUBSTITUTE(MID($A469,J469+J$2+1,K469-J469-J$2-1),",","."))</f>
        <v>3.5999999999999899</v>
      </c>
      <c r="AD469" s="3">
        <f>VALUE(SUBSTITUTE(MID($A469,K469+K$2+1,L469-K469-K$2-1),",","."))</f>
        <v>10.8</v>
      </c>
      <c r="AE469" s="3">
        <f>VALUE(SUBSTITUTE(MID($A469,L469+L$2+1,M469-L469-L$2-1),",","."))</f>
        <v>0</v>
      </c>
      <c r="AF469" s="3">
        <f>VALUE(SUBSTITUTE(MID($A469,M469+M$2+1,N469-M469-M$2-1),",","."))</f>
        <v>0</v>
      </c>
      <c r="AG469" s="3">
        <f>VALUE(SUBSTITUTE(MID($A469,N469+N$2+1,O469-N469-N$2-1),",","."))</f>
        <v>4.2167510125244698</v>
      </c>
      <c r="AH469" t="str">
        <f>MID($A469,O469+O$2+1,P469-O469-O$2-1)</f>
        <v/>
      </c>
      <c r="AI469" s="8" t="str">
        <f>MID($A469,P469+P$2+1,Q469-P469-P$2-1)</f>
        <v>False</v>
      </c>
      <c r="AK469" t="b">
        <f t="shared" si="67"/>
        <v>0</v>
      </c>
    </row>
    <row r="470" spans="1:37" x14ac:dyDescent="0.35">
      <c r="A470" t="s">
        <v>5017</v>
      </c>
      <c r="B470">
        <f t="shared" si="65"/>
        <v>10</v>
      </c>
      <c r="C470">
        <f t="shared" si="65"/>
        <v>43</v>
      </c>
      <c r="D470">
        <f t="shared" si="65"/>
        <v>54</v>
      </c>
      <c r="E470">
        <f t="shared" si="65"/>
        <v>80</v>
      </c>
      <c r="F470">
        <f t="shared" si="65"/>
        <v>124</v>
      </c>
      <c r="G470">
        <f t="shared" si="65"/>
        <v>164</v>
      </c>
      <c r="H470">
        <f t="shared" si="64"/>
        <v>213</v>
      </c>
      <c r="I470">
        <f t="shared" si="64"/>
        <v>235</v>
      </c>
      <c r="J470">
        <f t="shared" si="64"/>
        <v>271</v>
      </c>
      <c r="K470">
        <f t="shared" si="64"/>
        <v>305</v>
      </c>
      <c r="L470">
        <f t="shared" si="64"/>
        <v>323</v>
      </c>
      <c r="M470">
        <f t="shared" si="64"/>
        <v>338</v>
      </c>
      <c r="N470">
        <f t="shared" si="64"/>
        <v>350</v>
      </c>
      <c r="O470">
        <f t="shared" si="64"/>
        <v>375</v>
      </c>
      <c r="P470">
        <f t="shared" si="64"/>
        <v>393</v>
      </c>
      <c r="Q470">
        <f t="shared" si="63"/>
        <v>419</v>
      </c>
      <c r="S470" t="str">
        <f t="shared" si="61"/>
        <v>01.12.2025</v>
      </c>
      <c r="T470" t="str">
        <f t="shared" si="62"/>
        <v>16:00:00</v>
      </c>
      <c r="U470" t="str">
        <f t="shared" si="66"/>
        <v>01.12.2025 16:00:00</v>
      </c>
      <c r="V470" s="9" t="str">
        <f>MID($A470,C470+C$2+1,D470-C470-C$2-1)</f>
        <v>0</v>
      </c>
      <c r="W470" s="4">
        <f>VALUE(SUBSTITUTE(MID($A470,D470+D$2+1,E470-D470-D$2-1),",","."))</f>
        <v>0</v>
      </c>
      <c r="X470" s="4">
        <f>VALUE(SUBSTITUTE(MID($A470,E470+E$2+1,F470-E470-E$2-1),",","."))</f>
        <v>0.90957602214449496</v>
      </c>
      <c r="Y470" s="4">
        <f>VALUE(SUBSTITUTE(MID($A470,F470+F$2+1,G470-F470-F$2-1),",","."))</f>
        <v>5.9275999177756902E-2</v>
      </c>
      <c r="Z470" s="3">
        <f>VALUE(SUBSTITUTE(MID($A470,G470+G$2+1,H470-G470-G$2-1),",","."))</f>
        <v>100.049999999999</v>
      </c>
      <c r="AA470" s="3">
        <f>VALUE(SUBSTITUTE(MID($A470,H470+H$2+1,I470-H470-H$2-1),",","."))</f>
        <v>0</v>
      </c>
      <c r="AB470" s="3">
        <f>VALUE(SUBSTITUTE(MID($A470,I470+I$2+1,J470-I470-I$2-1),",","."))</f>
        <v>44.5</v>
      </c>
      <c r="AC470" s="3">
        <f>VALUE(SUBSTITUTE(MID($A470,J470+J$2+1,K470-J470-J$2-1),",","."))</f>
        <v>3.5999999999999899</v>
      </c>
      <c r="AD470" s="3">
        <f>VALUE(SUBSTITUTE(MID($A470,K470+K$2+1,L470-K470-K$2-1),",","."))</f>
        <v>10.8</v>
      </c>
      <c r="AE470" s="3">
        <f>VALUE(SUBSTITUTE(MID($A470,L470+L$2+1,M470-L470-L$2-1),",","."))</f>
        <v>0</v>
      </c>
      <c r="AF470" s="3">
        <f>VALUE(SUBSTITUTE(MID($A470,M470+M$2+1,N470-M470-M$2-1),",","."))</f>
        <v>0</v>
      </c>
      <c r="AG470" s="3">
        <f>VALUE(SUBSTITUTE(MID($A470,N470+N$2+1,O470-N470-N$2-1),",","."))</f>
        <v>4.2167795324125503</v>
      </c>
      <c r="AH470" t="str">
        <f>MID($A470,O470+O$2+1,P470-O470-O$2-1)</f>
        <v/>
      </c>
      <c r="AI470" s="8" t="str">
        <f>MID($A470,P470+P$2+1,Q470-P470-P$2-1)</f>
        <v>False</v>
      </c>
      <c r="AK470" t="b">
        <f t="shared" si="67"/>
        <v>0</v>
      </c>
    </row>
    <row r="471" spans="1:37" x14ac:dyDescent="0.35">
      <c r="A471" t="s">
        <v>5018</v>
      </c>
      <c r="B471">
        <f t="shared" si="65"/>
        <v>10</v>
      </c>
      <c r="C471">
        <f t="shared" si="65"/>
        <v>43</v>
      </c>
      <c r="D471">
        <f t="shared" si="65"/>
        <v>54</v>
      </c>
      <c r="E471">
        <f t="shared" si="65"/>
        <v>80</v>
      </c>
      <c r="F471">
        <f t="shared" si="65"/>
        <v>124</v>
      </c>
      <c r="G471">
        <f t="shared" si="65"/>
        <v>164</v>
      </c>
      <c r="H471">
        <f t="shared" si="64"/>
        <v>213</v>
      </c>
      <c r="I471">
        <f t="shared" si="64"/>
        <v>235</v>
      </c>
      <c r="J471">
        <f t="shared" si="64"/>
        <v>271</v>
      </c>
      <c r="K471">
        <f t="shared" si="64"/>
        <v>305</v>
      </c>
      <c r="L471">
        <f t="shared" si="64"/>
        <v>323</v>
      </c>
      <c r="M471">
        <f t="shared" si="64"/>
        <v>338</v>
      </c>
      <c r="N471">
        <f t="shared" si="64"/>
        <v>350</v>
      </c>
      <c r="O471">
        <f t="shared" si="64"/>
        <v>375</v>
      </c>
      <c r="P471">
        <f t="shared" si="64"/>
        <v>393</v>
      </c>
      <c r="Q471">
        <f t="shared" si="63"/>
        <v>419</v>
      </c>
      <c r="S471" t="str">
        <f t="shared" si="61"/>
        <v>01.12.2025</v>
      </c>
      <c r="T471" t="str">
        <f t="shared" si="62"/>
        <v>16:15:00</v>
      </c>
      <c r="U471" t="str">
        <f t="shared" si="66"/>
        <v>01.12.2025 16:15:00</v>
      </c>
      <c r="V471" s="9" t="str">
        <f>MID($A471,C471+C$2+1,D471-C471-C$2-1)</f>
        <v>0</v>
      </c>
      <c r="W471" s="4">
        <f>VALUE(SUBSTITUTE(MID($A471,D471+D$2+1,E471-D471-D$2-1),",","."))</f>
        <v>0</v>
      </c>
      <c r="X471" s="4">
        <f>VALUE(SUBSTITUTE(MID($A471,E471+E$2+1,F471-E471-E$2-1),",","."))</f>
        <v>0.90957602214449496</v>
      </c>
      <c r="Y471" s="4">
        <f>VALUE(SUBSTITUTE(MID($A471,F471+F$2+1,G471-F471-F$2-1),",","."))</f>
        <v>2.5818201574690901E-2</v>
      </c>
      <c r="Z471" s="3">
        <f>VALUE(SUBSTITUTE(MID($A471,G471+G$2+1,H471-G471-G$2-1),",","."))</f>
        <v>100.049999999999</v>
      </c>
      <c r="AA471" s="3">
        <f>VALUE(SUBSTITUTE(MID($A471,H471+H$2+1,I471-H471-H$2-1),",","."))</f>
        <v>0</v>
      </c>
      <c r="AB471" s="3">
        <f>VALUE(SUBSTITUTE(MID($A471,I471+I$2+1,J471-I471-I$2-1),",","."))</f>
        <v>44.5</v>
      </c>
      <c r="AC471" s="3">
        <f>VALUE(SUBSTITUTE(MID($A471,J471+J$2+1,K471-J471-J$2-1),",","."))</f>
        <v>3.5999999999999899</v>
      </c>
      <c r="AD471" s="3">
        <f>VALUE(SUBSTITUTE(MID($A471,K471+K$2+1,L471-K471-K$2-1),",","."))</f>
        <v>10.8</v>
      </c>
      <c r="AE471" s="3">
        <f>VALUE(SUBSTITUTE(MID($A471,L471+L$2+1,M471-L471-L$2-1),",","."))</f>
        <v>0</v>
      </c>
      <c r="AF471" s="3">
        <f>VALUE(SUBSTITUTE(MID($A471,M471+M$2+1,N471-M471-M$2-1),",","."))</f>
        <v>0</v>
      </c>
      <c r="AG471" s="3">
        <f>VALUE(SUBSTITUTE(MID($A471,N471+N$2+1,O471-N471-N$2-1),",","."))</f>
        <v>4.2168080523006299</v>
      </c>
      <c r="AH471" t="str">
        <f>MID($A471,O471+O$2+1,P471-O471-O$2-1)</f>
        <v/>
      </c>
      <c r="AI471" s="8" t="str">
        <f>MID($A471,P471+P$2+1,Q471-P471-P$2-1)</f>
        <v>False</v>
      </c>
      <c r="AK471" t="b">
        <f t="shared" si="67"/>
        <v>0</v>
      </c>
    </row>
    <row r="472" spans="1:37" x14ac:dyDescent="0.35">
      <c r="A472" t="s">
        <v>5019</v>
      </c>
      <c r="B472">
        <f t="shared" si="65"/>
        <v>10</v>
      </c>
      <c r="C472">
        <f t="shared" si="65"/>
        <v>43</v>
      </c>
      <c r="D472">
        <f t="shared" si="65"/>
        <v>54</v>
      </c>
      <c r="E472">
        <f t="shared" si="65"/>
        <v>80</v>
      </c>
      <c r="F472">
        <f t="shared" si="65"/>
        <v>124</v>
      </c>
      <c r="G472">
        <f t="shared" si="65"/>
        <v>145</v>
      </c>
      <c r="H472">
        <f t="shared" si="64"/>
        <v>180</v>
      </c>
      <c r="I472">
        <f t="shared" si="64"/>
        <v>202</v>
      </c>
      <c r="J472">
        <f t="shared" si="64"/>
        <v>237</v>
      </c>
      <c r="K472">
        <f t="shared" ref="K472:Q513" si="68">FIND(K$1,$A472)</f>
        <v>257</v>
      </c>
      <c r="L472">
        <f t="shared" si="68"/>
        <v>276</v>
      </c>
      <c r="M472">
        <f t="shared" si="68"/>
        <v>291</v>
      </c>
      <c r="N472">
        <f t="shared" si="68"/>
        <v>303</v>
      </c>
      <c r="O472">
        <f t="shared" si="68"/>
        <v>328</v>
      </c>
      <c r="P472">
        <f t="shared" si="68"/>
        <v>346</v>
      </c>
      <c r="Q472">
        <f t="shared" si="63"/>
        <v>372</v>
      </c>
      <c r="S472" t="str">
        <f t="shared" si="61"/>
        <v>01.12.2025</v>
      </c>
      <c r="T472" t="str">
        <f t="shared" si="62"/>
        <v>16:30:00</v>
      </c>
      <c r="U472" t="str">
        <f t="shared" si="66"/>
        <v>01.12.2025 16:30:00</v>
      </c>
      <c r="V472" s="9" t="str">
        <f>MID($A472,C472+C$2+1,D472-C472-C$2-1)</f>
        <v>0</v>
      </c>
      <c r="W472" s="4">
        <f>VALUE(SUBSTITUTE(MID($A472,D472+D$2+1,E472-D472-D$2-1),",","."))</f>
        <v>0</v>
      </c>
      <c r="X472" s="4">
        <f>VALUE(SUBSTITUTE(MID($A472,E472+E$2+1,F472-E472-E$2-1),",","."))</f>
        <v>0.90957602214449496</v>
      </c>
      <c r="Y472" s="4">
        <f>VALUE(SUBSTITUTE(MID($A472,F472+F$2+1,G472-F472-F$2-1),",","."))</f>
        <v>0</v>
      </c>
      <c r="Z472" s="3">
        <f>VALUE(SUBSTITUTE(MID($A472,G472+G$2+1,H472-G472-G$2-1),",","."))</f>
        <v>32.4</v>
      </c>
      <c r="AA472" s="3">
        <f>VALUE(SUBSTITUTE(MID($A472,H472+H$2+1,I472-H472-H$2-1),",","."))</f>
        <v>0</v>
      </c>
      <c r="AB472" s="3">
        <f>VALUE(SUBSTITUTE(MID($A472,I472+I$2+1,J472-I472-I$2-1),",","."))</f>
        <v>8.5</v>
      </c>
      <c r="AC472" s="3">
        <f>VALUE(SUBSTITUTE(MID($A472,J472+J$2+1,K472-J472-J$2-1),",","."))</f>
        <v>2.95</v>
      </c>
      <c r="AD472" s="3">
        <f>VALUE(SUBSTITUTE(MID($A472,K472+K$2+1,L472-K472-K$2-1),",","."))</f>
        <v>11.34</v>
      </c>
      <c r="AE472" s="3">
        <f>VALUE(SUBSTITUTE(MID($A472,L472+L$2+1,M472-L472-L$2-1),",","."))</f>
        <v>0</v>
      </c>
      <c r="AF472" s="3">
        <f>VALUE(SUBSTITUTE(MID($A472,M472+M$2+1,N472-M472-M$2-1),",","."))</f>
        <v>0</v>
      </c>
      <c r="AG472" s="3">
        <f>VALUE(SUBSTITUTE(MID($A472,N472+N$2+1,O472-N472-N$2-1),",","."))</f>
        <v>4.2168365721887104</v>
      </c>
      <c r="AH472" t="str">
        <f>MID($A472,O472+O$2+1,P472-O472-O$2-1)</f>
        <v/>
      </c>
      <c r="AI472" s="8" t="str">
        <f>MID($A472,P472+P$2+1,Q472-P472-P$2-1)</f>
        <v>False</v>
      </c>
      <c r="AK472" t="b">
        <f t="shared" si="67"/>
        <v>0</v>
      </c>
    </row>
    <row r="473" spans="1:37" x14ac:dyDescent="0.35">
      <c r="A473" t="s">
        <v>5020</v>
      </c>
      <c r="B473">
        <f t="shared" si="65"/>
        <v>10</v>
      </c>
      <c r="C473">
        <f t="shared" si="65"/>
        <v>43</v>
      </c>
      <c r="D473">
        <f t="shared" si="65"/>
        <v>54</v>
      </c>
      <c r="E473">
        <f t="shared" si="65"/>
        <v>80</v>
      </c>
      <c r="F473">
        <f t="shared" si="65"/>
        <v>124</v>
      </c>
      <c r="G473">
        <f t="shared" si="65"/>
        <v>145</v>
      </c>
      <c r="H473">
        <f t="shared" si="65"/>
        <v>180</v>
      </c>
      <c r="I473">
        <f t="shared" si="65"/>
        <v>202</v>
      </c>
      <c r="J473">
        <f t="shared" si="65"/>
        <v>237</v>
      </c>
      <c r="K473">
        <f t="shared" si="68"/>
        <v>257</v>
      </c>
      <c r="L473">
        <f t="shared" si="68"/>
        <v>276</v>
      </c>
      <c r="M473">
        <f t="shared" si="68"/>
        <v>291</v>
      </c>
      <c r="N473">
        <f t="shared" si="68"/>
        <v>303</v>
      </c>
      <c r="O473">
        <f t="shared" si="68"/>
        <v>328</v>
      </c>
      <c r="P473">
        <f t="shared" si="68"/>
        <v>346</v>
      </c>
      <c r="Q473">
        <f t="shared" si="63"/>
        <v>372</v>
      </c>
      <c r="S473" t="str">
        <f t="shared" si="61"/>
        <v>01.12.2025</v>
      </c>
      <c r="T473" t="str">
        <f t="shared" si="62"/>
        <v>16:45:00</v>
      </c>
      <c r="U473" t="str">
        <f t="shared" si="66"/>
        <v>01.12.2025 16:45:00</v>
      </c>
      <c r="V473" s="9" t="str">
        <f>MID($A473,C473+C$2+1,D473-C473-C$2-1)</f>
        <v>0</v>
      </c>
      <c r="W473" s="4">
        <f>VALUE(SUBSTITUTE(MID($A473,D473+D$2+1,E473-D473-D$2-1),",","."))</f>
        <v>0</v>
      </c>
      <c r="X473" s="4">
        <f>VALUE(SUBSTITUTE(MID($A473,E473+E$2+1,F473-E473-E$2-1),",","."))</f>
        <v>0.90957602214449496</v>
      </c>
      <c r="Y473" s="4">
        <f>VALUE(SUBSTITUTE(MID($A473,F473+F$2+1,G473-F473-F$2-1),",","."))</f>
        <v>0</v>
      </c>
      <c r="Z473" s="3">
        <f>VALUE(SUBSTITUTE(MID($A473,G473+G$2+1,H473-G473-G$2-1),",","."))</f>
        <v>32.4</v>
      </c>
      <c r="AA473" s="3">
        <f>VALUE(SUBSTITUTE(MID($A473,H473+H$2+1,I473-H473-H$2-1),",","."))</f>
        <v>0</v>
      </c>
      <c r="AB473" s="3">
        <f>VALUE(SUBSTITUTE(MID($A473,I473+I$2+1,J473-I473-I$2-1),",","."))</f>
        <v>8.5</v>
      </c>
      <c r="AC473" s="3">
        <f>VALUE(SUBSTITUTE(MID($A473,J473+J$2+1,K473-J473-J$2-1),",","."))</f>
        <v>2.95</v>
      </c>
      <c r="AD473" s="3">
        <f>VALUE(SUBSTITUTE(MID($A473,K473+K$2+1,L473-K473-K$2-1),",","."))</f>
        <v>11.34</v>
      </c>
      <c r="AE473" s="3">
        <f>VALUE(SUBSTITUTE(MID($A473,L473+L$2+1,M473-L473-L$2-1),",","."))</f>
        <v>0</v>
      </c>
      <c r="AF473" s="3">
        <f>VALUE(SUBSTITUTE(MID($A473,M473+M$2+1,N473-M473-M$2-1),",","."))</f>
        <v>0</v>
      </c>
      <c r="AG473" s="3">
        <f>VALUE(SUBSTITUTE(MID($A473,N473+N$2+1,O473-N473-N$2-1),",","."))</f>
        <v>4.2168650920767998</v>
      </c>
      <c r="AH473" t="str">
        <f>MID($A473,O473+O$2+1,P473-O473-O$2-1)</f>
        <v/>
      </c>
      <c r="AI473" s="8" t="str">
        <f>MID($A473,P473+P$2+1,Q473-P473-P$2-1)</f>
        <v>False</v>
      </c>
      <c r="AK473" t="b">
        <f t="shared" si="67"/>
        <v>0</v>
      </c>
    </row>
    <row r="474" spans="1:37" x14ac:dyDescent="0.35">
      <c r="A474" t="s">
        <v>5021</v>
      </c>
      <c r="B474">
        <f t="shared" si="65"/>
        <v>10</v>
      </c>
      <c r="C474">
        <f t="shared" si="65"/>
        <v>43</v>
      </c>
      <c r="D474">
        <f t="shared" si="65"/>
        <v>54</v>
      </c>
      <c r="E474">
        <f t="shared" si="65"/>
        <v>80</v>
      </c>
      <c r="F474">
        <f t="shared" si="65"/>
        <v>124</v>
      </c>
      <c r="G474">
        <f t="shared" si="65"/>
        <v>145</v>
      </c>
      <c r="H474">
        <f t="shared" si="65"/>
        <v>180</v>
      </c>
      <c r="I474">
        <f t="shared" si="65"/>
        <v>202</v>
      </c>
      <c r="J474">
        <f t="shared" si="65"/>
        <v>237</v>
      </c>
      <c r="K474">
        <f t="shared" si="68"/>
        <v>257</v>
      </c>
      <c r="L474">
        <f t="shared" si="68"/>
        <v>276</v>
      </c>
      <c r="M474">
        <f t="shared" si="68"/>
        <v>291</v>
      </c>
      <c r="N474">
        <f t="shared" si="68"/>
        <v>303</v>
      </c>
      <c r="O474">
        <f t="shared" si="68"/>
        <v>328</v>
      </c>
      <c r="P474">
        <f t="shared" si="68"/>
        <v>346</v>
      </c>
      <c r="Q474">
        <f t="shared" si="63"/>
        <v>372</v>
      </c>
      <c r="S474" t="str">
        <f t="shared" si="61"/>
        <v>01.12.2025</v>
      </c>
      <c r="T474" t="str">
        <f t="shared" si="62"/>
        <v>17:00:00</v>
      </c>
      <c r="U474" t="str">
        <f t="shared" si="66"/>
        <v>01.12.2025 17:00:00</v>
      </c>
      <c r="V474" s="9" t="str">
        <f>MID($A474,C474+C$2+1,D474-C474-C$2-1)</f>
        <v>0</v>
      </c>
      <c r="W474" s="4">
        <f>VALUE(SUBSTITUTE(MID($A474,D474+D$2+1,E474-D474-D$2-1),",","."))</f>
        <v>0</v>
      </c>
      <c r="X474" s="4">
        <f>VALUE(SUBSTITUTE(MID($A474,E474+E$2+1,F474-E474-E$2-1),",","."))</f>
        <v>0.90957602214449496</v>
      </c>
      <c r="Y474" s="4">
        <f>VALUE(SUBSTITUTE(MID($A474,F474+F$2+1,G474-F474-F$2-1),",","."))</f>
        <v>0</v>
      </c>
      <c r="Z474" s="3">
        <f>VALUE(SUBSTITUTE(MID($A474,G474+G$2+1,H474-G474-G$2-1),",","."))</f>
        <v>32.4</v>
      </c>
      <c r="AA474" s="3">
        <f>VALUE(SUBSTITUTE(MID($A474,H474+H$2+1,I474-H474-H$2-1),",","."))</f>
        <v>0</v>
      </c>
      <c r="AB474" s="3">
        <f>VALUE(SUBSTITUTE(MID($A474,I474+I$2+1,J474-I474-I$2-1),",","."))</f>
        <v>8.5</v>
      </c>
      <c r="AC474" s="3">
        <f>VALUE(SUBSTITUTE(MID($A474,J474+J$2+1,K474-J474-J$2-1),",","."))</f>
        <v>2.95</v>
      </c>
      <c r="AD474" s="3">
        <f>VALUE(SUBSTITUTE(MID($A474,K474+K$2+1,L474-K474-K$2-1),",","."))</f>
        <v>11.34</v>
      </c>
      <c r="AE474" s="3">
        <f>VALUE(SUBSTITUTE(MID($A474,L474+L$2+1,M474-L474-L$2-1),",","."))</f>
        <v>0</v>
      </c>
      <c r="AF474" s="3">
        <f>VALUE(SUBSTITUTE(MID($A474,M474+M$2+1,N474-M474-M$2-1),",","."))</f>
        <v>0</v>
      </c>
      <c r="AG474" s="3">
        <f>VALUE(SUBSTITUTE(MID($A474,N474+N$2+1,O474-N474-N$2-1),",","."))</f>
        <v>4.2168936119648803</v>
      </c>
      <c r="AH474" t="str">
        <f>MID($A474,O474+O$2+1,P474-O474-O$2-1)</f>
        <v/>
      </c>
      <c r="AI474" s="8" t="str">
        <f>MID($A474,P474+P$2+1,Q474-P474-P$2-1)</f>
        <v>False</v>
      </c>
      <c r="AK474" t="b">
        <f t="shared" si="67"/>
        <v>0</v>
      </c>
    </row>
    <row r="475" spans="1:37" x14ac:dyDescent="0.35">
      <c r="A475" t="s">
        <v>5022</v>
      </c>
      <c r="B475">
        <f t="shared" si="65"/>
        <v>10</v>
      </c>
      <c r="C475">
        <f t="shared" si="65"/>
        <v>43</v>
      </c>
      <c r="D475">
        <f t="shared" si="65"/>
        <v>54</v>
      </c>
      <c r="E475">
        <f t="shared" si="65"/>
        <v>80</v>
      </c>
      <c r="F475">
        <f t="shared" si="65"/>
        <v>124</v>
      </c>
      <c r="G475">
        <f t="shared" si="65"/>
        <v>145</v>
      </c>
      <c r="H475">
        <f t="shared" si="65"/>
        <v>180</v>
      </c>
      <c r="I475">
        <f t="shared" si="65"/>
        <v>202</v>
      </c>
      <c r="J475">
        <f t="shared" si="65"/>
        <v>237</v>
      </c>
      <c r="K475">
        <f t="shared" si="68"/>
        <v>257</v>
      </c>
      <c r="L475">
        <f t="shared" si="68"/>
        <v>276</v>
      </c>
      <c r="M475">
        <f t="shared" si="68"/>
        <v>291</v>
      </c>
      <c r="N475">
        <f t="shared" si="68"/>
        <v>303</v>
      </c>
      <c r="O475">
        <f t="shared" si="68"/>
        <v>329</v>
      </c>
      <c r="P475">
        <f t="shared" si="68"/>
        <v>347</v>
      </c>
      <c r="Q475">
        <f t="shared" si="63"/>
        <v>373</v>
      </c>
      <c r="S475" t="str">
        <f t="shared" si="61"/>
        <v>01.12.2025</v>
      </c>
      <c r="T475" t="str">
        <f t="shared" si="62"/>
        <v>17:15:00</v>
      </c>
      <c r="U475" t="str">
        <f t="shared" si="66"/>
        <v>01.12.2025 17:15:00</v>
      </c>
      <c r="V475" s="9" t="str">
        <f>MID($A475,C475+C$2+1,D475-C475-C$2-1)</f>
        <v>0</v>
      </c>
      <c r="W475" s="4">
        <f>VALUE(SUBSTITUTE(MID($A475,D475+D$2+1,E475-D475-D$2-1),",","."))</f>
        <v>0</v>
      </c>
      <c r="X475" s="4">
        <f>VALUE(SUBSTITUTE(MID($A475,E475+E$2+1,F475-E475-E$2-1),",","."))</f>
        <v>0.90957602214449496</v>
      </c>
      <c r="Y475" s="4">
        <f>VALUE(SUBSTITUTE(MID($A475,F475+F$2+1,G475-F475-F$2-1),",","."))</f>
        <v>0</v>
      </c>
      <c r="Z475" s="3">
        <f>VALUE(SUBSTITUTE(MID($A475,G475+G$2+1,H475-G475-G$2-1),",","."))</f>
        <v>32.4</v>
      </c>
      <c r="AA475" s="3">
        <f>VALUE(SUBSTITUTE(MID($A475,H475+H$2+1,I475-H475-H$2-1),",","."))</f>
        <v>0</v>
      </c>
      <c r="AB475" s="3">
        <f>VALUE(SUBSTITUTE(MID($A475,I475+I$2+1,J475-I475-I$2-1),",","."))</f>
        <v>8.5</v>
      </c>
      <c r="AC475" s="3">
        <f>VALUE(SUBSTITUTE(MID($A475,J475+J$2+1,K475-J475-J$2-1),",","."))</f>
        <v>2.95</v>
      </c>
      <c r="AD475" s="3">
        <f>VALUE(SUBSTITUTE(MID($A475,K475+K$2+1,L475-K475-K$2-1),",","."))</f>
        <v>11.34</v>
      </c>
      <c r="AE475" s="3">
        <f>VALUE(SUBSTITUTE(MID($A475,L475+L$2+1,M475-L475-L$2-1),",","."))</f>
        <v>0</v>
      </c>
      <c r="AF475" s="3">
        <f>VALUE(SUBSTITUTE(MID($A475,M475+M$2+1,N475-M475-M$2-1),",","."))</f>
        <v>0</v>
      </c>
      <c r="AG475" s="3">
        <f>VALUE(SUBSTITUTE(MID($A475,N475+N$2+1,O475-N475-N$2-1),",","."))</f>
        <v>4.2169221318529599</v>
      </c>
      <c r="AH475" t="str">
        <f>MID($A475,O475+O$2+1,P475-O475-O$2-1)</f>
        <v/>
      </c>
      <c r="AI475" s="8" t="str">
        <f>MID($A475,P475+P$2+1,Q475-P475-P$2-1)</f>
        <v>False</v>
      </c>
      <c r="AK475" t="b">
        <f t="shared" si="67"/>
        <v>0</v>
      </c>
    </row>
    <row r="476" spans="1:37" x14ac:dyDescent="0.35">
      <c r="A476" t="s">
        <v>5023</v>
      </c>
      <c r="B476">
        <f t="shared" si="65"/>
        <v>10</v>
      </c>
      <c r="C476">
        <f t="shared" si="65"/>
        <v>43</v>
      </c>
      <c r="D476">
        <f t="shared" si="65"/>
        <v>54</v>
      </c>
      <c r="E476">
        <f t="shared" si="65"/>
        <v>80</v>
      </c>
      <c r="F476">
        <f t="shared" si="65"/>
        <v>124</v>
      </c>
      <c r="G476">
        <f t="shared" si="65"/>
        <v>145</v>
      </c>
      <c r="H476">
        <f t="shared" si="65"/>
        <v>177</v>
      </c>
      <c r="I476">
        <f t="shared" si="65"/>
        <v>199</v>
      </c>
      <c r="J476">
        <f t="shared" si="65"/>
        <v>232</v>
      </c>
      <c r="K476">
        <f t="shared" si="68"/>
        <v>252</v>
      </c>
      <c r="L476">
        <f t="shared" si="68"/>
        <v>284</v>
      </c>
      <c r="M476">
        <f t="shared" si="68"/>
        <v>299</v>
      </c>
      <c r="N476">
        <f t="shared" si="68"/>
        <v>311</v>
      </c>
      <c r="O476">
        <f t="shared" si="68"/>
        <v>336</v>
      </c>
      <c r="P476">
        <f t="shared" si="68"/>
        <v>354</v>
      </c>
      <c r="Q476">
        <f t="shared" si="63"/>
        <v>380</v>
      </c>
      <c r="S476" t="str">
        <f t="shared" si="61"/>
        <v>01.12.2025</v>
      </c>
      <c r="T476" t="str">
        <f t="shared" si="62"/>
        <v>17:30:00</v>
      </c>
      <c r="U476" t="str">
        <f t="shared" si="66"/>
        <v>01.12.2025 17:30:00</v>
      </c>
      <c r="V476" s="9" t="str">
        <f>MID($A476,C476+C$2+1,D476-C476-C$2-1)</f>
        <v>0</v>
      </c>
      <c r="W476" s="4">
        <f>VALUE(SUBSTITUTE(MID($A476,D476+D$2+1,E476-D476-D$2-1),",","."))</f>
        <v>0</v>
      </c>
      <c r="X476" s="4">
        <f>VALUE(SUBSTITUTE(MID($A476,E476+E$2+1,F476-E476-E$2-1),",","."))</f>
        <v>0.90957602214449496</v>
      </c>
      <c r="Y476" s="4">
        <f>VALUE(SUBSTITUTE(MID($A476,F476+F$2+1,G476-F476-F$2-1),",","."))</f>
        <v>0</v>
      </c>
      <c r="Z476" s="3">
        <f>VALUE(SUBSTITUTE(MID($A476,G476+G$2+1,H476-G476-G$2-1),",","."))</f>
        <v>0</v>
      </c>
      <c r="AA476" s="3">
        <f>VALUE(SUBSTITUTE(MID($A476,H476+H$2+1,I476-H476-H$2-1),",","."))</f>
        <v>0</v>
      </c>
      <c r="AB476" s="3">
        <f>VALUE(SUBSTITUTE(MID($A476,I476+I$2+1,J476-I476-I$2-1),",","."))</f>
        <v>0</v>
      </c>
      <c r="AC476" s="3">
        <f>VALUE(SUBSTITUTE(MID($A476,J476+J$2+1,K476-J476-J$2-1),",","."))</f>
        <v>2.0499999999999998</v>
      </c>
      <c r="AD476" s="3">
        <f>VALUE(SUBSTITUTE(MID($A476,K476+K$2+1,L476-K476-K$2-1),",","."))</f>
        <v>12.6</v>
      </c>
      <c r="AE476" s="3">
        <f>VALUE(SUBSTITUTE(MID($A476,L476+L$2+1,M476-L476-L$2-1),",","."))</f>
        <v>0</v>
      </c>
      <c r="AF476" s="3">
        <f>VALUE(SUBSTITUTE(MID($A476,M476+M$2+1,N476-M476-M$2-1),",","."))</f>
        <v>0</v>
      </c>
      <c r="AG476" s="3">
        <f>VALUE(SUBSTITUTE(MID($A476,N476+N$2+1,O476-N476-N$2-1),",","."))</f>
        <v>4.2169506517410396</v>
      </c>
      <c r="AH476" t="str">
        <f>MID($A476,O476+O$2+1,P476-O476-O$2-1)</f>
        <v/>
      </c>
      <c r="AI476" s="8" t="str">
        <f>MID($A476,P476+P$2+1,Q476-P476-P$2-1)</f>
        <v>False</v>
      </c>
      <c r="AK476" t="b">
        <f t="shared" si="67"/>
        <v>0</v>
      </c>
    </row>
    <row r="477" spans="1:37" x14ac:dyDescent="0.35">
      <c r="A477" t="s">
        <v>5024</v>
      </c>
      <c r="B477">
        <f t="shared" si="65"/>
        <v>10</v>
      </c>
      <c r="C477">
        <f t="shared" si="65"/>
        <v>43</v>
      </c>
      <c r="D477">
        <f t="shared" si="65"/>
        <v>54</v>
      </c>
      <c r="E477">
        <f t="shared" si="65"/>
        <v>80</v>
      </c>
      <c r="F477">
        <f t="shared" si="65"/>
        <v>124</v>
      </c>
      <c r="G477">
        <f t="shared" si="65"/>
        <v>145</v>
      </c>
      <c r="H477">
        <f t="shared" si="65"/>
        <v>177</v>
      </c>
      <c r="I477">
        <f t="shared" si="65"/>
        <v>199</v>
      </c>
      <c r="J477">
        <f t="shared" si="65"/>
        <v>232</v>
      </c>
      <c r="K477">
        <f t="shared" si="68"/>
        <v>252</v>
      </c>
      <c r="L477">
        <f t="shared" si="68"/>
        <v>284</v>
      </c>
      <c r="M477">
        <f t="shared" si="68"/>
        <v>299</v>
      </c>
      <c r="N477">
        <f t="shared" si="68"/>
        <v>311</v>
      </c>
      <c r="O477">
        <f t="shared" si="68"/>
        <v>336</v>
      </c>
      <c r="P477">
        <f t="shared" si="68"/>
        <v>354</v>
      </c>
      <c r="Q477">
        <f t="shared" si="63"/>
        <v>380</v>
      </c>
      <c r="S477" t="str">
        <f t="shared" si="61"/>
        <v>01.12.2025</v>
      </c>
      <c r="T477" t="str">
        <f t="shared" si="62"/>
        <v>17:45:00</v>
      </c>
      <c r="U477" t="str">
        <f t="shared" si="66"/>
        <v>01.12.2025 17:45:00</v>
      </c>
      <c r="V477" s="9" t="str">
        <f>MID($A477,C477+C$2+1,D477-C477-C$2-1)</f>
        <v>0</v>
      </c>
      <c r="W477" s="4">
        <f>VALUE(SUBSTITUTE(MID($A477,D477+D$2+1,E477-D477-D$2-1),",","."))</f>
        <v>0</v>
      </c>
      <c r="X477" s="4">
        <f>VALUE(SUBSTITUTE(MID($A477,E477+E$2+1,F477-E477-E$2-1),",","."))</f>
        <v>0.90957602214449496</v>
      </c>
      <c r="Y477" s="4">
        <f>VALUE(SUBSTITUTE(MID($A477,F477+F$2+1,G477-F477-F$2-1),",","."))</f>
        <v>0</v>
      </c>
      <c r="Z477" s="3">
        <f>VALUE(SUBSTITUTE(MID($A477,G477+G$2+1,H477-G477-G$2-1),",","."))</f>
        <v>0</v>
      </c>
      <c r="AA477" s="3">
        <f>VALUE(SUBSTITUTE(MID($A477,H477+H$2+1,I477-H477-H$2-1),",","."))</f>
        <v>0</v>
      </c>
      <c r="AB477" s="3">
        <f>VALUE(SUBSTITUTE(MID($A477,I477+I$2+1,J477-I477-I$2-1),",","."))</f>
        <v>0</v>
      </c>
      <c r="AC477" s="3">
        <f>VALUE(SUBSTITUTE(MID($A477,J477+J$2+1,K477-J477-J$2-1),",","."))</f>
        <v>2.0499999999999998</v>
      </c>
      <c r="AD477" s="3">
        <f>VALUE(SUBSTITUTE(MID($A477,K477+K$2+1,L477-K477-K$2-1),",","."))</f>
        <v>12.6</v>
      </c>
      <c r="AE477" s="3">
        <f>VALUE(SUBSTITUTE(MID($A477,L477+L$2+1,M477-L477-L$2-1),",","."))</f>
        <v>0</v>
      </c>
      <c r="AF477" s="3">
        <f>VALUE(SUBSTITUTE(MID($A477,M477+M$2+1,N477-M477-M$2-1),",","."))</f>
        <v>0</v>
      </c>
      <c r="AG477" s="3">
        <f>VALUE(SUBSTITUTE(MID($A477,N477+N$2+1,O477-N477-N$2-1),",","."))</f>
        <v>4.2169791716291201</v>
      </c>
      <c r="AH477" t="str">
        <f>MID($A477,O477+O$2+1,P477-O477-O$2-1)</f>
        <v/>
      </c>
      <c r="AI477" s="8" t="str">
        <f>MID($A477,P477+P$2+1,Q477-P477-P$2-1)</f>
        <v>False</v>
      </c>
      <c r="AK477" t="b">
        <f t="shared" si="67"/>
        <v>0</v>
      </c>
    </row>
    <row r="478" spans="1:37" x14ac:dyDescent="0.35">
      <c r="A478" t="s">
        <v>5025</v>
      </c>
      <c r="B478">
        <f t="shared" si="65"/>
        <v>10</v>
      </c>
      <c r="C478">
        <f t="shared" si="65"/>
        <v>43</v>
      </c>
      <c r="D478">
        <f t="shared" si="65"/>
        <v>54</v>
      </c>
      <c r="E478">
        <f t="shared" si="65"/>
        <v>80</v>
      </c>
      <c r="F478">
        <f t="shared" si="65"/>
        <v>124</v>
      </c>
      <c r="G478">
        <f t="shared" si="65"/>
        <v>145</v>
      </c>
      <c r="H478">
        <f t="shared" si="65"/>
        <v>177</v>
      </c>
      <c r="I478">
        <f t="shared" si="65"/>
        <v>199</v>
      </c>
      <c r="J478">
        <f t="shared" si="65"/>
        <v>232</v>
      </c>
      <c r="K478">
        <f t="shared" si="68"/>
        <v>252</v>
      </c>
      <c r="L478">
        <f t="shared" si="68"/>
        <v>284</v>
      </c>
      <c r="M478">
        <f t="shared" si="68"/>
        <v>299</v>
      </c>
      <c r="N478">
        <f t="shared" si="68"/>
        <v>311</v>
      </c>
      <c r="O478">
        <f t="shared" si="68"/>
        <v>336</v>
      </c>
      <c r="P478">
        <f t="shared" si="68"/>
        <v>354</v>
      </c>
      <c r="Q478">
        <f t="shared" si="63"/>
        <v>380</v>
      </c>
      <c r="S478" t="str">
        <f t="shared" si="61"/>
        <v>01.12.2025</v>
      </c>
      <c r="T478" t="str">
        <f t="shared" si="62"/>
        <v>18:00:00</v>
      </c>
      <c r="U478" t="str">
        <f t="shared" si="66"/>
        <v>01.12.2025 18:00:00</v>
      </c>
      <c r="V478" s="9" t="str">
        <f>MID($A478,C478+C$2+1,D478-C478-C$2-1)</f>
        <v>0</v>
      </c>
      <c r="W478" s="4">
        <f>VALUE(SUBSTITUTE(MID($A478,D478+D$2+1,E478-D478-D$2-1),",","."))</f>
        <v>0</v>
      </c>
      <c r="X478" s="4">
        <f>VALUE(SUBSTITUTE(MID($A478,E478+E$2+1,F478-E478-E$2-1),",","."))</f>
        <v>0.90957602214449496</v>
      </c>
      <c r="Y478" s="4">
        <f>VALUE(SUBSTITUTE(MID($A478,F478+F$2+1,G478-F478-F$2-1),",","."))</f>
        <v>0</v>
      </c>
      <c r="Z478" s="3">
        <f>VALUE(SUBSTITUTE(MID($A478,G478+G$2+1,H478-G478-G$2-1),",","."))</f>
        <v>0</v>
      </c>
      <c r="AA478" s="3">
        <f>VALUE(SUBSTITUTE(MID($A478,H478+H$2+1,I478-H478-H$2-1),",","."))</f>
        <v>0</v>
      </c>
      <c r="AB478" s="3">
        <f>VALUE(SUBSTITUTE(MID($A478,I478+I$2+1,J478-I478-I$2-1),",","."))</f>
        <v>0</v>
      </c>
      <c r="AC478" s="3">
        <f>VALUE(SUBSTITUTE(MID($A478,J478+J$2+1,K478-J478-J$2-1),",","."))</f>
        <v>2.0499999999999998</v>
      </c>
      <c r="AD478" s="3">
        <f>VALUE(SUBSTITUTE(MID($A478,K478+K$2+1,L478-K478-K$2-1),",","."))</f>
        <v>12.6</v>
      </c>
      <c r="AE478" s="3">
        <f>VALUE(SUBSTITUTE(MID($A478,L478+L$2+1,M478-L478-L$2-1),",","."))</f>
        <v>0</v>
      </c>
      <c r="AF478" s="3">
        <f>VALUE(SUBSTITUTE(MID($A478,M478+M$2+1,N478-M478-M$2-1),",","."))</f>
        <v>0</v>
      </c>
      <c r="AG478" s="3">
        <f>VALUE(SUBSTITUTE(MID($A478,N478+N$2+1,O478-N478-N$2-1),",","."))</f>
        <v>4.2170076915171997</v>
      </c>
      <c r="AH478" t="str">
        <f>MID($A478,O478+O$2+1,P478-O478-O$2-1)</f>
        <v/>
      </c>
      <c r="AI478" s="8" t="str">
        <f>MID($A478,P478+P$2+1,Q478-P478-P$2-1)</f>
        <v>False</v>
      </c>
      <c r="AK478" t="b">
        <f t="shared" si="67"/>
        <v>0</v>
      </c>
    </row>
    <row r="479" spans="1:37" x14ac:dyDescent="0.35">
      <c r="A479" t="s">
        <v>5026</v>
      </c>
      <c r="B479">
        <f t="shared" si="65"/>
        <v>10</v>
      </c>
      <c r="C479">
        <f t="shared" si="65"/>
        <v>43</v>
      </c>
      <c r="D479">
        <f t="shared" si="65"/>
        <v>54</v>
      </c>
      <c r="E479">
        <f t="shared" si="65"/>
        <v>80</v>
      </c>
      <c r="F479">
        <f t="shared" si="65"/>
        <v>124</v>
      </c>
      <c r="G479">
        <f t="shared" si="65"/>
        <v>145</v>
      </c>
      <c r="H479">
        <f t="shared" si="65"/>
        <v>177</v>
      </c>
      <c r="I479">
        <f t="shared" si="65"/>
        <v>199</v>
      </c>
      <c r="J479">
        <f t="shared" si="65"/>
        <v>232</v>
      </c>
      <c r="K479">
        <f t="shared" si="68"/>
        <v>252</v>
      </c>
      <c r="L479">
        <f t="shared" si="68"/>
        <v>284</v>
      </c>
      <c r="M479">
        <f t="shared" si="68"/>
        <v>299</v>
      </c>
      <c r="N479">
        <f t="shared" si="68"/>
        <v>311</v>
      </c>
      <c r="O479">
        <f t="shared" si="68"/>
        <v>335</v>
      </c>
      <c r="P479">
        <f t="shared" si="68"/>
        <v>353</v>
      </c>
      <c r="Q479">
        <f t="shared" si="63"/>
        <v>379</v>
      </c>
      <c r="S479" t="str">
        <f t="shared" si="61"/>
        <v>01.12.2025</v>
      </c>
      <c r="T479" t="str">
        <f t="shared" si="62"/>
        <v>18:15:00</v>
      </c>
      <c r="U479" t="str">
        <f t="shared" si="66"/>
        <v>01.12.2025 18:15:00</v>
      </c>
      <c r="V479" s="9" t="str">
        <f>MID($A479,C479+C$2+1,D479-C479-C$2-1)</f>
        <v>0</v>
      </c>
      <c r="W479" s="4">
        <f>VALUE(SUBSTITUTE(MID($A479,D479+D$2+1,E479-D479-D$2-1),",","."))</f>
        <v>0</v>
      </c>
      <c r="X479" s="4">
        <f>VALUE(SUBSTITUTE(MID($A479,E479+E$2+1,F479-E479-E$2-1),",","."))</f>
        <v>0.90957602214449496</v>
      </c>
      <c r="Y479" s="4">
        <f>VALUE(SUBSTITUTE(MID($A479,F479+F$2+1,G479-F479-F$2-1),",","."))</f>
        <v>0</v>
      </c>
      <c r="Z479" s="3">
        <f>VALUE(SUBSTITUTE(MID($A479,G479+G$2+1,H479-G479-G$2-1),",","."))</f>
        <v>0</v>
      </c>
      <c r="AA479" s="3">
        <f>VALUE(SUBSTITUTE(MID($A479,H479+H$2+1,I479-H479-H$2-1),",","."))</f>
        <v>0</v>
      </c>
      <c r="AB479" s="3">
        <f>VALUE(SUBSTITUTE(MID($A479,I479+I$2+1,J479-I479-I$2-1),",","."))</f>
        <v>0</v>
      </c>
      <c r="AC479" s="3">
        <f>VALUE(SUBSTITUTE(MID($A479,J479+J$2+1,K479-J479-J$2-1),",","."))</f>
        <v>2.0499999999999998</v>
      </c>
      <c r="AD479" s="3">
        <f>VALUE(SUBSTITUTE(MID($A479,K479+K$2+1,L479-K479-K$2-1),",","."))</f>
        <v>12.6</v>
      </c>
      <c r="AE479" s="3">
        <f>VALUE(SUBSTITUTE(MID($A479,L479+L$2+1,M479-L479-L$2-1),",","."))</f>
        <v>0</v>
      </c>
      <c r="AF479" s="3">
        <f>VALUE(SUBSTITUTE(MID($A479,M479+M$2+1,N479-M479-M$2-1),",","."))</f>
        <v>0</v>
      </c>
      <c r="AG479" s="3">
        <f>VALUE(SUBSTITUTE(MID($A479,N479+N$2+1,O479-N479-N$2-1),",","."))</f>
        <v>4.2170362114052899</v>
      </c>
      <c r="AH479" t="str">
        <f>MID($A479,O479+O$2+1,P479-O479-O$2-1)</f>
        <v/>
      </c>
      <c r="AI479" s="8" t="str">
        <f>MID($A479,P479+P$2+1,Q479-P479-P$2-1)</f>
        <v>False</v>
      </c>
      <c r="AK479" t="b">
        <f t="shared" si="67"/>
        <v>0</v>
      </c>
    </row>
    <row r="480" spans="1:37" x14ac:dyDescent="0.35">
      <c r="A480" t="s">
        <v>5027</v>
      </c>
      <c r="B480">
        <f t="shared" si="65"/>
        <v>10</v>
      </c>
      <c r="C480">
        <f t="shared" si="65"/>
        <v>43</v>
      </c>
      <c r="D480">
        <f t="shared" si="65"/>
        <v>54</v>
      </c>
      <c r="E480">
        <f t="shared" si="65"/>
        <v>80</v>
      </c>
      <c r="F480">
        <f t="shared" si="65"/>
        <v>124</v>
      </c>
      <c r="G480">
        <f t="shared" si="65"/>
        <v>145</v>
      </c>
      <c r="H480">
        <f t="shared" si="65"/>
        <v>177</v>
      </c>
      <c r="I480">
        <f t="shared" si="65"/>
        <v>199</v>
      </c>
      <c r="J480">
        <f t="shared" si="65"/>
        <v>232</v>
      </c>
      <c r="K480">
        <f t="shared" si="68"/>
        <v>252</v>
      </c>
      <c r="L480">
        <f t="shared" si="68"/>
        <v>271</v>
      </c>
      <c r="M480">
        <f t="shared" si="68"/>
        <v>286</v>
      </c>
      <c r="N480">
        <f t="shared" si="68"/>
        <v>298</v>
      </c>
      <c r="O480">
        <f t="shared" si="68"/>
        <v>323</v>
      </c>
      <c r="P480">
        <f t="shared" si="68"/>
        <v>341</v>
      </c>
      <c r="Q480">
        <f t="shared" si="63"/>
        <v>367</v>
      </c>
      <c r="S480" t="str">
        <f t="shared" si="61"/>
        <v>01.12.2025</v>
      </c>
      <c r="T480" t="str">
        <f t="shared" si="62"/>
        <v>18:30:00</v>
      </c>
      <c r="U480" t="str">
        <f t="shared" si="66"/>
        <v>01.12.2025 18:30:00</v>
      </c>
      <c r="V480" s="9" t="str">
        <f>MID($A480,C480+C$2+1,D480-C480-C$2-1)</f>
        <v>0</v>
      </c>
      <c r="W480" s="4">
        <f>VALUE(SUBSTITUTE(MID($A480,D480+D$2+1,E480-D480-D$2-1),",","."))</f>
        <v>0</v>
      </c>
      <c r="X480" s="4">
        <f>VALUE(SUBSTITUTE(MID($A480,E480+E$2+1,F480-E480-E$2-1),",","."))</f>
        <v>0.90957602214449496</v>
      </c>
      <c r="Y480" s="4">
        <f>VALUE(SUBSTITUTE(MID($A480,F480+F$2+1,G480-F480-F$2-1),",","."))</f>
        <v>0</v>
      </c>
      <c r="Z480" s="3">
        <f>VALUE(SUBSTITUTE(MID($A480,G480+G$2+1,H480-G480-G$2-1),",","."))</f>
        <v>0</v>
      </c>
      <c r="AA480" s="3">
        <f>VALUE(SUBSTITUTE(MID($A480,H480+H$2+1,I480-H480-H$2-1),",","."))</f>
        <v>0</v>
      </c>
      <c r="AB480" s="3">
        <f>VALUE(SUBSTITUTE(MID($A480,I480+I$2+1,J480-I480-I$2-1),",","."))</f>
        <v>0</v>
      </c>
      <c r="AC480" s="3">
        <f>VALUE(SUBSTITUTE(MID($A480,J480+J$2+1,K480-J480-J$2-1),",","."))</f>
        <v>1.1499999999999999</v>
      </c>
      <c r="AD480" s="3">
        <f>VALUE(SUBSTITUTE(MID($A480,K480+K$2+1,L480-K480-K$2-1),",","."))</f>
        <v>12.06</v>
      </c>
      <c r="AE480" s="3">
        <f>VALUE(SUBSTITUTE(MID($A480,L480+L$2+1,M480-L480-L$2-1),",","."))</f>
        <v>0</v>
      </c>
      <c r="AF480" s="3">
        <f>VALUE(SUBSTITUTE(MID($A480,M480+M$2+1,N480-M480-M$2-1),",","."))</f>
        <v>0</v>
      </c>
      <c r="AG480" s="3">
        <f>VALUE(SUBSTITUTE(MID($A480,N480+N$2+1,O480-N480-N$2-1),",","."))</f>
        <v>4.2170647312933696</v>
      </c>
      <c r="AH480" t="str">
        <f>MID($A480,O480+O$2+1,P480-O480-O$2-1)</f>
        <v/>
      </c>
      <c r="AI480" s="8" t="str">
        <f>MID($A480,P480+P$2+1,Q480-P480-P$2-1)</f>
        <v>False</v>
      </c>
      <c r="AK480" t="b">
        <f t="shared" si="67"/>
        <v>0</v>
      </c>
    </row>
    <row r="481" spans="1:37" x14ac:dyDescent="0.35">
      <c r="A481" t="s">
        <v>5028</v>
      </c>
      <c r="B481">
        <f t="shared" si="65"/>
        <v>10</v>
      </c>
      <c r="C481">
        <f t="shared" si="65"/>
        <v>43</v>
      </c>
      <c r="D481">
        <f t="shared" si="65"/>
        <v>54</v>
      </c>
      <c r="E481">
        <f t="shared" si="65"/>
        <v>80</v>
      </c>
      <c r="F481">
        <f t="shared" si="65"/>
        <v>124</v>
      </c>
      <c r="G481">
        <f t="shared" si="65"/>
        <v>145</v>
      </c>
      <c r="H481">
        <f t="shared" si="65"/>
        <v>177</v>
      </c>
      <c r="I481">
        <f t="shared" si="65"/>
        <v>199</v>
      </c>
      <c r="J481">
        <f t="shared" si="65"/>
        <v>232</v>
      </c>
      <c r="K481">
        <f t="shared" si="68"/>
        <v>252</v>
      </c>
      <c r="L481">
        <f t="shared" si="68"/>
        <v>271</v>
      </c>
      <c r="M481">
        <f t="shared" si="68"/>
        <v>286</v>
      </c>
      <c r="N481">
        <f t="shared" si="68"/>
        <v>298</v>
      </c>
      <c r="O481">
        <f t="shared" si="68"/>
        <v>323</v>
      </c>
      <c r="P481">
        <f t="shared" si="68"/>
        <v>341</v>
      </c>
      <c r="Q481">
        <f t="shared" si="63"/>
        <v>367</v>
      </c>
      <c r="S481" t="str">
        <f t="shared" si="61"/>
        <v>01.12.2025</v>
      </c>
      <c r="T481" t="str">
        <f t="shared" si="62"/>
        <v>18:45:00</v>
      </c>
      <c r="U481" t="str">
        <f t="shared" si="66"/>
        <v>01.12.2025 18:45:00</v>
      </c>
      <c r="V481" s="9" t="str">
        <f>MID($A481,C481+C$2+1,D481-C481-C$2-1)</f>
        <v>0</v>
      </c>
      <c r="W481" s="4">
        <f>VALUE(SUBSTITUTE(MID($A481,D481+D$2+1,E481-D481-D$2-1),",","."))</f>
        <v>0</v>
      </c>
      <c r="X481" s="4">
        <f>VALUE(SUBSTITUTE(MID($A481,E481+E$2+1,F481-E481-E$2-1),",","."))</f>
        <v>0.90957602214449496</v>
      </c>
      <c r="Y481" s="4">
        <f>VALUE(SUBSTITUTE(MID($A481,F481+F$2+1,G481-F481-F$2-1),",","."))</f>
        <v>0</v>
      </c>
      <c r="Z481" s="3">
        <f>VALUE(SUBSTITUTE(MID($A481,G481+G$2+1,H481-G481-G$2-1),",","."))</f>
        <v>0</v>
      </c>
      <c r="AA481" s="3">
        <f>VALUE(SUBSTITUTE(MID($A481,H481+H$2+1,I481-H481-H$2-1),",","."))</f>
        <v>0</v>
      </c>
      <c r="AB481" s="3">
        <f>VALUE(SUBSTITUTE(MID($A481,I481+I$2+1,J481-I481-I$2-1),",","."))</f>
        <v>0</v>
      </c>
      <c r="AC481" s="3">
        <f>VALUE(SUBSTITUTE(MID($A481,J481+J$2+1,K481-J481-J$2-1),",","."))</f>
        <v>1.1499999999999999</v>
      </c>
      <c r="AD481" s="3">
        <f>VALUE(SUBSTITUTE(MID($A481,K481+K$2+1,L481-K481-K$2-1),",","."))</f>
        <v>12.06</v>
      </c>
      <c r="AE481" s="3">
        <f>VALUE(SUBSTITUTE(MID($A481,L481+L$2+1,M481-L481-L$2-1),",","."))</f>
        <v>0</v>
      </c>
      <c r="AF481" s="3">
        <f>VALUE(SUBSTITUTE(MID($A481,M481+M$2+1,N481-M481-M$2-1),",","."))</f>
        <v>0</v>
      </c>
      <c r="AG481" s="3">
        <f>VALUE(SUBSTITUTE(MID($A481,N481+N$2+1,O481-N481-N$2-1),",","."))</f>
        <v>4.2170932511814501</v>
      </c>
      <c r="AH481" t="str">
        <f>MID($A481,O481+O$2+1,P481-O481-O$2-1)</f>
        <v/>
      </c>
      <c r="AI481" s="8" t="str">
        <f>MID($A481,P481+P$2+1,Q481-P481-P$2-1)</f>
        <v>False</v>
      </c>
      <c r="AK481" t="b">
        <f t="shared" si="67"/>
        <v>0</v>
      </c>
    </row>
    <row r="482" spans="1:37" x14ac:dyDescent="0.35">
      <c r="A482" t="s">
        <v>5029</v>
      </c>
      <c r="B482">
        <f t="shared" si="65"/>
        <v>10</v>
      </c>
      <c r="C482">
        <f t="shared" si="65"/>
        <v>43</v>
      </c>
      <c r="D482">
        <f t="shared" si="65"/>
        <v>54</v>
      </c>
      <c r="E482">
        <f t="shared" si="65"/>
        <v>80</v>
      </c>
      <c r="F482">
        <f t="shared" si="65"/>
        <v>124</v>
      </c>
      <c r="G482">
        <f t="shared" si="65"/>
        <v>145</v>
      </c>
      <c r="H482">
        <f t="shared" ref="H482:L545" si="69">FIND(H$1,$A482)</f>
        <v>177</v>
      </c>
      <c r="I482">
        <f t="shared" si="69"/>
        <v>199</v>
      </c>
      <c r="J482">
        <f t="shared" si="69"/>
        <v>232</v>
      </c>
      <c r="K482">
        <f t="shared" si="68"/>
        <v>252</v>
      </c>
      <c r="L482">
        <f t="shared" si="68"/>
        <v>271</v>
      </c>
      <c r="M482">
        <f t="shared" si="68"/>
        <v>286</v>
      </c>
      <c r="N482">
        <f t="shared" si="68"/>
        <v>298</v>
      </c>
      <c r="O482">
        <f t="shared" si="68"/>
        <v>323</v>
      </c>
      <c r="P482">
        <f t="shared" si="68"/>
        <v>341</v>
      </c>
      <c r="Q482">
        <f t="shared" si="63"/>
        <v>367</v>
      </c>
      <c r="S482" t="str">
        <f t="shared" si="61"/>
        <v>01.12.2025</v>
      </c>
      <c r="T482" t="str">
        <f t="shared" si="62"/>
        <v>19:00:00</v>
      </c>
      <c r="U482" t="str">
        <f t="shared" si="66"/>
        <v>01.12.2025 19:00:00</v>
      </c>
      <c r="V482" s="9" t="str">
        <f>MID($A482,C482+C$2+1,D482-C482-C$2-1)</f>
        <v>0</v>
      </c>
      <c r="W482" s="4">
        <f>VALUE(SUBSTITUTE(MID($A482,D482+D$2+1,E482-D482-D$2-1),",","."))</f>
        <v>0</v>
      </c>
      <c r="X482" s="4">
        <f>VALUE(SUBSTITUTE(MID($A482,E482+E$2+1,F482-E482-E$2-1),",","."))</f>
        <v>0.90957602214449496</v>
      </c>
      <c r="Y482" s="4">
        <f>VALUE(SUBSTITUTE(MID($A482,F482+F$2+1,G482-F482-F$2-1),",","."))</f>
        <v>0</v>
      </c>
      <c r="Z482" s="3">
        <f>VALUE(SUBSTITUTE(MID($A482,G482+G$2+1,H482-G482-G$2-1),",","."))</f>
        <v>0</v>
      </c>
      <c r="AA482" s="3">
        <f>VALUE(SUBSTITUTE(MID($A482,H482+H$2+1,I482-H482-H$2-1),",","."))</f>
        <v>0</v>
      </c>
      <c r="AB482" s="3">
        <f>VALUE(SUBSTITUTE(MID($A482,I482+I$2+1,J482-I482-I$2-1),",","."))</f>
        <v>0</v>
      </c>
      <c r="AC482" s="3">
        <f>VALUE(SUBSTITUTE(MID($A482,J482+J$2+1,K482-J482-J$2-1),",","."))</f>
        <v>1.1499999999999999</v>
      </c>
      <c r="AD482" s="3">
        <f>VALUE(SUBSTITUTE(MID($A482,K482+K$2+1,L482-K482-K$2-1),",","."))</f>
        <v>12.06</v>
      </c>
      <c r="AE482" s="3">
        <f>VALUE(SUBSTITUTE(MID($A482,L482+L$2+1,M482-L482-L$2-1),",","."))</f>
        <v>0</v>
      </c>
      <c r="AF482" s="3">
        <f>VALUE(SUBSTITUTE(MID($A482,M482+M$2+1,N482-M482-M$2-1),",","."))</f>
        <v>0</v>
      </c>
      <c r="AG482" s="3">
        <f>VALUE(SUBSTITUTE(MID($A482,N482+N$2+1,O482-N482-N$2-1),",","."))</f>
        <v>4.2171217710695297</v>
      </c>
      <c r="AH482" t="str">
        <f>MID($A482,O482+O$2+1,P482-O482-O$2-1)</f>
        <v/>
      </c>
      <c r="AI482" s="8" t="str">
        <f>MID($A482,P482+P$2+1,Q482-P482-P$2-1)</f>
        <v>False</v>
      </c>
      <c r="AK482" t="b">
        <f t="shared" si="67"/>
        <v>0</v>
      </c>
    </row>
    <row r="483" spans="1:37" x14ac:dyDescent="0.35">
      <c r="A483" t="s">
        <v>5030</v>
      </c>
      <c r="B483">
        <f t="shared" ref="B483:G525" si="70">FIND(B$1,$A483)</f>
        <v>10</v>
      </c>
      <c r="C483">
        <f t="shared" si="70"/>
        <v>43</v>
      </c>
      <c r="D483">
        <f t="shared" si="70"/>
        <v>54</v>
      </c>
      <c r="E483">
        <f t="shared" si="70"/>
        <v>80</v>
      </c>
      <c r="F483">
        <f t="shared" si="70"/>
        <v>124</v>
      </c>
      <c r="G483">
        <f t="shared" si="70"/>
        <v>145</v>
      </c>
      <c r="H483">
        <f t="shared" si="69"/>
        <v>177</v>
      </c>
      <c r="I483">
        <f t="shared" si="69"/>
        <v>199</v>
      </c>
      <c r="J483">
        <f t="shared" si="69"/>
        <v>232</v>
      </c>
      <c r="K483">
        <f t="shared" si="68"/>
        <v>252</v>
      </c>
      <c r="L483">
        <f t="shared" si="68"/>
        <v>271</v>
      </c>
      <c r="M483">
        <f t="shared" si="68"/>
        <v>286</v>
      </c>
      <c r="N483">
        <f t="shared" si="68"/>
        <v>298</v>
      </c>
      <c r="O483">
        <f t="shared" si="68"/>
        <v>323</v>
      </c>
      <c r="P483">
        <f t="shared" si="68"/>
        <v>341</v>
      </c>
      <c r="Q483">
        <f t="shared" si="63"/>
        <v>367</v>
      </c>
      <c r="S483" t="str">
        <f t="shared" si="61"/>
        <v>01.12.2025</v>
      </c>
      <c r="T483" t="str">
        <f t="shared" si="62"/>
        <v>19:15:00</v>
      </c>
      <c r="U483" t="str">
        <f t="shared" si="66"/>
        <v>01.12.2025 19:15:00</v>
      </c>
      <c r="V483" s="9" t="str">
        <f>MID($A483,C483+C$2+1,D483-C483-C$2-1)</f>
        <v>0</v>
      </c>
      <c r="W483" s="4">
        <f>VALUE(SUBSTITUTE(MID($A483,D483+D$2+1,E483-D483-D$2-1),",","."))</f>
        <v>0</v>
      </c>
      <c r="X483" s="4">
        <f>VALUE(SUBSTITUTE(MID($A483,E483+E$2+1,F483-E483-E$2-1),",","."))</f>
        <v>0.90957602214449496</v>
      </c>
      <c r="Y483" s="4">
        <f>VALUE(SUBSTITUTE(MID($A483,F483+F$2+1,G483-F483-F$2-1),",","."))</f>
        <v>0</v>
      </c>
      <c r="Z483" s="3">
        <f>VALUE(SUBSTITUTE(MID($A483,G483+G$2+1,H483-G483-G$2-1),",","."))</f>
        <v>0</v>
      </c>
      <c r="AA483" s="3">
        <f>VALUE(SUBSTITUTE(MID($A483,H483+H$2+1,I483-H483-H$2-1),",","."))</f>
        <v>0</v>
      </c>
      <c r="AB483" s="3">
        <f>VALUE(SUBSTITUTE(MID($A483,I483+I$2+1,J483-I483-I$2-1),",","."))</f>
        <v>0</v>
      </c>
      <c r="AC483" s="3">
        <f>VALUE(SUBSTITUTE(MID($A483,J483+J$2+1,K483-J483-J$2-1),",","."))</f>
        <v>1.1499999999999999</v>
      </c>
      <c r="AD483" s="3">
        <f>VALUE(SUBSTITUTE(MID($A483,K483+K$2+1,L483-K483-K$2-1),",","."))</f>
        <v>12.06</v>
      </c>
      <c r="AE483" s="3">
        <f>VALUE(SUBSTITUTE(MID($A483,L483+L$2+1,M483-L483-L$2-1),",","."))</f>
        <v>0</v>
      </c>
      <c r="AF483" s="3">
        <f>VALUE(SUBSTITUTE(MID($A483,M483+M$2+1,N483-M483-M$2-1),",","."))</f>
        <v>0</v>
      </c>
      <c r="AG483" s="3">
        <f>VALUE(SUBSTITUTE(MID($A483,N483+N$2+1,O483-N483-N$2-1),",","."))</f>
        <v>4.2171502909576102</v>
      </c>
      <c r="AH483" t="str">
        <f>MID($A483,O483+O$2+1,P483-O483-O$2-1)</f>
        <v/>
      </c>
      <c r="AI483" s="8" t="str">
        <f>MID($A483,P483+P$2+1,Q483-P483-P$2-1)</f>
        <v>False</v>
      </c>
      <c r="AK483" t="b">
        <f t="shared" si="67"/>
        <v>0</v>
      </c>
    </row>
    <row r="484" spans="1:37" x14ac:dyDescent="0.35">
      <c r="A484" t="s">
        <v>5031</v>
      </c>
      <c r="B484">
        <f t="shared" si="70"/>
        <v>10</v>
      </c>
      <c r="C484">
        <f t="shared" si="70"/>
        <v>43</v>
      </c>
      <c r="D484">
        <f t="shared" si="70"/>
        <v>54</v>
      </c>
      <c r="E484">
        <f t="shared" si="70"/>
        <v>80</v>
      </c>
      <c r="F484">
        <f t="shared" si="70"/>
        <v>124</v>
      </c>
      <c r="G484">
        <f t="shared" si="70"/>
        <v>145</v>
      </c>
      <c r="H484">
        <f t="shared" si="69"/>
        <v>177</v>
      </c>
      <c r="I484">
        <f t="shared" si="69"/>
        <v>199</v>
      </c>
      <c r="J484">
        <f t="shared" si="69"/>
        <v>232</v>
      </c>
      <c r="K484">
        <f t="shared" si="68"/>
        <v>267</v>
      </c>
      <c r="L484">
        <f t="shared" si="68"/>
        <v>284</v>
      </c>
      <c r="M484">
        <f t="shared" si="68"/>
        <v>299</v>
      </c>
      <c r="N484">
        <f t="shared" si="68"/>
        <v>311</v>
      </c>
      <c r="O484">
        <f t="shared" si="68"/>
        <v>336</v>
      </c>
      <c r="P484">
        <f t="shared" si="68"/>
        <v>354</v>
      </c>
      <c r="Q484">
        <f t="shared" si="63"/>
        <v>380</v>
      </c>
      <c r="S484" t="str">
        <f t="shared" si="61"/>
        <v>01.12.2025</v>
      </c>
      <c r="T484" t="str">
        <f t="shared" si="62"/>
        <v>19:30:00</v>
      </c>
      <c r="U484" t="str">
        <f t="shared" si="66"/>
        <v>01.12.2025 19:30:00</v>
      </c>
      <c r="V484" s="9" t="str">
        <f>MID($A484,C484+C$2+1,D484-C484-C$2-1)</f>
        <v>0</v>
      </c>
      <c r="W484" s="4">
        <f>VALUE(SUBSTITUTE(MID($A484,D484+D$2+1,E484-D484-D$2-1),",","."))</f>
        <v>0</v>
      </c>
      <c r="X484" s="4">
        <f>VALUE(SUBSTITUTE(MID($A484,E484+E$2+1,F484-E484-E$2-1),",","."))</f>
        <v>0.90957602214449496</v>
      </c>
      <c r="Y484" s="4">
        <f>VALUE(SUBSTITUTE(MID($A484,F484+F$2+1,G484-F484-F$2-1),",","."))</f>
        <v>0</v>
      </c>
      <c r="Z484" s="3">
        <f>VALUE(SUBSTITUTE(MID($A484,G484+G$2+1,H484-G484-G$2-1),",","."))</f>
        <v>0</v>
      </c>
      <c r="AA484" s="3">
        <f>VALUE(SUBSTITUTE(MID($A484,H484+H$2+1,I484-H484-H$2-1),",","."))</f>
        <v>0</v>
      </c>
      <c r="AB484" s="3">
        <f>VALUE(SUBSTITUTE(MID($A484,I484+I$2+1,J484-I484-I$2-1),",","."))</f>
        <v>0</v>
      </c>
      <c r="AC484" s="3">
        <f>VALUE(SUBSTITUTE(MID($A484,J484+J$2+1,K484-J484-J$2-1),",","."))</f>
        <v>0.3</v>
      </c>
      <c r="AD484" s="3">
        <f>VALUE(SUBSTITUTE(MID($A484,K484+K$2+1,L484-K484-K$2-1),",","."))</f>
        <v>8.1</v>
      </c>
      <c r="AE484" s="3">
        <f>VALUE(SUBSTITUTE(MID($A484,L484+L$2+1,M484-L484-L$2-1),",","."))</f>
        <v>0</v>
      </c>
      <c r="AF484" s="3">
        <f>VALUE(SUBSTITUTE(MID($A484,M484+M$2+1,N484-M484-M$2-1),",","."))</f>
        <v>0</v>
      </c>
      <c r="AG484" s="3">
        <f>VALUE(SUBSTITUTE(MID($A484,N484+N$2+1,O484-N484-N$2-1),",","."))</f>
        <v>4.2171788108456898</v>
      </c>
      <c r="AH484" t="str">
        <f>MID($A484,O484+O$2+1,P484-O484-O$2-1)</f>
        <v/>
      </c>
      <c r="AI484" s="8" t="str">
        <f>MID($A484,P484+P$2+1,Q484-P484-P$2-1)</f>
        <v>False</v>
      </c>
      <c r="AK484" t="b">
        <f t="shared" si="67"/>
        <v>0</v>
      </c>
    </row>
    <row r="485" spans="1:37" x14ac:dyDescent="0.35">
      <c r="A485" t="s">
        <v>5032</v>
      </c>
      <c r="B485">
        <f t="shared" si="70"/>
        <v>10</v>
      </c>
      <c r="C485">
        <f t="shared" si="70"/>
        <v>43</v>
      </c>
      <c r="D485">
        <f t="shared" si="70"/>
        <v>54</v>
      </c>
      <c r="E485">
        <f t="shared" si="70"/>
        <v>80</v>
      </c>
      <c r="F485">
        <f t="shared" si="70"/>
        <v>124</v>
      </c>
      <c r="G485">
        <f t="shared" si="70"/>
        <v>145</v>
      </c>
      <c r="H485">
        <f t="shared" si="69"/>
        <v>177</v>
      </c>
      <c r="I485">
        <f t="shared" si="69"/>
        <v>199</v>
      </c>
      <c r="J485">
        <f t="shared" si="69"/>
        <v>232</v>
      </c>
      <c r="K485">
        <f t="shared" si="68"/>
        <v>267</v>
      </c>
      <c r="L485">
        <f t="shared" si="68"/>
        <v>284</v>
      </c>
      <c r="M485">
        <f t="shared" si="68"/>
        <v>299</v>
      </c>
      <c r="N485">
        <f t="shared" si="68"/>
        <v>311</v>
      </c>
      <c r="O485">
        <f t="shared" si="68"/>
        <v>336</v>
      </c>
      <c r="P485">
        <f t="shared" si="68"/>
        <v>354</v>
      </c>
      <c r="Q485">
        <f t="shared" si="63"/>
        <v>380</v>
      </c>
      <c r="S485" t="str">
        <f t="shared" si="61"/>
        <v>01.12.2025</v>
      </c>
      <c r="T485" t="str">
        <f t="shared" si="62"/>
        <v>19:45:00</v>
      </c>
      <c r="U485" t="str">
        <f t="shared" si="66"/>
        <v>01.12.2025 19:45:00</v>
      </c>
      <c r="V485" s="9" t="str">
        <f>MID($A485,C485+C$2+1,D485-C485-C$2-1)</f>
        <v>0</v>
      </c>
      <c r="W485" s="4">
        <f>VALUE(SUBSTITUTE(MID($A485,D485+D$2+1,E485-D485-D$2-1),",","."))</f>
        <v>0</v>
      </c>
      <c r="X485" s="4">
        <f>VALUE(SUBSTITUTE(MID($A485,E485+E$2+1,F485-E485-E$2-1),",","."))</f>
        <v>0.90957602214449496</v>
      </c>
      <c r="Y485" s="4">
        <f>VALUE(SUBSTITUTE(MID($A485,F485+F$2+1,G485-F485-F$2-1),",","."))</f>
        <v>0</v>
      </c>
      <c r="Z485" s="3">
        <f>VALUE(SUBSTITUTE(MID($A485,G485+G$2+1,H485-G485-G$2-1),",","."))</f>
        <v>0</v>
      </c>
      <c r="AA485" s="3">
        <f>VALUE(SUBSTITUTE(MID($A485,H485+H$2+1,I485-H485-H$2-1),",","."))</f>
        <v>0</v>
      </c>
      <c r="AB485" s="3">
        <f>VALUE(SUBSTITUTE(MID($A485,I485+I$2+1,J485-I485-I$2-1),",","."))</f>
        <v>0</v>
      </c>
      <c r="AC485" s="3">
        <f>VALUE(SUBSTITUTE(MID($A485,J485+J$2+1,K485-J485-J$2-1),",","."))</f>
        <v>0.3</v>
      </c>
      <c r="AD485" s="3">
        <f>VALUE(SUBSTITUTE(MID($A485,K485+K$2+1,L485-K485-K$2-1),",","."))</f>
        <v>8.1</v>
      </c>
      <c r="AE485" s="3">
        <f>VALUE(SUBSTITUTE(MID($A485,L485+L$2+1,M485-L485-L$2-1),",","."))</f>
        <v>0</v>
      </c>
      <c r="AF485" s="3">
        <f>VALUE(SUBSTITUTE(MID($A485,M485+M$2+1,N485-M485-M$2-1),",","."))</f>
        <v>0</v>
      </c>
      <c r="AG485" s="3">
        <f>VALUE(SUBSTITUTE(MID($A485,N485+N$2+1,O485-N485-N$2-1),",","."))</f>
        <v>4.2172073307337703</v>
      </c>
      <c r="AH485" t="str">
        <f>MID($A485,O485+O$2+1,P485-O485-O$2-1)</f>
        <v/>
      </c>
      <c r="AI485" s="8" t="str">
        <f>MID($A485,P485+P$2+1,Q485-P485-P$2-1)</f>
        <v>False</v>
      </c>
      <c r="AK485" t="b">
        <f t="shared" si="67"/>
        <v>0</v>
      </c>
    </row>
    <row r="486" spans="1:37" x14ac:dyDescent="0.35">
      <c r="A486" t="s">
        <v>5033</v>
      </c>
      <c r="B486">
        <f t="shared" si="70"/>
        <v>10</v>
      </c>
      <c r="C486">
        <f t="shared" si="70"/>
        <v>43</v>
      </c>
      <c r="D486">
        <f t="shared" si="70"/>
        <v>54</v>
      </c>
      <c r="E486">
        <f t="shared" si="70"/>
        <v>80</v>
      </c>
      <c r="F486">
        <f t="shared" si="70"/>
        <v>124</v>
      </c>
      <c r="G486">
        <f t="shared" si="70"/>
        <v>145</v>
      </c>
      <c r="H486">
        <f t="shared" si="69"/>
        <v>177</v>
      </c>
      <c r="I486">
        <f t="shared" si="69"/>
        <v>199</v>
      </c>
      <c r="J486">
        <f t="shared" si="69"/>
        <v>232</v>
      </c>
      <c r="K486">
        <f t="shared" si="68"/>
        <v>267</v>
      </c>
      <c r="L486">
        <f t="shared" si="68"/>
        <v>284</v>
      </c>
      <c r="M486">
        <f t="shared" si="68"/>
        <v>299</v>
      </c>
      <c r="N486">
        <f t="shared" si="68"/>
        <v>311</v>
      </c>
      <c r="O486">
        <f t="shared" si="68"/>
        <v>336</v>
      </c>
      <c r="P486">
        <f t="shared" si="68"/>
        <v>354</v>
      </c>
      <c r="Q486">
        <f t="shared" si="63"/>
        <v>380</v>
      </c>
      <c r="S486" t="str">
        <f t="shared" si="61"/>
        <v>01.12.2025</v>
      </c>
      <c r="T486" t="str">
        <f t="shared" si="62"/>
        <v>20:00:00</v>
      </c>
      <c r="U486" t="str">
        <f t="shared" si="66"/>
        <v>01.12.2025 20:00:00</v>
      </c>
      <c r="V486" s="9" t="str">
        <f>MID($A486,C486+C$2+1,D486-C486-C$2-1)</f>
        <v>0</v>
      </c>
      <c r="W486" s="4">
        <f>VALUE(SUBSTITUTE(MID($A486,D486+D$2+1,E486-D486-D$2-1),",","."))</f>
        <v>0</v>
      </c>
      <c r="X486" s="4">
        <f>VALUE(SUBSTITUTE(MID($A486,E486+E$2+1,F486-E486-E$2-1),",","."))</f>
        <v>0.90957602214449496</v>
      </c>
      <c r="Y486" s="4">
        <f>VALUE(SUBSTITUTE(MID($A486,F486+F$2+1,G486-F486-F$2-1),",","."))</f>
        <v>0</v>
      </c>
      <c r="Z486" s="3">
        <f>VALUE(SUBSTITUTE(MID($A486,G486+G$2+1,H486-G486-G$2-1),",","."))</f>
        <v>0</v>
      </c>
      <c r="AA486" s="3">
        <f>VALUE(SUBSTITUTE(MID($A486,H486+H$2+1,I486-H486-H$2-1),",","."))</f>
        <v>0</v>
      </c>
      <c r="AB486" s="3">
        <f>VALUE(SUBSTITUTE(MID($A486,I486+I$2+1,J486-I486-I$2-1),",","."))</f>
        <v>0</v>
      </c>
      <c r="AC486" s="3">
        <f>VALUE(SUBSTITUTE(MID($A486,J486+J$2+1,K486-J486-J$2-1),",","."))</f>
        <v>0.3</v>
      </c>
      <c r="AD486" s="3">
        <f>VALUE(SUBSTITUTE(MID($A486,K486+K$2+1,L486-K486-K$2-1),",","."))</f>
        <v>8.1</v>
      </c>
      <c r="AE486" s="3">
        <f>VALUE(SUBSTITUTE(MID($A486,L486+L$2+1,M486-L486-L$2-1),",","."))</f>
        <v>0</v>
      </c>
      <c r="AF486" s="3">
        <f>VALUE(SUBSTITUTE(MID($A486,M486+M$2+1,N486-M486-M$2-1),",","."))</f>
        <v>0</v>
      </c>
      <c r="AG486" s="3">
        <f>VALUE(SUBSTITUTE(MID($A486,N486+N$2+1,O486-N486-N$2-1),",","."))</f>
        <v>4.2172358506218597</v>
      </c>
      <c r="AH486" t="str">
        <f>MID($A486,O486+O$2+1,P486-O486-O$2-1)</f>
        <v/>
      </c>
      <c r="AI486" s="8" t="str">
        <f>MID($A486,P486+P$2+1,Q486-P486-P$2-1)</f>
        <v>False</v>
      </c>
      <c r="AK486" t="b">
        <f t="shared" si="67"/>
        <v>0</v>
      </c>
    </row>
    <row r="487" spans="1:37" x14ac:dyDescent="0.35">
      <c r="A487" t="s">
        <v>5034</v>
      </c>
      <c r="B487">
        <f t="shared" si="70"/>
        <v>10</v>
      </c>
      <c r="C487">
        <f t="shared" si="70"/>
        <v>43</v>
      </c>
      <c r="D487">
        <f t="shared" si="70"/>
        <v>54</v>
      </c>
      <c r="E487">
        <f t="shared" si="70"/>
        <v>80</v>
      </c>
      <c r="F487">
        <f t="shared" si="70"/>
        <v>124</v>
      </c>
      <c r="G487">
        <f t="shared" si="70"/>
        <v>145</v>
      </c>
      <c r="H487">
        <f t="shared" si="69"/>
        <v>177</v>
      </c>
      <c r="I487">
        <f t="shared" si="69"/>
        <v>199</v>
      </c>
      <c r="J487">
        <f t="shared" si="69"/>
        <v>232</v>
      </c>
      <c r="K487">
        <f t="shared" si="68"/>
        <v>267</v>
      </c>
      <c r="L487">
        <f t="shared" si="68"/>
        <v>284</v>
      </c>
      <c r="M487">
        <f t="shared" si="68"/>
        <v>299</v>
      </c>
      <c r="N487">
        <f t="shared" si="68"/>
        <v>311</v>
      </c>
      <c r="O487">
        <f t="shared" si="68"/>
        <v>336</v>
      </c>
      <c r="P487">
        <f t="shared" si="68"/>
        <v>354</v>
      </c>
      <c r="Q487">
        <f t="shared" si="63"/>
        <v>380</v>
      </c>
      <c r="S487" t="str">
        <f t="shared" si="61"/>
        <v>01.12.2025</v>
      </c>
      <c r="T487" t="str">
        <f t="shared" si="62"/>
        <v>20:15:00</v>
      </c>
      <c r="U487" t="str">
        <f t="shared" si="66"/>
        <v>01.12.2025 20:15:00</v>
      </c>
      <c r="V487" s="9" t="str">
        <f>MID($A487,C487+C$2+1,D487-C487-C$2-1)</f>
        <v>0</v>
      </c>
      <c r="W487" s="4">
        <f>VALUE(SUBSTITUTE(MID($A487,D487+D$2+1,E487-D487-D$2-1),",","."))</f>
        <v>0</v>
      </c>
      <c r="X487" s="4">
        <f>VALUE(SUBSTITUTE(MID($A487,E487+E$2+1,F487-E487-E$2-1),",","."))</f>
        <v>0.90957602214449496</v>
      </c>
      <c r="Y487" s="4">
        <f>VALUE(SUBSTITUTE(MID($A487,F487+F$2+1,G487-F487-F$2-1),",","."))</f>
        <v>0</v>
      </c>
      <c r="Z487" s="3">
        <f>VALUE(SUBSTITUTE(MID($A487,G487+G$2+1,H487-G487-G$2-1),",","."))</f>
        <v>0</v>
      </c>
      <c r="AA487" s="3">
        <f>VALUE(SUBSTITUTE(MID($A487,H487+H$2+1,I487-H487-H$2-1),",","."))</f>
        <v>0</v>
      </c>
      <c r="AB487" s="3">
        <f>VALUE(SUBSTITUTE(MID($A487,I487+I$2+1,J487-I487-I$2-1),",","."))</f>
        <v>0</v>
      </c>
      <c r="AC487" s="3">
        <f>VALUE(SUBSTITUTE(MID($A487,J487+J$2+1,K487-J487-J$2-1),",","."))</f>
        <v>0.3</v>
      </c>
      <c r="AD487" s="3">
        <f>VALUE(SUBSTITUTE(MID($A487,K487+K$2+1,L487-K487-K$2-1),",","."))</f>
        <v>8.1</v>
      </c>
      <c r="AE487" s="3">
        <f>VALUE(SUBSTITUTE(MID($A487,L487+L$2+1,M487-L487-L$2-1),",","."))</f>
        <v>0</v>
      </c>
      <c r="AF487" s="3">
        <f>VALUE(SUBSTITUTE(MID($A487,M487+M$2+1,N487-M487-M$2-1),",","."))</f>
        <v>0</v>
      </c>
      <c r="AG487" s="3">
        <f>VALUE(SUBSTITUTE(MID($A487,N487+N$2+1,O487-N487-N$2-1),",","."))</f>
        <v>4.2172643705099402</v>
      </c>
      <c r="AH487" t="str">
        <f>MID($A487,O487+O$2+1,P487-O487-O$2-1)</f>
        <v/>
      </c>
      <c r="AI487" s="8" t="str">
        <f>MID($A487,P487+P$2+1,Q487-P487-P$2-1)</f>
        <v>False</v>
      </c>
      <c r="AK487" t="b">
        <f t="shared" si="67"/>
        <v>0</v>
      </c>
    </row>
    <row r="488" spans="1:37" x14ac:dyDescent="0.35">
      <c r="A488" t="s">
        <v>5035</v>
      </c>
      <c r="B488">
        <f t="shared" si="70"/>
        <v>10</v>
      </c>
      <c r="C488">
        <f t="shared" si="70"/>
        <v>43</v>
      </c>
      <c r="D488">
        <f t="shared" si="70"/>
        <v>54</v>
      </c>
      <c r="E488">
        <f t="shared" si="70"/>
        <v>80</v>
      </c>
      <c r="F488">
        <f t="shared" si="70"/>
        <v>124</v>
      </c>
      <c r="G488">
        <f t="shared" si="70"/>
        <v>145</v>
      </c>
      <c r="H488">
        <f t="shared" si="69"/>
        <v>177</v>
      </c>
      <c r="I488">
        <f t="shared" si="69"/>
        <v>199</v>
      </c>
      <c r="J488">
        <f t="shared" si="69"/>
        <v>232</v>
      </c>
      <c r="K488">
        <f t="shared" si="68"/>
        <v>252</v>
      </c>
      <c r="L488">
        <f t="shared" si="68"/>
        <v>284</v>
      </c>
      <c r="M488">
        <f t="shared" si="68"/>
        <v>299</v>
      </c>
      <c r="N488">
        <f t="shared" si="68"/>
        <v>311</v>
      </c>
      <c r="O488">
        <f t="shared" si="68"/>
        <v>336</v>
      </c>
      <c r="P488">
        <f t="shared" si="68"/>
        <v>354</v>
      </c>
      <c r="Q488">
        <f t="shared" si="63"/>
        <v>380</v>
      </c>
      <c r="S488" t="str">
        <f t="shared" si="61"/>
        <v>01.12.2025</v>
      </c>
      <c r="T488" t="str">
        <f t="shared" si="62"/>
        <v>20:30:00</v>
      </c>
      <c r="U488" t="str">
        <f t="shared" si="66"/>
        <v>01.12.2025 20:30:00</v>
      </c>
      <c r="V488" s="9" t="str">
        <f>MID($A488,C488+C$2+1,D488-C488-C$2-1)</f>
        <v>0</v>
      </c>
      <c r="W488" s="4">
        <f>VALUE(SUBSTITUTE(MID($A488,D488+D$2+1,E488-D488-D$2-1),",","."))</f>
        <v>0</v>
      </c>
      <c r="X488" s="4">
        <f>VALUE(SUBSTITUTE(MID($A488,E488+E$2+1,F488-E488-E$2-1),",","."))</f>
        <v>0.90957602214449496</v>
      </c>
      <c r="Y488" s="4">
        <f>VALUE(SUBSTITUTE(MID($A488,F488+F$2+1,G488-F488-F$2-1),",","."))</f>
        <v>0</v>
      </c>
      <c r="Z488" s="3">
        <f>VALUE(SUBSTITUTE(MID($A488,G488+G$2+1,H488-G488-G$2-1),",","."))</f>
        <v>0</v>
      </c>
      <c r="AA488" s="3">
        <f>VALUE(SUBSTITUTE(MID($A488,H488+H$2+1,I488-H488-H$2-1),",","."))</f>
        <v>0</v>
      </c>
      <c r="AB488" s="3">
        <f>VALUE(SUBSTITUTE(MID($A488,I488+I$2+1,J488-I488-I$2-1),",","."))</f>
        <v>0</v>
      </c>
      <c r="AC488" s="3">
        <f>VALUE(SUBSTITUTE(MID($A488,J488+J$2+1,K488-J488-J$2-1),",","."))</f>
        <v>-0.5</v>
      </c>
      <c r="AD488" s="3">
        <f>VALUE(SUBSTITUTE(MID($A488,K488+K$2+1,L488-K488-K$2-1),",","."))</f>
        <v>3.96</v>
      </c>
      <c r="AE488" s="3">
        <f>VALUE(SUBSTITUTE(MID($A488,L488+L$2+1,M488-L488-L$2-1),",","."))</f>
        <v>0</v>
      </c>
      <c r="AF488" s="3">
        <f>VALUE(SUBSTITUTE(MID($A488,M488+M$2+1,N488-M488-M$2-1),",","."))</f>
        <v>0</v>
      </c>
      <c r="AG488" s="3">
        <f>VALUE(SUBSTITUTE(MID($A488,N488+N$2+1,O488-N488-N$2-1),",","."))</f>
        <v>4.2172928903980198</v>
      </c>
      <c r="AH488" t="str">
        <f>MID($A488,O488+O$2+1,P488-O488-O$2-1)</f>
        <v/>
      </c>
      <c r="AI488" s="8" t="str">
        <f>MID($A488,P488+P$2+1,Q488-P488-P$2-1)</f>
        <v>False</v>
      </c>
      <c r="AK488" t="b">
        <f t="shared" si="67"/>
        <v>0</v>
      </c>
    </row>
    <row r="489" spans="1:37" x14ac:dyDescent="0.35">
      <c r="A489" t="s">
        <v>5036</v>
      </c>
      <c r="B489">
        <f t="shared" si="70"/>
        <v>10</v>
      </c>
      <c r="C489">
        <f t="shared" si="70"/>
        <v>43</v>
      </c>
      <c r="D489">
        <f t="shared" si="70"/>
        <v>54</v>
      </c>
      <c r="E489">
        <f t="shared" si="70"/>
        <v>80</v>
      </c>
      <c r="F489">
        <f t="shared" si="70"/>
        <v>124</v>
      </c>
      <c r="G489">
        <f t="shared" si="70"/>
        <v>145</v>
      </c>
      <c r="H489">
        <f t="shared" si="69"/>
        <v>177</v>
      </c>
      <c r="I489">
        <f t="shared" si="69"/>
        <v>199</v>
      </c>
      <c r="J489">
        <f t="shared" si="69"/>
        <v>232</v>
      </c>
      <c r="K489">
        <f t="shared" si="68"/>
        <v>252</v>
      </c>
      <c r="L489">
        <f t="shared" si="68"/>
        <v>284</v>
      </c>
      <c r="M489">
        <f t="shared" si="68"/>
        <v>299</v>
      </c>
      <c r="N489">
        <f t="shared" si="68"/>
        <v>311</v>
      </c>
      <c r="O489">
        <f t="shared" si="68"/>
        <v>336</v>
      </c>
      <c r="P489">
        <f t="shared" si="68"/>
        <v>354</v>
      </c>
      <c r="Q489">
        <f t="shared" si="63"/>
        <v>380</v>
      </c>
      <c r="S489" t="str">
        <f t="shared" si="61"/>
        <v>01.12.2025</v>
      </c>
      <c r="T489" t="str">
        <f t="shared" si="62"/>
        <v>20:45:00</v>
      </c>
      <c r="U489" t="str">
        <f t="shared" si="66"/>
        <v>01.12.2025 20:45:00</v>
      </c>
      <c r="V489" s="9" t="str">
        <f>MID($A489,C489+C$2+1,D489-C489-C$2-1)</f>
        <v>0</v>
      </c>
      <c r="W489" s="4">
        <f>VALUE(SUBSTITUTE(MID($A489,D489+D$2+1,E489-D489-D$2-1),",","."))</f>
        <v>0</v>
      </c>
      <c r="X489" s="4">
        <f>VALUE(SUBSTITUTE(MID($A489,E489+E$2+1,F489-E489-E$2-1),",","."))</f>
        <v>0.90957602214449496</v>
      </c>
      <c r="Y489" s="4">
        <f>VALUE(SUBSTITUTE(MID($A489,F489+F$2+1,G489-F489-F$2-1),",","."))</f>
        <v>0</v>
      </c>
      <c r="Z489" s="3">
        <f>VALUE(SUBSTITUTE(MID($A489,G489+G$2+1,H489-G489-G$2-1),",","."))</f>
        <v>0</v>
      </c>
      <c r="AA489" s="3">
        <f>VALUE(SUBSTITUTE(MID($A489,H489+H$2+1,I489-H489-H$2-1),",","."))</f>
        <v>0</v>
      </c>
      <c r="AB489" s="3">
        <f>VALUE(SUBSTITUTE(MID($A489,I489+I$2+1,J489-I489-I$2-1),",","."))</f>
        <v>0</v>
      </c>
      <c r="AC489" s="3">
        <f>VALUE(SUBSTITUTE(MID($A489,J489+J$2+1,K489-J489-J$2-1),",","."))</f>
        <v>-0.5</v>
      </c>
      <c r="AD489" s="3">
        <f>VALUE(SUBSTITUTE(MID($A489,K489+K$2+1,L489-K489-K$2-1),",","."))</f>
        <v>3.96</v>
      </c>
      <c r="AE489" s="3">
        <f>VALUE(SUBSTITUTE(MID($A489,L489+L$2+1,M489-L489-L$2-1),",","."))</f>
        <v>0</v>
      </c>
      <c r="AF489" s="3">
        <f>VALUE(SUBSTITUTE(MID($A489,M489+M$2+1,N489-M489-M$2-1),",","."))</f>
        <v>0</v>
      </c>
      <c r="AG489" s="3">
        <f>VALUE(SUBSTITUTE(MID($A489,N489+N$2+1,O489-N489-N$2-1),",","."))</f>
        <v>4.2173214102861003</v>
      </c>
      <c r="AH489" t="str">
        <f>MID($A489,O489+O$2+1,P489-O489-O$2-1)</f>
        <v/>
      </c>
      <c r="AI489" s="8" t="str">
        <f>MID($A489,P489+P$2+1,Q489-P489-P$2-1)</f>
        <v>False</v>
      </c>
      <c r="AK489" t="b">
        <f t="shared" si="67"/>
        <v>0</v>
      </c>
    </row>
    <row r="490" spans="1:37" x14ac:dyDescent="0.35">
      <c r="A490" t="s">
        <v>5037</v>
      </c>
      <c r="B490">
        <f t="shared" si="70"/>
        <v>10</v>
      </c>
      <c r="C490">
        <f t="shared" si="70"/>
        <v>43</v>
      </c>
      <c r="D490">
        <f t="shared" si="70"/>
        <v>54</v>
      </c>
      <c r="E490">
        <f t="shared" si="70"/>
        <v>80</v>
      </c>
      <c r="F490">
        <f t="shared" si="70"/>
        <v>124</v>
      </c>
      <c r="G490">
        <f t="shared" si="70"/>
        <v>145</v>
      </c>
      <c r="H490">
        <f t="shared" si="69"/>
        <v>177</v>
      </c>
      <c r="I490">
        <f t="shared" si="69"/>
        <v>199</v>
      </c>
      <c r="J490">
        <f t="shared" si="69"/>
        <v>232</v>
      </c>
      <c r="K490">
        <f t="shared" si="68"/>
        <v>252</v>
      </c>
      <c r="L490">
        <f t="shared" si="68"/>
        <v>284</v>
      </c>
      <c r="M490">
        <f t="shared" si="68"/>
        <v>299</v>
      </c>
      <c r="N490">
        <f t="shared" si="68"/>
        <v>311</v>
      </c>
      <c r="O490">
        <f t="shared" si="68"/>
        <v>336</v>
      </c>
      <c r="P490">
        <f t="shared" si="68"/>
        <v>354</v>
      </c>
      <c r="Q490">
        <f t="shared" si="63"/>
        <v>380</v>
      </c>
      <c r="S490" t="str">
        <f t="shared" si="61"/>
        <v>01.12.2025</v>
      </c>
      <c r="T490" t="str">
        <f t="shared" si="62"/>
        <v>21:00:00</v>
      </c>
      <c r="U490" t="str">
        <f t="shared" si="66"/>
        <v>01.12.2025 21:00:00</v>
      </c>
      <c r="V490" s="9" t="str">
        <f>MID($A490,C490+C$2+1,D490-C490-C$2-1)</f>
        <v>0</v>
      </c>
      <c r="W490" s="4">
        <f>VALUE(SUBSTITUTE(MID($A490,D490+D$2+1,E490-D490-D$2-1),",","."))</f>
        <v>0</v>
      </c>
      <c r="X490" s="4">
        <f>VALUE(SUBSTITUTE(MID($A490,E490+E$2+1,F490-E490-E$2-1),",","."))</f>
        <v>0.90957602214449496</v>
      </c>
      <c r="Y490" s="4">
        <f>VALUE(SUBSTITUTE(MID($A490,F490+F$2+1,G490-F490-F$2-1),",","."))</f>
        <v>0</v>
      </c>
      <c r="Z490" s="3">
        <f>VALUE(SUBSTITUTE(MID($A490,G490+G$2+1,H490-G490-G$2-1),",","."))</f>
        <v>0</v>
      </c>
      <c r="AA490" s="3">
        <f>VALUE(SUBSTITUTE(MID($A490,H490+H$2+1,I490-H490-H$2-1),",","."))</f>
        <v>0</v>
      </c>
      <c r="AB490" s="3">
        <f>VALUE(SUBSTITUTE(MID($A490,I490+I$2+1,J490-I490-I$2-1),",","."))</f>
        <v>0</v>
      </c>
      <c r="AC490" s="3">
        <f>VALUE(SUBSTITUTE(MID($A490,J490+J$2+1,K490-J490-J$2-1),",","."))</f>
        <v>-0.5</v>
      </c>
      <c r="AD490" s="3">
        <f>VALUE(SUBSTITUTE(MID($A490,K490+K$2+1,L490-K490-K$2-1),",","."))</f>
        <v>3.96</v>
      </c>
      <c r="AE490" s="3">
        <f>VALUE(SUBSTITUTE(MID($A490,L490+L$2+1,M490-L490-L$2-1),",","."))</f>
        <v>0</v>
      </c>
      <c r="AF490" s="3">
        <f>VALUE(SUBSTITUTE(MID($A490,M490+M$2+1,N490-M490-M$2-1),",","."))</f>
        <v>0</v>
      </c>
      <c r="AG490" s="3">
        <f>VALUE(SUBSTITUTE(MID($A490,N490+N$2+1,O490-N490-N$2-1),",","."))</f>
        <v>4.2173499301741799</v>
      </c>
      <c r="AH490" t="str">
        <f>MID($A490,O490+O$2+1,P490-O490-O$2-1)</f>
        <v/>
      </c>
      <c r="AI490" s="8" t="str">
        <f>MID($A490,P490+P$2+1,Q490-P490-P$2-1)</f>
        <v>False</v>
      </c>
      <c r="AK490" t="b">
        <f t="shared" si="67"/>
        <v>0</v>
      </c>
    </row>
    <row r="491" spans="1:37" x14ac:dyDescent="0.35">
      <c r="A491" t="s">
        <v>5038</v>
      </c>
      <c r="B491">
        <f t="shared" si="70"/>
        <v>10</v>
      </c>
      <c r="C491">
        <f t="shared" si="70"/>
        <v>43</v>
      </c>
      <c r="D491">
        <f t="shared" si="70"/>
        <v>54</v>
      </c>
      <c r="E491">
        <f t="shared" si="70"/>
        <v>80</v>
      </c>
      <c r="F491">
        <f t="shared" si="70"/>
        <v>124</v>
      </c>
      <c r="G491">
        <f t="shared" si="70"/>
        <v>145</v>
      </c>
      <c r="H491">
        <f t="shared" si="69"/>
        <v>177</v>
      </c>
      <c r="I491">
        <f t="shared" si="69"/>
        <v>199</v>
      </c>
      <c r="J491">
        <f t="shared" si="69"/>
        <v>232</v>
      </c>
      <c r="K491">
        <f t="shared" si="68"/>
        <v>252</v>
      </c>
      <c r="L491">
        <f t="shared" si="68"/>
        <v>284</v>
      </c>
      <c r="M491">
        <f t="shared" si="68"/>
        <v>299</v>
      </c>
      <c r="N491">
        <f t="shared" si="68"/>
        <v>311</v>
      </c>
      <c r="O491">
        <f t="shared" si="68"/>
        <v>336</v>
      </c>
      <c r="P491">
        <f t="shared" si="68"/>
        <v>354</v>
      </c>
      <c r="Q491">
        <f t="shared" si="63"/>
        <v>380</v>
      </c>
      <c r="S491" t="str">
        <f t="shared" si="61"/>
        <v>01.12.2025</v>
      </c>
      <c r="T491" t="str">
        <f t="shared" si="62"/>
        <v>21:15:00</v>
      </c>
      <c r="U491" t="str">
        <f t="shared" si="66"/>
        <v>01.12.2025 21:15:00</v>
      </c>
      <c r="V491" s="9" t="str">
        <f>MID($A491,C491+C$2+1,D491-C491-C$2-1)</f>
        <v>0</v>
      </c>
      <c r="W491" s="4">
        <f>VALUE(SUBSTITUTE(MID($A491,D491+D$2+1,E491-D491-D$2-1),",","."))</f>
        <v>0</v>
      </c>
      <c r="X491" s="4">
        <f>VALUE(SUBSTITUTE(MID($A491,E491+E$2+1,F491-E491-E$2-1),",","."))</f>
        <v>0.90957602214449496</v>
      </c>
      <c r="Y491" s="4">
        <f>VALUE(SUBSTITUTE(MID($A491,F491+F$2+1,G491-F491-F$2-1),",","."))</f>
        <v>0</v>
      </c>
      <c r="Z491" s="3">
        <f>VALUE(SUBSTITUTE(MID($A491,G491+G$2+1,H491-G491-G$2-1),",","."))</f>
        <v>0</v>
      </c>
      <c r="AA491" s="3">
        <f>VALUE(SUBSTITUTE(MID($A491,H491+H$2+1,I491-H491-H$2-1),",","."))</f>
        <v>0</v>
      </c>
      <c r="AB491" s="3">
        <f>VALUE(SUBSTITUTE(MID($A491,I491+I$2+1,J491-I491-I$2-1),",","."))</f>
        <v>0</v>
      </c>
      <c r="AC491" s="3">
        <f>VALUE(SUBSTITUTE(MID($A491,J491+J$2+1,K491-J491-J$2-1),",","."))</f>
        <v>-0.5</v>
      </c>
      <c r="AD491" s="3">
        <f>VALUE(SUBSTITUTE(MID($A491,K491+K$2+1,L491-K491-K$2-1),",","."))</f>
        <v>3.96</v>
      </c>
      <c r="AE491" s="3">
        <f>VALUE(SUBSTITUTE(MID($A491,L491+L$2+1,M491-L491-L$2-1),",","."))</f>
        <v>0</v>
      </c>
      <c r="AF491" s="3">
        <f>VALUE(SUBSTITUTE(MID($A491,M491+M$2+1,N491-M491-M$2-1),",","."))</f>
        <v>0</v>
      </c>
      <c r="AG491" s="3">
        <f>VALUE(SUBSTITUTE(MID($A491,N491+N$2+1,O491-N491-N$2-1),",","."))</f>
        <v>4.2173784500622604</v>
      </c>
      <c r="AH491" t="str">
        <f>MID($A491,O491+O$2+1,P491-O491-O$2-1)</f>
        <v/>
      </c>
      <c r="AI491" s="8" t="str">
        <f>MID($A491,P491+P$2+1,Q491-P491-P$2-1)</f>
        <v>False</v>
      </c>
      <c r="AK491" t="b">
        <f t="shared" si="67"/>
        <v>0</v>
      </c>
    </row>
    <row r="492" spans="1:37" x14ac:dyDescent="0.35">
      <c r="A492" t="s">
        <v>5039</v>
      </c>
      <c r="B492">
        <f t="shared" si="70"/>
        <v>10</v>
      </c>
      <c r="C492">
        <f t="shared" si="70"/>
        <v>43</v>
      </c>
      <c r="D492">
        <f t="shared" si="70"/>
        <v>54</v>
      </c>
      <c r="E492">
        <f t="shared" si="70"/>
        <v>80</v>
      </c>
      <c r="F492">
        <f t="shared" si="70"/>
        <v>124</v>
      </c>
      <c r="G492">
        <f t="shared" si="70"/>
        <v>145</v>
      </c>
      <c r="H492">
        <f t="shared" si="69"/>
        <v>177</v>
      </c>
      <c r="I492">
        <f t="shared" si="69"/>
        <v>199</v>
      </c>
      <c r="J492">
        <f t="shared" si="69"/>
        <v>232</v>
      </c>
      <c r="K492">
        <f t="shared" si="68"/>
        <v>253</v>
      </c>
      <c r="L492">
        <f t="shared" si="68"/>
        <v>271</v>
      </c>
      <c r="M492">
        <f t="shared" si="68"/>
        <v>286</v>
      </c>
      <c r="N492">
        <f t="shared" si="68"/>
        <v>298</v>
      </c>
      <c r="O492">
        <f t="shared" si="68"/>
        <v>323</v>
      </c>
      <c r="P492">
        <f t="shared" si="68"/>
        <v>341</v>
      </c>
      <c r="Q492">
        <f t="shared" si="63"/>
        <v>367</v>
      </c>
      <c r="S492" t="str">
        <f t="shared" si="61"/>
        <v>01.12.2025</v>
      </c>
      <c r="T492" t="str">
        <f t="shared" si="62"/>
        <v>21:30:00</v>
      </c>
      <c r="U492" t="str">
        <f t="shared" si="66"/>
        <v>01.12.2025 21:30:00</v>
      </c>
      <c r="V492" s="9" t="str">
        <f>MID($A492,C492+C$2+1,D492-C492-C$2-1)</f>
        <v>0</v>
      </c>
      <c r="W492" s="4">
        <f>VALUE(SUBSTITUTE(MID($A492,D492+D$2+1,E492-D492-D$2-1),",","."))</f>
        <v>0</v>
      </c>
      <c r="X492" s="4">
        <f>VALUE(SUBSTITUTE(MID($A492,E492+E$2+1,F492-E492-E$2-1),",","."))</f>
        <v>0.90957602214449496</v>
      </c>
      <c r="Y492" s="4">
        <f>VALUE(SUBSTITUTE(MID($A492,F492+F$2+1,G492-F492-F$2-1),",","."))</f>
        <v>0</v>
      </c>
      <c r="Z492" s="3">
        <f>VALUE(SUBSTITUTE(MID($A492,G492+G$2+1,H492-G492-G$2-1),",","."))</f>
        <v>0</v>
      </c>
      <c r="AA492" s="3">
        <f>VALUE(SUBSTITUTE(MID($A492,H492+H$2+1,I492-H492-H$2-1),",","."))</f>
        <v>0</v>
      </c>
      <c r="AB492" s="3">
        <f>VALUE(SUBSTITUTE(MID($A492,I492+I$2+1,J492-I492-I$2-1),",","."))</f>
        <v>0</v>
      </c>
      <c r="AC492" s="3">
        <f>VALUE(SUBSTITUTE(MID($A492,J492+J$2+1,K492-J492-J$2-1),",","."))</f>
        <v>-1.05</v>
      </c>
      <c r="AD492" s="3">
        <f>VALUE(SUBSTITUTE(MID($A492,K492+K$2+1,L492-K492-K$2-1),",","."))</f>
        <v>3.24</v>
      </c>
      <c r="AE492" s="3">
        <f>VALUE(SUBSTITUTE(MID($A492,L492+L$2+1,M492-L492-L$2-1),",","."))</f>
        <v>0</v>
      </c>
      <c r="AF492" s="3">
        <f>VALUE(SUBSTITUTE(MID($A492,M492+M$2+1,N492-M492-M$2-1),",","."))</f>
        <v>0</v>
      </c>
      <c r="AG492" s="3">
        <f>VALUE(SUBSTITUTE(MID($A492,N492+N$2+1,O492-N492-N$2-1),",","."))</f>
        <v>4.2174069699503498</v>
      </c>
      <c r="AH492" t="str">
        <f>MID($A492,O492+O$2+1,P492-O492-O$2-1)</f>
        <v/>
      </c>
      <c r="AI492" s="8" t="str">
        <f>MID($A492,P492+P$2+1,Q492-P492-P$2-1)</f>
        <v>False</v>
      </c>
      <c r="AK492" t="b">
        <f t="shared" si="67"/>
        <v>0</v>
      </c>
    </row>
    <row r="493" spans="1:37" x14ac:dyDescent="0.35">
      <c r="A493" t="s">
        <v>5040</v>
      </c>
      <c r="B493">
        <f t="shared" si="70"/>
        <v>10</v>
      </c>
      <c r="C493">
        <f t="shared" si="70"/>
        <v>43</v>
      </c>
      <c r="D493">
        <f t="shared" si="70"/>
        <v>54</v>
      </c>
      <c r="E493">
        <f t="shared" si="70"/>
        <v>80</v>
      </c>
      <c r="F493">
        <f t="shared" si="70"/>
        <v>124</v>
      </c>
      <c r="G493">
        <f t="shared" si="70"/>
        <v>145</v>
      </c>
      <c r="H493">
        <f t="shared" si="69"/>
        <v>177</v>
      </c>
      <c r="I493">
        <f t="shared" si="69"/>
        <v>199</v>
      </c>
      <c r="J493">
        <f t="shared" si="69"/>
        <v>232</v>
      </c>
      <c r="K493">
        <f t="shared" si="68"/>
        <v>253</v>
      </c>
      <c r="L493">
        <f t="shared" si="68"/>
        <v>271</v>
      </c>
      <c r="M493">
        <f t="shared" si="68"/>
        <v>286</v>
      </c>
      <c r="N493">
        <f t="shared" si="68"/>
        <v>298</v>
      </c>
      <c r="O493">
        <f t="shared" si="68"/>
        <v>323</v>
      </c>
      <c r="P493">
        <f t="shared" si="68"/>
        <v>341</v>
      </c>
      <c r="Q493">
        <f t="shared" si="63"/>
        <v>367</v>
      </c>
      <c r="S493" t="str">
        <f t="shared" si="61"/>
        <v>01.12.2025</v>
      </c>
      <c r="T493" t="str">
        <f t="shared" si="62"/>
        <v>21:45:00</v>
      </c>
      <c r="U493" t="str">
        <f t="shared" si="66"/>
        <v>01.12.2025 21:45:00</v>
      </c>
      <c r="V493" s="9" t="str">
        <f>MID($A493,C493+C$2+1,D493-C493-C$2-1)</f>
        <v>0</v>
      </c>
      <c r="W493" s="4">
        <f>VALUE(SUBSTITUTE(MID($A493,D493+D$2+1,E493-D493-D$2-1),",","."))</f>
        <v>0</v>
      </c>
      <c r="X493" s="4">
        <f>VALUE(SUBSTITUTE(MID($A493,E493+E$2+1,F493-E493-E$2-1),",","."))</f>
        <v>0.90957602214449496</v>
      </c>
      <c r="Y493" s="4">
        <f>VALUE(SUBSTITUTE(MID($A493,F493+F$2+1,G493-F493-F$2-1),",","."))</f>
        <v>0</v>
      </c>
      <c r="Z493" s="3">
        <f>VALUE(SUBSTITUTE(MID($A493,G493+G$2+1,H493-G493-G$2-1),",","."))</f>
        <v>0</v>
      </c>
      <c r="AA493" s="3">
        <f>VALUE(SUBSTITUTE(MID($A493,H493+H$2+1,I493-H493-H$2-1),",","."))</f>
        <v>0</v>
      </c>
      <c r="AB493" s="3">
        <f>VALUE(SUBSTITUTE(MID($A493,I493+I$2+1,J493-I493-I$2-1),",","."))</f>
        <v>0</v>
      </c>
      <c r="AC493" s="3">
        <f>VALUE(SUBSTITUTE(MID($A493,J493+J$2+1,K493-J493-J$2-1),",","."))</f>
        <v>-1.05</v>
      </c>
      <c r="AD493" s="3">
        <f>VALUE(SUBSTITUTE(MID($A493,K493+K$2+1,L493-K493-K$2-1),",","."))</f>
        <v>3.24</v>
      </c>
      <c r="AE493" s="3">
        <f>VALUE(SUBSTITUTE(MID($A493,L493+L$2+1,M493-L493-L$2-1),",","."))</f>
        <v>0</v>
      </c>
      <c r="AF493" s="3">
        <f>VALUE(SUBSTITUTE(MID($A493,M493+M$2+1,N493-M493-M$2-1),",","."))</f>
        <v>0</v>
      </c>
      <c r="AG493" s="3">
        <f>VALUE(SUBSTITUTE(MID($A493,N493+N$2+1,O493-N493-N$2-1),",","."))</f>
        <v>4.2174354898384303</v>
      </c>
      <c r="AH493" t="str">
        <f>MID($A493,O493+O$2+1,P493-O493-O$2-1)</f>
        <v/>
      </c>
      <c r="AI493" s="8" t="str">
        <f>MID($A493,P493+P$2+1,Q493-P493-P$2-1)</f>
        <v>False</v>
      </c>
      <c r="AK493" t="b">
        <f t="shared" si="67"/>
        <v>0</v>
      </c>
    </row>
    <row r="494" spans="1:37" x14ac:dyDescent="0.35">
      <c r="A494" t="s">
        <v>5041</v>
      </c>
      <c r="B494">
        <f t="shared" si="70"/>
        <v>10</v>
      </c>
      <c r="C494">
        <f t="shared" si="70"/>
        <v>43</v>
      </c>
      <c r="D494">
        <f t="shared" si="70"/>
        <v>54</v>
      </c>
      <c r="E494">
        <f t="shared" si="70"/>
        <v>80</v>
      </c>
      <c r="F494">
        <f t="shared" si="70"/>
        <v>124</v>
      </c>
      <c r="G494">
        <f t="shared" si="70"/>
        <v>145</v>
      </c>
      <c r="H494">
        <f t="shared" si="69"/>
        <v>177</v>
      </c>
      <c r="I494">
        <f t="shared" si="69"/>
        <v>199</v>
      </c>
      <c r="J494">
        <f t="shared" si="69"/>
        <v>232</v>
      </c>
      <c r="K494">
        <f t="shared" si="68"/>
        <v>253</v>
      </c>
      <c r="L494">
        <f t="shared" si="68"/>
        <v>271</v>
      </c>
      <c r="M494">
        <f t="shared" si="68"/>
        <v>286</v>
      </c>
      <c r="N494">
        <f t="shared" si="68"/>
        <v>298</v>
      </c>
      <c r="O494">
        <f t="shared" si="68"/>
        <v>324</v>
      </c>
      <c r="P494">
        <f t="shared" si="68"/>
        <v>342</v>
      </c>
      <c r="Q494">
        <f t="shared" si="63"/>
        <v>368</v>
      </c>
      <c r="S494" t="str">
        <f t="shared" si="61"/>
        <v>01.12.2025</v>
      </c>
      <c r="T494" t="str">
        <f t="shared" si="62"/>
        <v>22:00:00</v>
      </c>
      <c r="U494" t="str">
        <f t="shared" si="66"/>
        <v>01.12.2025 22:00:00</v>
      </c>
      <c r="V494" s="9" t="str">
        <f>MID($A494,C494+C$2+1,D494-C494-C$2-1)</f>
        <v>0</v>
      </c>
      <c r="W494" s="4">
        <f>VALUE(SUBSTITUTE(MID($A494,D494+D$2+1,E494-D494-D$2-1),",","."))</f>
        <v>0</v>
      </c>
      <c r="X494" s="4">
        <f>VALUE(SUBSTITUTE(MID($A494,E494+E$2+1,F494-E494-E$2-1),",","."))</f>
        <v>0.90957602214449496</v>
      </c>
      <c r="Y494" s="4">
        <f>VALUE(SUBSTITUTE(MID($A494,F494+F$2+1,G494-F494-F$2-1),",","."))</f>
        <v>0</v>
      </c>
      <c r="Z494" s="3">
        <f>VALUE(SUBSTITUTE(MID($A494,G494+G$2+1,H494-G494-G$2-1),",","."))</f>
        <v>0</v>
      </c>
      <c r="AA494" s="3">
        <f>VALUE(SUBSTITUTE(MID($A494,H494+H$2+1,I494-H494-H$2-1),",","."))</f>
        <v>0</v>
      </c>
      <c r="AB494" s="3">
        <f>VALUE(SUBSTITUTE(MID($A494,I494+I$2+1,J494-I494-I$2-1),",","."))</f>
        <v>0</v>
      </c>
      <c r="AC494" s="3">
        <f>VALUE(SUBSTITUTE(MID($A494,J494+J$2+1,K494-J494-J$2-1),",","."))</f>
        <v>-1.05</v>
      </c>
      <c r="AD494" s="3">
        <f>VALUE(SUBSTITUTE(MID($A494,K494+K$2+1,L494-K494-K$2-1),",","."))</f>
        <v>3.24</v>
      </c>
      <c r="AE494" s="3">
        <f>VALUE(SUBSTITUTE(MID($A494,L494+L$2+1,M494-L494-L$2-1),",","."))</f>
        <v>0</v>
      </c>
      <c r="AF494" s="3">
        <f>VALUE(SUBSTITUTE(MID($A494,M494+M$2+1,N494-M494-M$2-1),",","."))</f>
        <v>0</v>
      </c>
      <c r="AG494" s="3">
        <f>VALUE(SUBSTITUTE(MID($A494,N494+N$2+1,O494-N494-N$2-1),",","."))</f>
        <v>4.2174640097265099</v>
      </c>
      <c r="AH494" t="str">
        <f>MID($A494,O494+O$2+1,P494-O494-O$2-1)</f>
        <v/>
      </c>
      <c r="AI494" s="8" t="str">
        <f>MID($A494,P494+P$2+1,Q494-P494-P$2-1)</f>
        <v>False</v>
      </c>
      <c r="AK494" t="b">
        <f t="shared" si="67"/>
        <v>0</v>
      </c>
    </row>
    <row r="495" spans="1:37" x14ac:dyDescent="0.35">
      <c r="A495" t="s">
        <v>5042</v>
      </c>
      <c r="B495">
        <f t="shared" si="70"/>
        <v>10</v>
      </c>
      <c r="C495">
        <f t="shared" si="70"/>
        <v>43</v>
      </c>
      <c r="D495">
        <f t="shared" si="70"/>
        <v>54</v>
      </c>
      <c r="E495">
        <f t="shared" si="70"/>
        <v>80</v>
      </c>
      <c r="F495">
        <f t="shared" si="70"/>
        <v>124</v>
      </c>
      <c r="G495">
        <f t="shared" si="70"/>
        <v>145</v>
      </c>
      <c r="H495">
        <f t="shared" si="69"/>
        <v>177</v>
      </c>
      <c r="I495">
        <f t="shared" si="69"/>
        <v>199</v>
      </c>
      <c r="J495">
        <f t="shared" si="69"/>
        <v>232</v>
      </c>
      <c r="K495">
        <f t="shared" si="68"/>
        <v>253</v>
      </c>
      <c r="L495">
        <f t="shared" si="68"/>
        <v>271</v>
      </c>
      <c r="M495">
        <f t="shared" si="68"/>
        <v>286</v>
      </c>
      <c r="N495">
        <f t="shared" si="68"/>
        <v>298</v>
      </c>
      <c r="O495">
        <f t="shared" si="68"/>
        <v>323</v>
      </c>
      <c r="P495">
        <f t="shared" si="68"/>
        <v>341</v>
      </c>
      <c r="Q495">
        <f t="shared" si="63"/>
        <v>367</v>
      </c>
      <c r="S495" t="str">
        <f t="shared" si="61"/>
        <v>01.12.2025</v>
      </c>
      <c r="T495" t="str">
        <f t="shared" si="62"/>
        <v>22:15:00</v>
      </c>
      <c r="U495" t="str">
        <f t="shared" si="66"/>
        <v>01.12.2025 22:15:00</v>
      </c>
      <c r="V495" s="9" t="str">
        <f>MID($A495,C495+C$2+1,D495-C495-C$2-1)</f>
        <v>0</v>
      </c>
      <c r="W495" s="4">
        <f>VALUE(SUBSTITUTE(MID($A495,D495+D$2+1,E495-D495-D$2-1),",","."))</f>
        <v>0</v>
      </c>
      <c r="X495" s="4">
        <f>VALUE(SUBSTITUTE(MID($A495,E495+E$2+1,F495-E495-E$2-1),",","."))</f>
        <v>0.90957602214449496</v>
      </c>
      <c r="Y495" s="4">
        <f>VALUE(SUBSTITUTE(MID($A495,F495+F$2+1,G495-F495-F$2-1),",","."))</f>
        <v>0</v>
      </c>
      <c r="Z495" s="3">
        <f>VALUE(SUBSTITUTE(MID($A495,G495+G$2+1,H495-G495-G$2-1),",","."))</f>
        <v>0</v>
      </c>
      <c r="AA495" s="3">
        <f>VALUE(SUBSTITUTE(MID($A495,H495+H$2+1,I495-H495-H$2-1),",","."))</f>
        <v>0</v>
      </c>
      <c r="AB495" s="3">
        <f>VALUE(SUBSTITUTE(MID($A495,I495+I$2+1,J495-I495-I$2-1),",","."))</f>
        <v>0</v>
      </c>
      <c r="AC495" s="3">
        <f>VALUE(SUBSTITUTE(MID($A495,J495+J$2+1,K495-J495-J$2-1),",","."))</f>
        <v>-1.05</v>
      </c>
      <c r="AD495" s="3">
        <f>VALUE(SUBSTITUTE(MID($A495,K495+K$2+1,L495-K495-K$2-1),",","."))</f>
        <v>3.24</v>
      </c>
      <c r="AE495" s="3">
        <f>VALUE(SUBSTITUTE(MID($A495,L495+L$2+1,M495-L495-L$2-1),",","."))</f>
        <v>0</v>
      </c>
      <c r="AF495" s="3">
        <f>VALUE(SUBSTITUTE(MID($A495,M495+M$2+1,N495-M495-M$2-1),",","."))</f>
        <v>0</v>
      </c>
      <c r="AG495" s="3">
        <f>VALUE(SUBSTITUTE(MID($A495,N495+N$2+1,O495-N495-N$2-1),",","."))</f>
        <v>4.2174925296145904</v>
      </c>
      <c r="AH495" t="str">
        <f>MID($A495,O495+O$2+1,P495-O495-O$2-1)</f>
        <v/>
      </c>
      <c r="AI495" s="8" t="str">
        <f>MID($A495,P495+P$2+1,Q495-P495-P$2-1)</f>
        <v>False</v>
      </c>
      <c r="AK495" t="b">
        <f t="shared" si="67"/>
        <v>0</v>
      </c>
    </row>
    <row r="496" spans="1:37" x14ac:dyDescent="0.35">
      <c r="A496" t="s">
        <v>5043</v>
      </c>
      <c r="B496">
        <f t="shared" si="70"/>
        <v>10</v>
      </c>
      <c r="C496">
        <f t="shared" si="70"/>
        <v>43</v>
      </c>
      <c r="D496">
        <f t="shared" si="70"/>
        <v>54</v>
      </c>
      <c r="E496">
        <f t="shared" si="70"/>
        <v>80</v>
      </c>
      <c r="F496">
        <f t="shared" si="70"/>
        <v>124</v>
      </c>
      <c r="G496">
        <f t="shared" si="70"/>
        <v>145</v>
      </c>
      <c r="H496">
        <f t="shared" si="69"/>
        <v>177</v>
      </c>
      <c r="I496">
        <f t="shared" si="69"/>
        <v>199</v>
      </c>
      <c r="J496">
        <f t="shared" si="69"/>
        <v>232</v>
      </c>
      <c r="K496">
        <f t="shared" si="68"/>
        <v>253</v>
      </c>
      <c r="L496">
        <f t="shared" si="68"/>
        <v>271</v>
      </c>
      <c r="M496">
        <f t="shared" si="68"/>
        <v>286</v>
      </c>
      <c r="N496">
        <f t="shared" si="68"/>
        <v>298</v>
      </c>
      <c r="O496">
        <f t="shared" si="68"/>
        <v>323</v>
      </c>
      <c r="P496">
        <f t="shared" si="68"/>
        <v>341</v>
      </c>
      <c r="Q496">
        <f t="shared" si="63"/>
        <v>367</v>
      </c>
      <c r="S496" t="str">
        <f t="shared" si="61"/>
        <v>01.12.2025</v>
      </c>
      <c r="T496" t="str">
        <f t="shared" si="62"/>
        <v>22:30:00</v>
      </c>
      <c r="U496" t="str">
        <f t="shared" si="66"/>
        <v>01.12.2025 22:30:00</v>
      </c>
      <c r="V496" s="9" t="str">
        <f>MID($A496,C496+C$2+1,D496-C496-C$2-1)</f>
        <v>0</v>
      </c>
      <c r="W496" s="4">
        <f>VALUE(SUBSTITUTE(MID($A496,D496+D$2+1,E496-D496-D$2-1),",","."))</f>
        <v>0</v>
      </c>
      <c r="X496" s="4">
        <f>VALUE(SUBSTITUTE(MID($A496,E496+E$2+1,F496-E496-E$2-1),",","."))</f>
        <v>0.90957602214449496</v>
      </c>
      <c r="Y496" s="4">
        <f>VALUE(SUBSTITUTE(MID($A496,F496+F$2+1,G496-F496-F$2-1),",","."))</f>
        <v>0</v>
      </c>
      <c r="Z496" s="3">
        <f>VALUE(SUBSTITUTE(MID($A496,G496+G$2+1,H496-G496-G$2-1),",","."))</f>
        <v>0</v>
      </c>
      <c r="AA496" s="3">
        <f>VALUE(SUBSTITUTE(MID($A496,H496+H$2+1,I496-H496-H$2-1),",","."))</f>
        <v>0</v>
      </c>
      <c r="AB496" s="3">
        <f>VALUE(SUBSTITUTE(MID($A496,I496+I$2+1,J496-I496-I$2-1),",","."))</f>
        <v>0</v>
      </c>
      <c r="AC496" s="3">
        <f>VALUE(SUBSTITUTE(MID($A496,J496+J$2+1,K496-J496-J$2-1),",","."))</f>
        <v>-1.25</v>
      </c>
      <c r="AD496" s="3">
        <f>VALUE(SUBSTITUTE(MID($A496,K496+K$2+1,L496-K496-K$2-1),",","."))</f>
        <v>5.22</v>
      </c>
      <c r="AE496" s="3">
        <f>VALUE(SUBSTITUTE(MID($A496,L496+L$2+1,M496-L496-L$2-1),",","."))</f>
        <v>0</v>
      </c>
      <c r="AF496" s="3">
        <f>VALUE(SUBSTITUTE(MID($A496,M496+M$2+1,N496-M496-M$2-1),",","."))</f>
        <v>0</v>
      </c>
      <c r="AG496" s="3">
        <f>VALUE(SUBSTITUTE(MID($A496,N496+N$2+1,O496-N496-N$2-1),",","."))</f>
        <v>4.21752104950267</v>
      </c>
      <c r="AH496" t="str">
        <f>MID($A496,O496+O$2+1,P496-O496-O$2-1)</f>
        <v/>
      </c>
      <c r="AI496" s="8" t="str">
        <f>MID($A496,P496+P$2+1,Q496-P496-P$2-1)</f>
        <v>False</v>
      </c>
      <c r="AK496" t="b">
        <f t="shared" si="67"/>
        <v>0</v>
      </c>
    </row>
    <row r="497" spans="1:37" x14ac:dyDescent="0.35">
      <c r="A497" t="s">
        <v>5044</v>
      </c>
      <c r="B497">
        <f t="shared" si="70"/>
        <v>10</v>
      </c>
      <c r="C497">
        <f t="shared" si="70"/>
        <v>43</v>
      </c>
      <c r="D497">
        <f t="shared" si="70"/>
        <v>54</v>
      </c>
      <c r="E497">
        <f t="shared" si="70"/>
        <v>80</v>
      </c>
      <c r="F497">
        <f t="shared" si="70"/>
        <v>124</v>
      </c>
      <c r="G497">
        <f t="shared" si="70"/>
        <v>145</v>
      </c>
      <c r="H497">
        <f t="shared" si="69"/>
        <v>177</v>
      </c>
      <c r="I497">
        <f t="shared" si="69"/>
        <v>199</v>
      </c>
      <c r="J497">
        <f t="shared" si="69"/>
        <v>232</v>
      </c>
      <c r="K497">
        <f t="shared" si="68"/>
        <v>253</v>
      </c>
      <c r="L497">
        <f t="shared" si="68"/>
        <v>271</v>
      </c>
      <c r="M497">
        <f t="shared" si="68"/>
        <v>286</v>
      </c>
      <c r="N497">
        <f t="shared" si="68"/>
        <v>298</v>
      </c>
      <c r="O497">
        <f t="shared" si="68"/>
        <v>324</v>
      </c>
      <c r="P497">
        <f t="shared" si="68"/>
        <v>342</v>
      </c>
      <c r="Q497">
        <f t="shared" si="63"/>
        <v>368</v>
      </c>
      <c r="S497" t="str">
        <f t="shared" si="61"/>
        <v>01.12.2025</v>
      </c>
      <c r="T497" t="str">
        <f t="shared" si="62"/>
        <v>22:45:00</v>
      </c>
      <c r="U497" t="str">
        <f t="shared" si="66"/>
        <v>01.12.2025 22:45:00</v>
      </c>
      <c r="V497" s="9" t="str">
        <f>MID($A497,C497+C$2+1,D497-C497-C$2-1)</f>
        <v>0</v>
      </c>
      <c r="W497" s="4">
        <f>VALUE(SUBSTITUTE(MID($A497,D497+D$2+1,E497-D497-D$2-1),",","."))</f>
        <v>0</v>
      </c>
      <c r="X497" s="4">
        <f>VALUE(SUBSTITUTE(MID($A497,E497+E$2+1,F497-E497-E$2-1),",","."))</f>
        <v>0.90957602214449496</v>
      </c>
      <c r="Y497" s="4">
        <f>VALUE(SUBSTITUTE(MID($A497,F497+F$2+1,G497-F497-F$2-1),",","."))</f>
        <v>0</v>
      </c>
      <c r="Z497" s="3">
        <f>VALUE(SUBSTITUTE(MID($A497,G497+G$2+1,H497-G497-G$2-1),",","."))</f>
        <v>0</v>
      </c>
      <c r="AA497" s="3">
        <f>VALUE(SUBSTITUTE(MID($A497,H497+H$2+1,I497-H497-H$2-1),",","."))</f>
        <v>0</v>
      </c>
      <c r="AB497" s="3">
        <f>VALUE(SUBSTITUTE(MID($A497,I497+I$2+1,J497-I497-I$2-1),",","."))</f>
        <v>0</v>
      </c>
      <c r="AC497" s="3">
        <f>VALUE(SUBSTITUTE(MID($A497,J497+J$2+1,K497-J497-J$2-1),",","."))</f>
        <v>-1.25</v>
      </c>
      <c r="AD497" s="3">
        <f>VALUE(SUBSTITUTE(MID($A497,K497+K$2+1,L497-K497-K$2-1),",","."))</f>
        <v>5.22</v>
      </c>
      <c r="AE497" s="3">
        <f>VALUE(SUBSTITUTE(MID($A497,L497+L$2+1,M497-L497-L$2-1),",","."))</f>
        <v>0</v>
      </c>
      <c r="AF497" s="3">
        <f>VALUE(SUBSTITUTE(MID($A497,M497+M$2+1,N497-M497-M$2-1),",","."))</f>
        <v>0</v>
      </c>
      <c r="AG497" s="3">
        <f>VALUE(SUBSTITUTE(MID($A497,N497+N$2+1,O497-N497-N$2-1),",","."))</f>
        <v>4.2175495693907497</v>
      </c>
      <c r="AH497" t="str">
        <f>MID($A497,O497+O$2+1,P497-O497-O$2-1)</f>
        <v/>
      </c>
      <c r="AI497" s="8" t="str">
        <f>MID($A497,P497+P$2+1,Q497-P497-P$2-1)</f>
        <v>False</v>
      </c>
      <c r="AK497" t="b">
        <f t="shared" si="67"/>
        <v>0</v>
      </c>
    </row>
    <row r="498" spans="1:37" x14ac:dyDescent="0.35">
      <c r="A498" t="s">
        <v>5045</v>
      </c>
      <c r="B498">
        <f t="shared" si="70"/>
        <v>10</v>
      </c>
      <c r="C498">
        <f t="shared" si="70"/>
        <v>43</v>
      </c>
      <c r="D498">
        <f t="shared" si="70"/>
        <v>54</v>
      </c>
      <c r="E498">
        <f t="shared" si="70"/>
        <v>80</v>
      </c>
      <c r="F498">
        <f t="shared" si="70"/>
        <v>124</v>
      </c>
      <c r="G498">
        <f t="shared" si="70"/>
        <v>145</v>
      </c>
      <c r="H498">
        <f t="shared" si="69"/>
        <v>177</v>
      </c>
      <c r="I498">
        <f t="shared" si="69"/>
        <v>199</v>
      </c>
      <c r="J498">
        <f t="shared" si="69"/>
        <v>232</v>
      </c>
      <c r="K498">
        <f t="shared" si="68"/>
        <v>253</v>
      </c>
      <c r="L498">
        <f t="shared" si="68"/>
        <v>271</v>
      </c>
      <c r="M498">
        <f t="shared" si="68"/>
        <v>286</v>
      </c>
      <c r="N498">
        <f t="shared" si="68"/>
        <v>298</v>
      </c>
      <c r="O498">
        <f t="shared" si="68"/>
        <v>322</v>
      </c>
      <c r="P498">
        <f t="shared" si="68"/>
        <v>340</v>
      </c>
      <c r="Q498">
        <f t="shared" si="63"/>
        <v>366</v>
      </c>
      <c r="S498" t="str">
        <f t="shared" si="61"/>
        <v>01.12.2025</v>
      </c>
      <c r="T498" t="str">
        <f t="shared" si="62"/>
        <v>23:00:00</v>
      </c>
      <c r="U498" t="str">
        <f t="shared" si="66"/>
        <v>01.12.2025 23:00:00</v>
      </c>
      <c r="V498" s="9" t="str">
        <f>MID($A498,C498+C$2+1,D498-C498-C$2-1)</f>
        <v>0</v>
      </c>
      <c r="W498" s="4">
        <f>VALUE(SUBSTITUTE(MID($A498,D498+D$2+1,E498-D498-D$2-1),",","."))</f>
        <v>0</v>
      </c>
      <c r="X498" s="4">
        <f>VALUE(SUBSTITUTE(MID($A498,E498+E$2+1,F498-E498-E$2-1),",","."))</f>
        <v>0.90957602214449496</v>
      </c>
      <c r="Y498" s="4">
        <f>VALUE(SUBSTITUTE(MID($A498,F498+F$2+1,G498-F498-F$2-1),",","."))</f>
        <v>0</v>
      </c>
      <c r="Z498" s="3">
        <f>VALUE(SUBSTITUTE(MID($A498,G498+G$2+1,H498-G498-G$2-1),",","."))</f>
        <v>0</v>
      </c>
      <c r="AA498" s="3">
        <f>VALUE(SUBSTITUTE(MID($A498,H498+H$2+1,I498-H498-H$2-1),",","."))</f>
        <v>0</v>
      </c>
      <c r="AB498" s="3">
        <f>VALUE(SUBSTITUTE(MID($A498,I498+I$2+1,J498-I498-I$2-1),",","."))</f>
        <v>0</v>
      </c>
      <c r="AC498" s="3">
        <f>VALUE(SUBSTITUTE(MID($A498,J498+J$2+1,K498-J498-J$2-1),",","."))</f>
        <v>-1.25</v>
      </c>
      <c r="AD498" s="3">
        <f>VALUE(SUBSTITUTE(MID($A498,K498+K$2+1,L498-K498-K$2-1),",","."))</f>
        <v>5.22</v>
      </c>
      <c r="AE498" s="3">
        <f>VALUE(SUBSTITUTE(MID($A498,L498+L$2+1,M498-L498-L$2-1),",","."))</f>
        <v>0</v>
      </c>
      <c r="AF498" s="3">
        <f>VALUE(SUBSTITUTE(MID($A498,M498+M$2+1,N498-M498-M$2-1),",","."))</f>
        <v>0</v>
      </c>
      <c r="AG498" s="3">
        <f>VALUE(SUBSTITUTE(MID($A498,N498+N$2+1,O498-N498-N$2-1),",","."))</f>
        <v>4.2175780892788399</v>
      </c>
      <c r="AH498" t="str">
        <f>MID($A498,O498+O$2+1,P498-O498-O$2-1)</f>
        <v/>
      </c>
      <c r="AI498" s="8" t="str">
        <f>MID($A498,P498+P$2+1,Q498-P498-P$2-1)</f>
        <v>False</v>
      </c>
      <c r="AK498" t="b">
        <f t="shared" si="67"/>
        <v>0</v>
      </c>
    </row>
    <row r="499" spans="1:37" x14ac:dyDescent="0.35">
      <c r="A499" t="s">
        <v>5046</v>
      </c>
      <c r="B499">
        <f t="shared" si="70"/>
        <v>10</v>
      </c>
      <c r="C499">
        <f t="shared" si="70"/>
        <v>43</v>
      </c>
      <c r="D499">
        <f t="shared" si="70"/>
        <v>54</v>
      </c>
      <c r="E499">
        <f t="shared" si="70"/>
        <v>80</v>
      </c>
      <c r="F499">
        <f t="shared" si="70"/>
        <v>124</v>
      </c>
      <c r="G499">
        <f t="shared" si="70"/>
        <v>145</v>
      </c>
      <c r="H499">
        <f t="shared" si="69"/>
        <v>177</v>
      </c>
      <c r="I499">
        <f t="shared" si="69"/>
        <v>199</v>
      </c>
      <c r="J499">
        <f t="shared" si="69"/>
        <v>232</v>
      </c>
      <c r="K499">
        <f t="shared" si="68"/>
        <v>253</v>
      </c>
      <c r="L499">
        <f t="shared" si="68"/>
        <v>271</v>
      </c>
      <c r="M499">
        <f t="shared" si="68"/>
        <v>286</v>
      </c>
      <c r="N499">
        <f t="shared" si="68"/>
        <v>298</v>
      </c>
      <c r="O499">
        <f t="shared" si="68"/>
        <v>323</v>
      </c>
      <c r="P499">
        <f t="shared" si="68"/>
        <v>341</v>
      </c>
      <c r="Q499">
        <f t="shared" si="63"/>
        <v>367</v>
      </c>
      <c r="S499" t="str">
        <f t="shared" si="61"/>
        <v>01.12.2025</v>
      </c>
      <c r="T499" t="str">
        <f t="shared" si="62"/>
        <v>23:15:00</v>
      </c>
      <c r="U499" t="str">
        <f t="shared" si="66"/>
        <v>01.12.2025 23:15:00</v>
      </c>
      <c r="V499" s="9" t="str">
        <f>MID($A499,C499+C$2+1,D499-C499-C$2-1)</f>
        <v>0</v>
      </c>
      <c r="W499" s="4">
        <f>VALUE(SUBSTITUTE(MID($A499,D499+D$2+1,E499-D499-D$2-1),",","."))</f>
        <v>0</v>
      </c>
      <c r="X499" s="4">
        <f>VALUE(SUBSTITUTE(MID($A499,E499+E$2+1,F499-E499-E$2-1),",","."))</f>
        <v>0.90957602214449496</v>
      </c>
      <c r="Y499" s="4">
        <f>VALUE(SUBSTITUTE(MID($A499,F499+F$2+1,G499-F499-F$2-1),",","."))</f>
        <v>0</v>
      </c>
      <c r="Z499" s="3">
        <f>VALUE(SUBSTITUTE(MID($A499,G499+G$2+1,H499-G499-G$2-1),",","."))</f>
        <v>0</v>
      </c>
      <c r="AA499" s="3">
        <f>VALUE(SUBSTITUTE(MID($A499,H499+H$2+1,I499-H499-H$2-1),",","."))</f>
        <v>0</v>
      </c>
      <c r="AB499" s="3">
        <f>VALUE(SUBSTITUTE(MID($A499,I499+I$2+1,J499-I499-I$2-1),",","."))</f>
        <v>0</v>
      </c>
      <c r="AC499" s="3">
        <f>VALUE(SUBSTITUTE(MID($A499,J499+J$2+1,K499-J499-J$2-1),",","."))</f>
        <v>-1.25</v>
      </c>
      <c r="AD499" s="3">
        <f>VALUE(SUBSTITUTE(MID($A499,K499+K$2+1,L499-K499-K$2-1),",","."))</f>
        <v>5.22</v>
      </c>
      <c r="AE499" s="3">
        <f>VALUE(SUBSTITUTE(MID($A499,L499+L$2+1,M499-L499-L$2-1),",","."))</f>
        <v>0</v>
      </c>
      <c r="AF499" s="3">
        <f>VALUE(SUBSTITUTE(MID($A499,M499+M$2+1,N499-M499-M$2-1),",","."))</f>
        <v>0</v>
      </c>
      <c r="AG499" s="3">
        <f>VALUE(SUBSTITUTE(MID($A499,N499+N$2+1,O499-N499-N$2-1),",","."))</f>
        <v>4.2176066091669204</v>
      </c>
      <c r="AH499" t="str">
        <f>MID($A499,O499+O$2+1,P499-O499-O$2-1)</f>
        <v/>
      </c>
      <c r="AI499" s="8" t="str">
        <f>MID($A499,P499+P$2+1,Q499-P499-P$2-1)</f>
        <v>False</v>
      </c>
      <c r="AK499" t="b">
        <f t="shared" si="67"/>
        <v>0</v>
      </c>
    </row>
    <row r="500" spans="1:37" x14ac:dyDescent="0.35">
      <c r="A500" t="s">
        <v>5047</v>
      </c>
      <c r="B500">
        <f t="shared" si="70"/>
        <v>10</v>
      </c>
      <c r="C500">
        <f t="shared" si="70"/>
        <v>43</v>
      </c>
      <c r="D500">
        <f t="shared" si="70"/>
        <v>54</v>
      </c>
      <c r="E500">
        <f t="shared" si="70"/>
        <v>80</v>
      </c>
      <c r="F500">
        <f t="shared" si="70"/>
        <v>124</v>
      </c>
      <c r="G500">
        <f t="shared" si="70"/>
        <v>145</v>
      </c>
      <c r="H500">
        <f t="shared" si="69"/>
        <v>177</v>
      </c>
      <c r="I500">
        <f t="shared" si="69"/>
        <v>199</v>
      </c>
      <c r="J500">
        <f t="shared" si="69"/>
        <v>232</v>
      </c>
      <c r="K500">
        <f t="shared" si="68"/>
        <v>252</v>
      </c>
      <c r="L500">
        <f t="shared" si="68"/>
        <v>269</v>
      </c>
      <c r="M500">
        <f t="shared" si="68"/>
        <v>284</v>
      </c>
      <c r="N500">
        <f t="shared" si="68"/>
        <v>296</v>
      </c>
      <c r="O500">
        <f t="shared" si="68"/>
        <v>321</v>
      </c>
      <c r="P500">
        <f t="shared" si="68"/>
        <v>339</v>
      </c>
      <c r="Q500">
        <f t="shared" si="63"/>
        <v>365</v>
      </c>
      <c r="S500" t="str">
        <f t="shared" si="61"/>
        <v>01.12.2025</v>
      </c>
      <c r="T500" t="str">
        <f t="shared" si="62"/>
        <v>23:30:00</v>
      </c>
      <c r="U500" t="str">
        <f t="shared" si="66"/>
        <v>01.12.2025 23:30:00</v>
      </c>
      <c r="V500" s="9" t="str">
        <f>MID($A500,C500+C$2+1,D500-C500-C$2-1)</f>
        <v>0</v>
      </c>
      <c r="W500" s="4">
        <f>VALUE(SUBSTITUTE(MID($A500,D500+D$2+1,E500-D500-D$2-1),",","."))</f>
        <v>0</v>
      </c>
      <c r="X500" s="4">
        <f>VALUE(SUBSTITUTE(MID($A500,E500+E$2+1,F500-E500-E$2-1),",","."))</f>
        <v>0.90957602214449496</v>
      </c>
      <c r="Y500" s="4">
        <f>VALUE(SUBSTITUTE(MID($A500,F500+F$2+1,G500-F500-F$2-1),",","."))</f>
        <v>0</v>
      </c>
      <c r="Z500" s="3">
        <f>VALUE(SUBSTITUTE(MID($A500,G500+G$2+1,H500-G500-G$2-1),",","."))</f>
        <v>0</v>
      </c>
      <c r="AA500" s="3">
        <f>VALUE(SUBSTITUTE(MID($A500,H500+H$2+1,I500-H500-H$2-1),",","."))</f>
        <v>0</v>
      </c>
      <c r="AB500" s="3">
        <f>VALUE(SUBSTITUTE(MID($A500,I500+I$2+1,J500-I500-I$2-1),",","."))</f>
        <v>0</v>
      </c>
      <c r="AC500" s="3">
        <f>VALUE(SUBSTITUTE(MID($A500,J500+J$2+1,K500-J500-J$2-1),",","."))</f>
        <v>-1.2</v>
      </c>
      <c r="AD500" s="3">
        <f>VALUE(SUBSTITUTE(MID($A500,K500+K$2+1,L500-K500-K$2-1),",","."))</f>
        <v>7.2</v>
      </c>
      <c r="AE500" s="3">
        <f>VALUE(SUBSTITUTE(MID($A500,L500+L$2+1,M500-L500-L$2-1),",","."))</f>
        <v>0</v>
      </c>
      <c r="AF500" s="3">
        <f>VALUE(SUBSTITUTE(MID($A500,M500+M$2+1,N500-M500-M$2-1),",","."))</f>
        <v>0</v>
      </c>
      <c r="AG500" s="3">
        <f>VALUE(SUBSTITUTE(MID($A500,N500+N$2+1,O500-N500-N$2-1),",","."))</f>
        <v>4.217635129055</v>
      </c>
      <c r="AH500" t="str">
        <f>MID($A500,O500+O$2+1,P500-O500-O$2-1)</f>
        <v/>
      </c>
      <c r="AI500" s="8" t="str">
        <f>MID($A500,P500+P$2+1,Q500-P500-P$2-1)</f>
        <v>False</v>
      </c>
      <c r="AK500" t="b">
        <f t="shared" si="67"/>
        <v>0</v>
      </c>
    </row>
    <row r="501" spans="1:37" x14ac:dyDescent="0.35">
      <c r="A501" t="s">
        <v>5048</v>
      </c>
      <c r="B501">
        <f t="shared" si="70"/>
        <v>10</v>
      </c>
      <c r="C501">
        <f t="shared" si="70"/>
        <v>43</v>
      </c>
      <c r="D501">
        <f t="shared" si="70"/>
        <v>54</v>
      </c>
      <c r="E501">
        <f t="shared" si="70"/>
        <v>80</v>
      </c>
      <c r="F501">
        <f t="shared" si="70"/>
        <v>124</v>
      </c>
      <c r="G501">
        <f t="shared" si="70"/>
        <v>145</v>
      </c>
      <c r="H501">
        <f t="shared" si="69"/>
        <v>177</v>
      </c>
      <c r="I501">
        <f t="shared" si="69"/>
        <v>199</v>
      </c>
      <c r="J501">
        <f t="shared" si="69"/>
        <v>232</v>
      </c>
      <c r="K501">
        <f t="shared" si="68"/>
        <v>252</v>
      </c>
      <c r="L501">
        <f t="shared" si="68"/>
        <v>269</v>
      </c>
      <c r="M501">
        <f t="shared" si="68"/>
        <v>284</v>
      </c>
      <c r="N501">
        <f t="shared" si="68"/>
        <v>296</v>
      </c>
      <c r="O501">
        <f t="shared" si="68"/>
        <v>321</v>
      </c>
      <c r="P501">
        <f t="shared" si="68"/>
        <v>339</v>
      </c>
      <c r="Q501">
        <f t="shared" si="63"/>
        <v>365</v>
      </c>
      <c r="S501" t="str">
        <f t="shared" si="61"/>
        <v>01.12.2025</v>
      </c>
      <c r="T501" t="str">
        <f t="shared" si="62"/>
        <v>23:45:00</v>
      </c>
      <c r="U501" t="str">
        <f t="shared" si="66"/>
        <v>01.12.2025 23:45:00</v>
      </c>
      <c r="V501" s="9" t="str">
        <f>MID($A501,C501+C$2+1,D501-C501-C$2-1)</f>
        <v>0</v>
      </c>
      <c r="W501" s="4">
        <f>VALUE(SUBSTITUTE(MID($A501,D501+D$2+1,E501-D501-D$2-1),",","."))</f>
        <v>0</v>
      </c>
      <c r="X501" s="4">
        <f>VALUE(SUBSTITUTE(MID($A501,E501+E$2+1,F501-E501-E$2-1),",","."))</f>
        <v>0.90957602214449496</v>
      </c>
      <c r="Y501" s="4">
        <f>VALUE(SUBSTITUTE(MID($A501,F501+F$2+1,G501-F501-F$2-1),",","."))</f>
        <v>0</v>
      </c>
      <c r="Z501" s="3">
        <f>VALUE(SUBSTITUTE(MID($A501,G501+G$2+1,H501-G501-G$2-1),",","."))</f>
        <v>0</v>
      </c>
      <c r="AA501" s="3">
        <f>VALUE(SUBSTITUTE(MID($A501,H501+H$2+1,I501-H501-H$2-1),",","."))</f>
        <v>0</v>
      </c>
      <c r="AB501" s="3">
        <f>VALUE(SUBSTITUTE(MID($A501,I501+I$2+1,J501-I501-I$2-1),",","."))</f>
        <v>0</v>
      </c>
      <c r="AC501" s="3">
        <f>VALUE(SUBSTITUTE(MID($A501,J501+J$2+1,K501-J501-J$2-1),",","."))</f>
        <v>-1.2</v>
      </c>
      <c r="AD501" s="3">
        <f>VALUE(SUBSTITUTE(MID($A501,K501+K$2+1,L501-K501-K$2-1),",","."))</f>
        <v>7.2</v>
      </c>
      <c r="AE501" s="3">
        <f>VALUE(SUBSTITUTE(MID($A501,L501+L$2+1,M501-L501-L$2-1),",","."))</f>
        <v>0</v>
      </c>
      <c r="AF501" s="3">
        <f>VALUE(SUBSTITUTE(MID($A501,M501+M$2+1,N501-M501-M$2-1),",","."))</f>
        <v>0</v>
      </c>
      <c r="AG501" s="3">
        <f>VALUE(SUBSTITUTE(MID($A501,N501+N$2+1,O501-N501-N$2-1),",","."))</f>
        <v>4.2176636489430797</v>
      </c>
      <c r="AH501" t="str">
        <f>MID($A501,O501+O$2+1,P501-O501-O$2-1)</f>
        <v/>
      </c>
      <c r="AI501" s="8" t="str">
        <f>MID($A501,P501+P$2+1,Q501-P501-P$2-1)</f>
        <v>False</v>
      </c>
      <c r="AK501" t="b">
        <f t="shared" si="67"/>
        <v>0</v>
      </c>
    </row>
    <row r="502" spans="1:37" x14ac:dyDescent="0.35">
      <c r="A502" t="s">
        <v>5049</v>
      </c>
      <c r="B502">
        <f t="shared" si="70"/>
        <v>10</v>
      </c>
      <c r="C502">
        <f t="shared" si="70"/>
        <v>43</v>
      </c>
      <c r="D502">
        <f t="shared" si="70"/>
        <v>54</v>
      </c>
      <c r="E502">
        <f t="shared" si="70"/>
        <v>80</v>
      </c>
      <c r="F502">
        <f t="shared" si="70"/>
        <v>124</v>
      </c>
      <c r="G502">
        <f t="shared" si="70"/>
        <v>145</v>
      </c>
      <c r="H502">
        <f t="shared" si="69"/>
        <v>177</v>
      </c>
      <c r="I502">
        <f t="shared" si="69"/>
        <v>199</v>
      </c>
      <c r="J502">
        <f t="shared" si="69"/>
        <v>232</v>
      </c>
      <c r="K502">
        <f t="shared" si="68"/>
        <v>252</v>
      </c>
      <c r="L502">
        <f t="shared" si="68"/>
        <v>269</v>
      </c>
      <c r="M502">
        <f t="shared" si="68"/>
        <v>284</v>
      </c>
      <c r="N502">
        <f t="shared" si="68"/>
        <v>296</v>
      </c>
      <c r="O502">
        <f t="shared" si="68"/>
        <v>321</v>
      </c>
      <c r="P502">
        <f t="shared" si="68"/>
        <v>339</v>
      </c>
      <c r="Q502">
        <f t="shared" si="63"/>
        <v>365</v>
      </c>
      <c r="S502" t="str">
        <f t="shared" si="61"/>
        <v>02.12.2025</v>
      </c>
      <c r="T502" t="str">
        <f t="shared" si="62"/>
        <v>00:00:00</v>
      </c>
      <c r="U502" t="str">
        <f t="shared" si="66"/>
        <v>02.12.2025 00:00:00</v>
      </c>
      <c r="V502" s="9" t="str">
        <f>MID($A502,C502+C$2+1,D502-C502-C$2-1)</f>
        <v>0</v>
      </c>
      <c r="W502" s="4">
        <f>VALUE(SUBSTITUTE(MID($A502,D502+D$2+1,E502-D502-D$2-1),",","."))</f>
        <v>0</v>
      </c>
      <c r="X502" s="4">
        <f>VALUE(SUBSTITUTE(MID($A502,E502+E$2+1,F502-E502-E$2-1),",","."))</f>
        <v>0.90957602214449496</v>
      </c>
      <c r="Y502" s="4">
        <f>VALUE(SUBSTITUTE(MID($A502,F502+F$2+1,G502-F502-F$2-1),",","."))</f>
        <v>0</v>
      </c>
      <c r="Z502" s="3">
        <f>VALUE(SUBSTITUTE(MID($A502,G502+G$2+1,H502-G502-G$2-1),",","."))</f>
        <v>0</v>
      </c>
      <c r="AA502" s="3">
        <f>VALUE(SUBSTITUTE(MID($A502,H502+H$2+1,I502-H502-H$2-1),",","."))</f>
        <v>0</v>
      </c>
      <c r="AB502" s="3">
        <f>VALUE(SUBSTITUTE(MID($A502,I502+I$2+1,J502-I502-I$2-1),",","."))</f>
        <v>0</v>
      </c>
      <c r="AC502" s="3">
        <f>VALUE(SUBSTITUTE(MID($A502,J502+J$2+1,K502-J502-J$2-1),",","."))</f>
        <v>-1.2</v>
      </c>
      <c r="AD502" s="3">
        <f>VALUE(SUBSTITUTE(MID($A502,K502+K$2+1,L502-K502-K$2-1),",","."))</f>
        <v>7.2</v>
      </c>
      <c r="AE502" s="3">
        <f>VALUE(SUBSTITUTE(MID($A502,L502+L$2+1,M502-L502-L$2-1),",","."))</f>
        <v>0</v>
      </c>
      <c r="AF502" s="3">
        <f>VALUE(SUBSTITUTE(MID($A502,M502+M$2+1,N502-M502-M$2-1),",","."))</f>
        <v>0</v>
      </c>
      <c r="AG502" s="3">
        <f>VALUE(SUBSTITUTE(MID($A502,N502+N$2+1,O502-N502-N$2-1),",","."))</f>
        <v>4.2176921688311602</v>
      </c>
      <c r="AH502" t="str">
        <f>MID($A502,O502+O$2+1,P502-O502-O$2-1)</f>
        <v/>
      </c>
      <c r="AI502" s="8" t="str">
        <f>MID($A502,P502+P$2+1,Q502-P502-P$2-1)</f>
        <v>False</v>
      </c>
      <c r="AK502" t="b">
        <f t="shared" si="67"/>
        <v>0</v>
      </c>
    </row>
    <row r="503" spans="1:37" x14ac:dyDescent="0.35">
      <c r="A503" t="s">
        <v>5050</v>
      </c>
      <c r="B503">
        <f t="shared" si="70"/>
        <v>10</v>
      </c>
      <c r="C503">
        <f t="shared" si="70"/>
        <v>43</v>
      </c>
      <c r="D503">
        <f t="shared" si="70"/>
        <v>54</v>
      </c>
      <c r="E503">
        <f t="shared" si="70"/>
        <v>80</v>
      </c>
      <c r="F503">
        <f t="shared" si="70"/>
        <v>124</v>
      </c>
      <c r="G503">
        <f t="shared" si="70"/>
        <v>145</v>
      </c>
      <c r="H503">
        <f t="shared" si="69"/>
        <v>177</v>
      </c>
      <c r="I503">
        <f t="shared" si="69"/>
        <v>199</v>
      </c>
      <c r="J503">
        <f t="shared" si="69"/>
        <v>232</v>
      </c>
      <c r="K503">
        <f t="shared" si="68"/>
        <v>252</v>
      </c>
      <c r="L503">
        <f t="shared" si="68"/>
        <v>269</v>
      </c>
      <c r="M503">
        <f t="shared" si="68"/>
        <v>284</v>
      </c>
      <c r="N503">
        <f t="shared" si="68"/>
        <v>296</v>
      </c>
      <c r="O503">
        <f t="shared" si="68"/>
        <v>321</v>
      </c>
      <c r="P503">
        <f t="shared" si="68"/>
        <v>339</v>
      </c>
      <c r="Q503">
        <f t="shared" si="63"/>
        <v>365</v>
      </c>
      <c r="S503" t="str">
        <f t="shared" si="61"/>
        <v>02.12.2025</v>
      </c>
      <c r="T503" t="str">
        <f t="shared" si="62"/>
        <v>00:15:00</v>
      </c>
      <c r="U503" t="str">
        <f t="shared" si="66"/>
        <v>02.12.2025 00:15:00</v>
      </c>
      <c r="V503" s="9" t="str">
        <f>MID($A503,C503+C$2+1,D503-C503-C$2-1)</f>
        <v>0</v>
      </c>
      <c r="W503" s="4">
        <f>VALUE(SUBSTITUTE(MID($A503,D503+D$2+1,E503-D503-D$2-1),",","."))</f>
        <v>0</v>
      </c>
      <c r="X503" s="4">
        <f>VALUE(SUBSTITUTE(MID($A503,E503+E$2+1,F503-E503-E$2-1),",","."))</f>
        <v>0.90957602214449496</v>
      </c>
      <c r="Y503" s="4">
        <f>VALUE(SUBSTITUTE(MID($A503,F503+F$2+1,G503-F503-F$2-1),",","."))</f>
        <v>0</v>
      </c>
      <c r="Z503" s="3">
        <f>VALUE(SUBSTITUTE(MID($A503,G503+G$2+1,H503-G503-G$2-1),",","."))</f>
        <v>0</v>
      </c>
      <c r="AA503" s="3">
        <f>VALUE(SUBSTITUTE(MID($A503,H503+H$2+1,I503-H503-H$2-1),",","."))</f>
        <v>0</v>
      </c>
      <c r="AB503" s="3">
        <f>VALUE(SUBSTITUTE(MID($A503,I503+I$2+1,J503-I503-I$2-1),",","."))</f>
        <v>0</v>
      </c>
      <c r="AC503" s="3">
        <f>VALUE(SUBSTITUTE(MID($A503,J503+J$2+1,K503-J503-J$2-1),",","."))</f>
        <v>-1.2</v>
      </c>
      <c r="AD503" s="3">
        <f>VALUE(SUBSTITUTE(MID($A503,K503+K$2+1,L503-K503-K$2-1),",","."))</f>
        <v>7.2</v>
      </c>
      <c r="AE503" s="3">
        <f>VALUE(SUBSTITUTE(MID($A503,L503+L$2+1,M503-L503-L$2-1),",","."))</f>
        <v>0</v>
      </c>
      <c r="AF503" s="3">
        <f>VALUE(SUBSTITUTE(MID($A503,M503+M$2+1,N503-M503-M$2-1),",","."))</f>
        <v>0</v>
      </c>
      <c r="AG503" s="3">
        <f>VALUE(SUBSTITUTE(MID($A503,N503+N$2+1,O503-N503-N$2-1),",","."))</f>
        <v>4.2177206887192398</v>
      </c>
      <c r="AH503" t="str">
        <f>MID($A503,O503+O$2+1,P503-O503-O$2-1)</f>
        <v/>
      </c>
      <c r="AI503" s="8" t="str">
        <f>MID($A503,P503+P$2+1,Q503-P503-P$2-1)</f>
        <v>False</v>
      </c>
      <c r="AK503" t="b">
        <f t="shared" si="67"/>
        <v>0</v>
      </c>
    </row>
    <row r="504" spans="1:37" x14ac:dyDescent="0.35">
      <c r="A504" t="s">
        <v>5051</v>
      </c>
      <c r="B504">
        <f t="shared" si="70"/>
        <v>10</v>
      </c>
      <c r="C504">
        <f t="shared" si="70"/>
        <v>43</v>
      </c>
      <c r="D504">
        <f t="shared" si="70"/>
        <v>54</v>
      </c>
      <c r="E504">
        <f t="shared" si="70"/>
        <v>80</v>
      </c>
      <c r="F504">
        <f t="shared" si="70"/>
        <v>124</v>
      </c>
      <c r="G504">
        <f t="shared" si="70"/>
        <v>145</v>
      </c>
      <c r="H504">
        <f t="shared" si="69"/>
        <v>177</v>
      </c>
      <c r="I504">
        <f t="shared" si="69"/>
        <v>199</v>
      </c>
      <c r="J504">
        <f t="shared" si="69"/>
        <v>232</v>
      </c>
      <c r="K504">
        <f t="shared" si="68"/>
        <v>252</v>
      </c>
      <c r="L504">
        <f t="shared" si="68"/>
        <v>283</v>
      </c>
      <c r="M504">
        <f t="shared" si="68"/>
        <v>298</v>
      </c>
      <c r="N504">
        <f t="shared" si="68"/>
        <v>310</v>
      </c>
      <c r="O504">
        <f t="shared" si="68"/>
        <v>335</v>
      </c>
      <c r="P504">
        <f t="shared" si="68"/>
        <v>353</v>
      </c>
      <c r="Q504">
        <f t="shared" si="63"/>
        <v>379</v>
      </c>
      <c r="S504" t="str">
        <f t="shared" ref="S504:S567" si="71">LEFT(U504,10)</f>
        <v>02.12.2025</v>
      </c>
      <c r="T504" t="str">
        <f t="shared" ref="T504:T567" si="72">MID(U504,12,8)</f>
        <v>00:30:00</v>
      </c>
      <c r="U504" t="str">
        <f t="shared" si="66"/>
        <v>02.12.2025 00:30:00</v>
      </c>
      <c r="V504" s="9" t="str">
        <f>MID($A504,C504+C$2+1,D504-C504-C$2-1)</f>
        <v>0</v>
      </c>
      <c r="W504" s="4">
        <f>VALUE(SUBSTITUTE(MID($A504,D504+D$2+1,E504-D504-D$2-1),",","."))</f>
        <v>0</v>
      </c>
      <c r="X504" s="4">
        <f>VALUE(SUBSTITUTE(MID($A504,E504+E$2+1,F504-E504-E$2-1),",","."))</f>
        <v>0.90957602214449496</v>
      </c>
      <c r="Y504" s="4">
        <f>VALUE(SUBSTITUTE(MID($A504,F504+F$2+1,G504-F504-F$2-1),",","."))</f>
        <v>0</v>
      </c>
      <c r="Z504" s="3">
        <f>VALUE(SUBSTITUTE(MID($A504,G504+G$2+1,H504-G504-G$2-1),",","."))</f>
        <v>0</v>
      </c>
      <c r="AA504" s="3">
        <f>VALUE(SUBSTITUTE(MID($A504,H504+H$2+1,I504-H504-H$2-1),",","."))</f>
        <v>0</v>
      </c>
      <c r="AB504" s="3">
        <f>VALUE(SUBSTITUTE(MID($A504,I504+I$2+1,J504-I504-I$2-1),",","."))</f>
        <v>0</v>
      </c>
      <c r="AC504" s="3">
        <f>VALUE(SUBSTITUTE(MID($A504,J504+J$2+1,K504-J504-J$2-1),",","."))</f>
        <v>-1.2</v>
      </c>
      <c r="AD504" s="3">
        <f>VALUE(SUBSTITUTE(MID($A504,K504+K$2+1,L504-K504-K$2-1),",","."))</f>
        <v>8.2799999999999994</v>
      </c>
      <c r="AE504" s="3">
        <f>VALUE(SUBSTITUTE(MID($A504,L504+L$2+1,M504-L504-L$2-1),",","."))</f>
        <v>0</v>
      </c>
      <c r="AF504" s="3">
        <f>VALUE(SUBSTITUTE(MID($A504,M504+M$2+1,N504-M504-M$2-1),",","."))</f>
        <v>0</v>
      </c>
      <c r="AG504" s="3">
        <f>VALUE(SUBSTITUTE(MID($A504,N504+N$2+1,O504-N504-N$2-1),",","."))</f>
        <v>4.2177492086073203</v>
      </c>
      <c r="AH504" t="str">
        <f>MID($A504,O504+O$2+1,P504-O504-O$2-1)</f>
        <v/>
      </c>
      <c r="AI504" s="8" t="str">
        <f>MID($A504,P504+P$2+1,Q504-P504-P$2-1)</f>
        <v>False</v>
      </c>
      <c r="AK504" t="b">
        <f t="shared" si="67"/>
        <v>0</v>
      </c>
    </row>
    <row r="505" spans="1:37" x14ac:dyDescent="0.35">
      <c r="A505" t="s">
        <v>5052</v>
      </c>
      <c r="B505">
        <f t="shared" si="70"/>
        <v>10</v>
      </c>
      <c r="C505">
        <f t="shared" si="70"/>
        <v>43</v>
      </c>
      <c r="D505">
        <f t="shared" si="70"/>
        <v>54</v>
      </c>
      <c r="E505">
        <f t="shared" si="70"/>
        <v>80</v>
      </c>
      <c r="F505">
        <f t="shared" si="70"/>
        <v>124</v>
      </c>
      <c r="G505">
        <f t="shared" si="70"/>
        <v>145</v>
      </c>
      <c r="H505">
        <f t="shared" si="69"/>
        <v>177</v>
      </c>
      <c r="I505">
        <f t="shared" si="69"/>
        <v>199</v>
      </c>
      <c r="J505">
        <f t="shared" si="69"/>
        <v>232</v>
      </c>
      <c r="K505">
        <f t="shared" si="68"/>
        <v>252</v>
      </c>
      <c r="L505">
        <f t="shared" si="68"/>
        <v>283</v>
      </c>
      <c r="M505">
        <f t="shared" si="68"/>
        <v>298</v>
      </c>
      <c r="N505">
        <f t="shared" si="68"/>
        <v>310</v>
      </c>
      <c r="O505">
        <f t="shared" si="68"/>
        <v>336</v>
      </c>
      <c r="P505">
        <f t="shared" si="68"/>
        <v>354</v>
      </c>
      <c r="Q505">
        <f t="shared" si="63"/>
        <v>380</v>
      </c>
      <c r="S505" t="str">
        <f t="shared" si="71"/>
        <v>02.12.2025</v>
      </c>
      <c r="T505" t="str">
        <f t="shared" si="72"/>
        <v>00:45:00</v>
      </c>
      <c r="U505" t="str">
        <f t="shared" si="66"/>
        <v>02.12.2025 00:45:00</v>
      </c>
      <c r="V505" s="9" t="str">
        <f>MID($A505,C505+C$2+1,D505-C505-C$2-1)</f>
        <v>0</v>
      </c>
      <c r="W505" s="4">
        <f>VALUE(SUBSTITUTE(MID($A505,D505+D$2+1,E505-D505-D$2-1),",","."))</f>
        <v>0</v>
      </c>
      <c r="X505" s="4">
        <f>VALUE(SUBSTITUTE(MID($A505,E505+E$2+1,F505-E505-E$2-1),",","."))</f>
        <v>0.90957602214449496</v>
      </c>
      <c r="Y505" s="4">
        <f>VALUE(SUBSTITUTE(MID($A505,F505+F$2+1,G505-F505-F$2-1),",","."))</f>
        <v>0</v>
      </c>
      <c r="Z505" s="3">
        <f>VALUE(SUBSTITUTE(MID($A505,G505+G$2+1,H505-G505-G$2-1),",","."))</f>
        <v>0</v>
      </c>
      <c r="AA505" s="3">
        <f>VALUE(SUBSTITUTE(MID($A505,H505+H$2+1,I505-H505-H$2-1),",","."))</f>
        <v>0</v>
      </c>
      <c r="AB505" s="3">
        <f>VALUE(SUBSTITUTE(MID($A505,I505+I$2+1,J505-I505-I$2-1),",","."))</f>
        <v>0</v>
      </c>
      <c r="AC505" s="3">
        <f>VALUE(SUBSTITUTE(MID($A505,J505+J$2+1,K505-J505-J$2-1),",","."))</f>
        <v>-1.2</v>
      </c>
      <c r="AD505" s="3">
        <f>VALUE(SUBSTITUTE(MID($A505,K505+K$2+1,L505-K505-K$2-1),",","."))</f>
        <v>8.2799999999999994</v>
      </c>
      <c r="AE505" s="3">
        <f>VALUE(SUBSTITUTE(MID($A505,L505+L$2+1,M505-L505-L$2-1),",","."))</f>
        <v>0</v>
      </c>
      <c r="AF505" s="3">
        <f>VALUE(SUBSTITUTE(MID($A505,M505+M$2+1,N505-M505-M$2-1),",","."))</f>
        <v>0</v>
      </c>
      <c r="AG505" s="3">
        <f>VALUE(SUBSTITUTE(MID($A505,N505+N$2+1,O505-N505-N$2-1),",","."))</f>
        <v>4.2177777284954097</v>
      </c>
      <c r="AH505" t="str">
        <f>MID($A505,O505+O$2+1,P505-O505-O$2-1)</f>
        <v/>
      </c>
      <c r="AI505" s="8" t="str">
        <f>MID($A505,P505+P$2+1,Q505-P505-P$2-1)</f>
        <v>False</v>
      </c>
      <c r="AK505" t="b">
        <f t="shared" si="67"/>
        <v>0</v>
      </c>
    </row>
    <row r="506" spans="1:37" x14ac:dyDescent="0.35">
      <c r="A506" t="s">
        <v>5053</v>
      </c>
      <c r="B506">
        <f t="shared" si="70"/>
        <v>10</v>
      </c>
      <c r="C506">
        <f t="shared" si="70"/>
        <v>43</v>
      </c>
      <c r="D506">
        <f t="shared" si="70"/>
        <v>54</v>
      </c>
      <c r="E506">
        <f t="shared" si="70"/>
        <v>80</v>
      </c>
      <c r="F506">
        <f t="shared" si="70"/>
        <v>124</v>
      </c>
      <c r="G506">
        <f t="shared" si="70"/>
        <v>145</v>
      </c>
      <c r="H506">
        <f t="shared" si="69"/>
        <v>177</v>
      </c>
      <c r="I506">
        <f t="shared" si="69"/>
        <v>199</v>
      </c>
      <c r="J506">
        <f t="shared" si="69"/>
        <v>232</v>
      </c>
      <c r="K506">
        <f t="shared" si="68"/>
        <v>252</v>
      </c>
      <c r="L506">
        <f t="shared" si="68"/>
        <v>283</v>
      </c>
      <c r="M506">
        <f t="shared" si="68"/>
        <v>298</v>
      </c>
      <c r="N506">
        <f t="shared" si="68"/>
        <v>310</v>
      </c>
      <c r="O506">
        <f t="shared" si="68"/>
        <v>335</v>
      </c>
      <c r="P506">
        <f t="shared" si="68"/>
        <v>353</v>
      </c>
      <c r="Q506">
        <f t="shared" si="68"/>
        <v>379</v>
      </c>
      <c r="S506" t="str">
        <f t="shared" si="71"/>
        <v>02.12.2025</v>
      </c>
      <c r="T506" t="str">
        <f t="shared" si="72"/>
        <v>01:00:00</v>
      </c>
      <c r="U506" t="str">
        <f t="shared" si="66"/>
        <v>02.12.2025 01:00:00</v>
      </c>
      <c r="V506" s="9" t="str">
        <f>MID($A506,C506+C$2+1,D506-C506-C$2-1)</f>
        <v>0</v>
      </c>
      <c r="W506" s="4">
        <f>VALUE(SUBSTITUTE(MID($A506,D506+D$2+1,E506-D506-D$2-1),",","."))</f>
        <v>0</v>
      </c>
      <c r="X506" s="4">
        <f>VALUE(SUBSTITUTE(MID($A506,E506+E$2+1,F506-E506-E$2-1),",","."))</f>
        <v>0.90957602214449496</v>
      </c>
      <c r="Y506" s="4">
        <f>VALUE(SUBSTITUTE(MID($A506,F506+F$2+1,G506-F506-F$2-1),",","."))</f>
        <v>0</v>
      </c>
      <c r="Z506" s="3">
        <f>VALUE(SUBSTITUTE(MID($A506,G506+G$2+1,H506-G506-G$2-1),",","."))</f>
        <v>0</v>
      </c>
      <c r="AA506" s="3">
        <f>VALUE(SUBSTITUTE(MID($A506,H506+H$2+1,I506-H506-H$2-1),",","."))</f>
        <v>0</v>
      </c>
      <c r="AB506" s="3">
        <f>VALUE(SUBSTITUTE(MID($A506,I506+I$2+1,J506-I506-I$2-1),",","."))</f>
        <v>0</v>
      </c>
      <c r="AC506" s="3">
        <f>VALUE(SUBSTITUTE(MID($A506,J506+J$2+1,K506-J506-J$2-1),",","."))</f>
        <v>-1.2</v>
      </c>
      <c r="AD506" s="3">
        <f>VALUE(SUBSTITUTE(MID($A506,K506+K$2+1,L506-K506-K$2-1),",","."))</f>
        <v>8.2799999999999994</v>
      </c>
      <c r="AE506" s="3">
        <f>VALUE(SUBSTITUTE(MID($A506,L506+L$2+1,M506-L506-L$2-1),",","."))</f>
        <v>0</v>
      </c>
      <c r="AF506" s="3">
        <f>VALUE(SUBSTITUTE(MID($A506,M506+M$2+1,N506-M506-M$2-1),",","."))</f>
        <v>0</v>
      </c>
      <c r="AG506" s="3">
        <f>VALUE(SUBSTITUTE(MID($A506,N506+N$2+1,O506-N506-N$2-1),",","."))</f>
        <v>4.2178062483834902</v>
      </c>
      <c r="AH506" t="str">
        <f>MID($A506,O506+O$2+1,P506-O506-O$2-1)</f>
        <v/>
      </c>
      <c r="AI506" s="8" t="str">
        <f>MID($A506,P506+P$2+1,Q506-P506-P$2-1)</f>
        <v>False</v>
      </c>
      <c r="AK506" t="b">
        <f t="shared" si="67"/>
        <v>0</v>
      </c>
    </row>
    <row r="507" spans="1:37" x14ac:dyDescent="0.35">
      <c r="A507" t="s">
        <v>5054</v>
      </c>
      <c r="B507">
        <f t="shared" si="70"/>
        <v>10</v>
      </c>
      <c r="C507">
        <f t="shared" si="70"/>
        <v>43</v>
      </c>
      <c r="D507">
        <f t="shared" si="70"/>
        <v>54</v>
      </c>
      <c r="E507">
        <f t="shared" si="70"/>
        <v>80</v>
      </c>
      <c r="F507">
        <f t="shared" si="70"/>
        <v>124</v>
      </c>
      <c r="G507">
        <f t="shared" si="70"/>
        <v>145</v>
      </c>
      <c r="H507">
        <f t="shared" si="69"/>
        <v>177</v>
      </c>
      <c r="I507">
        <f t="shared" si="69"/>
        <v>199</v>
      </c>
      <c r="J507">
        <f t="shared" si="69"/>
        <v>232</v>
      </c>
      <c r="K507">
        <f t="shared" si="68"/>
        <v>252</v>
      </c>
      <c r="L507">
        <f t="shared" si="68"/>
        <v>283</v>
      </c>
      <c r="M507">
        <f t="shared" si="68"/>
        <v>298</v>
      </c>
      <c r="N507">
        <f t="shared" si="68"/>
        <v>310</v>
      </c>
      <c r="O507">
        <f t="shared" si="68"/>
        <v>335</v>
      </c>
      <c r="P507">
        <f t="shared" si="68"/>
        <v>353</v>
      </c>
      <c r="Q507">
        <f t="shared" si="68"/>
        <v>379</v>
      </c>
      <c r="S507" t="str">
        <f t="shared" si="71"/>
        <v>02.12.2025</v>
      </c>
      <c r="T507" t="str">
        <f t="shared" si="72"/>
        <v>01:15:00</v>
      </c>
      <c r="U507" t="str">
        <f t="shared" si="66"/>
        <v>02.12.2025 01:15:00</v>
      </c>
      <c r="V507" s="9" t="str">
        <f>MID($A507,C507+C$2+1,D507-C507-C$2-1)</f>
        <v>0</v>
      </c>
      <c r="W507" s="4">
        <f>VALUE(SUBSTITUTE(MID($A507,D507+D$2+1,E507-D507-D$2-1),",","."))</f>
        <v>0</v>
      </c>
      <c r="X507" s="4">
        <f>VALUE(SUBSTITUTE(MID($A507,E507+E$2+1,F507-E507-E$2-1),",","."))</f>
        <v>0.90957602214449496</v>
      </c>
      <c r="Y507" s="4">
        <f>VALUE(SUBSTITUTE(MID($A507,F507+F$2+1,G507-F507-F$2-1),",","."))</f>
        <v>0</v>
      </c>
      <c r="Z507" s="3">
        <f>VALUE(SUBSTITUTE(MID($A507,G507+G$2+1,H507-G507-G$2-1),",","."))</f>
        <v>0</v>
      </c>
      <c r="AA507" s="3">
        <f>VALUE(SUBSTITUTE(MID($A507,H507+H$2+1,I507-H507-H$2-1),",","."))</f>
        <v>0</v>
      </c>
      <c r="AB507" s="3">
        <f>VALUE(SUBSTITUTE(MID($A507,I507+I$2+1,J507-I507-I$2-1),",","."))</f>
        <v>0</v>
      </c>
      <c r="AC507" s="3">
        <f>VALUE(SUBSTITUTE(MID($A507,J507+J$2+1,K507-J507-J$2-1),",","."))</f>
        <v>-1.2</v>
      </c>
      <c r="AD507" s="3">
        <f>VALUE(SUBSTITUTE(MID($A507,K507+K$2+1,L507-K507-K$2-1),",","."))</f>
        <v>8.2799999999999994</v>
      </c>
      <c r="AE507" s="3">
        <f>VALUE(SUBSTITUTE(MID($A507,L507+L$2+1,M507-L507-L$2-1),",","."))</f>
        <v>0</v>
      </c>
      <c r="AF507" s="3">
        <f>VALUE(SUBSTITUTE(MID($A507,M507+M$2+1,N507-M507-M$2-1),",","."))</f>
        <v>0</v>
      </c>
      <c r="AG507" s="3">
        <f>VALUE(SUBSTITUTE(MID($A507,N507+N$2+1,O507-N507-N$2-1),",","."))</f>
        <v>4.2178347682715698</v>
      </c>
      <c r="AH507" t="str">
        <f>MID($A507,O507+O$2+1,P507-O507-O$2-1)</f>
        <v/>
      </c>
      <c r="AI507" s="8" t="str">
        <f>MID($A507,P507+P$2+1,Q507-P507-P$2-1)</f>
        <v>False</v>
      </c>
      <c r="AK507" t="b">
        <f t="shared" si="67"/>
        <v>0</v>
      </c>
    </row>
    <row r="508" spans="1:37" x14ac:dyDescent="0.35">
      <c r="A508" t="s">
        <v>5055</v>
      </c>
      <c r="B508">
        <f t="shared" si="70"/>
        <v>10</v>
      </c>
      <c r="C508">
        <f t="shared" si="70"/>
        <v>43</v>
      </c>
      <c r="D508">
        <f t="shared" si="70"/>
        <v>54</v>
      </c>
      <c r="E508">
        <f t="shared" si="70"/>
        <v>80</v>
      </c>
      <c r="F508">
        <f t="shared" si="70"/>
        <v>124</v>
      </c>
      <c r="G508">
        <f t="shared" si="70"/>
        <v>145</v>
      </c>
      <c r="H508">
        <f t="shared" si="69"/>
        <v>177</v>
      </c>
      <c r="I508">
        <f t="shared" si="69"/>
        <v>199</v>
      </c>
      <c r="J508">
        <f t="shared" si="69"/>
        <v>232</v>
      </c>
      <c r="K508">
        <f t="shared" si="68"/>
        <v>267</v>
      </c>
      <c r="L508">
        <f t="shared" si="68"/>
        <v>299</v>
      </c>
      <c r="M508">
        <f t="shared" si="68"/>
        <v>314</v>
      </c>
      <c r="N508">
        <f t="shared" si="68"/>
        <v>326</v>
      </c>
      <c r="O508">
        <f t="shared" si="68"/>
        <v>351</v>
      </c>
      <c r="P508">
        <f t="shared" si="68"/>
        <v>369</v>
      </c>
      <c r="Q508">
        <f t="shared" si="68"/>
        <v>395</v>
      </c>
      <c r="S508" t="str">
        <f t="shared" si="71"/>
        <v>02.12.2025</v>
      </c>
      <c r="T508" t="str">
        <f t="shared" si="72"/>
        <v>01:30:00</v>
      </c>
      <c r="U508" t="str">
        <f t="shared" si="66"/>
        <v>02.12.2025 01:30:00</v>
      </c>
      <c r="V508" s="9" t="str">
        <f>MID($A508,C508+C$2+1,D508-C508-C$2-1)</f>
        <v>0</v>
      </c>
      <c r="W508" s="4">
        <f>VALUE(SUBSTITUTE(MID($A508,D508+D$2+1,E508-D508-D$2-1),",","."))</f>
        <v>0</v>
      </c>
      <c r="X508" s="4">
        <f>VALUE(SUBSTITUTE(MID($A508,E508+E$2+1,F508-E508-E$2-1),",","."))</f>
        <v>0.90957602214449496</v>
      </c>
      <c r="Y508" s="4">
        <f>VALUE(SUBSTITUTE(MID($A508,F508+F$2+1,G508-F508-F$2-1),",","."))</f>
        <v>0</v>
      </c>
      <c r="Z508" s="3">
        <f>VALUE(SUBSTITUTE(MID($A508,G508+G$2+1,H508-G508-G$2-1),",","."))</f>
        <v>0</v>
      </c>
      <c r="AA508" s="3">
        <f>VALUE(SUBSTITUTE(MID($A508,H508+H$2+1,I508-H508-H$2-1),",","."))</f>
        <v>0</v>
      </c>
      <c r="AB508" s="3">
        <f>VALUE(SUBSTITUTE(MID($A508,I508+I$2+1,J508-I508-I$2-1),",","."))</f>
        <v>0</v>
      </c>
      <c r="AC508" s="3">
        <f>VALUE(SUBSTITUTE(MID($A508,J508+J$2+1,K508-J508-J$2-1),",","."))</f>
        <v>-1.2</v>
      </c>
      <c r="AD508" s="3">
        <f>VALUE(SUBSTITUTE(MID($A508,K508+K$2+1,L508-K508-K$2-1),",","."))</f>
        <v>7.02</v>
      </c>
      <c r="AE508" s="3">
        <f>VALUE(SUBSTITUTE(MID($A508,L508+L$2+1,M508-L508-L$2-1),",","."))</f>
        <v>0</v>
      </c>
      <c r="AF508" s="3">
        <f>VALUE(SUBSTITUTE(MID($A508,M508+M$2+1,N508-M508-M$2-1),",","."))</f>
        <v>0</v>
      </c>
      <c r="AG508" s="3">
        <f>VALUE(SUBSTITUTE(MID($A508,N508+N$2+1,O508-N508-N$2-1),",","."))</f>
        <v>4.2178632881596503</v>
      </c>
      <c r="AH508" t="str">
        <f>MID($A508,O508+O$2+1,P508-O508-O$2-1)</f>
        <v/>
      </c>
      <c r="AI508" s="8" t="str">
        <f>MID($A508,P508+P$2+1,Q508-P508-P$2-1)</f>
        <v>False</v>
      </c>
      <c r="AK508" t="b">
        <f t="shared" si="67"/>
        <v>0</v>
      </c>
    </row>
    <row r="509" spans="1:37" x14ac:dyDescent="0.35">
      <c r="A509" t="s">
        <v>5056</v>
      </c>
      <c r="B509">
        <f t="shared" si="70"/>
        <v>10</v>
      </c>
      <c r="C509">
        <f t="shared" si="70"/>
        <v>43</v>
      </c>
      <c r="D509">
        <f t="shared" si="70"/>
        <v>54</v>
      </c>
      <c r="E509">
        <f t="shared" si="70"/>
        <v>80</v>
      </c>
      <c r="F509">
        <f t="shared" si="70"/>
        <v>124</v>
      </c>
      <c r="G509">
        <f t="shared" si="70"/>
        <v>145</v>
      </c>
      <c r="H509">
        <f t="shared" si="69"/>
        <v>177</v>
      </c>
      <c r="I509">
        <f t="shared" si="69"/>
        <v>199</v>
      </c>
      <c r="J509">
        <f t="shared" si="69"/>
        <v>232</v>
      </c>
      <c r="K509">
        <f t="shared" si="68"/>
        <v>267</v>
      </c>
      <c r="L509">
        <f t="shared" si="68"/>
        <v>299</v>
      </c>
      <c r="M509">
        <f t="shared" si="68"/>
        <v>314</v>
      </c>
      <c r="N509">
        <f t="shared" si="68"/>
        <v>326</v>
      </c>
      <c r="O509">
        <f t="shared" si="68"/>
        <v>351</v>
      </c>
      <c r="P509">
        <f t="shared" si="68"/>
        <v>369</v>
      </c>
      <c r="Q509">
        <f t="shared" si="68"/>
        <v>395</v>
      </c>
      <c r="S509" t="str">
        <f t="shared" si="71"/>
        <v>02.12.2025</v>
      </c>
      <c r="T509" t="str">
        <f t="shared" si="72"/>
        <v>01:45:00</v>
      </c>
      <c r="U509" t="str">
        <f t="shared" si="66"/>
        <v>02.12.2025 01:45:00</v>
      </c>
      <c r="V509" s="9" t="str">
        <f>MID($A509,C509+C$2+1,D509-C509-C$2-1)</f>
        <v>0</v>
      </c>
      <c r="W509" s="4">
        <f>VALUE(SUBSTITUTE(MID($A509,D509+D$2+1,E509-D509-D$2-1),",","."))</f>
        <v>0</v>
      </c>
      <c r="X509" s="4">
        <f>VALUE(SUBSTITUTE(MID($A509,E509+E$2+1,F509-E509-E$2-1),",","."))</f>
        <v>0.90957602214449496</v>
      </c>
      <c r="Y509" s="4">
        <f>VALUE(SUBSTITUTE(MID($A509,F509+F$2+1,G509-F509-F$2-1),",","."))</f>
        <v>0</v>
      </c>
      <c r="Z509" s="3">
        <f>VALUE(SUBSTITUTE(MID($A509,G509+G$2+1,H509-G509-G$2-1),",","."))</f>
        <v>0</v>
      </c>
      <c r="AA509" s="3">
        <f>VALUE(SUBSTITUTE(MID($A509,H509+H$2+1,I509-H509-H$2-1),",","."))</f>
        <v>0</v>
      </c>
      <c r="AB509" s="3">
        <f>VALUE(SUBSTITUTE(MID($A509,I509+I$2+1,J509-I509-I$2-1),",","."))</f>
        <v>0</v>
      </c>
      <c r="AC509" s="3">
        <f>VALUE(SUBSTITUTE(MID($A509,J509+J$2+1,K509-J509-J$2-1),",","."))</f>
        <v>-1.2</v>
      </c>
      <c r="AD509" s="3">
        <f>VALUE(SUBSTITUTE(MID($A509,K509+K$2+1,L509-K509-K$2-1),",","."))</f>
        <v>7.02</v>
      </c>
      <c r="AE509" s="3">
        <f>VALUE(SUBSTITUTE(MID($A509,L509+L$2+1,M509-L509-L$2-1),",","."))</f>
        <v>0</v>
      </c>
      <c r="AF509" s="3">
        <f>VALUE(SUBSTITUTE(MID($A509,M509+M$2+1,N509-M509-M$2-1),",","."))</f>
        <v>0</v>
      </c>
      <c r="AG509" s="3">
        <f>VALUE(SUBSTITUTE(MID($A509,N509+N$2+1,O509-N509-N$2-1),",","."))</f>
        <v>4.2178918080477299</v>
      </c>
      <c r="AH509" t="str">
        <f>MID($A509,O509+O$2+1,P509-O509-O$2-1)</f>
        <v/>
      </c>
      <c r="AI509" s="8" t="str">
        <f>MID($A509,P509+P$2+1,Q509-P509-P$2-1)</f>
        <v>False</v>
      </c>
      <c r="AK509" t="b">
        <f t="shared" si="67"/>
        <v>0</v>
      </c>
    </row>
    <row r="510" spans="1:37" x14ac:dyDescent="0.35">
      <c r="A510" t="s">
        <v>5057</v>
      </c>
      <c r="B510">
        <f t="shared" si="70"/>
        <v>10</v>
      </c>
      <c r="C510">
        <f t="shared" si="70"/>
        <v>43</v>
      </c>
      <c r="D510">
        <f t="shared" si="70"/>
        <v>54</v>
      </c>
      <c r="E510">
        <f t="shared" si="70"/>
        <v>80</v>
      </c>
      <c r="F510">
        <f t="shared" si="70"/>
        <v>124</v>
      </c>
      <c r="G510">
        <f t="shared" si="70"/>
        <v>145</v>
      </c>
      <c r="H510">
        <f t="shared" si="69"/>
        <v>177</v>
      </c>
      <c r="I510">
        <f t="shared" si="69"/>
        <v>199</v>
      </c>
      <c r="J510">
        <f t="shared" si="69"/>
        <v>232</v>
      </c>
      <c r="K510">
        <f t="shared" si="68"/>
        <v>267</v>
      </c>
      <c r="L510">
        <f t="shared" si="68"/>
        <v>299</v>
      </c>
      <c r="M510">
        <f t="shared" si="68"/>
        <v>314</v>
      </c>
      <c r="N510">
        <f t="shared" si="68"/>
        <v>326</v>
      </c>
      <c r="O510">
        <f t="shared" si="68"/>
        <v>351</v>
      </c>
      <c r="P510">
        <f t="shared" si="68"/>
        <v>369</v>
      </c>
      <c r="Q510">
        <f t="shared" si="68"/>
        <v>395</v>
      </c>
      <c r="S510" t="str">
        <f t="shared" si="71"/>
        <v>02.12.2025</v>
      </c>
      <c r="T510" t="str">
        <f t="shared" si="72"/>
        <v>02:00:00</v>
      </c>
      <c r="U510" t="str">
        <f t="shared" si="66"/>
        <v>02.12.2025 02:00:00</v>
      </c>
      <c r="V510" s="9" t="str">
        <f>MID($A510,C510+C$2+1,D510-C510-C$2-1)</f>
        <v>0</v>
      </c>
      <c r="W510" s="4">
        <f>VALUE(SUBSTITUTE(MID($A510,D510+D$2+1,E510-D510-D$2-1),",","."))</f>
        <v>0</v>
      </c>
      <c r="X510" s="4">
        <f>VALUE(SUBSTITUTE(MID($A510,E510+E$2+1,F510-E510-E$2-1),",","."))</f>
        <v>0.90957602214449496</v>
      </c>
      <c r="Y510" s="4">
        <f>VALUE(SUBSTITUTE(MID($A510,F510+F$2+1,G510-F510-F$2-1),",","."))</f>
        <v>0</v>
      </c>
      <c r="Z510" s="3">
        <f>VALUE(SUBSTITUTE(MID($A510,G510+G$2+1,H510-G510-G$2-1),",","."))</f>
        <v>0</v>
      </c>
      <c r="AA510" s="3">
        <f>VALUE(SUBSTITUTE(MID($A510,H510+H$2+1,I510-H510-H$2-1),",","."))</f>
        <v>0</v>
      </c>
      <c r="AB510" s="3">
        <f>VALUE(SUBSTITUTE(MID($A510,I510+I$2+1,J510-I510-I$2-1),",","."))</f>
        <v>0</v>
      </c>
      <c r="AC510" s="3">
        <f>VALUE(SUBSTITUTE(MID($A510,J510+J$2+1,K510-J510-J$2-1),",","."))</f>
        <v>-1.2</v>
      </c>
      <c r="AD510" s="3">
        <f>VALUE(SUBSTITUTE(MID($A510,K510+K$2+1,L510-K510-K$2-1),",","."))</f>
        <v>7.02</v>
      </c>
      <c r="AE510" s="3">
        <f>VALUE(SUBSTITUTE(MID($A510,L510+L$2+1,M510-L510-L$2-1),",","."))</f>
        <v>0</v>
      </c>
      <c r="AF510" s="3">
        <f>VALUE(SUBSTITUTE(MID($A510,M510+M$2+1,N510-M510-M$2-1),",","."))</f>
        <v>0</v>
      </c>
      <c r="AG510" s="3">
        <f>VALUE(SUBSTITUTE(MID($A510,N510+N$2+1,O510-N510-N$2-1),",","."))</f>
        <v>4.2179203279358104</v>
      </c>
      <c r="AH510" t="str">
        <f>MID($A510,O510+O$2+1,P510-O510-O$2-1)</f>
        <v/>
      </c>
      <c r="AI510" s="8" t="str">
        <f>MID($A510,P510+P$2+1,Q510-P510-P$2-1)</f>
        <v>False</v>
      </c>
      <c r="AK510" t="b">
        <f t="shared" si="67"/>
        <v>0</v>
      </c>
    </row>
    <row r="511" spans="1:37" x14ac:dyDescent="0.35">
      <c r="A511" t="s">
        <v>5058</v>
      </c>
      <c r="B511">
        <f t="shared" si="70"/>
        <v>10</v>
      </c>
      <c r="C511">
        <f t="shared" si="70"/>
        <v>43</v>
      </c>
      <c r="D511">
        <f t="shared" si="70"/>
        <v>54</v>
      </c>
      <c r="E511">
        <f t="shared" si="70"/>
        <v>80</v>
      </c>
      <c r="F511">
        <f t="shared" si="70"/>
        <v>124</v>
      </c>
      <c r="G511">
        <f t="shared" si="70"/>
        <v>145</v>
      </c>
      <c r="H511">
        <f t="shared" si="69"/>
        <v>177</v>
      </c>
      <c r="I511">
        <f t="shared" si="69"/>
        <v>199</v>
      </c>
      <c r="J511">
        <f t="shared" si="69"/>
        <v>232</v>
      </c>
      <c r="K511">
        <f t="shared" si="68"/>
        <v>267</v>
      </c>
      <c r="L511">
        <f t="shared" si="68"/>
        <v>299</v>
      </c>
      <c r="M511">
        <f t="shared" si="68"/>
        <v>314</v>
      </c>
      <c r="N511">
        <f t="shared" si="68"/>
        <v>326</v>
      </c>
      <c r="O511">
        <f t="shared" si="68"/>
        <v>351</v>
      </c>
      <c r="P511">
        <f t="shared" si="68"/>
        <v>369</v>
      </c>
      <c r="Q511">
        <f t="shared" si="68"/>
        <v>395</v>
      </c>
      <c r="S511" t="str">
        <f t="shared" si="71"/>
        <v>02.12.2025</v>
      </c>
      <c r="T511" t="str">
        <f t="shared" si="72"/>
        <v>02:15:00</v>
      </c>
      <c r="U511" t="str">
        <f t="shared" si="66"/>
        <v>02.12.2025 02:15:00</v>
      </c>
      <c r="V511" s="9" t="str">
        <f>MID($A511,C511+C$2+1,D511-C511-C$2-1)</f>
        <v>0</v>
      </c>
      <c r="W511" s="4">
        <f>VALUE(SUBSTITUTE(MID($A511,D511+D$2+1,E511-D511-D$2-1),",","."))</f>
        <v>0</v>
      </c>
      <c r="X511" s="4">
        <f>VALUE(SUBSTITUTE(MID($A511,E511+E$2+1,F511-E511-E$2-1),",","."))</f>
        <v>0.90957602214449496</v>
      </c>
      <c r="Y511" s="4">
        <f>VALUE(SUBSTITUTE(MID($A511,F511+F$2+1,G511-F511-F$2-1),",","."))</f>
        <v>0</v>
      </c>
      <c r="Z511" s="3">
        <f>VALUE(SUBSTITUTE(MID($A511,G511+G$2+1,H511-G511-G$2-1),",","."))</f>
        <v>0</v>
      </c>
      <c r="AA511" s="3">
        <f>VALUE(SUBSTITUTE(MID($A511,H511+H$2+1,I511-H511-H$2-1),",","."))</f>
        <v>0</v>
      </c>
      <c r="AB511" s="3">
        <f>VALUE(SUBSTITUTE(MID($A511,I511+I$2+1,J511-I511-I$2-1),",","."))</f>
        <v>0</v>
      </c>
      <c r="AC511" s="3">
        <f>VALUE(SUBSTITUTE(MID($A511,J511+J$2+1,K511-J511-J$2-1),",","."))</f>
        <v>-1.2</v>
      </c>
      <c r="AD511" s="3">
        <f>VALUE(SUBSTITUTE(MID($A511,K511+K$2+1,L511-K511-K$2-1),",","."))</f>
        <v>7.02</v>
      </c>
      <c r="AE511" s="3">
        <f>VALUE(SUBSTITUTE(MID($A511,L511+L$2+1,M511-L511-L$2-1),",","."))</f>
        <v>0</v>
      </c>
      <c r="AF511" s="3">
        <f>VALUE(SUBSTITUTE(MID($A511,M511+M$2+1,N511-M511-M$2-1),",","."))</f>
        <v>0</v>
      </c>
      <c r="AG511" s="3">
        <f>VALUE(SUBSTITUTE(MID($A511,N511+N$2+1,O511-N511-N$2-1),",","."))</f>
        <v>4.2179488478238998</v>
      </c>
      <c r="AH511" t="str">
        <f>MID($A511,O511+O$2+1,P511-O511-O$2-1)</f>
        <v/>
      </c>
      <c r="AI511" s="8" t="str">
        <f>MID($A511,P511+P$2+1,Q511-P511-P$2-1)</f>
        <v>False</v>
      </c>
      <c r="AK511" t="b">
        <f t="shared" si="67"/>
        <v>0</v>
      </c>
    </row>
    <row r="512" spans="1:37" x14ac:dyDescent="0.35">
      <c r="A512" t="s">
        <v>5059</v>
      </c>
      <c r="B512">
        <f t="shared" si="70"/>
        <v>10</v>
      </c>
      <c r="C512">
        <f t="shared" si="70"/>
        <v>43</v>
      </c>
      <c r="D512">
        <f t="shared" si="70"/>
        <v>54</v>
      </c>
      <c r="E512">
        <f t="shared" si="70"/>
        <v>80</v>
      </c>
      <c r="F512">
        <f t="shared" si="70"/>
        <v>124</v>
      </c>
      <c r="G512">
        <f t="shared" si="70"/>
        <v>145</v>
      </c>
      <c r="H512">
        <f t="shared" si="69"/>
        <v>177</v>
      </c>
      <c r="I512">
        <f t="shared" si="69"/>
        <v>199</v>
      </c>
      <c r="J512">
        <f t="shared" si="69"/>
        <v>232</v>
      </c>
      <c r="K512">
        <f t="shared" si="68"/>
        <v>267</v>
      </c>
      <c r="L512">
        <f t="shared" si="68"/>
        <v>298</v>
      </c>
      <c r="M512">
        <f t="shared" si="68"/>
        <v>313</v>
      </c>
      <c r="N512">
        <f t="shared" si="68"/>
        <v>325</v>
      </c>
      <c r="O512">
        <f t="shared" si="68"/>
        <v>350</v>
      </c>
      <c r="P512">
        <f t="shared" si="68"/>
        <v>368</v>
      </c>
      <c r="Q512">
        <f t="shared" si="68"/>
        <v>394</v>
      </c>
      <c r="S512" t="str">
        <f t="shared" si="71"/>
        <v>02.12.2025</v>
      </c>
      <c r="T512" t="str">
        <f t="shared" si="72"/>
        <v>02:30:00</v>
      </c>
      <c r="U512" t="str">
        <f t="shared" si="66"/>
        <v>02.12.2025 02:30:00</v>
      </c>
      <c r="V512" s="9" t="str">
        <f>MID($A512,C512+C$2+1,D512-C512-C$2-1)</f>
        <v>0</v>
      </c>
      <c r="W512" s="4">
        <f>VALUE(SUBSTITUTE(MID($A512,D512+D$2+1,E512-D512-D$2-1),",","."))</f>
        <v>0</v>
      </c>
      <c r="X512" s="4">
        <f>VALUE(SUBSTITUTE(MID($A512,E512+E$2+1,F512-E512-E$2-1),",","."))</f>
        <v>0.90957602214449496</v>
      </c>
      <c r="Y512" s="4">
        <f>VALUE(SUBSTITUTE(MID($A512,F512+F$2+1,G512-F512-F$2-1),",","."))</f>
        <v>0</v>
      </c>
      <c r="Z512" s="3">
        <f>VALUE(SUBSTITUTE(MID($A512,G512+G$2+1,H512-G512-G$2-1),",","."))</f>
        <v>0</v>
      </c>
      <c r="AA512" s="3">
        <f>VALUE(SUBSTITUTE(MID($A512,H512+H$2+1,I512-H512-H$2-1),",","."))</f>
        <v>0</v>
      </c>
      <c r="AB512" s="3">
        <f>VALUE(SUBSTITUTE(MID($A512,I512+I$2+1,J512-I512-I$2-1),",","."))</f>
        <v>0</v>
      </c>
      <c r="AC512" s="3">
        <f>VALUE(SUBSTITUTE(MID($A512,J512+J$2+1,K512-J512-J$2-1),",","."))</f>
        <v>-1.2999999999999901</v>
      </c>
      <c r="AD512" s="3">
        <f>VALUE(SUBSTITUTE(MID($A512,K512+K$2+1,L512-K512-K$2-1),",","."))</f>
        <v>4.68</v>
      </c>
      <c r="AE512" s="3">
        <f>VALUE(SUBSTITUTE(MID($A512,L512+L$2+1,M512-L512-L$2-1),",","."))</f>
        <v>0</v>
      </c>
      <c r="AF512" s="3">
        <f>VALUE(SUBSTITUTE(MID($A512,M512+M$2+1,N512-M512-M$2-1),",","."))</f>
        <v>0</v>
      </c>
      <c r="AG512" s="3">
        <f>VALUE(SUBSTITUTE(MID($A512,N512+N$2+1,O512-N512-N$2-1),",","."))</f>
        <v>4.2179773677119803</v>
      </c>
      <c r="AH512" t="str">
        <f>MID($A512,O512+O$2+1,P512-O512-O$2-1)</f>
        <v/>
      </c>
      <c r="AI512" s="8" t="str">
        <f>MID($A512,P512+P$2+1,Q512-P512-P$2-1)</f>
        <v>False</v>
      </c>
      <c r="AK512" t="b">
        <f t="shared" si="67"/>
        <v>0</v>
      </c>
    </row>
    <row r="513" spans="1:37" x14ac:dyDescent="0.35">
      <c r="A513" t="s">
        <v>5060</v>
      </c>
      <c r="B513">
        <f t="shared" si="70"/>
        <v>10</v>
      </c>
      <c r="C513">
        <f t="shared" si="70"/>
        <v>43</v>
      </c>
      <c r="D513">
        <f t="shared" si="70"/>
        <v>54</v>
      </c>
      <c r="E513">
        <f t="shared" si="70"/>
        <v>80</v>
      </c>
      <c r="F513">
        <f t="shared" si="70"/>
        <v>124</v>
      </c>
      <c r="G513">
        <f t="shared" si="70"/>
        <v>145</v>
      </c>
      <c r="H513">
        <f t="shared" si="69"/>
        <v>177</v>
      </c>
      <c r="I513">
        <f t="shared" si="69"/>
        <v>199</v>
      </c>
      <c r="J513">
        <f t="shared" si="69"/>
        <v>232</v>
      </c>
      <c r="K513">
        <f t="shared" si="68"/>
        <v>267</v>
      </c>
      <c r="L513">
        <f t="shared" si="68"/>
        <v>298</v>
      </c>
      <c r="M513">
        <f t="shared" ref="M513:Q563" si="73">FIND(M$1,$A513)</f>
        <v>313</v>
      </c>
      <c r="N513">
        <f t="shared" si="73"/>
        <v>325</v>
      </c>
      <c r="O513">
        <f t="shared" si="73"/>
        <v>351</v>
      </c>
      <c r="P513">
        <f t="shared" si="73"/>
        <v>369</v>
      </c>
      <c r="Q513">
        <f t="shared" si="73"/>
        <v>395</v>
      </c>
      <c r="S513" t="str">
        <f t="shared" si="71"/>
        <v>02.12.2025</v>
      </c>
      <c r="T513" t="str">
        <f t="shared" si="72"/>
        <v>02:45:00</v>
      </c>
      <c r="U513" t="str">
        <f t="shared" si="66"/>
        <v>02.12.2025 02:45:00</v>
      </c>
      <c r="V513" s="9" t="str">
        <f>MID($A513,C513+C$2+1,D513-C513-C$2-1)</f>
        <v>0</v>
      </c>
      <c r="W513" s="4">
        <f>VALUE(SUBSTITUTE(MID($A513,D513+D$2+1,E513-D513-D$2-1),",","."))</f>
        <v>0</v>
      </c>
      <c r="X513" s="4">
        <f>VALUE(SUBSTITUTE(MID($A513,E513+E$2+1,F513-E513-E$2-1),",","."))</f>
        <v>0.90957602214449496</v>
      </c>
      <c r="Y513" s="4">
        <f>VALUE(SUBSTITUTE(MID($A513,F513+F$2+1,G513-F513-F$2-1),",","."))</f>
        <v>0</v>
      </c>
      <c r="Z513" s="3">
        <f>VALUE(SUBSTITUTE(MID($A513,G513+G$2+1,H513-G513-G$2-1),",","."))</f>
        <v>0</v>
      </c>
      <c r="AA513" s="3">
        <f>VALUE(SUBSTITUTE(MID($A513,H513+H$2+1,I513-H513-H$2-1),",","."))</f>
        <v>0</v>
      </c>
      <c r="AB513" s="3">
        <f>VALUE(SUBSTITUTE(MID($A513,I513+I$2+1,J513-I513-I$2-1),",","."))</f>
        <v>0</v>
      </c>
      <c r="AC513" s="3">
        <f>VALUE(SUBSTITUTE(MID($A513,J513+J$2+1,K513-J513-J$2-1),",","."))</f>
        <v>-1.2999999999999901</v>
      </c>
      <c r="AD513" s="3">
        <f>VALUE(SUBSTITUTE(MID($A513,K513+K$2+1,L513-K513-K$2-1),",","."))</f>
        <v>4.68</v>
      </c>
      <c r="AE513" s="3">
        <f>VALUE(SUBSTITUTE(MID($A513,L513+L$2+1,M513-L513-L$2-1),",","."))</f>
        <v>0</v>
      </c>
      <c r="AF513" s="3">
        <f>VALUE(SUBSTITUTE(MID($A513,M513+M$2+1,N513-M513-M$2-1),",","."))</f>
        <v>0</v>
      </c>
      <c r="AG513" s="3">
        <f>VALUE(SUBSTITUTE(MID($A513,N513+N$2+1,O513-N513-N$2-1),",","."))</f>
        <v>4.2180058876000599</v>
      </c>
      <c r="AH513" t="str">
        <f>MID($A513,O513+O$2+1,P513-O513-O$2-1)</f>
        <v/>
      </c>
      <c r="AI513" s="8" t="str">
        <f>MID($A513,P513+P$2+1,Q513-P513-P$2-1)</f>
        <v>False</v>
      </c>
      <c r="AK513" t="b">
        <f t="shared" si="67"/>
        <v>0</v>
      </c>
    </row>
    <row r="514" spans="1:37" x14ac:dyDescent="0.35">
      <c r="A514" t="s">
        <v>5061</v>
      </c>
      <c r="B514">
        <f t="shared" si="70"/>
        <v>10</v>
      </c>
      <c r="C514">
        <f t="shared" si="70"/>
        <v>43</v>
      </c>
      <c r="D514">
        <f t="shared" si="70"/>
        <v>54</v>
      </c>
      <c r="E514">
        <f t="shared" si="70"/>
        <v>80</v>
      </c>
      <c r="F514">
        <f t="shared" si="70"/>
        <v>124</v>
      </c>
      <c r="G514">
        <f t="shared" si="70"/>
        <v>145</v>
      </c>
      <c r="H514">
        <f t="shared" si="69"/>
        <v>177</v>
      </c>
      <c r="I514">
        <f t="shared" si="69"/>
        <v>199</v>
      </c>
      <c r="J514">
        <f t="shared" si="69"/>
        <v>232</v>
      </c>
      <c r="K514">
        <f t="shared" si="69"/>
        <v>267</v>
      </c>
      <c r="L514">
        <f t="shared" si="69"/>
        <v>298</v>
      </c>
      <c r="M514">
        <f t="shared" si="73"/>
        <v>313</v>
      </c>
      <c r="N514">
        <f t="shared" si="73"/>
        <v>325</v>
      </c>
      <c r="O514">
        <f t="shared" si="73"/>
        <v>350</v>
      </c>
      <c r="P514">
        <f t="shared" si="73"/>
        <v>368</v>
      </c>
      <c r="Q514">
        <f t="shared" si="73"/>
        <v>394</v>
      </c>
      <c r="S514" t="str">
        <f t="shared" si="71"/>
        <v>02.12.2025</v>
      </c>
      <c r="T514" t="str">
        <f t="shared" si="72"/>
        <v>03:00:00</v>
      </c>
      <c r="U514" t="str">
        <f t="shared" si="66"/>
        <v>02.12.2025 03:00:00</v>
      </c>
      <c r="V514" s="9" t="str">
        <f>MID($A514,C514+C$2+1,D514-C514-C$2-1)</f>
        <v>0</v>
      </c>
      <c r="W514" s="4">
        <f>VALUE(SUBSTITUTE(MID($A514,D514+D$2+1,E514-D514-D$2-1),",","."))</f>
        <v>0</v>
      </c>
      <c r="X514" s="4">
        <f>VALUE(SUBSTITUTE(MID($A514,E514+E$2+1,F514-E514-E$2-1),",","."))</f>
        <v>0.90957602214449496</v>
      </c>
      <c r="Y514" s="4">
        <f>VALUE(SUBSTITUTE(MID($A514,F514+F$2+1,G514-F514-F$2-1),",","."))</f>
        <v>0</v>
      </c>
      <c r="Z514" s="3">
        <f>VALUE(SUBSTITUTE(MID($A514,G514+G$2+1,H514-G514-G$2-1),",","."))</f>
        <v>0</v>
      </c>
      <c r="AA514" s="3">
        <f>VALUE(SUBSTITUTE(MID($A514,H514+H$2+1,I514-H514-H$2-1),",","."))</f>
        <v>0</v>
      </c>
      <c r="AB514" s="3">
        <f>VALUE(SUBSTITUTE(MID($A514,I514+I$2+1,J514-I514-I$2-1),",","."))</f>
        <v>0</v>
      </c>
      <c r="AC514" s="3">
        <f>VALUE(SUBSTITUTE(MID($A514,J514+J$2+1,K514-J514-J$2-1),",","."))</f>
        <v>-1.2999999999999901</v>
      </c>
      <c r="AD514" s="3">
        <f>VALUE(SUBSTITUTE(MID($A514,K514+K$2+1,L514-K514-K$2-1),",","."))</f>
        <v>4.68</v>
      </c>
      <c r="AE514" s="3">
        <f>VALUE(SUBSTITUTE(MID($A514,L514+L$2+1,M514-L514-L$2-1),",","."))</f>
        <v>0</v>
      </c>
      <c r="AF514" s="3">
        <f>VALUE(SUBSTITUTE(MID($A514,M514+M$2+1,N514-M514-M$2-1),",","."))</f>
        <v>0</v>
      </c>
      <c r="AG514" s="3">
        <f>VALUE(SUBSTITUTE(MID($A514,N514+N$2+1,O514-N514-N$2-1),",","."))</f>
        <v>4.2180344074881404</v>
      </c>
      <c r="AH514" t="str">
        <f>MID($A514,O514+O$2+1,P514-O514-O$2-1)</f>
        <v/>
      </c>
      <c r="AI514" s="8" t="str">
        <f>MID($A514,P514+P$2+1,Q514-P514-P$2-1)</f>
        <v>False</v>
      </c>
      <c r="AK514" t="b">
        <f t="shared" si="67"/>
        <v>0</v>
      </c>
    </row>
    <row r="515" spans="1:37" x14ac:dyDescent="0.35">
      <c r="A515" t="s">
        <v>5062</v>
      </c>
      <c r="B515">
        <f t="shared" si="70"/>
        <v>10</v>
      </c>
      <c r="C515">
        <f t="shared" si="70"/>
        <v>43</v>
      </c>
      <c r="D515">
        <f t="shared" si="70"/>
        <v>54</v>
      </c>
      <c r="E515">
        <f t="shared" si="70"/>
        <v>80</v>
      </c>
      <c r="F515">
        <f t="shared" si="70"/>
        <v>124</v>
      </c>
      <c r="G515">
        <f t="shared" si="70"/>
        <v>145</v>
      </c>
      <c r="H515">
        <f t="shared" si="69"/>
        <v>177</v>
      </c>
      <c r="I515">
        <f t="shared" si="69"/>
        <v>199</v>
      </c>
      <c r="J515">
        <f t="shared" si="69"/>
        <v>232</v>
      </c>
      <c r="K515">
        <f t="shared" si="69"/>
        <v>267</v>
      </c>
      <c r="L515">
        <f t="shared" si="69"/>
        <v>298</v>
      </c>
      <c r="M515">
        <f t="shared" si="73"/>
        <v>313</v>
      </c>
      <c r="N515">
        <f t="shared" si="73"/>
        <v>325</v>
      </c>
      <c r="O515">
        <f t="shared" si="73"/>
        <v>350</v>
      </c>
      <c r="P515">
        <f t="shared" si="73"/>
        <v>368</v>
      </c>
      <c r="Q515">
        <f t="shared" si="73"/>
        <v>394</v>
      </c>
      <c r="S515" t="str">
        <f t="shared" si="71"/>
        <v>02.12.2025</v>
      </c>
      <c r="T515" t="str">
        <f t="shared" si="72"/>
        <v>03:15:00</v>
      </c>
      <c r="U515" t="str">
        <f t="shared" si="66"/>
        <v>02.12.2025 03:15:00</v>
      </c>
      <c r="V515" s="9" t="str">
        <f>MID($A515,C515+C$2+1,D515-C515-C$2-1)</f>
        <v>0</v>
      </c>
      <c r="W515" s="4">
        <f>VALUE(SUBSTITUTE(MID($A515,D515+D$2+1,E515-D515-D$2-1),",","."))</f>
        <v>0</v>
      </c>
      <c r="X515" s="4">
        <f>VALUE(SUBSTITUTE(MID($A515,E515+E$2+1,F515-E515-E$2-1),",","."))</f>
        <v>0.90957602214449496</v>
      </c>
      <c r="Y515" s="4">
        <f>VALUE(SUBSTITUTE(MID($A515,F515+F$2+1,G515-F515-F$2-1),",","."))</f>
        <v>0</v>
      </c>
      <c r="Z515" s="3">
        <f>VALUE(SUBSTITUTE(MID($A515,G515+G$2+1,H515-G515-G$2-1),",","."))</f>
        <v>0</v>
      </c>
      <c r="AA515" s="3">
        <f>VALUE(SUBSTITUTE(MID($A515,H515+H$2+1,I515-H515-H$2-1),",","."))</f>
        <v>0</v>
      </c>
      <c r="AB515" s="3">
        <f>VALUE(SUBSTITUTE(MID($A515,I515+I$2+1,J515-I515-I$2-1),",","."))</f>
        <v>0</v>
      </c>
      <c r="AC515" s="3">
        <f>VALUE(SUBSTITUTE(MID($A515,J515+J$2+1,K515-J515-J$2-1),",","."))</f>
        <v>-1.2999999999999901</v>
      </c>
      <c r="AD515" s="3">
        <f>VALUE(SUBSTITUTE(MID($A515,K515+K$2+1,L515-K515-K$2-1),",","."))</f>
        <v>4.68</v>
      </c>
      <c r="AE515" s="3">
        <f>VALUE(SUBSTITUTE(MID($A515,L515+L$2+1,M515-L515-L$2-1),",","."))</f>
        <v>0</v>
      </c>
      <c r="AF515" s="3">
        <f>VALUE(SUBSTITUTE(MID($A515,M515+M$2+1,N515-M515-M$2-1),",","."))</f>
        <v>0</v>
      </c>
      <c r="AG515" s="3">
        <f>VALUE(SUBSTITUTE(MID($A515,N515+N$2+1,O515-N515-N$2-1),",","."))</f>
        <v>4.21806292737622</v>
      </c>
      <c r="AH515" t="str">
        <f>MID($A515,O515+O$2+1,P515-O515-O$2-1)</f>
        <v/>
      </c>
      <c r="AI515" s="8" t="str">
        <f>MID($A515,P515+P$2+1,Q515-P515-P$2-1)</f>
        <v>False</v>
      </c>
      <c r="AK515" t="b">
        <f t="shared" si="67"/>
        <v>0</v>
      </c>
    </row>
    <row r="516" spans="1:37" x14ac:dyDescent="0.35">
      <c r="A516" t="s">
        <v>5063</v>
      </c>
      <c r="B516">
        <f t="shared" si="70"/>
        <v>10</v>
      </c>
      <c r="C516">
        <f t="shared" si="70"/>
        <v>43</v>
      </c>
      <c r="D516">
        <f t="shared" si="70"/>
        <v>54</v>
      </c>
      <c r="E516">
        <f t="shared" si="70"/>
        <v>80</v>
      </c>
      <c r="F516">
        <f t="shared" si="70"/>
        <v>124</v>
      </c>
      <c r="G516">
        <f t="shared" si="70"/>
        <v>145</v>
      </c>
      <c r="H516">
        <f t="shared" si="69"/>
        <v>177</v>
      </c>
      <c r="I516">
        <f t="shared" si="69"/>
        <v>199</v>
      </c>
      <c r="J516">
        <f t="shared" si="69"/>
        <v>232</v>
      </c>
      <c r="K516">
        <f t="shared" si="69"/>
        <v>267</v>
      </c>
      <c r="L516">
        <f t="shared" si="69"/>
        <v>284</v>
      </c>
      <c r="M516">
        <f t="shared" si="73"/>
        <v>299</v>
      </c>
      <c r="N516">
        <f t="shared" si="73"/>
        <v>311</v>
      </c>
      <c r="O516">
        <f t="shared" si="73"/>
        <v>337</v>
      </c>
      <c r="P516">
        <f t="shared" si="73"/>
        <v>355</v>
      </c>
      <c r="Q516">
        <f t="shared" si="73"/>
        <v>381</v>
      </c>
      <c r="S516" t="str">
        <f t="shared" si="71"/>
        <v>02.12.2025</v>
      </c>
      <c r="T516" t="str">
        <f t="shared" si="72"/>
        <v>03:30:00</v>
      </c>
      <c r="U516" t="str">
        <f t="shared" ref="U516:U579" si="74">MID($A516,B516+B$2+1,C516-B516-B$2-1)</f>
        <v>02.12.2025 03:30:00</v>
      </c>
      <c r="V516" s="9" t="str">
        <f>MID($A516,C516+C$2+1,D516-C516-C$2-1)</f>
        <v>0</v>
      </c>
      <c r="W516" s="4">
        <f>VALUE(SUBSTITUTE(MID($A516,D516+D$2+1,E516-D516-D$2-1),",","."))</f>
        <v>0</v>
      </c>
      <c r="X516" s="4">
        <f>VALUE(SUBSTITUTE(MID($A516,E516+E$2+1,F516-E516-E$2-1),",","."))</f>
        <v>0.90957602214449496</v>
      </c>
      <c r="Y516" s="4">
        <f>VALUE(SUBSTITUTE(MID($A516,F516+F$2+1,G516-F516-F$2-1),",","."))</f>
        <v>0</v>
      </c>
      <c r="Z516" s="3">
        <f>VALUE(SUBSTITUTE(MID($A516,G516+G$2+1,H516-G516-G$2-1),",","."))</f>
        <v>0</v>
      </c>
      <c r="AA516" s="3">
        <f>VALUE(SUBSTITUTE(MID($A516,H516+H$2+1,I516-H516-H$2-1),",","."))</f>
        <v>0</v>
      </c>
      <c r="AB516" s="3">
        <f>VALUE(SUBSTITUTE(MID($A516,I516+I$2+1,J516-I516-I$2-1),",","."))</f>
        <v>0</v>
      </c>
      <c r="AC516" s="3">
        <f>VALUE(SUBSTITUTE(MID($A516,J516+J$2+1,K516-J516-J$2-1),",","."))</f>
        <v>-1.2999999999999901</v>
      </c>
      <c r="AD516" s="3">
        <f>VALUE(SUBSTITUTE(MID($A516,K516+K$2+1,L516-K516-K$2-1),",","."))</f>
        <v>4.5</v>
      </c>
      <c r="AE516" s="3">
        <f>VALUE(SUBSTITUTE(MID($A516,L516+L$2+1,M516-L516-L$2-1),",","."))</f>
        <v>0</v>
      </c>
      <c r="AF516" s="3">
        <f>VALUE(SUBSTITUTE(MID($A516,M516+M$2+1,N516-M516-M$2-1),",","."))</f>
        <v>0</v>
      </c>
      <c r="AG516" s="3">
        <f>VALUE(SUBSTITUTE(MID($A516,N516+N$2+1,O516-N516-N$2-1),",","."))</f>
        <v>4.2180914472642996</v>
      </c>
      <c r="AH516" t="str">
        <f>MID($A516,O516+O$2+1,P516-O516-O$2-1)</f>
        <v/>
      </c>
      <c r="AI516" s="8" t="str">
        <f>MID($A516,P516+P$2+1,Q516-P516-P$2-1)</f>
        <v>False</v>
      </c>
      <c r="AK516" t="b">
        <f t="shared" ref="AK516:AK579" si="75">AB516&gt;Z516</f>
        <v>0</v>
      </c>
    </row>
    <row r="517" spans="1:37" x14ac:dyDescent="0.35">
      <c r="A517" t="s">
        <v>5064</v>
      </c>
      <c r="B517">
        <f t="shared" si="70"/>
        <v>10</v>
      </c>
      <c r="C517">
        <f t="shared" si="70"/>
        <v>43</v>
      </c>
      <c r="D517">
        <f t="shared" si="70"/>
        <v>54</v>
      </c>
      <c r="E517">
        <f t="shared" si="70"/>
        <v>80</v>
      </c>
      <c r="F517">
        <f t="shared" si="70"/>
        <v>124</v>
      </c>
      <c r="G517">
        <f t="shared" si="70"/>
        <v>145</v>
      </c>
      <c r="H517">
        <f t="shared" si="69"/>
        <v>177</v>
      </c>
      <c r="I517">
        <f t="shared" si="69"/>
        <v>199</v>
      </c>
      <c r="J517">
        <f t="shared" si="69"/>
        <v>232</v>
      </c>
      <c r="K517">
        <f t="shared" si="69"/>
        <v>267</v>
      </c>
      <c r="L517">
        <f t="shared" si="69"/>
        <v>284</v>
      </c>
      <c r="M517">
        <f t="shared" si="73"/>
        <v>299</v>
      </c>
      <c r="N517">
        <f t="shared" si="73"/>
        <v>311</v>
      </c>
      <c r="O517">
        <f t="shared" si="73"/>
        <v>335</v>
      </c>
      <c r="P517">
        <f t="shared" si="73"/>
        <v>353</v>
      </c>
      <c r="Q517">
        <f t="shared" si="73"/>
        <v>379</v>
      </c>
      <c r="S517" t="str">
        <f t="shared" si="71"/>
        <v>02.12.2025</v>
      </c>
      <c r="T517" t="str">
        <f t="shared" si="72"/>
        <v>03:45:00</v>
      </c>
      <c r="U517" t="str">
        <f t="shared" si="74"/>
        <v>02.12.2025 03:45:00</v>
      </c>
      <c r="V517" s="9" t="str">
        <f>MID($A517,C517+C$2+1,D517-C517-C$2-1)</f>
        <v>0</v>
      </c>
      <c r="W517" s="4">
        <f>VALUE(SUBSTITUTE(MID($A517,D517+D$2+1,E517-D517-D$2-1),",","."))</f>
        <v>0</v>
      </c>
      <c r="X517" s="4">
        <f>VALUE(SUBSTITUTE(MID($A517,E517+E$2+1,F517-E517-E$2-1),",","."))</f>
        <v>0.90957602214449496</v>
      </c>
      <c r="Y517" s="4">
        <f>VALUE(SUBSTITUTE(MID($A517,F517+F$2+1,G517-F517-F$2-1),",","."))</f>
        <v>0</v>
      </c>
      <c r="Z517" s="3">
        <f>VALUE(SUBSTITUTE(MID($A517,G517+G$2+1,H517-G517-G$2-1),",","."))</f>
        <v>0</v>
      </c>
      <c r="AA517" s="3">
        <f>VALUE(SUBSTITUTE(MID($A517,H517+H$2+1,I517-H517-H$2-1),",","."))</f>
        <v>0</v>
      </c>
      <c r="AB517" s="3">
        <f>VALUE(SUBSTITUTE(MID($A517,I517+I$2+1,J517-I517-I$2-1),",","."))</f>
        <v>0</v>
      </c>
      <c r="AC517" s="3">
        <f>VALUE(SUBSTITUTE(MID($A517,J517+J$2+1,K517-J517-J$2-1),",","."))</f>
        <v>-1.2999999999999901</v>
      </c>
      <c r="AD517" s="3">
        <f>VALUE(SUBSTITUTE(MID($A517,K517+K$2+1,L517-K517-K$2-1),",","."))</f>
        <v>4.5</v>
      </c>
      <c r="AE517" s="3">
        <f>VALUE(SUBSTITUTE(MID($A517,L517+L$2+1,M517-L517-L$2-1),",","."))</f>
        <v>0</v>
      </c>
      <c r="AF517" s="3">
        <f>VALUE(SUBSTITUTE(MID($A517,M517+M$2+1,N517-M517-M$2-1),",","."))</f>
        <v>0</v>
      </c>
      <c r="AG517" s="3">
        <f>VALUE(SUBSTITUTE(MID($A517,N517+N$2+1,O517-N517-N$2-1),",","."))</f>
        <v>4.2181199671523899</v>
      </c>
      <c r="AH517" t="str">
        <f>MID($A517,O517+O$2+1,P517-O517-O$2-1)</f>
        <v/>
      </c>
      <c r="AI517" s="8" t="str">
        <f>MID($A517,P517+P$2+1,Q517-P517-P$2-1)</f>
        <v>False</v>
      </c>
      <c r="AK517" t="b">
        <f t="shared" si="75"/>
        <v>0</v>
      </c>
    </row>
    <row r="518" spans="1:37" x14ac:dyDescent="0.35">
      <c r="A518" t="s">
        <v>5065</v>
      </c>
      <c r="B518">
        <f t="shared" si="70"/>
        <v>10</v>
      </c>
      <c r="C518">
        <f t="shared" si="70"/>
        <v>43</v>
      </c>
      <c r="D518">
        <f t="shared" si="70"/>
        <v>54</v>
      </c>
      <c r="E518">
        <f t="shared" si="70"/>
        <v>80</v>
      </c>
      <c r="F518">
        <f t="shared" si="70"/>
        <v>124</v>
      </c>
      <c r="G518">
        <f t="shared" si="70"/>
        <v>145</v>
      </c>
      <c r="H518">
        <f t="shared" si="69"/>
        <v>177</v>
      </c>
      <c r="I518">
        <f t="shared" si="69"/>
        <v>199</v>
      </c>
      <c r="J518">
        <f t="shared" si="69"/>
        <v>232</v>
      </c>
      <c r="K518">
        <f t="shared" si="69"/>
        <v>267</v>
      </c>
      <c r="L518">
        <f t="shared" si="69"/>
        <v>284</v>
      </c>
      <c r="M518">
        <f t="shared" si="73"/>
        <v>299</v>
      </c>
      <c r="N518">
        <f t="shared" si="73"/>
        <v>311</v>
      </c>
      <c r="O518">
        <f t="shared" si="73"/>
        <v>336</v>
      </c>
      <c r="P518">
        <f t="shared" si="73"/>
        <v>354</v>
      </c>
      <c r="Q518">
        <f t="shared" si="73"/>
        <v>380</v>
      </c>
      <c r="S518" t="str">
        <f t="shared" si="71"/>
        <v>02.12.2025</v>
      </c>
      <c r="T518" t="str">
        <f t="shared" si="72"/>
        <v>04:00:00</v>
      </c>
      <c r="U518" t="str">
        <f t="shared" si="74"/>
        <v>02.12.2025 04:00:00</v>
      </c>
      <c r="V518" s="9" t="str">
        <f>MID($A518,C518+C$2+1,D518-C518-C$2-1)</f>
        <v>0</v>
      </c>
      <c r="W518" s="4">
        <f>VALUE(SUBSTITUTE(MID($A518,D518+D$2+1,E518-D518-D$2-1),",","."))</f>
        <v>0</v>
      </c>
      <c r="X518" s="4">
        <f>VALUE(SUBSTITUTE(MID($A518,E518+E$2+1,F518-E518-E$2-1),",","."))</f>
        <v>0.90957602214449496</v>
      </c>
      <c r="Y518" s="4">
        <f>VALUE(SUBSTITUTE(MID($A518,F518+F$2+1,G518-F518-F$2-1),",","."))</f>
        <v>0</v>
      </c>
      <c r="Z518" s="3">
        <f>VALUE(SUBSTITUTE(MID($A518,G518+G$2+1,H518-G518-G$2-1),",","."))</f>
        <v>0</v>
      </c>
      <c r="AA518" s="3">
        <f>VALUE(SUBSTITUTE(MID($A518,H518+H$2+1,I518-H518-H$2-1),",","."))</f>
        <v>0</v>
      </c>
      <c r="AB518" s="3">
        <f>VALUE(SUBSTITUTE(MID($A518,I518+I$2+1,J518-I518-I$2-1),",","."))</f>
        <v>0</v>
      </c>
      <c r="AC518" s="3">
        <f>VALUE(SUBSTITUTE(MID($A518,J518+J$2+1,K518-J518-J$2-1),",","."))</f>
        <v>-1.2999999999999901</v>
      </c>
      <c r="AD518" s="3">
        <f>VALUE(SUBSTITUTE(MID($A518,K518+K$2+1,L518-K518-K$2-1),",","."))</f>
        <v>4.5</v>
      </c>
      <c r="AE518" s="3">
        <f>VALUE(SUBSTITUTE(MID($A518,L518+L$2+1,M518-L518-L$2-1),",","."))</f>
        <v>0</v>
      </c>
      <c r="AF518" s="3">
        <f>VALUE(SUBSTITUTE(MID($A518,M518+M$2+1,N518-M518-M$2-1),",","."))</f>
        <v>0</v>
      </c>
      <c r="AG518" s="3">
        <f>VALUE(SUBSTITUTE(MID($A518,N518+N$2+1,O518-N518-N$2-1),",","."))</f>
        <v>4.2181484870404704</v>
      </c>
      <c r="AH518" t="str">
        <f>MID($A518,O518+O$2+1,P518-O518-O$2-1)</f>
        <v/>
      </c>
      <c r="AI518" s="8" t="str">
        <f>MID($A518,P518+P$2+1,Q518-P518-P$2-1)</f>
        <v>False</v>
      </c>
      <c r="AK518" t="b">
        <f t="shared" si="75"/>
        <v>0</v>
      </c>
    </row>
    <row r="519" spans="1:37" x14ac:dyDescent="0.35">
      <c r="A519" t="s">
        <v>5066</v>
      </c>
      <c r="B519">
        <f t="shared" si="70"/>
        <v>10</v>
      </c>
      <c r="C519">
        <f t="shared" si="70"/>
        <v>43</v>
      </c>
      <c r="D519">
        <f t="shared" si="70"/>
        <v>54</v>
      </c>
      <c r="E519">
        <f t="shared" si="70"/>
        <v>80</v>
      </c>
      <c r="F519">
        <f t="shared" si="70"/>
        <v>124</v>
      </c>
      <c r="G519">
        <f t="shared" si="70"/>
        <v>145</v>
      </c>
      <c r="H519">
        <f t="shared" si="69"/>
        <v>177</v>
      </c>
      <c r="I519">
        <f t="shared" si="69"/>
        <v>199</v>
      </c>
      <c r="J519">
        <f t="shared" si="69"/>
        <v>232</v>
      </c>
      <c r="K519">
        <f t="shared" si="69"/>
        <v>267</v>
      </c>
      <c r="L519">
        <f t="shared" si="69"/>
        <v>284</v>
      </c>
      <c r="M519">
        <f t="shared" si="73"/>
        <v>299</v>
      </c>
      <c r="N519">
        <f t="shared" si="73"/>
        <v>311</v>
      </c>
      <c r="O519">
        <f t="shared" si="73"/>
        <v>336</v>
      </c>
      <c r="P519">
        <f t="shared" si="73"/>
        <v>354</v>
      </c>
      <c r="Q519">
        <f t="shared" si="73"/>
        <v>380</v>
      </c>
      <c r="S519" t="str">
        <f t="shared" si="71"/>
        <v>02.12.2025</v>
      </c>
      <c r="T519" t="str">
        <f t="shared" si="72"/>
        <v>04:15:00</v>
      </c>
      <c r="U519" t="str">
        <f t="shared" si="74"/>
        <v>02.12.2025 04:15:00</v>
      </c>
      <c r="V519" s="9" t="str">
        <f>MID($A519,C519+C$2+1,D519-C519-C$2-1)</f>
        <v>0</v>
      </c>
      <c r="W519" s="4">
        <f>VALUE(SUBSTITUTE(MID($A519,D519+D$2+1,E519-D519-D$2-1),",","."))</f>
        <v>0</v>
      </c>
      <c r="X519" s="4">
        <f>VALUE(SUBSTITUTE(MID($A519,E519+E$2+1,F519-E519-E$2-1),",","."))</f>
        <v>0.90957602214449496</v>
      </c>
      <c r="Y519" s="4">
        <f>VALUE(SUBSTITUTE(MID($A519,F519+F$2+1,G519-F519-F$2-1),",","."))</f>
        <v>0</v>
      </c>
      <c r="Z519" s="3">
        <f>VALUE(SUBSTITUTE(MID($A519,G519+G$2+1,H519-G519-G$2-1),",","."))</f>
        <v>0</v>
      </c>
      <c r="AA519" s="3">
        <f>VALUE(SUBSTITUTE(MID($A519,H519+H$2+1,I519-H519-H$2-1),",","."))</f>
        <v>0</v>
      </c>
      <c r="AB519" s="3">
        <f>VALUE(SUBSTITUTE(MID($A519,I519+I$2+1,J519-I519-I$2-1),",","."))</f>
        <v>0</v>
      </c>
      <c r="AC519" s="3">
        <f>VALUE(SUBSTITUTE(MID($A519,J519+J$2+1,K519-J519-J$2-1),",","."))</f>
        <v>-1.2999999999999901</v>
      </c>
      <c r="AD519" s="3">
        <f>VALUE(SUBSTITUTE(MID($A519,K519+K$2+1,L519-K519-K$2-1),",","."))</f>
        <v>4.5</v>
      </c>
      <c r="AE519" s="3">
        <f>VALUE(SUBSTITUTE(MID($A519,L519+L$2+1,M519-L519-L$2-1),",","."))</f>
        <v>0</v>
      </c>
      <c r="AF519" s="3">
        <f>VALUE(SUBSTITUTE(MID($A519,M519+M$2+1,N519-M519-M$2-1),",","."))</f>
        <v>0</v>
      </c>
      <c r="AG519" s="3">
        <f>VALUE(SUBSTITUTE(MID($A519,N519+N$2+1,O519-N519-N$2-1),",","."))</f>
        <v>4.21817700692855</v>
      </c>
      <c r="AH519" t="str">
        <f>MID($A519,O519+O$2+1,P519-O519-O$2-1)</f>
        <v/>
      </c>
      <c r="AI519" s="8" t="str">
        <f>MID($A519,P519+P$2+1,Q519-P519-P$2-1)</f>
        <v>False</v>
      </c>
      <c r="AK519" t="b">
        <f t="shared" si="75"/>
        <v>0</v>
      </c>
    </row>
    <row r="520" spans="1:37" x14ac:dyDescent="0.35">
      <c r="A520" t="s">
        <v>5067</v>
      </c>
      <c r="B520">
        <f t="shared" si="70"/>
        <v>10</v>
      </c>
      <c r="C520">
        <f t="shared" si="70"/>
        <v>43</v>
      </c>
      <c r="D520">
        <f t="shared" si="70"/>
        <v>54</v>
      </c>
      <c r="E520">
        <f t="shared" si="70"/>
        <v>80</v>
      </c>
      <c r="F520">
        <f t="shared" si="70"/>
        <v>124</v>
      </c>
      <c r="G520">
        <f t="shared" si="70"/>
        <v>145</v>
      </c>
      <c r="H520">
        <f t="shared" si="69"/>
        <v>177</v>
      </c>
      <c r="I520">
        <f t="shared" si="69"/>
        <v>199</v>
      </c>
      <c r="J520">
        <f t="shared" si="69"/>
        <v>232</v>
      </c>
      <c r="K520">
        <f t="shared" si="69"/>
        <v>253</v>
      </c>
      <c r="L520">
        <f t="shared" si="69"/>
        <v>284</v>
      </c>
      <c r="M520">
        <f t="shared" si="73"/>
        <v>299</v>
      </c>
      <c r="N520">
        <f t="shared" si="73"/>
        <v>311</v>
      </c>
      <c r="O520">
        <f t="shared" si="73"/>
        <v>336</v>
      </c>
      <c r="P520">
        <f t="shared" si="73"/>
        <v>354</v>
      </c>
      <c r="Q520">
        <f t="shared" si="73"/>
        <v>380</v>
      </c>
      <c r="S520" t="str">
        <f t="shared" si="71"/>
        <v>02.12.2025</v>
      </c>
      <c r="T520" t="str">
        <f t="shared" si="72"/>
        <v>04:30:00</v>
      </c>
      <c r="U520" t="str">
        <f t="shared" si="74"/>
        <v>02.12.2025 04:30:00</v>
      </c>
      <c r="V520" s="9" t="str">
        <f>MID($A520,C520+C$2+1,D520-C520-C$2-1)</f>
        <v>0</v>
      </c>
      <c r="W520" s="4">
        <f>VALUE(SUBSTITUTE(MID($A520,D520+D$2+1,E520-D520-D$2-1),",","."))</f>
        <v>0</v>
      </c>
      <c r="X520" s="4">
        <f>VALUE(SUBSTITUTE(MID($A520,E520+E$2+1,F520-E520-E$2-1),",","."))</f>
        <v>0.90957602214449496</v>
      </c>
      <c r="Y520" s="4">
        <f>VALUE(SUBSTITUTE(MID($A520,F520+F$2+1,G520-F520-F$2-1),",","."))</f>
        <v>0</v>
      </c>
      <c r="Z520" s="3">
        <f>VALUE(SUBSTITUTE(MID($A520,G520+G$2+1,H520-G520-G$2-1),",","."))</f>
        <v>0</v>
      </c>
      <c r="AA520" s="3">
        <f>VALUE(SUBSTITUTE(MID($A520,H520+H$2+1,I520-H520-H$2-1),",","."))</f>
        <v>0</v>
      </c>
      <c r="AB520" s="3">
        <f>VALUE(SUBSTITUTE(MID($A520,I520+I$2+1,J520-I520-I$2-1),",","."))</f>
        <v>0</v>
      </c>
      <c r="AC520" s="3">
        <f>VALUE(SUBSTITUTE(MID($A520,J520+J$2+1,K520-J520-J$2-1),",","."))</f>
        <v>-1.35</v>
      </c>
      <c r="AD520" s="3">
        <f>VALUE(SUBSTITUTE(MID($A520,K520+K$2+1,L520-K520-K$2-1),",","."))</f>
        <v>6.3</v>
      </c>
      <c r="AE520" s="3">
        <f>VALUE(SUBSTITUTE(MID($A520,L520+L$2+1,M520-L520-L$2-1),",","."))</f>
        <v>0</v>
      </c>
      <c r="AF520" s="3">
        <f>VALUE(SUBSTITUTE(MID($A520,M520+M$2+1,N520-M520-M$2-1),",","."))</f>
        <v>0</v>
      </c>
      <c r="AG520" s="3">
        <f>VALUE(SUBSTITUTE(MID($A520,N520+N$2+1,O520-N520-N$2-1),",","."))</f>
        <v>4.2182055268166296</v>
      </c>
      <c r="AH520" t="str">
        <f>MID($A520,O520+O$2+1,P520-O520-O$2-1)</f>
        <v/>
      </c>
      <c r="AI520" s="8" t="str">
        <f>MID($A520,P520+P$2+1,Q520-P520-P$2-1)</f>
        <v>False</v>
      </c>
      <c r="AK520" t="b">
        <f t="shared" si="75"/>
        <v>0</v>
      </c>
    </row>
    <row r="521" spans="1:37" x14ac:dyDescent="0.35">
      <c r="A521" t="s">
        <v>5068</v>
      </c>
      <c r="B521">
        <f t="shared" si="70"/>
        <v>10</v>
      </c>
      <c r="C521">
        <f t="shared" si="70"/>
        <v>43</v>
      </c>
      <c r="D521">
        <f t="shared" si="70"/>
        <v>54</v>
      </c>
      <c r="E521">
        <f t="shared" si="70"/>
        <v>80</v>
      </c>
      <c r="F521">
        <f t="shared" si="70"/>
        <v>124</v>
      </c>
      <c r="G521">
        <f t="shared" si="70"/>
        <v>145</v>
      </c>
      <c r="H521">
        <f t="shared" si="69"/>
        <v>177</v>
      </c>
      <c r="I521">
        <f t="shared" si="69"/>
        <v>199</v>
      </c>
      <c r="J521">
        <f t="shared" si="69"/>
        <v>232</v>
      </c>
      <c r="K521">
        <f t="shared" si="69"/>
        <v>253</v>
      </c>
      <c r="L521">
        <f t="shared" si="69"/>
        <v>284</v>
      </c>
      <c r="M521">
        <f t="shared" si="73"/>
        <v>299</v>
      </c>
      <c r="N521">
        <f t="shared" si="73"/>
        <v>311</v>
      </c>
      <c r="O521">
        <f t="shared" si="73"/>
        <v>336</v>
      </c>
      <c r="P521">
        <f t="shared" si="73"/>
        <v>354</v>
      </c>
      <c r="Q521">
        <f t="shared" si="73"/>
        <v>380</v>
      </c>
      <c r="S521" t="str">
        <f t="shared" si="71"/>
        <v>02.12.2025</v>
      </c>
      <c r="T521" t="str">
        <f t="shared" si="72"/>
        <v>04:45:00</v>
      </c>
      <c r="U521" t="str">
        <f t="shared" si="74"/>
        <v>02.12.2025 04:45:00</v>
      </c>
      <c r="V521" s="9" t="str">
        <f>MID($A521,C521+C$2+1,D521-C521-C$2-1)</f>
        <v>0</v>
      </c>
      <c r="W521" s="4">
        <f>VALUE(SUBSTITUTE(MID($A521,D521+D$2+1,E521-D521-D$2-1),",","."))</f>
        <v>0</v>
      </c>
      <c r="X521" s="4">
        <f>VALUE(SUBSTITUTE(MID($A521,E521+E$2+1,F521-E521-E$2-1),",","."))</f>
        <v>0.90957602214449496</v>
      </c>
      <c r="Y521" s="4">
        <f>VALUE(SUBSTITUTE(MID($A521,F521+F$2+1,G521-F521-F$2-1),",","."))</f>
        <v>0</v>
      </c>
      <c r="Z521" s="3">
        <f>VALUE(SUBSTITUTE(MID($A521,G521+G$2+1,H521-G521-G$2-1),",","."))</f>
        <v>0</v>
      </c>
      <c r="AA521" s="3">
        <f>VALUE(SUBSTITUTE(MID($A521,H521+H$2+1,I521-H521-H$2-1),",","."))</f>
        <v>0</v>
      </c>
      <c r="AB521" s="3">
        <f>VALUE(SUBSTITUTE(MID($A521,I521+I$2+1,J521-I521-I$2-1),",","."))</f>
        <v>0</v>
      </c>
      <c r="AC521" s="3">
        <f>VALUE(SUBSTITUTE(MID($A521,J521+J$2+1,K521-J521-J$2-1),",","."))</f>
        <v>-1.35</v>
      </c>
      <c r="AD521" s="3">
        <f>VALUE(SUBSTITUTE(MID($A521,K521+K$2+1,L521-K521-K$2-1),",","."))</f>
        <v>6.3</v>
      </c>
      <c r="AE521" s="3">
        <f>VALUE(SUBSTITUTE(MID($A521,L521+L$2+1,M521-L521-L$2-1),",","."))</f>
        <v>0</v>
      </c>
      <c r="AF521" s="3">
        <f>VALUE(SUBSTITUTE(MID($A521,M521+M$2+1,N521-M521-M$2-1),",","."))</f>
        <v>0</v>
      </c>
      <c r="AG521" s="3">
        <f>VALUE(SUBSTITUTE(MID($A521,N521+N$2+1,O521-N521-N$2-1),",","."))</f>
        <v>4.2182340467047101</v>
      </c>
      <c r="AH521" t="str">
        <f>MID($A521,O521+O$2+1,P521-O521-O$2-1)</f>
        <v/>
      </c>
      <c r="AI521" s="8" t="str">
        <f>MID($A521,P521+P$2+1,Q521-P521-P$2-1)</f>
        <v>False</v>
      </c>
      <c r="AK521" t="b">
        <f t="shared" si="75"/>
        <v>0</v>
      </c>
    </row>
    <row r="522" spans="1:37" x14ac:dyDescent="0.35">
      <c r="A522" t="s">
        <v>5069</v>
      </c>
      <c r="B522">
        <f t="shared" si="70"/>
        <v>10</v>
      </c>
      <c r="C522">
        <f t="shared" si="70"/>
        <v>43</v>
      </c>
      <c r="D522">
        <f t="shared" si="70"/>
        <v>54</v>
      </c>
      <c r="E522">
        <f t="shared" si="70"/>
        <v>80</v>
      </c>
      <c r="F522">
        <f t="shared" si="70"/>
        <v>124</v>
      </c>
      <c r="G522">
        <f t="shared" si="70"/>
        <v>145</v>
      </c>
      <c r="H522">
        <f t="shared" si="69"/>
        <v>177</v>
      </c>
      <c r="I522">
        <f t="shared" si="69"/>
        <v>199</v>
      </c>
      <c r="J522">
        <f t="shared" si="69"/>
        <v>232</v>
      </c>
      <c r="K522">
        <f t="shared" si="69"/>
        <v>253</v>
      </c>
      <c r="L522">
        <f t="shared" si="69"/>
        <v>284</v>
      </c>
      <c r="M522">
        <f t="shared" si="73"/>
        <v>299</v>
      </c>
      <c r="N522">
        <f t="shared" si="73"/>
        <v>311</v>
      </c>
      <c r="O522">
        <f t="shared" si="73"/>
        <v>336</v>
      </c>
      <c r="P522">
        <f t="shared" si="73"/>
        <v>354</v>
      </c>
      <c r="Q522">
        <f t="shared" si="73"/>
        <v>380</v>
      </c>
      <c r="S522" t="str">
        <f t="shared" si="71"/>
        <v>02.12.2025</v>
      </c>
      <c r="T522" t="str">
        <f t="shared" si="72"/>
        <v>05:00:00</v>
      </c>
      <c r="U522" t="str">
        <f t="shared" si="74"/>
        <v>02.12.2025 05:00:00</v>
      </c>
      <c r="V522" s="9" t="str">
        <f>MID($A522,C522+C$2+1,D522-C522-C$2-1)</f>
        <v>0</v>
      </c>
      <c r="W522" s="4">
        <f>VALUE(SUBSTITUTE(MID($A522,D522+D$2+1,E522-D522-D$2-1),",","."))</f>
        <v>0</v>
      </c>
      <c r="X522" s="4">
        <f>VALUE(SUBSTITUTE(MID($A522,E522+E$2+1,F522-E522-E$2-1),",","."))</f>
        <v>0.90957602214449496</v>
      </c>
      <c r="Y522" s="4">
        <f>VALUE(SUBSTITUTE(MID($A522,F522+F$2+1,G522-F522-F$2-1),",","."))</f>
        <v>0</v>
      </c>
      <c r="Z522" s="3">
        <f>VALUE(SUBSTITUTE(MID($A522,G522+G$2+1,H522-G522-G$2-1),",","."))</f>
        <v>0</v>
      </c>
      <c r="AA522" s="3">
        <f>VALUE(SUBSTITUTE(MID($A522,H522+H$2+1,I522-H522-H$2-1),",","."))</f>
        <v>0</v>
      </c>
      <c r="AB522" s="3">
        <f>VALUE(SUBSTITUTE(MID($A522,I522+I$2+1,J522-I522-I$2-1),",","."))</f>
        <v>0</v>
      </c>
      <c r="AC522" s="3">
        <f>VALUE(SUBSTITUTE(MID($A522,J522+J$2+1,K522-J522-J$2-1),",","."))</f>
        <v>-1.35</v>
      </c>
      <c r="AD522" s="3">
        <f>VALUE(SUBSTITUTE(MID($A522,K522+K$2+1,L522-K522-K$2-1),",","."))</f>
        <v>6.3</v>
      </c>
      <c r="AE522" s="3">
        <f>VALUE(SUBSTITUTE(MID($A522,L522+L$2+1,M522-L522-L$2-1),",","."))</f>
        <v>0</v>
      </c>
      <c r="AF522" s="3">
        <f>VALUE(SUBSTITUTE(MID($A522,M522+M$2+1,N522-M522-M$2-1),",","."))</f>
        <v>0</v>
      </c>
      <c r="AG522" s="3">
        <f>VALUE(SUBSTITUTE(MID($A522,N522+N$2+1,O522-N522-N$2-1),",","."))</f>
        <v>4.2182625665927898</v>
      </c>
      <c r="AH522" t="str">
        <f>MID($A522,O522+O$2+1,P522-O522-O$2-1)</f>
        <v/>
      </c>
      <c r="AI522" s="8" t="str">
        <f>MID($A522,P522+P$2+1,Q522-P522-P$2-1)</f>
        <v>False</v>
      </c>
      <c r="AK522" t="b">
        <f t="shared" si="75"/>
        <v>0</v>
      </c>
    </row>
    <row r="523" spans="1:37" x14ac:dyDescent="0.35">
      <c r="A523" t="s">
        <v>5070</v>
      </c>
      <c r="B523">
        <f t="shared" si="70"/>
        <v>10</v>
      </c>
      <c r="C523">
        <f t="shared" si="70"/>
        <v>43</v>
      </c>
      <c r="D523">
        <f t="shared" si="70"/>
        <v>54</v>
      </c>
      <c r="E523">
        <f t="shared" si="70"/>
        <v>80</v>
      </c>
      <c r="F523">
        <f t="shared" si="70"/>
        <v>124</v>
      </c>
      <c r="G523">
        <f t="shared" si="70"/>
        <v>145</v>
      </c>
      <c r="H523">
        <f t="shared" si="69"/>
        <v>177</v>
      </c>
      <c r="I523">
        <f t="shared" si="69"/>
        <v>199</v>
      </c>
      <c r="J523">
        <f t="shared" si="69"/>
        <v>232</v>
      </c>
      <c r="K523">
        <f t="shared" si="69"/>
        <v>253</v>
      </c>
      <c r="L523">
        <f t="shared" si="69"/>
        <v>284</v>
      </c>
      <c r="M523">
        <f t="shared" si="73"/>
        <v>299</v>
      </c>
      <c r="N523">
        <f t="shared" si="73"/>
        <v>311</v>
      </c>
      <c r="O523">
        <f t="shared" si="73"/>
        <v>336</v>
      </c>
      <c r="P523">
        <f t="shared" si="73"/>
        <v>354</v>
      </c>
      <c r="Q523">
        <f t="shared" si="73"/>
        <v>380</v>
      </c>
      <c r="S523" t="str">
        <f t="shared" si="71"/>
        <v>02.12.2025</v>
      </c>
      <c r="T523" t="str">
        <f t="shared" si="72"/>
        <v>05:15:00</v>
      </c>
      <c r="U523" t="str">
        <f t="shared" si="74"/>
        <v>02.12.2025 05:15:00</v>
      </c>
      <c r="V523" s="9" t="str">
        <f>MID($A523,C523+C$2+1,D523-C523-C$2-1)</f>
        <v>0</v>
      </c>
      <c r="W523" s="4">
        <f>VALUE(SUBSTITUTE(MID($A523,D523+D$2+1,E523-D523-D$2-1),",","."))</f>
        <v>0</v>
      </c>
      <c r="X523" s="4">
        <f>VALUE(SUBSTITUTE(MID($A523,E523+E$2+1,F523-E523-E$2-1),",","."))</f>
        <v>0.90957602214449496</v>
      </c>
      <c r="Y523" s="4">
        <f>VALUE(SUBSTITUTE(MID($A523,F523+F$2+1,G523-F523-F$2-1),",","."))</f>
        <v>0</v>
      </c>
      <c r="Z523" s="3">
        <f>VALUE(SUBSTITUTE(MID($A523,G523+G$2+1,H523-G523-G$2-1),",","."))</f>
        <v>0</v>
      </c>
      <c r="AA523" s="3">
        <f>VALUE(SUBSTITUTE(MID($A523,H523+H$2+1,I523-H523-H$2-1),",","."))</f>
        <v>0</v>
      </c>
      <c r="AB523" s="3">
        <f>VALUE(SUBSTITUTE(MID($A523,I523+I$2+1,J523-I523-I$2-1),",","."))</f>
        <v>0</v>
      </c>
      <c r="AC523" s="3">
        <f>VALUE(SUBSTITUTE(MID($A523,J523+J$2+1,K523-J523-J$2-1),",","."))</f>
        <v>-1.35</v>
      </c>
      <c r="AD523" s="3">
        <f>VALUE(SUBSTITUTE(MID($A523,K523+K$2+1,L523-K523-K$2-1),",","."))</f>
        <v>6.3</v>
      </c>
      <c r="AE523" s="3">
        <f>VALUE(SUBSTITUTE(MID($A523,L523+L$2+1,M523-L523-L$2-1),",","."))</f>
        <v>0</v>
      </c>
      <c r="AF523" s="3">
        <f>VALUE(SUBSTITUTE(MID($A523,M523+M$2+1,N523-M523-M$2-1),",","."))</f>
        <v>0</v>
      </c>
      <c r="AG523" s="3">
        <f>VALUE(SUBSTITUTE(MID($A523,N523+N$2+1,O523-N523-N$2-1),",","."))</f>
        <v>4.2182910864808703</v>
      </c>
      <c r="AH523" t="str">
        <f>MID($A523,O523+O$2+1,P523-O523-O$2-1)</f>
        <v/>
      </c>
      <c r="AI523" s="8" t="str">
        <f>MID($A523,P523+P$2+1,Q523-P523-P$2-1)</f>
        <v>False</v>
      </c>
      <c r="AK523" t="b">
        <f t="shared" si="75"/>
        <v>0</v>
      </c>
    </row>
    <row r="524" spans="1:37" x14ac:dyDescent="0.35">
      <c r="A524" t="s">
        <v>5071</v>
      </c>
      <c r="B524">
        <f t="shared" si="70"/>
        <v>10</v>
      </c>
      <c r="C524">
        <f t="shared" si="70"/>
        <v>43</v>
      </c>
      <c r="D524">
        <f t="shared" si="70"/>
        <v>54</v>
      </c>
      <c r="E524">
        <f t="shared" si="70"/>
        <v>80</v>
      </c>
      <c r="F524">
        <f t="shared" si="70"/>
        <v>124</v>
      </c>
      <c r="G524">
        <f t="shared" si="70"/>
        <v>145</v>
      </c>
      <c r="H524">
        <f t="shared" si="69"/>
        <v>177</v>
      </c>
      <c r="I524">
        <f t="shared" si="69"/>
        <v>199</v>
      </c>
      <c r="J524">
        <f t="shared" si="69"/>
        <v>232</v>
      </c>
      <c r="K524">
        <f t="shared" si="69"/>
        <v>253</v>
      </c>
      <c r="L524">
        <f t="shared" si="69"/>
        <v>271</v>
      </c>
      <c r="M524">
        <f t="shared" si="73"/>
        <v>286</v>
      </c>
      <c r="N524">
        <f t="shared" si="73"/>
        <v>298</v>
      </c>
      <c r="O524">
        <f t="shared" si="73"/>
        <v>324</v>
      </c>
      <c r="P524">
        <f t="shared" si="73"/>
        <v>342</v>
      </c>
      <c r="Q524">
        <f t="shared" si="73"/>
        <v>368</v>
      </c>
      <c r="S524" t="str">
        <f t="shared" si="71"/>
        <v>02.12.2025</v>
      </c>
      <c r="T524" t="str">
        <f t="shared" si="72"/>
        <v>05:30:00</v>
      </c>
      <c r="U524" t="str">
        <f t="shared" si="74"/>
        <v>02.12.2025 05:30:00</v>
      </c>
      <c r="V524" s="9" t="str">
        <f>MID($A524,C524+C$2+1,D524-C524-C$2-1)</f>
        <v>0</v>
      </c>
      <c r="W524" s="4">
        <f>VALUE(SUBSTITUTE(MID($A524,D524+D$2+1,E524-D524-D$2-1),",","."))</f>
        <v>0</v>
      </c>
      <c r="X524" s="4">
        <f>VALUE(SUBSTITUTE(MID($A524,E524+E$2+1,F524-E524-E$2-1),",","."))</f>
        <v>0.90957602214449496</v>
      </c>
      <c r="Y524" s="4">
        <f>VALUE(SUBSTITUTE(MID($A524,F524+F$2+1,G524-F524-F$2-1),",","."))</f>
        <v>0</v>
      </c>
      <c r="Z524" s="3">
        <f>VALUE(SUBSTITUTE(MID($A524,G524+G$2+1,H524-G524-G$2-1),",","."))</f>
        <v>0</v>
      </c>
      <c r="AA524" s="3">
        <f>VALUE(SUBSTITUTE(MID($A524,H524+H$2+1,I524-H524-H$2-1),",","."))</f>
        <v>0</v>
      </c>
      <c r="AB524" s="3">
        <f>VALUE(SUBSTITUTE(MID($A524,I524+I$2+1,J524-I524-I$2-1),",","."))</f>
        <v>0</v>
      </c>
      <c r="AC524" s="3">
        <f>VALUE(SUBSTITUTE(MID($A524,J524+J$2+1,K524-J524-J$2-1),",","."))</f>
        <v>-1.35</v>
      </c>
      <c r="AD524" s="3">
        <f>VALUE(SUBSTITUTE(MID($A524,K524+K$2+1,L524-K524-K$2-1),",","."))</f>
        <v>8.4600000000000009</v>
      </c>
      <c r="AE524" s="3">
        <f>VALUE(SUBSTITUTE(MID($A524,L524+L$2+1,M524-L524-L$2-1),",","."))</f>
        <v>0</v>
      </c>
      <c r="AF524" s="3">
        <f>VALUE(SUBSTITUTE(MID($A524,M524+M$2+1,N524-M524-M$2-1),",","."))</f>
        <v>0</v>
      </c>
      <c r="AG524" s="3">
        <f>VALUE(SUBSTITUTE(MID($A524,N524+N$2+1,O524-N524-N$2-1),",","."))</f>
        <v>4.2183196063689596</v>
      </c>
      <c r="AH524" t="str">
        <f>MID($A524,O524+O$2+1,P524-O524-O$2-1)</f>
        <v/>
      </c>
      <c r="AI524" s="8" t="str">
        <f>MID($A524,P524+P$2+1,Q524-P524-P$2-1)</f>
        <v>False</v>
      </c>
      <c r="AK524" t="b">
        <f t="shared" si="75"/>
        <v>0</v>
      </c>
    </row>
    <row r="525" spans="1:37" x14ac:dyDescent="0.35">
      <c r="A525" t="s">
        <v>5072</v>
      </c>
      <c r="B525">
        <f t="shared" si="70"/>
        <v>10</v>
      </c>
      <c r="C525">
        <f t="shared" si="70"/>
        <v>43</v>
      </c>
      <c r="D525">
        <f t="shared" si="70"/>
        <v>54</v>
      </c>
      <c r="E525">
        <f t="shared" ref="E525:K573" si="76">FIND(E$1,$A525)</f>
        <v>80</v>
      </c>
      <c r="F525">
        <f t="shared" si="76"/>
        <v>124</v>
      </c>
      <c r="G525">
        <f t="shared" si="76"/>
        <v>145</v>
      </c>
      <c r="H525">
        <f t="shared" si="69"/>
        <v>177</v>
      </c>
      <c r="I525">
        <f t="shared" si="69"/>
        <v>199</v>
      </c>
      <c r="J525">
        <f t="shared" si="69"/>
        <v>232</v>
      </c>
      <c r="K525">
        <f t="shared" si="69"/>
        <v>253</v>
      </c>
      <c r="L525">
        <f t="shared" si="69"/>
        <v>271</v>
      </c>
      <c r="M525">
        <f t="shared" si="73"/>
        <v>286</v>
      </c>
      <c r="N525">
        <f t="shared" si="73"/>
        <v>298</v>
      </c>
      <c r="O525">
        <f t="shared" si="73"/>
        <v>323</v>
      </c>
      <c r="P525">
        <f t="shared" si="73"/>
        <v>341</v>
      </c>
      <c r="Q525">
        <f t="shared" si="73"/>
        <v>367</v>
      </c>
      <c r="S525" t="str">
        <f t="shared" si="71"/>
        <v>02.12.2025</v>
      </c>
      <c r="T525" t="str">
        <f t="shared" si="72"/>
        <v>05:45:00</v>
      </c>
      <c r="U525" t="str">
        <f t="shared" si="74"/>
        <v>02.12.2025 05:45:00</v>
      </c>
      <c r="V525" s="9" t="str">
        <f>MID($A525,C525+C$2+1,D525-C525-C$2-1)</f>
        <v>0</v>
      </c>
      <c r="W525" s="4">
        <f>VALUE(SUBSTITUTE(MID($A525,D525+D$2+1,E525-D525-D$2-1),",","."))</f>
        <v>0</v>
      </c>
      <c r="X525" s="4">
        <f>VALUE(SUBSTITUTE(MID($A525,E525+E$2+1,F525-E525-E$2-1),",","."))</f>
        <v>0.90957602214449496</v>
      </c>
      <c r="Y525" s="4">
        <f>VALUE(SUBSTITUTE(MID($A525,F525+F$2+1,G525-F525-F$2-1),",","."))</f>
        <v>0</v>
      </c>
      <c r="Z525" s="3">
        <f>VALUE(SUBSTITUTE(MID($A525,G525+G$2+1,H525-G525-G$2-1),",","."))</f>
        <v>0</v>
      </c>
      <c r="AA525" s="3">
        <f>VALUE(SUBSTITUTE(MID($A525,H525+H$2+1,I525-H525-H$2-1),",","."))</f>
        <v>0</v>
      </c>
      <c r="AB525" s="3">
        <f>VALUE(SUBSTITUTE(MID($A525,I525+I$2+1,J525-I525-I$2-1),",","."))</f>
        <v>0</v>
      </c>
      <c r="AC525" s="3">
        <f>VALUE(SUBSTITUTE(MID($A525,J525+J$2+1,K525-J525-J$2-1),",","."))</f>
        <v>-1.35</v>
      </c>
      <c r="AD525" s="3">
        <f>VALUE(SUBSTITUTE(MID($A525,K525+K$2+1,L525-K525-K$2-1),",","."))</f>
        <v>8.4600000000000009</v>
      </c>
      <c r="AE525" s="3">
        <f>VALUE(SUBSTITUTE(MID($A525,L525+L$2+1,M525-L525-L$2-1),",","."))</f>
        <v>0</v>
      </c>
      <c r="AF525" s="3">
        <f>VALUE(SUBSTITUTE(MID($A525,M525+M$2+1,N525-M525-M$2-1),",","."))</f>
        <v>0</v>
      </c>
      <c r="AG525" s="3">
        <f>VALUE(SUBSTITUTE(MID($A525,N525+N$2+1,O525-N525-N$2-1),",","."))</f>
        <v>4.2183481262570401</v>
      </c>
      <c r="AH525" t="str">
        <f>MID($A525,O525+O$2+1,P525-O525-O$2-1)</f>
        <v/>
      </c>
      <c r="AI525" s="8" t="str">
        <f>MID($A525,P525+P$2+1,Q525-P525-P$2-1)</f>
        <v>False</v>
      </c>
      <c r="AK525" t="b">
        <f t="shared" si="75"/>
        <v>0</v>
      </c>
    </row>
    <row r="526" spans="1:37" x14ac:dyDescent="0.35">
      <c r="A526" t="s">
        <v>5073</v>
      </c>
      <c r="B526">
        <f t="shared" ref="B526:G589" si="77">FIND(B$1,$A526)</f>
        <v>10</v>
      </c>
      <c r="C526">
        <f t="shared" si="77"/>
        <v>43</v>
      </c>
      <c r="D526">
        <f t="shared" si="77"/>
        <v>54</v>
      </c>
      <c r="E526">
        <f t="shared" si="76"/>
        <v>80</v>
      </c>
      <c r="F526">
        <f t="shared" si="76"/>
        <v>124</v>
      </c>
      <c r="G526">
        <f t="shared" si="76"/>
        <v>145</v>
      </c>
      <c r="H526">
        <f t="shared" si="69"/>
        <v>177</v>
      </c>
      <c r="I526">
        <f t="shared" si="69"/>
        <v>199</v>
      </c>
      <c r="J526">
        <f t="shared" si="69"/>
        <v>232</v>
      </c>
      <c r="K526">
        <f t="shared" si="69"/>
        <v>253</v>
      </c>
      <c r="L526">
        <f t="shared" si="69"/>
        <v>271</v>
      </c>
      <c r="M526">
        <f t="shared" si="73"/>
        <v>286</v>
      </c>
      <c r="N526">
        <f t="shared" si="73"/>
        <v>298</v>
      </c>
      <c r="O526">
        <f t="shared" si="73"/>
        <v>323</v>
      </c>
      <c r="P526">
        <f t="shared" si="73"/>
        <v>341</v>
      </c>
      <c r="Q526">
        <f t="shared" si="73"/>
        <v>367</v>
      </c>
      <c r="S526" t="str">
        <f t="shared" si="71"/>
        <v>02.12.2025</v>
      </c>
      <c r="T526" t="str">
        <f t="shared" si="72"/>
        <v>06:00:00</v>
      </c>
      <c r="U526" t="str">
        <f t="shared" si="74"/>
        <v>02.12.2025 06:00:00</v>
      </c>
      <c r="V526" s="9" t="str">
        <f>MID($A526,C526+C$2+1,D526-C526-C$2-1)</f>
        <v>0</v>
      </c>
      <c r="W526" s="4">
        <f>VALUE(SUBSTITUTE(MID($A526,D526+D$2+1,E526-D526-D$2-1),",","."))</f>
        <v>0</v>
      </c>
      <c r="X526" s="4">
        <f>VALUE(SUBSTITUTE(MID($A526,E526+E$2+1,F526-E526-E$2-1),",","."))</f>
        <v>0.90957602214449496</v>
      </c>
      <c r="Y526" s="4">
        <f>VALUE(SUBSTITUTE(MID($A526,F526+F$2+1,G526-F526-F$2-1),",","."))</f>
        <v>0</v>
      </c>
      <c r="Z526" s="3">
        <f>VALUE(SUBSTITUTE(MID($A526,G526+G$2+1,H526-G526-G$2-1),",","."))</f>
        <v>0</v>
      </c>
      <c r="AA526" s="3">
        <f>VALUE(SUBSTITUTE(MID($A526,H526+H$2+1,I526-H526-H$2-1),",","."))</f>
        <v>0</v>
      </c>
      <c r="AB526" s="3">
        <f>VALUE(SUBSTITUTE(MID($A526,I526+I$2+1,J526-I526-I$2-1),",","."))</f>
        <v>0</v>
      </c>
      <c r="AC526" s="3">
        <f>VALUE(SUBSTITUTE(MID($A526,J526+J$2+1,K526-J526-J$2-1),",","."))</f>
        <v>-1.35</v>
      </c>
      <c r="AD526" s="3">
        <f>VALUE(SUBSTITUTE(MID($A526,K526+K$2+1,L526-K526-K$2-1),",","."))</f>
        <v>8.4600000000000009</v>
      </c>
      <c r="AE526" s="3">
        <f>VALUE(SUBSTITUTE(MID($A526,L526+L$2+1,M526-L526-L$2-1),",","."))</f>
        <v>0</v>
      </c>
      <c r="AF526" s="3">
        <f>VALUE(SUBSTITUTE(MID($A526,M526+M$2+1,N526-M526-M$2-1),",","."))</f>
        <v>0</v>
      </c>
      <c r="AG526" s="3">
        <f>VALUE(SUBSTITUTE(MID($A526,N526+N$2+1,O526-N526-N$2-1),",","."))</f>
        <v>4.2183766461451198</v>
      </c>
      <c r="AH526" t="str">
        <f>MID($A526,O526+O$2+1,P526-O526-O$2-1)</f>
        <v/>
      </c>
      <c r="AI526" s="8" t="str">
        <f>MID($A526,P526+P$2+1,Q526-P526-P$2-1)</f>
        <v>False</v>
      </c>
      <c r="AK526" t="b">
        <f t="shared" si="75"/>
        <v>0</v>
      </c>
    </row>
    <row r="527" spans="1:37" x14ac:dyDescent="0.35">
      <c r="A527" t="s">
        <v>5074</v>
      </c>
      <c r="B527">
        <f t="shared" si="77"/>
        <v>10</v>
      </c>
      <c r="C527">
        <f t="shared" si="77"/>
        <v>43</v>
      </c>
      <c r="D527">
        <f t="shared" si="77"/>
        <v>54</v>
      </c>
      <c r="E527">
        <f t="shared" si="76"/>
        <v>80</v>
      </c>
      <c r="F527">
        <f t="shared" si="76"/>
        <v>124</v>
      </c>
      <c r="G527">
        <f t="shared" si="76"/>
        <v>145</v>
      </c>
      <c r="H527">
        <f t="shared" si="69"/>
        <v>177</v>
      </c>
      <c r="I527">
        <f t="shared" si="69"/>
        <v>199</v>
      </c>
      <c r="J527">
        <f t="shared" si="69"/>
        <v>232</v>
      </c>
      <c r="K527">
        <f t="shared" si="69"/>
        <v>253</v>
      </c>
      <c r="L527">
        <f t="shared" si="69"/>
        <v>271</v>
      </c>
      <c r="M527">
        <f t="shared" si="73"/>
        <v>286</v>
      </c>
      <c r="N527">
        <f t="shared" si="73"/>
        <v>298</v>
      </c>
      <c r="O527">
        <f t="shared" si="73"/>
        <v>323</v>
      </c>
      <c r="P527">
        <f t="shared" si="73"/>
        <v>341</v>
      </c>
      <c r="Q527">
        <f t="shared" si="73"/>
        <v>367</v>
      </c>
      <c r="S527" t="str">
        <f t="shared" si="71"/>
        <v>02.12.2025</v>
      </c>
      <c r="T527" t="str">
        <f t="shared" si="72"/>
        <v>06:15:00</v>
      </c>
      <c r="U527" t="str">
        <f t="shared" si="74"/>
        <v>02.12.2025 06:15:00</v>
      </c>
      <c r="V527" s="9" t="str">
        <f>MID($A527,C527+C$2+1,D527-C527-C$2-1)</f>
        <v>0</v>
      </c>
      <c r="W527" s="4">
        <f>VALUE(SUBSTITUTE(MID($A527,D527+D$2+1,E527-D527-D$2-1),",","."))</f>
        <v>0</v>
      </c>
      <c r="X527" s="4">
        <f>VALUE(SUBSTITUTE(MID($A527,E527+E$2+1,F527-E527-E$2-1),",","."))</f>
        <v>0.90957602214449496</v>
      </c>
      <c r="Y527" s="4">
        <f>VALUE(SUBSTITUTE(MID($A527,F527+F$2+1,G527-F527-F$2-1),",","."))</f>
        <v>0</v>
      </c>
      <c r="Z527" s="3">
        <f>VALUE(SUBSTITUTE(MID($A527,G527+G$2+1,H527-G527-G$2-1),",","."))</f>
        <v>0</v>
      </c>
      <c r="AA527" s="3">
        <f>VALUE(SUBSTITUTE(MID($A527,H527+H$2+1,I527-H527-H$2-1),",","."))</f>
        <v>0</v>
      </c>
      <c r="AB527" s="3">
        <f>VALUE(SUBSTITUTE(MID($A527,I527+I$2+1,J527-I527-I$2-1),",","."))</f>
        <v>0</v>
      </c>
      <c r="AC527" s="3">
        <f>VALUE(SUBSTITUTE(MID($A527,J527+J$2+1,K527-J527-J$2-1),",","."))</f>
        <v>-1.35</v>
      </c>
      <c r="AD527" s="3">
        <f>VALUE(SUBSTITUTE(MID($A527,K527+K$2+1,L527-K527-K$2-1),",","."))</f>
        <v>8.4600000000000009</v>
      </c>
      <c r="AE527" s="3">
        <f>VALUE(SUBSTITUTE(MID($A527,L527+L$2+1,M527-L527-L$2-1),",","."))</f>
        <v>0</v>
      </c>
      <c r="AF527" s="3">
        <f>VALUE(SUBSTITUTE(MID($A527,M527+M$2+1,N527-M527-M$2-1),",","."))</f>
        <v>0</v>
      </c>
      <c r="AG527" s="3">
        <f>VALUE(SUBSTITUTE(MID($A527,N527+N$2+1,O527-N527-N$2-1),",","."))</f>
        <v>4.2184051660332003</v>
      </c>
      <c r="AH527" t="str">
        <f>MID($A527,O527+O$2+1,P527-O527-O$2-1)</f>
        <v/>
      </c>
      <c r="AI527" s="8" t="str">
        <f>MID($A527,P527+P$2+1,Q527-P527-P$2-1)</f>
        <v>False</v>
      </c>
      <c r="AK527" t="b">
        <f t="shared" si="75"/>
        <v>0</v>
      </c>
    </row>
    <row r="528" spans="1:37" x14ac:dyDescent="0.35">
      <c r="A528" t="s">
        <v>5075</v>
      </c>
      <c r="B528">
        <f t="shared" si="77"/>
        <v>10</v>
      </c>
      <c r="C528">
        <f t="shared" si="77"/>
        <v>43</v>
      </c>
      <c r="D528">
        <f t="shared" si="77"/>
        <v>54</v>
      </c>
      <c r="E528">
        <f t="shared" si="76"/>
        <v>80</v>
      </c>
      <c r="F528">
        <f t="shared" si="76"/>
        <v>124</v>
      </c>
      <c r="G528">
        <f t="shared" si="76"/>
        <v>145</v>
      </c>
      <c r="H528">
        <f t="shared" si="69"/>
        <v>177</v>
      </c>
      <c r="I528">
        <f t="shared" si="69"/>
        <v>199</v>
      </c>
      <c r="J528">
        <f t="shared" si="69"/>
        <v>232</v>
      </c>
      <c r="K528">
        <f t="shared" si="69"/>
        <v>253</v>
      </c>
      <c r="L528">
        <f t="shared" si="69"/>
        <v>270</v>
      </c>
      <c r="M528">
        <f t="shared" si="73"/>
        <v>285</v>
      </c>
      <c r="N528">
        <f t="shared" si="73"/>
        <v>297</v>
      </c>
      <c r="O528">
        <f t="shared" si="73"/>
        <v>322</v>
      </c>
      <c r="P528">
        <f t="shared" si="73"/>
        <v>340</v>
      </c>
      <c r="Q528">
        <f t="shared" si="73"/>
        <v>366</v>
      </c>
      <c r="S528" t="str">
        <f t="shared" si="71"/>
        <v>02.12.2025</v>
      </c>
      <c r="T528" t="str">
        <f t="shared" si="72"/>
        <v>06:30:00</v>
      </c>
      <c r="U528" t="str">
        <f t="shared" si="74"/>
        <v>02.12.2025 06:30:00</v>
      </c>
      <c r="V528" s="9" t="str">
        <f>MID($A528,C528+C$2+1,D528-C528-C$2-1)</f>
        <v>0</v>
      </c>
      <c r="W528" s="4">
        <f>VALUE(SUBSTITUTE(MID($A528,D528+D$2+1,E528-D528-D$2-1),",","."))</f>
        <v>0</v>
      </c>
      <c r="X528" s="4">
        <f>VALUE(SUBSTITUTE(MID($A528,E528+E$2+1,F528-E528-E$2-1),",","."))</f>
        <v>0.90957602214449496</v>
      </c>
      <c r="Y528" s="4">
        <f>VALUE(SUBSTITUTE(MID($A528,F528+F$2+1,G528-F528-F$2-1),",","."))</f>
        <v>0</v>
      </c>
      <c r="Z528" s="3">
        <f>VALUE(SUBSTITUTE(MID($A528,G528+G$2+1,H528-G528-G$2-1),",","."))</f>
        <v>0</v>
      </c>
      <c r="AA528" s="3">
        <f>VALUE(SUBSTITUTE(MID($A528,H528+H$2+1,I528-H528-H$2-1),",","."))</f>
        <v>0</v>
      </c>
      <c r="AB528" s="3">
        <f>VALUE(SUBSTITUTE(MID($A528,I528+I$2+1,J528-I528-I$2-1),",","."))</f>
        <v>0</v>
      </c>
      <c r="AC528" s="3">
        <f>VALUE(SUBSTITUTE(MID($A528,J528+J$2+1,K528-J528-J$2-1),",","."))</f>
        <v>-1.25</v>
      </c>
      <c r="AD528" s="3">
        <f>VALUE(SUBSTITUTE(MID($A528,K528+K$2+1,L528-K528-K$2-1),",","."))</f>
        <v>9.9</v>
      </c>
      <c r="AE528" s="3">
        <f>VALUE(SUBSTITUTE(MID($A528,L528+L$2+1,M528-L528-L$2-1),",","."))</f>
        <v>0</v>
      </c>
      <c r="AF528" s="3">
        <f>VALUE(SUBSTITUTE(MID($A528,M528+M$2+1,N528-M528-M$2-1),",","."))</f>
        <v>0</v>
      </c>
      <c r="AG528" s="3">
        <f>VALUE(SUBSTITUTE(MID($A528,N528+N$2+1,O528-N528-N$2-1),",","."))</f>
        <v>4.2184336859212799</v>
      </c>
      <c r="AH528" t="str">
        <f>MID($A528,O528+O$2+1,P528-O528-O$2-1)</f>
        <v/>
      </c>
      <c r="AI528" s="8" t="str">
        <f>MID($A528,P528+P$2+1,Q528-P528-P$2-1)</f>
        <v>False</v>
      </c>
      <c r="AK528" t="b">
        <f t="shared" si="75"/>
        <v>0</v>
      </c>
    </row>
    <row r="529" spans="1:37" x14ac:dyDescent="0.35">
      <c r="A529" t="s">
        <v>5076</v>
      </c>
      <c r="B529">
        <f t="shared" si="77"/>
        <v>10</v>
      </c>
      <c r="C529">
        <f t="shared" si="77"/>
        <v>43</v>
      </c>
      <c r="D529">
        <f t="shared" si="77"/>
        <v>54</v>
      </c>
      <c r="E529">
        <f t="shared" si="76"/>
        <v>80</v>
      </c>
      <c r="F529">
        <f t="shared" si="76"/>
        <v>124</v>
      </c>
      <c r="G529">
        <f t="shared" si="76"/>
        <v>145</v>
      </c>
      <c r="H529">
        <f t="shared" si="69"/>
        <v>177</v>
      </c>
      <c r="I529">
        <f t="shared" si="69"/>
        <v>199</v>
      </c>
      <c r="J529">
        <f t="shared" si="69"/>
        <v>232</v>
      </c>
      <c r="K529">
        <f t="shared" si="69"/>
        <v>253</v>
      </c>
      <c r="L529">
        <f t="shared" si="69"/>
        <v>270</v>
      </c>
      <c r="M529">
        <f t="shared" si="73"/>
        <v>285</v>
      </c>
      <c r="N529">
        <f t="shared" si="73"/>
        <v>297</v>
      </c>
      <c r="O529">
        <f t="shared" si="73"/>
        <v>322</v>
      </c>
      <c r="P529">
        <f t="shared" si="73"/>
        <v>340</v>
      </c>
      <c r="Q529">
        <f t="shared" si="73"/>
        <v>366</v>
      </c>
      <c r="S529" t="str">
        <f t="shared" si="71"/>
        <v>02.12.2025</v>
      </c>
      <c r="T529" t="str">
        <f t="shared" si="72"/>
        <v>06:45:00</v>
      </c>
      <c r="U529" t="str">
        <f t="shared" si="74"/>
        <v>02.12.2025 06:45:00</v>
      </c>
      <c r="V529" s="9" t="str">
        <f>MID($A529,C529+C$2+1,D529-C529-C$2-1)</f>
        <v>0</v>
      </c>
      <c r="W529" s="4">
        <f>VALUE(SUBSTITUTE(MID($A529,D529+D$2+1,E529-D529-D$2-1),",","."))</f>
        <v>0</v>
      </c>
      <c r="X529" s="4">
        <f>VALUE(SUBSTITUTE(MID($A529,E529+E$2+1,F529-E529-E$2-1),",","."))</f>
        <v>0.90957602214449496</v>
      </c>
      <c r="Y529" s="4">
        <f>VALUE(SUBSTITUTE(MID($A529,F529+F$2+1,G529-F529-F$2-1),",","."))</f>
        <v>0</v>
      </c>
      <c r="Z529" s="3">
        <f>VALUE(SUBSTITUTE(MID($A529,G529+G$2+1,H529-G529-G$2-1),",","."))</f>
        <v>0</v>
      </c>
      <c r="AA529" s="3">
        <f>VALUE(SUBSTITUTE(MID($A529,H529+H$2+1,I529-H529-H$2-1),",","."))</f>
        <v>0</v>
      </c>
      <c r="AB529" s="3">
        <f>VALUE(SUBSTITUTE(MID($A529,I529+I$2+1,J529-I529-I$2-1),",","."))</f>
        <v>0</v>
      </c>
      <c r="AC529" s="3">
        <f>VALUE(SUBSTITUTE(MID($A529,J529+J$2+1,K529-J529-J$2-1),",","."))</f>
        <v>-1.25</v>
      </c>
      <c r="AD529" s="3">
        <f>VALUE(SUBSTITUTE(MID($A529,K529+K$2+1,L529-K529-K$2-1),",","."))</f>
        <v>9.9</v>
      </c>
      <c r="AE529" s="3">
        <f>VALUE(SUBSTITUTE(MID($A529,L529+L$2+1,M529-L529-L$2-1),",","."))</f>
        <v>0</v>
      </c>
      <c r="AF529" s="3">
        <f>VALUE(SUBSTITUTE(MID($A529,M529+M$2+1,N529-M529-M$2-1),",","."))</f>
        <v>0</v>
      </c>
      <c r="AG529" s="3">
        <f>VALUE(SUBSTITUTE(MID($A529,N529+N$2+1,O529-N529-N$2-1),",","."))</f>
        <v>4.2184622058093604</v>
      </c>
      <c r="AH529" t="str">
        <f>MID($A529,O529+O$2+1,P529-O529-O$2-1)</f>
        <v/>
      </c>
      <c r="AI529" s="8" t="str">
        <f>MID($A529,P529+P$2+1,Q529-P529-P$2-1)</f>
        <v>False</v>
      </c>
      <c r="AK529" t="b">
        <f t="shared" si="75"/>
        <v>0</v>
      </c>
    </row>
    <row r="530" spans="1:37" x14ac:dyDescent="0.35">
      <c r="A530" t="s">
        <v>5077</v>
      </c>
      <c r="B530">
        <f t="shared" si="77"/>
        <v>10</v>
      </c>
      <c r="C530">
        <f t="shared" si="77"/>
        <v>43</v>
      </c>
      <c r="D530">
        <f t="shared" si="77"/>
        <v>54</v>
      </c>
      <c r="E530">
        <f t="shared" si="76"/>
        <v>80</v>
      </c>
      <c r="F530">
        <f t="shared" si="76"/>
        <v>124</v>
      </c>
      <c r="G530">
        <f t="shared" si="76"/>
        <v>145</v>
      </c>
      <c r="H530">
        <f t="shared" si="69"/>
        <v>177</v>
      </c>
      <c r="I530">
        <f t="shared" si="69"/>
        <v>199</v>
      </c>
      <c r="J530">
        <f t="shared" si="69"/>
        <v>232</v>
      </c>
      <c r="K530">
        <f t="shared" si="69"/>
        <v>253</v>
      </c>
      <c r="L530">
        <f t="shared" si="69"/>
        <v>270</v>
      </c>
      <c r="M530">
        <f t="shared" si="73"/>
        <v>285</v>
      </c>
      <c r="N530">
        <f t="shared" si="73"/>
        <v>297</v>
      </c>
      <c r="O530">
        <f t="shared" si="73"/>
        <v>321</v>
      </c>
      <c r="P530">
        <f t="shared" si="73"/>
        <v>339</v>
      </c>
      <c r="Q530">
        <f t="shared" si="73"/>
        <v>365</v>
      </c>
      <c r="S530" t="str">
        <f t="shared" si="71"/>
        <v>02.12.2025</v>
      </c>
      <c r="T530" t="str">
        <f t="shared" si="72"/>
        <v>07:00:00</v>
      </c>
      <c r="U530" t="str">
        <f t="shared" si="74"/>
        <v>02.12.2025 07:00:00</v>
      </c>
      <c r="V530" s="9" t="str">
        <f>MID($A530,C530+C$2+1,D530-C530-C$2-1)</f>
        <v>0</v>
      </c>
      <c r="W530" s="4">
        <f>VALUE(SUBSTITUTE(MID($A530,D530+D$2+1,E530-D530-D$2-1),",","."))</f>
        <v>0</v>
      </c>
      <c r="X530" s="4">
        <f>VALUE(SUBSTITUTE(MID($A530,E530+E$2+1,F530-E530-E$2-1),",","."))</f>
        <v>0.90957602214449496</v>
      </c>
      <c r="Y530" s="4">
        <f>VALUE(SUBSTITUTE(MID($A530,F530+F$2+1,G530-F530-F$2-1),",","."))</f>
        <v>0</v>
      </c>
      <c r="Z530" s="3">
        <f>VALUE(SUBSTITUTE(MID($A530,G530+G$2+1,H530-G530-G$2-1),",","."))</f>
        <v>0</v>
      </c>
      <c r="AA530" s="3">
        <f>VALUE(SUBSTITUTE(MID($A530,H530+H$2+1,I530-H530-H$2-1),",","."))</f>
        <v>0</v>
      </c>
      <c r="AB530" s="3">
        <f>VALUE(SUBSTITUTE(MID($A530,I530+I$2+1,J530-I530-I$2-1),",","."))</f>
        <v>0</v>
      </c>
      <c r="AC530" s="3">
        <f>VALUE(SUBSTITUTE(MID($A530,J530+J$2+1,K530-J530-J$2-1),",","."))</f>
        <v>-1.25</v>
      </c>
      <c r="AD530" s="3">
        <f>VALUE(SUBSTITUTE(MID($A530,K530+K$2+1,L530-K530-K$2-1),",","."))</f>
        <v>9.9</v>
      </c>
      <c r="AE530" s="3">
        <f>VALUE(SUBSTITUTE(MID($A530,L530+L$2+1,M530-L530-L$2-1),",","."))</f>
        <v>0</v>
      </c>
      <c r="AF530" s="3">
        <f>VALUE(SUBSTITUTE(MID($A530,M530+M$2+1,N530-M530-M$2-1),",","."))</f>
        <v>0</v>
      </c>
      <c r="AG530" s="3">
        <f>VALUE(SUBSTITUTE(MID($A530,N530+N$2+1,O530-N530-N$2-1),",","."))</f>
        <v>4.2184907256974498</v>
      </c>
      <c r="AH530" t="str">
        <f>MID($A530,O530+O$2+1,P530-O530-O$2-1)</f>
        <v/>
      </c>
      <c r="AI530" s="8" t="str">
        <f>MID($A530,P530+P$2+1,Q530-P530-P$2-1)</f>
        <v>False</v>
      </c>
      <c r="AK530" t="b">
        <f t="shared" si="75"/>
        <v>0</v>
      </c>
    </row>
    <row r="531" spans="1:37" x14ac:dyDescent="0.35">
      <c r="A531" t="s">
        <v>5078</v>
      </c>
      <c r="B531">
        <f t="shared" si="77"/>
        <v>10</v>
      </c>
      <c r="C531">
        <f t="shared" si="77"/>
        <v>43</v>
      </c>
      <c r="D531">
        <f t="shared" si="77"/>
        <v>54</v>
      </c>
      <c r="E531">
        <f t="shared" si="76"/>
        <v>80</v>
      </c>
      <c r="F531">
        <f t="shared" si="76"/>
        <v>124</v>
      </c>
      <c r="G531">
        <f t="shared" si="76"/>
        <v>145</v>
      </c>
      <c r="H531">
        <f t="shared" si="69"/>
        <v>177</v>
      </c>
      <c r="I531">
        <f t="shared" si="69"/>
        <v>199</v>
      </c>
      <c r="J531">
        <f t="shared" si="69"/>
        <v>232</v>
      </c>
      <c r="K531">
        <f t="shared" si="69"/>
        <v>253</v>
      </c>
      <c r="L531">
        <f t="shared" si="69"/>
        <v>270</v>
      </c>
      <c r="M531">
        <f t="shared" si="73"/>
        <v>285</v>
      </c>
      <c r="N531">
        <f t="shared" si="73"/>
        <v>297</v>
      </c>
      <c r="O531">
        <f t="shared" si="73"/>
        <v>322</v>
      </c>
      <c r="P531">
        <f t="shared" si="73"/>
        <v>340</v>
      </c>
      <c r="Q531">
        <f t="shared" si="73"/>
        <v>366</v>
      </c>
      <c r="S531" t="str">
        <f t="shared" si="71"/>
        <v>02.12.2025</v>
      </c>
      <c r="T531" t="str">
        <f t="shared" si="72"/>
        <v>07:15:00</v>
      </c>
      <c r="U531" t="str">
        <f t="shared" si="74"/>
        <v>02.12.2025 07:15:00</v>
      </c>
      <c r="V531" s="9" t="str">
        <f>MID($A531,C531+C$2+1,D531-C531-C$2-1)</f>
        <v>0</v>
      </c>
      <c r="W531" s="4">
        <f>VALUE(SUBSTITUTE(MID($A531,D531+D$2+1,E531-D531-D$2-1),",","."))</f>
        <v>0</v>
      </c>
      <c r="X531" s="4">
        <f>VALUE(SUBSTITUTE(MID($A531,E531+E$2+1,F531-E531-E$2-1),",","."))</f>
        <v>0.90957602214449496</v>
      </c>
      <c r="Y531" s="4">
        <f>VALUE(SUBSTITUTE(MID($A531,F531+F$2+1,G531-F531-F$2-1),",","."))</f>
        <v>0</v>
      </c>
      <c r="Z531" s="3">
        <f>VALUE(SUBSTITUTE(MID($A531,G531+G$2+1,H531-G531-G$2-1),",","."))</f>
        <v>0</v>
      </c>
      <c r="AA531" s="3">
        <f>VALUE(SUBSTITUTE(MID($A531,H531+H$2+1,I531-H531-H$2-1),",","."))</f>
        <v>0</v>
      </c>
      <c r="AB531" s="3">
        <f>VALUE(SUBSTITUTE(MID($A531,I531+I$2+1,J531-I531-I$2-1),",","."))</f>
        <v>0</v>
      </c>
      <c r="AC531" s="3">
        <f>VALUE(SUBSTITUTE(MID($A531,J531+J$2+1,K531-J531-J$2-1),",","."))</f>
        <v>-1.25</v>
      </c>
      <c r="AD531" s="3">
        <f>VALUE(SUBSTITUTE(MID($A531,K531+K$2+1,L531-K531-K$2-1),",","."))</f>
        <v>9.9</v>
      </c>
      <c r="AE531" s="3">
        <f>VALUE(SUBSTITUTE(MID($A531,L531+L$2+1,M531-L531-L$2-1),",","."))</f>
        <v>0</v>
      </c>
      <c r="AF531" s="3">
        <f>VALUE(SUBSTITUTE(MID($A531,M531+M$2+1,N531-M531-M$2-1),",","."))</f>
        <v>0</v>
      </c>
      <c r="AG531" s="3">
        <f>VALUE(SUBSTITUTE(MID($A531,N531+N$2+1,O531-N531-N$2-1),",","."))</f>
        <v>4.2185192455855303</v>
      </c>
      <c r="AH531" t="str">
        <f>MID($A531,O531+O$2+1,P531-O531-O$2-1)</f>
        <v/>
      </c>
      <c r="AI531" s="8" t="str">
        <f>MID($A531,P531+P$2+1,Q531-P531-P$2-1)</f>
        <v>False</v>
      </c>
      <c r="AK531" t="b">
        <f t="shared" si="75"/>
        <v>0</v>
      </c>
    </row>
    <row r="532" spans="1:37" x14ac:dyDescent="0.35">
      <c r="A532" t="s">
        <v>5079</v>
      </c>
      <c r="B532">
        <f t="shared" si="77"/>
        <v>10</v>
      </c>
      <c r="C532">
        <f t="shared" si="77"/>
        <v>43</v>
      </c>
      <c r="D532">
        <f t="shared" si="77"/>
        <v>54</v>
      </c>
      <c r="E532">
        <f t="shared" si="76"/>
        <v>80</v>
      </c>
      <c r="F532">
        <f t="shared" si="76"/>
        <v>124</v>
      </c>
      <c r="G532">
        <f t="shared" si="76"/>
        <v>145</v>
      </c>
      <c r="H532">
        <f t="shared" si="69"/>
        <v>177</v>
      </c>
      <c r="I532">
        <f t="shared" si="69"/>
        <v>199</v>
      </c>
      <c r="J532">
        <f t="shared" si="69"/>
        <v>232</v>
      </c>
      <c r="K532">
        <f t="shared" si="69"/>
        <v>252</v>
      </c>
      <c r="L532">
        <f t="shared" si="69"/>
        <v>269</v>
      </c>
      <c r="M532">
        <f t="shared" si="73"/>
        <v>284</v>
      </c>
      <c r="N532">
        <f t="shared" si="73"/>
        <v>296</v>
      </c>
      <c r="O532">
        <f t="shared" si="73"/>
        <v>321</v>
      </c>
      <c r="P532">
        <f t="shared" si="73"/>
        <v>339</v>
      </c>
      <c r="Q532">
        <f t="shared" si="73"/>
        <v>365</v>
      </c>
      <c r="S532" t="str">
        <f t="shared" si="71"/>
        <v>02.12.2025</v>
      </c>
      <c r="T532" t="str">
        <f t="shared" si="72"/>
        <v>07:30:00</v>
      </c>
      <c r="U532" t="str">
        <f t="shared" si="74"/>
        <v>02.12.2025 07:30:00</v>
      </c>
      <c r="V532" s="9" t="str">
        <f>MID($A532,C532+C$2+1,D532-C532-C$2-1)</f>
        <v>0</v>
      </c>
      <c r="W532" s="4">
        <f>VALUE(SUBSTITUTE(MID($A532,D532+D$2+1,E532-D532-D$2-1),",","."))</f>
        <v>0</v>
      </c>
      <c r="X532" s="4">
        <f>VALUE(SUBSTITUTE(MID($A532,E532+E$2+1,F532-E532-E$2-1),",","."))</f>
        <v>0.90957602214449496</v>
      </c>
      <c r="Y532" s="4">
        <f>VALUE(SUBSTITUTE(MID($A532,F532+F$2+1,G532-F532-F$2-1),",","."))</f>
        <v>0</v>
      </c>
      <c r="Z532" s="3">
        <f>VALUE(SUBSTITUTE(MID($A532,G532+G$2+1,H532-G532-G$2-1),",","."))</f>
        <v>0</v>
      </c>
      <c r="AA532" s="3">
        <f>VALUE(SUBSTITUTE(MID($A532,H532+H$2+1,I532-H532-H$2-1),",","."))</f>
        <v>0</v>
      </c>
      <c r="AB532" s="3">
        <f>VALUE(SUBSTITUTE(MID($A532,I532+I$2+1,J532-I532-I$2-1),",","."))</f>
        <v>0</v>
      </c>
      <c r="AC532" s="3">
        <f>VALUE(SUBSTITUTE(MID($A532,J532+J$2+1,K532-J532-J$2-1),",","."))</f>
        <v>-0.9</v>
      </c>
      <c r="AD532" s="3">
        <f>VALUE(SUBSTITUTE(MID($A532,K532+K$2+1,L532-K532-K$2-1),",","."))</f>
        <v>9.9</v>
      </c>
      <c r="AE532" s="3">
        <f>VALUE(SUBSTITUTE(MID($A532,L532+L$2+1,M532-L532-L$2-1),",","."))</f>
        <v>0</v>
      </c>
      <c r="AF532" s="3">
        <f>VALUE(SUBSTITUTE(MID($A532,M532+M$2+1,N532-M532-M$2-1),",","."))</f>
        <v>0</v>
      </c>
      <c r="AG532" s="3">
        <f>VALUE(SUBSTITUTE(MID($A532,N532+N$2+1,O532-N532-N$2-1),",","."))</f>
        <v>4.2185477654736099</v>
      </c>
      <c r="AH532" t="str">
        <f>MID($A532,O532+O$2+1,P532-O532-O$2-1)</f>
        <v/>
      </c>
      <c r="AI532" s="8" t="str">
        <f>MID($A532,P532+P$2+1,Q532-P532-P$2-1)</f>
        <v>False</v>
      </c>
      <c r="AK532" t="b">
        <f t="shared" si="75"/>
        <v>0</v>
      </c>
    </row>
    <row r="533" spans="1:37" x14ac:dyDescent="0.35">
      <c r="A533" t="s">
        <v>5080</v>
      </c>
      <c r="B533">
        <f t="shared" si="77"/>
        <v>10</v>
      </c>
      <c r="C533">
        <f t="shared" si="77"/>
        <v>43</v>
      </c>
      <c r="D533">
        <f t="shared" si="77"/>
        <v>54</v>
      </c>
      <c r="E533">
        <f t="shared" si="76"/>
        <v>80</v>
      </c>
      <c r="F533">
        <f t="shared" si="76"/>
        <v>124</v>
      </c>
      <c r="G533">
        <f t="shared" si="76"/>
        <v>145</v>
      </c>
      <c r="H533">
        <f t="shared" si="69"/>
        <v>177</v>
      </c>
      <c r="I533">
        <f t="shared" si="69"/>
        <v>199</v>
      </c>
      <c r="J533">
        <f t="shared" si="69"/>
        <v>232</v>
      </c>
      <c r="K533">
        <f t="shared" si="69"/>
        <v>252</v>
      </c>
      <c r="L533">
        <f t="shared" si="69"/>
        <v>269</v>
      </c>
      <c r="M533">
        <f t="shared" si="73"/>
        <v>284</v>
      </c>
      <c r="N533">
        <f t="shared" si="73"/>
        <v>296</v>
      </c>
      <c r="O533">
        <f t="shared" si="73"/>
        <v>321</v>
      </c>
      <c r="P533">
        <f t="shared" si="73"/>
        <v>339</v>
      </c>
      <c r="Q533">
        <f t="shared" si="73"/>
        <v>365</v>
      </c>
      <c r="S533" t="str">
        <f t="shared" si="71"/>
        <v>02.12.2025</v>
      </c>
      <c r="T533" t="str">
        <f t="shared" si="72"/>
        <v>07:45:00</v>
      </c>
      <c r="U533" t="str">
        <f t="shared" si="74"/>
        <v>02.12.2025 07:45:00</v>
      </c>
      <c r="V533" s="9" t="str">
        <f>MID($A533,C533+C$2+1,D533-C533-C$2-1)</f>
        <v>0</v>
      </c>
      <c r="W533" s="4">
        <f>VALUE(SUBSTITUTE(MID($A533,D533+D$2+1,E533-D533-D$2-1),",","."))</f>
        <v>0</v>
      </c>
      <c r="X533" s="4">
        <f>VALUE(SUBSTITUTE(MID($A533,E533+E$2+1,F533-E533-E$2-1),",","."))</f>
        <v>0.90957602214449496</v>
      </c>
      <c r="Y533" s="4">
        <f>VALUE(SUBSTITUTE(MID($A533,F533+F$2+1,G533-F533-F$2-1),",","."))</f>
        <v>0</v>
      </c>
      <c r="Z533" s="3">
        <f>VALUE(SUBSTITUTE(MID($A533,G533+G$2+1,H533-G533-G$2-1),",","."))</f>
        <v>0</v>
      </c>
      <c r="AA533" s="3">
        <f>VALUE(SUBSTITUTE(MID($A533,H533+H$2+1,I533-H533-H$2-1),",","."))</f>
        <v>0</v>
      </c>
      <c r="AB533" s="3">
        <f>VALUE(SUBSTITUTE(MID($A533,I533+I$2+1,J533-I533-I$2-1),",","."))</f>
        <v>0</v>
      </c>
      <c r="AC533" s="3">
        <f>VALUE(SUBSTITUTE(MID($A533,J533+J$2+1,K533-J533-J$2-1),",","."))</f>
        <v>-0.9</v>
      </c>
      <c r="AD533" s="3">
        <f>VALUE(SUBSTITUTE(MID($A533,K533+K$2+1,L533-K533-K$2-1),",","."))</f>
        <v>9.9</v>
      </c>
      <c r="AE533" s="3">
        <f>VALUE(SUBSTITUTE(MID($A533,L533+L$2+1,M533-L533-L$2-1),",","."))</f>
        <v>0</v>
      </c>
      <c r="AF533" s="3">
        <f>VALUE(SUBSTITUTE(MID($A533,M533+M$2+1,N533-M533-M$2-1),",","."))</f>
        <v>0</v>
      </c>
      <c r="AG533" s="3">
        <f>VALUE(SUBSTITUTE(MID($A533,N533+N$2+1,O533-N533-N$2-1),",","."))</f>
        <v>4.2185762853616904</v>
      </c>
      <c r="AH533" t="str">
        <f>MID($A533,O533+O$2+1,P533-O533-O$2-1)</f>
        <v/>
      </c>
      <c r="AI533" s="8" t="str">
        <f>MID($A533,P533+P$2+1,Q533-P533-P$2-1)</f>
        <v>False</v>
      </c>
      <c r="AK533" t="b">
        <f t="shared" si="75"/>
        <v>0</v>
      </c>
    </row>
    <row r="534" spans="1:37" x14ac:dyDescent="0.35">
      <c r="A534" t="s">
        <v>5081</v>
      </c>
      <c r="B534">
        <f t="shared" si="77"/>
        <v>10</v>
      </c>
      <c r="C534">
        <f t="shared" si="77"/>
        <v>43</v>
      </c>
      <c r="D534">
        <f t="shared" si="77"/>
        <v>54</v>
      </c>
      <c r="E534">
        <f t="shared" si="76"/>
        <v>80</v>
      </c>
      <c r="F534">
        <f t="shared" si="76"/>
        <v>124</v>
      </c>
      <c r="G534">
        <f t="shared" si="76"/>
        <v>164</v>
      </c>
      <c r="H534">
        <f t="shared" si="69"/>
        <v>196</v>
      </c>
      <c r="I534">
        <f t="shared" si="69"/>
        <v>218</v>
      </c>
      <c r="J534">
        <f t="shared" si="69"/>
        <v>251</v>
      </c>
      <c r="K534">
        <f t="shared" si="69"/>
        <v>271</v>
      </c>
      <c r="L534">
        <f t="shared" si="69"/>
        <v>288</v>
      </c>
      <c r="M534">
        <f t="shared" si="73"/>
        <v>303</v>
      </c>
      <c r="N534">
        <f t="shared" si="73"/>
        <v>315</v>
      </c>
      <c r="O534">
        <f t="shared" si="73"/>
        <v>340</v>
      </c>
      <c r="P534">
        <f t="shared" si="73"/>
        <v>358</v>
      </c>
      <c r="Q534">
        <f t="shared" si="73"/>
        <v>384</v>
      </c>
      <c r="S534" t="str">
        <f t="shared" si="71"/>
        <v>02.12.2025</v>
      </c>
      <c r="T534" t="str">
        <f t="shared" si="72"/>
        <v>08:00:00</v>
      </c>
      <c r="U534" t="str">
        <f t="shared" si="74"/>
        <v>02.12.2025 08:00:00</v>
      </c>
      <c r="V534" s="9" t="str">
        <f>MID($A534,C534+C$2+1,D534-C534-C$2-1)</f>
        <v>0</v>
      </c>
      <c r="W534" s="4">
        <f>VALUE(SUBSTITUTE(MID($A534,D534+D$2+1,E534-D534-D$2-1),",","."))</f>
        <v>0</v>
      </c>
      <c r="X534" s="4">
        <f>VALUE(SUBSTITUTE(MID($A534,E534+E$2+1,F534-E534-E$2-1),",","."))</f>
        <v>0.90957602214449496</v>
      </c>
      <c r="Y534" s="4">
        <f>VALUE(SUBSTITUTE(MID($A534,F534+F$2+1,G534-F534-F$2-1),",","."))</f>
        <v>2.84080109793504E-2</v>
      </c>
      <c r="Z534" s="3">
        <f>VALUE(SUBSTITUTE(MID($A534,G534+G$2+1,H534-G534-G$2-1),",","."))</f>
        <v>0</v>
      </c>
      <c r="AA534" s="3">
        <f>VALUE(SUBSTITUTE(MID($A534,H534+H$2+1,I534-H534-H$2-1),",","."))</f>
        <v>0</v>
      </c>
      <c r="AB534" s="3">
        <f>VALUE(SUBSTITUTE(MID($A534,I534+I$2+1,J534-I534-I$2-1),",","."))</f>
        <v>0</v>
      </c>
      <c r="AC534" s="3">
        <f>VALUE(SUBSTITUTE(MID($A534,J534+J$2+1,K534-J534-J$2-1),",","."))</f>
        <v>-0.9</v>
      </c>
      <c r="AD534" s="3">
        <f>VALUE(SUBSTITUTE(MID($A534,K534+K$2+1,L534-K534-K$2-1),",","."))</f>
        <v>9.9</v>
      </c>
      <c r="AE534" s="3">
        <f>VALUE(SUBSTITUTE(MID($A534,L534+L$2+1,M534-L534-L$2-1),",","."))</f>
        <v>0</v>
      </c>
      <c r="AF534" s="3">
        <f>VALUE(SUBSTITUTE(MID($A534,M534+M$2+1,N534-M534-M$2-1),",","."))</f>
        <v>0</v>
      </c>
      <c r="AG534" s="3">
        <f>VALUE(SUBSTITUTE(MID($A534,N534+N$2+1,O534-N534-N$2-1),",","."))</f>
        <v>4.21860480524977</v>
      </c>
      <c r="AH534" t="str">
        <f>MID($A534,O534+O$2+1,P534-O534-O$2-1)</f>
        <v/>
      </c>
      <c r="AI534" s="8" t="str">
        <f>MID($A534,P534+P$2+1,Q534-P534-P$2-1)</f>
        <v>False</v>
      </c>
      <c r="AK534" t="b">
        <f t="shared" si="75"/>
        <v>0</v>
      </c>
    </row>
    <row r="535" spans="1:37" x14ac:dyDescent="0.35">
      <c r="A535" t="s">
        <v>5082</v>
      </c>
      <c r="B535">
        <f t="shared" si="77"/>
        <v>10</v>
      </c>
      <c r="C535">
        <f t="shared" si="77"/>
        <v>43</v>
      </c>
      <c r="D535">
        <f t="shared" si="77"/>
        <v>54</v>
      </c>
      <c r="E535">
        <f t="shared" si="76"/>
        <v>97</v>
      </c>
      <c r="F535">
        <f t="shared" si="76"/>
        <v>141</v>
      </c>
      <c r="G535">
        <f t="shared" si="76"/>
        <v>180</v>
      </c>
      <c r="H535">
        <f t="shared" si="69"/>
        <v>212</v>
      </c>
      <c r="I535">
        <f t="shared" si="69"/>
        <v>234</v>
      </c>
      <c r="J535">
        <f t="shared" si="69"/>
        <v>267</v>
      </c>
      <c r="K535">
        <f t="shared" si="69"/>
        <v>287</v>
      </c>
      <c r="L535">
        <f t="shared" si="69"/>
        <v>304</v>
      </c>
      <c r="M535">
        <f t="shared" si="73"/>
        <v>319</v>
      </c>
      <c r="N535">
        <f t="shared" si="73"/>
        <v>331</v>
      </c>
      <c r="O535">
        <f t="shared" si="73"/>
        <v>356</v>
      </c>
      <c r="P535">
        <f t="shared" si="73"/>
        <v>374</v>
      </c>
      <c r="Q535">
        <f t="shared" si="73"/>
        <v>400</v>
      </c>
      <c r="S535" t="str">
        <f t="shared" si="71"/>
        <v>02.12.2025</v>
      </c>
      <c r="T535" t="str">
        <f t="shared" si="72"/>
        <v>08:15:00</v>
      </c>
      <c r="U535" t="str">
        <f t="shared" si="74"/>
        <v>02.12.2025 08:15:00</v>
      </c>
      <c r="V535" s="9" t="str">
        <f>MID($A535,C535+C$2+1,D535-C535-C$2-1)</f>
        <v>0</v>
      </c>
      <c r="W535" s="4">
        <f>VALUE(SUBSTITUTE(MID($A535,D535+D$2+1,E535-D535-D$2-1),",","."))</f>
        <v>0.54379316827860702</v>
      </c>
      <c r="X535" s="4">
        <f>VALUE(SUBSTITUTE(MID($A535,E535+E$2+1,F535-E535-E$2-1),",","."))</f>
        <v>0.90957602214449496</v>
      </c>
      <c r="Y535" s="4">
        <f>VALUE(SUBSTITUTE(MID($A535,F535+F$2+1,G535-F535-F$2-1),",","."))</f>
        <v>6.1787840808009503E-2</v>
      </c>
      <c r="Z535" s="3">
        <f>VALUE(SUBSTITUTE(MID($A535,G535+G$2+1,H535-G535-G$2-1),",","."))</f>
        <v>0</v>
      </c>
      <c r="AA535" s="3">
        <f>VALUE(SUBSTITUTE(MID($A535,H535+H$2+1,I535-H535-H$2-1),",","."))</f>
        <v>0</v>
      </c>
      <c r="AB535" s="3">
        <f>VALUE(SUBSTITUTE(MID($A535,I535+I$2+1,J535-I535-I$2-1),",","."))</f>
        <v>0</v>
      </c>
      <c r="AC535" s="3">
        <f>VALUE(SUBSTITUTE(MID($A535,J535+J$2+1,K535-J535-J$2-1),",","."))</f>
        <v>-0.9</v>
      </c>
      <c r="AD535" s="3">
        <f>VALUE(SUBSTITUTE(MID($A535,K535+K$2+1,L535-K535-K$2-1),",","."))</f>
        <v>9.9</v>
      </c>
      <c r="AE535" s="3">
        <f>VALUE(SUBSTITUTE(MID($A535,L535+L$2+1,M535-L535-L$2-1),",","."))</f>
        <v>0</v>
      </c>
      <c r="AF535" s="3">
        <f>VALUE(SUBSTITUTE(MID($A535,M535+M$2+1,N535-M535-M$2-1),",","."))</f>
        <v>0</v>
      </c>
      <c r="AG535" s="3">
        <f>VALUE(SUBSTITUTE(MID($A535,N535+N$2+1,O535-N535-N$2-1),",","."))</f>
        <v>4.2186333251378496</v>
      </c>
      <c r="AH535" t="str">
        <f>MID($A535,O535+O$2+1,P535-O535-O$2-1)</f>
        <v/>
      </c>
      <c r="AI535" s="8" t="str">
        <f>MID($A535,P535+P$2+1,Q535-P535-P$2-1)</f>
        <v>False</v>
      </c>
      <c r="AK535" t="b">
        <f t="shared" si="75"/>
        <v>0</v>
      </c>
    </row>
    <row r="536" spans="1:37" x14ac:dyDescent="0.35">
      <c r="A536" t="s">
        <v>5083</v>
      </c>
      <c r="B536">
        <f t="shared" si="77"/>
        <v>10</v>
      </c>
      <c r="C536">
        <f t="shared" si="77"/>
        <v>43</v>
      </c>
      <c r="D536">
        <f t="shared" si="77"/>
        <v>54</v>
      </c>
      <c r="E536">
        <f t="shared" si="76"/>
        <v>97</v>
      </c>
      <c r="F536">
        <f t="shared" si="76"/>
        <v>141</v>
      </c>
      <c r="G536">
        <f t="shared" si="76"/>
        <v>180</v>
      </c>
      <c r="H536">
        <f t="shared" si="69"/>
        <v>229</v>
      </c>
      <c r="I536">
        <f t="shared" si="69"/>
        <v>251</v>
      </c>
      <c r="J536">
        <f t="shared" si="69"/>
        <v>285</v>
      </c>
      <c r="K536">
        <f t="shared" si="69"/>
        <v>306</v>
      </c>
      <c r="L536">
        <f t="shared" si="69"/>
        <v>323</v>
      </c>
      <c r="M536">
        <f t="shared" si="73"/>
        <v>338</v>
      </c>
      <c r="N536">
        <f t="shared" si="73"/>
        <v>350</v>
      </c>
      <c r="O536">
        <f t="shared" si="73"/>
        <v>374</v>
      </c>
      <c r="P536">
        <f t="shared" si="73"/>
        <v>392</v>
      </c>
      <c r="Q536">
        <f t="shared" si="73"/>
        <v>418</v>
      </c>
      <c r="S536" t="str">
        <f t="shared" si="71"/>
        <v>02.12.2025</v>
      </c>
      <c r="T536" t="str">
        <f t="shared" si="72"/>
        <v>08:30:00</v>
      </c>
      <c r="U536" t="str">
        <f t="shared" si="74"/>
        <v>02.12.2025 08:30:00</v>
      </c>
      <c r="V536" s="9" t="str">
        <f>MID($A536,C536+C$2+1,D536-C536-C$2-1)</f>
        <v>0</v>
      </c>
      <c r="W536" s="4">
        <f>VALUE(SUBSTITUTE(MID($A536,D536+D$2+1,E536-D536-D$2-1),",","."))</f>
        <v>0.58352637007986496</v>
      </c>
      <c r="X536" s="4">
        <f>VALUE(SUBSTITUTE(MID($A536,E536+E$2+1,F536-E536-E$2-1),",","."))</f>
        <v>0.90957602214449496</v>
      </c>
      <c r="Y536" s="4">
        <f>VALUE(SUBSTITUTE(MID($A536,F536+F$2+1,G536-F536-F$2-1),",","."))</f>
        <v>9.4833037003774198E-2</v>
      </c>
      <c r="Z536" s="3">
        <f>VALUE(SUBSTITUTE(MID($A536,G536+G$2+1,H536-G536-G$2-1),",","."))</f>
        <v>1.5333333333333301</v>
      </c>
      <c r="AA536" s="3">
        <f>VALUE(SUBSTITUTE(MID($A536,H536+H$2+1,I536-H536-H$2-1),",","."))</f>
        <v>0</v>
      </c>
      <c r="AB536" s="3">
        <f>VALUE(SUBSTITUTE(MID($A536,I536+I$2+1,J536-I536-I$2-1),",","."))</f>
        <v>13</v>
      </c>
      <c r="AC536" s="3">
        <f>VALUE(SUBSTITUTE(MID($A536,J536+J$2+1,K536-J536-J$2-1),",","."))</f>
        <v>-0.35</v>
      </c>
      <c r="AD536" s="3">
        <f>VALUE(SUBSTITUTE(MID($A536,K536+K$2+1,L536-K536-K$2-1),",","."))</f>
        <v>9.9</v>
      </c>
      <c r="AE536" s="3">
        <f>VALUE(SUBSTITUTE(MID($A536,L536+L$2+1,M536-L536-L$2-1),",","."))</f>
        <v>0</v>
      </c>
      <c r="AF536" s="3">
        <f>VALUE(SUBSTITUTE(MID($A536,M536+M$2+1,N536-M536-M$2-1),",","."))</f>
        <v>0</v>
      </c>
      <c r="AG536" s="3">
        <f>VALUE(SUBSTITUTE(MID($A536,N536+N$2+1,O536-N536-N$2-1),",","."))</f>
        <v>4.2186618450259399</v>
      </c>
      <c r="AH536" t="str">
        <f>MID($A536,O536+O$2+1,P536-O536-O$2-1)</f>
        <v/>
      </c>
      <c r="AI536" s="8" t="str">
        <f>MID($A536,P536+P$2+1,Q536-P536-P$2-1)</f>
        <v>False</v>
      </c>
      <c r="AK536" t="b">
        <f t="shared" si="75"/>
        <v>1</v>
      </c>
    </row>
    <row r="537" spans="1:37" x14ac:dyDescent="0.35">
      <c r="A537" t="s">
        <v>5084</v>
      </c>
      <c r="B537">
        <f t="shared" si="77"/>
        <v>10</v>
      </c>
      <c r="C537">
        <f t="shared" si="77"/>
        <v>43</v>
      </c>
      <c r="D537">
        <f t="shared" si="77"/>
        <v>54</v>
      </c>
      <c r="E537">
        <f t="shared" si="76"/>
        <v>96</v>
      </c>
      <c r="F537">
        <f t="shared" si="76"/>
        <v>140</v>
      </c>
      <c r="G537">
        <f t="shared" si="76"/>
        <v>179</v>
      </c>
      <c r="H537">
        <f t="shared" si="69"/>
        <v>228</v>
      </c>
      <c r="I537">
        <f t="shared" si="69"/>
        <v>250</v>
      </c>
      <c r="J537">
        <f t="shared" si="69"/>
        <v>284</v>
      </c>
      <c r="K537">
        <f t="shared" si="69"/>
        <v>305</v>
      </c>
      <c r="L537">
        <f t="shared" si="69"/>
        <v>322</v>
      </c>
      <c r="M537">
        <f t="shared" si="73"/>
        <v>337</v>
      </c>
      <c r="N537">
        <f t="shared" si="73"/>
        <v>349</v>
      </c>
      <c r="O537">
        <f t="shared" si="73"/>
        <v>374</v>
      </c>
      <c r="P537">
        <f t="shared" si="73"/>
        <v>392</v>
      </c>
      <c r="Q537">
        <f t="shared" si="73"/>
        <v>418</v>
      </c>
      <c r="S537" t="str">
        <f t="shared" si="71"/>
        <v>02.12.2025</v>
      </c>
      <c r="T537" t="str">
        <f t="shared" si="72"/>
        <v>08:45:00</v>
      </c>
      <c r="U537" t="str">
        <f t="shared" si="74"/>
        <v>02.12.2025 08:45:00</v>
      </c>
      <c r="V537" s="9" t="str">
        <f>MID($A537,C537+C$2+1,D537-C537-C$2-1)</f>
        <v>0</v>
      </c>
      <c r="W537" s="4">
        <f>VALUE(SUBSTITUTE(MID($A537,D537+D$2+1,E537-D537-D$2-1),",","."))</f>
        <v>0.62075753830200198</v>
      </c>
      <c r="X537" s="4">
        <f>VALUE(SUBSTITUTE(MID($A537,E537+E$2+1,F537-E537-E$2-1),",","."))</f>
        <v>0.90957602214449496</v>
      </c>
      <c r="Y537" s="4">
        <f>VALUE(SUBSTITUTE(MID($A537,F537+F$2+1,G537-F537-F$2-1),",","."))</f>
        <v>0.12675019594859799</v>
      </c>
      <c r="Z537" s="3">
        <f>VALUE(SUBSTITUTE(MID($A537,G537+G$2+1,H537-G537-G$2-1),",","."))</f>
        <v>1.5333333333333301</v>
      </c>
      <c r="AA537" s="3">
        <f>VALUE(SUBSTITUTE(MID($A537,H537+H$2+1,I537-H537-H$2-1),",","."))</f>
        <v>0</v>
      </c>
      <c r="AB537" s="3">
        <f>VALUE(SUBSTITUTE(MID($A537,I537+I$2+1,J537-I537-I$2-1),",","."))</f>
        <v>13</v>
      </c>
      <c r="AC537" s="3">
        <f>VALUE(SUBSTITUTE(MID($A537,J537+J$2+1,K537-J537-J$2-1),",","."))</f>
        <v>-0.35</v>
      </c>
      <c r="AD537" s="3">
        <f>VALUE(SUBSTITUTE(MID($A537,K537+K$2+1,L537-K537-K$2-1),",","."))</f>
        <v>9.9</v>
      </c>
      <c r="AE537" s="3">
        <f>VALUE(SUBSTITUTE(MID($A537,L537+L$2+1,M537-L537-L$2-1),",","."))</f>
        <v>0</v>
      </c>
      <c r="AF537" s="3">
        <f>VALUE(SUBSTITUTE(MID($A537,M537+M$2+1,N537-M537-M$2-1),",","."))</f>
        <v>0</v>
      </c>
      <c r="AG537" s="3">
        <f>VALUE(SUBSTITUTE(MID($A537,N537+N$2+1,O537-N537-N$2-1),",","."))</f>
        <v>4.2186903649140204</v>
      </c>
      <c r="AH537" t="str">
        <f>MID($A537,O537+O$2+1,P537-O537-O$2-1)</f>
        <v/>
      </c>
      <c r="AI537" s="8" t="str">
        <f>MID($A537,P537+P$2+1,Q537-P537-P$2-1)</f>
        <v>False</v>
      </c>
      <c r="AK537" t="b">
        <f t="shared" si="75"/>
        <v>1</v>
      </c>
    </row>
    <row r="538" spans="1:37" x14ac:dyDescent="0.35">
      <c r="A538" t="s">
        <v>5085</v>
      </c>
      <c r="B538">
        <f t="shared" si="77"/>
        <v>10</v>
      </c>
      <c r="C538">
        <f t="shared" si="77"/>
        <v>43</v>
      </c>
      <c r="D538">
        <f t="shared" si="77"/>
        <v>54</v>
      </c>
      <c r="E538">
        <f t="shared" si="76"/>
        <v>97</v>
      </c>
      <c r="F538">
        <f t="shared" si="76"/>
        <v>141</v>
      </c>
      <c r="G538">
        <f t="shared" si="76"/>
        <v>180</v>
      </c>
      <c r="H538">
        <f t="shared" si="69"/>
        <v>229</v>
      </c>
      <c r="I538">
        <f t="shared" si="69"/>
        <v>251</v>
      </c>
      <c r="J538">
        <f t="shared" si="69"/>
        <v>285</v>
      </c>
      <c r="K538">
        <f t="shared" si="69"/>
        <v>306</v>
      </c>
      <c r="L538">
        <f t="shared" si="69"/>
        <v>323</v>
      </c>
      <c r="M538">
        <f t="shared" si="73"/>
        <v>338</v>
      </c>
      <c r="N538">
        <f t="shared" si="73"/>
        <v>350</v>
      </c>
      <c r="O538">
        <f t="shared" si="73"/>
        <v>375</v>
      </c>
      <c r="P538">
        <f t="shared" si="73"/>
        <v>393</v>
      </c>
      <c r="Q538">
        <f t="shared" si="73"/>
        <v>419</v>
      </c>
      <c r="S538" t="str">
        <f t="shared" si="71"/>
        <v>02.12.2025</v>
      </c>
      <c r="T538" t="str">
        <f t="shared" si="72"/>
        <v>09:00:00</v>
      </c>
      <c r="U538" t="str">
        <f t="shared" si="74"/>
        <v>02.12.2025 09:00:00</v>
      </c>
      <c r="V538" s="9" t="str">
        <f>MID($A538,C538+C$2+1,D538-C538-C$2-1)</f>
        <v>0</v>
      </c>
      <c r="W538" s="4">
        <f>VALUE(SUBSTITUTE(MID($A538,D538+D$2+1,E538-D538-D$2-1),",","."))</f>
        <v>0.65513225495937299</v>
      </c>
      <c r="X538" s="4">
        <f>VALUE(SUBSTITUTE(MID($A538,E538+E$2+1,F538-E538-E$2-1),",","."))</f>
        <v>0.90957602214449496</v>
      </c>
      <c r="Y538" s="4">
        <f>VALUE(SUBSTITUTE(MID($A538,F538+F$2+1,G538-F538-F$2-1),",","."))</f>
        <v>0.15716950401475999</v>
      </c>
      <c r="Z538" s="3">
        <f>VALUE(SUBSTITUTE(MID($A538,G538+G$2+1,H538-G538-G$2-1),",","."))</f>
        <v>1.5333333333333301</v>
      </c>
      <c r="AA538" s="3">
        <f>VALUE(SUBSTITUTE(MID($A538,H538+H$2+1,I538-H538-H$2-1),",","."))</f>
        <v>0</v>
      </c>
      <c r="AB538" s="3">
        <f>VALUE(SUBSTITUTE(MID($A538,I538+I$2+1,J538-I538-I$2-1),",","."))</f>
        <v>13</v>
      </c>
      <c r="AC538" s="3">
        <f>VALUE(SUBSTITUTE(MID($A538,J538+J$2+1,K538-J538-J$2-1),",","."))</f>
        <v>-0.35</v>
      </c>
      <c r="AD538" s="3">
        <f>VALUE(SUBSTITUTE(MID($A538,K538+K$2+1,L538-K538-K$2-1),",","."))</f>
        <v>9.9</v>
      </c>
      <c r="AE538" s="3">
        <f>VALUE(SUBSTITUTE(MID($A538,L538+L$2+1,M538-L538-L$2-1),",","."))</f>
        <v>0</v>
      </c>
      <c r="AF538" s="3">
        <f>VALUE(SUBSTITUTE(MID($A538,M538+M$2+1,N538-M538-M$2-1),",","."))</f>
        <v>0</v>
      </c>
      <c r="AG538" s="3">
        <f>VALUE(SUBSTITUTE(MID($A538,N538+N$2+1,O538-N538-N$2-1),",","."))</f>
        <v>4.2187188848021</v>
      </c>
      <c r="AH538" t="str">
        <f>MID($A538,O538+O$2+1,P538-O538-O$2-1)</f>
        <v/>
      </c>
      <c r="AI538" s="8" t="str">
        <f>MID($A538,P538+P$2+1,Q538-P538-P$2-1)</f>
        <v>False</v>
      </c>
      <c r="AK538" t="b">
        <f t="shared" si="75"/>
        <v>1</v>
      </c>
    </row>
    <row r="539" spans="1:37" x14ac:dyDescent="0.35">
      <c r="A539" t="s">
        <v>5086</v>
      </c>
      <c r="B539">
        <f t="shared" si="77"/>
        <v>10</v>
      </c>
      <c r="C539">
        <f t="shared" si="77"/>
        <v>43</v>
      </c>
      <c r="D539">
        <f t="shared" si="77"/>
        <v>54</v>
      </c>
      <c r="E539">
        <f t="shared" si="76"/>
        <v>97</v>
      </c>
      <c r="F539">
        <f t="shared" si="76"/>
        <v>141</v>
      </c>
      <c r="G539">
        <f t="shared" si="76"/>
        <v>180</v>
      </c>
      <c r="H539">
        <f t="shared" si="69"/>
        <v>229</v>
      </c>
      <c r="I539">
        <f t="shared" si="69"/>
        <v>251</v>
      </c>
      <c r="J539">
        <f t="shared" si="69"/>
        <v>285</v>
      </c>
      <c r="K539">
        <f t="shared" si="69"/>
        <v>306</v>
      </c>
      <c r="L539">
        <f t="shared" si="69"/>
        <v>323</v>
      </c>
      <c r="M539">
        <f t="shared" si="73"/>
        <v>338</v>
      </c>
      <c r="N539">
        <f t="shared" si="73"/>
        <v>350</v>
      </c>
      <c r="O539">
        <f t="shared" si="73"/>
        <v>375</v>
      </c>
      <c r="P539">
        <f t="shared" si="73"/>
        <v>393</v>
      </c>
      <c r="Q539">
        <f t="shared" si="73"/>
        <v>419</v>
      </c>
      <c r="S539" t="str">
        <f t="shared" si="71"/>
        <v>02.12.2025</v>
      </c>
      <c r="T539" t="str">
        <f t="shared" si="72"/>
        <v>09:15:00</v>
      </c>
      <c r="U539" t="str">
        <f t="shared" si="74"/>
        <v>02.12.2025 09:15:00</v>
      </c>
      <c r="V539" s="9" t="str">
        <f>MID($A539,C539+C$2+1,D539-C539-C$2-1)</f>
        <v>0</v>
      </c>
      <c r="W539" s="4">
        <f>VALUE(SUBSTITUTE(MID($A539,D539+D$2+1,E539-D539-D$2-1),",","."))</f>
        <v>0.686421200470541</v>
      </c>
      <c r="X539" s="4">
        <f>VALUE(SUBSTITUTE(MID($A539,E539+E$2+1,F539-E539-E$2-1),",","."))</f>
        <v>0.90957602214449496</v>
      </c>
      <c r="Y539" s="4">
        <f>VALUE(SUBSTITUTE(MID($A539,F539+F$2+1,G539-F539-F$2-1),",","."))</f>
        <v>0.185862204184157</v>
      </c>
      <c r="Z539" s="3">
        <f>VALUE(SUBSTITUTE(MID($A539,G539+G$2+1,H539-G539-G$2-1),",","."))</f>
        <v>1.5333333333333301</v>
      </c>
      <c r="AA539" s="3">
        <f>VALUE(SUBSTITUTE(MID($A539,H539+H$2+1,I539-H539-H$2-1),",","."))</f>
        <v>0</v>
      </c>
      <c r="AB539" s="3">
        <f>VALUE(SUBSTITUTE(MID($A539,I539+I$2+1,J539-I539-I$2-1),",","."))</f>
        <v>13</v>
      </c>
      <c r="AC539" s="3">
        <f>VALUE(SUBSTITUTE(MID($A539,J539+J$2+1,K539-J539-J$2-1),",","."))</f>
        <v>-0.35</v>
      </c>
      <c r="AD539" s="3">
        <f>VALUE(SUBSTITUTE(MID($A539,K539+K$2+1,L539-K539-K$2-1),",","."))</f>
        <v>9.9</v>
      </c>
      <c r="AE539" s="3">
        <f>VALUE(SUBSTITUTE(MID($A539,L539+L$2+1,M539-L539-L$2-1),",","."))</f>
        <v>0</v>
      </c>
      <c r="AF539" s="3">
        <f>VALUE(SUBSTITUTE(MID($A539,M539+M$2+1,N539-M539-M$2-1),",","."))</f>
        <v>0</v>
      </c>
      <c r="AG539" s="3">
        <f>VALUE(SUBSTITUTE(MID($A539,N539+N$2+1,O539-N539-N$2-1),",","."))</f>
        <v>4.2187474046901796</v>
      </c>
      <c r="AH539" t="str">
        <f>MID($A539,O539+O$2+1,P539-O539-O$2-1)</f>
        <v/>
      </c>
      <c r="AI539" s="8" t="str">
        <f>MID($A539,P539+P$2+1,Q539-P539-P$2-1)</f>
        <v>False</v>
      </c>
      <c r="AK539" t="b">
        <f t="shared" si="75"/>
        <v>1</v>
      </c>
    </row>
    <row r="540" spans="1:37" x14ac:dyDescent="0.35">
      <c r="A540" t="s">
        <v>5087</v>
      </c>
      <c r="B540">
        <f t="shared" si="77"/>
        <v>10</v>
      </c>
      <c r="C540">
        <f t="shared" si="77"/>
        <v>43</v>
      </c>
      <c r="D540">
        <f t="shared" si="77"/>
        <v>54</v>
      </c>
      <c r="E540">
        <f t="shared" si="76"/>
        <v>97</v>
      </c>
      <c r="F540">
        <f t="shared" si="76"/>
        <v>141</v>
      </c>
      <c r="G540">
        <f t="shared" si="76"/>
        <v>179</v>
      </c>
      <c r="H540">
        <f t="shared" si="69"/>
        <v>214</v>
      </c>
      <c r="I540">
        <f t="shared" si="69"/>
        <v>236</v>
      </c>
      <c r="J540">
        <f t="shared" si="69"/>
        <v>272</v>
      </c>
      <c r="K540">
        <f t="shared" si="69"/>
        <v>291</v>
      </c>
      <c r="L540">
        <f t="shared" si="69"/>
        <v>310</v>
      </c>
      <c r="M540">
        <f t="shared" si="73"/>
        <v>325</v>
      </c>
      <c r="N540">
        <f t="shared" si="73"/>
        <v>337</v>
      </c>
      <c r="O540">
        <f t="shared" si="73"/>
        <v>363</v>
      </c>
      <c r="P540">
        <f t="shared" si="73"/>
        <v>381</v>
      </c>
      <c r="Q540">
        <f t="shared" si="73"/>
        <v>407</v>
      </c>
      <c r="S540" t="str">
        <f t="shared" si="71"/>
        <v>02.12.2025</v>
      </c>
      <c r="T540" t="str">
        <f t="shared" si="72"/>
        <v>09:30:00</v>
      </c>
      <c r="U540" t="str">
        <f t="shared" si="74"/>
        <v>02.12.2025 09:30:00</v>
      </c>
      <c r="V540" s="9" t="str">
        <f>MID($A540,C540+C$2+1,D540-C540-C$2-1)</f>
        <v>0</v>
      </c>
      <c r="W540" s="4">
        <f>VALUE(SUBSTITUTE(MID($A540,D540+D$2+1,E540-D540-D$2-1),",","."))</f>
        <v>0.71445066102659405</v>
      </c>
      <c r="X540" s="4">
        <f>VALUE(SUBSTITUTE(MID($A540,E540+E$2+1,F540-E540-E$2-1),",","."))</f>
        <v>0.90957602214449496</v>
      </c>
      <c r="Y540" s="4">
        <f>VALUE(SUBSTITUTE(MID($A540,F540+F$2+1,G540-F540-F$2-1),",","."))</f>
        <v>0.21265763815545599</v>
      </c>
      <c r="Z540" s="3">
        <f>VALUE(SUBSTITUTE(MID($A540,G540+G$2+1,H540-G540-G$2-1),",","."))</f>
        <v>3.35</v>
      </c>
      <c r="AA540" s="3">
        <f>VALUE(SUBSTITUTE(MID($A540,H540+H$2+1,I540-H540-H$2-1),",","."))</f>
        <v>0</v>
      </c>
      <c r="AB540" s="3">
        <f>VALUE(SUBSTITUTE(MID($A540,I540+I$2+1,J540-I540-I$2-1),",","."))</f>
        <v>37.5</v>
      </c>
      <c r="AC540" s="3">
        <f>VALUE(SUBSTITUTE(MID($A540,J540+J$2+1,K540-J540-J$2-1),",","."))</f>
        <v>0.2</v>
      </c>
      <c r="AD540" s="3">
        <f>VALUE(SUBSTITUTE(MID($A540,K540+K$2+1,L540-K540-K$2-1),",","."))</f>
        <v>10.08</v>
      </c>
      <c r="AE540" s="3">
        <f>VALUE(SUBSTITUTE(MID($A540,L540+L$2+1,M540-L540-L$2-1),",","."))</f>
        <v>0</v>
      </c>
      <c r="AF540" s="3">
        <f>VALUE(SUBSTITUTE(MID($A540,M540+M$2+1,N540-M540-M$2-1),",","."))</f>
        <v>0</v>
      </c>
      <c r="AG540" s="3">
        <f>VALUE(SUBSTITUTE(MID($A540,N540+N$2+1,O540-N540-N$2-1),",","."))</f>
        <v>4.2187759245782601</v>
      </c>
      <c r="AH540" t="str">
        <f>MID($A540,O540+O$2+1,P540-O540-O$2-1)</f>
        <v/>
      </c>
      <c r="AI540" s="8" t="str">
        <f>MID($A540,P540+P$2+1,Q540-P540-P$2-1)</f>
        <v>False</v>
      </c>
      <c r="AK540" t="b">
        <f t="shared" si="75"/>
        <v>1</v>
      </c>
    </row>
    <row r="541" spans="1:37" x14ac:dyDescent="0.35">
      <c r="A541" t="s">
        <v>5088</v>
      </c>
      <c r="B541">
        <f t="shared" si="77"/>
        <v>10</v>
      </c>
      <c r="C541">
        <f t="shared" si="77"/>
        <v>43</v>
      </c>
      <c r="D541">
        <f t="shared" si="77"/>
        <v>54</v>
      </c>
      <c r="E541">
        <f t="shared" si="76"/>
        <v>97</v>
      </c>
      <c r="F541">
        <f t="shared" si="76"/>
        <v>141</v>
      </c>
      <c r="G541">
        <f t="shared" si="76"/>
        <v>180</v>
      </c>
      <c r="H541">
        <f t="shared" si="69"/>
        <v>215</v>
      </c>
      <c r="I541">
        <f t="shared" si="69"/>
        <v>237</v>
      </c>
      <c r="J541">
        <f t="shared" si="69"/>
        <v>273</v>
      </c>
      <c r="K541">
        <f t="shared" si="69"/>
        <v>292</v>
      </c>
      <c r="L541">
        <f t="shared" si="69"/>
        <v>311</v>
      </c>
      <c r="M541">
        <f t="shared" si="73"/>
        <v>326</v>
      </c>
      <c r="N541">
        <f t="shared" si="73"/>
        <v>338</v>
      </c>
      <c r="O541">
        <f t="shared" si="73"/>
        <v>363</v>
      </c>
      <c r="P541">
        <f t="shared" si="73"/>
        <v>381</v>
      </c>
      <c r="Q541">
        <f t="shared" si="73"/>
        <v>407</v>
      </c>
      <c r="S541" t="str">
        <f t="shared" si="71"/>
        <v>02.12.2025</v>
      </c>
      <c r="T541" t="str">
        <f t="shared" si="72"/>
        <v>09:45:00</v>
      </c>
      <c r="U541" t="str">
        <f t="shared" si="74"/>
        <v>02.12.2025 09:45:00</v>
      </c>
      <c r="V541" s="9" t="str">
        <f>MID($A541,C541+C$2+1,D541-C541-C$2-1)</f>
        <v>0</v>
      </c>
      <c r="W541" s="4">
        <f>VALUE(SUBSTITUTE(MID($A541,D541+D$2+1,E541-D541-D$2-1),",","."))</f>
        <v>0.73907928214191398</v>
      </c>
      <c r="X541" s="4">
        <f>VALUE(SUBSTITUTE(MID($A541,E541+E$2+1,F541-E541-E$2-1),",","."))</f>
        <v>0.90957602214449496</v>
      </c>
      <c r="Y541" s="4">
        <f>VALUE(SUBSTITUTE(MID($A541,F541+F$2+1,G541-F541-F$2-1),",","."))</f>
        <v>0.237415325284805</v>
      </c>
      <c r="Z541" s="3">
        <f>VALUE(SUBSTITUTE(MID($A541,G541+G$2+1,H541-G541-G$2-1),",","."))</f>
        <v>3.35</v>
      </c>
      <c r="AA541" s="3">
        <f>VALUE(SUBSTITUTE(MID($A541,H541+H$2+1,I541-H541-H$2-1),",","."))</f>
        <v>0</v>
      </c>
      <c r="AB541" s="3">
        <f>VALUE(SUBSTITUTE(MID($A541,I541+I$2+1,J541-I541-I$2-1),",","."))</f>
        <v>37.5</v>
      </c>
      <c r="AC541" s="3">
        <f>VALUE(SUBSTITUTE(MID($A541,J541+J$2+1,K541-J541-J$2-1),",","."))</f>
        <v>0.2</v>
      </c>
      <c r="AD541" s="3">
        <f>VALUE(SUBSTITUTE(MID($A541,K541+K$2+1,L541-K541-K$2-1),",","."))</f>
        <v>10.08</v>
      </c>
      <c r="AE541" s="3">
        <f>VALUE(SUBSTITUTE(MID($A541,L541+L$2+1,M541-L541-L$2-1),",","."))</f>
        <v>0</v>
      </c>
      <c r="AF541" s="3">
        <f>VALUE(SUBSTITUTE(MID($A541,M541+M$2+1,N541-M541-M$2-1),",","."))</f>
        <v>0</v>
      </c>
      <c r="AG541" s="3">
        <f>VALUE(SUBSTITUTE(MID($A541,N541+N$2+1,O541-N541-N$2-1),",","."))</f>
        <v>4.2188044444663397</v>
      </c>
      <c r="AH541" t="str">
        <f>MID($A541,O541+O$2+1,P541-O541-O$2-1)</f>
        <v/>
      </c>
      <c r="AI541" s="8" t="str">
        <f>MID($A541,P541+P$2+1,Q541-P541-P$2-1)</f>
        <v>False</v>
      </c>
      <c r="AK541" t="b">
        <f t="shared" si="75"/>
        <v>1</v>
      </c>
    </row>
    <row r="542" spans="1:37" x14ac:dyDescent="0.35">
      <c r="A542" t="s">
        <v>5089</v>
      </c>
      <c r="B542">
        <f t="shared" si="77"/>
        <v>10</v>
      </c>
      <c r="C542">
        <f t="shared" si="77"/>
        <v>43</v>
      </c>
      <c r="D542">
        <f t="shared" si="77"/>
        <v>54</v>
      </c>
      <c r="E542">
        <f t="shared" si="76"/>
        <v>97</v>
      </c>
      <c r="F542">
        <f t="shared" si="76"/>
        <v>141</v>
      </c>
      <c r="G542">
        <f t="shared" si="76"/>
        <v>180</v>
      </c>
      <c r="H542">
        <f t="shared" si="69"/>
        <v>215</v>
      </c>
      <c r="I542">
        <f t="shared" si="69"/>
        <v>237</v>
      </c>
      <c r="J542">
        <f t="shared" si="69"/>
        <v>273</v>
      </c>
      <c r="K542">
        <f t="shared" si="69"/>
        <v>292</v>
      </c>
      <c r="L542">
        <f t="shared" si="69"/>
        <v>311</v>
      </c>
      <c r="M542">
        <f t="shared" si="73"/>
        <v>326</v>
      </c>
      <c r="N542">
        <f t="shared" si="73"/>
        <v>338</v>
      </c>
      <c r="O542">
        <f t="shared" si="73"/>
        <v>363</v>
      </c>
      <c r="P542">
        <f t="shared" si="73"/>
        <v>381</v>
      </c>
      <c r="Q542">
        <f t="shared" si="73"/>
        <v>407</v>
      </c>
      <c r="S542" t="str">
        <f t="shared" si="71"/>
        <v>02.12.2025</v>
      </c>
      <c r="T542" t="str">
        <f t="shared" si="72"/>
        <v>10:00:00</v>
      </c>
      <c r="U542" t="str">
        <f t="shared" si="74"/>
        <v>02.12.2025 10:00:00</v>
      </c>
      <c r="V542" s="9" t="str">
        <f>MID($A542,C542+C$2+1,D542-C542-C$2-1)</f>
        <v>0</v>
      </c>
      <c r="W542" s="4">
        <f>VALUE(SUBSTITUTE(MID($A542,D542+D$2+1,E542-D542-D$2-1),",","."))</f>
        <v>0.76018921755008895</v>
      </c>
      <c r="X542" s="4">
        <f>VALUE(SUBSTITUTE(MID($A542,E542+E$2+1,F542-E542-E$2-1),",","."))</f>
        <v>0.90957602214449496</v>
      </c>
      <c r="Y542" s="4">
        <f>VALUE(SUBSTITUTE(MID($A542,F542+F$2+1,G542-F542-F$2-1),",","."))</f>
        <v>0.26001424896320402</v>
      </c>
      <c r="Z542" s="3">
        <f>VALUE(SUBSTITUTE(MID($A542,G542+G$2+1,H542-G542-G$2-1),",","."))</f>
        <v>3.35</v>
      </c>
      <c r="AA542" s="3">
        <f>VALUE(SUBSTITUTE(MID($A542,H542+H$2+1,I542-H542-H$2-1),",","."))</f>
        <v>0</v>
      </c>
      <c r="AB542" s="3">
        <f>VALUE(SUBSTITUTE(MID($A542,I542+I$2+1,J542-I542-I$2-1),",","."))</f>
        <v>37.5</v>
      </c>
      <c r="AC542" s="3">
        <f>VALUE(SUBSTITUTE(MID($A542,J542+J$2+1,K542-J542-J$2-1),",","."))</f>
        <v>0.2</v>
      </c>
      <c r="AD542" s="3">
        <f>VALUE(SUBSTITUTE(MID($A542,K542+K$2+1,L542-K542-K$2-1),",","."))</f>
        <v>10.08</v>
      </c>
      <c r="AE542" s="3">
        <f>VALUE(SUBSTITUTE(MID($A542,L542+L$2+1,M542-L542-L$2-1),",","."))</f>
        <v>0</v>
      </c>
      <c r="AF542" s="3">
        <f>VALUE(SUBSTITUTE(MID($A542,M542+M$2+1,N542-M542-M$2-1),",","."))</f>
        <v>0</v>
      </c>
      <c r="AG542" s="3">
        <f>VALUE(SUBSTITUTE(MID($A542,N542+N$2+1,O542-N542-N$2-1),",","."))</f>
        <v>4.2188329643544202</v>
      </c>
      <c r="AH542" t="str">
        <f>MID($A542,O542+O$2+1,P542-O542-O$2-1)</f>
        <v/>
      </c>
      <c r="AI542" s="8" t="str">
        <f>MID($A542,P542+P$2+1,Q542-P542-P$2-1)</f>
        <v>False</v>
      </c>
      <c r="AK542" t="b">
        <f t="shared" si="75"/>
        <v>1</v>
      </c>
    </row>
    <row r="543" spans="1:37" x14ac:dyDescent="0.35">
      <c r="A543" t="s">
        <v>5090</v>
      </c>
      <c r="B543">
        <f t="shared" si="77"/>
        <v>10</v>
      </c>
      <c r="C543">
        <f t="shared" si="77"/>
        <v>43</v>
      </c>
      <c r="D543">
        <f t="shared" si="77"/>
        <v>54</v>
      </c>
      <c r="E543">
        <f t="shared" si="76"/>
        <v>97</v>
      </c>
      <c r="F543">
        <f t="shared" si="76"/>
        <v>141</v>
      </c>
      <c r="G543">
        <f t="shared" si="76"/>
        <v>179</v>
      </c>
      <c r="H543">
        <f t="shared" si="69"/>
        <v>214</v>
      </c>
      <c r="I543">
        <f t="shared" si="69"/>
        <v>236</v>
      </c>
      <c r="J543">
        <f t="shared" si="69"/>
        <v>272</v>
      </c>
      <c r="K543">
        <f t="shared" si="69"/>
        <v>291</v>
      </c>
      <c r="L543">
        <f t="shared" si="69"/>
        <v>310</v>
      </c>
      <c r="M543">
        <f t="shared" si="73"/>
        <v>325</v>
      </c>
      <c r="N543">
        <f t="shared" si="73"/>
        <v>337</v>
      </c>
      <c r="O543">
        <f t="shared" si="73"/>
        <v>363</v>
      </c>
      <c r="P543">
        <f t="shared" si="73"/>
        <v>381</v>
      </c>
      <c r="Q543">
        <f t="shared" si="73"/>
        <v>407</v>
      </c>
      <c r="S543" t="str">
        <f t="shared" si="71"/>
        <v>02.12.2025</v>
      </c>
      <c r="T543" t="str">
        <f t="shared" si="72"/>
        <v>10:15:00</v>
      </c>
      <c r="U543" t="str">
        <f t="shared" si="74"/>
        <v>02.12.2025 10:15:00</v>
      </c>
      <c r="V543" s="9" t="str">
        <f>MID($A543,C543+C$2+1,D543-C543-C$2-1)</f>
        <v>0</v>
      </c>
      <c r="W543" s="4">
        <f>VALUE(SUBSTITUTE(MID($A543,D543+D$2+1,E543-D543-D$2-1),",","."))</f>
        <v>0.77768244043410495</v>
      </c>
      <c r="X543" s="4">
        <f>VALUE(SUBSTITUTE(MID($A543,E543+E$2+1,F543-E543-E$2-1),",","."))</f>
        <v>0.90957602214449496</v>
      </c>
      <c r="Y543" s="4">
        <f>VALUE(SUBSTITUTE(MID($A543,F543+F$2+1,G543-F543-F$2-1),",","."))</f>
        <v>0.28034834995039598</v>
      </c>
      <c r="Z543" s="3">
        <f>VALUE(SUBSTITUTE(MID($A543,G543+G$2+1,H543-G543-G$2-1),",","."))</f>
        <v>3.35</v>
      </c>
      <c r="AA543" s="3">
        <f>VALUE(SUBSTITUTE(MID($A543,H543+H$2+1,I543-H543-H$2-1),",","."))</f>
        <v>0</v>
      </c>
      <c r="AB543" s="3">
        <f>VALUE(SUBSTITUTE(MID($A543,I543+I$2+1,J543-I543-I$2-1),",","."))</f>
        <v>37.5</v>
      </c>
      <c r="AC543" s="3">
        <f>VALUE(SUBSTITUTE(MID($A543,J543+J$2+1,K543-J543-J$2-1),",","."))</f>
        <v>0.2</v>
      </c>
      <c r="AD543" s="3">
        <f>VALUE(SUBSTITUTE(MID($A543,K543+K$2+1,L543-K543-K$2-1),",","."))</f>
        <v>10.08</v>
      </c>
      <c r="AE543" s="3">
        <f>VALUE(SUBSTITUTE(MID($A543,L543+L$2+1,M543-L543-L$2-1),",","."))</f>
        <v>0</v>
      </c>
      <c r="AF543" s="3">
        <f>VALUE(SUBSTITUTE(MID($A543,M543+M$2+1,N543-M543-M$2-1),",","."))</f>
        <v>0</v>
      </c>
      <c r="AG543" s="3">
        <f>VALUE(SUBSTITUTE(MID($A543,N543+N$2+1,O543-N543-N$2-1),",","."))</f>
        <v>4.2188614842425096</v>
      </c>
      <c r="AH543" t="str">
        <f>MID($A543,O543+O$2+1,P543-O543-O$2-1)</f>
        <v/>
      </c>
      <c r="AI543" s="8" t="str">
        <f>MID($A543,P543+P$2+1,Q543-P543-P$2-1)</f>
        <v>False</v>
      </c>
      <c r="AK543" t="b">
        <f t="shared" si="75"/>
        <v>1</v>
      </c>
    </row>
    <row r="544" spans="1:37" x14ac:dyDescent="0.35">
      <c r="A544" t="s">
        <v>5091</v>
      </c>
      <c r="B544">
        <f t="shared" si="77"/>
        <v>10</v>
      </c>
      <c r="C544">
        <f t="shared" si="77"/>
        <v>43</v>
      </c>
      <c r="D544">
        <f t="shared" si="77"/>
        <v>54</v>
      </c>
      <c r="E544">
        <f t="shared" si="76"/>
        <v>97</v>
      </c>
      <c r="F544">
        <f t="shared" si="76"/>
        <v>141</v>
      </c>
      <c r="G544">
        <f t="shared" si="76"/>
        <v>179</v>
      </c>
      <c r="H544">
        <f t="shared" si="69"/>
        <v>227</v>
      </c>
      <c r="I544">
        <f t="shared" si="69"/>
        <v>249</v>
      </c>
      <c r="J544">
        <f t="shared" si="69"/>
        <v>285</v>
      </c>
      <c r="K544">
        <f t="shared" si="69"/>
        <v>319</v>
      </c>
      <c r="L544">
        <f t="shared" si="69"/>
        <v>351</v>
      </c>
      <c r="M544">
        <f t="shared" si="73"/>
        <v>366</v>
      </c>
      <c r="N544">
        <f t="shared" si="73"/>
        <v>378</v>
      </c>
      <c r="O544">
        <f t="shared" si="73"/>
        <v>403</v>
      </c>
      <c r="P544">
        <f t="shared" si="73"/>
        <v>421</v>
      </c>
      <c r="Q544">
        <f t="shared" si="73"/>
        <v>447</v>
      </c>
      <c r="S544" t="str">
        <f t="shared" si="71"/>
        <v>02.12.2025</v>
      </c>
      <c r="T544" t="str">
        <f t="shared" si="72"/>
        <v>10:30:00</v>
      </c>
      <c r="U544" t="str">
        <f t="shared" si="74"/>
        <v>02.12.2025 10:30:00</v>
      </c>
      <c r="V544" s="9" t="str">
        <f>MID($A544,C544+C$2+1,D544-C544-C$2-1)</f>
        <v>0</v>
      </c>
      <c r="W544" s="4">
        <f>VALUE(SUBSTITUTE(MID($A544,D544+D$2+1,E544-D544-D$2-1),",","."))</f>
        <v>0.79147912182629099</v>
      </c>
      <c r="X544" s="4">
        <f>VALUE(SUBSTITUTE(MID($A544,E544+E$2+1,F544-E544-E$2-1),",","."))</f>
        <v>0.90957602214449496</v>
      </c>
      <c r="Y544" s="4">
        <f>VALUE(SUBSTITUTE(MID($A544,F544+F$2+1,G544-F544-F$2-1),",","."))</f>
        <v>0.29832453165815398</v>
      </c>
      <c r="Z544" s="3">
        <f>VALUE(SUBSTITUTE(MID($A544,G544+G$2+1,H544-G544-G$2-1),",","."))</f>
        <v>6.93333333333333</v>
      </c>
      <c r="AA544" s="3">
        <f>VALUE(SUBSTITUTE(MID($A544,H544+H$2+1,I544-H544-H$2-1),",","."))</f>
        <v>0</v>
      </c>
      <c r="AB544" s="3">
        <f>VALUE(SUBSTITUTE(MID($A544,I544+I$2+1,J544-I544-I$2-1),",","."))</f>
        <v>58.5</v>
      </c>
      <c r="AC544" s="3">
        <f>VALUE(SUBSTITUTE(MID($A544,J544+J$2+1,K544-J544-J$2-1),",","."))</f>
        <v>1.45</v>
      </c>
      <c r="AD544" s="3">
        <f>VALUE(SUBSTITUTE(MID($A544,K544+K$2+1,L544-K544-K$2-1),",","."))</f>
        <v>12.78</v>
      </c>
      <c r="AE544" s="3">
        <f>VALUE(SUBSTITUTE(MID($A544,L544+L$2+1,M544-L544-L$2-1),",","."))</f>
        <v>0</v>
      </c>
      <c r="AF544" s="3">
        <f>VALUE(SUBSTITUTE(MID($A544,M544+M$2+1,N544-M544-M$2-1),",","."))</f>
        <v>0</v>
      </c>
      <c r="AG544" s="3">
        <f>VALUE(SUBSTITUTE(MID($A544,N544+N$2+1,O544-N544-N$2-1),",","."))</f>
        <v>4.2188900041305901</v>
      </c>
      <c r="AH544" t="str">
        <f>MID($A544,O544+O$2+1,P544-O544-O$2-1)</f>
        <v/>
      </c>
      <c r="AI544" s="8" t="str">
        <f>MID($A544,P544+P$2+1,Q544-P544-P$2-1)</f>
        <v>False</v>
      </c>
      <c r="AK544" t="b">
        <f t="shared" si="75"/>
        <v>1</v>
      </c>
    </row>
    <row r="545" spans="1:37" x14ac:dyDescent="0.35">
      <c r="A545" t="s">
        <v>5092</v>
      </c>
      <c r="B545">
        <f t="shared" si="77"/>
        <v>10</v>
      </c>
      <c r="C545">
        <f t="shared" si="77"/>
        <v>43</v>
      </c>
      <c r="D545">
        <f t="shared" si="77"/>
        <v>54</v>
      </c>
      <c r="E545">
        <f t="shared" si="76"/>
        <v>97</v>
      </c>
      <c r="F545">
        <f t="shared" si="76"/>
        <v>141</v>
      </c>
      <c r="G545">
        <f t="shared" si="76"/>
        <v>180</v>
      </c>
      <c r="H545">
        <f t="shared" si="69"/>
        <v>228</v>
      </c>
      <c r="I545">
        <f t="shared" si="69"/>
        <v>250</v>
      </c>
      <c r="J545">
        <f t="shared" si="69"/>
        <v>286</v>
      </c>
      <c r="K545">
        <f t="shared" si="69"/>
        <v>320</v>
      </c>
      <c r="L545">
        <f t="shared" ref="L545:Q603" si="78">FIND(L$1,$A545)</f>
        <v>352</v>
      </c>
      <c r="M545">
        <f t="shared" si="73"/>
        <v>367</v>
      </c>
      <c r="N545">
        <f t="shared" si="73"/>
        <v>379</v>
      </c>
      <c r="O545">
        <f t="shared" si="73"/>
        <v>404</v>
      </c>
      <c r="P545">
        <f t="shared" si="73"/>
        <v>422</v>
      </c>
      <c r="Q545">
        <f t="shared" si="73"/>
        <v>448</v>
      </c>
      <c r="S545" t="str">
        <f t="shared" si="71"/>
        <v>02.12.2025</v>
      </c>
      <c r="T545" t="str">
        <f t="shared" si="72"/>
        <v>10:45:00</v>
      </c>
      <c r="U545" t="str">
        <f t="shared" si="74"/>
        <v>02.12.2025 10:45:00</v>
      </c>
      <c r="V545" s="9" t="str">
        <f>MID($A545,C545+C$2+1,D545-C545-C$2-1)</f>
        <v>0</v>
      </c>
      <c r="W545" s="4">
        <f>VALUE(SUBSTITUTE(MID($A545,D545+D$2+1,E545-D545-D$2-1),",","."))</f>
        <v>0.80151690208568005</v>
      </c>
      <c r="X545" s="4">
        <f>VALUE(SUBSTITUTE(MID($A545,E545+E$2+1,F545-E545-E$2-1),",","."))</f>
        <v>0.90957602214449496</v>
      </c>
      <c r="Y545" s="4">
        <f>VALUE(SUBSTITUTE(MID($A545,F545+F$2+1,G545-F545-F$2-1),",","."))</f>
        <v>0.313861773581675</v>
      </c>
      <c r="Z545" s="3">
        <f>VALUE(SUBSTITUTE(MID($A545,G545+G$2+1,H545-G545-G$2-1),",","."))</f>
        <v>6.93333333333333</v>
      </c>
      <c r="AA545" s="3">
        <f>VALUE(SUBSTITUTE(MID($A545,H545+H$2+1,I545-H545-H$2-1),",","."))</f>
        <v>0</v>
      </c>
      <c r="AB545" s="3">
        <f>VALUE(SUBSTITUTE(MID($A545,I545+I$2+1,J545-I545-I$2-1),",","."))</f>
        <v>58.5</v>
      </c>
      <c r="AC545" s="3">
        <f>VALUE(SUBSTITUTE(MID($A545,J545+J$2+1,K545-J545-J$2-1),",","."))</f>
        <v>1.45</v>
      </c>
      <c r="AD545" s="3">
        <f>VALUE(SUBSTITUTE(MID($A545,K545+K$2+1,L545-K545-K$2-1),",","."))</f>
        <v>12.78</v>
      </c>
      <c r="AE545" s="3">
        <f>VALUE(SUBSTITUTE(MID($A545,L545+L$2+1,M545-L545-L$2-1),",","."))</f>
        <v>0</v>
      </c>
      <c r="AF545" s="3">
        <f>VALUE(SUBSTITUTE(MID($A545,M545+M$2+1,N545-M545-M$2-1),",","."))</f>
        <v>0</v>
      </c>
      <c r="AG545" s="3">
        <f>VALUE(SUBSTITUTE(MID($A545,N545+N$2+1,O545-N545-N$2-1),",","."))</f>
        <v>4.2189185240186697</v>
      </c>
      <c r="AH545" t="str">
        <f>MID($A545,O545+O$2+1,P545-O545-O$2-1)</f>
        <v/>
      </c>
      <c r="AI545" s="8" t="str">
        <f>MID($A545,P545+P$2+1,Q545-P545-P$2-1)</f>
        <v>False</v>
      </c>
      <c r="AK545" t="b">
        <f t="shared" si="75"/>
        <v>1</v>
      </c>
    </row>
    <row r="546" spans="1:37" x14ac:dyDescent="0.35">
      <c r="A546" t="s">
        <v>5093</v>
      </c>
      <c r="B546">
        <f t="shared" si="77"/>
        <v>10</v>
      </c>
      <c r="C546">
        <f t="shared" si="77"/>
        <v>43</v>
      </c>
      <c r="D546">
        <f t="shared" si="77"/>
        <v>54</v>
      </c>
      <c r="E546">
        <f t="shared" si="76"/>
        <v>97</v>
      </c>
      <c r="F546">
        <f t="shared" si="76"/>
        <v>141</v>
      </c>
      <c r="G546">
        <f t="shared" si="76"/>
        <v>180</v>
      </c>
      <c r="H546">
        <f t="shared" si="76"/>
        <v>228</v>
      </c>
      <c r="I546">
        <f t="shared" si="76"/>
        <v>250</v>
      </c>
      <c r="J546">
        <f t="shared" si="76"/>
        <v>286</v>
      </c>
      <c r="K546">
        <f t="shared" si="76"/>
        <v>320</v>
      </c>
      <c r="L546">
        <f t="shared" si="78"/>
        <v>352</v>
      </c>
      <c r="M546">
        <f t="shared" si="73"/>
        <v>367</v>
      </c>
      <c r="N546">
        <f t="shared" si="73"/>
        <v>379</v>
      </c>
      <c r="O546">
        <f t="shared" si="73"/>
        <v>404</v>
      </c>
      <c r="P546">
        <f t="shared" si="73"/>
        <v>422</v>
      </c>
      <c r="Q546">
        <f t="shared" si="73"/>
        <v>448</v>
      </c>
      <c r="S546" t="str">
        <f t="shared" si="71"/>
        <v>02.12.2025</v>
      </c>
      <c r="T546" t="str">
        <f t="shared" si="72"/>
        <v>11:00:00</v>
      </c>
      <c r="U546" t="str">
        <f t="shared" si="74"/>
        <v>02.12.2025 11:00:00</v>
      </c>
      <c r="V546" s="9" t="str">
        <f>MID($A546,C546+C$2+1,D546-C546-C$2-1)</f>
        <v>0</v>
      </c>
      <c r="W546" s="4">
        <f>VALUE(SUBSTITUTE(MID($A546,D546+D$2+1,E546-D546-D$2-1),",","."))</f>
        <v>0.80775056232436804</v>
      </c>
      <c r="X546" s="4">
        <f>VALUE(SUBSTITUTE(MID($A546,E546+E$2+1,F546-E546-E$2-1),",","."))</f>
        <v>0.90957602214449496</v>
      </c>
      <c r="Y546" s="4">
        <f>VALUE(SUBSTITUTE(MID($A546,F546+F$2+1,G546-F546-F$2-1),",","."))</f>
        <v>0.32689076257303001</v>
      </c>
      <c r="Z546" s="3">
        <f>VALUE(SUBSTITUTE(MID($A546,G546+G$2+1,H546-G546-G$2-1),",","."))</f>
        <v>6.93333333333333</v>
      </c>
      <c r="AA546" s="3">
        <f>VALUE(SUBSTITUTE(MID($A546,H546+H$2+1,I546-H546-H$2-1),",","."))</f>
        <v>0</v>
      </c>
      <c r="AB546" s="3">
        <f>VALUE(SUBSTITUTE(MID($A546,I546+I$2+1,J546-I546-I$2-1),",","."))</f>
        <v>58.5</v>
      </c>
      <c r="AC546" s="3">
        <f>VALUE(SUBSTITUTE(MID($A546,J546+J$2+1,K546-J546-J$2-1),",","."))</f>
        <v>1.45</v>
      </c>
      <c r="AD546" s="3">
        <f>VALUE(SUBSTITUTE(MID($A546,K546+K$2+1,L546-K546-K$2-1),",","."))</f>
        <v>12.78</v>
      </c>
      <c r="AE546" s="3">
        <f>VALUE(SUBSTITUTE(MID($A546,L546+L$2+1,M546-L546-L$2-1),",","."))</f>
        <v>0</v>
      </c>
      <c r="AF546" s="3">
        <f>VALUE(SUBSTITUTE(MID($A546,M546+M$2+1,N546-M546-M$2-1),",","."))</f>
        <v>0</v>
      </c>
      <c r="AG546" s="3">
        <f>VALUE(SUBSTITUTE(MID($A546,N546+N$2+1,O546-N546-N$2-1),",","."))</f>
        <v>4.2189470439067502</v>
      </c>
      <c r="AH546" t="str">
        <f>MID($A546,O546+O$2+1,P546-O546-O$2-1)</f>
        <v/>
      </c>
      <c r="AI546" s="8" t="str">
        <f>MID($A546,P546+P$2+1,Q546-P546-P$2-1)</f>
        <v>False</v>
      </c>
      <c r="AK546" t="b">
        <f t="shared" si="75"/>
        <v>1</v>
      </c>
    </row>
    <row r="547" spans="1:37" x14ac:dyDescent="0.35">
      <c r="A547" t="s">
        <v>5094</v>
      </c>
      <c r="B547">
        <f t="shared" si="77"/>
        <v>10</v>
      </c>
      <c r="C547">
        <f t="shared" si="77"/>
        <v>43</v>
      </c>
      <c r="D547">
        <f t="shared" si="77"/>
        <v>54</v>
      </c>
      <c r="E547">
        <f t="shared" si="76"/>
        <v>97</v>
      </c>
      <c r="F547">
        <f t="shared" si="76"/>
        <v>141</v>
      </c>
      <c r="G547">
        <f t="shared" si="76"/>
        <v>180</v>
      </c>
      <c r="H547">
        <f t="shared" si="76"/>
        <v>228</v>
      </c>
      <c r="I547">
        <f t="shared" si="76"/>
        <v>250</v>
      </c>
      <c r="J547">
        <f t="shared" si="76"/>
        <v>286</v>
      </c>
      <c r="K547">
        <f t="shared" si="76"/>
        <v>320</v>
      </c>
      <c r="L547">
        <f t="shared" si="78"/>
        <v>352</v>
      </c>
      <c r="M547">
        <f t="shared" si="73"/>
        <v>367</v>
      </c>
      <c r="N547">
        <f t="shared" si="73"/>
        <v>379</v>
      </c>
      <c r="O547">
        <f t="shared" si="73"/>
        <v>404</v>
      </c>
      <c r="P547">
        <f t="shared" si="73"/>
        <v>422</v>
      </c>
      <c r="Q547">
        <f t="shared" si="73"/>
        <v>448</v>
      </c>
      <c r="S547" t="str">
        <f t="shared" si="71"/>
        <v>02.12.2025</v>
      </c>
      <c r="T547" t="str">
        <f t="shared" si="72"/>
        <v>11:15:00</v>
      </c>
      <c r="U547" t="str">
        <f t="shared" si="74"/>
        <v>02.12.2025 11:15:00</v>
      </c>
      <c r="V547" s="9" t="str">
        <f>MID($A547,C547+C$2+1,D547-C547-C$2-1)</f>
        <v>0</v>
      </c>
      <c r="W547" s="4">
        <f>VALUE(SUBSTITUTE(MID($A547,D547+D$2+1,E547-D547-D$2-1),",","."))</f>
        <v>0.81015187057488303</v>
      </c>
      <c r="X547" s="4">
        <f>VALUE(SUBSTITUTE(MID($A547,E547+E$2+1,F547-E547-E$2-1),",","."))</f>
        <v>0.90957602214449496</v>
      </c>
      <c r="Y547" s="4">
        <f>VALUE(SUBSTITUTE(MID($A547,F547+F$2+1,G547-F547-F$2-1),",","."))</f>
        <v>0.33735377192008897</v>
      </c>
      <c r="Z547" s="3">
        <f>VALUE(SUBSTITUTE(MID($A547,G547+G$2+1,H547-G547-G$2-1),",","."))</f>
        <v>6.93333333333333</v>
      </c>
      <c r="AA547" s="3">
        <f>VALUE(SUBSTITUTE(MID($A547,H547+H$2+1,I547-H547-H$2-1),",","."))</f>
        <v>0</v>
      </c>
      <c r="AB547" s="3">
        <f>VALUE(SUBSTITUTE(MID($A547,I547+I$2+1,J547-I547-I$2-1),",","."))</f>
        <v>58.5</v>
      </c>
      <c r="AC547" s="3">
        <f>VALUE(SUBSTITUTE(MID($A547,J547+J$2+1,K547-J547-J$2-1),",","."))</f>
        <v>1.45</v>
      </c>
      <c r="AD547" s="3">
        <f>VALUE(SUBSTITUTE(MID($A547,K547+K$2+1,L547-K547-K$2-1),",","."))</f>
        <v>12.78</v>
      </c>
      <c r="AE547" s="3">
        <f>VALUE(SUBSTITUTE(MID($A547,L547+L$2+1,M547-L547-L$2-1),",","."))</f>
        <v>0</v>
      </c>
      <c r="AF547" s="3">
        <f>VALUE(SUBSTITUTE(MID($A547,M547+M$2+1,N547-M547-M$2-1),",","."))</f>
        <v>0</v>
      </c>
      <c r="AG547" s="3">
        <f>VALUE(SUBSTITUTE(MID($A547,N547+N$2+1,O547-N547-N$2-1),",","."))</f>
        <v>4.2189755637948299</v>
      </c>
      <c r="AH547" t="str">
        <f>MID($A547,O547+O$2+1,P547-O547-O$2-1)</f>
        <v/>
      </c>
      <c r="AI547" s="8" t="str">
        <f>MID($A547,P547+P$2+1,Q547-P547-P$2-1)</f>
        <v>False</v>
      </c>
      <c r="AK547" t="b">
        <f t="shared" si="75"/>
        <v>1</v>
      </c>
    </row>
    <row r="548" spans="1:37" x14ac:dyDescent="0.35">
      <c r="A548" t="s">
        <v>5095</v>
      </c>
      <c r="B548">
        <f t="shared" si="77"/>
        <v>10</v>
      </c>
      <c r="C548">
        <f t="shared" si="77"/>
        <v>43</v>
      </c>
      <c r="D548">
        <f t="shared" si="77"/>
        <v>54</v>
      </c>
      <c r="E548">
        <f t="shared" si="76"/>
        <v>97</v>
      </c>
      <c r="F548">
        <f t="shared" si="76"/>
        <v>141</v>
      </c>
      <c r="G548">
        <f t="shared" si="76"/>
        <v>179</v>
      </c>
      <c r="H548">
        <f t="shared" si="76"/>
        <v>228</v>
      </c>
      <c r="I548">
        <f t="shared" si="76"/>
        <v>250</v>
      </c>
      <c r="J548">
        <f t="shared" si="76"/>
        <v>286</v>
      </c>
      <c r="K548">
        <f t="shared" si="76"/>
        <v>303</v>
      </c>
      <c r="L548">
        <f t="shared" si="78"/>
        <v>322</v>
      </c>
      <c r="M548">
        <f t="shared" si="73"/>
        <v>337</v>
      </c>
      <c r="N548">
        <f t="shared" si="73"/>
        <v>349</v>
      </c>
      <c r="O548">
        <f t="shared" si="73"/>
        <v>374</v>
      </c>
      <c r="P548">
        <f t="shared" si="73"/>
        <v>392</v>
      </c>
      <c r="Q548">
        <f t="shared" si="73"/>
        <v>418</v>
      </c>
      <c r="S548" t="str">
        <f t="shared" si="71"/>
        <v>02.12.2025</v>
      </c>
      <c r="T548" t="str">
        <f t="shared" si="72"/>
        <v>11:30:00</v>
      </c>
      <c r="U548" t="str">
        <f t="shared" si="74"/>
        <v>02.12.2025 11:30:00</v>
      </c>
      <c r="V548" s="9" t="str">
        <f>MID($A548,C548+C$2+1,D548-C548-C$2-1)</f>
        <v>0</v>
      </c>
      <c r="W548" s="4">
        <f>VALUE(SUBSTITUTE(MID($A548,D548+D$2+1,E548-D548-D$2-1),",","."))</f>
        <v>0.80870949296485495</v>
      </c>
      <c r="X548" s="4">
        <f>VALUE(SUBSTITUTE(MID($A548,E548+E$2+1,F548-E548-E$2-1),",","."))</f>
        <v>0.90957602214449496</v>
      </c>
      <c r="Y548" s="4">
        <f>VALUE(SUBSTITUTE(MID($A548,F548+F$2+1,G548-F548-F$2-1),",","."))</f>
        <v>0.345204656306975</v>
      </c>
      <c r="Z548" s="3">
        <f>VALUE(SUBSTITUTE(MID($A548,G548+G$2+1,H548-G548-G$2-1),",","."))</f>
        <v>10.316666666666601</v>
      </c>
      <c r="AA548" s="3">
        <f>VALUE(SUBSTITUTE(MID($A548,H548+H$2+1,I548-H548-H$2-1),",","."))</f>
        <v>0</v>
      </c>
      <c r="AB548" s="3">
        <f>VALUE(SUBSTITUTE(MID($A548,I548+I$2+1,J548-I548-I$2-1),",","."))</f>
        <v>77.5</v>
      </c>
      <c r="AC548" s="3">
        <f>VALUE(SUBSTITUTE(MID($A548,J548+J$2+1,K548-J548-J$2-1),",","."))</f>
        <v>2</v>
      </c>
      <c r="AD548" s="3">
        <f>VALUE(SUBSTITUTE(MID($A548,K548+K$2+1,L548-K548-K$2-1),",","."))</f>
        <v>13.32</v>
      </c>
      <c r="AE548" s="3">
        <f>VALUE(SUBSTITUTE(MID($A548,L548+L$2+1,M548-L548-L$2-1),",","."))</f>
        <v>0</v>
      </c>
      <c r="AF548" s="3">
        <f>VALUE(SUBSTITUTE(MID($A548,M548+M$2+1,N548-M548-M$2-1),",","."))</f>
        <v>0</v>
      </c>
      <c r="AG548" s="3">
        <f>VALUE(SUBSTITUTE(MID($A548,N548+N$2+1,O548-N548-N$2-1),",","."))</f>
        <v>4.2190040836829104</v>
      </c>
      <c r="AH548" t="str">
        <f>MID($A548,O548+O$2+1,P548-O548-O$2-1)</f>
        <v/>
      </c>
      <c r="AI548" s="8" t="str">
        <f>MID($A548,P548+P$2+1,Q548-P548-P$2-1)</f>
        <v>False</v>
      </c>
      <c r="AK548" t="b">
        <f t="shared" si="75"/>
        <v>1</v>
      </c>
    </row>
    <row r="549" spans="1:37" x14ac:dyDescent="0.35">
      <c r="A549" t="s">
        <v>5096</v>
      </c>
      <c r="B549">
        <f t="shared" si="77"/>
        <v>10</v>
      </c>
      <c r="C549">
        <f t="shared" si="77"/>
        <v>43</v>
      </c>
      <c r="D549">
        <f t="shared" si="77"/>
        <v>54</v>
      </c>
      <c r="E549">
        <f t="shared" si="76"/>
        <v>97</v>
      </c>
      <c r="F549">
        <f t="shared" si="76"/>
        <v>141</v>
      </c>
      <c r="G549">
        <f t="shared" si="76"/>
        <v>180</v>
      </c>
      <c r="H549">
        <f t="shared" si="76"/>
        <v>229</v>
      </c>
      <c r="I549">
        <f t="shared" si="76"/>
        <v>251</v>
      </c>
      <c r="J549">
        <f t="shared" si="76"/>
        <v>287</v>
      </c>
      <c r="K549">
        <f t="shared" si="76"/>
        <v>304</v>
      </c>
      <c r="L549">
        <f t="shared" si="78"/>
        <v>323</v>
      </c>
      <c r="M549">
        <f t="shared" si="73"/>
        <v>338</v>
      </c>
      <c r="N549">
        <f t="shared" si="73"/>
        <v>350</v>
      </c>
      <c r="O549">
        <f t="shared" si="73"/>
        <v>372</v>
      </c>
      <c r="P549">
        <f t="shared" si="73"/>
        <v>390</v>
      </c>
      <c r="Q549">
        <f t="shared" si="73"/>
        <v>416</v>
      </c>
      <c r="S549" t="str">
        <f t="shared" si="71"/>
        <v>02.12.2025</v>
      </c>
      <c r="T549" t="str">
        <f t="shared" si="72"/>
        <v>11:45:00</v>
      </c>
      <c r="U549" t="str">
        <f t="shared" si="74"/>
        <v>02.12.2025 11:45:00</v>
      </c>
      <c r="V549" s="9" t="str">
        <f>MID($A549,C549+C$2+1,D549-C549-C$2-1)</f>
        <v>0</v>
      </c>
      <c r="W549" s="4">
        <f>VALUE(SUBSTITUTE(MID($A549,D549+D$2+1,E549-D549-D$2-1),",","."))</f>
        <v>0.80342891326981303</v>
      </c>
      <c r="X549" s="4">
        <f>VALUE(SUBSTITUTE(MID($A549,E549+E$2+1,F549-E549-E$2-1),",","."))</f>
        <v>0.90957602214449496</v>
      </c>
      <c r="Y549" s="4">
        <f>VALUE(SUBSTITUTE(MID($A549,F549+F$2+1,G549-F549-F$2-1),",","."))</f>
        <v>0.35040889432532102</v>
      </c>
      <c r="Z549" s="3">
        <f>VALUE(SUBSTITUTE(MID($A549,G549+G$2+1,H549-G549-G$2-1),",","."))</f>
        <v>10.316666666666601</v>
      </c>
      <c r="AA549" s="3">
        <f>VALUE(SUBSTITUTE(MID($A549,H549+H$2+1,I549-H549-H$2-1),",","."))</f>
        <v>0</v>
      </c>
      <c r="AB549" s="3">
        <f>VALUE(SUBSTITUTE(MID($A549,I549+I$2+1,J549-I549-I$2-1),",","."))</f>
        <v>77.5</v>
      </c>
      <c r="AC549" s="3">
        <f>VALUE(SUBSTITUTE(MID($A549,J549+J$2+1,K549-J549-J$2-1),",","."))</f>
        <v>2</v>
      </c>
      <c r="AD549" s="3">
        <f>VALUE(SUBSTITUTE(MID($A549,K549+K$2+1,L549-K549-K$2-1),",","."))</f>
        <v>13.32</v>
      </c>
      <c r="AE549" s="3">
        <f>VALUE(SUBSTITUTE(MID($A549,L549+L$2+1,M549-L549-L$2-1),",","."))</f>
        <v>0</v>
      </c>
      <c r="AF549" s="3">
        <f>VALUE(SUBSTITUTE(MID($A549,M549+M$2+1,N549-M549-M$2-1),",","."))</f>
        <v>0</v>
      </c>
      <c r="AG549" s="3">
        <f>VALUE(SUBSTITUTE(MID($A549,N549+N$2+1,O549-N549-N$2-1),",","."))</f>
        <v>4.2190326035709997</v>
      </c>
      <c r="AH549" t="str">
        <f>MID($A549,O549+O$2+1,P549-O549-O$2-1)</f>
        <v/>
      </c>
      <c r="AI549" s="8" t="str">
        <f>MID($A549,P549+P$2+1,Q549-P549-P$2-1)</f>
        <v>False</v>
      </c>
      <c r="AK549" t="b">
        <f t="shared" si="75"/>
        <v>1</v>
      </c>
    </row>
    <row r="550" spans="1:37" x14ac:dyDescent="0.35">
      <c r="A550" t="s">
        <v>5097</v>
      </c>
      <c r="B550">
        <f t="shared" si="77"/>
        <v>10</v>
      </c>
      <c r="C550">
        <f t="shared" si="77"/>
        <v>43</v>
      </c>
      <c r="D550">
        <f t="shared" si="77"/>
        <v>54</v>
      </c>
      <c r="E550">
        <f t="shared" si="76"/>
        <v>97</v>
      </c>
      <c r="F550">
        <f t="shared" si="76"/>
        <v>141</v>
      </c>
      <c r="G550">
        <f t="shared" si="76"/>
        <v>178</v>
      </c>
      <c r="H550">
        <f t="shared" si="76"/>
        <v>227</v>
      </c>
      <c r="I550">
        <f t="shared" si="76"/>
        <v>249</v>
      </c>
      <c r="J550">
        <f t="shared" si="76"/>
        <v>285</v>
      </c>
      <c r="K550">
        <f t="shared" si="76"/>
        <v>302</v>
      </c>
      <c r="L550">
        <f t="shared" si="78"/>
        <v>321</v>
      </c>
      <c r="M550">
        <f t="shared" si="73"/>
        <v>336</v>
      </c>
      <c r="N550">
        <f t="shared" si="73"/>
        <v>348</v>
      </c>
      <c r="O550">
        <f t="shared" si="73"/>
        <v>373</v>
      </c>
      <c r="P550">
        <f t="shared" si="73"/>
        <v>391</v>
      </c>
      <c r="Q550">
        <f t="shared" si="73"/>
        <v>417</v>
      </c>
      <c r="S550" t="str">
        <f t="shared" si="71"/>
        <v>02.12.2025</v>
      </c>
      <c r="T550" t="str">
        <f t="shared" si="72"/>
        <v>12:00:00</v>
      </c>
      <c r="U550" t="str">
        <f t="shared" si="74"/>
        <v>02.12.2025 12:00:00</v>
      </c>
      <c r="V550" s="9" t="str">
        <f>MID($A550,C550+C$2+1,D550-C550-C$2-1)</f>
        <v>0</v>
      </c>
      <c r="W550" s="4">
        <f>VALUE(SUBSTITUTE(MID($A550,D550+D$2+1,E550-D550-D$2-1),",","."))</f>
        <v>0.79433233062163899</v>
      </c>
      <c r="X550" s="4">
        <f>VALUE(SUBSTITUTE(MID($A550,E550+E$2+1,F550-E550-E$2-1),",","."))</f>
        <v>0.90957602214449496</v>
      </c>
      <c r="Y550" s="4">
        <f>VALUE(SUBSTITUTE(MID($A550,F550+F$2+1,G550-F550-F$2-1),",","."))</f>
        <v>0.35294364154938901</v>
      </c>
      <c r="Z550" s="3">
        <f>VALUE(SUBSTITUTE(MID($A550,G550+G$2+1,H550-G550-G$2-1),",","."))</f>
        <v>10.316666666666601</v>
      </c>
      <c r="AA550" s="3">
        <f>VALUE(SUBSTITUTE(MID($A550,H550+H$2+1,I550-H550-H$2-1),",","."))</f>
        <v>0</v>
      </c>
      <c r="AB550" s="3">
        <f>VALUE(SUBSTITUTE(MID($A550,I550+I$2+1,J550-I550-I$2-1),",","."))</f>
        <v>77.5</v>
      </c>
      <c r="AC550" s="3">
        <f>VALUE(SUBSTITUTE(MID($A550,J550+J$2+1,K550-J550-J$2-1),",","."))</f>
        <v>2</v>
      </c>
      <c r="AD550" s="3">
        <f>VALUE(SUBSTITUTE(MID($A550,K550+K$2+1,L550-K550-K$2-1),",","."))</f>
        <v>13.32</v>
      </c>
      <c r="AE550" s="3">
        <f>VALUE(SUBSTITUTE(MID($A550,L550+L$2+1,M550-L550-L$2-1),",","."))</f>
        <v>0</v>
      </c>
      <c r="AF550" s="3">
        <f>VALUE(SUBSTITUTE(MID($A550,M550+M$2+1,N550-M550-M$2-1),",","."))</f>
        <v>0</v>
      </c>
      <c r="AG550" s="3">
        <f>VALUE(SUBSTITUTE(MID($A550,N550+N$2+1,O550-N550-N$2-1),",","."))</f>
        <v>4.2190611234590802</v>
      </c>
      <c r="AH550" t="str">
        <f>MID($A550,O550+O$2+1,P550-O550-O$2-1)</f>
        <v/>
      </c>
      <c r="AI550" s="8" t="str">
        <f>MID($A550,P550+P$2+1,Q550-P550-P$2-1)</f>
        <v>False</v>
      </c>
      <c r="AK550" t="b">
        <f t="shared" si="75"/>
        <v>1</v>
      </c>
    </row>
    <row r="551" spans="1:37" x14ac:dyDescent="0.35">
      <c r="A551" t="s">
        <v>5098</v>
      </c>
      <c r="B551">
        <f t="shared" si="77"/>
        <v>10</v>
      </c>
      <c r="C551">
        <f t="shared" si="77"/>
        <v>43</v>
      </c>
      <c r="D551">
        <f t="shared" si="77"/>
        <v>54</v>
      </c>
      <c r="E551">
        <f t="shared" si="76"/>
        <v>97</v>
      </c>
      <c r="F551">
        <f t="shared" si="76"/>
        <v>141</v>
      </c>
      <c r="G551">
        <f t="shared" si="76"/>
        <v>178</v>
      </c>
      <c r="H551">
        <f t="shared" si="76"/>
        <v>227</v>
      </c>
      <c r="I551">
        <f t="shared" si="76"/>
        <v>249</v>
      </c>
      <c r="J551">
        <f t="shared" si="76"/>
        <v>285</v>
      </c>
      <c r="K551">
        <f t="shared" si="76"/>
        <v>302</v>
      </c>
      <c r="L551">
        <f t="shared" si="78"/>
        <v>321</v>
      </c>
      <c r="M551">
        <f t="shared" si="73"/>
        <v>336</v>
      </c>
      <c r="N551">
        <f t="shared" si="73"/>
        <v>348</v>
      </c>
      <c r="O551">
        <f t="shared" si="73"/>
        <v>373</v>
      </c>
      <c r="P551">
        <f t="shared" si="73"/>
        <v>391</v>
      </c>
      <c r="Q551">
        <f t="shared" si="73"/>
        <v>417</v>
      </c>
      <c r="S551" t="str">
        <f t="shared" si="71"/>
        <v>02.12.2025</v>
      </c>
      <c r="T551" t="str">
        <f t="shared" si="72"/>
        <v>12:15:00</v>
      </c>
      <c r="U551" t="str">
        <f t="shared" si="74"/>
        <v>02.12.2025 12:15:00</v>
      </c>
      <c r="V551" s="9" t="str">
        <f>MID($A551,C551+C$2+1,D551-C551-C$2-1)</f>
        <v>0</v>
      </c>
      <c r="W551" s="4">
        <f>VALUE(SUBSTITUTE(MID($A551,D551+D$2+1,E551-D551-D$2-1),",","."))</f>
        <v>0.78145851924630805</v>
      </c>
      <c r="X551" s="4">
        <f>VALUE(SUBSTITUTE(MID($A551,E551+E$2+1,F551-E551-E$2-1),",","."))</f>
        <v>0.90957602214449496</v>
      </c>
      <c r="Y551" s="4">
        <f>VALUE(SUBSTITUTE(MID($A551,F551+F$2+1,G551-F551-F$2-1),",","."))</f>
        <v>0.35279777406889101</v>
      </c>
      <c r="Z551" s="3">
        <f>VALUE(SUBSTITUTE(MID($A551,G551+G$2+1,H551-G551-G$2-1),",","."))</f>
        <v>10.316666666666601</v>
      </c>
      <c r="AA551" s="3">
        <f>VALUE(SUBSTITUTE(MID($A551,H551+H$2+1,I551-H551-H$2-1),",","."))</f>
        <v>0</v>
      </c>
      <c r="AB551" s="3">
        <f>VALUE(SUBSTITUTE(MID($A551,I551+I$2+1,J551-I551-I$2-1),",","."))</f>
        <v>77.5</v>
      </c>
      <c r="AC551" s="3">
        <f>VALUE(SUBSTITUTE(MID($A551,J551+J$2+1,K551-J551-J$2-1),",","."))</f>
        <v>2</v>
      </c>
      <c r="AD551" s="3">
        <f>VALUE(SUBSTITUTE(MID($A551,K551+K$2+1,L551-K551-K$2-1),",","."))</f>
        <v>13.32</v>
      </c>
      <c r="AE551" s="3">
        <f>VALUE(SUBSTITUTE(MID($A551,L551+L$2+1,M551-L551-L$2-1),",","."))</f>
        <v>0</v>
      </c>
      <c r="AF551" s="3">
        <f>VALUE(SUBSTITUTE(MID($A551,M551+M$2+1,N551-M551-M$2-1),",","."))</f>
        <v>0</v>
      </c>
      <c r="AG551" s="3">
        <f>VALUE(SUBSTITUTE(MID($A551,N551+N$2+1,O551-N551-N$2-1),",","."))</f>
        <v>4.2190896433471599</v>
      </c>
      <c r="AH551" t="str">
        <f>MID($A551,O551+O$2+1,P551-O551-O$2-1)</f>
        <v/>
      </c>
      <c r="AI551" s="8" t="str">
        <f>MID($A551,P551+P$2+1,Q551-P551-P$2-1)</f>
        <v>False</v>
      </c>
      <c r="AK551" t="b">
        <f t="shared" si="75"/>
        <v>1</v>
      </c>
    </row>
    <row r="552" spans="1:37" x14ac:dyDescent="0.35">
      <c r="A552" t="s">
        <v>5099</v>
      </c>
      <c r="B552">
        <f t="shared" si="77"/>
        <v>10</v>
      </c>
      <c r="C552">
        <f t="shared" si="77"/>
        <v>43</v>
      </c>
      <c r="D552">
        <f t="shared" si="77"/>
        <v>54</v>
      </c>
      <c r="E552">
        <f t="shared" si="76"/>
        <v>97</v>
      </c>
      <c r="F552">
        <f t="shared" si="76"/>
        <v>141</v>
      </c>
      <c r="G552">
        <f t="shared" si="76"/>
        <v>179</v>
      </c>
      <c r="H552">
        <f t="shared" si="76"/>
        <v>228</v>
      </c>
      <c r="I552">
        <f t="shared" si="76"/>
        <v>250</v>
      </c>
      <c r="J552">
        <f t="shared" si="76"/>
        <v>286</v>
      </c>
      <c r="K552">
        <f t="shared" si="76"/>
        <v>306</v>
      </c>
      <c r="L552">
        <f t="shared" si="78"/>
        <v>325</v>
      </c>
      <c r="M552">
        <f t="shared" si="73"/>
        <v>340</v>
      </c>
      <c r="N552">
        <f t="shared" si="73"/>
        <v>352</v>
      </c>
      <c r="O552">
        <f t="shared" si="73"/>
        <v>377</v>
      </c>
      <c r="P552">
        <f t="shared" si="73"/>
        <v>395</v>
      </c>
      <c r="Q552">
        <f t="shared" si="73"/>
        <v>421</v>
      </c>
      <c r="S552" t="str">
        <f t="shared" si="71"/>
        <v>02.12.2025</v>
      </c>
      <c r="T552" t="str">
        <f t="shared" si="72"/>
        <v>12:30:00</v>
      </c>
      <c r="U552" t="str">
        <f t="shared" si="74"/>
        <v>02.12.2025 12:30:00</v>
      </c>
      <c r="V552" s="9" t="str">
        <f>MID($A552,C552+C$2+1,D552-C552-C$2-1)</f>
        <v>0</v>
      </c>
      <c r="W552" s="4">
        <f>VALUE(SUBSTITUTE(MID($A552,D552+D$2+1,E552-D552-D$2-1),",","."))</f>
        <v>0.76486264196222897</v>
      </c>
      <c r="X552" s="4">
        <f>VALUE(SUBSTITUTE(MID($A552,E552+E$2+1,F552-E552-E$2-1),",","."))</f>
        <v>0.90957602214449496</v>
      </c>
      <c r="Y552" s="4">
        <f>VALUE(SUBSTITUTE(MID($A552,F552+F$2+1,G552-F552-F$2-1),",","."))</f>
        <v>0.34997191176444498</v>
      </c>
      <c r="Z552" s="3">
        <f>VALUE(SUBSTITUTE(MID($A552,G552+G$2+1,H552-G552-G$2-1),",","."))</f>
        <v>13.3666666666666</v>
      </c>
      <c r="AA552" s="3">
        <f>VALUE(SUBSTITUTE(MID($A552,H552+H$2+1,I552-H552-H$2-1),",","."))</f>
        <v>0</v>
      </c>
      <c r="AB552" s="3">
        <f>VALUE(SUBSTITUTE(MID($A552,I552+I$2+1,J552-I552-I$2-1),",","."))</f>
        <v>84.5</v>
      </c>
      <c r="AC552" s="3">
        <f>VALUE(SUBSTITUTE(MID($A552,J552+J$2+1,K552-J552-J$2-1),",","."))</f>
        <v>2.35</v>
      </c>
      <c r="AD552" s="3">
        <f>VALUE(SUBSTITUTE(MID($A552,K552+K$2+1,L552-K552-K$2-1),",","."))</f>
        <v>12.96</v>
      </c>
      <c r="AE552" s="3">
        <f>VALUE(SUBSTITUTE(MID($A552,L552+L$2+1,M552-L552-L$2-1),",","."))</f>
        <v>0</v>
      </c>
      <c r="AF552" s="3">
        <f>VALUE(SUBSTITUTE(MID($A552,M552+M$2+1,N552-M552-M$2-1),",","."))</f>
        <v>0</v>
      </c>
      <c r="AG552" s="3">
        <f>VALUE(SUBSTITUTE(MID($A552,N552+N$2+1,O552-N552-N$2-1),",","."))</f>
        <v>4.2191181632352404</v>
      </c>
      <c r="AH552" t="str">
        <f>MID($A552,O552+O$2+1,P552-O552-O$2-1)</f>
        <v/>
      </c>
      <c r="AI552" s="8" t="str">
        <f>MID($A552,P552+P$2+1,Q552-P552-P$2-1)</f>
        <v>False</v>
      </c>
      <c r="AK552" t="b">
        <f t="shared" si="75"/>
        <v>1</v>
      </c>
    </row>
    <row r="553" spans="1:37" x14ac:dyDescent="0.35">
      <c r="A553" t="s">
        <v>5100</v>
      </c>
      <c r="B553">
        <f t="shared" si="77"/>
        <v>10</v>
      </c>
      <c r="C553">
        <f t="shared" si="77"/>
        <v>43</v>
      </c>
      <c r="D553">
        <f t="shared" si="77"/>
        <v>54</v>
      </c>
      <c r="E553">
        <f t="shared" si="76"/>
        <v>97</v>
      </c>
      <c r="F553">
        <f t="shared" si="76"/>
        <v>141</v>
      </c>
      <c r="G553">
        <f t="shared" si="76"/>
        <v>179</v>
      </c>
      <c r="H553">
        <f t="shared" si="76"/>
        <v>228</v>
      </c>
      <c r="I553">
        <f t="shared" si="76"/>
        <v>250</v>
      </c>
      <c r="J553">
        <f t="shared" si="76"/>
        <v>286</v>
      </c>
      <c r="K553">
        <f t="shared" si="76"/>
        <v>306</v>
      </c>
      <c r="L553">
        <f t="shared" si="78"/>
        <v>325</v>
      </c>
      <c r="M553">
        <f t="shared" si="73"/>
        <v>340</v>
      </c>
      <c r="N553">
        <f t="shared" si="73"/>
        <v>352</v>
      </c>
      <c r="O553">
        <f t="shared" si="73"/>
        <v>377</v>
      </c>
      <c r="P553">
        <f t="shared" si="73"/>
        <v>395</v>
      </c>
      <c r="Q553">
        <f t="shared" si="73"/>
        <v>421</v>
      </c>
      <c r="S553" t="str">
        <f t="shared" si="71"/>
        <v>02.12.2025</v>
      </c>
      <c r="T553" t="str">
        <f t="shared" si="72"/>
        <v>12:45:00</v>
      </c>
      <c r="U553" t="str">
        <f t="shared" si="74"/>
        <v>02.12.2025 12:45:00</v>
      </c>
      <c r="V553" s="9" t="str">
        <f>MID($A553,C553+C$2+1,D553-C553-C$2-1)</f>
        <v>0</v>
      </c>
      <c r="W553" s="4">
        <f>VALUE(SUBSTITUTE(MID($A553,D553+D$2+1,E553-D553-D$2-1),",","."))</f>
        <v>0.74461601462909199</v>
      </c>
      <c r="X553" s="4">
        <f>VALUE(SUBSTITUTE(MID($A553,E553+E$2+1,F553-E553-E$2-1),",","."))</f>
        <v>0.90957602214449496</v>
      </c>
      <c r="Y553" s="4">
        <f>VALUE(SUBSTITUTE(MID($A553,F553+F$2+1,G553-F553-F$2-1),",","."))</f>
        <v>0.344478416746759</v>
      </c>
      <c r="Z553" s="3">
        <f>VALUE(SUBSTITUTE(MID($A553,G553+G$2+1,H553-G553-G$2-1),",","."))</f>
        <v>13.3666666666666</v>
      </c>
      <c r="AA553" s="3">
        <f>VALUE(SUBSTITUTE(MID($A553,H553+H$2+1,I553-H553-H$2-1),",","."))</f>
        <v>0</v>
      </c>
      <c r="AB553" s="3">
        <f>VALUE(SUBSTITUTE(MID($A553,I553+I$2+1,J553-I553-I$2-1),",","."))</f>
        <v>84.5</v>
      </c>
      <c r="AC553" s="3">
        <f>VALUE(SUBSTITUTE(MID($A553,J553+J$2+1,K553-J553-J$2-1),",","."))</f>
        <v>2.35</v>
      </c>
      <c r="AD553" s="3">
        <f>VALUE(SUBSTITUTE(MID($A553,K553+K$2+1,L553-K553-K$2-1),",","."))</f>
        <v>12.96</v>
      </c>
      <c r="AE553" s="3">
        <f>VALUE(SUBSTITUTE(MID($A553,L553+L$2+1,M553-L553-L$2-1),",","."))</f>
        <v>0</v>
      </c>
      <c r="AF553" s="3">
        <f>VALUE(SUBSTITUTE(MID($A553,M553+M$2+1,N553-M553-M$2-1),",","."))</f>
        <v>0</v>
      </c>
      <c r="AG553" s="3">
        <f>VALUE(SUBSTITUTE(MID($A553,N553+N$2+1,O553-N553-N$2-1),",","."))</f>
        <v>4.21914668312332</v>
      </c>
      <c r="AH553" t="str">
        <f>MID($A553,O553+O$2+1,P553-O553-O$2-1)</f>
        <v/>
      </c>
      <c r="AI553" s="8" t="str">
        <f>MID($A553,P553+P$2+1,Q553-P553-P$2-1)</f>
        <v>False</v>
      </c>
      <c r="AK553" t="b">
        <f t="shared" si="75"/>
        <v>1</v>
      </c>
    </row>
    <row r="554" spans="1:37" x14ac:dyDescent="0.35">
      <c r="A554" t="s">
        <v>5101</v>
      </c>
      <c r="B554">
        <f t="shared" si="77"/>
        <v>10</v>
      </c>
      <c r="C554">
        <f t="shared" si="77"/>
        <v>43</v>
      </c>
      <c r="D554">
        <f t="shared" si="77"/>
        <v>54</v>
      </c>
      <c r="E554">
        <f t="shared" si="76"/>
        <v>97</v>
      </c>
      <c r="F554">
        <f t="shared" si="76"/>
        <v>141</v>
      </c>
      <c r="G554">
        <f t="shared" si="76"/>
        <v>179</v>
      </c>
      <c r="H554">
        <f t="shared" si="76"/>
        <v>228</v>
      </c>
      <c r="I554">
        <f t="shared" si="76"/>
        <v>250</v>
      </c>
      <c r="J554">
        <f t="shared" si="76"/>
        <v>286</v>
      </c>
      <c r="K554">
        <f t="shared" si="76"/>
        <v>306</v>
      </c>
      <c r="L554">
        <f t="shared" si="78"/>
        <v>325</v>
      </c>
      <c r="M554">
        <f t="shared" si="73"/>
        <v>340</v>
      </c>
      <c r="N554">
        <f t="shared" si="73"/>
        <v>352</v>
      </c>
      <c r="O554">
        <f t="shared" si="73"/>
        <v>377</v>
      </c>
      <c r="P554">
        <f t="shared" si="73"/>
        <v>395</v>
      </c>
      <c r="Q554">
        <f t="shared" si="73"/>
        <v>421</v>
      </c>
      <c r="S554" t="str">
        <f t="shared" si="71"/>
        <v>02.12.2025</v>
      </c>
      <c r="T554" t="str">
        <f t="shared" si="72"/>
        <v>13:00:00</v>
      </c>
      <c r="U554" t="str">
        <f t="shared" si="74"/>
        <v>02.12.2025 13:00:00</v>
      </c>
      <c r="V554" s="9" t="str">
        <f>MID($A554,C554+C$2+1,D554-C554-C$2-1)</f>
        <v>0</v>
      </c>
      <c r="W554" s="4">
        <f>VALUE(SUBSTITUTE(MID($A554,D554+D$2+1,E554-D554-D$2-1),",","."))</f>
        <v>0.72080582272187199</v>
      </c>
      <c r="X554" s="4">
        <f>VALUE(SUBSTITUTE(MID($A554,E554+E$2+1,F554-E554-E$2-1),",","."))</f>
        <v>0.90957602214449496</v>
      </c>
      <c r="Y554" s="4">
        <f>VALUE(SUBSTITUTE(MID($A554,F554+F$2+1,G554-F554-F$2-1),",","."))</f>
        <v>0.33634136727208103</v>
      </c>
      <c r="Z554" s="3">
        <f>VALUE(SUBSTITUTE(MID($A554,G554+G$2+1,H554-G554-G$2-1),",","."))</f>
        <v>13.3666666666666</v>
      </c>
      <c r="AA554" s="3">
        <f>VALUE(SUBSTITUTE(MID($A554,H554+H$2+1,I554-H554-H$2-1),",","."))</f>
        <v>0</v>
      </c>
      <c r="AB554" s="3">
        <f>VALUE(SUBSTITUTE(MID($A554,I554+I$2+1,J554-I554-I$2-1),",","."))</f>
        <v>84.5</v>
      </c>
      <c r="AC554" s="3">
        <f>VALUE(SUBSTITUTE(MID($A554,J554+J$2+1,K554-J554-J$2-1),",","."))</f>
        <v>2.35</v>
      </c>
      <c r="AD554" s="3">
        <f>VALUE(SUBSTITUTE(MID($A554,K554+K$2+1,L554-K554-K$2-1),",","."))</f>
        <v>12.96</v>
      </c>
      <c r="AE554" s="3">
        <f>VALUE(SUBSTITUTE(MID($A554,L554+L$2+1,M554-L554-L$2-1),",","."))</f>
        <v>0</v>
      </c>
      <c r="AF554" s="3">
        <f>VALUE(SUBSTITUTE(MID($A554,M554+M$2+1,N554-M554-M$2-1),",","."))</f>
        <v>0</v>
      </c>
      <c r="AG554" s="3">
        <f>VALUE(SUBSTITUTE(MID($A554,N554+N$2+1,O554-N554-N$2-1),",","."))</f>
        <v>4.2191752030113996</v>
      </c>
      <c r="AH554" t="str">
        <f>MID($A554,O554+O$2+1,P554-O554-O$2-1)</f>
        <v/>
      </c>
      <c r="AI554" s="8" t="str">
        <f>MID($A554,P554+P$2+1,Q554-P554-P$2-1)</f>
        <v>False</v>
      </c>
      <c r="AK554" t="b">
        <f t="shared" si="75"/>
        <v>1</v>
      </c>
    </row>
    <row r="555" spans="1:37" x14ac:dyDescent="0.35">
      <c r="A555" t="s">
        <v>5102</v>
      </c>
      <c r="B555">
        <f t="shared" si="77"/>
        <v>10</v>
      </c>
      <c r="C555">
        <f t="shared" si="77"/>
        <v>43</v>
      </c>
      <c r="D555">
        <f t="shared" si="77"/>
        <v>54</v>
      </c>
      <c r="E555">
        <f t="shared" si="76"/>
        <v>97</v>
      </c>
      <c r="F555">
        <f t="shared" si="76"/>
        <v>141</v>
      </c>
      <c r="G555">
        <f t="shared" si="76"/>
        <v>179</v>
      </c>
      <c r="H555">
        <f t="shared" si="76"/>
        <v>228</v>
      </c>
      <c r="I555">
        <f t="shared" si="76"/>
        <v>250</v>
      </c>
      <c r="J555">
        <f t="shared" si="76"/>
        <v>286</v>
      </c>
      <c r="K555">
        <f t="shared" si="76"/>
        <v>306</v>
      </c>
      <c r="L555">
        <f t="shared" si="78"/>
        <v>325</v>
      </c>
      <c r="M555">
        <f t="shared" si="73"/>
        <v>340</v>
      </c>
      <c r="N555">
        <f t="shared" si="73"/>
        <v>352</v>
      </c>
      <c r="O555">
        <f t="shared" si="73"/>
        <v>377</v>
      </c>
      <c r="P555">
        <f t="shared" si="73"/>
        <v>395</v>
      </c>
      <c r="Q555">
        <f t="shared" si="73"/>
        <v>421</v>
      </c>
      <c r="S555" t="str">
        <f t="shared" si="71"/>
        <v>02.12.2025</v>
      </c>
      <c r="T555" t="str">
        <f t="shared" si="72"/>
        <v>13:15:00</v>
      </c>
      <c r="U555" t="str">
        <f t="shared" si="74"/>
        <v>02.12.2025 13:15:00</v>
      </c>
      <c r="V555" s="9" t="str">
        <f>MID($A555,C555+C$2+1,D555-C555-C$2-1)</f>
        <v>0</v>
      </c>
      <c r="W555" s="4">
        <f>VALUE(SUBSTITUTE(MID($A555,D555+D$2+1,E555-D555-D$2-1),",","."))</f>
        <v>0.69353479516101102</v>
      </c>
      <c r="X555" s="4">
        <f>VALUE(SUBSTITUTE(MID($A555,E555+E$2+1,F555-E555-E$2-1),",","."))</f>
        <v>0.90957602214449496</v>
      </c>
      <c r="Y555" s="4">
        <f>VALUE(SUBSTITUTE(MID($A555,F555+F$2+1,G555-F555-F$2-1),",","."))</f>
        <v>0.32559651218601299</v>
      </c>
      <c r="Z555" s="3">
        <f>VALUE(SUBSTITUTE(MID($A555,G555+G$2+1,H555-G555-G$2-1),",","."))</f>
        <v>13.3666666666666</v>
      </c>
      <c r="AA555" s="3">
        <f>VALUE(SUBSTITUTE(MID($A555,H555+H$2+1,I555-H555-H$2-1),",","."))</f>
        <v>0</v>
      </c>
      <c r="AB555" s="3">
        <f>VALUE(SUBSTITUTE(MID($A555,I555+I$2+1,J555-I555-I$2-1),",","."))</f>
        <v>84.5</v>
      </c>
      <c r="AC555" s="3">
        <f>VALUE(SUBSTITUTE(MID($A555,J555+J$2+1,K555-J555-J$2-1),",","."))</f>
        <v>2.35</v>
      </c>
      <c r="AD555" s="3">
        <f>VALUE(SUBSTITUTE(MID($A555,K555+K$2+1,L555-K555-K$2-1),",","."))</f>
        <v>12.96</v>
      </c>
      <c r="AE555" s="3">
        <f>VALUE(SUBSTITUTE(MID($A555,L555+L$2+1,M555-L555-L$2-1),",","."))</f>
        <v>0</v>
      </c>
      <c r="AF555" s="3">
        <f>VALUE(SUBSTITUTE(MID($A555,M555+M$2+1,N555-M555-M$2-1),",","."))</f>
        <v>0</v>
      </c>
      <c r="AG555" s="3">
        <f>VALUE(SUBSTITUTE(MID($A555,N555+N$2+1,O555-N555-N$2-1),",","."))</f>
        <v>4.2192037228994801</v>
      </c>
      <c r="AH555" t="str">
        <f>MID($A555,O555+O$2+1,P555-O555-O$2-1)</f>
        <v/>
      </c>
      <c r="AI555" s="8" t="str">
        <f>MID($A555,P555+P$2+1,Q555-P555-P$2-1)</f>
        <v>False</v>
      </c>
      <c r="AK555" t="b">
        <f t="shared" si="75"/>
        <v>1</v>
      </c>
    </row>
    <row r="556" spans="1:37" x14ac:dyDescent="0.35">
      <c r="A556" t="s">
        <v>5103</v>
      </c>
      <c r="B556">
        <f t="shared" si="77"/>
        <v>10</v>
      </c>
      <c r="C556">
        <f t="shared" si="77"/>
        <v>43</v>
      </c>
      <c r="D556">
        <f t="shared" si="77"/>
        <v>54</v>
      </c>
      <c r="E556">
        <f t="shared" si="76"/>
        <v>97</v>
      </c>
      <c r="F556">
        <f t="shared" si="76"/>
        <v>141</v>
      </c>
      <c r="G556">
        <f t="shared" si="76"/>
        <v>179</v>
      </c>
      <c r="H556">
        <f t="shared" si="76"/>
        <v>228</v>
      </c>
      <c r="I556">
        <f t="shared" si="76"/>
        <v>250</v>
      </c>
      <c r="J556">
        <f t="shared" si="76"/>
        <v>286</v>
      </c>
      <c r="K556">
        <f t="shared" si="76"/>
        <v>305</v>
      </c>
      <c r="L556">
        <f t="shared" si="78"/>
        <v>323</v>
      </c>
      <c r="M556">
        <f t="shared" si="73"/>
        <v>338</v>
      </c>
      <c r="N556">
        <f t="shared" si="73"/>
        <v>350</v>
      </c>
      <c r="O556">
        <f t="shared" si="73"/>
        <v>375</v>
      </c>
      <c r="P556">
        <f t="shared" si="73"/>
        <v>393</v>
      </c>
      <c r="Q556">
        <f t="shared" si="73"/>
        <v>419</v>
      </c>
      <c r="S556" t="str">
        <f t="shared" si="71"/>
        <v>02.12.2025</v>
      </c>
      <c r="T556" t="str">
        <f t="shared" si="72"/>
        <v>13:30:00</v>
      </c>
      <c r="U556" t="str">
        <f t="shared" si="74"/>
        <v>02.12.2025 13:30:00</v>
      </c>
      <c r="V556" s="9" t="str">
        <f>MID($A556,C556+C$2+1,D556-C556-C$2-1)</f>
        <v>0</v>
      </c>
      <c r="W556" s="4">
        <f>VALUE(SUBSTITUTE(MID($A556,D556+D$2+1,E556-D556-D$2-1),",","."))</f>
        <v>0.66292084635482995</v>
      </c>
      <c r="X556" s="4">
        <f>VALUE(SUBSTITUTE(MID($A556,E556+E$2+1,F556-E556-E$2-1),",","."))</f>
        <v>0.90957602214449496</v>
      </c>
      <c r="Y556" s="4">
        <f>VALUE(SUBSTITUTE(MID($A556,F556+F$2+1,G556-F556-F$2-1),",","."))</f>
        <v>0.312291217488601</v>
      </c>
      <c r="Z556" s="3">
        <f>VALUE(SUBSTITUTE(MID($A556,G556+G$2+1,H556-G556-G$2-1),",","."))</f>
        <v>16.8666666666666</v>
      </c>
      <c r="AA556" s="3">
        <f>VALUE(SUBSTITUTE(MID($A556,H556+H$2+1,I556-H556-H$2-1),",","."))</f>
        <v>0</v>
      </c>
      <c r="AB556" s="3">
        <f>VALUE(SUBSTITUTE(MID($A556,I556+I$2+1,J556-I556-I$2-1),",","."))</f>
        <v>80.5</v>
      </c>
      <c r="AC556" s="3">
        <f>VALUE(SUBSTITUTE(MID($A556,J556+J$2+1,K556-J556-J$2-1),",","."))</f>
        <v>2.4</v>
      </c>
      <c r="AD556" s="3">
        <f>VALUE(SUBSTITUTE(MID($A556,K556+K$2+1,L556-K556-K$2-1),",","."))</f>
        <v>11.7</v>
      </c>
      <c r="AE556" s="3">
        <f>VALUE(SUBSTITUTE(MID($A556,L556+L$2+1,M556-L556-L$2-1),",","."))</f>
        <v>0</v>
      </c>
      <c r="AF556" s="3">
        <f>VALUE(SUBSTITUTE(MID($A556,M556+M$2+1,N556-M556-M$2-1),",","."))</f>
        <v>0</v>
      </c>
      <c r="AG556" s="3">
        <f>VALUE(SUBSTITUTE(MID($A556,N556+N$2+1,O556-N556-N$2-1),",","."))</f>
        <v>4.2192322427875704</v>
      </c>
      <c r="AH556" t="str">
        <f>MID($A556,O556+O$2+1,P556-O556-O$2-1)</f>
        <v/>
      </c>
      <c r="AI556" s="8" t="str">
        <f>MID($A556,P556+P$2+1,Q556-P556-P$2-1)</f>
        <v>False</v>
      </c>
      <c r="AK556" t="b">
        <f t="shared" si="75"/>
        <v>1</v>
      </c>
    </row>
    <row r="557" spans="1:37" x14ac:dyDescent="0.35">
      <c r="A557" t="s">
        <v>5104</v>
      </c>
      <c r="B557">
        <f t="shared" si="77"/>
        <v>10</v>
      </c>
      <c r="C557">
        <f t="shared" si="77"/>
        <v>43</v>
      </c>
      <c r="D557">
        <f t="shared" si="77"/>
        <v>54</v>
      </c>
      <c r="E557">
        <f t="shared" si="76"/>
        <v>97</v>
      </c>
      <c r="F557">
        <f t="shared" si="76"/>
        <v>141</v>
      </c>
      <c r="G557">
        <f t="shared" si="76"/>
        <v>179</v>
      </c>
      <c r="H557">
        <f t="shared" si="76"/>
        <v>228</v>
      </c>
      <c r="I557">
        <f t="shared" si="76"/>
        <v>250</v>
      </c>
      <c r="J557">
        <f t="shared" si="76"/>
        <v>286</v>
      </c>
      <c r="K557">
        <f t="shared" si="76"/>
        <v>305</v>
      </c>
      <c r="L557">
        <f t="shared" si="78"/>
        <v>323</v>
      </c>
      <c r="M557">
        <f t="shared" si="73"/>
        <v>338</v>
      </c>
      <c r="N557">
        <f t="shared" si="73"/>
        <v>350</v>
      </c>
      <c r="O557">
        <f t="shared" si="73"/>
        <v>375</v>
      </c>
      <c r="P557">
        <f t="shared" si="73"/>
        <v>393</v>
      </c>
      <c r="Q557">
        <f t="shared" si="73"/>
        <v>419</v>
      </c>
      <c r="S557" t="str">
        <f t="shared" si="71"/>
        <v>02.12.2025</v>
      </c>
      <c r="T557" t="str">
        <f t="shared" si="72"/>
        <v>13:45:00</v>
      </c>
      <c r="U557" t="str">
        <f t="shared" si="74"/>
        <v>02.12.2025 13:45:00</v>
      </c>
      <c r="V557" s="9" t="str">
        <f>MID($A557,C557+C$2+1,D557-C557-C$2-1)</f>
        <v>0</v>
      </c>
      <c r="W557" s="4">
        <f>VALUE(SUBSTITUTE(MID($A557,D557+D$2+1,E557-D557-D$2-1),",","."))</f>
        <v>0.62909670548537699</v>
      </c>
      <c r="X557" s="4">
        <f>VALUE(SUBSTITUTE(MID($A557,E557+E$2+1,F557-E557-E$2-1),",","."))</f>
        <v>0.90957602214449496</v>
      </c>
      <c r="Y557" s="4">
        <f>VALUE(SUBSTITUTE(MID($A557,F557+F$2+1,G557-F557-F$2-1),",","."))</f>
        <v>0.29648442662605501</v>
      </c>
      <c r="Z557" s="3">
        <f>VALUE(SUBSTITUTE(MID($A557,G557+G$2+1,H557-G557-G$2-1),",","."))</f>
        <v>16.8666666666666</v>
      </c>
      <c r="AA557" s="3">
        <f>VALUE(SUBSTITUTE(MID($A557,H557+H$2+1,I557-H557-H$2-1),",","."))</f>
        <v>0</v>
      </c>
      <c r="AB557" s="3">
        <f>VALUE(SUBSTITUTE(MID($A557,I557+I$2+1,J557-I557-I$2-1),",","."))</f>
        <v>80.5</v>
      </c>
      <c r="AC557" s="3">
        <f>VALUE(SUBSTITUTE(MID($A557,J557+J$2+1,K557-J557-J$2-1),",","."))</f>
        <v>2.4</v>
      </c>
      <c r="AD557" s="3">
        <f>VALUE(SUBSTITUTE(MID($A557,K557+K$2+1,L557-K557-K$2-1),",","."))</f>
        <v>11.7</v>
      </c>
      <c r="AE557" s="3">
        <f>VALUE(SUBSTITUTE(MID($A557,L557+L$2+1,M557-L557-L$2-1),",","."))</f>
        <v>0</v>
      </c>
      <c r="AF557" s="3">
        <f>VALUE(SUBSTITUTE(MID($A557,M557+M$2+1,N557-M557-M$2-1),",","."))</f>
        <v>0</v>
      </c>
      <c r="AG557" s="3">
        <f>VALUE(SUBSTITUTE(MID($A557,N557+N$2+1,O557-N557-N$2-1),",","."))</f>
        <v>4.21926076267565</v>
      </c>
      <c r="AH557" t="str">
        <f>MID($A557,O557+O$2+1,P557-O557-O$2-1)</f>
        <v/>
      </c>
      <c r="AI557" s="8" t="str">
        <f>MID($A557,P557+P$2+1,Q557-P557-P$2-1)</f>
        <v>False</v>
      </c>
      <c r="AK557" t="b">
        <f t="shared" si="75"/>
        <v>1</v>
      </c>
    </row>
    <row r="558" spans="1:37" x14ac:dyDescent="0.35">
      <c r="A558" t="s">
        <v>5105</v>
      </c>
      <c r="B558">
        <f t="shared" si="77"/>
        <v>10</v>
      </c>
      <c r="C558">
        <f t="shared" si="77"/>
        <v>43</v>
      </c>
      <c r="D558">
        <f t="shared" si="77"/>
        <v>54</v>
      </c>
      <c r="E558">
        <f t="shared" si="76"/>
        <v>97</v>
      </c>
      <c r="F558">
        <f t="shared" si="76"/>
        <v>141</v>
      </c>
      <c r="G558">
        <f t="shared" si="76"/>
        <v>180</v>
      </c>
      <c r="H558">
        <f t="shared" si="76"/>
        <v>229</v>
      </c>
      <c r="I558">
        <f t="shared" si="76"/>
        <v>251</v>
      </c>
      <c r="J558">
        <f t="shared" si="76"/>
        <v>287</v>
      </c>
      <c r="K558">
        <f t="shared" si="76"/>
        <v>306</v>
      </c>
      <c r="L558">
        <f t="shared" si="78"/>
        <v>324</v>
      </c>
      <c r="M558">
        <f t="shared" si="73"/>
        <v>339</v>
      </c>
      <c r="N558">
        <f t="shared" si="73"/>
        <v>351</v>
      </c>
      <c r="O558">
        <f t="shared" si="73"/>
        <v>376</v>
      </c>
      <c r="P558">
        <f t="shared" si="73"/>
        <v>394</v>
      </c>
      <c r="Q558">
        <f t="shared" si="73"/>
        <v>420</v>
      </c>
      <c r="S558" t="str">
        <f t="shared" si="71"/>
        <v>02.12.2025</v>
      </c>
      <c r="T558" t="str">
        <f t="shared" si="72"/>
        <v>14:00:00</v>
      </c>
      <c r="U558" t="str">
        <f t="shared" si="74"/>
        <v>02.12.2025 14:00:00</v>
      </c>
      <c r="V558" s="9" t="str">
        <f>MID($A558,C558+C$2+1,D558-C558-C$2-1)</f>
        <v>0</v>
      </c>
      <c r="W558" s="4">
        <f>VALUE(SUBSTITUTE(MID($A558,D558+D$2+1,E558-D558-D$2-1),",","."))</f>
        <v>0.59220956663479696</v>
      </c>
      <c r="X558" s="4">
        <f>VALUE(SUBSTITUTE(MID($A558,E558+E$2+1,F558-E558-E$2-1),",","."))</f>
        <v>0.90957602214449496</v>
      </c>
      <c r="Y558" s="4">
        <f>VALUE(SUBSTITUTE(MID($A558,F558+F$2+1,G558-F558-F$2-1),",","."))</f>
        <v>0.278246673768548</v>
      </c>
      <c r="Z558" s="3">
        <f>VALUE(SUBSTITUTE(MID($A558,G558+G$2+1,H558-G558-G$2-1),",","."))</f>
        <v>16.8666666666666</v>
      </c>
      <c r="AA558" s="3">
        <f>VALUE(SUBSTITUTE(MID($A558,H558+H$2+1,I558-H558-H$2-1),",","."))</f>
        <v>0</v>
      </c>
      <c r="AB558" s="3">
        <f>VALUE(SUBSTITUTE(MID($A558,I558+I$2+1,J558-I558-I$2-1),",","."))</f>
        <v>80.5</v>
      </c>
      <c r="AC558" s="3">
        <f>VALUE(SUBSTITUTE(MID($A558,J558+J$2+1,K558-J558-J$2-1),",","."))</f>
        <v>2.4</v>
      </c>
      <c r="AD558" s="3">
        <f>VALUE(SUBSTITUTE(MID($A558,K558+K$2+1,L558-K558-K$2-1),",","."))</f>
        <v>11.7</v>
      </c>
      <c r="AE558" s="3">
        <f>VALUE(SUBSTITUTE(MID($A558,L558+L$2+1,M558-L558-L$2-1),",","."))</f>
        <v>0</v>
      </c>
      <c r="AF558" s="3">
        <f>VALUE(SUBSTITUTE(MID($A558,M558+M$2+1,N558-M558-M$2-1),",","."))</f>
        <v>0</v>
      </c>
      <c r="AG558" s="3">
        <f>VALUE(SUBSTITUTE(MID($A558,N558+N$2+1,O558-N558-N$2-1),",","."))</f>
        <v>4.2192892825637296</v>
      </c>
      <c r="AH558" t="str">
        <f>MID($A558,O558+O$2+1,P558-O558-O$2-1)</f>
        <v/>
      </c>
      <c r="AI558" s="8" t="str">
        <f>MID($A558,P558+P$2+1,Q558-P558-P$2-1)</f>
        <v>False</v>
      </c>
      <c r="AK558" t="b">
        <f t="shared" si="75"/>
        <v>1</v>
      </c>
    </row>
    <row r="559" spans="1:37" x14ac:dyDescent="0.35">
      <c r="A559" t="s">
        <v>5106</v>
      </c>
      <c r="B559">
        <f t="shared" si="77"/>
        <v>10</v>
      </c>
      <c r="C559">
        <f t="shared" si="77"/>
        <v>43</v>
      </c>
      <c r="D559">
        <f t="shared" si="77"/>
        <v>54</v>
      </c>
      <c r="E559">
        <f t="shared" si="76"/>
        <v>97</v>
      </c>
      <c r="F559">
        <f t="shared" si="76"/>
        <v>141</v>
      </c>
      <c r="G559">
        <f t="shared" si="76"/>
        <v>179</v>
      </c>
      <c r="H559">
        <f t="shared" si="76"/>
        <v>228</v>
      </c>
      <c r="I559">
        <f t="shared" si="76"/>
        <v>250</v>
      </c>
      <c r="J559">
        <f t="shared" si="76"/>
        <v>286</v>
      </c>
      <c r="K559">
        <f t="shared" si="76"/>
        <v>305</v>
      </c>
      <c r="L559">
        <f t="shared" si="78"/>
        <v>323</v>
      </c>
      <c r="M559">
        <f t="shared" si="73"/>
        <v>338</v>
      </c>
      <c r="N559">
        <f t="shared" si="73"/>
        <v>350</v>
      </c>
      <c r="O559">
        <f t="shared" si="73"/>
        <v>375</v>
      </c>
      <c r="P559">
        <f t="shared" si="73"/>
        <v>393</v>
      </c>
      <c r="Q559">
        <f t="shared" si="73"/>
        <v>419</v>
      </c>
      <c r="S559" t="str">
        <f t="shared" si="71"/>
        <v>02.12.2025</v>
      </c>
      <c r="T559" t="str">
        <f t="shared" si="72"/>
        <v>14:15:00</v>
      </c>
      <c r="U559" t="str">
        <f t="shared" si="74"/>
        <v>02.12.2025 14:15:00</v>
      </c>
      <c r="V559" s="9" t="str">
        <f>MID($A559,C559+C$2+1,D559-C559-C$2-1)</f>
        <v>0</v>
      </c>
      <c r="W559" s="4">
        <f>VALUE(SUBSTITUTE(MID($A559,D559+D$2+1,E559-D559-D$2-1),",","."))</f>
        <v>0.55242082199787901</v>
      </c>
      <c r="X559" s="4">
        <f>VALUE(SUBSTITUTE(MID($A559,E559+E$2+1,F559-E559-E$2-1),",","."))</f>
        <v>0.90957602214449496</v>
      </c>
      <c r="Y559" s="4">
        <f>VALUE(SUBSTITUTE(MID($A559,F559+F$2+1,G559-F559-F$2-1),",","."))</f>
        <v>0.25766022355047302</v>
      </c>
      <c r="Z559" s="3">
        <f>VALUE(SUBSTITUTE(MID($A559,G559+G$2+1,H559-G559-G$2-1),",","."))</f>
        <v>16.8666666666666</v>
      </c>
      <c r="AA559" s="3">
        <f>VALUE(SUBSTITUTE(MID($A559,H559+H$2+1,I559-H559-H$2-1),",","."))</f>
        <v>0</v>
      </c>
      <c r="AB559" s="3">
        <f>VALUE(SUBSTITUTE(MID($A559,I559+I$2+1,J559-I559-I$2-1),",","."))</f>
        <v>80.5</v>
      </c>
      <c r="AC559" s="3">
        <f>VALUE(SUBSTITUTE(MID($A559,J559+J$2+1,K559-J559-J$2-1),",","."))</f>
        <v>2.4</v>
      </c>
      <c r="AD559" s="3">
        <f>VALUE(SUBSTITUTE(MID($A559,K559+K$2+1,L559-K559-K$2-1),",","."))</f>
        <v>11.7</v>
      </c>
      <c r="AE559" s="3">
        <f>VALUE(SUBSTITUTE(MID($A559,L559+L$2+1,M559-L559-L$2-1),",","."))</f>
        <v>0</v>
      </c>
      <c r="AF559" s="3">
        <f>VALUE(SUBSTITUTE(MID($A559,M559+M$2+1,N559-M559-M$2-1),",","."))</f>
        <v>0</v>
      </c>
      <c r="AG559" s="3">
        <f>VALUE(SUBSTITUTE(MID($A559,N559+N$2+1,O559-N559-N$2-1),",","."))</f>
        <v>4.2193178024518101</v>
      </c>
      <c r="AH559" t="str">
        <f>MID($A559,O559+O$2+1,P559-O559-O$2-1)</f>
        <v/>
      </c>
      <c r="AI559" s="8" t="str">
        <f>MID($A559,P559+P$2+1,Q559-P559-P$2-1)</f>
        <v>False</v>
      </c>
      <c r="AK559" t="b">
        <f t="shared" si="75"/>
        <v>1</v>
      </c>
    </row>
    <row r="560" spans="1:37" x14ac:dyDescent="0.35">
      <c r="A560" t="s">
        <v>5107</v>
      </c>
      <c r="B560">
        <f t="shared" si="77"/>
        <v>10</v>
      </c>
      <c r="C560">
        <f t="shared" si="77"/>
        <v>43</v>
      </c>
      <c r="D560">
        <f t="shared" si="77"/>
        <v>54</v>
      </c>
      <c r="E560">
        <f t="shared" si="76"/>
        <v>97</v>
      </c>
      <c r="F560">
        <f t="shared" si="76"/>
        <v>141</v>
      </c>
      <c r="G560">
        <f t="shared" si="76"/>
        <v>179</v>
      </c>
      <c r="H560">
        <f t="shared" si="76"/>
        <v>227</v>
      </c>
      <c r="I560">
        <f t="shared" si="76"/>
        <v>249</v>
      </c>
      <c r="J560">
        <f t="shared" si="76"/>
        <v>283</v>
      </c>
      <c r="K560">
        <f t="shared" si="76"/>
        <v>302</v>
      </c>
      <c r="L560">
        <f t="shared" si="78"/>
        <v>333</v>
      </c>
      <c r="M560">
        <f t="shared" si="73"/>
        <v>348</v>
      </c>
      <c r="N560">
        <f t="shared" si="73"/>
        <v>360</v>
      </c>
      <c r="O560">
        <f t="shared" si="73"/>
        <v>385</v>
      </c>
      <c r="P560">
        <f t="shared" si="73"/>
        <v>403</v>
      </c>
      <c r="Q560">
        <f t="shared" si="73"/>
        <v>429</v>
      </c>
      <c r="S560" t="str">
        <f t="shared" si="71"/>
        <v>02.12.2025</v>
      </c>
      <c r="T560" t="str">
        <f t="shared" si="72"/>
        <v>14:30:00</v>
      </c>
      <c r="U560" t="str">
        <f t="shared" si="74"/>
        <v>02.12.2025 14:30:00</v>
      </c>
      <c r="V560" s="9" t="str">
        <f>MID($A560,C560+C$2+1,D560-C560-C$2-1)</f>
        <v>0</v>
      </c>
      <c r="W560" s="4">
        <f>VALUE(SUBSTITUTE(MID($A560,D560+D$2+1,E560-D560-D$2-1),",","."))</f>
        <v>0.50990599686092497</v>
      </c>
      <c r="X560" s="4">
        <f>VALUE(SUBSTITUTE(MID($A560,E560+E$2+1,F560-E560-E$2-1),",","."))</f>
        <v>0.90957602214449496</v>
      </c>
      <c r="Y560" s="4">
        <f>VALUE(SUBSTITUTE(MID($A560,F560+F$2+1,G560-F560-F$2-1),",","."))</f>
        <v>0.234819479644403</v>
      </c>
      <c r="Z560" s="3">
        <f>VALUE(SUBSTITUTE(MID($A560,G560+G$2+1,H560-G560-G$2-1),",","."))</f>
        <v>19.8333333333333</v>
      </c>
      <c r="AA560" s="3">
        <f>VALUE(SUBSTITUTE(MID($A560,H560+H$2+1,I560-H560-H$2-1),",","."))</f>
        <v>0</v>
      </c>
      <c r="AB560" s="3">
        <f>VALUE(SUBSTITUTE(MID($A560,I560+I$2+1,J560-I560-I$2-1),",","."))</f>
        <v>67</v>
      </c>
      <c r="AC560" s="3">
        <f>VALUE(SUBSTITUTE(MID($A560,J560+J$2+1,K560-J560-J$2-1),",","."))</f>
        <v>2.2000000000000002</v>
      </c>
      <c r="AD560" s="3">
        <f>VALUE(SUBSTITUTE(MID($A560,K560+K$2+1,L560-K560-K$2-1),",","."))</f>
        <v>9.5399999999999991</v>
      </c>
      <c r="AE560" s="3">
        <f>VALUE(SUBSTITUTE(MID($A560,L560+L$2+1,M560-L560-L$2-1),",","."))</f>
        <v>0</v>
      </c>
      <c r="AF560" s="3">
        <f>VALUE(SUBSTITUTE(MID($A560,M560+M$2+1,N560-M560-M$2-1),",","."))</f>
        <v>0</v>
      </c>
      <c r="AG560" s="3">
        <f>VALUE(SUBSTITUTE(MID($A560,N560+N$2+1,O560-N560-N$2-1),",","."))</f>
        <v>4.2193463223398897</v>
      </c>
      <c r="AH560" t="str">
        <f>MID($A560,O560+O$2+1,P560-O560-O$2-1)</f>
        <v/>
      </c>
      <c r="AI560" s="8" t="str">
        <f>MID($A560,P560+P$2+1,Q560-P560-P$2-1)</f>
        <v>False</v>
      </c>
      <c r="AK560" t="b">
        <f t="shared" si="75"/>
        <v>1</v>
      </c>
    </row>
    <row r="561" spans="1:37" x14ac:dyDescent="0.35">
      <c r="A561" t="s">
        <v>5108</v>
      </c>
      <c r="B561">
        <f t="shared" si="77"/>
        <v>10</v>
      </c>
      <c r="C561">
        <f t="shared" si="77"/>
        <v>43</v>
      </c>
      <c r="D561">
        <f t="shared" si="77"/>
        <v>54</v>
      </c>
      <c r="E561">
        <f t="shared" si="76"/>
        <v>97</v>
      </c>
      <c r="F561">
        <f t="shared" si="76"/>
        <v>141</v>
      </c>
      <c r="G561">
        <f t="shared" si="76"/>
        <v>179</v>
      </c>
      <c r="H561">
        <f t="shared" si="76"/>
        <v>227</v>
      </c>
      <c r="I561">
        <f t="shared" si="76"/>
        <v>249</v>
      </c>
      <c r="J561">
        <f t="shared" si="76"/>
        <v>283</v>
      </c>
      <c r="K561">
        <f t="shared" si="76"/>
        <v>302</v>
      </c>
      <c r="L561">
        <f t="shared" si="78"/>
        <v>333</v>
      </c>
      <c r="M561">
        <f t="shared" si="73"/>
        <v>348</v>
      </c>
      <c r="N561">
        <f t="shared" si="73"/>
        <v>360</v>
      </c>
      <c r="O561">
        <f t="shared" si="73"/>
        <v>385</v>
      </c>
      <c r="P561">
        <f t="shared" si="73"/>
        <v>403</v>
      </c>
      <c r="Q561">
        <f t="shared" si="73"/>
        <v>429</v>
      </c>
      <c r="S561" t="str">
        <f t="shared" si="71"/>
        <v>02.12.2025</v>
      </c>
      <c r="T561" t="str">
        <f t="shared" si="72"/>
        <v>14:45:00</v>
      </c>
      <c r="U561" t="str">
        <f t="shared" si="74"/>
        <v>02.12.2025 14:45:00</v>
      </c>
      <c r="V561" s="9" t="str">
        <f>MID($A561,C561+C$2+1,D561-C561-C$2-1)</f>
        <v>0</v>
      </c>
      <c r="W561" s="4">
        <f>VALUE(SUBSTITUTE(MID($A561,D561+D$2+1,E561-D561-D$2-1),",","."))</f>
        <v>0.46485512885471503</v>
      </c>
      <c r="X561" s="4">
        <f>VALUE(SUBSTITUTE(MID($A561,E561+E$2+1,F561-E561-E$2-1),",","."))</f>
        <v>0.90957602214449496</v>
      </c>
      <c r="Y561" s="4">
        <f>VALUE(SUBSTITUTE(MID($A561,F561+F$2+1,G561-F561-F$2-1),",","."))</f>
        <v>0.20983195495013501</v>
      </c>
      <c r="Z561" s="3">
        <f>VALUE(SUBSTITUTE(MID($A561,G561+G$2+1,H561-G561-G$2-1),",","."))</f>
        <v>19.8333333333333</v>
      </c>
      <c r="AA561" s="3">
        <f>VALUE(SUBSTITUTE(MID($A561,H561+H$2+1,I561-H561-H$2-1),",","."))</f>
        <v>0</v>
      </c>
      <c r="AB561" s="3">
        <f>VALUE(SUBSTITUTE(MID($A561,I561+I$2+1,J561-I561-I$2-1),",","."))</f>
        <v>67</v>
      </c>
      <c r="AC561" s="3">
        <f>VALUE(SUBSTITUTE(MID($A561,J561+J$2+1,K561-J561-J$2-1),",","."))</f>
        <v>2.2000000000000002</v>
      </c>
      <c r="AD561" s="3">
        <f>VALUE(SUBSTITUTE(MID($A561,K561+K$2+1,L561-K561-K$2-1),",","."))</f>
        <v>9.5399999999999991</v>
      </c>
      <c r="AE561" s="3">
        <f>VALUE(SUBSTITUTE(MID($A561,L561+L$2+1,M561-L561-L$2-1),",","."))</f>
        <v>0</v>
      </c>
      <c r="AF561" s="3">
        <f>VALUE(SUBSTITUTE(MID($A561,M561+M$2+1,N561-M561-M$2-1),",","."))</f>
        <v>0</v>
      </c>
      <c r="AG561" s="3">
        <f>VALUE(SUBSTITUTE(MID($A561,N561+N$2+1,O561-N561-N$2-1),",","."))</f>
        <v>4.2193748422279702</v>
      </c>
      <c r="AH561" t="str">
        <f>MID($A561,O561+O$2+1,P561-O561-O$2-1)</f>
        <v/>
      </c>
      <c r="AI561" s="8" t="str">
        <f>MID($A561,P561+P$2+1,Q561-P561-P$2-1)</f>
        <v>False</v>
      </c>
      <c r="AK561" t="b">
        <f t="shared" si="75"/>
        <v>1</v>
      </c>
    </row>
    <row r="562" spans="1:37" x14ac:dyDescent="0.35">
      <c r="A562" t="s">
        <v>5109</v>
      </c>
      <c r="B562">
        <f t="shared" si="77"/>
        <v>10</v>
      </c>
      <c r="C562">
        <f t="shared" si="77"/>
        <v>43</v>
      </c>
      <c r="D562">
        <f t="shared" si="77"/>
        <v>54</v>
      </c>
      <c r="E562">
        <f t="shared" si="76"/>
        <v>98</v>
      </c>
      <c r="F562">
        <f t="shared" si="76"/>
        <v>142</v>
      </c>
      <c r="G562">
        <f t="shared" si="76"/>
        <v>180</v>
      </c>
      <c r="H562">
        <f t="shared" si="76"/>
        <v>228</v>
      </c>
      <c r="I562">
        <f t="shared" si="76"/>
        <v>250</v>
      </c>
      <c r="J562">
        <f t="shared" si="76"/>
        <v>284</v>
      </c>
      <c r="K562">
        <f t="shared" si="76"/>
        <v>303</v>
      </c>
      <c r="L562">
        <f t="shared" si="78"/>
        <v>334</v>
      </c>
      <c r="M562">
        <f t="shared" si="73"/>
        <v>349</v>
      </c>
      <c r="N562">
        <f t="shared" si="73"/>
        <v>361</v>
      </c>
      <c r="O562">
        <f t="shared" si="73"/>
        <v>387</v>
      </c>
      <c r="P562">
        <f t="shared" si="73"/>
        <v>405</v>
      </c>
      <c r="Q562">
        <f t="shared" si="73"/>
        <v>431</v>
      </c>
      <c r="S562" t="str">
        <f t="shared" si="71"/>
        <v>02.12.2025</v>
      </c>
      <c r="T562" t="str">
        <f t="shared" si="72"/>
        <v>15:00:00</v>
      </c>
      <c r="U562" t="str">
        <f t="shared" si="74"/>
        <v>02.12.2025 15:00:00</v>
      </c>
      <c r="V562" s="9" t="str">
        <f>MID($A562,C562+C$2+1,D562-C562-C$2-1)</f>
        <v>0</v>
      </c>
      <c r="W562" s="4">
        <f>VALUE(SUBSTITUTE(MID($A562,D562+D$2+1,E562-D562-D$2-1),",","."))</f>
        <v>0.41747412583098298</v>
      </c>
      <c r="X562" s="4">
        <f>VALUE(SUBSTITUTE(MID($A562,E562+E$2+1,F562-E562-E$2-1),",","."))</f>
        <v>0.90957602214449496</v>
      </c>
      <c r="Y562" s="4">
        <f>VALUE(SUBSTITUTE(MID($A562,F562+F$2+1,G562-F562-F$2-1),",","."))</f>
        <v>0.18282045007610201</v>
      </c>
      <c r="Z562" s="3">
        <f>VALUE(SUBSTITUTE(MID($A562,G562+G$2+1,H562-G562-G$2-1),",","."))</f>
        <v>19.8333333333333</v>
      </c>
      <c r="AA562" s="3">
        <f>VALUE(SUBSTITUTE(MID($A562,H562+H$2+1,I562-H562-H$2-1),",","."))</f>
        <v>0</v>
      </c>
      <c r="AB562" s="3">
        <f>VALUE(SUBSTITUTE(MID($A562,I562+I$2+1,J562-I562-I$2-1),",","."))</f>
        <v>67</v>
      </c>
      <c r="AC562" s="3">
        <f>VALUE(SUBSTITUTE(MID($A562,J562+J$2+1,K562-J562-J$2-1),",","."))</f>
        <v>2.2000000000000002</v>
      </c>
      <c r="AD562" s="3">
        <f>VALUE(SUBSTITUTE(MID($A562,K562+K$2+1,L562-K562-K$2-1),",","."))</f>
        <v>9.5399999999999991</v>
      </c>
      <c r="AE562" s="3">
        <f>VALUE(SUBSTITUTE(MID($A562,L562+L$2+1,M562-L562-L$2-1),",","."))</f>
        <v>0</v>
      </c>
      <c r="AF562" s="3">
        <f>VALUE(SUBSTITUTE(MID($A562,M562+M$2+1,N562-M562-M$2-1),",","."))</f>
        <v>0</v>
      </c>
      <c r="AG562" s="3">
        <f>VALUE(SUBSTITUTE(MID($A562,N562+N$2+1,O562-N562-N$2-1),",","."))</f>
        <v>4.2194033621160596</v>
      </c>
      <c r="AH562" t="str">
        <f>MID($A562,O562+O$2+1,P562-O562-O$2-1)</f>
        <v/>
      </c>
      <c r="AI562" s="8" t="str">
        <f>MID($A562,P562+P$2+1,Q562-P562-P$2-1)</f>
        <v>False</v>
      </c>
      <c r="AK562" t="b">
        <f t="shared" si="75"/>
        <v>1</v>
      </c>
    </row>
    <row r="563" spans="1:37" x14ac:dyDescent="0.35">
      <c r="A563" t="s">
        <v>5110</v>
      </c>
      <c r="B563">
        <f t="shared" si="77"/>
        <v>10</v>
      </c>
      <c r="C563">
        <f t="shared" si="77"/>
        <v>43</v>
      </c>
      <c r="D563">
        <f t="shared" si="77"/>
        <v>54</v>
      </c>
      <c r="E563">
        <f t="shared" si="76"/>
        <v>97</v>
      </c>
      <c r="F563">
        <f t="shared" si="76"/>
        <v>141</v>
      </c>
      <c r="G563">
        <f t="shared" si="76"/>
        <v>180</v>
      </c>
      <c r="H563">
        <f t="shared" si="76"/>
        <v>228</v>
      </c>
      <c r="I563">
        <f t="shared" si="76"/>
        <v>250</v>
      </c>
      <c r="J563">
        <f t="shared" si="76"/>
        <v>284</v>
      </c>
      <c r="K563">
        <f t="shared" si="76"/>
        <v>303</v>
      </c>
      <c r="L563">
        <f t="shared" si="78"/>
        <v>334</v>
      </c>
      <c r="M563">
        <f t="shared" si="73"/>
        <v>349</v>
      </c>
      <c r="N563">
        <f t="shared" si="73"/>
        <v>361</v>
      </c>
      <c r="O563">
        <f t="shared" si="73"/>
        <v>386</v>
      </c>
      <c r="P563">
        <f t="shared" si="73"/>
        <v>404</v>
      </c>
      <c r="Q563">
        <f t="shared" si="73"/>
        <v>430</v>
      </c>
      <c r="S563" t="str">
        <f t="shared" si="71"/>
        <v>02.12.2025</v>
      </c>
      <c r="T563" t="str">
        <f t="shared" si="72"/>
        <v>15:15:00</v>
      </c>
      <c r="U563" t="str">
        <f t="shared" si="74"/>
        <v>02.12.2025 15:15:00</v>
      </c>
      <c r="V563" s="9" t="str">
        <f>MID($A563,C563+C$2+1,D563-C563-C$2-1)</f>
        <v>0</v>
      </c>
      <c r="W563" s="4">
        <f>VALUE(SUBSTITUTE(MID($A563,D563+D$2+1,E563-D563-D$2-1),",","."))</f>
        <v>0.36798838243246101</v>
      </c>
      <c r="X563" s="4">
        <f>VALUE(SUBSTITUTE(MID($A563,E563+E$2+1,F563-E563-E$2-1),",","."))</f>
        <v>0.90957602214449496</v>
      </c>
      <c r="Y563" s="4">
        <f>VALUE(SUBSTITUTE(MID($A563,F563+F$2+1,G563-F563-F$2-1),",","."))</f>
        <v>0.15392799299287999</v>
      </c>
      <c r="Z563" s="3">
        <f>VALUE(SUBSTITUTE(MID($A563,G563+G$2+1,H563-G563-G$2-1),",","."))</f>
        <v>19.8333333333333</v>
      </c>
      <c r="AA563" s="3">
        <f>VALUE(SUBSTITUTE(MID($A563,H563+H$2+1,I563-H563-H$2-1),",","."))</f>
        <v>0</v>
      </c>
      <c r="AB563" s="3">
        <f>VALUE(SUBSTITUTE(MID($A563,I563+I$2+1,J563-I563-I$2-1),",","."))</f>
        <v>67</v>
      </c>
      <c r="AC563" s="3">
        <f>VALUE(SUBSTITUTE(MID($A563,J563+J$2+1,K563-J563-J$2-1),",","."))</f>
        <v>2.2000000000000002</v>
      </c>
      <c r="AD563" s="3">
        <f>VALUE(SUBSTITUTE(MID($A563,K563+K$2+1,L563-K563-K$2-1),",","."))</f>
        <v>9.5399999999999991</v>
      </c>
      <c r="AE563" s="3">
        <f>VALUE(SUBSTITUTE(MID($A563,L563+L$2+1,M563-L563-L$2-1),",","."))</f>
        <v>0</v>
      </c>
      <c r="AF563" s="3">
        <f>VALUE(SUBSTITUTE(MID($A563,M563+M$2+1,N563-M563-M$2-1),",","."))</f>
        <v>0</v>
      </c>
      <c r="AG563" s="3">
        <f>VALUE(SUBSTITUTE(MID($A563,N563+N$2+1,O563-N563-N$2-1),",","."))</f>
        <v>4.2194318820041401</v>
      </c>
      <c r="AH563" t="str">
        <f>MID($A563,O563+O$2+1,P563-O563-O$2-1)</f>
        <v/>
      </c>
      <c r="AI563" s="8" t="str">
        <f>MID($A563,P563+P$2+1,Q563-P563-P$2-1)</f>
        <v>False</v>
      </c>
      <c r="AK563" t="b">
        <f t="shared" si="75"/>
        <v>1</v>
      </c>
    </row>
    <row r="564" spans="1:37" x14ac:dyDescent="0.35">
      <c r="A564" t="s">
        <v>5111</v>
      </c>
      <c r="B564">
        <f t="shared" si="77"/>
        <v>10</v>
      </c>
      <c r="C564">
        <f t="shared" si="77"/>
        <v>43</v>
      </c>
      <c r="D564">
        <f t="shared" si="77"/>
        <v>54</v>
      </c>
      <c r="E564">
        <f t="shared" si="76"/>
        <v>97</v>
      </c>
      <c r="F564">
        <f t="shared" si="76"/>
        <v>141</v>
      </c>
      <c r="G564">
        <f t="shared" si="76"/>
        <v>180</v>
      </c>
      <c r="H564">
        <f t="shared" si="76"/>
        <v>215</v>
      </c>
      <c r="I564">
        <f t="shared" si="76"/>
        <v>237</v>
      </c>
      <c r="J564">
        <f t="shared" si="76"/>
        <v>273</v>
      </c>
      <c r="K564">
        <f t="shared" si="76"/>
        <v>293</v>
      </c>
      <c r="L564">
        <f t="shared" si="78"/>
        <v>311</v>
      </c>
      <c r="M564">
        <f t="shared" si="78"/>
        <v>326</v>
      </c>
      <c r="N564">
        <f t="shared" si="78"/>
        <v>338</v>
      </c>
      <c r="O564">
        <f t="shared" si="78"/>
        <v>363</v>
      </c>
      <c r="P564">
        <f t="shared" si="78"/>
        <v>381</v>
      </c>
      <c r="Q564">
        <f t="shared" si="78"/>
        <v>407</v>
      </c>
      <c r="S564" t="str">
        <f t="shared" si="71"/>
        <v>02.12.2025</v>
      </c>
      <c r="T564" t="str">
        <f t="shared" si="72"/>
        <v>15:30:00</v>
      </c>
      <c r="U564" t="str">
        <f t="shared" si="74"/>
        <v>02.12.2025 15:30:00</v>
      </c>
      <c r="V564" s="9" t="str">
        <f>MID($A564,C564+C$2+1,D564-C564-C$2-1)</f>
        <v>0</v>
      </c>
      <c r="W564" s="4">
        <f>VALUE(SUBSTITUTE(MID($A564,D564+D$2+1,E564-D564-D$2-1),",","."))</f>
        <v>0.31665206393121698</v>
      </c>
      <c r="X564" s="4">
        <f>VALUE(SUBSTITUTE(MID($A564,E564+E$2+1,F564-E564-E$2-1),",","."))</f>
        <v>0.90957602214449496</v>
      </c>
      <c r="Y564" s="4">
        <f>VALUE(SUBSTITUTE(MID($A564,F564+F$2+1,G564-F564-F$2-1),",","."))</f>
        <v>0.123329677553444</v>
      </c>
      <c r="Z564" s="3">
        <f>VALUE(SUBSTITUTE(MID($A564,G564+G$2+1,H564-G564-G$2-1),",","."))</f>
        <v>25.6</v>
      </c>
      <c r="AA564" s="3">
        <f>VALUE(SUBSTITUTE(MID($A564,H564+H$2+1,I564-H564-H$2-1),",","."))</f>
        <v>0</v>
      </c>
      <c r="AB564" s="3">
        <f>VALUE(SUBSTITUTE(MID($A564,I564+I$2+1,J564-I564-I$2-1),",","."))</f>
        <v>39.5</v>
      </c>
      <c r="AC564" s="3">
        <f>VALUE(SUBSTITUTE(MID($A564,J564+J$2+1,K564-J564-J$2-1),",","."))</f>
        <v>1.85</v>
      </c>
      <c r="AD564" s="3">
        <f>VALUE(SUBSTITUTE(MID($A564,K564+K$2+1,L564-K564-K$2-1),",","."))</f>
        <v>6.48</v>
      </c>
      <c r="AE564" s="3">
        <f>VALUE(SUBSTITUTE(MID($A564,L564+L$2+1,M564-L564-L$2-1),",","."))</f>
        <v>0</v>
      </c>
      <c r="AF564" s="3">
        <f>VALUE(SUBSTITUTE(MID($A564,M564+M$2+1,N564-M564-M$2-1),",","."))</f>
        <v>0</v>
      </c>
      <c r="AG564" s="3">
        <f>VALUE(SUBSTITUTE(MID($A564,N564+N$2+1,O564-N564-N$2-1),",","."))</f>
        <v>4.2194604018922197</v>
      </c>
      <c r="AH564" t="str">
        <f>MID($A564,O564+O$2+1,P564-O564-O$2-1)</f>
        <v/>
      </c>
      <c r="AI564" s="8" t="str">
        <f>MID($A564,P564+P$2+1,Q564-P564-P$2-1)</f>
        <v>False</v>
      </c>
      <c r="AK564" t="b">
        <f t="shared" si="75"/>
        <v>1</v>
      </c>
    </row>
    <row r="565" spans="1:37" x14ac:dyDescent="0.35">
      <c r="A565" t="s">
        <v>5112</v>
      </c>
      <c r="B565">
        <f t="shared" si="77"/>
        <v>10</v>
      </c>
      <c r="C565">
        <f t="shared" si="77"/>
        <v>43</v>
      </c>
      <c r="D565">
        <f t="shared" si="77"/>
        <v>54</v>
      </c>
      <c r="E565">
        <f t="shared" si="76"/>
        <v>80</v>
      </c>
      <c r="F565">
        <f t="shared" si="76"/>
        <v>124</v>
      </c>
      <c r="G565">
        <f t="shared" si="76"/>
        <v>163</v>
      </c>
      <c r="H565">
        <f t="shared" si="76"/>
        <v>198</v>
      </c>
      <c r="I565">
        <f t="shared" si="76"/>
        <v>220</v>
      </c>
      <c r="J565">
        <f t="shared" si="76"/>
        <v>256</v>
      </c>
      <c r="K565">
        <f t="shared" si="76"/>
        <v>276</v>
      </c>
      <c r="L565">
        <f t="shared" si="78"/>
        <v>294</v>
      </c>
      <c r="M565">
        <f t="shared" si="78"/>
        <v>309</v>
      </c>
      <c r="N565">
        <f t="shared" si="78"/>
        <v>321</v>
      </c>
      <c r="O565">
        <f t="shared" si="78"/>
        <v>346</v>
      </c>
      <c r="P565">
        <f t="shared" si="78"/>
        <v>364</v>
      </c>
      <c r="Q565">
        <f t="shared" si="78"/>
        <v>390</v>
      </c>
      <c r="S565" t="str">
        <f t="shared" si="71"/>
        <v>02.12.2025</v>
      </c>
      <c r="T565" t="str">
        <f t="shared" si="72"/>
        <v>15:45:00</v>
      </c>
      <c r="U565" t="str">
        <f t="shared" si="74"/>
        <v>02.12.2025 15:45:00</v>
      </c>
      <c r="V565" s="9" t="str">
        <f>MID($A565,C565+C$2+1,D565-C565-C$2-1)</f>
        <v>0</v>
      </c>
      <c r="W565" s="4">
        <f>VALUE(SUBSTITUTE(MID($A565,D565+D$2+1,E565-D565-D$2-1),",","."))</f>
        <v>0</v>
      </c>
      <c r="X565" s="4">
        <f>VALUE(SUBSTITUTE(MID($A565,E565+E$2+1,F565-E565-E$2-1),",","."))</f>
        <v>0.90957602214449496</v>
      </c>
      <c r="Y565" s="4">
        <f>VALUE(SUBSTITUTE(MID($A565,F565+F$2+1,G565-F565-F$2-1),",","."))</f>
        <v>9.1263908266653607E-2</v>
      </c>
      <c r="Z565" s="3">
        <f>VALUE(SUBSTITUTE(MID($A565,G565+G$2+1,H565-G565-G$2-1),",","."))</f>
        <v>25.6</v>
      </c>
      <c r="AA565" s="3">
        <f>VALUE(SUBSTITUTE(MID($A565,H565+H$2+1,I565-H565-H$2-1),",","."))</f>
        <v>0</v>
      </c>
      <c r="AB565" s="3">
        <f>VALUE(SUBSTITUTE(MID($A565,I565+I$2+1,J565-I565-I$2-1),",","."))</f>
        <v>39.5</v>
      </c>
      <c r="AC565" s="3">
        <f>VALUE(SUBSTITUTE(MID($A565,J565+J$2+1,K565-J565-J$2-1),",","."))</f>
        <v>1.85</v>
      </c>
      <c r="AD565" s="3">
        <f>VALUE(SUBSTITUTE(MID($A565,K565+K$2+1,L565-K565-K$2-1),",","."))</f>
        <v>6.48</v>
      </c>
      <c r="AE565" s="3">
        <f>VALUE(SUBSTITUTE(MID($A565,L565+L$2+1,M565-L565-L$2-1),",","."))</f>
        <v>0</v>
      </c>
      <c r="AF565" s="3">
        <f>VALUE(SUBSTITUTE(MID($A565,M565+M$2+1,N565-M565-M$2-1),",","."))</f>
        <v>0</v>
      </c>
      <c r="AG565" s="3">
        <f>VALUE(SUBSTITUTE(MID($A565,N565+N$2+1,O565-N565-N$2-1),",","."))</f>
        <v>4.2194889217803002</v>
      </c>
      <c r="AH565" t="str">
        <f>MID($A565,O565+O$2+1,P565-O565-O$2-1)</f>
        <v/>
      </c>
      <c r="AI565" s="8" t="str">
        <f>MID($A565,P565+P$2+1,Q565-P565-P$2-1)</f>
        <v>False</v>
      </c>
      <c r="AK565" t="b">
        <f t="shared" si="75"/>
        <v>1</v>
      </c>
    </row>
    <row r="566" spans="1:37" x14ac:dyDescent="0.35">
      <c r="A566" t="s">
        <v>5113</v>
      </c>
      <c r="B566">
        <f t="shared" si="77"/>
        <v>10</v>
      </c>
      <c r="C566">
        <f t="shared" si="77"/>
        <v>43</v>
      </c>
      <c r="D566">
        <f t="shared" si="77"/>
        <v>54</v>
      </c>
      <c r="E566">
        <f t="shared" si="76"/>
        <v>80</v>
      </c>
      <c r="F566">
        <f t="shared" si="76"/>
        <v>124</v>
      </c>
      <c r="G566">
        <f t="shared" si="76"/>
        <v>163</v>
      </c>
      <c r="H566">
        <f t="shared" si="76"/>
        <v>198</v>
      </c>
      <c r="I566">
        <f t="shared" si="76"/>
        <v>220</v>
      </c>
      <c r="J566">
        <f t="shared" si="76"/>
        <v>256</v>
      </c>
      <c r="K566">
        <f t="shared" si="76"/>
        <v>276</v>
      </c>
      <c r="L566">
        <f t="shared" si="78"/>
        <v>294</v>
      </c>
      <c r="M566">
        <f t="shared" si="78"/>
        <v>309</v>
      </c>
      <c r="N566">
        <f t="shared" si="78"/>
        <v>321</v>
      </c>
      <c r="O566">
        <f t="shared" si="78"/>
        <v>346</v>
      </c>
      <c r="P566">
        <f t="shared" si="78"/>
        <v>364</v>
      </c>
      <c r="Q566">
        <f t="shared" si="78"/>
        <v>390</v>
      </c>
      <c r="S566" t="str">
        <f t="shared" si="71"/>
        <v>02.12.2025</v>
      </c>
      <c r="T566" t="str">
        <f t="shared" si="72"/>
        <v>16:00:00</v>
      </c>
      <c r="U566" t="str">
        <f t="shared" si="74"/>
        <v>02.12.2025 16:00:00</v>
      </c>
      <c r="V566" s="9" t="str">
        <f>MID($A566,C566+C$2+1,D566-C566-C$2-1)</f>
        <v>0</v>
      </c>
      <c r="W566" s="4">
        <f>VALUE(SUBSTITUTE(MID($A566,D566+D$2+1,E566-D566-D$2-1),",","."))</f>
        <v>0</v>
      </c>
      <c r="X566" s="4">
        <f>VALUE(SUBSTITUTE(MID($A566,E566+E$2+1,F566-E566-E$2-1),",","."))</f>
        <v>0.90957602214449496</v>
      </c>
      <c r="Y566" s="4">
        <f>VALUE(SUBSTITUTE(MID($A566,F566+F$2+1,G566-F566-F$2-1),",","."))</f>
        <v>5.8126761030951601E-2</v>
      </c>
      <c r="Z566" s="3">
        <f>VALUE(SUBSTITUTE(MID($A566,G566+G$2+1,H566-G566-G$2-1),",","."))</f>
        <v>25.6</v>
      </c>
      <c r="AA566" s="3">
        <f>VALUE(SUBSTITUTE(MID($A566,H566+H$2+1,I566-H566-H$2-1),",","."))</f>
        <v>0</v>
      </c>
      <c r="AB566" s="3">
        <f>VALUE(SUBSTITUTE(MID($A566,I566+I$2+1,J566-I566-I$2-1),",","."))</f>
        <v>39.5</v>
      </c>
      <c r="AC566" s="3">
        <f>VALUE(SUBSTITUTE(MID($A566,J566+J$2+1,K566-J566-J$2-1),",","."))</f>
        <v>1.85</v>
      </c>
      <c r="AD566" s="3">
        <f>VALUE(SUBSTITUTE(MID($A566,K566+K$2+1,L566-K566-K$2-1),",","."))</f>
        <v>6.48</v>
      </c>
      <c r="AE566" s="3">
        <f>VALUE(SUBSTITUTE(MID($A566,L566+L$2+1,M566-L566-L$2-1),",","."))</f>
        <v>0</v>
      </c>
      <c r="AF566" s="3">
        <f>VALUE(SUBSTITUTE(MID($A566,M566+M$2+1,N566-M566-M$2-1),",","."))</f>
        <v>0</v>
      </c>
      <c r="AG566" s="3">
        <f>VALUE(SUBSTITUTE(MID($A566,N566+N$2+1,O566-N566-N$2-1),",","."))</f>
        <v>4.2195174416683798</v>
      </c>
      <c r="AH566" t="str">
        <f>MID($A566,O566+O$2+1,P566-O566-O$2-1)</f>
        <v/>
      </c>
      <c r="AI566" s="8" t="str">
        <f>MID($A566,P566+P$2+1,Q566-P566-P$2-1)</f>
        <v>False</v>
      </c>
      <c r="AK566" t="b">
        <f t="shared" si="75"/>
        <v>1</v>
      </c>
    </row>
    <row r="567" spans="1:37" x14ac:dyDescent="0.35">
      <c r="A567" t="s">
        <v>5114</v>
      </c>
      <c r="B567">
        <f t="shared" si="77"/>
        <v>10</v>
      </c>
      <c r="C567">
        <f t="shared" si="77"/>
        <v>43</v>
      </c>
      <c r="D567">
        <f t="shared" si="77"/>
        <v>54</v>
      </c>
      <c r="E567">
        <f t="shared" si="76"/>
        <v>80</v>
      </c>
      <c r="F567">
        <f t="shared" si="76"/>
        <v>124</v>
      </c>
      <c r="G567">
        <f t="shared" si="76"/>
        <v>163</v>
      </c>
      <c r="H567">
        <f t="shared" si="76"/>
        <v>198</v>
      </c>
      <c r="I567">
        <f t="shared" si="76"/>
        <v>220</v>
      </c>
      <c r="J567">
        <f t="shared" si="76"/>
        <v>256</v>
      </c>
      <c r="K567">
        <f t="shared" si="76"/>
        <v>276</v>
      </c>
      <c r="L567">
        <f t="shared" si="78"/>
        <v>294</v>
      </c>
      <c r="M567">
        <f t="shared" si="78"/>
        <v>309</v>
      </c>
      <c r="N567">
        <f t="shared" si="78"/>
        <v>321</v>
      </c>
      <c r="O567">
        <f t="shared" si="78"/>
        <v>346</v>
      </c>
      <c r="P567">
        <f t="shared" si="78"/>
        <v>364</v>
      </c>
      <c r="Q567">
        <f t="shared" si="78"/>
        <v>390</v>
      </c>
      <c r="S567" t="str">
        <f t="shared" si="71"/>
        <v>02.12.2025</v>
      </c>
      <c r="T567" t="str">
        <f t="shared" si="72"/>
        <v>16:15:00</v>
      </c>
      <c r="U567" t="str">
        <f t="shared" si="74"/>
        <v>02.12.2025 16:15:00</v>
      </c>
      <c r="V567" s="9" t="str">
        <f>MID($A567,C567+C$2+1,D567-C567-C$2-1)</f>
        <v>0</v>
      </c>
      <c r="W567" s="4">
        <f>VALUE(SUBSTITUTE(MID($A567,D567+D$2+1,E567-D567-D$2-1),",","."))</f>
        <v>0</v>
      </c>
      <c r="X567" s="4">
        <f>VALUE(SUBSTITUTE(MID($A567,E567+E$2+1,F567-E567-E$2-1),",","."))</f>
        <v>0.90957602214449496</v>
      </c>
      <c r="Y567" s="4">
        <f>VALUE(SUBSTITUTE(MID($A567,F567+F$2+1,G567-F567-F$2-1),",","."))</f>
        <v>2.4795876327727499E-2</v>
      </c>
      <c r="Z567" s="3">
        <f>VALUE(SUBSTITUTE(MID($A567,G567+G$2+1,H567-G567-G$2-1),",","."))</f>
        <v>25.6</v>
      </c>
      <c r="AA567" s="3">
        <f>VALUE(SUBSTITUTE(MID($A567,H567+H$2+1,I567-H567-H$2-1),",","."))</f>
        <v>0</v>
      </c>
      <c r="AB567" s="3">
        <f>VALUE(SUBSTITUTE(MID($A567,I567+I$2+1,J567-I567-I$2-1),",","."))</f>
        <v>39.5</v>
      </c>
      <c r="AC567" s="3">
        <f>VALUE(SUBSTITUTE(MID($A567,J567+J$2+1,K567-J567-J$2-1),",","."))</f>
        <v>1.85</v>
      </c>
      <c r="AD567" s="3">
        <f>VALUE(SUBSTITUTE(MID($A567,K567+K$2+1,L567-K567-K$2-1),",","."))</f>
        <v>6.48</v>
      </c>
      <c r="AE567" s="3">
        <f>VALUE(SUBSTITUTE(MID($A567,L567+L$2+1,M567-L567-L$2-1),",","."))</f>
        <v>0</v>
      </c>
      <c r="AF567" s="3">
        <f>VALUE(SUBSTITUTE(MID($A567,M567+M$2+1,N567-M567-M$2-1),",","."))</f>
        <v>0</v>
      </c>
      <c r="AG567" s="3">
        <f>VALUE(SUBSTITUTE(MID($A567,N567+N$2+1,O567-N567-N$2-1),",","."))</f>
        <v>4.2195459615564603</v>
      </c>
      <c r="AH567" t="str">
        <f>MID($A567,O567+O$2+1,P567-O567-O$2-1)</f>
        <v/>
      </c>
      <c r="AI567" s="8" t="str">
        <f>MID($A567,P567+P$2+1,Q567-P567-P$2-1)</f>
        <v>False</v>
      </c>
      <c r="AK567" t="b">
        <f t="shared" si="75"/>
        <v>1</v>
      </c>
    </row>
    <row r="568" spans="1:37" x14ac:dyDescent="0.35">
      <c r="A568" t="s">
        <v>5115</v>
      </c>
      <c r="B568">
        <f t="shared" si="77"/>
        <v>10</v>
      </c>
      <c r="C568">
        <f t="shared" si="77"/>
        <v>43</v>
      </c>
      <c r="D568">
        <f t="shared" si="77"/>
        <v>54</v>
      </c>
      <c r="E568">
        <f t="shared" si="76"/>
        <v>80</v>
      </c>
      <c r="F568">
        <f t="shared" si="76"/>
        <v>124</v>
      </c>
      <c r="G568">
        <f t="shared" si="76"/>
        <v>145</v>
      </c>
      <c r="H568">
        <f t="shared" si="76"/>
        <v>194</v>
      </c>
      <c r="I568">
        <f t="shared" si="76"/>
        <v>216</v>
      </c>
      <c r="J568">
        <f t="shared" si="76"/>
        <v>251</v>
      </c>
      <c r="K568">
        <f t="shared" si="76"/>
        <v>271</v>
      </c>
      <c r="L568">
        <f t="shared" si="78"/>
        <v>289</v>
      </c>
      <c r="M568">
        <f t="shared" si="78"/>
        <v>304</v>
      </c>
      <c r="N568">
        <f t="shared" si="78"/>
        <v>316</v>
      </c>
      <c r="O568">
        <f t="shared" si="78"/>
        <v>340</v>
      </c>
      <c r="P568">
        <f t="shared" si="78"/>
        <v>358</v>
      </c>
      <c r="Q568">
        <f t="shared" si="78"/>
        <v>384</v>
      </c>
      <c r="S568" t="str">
        <f t="shared" ref="S568:S631" si="79">LEFT(U568,10)</f>
        <v>02.12.2025</v>
      </c>
      <c r="T568" t="str">
        <f t="shared" ref="T568:T631" si="80">MID(U568,12,8)</f>
        <v>16:30:00</v>
      </c>
      <c r="U568" t="str">
        <f t="shared" si="74"/>
        <v>02.12.2025 16:30:00</v>
      </c>
      <c r="V568" s="9" t="str">
        <f>MID($A568,C568+C$2+1,D568-C568-C$2-1)</f>
        <v>0</v>
      </c>
      <c r="W568" s="4">
        <f>VALUE(SUBSTITUTE(MID($A568,D568+D$2+1,E568-D568-D$2-1),",","."))</f>
        <v>0</v>
      </c>
      <c r="X568" s="4">
        <f>VALUE(SUBSTITUTE(MID($A568,E568+E$2+1,F568-E568-E$2-1),",","."))</f>
        <v>0.90957602214449496</v>
      </c>
      <c r="Y568" s="4">
        <f>VALUE(SUBSTITUTE(MID($A568,F568+F$2+1,G568-F568-F$2-1),",","."))</f>
        <v>0</v>
      </c>
      <c r="Z568" s="3">
        <f>VALUE(SUBSTITUTE(MID($A568,G568+G$2+1,H568-G568-G$2-1),",","."))</f>
        <v>11.466666666666599</v>
      </c>
      <c r="AA568" s="3">
        <f>VALUE(SUBSTITUTE(MID($A568,H568+H$2+1,I568-H568-H$2-1),",","."))</f>
        <v>0</v>
      </c>
      <c r="AB568" s="3">
        <f>VALUE(SUBSTITUTE(MID($A568,I568+I$2+1,J568-I568-I$2-1),",","."))</f>
        <v>9.5</v>
      </c>
      <c r="AC568" s="3">
        <f>VALUE(SUBSTITUTE(MID($A568,J568+J$2+1,K568-J568-J$2-1),",","."))</f>
        <v>1.45</v>
      </c>
      <c r="AD568" s="3">
        <f>VALUE(SUBSTITUTE(MID($A568,K568+K$2+1,L568-K568-K$2-1),",","."))</f>
        <v>3.42</v>
      </c>
      <c r="AE568" s="3">
        <f>VALUE(SUBSTITUTE(MID($A568,L568+L$2+1,M568-L568-L$2-1),",","."))</f>
        <v>0</v>
      </c>
      <c r="AF568" s="3">
        <f>VALUE(SUBSTITUTE(MID($A568,M568+M$2+1,N568-M568-M$2-1),",","."))</f>
        <v>0</v>
      </c>
      <c r="AG568" s="3">
        <f>VALUE(SUBSTITUTE(MID($A568,N568+N$2+1,O568-N568-N$2-1),",","."))</f>
        <v>4.2195744814445497</v>
      </c>
      <c r="AH568" t="str">
        <f>MID($A568,O568+O$2+1,P568-O568-O$2-1)</f>
        <v/>
      </c>
      <c r="AI568" s="8" t="str">
        <f>MID($A568,P568+P$2+1,Q568-P568-P$2-1)</f>
        <v>False</v>
      </c>
      <c r="AK568" t="b">
        <f t="shared" si="75"/>
        <v>0</v>
      </c>
    </row>
    <row r="569" spans="1:37" x14ac:dyDescent="0.35">
      <c r="A569" t="s">
        <v>5116</v>
      </c>
      <c r="B569">
        <f t="shared" si="77"/>
        <v>10</v>
      </c>
      <c r="C569">
        <f t="shared" si="77"/>
        <v>43</v>
      </c>
      <c r="D569">
        <f t="shared" si="77"/>
        <v>54</v>
      </c>
      <c r="E569">
        <f t="shared" si="76"/>
        <v>80</v>
      </c>
      <c r="F569">
        <f t="shared" si="76"/>
        <v>124</v>
      </c>
      <c r="G569">
        <f t="shared" si="76"/>
        <v>145</v>
      </c>
      <c r="H569">
        <f t="shared" si="76"/>
        <v>194</v>
      </c>
      <c r="I569">
        <f t="shared" si="76"/>
        <v>216</v>
      </c>
      <c r="J569">
        <f t="shared" si="76"/>
        <v>251</v>
      </c>
      <c r="K569">
        <f t="shared" si="76"/>
        <v>271</v>
      </c>
      <c r="L569">
        <f t="shared" si="78"/>
        <v>289</v>
      </c>
      <c r="M569">
        <f t="shared" si="78"/>
        <v>304</v>
      </c>
      <c r="N569">
        <f t="shared" si="78"/>
        <v>316</v>
      </c>
      <c r="O569">
        <f t="shared" si="78"/>
        <v>341</v>
      </c>
      <c r="P569">
        <f t="shared" si="78"/>
        <v>359</v>
      </c>
      <c r="Q569">
        <f t="shared" si="78"/>
        <v>385</v>
      </c>
      <c r="S569" t="str">
        <f t="shared" si="79"/>
        <v>02.12.2025</v>
      </c>
      <c r="T569" t="str">
        <f t="shared" si="80"/>
        <v>16:45:00</v>
      </c>
      <c r="U569" t="str">
        <f t="shared" si="74"/>
        <v>02.12.2025 16:45:00</v>
      </c>
      <c r="V569" s="9" t="str">
        <f>MID($A569,C569+C$2+1,D569-C569-C$2-1)</f>
        <v>0</v>
      </c>
      <c r="W569" s="4">
        <f>VALUE(SUBSTITUTE(MID($A569,D569+D$2+1,E569-D569-D$2-1),",","."))</f>
        <v>0</v>
      </c>
      <c r="X569" s="4">
        <f>VALUE(SUBSTITUTE(MID($A569,E569+E$2+1,F569-E569-E$2-1),",","."))</f>
        <v>0.90957602214449496</v>
      </c>
      <c r="Y569" s="4">
        <f>VALUE(SUBSTITUTE(MID($A569,F569+F$2+1,G569-F569-F$2-1),",","."))</f>
        <v>0</v>
      </c>
      <c r="Z569" s="3">
        <f>VALUE(SUBSTITUTE(MID($A569,G569+G$2+1,H569-G569-G$2-1),",","."))</f>
        <v>11.466666666666599</v>
      </c>
      <c r="AA569" s="3">
        <f>VALUE(SUBSTITUTE(MID($A569,H569+H$2+1,I569-H569-H$2-1),",","."))</f>
        <v>0</v>
      </c>
      <c r="AB569" s="3">
        <f>VALUE(SUBSTITUTE(MID($A569,I569+I$2+1,J569-I569-I$2-1),",","."))</f>
        <v>9.5</v>
      </c>
      <c r="AC569" s="3">
        <f>VALUE(SUBSTITUTE(MID($A569,J569+J$2+1,K569-J569-J$2-1),",","."))</f>
        <v>1.45</v>
      </c>
      <c r="AD569" s="3">
        <f>VALUE(SUBSTITUTE(MID($A569,K569+K$2+1,L569-K569-K$2-1),",","."))</f>
        <v>3.42</v>
      </c>
      <c r="AE569" s="3">
        <f>VALUE(SUBSTITUTE(MID($A569,L569+L$2+1,M569-L569-L$2-1),",","."))</f>
        <v>0</v>
      </c>
      <c r="AF569" s="3">
        <f>VALUE(SUBSTITUTE(MID($A569,M569+M$2+1,N569-M569-M$2-1),",","."))</f>
        <v>0</v>
      </c>
      <c r="AG569" s="3">
        <f>VALUE(SUBSTITUTE(MID($A569,N569+N$2+1,O569-N569-N$2-1),",","."))</f>
        <v>4.2196030013326302</v>
      </c>
      <c r="AH569" t="str">
        <f>MID($A569,O569+O$2+1,P569-O569-O$2-1)</f>
        <v/>
      </c>
      <c r="AI569" s="8" t="str">
        <f>MID($A569,P569+P$2+1,Q569-P569-P$2-1)</f>
        <v>False</v>
      </c>
      <c r="AK569" t="b">
        <f t="shared" si="75"/>
        <v>0</v>
      </c>
    </row>
    <row r="570" spans="1:37" x14ac:dyDescent="0.35">
      <c r="A570" t="s">
        <v>5117</v>
      </c>
      <c r="B570">
        <f t="shared" si="77"/>
        <v>10</v>
      </c>
      <c r="C570">
        <f t="shared" si="77"/>
        <v>43</v>
      </c>
      <c r="D570">
        <f t="shared" si="77"/>
        <v>54</v>
      </c>
      <c r="E570">
        <f t="shared" si="76"/>
        <v>80</v>
      </c>
      <c r="F570">
        <f t="shared" si="76"/>
        <v>124</v>
      </c>
      <c r="G570">
        <f t="shared" si="76"/>
        <v>145</v>
      </c>
      <c r="H570">
        <f t="shared" si="76"/>
        <v>194</v>
      </c>
      <c r="I570">
        <f t="shared" si="76"/>
        <v>216</v>
      </c>
      <c r="J570">
        <f t="shared" si="76"/>
        <v>251</v>
      </c>
      <c r="K570">
        <f t="shared" si="76"/>
        <v>271</v>
      </c>
      <c r="L570">
        <f t="shared" si="78"/>
        <v>289</v>
      </c>
      <c r="M570">
        <f t="shared" si="78"/>
        <v>304</v>
      </c>
      <c r="N570">
        <f t="shared" si="78"/>
        <v>316</v>
      </c>
      <c r="O570">
        <f t="shared" si="78"/>
        <v>341</v>
      </c>
      <c r="P570">
        <f t="shared" si="78"/>
        <v>359</v>
      </c>
      <c r="Q570">
        <f t="shared" si="78"/>
        <v>385</v>
      </c>
      <c r="S570" t="str">
        <f t="shared" si="79"/>
        <v>02.12.2025</v>
      </c>
      <c r="T570" t="str">
        <f t="shared" si="80"/>
        <v>17:00:00</v>
      </c>
      <c r="U570" t="str">
        <f t="shared" si="74"/>
        <v>02.12.2025 17:00:00</v>
      </c>
      <c r="V570" s="9" t="str">
        <f>MID($A570,C570+C$2+1,D570-C570-C$2-1)</f>
        <v>0</v>
      </c>
      <c r="W570" s="4">
        <f>VALUE(SUBSTITUTE(MID($A570,D570+D$2+1,E570-D570-D$2-1),",","."))</f>
        <v>0</v>
      </c>
      <c r="X570" s="4">
        <f>VALUE(SUBSTITUTE(MID($A570,E570+E$2+1,F570-E570-E$2-1),",","."))</f>
        <v>0.90957602214449496</v>
      </c>
      <c r="Y570" s="4">
        <f>VALUE(SUBSTITUTE(MID($A570,F570+F$2+1,G570-F570-F$2-1),",","."))</f>
        <v>0</v>
      </c>
      <c r="Z570" s="3">
        <f>VALUE(SUBSTITUTE(MID($A570,G570+G$2+1,H570-G570-G$2-1),",","."))</f>
        <v>11.466666666666599</v>
      </c>
      <c r="AA570" s="3">
        <f>VALUE(SUBSTITUTE(MID($A570,H570+H$2+1,I570-H570-H$2-1),",","."))</f>
        <v>0</v>
      </c>
      <c r="AB570" s="3">
        <f>VALUE(SUBSTITUTE(MID($A570,I570+I$2+1,J570-I570-I$2-1),",","."))</f>
        <v>9.5</v>
      </c>
      <c r="AC570" s="3">
        <f>VALUE(SUBSTITUTE(MID($A570,J570+J$2+1,K570-J570-J$2-1),",","."))</f>
        <v>1.45</v>
      </c>
      <c r="AD570" s="3">
        <f>VALUE(SUBSTITUTE(MID($A570,K570+K$2+1,L570-K570-K$2-1),",","."))</f>
        <v>3.42</v>
      </c>
      <c r="AE570" s="3">
        <f>VALUE(SUBSTITUTE(MID($A570,L570+L$2+1,M570-L570-L$2-1),",","."))</f>
        <v>0</v>
      </c>
      <c r="AF570" s="3">
        <f>VALUE(SUBSTITUTE(MID($A570,M570+M$2+1,N570-M570-M$2-1),",","."))</f>
        <v>0</v>
      </c>
      <c r="AG570" s="3">
        <f>VALUE(SUBSTITUTE(MID($A570,N570+N$2+1,O570-N570-N$2-1),",","."))</f>
        <v>4.2196315212207098</v>
      </c>
      <c r="AH570" t="str">
        <f>MID($A570,O570+O$2+1,P570-O570-O$2-1)</f>
        <v/>
      </c>
      <c r="AI570" s="8" t="str">
        <f>MID($A570,P570+P$2+1,Q570-P570-P$2-1)</f>
        <v>False</v>
      </c>
      <c r="AK570" t="b">
        <f t="shared" si="75"/>
        <v>0</v>
      </c>
    </row>
    <row r="571" spans="1:37" x14ac:dyDescent="0.35">
      <c r="A571" t="s">
        <v>5118</v>
      </c>
      <c r="B571">
        <f t="shared" si="77"/>
        <v>10</v>
      </c>
      <c r="C571">
        <f t="shared" si="77"/>
        <v>43</v>
      </c>
      <c r="D571">
        <f t="shared" si="77"/>
        <v>54</v>
      </c>
      <c r="E571">
        <f t="shared" si="76"/>
        <v>80</v>
      </c>
      <c r="F571">
        <f t="shared" si="76"/>
        <v>124</v>
      </c>
      <c r="G571">
        <f t="shared" si="76"/>
        <v>145</v>
      </c>
      <c r="H571">
        <f t="shared" si="76"/>
        <v>194</v>
      </c>
      <c r="I571">
        <f t="shared" si="76"/>
        <v>216</v>
      </c>
      <c r="J571">
        <f t="shared" si="76"/>
        <v>251</v>
      </c>
      <c r="K571">
        <f t="shared" si="76"/>
        <v>271</v>
      </c>
      <c r="L571">
        <f t="shared" si="78"/>
        <v>289</v>
      </c>
      <c r="M571">
        <f t="shared" si="78"/>
        <v>304</v>
      </c>
      <c r="N571">
        <f t="shared" si="78"/>
        <v>316</v>
      </c>
      <c r="O571">
        <f t="shared" si="78"/>
        <v>341</v>
      </c>
      <c r="P571">
        <f t="shared" si="78"/>
        <v>359</v>
      </c>
      <c r="Q571">
        <f t="shared" si="78"/>
        <v>385</v>
      </c>
      <c r="S571" t="str">
        <f t="shared" si="79"/>
        <v>02.12.2025</v>
      </c>
      <c r="T571" t="str">
        <f t="shared" si="80"/>
        <v>17:15:00</v>
      </c>
      <c r="U571" t="str">
        <f t="shared" si="74"/>
        <v>02.12.2025 17:15:00</v>
      </c>
      <c r="V571" s="9" t="str">
        <f>MID($A571,C571+C$2+1,D571-C571-C$2-1)</f>
        <v>0</v>
      </c>
      <c r="W571" s="4">
        <f>VALUE(SUBSTITUTE(MID($A571,D571+D$2+1,E571-D571-D$2-1),",","."))</f>
        <v>0</v>
      </c>
      <c r="X571" s="4">
        <f>VALUE(SUBSTITUTE(MID($A571,E571+E$2+1,F571-E571-E$2-1),",","."))</f>
        <v>0.90957602214449496</v>
      </c>
      <c r="Y571" s="4">
        <f>VALUE(SUBSTITUTE(MID($A571,F571+F$2+1,G571-F571-F$2-1),",","."))</f>
        <v>0</v>
      </c>
      <c r="Z571" s="3">
        <f>VALUE(SUBSTITUTE(MID($A571,G571+G$2+1,H571-G571-G$2-1),",","."))</f>
        <v>11.466666666666599</v>
      </c>
      <c r="AA571" s="3">
        <f>VALUE(SUBSTITUTE(MID($A571,H571+H$2+1,I571-H571-H$2-1),",","."))</f>
        <v>0</v>
      </c>
      <c r="AB571" s="3">
        <f>VALUE(SUBSTITUTE(MID($A571,I571+I$2+1,J571-I571-I$2-1),",","."))</f>
        <v>9.5</v>
      </c>
      <c r="AC571" s="3">
        <f>VALUE(SUBSTITUTE(MID($A571,J571+J$2+1,K571-J571-J$2-1),",","."))</f>
        <v>1.45</v>
      </c>
      <c r="AD571" s="3">
        <f>VALUE(SUBSTITUTE(MID($A571,K571+K$2+1,L571-K571-K$2-1),",","."))</f>
        <v>3.42</v>
      </c>
      <c r="AE571" s="3">
        <f>VALUE(SUBSTITUTE(MID($A571,L571+L$2+1,M571-L571-L$2-1),",","."))</f>
        <v>0</v>
      </c>
      <c r="AF571" s="3">
        <f>VALUE(SUBSTITUTE(MID($A571,M571+M$2+1,N571-M571-M$2-1),",","."))</f>
        <v>0</v>
      </c>
      <c r="AG571" s="3">
        <f>VALUE(SUBSTITUTE(MID($A571,N571+N$2+1,O571-N571-N$2-1),",","."))</f>
        <v>4.2196600411087903</v>
      </c>
      <c r="AH571" t="str">
        <f>MID($A571,O571+O$2+1,P571-O571-O$2-1)</f>
        <v/>
      </c>
      <c r="AI571" s="8" t="str">
        <f>MID($A571,P571+P$2+1,Q571-P571-P$2-1)</f>
        <v>False</v>
      </c>
      <c r="AK571" t="b">
        <f t="shared" si="75"/>
        <v>0</v>
      </c>
    </row>
    <row r="572" spans="1:37" x14ac:dyDescent="0.35">
      <c r="A572" t="s">
        <v>5119</v>
      </c>
      <c r="B572">
        <f t="shared" si="77"/>
        <v>10</v>
      </c>
      <c r="C572">
        <f t="shared" si="77"/>
        <v>43</v>
      </c>
      <c r="D572">
        <f t="shared" si="77"/>
        <v>54</v>
      </c>
      <c r="E572">
        <f t="shared" si="76"/>
        <v>80</v>
      </c>
      <c r="F572">
        <f t="shared" si="76"/>
        <v>124</v>
      </c>
      <c r="G572">
        <f t="shared" si="76"/>
        <v>145</v>
      </c>
      <c r="H572">
        <f t="shared" si="76"/>
        <v>177</v>
      </c>
      <c r="I572">
        <f t="shared" si="76"/>
        <v>199</v>
      </c>
      <c r="J572">
        <f t="shared" si="76"/>
        <v>232</v>
      </c>
      <c r="K572">
        <f t="shared" si="76"/>
        <v>266</v>
      </c>
      <c r="L572">
        <f t="shared" si="78"/>
        <v>284</v>
      </c>
      <c r="M572">
        <f t="shared" si="78"/>
        <v>299</v>
      </c>
      <c r="N572">
        <f t="shared" si="78"/>
        <v>311</v>
      </c>
      <c r="O572">
        <f t="shared" si="78"/>
        <v>336</v>
      </c>
      <c r="P572">
        <f t="shared" si="78"/>
        <v>354</v>
      </c>
      <c r="Q572">
        <f t="shared" si="78"/>
        <v>380</v>
      </c>
      <c r="S572" t="str">
        <f t="shared" si="79"/>
        <v>02.12.2025</v>
      </c>
      <c r="T572" t="str">
        <f t="shared" si="80"/>
        <v>17:30:00</v>
      </c>
      <c r="U572" t="str">
        <f t="shared" si="74"/>
        <v>02.12.2025 17:30:00</v>
      </c>
      <c r="V572" s="9" t="str">
        <f>MID($A572,C572+C$2+1,D572-C572-C$2-1)</f>
        <v>0</v>
      </c>
      <c r="W572" s="4">
        <f>VALUE(SUBSTITUTE(MID($A572,D572+D$2+1,E572-D572-D$2-1),",","."))</f>
        <v>0</v>
      </c>
      <c r="X572" s="4">
        <f>VALUE(SUBSTITUTE(MID($A572,E572+E$2+1,F572-E572-E$2-1),",","."))</f>
        <v>0.90957602214449496</v>
      </c>
      <c r="Y572" s="4">
        <f>VALUE(SUBSTITUTE(MID($A572,F572+F$2+1,G572-F572-F$2-1),",","."))</f>
        <v>0</v>
      </c>
      <c r="Z572" s="3">
        <f>VALUE(SUBSTITUTE(MID($A572,G572+G$2+1,H572-G572-G$2-1),",","."))</f>
        <v>0</v>
      </c>
      <c r="AA572" s="3">
        <f>VALUE(SUBSTITUTE(MID($A572,H572+H$2+1,I572-H572-H$2-1),",","."))</f>
        <v>0</v>
      </c>
      <c r="AB572" s="3">
        <f>VALUE(SUBSTITUTE(MID($A572,I572+I$2+1,J572-I572-I$2-1),",","."))</f>
        <v>0</v>
      </c>
      <c r="AC572" s="3">
        <f>VALUE(SUBSTITUTE(MID($A572,J572+J$2+1,K572-J572-J$2-1),",","."))</f>
        <v>1.0499999999999901</v>
      </c>
      <c r="AD572" s="3">
        <f>VALUE(SUBSTITUTE(MID($A572,K572+K$2+1,L572-K572-K$2-1),",","."))</f>
        <v>2.34</v>
      </c>
      <c r="AE572" s="3">
        <f>VALUE(SUBSTITUTE(MID($A572,L572+L$2+1,M572-L572-L$2-1),",","."))</f>
        <v>0</v>
      </c>
      <c r="AF572" s="3">
        <f>VALUE(SUBSTITUTE(MID($A572,M572+M$2+1,N572-M572-M$2-1),",","."))</f>
        <v>0</v>
      </c>
      <c r="AG572" s="3">
        <f>VALUE(SUBSTITUTE(MID($A572,N572+N$2+1,O572-N572-N$2-1),",","."))</f>
        <v>4.21968856099687</v>
      </c>
      <c r="AH572" t="str">
        <f>MID($A572,O572+O$2+1,P572-O572-O$2-1)</f>
        <v/>
      </c>
      <c r="AI572" s="8" t="str">
        <f>MID($A572,P572+P$2+1,Q572-P572-P$2-1)</f>
        <v>False</v>
      </c>
      <c r="AK572" t="b">
        <f t="shared" si="75"/>
        <v>0</v>
      </c>
    </row>
    <row r="573" spans="1:37" x14ac:dyDescent="0.35">
      <c r="A573" t="s">
        <v>5120</v>
      </c>
      <c r="B573">
        <f t="shared" si="77"/>
        <v>10</v>
      </c>
      <c r="C573">
        <f t="shared" si="77"/>
        <v>43</v>
      </c>
      <c r="D573">
        <f t="shared" si="77"/>
        <v>54</v>
      </c>
      <c r="E573">
        <f t="shared" si="76"/>
        <v>80</v>
      </c>
      <c r="F573">
        <f t="shared" si="76"/>
        <v>124</v>
      </c>
      <c r="G573">
        <f t="shared" si="76"/>
        <v>145</v>
      </c>
      <c r="H573">
        <f t="shared" ref="H573:M625" si="81">FIND(H$1,$A573)</f>
        <v>177</v>
      </c>
      <c r="I573">
        <f t="shared" si="81"/>
        <v>199</v>
      </c>
      <c r="J573">
        <f t="shared" si="81"/>
        <v>232</v>
      </c>
      <c r="K573">
        <f t="shared" si="81"/>
        <v>266</v>
      </c>
      <c r="L573">
        <f t="shared" si="78"/>
        <v>284</v>
      </c>
      <c r="M573">
        <f t="shared" si="78"/>
        <v>299</v>
      </c>
      <c r="N573">
        <f t="shared" si="78"/>
        <v>311</v>
      </c>
      <c r="O573">
        <f t="shared" si="78"/>
        <v>336</v>
      </c>
      <c r="P573">
        <f t="shared" si="78"/>
        <v>354</v>
      </c>
      <c r="Q573">
        <f t="shared" si="78"/>
        <v>380</v>
      </c>
      <c r="S573" t="str">
        <f t="shared" si="79"/>
        <v>02.12.2025</v>
      </c>
      <c r="T573" t="str">
        <f t="shared" si="80"/>
        <v>17:45:00</v>
      </c>
      <c r="U573" t="str">
        <f t="shared" si="74"/>
        <v>02.12.2025 17:45:00</v>
      </c>
      <c r="V573" s="9" t="str">
        <f>MID($A573,C573+C$2+1,D573-C573-C$2-1)</f>
        <v>0</v>
      </c>
      <c r="W573" s="4">
        <f>VALUE(SUBSTITUTE(MID($A573,D573+D$2+1,E573-D573-D$2-1),",","."))</f>
        <v>0</v>
      </c>
      <c r="X573" s="4">
        <f>VALUE(SUBSTITUTE(MID($A573,E573+E$2+1,F573-E573-E$2-1),",","."))</f>
        <v>0.90957602214449496</v>
      </c>
      <c r="Y573" s="4">
        <f>VALUE(SUBSTITUTE(MID($A573,F573+F$2+1,G573-F573-F$2-1),",","."))</f>
        <v>0</v>
      </c>
      <c r="Z573" s="3">
        <f>VALUE(SUBSTITUTE(MID($A573,G573+G$2+1,H573-G573-G$2-1),",","."))</f>
        <v>0</v>
      </c>
      <c r="AA573" s="3">
        <f>VALUE(SUBSTITUTE(MID($A573,H573+H$2+1,I573-H573-H$2-1),",","."))</f>
        <v>0</v>
      </c>
      <c r="AB573" s="3">
        <f>VALUE(SUBSTITUTE(MID($A573,I573+I$2+1,J573-I573-I$2-1),",","."))</f>
        <v>0</v>
      </c>
      <c r="AC573" s="3">
        <f>VALUE(SUBSTITUTE(MID($A573,J573+J$2+1,K573-J573-J$2-1),",","."))</f>
        <v>1.0499999999999901</v>
      </c>
      <c r="AD573" s="3">
        <f>VALUE(SUBSTITUTE(MID($A573,K573+K$2+1,L573-K573-K$2-1),",","."))</f>
        <v>2.34</v>
      </c>
      <c r="AE573" s="3">
        <f>VALUE(SUBSTITUTE(MID($A573,L573+L$2+1,M573-L573-L$2-1),",","."))</f>
        <v>0</v>
      </c>
      <c r="AF573" s="3">
        <f>VALUE(SUBSTITUTE(MID($A573,M573+M$2+1,N573-M573-M$2-1),",","."))</f>
        <v>0</v>
      </c>
      <c r="AG573" s="3">
        <f>VALUE(SUBSTITUTE(MID($A573,N573+N$2+1,O573-N573-N$2-1),",","."))</f>
        <v>4.2197170808849496</v>
      </c>
      <c r="AH573" t="str">
        <f>MID($A573,O573+O$2+1,P573-O573-O$2-1)</f>
        <v/>
      </c>
      <c r="AI573" s="8" t="str">
        <f>MID($A573,P573+P$2+1,Q573-P573-P$2-1)</f>
        <v>False</v>
      </c>
      <c r="AK573" t="b">
        <f t="shared" si="75"/>
        <v>0</v>
      </c>
    </row>
    <row r="574" spans="1:37" x14ac:dyDescent="0.35">
      <c r="A574" t="s">
        <v>5121</v>
      </c>
      <c r="B574">
        <f t="shared" si="77"/>
        <v>10</v>
      </c>
      <c r="C574">
        <f t="shared" si="77"/>
        <v>43</v>
      </c>
      <c r="D574">
        <f t="shared" si="77"/>
        <v>54</v>
      </c>
      <c r="E574">
        <f t="shared" si="77"/>
        <v>80</v>
      </c>
      <c r="F574">
        <f t="shared" si="77"/>
        <v>124</v>
      </c>
      <c r="G574">
        <f t="shared" si="77"/>
        <v>145</v>
      </c>
      <c r="H574">
        <f t="shared" si="81"/>
        <v>177</v>
      </c>
      <c r="I574">
        <f t="shared" si="81"/>
        <v>199</v>
      </c>
      <c r="J574">
        <f t="shared" si="81"/>
        <v>232</v>
      </c>
      <c r="K574">
        <f t="shared" si="81"/>
        <v>266</v>
      </c>
      <c r="L574">
        <f t="shared" si="78"/>
        <v>284</v>
      </c>
      <c r="M574">
        <f t="shared" si="78"/>
        <v>299</v>
      </c>
      <c r="N574">
        <f t="shared" si="78"/>
        <v>311</v>
      </c>
      <c r="O574">
        <f t="shared" si="78"/>
        <v>336</v>
      </c>
      <c r="P574">
        <f t="shared" si="78"/>
        <v>354</v>
      </c>
      <c r="Q574">
        <f t="shared" si="78"/>
        <v>380</v>
      </c>
      <c r="S574" t="str">
        <f t="shared" si="79"/>
        <v>02.12.2025</v>
      </c>
      <c r="T574" t="str">
        <f t="shared" si="80"/>
        <v>18:00:00</v>
      </c>
      <c r="U574" t="str">
        <f t="shared" si="74"/>
        <v>02.12.2025 18:00:00</v>
      </c>
      <c r="V574" s="9" t="str">
        <f>MID($A574,C574+C$2+1,D574-C574-C$2-1)</f>
        <v>0</v>
      </c>
      <c r="W574" s="4">
        <f>VALUE(SUBSTITUTE(MID($A574,D574+D$2+1,E574-D574-D$2-1),",","."))</f>
        <v>0</v>
      </c>
      <c r="X574" s="4">
        <f>VALUE(SUBSTITUTE(MID($A574,E574+E$2+1,F574-E574-E$2-1),",","."))</f>
        <v>0.90957602214449496</v>
      </c>
      <c r="Y574" s="4">
        <f>VALUE(SUBSTITUTE(MID($A574,F574+F$2+1,G574-F574-F$2-1),",","."))</f>
        <v>0</v>
      </c>
      <c r="Z574" s="3">
        <f>VALUE(SUBSTITUTE(MID($A574,G574+G$2+1,H574-G574-G$2-1),",","."))</f>
        <v>0</v>
      </c>
      <c r="AA574" s="3">
        <f>VALUE(SUBSTITUTE(MID($A574,H574+H$2+1,I574-H574-H$2-1),",","."))</f>
        <v>0</v>
      </c>
      <c r="AB574" s="3">
        <f>VALUE(SUBSTITUTE(MID($A574,I574+I$2+1,J574-I574-I$2-1),",","."))</f>
        <v>0</v>
      </c>
      <c r="AC574" s="3">
        <f>VALUE(SUBSTITUTE(MID($A574,J574+J$2+1,K574-J574-J$2-1),",","."))</f>
        <v>1.0499999999999901</v>
      </c>
      <c r="AD574" s="3">
        <f>VALUE(SUBSTITUTE(MID($A574,K574+K$2+1,L574-K574-K$2-1),",","."))</f>
        <v>2.34</v>
      </c>
      <c r="AE574" s="3">
        <f>VALUE(SUBSTITUTE(MID($A574,L574+L$2+1,M574-L574-L$2-1),",","."))</f>
        <v>0</v>
      </c>
      <c r="AF574" s="3">
        <f>VALUE(SUBSTITUTE(MID($A574,M574+M$2+1,N574-M574-M$2-1),",","."))</f>
        <v>0</v>
      </c>
      <c r="AG574" s="3">
        <f>VALUE(SUBSTITUTE(MID($A574,N574+N$2+1,O574-N574-N$2-1),",","."))</f>
        <v>4.2197456007730301</v>
      </c>
      <c r="AH574" t="str">
        <f>MID($A574,O574+O$2+1,P574-O574-O$2-1)</f>
        <v/>
      </c>
      <c r="AI574" s="8" t="str">
        <f>MID($A574,P574+P$2+1,Q574-P574-P$2-1)</f>
        <v>False</v>
      </c>
      <c r="AK574" t="b">
        <f t="shared" si="75"/>
        <v>0</v>
      </c>
    </row>
    <row r="575" spans="1:37" x14ac:dyDescent="0.35">
      <c r="A575" t="s">
        <v>5122</v>
      </c>
      <c r="B575">
        <f t="shared" si="77"/>
        <v>10</v>
      </c>
      <c r="C575">
        <f t="shared" si="77"/>
        <v>43</v>
      </c>
      <c r="D575">
        <f t="shared" si="77"/>
        <v>54</v>
      </c>
      <c r="E575">
        <f t="shared" si="77"/>
        <v>80</v>
      </c>
      <c r="F575">
        <f t="shared" si="77"/>
        <v>124</v>
      </c>
      <c r="G575">
        <f t="shared" si="77"/>
        <v>145</v>
      </c>
      <c r="H575">
        <f t="shared" si="81"/>
        <v>177</v>
      </c>
      <c r="I575">
        <f t="shared" si="81"/>
        <v>199</v>
      </c>
      <c r="J575">
        <f t="shared" si="81"/>
        <v>232</v>
      </c>
      <c r="K575">
        <f t="shared" si="81"/>
        <v>266</v>
      </c>
      <c r="L575">
        <f t="shared" si="78"/>
        <v>284</v>
      </c>
      <c r="M575">
        <f t="shared" si="78"/>
        <v>299</v>
      </c>
      <c r="N575">
        <f t="shared" si="78"/>
        <v>311</v>
      </c>
      <c r="O575">
        <f t="shared" si="78"/>
        <v>336</v>
      </c>
      <c r="P575">
        <f t="shared" si="78"/>
        <v>354</v>
      </c>
      <c r="Q575">
        <f t="shared" si="78"/>
        <v>380</v>
      </c>
      <c r="S575" t="str">
        <f t="shared" si="79"/>
        <v>02.12.2025</v>
      </c>
      <c r="T575" t="str">
        <f t="shared" si="80"/>
        <v>18:15:00</v>
      </c>
      <c r="U575" t="str">
        <f t="shared" si="74"/>
        <v>02.12.2025 18:15:00</v>
      </c>
      <c r="V575" s="9" t="str">
        <f>MID($A575,C575+C$2+1,D575-C575-C$2-1)</f>
        <v>0</v>
      </c>
      <c r="W575" s="4">
        <f>VALUE(SUBSTITUTE(MID($A575,D575+D$2+1,E575-D575-D$2-1),",","."))</f>
        <v>0</v>
      </c>
      <c r="X575" s="4">
        <f>VALUE(SUBSTITUTE(MID($A575,E575+E$2+1,F575-E575-E$2-1),",","."))</f>
        <v>0.90957602214449496</v>
      </c>
      <c r="Y575" s="4">
        <f>VALUE(SUBSTITUTE(MID($A575,F575+F$2+1,G575-F575-F$2-1),",","."))</f>
        <v>0</v>
      </c>
      <c r="Z575" s="3">
        <f>VALUE(SUBSTITUTE(MID($A575,G575+G$2+1,H575-G575-G$2-1),",","."))</f>
        <v>0</v>
      </c>
      <c r="AA575" s="3">
        <f>VALUE(SUBSTITUTE(MID($A575,H575+H$2+1,I575-H575-H$2-1),",","."))</f>
        <v>0</v>
      </c>
      <c r="AB575" s="3">
        <f>VALUE(SUBSTITUTE(MID($A575,I575+I$2+1,J575-I575-I$2-1),",","."))</f>
        <v>0</v>
      </c>
      <c r="AC575" s="3">
        <f>VALUE(SUBSTITUTE(MID($A575,J575+J$2+1,K575-J575-J$2-1),",","."))</f>
        <v>1.0499999999999901</v>
      </c>
      <c r="AD575" s="3">
        <f>VALUE(SUBSTITUTE(MID($A575,K575+K$2+1,L575-K575-K$2-1),",","."))</f>
        <v>2.34</v>
      </c>
      <c r="AE575" s="3">
        <f>VALUE(SUBSTITUTE(MID($A575,L575+L$2+1,M575-L575-L$2-1),",","."))</f>
        <v>0</v>
      </c>
      <c r="AF575" s="3">
        <f>VALUE(SUBSTITUTE(MID($A575,M575+M$2+1,N575-M575-M$2-1),",","."))</f>
        <v>0</v>
      </c>
      <c r="AG575" s="3">
        <f>VALUE(SUBSTITUTE(MID($A575,N575+N$2+1,O575-N575-N$2-1),",","."))</f>
        <v>4.2197741206611203</v>
      </c>
      <c r="AH575" t="str">
        <f>MID($A575,O575+O$2+1,P575-O575-O$2-1)</f>
        <v/>
      </c>
      <c r="AI575" s="8" t="str">
        <f>MID($A575,P575+P$2+1,Q575-P575-P$2-1)</f>
        <v>False</v>
      </c>
      <c r="AK575" t="b">
        <f t="shared" si="75"/>
        <v>0</v>
      </c>
    </row>
    <row r="576" spans="1:37" x14ac:dyDescent="0.35">
      <c r="A576" t="s">
        <v>5123</v>
      </c>
      <c r="B576">
        <f t="shared" si="77"/>
        <v>10</v>
      </c>
      <c r="C576">
        <f t="shared" si="77"/>
        <v>43</v>
      </c>
      <c r="D576">
        <f t="shared" si="77"/>
        <v>54</v>
      </c>
      <c r="E576">
        <f t="shared" si="77"/>
        <v>80</v>
      </c>
      <c r="F576">
        <f t="shared" si="77"/>
        <v>124</v>
      </c>
      <c r="G576">
        <f t="shared" si="77"/>
        <v>145</v>
      </c>
      <c r="H576">
        <f t="shared" si="81"/>
        <v>177</v>
      </c>
      <c r="I576">
        <f t="shared" si="81"/>
        <v>199</v>
      </c>
      <c r="J576">
        <f t="shared" si="81"/>
        <v>232</v>
      </c>
      <c r="K576">
        <f t="shared" si="81"/>
        <v>252</v>
      </c>
      <c r="L576">
        <f t="shared" si="78"/>
        <v>270</v>
      </c>
      <c r="M576">
        <f t="shared" si="78"/>
        <v>285</v>
      </c>
      <c r="N576">
        <f t="shared" si="78"/>
        <v>297</v>
      </c>
      <c r="O576">
        <f t="shared" si="78"/>
        <v>322</v>
      </c>
      <c r="P576">
        <f t="shared" si="78"/>
        <v>340</v>
      </c>
      <c r="Q576">
        <f t="shared" si="78"/>
        <v>366</v>
      </c>
      <c r="S576" t="str">
        <f t="shared" si="79"/>
        <v>02.12.2025</v>
      </c>
      <c r="T576" t="str">
        <f t="shared" si="80"/>
        <v>18:30:00</v>
      </c>
      <c r="U576" t="str">
        <f t="shared" si="74"/>
        <v>02.12.2025 18:30:00</v>
      </c>
      <c r="V576" s="9" t="str">
        <f>MID($A576,C576+C$2+1,D576-C576-C$2-1)</f>
        <v>0</v>
      </c>
      <c r="W576" s="4">
        <f>VALUE(SUBSTITUTE(MID($A576,D576+D$2+1,E576-D576-D$2-1),",","."))</f>
        <v>0</v>
      </c>
      <c r="X576" s="4">
        <f>VALUE(SUBSTITUTE(MID($A576,E576+E$2+1,F576-E576-E$2-1),",","."))</f>
        <v>0.90957602214449496</v>
      </c>
      <c r="Y576" s="4">
        <f>VALUE(SUBSTITUTE(MID($A576,F576+F$2+1,G576-F576-F$2-1),",","."))</f>
        <v>0</v>
      </c>
      <c r="Z576" s="3">
        <f>VALUE(SUBSTITUTE(MID($A576,G576+G$2+1,H576-G576-G$2-1),",","."))</f>
        <v>0</v>
      </c>
      <c r="AA576" s="3">
        <f>VALUE(SUBSTITUTE(MID($A576,H576+H$2+1,I576-H576-H$2-1),",","."))</f>
        <v>0</v>
      </c>
      <c r="AB576" s="3">
        <f>VALUE(SUBSTITUTE(MID($A576,I576+I$2+1,J576-I576-I$2-1),",","."))</f>
        <v>0</v>
      </c>
      <c r="AC576" s="3">
        <f>VALUE(SUBSTITUTE(MID($A576,J576+J$2+1,K576-J576-J$2-1),",","."))</f>
        <v>0.75</v>
      </c>
      <c r="AD576" s="3">
        <f>VALUE(SUBSTITUTE(MID($A576,K576+K$2+1,L576-K576-K$2-1),",","."))</f>
        <v>2.16</v>
      </c>
      <c r="AE576" s="3">
        <f>VALUE(SUBSTITUTE(MID($A576,L576+L$2+1,M576-L576-L$2-1),",","."))</f>
        <v>0</v>
      </c>
      <c r="AF576" s="3">
        <f>VALUE(SUBSTITUTE(MID($A576,M576+M$2+1,N576-M576-M$2-1),",","."))</f>
        <v>0</v>
      </c>
      <c r="AG576" s="3">
        <f>VALUE(SUBSTITUTE(MID($A576,N576+N$2+1,O576-N576-N$2-1),",","."))</f>
        <v>4.2198026405492</v>
      </c>
      <c r="AH576" t="str">
        <f>MID($A576,O576+O$2+1,P576-O576-O$2-1)</f>
        <v/>
      </c>
      <c r="AI576" s="8" t="str">
        <f>MID($A576,P576+P$2+1,Q576-P576-P$2-1)</f>
        <v>False</v>
      </c>
      <c r="AK576" t="b">
        <f t="shared" si="75"/>
        <v>0</v>
      </c>
    </row>
    <row r="577" spans="1:37" x14ac:dyDescent="0.35">
      <c r="A577" t="s">
        <v>5124</v>
      </c>
      <c r="B577">
        <f t="shared" si="77"/>
        <v>10</v>
      </c>
      <c r="C577">
        <f t="shared" si="77"/>
        <v>43</v>
      </c>
      <c r="D577">
        <f t="shared" si="77"/>
        <v>54</v>
      </c>
      <c r="E577">
        <f t="shared" si="77"/>
        <v>80</v>
      </c>
      <c r="F577">
        <f t="shared" si="77"/>
        <v>124</v>
      </c>
      <c r="G577">
        <f t="shared" si="77"/>
        <v>145</v>
      </c>
      <c r="H577">
        <f t="shared" si="81"/>
        <v>177</v>
      </c>
      <c r="I577">
        <f t="shared" si="81"/>
        <v>199</v>
      </c>
      <c r="J577">
        <f t="shared" si="81"/>
        <v>232</v>
      </c>
      <c r="K577">
        <f t="shared" si="81"/>
        <v>252</v>
      </c>
      <c r="L577">
        <f t="shared" si="78"/>
        <v>270</v>
      </c>
      <c r="M577">
        <f t="shared" si="78"/>
        <v>285</v>
      </c>
      <c r="N577">
        <f t="shared" si="78"/>
        <v>297</v>
      </c>
      <c r="O577">
        <f t="shared" si="78"/>
        <v>322</v>
      </c>
      <c r="P577">
        <f t="shared" si="78"/>
        <v>340</v>
      </c>
      <c r="Q577">
        <f t="shared" si="78"/>
        <v>366</v>
      </c>
      <c r="S577" t="str">
        <f t="shared" si="79"/>
        <v>02.12.2025</v>
      </c>
      <c r="T577" t="str">
        <f t="shared" si="80"/>
        <v>18:45:00</v>
      </c>
      <c r="U577" t="str">
        <f t="shared" si="74"/>
        <v>02.12.2025 18:45:00</v>
      </c>
      <c r="V577" s="9" t="str">
        <f>MID($A577,C577+C$2+1,D577-C577-C$2-1)</f>
        <v>0</v>
      </c>
      <c r="W577" s="4">
        <f>VALUE(SUBSTITUTE(MID($A577,D577+D$2+1,E577-D577-D$2-1),",","."))</f>
        <v>0</v>
      </c>
      <c r="X577" s="4">
        <f>VALUE(SUBSTITUTE(MID($A577,E577+E$2+1,F577-E577-E$2-1),",","."))</f>
        <v>0.90957602214449496</v>
      </c>
      <c r="Y577" s="4">
        <f>VALUE(SUBSTITUTE(MID($A577,F577+F$2+1,G577-F577-F$2-1),",","."))</f>
        <v>0</v>
      </c>
      <c r="Z577" s="3">
        <f>VALUE(SUBSTITUTE(MID($A577,G577+G$2+1,H577-G577-G$2-1),",","."))</f>
        <v>0</v>
      </c>
      <c r="AA577" s="3">
        <f>VALUE(SUBSTITUTE(MID($A577,H577+H$2+1,I577-H577-H$2-1),",","."))</f>
        <v>0</v>
      </c>
      <c r="AB577" s="3">
        <f>VALUE(SUBSTITUTE(MID($A577,I577+I$2+1,J577-I577-I$2-1),",","."))</f>
        <v>0</v>
      </c>
      <c r="AC577" s="3">
        <f>VALUE(SUBSTITUTE(MID($A577,J577+J$2+1,K577-J577-J$2-1),",","."))</f>
        <v>0.75</v>
      </c>
      <c r="AD577" s="3">
        <f>VALUE(SUBSTITUTE(MID($A577,K577+K$2+1,L577-K577-K$2-1),",","."))</f>
        <v>2.16</v>
      </c>
      <c r="AE577" s="3">
        <f>VALUE(SUBSTITUTE(MID($A577,L577+L$2+1,M577-L577-L$2-1),",","."))</f>
        <v>0</v>
      </c>
      <c r="AF577" s="3">
        <f>VALUE(SUBSTITUTE(MID($A577,M577+M$2+1,N577-M577-M$2-1),",","."))</f>
        <v>0</v>
      </c>
      <c r="AG577" s="3">
        <f>VALUE(SUBSTITUTE(MID($A577,N577+N$2+1,O577-N577-N$2-1),",","."))</f>
        <v>4.2198311604372796</v>
      </c>
      <c r="AH577" t="str">
        <f>MID($A577,O577+O$2+1,P577-O577-O$2-1)</f>
        <v/>
      </c>
      <c r="AI577" s="8" t="str">
        <f>MID($A577,P577+P$2+1,Q577-P577-P$2-1)</f>
        <v>False</v>
      </c>
      <c r="AK577" t="b">
        <f t="shared" si="75"/>
        <v>0</v>
      </c>
    </row>
    <row r="578" spans="1:37" x14ac:dyDescent="0.35">
      <c r="A578" t="s">
        <v>5125</v>
      </c>
      <c r="B578">
        <f t="shared" si="77"/>
        <v>10</v>
      </c>
      <c r="C578">
        <f t="shared" si="77"/>
        <v>43</v>
      </c>
      <c r="D578">
        <f t="shared" si="77"/>
        <v>54</v>
      </c>
      <c r="E578">
        <f t="shared" si="77"/>
        <v>80</v>
      </c>
      <c r="F578">
        <f t="shared" si="77"/>
        <v>124</v>
      </c>
      <c r="G578">
        <f t="shared" si="77"/>
        <v>145</v>
      </c>
      <c r="H578">
        <f t="shared" si="81"/>
        <v>177</v>
      </c>
      <c r="I578">
        <f t="shared" si="81"/>
        <v>199</v>
      </c>
      <c r="J578">
        <f t="shared" si="81"/>
        <v>232</v>
      </c>
      <c r="K578">
        <f t="shared" si="81"/>
        <v>252</v>
      </c>
      <c r="L578">
        <f t="shared" si="78"/>
        <v>270</v>
      </c>
      <c r="M578">
        <f t="shared" si="78"/>
        <v>285</v>
      </c>
      <c r="N578">
        <f t="shared" si="78"/>
        <v>297</v>
      </c>
      <c r="O578">
        <f t="shared" si="78"/>
        <v>322</v>
      </c>
      <c r="P578">
        <f t="shared" si="78"/>
        <v>340</v>
      </c>
      <c r="Q578">
        <f t="shared" si="78"/>
        <v>366</v>
      </c>
      <c r="S578" t="str">
        <f t="shared" si="79"/>
        <v>02.12.2025</v>
      </c>
      <c r="T578" t="str">
        <f t="shared" si="80"/>
        <v>19:00:00</v>
      </c>
      <c r="U578" t="str">
        <f t="shared" si="74"/>
        <v>02.12.2025 19:00:00</v>
      </c>
      <c r="V578" s="9" t="str">
        <f>MID($A578,C578+C$2+1,D578-C578-C$2-1)</f>
        <v>0</v>
      </c>
      <c r="W578" s="4">
        <f>VALUE(SUBSTITUTE(MID($A578,D578+D$2+1,E578-D578-D$2-1),",","."))</f>
        <v>0</v>
      </c>
      <c r="X578" s="4">
        <f>VALUE(SUBSTITUTE(MID($A578,E578+E$2+1,F578-E578-E$2-1),",","."))</f>
        <v>0.90957602214449496</v>
      </c>
      <c r="Y578" s="4">
        <f>VALUE(SUBSTITUTE(MID($A578,F578+F$2+1,G578-F578-F$2-1),",","."))</f>
        <v>0</v>
      </c>
      <c r="Z578" s="3">
        <f>VALUE(SUBSTITUTE(MID($A578,G578+G$2+1,H578-G578-G$2-1),",","."))</f>
        <v>0</v>
      </c>
      <c r="AA578" s="3">
        <f>VALUE(SUBSTITUTE(MID($A578,H578+H$2+1,I578-H578-H$2-1),",","."))</f>
        <v>0</v>
      </c>
      <c r="AB578" s="3">
        <f>VALUE(SUBSTITUTE(MID($A578,I578+I$2+1,J578-I578-I$2-1),",","."))</f>
        <v>0</v>
      </c>
      <c r="AC578" s="3">
        <f>VALUE(SUBSTITUTE(MID($A578,J578+J$2+1,K578-J578-J$2-1),",","."))</f>
        <v>0.75</v>
      </c>
      <c r="AD578" s="3">
        <f>VALUE(SUBSTITUTE(MID($A578,K578+K$2+1,L578-K578-K$2-1),",","."))</f>
        <v>2.16</v>
      </c>
      <c r="AE578" s="3">
        <f>VALUE(SUBSTITUTE(MID($A578,L578+L$2+1,M578-L578-L$2-1),",","."))</f>
        <v>0</v>
      </c>
      <c r="AF578" s="3">
        <f>VALUE(SUBSTITUTE(MID($A578,M578+M$2+1,N578-M578-M$2-1),",","."))</f>
        <v>0</v>
      </c>
      <c r="AG578" s="3">
        <f>VALUE(SUBSTITUTE(MID($A578,N578+N$2+1,O578-N578-N$2-1),",","."))</f>
        <v>4.2198596803253601</v>
      </c>
      <c r="AH578" t="str">
        <f>MID($A578,O578+O$2+1,P578-O578-O$2-1)</f>
        <v/>
      </c>
      <c r="AI578" s="8" t="str">
        <f>MID($A578,P578+P$2+1,Q578-P578-P$2-1)</f>
        <v>False</v>
      </c>
      <c r="AK578" t="b">
        <f t="shared" si="75"/>
        <v>0</v>
      </c>
    </row>
    <row r="579" spans="1:37" x14ac:dyDescent="0.35">
      <c r="A579" t="s">
        <v>5126</v>
      </c>
      <c r="B579">
        <f t="shared" si="77"/>
        <v>10</v>
      </c>
      <c r="C579">
        <f t="shared" si="77"/>
        <v>43</v>
      </c>
      <c r="D579">
        <f t="shared" si="77"/>
        <v>54</v>
      </c>
      <c r="E579">
        <f t="shared" si="77"/>
        <v>80</v>
      </c>
      <c r="F579">
        <f t="shared" si="77"/>
        <v>124</v>
      </c>
      <c r="G579">
        <f t="shared" si="77"/>
        <v>145</v>
      </c>
      <c r="H579">
        <f t="shared" si="81"/>
        <v>177</v>
      </c>
      <c r="I579">
        <f t="shared" si="81"/>
        <v>199</v>
      </c>
      <c r="J579">
        <f t="shared" si="81"/>
        <v>232</v>
      </c>
      <c r="K579">
        <f t="shared" si="81"/>
        <v>252</v>
      </c>
      <c r="L579">
        <f t="shared" si="78"/>
        <v>270</v>
      </c>
      <c r="M579">
        <f t="shared" si="78"/>
        <v>285</v>
      </c>
      <c r="N579">
        <f t="shared" si="78"/>
        <v>297</v>
      </c>
      <c r="O579">
        <f t="shared" si="78"/>
        <v>322</v>
      </c>
      <c r="P579">
        <f t="shared" si="78"/>
        <v>340</v>
      </c>
      <c r="Q579">
        <f t="shared" si="78"/>
        <v>366</v>
      </c>
      <c r="S579" t="str">
        <f t="shared" si="79"/>
        <v>02.12.2025</v>
      </c>
      <c r="T579" t="str">
        <f t="shared" si="80"/>
        <v>19:15:00</v>
      </c>
      <c r="U579" t="str">
        <f t="shared" si="74"/>
        <v>02.12.2025 19:15:00</v>
      </c>
      <c r="V579" s="9" t="str">
        <f>MID($A579,C579+C$2+1,D579-C579-C$2-1)</f>
        <v>0</v>
      </c>
      <c r="W579" s="4">
        <f>VALUE(SUBSTITUTE(MID($A579,D579+D$2+1,E579-D579-D$2-1),",","."))</f>
        <v>0</v>
      </c>
      <c r="X579" s="4">
        <f>VALUE(SUBSTITUTE(MID($A579,E579+E$2+1,F579-E579-E$2-1),",","."))</f>
        <v>0.90957602214449496</v>
      </c>
      <c r="Y579" s="4">
        <f>VALUE(SUBSTITUTE(MID($A579,F579+F$2+1,G579-F579-F$2-1),",","."))</f>
        <v>0</v>
      </c>
      <c r="Z579" s="3">
        <f>VALUE(SUBSTITUTE(MID($A579,G579+G$2+1,H579-G579-G$2-1),",","."))</f>
        <v>0</v>
      </c>
      <c r="AA579" s="3">
        <f>VALUE(SUBSTITUTE(MID($A579,H579+H$2+1,I579-H579-H$2-1),",","."))</f>
        <v>0</v>
      </c>
      <c r="AB579" s="3">
        <f>VALUE(SUBSTITUTE(MID($A579,I579+I$2+1,J579-I579-I$2-1),",","."))</f>
        <v>0</v>
      </c>
      <c r="AC579" s="3">
        <f>VALUE(SUBSTITUTE(MID($A579,J579+J$2+1,K579-J579-J$2-1),",","."))</f>
        <v>0.75</v>
      </c>
      <c r="AD579" s="3">
        <f>VALUE(SUBSTITUTE(MID($A579,K579+K$2+1,L579-K579-K$2-1),",","."))</f>
        <v>2.16</v>
      </c>
      <c r="AE579" s="3">
        <f>VALUE(SUBSTITUTE(MID($A579,L579+L$2+1,M579-L579-L$2-1),",","."))</f>
        <v>0</v>
      </c>
      <c r="AF579" s="3">
        <f>VALUE(SUBSTITUTE(MID($A579,M579+M$2+1,N579-M579-M$2-1),",","."))</f>
        <v>0</v>
      </c>
      <c r="AG579" s="3">
        <f>VALUE(SUBSTITUTE(MID($A579,N579+N$2+1,O579-N579-N$2-1),",","."))</f>
        <v>4.2198882002134397</v>
      </c>
      <c r="AH579" t="str">
        <f>MID($A579,O579+O$2+1,P579-O579-O$2-1)</f>
        <v/>
      </c>
      <c r="AI579" s="8" t="str">
        <f>MID($A579,P579+P$2+1,Q579-P579-P$2-1)</f>
        <v>False</v>
      </c>
      <c r="AK579" t="b">
        <f t="shared" si="75"/>
        <v>0</v>
      </c>
    </row>
    <row r="580" spans="1:37" x14ac:dyDescent="0.35">
      <c r="A580" t="s">
        <v>5127</v>
      </c>
      <c r="B580">
        <f t="shared" si="77"/>
        <v>10</v>
      </c>
      <c r="C580">
        <f t="shared" si="77"/>
        <v>43</v>
      </c>
      <c r="D580">
        <f t="shared" si="77"/>
        <v>54</v>
      </c>
      <c r="E580">
        <f t="shared" si="77"/>
        <v>80</v>
      </c>
      <c r="F580">
        <f t="shared" si="77"/>
        <v>124</v>
      </c>
      <c r="G580">
        <f t="shared" si="77"/>
        <v>145</v>
      </c>
      <c r="H580">
        <f t="shared" si="81"/>
        <v>177</v>
      </c>
      <c r="I580">
        <f t="shared" si="81"/>
        <v>199</v>
      </c>
      <c r="J580">
        <f t="shared" si="81"/>
        <v>232</v>
      </c>
      <c r="K580">
        <f t="shared" si="81"/>
        <v>252</v>
      </c>
      <c r="L580">
        <f t="shared" si="78"/>
        <v>284</v>
      </c>
      <c r="M580">
        <f t="shared" si="78"/>
        <v>299</v>
      </c>
      <c r="N580">
        <f t="shared" si="78"/>
        <v>311</v>
      </c>
      <c r="O580">
        <f t="shared" si="78"/>
        <v>336</v>
      </c>
      <c r="P580">
        <f t="shared" si="78"/>
        <v>354</v>
      </c>
      <c r="Q580">
        <f t="shared" si="78"/>
        <v>380</v>
      </c>
      <c r="S580" t="str">
        <f t="shared" si="79"/>
        <v>02.12.2025</v>
      </c>
      <c r="T580" t="str">
        <f t="shared" si="80"/>
        <v>19:30:00</v>
      </c>
      <c r="U580" t="str">
        <f t="shared" ref="U580:U643" si="82">MID($A580,B580+B$2+1,C580-B580-B$2-1)</f>
        <v>02.12.2025 19:30:00</v>
      </c>
      <c r="V580" s="9" t="str">
        <f>MID($A580,C580+C$2+1,D580-C580-C$2-1)</f>
        <v>0</v>
      </c>
      <c r="W580" s="4">
        <f>VALUE(SUBSTITUTE(MID($A580,D580+D$2+1,E580-D580-D$2-1),",","."))</f>
        <v>0</v>
      </c>
      <c r="X580" s="4">
        <f>VALUE(SUBSTITUTE(MID($A580,E580+E$2+1,F580-E580-E$2-1),",","."))</f>
        <v>0.90957602214449496</v>
      </c>
      <c r="Y580" s="4">
        <f>VALUE(SUBSTITUTE(MID($A580,F580+F$2+1,G580-F580-F$2-1),",","."))</f>
        <v>0</v>
      </c>
      <c r="Z580" s="3">
        <f>VALUE(SUBSTITUTE(MID($A580,G580+G$2+1,H580-G580-G$2-1),",","."))</f>
        <v>0</v>
      </c>
      <c r="AA580" s="3">
        <f>VALUE(SUBSTITUTE(MID($A580,H580+H$2+1,I580-H580-H$2-1),",","."))</f>
        <v>0</v>
      </c>
      <c r="AB580" s="3">
        <f>VALUE(SUBSTITUTE(MID($A580,I580+I$2+1,J580-I580-I$2-1),",","."))</f>
        <v>0</v>
      </c>
      <c r="AC580" s="3">
        <f>VALUE(SUBSTITUTE(MID($A580,J580+J$2+1,K580-J580-J$2-1),",","."))</f>
        <v>0.45</v>
      </c>
      <c r="AD580" s="3">
        <f>VALUE(SUBSTITUTE(MID($A580,K580+K$2+1,L580-K580-K$2-1),",","."))</f>
        <v>2.88</v>
      </c>
      <c r="AE580" s="3">
        <f>VALUE(SUBSTITUTE(MID($A580,L580+L$2+1,M580-L580-L$2-1),",","."))</f>
        <v>0</v>
      </c>
      <c r="AF580" s="3">
        <f>VALUE(SUBSTITUTE(MID($A580,M580+M$2+1,N580-M580-M$2-1),",","."))</f>
        <v>0</v>
      </c>
      <c r="AG580" s="3">
        <f>VALUE(SUBSTITUTE(MID($A580,N580+N$2+1,O580-N580-N$2-1),",","."))</f>
        <v>4.2199167201015202</v>
      </c>
      <c r="AH580" t="str">
        <f>MID($A580,O580+O$2+1,P580-O580-O$2-1)</f>
        <v/>
      </c>
      <c r="AI580" s="8" t="str">
        <f>MID($A580,P580+P$2+1,Q580-P580-P$2-1)</f>
        <v>False</v>
      </c>
      <c r="AK580" t="b">
        <f t="shared" ref="AK580:AK643" si="83">AB580&gt;Z580</f>
        <v>0</v>
      </c>
    </row>
    <row r="581" spans="1:37" x14ac:dyDescent="0.35">
      <c r="A581" t="s">
        <v>5128</v>
      </c>
      <c r="B581">
        <f t="shared" si="77"/>
        <v>10</v>
      </c>
      <c r="C581">
        <f t="shared" si="77"/>
        <v>43</v>
      </c>
      <c r="D581">
        <f t="shared" si="77"/>
        <v>54</v>
      </c>
      <c r="E581">
        <f t="shared" si="77"/>
        <v>80</v>
      </c>
      <c r="F581">
        <f t="shared" si="77"/>
        <v>124</v>
      </c>
      <c r="G581">
        <f t="shared" si="77"/>
        <v>145</v>
      </c>
      <c r="H581">
        <f t="shared" si="81"/>
        <v>177</v>
      </c>
      <c r="I581">
        <f t="shared" si="81"/>
        <v>199</v>
      </c>
      <c r="J581">
        <f t="shared" si="81"/>
        <v>232</v>
      </c>
      <c r="K581">
        <f t="shared" si="81"/>
        <v>252</v>
      </c>
      <c r="L581">
        <f t="shared" si="78"/>
        <v>284</v>
      </c>
      <c r="M581">
        <f t="shared" si="78"/>
        <v>299</v>
      </c>
      <c r="N581">
        <f t="shared" si="78"/>
        <v>311</v>
      </c>
      <c r="O581">
        <f t="shared" si="78"/>
        <v>337</v>
      </c>
      <c r="P581">
        <f t="shared" si="78"/>
        <v>355</v>
      </c>
      <c r="Q581">
        <f t="shared" si="78"/>
        <v>381</v>
      </c>
      <c r="S581" t="str">
        <f t="shared" si="79"/>
        <v>02.12.2025</v>
      </c>
      <c r="T581" t="str">
        <f t="shared" si="80"/>
        <v>19:45:00</v>
      </c>
      <c r="U581" t="str">
        <f t="shared" si="82"/>
        <v>02.12.2025 19:45:00</v>
      </c>
      <c r="V581" s="9" t="str">
        <f>MID($A581,C581+C$2+1,D581-C581-C$2-1)</f>
        <v>0</v>
      </c>
      <c r="W581" s="4">
        <f>VALUE(SUBSTITUTE(MID($A581,D581+D$2+1,E581-D581-D$2-1),",","."))</f>
        <v>0</v>
      </c>
      <c r="X581" s="4">
        <f>VALUE(SUBSTITUTE(MID($A581,E581+E$2+1,F581-E581-E$2-1),",","."))</f>
        <v>0.90957602214449496</v>
      </c>
      <c r="Y581" s="4">
        <f>VALUE(SUBSTITUTE(MID($A581,F581+F$2+1,G581-F581-F$2-1),",","."))</f>
        <v>0</v>
      </c>
      <c r="Z581" s="3">
        <f>VALUE(SUBSTITUTE(MID($A581,G581+G$2+1,H581-G581-G$2-1),",","."))</f>
        <v>0</v>
      </c>
      <c r="AA581" s="3">
        <f>VALUE(SUBSTITUTE(MID($A581,H581+H$2+1,I581-H581-H$2-1),",","."))</f>
        <v>0</v>
      </c>
      <c r="AB581" s="3">
        <f>VALUE(SUBSTITUTE(MID($A581,I581+I$2+1,J581-I581-I$2-1),",","."))</f>
        <v>0</v>
      </c>
      <c r="AC581" s="3">
        <f>VALUE(SUBSTITUTE(MID($A581,J581+J$2+1,K581-J581-J$2-1),",","."))</f>
        <v>0.45</v>
      </c>
      <c r="AD581" s="3">
        <f>VALUE(SUBSTITUTE(MID($A581,K581+K$2+1,L581-K581-K$2-1),",","."))</f>
        <v>2.88</v>
      </c>
      <c r="AE581" s="3">
        <f>VALUE(SUBSTITUTE(MID($A581,L581+L$2+1,M581-L581-L$2-1),",","."))</f>
        <v>0</v>
      </c>
      <c r="AF581" s="3">
        <f>VALUE(SUBSTITUTE(MID($A581,M581+M$2+1,N581-M581-M$2-1),",","."))</f>
        <v>0</v>
      </c>
      <c r="AG581" s="3">
        <f>VALUE(SUBSTITUTE(MID($A581,N581+N$2+1,O581-N581-N$2-1),",","."))</f>
        <v>4.2199452399896096</v>
      </c>
      <c r="AH581" t="str">
        <f>MID($A581,O581+O$2+1,P581-O581-O$2-1)</f>
        <v/>
      </c>
      <c r="AI581" s="8" t="str">
        <f>MID($A581,P581+P$2+1,Q581-P581-P$2-1)</f>
        <v>False</v>
      </c>
      <c r="AK581" t="b">
        <f t="shared" si="83"/>
        <v>0</v>
      </c>
    </row>
    <row r="582" spans="1:37" x14ac:dyDescent="0.35">
      <c r="A582" t="s">
        <v>5129</v>
      </c>
      <c r="B582">
        <f t="shared" si="77"/>
        <v>10</v>
      </c>
      <c r="C582">
        <f t="shared" si="77"/>
        <v>43</v>
      </c>
      <c r="D582">
        <f t="shared" si="77"/>
        <v>54</v>
      </c>
      <c r="E582">
        <f t="shared" si="77"/>
        <v>80</v>
      </c>
      <c r="F582">
        <f t="shared" si="77"/>
        <v>124</v>
      </c>
      <c r="G582">
        <f t="shared" si="77"/>
        <v>145</v>
      </c>
      <c r="H582">
        <f t="shared" si="81"/>
        <v>177</v>
      </c>
      <c r="I582">
        <f t="shared" si="81"/>
        <v>199</v>
      </c>
      <c r="J582">
        <f t="shared" si="81"/>
        <v>232</v>
      </c>
      <c r="K582">
        <f t="shared" si="81"/>
        <v>252</v>
      </c>
      <c r="L582">
        <f t="shared" si="78"/>
        <v>284</v>
      </c>
      <c r="M582">
        <f t="shared" si="78"/>
        <v>299</v>
      </c>
      <c r="N582">
        <f t="shared" si="78"/>
        <v>311</v>
      </c>
      <c r="O582">
        <f t="shared" si="78"/>
        <v>336</v>
      </c>
      <c r="P582">
        <f t="shared" si="78"/>
        <v>354</v>
      </c>
      <c r="Q582">
        <f t="shared" si="78"/>
        <v>380</v>
      </c>
      <c r="S582" t="str">
        <f t="shared" si="79"/>
        <v>02.12.2025</v>
      </c>
      <c r="T582" t="str">
        <f t="shared" si="80"/>
        <v>20:00:00</v>
      </c>
      <c r="U582" t="str">
        <f t="shared" si="82"/>
        <v>02.12.2025 20:00:00</v>
      </c>
      <c r="V582" s="9" t="str">
        <f>MID($A582,C582+C$2+1,D582-C582-C$2-1)</f>
        <v>0</v>
      </c>
      <c r="W582" s="4">
        <f>VALUE(SUBSTITUTE(MID($A582,D582+D$2+1,E582-D582-D$2-1),",","."))</f>
        <v>0</v>
      </c>
      <c r="X582" s="4">
        <f>VALUE(SUBSTITUTE(MID($A582,E582+E$2+1,F582-E582-E$2-1),",","."))</f>
        <v>0.90957602214449496</v>
      </c>
      <c r="Y582" s="4">
        <f>VALUE(SUBSTITUTE(MID($A582,F582+F$2+1,G582-F582-F$2-1),",","."))</f>
        <v>0</v>
      </c>
      <c r="Z582" s="3">
        <f>VALUE(SUBSTITUTE(MID($A582,G582+G$2+1,H582-G582-G$2-1),",","."))</f>
        <v>0</v>
      </c>
      <c r="AA582" s="3">
        <f>VALUE(SUBSTITUTE(MID($A582,H582+H$2+1,I582-H582-H$2-1),",","."))</f>
        <v>0</v>
      </c>
      <c r="AB582" s="3">
        <f>VALUE(SUBSTITUTE(MID($A582,I582+I$2+1,J582-I582-I$2-1),",","."))</f>
        <v>0</v>
      </c>
      <c r="AC582" s="3">
        <f>VALUE(SUBSTITUTE(MID($A582,J582+J$2+1,K582-J582-J$2-1),",","."))</f>
        <v>0.45</v>
      </c>
      <c r="AD582" s="3">
        <f>VALUE(SUBSTITUTE(MID($A582,K582+K$2+1,L582-K582-K$2-1),",","."))</f>
        <v>2.88</v>
      </c>
      <c r="AE582" s="3">
        <f>VALUE(SUBSTITUTE(MID($A582,L582+L$2+1,M582-L582-L$2-1),",","."))</f>
        <v>0</v>
      </c>
      <c r="AF582" s="3">
        <f>VALUE(SUBSTITUTE(MID($A582,M582+M$2+1,N582-M582-M$2-1),",","."))</f>
        <v>0</v>
      </c>
      <c r="AG582" s="3">
        <f>VALUE(SUBSTITUTE(MID($A582,N582+N$2+1,O582-N582-N$2-1),",","."))</f>
        <v>4.2199737598776901</v>
      </c>
      <c r="AH582" t="str">
        <f>MID($A582,O582+O$2+1,P582-O582-O$2-1)</f>
        <v/>
      </c>
      <c r="AI582" s="8" t="str">
        <f>MID($A582,P582+P$2+1,Q582-P582-P$2-1)</f>
        <v>False</v>
      </c>
      <c r="AK582" t="b">
        <f t="shared" si="83"/>
        <v>0</v>
      </c>
    </row>
    <row r="583" spans="1:37" x14ac:dyDescent="0.35">
      <c r="A583" t="s">
        <v>5130</v>
      </c>
      <c r="B583">
        <f t="shared" si="77"/>
        <v>10</v>
      </c>
      <c r="C583">
        <f t="shared" si="77"/>
        <v>43</v>
      </c>
      <c r="D583">
        <f t="shared" si="77"/>
        <v>54</v>
      </c>
      <c r="E583">
        <f t="shared" si="77"/>
        <v>80</v>
      </c>
      <c r="F583">
        <f t="shared" si="77"/>
        <v>124</v>
      </c>
      <c r="G583">
        <f t="shared" si="77"/>
        <v>145</v>
      </c>
      <c r="H583">
        <f t="shared" si="81"/>
        <v>177</v>
      </c>
      <c r="I583">
        <f t="shared" si="81"/>
        <v>199</v>
      </c>
      <c r="J583">
        <f t="shared" si="81"/>
        <v>232</v>
      </c>
      <c r="K583">
        <f t="shared" si="81"/>
        <v>252</v>
      </c>
      <c r="L583">
        <f t="shared" si="78"/>
        <v>284</v>
      </c>
      <c r="M583">
        <f t="shared" si="78"/>
        <v>299</v>
      </c>
      <c r="N583">
        <f t="shared" si="78"/>
        <v>311</v>
      </c>
      <c r="O583">
        <f t="shared" si="78"/>
        <v>336</v>
      </c>
      <c r="P583">
        <f t="shared" si="78"/>
        <v>354</v>
      </c>
      <c r="Q583">
        <f t="shared" si="78"/>
        <v>380</v>
      </c>
      <c r="S583" t="str">
        <f t="shared" si="79"/>
        <v>02.12.2025</v>
      </c>
      <c r="T583" t="str">
        <f t="shared" si="80"/>
        <v>20:15:00</v>
      </c>
      <c r="U583" t="str">
        <f t="shared" si="82"/>
        <v>02.12.2025 20:15:00</v>
      </c>
      <c r="V583" s="9" t="str">
        <f>MID($A583,C583+C$2+1,D583-C583-C$2-1)</f>
        <v>0</v>
      </c>
      <c r="W583" s="4">
        <f>VALUE(SUBSTITUTE(MID($A583,D583+D$2+1,E583-D583-D$2-1),",","."))</f>
        <v>0</v>
      </c>
      <c r="X583" s="4">
        <f>VALUE(SUBSTITUTE(MID($A583,E583+E$2+1,F583-E583-E$2-1),",","."))</f>
        <v>0.90957602214449496</v>
      </c>
      <c r="Y583" s="4">
        <f>VALUE(SUBSTITUTE(MID($A583,F583+F$2+1,G583-F583-F$2-1),",","."))</f>
        <v>0</v>
      </c>
      <c r="Z583" s="3">
        <f>VALUE(SUBSTITUTE(MID($A583,G583+G$2+1,H583-G583-G$2-1),",","."))</f>
        <v>0</v>
      </c>
      <c r="AA583" s="3">
        <f>VALUE(SUBSTITUTE(MID($A583,H583+H$2+1,I583-H583-H$2-1),",","."))</f>
        <v>0</v>
      </c>
      <c r="AB583" s="3">
        <f>VALUE(SUBSTITUTE(MID($A583,I583+I$2+1,J583-I583-I$2-1),",","."))</f>
        <v>0</v>
      </c>
      <c r="AC583" s="3">
        <f>VALUE(SUBSTITUTE(MID($A583,J583+J$2+1,K583-J583-J$2-1),",","."))</f>
        <v>0.45</v>
      </c>
      <c r="AD583" s="3">
        <f>VALUE(SUBSTITUTE(MID($A583,K583+K$2+1,L583-K583-K$2-1),",","."))</f>
        <v>2.88</v>
      </c>
      <c r="AE583" s="3">
        <f>VALUE(SUBSTITUTE(MID($A583,L583+L$2+1,M583-L583-L$2-1),",","."))</f>
        <v>0</v>
      </c>
      <c r="AF583" s="3">
        <f>VALUE(SUBSTITUTE(MID($A583,M583+M$2+1,N583-M583-M$2-1),",","."))</f>
        <v>0</v>
      </c>
      <c r="AG583" s="3">
        <f>VALUE(SUBSTITUTE(MID($A583,N583+N$2+1,O583-N583-N$2-1),",","."))</f>
        <v>4.2200022797657697</v>
      </c>
      <c r="AH583" t="str">
        <f>MID($A583,O583+O$2+1,P583-O583-O$2-1)</f>
        <v/>
      </c>
      <c r="AI583" s="8" t="str">
        <f>MID($A583,P583+P$2+1,Q583-P583-P$2-1)</f>
        <v>False</v>
      </c>
      <c r="AK583" t="b">
        <f t="shared" si="83"/>
        <v>0</v>
      </c>
    </row>
    <row r="584" spans="1:37" x14ac:dyDescent="0.35">
      <c r="A584" t="s">
        <v>5131</v>
      </c>
      <c r="B584">
        <f t="shared" si="77"/>
        <v>10</v>
      </c>
      <c r="C584">
        <f t="shared" si="77"/>
        <v>43</v>
      </c>
      <c r="D584">
        <f t="shared" si="77"/>
        <v>54</v>
      </c>
      <c r="E584">
        <f t="shared" si="77"/>
        <v>80</v>
      </c>
      <c r="F584">
        <f t="shared" si="77"/>
        <v>124</v>
      </c>
      <c r="G584">
        <f t="shared" si="77"/>
        <v>145</v>
      </c>
      <c r="H584">
        <f t="shared" si="81"/>
        <v>177</v>
      </c>
      <c r="I584">
        <f t="shared" si="81"/>
        <v>199</v>
      </c>
      <c r="J584">
        <f t="shared" si="81"/>
        <v>232</v>
      </c>
      <c r="K584">
        <f t="shared" si="81"/>
        <v>252</v>
      </c>
      <c r="L584">
        <f t="shared" si="78"/>
        <v>270</v>
      </c>
      <c r="M584">
        <f t="shared" si="78"/>
        <v>285</v>
      </c>
      <c r="N584">
        <f t="shared" si="78"/>
        <v>297</v>
      </c>
      <c r="O584">
        <f t="shared" si="78"/>
        <v>322</v>
      </c>
      <c r="P584">
        <f t="shared" si="78"/>
        <v>340</v>
      </c>
      <c r="Q584">
        <f t="shared" si="78"/>
        <v>366</v>
      </c>
      <c r="S584" t="str">
        <f t="shared" si="79"/>
        <v>02.12.2025</v>
      </c>
      <c r="T584" t="str">
        <f t="shared" si="80"/>
        <v>20:30:00</v>
      </c>
      <c r="U584" t="str">
        <f t="shared" si="82"/>
        <v>02.12.2025 20:30:00</v>
      </c>
      <c r="V584" s="9" t="str">
        <f>MID($A584,C584+C$2+1,D584-C584-C$2-1)</f>
        <v>0</v>
      </c>
      <c r="W584" s="4">
        <f>VALUE(SUBSTITUTE(MID($A584,D584+D$2+1,E584-D584-D$2-1),",","."))</f>
        <v>0</v>
      </c>
      <c r="X584" s="4">
        <f>VALUE(SUBSTITUTE(MID($A584,E584+E$2+1,F584-E584-E$2-1),",","."))</f>
        <v>0.90957602214449496</v>
      </c>
      <c r="Y584" s="4">
        <f>VALUE(SUBSTITUTE(MID($A584,F584+F$2+1,G584-F584-F$2-1),",","."))</f>
        <v>0</v>
      </c>
      <c r="Z584" s="3">
        <f>VALUE(SUBSTITUTE(MID($A584,G584+G$2+1,H584-G584-G$2-1),",","."))</f>
        <v>0</v>
      </c>
      <c r="AA584" s="3">
        <f>VALUE(SUBSTITUTE(MID($A584,H584+H$2+1,I584-H584-H$2-1),",","."))</f>
        <v>0</v>
      </c>
      <c r="AB584" s="3">
        <f>VALUE(SUBSTITUTE(MID($A584,I584+I$2+1,J584-I584-I$2-1),",","."))</f>
        <v>0</v>
      </c>
      <c r="AC584" s="3">
        <f>VALUE(SUBSTITUTE(MID($A584,J584+J$2+1,K584-J584-J$2-1),",","."))</f>
        <v>0.15</v>
      </c>
      <c r="AD584" s="3">
        <f>VALUE(SUBSTITUTE(MID($A584,K584+K$2+1,L584-K584-K$2-1),",","."))</f>
        <v>3.42</v>
      </c>
      <c r="AE584" s="3">
        <f>VALUE(SUBSTITUTE(MID($A584,L584+L$2+1,M584-L584-L$2-1),",","."))</f>
        <v>0</v>
      </c>
      <c r="AF584" s="3">
        <f>VALUE(SUBSTITUTE(MID($A584,M584+M$2+1,N584-M584-M$2-1),",","."))</f>
        <v>0</v>
      </c>
      <c r="AG584" s="3">
        <f>VALUE(SUBSTITUTE(MID($A584,N584+N$2+1,O584-N584-N$2-1),",","."))</f>
        <v>4.2200307996538502</v>
      </c>
      <c r="AH584" t="str">
        <f>MID($A584,O584+O$2+1,P584-O584-O$2-1)</f>
        <v/>
      </c>
      <c r="AI584" s="8" t="str">
        <f>MID($A584,P584+P$2+1,Q584-P584-P$2-1)</f>
        <v>False</v>
      </c>
      <c r="AK584" t="b">
        <f t="shared" si="83"/>
        <v>0</v>
      </c>
    </row>
    <row r="585" spans="1:37" x14ac:dyDescent="0.35">
      <c r="A585" t="s">
        <v>5132</v>
      </c>
      <c r="B585">
        <f t="shared" si="77"/>
        <v>10</v>
      </c>
      <c r="C585">
        <f t="shared" si="77"/>
        <v>43</v>
      </c>
      <c r="D585">
        <f t="shared" si="77"/>
        <v>54</v>
      </c>
      <c r="E585">
        <f t="shared" si="77"/>
        <v>80</v>
      </c>
      <c r="F585">
        <f t="shared" si="77"/>
        <v>124</v>
      </c>
      <c r="G585">
        <f t="shared" si="77"/>
        <v>145</v>
      </c>
      <c r="H585">
        <f t="shared" si="81"/>
        <v>177</v>
      </c>
      <c r="I585">
        <f t="shared" si="81"/>
        <v>199</v>
      </c>
      <c r="J585">
        <f t="shared" si="81"/>
        <v>232</v>
      </c>
      <c r="K585">
        <f t="shared" si="81"/>
        <v>252</v>
      </c>
      <c r="L585">
        <f t="shared" si="78"/>
        <v>270</v>
      </c>
      <c r="M585">
        <f t="shared" si="78"/>
        <v>285</v>
      </c>
      <c r="N585">
        <f t="shared" si="78"/>
        <v>297</v>
      </c>
      <c r="O585">
        <f t="shared" si="78"/>
        <v>322</v>
      </c>
      <c r="P585">
        <f t="shared" si="78"/>
        <v>340</v>
      </c>
      <c r="Q585">
        <f t="shared" si="78"/>
        <v>366</v>
      </c>
      <c r="S585" t="str">
        <f t="shared" si="79"/>
        <v>02.12.2025</v>
      </c>
      <c r="T585" t="str">
        <f t="shared" si="80"/>
        <v>20:45:00</v>
      </c>
      <c r="U585" t="str">
        <f t="shared" si="82"/>
        <v>02.12.2025 20:45:00</v>
      </c>
      <c r="V585" s="9" t="str">
        <f>MID($A585,C585+C$2+1,D585-C585-C$2-1)</f>
        <v>0</v>
      </c>
      <c r="W585" s="4">
        <f>VALUE(SUBSTITUTE(MID($A585,D585+D$2+1,E585-D585-D$2-1),",","."))</f>
        <v>0</v>
      </c>
      <c r="X585" s="4">
        <f>VALUE(SUBSTITUTE(MID($A585,E585+E$2+1,F585-E585-E$2-1),",","."))</f>
        <v>0.90957602214449496</v>
      </c>
      <c r="Y585" s="4">
        <f>VALUE(SUBSTITUTE(MID($A585,F585+F$2+1,G585-F585-F$2-1),",","."))</f>
        <v>0</v>
      </c>
      <c r="Z585" s="3">
        <f>VALUE(SUBSTITUTE(MID($A585,G585+G$2+1,H585-G585-G$2-1),",","."))</f>
        <v>0</v>
      </c>
      <c r="AA585" s="3">
        <f>VALUE(SUBSTITUTE(MID($A585,H585+H$2+1,I585-H585-H$2-1),",","."))</f>
        <v>0</v>
      </c>
      <c r="AB585" s="3">
        <f>VALUE(SUBSTITUTE(MID($A585,I585+I$2+1,J585-I585-I$2-1),",","."))</f>
        <v>0</v>
      </c>
      <c r="AC585" s="3">
        <f>VALUE(SUBSTITUTE(MID($A585,J585+J$2+1,K585-J585-J$2-1),",","."))</f>
        <v>0.15</v>
      </c>
      <c r="AD585" s="3">
        <f>VALUE(SUBSTITUTE(MID($A585,K585+K$2+1,L585-K585-K$2-1),",","."))</f>
        <v>3.42</v>
      </c>
      <c r="AE585" s="3">
        <f>VALUE(SUBSTITUTE(MID($A585,L585+L$2+1,M585-L585-L$2-1),",","."))</f>
        <v>0</v>
      </c>
      <c r="AF585" s="3">
        <f>VALUE(SUBSTITUTE(MID($A585,M585+M$2+1,N585-M585-M$2-1),",","."))</f>
        <v>0</v>
      </c>
      <c r="AG585" s="3">
        <f>VALUE(SUBSTITUTE(MID($A585,N585+N$2+1,O585-N585-N$2-1),",","."))</f>
        <v>4.2200593195419298</v>
      </c>
      <c r="AH585" t="str">
        <f>MID($A585,O585+O$2+1,P585-O585-O$2-1)</f>
        <v/>
      </c>
      <c r="AI585" s="8" t="str">
        <f>MID($A585,P585+P$2+1,Q585-P585-P$2-1)</f>
        <v>False</v>
      </c>
      <c r="AK585" t="b">
        <f t="shared" si="83"/>
        <v>0</v>
      </c>
    </row>
    <row r="586" spans="1:37" x14ac:dyDescent="0.35">
      <c r="A586" t="s">
        <v>5133</v>
      </c>
      <c r="B586">
        <f t="shared" si="77"/>
        <v>10</v>
      </c>
      <c r="C586">
        <f t="shared" si="77"/>
        <v>43</v>
      </c>
      <c r="D586">
        <f t="shared" si="77"/>
        <v>54</v>
      </c>
      <c r="E586">
        <f t="shared" si="77"/>
        <v>80</v>
      </c>
      <c r="F586">
        <f t="shared" si="77"/>
        <v>124</v>
      </c>
      <c r="G586">
        <f t="shared" si="77"/>
        <v>145</v>
      </c>
      <c r="H586">
        <f t="shared" si="81"/>
        <v>177</v>
      </c>
      <c r="I586">
        <f t="shared" si="81"/>
        <v>199</v>
      </c>
      <c r="J586">
        <f t="shared" si="81"/>
        <v>232</v>
      </c>
      <c r="K586">
        <f t="shared" si="81"/>
        <v>252</v>
      </c>
      <c r="L586">
        <f t="shared" si="78"/>
        <v>270</v>
      </c>
      <c r="M586">
        <f t="shared" si="78"/>
        <v>285</v>
      </c>
      <c r="N586">
        <f t="shared" si="78"/>
        <v>297</v>
      </c>
      <c r="O586">
        <f t="shared" si="78"/>
        <v>322</v>
      </c>
      <c r="P586">
        <f t="shared" si="78"/>
        <v>340</v>
      </c>
      <c r="Q586">
        <f t="shared" si="78"/>
        <v>366</v>
      </c>
      <c r="S586" t="str">
        <f t="shared" si="79"/>
        <v>02.12.2025</v>
      </c>
      <c r="T586" t="str">
        <f t="shared" si="80"/>
        <v>21:00:00</v>
      </c>
      <c r="U586" t="str">
        <f t="shared" si="82"/>
        <v>02.12.2025 21:00:00</v>
      </c>
      <c r="V586" s="9" t="str">
        <f>MID($A586,C586+C$2+1,D586-C586-C$2-1)</f>
        <v>0</v>
      </c>
      <c r="W586" s="4">
        <f>VALUE(SUBSTITUTE(MID($A586,D586+D$2+1,E586-D586-D$2-1),",","."))</f>
        <v>0</v>
      </c>
      <c r="X586" s="4">
        <f>VALUE(SUBSTITUTE(MID($A586,E586+E$2+1,F586-E586-E$2-1),",","."))</f>
        <v>0.90957602214449496</v>
      </c>
      <c r="Y586" s="4">
        <f>VALUE(SUBSTITUTE(MID($A586,F586+F$2+1,G586-F586-F$2-1),",","."))</f>
        <v>0</v>
      </c>
      <c r="Z586" s="3">
        <f>VALUE(SUBSTITUTE(MID($A586,G586+G$2+1,H586-G586-G$2-1),",","."))</f>
        <v>0</v>
      </c>
      <c r="AA586" s="3">
        <f>VALUE(SUBSTITUTE(MID($A586,H586+H$2+1,I586-H586-H$2-1),",","."))</f>
        <v>0</v>
      </c>
      <c r="AB586" s="3">
        <f>VALUE(SUBSTITUTE(MID($A586,I586+I$2+1,J586-I586-I$2-1),",","."))</f>
        <v>0</v>
      </c>
      <c r="AC586" s="3">
        <f>VALUE(SUBSTITUTE(MID($A586,J586+J$2+1,K586-J586-J$2-1),",","."))</f>
        <v>0.15</v>
      </c>
      <c r="AD586" s="3">
        <f>VALUE(SUBSTITUTE(MID($A586,K586+K$2+1,L586-K586-K$2-1),",","."))</f>
        <v>3.42</v>
      </c>
      <c r="AE586" s="3">
        <f>VALUE(SUBSTITUTE(MID($A586,L586+L$2+1,M586-L586-L$2-1),",","."))</f>
        <v>0</v>
      </c>
      <c r="AF586" s="3">
        <f>VALUE(SUBSTITUTE(MID($A586,M586+M$2+1,N586-M586-M$2-1),",","."))</f>
        <v>0</v>
      </c>
      <c r="AG586" s="3">
        <f>VALUE(SUBSTITUTE(MID($A586,N586+N$2+1,O586-N586-N$2-1),",","."))</f>
        <v>4.2200878394300103</v>
      </c>
      <c r="AH586" t="str">
        <f>MID($A586,O586+O$2+1,P586-O586-O$2-1)</f>
        <v/>
      </c>
      <c r="AI586" s="8" t="str">
        <f>MID($A586,P586+P$2+1,Q586-P586-P$2-1)</f>
        <v>False</v>
      </c>
      <c r="AK586" t="b">
        <f t="shared" si="83"/>
        <v>0</v>
      </c>
    </row>
    <row r="587" spans="1:37" x14ac:dyDescent="0.35">
      <c r="A587" t="s">
        <v>5134</v>
      </c>
      <c r="B587">
        <f t="shared" si="77"/>
        <v>10</v>
      </c>
      <c r="C587">
        <f t="shared" si="77"/>
        <v>43</v>
      </c>
      <c r="D587">
        <f t="shared" si="77"/>
        <v>54</v>
      </c>
      <c r="E587">
        <f t="shared" si="77"/>
        <v>80</v>
      </c>
      <c r="F587">
        <f t="shared" si="77"/>
        <v>124</v>
      </c>
      <c r="G587">
        <f t="shared" si="77"/>
        <v>145</v>
      </c>
      <c r="H587">
        <f t="shared" si="81"/>
        <v>177</v>
      </c>
      <c r="I587">
        <f t="shared" si="81"/>
        <v>199</v>
      </c>
      <c r="J587">
        <f t="shared" si="81"/>
        <v>232</v>
      </c>
      <c r="K587">
        <f t="shared" si="81"/>
        <v>252</v>
      </c>
      <c r="L587">
        <f t="shared" si="78"/>
        <v>270</v>
      </c>
      <c r="M587">
        <f t="shared" si="78"/>
        <v>285</v>
      </c>
      <c r="N587">
        <f t="shared" si="78"/>
        <v>297</v>
      </c>
      <c r="O587">
        <f t="shared" si="78"/>
        <v>320</v>
      </c>
      <c r="P587">
        <f t="shared" si="78"/>
        <v>338</v>
      </c>
      <c r="Q587">
        <f t="shared" si="78"/>
        <v>364</v>
      </c>
      <c r="S587" t="str">
        <f t="shared" si="79"/>
        <v>02.12.2025</v>
      </c>
      <c r="T587" t="str">
        <f t="shared" si="80"/>
        <v>21:15:00</v>
      </c>
      <c r="U587" t="str">
        <f t="shared" si="82"/>
        <v>02.12.2025 21:15:00</v>
      </c>
      <c r="V587" s="9" t="str">
        <f>MID($A587,C587+C$2+1,D587-C587-C$2-1)</f>
        <v>0</v>
      </c>
      <c r="W587" s="4">
        <f>VALUE(SUBSTITUTE(MID($A587,D587+D$2+1,E587-D587-D$2-1),",","."))</f>
        <v>0</v>
      </c>
      <c r="X587" s="4">
        <f>VALUE(SUBSTITUTE(MID($A587,E587+E$2+1,F587-E587-E$2-1),",","."))</f>
        <v>0.90957602214449496</v>
      </c>
      <c r="Y587" s="4">
        <f>VALUE(SUBSTITUTE(MID($A587,F587+F$2+1,G587-F587-F$2-1),",","."))</f>
        <v>0</v>
      </c>
      <c r="Z587" s="3">
        <f>VALUE(SUBSTITUTE(MID($A587,G587+G$2+1,H587-G587-G$2-1),",","."))</f>
        <v>0</v>
      </c>
      <c r="AA587" s="3">
        <f>VALUE(SUBSTITUTE(MID($A587,H587+H$2+1,I587-H587-H$2-1),",","."))</f>
        <v>0</v>
      </c>
      <c r="AB587" s="3">
        <f>VALUE(SUBSTITUTE(MID($A587,I587+I$2+1,J587-I587-I$2-1),",","."))</f>
        <v>0</v>
      </c>
      <c r="AC587" s="3">
        <f>VALUE(SUBSTITUTE(MID($A587,J587+J$2+1,K587-J587-J$2-1),",","."))</f>
        <v>0.15</v>
      </c>
      <c r="AD587" s="3">
        <f>VALUE(SUBSTITUTE(MID($A587,K587+K$2+1,L587-K587-K$2-1),",","."))</f>
        <v>3.42</v>
      </c>
      <c r="AE587" s="3">
        <f>VALUE(SUBSTITUTE(MID($A587,L587+L$2+1,M587-L587-L$2-1),",","."))</f>
        <v>0</v>
      </c>
      <c r="AF587" s="3">
        <f>VALUE(SUBSTITUTE(MID($A587,M587+M$2+1,N587-M587-M$2-1),",","."))</f>
        <v>0</v>
      </c>
      <c r="AG587" s="3">
        <f>VALUE(SUBSTITUTE(MID($A587,N587+N$2+1,O587-N587-N$2-1),",","."))</f>
        <v>4.2201163593180997</v>
      </c>
      <c r="AH587" t="str">
        <f>MID($A587,O587+O$2+1,P587-O587-O$2-1)</f>
        <v/>
      </c>
      <c r="AI587" s="8" t="str">
        <f>MID($A587,P587+P$2+1,Q587-P587-P$2-1)</f>
        <v>False</v>
      </c>
      <c r="AK587" t="b">
        <f t="shared" si="83"/>
        <v>0</v>
      </c>
    </row>
    <row r="588" spans="1:37" x14ac:dyDescent="0.35">
      <c r="A588" t="s">
        <v>5135</v>
      </c>
      <c r="B588">
        <f t="shared" si="77"/>
        <v>10</v>
      </c>
      <c r="C588">
        <f t="shared" si="77"/>
        <v>43</v>
      </c>
      <c r="D588">
        <f t="shared" si="77"/>
        <v>54</v>
      </c>
      <c r="E588">
        <f t="shared" si="77"/>
        <v>80</v>
      </c>
      <c r="F588">
        <f t="shared" si="77"/>
        <v>124</v>
      </c>
      <c r="G588">
        <f t="shared" si="77"/>
        <v>145</v>
      </c>
      <c r="H588">
        <f t="shared" si="81"/>
        <v>177</v>
      </c>
      <c r="I588">
        <f t="shared" si="81"/>
        <v>199</v>
      </c>
      <c r="J588">
        <f t="shared" si="81"/>
        <v>232</v>
      </c>
      <c r="K588">
        <f t="shared" si="81"/>
        <v>268</v>
      </c>
      <c r="L588">
        <f t="shared" si="78"/>
        <v>286</v>
      </c>
      <c r="M588">
        <f t="shared" si="78"/>
        <v>301</v>
      </c>
      <c r="N588">
        <f t="shared" si="78"/>
        <v>313</v>
      </c>
      <c r="O588">
        <f t="shared" si="78"/>
        <v>338</v>
      </c>
      <c r="P588">
        <f t="shared" si="78"/>
        <v>356</v>
      </c>
      <c r="Q588">
        <f t="shared" si="78"/>
        <v>382</v>
      </c>
      <c r="S588" t="str">
        <f t="shared" si="79"/>
        <v>02.12.2025</v>
      </c>
      <c r="T588" t="str">
        <f t="shared" si="80"/>
        <v>21:30:00</v>
      </c>
      <c r="U588" t="str">
        <f t="shared" si="82"/>
        <v>02.12.2025 21:30:00</v>
      </c>
      <c r="V588" s="9" t="str">
        <f>MID($A588,C588+C$2+1,D588-C588-C$2-1)</f>
        <v>0</v>
      </c>
      <c r="W588" s="4">
        <f>VALUE(SUBSTITUTE(MID($A588,D588+D$2+1,E588-D588-D$2-1),",","."))</f>
        <v>0</v>
      </c>
      <c r="X588" s="4">
        <f>VALUE(SUBSTITUTE(MID($A588,E588+E$2+1,F588-E588-E$2-1),",","."))</f>
        <v>0.90957602214449496</v>
      </c>
      <c r="Y588" s="4">
        <f>VALUE(SUBSTITUTE(MID($A588,F588+F$2+1,G588-F588-F$2-1),",","."))</f>
        <v>0</v>
      </c>
      <c r="Z588" s="3">
        <f>VALUE(SUBSTITUTE(MID($A588,G588+G$2+1,H588-G588-G$2-1),",","."))</f>
        <v>0</v>
      </c>
      <c r="AA588" s="3">
        <f>VALUE(SUBSTITUTE(MID($A588,H588+H$2+1,I588-H588-H$2-1),",","."))</f>
        <v>0</v>
      </c>
      <c r="AB588" s="3">
        <f>VALUE(SUBSTITUTE(MID($A588,I588+I$2+1,J588-I588-I$2-1),",","."))</f>
        <v>0</v>
      </c>
      <c r="AC588" s="3">
        <f>VALUE(SUBSTITUTE(MID($A588,J588+J$2+1,K588-J588-J$2-1),",","."))</f>
        <v>-0.19999999999999901</v>
      </c>
      <c r="AD588" s="3">
        <f>VALUE(SUBSTITUTE(MID($A588,K588+K$2+1,L588-K588-K$2-1),",","."))</f>
        <v>4.32</v>
      </c>
      <c r="AE588" s="3">
        <f>VALUE(SUBSTITUTE(MID($A588,L588+L$2+1,M588-L588-L$2-1),",","."))</f>
        <v>0</v>
      </c>
      <c r="AF588" s="3">
        <f>VALUE(SUBSTITUTE(MID($A588,M588+M$2+1,N588-M588-M$2-1),",","."))</f>
        <v>0</v>
      </c>
      <c r="AG588" s="3">
        <f>VALUE(SUBSTITUTE(MID($A588,N588+N$2+1,O588-N588-N$2-1),",","."))</f>
        <v>4.2201448792061802</v>
      </c>
      <c r="AH588" t="str">
        <f>MID($A588,O588+O$2+1,P588-O588-O$2-1)</f>
        <v/>
      </c>
      <c r="AI588" s="8" t="str">
        <f>MID($A588,P588+P$2+1,Q588-P588-P$2-1)</f>
        <v>False</v>
      </c>
      <c r="AK588" t="b">
        <f t="shared" si="83"/>
        <v>0</v>
      </c>
    </row>
    <row r="589" spans="1:37" x14ac:dyDescent="0.35">
      <c r="A589" t="s">
        <v>5136</v>
      </c>
      <c r="B589">
        <f t="shared" si="77"/>
        <v>10</v>
      </c>
      <c r="C589">
        <f t="shared" si="77"/>
        <v>43</v>
      </c>
      <c r="D589">
        <f t="shared" si="77"/>
        <v>54</v>
      </c>
      <c r="E589">
        <f t="shared" si="77"/>
        <v>80</v>
      </c>
      <c r="F589">
        <f t="shared" si="77"/>
        <v>124</v>
      </c>
      <c r="G589">
        <f t="shared" si="77"/>
        <v>145</v>
      </c>
      <c r="H589">
        <f t="shared" si="81"/>
        <v>177</v>
      </c>
      <c r="I589">
        <f t="shared" si="81"/>
        <v>199</v>
      </c>
      <c r="J589">
        <f t="shared" si="81"/>
        <v>232</v>
      </c>
      <c r="K589">
        <f t="shared" si="81"/>
        <v>268</v>
      </c>
      <c r="L589">
        <f t="shared" si="78"/>
        <v>286</v>
      </c>
      <c r="M589">
        <f t="shared" si="78"/>
        <v>301</v>
      </c>
      <c r="N589">
        <f t="shared" si="78"/>
        <v>313</v>
      </c>
      <c r="O589">
        <f t="shared" si="78"/>
        <v>339</v>
      </c>
      <c r="P589">
        <f t="shared" si="78"/>
        <v>357</v>
      </c>
      <c r="Q589">
        <f t="shared" si="78"/>
        <v>383</v>
      </c>
      <c r="S589" t="str">
        <f t="shared" si="79"/>
        <v>02.12.2025</v>
      </c>
      <c r="T589" t="str">
        <f t="shared" si="80"/>
        <v>21:45:00</v>
      </c>
      <c r="U589" t="str">
        <f t="shared" si="82"/>
        <v>02.12.2025 21:45:00</v>
      </c>
      <c r="V589" s="9" t="str">
        <f>MID($A589,C589+C$2+1,D589-C589-C$2-1)</f>
        <v>0</v>
      </c>
      <c r="W589" s="4">
        <f>VALUE(SUBSTITUTE(MID($A589,D589+D$2+1,E589-D589-D$2-1),",","."))</f>
        <v>0</v>
      </c>
      <c r="X589" s="4">
        <f>VALUE(SUBSTITUTE(MID($A589,E589+E$2+1,F589-E589-E$2-1),",","."))</f>
        <v>0.90957602214449496</v>
      </c>
      <c r="Y589" s="4">
        <f>VALUE(SUBSTITUTE(MID($A589,F589+F$2+1,G589-F589-F$2-1),",","."))</f>
        <v>0</v>
      </c>
      <c r="Z589" s="3">
        <f>VALUE(SUBSTITUTE(MID($A589,G589+G$2+1,H589-G589-G$2-1),",","."))</f>
        <v>0</v>
      </c>
      <c r="AA589" s="3">
        <f>VALUE(SUBSTITUTE(MID($A589,H589+H$2+1,I589-H589-H$2-1),",","."))</f>
        <v>0</v>
      </c>
      <c r="AB589" s="3">
        <f>VALUE(SUBSTITUTE(MID($A589,I589+I$2+1,J589-I589-I$2-1),",","."))</f>
        <v>0</v>
      </c>
      <c r="AC589" s="3">
        <f>VALUE(SUBSTITUTE(MID($A589,J589+J$2+1,K589-J589-J$2-1),",","."))</f>
        <v>-0.19999999999999901</v>
      </c>
      <c r="AD589" s="3">
        <f>VALUE(SUBSTITUTE(MID($A589,K589+K$2+1,L589-K589-K$2-1),",","."))</f>
        <v>4.32</v>
      </c>
      <c r="AE589" s="3">
        <f>VALUE(SUBSTITUTE(MID($A589,L589+L$2+1,M589-L589-L$2-1),",","."))</f>
        <v>0</v>
      </c>
      <c r="AF589" s="3">
        <f>VALUE(SUBSTITUTE(MID($A589,M589+M$2+1,N589-M589-M$2-1),",","."))</f>
        <v>0</v>
      </c>
      <c r="AG589" s="3">
        <f>VALUE(SUBSTITUTE(MID($A589,N589+N$2+1,O589-N589-N$2-1),",","."))</f>
        <v>4.2201733990942598</v>
      </c>
      <c r="AH589" t="str">
        <f>MID($A589,O589+O$2+1,P589-O589-O$2-1)</f>
        <v/>
      </c>
      <c r="AI589" s="8" t="str">
        <f>MID($A589,P589+P$2+1,Q589-P589-P$2-1)</f>
        <v>False</v>
      </c>
      <c r="AK589" t="b">
        <f t="shared" si="83"/>
        <v>0</v>
      </c>
    </row>
    <row r="590" spans="1:37" x14ac:dyDescent="0.35">
      <c r="A590" t="s">
        <v>5137</v>
      </c>
      <c r="B590">
        <f t="shared" ref="B590:L629" si="84">FIND(B$1,$A590)</f>
        <v>10</v>
      </c>
      <c r="C590">
        <f t="shared" si="84"/>
        <v>43</v>
      </c>
      <c r="D590">
        <f t="shared" si="84"/>
        <v>54</v>
      </c>
      <c r="E590">
        <f t="shared" si="84"/>
        <v>80</v>
      </c>
      <c r="F590">
        <f t="shared" si="84"/>
        <v>124</v>
      </c>
      <c r="G590">
        <f t="shared" si="84"/>
        <v>145</v>
      </c>
      <c r="H590">
        <f t="shared" si="81"/>
        <v>177</v>
      </c>
      <c r="I590">
        <f t="shared" si="81"/>
        <v>199</v>
      </c>
      <c r="J590">
        <f t="shared" si="81"/>
        <v>232</v>
      </c>
      <c r="K590">
        <f t="shared" si="81"/>
        <v>268</v>
      </c>
      <c r="L590">
        <f t="shared" si="78"/>
        <v>286</v>
      </c>
      <c r="M590">
        <f t="shared" si="78"/>
        <v>301</v>
      </c>
      <c r="N590">
        <f t="shared" si="78"/>
        <v>313</v>
      </c>
      <c r="O590">
        <f t="shared" si="78"/>
        <v>338</v>
      </c>
      <c r="P590">
        <f t="shared" si="78"/>
        <v>356</v>
      </c>
      <c r="Q590">
        <f t="shared" si="78"/>
        <v>382</v>
      </c>
      <c r="S590" t="str">
        <f t="shared" si="79"/>
        <v>02.12.2025</v>
      </c>
      <c r="T590" t="str">
        <f t="shared" si="80"/>
        <v>22:00:00</v>
      </c>
      <c r="U590" t="str">
        <f t="shared" si="82"/>
        <v>02.12.2025 22:00:00</v>
      </c>
      <c r="V590" s="9" t="str">
        <f>MID($A590,C590+C$2+1,D590-C590-C$2-1)</f>
        <v>0</v>
      </c>
      <c r="W590" s="4">
        <f>VALUE(SUBSTITUTE(MID($A590,D590+D$2+1,E590-D590-D$2-1),",","."))</f>
        <v>0</v>
      </c>
      <c r="X590" s="4">
        <f>VALUE(SUBSTITUTE(MID($A590,E590+E$2+1,F590-E590-E$2-1),",","."))</f>
        <v>0.90957602214449496</v>
      </c>
      <c r="Y590" s="4">
        <f>VALUE(SUBSTITUTE(MID($A590,F590+F$2+1,G590-F590-F$2-1),",","."))</f>
        <v>0</v>
      </c>
      <c r="Z590" s="3">
        <f>VALUE(SUBSTITUTE(MID($A590,G590+G$2+1,H590-G590-G$2-1),",","."))</f>
        <v>0</v>
      </c>
      <c r="AA590" s="3">
        <f>VALUE(SUBSTITUTE(MID($A590,H590+H$2+1,I590-H590-H$2-1),",","."))</f>
        <v>0</v>
      </c>
      <c r="AB590" s="3">
        <f>VALUE(SUBSTITUTE(MID($A590,I590+I$2+1,J590-I590-I$2-1),",","."))</f>
        <v>0</v>
      </c>
      <c r="AC590" s="3">
        <f>VALUE(SUBSTITUTE(MID($A590,J590+J$2+1,K590-J590-J$2-1),",","."))</f>
        <v>-0.19999999999999901</v>
      </c>
      <c r="AD590" s="3">
        <f>VALUE(SUBSTITUTE(MID($A590,K590+K$2+1,L590-K590-K$2-1),",","."))</f>
        <v>4.32</v>
      </c>
      <c r="AE590" s="3">
        <f>VALUE(SUBSTITUTE(MID($A590,L590+L$2+1,M590-L590-L$2-1),",","."))</f>
        <v>0</v>
      </c>
      <c r="AF590" s="3">
        <f>VALUE(SUBSTITUTE(MID($A590,M590+M$2+1,N590-M590-M$2-1),",","."))</f>
        <v>0</v>
      </c>
      <c r="AG590" s="3">
        <f>VALUE(SUBSTITUTE(MID($A590,N590+N$2+1,O590-N590-N$2-1),",","."))</f>
        <v>4.2202019189823403</v>
      </c>
      <c r="AH590" t="str">
        <f>MID($A590,O590+O$2+1,P590-O590-O$2-1)</f>
        <v/>
      </c>
      <c r="AI590" s="8" t="str">
        <f>MID($A590,P590+P$2+1,Q590-P590-P$2-1)</f>
        <v>False</v>
      </c>
      <c r="AK590" t="b">
        <f t="shared" si="83"/>
        <v>0</v>
      </c>
    </row>
    <row r="591" spans="1:37" x14ac:dyDescent="0.35">
      <c r="A591" t="s">
        <v>5138</v>
      </c>
      <c r="B591">
        <f t="shared" si="84"/>
        <v>10</v>
      </c>
      <c r="C591">
        <f t="shared" si="84"/>
        <v>43</v>
      </c>
      <c r="D591">
        <f t="shared" si="84"/>
        <v>54</v>
      </c>
      <c r="E591">
        <f t="shared" si="84"/>
        <v>80</v>
      </c>
      <c r="F591">
        <f t="shared" si="84"/>
        <v>124</v>
      </c>
      <c r="G591">
        <f t="shared" si="84"/>
        <v>145</v>
      </c>
      <c r="H591">
        <f t="shared" si="81"/>
        <v>177</v>
      </c>
      <c r="I591">
        <f t="shared" si="81"/>
        <v>199</v>
      </c>
      <c r="J591">
        <f t="shared" si="81"/>
        <v>232</v>
      </c>
      <c r="K591">
        <f t="shared" si="81"/>
        <v>268</v>
      </c>
      <c r="L591">
        <f t="shared" si="78"/>
        <v>286</v>
      </c>
      <c r="M591">
        <f t="shared" si="78"/>
        <v>301</v>
      </c>
      <c r="N591">
        <f t="shared" si="78"/>
        <v>313</v>
      </c>
      <c r="O591">
        <f t="shared" si="78"/>
        <v>338</v>
      </c>
      <c r="P591">
        <f t="shared" si="78"/>
        <v>356</v>
      </c>
      <c r="Q591">
        <f t="shared" si="78"/>
        <v>382</v>
      </c>
      <c r="S591" t="str">
        <f t="shared" si="79"/>
        <v>02.12.2025</v>
      </c>
      <c r="T591" t="str">
        <f t="shared" si="80"/>
        <v>22:15:00</v>
      </c>
      <c r="U591" t="str">
        <f t="shared" si="82"/>
        <v>02.12.2025 22:15:00</v>
      </c>
      <c r="V591" s="9" t="str">
        <f>MID($A591,C591+C$2+1,D591-C591-C$2-1)</f>
        <v>0</v>
      </c>
      <c r="W591" s="4">
        <f>VALUE(SUBSTITUTE(MID($A591,D591+D$2+1,E591-D591-D$2-1),",","."))</f>
        <v>0</v>
      </c>
      <c r="X591" s="4">
        <f>VALUE(SUBSTITUTE(MID($A591,E591+E$2+1,F591-E591-E$2-1),",","."))</f>
        <v>0.90957602214449496</v>
      </c>
      <c r="Y591" s="4">
        <f>VALUE(SUBSTITUTE(MID($A591,F591+F$2+1,G591-F591-F$2-1),",","."))</f>
        <v>0</v>
      </c>
      <c r="Z591" s="3">
        <f>VALUE(SUBSTITUTE(MID($A591,G591+G$2+1,H591-G591-G$2-1),",","."))</f>
        <v>0</v>
      </c>
      <c r="AA591" s="3">
        <f>VALUE(SUBSTITUTE(MID($A591,H591+H$2+1,I591-H591-H$2-1),",","."))</f>
        <v>0</v>
      </c>
      <c r="AB591" s="3">
        <f>VALUE(SUBSTITUTE(MID($A591,I591+I$2+1,J591-I591-I$2-1),",","."))</f>
        <v>0</v>
      </c>
      <c r="AC591" s="3">
        <f>VALUE(SUBSTITUTE(MID($A591,J591+J$2+1,K591-J591-J$2-1),",","."))</f>
        <v>-0.19999999999999901</v>
      </c>
      <c r="AD591" s="3">
        <f>VALUE(SUBSTITUTE(MID($A591,K591+K$2+1,L591-K591-K$2-1),",","."))</f>
        <v>4.32</v>
      </c>
      <c r="AE591" s="3">
        <f>VALUE(SUBSTITUTE(MID($A591,L591+L$2+1,M591-L591-L$2-1),",","."))</f>
        <v>0</v>
      </c>
      <c r="AF591" s="3">
        <f>VALUE(SUBSTITUTE(MID($A591,M591+M$2+1,N591-M591-M$2-1),",","."))</f>
        <v>0</v>
      </c>
      <c r="AG591" s="3">
        <f>VALUE(SUBSTITUTE(MID($A591,N591+N$2+1,O591-N591-N$2-1),",","."))</f>
        <v>4.2202304388704199</v>
      </c>
      <c r="AH591" t="str">
        <f>MID($A591,O591+O$2+1,P591-O591-O$2-1)</f>
        <v/>
      </c>
      <c r="AI591" s="8" t="str">
        <f>MID($A591,P591+P$2+1,Q591-P591-P$2-1)</f>
        <v>False</v>
      </c>
      <c r="AK591" t="b">
        <f t="shared" si="83"/>
        <v>0</v>
      </c>
    </row>
    <row r="592" spans="1:37" x14ac:dyDescent="0.35">
      <c r="A592" t="s">
        <v>5139</v>
      </c>
      <c r="B592">
        <f t="shared" si="84"/>
        <v>10</v>
      </c>
      <c r="C592">
        <f t="shared" si="84"/>
        <v>43</v>
      </c>
      <c r="D592">
        <f t="shared" si="84"/>
        <v>54</v>
      </c>
      <c r="E592">
        <f t="shared" si="84"/>
        <v>80</v>
      </c>
      <c r="F592">
        <f t="shared" si="84"/>
        <v>124</v>
      </c>
      <c r="G592">
        <f t="shared" si="84"/>
        <v>145</v>
      </c>
      <c r="H592">
        <f t="shared" si="81"/>
        <v>177</v>
      </c>
      <c r="I592">
        <f t="shared" si="81"/>
        <v>199</v>
      </c>
      <c r="J592">
        <f t="shared" si="81"/>
        <v>232</v>
      </c>
      <c r="K592">
        <f t="shared" si="81"/>
        <v>253</v>
      </c>
      <c r="L592">
        <f t="shared" si="78"/>
        <v>284</v>
      </c>
      <c r="M592">
        <f t="shared" si="78"/>
        <v>299</v>
      </c>
      <c r="N592">
        <f t="shared" si="78"/>
        <v>311</v>
      </c>
      <c r="O592">
        <f t="shared" si="78"/>
        <v>337</v>
      </c>
      <c r="P592">
        <f t="shared" si="78"/>
        <v>355</v>
      </c>
      <c r="Q592">
        <f t="shared" si="78"/>
        <v>381</v>
      </c>
      <c r="S592" t="str">
        <f t="shared" si="79"/>
        <v>02.12.2025</v>
      </c>
      <c r="T592" t="str">
        <f t="shared" si="80"/>
        <v>22:30:00</v>
      </c>
      <c r="U592" t="str">
        <f t="shared" si="82"/>
        <v>02.12.2025 22:30:00</v>
      </c>
      <c r="V592" s="9" t="str">
        <f>MID($A592,C592+C$2+1,D592-C592-C$2-1)</f>
        <v>0</v>
      </c>
      <c r="W592" s="4">
        <f>VALUE(SUBSTITUTE(MID($A592,D592+D$2+1,E592-D592-D$2-1),",","."))</f>
        <v>0</v>
      </c>
      <c r="X592" s="4">
        <f>VALUE(SUBSTITUTE(MID($A592,E592+E$2+1,F592-E592-E$2-1),",","."))</f>
        <v>0.90957602214449496</v>
      </c>
      <c r="Y592" s="4">
        <f>VALUE(SUBSTITUTE(MID($A592,F592+F$2+1,G592-F592-F$2-1),",","."))</f>
        <v>0</v>
      </c>
      <c r="Z592" s="3">
        <f>VALUE(SUBSTITUTE(MID($A592,G592+G$2+1,H592-G592-G$2-1),",","."))</f>
        <v>0</v>
      </c>
      <c r="AA592" s="3">
        <f>VALUE(SUBSTITUTE(MID($A592,H592+H$2+1,I592-H592-H$2-1),",","."))</f>
        <v>0</v>
      </c>
      <c r="AB592" s="3">
        <f>VALUE(SUBSTITUTE(MID($A592,I592+I$2+1,J592-I592-I$2-1),",","."))</f>
        <v>0</v>
      </c>
      <c r="AC592" s="3">
        <f>VALUE(SUBSTITUTE(MID($A592,J592+J$2+1,K592-J592-J$2-1),",","."))</f>
        <v>-0.55000000000000004</v>
      </c>
      <c r="AD592" s="3">
        <f>VALUE(SUBSTITUTE(MID($A592,K592+K$2+1,L592-K592-K$2-1),",","."))</f>
        <v>4.68</v>
      </c>
      <c r="AE592" s="3">
        <f>VALUE(SUBSTITUTE(MID($A592,L592+L$2+1,M592-L592-L$2-1),",","."))</f>
        <v>0</v>
      </c>
      <c r="AF592" s="3">
        <f>VALUE(SUBSTITUTE(MID($A592,M592+M$2+1,N592-M592-M$2-1),",","."))</f>
        <v>0</v>
      </c>
      <c r="AG592" s="3">
        <f>VALUE(SUBSTITUTE(MID($A592,N592+N$2+1,O592-N592-N$2-1),",","."))</f>
        <v>4.2202589587585004</v>
      </c>
      <c r="AH592" t="str">
        <f>MID($A592,O592+O$2+1,P592-O592-O$2-1)</f>
        <v/>
      </c>
      <c r="AI592" s="8" t="str">
        <f>MID($A592,P592+P$2+1,Q592-P592-P$2-1)</f>
        <v>False</v>
      </c>
      <c r="AK592" t="b">
        <f t="shared" si="83"/>
        <v>0</v>
      </c>
    </row>
    <row r="593" spans="1:37" x14ac:dyDescent="0.35">
      <c r="A593" t="s">
        <v>5140</v>
      </c>
      <c r="B593">
        <f t="shared" si="84"/>
        <v>10</v>
      </c>
      <c r="C593">
        <f t="shared" si="84"/>
        <v>43</v>
      </c>
      <c r="D593">
        <f t="shared" si="84"/>
        <v>54</v>
      </c>
      <c r="E593">
        <f t="shared" si="84"/>
        <v>80</v>
      </c>
      <c r="F593">
        <f t="shared" si="84"/>
        <v>124</v>
      </c>
      <c r="G593">
        <f t="shared" si="84"/>
        <v>145</v>
      </c>
      <c r="H593">
        <f t="shared" si="81"/>
        <v>177</v>
      </c>
      <c r="I593">
        <f t="shared" si="81"/>
        <v>199</v>
      </c>
      <c r="J593">
        <f t="shared" si="81"/>
        <v>232</v>
      </c>
      <c r="K593">
        <f t="shared" si="81"/>
        <v>253</v>
      </c>
      <c r="L593">
        <f t="shared" si="78"/>
        <v>284</v>
      </c>
      <c r="M593">
        <f t="shared" si="78"/>
        <v>299</v>
      </c>
      <c r="N593">
        <f t="shared" si="78"/>
        <v>311</v>
      </c>
      <c r="O593">
        <f t="shared" si="78"/>
        <v>336</v>
      </c>
      <c r="P593">
        <f t="shared" si="78"/>
        <v>354</v>
      </c>
      <c r="Q593">
        <f t="shared" si="78"/>
        <v>380</v>
      </c>
      <c r="S593" t="str">
        <f t="shared" si="79"/>
        <v>02.12.2025</v>
      </c>
      <c r="T593" t="str">
        <f t="shared" si="80"/>
        <v>22:45:00</v>
      </c>
      <c r="U593" t="str">
        <f t="shared" si="82"/>
        <v>02.12.2025 22:45:00</v>
      </c>
      <c r="V593" s="9" t="str">
        <f>MID($A593,C593+C$2+1,D593-C593-C$2-1)</f>
        <v>0</v>
      </c>
      <c r="W593" s="4">
        <f>VALUE(SUBSTITUTE(MID($A593,D593+D$2+1,E593-D593-D$2-1),",","."))</f>
        <v>0</v>
      </c>
      <c r="X593" s="4">
        <f>VALUE(SUBSTITUTE(MID($A593,E593+E$2+1,F593-E593-E$2-1),",","."))</f>
        <v>0.90957602214449496</v>
      </c>
      <c r="Y593" s="4">
        <f>VALUE(SUBSTITUTE(MID($A593,F593+F$2+1,G593-F593-F$2-1),",","."))</f>
        <v>0</v>
      </c>
      <c r="Z593" s="3">
        <f>VALUE(SUBSTITUTE(MID($A593,G593+G$2+1,H593-G593-G$2-1),",","."))</f>
        <v>0</v>
      </c>
      <c r="AA593" s="3">
        <f>VALUE(SUBSTITUTE(MID($A593,H593+H$2+1,I593-H593-H$2-1),",","."))</f>
        <v>0</v>
      </c>
      <c r="AB593" s="3">
        <f>VALUE(SUBSTITUTE(MID($A593,I593+I$2+1,J593-I593-I$2-1),",","."))</f>
        <v>0</v>
      </c>
      <c r="AC593" s="3">
        <f>VALUE(SUBSTITUTE(MID($A593,J593+J$2+1,K593-J593-J$2-1),",","."))</f>
        <v>-0.55000000000000004</v>
      </c>
      <c r="AD593" s="3">
        <f>VALUE(SUBSTITUTE(MID($A593,K593+K$2+1,L593-K593-K$2-1),",","."))</f>
        <v>4.68</v>
      </c>
      <c r="AE593" s="3">
        <f>VALUE(SUBSTITUTE(MID($A593,L593+L$2+1,M593-L593-L$2-1),",","."))</f>
        <v>0</v>
      </c>
      <c r="AF593" s="3">
        <f>VALUE(SUBSTITUTE(MID($A593,M593+M$2+1,N593-M593-M$2-1),",","."))</f>
        <v>0</v>
      </c>
      <c r="AG593" s="3">
        <f>VALUE(SUBSTITUTE(MID($A593,N593+N$2+1,O593-N593-N$2-1),",","."))</f>
        <v>4.22028747864658</v>
      </c>
      <c r="AH593" t="str">
        <f>MID($A593,O593+O$2+1,P593-O593-O$2-1)</f>
        <v/>
      </c>
      <c r="AI593" s="8" t="str">
        <f>MID($A593,P593+P$2+1,Q593-P593-P$2-1)</f>
        <v>False</v>
      </c>
      <c r="AK593" t="b">
        <f t="shared" si="83"/>
        <v>0</v>
      </c>
    </row>
    <row r="594" spans="1:37" x14ac:dyDescent="0.35">
      <c r="A594" t="s">
        <v>5141</v>
      </c>
      <c r="B594">
        <f t="shared" si="84"/>
        <v>10</v>
      </c>
      <c r="C594">
        <f t="shared" si="84"/>
        <v>43</v>
      </c>
      <c r="D594">
        <f t="shared" si="84"/>
        <v>54</v>
      </c>
      <c r="E594">
        <f t="shared" si="84"/>
        <v>80</v>
      </c>
      <c r="F594">
        <f t="shared" si="84"/>
        <v>124</v>
      </c>
      <c r="G594">
        <f t="shared" si="84"/>
        <v>145</v>
      </c>
      <c r="H594">
        <f t="shared" si="81"/>
        <v>177</v>
      </c>
      <c r="I594">
        <f t="shared" si="81"/>
        <v>199</v>
      </c>
      <c r="J594">
        <f t="shared" si="81"/>
        <v>232</v>
      </c>
      <c r="K594">
        <f t="shared" si="81"/>
        <v>253</v>
      </c>
      <c r="L594">
        <f t="shared" si="78"/>
        <v>284</v>
      </c>
      <c r="M594">
        <f t="shared" si="78"/>
        <v>299</v>
      </c>
      <c r="N594">
        <f t="shared" si="78"/>
        <v>311</v>
      </c>
      <c r="O594">
        <f t="shared" si="78"/>
        <v>335</v>
      </c>
      <c r="P594">
        <f t="shared" si="78"/>
        <v>353</v>
      </c>
      <c r="Q594">
        <f t="shared" si="78"/>
        <v>379</v>
      </c>
      <c r="S594" t="str">
        <f t="shared" si="79"/>
        <v>02.12.2025</v>
      </c>
      <c r="T594" t="str">
        <f t="shared" si="80"/>
        <v>23:00:00</v>
      </c>
      <c r="U594" t="str">
        <f t="shared" si="82"/>
        <v>02.12.2025 23:00:00</v>
      </c>
      <c r="V594" s="9" t="str">
        <f>MID($A594,C594+C$2+1,D594-C594-C$2-1)</f>
        <v>0</v>
      </c>
      <c r="W594" s="4">
        <f>VALUE(SUBSTITUTE(MID($A594,D594+D$2+1,E594-D594-D$2-1),",","."))</f>
        <v>0</v>
      </c>
      <c r="X594" s="4">
        <f>VALUE(SUBSTITUTE(MID($A594,E594+E$2+1,F594-E594-E$2-1),",","."))</f>
        <v>0.90957602214449496</v>
      </c>
      <c r="Y594" s="4">
        <f>VALUE(SUBSTITUTE(MID($A594,F594+F$2+1,G594-F594-F$2-1),",","."))</f>
        <v>0</v>
      </c>
      <c r="Z594" s="3">
        <f>VALUE(SUBSTITUTE(MID($A594,G594+G$2+1,H594-G594-G$2-1),",","."))</f>
        <v>0</v>
      </c>
      <c r="AA594" s="3">
        <f>VALUE(SUBSTITUTE(MID($A594,H594+H$2+1,I594-H594-H$2-1),",","."))</f>
        <v>0</v>
      </c>
      <c r="AB594" s="3">
        <f>VALUE(SUBSTITUTE(MID($A594,I594+I$2+1,J594-I594-I$2-1),",","."))</f>
        <v>0</v>
      </c>
      <c r="AC594" s="3">
        <f>VALUE(SUBSTITUTE(MID($A594,J594+J$2+1,K594-J594-J$2-1),",","."))</f>
        <v>-0.55000000000000004</v>
      </c>
      <c r="AD594" s="3">
        <f>VALUE(SUBSTITUTE(MID($A594,K594+K$2+1,L594-K594-K$2-1),",","."))</f>
        <v>4.68</v>
      </c>
      <c r="AE594" s="3">
        <f>VALUE(SUBSTITUTE(MID($A594,L594+L$2+1,M594-L594-L$2-1),",","."))</f>
        <v>0</v>
      </c>
      <c r="AF594" s="3">
        <f>VALUE(SUBSTITUTE(MID($A594,M594+M$2+1,N594-M594-M$2-1),",","."))</f>
        <v>0</v>
      </c>
      <c r="AG594" s="3">
        <f>VALUE(SUBSTITUTE(MID($A594,N594+N$2+1,O594-N594-N$2-1),",","."))</f>
        <v>4.2203159985346703</v>
      </c>
      <c r="AH594" t="str">
        <f>MID($A594,O594+O$2+1,P594-O594-O$2-1)</f>
        <v/>
      </c>
      <c r="AI594" s="8" t="str">
        <f>MID($A594,P594+P$2+1,Q594-P594-P$2-1)</f>
        <v>False</v>
      </c>
      <c r="AK594" t="b">
        <f t="shared" si="83"/>
        <v>0</v>
      </c>
    </row>
    <row r="595" spans="1:37" x14ac:dyDescent="0.35">
      <c r="A595" t="s">
        <v>5142</v>
      </c>
      <c r="B595">
        <f t="shared" si="84"/>
        <v>10</v>
      </c>
      <c r="C595">
        <f t="shared" si="84"/>
        <v>43</v>
      </c>
      <c r="D595">
        <f t="shared" si="84"/>
        <v>54</v>
      </c>
      <c r="E595">
        <f t="shared" si="84"/>
        <v>80</v>
      </c>
      <c r="F595">
        <f t="shared" si="84"/>
        <v>124</v>
      </c>
      <c r="G595">
        <f t="shared" si="84"/>
        <v>145</v>
      </c>
      <c r="H595">
        <f t="shared" si="81"/>
        <v>177</v>
      </c>
      <c r="I595">
        <f t="shared" si="81"/>
        <v>199</v>
      </c>
      <c r="J595">
        <f t="shared" si="81"/>
        <v>232</v>
      </c>
      <c r="K595">
        <f t="shared" si="81"/>
        <v>253</v>
      </c>
      <c r="L595">
        <f t="shared" si="78"/>
        <v>284</v>
      </c>
      <c r="M595">
        <f t="shared" si="78"/>
        <v>299</v>
      </c>
      <c r="N595">
        <f t="shared" si="78"/>
        <v>311</v>
      </c>
      <c r="O595">
        <f t="shared" si="78"/>
        <v>336</v>
      </c>
      <c r="P595">
        <f t="shared" si="78"/>
        <v>354</v>
      </c>
      <c r="Q595">
        <f t="shared" si="78"/>
        <v>380</v>
      </c>
      <c r="S595" t="str">
        <f t="shared" si="79"/>
        <v>02.12.2025</v>
      </c>
      <c r="T595" t="str">
        <f t="shared" si="80"/>
        <v>23:15:00</v>
      </c>
      <c r="U595" t="str">
        <f t="shared" si="82"/>
        <v>02.12.2025 23:15:00</v>
      </c>
      <c r="V595" s="9" t="str">
        <f>MID($A595,C595+C$2+1,D595-C595-C$2-1)</f>
        <v>0</v>
      </c>
      <c r="W595" s="4">
        <f>VALUE(SUBSTITUTE(MID($A595,D595+D$2+1,E595-D595-D$2-1),",","."))</f>
        <v>0</v>
      </c>
      <c r="X595" s="4">
        <f>VALUE(SUBSTITUTE(MID($A595,E595+E$2+1,F595-E595-E$2-1),",","."))</f>
        <v>0.90957602214449496</v>
      </c>
      <c r="Y595" s="4">
        <f>VALUE(SUBSTITUTE(MID($A595,F595+F$2+1,G595-F595-F$2-1),",","."))</f>
        <v>0</v>
      </c>
      <c r="Z595" s="3">
        <f>VALUE(SUBSTITUTE(MID($A595,G595+G$2+1,H595-G595-G$2-1),",","."))</f>
        <v>0</v>
      </c>
      <c r="AA595" s="3">
        <f>VALUE(SUBSTITUTE(MID($A595,H595+H$2+1,I595-H595-H$2-1),",","."))</f>
        <v>0</v>
      </c>
      <c r="AB595" s="3">
        <f>VALUE(SUBSTITUTE(MID($A595,I595+I$2+1,J595-I595-I$2-1),",","."))</f>
        <v>0</v>
      </c>
      <c r="AC595" s="3">
        <f>VALUE(SUBSTITUTE(MID($A595,J595+J$2+1,K595-J595-J$2-1),",","."))</f>
        <v>-0.55000000000000004</v>
      </c>
      <c r="AD595" s="3">
        <f>VALUE(SUBSTITUTE(MID($A595,K595+K$2+1,L595-K595-K$2-1),",","."))</f>
        <v>4.68</v>
      </c>
      <c r="AE595" s="3">
        <f>VALUE(SUBSTITUTE(MID($A595,L595+L$2+1,M595-L595-L$2-1),",","."))</f>
        <v>0</v>
      </c>
      <c r="AF595" s="3">
        <f>VALUE(SUBSTITUTE(MID($A595,M595+M$2+1,N595-M595-M$2-1),",","."))</f>
        <v>0</v>
      </c>
      <c r="AG595" s="3">
        <f>VALUE(SUBSTITUTE(MID($A595,N595+N$2+1,O595-N595-N$2-1),",","."))</f>
        <v>4.2203445184227499</v>
      </c>
      <c r="AH595" t="str">
        <f>MID($A595,O595+O$2+1,P595-O595-O$2-1)</f>
        <v/>
      </c>
      <c r="AI595" s="8" t="str">
        <f>MID($A595,P595+P$2+1,Q595-P595-P$2-1)</f>
        <v>False</v>
      </c>
      <c r="AK595" t="b">
        <f t="shared" si="83"/>
        <v>0</v>
      </c>
    </row>
    <row r="596" spans="1:37" x14ac:dyDescent="0.35">
      <c r="A596" t="s">
        <v>5143</v>
      </c>
      <c r="B596">
        <f t="shared" si="84"/>
        <v>10</v>
      </c>
      <c r="C596">
        <f t="shared" si="84"/>
        <v>43</v>
      </c>
      <c r="D596">
        <f t="shared" si="84"/>
        <v>54</v>
      </c>
      <c r="E596">
        <f t="shared" si="84"/>
        <v>80</v>
      </c>
      <c r="F596">
        <f t="shared" si="84"/>
        <v>124</v>
      </c>
      <c r="G596">
        <f t="shared" si="84"/>
        <v>145</v>
      </c>
      <c r="H596">
        <f t="shared" si="81"/>
        <v>177</v>
      </c>
      <c r="I596">
        <f t="shared" si="81"/>
        <v>199</v>
      </c>
      <c r="J596">
        <f t="shared" si="81"/>
        <v>232</v>
      </c>
      <c r="K596">
        <f t="shared" si="81"/>
        <v>253</v>
      </c>
      <c r="L596">
        <f t="shared" si="78"/>
        <v>271</v>
      </c>
      <c r="M596">
        <f t="shared" si="78"/>
        <v>286</v>
      </c>
      <c r="N596">
        <f t="shared" si="78"/>
        <v>298</v>
      </c>
      <c r="O596">
        <f t="shared" si="78"/>
        <v>323</v>
      </c>
      <c r="P596">
        <f t="shared" si="78"/>
        <v>341</v>
      </c>
      <c r="Q596">
        <f t="shared" si="78"/>
        <v>367</v>
      </c>
      <c r="S596" t="str">
        <f t="shared" si="79"/>
        <v>02.12.2025</v>
      </c>
      <c r="T596" t="str">
        <f t="shared" si="80"/>
        <v>23:30:00</v>
      </c>
      <c r="U596" t="str">
        <f t="shared" si="82"/>
        <v>02.12.2025 23:30:00</v>
      </c>
      <c r="V596" s="9" t="str">
        <f>MID($A596,C596+C$2+1,D596-C596-C$2-1)</f>
        <v>0</v>
      </c>
      <c r="W596" s="4">
        <f>VALUE(SUBSTITUTE(MID($A596,D596+D$2+1,E596-D596-D$2-1),",","."))</f>
        <v>0</v>
      </c>
      <c r="X596" s="4">
        <f>VALUE(SUBSTITUTE(MID($A596,E596+E$2+1,F596-E596-E$2-1),",","."))</f>
        <v>0.90957602214449496</v>
      </c>
      <c r="Y596" s="4">
        <f>VALUE(SUBSTITUTE(MID($A596,F596+F$2+1,G596-F596-F$2-1),",","."))</f>
        <v>0</v>
      </c>
      <c r="Z596" s="3">
        <f>VALUE(SUBSTITUTE(MID($A596,G596+G$2+1,H596-G596-G$2-1),",","."))</f>
        <v>0</v>
      </c>
      <c r="AA596" s="3">
        <f>VALUE(SUBSTITUTE(MID($A596,H596+H$2+1,I596-H596-H$2-1),",","."))</f>
        <v>0</v>
      </c>
      <c r="AB596" s="3">
        <f>VALUE(SUBSTITUTE(MID($A596,I596+I$2+1,J596-I596-I$2-1),",","."))</f>
        <v>0</v>
      </c>
      <c r="AC596" s="3">
        <f>VALUE(SUBSTITUTE(MID($A596,J596+J$2+1,K596-J596-J$2-1),",","."))</f>
        <v>-0.75</v>
      </c>
      <c r="AD596" s="3">
        <f>VALUE(SUBSTITUTE(MID($A596,K596+K$2+1,L596-K596-K$2-1),",","."))</f>
        <v>4.8600000000000003</v>
      </c>
      <c r="AE596" s="3">
        <f>VALUE(SUBSTITUTE(MID($A596,L596+L$2+1,M596-L596-L$2-1),",","."))</f>
        <v>0</v>
      </c>
      <c r="AF596" s="3">
        <f>VALUE(SUBSTITUTE(MID($A596,M596+M$2+1,N596-M596-M$2-1),",","."))</f>
        <v>0</v>
      </c>
      <c r="AG596" s="3">
        <f>VALUE(SUBSTITUTE(MID($A596,N596+N$2+1,O596-N596-N$2-1),",","."))</f>
        <v>4.2203730383108304</v>
      </c>
      <c r="AH596" t="str">
        <f>MID($A596,O596+O$2+1,P596-O596-O$2-1)</f>
        <v/>
      </c>
      <c r="AI596" s="8" t="str">
        <f>MID($A596,P596+P$2+1,Q596-P596-P$2-1)</f>
        <v>False</v>
      </c>
      <c r="AK596" t="b">
        <f t="shared" si="83"/>
        <v>0</v>
      </c>
    </row>
    <row r="597" spans="1:37" x14ac:dyDescent="0.35">
      <c r="A597" t="s">
        <v>5144</v>
      </c>
      <c r="B597">
        <f t="shared" si="84"/>
        <v>10</v>
      </c>
      <c r="C597">
        <f t="shared" si="84"/>
        <v>43</v>
      </c>
      <c r="D597">
        <f t="shared" si="84"/>
        <v>54</v>
      </c>
      <c r="E597">
        <f t="shared" si="84"/>
        <v>80</v>
      </c>
      <c r="F597">
        <f t="shared" si="84"/>
        <v>124</v>
      </c>
      <c r="G597">
        <f t="shared" si="84"/>
        <v>145</v>
      </c>
      <c r="H597">
        <f t="shared" si="81"/>
        <v>177</v>
      </c>
      <c r="I597">
        <f t="shared" si="81"/>
        <v>199</v>
      </c>
      <c r="J597">
        <f t="shared" si="81"/>
        <v>232</v>
      </c>
      <c r="K597">
        <f t="shared" si="81"/>
        <v>253</v>
      </c>
      <c r="L597">
        <f t="shared" si="78"/>
        <v>271</v>
      </c>
      <c r="M597">
        <f t="shared" si="78"/>
        <v>286</v>
      </c>
      <c r="N597">
        <f t="shared" si="78"/>
        <v>298</v>
      </c>
      <c r="O597">
        <f t="shared" si="78"/>
        <v>323</v>
      </c>
      <c r="P597">
        <f t="shared" si="78"/>
        <v>341</v>
      </c>
      <c r="Q597">
        <f t="shared" si="78"/>
        <v>367</v>
      </c>
      <c r="S597" t="str">
        <f t="shared" si="79"/>
        <v>02.12.2025</v>
      </c>
      <c r="T597" t="str">
        <f t="shared" si="80"/>
        <v>23:45:00</v>
      </c>
      <c r="U597" t="str">
        <f t="shared" si="82"/>
        <v>02.12.2025 23:45:00</v>
      </c>
      <c r="V597" s="9" t="str">
        <f>MID($A597,C597+C$2+1,D597-C597-C$2-1)</f>
        <v>0</v>
      </c>
      <c r="W597" s="4">
        <f>VALUE(SUBSTITUTE(MID($A597,D597+D$2+1,E597-D597-D$2-1),",","."))</f>
        <v>0</v>
      </c>
      <c r="X597" s="4">
        <f>VALUE(SUBSTITUTE(MID($A597,E597+E$2+1,F597-E597-E$2-1),",","."))</f>
        <v>0.90957602214449496</v>
      </c>
      <c r="Y597" s="4">
        <f>VALUE(SUBSTITUTE(MID($A597,F597+F$2+1,G597-F597-F$2-1),",","."))</f>
        <v>0</v>
      </c>
      <c r="Z597" s="3">
        <f>VALUE(SUBSTITUTE(MID($A597,G597+G$2+1,H597-G597-G$2-1),",","."))</f>
        <v>0</v>
      </c>
      <c r="AA597" s="3">
        <f>VALUE(SUBSTITUTE(MID($A597,H597+H$2+1,I597-H597-H$2-1),",","."))</f>
        <v>0</v>
      </c>
      <c r="AB597" s="3">
        <f>VALUE(SUBSTITUTE(MID($A597,I597+I$2+1,J597-I597-I$2-1),",","."))</f>
        <v>0</v>
      </c>
      <c r="AC597" s="3">
        <f>VALUE(SUBSTITUTE(MID($A597,J597+J$2+1,K597-J597-J$2-1),",","."))</f>
        <v>-0.75</v>
      </c>
      <c r="AD597" s="3">
        <f>VALUE(SUBSTITUTE(MID($A597,K597+K$2+1,L597-K597-K$2-1),",","."))</f>
        <v>4.8600000000000003</v>
      </c>
      <c r="AE597" s="3">
        <f>VALUE(SUBSTITUTE(MID($A597,L597+L$2+1,M597-L597-L$2-1),",","."))</f>
        <v>0</v>
      </c>
      <c r="AF597" s="3">
        <f>VALUE(SUBSTITUTE(MID($A597,M597+M$2+1,N597-M597-M$2-1),",","."))</f>
        <v>0</v>
      </c>
      <c r="AG597" s="3">
        <f>VALUE(SUBSTITUTE(MID($A597,N597+N$2+1,O597-N597-N$2-1),",","."))</f>
        <v>4.2204015581989101</v>
      </c>
      <c r="AH597" t="str">
        <f>MID($A597,O597+O$2+1,P597-O597-O$2-1)</f>
        <v/>
      </c>
      <c r="AI597" s="8" t="str">
        <f>MID($A597,P597+P$2+1,Q597-P597-P$2-1)</f>
        <v>False</v>
      </c>
      <c r="AK597" t="b">
        <f t="shared" si="83"/>
        <v>0</v>
      </c>
    </row>
    <row r="598" spans="1:37" x14ac:dyDescent="0.35">
      <c r="A598" t="s">
        <v>5145</v>
      </c>
      <c r="B598">
        <f t="shared" si="84"/>
        <v>10</v>
      </c>
      <c r="C598">
        <f t="shared" si="84"/>
        <v>43</v>
      </c>
      <c r="D598">
        <f t="shared" si="84"/>
        <v>54</v>
      </c>
      <c r="E598">
        <f t="shared" si="84"/>
        <v>80</v>
      </c>
      <c r="F598">
        <f t="shared" si="84"/>
        <v>124</v>
      </c>
      <c r="G598">
        <f t="shared" si="84"/>
        <v>145</v>
      </c>
      <c r="H598">
        <f t="shared" si="81"/>
        <v>177</v>
      </c>
      <c r="I598">
        <f t="shared" si="81"/>
        <v>199</v>
      </c>
      <c r="J598">
        <f t="shared" si="81"/>
        <v>232</v>
      </c>
      <c r="K598">
        <f t="shared" si="81"/>
        <v>253</v>
      </c>
      <c r="L598">
        <f t="shared" si="78"/>
        <v>271</v>
      </c>
      <c r="M598">
        <f t="shared" si="78"/>
        <v>286</v>
      </c>
      <c r="N598">
        <f t="shared" si="78"/>
        <v>298</v>
      </c>
      <c r="O598">
        <f t="shared" si="78"/>
        <v>323</v>
      </c>
      <c r="P598">
        <f t="shared" si="78"/>
        <v>341</v>
      </c>
      <c r="Q598">
        <f t="shared" si="78"/>
        <v>367</v>
      </c>
      <c r="S598" t="str">
        <f t="shared" si="79"/>
        <v>03.12.2025</v>
      </c>
      <c r="T598" t="str">
        <f t="shared" si="80"/>
        <v>00:00:00</v>
      </c>
      <c r="U598" t="str">
        <f t="shared" si="82"/>
        <v>03.12.2025 00:00:00</v>
      </c>
      <c r="V598" s="9" t="str">
        <f>MID($A598,C598+C$2+1,D598-C598-C$2-1)</f>
        <v>0</v>
      </c>
      <c r="W598" s="4">
        <f>VALUE(SUBSTITUTE(MID($A598,D598+D$2+1,E598-D598-D$2-1),",","."))</f>
        <v>0</v>
      </c>
      <c r="X598" s="4">
        <f>VALUE(SUBSTITUTE(MID($A598,E598+E$2+1,F598-E598-E$2-1),",","."))</f>
        <v>0.90957602214449496</v>
      </c>
      <c r="Y598" s="4">
        <f>VALUE(SUBSTITUTE(MID($A598,F598+F$2+1,G598-F598-F$2-1),",","."))</f>
        <v>0</v>
      </c>
      <c r="Z598" s="3">
        <f>VALUE(SUBSTITUTE(MID($A598,G598+G$2+1,H598-G598-G$2-1),",","."))</f>
        <v>0</v>
      </c>
      <c r="AA598" s="3">
        <f>VALUE(SUBSTITUTE(MID($A598,H598+H$2+1,I598-H598-H$2-1),",","."))</f>
        <v>0</v>
      </c>
      <c r="AB598" s="3">
        <f>VALUE(SUBSTITUTE(MID($A598,I598+I$2+1,J598-I598-I$2-1),",","."))</f>
        <v>0</v>
      </c>
      <c r="AC598" s="3">
        <f>VALUE(SUBSTITUTE(MID($A598,J598+J$2+1,K598-J598-J$2-1),",","."))</f>
        <v>-0.75</v>
      </c>
      <c r="AD598" s="3">
        <f>VALUE(SUBSTITUTE(MID($A598,K598+K$2+1,L598-K598-K$2-1),",","."))</f>
        <v>4.8600000000000003</v>
      </c>
      <c r="AE598" s="3">
        <f>VALUE(SUBSTITUTE(MID($A598,L598+L$2+1,M598-L598-L$2-1),",","."))</f>
        <v>0</v>
      </c>
      <c r="AF598" s="3">
        <f>VALUE(SUBSTITUTE(MID($A598,M598+M$2+1,N598-M598-M$2-1),",","."))</f>
        <v>0</v>
      </c>
      <c r="AG598" s="3">
        <f>VALUE(SUBSTITUTE(MID($A598,N598+N$2+1,O598-N598-N$2-1),",","."))</f>
        <v>4.2204300780869897</v>
      </c>
      <c r="AH598" t="str">
        <f>MID($A598,O598+O$2+1,P598-O598-O$2-1)</f>
        <v/>
      </c>
      <c r="AI598" s="8" t="str">
        <f>MID($A598,P598+P$2+1,Q598-P598-P$2-1)</f>
        <v>False</v>
      </c>
      <c r="AK598" t="b">
        <f t="shared" si="83"/>
        <v>0</v>
      </c>
    </row>
    <row r="599" spans="1:37" x14ac:dyDescent="0.35">
      <c r="A599" t="s">
        <v>5146</v>
      </c>
      <c r="B599">
        <f t="shared" si="84"/>
        <v>10</v>
      </c>
      <c r="C599">
        <f t="shared" si="84"/>
        <v>43</v>
      </c>
      <c r="D599">
        <f t="shared" si="84"/>
        <v>54</v>
      </c>
      <c r="E599">
        <f t="shared" si="84"/>
        <v>80</v>
      </c>
      <c r="F599">
        <f t="shared" si="84"/>
        <v>124</v>
      </c>
      <c r="G599">
        <f t="shared" si="84"/>
        <v>145</v>
      </c>
      <c r="H599">
        <f t="shared" si="81"/>
        <v>177</v>
      </c>
      <c r="I599">
        <f t="shared" si="81"/>
        <v>199</v>
      </c>
      <c r="J599">
        <f t="shared" si="81"/>
        <v>232</v>
      </c>
      <c r="K599">
        <f t="shared" si="81"/>
        <v>253</v>
      </c>
      <c r="L599">
        <f t="shared" si="78"/>
        <v>271</v>
      </c>
      <c r="M599">
        <f t="shared" si="78"/>
        <v>286</v>
      </c>
      <c r="N599">
        <f t="shared" si="78"/>
        <v>298</v>
      </c>
      <c r="O599">
        <f t="shared" si="78"/>
        <v>323</v>
      </c>
      <c r="P599">
        <f t="shared" si="78"/>
        <v>341</v>
      </c>
      <c r="Q599">
        <f t="shared" si="78"/>
        <v>367</v>
      </c>
      <c r="S599" t="str">
        <f t="shared" si="79"/>
        <v>03.12.2025</v>
      </c>
      <c r="T599" t="str">
        <f t="shared" si="80"/>
        <v>00:15:00</v>
      </c>
      <c r="U599" t="str">
        <f t="shared" si="82"/>
        <v>03.12.2025 00:15:00</v>
      </c>
      <c r="V599" s="9" t="str">
        <f>MID($A599,C599+C$2+1,D599-C599-C$2-1)</f>
        <v>0</v>
      </c>
      <c r="W599" s="4">
        <f>VALUE(SUBSTITUTE(MID($A599,D599+D$2+1,E599-D599-D$2-1),",","."))</f>
        <v>0</v>
      </c>
      <c r="X599" s="4">
        <f>VALUE(SUBSTITUTE(MID($A599,E599+E$2+1,F599-E599-E$2-1),",","."))</f>
        <v>0.90957602214449496</v>
      </c>
      <c r="Y599" s="4">
        <f>VALUE(SUBSTITUTE(MID($A599,F599+F$2+1,G599-F599-F$2-1),",","."))</f>
        <v>0</v>
      </c>
      <c r="Z599" s="3">
        <f>VALUE(SUBSTITUTE(MID($A599,G599+G$2+1,H599-G599-G$2-1),",","."))</f>
        <v>0</v>
      </c>
      <c r="AA599" s="3">
        <f>VALUE(SUBSTITUTE(MID($A599,H599+H$2+1,I599-H599-H$2-1),",","."))</f>
        <v>0</v>
      </c>
      <c r="AB599" s="3">
        <f>VALUE(SUBSTITUTE(MID($A599,I599+I$2+1,J599-I599-I$2-1),",","."))</f>
        <v>0</v>
      </c>
      <c r="AC599" s="3">
        <f>VALUE(SUBSTITUTE(MID($A599,J599+J$2+1,K599-J599-J$2-1),",","."))</f>
        <v>-0.75</v>
      </c>
      <c r="AD599" s="3">
        <f>VALUE(SUBSTITUTE(MID($A599,K599+K$2+1,L599-K599-K$2-1),",","."))</f>
        <v>4.8600000000000003</v>
      </c>
      <c r="AE599" s="3">
        <f>VALUE(SUBSTITUTE(MID($A599,L599+L$2+1,M599-L599-L$2-1),",","."))</f>
        <v>0</v>
      </c>
      <c r="AF599" s="3">
        <f>VALUE(SUBSTITUTE(MID($A599,M599+M$2+1,N599-M599-M$2-1),",","."))</f>
        <v>0</v>
      </c>
      <c r="AG599" s="3">
        <f>VALUE(SUBSTITUTE(MID($A599,N599+N$2+1,O599-N599-N$2-1),",","."))</f>
        <v>4.2204585979750702</v>
      </c>
      <c r="AH599" t="str">
        <f>MID($A599,O599+O$2+1,P599-O599-O$2-1)</f>
        <v/>
      </c>
      <c r="AI599" s="8" t="str">
        <f>MID($A599,P599+P$2+1,Q599-P599-P$2-1)</f>
        <v>False</v>
      </c>
      <c r="AK599" t="b">
        <f t="shared" si="83"/>
        <v>0</v>
      </c>
    </row>
    <row r="600" spans="1:37" x14ac:dyDescent="0.35">
      <c r="A600" t="s">
        <v>5147</v>
      </c>
      <c r="B600">
        <f t="shared" si="84"/>
        <v>10</v>
      </c>
      <c r="C600">
        <f t="shared" si="84"/>
        <v>43</v>
      </c>
      <c r="D600">
        <f t="shared" si="84"/>
        <v>54</v>
      </c>
      <c r="E600">
        <f t="shared" si="84"/>
        <v>80</v>
      </c>
      <c r="F600">
        <f t="shared" si="84"/>
        <v>124</v>
      </c>
      <c r="G600">
        <f t="shared" si="84"/>
        <v>145</v>
      </c>
      <c r="H600">
        <f t="shared" si="81"/>
        <v>177</v>
      </c>
      <c r="I600">
        <f t="shared" si="81"/>
        <v>199</v>
      </c>
      <c r="J600">
        <f t="shared" si="81"/>
        <v>232</v>
      </c>
      <c r="K600">
        <f t="shared" si="81"/>
        <v>252</v>
      </c>
      <c r="L600">
        <f t="shared" si="78"/>
        <v>270</v>
      </c>
      <c r="M600">
        <f t="shared" si="78"/>
        <v>285</v>
      </c>
      <c r="N600">
        <f t="shared" si="78"/>
        <v>297</v>
      </c>
      <c r="O600">
        <f t="shared" si="78"/>
        <v>321</v>
      </c>
      <c r="P600">
        <f t="shared" si="78"/>
        <v>339</v>
      </c>
      <c r="Q600">
        <f t="shared" si="78"/>
        <v>365</v>
      </c>
      <c r="S600" t="str">
        <f t="shared" si="79"/>
        <v>03.12.2025</v>
      </c>
      <c r="T600" t="str">
        <f t="shared" si="80"/>
        <v>00:30:00</v>
      </c>
      <c r="U600" t="str">
        <f t="shared" si="82"/>
        <v>03.12.2025 00:30:00</v>
      </c>
      <c r="V600" s="9" t="str">
        <f>MID($A600,C600+C$2+1,D600-C600-C$2-1)</f>
        <v>0</v>
      </c>
      <c r="W600" s="4">
        <f>VALUE(SUBSTITUTE(MID($A600,D600+D$2+1,E600-D600-D$2-1),",","."))</f>
        <v>0</v>
      </c>
      <c r="X600" s="4">
        <f>VALUE(SUBSTITUTE(MID($A600,E600+E$2+1,F600-E600-E$2-1),",","."))</f>
        <v>0.90957602214449496</v>
      </c>
      <c r="Y600" s="4">
        <f>VALUE(SUBSTITUTE(MID($A600,F600+F$2+1,G600-F600-F$2-1),",","."))</f>
        <v>0</v>
      </c>
      <c r="Z600" s="3">
        <f>VALUE(SUBSTITUTE(MID($A600,G600+G$2+1,H600-G600-G$2-1),",","."))</f>
        <v>0</v>
      </c>
      <c r="AA600" s="3">
        <f>VALUE(SUBSTITUTE(MID($A600,H600+H$2+1,I600-H600-H$2-1),",","."))</f>
        <v>0</v>
      </c>
      <c r="AB600" s="3">
        <f>VALUE(SUBSTITUTE(MID($A600,I600+I$2+1,J600-I600-I$2-1),",","."))</f>
        <v>0</v>
      </c>
      <c r="AC600" s="3">
        <f>VALUE(SUBSTITUTE(MID($A600,J600+J$2+1,K600-J600-J$2-1),",","."))</f>
        <v>-0.9</v>
      </c>
      <c r="AD600" s="3">
        <f>VALUE(SUBSTITUTE(MID($A600,K600+K$2+1,L600-K600-K$2-1),",","."))</f>
        <v>4.32</v>
      </c>
      <c r="AE600" s="3">
        <f>VALUE(SUBSTITUTE(MID($A600,L600+L$2+1,M600-L600-L$2-1),",","."))</f>
        <v>0</v>
      </c>
      <c r="AF600" s="3">
        <f>VALUE(SUBSTITUTE(MID($A600,M600+M$2+1,N600-M600-M$2-1),",","."))</f>
        <v>0</v>
      </c>
      <c r="AG600" s="3">
        <f>VALUE(SUBSTITUTE(MID($A600,N600+N$2+1,O600-N600-N$2-1),",","."))</f>
        <v>4.2204871178631604</v>
      </c>
      <c r="AH600" t="str">
        <f>MID($A600,O600+O$2+1,P600-O600-O$2-1)</f>
        <v/>
      </c>
      <c r="AI600" s="8" t="str">
        <f>MID($A600,P600+P$2+1,Q600-P600-P$2-1)</f>
        <v>False</v>
      </c>
      <c r="AK600" t="b">
        <f t="shared" si="83"/>
        <v>0</v>
      </c>
    </row>
    <row r="601" spans="1:37" x14ac:dyDescent="0.35">
      <c r="A601" t="s">
        <v>5148</v>
      </c>
      <c r="B601">
        <f t="shared" si="84"/>
        <v>10</v>
      </c>
      <c r="C601">
        <f t="shared" si="84"/>
        <v>43</v>
      </c>
      <c r="D601">
        <f t="shared" si="84"/>
        <v>54</v>
      </c>
      <c r="E601">
        <f t="shared" si="84"/>
        <v>80</v>
      </c>
      <c r="F601">
        <f t="shared" si="84"/>
        <v>124</v>
      </c>
      <c r="G601">
        <f t="shared" si="84"/>
        <v>145</v>
      </c>
      <c r="H601">
        <f t="shared" si="81"/>
        <v>177</v>
      </c>
      <c r="I601">
        <f t="shared" si="81"/>
        <v>199</v>
      </c>
      <c r="J601">
        <f t="shared" si="81"/>
        <v>232</v>
      </c>
      <c r="K601">
        <f t="shared" si="81"/>
        <v>252</v>
      </c>
      <c r="L601">
        <f t="shared" si="78"/>
        <v>270</v>
      </c>
      <c r="M601">
        <f t="shared" si="78"/>
        <v>285</v>
      </c>
      <c r="N601">
        <f t="shared" si="78"/>
        <v>297</v>
      </c>
      <c r="O601">
        <f t="shared" si="78"/>
        <v>322</v>
      </c>
      <c r="P601">
        <f t="shared" si="78"/>
        <v>340</v>
      </c>
      <c r="Q601">
        <f t="shared" si="78"/>
        <v>366</v>
      </c>
      <c r="S601" t="str">
        <f t="shared" si="79"/>
        <v>03.12.2025</v>
      </c>
      <c r="T601" t="str">
        <f t="shared" si="80"/>
        <v>00:45:00</v>
      </c>
      <c r="U601" t="str">
        <f t="shared" si="82"/>
        <v>03.12.2025 00:45:00</v>
      </c>
      <c r="V601" s="9" t="str">
        <f>MID($A601,C601+C$2+1,D601-C601-C$2-1)</f>
        <v>0</v>
      </c>
      <c r="W601" s="4">
        <f>VALUE(SUBSTITUTE(MID($A601,D601+D$2+1,E601-D601-D$2-1),",","."))</f>
        <v>0</v>
      </c>
      <c r="X601" s="4">
        <f>VALUE(SUBSTITUTE(MID($A601,E601+E$2+1,F601-E601-E$2-1),",","."))</f>
        <v>0.90957602214449496</v>
      </c>
      <c r="Y601" s="4">
        <f>VALUE(SUBSTITUTE(MID($A601,F601+F$2+1,G601-F601-F$2-1),",","."))</f>
        <v>0</v>
      </c>
      <c r="Z601" s="3">
        <f>VALUE(SUBSTITUTE(MID($A601,G601+G$2+1,H601-G601-G$2-1),",","."))</f>
        <v>0</v>
      </c>
      <c r="AA601" s="3">
        <f>VALUE(SUBSTITUTE(MID($A601,H601+H$2+1,I601-H601-H$2-1),",","."))</f>
        <v>0</v>
      </c>
      <c r="AB601" s="3">
        <f>VALUE(SUBSTITUTE(MID($A601,I601+I$2+1,J601-I601-I$2-1),",","."))</f>
        <v>0</v>
      </c>
      <c r="AC601" s="3">
        <f>VALUE(SUBSTITUTE(MID($A601,J601+J$2+1,K601-J601-J$2-1),",","."))</f>
        <v>-0.9</v>
      </c>
      <c r="AD601" s="3">
        <f>VALUE(SUBSTITUTE(MID($A601,K601+K$2+1,L601-K601-K$2-1),",","."))</f>
        <v>4.32</v>
      </c>
      <c r="AE601" s="3">
        <f>VALUE(SUBSTITUTE(MID($A601,L601+L$2+1,M601-L601-L$2-1),",","."))</f>
        <v>0</v>
      </c>
      <c r="AF601" s="3">
        <f>VALUE(SUBSTITUTE(MID($A601,M601+M$2+1,N601-M601-M$2-1),",","."))</f>
        <v>0</v>
      </c>
      <c r="AG601" s="3">
        <f>VALUE(SUBSTITUTE(MID($A601,N601+N$2+1,O601-N601-N$2-1),",","."))</f>
        <v>4.2205156377512401</v>
      </c>
      <c r="AH601" t="str">
        <f>MID($A601,O601+O$2+1,P601-O601-O$2-1)</f>
        <v/>
      </c>
      <c r="AI601" s="8" t="str">
        <f>MID($A601,P601+P$2+1,Q601-P601-P$2-1)</f>
        <v>False</v>
      </c>
      <c r="AK601" t="b">
        <f t="shared" si="83"/>
        <v>0</v>
      </c>
    </row>
    <row r="602" spans="1:37" x14ac:dyDescent="0.35">
      <c r="A602" t="s">
        <v>5149</v>
      </c>
      <c r="B602">
        <f t="shared" si="84"/>
        <v>10</v>
      </c>
      <c r="C602">
        <f t="shared" si="84"/>
        <v>43</v>
      </c>
      <c r="D602">
        <f t="shared" si="84"/>
        <v>54</v>
      </c>
      <c r="E602">
        <f t="shared" si="84"/>
        <v>80</v>
      </c>
      <c r="F602">
        <f t="shared" si="84"/>
        <v>124</v>
      </c>
      <c r="G602">
        <f t="shared" si="84"/>
        <v>145</v>
      </c>
      <c r="H602">
        <f t="shared" si="81"/>
        <v>177</v>
      </c>
      <c r="I602">
        <f t="shared" si="81"/>
        <v>199</v>
      </c>
      <c r="J602">
        <f t="shared" si="81"/>
        <v>232</v>
      </c>
      <c r="K602">
        <f t="shared" si="81"/>
        <v>252</v>
      </c>
      <c r="L602">
        <f t="shared" si="78"/>
        <v>270</v>
      </c>
      <c r="M602">
        <f t="shared" si="78"/>
        <v>285</v>
      </c>
      <c r="N602">
        <f t="shared" si="78"/>
        <v>297</v>
      </c>
      <c r="O602">
        <f t="shared" si="78"/>
        <v>322</v>
      </c>
      <c r="P602">
        <f t="shared" si="78"/>
        <v>340</v>
      </c>
      <c r="Q602">
        <f t="shared" si="78"/>
        <v>366</v>
      </c>
      <c r="S602" t="str">
        <f t="shared" si="79"/>
        <v>03.12.2025</v>
      </c>
      <c r="T602" t="str">
        <f t="shared" si="80"/>
        <v>01:00:00</v>
      </c>
      <c r="U602" t="str">
        <f t="shared" si="82"/>
        <v>03.12.2025 01:00:00</v>
      </c>
      <c r="V602" s="9" t="str">
        <f>MID($A602,C602+C$2+1,D602-C602-C$2-1)</f>
        <v>0</v>
      </c>
      <c r="W602" s="4">
        <f>VALUE(SUBSTITUTE(MID($A602,D602+D$2+1,E602-D602-D$2-1),",","."))</f>
        <v>0</v>
      </c>
      <c r="X602" s="4">
        <f>VALUE(SUBSTITUTE(MID($A602,E602+E$2+1,F602-E602-E$2-1),",","."))</f>
        <v>0.90957602214449496</v>
      </c>
      <c r="Y602" s="4">
        <f>VALUE(SUBSTITUTE(MID($A602,F602+F$2+1,G602-F602-F$2-1),",","."))</f>
        <v>0</v>
      </c>
      <c r="Z602" s="3">
        <f>VALUE(SUBSTITUTE(MID($A602,G602+G$2+1,H602-G602-G$2-1),",","."))</f>
        <v>0</v>
      </c>
      <c r="AA602" s="3">
        <f>VALUE(SUBSTITUTE(MID($A602,H602+H$2+1,I602-H602-H$2-1),",","."))</f>
        <v>0</v>
      </c>
      <c r="AB602" s="3">
        <f>VALUE(SUBSTITUTE(MID($A602,I602+I$2+1,J602-I602-I$2-1),",","."))</f>
        <v>0</v>
      </c>
      <c r="AC602" s="3">
        <f>VALUE(SUBSTITUTE(MID($A602,J602+J$2+1,K602-J602-J$2-1),",","."))</f>
        <v>-0.9</v>
      </c>
      <c r="AD602" s="3">
        <f>VALUE(SUBSTITUTE(MID($A602,K602+K$2+1,L602-K602-K$2-1),",","."))</f>
        <v>4.32</v>
      </c>
      <c r="AE602" s="3">
        <f>VALUE(SUBSTITUTE(MID($A602,L602+L$2+1,M602-L602-L$2-1),",","."))</f>
        <v>0</v>
      </c>
      <c r="AF602" s="3">
        <f>VALUE(SUBSTITUTE(MID($A602,M602+M$2+1,N602-M602-M$2-1),",","."))</f>
        <v>0</v>
      </c>
      <c r="AG602" s="3">
        <f>VALUE(SUBSTITUTE(MID($A602,N602+N$2+1,O602-N602-N$2-1),",","."))</f>
        <v>4.2205441576393197</v>
      </c>
      <c r="AH602" t="str">
        <f>MID($A602,O602+O$2+1,P602-O602-O$2-1)</f>
        <v/>
      </c>
      <c r="AI602" s="8" t="str">
        <f>MID($A602,P602+P$2+1,Q602-P602-P$2-1)</f>
        <v>False</v>
      </c>
      <c r="AK602" t="b">
        <f t="shared" si="83"/>
        <v>0</v>
      </c>
    </row>
    <row r="603" spans="1:37" x14ac:dyDescent="0.35">
      <c r="A603" t="s">
        <v>5150</v>
      </c>
      <c r="B603">
        <f t="shared" si="84"/>
        <v>10</v>
      </c>
      <c r="C603">
        <f t="shared" si="84"/>
        <v>43</v>
      </c>
      <c r="D603">
        <f t="shared" si="84"/>
        <v>54</v>
      </c>
      <c r="E603">
        <f t="shared" si="84"/>
        <v>80</v>
      </c>
      <c r="F603">
        <f t="shared" si="84"/>
        <v>124</v>
      </c>
      <c r="G603">
        <f t="shared" si="84"/>
        <v>145</v>
      </c>
      <c r="H603">
        <f t="shared" si="81"/>
        <v>177</v>
      </c>
      <c r="I603">
        <f t="shared" si="81"/>
        <v>199</v>
      </c>
      <c r="J603">
        <f t="shared" si="81"/>
        <v>232</v>
      </c>
      <c r="K603">
        <f t="shared" si="81"/>
        <v>252</v>
      </c>
      <c r="L603">
        <f t="shared" si="78"/>
        <v>270</v>
      </c>
      <c r="M603">
        <f t="shared" si="78"/>
        <v>285</v>
      </c>
      <c r="N603">
        <f t="shared" ref="N603:Q666" si="85">FIND(N$1,$A603)</f>
        <v>297</v>
      </c>
      <c r="O603">
        <f t="shared" si="85"/>
        <v>322</v>
      </c>
      <c r="P603">
        <f t="shared" si="85"/>
        <v>340</v>
      </c>
      <c r="Q603">
        <f t="shared" si="85"/>
        <v>366</v>
      </c>
      <c r="S603" t="str">
        <f t="shared" si="79"/>
        <v>03.12.2025</v>
      </c>
      <c r="T603" t="str">
        <f t="shared" si="80"/>
        <v>01:15:00</v>
      </c>
      <c r="U603" t="str">
        <f t="shared" si="82"/>
        <v>03.12.2025 01:15:00</v>
      </c>
      <c r="V603" s="9" t="str">
        <f>MID($A603,C603+C$2+1,D603-C603-C$2-1)</f>
        <v>0</v>
      </c>
      <c r="W603" s="4">
        <f>VALUE(SUBSTITUTE(MID($A603,D603+D$2+1,E603-D603-D$2-1),",","."))</f>
        <v>0</v>
      </c>
      <c r="X603" s="4">
        <f>VALUE(SUBSTITUTE(MID($A603,E603+E$2+1,F603-E603-E$2-1),",","."))</f>
        <v>0.90957602214449496</v>
      </c>
      <c r="Y603" s="4">
        <f>VALUE(SUBSTITUTE(MID($A603,F603+F$2+1,G603-F603-F$2-1),",","."))</f>
        <v>0</v>
      </c>
      <c r="Z603" s="3">
        <f>VALUE(SUBSTITUTE(MID($A603,G603+G$2+1,H603-G603-G$2-1),",","."))</f>
        <v>0</v>
      </c>
      <c r="AA603" s="3">
        <f>VALUE(SUBSTITUTE(MID($A603,H603+H$2+1,I603-H603-H$2-1),",","."))</f>
        <v>0</v>
      </c>
      <c r="AB603" s="3">
        <f>VALUE(SUBSTITUTE(MID($A603,I603+I$2+1,J603-I603-I$2-1),",","."))</f>
        <v>0</v>
      </c>
      <c r="AC603" s="3">
        <f>VALUE(SUBSTITUTE(MID($A603,J603+J$2+1,K603-J603-J$2-1),",","."))</f>
        <v>-0.9</v>
      </c>
      <c r="AD603" s="3">
        <f>VALUE(SUBSTITUTE(MID($A603,K603+K$2+1,L603-K603-K$2-1),",","."))</f>
        <v>4.32</v>
      </c>
      <c r="AE603" s="3">
        <f>VALUE(SUBSTITUTE(MID($A603,L603+L$2+1,M603-L603-L$2-1),",","."))</f>
        <v>0</v>
      </c>
      <c r="AF603" s="3">
        <f>VALUE(SUBSTITUTE(MID($A603,M603+M$2+1,N603-M603-M$2-1),",","."))</f>
        <v>0</v>
      </c>
      <c r="AG603" s="3">
        <f>VALUE(SUBSTITUTE(MID($A603,N603+N$2+1,O603-N603-N$2-1),",","."))</f>
        <v>4.2205726775274002</v>
      </c>
      <c r="AH603" t="str">
        <f>MID($A603,O603+O$2+1,P603-O603-O$2-1)</f>
        <v/>
      </c>
      <c r="AI603" s="8" t="str">
        <f>MID($A603,P603+P$2+1,Q603-P603-P$2-1)</f>
        <v>False</v>
      </c>
      <c r="AK603" t="b">
        <f t="shared" si="83"/>
        <v>0</v>
      </c>
    </row>
    <row r="604" spans="1:37" x14ac:dyDescent="0.35">
      <c r="A604" t="s">
        <v>5151</v>
      </c>
      <c r="B604">
        <f t="shared" si="84"/>
        <v>10</v>
      </c>
      <c r="C604">
        <f t="shared" si="84"/>
        <v>43</v>
      </c>
      <c r="D604">
        <f t="shared" si="84"/>
        <v>54</v>
      </c>
      <c r="E604">
        <f t="shared" si="84"/>
        <v>80</v>
      </c>
      <c r="F604">
        <f t="shared" si="84"/>
        <v>124</v>
      </c>
      <c r="G604">
        <f t="shared" si="84"/>
        <v>145</v>
      </c>
      <c r="H604">
        <f t="shared" si="81"/>
        <v>177</v>
      </c>
      <c r="I604">
        <f t="shared" si="81"/>
        <v>199</v>
      </c>
      <c r="J604">
        <f t="shared" si="81"/>
        <v>232</v>
      </c>
      <c r="K604">
        <f t="shared" si="81"/>
        <v>252</v>
      </c>
      <c r="L604">
        <f t="shared" si="81"/>
        <v>270</v>
      </c>
      <c r="M604">
        <f t="shared" si="81"/>
        <v>285</v>
      </c>
      <c r="N604">
        <f t="shared" si="85"/>
        <v>297</v>
      </c>
      <c r="O604">
        <f t="shared" si="85"/>
        <v>322</v>
      </c>
      <c r="P604">
        <f t="shared" si="85"/>
        <v>340</v>
      </c>
      <c r="Q604">
        <f t="shared" si="85"/>
        <v>366</v>
      </c>
      <c r="S604" t="str">
        <f t="shared" si="79"/>
        <v>03.12.2025</v>
      </c>
      <c r="T604" t="str">
        <f t="shared" si="80"/>
        <v>01:30:00</v>
      </c>
      <c r="U604" t="str">
        <f t="shared" si="82"/>
        <v>03.12.2025 01:30:00</v>
      </c>
      <c r="V604" s="9" t="str">
        <f>MID($A604,C604+C$2+1,D604-C604-C$2-1)</f>
        <v>0</v>
      </c>
      <c r="W604" s="4">
        <f>VALUE(SUBSTITUTE(MID($A604,D604+D$2+1,E604-D604-D$2-1),",","."))</f>
        <v>0</v>
      </c>
      <c r="X604" s="4">
        <f>VALUE(SUBSTITUTE(MID($A604,E604+E$2+1,F604-E604-E$2-1),",","."))</f>
        <v>0.90957602214449496</v>
      </c>
      <c r="Y604" s="4">
        <f>VALUE(SUBSTITUTE(MID($A604,F604+F$2+1,G604-F604-F$2-1),",","."))</f>
        <v>0</v>
      </c>
      <c r="Z604" s="3">
        <f>VALUE(SUBSTITUTE(MID($A604,G604+G$2+1,H604-G604-G$2-1),",","."))</f>
        <v>0</v>
      </c>
      <c r="AA604" s="3">
        <f>VALUE(SUBSTITUTE(MID($A604,H604+H$2+1,I604-H604-H$2-1),",","."))</f>
        <v>0</v>
      </c>
      <c r="AB604" s="3">
        <f>VALUE(SUBSTITUTE(MID($A604,I604+I$2+1,J604-I604-I$2-1),",","."))</f>
        <v>0</v>
      </c>
      <c r="AC604" s="3">
        <f>VALUE(SUBSTITUTE(MID($A604,J604+J$2+1,K604-J604-J$2-1),",","."))</f>
        <v>-1.1000000000000001</v>
      </c>
      <c r="AD604" s="3">
        <f>VALUE(SUBSTITUTE(MID($A604,K604+K$2+1,L604-K604-K$2-1),",","."))</f>
        <v>4.32</v>
      </c>
      <c r="AE604" s="3">
        <f>VALUE(SUBSTITUTE(MID($A604,L604+L$2+1,M604-L604-L$2-1),",","."))</f>
        <v>0</v>
      </c>
      <c r="AF604" s="3">
        <f>VALUE(SUBSTITUTE(MID($A604,M604+M$2+1,N604-M604-M$2-1),",","."))</f>
        <v>0</v>
      </c>
      <c r="AG604" s="3">
        <f>VALUE(SUBSTITUTE(MID($A604,N604+N$2+1,O604-N604-N$2-1),",","."))</f>
        <v>4.2206011974154798</v>
      </c>
      <c r="AH604" t="str">
        <f>MID($A604,O604+O$2+1,P604-O604-O$2-1)</f>
        <v/>
      </c>
      <c r="AI604" s="8" t="str">
        <f>MID($A604,P604+P$2+1,Q604-P604-P$2-1)</f>
        <v>False</v>
      </c>
      <c r="AK604" t="b">
        <f t="shared" si="83"/>
        <v>0</v>
      </c>
    </row>
    <row r="605" spans="1:37" x14ac:dyDescent="0.35">
      <c r="A605" t="s">
        <v>5152</v>
      </c>
      <c r="B605">
        <f t="shared" si="84"/>
        <v>10</v>
      </c>
      <c r="C605">
        <f t="shared" si="84"/>
        <v>43</v>
      </c>
      <c r="D605">
        <f t="shared" si="84"/>
        <v>54</v>
      </c>
      <c r="E605">
        <f t="shared" si="84"/>
        <v>80</v>
      </c>
      <c r="F605">
        <f t="shared" si="84"/>
        <v>124</v>
      </c>
      <c r="G605">
        <f t="shared" si="84"/>
        <v>145</v>
      </c>
      <c r="H605">
        <f t="shared" si="81"/>
        <v>177</v>
      </c>
      <c r="I605">
        <f t="shared" si="81"/>
        <v>199</v>
      </c>
      <c r="J605">
        <f t="shared" si="81"/>
        <v>232</v>
      </c>
      <c r="K605">
        <f t="shared" si="81"/>
        <v>252</v>
      </c>
      <c r="L605">
        <f t="shared" si="81"/>
        <v>270</v>
      </c>
      <c r="M605">
        <f t="shared" si="81"/>
        <v>285</v>
      </c>
      <c r="N605">
        <f t="shared" si="85"/>
        <v>297</v>
      </c>
      <c r="O605">
        <f t="shared" si="85"/>
        <v>322</v>
      </c>
      <c r="P605">
        <f t="shared" si="85"/>
        <v>340</v>
      </c>
      <c r="Q605">
        <f t="shared" si="85"/>
        <v>366</v>
      </c>
      <c r="S605" t="str">
        <f t="shared" si="79"/>
        <v>03.12.2025</v>
      </c>
      <c r="T605" t="str">
        <f t="shared" si="80"/>
        <v>01:45:00</v>
      </c>
      <c r="U605" t="str">
        <f t="shared" si="82"/>
        <v>03.12.2025 01:45:00</v>
      </c>
      <c r="V605" s="9" t="str">
        <f>MID($A605,C605+C$2+1,D605-C605-C$2-1)</f>
        <v>0</v>
      </c>
      <c r="W605" s="4">
        <f>VALUE(SUBSTITUTE(MID($A605,D605+D$2+1,E605-D605-D$2-1),",","."))</f>
        <v>0</v>
      </c>
      <c r="X605" s="4">
        <f>VALUE(SUBSTITUTE(MID($A605,E605+E$2+1,F605-E605-E$2-1),",","."))</f>
        <v>0.90957602214449496</v>
      </c>
      <c r="Y605" s="4">
        <f>VALUE(SUBSTITUTE(MID($A605,F605+F$2+1,G605-F605-F$2-1),",","."))</f>
        <v>0</v>
      </c>
      <c r="Z605" s="3">
        <f>VALUE(SUBSTITUTE(MID($A605,G605+G$2+1,H605-G605-G$2-1),",","."))</f>
        <v>0</v>
      </c>
      <c r="AA605" s="3">
        <f>VALUE(SUBSTITUTE(MID($A605,H605+H$2+1,I605-H605-H$2-1),",","."))</f>
        <v>0</v>
      </c>
      <c r="AB605" s="3">
        <f>VALUE(SUBSTITUTE(MID($A605,I605+I$2+1,J605-I605-I$2-1),",","."))</f>
        <v>0</v>
      </c>
      <c r="AC605" s="3">
        <f>VALUE(SUBSTITUTE(MID($A605,J605+J$2+1,K605-J605-J$2-1),",","."))</f>
        <v>-1.1000000000000001</v>
      </c>
      <c r="AD605" s="3">
        <f>VALUE(SUBSTITUTE(MID($A605,K605+K$2+1,L605-K605-K$2-1),",","."))</f>
        <v>4.32</v>
      </c>
      <c r="AE605" s="3">
        <f>VALUE(SUBSTITUTE(MID($A605,L605+L$2+1,M605-L605-L$2-1),",","."))</f>
        <v>0</v>
      </c>
      <c r="AF605" s="3">
        <f>VALUE(SUBSTITUTE(MID($A605,M605+M$2+1,N605-M605-M$2-1),",","."))</f>
        <v>0</v>
      </c>
      <c r="AG605" s="3">
        <f>VALUE(SUBSTITUTE(MID($A605,N605+N$2+1,O605-N605-N$2-1),",","."))</f>
        <v>4.2206297173035603</v>
      </c>
      <c r="AH605" t="str">
        <f>MID($A605,O605+O$2+1,P605-O605-O$2-1)</f>
        <v/>
      </c>
      <c r="AI605" s="8" t="str">
        <f>MID($A605,P605+P$2+1,Q605-P605-P$2-1)</f>
        <v>False</v>
      </c>
      <c r="AK605" t="b">
        <f t="shared" si="83"/>
        <v>0</v>
      </c>
    </row>
    <row r="606" spans="1:37" x14ac:dyDescent="0.35">
      <c r="A606" t="s">
        <v>5153</v>
      </c>
      <c r="B606">
        <f t="shared" si="84"/>
        <v>10</v>
      </c>
      <c r="C606">
        <f t="shared" si="84"/>
        <v>43</v>
      </c>
      <c r="D606">
        <f t="shared" si="84"/>
        <v>54</v>
      </c>
      <c r="E606">
        <f t="shared" si="84"/>
        <v>80</v>
      </c>
      <c r="F606">
        <f t="shared" si="84"/>
        <v>124</v>
      </c>
      <c r="G606">
        <f t="shared" si="84"/>
        <v>145</v>
      </c>
      <c r="H606">
        <f t="shared" si="81"/>
        <v>177</v>
      </c>
      <c r="I606">
        <f t="shared" si="81"/>
        <v>199</v>
      </c>
      <c r="J606">
        <f t="shared" si="81"/>
        <v>232</v>
      </c>
      <c r="K606">
        <f t="shared" si="81"/>
        <v>252</v>
      </c>
      <c r="L606">
        <f t="shared" si="81"/>
        <v>270</v>
      </c>
      <c r="M606">
        <f t="shared" si="81"/>
        <v>285</v>
      </c>
      <c r="N606">
        <f t="shared" si="85"/>
        <v>297</v>
      </c>
      <c r="O606">
        <f t="shared" si="85"/>
        <v>321</v>
      </c>
      <c r="P606">
        <f t="shared" si="85"/>
        <v>339</v>
      </c>
      <c r="Q606">
        <f t="shared" si="85"/>
        <v>365</v>
      </c>
      <c r="S606" t="str">
        <f t="shared" si="79"/>
        <v>03.12.2025</v>
      </c>
      <c r="T606" t="str">
        <f t="shared" si="80"/>
        <v>02:00:00</v>
      </c>
      <c r="U606" t="str">
        <f t="shared" si="82"/>
        <v>03.12.2025 02:00:00</v>
      </c>
      <c r="V606" s="9" t="str">
        <f>MID($A606,C606+C$2+1,D606-C606-C$2-1)</f>
        <v>0</v>
      </c>
      <c r="W606" s="4">
        <f>VALUE(SUBSTITUTE(MID($A606,D606+D$2+1,E606-D606-D$2-1),",","."))</f>
        <v>0</v>
      </c>
      <c r="X606" s="4">
        <f>VALUE(SUBSTITUTE(MID($A606,E606+E$2+1,F606-E606-E$2-1),",","."))</f>
        <v>0.90957602214449496</v>
      </c>
      <c r="Y606" s="4">
        <f>VALUE(SUBSTITUTE(MID($A606,F606+F$2+1,G606-F606-F$2-1),",","."))</f>
        <v>0</v>
      </c>
      <c r="Z606" s="3">
        <f>VALUE(SUBSTITUTE(MID($A606,G606+G$2+1,H606-G606-G$2-1),",","."))</f>
        <v>0</v>
      </c>
      <c r="AA606" s="3">
        <f>VALUE(SUBSTITUTE(MID($A606,H606+H$2+1,I606-H606-H$2-1),",","."))</f>
        <v>0</v>
      </c>
      <c r="AB606" s="3">
        <f>VALUE(SUBSTITUTE(MID($A606,I606+I$2+1,J606-I606-I$2-1),",","."))</f>
        <v>0</v>
      </c>
      <c r="AC606" s="3">
        <f>VALUE(SUBSTITUTE(MID($A606,J606+J$2+1,K606-J606-J$2-1),",","."))</f>
        <v>-1.1000000000000001</v>
      </c>
      <c r="AD606" s="3">
        <f>VALUE(SUBSTITUTE(MID($A606,K606+K$2+1,L606-K606-K$2-1),",","."))</f>
        <v>4.32</v>
      </c>
      <c r="AE606" s="3">
        <f>VALUE(SUBSTITUTE(MID($A606,L606+L$2+1,M606-L606-L$2-1),",","."))</f>
        <v>0</v>
      </c>
      <c r="AF606" s="3">
        <f>VALUE(SUBSTITUTE(MID($A606,M606+M$2+1,N606-M606-M$2-1),",","."))</f>
        <v>0</v>
      </c>
      <c r="AG606" s="3">
        <f>VALUE(SUBSTITUTE(MID($A606,N606+N$2+1,O606-N606-N$2-1),",","."))</f>
        <v>4.2206582371916497</v>
      </c>
      <c r="AH606" t="str">
        <f>MID($A606,O606+O$2+1,P606-O606-O$2-1)</f>
        <v/>
      </c>
      <c r="AI606" s="8" t="str">
        <f>MID($A606,P606+P$2+1,Q606-P606-P$2-1)</f>
        <v>False</v>
      </c>
      <c r="AK606" t="b">
        <f t="shared" si="83"/>
        <v>0</v>
      </c>
    </row>
    <row r="607" spans="1:37" x14ac:dyDescent="0.35">
      <c r="A607" t="s">
        <v>5154</v>
      </c>
      <c r="B607">
        <f t="shared" si="84"/>
        <v>10</v>
      </c>
      <c r="C607">
        <f t="shared" si="84"/>
        <v>43</v>
      </c>
      <c r="D607">
        <f t="shared" si="84"/>
        <v>54</v>
      </c>
      <c r="E607">
        <f t="shared" si="84"/>
        <v>80</v>
      </c>
      <c r="F607">
        <f t="shared" si="84"/>
        <v>124</v>
      </c>
      <c r="G607">
        <f t="shared" si="84"/>
        <v>145</v>
      </c>
      <c r="H607">
        <f t="shared" si="81"/>
        <v>177</v>
      </c>
      <c r="I607">
        <f t="shared" si="81"/>
        <v>199</v>
      </c>
      <c r="J607">
        <f t="shared" si="81"/>
        <v>232</v>
      </c>
      <c r="K607">
        <f t="shared" si="81"/>
        <v>252</v>
      </c>
      <c r="L607">
        <f t="shared" si="81"/>
        <v>270</v>
      </c>
      <c r="M607">
        <f t="shared" si="81"/>
        <v>285</v>
      </c>
      <c r="N607">
        <f t="shared" si="85"/>
        <v>297</v>
      </c>
      <c r="O607">
        <f t="shared" si="85"/>
        <v>322</v>
      </c>
      <c r="P607">
        <f t="shared" si="85"/>
        <v>340</v>
      </c>
      <c r="Q607">
        <f t="shared" si="85"/>
        <v>366</v>
      </c>
      <c r="S607" t="str">
        <f t="shared" si="79"/>
        <v>03.12.2025</v>
      </c>
      <c r="T607" t="str">
        <f t="shared" si="80"/>
        <v>02:15:00</v>
      </c>
      <c r="U607" t="str">
        <f t="shared" si="82"/>
        <v>03.12.2025 02:15:00</v>
      </c>
      <c r="V607" s="9" t="str">
        <f>MID($A607,C607+C$2+1,D607-C607-C$2-1)</f>
        <v>0</v>
      </c>
      <c r="W607" s="4">
        <f>VALUE(SUBSTITUTE(MID($A607,D607+D$2+1,E607-D607-D$2-1),",","."))</f>
        <v>0</v>
      </c>
      <c r="X607" s="4">
        <f>VALUE(SUBSTITUTE(MID($A607,E607+E$2+1,F607-E607-E$2-1),",","."))</f>
        <v>0.90957602214449496</v>
      </c>
      <c r="Y607" s="4">
        <f>VALUE(SUBSTITUTE(MID($A607,F607+F$2+1,G607-F607-F$2-1),",","."))</f>
        <v>0</v>
      </c>
      <c r="Z607" s="3">
        <f>VALUE(SUBSTITUTE(MID($A607,G607+G$2+1,H607-G607-G$2-1),",","."))</f>
        <v>0</v>
      </c>
      <c r="AA607" s="3">
        <f>VALUE(SUBSTITUTE(MID($A607,H607+H$2+1,I607-H607-H$2-1),",","."))</f>
        <v>0</v>
      </c>
      <c r="AB607" s="3">
        <f>VALUE(SUBSTITUTE(MID($A607,I607+I$2+1,J607-I607-I$2-1),",","."))</f>
        <v>0</v>
      </c>
      <c r="AC607" s="3">
        <f>VALUE(SUBSTITUTE(MID($A607,J607+J$2+1,K607-J607-J$2-1),",","."))</f>
        <v>-1.1000000000000001</v>
      </c>
      <c r="AD607" s="3">
        <f>VALUE(SUBSTITUTE(MID($A607,K607+K$2+1,L607-K607-K$2-1),",","."))</f>
        <v>4.32</v>
      </c>
      <c r="AE607" s="3">
        <f>VALUE(SUBSTITUTE(MID($A607,L607+L$2+1,M607-L607-L$2-1),",","."))</f>
        <v>0</v>
      </c>
      <c r="AF607" s="3">
        <f>VALUE(SUBSTITUTE(MID($A607,M607+M$2+1,N607-M607-M$2-1),",","."))</f>
        <v>0</v>
      </c>
      <c r="AG607" s="3">
        <f>VALUE(SUBSTITUTE(MID($A607,N607+N$2+1,O607-N607-N$2-1),",","."))</f>
        <v>4.2206867570797302</v>
      </c>
      <c r="AH607" t="str">
        <f>MID($A607,O607+O$2+1,P607-O607-O$2-1)</f>
        <v/>
      </c>
      <c r="AI607" s="8" t="str">
        <f>MID($A607,P607+P$2+1,Q607-P607-P$2-1)</f>
        <v>False</v>
      </c>
      <c r="AK607" t="b">
        <f t="shared" si="83"/>
        <v>0</v>
      </c>
    </row>
    <row r="608" spans="1:37" x14ac:dyDescent="0.35">
      <c r="A608" t="s">
        <v>5155</v>
      </c>
      <c r="B608">
        <f t="shared" si="84"/>
        <v>10</v>
      </c>
      <c r="C608">
        <f t="shared" si="84"/>
        <v>43</v>
      </c>
      <c r="D608">
        <f t="shared" si="84"/>
        <v>54</v>
      </c>
      <c r="E608">
        <f t="shared" si="84"/>
        <v>80</v>
      </c>
      <c r="F608">
        <f t="shared" si="84"/>
        <v>124</v>
      </c>
      <c r="G608">
        <f t="shared" si="84"/>
        <v>145</v>
      </c>
      <c r="H608">
        <f t="shared" si="81"/>
        <v>177</v>
      </c>
      <c r="I608">
        <f t="shared" si="81"/>
        <v>199</v>
      </c>
      <c r="J608">
        <f t="shared" si="81"/>
        <v>232</v>
      </c>
      <c r="K608">
        <f t="shared" si="81"/>
        <v>252</v>
      </c>
      <c r="L608">
        <f t="shared" si="81"/>
        <v>270</v>
      </c>
      <c r="M608">
        <f t="shared" si="81"/>
        <v>285</v>
      </c>
      <c r="N608">
        <f t="shared" si="85"/>
        <v>297</v>
      </c>
      <c r="O608">
        <f t="shared" si="85"/>
        <v>323</v>
      </c>
      <c r="P608">
        <f t="shared" si="85"/>
        <v>341</v>
      </c>
      <c r="Q608">
        <f t="shared" si="85"/>
        <v>367</v>
      </c>
      <c r="S608" t="str">
        <f t="shared" si="79"/>
        <v>03.12.2025</v>
      </c>
      <c r="T608" t="str">
        <f t="shared" si="80"/>
        <v>02:30:00</v>
      </c>
      <c r="U608" t="str">
        <f t="shared" si="82"/>
        <v>03.12.2025 02:30:00</v>
      </c>
      <c r="V608" s="9" t="str">
        <f>MID($A608,C608+C$2+1,D608-C608-C$2-1)</f>
        <v>0</v>
      </c>
      <c r="W608" s="4">
        <f>VALUE(SUBSTITUTE(MID($A608,D608+D$2+1,E608-D608-D$2-1),",","."))</f>
        <v>0</v>
      </c>
      <c r="X608" s="4">
        <f>VALUE(SUBSTITUTE(MID($A608,E608+E$2+1,F608-E608-E$2-1),",","."))</f>
        <v>0.90957602214449496</v>
      </c>
      <c r="Y608" s="4">
        <f>VALUE(SUBSTITUTE(MID($A608,F608+F$2+1,G608-F608-F$2-1),",","."))</f>
        <v>0</v>
      </c>
      <c r="Z608" s="3">
        <f>VALUE(SUBSTITUTE(MID($A608,G608+G$2+1,H608-G608-G$2-1),",","."))</f>
        <v>0</v>
      </c>
      <c r="AA608" s="3">
        <f>VALUE(SUBSTITUTE(MID($A608,H608+H$2+1,I608-H608-H$2-1),",","."))</f>
        <v>0</v>
      </c>
      <c r="AB608" s="3">
        <f>VALUE(SUBSTITUTE(MID($A608,I608+I$2+1,J608-I608-I$2-1),",","."))</f>
        <v>0</v>
      </c>
      <c r="AC608" s="3">
        <f>VALUE(SUBSTITUTE(MID($A608,J608+J$2+1,K608-J608-J$2-1),",","."))</f>
        <v>-1.2</v>
      </c>
      <c r="AD608" s="3">
        <f>VALUE(SUBSTITUTE(MID($A608,K608+K$2+1,L608-K608-K$2-1),",","."))</f>
        <v>5.58</v>
      </c>
      <c r="AE608" s="3">
        <f>VALUE(SUBSTITUTE(MID($A608,L608+L$2+1,M608-L608-L$2-1),",","."))</f>
        <v>0</v>
      </c>
      <c r="AF608" s="3">
        <f>VALUE(SUBSTITUTE(MID($A608,M608+M$2+1,N608-M608-M$2-1),",","."))</f>
        <v>0</v>
      </c>
      <c r="AG608" s="3">
        <f>VALUE(SUBSTITUTE(MID($A608,N608+N$2+1,O608-N608-N$2-1),",","."))</f>
        <v>4.2207152769678098</v>
      </c>
      <c r="AH608" t="str">
        <f>MID($A608,O608+O$2+1,P608-O608-O$2-1)</f>
        <v/>
      </c>
      <c r="AI608" s="8" t="str">
        <f>MID($A608,P608+P$2+1,Q608-P608-P$2-1)</f>
        <v>False</v>
      </c>
      <c r="AK608" t="b">
        <f t="shared" si="83"/>
        <v>0</v>
      </c>
    </row>
    <row r="609" spans="1:37" x14ac:dyDescent="0.35">
      <c r="A609" t="s">
        <v>5156</v>
      </c>
      <c r="B609">
        <f t="shared" si="84"/>
        <v>10</v>
      </c>
      <c r="C609">
        <f t="shared" si="84"/>
        <v>43</v>
      </c>
      <c r="D609">
        <f t="shared" si="84"/>
        <v>54</v>
      </c>
      <c r="E609">
        <f t="shared" si="84"/>
        <v>80</v>
      </c>
      <c r="F609">
        <f t="shared" si="84"/>
        <v>124</v>
      </c>
      <c r="G609">
        <f t="shared" si="84"/>
        <v>145</v>
      </c>
      <c r="H609">
        <f t="shared" si="81"/>
        <v>177</v>
      </c>
      <c r="I609">
        <f t="shared" si="81"/>
        <v>199</v>
      </c>
      <c r="J609">
        <f t="shared" si="81"/>
        <v>232</v>
      </c>
      <c r="K609">
        <f t="shared" si="81"/>
        <v>252</v>
      </c>
      <c r="L609">
        <f t="shared" si="81"/>
        <v>270</v>
      </c>
      <c r="M609">
        <f t="shared" si="81"/>
        <v>285</v>
      </c>
      <c r="N609">
        <f t="shared" si="85"/>
        <v>297</v>
      </c>
      <c r="O609">
        <f t="shared" si="85"/>
        <v>322</v>
      </c>
      <c r="P609">
        <f t="shared" si="85"/>
        <v>340</v>
      </c>
      <c r="Q609">
        <f t="shared" si="85"/>
        <v>366</v>
      </c>
      <c r="S609" t="str">
        <f t="shared" si="79"/>
        <v>03.12.2025</v>
      </c>
      <c r="T609" t="str">
        <f t="shared" si="80"/>
        <v>02:45:00</v>
      </c>
      <c r="U609" t="str">
        <f t="shared" si="82"/>
        <v>03.12.2025 02:45:00</v>
      </c>
      <c r="V609" s="9" t="str">
        <f>MID($A609,C609+C$2+1,D609-C609-C$2-1)</f>
        <v>0</v>
      </c>
      <c r="W609" s="4">
        <f>VALUE(SUBSTITUTE(MID($A609,D609+D$2+1,E609-D609-D$2-1),",","."))</f>
        <v>0</v>
      </c>
      <c r="X609" s="4">
        <f>VALUE(SUBSTITUTE(MID($A609,E609+E$2+1,F609-E609-E$2-1),",","."))</f>
        <v>0.90957602214449496</v>
      </c>
      <c r="Y609" s="4">
        <f>VALUE(SUBSTITUTE(MID($A609,F609+F$2+1,G609-F609-F$2-1),",","."))</f>
        <v>0</v>
      </c>
      <c r="Z609" s="3">
        <f>VALUE(SUBSTITUTE(MID($A609,G609+G$2+1,H609-G609-G$2-1),",","."))</f>
        <v>0</v>
      </c>
      <c r="AA609" s="3">
        <f>VALUE(SUBSTITUTE(MID($A609,H609+H$2+1,I609-H609-H$2-1),",","."))</f>
        <v>0</v>
      </c>
      <c r="AB609" s="3">
        <f>VALUE(SUBSTITUTE(MID($A609,I609+I$2+1,J609-I609-I$2-1),",","."))</f>
        <v>0</v>
      </c>
      <c r="AC609" s="3">
        <f>VALUE(SUBSTITUTE(MID($A609,J609+J$2+1,K609-J609-J$2-1),",","."))</f>
        <v>-1.2</v>
      </c>
      <c r="AD609" s="3">
        <f>VALUE(SUBSTITUTE(MID($A609,K609+K$2+1,L609-K609-K$2-1),",","."))</f>
        <v>5.58</v>
      </c>
      <c r="AE609" s="3">
        <f>VALUE(SUBSTITUTE(MID($A609,L609+L$2+1,M609-L609-L$2-1),",","."))</f>
        <v>0</v>
      </c>
      <c r="AF609" s="3">
        <f>VALUE(SUBSTITUTE(MID($A609,M609+M$2+1,N609-M609-M$2-1),",","."))</f>
        <v>0</v>
      </c>
      <c r="AG609" s="3">
        <f>VALUE(SUBSTITUTE(MID($A609,N609+N$2+1,O609-N609-N$2-1),",","."))</f>
        <v>4.2207437968558903</v>
      </c>
      <c r="AH609" t="str">
        <f>MID($A609,O609+O$2+1,P609-O609-O$2-1)</f>
        <v/>
      </c>
      <c r="AI609" s="8" t="str">
        <f>MID($A609,P609+P$2+1,Q609-P609-P$2-1)</f>
        <v>False</v>
      </c>
      <c r="AK609" t="b">
        <f t="shared" si="83"/>
        <v>0</v>
      </c>
    </row>
    <row r="610" spans="1:37" x14ac:dyDescent="0.35">
      <c r="A610" t="s">
        <v>5157</v>
      </c>
      <c r="B610">
        <f t="shared" si="84"/>
        <v>10</v>
      </c>
      <c r="C610">
        <f t="shared" si="84"/>
        <v>43</v>
      </c>
      <c r="D610">
        <f t="shared" si="84"/>
        <v>54</v>
      </c>
      <c r="E610">
        <f t="shared" si="84"/>
        <v>80</v>
      </c>
      <c r="F610">
        <f t="shared" si="84"/>
        <v>124</v>
      </c>
      <c r="G610">
        <f t="shared" si="84"/>
        <v>145</v>
      </c>
      <c r="H610">
        <f t="shared" si="81"/>
        <v>177</v>
      </c>
      <c r="I610">
        <f t="shared" si="81"/>
        <v>199</v>
      </c>
      <c r="J610">
        <f t="shared" si="81"/>
        <v>232</v>
      </c>
      <c r="K610">
        <f t="shared" si="81"/>
        <v>252</v>
      </c>
      <c r="L610">
        <f t="shared" si="81"/>
        <v>270</v>
      </c>
      <c r="M610">
        <f t="shared" si="81"/>
        <v>285</v>
      </c>
      <c r="N610">
        <f t="shared" si="85"/>
        <v>297</v>
      </c>
      <c r="O610">
        <f t="shared" si="85"/>
        <v>322</v>
      </c>
      <c r="P610">
        <f t="shared" si="85"/>
        <v>340</v>
      </c>
      <c r="Q610">
        <f t="shared" si="85"/>
        <v>366</v>
      </c>
      <c r="S610" t="str">
        <f t="shared" si="79"/>
        <v>03.12.2025</v>
      </c>
      <c r="T610" t="str">
        <f t="shared" si="80"/>
        <v>03:00:00</v>
      </c>
      <c r="U610" t="str">
        <f t="shared" si="82"/>
        <v>03.12.2025 03:00:00</v>
      </c>
      <c r="V610" s="9" t="str">
        <f>MID($A610,C610+C$2+1,D610-C610-C$2-1)</f>
        <v>0</v>
      </c>
      <c r="W610" s="4">
        <f>VALUE(SUBSTITUTE(MID($A610,D610+D$2+1,E610-D610-D$2-1),",","."))</f>
        <v>0</v>
      </c>
      <c r="X610" s="4">
        <f>VALUE(SUBSTITUTE(MID($A610,E610+E$2+1,F610-E610-E$2-1),",","."))</f>
        <v>0.90957602214449496</v>
      </c>
      <c r="Y610" s="4">
        <f>VALUE(SUBSTITUTE(MID($A610,F610+F$2+1,G610-F610-F$2-1),",","."))</f>
        <v>0</v>
      </c>
      <c r="Z610" s="3">
        <f>VALUE(SUBSTITUTE(MID($A610,G610+G$2+1,H610-G610-G$2-1),",","."))</f>
        <v>0</v>
      </c>
      <c r="AA610" s="3">
        <f>VALUE(SUBSTITUTE(MID($A610,H610+H$2+1,I610-H610-H$2-1),",","."))</f>
        <v>0</v>
      </c>
      <c r="AB610" s="3">
        <f>VALUE(SUBSTITUTE(MID($A610,I610+I$2+1,J610-I610-I$2-1),",","."))</f>
        <v>0</v>
      </c>
      <c r="AC610" s="3">
        <f>VALUE(SUBSTITUTE(MID($A610,J610+J$2+1,K610-J610-J$2-1),",","."))</f>
        <v>-1.2</v>
      </c>
      <c r="AD610" s="3">
        <f>VALUE(SUBSTITUTE(MID($A610,K610+K$2+1,L610-K610-K$2-1),",","."))</f>
        <v>5.58</v>
      </c>
      <c r="AE610" s="3">
        <f>VALUE(SUBSTITUTE(MID($A610,L610+L$2+1,M610-L610-L$2-1),",","."))</f>
        <v>0</v>
      </c>
      <c r="AF610" s="3">
        <f>VALUE(SUBSTITUTE(MID($A610,M610+M$2+1,N610-M610-M$2-1),",","."))</f>
        <v>0</v>
      </c>
      <c r="AG610" s="3">
        <f>VALUE(SUBSTITUTE(MID($A610,N610+N$2+1,O610-N610-N$2-1),",","."))</f>
        <v>4.2207723167439699</v>
      </c>
      <c r="AH610" t="str">
        <f>MID($A610,O610+O$2+1,P610-O610-O$2-1)</f>
        <v/>
      </c>
      <c r="AI610" s="8" t="str">
        <f>MID($A610,P610+P$2+1,Q610-P610-P$2-1)</f>
        <v>False</v>
      </c>
      <c r="AK610" t="b">
        <f t="shared" si="83"/>
        <v>0</v>
      </c>
    </row>
    <row r="611" spans="1:37" x14ac:dyDescent="0.35">
      <c r="A611" t="s">
        <v>5158</v>
      </c>
      <c r="B611">
        <f t="shared" si="84"/>
        <v>10</v>
      </c>
      <c r="C611">
        <f t="shared" si="84"/>
        <v>43</v>
      </c>
      <c r="D611">
        <f t="shared" si="84"/>
        <v>54</v>
      </c>
      <c r="E611">
        <f t="shared" si="84"/>
        <v>80</v>
      </c>
      <c r="F611">
        <f t="shared" si="84"/>
        <v>124</v>
      </c>
      <c r="G611">
        <f t="shared" si="84"/>
        <v>145</v>
      </c>
      <c r="H611">
        <f t="shared" si="81"/>
        <v>177</v>
      </c>
      <c r="I611">
        <f t="shared" si="81"/>
        <v>199</v>
      </c>
      <c r="J611">
        <f t="shared" si="81"/>
        <v>232</v>
      </c>
      <c r="K611">
        <f t="shared" si="81"/>
        <v>252</v>
      </c>
      <c r="L611">
        <f t="shared" si="81"/>
        <v>270</v>
      </c>
      <c r="M611">
        <f t="shared" si="81"/>
        <v>285</v>
      </c>
      <c r="N611">
        <f t="shared" si="85"/>
        <v>297</v>
      </c>
      <c r="O611">
        <f t="shared" si="85"/>
        <v>323</v>
      </c>
      <c r="P611">
        <f t="shared" si="85"/>
        <v>341</v>
      </c>
      <c r="Q611">
        <f t="shared" si="85"/>
        <v>367</v>
      </c>
      <c r="S611" t="str">
        <f t="shared" si="79"/>
        <v>03.12.2025</v>
      </c>
      <c r="T611" t="str">
        <f t="shared" si="80"/>
        <v>03:15:00</v>
      </c>
      <c r="U611" t="str">
        <f t="shared" si="82"/>
        <v>03.12.2025 03:15:00</v>
      </c>
      <c r="V611" s="9" t="str">
        <f>MID($A611,C611+C$2+1,D611-C611-C$2-1)</f>
        <v>0</v>
      </c>
      <c r="W611" s="4">
        <f>VALUE(SUBSTITUTE(MID($A611,D611+D$2+1,E611-D611-D$2-1),",","."))</f>
        <v>0</v>
      </c>
      <c r="X611" s="4">
        <f>VALUE(SUBSTITUTE(MID($A611,E611+E$2+1,F611-E611-E$2-1),",","."))</f>
        <v>0.90957602214449496</v>
      </c>
      <c r="Y611" s="4">
        <f>VALUE(SUBSTITUTE(MID($A611,F611+F$2+1,G611-F611-F$2-1),",","."))</f>
        <v>0</v>
      </c>
      <c r="Z611" s="3">
        <f>VALUE(SUBSTITUTE(MID($A611,G611+G$2+1,H611-G611-G$2-1),",","."))</f>
        <v>0</v>
      </c>
      <c r="AA611" s="3">
        <f>VALUE(SUBSTITUTE(MID($A611,H611+H$2+1,I611-H611-H$2-1),",","."))</f>
        <v>0</v>
      </c>
      <c r="AB611" s="3">
        <f>VALUE(SUBSTITUTE(MID($A611,I611+I$2+1,J611-I611-I$2-1),",","."))</f>
        <v>0</v>
      </c>
      <c r="AC611" s="3">
        <f>VALUE(SUBSTITUTE(MID($A611,J611+J$2+1,K611-J611-J$2-1),",","."))</f>
        <v>-1.2</v>
      </c>
      <c r="AD611" s="3">
        <f>VALUE(SUBSTITUTE(MID($A611,K611+K$2+1,L611-K611-K$2-1),",","."))</f>
        <v>5.58</v>
      </c>
      <c r="AE611" s="3">
        <f>VALUE(SUBSTITUTE(MID($A611,L611+L$2+1,M611-L611-L$2-1),",","."))</f>
        <v>0</v>
      </c>
      <c r="AF611" s="3">
        <f>VALUE(SUBSTITUTE(MID($A611,M611+M$2+1,N611-M611-M$2-1),",","."))</f>
        <v>0</v>
      </c>
      <c r="AG611" s="3">
        <f>VALUE(SUBSTITUTE(MID($A611,N611+N$2+1,O611-N611-N$2-1),",","."))</f>
        <v>4.2208008366320504</v>
      </c>
      <c r="AH611" t="str">
        <f>MID($A611,O611+O$2+1,P611-O611-O$2-1)</f>
        <v/>
      </c>
      <c r="AI611" s="8" t="str">
        <f>MID($A611,P611+P$2+1,Q611-P611-P$2-1)</f>
        <v>False</v>
      </c>
      <c r="AK611" t="b">
        <f t="shared" si="83"/>
        <v>0</v>
      </c>
    </row>
    <row r="612" spans="1:37" x14ac:dyDescent="0.35">
      <c r="A612" t="s">
        <v>5159</v>
      </c>
      <c r="B612">
        <f t="shared" si="84"/>
        <v>10</v>
      </c>
      <c r="C612">
        <f t="shared" si="84"/>
        <v>43</v>
      </c>
      <c r="D612">
        <f t="shared" si="84"/>
        <v>54</v>
      </c>
      <c r="E612">
        <f t="shared" si="84"/>
        <v>80</v>
      </c>
      <c r="F612">
        <f t="shared" si="84"/>
        <v>124</v>
      </c>
      <c r="G612">
        <f t="shared" si="84"/>
        <v>145</v>
      </c>
      <c r="H612">
        <f t="shared" si="81"/>
        <v>177</v>
      </c>
      <c r="I612">
        <f t="shared" si="81"/>
        <v>199</v>
      </c>
      <c r="J612">
        <f t="shared" si="81"/>
        <v>232</v>
      </c>
      <c r="K612">
        <f t="shared" si="81"/>
        <v>253</v>
      </c>
      <c r="L612">
        <f t="shared" si="81"/>
        <v>284</v>
      </c>
      <c r="M612">
        <f t="shared" si="81"/>
        <v>299</v>
      </c>
      <c r="N612">
        <f t="shared" si="85"/>
        <v>311</v>
      </c>
      <c r="O612">
        <f t="shared" si="85"/>
        <v>336</v>
      </c>
      <c r="P612">
        <f t="shared" si="85"/>
        <v>354</v>
      </c>
      <c r="Q612">
        <f t="shared" si="85"/>
        <v>380</v>
      </c>
      <c r="S612" t="str">
        <f t="shared" si="79"/>
        <v>03.12.2025</v>
      </c>
      <c r="T612" t="str">
        <f t="shared" si="80"/>
        <v>03:30:00</v>
      </c>
      <c r="U612" t="str">
        <f t="shared" si="82"/>
        <v>03.12.2025 03:30:00</v>
      </c>
      <c r="V612" s="9" t="str">
        <f>MID($A612,C612+C$2+1,D612-C612-C$2-1)</f>
        <v>0</v>
      </c>
      <c r="W612" s="4">
        <f>VALUE(SUBSTITUTE(MID($A612,D612+D$2+1,E612-D612-D$2-1),",","."))</f>
        <v>0</v>
      </c>
      <c r="X612" s="4">
        <f>VALUE(SUBSTITUTE(MID($A612,E612+E$2+1,F612-E612-E$2-1),",","."))</f>
        <v>0.90957602214449496</v>
      </c>
      <c r="Y612" s="4">
        <f>VALUE(SUBSTITUTE(MID($A612,F612+F$2+1,G612-F612-F$2-1),",","."))</f>
        <v>0</v>
      </c>
      <c r="Z612" s="3">
        <f>VALUE(SUBSTITUTE(MID($A612,G612+G$2+1,H612-G612-G$2-1),",","."))</f>
        <v>0</v>
      </c>
      <c r="AA612" s="3">
        <f>VALUE(SUBSTITUTE(MID($A612,H612+H$2+1,I612-H612-H$2-1),",","."))</f>
        <v>0</v>
      </c>
      <c r="AB612" s="3">
        <f>VALUE(SUBSTITUTE(MID($A612,I612+I$2+1,J612-I612-I$2-1),",","."))</f>
        <v>0</v>
      </c>
      <c r="AC612" s="3">
        <f>VALUE(SUBSTITUTE(MID($A612,J612+J$2+1,K612-J612-J$2-1),",","."))</f>
        <v>-1.25</v>
      </c>
      <c r="AD612" s="3">
        <f>VALUE(SUBSTITUTE(MID($A612,K612+K$2+1,L612-K612-K$2-1),",","."))</f>
        <v>8.2799999999999994</v>
      </c>
      <c r="AE612" s="3">
        <f>VALUE(SUBSTITUTE(MID($A612,L612+L$2+1,M612-L612-L$2-1),",","."))</f>
        <v>0</v>
      </c>
      <c r="AF612" s="3">
        <f>VALUE(SUBSTITUTE(MID($A612,M612+M$2+1,N612-M612-M$2-1),",","."))</f>
        <v>0</v>
      </c>
      <c r="AG612" s="3">
        <f>VALUE(SUBSTITUTE(MID($A612,N612+N$2+1,O612-N612-N$2-1),",","."))</f>
        <v>4.22082935652013</v>
      </c>
      <c r="AH612" t="str">
        <f>MID($A612,O612+O$2+1,P612-O612-O$2-1)</f>
        <v/>
      </c>
      <c r="AI612" s="8" t="str">
        <f>MID($A612,P612+P$2+1,Q612-P612-P$2-1)</f>
        <v>False</v>
      </c>
      <c r="AK612" t="b">
        <f t="shared" si="83"/>
        <v>0</v>
      </c>
    </row>
    <row r="613" spans="1:37" x14ac:dyDescent="0.35">
      <c r="A613" t="s">
        <v>5160</v>
      </c>
      <c r="B613">
        <f t="shared" si="84"/>
        <v>10</v>
      </c>
      <c r="C613">
        <f t="shared" si="84"/>
        <v>43</v>
      </c>
      <c r="D613">
        <f t="shared" si="84"/>
        <v>54</v>
      </c>
      <c r="E613">
        <f t="shared" si="84"/>
        <v>80</v>
      </c>
      <c r="F613">
        <f t="shared" si="84"/>
        <v>124</v>
      </c>
      <c r="G613">
        <f t="shared" si="84"/>
        <v>145</v>
      </c>
      <c r="H613">
        <f t="shared" si="81"/>
        <v>177</v>
      </c>
      <c r="I613">
        <f t="shared" si="81"/>
        <v>199</v>
      </c>
      <c r="J613">
        <f t="shared" si="81"/>
        <v>232</v>
      </c>
      <c r="K613">
        <f t="shared" si="81"/>
        <v>253</v>
      </c>
      <c r="L613">
        <f t="shared" si="81"/>
        <v>284</v>
      </c>
      <c r="M613">
        <f t="shared" si="81"/>
        <v>299</v>
      </c>
      <c r="N613">
        <f t="shared" si="85"/>
        <v>311</v>
      </c>
      <c r="O613">
        <f t="shared" si="85"/>
        <v>335</v>
      </c>
      <c r="P613">
        <f t="shared" si="85"/>
        <v>353</v>
      </c>
      <c r="Q613">
        <f t="shared" si="85"/>
        <v>379</v>
      </c>
      <c r="S613" t="str">
        <f t="shared" si="79"/>
        <v>03.12.2025</v>
      </c>
      <c r="T613" t="str">
        <f t="shared" si="80"/>
        <v>03:45:00</v>
      </c>
      <c r="U613" t="str">
        <f t="shared" si="82"/>
        <v>03.12.2025 03:45:00</v>
      </c>
      <c r="V613" s="9" t="str">
        <f>MID($A613,C613+C$2+1,D613-C613-C$2-1)</f>
        <v>0</v>
      </c>
      <c r="W613" s="4">
        <f>VALUE(SUBSTITUTE(MID($A613,D613+D$2+1,E613-D613-D$2-1),",","."))</f>
        <v>0</v>
      </c>
      <c r="X613" s="4">
        <f>VALUE(SUBSTITUTE(MID($A613,E613+E$2+1,F613-E613-E$2-1),",","."))</f>
        <v>0.90957602214449496</v>
      </c>
      <c r="Y613" s="4">
        <f>VALUE(SUBSTITUTE(MID($A613,F613+F$2+1,G613-F613-F$2-1),",","."))</f>
        <v>0</v>
      </c>
      <c r="Z613" s="3">
        <f>VALUE(SUBSTITUTE(MID($A613,G613+G$2+1,H613-G613-G$2-1),",","."))</f>
        <v>0</v>
      </c>
      <c r="AA613" s="3">
        <f>VALUE(SUBSTITUTE(MID($A613,H613+H$2+1,I613-H613-H$2-1),",","."))</f>
        <v>0</v>
      </c>
      <c r="AB613" s="3">
        <f>VALUE(SUBSTITUTE(MID($A613,I613+I$2+1,J613-I613-I$2-1),",","."))</f>
        <v>0</v>
      </c>
      <c r="AC613" s="3">
        <f>VALUE(SUBSTITUTE(MID($A613,J613+J$2+1,K613-J613-J$2-1),",","."))</f>
        <v>-1.25</v>
      </c>
      <c r="AD613" s="3">
        <f>VALUE(SUBSTITUTE(MID($A613,K613+K$2+1,L613-K613-K$2-1),",","."))</f>
        <v>8.2799999999999994</v>
      </c>
      <c r="AE613" s="3">
        <f>VALUE(SUBSTITUTE(MID($A613,L613+L$2+1,M613-L613-L$2-1),",","."))</f>
        <v>0</v>
      </c>
      <c r="AF613" s="3">
        <f>VALUE(SUBSTITUTE(MID($A613,M613+M$2+1,N613-M613-M$2-1),",","."))</f>
        <v>0</v>
      </c>
      <c r="AG613" s="3">
        <f>VALUE(SUBSTITUTE(MID($A613,N613+N$2+1,O613-N613-N$2-1),",","."))</f>
        <v>4.2208578764082203</v>
      </c>
      <c r="AH613" t="str">
        <f>MID($A613,O613+O$2+1,P613-O613-O$2-1)</f>
        <v/>
      </c>
      <c r="AI613" s="8" t="str">
        <f>MID($A613,P613+P$2+1,Q613-P613-P$2-1)</f>
        <v>False</v>
      </c>
      <c r="AK613" t="b">
        <f t="shared" si="83"/>
        <v>0</v>
      </c>
    </row>
    <row r="614" spans="1:37" x14ac:dyDescent="0.35">
      <c r="A614" t="s">
        <v>5161</v>
      </c>
      <c r="B614">
        <f t="shared" si="84"/>
        <v>10</v>
      </c>
      <c r="C614">
        <f t="shared" si="84"/>
        <v>43</v>
      </c>
      <c r="D614">
        <f t="shared" si="84"/>
        <v>54</v>
      </c>
      <c r="E614">
        <f t="shared" si="84"/>
        <v>80</v>
      </c>
      <c r="F614">
        <f t="shared" si="84"/>
        <v>124</v>
      </c>
      <c r="G614">
        <f t="shared" si="84"/>
        <v>145</v>
      </c>
      <c r="H614">
        <f t="shared" si="81"/>
        <v>177</v>
      </c>
      <c r="I614">
        <f t="shared" si="81"/>
        <v>199</v>
      </c>
      <c r="J614">
        <f t="shared" si="81"/>
        <v>232</v>
      </c>
      <c r="K614">
        <f t="shared" si="81"/>
        <v>253</v>
      </c>
      <c r="L614">
        <f t="shared" si="81"/>
        <v>284</v>
      </c>
      <c r="M614">
        <f t="shared" si="81"/>
        <v>299</v>
      </c>
      <c r="N614">
        <f t="shared" si="85"/>
        <v>311</v>
      </c>
      <c r="O614">
        <f t="shared" si="85"/>
        <v>336</v>
      </c>
      <c r="P614">
        <f t="shared" si="85"/>
        <v>354</v>
      </c>
      <c r="Q614">
        <f t="shared" si="85"/>
        <v>380</v>
      </c>
      <c r="S614" t="str">
        <f t="shared" si="79"/>
        <v>03.12.2025</v>
      </c>
      <c r="T614" t="str">
        <f t="shared" si="80"/>
        <v>04:00:00</v>
      </c>
      <c r="U614" t="str">
        <f t="shared" si="82"/>
        <v>03.12.2025 04:00:00</v>
      </c>
      <c r="V614" s="9" t="str">
        <f>MID($A614,C614+C$2+1,D614-C614-C$2-1)</f>
        <v>0</v>
      </c>
      <c r="W614" s="4">
        <f>VALUE(SUBSTITUTE(MID($A614,D614+D$2+1,E614-D614-D$2-1),",","."))</f>
        <v>0</v>
      </c>
      <c r="X614" s="4">
        <f>VALUE(SUBSTITUTE(MID($A614,E614+E$2+1,F614-E614-E$2-1),",","."))</f>
        <v>0.90957602214449496</v>
      </c>
      <c r="Y614" s="4">
        <f>VALUE(SUBSTITUTE(MID($A614,F614+F$2+1,G614-F614-F$2-1),",","."))</f>
        <v>0</v>
      </c>
      <c r="Z614" s="3">
        <f>VALUE(SUBSTITUTE(MID($A614,G614+G$2+1,H614-G614-G$2-1),",","."))</f>
        <v>0</v>
      </c>
      <c r="AA614" s="3">
        <f>VALUE(SUBSTITUTE(MID($A614,H614+H$2+1,I614-H614-H$2-1),",","."))</f>
        <v>0</v>
      </c>
      <c r="AB614" s="3">
        <f>VALUE(SUBSTITUTE(MID($A614,I614+I$2+1,J614-I614-I$2-1),",","."))</f>
        <v>0</v>
      </c>
      <c r="AC614" s="3">
        <f>VALUE(SUBSTITUTE(MID($A614,J614+J$2+1,K614-J614-J$2-1),",","."))</f>
        <v>-1.25</v>
      </c>
      <c r="AD614" s="3">
        <f>VALUE(SUBSTITUTE(MID($A614,K614+K$2+1,L614-K614-K$2-1),",","."))</f>
        <v>8.2799999999999994</v>
      </c>
      <c r="AE614" s="3">
        <f>VALUE(SUBSTITUTE(MID($A614,L614+L$2+1,M614-L614-L$2-1),",","."))</f>
        <v>0</v>
      </c>
      <c r="AF614" s="3">
        <f>VALUE(SUBSTITUTE(MID($A614,M614+M$2+1,N614-M614-M$2-1),",","."))</f>
        <v>0</v>
      </c>
      <c r="AG614" s="3">
        <f>VALUE(SUBSTITUTE(MID($A614,N614+N$2+1,O614-N614-N$2-1),",","."))</f>
        <v>4.2208863962962999</v>
      </c>
      <c r="AH614" t="str">
        <f>MID($A614,O614+O$2+1,P614-O614-O$2-1)</f>
        <v/>
      </c>
      <c r="AI614" s="8" t="str">
        <f>MID($A614,P614+P$2+1,Q614-P614-P$2-1)</f>
        <v>False</v>
      </c>
      <c r="AK614" t="b">
        <f t="shared" si="83"/>
        <v>0</v>
      </c>
    </row>
    <row r="615" spans="1:37" x14ac:dyDescent="0.35">
      <c r="A615" t="s">
        <v>5162</v>
      </c>
      <c r="B615">
        <f t="shared" si="84"/>
        <v>10</v>
      </c>
      <c r="C615">
        <f t="shared" si="84"/>
        <v>43</v>
      </c>
      <c r="D615">
        <f t="shared" si="84"/>
        <v>54</v>
      </c>
      <c r="E615">
        <f t="shared" si="84"/>
        <v>80</v>
      </c>
      <c r="F615">
        <f t="shared" si="84"/>
        <v>124</v>
      </c>
      <c r="G615">
        <f t="shared" si="84"/>
        <v>145</v>
      </c>
      <c r="H615">
        <f t="shared" si="81"/>
        <v>177</v>
      </c>
      <c r="I615">
        <f t="shared" si="81"/>
        <v>199</v>
      </c>
      <c r="J615">
        <f t="shared" si="81"/>
        <v>232</v>
      </c>
      <c r="K615">
        <f t="shared" si="81"/>
        <v>253</v>
      </c>
      <c r="L615">
        <f t="shared" si="81"/>
        <v>284</v>
      </c>
      <c r="M615">
        <f t="shared" si="81"/>
        <v>299</v>
      </c>
      <c r="N615">
        <f t="shared" si="85"/>
        <v>311</v>
      </c>
      <c r="O615">
        <f t="shared" si="85"/>
        <v>336</v>
      </c>
      <c r="P615">
        <f t="shared" si="85"/>
        <v>354</v>
      </c>
      <c r="Q615">
        <f t="shared" si="85"/>
        <v>380</v>
      </c>
      <c r="S615" t="str">
        <f t="shared" si="79"/>
        <v>03.12.2025</v>
      </c>
      <c r="T615" t="str">
        <f t="shared" si="80"/>
        <v>04:15:00</v>
      </c>
      <c r="U615" t="str">
        <f t="shared" si="82"/>
        <v>03.12.2025 04:15:00</v>
      </c>
      <c r="V615" s="9" t="str">
        <f>MID($A615,C615+C$2+1,D615-C615-C$2-1)</f>
        <v>0</v>
      </c>
      <c r="W615" s="4">
        <f>VALUE(SUBSTITUTE(MID($A615,D615+D$2+1,E615-D615-D$2-1),",","."))</f>
        <v>0</v>
      </c>
      <c r="X615" s="4">
        <f>VALUE(SUBSTITUTE(MID($A615,E615+E$2+1,F615-E615-E$2-1),",","."))</f>
        <v>0.90957602214449496</v>
      </c>
      <c r="Y615" s="4">
        <f>VALUE(SUBSTITUTE(MID($A615,F615+F$2+1,G615-F615-F$2-1),",","."))</f>
        <v>0</v>
      </c>
      <c r="Z615" s="3">
        <f>VALUE(SUBSTITUTE(MID($A615,G615+G$2+1,H615-G615-G$2-1),",","."))</f>
        <v>0</v>
      </c>
      <c r="AA615" s="3">
        <f>VALUE(SUBSTITUTE(MID($A615,H615+H$2+1,I615-H615-H$2-1),",","."))</f>
        <v>0</v>
      </c>
      <c r="AB615" s="3">
        <f>VALUE(SUBSTITUTE(MID($A615,I615+I$2+1,J615-I615-I$2-1),",","."))</f>
        <v>0</v>
      </c>
      <c r="AC615" s="3">
        <f>VALUE(SUBSTITUTE(MID($A615,J615+J$2+1,K615-J615-J$2-1),",","."))</f>
        <v>-1.25</v>
      </c>
      <c r="AD615" s="3">
        <f>VALUE(SUBSTITUTE(MID($A615,K615+K$2+1,L615-K615-K$2-1),",","."))</f>
        <v>8.2799999999999994</v>
      </c>
      <c r="AE615" s="3">
        <f>VALUE(SUBSTITUTE(MID($A615,L615+L$2+1,M615-L615-L$2-1),",","."))</f>
        <v>0</v>
      </c>
      <c r="AF615" s="3">
        <f>VALUE(SUBSTITUTE(MID($A615,M615+M$2+1,N615-M615-M$2-1),",","."))</f>
        <v>0</v>
      </c>
      <c r="AG615" s="3">
        <f>VALUE(SUBSTITUTE(MID($A615,N615+N$2+1,O615-N615-N$2-1),",","."))</f>
        <v>4.2209149161843804</v>
      </c>
      <c r="AH615" t="str">
        <f>MID($A615,O615+O$2+1,P615-O615-O$2-1)</f>
        <v/>
      </c>
      <c r="AI615" s="8" t="str">
        <f>MID($A615,P615+P$2+1,Q615-P615-P$2-1)</f>
        <v>False</v>
      </c>
      <c r="AK615" t="b">
        <f t="shared" si="83"/>
        <v>0</v>
      </c>
    </row>
    <row r="616" spans="1:37" x14ac:dyDescent="0.35">
      <c r="A616" t="s">
        <v>5163</v>
      </c>
      <c r="B616">
        <f t="shared" si="84"/>
        <v>10</v>
      </c>
      <c r="C616">
        <f t="shared" si="84"/>
        <v>43</v>
      </c>
      <c r="D616">
        <f t="shared" si="84"/>
        <v>54</v>
      </c>
      <c r="E616">
        <f t="shared" si="84"/>
        <v>80</v>
      </c>
      <c r="F616">
        <f t="shared" si="84"/>
        <v>124</v>
      </c>
      <c r="G616">
        <f t="shared" si="84"/>
        <v>145</v>
      </c>
      <c r="H616">
        <f t="shared" si="81"/>
        <v>177</v>
      </c>
      <c r="I616">
        <f t="shared" si="81"/>
        <v>199</v>
      </c>
      <c r="J616">
        <f t="shared" si="81"/>
        <v>232</v>
      </c>
      <c r="K616">
        <f t="shared" si="81"/>
        <v>253</v>
      </c>
      <c r="L616">
        <f t="shared" si="81"/>
        <v>272</v>
      </c>
      <c r="M616">
        <f t="shared" si="81"/>
        <v>287</v>
      </c>
      <c r="N616">
        <f t="shared" si="85"/>
        <v>299</v>
      </c>
      <c r="O616">
        <f t="shared" si="85"/>
        <v>324</v>
      </c>
      <c r="P616">
        <f t="shared" si="85"/>
        <v>342</v>
      </c>
      <c r="Q616">
        <f t="shared" si="85"/>
        <v>368</v>
      </c>
      <c r="S616" t="str">
        <f t="shared" si="79"/>
        <v>03.12.2025</v>
      </c>
      <c r="T616" t="str">
        <f t="shared" si="80"/>
        <v>04:30:00</v>
      </c>
      <c r="U616" t="str">
        <f t="shared" si="82"/>
        <v>03.12.2025 04:30:00</v>
      </c>
      <c r="V616" s="9" t="str">
        <f>MID($A616,C616+C$2+1,D616-C616-C$2-1)</f>
        <v>0</v>
      </c>
      <c r="W616" s="4">
        <f>VALUE(SUBSTITUTE(MID($A616,D616+D$2+1,E616-D616-D$2-1),",","."))</f>
        <v>0</v>
      </c>
      <c r="X616" s="4">
        <f>VALUE(SUBSTITUTE(MID($A616,E616+E$2+1,F616-E616-E$2-1),",","."))</f>
        <v>0.90957602214449496</v>
      </c>
      <c r="Y616" s="4">
        <f>VALUE(SUBSTITUTE(MID($A616,F616+F$2+1,G616-F616-F$2-1),",","."))</f>
        <v>0</v>
      </c>
      <c r="Z616" s="3">
        <f>VALUE(SUBSTITUTE(MID($A616,G616+G$2+1,H616-G616-G$2-1),",","."))</f>
        <v>0</v>
      </c>
      <c r="AA616" s="3">
        <f>VALUE(SUBSTITUTE(MID($A616,H616+H$2+1,I616-H616-H$2-1),",","."))</f>
        <v>0</v>
      </c>
      <c r="AB616" s="3">
        <f>VALUE(SUBSTITUTE(MID($A616,I616+I$2+1,J616-I616-I$2-1),",","."))</f>
        <v>0</v>
      </c>
      <c r="AC616" s="3">
        <f>VALUE(SUBSTITUTE(MID($A616,J616+J$2+1,K616-J616-J$2-1),",","."))</f>
        <v>-1.25</v>
      </c>
      <c r="AD616" s="3">
        <f>VALUE(SUBSTITUTE(MID($A616,K616+K$2+1,L616-K616-K$2-1),",","."))</f>
        <v>11.52</v>
      </c>
      <c r="AE616" s="3">
        <f>VALUE(SUBSTITUTE(MID($A616,L616+L$2+1,M616-L616-L$2-1),",","."))</f>
        <v>0</v>
      </c>
      <c r="AF616" s="3">
        <f>VALUE(SUBSTITUTE(MID($A616,M616+M$2+1,N616-M616-M$2-1),",","."))</f>
        <v>0</v>
      </c>
      <c r="AG616" s="3">
        <f>VALUE(SUBSTITUTE(MID($A616,N616+N$2+1,O616-N616-N$2-1),",","."))</f>
        <v>4.22094343607246</v>
      </c>
      <c r="AH616" t="str">
        <f>MID($A616,O616+O$2+1,P616-O616-O$2-1)</f>
        <v/>
      </c>
      <c r="AI616" s="8" t="str">
        <f>MID($A616,P616+P$2+1,Q616-P616-P$2-1)</f>
        <v>False</v>
      </c>
      <c r="AK616" t="b">
        <f t="shared" si="83"/>
        <v>0</v>
      </c>
    </row>
    <row r="617" spans="1:37" x14ac:dyDescent="0.35">
      <c r="A617" t="s">
        <v>5164</v>
      </c>
      <c r="B617">
        <f t="shared" si="84"/>
        <v>10</v>
      </c>
      <c r="C617">
        <f t="shared" si="84"/>
        <v>43</v>
      </c>
      <c r="D617">
        <f t="shared" si="84"/>
        <v>54</v>
      </c>
      <c r="E617">
        <f t="shared" si="84"/>
        <v>80</v>
      </c>
      <c r="F617">
        <f t="shared" si="84"/>
        <v>124</v>
      </c>
      <c r="G617">
        <f t="shared" si="84"/>
        <v>145</v>
      </c>
      <c r="H617">
        <f t="shared" si="81"/>
        <v>177</v>
      </c>
      <c r="I617">
        <f t="shared" si="81"/>
        <v>199</v>
      </c>
      <c r="J617">
        <f t="shared" si="81"/>
        <v>232</v>
      </c>
      <c r="K617">
        <f t="shared" si="81"/>
        <v>253</v>
      </c>
      <c r="L617">
        <f t="shared" si="81"/>
        <v>272</v>
      </c>
      <c r="M617">
        <f t="shared" si="81"/>
        <v>287</v>
      </c>
      <c r="N617">
        <f t="shared" si="85"/>
        <v>299</v>
      </c>
      <c r="O617">
        <f t="shared" si="85"/>
        <v>324</v>
      </c>
      <c r="P617">
        <f t="shared" si="85"/>
        <v>342</v>
      </c>
      <c r="Q617">
        <f t="shared" si="85"/>
        <v>368</v>
      </c>
      <c r="S617" t="str">
        <f t="shared" si="79"/>
        <v>03.12.2025</v>
      </c>
      <c r="T617" t="str">
        <f t="shared" si="80"/>
        <v>04:45:00</v>
      </c>
      <c r="U617" t="str">
        <f t="shared" si="82"/>
        <v>03.12.2025 04:45:00</v>
      </c>
      <c r="V617" s="9" t="str">
        <f>MID($A617,C617+C$2+1,D617-C617-C$2-1)</f>
        <v>0</v>
      </c>
      <c r="W617" s="4">
        <f>VALUE(SUBSTITUTE(MID($A617,D617+D$2+1,E617-D617-D$2-1),",","."))</f>
        <v>0</v>
      </c>
      <c r="X617" s="4">
        <f>VALUE(SUBSTITUTE(MID($A617,E617+E$2+1,F617-E617-E$2-1),",","."))</f>
        <v>0.90957602214449496</v>
      </c>
      <c r="Y617" s="4">
        <f>VALUE(SUBSTITUTE(MID($A617,F617+F$2+1,G617-F617-F$2-1),",","."))</f>
        <v>0</v>
      </c>
      <c r="Z617" s="3">
        <f>VALUE(SUBSTITUTE(MID($A617,G617+G$2+1,H617-G617-G$2-1),",","."))</f>
        <v>0</v>
      </c>
      <c r="AA617" s="3">
        <f>VALUE(SUBSTITUTE(MID($A617,H617+H$2+1,I617-H617-H$2-1),",","."))</f>
        <v>0</v>
      </c>
      <c r="AB617" s="3">
        <f>VALUE(SUBSTITUTE(MID($A617,I617+I$2+1,J617-I617-I$2-1),",","."))</f>
        <v>0</v>
      </c>
      <c r="AC617" s="3">
        <f>VALUE(SUBSTITUTE(MID($A617,J617+J$2+1,K617-J617-J$2-1),",","."))</f>
        <v>-1.25</v>
      </c>
      <c r="AD617" s="3">
        <f>VALUE(SUBSTITUTE(MID($A617,K617+K$2+1,L617-K617-K$2-1),",","."))</f>
        <v>11.52</v>
      </c>
      <c r="AE617" s="3">
        <f>VALUE(SUBSTITUTE(MID($A617,L617+L$2+1,M617-L617-L$2-1),",","."))</f>
        <v>0</v>
      </c>
      <c r="AF617" s="3">
        <f>VALUE(SUBSTITUTE(MID($A617,M617+M$2+1,N617-M617-M$2-1),",","."))</f>
        <v>0</v>
      </c>
      <c r="AG617" s="3">
        <f>VALUE(SUBSTITUTE(MID($A617,N617+N$2+1,O617-N617-N$2-1),",","."))</f>
        <v>4.2209719559605396</v>
      </c>
      <c r="AH617" t="str">
        <f>MID($A617,O617+O$2+1,P617-O617-O$2-1)</f>
        <v/>
      </c>
      <c r="AI617" s="8" t="str">
        <f>MID($A617,P617+P$2+1,Q617-P617-P$2-1)</f>
        <v>False</v>
      </c>
      <c r="AK617" t="b">
        <f t="shared" si="83"/>
        <v>0</v>
      </c>
    </row>
    <row r="618" spans="1:37" x14ac:dyDescent="0.35">
      <c r="A618" t="s">
        <v>5165</v>
      </c>
      <c r="B618">
        <f t="shared" si="84"/>
        <v>10</v>
      </c>
      <c r="C618">
        <f t="shared" si="84"/>
        <v>43</v>
      </c>
      <c r="D618">
        <f t="shared" si="84"/>
        <v>54</v>
      </c>
      <c r="E618">
        <f t="shared" si="84"/>
        <v>80</v>
      </c>
      <c r="F618">
        <f t="shared" si="84"/>
        <v>124</v>
      </c>
      <c r="G618">
        <f t="shared" si="84"/>
        <v>145</v>
      </c>
      <c r="H618">
        <f t="shared" si="81"/>
        <v>177</v>
      </c>
      <c r="I618">
        <f t="shared" si="81"/>
        <v>199</v>
      </c>
      <c r="J618">
        <f t="shared" si="81"/>
        <v>232</v>
      </c>
      <c r="K618">
        <f t="shared" si="81"/>
        <v>253</v>
      </c>
      <c r="L618">
        <f t="shared" si="81"/>
        <v>272</v>
      </c>
      <c r="M618">
        <f t="shared" si="81"/>
        <v>287</v>
      </c>
      <c r="N618">
        <f t="shared" si="85"/>
        <v>299</v>
      </c>
      <c r="O618">
        <f t="shared" si="85"/>
        <v>324</v>
      </c>
      <c r="P618">
        <f t="shared" si="85"/>
        <v>342</v>
      </c>
      <c r="Q618">
        <f t="shared" si="85"/>
        <v>368</v>
      </c>
      <c r="S618" t="str">
        <f t="shared" si="79"/>
        <v>03.12.2025</v>
      </c>
      <c r="T618" t="str">
        <f t="shared" si="80"/>
        <v>05:00:00</v>
      </c>
      <c r="U618" t="str">
        <f t="shared" si="82"/>
        <v>03.12.2025 05:00:00</v>
      </c>
      <c r="V618" s="9" t="str">
        <f>MID($A618,C618+C$2+1,D618-C618-C$2-1)</f>
        <v>0</v>
      </c>
      <c r="W618" s="4">
        <f>VALUE(SUBSTITUTE(MID($A618,D618+D$2+1,E618-D618-D$2-1),",","."))</f>
        <v>0</v>
      </c>
      <c r="X618" s="4">
        <f>VALUE(SUBSTITUTE(MID($A618,E618+E$2+1,F618-E618-E$2-1),",","."))</f>
        <v>0.90957602214449496</v>
      </c>
      <c r="Y618" s="4">
        <f>VALUE(SUBSTITUTE(MID($A618,F618+F$2+1,G618-F618-F$2-1),",","."))</f>
        <v>0</v>
      </c>
      <c r="Z618" s="3">
        <f>VALUE(SUBSTITUTE(MID($A618,G618+G$2+1,H618-G618-G$2-1),",","."))</f>
        <v>0</v>
      </c>
      <c r="AA618" s="3">
        <f>VALUE(SUBSTITUTE(MID($A618,H618+H$2+1,I618-H618-H$2-1),",","."))</f>
        <v>0</v>
      </c>
      <c r="AB618" s="3">
        <f>VALUE(SUBSTITUTE(MID($A618,I618+I$2+1,J618-I618-I$2-1),",","."))</f>
        <v>0</v>
      </c>
      <c r="AC618" s="3">
        <f>VALUE(SUBSTITUTE(MID($A618,J618+J$2+1,K618-J618-J$2-1),",","."))</f>
        <v>-1.25</v>
      </c>
      <c r="AD618" s="3">
        <f>VALUE(SUBSTITUTE(MID($A618,K618+K$2+1,L618-K618-K$2-1),",","."))</f>
        <v>11.52</v>
      </c>
      <c r="AE618" s="3">
        <f>VALUE(SUBSTITUTE(MID($A618,L618+L$2+1,M618-L618-L$2-1),",","."))</f>
        <v>0</v>
      </c>
      <c r="AF618" s="3">
        <f>VALUE(SUBSTITUTE(MID($A618,M618+M$2+1,N618-M618-M$2-1),",","."))</f>
        <v>0</v>
      </c>
      <c r="AG618" s="3">
        <f>VALUE(SUBSTITUTE(MID($A618,N618+N$2+1,O618-N618-N$2-1),",","."))</f>
        <v>4.2210004758486201</v>
      </c>
      <c r="AH618" t="str">
        <f>MID($A618,O618+O$2+1,P618-O618-O$2-1)</f>
        <v/>
      </c>
      <c r="AI618" s="8" t="str">
        <f>MID($A618,P618+P$2+1,Q618-P618-P$2-1)</f>
        <v>False</v>
      </c>
      <c r="AK618" t="b">
        <f t="shared" si="83"/>
        <v>0</v>
      </c>
    </row>
    <row r="619" spans="1:37" x14ac:dyDescent="0.35">
      <c r="A619" t="s">
        <v>5166</v>
      </c>
      <c r="B619">
        <f t="shared" si="84"/>
        <v>10</v>
      </c>
      <c r="C619">
        <f t="shared" si="84"/>
        <v>43</v>
      </c>
      <c r="D619">
        <f t="shared" si="84"/>
        <v>54</v>
      </c>
      <c r="E619">
        <f t="shared" si="84"/>
        <v>80</v>
      </c>
      <c r="F619">
        <f t="shared" si="84"/>
        <v>124</v>
      </c>
      <c r="G619">
        <f t="shared" si="84"/>
        <v>145</v>
      </c>
      <c r="H619">
        <f t="shared" si="81"/>
        <v>177</v>
      </c>
      <c r="I619">
        <f t="shared" si="81"/>
        <v>199</v>
      </c>
      <c r="J619">
        <f t="shared" si="81"/>
        <v>232</v>
      </c>
      <c r="K619">
        <f t="shared" si="81"/>
        <v>253</v>
      </c>
      <c r="L619">
        <f t="shared" si="81"/>
        <v>272</v>
      </c>
      <c r="M619">
        <f t="shared" si="81"/>
        <v>287</v>
      </c>
      <c r="N619">
        <f t="shared" si="85"/>
        <v>299</v>
      </c>
      <c r="O619">
        <f t="shared" si="85"/>
        <v>325</v>
      </c>
      <c r="P619">
        <f t="shared" si="85"/>
        <v>343</v>
      </c>
      <c r="Q619">
        <f t="shared" si="85"/>
        <v>369</v>
      </c>
      <c r="S619" t="str">
        <f t="shared" si="79"/>
        <v>03.12.2025</v>
      </c>
      <c r="T619" t="str">
        <f t="shared" si="80"/>
        <v>05:15:00</v>
      </c>
      <c r="U619" t="str">
        <f t="shared" si="82"/>
        <v>03.12.2025 05:15:00</v>
      </c>
      <c r="V619" s="9" t="str">
        <f>MID($A619,C619+C$2+1,D619-C619-C$2-1)</f>
        <v>0</v>
      </c>
      <c r="W619" s="4">
        <f>VALUE(SUBSTITUTE(MID($A619,D619+D$2+1,E619-D619-D$2-1),",","."))</f>
        <v>0</v>
      </c>
      <c r="X619" s="4">
        <f>VALUE(SUBSTITUTE(MID($A619,E619+E$2+1,F619-E619-E$2-1),",","."))</f>
        <v>0.90957602214449496</v>
      </c>
      <c r="Y619" s="4">
        <f>VALUE(SUBSTITUTE(MID($A619,F619+F$2+1,G619-F619-F$2-1),",","."))</f>
        <v>0</v>
      </c>
      <c r="Z619" s="3">
        <f>VALUE(SUBSTITUTE(MID($A619,G619+G$2+1,H619-G619-G$2-1),",","."))</f>
        <v>0</v>
      </c>
      <c r="AA619" s="3">
        <f>VALUE(SUBSTITUTE(MID($A619,H619+H$2+1,I619-H619-H$2-1),",","."))</f>
        <v>0</v>
      </c>
      <c r="AB619" s="3">
        <f>VALUE(SUBSTITUTE(MID($A619,I619+I$2+1,J619-I619-I$2-1),",","."))</f>
        <v>0</v>
      </c>
      <c r="AC619" s="3">
        <f>VALUE(SUBSTITUTE(MID($A619,J619+J$2+1,K619-J619-J$2-1),",","."))</f>
        <v>-1.25</v>
      </c>
      <c r="AD619" s="3">
        <f>VALUE(SUBSTITUTE(MID($A619,K619+K$2+1,L619-K619-K$2-1),",","."))</f>
        <v>11.52</v>
      </c>
      <c r="AE619" s="3">
        <f>VALUE(SUBSTITUTE(MID($A619,L619+L$2+1,M619-L619-L$2-1),",","."))</f>
        <v>0</v>
      </c>
      <c r="AF619" s="3">
        <f>VALUE(SUBSTITUTE(MID($A619,M619+M$2+1,N619-M619-M$2-1),",","."))</f>
        <v>0</v>
      </c>
      <c r="AG619" s="3">
        <f>VALUE(SUBSTITUTE(MID($A619,N619+N$2+1,O619-N619-N$2-1),",","."))</f>
        <v>4.2210289957366998</v>
      </c>
      <c r="AH619" t="str">
        <f>MID($A619,O619+O$2+1,P619-O619-O$2-1)</f>
        <v/>
      </c>
      <c r="AI619" s="8" t="str">
        <f>MID($A619,P619+P$2+1,Q619-P619-P$2-1)</f>
        <v>False</v>
      </c>
      <c r="AK619" t="b">
        <f t="shared" si="83"/>
        <v>0</v>
      </c>
    </row>
    <row r="620" spans="1:37" x14ac:dyDescent="0.35">
      <c r="A620" t="s">
        <v>5167</v>
      </c>
      <c r="B620">
        <f t="shared" si="84"/>
        <v>10</v>
      </c>
      <c r="C620">
        <f t="shared" si="84"/>
        <v>43</v>
      </c>
      <c r="D620">
        <f t="shared" si="84"/>
        <v>54</v>
      </c>
      <c r="E620">
        <f t="shared" si="84"/>
        <v>80</v>
      </c>
      <c r="F620">
        <f t="shared" si="84"/>
        <v>124</v>
      </c>
      <c r="G620">
        <f t="shared" si="84"/>
        <v>145</v>
      </c>
      <c r="H620">
        <f t="shared" si="81"/>
        <v>177</v>
      </c>
      <c r="I620">
        <f t="shared" si="81"/>
        <v>199</v>
      </c>
      <c r="J620">
        <f t="shared" si="81"/>
        <v>232</v>
      </c>
      <c r="K620">
        <f t="shared" si="81"/>
        <v>253</v>
      </c>
      <c r="L620">
        <f t="shared" si="81"/>
        <v>272</v>
      </c>
      <c r="M620">
        <f t="shared" si="81"/>
        <v>287</v>
      </c>
      <c r="N620">
        <f t="shared" si="85"/>
        <v>299</v>
      </c>
      <c r="O620">
        <f t="shared" si="85"/>
        <v>324</v>
      </c>
      <c r="P620">
        <f t="shared" si="85"/>
        <v>342</v>
      </c>
      <c r="Q620">
        <f t="shared" si="85"/>
        <v>368</v>
      </c>
      <c r="S620" t="str">
        <f t="shared" si="79"/>
        <v>03.12.2025</v>
      </c>
      <c r="T620" t="str">
        <f t="shared" si="80"/>
        <v>05:30:00</v>
      </c>
      <c r="U620" t="str">
        <f t="shared" si="82"/>
        <v>03.12.2025 05:30:00</v>
      </c>
      <c r="V620" s="9" t="str">
        <f>MID($A620,C620+C$2+1,D620-C620-C$2-1)</f>
        <v>0</v>
      </c>
      <c r="W620" s="4">
        <f>VALUE(SUBSTITUTE(MID($A620,D620+D$2+1,E620-D620-D$2-1),",","."))</f>
        <v>0</v>
      </c>
      <c r="X620" s="4">
        <f>VALUE(SUBSTITUTE(MID($A620,E620+E$2+1,F620-E620-E$2-1),",","."))</f>
        <v>0.90957602214449496</v>
      </c>
      <c r="Y620" s="4">
        <f>VALUE(SUBSTITUTE(MID($A620,F620+F$2+1,G620-F620-F$2-1),",","."))</f>
        <v>0</v>
      </c>
      <c r="Z620" s="3">
        <f>VALUE(SUBSTITUTE(MID($A620,G620+G$2+1,H620-G620-G$2-1),",","."))</f>
        <v>0</v>
      </c>
      <c r="AA620" s="3">
        <f>VALUE(SUBSTITUTE(MID($A620,H620+H$2+1,I620-H620-H$2-1),",","."))</f>
        <v>0</v>
      </c>
      <c r="AB620" s="3">
        <f>VALUE(SUBSTITUTE(MID($A620,I620+I$2+1,J620-I620-I$2-1),",","."))</f>
        <v>0</v>
      </c>
      <c r="AC620" s="3">
        <f>VALUE(SUBSTITUTE(MID($A620,J620+J$2+1,K620-J620-J$2-1),",","."))</f>
        <v>-1.1499999999999999</v>
      </c>
      <c r="AD620" s="3">
        <f>VALUE(SUBSTITUTE(MID($A620,K620+K$2+1,L620-K620-K$2-1),",","."))</f>
        <v>14.04</v>
      </c>
      <c r="AE620" s="3">
        <f>VALUE(SUBSTITUTE(MID($A620,L620+L$2+1,M620-L620-L$2-1),",","."))</f>
        <v>0</v>
      </c>
      <c r="AF620" s="3">
        <f>VALUE(SUBSTITUTE(MID($A620,M620+M$2+1,N620-M620-M$2-1),",","."))</f>
        <v>0</v>
      </c>
      <c r="AG620" s="3">
        <f>VALUE(SUBSTITUTE(MID($A620,N620+N$2+1,O620-N620-N$2-1),",","."))</f>
        <v>4.22105751562479</v>
      </c>
      <c r="AH620" t="str">
        <f>MID($A620,O620+O$2+1,P620-O620-O$2-1)</f>
        <v/>
      </c>
      <c r="AI620" s="8" t="str">
        <f>MID($A620,P620+P$2+1,Q620-P620-P$2-1)</f>
        <v>False</v>
      </c>
      <c r="AK620" t="b">
        <f t="shared" si="83"/>
        <v>0</v>
      </c>
    </row>
    <row r="621" spans="1:37" x14ac:dyDescent="0.35">
      <c r="A621" t="s">
        <v>5168</v>
      </c>
      <c r="B621">
        <f t="shared" si="84"/>
        <v>10</v>
      </c>
      <c r="C621">
        <f t="shared" si="84"/>
        <v>43</v>
      </c>
      <c r="D621">
        <f t="shared" si="84"/>
        <v>54</v>
      </c>
      <c r="E621">
        <f t="shared" si="84"/>
        <v>80</v>
      </c>
      <c r="F621">
        <f t="shared" si="84"/>
        <v>124</v>
      </c>
      <c r="G621">
        <f t="shared" si="84"/>
        <v>145</v>
      </c>
      <c r="H621">
        <f t="shared" si="81"/>
        <v>177</v>
      </c>
      <c r="I621">
        <f t="shared" si="81"/>
        <v>199</v>
      </c>
      <c r="J621">
        <f t="shared" si="81"/>
        <v>232</v>
      </c>
      <c r="K621">
        <f t="shared" si="81"/>
        <v>253</v>
      </c>
      <c r="L621">
        <f t="shared" si="81"/>
        <v>272</v>
      </c>
      <c r="M621">
        <f t="shared" si="81"/>
        <v>287</v>
      </c>
      <c r="N621">
        <f t="shared" si="85"/>
        <v>299</v>
      </c>
      <c r="O621">
        <f t="shared" si="85"/>
        <v>324</v>
      </c>
      <c r="P621">
        <f t="shared" si="85"/>
        <v>342</v>
      </c>
      <c r="Q621">
        <f t="shared" si="85"/>
        <v>368</v>
      </c>
      <c r="S621" t="str">
        <f t="shared" si="79"/>
        <v>03.12.2025</v>
      </c>
      <c r="T621" t="str">
        <f t="shared" si="80"/>
        <v>05:45:00</v>
      </c>
      <c r="U621" t="str">
        <f t="shared" si="82"/>
        <v>03.12.2025 05:45:00</v>
      </c>
      <c r="V621" s="9" t="str">
        <f>MID($A621,C621+C$2+1,D621-C621-C$2-1)</f>
        <v>0</v>
      </c>
      <c r="W621" s="4">
        <f>VALUE(SUBSTITUTE(MID($A621,D621+D$2+1,E621-D621-D$2-1),",","."))</f>
        <v>0</v>
      </c>
      <c r="X621" s="4">
        <f>VALUE(SUBSTITUTE(MID($A621,E621+E$2+1,F621-E621-E$2-1),",","."))</f>
        <v>0.90957602214449496</v>
      </c>
      <c r="Y621" s="4">
        <f>VALUE(SUBSTITUTE(MID($A621,F621+F$2+1,G621-F621-F$2-1),",","."))</f>
        <v>0</v>
      </c>
      <c r="Z621" s="3">
        <f>VALUE(SUBSTITUTE(MID($A621,G621+G$2+1,H621-G621-G$2-1),",","."))</f>
        <v>0</v>
      </c>
      <c r="AA621" s="3">
        <f>VALUE(SUBSTITUTE(MID($A621,H621+H$2+1,I621-H621-H$2-1),",","."))</f>
        <v>0</v>
      </c>
      <c r="AB621" s="3">
        <f>VALUE(SUBSTITUTE(MID($A621,I621+I$2+1,J621-I621-I$2-1),",","."))</f>
        <v>0</v>
      </c>
      <c r="AC621" s="3">
        <f>VALUE(SUBSTITUTE(MID($A621,J621+J$2+1,K621-J621-J$2-1),",","."))</f>
        <v>-1.1499999999999999</v>
      </c>
      <c r="AD621" s="3">
        <f>VALUE(SUBSTITUTE(MID($A621,K621+K$2+1,L621-K621-K$2-1),",","."))</f>
        <v>14.04</v>
      </c>
      <c r="AE621" s="3">
        <f>VALUE(SUBSTITUTE(MID($A621,L621+L$2+1,M621-L621-L$2-1),",","."))</f>
        <v>0</v>
      </c>
      <c r="AF621" s="3">
        <f>VALUE(SUBSTITUTE(MID($A621,M621+M$2+1,N621-M621-M$2-1),",","."))</f>
        <v>0</v>
      </c>
      <c r="AG621" s="3">
        <f>VALUE(SUBSTITUTE(MID($A621,N621+N$2+1,O621-N621-N$2-1),",","."))</f>
        <v>4.2210860355128696</v>
      </c>
      <c r="AH621" t="str">
        <f>MID($A621,O621+O$2+1,P621-O621-O$2-1)</f>
        <v/>
      </c>
      <c r="AI621" s="8" t="str">
        <f>MID($A621,P621+P$2+1,Q621-P621-P$2-1)</f>
        <v>False</v>
      </c>
      <c r="AK621" t="b">
        <f t="shared" si="83"/>
        <v>0</v>
      </c>
    </row>
    <row r="622" spans="1:37" x14ac:dyDescent="0.35">
      <c r="A622" t="s">
        <v>5169</v>
      </c>
      <c r="B622">
        <f t="shared" si="84"/>
        <v>10</v>
      </c>
      <c r="C622">
        <f t="shared" si="84"/>
        <v>43</v>
      </c>
      <c r="D622">
        <f t="shared" si="84"/>
        <v>54</v>
      </c>
      <c r="E622">
        <f t="shared" si="84"/>
        <v>80</v>
      </c>
      <c r="F622">
        <f t="shared" si="84"/>
        <v>124</v>
      </c>
      <c r="G622">
        <f t="shared" si="84"/>
        <v>145</v>
      </c>
      <c r="H622">
        <f t="shared" si="81"/>
        <v>177</v>
      </c>
      <c r="I622">
        <f t="shared" si="81"/>
        <v>199</v>
      </c>
      <c r="J622">
        <f t="shared" si="81"/>
        <v>232</v>
      </c>
      <c r="K622">
        <f t="shared" si="81"/>
        <v>253</v>
      </c>
      <c r="L622">
        <f t="shared" si="81"/>
        <v>272</v>
      </c>
      <c r="M622">
        <f t="shared" si="81"/>
        <v>287</v>
      </c>
      <c r="N622">
        <f t="shared" si="85"/>
        <v>299</v>
      </c>
      <c r="O622">
        <f t="shared" si="85"/>
        <v>324</v>
      </c>
      <c r="P622">
        <f t="shared" si="85"/>
        <v>342</v>
      </c>
      <c r="Q622">
        <f t="shared" si="85"/>
        <v>368</v>
      </c>
      <c r="S622" t="str">
        <f t="shared" si="79"/>
        <v>03.12.2025</v>
      </c>
      <c r="T622" t="str">
        <f t="shared" si="80"/>
        <v>06:00:00</v>
      </c>
      <c r="U622" t="str">
        <f t="shared" si="82"/>
        <v>03.12.2025 06:00:00</v>
      </c>
      <c r="V622" s="9" t="str">
        <f>MID($A622,C622+C$2+1,D622-C622-C$2-1)</f>
        <v>0</v>
      </c>
      <c r="W622" s="4">
        <f>VALUE(SUBSTITUTE(MID($A622,D622+D$2+1,E622-D622-D$2-1),",","."))</f>
        <v>0</v>
      </c>
      <c r="X622" s="4">
        <f>VALUE(SUBSTITUTE(MID($A622,E622+E$2+1,F622-E622-E$2-1),",","."))</f>
        <v>0.90957602214449496</v>
      </c>
      <c r="Y622" s="4">
        <f>VALUE(SUBSTITUTE(MID($A622,F622+F$2+1,G622-F622-F$2-1),",","."))</f>
        <v>0</v>
      </c>
      <c r="Z622" s="3">
        <f>VALUE(SUBSTITUTE(MID($A622,G622+G$2+1,H622-G622-G$2-1),",","."))</f>
        <v>0</v>
      </c>
      <c r="AA622" s="3">
        <f>VALUE(SUBSTITUTE(MID($A622,H622+H$2+1,I622-H622-H$2-1),",","."))</f>
        <v>0</v>
      </c>
      <c r="AB622" s="3">
        <f>VALUE(SUBSTITUTE(MID($A622,I622+I$2+1,J622-I622-I$2-1),",","."))</f>
        <v>0</v>
      </c>
      <c r="AC622" s="3">
        <f>VALUE(SUBSTITUTE(MID($A622,J622+J$2+1,K622-J622-J$2-1),",","."))</f>
        <v>-1.1499999999999999</v>
      </c>
      <c r="AD622" s="3">
        <f>VALUE(SUBSTITUTE(MID($A622,K622+K$2+1,L622-K622-K$2-1),",","."))</f>
        <v>14.04</v>
      </c>
      <c r="AE622" s="3">
        <f>VALUE(SUBSTITUTE(MID($A622,L622+L$2+1,M622-L622-L$2-1),",","."))</f>
        <v>0</v>
      </c>
      <c r="AF622" s="3">
        <f>VALUE(SUBSTITUTE(MID($A622,M622+M$2+1,N622-M622-M$2-1),",","."))</f>
        <v>0</v>
      </c>
      <c r="AG622" s="3">
        <f>VALUE(SUBSTITUTE(MID($A622,N622+N$2+1,O622-N622-N$2-1),",","."))</f>
        <v>4.2211145554009502</v>
      </c>
      <c r="AH622" t="str">
        <f>MID($A622,O622+O$2+1,P622-O622-O$2-1)</f>
        <v/>
      </c>
      <c r="AI622" s="8" t="str">
        <f>MID($A622,P622+P$2+1,Q622-P622-P$2-1)</f>
        <v>False</v>
      </c>
      <c r="AK622" t="b">
        <f t="shared" si="83"/>
        <v>0</v>
      </c>
    </row>
    <row r="623" spans="1:37" x14ac:dyDescent="0.35">
      <c r="A623" t="s">
        <v>5170</v>
      </c>
      <c r="B623">
        <f t="shared" si="84"/>
        <v>10</v>
      </c>
      <c r="C623">
        <f t="shared" si="84"/>
        <v>43</v>
      </c>
      <c r="D623">
        <f t="shared" si="84"/>
        <v>54</v>
      </c>
      <c r="E623">
        <f t="shared" si="84"/>
        <v>80</v>
      </c>
      <c r="F623">
        <f t="shared" si="84"/>
        <v>124</v>
      </c>
      <c r="G623">
        <f t="shared" si="84"/>
        <v>145</v>
      </c>
      <c r="H623">
        <f t="shared" si="81"/>
        <v>177</v>
      </c>
      <c r="I623">
        <f t="shared" si="81"/>
        <v>199</v>
      </c>
      <c r="J623">
        <f t="shared" si="81"/>
        <v>232</v>
      </c>
      <c r="K623">
        <f t="shared" si="81"/>
        <v>253</v>
      </c>
      <c r="L623">
        <f t="shared" si="81"/>
        <v>272</v>
      </c>
      <c r="M623">
        <f t="shared" si="81"/>
        <v>287</v>
      </c>
      <c r="N623">
        <f t="shared" si="85"/>
        <v>299</v>
      </c>
      <c r="O623">
        <f t="shared" si="85"/>
        <v>324</v>
      </c>
      <c r="P623">
        <f t="shared" si="85"/>
        <v>342</v>
      </c>
      <c r="Q623">
        <f t="shared" si="85"/>
        <v>368</v>
      </c>
      <c r="S623" t="str">
        <f t="shared" si="79"/>
        <v>03.12.2025</v>
      </c>
      <c r="T623" t="str">
        <f t="shared" si="80"/>
        <v>06:15:00</v>
      </c>
      <c r="U623" t="str">
        <f t="shared" si="82"/>
        <v>03.12.2025 06:15:00</v>
      </c>
      <c r="V623" s="9" t="str">
        <f>MID($A623,C623+C$2+1,D623-C623-C$2-1)</f>
        <v>0</v>
      </c>
      <c r="W623" s="4">
        <f>VALUE(SUBSTITUTE(MID($A623,D623+D$2+1,E623-D623-D$2-1),",","."))</f>
        <v>0</v>
      </c>
      <c r="X623" s="4">
        <f>VALUE(SUBSTITUTE(MID($A623,E623+E$2+1,F623-E623-E$2-1),",","."))</f>
        <v>0.90957602214449496</v>
      </c>
      <c r="Y623" s="4">
        <f>VALUE(SUBSTITUTE(MID($A623,F623+F$2+1,G623-F623-F$2-1),",","."))</f>
        <v>0</v>
      </c>
      <c r="Z623" s="3">
        <f>VALUE(SUBSTITUTE(MID($A623,G623+G$2+1,H623-G623-G$2-1),",","."))</f>
        <v>0</v>
      </c>
      <c r="AA623" s="3">
        <f>VALUE(SUBSTITUTE(MID($A623,H623+H$2+1,I623-H623-H$2-1),",","."))</f>
        <v>0</v>
      </c>
      <c r="AB623" s="3">
        <f>VALUE(SUBSTITUTE(MID($A623,I623+I$2+1,J623-I623-I$2-1),",","."))</f>
        <v>0</v>
      </c>
      <c r="AC623" s="3">
        <f>VALUE(SUBSTITUTE(MID($A623,J623+J$2+1,K623-J623-J$2-1),",","."))</f>
        <v>-1.1499999999999999</v>
      </c>
      <c r="AD623" s="3">
        <f>VALUE(SUBSTITUTE(MID($A623,K623+K$2+1,L623-K623-K$2-1),",","."))</f>
        <v>14.04</v>
      </c>
      <c r="AE623" s="3">
        <f>VALUE(SUBSTITUTE(MID($A623,L623+L$2+1,M623-L623-L$2-1),",","."))</f>
        <v>0</v>
      </c>
      <c r="AF623" s="3">
        <f>VALUE(SUBSTITUTE(MID($A623,M623+M$2+1,N623-M623-M$2-1),",","."))</f>
        <v>0</v>
      </c>
      <c r="AG623" s="3">
        <f>VALUE(SUBSTITUTE(MID($A623,N623+N$2+1,O623-N623-N$2-1),",","."))</f>
        <v>4.2211430752890298</v>
      </c>
      <c r="AH623" t="str">
        <f>MID($A623,O623+O$2+1,P623-O623-O$2-1)</f>
        <v/>
      </c>
      <c r="AI623" s="8" t="str">
        <f>MID($A623,P623+P$2+1,Q623-P623-P$2-1)</f>
        <v>False</v>
      </c>
      <c r="AK623" t="b">
        <f t="shared" si="83"/>
        <v>0</v>
      </c>
    </row>
    <row r="624" spans="1:37" x14ac:dyDescent="0.35">
      <c r="A624" t="s">
        <v>5171</v>
      </c>
      <c r="B624">
        <f t="shared" si="84"/>
        <v>10</v>
      </c>
      <c r="C624">
        <f t="shared" si="84"/>
        <v>43</v>
      </c>
      <c r="D624">
        <f t="shared" si="84"/>
        <v>54</v>
      </c>
      <c r="E624">
        <f t="shared" si="84"/>
        <v>80</v>
      </c>
      <c r="F624">
        <f t="shared" si="84"/>
        <v>124</v>
      </c>
      <c r="G624">
        <f t="shared" si="84"/>
        <v>145</v>
      </c>
      <c r="H624">
        <f t="shared" si="81"/>
        <v>177</v>
      </c>
      <c r="I624">
        <f t="shared" si="81"/>
        <v>199</v>
      </c>
      <c r="J624">
        <f t="shared" si="81"/>
        <v>232</v>
      </c>
      <c r="K624">
        <f t="shared" si="81"/>
        <v>253</v>
      </c>
      <c r="L624">
        <f t="shared" si="81"/>
        <v>271</v>
      </c>
      <c r="M624">
        <f t="shared" si="81"/>
        <v>286</v>
      </c>
      <c r="N624">
        <f t="shared" si="85"/>
        <v>298</v>
      </c>
      <c r="O624">
        <f t="shared" si="85"/>
        <v>323</v>
      </c>
      <c r="P624">
        <f t="shared" si="85"/>
        <v>341</v>
      </c>
      <c r="Q624">
        <f t="shared" si="85"/>
        <v>367</v>
      </c>
      <c r="S624" t="str">
        <f t="shared" si="79"/>
        <v>03.12.2025</v>
      </c>
      <c r="T624" t="str">
        <f t="shared" si="80"/>
        <v>06:30:00</v>
      </c>
      <c r="U624" t="str">
        <f t="shared" si="82"/>
        <v>03.12.2025 06:30:00</v>
      </c>
      <c r="V624" s="9" t="str">
        <f>MID($A624,C624+C$2+1,D624-C624-C$2-1)</f>
        <v>0</v>
      </c>
      <c r="W624" s="4">
        <f>VALUE(SUBSTITUTE(MID($A624,D624+D$2+1,E624-D624-D$2-1),",","."))</f>
        <v>0</v>
      </c>
      <c r="X624" s="4">
        <f>VALUE(SUBSTITUTE(MID($A624,E624+E$2+1,F624-E624-E$2-1),",","."))</f>
        <v>0.90957602214449496</v>
      </c>
      <c r="Y624" s="4">
        <f>VALUE(SUBSTITUTE(MID($A624,F624+F$2+1,G624-F624-F$2-1),",","."))</f>
        <v>0</v>
      </c>
      <c r="Z624" s="3">
        <f>VALUE(SUBSTITUTE(MID($A624,G624+G$2+1,H624-G624-G$2-1),",","."))</f>
        <v>0</v>
      </c>
      <c r="AA624" s="3">
        <f>VALUE(SUBSTITUTE(MID($A624,H624+H$2+1,I624-H624-H$2-1),",","."))</f>
        <v>0</v>
      </c>
      <c r="AB624" s="3">
        <f>VALUE(SUBSTITUTE(MID($A624,I624+I$2+1,J624-I624-I$2-1),",","."))</f>
        <v>0</v>
      </c>
      <c r="AC624" s="3">
        <f>VALUE(SUBSTITUTE(MID($A624,J624+J$2+1,K624-J624-J$2-1),",","."))</f>
        <v>-0.85</v>
      </c>
      <c r="AD624" s="3">
        <f>VALUE(SUBSTITUTE(MID($A624,K624+K$2+1,L624-K624-K$2-1),",","."))</f>
        <v>15.3</v>
      </c>
      <c r="AE624" s="3">
        <f>VALUE(SUBSTITUTE(MID($A624,L624+L$2+1,M624-L624-L$2-1),",","."))</f>
        <v>0</v>
      </c>
      <c r="AF624" s="3">
        <f>VALUE(SUBSTITUTE(MID($A624,M624+M$2+1,N624-M624-M$2-1),",","."))</f>
        <v>0</v>
      </c>
      <c r="AG624" s="3">
        <f>VALUE(SUBSTITUTE(MID($A624,N624+N$2+1,O624-N624-N$2-1),",","."))</f>
        <v>4.2211715951771103</v>
      </c>
      <c r="AH624" t="str">
        <f>MID($A624,O624+O$2+1,P624-O624-O$2-1)</f>
        <v/>
      </c>
      <c r="AI624" s="8" t="str">
        <f>MID($A624,P624+P$2+1,Q624-P624-P$2-1)</f>
        <v>False</v>
      </c>
      <c r="AK624" t="b">
        <f t="shared" si="83"/>
        <v>0</v>
      </c>
    </row>
    <row r="625" spans="1:37" x14ac:dyDescent="0.35">
      <c r="A625" t="s">
        <v>5172</v>
      </c>
      <c r="B625">
        <f t="shared" si="84"/>
        <v>10</v>
      </c>
      <c r="C625">
        <f t="shared" si="84"/>
        <v>43</v>
      </c>
      <c r="D625">
        <f t="shared" si="84"/>
        <v>54</v>
      </c>
      <c r="E625">
        <f t="shared" si="84"/>
        <v>80</v>
      </c>
      <c r="F625">
        <f t="shared" si="84"/>
        <v>124</v>
      </c>
      <c r="G625">
        <f t="shared" si="84"/>
        <v>145</v>
      </c>
      <c r="H625">
        <f t="shared" si="81"/>
        <v>177</v>
      </c>
      <c r="I625">
        <f t="shared" si="81"/>
        <v>199</v>
      </c>
      <c r="J625">
        <f t="shared" si="81"/>
        <v>232</v>
      </c>
      <c r="K625">
        <f t="shared" si="81"/>
        <v>253</v>
      </c>
      <c r="L625">
        <f t="shared" si="81"/>
        <v>271</v>
      </c>
      <c r="M625">
        <f t="shared" ref="M625:P688" si="86">FIND(M$1,$A625)</f>
        <v>286</v>
      </c>
      <c r="N625">
        <f t="shared" si="85"/>
        <v>298</v>
      </c>
      <c r="O625">
        <f t="shared" si="85"/>
        <v>321</v>
      </c>
      <c r="P625">
        <f t="shared" si="85"/>
        <v>339</v>
      </c>
      <c r="Q625">
        <f t="shared" si="85"/>
        <v>365</v>
      </c>
      <c r="S625" t="str">
        <f t="shared" si="79"/>
        <v>03.12.2025</v>
      </c>
      <c r="T625" t="str">
        <f t="shared" si="80"/>
        <v>06:45:00</v>
      </c>
      <c r="U625" t="str">
        <f t="shared" si="82"/>
        <v>03.12.2025 06:45:00</v>
      </c>
      <c r="V625" s="9" t="str">
        <f>MID($A625,C625+C$2+1,D625-C625-C$2-1)</f>
        <v>0</v>
      </c>
      <c r="W625" s="4">
        <f>VALUE(SUBSTITUTE(MID($A625,D625+D$2+1,E625-D625-D$2-1),",","."))</f>
        <v>0</v>
      </c>
      <c r="X625" s="4">
        <f>VALUE(SUBSTITUTE(MID($A625,E625+E$2+1,F625-E625-E$2-1),",","."))</f>
        <v>0.90957602214449496</v>
      </c>
      <c r="Y625" s="4">
        <f>VALUE(SUBSTITUTE(MID($A625,F625+F$2+1,G625-F625-F$2-1),",","."))</f>
        <v>0</v>
      </c>
      <c r="Z625" s="3">
        <f>VALUE(SUBSTITUTE(MID($A625,G625+G$2+1,H625-G625-G$2-1),",","."))</f>
        <v>0</v>
      </c>
      <c r="AA625" s="3">
        <f>VALUE(SUBSTITUTE(MID($A625,H625+H$2+1,I625-H625-H$2-1),",","."))</f>
        <v>0</v>
      </c>
      <c r="AB625" s="3">
        <f>VALUE(SUBSTITUTE(MID($A625,I625+I$2+1,J625-I625-I$2-1),",","."))</f>
        <v>0</v>
      </c>
      <c r="AC625" s="3">
        <f>VALUE(SUBSTITUTE(MID($A625,J625+J$2+1,K625-J625-J$2-1),",","."))</f>
        <v>-0.85</v>
      </c>
      <c r="AD625" s="3">
        <f>VALUE(SUBSTITUTE(MID($A625,K625+K$2+1,L625-K625-K$2-1),",","."))</f>
        <v>15.3</v>
      </c>
      <c r="AE625" s="3">
        <f>VALUE(SUBSTITUTE(MID($A625,L625+L$2+1,M625-L625-L$2-1),",","."))</f>
        <v>0</v>
      </c>
      <c r="AF625" s="3">
        <f>VALUE(SUBSTITUTE(MID($A625,M625+M$2+1,N625-M625-M$2-1),",","."))</f>
        <v>0</v>
      </c>
      <c r="AG625" s="3">
        <f>VALUE(SUBSTITUTE(MID($A625,N625+N$2+1,O625-N625-N$2-1),",","."))</f>
        <v>4.2212001150651997</v>
      </c>
      <c r="AH625" t="str">
        <f>MID($A625,O625+O$2+1,P625-O625-O$2-1)</f>
        <v/>
      </c>
      <c r="AI625" s="8" t="str">
        <f>MID($A625,P625+P$2+1,Q625-P625-P$2-1)</f>
        <v>False</v>
      </c>
      <c r="AK625" t="b">
        <f t="shared" si="83"/>
        <v>0</v>
      </c>
    </row>
    <row r="626" spans="1:37" x14ac:dyDescent="0.35">
      <c r="A626" t="s">
        <v>5173</v>
      </c>
      <c r="B626">
        <f t="shared" si="84"/>
        <v>10</v>
      </c>
      <c r="C626">
        <f t="shared" si="84"/>
        <v>43</v>
      </c>
      <c r="D626">
        <f t="shared" si="84"/>
        <v>54</v>
      </c>
      <c r="E626">
        <f t="shared" si="84"/>
        <v>80</v>
      </c>
      <c r="F626">
        <f t="shared" si="84"/>
        <v>124</v>
      </c>
      <c r="G626">
        <f t="shared" si="84"/>
        <v>145</v>
      </c>
      <c r="H626">
        <f t="shared" si="84"/>
        <v>177</v>
      </c>
      <c r="I626">
        <f t="shared" si="84"/>
        <v>199</v>
      </c>
      <c r="J626">
        <f t="shared" si="84"/>
        <v>232</v>
      </c>
      <c r="K626">
        <f t="shared" si="84"/>
        <v>253</v>
      </c>
      <c r="L626">
        <f t="shared" si="84"/>
        <v>271</v>
      </c>
      <c r="M626">
        <f t="shared" si="86"/>
        <v>286</v>
      </c>
      <c r="N626">
        <f t="shared" si="85"/>
        <v>298</v>
      </c>
      <c r="O626">
        <f t="shared" si="85"/>
        <v>323</v>
      </c>
      <c r="P626">
        <f t="shared" si="85"/>
        <v>341</v>
      </c>
      <c r="Q626">
        <f t="shared" si="85"/>
        <v>367</v>
      </c>
      <c r="S626" t="str">
        <f t="shared" si="79"/>
        <v>03.12.2025</v>
      </c>
      <c r="T626" t="str">
        <f t="shared" si="80"/>
        <v>07:00:00</v>
      </c>
      <c r="U626" t="str">
        <f t="shared" si="82"/>
        <v>03.12.2025 07:00:00</v>
      </c>
      <c r="V626" s="9" t="str">
        <f>MID($A626,C626+C$2+1,D626-C626-C$2-1)</f>
        <v>0</v>
      </c>
      <c r="W626" s="4">
        <f>VALUE(SUBSTITUTE(MID($A626,D626+D$2+1,E626-D626-D$2-1),",","."))</f>
        <v>0</v>
      </c>
      <c r="X626" s="4">
        <f>VALUE(SUBSTITUTE(MID($A626,E626+E$2+1,F626-E626-E$2-1),",","."))</f>
        <v>0.90957602214449496</v>
      </c>
      <c r="Y626" s="4">
        <f>VALUE(SUBSTITUTE(MID($A626,F626+F$2+1,G626-F626-F$2-1),",","."))</f>
        <v>0</v>
      </c>
      <c r="Z626" s="3">
        <f>VALUE(SUBSTITUTE(MID($A626,G626+G$2+1,H626-G626-G$2-1),",","."))</f>
        <v>0</v>
      </c>
      <c r="AA626" s="3">
        <f>VALUE(SUBSTITUTE(MID($A626,H626+H$2+1,I626-H626-H$2-1),",","."))</f>
        <v>0</v>
      </c>
      <c r="AB626" s="3">
        <f>VALUE(SUBSTITUTE(MID($A626,I626+I$2+1,J626-I626-I$2-1),",","."))</f>
        <v>0</v>
      </c>
      <c r="AC626" s="3">
        <f>VALUE(SUBSTITUTE(MID($A626,J626+J$2+1,K626-J626-J$2-1),",","."))</f>
        <v>-0.85</v>
      </c>
      <c r="AD626" s="3">
        <f>VALUE(SUBSTITUTE(MID($A626,K626+K$2+1,L626-K626-K$2-1),",","."))</f>
        <v>15.3</v>
      </c>
      <c r="AE626" s="3">
        <f>VALUE(SUBSTITUTE(MID($A626,L626+L$2+1,M626-L626-L$2-1),",","."))</f>
        <v>0</v>
      </c>
      <c r="AF626" s="3">
        <f>VALUE(SUBSTITUTE(MID($A626,M626+M$2+1,N626-M626-M$2-1),",","."))</f>
        <v>0</v>
      </c>
      <c r="AG626" s="3">
        <f>VALUE(SUBSTITUTE(MID($A626,N626+N$2+1,O626-N626-N$2-1),",","."))</f>
        <v>4.2212286349532802</v>
      </c>
      <c r="AH626" t="str">
        <f>MID($A626,O626+O$2+1,P626-O626-O$2-1)</f>
        <v/>
      </c>
      <c r="AI626" s="8" t="str">
        <f>MID($A626,P626+P$2+1,Q626-P626-P$2-1)</f>
        <v>False</v>
      </c>
      <c r="AK626" t="b">
        <f t="shared" si="83"/>
        <v>0</v>
      </c>
    </row>
    <row r="627" spans="1:37" x14ac:dyDescent="0.35">
      <c r="A627" t="s">
        <v>5174</v>
      </c>
      <c r="B627">
        <f t="shared" si="84"/>
        <v>10</v>
      </c>
      <c r="C627">
        <f t="shared" si="84"/>
        <v>43</v>
      </c>
      <c r="D627">
        <f t="shared" si="84"/>
        <v>54</v>
      </c>
      <c r="E627">
        <f t="shared" si="84"/>
        <v>80</v>
      </c>
      <c r="F627">
        <f t="shared" si="84"/>
        <v>124</v>
      </c>
      <c r="G627">
        <f t="shared" si="84"/>
        <v>145</v>
      </c>
      <c r="H627">
        <f t="shared" si="84"/>
        <v>177</v>
      </c>
      <c r="I627">
        <f t="shared" si="84"/>
        <v>199</v>
      </c>
      <c r="J627">
        <f t="shared" si="84"/>
        <v>232</v>
      </c>
      <c r="K627">
        <f t="shared" si="84"/>
        <v>253</v>
      </c>
      <c r="L627">
        <f t="shared" si="84"/>
        <v>271</v>
      </c>
      <c r="M627">
        <f t="shared" si="86"/>
        <v>286</v>
      </c>
      <c r="N627">
        <f t="shared" si="85"/>
        <v>298</v>
      </c>
      <c r="O627">
        <f t="shared" si="85"/>
        <v>323</v>
      </c>
      <c r="P627">
        <f t="shared" si="85"/>
        <v>341</v>
      </c>
      <c r="Q627">
        <f t="shared" si="85"/>
        <v>367</v>
      </c>
      <c r="S627" t="str">
        <f t="shared" si="79"/>
        <v>03.12.2025</v>
      </c>
      <c r="T627" t="str">
        <f t="shared" si="80"/>
        <v>07:15:00</v>
      </c>
      <c r="U627" t="str">
        <f t="shared" si="82"/>
        <v>03.12.2025 07:15:00</v>
      </c>
      <c r="V627" s="9" t="str">
        <f>MID($A627,C627+C$2+1,D627-C627-C$2-1)</f>
        <v>0</v>
      </c>
      <c r="W627" s="4">
        <f>VALUE(SUBSTITUTE(MID($A627,D627+D$2+1,E627-D627-D$2-1),",","."))</f>
        <v>0</v>
      </c>
      <c r="X627" s="4">
        <f>VALUE(SUBSTITUTE(MID($A627,E627+E$2+1,F627-E627-E$2-1),",","."))</f>
        <v>0.90957602214449496</v>
      </c>
      <c r="Y627" s="4">
        <f>VALUE(SUBSTITUTE(MID($A627,F627+F$2+1,G627-F627-F$2-1),",","."))</f>
        <v>0</v>
      </c>
      <c r="Z627" s="3">
        <f>VALUE(SUBSTITUTE(MID($A627,G627+G$2+1,H627-G627-G$2-1),",","."))</f>
        <v>0</v>
      </c>
      <c r="AA627" s="3">
        <f>VALUE(SUBSTITUTE(MID($A627,H627+H$2+1,I627-H627-H$2-1),",","."))</f>
        <v>0</v>
      </c>
      <c r="AB627" s="3">
        <f>VALUE(SUBSTITUTE(MID($A627,I627+I$2+1,J627-I627-I$2-1),",","."))</f>
        <v>0</v>
      </c>
      <c r="AC627" s="3">
        <f>VALUE(SUBSTITUTE(MID($A627,J627+J$2+1,K627-J627-J$2-1),",","."))</f>
        <v>-0.85</v>
      </c>
      <c r="AD627" s="3">
        <f>VALUE(SUBSTITUTE(MID($A627,K627+K$2+1,L627-K627-K$2-1),",","."))</f>
        <v>15.3</v>
      </c>
      <c r="AE627" s="3">
        <f>VALUE(SUBSTITUTE(MID($A627,L627+L$2+1,M627-L627-L$2-1),",","."))</f>
        <v>0</v>
      </c>
      <c r="AF627" s="3">
        <f>VALUE(SUBSTITUTE(MID($A627,M627+M$2+1,N627-M627-M$2-1),",","."))</f>
        <v>0</v>
      </c>
      <c r="AG627" s="3">
        <f>VALUE(SUBSTITUTE(MID($A627,N627+N$2+1,O627-N627-N$2-1),",","."))</f>
        <v>4.2212571548413598</v>
      </c>
      <c r="AH627" t="str">
        <f>MID($A627,O627+O$2+1,P627-O627-O$2-1)</f>
        <v/>
      </c>
      <c r="AI627" s="8" t="str">
        <f>MID($A627,P627+P$2+1,Q627-P627-P$2-1)</f>
        <v>False</v>
      </c>
      <c r="AK627" t="b">
        <f t="shared" si="83"/>
        <v>0</v>
      </c>
    </row>
    <row r="628" spans="1:37" x14ac:dyDescent="0.35">
      <c r="A628" t="s">
        <v>5175</v>
      </c>
      <c r="B628">
        <f t="shared" si="84"/>
        <v>10</v>
      </c>
      <c r="C628">
        <f t="shared" si="84"/>
        <v>43</v>
      </c>
      <c r="D628">
        <f t="shared" si="84"/>
        <v>54</v>
      </c>
      <c r="E628">
        <f t="shared" si="84"/>
        <v>80</v>
      </c>
      <c r="F628">
        <f t="shared" si="84"/>
        <v>124</v>
      </c>
      <c r="G628">
        <f t="shared" si="84"/>
        <v>145</v>
      </c>
      <c r="H628">
        <f t="shared" si="84"/>
        <v>177</v>
      </c>
      <c r="I628">
        <f t="shared" si="84"/>
        <v>199</v>
      </c>
      <c r="J628">
        <f t="shared" si="84"/>
        <v>232</v>
      </c>
      <c r="K628">
        <f t="shared" si="84"/>
        <v>253</v>
      </c>
      <c r="L628">
        <f t="shared" si="84"/>
        <v>285</v>
      </c>
      <c r="M628">
        <f t="shared" si="86"/>
        <v>300</v>
      </c>
      <c r="N628">
        <f t="shared" si="85"/>
        <v>312</v>
      </c>
      <c r="O628">
        <f t="shared" si="85"/>
        <v>337</v>
      </c>
      <c r="P628">
        <f t="shared" si="85"/>
        <v>355</v>
      </c>
      <c r="Q628">
        <f t="shared" si="85"/>
        <v>381</v>
      </c>
      <c r="S628" t="str">
        <f t="shared" si="79"/>
        <v>03.12.2025</v>
      </c>
      <c r="T628" t="str">
        <f t="shared" si="80"/>
        <v>07:30:00</v>
      </c>
      <c r="U628" t="str">
        <f t="shared" si="82"/>
        <v>03.12.2025 07:30:00</v>
      </c>
      <c r="V628" s="9" t="str">
        <f>MID($A628,C628+C$2+1,D628-C628-C$2-1)</f>
        <v>0</v>
      </c>
      <c r="W628" s="4">
        <f>VALUE(SUBSTITUTE(MID($A628,D628+D$2+1,E628-D628-D$2-1),",","."))</f>
        <v>0</v>
      </c>
      <c r="X628" s="4">
        <f>VALUE(SUBSTITUTE(MID($A628,E628+E$2+1,F628-E628-E$2-1),",","."))</f>
        <v>0.90957602214449496</v>
      </c>
      <c r="Y628" s="4">
        <f>VALUE(SUBSTITUTE(MID($A628,F628+F$2+1,G628-F628-F$2-1),",","."))</f>
        <v>0</v>
      </c>
      <c r="Z628" s="3">
        <f>VALUE(SUBSTITUTE(MID($A628,G628+G$2+1,H628-G628-G$2-1),",","."))</f>
        <v>0</v>
      </c>
      <c r="AA628" s="3">
        <f>VALUE(SUBSTITUTE(MID($A628,H628+H$2+1,I628-H628-H$2-1),",","."))</f>
        <v>0</v>
      </c>
      <c r="AB628" s="3">
        <f>VALUE(SUBSTITUTE(MID($A628,I628+I$2+1,J628-I628-I$2-1),",","."))</f>
        <v>0</v>
      </c>
      <c r="AC628" s="3">
        <f>VALUE(SUBSTITUTE(MID($A628,J628+J$2+1,K628-J628-J$2-1),",","."))</f>
        <v>-0.25</v>
      </c>
      <c r="AD628" s="3">
        <f>VALUE(SUBSTITUTE(MID($A628,K628+K$2+1,L628-K628-K$2-1),",","."))</f>
        <v>14.399999999999901</v>
      </c>
      <c r="AE628" s="3">
        <f>VALUE(SUBSTITUTE(MID($A628,L628+L$2+1,M628-L628-L$2-1),",","."))</f>
        <v>0</v>
      </c>
      <c r="AF628" s="3">
        <f>VALUE(SUBSTITUTE(MID($A628,M628+M$2+1,N628-M628-M$2-1),",","."))</f>
        <v>0</v>
      </c>
      <c r="AG628" s="3">
        <f>VALUE(SUBSTITUTE(MID($A628,N628+N$2+1,O628-N628-N$2-1),",","."))</f>
        <v>4.2212856747294403</v>
      </c>
      <c r="AH628" t="str">
        <f>MID($A628,O628+O$2+1,P628-O628-O$2-1)</f>
        <v/>
      </c>
      <c r="AI628" s="8" t="str">
        <f>MID($A628,P628+P$2+1,Q628-P628-P$2-1)</f>
        <v>False</v>
      </c>
      <c r="AK628" t="b">
        <f t="shared" si="83"/>
        <v>0</v>
      </c>
    </row>
    <row r="629" spans="1:37" x14ac:dyDescent="0.35">
      <c r="A629" t="s">
        <v>5176</v>
      </c>
      <c r="B629">
        <f t="shared" si="84"/>
        <v>10</v>
      </c>
      <c r="C629">
        <f t="shared" si="84"/>
        <v>43</v>
      </c>
      <c r="D629">
        <f t="shared" si="84"/>
        <v>54</v>
      </c>
      <c r="E629">
        <f t="shared" si="84"/>
        <v>80</v>
      </c>
      <c r="F629">
        <f t="shared" si="84"/>
        <v>124</v>
      </c>
      <c r="G629">
        <f t="shared" si="84"/>
        <v>145</v>
      </c>
      <c r="H629">
        <f t="shared" ref="H629:L679" si="87">FIND(H$1,$A629)</f>
        <v>177</v>
      </c>
      <c r="I629">
        <f t="shared" si="87"/>
        <v>199</v>
      </c>
      <c r="J629">
        <f t="shared" si="87"/>
        <v>232</v>
      </c>
      <c r="K629">
        <f t="shared" si="87"/>
        <v>253</v>
      </c>
      <c r="L629">
        <f t="shared" si="87"/>
        <v>285</v>
      </c>
      <c r="M629">
        <f t="shared" si="86"/>
        <v>300</v>
      </c>
      <c r="N629">
        <f t="shared" si="85"/>
        <v>312</v>
      </c>
      <c r="O629">
        <f t="shared" si="85"/>
        <v>337</v>
      </c>
      <c r="P629">
        <f t="shared" si="85"/>
        <v>355</v>
      </c>
      <c r="Q629">
        <f t="shared" si="85"/>
        <v>381</v>
      </c>
      <c r="S629" t="str">
        <f t="shared" si="79"/>
        <v>03.12.2025</v>
      </c>
      <c r="T629" t="str">
        <f t="shared" si="80"/>
        <v>07:45:00</v>
      </c>
      <c r="U629" t="str">
        <f t="shared" si="82"/>
        <v>03.12.2025 07:45:00</v>
      </c>
      <c r="V629" s="9" t="str">
        <f>MID($A629,C629+C$2+1,D629-C629-C$2-1)</f>
        <v>0</v>
      </c>
      <c r="W629" s="4">
        <f>VALUE(SUBSTITUTE(MID($A629,D629+D$2+1,E629-D629-D$2-1),",","."))</f>
        <v>0</v>
      </c>
      <c r="X629" s="4">
        <f>VALUE(SUBSTITUTE(MID($A629,E629+E$2+1,F629-E629-E$2-1),",","."))</f>
        <v>0.90957602214449496</v>
      </c>
      <c r="Y629" s="4">
        <f>VALUE(SUBSTITUTE(MID($A629,F629+F$2+1,G629-F629-F$2-1),",","."))</f>
        <v>0</v>
      </c>
      <c r="Z629" s="3">
        <f>VALUE(SUBSTITUTE(MID($A629,G629+G$2+1,H629-G629-G$2-1),",","."))</f>
        <v>0</v>
      </c>
      <c r="AA629" s="3">
        <f>VALUE(SUBSTITUTE(MID($A629,H629+H$2+1,I629-H629-H$2-1),",","."))</f>
        <v>0</v>
      </c>
      <c r="AB629" s="3">
        <f>VALUE(SUBSTITUTE(MID($A629,I629+I$2+1,J629-I629-I$2-1),",","."))</f>
        <v>0</v>
      </c>
      <c r="AC629" s="3">
        <f>VALUE(SUBSTITUTE(MID($A629,J629+J$2+1,K629-J629-J$2-1),",","."))</f>
        <v>-0.25</v>
      </c>
      <c r="AD629" s="3">
        <f>VALUE(SUBSTITUTE(MID($A629,K629+K$2+1,L629-K629-K$2-1),",","."))</f>
        <v>14.399999999999901</v>
      </c>
      <c r="AE629" s="3">
        <f>VALUE(SUBSTITUTE(MID($A629,L629+L$2+1,M629-L629-L$2-1),",","."))</f>
        <v>0</v>
      </c>
      <c r="AF629" s="3">
        <f>VALUE(SUBSTITUTE(MID($A629,M629+M$2+1,N629-M629-M$2-1),",","."))</f>
        <v>0</v>
      </c>
      <c r="AG629" s="3">
        <f>VALUE(SUBSTITUTE(MID($A629,N629+N$2+1,O629-N629-N$2-1),",","."))</f>
        <v>4.2213141946175199</v>
      </c>
      <c r="AH629" t="str">
        <f>MID($A629,O629+O$2+1,P629-O629-O$2-1)</f>
        <v/>
      </c>
      <c r="AI629" s="8" t="str">
        <f>MID($A629,P629+P$2+1,Q629-P629-P$2-1)</f>
        <v>False</v>
      </c>
      <c r="AK629" t="b">
        <f t="shared" si="83"/>
        <v>0</v>
      </c>
    </row>
    <row r="630" spans="1:37" x14ac:dyDescent="0.35">
      <c r="A630" t="s">
        <v>5177</v>
      </c>
      <c r="B630">
        <f t="shared" ref="B630:G672" si="88">FIND(B$1,$A630)</f>
        <v>10</v>
      </c>
      <c r="C630">
        <f t="shared" si="88"/>
        <v>43</v>
      </c>
      <c r="D630">
        <f t="shared" si="88"/>
        <v>54</v>
      </c>
      <c r="E630">
        <f t="shared" si="88"/>
        <v>80</v>
      </c>
      <c r="F630">
        <f t="shared" si="88"/>
        <v>124</v>
      </c>
      <c r="G630">
        <f t="shared" si="88"/>
        <v>164</v>
      </c>
      <c r="H630">
        <f t="shared" si="87"/>
        <v>196</v>
      </c>
      <c r="I630">
        <f t="shared" si="87"/>
        <v>218</v>
      </c>
      <c r="J630">
        <f t="shared" si="87"/>
        <v>251</v>
      </c>
      <c r="K630">
        <f t="shared" si="87"/>
        <v>272</v>
      </c>
      <c r="L630">
        <f t="shared" si="87"/>
        <v>304</v>
      </c>
      <c r="M630">
        <f t="shared" si="86"/>
        <v>319</v>
      </c>
      <c r="N630">
        <f t="shared" si="85"/>
        <v>331</v>
      </c>
      <c r="O630">
        <f t="shared" si="85"/>
        <v>357</v>
      </c>
      <c r="P630">
        <f t="shared" si="85"/>
        <v>375</v>
      </c>
      <c r="Q630">
        <f t="shared" si="85"/>
        <v>401</v>
      </c>
      <c r="S630" t="str">
        <f t="shared" si="79"/>
        <v>03.12.2025</v>
      </c>
      <c r="T630" t="str">
        <f t="shared" si="80"/>
        <v>08:00:00</v>
      </c>
      <c r="U630" t="str">
        <f t="shared" si="82"/>
        <v>03.12.2025 08:00:00</v>
      </c>
      <c r="V630" s="9" t="str">
        <f>MID($A630,C630+C$2+1,D630-C630-C$2-1)</f>
        <v>0</v>
      </c>
      <c r="W630" s="4">
        <f>VALUE(SUBSTITUTE(MID($A630,D630+D$2+1,E630-D630-D$2-1),",","."))</f>
        <v>0</v>
      </c>
      <c r="X630" s="4">
        <f>VALUE(SUBSTITUTE(MID($A630,E630+E$2+1,F630-E630-E$2-1),",","."))</f>
        <v>0.90957602214449496</v>
      </c>
      <c r="Y630" s="4">
        <f>VALUE(SUBSTITUTE(MID($A630,F630+F$2+1,G630-F630-F$2-1),",","."))</f>
        <v>2.5731928976057802E-2</v>
      </c>
      <c r="Z630" s="3">
        <f>VALUE(SUBSTITUTE(MID($A630,G630+G$2+1,H630-G630-G$2-1),",","."))</f>
        <v>0</v>
      </c>
      <c r="AA630" s="3">
        <f>VALUE(SUBSTITUTE(MID($A630,H630+H$2+1,I630-H630-H$2-1),",","."))</f>
        <v>0</v>
      </c>
      <c r="AB630" s="3">
        <f>VALUE(SUBSTITUTE(MID($A630,I630+I$2+1,J630-I630-I$2-1),",","."))</f>
        <v>0</v>
      </c>
      <c r="AC630" s="3">
        <f>VALUE(SUBSTITUTE(MID($A630,J630+J$2+1,K630-J630-J$2-1),",","."))</f>
        <v>-0.25</v>
      </c>
      <c r="AD630" s="3">
        <f>VALUE(SUBSTITUTE(MID($A630,K630+K$2+1,L630-K630-K$2-1),",","."))</f>
        <v>14.399999999999901</v>
      </c>
      <c r="AE630" s="3">
        <f>VALUE(SUBSTITUTE(MID($A630,L630+L$2+1,M630-L630-L$2-1),",","."))</f>
        <v>0</v>
      </c>
      <c r="AF630" s="3">
        <f>VALUE(SUBSTITUTE(MID($A630,M630+M$2+1,N630-M630-M$2-1),",","."))</f>
        <v>0</v>
      </c>
      <c r="AG630" s="3">
        <f>VALUE(SUBSTITUTE(MID($A630,N630+N$2+1,O630-N630-N$2-1),",","."))</f>
        <v>4.2213427145056004</v>
      </c>
      <c r="AH630" t="str">
        <f>MID($A630,O630+O$2+1,P630-O630-O$2-1)</f>
        <v/>
      </c>
      <c r="AI630" s="8" t="str">
        <f>MID($A630,P630+P$2+1,Q630-P630-P$2-1)</f>
        <v>False</v>
      </c>
      <c r="AK630" t="b">
        <f t="shared" si="83"/>
        <v>0</v>
      </c>
    </row>
    <row r="631" spans="1:37" x14ac:dyDescent="0.35">
      <c r="A631" t="s">
        <v>5178</v>
      </c>
      <c r="B631">
        <f t="shared" si="88"/>
        <v>10</v>
      </c>
      <c r="C631">
        <f t="shared" si="88"/>
        <v>43</v>
      </c>
      <c r="D631">
        <f t="shared" si="88"/>
        <v>54</v>
      </c>
      <c r="E631">
        <f t="shared" si="88"/>
        <v>97</v>
      </c>
      <c r="F631">
        <f t="shared" si="88"/>
        <v>141</v>
      </c>
      <c r="G631">
        <f t="shared" si="88"/>
        <v>180</v>
      </c>
      <c r="H631">
        <f t="shared" si="87"/>
        <v>212</v>
      </c>
      <c r="I631">
        <f t="shared" si="87"/>
        <v>234</v>
      </c>
      <c r="J631">
        <f t="shared" si="87"/>
        <v>267</v>
      </c>
      <c r="K631">
        <f t="shared" si="87"/>
        <v>288</v>
      </c>
      <c r="L631">
        <f t="shared" si="87"/>
        <v>320</v>
      </c>
      <c r="M631">
        <f t="shared" si="86"/>
        <v>335</v>
      </c>
      <c r="N631">
        <f t="shared" si="85"/>
        <v>347</v>
      </c>
      <c r="O631">
        <f t="shared" si="85"/>
        <v>372</v>
      </c>
      <c r="P631">
        <f t="shared" si="85"/>
        <v>390</v>
      </c>
      <c r="Q631">
        <f t="shared" si="85"/>
        <v>416</v>
      </c>
      <c r="S631" t="str">
        <f t="shared" si="79"/>
        <v>03.12.2025</v>
      </c>
      <c r="T631" t="str">
        <f t="shared" si="80"/>
        <v>08:15:00</v>
      </c>
      <c r="U631" t="str">
        <f t="shared" si="82"/>
        <v>03.12.2025 08:15:00</v>
      </c>
      <c r="V631" s="9" t="str">
        <f>MID($A631,C631+C$2+1,D631-C631-C$2-1)</f>
        <v>0</v>
      </c>
      <c r="W631" s="4">
        <f>VALUE(SUBSTITUTE(MID($A631,D631+D$2+1,E631-D631-D$2-1),",","."))</f>
        <v>0.54161008968148106</v>
      </c>
      <c r="X631" s="4">
        <f>VALUE(SUBSTITUTE(MID($A631,E631+E$2+1,F631-E631-E$2-1),",","."))</f>
        <v>0.90957602214449496</v>
      </c>
      <c r="Y631" s="4">
        <f>VALUE(SUBSTITUTE(MID($A631,F631+F$2+1,G631-F631-F$2-1),",","."))</f>
        <v>5.8970107498224698E-2</v>
      </c>
      <c r="Z631" s="3">
        <f>VALUE(SUBSTITUTE(MID($A631,G631+G$2+1,H631-G631-G$2-1),",","."))</f>
        <v>0</v>
      </c>
      <c r="AA631" s="3">
        <f>VALUE(SUBSTITUTE(MID($A631,H631+H$2+1,I631-H631-H$2-1),",","."))</f>
        <v>0</v>
      </c>
      <c r="AB631" s="3">
        <f>VALUE(SUBSTITUTE(MID($A631,I631+I$2+1,J631-I631-I$2-1),",","."))</f>
        <v>0</v>
      </c>
      <c r="AC631" s="3">
        <f>VALUE(SUBSTITUTE(MID($A631,J631+J$2+1,K631-J631-J$2-1),",","."))</f>
        <v>-0.25</v>
      </c>
      <c r="AD631" s="3">
        <f>VALUE(SUBSTITUTE(MID($A631,K631+K$2+1,L631-K631-K$2-1),",","."))</f>
        <v>14.399999999999901</v>
      </c>
      <c r="AE631" s="3">
        <f>VALUE(SUBSTITUTE(MID($A631,L631+L$2+1,M631-L631-L$2-1),",","."))</f>
        <v>0</v>
      </c>
      <c r="AF631" s="3">
        <f>VALUE(SUBSTITUTE(MID($A631,M631+M$2+1,N631-M631-M$2-1),",","."))</f>
        <v>0</v>
      </c>
      <c r="AG631" s="3">
        <f>VALUE(SUBSTITUTE(MID($A631,N631+N$2+1,O631-N631-N$2-1),",","."))</f>
        <v>4.22137123439368</v>
      </c>
      <c r="AH631" t="str">
        <f>MID($A631,O631+O$2+1,P631-O631-O$2-1)</f>
        <v/>
      </c>
      <c r="AI631" s="8" t="str">
        <f>MID($A631,P631+P$2+1,Q631-P631-P$2-1)</f>
        <v>False</v>
      </c>
      <c r="AK631" t="b">
        <f t="shared" si="83"/>
        <v>0</v>
      </c>
    </row>
    <row r="632" spans="1:37" x14ac:dyDescent="0.35">
      <c r="A632" t="s">
        <v>5179</v>
      </c>
      <c r="B632">
        <f t="shared" si="88"/>
        <v>10</v>
      </c>
      <c r="C632">
        <f t="shared" si="88"/>
        <v>43</v>
      </c>
      <c r="D632">
        <f t="shared" si="88"/>
        <v>54</v>
      </c>
      <c r="E632">
        <f t="shared" si="88"/>
        <v>97</v>
      </c>
      <c r="F632">
        <f t="shared" si="88"/>
        <v>141</v>
      </c>
      <c r="G632">
        <f t="shared" si="88"/>
        <v>180</v>
      </c>
      <c r="H632">
        <f t="shared" si="87"/>
        <v>229</v>
      </c>
      <c r="I632">
        <f t="shared" si="87"/>
        <v>251</v>
      </c>
      <c r="J632">
        <f t="shared" si="87"/>
        <v>285</v>
      </c>
      <c r="K632">
        <f t="shared" si="87"/>
        <v>304</v>
      </c>
      <c r="L632">
        <f t="shared" si="87"/>
        <v>336</v>
      </c>
      <c r="M632">
        <f t="shared" si="86"/>
        <v>351</v>
      </c>
      <c r="N632">
        <f t="shared" si="85"/>
        <v>363</v>
      </c>
      <c r="O632">
        <f t="shared" si="85"/>
        <v>387</v>
      </c>
      <c r="P632">
        <f t="shared" si="85"/>
        <v>405</v>
      </c>
      <c r="Q632">
        <f t="shared" si="85"/>
        <v>431</v>
      </c>
      <c r="S632" t="str">
        <f t="shared" ref="S632:S695" si="89">LEFT(U632,10)</f>
        <v>03.12.2025</v>
      </c>
      <c r="T632" t="str">
        <f t="shared" ref="T632:T695" si="90">MID(U632,12,8)</f>
        <v>08:30:00</v>
      </c>
      <c r="U632" t="str">
        <f t="shared" si="82"/>
        <v>03.12.2025 08:30:00</v>
      </c>
      <c r="V632" s="9" t="str">
        <f>MID($A632,C632+C$2+1,D632-C632-C$2-1)</f>
        <v>0</v>
      </c>
      <c r="W632" s="4">
        <f>VALUE(SUBSTITUTE(MID($A632,D632+D$2+1,E632-D632-D$2-1),",","."))</f>
        <v>0.58132953495643203</v>
      </c>
      <c r="X632" s="4">
        <f>VALUE(SUBSTITUTE(MID($A632,E632+E$2+1,F632-E632-E$2-1),",","."))</f>
        <v>0.90957602214449496</v>
      </c>
      <c r="Y632" s="4">
        <f>VALUE(SUBSTITUTE(MID($A632,F632+F$2+1,G632-F632-F$2-1),",","."))</f>
        <v>9.1966226227555695E-2</v>
      </c>
      <c r="Z632" s="3">
        <f>VALUE(SUBSTITUTE(MID($A632,G632+G$2+1,H632-G632-G$2-1),",","."))</f>
        <v>244.21666666666599</v>
      </c>
      <c r="AA632" s="3">
        <f>VALUE(SUBSTITUTE(MID($A632,H632+H$2+1,I632-H632-H$2-1),",","."))</f>
        <v>0</v>
      </c>
      <c r="AB632" s="3">
        <f>VALUE(SUBSTITUTE(MID($A632,I632+I$2+1,J632-I632-I$2-1),",","."))</f>
        <v>25</v>
      </c>
      <c r="AC632" s="3">
        <f>VALUE(SUBSTITUTE(MID($A632,J632+J$2+1,K632-J632-J$2-1),",","."))</f>
        <v>0.6</v>
      </c>
      <c r="AD632" s="3">
        <f>VALUE(SUBSTITUTE(MID($A632,K632+K$2+1,L632-K632-K$2-1),",","."))</f>
        <v>12.78</v>
      </c>
      <c r="AE632" s="3">
        <f>VALUE(SUBSTITUTE(MID($A632,L632+L$2+1,M632-L632-L$2-1),",","."))</f>
        <v>0</v>
      </c>
      <c r="AF632" s="3">
        <f>VALUE(SUBSTITUTE(MID($A632,M632+M$2+1,N632-M632-M$2-1),",","."))</f>
        <v>0</v>
      </c>
      <c r="AG632" s="3">
        <f>VALUE(SUBSTITUTE(MID($A632,N632+N$2+1,O632-N632-N$2-1),",","."))</f>
        <v>4.2213997542817703</v>
      </c>
      <c r="AH632" t="str">
        <f>MID($A632,O632+O$2+1,P632-O632-O$2-1)</f>
        <v/>
      </c>
      <c r="AI632" s="8" t="str">
        <f>MID($A632,P632+P$2+1,Q632-P632-P$2-1)</f>
        <v>False</v>
      </c>
      <c r="AK632" t="b">
        <f t="shared" si="83"/>
        <v>0</v>
      </c>
    </row>
    <row r="633" spans="1:37" x14ac:dyDescent="0.35">
      <c r="A633" t="s">
        <v>5180</v>
      </c>
      <c r="B633">
        <f t="shared" si="88"/>
        <v>10</v>
      </c>
      <c r="C633">
        <f t="shared" si="88"/>
        <v>43</v>
      </c>
      <c r="D633">
        <f t="shared" si="88"/>
        <v>54</v>
      </c>
      <c r="E633">
        <f t="shared" si="88"/>
        <v>97</v>
      </c>
      <c r="F633">
        <f t="shared" si="88"/>
        <v>141</v>
      </c>
      <c r="G633">
        <f t="shared" si="88"/>
        <v>179</v>
      </c>
      <c r="H633">
        <f t="shared" si="87"/>
        <v>228</v>
      </c>
      <c r="I633">
        <f t="shared" si="87"/>
        <v>250</v>
      </c>
      <c r="J633">
        <f t="shared" si="87"/>
        <v>284</v>
      </c>
      <c r="K633">
        <f t="shared" si="87"/>
        <v>303</v>
      </c>
      <c r="L633">
        <f t="shared" si="87"/>
        <v>335</v>
      </c>
      <c r="M633">
        <f t="shared" si="86"/>
        <v>350</v>
      </c>
      <c r="N633">
        <f t="shared" si="85"/>
        <v>362</v>
      </c>
      <c r="O633">
        <f t="shared" si="85"/>
        <v>387</v>
      </c>
      <c r="P633">
        <f t="shared" si="85"/>
        <v>405</v>
      </c>
      <c r="Q633">
        <f t="shared" si="85"/>
        <v>431</v>
      </c>
      <c r="S633" t="str">
        <f t="shared" si="89"/>
        <v>03.12.2025</v>
      </c>
      <c r="T633" t="str">
        <f t="shared" si="90"/>
        <v>08:45:00</v>
      </c>
      <c r="U633" t="str">
        <f t="shared" si="82"/>
        <v>03.12.2025 08:45:00</v>
      </c>
      <c r="V633" s="9" t="str">
        <f>MID($A633,C633+C$2+1,D633-C633-C$2-1)</f>
        <v>0</v>
      </c>
      <c r="W633" s="4">
        <f>VALUE(SUBSTITUTE(MID($A633,D633+D$2+1,E633-D633-D$2-1),",","."))</f>
        <v>0.61857922229589202</v>
      </c>
      <c r="X633" s="4">
        <f>VALUE(SUBSTITUTE(MID($A633,E633+E$2+1,F633-E633-E$2-1),",","."))</f>
        <v>0.90957602214449496</v>
      </c>
      <c r="Y633" s="4">
        <f>VALUE(SUBSTITUTE(MID($A633,F633+F$2+1,G633-F633-F$2-1),",","."))</f>
        <v>0.123869376005754</v>
      </c>
      <c r="Z633" s="3">
        <f>VALUE(SUBSTITUTE(MID($A633,G633+G$2+1,H633-G633-G$2-1),",","."))</f>
        <v>244.21666666666599</v>
      </c>
      <c r="AA633" s="3">
        <f>VALUE(SUBSTITUTE(MID($A633,H633+H$2+1,I633-H633-H$2-1),",","."))</f>
        <v>0</v>
      </c>
      <c r="AB633" s="3">
        <f>VALUE(SUBSTITUTE(MID($A633,I633+I$2+1,J633-I633-I$2-1),",","."))</f>
        <v>25</v>
      </c>
      <c r="AC633" s="3">
        <f>VALUE(SUBSTITUTE(MID($A633,J633+J$2+1,K633-J633-J$2-1),",","."))</f>
        <v>0.6</v>
      </c>
      <c r="AD633" s="3">
        <f>VALUE(SUBSTITUTE(MID($A633,K633+K$2+1,L633-K633-K$2-1),",","."))</f>
        <v>12.78</v>
      </c>
      <c r="AE633" s="3">
        <f>VALUE(SUBSTITUTE(MID($A633,L633+L$2+1,M633-L633-L$2-1),",","."))</f>
        <v>0</v>
      </c>
      <c r="AF633" s="3">
        <f>VALUE(SUBSTITUTE(MID($A633,M633+M$2+1,N633-M633-M$2-1),",","."))</f>
        <v>0</v>
      </c>
      <c r="AG633" s="3">
        <f>VALUE(SUBSTITUTE(MID($A633,N633+N$2+1,O633-N633-N$2-1),",","."))</f>
        <v>4.2214282741698499</v>
      </c>
      <c r="AH633" t="str">
        <f>MID($A633,O633+O$2+1,P633-O633-O$2-1)</f>
        <v/>
      </c>
      <c r="AI633" s="8" t="str">
        <f>MID($A633,P633+P$2+1,Q633-P633-P$2-1)</f>
        <v>False</v>
      </c>
      <c r="AK633" t="b">
        <f t="shared" si="83"/>
        <v>0</v>
      </c>
    </row>
    <row r="634" spans="1:37" x14ac:dyDescent="0.35">
      <c r="A634" t="s">
        <v>5181</v>
      </c>
      <c r="B634">
        <f t="shared" si="88"/>
        <v>10</v>
      </c>
      <c r="C634">
        <f t="shared" si="88"/>
        <v>43</v>
      </c>
      <c r="D634">
        <f t="shared" si="88"/>
        <v>54</v>
      </c>
      <c r="E634">
        <f t="shared" si="88"/>
        <v>97</v>
      </c>
      <c r="F634">
        <f t="shared" si="88"/>
        <v>141</v>
      </c>
      <c r="G634">
        <f t="shared" si="88"/>
        <v>180</v>
      </c>
      <c r="H634">
        <f t="shared" si="87"/>
        <v>229</v>
      </c>
      <c r="I634">
        <f t="shared" si="87"/>
        <v>251</v>
      </c>
      <c r="J634">
        <f t="shared" si="87"/>
        <v>285</v>
      </c>
      <c r="K634">
        <f t="shared" si="87"/>
        <v>304</v>
      </c>
      <c r="L634">
        <f t="shared" si="87"/>
        <v>336</v>
      </c>
      <c r="M634">
        <f t="shared" si="86"/>
        <v>351</v>
      </c>
      <c r="N634">
        <f t="shared" si="85"/>
        <v>363</v>
      </c>
      <c r="O634">
        <f t="shared" si="85"/>
        <v>388</v>
      </c>
      <c r="P634">
        <f t="shared" si="85"/>
        <v>406</v>
      </c>
      <c r="Q634">
        <f t="shared" si="85"/>
        <v>432</v>
      </c>
      <c r="S634" t="str">
        <f t="shared" si="89"/>
        <v>03.12.2025</v>
      </c>
      <c r="T634" t="str">
        <f t="shared" si="90"/>
        <v>09:00:00</v>
      </c>
      <c r="U634" t="str">
        <f t="shared" si="82"/>
        <v>03.12.2025 09:00:00</v>
      </c>
      <c r="V634" s="9" t="str">
        <f>MID($A634,C634+C$2+1,D634-C634-C$2-1)</f>
        <v>0</v>
      </c>
      <c r="W634" s="4">
        <f>VALUE(SUBSTITUTE(MID($A634,D634+D$2+1,E634-D634-D$2-1),",","."))</f>
        <v>0.65298948109463095</v>
      </c>
      <c r="X634" s="4">
        <f>VALUE(SUBSTITUTE(MID($A634,E634+E$2+1,F634-E634-E$2-1),",","."))</f>
        <v>0.90957602214449496</v>
      </c>
      <c r="Y634" s="4">
        <f>VALUE(SUBSTITUTE(MID($A634,F634+F$2+1,G634-F634-F$2-1),",","."))</f>
        <v>0.15429175604376499</v>
      </c>
      <c r="Z634" s="3">
        <f>VALUE(SUBSTITUTE(MID($A634,G634+G$2+1,H634-G634-G$2-1),",","."))</f>
        <v>244.21666666666599</v>
      </c>
      <c r="AA634" s="3">
        <f>VALUE(SUBSTITUTE(MID($A634,H634+H$2+1,I634-H634-H$2-1),",","."))</f>
        <v>0</v>
      </c>
      <c r="AB634" s="3">
        <f>VALUE(SUBSTITUTE(MID($A634,I634+I$2+1,J634-I634-I$2-1),",","."))</f>
        <v>25</v>
      </c>
      <c r="AC634" s="3">
        <f>VALUE(SUBSTITUTE(MID($A634,J634+J$2+1,K634-J634-J$2-1),",","."))</f>
        <v>0.6</v>
      </c>
      <c r="AD634" s="3">
        <f>VALUE(SUBSTITUTE(MID($A634,K634+K$2+1,L634-K634-K$2-1),",","."))</f>
        <v>12.78</v>
      </c>
      <c r="AE634" s="3">
        <f>VALUE(SUBSTITUTE(MID($A634,L634+L$2+1,M634-L634-L$2-1),",","."))</f>
        <v>0</v>
      </c>
      <c r="AF634" s="3">
        <f>VALUE(SUBSTITUTE(MID($A634,M634+M$2+1,N634-M634-M$2-1),",","."))</f>
        <v>0</v>
      </c>
      <c r="AG634" s="3">
        <f>VALUE(SUBSTITUTE(MID($A634,N634+N$2+1,O634-N634-N$2-1),",","."))</f>
        <v>4.2214567940579304</v>
      </c>
      <c r="AH634" t="str">
        <f>MID($A634,O634+O$2+1,P634-O634-O$2-1)</f>
        <v/>
      </c>
      <c r="AI634" s="8" t="str">
        <f>MID($A634,P634+P$2+1,Q634-P634-P$2-1)</f>
        <v>False</v>
      </c>
      <c r="AK634" t="b">
        <f t="shared" si="83"/>
        <v>0</v>
      </c>
    </row>
    <row r="635" spans="1:37" x14ac:dyDescent="0.35">
      <c r="A635" t="s">
        <v>5182</v>
      </c>
      <c r="B635">
        <f t="shared" si="88"/>
        <v>10</v>
      </c>
      <c r="C635">
        <f t="shared" si="88"/>
        <v>43</v>
      </c>
      <c r="D635">
        <f t="shared" si="88"/>
        <v>54</v>
      </c>
      <c r="E635">
        <f t="shared" si="88"/>
        <v>97</v>
      </c>
      <c r="F635">
        <f t="shared" si="88"/>
        <v>141</v>
      </c>
      <c r="G635">
        <f t="shared" si="88"/>
        <v>179</v>
      </c>
      <c r="H635">
        <f t="shared" si="87"/>
        <v>228</v>
      </c>
      <c r="I635">
        <f t="shared" si="87"/>
        <v>250</v>
      </c>
      <c r="J635">
        <f t="shared" si="87"/>
        <v>284</v>
      </c>
      <c r="K635">
        <f t="shared" si="87"/>
        <v>303</v>
      </c>
      <c r="L635">
        <f t="shared" si="87"/>
        <v>335</v>
      </c>
      <c r="M635">
        <f t="shared" si="86"/>
        <v>350</v>
      </c>
      <c r="N635">
        <f t="shared" si="85"/>
        <v>362</v>
      </c>
      <c r="O635">
        <f t="shared" si="85"/>
        <v>387</v>
      </c>
      <c r="P635">
        <f t="shared" si="85"/>
        <v>405</v>
      </c>
      <c r="Q635">
        <f t="shared" si="85"/>
        <v>431</v>
      </c>
      <c r="S635" t="str">
        <f t="shared" si="89"/>
        <v>03.12.2025</v>
      </c>
      <c r="T635" t="str">
        <f t="shared" si="90"/>
        <v>09:15:00</v>
      </c>
      <c r="U635" t="str">
        <f t="shared" si="82"/>
        <v>03.12.2025 09:15:00</v>
      </c>
      <c r="V635" s="9" t="str">
        <f>MID($A635,C635+C$2+1,D635-C635-C$2-1)</f>
        <v>0</v>
      </c>
      <c r="W635" s="4">
        <f>VALUE(SUBSTITUTE(MID($A635,D635+D$2+1,E635-D635-D$2-1),",","."))</f>
        <v>0.68432547892928897</v>
      </c>
      <c r="X635" s="4">
        <f>VALUE(SUBSTITUTE(MID($A635,E635+E$2+1,F635-E635-E$2-1),",","."))</f>
        <v>0.90957602214449496</v>
      </c>
      <c r="Y635" s="4">
        <f>VALUE(SUBSTITUTE(MID($A635,F635+F$2+1,G635-F635-F$2-1),",","."))</f>
        <v>0.182998202673259</v>
      </c>
      <c r="Z635" s="3">
        <f>VALUE(SUBSTITUTE(MID($A635,G635+G$2+1,H635-G635-G$2-1),",","."))</f>
        <v>244.21666666666599</v>
      </c>
      <c r="AA635" s="3">
        <f>VALUE(SUBSTITUTE(MID($A635,H635+H$2+1,I635-H635-H$2-1),",","."))</f>
        <v>0</v>
      </c>
      <c r="AB635" s="3">
        <f>VALUE(SUBSTITUTE(MID($A635,I635+I$2+1,J635-I635-I$2-1),",","."))</f>
        <v>25</v>
      </c>
      <c r="AC635" s="3">
        <f>VALUE(SUBSTITUTE(MID($A635,J635+J$2+1,K635-J635-J$2-1),",","."))</f>
        <v>0.6</v>
      </c>
      <c r="AD635" s="3">
        <f>VALUE(SUBSTITUTE(MID($A635,K635+K$2+1,L635-K635-K$2-1),",","."))</f>
        <v>12.78</v>
      </c>
      <c r="AE635" s="3">
        <f>VALUE(SUBSTITUTE(MID($A635,L635+L$2+1,M635-L635-L$2-1),",","."))</f>
        <v>0</v>
      </c>
      <c r="AF635" s="3">
        <f>VALUE(SUBSTITUTE(MID($A635,M635+M$2+1,N635-M635-M$2-1),",","."))</f>
        <v>0</v>
      </c>
      <c r="AG635" s="3">
        <f>VALUE(SUBSTITUTE(MID($A635,N635+N$2+1,O635-N635-N$2-1),",","."))</f>
        <v>4.22148531394601</v>
      </c>
      <c r="AH635" t="str">
        <f>MID($A635,O635+O$2+1,P635-O635-O$2-1)</f>
        <v/>
      </c>
      <c r="AI635" s="8" t="str">
        <f>MID($A635,P635+P$2+1,Q635-P635-P$2-1)</f>
        <v>False</v>
      </c>
      <c r="AK635" t="b">
        <f t="shared" si="83"/>
        <v>0</v>
      </c>
    </row>
    <row r="636" spans="1:37" x14ac:dyDescent="0.35">
      <c r="A636" t="s">
        <v>5183</v>
      </c>
      <c r="B636">
        <f t="shared" si="88"/>
        <v>10</v>
      </c>
      <c r="C636">
        <f t="shared" si="88"/>
        <v>43</v>
      </c>
      <c r="D636">
        <f t="shared" si="88"/>
        <v>54</v>
      </c>
      <c r="E636">
        <f t="shared" si="88"/>
        <v>97</v>
      </c>
      <c r="F636">
        <f t="shared" si="88"/>
        <v>141</v>
      </c>
      <c r="G636">
        <f t="shared" si="88"/>
        <v>180</v>
      </c>
      <c r="H636">
        <f t="shared" si="87"/>
        <v>229</v>
      </c>
      <c r="I636">
        <f t="shared" si="87"/>
        <v>251</v>
      </c>
      <c r="J636">
        <f t="shared" si="87"/>
        <v>287</v>
      </c>
      <c r="K636">
        <f t="shared" si="87"/>
        <v>321</v>
      </c>
      <c r="L636">
        <f t="shared" si="87"/>
        <v>340</v>
      </c>
      <c r="M636">
        <f t="shared" si="86"/>
        <v>355</v>
      </c>
      <c r="N636">
        <f t="shared" si="85"/>
        <v>367</v>
      </c>
      <c r="O636">
        <f t="shared" si="85"/>
        <v>392</v>
      </c>
      <c r="P636">
        <f t="shared" si="85"/>
        <v>410</v>
      </c>
      <c r="Q636">
        <f t="shared" si="85"/>
        <v>436</v>
      </c>
      <c r="S636" t="str">
        <f t="shared" si="89"/>
        <v>03.12.2025</v>
      </c>
      <c r="T636" t="str">
        <f t="shared" si="90"/>
        <v>09:30:00</v>
      </c>
      <c r="U636" t="str">
        <f t="shared" si="82"/>
        <v>03.12.2025 09:30:00</v>
      </c>
      <c r="V636" s="9" t="str">
        <f>MID($A636,C636+C$2+1,D636-C636-C$2-1)</f>
        <v>0</v>
      </c>
      <c r="W636" s="4">
        <f>VALUE(SUBSTITUTE(MID($A636,D636+D$2+1,E636-D636-D$2-1),",","."))</f>
        <v>0.71241108817948495</v>
      </c>
      <c r="X636" s="4">
        <f>VALUE(SUBSTITUTE(MID($A636,E636+E$2+1,F636-E636-E$2-1),",","."))</f>
        <v>0.90957602214449496</v>
      </c>
      <c r="Y636" s="4">
        <f>VALUE(SUBSTITUTE(MID($A636,F636+F$2+1,G636-F636-F$2-1),",","."))</f>
        <v>0.209815356944272</v>
      </c>
      <c r="Z636" s="3">
        <f>VALUE(SUBSTITUTE(MID($A636,G636+G$2+1,H636-G636-G$2-1),",","."))</f>
        <v>371.416666666666</v>
      </c>
      <c r="AA636" s="3">
        <f>VALUE(SUBSTITUTE(MID($A636,H636+H$2+1,I636-H636-H$2-1),",","."))</f>
        <v>0</v>
      </c>
      <c r="AB636" s="3">
        <f>VALUE(SUBSTITUTE(MID($A636,I636+I$2+1,J636-I636-I$2-1),",","."))</f>
        <v>70.5</v>
      </c>
      <c r="AC636" s="3">
        <f>VALUE(SUBSTITUTE(MID($A636,J636+J$2+1,K636-J636-J$2-1),",","."))</f>
        <v>1.5999999999999901</v>
      </c>
      <c r="AD636" s="3">
        <f>VALUE(SUBSTITUTE(MID($A636,K636+K$2+1,L636-K636-K$2-1),",","."))</f>
        <v>10.62</v>
      </c>
      <c r="AE636" s="3">
        <f>VALUE(SUBSTITUTE(MID($A636,L636+L$2+1,M636-L636-L$2-1),",","."))</f>
        <v>0</v>
      </c>
      <c r="AF636" s="3">
        <f>VALUE(SUBSTITUTE(MID($A636,M636+M$2+1,N636-M636-M$2-1),",","."))</f>
        <v>0</v>
      </c>
      <c r="AG636" s="3">
        <f>VALUE(SUBSTITUTE(MID($A636,N636+N$2+1,O636-N636-N$2-1),",","."))</f>
        <v>4.2215138338340896</v>
      </c>
      <c r="AH636" t="str">
        <f>MID($A636,O636+O$2+1,P636-O636-O$2-1)</f>
        <v/>
      </c>
      <c r="AI636" s="8" t="str">
        <f>MID($A636,P636+P$2+1,Q636-P636-P$2-1)</f>
        <v>False</v>
      </c>
      <c r="AK636" t="b">
        <f t="shared" si="83"/>
        <v>0</v>
      </c>
    </row>
    <row r="637" spans="1:37" x14ac:dyDescent="0.35">
      <c r="A637" t="s">
        <v>5184</v>
      </c>
      <c r="B637">
        <f t="shared" si="88"/>
        <v>10</v>
      </c>
      <c r="C637">
        <f t="shared" si="88"/>
        <v>43</v>
      </c>
      <c r="D637">
        <f t="shared" si="88"/>
        <v>54</v>
      </c>
      <c r="E637">
        <f t="shared" si="88"/>
        <v>97</v>
      </c>
      <c r="F637">
        <f t="shared" si="88"/>
        <v>141</v>
      </c>
      <c r="G637">
        <f t="shared" si="88"/>
        <v>180</v>
      </c>
      <c r="H637">
        <f t="shared" si="87"/>
        <v>229</v>
      </c>
      <c r="I637">
        <f t="shared" si="87"/>
        <v>251</v>
      </c>
      <c r="J637">
        <f t="shared" si="87"/>
        <v>287</v>
      </c>
      <c r="K637">
        <f t="shared" si="87"/>
        <v>321</v>
      </c>
      <c r="L637">
        <f t="shared" si="87"/>
        <v>340</v>
      </c>
      <c r="M637">
        <f t="shared" si="86"/>
        <v>355</v>
      </c>
      <c r="N637">
        <f t="shared" si="85"/>
        <v>367</v>
      </c>
      <c r="O637">
        <f t="shared" si="85"/>
        <v>392</v>
      </c>
      <c r="P637">
        <f t="shared" si="85"/>
        <v>410</v>
      </c>
      <c r="Q637">
        <f t="shared" si="85"/>
        <v>436</v>
      </c>
      <c r="S637" t="str">
        <f t="shared" si="89"/>
        <v>03.12.2025</v>
      </c>
      <c r="T637" t="str">
        <f t="shared" si="90"/>
        <v>09:45:00</v>
      </c>
      <c r="U637" t="str">
        <f t="shared" si="82"/>
        <v>03.12.2025 09:45:00</v>
      </c>
      <c r="V637" s="9" t="str">
        <f>MID($A637,C637+C$2+1,D637-C637-C$2-1)</f>
        <v>0</v>
      </c>
      <c r="W637" s="4">
        <f>VALUE(SUBSTITUTE(MID($A637,D637+D$2+1,E637-D637-D$2-1),",","."))</f>
        <v>0.73710367950017097</v>
      </c>
      <c r="X637" s="4">
        <f>VALUE(SUBSTITUTE(MID($A637,E637+E$2+1,F637-E637-E$2-1),",","."))</f>
        <v>0.90957602214449496</v>
      </c>
      <c r="Y637" s="4">
        <f>VALUE(SUBSTITUTE(MID($A637,F637+F$2+1,G637-F637-F$2-1),",","."))</f>
        <v>0.23460141014809999</v>
      </c>
      <c r="Z637" s="3">
        <f>VALUE(SUBSTITUTE(MID($A637,G637+G$2+1,H637-G637-G$2-1),",","."))</f>
        <v>371.416666666666</v>
      </c>
      <c r="AA637" s="3">
        <f>VALUE(SUBSTITUTE(MID($A637,H637+H$2+1,I637-H637-H$2-1),",","."))</f>
        <v>0</v>
      </c>
      <c r="AB637" s="3">
        <f>VALUE(SUBSTITUTE(MID($A637,I637+I$2+1,J637-I637-I$2-1),",","."))</f>
        <v>70.5</v>
      </c>
      <c r="AC637" s="3">
        <f>VALUE(SUBSTITUTE(MID($A637,J637+J$2+1,K637-J637-J$2-1),",","."))</f>
        <v>1.5999999999999901</v>
      </c>
      <c r="AD637" s="3">
        <f>VALUE(SUBSTITUTE(MID($A637,K637+K$2+1,L637-K637-K$2-1),",","."))</f>
        <v>10.62</v>
      </c>
      <c r="AE637" s="3">
        <f>VALUE(SUBSTITUTE(MID($A637,L637+L$2+1,M637-L637-L$2-1),",","."))</f>
        <v>0</v>
      </c>
      <c r="AF637" s="3">
        <f>VALUE(SUBSTITUTE(MID($A637,M637+M$2+1,N637-M637-M$2-1),",","."))</f>
        <v>0</v>
      </c>
      <c r="AG637" s="3">
        <f>VALUE(SUBSTITUTE(MID($A637,N637+N$2+1,O637-N637-N$2-1),",","."))</f>
        <v>4.2215423537221701</v>
      </c>
      <c r="AH637" t="str">
        <f>MID($A637,O637+O$2+1,P637-O637-O$2-1)</f>
        <v/>
      </c>
      <c r="AI637" s="8" t="str">
        <f>MID($A637,P637+P$2+1,Q637-P637-P$2-1)</f>
        <v>False</v>
      </c>
      <c r="AK637" t="b">
        <f t="shared" si="83"/>
        <v>0</v>
      </c>
    </row>
    <row r="638" spans="1:37" x14ac:dyDescent="0.35">
      <c r="A638" t="s">
        <v>5185</v>
      </c>
      <c r="B638">
        <f t="shared" si="88"/>
        <v>10</v>
      </c>
      <c r="C638">
        <f t="shared" si="88"/>
        <v>43</v>
      </c>
      <c r="D638">
        <f t="shared" si="88"/>
        <v>54</v>
      </c>
      <c r="E638">
        <f t="shared" si="88"/>
        <v>97</v>
      </c>
      <c r="F638">
        <f t="shared" si="88"/>
        <v>141</v>
      </c>
      <c r="G638">
        <f t="shared" si="88"/>
        <v>180</v>
      </c>
      <c r="H638">
        <f t="shared" si="87"/>
        <v>229</v>
      </c>
      <c r="I638">
        <f t="shared" si="87"/>
        <v>251</v>
      </c>
      <c r="J638">
        <f t="shared" si="87"/>
        <v>287</v>
      </c>
      <c r="K638">
        <f t="shared" si="87"/>
        <v>321</v>
      </c>
      <c r="L638">
        <f t="shared" si="87"/>
        <v>340</v>
      </c>
      <c r="M638">
        <f t="shared" si="86"/>
        <v>355</v>
      </c>
      <c r="N638">
        <f t="shared" si="85"/>
        <v>367</v>
      </c>
      <c r="O638">
        <f t="shared" si="85"/>
        <v>393</v>
      </c>
      <c r="P638">
        <f t="shared" si="85"/>
        <v>411</v>
      </c>
      <c r="Q638">
        <f t="shared" si="85"/>
        <v>437</v>
      </c>
      <c r="S638" t="str">
        <f t="shared" si="89"/>
        <v>03.12.2025</v>
      </c>
      <c r="T638" t="str">
        <f t="shared" si="90"/>
        <v>10:00:00</v>
      </c>
      <c r="U638" t="str">
        <f t="shared" si="82"/>
        <v>03.12.2025 10:00:00</v>
      </c>
      <c r="V638" s="9" t="str">
        <f>MID($A638,C638+C$2+1,D638-C638-C$2-1)</f>
        <v>0</v>
      </c>
      <c r="W638" s="4">
        <f>VALUE(SUBSTITUTE(MID($A638,D638+D$2+1,E638-D638-D$2-1),",","."))</f>
        <v>0.75828459943869497</v>
      </c>
      <c r="X638" s="4">
        <f>VALUE(SUBSTITUTE(MID($A638,E638+E$2+1,F638-E638-E$2-1),",","."))</f>
        <v>0.90957602214449496</v>
      </c>
      <c r="Y638" s="4">
        <f>VALUE(SUBSTITUTE(MID($A638,F638+F$2+1,G638-F638-F$2-1),",","."))</f>
        <v>0.25723458868839999</v>
      </c>
      <c r="Z638" s="3">
        <f>VALUE(SUBSTITUTE(MID($A638,G638+G$2+1,H638-G638-G$2-1),",","."))</f>
        <v>371.416666666666</v>
      </c>
      <c r="AA638" s="3">
        <f>VALUE(SUBSTITUTE(MID($A638,H638+H$2+1,I638-H638-H$2-1),",","."))</f>
        <v>0</v>
      </c>
      <c r="AB638" s="3">
        <f>VALUE(SUBSTITUTE(MID($A638,I638+I$2+1,J638-I638-I$2-1),",","."))</f>
        <v>70.5</v>
      </c>
      <c r="AC638" s="3">
        <f>VALUE(SUBSTITUTE(MID($A638,J638+J$2+1,K638-J638-J$2-1),",","."))</f>
        <v>1.5999999999999901</v>
      </c>
      <c r="AD638" s="3">
        <f>VALUE(SUBSTITUTE(MID($A638,K638+K$2+1,L638-K638-K$2-1),",","."))</f>
        <v>10.62</v>
      </c>
      <c r="AE638" s="3">
        <f>VALUE(SUBSTITUTE(MID($A638,L638+L$2+1,M638-L638-L$2-1),",","."))</f>
        <v>0</v>
      </c>
      <c r="AF638" s="3">
        <f>VALUE(SUBSTITUTE(MID($A638,M638+M$2+1,N638-M638-M$2-1),",","."))</f>
        <v>0</v>
      </c>
      <c r="AG638" s="3">
        <f>VALUE(SUBSTITUTE(MID($A638,N638+N$2+1,O638-N638-N$2-1),",","."))</f>
        <v>4.2215708736102497</v>
      </c>
      <c r="AH638" t="str">
        <f>MID($A638,O638+O$2+1,P638-O638-O$2-1)</f>
        <v/>
      </c>
      <c r="AI638" s="8" t="str">
        <f>MID($A638,P638+P$2+1,Q638-P638-P$2-1)</f>
        <v>False</v>
      </c>
      <c r="AK638" t="b">
        <f t="shared" si="83"/>
        <v>0</v>
      </c>
    </row>
    <row r="639" spans="1:37" x14ac:dyDescent="0.35">
      <c r="A639" t="s">
        <v>5186</v>
      </c>
      <c r="B639">
        <f t="shared" si="88"/>
        <v>10</v>
      </c>
      <c r="C639">
        <f t="shared" si="88"/>
        <v>43</v>
      </c>
      <c r="D639">
        <f t="shared" si="88"/>
        <v>54</v>
      </c>
      <c r="E639">
        <f t="shared" si="88"/>
        <v>97</v>
      </c>
      <c r="F639">
        <f t="shared" si="88"/>
        <v>141</v>
      </c>
      <c r="G639">
        <f t="shared" si="88"/>
        <v>180</v>
      </c>
      <c r="H639">
        <f t="shared" si="87"/>
        <v>229</v>
      </c>
      <c r="I639">
        <f t="shared" si="87"/>
        <v>251</v>
      </c>
      <c r="J639">
        <f t="shared" si="87"/>
        <v>287</v>
      </c>
      <c r="K639">
        <f t="shared" si="87"/>
        <v>321</v>
      </c>
      <c r="L639">
        <f t="shared" si="87"/>
        <v>340</v>
      </c>
      <c r="M639">
        <f t="shared" si="86"/>
        <v>355</v>
      </c>
      <c r="N639">
        <f t="shared" si="85"/>
        <v>367</v>
      </c>
      <c r="O639">
        <f t="shared" si="85"/>
        <v>392</v>
      </c>
      <c r="P639">
        <f t="shared" si="85"/>
        <v>410</v>
      </c>
      <c r="Q639">
        <f t="shared" si="85"/>
        <v>436</v>
      </c>
      <c r="S639" t="str">
        <f t="shared" si="89"/>
        <v>03.12.2025</v>
      </c>
      <c r="T639" t="str">
        <f t="shared" si="90"/>
        <v>10:15:00</v>
      </c>
      <c r="U639" t="str">
        <f t="shared" si="82"/>
        <v>03.12.2025 10:15:00</v>
      </c>
      <c r="V639" s="9" t="str">
        <f>MID($A639,C639+C$2+1,D639-C639-C$2-1)</f>
        <v>0</v>
      </c>
      <c r="W639" s="4">
        <f>VALUE(SUBSTITUTE(MID($A639,D639+D$2+1,E639-D639-D$2-1),",","."))</f>
        <v>0.77585522018584296</v>
      </c>
      <c r="X639" s="4">
        <f>VALUE(SUBSTITUTE(MID($A639,E639+E$2+1,F639-E639-E$2-1),",","."))</f>
        <v>0.90957602214449496</v>
      </c>
      <c r="Y639" s="4">
        <f>VALUE(SUBSTITUTE(MID($A639,F639+F$2+1,G639-F639-F$2-1),",","."))</f>
        <v>0.277608334133705</v>
      </c>
      <c r="Z639" s="3">
        <f>VALUE(SUBSTITUTE(MID($A639,G639+G$2+1,H639-G639-G$2-1),",","."))</f>
        <v>371.416666666666</v>
      </c>
      <c r="AA639" s="3">
        <f>VALUE(SUBSTITUTE(MID($A639,H639+H$2+1,I639-H639-H$2-1),",","."))</f>
        <v>0</v>
      </c>
      <c r="AB639" s="3">
        <f>VALUE(SUBSTITUTE(MID($A639,I639+I$2+1,J639-I639-I$2-1),",","."))</f>
        <v>70.5</v>
      </c>
      <c r="AC639" s="3">
        <f>VALUE(SUBSTITUTE(MID($A639,J639+J$2+1,K639-J639-J$2-1),",","."))</f>
        <v>1.5999999999999901</v>
      </c>
      <c r="AD639" s="3">
        <f>VALUE(SUBSTITUTE(MID($A639,K639+K$2+1,L639-K639-K$2-1),",","."))</f>
        <v>10.62</v>
      </c>
      <c r="AE639" s="3">
        <f>VALUE(SUBSTITUTE(MID($A639,L639+L$2+1,M639-L639-L$2-1),",","."))</f>
        <v>0</v>
      </c>
      <c r="AF639" s="3">
        <f>VALUE(SUBSTITUTE(MID($A639,M639+M$2+1,N639-M639-M$2-1),",","."))</f>
        <v>0</v>
      </c>
      <c r="AG639" s="3">
        <f>VALUE(SUBSTITUTE(MID($A639,N639+N$2+1,O639-N639-N$2-1),",","."))</f>
        <v>4.22159939349834</v>
      </c>
      <c r="AH639" t="str">
        <f>MID($A639,O639+O$2+1,P639-O639-O$2-1)</f>
        <v/>
      </c>
      <c r="AI639" s="8" t="str">
        <f>MID($A639,P639+P$2+1,Q639-P639-P$2-1)</f>
        <v>False</v>
      </c>
      <c r="AK639" t="b">
        <f t="shared" si="83"/>
        <v>0</v>
      </c>
    </row>
    <row r="640" spans="1:37" x14ac:dyDescent="0.35">
      <c r="A640" t="s">
        <v>5187</v>
      </c>
      <c r="B640">
        <f t="shared" si="88"/>
        <v>10</v>
      </c>
      <c r="C640">
        <f t="shared" si="88"/>
        <v>43</v>
      </c>
      <c r="D640">
        <f t="shared" si="88"/>
        <v>54</v>
      </c>
      <c r="E640">
        <f t="shared" si="88"/>
        <v>97</v>
      </c>
      <c r="F640">
        <f t="shared" si="88"/>
        <v>141</v>
      </c>
      <c r="G640">
        <f t="shared" si="88"/>
        <v>179</v>
      </c>
      <c r="H640">
        <f t="shared" si="87"/>
        <v>215</v>
      </c>
      <c r="I640">
        <f t="shared" si="87"/>
        <v>237</v>
      </c>
      <c r="J640">
        <f t="shared" si="87"/>
        <v>272</v>
      </c>
      <c r="K640">
        <f t="shared" si="87"/>
        <v>292</v>
      </c>
      <c r="L640">
        <f t="shared" si="87"/>
        <v>310</v>
      </c>
      <c r="M640">
        <f t="shared" si="86"/>
        <v>325</v>
      </c>
      <c r="N640">
        <f t="shared" si="85"/>
        <v>337</v>
      </c>
      <c r="O640">
        <f t="shared" si="85"/>
        <v>362</v>
      </c>
      <c r="P640">
        <f t="shared" si="85"/>
        <v>380</v>
      </c>
      <c r="Q640">
        <f t="shared" si="85"/>
        <v>406</v>
      </c>
      <c r="S640" t="str">
        <f t="shared" si="89"/>
        <v>03.12.2025</v>
      </c>
      <c r="T640" t="str">
        <f t="shared" si="90"/>
        <v>10:30:00</v>
      </c>
      <c r="U640" t="str">
        <f t="shared" si="82"/>
        <v>03.12.2025 10:30:00</v>
      </c>
      <c r="V640" s="9" t="str">
        <f>MID($A640,C640+C$2+1,D640-C640-C$2-1)</f>
        <v>0</v>
      </c>
      <c r="W640" s="4">
        <f>VALUE(SUBSTITUTE(MID($A640,D640+D$2+1,E640-D640-D$2-1),",","."))</f>
        <v>0.78973520519768503</v>
      </c>
      <c r="X640" s="4">
        <f>VALUE(SUBSTITUTE(MID($A640,E640+E$2+1,F640-E640-E$2-1),",","."))</f>
        <v>0.90957602214449496</v>
      </c>
      <c r="Y640" s="4">
        <f>VALUE(SUBSTITUTE(MID($A640,F640+F$2+1,G640-F640-F$2-1),",","."))</f>
        <v>0.29562917264715</v>
      </c>
      <c r="Z640" s="3">
        <f>VALUE(SUBSTITUTE(MID($A640,G640+G$2+1,H640-G640-G$2-1),",","."))</f>
        <v>372.6</v>
      </c>
      <c r="AA640" s="3">
        <f>VALUE(SUBSTITUTE(MID($A640,H640+H$2+1,I640-H640-H$2-1),",","."))</f>
        <v>0</v>
      </c>
      <c r="AB640" s="3">
        <f>VALUE(SUBSTITUTE(MID($A640,I640+I$2+1,J640-I640-I$2-1),",","."))</f>
        <v>104</v>
      </c>
      <c r="AC640" s="3">
        <f>VALUE(SUBSTITUTE(MID($A640,J640+J$2+1,K640-J640-J$2-1),",","."))</f>
        <v>2.5499999999999998</v>
      </c>
      <c r="AD640" s="3">
        <f>VALUE(SUBSTITUTE(MID($A640,K640+K$2+1,L640-K640-K$2-1),",","."))</f>
        <v>9.7200000000000006</v>
      </c>
      <c r="AE640" s="3">
        <f>VALUE(SUBSTITUTE(MID($A640,L640+L$2+1,M640-L640-L$2-1),",","."))</f>
        <v>0</v>
      </c>
      <c r="AF640" s="3">
        <f>VALUE(SUBSTITUTE(MID($A640,M640+M$2+1,N640-M640-M$2-1),",","."))</f>
        <v>0</v>
      </c>
      <c r="AG640" s="3">
        <f>VALUE(SUBSTITUTE(MID($A640,N640+N$2+1,O640-N640-N$2-1),",","."))</f>
        <v>4.2216279133864196</v>
      </c>
      <c r="AH640" t="str">
        <f>MID($A640,O640+O$2+1,P640-O640-O$2-1)</f>
        <v/>
      </c>
      <c r="AI640" s="8" t="str">
        <f>MID($A640,P640+P$2+1,Q640-P640-P$2-1)</f>
        <v>False</v>
      </c>
      <c r="AK640" t="b">
        <f t="shared" si="83"/>
        <v>0</v>
      </c>
    </row>
    <row r="641" spans="1:37" x14ac:dyDescent="0.35">
      <c r="A641" t="s">
        <v>5188</v>
      </c>
      <c r="B641">
        <f t="shared" si="88"/>
        <v>10</v>
      </c>
      <c r="C641">
        <f t="shared" si="88"/>
        <v>43</v>
      </c>
      <c r="D641">
        <f t="shared" si="88"/>
        <v>54</v>
      </c>
      <c r="E641">
        <f t="shared" si="88"/>
        <v>97</v>
      </c>
      <c r="F641">
        <f t="shared" si="88"/>
        <v>141</v>
      </c>
      <c r="G641">
        <f t="shared" si="88"/>
        <v>179</v>
      </c>
      <c r="H641">
        <f t="shared" si="87"/>
        <v>215</v>
      </c>
      <c r="I641">
        <f t="shared" si="87"/>
        <v>237</v>
      </c>
      <c r="J641">
        <f t="shared" si="87"/>
        <v>272</v>
      </c>
      <c r="K641">
        <f t="shared" si="87"/>
        <v>292</v>
      </c>
      <c r="L641">
        <f t="shared" si="87"/>
        <v>310</v>
      </c>
      <c r="M641">
        <f t="shared" si="86"/>
        <v>325</v>
      </c>
      <c r="N641">
        <f t="shared" si="85"/>
        <v>337</v>
      </c>
      <c r="O641">
        <f t="shared" si="85"/>
        <v>362</v>
      </c>
      <c r="P641">
        <f t="shared" si="85"/>
        <v>380</v>
      </c>
      <c r="Q641">
        <f t="shared" si="85"/>
        <v>406</v>
      </c>
      <c r="S641" t="str">
        <f t="shared" si="89"/>
        <v>03.12.2025</v>
      </c>
      <c r="T641" t="str">
        <f t="shared" si="90"/>
        <v>10:45:00</v>
      </c>
      <c r="U641" t="str">
        <f t="shared" si="82"/>
        <v>03.12.2025 10:45:00</v>
      </c>
      <c r="V641" s="9" t="str">
        <f>MID($A641,C641+C$2+1,D641-C641-C$2-1)</f>
        <v>0</v>
      </c>
      <c r="W641" s="4">
        <f>VALUE(SUBSTITUTE(MID($A641,D641+D$2+1,E641-D641-D$2-1),",","."))</f>
        <v>0.79986172810621603</v>
      </c>
      <c r="X641" s="4">
        <f>VALUE(SUBSTITUTE(MID($A641,E641+E$2+1,F641-E641-E$2-1),",","."))</f>
        <v>0.90957602214449496</v>
      </c>
      <c r="Y641" s="4">
        <f>VALUE(SUBSTITUTE(MID($A641,F641+F$2+1,G641-F641-F$2-1),",","."))</f>
        <v>0.31121576447725602</v>
      </c>
      <c r="Z641" s="3">
        <f>VALUE(SUBSTITUTE(MID($A641,G641+G$2+1,H641-G641-G$2-1),",","."))</f>
        <v>372.6</v>
      </c>
      <c r="AA641" s="3">
        <f>VALUE(SUBSTITUTE(MID($A641,H641+H$2+1,I641-H641-H$2-1),",","."))</f>
        <v>0</v>
      </c>
      <c r="AB641" s="3">
        <f>VALUE(SUBSTITUTE(MID($A641,I641+I$2+1,J641-I641-I$2-1),",","."))</f>
        <v>104</v>
      </c>
      <c r="AC641" s="3">
        <f>VALUE(SUBSTITUTE(MID($A641,J641+J$2+1,K641-J641-J$2-1),",","."))</f>
        <v>2.5499999999999998</v>
      </c>
      <c r="AD641" s="3">
        <f>VALUE(SUBSTITUTE(MID($A641,K641+K$2+1,L641-K641-K$2-1),",","."))</f>
        <v>9.7200000000000006</v>
      </c>
      <c r="AE641" s="3">
        <f>VALUE(SUBSTITUTE(MID($A641,L641+L$2+1,M641-L641-L$2-1),",","."))</f>
        <v>0</v>
      </c>
      <c r="AF641" s="3">
        <f>VALUE(SUBSTITUTE(MID($A641,M641+M$2+1,N641-M641-M$2-1),",","."))</f>
        <v>0</v>
      </c>
      <c r="AG641" s="3">
        <f>VALUE(SUBSTITUTE(MID($A641,N641+N$2+1,O641-N641-N$2-1),",","."))</f>
        <v>4.2216564332745001</v>
      </c>
      <c r="AH641" t="str">
        <f>MID($A641,O641+O$2+1,P641-O641-O$2-1)</f>
        <v/>
      </c>
      <c r="AI641" s="8" t="str">
        <f>MID($A641,P641+P$2+1,Q641-P641-P$2-1)</f>
        <v>False</v>
      </c>
      <c r="AK641" t="b">
        <f t="shared" si="83"/>
        <v>0</v>
      </c>
    </row>
    <row r="642" spans="1:37" x14ac:dyDescent="0.35">
      <c r="A642" t="s">
        <v>5189</v>
      </c>
      <c r="B642">
        <f t="shared" si="88"/>
        <v>10</v>
      </c>
      <c r="C642">
        <f t="shared" si="88"/>
        <v>43</v>
      </c>
      <c r="D642">
        <f t="shared" si="88"/>
        <v>54</v>
      </c>
      <c r="E642">
        <f t="shared" si="88"/>
        <v>97</v>
      </c>
      <c r="F642">
        <f t="shared" si="88"/>
        <v>141</v>
      </c>
      <c r="G642">
        <f t="shared" si="88"/>
        <v>179</v>
      </c>
      <c r="H642">
        <f t="shared" si="87"/>
        <v>215</v>
      </c>
      <c r="I642">
        <f t="shared" si="87"/>
        <v>237</v>
      </c>
      <c r="J642">
        <f t="shared" si="87"/>
        <v>272</v>
      </c>
      <c r="K642">
        <f t="shared" si="87"/>
        <v>292</v>
      </c>
      <c r="L642">
        <f t="shared" si="87"/>
        <v>310</v>
      </c>
      <c r="M642">
        <f t="shared" si="86"/>
        <v>325</v>
      </c>
      <c r="N642">
        <f t="shared" si="85"/>
        <v>337</v>
      </c>
      <c r="O642">
        <f t="shared" si="85"/>
        <v>362</v>
      </c>
      <c r="P642">
        <f t="shared" si="85"/>
        <v>380</v>
      </c>
      <c r="Q642">
        <f t="shared" si="85"/>
        <v>406</v>
      </c>
      <c r="S642" t="str">
        <f t="shared" si="89"/>
        <v>03.12.2025</v>
      </c>
      <c r="T642" t="str">
        <f t="shared" si="90"/>
        <v>11:00:00</v>
      </c>
      <c r="U642" t="str">
        <f t="shared" si="82"/>
        <v>03.12.2025 11:00:00</v>
      </c>
      <c r="V642" s="9" t="str">
        <f>MID($A642,C642+C$2+1,D642-C642-C$2-1)</f>
        <v>0</v>
      </c>
      <c r="W642" s="4">
        <f>VALUE(SUBSTITUTE(MID($A642,D642+D$2+1,E642-D642-D$2-1),",","."))</f>
        <v>0.80618911827329998</v>
      </c>
      <c r="X642" s="4">
        <f>VALUE(SUBSTITUTE(MID($A642,E642+E$2+1,F642-E642-E$2-1),",","."))</f>
        <v>0.90957602214449496</v>
      </c>
      <c r="Y642" s="4">
        <f>VALUE(SUBSTITUTE(MID($A642,F642+F$2+1,G642-F642-F$2-1),",","."))</f>
        <v>0.32429850318678699</v>
      </c>
      <c r="Z642" s="3">
        <f>VALUE(SUBSTITUTE(MID($A642,G642+G$2+1,H642-G642-G$2-1),",","."))</f>
        <v>372.6</v>
      </c>
      <c r="AA642" s="3">
        <f>VALUE(SUBSTITUTE(MID($A642,H642+H$2+1,I642-H642-H$2-1),",","."))</f>
        <v>0</v>
      </c>
      <c r="AB642" s="3">
        <f>VALUE(SUBSTITUTE(MID($A642,I642+I$2+1,J642-I642-I$2-1),",","."))</f>
        <v>104</v>
      </c>
      <c r="AC642" s="3">
        <f>VALUE(SUBSTITUTE(MID($A642,J642+J$2+1,K642-J642-J$2-1),",","."))</f>
        <v>2.5499999999999998</v>
      </c>
      <c r="AD642" s="3">
        <f>VALUE(SUBSTITUTE(MID($A642,K642+K$2+1,L642-K642-K$2-1),",","."))</f>
        <v>9.7200000000000006</v>
      </c>
      <c r="AE642" s="3">
        <f>VALUE(SUBSTITUTE(MID($A642,L642+L$2+1,M642-L642-L$2-1),",","."))</f>
        <v>0</v>
      </c>
      <c r="AF642" s="3">
        <f>VALUE(SUBSTITUTE(MID($A642,M642+M$2+1,N642-M642-M$2-1),",","."))</f>
        <v>0</v>
      </c>
      <c r="AG642" s="3">
        <f>VALUE(SUBSTITUTE(MID($A642,N642+N$2+1,O642-N642-N$2-1),",","."))</f>
        <v>4.2216849531625797</v>
      </c>
      <c r="AH642" t="str">
        <f>MID($A642,O642+O$2+1,P642-O642-O$2-1)</f>
        <v/>
      </c>
      <c r="AI642" s="8" t="str">
        <f>MID($A642,P642+P$2+1,Q642-P642-P$2-1)</f>
        <v>False</v>
      </c>
      <c r="AK642" t="b">
        <f t="shared" si="83"/>
        <v>0</v>
      </c>
    </row>
    <row r="643" spans="1:37" x14ac:dyDescent="0.35">
      <c r="A643" t="s">
        <v>5190</v>
      </c>
      <c r="B643">
        <f t="shared" si="88"/>
        <v>10</v>
      </c>
      <c r="C643">
        <f t="shared" si="88"/>
        <v>43</v>
      </c>
      <c r="D643">
        <f t="shared" si="88"/>
        <v>54</v>
      </c>
      <c r="E643">
        <f t="shared" si="88"/>
        <v>97</v>
      </c>
      <c r="F643">
        <f t="shared" si="88"/>
        <v>141</v>
      </c>
      <c r="G643">
        <f t="shared" si="88"/>
        <v>179</v>
      </c>
      <c r="H643">
        <f t="shared" si="87"/>
        <v>215</v>
      </c>
      <c r="I643">
        <f t="shared" si="87"/>
        <v>237</v>
      </c>
      <c r="J643">
        <f t="shared" si="87"/>
        <v>272</v>
      </c>
      <c r="K643">
        <f t="shared" si="87"/>
        <v>292</v>
      </c>
      <c r="L643">
        <f t="shared" si="87"/>
        <v>310</v>
      </c>
      <c r="M643">
        <f t="shared" si="86"/>
        <v>325</v>
      </c>
      <c r="N643">
        <f t="shared" si="85"/>
        <v>337</v>
      </c>
      <c r="O643">
        <f t="shared" si="85"/>
        <v>362</v>
      </c>
      <c r="P643">
        <f t="shared" si="85"/>
        <v>380</v>
      </c>
      <c r="Q643">
        <f t="shared" si="85"/>
        <v>406</v>
      </c>
      <c r="S643" t="str">
        <f t="shared" si="89"/>
        <v>03.12.2025</v>
      </c>
      <c r="T643" t="str">
        <f t="shared" si="90"/>
        <v>11:15:00</v>
      </c>
      <c r="U643" t="str">
        <f t="shared" si="82"/>
        <v>03.12.2025 11:15:00</v>
      </c>
      <c r="V643" s="9" t="str">
        <f>MID($A643,C643+C$2+1,D643-C643-C$2-1)</f>
        <v>0</v>
      </c>
      <c r="W643" s="4">
        <f>VALUE(SUBSTITUTE(MID($A643,D643+D$2+1,E643-D643-D$2-1),",","."))</f>
        <v>0.80868869385574405</v>
      </c>
      <c r="X643" s="4">
        <f>VALUE(SUBSTITUTE(MID($A643,E643+E$2+1,F643-E643-E$2-1),",","."))</f>
        <v>0.90957602214449496</v>
      </c>
      <c r="Y643" s="4">
        <f>VALUE(SUBSTITUTE(MID($A643,F643+F$2+1,G643-F643-F$2-1),",","."))</f>
        <v>0.33481937794417799</v>
      </c>
      <c r="Z643" s="3">
        <f>VALUE(SUBSTITUTE(MID($A643,G643+G$2+1,H643-G643-G$2-1),",","."))</f>
        <v>372.6</v>
      </c>
      <c r="AA643" s="3">
        <f>VALUE(SUBSTITUTE(MID($A643,H643+H$2+1,I643-H643-H$2-1),",","."))</f>
        <v>0</v>
      </c>
      <c r="AB643" s="3">
        <f>VALUE(SUBSTITUTE(MID($A643,I643+I$2+1,J643-I643-I$2-1),",","."))</f>
        <v>104</v>
      </c>
      <c r="AC643" s="3">
        <f>VALUE(SUBSTITUTE(MID($A643,J643+J$2+1,K643-J643-J$2-1),",","."))</f>
        <v>2.5499999999999998</v>
      </c>
      <c r="AD643" s="3">
        <f>VALUE(SUBSTITUTE(MID($A643,K643+K$2+1,L643-K643-K$2-1),",","."))</f>
        <v>9.7200000000000006</v>
      </c>
      <c r="AE643" s="3">
        <f>VALUE(SUBSTITUTE(MID($A643,L643+L$2+1,M643-L643-L$2-1),",","."))</f>
        <v>0</v>
      </c>
      <c r="AF643" s="3">
        <f>VALUE(SUBSTITUTE(MID($A643,M643+M$2+1,N643-M643-M$2-1),",","."))</f>
        <v>0</v>
      </c>
      <c r="AG643" s="3">
        <f>VALUE(SUBSTITUTE(MID($A643,N643+N$2+1,O643-N643-N$2-1),",","."))</f>
        <v>4.2217134730506602</v>
      </c>
      <c r="AH643" t="str">
        <f>MID($A643,O643+O$2+1,P643-O643-O$2-1)</f>
        <v/>
      </c>
      <c r="AI643" s="8" t="str">
        <f>MID($A643,P643+P$2+1,Q643-P643-P$2-1)</f>
        <v>False</v>
      </c>
      <c r="AK643" t="b">
        <f t="shared" si="83"/>
        <v>0</v>
      </c>
    </row>
    <row r="644" spans="1:37" x14ac:dyDescent="0.35">
      <c r="A644" t="s">
        <v>5191</v>
      </c>
      <c r="B644">
        <f t="shared" si="88"/>
        <v>10</v>
      </c>
      <c r="C644">
        <f t="shared" si="88"/>
        <v>43</v>
      </c>
      <c r="D644">
        <f t="shared" si="88"/>
        <v>54</v>
      </c>
      <c r="E644">
        <f t="shared" si="88"/>
        <v>97</v>
      </c>
      <c r="F644">
        <f t="shared" si="88"/>
        <v>141</v>
      </c>
      <c r="G644">
        <f t="shared" si="88"/>
        <v>180</v>
      </c>
      <c r="H644">
        <f t="shared" si="87"/>
        <v>228</v>
      </c>
      <c r="I644">
        <f t="shared" si="87"/>
        <v>250</v>
      </c>
      <c r="J644">
        <f t="shared" si="87"/>
        <v>285</v>
      </c>
      <c r="K644">
        <f t="shared" si="87"/>
        <v>304</v>
      </c>
      <c r="L644">
        <f t="shared" si="87"/>
        <v>336</v>
      </c>
      <c r="M644">
        <f t="shared" si="86"/>
        <v>351</v>
      </c>
      <c r="N644">
        <f t="shared" si="85"/>
        <v>363</v>
      </c>
      <c r="O644">
        <f t="shared" si="85"/>
        <v>388</v>
      </c>
      <c r="P644">
        <f t="shared" si="85"/>
        <v>406</v>
      </c>
      <c r="Q644">
        <f t="shared" si="85"/>
        <v>432</v>
      </c>
      <c r="S644" t="str">
        <f t="shared" si="89"/>
        <v>03.12.2025</v>
      </c>
      <c r="T644" t="str">
        <f t="shared" si="90"/>
        <v>11:30:00</v>
      </c>
      <c r="U644" t="str">
        <f t="shared" ref="U644:U707" si="91">MID($A644,B644+B$2+1,C644-B644-B$2-1)</f>
        <v>03.12.2025 11:30:00</v>
      </c>
      <c r="V644" s="9" t="str">
        <f>MID($A644,C644+C$2+1,D644-C644-C$2-1)</f>
        <v>0</v>
      </c>
      <c r="W644" s="4">
        <f>VALUE(SUBSTITUTE(MID($A644,D644+D$2+1,E644-D644-D$2-1),",","."))</f>
        <v>0.80734866640134395</v>
      </c>
      <c r="X644" s="4">
        <f>VALUE(SUBSTITUTE(MID($A644,E644+E$2+1,F644-E644-E$2-1),",","."))</f>
        <v>0.90957602214449496</v>
      </c>
      <c r="Y644" s="4">
        <f>VALUE(SUBSTITUTE(MID($A644,F644+F$2+1,G644-F644-F$2-1),",","."))</f>
        <v>0.34273195948430701</v>
      </c>
      <c r="Z644" s="3">
        <f>VALUE(SUBSTITUTE(MID($A644,G644+G$2+1,H644-G644-G$2-1),",","."))</f>
        <v>369.53333333333302</v>
      </c>
      <c r="AA644" s="3">
        <f>VALUE(SUBSTITUTE(MID($A644,H644+H$2+1,I644-H644-H$2-1),",","."))</f>
        <v>0</v>
      </c>
      <c r="AB644" s="3">
        <f>VALUE(SUBSTITUTE(MID($A644,I644+I$2+1,J644-I644-I$2-1),",","."))</f>
        <v>124</v>
      </c>
      <c r="AC644" s="3">
        <f>VALUE(SUBSTITUTE(MID($A644,J644+J$2+1,K644-J644-J$2-1),",","."))</f>
        <v>3.3</v>
      </c>
      <c r="AD644" s="3">
        <f>VALUE(SUBSTITUTE(MID($A644,K644+K$2+1,L644-K644-K$2-1),",","."))</f>
        <v>10.62</v>
      </c>
      <c r="AE644" s="3">
        <f>VALUE(SUBSTITUTE(MID($A644,L644+L$2+1,M644-L644-L$2-1),",","."))</f>
        <v>0</v>
      </c>
      <c r="AF644" s="3">
        <f>VALUE(SUBSTITUTE(MID($A644,M644+M$2+1,N644-M644-M$2-1),",","."))</f>
        <v>0</v>
      </c>
      <c r="AG644" s="3">
        <f>VALUE(SUBSTITUTE(MID($A644,N644+N$2+1,O644-N644-N$2-1),",","."))</f>
        <v>4.2217419929387399</v>
      </c>
      <c r="AH644" t="str">
        <f>MID($A644,O644+O$2+1,P644-O644-O$2-1)</f>
        <v/>
      </c>
      <c r="AI644" s="8" t="str">
        <f>MID($A644,P644+P$2+1,Q644-P644-P$2-1)</f>
        <v>False</v>
      </c>
      <c r="AK644" t="b">
        <f t="shared" ref="AK644:AK707" si="92">AB644&gt;Z644</f>
        <v>0</v>
      </c>
    </row>
    <row r="645" spans="1:37" x14ac:dyDescent="0.35">
      <c r="A645" t="s">
        <v>5192</v>
      </c>
      <c r="B645">
        <f t="shared" si="88"/>
        <v>10</v>
      </c>
      <c r="C645">
        <f t="shared" si="88"/>
        <v>43</v>
      </c>
      <c r="D645">
        <f t="shared" si="88"/>
        <v>54</v>
      </c>
      <c r="E645">
        <f t="shared" si="88"/>
        <v>96</v>
      </c>
      <c r="F645">
        <f t="shared" si="88"/>
        <v>140</v>
      </c>
      <c r="G645">
        <f t="shared" si="88"/>
        <v>179</v>
      </c>
      <c r="H645">
        <f t="shared" si="87"/>
        <v>227</v>
      </c>
      <c r="I645">
        <f t="shared" si="87"/>
        <v>249</v>
      </c>
      <c r="J645">
        <f t="shared" si="87"/>
        <v>284</v>
      </c>
      <c r="K645">
        <f t="shared" si="87"/>
        <v>303</v>
      </c>
      <c r="L645">
        <f t="shared" si="87"/>
        <v>335</v>
      </c>
      <c r="M645">
        <f t="shared" si="86"/>
        <v>350</v>
      </c>
      <c r="N645">
        <f t="shared" si="85"/>
        <v>362</v>
      </c>
      <c r="O645">
        <f t="shared" si="85"/>
        <v>387</v>
      </c>
      <c r="P645">
        <f t="shared" si="85"/>
        <v>405</v>
      </c>
      <c r="Q645">
        <f t="shared" si="85"/>
        <v>431</v>
      </c>
      <c r="S645" t="str">
        <f t="shared" si="89"/>
        <v>03.12.2025</v>
      </c>
      <c r="T645" t="str">
        <f t="shared" si="90"/>
        <v>11:45:00</v>
      </c>
      <c r="U645" t="str">
        <f t="shared" si="91"/>
        <v>03.12.2025 11:45:00</v>
      </c>
      <c r="V645" s="9" t="str">
        <f>MID($A645,C645+C$2+1,D645-C645-C$2-1)</f>
        <v>0</v>
      </c>
      <c r="W645" s="4">
        <f>VALUE(SUBSTITUTE(MID($A645,D645+D$2+1,E645-D645-D$2-1),",","."))</f>
        <v>0.80217405735748404</v>
      </c>
      <c r="X645" s="4">
        <f>VALUE(SUBSTITUTE(MID($A645,E645+E$2+1,F645-E645-E$2-1),",","."))</f>
        <v>0.90957602214449496</v>
      </c>
      <c r="Y645" s="4">
        <f>VALUE(SUBSTITUTE(MID($A645,F645+F$2+1,G645-F645-F$2-1),",","."))</f>
        <v>0.34800143783318699</v>
      </c>
      <c r="Z645" s="3">
        <f>VALUE(SUBSTITUTE(MID($A645,G645+G$2+1,H645-G645-G$2-1),",","."))</f>
        <v>369.53333333333302</v>
      </c>
      <c r="AA645" s="3">
        <f>VALUE(SUBSTITUTE(MID($A645,H645+H$2+1,I645-H645-H$2-1),",","."))</f>
        <v>0</v>
      </c>
      <c r="AB645" s="3">
        <f>VALUE(SUBSTITUTE(MID($A645,I645+I$2+1,J645-I645-I$2-1),",","."))</f>
        <v>124</v>
      </c>
      <c r="AC645" s="3">
        <f>VALUE(SUBSTITUTE(MID($A645,J645+J$2+1,K645-J645-J$2-1),",","."))</f>
        <v>3.3</v>
      </c>
      <c r="AD645" s="3">
        <f>VALUE(SUBSTITUTE(MID($A645,K645+K$2+1,L645-K645-K$2-1),",","."))</f>
        <v>10.62</v>
      </c>
      <c r="AE645" s="3">
        <f>VALUE(SUBSTITUTE(MID($A645,L645+L$2+1,M645-L645-L$2-1),",","."))</f>
        <v>0</v>
      </c>
      <c r="AF645" s="3">
        <f>VALUE(SUBSTITUTE(MID($A645,M645+M$2+1,N645-M645-M$2-1),",","."))</f>
        <v>0</v>
      </c>
      <c r="AG645" s="3">
        <f>VALUE(SUBSTITUTE(MID($A645,N645+N$2+1,O645-N645-N$2-1),",","."))</f>
        <v>4.2217705128268301</v>
      </c>
      <c r="AH645" t="str">
        <f>MID($A645,O645+O$2+1,P645-O645-O$2-1)</f>
        <v/>
      </c>
      <c r="AI645" s="8" t="str">
        <f>MID($A645,P645+P$2+1,Q645-P645-P$2-1)</f>
        <v>False</v>
      </c>
      <c r="AK645" t="b">
        <f t="shared" si="92"/>
        <v>0</v>
      </c>
    </row>
    <row r="646" spans="1:37" x14ac:dyDescent="0.35">
      <c r="A646" t="s">
        <v>5193</v>
      </c>
      <c r="B646">
        <f t="shared" si="88"/>
        <v>10</v>
      </c>
      <c r="C646">
        <f t="shared" si="88"/>
        <v>43</v>
      </c>
      <c r="D646">
        <f t="shared" si="88"/>
        <v>54</v>
      </c>
      <c r="E646">
        <f t="shared" si="88"/>
        <v>96</v>
      </c>
      <c r="F646">
        <f t="shared" si="88"/>
        <v>140</v>
      </c>
      <c r="G646">
        <f t="shared" si="88"/>
        <v>179</v>
      </c>
      <c r="H646">
        <f t="shared" si="87"/>
        <v>227</v>
      </c>
      <c r="I646">
        <f t="shared" si="87"/>
        <v>249</v>
      </c>
      <c r="J646">
        <f t="shared" si="87"/>
        <v>284</v>
      </c>
      <c r="K646">
        <f t="shared" si="87"/>
        <v>303</v>
      </c>
      <c r="L646">
        <f t="shared" si="87"/>
        <v>335</v>
      </c>
      <c r="M646">
        <f t="shared" si="86"/>
        <v>350</v>
      </c>
      <c r="N646">
        <f t="shared" si="85"/>
        <v>362</v>
      </c>
      <c r="O646">
        <f t="shared" si="85"/>
        <v>387</v>
      </c>
      <c r="P646">
        <f t="shared" si="85"/>
        <v>405</v>
      </c>
      <c r="Q646">
        <f t="shared" si="85"/>
        <v>431</v>
      </c>
      <c r="S646" t="str">
        <f t="shared" si="89"/>
        <v>03.12.2025</v>
      </c>
      <c r="T646" t="str">
        <f t="shared" si="90"/>
        <v>12:00:00</v>
      </c>
      <c r="U646" t="str">
        <f t="shared" si="91"/>
        <v>03.12.2025 12:00:00</v>
      </c>
      <c r="V646" s="9" t="str">
        <f>MID($A646,C646+C$2+1,D646-C646-C$2-1)</f>
        <v>0</v>
      </c>
      <c r="W646" s="4">
        <f>VALUE(SUBSTITUTE(MID($A646,D646+D$2+1,E646-D646-D$2-1),",","."))</f>
        <v>0.79318659475767805</v>
      </c>
      <c r="X646" s="4">
        <f>VALUE(SUBSTITUTE(MID($A646,E646+E$2+1,F646-E646-E$2-1),",","."))</f>
        <v>0.90957602214449496</v>
      </c>
      <c r="Y646" s="4">
        <f>VALUE(SUBSTITUTE(MID($A646,F646+F$2+1,G646-F646-F$2-1),",","."))</f>
        <v>0.350604673003238</v>
      </c>
      <c r="Z646" s="3">
        <f>VALUE(SUBSTITUTE(MID($A646,G646+G$2+1,H646-G646-G$2-1),",","."))</f>
        <v>369.53333333333302</v>
      </c>
      <c r="AA646" s="3">
        <f>VALUE(SUBSTITUTE(MID($A646,H646+H$2+1,I646-H646-H$2-1),",","."))</f>
        <v>0</v>
      </c>
      <c r="AB646" s="3">
        <f>VALUE(SUBSTITUTE(MID($A646,I646+I$2+1,J646-I646-I$2-1),",","."))</f>
        <v>124</v>
      </c>
      <c r="AC646" s="3">
        <f>VALUE(SUBSTITUTE(MID($A646,J646+J$2+1,K646-J646-J$2-1),",","."))</f>
        <v>3.3</v>
      </c>
      <c r="AD646" s="3">
        <f>VALUE(SUBSTITUTE(MID($A646,K646+K$2+1,L646-K646-K$2-1),",","."))</f>
        <v>10.62</v>
      </c>
      <c r="AE646" s="3">
        <f>VALUE(SUBSTITUTE(MID($A646,L646+L$2+1,M646-L646-L$2-1),",","."))</f>
        <v>0</v>
      </c>
      <c r="AF646" s="3">
        <f>VALUE(SUBSTITUTE(MID($A646,M646+M$2+1,N646-M646-M$2-1),",","."))</f>
        <v>0</v>
      </c>
      <c r="AG646" s="3">
        <f>VALUE(SUBSTITUTE(MID($A646,N646+N$2+1,O646-N646-N$2-1),",","."))</f>
        <v>4.2217990327149097</v>
      </c>
      <c r="AH646" t="str">
        <f>MID($A646,O646+O$2+1,P646-O646-O$2-1)</f>
        <v/>
      </c>
      <c r="AI646" s="8" t="str">
        <f>MID($A646,P646+P$2+1,Q646-P646-P$2-1)</f>
        <v>False</v>
      </c>
      <c r="AK646" t="b">
        <f t="shared" si="92"/>
        <v>0</v>
      </c>
    </row>
    <row r="647" spans="1:37" x14ac:dyDescent="0.35">
      <c r="A647" t="s">
        <v>5194</v>
      </c>
      <c r="B647">
        <f t="shared" si="88"/>
        <v>10</v>
      </c>
      <c r="C647">
        <f t="shared" si="88"/>
        <v>43</v>
      </c>
      <c r="D647">
        <f t="shared" si="88"/>
        <v>54</v>
      </c>
      <c r="E647">
        <f t="shared" si="88"/>
        <v>97</v>
      </c>
      <c r="F647">
        <f t="shared" si="88"/>
        <v>141</v>
      </c>
      <c r="G647">
        <f t="shared" si="88"/>
        <v>180</v>
      </c>
      <c r="H647">
        <f t="shared" si="87"/>
        <v>228</v>
      </c>
      <c r="I647">
        <f t="shared" si="87"/>
        <v>250</v>
      </c>
      <c r="J647">
        <f t="shared" si="87"/>
        <v>285</v>
      </c>
      <c r="K647">
        <f t="shared" si="87"/>
        <v>304</v>
      </c>
      <c r="L647">
        <f t="shared" si="87"/>
        <v>336</v>
      </c>
      <c r="M647">
        <f t="shared" si="86"/>
        <v>351</v>
      </c>
      <c r="N647">
        <f t="shared" si="85"/>
        <v>363</v>
      </c>
      <c r="O647">
        <f t="shared" si="85"/>
        <v>388</v>
      </c>
      <c r="P647">
        <f t="shared" si="85"/>
        <v>406</v>
      </c>
      <c r="Q647">
        <f t="shared" si="85"/>
        <v>432</v>
      </c>
      <c r="S647" t="str">
        <f t="shared" si="89"/>
        <v>03.12.2025</v>
      </c>
      <c r="T647" t="str">
        <f t="shared" si="90"/>
        <v>12:15:00</v>
      </c>
      <c r="U647" t="str">
        <f t="shared" si="91"/>
        <v>03.12.2025 12:15:00</v>
      </c>
      <c r="V647" s="9" t="str">
        <f>MID($A647,C647+C$2+1,D647-C647-C$2-1)</f>
        <v>0</v>
      </c>
      <c r="W647" s="4">
        <f>VALUE(SUBSTITUTE(MID($A647,D647+D$2+1,E647-D647-D$2-1),",","."))</f>
        <v>0.78042457316353597</v>
      </c>
      <c r="X647" s="4">
        <f>VALUE(SUBSTITUTE(MID($A647,E647+E$2+1,F647-E647-E$2-1),",","."))</f>
        <v>0.90957602214449496</v>
      </c>
      <c r="Y647" s="4">
        <f>VALUE(SUBSTITUTE(MID($A647,F647+F$2+1,G647-F647-F$2-1),",","."))</f>
        <v>0.35053023760341401</v>
      </c>
      <c r="Z647" s="3">
        <f>VALUE(SUBSTITUTE(MID($A647,G647+G$2+1,H647-G647-G$2-1),",","."))</f>
        <v>369.53333333333302</v>
      </c>
      <c r="AA647" s="3">
        <f>VALUE(SUBSTITUTE(MID($A647,H647+H$2+1,I647-H647-H$2-1),",","."))</f>
        <v>0</v>
      </c>
      <c r="AB647" s="3">
        <f>VALUE(SUBSTITUTE(MID($A647,I647+I$2+1,J647-I647-I$2-1),",","."))</f>
        <v>124</v>
      </c>
      <c r="AC647" s="3">
        <f>VALUE(SUBSTITUTE(MID($A647,J647+J$2+1,K647-J647-J$2-1),",","."))</f>
        <v>3.3</v>
      </c>
      <c r="AD647" s="3">
        <f>VALUE(SUBSTITUTE(MID($A647,K647+K$2+1,L647-K647-K$2-1),",","."))</f>
        <v>10.62</v>
      </c>
      <c r="AE647" s="3">
        <f>VALUE(SUBSTITUTE(MID($A647,L647+L$2+1,M647-L647-L$2-1),",","."))</f>
        <v>0</v>
      </c>
      <c r="AF647" s="3">
        <f>VALUE(SUBSTITUTE(MID($A647,M647+M$2+1,N647-M647-M$2-1),",","."))</f>
        <v>0</v>
      </c>
      <c r="AG647" s="3">
        <f>VALUE(SUBSTITUTE(MID($A647,N647+N$2+1,O647-N647-N$2-1),",","."))</f>
        <v>4.2218275526029903</v>
      </c>
      <c r="AH647" t="str">
        <f>MID($A647,O647+O$2+1,P647-O647-O$2-1)</f>
        <v/>
      </c>
      <c r="AI647" s="8" t="str">
        <f>MID($A647,P647+P$2+1,Q647-P647-P$2-1)</f>
        <v>False</v>
      </c>
      <c r="AK647" t="b">
        <f t="shared" si="92"/>
        <v>0</v>
      </c>
    </row>
    <row r="648" spans="1:37" x14ac:dyDescent="0.35">
      <c r="A648" t="s">
        <v>5195</v>
      </c>
      <c r="B648">
        <f t="shared" si="88"/>
        <v>10</v>
      </c>
      <c r="C648">
        <f t="shared" si="88"/>
        <v>43</v>
      </c>
      <c r="D648">
        <f t="shared" si="88"/>
        <v>54</v>
      </c>
      <c r="E648">
        <f t="shared" si="88"/>
        <v>97</v>
      </c>
      <c r="F648">
        <f t="shared" si="88"/>
        <v>141</v>
      </c>
      <c r="G648">
        <f t="shared" si="88"/>
        <v>179</v>
      </c>
      <c r="H648">
        <f t="shared" si="87"/>
        <v>227</v>
      </c>
      <c r="I648">
        <f t="shared" si="87"/>
        <v>249</v>
      </c>
      <c r="J648">
        <f t="shared" si="87"/>
        <v>284</v>
      </c>
      <c r="K648">
        <f t="shared" si="87"/>
        <v>303</v>
      </c>
      <c r="L648">
        <f t="shared" si="87"/>
        <v>321</v>
      </c>
      <c r="M648">
        <f t="shared" si="86"/>
        <v>336</v>
      </c>
      <c r="N648">
        <f t="shared" si="85"/>
        <v>348</v>
      </c>
      <c r="O648">
        <f t="shared" si="85"/>
        <v>373</v>
      </c>
      <c r="P648">
        <f t="shared" si="85"/>
        <v>391</v>
      </c>
      <c r="Q648">
        <f t="shared" si="85"/>
        <v>417</v>
      </c>
      <c r="S648" t="str">
        <f t="shared" si="89"/>
        <v>03.12.2025</v>
      </c>
      <c r="T648" t="str">
        <f t="shared" si="90"/>
        <v>12:30:00</v>
      </c>
      <c r="U648" t="str">
        <f t="shared" si="91"/>
        <v>03.12.2025 12:30:00</v>
      </c>
      <c r="V648" s="9" t="str">
        <f>MID($A648,C648+C$2+1,D648-C648-C$2-1)</f>
        <v>0</v>
      </c>
      <c r="W648" s="4">
        <f>VALUE(SUBSTITUTE(MID($A648,D648+D$2+1,E648-D648-D$2-1),",","."))</f>
        <v>0.76394266816327305</v>
      </c>
      <c r="X648" s="4">
        <f>VALUE(SUBSTITUTE(MID($A648,E648+E$2+1,F648-E648-E$2-1),",","."))</f>
        <v>0.90957602214449496</v>
      </c>
      <c r="Y648" s="4">
        <f>VALUE(SUBSTITUTE(MID($A648,F648+F$2+1,G648-F648-F$2-1),",","."))</f>
        <v>0.34777844013773102</v>
      </c>
      <c r="Z648" s="3">
        <f>VALUE(SUBSTITUTE(MID($A648,G648+G$2+1,H648-G648-G$2-1),",","."))</f>
        <v>361.56666666666598</v>
      </c>
      <c r="AA648" s="3">
        <f>VALUE(SUBSTITUTE(MID($A648,H648+H$2+1,I648-H648-H$2-1),",","."))</f>
        <v>0</v>
      </c>
      <c r="AB648" s="3">
        <f>VALUE(SUBSTITUTE(MID($A648,I648+I$2+1,J648-I648-I$2-1),",","."))</f>
        <v>128</v>
      </c>
      <c r="AC648" s="3">
        <f>VALUE(SUBSTITUTE(MID($A648,J648+J$2+1,K648-J648-J$2-1),",","."))</f>
        <v>3.7</v>
      </c>
      <c r="AD648" s="3">
        <f>VALUE(SUBSTITUTE(MID($A648,K648+K$2+1,L648-K648-K$2-1),",","."))</f>
        <v>11.7</v>
      </c>
      <c r="AE648" s="3">
        <f>VALUE(SUBSTITUTE(MID($A648,L648+L$2+1,M648-L648-L$2-1),",","."))</f>
        <v>0</v>
      </c>
      <c r="AF648" s="3">
        <f>VALUE(SUBSTITUTE(MID($A648,M648+M$2+1,N648-M648-M$2-1),",","."))</f>
        <v>0</v>
      </c>
      <c r="AG648" s="3">
        <f>VALUE(SUBSTITUTE(MID($A648,N648+N$2+1,O648-N648-N$2-1),",","."))</f>
        <v>4.2218560724910699</v>
      </c>
      <c r="AH648" t="str">
        <f>MID($A648,O648+O$2+1,P648-O648-O$2-1)</f>
        <v/>
      </c>
      <c r="AI648" s="8" t="str">
        <f>MID($A648,P648+P$2+1,Q648-P648-P$2-1)</f>
        <v>False</v>
      </c>
      <c r="AK648" t="b">
        <f t="shared" si="92"/>
        <v>0</v>
      </c>
    </row>
    <row r="649" spans="1:37" x14ac:dyDescent="0.35">
      <c r="A649" t="s">
        <v>5196</v>
      </c>
      <c r="B649">
        <f t="shared" si="88"/>
        <v>10</v>
      </c>
      <c r="C649">
        <f t="shared" si="88"/>
        <v>43</v>
      </c>
      <c r="D649">
        <f t="shared" si="88"/>
        <v>54</v>
      </c>
      <c r="E649">
        <f t="shared" si="88"/>
        <v>97</v>
      </c>
      <c r="F649">
        <f t="shared" si="88"/>
        <v>141</v>
      </c>
      <c r="G649">
        <f t="shared" si="88"/>
        <v>180</v>
      </c>
      <c r="H649">
        <f t="shared" si="87"/>
        <v>228</v>
      </c>
      <c r="I649">
        <f t="shared" si="87"/>
        <v>250</v>
      </c>
      <c r="J649">
        <f t="shared" si="87"/>
        <v>285</v>
      </c>
      <c r="K649">
        <f t="shared" si="87"/>
        <v>304</v>
      </c>
      <c r="L649">
        <f t="shared" si="87"/>
        <v>322</v>
      </c>
      <c r="M649">
        <f t="shared" si="86"/>
        <v>337</v>
      </c>
      <c r="N649">
        <f t="shared" si="85"/>
        <v>349</v>
      </c>
      <c r="O649">
        <f t="shared" si="85"/>
        <v>375</v>
      </c>
      <c r="P649">
        <f t="shared" si="85"/>
        <v>393</v>
      </c>
      <c r="Q649">
        <f t="shared" si="85"/>
        <v>419</v>
      </c>
      <c r="S649" t="str">
        <f t="shared" si="89"/>
        <v>03.12.2025</v>
      </c>
      <c r="T649" t="str">
        <f t="shared" si="90"/>
        <v>12:45:00</v>
      </c>
      <c r="U649" t="str">
        <f t="shared" si="91"/>
        <v>03.12.2025 12:45:00</v>
      </c>
      <c r="V649" s="9" t="str">
        <f>MID($A649,C649+C$2+1,D649-C649-C$2-1)</f>
        <v>0</v>
      </c>
      <c r="W649" s="4">
        <f>VALUE(SUBSTITUTE(MID($A649,D649+D$2+1,E649-D649-D$2-1),",","."))</f>
        <v>0.74381170238607797</v>
      </c>
      <c r="X649" s="4">
        <f>VALUE(SUBSTITUTE(MID($A649,E649+E$2+1,F649-E649-E$2-1),",","."))</f>
        <v>0.90957602214449496</v>
      </c>
      <c r="Y649" s="4">
        <f>VALUE(SUBSTITUTE(MID($A649,F649+F$2+1,G649-F649-F$2-1),",","."))</f>
        <v>0.34236132414272902</v>
      </c>
      <c r="Z649" s="3">
        <f>VALUE(SUBSTITUTE(MID($A649,G649+G$2+1,H649-G649-G$2-1),",","."))</f>
        <v>361.56666666666598</v>
      </c>
      <c r="AA649" s="3">
        <f>VALUE(SUBSTITUTE(MID($A649,H649+H$2+1,I649-H649-H$2-1),",","."))</f>
        <v>0</v>
      </c>
      <c r="AB649" s="3">
        <f>VALUE(SUBSTITUTE(MID($A649,I649+I$2+1,J649-I649-I$2-1),",","."))</f>
        <v>128</v>
      </c>
      <c r="AC649" s="3">
        <f>VALUE(SUBSTITUTE(MID($A649,J649+J$2+1,K649-J649-J$2-1),",","."))</f>
        <v>3.7</v>
      </c>
      <c r="AD649" s="3">
        <f>VALUE(SUBSTITUTE(MID($A649,K649+K$2+1,L649-K649-K$2-1),",","."))</f>
        <v>11.7</v>
      </c>
      <c r="AE649" s="3">
        <f>VALUE(SUBSTITUTE(MID($A649,L649+L$2+1,M649-L649-L$2-1),",","."))</f>
        <v>0</v>
      </c>
      <c r="AF649" s="3">
        <f>VALUE(SUBSTITUTE(MID($A649,M649+M$2+1,N649-M649-M$2-1),",","."))</f>
        <v>0</v>
      </c>
      <c r="AG649" s="3">
        <f>VALUE(SUBSTITUTE(MID($A649,N649+N$2+1,O649-N649-N$2-1),",","."))</f>
        <v>4.2218845923791504</v>
      </c>
      <c r="AH649" t="str">
        <f>MID($A649,O649+O$2+1,P649-O649-O$2-1)</f>
        <v/>
      </c>
      <c r="AI649" s="8" t="str">
        <f>MID($A649,P649+P$2+1,Q649-P649-P$2-1)</f>
        <v>False</v>
      </c>
      <c r="AK649" t="b">
        <f t="shared" si="92"/>
        <v>0</v>
      </c>
    </row>
    <row r="650" spans="1:37" x14ac:dyDescent="0.35">
      <c r="A650" t="s">
        <v>5197</v>
      </c>
      <c r="B650">
        <f t="shared" si="88"/>
        <v>10</v>
      </c>
      <c r="C650">
        <f t="shared" si="88"/>
        <v>43</v>
      </c>
      <c r="D650">
        <f t="shared" si="88"/>
        <v>54</v>
      </c>
      <c r="E650">
        <f t="shared" si="88"/>
        <v>97</v>
      </c>
      <c r="F650">
        <f t="shared" si="88"/>
        <v>141</v>
      </c>
      <c r="G650">
        <f t="shared" si="88"/>
        <v>179</v>
      </c>
      <c r="H650">
        <f t="shared" si="87"/>
        <v>227</v>
      </c>
      <c r="I650">
        <f t="shared" si="87"/>
        <v>249</v>
      </c>
      <c r="J650">
        <f t="shared" si="87"/>
        <v>284</v>
      </c>
      <c r="K650">
        <f t="shared" si="87"/>
        <v>303</v>
      </c>
      <c r="L650">
        <f t="shared" si="87"/>
        <v>321</v>
      </c>
      <c r="M650">
        <f t="shared" si="86"/>
        <v>336</v>
      </c>
      <c r="N650">
        <f t="shared" si="85"/>
        <v>348</v>
      </c>
      <c r="O650">
        <f t="shared" si="85"/>
        <v>373</v>
      </c>
      <c r="P650">
        <f t="shared" si="85"/>
        <v>391</v>
      </c>
      <c r="Q650">
        <f t="shared" si="85"/>
        <v>417</v>
      </c>
      <c r="S650" t="str">
        <f t="shared" si="89"/>
        <v>03.12.2025</v>
      </c>
      <c r="T650" t="str">
        <f t="shared" si="90"/>
        <v>13:00:00</v>
      </c>
      <c r="U650" t="str">
        <f t="shared" si="91"/>
        <v>03.12.2025 13:00:00</v>
      </c>
      <c r="V650" s="9" t="str">
        <f>MID($A650,C650+C$2+1,D650-C650-C$2-1)</f>
        <v>0</v>
      </c>
      <c r="W650" s="4">
        <f>VALUE(SUBSTITUTE(MID($A650,D650+D$2+1,E650-D650-D$2-1),",","."))</f>
        <v>0.720118364103422</v>
      </c>
      <c r="X650" s="4">
        <f>VALUE(SUBSTITUTE(MID($A650,E650+E$2+1,F650-E650-E$2-1),",","."))</f>
        <v>0.90957602214449496</v>
      </c>
      <c r="Y650" s="4">
        <f>VALUE(SUBSTITUTE(MID($A650,F650+F$2+1,G650-F650-F$2-1),",","."))</f>
        <v>0.33430264335735699</v>
      </c>
      <c r="Z650" s="3">
        <f>VALUE(SUBSTITUTE(MID($A650,G650+G$2+1,H650-G650-G$2-1),",","."))</f>
        <v>361.56666666666598</v>
      </c>
      <c r="AA650" s="3">
        <f>VALUE(SUBSTITUTE(MID($A650,H650+H$2+1,I650-H650-H$2-1),",","."))</f>
        <v>0</v>
      </c>
      <c r="AB650" s="3">
        <f>VALUE(SUBSTITUTE(MID($A650,I650+I$2+1,J650-I650-I$2-1),",","."))</f>
        <v>128</v>
      </c>
      <c r="AC650" s="3">
        <f>VALUE(SUBSTITUTE(MID($A650,J650+J$2+1,K650-J650-J$2-1),",","."))</f>
        <v>3.7</v>
      </c>
      <c r="AD650" s="3">
        <f>VALUE(SUBSTITUTE(MID($A650,K650+K$2+1,L650-K650-K$2-1),",","."))</f>
        <v>11.7</v>
      </c>
      <c r="AE650" s="3">
        <f>VALUE(SUBSTITUTE(MID($A650,L650+L$2+1,M650-L650-L$2-1),",","."))</f>
        <v>0</v>
      </c>
      <c r="AF650" s="3">
        <f>VALUE(SUBSTITUTE(MID($A650,M650+M$2+1,N650-M650-M$2-1),",","."))</f>
        <v>0</v>
      </c>
      <c r="AG650" s="3">
        <f>VALUE(SUBSTITUTE(MID($A650,N650+N$2+1,O650-N650-N$2-1),",","."))</f>
        <v>4.22191311226723</v>
      </c>
      <c r="AH650" t="str">
        <f>MID($A650,O650+O$2+1,P650-O650-O$2-1)</f>
        <v/>
      </c>
      <c r="AI650" s="8" t="str">
        <f>MID($A650,P650+P$2+1,Q650-P650-P$2-1)</f>
        <v>False</v>
      </c>
      <c r="AK650" t="b">
        <f t="shared" si="92"/>
        <v>0</v>
      </c>
    </row>
    <row r="651" spans="1:37" x14ac:dyDescent="0.35">
      <c r="A651" t="s">
        <v>5198</v>
      </c>
      <c r="B651">
        <f t="shared" si="88"/>
        <v>10</v>
      </c>
      <c r="C651">
        <f t="shared" si="88"/>
        <v>43</v>
      </c>
      <c r="D651">
        <f t="shared" si="88"/>
        <v>54</v>
      </c>
      <c r="E651">
        <f t="shared" si="88"/>
        <v>97</v>
      </c>
      <c r="F651">
        <f t="shared" si="88"/>
        <v>141</v>
      </c>
      <c r="G651">
        <f t="shared" si="88"/>
        <v>179</v>
      </c>
      <c r="H651">
        <f t="shared" si="87"/>
        <v>227</v>
      </c>
      <c r="I651">
        <f t="shared" si="87"/>
        <v>249</v>
      </c>
      <c r="J651">
        <f t="shared" si="87"/>
        <v>284</v>
      </c>
      <c r="K651">
        <f t="shared" si="87"/>
        <v>303</v>
      </c>
      <c r="L651">
        <f t="shared" si="87"/>
        <v>321</v>
      </c>
      <c r="M651">
        <f t="shared" si="86"/>
        <v>336</v>
      </c>
      <c r="N651">
        <f t="shared" si="85"/>
        <v>348</v>
      </c>
      <c r="O651">
        <f t="shared" si="85"/>
        <v>372</v>
      </c>
      <c r="P651">
        <f t="shared" si="85"/>
        <v>390</v>
      </c>
      <c r="Q651">
        <f t="shared" si="85"/>
        <v>416</v>
      </c>
      <c r="S651" t="str">
        <f t="shared" si="89"/>
        <v>03.12.2025</v>
      </c>
      <c r="T651" t="str">
        <f t="shared" si="90"/>
        <v>13:15:00</v>
      </c>
      <c r="U651" t="str">
        <f t="shared" si="91"/>
        <v>03.12.2025 13:15:00</v>
      </c>
      <c r="V651" s="9" t="str">
        <f>MID($A651,C651+C$2+1,D651-C651-C$2-1)</f>
        <v>0</v>
      </c>
      <c r="W651" s="4">
        <f>VALUE(SUBSTITUTE(MID($A651,D651+D$2+1,E651-D651-D$2-1),",","."))</f>
        <v>0.692964883541479</v>
      </c>
      <c r="X651" s="4">
        <f>VALUE(SUBSTITUTE(MID($A651,E651+E$2+1,F651-E651-E$2-1),",","."))</f>
        <v>0.90957602214449496</v>
      </c>
      <c r="Y651" s="4">
        <f>VALUE(SUBSTITUTE(MID($A651,F651+F$2+1,G651-F651-F$2-1),",","."))</f>
        <v>0.323637817974532</v>
      </c>
      <c r="Z651" s="3">
        <f>VALUE(SUBSTITUTE(MID($A651,G651+G$2+1,H651-G651-G$2-1),",","."))</f>
        <v>361.56666666666598</v>
      </c>
      <c r="AA651" s="3">
        <f>VALUE(SUBSTITUTE(MID($A651,H651+H$2+1,I651-H651-H$2-1),",","."))</f>
        <v>0</v>
      </c>
      <c r="AB651" s="3">
        <f>VALUE(SUBSTITUTE(MID($A651,I651+I$2+1,J651-I651-I$2-1),",","."))</f>
        <v>128</v>
      </c>
      <c r="AC651" s="3">
        <f>VALUE(SUBSTITUTE(MID($A651,J651+J$2+1,K651-J651-J$2-1),",","."))</f>
        <v>3.7</v>
      </c>
      <c r="AD651" s="3">
        <f>VALUE(SUBSTITUTE(MID($A651,K651+K$2+1,L651-K651-K$2-1),",","."))</f>
        <v>11.7</v>
      </c>
      <c r="AE651" s="3">
        <f>VALUE(SUBSTITUTE(MID($A651,L651+L$2+1,M651-L651-L$2-1),",","."))</f>
        <v>0</v>
      </c>
      <c r="AF651" s="3">
        <f>VALUE(SUBSTITUTE(MID($A651,M651+M$2+1,N651-M651-M$2-1),",","."))</f>
        <v>0</v>
      </c>
      <c r="AG651" s="3">
        <f>VALUE(SUBSTITUTE(MID($A651,N651+N$2+1,O651-N651-N$2-1),",","."))</f>
        <v>4.2219416321553203</v>
      </c>
      <c r="AH651" t="str">
        <f>MID($A651,O651+O$2+1,P651-O651-O$2-1)</f>
        <v/>
      </c>
      <c r="AI651" s="8" t="str">
        <f>MID($A651,P651+P$2+1,Q651-P651-P$2-1)</f>
        <v>False</v>
      </c>
      <c r="AK651" t="b">
        <f t="shared" si="92"/>
        <v>0</v>
      </c>
    </row>
    <row r="652" spans="1:37" x14ac:dyDescent="0.35">
      <c r="A652" t="s">
        <v>5199</v>
      </c>
      <c r="B652">
        <f t="shared" si="88"/>
        <v>10</v>
      </c>
      <c r="C652">
        <f t="shared" si="88"/>
        <v>43</v>
      </c>
      <c r="D652">
        <f t="shared" si="88"/>
        <v>54</v>
      </c>
      <c r="E652">
        <f t="shared" si="88"/>
        <v>97</v>
      </c>
      <c r="F652">
        <f t="shared" si="88"/>
        <v>141</v>
      </c>
      <c r="G652">
        <f t="shared" si="88"/>
        <v>180</v>
      </c>
      <c r="H652">
        <f t="shared" si="87"/>
        <v>229</v>
      </c>
      <c r="I652">
        <f t="shared" si="87"/>
        <v>251</v>
      </c>
      <c r="J652">
        <f t="shared" si="87"/>
        <v>286</v>
      </c>
      <c r="K652">
        <f t="shared" si="87"/>
        <v>306</v>
      </c>
      <c r="L652">
        <f t="shared" si="87"/>
        <v>324</v>
      </c>
      <c r="M652">
        <f t="shared" si="86"/>
        <v>339</v>
      </c>
      <c r="N652">
        <f t="shared" si="85"/>
        <v>351</v>
      </c>
      <c r="O652">
        <f t="shared" si="85"/>
        <v>376</v>
      </c>
      <c r="P652">
        <f t="shared" si="85"/>
        <v>394</v>
      </c>
      <c r="Q652">
        <f t="shared" si="85"/>
        <v>420</v>
      </c>
      <c r="S652" t="str">
        <f t="shared" si="89"/>
        <v>03.12.2025</v>
      </c>
      <c r="T652" t="str">
        <f t="shared" si="90"/>
        <v>13:30:00</v>
      </c>
      <c r="U652" t="str">
        <f t="shared" si="91"/>
        <v>03.12.2025 13:30:00</v>
      </c>
      <c r="V652" s="9" t="str">
        <f>MID($A652,C652+C$2+1,D652-C652-C$2-1)</f>
        <v>0</v>
      </c>
      <c r="W652" s="4">
        <f>VALUE(SUBSTITUTE(MID($A652,D652+D$2+1,E652-D652-D$2-1),",","."))</f>
        <v>0.66246867795445896</v>
      </c>
      <c r="X652" s="4">
        <f>VALUE(SUBSTITUTE(MID($A652,E652+E$2+1,F652-E652-E$2-1),",","."))</f>
        <v>0.90957602214449496</v>
      </c>
      <c r="Y652" s="4">
        <f>VALUE(SUBSTITUTE(MID($A652,F652+F$2+1,G652-F652-F$2-1),",","."))</f>
        <v>0.31041388368704098</v>
      </c>
      <c r="Z652" s="3">
        <f>VALUE(SUBSTITUTE(MID($A652,G652+G$2+1,H652-G652-G$2-1),",","."))</f>
        <v>345.24999999999898</v>
      </c>
      <c r="AA652" s="3">
        <f>VALUE(SUBSTITUTE(MID($A652,H652+H$2+1,I652-H652-H$2-1),",","."))</f>
        <v>0</v>
      </c>
      <c r="AB652" s="3">
        <f>VALUE(SUBSTITUTE(MID($A652,I652+I$2+1,J652-I652-I$2-1),",","."))</f>
        <v>117</v>
      </c>
      <c r="AC652" s="3">
        <f>VALUE(SUBSTITUTE(MID($A652,J652+J$2+1,K652-J652-J$2-1),",","."))</f>
        <v>3.75</v>
      </c>
      <c r="AD652" s="3">
        <f>VALUE(SUBSTITUTE(MID($A652,K652+K$2+1,L652-K652-K$2-1),",","."))</f>
        <v>12.6</v>
      </c>
      <c r="AE652" s="3">
        <f>VALUE(SUBSTITUTE(MID($A652,L652+L$2+1,M652-L652-L$2-1),",","."))</f>
        <v>0</v>
      </c>
      <c r="AF652" s="3">
        <f>VALUE(SUBSTITUTE(MID($A652,M652+M$2+1,N652-M652-M$2-1),",","."))</f>
        <v>0</v>
      </c>
      <c r="AG652" s="3">
        <f>VALUE(SUBSTITUTE(MID($A652,N652+N$2+1,O652-N652-N$2-1),",","."))</f>
        <v>4.2219701520433999</v>
      </c>
      <c r="AH652" t="str">
        <f>MID($A652,O652+O$2+1,P652-O652-O$2-1)</f>
        <v/>
      </c>
      <c r="AI652" s="8" t="str">
        <f>MID($A652,P652+P$2+1,Q652-P652-P$2-1)</f>
        <v>False</v>
      </c>
      <c r="AK652" t="b">
        <f t="shared" si="92"/>
        <v>0</v>
      </c>
    </row>
    <row r="653" spans="1:37" x14ac:dyDescent="0.35">
      <c r="A653" t="s">
        <v>5200</v>
      </c>
      <c r="B653">
        <f t="shared" si="88"/>
        <v>10</v>
      </c>
      <c r="C653">
        <f t="shared" si="88"/>
        <v>43</v>
      </c>
      <c r="D653">
        <f t="shared" si="88"/>
        <v>54</v>
      </c>
      <c r="E653">
        <f t="shared" si="88"/>
        <v>97</v>
      </c>
      <c r="F653">
        <f t="shared" si="88"/>
        <v>141</v>
      </c>
      <c r="G653">
        <f t="shared" si="88"/>
        <v>180</v>
      </c>
      <c r="H653">
        <f t="shared" si="87"/>
        <v>229</v>
      </c>
      <c r="I653">
        <f t="shared" si="87"/>
        <v>251</v>
      </c>
      <c r="J653">
        <f t="shared" si="87"/>
        <v>286</v>
      </c>
      <c r="K653">
        <f t="shared" si="87"/>
        <v>306</v>
      </c>
      <c r="L653">
        <f t="shared" si="87"/>
        <v>324</v>
      </c>
      <c r="M653">
        <f t="shared" si="86"/>
        <v>339</v>
      </c>
      <c r="N653">
        <f t="shared" si="85"/>
        <v>351</v>
      </c>
      <c r="O653">
        <f t="shared" si="85"/>
        <v>376</v>
      </c>
      <c r="P653">
        <f t="shared" si="85"/>
        <v>394</v>
      </c>
      <c r="Q653">
        <f t="shared" si="85"/>
        <v>420</v>
      </c>
      <c r="S653" t="str">
        <f t="shared" si="89"/>
        <v>03.12.2025</v>
      </c>
      <c r="T653" t="str">
        <f t="shared" si="90"/>
        <v>13:45:00</v>
      </c>
      <c r="U653" t="str">
        <f t="shared" si="91"/>
        <v>03.12.2025 13:45:00</v>
      </c>
      <c r="V653" s="9" t="str">
        <f>MID($A653,C653+C$2+1,D653-C653-C$2-1)</f>
        <v>0</v>
      </c>
      <c r="W653" s="4">
        <f>VALUE(SUBSTITUTE(MID($A653,D653+D$2+1,E653-D653-D$2-1),",","."))</f>
        <v>0.62876198473539602</v>
      </c>
      <c r="X653" s="4">
        <f>VALUE(SUBSTITUTE(MID($A653,E653+E$2+1,F653-E653-E$2-1),",","."))</f>
        <v>0.90957602214449496</v>
      </c>
      <c r="Y653" s="4">
        <f>VALUE(SUBSTITUTE(MID($A653,F653+F$2+1,G653-F653-F$2-1),",","."))</f>
        <v>0.294689455435036</v>
      </c>
      <c r="Z653" s="3">
        <f>VALUE(SUBSTITUTE(MID($A653,G653+G$2+1,H653-G653-G$2-1),",","."))</f>
        <v>345.24999999999898</v>
      </c>
      <c r="AA653" s="3">
        <f>VALUE(SUBSTITUTE(MID($A653,H653+H$2+1,I653-H653-H$2-1),",","."))</f>
        <v>0</v>
      </c>
      <c r="AB653" s="3">
        <f>VALUE(SUBSTITUTE(MID($A653,I653+I$2+1,J653-I653-I$2-1),",","."))</f>
        <v>117</v>
      </c>
      <c r="AC653" s="3">
        <f>VALUE(SUBSTITUTE(MID($A653,J653+J$2+1,K653-J653-J$2-1),",","."))</f>
        <v>3.75</v>
      </c>
      <c r="AD653" s="3">
        <f>VALUE(SUBSTITUTE(MID($A653,K653+K$2+1,L653-K653-K$2-1),",","."))</f>
        <v>12.6</v>
      </c>
      <c r="AE653" s="3">
        <f>VALUE(SUBSTITUTE(MID($A653,L653+L$2+1,M653-L653-L$2-1),",","."))</f>
        <v>0</v>
      </c>
      <c r="AF653" s="3">
        <f>VALUE(SUBSTITUTE(MID($A653,M653+M$2+1,N653-M653-M$2-1),",","."))</f>
        <v>0</v>
      </c>
      <c r="AG653" s="3">
        <f>VALUE(SUBSTITUTE(MID($A653,N653+N$2+1,O653-N653-N$2-1),",","."))</f>
        <v>4.2219986719314804</v>
      </c>
      <c r="AH653" t="str">
        <f>MID($A653,O653+O$2+1,P653-O653-O$2-1)</f>
        <v/>
      </c>
      <c r="AI653" s="8" t="str">
        <f>MID($A653,P653+P$2+1,Q653-P653-P$2-1)</f>
        <v>False</v>
      </c>
      <c r="AK653" t="b">
        <f t="shared" si="92"/>
        <v>0</v>
      </c>
    </row>
    <row r="654" spans="1:37" x14ac:dyDescent="0.35">
      <c r="A654" t="s">
        <v>5201</v>
      </c>
      <c r="B654">
        <f t="shared" si="88"/>
        <v>10</v>
      </c>
      <c r="C654">
        <f t="shared" si="88"/>
        <v>43</v>
      </c>
      <c r="D654">
        <f t="shared" si="88"/>
        <v>54</v>
      </c>
      <c r="E654">
        <f t="shared" si="88"/>
        <v>97</v>
      </c>
      <c r="F654">
        <f t="shared" si="88"/>
        <v>141</v>
      </c>
      <c r="G654">
        <f t="shared" si="88"/>
        <v>179</v>
      </c>
      <c r="H654">
        <f t="shared" si="87"/>
        <v>228</v>
      </c>
      <c r="I654">
        <f t="shared" si="87"/>
        <v>250</v>
      </c>
      <c r="J654">
        <f t="shared" si="87"/>
        <v>285</v>
      </c>
      <c r="K654">
        <f t="shared" si="87"/>
        <v>305</v>
      </c>
      <c r="L654">
        <f t="shared" si="87"/>
        <v>323</v>
      </c>
      <c r="M654">
        <f t="shared" si="86"/>
        <v>338</v>
      </c>
      <c r="N654">
        <f t="shared" si="85"/>
        <v>350</v>
      </c>
      <c r="O654">
        <f t="shared" si="85"/>
        <v>375</v>
      </c>
      <c r="P654">
        <f t="shared" si="85"/>
        <v>393</v>
      </c>
      <c r="Q654">
        <f t="shared" si="85"/>
        <v>419</v>
      </c>
      <c r="S654" t="str">
        <f t="shared" si="89"/>
        <v>03.12.2025</v>
      </c>
      <c r="T654" t="str">
        <f t="shared" si="90"/>
        <v>14:00:00</v>
      </c>
      <c r="U654" t="str">
        <f t="shared" si="91"/>
        <v>03.12.2025 14:00:00</v>
      </c>
      <c r="V654" s="9" t="str">
        <f>MID($A654,C654+C$2+1,D654-C654-C$2-1)</f>
        <v>0</v>
      </c>
      <c r="W654" s="4">
        <f>VALUE(SUBSTITUTE(MID($A654,D654+D$2+1,E654-D654-D$2-1),",","."))</f>
        <v>0.59199151667382799</v>
      </c>
      <c r="X654" s="4">
        <f>VALUE(SUBSTITUTE(MID($A654,E654+E$2+1,F654-E654-E$2-1),",","."))</f>
        <v>0.90957602214449496</v>
      </c>
      <c r="Y654" s="4">
        <f>VALUE(SUBSTITUTE(MID($A654,F654+F$2+1,G654-F654-F$2-1),",","."))</f>
        <v>0.27653474573888798</v>
      </c>
      <c r="Z654" s="3">
        <f>VALUE(SUBSTITUTE(MID($A654,G654+G$2+1,H654-G654-G$2-1),",","."))</f>
        <v>345.24999999999898</v>
      </c>
      <c r="AA654" s="3">
        <f>VALUE(SUBSTITUTE(MID($A654,H654+H$2+1,I654-H654-H$2-1),",","."))</f>
        <v>0</v>
      </c>
      <c r="AB654" s="3">
        <f>VALUE(SUBSTITUTE(MID($A654,I654+I$2+1,J654-I654-I$2-1),",","."))</f>
        <v>117</v>
      </c>
      <c r="AC654" s="3">
        <f>VALUE(SUBSTITUTE(MID($A654,J654+J$2+1,K654-J654-J$2-1),",","."))</f>
        <v>3.75</v>
      </c>
      <c r="AD654" s="3">
        <f>VALUE(SUBSTITUTE(MID($A654,K654+K$2+1,L654-K654-K$2-1),",","."))</f>
        <v>12.6</v>
      </c>
      <c r="AE654" s="3">
        <f>VALUE(SUBSTITUTE(MID($A654,L654+L$2+1,M654-L654-L$2-1),",","."))</f>
        <v>0</v>
      </c>
      <c r="AF654" s="3">
        <f>VALUE(SUBSTITUTE(MID($A654,M654+M$2+1,N654-M654-M$2-1),",","."))</f>
        <v>0</v>
      </c>
      <c r="AG654" s="3">
        <f>VALUE(SUBSTITUTE(MID($A654,N654+N$2+1,O654-N654-N$2-1),",","."))</f>
        <v>4.22202719181956</v>
      </c>
      <c r="AH654" t="str">
        <f>MID($A654,O654+O$2+1,P654-O654-O$2-1)</f>
        <v/>
      </c>
      <c r="AI654" s="8" t="str">
        <f>MID($A654,P654+P$2+1,Q654-P654-P$2-1)</f>
        <v>False</v>
      </c>
      <c r="AK654" t="b">
        <f t="shared" si="92"/>
        <v>0</v>
      </c>
    </row>
    <row r="655" spans="1:37" x14ac:dyDescent="0.35">
      <c r="A655" t="s">
        <v>5202</v>
      </c>
      <c r="B655">
        <f t="shared" si="88"/>
        <v>10</v>
      </c>
      <c r="C655">
        <f t="shared" si="88"/>
        <v>43</v>
      </c>
      <c r="D655">
        <f t="shared" si="88"/>
        <v>54</v>
      </c>
      <c r="E655">
        <f t="shared" si="88"/>
        <v>97</v>
      </c>
      <c r="F655">
        <f t="shared" si="88"/>
        <v>141</v>
      </c>
      <c r="G655">
        <f t="shared" si="88"/>
        <v>179</v>
      </c>
      <c r="H655">
        <f t="shared" si="87"/>
        <v>228</v>
      </c>
      <c r="I655">
        <f t="shared" si="87"/>
        <v>250</v>
      </c>
      <c r="J655">
        <f t="shared" si="87"/>
        <v>285</v>
      </c>
      <c r="K655">
        <f t="shared" si="87"/>
        <v>305</v>
      </c>
      <c r="L655">
        <f t="shared" si="87"/>
        <v>323</v>
      </c>
      <c r="M655">
        <f t="shared" si="86"/>
        <v>338</v>
      </c>
      <c r="N655">
        <f t="shared" si="85"/>
        <v>350</v>
      </c>
      <c r="O655">
        <f t="shared" si="85"/>
        <v>375</v>
      </c>
      <c r="P655">
        <f t="shared" si="85"/>
        <v>393</v>
      </c>
      <c r="Q655">
        <f t="shared" si="85"/>
        <v>419</v>
      </c>
      <c r="S655" t="str">
        <f t="shared" si="89"/>
        <v>03.12.2025</v>
      </c>
      <c r="T655" t="str">
        <f t="shared" si="90"/>
        <v>14:15:00</v>
      </c>
      <c r="U655" t="str">
        <f t="shared" si="91"/>
        <v>03.12.2025 14:15:00</v>
      </c>
      <c r="V655" s="9" t="str">
        <f>MID($A655,C655+C$2+1,D655-C655-C$2-1)</f>
        <v>0</v>
      </c>
      <c r="W655" s="4">
        <f>VALUE(SUBSTITUTE(MID($A655,D655+D$2+1,E655-D655-D$2-1),",","."))</f>
        <v>0.55231820264939302</v>
      </c>
      <c r="X655" s="4">
        <f>VALUE(SUBSTITUTE(MID($A655,E655+E$2+1,F655-E655-E$2-1),",","."))</f>
        <v>0.90957602214449496</v>
      </c>
      <c r="Y655" s="4">
        <f>VALUE(SUBSTITUTE(MID($A655,F655+F$2+1,G655-F655-F$2-1),",","."))</f>
        <v>0.25603171236154998</v>
      </c>
      <c r="Z655" s="3">
        <f>VALUE(SUBSTITUTE(MID($A655,G655+G$2+1,H655-G655-G$2-1),",","."))</f>
        <v>345.24999999999898</v>
      </c>
      <c r="AA655" s="3">
        <f>VALUE(SUBSTITUTE(MID($A655,H655+H$2+1,I655-H655-H$2-1),",","."))</f>
        <v>0</v>
      </c>
      <c r="AB655" s="3">
        <f>VALUE(SUBSTITUTE(MID($A655,I655+I$2+1,J655-I655-I$2-1),",","."))</f>
        <v>117</v>
      </c>
      <c r="AC655" s="3">
        <f>VALUE(SUBSTITUTE(MID($A655,J655+J$2+1,K655-J655-J$2-1),",","."))</f>
        <v>3.75</v>
      </c>
      <c r="AD655" s="3">
        <f>VALUE(SUBSTITUTE(MID($A655,K655+K$2+1,L655-K655-K$2-1),",","."))</f>
        <v>12.6</v>
      </c>
      <c r="AE655" s="3">
        <f>VALUE(SUBSTITUTE(MID($A655,L655+L$2+1,M655-L655-L$2-1),",","."))</f>
        <v>0</v>
      </c>
      <c r="AF655" s="3">
        <f>VALUE(SUBSTITUTE(MID($A655,M655+M$2+1,N655-M655-M$2-1),",","."))</f>
        <v>0</v>
      </c>
      <c r="AG655" s="3">
        <f>VALUE(SUBSTITUTE(MID($A655,N655+N$2+1,O655-N655-N$2-1),",","."))</f>
        <v>4.2220557117076396</v>
      </c>
      <c r="AH655" t="str">
        <f>MID($A655,O655+O$2+1,P655-O655-O$2-1)</f>
        <v/>
      </c>
      <c r="AI655" s="8" t="str">
        <f>MID($A655,P655+P$2+1,Q655-P655-P$2-1)</f>
        <v>False</v>
      </c>
      <c r="AK655" t="b">
        <f t="shared" si="92"/>
        <v>0</v>
      </c>
    </row>
    <row r="656" spans="1:37" x14ac:dyDescent="0.35">
      <c r="A656" t="s">
        <v>5203</v>
      </c>
      <c r="B656">
        <f t="shared" si="88"/>
        <v>10</v>
      </c>
      <c r="C656">
        <f t="shared" si="88"/>
        <v>43</v>
      </c>
      <c r="D656">
        <f t="shared" si="88"/>
        <v>54</v>
      </c>
      <c r="E656">
        <f t="shared" si="88"/>
        <v>97</v>
      </c>
      <c r="F656">
        <f t="shared" si="88"/>
        <v>141</v>
      </c>
      <c r="G656">
        <f t="shared" si="88"/>
        <v>180</v>
      </c>
      <c r="H656">
        <f t="shared" si="87"/>
        <v>229</v>
      </c>
      <c r="I656">
        <f t="shared" si="87"/>
        <v>251</v>
      </c>
      <c r="J656">
        <f t="shared" si="87"/>
        <v>285</v>
      </c>
      <c r="K656">
        <f t="shared" si="87"/>
        <v>304</v>
      </c>
      <c r="L656">
        <f t="shared" si="87"/>
        <v>323</v>
      </c>
      <c r="M656">
        <f t="shared" si="86"/>
        <v>338</v>
      </c>
      <c r="N656">
        <f t="shared" si="85"/>
        <v>350</v>
      </c>
      <c r="O656">
        <f t="shared" si="85"/>
        <v>375</v>
      </c>
      <c r="P656">
        <f t="shared" si="85"/>
        <v>393</v>
      </c>
      <c r="Q656">
        <f t="shared" si="85"/>
        <v>419</v>
      </c>
      <c r="S656" t="str">
        <f t="shared" si="89"/>
        <v>03.12.2025</v>
      </c>
      <c r="T656" t="str">
        <f t="shared" si="90"/>
        <v>14:30:00</v>
      </c>
      <c r="U656" t="str">
        <f t="shared" si="91"/>
        <v>03.12.2025 14:30:00</v>
      </c>
      <c r="V656" s="9" t="str">
        <f>MID($A656,C656+C$2+1,D656-C656-C$2-1)</f>
        <v>0</v>
      </c>
      <c r="W656" s="4">
        <f>VALUE(SUBSTITUTE(MID($A656,D656+D$2+1,E656-D656-D$2-1),",","."))</f>
        <v>0.50991713464435395</v>
      </c>
      <c r="X656" s="4">
        <f>VALUE(SUBSTITUTE(MID($A656,E656+E$2+1,F656-E656-E$2-1),",","."))</f>
        <v>0.90957602214449496</v>
      </c>
      <c r="Y656" s="4">
        <f>VALUE(SUBSTITUTE(MID($A656,F656+F$2+1,G656-F656-F$2-1),",","."))</f>
        <v>0.23327448034017501</v>
      </c>
      <c r="Z656" s="3">
        <f>VALUE(SUBSTITUTE(MID($A656,G656+G$2+1,H656-G656-G$2-1),",","."))</f>
        <v>320.933333333333</v>
      </c>
      <c r="AA656" s="3">
        <f>VALUE(SUBSTITUTE(MID($A656,H656+H$2+1,I656-H656-H$2-1),",","."))</f>
        <v>0</v>
      </c>
      <c r="AB656" s="3">
        <f>VALUE(SUBSTITUTE(MID($A656,I656+I$2+1,J656-I656-I$2-1),",","."))</f>
        <v>91</v>
      </c>
      <c r="AC656" s="3">
        <f>VALUE(SUBSTITUTE(MID($A656,J656+J$2+1,K656-J656-J$2-1),",","."))</f>
        <v>3.4</v>
      </c>
      <c r="AD656" s="3">
        <f>VALUE(SUBSTITUTE(MID($A656,K656+K$2+1,L656-K656-K$2-1),",","."))</f>
        <v>13.32</v>
      </c>
      <c r="AE656" s="3">
        <f>VALUE(SUBSTITUTE(MID($A656,L656+L$2+1,M656-L656-L$2-1),",","."))</f>
        <v>0</v>
      </c>
      <c r="AF656" s="3">
        <f>VALUE(SUBSTITUTE(MID($A656,M656+M$2+1,N656-M656-M$2-1),",","."))</f>
        <v>0</v>
      </c>
      <c r="AG656" s="3">
        <f>VALUE(SUBSTITUTE(MID($A656,N656+N$2+1,O656-N656-N$2-1),",","."))</f>
        <v>4.2220842315957201</v>
      </c>
      <c r="AH656" t="str">
        <f>MID($A656,O656+O$2+1,P656-O656-O$2-1)</f>
        <v/>
      </c>
      <c r="AI656" s="8" t="str">
        <f>MID($A656,P656+P$2+1,Q656-P656-P$2-1)</f>
        <v>False</v>
      </c>
      <c r="AK656" t="b">
        <f t="shared" si="92"/>
        <v>0</v>
      </c>
    </row>
    <row r="657" spans="1:37" x14ac:dyDescent="0.35">
      <c r="A657" t="s">
        <v>5204</v>
      </c>
      <c r="B657">
        <f t="shared" si="88"/>
        <v>10</v>
      </c>
      <c r="C657">
        <f t="shared" si="88"/>
        <v>43</v>
      </c>
      <c r="D657">
        <f t="shared" si="88"/>
        <v>54</v>
      </c>
      <c r="E657">
        <f t="shared" si="88"/>
        <v>97</v>
      </c>
      <c r="F657">
        <f t="shared" si="88"/>
        <v>141</v>
      </c>
      <c r="G657">
        <f t="shared" si="88"/>
        <v>180</v>
      </c>
      <c r="H657">
        <f t="shared" si="87"/>
        <v>229</v>
      </c>
      <c r="I657">
        <f t="shared" si="87"/>
        <v>251</v>
      </c>
      <c r="J657">
        <f t="shared" si="87"/>
        <v>285</v>
      </c>
      <c r="K657">
        <f t="shared" si="87"/>
        <v>304</v>
      </c>
      <c r="L657">
        <f t="shared" si="87"/>
        <v>323</v>
      </c>
      <c r="M657">
        <f t="shared" si="86"/>
        <v>338</v>
      </c>
      <c r="N657">
        <f t="shared" si="85"/>
        <v>350</v>
      </c>
      <c r="O657">
        <f t="shared" si="85"/>
        <v>376</v>
      </c>
      <c r="P657">
        <f t="shared" si="85"/>
        <v>394</v>
      </c>
      <c r="Q657">
        <f t="shared" si="85"/>
        <v>420</v>
      </c>
      <c r="S657" t="str">
        <f t="shared" si="89"/>
        <v>03.12.2025</v>
      </c>
      <c r="T657" t="str">
        <f t="shared" si="90"/>
        <v>14:45:00</v>
      </c>
      <c r="U657" t="str">
        <f t="shared" si="91"/>
        <v>03.12.2025 14:45:00</v>
      </c>
      <c r="V657" s="9" t="str">
        <f>MID($A657,C657+C$2+1,D657-C657-C$2-1)</f>
        <v>0</v>
      </c>
      <c r="W657" s="4">
        <f>VALUE(SUBSTITUTE(MID($A657,D657+D$2+1,E657-D657-D$2-1),",","."))</f>
        <v>0.46497796848983097</v>
      </c>
      <c r="X657" s="4">
        <f>VALUE(SUBSTITUTE(MID($A657,E657+E$2+1,F657-E657-E$2-1),",","."))</f>
        <v>0.90957602214449496</v>
      </c>
      <c r="Y657" s="4">
        <f>VALUE(SUBSTITUTE(MID($A657,F657+F$2+1,G657-F657-F$2-1),",","."))</f>
        <v>0.208370337107214</v>
      </c>
      <c r="Z657" s="3">
        <f>VALUE(SUBSTITUTE(MID($A657,G657+G$2+1,H657-G657-G$2-1),",","."))</f>
        <v>320.933333333333</v>
      </c>
      <c r="AA657" s="3">
        <f>VALUE(SUBSTITUTE(MID($A657,H657+H$2+1,I657-H657-H$2-1),",","."))</f>
        <v>0</v>
      </c>
      <c r="AB657" s="3">
        <f>VALUE(SUBSTITUTE(MID($A657,I657+I$2+1,J657-I657-I$2-1),",","."))</f>
        <v>91</v>
      </c>
      <c r="AC657" s="3">
        <f>VALUE(SUBSTITUTE(MID($A657,J657+J$2+1,K657-J657-J$2-1),",","."))</f>
        <v>3.4</v>
      </c>
      <c r="AD657" s="3">
        <f>VALUE(SUBSTITUTE(MID($A657,K657+K$2+1,L657-K657-K$2-1),",","."))</f>
        <v>13.32</v>
      </c>
      <c r="AE657" s="3">
        <f>VALUE(SUBSTITUTE(MID($A657,L657+L$2+1,M657-L657-L$2-1),",","."))</f>
        <v>0</v>
      </c>
      <c r="AF657" s="3">
        <f>VALUE(SUBSTITUTE(MID($A657,M657+M$2+1,N657-M657-M$2-1),",","."))</f>
        <v>0</v>
      </c>
      <c r="AG657" s="3">
        <f>VALUE(SUBSTITUTE(MID($A657,N657+N$2+1,O657-N657-N$2-1),",","."))</f>
        <v>4.2221127514837997</v>
      </c>
      <c r="AH657" t="str">
        <f>MID($A657,O657+O$2+1,P657-O657-O$2-1)</f>
        <v/>
      </c>
      <c r="AI657" s="8" t="str">
        <f>MID($A657,P657+P$2+1,Q657-P657-P$2-1)</f>
        <v>False</v>
      </c>
      <c r="AK657" t="b">
        <f t="shared" si="92"/>
        <v>0</v>
      </c>
    </row>
    <row r="658" spans="1:37" x14ac:dyDescent="0.35">
      <c r="A658" t="s">
        <v>5205</v>
      </c>
      <c r="B658">
        <f t="shared" si="88"/>
        <v>10</v>
      </c>
      <c r="C658">
        <f t="shared" si="88"/>
        <v>43</v>
      </c>
      <c r="D658">
        <f t="shared" si="88"/>
        <v>54</v>
      </c>
      <c r="E658">
        <f t="shared" si="88"/>
        <v>98</v>
      </c>
      <c r="F658">
        <f t="shared" si="88"/>
        <v>142</v>
      </c>
      <c r="G658">
        <f t="shared" si="88"/>
        <v>180</v>
      </c>
      <c r="H658">
        <f t="shared" si="87"/>
        <v>229</v>
      </c>
      <c r="I658">
        <f t="shared" si="87"/>
        <v>251</v>
      </c>
      <c r="J658">
        <f t="shared" si="87"/>
        <v>285</v>
      </c>
      <c r="K658">
        <f t="shared" si="87"/>
        <v>304</v>
      </c>
      <c r="L658">
        <f t="shared" si="87"/>
        <v>323</v>
      </c>
      <c r="M658">
        <f t="shared" si="86"/>
        <v>338</v>
      </c>
      <c r="N658">
        <f t="shared" si="85"/>
        <v>350</v>
      </c>
      <c r="O658">
        <f t="shared" si="85"/>
        <v>375</v>
      </c>
      <c r="P658">
        <f t="shared" si="85"/>
        <v>393</v>
      </c>
      <c r="Q658">
        <f t="shared" si="85"/>
        <v>419</v>
      </c>
      <c r="S658" t="str">
        <f t="shared" si="89"/>
        <v>03.12.2025</v>
      </c>
      <c r="T658" t="str">
        <f t="shared" si="90"/>
        <v>15:00:00</v>
      </c>
      <c r="U658" t="str">
        <f t="shared" si="91"/>
        <v>03.12.2025 15:00:00</v>
      </c>
      <c r="V658" s="9" t="str">
        <f>MID($A658,C658+C$2+1,D658-C658-C$2-1)</f>
        <v>0</v>
      </c>
      <c r="W658" s="4">
        <f>VALUE(SUBSTITUTE(MID($A658,D658+D$2+1,E658-D658-D$2-1),",","."))</f>
        <v>0.417706324459797</v>
      </c>
      <c r="X658" s="4">
        <f>VALUE(SUBSTITUTE(MID($A658,E658+E$2+1,F658-E658-E$2-1),",","."))</f>
        <v>0.90957602214449496</v>
      </c>
      <c r="Y658" s="4">
        <f>VALUE(SUBSTITUTE(MID($A658,F658+F$2+1,G658-F658-F$2-1),",","."))</f>
        <v>0.18144196161008599</v>
      </c>
      <c r="Z658" s="3">
        <f>VALUE(SUBSTITUTE(MID($A658,G658+G$2+1,H658-G658-G$2-1),",","."))</f>
        <v>320.933333333333</v>
      </c>
      <c r="AA658" s="3">
        <f>VALUE(SUBSTITUTE(MID($A658,H658+H$2+1,I658-H658-H$2-1),",","."))</f>
        <v>0</v>
      </c>
      <c r="AB658" s="3">
        <f>VALUE(SUBSTITUTE(MID($A658,I658+I$2+1,J658-I658-I$2-1),",","."))</f>
        <v>91</v>
      </c>
      <c r="AC658" s="3">
        <f>VALUE(SUBSTITUTE(MID($A658,J658+J$2+1,K658-J658-J$2-1),",","."))</f>
        <v>3.4</v>
      </c>
      <c r="AD658" s="3">
        <f>VALUE(SUBSTITUTE(MID($A658,K658+K$2+1,L658-K658-K$2-1),",","."))</f>
        <v>13.32</v>
      </c>
      <c r="AE658" s="3">
        <f>VALUE(SUBSTITUTE(MID($A658,L658+L$2+1,M658-L658-L$2-1),",","."))</f>
        <v>0</v>
      </c>
      <c r="AF658" s="3">
        <f>VALUE(SUBSTITUTE(MID($A658,M658+M$2+1,N658-M658-M$2-1),",","."))</f>
        <v>0</v>
      </c>
      <c r="AG658" s="3">
        <f>VALUE(SUBSTITUTE(MID($A658,N658+N$2+1,O658-N658-N$2-1),",","."))</f>
        <v>4.22214127137189</v>
      </c>
      <c r="AH658" t="str">
        <f>MID($A658,O658+O$2+1,P658-O658-O$2-1)</f>
        <v/>
      </c>
      <c r="AI658" s="8" t="str">
        <f>MID($A658,P658+P$2+1,Q658-P658-P$2-1)</f>
        <v>False</v>
      </c>
      <c r="AK658" t="b">
        <f t="shared" si="92"/>
        <v>0</v>
      </c>
    </row>
    <row r="659" spans="1:37" x14ac:dyDescent="0.35">
      <c r="A659" t="s">
        <v>5206</v>
      </c>
      <c r="B659">
        <f t="shared" si="88"/>
        <v>10</v>
      </c>
      <c r="C659">
        <f t="shared" si="88"/>
        <v>43</v>
      </c>
      <c r="D659">
        <f t="shared" si="88"/>
        <v>54</v>
      </c>
      <c r="E659">
        <f t="shared" si="88"/>
        <v>96</v>
      </c>
      <c r="F659">
        <f t="shared" si="88"/>
        <v>140</v>
      </c>
      <c r="G659">
        <f t="shared" si="88"/>
        <v>179</v>
      </c>
      <c r="H659">
        <f t="shared" si="87"/>
        <v>228</v>
      </c>
      <c r="I659">
        <f t="shared" si="87"/>
        <v>250</v>
      </c>
      <c r="J659">
        <f t="shared" si="87"/>
        <v>284</v>
      </c>
      <c r="K659">
        <f t="shared" si="87"/>
        <v>303</v>
      </c>
      <c r="L659">
        <f t="shared" si="87"/>
        <v>322</v>
      </c>
      <c r="M659">
        <f t="shared" si="86"/>
        <v>337</v>
      </c>
      <c r="N659">
        <f t="shared" si="85"/>
        <v>349</v>
      </c>
      <c r="O659">
        <f t="shared" si="85"/>
        <v>374</v>
      </c>
      <c r="P659">
        <f t="shared" si="85"/>
        <v>392</v>
      </c>
      <c r="Q659">
        <f t="shared" si="85"/>
        <v>418</v>
      </c>
      <c r="S659" t="str">
        <f t="shared" si="89"/>
        <v>03.12.2025</v>
      </c>
      <c r="T659" t="str">
        <f t="shared" si="90"/>
        <v>15:15:00</v>
      </c>
      <c r="U659" t="str">
        <f t="shared" si="91"/>
        <v>03.12.2025 15:15:00</v>
      </c>
      <c r="V659" s="9" t="str">
        <f>MID($A659,C659+C$2+1,D659-C659-C$2-1)</f>
        <v>0</v>
      </c>
      <c r="W659" s="4">
        <f>VALUE(SUBSTITUTE(MID($A659,D659+D$2+1,E659-D659-D$2-1),",","."))</f>
        <v>0.36832749867686698</v>
      </c>
      <c r="X659" s="4">
        <f>VALUE(SUBSTITUTE(MID($A659,E659+E$2+1,F659-E659-E$2-1),",","."))</f>
        <v>0.90957602214449496</v>
      </c>
      <c r="Y659" s="4">
        <f>VALUE(SUBSTITUTE(MID($A659,F659+F$2+1,G659-F659-F$2-1),",","."))</f>
        <v>0.15263247766945701</v>
      </c>
      <c r="Z659" s="3">
        <f>VALUE(SUBSTITUTE(MID($A659,G659+G$2+1,H659-G659-G$2-1),",","."))</f>
        <v>320.933333333333</v>
      </c>
      <c r="AA659" s="3">
        <f>VALUE(SUBSTITUTE(MID($A659,H659+H$2+1,I659-H659-H$2-1),",","."))</f>
        <v>0</v>
      </c>
      <c r="AB659" s="3">
        <f>VALUE(SUBSTITUTE(MID($A659,I659+I$2+1,J659-I659-I$2-1),",","."))</f>
        <v>91</v>
      </c>
      <c r="AC659" s="3">
        <f>VALUE(SUBSTITUTE(MID($A659,J659+J$2+1,K659-J659-J$2-1),",","."))</f>
        <v>3.4</v>
      </c>
      <c r="AD659" s="3">
        <f>VALUE(SUBSTITUTE(MID($A659,K659+K$2+1,L659-K659-K$2-1),",","."))</f>
        <v>13.32</v>
      </c>
      <c r="AE659" s="3">
        <f>VALUE(SUBSTITUTE(MID($A659,L659+L$2+1,M659-L659-L$2-1),",","."))</f>
        <v>0</v>
      </c>
      <c r="AF659" s="3">
        <f>VALUE(SUBSTITUTE(MID($A659,M659+M$2+1,N659-M659-M$2-1),",","."))</f>
        <v>0</v>
      </c>
      <c r="AG659" s="3">
        <f>VALUE(SUBSTITUTE(MID($A659,N659+N$2+1,O659-N659-N$2-1),",","."))</f>
        <v>4.2221697912599696</v>
      </c>
      <c r="AH659" t="str">
        <f>MID($A659,O659+O$2+1,P659-O659-O$2-1)</f>
        <v/>
      </c>
      <c r="AI659" s="8" t="str">
        <f>MID($A659,P659+P$2+1,Q659-P659-P$2-1)</f>
        <v>False</v>
      </c>
      <c r="AK659" t="b">
        <f t="shared" si="92"/>
        <v>0</v>
      </c>
    </row>
    <row r="660" spans="1:37" x14ac:dyDescent="0.35">
      <c r="A660" t="s">
        <v>5207</v>
      </c>
      <c r="B660">
        <f t="shared" si="88"/>
        <v>10</v>
      </c>
      <c r="C660">
        <f t="shared" si="88"/>
        <v>43</v>
      </c>
      <c r="D660">
        <f t="shared" si="88"/>
        <v>54</v>
      </c>
      <c r="E660">
        <f t="shared" si="88"/>
        <v>98</v>
      </c>
      <c r="F660">
        <f t="shared" si="88"/>
        <v>142</v>
      </c>
      <c r="G660">
        <f t="shared" si="88"/>
        <v>181</v>
      </c>
      <c r="H660">
        <f t="shared" si="87"/>
        <v>217</v>
      </c>
      <c r="I660">
        <f t="shared" si="87"/>
        <v>239</v>
      </c>
      <c r="J660">
        <f t="shared" si="87"/>
        <v>273</v>
      </c>
      <c r="K660">
        <f t="shared" si="87"/>
        <v>293</v>
      </c>
      <c r="L660">
        <f t="shared" si="87"/>
        <v>325</v>
      </c>
      <c r="M660">
        <f t="shared" si="86"/>
        <v>340</v>
      </c>
      <c r="N660">
        <f t="shared" si="85"/>
        <v>352</v>
      </c>
      <c r="O660">
        <f t="shared" si="85"/>
        <v>378</v>
      </c>
      <c r="P660">
        <f t="shared" si="85"/>
        <v>396</v>
      </c>
      <c r="Q660">
        <f t="shared" si="85"/>
        <v>422</v>
      </c>
      <c r="S660" t="str">
        <f t="shared" si="89"/>
        <v>03.12.2025</v>
      </c>
      <c r="T660" t="str">
        <f t="shared" si="90"/>
        <v>15:30:00</v>
      </c>
      <c r="U660" t="str">
        <f t="shared" si="91"/>
        <v>03.12.2025 15:30:00</v>
      </c>
      <c r="V660" s="9" t="str">
        <f>MID($A660,C660+C$2+1,D660-C660-C$2-1)</f>
        <v>0</v>
      </c>
      <c r="W660" s="4">
        <f>VALUE(SUBSTITUTE(MID($A660,D660+D$2+1,E660-D660-D$2-1),",","."))</f>
        <v>0.31709598444176201</v>
      </c>
      <c r="X660" s="4">
        <f>VALUE(SUBSTITUTE(MID($A660,E660+E$2+1,F660-E660-E$2-1),",","."))</f>
        <v>0.90957602214449496</v>
      </c>
      <c r="Y660" s="4">
        <f>VALUE(SUBSTITUTE(MID($A660,F660+F$2+1,G660-F660-F$2-1),",","."))</f>
        <v>0.122117578733658</v>
      </c>
      <c r="Z660" s="3">
        <f>VALUE(SUBSTITUTE(MID($A660,G660+G$2+1,H660-G660-G$2-1),",","."))</f>
        <v>294.7</v>
      </c>
      <c r="AA660" s="3">
        <f>VALUE(SUBSTITUTE(MID($A660,H660+H$2+1,I660-H660-H$2-1),",","."))</f>
        <v>0</v>
      </c>
      <c r="AB660" s="3">
        <f>VALUE(SUBSTITUTE(MID($A660,I660+I$2+1,J660-I660-I$2-1),",","."))</f>
        <v>51</v>
      </c>
      <c r="AC660" s="3">
        <f>VALUE(SUBSTITUTE(MID($A660,J660+J$2+1,K660-J660-J$2-1),",","."))</f>
        <v>2.95</v>
      </c>
      <c r="AD660" s="3">
        <f>VALUE(SUBSTITUTE(MID($A660,K660+K$2+1,L660-K660-K$2-1),",","."))</f>
        <v>15.12</v>
      </c>
      <c r="AE660" s="3">
        <f>VALUE(SUBSTITUTE(MID($A660,L660+L$2+1,M660-L660-L$2-1),",","."))</f>
        <v>0</v>
      </c>
      <c r="AF660" s="3">
        <f>VALUE(SUBSTITUTE(MID($A660,M660+M$2+1,N660-M660-M$2-1),",","."))</f>
        <v>0</v>
      </c>
      <c r="AG660" s="3">
        <f>VALUE(SUBSTITUTE(MID($A660,N660+N$2+1,O660-N660-N$2-1),",","."))</f>
        <v>4.2221983111480501</v>
      </c>
      <c r="AH660" t="str">
        <f>MID($A660,O660+O$2+1,P660-O660-O$2-1)</f>
        <v/>
      </c>
      <c r="AI660" s="8" t="str">
        <f>MID($A660,P660+P$2+1,Q660-P660-P$2-1)</f>
        <v>False</v>
      </c>
      <c r="AK660" t="b">
        <f t="shared" si="92"/>
        <v>0</v>
      </c>
    </row>
    <row r="661" spans="1:37" x14ac:dyDescent="0.35">
      <c r="A661" t="s">
        <v>5208</v>
      </c>
      <c r="B661">
        <f t="shared" si="88"/>
        <v>10</v>
      </c>
      <c r="C661">
        <f t="shared" si="88"/>
        <v>43</v>
      </c>
      <c r="D661">
        <f t="shared" si="88"/>
        <v>54</v>
      </c>
      <c r="E661">
        <f t="shared" si="88"/>
        <v>80</v>
      </c>
      <c r="F661">
        <f t="shared" si="88"/>
        <v>124</v>
      </c>
      <c r="G661">
        <f t="shared" si="88"/>
        <v>163</v>
      </c>
      <c r="H661">
        <f t="shared" si="87"/>
        <v>199</v>
      </c>
      <c r="I661">
        <f t="shared" si="87"/>
        <v>221</v>
      </c>
      <c r="J661">
        <f t="shared" si="87"/>
        <v>255</v>
      </c>
      <c r="K661">
        <f t="shared" si="87"/>
        <v>275</v>
      </c>
      <c r="L661">
        <f t="shared" si="87"/>
        <v>307</v>
      </c>
      <c r="M661">
        <f t="shared" si="86"/>
        <v>322</v>
      </c>
      <c r="N661">
        <f t="shared" si="85"/>
        <v>334</v>
      </c>
      <c r="O661">
        <f t="shared" si="85"/>
        <v>359</v>
      </c>
      <c r="P661">
        <f t="shared" si="85"/>
        <v>377</v>
      </c>
      <c r="Q661">
        <f t="shared" si="85"/>
        <v>403</v>
      </c>
      <c r="S661" t="str">
        <f t="shared" si="89"/>
        <v>03.12.2025</v>
      </c>
      <c r="T661" t="str">
        <f t="shared" si="90"/>
        <v>15:45:00</v>
      </c>
      <c r="U661" t="str">
        <f t="shared" si="91"/>
        <v>03.12.2025 15:45:00</v>
      </c>
      <c r="V661" s="9" t="str">
        <f>MID($A661,C661+C$2+1,D661-C661-C$2-1)</f>
        <v>0</v>
      </c>
      <c r="W661" s="4">
        <f>VALUE(SUBSTITUTE(MID($A661,D661+D$2+1,E661-D661-D$2-1),",","."))</f>
        <v>0</v>
      </c>
      <c r="X661" s="4">
        <f>VALUE(SUBSTITUTE(MID($A661,E661+E$2+1,F661-E661-E$2-1),",","."))</f>
        <v>0.90957602214449496</v>
      </c>
      <c r="Y661" s="4">
        <f>VALUE(SUBSTITUTE(MID($A661,F661+F$2+1,G661-F661-F$2-1),",","."))</f>
        <v>9.0137596127473796E-2</v>
      </c>
      <c r="Z661" s="3">
        <f>VALUE(SUBSTITUTE(MID($A661,G661+G$2+1,H661-G661-G$2-1),",","."))</f>
        <v>294.7</v>
      </c>
      <c r="AA661" s="3">
        <f>VALUE(SUBSTITUTE(MID($A661,H661+H$2+1,I661-H661-H$2-1),",","."))</f>
        <v>0</v>
      </c>
      <c r="AB661" s="3">
        <f>VALUE(SUBSTITUTE(MID($A661,I661+I$2+1,J661-I661-I$2-1),",","."))</f>
        <v>51</v>
      </c>
      <c r="AC661" s="3">
        <f>VALUE(SUBSTITUTE(MID($A661,J661+J$2+1,K661-J661-J$2-1),",","."))</f>
        <v>2.95</v>
      </c>
      <c r="AD661" s="3">
        <f>VALUE(SUBSTITUTE(MID($A661,K661+K$2+1,L661-K661-K$2-1),",","."))</f>
        <v>15.12</v>
      </c>
      <c r="AE661" s="3">
        <f>VALUE(SUBSTITUTE(MID($A661,L661+L$2+1,M661-L661-L$2-1),",","."))</f>
        <v>0</v>
      </c>
      <c r="AF661" s="3">
        <f>VALUE(SUBSTITUTE(MID($A661,M661+M$2+1,N661-M661-M$2-1),",","."))</f>
        <v>0</v>
      </c>
      <c r="AG661" s="3">
        <f>VALUE(SUBSTITUTE(MID($A661,N661+N$2+1,O661-N661-N$2-1),",","."))</f>
        <v>4.2222268310361297</v>
      </c>
      <c r="AH661" t="str">
        <f>MID($A661,O661+O$2+1,P661-O661-O$2-1)</f>
        <v/>
      </c>
      <c r="AI661" s="8" t="str">
        <f>MID($A661,P661+P$2+1,Q661-P661-P$2-1)</f>
        <v>False</v>
      </c>
      <c r="AK661" t="b">
        <f t="shared" si="92"/>
        <v>0</v>
      </c>
    </row>
    <row r="662" spans="1:37" x14ac:dyDescent="0.35">
      <c r="A662" t="s">
        <v>5209</v>
      </c>
      <c r="B662">
        <f t="shared" si="88"/>
        <v>10</v>
      </c>
      <c r="C662">
        <f t="shared" si="88"/>
        <v>43</v>
      </c>
      <c r="D662">
        <f t="shared" si="88"/>
        <v>54</v>
      </c>
      <c r="E662">
        <f t="shared" si="88"/>
        <v>80</v>
      </c>
      <c r="F662">
        <f t="shared" si="88"/>
        <v>124</v>
      </c>
      <c r="G662">
        <f t="shared" si="88"/>
        <v>164</v>
      </c>
      <c r="H662">
        <f t="shared" si="87"/>
        <v>200</v>
      </c>
      <c r="I662">
        <f t="shared" si="87"/>
        <v>222</v>
      </c>
      <c r="J662">
        <f t="shared" si="87"/>
        <v>256</v>
      </c>
      <c r="K662">
        <f t="shared" si="87"/>
        <v>276</v>
      </c>
      <c r="L662">
        <f t="shared" si="87"/>
        <v>308</v>
      </c>
      <c r="M662">
        <f t="shared" si="86"/>
        <v>323</v>
      </c>
      <c r="N662">
        <f t="shared" si="85"/>
        <v>335</v>
      </c>
      <c r="O662">
        <f t="shared" si="85"/>
        <v>360</v>
      </c>
      <c r="P662">
        <f t="shared" si="85"/>
        <v>378</v>
      </c>
      <c r="Q662">
        <f t="shared" si="85"/>
        <v>404</v>
      </c>
      <c r="S662" t="str">
        <f t="shared" si="89"/>
        <v>03.12.2025</v>
      </c>
      <c r="T662" t="str">
        <f t="shared" si="90"/>
        <v>16:00:00</v>
      </c>
      <c r="U662" t="str">
        <f t="shared" si="91"/>
        <v>03.12.2025 16:00:00</v>
      </c>
      <c r="V662" s="9" t="str">
        <f>MID($A662,C662+C$2+1,D662-C662-C$2-1)</f>
        <v>0</v>
      </c>
      <c r="W662" s="4">
        <f>VALUE(SUBSTITUTE(MID($A662,D662+D$2+1,E662-D662-D$2-1),",","."))</f>
        <v>0</v>
      </c>
      <c r="X662" s="4">
        <f>VALUE(SUBSTITUTE(MID($A662,E662+E$2+1,F662-E662-E$2-1),",","."))</f>
        <v>0.90957602214449496</v>
      </c>
      <c r="Y662" s="4">
        <f>VALUE(SUBSTITUTE(MID($A662,F662+F$2+1,G662-F662-F$2-1),",","."))</f>
        <v>5.7094593479748601E-2</v>
      </c>
      <c r="Z662" s="3">
        <f>VALUE(SUBSTITUTE(MID($A662,G662+G$2+1,H662-G662-G$2-1),",","."))</f>
        <v>294.7</v>
      </c>
      <c r="AA662" s="3">
        <f>VALUE(SUBSTITUTE(MID($A662,H662+H$2+1,I662-H662-H$2-1),",","."))</f>
        <v>0</v>
      </c>
      <c r="AB662" s="3">
        <f>VALUE(SUBSTITUTE(MID($A662,I662+I$2+1,J662-I662-I$2-1),",","."))</f>
        <v>51</v>
      </c>
      <c r="AC662" s="3">
        <f>VALUE(SUBSTITUTE(MID($A662,J662+J$2+1,K662-J662-J$2-1),",","."))</f>
        <v>2.95</v>
      </c>
      <c r="AD662" s="3">
        <f>VALUE(SUBSTITUTE(MID($A662,K662+K$2+1,L662-K662-K$2-1),",","."))</f>
        <v>15.12</v>
      </c>
      <c r="AE662" s="3">
        <f>VALUE(SUBSTITUTE(MID($A662,L662+L$2+1,M662-L662-L$2-1),",","."))</f>
        <v>0</v>
      </c>
      <c r="AF662" s="3">
        <f>VALUE(SUBSTITUTE(MID($A662,M662+M$2+1,N662-M662-M$2-1),",","."))</f>
        <v>0</v>
      </c>
      <c r="AG662" s="3">
        <f>VALUE(SUBSTITUTE(MID($A662,N662+N$2+1,O662-N662-N$2-1),",","."))</f>
        <v>4.2222553509242102</v>
      </c>
      <c r="AH662" t="str">
        <f>MID($A662,O662+O$2+1,P662-O662-O$2-1)</f>
        <v/>
      </c>
      <c r="AI662" s="8" t="str">
        <f>MID($A662,P662+P$2+1,Q662-P662-P$2-1)</f>
        <v>False</v>
      </c>
      <c r="AK662" t="b">
        <f t="shared" si="92"/>
        <v>0</v>
      </c>
    </row>
    <row r="663" spans="1:37" x14ac:dyDescent="0.35">
      <c r="A663" t="s">
        <v>5210</v>
      </c>
      <c r="B663">
        <f t="shared" si="88"/>
        <v>10</v>
      </c>
      <c r="C663">
        <f t="shared" si="88"/>
        <v>43</v>
      </c>
      <c r="D663">
        <f t="shared" si="88"/>
        <v>54</v>
      </c>
      <c r="E663">
        <f t="shared" si="88"/>
        <v>80</v>
      </c>
      <c r="F663">
        <f t="shared" si="88"/>
        <v>124</v>
      </c>
      <c r="G663">
        <f t="shared" si="88"/>
        <v>163</v>
      </c>
      <c r="H663">
        <f t="shared" si="87"/>
        <v>199</v>
      </c>
      <c r="I663">
        <f t="shared" si="87"/>
        <v>221</v>
      </c>
      <c r="J663">
        <f t="shared" si="87"/>
        <v>255</v>
      </c>
      <c r="K663">
        <f t="shared" si="87"/>
        <v>275</v>
      </c>
      <c r="L663">
        <f t="shared" si="87"/>
        <v>307</v>
      </c>
      <c r="M663">
        <f t="shared" si="86"/>
        <v>322</v>
      </c>
      <c r="N663">
        <f t="shared" si="85"/>
        <v>334</v>
      </c>
      <c r="O663">
        <f t="shared" si="85"/>
        <v>359</v>
      </c>
      <c r="P663">
        <f t="shared" si="85"/>
        <v>377</v>
      </c>
      <c r="Q663">
        <f t="shared" si="85"/>
        <v>403</v>
      </c>
      <c r="S663" t="str">
        <f t="shared" si="89"/>
        <v>03.12.2025</v>
      </c>
      <c r="T663" t="str">
        <f t="shared" si="90"/>
        <v>16:15:00</v>
      </c>
      <c r="U663" t="str">
        <f t="shared" si="91"/>
        <v>03.12.2025 16:15:00</v>
      </c>
      <c r="V663" s="9" t="str">
        <f>MID($A663,C663+C$2+1,D663-C663-C$2-1)</f>
        <v>0</v>
      </c>
      <c r="W663" s="4">
        <f>VALUE(SUBSTITUTE(MID($A663,D663+D$2+1,E663-D663-D$2-1),",","."))</f>
        <v>0</v>
      </c>
      <c r="X663" s="4">
        <f>VALUE(SUBSTITUTE(MID($A663,E663+E$2+1,F663-E663-E$2-1),",","."))</f>
        <v>0.90957602214449496</v>
      </c>
      <c r="Y663" s="4">
        <f>VALUE(SUBSTITUTE(MID($A663,F663+F$2+1,G663-F663-F$2-1),",","."))</f>
        <v>2.38852560116283E-2</v>
      </c>
      <c r="Z663" s="3">
        <f>VALUE(SUBSTITUTE(MID($A663,G663+G$2+1,H663-G663-G$2-1),",","."))</f>
        <v>294.7</v>
      </c>
      <c r="AA663" s="3">
        <f>VALUE(SUBSTITUTE(MID($A663,H663+H$2+1,I663-H663-H$2-1),",","."))</f>
        <v>0</v>
      </c>
      <c r="AB663" s="3">
        <f>VALUE(SUBSTITUTE(MID($A663,I663+I$2+1,J663-I663-I$2-1),",","."))</f>
        <v>51</v>
      </c>
      <c r="AC663" s="3">
        <f>VALUE(SUBSTITUTE(MID($A663,J663+J$2+1,K663-J663-J$2-1),",","."))</f>
        <v>2.95</v>
      </c>
      <c r="AD663" s="3">
        <f>VALUE(SUBSTITUTE(MID($A663,K663+K$2+1,L663-K663-K$2-1),",","."))</f>
        <v>15.12</v>
      </c>
      <c r="AE663" s="3">
        <f>VALUE(SUBSTITUTE(MID($A663,L663+L$2+1,M663-L663-L$2-1),",","."))</f>
        <v>0</v>
      </c>
      <c r="AF663" s="3">
        <f>VALUE(SUBSTITUTE(MID($A663,M663+M$2+1,N663-M663-M$2-1),",","."))</f>
        <v>0</v>
      </c>
      <c r="AG663" s="3">
        <f>VALUE(SUBSTITUTE(MID($A663,N663+N$2+1,O663-N663-N$2-1),",","."))</f>
        <v>4.2222838708122898</v>
      </c>
      <c r="AH663" t="str">
        <f>MID($A663,O663+O$2+1,P663-O663-O$2-1)</f>
        <v/>
      </c>
      <c r="AI663" s="8" t="str">
        <f>MID($A663,P663+P$2+1,Q663-P663-P$2-1)</f>
        <v>False</v>
      </c>
      <c r="AK663" t="b">
        <f t="shared" si="92"/>
        <v>0</v>
      </c>
    </row>
    <row r="664" spans="1:37" x14ac:dyDescent="0.35">
      <c r="A664" t="s">
        <v>5211</v>
      </c>
      <c r="B664">
        <f t="shared" si="88"/>
        <v>10</v>
      </c>
      <c r="C664">
        <f t="shared" si="88"/>
        <v>43</v>
      </c>
      <c r="D664">
        <f t="shared" si="88"/>
        <v>54</v>
      </c>
      <c r="E664">
        <f t="shared" si="88"/>
        <v>80</v>
      </c>
      <c r="F664">
        <f t="shared" si="88"/>
        <v>124</v>
      </c>
      <c r="G664">
        <f t="shared" si="88"/>
        <v>145</v>
      </c>
      <c r="H664">
        <f t="shared" si="87"/>
        <v>194</v>
      </c>
      <c r="I664">
        <f t="shared" si="87"/>
        <v>216</v>
      </c>
      <c r="J664">
        <f t="shared" si="87"/>
        <v>250</v>
      </c>
      <c r="K664">
        <f t="shared" si="87"/>
        <v>284</v>
      </c>
      <c r="L664">
        <f t="shared" si="87"/>
        <v>316</v>
      </c>
      <c r="M664">
        <f t="shared" si="86"/>
        <v>331</v>
      </c>
      <c r="N664">
        <f t="shared" si="85"/>
        <v>343</v>
      </c>
      <c r="O664">
        <f t="shared" si="85"/>
        <v>368</v>
      </c>
      <c r="P664">
        <f t="shared" si="85"/>
        <v>386</v>
      </c>
      <c r="Q664">
        <f t="shared" si="85"/>
        <v>412</v>
      </c>
      <c r="S664" t="str">
        <f t="shared" si="89"/>
        <v>03.12.2025</v>
      </c>
      <c r="T664" t="str">
        <f t="shared" si="90"/>
        <v>16:30:00</v>
      </c>
      <c r="U664" t="str">
        <f t="shared" si="91"/>
        <v>03.12.2025 16:30:00</v>
      </c>
      <c r="V664" s="9" t="str">
        <f>MID($A664,C664+C$2+1,D664-C664-C$2-1)</f>
        <v>0</v>
      </c>
      <c r="W664" s="4">
        <f>VALUE(SUBSTITUTE(MID($A664,D664+D$2+1,E664-D664-D$2-1),",","."))</f>
        <v>0</v>
      </c>
      <c r="X664" s="4">
        <f>VALUE(SUBSTITUTE(MID($A664,E664+E$2+1,F664-E664-E$2-1),",","."))</f>
        <v>0.90957602214449496</v>
      </c>
      <c r="Y664" s="4">
        <f>VALUE(SUBSTITUTE(MID($A664,F664+F$2+1,G664-F664-F$2-1),",","."))</f>
        <v>0</v>
      </c>
      <c r="Z664" s="3">
        <f>VALUE(SUBSTITUTE(MID($A664,G664+G$2+1,H664-G664-G$2-1),",","."))</f>
        <v>108.98333333333299</v>
      </c>
      <c r="AA664" s="3">
        <f>VALUE(SUBSTITUTE(MID($A664,H664+H$2+1,I664-H664-H$2-1),",","."))</f>
        <v>0</v>
      </c>
      <c r="AB664" s="3">
        <f>VALUE(SUBSTITUTE(MID($A664,I664+I$2+1,J664-I664-I$2-1),",","."))</f>
        <v>11</v>
      </c>
      <c r="AC664" s="3">
        <f>VALUE(SUBSTITUTE(MID($A664,J664+J$2+1,K664-J664-J$2-1),",","."))</f>
        <v>2.3499999999999899</v>
      </c>
      <c r="AD664" s="3">
        <f>VALUE(SUBSTITUTE(MID($A664,K664+K$2+1,L664-K664-K$2-1),",","."))</f>
        <v>16.739999999999998</v>
      </c>
      <c r="AE664" s="3">
        <f>VALUE(SUBSTITUTE(MID($A664,L664+L$2+1,M664-L664-L$2-1),",","."))</f>
        <v>0</v>
      </c>
      <c r="AF664" s="3">
        <f>VALUE(SUBSTITUTE(MID($A664,M664+M$2+1,N664-M664-M$2-1),",","."))</f>
        <v>0</v>
      </c>
      <c r="AG664" s="3">
        <f>VALUE(SUBSTITUTE(MID($A664,N664+N$2+1,O664-N664-N$2-1),",","."))</f>
        <v>4.2223123907003801</v>
      </c>
      <c r="AH664" t="str">
        <f>MID($A664,O664+O$2+1,P664-O664-O$2-1)</f>
        <v/>
      </c>
      <c r="AI664" s="8" t="str">
        <f>MID($A664,P664+P$2+1,Q664-P664-P$2-1)</f>
        <v>False</v>
      </c>
      <c r="AK664" t="b">
        <f t="shared" si="92"/>
        <v>0</v>
      </c>
    </row>
    <row r="665" spans="1:37" x14ac:dyDescent="0.35">
      <c r="A665" t="s">
        <v>5212</v>
      </c>
      <c r="B665">
        <f t="shared" si="88"/>
        <v>10</v>
      </c>
      <c r="C665">
        <f t="shared" si="88"/>
        <v>43</v>
      </c>
      <c r="D665">
        <f t="shared" si="88"/>
        <v>54</v>
      </c>
      <c r="E665">
        <f t="shared" si="88"/>
        <v>80</v>
      </c>
      <c r="F665">
        <f t="shared" si="88"/>
        <v>124</v>
      </c>
      <c r="G665">
        <f t="shared" si="88"/>
        <v>145</v>
      </c>
      <c r="H665">
        <f t="shared" si="87"/>
        <v>194</v>
      </c>
      <c r="I665">
        <f t="shared" si="87"/>
        <v>216</v>
      </c>
      <c r="J665">
        <f t="shared" si="87"/>
        <v>250</v>
      </c>
      <c r="K665">
        <f t="shared" si="87"/>
        <v>284</v>
      </c>
      <c r="L665">
        <f t="shared" si="87"/>
        <v>316</v>
      </c>
      <c r="M665">
        <f t="shared" si="86"/>
        <v>331</v>
      </c>
      <c r="N665">
        <f t="shared" si="85"/>
        <v>343</v>
      </c>
      <c r="O665">
        <f t="shared" si="85"/>
        <v>368</v>
      </c>
      <c r="P665">
        <f t="shared" si="85"/>
        <v>386</v>
      </c>
      <c r="Q665">
        <f t="shared" si="85"/>
        <v>412</v>
      </c>
      <c r="S665" t="str">
        <f t="shared" si="89"/>
        <v>03.12.2025</v>
      </c>
      <c r="T665" t="str">
        <f t="shared" si="90"/>
        <v>16:45:00</v>
      </c>
      <c r="U665" t="str">
        <f t="shared" si="91"/>
        <v>03.12.2025 16:45:00</v>
      </c>
      <c r="V665" s="9" t="str">
        <f>MID($A665,C665+C$2+1,D665-C665-C$2-1)</f>
        <v>0</v>
      </c>
      <c r="W665" s="4">
        <f>VALUE(SUBSTITUTE(MID($A665,D665+D$2+1,E665-D665-D$2-1),",","."))</f>
        <v>0</v>
      </c>
      <c r="X665" s="4">
        <f>VALUE(SUBSTITUTE(MID($A665,E665+E$2+1,F665-E665-E$2-1),",","."))</f>
        <v>0.90957602214449496</v>
      </c>
      <c r="Y665" s="4">
        <f>VALUE(SUBSTITUTE(MID($A665,F665+F$2+1,G665-F665-F$2-1),",","."))</f>
        <v>0</v>
      </c>
      <c r="Z665" s="3">
        <f>VALUE(SUBSTITUTE(MID($A665,G665+G$2+1,H665-G665-G$2-1),",","."))</f>
        <v>108.98333333333299</v>
      </c>
      <c r="AA665" s="3">
        <f>VALUE(SUBSTITUTE(MID($A665,H665+H$2+1,I665-H665-H$2-1),",","."))</f>
        <v>0</v>
      </c>
      <c r="AB665" s="3">
        <f>VALUE(SUBSTITUTE(MID($A665,I665+I$2+1,J665-I665-I$2-1),",","."))</f>
        <v>11</v>
      </c>
      <c r="AC665" s="3">
        <f>VALUE(SUBSTITUTE(MID($A665,J665+J$2+1,K665-J665-J$2-1),",","."))</f>
        <v>2.3499999999999899</v>
      </c>
      <c r="AD665" s="3">
        <f>VALUE(SUBSTITUTE(MID($A665,K665+K$2+1,L665-K665-K$2-1),",","."))</f>
        <v>16.739999999999998</v>
      </c>
      <c r="AE665" s="3">
        <f>VALUE(SUBSTITUTE(MID($A665,L665+L$2+1,M665-L665-L$2-1),",","."))</f>
        <v>0</v>
      </c>
      <c r="AF665" s="3">
        <f>VALUE(SUBSTITUTE(MID($A665,M665+M$2+1,N665-M665-M$2-1),",","."))</f>
        <v>0</v>
      </c>
      <c r="AG665" s="3">
        <f>VALUE(SUBSTITUTE(MID($A665,N665+N$2+1,O665-N665-N$2-1),",","."))</f>
        <v>4.2223409105884597</v>
      </c>
      <c r="AH665" t="str">
        <f>MID($A665,O665+O$2+1,P665-O665-O$2-1)</f>
        <v/>
      </c>
      <c r="AI665" s="8" t="str">
        <f>MID($A665,P665+P$2+1,Q665-P665-P$2-1)</f>
        <v>False</v>
      </c>
      <c r="AK665" t="b">
        <f t="shared" si="92"/>
        <v>0</v>
      </c>
    </row>
    <row r="666" spans="1:37" x14ac:dyDescent="0.35">
      <c r="A666" t="s">
        <v>5213</v>
      </c>
      <c r="B666">
        <f t="shared" si="88"/>
        <v>10</v>
      </c>
      <c r="C666">
        <f t="shared" si="88"/>
        <v>43</v>
      </c>
      <c r="D666">
        <f t="shared" si="88"/>
        <v>54</v>
      </c>
      <c r="E666">
        <f t="shared" si="88"/>
        <v>80</v>
      </c>
      <c r="F666">
        <f t="shared" si="88"/>
        <v>124</v>
      </c>
      <c r="G666">
        <f t="shared" si="88"/>
        <v>145</v>
      </c>
      <c r="H666">
        <f t="shared" si="87"/>
        <v>194</v>
      </c>
      <c r="I666">
        <f t="shared" si="87"/>
        <v>216</v>
      </c>
      <c r="J666">
        <f t="shared" si="87"/>
        <v>250</v>
      </c>
      <c r="K666">
        <f t="shared" si="87"/>
        <v>284</v>
      </c>
      <c r="L666">
        <f t="shared" si="87"/>
        <v>316</v>
      </c>
      <c r="M666">
        <f t="shared" si="86"/>
        <v>331</v>
      </c>
      <c r="N666">
        <f t="shared" si="85"/>
        <v>343</v>
      </c>
      <c r="O666">
        <f t="shared" si="85"/>
        <v>368</v>
      </c>
      <c r="P666">
        <f t="shared" si="85"/>
        <v>386</v>
      </c>
      <c r="Q666">
        <f t="shared" ref="Q666:Q729" si="93">FIND(Q$1,$A666)</f>
        <v>412</v>
      </c>
      <c r="S666" t="str">
        <f t="shared" si="89"/>
        <v>03.12.2025</v>
      </c>
      <c r="T666" t="str">
        <f t="shared" si="90"/>
        <v>17:00:00</v>
      </c>
      <c r="U666" t="str">
        <f t="shared" si="91"/>
        <v>03.12.2025 17:00:00</v>
      </c>
      <c r="V666" s="9" t="str">
        <f>MID($A666,C666+C$2+1,D666-C666-C$2-1)</f>
        <v>0</v>
      </c>
      <c r="W666" s="4">
        <f>VALUE(SUBSTITUTE(MID($A666,D666+D$2+1,E666-D666-D$2-1),",","."))</f>
        <v>0</v>
      </c>
      <c r="X666" s="4">
        <f>VALUE(SUBSTITUTE(MID($A666,E666+E$2+1,F666-E666-E$2-1),",","."))</f>
        <v>0.90957602214449496</v>
      </c>
      <c r="Y666" s="4">
        <f>VALUE(SUBSTITUTE(MID($A666,F666+F$2+1,G666-F666-F$2-1),",","."))</f>
        <v>0</v>
      </c>
      <c r="Z666" s="3">
        <f>VALUE(SUBSTITUTE(MID($A666,G666+G$2+1,H666-G666-G$2-1),",","."))</f>
        <v>108.98333333333299</v>
      </c>
      <c r="AA666" s="3">
        <f>VALUE(SUBSTITUTE(MID($A666,H666+H$2+1,I666-H666-H$2-1),",","."))</f>
        <v>0</v>
      </c>
      <c r="AB666" s="3">
        <f>VALUE(SUBSTITUTE(MID($A666,I666+I$2+1,J666-I666-I$2-1),",","."))</f>
        <v>11</v>
      </c>
      <c r="AC666" s="3">
        <f>VALUE(SUBSTITUTE(MID($A666,J666+J$2+1,K666-J666-J$2-1),",","."))</f>
        <v>2.3499999999999899</v>
      </c>
      <c r="AD666" s="3">
        <f>VALUE(SUBSTITUTE(MID($A666,K666+K$2+1,L666-K666-K$2-1),",","."))</f>
        <v>16.739999999999998</v>
      </c>
      <c r="AE666" s="3">
        <f>VALUE(SUBSTITUTE(MID($A666,L666+L$2+1,M666-L666-L$2-1),",","."))</f>
        <v>0</v>
      </c>
      <c r="AF666" s="3">
        <f>VALUE(SUBSTITUTE(MID($A666,M666+M$2+1,N666-M666-M$2-1),",","."))</f>
        <v>0</v>
      </c>
      <c r="AG666" s="3">
        <f>VALUE(SUBSTITUTE(MID($A666,N666+N$2+1,O666-N666-N$2-1),",","."))</f>
        <v>4.2223694304765402</v>
      </c>
      <c r="AH666" t="str">
        <f>MID($A666,O666+O$2+1,P666-O666-O$2-1)</f>
        <v/>
      </c>
      <c r="AI666" s="8" t="str">
        <f>MID($A666,P666+P$2+1,Q666-P666-P$2-1)</f>
        <v>False</v>
      </c>
      <c r="AK666" t="b">
        <f t="shared" si="92"/>
        <v>0</v>
      </c>
    </row>
    <row r="667" spans="1:37" x14ac:dyDescent="0.35">
      <c r="A667" t="s">
        <v>5214</v>
      </c>
      <c r="B667">
        <f t="shared" si="88"/>
        <v>10</v>
      </c>
      <c r="C667">
        <f t="shared" si="88"/>
        <v>43</v>
      </c>
      <c r="D667">
        <f t="shared" si="88"/>
        <v>54</v>
      </c>
      <c r="E667">
        <f t="shared" si="88"/>
        <v>80</v>
      </c>
      <c r="F667">
        <f t="shared" si="88"/>
        <v>124</v>
      </c>
      <c r="G667">
        <f t="shared" si="88"/>
        <v>145</v>
      </c>
      <c r="H667">
        <f t="shared" si="87"/>
        <v>194</v>
      </c>
      <c r="I667">
        <f t="shared" si="87"/>
        <v>216</v>
      </c>
      <c r="J667">
        <f t="shared" si="87"/>
        <v>250</v>
      </c>
      <c r="K667">
        <f t="shared" si="87"/>
        <v>284</v>
      </c>
      <c r="L667">
        <f t="shared" si="87"/>
        <v>316</v>
      </c>
      <c r="M667">
        <f t="shared" si="86"/>
        <v>331</v>
      </c>
      <c r="N667">
        <f t="shared" si="86"/>
        <v>343</v>
      </c>
      <c r="O667">
        <f t="shared" si="86"/>
        <v>368</v>
      </c>
      <c r="P667">
        <f t="shared" si="86"/>
        <v>386</v>
      </c>
      <c r="Q667">
        <f t="shared" si="93"/>
        <v>412</v>
      </c>
      <c r="S667" t="str">
        <f t="shared" si="89"/>
        <v>03.12.2025</v>
      </c>
      <c r="T667" t="str">
        <f t="shared" si="90"/>
        <v>17:15:00</v>
      </c>
      <c r="U667" t="str">
        <f t="shared" si="91"/>
        <v>03.12.2025 17:15:00</v>
      </c>
      <c r="V667" s="9" t="str">
        <f>MID($A667,C667+C$2+1,D667-C667-C$2-1)</f>
        <v>0</v>
      </c>
      <c r="W667" s="4">
        <f>VALUE(SUBSTITUTE(MID($A667,D667+D$2+1,E667-D667-D$2-1),",","."))</f>
        <v>0</v>
      </c>
      <c r="X667" s="4">
        <f>VALUE(SUBSTITUTE(MID($A667,E667+E$2+1,F667-E667-E$2-1),",","."))</f>
        <v>0.90957602214449496</v>
      </c>
      <c r="Y667" s="4">
        <f>VALUE(SUBSTITUTE(MID($A667,F667+F$2+1,G667-F667-F$2-1),",","."))</f>
        <v>0</v>
      </c>
      <c r="Z667" s="3">
        <f>VALUE(SUBSTITUTE(MID($A667,G667+G$2+1,H667-G667-G$2-1),",","."))</f>
        <v>108.98333333333299</v>
      </c>
      <c r="AA667" s="3">
        <f>VALUE(SUBSTITUTE(MID($A667,H667+H$2+1,I667-H667-H$2-1),",","."))</f>
        <v>0</v>
      </c>
      <c r="AB667" s="3">
        <f>VALUE(SUBSTITUTE(MID($A667,I667+I$2+1,J667-I667-I$2-1),",","."))</f>
        <v>11</v>
      </c>
      <c r="AC667" s="3">
        <f>VALUE(SUBSTITUTE(MID($A667,J667+J$2+1,K667-J667-J$2-1),",","."))</f>
        <v>2.3499999999999899</v>
      </c>
      <c r="AD667" s="3">
        <f>VALUE(SUBSTITUTE(MID($A667,K667+K$2+1,L667-K667-K$2-1),",","."))</f>
        <v>16.739999999999998</v>
      </c>
      <c r="AE667" s="3">
        <f>VALUE(SUBSTITUTE(MID($A667,L667+L$2+1,M667-L667-L$2-1),",","."))</f>
        <v>0</v>
      </c>
      <c r="AF667" s="3">
        <f>VALUE(SUBSTITUTE(MID($A667,M667+M$2+1,N667-M667-M$2-1),",","."))</f>
        <v>0</v>
      </c>
      <c r="AG667" s="3">
        <f>VALUE(SUBSTITUTE(MID($A667,N667+N$2+1,O667-N667-N$2-1),",","."))</f>
        <v>4.2223979503646198</v>
      </c>
      <c r="AH667" t="str">
        <f>MID($A667,O667+O$2+1,P667-O667-O$2-1)</f>
        <v/>
      </c>
      <c r="AI667" s="8" t="str">
        <f>MID($A667,P667+P$2+1,Q667-P667-P$2-1)</f>
        <v>False</v>
      </c>
      <c r="AK667" t="b">
        <f t="shared" si="92"/>
        <v>0</v>
      </c>
    </row>
    <row r="668" spans="1:37" x14ac:dyDescent="0.35">
      <c r="A668" t="s">
        <v>5215</v>
      </c>
      <c r="B668">
        <f t="shared" si="88"/>
        <v>10</v>
      </c>
      <c r="C668">
        <f t="shared" si="88"/>
        <v>43</v>
      </c>
      <c r="D668">
        <f t="shared" si="88"/>
        <v>54</v>
      </c>
      <c r="E668">
        <f t="shared" si="88"/>
        <v>80</v>
      </c>
      <c r="F668">
        <f t="shared" si="88"/>
        <v>124</v>
      </c>
      <c r="G668">
        <f t="shared" si="88"/>
        <v>145</v>
      </c>
      <c r="H668">
        <f t="shared" si="87"/>
        <v>177</v>
      </c>
      <c r="I668">
        <f t="shared" si="87"/>
        <v>199</v>
      </c>
      <c r="J668">
        <f t="shared" si="87"/>
        <v>232</v>
      </c>
      <c r="K668">
        <f t="shared" si="87"/>
        <v>252</v>
      </c>
      <c r="L668">
        <f t="shared" si="87"/>
        <v>268</v>
      </c>
      <c r="M668">
        <f t="shared" si="86"/>
        <v>283</v>
      </c>
      <c r="N668">
        <f t="shared" si="86"/>
        <v>295</v>
      </c>
      <c r="O668">
        <f t="shared" si="86"/>
        <v>320</v>
      </c>
      <c r="P668">
        <f t="shared" si="86"/>
        <v>338</v>
      </c>
      <c r="Q668">
        <f t="shared" si="93"/>
        <v>364</v>
      </c>
      <c r="S668" t="str">
        <f t="shared" si="89"/>
        <v>03.12.2025</v>
      </c>
      <c r="T668" t="str">
        <f t="shared" si="90"/>
        <v>17:30:00</v>
      </c>
      <c r="U668" t="str">
        <f t="shared" si="91"/>
        <v>03.12.2025 17:30:00</v>
      </c>
      <c r="V668" s="9" t="str">
        <f>MID($A668,C668+C$2+1,D668-C668-C$2-1)</f>
        <v>0</v>
      </c>
      <c r="W668" s="4">
        <f>VALUE(SUBSTITUTE(MID($A668,D668+D$2+1,E668-D668-D$2-1),",","."))</f>
        <v>0</v>
      </c>
      <c r="X668" s="4">
        <f>VALUE(SUBSTITUTE(MID($A668,E668+E$2+1,F668-E668-E$2-1),",","."))</f>
        <v>0.90957602214449496</v>
      </c>
      <c r="Y668" s="4">
        <f>VALUE(SUBSTITUTE(MID($A668,F668+F$2+1,G668-F668-F$2-1),",","."))</f>
        <v>0</v>
      </c>
      <c r="Z668" s="3">
        <f>VALUE(SUBSTITUTE(MID($A668,G668+G$2+1,H668-G668-G$2-1),",","."))</f>
        <v>0</v>
      </c>
      <c r="AA668" s="3">
        <f>VALUE(SUBSTITUTE(MID($A668,H668+H$2+1,I668-H668-H$2-1),",","."))</f>
        <v>0</v>
      </c>
      <c r="AB668" s="3">
        <f>VALUE(SUBSTITUTE(MID($A668,I668+I$2+1,J668-I668-I$2-1),",","."))</f>
        <v>0</v>
      </c>
      <c r="AC668" s="3">
        <f>VALUE(SUBSTITUTE(MID($A668,J668+J$2+1,K668-J668-J$2-1),",","."))</f>
        <v>1.85</v>
      </c>
      <c r="AD668" s="3">
        <f>VALUE(SUBSTITUTE(MID($A668,K668+K$2+1,L668-K668-K$2-1),",","."))</f>
        <v>18</v>
      </c>
      <c r="AE668" s="3">
        <f>VALUE(SUBSTITUTE(MID($A668,L668+L$2+1,M668-L668-L$2-1),",","."))</f>
        <v>0</v>
      </c>
      <c r="AF668" s="3">
        <f>VALUE(SUBSTITUTE(MID($A668,M668+M$2+1,N668-M668-M$2-1),",","."))</f>
        <v>0</v>
      </c>
      <c r="AG668" s="3">
        <f>VALUE(SUBSTITUTE(MID($A668,N668+N$2+1,O668-N668-N$2-1),",","."))</f>
        <v>4.2224264702527003</v>
      </c>
      <c r="AH668" t="str">
        <f>MID($A668,O668+O$2+1,P668-O668-O$2-1)</f>
        <v/>
      </c>
      <c r="AI668" s="8" t="str">
        <f>MID($A668,P668+P$2+1,Q668-P668-P$2-1)</f>
        <v>False</v>
      </c>
      <c r="AK668" t="b">
        <f t="shared" si="92"/>
        <v>0</v>
      </c>
    </row>
    <row r="669" spans="1:37" x14ac:dyDescent="0.35">
      <c r="A669" t="s">
        <v>5216</v>
      </c>
      <c r="B669">
        <f t="shared" si="88"/>
        <v>10</v>
      </c>
      <c r="C669">
        <f t="shared" si="88"/>
        <v>43</v>
      </c>
      <c r="D669">
        <f t="shared" si="88"/>
        <v>54</v>
      </c>
      <c r="E669">
        <f t="shared" si="88"/>
        <v>80</v>
      </c>
      <c r="F669">
        <f t="shared" si="88"/>
        <v>124</v>
      </c>
      <c r="G669">
        <f t="shared" si="88"/>
        <v>145</v>
      </c>
      <c r="H669">
        <f t="shared" si="87"/>
        <v>177</v>
      </c>
      <c r="I669">
        <f t="shared" si="87"/>
        <v>199</v>
      </c>
      <c r="J669">
        <f t="shared" si="87"/>
        <v>232</v>
      </c>
      <c r="K669">
        <f t="shared" si="87"/>
        <v>252</v>
      </c>
      <c r="L669">
        <f t="shared" si="87"/>
        <v>268</v>
      </c>
      <c r="M669">
        <f t="shared" si="86"/>
        <v>283</v>
      </c>
      <c r="N669">
        <f t="shared" si="86"/>
        <v>295</v>
      </c>
      <c r="O669">
        <f t="shared" si="86"/>
        <v>320</v>
      </c>
      <c r="P669">
        <f t="shared" si="86"/>
        <v>338</v>
      </c>
      <c r="Q669">
        <f t="shared" si="93"/>
        <v>364</v>
      </c>
      <c r="S669" t="str">
        <f t="shared" si="89"/>
        <v>03.12.2025</v>
      </c>
      <c r="T669" t="str">
        <f t="shared" si="90"/>
        <v>17:45:00</v>
      </c>
      <c r="U669" t="str">
        <f t="shared" si="91"/>
        <v>03.12.2025 17:45:00</v>
      </c>
      <c r="V669" s="9" t="str">
        <f>MID($A669,C669+C$2+1,D669-C669-C$2-1)</f>
        <v>0</v>
      </c>
      <c r="W669" s="4">
        <f>VALUE(SUBSTITUTE(MID($A669,D669+D$2+1,E669-D669-D$2-1),",","."))</f>
        <v>0</v>
      </c>
      <c r="X669" s="4">
        <f>VALUE(SUBSTITUTE(MID($A669,E669+E$2+1,F669-E669-E$2-1),",","."))</f>
        <v>0.90957602214449496</v>
      </c>
      <c r="Y669" s="4">
        <f>VALUE(SUBSTITUTE(MID($A669,F669+F$2+1,G669-F669-F$2-1),",","."))</f>
        <v>0</v>
      </c>
      <c r="Z669" s="3">
        <f>VALUE(SUBSTITUTE(MID($A669,G669+G$2+1,H669-G669-G$2-1),",","."))</f>
        <v>0</v>
      </c>
      <c r="AA669" s="3">
        <f>VALUE(SUBSTITUTE(MID($A669,H669+H$2+1,I669-H669-H$2-1),",","."))</f>
        <v>0</v>
      </c>
      <c r="AB669" s="3">
        <f>VALUE(SUBSTITUTE(MID($A669,I669+I$2+1,J669-I669-I$2-1),",","."))</f>
        <v>0</v>
      </c>
      <c r="AC669" s="3">
        <f>VALUE(SUBSTITUTE(MID($A669,J669+J$2+1,K669-J669-J$2-1),",","."))</f>
        <v>1.85</v>
      </c>
      <c r="AD669" s="3">
        <f>VALUE(SUBSTITUTE(MID($A669,K669+K$2+1,L669-K669-K$2-1),",","."))</f>
        <v>18</v>
      </c>
      <c r="AE669" s="3">
        <f>VALUE(SUBSTITUTE(MID($A669,L669+L$2+1,M669-L669-L$2-1),",","."))</f>
        <v>0</v>
      </c>
      <c r="AF669" s="3">
        <f>VALUE(SUBSTITUTE(MID($A669,M669+M$2+1,N669-M669-M$2-1),",","."))</f>
        <v>0</v>
      </c>
      <c r="AG669" s="3">
        <f>VALUE(SUBSTITUTE(MID($A669,N669+N$2+1,O669-N669-N$2-1),",","."))</f>
        <v>4.22245499014078</v>
      </c>
      <c r="AH669" t="str">
        <f>MID($A669,O669+O$2+1,P669-O669-O$2-1)</f>
        <v/>
      </c>
      <c r="AI669" s="8" t="str">
        <f>MID($A669,P669+P$2+1,Q669-P669-P$2-1)</f>
        <v>False</v>
      </c>
      <c r="AK669" t="b">
        <f t="shared" si="92"/>
        <v>0</v>
      </c>
    </row>
    <row r="670" spans="1:37" x14ac:dyDescent="0.35">
      <c r="A670" t="s">
        <v>5217</v>
      </c>
      <c r="B670">
        <f t="shared" si="88"/>
        <v>10</v>
      </c>
      <c r="C670">
        <f t="shared" si="88"/>
        <v>43</v>
      </c>
      <c r="D670">
        <f t="shared" si="88"/>
        <v>54</v>
      </c>
      <c r="E670">
        <f t="shared" si="88"/>
        <v>80</v>
      </c>
      <c r="F670">
        <f t="shared" si="88"/>
        <v>124</v>
      </c>
      <c r="G670">
        <f t="shared" si="88"/>
        <v>145</v>
      </c>
      <c r="H670">
        <f t="shared" si="87"/>
        <v>177</v>
      </c>
      <c r="I670">
        <f t="shared" si="87"/>
        <v>199</v>
      </c>
      <c r="J670">
        <f t="shared" si="87"/>
        <v>232</v>
      </c>
      <c r="K670">
        <f t="shared" si="87"/>
        <v>252</v>
      </c>
      <c r="L670">
        <f t="shared" si="87"/>
        <v>268</v>
      </c>
      <c r="M670">
        <f t="shared" si="86"/>
        <v>283</v>
      </c>
      <c r="N670">
        <f t="shared" si="86"/>
        <v>295</v>
      </c>
      <c r="O670">
        <f t="shared" si="86"/>
        <v>319</v>
      </c>
      <c r="P670">
        <f t="shared" si="86"/>
        <v>337</v>
      </c>
      <c r="Q670">
        <f t="shared" si="93"/>
        <v>363</v>
      </c>
      <c r="S670" t="str">
        <f t="shared" si="89"/>
        <v>03.12.2025</v>
      </c>
      <c r="T670" t="str">
        <f t="shared" si="90"/>
        <v>18:00:00</v>
      </c>
      <c r="U670" t="str">
        <f t="shared" si="91"/>
        <v>03.12.2025 18:00:00</v>
      </c>
      <c r="V670" s="9" t="str">
        <f>MID($A670,C670+C$2+1,D670-C670-C$2-1)</f>
        <v>0</v>
      </c>
      <c r="W670" s="4">
        <f>VALUE(SUBSTITUTE(MID($A670,D670+D$2+1,E670-D670-D$2-1),",","."))</f>
        <v>0</v>
      </c>
      <c r="X670" s="4">
        <f>VALUE(SUBSTITUTE(MID($A670,E670+E$2+1,F670-E670-E$2-1),",","."))</f>
        <v>0.90957602214449496</v>
      </c>
      <c r="Y670" s="4">
        <f>VALUE(SUBSTITUTE(MID($A670,F670+F$2+1,G670-F670-F$2-1),",","."))</f>
        <v>0</v>
      </c>
      <c r="Z670" s="3">
        <f>VALUE(SUBSTITUTE(MID($A670,G670+G$2+1,H670-G670-G$2-1),",","."))</f>
        <v>0</v>
      </c>
      <c r="AA670" s="3">
        <f>VALUE(SUBSTITUTE(MID($A670,H670+H$2+1,I670-H670-H$2-1),",","."))</f>
        <v>0</v>
      </c>
      <c r="AB670" s="3">
        <f>VALUE(SUBSTITUTE(MID($A670,I670+I$2+1,J670-I670-I$2-1),",","."))</f>
        <v>0</v>
      </c>
      <c r="AC670" s="3">
        <f>VALUE(SUBSTITUTE(MID($A670,J670+J$2+1,K670-J670-J$2-1),",","."))</f>
        <v>1.85</v>
      </c>
      <c r="AD670" s="3">
        <f>VALUE(SUBSTITUTE(MID($A670,K670+K$2+1,L670-K670-K$2-1),",","."))</f>
        <v>18</v>
      </c>
      <c r="AE670" s="3">
        <f>VALUE(SUBSTITUTE(MID($A670,L670+L$2+1,M670-L670-L$2-1),",","."))</f>
        <v>0</v>
      </c>
      <c r="AF670" s="3">
        <f>VALUE(SUBSTITUTE(MID($A670,M670+M$2+1,N670-M670-M$2-1),",","."))</f>
        <v>0</v>
      </c>
      <c r="AG670" s="3">
        <f>VALUE(SUBSTITUTE(MID($A670,N670+N$2+1,O670-N670-N$2-1),",","."))</f>
        <v>4.2224835100288702</v>
      </c>
      <c r="AH670" t="str">
        <f>MID($A670,O670+O$2+1,P670-O670-O$2-1)</f>
        <v/>
      </c>
      <c r="AI670" s="8" t="str">
        <f>MID($A670,P670+P$2+1,Q670-P670-P$2-1)</f>
        <v>False</v>
      </c>
      <c r="AK670" t="b">
        <f t="shared" si="92"/>
        <v>0</v>
      </c>
    </row>
    <row r="671" spans="1:37" x14ac:dyDescent="0.35">
      <c r="A671" t="s">
        <v>5218</v>
      </c>
      <c r="B671">
        <f t="shared" si="88"/>
        <v>10</v>
      </c>
      <c r="C671">
        <f t="shared" si="88"/>
        <v>43</v>
      </c>
      <c r="D671">
        <f t="shared" si="88"/>
        <v>54</v>
      </c>
      <c r="E671">
        <f t="shared" si="88"/>
        <v>80</v>
      </c>
      <c r="F671">
        <f t="shared" si="88"/>
        <v>124</v>
      </c>
      <c r="G671">
        <f t="shared" si="88"/>
        <v>145</v>
      </c>
      <c r="H671">
        <f t="shared" si="87"/>
        <v>177</v>
      </c>
      <c r="I671">
        <f t="shared" si="87"/>
        <v>199</v>
      </c>
      <c r="J671">
        <f t="shared" si="87"/>
        <v>232</v>
      </c>
      <c r="K671">
        <f t="shared" si="87"/>
        <v>252</v>
      </c>
      <c r="L671">
        <f t="shared" si="87"/>
        <v>268</v>
      </c>
      <c r="M671">
        <f t="shared" si="86"/>
        <v>283</v>
      </c>
      <c r="N671">
        <f t="shared" si="86"/>
        <v>295</v>
      </c>
      <c r="O671">
        <f t="shared" si="86"/>
        <v>320</v>
      </c>
      <c r="P671">
        <f t="shared" si="86"/>
        <v>338</v>
      </c>
      <c r="Q671">
        <f t="shared" si="93"/>
        <v>364</v>
      </c>
      <c r="S671" t="str">
        <f t="shared" si="89"/>
        <v>03.12.2025</v>
      </c>
      <c r="T671" t="str">
        <f t="shared" si="90"/>
        <v>18:15:00</v>
      </c>
      <c r="U671" t="str">
        <f t="shared" si="91"/>
        <v>03.12.2025 18:15:00</v>
      </c>
      <c r="V671" s="9" t="str">
        <f>MID($A671,C671+C$2+1,D671-C671-C$2-1)</f>
        <v>0</v>
      </c>
      <c r="W671" s="4">
        <f>VALUE(SUBSTITUTE(MID($A671,D671+D$2+1,E671-D671-D$2-1),",","."))</f>
        <v>0</v>
      </c>
      <c r="X671" s="4">
        <f>VALUE(SUBSTITUTE(MID($A671,E671+E$2+1,F671-E671-E$2-1),",","."))</f>
        <v>0.90957602214449496</v>
      </c>
      <c r="Y671" s="4">
        <f>VALUE(SUBSTITUTE(MID($A671,F671+F$2+1,G671-F671-F$2-1),",","."))</f>
        <v>0</v>
      </c>
      <c r="Z671" s="3">
        <f>VALUE(SUBSTITUTE(MID($A671,G671+G$2+1,H671-G671-G$2-1),",","."))</f>
        <v>0</v>
      </c>
      <c r="AA671" s="3">
        <f>VALUE(SUBSTITUTE(MID($A671,H671+H$2+1,I671-H671-H$2-1),",","."))</f>
        <v>0</v>
      </c>
      <c r="AB671" s="3">
        <f>VALUE(SUBSTITUTE(MID($A671,I671+I$2+1,J671-I671-I$2-1),",","."))</f>
        <v>0</v>
      </c>
      <c r="AC671" s="3">
        <f>VALUE(SUBSTITUTE(MID($A671,J671+J$2+1,K671-J671-J$2-1),",","."))</f>
        <v>1.85</v>
      </c>
      <c r="AD671" s="3">
        <f>VALUE(SUBSTITUTE(MID($A671,K671+K$2+1,L671-K671-K$2-1),",","."))</f>
        <v>18</v>
      </c>
      <c r="AE671" s="3">
        <f>VALUE(SUBSTITUTE(MID($A671,L671+L$2+1,M671-L671-L$2-1),",","."))</f>
        <v>0</v>
      </c>
      <c r="AF671" s="3">
        <f>VALUE(SUBSTITUTE(MID($A671,M671+M$2+1,N671-M671-M$2-1),",","."))</f>
        <v>0</v>
      </c>
      <c r="AG671" s="3">
        <f>VALUE(SUBSTITUTE(MID($A671,N671+N$2+1,O671-N671-N$2-1),",","."))</f>
        <v>4.2225120299169498</v>
      </c>
      <c r="AH671" t="str">
        <f>MID($A671,O671+O$2+1,P671-O671-O$2-1)</f>
        <v/>
      </c>
      <c r="AI671" s="8" t="str">
        <f>MID($A671,P671+P$2+1,Q671-P671-P$2-1)</f>
        <v>False</v>
      </c>
      <c r="AK671" t="b">
        <f t="shared" si="92"/>
        <v>0</v>
      </c>
    </row>
    <row r="672" spans="1:37" x14ac:dyDescent="0.35">
      <c r="A672" t="s">
        <v>5219</v>
      </c>
      <c r="B672">
        <f t="shared" si="88"/>
        <v>10</v>
      </c>
      <c r="C672">
        <f t="shared" si="88"/>
        <v>43</v>
      </c>
      <c r="D672">
        <f t="shared" si="88"/>
        <v>54</v>
      </c>
      <c r="E672">
        <f t="shared" ref="E672:P702" si="94">FIND(E$1,$A672)</f>
        <v>80</v>
      </c>
      <c r="F672">
        <f t="shared" si="94"/>
        <v>124</v>
      </c>
      <c r="G672">
        <f t="shared" si="94"/>
        <v>145</v>
      </c>
      <c r="H672">
        <f t="shared" si="87"/>
        <v>177</v>
      </c>
      <c r="I672">
        <f t="shared" si="87"/>
        <v>199</v>
      </c>
      <c r="J672">
        <f t="shared" si="87"/>
        <v>232</v>
      </c>
      <c r="K672">
        <f t="shared" si="87"/>
        <v>251</v>
      </c>
      <c r="L672">
        <f t="shared" si="87"/>
        <v>270</v>
      </c>
      <c r="M672">
        <f t="shared" si="86"/>
        <v>285</v>
      </c>
      <c r="N672">
        <f t="shared" si="86"/>
        <v>297</v>
      </c>
      <c r="O672">
        <f t="shared" si="86"/>
        <v>322</v>
      </c>
      <c r="P672">
        <f t="shared" si="86"/>
        <v>340</v>
      </c>
      <c r="Q672">
        <f t="shared" si="93"/>
        <v>366</v>
      </c>
      <c r="S672" t="str">
        <f t="shared" si="89"/>
        <v>03.12.2025</v>
      </c>
      <c r="T672" t="str">
        <f t="shared" si="90"/>
        <v>18:30:00</v>
      </c>
      <c r="U672" t="str">
        <f t="shared" si="91"/>
        <v>03.12.2025 18:30:00</v>
      </c>
      <c r="V672" s="9" t="str">
        <f>MID($A672,C672+C$2+1,D672-C672-C$2-1)</f>
        <v>0</v>
      </c>
      <c r="W672" s="4">
        <f>VALUE(SUBSTITUTE(MID($A672,D672+D$2+1,E672-D672-D$2-1),",","."))</f>
        <v>0</v>
      </c>
      <c r="X672" s="4">
        <f>VALUE(SUBSTITUTE(MID($A672,E672+E$2+1,F672-E672-E$2-1),",","."))</f>
        <v>0.90957602214449496</v>
      </c>
      <c r="Y672" s="4">
        <f>VALUE(SUBSTITUTE(MID($A672,F672+F$2+1,G672-F672-F$2-1),",","."))</f>
        <v>0</v>
      </c>
      <c r="Z672" s="3">
        <f>VALUE(SUBSTITUTE(MID($A672,G672+G$2+1,H672-G672-G$2-1),",","."))</f>
        <v>0</v>
      </c>
      <c r="AA672" s="3">
        <f>VALUE(SUBSTITUTE(MID($A672,H672+H$2+1,I672-H672-H$2-1),",","."))</f>
        <v>0</v>
      </c>
      <c r="AB672" s="3">
        <f>VALUE(SUBSTITUTE(MID($A672,I672+I$2+1,J672-I672-I$2-1),",","."))</f>
        <v>0</v>
      </c>
      <c r="AC672" s="3">
        <f>VALUE(SUBSTITUTE(MID($A672,J672+J$2+1,K672-J672-J$2-1),",","."))</f>
        <v>1.5</v>
      </c>
      <c r="AD672" s="3">
        <f>VALUE(SUBSTITUTE(MID($A672,K672+K$2+1,L672-K672-K$2-1),",","."))</f>
        <v>18.72</v>
      </c>
      <c r="AE672" s="3">
        <f>VALUE(SUBSTITUTE(MID($A672,L672+L$2+1,M672-L672-L$2-1),",","."))</f>
        <v>0</v>
      </c>
      <c r="AF672" s="3">
        <f>VALUE(SUBSTITUTE(MID($A672,M672+M$2+1,N672-M672-M$2-1),",","."))</f>
        <v>0</v>
      </c>
      <c r="AG672" s="3">
        <f>VALUE(SUBSTITUTE(MID($A672,N672+N$2+1,O672-N672-N$2-1),",","."))</f>
        <v>4.2225405498050304</v>
      </c>
      <c r="AH672" t="str">
        <f>MID($A672,O672+O$2+1,P672-O672-O$2-1)</f>
        <v/>
      </c>
      <c r="AI672" s="8" t="str">
        <f>MID($A672,P672+P$2+1,Q672-P672-P$2-1)</f>
        <v>False</v>
      </c>
      <c r="AK672" t="b">
        <f t="shared" si="92"/>
        <v>0</v>
      </c>
    </row>
    <row r="673" spans="1:37" x14ac:dyDescent="0.35">
      <c r="A673" t="s">
        <v>5220</v>
      </c>
      <c r="B673">
        <f t="shared" ref="B673:G730" si="95">FIND(B$1,$A673)</f>
        <v>10</v>
      </c>
      <c r="C673">
        <f t="shared" si="95"/>
        <v>43</v>
      </c>
      <c r="D673">
        <f t="shared" si="95"/>
        <v>54</v>
      </c>
      <c r="E673">
        <f t="shared" si="94"/>
        <v>80</v>
      </c>
      <c r="F673">
        <f t="shared" si="94"/>
        <v>124</v>
      </c>
      <c r="G673">
        <f t="shared" si="94"/>
        <v>145</v>
      </c>
      <c r="H673">
        <f t="shared" si="87"/>
        <v>177</v>
      </c>
      <c r="I673">
        <f t="shared" si="87"/>
        <v>199</v>
      </c>
      <c r="J673">
        <f t="shared" si="87"/>
        <v>232</v>
      </c>
      <c r="K673">
        <f t="shared" si="87"/>
        <v>251</v>
      </c>
      <c r="L673">
        <f t="shared" si="87"/>
        <v>270</v>
      </c>
      <c r="M673">
        <f t="shared" si="86"/>
        <v>285</v>
      </c>
      <c r="N673">
        <f t="shared" si="86"/>
        <v>297</v>
      </c>
      <c r="O673">
        <f t="shared" si="86"/>
        <v>322</v>
      </c>
      <c r="P673">
        <f t="shared" si="86"/>
        <v>340</v>
      </c>
      <c r="Q673">
        <f t="shared" si="93"/>
        <v>366</v>
      </c>
      <c r="S673" t="str">
        <f t="shared" si="89"/>
        <v>03.12.2025</v>
      </c>
      <c r="T673" t="str">
        <f t="shared" si="90"/>
        <v>18:45:00</v>
      </c>
      <c r="U673" t="str">
        <f t="shared" si="91"/>
        <v>03.12.2025 18:45:00</v>
      </c>
      <c r="V673" s="9" t="str">
        <f>MID($A673,C673+C$2+1,D673-C673-C$2-1)</f>
        <v>0</v>
      </c>
      <c r="W673" s="4">
        <f>VALUE(SUBSTITUTE(MID($A673,D673+D$2+1,E673-D673-D$2-1),",","."))</f>
        <v>0</v>
      </c>
      <c r="X673" s="4">
        <f>VALUE(SUBSTITUTE(MID($A673,E673+E$2+1,F673-E673-E$2-1),",","."))</f>
        <v>0.90957602214449496</v>
      </c>
      <c r="Y673" s="4">
        <f>VALUE(SUBSTITUTE(MID($A673,F673+F$2+1,G673-F673-F$2-1),",","."))</f>
        <v>0</v>
      </c>
      <c r="Z673" s="3">
        <f>VALUE(SUBSTITUTE(MID($A673,G673+G$2+1,H673-G673-G$2-1),",","."))</f>
        <v>0</v>
      </c>
      <c r="AA673" s="3">
        <f>VALUE(SUBSTITUTE(MID($A673,H673+H$2+1,I673-H673-H$2-1),",","."))</f>
        <v>0</v>
      </c>
      <c r="AB673" s="3">
        <f>VALUE(SUBSTITUTE(MID($A673,I673+I$2+1,J673-I673-I$2-1),",","."))</f>
        <v>0</v>
      </c>
      <c r="AC673" s="3">
        <f>VALUE(SUBSTITUTE(MID($A673,J673+J$2+1,K673-J673-J$2-1),",","."))</f>
        <v>1.5</v>
      </c>
      <c r="AD673" s="3">
        <f>VALUE(SUBSTITUTE(MID($A673,K673+K$2+1,L673-K673-K$2-1),",","."))</f>
        <v>18.72</v>
      </c>
      <c r="AE673" s="3">
        <f>VALUE(SUBSTITUTE(MID($A673,L673+L$2+1,M673-L673-L$2-1),",","."))</f>
        <v>0</v>
      </c>
      <c r="AF673" s="3">
        <f>VALUE(SUBSTITUTE(MID($A673,M673+M$2+1,N673-M673-M$2-1),",","."))</f>
        <v>0</v>
      </c>
      <c r="AG673" s="3">
        <f>VALUE(SUBSTITUTE(MID($A673,N673+N$2+1,O673-N673-N$2-1),",","."))</f>
        <v>4.22256906969311</v>
      </c>
      <c r="AH673" t="str">
        <f>MID($A673,O673+O$2+1,P673-O673-O$2-1)</f>
        <v/>
      </c>
      <c r="AI673" s="8" t="str">
        <f>MID($A673,P673+P$2+1,Q673-P673-P$2-1)</f>
        <v>False</v>
      </c>
      <c r="AK673" t="b">
        <f t="shared" si="92"/>
        <v>0</v>
      </c>
    </row>
    <row r="674" spans="1:37" x14ac:dyDescent="0.35">
      <c r="A674" t="s">
        <v>5221</v>
      </c>
      <c r="B674">
        <f t="shared" si="95"/>
        <v>10</v>
      </c>
      <c r="C674">
        <f t="shared" si="95"/>
        <v>43</v>
      </c>
      <c r="D674">
        <f t="shared" si="95"/>
        <v>54</v>
      </c>
      <c r="E674">
        <f t="shared" si="94"/>
        <v>80</v>
      </c>
      <c r="F674">
        <f t="shared" si="94"/>
        <v>124</v>
      </c>
      <c r="G674">
        <f t="shared" si="94"/>
        <v>145</v>
      </c>
      <c r="H674">
        <f t="shared" si="87"/>
        <v>177</v>
      </c>
      <c r="I674">
        <f t="shared" si="87"/>
        <v>199</v>
      </c>
      <c r="J674">
        <f t="shared" si="87"/>
        <v>232</v>
      </c>
      <c r="K674">
        <f t="shared" si="87"/>
        <v>251</v>
      </c>
      <c r="L674">
        <f t="shared" si="87"/>
        <v>270</v>
      </c>
      <c r="M674">
        <f t="shared" si="86"/>
        <v>285</v>
      </c>
      <c r="N674">
        <f t="shared" si="86"/>
        <v>297</v>
      </c>
      <c r="O674">
        <f t="shared" si="86"/>
        <v>322</v>
      </c>
      <c r="P674">
        <f t="shared" si="86"/>
        <v>340</v>
      </c>
      <c r="Q674">
        <f t="shared" si="93"/>
        <v>366</v>
      </c>
      <c r="S674" t="str">
        <f t="shared" si="89"/>
        <v>03.12.2025</v>
      </c>
      <c r="T674" t="str">
        <f t="shared" si="90"/>
        <v>19:00:00</v>
      </c>
      <c r="U674" t="str">
        <f t="shared" si="91"/>
        <v>03.12.2025 19:00:00</v>
      </c>
      <c r="V674" s="9" t="str">
        <f>MID($A674,C674+C$2+1,D674-C674-C$2-1)</f>
        <v>0</v>
      </c>
      <c r="W674" s="4">
        <f>VALUE(SUBSTITUTE(MID($A674,D674+D$2+1,E674-D674-D$2-1),",","."))</f>
        <v>0</v>
      </c>
      <c r="X674" s="4">
        <f>VALUE(SUBSTITUTE(MID($A674,E674+E$2+1,F674-E674-E$2-1),",","."))</f>
        <v>0.90957602214449496</v>
      </c>
      <c r="Y674" s="4">
        <f>VALUE(SUBSTITUTE(MID($A674,F674+F$2+1,G674-F674-F$2-1),",","."))</f>
        <v>0</v>
      </c>
      <c r="Z674" s="3">
        <f>VALUE(SUBSTITUTE(MID($A674,G674+G$2+1,H674-G674-G$2-1),",","."))</f>
        <v>0</v>
      </c>
      <c r="AA674" s="3">
        <f>VALUE(SUBSTITUTE(MID($A674,H674+H$2+1,I674-H674-H$2-1),",","."))</f>
        <v>0</v>
      </c>
      <c r="AB674" s="3">
        <f>VALUE(SUBSTITUTE(MID($A674,I674+I$2+1,J674-I674-I$2-1),",","."))</f>
        <v>0</v>
      </c>
      <c r="AC674" s="3">
        <f>VALUE(SUBSTITUTE(MID($A674,J674+J$2+1,K674-J674-J$2-1),",","."))</f>
        <v>1.5</v>
      </c>
      <c r="AD674" s="3">
        <f>VALUE(SUBSTITUTE(MID($A674,K674+K$2+1,L674-K674-K$2-1),",","."))</f>
        <v>18.72</v>
      </c>
      <c r="AE674" s="3">
        <f>VALUE(SUBSTITUTE(MID($A674,L674+L$2+1,M674-L674-L$2-1),",","."))</f>
        <v>0</v>
      </c>
      <c r="AF674" s="3">
        <f>VALUE(SUBSTITUTE(MID($A674,M674+M$2+1,N674-M674-M$2-1),",","."))</f>
        <v>0</v>
      </c>
      <c r="AG674" s="3">
        <f>VALUE(SUBSTITUTE(MID($A674,N674+N$2+1,O674-N674-N$2-1),",","."))</f>
        <v>4.2225975895811896</v>
      </c>
      <c r="AH674" t="str">
        <f>MID($A674,O674+O$2+1,P674-O674-O$2-1)</f>
        <v/>
      </c>
      <c r="AI674" s="8" t="str">
        <f>MID($A674,P674+P$2+1,Q674-P674-P$2-1)</f>
        <v>False</v>
      </c>
      <c r="AK674" t="b">
        <f t="shared" si="92"/>
        <v>0</v>
      </c>
    </row>
    <row r="675" spans="1:37" x14ac:dyDescent="0.35">
      <c r="A675" t="s">
        <v>5222</v>
      </c>
      <c r="B675">
        <f t="shared" si="95"/>
        <v>10</v>
      </c>
      <c r="C675">
        <f t="shared" si="95"/>
        <v>43</v>
      </c>
      <c r="D675">
        <f t="shared" si="95"/>
        <v>54</v>
      </c>
      <c r="E675">
        <f t="shared" si="94"/>
        <v>80</v>
      </c>
      <c r="F675">
        <f t="shared" si="94"/>
        <v>124</v>
      </c>
      <c r="G675">
        <f t="shared" si="94"/>
        <v>145</v>
      </c>
      <c r="H675">
        <f t="shared" si="87"/>
        <v>177</v>
      </c>
      <c r="I675">
        <f t="shared" si="87"/>
        <v>199</v>
      </c>
      <c r="J675">
        <f t="shared" si="87"/>
        <v>232</v>
      </c>
      <c r="K675">
        <f t="shared" si="87"/>
        <v>251</v>
      </c>
      <c r="L675">
        <f t="shared" si="87"/>
        <v>270</v>
      </c>
      <c r="M675">
        <f t="shared" si="86"/>
        <v>285</v>
      </c>
      <c r="N675">
        <f t="shared" si="86"/>
        <v>297</v>
      </c>
      <c r="O675">
        <f t="shared" si="86"/>
        <v>322</v>
      </c>
      <c r="P675">
        <f t="shared" si="86"/>
        <v>340</v>
      </c>
      <c r="Q675">
        <f t="shared" si="93"/>
        <v>366</v>
      </c>
      <c r="S675" t="str">
        <f t="shared" si="89"/>
        <v>03.12.2025</v>
      </c>
      <c r="T675" t="str">
        <f t="shared" si="90"/>
        <v>19:15:00</v>
      </c>
      <c r="U675" t="str">
        <f t="shared" si="91"/>
        <v>03.12.2025 19:15:00</v>
      </c>
      <c r="V675" s="9" t="str">
        <f>MID($A675,C675+C$2+1,D675-C675-C$2-1)</f>
        <v>0</v>
      </c>
      <c r="W675" s="4">
        <f>VALUE(SUBSTITUTE(MID($A675,D675+D$2+1,E675-D675-D$2-1),",","."))</f>
        <v>0</v>
      </c>
      <c r="X675" s="4">
        <f>VALUE(SUBSTITUTE(MID($A675,E675+E$2+1,F675-E675-E$2-1),",","."))</f>
        <v>0.90957602214449496</v>
      </c>
      <c r="Y675" s="4">
        <f>VALUE(SUBSTITUTE(MID($A675,F675+F$2+1,G675-F675-F$2-1),",","."))</f>
        <v>0</v>
      </c>
      <c r="Z675" s="3">
        <f>VALUE(SUBSTITUTE(MID($A675,G675+G$2+1,H675-G675-G$2-1),",","."))</f>
        <v>0</v>
      </c>
      <c r="AA675" s="3">
        <f>VALUE(SUBSTITUTE(MID($A675,H675+H$2+1,I675-H675-H$2-1),",","."))</f>
        <v>0</v>
      </c>
      <c r="AB675" s="3">
        <f>VALUE(SUBSTITUTE(MID($A675,I675+I$2+1,J675-I675-I$2-1),",","."))</f>
        <v>0</v>
      </c>
      <c r="AC675" s="3">
        <f>VALUE(SUBSTITUTE(MID($A675,J675+J$2+1,K675-J675-J$2-1),",","."))</f>
        <v>1.5</v>
      </c>
      <c r="AD675" s="3">
        <f>VALUE(SUBSTITUTE(MID($A675,K675+K$2+1,L675-K675-K$2-1),",","."))</f>
        <v>18.72</v>
      </c>
      <c r="AE675" s="3">
        <f>VALUE(SUBSTITUTE(MID($A675,L675+L$2+1,M675-L675-L$2-1),",","."))</f>
        <v>0</v>
      </c>
      <c r="AF675" s="3">
        <f>VALUE(SUBSTITUTE(MID($A675,M675+M$2+1,N675-M675-M$2-1),",","."))</f>
        <v>0</v>
      </c>
      <c r="AG675" s="3">
        <f>VALUE(SUBSTITUTE(MID($A675,N675+N$2+1,O675-N675-N$2-1),",","."))</f>
        <v>4.2226261094692701</v>
      </c>
      <c r="AH675" t="str">
        <f>MID($A675,O675+O$2+1,P675-O675-O$2-1)</f>
        <v/>
      </c>
      <c r="AI675" s="8" t="str">
        <f>MID($A675,P675+P$2+1,Q675-P675-P$2-1)</f>
        <v>False</v>
      </c>
      <c r="AK675" t="b">
        <f t="shared" si="92"/>
        <v>0</v>
      </c>
    </row>
    <row r="676" spans="1:37" x14ac:dyDescent="0.35">
      <c r="A676" t="s">
        <v>5223</v>
      </c>
      <c r="B676">
        <f t="shared" si="95"/>
        <v>10</v>
      </c>
      <c r="C676">
        <f t="shared" si="95"/>
        <v>43</v>
      </c>
      <c r="D676">
        <f t="shared" si="95"/>
        <v>54</v>
      </c>
      <c r="E676">
        <f t="shared" si="94"/>
        <v>80</v>
      </c>
      <c r="F676">
        <f t="shared" si="94"/>
        <v>124</v>
      </c>
      <c r="G676">
        <f t="shared" si="94"/>
        <v>145</v>
      </c>
      <c r="H676">
        <f t="shared" si="87"/>
        <v>177</v>
      </c>
      <c r="I676">
        <f t="shared" si="87"/>
        <v>199</v>
      </c>
      <c r="J676">
        <f t="shared" si="87"/>
        <v>232</v>
      </c>
      <c r="K676">
        <f t="shared" si="87"/>
        <v>251</v>
      </c>
      <c r="L676">
        <f t="shared" si="87"/>
        <v>270</v>
      </c>
      <c r="M676">
        <f t="shared" si="86"/>
        <v>285</v>
      </c>
      <c r="N676">
        <f t="shared" si="86"/>
        <v>297</v>
      </c>
      <c r="O676">
        <f t="shared" si="86"/>
        <v>323</v>
      </c>
      <c r="P676">
        <f t="shared" si="86"/>
        <v>341</v>
      </c>
      <c r="Q676">
        <f t="shared" si="93"/>
        <v>367</v>
      </c>
      <c r="S676" t="str">
        <f t="shared" si="89"/>
        <v>03.12.2025</v>
      </c>
      <c r="T676" t="str">
        <f t="shared" si="90"/>
        <v>19:30:00</v>
      </c>
      <c r="U676" t="str">
        <f t="shared" si="91"/>
        <v>03.12.2025 19:30:00</v>
      </c>
      <c r="V676" s="9" t="str">
        <f>MID($A676,C676+C$2+1,D676-C676-C$2-1)</f>
        <v>0</v>
      </c>
      <c r="W676" s="4">
        <f>VALUE(SUBSTITUTE(MID($A676,D676+D$2+1,E676-D676-D$2-1),",","."))</f>
        <v>0</v>
      </c>
      <c r="X676" s="4">
        <f>VALUE(SUBSTITUTE(MID($A676,E676+E$2+1,F676-E676-E$2-1),",","."))</f>
        <v>0.90957602214449496</v>
      </c>
      <c r="Y676" s="4">
        <f>VALUE(SUBSTITUTE(MID($A676,F676+F$2+1,G676-F676-F$2-1),",","."))</f>
        <v>0</v>
      </c>
      <c r="Z676" s="3">
        <f>VALUE(SUBSTITUTE(MID($A676,G676+G$2+1,H676-G676-G$2-1),",","."))</f>
        <v>0</v>
      </c>
      <c r="AA676" s="3">
        <f>VALUE(SUBSTITUTE(MID($A676,H676+H$2+1,I676-H676-H$2-1),",","."))</f>
        <v>0</v>
      </c>
      <c r="AB676" s="3">
        <f>VALUE(SUBSTITUTE(MID($A676,I676+I$2+1,J676-I676-I$2-1),",","."))</f>
        <v>0</v>
      </c>
      <c r="AC676" s="3">
        <f>VALUE(SUBSTITUTE(MID($A676,J676+J$2+1,K676-J676-J$2-1),",","."))</f>
        <v>1.3</v>
      </c>
      <c r="AD676" s="3">
        <f>VALUE(SUBSTITUTE(MID($A676,K676+K$2+1,L676-K676-K$2-1),",","."))</f>
        <v>17.64</v>
      </c>
      <c r="AE676" s="3">
        <f>VALUE(SUBSTITUTE(MID($A676,L676+L$2+1,M676-L676-L$2-1),",","."))</f>
        <v>0</v>
      </c>
      <c r="AF676" s="3">
        <f>VALUE(SUBSTITUTE(MID($A676,M676+M$2+1,N676-M676-M$2-1),",","."))</f>
        <v>0</v>
      </c>
      <c r="AG676" s="3">
        <f>VALUE(SUBSTITUTE(MID($A676,N676+N$2+1,O676-N676-N$2-1),",","."))</f>
        <v>4.2226546293573497</v>
      </c>
      <c r="AH676" t="str">
        <f>MID($A676,O676+O$2+1,P676-O676-O$2-1)</f>
        <v/>
      </c>
      <c r="AI676" s="8" t="str">
        <f>MID($A676,P676+P$2+1,Q676-P676-P$2-1)</f>
        <v>False</v>
      </c>
      <c r="AK676" t="b">
        <f t="shared" si="92"/>
        <v>0</v>
      </c>
    </row>
    <row r="677" spans="1:37" x14ac:dyDescent="0.35">
      <c r="A677" t="s">
        <v>5224</v>
      </c>
      <c r="B677">
        <f t="shared" si="95"/>
        <v>10</v>
      </c>
      <c r="C677">
        <f t="shared" si="95"/>
        <v>43</v>
      </c>
      <c r="D677">
        <f t="shared" si="95"/>
        <v>54</v>
      </c>
      <c r="E677">
        <f t="shared" si="94"/>
        <v>80</v>
      </c>
      <c r="F677">
        <f t="shared" si="94"/>
        <v>124</v>
      </c>
      <c r="G677">
        <f t="shared" si="94"/>
        <v>145</v>
      </c>
      <c r="H677">
        <f t="shared" si="87"/>
        <v>177</v>
      </c>
      <c r="I677">
        <f t="shared" si="87"/>
        <v>199</v>
      </c>
      <c r="J677">
        <f t="shared" si="87"/>
        <v>232</v>
      </c>
      <c r="K677">
        <f t="shared" si="87"/>
        <v>251</v>
      </c>
      <c r="L677">
        <f t="shared" si="87"/>
        <v>270</v>
      </c>
      <c r="M677">
        <f t="shared" si="86"/>
        <v>285</v>
      </c>
      <c r="N677">
        <f t="shared" si="86"/>
        <v>297</v>
      </c>
      <c r="O677">
        <f t="shared" si="86"/>
        <v>322</v>
      </c>
      <c r="P677">
        <f t="shared" si="86"/>
        <v>340</v>
      </c>
      <c r="Q677">
        <f t="shared" si="93"/>
        <v>366</v>
      </c>
      <c r="S677" t="str">
        <f t="shared" si="89"/>
        <v>03.12.2025</v>
      </c>
      <c r="T677" t="str">
        <f t="shared" si="90"/>
        <v>19:45:00</v>
      </c>
      <c r="U677" t="str">
        <f t="shared" si="91"/>
        <v>03.12.2025 19:45:00</v>
      </c>
      <c r="V677" s="9" t="str">
        <f>MID($A677,C677+C$2+1,D677-C677-C$2-1)</f>
        <v>0</v>
      </c>
      <c r="W677" s="4">
        <f>VALUE(SUBSTITUTE(MID($A677,D677+D$2+1,E677-D677-D$2-1),",","."))</f>
        <v>0</v>
      </c>
      <c r="X677" s="4">
        <f>VALUE(SUBSTITUTE(MID($A677,E677+E$2+1,F677-E677-E$2-1),",","."))</f>
        <v>0.90957602214449496</v>
      </c>
      <c r="Y677" s="4">
        <f>VALUE(SUBSTITUTE(MID($A677,F677+F$2+1,G677-F677-F$2-1),",","."))</f>
        <v>0</v>
      </c>
      <c r="Z677" s="3">
        <f>VALUE(SUBSTITUTE(MID($A677,G677+G$2+1,H677-G677-G$2-1),",","."))</f>
        <v>0</v>
      </c>
      <c r="AA677" s="3">
        <f>VALUE(SUBSTITUTE(MID($A677,H677+H$2+1,I677-H677-H$2-1),",","."))</f>
        <v>0</v>
      </c>
      <c r="AB677" s="3">
        <f>VALUE(SUBSTITUTE(MID($A677,I677+I$2+1,J677-I677-I$2-1),",","."))</f>
        <v>0</v>
      </c>
      <c r="AC677" s="3">
        <f>VALUE(SUBSTITUTE(MID($A677,J677+J$2+1,K677-J677-J$2-1),",","."))</f>
        <v>1.3</v>
      </c>
      <c r="AD677" s="3">
        <f>VALUE(SUBSTITUTE(MID($A677,K677+K$2+1,L677-K677-K$2-1),",","."))</f>
        <v>17.64</v>
      </c>
      <c r="AE677" s="3">
        <f>VALUE(SUBSTITUTE(MID($A677,L677+L$2+1,M677-L677-L$2-1),",","."))</f>
        <v>0</v>
      </c>
      <c r="AF677" s="3">
        <f>VALUE(SUBSTITUTE(MID($A677,M677+M$2+1,N677-M677-M$2-1),",","."))</f>
        <v>0</v>
      </c>
      <c r="AG677" s="3">
        <f>VALUE(SUBSTITUTE(MID($A677,N677+N$2+1,O677-N677-N$2-1),",","."))</f>
        <v>4.22268314924544</v>
      </c>
      <c r="AH677" t="str">
        <f>MID($A677,O677+O$2+1,P677-O677-O$2-1)</f>
        <v/>
      </c>
      <c r="AI677" s="8" t="str">
        <f>MID($A677,P677+P$2+1,Q677-P677-P$2-1)</f>
        <v>False</v>
      </c>
      <c r="AK677" t="b">
        <f t="shared" si="92"/>
        <v>0</v>
      </c>
    </row>
    <row r="678" spans="1:37" x14ac:dyDescent="0.35">
      <c r="A678" t="s">
        <v>5225</v>
      </c>
      <c r="B678">
        <f t="shared" si="95"/>
        <v>10</v>
      </c>
      <c r="C678">
        <f t="shared" si="95"/>
        <v>43</v>
      </c>
      <c r="D678">
        <f t="shared" si="95"/>
        <v>54</v>
      </c>
      <c r="E678">
        <f t="shared" si="94"/>
        <v>80</v>
      </c>
      <c r="F678">
        <f t="shared" si="94"/>
        <v>124</v>
      </c>
      <c r="G678">
        <f t="shared" si="94"/>
        <v>145</v>
      </c>
      <c r="H678">
        <f t="shared" si="87"/>
        <v>177</v>
      </c>
      <c r="I678">
        <f t="shared" si="87"/>
        <v>199</v>
      </c>
      <c r="J678">
        <f t="shared" si="87"/>
        <v>232</v>
      </c>
      <c r="K678">
        <f t="shared" si="87"/>
        <v>251</v>
      </c>
      <c r="L678">
        <f t="shared" si="87"/>
        <v>270</v>
      </c>
      <c r="M678">
        <f t="shared" si="86"/>
        <v>285</v>
      </c>
      <c r="N678">
        <f t="shared" si="86"/>
        <v>297</v>
      </c>
      <c r="O678">
        <f t="shared" si="86"/>
        <v>322</v>
      </c>
      <c r="P678">
        <f t="shared" si="86"/>
        <v>340</v>
      </c>
      <c r="Q678">
        <f t="shared" si="93"/>
        <v>366</v>
      </c>
      <c r="S678" t="str">
        <f t="shared" si="89"/>
        <v>03.12.2025</v>
      </c>
      <c r="T678" t="str">
        <f t="shared" si="90"/>
        <v>20:00:00</v>
      </c>
      <c r="U678" t="str">
        <f t="shared" si="91"/>
        <v>03.12.2025 20:00:00</v>
      </c>
      <c r="V678" s="9" t="str">
        <f>MID($A678,C678+C$2+1,D678-C678-C$2-1)</f>
        <v>0</v>
      </c>
      <c r="W678" s="4">
        <f>VALUE(SUBSTITUTE(MID($A678,D678+D$2+1,E678-D678-D$2-1),",","."))</f>
        <v>0</v>
      </c>
      <c r="X678" s="4">
        <f>VALUE(SUBSTITUTE(MID($A678,E678+E$2+1,F678-E678-E$2-1),",","."))</f>
        <v>0.90957602214449496</v>
      </c>
      <c r="Y678" s="4">
        <f>VALUE(SUBSTITUTE(MID($A678,F678+F$2+1,G678-F678-F$2-1),",","."))</f>
        <v>0</v>
      </c>
      <c r="Z678" s="3">
        <f>VALUE(SUBSTITUTE(MID($A678,G678+G$2+1,H678-G678-G$2-1),",","."))</f>
        <v>0</v>
      </c>
      <c r="AA678" s="3">
        <f>VALUE(SUBSTITUTE(MID($A678,H678+H$2+1,I678-H678-H$2-1),",","."))</f>
        <v>0</v>
      </c>
      <c r="AB678" s="3">
        <f>VALUE(SUBSTITUTE(MID($A678,I678+I$2+1,J678-I678-I$2-1),",","."))</f>
        <v>0</v>
      </c>
      <c r="AC678" s="3">
        <f>VALUE(SUBSTITUTE(MID($A678,J678+J$2+1,K678-J678-J$2-1),",","."))</f>
        <v>1.3</v>
      </c>
      <c r="AD678" s="3">
        <f>VALUE(SUBSTITUTE(MID($A678,K678+K$2+1,L678-K678-K$2-1),",","."))</f>
        <v>17.64</v>
      </c>
      <c r="AE678" s="3">
        <f>VALUE(SUBSTITUTE(MID($A678,L678+L$2+1,M678-L678-L$2-1),",","."))</f>
        <v>0</v>
      </c>
      <c r="AF678" s="3">
        <f>VALUE(SUBSTITUTE(MID($A678,M678+M$2+1,N678-M678-M$2-1),",","."))</f>
        <v>0</v>
      </c>
      <c r="AG678" s="3">
        <f>VALUE(SUBSTITUTE(MID($A678,N678+N$2+1,O678-N678-N$2-1),",","."))</f>
        <v>4.2227116691335196</v>
      </c>
      <c r="AH678" t="str">
        <f>MID($A678,O678+O$2+1,P678-O678-O$2-1)</f>
        <v/>
      </c>
      <c r="AI678" s="8" t="str">
        <f>MID($A678,P678+P$2+1,Q678-P678-P$2-1)</f>
        <v>False</v>
      </c>
      <c r="AK678" t="b">
        <f t="shared" si="92"/>
        <v>0</v>
      </c>
    </row>
    <row r="679" spans="1:37" x14ac:dyDescent="0.35">
      <c r="A679" t="s">
        <v>5226</v>
      </c>
      <c r="B679">
        <f t="shared" si="95"/>
        <v>10</v>
      </c>
      <c r="C679">
        <f t="shared" si="95"/>
        <v>43</v>
      </c>
      <c r="D679">
        <f t="shared" si="95"/>
        <v>54</v>
      </c>
      <c r="E679">
        <f t="shared" si="94"/>
        <v>80</v>
      </c>
      <c r="F679">
        <f t="shared" si="94"/>
        <v>124</v>
      </c>
      <c r="G679">
        <f t="shared" si="94"/>
        <v>145</v>
      </c>
      <c r="H679">
        <f t="shared" si="87"/>
        <v>177</v>
      </c>
      <c r="I679">
        <f t="shared" si="87"/>
        <v>199</v>
      </c>
      <c r="J679">
        <f t="shared" si="87"/>
        <v>232</v>
      </c>
      <c r="K679">
        <f t="shared" si="87"/>
        <v>251</v>
      </c>
      <c r="L679">
        <f t="shared" si="87"/>
        <v>270</v>
      </c>
      <c r="M679">
        <f t="shared" si="86"/>
        <v>285</v>
      </c>
      <c r="N679">
        <f t="shared" si="86"/>
        <v>297</v>
      </c>
      <c r="O679">
        <f t="shared" si="86"/>
        <v>323</v>
      </c>
      <c r="P679">
        <f t="shared" si="86"/>
        <v>341</v>
      </c>
      <c r="Q679">
        <f t="shared" si="93"/>
        <v>367</v>
      </c>
      <c r="S679" t="str">
        <f t="shared" si="89"/>
        <v>03.12.2025</v>
      </c>
      <c r="T679" t="str">
        <f t="shared" si="90"/>
        <v>20:15:00</v>
      </c>
      <c r="U679" t="str">
        <f t="shared" si="91"/>
        <v>03.12.2025 20:15:00</v>
      </c>
      <c r="V679" s="9" t="str">
        <f>MID($A679,C679+C$2+1,D679-C679-C$2-1)</f>
        <v>0</v>
      </c>
      <c r="W679" s="4">
        <f>VALUE(SUBSTITUTE(MID($A679,D679+D$2+1,E679-D679-D$2-1),",","."))</f>
        <v>0</v>
      </c>
      <c r="X679" s="4">
        <f>VALUE(SUBSTITUTE(MID($A679,E679+E$2+1,F679-E679-E$2-1),",","."))</f>
        <v>0.90957602214449496</v>
      </c>
      <c r="Y679" s="4">
        <f>VALUE(SUBSTITUTE(MID($A679,F679+F$2+1,G679-F679-F$2-1),",","."))</f>
        <v>0</v>
      </c>
      <c r="Z679" s="3">
        <f>VALUE(SUBSTITUTE(MID($A679,G679+G$2+1,H679-G679-G$2-1),",","."))</f>
        <v>0</v>
      </c>
      <c r="AA679" s="3">
        <f>VALUE(SUBSTITUTE(MID($A679,H679+H$2+1,I679-H679-H$2-1),",","."))</f>
        <v>0</v>
      </c>
      <c r="AB679" s="3">
        <f>VALUE(SUBSTITUTE(MID($A679,I679+I$2+1,J679-I679-I$2-1),",","."))</f>
        <v>0</v>
      </c>
      <c r="AC679" s="3">
        <f>VALUE(SUBSTITUTE(MID($A679,J679+J$2+1,K679-J679-J$2-1),",","."))</f>
        <v>1.3</v>
      </c>
      <c r="AD679" s="3">
        <f>VALUE(SUBSTITUTE(MID($A679,K679+K$2+1,L679-K679-K$2-1),",","."))</f>
        <v>17.64</v>
      </c>
      <c r="AE679" s="3">
        <f>VALUE(SUBSTITUTE(MID($A679,L679+L$2+1,M679-L679-L$2-1),",","."))</f>
        <v>0</v>
      </c>
      <c r="AF679" s="3">
        <f>VALUE(SUBSTITUTE(MID($A679,M679+M$2+1,N679-M679-M$2-1),",","."))</f>
        <v>0</v>
      </c>
      <c r="AG679" s="3">
        <f>VALUE(SUBSTITUTE(MID($A679,N679+N$2+1,O679-N679-N$2-1),",","."))</f>
        <v>4.2227401890216001</v>
      </c>
      <c r="AH679" t="str">
        <f>MID($A679,O679+O$2+1,P679-O679-O$2-1)</f>
        <v/>
      </c>
      <c r="AI679" s="8" t="str">
        <f>MID($A679,P679+P$2+1,Q679-P679-P$2-1)</f>
        <v>False</v>
      </c>
      <c r="AK679" t="b">
        <f t="shared" si="92"/>
        <v>0</v>
      </c>
    </row>
    <row r="680" spans="1:37" x14ac:dyDescent="0.35">
      <c r="A680" t="s">
        <v>5227</v>
      </c>
      <c r="B680">
        <f t="shared" si="95"/>
        <v>10</v>
      </c>
      <c r="C680">
        <f t="shared" si="95"/>
        <v>43</v>
      </c>
      <c r="D680">
        <f t="shared" si="95"/>
        <v>54</v>
      </c>
      <c r="E680">
        <f t="shared" si="94"/>
        <v>80</v>
      </c>
      <c r="F680">
        <f t="shared" si="94"/>
        <v>124</v>
      </c>
      <c r="G680">
        <f t="shared" si="94"/>
        <v>145</v>
      </c>
      <c r="H680">
        <f t="shared" si="94"/>
        <v>177</v>
      </c>
      <c r="I680">
        <f t="shared" si="94"/>
        <v>199</v>
      </c>
      <c r="J680">
        <f t="shared" si="94"/>
        <v>232</v>
      </c>
      <c r="K680">
        <f t="shared" si="94"/>
        <v>252</v>
      </c>
      <c r="L680">
        <f t="shared" si="94"/>
        <v>284</v>
      </c>
      <c r="M680">
        <f t="shared" si="86"/>
        <v>299</v>
      </c>
      <c r="N680">
        <f t="shared" si="86"/>
        <v>311</v>
      </c>
      <c r="O680">
        <f t="shared" si="86"/>
        <v>336</v>
      </c>
      <c r="P680">
        <f t="shared" si="86"/>
        <v>354</v>
      </c>
      <c r="Q680">
        <f t="shared" si="93"/>
        <v>380</v>
      </c>
      <c r="S680" t="str">
        <f t="shared" si="89"/>
        <v>03.12.2025</v>
      </c>
      <c r="T680" t="str">
        <f t="shared" si="90"/>
        <v>20:30:00</v>
      </c>
      <c r="U680" t="str">
        <f t="shared" si="91"/>
        <v>03.12.2025 20:30:00</v>
      </c>
      <c r="V680" s="9" t="str">
        <f>MID($A680,C680+C$2+1,D680-C680-C$2-1)</f>
        <v>0</v>
      </c>
      <c r="W680" s="4">
        <f>VALUE(SUBSTITUTE(MID($A680,D680+D$2+1,E680-D680-D$2-1),",","."))</f>
        <v>0</v>
      </c>
      <c r="X680" s="4">
        <f>VALUE(SUBSTITUTE(MID($A680,E680+E$2+1,F680-E680-E$2-1),",","."))</f>
        <v>0.90957602214449496</v>
      </c>
      <c r="Y680" s="4">
        <f>VALUE(SUBSTITUTE(MID($A680,F680+F$2+1,G680-F680-F$2-1),",","."))</f>
        <v>0</v>
      </c>
      <c r="Z680" s="3">
        <f>VALUE(SUBSTITUTE(MID($A680,G680+G$2+1,H680-G680-G$2-1),",","."))</f>
        <v>0</v>
      </c>
      <c r="AA680" s="3">
        <f>VALUE(SUBSTITUTE(MID($A680,H680+H$2+1,I680-H680-H$2-1),",","."))</f>
        <v>0</v>
      </c>
      <c r="AB680" s="3">
        <f>VALUE(SUBSTITUTE(MID($A680,I680+I$2+1,J680-I680-I$2-1),",","."))</f>
        <v>0</v>
      </c>
      <c r="AC680" s="3">
        <f>VALUE(SUBSTITUTE(MID($A680,J680+J$2+1,K680-J680-J$2-1),",","."))</f>
        <v>1.1499999999999999</v>
      </c>
      <c r="AD680" s="3">
        <f>VALUE(SUBSTITUTE(MID($A680,K680+K$2+1,L680-K680-K$2-1),",","."))</f>
        <v>14.76</v>
      </c>
      <c r="AE680" s="3">
        <f>VALUE(SUBSTITUTE(MID($A680,L680+L$2+1,M680-L680-L$2-1),",","."))</f>
        <v>0</v>
      </c>
      <c r="AF680" s="3">
        <f>VALUE(SUBSTITUTE(MID($A680,M680+M$2+1,N680-M680-M$2-1),",","."))</f>
        <v>0</v>
      </c>
      <c r="AG680" s="3">
        <f>VALUE(SUBSTITUTE(MID($A680,N680+N$2+1,O680-N680-N$2-1),",","."))</f>
        <v>4.2227687089096797</v>
      </c>
      <c r="AH680" t="str">
        <f>MID($A680,O680+O$2+1,P680-O680-O$2-1)</f>
        <v/>
      </c>
      <c r="AI680" s="8" t="str">
        <f>MID($A680,P680+P$2+1,Q680-P680-P$2-1)</f>
        <v>False</v>
      </c>
      <c r="AK680" t="b">
        <f t="shared" si="92"/>
        <v>0</v>
      </c>
    </row>
    <row r="681" spans="1:37" x14ac:dyDescent="0.35">
      <c r="A681" t="s">
        <v>5228</v>
      </c>
      <c r="B681">
        <f t="shared" si="95"/>
        <v>10</v>
      </c>
      <c r="C681">
        <f t="shared" si="95"/>
        <v>43</v>
      </c>
      <c r="D681">
        <f t="shared" si="95"/>
        <v>54</v>
      </c>
      <c r="E681">
        <f t="shared" si="94"/>
        <v>80</v>
      </c>
      <c r="F681">
        <f t="shared" si="94"/>
        <v>124</v>
      </c>
      <c r="G681">
        <f t="shared" si="94"/>
        <v>145</v>
      </c>
      <c r="H681">
        <f t="shared" si="94"/>
        <v>177</v>
      </c>
      <c r="I681">
        <f t="shared" si="94"/>
        <v>199</v>
      </c>
      <c r="J681">
        <f t="shared" si="94"/>
        <v>232</v>
      </c>
      <c r="K681">
        <f t="shared" si="94"/>
        <v>252</v>
      </c>
      <c r="L681">
        <f t="shared" si="94"/>
        <v>284</v>
      </c>
      <c r="M681">
        <f t="shared" si="86"/>
        <v>299</v>
      </c>
      <c r="N681">
        <f t="shared" si="86"/>
        <v>311</v>
      </c>
      <c r="O681">
        <f t="shared" si="86"/>
        <v>336</v>
      </c>
      <c r="P681">
        <f t="shared" si="86"/>
        <v>354</v>
      </c>
      <c r="Q681">
        <f t="shared" si="93"/>
        <v>380</v>
      </c>
      <c r="S681" t="str">
        <f t="shared" si="89"/>
        <v>03.12.2025</v>
      </c>
      <c r="T681" t="str">
        <f t="shared" si="90"/>
        <v>20:45:00</v>
      </c>
      <c r="U681" t="str">
        <f t="shared" si="91"/>
        <v>03.12.2025 20:45:00</v>
      </c>
      <c r="V681" s="9" t="str">
        <f>MID($A681,C681+C$2+1,D681-C681-C$2-1)</f>
        <v>0</v>
      </c>
      <c r="W681" s="4">
        <f>VALUE(SUBSTITUTE(MID($A681,D681+D$2+1,E681-D681-D$2-1),",","."))</f>
        <v>0</v>
      </c>
      <c r="X681" s="4">
        <f>VALUE(SUBSTITUTE(MID($A681,E681+E$2+1,F681-E681-E$2-1),",","."))</f>
        <v>0.90957602214449496</v>
      </c>
      <c r="Y681" s="4">
        <f>VALUE(SUBSTITUTE(MID($A681,F681+F$2+1,G681-F681-F$2-1),",","."))</f>
        <v>0</v>
      </c>
      <c r="Z681" s="3">
        <f>VALUE(SUBSTITUTE(MID($A681,G681+G$2+1,H681-G681-G$2-1),",","."))</f>
        <v>0</v>
      </c>
      <c r="AA681" s="3">
        <f>VALUE(SUBSTITUTE(MID($A681,H681+H$2+1,I681-H681-H$2-1),",","."))</f>
        <v>0</v>
      </c>
      <c r="AB681" s="3">
        <f>VALUE(SUBSTITUTE(MID($A681,I681+I$2+1,J681-I681-I$2-1),",","."))</f>
        <v>0</v>
      </c>
      <c r="AC681" s="3">
        <f>VALUE(SUBSTITUTE(MID($A681,J681+J$2+1,K681-J681-J$2-1),",","."))</f>
        <v>1.1499999999999999</v>
      </c>
      <c r="AD681" s="3">
        <f>VALUE(SUBSTITUTE(MID($A681,K681+K$2+1,L681-K681-K$2-1),",","."))</f>
        <v>14.76</v>
      </c>
      <c r="AE681" s="3">
        <f>VALUE(SUBSTITUTE(MID($A681,L681+L$2+1,M681-L681-L$2-1),",","."))</f>
        <v>0</v>
      </c>
      <c r="AF681" s="3">
        <f>VALUE(SUBSTITUTE(MID($A681,M681+M$2+1,N681-M681-M$2-1),",","."))</f>
        <v>0</v>
      </c>
      <c r="AG681" s="3">
        <f>VALUE(SUBSTITUTE(MID($A681,N681+N$2+1,O681-N681-N$2-1),",","."))</f>
        <v>4.2227972287977602</v>
      </c>
      <c r="AH681" t="str">
        <f>MID($A681,O681+O$2+1,P681-O681-O$2-1)</f>
        <v/>
      </c>
      <c r="AI681" s="8" t="str">
        <f>MID($A681,P681+P$2+1,Q681-P681-P$2-1)</f>
        <v>False</v>
      </c>
      <c r="AK681" t="b">
        <f t="shared" si="92"/>
        <v>0</v>
      </c>
    </row>
    <row r="682" spans="1:37" x14ac:dyDescent="0.35">
      <c r="A682" t="s">
        <v>5229</v>
      </c>
      <c r="B682">
        <f t="shared" si="95"/>
        <v>10</v>
      </c>
      <c r="C682">
        <f t="shared" si="95"/>
        <v>43</v>
      </c>
      <c r="D682">
        <f t="shared" si="95"/>
        <v>54</v>
      </c>
      <c r="E682">
        <f t="shared" si="94"/>
        <v>80</v>
      </c>
      <c r="F682">
        <f t="shared" si="94"/>
        <v>124</v>
      </c>
      <c r="G682">
        <f t="shared" si="94"/>
        <v>145</v>
      </c>
      <c r="H682">
        <f t="shared" si="94"/>
        <v>177</v>
      </c>
      <c r="I682">
        <f t="shared" si="94"/>
        <v>199</v>
      </c>
      <c r="J682">
        <f t="shared" si="94"/>
        <v>232</v>
      </c>
      <c r="K682">
        <f t="shared" si="94"/>
        <v>252</v>
      </c>
      <c r="L682">
        <f t="shared" si="94"/>
        <v>284</v>
      </c>
      <c r="M682">
        <f t="shared" si="86"/>
        <v>299</v>
      </c>
      <c r="N682">
        <f t="shared" si="86"/>
        <v>311</v>
      </c>
      <c r="O682">
        <f t="shared" si="86"/>
        <v>336</v>
      </c>
      <c r="P682">
        <f t="shared" si="86"/>
        <v>354</v>
      </c>
      <c r="Q682">
        <f t="shared" si="93"/>
        <v>380</v>
      </c>
      <c r="S682" t="str">
        <f t="shared" si="89"/>
        <v>03.12.2025</v>
      </c>
      <c r="T682" t="str">
        <f t="shared" si="90"/>
        <v>21:00:00</v>
      </c>
      <c r="U682" t="str">
        <f t="shared" si="91"/>
        <v>03.12.2025 21:00:00</v>
      </c>
      <c r="V682" s="9" t="str">
        <f>MID($A682,C682+C$2+1,D682-C682-C$2-1)</f>
        <v>0</v>
      </c>
      <c r="W682" s="4">
        <f>VALUE(SUBSTITUTE(MID($A682,D682+D$2+1,E682-D682-D$2-1),",","."))</f>
        <v>0</v>
      </c>
      <c r="X682" s="4">
        <f>VALUE(SUBSTITUTE(MID($A682,E682+E$2+1,F682-E682-E$2-1),",","."))</f>
        <v>0.90957602214449496</v>
      </c>
      <c r="Y682" s="4">
        <f>VALUE(SUBSTITUTE(MID($A682,F682+F$2+1,G682-F682-F$2-1),",","."))</f>
        <v>0</v>
      </c>
      <c r="Z682" s="3">
        <f>VALUE(SUBSTITUTE(MID($A682,G682+G$2+1,H682-G682-G$2-1),",","."))</f>
        <v>0</v>
      </c>
      <c r="AA682" s="3">
        <f>VALUE(SUBSTITUTE(MID($A682,H682+H$2+1,I682-H682-H$2-1),",","."))</f>
        <v>0</v>
      </c>
      <c r="AB682" s="3">
        <f>VALUE(SUBSTITUTE(MID($A682,I682+I$2+1,J682-I682-I$2-1),",","."))</f>
        <v>0</v>
      </c>
      <c r="AC682" s="3">
        <f>VALUE(SUBSTITUTE(MID($A682,J682+J$2+1,K682-J682-J$2-1),",","."))</f>
        <v>1.1499999999999999</v>
      </c>
      <c r="AD682" s="3">
        <f>VALUE(SUBSTITUTE(MID($A682,K682+K$2+1,L682-K682-K$2-1),",","."))</f>
        <v>14.76</v>
      </c>
      <c r="AE682" s="3">
        <f>VALUE(SUBSTITUTE(MID($A682,L682+L$2+1,M682-L682-L$2-1),",","."))</f>
        <v>0</v>
      </c>
      <c r="AF682" s="3">
        <f>VALUE(SUBSTITUTE(MID($A682,M682+M$2+1,N682-M682-M$2-1),",","."))</f>
        <v>0</v>
      </c>
      <c r="AG682" s="3">
        <f>VALUE(SUBSTITUTE(MID($A682,N682+N$2+1,O682-N682-N$2-1),",","."))</f>
        <v>4.2228257486858398</v>
      </c>
      <c r="AH682" t="str">
        <f>MID($A682,O682+O$2+1,P682-O682-O$2-1)</f>
        <v/>
      </c>
      <c r="AI682" s="8" t="str">
        <f>MID($A682,P682+P$2+1,Q682-P682-P$2-1)</f>
        <v>False</v>
      </c>
      <c r="AK682" t="b">
        <f t="shared" si="92"/>
        <v>0</v>
      </c>
    </row>
    <row r="683" spans="1:37" x14ac:dyDescent="0.35">
      <c r="A683" t="s">
        <v>5230</v>
      </c>
      <c r="B683">
        <f t="shared" si="95"/>
        <v>10</v>
      </c>
      <c r="C683">
        <f t="shared" si="95"/>
        <v>43</v>
      </c>
      <c r="D683">
        <f t="shared" si="95"/>
        <v>54</v>
      </c>
      <c r="E683">
        <f t="shared" si="94"/>
        <v>80</v>
      </c>
      <c r="F683">
        <f t="shared" si="94"/>
        <v>124</v>
      </c>
      <c r="G683">
        <f t="shared" si="94"/>
        <v>145</v>
      </c>
      <c r="H683">
        <f t="shared" si="94"/>
        <v>177</v>
      </c>
      <c r="I683">
        <f t="shared" si="94"/>
        <v>199</v>
      </c>
      <c r="J683">
        <f t="shared" si="94"/>
        <v>232</v>
      </c>
      <c r="K683">
        <f t="shared" si="94"/>
        <v>252</v>
      </c>
      <c r="L683">
        <f t="shared" si="94"/>
        <v>284</v>
      </c>
      <c r="M683">
        <f t="shared" si="86"/>
        <v>299</v>
      </c>
      <c r="N683">
        <f t="shared" si="86"/>
        <v>311</v>
      </c>
      <c r="O683">
        <f t="shared" si="86"/>
        <v>335</v>
      </c>
      <c r="P683">
        <f t="shared" si="86"/>
        <v>353</v>
      </c>
      <c r="Q683">
        <f t="shared" si="93"/>
        <v>379</v>
      </c>
      <c r="S683" t="str">
        <f t="shared" si="89"/>
        <v>03.12.2025</v>
      </c>
      <c r="T683" t="str">
        <f t="shared" si="90"/>
        <v>21:15:00</v>
      </c>
      <c r="U683" t="str">
        <f t="shared" si="91"/>
        <v>03.12.2025 21:15:00</v>
      </c>
      <c r="V683" s="9" t="str">
        <f>MID($A683,C683+C$2+1,D683-C683-C$2-1)</f>
        <v>0</v>
      </c>
      <c r="W683" s="4">
        <f>VALUE(SUBSTITUTE(MID($A683,D683+D$2+1,E683-D683-D$2-1),",","."))</f>
        <v>0</v>
      </c>
      <c r="X683" s="4">
        <f>VALUE(SUBSTITUTE(MID($A683,E683+E$2+1,F683-E683-E$2-1),",","."))</f>
        <v>0.90957602214449496</v>
      </c>
      <c r="Y683" s="4">
        <f>VALUE(SUBSTITUTE(MID($A683,F683+F$2+1,G683-F683-F$2-1),",","."))</f>
        <v>0</v>
      </c>
      <c r="Z683" s="3">
        <f>VALUE(SUBSTITUTE(MID($A683,G683+G$2+1,H683-G683-G$2-1),",","."))</f>
        <v>0</v>
      </c>
      <c r="AA683" s="3">
        <f>VALUE(SUBSTITUTE(MID($A683,H683+H$2+1,I683-H683-H$2-1),",","."))</f>
        <v>0</v>
      </c>
      <c r="AB683" s="3">
        <f>VALUE(SUBSTITUTE(MID($A683,I683+I$2+1,J683-I683-I$2-1),",","."))</f>
        <v>0</v>
      </c>
      <c r="AC683" s="3">
        <f>VALUE(SUBSTITUTE(MID($A683,J683+J$2+1,K683-J683-J$2-1),",","."))</f>
        <v>1.1499999999999999</v>
      </c>
      <c r="AD683" s="3">
        <f>VALUE(SUBSTITUTE(MID($A683,K683+K$2+1,L683-K683-K$2-1),",","."))</f>
        <v>14.76</v>
      </c>
      <c r="AE683" s="3">
        <f>VALUE(SUBSTITUTE(MID($A683,L683+L$2+1,M683-L683-L$2-1),",","."))</f>
        <v>0</v>
      </c>
      <c r="AF683" s="3">
        <f>VALUE(SUBSTITUTE(MID($A683,M683+M$2+1,N683-M683-M$2-1),",","."))</f>
        <v>0</v>
      </c>
      <c r="AG683" s="3">
        <f>VALUE(SUBSTITUTE(MID($A683,N683+N$2+1,O683-N683-N$2-1),",","."))</f>
        <v>4.2228542685739301</v>
      </c>
      <c r="AH683" t="str">
        <f>MID($A683,O683+O$2+1,P683-O683-O$2-1)</f>
        <v/>
      </c>
      <c r="AI683" s="8" t="str">
        <f>MID($A683,P683+P$2+1,Q683-P683-P$2-1)</f>
        <v>False</v>
      </c>
      <c r="AK683" t="b">
        <f t="shared" si="92"/>
        <v>0</v>
      </c>
    </row>
    <row r="684" spans="1:37" x14ac:dyDescent="0.35">
      <c r="A684" t="s">
        <v>5231</v>
      </c>
      <c r="B684">
        <f t="shared" si="95"/>
        <v>10</v>
      </c>
      <c r="C684">
        <f t="shared" si="95"/>
        <v>43</v>
      </c>
      <c r="D684">
        <f t="shared" si="95"/>
        <v>54</v>
      </c>
      <c r="E684">
        <f t="shared" si="94"/>
        <v>80</v>
      </c>
      <c r="F684">
        <f t="shared" si="94"/>
        <v>124</v>
      </c>
      <c r="G684">
        <f t="shared" si="94"/>
        <v>145</v>
      </c>
      <c r="H684">
        <f t="shared" si="94"/>
        <v>177</v>
      </c>
      <c r="I684">
        <f t="shared" si="94"/>
        <v>199</v>
      </c>
      <c r="J684">
        <f t="shared" si="94"/>
        <v>232</v>
      </c>
      <c r="K684">
        <f t="shared" si="94"/>
        <v>249</v>
      </c>
      <c r="L684">
        <f t="shared" si="94"/>
        <v>281</v>
      </c>
      <c r="M684">
        <f t="shared" si="86"/>
        <v>296</v>
      </c>
      <c r="N684">
        <f t="shared" si="86"/>
        <v>308</v>
      </c>
      <c r="O684">
        <f t="shared" si="86"/>
        <v>333</v>
      </c>
      <c r="P684">
        <f t="shared" si="86"/>
        <v>351</v>
      </c>
      <c r="Q684">
        <f t="shared" si="93"/>
        <v>377</v>
      </c>
      <c r="S684" t="str">
        <f t="shared" si="89"/>
        <v>03.12.2025</v>
      </c>
      <c r="T684" t="str">
        <f t="shared" si="90"/>
        <v>21:30:00</v>
      </c>
      <c r="U684" t="str">
        <f t="shared" si="91"/>
        <v>03.12.2025 21:30:00</v>
      </c>
      <c r="V684" s="9" t="str">
        <f>MID($A684,C684+C$2+1,D684-C684-C$2-1)</f>
        <v>0</v>
      </c>
      <c r="W684" s="4">
        <f>VALUE(SUBSTITUTE(MID($A684,D684+D$2+1,E684-D684-D$2-1),",","."))</f>
        <v>0</v>
      </c>
      <c r="X684" s="4">
        <f>VALUE(SUBSTITUTE(MID($A684,E684+E$2+1,F684-E684-E$2-1),",","."))</f>
        <v>0.90957602214449496</v>
      </c>
      <c r="Y684" s="4">
        <f>VALUE(SUBSTITUTE(MID($A684,F684+F$2+1,G684-F684-F$2-1),",","."))</f>
        <v>0</v>
      </c>
      <c r="Z684" s="3">
        <f>VALUE(SUBSTITUTE(MID($A684,G684+G$2+1,H684-G684-G$2-1),",","."))</f>
        <v>0</v>
      </c>
      <c r="AA684" s="3">
        <f>VALUE(SUBSTITUTE(MID($A684,H684+H$2+1,I684-H684-H$2-1),",","."))</f>
        <v>0</v>
      </c>
      <c r="AB684" s="3">
        <f>VALUE(SUBSTITUTE(MID($A684,I684+I$2+1,J684-I684-I$2-1),",","."))</f>
        <v>0</v>
      </c>
      <c r="AC684" s="3">
        <f>VALUE(SUBSTITUTE(MID($A684,J684+J$2+1,K684-J684-J$2-1),",","."))</f>
        <v>1</v>
      </c>
      <c r="AD684" s="3">
        <f>VALUE(SUBSTITUTE(MID($A684,K684+K$2+1,L684-K684-K$2-1),",","."))</f>
        <v>11.7</v>
      </c>
      <c r="AE684" s="3">
        <f>VALUE(SUBSTITUTE(MID($A684,L684+L$2+1,M684-L684-L$2-1),",","."))</f>
        <v>0</v>
      </c>
      <c r="AF684" s="3">
        <f>VALUE(SUBSTITUTE(MID($A684,M684+M$2+1,N684-M684-M$2-1),",","."))</f>
        <v>0</v>
      </c>
      <c r="AG684" s="3">
        <f>VALUE(SUBSTITUTE(MID($A684,N684+N$2+1,O684-N684-N$2-1),",","."))</f>
        <v>4.2228827884620097</v>
      </c>
      <c r="AH684" t="str">
        <f>MID($A684,O684+O$2+1,P684-O684-O$2-1)</f>
        <v/>
      </c>
      <c r="AI684" s="8" t="str">
        <f>MID($A684,P684+P$2+1,Q684-P684-P$2-1)</f>
        <v>False</v>
      </c>
      <c r="AK684" t="b">
        <f t="shared" si="92"/>
        <v>0</v>
      </c>
    </row>
    <row r="685" spans="1:37" x14ac:dyDescent="0.35">
      <c r="A685" t="s">
        <v>5232</v>
      </c>
      <c r="B685">
        <f t="shared" si="95"/>
        <v>10</v>
      </c>
      <c r="C685">
        <f t="shared" si="95"/>
        <v>43</v>
      </c>
      <c r="D685">
        <f t="shared" si="95"/>
        <v>54</v>
      </c>
      <c r="E685">
        <f t="shared" si="94"/>
        <v>80</v>
      </c>
      <c r="F685">
        <f t="shared" si="94"/>
        <v>124</v>
      </c>
      <c r="G685">
        <f t="shared" si="94"/>
        <v>145</v>
      </c>
      <c r="H685">
        <f t="shared" si="94"/>
        <v>177</v>
      </c>
      <c r="I685">
        <f t="shared" si="94"/>
        <v>199</v>
      </c>
      <c r="J685">
        <f t="shared" si="94"/>
        <v>232</v>
      </c>
      <c r="K685">
        <f t="shared" si="94"/>
        <v>249</v>
      </c>
      <c r="L685">
        <f t="shared" si="94"/>
        <v>281</v>
      </c>
      <c r="M685">
        <f t="shared" si="86"/>
        <v>296</v>
      </c>
      <c r="N685">
        <f t="shared" si="86"/>
        <v>308</v>
      </c>
      <c r="O685">
        <f t="shared" si="86"/>
        <v>333</v>
      </c>
      <c r="P685">
        <f t="shared" si="86"/>
        <v>351</v>
      </c>
      <c r="Q685">
        <f t="shared" si="93"/>
        <v>377</v>
      </c>
      <c r="S685" t="str">
        <f t="shared" si="89"/>
        <v>03.12.2025</v>
      </c>
      <c r="T685" t="str">
        <f t="shared" si="90"/>
        <v>21:45:00</v>
      </c>
      <c r="U685" t="str">
        <f t="shared" si="91"/>
        <v>03.12.2025 21:45:00</v>
      </c>
      <c r="V685" s="9" t="str">
        <f>MID($A685,C685+C$2+1,D685-C685-C$2-1)</f>
        <v>0</v>
      </c>
      <c r="W685" s="4">
        <f>VALUE(SUBSTITUTE(MID($A685,D685+D$2+1,E685-D685-D$2-1),",","."))</f>
        <v>0</v>
      </c>
      <c r="X685" s="4">
        <f>VALUE(SUBSTITUTE(MID($A685,E685+E$2+1,F685-E685-E$2-1),",","."))</f>
        <v>0.90957602214449496</v>
      </c>
      <c r="Y685" s="4">
        <f>VALUE(SUBSTITUTE(MID($A685,F685+F$2+1,G685-F685-F$2-1),",","."))</f>
        <v>0</v>
      </c>
      <c r="Z685" s="3">
        <f>VALUE(SUBSTITUTE(MID($A685,G685+G$2+1,H685-G685-G$2-1),",","."))</f>
        <v>0</v>
      </c>
      <c r="AA685" s="3">
        <f>VALUE(SUBSTITUTE(MID($A685,H685+H$2+1,I685-H685-H$2-1),",","."))</f>
        <v>0</v>
      </c>
      <c r="AB685" s="3">
        <f>VALUE(SUBSTITUTE(MID($A685,I685+I$2+1,J685-I685-I$2-1),",","."))</f>
        <v>0</v>
      </c>
      <c r="AC685" s="3">
        <f>VALUE(SUBSTITUTE(MID($A685,J685+J$2+1,K685-J685-J$2-1),",","."))</f>
        <v>1</v>
      </c>
      <c r="AD685" s="3">
        <f>VALUE(SUBSTITUTE(MID($A685,K685+K$2+1,L685-K685-K$2-1),",","."))</f>
        <v>11.7</v>
      </c>
      <c r="AE685" s="3">
        <f>VALUE(SUBSTITUTE(MID($A685,L685+L$2+1,M685-L685-L$2-1),",","."))</f>
        <v>0</v>
      </c>
      <c r="AF685" s="3">
        <f>VALUE(SUBSTITUTE(MID($A685,M685+M$2+1,N685-M685-M$2-1),",","."))</f>
        <v>0</v>
      </c>
      <c r="AG685" s="3">
        <f>VALUE(SUBSTITUTE(MID($A685,N685+N$2+1,O685-N685-N$2-1),",","."))</f>
        <v>4.2229113083500902</v>
      </c>
      <c r="AH685" t="str">
        <f>MID($A685,O685+O$2+1,P685-O685-O$2-1)</f>
        <v/>
      </c>
      <c r="AI685" s="8" t="str">
        <f>MID($A685,P685+P$2+1,Q685-P685-P$2-1)</f>
        <v>False</v>
      </c>
      <c r="AK685" t="b">
        <f t="shared" si="92"/>
        <v>0</v>
      </c>
    </row>
    <row r="686" spans="1:37" x14ac:dyDescent="0.35">
      <c r="A686" t="s">
        <v>5233</v>
      </c>
      <c r="B686">
        <f t="shared" si="95"/>
        <v>10</v>
      </c>
      <c r="C686">
        <f t="shared" si="95"/>
        <v>43</v>
      </c>
      <c r="D686">
        <f t="shared" si="95"/>
        <v>54</v>
      </c>
      <c r="E686">
        <f t="shared" si="94"/>
        <v>80</v>
      </c>
      <c r="F686">
        <f t="shared" si="94"/>
        <v>124</v>
      </c>
      <c r="G686">
        <f t="shared" si="94"/>
        <v>145</v>
      </c>
      <c r="H686">
        <f t="shared" si="94"/>
        <v>177</v>
      </c>
      <c r="I686">
        <f t="shared" si="94"/>
        <v>199</v>
      </c>
      <c r="J686">
        <f t="shared" si="94"/>
        <v>232</v>
      </c>
      <c r="K686">
        <f t="shared" si="94"/>
        <v>249</v>
      </c>
      <c r="L686">
        <f t="shared" si="94"/>
        <v>281</v>
      </c>
      <c r="M686">
        <f t="shared" si="86"/>
        <v>296</v>
      </c>
      <c r="N686">
        <f t="shared" si="86"/>
        <v>308</v>
      </c>
      <c r="O686">
        <f t="shared" si="86"/>
        <v>333</v>
      </c>
      <c r="P686">
        <f t="shared" si="86"/>
        <v>351</v>
      </c>
      <c r="Q686">
        <f t="shared" si="93"/>
        <v>377</v>
      </c>
      <c r="S686" t="str">
        <f t="shared" si="89"/>
        <v>03.12.2025</v>
      </c>
      <c r="T686" t="str">
        <f t="shared" si="90"/>
        <v>22:00:00</v>
      </c>
      <c r="U686" t="str">
        <f t="shared" si="91"/>
        <v>03.12.2025 22:00:00</v>
      </c>
      <c r="V686" s="9" t="str">
        <f>MID($A686,C686+C$2+1,D686-C686-C$2-1)</f>
        <v>0</v>
      </c>
      <c r="W686" s="4">
        <f>VALUE(SUBSTITUTE(MID($A686,D686+D$2+1,E686-D686-D$2-1),",","."))</f>
        <v>0</v>
      </c>
      <c r="X686" s="4">
        <f>VALUE(SUBSTITUTE(MID($A686,E686+E$2+1,F686-E686-E$2-1),",","."))</f>
        <v>0.90957602214449496</v>
      </c>
      <c r="Y686" s="4">
        <f>VALUE(SUBSTITUTE(MID($A686,F686+F$2+1,G686-F686-F$2-1),",","."))</f>
        <v>0</v>
      </c>
      <c r="Z686" s="3">
        <f>VALUE(SUBSTITUTE(MID($A686,G686+G$2+1,H686-G686-G$2-1),",","."))</f>
        <v>0</v>
      </c>
      <c r="AA686" s="3">
        <f>VALUE(SUBSTITUTE(MID($A686,H686+H$2+1,I686-H686-H$2-1),",","."))</f>
        <v>0</v>
      </c>
      <c r="AB686" s="3">
        <f>VALUE(SUBSTITUTE(MID($A686,I686+I$2+1,J686-I686-I$2-1),",","."))</f>
        <v>0</v>
      </c>
      <c r="AC686" s="3">
        <f>VALUE(SUBSTITUTE(MID($A686,J686+J$2+1,K686-J686-J$2-1),",","."))</f>
        <v>1</v>
      </c>
      <c r="AD686" s="3">
        <f>VALUE(SUBSTITUTE(MID($A686,K686+K$2+1,L686-K686-K$2-1),",","."))</f>
        <v>11.7</v>
      </c>
      <c r="AE686" s="3">
        <f>VALUE(SUBSTITUTE(MID($A686,L686+L$2+1,M686-L686-L$2-1),",","."))</f>
        <v>0</v>
      </c>
      <c r="AF686" s="3">
        <f>VALUE(SUBSTITUTE(MID($A686,M686+M$2+1,N686-M686-M$2-1),",","."))</f>
        <v>0</v>
      </c>
      <c r="AG686" s="3">
        <f>VALUE(SUBSTITUTE(MID($A686,N686+N$2+1,O686-N686-N$2-1),",","."))</f>
        <v>4.2229398282381698</v>
      </c>
      <c r="AH686" t="str">
        <f>MID($A686,O686+O$2+1,P686-O686-O$2-1)</f>
        <v/>
      </c>
      <c r="AI686" s="8" t="str">
        <f>MID($A686,P686+P$2+1,Q686-P686-P$2-1)</f>
        <v>False</v>
      </c>
      <c r="AK686" t="b">
        <f t="shared" si="92"/>
        <v>0</v>
      </c>
    </row>
    <row r="687" spans="1:37" x14ac:dyDescent="0.35">
      <c r="A687" t="s">
        <v>5234</v>
      </c>
      <c r="B687">
        <f t="shared" si="95"/>
        <v>10</v>
      </c>
      <c r="C687">
        <f t="shared" si="95"/>
        <v>43</v>
      </c>
      <c r="D687">
        <f t="shared" si="95"/>
        <v>54</v>
      </c>
      <c r="E687">
        <f t="shared" si="94"/>
        <v>80</v>
      </c>
      <c r="F687">
        <f t="shared" si="94"/>
        <v>124</v>
      </c>
      <c r="G687">
        <f t="shared" si="94"/>
        <v>145</v>
      </c>
      <c r="H687">
        <f t="shared" si="94"/>
        <v>177</v>
      </c>
      <c r="I687">
        <f t="shared" si="94"/>
        <v>199</v>
      </c>
      <c r="J687">
        <f t="shared" si="94"/>
        <v>232</v>
      </c>
      <c r="K687">
        <f t="shared" si="94"/>
        <v>249</v>
      </c>
      <c r="L687">
        <f t="shared" si="94"/>
        <v>281</v>
      </c>
      <c r="M687">
        <f t="shared" si="86"/>
        <v>296</v>
      </c>
      <c r="N687">
        <f t="shared" si="86"/>
        <v>308</v>
      </c>
      <c r="O687">
        <f t="shared" si="86"/>
        <v>334</v>
      </c>
      <c r="P687">
        <f t="shared" si="86"/>
        <v>352</v>
      </c>
      <c r="Q687">
        <f t="shared" si="93"/>
        <v>378</v>
      </c>
      <c r="S687" t="str">
        <f t="shared" si="89"/>
        <v>03.12.2025</v>
      </c>
      <c r="T687" t="str">
        <f t="shared" si="90"/>
        <v>22:15:00</v>
      </c>
      <c r="U687" t="str">
        <f t="shared" si="91"/>
        <v>03.12.2025 22:15:00</v>
      </c>
      <c r="V687" s="9" t="str">
        <f>MID($A687,C687+C$2+1,D687-C687-C$2-1)</f>
        <v>0</v>
      </c>
      <c r="W687" s="4">
        <f>VALUE(SUBSTITUTE(MID($A687,D687+D$2+1,E687-D687-D$2-1),",","."))</f>
        <v>0</v>
      </c>
      <c r="X687" s="4">
        <f>VALUE(SUBSTITUTE(MID($A687,E687+E$2+1,F687-E687-E$2-1),",","."))</f>
        <v>0.90957602214449496</v>
      </c>
      <c r="Y687" s="4">
        <f>VALUE(SUBSTITUTE(MID($A687,F687+F$2+1,G687-F687-F$2-1),",","."))</f>
        <v>0</v>
      </c>
      <c r="Z687" s="3">
        <f>VALUE(SUBSTITUTE(MID($A687,G687+G$2+1,H687-G687-G$2-1),",","."))</f>
        <v>0</v>
      </c>
      <c r="AA687" s="3">
        <f>VALUE(SUBSTITUTE(MID($A687,H687+H$2+1,I687-H687-H$2-1),",","."))</f>
        <v>0</v>
      </c>
      <c r="AB687" s="3">
        <f>VALUE(SUBSTITUTE(MID($A687,I687+I$2+1,J687-I687-I$2-1),",","."))</f>
        <v>0</v>
      </c>
      <c r="AC687" s="3">
        <f>VALUE(SUBSTITUTE(MID($A687,J687+J$2+1,K687-J687-J$2-1),",","."))</f>
        <v>1</v>
      </c>
      <c r="AD687" s="3">
        <f>VALUE(SUBSTITUTE(MID($A687,K687+K$2+1,L687-K687-K$2-1),",","."))</f>
        <v>11.7</v>
      </c>
      <c r="AE687" s="3">
        <f>VALUE(SUBSTITUTE(MID($A687,L687+L$2+1,M687-L687-L$2-1),",","."))</f>
        <v>0</v>
      </c>
      <c r="AF687" s="3">
        <f>VALUE(SUBSTITUTE(MID($A687,M687+M$2+1,N687-M687-M$2-1),",","."))</f>
        <v>0</v>
      </c>
      <c r="AG687" s="3">
        <f>VALUE(SUBSTITUTE(MID($A687,N687+N$2+1,O687-N687-N$2-1),",","."))</f>
        <v>4.2229683481262503</v>
      </c>
      <c r="AH687" t="str">
        <f>MID($A687,O687+O$2+1,P687-O687-O$2-1)</f>
        <v/>
      </c>
      <c r="AI687" s="8" t="str">
        <f>MID($A687,P687+P$2+1,Q687-P687-P$2-1)</f>
        <v>False</v>
      </c>
      <c r="AK687" t="b">
        <f t="shared" si="92"/>
        <v>0</v>
      </c>
    </row>
    <row r="688" spans="1:37" x14ac:dyDescent="0.35">
      <c r="A688" t="s">
        <v>5235</v>
      </c>
      <c r="B688">
        <f t="shared" si="95"/>
        <v>10</v>
      </c>
      <c r="C688">
        <f t="shared" si="95"/>
        <v>43</v>
      </c>
      <c r="D688">
        <f t="shared" si="95"/>
        <v>54</v>
      </c>
      <c r="E688">
        <f t="shared" si="94"/>
        <v>80</v>
      </c>
      <c r="F688">
        <f t="shared" si="94"/>
        <v>124</v>
      </c>
      <c r="G688">
        <f t="shared" si="94"/>
        <v>145</v>
      </c>
      <c r="H688">
        <f t="shared" si="94"/>
        <v>177</v>
      </c>
      <c r="I688">
        <f t="shared" si="94"/>
        <v>199</v>
      </c>
      <c r="J688">
        <f t="shared" si="94"/>
        <v>232</v>
      </c>
      <c r="K688">
        <f t="shared" si="94"/>
        <v>266</v>
      </c>
      <c r="L688">
        <f t="shared" si="94"/>
        <v>297</v>
      </c>
      <c r="M688">
        <f t="shared" si="86"/>
        <v>312</v>
      </c>
      <c r="N688">
        <f t="shared" si="86"/>
        <v>324</v>
      </c>
      <c r="O688">
        <f t="shared" si="86"/>
        <v>349</v>
      </c>
      <c r="P688">
        <f t="shared" si="86"/>
        <v>367</v>
      </c>
      <c r="Q688">
        <f t="shared" si="93"/>
        <v>393</v>
      </c>
      <c r="S688" t="str">
        <f t="shared" si="89"/>
        <v>03.12.2025</v>
      </c>
      <c r="T688" t="str">
        <f t="shared" si="90"/>
        <v>22:30:00</v>
      </c>
      <c r="U688" t="str">
        <f t="shared" si="91"/>
        <v>03.12.2025 22:30:00</v>
      </c>
      <c r="V688" s="9" t="str">
        <f>MID($A688,C688+C$2+1,D688-C688-C$2-1)</f>
        <v>0</v>
      </c>
      <c r="W688" s="4">
        <f>VALUE(SUBSTITUTE(MID($A688,D688+D$2+1,E688-D688-D$2-1),",","."))</f>
        <v>0</v>
      </c>
      <c r="X688" s="4">
        <f>VALUE(SUBSTITUTE(MID($A688,E688+E$2+1,F688-E688-E$2-1),",","."))</f>
        <v>0.90957602214449496</v>
      </c>
      <c r="Y688" s="4">
        <f>VALUE(SUBSTITUTE(MID($A688,F688+F$2+1,G688-F688-F$2-1),",","."))</f>
        <v>0</v>
      </c>
      <c r="Z688" s="3">
        <f>VALUE(SUBSTITUTE(MID($A688,G688+G$2+1,H688-G688-G$2-1),",","."))</f>
        <v>0</v>
      </c>
      <c r="AA688" s="3">
        <f>VALUE(SUBSTITUTE(MID($A688,H688+H$2+1,I688-H688-H$2-1),",","."))</f>
        <v>0</v>
      </c>
      <c r="AB688" s="3">
        <f>VALUE(SUBSTITUTE(MID($A688,I688+I$2+1,J688-I688-I$2-1),",","."))</f>
        <v>0</v>
      </c>
      <c r="AC688" s="3">
        <f>VALUE(SUBSTITUTE(MID($A688,J688+J$2+1,K688-J688-J$2-1),",","."))</f>
        <v>0.95</v>
      </c>
      <c r="AD688" s="3">
        <f>VALUE(SUBSTITUTE(MID($A688,K688+K$2+1,L688-K688-K$2-1),",","."))</f>
        <v>8.2799999999999994</v>
      </c>
      <c r="AE688" s="3">
        <f>VALUE(SUBSTITUTE(MID($A688,L688+L$2+1,M688-L688-L$2-1),",","."))</f>
        <v>0</v>
      </c>
      <c r="AF688" s="3">
        <f>VALUE(SUBSTITUTE(MID($A688,M688+M$2+1,N688-M688-M$2-1),",","."))</f>
        <v>0</v>
      </c>
      <c r="AG688" s="3">
        <f>VALUE(SUBSTITUTE(MID($A688,N688+N$2+1,O688-N688-N$2-1),",","."))</f>
        <v>4.2229968680143299</v>
      </c>
      <c r="AH688" t="str">
        <f>MID($A688,O688+O$2+1,P688-O688-O$2-1)</f>
        <v/>
      </c>
      <c r="AI688" s="8" t="str">
        <f>MID($A688,P688+P$2+1,Q688-P688-P$2-1)</f>
        <v>False</v>
      </c>
      <c r="AK688" t="b">
        <f t="shared" si="92"/>
        <v>0</v>
      </c>
    </row>
    <row r="689" spans="1:37" x14ac:dyDescent="0.35">
      <c r="A689" t="s">
        <v>5236</v>
      </c>
      <c r="B689">
        <f t="shared" si="95"/>
        <v>10</v>
      </c>
      <c r="C689">
        <f t="shared" si="95"/>
        <v>43</v>
      </c>
      <c r="D689">
        <f t="shared" si="95"/>
        <v>54</v>
      </c>
      <c r="E689">
        <f t="shared" si="94"/>
        <v>80</v>
      </c>
      <c r="F689">
        <f t="shared" si="94"/>
        <v>124</v>
      </c>
      <c r="G689">
        <f t="shared" si="94"/>
        <v>145</v>
      </c>
      <c r="H689">
        <f t="shared" si="94"/>
        <v>177</v>
      </c>
      <c r="I689">
        <f t="shared" si="94"/>
        <v>199</v>
      </c>
      <c r="J689">
        <f t="shared" si="94"/>
        <v>232</v>
      </c>
      <c r="K689">
        <f t="shared" si="94"/>
        <v>266</v>
      </c>
      <c r="L689">
        <f t="shared" si="94"/>
        <v>297</v>
      </c>
      <c r="M689">
        <f t="shared" si="94"/>
        <v>312</v>
      </c>
      <c r="N689">
        <f t="shared" si="94"/>
        <v>324</v>
      </c>
      <c r="O689">
        <f t="shared" si="94"/>
        <v>348</v>
      </c>
      <c r="P689">
        <f t="shared" si="94"/>
        <v>366</v>
      </c>
      <c r="Q689">
        <f t="shared" si="93"/>
        <v>392</v>
      </c>
      <c r="S689" t="str">
        <f t="shared" si="89"/>
        <v>03.12.2025</v>
      </c>
      <c r="T689" t="str">
        <f t="shared" si="90"/>
        <v>22:45:00</v>
      </c>
      <c r="U689" t="str">
        <f t="shared" si="91"/>
        <v>03.12.2025 22:45:00</v>
      </c>
      <c r="V689" s="9" t="str">
        <f>MID($A689,C689+C$2+1,D689-C689-C$2-1)</f>
        <v>0</v>
      </c>
      <c r="W689" s="4">
        <f>VALUE(SUBSTITUTE(MID($A689,D689+D$2+1,E689-D689-D$2-1),",","."))</f>
        <v>0</v>
      </c>
      <c r="X689" s="4">
        <f>VALUE(SUBSTITUTE(MID($A689,E689+E$2+1,F689-E689-E$2-1),",","."))</f>
        <v>0.90957602214449496</v>
      </c>
      <c r="Y689" s="4">
        <f>VALUE(SUBSTITUTE(MID($A689,F689+F$2+1,G689-F689-F$2-1),",","."))</f>
        <v>0</v>
      </c>
      <c r="Z689" s="3">
        <f>VALUE(SUBSTITUTE(MID($A689,G689+G$2+1,H689-G689-G$2-1),",","."))</f>
        <v>0</v>
      </c>
      <c r="AA689" s="3">
        <f>VALUE(SUBSTITUTE(MID($A689,H689+H$2+1,I689-H689-H$2-1),",","."))</f>
        <v>0</v>
      </c>
      <c r="AB689" s="3">
        <f>VALUE(SUBSTITUTE(MID($A689,I689+I$2+1,J689-I689-I$2-1),",","."))</f>
        <v>0</v>
      </c>
      <c r="AC689" s="3">
        <f>VALUE(SUBSTITUTE(MID($A689,J689+J$2+1,K689-J689-J$2-1),",","."))</f>
        <v>0.95</v>
      </c>
      <c r="AD689" s="3">
        <f>VALUE(SUBSTITUTE(MID($A689,K689+K$2+1,L689-K689-K$2-1),",","."))</f>
        <v>8.2799999999999994</v>
      </c>
      <c r="AE689" s="3">
        <f>VALUE(SUBSTITUTE(MID($A689,L689+L$2+1,M689-L689-L$2-1),",","."))</f>
        <v>0</v>
      </c>
      <c r="AF689" s="3">
        <f>VALUE(SUBSTITUTE(MID($A689,M689+M$2+1,N689-M689-M$2-1),",","."))</f>
        <v>0</v>
      </c>
      <c r="AG689" s="3">
        <f>VALUE(SUBSTITUTE(MID($A689,N689+N$2+1,O689-N689-N$2-1),",","."))</f>
        <v>4.2230253879024202</v>
      </c>
      <c r="AH689" t="str">
        <f>MID($A689,O689+O$2+1,P689-O689-O$2-1)</f>
        <v/>
      </c>
      <c r="AI689" s="8" t="str">
        <f>MID($A689,P689+P$2+1,Q689-P689-P$2-1)</f>
        <v>False</v>
      </c>
      <c r="AK689" t="b">
        <f t="shared" si="92"/>
        <v>0</v>
      </c>
    </row>
    <row r="690" spans="1:37" x14ac:dyDescent="0.35">
      <c r="A690" t="s">
        <v>5237</v>
      </c>
      <c r="B690">
        <f t="shared" si="95"/>
        <v>10</v>
      </c>
      <c r="C690">
        <f t="shared" si="95"/>
        <v>43</v>
      </c>
      <c r="D690">
        <f t="shared" si="95"/>
        <v>54</v>
      </c>
      <c r="E690">
        <f t="shared" si="94"/>
        <v>80</v>
      </c>
      <c r="F690">
        <f t="shared" si="94"/>
        <v>124</v>
      </c>
      <c r="G690">
        <f t="shared" si="94"/>
        <v>145</v>
      </c>
      <c r="H690">
        <f t="shared" si="94"/>
        <v>177</v>
      </c>
      <c r="I690">
        <f t="shared" si="94"/>
        <v>199</v>
      </c>
      <c r="J690">
        <f t="shared" si="94"/>
        <v>232</v>
      </c>
      <c r="K690">
        <f t="shared" si="94"/>
        <v>266</v>
      </c>
      <c r="L690">
        <f t="shared" si="94"/>
        <v>297</v>
      </c>
      <c r="M690">
        <f t="shared" si="94"/>
        <v>312</v>
      </c>
      <c r="N690">
        <f t="shared" si="94"/>
        <v>324</v>
      </c>
      <c r="O690">
        <f t="shared" si="94"/>
        <v>349</v>
      </c>
      <c r="P690">
        <f t="shared" si="94"/>
        <v>367</v>
      </c>
      <c r="Q690">
        <f t="shared" si="93"/>
        <v>393</v>
      </c>
      <c r="S690" t="str">
        <f t="shared" si="89"/>
        <v>03.12.2025</v>
      </c>
      <c r="T690" t="str">
        <f t="shared" si="90"/>
        <v>23:00:00</v>
      </c>
      <c r="U690" t="str">
        <f t="shared" si="91"/>
        <v>03.12.2025 23:00:00</v>
      </c>
      <c r="V690" s="9" t="str">
        <f>MID($A690,C690+C$2+1,D690-C690-C$2-1)</f>
        <v>0</v>
      </c>
      <c r="W690" s="4">
        <f>VALUE(SUBSTITUTE(MID($A690,D690+D$2+1,E690-D690-D$2-1),",","."))</f>
        <v>0</v>
      </c>
      <c r="X690" s="4">
        <f>VALUE(SUBSTITUTE(MID($A690,E690+E$2+1,F690-E690-E$2-1),",","."))</f>
        <v>0.90957602214449496</v>
      </c>
      <c r="Y690" s="4">
        <f>VALUE(SUBSTITUTE(MID($A690,F690+F$2+1,G690-F690-F$2-1),",","."))</f>
        <v>0</v>
      </c>
      <c r="Z690" s="3">
        <f>VALUE(SUBSTITUTE(MID($A690,G690+G$2+1,H690-G690-G$2-1),",","."))</f>
        <v>0</v>
      </c>
      <c r="AA690" s="3">
        <f>VALUE(SUBSTITUTE(MID($A690,H690+H$2+1,I690-H690-H$2-1),",","."))</f>
        <v>0</v>
      </c>
      <c r="AB690" s="3">
        <f>VALUE(SUBSTITUTE(MID($A690,I690+I$2+1,J690-I690-I$2-1),",","."))</f>
        <v>0</v>
      </c>
      <c r="AC690" s="3">
        <f>VALUE(SUBSTITUTE(MID($A690,J690+J$2+1,K690-J690-J$2-1),",","."))</f>
        <v>0.95</v>
      </c>
      <c r="AD690" s="3">
        <f>VALUE(SUBSTITUTE(MID($A690,K690+K$2+1,L690-K690-K$2-1),",","."))</f>
        <v>8.2799999999999994</v>
      </c>
      <c r="AE690" s="3">
        <f>VALUE(SUBSTITUTE(MID($A690,L690+L$2+1,M690-L690-L$2-1),",","."))</f>
        <v>0</v>
      </c>
      <c r="AF690" s="3">
        <f>VALUE(SUBSTITUTE(MID($A690,M690+M$2+1,N690-M690-M$2-1),",","."))</f>
        <v>0</v>
      </c>
      <c r="AG690" s="3">
        <f>VALUE(SUBSTITUTE(MID($A690,N690+N$2+1,O690-N690-N$2-1),",","."))</f>
        <v>4.2230539077904998</v>
      </c>
      <c r="AH690" t="str">
        <f>MID($A690,O690+O$2+1,P690-O690-O$2-1)</f>
        <v/>
      </c>
      <c r="AI690" s="8" t="str">
        <f>MID($A690,P690+P$2+1,Q690-P690-P$2-1)</f>
        <v>False</v>
      </c>
      <c r="AK690" t="b">
        <f t="shared" si="92"/>
        <v>0</v>
      </c>
    </row>
    <row r="691" spans="1:37" x14ac:dyDescent="0.35">
      <c r="A691" t="s">
        <v>5238</v>
      </c>
      <c r="B691">
        <f t="shared" si="95"/>
        <v>10</v>
      </c>
      <c r="C691">
        <f t="shared" si="95"/>
        <v>43</v>
      </c>
      <c r="D691">
        <f t="shared" si="95"/>
        <v>54</v>
      </c>
      <c r="E691">
        <f t="shared" si="94"/>
        <v>80</v>
      </c>
      <c r="F691">
        <f t="shared" si="94"/>
        <v>124</v>
      </c>
      <c r="G691">
        <f t="shared" si="94"/>
        <v>145</v>
      </c>
      <c r="H691">
        <f t="shared" si="94"/>
        <v>177</v>
      </c>
      <c r="I691">
        <f t="shared" si="94"/>
        <v>199</v>
      </c>
      <c r="J691">
        <f t="shared" si="94"/>
        <v>232</v>
      </c>
      <c r="K691">
        <f t="shared" si="94"/>
        <v>266</v>
      </c>
      <c r="L691">
        <f t="shared" si="94"/>
        <v>297</v>
      </c>
      <c r="M691">
        <f t="shared" si="94"/>
        <v>312</v>
      </c>
      <c r="N691">
        <f t="shared" si="94"/>
        <v>324</v>
      </c>
      <c r="O691">
        <f t="shared" si="94"/>
        <v>349</v>
      </c>
      <c r="P691">
        <f t="shared" si="94"/>
        <v>367</v>
      </c>
      <c r="Q691">
        <f t="shared" si="93"/>
        <v>393</v>
      </c>
      <c r="S691" t="str">
        <f t="shared" si="89"/>
        <v>03.12.2025</v>
      </c>
      <c r="T691" t="str">
        <f t="shared" si="90"/>
        <v>23:15:00</v>
      </c>
      <c r="U691" t="str">
        <f t="shared" si="91"/>
        <v>03.12.2025 23:15:00</v>
      </c>
      <c r="V691" s="9" t="str">
        <f>MID($A691,C691+C$2+1,D691-C691-C$2-1)</f>
        <v>0</v>
      </c>
      <c r="W691" s="4">
        <f>VALUE(SUBSTITUTE(MID($A691,D691+D$2+1,E691-D691-D$2-1),",","."))</f>
        <v>0</v>
      </c>
      <c r="X691" s="4">
        <f>VALUE(SUBSTITUTE(MID($A691,E691+E$2+1,F691-E691-E$2-1),",","."))</f>
        <v>0.90957602214449496</v>
      </c>
      <c r="Y691" s="4">
        <f>VALUE(SUBSTITUTE(MID($A691,F691+F$2+1,G691-F691-F$2-1),",","."))</f>
        <v>0</v>
      </c>
      <c r="Z691" s="3">
        <f>VALUE(SUBSTITUTE(MID($A691,G691+G$2+1,H691-G691-G$2-1),",","."))</f>
        <v>0</v>
      </c>
      <c r="AA691" s="3">
        <f>VALUE(SUBSTITUTE(MID($A691,H691+H$2+1,I691-H691-H$2-1),",","."))</f>
        <v>0</v>
      </c>
      <c r="AB691" s="3">
        <f>VALUE(SUBSTITUTE(MID($A691,I691+I$2+1,J691-I691-I$2-1),",","."))</f>
        <v>0</v>
      </c>
      <c r="AC691" s="3">
        <f>VALUE(SUBSTITUTE(MID($A691,J691+J$2+1,K691-J691-J$2-1),",","."))</f>
        <v>0.95</v>
      </c>
      <c r="AD691" s="3">
        <f>VALUE(SUBSTITUTE(MID($A691,K691+K$2+1,L691-K691-K$2-1),",","."))</f>
        <v>8.2799999999999994</v>
      </c>
      <c r="AE691" s="3">
        <f>VALUE(SUBSTITUTE(MID($A691,L691+L$2+1,M691-L691-L$2-1),",","."))</f>
        <v>0</v>
      </c>
      <c r="AF691" s="3">
        <f>VALUE(SUBSTITUTE(MID($A691,M691+M$2+1,N691-M691-M$2-1),",","."))</f>
        <v>0</v>
      </c>
      <c r="AG691" s="3">
        <f>VALUE(SUBSTITUTE(MID($A691,N691+N$2+1,O691-N691-N$2-1),",","."))</f>
        <v>4.2230824276785803</v>
      </c>
      <c r="AH691" t="str">
        <f>MID($A691,O691+O$2+1,P691-O691-O$2-1)</f>
        <v/>
      </c>
      <c r="AI691" s="8" t="str">
        <f>MID($A691,P691+P$2+1,Q691-P691-P$2-1)</f>
        <v>False</v>
      </c>
      <c r="AK691" t="b">
        <f t="shared" si="92"/>
        <v>0</v>
      </c>
    </row>
    <row r="692" spans="1:37" x14ac:dyDescent="0.35">
      <c r="A692" t="s">
        <v>5239</v>
      </c>
      <c r="B692">
        <f t="shared" si="95"/>
        <v>10</v>
      </c>
      <c r="C692">
        <f t="shared" si="95"/>
        <v>43</v>
      </c>
      <c r="D692">
        <f t="shared" si="95"/>
        <v>54</v>
      </c>
      <c r="E692">
        <f t="shared" si="94"/>
        <v>80</v>
      </c>
      <c r="F692">
        <f t="shared" si="94"/>
        <v>124</v>
      </c>
      <c r="G692">
        <f t="shared" si="94"/>
        <v>145</v>
      </c>
      <c r="H692">
        <f t="shared" si="94"/>
        <v>177</v>
      </c>
      <c r="I692">
        <f t="shared" si="94"/>
        <v>199</v>
      </c>
      <c r="J692">
        <f t="shared" si="94"/>
        <v>232</v>
      </c>
      <c r="K692">
        <f t="shared" si="94"/>
        <v>251</v>
      </c>
      <c r="L692">
        <f t="shared" si="94"/>
        <v>269</v>
      </c>
      <c r="M692">
        <f t="shared" si="94"/>
        <v>284</v>
      </c>
      <c r="N692">
        <f t="shared" si="94"/>
        <v>296</v>
      </c>
      <c r="O692">
        <f t="shared" si="94"/>
        <v>321</v>
      </c>
      <c r="P692">
        <f t="shared" si="94"/>
        <v>339</v>
      </c>
      <c r="Q692">
        <f t="shared" si="93"/>
        <v>365</v>
      </c>
      <c r="S692" t="str">
        <f t="shared" si="89"/>
        <v>03.12.2025</v>
      </c>
      <c r="T692" t="str">
        <f t="shared" si="90"/>
        <v>23:30:00</v>
      </c>
      <c r="U692" t="str">
        <f t="shared" si="91"/>
        <v>03.12.2025 23:30:00</v>
      </c>
      <c r="V692" s="9" t="str">
        <f>MID($A692,C692+C$2+1,D692-C692-C$2-1)</f>
        <v>0</v>
      </c>
      <c r="W692" s="4">
        <f>VALUE(SUBSTITUTE(MID($A692,D692+D$2+1,E692-D692-D$2-1),",","."))</f>
        <v>0</v>
      </c>
      <c r="X692" s="4">
        <f>VALUE(SUBSTITUTE(MID($A692,E692+E$2+1,F692-E692-E$2-1),",","."))</f>
        <v>0.90957602214449496</v>
      </c>
      <c r="Y692" s="4">
        <f>VALUE(SUBSTITUTE(MID($A692,F692+F$2+1,G692-F692-F$2-1),",","."))</f>
        <v>0</v>
      </c>
      <c r="Z692" s="3">
        <f>VALUE(SUBSTITUTE(MID($A692,G692+G$2+1,H692-G692-G$2-1),",","."))</f>
        <v>0</v>
      </c>
      <c r="AA692" s="3">
        <f>VALUE(SUBSTITUTE(MID($A692,H692+H$2+1,I692-H692-H$2-1),",","."))</f>
        <v>0</v>
      </c>
      <c r="AB692" s="3">
        <f>VALUE(SUBSTITUTE(MID($A692,I692+I$2+1,J692-I692-I$2-1),",","."))</f>
        <v>0</v>
      </c>
      <c r="AC692" s="3">
        <f>VALUE(SUBSTITUTE(MID($A692,J692+J$2+1,K692-J692-J$2-1),",","."))</f>
        <v>0.9</v>
      </c>
      <c r="AD692" s="3">
        <f>VALUE(SUBSTITUTE(MID($A692,K692+K$2+1,L692-K692-K$2-1),",","."))</f>
        <v>4.8600000000000003</v>
      </c>
      <c r="AE692" s="3">
        <f>VALUE(SUBSTITUTE(MID($A692,L692+L$2+1,M692-L692-L$2-1),",","."))</f>
        <v>0</v>
      </c>
      <c r="AF692" s="3">
        <f>VALUE(SUBSTITUTE(MID($A692,M692+M$2+1,N692-M692-M$2-1),",","."))</f>
        <v>0</v>
      </c>
      <c r="AG692" s="3">
        <f>VALUE(SUBSTITUTE(MID($A692,N692+N$2+1,O692-N692-N$2-1),",","."))</f>
        <v>4.2231109475666599</v>
      </c>
      <c r="AH692" t="str">
        <f>MID($A692,O692+O$2+1,P692-O692-O$2-1)</f>
        <v/>
      </c>
      <c r="AI692" s="8" t="str">
        <f>MID($A692,P692+P$2+1,Q692-P692-P$2-1)</f>
        <v>False</v>
      </c>
      <c r="AK692" t="b">
        <f t="shared" si="92"/>
        <v>0</v>
      </c>
    </row>
    <row r="693" spans="1:37" x14ac:dyDescent="0.35">
      <c r="A693" t="s">
        <v>5240</v>
      </c>
      <c r="B693">
        <f t="shared" si="95"/>
        <v>10</v>
      </c>
      <c r="C693">
        <f t="shared" si="95"/>
        <v>43</v>
      </c>
      <c r="D693">
        <f t="shared" si="95"/>
        <v>54</v>
      </c>
      <c r="E693">
        <f t="shared" si="94"/>
        <v>80</v>
      </c>
      <c r="F693">
        <f t="shared" si="94"/>
        <v>124</v>
      </c>
      <c r="G693">
        <f t="shared" si="94"/>
        <v>145</v>
      </c>
      <c r="H693">
        <f t="shared" si="94"/>
        <v>177</v>
      </c>
      <c r="I693">
        <f t="shared" si="94"/>
        <v>199</v>
      </c>
      <c r="J693">
        <f t="shared" si="94"/>
        <v>232</v>
      </c>
      <c r="K693">
        <f t="shared" si="94"/>
        <v>251</v>
      </c>
      <c r="L693">
        <f t="shared" si="94"/>
        <v>269</v>
      </c>
      <c r="M693">
        <f t="shared" si="94"/>
        <v>284</v>
      </c>
      <c r="N693">
        <f t="shared" si="94"/>
        <v>296</v>
      </c>
      <c r="O693">
        <f t="shared" si="94"/>
        <v>321</v>
      </c>
      <c r="P693">
        <f t="shared" si="94"/>
        <v>339</v>
      </c>
      <c r="Q693">
        <f t="shared" si="93"/>
        <v>365</v>
      </c>
      <c r="S693" t="str">
        <f t="shared" si="89"/>
        <v>03.12.2025</v>
      </c>
      <c r="T693" t="str">
        <f t="shared" si="90"/>
        <v>23:45:00</v>
      </c>
      <c r="U693" t="str">
        <f t="shared" si="91"/>
        <v>03.12.2025 23:45:00</v>
      </c>
      <c r="V693" s="9" t="str">
        <f>MID($A693,C693+C$2+1,D693-C693-C$2-1)</f>
        <v>0</v>
      </c>
      <c r="W693" s="4">
        <f>VALUE(SUBSTITUTE(MID($A693,D693+D$2+1,E693-D693-D$2-1),",","."))</f>
        <v>0</v>
      </c>
      <c r="X693" s="4">
        <f>VALUE(SUBSTITUTE(MID($A693,E693+E$2+1,F693-E693-E$2-1),",","."))</f>
        <v>0.90957602214449496</v>
      </c>
      <c r="Y693" s="4">
        <f>VALUE(SUBSTITUTE(MID($A693,F693+F$2+1,G693-F693-F$2-1),",","."))</f>
        <v>0</v>
      </c>
      <c r="Z693" s="3">
        <f>VALUE(SUBSTITUTE(MID($A693,G693+G$2+1,H693-G693-G$2-1),",","."))</f>
        <v>0</v>
      </c>
      <c r="AA693" s="3">
        <f>VALUE(SUBSTITUTE(MID($A693,H693+H$2+1,I693-H693-H$2-1),",","."))</f>
        <v>0</v>
      </c>
      <c r="AB693" s="3">
        <f>VALUE(SUBSTITUTE(MID($A693,I693+I$2+1,J693-I693-I$2-1),",","."))</f>
        <v>0</v>
      </c>
      <c r="AC693" s="3">
        <f>VALUE(SUBSTITUTE(MID($A693,J693+J$2+1,K693-J693-J$2-1),",","."))</f>
        <v>0.9</v>
      </c>
      <c r="AD693" s="3">
        <f>VALUE(SUBSTITUTE(MID($A693,K693+K$2+1,L693-K693-K$2-1),",","."))</f>
        <v>4.8600000000000003</v>
      </c>
      <c r="AE693" s="3">
        <f>VALUE(SUBSTITUTE(MID($A693,L693+L$2+1,M693-L693-L$2-1),",","."))</f>
        <v>0</v>
      </c>
      <c r="AF693" s="3">
        <f>VALUE(SUBSTITUTE(MID($A693,M693+M$2+1,N693-M693-M$2-1),",","."))</f>
        <v>0</v>
      </c>
      <c r="AG693" s="3">
        <f>VALUE(SUBSTITUTE(MID($A693,N693+N$2+1,O693-N693-N$2-1),",","."))</f>
        <v>4.2231394674547396</v>
      </c>
      <c r="AH693" t="str">
        <f>MID($A693,O693+O$2+1,P693-O693-O$2-1)</f>
        <v/>
      </c>
      <c r="AI693" s="8" t="str">
        <f>MID($A693,P693+P$2+1,Q693-P693-P$2-1)</f>
        <v>False</v>
      </c>
      <c r="AK693" t="b">
        <f t="shared" si="92"/>
        <v>0</v>
      </c>
    </row>
    <row r="694" spans="1:37" x14ac:dyDescent="0.35">
      <c r="A694" t="s">
        <v>5241</v>
      </c>
      <c r="B694">
        <f t="shared" si="95"/>
        <v>10</v>
      </c>
      <c r="C694">
        <f t="shared" si="95"/>
        <v>43</v>
      </c>
      <c r="D694">
        <f t="shared" si="95"/>
        <v>54</v>
      </c>
      <c r="E694">
        <f t="shared" si="94"/>
        <v>80</v>
      </c>
      <c r="F694">
        <f t="shared" si="94"/>
        <v>124</v>
      </c>
      <c r="G694">
        <f t="shared" si="94"/>
        <v>145</v>
      </c>
      <c r="H694">
        <f t="shared" si="94"/>
        <v>177</v>
      </c>
      <c r="I694">
        <f t="shared" si="94"/>
        <v>199</v>
      </c>
      <c r="J694">
        <f t="shared" si="94"/>
        <v>232</v>
      </c>
      <c r="K694">
        <f t="shared" si="94"/>
        <v>251</v>
      </c>
      <c r="L694">
        <f t="shared" si="94"/>
        <v>269</v>
      </c>
      <c r="M694">
        <f t="shared" si="94"/>
        <v>284</v>
      </c>
      <c r="N694">
        <f t="shared" si="94"/>
        <v>296</v>
      </c>
      <c r="O694">
        <f t="shared" si="94"/>
        <v>321</v>
      </c>
      <c r="P694">
        <f t="shared" si="94"/>
        <v>339</v>
      </c>
      <c r="Q694">
        <f t="shared" si="93"/>
        <v>365</v>
      </c>
      <c r="S694" t="str">
        <f t="shared" si="89"/>
        <v>04.12.2025</v>
      </c>
      <c r="T694" t="str">
        <f t="shared" si="90"/>
        <v>00:00:00</v>
      </c>
      <c r="U694" t="str">
        <f t="shared" si="91"/>
        <v>04.12.2025 00:00:00</v>
      </c>
      <c r="V694" s="9" t="str">
        <f>MID($A694,C694+C$2+1,D694-C694-C$2-1)</f>
        <v>0</v>
      </c>
      <c r="W694" s="4">
        <f>VALUE(SUBSTITUTE(MID($A694,D694+D$2+1,E694-D694-D$2-1),",","."))</f>
        <v>0</v>
      </c>
      <c r="X694" s="4">
        <f>VALUE(SUBSTITUTE(MID($A694,E694+E$2+1,F694-E694-E$2-1),",","."))</f>
        <v>0.90957602214449496</v>
      </c>
      <c r="Y694" s="4">
        <f>VALUE(SUBSTITUTE(MID($A694,F694+F$2+1,G694-F694-F$2-1),",","."))</f>
        <v>0</v>
      </c>
      <c r="Z694" s="3">
        <f>VALUE(SUBSTITUTE(MID($A694,G694+G$2+1,H694-G694-G$2-1),",","."))</f>
        <v>0</v>
      </c>
      <c r="AA694" s="3">
        <f>VALUE(SUBSTITUTE(MID($A694,H694+H$2+1,I694-H694-H$2-1),",","."))</f>
        <v>0</v>
      </c>
      <c r="AB694" s="3">
        <f>VALUE(SUBSTITUTE(MID($A694,I694+I$2+1,J694-I694-I$2-1),",","."))</f>
        <v>0</v>
      </c>
      <c r="AC694" s="3">
        <f>VALUE(SUBSTITUTE(MID($A694,J694+J$2+1,K694-J694-J$2-1),",","."))</f>
        <v>0.9</v>
      </c>
      <c r="AD694" s="3">
        <f>VALUE(SUBSTITUTE(MID($A694,K694+K$2+1,L694-K694-K$2-1),",","."))</f>
        <v>4.8600000000000003</v>
      </c>
      <c r="AE694" s="3">
        <f>VALUE(SUBSTITUTE(MID($A694,L694+L$2+1,M694-L694-L$2-1),",","."))</f>
        <v>0</v>
      </c>
      <c r="AF694" s="3">
        <f>VALUE(SUBSTITUTE(MID($A694,M694+M$2+1,N694-M694-M$2-1),",","."))</f>
        <v>0</v>
      </c>
      <c r="AG694" s="3">
        <f>VALUE(SUBSTITUTE(MID($A694,N694+N$2+1,O694-N694-N$2-1),",","."))</f>
        <v>4.2231679873428201</v>
      </c>
      <c r="AH694" t="str">
        <f>MID($A694,O694+O$2+1,P694-O694-O$2-1)</f>
        <v/>
      </c>
      <c r="AI694" s="8" t="str">
        <f>MID($A694,P694+P$2+1,Q694-P694-P$2-1)</f>
        <v>False</v>
      </c>
      <c r="AK694" t="b">
        <f t="shared" si="92"/>
        <v>0</v>
      </c>
    </row>
    <row r="695" spans="1:37" x14ac:dyDescent="0.35">
      <c r="A695" t="s">
        <v>5242</v>
      </c>
      <c r="B695">
        <f t="shared" si="95"/>
        <v>10</v>
      </c>
      <c r="C695">
        <f t="shared" si="95"/>
        <v>43</v>
      </c>
      <c r="D695">
        <f t="shared" si="95"/>
        <v>54</v>
      </c>
      <c r="E695">
        <f t="shared" si="94"/>
        <v>80</v>
      </c>
      <c r="F695">
        <f t="shared" si="94"/>
        <v>124</v>
      </c>
      <c r="G695">
        <f t="shared" si="94"/>
        <v>145</v>
      </c>
      <c r="H695">
        <f t="shared" si="94"/>
        <v>177</v>
      </c>
      <c r="I695">
        <f t="shared" si="94"/>
        <v>199</v>
      </c>
      <c r="J695">
        <f t="shared" si="94"/>
        <v>232</v>
      </c>
      <c r="K695">
        <f t="shared" si="94"/>
        <v>251</v>
      </c>
      <c r="L695">
        <f t="shared" si="94"/>
        <v>269</v>
      </c>
      <c r="M695">
        <f t="shared" si="94"/>
        <v>284</v>
      </c>
      <c r="N695">
        <f t="shared" si="94"/>
        <v>296</v>
      </c>
      <c r="O695">
        <f t="shared" si="94"/>
        <v>322</v>
      </c>
      <c r="P695">
        <f t="shared" si="94"/>
        <v>340</v>
      </c>
      <c r="Q695">
        <f t="shared" si="93"/>
        <v>366</v>
      </c>
      <c r="S695" t="str">
        <f t="shared" si="89"/>
        <v>04.12.2025</v>
      </c>
      <c r="T695" t="str">
        <f t="shared" si="90"/>
        <v>00:15:00</v>
      </c>
      <c r="U695" t="str">
        <f t="shared" si="91"/>
        <v>04.12.2025 00:15:00</v>
      </c>
      <c r="V695" s="9" t="str">
        <f>MID($A695,C695+C$2+1,D695-C695-C$2-1)</f>
        <v>0</v>
      </c>
      <c r="W695" s="4">
        <f>VALUE(SUBSTITUTE(MID($A695,D695+D$2+1,E695-D695-D$2-1),",","."))</f>
        <v>0</v>
      </c>
      <c r="X695" s="4">
        <f>VALUE(SUBSTITUTE(MID($A695,E695+E$2+1,F695-E695-E$2-1),",","."))</f>
        <v>0.90957602214449496</v>
      </c>
      <c r="Y695" s="4">
        <f>VALUE(SUBSTITUTE(MID($A695,F695+F$2+1,G695-F695-F$2-1),",","."))</f>
        <v>0</v>
      </c>
      <c r="Z695" s="3">
        <f>VALUE(SUBSTITUTE(MID($A695,G695+G$2+1,H695-G695-G$2-1),",","."))</f>
        <v>0</v>
      </c>
      <c r="AA695" s="3">
        <f>VALUE(SUBSTITUTE(MID($A695,H695+H$2+1,I695-H695-H$2-1),",","."))</f>
        <v>0</v>
      </c>
      <c r="AB695" s="3">
        <f>VALUE(SUBSTITUTE(MID($A695,I695+I$2+1,J695-I695-I$2-1),",","."))</f>
        <v>0</v>
      </c>
      <c r="AC695" s="3">
        <f>VALUE(SUBSTITUTE(MID($A695,J695+J$2+1,K695-J695-J$2-1),",","."))</f>
        <v>0.9</v>
      </c>
      <c r="AD695" s="3">
        <f>VALUE(SUBSTITUTE(MID($A695,K695+K$2+1,L695-K695-K$2-1),",","."))</f>
        <v>4.8600000000000003</v>
      </c>
      <c r="AE695" s="3">
        <f>VALUE(SUBSTITUTE(MID($A695,L695+L$2+1,M695-L695-L$2-1),",","."))</f>
        <v>0</v>
      </c>
      <c r="AF695" s="3">
        <f>VALUE(SUBSTITUTE(MID($A695,M695+M$2+1,N695-M695-M$2-1),",","."))</f>
        <v>0</v>
      </c>
      <c r="AG695" s="3">
        <f>VALUE(SUBSTITUTE(MID($A695,N695+N$2+1,O695-N695-N$2-1),",","."))</f>
        <v>4.2231965072308997</v>
      </c>
      <c r="AH695" t="str">
        <f>MID($A695,O695+O$2+1,P695-O695-O$2-1)</f>
        <v/>
      </c>
      <c r="AI695" s="8" t="str">
        <f>MID($A695,P695+P$2+1,Q695-P695-P$2-1)</f>
        <v>False</v>
      </c>
      <c r="AK695" t="b">
        <f t="shared" si="92"/>
        <v>0</v>
      </c>
    </row>
    <row r="696" spans="1:37" x14ac:dyDescent="0.35">
      <c r="A696" t="s">
        <v>5243</v>
      </c>
      <c r="B696">
        <f t="shared" si="95"/>
        <v>10</v>
      </c>
      <c r="C696">
        <f t="shared" si="95"/>
        <v>43</v>
      </c>
      <c r="D696">
        <f t="shared" si="95"/>
        <v>54</v>
      </c>
      <c r="E696">
        <f t="shared" si="94"/>
        <v>80</v>
      </c>
      <c r="F696">
        <f t="shared" si="94"/>
        <v>124</v>
      </c>
      <c r="G696">
        <f t="shared" si="94"/>
        <v>145</v>
      </c>
      <c r="H696">
        <f t="shared" si="94"/>
        <v>177</v>
      </c>
      <c r="I696">
        <f t="shared" si="94"/>
        <v>199</v>
      </c>
      <c r="J696">
        <f t="shared" si="94"/>
        <v>232</v>
      </c>
      <c r="K696">
        <f t="shared" si="94"/>
        <v>266</v>
      </c>
      <c r="L696">
        <f t="shared" si="94"/>
        <v>298</v>
      </c>
      <c r="M696">
        <f t="shared" si="94"/>
        <v>313</v>
      </c>
      <c r="N696">
        <f t="shared" si="94"/>
        <v>325</v>
      </c>
      <c r="O696">
        <f t="shared" si="94"/>
        <v>350</v>
      </c>
      <c r="P696">
        <f t="shared" si="94"/>
        <v>368</v>
      </c>
      <c r="Q696">
        <f t="shared" si="93"/>
        <v>394</v>
      </c>
      <c r="S696" t="str">
        <f t="shared" ref="S696:S759" si="96">LEFT(U696,10)</f>
        <v>04.12.2025</v>
      </c>
      <c r="T696" t="str">
        <f t="shared" ref="T696:T759" si="97">MID(U696,12,8)</f>
        <v>00:30:00</v>
      </c>
      <c r="U696" t="str">
        <f t="shared" si="91"/>
        <v>04.12.2025 00:30:00</v>
      </c>
      <c r="V696" s="9" t="str">
        <f>MID($A696,C696+C$2+1,D696-C696-C$2-1)</f>
        <v>0</v>
      </c>
      <c r="W696" s="4">
        <f>VALUE(SUBSTITUTE(MID($A696,D696+D$2+1,E696-D696-D$2-1),",","."))</f>
        <v>0</v>
      </c>
      <c r="X696" s="4">
        <f>VALUE(SUBSTITUTE(MID($A696,E696+E$2+1,F696-E696-E$2-1),",","."))</f>
        <v>0.90957602214449496</v>
      </c>
      <c r="Y696" s="4">
        <f>VALUE(SUBSTITUTE(MID($A696,F696+F$2+1,G696-F696-F$2-1),",","."))</f>
        <v>0</v>
      </c>
      <c r="Z696" s="3">
        <f>VALUE(SUBSTITUTE(MID($A696,G696+G$2+1,H696-G696-G$2-1),",","."))</f>
        <v>0</v>
      </c>
      <c r="AA696" s="3">
        <f>VALUE(SUBSTITUTE(MID($A696,H696+H$2+1,I696-H696-H$2-1),",","."))</f>
        <v>0</v>
      </c>
      <c r="AB696" s="3">
        <f>VALUE(SUBSTITUTE(MID($A696,I696+I$2+1,J696-I696-I$2-1),",","."))</f>
        <v>0</v>
      </c>
      <c r="AC696" s="3">
        <f>VALUE(SUBSTITUTE(MID($A696,J696+J$2+1,K696-J696-J$2-1),",","."))</f>
        <v>0.85</v>
      </c>
      <c r="AD696" s="3">
        <f>VALUE(SUBSTITUTE(MID($A696,K696+K$2+1,L696-K696-K$2-1),",","."))</f>
        <v>3.06</v>
      </c>
      <c r="AE696" s="3">
        <f>VALUE(SUBSTITUTE(MID($A696,L696+L$2+1,M696-L696-L$2-1),",","."))</f>
        <v>0</v>
      </c>
      <c r="AF696" s="3">
        <f>VALUE(SUBSTITUTE(MID($A696,M696+M$2+1,N696-M696-M$2-1),",","."))</f>
        <v>0</v>
      </c>
      <c r="AG696" s="3">
        <f>VALUE(SUBSTITUTE(MID($A696,N696+N$2+1,O696-N696-N$2-1),",","."))</f>
        <v>4.2232250271189899</v>
      </c>
      <c r="AH696" t="str">
        <f>MID($A696,O696+O$2+1,P696-O696-O$2-1)</f>
        <v/>
      </c>
      <c r="AI696" s="8" t="str">
        <f>MID($A696,P696+P$2+1,Q696-P696-P$2-1)</f>
        <v>False</v>
      </c>
      <c r="AK696" t="b">
        <f t="shared" si="92"/>
        <v>0</v>
      </c>
    </row>
    <row r="697" spans="1:37" x14ac:dyDescent="0.35">
      <c r="A697" t="s">
        <v>5244</v>
      </c>
      <c r="B697">
        <f t="shared" si="95"/>
        <v>10</v>
      </c>
      <c r="C697">
        <f t="shared" si="95"/>
        <v>43</v>
      </c>
      <c r="D697">
        <f t="shared" si="95"/>
        <v>54</v>
      </c>
      <c r="E697">
        <f t="shared" si="94"/>
        <v>80</v>
      </c>
      <c r="F697">
        <f t="shared" si="94"/>
        <v>124</v>
      </c>
      <c r="G697">
        <f t="shared" si="94"/>
        <v>145</v>
      </c>
      <c r="H697">
        <f t="shared" si="94"/>
        <v>177</v>
      </c>
      <c r="I697">
        <f t="shared" si="94"/>
        <v>199</v>
      </c>
      <c r="J697">
        <f t="shared" si="94"/>
        <v>232</v>
      </c>
      <c r="K697">
        <f t="shared" si="94"/>
        <v>266</v>
      </c>
      <c r="L697">
        <f t="shared" si="94"/>
        <v>298</v>
      </c>
      <c r="M697">
        <f t="shared" si="94"/>
        <v>313</v>
      </c>
      <c r="N697">
        <f t="shared" si="94"/>
        <v>325</v>
      </c>
      <c r="O697">
        <f t="shared" si="94"/>
        <v>350</v>
      </c>
      <c r="P697">
        <f t="shared" si="94"/>
        <v>368</v>
      </c>
      <c r="Q697">
        <f t="shared" si="93"/>
        <v>394</v>
      </c>
      <c r="S697" t="str">
        <f t="shared" si="96"/>
        <v>04.12.2025</v>
      </c>
      <c r="T697" t="str">
        <f t="shared" si="97"/>
        <v>00:45:00</v>
      </c>
      <c r="U697" t="str">
        <f t="shared" si="91"/>
        <v>04.12.2025 00:45:00</v>
      </c>
      <c r="V697" s="9" t="str">
        <f>MID($A697,C697+C$2+1,D697-C697-C$2-1)</f>
        <v>0</v>
      </c>
      <c r="W697" s="4">
        <f>VALUE(SUBSTITUTE(MID($A697,D697+D$2+1,E697-D697-D$2-1),",","."))</f>
        <v>0</v>
      </c>
      <c r="X697" s="4">
        <f>VALUE(SUBSTITUTE(MID($A697,E697+E$2+1,F697-E697-E$2-1),",","."))</f>
        <v>0.90957602214449496</v>
      </c>
      <c r="Y697" s="4">
        <f>VALUE(SUBSTITUTE(MID($A697,F697+F$2+1,G697-F697-F$2-1),",","."))</f>
        <v>0</v>
      </c>
      <c r="Z697" s="3">
        <f>VALUE(SUBSTITUTE(MID($A697,G697+G$2+1,H697-G697-G$2-1),",","."))</f>
        <v>0</v>
      </c>
      <c r="AA697" s="3">
        <f>VALUE(SUBSTITUTE(MID($A697,H697+H$2+1,I697-H697-H$2-1),",","."))</f>
        <v>0</v>
      </c>
      <c r="AB697" s="3">
        <f>VALUE(SUBSTITUTE(MID($A697,I697+I$2+1,J697-I697-I$2-1),",","."))</f>
        <v>0</v>
      </c>
      <c r="AC697" s="3">
        <f>VALUE(SUBSTITUTE(MID($A697,J697+J$2+1,K697-J697-J$2-1),",","."))</f>
        <v>0.85</v>
      </c>
      <c r="AD697" s="3">
        <f>VALUE(SUBSTITUTE(MID($A697,K697+K$2+1,L697-K697-K$2-1),",","."))</f>
        <v>3.06</v>
      </c>
      <c r="AE697" s="3">
        <f>VALUE(SUBSTITUTE(MID($A697,L697+L$2+1,M697-L697-L$2-1),",","."))</f>
        <v>0</v>
      </c>
      <c r="AF697" s="3">
        <f>VALUE(SUBSTITUTE(MID($A697,M697+M$2+1,N697-M697-M$2-1),",","."))</f>
        <v>0</v>
      </c>
      <c r="AG697" s="3">
        <f>VALUE(SUBSTITUTE(MID($A697,N697+N$2+1,O697-N697-N$2-1),",","."))</f>
        <v>4.2232535470070696</v>
      </c>
      <c r="AH697" t="str">
        <f>MID($A697,O697+O$2+1,P697-O697-O$2-1)</f>
        <v/>
      </c>
      <c r="AI697" s="8" t="str">
        <f>MID($A697,P697+P$2+1,Q697-P697-P$2-1)</f>
        <v>False</v>
      </c>
      <c r="AK697" t="b">
        <f t="shared" si="92"/>
        <v>0</v>
      </c>
    </row>
    <row r="698" spans="1:37" x14ac:dyDescent="0.35">
      <c r="A698" t="s">
        <v>5245</v>
      </c>
      <c r="B698">
        <f t="shared" si="95"/>
        <v>10</v>
      </c>
      <c r="C698">
        <f t="shared" si="95"/>
        <v>43</v>
      </c>
      <c r="D698">
        <f t="shared" si="95"/>
        <v>54</v>
      </c>
      <c r="E698">
        <f t="shared" si="94"/>
        <v>80</v>
      </c>
      <c r="F698">
        <f t="shared" si="94"/>
        <v>124</v>
      </c>
      <c r="G698">
        <f t="shared" si="94"/>
        <v>145</v>
      </c>
      <c r="H698">
        <f t="shared" si="94"/>
        <v>177</v>
      </c>
      <c r="I698">
        <f t="shared" si="94"/>
        <v>199</v>
      </c>
      <c r="J698">
        <f t="shared" si="94"/>
        <v>232</v>
      </c>
      <c r="K698">
        <f t="shared" si="94"/>
        <v>266</v>
      </c>
      <c r="L698">
        <f t="shared" si="94"/>
        <v>298</v>
      </c>
      <c r="M698">
        <f t="shared" si="94"/>
        <v>313</v>
      </c>
      <c r="N698">
        <f t="shared" si="94"/>
        <v>325</v>
      </c>
      <c r="O698">
        <f t="shared" si="94"/>
        <v>350</v>
      </c>
      <c r="P698">
        <f t="shared" si="94"/>
        <v>368</v>
      </c>
      <c r="Q698">
        <f t="shared" si="93"/>
        <v>394</v>
      </c>
      <c r="S698" t="str">
        <f t="shared" si="96"/>
        <v>04.12.2025</v>
      </c>
      <c r="T698" t="str">
        <f t="shared" si="97"/>
        <v>01:00:00</v>
      </c>
      <c r="U698" t="str">
        <f t="shared" si="91"/>
        <v>04.12.2025 01:00:00</v>
      </c>
      <c r="V698" s="9" t="str">
        <f>MID($A698,C698+C$2+1,D698-C698-C$2-1)</f>
        <v>0</v>
      </c>
      <c r="W698" s="4">
        <f>VALUE(SUBSTITUTE(MID($A698,D698+D$2+1,E698-D698-D$2-1),",","."))</f>
        <v>0</v>
      </c>
      <c r="X698" s="4">
        <f>VALUE(SUBSTITUTE(MID($A698,E698+E$2+1,F698-E698-E$2-1),",","."))</f>
        <v>0.90957602214449496</v>
      </c>
      <c r="Y698" s="4">
        <f>VALUE(SUBSTITUTE(MID($A698,F698+F$2+1,G698-F698-F$2-1),",","."))</f>
        <v>0</v>
      </c>
      <c r="Z698" s="3">
        <f>VALUE(SUBSTITUTE(MID($A698,G698+G$2+1,H698-G698-G$2-1),",","."))</f>
        <v>0</v>
      </c>
      <c r="AA698" s="3">
        <f>VALUE(SUBSTITUTE(MID($A698,H698+H$2+1,I698-H698-H$2-1),",","."))</f>
        <v>0</v>
      </c>
      <c r="AB698" s="3">
        <f>VALUE(SUBSTITUTE(MID($A698,I698+I$2+1,J698-I698-I$2-1),",","."))</f>
        <v>0</v>
      </c>
      <c r="AC698" s="3">
        <f>VALUE(SUBSTITUTE(MID($A698,J698+J$2+1,K698-J698-J$2-1),",","."))</f>
        <v>0.85</v>
      </c>
      <c r="AD698" s="3">
        <f>VALUE(SUBSTITUTE(MID($A698,K698+K$2+1,L698-K698-K$2-1),",","."))</f>
        <v>3.06</v>
      </c>
      <c r="AE698" s="3">
        <f>VALUE(SUBSTITUTE(MID($A698,L698+L$2+1,M698-L698-L$2-1),",","."))</f>
        <v>0</v>
      </c>
      <c r="AF698" s="3">
        <f>VALUE(SUBSTITUTE(MID($A698,M698+M$2+1,N698-M698-M$2-1),",","."))</f>
        <v>0</v>
      </c>
      <c r="AG698" s="3">
        <f>VALUE(SUBSTITUTE(MID($A698,N698+N$2+1,O698-N698-N$2-1),",","."))</f>
        <v>4.2232820668951501</v>
      </c>
      <c r="AH698" t="str">
        <f>MID($A698,O698+O$2+1,P698-O698-O$2-1)</f>
        <v/>
      </c>
      <c r="AI698" s="8" t="str">
        <f>MID($A698,P698+P$2+1,Q698-P698-P$2-1)</f>
        <v>False</v>
      </c>
      <c r="AK698" t="b">
        <f t="shared" si="92"/>
        <v>0</v>
      </c>
    </row>
    <row r="699" spans="1:37" x14ac:dyDescent="0.35">
      <c r="A699" t="s">
        <v>5246</v>
      </c>
      <c r="B699">
        <f t="shared" si="95"/>
        <v>10</v>
      </c>
      <c r="C699">
        <f t="shared" si="95"/>
        <v>43</v>
      </c>
      <c r="D699">
        <f t="shared" si="95"/>
        <v>54</v>
      </c>
      <c r="E699">
        <f t="shared" si="94"/>
        <v>80</v>
      </c>
      <c r="F699">
        <f t="shared" si="94"/>
        <v>124</v>
      </c>
      <c r="G699">
        <f t="shared" si="94"/>
        <v>145</v>
      </c>
      <c r="H699">
        <f t="shared" si="94"/>
        <v>177</v>
      </c>
      <c r="I699">
        <f t="shared" si="94"/>
        <v>199</v>
      </c>
      <c r="J699">
        <f t="shared" si="94"/>
        <v>232</v>
      </c>
      <c r="K699">
        <f t="shared" si="94"/>
        <v>266</v>
      </c>
      <c r="L699">
        <f t="shared" si="94"/>
        <v>298</v>
      </c>
      <c r="M699">
        <f t="shared" si="94"/>
        <v>313</v>
      </c>
      <c r="N699">
        <f t="shared" si="94"/>
        <v>325</v>
      </c>
      <c r="O699">
        <f t="shared" si="94"/>
        <v>350</v>
      </c>
      <c r="P699">
        <f t="shared" si="94"/>
        <v>368</v>
      </c>
      <c r="Q699">
        <f t="shared" si="93"/>
        <v>394</v>
      </c>
      <c r="S699" t="str">
        <f t="shared" si="96"/>
        <v>04.12.2025</v>
      </c>
      <c r="T699" t="str">
        <f t="shared" si="97"/>
        <v>01:15:00</v>
      </c>
      <c r="U699" t="str">
        <f t="shared" si="91"/>
        <v>04.12.2025 01:15:00</v>
      </c>
      <c r="V699" s="9" t="str">
        <f>MID($A699,C699+C$2+1,D699-C699-C$2-1)</f>
        <v>0</v>
      </c>
      <c r="W699" s="4">
        <f>VALUE(SUBSTITUTE(MID($A699,D699+D$2+1,E699-D699-D$2-1),",","."))</f>
        <v>0</v>
      </c>
      <c r="X699" s="4">
        <f>VALUE(SUBSTITUTE(MID($A699,E699+E$2+1,F699-E699-E$2-1),",","."))</f>
        <v>0.90957602214449496</v>
      </c>
      <c r="Y699" s="4">
        <f>VALUE(SUBSTITUTE(MID($A699,F699+F$2+1,G699-F699-F$2-1),",","."))</f>
        <v>0</v>
      </c>
      <c r="Z699" s="3">
        <f>VALUE(SUBSTITUTE(MID($A699,G699+G$2+1,H699-G699-G$2-1),",","."))</f>
        <v>0</v>
      </c>
      <c r="AA699" s="3">
        <f>VALUE(SUBSTITUTE(MID($A699,H699+H$2+1,I699-H699-H$2-1),",","."))</f>
        <v>0</v>
      </c>
      <c r="AB699" s="3">
        <f>VALUE(SUBSTITUTE(MID($A699,I699+I$2+1,J699-I699-I$2-1),",","."))</f>
        <v>0</v>
      </c>
      <c r="AC699" s="3">
        <f>VALUE(SUBSTITUTE(MID($A699,J699+J$2+1,K699-J699-J$2-1),",","."))</f>
        <v>0.85</v>
      </c>
      <c r="AD699" s="3">
        <f>VALUE(SUBSTITUTE(MID($A699,K699+K$2+1,L699-K699-K$2-1),",","."))</f>
        <v>3.06</v>
      </c>
      <c r="AE699" s="3">
        <f>VALUE(SUBSTITUTE(MID($A699,L699+L$2+1,M699-L699-L$2-1),",","."))</f>
        <v>0</v>
      </c>
      <c r="AF699" s="3">
        <f>VALUE(SUBSTITUTE(MID($A699,M699+M$2+1,N699-M699-M$2-1),",","."))</f>
        <v>0</v>
      </c>
      <c r="AG699" s="3">
        <f>VALUE(SUBSTITUTE(MID($A699,N699+N$2+1,O699-N699-N$2-1),",","."))</f>
        <v>4.2233105867832297</v>
      </c>
      <c r="AH699" t="str">
        <f>MID($A699,O699+O$2+1,P699-O699-O$2-1)</f>
        <v/>
      </c>
      <c r="AI699" s="8" t="str">
        <f>MID($A699,P699+P$2+1,Q699-P699-P$2-1)</f>
        <v>False</v>
      </c>
      <c r="AK699" t="b">
        <f t="shared" si="92"/>
        <v>0</v>
      </c>
    </row>
    <row r="700" spans="1:37" x14ac:dyDescent="0.35">
      <c r="A700" t="s">
        <v>5247</v>
      </c>
      <c r="B700">
        <f t="shared" si="95"/>
        <v>10</v>
      </c>
      <c r="C700">
        <f t="shared" si="95"/>
        <v>43</v>
      </c>
      <c r="D700">
        <f t="shared" si="95"/>
        <v>54</v>
      </c>
      <c r="E700">
        <f t="shared" si="94"/>
        <v>80</v>
      </c>
      <c r="F700">
        <f t="shared" si="94"/>
        <v>124</v>
      </c>
      <c r="G700">
        <f t="shared" si="94"/>
        <v>145</v>
      </c>
      <c r="H700">
        <f t="shared" si="94"/>
        <v>177</v>
      </c>
      <c r="I700">
        <f t="shared" si="94"/>
        <v>199</v>
      </c>
      <c r="J700">
        <f t="shared" si="94"/>
        <v>232</v>
      </c>
      <c r="K700">
        <f t="shared" si="94"/>
        <v>251</v>
      </c>
      <c r="L700">
        <f t="shared" si="94"/>
        <v>269</v>
      </c>
      <c r="M700">
        <f t="shared" si="94"/>
        <v>284</v>
      </c>
      <c r="N700">
        <f t="shared" si="94"/>
        <v>296</v>
      </c>
      <c r="O700">
        <f t="shared" si="94"/>
        <v>321</v>
      </c>
      <c r="P700">
        <f t="shared" si="94"/>
        <v>339</v>
      </c>
      <c r="Q700">
        <f t="shared" si="93"/>
        <v>365</v>
      </c>
      <c r="S700" t="str">
        <f t="shared" si="96"/>
        <v>04.12.2025</v>
      </c>
      <c r="T700" t="str">
        <f t="shared" si="97"/>
        <v>01:30:00</v>
      </c>
      <c r="U700" t="str">
        <f t="shared" si="91"/>
        <v>04.12.2025 01:30:00</v>
      </c>
      <c r="V700" s="9" t="str">
        <f>MID($A700,C700+C$2+1,D700-C700-C$2-1)</f>
        <v>0</v>
      </c>
      <c r="W700" s="4">
        <f>VALUE(SUBSTITUTE(MID($A700,D700+D$2+1,E700-D700-D$2-1),",","."))</f>
        <v>0</v>
      </c>
      <c r="X700" s="4">
        <f>VALUE(SUBSTITUTE(MID($A700,E700+E$2+1,F700-E700-E$2-1),",","."))</f>
        <v>0.90957602214449496</v>
      </c>
      <c r="Y700" s="4">
        <f>VALUE(SUBSTITUTE(MID($A700,F700+F$2+1,G700-F700-F$2-1),",","."))</f>
        <v>0</v>
      </c>
      <c r="Z700" s="3">
        <f>VALUE(SUBSTITUTE(MID($A700,G700+G$2+1,H700-G700-G$2-1),",","."))</f>
        <v>0</v>
      </c>
      <c r="AA700" s="3">
        <f>VALUE(SUBSTITUTE(MID($A700,H700+H$2+1,I700-H700-H$2-1),",","."))</f>
        <v>0</v>
      </c>
      <c r="AB700" s="3">
        <f>VALUE(SUBSTITUTE(MID($A700,I700+I$2+1,J700-I700-I$2-1),",","."))</f>
        <v>0</v>
      </c>
      <c r="AC700" s="3">
        <f>VALUE(SUBSTITUTE(MID($A700,J700+J$2+1,K700-J700-J$2-1),",","."))</f>
        <v>0.8</v>
      </c>
      <c r="AD700" s="3">
        <f>VALUE(SUBSTITUTE(MID($A700,K700+K$2+1,L700-K700-K$2-1),",","."))</f>
        <v>1.98</v>
      </c>
      <c r="AE700" s="3">
        <f>VALUE(SUBSTITUTE(MID($A700,L700+L$2+1,M700-L700-L$2-1),",","."))</f>
        <v>0</v>
      </c>
      <c r="AF700" s="3">
        <f>VALUE(SUBSTITUTE(MID($A700,M700+M$2+1,N700-M700-M$2-1),",","."))</f>
        <v>0</v>
      </c>
      <c r="AG700" s="3">
        <f>VALUE(SUBSTITUTE(MID($A700,N700+N$2+1,O700-N700-N$2-1),",","."))</f>
        <v>4.2233391066713102</v>
      </c>
      <c r="AH700" t="str">
        <f>MID($A700,O700+O$2+1,P700-O700-O$2-1)</f>
        <v/>
      </c>
      <c r="AI700" s="8" t="str">
        <f>MID($A700,P700+P$2+1,Q700-P700-P$2-1)</f>
        <v>False</v>
      </c>
      <c r="AK700" t="b">
        <f t="shared" si="92"/>
        <v>0</v>
      </c>
    </row>
    <row r="701" spans="1:37" x14ac:dyDescent="0.35">
      <c r="A701" t="s">
        <v>5248</v>
      </c>
      <c r="B701">
        <f t="shared" si="95"/>
        <v>10</v>
      </c>
      <c r="C701">
        <f t="shared" si="95"/>
        <v>43</v>
      </c>
      <c r="D701">
        <f t="shared" si="95"/>
        <v>54</v>
      </c>
      <c r="E701">
        <f t="shared" si="94"/>
        <v>80</v>
      </c>
      <c r="F701">
        <f t="shared" si="94"/>
        <v>124</v>
      </c>
      <c r="G701">
        <f t="shared" si="94"/>
        <v>145</v>
      </c>
      <c r="H701">
        <f t="shared" si="94"/>
        <v>177</v>
      </c>
      <c r="I701">
        <f t="shared" si="94"/>
        <v>199</v>
      </c>
      <c r="J701">
        <f t="shared" si="94"/>
        <v>232</v>
      </c>
      <c r="K701">
        <f t="shared" si="94"/>
        <v>251</v>
      </c>
      <c r="L701">
        <f t="shared" si="94"/>
        <v>269</v>
      </c>
      <c r="M701">
        <f t="shared" si="94"/>
        <v>284</v>
      </c>
      <c r="N701">
        <f t="shared" si="94"/>
        <v>296</v>
      </c>
      <c r="O701">
        <f t="shared" si="94"/>
        <v>321</v>
      </c>
      <c r="P701">
        <f t="shared" si="94"/>
        <v>339</v>
      </c>
      <c r="Q701">
        <f t="shared" si="93"/>
        <v>365</v>
      </c>
      <c r="S701" t="str">
        <f t="shared" si="96"/>
        <v>04.12.2025</v>
      </c>
      <c r="T701" t="str">
        <f t="shared" si="97"/>
        <v>01:45:00</v>
      </c>
      <c r="U701" t="str">
        <f t="shared" si="91"/>
        <v>04.12.2025 01:45:00</v>
      </c>
      <c r="V701" s="9" t="str">
        <f>MID($A701,C701+C$2+1,D701-C701-C$2-1)</f>
        <v>0</v>
      </c>
      <c r="W701" s="4">
        <f>VALUE(SUBSTITUTE(MID($A701,D701+D$2+1,E701-D701-D$2-1),",","."))</f>
        <v>0</v>
      </c>
      <c r="X701" s="4">
        <f>VALUE(SUBSTITUTE(MID($A701,E701+E$2+1,F701-E701-E$2-1),",","."))</f>
        <v>0.90957602214449496</v>
      </c>
      <c r="Y701" s="4">
        <f>VALUE(SUBSTITUTE(MID($A701,F701+F$2+1,G701-F701-F$2-1),",","."))</f>
        <v>0</v>
      </c>
      <c r="Z701" s="3">
        <f>VALUE(SUBSTITUTE(MID($A701,G701+G$2+1,H701-G701-G$2-1),",","."))</f>
        <v>0</v>
      </c>
      <c r="AA701" s="3">
        <f>VALUE(SUBSTITUTE(MID($A701,H701+H$2+1,I701-H701-H$2-1),",","."))</f>
        <v>0</v>
      </c>
      <c r="AB701" s="3">
        <f>VALUE(SUBSTITUTE(MID($A701,I701+I$2+1,J701-I701-I$2-1),",","."))</f>
        <v>0</v>
      </c>
      <c r="AC701" s="3">
        <f>VALUE(SUBSTITUTE(MID($A701,J701+J$2+1,K701-J701-J$2-1),",","."))</f>
        <v>0.8</v>
      </c>
      <c r="AD701" s="3">
        <f>VALUE(SUBSTITUTE(MID($A701,K701+K$2+1,L701-K701-K$2-1),",","."))</f>
        <v>1.98</v>
      </c>
      <c r="AE701" s="3">
        <f>VALUE(SUBSTITUTE(MID($A701,L701+L$2+1,M701-L701-L$2-1),",","."))</f>
        <v>0</v>
      </c>
      <c r="AF701" s="3">
        <f>VALUE(SUBSTITUTE(MID($A701,M701+M$2+1,N701-M701-M$2-1),",","."))</f>
        <v>0</v>
      </c>
      <c r="AG701" s="3">
        <f>VALUE(SUBSTITUTE(MID($A701,N701+N$2+1,O701-N701-N$2-1),",","."))</f>
        <v>4.2233676265593898</v>
      </c>
      <c r="AH701" t="str">
        <f>MID($A701,O701+O$2+1,P701-O701-O$2-1)</f>
        <v/>
      </c>
      <c r="AI701" s="8" t="str">
        <f>MID($A701,P701+P$2+1,Q701-P701-P$2-1)</f>
        <v>False</v>
      </c>
      <c r="AK701" t="b">
        <f t="shared" si="92"/>
        <v>0</v>
      </c>
    </row>
    <row r="702" spans="1:37" x14ac:dyDescent="0.35">
      <c r="A702" t="s">
        <v>5249</v>
      </c>
      <c r="B702">
        <f t="shared" si="95"/>
        <v>10</v>
      </c>
      <c r="C702">
        <f t="shared" si="95"/>
        <v>43</v>
      </c>
      <c r="D702">
        <f t="shared" si="95"/>
        <v>54</v>
      </c>
      <c r="E702">
        <f t="shared" si="94"/>
        <v>80</v>
      </c>
      <c r="F702">
        <f t="shared" si="94"/>
        <v>124</v>
      </c>
      <c r="G702">
        <f t="shared" si="94"/>
        <v>145</v>
      </c>
      <c r="H702">
        <f t="shared" ref="H702:P730" si="98">FIND(H$1,$A702)</f>
        <v>177</v>
      </c>
      <c r="I702">
        <f t="shared" si="98"/>
        <v>199</v>
      </c>
      <c r="J702">
        <f t="shared" si="98"/>
        <v>232</v>
      </c>
      <c r="K702">
        <f t="shared" si="98"/>
        <v>251</v>
      </c>
      <c r="L702">
        <f t="shared" si="98"/>
        <v>269</v>
      </c>
      <c r="M702">
        <f t="shared" si="98"/>
        <v>284</v>
      </c>
      <c r="N702">
        <f t="shared" si="98"/>
        <v>296</v>
      </c>
      <c r="O702">
        <f t="shared" si="98"/>
        <v>320</v>
      </c>
      <c r="P702">
        <f t="shared" si="98"/>
        <v>338</v>
      </c>
      <c r="Q702">
        <f t="shared" si="93"/>
        <v>364</v>
      </c>
      <c r="S702" t="str">
        <f t="shared" si="96"/>
        <v>04.12.2025</v>
      </c>
      <c r="T702" t="str">
        <f t="shared" si="97"/>
        <v>02:00:00</v>
      </c>
      <c r="U702" t="str">
        <f t="shared" si="91"/>
        <v>04.12.2025 02:00:00</v>
      </c>
      <c r="V702" s="9" t="str">
        <f>MID($A702,C702+C$2+1,D702-C702-C$2-1)</f>
        <v>0</v>
      </c>
      <c r="W702" s="4">
        <f>VALUE(SUBSTITUTE(MID($A702,D702+D$2+1,E702-D702-D$2-1),",","."))</f>
        <v>0</v>
      </c>
      <c r="X702" s="4">
        <f>VALUE(SUBSTITUTE(MID($A702,E702+E$2+1,F702-E702-E$2-1),",","."))</f>
        <v>0.90957602214449496</v>
      </c>
      <c r="Y702" s="4">
        <f>VALUE(SUBSTITUTE(MID($A702,F702+F$2+1,G702-F702-F$2-1),",","."))</f>
        <v>0</v>
      </c>
      <c r="Z702" s="3">
        <f>VALUE(SUBSTITUTE(MID($A702,G702+G$2+1,H702-G702-G$2-1),",","."))</f>
        <v>0</v>
      </c>
      <c r="AA702" s="3">
        <f>VALUE(SUBSTITUTE(MID($A702,H702+H$2+1,I702-H702-H$2-1),",","."))</f>
        <v>0</v>
      </c>
      <c r="AB702" s="3">
        <f>VALUE(SUBSTITUTE(MID($A702,I702+I$2+1,J702-I702-I$2-1),",","."))</f>
        <v>0</v>
      </c>
      <c r="AC702" s="3">
        <f>VALUE(SUBSTITUTE(MID($A702,J702+J$2+1,K702-J702-J$2-1),",","."))</f>
        <v>0.8</v>
      </c>
      <c r="AD702" s="3">
        <f>VALUE(SUBSTITUTE(MID($A702,K702+K$2+1,L702-K702-K$2-1),",","."))</f>
        <v>1.98</v>
      </c>
      <c r="AE702" s="3">
        <f>VALUE(SUBSTITUTE(MID($A702,L702+L$2+1,M702-L702-L$2-1),",","."))</f>
        <v>0</v>
      </c>
      <c r="AF702" s="3">
        <f>VALUE(SUBSTITUTE(MID($A702,M702+M$2+1,N702-M702-M$2-1),",","."))</f>
        <v>0</v>
      </c>
      <c r="AG702" s="3">
        <f>VALUE(SUBSTITUTE(MID($A702,N702+N$2+1,O702-N702-N$2-1),",","."))</f>
        <v>4.2233961464474801</v>
      </c>
      <c r="AH702" t="str">
        <f>MID($A702,O702+O$2+1,P702-O702-O$2-1)</f>
        <v/>
      </c>
      <c r="AI702" s="8" t="str">
        <f>MID($A702,P702+P$2+1,Q702-P702-P$2-1)</f>
        <v>False</v>
      </c>
      <c r="AK702" t="b">
        <f t="shared" si="92"/>
        <v>0</v>
      </c>
    </row>
    <row r="703" spans="1:37" x14ac:dyDescent="0.35">
      <c r="A703" t="s">
        <v>5250</v>
      </c>
      <c r="B703">
        <f t="shared" si="95"/>
        <v>10</v>
      </c>
      <c r="C703">
        <f t="shared" si="95"/>
        <v>43</v>
      </c>
      <c r="D703">
        <f t="shared" si="95"/>
        <v>54</v>
      </c>
      <c r="E703">
        <f t="shared" si="95"/>
        <v>80</v>
      </c>
      <c r="F703">
        <f t="shared" si="95"/>
        <v>124</v>
      </c>
      <c r="G703">
        <f t="shared" si="95"/>
        <v>145</v>
      </c>
      <c r="H703">
        <f t="shared" si="98"/>
        <v>177</v>
      </c>
      <c r="I703">
        <f t="shared" si="98"/>
        <v>199</v>
      </c>
      <c r="J703">
        <f t="shared" si="98"/>
        <v>232</v>
      </c>
      <c r="K703">
        <f t="shared" si="98"/>
        <v>251</v>
      </c>
      <c r="L703">
        <f t="shared" si="98"/>
        <v>269</v>
      </c>
      <c r="M703">
        <f t="shared" si="98"/>
        <v>284</v>
      </c>
      <c r="N703">
        <f t="shared" si="98"/>
        <v>296</v>
      </c>
      <c r="O703">
        <f t="shared" si="98"/>
        <v>322</v>
      </c>
      <c r="P703">
        <f t="shared" si="98"/>
        <v>340</v>
      </c>
      <c r="Q703">
        <f t="shared" si="93"/>
        <v>366</v>
      </c>
      <c r="S703" t="str">
        <f t="shared" si="96"/>
        <v>04.12.2025</v>
      </c>
      <c r="T703" t="str">
        <f t="shared" si="97"/>
        <v>02:15:00</v>
      </c>
      <c r="U703" t="str">
        <f t="shared" si="91"/>
        <v>04.12.2025 02:15:00</v>
      </c>
      <c r="V703" s="9" t="str">
        <f>MID($A703,C703+C$2+1,D703-C703-C$2-1)</f>
        <v>0</v>
      </c>
      <c r="W703" s="4">
        <f>VALUE(SUBSTITUTE(MID($A703,D703+D$2+1,E703-D703-D$2-1),",","."))</f>
        <v>0</v>
      </c>
      <c r="X703" s="4">
        <f>VALUE(SUBSTITUTE(MID($A703,E703+E$2+1,F703-E703-E$2-1),",","."))</f>
        <v>0.90957602214449496</v>
      </c>
      <c r="Y703" s="4">
        <f>VALUE(SUBSTITUTE(MID($A703,F703+F$2+1,G703-F703-F$2-1),",","."))</f>
        <v>0</v>
      </c>
      <c r="Z703" s="3">
        <f>VALUE(SUBSTITUTE(MID($A703,G703+G$2+1,H703-G703-G$2-1),",","."))</f>
        <v>0</v>
      </c>
      <c r="AA703" s="3">
        <f>VALUE(SUBSTITUTE(MID($A703,H703+H$2+1,I703-H703-H$2-1),",","."))</f>
        <v>0</v>
      </c>
      <c r="AB703" s="3">
        <f>VALUE(SUBSTITUTE(MID($A703,I703+I$2+1,J703-I703-I$2-1),",","."))</f>
        <v>0</v>
      </c>
      <c r="AC703" s="3">
        <f>VALUE(SUBSTITUTE(MID($A703,J703+J$2+1,K703-J703-J$2-1),",","."))</f>
        <v>0.8</v>
      </c>
      <c r="AD703" s="3">
        <f>VALUE(SUBSTITUTE(MID($A703,K703+K$2+1,L703-K703-K$2-1),",","."))</f>
        <v>1.98</v>
      </c>
      <c r="AE703" s="3">
        <f>VALUE(SUBSTITUTE(MID($A703,L703+L$2+1,M703-L703-L$2-1),",","."))</f>
        <v>0</v>
      </c>
      <c r="AF703" s="3">
        <f>VALUE(SUBSTITUTE(MID($A703,M703+M$2+1,N703-M703-M$2-1),",","."))</f>
        <v>0</v>
      </c>
      <c r="AG703" s="3">
        <f>VALUE(SUBSTITUTE(MID($A703,N703+N$2+1,O703-N703-N$2-1),",","."))</f>
        <v>4.2234246663355597</v>
      </c>
      <c r="AH703" t="str">
        <f>MID($A703,O703+O$2+1,P703-O703-O$2-1)</f>
        <v/>
      </c>
      <c r="AI703" s="8" t="str">
        <f>MID($A703,P703+P$2+1,Q703-P703-P$2-1)</f>
        <v>False</v>
      </c>
      <c r="AK703" t="b">
        <f t="shared" si="92"/>
        <v>0</v>
      </c>
    </row>
    <row r="704" spans="1:37" x14ac:dyDescent="0.35">
      <c r="A704" t="s">
        <v>5251</v>
      </c>
      <c r="B704">
        <f t="shared" si="95"/>
        <v>10</v>
      </c>
      <c r="C704">
        <f t="shared" si="95"/>
        <v>43</v>
      </c>
      <c r="D704">
        <f t="shared" si="95"/>
        <v>54</v>
      </c>
      <c r="E704">
        <f t="shared" si="95"/>
        <v>80</v>
      </c>
      <c r="F704">
        <f t="shared" si="95"/>
        <v>124</v>
      </c>
      <c r="G704">
        <f t="shared" si="95"/>
        <v>145</v>
      </c>
      <c r="H704">
        <f t="shared" si="98"/>
        <v>177</v>
      </c>
      <c r="I704">
        <f t="shared" si="98"/>
        <v>199</v>
      </c>
      <c r="J704">
        <f t="shared" si="98"/>
        <v>232</v>
      </c>
      <c r="K704">
        <f t="shared" si="98"/>
        <v>251</v>
      </c>
      <c r="L704">
        <f t="shared" si="98"/>
        <v>269</v>
      </c>
      <c r="M704">
        <f t="shared" si="98"/>
        <v>284</v>
      </c>
      <c r="N704">
        <f t="shared" si="98"/>
        <v>296</v>
      </c>
      <c r="O704">
        <f t="shared" si="98"/>
        <v>321</v>
      </c>
      <c r="P704">
        <f t="shared" si="98"/>
        <v>339</v>
      </c>
      <c r="Q704">
        <f t="shared" si="93"/>
        <v>365</v>
      </c>
      <c r="S704" t="str">
        <f t="shared" si="96"/>
        <v>04.12.2025</v>
      </c>
      <c r="T704" t="str">
        <f t="shared" si="97"/>
        <v>02:30:00</v>
      </c>
      <c r="U704" t="str">
        <f t="shared" si="91"/>
        <v>04.12.2025 02:30:00</v>
      </c>
      <c r="V704" s="9" t="str">
        <f>MID($A704,C704+C$2+1,D704-C704-C$2-1)</f>
        <v>0</v>
      </c>
      <c r="W704" s="4">
        <f>VALUE(SUBSTITUTE(MID($A704,D704+D$2+1,E704-D704-D$2-1),",","."))</f>
        <v>0</v>
      </c>
      <c r="X704" s="4">
        <f>VALUE(SUBSTITUTE(MID($A704,E704+E$2+1,F704-E704-E$2-1),",","."))</f>
        <v>0.90957602214449496</v>
      </c>
      <c r="Y704" s="4">
        <f>VALUE(SUBSTITUTE(MID($A704,F704+F$2+1,G704-F704-F$2-1),",","."))</f>
        <v>0</v>
      </c>
      <c r="Z704" s="3">
        <f>VALUE(SUBSTITUTE(MID($A704,G704+G$2+1,H704-G704-G$2-1),",","."))</f>
        <v>0</v>
      </c>
      <c r="AA704" s="3">
        <f>VALUE(SUBSTITUTE(MID($A704,H704+H$2+1,I704-H704-H$2-1),",","."))</f>
        <v>0</v>
      </c>
      <c r="AB704" s="3">
        <f>VALUE(SUBSTITUTE(MID($A704,I704+I$2+1,J704-I704-I$2-1),",","."))</f>
        <v>0</v>
      </c>
      <c r="AC704" s="3">
        <f>VALUE(SUBSTITUTE(MID($A704,J704+J$2+1,K704-J704-J$2-1),",","."))</f>
        <v>0.8</v>
      </c>
      <c r="AD704" s="3">
        <f>VALUE(SUBSTITUTE(MID($A704,K704+K$2+1,L704-K704-K$2-1),",","."))</f>
        <v>1.08</v>
      </c>
      <c r="AE704" s="3">
        <f>VALUE(SUBSTITUTE(MID($A704,L704+L$2+1,M704-L704-L$2-1),",","."))</f>
        <v>0</v>
      </c>
      <c r="AF704" s="3">
        <f>VALUE(SUBSTITUTE(MID($A704,M704+M$2+1,N704-M704-M$2-1),",","."))</f>
        <v>0</v>
      </c>
      <c r="AG704" s="3">
        <f>VALUE(SUBSTITUTE(MID($A704,N704+N$2+1,O704-N704-N$2-1),",","."))</f>
        <v>4.2234531862236402</v>
      </c>
      <c r="AH704" t="str">
        <f>MID($A704,O704+O$2+1,P704-O704-O$2-1)</f>
        <v/>
      </c>
      <c r="AI704" s="8" t="str">
        <f>MID($A704,P704+P$2+1,Q704-P704-P$2-1)</f>
        <v>False</v>
      </c>
      <c r="AK704" t="b">
        <f t="shared" si="92"/>
        <v>0</v>
      </c>
    </row>
    <row r="705" spans="1:37" x14ac:dyDescent="0.35">
      <c r="A705" t="s">
        <v>5252</v>
      </c>
      <c r="B705">
        <f t="shared" si="95"/>
        <v>10</v>
      </c>
      <c r="C705">
        <f t="shared" si="95"/>
        <v>43</v>
      </c>
      <c r="D705">
        <f t="shared" si="95"/>
        <v>54</v>
      </c>
      <c r="E705">
        <f t="shared" si="95"/>
        <v>80</v>
      </c>
      <c r="F705">
        <f t="shared" si="95"/>
        <v>124</v>
      </c>
      <c r="G705">
        <f t="shared" si="95"/>
        <v>145</v>
      </c>
      <c r="H705">
        <f t="shared" si="98"/>
        <v>177</v>
      </c>
      <c r="I705">
        <f t="shared" si="98"/>
        <v>199</v>
      </c>
      <c r="J705">
        <f t="shared" si="98"/>
        <v>232</v>
      </c>
      <c r="K705">
        <f t="shared" si="98"/>
        <v>251</v>
      </c>
      <c r="L705">
        <f t="shared" si="98"/>
        <v>269</v>
      </c>
      <c r="M705">
        <f t="shared" si="98"/>
        <v>284</v>
      </c>
      <c r="N705">
        <f t="shared" si="98"/>
        <v>296</v>
      </c>
      <c r="O705">
        <f t="shared" si="98"/>
        <v>321</v>
      </c>
      <c r="P705">
        <f t="shared" si="98"/>
        <v>339</v>
      </c>
      <c r="Q705">
        <f t="shared" si="93"/>
        <v>365</v>
      </c>
      <c r="S705" t="str">
        <f t="shared" si="96"/>
        <v>04.12.2025</v>
      </c>
      <c r="T705" t="str">
        <f t="shared" si="97"/>
        <v>02:45:00</v>
      </c>
      <c r="U705" t="str">
        <f t="shared" si="91"/>
        <v>04.12.2025 02:45:00</v>
      </c>
      <c r="V705" s="9" t="str">
        <f>MID($A705,C705+C$2+1,D705-C705-C$2-1)</f>
        <v>0</v>
      </c>
      <c r="W705" s="4">
        <f>VALUE(SUBSTITUTE(MID($A705,D705+D$2+1,E705-D705-D$2-1),",","."))</f>
        <v>0</v>
      </c>
      <c r="X705" s="4">
        <f>VALUE(SUBSTITUTE(MID($A705,E705+E$2+1,F705-E705-E$2-1),",","."))</f>
        <v>0.90957602214449496</v>
      </c>
      <c r="Y705" s="4">
        <f>VALUE(SUBSTITUTE(MID($A705,F705+F$2+1,G705-F705-F$2-1),",","."))</f>
        <v>0</v>
      </c>
      <c r="Z705" s="3">
        <f>VALUE(SUBSTITUTE(MID($A705,G705+G$2+1,H705-G705-G$2-1),",","."))</f>
        <v>0</v>
      </c>
      <c r="AA705" s="3">
        <f>VALUE(SUBSTITUTE(MID($A705,H705+H$2+1,I705-H705-H$2-1),",","."))</f>
        <v>0</v>
      </c>
      <c r="AB705" s="3">
        <f>VALUE(SUBSTITUTE(MID($A705,I705+I$2+1,J705-I705-I$2-1),",","."))</f>
        <v>0</v>
      </c>
      <c r="AC705" s="3">
        <f>VALUE(SUBSTITUTE(MID($A705,J705+J$2+1,K705-J705-J$2-1),",","."))</f>
        <v>0.8</v>
      </c>
      <c r="AD705" s="3">
        <f>VALUE(SUBSTITUTE(MID($A705,K705+K$2+1,L705-K705-K$2-1),",","."))</f>
        <v>1.08</v>
      </c>
      <c r="AE705" s="3">
        <f>VALUE(SUBSTITUTE(MID($A705,L705+L$2+1,M705-L705-L$2-1),",","."))</f>
        <v>0</v>
      </c>
      <c r="AF705" s="3">
        <f>VALUE(SUBSTITUTE(MID($A705,M705+M$2+1,N705-M705-M$2-1),",","."))</f>
        <v>0</v>
      </c>
      <c r="AG705" s="3">
        <f>VALUE(SUBSTITUTE(MID($A705,N705+N$2+1,O705-N705-N$2-1),",","."))</f>
        <v>4.2234817061117198</v>
      </c>
      <c r="AH705" t="str">
        <f>MID($A705,O705+O$2+1,P705-O705-O$2-1)</f>
        <v/>
      </c>
      <c r="AI705" s="8" t="str">
        <f>MID($A705,P705+P$2+1,Q705-P705-P$2-1)</f>
        <v>False</v>
      </c>
      <c r="AK705" t="b">
        <f t="shared" si="92"/>
        <v>0</v>
      </c>
    </row>
    <row r="706" spans="1:37" x14ac:dyDescent="0.35">
      <c r="A706" t="s">
        <v>5253</v>
      </c>
      <c r="B706">
        <f t="shared" si="95"/>
        <v>10</v>
      </c>
      <c r="C706">
        <f t="shared" si="95"/>
        <v>43</v>
      </c>
      <c r="D706">
        <f t="shared" si="95"/>
        <v>54</v>
      </c>
      <c r="E706">
        <f t="shared" si="95"/>
        <v>80</v>
      </c>
      <c r="F706">
        <f t="shared" si="95"/>
        <v>124</v>
      </c>
      <c r="G706">
        <f t="shared" si="95"/>
        <v>145</v>
      </c>
      <c r="H706">
        <f t="shared" si="98"/>
        <v>177</v>
      </c>
      <c r="I706">
        <f t="shared" si="98"/>
        <v>199</v>
      </c>
      <c r="J706">
        <f t="shared" si="98"/>
        <v>232</v>
      </c>
      <c r="K706">
        <f t="shared" si="98"/>
        <v>251</v>
      </c>
      <c r="L706">
        <f t="shared" si="98"/>
        <v>269</v>
      </c>
      <c r="M706">
        <f t="shared" si="98"/>
        <v>284</v>
      </c>
      <c r="N706">
        <f t="shared" si="98"/>
        <v>296</v>
      </c>
      <c r="O706">
        <f t="shared" si="98"/>
        <v>322</v>
      </c>
      <c r="P706">
        <f t="shared" si="98"/>
        <v>340</v>
      </c>
      <c r="Q706">
        <f t="shared" si="93"/>
        <v>366</v>
      </c>
      <c r="S706" t="str">
        <f t="shared" si="96"/>
        <v>04.12.2025</v>
      </c>
      <c r="T706" t="str">
        <f t="shared" si="97"/>
        <v>03:00:00</v>
      </c>
      <c r="U706" t="str">
        <f t="shared" si="91"/>
        <v>04.12.2025 03:00:00</v>
      </c>
      <c r="V706" s="9" t="str">
        <f>MID($A706,C706+C$2+1,D706-C706-C$2-1)</f>
        <v>0</v>
      </c>
      <c r="W706" s="4">
        <f>VALUE(SUBSTITUTE(MID($A706,D706+D$2+1,E706-D706-D$2-1),",","."))</f>
        <v>0</v>
      </c>
      <c r="X706" s="4">
        <f>VALUE(SUBSTITUTE(MID($A706,E706+E$2+1,F706-E706-E$2-1),",","."))</f>
        <v>0.90957602214449496</v>
      </c>
      <c r="Y706" s="4">
        <f>VALUE(SUBSTITUTE(MID($A706,F706+F$2+1,G706-F706-F$2-1),",","."))</f>
        <v>0</v>
      </c>
      <c r="Z706" s="3">
        <f>VALUE(SUBSTITUTE(MID($A706,G706+G$2+1,H706-G706-G$2-1),",","."))</f>
        <v>0</v>
      </c>
      <c r="AA706" s="3">
        <f>VALUE(SUBSTITUTE(MID($A706,H706+H$2+1,I706-H706-H$2-1),",","."))</f>
        <v>0</v>
      </c>
      <c r="AB706" s="3">
        <f>VALUE(SUBSTITUTE(MID($A706,I706+I$2+1,J706-I706-I$2-1),",","."))</f>
        <v>0</v>
      </c>
      <c r="AC706" s="3">
        <f>VALUE(SUBSTITUTE(MID($A706,J706+J$2+1,K706-J706-J$2-1),",","."))</f>
        <v>0.8</v>
      </c>
      <c r="AD706" s="3">
        <f>VALUE(SUBSTITUTE(MID($A706,K706+K$2+1,L706-K706-K$2-1),",","."))</f>
        <v>1.08</v>
      </c>
      <c r="AE706" s="3">
        <f>VALUE(SUBSTITUTE(MID($A706,L706+L$2+1,M706-L706-L$2-1),",","."))</f>
        <v>0</v>
      </c>
      <c r="AF706" s="3">
        <f>VALUE(SUBSTITUTE(MID($A706,M706+M$2+1,N706-M706-M$2-1),",","."))</f>
        <v>0</v>
      </c>
      <c r="AG706" s="3">
        <f>VALUE(SUBSTITUTE(MID($A706,N706+N$2+1,O706-N706-N$2-1),",","."))</f>
        <v>4.2235102259998003</v>
      </c>
      <c r="AH706" t="str">
        <f>MID($A706,O706+O$2+1,P706-O706-O$2-1)</f>
        <v/>
      </c>
      <c r="AI706" s="8" t="str">
        <f>MID($A706,P706+P$2+1,Q706-P706-P$2-1)</f>
        <v>False</v>
      </c>
      <c r="AK706" t="b">
        <f t="shared" si="92"/>
        <v>0</v>
      </c>
    </row>
    <row r="707" spans="1:37" x14ac:dyDescent="0.35">
      <c r="A707" t="s">
        <v>5254</v>
      </c>
      <c r="B707">
        <f t="shared" si="95"/>
        <v>10</v>
      </c>
      <c r="C707">
        <f t="shared" si="95"/>
        <v>43</v>
      </c>
      <c r="D707">
        <f t="shared" si="95"/>
        <v>54</v>
      </c>
      <c r="E707">
        <f t="shared" si="95"/>
        <v>80</v>
      </c>
      <c r="F707">
        <f t="shared" si="95"/>
        <v>124</v>
      </c>
      <c r="G707">
        <f t="shared" si="95"/>
        <v>145</v>
      </c>
      <c r="H707">
        <f t="shared" si="98"/>
        <v>177</v>
      </c>
      <c r="I707">
        <f t="shared" si="98"/>
        <v>199</v>
      </c>
      <c r="J707">
        <f t="shared" si="98"/>
        <v>232</v>
      </c>
      <c r="K707">
        <f t="shared" si="98"/>
        <v>251</v>
      </c>
      <c r="L707">
        <f t="shared" si="98"/>
        <v>269</v>
      </c>
      <c r="M707">
        <f t="shared" si="98"/>
        <v>284</v>
      </c>
      <c r="N707">
        <f t="shared" si="98"/>
        <v>296</v>
      </c>
      <c r="O707">
        <f t="shared" si="98"/>
        <v>321</v>
      </c>
      <c r="P707">
        <f t="shared" si="98"/>
        <v>339</v>
      </c>
      <c r="Q707">
        <f t="shared" si="93"/>
        <v>365</v>
      </c>
      <c r="S707" t="str">
        <f t="shared" si="96"/>
        <v>04.12.2025</v>
      </c>
      <c r="T707" t="str">
        <f t="shared" si="97"/>
        <v>03:15:00</v>
      </c>
      <c r="U707" t="str">
        <f t="shared" si="91"/>
        <v>04.12.2025 03:15:00</v>
      </c>
      <c r="V707" s="9" t="str">
        <f>MID($A707,C707+C$2+1,D707-C707-C$2-1)</f>
        <v>0</v>
      </c>
      <c r="W707" s="4">
        <f>VALUE(SUBSTITUTE(MID($A707,D707+D$2+1,E707-D707-D$2-1),",","."))</f>
        <v>0</v>
      </c>
      <c r="X707" s="4">
        <f>VALUE(SUBSTITUTE(MID($A707,E707+E$2+1,F707-E707-E$2-1),",","."))</f>
        <v>0.90957602214449496</v>
      </c>
      <c r="Y707" s="4">
        <f>VALUE(SUBSTITUTE(MID($A707,F707+F$2+1,G707-F707-F$2-1),",","."))</f>
        <v>0</v>
      </c>
      <c r="Z707" s="3">
        <f>VALUE(SUBSTITUTE(MID($A707,G707+G$2+1,H707-G707-G$2-1),",","."))</f>
        <v>0</v>
      </c>
      <c r="AA707" s="3">
        <f>VALUE(SUBSTITUTE(MID($A707,H707+H$2+1,I707-H707-H$2-1),",","."))</f>
        <v>0</v>
      </c>
      <c r="AB707" s="3">
        <f>VALUE(SUBSTITUTE(MID($A707,I707+I$2+1,J707-I707-I$2-1),",","."))</f>
        <v>0</v>
      </c>
      <c r="AC707" s="3">
        <f>VALUE(SUBSTITUTE(MID($A707,J707+J$2+1,K707-J707-J$2-1),",","."))</f>
        <v>0.8</v>
      </c>
      <c r="AD707" s="3">
        <f>VALUE(SUBSTITUTE(MID($A707,K707+K$2+1,L707-K707-K$2-1),",","."))</f>
        <v>1.08</v>
      </c>
      <c r="AE707" s="3">
        <f>VALUE(SUBSTITUTE(MID($A707,L707+L$2+1,M707-L707-L$2-1),",","."))</f>
        <v>0</v>
      </c>
      <c r="AF707" s="3">
        <f>VALUE(SUBSTITUTE(MID($A707,M707+M$2+1,N707-M707-M$2-1),",","."))</f>
        <v>0</v>
      </c>
      <c r="AG707" s="3">
        <f>VALUE(SUBSTITUTE(MID($A707,N707+N$2+1,O707-N707-N$2-1),",","."))</f>
        <v>4.2235387458878799</v>
      </c>
      <c r="AH707" t="str">
        <f>MID($A707,O707+O$2+1,P707-O707-O$2-1)</f>
        <v/>
      </c>
      <c r="AI707" s="8" t="str">
        <f>MID($A707,P707+P$2+1,Q707-P707-P$2-1)</f>
        <v>False</v>
      </c>
      <c r="AK707" t="b">
        <f t="shared" si="92"/>
        <v>0</v>
      </c>
    </row>
    <row r="708" spans="1:37" x14ac:dyDescent="0.35">
      <c r="A708" t="s">
        <v>5255</v>
      </c>
      <c r="B708">
        <f t="shared" si="95"/>
        <v>10</v>
      </c>
      <c r="C708">
        <f t="shared" si="95"/>
        <v>43</v>
      </c>
      <c r="D708">
        <f t="shared" si="95"/>
        <v>54</v>
      </c>
      <c r="E708">
        <f t="shared" si="95"/>
        <v>80</v>
      </c>
      <c r="F708">
        <f t="shared" si="95"/>
        <v>124</v>
      </c>
      <c r="G708">
        <f t="shared" si="95"/>
        <v>145</v>
      </c>
      <c r="H708">
        <f t="shared" si="98"/>
        <v>177</v>
      </c>
      <c r="I708">
        <f t="shared" si="98"/>
        <v>199</v>
      </c>
      <c r="J708">
        <f t="shared" si="98"/>
        <v>232</v>
      </c>
      <c r="K708">
        <f t="shared" si="98"/>
        <v>251</v>
      </c>
      <c r="L708">
        <f t="shared" si="98"/>
        <v>269</v>
      </c>
      <c r="M708">
        <f t="shared" si="98"/>
        <v>284</v>
      </c>
      <c r="N708">
        <f t="shared" si="98"/>
        <v>296</v>
      </c>
      <c r="O708">
        <f t="shared" si="98"/>
        <v>321</v>
      </c>
      <c r="P708">
        <f t="shared" si="98"/>
        <v>339</v>
      </c>
      <c r="Q708">
        <f t="shared" si="93"/>
        <v>365</v>
      </c>
      <c r="S708" t="str">
        <f t="shared" si="96"/>
        <v>04.12.2025</v>
      </c>
      <c r="T708" t="str">
        <f t="shared" si="97"/>
        <v>03:30:00</v>
      </c>
      <c r="U708" t="str">
        <f t="shared" ref="U708:U771" si="99">MID($A708,B708+B$2+1,C708-B708-B$2-1)</f>
        <v>04.12.2025 03:30:00</v>
      </c>
      <c r="V708" s="9" t="str">
        <f>MID($A708,C708+C$2+1,D708-C708-C$2-1)</f>
        <v>0</v>
      </c>
      <c r="W708" s="4">
        <f>VALUE(SUBSTITUTE(MID($A708,D708+D$2+1,E708-D708-D$2-1),",","."))</f>
        <v>0</v>
      </c>
      <c r="X708" s="4">
        <f>VALUE(SUBSTITUTE(MID($A708,E708+E$2+1,F708-E708-E$2-1),",","."))</f>
        <v>0.90957602214449496</v>
      </c>
      <c r="Y708" s="4">
        <f>VALUE(SUBSTITUTE(MID($A708,F708+F$2+1,G708-F708-F$2-1),",","."))</f>
        <v>0</v>
      </c>
      <c r="Z708" s="3">
        <f>VALUE(SUBSTITUTE(MID($A708,G708+G$2+1,H708-G708-G$2-1),",","."))</f>
        <v>0</v>
      </c>
      <c r="AA708" s="3">
        <f>VALUE(SUBSTITUTE(MID($A708,H708+H$2+1,I708-H708-H$2-1),",","."))</f>
        <v>0</v>
      </c>
      <c r="AB708" s="3">
        <f>VALUE(SUBSTITUTE(MID($A708,I708+I$2+1,J708-I708-I$2-1),",","."))</f>
        <v>0</v>
      </c>
      <c r="AC708" s="3">
        <f>VALUE(SUBSTITUTE(MID($A708,J708+J$2+1,K708-J708-J$2-1),",","."))</f>
        <v>0.8</v>
      </c>
      <c r="AD708" s="3">
        <f>VALUE(SUBSTITUTE(MID($A708,K708+K$2+1,L708-K708-K$2-1),",","."))</f>
        <v>2.16</v>
      </c>
      <c r="AE708" s="3">
        <f>VALUE(SUBSTITUTE(MID($A708,L708+L$2+1,M708-L708-L$2-1),",","."))</f>
        <v>0</v>
      </c>
      <c r="AF708" s="3">
        <f>VALUE(SUBSTITUTE(MID($A708,M708+M$2+1,N708-M708-M$2-1),",","."))</f>
        <v>0</v>
      </c>
      <c r="AG708" s="3">
        <f>VALUE(SUBSTITUTE(MID($A708,N708+N$2+1,O708-N708-N$2-1),",","."))</f>
        <v>4.2235672657759604</v>
      </c>
      <c r="AH708" t="str">
        <f>MID($A708,O708+O$2+1,P708-O708-O$2-1)</f>
        <v/>
      </c>
      <c r="AI708" s="8" t="str">
        <f>MID($A708,P708+P$2+1,Q708-P708-P$2-1)</f>
        <v>False</v>
      </c>
      <c r="AK708" t="b">
        <f t="shared" ref="AK708:AK771" si="100">AB708&gt;Z708</f>
        <v>0</v>
      </c>
    </row>
    <row r="709" spans="1:37" x14ac:dyDescent="0.35">
      <c r="A709" t="s">
        <v>5256</v>
      </c>
      <c r="B709">
        <f t="shared" si="95"/>
        <v>10</v>
      </c>
      <c r="C709">
        <f t="shared" si="95"/>
        <v>43</v>
      </c>
      <c r="D709">
        <f t="shared" si="95"/>
        <v>54</v>
      </c>
      <c r="E709">
        <f t="shared" si="95"/>
        <v>80</v>
      </c>
      <c r="F709">
        <f t="shared" si="95"/>
        <v>124</v>
      </c>
      <c r="G709">
        <f t="shared" si="95"/>
        <v>145</v>
      </c>
      <c r="H709">
        <f t="shared" si="98"/>
        <v>177</v>
      </c>
      <c r="I709">
        <f t="shared" si="98"/>
        <v>199</v>
      </c>
      <c r="J709">
        <f t="shared" si="98"/>
        <v>232</v>
      </c>
      <c r="K709">
        <f t="shared" si="98"/>
        <v>251</v>
      </c>
      <c r="L709">
        <f t="shared" si="98"/>
        <v>269</v>
      </c>
      <c r="M709">
        <f t="shared" si="98"/>
        <v>284</v>
      </c>
      <c r="N709">
        <f t="shared" si="98"/>
        <v>296</v>
      </c>
      <c r="O709">
        <f t="shared" si="98"/>
        <v>321</v>
      </c>
      <c r="P709">
        <f t="shared" si="98"/>
        <v>339</v>
      </c>
      <c r="Q709">
        <f t="shared" si="93"/>
        <v>365</v>
      </c>
      <c r="S709" t="str">
        <f t="shared" si="96"/>
        <v>04.12.2025</v>
      </c>
      <c r="T709" t="str">
        <f t="shared" si="97"/>
        <v>03:45:00</v>
      </c>
      <c r="U709" t="str">
        <f t="shared" si="99"/>
        <v>04.12.2025 03:45:00</v>
      </c>
      <c r="V709" s="9" t="str">
        <f>MID($A709,C709+C$2+1,D709-C709-C$2-1)</f>
        <v>0</v>
      </c>
      <c r="W709" s="4">
        <f>VALUE(SUBSTITUTE(MID($A709,D709+D$2+1,E709-D709-D$2-1),",","."))</f>
        <v>0</v>
      </c>
      <c r="X709" s="4">
        <f>VALUE(SUBSTITUTE(MID($A709,E709+E$2+1,F709-E709-E$2-1),",","."))</f>
        <v>0.90957602214449496</v>
      </c>
      <c r="Y709" s="4">
        <f>VALUE(SUBSTITUTE(MID($A709,F709+F$2+1,G709-F709-F$2-1),",","."))</f>
        <v>0</v>
      </c>
      <c r="Z709" s="3">
        <f>VALUE(SUBSTITUTE(MID($A709,G709+G$2+1,H709-G709-G$2-1),",","."))</f>
        <v>0</v>
      </c>
      <c r="AA709" s="3">
        <f>VALUE(SUBSTITUTE(MID($A709,H709+H$2+1,I709-H709-H$2-1),",","."))</f>
        <v>0</v>
      </c>
      <c r="AB709" s="3">
        <f>VALUE(SUBSTITUTE(MID($A709,I709+I$2+1,J709-I709-I$2-1),",","."))</f>
        <v>0</v>
      </c>
      <c r="AC709" s="3">
        <f>VALUE(SUBSTITUTE(MID($A709,J709+J$2+1,K709-J709-J$2-1),",","."))</f>
        <v>0.8</v>
      </c>
      <c r="AD709" s="3">
        <f>VALUE(SUBSTITUTE(MID($A709,K709+K$2+1,L709-K709-K$2-1),",","."))</f>
        <v>2.16</v>
      </c>
      <c r="AE709" s="3">
        <f>VALUE(SUBSTITUTE(MID($A709,L709+L$2+1,M709-L709-L$2-1),",","."))</f>
        <v>0</v>
      </c>
      <c r="AF709" s="3">
        <f>VALUE(SUBSTITUTE(MID($A709,M709+M$2+1,N709-M709-M$2-1),",","."))</f>
        <v>0</v>
      </c>
      <c r="AG709" s="3">
        <f>VALUE(SUBSTITUTE(MID($A709,N709+N$2+1,O709-N709-N$2-1),",","."))</f>
        <v>4.2235957856640498</v>
      </c>
      <c r="AH709" t="str">
        <f>MID($A709,O709+O$2+1,P709-O709-O$2-1)</f>
        <v/>
      </c>
      <c r="AI709" s="8" t="str">
        <f>MID($A709,P709+P$2+1,Q709-P709-P$2-1)</f>
        <v>False</v>
      </c>
      <c r="AK709" t="b">
        <f t="shared" si="100"/>
        <v>0</v>
      </c>
    </row>
    <row r="710" spans="1:37" x14ac:dyDescent="0.35">
      <c r="A710" t="s">
        <v>5257</v>
      </c>
      <c r="B710">
        <f t="shared" si="95"/>
        <v>10</v>
      </c>
      <c r="C710">
        <f t="shared" si="95"/>
        <v>43</v>
      </c>
      <c r="D710">
        <f t="shared" si="95"/>
        <v>54</v>
      </c>
      <c r="E710">
        <f t="shared" si="95"/>
        <v>80</v>
      </c>
      <c r="F710">
        <f t="shared" si="95"/>
        <v>124</v>
      </c>
      <c r="G710">
        <f t="shared" si="95"/>
        <v>145</v>
      </c>
      <c r="H710">
        <f t="shared" si="98"/>
        <v>177</v>
      </c>
      <c r="I710">
        <f t="shared" si="98"/>
        <v>199</v>
      </c>
      <c r="J710">
        <f t="shared" si="98"/>
        <v>232</v>
      </c>
      <c r="K710">
        <f t="shared" si="98"/>
        <v>251</v>
      </c>
      <c r="L710">
        <f t="shared" si="98"/>
        <v>269</v>
      </c>
      <c r="M710">
        <f t="shared" si="98"/>
        <v>284</v>
      </c>
      <c r="N710">
        <f t="shared" si="98"/>
        <v>296</v>
      </c>
      <c r="O710">
        <f t="shared" si="98"/>
        <v>321</v>
      </c>
      <c r="P710">
        <f t="shared" si="98"/>
        <v>339</v>
      </c>
      <c r="Q710">
        <f t="shared" si="93"/>
        <v>365</v>
      </c>
      <c r="S710" t="str">
        <f t="shared" si="96"/>
        <v>04.12.2025</v>
      </c>
      <c r="T710" t="str">
        <f t="shared" si="97"/>
        <v>04:00:00</v>
      </c>
      <c r="U710" t="str">
        <f t="shared" si="99"/>
        <v>04.12.2025 04:00:00</v>
      </c>
      <c r="V710" s="9" t="str">
        <f>MID($A710,C710+C$2+1,D710-C710-C$2-1)</f>
        <v>0</v>
      </c>
      <c r="W710" s="4">
        <f>VALUE(SUBSTITUTE(MID($A710,D710+D$2+1,E710-D710-D$2-1),",","."))</f>
        <v>0</v>
      </c>
      <c r="X710" s="4">
        <f>VALUE(SUBSTITUTE(MID($A710,E710+E$2+1,F710-E710-E$2-1),",","."))</f>
        <v>0.90957602214449496</v>
      </c>
      <c r="Y710" s="4">
        <f>VALUE(SUBSTITUTE(MID($A710,F710+F$2+1,G710-F710-F$2-1),",","."))</f>
        <v>0</v>
      </c>
      <c r="Z710" s="3">
        <f>VALUE(SUBSTITUTE(MID($A710,G710+G$2+1,H710-G710-G$2-1),",","."))</f>
        <v>0</v>
      </c>
      <c r="AA710" s="3">
        <f>VALUE(SUBSTITUTE(MID($A710,H710+H$2+1,I710-H710-H$2-1),",","."))</f>
        <v>0</v>
      </c>
      <c r="AB710" s="3">
        <f>VALUE(SUBSTITUTE(MID($A710,I710+I$2+1,J710-I710-I$2-1),",","."))</f>
        <v>0</v>
      </c>
      <c r="AC710" s="3">
        <f>VALUE(SUBSTITUTE(MID($A710,J710+J$2+1,K710-J710-J$2-1),",","."))</f>
        <v>0.8</v>
      </c>
      <c r="AD710" s="3">
        <f>VALUE(SUBSTITUTE(MID($A710,K710+K$2+1,L710-K710-K$2-1),",","."))</f>
        <v>2.16</v>
      </c>
      <c r="AE710" s="3">
        <f>VALUE(SUBSTITUTE(MID($A710,L710+L$2+1,M710-L710-L$2-1),",","."))</f>
        <v>0</v>
      </c>
      <c r="AF710" s="3">
        <f>VALUE(SUBSTITUTE(MID($A710,M710+M$2+1,N710-M710-M$2-1),",","."))</f>
        <v>0</v>
      </c>
      <c r="AG710" s="3">
        <f>VALUE(SUBSTITUTE(MID($A710,N710+N$2+1,O710-N710-N$2-1),",","."))</f>
        <v>4.2236243055521303</v>
      </c>
      <c r="AH710" t="str">
        <f>MID($A710,O710+O$2+1,P710-O710-O$2-1)</f>
        <v/>
      </c>
      <c r="AI710" s="8" t="str">
        <f>MID($A710,P710+P$2+1,Q710-P710-P$2-1)</f>
        <v>False</v>
      </c>
      <c r="AK710" t="b">
        <f t="shared" si="100"/>
        <v>0</v>
      </c>
    </row>
    <row r="711" spans="1:37" x14ac:dyDescent="0.35">
      <c r="A711" t="s">
        <v>5258</v>
      </c>
      <c r="B711">
        <f t="shared" si="95"/>
        <v>10</v>
      </c>
      <c r="C711">
        <f t="shared" si="95"/>
        <v>43</v>
      </c>
      <c r="D711">
        <f t="shared" si="95"/>
        <v>54</v>
      </c>
      <c r="E711">
        <f t="shared" si="95"/>
        <v>80</v>
      </c>
      <c r="F711">
        <f t="shared" si="95"/>
        <v>124</v>
      </c>
      <c r="G711">
        <f t="shared" si="95"/>
        <v>145</v>
      </c>
      <c r="H711">
        <f t="shared" si="98"/>
        <v>177</v>
      </c>
      <c r="I711">
        <f t="shared" si="98"/>
        <v>199</v>
      </c>
      <c r="J711">
        <f t="shared" si="98"/>
        <v>232</v>
      </c>
      <c r="K711">
        <f t="shared" si="98"/>
        <v>251</v>
      </c>
      <c r="L711">
        <f t="shared" si="98"/>
        <v>269</v>
      </c>
      <c r="M711">
        <f t="shared" si="98"/>
        <v>284</v>
      </c>
      <c r="N711">
        <f t="shared" si="98"/>
        <v>296</v>
      </c>
      <c r="O711">
        <f t="shared" si="98"/>
        <v>321</v>
      </c>
      <c r="P711">
        <f t="shared" si="98"/>
        <v>339</v>
      </c>
      <c r="Q711">
        <f t="shared" si="93"/>
        <v>365</v>
      </c>
      <c r="S711" t="str">
        <f t="shared" si="96"/>
        <v>04.12.2025</v>
      </c>
      <c r="T711" t="str">
        <f t="shared" si="97"/>
        <v>04:15:00</v>
      </c>
      <c r="U711" t="str">
        <f t="shared" si="99"/>
        <v>04.12.2025 04:15:00</v>
      </c>
      <c r="V711" s="9" t="str">
        <f>MID($A711,C711+C$2+1,D711-C711-C$2-1)</f>
        <v>0</v>
      </c>
      <c r="W711" s="4">
        <f>VALUE(SUBSTITUTE(MID($A711,D711+D$2+1,E711-D711-D$2-1),",","."))</f>
        <v>0</v>
      </c>
      <c r="X711" s="4">
        <f>VALUE(SUBSTITUTE(MID($A711,E711+E$2+1,F711-E711-E$2-1),",","."))</f>
        <v>0.90957602214449496</v>
      </c>
      <c r="Y711" s="4">
        <f>VALUE(SUBSTITUTE(MID($A711,F711+F$2+1,G711-F711-F$2-1),",","."))</f>
        <v>0</v>
      </c>
      <c r="Z711" s="3">
        <f>VALUE(SUBSTITUTE(MID($A711,G711+G$2+1,H711-G711-G$2-1),",","."))</f>
        <v>0</v>
      </c>
      <c r="AA711" s="3">
        <f>VALUE(SUBSTITUTE(MID($A711,H711+H$2+1,I711-H711-H$2-1),",","."))</f>
        <v>0</v>
      </c>
      <c r="AB711" s="3">
        <f>VALUE(SUBSTITUTE(MID($A711,I711+I$2+1,J711-I711-I$2-1),",","."))</f>
        <v>0</v>
      </c>
      <c r="AC711" s="3">
        <f>VALUE(SUBSTITUTE(MID($A711,J711+J$2+1,K711-J711-J$2-1),",","."))</f>
        <v>0.8</v>
      </c>
      <c r="AD711" s="3">
        <f>VALUE(SUBSTITUTE(MID($A711,K711+K$2+1,L711-K711-K$2-1),",","."))</f>
        <v>2.16</v>
      </c>
      <c r="AE711" s="3">
        <f>VALUE(SUBSTITUTE(MID($A711,L711+L$2+1,M711-L711-L$2-1),",","."))</f>
        <v>0</v>
      </c>
      <c r="AF711" s="3">
        <f>VALUE(SUBSTITUTE(MID($A711,M711+M$2+1,N711-M711-M$2-1),",","."))</f>
        <v>0</v>
      </c>
      <c r="AG711" s="3">
        <f>VALUE(SUBSTITUTE(MID($A711,N711+N$2+1,O711-N711-N$2-1),",","."))</f>
        <v>4.2236528254402099</v>
      </c>
      <c r="AH711" t="str">
        <f>MID($A711,O711+O$2+1,P711-O711-O$2-1)</f>
        <v/>
      </c>
      <c r="AI711" s="8" t="str">
        <f>MID($A711,P711+P$2+1,Q711-P711-P$2-1)</f>
        <v>False</v>
      </c>
      <c r="AK711" t="b">
        <f t="shared" si="100"/>
        <v>0</v>
      </c>
    </row>
    <row r="712" spans="1:37" x14ac:dyDescent="0.35">
      <c r="A712" t="s">
        <v>5259</v>
      </c>
      <c r="B712">
        <f t="shared" si="95"/>
        <v>10</v>
      </c>
      <c r="C712">
        <f t="shared" si="95"/>
        <v>43</v>
      </c>
      <c r="D712">
        <f t="shared" si="95"/>
        <v>54</v>
      </c>
      <c r="E712">
        <f t="shared" si="95"/>
        <v>80</v>
      </c>
      <c r="F712">
        <f t="shared" si="95"/>
        <v>124</v>
      </c>
      <c r="G712">
        <f t="shared" si="95"/>
        <v>145</v>
      </c>
      <c r="H712">
        <f t="shared" si="98"/>
        <v>177</v>
      </c>
      <c r="I712">
        <f t="shared" si="98"/>
        <v>199</v>
      </c>
      <c r="J712">
        <f t="shared" si="98"/>
        <v>232</v>
      </c>
      <c r="K712">
        <f t="shared" si="98"/>
        <v>251</v>
      </c>
      <c r="L712">
        <f t="shared" si="98"/>
        <v>268</v>
      </c>
      <c r="M712">
        <f t="shared" si="98"/>
        <v>283</v>
      </c>
      <c r="N712">
        <f t="shared" si="98"/>
        <v>295</v>
      </c>
      <c r="O712">
        <f t="shared" si="98"/>
        <v>320</v>
      </c>
      <c r="P712">
        <f t="shared" si="98"/>
        <v>338</v>
      </c>
      <c r="Q712">
        <f t="shared" si="93"/>
        <v>364</v>
      </c>
      <c r="S712" t="str">
        <f t="shared" si="96"/>
        <v>04.12.2025</v>
      </c>
      <c r="T712" t="str">
        <f t="shared" si="97"/>
        <v>04:30:00</v>
      </c>
      <c r="U712" t="str">
        <f t="shared" si="99"/>
        <v>04.12.2025 04:30:00</v>
      </c>
      <c r="V712" s="9" t="str">
        <f>MID($A712,C712+C$2+1,D712-C712-C$2-1)</f>
        <v>0</v>
      </c>
      <c r="W712" s="4">
        <f>VALUE(SUBSTITUTE(MID($A712,D712+D$2+1,E712-D712-D$2-1),",","."))</f>
        <v>0</v>
      </c>
      <c r="X712" s="4">
        <f>VALUE(SUBSTITUTE(MID($A712,E712+E$2+1,F712-E712-E$2-1),",","."))</f>
        <v>0.90957602214449496</v>
      </c>
      <c r="Y712" s="4">
        <f>VALUE(SUBSTITUTE(MID($A712,F712+F$2+1,G712-F712-F$2-1),",","."))</f>
        <v>0</v>
      </c>
      <c r="Z712" s="3">
        <f>VALUE(SUBSTITUTE(MID($A712,G712+G$2+1,H712-G712-G$2-1),",","."))</f>
        <v>0</v>
      </c>
      <c r="AA712" s="3">
        <f>VALUE(SUBSTITUTE(MID($A712,H712+H$2+1,I712-H712-H$2-1),",","."))</f>
        <v>0</v>
      </c>
      <c r="AB712" s="3">
        <f>VALUE(SUBSTITUTE(MID($A712,I712+I$2+1,J712-I712-I$2-1),",","."))</f>
        <v>0</v>
      </c>
      <c r="AC712" s="3">
        <f>VALUE(SUBSTITUTE(MID($A712,J712+J$2+1,K712-J712-J$2-1),",","."))</f>
        <v>0.8</v>
      </c>
      <c r="AD712" s="3">
        <f>VALUE(SUBSTITUTE(MID($A712,K712+K$2+1,L712-K712-K$2-1),",","."))</f>
        <v>2.7</v>
      </c>
      <c r="AE712" s="3">
        <f>VALUE(SUBSTITUTE(MID($A712,L712+L$2+1,M712-L712-L$2-1),",","."))</f>
        <v>0</v>
      </c>
      <c r="AF712" s="3">
        <f>VALUE(SUBSTITUTE(MID($A712,M712+M$2+1,N712-M712-M$2-1),",","."))</f>
        <v>0</v>
      </c>
      <c r="AG712" s="3">
        <f>VALUE(SUBSTITUTE(MID($A712,N712+N$2+1,O712-N712-N$2-1),",","."))</f>
        <v>4.2236813453282904</v>
      </c>
      <c r="AH712" t="str">
        <f>MID($A712,O712+O$2+1,P712-O712-O$2-1)</f>
        <v/>
      </c>
      <c r="AI712" s="8" t="str">
        <f>MID($A712,P712+P$2+1,Q712-P712-P$2-1)</f>
        <v>False</v>
      </c>
      <c r="AK712" t="b">
        <f t="shared" si="100"/>
        <v>0</v>
      </c>
    </row>
    <row r="713" spans="1:37" x14ac:dyDescent="0.35">
      <c r="A713" t="s">
        <v>5260</v>
      </c>
      <c r="B713">
        <f t="shared" si="95"/>
        <v>10</v>
      </c>
      <c r="C713">
        <f t="shared" si="95"/>
        <v>43</v>
      </c>
      <c r="D713">
        <f t="shared" si="95"/>
        <v>54</v>
      </c>
      <c r="E713">
        <f t="shared" si="95"/>
        <v>80</v>
      </c>
      <c r="F713">
        <f t="shared" si="95"/>
        <v>124</v>
      </c>
      <c r="G713">
        <f t="shared" si="95"/>
        <v>145</v>
      </c>
      <c r="H713">
        <f t="shared" si="98"/>
        <v>177</v>
      </c>
      <c r="I713">
        <f t="shared" si="98"/>
        <v>199</v>
      </c>
      <c r="J713">
        <f t="shared" si="98"/>
        <v>232</v>
      </c>
      <c r="K713">
        <f t="shared" si="98"/>
        <v>251</v>
      </c>
      <c r="L713">
        <f t="shared" si="98"/>
        <v>268</v>
      </c>
      <c r="M713">
        <f t="shared" si="98"/>
        <v>283</v>
      </c>
      <c r="N713">
        <f t="shared" si="98"/>
        <v>295</v>
      </c>
      <c r="O713">
        <f t="shared" si="98"/>
        <v>320</v>
      </c>
      <c r="P713">
        <f t="shared" si="98"/>
        <v>338</v>
      </c>
      <c r="Q713">
        <f t="shared" si="93"/>
        <v>364</v>
      </c>
      <c r="S713" t="str">
        <f t="shared" si="96"/>
        <v>04.12.2025</v>
      </c>
      <c r="T713" t="str">
        <f t="shared" si="97"/>
        <v>04:45:00</v>
      </c>
      <c r="U713" t="str">
        <f t="shared" si="99"/>
        <v>04.12.2025 04:45:00</v>
      </c>
      <c r="V713" s="9" t="str">
        <f>MID($A713,C713+C$2+1,D713-C713-C$2-1)</f>
        <v>0</v>
      </c>
      <c r="W713" s="4">
        <f>VALUE(SUBSTITUTE(MID($A713,D713+D$2+1,E713-D713-D$2-1),",","."))</f>
        <v>0</v>
      </c>
      <c r="X713" s="4">
        <f>VALUE(SUBSTITUTE(MID($A713,E713+E$2+1,F713-E713-E$2-1),",","."))</f>
        <v>0.90957602214449496</v>
      </c>
      <c r="Y713" s="4">
        <f>VALUE(SUBSTITUTE(MID($A713,F713+F$2+1,G713-F713-F$2-1),",","."))</f>
        <v>0</v>
      </c>
      <c r="Z713" s="3">
        <f>VALUE(SUBSTITUTE(MID($A713,G713+G$2+1,H713-G713-G$2-1),",","."))</f>
        <v>0</v>
      </c>
      <c r="AA713" s="3">
        <f>VALUE(SUBSTITUTE(MID($A713,H713+H$2+1,I713-H713-H$2-1),",","."))</f>
        <v>0</v>
      </c>
      <c r="AB713" s="3">
        <f>VALUE(SUBSTITUTE(MID($A713,I713+I$2+1,J713-I713-I$2-1),",","."))</f>
        <v>0</v>
      </c>
      <c r="AC713" s="3">
        <f>VALUE(SUBSTITUTE(MID($A713,J713+J$2+1,K713-J713-J$2-1),",","."))</f>
        <v>0.8</v>
      </c>
      <c r="AD713" s="3">
        <f>VALUE(SUBSTITUTE(MID($A713,K713+K$2+1,L713-K713-K$2-1),",","."))</f>
        <v>2.7</v>
      </c>
      <c r="AE713" s="3">
        <f>VALUE(SUBSTITUTE(MID($A713,L713+L$2+1,M713-L713-L$2-1),",","."))</f>
        <v>0</v>
      </c>
      <c r="AF713" s="3">
        <f>VALUE(SUBSTITUTE(MID($A713,M713+M$2+1,N713-M713-M$2-1),",","."))</f>
        <v>0</v>
      </c>
      <c r="AG713" s="3">
        <f>VALUE(SUBSTITUTE(MID($A713,N713+N$2+1,O713-N713-N$2-1),",","."))</f>
        <v>4.22370986521637</v>
      </c>
      <c r="AH713" t="str">
        <f>MID($A713,O713+O$2+1,P713-O713-O$2-1)</f>
        <v/>
      </c>
      <c r="AI713" s="8" t="str">
        <f>MID($A713,P713+P$2+1,Q713-P713-P$2-1)</f>
        <v>False</v>
      </c>
      <c r="AK713" t="b">
        <f t="shared" si="100"/>
        <v>0</v>
      </c>
    </row>
    <row r="714" spans="1:37" x14ac:dyDescent="0.35">
      <c r="A714" t="s">
        <v>5261</v>
      </c>
      <c r="B714">
        <f t="shared" si="95"/>
        <v>10</v>
      </c>
      <c r="C714">
        <f t="shared" si="95"/>
        <v>43</v>
      </c>
      <c r="D714">
        <f t="shared" si="95"/>
        <v>54</v>
      </c>
      <c r="E714">
        <f t="shared" si="95"/>
        <v>80</v>
      </c>
      <c r="F714">
        <f t="shared" si="95"/>
        <v>124</v>
      </c>
      <c r="G714">
        <f t="shared" si="95"/>
        <v>145</v>
      </c>
      <c r="H714">
        <f t="shared" si="98"/>
        <v>177</v>
      </c>
      <c r="I714">
        <f t="shared" si="98"/>
        <v>199</v>
      </c>
      <c r="J714">
        <f t="shared" si="98"/>
        <v>232</v>
      </c>
      <c r="K714">
        <f t="shared" si="98"/>
        <v>251</v>
      </c>
      <c r="L714">
        <f t="shared" si="98"/>
        <v>268</v>
      </c>
      <c r="M714">
        <f t="shared" si="98"/>
        <v>283</v>
      </c>
      <c r="N714">
        <f t="shared" si="98"/>
        <v>295</v>
      </c>
      <c r="O714">
        <f t="shared" si="98"/>
        <v>320</v>
      </c>
      <c r="P714">
        <f t="shared" si="98"/>
        <v>338</v>
      </c>
      <c r="Q714">
        <f t="shared" si="93"/>
        <v>364</v>
      </c>
      <c r="S714" t="str">
        <f t="shared" si="96"/>
        <v>04.12.2025</v>
      </c>
      <c r="T714" t="str">
        <f t="shared" si="97"/>
        <v>05:00:00</v>
      </c>
      <c r="U714" t="str">
        <f t="shared" si="99"/>
        <v>04.12.2025 05:00:00</v>
      </c>
      <c r="V714" s="9" t="str">
        <f>MID($A714,C714+C$2+1,D714-C714-C$2-1)</f>
        <v>0</v>
      </c>
      <c r="W714" s="4">
        <f>VALUE(SUBSTITUTE(MID($A714,D714+D$2+1,E714-D714-D$2-1),",","."))</f>
        <v>0</v>
      </c>
      <c r="X714" s="4">
        <f>VALUE(SUBSTITUTE(MID($A714,E714+E$2+1,F714-E714-E$2-1),",","."))</f>
        <v>0.90957602214449496</v>
      </c>
      <c r="Y714" s="4">
        <f>VALUE(SUBSTITUTE(MID($A714,F714+F$2+1,G714-F714-F$2-1),",","."))</f>
        <v>0</v>
      </c>
      <c r="Z714" s="3">
        <f>VALUE(SUBSTITUTE(MID($A714,G714+G$2+1,H714-G714-G$2-1),",","."))</f>
        <v>0</v>
      </c>
      <c r="AA714" s="3">
        <f>VALUE(SUBSTITUTE(MID($A714,H714+H$2+1,I714-H714-H$2-1),",","."))</f>
        <v>0</v>
      </c>
      <c r="AB714" s="3">
        <f>VALUE(SUBSTITUTE(MID($A714,I714+I$2+1,J714-I714-I$2-1),",","."))</f>
        <v>0</v>
      </c>
      <c r="AC714" s="3">
        <f>VALUE(SUBSTITUTE(MID($A714,J714+J$2+1,K714-J714-J$2-1),",","."))</f>
        <v>0.8</v>
      </c>
      <c r="AD714" s="3">
        <f>VALUE(SUBSTITUTE(MID($A714,K714+K$2+1,L714-K714-K$2-1),",","."))</f>
        <v>2.7</v>
      </c>
      <c r="AE714" s="3">
        <f>VALUE(SUBSTITUTE(MID($A714,L714+L$2+1,M714-L714-L$2-1),",","."))</f>
        <v>0</v>
      </c>
      <c r="AF714" s="3">
        <f>VALUE(SUBSTITUTE(MID($A714,M714+M$2+1,N714-M714-M$2-1),",","."))</f>
        <v>0</v>
      </c>
      <c r="AG714" s="3">
        <f>VALUE(SUBSTITUTE(MID($A714,N714+N$2+1,O714-N714-N$2-1),",","."))</f>
        <v>4.2237383851044497</v>
      </c>
      <c r="AH714" t="str">
        <f>MID($A714,O714+O$2+1,P714-O714-O$2-1)</f>
        <v/>
      </c>
      <c r="AI714" s="8" t="str">
        <f>MID($A714,P714+P$2+1,Q714-P714-P$2-1)</f>
        <v>False</v>
      </c>
      <c r="AK714" t="b">
        <f t="shared" si="100"/>
        <v>0</v>
      </c>
    </row>
    <row r="715" spans="1:37" x14ac:dyDescent="0.35">
      <c r="A715" t="s">
        <v>5262</v>
      </c>
      <c r="B715">
        <f t="shared" si="95"/>
        <v>10</v>
      </c>
      <c r="C715">
        <f t="shared" si="95"/>
        <v>43</v>
      </c>
      <c r="D715">
        <f t="shared" si="95"/>
        <v>54</v>
      </c>
      <c r="E715">
        <f t="shared" si="95"/>
        <v>80</v>
      </c>
      <c r="F715">
        <f t="shared" si="95"/>
        <v>124</v>
      </c>
      <c r="G715">
        <f t="shared" si="95"/>
        <v>145</v>
      </c>
      <c r="H715">
        <f t="shared" si="98"/>
        <v>177</v>
      </c>
      <c r="I715">
        <f t="shared" si="98"/>
        <v>199</v>
      </c>
      <c r="J715">
        <f t="shared" si="98"/>
        <v>232</v>
      </c>
      <c r="K715">
        <f t="shared" si="98"/>
        <v>251</v>
      </c>
      <c r="L715">
        <f t="shared" si="98"/>
        <v>268</v>
      </c>
      <c r="M715">
        <f t="shared" si="98"/>
        <v>283</v>
      </c>
      <c r="N715">
        <f t="shared" si="98"/>
        <v>295</v>
      </c>
      <c r="O715">
        <f t="shared" si="98"/>
        <v>320</v>
      </c>
      <c r="P715">
        <f t="shared" si="98"/>
        <v>338</v>
      </c>
      <c r="Q715">
        <f t="shared" si="93"/>
        <v>364</v>
      </c>
      <c r="S715" t="str">
        <f t="shared" si="96"/>
        <v>04.12.2025</v>
      </c>
      <c r="T715" t="str">
        <f t="shared" si="97"/>
        <v>05:15:00</v>
      </c>
      <c r="U715" t="str">
        <f t="shared" si="99"/>
        <v>04.12.2025 05:15:00</v>
      </c>
      <c r="V715" s="9" t="str">
        <f>MID($A715,C715+C$2+1,D715-C715-C$2-1)</f>
        <v>0</v>
      </c>
      <c r="W715" s="4">
        <f>VALUE(SUBSTITUTE(MID($A715,D715+D$2+1,E715-D715-D$2-1),",","."))</f>
        <v>0</v>
      </c>
      <c r="X715" s="4">
        <f>VALUE(SUBSTITUTE(MID($A715,E715+E$2+1,F715-E715-E$2-1),",","."))</f>
        <v>0.90957602214449496</v>
      </c>
      <c r="Y715" s="4">
        <f>VALUE(SUBSTITUTE(MID($A715,F715+F$2+1,G715-F715-F$2-1),",","."))</f>
        <v>0</v>
      </c>
      <c r="Z715" s="3">
        <f>VALUE(SUBSTITUTE(MID($A715,G715+G$2+1,H715-G715-G$2-1),",","."))</f>
        <v>0</v>
      </c>
      <c r="AA715" s="3">
        <f>VALUE(SUBSTITUTE(MID($A715,H715+H$2+1,I715-H715-H$2-1),",","."))</f>
        <v>0</v>
      </c>
      <c r="AB715" s="3">
        <f>VALUE(SUBSTITUTE(MID($A715,I715+I$2+1,J715-I715-I$2-1),",","."))</f>
        <v>0</v>
      </c>
      <c r="AC715" s="3">
        <f>VALUE(SUBSTITUTE(MID($A715,J715+J$2+1,K715-J715-J$2-1),",","."))</f>
        <v>0.8</v>
      </c>
      <c r="AD715" s="3">
        <f>VALUE(SUBSTITUTE(MID($A715,K715+K$2+1,L715-K715-K$2-1),",","."))</f>
        <v>2.7</v>
      </c>
      <c r="AE715" s="3">
        <f>VALUE(SUBSTITUTE(MID($A715,L715+L$2+1,M715-L715-L$2-1),",","."))</f>
        <v>0</v>
      </c>
      <c r="AF715" s="3">
        <f>VALUE(SUBSTITUTE(MID($A715,M715+M$2+1,N715-M715-M$2-1),",","."))</f>
        <v>0</v>
      </c>
      <c r="AG715" s="3">
        <f>VALUE(SUBSTITUTE(MID($A715,N715+N$2+1,O715-N715-N$2-1),",","."))</f>
        <v>4.2237669049925399</v>
      </c>
      <c r="AH715" t="str">
        <f>MID($A715,O715+O$2+1,P715-O715-O$2-1)</f>
        <v/>
      </c>
      <c r="AI715" s="8" t="str">
        <f>MID($A715,P715+P$2+1,Q715-P715-P$2-1)</f>
        <v>False</v>
      </c>
      <c r="AK715" t="b">
        <f t="shared" si="100"/>
        <v>0</v>
      </c>
    </row>
    <row r="716" spans="1:37" x14ac:dyDescent="0.35">
      <c r="A716" t="s">
        <v>5263</v>
      </c>
      <c r="B716">
        <f t="shared" si="95"/>
        <v>10</v>
      </c>
      <c r="C716">
        <f t="shared" si="95"/>
        <v>43</v>
      </c>
      <c r="D716">
        <f t="shared" si="95"/>
        <v>54</v>
      </c>
      <c r="E716">
        <f t="shared" si="95"/>
        <v>80</v>
      </c>
      <c r="F716">
        <f t="shared" si="95"/>
        <v>124</v>
      </c>
      <c r="G716">
        <f t="shared" si="95"/>
        <v>145</v>
      </c>
      <c r="H716">
        <f t="shared" si="98"/>
        <v>177</v>
      </c>
      <c r="I716">
        <f t="shared" si="98"/>
        <v>199</v>
      </c>
      <c r="J716">
        <f t="shared" si="98"/>
        <v>232</v>
      </c>
      <c r="K716">
        <f t="shared" si="98"/>
        <v>252</v>
      </c>
      <c r="L716">
        <f t="shared" si="98"/>
        <v>270</v>
      </c>
      <c r="M716">
        <f t="shared" si="98"/>
        <v>285</v>
      </c>
      <c r="N716">
        <f t="shared" si="98"/>
        <v>297</v>
      </c>
      <c r="O716">
        <f t="shared" si="98"/>
        <v>322</v>
      </c>
      <c r="P716">
        <f t="shared" si="98"/>
        <v>340</v>
      </c>
      <c r="Q716">
        <f t="shared" si="93"/>
        <v>366</v>
      </c>
      <c r="S716" t="str">
        <f t="shared" si="96"/>
        <v>04.12.2025</v>
      </c>
      <c r="T716" t="str">
        <f t="shared" si="97"/>
        <v>05:30:00</v>
      </c>
      <c r="U716" t="str">
        <f t="shared" si="99"/>
        <v>04.12.2025 05:30:00</v>
      </c>
      <c r="V716" s="9" t="str">
        <f>MID($A716,C716+C$2+1,D716-C716-C$2-1)</f>
        <v>0</v>
      </c>
      <c r="W716" s="4">
        <f>VALUE(SUBSTITUTE(MID($A716,D716+D$2+1,E716-D716-D$2-1),",","."))</f>
        <v>0</v>
      </c>
      <c r="X716" s="4">
        <f>VALUE(SUBSTITUTE(MID($A716,E716+E$2+1,F716-E716-E$2-1),",","."))</f>
        <v>0.90957602214449496</v>
      </c>
      <c r="Y716" s="4">
        <f>VALUE(SUBSTITUTE(MID($A716,F716+F$2+1,G716-F716-F$2-1),",","."))</f>
        <v>0</v>
      </c>
      <c r="Z716" s="3">
        <f>VALUE(SUBSTITUTE(MID($A716,G716+G$2+1,H716-G716-G$2-1),",","."))</f>
        <v>0</v>
      </c>
      <c r="AA716" s="3">
        <f>VALUE(SUBSTITUTE(MID($A716,H716+H$2+1,I716-H716-H$2-1),",","."))</f>
        <v>0</v>
      </c>
      <c r="AB716" s="3">
        <f>VALUE(SUBSTITUTE(MID($A716,I716+I$2+1,J716-I716-I$2-1),",","."))</f>
        <v>0</v>
      </c>
      <c r="AC716" s="3">
        <f>VALUE(SUBSTITUTE(MID($A716,J716+J$2+1,K716-J716-J$2-1),",","."))</f>
        <v>0.95</v>
      </c>
      <c r="AD716" s="3">
        <f>VALUE(SUBSTITUTE(MID($A716,K716+K$2+1,L716-K716-K$2-1),",","."))</f>
        <v>3.06</v>
      </c>
      <c r="AE716" s="3">
        <f>VALUE(SUBSTITUTE(MID($A716,L716+L$2+1,M716-L716-L$2-1),",","."))</f>
        <v>0</v>
      </c>
      <c r="AF716" s="3">
        <f>VALUE(SUBSTITUTE(MID($A716,M716+M$2+1,N716-M716-M$2-1),",","."))</f>
        <v>0</v>
      </c>
      <c r="AG716" s="3">
        <f>VALUE(SUBSTITUTE(MID($A716,N716+N$2+1,O716-N716-N$2-1),",","."))</f>
        <v>4.2237954248806204</v>
      </c>
      <c r="AH716" t="str">
        <f>MID($A716,O716+O$2+1,P716-O716-O$2-1)</f>
        <v/>
      </c>
      <c r="AI716" s="8" t="str">
        <f>MID($A716,P716+P$2+1,Q716-P716-P$2-1)</f>
        <v>False</v>
      </c>
      <c r="AK716" t="b">
        <f t="shared" si="100"/>
        <v>0</v>
      </c>
    </row>
    <row r="717" spans="1:37" x14ac:dyDescent="0.35">
      <c r="A717" t="s">
        <v>5264</v>
      </c>
      <c r="B717">
        <f t="shared" si="95"/>
        <v>10</v>
      </c>
      <c r="C717">
        <f t="shared" si="95"/>
        <v>43</v>
      </c>
      <c r="D717">
        <f t="shared" si="95"/>
        <v>54</v>
      </c>
      <c r="E717">
        <f t="shared" si="95"/>
        <v>80</v>
      </c>
      <c r="F717">
        <f t="shared" si="95"/>
        <v>124</v>
      </c>
      <c r="G717">
        <f t="shared" si="95"/>
        <v>145</v>
      </c>
      <c r="H717">
        <f t="shared" si="98"/>
        <v>177</v>
      </c>
      <c r="I717">
        <f t="shared" si="98"/>
        <v>199</v>
      </c>
      <c r="J717">
        <f t="shared" si="98"/>
        <v>232</v>
      </c>
      <c r="K717">
        <f t="shared" si="98"/>
        <v>252</v>
      </c>
      <c r="L717">
        <f t="shared" si="98"/>
        <v>270</v>
      </c>
      <c r="M717">
        <f t="shared" si="98"/>
        <v>285</v>
      </c>
      <c r="N717">
        <f t="shared" si="98"/>
        <v>297</v>
      </c>
      <c r="O717">
        <f t="shared" si="98"/>
        <v>322</v>
      </c>
      <c r="P717">
        <f t="shared" si="98"/>
        <v>340</v>
      </c>
      <c r="Q717">
        <f t="shared" si="93"/>
        <v>366</v>
      </c>
      <c r="S717" t="str">
        <f t="shared" si="96"/>
        <v>04.12.2025</v>
      </c>
      <c r="T717" t="str">
        <f t="shared" si="97"/>
        <v>05:45:00</v>
      </c>
      <c r="U717" t="str">
        <f t="shared" si="99"/>
        <v>04.12.2025 05:45:00</v>
      </c>
      <c r="V717" s="9" t="str">
        <f>MID($A717,C717+C$2+1,D717-C717-C$2-1)</f>
        <v>0</v>
      </c>
      <c r="W717" s="4">
        <f>VALUE(SUBSTITUTE(MID($A717,D717+D$2+1,E717-D717-D$2-1),",","."))</f>
        <v>0</v>
      </c>
      <c r="X717" s="4">
        <f>VALUE(SUBSTITUTE(MID($A717,E717+E$2+1,F717-E717-E$2-1),",","."))</f>
        <v>0.90957602214449496</v>
      </c>
      <c r="Y717" s="4">
        <f>VALUE(SUBSTITUTE(MID($A717,F717+F$2+1,G717-F717-F$2-1),",","."))</f>
        <v>0</v>
      </c>
      <c r="Z717" s="3">
        <f>VALUE(SUBSTITUTE(MID($A717,G717+G$2+1,H717-G717-G$2-1),",","."))</f>
        <v>0</v>
      </c>
      <c r="AA717" s="3">
        <f>VALUE(SUBSTITUTE(MID($A717,H717+H$2+1,I717-H717-H$2-1),",","."))</f>
        <v>0</v>
      </c>
      <c r="AB717" s="3">
        <f>VALUE(SUBSTITUTE(MID($A717,I717+I$2+1,J717-I717-I$2-1),",","."))</f>
        <v>0</v>
      </c>
      <c r="AC717" s="3">
        <f>VALUE(SUBSTITUTE(MID($A717,J717+J$2+1,K717-J717-J$2-1),",","."))</f>
        <v>0.95</v>
      </c>
      <c r="AD717" s="3">
        <f>VALUE(SUBSTITUTE(MID($A717,K717+K$2+1,L717-K717-K$2-1),",","."))</f>
        <v>3.06</v>
      </c>
      <c r="AE717" s="3">
        <f>VALUE(SUBSTITUTE(MID($A717,L717+L$2+1,M717-L717-L$2-1),",","."))</f>
        <v>0</v>
      </c>
      <c r="AF717" s="3">
        <f>VALUE(SUBSTITUTE(MID($A717,M717+M$2+1,N717-M717-M$2-1),",","."))</f>
        <v>0</v>
      </c>
      <c r="AG717" s="3">
        <f>VALUE(SUBSTITUTE(MID($A717,N717+N$2+1,O717-N717-N$2-1),",","."))</f>
        <v>4.2238239447687</v>
      </c>
      <c r="AH717" t="str">
        <f>MID($A717,O717+O$2+1,P717-O717-O$2-1)</f>
        <v/>
      </c>
      <c r="AI717" s="8" t="str">
        <f>MID($A717,P717+P$2+1,Q717-P717-P$2-1)</f>
        <v>False</v>
      </c>
      <c r="AK717" t="b">
        <f t="shared" si="100"/>
        <v>0</v>
      </c>
    </row>
    <row r="718" spans="1:37" x14ac:dyDescent="0.35">
      <c r="A718" t="s">
        <v>5265</v>
      </c>
      <c r="B718">
        <f t="shared" si="95"/>
        <v>10</v>
      </c>
      <c r="C718">
        <f t="shared" si="95"/>
        <v>43</v>
      </c>
      <c r="D718">
        <f t="shared" si="95"/>
        <v>54</v>
      </c>
      <c r="E718">
        <f t="shared" si="95"/>
        <v>80</v>
      </c>
      <c r="F718">
        <f t="shared" si="95"/>
        <v>124</v>
      </c>
      <c r="G718">
        <f t="shared" si="95"/>
        <v>145</v>
      </c>
      <c r="H718">
        <f t="shared" si="98"/>
        <v>177</v>
      </c>
      <c r="I718">
        <f t="shared" si="98"/>
        <v>199</v>
      </c>
      <c r="J718">
        <f t="shared" si="98"/>
        <v>232</v>
      </c>
      <c r="K718">
        <f t="shared" si="98"/>
        <v>252</v>
      </c>
      <c r="L718">
        <f t="shared" si="98"/>
        <v>270</v>
      </c>
      <c r="M718">
        <f t="shared" si="98"/>
        <v>285</v>
      </c>
      <c r="N718">
        <f t="shared" si="98"/>
        <v>297</v>
      </c>
      <c r="O718">
        <f t="shared" si="98"/>
        <v>322</v>
      </c>
      <c r="P718">
        <f t="shared" si="98"/>
        <v>340</v>
      </c>
      <c r="Q718">
        <f t="shared" si="93"/>
        <v>366</v>
      </c>
      <c r="S718" t="str">
        <f t="shared" si="96"/>
        <v>04.12.2025</v>
      </c>
      <c r="T718" t="str">
        <f t="shared" si="97"/>
        <v>06:00:00</v>
      </c>
      <c r="U718" t="str">
        <f t="shared" si="99"/>
        <v>04.12.2025 06:00:00</v>
      </c>
      <c r="V718" s="9" t="str">
        <f>MID($A718,C718+C$2+1,D718-C718-C$2-1)</f>
        <v>0</v>
      </c>
      <c r="W718" s="4">
        <f>VALUE(SUBSTITUTE(MID($A718,D718+D$2+1,E718-D718-D$2-1),",","."))</f>
        <v>0</v>
      </c>
      <c r="X718" s="4">
        <f>VALUE(SUBSTITUTE(MID($A718,E718+E$2+1,F718-E718-E$2-1),",","."))</f>
        <v>0.90957602214449496</v>
      </c>
      <c r="Y718" s="4">
        <f>VALUE(SUBSTITUTE(MID($A718,F718+F$2+1,G718-F718-F$2-1),",","."))</f>
        <v>0</v>
      </c>
      <c r="Z718" s="3">
        <f>VALUE(SUBSTITUTE(MID($A718,G718+G$2+1,H718-G718-G$2-1),",","."))</f>
        <v>0</v>
      </c>
      <c r="AA718" s="3">
        <f>VALUE(SUBSTITUTE(MID($A718,H718+H$2+1,I718-H718-H$2-1),",","."))</f>
        <v>0</v>
      </c>
      <c r="AB718" s="3">
        <f>VALUE(SUBSTITUTE(MID($A718,I718+I$2+1,J718-I718-I$2-1),",","."))</f>
        <v>0</v>
      </c>
      <c r="AC718" s="3">
        <f>VALUE(SUBSTITUTE(MID($A718,J718+J$2+1,K718-J718-J$2-1),",","."))</f>
        <v>0.95</v>
      </c>
      <c r="AD718" s="3">
        <f>VALUE(SUBSTITUTE(MID($A718,K718+K$2+1,L718-K718-K$2-1),",","."))</f>
        <v>3.06</v>
      </c>
      <c r="AE718" s="3">
        <f>VALUE(SUBSTITUTE(MID($A718,L718+L$2+1,M718-L718-L$2-1),",","."))</f>
        <v>0</v>
      </c>
      <c r="AF718" s="3">
        <f>VALUE(SUBSTITUTE(MID($A718,M718+M$2+1,N718-M718-M$2-1),",","."))</f>
        <v>0</v>
      </c>
      <c r="AG718" s="3">
        <f>VALUE(SUBSTITUTE(MID($A718,N718+N$2+1,O718-N718-N$2-1),",","."))</f>
        <v>4.2238524646567797</v>
      </c>
      <c r="AH718" t="str">
        <f>MID($A718,O718+O$2+1,P718-O718-O$2-1)</f>
        <v/>
      </c>
      <c r="AI718" s="8" t="str">
        <f>MID($A718,P718+P$2+1,Q718-P718-P$2-1)</f>
        <v>False</v>
      </c>
      <c r="AK718" t="b">
        <f t="shared" si="100"/>
        <v>0</v>
      </c>
    </row>
    <row r="719" spans="1:37" x14ac:dyDescent="0.35">
      <c r="A719" t="s">
        <v>5266</v>
      </c>
      <c r="B719">
        <f t="shared" si="95"/>
        <v>10</v>
      </c>
      <c r="C719">
        <f t="shared" si="95"/>
        <v>43</v>
      </c>
      <c r="D719">
        <f t="shared" si="95"/>
        <v>54</v>
      </c>
      <c r="E719">
        <f t="shared" si="95"/>
        <v>80</v>
      </c>
      <c r="F719">
        <f t="shared" si="95"/>
        <v>124</v>
      </c>
      <c r="G719">
        <f t="shared" si="95"/>
        <v>145</v>
      </c>
      <c r="H719">
        <f t="shared" si="98"/>
        <v>177</v>
      </c>
      <c r="I719">
        <f t="shared" si="98"/>
        <v>199</v>
      </c>
      <c r="J719">
        <f t="shared" si="98"/>
        <v>232</v>
      </c>
      <c r="K719">
        <f t="shared" si="98"/>
        <v>252</v>
      </c>
      <c r="L719">
        <f t="shared" si="98"/>
        <v>270</v>
      </c>
      <c r="M719">
        <f t="shared" si="98"/>
        <v>285</v>
      </c>
      <c r="N719">
        <f t="shared" si="98"/>
        <v>297</v>
      </c>
      <c r="O719">
        <f t="shared" si="98"/>
        <v>322</v>
      </c>
      <c r="P719">
        <f t="shared" si="98"/>
        <v>340</v>
      </c>
      <c r="Q719">
        <f t="shared" si="93"/>
        <v>366</v>
      </c>
      <c r="S719" t="str">
        <f t="shared" si="96"/>
        <v>04.12.2025</v>
      </c>
      <c r="T719" t="str">
        <f t="shared" si="97"/>
        <v>06:15:00</v>
      </c>
      <c r="U719" t="str">
        <f t="shared" si="99"/>
        <v>04.12.2025 06:15:00</v>
      </c>
      <c r="V719" s="9" t="str">
        <f>MID($A719,C719+C$2+1,D719-C719-C$2-1)</f>
        <v>0</v>
      </c>
      <c r="W719" s="4">
        <f>VALUE(SUBSTITUTE(MID($A719,D719+D$2+1,E719-D719-D$2-1),",","."))</f>
        <v>0</v>
      </c>
      <c r="X719" s="4">
        <f>VALUE(SUBSTITUTE(MID($A719,E719+E$2+1,F719-E719-E$2-1),",","."))</f>
        <v>0.90957602214449496</v>
      </c>
      <c r="Y719" s="4">
        <f>VALUE(SUBSTITUTE(MID($A719,F719+F$2+1,G719-F719-F$2-1),",","."))</f>
        <v>0</v>
      </c>
      <c r="Z719" s="3">
        <f>VALUE(SUBSTITUTE(MID($A719,G719+G$2+1,H719-G719-G$2-1),",","."))</f>
        <v>0</v>
      </c>
      <c r="AA719" s="3">
        <f>VALUE(SUBSTITUTE(MID($A719,H719+H$2+1,I719-H719-H$2-1),",","."))</f>
        <v>0</v>
      </c>
      <c r="AB719" s="3">
        <f>VALUE(SUBSTITUTE(MID($A719,I719+I$2+1,J719-I719-I$2-1),",","."))</f>
        <v>0</v>
      </c>
      <c r="AC719" s="3">
        <f>VALUE(SUBSTITUTE(MID($A719,J719+J$2+1,K719-J719-J$2-1),",","."))</f>
        <v>0.95</v>
      </c>
      <c r="AD719" s="3">
        <f>VALUE(SUBSTITUTE(MID($A719,K719+K$2+1,L719-K719-K$2-1),",","."))</f>
        <v>3.06</v>
      </c>
      <c r="AE719" s="3">
        <f>VALUE(SUBSTITUTE(MID($A719,L719+L$2+1,M719-L719-L$2-1),",","."))</f>
        <v>0</v>
      </c>
      <c r="AF719" s="3">
        <f>VALUE(SUBSTITUTE(MID($A719,M719+M$2+1,N719-M719-M$2-1),",","."))</f>
        <v>0</v>
      </c>
      <c r="AG719" s="3">
        <f>VALUE(SUBSTITUTE(MID($A719,N719+N$2+1,O719-N719-N$2-1),",","."))</f>
        <v>4.2238809845448602</v>
      </c>
      <c r="AH719" t="str">
        <f>MID($A719,O719+O$2+1,P719-O719-O$2-1)</f>
        <v/>
      </c>
      <c r="AI719" s="8" t="str">
        <f>MID($A719,P719+P$2+1,Q719-P719-P$2-1)</f>
        <v>False</v>
      </c>
      <c r="AK719" t="b">
        <f t="shared" si="100"/>
        <v>0</v>
      </c>
    </row>
    <row r="720" spans="1:37" x14ac:dyDescent="0.35">
      <c r="A720" t="s">
        <v>5267</v>
      </c>
      <c r="B720">
        <f t="shared" si="95"/>
        <v>10</v>
      </c>
      <c r="C720">
        <f t="shared" si="95"/>
        <v>43</v>
      </c>
      <c r="D720">
        <f t="shared" si="95"/>
        <v>54</v>
      </c>
      <c r="E720">
        <f t="shared" si="95"/>
        <v>80</v>
      </c>
      <c r="F720">
        <f t="shared" si="95"/>
        <v>124</v>
      </c>
      <c r="G720">
        <f t="shared" si="95"/>
        <v>145</v>
      </c>
      <c r="H720">
        <f t="shared" si="98"/>
        <v>177</v>
      </c>
      <c r="I720">
        <f t="shared" si="98"/>
        <v>199</v>
      </c>
      <c r="J720">
        <f t="shared" si="98"/>
        <v>232</v>
      </c>
      <c r="K720">
        <f t="shared" si="98"/>
        <v>252</v>
      </c>
      <c r="L720">
        <f t="shared" si="98"/>
        <v>270</v>
      </c>
      <c r="M720">
        <f t="shared" si="98"/>
        <v>285</v>
      </c>
      <c r="N720">
        <f t="shared" si="98"/>
        <v>297</v>
      </c>
      <c r="O720">
        <f t="shared" si="98"/>
        <v>322</v>
      </c>
      <c r="P720">
        <f t="shared" si="98"/>
        <v>340</v>
      </c>
      <c r="Q720">
        <f t="shared" si="93"/>
        <v>366</v>
      </c>
      <c r="S720" t="str">
        <f t="shared" si="96"/>
        <v>04.12.2025</v>
      </c>
      <c r="T720" t="str">
        <f t="shared" si="97"/>
        <v>06:30:00</v>
      </c>
      <c r="U720" t="str">
        <f t="shared" si="99"/>
        <v>04.12.2025 06:30:00</v>
      </c>
      <c r="V720" s="9" t="str">
        <f>MID($A720,C720+C$2+1,D720-C720-C$2-1)</f>
        <v>0</v>
      </c>
      <c r="W720" s="4">
        <f>VALUE(SUBSTITUTE(MID($A720,D720+D$2+1,E720-D720-D$2-1),",","."))</f>
        <v>0</v>
      </c>
      <c r="X720" s="4">
        <f>VALUE(SUBSTITUTE(MID($A720,E720+E$2+1,F720-E720-E$2-1),",","."))</f>
        <v>0.90957602214449496</v>
      </c>
      <c r="Y720" s="4">
        <f>VALUE(SUBSTITUTE(MID($A720,F720+F$2+1,G720-F720-F$2-1),",","."))</f>
        <v>0</v>
      </c>
      <c r="Z720" s="3">
        <f>VALUE(SUBSTITUTE(MID($A720,G720+G$2+1,H720-G720-G$2-1),",","."))</f>
        <v>0</v>
      </c>
      <c r="AA720" s="3">
        <f>VALUE(SUBSTITUTE(MID($A720,H720+H$2+1,I720-H720-H$2-1),",","."))</f>
        <v>0</v>
      </c>
      <c r="AB720" s="3">
        <f>VALUE(SUBSTITUTE(MID($A720,I720+I$2+1,J720-I720-I$2-1),",","."))</f>
        <v>0</v>
      </c>
      <c r="AC720" s="3">
        <f>VALUE(SUBSTITUTE(MID($A720,J720+J$2+1,K720-J720-J$2-1),",","."))</f>
        <v>1.1499999999999999</v>
      </c>
      <c r="AD720" s="3">
        <f>VALUE(SUBSTITUTE(MID($A720,K720+K$2+1,L720-K720-K$2-1),",","."))</f>
        <v>2.88</v>
      </c>
      <c r="AE720" s="3">
        <f>VALUE(SUBSTITUTE(MID($A720,L720+L$2+1,M720-L720-L$2-1),",","."))</f>
        <v>0</v>
      </c>
      <c r="AF720" s="3">
        <f>VALUE(SUBSTITUTE(MID($A720,M720+M$2+1,N720-M720-M$2-1),",","."))</f>
        <v>0</v>
      </c>
      <c r="AG720" s="3">
        <f>VALUE(SUBSTITUTE(MID($A720,N720+N$2+1,O720-N720-N$2-1),",","."))</f>
        <v>4.2239095044329398</v>
      </c>
      <c r="AH720" t="str">
        <f>MID($A720,O720+O$2+1,P720-O720-O$2-1)</f>
        <v/>
      </c>
      <c r="AI720" s="8" t="str">
        <f>MID($A720,P720+P$2+1,Q720-P720-P$2-1)</f>
        <v>False</v>
      </c>
      <c r="AK720" t="b">
        <f t="shared" si="100"/>
        <v>0</v>
      </c>
    </row>
    <row r="721" spans="1:37" x14ac:dyDescent="0.35">
      <c r="A721" t="s">
        <v>5268</v>
      </c>
      <c r="B721">
        <f t="shared" si="95"/>
        <v>10</v>
      </c>
      <c r="C721">
        <f t="shared" si="95"/>
        <v>43</v>
      </c>
      <c r="D721">
        <f t="shared" si="95"/>
        <v>54</v>
      </c>
      <c r="E721">
        <f t="shared" si="95"/>
        <v>80</v>
      </c>
      <c r="F721">
        <f t="shared" si="95"/>
        <v>124</v>
      </c>
      <c r="G721">
        <f t="shared" si="95"/>
        <v>145</v>
      </c>
      <c r="H721">
        <f t="shared" si="98"/>
        <v>177</v>
      </c>
      <c r="I721">
        <f t="shared" si="98"/>
        <v>199</v>
      </c>
      <c r="J721">
        <f t="shared" si="98"/>
        <v>232</v>
      </c>
      <c r="K721">
        <f t="shared" si="98"/>
        <v>252</v>
      </c>
      <c r="L721">
        <f t="shared" si="98"/>
        <v>270</v>
      </c>
      <c r="M721">
        <f t="shared" si="98"/>
        <v>285</v>
      </c>
      <c r="N721">
        <f t="shared" si="98"/>
        <v>297</v>
      </c>
      <c r="O721">
        <f t="shared" si="98"/>
        <v>321</v>
      </c>
      <c r="P721">
        <f t="shared" si="98"/>
        <v>339</v>
      </c>
      <c r="Q721">
        <f t="shared" si="93"/>
        <v>365</v>
      </c>
      <c r="S721" t="str">
        <f t="shared" si="96"/>
        <v>04.12.2025</v>
      </c>
      <c r="T721" t="str">
        <f t="shared" si="97"/>
        <v>06:45:00</v>
      </c>
      <c r="U721" t="str">
        <f t="shared" si="99"/>
        <v>04.12.2025 06:45:00</v>
      </c>
      <c r="V721" s="9" t="str">
        <f>MID($A721,C721+C$2+1,D721-C721-C$2-1)</f>
        <v>0</v>
      </c>
      <c r="W721" s="4">
        <f>VALUE(SUBSTITUTE(MID($A721,D721+D$2+1,E721-D721-D$2-1),",","."))</f>
        <v>0</v>
      </c>
      <c r="X721" s="4">
        <f>VALUE(SUBSTITUTE(MID($A721,E721+E$2+1,F721-E721-E$2-1),",","."))</f>
        <v>0.90957602214449496</v>
      </c>
      <c r="Y721" s="4">
        <f>VALUE(SUBSTITUTE(MID($A721,F721+F$2+1,G721-F721-F$2-1),",","."))</f>
        <v>0</v>
      </c>
      <c r="Z721" s="3">
        <f>VALUE(SUBSTITUTE(MID($A721,G721+G$2+1,H721-G721-G$2-1),",","."))</f>
        <v>0</v>
      </c>
      <c r="AA721" s="3">
        <f>VALUE(SUBSTITUTE(MID($A721,H721+H$2+1,I721-H721-H$2-1),",","."))</f>
        <v>0</v>
      </c>
      <c r="AB721" s="3">
        <f>VALUE(SUBSTITUTE(MID($A721,I721+I$2+1,J721-I721-I$2-1),",","."))</f>
        <v>0</v>
      </c>
      <c r="AC721" s="3">
        <f>VALUE(SUBSTITUTE(MID($A721,J721+J$2+1,K721-J721-J$2-1),",","."))</f>
        <v>1.1499999999999999</v>
      </c>
      <c r="AD721" s="3">
        <f>VALUE(SUBSTITUTE(MID($A721,K721+K$2+1,L721-K721-K$2-1),",","."))</f>
        <v>2.88</v>
      </c>
      <c r="AE721" s="3">
        <f>VALUE(SUBSTITUTE(MID($A721,L721+L$2+1,M721-L721-L$2-1),",","."))</f>
        <v>0</v>
      </c>
      <c r="AF721" s="3">
        <f>VALUE(SUBSTITUTE(MID($A721,M721+M$2+1,N721-M721-M$2-1),",","."))</f>
        <v>0</v>
      </c>
      <c r="AG721" s="3">
        <f>VALUE(SUBSTITUTE(MID($A721,N721+N$2+1,O721-N721-N$2-1),",","."))</f>
        <v>4.22393802432103</v>
      </c>
      <c r="AH721" t="str">
        <f>MID($A721,O721+O$2+1,P721-O721-O$2-1)</f>
        <v/>
      </c>
      <c r="AI721" s="8" t="str">
        <f>MID($A721,P721+P$2+1,Q721-P721-P$2-1)</f>
        <v>False</v>
      </c>
      <c r="AK721" t="b">
        <f t="shared" si="100"/>
        <v>0</v>
      </c>
    </row>
    <row r="722" spans="1:37" x14ac:dyDescent="0.35">
      <c r="A722" t="s">
        <v>5269</v>
      </c>
      <c r="B722">
        <f t="shared" si="95"/>
        <v>10</v>
      </c>
      <c r="C722">
        <f t="shared" si="95"/>
        <v>43</v>
      </c>
      <c r="D722">
        <f t="shared" si="95"/>
        <v>54</v>
      </c>
      <c r="E722">
        <f t="shared" si="95"/>
        <v>80</v>
      </c>
      <c r="F722">
        <f t="shared" si="95"/>
        <v>124</v>
      </c>
      <c r="G722">
        <f t="shared" si="95"/>
        <v>145</v>
      </c>
      <c r="H722">
        <f t="shared" si="98"/>
        <v>177</v>
      </c>
      <c r="I722">
        <f t="shared" si="98"/>
        <v>199</v>
      </c>
      <c r="J722">
        <f t="shared" si="98"/>
        <v>232</v>
      </c>
      <c r="K722">
        <f t="shared" si="98"/>
        <v>252</v>
      </c>
      <c r="L722">
        <f t="shared" si="98"/>
        <v>270</v>
      </c>
      <c r="M722">
        <f t="shared" si="98"/>
        <v>285</v>
      </c>
      <c r="N722">
        <f t="shared" si="98"/>
        <v>297</v>
      </c>
      <c r="O722">
        <f t="shared" si="98"/>
        <v>322</v>
      </c>
      <c r="P722">
        <f t="shared" si="98"/>
        <v>340</v>
      </c>
      <c r="Q722">
        <f t="shared" si="93"/>
        <v>366</v>
      </c>
      <c r="S722" t="str">
        <f t="shared" si="96"/>
        <v>04.12.2025</v>
      </c>
      <c r="T722" t="str">
        <f t="shared" si="97"/>
        <v>07:00:00</v>
      </c>
      <c r="U722" t="str">
        <f t="shared" si="99"/>
        <v>04.12.2025 07:00:00</v>
      </c>
      <c r="V722" s="9" t="str">
        <f>MID($A722,C722+C$2+1,D722-C722-C$2-1)</f>
        <v>0</v>
      </c>
      <c r="W722" s="4">
        <f>VALUE(SUBSTITUTE(MID($A722,D722+D$2+1,E722-D722-D$2-1),",","."))</f>
        <v>0</v>
      </c>
      <c r="X722" s="4">
        <f>VALUE(SUBSTITUTE(MID($A722,E722+E$2+1,F722-E722-E$2-1),",","."))</f>
        <v>0.90957602214449496</v>
      </c>
      <c r="Y722" s="4">
        <f>VALUE(SUBSTITUTE(MID($A722,F722+F$2+1,G722-F722-F$2-1),",","."))</f>
        <v>0</v>
      </c>
      <c r="Z722" s="3">
        <f>VALUE(SUBSTITUTE(MID($A722,G722+G$2+1,H722-G722-G$2-1),",","."))</f>
        <v>0</v>
      </c>
      <c r="AA722" s="3">
        <f>VALUE(SUBSTITUTE(MID($A722,H722+H$2+1,I722-H722-H$2-1),",","."))</f>
        <v>0</v>
      </c>
      <c r="AB722" s="3">
        <f>VALUE(SUBSTITUTE(MID($A722,I722+I$2+1,J722-I722-I$2-1),",","."))</f>
        <v>0</v>
      </c>
      <c r="AC722" s="3">
        <f>VALUE(SUBSTITUTE(MID($A722,J722+J$2+1,K722-J722-J$2-1),",","."))</f>
        <v>1.1499999999999999</v>
      </c>
      <c r="AD722" s="3">
        <f>VALUE(SUBSTITUTE(MID($A722,K722+K$2+1,L722-K722-K$2-1),",","."))</f>
        <v>2.88</v>
      </c>
      <c r="AE722" s="3">
        <f>VALUE(SUBSTITUTE(MID($A722,L722+L$2+1,M722-L722-L$2-1),",","."))</f>
        <v>0</v>
      </c>
      <c r="AF722" s="3">
        <f>VALUE(SUBSTITUTE(MID($A722,M722+M$2+1,N722-M722-M$2-1),",","."))</f>
        <v>0</v>
      </c>
      <c r="AG722" s="3">
        <f>VALUE(SUBSTITUTE(MID($A722,N722+N$2+1,O722-N722-N$2-1),",","."))</f>
        <v>4.2239665442091097</v>
      </c>
      <c r="AH722" t="str">
        <f>MID($A722,O722+O$2+1,P722-O722-O$2-1)</f>
        <v/>
      </c>
      <c r="AI722" s="8" t="str">
        <f>MID($A722,P722+P$2+1,Q722-P722-P$2-1)</f>
        <v>False</v>
      </c>
      <c r="AK722" t="b">
        <f t="shared" si="100"/>
        <v>0</v>
      </c>
    </row>
    <row r="723" spans="1:37" x14ac:dyDescent="0.35">
      <c r="A723" t="s">
        <v>5270</v>
      </c>
      <c r="B723">
        <f t="shared" si="95"/>
        <v>10</v>
      </c>
      <c r="C723">
        <f t="shared" si="95"/>
        <v>43</v>
      </c>
      <c r="D723">
        <f t="shared" si="95"/>
        <v>54</v>
      </c>
      <c r="E723">
        <f t="shared" si="95"/>
        <v>80</v>
      </c>
      <c r="F723">
        <f t="shared" si="95"/>
        <v>124</v>
      </c>
      <c r="G723">
        <f t="shared" si="95"/>
        <v>145</v>
      </c>
      <c r="H723">
        <f t="shared" si="98"/>
        <v>177</v>
      </c>
      <c r="I723">
        <f t="shared" si="98"/>
        <v>199</v>
      </c>
      <c r="J723">
        <f t="shared" si="98"/>
        <v>232</v>
      </c>
      <c r="K723">
        <f t="shared" si="98"/>
        <v>252</v>
      </c>
      <c r="L723">
        <f t="shared" si="98"/>
        <v>270</v>
      </c>
      <c r="M723">
        <f t="shared" si="98"/>
        <v>285</v>
      </c>
      <c r="N723">
        <f t="shared" si="98"/>
        <v>297</v>
      </c>
      <c r="O723">
        <f t="shared" si="98"/>
        <v>322</v>
      </c>
      <c r="P723">
        <f t="shared" si="98"/>
        <v>340</v>
      </c>
      <c r="Q723">
        <f t="shared" si="93"/>
        <v>366</v>
      </c>
      <c r="S723" t="str">
        <f t="shared" si="96"/>
        <v>04.12.2025</v>
      </c>
      <c r="T723" t="str">
        <f t="shared" si="97"/>
        <v>07:15:00</v>
      </c>
      <c r="U723" t="str">
        <f t="shared" si="99"/>
        <v>04.12.2025 07:15:00</v>
      </c>
      <c r="V723" s="9" t="str">
        <f>MID($A723,C723+C$2+1,D723-C723-C$2-1)</f>
        <v>0</v>
      </c>
      <c r="W723" s="4">
        <f>VALUE(SUBSTITUTE(MID($A723,D723+D$2+1,E723-D723-D$2-1),",","."))</f>
        <v>0</v>
      </c>
      <c r="X723" s="4">
        <f>VALUE(SUBSTITUTE(MID($A723,E723+E$2+1,F723-E723-E$2-1),",","."))</f>
        <v>0.90957602214449496</v>
      </c>
      <c r="Y723" s="4">
        <f>VALUE(SUBSTITUTE(MID($A723,F723+F$2+1,G723-F723-F$2-1),",","."))</f>
        <v>0</v>
      </c>
      <c r="Z723" s="3">
        <f>VALUE(SUBSTITUTE(MID($A723,G723+G$2+1,H723-G723-G$2-1),",","."))</f>
        <v>0</v>
      </c>
      <c r="AA723" s="3">
        <f>VALUE(SUBSTITUTE(MID($A723,H723+H$2+1,I723-H723-H$2-1),",","."))</f>
        <v>0</v>
      </c>
      <c r="AB723" s="3">
        <f>VALUE(SUBSTITUTE(MID($A723,I723+I$2+1,J723-I723-I$2-1),",","."))</f>
        <v>0</v>
      </c>
      <c r="AC723" s="3">
        <f>VALUE(SUBSTITUTE(MID($A723,J723+J$2+1,K723-J723-J$2-1),",","."))</f>
        <v>1.1499999999999999</v>
      </c>
      <c r="AD723" s="3">
        <f>VALUE(SUBSTITUTE(MID($A723,K723+K$2+1,L723-K723-K$2-1),",","."))</f>
        <v>2.88</v>
      </c>
      <c r="AE723" s="3">
        <f>VALUE(SUBSTITUTE(MID($A723,L723+L$2+1,M723-L723-L$2-1),",","."))</f>
        <v>0</v>
      </c>
      <c r="AF723" s="3">
        <f>VALUE(SUBSTITUTE(MID($A723,M723+M$2+1,N723-M723-M$2-1),",","."))</f>
        <v>0</v>
      </c>
      <c r="AG723" s="3">
        <f>VALUE(SUBSTITUTE(MID($A723,N723+N$2+1,O723-N723-N$2-1),",","."))</f>
        <v>4.2239950640971902</v>
      </c>
      <c r="AH723" t="str">
        <f>MID($A723,O723+O$2+1,P723-O723-O$2-1)</f>
        <v/>
      </c>
      <c r="AI723" s="8" t="str">
        <f>MID($A723,P723+P$2+1,Q723-P723-P$2-1)</f>
        <v>False</v>
      </c>
      <c r="AK723" t="b">
        <f t="shared" si="100"/>
        <v>0</v>
      </c>
    </row>
    <row r="724" spans="1:37" x14ac:dyDescent="0.35">
      <c r="A724" t="s">
        <v>5271</v>
      </c>
      <c r="B724">
        <f t="shared" si="95"/>
        <v>10</v>
      </c>
      <c r="C724">
        <f t="shared" si="95"/>
        <v>43</v>
      </c>
      <c r="D724">
        <f t="shared" si="95"/>
        <v>54</v>
      </c>
      <c r="E724">
        <f t="shared" si="95"/>
        <v>80</v>
      </c>
      <c r="F724">
        <f t="shared" si="95"/>
        <v>124</v>
      </c>
      <c r="G724">
        <f t="shared" si="95"/>
        <v>145</v>
      </c>
      <c r="H724">
        <f t="shared" si="98"/>
        <v>177</v>
      </c>
      <c r="I724">
        <f t="shared" si="98"/>
        <v>199</v>
      </c>
      <c r="J724">
        <f t="shared" si="98"/>
        <v>232</v>
      </c>
      <c r="K724">
        <f t="shared" si="98"/>
        <v>251</v>
      </c>
      <c r="L724">
        <f t="shared" si="98"/>
        <v>269</v>
      </c>
      <c r="M724">
        <f t="shared" si="98"/>
        <v>284</v>
      </c>
      <c r="N724">
        <f t="shared" si="98"/>
        <v>296</v>
      </c>
      <c r="O724">
        <f t="shared" si="98"/>
        <v>321</v>
      </c>
      <c r="P724">
        <f t="shared" si="98"/>
        <v>339</v>
      </c>
      <c r="Q724">
        <f t="shared" si="93"/>
        <v>365</v>
      </c>
      <c r="S724" t="str">
        <f t="shared" si="96"/>
        <v>04.12.2025</v>
      </c>
      <c r="T724" t="str">
        <f t="shared" si="97"/>
        <v>07:30:00</v>
      </c>
      <c r="U724" t="str">
        <f t="shared" si="99"/>
        <v>04.12.2025 07:30:00</v>
      </c>
      <c r="V724" s="9" t="str">
        <f>MID($A724,C724+C$2+1,D724-C724-C$2-1)</f>
        <v>0</v>
      </c>
      <c r="W724" s="4">
        <f>VALUE(SUBSTITUTE(MID($A724,D724+D$2+1,E724-D724-D$2-1),",","."))</f>
        <v>0</v>
      </c>
      <c r="X724" s="4">
        <f>VALUE(SUBSTITUTE(MID($A724,E724+E$2+1,F724-E724-E$2-1),",","."))</f>
        <v>0.90957602214449496</v>
      </c>
      <c r="Y724" s="4">
        <f>VALUE(SUBSTITUTE(MID($A724,F724+F$2+1,G724-F724-F$2-1),",","."))</f>
        <v>0</v>
      </c>
      <c r="Z724" s="3">
        <f>VALUE(SUBSTITUTE(MID($A724,G724+G$2+1,H724-G724-G$2-1),",","."))</f>
        <v>0</v>
      </c>
      <c r="AA724" s="3">
        <f>VALUE(SUBSTITUTE(MID($A724,H724+H$2+1,I724-H724-H$2-1),",","."))</f>
        <v>0</v>
      </c>
      <c r="AB724" s="3">
        <f>VALUE(SUBSTITUTE(MID($A724,I724+I$2+1,J724-I724-I$2-1),",","."))</f>
        <v>0</v>
      </c>
      <c r="AC724" s="3">
        <f>VALUE(SUBSTITUTE(MID($A724,J724+J$2+1,K724-J724-J$2-1),",","."))</f>
        <v>1.5</v>
      </c>
      <c r="AD724" s="3">
        <f>VALUE(SUBSTITUTE(MID($A724,K724+K$2+1,L724-K724-K$2-1),",","."))</f>
        <v>3.42</v>
      </c>
      <c r="AE724" s="3">
        <f>VALUE(SUBSTITUTE(MID($A724,L724+L$2+1,M724-L724-L$2-1),",","."))</f>
        <v>0</v>
      </c>
      <c r="AF724" s="3">
        <f>VALUE(SUBSTITUTE(MID($A724,M724+M$2+1,N724-M724-M$2-1),",","."))</f>
        <v>0</v>
      </c>
      <c r="AG724" s="3">
        <f>VALUE(SUBSTITUTE(MID($A724,N724+N$2+1,O724-N724-N$2-1),",","."))</f>
        <v>4.2240235839852698</v>
      </c>
      <c r="AH724" t="str">
        <f>MID($A724,O724+O$2+1,P724-O724-O$2-1)</f>
        <v/>
      </c>
      <c r="AI724" s="8" t="str">
        <f>MID($A724,P724+P$2+1,Q724-P724-P$2-1)</f>
        <v>False</v>
      </c>
      <c r="AK724" t="b">
        <f t="shared" si="100"/>
        <v>0</v>
      </c>
    </row>
    <row r="725" spans="1:37" x14ac:dyDescent="0.35">
      <c r="A725" t="s">
        <v>5272</v>
      </c>
      <c r="B725">
        <f t="shared" si="95"/>
        <v>10</v>
      </c>
      <c r="C725">
        <f t="shared" si="95"/>
        <v>43</v>
      </c>
      <c r="D725">
        <f t="shared" si="95"/>
        <v>54</v>
      </c>
      <c r="E725">
        <f t="shared" si="95"/>
        <v>80</v>
      </c>
      <c r="F725">
        <f t="shared" si="95"/>
        <v>124</v>
      </c>
      <c r="G725">
        <f t="shared" si="95"/>
        <v>145</v>
      </c>
      <c r="H725">
        <f t="shared" si="98"/>
        <v>177</v>
      </c>
      <c r="I725">
        <f t="shared" si="98"/>
        <v>199</v>
      </c>
      <c r="J725">
        <f t="shared" si="98"/>
        <v>232</v>
      </c>
      <c r="K725">
        <f t="shared" si="98"/>
        <v>251</v>
      </c>
      <c r="L725">
        <f t="shared" si="98"/>
        <v>269</v>
      </c>
      <c r="M725">
        <f t="shared" si="98"/>
        <v>284</v>
      </c>
      <c r="N725">
        <f t="shared" si="98"/>
        <v>296</v>
      </c>
      <c r="O725">
        <f t="shared" si="98"/>
        <v>322</v>
      </c>
      <c r="P725">
        <f t="shared" si="98"/>
        <v>340</v>
      </c>
      <c r="Q725">
        <f t="shared" si="93"/>
        <v>366</v>
      </c>
      <c r="S725" t="str">
        <f t="shared" si="96"/>
        <v>04.12.2025</v>
      </c>
      <c r="T725" t="str">
        <f t="shared" si="97"/>
        <v>07:45:00</v>
      </c>
      <c r="U725" t="str">
        <f t="shared" si="99"/>
        <v>04.12.2025 07:45:00</v>
      </c>
      <c r="V725" s="9" t="str">
        <f>MID($A725,C725+C$2+1,D725-C725-C$2-1)</f>
        <v>0</v>
      </c>
      <c r="W725" s="4">
        <f>VALUE(SUBSTITUTE(MID($A725,D725+D$2+1,E725-D725-D$2-1),",","."))</f>
        <v>0</v>
      </c>
      <c r="X725" s="4">
        <f>VALUE(SUBSTITUTE(MID($A725,E725+E$2+1,F725-E725-E$2-1),",","."))</f>
        <v>0.90957602214449496</v>
      </c>
      <c r="Y725" s="4">
        <f>VALUE(SUBSTITUTE(MID($A725,F725+F$2+1,G725-F725-F$2-1),",","."))</f>
        <v>0</v>
      </c>
      <c r="Z725" s="3">
        <f>VALUE(SUBSTITUTE(MID($A725,G725+G$2+1,H725-G725-G$2-1),",","."))</f>
        <v>0</v>
      </c>
      <c r="AA725" s="3">
        <f>VALUE(SUBSTITUTE(MID($A725,H725+H$2+1,I725-H725-H$2-1),",","."))</f>
        <v>0</v>
      </c>
      <c r="AB725" s="3">
        <f>VALUE(SUBSTITUTE(MID($A725,I725+I$2+1,J725-I725-I$2-1),",","."))</f>
        <v>0</v>
      </c>
      <c r="AC725" s="3">
        <f>VALUE(SUBSTITUTE(MID($A725,J725+J$2+1,K725-J725-J$2-1),",","."))</f>
        <v>1.5</v>
      </c>
      <c r="AD725" s="3">
        <f>VALUE(SUBSTITUTE(MID($A725,K725+K$2+1,L725-K725-K$2-1),",","."))</f>
        <v>3.42</v>
      </c>
      <c r="AE725" s="3">
        <f>VALUE(SUBSTITUTE(MID($A725,L725+L$2+1,M725-L725-L$2-1),",","."))</f>
        <v>0</v>
      </c>
      <c r="AF725" s="3">
        <f>VALUE(SUBSTITUTE(MID($A725,M725+M$2+1,N725-M725-M$2-1),",","."))</f>
        <v>0</v>
      </c>
      <c r="AG725" s="3">
        <f>VALUE(SUBSTITUTE(MID($A725,N725+N$2+1,O725-N725-N$2-1),",","."))</f>
        <v>4.2240521038733503</v>
      </c>
      <c r="AH725" t="str">
        <f>MID($A725,O725+O$2+1,P725-O725-O$2-1)</f>
        <v/>
      </c>
      <c r="AI725" s="8" t="str">
        <f>MID($A725,P725+P$2+1,Q725-P725-P$2-1)</f>
        <v>False</v>
      </c>
      <c r="AK725" t="b">
        <f t="shared" si="100"/>
        <v>0</v>
      </c>
    </row>
    <row r="726" spans="1:37" x14ac:dyDescent="0.35">
      <c r="A726" t="s">
        <v>5273</v>
      </c>
      <c r="B726">
        <f t="shared" si="95"/>
        <v>10</v>
      </c>
      <c r="C726">
        <f t="shared" si="95"/>
        <v>43</v>
      </c>
      <c r="D726">
        <f t="shared" si="95"/>
        <v>54</v>
      </c>
      <c r="E726">
        <f t="shared" si="95"/>
        <v>80</v>
      </c>
      <c r="F726">
        <f t="shared" si="95"/>
        <v>124</v>
      </c>
      <c r="G726">
        <f t="shared" si="95"/>
        <v>164</v>
      </c>
      <c r="H726">
        <f t="shared" si="98"/>
        <v>196</v>
      </c>
      <c r="I726">
        <f t="shared" si="98"/>
        <v>218</v>
      </c>
      <c r="J726">
        <f t="shared" si="98"/>
        <v>251</v>
      </c>
      <c r="K726">
        <f t="shared" si="98"/>
        <v>270</v>
      </c>
      <c r="L726">
        <f t="shared" si="98"/>
        <v>288</v>
      </c>
      <c r="M726">
        <f t="shared" si="98"/>
        <v>303</v>
      </c>
      <c r="N726">
        <f t="shared" si="98"/>
        <v>315</v>
      </c>
      <c r="O726">
        <f t="shared" si="98"/>
        <v>340</v>
      </c>
      <c r="P726">
        <f t="shared" si="98"/>
        <v>358</v>
      </c>
      <c r="Q726">
        <f t="shared" si="93"/>
        <v>384</v>
      </c>
      <c r="S726" t="str">
        <f t="shared" si="96"/>
        <v>04.12.2025</v>
      </c>
      <c r="T726" t="str">
        <f t="shared" si="97"/>
        <v>08:00:00</v>
      </c>
      <c r="U726" t="str">
        <f t="shared" si="99"/>
        <v>04.12.2025 08:00:00</v>
      </c>
      <c r="V726" s="9" t="str">
        <f>MID($A726,C726+C$2+1,D726-C726-C$2-1)</f>
        <v>0</v>
      </c>
      <c r="W726" s="4">
        <f>VALUE(SUBSTITUTE(MID($A726,D726+D$2+1,E726-D726-D$2-1),",","."))</f>
        <v>0</v>
      </c>
      <c r="X726" s="4">
        <f>VALUE(SUBSTITUTE(MID($A726,E726+E$2+1,F726-E726-E$2-1),",","."))</f>
        <v>0.90957602214449496</v>
      </c>
      <c r="Y726" s="4">
        <f>VALUE(SUBSTITUTE(MID($A726,F726+F$2+1,G726-F726-F$2-1),",","."))</f>
        <v>2.3143881019884498E-2</v>
      </c>
      <c r="Z726" s="3">
        <f>VALUE(SUBSTITUTE(MID($A726,G726+G$2+1,H726-G726-G$2-1),",","."))</f>
        <v>0</v>
      </c>
      <c r="AA726" s="3">
        <f>VALUE(SUBSTITUTE(MID($A726,H726+H$2+1,I726-H726-H$2-1),",","."))</f>
        <v>0</v>
      </c>
      <c r="AB726" s="3">
        <f>VALUE(SUBSTITUTE(MID($A726,I726+I$2+1,J726-I726-I$2-1),",","."))</f>
        <v>0</v>
      </c>
      <c r="AC726" s="3">
        <f>VALUE(SUBSTITUTE(MID($A726,J726+J$2+1,K726-J726-J$2-1),",","."))</f>
        <v>1.5</v>
      </c>
      <c r="AD726" s="3">
        <f>VALUE(SUBSTITUTE(MID($A726,K726+K$2+1,L726-K726-K$2-1),",","."))</f>
        <v>3.42</v>
      </c>
      <c r="AE726" s="3">
        <f>VALUE(SUBSTITUTE(MID($A726,L726+L$2+1,M726-L726-L$2-1),",","."))</f>
        <v>0</v>
      </c>
      <c r="AF726" s="3">
        <f>VALUE(SUBSTITUTE(MID($A726,M726+M$2+1,N726-M726-M$2-1),",","."))</f>
        <v>0</v>
      </c>
      <c r="AG726" s="3">
        <f>VALUE(SUBSTITUTE(MID($A726,N726+N$2+1,O726-N726-N$2-1),",","."))</f>
        <v>4.2240806237614299</v>
      </c>
      <c r="AH726" t="str">
        <f>MID($A726,O726+O$2+1,P726-O726-O$2-1)</f>
        <v/>
      </c>
      <c r="AI726" s="8" t="str">
        <f>MID($A726,P726+P$2+1,Q726-P726-P$2-1)</f>
        <v>False</v>
      </c>
      <c r="AK726" t="b">
        <f t="shared" si="100"/>
        <v>0</v>
      </c>
    </row>
    <row r="727" spans="1:37" x14ac:dyDescent="0.35">
      <c r="A727" t="s">
        <v>5274</v>
      </c>
      <c r="B727">
        <f t="shared" si="95"/>
        <v>10</v>
      </c>
      <c r="C727">
        <f t="shared" si="95"/>
        <v>43</v>
      </c>
      <c r="D727">
        <f t="shared" si="95"/>
        <v>54</v>
      </c>
      <c r="E727">
        <f t="shared" si="95"/>
        <v>97</v>
      </c>
      <c r="F727">
        <f t="shared" si="95"/>
        <v>141</v>
      </c>
      <c r="G727">
        <f t="shared" si="95"/>
        <v>180</v>
      </c>
      <c r="H727">
        <f t="shared" si="98"/>
        <v>212</v>
      </c>
      <c r="I727">
        <f t="shared" si="98"/>
        <v>234</v>
      </c>
      <c r="J727">
        <f t="shared" si="98"/>
        <v>267</v>
      </c>
      <c r="K727">
        <f t="shared" si="98"/>
        <v>286</v>
      </c>
      <c r="L727">
        <f t="shared" si="98"/>
        <v>304</v>
      </c>
      <c r="M727">
        <f t="shared" si="98"/>
        <v>319</v>
      </c>
      <c r="N727">
        <f t="shared" si="98"/>
        <v>331</v>
      </c>
      <c r="O727">
        <f t="shared" si="98"/>
        <v>356</v>
      </c>
      <c r="P727">
        <f t="shared" si="98"/>
        <v>374</v>
      </c>
      <c r="Q727">
        <f t="shared" si="93"/>
        <v>400</v>
      </c>
      <c r="S727" t="str">
        <f t="shared" si="96"/>
        <v>04.12.2025</v>
      </c>
      <c r="T727" t="str">
        <f t="shared" si="97"/>
        <v>08:15:00</v>
      </c>
      <c r="U727" t="str">
        <f t="shared" si="99"/>
        <v>04.12.2025 08:15:00</v>
      </c>
      <c r="V727" s="9" t="str">
        <f>MID($A727,C727+C$2+1,D727-C727-C$2-1)</f>
        <v>0</v>
      </c>
      <c r="W727" s="4">
        <f>VALUE(SUBSTITUTE(MID($A727,D727+D$2+1,E727-D727-D$2-1),",","."))</f>
        <v>0.539459009602274</v>
      </c>
      <c r="X727" s="4">
        <f>VALUE(SUBSTITUTE(MID($A727,E727+E$2+1,F727-E727-E$2-1),",","."))</f>
        <v>0.90957602214449496</v>
      </c>
      <c r="Y727" s="4">
        <f>VALUE(SUBSTITUTE(MID($A727,F727+F$2+1,G727-F727-F$2-1),",","."))</f>
        <v>5.6235011592644601E-2</v>
      </c>
      <c r="Z727" s="3">
        <f>VALUE(SUBSTITUTE(MID($A727,G727+G$2+1,H727-G727-G$2-1),",","."))</f>
        <v>0</v>
      </c>
      <c r="AA727" s="3">
        <f>VALUE(SUBSTITUTE(MID($A727,H727+H$2+1,I727-H727-H$2-1),",","."))</f>
        <v>0</v>
      </c>
      <c r="AB727" s="3">
        <f>VALUE(SUBSTITUTE(MID($A727,I727+I$2+1,J727-I727-I$2-1),",","."))</f>
        <v>0</v>
      </c>
      <c r="AC727" s="3">
        <f>VALUE(SUBSTITUTE(MID($A727,J727+J$2+1,K727-J727-J$2-1),",","."))</f>
        <v>1.5</v>
      </c>
      <c r="AD727" s="3">
        <f>VALUE(SUBSTITUTE(MID($A727,K727+K$2+1,L727-K727-K$2-1),",","."))</f>
        <v>3.42</v>
      </c>
      <c r="AE727" s="3">
        <f>VALUE(SUBSTITUTE(MID($A727,L727+L$2+1,M727-L727-L$2-1),",","."))</f>
        <v>0</v>
      </c>
      <c r="AF727" s="3">
        <f>VALUE(SUBSTITUTE(MID($A727,M727+M$2+1,N727-M727-M$2-1),",","."))</f>
        <v>0</v>
      </c>
      <c r="AG727" s="3">
        <f>VALUE(SUBSTITUTE(MID($A727,N727+N$2+1,O727-N727-N$2-1),",","."))</f>
        <v>4.2241091436495104</v>
      </c>
      <c r="AH727" t="str">
        <f>MID($A727,O727+O$2+1,P727-O727-O$2-1)</f>
        <v/>
      </c>
      <c r="AI727" s="8" t="str">
        <f>MID($A727,P727+P$2+1,Q727-P727-P$2-1)</f>
        <v>False</v>
      </c>
      <c r="AK727" t="b">
        <f t="shared" si="100"/>
        <v>0</v>
      </c>
    </row>
    <row r="728" spans="1:37" x14ac:dyDescent="0.35">
      <c r="A728" t="s">
        <v>5275</v>
      </c>
      <c r="B728">
        <f t="shared" si="95"/>
        <v>10</v>
      </c>
      <c r="C728">
        <f t="shared" si="95"/>
        <v>43</v>
      </c>
      <c r="D728">
        <f t="shared" si="95"/>
        <v>54</v>
      </c>
      <c r="E728">
        <f t="shared" si="95"/>
        <v>97</v>
      </c>
      <c r="F728">
        <f t="shared" si="95"/>
        <v>141</v>
      </c>
      <c r="G728">
        <f t="shared" si="95"/>
        <v>180</v>
      </c>
      <c r="H728">
        <f t="shared" si="98"/>
        <v>228</v>
      </c>
      <c r="I728">
        <f t="shared" si="98"/>
        <v>250</v>
      </c>
      <c r="J728">
        <f t="shared" si="98"/>
        <v>284</v>
      </c>
      <c r="K728">
        <f t="shared" si="98"/>
        <v>301</v>
      </c>
      <c r="L728">
        <f t="shared" si="98"/>
        <v>318</v>
      </c>
      <c r="M728">
        <f t="shared" si="98"/>
        <v>333</v>
      </c>
      <c r="N728">
        <f t="shared" si="98"/>
        <v>345</v>
      </c>
      <c r="O728">
        <f t="shared" si="98"/>
        <v>370</v>
      </c>
      <c r="P728">
        <f t="shared" si="98"/>
        <v>388</v>
      </c>
      <c r="Q728">
        <f t="shared" si="93"/>
        <v>414</v>
      </c>
      <c r="S728" t="str">
        <f t="shared" si="96"/>
        <v>04.12.2025</v>
      </c>
      <c r="T728" t="str">
        <f t="shared" si="97"/>
        <v>08:30:00</v>
      </c>
      <c r="U728" t="str">
        <f t="shared" si="99"/>
        <v>04.12.2025 08:30:00</v>
      </c>
      <c r="V728" s="9" t="str">
        <f>MID($A728,C728+C$2+1,D728-C728-C$2-1)</f>
        <v>0</v>
      </c>
      <c r="W728" s="4">
        <f>VALUE(SUBSTITUTE(MID($A728,D728+D$2+1,E728-D728-D$2-1),",","."))</f>
        <v>0.57916599272999802</v>
      </c>
      <c r="X728" s="4">
        <f>VALUE(SUBSTITUTE(MID($A728,E728+E$2+1,F728-E728-E$2-1),",","."))</f>
        <v>0.90957602214449496</v>
      </c>
      <c r="Y728" s="4">
        <f>VALUE(SUBSTITUTE(MID($A728,F728+F$2+1,G728-F728-F$2-1),",","."))</f>
        <v>8.9181898181750097E-2</v>
      </c>
      <c r="Z728" s="3">
        <f>VALUE(SUBSTITUTE(MID($A728,G728+G$2+1,H728-G728-G$2-1),",","."))</f>
        <v>57.983333333333299</v>
      </c>
      <c r="AA728" s="3">
        <f>VALUE(SUBSTITUTE(MID($A728,H728+H$2+1,I728-H728-H$2-1),",","."))</f>
        <v>0</v>
      </c>
      <c r="AB728" s="3">
        <f>VALUE(SUBSTITUTE(MID($A728,I728+I$2+1,J728-I728-I$2-1),",","."))</f>
        <v>25</v>
      </c>
      <c r="AC728" s="3">
        <f>VALUE(SUBSTITUTE(MID($A728,J728+J$2+1,K728-J728-J$2-1),",","."))</f>
        <v>2</v>
      </c>
      <c r="AD728" s="3">
        <f>VALUE(SUBSTITUTE(MID($A728,K728+K$2+1,L728-K728-K$2-1),",","."))</f>
        <v>5.4</v>
      </c>
      <c r="AE728" s="3">
        <f>VALUE(SUBSTITUTE(MID($A728,L728+L$2+1,M728-L728-L$2-1),",","."))</f>
        <v>0</v>
      </c>
      <c r="AF728" s="3">
        <f>VALUE(SUBSTITUTE(MID($A728,M728+M$2+1,N728-M728-M$2-1),",","."))</f>
        <v>0</v>
      </c>
      <c r="AG728" s="3">
        <f>VALUE(SUBSTITUTE(MID($A728,N728+N$2+1,O728-N728-N$2-1),",","."))</f>
        <v>4.2241376635375998</v>
      </c>
      <c r="AH728" t="str">
        <f>MID($A728,O728+O$2+1,P728-O728-O$2-1)</f>
        <v/>
      </c>
      <c r="AI728" s="8" t="str">
        <f>MID($A728,P728+P$2+1,Q728-P728-P$2-1)</f>
        <v>False</v>
      </c>
      <c r="AK728" t="b">
        <f t="shared" si="100"/>
        <v>0</v>
      </c>
    </row>
    <row r="729" spans="1:37" x14ac:dyDescent="0.35">
      <c r="A729" t="s">
        <v>5276</v>
      </c>
      <c r="B729">
        <f t="shared" si="95"/>
        <v>10</v>
      </c>
      <c r="C729">
        <f t="shared" si="95"/>
        <v>43</v>
      </c>
      <c r="D729">
        <f t="shared" si="95"/>
        <v>54</v>
      </c>
      <c r="E729">
        <f t="shared" si="95"/>
        <v>97</v>
      </c>
      <c r="F729">
        <f t="shared" si="95"/>
        <v>141</v>
      </c>
      <c r="G729">
        <f t="shared" si="95"/>
        <v>180</v>
      </c>
      <c r="H729">
        <f t="shared" si="98"/>
        <v>228</v>
      </c>
      <c r="I729">
        <f t="shared" si="98"/>
        <v>250</v>
      </c>
      <c r="J729">
        <f t="shared" si="98"/>
        <v>284</v>
      </c>
      <c r="K729">
        <f t="shared" si="98"/>
        <v>301</v>
      </c>
      <c r="L729">
        <f t="shared" si="98"/>
        <v>318</v>
      </c>
      <c r="M729">
        <f t="shared" si="98"/>
        <v>333</v>
      </c>
      <c r="N729">
        <f t="shared" si="98"/>
        <v>345</v>
      </c>
      <c r="O729">
        <f t="shared" si="98"/>
        <v>370</v>
      </c>
      <c r="P729">
        <f t="shared" si="98"/>
        <v>388</v>
      </c>
      <c r="Q729">
        <f t="shared" si="93"/>
        <v>414</v>
      </c>
      <c r="S729" t="str">
        <f t="shared" si="96"/>
        <v>04.12.2025</v>
      </c>
      <c r="T729" t="str">
        <f t="shared" si="97"/>
        <v>08:45:00</v>
      </c>
      <c r="U729" t="str">
        <f t="shared" si="99"/>
        <v>04.12.2025 08:45:00</v>
      </c>
      <c r="V729" s="9" t="str">
        <f>MID($A729,C729+C$2+1,D729-C729-C$2-1)</f>
        <v>0</v>
      </c>
      <c r="W729" s="4">
        <f>VALUE(SUBSTITUTE(MID($A729,D729+D$2+1,E729-D729-D$2-1),",","."))</f>
        <v>0.61643690020175002</v>
      </c>
      <c r="X729" s="4">
        <f>VALUE(SUBSTITUTE(MID($A729,E729+E$2+1,F729-E729-E$2-1),",","."))</f>
        <v>0.90957602214449496</v>
      </c>
      <c r="Y729" s="4">
        <f>VALUE(SUBSTITUTE(MID($A729,F729+F$2+1,G729-F729-F$2-1),",","."))</f>
        <v>0.121072592225287</v>
      </c>
      <c r="Z729" s="3">
        <f>VALUE(SUBSTITUTE(MID($A729,G729+G$2+1,H729-G729-G$2-1),",","."))</f>
        <v>57.983333333333299</v>
      </c>
      <c r="AA729" s="3">
        <f>VALUE(SUBSTITUTE(MID($A729,H729+H$2+1,I729-H729-H$2-1),",","."))</f>
        <v>0</v>
      </c>
      <c r="AB729" s="3">
        <f>VALUE(SUBSTITUTE(MID($A729,I729+I$2+1,J729-I729-I$2-1),",","."))</f>
        <v>25</v>
      </c>
      <c r="AC729" s="3">
        <f>VALUE(SUBSTITUTE(MID($A729,J729+J$2+1,K729-J729-J$2-1),",","."))</f>
        <v>2</v>
      </c>
      <c r="AD729" s="3">
        <f>VALUE(SUBSTITUTE(MID($A729,K729+K$2+1,L729-K729-K$2-1),",","."))</f>
        <v>5.4</v>
      </c>
      <c r="AE729" s="3">
        <f>VALUE(SUBSTITUTE(MID($A729,L729+L$2+1,M729-L729-L$2-1),",","."))</f>
        <v>0</v>
      </c>
      <c r="AF729" s="3">
        <f>VALUE(SUBSTITUTE(MID($A729,M729+M$2+1,N729-M729-M$2-1),",","."))</f>
        <v>0</v>
      </c>
      <c r="AG729" s="3">
        <f>VALUE(SUBSTITUTE(MID($A729,N729+N$2+1,O729-N729-N$2-1),",","."))</f>
        <v>4.2241661834256803</v>
      </c>
      <c r="AH729" t="str">
        <f>MID($A729,O729+O$2+1,P729-O729-O$2-1)</f>
        <v/>
      </c>
      <c r="AI729" s="8" t="str">
        <f>MID($A729,P729+P$2+1,Q729-P729-P$2-1)</f>
        <v>False</v>
      </c>
      <c r="AK729" t="b">
        <f t="shared" si="100"/>
        <v>0</v>
      </c>
    </row>
    <row r="730" spans="1:37" x14ac:dyDescent="0.35">
      <c r="A730" t="s">
        <v>5277</v>
      </c>
      <c r="B730">
        <f t="shared" si="95"/>
        <v>10</v>
      </c>
      <c r="C730">
        <f t="shared" si="95"/>
        <v>43</v>
      </c>
      <c r="D730">
        <f t="shared" si="95"/>
        <v>54</v>
      </c>
      <c r="E730">
        <f t="shared" ref="E730:M770" si="101">FIND(E$1,$A730)</f>
        <v>97</v>
      </c>
      <c r="F730">
        <f t="shared" si="101"/>
        <v>141</v>
      </c>
      <c r="G730">
        <f t="shared" si="101"/>
        <v>177</v>
      </c>
      <c r="H730">
        <f t="shared" si="98"/>
        <v>225</v>
      </c>
      <c r="I730">
        <f t="shared" si="98"/>
        <v>247</v>
      </c>
      <c r="J730">
        <f t="shared" si="98"/>
        <v>281</v>
      </c>
      <c r="K730">
        <f t="shared" ref="K730:Q766" si="102">FIND(K$1,$A730)</f>
        <v>298</v>
      </c>
      <c r="L730">
        <f t="shared" si="102"/>
        <v>315</v>
      </c>
      <c r="M730">
        <f t="shared" si="102"/>
        <v>330</v>
      </c>
      <c r="N730">
        <f t="shared" si="102"/>
        <v>342</v>
      </c>
      <c r="O730">
        <f t="shared" si="102"/>
        <v>367</v>
      </c>
      <c r="P730">
        <f t="shared" si="102"/>
        <v>385</v>
      </c>
      <c r="Q730">
        <f t="shared" si="102"/>
        <v>411</v>
      </c>
      <c r="S730" t="str">
        <f t="shared" si="96"/>
        <v>04.12.2025</v>
      </c>
      <c r="T730" t="str">
        <f t="shared" si="97"/>
        <v>09:00:00</v>
      </c>
      <c r="U730" t="str">
        <f t="shared" si="99"/>
        <v>04.12.2025 09:00:00</v>
      </c>
      <c r="V730" s="9" t="str">
        <f>MID($A730,C730+C$2+1,D730-C730-C$2-1)</f>
        <v>0</v>
      </c>
      <c r="W730" s="4">
        <f>VALUE(SUBSTITUTE(MID($A730,D730+D$2+1,E730-D730-D$2-1),",","."))</f>
        <v>0.65088580369021798</v>
      </c>
      <c r="X730" s="4">
        <f>VALUE(SUBSTITUTE(MID($A730,E730+E$2+1,F730-E730-E$2-1),",","."))</f>
        <v>0.90957602214449496</v>
      </c>
      <c r="Y730" s="4">
        <f>VALUE(SUBSTITUTE(MID($A730,F730+F$2+1,G730-F730-F$2-1),",","."))</f>
        <v>0.15150012496803</v>
      </c>
      <c r="Z730" s="3">
        <f>VALUE(SUBSTITUTE(MID($A730,G730+G$2+1,H730-G730-G$2-1),",","."))</f>
        <v>57.983333333333299</v>
      </c>
      <c r="AA730" s="3">
        <f>VALUE(SUBSTITUTE(MID($A730,H730+H$2+1,I730-H730-H$2-1),",","."))</f>
        <v>0</v>
      </c>
      <c r="AB730" s="3">
        <f>VALUE(SUBSTITUTE(MID($A730,I730+I$2+1,J730-I730-I$2-1),",","."))</f>
        <v>25</v>
      </c>
      <c r="AC730" s="3">
        <f>VALUE(SUBSTITUTE(MID($A730,J730+J$2+1,K730-J730-J$2-1),",","."))</f>
        <v>2</v>
      </c>
      <c r="AD730" s="3">
        <f>VALUE(SUBSTITUTE(MID($A730,K730+K$2+1,L730-K730-K$2-1),",","."))</f>
        <v>5.4</v>
      </c>
      <c r="AE730" s="3">
        <f>VALUE(SUBSTITUTE(MID($A730,L730+L$2+1,M730-L730-L$2-1),",","."))</f>
        <v>0</v>
      </c>
      <c r="AF730" s="3">
        <f>VALUE(SUBSTITUTE(MID($A730,M730+M$2+1,N730-M730-M$2-1),",","."))</f>
        <v>0</v>
      </c>
      <c r="AG730" s="3">
        <f>VALUE(SUBSTITUTE(MID($A730,N730+N$2+1,O730-N730-N$2-1),",","."))</f>
        <v>4.2241947033137599</v>
      </c>
      <c r="AH730" t="str">
        <f>MID($A730,O730+O$2+1,P730-O730-O$2-1)</f>
        <v/>
      </c>
      <c r="AI730" s="8" t="str">
        <f>MID($A730,P730+P$2+1,Q730-P730-P$2-1)</f>
        <v>False</v>
      </c>
      <c r="AK730" t="b">
        <f t="shared" si="100"/>
        <v>0</v>
      </c>
    </row>
    <row r="731" spans="1:37" x14ac:dyDescent="0.35">
      <c r="A731" t="s">
        <v>5278</v>
      </c>
      <c r="B731">
        <f t="shared" ref="B731:M782" si="103">FIND(B$1,$A731)</f>
        <v>10</v>
      </c>
      <c r="C731">
        <f t="shared" si="103"/>
        <v>43</v>
      </c>
      <c r="D731">
        <f t="shared" si="103"/>
        <v>54</v>
      </c>
      <c r="E731">
        <f t="shared" si="101"/>
        <v>96</v>
      </c>
      <c r="F731">
        <f t="shared" si="101"/>
        <v>140</v>
      </c>
      <c r="G731">
        <f t="shared" si="101"/>
        <v>178</v>
      </c>
      <c r="H731">
        <f t="shared" si="101"/>
        <v>226</v>
      </c>
      <c r="I731">
        <f t="shared" si="101"/>
        <v>248</v>
      </c>
      <c r="J731">
        <f t="shared" si="101"/>
        <v>282</v>
      </c>
      <c r="K731">
        <f t="shared" si="102"/>
        <v>299</v>
      </c>
      <c r="L731">
        <f t="shared" si="102"/>
        <v>316</v>
      </c>
      <c r="M731">
        <f t="shared" si="102"/>
        <v>331</v>
      </c>
      <c r="N731">
        <f t="shared" si="102"/>
        <v>343</v>
      </c>
      <c r="O731">
        <f t="shared" si="102"/>
        <v>368</v>
      </c>
      <c r="P731">
        <f t="shared" si="102"/>
        <v>386</v>
      </c>
      <c r="Q731">
        <f t="shared" si="102"/>
        <v>412</v>
      </c>
      <c r="S731" t="str">
        <f t="shared" si="96"/>
        <v>04.12.2025</v>
      </c>
      <c r="T731" t="str">
        <f t="shared" si="97"/>
        <v>09:15:00</v>
      </c>
      <c r="U731" t="str">
        <f t="shared" si="99"/>
        <v>04.12.2025 09:15:00</v>
      </c>
      <c r="V731" s="9" t="str">
        <f>MID($A731,C731+C$2+1,D731-C731-C$2-1)</f>
        <v>0</v>
      </c>
      <c r="W731" s="4">
        <f>VALUE(SUBSTITUTE(MID($A731,D731+D$2+1,E731-D731-D$2-1),",","."))</f>
        <v>0.682272060857538</v>
      </c>
      <c r="X731" s="4">
        <f>VALUE(SUBSTITUTE(MID($A731,E731+E$2+1,F731-E731-E$2-1),",","."))</f>
        <v>0.90957602214449496</v>
      </c>
      <c r="Y731" s="4">
        <f>VALUE(SUBSTITUTE(MID($A731,F731+F$2+1,G731-F731-F$2-1),",","."))</f>
        <v>0.18022258029464999</v>
      </c>
      <c r="Z731" s="3">
        <f>VALUE(SUBSTITUTE(MID($A731,G731+G$2+1,H731-G731-G$2-1),",","."))</f>
        <v>57.983333333333299</v>
      </c>
      <c r="AA731" s="3">
        <f>VALUE(SUBSTITUTE(MID($A731,H731+H$2+1,I731-H731-H$2-1),",","."))</f>
        <v>0</v>
      </c>
      <c r="AB731" s="3">
        <f>VALUE(SUBSTITUTE(MID($A731,I731+I$2+1,J731-I731-I$2-1),",","."))</f>
        <v>25</v>
      </c>
      <c r="AC731" s="3">
        <f>VALUE(SUBSTITUTE(MID($A731,J731+J$2+1,K731-J731-J$2-1),",","."))</f>
        <v>2</v>
      </c>
      <c r="AD731" s="3">
        <f>VALUE(SUBSTITUTE(MID($A731,K731+K$2+1,L731-K731-K$2-1),",","."))</f>
        <v>5.4</v>
      </c>
      <c r="AE731" s="3">
        <f>VALUE(SUBSTITUTE(MID($A731,L731+L$2+1,M731-L731-L$2-1),",","."))</f>
        <v>0</v>
      </c>
      <c r="AF731" s="3">
        <f>VALUE(SUBSTITUTE(MID($A731,M731+M$2+1,N731-M731-M$2-1),",","."))</f>
        <v>0</v>
      </c>
      <c r="AG731" s="3">
        <f>VALUE(SUBSTITUTE(MID($A731,N731+N$2+1,O731-N731-N$2-1),",","."))</f>
        <v>4.2242232232018404</v>
      </c>
      <c r="AH731" t="str">
        <f>MID($A731,O731+O$2+1,P731-O731-O$2-1)</f>
        <v/>
      </c>
      <c r="AI731" s="8" t="str">
        <f>MID($A731,P731+P$2+1,Q731-P731-P$2-1)</f>
        <v>False</v>
      </c>
      <c r="AK731" t="b">
        <f t="shared" si="100"/>
        <v>0</v>
      </c>
    </row>
    <row r="732" spans="1:37" x14ac:dyDescent="0.35">
      <c r="A732" t="s">
        <v>5279</v>
      </c>
      <c r="B732">
        <f t="shared" si="103"/>
        <v>10</v>
      </c>
      <c r="C732">
        <f t="shared" si="103"/>
        <v>43</v>
      </c>
      <c r="D732">
        <f t="shared" si="103"/>
        <v>54</v>
      </c>
      <c r="E732">
        <f t="shared" si="101"/>
        <v>97</v>
      </c>
      <c r="F732">
        <f t="shared" si="101"/>
        <v>141</v>
      </c>
      <c r="G732">
        <f t="shared" si="101"/>
        <v>179</v>
      </c>
      <c r="H732">
        <f t="shared" si="101"/>
        <v>227</v>
      </c>
      <c r="I732">
        <f t="shared" si="101"/>
        <v>249</v>
      </c>
      <c r="J732">
        <f t="shared" si="101"/>
        <v>285</v>
      </c>
      <c r="K732">
        <f t="shared" si="102"/>
        <v>304</v>
      </c>
      <c r="L732">
        <f t="shared" si="102"/>
        <v>322</v>
      </c>
      <c r="M732">
        <f t="shared" si="102"/>
        <v>337</v>
      </c>
      <c r="N732">
        <f t="shared" si="102"/>
        <v>349</v>
      </c>
      <c r="O732">
        <f t="shared" si="102"/>
        <v>374</v>
      </c>
      <c r="P732">
        <f t="shared" si="102"/>
        <v>392</v>
      </c>
      <c r="Q732">
        <f t="shared" si="102"/>
        <v>418</v>
      </c>
      <c r="S732" t="str">
        <f t="shared" si="96"/>
        <v>04.12.2025</v>
      </c>
      <c r="T732" t="str">
        <f t="shared" si="97"/>
        <v>09:30:00</v>
      </c>
      <c r="U732" t="str">
        <f t="shared" si="99"/>
        <v>04.12.2025 09:30:00</v>
      </c>
      <c r="V732" s="9" t="str">
        <f>MID($A732,C732+C$2+1,D732-C732-C$2-1)</f>
        <v>0</v>
      </c>
      <c r="W732" s="4">
        <f>VALUE(SUBSTITUTE(MID($A732,D732+D$2+1,E732-D732-D$2-1),",","."))</f>
        <v>0.71041702371155602</v>
      </c>
      <c r="X732" s="4">
        <f>VALUE(SUBSTITUTE(MID($A732,E732+E$2+1,F732-E732-E$2-1),",","."))</f>
        <v>0.90957602214449496</v>
      </c>
      <c r="Y732" s="4">
        <f>VALUE(SUBSTITUTE(MID($A732,F732+F$2+1,G732-F732-F$2-1),",","."))</f>
        <v>0.207063778511931</v>
      </c>
      <c r="Z732" s="3">
        <f>VALUE(SUBSTITUTE(MID($A732,G732+G$2+1,H732-G732-G$2-1),",","."))</f>
        <v>97.399999999999906</v>
      </c>
      <c r="AA732" s="3">
        <f>VALUE(SUBSTITUTE(MID($A732,H732+H$2+1,I732-H732-H$2-1),",","."))</f>
        <v>0</v>
      </c>
      <c r="AB732" s="3">
        <f>VALUE(SUBSTITUTE(MID($A732,I732+I$2+1,J732-I732-I$2-1),",","."))</f>
        <v>71.5</v>
      </c>
      <c r="AC732" s="3">
        <f>VALUE(SUBSTITUTE(MID($A732,J732+J$2+1,K732-J732-J$2-1),",","."))</f>
        <v>2.6</v>
      </c>
      <c r="AD732" s="3">
        <f>VALUE(SUBSTITUTE(MID($A732,K732+K$2+1,L732-K732-K$2-1),",","."))</f>
        <v>8.82</v>
      </c>
      <c r="AE732" s="3">
        <f>VALUE(SUBSTITUTE(MID($A732,L732+L$2+1,M732-L732-L$2-1),",","."))</f>
        <v>0</v>
      </c>
      <c r="AF732" s="3">
        <f>VALUE(SUBSTITUTE(MID($A732,M732+M$2+1,N732-M732-M$2-1),",","."))</f>
        <v>0</v>
      </c>
      <c r="AG732" s="3">
        <f>VALUE(SUBSTITUTE(MID($A732,N732+N$2+1,O732-N732-N$2-1),",","."))</f>
        <v>4.22425174308992</v>
      </c>
      <c r="AH732" t="str">
        <f>MID($A732,O732+O$2+1,P732-O732-O$2-1)</f>
        <v/>
      </c>
      <c r="AI732" s="8" t="str">
        <f>MID($A732,P732+P$2+1,Q732-P732-P$2-1)</f>
        <v>False</v>
      </c>
      <c r="AK732" t="b">
        <f t="shared" si="100"/>
        <v>0</v>
      </c>
    </row>
    <row r="733" spans="1:37" x14ac:dyDescent="0.35">
      <c r="A733" t="s">
        <v>5280</v>
      </c>
      <c r="B733">
        <f t="shared" si="103"/>
        <v>10</v>
      </c>
      <c r="C733">
        <f t="shared" si="103"/>
        <v>43</v>
      </c>
      <c r="D733">
        <f t="shared" si="103"/>
        <v>54</v>
      </c>
      <c r="E733">
        <f t="shared" si="101"/>
        <v>97</v>
      </c>
      <c r="F733">
        <f t="shared" si="101"/>
        <v>141</v>
      </c>
      <c r="G733">
        <f t="shared" si="101"/>
        <v>180</v>
      </c>
      <c r="H733">
        <f t="shared" si="101"/>
        <v>228</v>
      </c>
      <c r="I733">
        <f t="shared" si="101"/>
        <v>250</v>
      </c>
      <c r="J733">
        <f t="shared" si="101"/>
        <v>286</v>
      </c>
      <c r="K733">
        <f t="shared" si="102"/>
        <v>305</v>
      </c>
      <c r="L733">
        <f t="shared" si="102"/>
        <v>323</v>
      </c>
      <c r="M733">
        <f t="shared" si="102"/>
        <v>338</v>
      </c>
      <c r="N733">
        <f t="shared" si="102"/>
        <v>350</v>
      </c>
      <c r="O733">
        <f t="shared" si="102"/>
        <v>375</v>
      </c>
      <c r="P733">
        <f t="shared" si="102"/>
        <v>393</v>
      </c>
      <c r="Q733">
        <f t="shared" si="102"/>
        <v>419</v>
      </c>
      <c r="S733" t="str">
        <f t="shared" si="96"/>
        <v>04.12.2025</v>
      </c>
      <c r="T733" t="str">
        <f t="shared" si="97"/>
        <v>09:45:00</v>
      </c>
      <c r="U733" t="str">
        <f t="shared" si="99"/>
        <v>04.12.2025 09:45:00</v>
      </c>
      <c r="V733" s="9" t="str">
        <f>MID($A733,C733+C$2+1,D733-C733-C$2-1)</f>
        <v>0</v>
      </c>
      <c r="W733" s="4">
        <f>VALUE(SUBSTITUTE(MID($A733,D733+D$2+1,E733-D733-D$2-1),",","."))</f>
        <v>0.73517673980058895</v>
      </c>
      <c r="X733" s="4">
        <f>VALUE(SUBSTITUTE(MID($A733,E733+E$2+1,F733-E733-E$2-1),",","."))</f>
        <v>0.90957602214449496</v>
      </c>
      <c r="Y733" s="4">
        <f>VALUE(SUBSTITUTE(MID($A733,F733+F$2+1,G733-F733-F$2-1),",","."))</f>
        <v>0.23188053182058199</v>
      </c>
      <c r="Z733" s="3">
        <f>VALUE(SUBSTITUTE(MID($A733,G733+G$2+1,H733-G733-G$2-1),",","."))</f>
        <v>97.399999999999906</v>
      </c>
      <c r="AA733" s="3">
        <f>VALUE(SUBSTITUTE(MID($A733,H733+H$2+1,I733-H733-H$2-1),",","."))</f>
        <v>0</v>
      </c>
      <c r="AB733" s="3">
        <f>VALUE(SUBSTITUTE(MID($A733,I733+I$2+1,J733-I733-I$2-1),",","."))</f>
        <v>71.5</v>
      </c>
      <c r="AC733" s="3">
        <f>VALUE(SUBSTITUTE(MID($A733,J733+J$2+1,K733-J733-J$2-1),",","."))</f>
        <v>2.6</v>
      </c>
      <c r="AD733" s="3">
        <f>VALUE(SUBSTITUTE(MID($A733,K733+K$2+1,L733-K733-K$2-1),",","."))</f>
        <v>8.82</v>
      </c>
      <c r="AE733" s="3">
        <f>VALUE(SUBSTITUTE(MID($A733,L733+L$2+1,M733-L733-L$2-1),",","."))</f>
        <v>0</v>
      </c>
      <c r="AF733" s="3">
        <f>VALUE(SUBSTITUTE(MID($A733,M733+M$2+1,N733-M733-M$2-1),",","."))</f>
        <v>0</v>
      </c>
      <c r="AG733" s="3">
        <f>VALUE(SUBSTITUTE(MID($A733,N733+N$2+1,O733-N733-N$2-1),",","."))</f>
        <v>4.2242802629779996</v>
      </c>
      <c r="AH733" t="str">
        <f>MID($A733,O733+O$2+1,P733-O733-O$2-1)</f>
        <v/>
      </c>
      <c r="AI733" s="8" t="str">
        <f>MID($A733,P733+P$2+1,Q733-P733-P$2-1)</f>
        <v>False</v>
      </c>
      <c r="AK733" t="b">
        <f t="shared" si="100"/>
        <v>0</v>
      </c>
    </row>
    <row r="734" spans="1:37" x14ac:dyDescent="0.35">
      <c r="A734" t="s">
        <v>5281</v>
      </c>
      <c r="B734">
        <f t="shared" si="103"/>
        <v>10</v>
      </c>
      <c r="C734">
        <f t="shared" si="103"/>
        <v>43</v>
      </c>
      <c r="D734">
        <f t="shared" si="103"/>
        <v>54</v>
      </c>
      <c r="E734">
        <f t="shared" si="101"/>
        <v>97</v>
      </c>
      <c r="F734">
        <f t="shared" si="101"/>
        <v>141</v>
      </c>
      <c r="G734">
        <f t="shared" si="101"/>
        <v>180</v>
      </c>
      <c r="H734">
        <f t="shared" si="101"/>
        <v>228</v>
      </c>
      <c r="I734">
        <f t="shared" si="101"/>
        <v>250</v>
      </c>
      <c r="J734">
        <f t="shared" si="101"/>
        <v>286</v>
      </c>
      <c r="K734">
        <f t="shared" si="102"/>
        <v>305</v>
      </c>
      <c r="L734">
        <f t="shared" si="102"/>
        <v>323</v>
      </c>
      <c r="M734">
        <f t="shared" si="102"/>
        <v>338</v>
      </c>
      <c r="N734">
        <f t="shared" si="102"/>
        <v>350</v>
      </c>
      <c r="O734">
        <f t="shared" si="102"/>
        <v>375</v>
      </c>
      <c r="P734">
        <f t="shared" si="102"/>
        <v>393</v>
      </c>
      <c r="Q734">
        <f t="shared" si="102"/>
        <v>419</v>
      </c>
      <c r="S734" t="str">
        <f t="shared" si="96"/>
        <v>04.12.2025</v>
      </c>
      <c r="T734" t="str">
        <f t="shared" si="97"/>
        <v>10:00:00</v>
      </c>
      <c r="U734" t="str">
        <f t="shared" si="99"/>
        <v>04.12.2025 10:00:00</v>
      </c>
      <c r="V734" s="9" t="str">
        <f>MID($A734,C734+C$2+1,D734-C734-C$2-1)</f>
        <v>0</v>
      </c>
      <c r="W734" s="4">
        <f>VALUE(SUBSTITUTE(MID($A734,D734+D$2+1,E734-D734-D$2-1),",","."))</f>
        <v>0.75643172073628595</v>
      </c>
      <c r="X734" s="4">
        <f>VALUE(SUBSTITUTE(MID($A734,E734+E$2+1,F734-E734-E$2-1),",","."))</f>
        <v>0.90957602214449496</v>
      </c>
      <c r="Y734" s="4">
        <f>VALUE(SUBSTITUTE(MID($A734,F734+F$2+1,G734-F734-F$2-1),",","."))</f>
        <v>0.25455028272402203</v>
      </c>
      <c r="Z734" s="3">
        <f>VALUE(SUBSTITUTE(MID($A734,G734+G$2+1,H734-G734-G$2-1),",","."))</f>
        <v>97.399999999999906</v>
      </c>
      <c r="AA734" s="3">
        <f>VALUE(SUBSTITUTE(MID($A734,H734+H$2+1,I734-H734-H$2-1),",","."))</f>
        <v>0</v>
      </c>
      <c r="AB734" s="3">
        <f>VALUE(SUBSTITUTE(MID($A734,I734+I$2+1,J734-I734-I$2-1),",","."))</f>
        <v>71.5</v>
      </c>
      <c r="AC734" s="3">
        <f>VALUE(SUBSTITUTE(MID($A734,J734+J$2+1,K734-J734-J$2-1),",","."))</f>
        <v>2.6</v>
      </c>
      <c r="AD734" s="3">
        <f>VALUE(SUBSTITUTE(MID($A734,K734+K$2+1,L734-K734-K$2-1),",","."))</f>
        <v>8.82</v>
      </c>
      <c r="AE734" s="3">
        <f>VALUE(SUBSTITUTE(MID($A734,L734+L$2+1,M734-L734-L$2-1),",","."))</f>
        <v>0</v>
      </c>
      <c r="AF734" s="3">
        <f>VALUE(SUBSTITUTE(MID($A734,M734+M$2+1,N734-M734-M$2-1),",","."))</f>
        <v>0</v>
      </c>
      <c r="AG734" s="3">
        <f>VALUE(SUBSTITUTE(MID($A734,N734+N$2+1,O734-N734-N$2-1),",","."))</f>
        <v>4.2243087828660899</v>
      </c>
      <c r="AH734" t="str">
        <f>MID($A734,O734+O$2+1,P734-O734-O$2-1)</f>
        <v/>
      </c>
      <c r="AI734" s="8" t="str">
        <f>MID($A734,P734+P$2+1,Q734-P734-P$2-1)</f>
        <v>False</v>
      </c>
      <c r="AK734" t="b">
        <f t="shared" si="100"/>
        <v>0</v>
      </c>
    </row>
    <row r="735" spans="1:37" x14ac:dyDescent="0.35">
      <c r="A735" t="s">
        <v>5282</v>
      </c>
      <c r="B735">
        <f t="shared" si="103"/>
        <v>10</v>
      </c>
      <c r="C735">
        <f t="shared" si="103"/>
        <v>43</v>
      </c>
      <c r="D735">
        <f t="shared" si="103"/>
        <v>54</v>
      </c>
      <c r="E735">
        <f t="shared" si="101"/>
        <v>97</v>
      </c>
      <c r="F735">
        <f t="shared" si="101"/>
        <v>141</v>
      </c>
      <c r="G735">
        <f t="shared" si="101"/>
        <v>179</v>
      </c>
      <c r="H735">
        <f t="shared" si="101"/>
        <v>227</v>
      </c>
      <c r="I735">
        <f t="shared" si="101"/>
        <v>249</v>
      </c>
      <c r="J735">
        <f t="shared" si="101"/>
        <v>285</v>
      </c>
      <c r="K735">
        <f t="shared" si="102"/>
        <v>304</v>
      </c>
      <c r="L735">
        <f t="shared" si="102"/>
        <v>322</v>
      </c>
      <c r="M735">
        <f t="shared" si="102"/>
        <v>337</v>
      </c>
      <c r="N735">
        <f t="shared" si="102"/>
        <v>349</v>
      </c>
      <c r="O735">
        <f t="shared" si="102"/>
        <v>374</v>
      </c>
      <c r="P735">
        <f t="shared" si="102"/>
        <v>392</v>
      </c>
      <c r="Q735">
        <f t="shared" si="102"/>
        <v>418</v>
      </c>
      <c r="S735" t="str">
        <f t="shared" si="96"/>
        <v>04.12.2025</v>
      </c>
      <c r="T735" t="str">
        <f t="shared" si="97"/>
        <v>10:15:00</v>
      </c>
      <c r="U735" t="str">
        <f t="shared" si="99"/>
        <v>04.12.2025 10:15:00</v>
      </c>
      <c r="V735" s="9" t="str">
        <f>MID($A735,C735+C$2+1,D735-C735-C$2-1)</f>
        <v>0</v>
      </c>
      <c r="W735" s="4">
        <f>VALUE(SUBSTITUTE(MID($A735,D735+D$2+1,E735-D735-D$2-1),",","."))</f>
        <v>0.77408271815631002</v>
      </c>
      <c r="X735" s="4">
        <f>VALUE(SUBSTITUTE(MID($A735,E735+E$2+1,F735-E735-E$2-1),",","."))</f>
        <v>0.90957602214449496</v>
      </c>
      <c r="Y735" s="4">
        <f>VALUE(SUBSTITUTE(MID($A735,F735+F$2+1,G735-F735-F$2-1),",","."))</f>
        <v>0.27496595612094898</v>
      </c>
      <c r="Z735" s="3">
        <f>VALUE(SUBSTITUTE(MID($A735,G735+G$2+1,H735-G735-G$2-1),",","."))</f>
        <v>97.399999999999906</v>
      </c>
      <c r="AA735" s="3">
        <f>VALUE(SUBSTITUTE(MID($A735,H735+H$2+1,I735-H735-H$2-1),",","."))</f>
        <v>0</v>
      </c>
      <c r="AB735" s="3">
        <f>VALUE(SUBSTITUTE(MID($A735,I735+I$2+1,J735-I735-I$2-1),",","."))</f>
        <v>71.5</v>
      </c>
      <c r="AC735" s="3">
        <f>VALUE(SUBSTITUTE(MID($A735,J735+J$2+1,K735-J735-J$2-1),",","."))</f>
        <v>2.6</v>
      </c>
      <c r="AD735" s="3">
        <f>VALUE(SUBSTITUTE(MID($A735,K735+K$2+1,L735-K735-K$2-1),",","."))</f>
        <v>8.82</v>
      </c>
      <c r="AE735" s="3">
        <f>VALUE(SUBSTITUTE(MID($A735,L735+L$2+1,M735-L735-L$2-1),",","."))</f>
        <v>0</v>
      </c>
      <c r="AF735" s="3">
        <f>VALUE(SUBSTITUTE(MID($A735,M735+M$2+1,N735-M735-M$2-1),",","."))</f>
        <v>0</v>
      </c>
      <c r="AG735" s="3">
        <f>VALUE(SUBSTITUTE(MID($A735,N735+N$2+1,O735-N735-N$2-1),",","."))</f>
        <v>4.2243373027541704</v>
      </c>
      <c r="AH735" t="str">
        <f>MID($A735,O735+O$2+1,P735-O735-O$2-1)</f>
        <v/>
      </c>
      <c r="AI735" s="8" t="str">
        <f>MID($A735,P735+P$2+1,Q735-P735-P$2-1)</f>
        <v>False</v>
      </c>
      <c r="AK735" t="b">
        <f t="shared" si="100"/>
        <v>0</v>
      </c>
    </row>
    <row r="736" spans="1:37" x14ac:dyDescent="0.35">
      <c r="A736" t="s">
        <v>5283</v>
      </c>
      <c r="B736">
        <f t="shared" si="103"/>
        <v>10</v>
      </c>
      <c r="C736">
        <f t="shared" si="103"/>
        <v>43</v>
      </c>
      <c r="D736">
        <f t="shared" si="103"/>
        <v>54</v>
      </c>
      <c r="E736">
        <f t="shared" si="101"/>
        <v>97</v>
      </c>
      <c r="F736">
        <f t="shared" si="101"/>
        <v>141</v>
      </c>
      <c r="G736">
        <f t="shared" si="101"/>
        <v>180</v>
      </c>
      <c r="H736">
        <f t="shared" si="101"/>
        <v>216</v>
      </c>
      <c r="I736">
        <f t="shared" si="101"/>
        <v>238</v>
      </c>
      <c r="J736">
        <f t="shared" si="101"/>
        <v>275</v>
      </c>
      <c r="K736">
        <f t="shared" si="102"/>
        <v>309</v>
      </c>
      <c r="L736">
        <f t="shared" si="102"/>
        <v>341</v>
      </c>
      <c r="M736">
        <f t="shared" si="102"/>
        <v>356</v>
      </c>
      <c r="N736">
        <f t="shared" si="102"/>
        <v>368</v>
      </c>
      <c r="O736">
        <f t="shared" si="102"/>
        <v>393</v>
      </c>
      <c r="P736">
        <f t="shared" si="102"/>
        <v>411</v>
      </c>
      <c r="Q736">
        <f t="shared" si="102"/>
        <v>437</v>
      </c>
      <c r="S736" t="str">
        <f t="shared" si="96"/>
        <v>04.12.2025</v>
      </c>
      <c r="T736" t="str">
        <f t="shared" si="97"/>
        <v>10:30:00</v>
      </c>
      <c r="U736" t="str">
        <f t="shared" si="99"/>
        <v>04.12.2025 10:30:00</v>
      </c>
      <c r="V736" s="9" t="str">
        <f>MID($A736,C736+C$2+1,D736-C736-C$2-1)</f>
        <v>0</v>
      </c>
      <c r="W736" s="4">
        <f>VALUE(SUBSTITUTE(MID($A736,D736+D$2+1,E736-D736-D$2-1),",","."))</f>
        <v>0.78804887210788799</v>
      </c>
      <c r="X736" s="4">
        <f>VALUE(SUBSTITUTE(MID($A736,E736+E$2+1,F736-E736-E$2-1),",","."))</f>
        <v>0.90957602214449496</v>
      </c>
      <c r="Y736" s="4">
        <f>VALUE(SUBSTITUTE(MID($A736,F736+F$2+1,G736-F736-F$2-1),",","."))</f>
        <v>0.29303368754000297</v>
      </c>
      <c r="Z736" s="3">
        <f>VALUE(SUBSTITUTE(MID($A736,G736+G$2+1,H736-G736-G$2-1),",","."))</f>
        <v>97.35</v>
      </c>
      <c r="AA736" s="3">
        <f>VALUE(SUBSTITUTE(MID($A736,H736+H$2+1,I736-H736-H$2-1),",","."))</f>
        <v>0</v>
      </c>
      <c r="AB736" s="3">
        <f>VALUE(SUBSTITUTE(MID($A736,I736+I$2+1,J736-I736-I$2-1),",","."))</f>
        <v>106.5</v>
      </c>
      <c r="AC736" s="3">
        <f>VALUE(SUBSTITUTE(MID($A736,J736+J$2+1,K736-J736-J$2-1),",","."))</f>
        <v>3.15</v>
      </c>
      <c r="AD736" s="3">
        <f>VALUE(SUBSTITUTE(MID($A736,K736+K$2+1,L736-K736-K$2-1),",","."))</f>
        <v>11.8799999999999</v>
      </c>
      <c r="AE736" s="3">
        <f>VALUE(SUBSTITUTE(MID($A736,L736+L$2+1,M736-L736-L$2-1),",","."))</f>
        <v>0</v>
      </c>
      <c r="AF736" s="3">
        <f>VALUE(SUBSTITUTE(MID($A736,M736+M$2+1,N736-M736-M$2-1),",","."))</f>
        <v>0</v>
      </c>
      <c r="AG736" s="3">
        <f>VALUE(SUBSTITUTE(MID($A736,N736+N$2+1,O736-N736-N$2-1),",","."))</f>
        <v>4.22436582264225</v>
      </c>
      <c r="AH736" t="str">
        <f>MID($A736,O736+O$2+1,P736-O736-O$2-1)</f>
        <v/>
      </c>
      <c r="AI736" s="8" t="str">
        <f>MID($A736,P736+P$2+1,Q736-P736-P$2-1)</f>
        <v>False</v>
      </c>
      <c r="AK736" t="b">
        <f t="shared" si="100"/>
        <v>1</v>
      </c>
    </row>
    <row r="737" spans="1:37" x14ac:dyDescent="0.35">
      <c r="A737" t="s">
        <v>5284</v>
      </c>
      <c r="B737">
        <f t="shared" si="103"/>
        <v>10</v>
      </c>
      <c r="C737">
        <f t="shared" si="103"/>
        <v>43</v>
      </c>
      <c r="D737">
        <f t="shared" si="103"/>
        <v>54</v>
      </c>
      <c r="E737">
        <f t="shared" si="101"/>
        <v>97</v>
      </c>
      <c r="F737">
        <f t="shared" si="101"/>
        <v>141</v>
      </c>
      <c r="G737">
        <f t="shared" si="101"/>
        <v>180</v>
      </c>
      <c r="H737">
        <f t="shared" si="101"/>
        <v>216</v>
      </c>
      <c r="I737">
        <f t="shared" si="101"/>
        <v>238</v>
      </c>
      <c r="J737">
        <f t="shared" si="101"/>
        <v>275</v>
      </c>
      <c r="K737">
        <f t="shared" si="102"/>
        <v>309</v>
      </c>
      <c r="L737">
        <f t="shared" si="102"/>
        <v>341</v>
      </c>
      <c r="M737">
        <f t="shared" si="102"/>
        <v>356</v>
      </c>
      <c r="N737">
        <f t="shared" si="102"/>
        <v>368</v>
      </c>
      <c r="O737">
        <f t="shared" si="102"/>
        <v>393</v>
      </c>
      <c r="P737">
        <f t="shared" si="102"/>
        <v>411</v>
      </c>
      <c r="Q737">
        <f t="shared" si="102"/>
        <v>437</v>
      </c>
      <c r="S737" t="str">
        <f t="shared" si="96"/>
        <v>04.12.2025</v>
      </c>
      <c r="T737" t="str">
        <f t="shared" si="97"/>
        <v>10:45:00</v>
      </c>
      <c r="U737" t="str">
        <f t="shared" si="99"/>
        <v>04.12.2025 10:45:00</v>
      </c>
      <c r="V737" s="9" t="str">
        <f>MID($A737,C737+C$2+1,D737-C737-C$2-1)</f>
        <v>0</v>
      </c>
      <c r="W737" s="4">
        <f>VALUE(SUBSTITUTE(MID($A737,D737+D$2+1,E737-D737-D$2-1),",","."))</f>
        <v>0.79826687563826604</v>
      </c>
      <c r="X737" s="4">
        <f>VALUE(SUBSTITUTE(MID($A737,E737+E$2+1,F737-E737-E$2-1),",","."))</f>
        <v>0.90957602214449496</v>
      </c>
      <c r="Y737" s="4">
        <f>VALUE(SUBSTITUTE(MID($A737,F737+F$2+1,G737-F737-F$2-1),",","."))</f>
        <v>0.30867180657391502</v>
      </c>
      <c r="Z737" s="3">
        <f>VALUE(SUBSTITUTE(MID($A737,G737+G$2+1,H737-G737-G$2-1),",","."))</f>
        <v>97.35</v>
      </c>
      <c r="AA737" s="3">
        <f>VALUE(SUBSTITUTE(MID($A737,H737+H$2+1,I737-H737-H$2-1),",","."))</f>
        <v>0</v>
      </c>
      <c r="AB737" s="3">
        <f>VALUE(SUBSTITUTE(MID($A737,I737+I$2+1,J737-I737-I$2-1),",","."))</f>
        <v>106.5</v>
      </c>
      <c r="AC737" s="3">
        <f>VALUE(SUBSTITUTE(MID($A737,J737+J$2+1,K737-J737-J$2-1),",","."))</f>
        <v>3.15</v>
      </c>
      <c r="AD737" s="3">
        <f>VALUE(SUBSTITUTE(MID($A737,K737+K$2+1,L737-K737-K$2-1),",","."))</f>
        <v>11.8799999999999</v>
      </c>
      <c r="AE737" s="3">
        <f>VALUE(SUBSTITUTE(MID($A737,L737+L$2+1,M737-L737-L$2-1),",","."))</f>
        <v>0</v>
      </c>
      <c r="AF737" s="3">
        <f>VALUE(SUBSTITUTE(MID($A737,M737+M$2+1,N737-M737-M$2-1),",","."))</f>
        <v>0</v>
      </c>
      <c r="AG737" s="3">
        <f>VALUE(SUBSTITUTE(MID($A737,N737+N$2+1,O737-N737-N$2-1),",","."))</f>
        <v>4.2243943425303296</v>
      </c>
      <c r="AH737" t="str">
        <f>MID($A737,O737+O$2+1,P737-O737-O$2-1)</f>
        <v/>
      </c>
      <c r="AI737" s="8" t="str">
        <f>MID($A737,P737+P$2+1,Q737-P737-P$2-1)</f>
        <v>False</v>
      </c>
      <c r="AK737" t="b">
        <f t="shared" si="100"/>
        <v>1</v>
      </c>
    </row>
    <row r="738" spans="1:37" x14ac:dyDescent="0.35">
      <c r="A738" t="s">
        <v>5285</v>
      </c>
      <c r="B738">
        <f t="shared" si="103"/>
        <v>10</v>
      </c>
      <c r="C738">
        <f t="shared" si="103"/>
        <v>43</v>
      </c>
      <c r="D738">
        <f t="shared" si="103"/>
        <v>54</v>
      </c>
      <c r="E738">
        <f t="shared" si="101"/>
        <v>97</v>
      </c>
      <c r="F738">
        <f t="shared" si="101"/>
        <v>141</v>
      </c>
      <c r="G738">
        <f t="shared" si="101"/>
        <v>179</v>
      </c>
      <c r="H738">
        <f t="shared" si="101"/>
        <v>215</v>
      </c>
      <c r="I738">
        <f t="shared" si="101"/>
        <v>237</v>
      </c>
      <c r="J738">
        <f t="shared" si="101"/>
        <v>274</v>
      </c>
      <c r="K738">
        <f t="shared" si="102"/>
        <v>308</v>
      </c>
      <c r="L738">
        <f t="shared" si="102"/>
        <v>340</v>
      </c>
      <c r="M738">
        <f t="shared" si="102"/>
        <v>355</v>
      </c>
      <c r="N738">
        <f t="shared" si="102"/>
        <v>367</v>
      </c>
      <c r="O738">
        <f t="shared" si="102"/>
        <v>392</v>
      </c>
      <c r="P738">
        <f t="shared" si="102"/>
        <v>410</v>
      </c>
      <c r="Q738">
        <f t="shared" si="102"/>
        <v>436</v>
      </c>
      <c r="S738" t="str">
        <f t="shared" si="96"/>
        <v>04.12.2025</v>
      </c>
      <c r="T738" t="str">
        <f t="shared" si="97"/>
        <v>11:00:00</v>
      </c>
      <c r="U738" t="str">
        <f t="shared" si="99"/>
        <v>04.12.2025 11:00:00</v>
      </c>
      <c r="V738" s="9" t="str">
        <f>MID($A738,C738+C$2+1,D738-C738-C$2-1)</f>
        <v>0</v>
      </c>
      <c r="W738" s="4">
        <f>VALUE(SUBSTITUTE(MID($A738,D738+D$2+1,E738-D738-D$2-1),",","."))</f>
        <v>0.80469059374821705</v>
      </c>
      <c r="X738" s="4">
        <f>VALUE(SUBSTITUTE(MID($A738,E738+E$2+1,F738-E738-E$2-1),",","."))</f>
        <v>0.90957602214449496</v>
      </c>
      <c r="Y738" s="4">
        <f>VALUE(SUBSTITUTE(MID($A738,F738+F$2+1,G738-F738-F$2-1),",","."))</f>
        <v>0.32181040317216097</v>
      </c>
      <c r="Z738" s="3">
        <f>VALUE(SUBSTITUTE(MID($A738,G738+G$2+1,H738-G738-G$2-1),",","."))</f>
        <v>97.35</v>
      </c>
      <c r="AA738" s="3">
        <f>VALUE(SUBSTITUTE(MID($A738,H738+H$2+1,I738-H738-H$2-1),",","."))</f>
        <v>0</v>
      </c>
      <c r="AB738" s="3">
        <f>VALUE(SUBSTITUTE(MID($A738,I738+I$2+1,J738-I738-I$2-1),",","."))</f>
        <v>106.5</v>
      </c>
      <c r="AC738" s="3">
        <f>VALUE(SUBSTITUTE(MID($A738,J738+J$2+1,K738-J738-J$2-1),",","."))</f>
        <v>3.15</v>
      </c>
      <c r="AD738" s="3">
        <f>VALUE(SUBSTITUTE(MID($A738,K738+K$2+1,L738-K738-K$2-1),",","."))</f>
        <v>11.8799999999999</v>
      </c>
      <c r="AE738" s="3">
        <f>VALUE(SUBSTITUTE(MID($A738,L738+L$2+1,M738-L738-L$2-1),",","."))</f>
        <v>0</v>
      </c>
      <c r="AF738" s="3">
        <f>VALUE(SUBSTITUTE(MID($A738,M738+M$2+1,N738-M738-M$2-1),",","."))</f>
        <v>0</v>
      </c>
      <c r="AG738" s="3">
        <f>VALUE(SUBSTITUTE(MID($A738,N738+N$2+1,O738-N738-N$2-1),",","."))</f>
        <v>4.2244228624184101</v>
      </c>
      <c r="AH738" t="str">
        <f>MID($A738,O738+O$2+1,P738-O738-O$2-1)</f>
        <v/>
      </c>
      <c r="AI738" s="8" t="str">
        <f>MID($A738,P738+P$2+1,Q738-P738-P$2-1)</f>
        <v>False</v>
      </c>
      <c r="AK738" t="b">
        <f t="shared" si="100"/>
        <v>1</v>
      </c>
    </row>
    <row r="739" spans="1:37" x14ac:dyDescent="0.35">
      <c r="A739" t="s">
        <v>5286</v>
      </c>
      <c r="B739">
        <f t="shared" si="103"/>
        <v>10</v>
      </c>
      <c r="C739">
        <f t="shared" si="103"/>
        <v>43</v>
      </c>
      <c r="D739">
        <f t="shared" si="103"/>
        <v>54</v>
      </c>
      <c r="E739">
        <f t="shared" si="101"/>
        <v>97</v>
      </c>
      <c r="F739">
        <f t="shared" si="101"/>
        <v>141</v>
      </c>
      <c r="G739">
        <f t="shared" si="101"/>
        <v>179</v>
      </c>
      <c r="H739">
        <f t="shared" si="101"/>
        <v>215</v>
      </c>
      <c r="I739">
        <f t="shared" si="101"/>
        <v>237</v>
      </c>
      <c r="J739">
        <f t="shared" si="101"/>
        <v>274</v>
      </c>
      <c r="K739">
        <f t="shared" si="102"/>
        <v>308</v>
      </c>
      <c r="L739">
        <f t="shared" si="102"/>
        <v>340</v>
      </c>
      <c r="M739">
        <f t="shared" si="102"/>
        <v>355</v>
      </c>
      <c r="N739">
        <f t="shared" si="102"/>
        <v>367</v>
      </c>
      <c r="O739">
        <f t="shared" si="102"/>
        <v>392</v>
      </c>
      <c r="P739">
        <f t="shared" si="102"/>
        <v>410</v>
      </c>
      <c r="Q739">
        <f t="shared" si="102"/>
        <v>436</v>
      </c>
      <c r="S739" t="str">
        <f t="shared" si="96"/>
        <v>04.12.2025</v>
      </c>
      <c r="T739" t="str">
        <f t="shared" si="97"/>
        <v>11:15:00</v>
      </c>
      <c r="U739" t="str">
        <f t="shared" si="99"/>
        <v>04.12.2025 11:15:00</v>
      </c>
      <c r="V739" s="9" t="str">
        <f>MID($A739,C739+C$2+1,D739-C739-C$2-1)</f>
        <v>0</v>
      </c>
      <c r="W739" s="4">
        <f>VALUE(SUBSTITUTE(MID($A739,D739+D$2+1,E739-D739-D$2-1),",","."))</f>
        <v>0.80729088304535701</v>
      </c>
      <c r="X739" s="4">
        <f>VALUE(SUBSTITUTE(MID($A739,E739+E$2+1,F739-E739-E$2-1),",","."))</f>
        <v>0.90957602214449496</v>
      </c>
      <c r="Y739" s="4">
        <f>VALUE(SUBSTITUTE(MID($A739,F739+F$2+1,G739-F739-F$2-1),",","."))</f>
        <v>0.33239117275448099</v>
      </c>
      <c r="Z739" s="3">
        <f>VALUE(SUBSTITUTE(MID($A739,G739+G$2+1,H739-G739-G$2-1),",","."))</f>
        <v>97.35</v>
      </c>
      <c r="AA739" s="3">
        <f>VALUE(SUBSTITUTE(MID($A739,H739+H$2+1,I739-H739-H$2-1),",","."))</f>
        <v>0</v>
      </c>
      <c r="AB739" s="3">
        <f>VALUE(SUBSTITUTE(MID($A739,I739+I$2+1,J739-I739-I$2-1),",","."))</f>
        <v>106.5</v>
      </c>
      <c r="AC739" s="3">
        <f>VALUE(SUBSTITUTE(MID($A739,J739+J$2+1,K739-J739-J$2-1),",","."))</f>
        <v>3.15</v>
      </c>
      <c r="AD739" s="3">
        <f>VALUE(SUBSTITUTE(MID($A739,K739+K$2+1,L739-K739-K$2-1),",","."))</f>
        <v>11.8799999999999</v>
      </c>
      <c r="AE739" s="3">
        <f>VALUE(SUBSTITUTE(MID($A739,L739+L$2+1,M739-L739-L$2-1),",","."))</f>
        <v>0</v>
      </c>
      <c r="AF739" s="3">
        <f>VALUE(SUBSTITUTE(MID($A739,M739+M$2+1,N739-M739-M$2-1),",","."))</f>
        <v>0</v>
      </c>
      <c r="AG739" s="3">
        <f>VALUE(SUBSTITUTE(MID($A739,N739+N$2+1,O739-N739-N$2-1),",","."))</f>
        <v>4.2244513823064898</v>
      </c>
      <c r="AH739" t="str">
        <f>MID($A739,O739+O$2+1,P739-O739-O$2-1)</f>
        <v/>
      </c>
      <c r="AI739" s="8" t="str">
        <f>MID($A739,P739+P$2+1,Q739-P739-P$2-1)</f>
        <v>False</v>
      </c>
      <c r="AK739" t="b">
        <f t="shared" si="100"/>
        <v>1</v>
      </c>
    </row>
    <row r="740" spans="1:37" x14ac:dyDescent="0.35">
      <c r="A740" t="s">
        <v>5287</v>
      </c>
      <c r="B740">
        <f t="shared" si="103"/>
        <v>10</v>
      </c>
      <c r="C740">
        <f t="shared" si="103"/>
        <v>43</v>
      </c>
      <c r="D740">
        <f t="shared" si="103"/>
        <v>54</v>
      </c>
      <c r="E740">
        <f t="shared" si="101"/>
        <v>97</v>
      </c>
      <c r="F740">
        <f t="shared" si="101"/>
        <v>141</v>
      </c>
      <c r="G740">
        <f t="shared" si="101"/>
        <v>180</v>
      </c>
      <c r="H740">
        <f t="shared" si="101"/>
        <v>228</v>
      </c>
      <c r="I740">
        <f t="shared" si="101"/>
        <v>250</v>
      </c>
      <c r="J740">
        <f t="shared" si="101"/>
        <v>285</v>
      </c>
      <c r="K740">
        <f t="shared" si="102"/>
        <v>304</v>
      </c>
      <c r="L740">
        <f t="shared" si="102"/>
        <v>323</v>
      </c>
      <c r="M740">
        <f t="shared" si="102"/>
        <v>338</v>
      </c>
      <c r="N740">
        <f t="shared" si="102"/>
        <v>350</v>
      </c>
      <c r="O740">
        <f t="shared" si="102"/>
        <v>374</v>
      </c>
      <c r="P740">
        <f t="shared" si="102"/>
        <v>392</v>
      </c>
      <c r="Q740">
        <f t="shared" si="102"/>
        <v>418</v>
      </c>
      <c r="S740" t="str">
        <f t="shared" si="96"/>
        <v>04.12.2025</v>
      </c>
      <c r="T740" t="str">
        <f t="shared" si="97"/>
        <v>11:30:00</v>
      </c>
      <c r="U740" t="str">
        <f t="shared" si="99"/>
        <v>04.12.2025 11:30:00</v>
      </c>
      <c r="V740" s="9" t="str">
        <f>MID($A740,C740+C$2+1,D740-C740-C$2-1)</f>
        <v>0</v>
      </c>
      <c r="W740" s="4">
        <f>VALUE(SUBSTITUTE(MID($A740,D740+D$2+1,E740-D740-D$2-1),",","."))</f>
        <v>0.80605548963323204</v>
      </c>
      <c r="X740" s="4">
        <f>VALUE(SUBSTITUTE(MID($A740,E740+E$2+1,F740-E740-E$2-1),",","."))</f>
        <v>0.90957602214449496</v>
      </c>
      <c r="Y740" s="4">
        <f>VALUE(SUBSTITUTE(MID($A740,F740+F$2+1,G740-F740-F$2-1),",","."))</f>
        <v>0.34036739299979701</v>
      </c>
      <c r="Z740" s="3">
        <f>VALUE(SUBSTITUTE(MID($A740,G740+G$2+1,H740-G740-G$2-1),",","."))</f>
        <v>95.9166666666666</v>
      </c>
      <c r="AA740" s="3">
        <f>VALUE(SUBSTITUTE(MID($A740,H740+H$2+1,I740-H740-H$2-1),",","."))</f>
        <v>0</v>
      </c>
      <c r="AB740" s="3">
        <f>VALUE(SUBSTITUTE(MID($A740,I740+I$2+1,J740-I740-I$2-1),",","."))</f>
        <v>126</v>
      </c>
      <c r="AC740" s="3">
        <f>VALUE(SUBSTITUTE(MID($A740,J740+J$2+1,K740-J740-J$2-1),",","."))</f>
        <v>3.6</v>
      </c>
      <c r="AD740" s="3">
        <f>VALUE(SUBSTITUTE(MID($A740,K740+K$2+1,L740-K740-K$2-1),",","."))</f>
        <v>14.22</v>
      </c>
      <c r="AE740" s="3">
        <f>VALUE(SUBSTITUTE(MID($A740,L740+L$2+1,M740-L740-L$2-1),",","."))</f>
        <v>0</v>
      </c>
      <c r="AF740" s="3">
        <f>VALUE(SUBSTITUTE(MID($A740,M740+M$2+1,N740-M740-M$2-1),",","."))</f>
        <v>0</v>
      </c>
      <c r="AG740" s="3">
        <f>VALUE(SUBSTITUTE(MID($A740,N740+N$2+1,O740-N740-N$2-1),",","."))</f>
        <v>4.22447990219458</v>
      </c>
      <c r="AH740" t="str">
        <f>MID($A740,O740+O$2+1,P740-O740-O$2-1)</f>
        <v/>
      </c>
      <c r="AI740" s="8" t="str">
        <f>MID($A740,P740+P$2+1,Q740-P740-P$2-1)</f>
        <v>False</v>
      </c>
      <c r="AK740" t="b">
        <f t="shared" si="100"/>
        <v>1</v>
      </c>
    </row>
    <row r="741" spans="1:37" x14ac:dyDescent="0.35">
      <c r="A741" t="s">
        <v>5288</v>
      </c>
      <c r="B741">
        <f t="shared" si="103"/>
        <v>10</v>
      </c>
      <c r="C741">
        <f t="shared" si="103"/>
        <v>43</v>
      </c>
      <c r="D741">
        <f t="shared" si="103"/>
        <v>54</v>
      </c>
      <c r="E741">
        <f t="shared" si="101"/>
        <v>97</v>
      </c>
      <c r="F741">
        <f t="shared" si="101"/>
        <v>141</v>
      </c>
      <c r="G741">
        <f t="shared" si="101"/>
        <v>179</v>
      </c>
      <c r="H741">
        <f t="shared" si="101"/>
        <v>227</v>
      </c>
      <c r="I741">
        <f t="shared" si="101"/>
        <v>249</v>
      </c>
      <c r="J741">
        <f t="shared" si="101"/>
        <v>284</v>
      </c>
      <c r="K741">
        <f t="shared" si="102"/>
        <v>303</v>
      </c>
      <c r="L741">
        <f t="shared" si="102"/>
        <v>322</v>
      </c>
      <c r="M741">
        <f t="shared" si="102"/>
        <v>337</v>
      </c>
      <c r="N741">
        <f t="shared" si="102"/>
        <v>349</v>
      </c>
      <c r="O741">
        <f t="shared" si="102"/>
        <v>374</v>
      </c>
      <c r="P741">
        <f t="shared" si="102"/>
        <v>392</v>
      </c>
      <c r="Q741">
        <f t="shared" si="102"/>
        <v>418</v>
      </c>
      <c r="S741" t="str">
        <f t="shared" si="96"/>
        <v>04.12.2025</v>
      </c>
      <c r="T741" t="str">
        <f t="shared" si="97"/>
        <v>11:45:00</v>
      </c>
      <c r="U741" t="str">
        <f t="shared" si="99"/>
        <v>04.12.2025 11:45:00</v>
      </c>
      <c r="V741" s="9" t="str">
        <f>MID($A741,C741+C$2+1,D741-C741-C$2-1)</f>
        <v>0</v>
      </c>
      <c r="W741" s="4">
        <f>VALUE(SUBSTITUTE(MID($A741,D741+D$2+1,E741-D741-D$2-1),",","."))</f>
        <v>0.80098896252809904</v>
      </c>
      <c r="X741" s="4">
        <f>VALUE(SUBSTITUTE(MID($A741,E741+E$2+1,F741-E741-E$2-1),",","."))</f>
        <v>0.90957602214449496</v>
      </c>
      <c r="Y741" s="4">
        <f>VALUE(SUBSTITUTE(MID($A741,F741+F$2+1,G741-F741-F$2-1),",","."))</f>
        <v>0.34570395671037701</v>
      </c>
      <c r="Z741" s="3">
        <f>VALUE(SUBSTITUTE(MID($A741,G741+G$2+1,H741-G741-G$2-1),",","."))</f>
        <v>95.9166666666666</v>
      </c>
      <c r="AA741" s="3">
        <f>VALUE(SUBSTITUTE(MID($A741,H741+H$2+1,I741-H741-H$2-1),",","."))</f>
        <v>0</v>
      </c>
      <c r="AB741" s="3">
        <f>VALUE(SUBSTITUTE(MID($A741,I741+I$2+1,J741-I741-I$2-1),",","."))</f>
        <v>126</v>
      </c>
      <c r="AC741" s="3">
        <f>VALUE(SUBSTITUTE(MID($A741,J741+J$2+1,K741-J741-J$2-1),",","."))</f>
        <v>3.6</v>
      </c>
      <c r="AD741" s="3">
        <f>VALUE(SUBSTITUTE(MID($A741,K741+K$2+1,L741-K741-K$2-1),",","."))</f>
        <v>14.22</v>
      </c>
      <c r="AE741" s="3">
        <f>VALUE(SUBSTITUTE(MID($A741,L741+L$2+1,M741-L741-L$2-1),",","."))</f>
        <v>0</v>
      </c>
      <c r="AF741" s="3">
        <f>VALUE(SUBSTITUTE(MID($A741,M741+M$2+1,N741-M741-M$2-1),",","."))</f>
        <v>0</v>
      </c>
      <c r="AG741" s="3">
        <f>VALUE(SUBSTITUTE(MID($A741,N741+N$2+1,O741-N741-N$2-1),",","."))</f>
        <v>4.2245084220826596</v>
      </c>
      <c r="AH741" t="str">
        <f>MID($A741,O741+O$2+1,P741-O741-O$2-1)</f>
        <v/>
      </c>
      <c r="AI741" s="8" t="str">
        <f>MID($A741,P741+P$2+1,Q741-P741-P$2-1)</f>
        <v>False</v>
      </c>
      <c r="AK741" t="b">
        <f t="shared" si="100"/>
        <v>1</v>
      </c>
    </row>
    <row r="742" spans="1:37" x14ac:dyDescent="0.35">
      <c r="A742" t="s">
        <v>5289</v>
      </c>
      <c r="B742">
        <f t="shared" si="103"/>
        <v>10</v>
      </c>
      <c r="C742">
        <f t="shared" si="103"/>
        <v>43</v>
      </c>
      <c r="D742">
        <f t="shared" si="103"/>
        <v>54</v>
      </c>
      <c r="E742">
        <f t="shared" si="101"/>
        <v>97</v>
      </c>
      <c r="F742">
        <f t="shared" si="101"/>
        <v>141</v>
      </c>
      <c r="G742">
        <f t="shared" si="101"/>
        <v>179</v>
      </c>
      <c r="H742">
        <f t="shared" si="101"/>
        <v>227</v>
      </c>
      <c r="I742">
        <f t="shared" si="101"/>
        <v>249</v>
      </c>
      <c r="J742">
        <f t="shared" si="101"/>
        <v>284</v>
      </c>
      <c r="K742">
        <f t="shared" si="102"/>
        <v>303</v>
      </c>
      <c r="L742">
        <f t="shared" si="102"/>
        <v>322</v>
      </c>
      <c r="M742">
        <f t="shared" si="102"/>
        <v>337</v>
      </c>
      <c r="N742">
        <f t="shared" si="102"/>
        <v>349</v>
      </c>
      <c r="O742">
        <f t="shared" si="102"/>
        <v>374</v>
      </c>
      <c r="P742">
        <f t="shared" si="102"/>
        <v>392</v>
      </c>
      <c r="Q742">
        <f t="shared" si="102"/>
        <v>418</v>
      </c>
      <c r="S742" t="str">
        <f t="shared" si="96"/>
        <v>04.12.2025</v>
      </c>
      <c r="T742" t="str">
        <f t="shared" si="97"/>
        <v>12:00:00</v>
      </c>
      <c r="U742" t="str">
        <f t="shared" si="99"/>
        <v>04.12.2025 12:00:00</v>
      </c>
      <c r="V742" s="9" t="str">
        <f>MID($A742,C742+C$2+1,D742-C742-C$2-1)</f>
        <v>0</v>
      </c>
      <c r="W742" s="4">
        <f>VALUE(SUBSTITUTE(MID($A742,D742+D$2+1,E742-D742-D$2-1),",","."))</f>
        <v>0.79211254931149</v>
      </c>
      <c r="X742" s="4">
        <f>VALUE(SUBSTITUTE(MID($A742,E742+E$2+1,F742-E742-E$2-1),",","."))</f>
        <v>0.90957602214449496</v>
      </c>
      <c r="Y742" s="4">
        <f>VALUE(SUBSTITUTE(MID($A742,F742+F$2+1,G742-F742-F$2-1),",","."))</f>
        <v>0.34837742009787998</v>
      </c>
      <c r="Z742" s="3">
        <f>VALUE(SUBSTITUTE(MID($A742,G742+G$2+1,H742-G742-G$2-1),",","."))</f>
        <v>95.9166666666666</v>
      </c>
      <c r="AA742" s="3">
        <f>VALUE(SUBSTITUTE(MID($A742,H742+H$2+1,I742-H742-H$2-1),",","."))</f>
        <v>0</v>
      </c>
      <c r="AB742" s="3">
        <f>VALUE(SUBSTITUTE(MID($A742,I742+I$2+1,J742-I742-I$2-1),",","."))</f>
        <v>126</v>
      </c>
      <c r="AC742" s="3">
        <f>VALUE(SUBSTITUTE(MID($A742,J742+J$2+1,K742-J742-J$2-1),",","."))</f>
        <v>3.6</v>
      </c>
      <c r="AD742" s="3">
        <f>VALUE(SUBSTITUTE(MID($A742,K742+K$2+1,L742-K742-K$2-1),",","."))</f>
        <v>14.22</v>
      </c>
      <c r="AE742" s="3">
        <f>VALUE(SUBSTITUTE(MID($A742,L742+L$2+1,M742-L742-L$2-1),",","."))</f>
        <v>0</v>
      </c>
      <c r="AF742" s="3">
        <f>VALUE(SUBSTITUTE(MID($A742,M742+M$2+1,N742-M742-M$2-1),",","."))</f>
        <v>0</v>
      </c>
      <c r="AG742" s="3">
        <f>VALUE(SUBSTITUTE(MID($A742,N742+N$2+1,O742-N742-N$2-1),",","."))</f>
        <v>4.2245369419707401</v>
      </c>
      <c r="AH742" t="str">
        <f>MID($A742,O742+O$2+1,P742-O742-O$2-1)</f>
        <v/>
      </c>
      <c r="AI742" s="8" t="str">
        <f>MID($A742,P742+P$2+1,Q742-P742-P$2-1)</f>
        <v>False</v>
      </c>
      <c r="AK742" t="b">
        <f t="shared" si="100"/>
        <v>1</v>
      </c>
    </row>
    <row r="743" spans="1:37" x14ac:dyDescent="0.35">
      <c r="A743" t="s">
        <v>5290</v>
      </c>
      <c r="B743">
        <f t="shared" si="103"/>
        <v>10</v>
      </c>
      <c r="C743">
        <f t="shared" si="103"/>
        <v>43</v>
      </c>
      <c r="D743">
        <f t="shared" si="103"/>
        <v>54</v>
      </c>
      <c r="E743">
        <f t="shared" si="101"/>
        <v>96</v>
      </c>
      <c r="F743">
        <f t="shared" si="101"/>
        <v>140</v>
      </c>
      <c r="G743">
        <f t="shared" si="101"/>
        <v>178</v>
      </c>
      <c r="H743">
        <f t="shared" si="101"/>
        <v>226</v>
      </c>
      <c r="I743">
        <f t="shared" si="101"/>
        <v>248</v>
      </c>
      <c r="J743">
        <f t="shared" si="101"/>
        <v>283</v>
      </c>
      <c r="K743">
        <f t="shared" si="102"/>
        <v>302</v>
      </c>
      <c r="L743">
        <f t="shared" si="102"/>
        <v>321</v>
      </c>
      <c r="M743">
        <f t="shared" si="102"/>
        <v>336</v>
      </c>
      <c r="N743">
        <f t="shared" si="102"/>
        <v>348</v>
      </c>
      <c r="O743">
        <f t="shared" si="102"/>
        <v>373</v>
      </c>
      <c r="P743">
        <f t="shared" si="102"/>
        <v>391</v>
      </c>
      <c r="Q743">
        <f t="shared" si="102"/>
        <v>417</v>
      </c>
      <c r="S743" t="str">
        <f t="shared" si="96"/>
        <v>04.12.2025</v>
      </c>
      <c r="T743" t="str">
        <f t="shared" si="97"/>
        <v>12:15:00</v>
      </c>
      <c r="U743" t="str">
        <f t="shared" si="99"/>
        <v>04.12.2025 12:15:00</v>
      </c>
      <c r="V743" s="9" t="str">
        <f>MID($A743,C743+C$2+1,D743-C743-C$2-1)</f>
        <v>0</v>
      </c>
      <c r="W743" s="4">
        <f>VALUE(SUBSTITUTE(MID($A743,D743+D$2+1,E743-D743-D$2-1),",","."))</f>
        <v>0.77946405627769599</v>
      </c>
      <c r="X743" s="4">
        <f>VALUE(SUBSTITUTE(MID($A743,E743+E$2+1,F743-E743-E$2-1),",","."))</f>
        <v>0.90957602214449496</v>
      </c>
      <c r="Y743" s="4">
        <f>VALUE(SUBSTITUTE(MID($A743,F743+F$2+1,G743-F743-F$2-1),",","."))</f>
        <v>0.34837604445931097</v>
      </c>
      <c r="Z743" s="3">
        <f>VALUE(SUBSTITUTE(MID($A743,G743+G$2+1,H743-G743-G$2-1),",","."))</f>
        <v>95.9166666666666</v>
      </c>
      <c r="AA743" s="3">
        <f>VALUE(SUBSTITUTE(MID($A743,H743+H$2+1,I743-H743-H$2-1),",","."))</f>
        <v>0</v>
      </c>
      <c r="AB743" s="3">
        <f>VALUE(SUBSTITUTE(MID($A743,I743+I$2+1,J743-I743-I$2-1),",","."))</f>
        <v>126</v>
      </c>
      <c r="AC743" s="3">
        <f>VALUE(SUBSTITUTE(MID($A743,J743+J$2+1,K743-J743-J$2-1),",","."))</f>
        <v>3.6</v>
      </c>
      <c r="AD743" s="3">
        <f>VALUE(SUBSTITUTE(MID($A743,K743+K$2+1,L743-K743-K$2-1),",","."))</f>
        <v>14.22</v>
      </c>
      <c r="AE743" s="3">
        <f>VALUE(SUBSTITUTE(MID($A743,L743+L$2+1,M743-L743-L$2-1),",","."))</f>
        <v>0</v>
      </c>
      <c r="AF743" s="3">
        <f>VALUE(SUBSTITUTE(MID($A743,M743+M$2+1,N743-M743-M$2-1),",","."))</f>
        <v>0</v>
      </c>
      <c r="AG743" s="3">
        <f>VALUE(SUBSTITUTE(MID($A743,N743+N$2+1,O743-N743-N$2-1),",","."))</f>
        <v>4.2245654618588198</v>
      </c>
      <c r="AH743" t="str">
        <f>MID($A743,O743+O$2+1,P743-O743-O$2-1)</f>
        <v/>
      </c>
      <c r="AI743" s="8" t="str">
        <f>MID($A743,P743+P$2+1,Q743-P743-P$2-1)</f>
        <v>False</v>
      </c>
      <c r="AK743" t="b">
        <f t="shared" si="100"/>
        <v>1</v>
      </c>
    </row>
    <row r="744" spans="1:37" x14ac:dyDescent="0.35">
      <c r="A744" t="s">
        <v>5291</v>
      </c>
      <c r="B744">
        <f t="shared" si="103"/>
        <v>10</v>
      </c>
      <c r="C744">
        <f t="shared" si="103"/>
        <v>43</v>
      </c>
      <c r="D744">
        <f t="shared" si="103"/>
        <v>54</v>
      </c>
      <c r="E744">
        <f t="shared" si="101"/>
        <v>97</v>
      </c>
      <c r="F744">
        <f t="shared" si="101"/>
        <v>141</v>
      </c>
      <c r="G744">
        <f t="shared" si="101"/>
        <v>180</v>
      </c>
      <c r="H744">
        <f t="shared" si="101"/>
        <v>228</v>
      </c>
      <c r="I744">
        <f t="shared" si="101"/>
        <v>250</v>
      </c>
      <c r="J744">
        <f t="shared" si="101"/>
        <v>285</v>
      </c>
      <c r="K744">
        <f t="shared" si="102"/>
        <v>304</v>
      </c>
      <c r="L744">
        <f t="shared" si="102"/>
        <v>322</v>
      </c>
      <c r="M744">
        <f t="shared" si="102"/>
        <v>337</v>
      </c>
      <c r="N744">
        <f t="shared" si="102"/>
        <v>349</v>
      </c>
      <c r="O744">
        <f t="shared" si="102"/>
        <v>375</v>
      </c>
      <c r="P744">
        <f t="shared" si="102"/>
        <v>393</v>
      </c>
      <c r="Q744">
        <f t="shared" si="102"/>
        <v>419</v>
      </c>
      <c r="S744" t="str">
        <f t="shared" si="96"/>
        <v>04.12.2025</v>
      </c>
      <c r="T744" t="str">
        <f t="shared" si="97"/>
        <v>12:30:00</v>
      </c>
      <c r="U744" t="str">
        <f t="shared" si="99"/>
        <v>04.12.2025 12:30:00</v>
      </c>
      <c r="V744" s="9" t="str">
        <f>MID($A744,C744+C$2+1,D744-C744-C$2-1)</f>
        <v>0</v>
      </c>
      <c r="W744" s="4">
        <f>VALUE(SUBSTITUTE(MID($A744,D744+D$2+1,E744-D744-D$2-1),",","."))</f>
        <v>0.76309766393483203</v>
      </c>
      <c r="X744" s="4">
        <f>VALUE(SUBSTITUTE(MID($A744,E744+E$2+1,F744-E744-E$2-1),",","."))</f>
        <v>0.90957602214449496</v>
      </c>
      <c r="Y744" s="4">
        <f>VALUE(SUBSTITUTE(MID($A744,F744+F$2+1,G744-F744-F$2-1),",","."))</f>
        <v>0.34569981949044598</v>
      </c>
      <c r="Z744" s="3">
        <f>VALUE(SUBSTITUTE(MID($A744,G744+G$2+1,H744-G744-G$2-1),",","."))</f>
        <v>90.466666666666598</v>
      </c>
      <c r="AA744" s="3">
        <f>VALUE(SUBSTITUTE(MID($A744,H744+H$2+1,I744-H744-H$2-1),",","."))</f>
        <v>0</v>
      </c>
      <c r="AB744" s="3">
        <f>VALUE(SUBSTITUTE(MID($A744,I744+I$2+1,J744-I744-I$2-1),",","."))</f>
        <v>129</v>
      </c>
      <c r="AC744" s="3">
        <f>VALUE(SUBSTITUTE(MID($A744,J744+J$2+1,K744-J744-J$2-1),",","."))</f>
        <v>3.8</v>
      </c>
      <c r="AD744" s="3">
        <f>VALUE(SUBSTITUTE(MID($A744,K744+K$2+1,L744-K744-K$2-1),",","."))</f>
        <v>15.3</v>
      </c>
      <c r="AE744" s="3">
        <f>VALUE(SUBSTITUTE(MID($A744,L744+L$2+1,M744-L744-L$2-1),",","."))</f>
        <v>0</v>
      </c>
      <c r="AF744" s="3">
        <f>VALUE(SUBSTITUTE(MID($A744,M744+M$2+1,N744-M744-M$2-1),",","."))</f>
        <v>0</v>
      </c>
      <c r="AG744" s="3">
        <f>VALUE(SUBSTITUTE(MID($A744,N744+N$2+1,O744-N744-N$2-1),",","."))</f>
        <v>4.2245939817469003</v>
      </c>
      <c r="AH744" t="str">
        <f>MID($A744,O744+O$2+1,P744-O744-O$2-1)</f>
        <v/>
      </c>
      <c r="AI744" s="8" t="str">
        <f>MID($A744,P744+P$2+1,Q744-P744-P$2-1)</f>
        <v>False</v>
      </c>
      <c r="AK744" t="b">
        <f t="shared" si="100"/>
        <v>1</v>
      </c>
    </row>
    <row r="745" spans="1:37" x14ac:dyDescent="0.35">
      <c r="A745" t="s">
        <v>5292</v>
      </c>
      <c r="B745">
        <f t="shared" si="103"/>
        <v>10</v>
      </c>
      <c r="C745">
        <f t="shared" si="103"/>
        <v>43</v>
      </c>
      <c r="D745">
        <f t="shared" si="103"/>
        <v>54</v>
      </c>
      <c r="E745">
        <f t="shared" si="101"/>
        <v>97</v>
      </c>
      <c r="F745">
        <f t="shared" si="101"/>
        <v>141</v>
      </c>
      <c r="G745">
        <f t="shared" si="101"/>
        <v>179</v>
      </c>
      <c r="H745">
        <f t="shared" si="101"/>
        <v>227</v>
      </c>
      <c r="I745">
        <f t="shared" si="101"/>
        <v>249</v>
      </c>
      <c r="J745">
        <f t="shared" si="101"/>
        <v>284</v>
      </c>
      <c r="K745">
        <f t="shared" si="102"/>
        <v>303</v>
      </c>
      <c r="L745">
        <f t="shared" si="102"/>
        <v>321</v>
      </c>
      <c r="M745">
        <f t="shared" si="102"/>
        <v>336</v>
      </c>
      <c r="N745">
        <f t="shared" si="102"/>
        <v>348</v>
      </c>
      <c r="O745">
        <f t="shared" si="102"/>
        <v>373</v>
      </c>
      <c r="P745">
        <f t="shared" si="102"/>
        <v>391</v>
      </c>
      <c r="Q745">
        <f t="shared" si="102"/>
        <v>417</v>
      </c>
      <c r="S745" t="str">
        <f t="shared" si="96"/>
        <v>04.12.2025</v>
      </c>
      <c r="T745" t="str">
        <f t="shared" si="97"/>
        <v>12:45:00</v>
      </c>
      <c r="U745" t="str">
        <f t="shared" si="99"/>
        <v>04.12.2025 12:45:00</v>
      </c>
      <c r="V745" s="9" t="str">
        <f>MID($A745,C745+C$2+1,D745-C745-C$2-1)</f>
        <v>0</v>
      </c>
      <c r="W745" s="4">
        <f>VALUE(SUBSTITUTE(MID($A745,D745+D$2+1,E745-D745-D$2-1),",","."))</f>
        <v>0.74308369457953305</v>
      </c>
      <c r="X745" s="4">
        <f>VALUE(SUBSTITUTE(MID($A745,E745+E$2+1,F745-E745-E$2-1),",","."))</f>
        <v>0.90957602214449496</v>
      </c>
      <c r="Y745" s="4">
        <f>VALUE(SUBSTITUTE(MID($A745,F745+F$2+1,G745-F745-F$2-1),",","."))</f>
        <v>0.340360463106404</v>
      </c>
      <c r="Z745" s="3">
        <f>VALUE(SUBSTITUTE(MID($A745,G745+G$2+1,H745-G745-G$2-1),",","."))</f>
        <v>90.466666666666598</v>
      </c>
      <c r="AA745" s="3">
        <f>VALUE(SUBSTITUTE(MID($A745,H745+H$2+1,I745-H745-H$2-1),",","."))</f>
        <v>0</v>
      </c>
      <c r="AB745" s="3">
        <f>VALUE(SUBSTITUTE(MID($A745,I745+I$2+1,J745-I745-I$2-1),",","."))</f>
        <v>129</v>
      </c>
      <c r="AC745" s="3">
        <f>VALUE(SUBSTITUTE(MID($A745,J745+J$2+1,K745-J745-J$2-1),",","."))</f>
        <v>3.8</v>
      </c>
      <c r="AD745" s="3">
        <f>VALUE(SUBSTITUTE(MID($A745,K745+K$2+1,L745-K745-K$2-1),",","."))</f>
        <v>15.3</v>
      </c>
      <c r="AE745" s="3">
        <f>VALUE(SUBSTITUTE(MID($A745,L745+L$2+1,M745-L745-L$2-1),",","."))</f>
        <v>0</v>
      </c>
      <c r="AF745" s="3">
        <f>VALUE(SUBSTITUTE(MID($A745,M745+M$2+1,N745-M745-M$2-1),",","."))</f>
        <v>0</v>
      </c>
      <c r="AG745" s="3">
        <f>VALUE(SUBSTITUTE(MID($A745,N745+N$2+1,O745-N745-N$2-1),",","."))</f>
        <v>4.2246225016349799</v>
      </c>
      <c r="AH745" t="str">
        <f>MID($A745,O745+O$2+1,P745-O745-O$2-1)</f>
        <v/>
      </c>
      <c r="AI745" s="8" t="str">
        <f>MID($A745,P745+P$2+1,Q745-P745-P$2-1)</f>
        <v>False</v>
      </c>
      <c r="AK745" t="b">
        <f t="shared" si="100"/>
        <v>1</v>
      </c>
    </row>
    <row r="746" spans="1:37" x14ac:dyDescent="0.35">
      <c r="A746" t="s">
        <v>5293</v>
      </c>
      <c r="B746">
        <f t="shared" si="103"/>
        <v>10</v>
      </c>
      <c r="C746">
        <f t="shared" si="103"/>
        <v>43</v>
      </c>
      <c r="D746">
        <f t="shared" si="103"/>
        <v>54</v>
      </c>
      <c r="E746">
        <f t="shared" si="101"/>
        <v>97</v>
      </c>
      <c r="F746">
        <f t="shared" si="101"/>
        <v>141</v>
      </c>
      <c r="G746">
        <f t="shared" si="101"/>
        <v>180</v>
      </c>
      <c r="H746">
        <f t="shared" si="101"/>
        <v>228</v>
      </c>
      <c r="I746">
        <f t="shared" si="101"/>
        <v>250</v>
      </c>
      <c r="J746">
        <f t="shared" si="101"/>
        <v>285</v>
      </c>
      <c r="K746">
        <f t="shared" si="102"/>
        <v>304</v>
      </c>
      <c r="L746">
        <f t="shared" si="102"/>
        <v>322</v>
      </c>
      <c r="M746">
        <f t="shared" si="102"/>
        <v>337</v>
      </c>
      <c r="N746">
        <f t="shared" si="102"/>
        <v>349</v>
      </c>
      <c r="O746">
        <f t="shared" si="102"/>
        <v>374</v>
      </c>
      <c r="P746">
        <f t="shared" si="102"/>
        <v>392</v>
      </c>
      <c r="Q746">
        <f t="shared" si="102"/>
        <v>418</v>
      </c>
      <c r="S746" t="str">
        <f t="shared" si="96"/>
        <v>04.12.2025</v>
      </c>
      <c r="T746" t="str">
        <f t="shared" si="97"/>
        <v>13:00:00</v>
      </c>
      <c r="U746" t="str">
        <f t="shared" si="99"/>
        <v>04.12.2025 13:00:00</v>
      </c>
      <c r="V746" s="9" t="str">
        <f>MID($A746,C746+C$2+1,D746-C746-C$2-1)</f>
        <v>0</v>
      </c>
      <c r="W746" s="4">
        <f>VALUE(SUBSTITUTE(MID($A746,D746+D$2+1,E746-D746-D$2-1),",","."))</f>
        <v>0.71950833290465099</v>
      </c>
      <c r="X746" s="4">
        <f>VALUE(SUBSTITUTE(MID($A746,E746+E$2+1,F746-E746-E$2-1),",","."))</f>
        <v>0.90957602214449496</v>
      </c>
      <c r="Y746" s="4">
        <f>VALUE(SUBSTITUTE(MID($A746,F746+F$2+1,G746-F746-F$2-1),",","."))</f>
        <v>0.33238139783377801</v>
      </c>
      <c r="Z746" s="3">
        <f>VALUE(SUBSTITUTE(MID($A746,G746+G$2+1,H746-G746-G$2-1),",","."))</f>
        <v>90.466666666666598</v>
      </c>
      <c r="AA746" s="3">
        <f>VALUE(SUBSTITUTE(MID($A746,H746+H$2+1,I746-H746-H$2-1),",","."))</f>
        <v>0</v>
      </c>
      <c r="AB746" s="3">
        <f>VALUE(SUBSTITUTE(MID($A746,I746+I$2+1,J746-I746-I$2-1),",","."))</f>
        <v>129</v>
      </c>
      <c r="AC746" s="3">
        <f>VALUE(SUBSTITUTE(MID($A746,J746+J$2+1,K746-J746-J$2-1),",","."))</f>
        <v>3.8</v>
      </c>
      <c r="AD746" s="3">
        <f>VALUE(SUBSTITUTE(MID($A746,K746+K$2+1,L746-K746-K$2-1),",","."))</f>
        <v>15.3</v>
      </c>
      <c r="AE746" s="3">
        <f>VALUE(SUBSTITUTE(MID($A746,L746+L$2+1,M746-L746-L$2-1),",","."))</f>
        <v>0</v>
      </c>
      <c r="AF746" s="3">
        <f>VALUE(SUBSTITUTE(MID($A746,M746+M$2+1,N746-M746-M$2-1),",","."))</f>
        <v>0</v>
      </c>
      <c r="AG746" s="3">
        <f>VALUE(SUBSTITUTE(MID($A746,N746+N$2+1,O746-N746-N$2-1),",","."))</f>
        <v>4.2246510215230604</v>
      </c>
      <c r="AH746" t="str">
        <f>MID($A746,O746+O$2+1,P746-O746-O$2-1)</f>
        <v/>
      </c>
      <c r="AI746" s="8" t="str">
        <f>MID($A746,P746+P$2+1,Q746-P746-P$2-1)</f>
        <v>False</v>
      </c>
      <c r="AK746" t="b">
        <f t="shared" si="100"/>
        <v>1</v>
      </c>
    </row>
    <row r="747" spans="1:37" x14ac:dyDescent="0.35">
      <c r="A747" t="s">
        <v>5294</v>
      </c>
      <c r="B747">
        <f t="shared" si="103"/>
        <v>10</v>
      </c>
      <c r="C747">
        <f t="shared" si="103"/>
        <v>43</v>
      </c>
      <c r="D747">
        <f t="shared" si="103"/>
        <v>54</v>
      </c>
      <c r="E747">
        <f t="shared" si="101"/>
        <v>97</v>
      </c>
      <c r="F747">
        <f t="shared" si="101"/>
        <v>141</v>
      </c>
      <c r="G747">
        <f t="shared" si="101"/>
        <v>180</v>
      </c>
      <c r="H747">
        <f t="shared" si="101"/>
        <v>228</v>
      </c>
      <c r="I747">
        <f t="shared" si="101"/>
        <v>250</v>
      </c>
      <c r="J747">
        <f t="shared" si="101"/>
        <v>285</v>
      </c>
      <c r="K747">
        <f t="shared" si="102"/>
        <v>304</v>
      </c>
      <c r="L747">
        <f t="shared" si="102"/>
        <v>322</v>
      </c>
      <c r="M747">
        <f t="shared" si="102"/>
        <v>337</v>
      </c>
      <c r="N747">
        <f t="shared" si="102"/>
        <v>349</v>
      </c>
      <c r="O747">
        <f t="shared" si="102"/>
        <v>374</v>
      </c>
      <c r="P747">
        <f t="shared" si="102"/>
        <v>392</v>
      </c>
      <c r="Q747">
        <f t="shared" si="102"/>
        <v>418</v>
      </c>
      <c r="S747" t="str">
        <f t="shared" si="96"/>
        <v>04.12.2025</v>
      </c>
      <c r="T747" t="str">
        <f t="shared" si="97"/>
        <v>13:15:00</v>
      </c>
      <c r="U747" t="str">
        <f t="shared" si="99"/>
        <v>04.12.2025 13:15:00</v>
      </c>
      <c r="V747" s="9" t="str">
        <f>MID($A747,C747+C$2+1,D747-C747-C$2-1)</f>
        <v>0</v>
      </c>
      <c r="W747" s="4">
        <f>VALUE(SUBSTITUTE(MID($A747,D747+D$2+1,E747-D747-D$2-1),",","."))</f>
        <v>0.69247330474633395</v>
      </c>
      <c r="X747" s="4">
        <f>VALUE(SUBSTITUTE(MID($A747,E747+E$2+1,F747-E747-E$2-1),",","."))</f>
        <v>0.90957602214449496</v>
      </c>
      <c r="Y747" s="4">
        <f>VALUE(SUBSTITUTE(MID($A747,F747+F$2+1,G747-F747-F$2-1),",","."))</f>
        <v>0.32179770880773301</v>
      </c>
      <c r="Z747" s="3">
        <f>VALUE(SUBSTITUTE(MID($A747,G747+G$2+1,H747-G747-G$2-1),",","."))</f>
        <v>90.466666666666598</v>
      </c>
      <c r="AA747" s="3">
        <f>VALUE(SUBSTITUTE(MID($A747,H747+H$2+1,I747-H747-H$2-1),",","."))</f>
        <v>0</v>
      </c>
      <c r="AB747" s="3">
        <f>VALUE(SUBSTITUTE(MID($A747,I747+I$2+1,J747-I747-I$2-1),",","."))</f>
        <v>129</v>
      </c>
      <c r="AC747" s="3">
        <f>VALUE(SUBSTITUTE(MID($A747,J747+J$2+1,K747-J747-J$2-1),",","."))</f>
        <v>3.8</v>
      </c>
      <c r="AD747" s="3">
        <f>VALUE(SUBSTITUTE(MID($A747,K747+K$2+1,L747-K747-K$2-1),",","."))</f>
        <v>15.3</v>
      </c>
      <c r="AE747" s="3">
        <f>VALUE(SUBSTITUTE(MID($A747,L747+L$2+1,M747-L747-L$2-1),",","."))</f>
        <v>0</v>
      </c>
      <c r="AF747" s="3">
        <f>VALUE(SUBSTITUTE(MID($A747,M747+M$2+1,N747-M747-M$2-1),",","."))</f>
        <v>0</v>
      </c>
      <c r="AG747" s="3">
        <f>VALUE(SUBSTITUTE(MID($A747,N747+N$2+1,O747-N747-N$2-1),",","."))</f>
        <v>4.2246795414111498</v>
      </c>
      <c r="AH747" t="str">
        <f>MID($A747,O747+O$2+1,P747-O747-O$2-1)</f>
        <v/>
      </c>
      <c r="AI747" s="8" t="str">
        <f>MID($A747,P747+P$2+1,Q747-P747-P$2-1)</f>
        <v>False</v>
      </c>
      <c r="AK747" t="b">
        <f t="shared" si="100"/>
        <v>1</v>
      </c>
    </row>
    <row r="748" spans="1:37" x14ac:dyDescent="0.35">
      <c r="A748" t="s">
        <v>5295</v>
      </c>
      <c r="B748">
        <f t="shared" si="103"/>
        <v>10</v>
      </c>
      <c r="C748">
        <f t="shared" si="103"/>
        <v>43</v>
      </c>
      <c r="D748">
        <f t="shared" si="103"/>
        <v>54</v>
      </c>
      <c r="E748">
        <f t="shared" si="101"/>
        <v>97</v>
      </c>
      <c r="F748">
        <f t="shared" si="101"/>
        <v>141</v>
      </c>
      <c r="G748">
        <f t="shared" si="101"/>
        <v>180</v>
      </c>
      <c r="H748">
        <f t="shared" si="101"/>
        <v>215</v>
      </c>
      <c r="I748">
        <f t="shared" si="101"/>
        <v>237</v>
      </c>
      <c r="J748">
        <f t="shared" si="101"/>
        <v>272</v>
      </c>
      <c r="K748">
        <f t="shared" si="102"/>
        <v>292</v>
      </c>
      <c r="L748">
        <f t="shared" si="102"/>
        <v>324</v>
      </c>
      <c r="M748">
        <f t="shared" si="102"/>
        <v>339</v>
      </c>
      <c r="N748">
        <f t="shared" si="102"/>
        <v>351</v>
      </c>
      <c r="O748">
        <f t="shared" si="102"/>
        <v>376</v>
      </c>
      <c r="P748">
        <f t="shared" si="102"/>
        <v>394</v>
      </c>
      <c r="Q748">
        <f t="shared" si="102"/>
        <v>420</v>
      </c>
      <c r="S748" t="str">
        <f t="shared" si="96"/>
        <v>04.12.2025</v>
      </c>
      <c r="T748" t="str">
        <f t="shared" si="97"/>
        <v>13:30:00</v>
      </c>
      <c r="U748" t="str">
        <f t="shared" si="99"/>
        <v>04.12.2025 13:30:00</v>
      </c>
      <c r="V748" s="9" t="str">
        <f>MID($A748,C748+C$2+1,D748-C748-C$2-1)</f>
        <v>0</v>
      </c>
      <c r="W748" s="4">
        <f>VALUE(SUBSTITUTE(MID($A748,D748+D$2+1,E748-D748-D$2-1),",","."))</f>
        <v>0.66209552509700897</v>
      </c>
      <c r="X748" s="4">
        <f>VALUE(SUBSTITUTE(MID($A748,E748+E$2+1,F748-E748-E$2-1),",","."))</f>
        <v>0.90957602214449496</v>
      </c>
      <c r="Y748" s="4">
        <f>VALUE(SUBSTITUTE(MID($A748,F748+F$2+1,G748-F748-F$2-1),",","."))</f>
        <v>0.30865609518583498</v>
      </c>
      <c r="Z748" s="3">
        <f>VALUE(SUBSTITUTE(MID($A748,G748+G$2+1,H748-G748-G$2-1),",","."))</f>
        <v>82.5</v>
      </c>
      <c r="AA748" s="3">
        <f>VALUE(SUBSTITUTE(MID($A748,H748+H$2+1,I748-H748-H$2-1),",","."))</f>
        <v>0</v>
      </c>
      <c r="AB748" s="3">
        <f>VALUE(SUBSTITUTE(MID($A748,I748+I$2+1,J748-I748-I$2-1),",","."))</f>
        <v>114</v>
      </c>
      <c r="AC748" s="3">
        <f>VALUE(SUBSTITUTE(MID($A748,J748+J$2+1,K748-J748-J$2-1),",","."))</f>
        <v>3.75</v>
      </c>
      <c r="AD748" s="3">
        <f>VALUE(SUBSTITUTE(MID($A748,K748+K$2+1,L748-K748-K$2-1),",","."))</f>
        <v>14.7599999999999</v>
      </c>
      <c r="AE748" s="3">
        <f>VALUE(SUBSTITUTE(MID($A748,L748+L$2+1,M748-L748-L$2-1),",","."))</f>
        <v>0</v>
      </c>
      <c r="AF748" s="3">
        <f>VALUE(SUBSTITUTE(MID($A748,M748+M$2+1,N748-M748-M$2-1),",","."))</f>
        <v>0</v>
      </c>
      <c r="AG748" s="3">
        <f>VALUE(SUBSTITUTE(MID($A748,N748+N$2+1,O748-N748-N$2-1),",","."))</f>
        <v>4.2247080612992303</v>
      </c>
      <c r="AH748" t="str">
        <f>MID($A748,O748+O$2+1,P748-O748-O$2-1)</f>
        <v/>
      </c>
      <c r="AI748" s="8" t="str">
        <f>MID($A748,P748+P$2+1,Q748-P748-P$2-1)</f>
        <v>False</v>
      </c>
      <c r="AK748" t="b">
        <f t="shared" si="100"/>
        <v>1</v>
      </c>
    </row>
    <row r="749" spans="1:37" x14ac:dyDescent="0.35">
      <c r="A749" t="s">
        <v>5296</v>
      </c>
      <c r="B749">
        <f t="shared" si="103"/>
        <v>10</v>
      </c>
      <c r="C749">
        <f t="shared" si="103"/>
        <v>43</v>
      </c>
      <c r="D749">
        <f t="shared" si="103"/>
        <v>54</v>
      </c>
      <c r="E749">
        <f t="shared" si="101"/>
        <v>97</v>
      </c>
      <c r="F749">
        <f t="shared" si="101"/>
        <v>141</v>
      </c>
      <c r="G749">
        <f t="shared" si="101"/>
        <v>180</v>
      </c>
      <c r="H749">
        <f t="shared" si="101"/>
        <v>215</v>
      </c>
      <c r="I749">
        <f t="shared" si="101"/>
        <v>237</v>
      </c>
      <c r="J749">
        <f t="shared" si="101"/>
        <v>272</v>
      </c>
      <c r="K749">
        <f t="shared" si="102"/>
        <v>292</v>
      </c>
      <c r="L749">
        <f t="shared" si="102"/>
        <v>324</v>
      </c>
      <c r="M749">
        <f t="shared" si="102"/>
        <v>339</v>
      </c>
      <c r="N749">
        <f t="shared" si="102"/>
        <v>351</v>
      </c>
      <c r="O749">
        <f t="shared" si="102"/>
        <v>376</v>
      </c>
      <c r="P749">
        <f t="shared" si="102"/>
        <v>394</v>
      </c>
      <c r="Q749">
        <f t="shared" si="102"/>
        <v>420</v>
      </c>
      <c r="S749" t="str">
        <f t="shared" si="96"/>
        <v>04.12.2025</v>
      </c>
      <c r="T749" t="str">
        <f t="shared" si="97"/>
        <v>13:45:00</v>
      </c>
      <c r="U749" t="str">
        <f t="shared" si="99"/>
        <v>04.12.2025 13:45:00</v>
      </c>
      <c r="V749" s="9" t="str">
        <f>MID($A749,C749+C$2+1,D749-C749-C$2-1)</f>
        <v>0</v>
      </c>
      <c r="W749" s="4">
        <f>VALUE(SUBSTITUTE(MID($A749,D749+D$2+1,E749-D749-D$2-1),",","."))</f>
        <v>0.62850673487685405</v>
      </c>
      <c r="X749" s="4">
        <f>VALUE(SUBSTITUTE(MID($A749,E749+E$2+1,F749-E749-E$2-1),",","."))</f>
        <v>0.90957602214449496</v>
      </c>
      <c r="Y749" s="4">
        <f>VALUE(SUBSTITUTE(MID($A749,F749+F$2+1,G749-F749-F$2-1),",","."))</f>
        <v>0.293014837151922</v>
      </c>
      <c r="Z749" s="3">
        <f>VALUE(SUBSTITUTE(MID($A749,G749+G$2+1,H749-G749-G$2-1),",","."))</f>
        <v>82.5</v>
      </c>
      <c r="AA749" s="3">
        <f>VALUE(SUBSTITUTE(MID($A749,H749+H$2+1,I749-H749-H$2-1),",","."))</f>
        <v>0</v>
      </c>
      <c r="AB749" s="3">
        <f>VALUE(SUBSTITUTE(MID($A749,I749+I$2+1,J749-I749-I$2-1),",","."))</f>
        <v>114</v>
      </c>
      <c r="AC749" s="3">
        <f>VALUE(SUBSTITUTE(MID($A749,J749+J$2+1,K749-J749-J$2-1),",","."))</f>
        <v>3.75</v>
      </c>
      <c r="AD749" s="3">
        <f>VALUE(SUBSTITUTE(MID($A749,K749+K$2+1,L749-K749-K$2-1),",","."))</f>
        <v>14.7599999999999</v>
      </c>
      <c r="AE749" s="3">
        <f>VALUE(SUBSTITUTE(MID($A749,L749+L$2+1,M749-L749-L$2-1),",","."))</f>
        <v>0</v>
      </c>
      <c r="AF749" s="3">
        <f>VALUE(SUBSTITUTE(MID($A749,M749+M$2+1,N749-M749-M$2-1),",","."))</f>
        <v>0</v>
      </c>
      <c r="AG749" s="3">
        <f>VALUE(SUBSTITUTE(MID($A749,N749+N$2+1,O749-N749-N$2-1),",","."))</f>
        <v>4.2247365811873099</v>
      </c>
      <c r="AH749" t="str">
        <f>MID($A749,O749+O$2+1,P749-O749-O$2-1)</f>
        <v/>
      </c>
      <c r="AI749" s="8" t="str">
        <f>MID($A749,P749+P$2+1,Q749-P749-P$2-1)</f>
        <v>False</v>
      </c>
      <c r="AK749" t="b">
        <f t="shared" si="100"/>
        <v>1</v>
      </c>
    </row>
    <row r="750" spans="1:37" x14ac:dyDescent="0.35">
      <c r="A750" t="s">
        <v>5297</v>
      </c>
      <c r="B750">
        <f t="shared" si="103"/>
        <v>10</v>
      </c>
      <c r="C750">
        <f t="shared" si="103"/>
        <v>43</v>
      </c>
      <c r="D750">
        <f t="shared" si="103"/>
        <v>54</v>
      </c>
      <c r="E750">
        <f t="shared" si="101"/>
        <v>96</v>
      </c>
      <c r="F750">
        <f t="shared" si="101"/>
        <v>140</v>
      </c>
      <c r="G750">
        <f t="shared" si="101"/>
        <v>179</v>
      </c>
      <c r="H750">
        <f t="shared" si="101"/>
        <v>214</v>
      </c>
      <c r="I750">
        <f t="shared" si="101"/>
        <v>236</v>
      </c>
      <c r="J750">
        <f t="shared" si="101"/>
        <v>271</v>
      </c>
      <c r="K750">
        <f t="shared" si="102"/>
        <v>291</v>
      </c>
      <c r="L750">
        <f t="shared" si="102"/>
        <v>323</v>
      </c>
      <c r="M750">
        <f t="shared" si="102"/>
        <v>338</v>
      </c>
      <c r="N750">
        <f t="shared" si="102"/>
        <v>350</v>
      </c>
      <c r="O750">
        <f t="shared" si="102"/>
        <v>375</v>
      </c>
      <c r="P750">
        <f t="shared" si="102"/>
        <v>393</v>
      </c>
      <c r="Q750">
        <f t="shared" si="102"/>
        <v>419</v>
      </c>
      <c r="S750" t="str">
        <f t="shared" si="96"/>
        <v>04.12.2025</v>
      </c>
      <c r="T750" t="str">
        <f t="shared" si="97"/>
        <v>14:00:00</v>
      </c>
      <c r="U750" t="str">
        <f t="shared" si="99"/>
        <v>04.12.2025 14:00:00</v>
      </c>
      <c r="V750" s="9" t="str">
        <f>MID($A750,C750+C$2+1,D750-C750-C$2-1)</f>
        <v>0</v>
      </c>
      <c r="W750" s="4">
        <f>VALUE(SUBSTITUTE(MID($A750,D750+D$2+1,E750-D750-D$2-1),",","."))</f>
        <v>0.591853161030377</v>
      </c>
      <c r="X750" s="4">
        <f>VALUE(SUBSTITUTE(MID($A750,E750+E$2+1,F750-E750-E$2-1),",","."))</f>
        <v>0.90957602214449496</v>
      </c>
      <c r="Y750" s="4">
        <f>VALUE(SUBSTITUTE(MID($A750,F750+F$2+1,G750-F750-F$2-1),",","."))</f>
        <v>0.27494381895152498</v>
      </c>
      <c r="Z750" s="3">
        <f>VALUE(SUBSTITUTE(MID($A750,G750+G$2+1,H750-G750-G$2-1),",","."))</f>
        <v>82.5</v>
      </c>
      <c r="AA750" s="3">
        <f>VALUE(SUBSTITUTE(MID($A750,H750+H$2+1,I750-H750-H$2-1),",","."))</f>
        <v>0</v>
      </c>
      <c r="AB750" s="3">
        <f>VALUE(SUBSTITUTE(MID($A750,I750+I$2+1,J750-I750-I$2-1),",","."))</f>
        <v>114</v>
      </c>
      <c r="AC750" s="3">
        <f>VALUE(SUBSTITUTE(MID($A750,J750+J$2+1,K750-J750-J$2-1),",","."))</f>
        <v>3.75</v>
      </c>
      <c r="AD750" s="3">
        <f>VALUE(SUBSTITUTE(MID($A750,K750+K$2+1,L750-K750-K$2-1),",","."))</f>
        <v>14.7599999999999</v>
      </c>
      <c r="AE750" s="3">
        <f>VALUE(SUBSTITUTE(MID($A750,L750+L$2+1,M750-L750-L$2-1),",","."))</f>
        <v>0</v>
      </c>
      <c r="AF750" s="3">
        <f>VALUE(SUBSTITUTE(MID($A750,M750+M$2+1,N750-M750-M$2-1),",","."))</f>
        <v>0</v>
      </c>
      <c r="AG750" s="3">
        <f>VALUE(SUBSTITUTE(MID($A750,N750+N$2+1,O750-N750-N$2-1),",","."))</f>
        <v>4.2247651010753904</v>
      </c>
      <c r="AH750" t="str">
        <f>MID($A750,O750+O$2+1,P750-O750-O$2-1)</f>
        <v/>
      </c>
      <c r="AI750" s="8" t="str">
        <f>MID($A750,P750+P$2+1,Q750-P750-P$2-1)</f>
        <v>False</v>
      </c>
      <c r="AK750" t="b">
        <f t="shared" si="100"/>
        <v>1</v>
      </c>
    </row>
    <row r="751" spans="1:37" x14ac:dyDescent="0.35">
      <c r="A751" t="s">
        <v>5298</v>
      </c>
      <c r="B751">
        <f t="shared" si="103"/>
        <v>10</v>
      </c>
      <c r="C751">
        <f t="shared" si="103"/>
        <v>43</v>
      </c>
      <c r="D751">
        <f t="shared" si="103"/>
        <v>54</v>
      </c>
      <c r="E751">
        <f t="shared" si="101"/>
        <v>97</v>
      </c>
      <c r="F751">
        <f t="shared" si="101"/>
        <v>141</v>
      </c>
      <c r="G751">
        <f t="shared" si="101"/>
        <v>179</v>
      </c>
      <c r="H751">
        <f t="shared" si="101"/>
        <v>214</v>
      </c>
      <c r="I751">
        <f t="shared" si="101"/>
        <v>236</v>
      </c>
      <c r="J751">
        <f t="shared" si="101"/>
        <v>271</v>
      </c>
      <c r="K751">
        <f t="shared" si="102"/>
        <v>291</v>
      </c>
      <c r="L751">
        <f t="shared" si="102"/>
        <v>323</v>
      </c>
      <c r="M751">
        <f t="shared" si="102"/>
        <v>338</v>
      </c>
      <c r="N751">
        <f t="shared" si="102"/>
        <v>350</v>
      </c>
      <c r="O751">
        <f t="shared" si="102"/>
        <v>375</v>
      </c>
      <c r="P751">
        <f t="shared" si="102"/>
        <v>393</v>
      </c>
      <c r="Q751">
        <f t="shared" si="102"/>
        <v>419</v>
      </c>
      <c r="S751" t="str">
        <f t="shared" si="96"/>
        <v>04.12.2025</v>
      </c>
      <c r="T751" t="str">
        <f t="shared" si="97"/>
        <v>14:15:00</v>
      </c>
      <c r="U751" t="str">
        <f t="shared" si="99"/>
        <v>04.12.2025 14:15:00</v>
      </c>
      <c r="V751" s="9" t="str">
        <f>MID($A751,C751+C$2+1,D751-C751-C$2-1)</f>
        <v>0</v>
      </c>
      <c r="W751" s="4">
        <f>VALUE(SUBSTITUTE(MID($A751,D751+D$2+1,E751-D751-D$2-1),",","."))</f>
        <v>0.55229526417337405</v>
      </c>
      <c r="X751" s="4">
        <f>VALUE(SUBSTITUTE(MID($A751,E751+E$2+1,F751-E751-E$2-1),",","."))</f>
        <v>0.90957602214449496</v>
      </c>
      <c r="Y751" s="4">
        <f>VALUE(SUBSTITUTE(MID($A751,F751+F$2+1,G751-F751-F$2-1),",","."))</f>
        <v>0.25452468384028598</v>
      </c>
      <c r="Z751" s="3">
        <f>VALUE(SUBSTITUTE(MID($A751,G751+G$2+1,H751-G751-G$2-1),",","."))</f>
        <v>82.5</v>
      </c>
      <c r="AA751" s="3">
        <f>VALUE(SUBSTITUTE(MID($A751,H751+H$2+1,I751-H751-H$2-1),",","."))</f>
        <v>0</v>
      </c>
      <c r="AB751" s="3">
        <f>VALUE(SUBSTITUTE(MID($A751,I751+I$2+1,J751-I751-I$2-1),",","."))</f>
        <v>114</v>
      </c>
      <c r="AC751" s="3">
        <f>VALUE(SUBSTITUTE(MID($A751,J751+J$2+1,K751-J751-J$2-1),",","."))</f>
        <v>3.75</v>
      </c>
      <c r="AD751" s="3">
        <f>VALUE(SUBSTITUTE(MID($A751,K751+K$2+1,L751-K751-K$2-1),",","."))</f>
        <v>14.7599999999999</v>
      </c>
      <c r="AE751" s="3">
        <f>VALUE(SUBSTITUTE(MID($A751,L751+L$2+1,M751-L751-L$2-1),",","."))</f>
        <v>0</v>
      </c>
      <c r="AF751" s="3">
        <f>VALUE(SUBSTITUTE(MID($A751,M751+M$2+1,N751-M751-M$2-1),",","."))</f>
        <v>0</v>
      </c>
      <c r="AG751" s="3">
        <f>VALUE(SUBSTITUTE(MID($A751,N751+N$2+1,O751-N751-N$2-1),",","."))</f>
        <v>4.22479362096347</v>
      </c>
      <c r="AH751" t="str">
        <f>MID($A751,O751+O$2+1,P751-O751-O$2-1)</f>
        <v/>
      </c>
      <c r="AI751" s="8" t="str">
        <f>MID($A751,P751+P$2+1,Q751-P751-P$2-1)</f>
        <v>False</v>
      </c>
      <c r="AK751" t="b">
        <f t="shared" si="100"/>
        <v>1</v>
      </c>
    </row>
    <row r="752" spans="1:37" x14ac:dyDescent="0.35">
      <c r="A752" t="s">
        <v>5299</v>
      </c>
      <c r="B752">
        <f t="shared" si="103"/>
        <v>10</v>
      </c>
      <c r="C752">
        <f t="shared" si="103"/>
        <v>43</v>
      </c>
      <c r="D752">
        <f t="shared" si="103"/>
        <v>54</v>
      </c>
      <c r="E752">
        <f t="shared" si="101"/>
        <v>97</v>
      </c>
      <c r="F752">
        <f t="shared" si="101"/>
        <v>141</v>
      </c>
      <c r="G752">
        <f t="shared" si="101"/>
        <v>179</v>
      </c>
      <c r="H752">
        <f t="shared" si="101"/>
        <v>227</v>
      </c>
      <c r="I752">
        <f t="shared" si="101"/>
        <v>249</v>
      </c>
      <c r="J752">
        <f t="shared" si="101"/>
        <v>283</v>
      </c>
      <c r="K752">
        <f t="shared" si="102"/>
        <v>303</v>
      </c>
      <c r="L752">
        <f t="shared" si="102"/>
        <v>322</v>
      </c>
      <c r="M752">
        <f t="shared" si="102"/>
        <v>337</v>
      </c>
      <c r="N752">
        <f t="shared" si="102"/>
        <v>349</v>
      </c>
      <c r="O752">
        <f t="shared" si="102"/>
        <v>375</v>
      </c>
      <c r="P752">
        <f t="shared" si="102"/>
        <v>393</v>
      </c>
      <c r="Q752">
        <f t="shared" si="102"/>
        <v>419</v>
      </c>
      <c r="S752" t="str">
        <f t="shared" si="96"/>
        <v>04.12.2025</v>
      </c>
      <c r="T752" t="str">
        <f t="shared" si="97"/>
        <v>14:30:00</v>
      </c>
      <c r="U752" t="str">
        <f t="shared" si="99"/>
        <v>04.12.2025 14:30:00</v>
      </c>
      <c r="V752" s="9" t="str">
        <f>MID($A752,C752+C$2+1,D752-C752-C$2-1)</f>
        <v>0</v>
      </c>
      <c r="W752" s="4">
        <f>VALUE(SUBSTITUTE(MID($A752,D752+D$2+1,E752-D752-D$2-1),",","."))</f>
        <v>0.51000769665262702</v>
      </c>
      <c r="X752" s="4">
        <f>VALUE(SUBSTITUTE(MID($A752,E752+E$2+1,F752-E752-E$2-1),",","."))</f>
        <v>0.90957602214449496</v>
      </c>
      <c r="Y752" s="4">
        <f>VALUE(SUBSTITUTE(MID($A752,F752+F$2+1,G752-F752-F$2-1),",","."))</f>
        <v>0.23185126838252601</v>
      </c>
      <c r="Z752" s="3">
        <f>VALUE(SUBSTITUTE(MID($A752,G752+G$2+1,H752-G752-G$2-1),",","."))</f>
        <v>67.649999999999906</v>
      </c>
      <c r="AA752" s="3">
        <f>VALUE(SUBSTITUTE(MID($A752,H752+H$2+1,I752-H752-H$2-1),",","."))</f>
        <v>0</v>
      </c>
      <c r="AB752" s="3">
        <f>VALUE(SUBSTITUTE(MID($A752,I752+I$2+1,J752-I752-I$2-1),",","."))</f>
        <v>84</v>
      </c>
      <c r="AC752" s="3">
        <f>VALUE(SUBSTITUTE(MID($A752,J752+J$2+1,K752-J752-J$2-1),",","."))</f>
        <v>3.45</v>
      </c>
      <c r="AD752" s="3">
        <f>VALUE(SUBSTITUTE(MID($A752,K752+K$2+1,L752-K752-K$2-1),",","."))</f>
        <v>12.96</v>
      </c>
      <c r="AE752" s="3">
        <f>VALUE(SUBSTITUTE(MID($A752,L752+L$2+1,M752-L752-L$2-1),",","."))</f>
        <v>0</v>
      </c>
      <c r="AF752" s="3">
        <f>VALUE(SUBSTITUTE(MID($A752,M752+M$2+1,N752-M752-M$2-1),",","."))</f>
        <v>0</v>
      </c>
      <c r="AG752" s="3">
        <f>VALUE(SUBSTITUTE(MID($A752,N752+N$2+1,O752-N752-N$2-1),",","."))</f>
        <v>4.2248221408515496</v>
      </c>
      <c r="AH752" t="str">
        <f>MID($A752,O752+O$2+1,P752-O752-O$2-1)</f>
        <v/>
      </c>
      <c r="AI752" s="8" t="str">
        <f>MID($A752,P752+P$2+1,Q752-P752-P$2-1)</f>
        <v>False</v>
      </c>
      <c r="AK752" t="b">
        <f t="shared" si="100"/>
        <v>1</v>
      </c>
    </row>
    <row r="753" spans="1:37" x14ac:dyDescent="0.35">
      <c r="A753" t="s">
        <v>5300</v>
      </c>
      <c r="B753">
        <f t="shared" si="103"/>
        <v>10</v>
      </c>
      <c r="C753">
        <f t="shared" si="103"/>
        <v>43</v>
      </c>
      <c r="D753">
        <f t="shared" si="103"/>
        <v>54</v>
      </c>
      <c r="E753">
        <f t="shared" si="101"/>
        <v>97</v>
      </c>
      <c r="F753">
        <f t="shared" si="101"/>
        <v>141</v>
      </c>
      <c r="G753">
        <f t="shared" si="101"/>
        <v>180</v>
      </c>
      <c r="H753">
        <f t="shared" si="101"/>
        <v>228</v>
      </c>
      <c r="I753">
        <f t="shared" si="101"/>
        <v>250</v>
      </c>
      <c r="J753">
        <f t="shared" si="101"/>
        <v>284</v>
      </c>
      <c r="K753">
        <f t="shared" si="102"/>
        <v>304</v>
      </c>
      <c r="L753">
        <f t="shared" si="102"/>
        <v>323</v>
      </c>
      <c r="M753">
        <f t="shared" si="102"/>
        <v>338</v>
      </c>
      <c r="N753">
        <f t="shared" si="102"/>
        <v>350</v>
      </c>
      <c r="O753">
        <f t="shared" si="102"/>
        <v>375</v>
      </c>
      <c r="P753">
        <f t="shared" si="102"/>
        <v>393</v>
      </c>
      <c r="Q753">
        <f t="shared" si="102"/>
        <v>419</v>
      </c>
      <c r="S753" t="str">
        <f t="shared" si="96"/>
        <v>04.12.2025</v>
      </c>
      <c r="T753" t="str">
        <f t="shared" si="97"/>
        <v>14:45:00</v>
      </c>
      <c r="U753" t="str">
        <f t="shared" si="99"/>
        <v>04.12.2025 14:45:00</v>
      </c>
      <c r="V753" s="9" t="str">
        <f>MID($A753,C753+C$2+1,D753-C753-C$2-1)</f>
        <v>0</v>
      </c>
      <c r="W753" s="4">
        <f>VALUE(SUBSTITUTE(MID($A753,D753+D$2+1,E753-D753-D$2-1),",","."))</f>
        <v>0.46517972284606901</v>
      </c>
      <c r="X753" s="4">
        <f>VALUE(SUBSTITUTE(MID($A753,E753+E$2+1,F753-E753-E$2-1),",","."))</f>
        <v>0.90957602214449496</v>
      </c>
      <c r="Y753" s="4">
        <f>VALUE(SUBSTITUTE(MID($A753,F753+F$2+1,G753-F753-F$2-1),",","."))</f>
        <v>0.20703062015855</v>
      </c>
      <c r="Z753" s="3">
        <f>VALUE(SUBSTITUTE(MID($A753,G753+G$2+1,H753-G753-G$2-1),",","."))</f>
        <v>67.649999999999906</v>
      </c>
      <c r="AA753" s="3">
        <f>VALUE(SUBSTITUTE(MID($A753,H753+H$2+1,I753-H753-H$2-1),",","."))</f>
        <v>0</v>
      </c>
      <c r="AB753" s="3">
        <f>VALUE(SUBSTITUTE(MID($A753,I753+I$2+1,J753-I753-I$2-1),",","."))</f>
        <v>84</v>
      </c>
      <c r="AC753" s="3">
        <f>VALUE(SUBSTITUTE(MID($A753,J753+J$2+1,K753-J753-J$2-1),",","."))</f>
        <v>3.45</v>
      </c>
      <c r="AD753" s="3">
        <f>VALUE(SUBSTITUTE(MID($A753,K753+K$2+1,L753-K753-K$2-1),",","."))</f>
        <v>12.96</v>
      </c>
      <c r="AE753" s="3">
        <f>VALUE(SUBSTITUTE(MID($A753,L753+L$2+1,M753-L753-L$2-1),",","."))</f>
        <v>0</v>
      </c>
      <c r="AF753" s="3">
        <f>VALUE(SUBSTITUTE(MID($A753,M753+M$2+1,N753-M753-M$2-1),",","."))</f>
        <v>0</v>
      </c>
      <c r="AG753" s="3">
        <f>VALUE(SUBSTITUTE(MID($A753,N753+N$2+1,O753-N753-N$2-1),",","."))</f>
        <v>4.2248506607396399</v>
      </c>
      <c r="AH753" t="str">
        <f>MID($A753,O753+O$2+1,P753-O753-O$2-1)</f>
        <v/>
      </c>
      <c r="AI753" s="8" t="str">
        <f>MID($A753,P753+P$2+1,Q753-P753-P$2-1)</f>
        <v>False</v>
      </c>
      <c r="AK753" t="b">
        <f t="shared" si="100"/>
        <v>1</v>
      </c>
    </row>
    <row r="754" spans="1:37" x14ac:dyDescent="0.35">
      <c r="A754" t="s">
        <v>5301</v>
      </c>
      <c r="B754">
        <f t="shared" si="103"/>
        <v>10</v>
      </c>
      <c r="C754">
        <f t="shared" si="103"/>
        <v>43</v>
      </c>
      <c r="D754">
        <f t="shared" si="103"/>
        <v>54</v>
      </c>
      <c r="E754">
        <f t="shared" si="101"/>
        <v>97</v>
      </c>
      <c r="F754">
        <f t="shared" si="101"/>
        <v>141</v>
      </c>
      <c r="G754">
        <f t="shared" si="101"/>
        <v>180</v>
      </c>
      <c r="H754">
        <f t="shared" si="101"/>
        <v>228</v>
      </c>
      <c r="I754">
        <f t="shared" si="101"/>
        <v>250</v>
      </c>
      <c r="J754">
        <f t="shared" si="101"/>
        <v>284</v>
      </c>
      <c r="K754">
        <f t="shared" si="102"/>
        <v>304</v>
      </c>
      <c r="L754">
        <f t="shared" si="102"/>
        <v>323</v>
      </c>
      <c r="M754">
        <f t="shared" si="102"/>
        <v>338</v>
      </c>
      <c r="N754">
        <f t="shared" si="102"/>
        <v>350</v>
      </c>
      <c r="O754">
        <f t="shared" si="102"/>
        <v>375</v>
      </c>
      <c r="P754">
        <f t="shared" si="102"/>
        <v>393</v>
      </c>
      <c r="Q754">
        <f t="shared" si="102"/>
        <v>419</v>
      </c>
      <c r="S754" t="str">
        <f t="shared" si="96"/>
        <v>04.12.2025</v>
      </c>
      <c r="T754" t="str">
        <f t="shared" si="97"/>
        <v>15:00:00</v>
      </c>
      <c r="U754" t="str">
        <f t="shared" si="99"/>
        <v>04.12.2025 15:00:00</v>
      </c>
      <c r="V754" s="9" t="str">
        <f>MID($A754,C754+C$2+1,D754-C754-C$2-1)</f>
        <v>0</v>
      </c>
      <c r="W754" s="4">
        <f>VALUE(SUBSTITUTE(MID($A754,D754+D$2+1,E754-D754-D$2-1),",","."))</f>
        <v>0.41801665839810898</v>
      </c>
      <c r="X754" s="4">
        <f>VALUE(SUBSTITUTE(MID($A754,E754+E$2+1,F754-E754-E$2-1),",","."))</f>
        <v>0.90957602214449496</v>
      </c>
      <c r="Y754" s="4">
        <f>VALUE(SUBSTITUTE(MID($A754,F754+F$2+1,G754-F754-F$2-1),",","."))</f>
        <v>0.18018527258418399</v>
      </c>
      <c r="Z754" s="3">
        <f>VALUE(SUBSTITUTE(MID($A754,G754+G$2+1,H754-G754-G$2-1),",","."))</f>
        <v>67.649999999999906</v>
      </c>
      <c r="AA754" s="3">
        <f>VALUE(SUBSTITUTE(MID($A754,H754+H$2+1,I754-H754-H$2-1),",","."))</f>
        <v>0</v>
      </c>
      <c r="AB754" s="3">
        <f>VALUE(SUBSTITUTE(MID($A754,I754+I$2+1,J754-I754-I$2-1),",","."))</f>
        <v>84</v>
      </c>
      <c r="AC754" s="3">
        <f>VALUE(SUBSTITUTE(MID($A754,J754+J$2+1,K754-J754-J$2-1),",","."))</f>
        <v>3.45</v>
      </c>
      <c r="AD754" s="3">
        <f>VALUE(SUBSTITUTE(MID($A754,K754+K$2+1,L754-K754-K$2-1),",","."))</f>
        <v>12.96</v>
      </c>
      <c r="AE754" s="3">
        <f>VALUE(SUBSTITUTE(MID($A754,L754+L$2+1,M754-L754-L$2-1),",","."))</f>
        <v>0</v>
      </c>
      <c r="AF754" s="3">
        <f>VALUE(SUBSTITUTE(MID($A754,M754+M$2+1,N754-M754-M$2-1),",","."))</f>
        <v>0</v>
      </c>
      <c r="AG754" s="3">
        <f>VALUE(SUBSTITUTE(MID($A754,N754+N$2+1,O754-N754-N$2-1),",","."))</f>
        <v>4.2248791806277204</v>
      </c>
      <c r="AH754" t="str">
        <f>MID($A754,O754+O$2+1,P754-O754-O$2-1)</f>
        <v/>
      </c>
      <c r="AI754" s="8" t="str">
        <f>MID($A754,P754+P$2+1,Q754-P754-P$2-1)</f>
        <v>False</v>
      </c>
      <c r="AK754" t="b">
        <f t="shared" si="100"/>
        <v>1</v>
      </c>
    </row>
    <row r="755" spans="1:37" x14ac:dyDescent="0.35">
      <c r="A755" t="s">
        <v>5302</v>
      </c>
      <c r="B755">
        <f t="shared" si="103"/>
        <v>10</v>
      </c>
      <c r="C755">
        <f t="shared" si="103"/>
        <v>43</v>
      </c>
      <c r="D755">
        <f t="shared" si="103"/>
        <v>54</v>
      </c>
      <c r="E755">
        <f t="shared" si="101"/>
        <v>98</v>
      </c>
      <c r="F755">
        <f t="shared" si="101"/>
        <v>142</v>
      </c>
      <c r="G755">
        <f t="shared" si="101"/>
        <v>181</v>
      </c>
      <c r="H755">
        <f t="shared" si="101"/>
        <v>229</v>
      </c>
      <c r="I755">
        <f t="shared" si="101"/>
        <v>251</v>
      </c>
      <c r="J755">
        <f t="shared" si="101"/>
        <v>285</v>
      </c>
      <c r="K755">
        <f t="shared" si="102"/>
        <v>305</v>
      </c>
      <c r="L755">
        <f t="shared" si="102"/>
        <v>324</v>
      </c>
      <c r="M755">
        <f t="shared" si="102"/>
        <v>339</v>
      </c>
      <c r="N755">
        <f t="shared" si="102"/>
        <v>351</v>
      </c>
      <c r="O755">
        <f t="shared" si="102"/>
        <v>377</v>
      </c>
      <c r="P755">
        <f t="shared" si="102"/>
        <v>395</v>
      </c>
      <c r="Q755">
        <f t="shared" si="102"/>
        <v>421</v>
      </c>
      <c r="S755" t="str">
        <f t="shared" si="96"/>
        <v>04.12.2025</v>
      </c>
      <c r="T755" t="str">
        <f t="shared" si="97"/>
        <v>15:15:00</v>
      </c>
      <c r="U755" t="str">
        <f t="shared" si="99"/>
        <v>04.12.2025 15:15:00</v>
      </c>
      <c r="V755" s="9" t="str">
        <f>MID($A755,C755+C$2+1,D755-C755-C$2-1)</f>
        <v>0</v>
      </c>
      <c r="W755" s="4">
        <f>VALUE(SUBSTITUTE(MID($A755,D755+D$2+1,E755-D755-D$2-1),",","."))</f>
        <v>0.36874366714496498</v>
      </c>
      <c r="X755" s="4">
        <f>VALUE(SUBSTITUTE(MID($A755,E755+E$2+1,F755-E755-E$2-1),",","."))</f>
        <v>0.90957602214449496</v>
      </c>
      <c r="Y755" s="4">
        <f>VALUE(SUBSTITUTE(MID($A755,F755+F$2+1,G755-F755-F$2-1),",","."))</f>
        <v>0.151458400674016</v>
      </c>
      <c r="Z755" s="3">
        <f>VALUE(SUBSTITUTE(MID($A755,G755+G$2+1,H755-G755-G$2-1),",","."))</f>
        <v>67.649999999999906</v>
      </c>
      <c r="AA755" s="3">
        <f>VALUE(SUBSTITUTE(MID($A755,H755+H$2+1,I755-H755-H$2-1),",","."))</f>
        <v>0</v>
      </c>
      <c r="AB755" s="3">
        <f>VALUE(SUBSTITUTE(MID($A755,I755+I$2+1,J755-I755-I$2-1),",","."))</f>
        <v>84</v>
      </c>
      <c r="AC755" s="3">
        <f>VALUE(SUBSTITUTE(MID($A755,J755+J$2+1,K755-J755-J$2-1),",","."))</f>
        <v>3.45</v>
      </c>
      <c r="AD755" s="3">
        <f>VALUE(SUBSTITUTE(MID($A755,K755+K$2+1,L755-K755-K$2-1),",","."))</f>
        <v>12.96</v>
      </c>
      <c r="AE755" s="3">
        <f>VALUE(SUBSTITUTE(MID($A755,L755+L$2+1,M755-L755-L$2-1),",","."))</f>
        <v>0</v>
      </c>
      <c r="AF755" s="3">
        <f>VALUE(SUBSTITUTE(MID($A755,M755+M$2+1,N755-M755-M$2-1),",","."))</f>
        <v>0</v>
      </c>
      <c r="AG755" s="3">
        <f>VALUE(SUBSTITUTE(MID($A755,N755+N$2+1,O755-N755-N$2-1),",","."))</f>
        <v>4.2249077005158</v>
      </c>
      <c r="AH755" t="str">
        <f>MID($A755,O755+O$2+1,P755-O755-O$2-1)</f>
        <v/>
      </c>
      <c r="AI755" s="8" t="str">
        <f>MID($A755,P755+P$2+1,Q755-P755-P$2-1)</f>
        <v>False</v>
      </c>
      <c r="AK755" t="b">
        <f t="shared" si="100"/>
        <v>1</v>
      </c>
    </row>
    <row r="756" spans="1:37" x14ac:dyDescent="0.35">
      <c r="A756" t="s">
        <v>5303</v>
      </c>
      <c r="B756">
        <f t="shared" si="103"/>
        <v>10</v>
      </c>
      <c r="C756">
        <f t="shared" si="103"/>
        <v>43</v>
      </c>
      <c r="D756">
        <f t="shared" si="103"/>
        <v>54</v>
      </c>
      <c r="E756">
        <f t="shared" si="101"/>
        <v>98</v>
      </c>
      <c r="F756">
        <f t="shared" si="101"/>
        <v>142</v>
      </c>
      <c r="G756">
        <f t="shared" si="101"/>
        <v>181</v>
      </c>
      <c r="H756">
        <f t="shared" si="101"/>
        <v>230</v>
      </c>
      <c r="I756">
        <f t="shared" si="101"/>
        <v>252</v>
      </c>
      <c r="J756">
        <f t="shared" si="101"/>
        <v>286</v>
      </c>
      <c r="K756">
        <f t="shared" si="102"/>
        <v>305</v>
      </c>
      <c r="L756">
        <f t="shared" si="102"/>
        <v>337</v>
      </c>
      <c r="M756">
        <f t="shared" si="102"/>
        <v>352</v>
      </c>
      <c r="N756">
        <f t="shared" si="102"/>
        <v>364</v>
      </c>
      <c r="O756">
        <f t="shared" si="102"/>
        <v>389</v>
      </c>
      <c r="P756">
        <f t="shared" si="102"/>
        <v>407</v>
      </c>
      <c r="Q756">
        <f t="shared" si="102"/>
        <v>433</v>
      </c>
      <c r="S756" t="str">
        <f t="shared" si="96"/>
        <v>04.12.2025</v>
      </c>
      <c r="T756" t="str">
        <f t="shared" si="97"/>
        <v>15:30:00</v>
      </c>
      <c r="U756" t="str">
        <f t="shared" si="99"/>
        <v>04.12.2025 15:30:00</v>
      </c>
      <c r="V756" s="9" t="str">
        <f>MID($A756,C756+C$2+1,D756-C756-C$2-1)</f>
        <v>0</v>
      </c>
      <c r="W756" s="4">
        <f>VALUE(SUBSTITUTE(MID($A756,D756+D$2+1,E756-D756-D$2-1),",","."))</f>
        <v>0.31761549628227898</v>
      </c>
      <c r="X756" s="4">
        <f>VALUE(SUBSTITUTE(MID($A756,E756+E$2+1,F756-E756-E$2-1),",","."))</f>
        <v>0.90957602214449496</v>
      </c>
      <c r="Y756" s="4">
        <f>VALUE(SUBSTITUTE(MID($A756,F756+F$2+1,G756-F756-F$2-1),",","."))</f>
        <v>0.121026203321461</v>
      </c>
      <c r="Z756" s="3">
        <f>VALUE(SUBSTITUTE(MID($A756,G756+G$2+1,H756-G756-G$2-1),",","."))</f>
        <v>50.483333333333299</v>
      </c>
      <c r="AA756" s="3">
        <f>VALUE(SUBSTITUTE(MID($A756,H756+H$2+1,I756-H756-H$2-1),",","."))</f>
        <v>0</v>
      </c>
      <c r="AB756" s="3">
        <f>VALUE(SUBSTITUTE(MID($A756,I756+I$2+1,J756-I756-I$2-1),",","."))</f>
        <v>44</v>
      </c>
      <c r="AC756" s="3">
        <f>VALUE(SUBSTITUTE(MID($A756,J756+J$2+1,K756-J756-J$2-1),",","."))</f>
        <v>3.1</v>
      </c>
      <c r="AD756" s="3">
        <f>VALUE(SUBSTITUTE(MID($A756,K756+K$2+1,L756-K756-K$2-1),",","."))</f>
        <v>10.26</v>
      </c>
      <c r="AE756" s="3">
        <f>VALUE(SUBSTITUTE(MID($A756,L756+L$2+1,M756-L756-L$2-1),",","."))</f>
        <v>0</v>
      </c>
      <c r="AF756" s="3">
        <f>VALUE(SUBSTITUTE(MID($A756,M756+M$2+1,N756-M756-M$2-1),",","."))</f>
        <v>0</v>
      </c>
      <c r="AG756" s="3">
        <f>VALUE(SUBSTITUTE(MID($A756,N756+N$2+1,O756-N756-N$2-1),",","."))</f>
        <v>4.2249362204038796</v>
      </c>
      <c r="AH756" t="str">
        <f>MID($A756,O756+O$2+1,P756-O756-O$2-1)</f>
        <v/>
      </c>
      <c r="AI756" s="8" t="str">
        <f>MID($A756,P756+P$2+1,Q756-P756-P$2-1)</f>
        <v>False</v>
      </c>
      <c r="AK756" t="b">
        <f t="shared" si="100"/>
        <v>0</v>
      </c>
    </row>
    <row r="757" spans="1:37" x14ac:dyDescent="0.35">
      <c r="A757" t="s">
        <v>5304</v>
      </c>
      <c r="B757">
        <f t="shared" si="103"/>
        <v>10</v>
      </c>
      <c r="C757">
        <f t="shared" si="103"/>
        <v>43</v>
      </c>
      <c r="D757">
        <f t="shared" si="103"/>
        <v>54</v>
      </c>
      <c r="E757">
        <f t="shared" si="101"/>
        <v>80</v>
      </c>
      <c r="F757">
        <f t="shared" si="101"/>
        <v>124</v>
      </c>
      <c r="G757">
        <f t="shared" si="101"/>
        <v>162</v>
      </c>
      <c r="H757">
        <f t="shared" si="101"/>
        <v>211</v>
      </c>
      <c r="I757">
        <f t="shared" si="101"/>
        <v>233</v>
      </c>
      <c r="J757">
        <f t="shared" si="101"/>
        <v>267</v>
      </c>
      <c r="K757">
        <f t="shared" si="102"/>
        <v>286</v>
      </c>
      <c r="L757">
        <f t="shared" si="102"/>
        <v>318</v>
      </c>
      <c r="M757">
        <f t="shared" si="102"/>
        <v>333</v>
      </c>
      <c r="N757">
        <f t="shared" si="102"/>
        <v>345</v>
      </c>
      <c r="O757">
        <f t="shared" si="102"/>
        <v>370</v>
      </c>
      <c r="P757">
        <f t="shared" si="102"/>
        <v>388</v>
      </c>
      <c r="Q757">
        <f t="shared" si="102"/>
        <v>414</v>
      </c>
      <c r="S757" t="str">
        <f t="shared" si="96"/>
        <v>04.12.2025</v>
      </c>
      <c r="T757" t="str">
        <f t="shared" si="97"/>
        <v>15:45:00</v>
      </c>
      <c r="U757" t="str">
        <f t="shared" si="99"/>
        <v>04.12.2025 15:45:00</v>
      </c>
      <c r="V757" s="9" t="str">
        <f>MID($A757,C757+C$2+1,D757-C757-C$2-1)</f>
        <v>0</v>
      </c>
      <c r="W757" s="4">
        <f>VALUE(SUBSTITUTE(MID($A757,D757+D$2+1,E757-D757-D$2-1),",","."))</f>
        <v>0</v>
      </c>
      <c r="X757" s="4">
        <f>VALUE(SUBSTITUTE(MID($A757,E757+E$2+1,F757-E757-E$2-1),",","."))</f>
        <v>0.90957602214449496</v>
      </c>
      <c r="Y757" s="4">
        <f>VALUE(SUBSTITUTE(MID($A757,F757+F$2+1,G757-F757-F$2-1),",","."))</f>
        <v>8.91307118464639E-2</v>
      </c>
      <c r="Z757" s="3">
        <f>VALUE(SUBSTITUTE(MID($A757,G757+G$2+1,H757-G757-G$2-1),",","."))</f>
        <v>50.483333333333299</v>
      </c>
      <c r="AA757" s="3">
        <f>VALUE(SUBSTITUTE(MID($A757,H757+H$2+1,I757-H757-H$2-1),",","."))</f>
        <v>0</v>
      </c>
      <c r="AB757" s="3">
        <f>VALUE(SUBSTITUTE(MID($A757,I757+I$2+1,J757-I757-I$2-1),",","."))</f>
        <v>44</v>
      </c>
      <c r="AC757" s="3">
        <f>VALUE(SUBSTITUTE(MID($A757,J757+J$2+1,K757-J757-J$2-1),",","."))</f>
        <v>3.1</v>
      </c>
      <c r="AD757" s="3">
        <f>VALUE(SUBSTITUTE(MID($A757,K757+K$2+1,L757-K757-K$2-1),",","."))</f>
        <v>10.26</v>
      </c>
      <c r="AE757" s="3">
        <f>VALUE(SUBSTITUTE(MID($A757,L757+L$2+1,M757-L757-L$2-1),",","."))</f>
        <v>0</v>
      </c>
      <c r="AF757" s="3">
        <f>VALUE(SUBSTITUTE(MID($A757,M757+M$2+1,N757-M757-M$2-1),",","."))</f>
        <v>0</v>
      </c>
      <c r="AG757" s="3">
        <f>VALUE(SUBSTITUTE(MID($A757,N757+N$2+1,O757-N757-N$2-1),",","."))</f>
        <v>4.2249647402919601</v>
      </c>
      <c r="AH757" t="str">
        <f>MID($A757,O757+O$2+1,P757-O757-O$2-1)</f>
        <v/>
      </c>
      <c r="AI757" s="8" t="str">
        <f>MID($A757,P757+P$2+1,Q757-P757-P$2-1)</f>
        <v>False</v>
      </c>
      <c r="AK757" t="b">
        <f t="shared" si="100"/>
        <v>0</v>
      </c>
    </row>
    <row r="758" spans="1:37" x14ac:dyDescent="0.35">
      <c r="A758" t="s">
        <v>5305</v>
      </c>
      <c r="B758">
        <f t="shared" si="103"/>
        <v>10</v>
      </c>
      <c r="C758">
        <f t="shared" si="103"/>
        <v>43</v>
      </c>
      <c r="D758">
        <f t="shared" si="103"/>
        <v>54</v>
      </c>
      <c r="E758">
        <f t="shared" si="101"/>
        <v>80</v>
      </c>
      <c r="F758">
        <f t="shared" si="101"/>
        <v>124</v>
      </c>
      <c r="G758">
        <f t="shared" si="101"/>
        <v>164</v>
      </c>
      <c r="H758">
        <f t="shared" si="101"/>
        <v>213</v>
      </c>
      <c r="I758">
        <f t="shared" si="101"/>
        <v>235</v>
      </c>
      <c r="J758">
        <f t="shared" si="101"/>
        <v>269</v>
      </c>
      <c r="K758">
        <f t="shared" si="102"/>
        <v>288</v>
      </c>
      <c r="L758">
        <f t="shared" si="102"/>
        <v>320</v>
      </c>
      <c r="M758">
        <f t="shared" si="102"/>
        <v>335</v>
      </c>
      <c r="N758">
        <f t="shared" si="102"/>
        <v>347</v>
      </c>
      <c r="O758">
        <f t="shared" si="102"/>
        <v>372</v>
      </c>
      <c r="P758">
        <f t="shared" si="102"/>
        <v>390</v>
      </c>
      <c r="Q758">
        <f t="shared" si="102"/>
        <v>416</v>
      </c>
      <c r="S758" t="str">
        <f t="shared" si="96"/>
        <v>04.12.2025</v>
      </c>
      <c r="T758" t="str">
        <f t="shared" si="97"/>
        <v>16:00:00</v>
      </c>
      <c r="U758" t="str">
        <f t="shared" si="99"/>
        <v>04.12.2025 16:00:00</v>
      </c>
      <c r="V758" s="9" t="str">
        <f>MID($A758,C758+C$2+1,D758-C758-C$2-1)</f>
        <v>0</v>
      </c>
      <c r="W758" s="4">
        <f>VALUE(SUBSTITUTE(MID($A758,D758+D$2+1,E758-D758-D$2-1),",","."))</f>
        <v>0</v>
      </c>
      <c r="X758" s="4">
        <f>VALUE(SUBSTITUTE(MID($A758,E758+E$2+1,F758-E758-E$2-1),",","."))</f>
        <v>0.90957602214449496</v>
      </c>
      <c r="Y758" s="4">
        <f>VALUE(SUBSTITUTE(MID($A758,F758+F$2+1,G758-F758-F$2-1),",","."))</f>
        <v>5.6179335328472198E-2</v>
      </c>
      <c r="Z758" s="3">
        <f>VALUE(SUBSTITUTE(MID($A758,G758+G$2+1,H758-G758-G$2-1),",","."))</f>
        <v>50.483333333333299</v>
      </c>
      <c r="AA758" s="3">
        <f>VALUE(SUBSTITUTE(MID($A758,H758+H$2+1,I758-H758-H$2-1),",","."))</f>
        <v>0</v>
      </c>
      <c r="AB758" s="3">
        <f>VALUE(SUBSTITUTE(MID($A758,I758+I$2+1,J758-I758-I$2-1),",","."))</f>
        <v>44</v>
      </c>
      <c r="AC758" s="3">
        <f>VALUE(SUBSTITUTE(MID($A758,J758+J$2+1,K758-J758-J$2-1),",","."))</f>
        <v>3.1</v>
      </c>
      <c r="AD758" s="3">
        <f>VALUE(SUBSTITUTE(MID($A758,K758+K$2+1,L758-K758-K$2-1),",","."))</f>
        <v>10.26</v>
      </c>
      <c r="AE758" s="3">
        <f>VALUE(SUBSTITUTE(MID($A758,L758+L$2+1,M758-L758-L$2-1),",","."))</f>
        <v>0</v>
      </c>
      <c r="AF758" s="3">
        <f>VALUE(SUBSTITUTE(MID($A758,M758+M$2+1,N758-M758-M$2-1),",","."))</f>
        <v>0</v>
      </c>
      <c r="AG758" s="3">
        <f>VALUE(SUBSTITUTE(MID($A758,N758+N$2+1,O758-N758-N$2-1),",","."))</f>
        <v>4.2249932601800397</v>
      </c>
      <c r="AH758" t="str">
        <f>MID($A758,O758+O$2+1,P758-O758-O$2-1)</f>
        <v/>
      </c>
      <c r="AI758" s="8" t="str">
        <f>MID($A758,P758+P$2+1,Q758-P758-P$2-1)</f>
        <v>False</v>
      </c>
      <c r="AK758" t="b">
        <f t="shared" si="100"/>
        <v>0</v>
      </c>
    </row>
    <row r="759" spans="1:37" x14ac:dyDescent="0.35">
      <c r="A759" t="s">
        <v>5306</v>
      </c>
      <c r="B759">
        <f t="shared" si="103"/>
        <v>10</v>
      </c>
      <c r="C759">
        <f t="shared" si="103"/>
        <v>43</v>
      </c>
      <c r="D759">
        <f t="shared" si="103"/>
        <v>54</v>
      </c>
      <c r="E759">
        <f t="shared" si="101"/>
        <v>80</v>
      </c>
      <c r="F759">
        <f t="shared" si="101"/>
        <v>124</v>
      </c>
      <c r="G759">
        <f t="shared" si="101"/>
        <v>164</v>
      </c>
      <c r="H759">
        <f t="shared" si="101"/>
        <v>213</v>
      </c>
      <c r="I759">
        <f t="shared" si="101"/>
        <v>235</v>
      </c>
      <c r="J759">
        <f t="shared" si="101"/>
        <v>269</v>
      </c>
      <c r="K759">
        <f t="shared" si="102"/>
        <v>288</v>
      </c>
      <c r="L759">
        <f t="shared" si="102"/>
        <v>320</v>
      </c>
      <c r="M759">
        <f t="shared" si="102"/>
        <v>335</v>
      </c>
      <c r="N759">
        <f t="shared" si="102"/>
        <v>347</v>
      </c>
      <c r="O759">
        <f t="shared" si="102"/>
        <v>371</v>
      </c>
      <c r="P759">
        <f t="shared" si="102"/>
        <v>389</v>
      </c>
      <c r="Q759">
        <f t="shared" si="102"/>
        <v>415</v>
      </c>
      <c r="S759" t="str">
        <f t="shared" si="96"/>
        <v>04.12.2025</v>
      </c>
      <c r="T759" t="str">
        <f t="shared" si="97"/>
        <v>16:15:00</v>
      </c>
      <c r="U759" t="str">
        <f t="shared" si="99"/>
        <v>04.12.2025 16:15:00</v>
      </c>
      <c r="V759" s="9" t="str">
        <f>MID($A759,C759+C$2+1,D759-C759-C$2-1)</f>
        <v>0</v>
      </c>
      <c r="W759" s="4">
        <f>VALUE(SUBSTITUTE(MID($A759,D759+D$2+1,E759-D759-D$2-1),",","."))</f>
        <v>0</v>
      </c>
      <c r="X759" s="4">
        <f>VALUE(SUBSTITUTE(MID($A759,E759+E$2+1,F759-E759-E$2-1),",","."))</f>
        <v>0.90957602214449496</v>
      </c>
      <c r="Y759" s="4">
        <f>VALUE(SUBSTITUTE(MID($A759,F759+F$2+1,G759-F759-F$2-1),",","."))</f>
        <v>2.3085638308123199E-2</v>
      </c>
      <c r="Z759" s="3">
        <f>VALUE(SUBSTITUTE(MID($A759,G759+G$2+1,H759-G759-G$2-1),",","."))</f>
        <v>50.483333333333299</v>
      </c>
      <c r="AA759" s="3">
        <f>VALUE(SUBSTITUTE(MID($A759,H759+H$2+1,I759-H759-H$2-1),",","."))</f>
        <v>0</v>
      </c>
      <c r="AB759" s="3">
        <f>VALUE(SUBSTITUTE(MID($A759,I759+I$2+1,J759-I759-I$2-1),",","."))</f>
        <v>44</v>
      </c>
      <c r="AC759" s="3">
        <f>VALUE(SUBSTITUTE(MID($A759,J759+J$2+1,K759-J759-J$2-1),",","."))</f>
        <v>3.1</v>
      </c>
      <c r="AD759" s="3">
        <f>VALUE(SUBSTITUTE(MID($A759,K759+K$2+1,L759-K759-K$2-1),",","."))</f>
        <v>10.26</v>
      </c>
      <c r="AE759" s="3">
        <f>VALUE(SUBSTITUTE(MID($A759,L759+L$2+1,M759-L759-L$2-1),",","."))</f>
        <v>0</v>
      </c>
      <c r="AF759" s="3">
        <f>VALUE(SUBSTITUTE(MID($A759,M759+M$2+1,N759-M759-M$2-1),",","."))</f>
        <v>0</v>
      </c>
      <c r="AG759" s="3">
        <f>VALUE(SUBSTITUTE(MID($A759,N759+N$2+1,O759-N759-N$2-1),",","."))</f>
        <v>4.22502178006813</v>
      </c>
      <c r="AH759" t="str">
        <f>MID($A759,O759+O$2+1,P759-O759-O$2-1)</f>
        <v/>
      </c>
      <c r="AI759" s="8" t="str">
        <f>MID($A759,P759+P$2+1,Q759-P759-P$2-1)</f>
        <v>False</v>
      </c>
      <c r="AK759" t="b">
        <f t="shared" si="100"/>
        <v>0</v>
      </c>
    </row>
    <row r="760" spans="1:37" x14ac:dyDescent="0.35">
      <c r="A760" t="s">
        <v>5307</v>
      </c>
      <c r="B760">
        <f t="shared" si="103"/>
        <v>10</v>
      </c>
      <c r="C760">
        <f t="shared" si="103"/>
        <v>43</v>
      </c>
      <c r="D760">
        <f t="shared" si="103"/>
        <v>54</v>
      </c>
      <c r="E760">
        <f t="shared" si="101"/>
        <v>80</v>
      </c>
      <c r="F760">
        <f t="shared" si="101"/>
        <v>124</v>
      </c>
      <c r="G760">
        <f t="shared" si="101"/>
        <v>145</v>
      </c>
      <c r="H760">
        <f t="shared" si="101"/>
        <v>194</v>
      </c>
      <c r="I760">
        <f t="shared" si="101"/>
        <v>216</v>
      </c>
      <c r="J760">
        <f t="shared" si="101"/>
        <v>249</v>
      </c>
      <c r="K760">
        <f t="shared" si="102"/>
        <v>268</v>
      </c>
      <c r="L760">
        <f t="shared" si="102"/>
        <v>286</v>
      </c>
      <c r="M760">
        <f t="shared" si="102"/>
        <v>301</v>
      </c>
      <c r="N760">
        <f t="shared" si="102"/>
        <v>313</v>
      </c>
      <c r="O760">
        <f t="shared" si="102"/>
        <v>338</v>
      </c>
      <c r="P760">
        <f t="shared" si="102"/>
        <v>356</v>
      </c>
      <c r="Q760">
        <f t="shared" si="102"/>
        <v>382</v>
      </c>
      <c r="S760" t="str">
        <f t="shared" ref="S760:S823" si="104">LEFT(U760,10)</f>
        <v>04.12.2025</v>
      </c>
      <c r="T760" t="str">
        <f t="shared" ref="T760:T823" si="105">MID(U760,12,8)</f>
        <v>16:30:00</v>
      </c>
      <c r="U760" t="str">
        <f t="shared" si="99"/>
        <v>04.12.2025 16:30:00</v>
      </c>
      <c r="V760" s="9" t="str">
        <f>MID($A760,C760+C$2+1,D760-C760-C$2-1)</f>
        <v>0</v>
      </c>
      <c r="W760" s="4">
        <f>VALUE(SUBSTITUTE(MID($A760,D760+D$2+1,E760-D760-D$2-1),",","."))</f>
        <v>0</v>
      </c>
      <c r="X760" s="4">
        <f>VALUE(SUBSTITUTE(MID($A760,E760+E$2+1,F760-E760-E$2-1),",","."))</f>
        <v>0.90957602214449496</v>
      </c>
      <c r="Y760" s="4">
        <f>VALUE(SUBSTITUTE(MID($A760,F760+F$2+1,G760-F760-F$2-1),",","."))</f>
        <v>0</v>
      </c>
      <c r="Z760" s="3">
        <f>VALUE(SUBSTITUTE(MID($A760,G760+G$2+1,H760-G760-G$2-1),",","."))</f>
        <v>13.966666666666599</v>
      </c>
      <c r="AA760" s="3">
        <f>VALUE(SUBSTITUTE(MID($A760,H760+H$2+1,I760-H760-H$2-1),",","."))</f>
        <v>0</v>
      </c>
      <c r="AB760" s="3">
        <f>VALUE(SUBSTITUTE(MID($A760,I760+I$2+1,J760-I760-I$2-1),",","."))</f>
        <v>9</v>
      </c>
      <c r="AC760" s="3">
        <f>VALUE(SUBSTITUTE(MID($A760,J760+J$2+1,K760-J760-J$2-1),",","."))</f>
        <v>2.7</v>
      </c>
      <c r="AD760" s="3">
        <f>VALUE(SUBSTITUTE(MID($A760,K760+K$2+1,L760-K760-K$2-1),",","."))</f>
        <v>8.64</v>
      </c>
      <c r="AE760" s="3">
        <f>VALUE(SUBSTITUTE(MID($A760,L760+L$2+1,M760-L760-L$2-1),",","."))</f>
        <v>0</v>
      </c>
      <c r="AF760" s="3">
        <f>VALUE(SUBSTITUTE(MID($A760,M760+M$2+1,N760-M760-M$2-1),",","."))</f>
        <v>0</v>
      </c>
      <c r="AG760" s="3">
        <f>VALUE(SUBSTITUTE(MID($A760,N760+N$2+1,O760-N760-N$2-1),",","."))</f>
        <v>4.2250502999562096</v>
      </c>
      <c r="AH760" t="str">
        <f>MID($A760,O760+O$2+1,P760-O760-O$2-1)</f>
        <v/>
      </c>
      <c r="AI760" s="8" t="str">
        <f>MID($A760,P760+P$2+1,Q760-P760-P$2-1)</f>
        <v>False</v>
      </c>
      <c r="AK760" t="b">
        <f t="shared" si="100"/>
        <v>0</v>
      </c>
    </row>
    <row r="761" spans="1:37" x14ac:dyDescent="0.35">
      <c r="A761" t="s">
        <v>5308</v>
      </c>
      <c r="B761">
        <f t="shared" si="103"/>
        <v>10</v>
      </c>
      <c r="C761">
        <f t="shared" si="103"/>
        <v>43</v>
      </c>
      <c r="D761">
        <f t="shared" si="103"/>
        <v>54</v>
      </c>
      <c r="E761">
        <f t="shared" si="101"/>
        <v>80</v>
      </c>
      <c r="F761">
        <f t="shared" si="101"/>
        <v>124</v>
      </c>
      <c r="G761">
        <f t="shared" si="101"/>
        <v>145</v>
      </c>
      <c r="H761">
        <f t="shared" si="101"/>
        <v>194</v>
      </c>
      <c r="I761">
        <f t="shared" si="101"/>
        <v>216</v>
      </c>
      <c r="J761">
        <f t="shared" si="101"/>
        <v>249</v>
      </c>
      <c r="K761">
        <f t="shared" si="102"/>
        <v>268</v>
      </c>
      <c r="L761">
        <f t="shared" si="102"/>
        <v>286</v>
      </c>
      <c r="M761">
        <f t="shared" si="102"/>
        <v>301</v>
      </c>
      <c r="N761">
        <f t="shared" si="102"/>
        <v>313</v>
      </c>
      <c r="O761">
        <f t="shared" si="102"/>
        <v>338</v>
      </c>
      <c r="P761">
        <f t="shared" si="102"/>
        <v>356</v>
      </c>
      <c r="Q761">
        <f t="shared" si="102"/>
        <v>382</v>
      </c>
      <c r="S761" t="str">
        <f t="shared" si="104"/>
        <v>04.12.2025</v>
      </c>
      <c r="T761" t="str">
        <f t="shared" si="105"/>
        <v>16:45:00</v>
      </c>
      <c r="U761" t="str">
        <f t="shared" si="99"/>
        <v>04.12.2025 16:45:00</v>
      </c>
      <c r="V761" s="9" t="str">
        <f>MID($A761,C761+C$2+1,D761-C761-C$2-1)</f>
        <v>0</v>
      </c>
      <c r="W761" s="4">
        <f>VALUE(SUBSTITUTE(MID($A761,D761+D$2+1,E761-D761-D$2-1),",","."))</f>
        <v>0</v>
      </c>
      <c r="X761" s="4">
        <f>VALUE(SUBSTITUTE(MID($A761,E761+E$2+1,F761-E761-E$2-1),",","."))</f>
        <v>0.90957602214449496</v>
      </c>
      <c r="Y761" s="4">
        <f>VALUE(SUBSTITUTE(MID($A761,F761+F$2+1,G761-F761-F$2-1),",","."))</f>
        <v>0</v>
      </c>
      <c r="Z761" s="3">
        <f>VALUE(SUBSTITUTE(MID($A761,G761+G$2+1,H761-G761-G$2-1),",","."))</f>
        <v>13.966666666666599</v>
      </c>
      <c r="AA761" s="3">
        <f>VALUE(SUBSTITUTE(MID($A761,H761+H$2+1,I761-H761-H$2-1),",","."))</f>
        <v>0</v>
      </c>
      <c r="AB761" s="3">
        <f>VALUE(SUBSTITUTE(MID($A761,I761+I$2+1,J761-I761-I$2-1),",","."))</f>
        <v>9</v>
      </c>
      <c r="AC761" s="3">
        <f>VALUE(SUBSTITUTE(MID($A761,J761+J$2+1,K761-J761-J$2-1),",","."))</f>
        <v>2.7</v>
      </c>
      <c r="AD761" s="3">
        <f>VALUE(SUBSTITUTE(MID($A761,K761+K$2+1,L761-K761-K$2-1),",","."))</f>
        <v>8.64</v>
      </c>
      <c r="AE761" s="3">
        <f>VALUE(SUBSTITUTE(MID($A761,L761+L$2+1,M761-L761-L$2-1),",","."))</f>
        <v>0</v>
      </c>
      <c r="AF761" s="3">
        <f>VALUE(SUBSTITUTE(MID($A761,M761+M$2+1,N761-M761-M$2-1),",","."))</f>
        <v>0</v>
      </c>
      <c r="AG761" s="3">
        <f>VALUE(SUBSTITUTE(MID($A761,N761+N$2+1,O761-N761-N$2-1),",","."))</f>
        <v>4.2250788198442901</v>
      </c>
      <c r="AH761" t="str">
        <f>MID($A761,O761+O$2+1,P761-O761-O$2-1)</f>
        <v/>
      </c>
      <c r="AI761" s="8" t="str">
        <f>MID($A761,P761+P$2+1,Q761-P761-P$2-1)</f>
        <v>False</v>
      </c>
      <c r="AK761" t="b">
        <f t="shared" si="100"/>
        <v>0</v>
      </c>
    </row>
    <row r="762" spans="1:37" x14ac:dyDescent="0.35">
      <c r="A762" t="s">
        <v>5309</v>
      </c>
      <c r="B762">
        <f t="shared" si="103"/>
        <v>10</v>
      </c>
      <c r="C762">
        <f t="shared" si="103"/>
        <v>43</v>
      </c>
      <c r="D762">
        <f t="shared" si="103"/>
        <v>54</v>
      </c>
      <c r="E762">
        <f t="shared" si="101"/>
        <v>80</v>
      </c>
      <c r="F762">
        <f t="shared" si="101"/>
        <v>124</v>
      </c>
      <c r="G762">
        <f t="shared" si="101"/>
        <v>145</v>
      </c>
      <c r="H762">
        <f t="shared" si="101"/>
        <v>194</v>
      </c>
      <c r="I762">
        <f t="shared" si="101"/>
        <v>216</v>
      </c>
      <c r="J762">
        <f t="shared" si="101"/>
        <v>249</v>
      </c>
      <c r="K762">
        <f t="shared" si="102"/>
        <v>268</v>
      </c>
      <c r="L762">
        <f t="shared" si="102"/>
        <v>286</v>
      </c>
      <c r="M762">
        <f t="shared" si="102"/>
        <v>301</v>
      </c>
      <c r="N762">
        <f t="shared" si="102"/>
        <v>313</v>
      </c>
      <c r="O762">
        <f t="shared" si="102"/>
        <v>338</v>
      </c>
      <c r="P762">
        <f t="shared" si="102"/>
        <v>356</v>
      </c>
      <c r="Q762">
        <f t="shared" si="102"/>
        <v>382</v>
      </c>
      <c r="S762" t="str">
        <f t="shared" si="104"/>
        <v>04.12.2025</v>
      </c>
      <c r="T762" t="str">
        <f t="shared" si="105"/>
        <v>17:00:00</v>
      </c>
      <c r="U762" t="str">
        <f t="shared" si="99"/>
        <v>04.12.2025 17:00:00</v>
      </c>
      <c r="V762" s="9" t="str">
        <f>MID($A762,C762+C$2+1,D762-C762-C$2-1)</f>
        <v>0</v>
      </c>
      <c r="W762" s="4">
        <f>VALUE(SUBSTITUTE(MID($A762,D762+D$2+1,E762-D762-D$2-1),",","."))</f>
        <v>0</v>
      </c>
      <c r="X762" s="4">
        <f>VALUE(SUBSTITUTE(MID($A762,E762+E$2+1,F762-E762-E$2-1),",","."))</f>
        <v>0.90957602214449496</v>
      </c>
      <c r="Y762" s="4">
        <f>VALUE(SUBSTITUTE(MID($A762,F762+F$2+1,G762-F762-F$2-1),",","."))</f>
        <v>0</v>
      </c>
      <c r="Z762" s="3">
        <f>VALUE(SUBSTITUTE(MID($A762,G762+G$2+1,H762-G762-G$2-1),",","."))</f>
        <v>13.966666666666599</v>
      </c>
      <c r="AA762" s="3">
        <f>VALUE(SUBSTITUTE(MID($A762,H762+H$2+1,I762-H762-H$2-1),",","."))</f>
        <v>0</v>
      </c>
      <c r="AB762" s="3">
        <f>VALUE(SUBSTITUTE(MID($A762,I762+I$2+1,J762-I762-I$2-1),",","."))</f>
        <v>9</v>
      </c>
      <c r="AC762" s="3">
        <f>VALUE(SUBSTITUTE(MID($A762,J762+J$2+1,K762-J762-J$2-1),",","."))</f>
        <v>2.7</v>
      </c>
      <c r="AD762" s="3">
        <f>VALUE(SUBSTITUTE(MID($A762,K762+K$2+1,L762-K762-K$2-1),",","."))</f>
        <v>8.64</v>
      </c>
      <c r="AE762" s="3">
        <f>VALUE(SUBSTITUTE(MID($A762,L762+L$2+1,M762-L762-L$2-1),",","."))</f>
        <v>0</v>
      </c>
      <c r="AF762" s="3">
        <f>VALUE(SUBSTITUTE(MID($A762,M762+M$2+1,N762-M762-M$2-1),",","."))</f>
        <v>0</v>
      </c>
      <c r="AG762" s="3">
        <f>VALUE(SUBSTITUTE(MID($A762,N762+N$2+1,O762-N762-N$2-1),",","."))</f>
        <v>4.2251073397323697</v>
      </c>
      <c r="AH762" t="str">
        <f>MID($A762,O762+O$2+1,P762-O762-O$2-1)</f>
        <v/>
      </c>
      <c r="AI762" s="8" t="str">
        <f>MID($A762,P762+P$2+1,Q762-P762-P$2-1)</f>
        <v>False</v>
      </c>
      <c r="AK762" t="b">
        <f t="shared" si="100"/>
        <v>0</v>
      </c>
    </row>
    <row r="763" spans="1:37" x14ac:dyDescent="0.35">
      <c r="A763" t="s">
        <v>5310</v>
      </c>
      <c r="B763">
        <f t="shared" si="103"/>
        <v>10</v>
      </c>
      <c r="C763">
        <f t="shared" si="103"/>
        <v>43</v>
      </c>
      <c r="D763">
        <f t="shared" si="103"/>
        <v>54</v>
      </c>
      <c r="E763">
        <f t="shared" si="101"/>
        <v>80</v>
      </c>
      <c r="F763">
        <f t="shared" si="101"/>
        <v>124</v>
      </c>
      <c r="G763">
        <f t="shared" si="101"/>
        <v>145</v>
      </c>
      <c r="H763">
        <f t="shared" si="101"/>
        <v>194</v>
      </c>
      <c r="I763">
        <f t="shared" si="101"/>
        <v>216</v>
      </c>
      <c r="J763">
        <f t="shared" si="101"/>
        <v>249</v>
      </c>
      <c r="K763">
        <f t="shared" si="102"/>
        <v>268</v>
      </c>
      <c r="L763">
        <f t="shared" si="102"/>
        <v>286</v>
      </c>
      <c r="M763">
        <f t="shared" si="102"/>
        <v>301</v>
      </c>
      <c r="N763">
        <f t="shared" si="102"/>
        <v>313</v>
      </c>
      <c r="O763">
        <f t="shared" si="102"/>
        <v>339</v>
      </c>
      <c r="P763">
        <f t="shared" si="102"/>
        <v>357</v>
      </c>
      <c r="Q763">
        <f t="shared" si="102"/>
        <v>383</v>
      </c>
      <c r="S763" t="str">
        <f t="shared" si="104"/>
        <v>04.12.2025</v>
      </c>
      <c r="T763" t="str">
        <f t="shared" si="105"/>
        <v>17:15:00</v>
      </c>
      <c r="U763" t="str">
        <f t="shared" si="99"/>
        <v>04.12.2025 17:15:00</v>
      </c>
      <c r="V763" s="9" t="str">
        <f>MID($A763,C763+C$2+1,D763-C763-C$2-1)</f>
        <v>0</v>
      </c>
      <c r="W763" s="4">
        <f>VALUE(SUBSTITUTE(MID($A763,D763+D$2+1,E763-D763-D$2-1),",","."))</f>
        <v>0</v>
      </c>
      <c r="X763" s="4">
        <f>VALUE(SUBSTITUTE(MID($A763,E763+E$2+1,F763-E763-E$2-1),",","."))</f>
        <v>0.90957602214449496</v>
      </c>
      <c r="Y763" s="4">
        <f>VALUE(SUBSTITUTE(MID($A763,F763+F$2+1,G763-F763-F$2-1),",","."))</f>
        <v>0</v>
      </c>
      <c r="Z763" s="3">
        <f>VALUE(SUBSTITUTE(MID($A763,G763+G$2+1,H763-G763-G$2-1),",","."))</f>
        <v>13.966666666666599</v>
      </c>
      <c r="AA763" s="3">
        <f>VALUE(SUBSTITUTE(MID($A763,H763+H$2+1,I763-H763-H$2-1),",","."))</f>
        <v>0</v>
      </c>
      <c r="AB763" s="3">
        <f>VALUE(SUBSTITUTE(MID($A763,I763+I$2+1,J763-I763-I$2-1),",","."))</f>
        <v>9</v>
      </c>
      <c r="AC763" s="3">
        <f>VALUE(SUBSTITUTE(MID($A763,J763+J$2+1,K763-J763-J$2-1),",","."))</f>
        <v>2.7</v>
      </c>
      <c r="AD763" s="3">
        <f>VALUE(SUBSTITUTE(MID($A763,K763+K$2+1,L763-K763-K$2-1),",","."))</f>
        <v>8.64</v>
      </c>
      <c r="AE763" s="3">
        <f>VALUE(SUBSTITUTE(MID($A763,L763+L$2+1,M763-L763-L$2-1),",","."))</f>
        <v>0</v>
      </c>
      <c r="AF763" s="3">
        <f>VALUE(SUBSTITUTE(MID($A763,M763+M$2+1,N763-M763-M$2-1),",","."))</f>
        <v>0</v>
      </c>
      <c r="AG763" s="3">
        <f>VALUE(SUBSTITUTE(MID($A763,N763+N$2+1,O763-N763-N$2-1),",","."))</f>
        <v>4.2251358596204502</v>
      </c>
      <c r="AH763" t="str">
        <f>MID($A763,O763+O$2+1,P763-O763-O$2-1)</f>
        <v/>
      </c>
      <c r="AI763" s="8" t="str">
        <f>MID($A763,P763+P$2+1,Q763-P763-P$2-1)</f>
        <v>False</v>
      </c>
      <c r="AK763" t="b">
        <f t="shared" si="100"/>
        <v>0</v>
      </c>
    </row>
    <row r="764" spans="1:37" x14ac:dyDescent="0.35">
      <c r="A764" t="s">
        <v>5311</v>
      </c>
      <c r="B764">
        <f t="shared" si="103"/>
        <v>10</v>
      </c>
      <c r="C764">
        <f t="shared" si="103"/>
        <v>43</v>
      </c>
      <c r="D764">
        <f t="shared" si="103"/>
        <v>54</v>
      </c>
      <c r="E764">
        <f t="shared" si="101"/>
        <v>80</v>
      </c>
      <c r="F764">
        <f t="shared" si="101"/>
        <v>124</v>
      </c>
      <c r="G764">
        <f t="shared" si="101"/>
        <v>145</v>
      </c>
      <c r="H764">
        <f t="shared" si="101"/>
        <v>177</v>
      </c>
      <c r="I764">
        <f t="shared" si="101"/>
        <v>199</v>
      </c>
      <c r="J764">
        <f t="shared" si="101"/>
        <v>232</v>
      </c>
      <c r="K764">
        <f t="shared" si="102"/>
        <v>252</v>
      </c>
      <c r="L764">
        <f t="shared" si="102"/>
        <v>270</v>
      </c>
      <c r="M764">
        <f t="shared" si="102"/>
        <v>285</v>
      </c>
      <c r="N764">
        <f t="shared" si="102"/>
        <v>297</v>
      </c>
      <c r="O764">
        <f t="shared" si="102"/>
        <v>322</v>
      </c>
      <c r="P764">
        <f t="shared" si="102"/>
        <v>340</v>
      </c>
      <c r="Q764">
        <f t="shared" si="102"/>
        <v>366</v>
      </c>
      <c r="S764" t="str">
        <f t="shared" si="104"/>
        <v>04.12.2025</v>
      </c>
      <c r="T764" t="str">
        <f t="shared" si="105"/>
        <v>17:30:00</v>
      </c>
      <c r="U764" t="str">
        <f t="shared" si="99"/>
        <v>04.12.2025 17:30:00</v>
      </c>
      <c r="V764" s="9" t="str">
        <f>MID($A764,C764+C$2+1,D764-C764-C$2-1)</f>
        <v>0</v>
      </c>
      <c r="W764" s="4">
        <f>VALUE(SUBSTITUTE(MID($A764,D764+D$2+1,E764-D764-D$2-1),",","."))</f>
        <v>0</v>
      </c>
      <c r="X764" s="4">
        <f>VALUE(SUBSTITUTE(MID($A764,E764+E$2+1,F764-E764-E$2-1),",","."))</f>
        <v>0.90957602214449496</v>
      </c>
      <c r="Y764" s="4">
        <f>VALUE(SUBSTITUTE(MID($A764,F764+F$2+1,G764-F764-F$2-1),",","."))</f>
        <v>0</v>
      </c>
      <c r="Z764" s="3">
        <f>VALUE(SUBSTITUTE(MID($A764,G764+G$2+1,H764-G764-G$2-1),",","."))</f>
        <v>0</v>
      </c>
      <c r="AA764" s="3">
        <f>VALUE(SUBSTITUTE(MID($A764,H764+H$2+1,I764-H764-H$2-1),",","."))</f>
        <v>0</v>
      </c>
      <c r="AB764" s="3">
        <f>VALUE(SUBSTITUTE(MID($A764,I764+I$2+1,J764-I764-I$2-1),",","."))</f>
        <v>0</v>
      </c>
      <c r="AC764" s="3">
        <f>VALUE(SUBSTITUTE(MID($A764,J764+J$2+1,K764-J764-J$2-1),",","."))</f>
        <v>2.35</v>
      </c>
      <c r="AD764" s="3">
        <f>VALUE(SUBSTITUTE(MID($A764,K764+K$2+1,L764-K764-K$2-1),",","."))</f>
        <v>8.82</v>
      </c>
      <c r="AE764" s="3">
        <f>VALUE(SUBSTITUTE(MID($A764,L764+L$2+1,M764-L764-L$2-1),",","."))</f>
        <v>0</v>
      </c>
      <c r="AF764" s="3">
        <f>VALUE(SUBSTITUTE(MID($A764,M764+M$2+1,N764-M764-M$2-1),",","."))</f>
        <v>0</v>
      </c>
      <c r="AG764" s="3">
        <f>VALUE(SUBSTITUTE(MID($A764,N764+N$2+1,O764-N764-N$2-1),",","."))</f>
        <v>4.2251643795085299</v>
      </c>
      <c r="AH764" t="str">
        <f>MID($A764,O764+O$2+1,P764-O764-O$2-1)</f>
        <v/>
      </c>
      <c r="AI764" s="8" t="str">
        <f>MID($A764,P764+P$2+1,Q764-P764-P$2-1)</f>
        <v>False</v>
      </c>
      <c r="AK764" t="b">
        <f t="shared" si="100"/>
        <v>0</v>
      </c>
    </row>
    <row r="765" spans="1:37" x14ac:dyDescent="0.35">
      <c r="A765" t="s">
        <v>5312</v>
      </c>
      <c r="B765">
        <f t="shared" si="103"/>
        <v>10</v>
      </c>
      <c r="C765">
        <f t="shared" si="103"/>
        <v>43</v>
      </c>
      <c r="D765">
        <f t="shared" si="103"/>
        <v>54</v>
      </c>
      <c r="E765">
        <f t="shared" si="101"/>
        <v>80</v>
      </c>
      <c r="F765">
        <f t="shared" si="101"/>
        <v>124</v>
      </c>
      <c r="G765">
        <f t="shared" si="101"/>
        <v>145</v>
      </c>
      <c r="H765">
        <f t="shared" si="101"/>
        <v>177</v>
      </c>
      <c r="I765">
        <f t="shared" si="101"/>
        <v>199</v>
      </c>
      <c r="J765">
        <f t="shared" si="101"/>
        <v>232</v>
      </c>
      <c r="K765">
        <f t="shared" si="102"/>
        <v>252</v>
      </c>
      <c r="L765">
        <f t="shared" si="102"/>
        <v>270</v>
      </c>
      <c r="M765">
        <f t="shared" si="102"/>
        <v>285</v>
      </c>
      <c r="N765">
        <f t="shared" si="102"/>
        <v>297</v>
      </c>
      <c r="O765">
        <f t="shared" si="102"/>
        <v>322</v>
      </c>
      <c r="P765">
        <f t="shared" si="102"/>
        <v>340</v>
      </c>
      <c r="Q765">
        <f t="shared" si="102"/>
        <v>366</v>
      </c>
      <c r="S765" t="str">
        <f t="shared" si="104"/>
        <v>04.12.2025</v>
      </c>
      <c r="T765" t="str">
        <f t="shared" si="105"/>
        <v>17:45:00</v>
      </c>
      <c r="U765" t="str">
        <f t="shared" si="99"/>
        <v>04.12.2025 17:45:00</v>
      </c>
      <c r="V765" s="9" t="str">
        <f>MID($A765,C765+C$2+1,D765-C765-C$2-1)</f>
        <v>0</v>
      </c>
      <c r="W765" s="4">
        <f>VALUE(SUBSTITUTE(MID($A765,D765+D$2+1,E765-D765-D$2-1),",","."))</f>
        <v>0</v>
      </c>
      <c r="X765" s="4">
        <f>VALUE(SUBSTITUTE(MID($A765,E765+E$2+1,F765-E765-E$2-1),",","."))</f>
        <v>0.90957602214449496</v>
      </c>
      <c r="Y765" s="4">
        <f>VALUE(SUBSTITUTE(MID($A765,F765+F$2+1,G765-F765-F$2-1),",","."))</f>
        <v>0</v>
      </c>
      <c r="Z765" s="3">
        <f>VALUE(SUBSTITUTE(MID($A765,G765+G$2+1,H765-G765-G$2-1),",","."))</f>
        <v>0</v>
      </c>
      <c r="AA765" s="3">
        <f>VALUE(SUBSTITUTE(MID($A765,H765+H$2+1,I765-H765-H$2-1),",","."))</f>
        <v>0</v>
      </c>
      <c r="AB765" s="3">
        <f>VALUE(SUBSTITUTE(MID($A765,I765+I$2+1,J765-I765-I$2-1),",","."))</f>
        <v>0</v>
      </c>
      <c r="AC765" s="3">
        <f>VALUE(SUBSTITUTE(MID($A765,J765+J$2+1,K765-J765-J$2-1),",","."))</f>
        <v>2.35</v>
      </c>
      <c r="AD765" s="3">
        <f>VALUE(SUBSTITUTE(MID($A765,K765+K$2+1,L765-K765-K$2-1),",","."))</f>
        <v>8.82</v>
      </c>
      <c r="AE765" s="3">
        <f>VALUE(SUBSTITUTE(MID($A765,L765+L$2+1,M765-L765-L$2-1),",","."))</f>
        <v>0</v>
      </c>
      <c r="AF765" s="3">
        <f>VALUE(SUBSTITUTE(MID($A765,M765+M$2+1,N765-M765-M$2-1),",","."))</f>
        <v>0</v>
      </c>
      <c r="AG765" s="3">
        <f>VALUE(SUBSTITUTE(MID($A765,N765+N$2+1,O765-N765-N$2-1),",","."))</f>
        <v>4.2251928993966104</v>
      </c>
      <c r="AH765" t="str">
        <f>MID($A765,O765+O$2+1,P765-O765-O$2-1)</f>
        <v/>
      </c>
      <c r="AI765" s="8" t="str">
        <f>MID($A765,P765+P$2+1,Q765-P765-P$2-1)</f>
        <v>False</v>
      </c>
      <c r="AK765" t="b">
        <f t="shared" si="100"/>
        <v>0</v>
      </c>
    </row>
    <row r="766" spans="1:37" x14ac:dyDescent="0.35">
      <c r="A766" t="s">
        <v>5313</v>
      </c>
      <c r="B766">
        <f t="shared" si="103"/>
        <v>10</v>
      </c>
      <c r="C766">
        <f t="shared" si="103"/>
        <v>43</v>
      </c>
      <c r="D766">
        <f t="shared" si="103"/>
        <v>54</v>
      </c>
      <c r="E766">
        <f t="shared" si="101"/>
        <v>80</v>
      </c>
      <c r="F766">
        <f t="shared" si="101"/>
        <v>124</v>
      </c>
      <c r="G766">
        <f t="shared" si="101"/>
        <v>145</v>
      </c>
      <c r="H766">
        <f t="shared" si="101"/>
        <v>177</v>
      </c>
      <c r="I766">
        <f t="shared" si="101"/>
        <v>199</v>
      </c>
      <c r="J766">
        <f t="shared" si="101"/>
        <v>232</v>
      </c>
      <c r="K766">
        <f t="shared" si="102"/>
        <v>252</v>
      </c>
      <c r="L766">
        <f t="shared" si="102"/>
        <v>270</v>
      </c>
      <c r="M766">
        <f t="shared" si="102"/>
        <v>285</v>
      </c>
      <c r="N766">
        <f t="shared" ref="N766:Q829" si="106">FIND(N$1,$A766)</f>
        <v>297</v>
      </c>
      <c r="O766">
        <f t="shared" si="106"/>
        <v>322</v>
      </c>
      <c r="P766">
        <f t="shared" si="106"/>
        <v>340</v>
      </c>
      <c r="Q766">
        <f t="shared" si="106"/>
        <v>366</v>
      </c>
      <c r="S766" t="str">
        <f t="shared" si="104"/>
        <v>04.12.2025</v>
      </c>
      <c r="T766" t="str">
        <f t="shared" si="105"/>
        <v>18:00:00</v>
      </c>
      <c r="U766" t="str">
        <f t="shared" si="99"/>
        <v>04.12.2025 18:00:00</v>
      </c>
      <c r="V766" s="9" t="str">
        <f>MID($A766,C766+C$2+1,D766-C766-C$2-1)</f>
        <v>0</v>
      </c>
      <c r="W766" s="4">
        <f>VALUE(SUBSTITUTE(MID($A766,D766+D$2+1,E766-D766-D$2-1),",","."))</f>
        <v>0</v>
      </c>
      <c r="X766" s="4">
        <f>VALUE(SUBSTITUTE(MID($A766,E766+E$2+1,F766-E766-E$2-1),",","."))</f>
        <v>0.90957602214449496</v>
      </c>
      <c r="Y766" s="4">
        <f>VALUE(SUBSTITUTE(MID($A766,F766+F$2+1,G766-F766-F$2-1),",","."))</f>
        <v>0</v>
      </c>
      <c r="Z766" s="3">
        <f>VALUE(SUBSTITUTE(MID($A766,G766+G$2+1,H766-G766-G$2-1),",","."))</f>
        <v>0</v>
      </c>
      <c r="AA766" s="3">
        <f>VALUE(SUBSTITUTE(MID($A766,H766+H$2+1,I766-H766-H$2-1),",","."))</f>
        <v>0</v>
      </c>
      <c r="AB766" s="3">
        <f>VALUE(SUBSTITUTE(MID($A766,I766+I$2+1,J766-I766-I$2-1),",","."))</f>
        <v>0</v>
      </c>
      <c r="AC766" s="3">
        <f>VALUE(SUBSTITUTE(MID($A766,J766+J$2+1,K766-J766-J$2-1),",","."))</f>
        <v>2.35</v>
      </c>
      <c r="AD766" s="3">
        <f>VALUE(SUBSTITUTE(MID($A766,K766+K$2+1,L766-K766-K$2-1),",","."))</f>
        <v>8.82</v>
      </c>
      <c r="AE766" s="3">
        <f>VALUE(SUBSTITUTE(MID($A766,L766+L$2+1,M766-L766-L$2-1),",","."))</f>
        <v>0</v>
      </c>
      <c r="AF766" s="3">
        <f>VALUE(SUBSTITUTE(MID($A766,M766+M$2+1,N766-M766-M$2-1),",","."))</f>
        <v>0</v>
      </c>
      <c r="AG766" s="3">
        <f>VALUE(SUBSTITUTE(MID($A766,N766+N$2+1,O766-N766-N$2-1),",","."))</f>
        <v>4.2252214192846997</v>
      </c>
      <c r="AH766" t="str">
        <f>MID($A766,O766+O$2+1,P766-O766-O$2-1)</f>
        <v/>
      </c>
      <c r="AI766" s="8" t="str">
        <f>MID($A766,P766+P$2+1,Q766-P766-P$2-1)</f>
        <v>False</v>
      </c>
      <c r="AK766" t="b">
        <f t="shared" si="100"/>
        <v>0</v>
      </c>
    </row>
    <row r="767" spans="1:37" x14ac:dyDescent="0.35">
      <c r="A767" t="s">
        <v>5314</v>
      </c>
      <c r="B767">
        <f t="shared" si="103"/>
        <v>10</v>
      </c>
      <c r="C767">
        <f t="shared" si="103"/>
        <v>43</v>
      </c>
      <c r="D767">
        <f t="shared" si="103"/>
        <v>54</v>
      </c>
      <c r="E767">
        <f t="shared" si="101"/>
        <v>80</v>
      </c>
      <c r="F767">
        <f t="shared" si="101"/>
        <v>124</v>
      </c>
      <c r="G767">
        <f t="shared" si="101"/>
        <v>145</v>
      </c>
      <c r="H767">
        <f t="shared" si="101"/>
        <v>177</v>
      </c>
      <c r="I767">
        <f t="shared" si="101"/>
        <v>199</v>
      </c>
      <c r="J767">
        <f t="shared" si="101"/>
        <v>232</v>
      </c>
      <c r="K767">
        <f t="shared" si="101"/>
        <v>252</v>
      </c>
      <c r="L767">
        <f t="shared" si="101"/>
        <v>270</v>
      </c>
      <c r="M767">
        <f t="shared" si="101"/>
        <v>285</v>
      </c>
      <c r="N767">
        <f t="shared" si="106"/>
        <v>297</v>
      </c>
      <c r="O767">
        <f t="shared" si="106"/>
        <v>322</v>
      </c>
      <c r="P767">
        <f t="shared" si="106"/>
        <v>340</v>
      </c>
      <c r="Q767">
        <f t="shared" si="106"/>
        <v>366</v>
      </c>
      <c r="S767" t="str">
        <f t="shared" si="104"/>
        <v>04.12.2025</v>
      </c>
      <c r="T767" t="str">
        <f t="shared" si="105"/>
        <v>18:15:00</v>
      </c>
      <c r="U767" t="str">
        <f t="shared" si="99"/>
        <v>04.12.2025 18:15:00</v>
      </c>
      <c r="V767" s="9" t="str">
        <f>MID($A767,C767+C$2+1,D767-C767-C$2-1)</f>
        <v>0</v>
      </c>
      <c r="W767" s="4">
        <f>VALUE(SUBSTITUTE(MID($A767,D767+D$2+1,E767-D767-D$2-1),",","."))</f>
        <v>0</v>
      </c>
      <c r="X767" s="4">
        <f>VALUE(SUBSTITUTE(MID($A767,E767+E$2+1,F767-E767-E$2-1),",","."))</f>
        <v>0.90957602214449496</v>
      </c>
      <c r="Y767" s="4">
        <f>VALUE(SUBSTITUTE(MID($A767,F767+F$2+1,G767-F767-F$2-1),",","."))</f>
        <v>0</v>
      </c>
      <c r="Z767" s="3">
        <f>VALUE(SUBSTITUTE(MID($A767,G767+G$2+1,H767-G767-G$2-1),",","."))</f>
        <v>0</v>
      </c>
      <c r="AA767" s="3">
        <f>VALUE(SUBSTITUTE(MID($A767,H767+H$2+1,I767-H767-H$2-1),",","."))</f>
        <v>0</v>
      </c>
      <c r="AB767" s="3">
        <f>VALUE(SUBSTITUTE(MID($A767,I767+I$2+1,J767-I767-I$2-1),",","."))</f>
        <v>0</v>
      </c>
      <c r="AC767" s="3">
        <f>VALUE(SUBSTITUTE(MID($A767,J767+J$2+1,K767-J767-J$2-1),",","."))</f>
        <v>2.35</v>
      </c>
      <c r="AD767" s="3">
        <f>VALUE(SUBSTITUTE(MID($A767,K767+K$2+1,L767-K767-K$2-1),",","."))</f>
        <v>8.82</v>
      </c>
      <c r="AE767" s="3">
        <f>VALUE(SUBSTITUTE(MID($A767,L767+L$2+1,M767-L767-L$2-1),",","."))</f>
        <v>0</v>
      </c>
      <c r="AF767" s="3">
        <f>VALUE(SUBSTITUTE(MID($A767,M767+M$2+1,N767-M767-M$2-1),",","."))</f>
        <v>0</v>
      </c>
      <c r="AG767" s="3">
        <f>VALUE(SUBSTITUTE(MID($A767,N767+N$2+1,O767-N767-N$2-1),",","."))</f>
        <v>4.2252499391727802</v>
      </c>
      <c r="AH767" t="str">
        <f>MID($A767,O767+O$2+1,P767-O767-O$2-1)</f>
        <v/>
      </c>
      <c r="AI767" s="8" t="str">
        <f>MID($A767,P767+P$2+1,Q767-P767-P$2-1)</f>
        <v>False</v>
      </c>
      <c r="AK767" t="b">
        <f t="shared" si="100"/>
        <v>0</v>
      </c>
    </row>
    <row r="768" spans="1:37" x14ac:dyDescent="0.35">
      <c r="A768" t="s">
        <v>5315</v>
      </c>
      <c r="B768">
        <f t="shared" si="103"/>
        <v>10</v>
      </c>
      <c r="C768">
        <f t="shared" si="103"/>
        <v>43</v>
      </c>
      <c r="D768">
        <f t="shared" si="103"/>
        <v>54</v>
      </c>
      <c r="E768">
        <f t="shared" si="101"/>
        <v>80</v>
      </c>
      <c r="F768">
        <f t="shared" si="101"/>
        <v>124</v>
      </c>
      <c r="G768">
        <f t="shared" si="101"/>
        <v>145</v>
      </c>
      <c r="H768">
        <f t="shared" si="101"/>
        <v>177</v>
      </c>
      <c r="I768">
        <f t="shared" si="101"/>
        <v>199</v>
      </c>
      <c r="J768">
        <f t="shared" si="101"/>
        <v>232</v>
      </c>
      <c r="K768">
        <f t="shared" si="101"/>
        <v>252</v>
      </c>
      <c r="L768">
        <f t="shared" si="101"/>
        <v>270</v>
      </c>
      <c r="M768">
        <f t="shared" si="101"/>
        <v>285</v>
      </c>
      <c r="N768">
        <f t="shared" si="106"/>
        <v>297</v>
      </c>
      <c r="O768">
        <f t="shared" si="106"/>
        <v>322</v>
      </c>
      <c r="P768">
        <f t="shared" si="106"/>
        <v>340</v>
      </c>
      <c r="Q768">
        <f t="shared" si="106"/>
        <v>366</v>
      </c>
      <c r="S768" t="str">
        <f t="shared" si="104"/>
        <v>04.12.2025</v>
      </c>
      <c r="T768" t="str">
        <f t="shared" si="105"/>
        <v>18:30:00</v>
      </c>
      <c r="U768" t="str">
        <f t="shared" si="99"/>
        <v>04.12.2025 18:30:00</v>
      </c>
      <c r="V768" s="9" t="str">
        <f>MID($A768,C768+C$2+1,D768-C768-C$2-1)</f>
        <v>0</v>
      </c>
      <c r="W768" s="4">
        <f>VALUE(SUBSTITUTE(MID($A768,D768+D$2+1,E768-D768-D$2-1),",","."))</f>
        <v>0</v>
      </c>
      <c r="X768" s="4">
        <f>VALUE(SUBSTITUTE(MID($A768,E768+E$2+1,F768-E768-E$2-1),",","."))</f>
        <v>0.90957602214449496</v>
      </c>
      <c r="Y768" s="4">
        <f>VALUE(SUBSTITUTE(MID($A768,F768+F$2+1,G768-F768-F$2-1),",","."))</f>
        <v>0</v>
      </c>
      <c r="Z768" s="3">
        <f>VALUE(SUBSTITUTE(MID($A768,G768+G$2+1,H768-G768-G$2-1),",","."))</f>
        <v>0</v>
      </c>
      <c r="AA768" s="3">
        <f>VALUE(SUBSTITUTE(MID($A768,H768+H$2+1,I768-H768-H$2-1),",","."))</f>
        <v>0</v>
      </c>
      <c r="AB768" s="3">
        <f>VALUE(SUBSTITUTE(MID($A768,I768+I$2+1,J768-I768-I$2-1),",","."))</f>
        <v>0</v>
      </c>
      <c r="AC768" s="3">
        <f>VALUE(SUBSTITUTE(MID($A768,J768+J$2+1,K768-J768-J$2-1),",","."))</f>
        <v>2.15</v>
      </c>
      <c r="AD768" s="3">
        <f>VALUE(SUBSTITUTE(MID($A768,K768+K$2+1,L768-K768-K$2-1),",","."))</f>
        <v>9.18</v>
      </c>
      <c r="AE768" s="3">
        <f>VALUE(SUBSTITUTE(MID($A768,L768+L$2+1,M768-L768-L$2-1),",","."))</f>
        <v>0</v>
      </c>
      <c r="AF768" s="3">
        <f>VALUE(SUBSTITUTE(MID($A768,M768+M$2+1,N768-M768-M$2-1),",","."))</f>
        <v>0</v>
      </c>
      <c r="AG768" s="3">
        <f>VALUE(SUBSTITUTE(MID($A768,N768+N$2+1,O768-N768-N$2-1),",","."))</f>
        <v>4.2252784590608599</v>
      </c>
      <c r="AH768" t="str">
        <f>MID($A768,O768+O$2+1,P768-O768-O$2-1)</f>
        <v/>
      </c>
      <c r="AI768" s="8" t="str">
        <f>MID($A768,P768+P$2+1,Q768-P768-P$2-1)</f>
        <v>False</v>
      </c>
      <c r="AK768" t="b">
        <f t="shared" si="100"/>
        <v>0</v>
      </c>
    </row>
    <row r="769" spans="1:37" x14ac:dyDescent="0.35">
      <c r="A769" t="s">
        <v>5316</v>
      </c>
      <c r="B769">
        <f t="shared" si="103"/>
        <v>10</v>
      </c>
      <c r="C769">
        <f t="shared" si="103"/>
        <v>43</v>
      </c>
      <c r="D769">
        <f t="shared" si="103"/>
        <v>54</v>
      </c>
      <c r="E769">
        <f t="shared" si="101"/>
        <v>80</v>
      </c>
      <c r="F769">
        <f t="shared" si="101"/>
        <v>124</v>
      </c>
      <c r="G769">
        <f t="shared" si="101"/>
        <v>145</v>
      </c>
      <c r="H769">
        <f t="shared" si="101"/>
        <v>177</v>
      </c>
      <c r="I769">
        <f t="shared" si="101"/>
        <v>199</v>
      </c>
      <c r="J769">
        <f t="shared" si="101"/>
        <v>232</v>
      </c>
      <c r="K769">
        <f t="shared" si="101"/>
        <v>252</v>
      </c>
      <c r="L769">
        <f t="shared" si="101"/>
        <v>270</v>
      </c>
      <c r="M769">
        <f t="shared" si="101"/>
        <v>285</v>
      </c>
      <c r="N769">
        <f t="shared" si="106"/>
        <v>297</v>
      </c>
      <c r="O769">
        <f t="shared" si="106"/>
        <v>322</v>
      </c>
      <c r="P769">
        <f t="shared" si="106"/>
        <v>340</v>
      </c>
      <c r="Q769">
        <f t="shared" si="106"/>
        <v>366</v>
      </c>
      <c r="S769" t="str">
        <f t="shared" si="104"/>
        <v>04.12.2025</v>
      </c>
      <c r="T769" t="str">
        <f t="shared" si="105"/>
        <v>18:45:00</v>
      </c>
      <c r="U769" t="str">
        <f t="shared" si="99"/>
        <v>04.12.2025 18:45:00</v>
      </c>
      <c r="V769" s="9" t="str">
        <f>MID($A769,C769+C$2+1,D769-C769-C$2-1)</f>
        <v>0</v>
      </c>
      <c r="W769" s="4">
        <f>VALUE(SUBSTITUTE(MID($A769,D769+D$2+1,E769-D769-D$2-1),",","."))</f>
        <v>0</v>
      </c>
      <c r="X769" s="4">
        <f>VALUE(SUBSTITUTE(MID($A769,E769+E$2+1,F769-E769-E$2-1),",","."))</f>
        <v>0.90957602214449496</v>
      </c>
      <c r="Y769" s="4">
        <f>VALUE(SUBSTITUTE(MID($A769,F769+F$2+1,G769-F769-F$2-1),",","."))</f>
        <v>0</v>
      </c>
      <c r="Z769" s="3">
        <f>VALUE(SUBSTITUTE(MID($A769,G769+G$2+1,H769-G769-G$2-1),",","."))</f>
        <v>0</v>
      </c>
      <c r="AA769" s="3">
        <f>VALUE(SUBSTITUTE(MID($A769,H769+H$2+1,I769-H769-H$2-1),",","."))</f>
        <v>0</v>
      </c>
      <c r="AB769" s="3">
        <f>VALUE(SUBSTITUTE(MID($A769,I769+I$2+1,J769-I769-I$2-1),",","."))</f>
        <v>0</v>
      </c>
      <c r="AC769" s="3">
        <f>VALUE(SUBSTITUTE(MID($A769,J769+J$2+1,K769-J769-J$2-1),",","."))</f>
        <v>2.15</v>
      </c>
      <c r="AD769" s="3">
        <f>VALUE(SUBSTITUTE(MID($A769,K769+K$2+1,L769-K769-K$2-1),",","."))</f>
        <v>9.18</v>
      </c>
      <c r="AE769" s="3">
        <f>VALUE(SUBSTITUTE(MID($A769,L769+L$2+1,M769-L769-L$2-1),",","."))</f>
        <v>0</v>
      </c>
      <c r="AF769" s="3">
        <f>VALUE(SUBSTITUTE(MID($A769,M769+M$2+1,N769-M769-M$2-1),",","."))</f>
        <v>0</v>
      </c>
      <c r="AG769" s="3">
        <f>VALUE(SUBSTITUTE(MID($A769,N769+N$2+1,O769-N769-N$2-1),",","."))</f>
        <v>4.2253069789489404</v>
      </c>
      <c r="AH769" t="str">
        <f>MID($A769,O769+O$2+1,P769-O769-O$2-1)</f>
        <v/>
      </c>
      <c r="AI769" s="8" t="str">
        <f>MID($A769,P769+P$2+1,Q769-P769-P$2-1)</f>
        <v>False</v>
      </c>
      <c r="AK769" t="b">
        <f t="shared" si="100"/>
        <v>0</v>
      </c>
    </row>
    <row r="770" spans="1:37" x14ac:dyDescent="0.35">
      <c r="A770" t="s">
        <v>5317</v>
      </c>
      <c r="B770">
        <f t="shared" si="103"/>
        <v>10</v>
      </c>
      <c r="C770">
        <f t="shared" si="103"/>
        <v>43</v>
      </c>
      <c r="D770">
        <f t="shared" si="103"/>
        <v>54</v>
      </c>
      <c r="E770">
        <f t="shared" si="101"/>
        <v>80</v>
      </c>
      <c r="F770">
        <f t="shared" si="101"/>
        <v>124</v>
      </c>
      <c r="G770">
        <f t="shared" si="101"/>
        <v>145</v>
      </c>
      <c r="H770">
        <f t="shared" si="101"/>
        <v>177</v>
      </c>
      <c r="I770">
        <f t="shared" si="101"/>
        <v>199</v>
      </c>
      <c r="J770">
        <f t="shared" si="101"/>
        <v>232</v>
      </c>
      <c r="K770">
        <f t="shared" si="101"/>
        <v>252</v>
      </c>
      <c r="L770">
        <f t="shared" si="101"/>
        <v>270</v>
      </c>
      <c r="M770">
        <f t="shared" si="101"/>
        <v>285</v>
      </c>
      <c r="N770">
        <f t="shared" si="106"/>
        <v>297</v>
      </c>
      <c r="O770">
        <f t="shared" si="106"/>
        <v>322</v>
      </c>
      <c r="P770">
        <f t="shared" si="106"/>
        <v>340</v>
      </c>
      <c r="Q770">
        <f t="shared" si="106"/>
        <v>366</v>
      </c>
      <c r="S770" t="str">
        <f t="shared" si="104"/>
        <v>04.12.2025</v>
      </c>
      <c r="T770" t="str">
        <f t="shared" si="105"/>
        <v>19:00:00</v>
      </c>
      <c r="U770" t="str">
        <f t="shared" si="99"/>
        <v>04.12.2025 19:00:00</v>
      </c>
      <c r="V770" s="9" t="str">
        <f>MID($A770,C770+C$2+1,D770-C770-C$2-1)</f>
        <v>0</v>
      </c>
      <c r="W770" s="4">
        <f>VALUE(SUBSTITUTE(MID($A770,D770+D$2+1,E770-D770-D$2-1),",","."))</f>
        <v>0</v>
      </c>
      <c r="X770" s="4">
        <f>VALUE(SUBSTITUTE(MID($A770,E770+E$2+1,F770-E770-E$2-1),",","."))</f>
        <v>0.90957602214449496</v>
      </c>
      <c r="Y770" s="4">
        <f>VALUE(SUBSTITUTE(MID($A770,F770+F$2+1,G770-F770-F$2-1),",","."))</f>
        <v>0</v>
      </c>
      <c r="Z770" s="3">
        <f>VALUE(SUBSTITUTE(MID($A770,G770+G$2+1,H770-G770-G$2-1),",","."))</f>
        <v>0</v>
      </c>
      <c r="AA770" s="3">
        <f>VALUE(SUBSTITUTE(MID($A770,H770+H$2+1,I770-H770-H$2-1),",","."))</f>
        <v>0</v>
      </c>
      <c r="AB770" s="3">
        <f>VALUE(SUBSTITUTE(MID($A770,I770+I$2+1,J770-I770-I$2-1),",","."))</f>
        <v>0</v>
      </c>
      <c r="AC770" s="3">
        <f>VALUE(SUBSTITUTE(MID($A770,J770+J$2+1,K770-J770-J$2-1),",","."))</f>
        <v>2.15</v>
      </c>
      <c r="AD770" s="3">
        <f>VALUE(SUBSTITUTE(MID($A770,K770+K$2+1,L770-K770-K$2-1),",","."))</f>
        <v>9.18</v>
      </c>
      <c r="AE770" s="3">
        <f>VALUE(SUBSTITUTE(MID($A770,L770+L$2+1,M770-L770-L$2-1),",","."))</f>
        <v>0</v>
      </c>
      <c r="AF770" s="3">
        <f>VALUE(SUBSTITUTE(MID($A770,M770+M$2+1,N770-M770-M$2-1),",","."))</f>
        <v>0</v>
      </c>
      <c r="AG770" s="3">
        <f>VALUE(SUBSTITUTE(MID($A770,N770+N$2+1,O770-N770-N$2-1),",","."))</f>
        <v>4.22533549883702</v>
      </c>
      <c r="AH770" t="str">
        <f>MID($A770,O770+O$2+1,P770-O770-O$2-1)</f>
        <v/>
      </c>
      <c r="AI770" s="8" t="str">
        <f>MID($A770,P770+P$2+1,Q770-P770-P$2-1)</f>
        <v>False</v>
      </c>
      <c r="AK770" t="b">
        <f t="shared" si="100"/>
        <v>0</v>
      </c>
    </row>
    <row r="771" spans="1:37" x14ac:dyDescent="0.35">
      <c r="A771" t="s">
        <v>5318</v>
      </c>
      <c r="B771">
        <f t="shared" si="103"/>
        <v>10</v>
      </c>
      <c r="C771">
        <f t="shared" si="103"/>
        <v>43</v>
      </c>
      <c r="D771">
        <f t="shared" si="103"/>
        <v>54</v>
      </c>
      <c r="E771">
        <f t="shared" si="103"/>
        <v>80</v>
      </c>
      <c r="F771">
        <f t="shared" si="103"/>
        <v>124</v>
      </c>
      <c r="G771">
        <f t="shared" si="103"/>
        <v>145</v>
      </c>
      <c r="H771">
        <f t="shared" si="103"/>
        <v>177</v>
      </c>
      <c r="I771">
        <f t="shared" si="103"/>
        <v>199</v>
      </c>
      <c r="J771">
        <f t="shared" si="103"/>
        <v>232</v>
      </c>
      <c r="K771">
        <f t="shared" si="103"/>
        <v>252</v>
      </c>
      <c r="L771">
        <f t="shared" si="103"/>
        <v>270</v>
      </c>
      <c r="M771">
        <f t="shared" si="103"/>
        <v>285</v>
      </c>
      <c r="N771">
        <f t="shared" si="106"/>
        <v>297</v>
      </c>
      <c r="O771">
        <f t="shared" si="106"/>
        <v>323</v>
      </c>
      <c r="P771">
        <f t="shared" si="106"/>
        <v>341</v>
      </c>
      <c r="Q771">
        <f t="shared" si="106"/>
        <v>367</v>
      </c>
      <c r="S771" t="str">
        <f t="shared" si="104"/>
        <v>04.12.2025</v>
      </c>
      <c r="T771" t="str">
        <f t="shared" si="105"/>
        <v>19:15:00</v>
      </c>
      <c r="U771" t="str">
        <f t="shared" si="99"/>
        <v>04.12.2025 19:15:00</v>
      </c>
      <c r="V771" s="9" t="str">
        <f>MID($A771,C771+C$2+1,D771-C771-C$2-1)</f>
        <v>0</v>
      </c>
      <c r="W771" s="4">
        <f>VALUE(SUBSTITUTE(MID($A771,D771+D$2+1,E771-D771-D$2-1),",","."))</f>
        <v>0</v>
      </c>
      <c r="X771" s="4">
        <f>VALUE(SUBSTITUTE(MID($A771,E771+E$2+1,F771-E771-E$2-1),",","."))</f>
        <v>0.90957602214449496</v>
      </c>
      <c r="Y771" s="4">
        <f>VALUE(SUBSTITUTE(MID($A771,F771+F$2+1,G771-F771-F$2-1),",","."))</f>
        <v>0</v>
      </c>
      <c r="Z771" s="3">
        <f>VALUE(SUBSTITUTE(MID($A771,G771+G$2+1,H771-G771-G$2-1),",","."))</f>
        <v>0</v>
      </c>
      <c r="AA771" s="3">
        <f>VALUE(SUBSTITUTE(MID($A771,H771+H$2+1,I771-H771-H$2-1),",","."))</f>
        <v>0</v>
      </c>
      <c r="AB771" s="3">
        <f>VALUE(SUBSTITUTE(MID($A771,I771+I$2+1,J771-I771-I$2-1),",","."))</f>
        <v>0</v>
      </c>
      <c r="AC771" s="3">
        <f>VALUE(SUBSTITUTE(MID($A771,J771+J$2+1,K771-J771-J$2-1),",","."))</f>
        <v>2.15</v>
      </c>
      <c r="AD771" s="3">
        <f>VALUE(SUBSTITUTE(MID($A771,K771+K$2+1,L771-K771-K$2-1),",","."))</f>
        <v>9.18</v>
      </c>
      <c r="AE771" s="3">
        <f>VALUE(SUBSTITUTE(MID($A771,L771+L$2+1,M771-L771-L$2-1),",","."))</f>
        <v>0</v>
      </c>
      <c r="AF771" s="3">
        <f>VALUE(SUBSTITUTE(MID($A771,M771+M$2+1,N771-M771-M$2-1),",","."))</f>
        <v>0</v>
      </c>
      <c r="AG771" s="3">
        <f>VALUE(SUBSTITUTE(MID($A771,N771+N$2+1,O771-N771-N$2-1),",","."))</f>
        <v>4.2253640187250996</v>
      </c>
      <c r="AH771" t="str">
        <f>MID($A771,O771+O$2+1,P771-O771-O$2-1)</f>
        <v/>
      </c>
      <c r="AI771" s="8" t="str">
        <f>MID($A771,P771+P$2+1,Q771-P771-P$2-1)</f>
        <v>False</v>
      </c>
      <c r="AK771" t="b">
        <f t="shared" si="100"/>
        <v>0</v>
      </c>
    </row>
    <row r="772" spans="1:37" x14ac:dyDescent="0.35">
      <c r="A772" t="s">
        <v>5319</v>
      </c>
      <c r="B772">
        <f t="shared" si="103"/>
        <v>10</v>
      </c>
      <c r="C772">
        <f t="shared" si="103"/>
        <v>43</v>
      </c>
      <c r="D772">
        <f t="shared" si="103"/>
        <v>54</v>
      </c>
      <c r="E772">
        <f t="shared" si="103"/>
        <v>80</v>
      </c>
      <c r="F772">
        <f t="shared" si="103"/>
        <v>124</v>
      </c>
      <c r="G772">
        <f t="shared" si="103"/>
        <v>145</v>
      </c>
      <c r="H772">
        <f t="shared" si="103"/>
        <v>177</v>
      </c>
      <c r="I772">
        <f t="shared" si="103"/>
        <v>199</v>
      </c>
      <c r="J772">
        <f t="shared" si="103"/>
        <v>232</v>
      </c>
      <c r="K772">
        <f t="shared" si="103"/>
        <v>252</v>
      </c>
      <c r="L772">
        <f t="shared" si="103"/>
        <v>270</v>
      </c>
      <c r="M772">
        <f t="shared" si="103"/>
        <v>285</v>
      </c>
      <c r="N772">
        <f t="shared" si="106"/>
        <v>297</v>
      </c>
      <c r="O772">
        <f t="shared" si="106"/>
        <v>321</v>
      </c>
      <c r="P772">
        <f t="shared" si="106"/>
        <v>339</v>
      </c>
      <c r="Q772">
        <f t="shared" si="106"/>
        <v>365</v>
      </c>
      <c r="S772" t="str">
        <f t="shared" si="104"/>
        <v>04.12.2025</v>
      </c>
      <c r="T772" t="str">
        <f t="shared" si="105"/>
        <v>19:30:00</v>
      </c>
      <c r="U772" t="str">
        <f t="shared" ref="U772:U835" si="107">MID($A772,B772+B$2+1,C772-B772-B$2-1)</f>
        <v>04.12.2025 19:30:00</v>
      </c>
      <c r="V772" s="9" t="str">
        <f>MID($A772,C772+C$2+1,D772-C772-C$2-1)</f>
        <v>0</v>
      </c>
      <c r="W772" s="4">
        <f>VALUE(SUBSTITUTE(MID($A772,D772+D$2+1,E772-D772-D$2-1),",","."))</f>
        <v>0</v>
      </c>
      <c r="X772" s="4">
        <f>VALUE(SUBSTITUTE(MID($A772,E772+E$2+1,F772-E772-E$2-1),",","."))</f>
        <v>0.90957602214449496</v>
      </c>
      <c r="Y772" s="4">
        <f>VALUE(SUBSTITUTE(MID($A772,F772+F$2+1,G772-F772-F$2-1),",","."))</f>
        <v>0</v>
      </c>
      <c r="Z772" s="3">
        <f>VALUE(SUBSTITUTE(MID($A772,G772+G$2+1,H772-G772-G$2-1),",","."))</f>
        <v>0</v>
      </c>
      <c r="AA772" s="3">
        <f>VALUE(SUBSTITUTE(MID($A772,H772+H$2+1,I772-H772-H$2-1),",","."))</f>
        <v>0</v>
      </c>
      <c r="AB772" s="3">
        <f>VALUE(SUBSTITUTE(MID($A772,I772+I$2+1,J772-I772-I$2-1),",","."))</f>
        <v>0</v>
      </c>
      <c r="AC772" s="3">
        <f>VALUE(SUBSTITUTE(MID($A772,J772+J$2+1,K772-J772-J$2-1),",","."))</f>
        <v>2.15</v>
      </c>
      <c r="AD772" s="3">
        <f>VALUE(SUBSTITUTE(MID($A772,K772+K$2+1,L772-K772-K$2-1),",","."))</f>
        <v>9.18</v>
      </c>
      <c r="AE772" s="3">
        <f>VALUE(SUBSTITUTE(MID($A772,L772+L$2+1,M772-L772-L$2-1),",","."))</f>
        <v>0</v>
      </c>
      <c r="AF772" s="3">
        <f>VALUE(SUBSTITUTE(MID($A772,M772+M$2+1,N772-M772-M$2-1),",","."))</f>
        <v>0</v>
      </c>
      <c r="AG772" s="3">
        <f>VALUE(SUBSTITUTE(MID($A772,N772+N$2+1,O772-N772-N$2-1),",","."))</f>
        <v>4.2253925386131899</v>
      </c>
      <c r="AH772" t="str">
        <f>MID($A772,O772+O$2+1,P772-O772-O$2-1)</f>
        <v/>
      </c>
      <c r="AI772" s="8" t="str">
        <f>MID($A772,P772+P$2+1,Q772-P772-P$2-1)</f>
        <v>False</v>
      </c>
      <c r="AK772" t="b">
        <f t="shared" ref="AK772:AK835" si="108">AB772&gt;Z772</f>
        <v>0</v>
      </c>
    </row>
    <row r="773" spans="1:37" x14ac:dyDescent="0.35">
      <c r="A773" t="s">
        <v>5320</v>
      </c>
      <c r="B773">
        <f t="shared" si="103"/>
        <v>10</v>
      </c>
      <c r="C773">
        <f t="shared" si="103"/>
        <v>43</v>
      </c>
      <c r="D773">
        <f t="shared" si="103"/>
        <v>54</v>
      </c>
      <c r="E773">
        <f t="shared" si="103"/>
        <v>80</v>
      </c>
      <c r="F773">
        <f t="shared" si="103"/>
        <v>124</v>
      </c>
      <c r="G773">
        <f t="shared" si="103"/>
        <v>145</v>
      </c>
      <c r="H773">
        <f t="shared" si="103"/>
        <v>177</v>
      </c>
      <c r="I773">
        <f t="shared" si="103"/>
        <v>199</v>
      </c>
      <c r="J773">
        <f t="shared" si="103"/>
        <v>232</v>
      </c>
      <c r="K773">
        <f t="shared" si="103"/>
        <v>252</v>
      </c>
      <c r="L773">
        <f t="shared" si="103"/>
        <v>270</v>
      </c>
      <c r="M773">
        <f t="shared" si="103"/>
        <v>285</v>
      </c>
      <c r="N773">
        <f t="shared" si="106"/>
        <v>297</v>
      </c>
      <c r="O773">
        <f t="shared" si="106"/>
        <v>322</v>
      </c>
      <c r="P773">
        <f t="shared" si="106"/>
        <v>340</v>
      </c>
      <c r="Q773">
        <f t="shared" si="106"/>
        <v>366</v>
      </c>
      <c r="S773" t="str">
        <f t="shared" si="104"/>
        <v>04.12.2025</v>
      </c>
      <c r="T773" t="str">
        <f t="shared" si="105"/>
        <v>19:45:00</v>
      </c>
      <c r="U773" t="str">
        <f t="shared" si="107"/>
        <v>04.12.2025 19:45:00</v>
      </c>
      <c r="V773" s="9" t="str">
        <f>MID($A773,C773+C$2+1,D773-C773-C$2-1)</f>
        <v>0</v>
      </c>
      <c r="W773" s="4">
        <f>VALUE(SUBSTITUTE(MID($A773,D773+D$2+1,E773-D773-D$2-1),",","."))</f>
        <v>0</v>
      </c>
      <c r="X773" s="4">
        <f>VALUE(SUBSTITUTE(MID($A773,E773+E$2+1,F773-E773-E$2-1),",","."))</f>
        <v>0.90957602214449496</v>
      </c>
      <c r="Y773" s="4">
        <f>VALUE(SUBSTITUTE(MID($A773,F773+F$2+1,G773-F773-F$2-1),",","."))</f>
        <v>0</v>
      </c>
      <c r="Z773" s="3">
        <f>VALUE(SUBSTITUTE(MID($A773,G773+G$2+1,H773-G773-G$2-1),",","."))</f>
        <v>0</v>
      </c>
      <c r="AA773" s="3">
        <f>VALUE(SUBSTITUTE(MID($A773,H773+H$2+1,I773-H773-H$2-1),",","."))</f>
        <v>0</v>
      </c>
      <c r="AB773" s="3">
        <f>VALUE(SUBSTITUTE(MID($A773,I773+I$2+1,J773-I773-I$2-1),",","."))</f>
        <v>0</v>
      </c>
      <c r="AC773" s="3">
        <f>VALUE(SUBSTITUTE(MID($A773,J773+J$2+1,K773-J773-J$2-1),",","."))</f>
        <v>2.15</v>
      </c>
      <c r="AD773" s="3">
        <f>VALUE(SUBSTITUTE(MID($A773,K773+K$2+1,L773-K773-K$2-1),",","."))</f>
        <v>9.18</v>
      </c>
      <c r="AE773" s="3">
        <f>VALUE(SUBSTITUTE(MID($A773,L773+L$2+1,M773-L773-L$2-1),",","."))</f>
        <v>0</v>
      </c>
      <c r="AF773" s="3">
        <f>VALUE(SUBSTITUTE(MID($A773,M773+M$2+1,N773-M773-M$2-1),",","."))</f>
        <v>0</v>
      </c>
      <c r="AG773" s="3">
        <f>VALUE(SUBSTITUTE(MID($A773,N773+N$2+1,O773-N773-N$2-1),",","."))</f>
        <v>4.2254210585012704</v>
      </c>
      <c r="AH773" t="str">
        <f>MID($A773,O773+O$2+1,P773-O773-O$2-1)</f>
        <v/>
      </c>
      <c r="AI773" s="8" t="str">
        <f>MID($A773,P773+P$2+1,Q773-P773-P$2-1)</f>
        <v>False</v>
      </c>
      <c r="AK773" t="b">
        <f t="shared" si="108"/>
        <v>0</v>
      </c>
    </row>
    <row r="774" spans="1:37" x14ac:dyDescent="0.35">
      <c r="A774" t="s">
        <v>5321</v>
      </c>
      <c r="B774">
        <f t="shared" si="103"/>
        <v>10</v>
      </c>
      <c r="C774">
        <f t="shared" si="103"/>
        <v>43</v>
      </c>
      <c r="D774">
        <f t="shared" si="103"/>
        <v>54</v>
      </c>
      <c r="E774">
        <f t="shared" si="103"/>
        <v>80</v>
      </c>
      <c r="F774">
        <f t="shared" si="103"/>
        <v>124</v>
      </c>
      <c r="G774">
        <f t="shared" si="103"/>
        <v>145</v>
      </c>
      <c r="H774">
        <f t="shared" si="103"/>
        <v>177</v>
      </c>
      <c r="I774">
        <f t="shared" si="103"/>
        <v>199</v>
      </c>
      <c r="J774">
        <f t="shared" si="103"/>
        <v>232</v>
      </c>
      <c r="K774">
        <f t="shared" si="103"/>
        <v>252</v>
      </c>
      <c r="L774">
        <f t="shared" si="103"/>
        <v>270</v>
      </c>
      <c r="M774">
        <f t="shared" si="103"/>
        <v>285</v>
      </c>
      <c r="N774">
        <f t="shared" si="106"/>
        <v>297</v>
      </c>
      <c r="O774">
        <f t="shared" si="106"/>
        <v>323</v>
      </c>
      <c r="P774">
        <f t="shared" si="106"/>
        <v>341</v>
      </c>
      <c r="Q774">
        <f t="shared" si="106"/>
        <v>367</v>
      </c>
      <c r="S774" t="str">
        <f t="shared" si="104"/>
        <v>04.12.2025</v>
      </c>
      <c r="T774" t="str">
        <f t="shared" si="105"/>
        <v>20:00:00</v>
      </c>
      <c r="U774" t="str">
        <f t="shared" si="107"/>
        <v>04.12.2025 20:00:00</v>
      </c>
      <c r="V774" s="9" t="str">
        <f>MID($A774,C774+C$2+1,D774-C774-C$2-1)</f>
        <v>0</v>
      </c>
      <c r="W774" s="4">
        <f>VALUE(SUBSTITUTE(MID($A774,D774+D$2+1,E774-D774-D$2-1),",","."))</f>
        <v>0</v>
      </c>
      <c r="X774" s="4">
        <f>VALUE(SUBSTITUTE(MID($A774,E774+E$2+1,F774-E774-E$2-1),",","."))</f>
        <v>0.90957602214449496</v>
      </c>
      <c r="Y774" s="4">
        <f>VALUE(SUBSTITUTE(MID($A774,F774+F$2+1,G774-F774-F$2-1),",","."))</f>
        <v>0</v>
      </c>
      <c r="Z774" s="3">
        <f>VALUE(SUBSTITUTE(MID($A774,G774+G$2+1,H774-G774-G$2-1),",","."))</f>
        <v>0</v>
      </c>
      <c r="AA774" s="3">
        <f>VALUE(SUBSTITUTE(MID($A774,H774+H$2+1,I774-H774-H$2-1),",","."))</f>
        <v>0</v>
      </c>
      <c r="AB774" s="3">
        <f>VALUE(SUBSTITUTE(MID($A774,I774+I$2+1,J774-I774-I$2-1),",","."))</f>
        <v>0</v>
      </c>
      <c r="AC774" s="3">
        <f>VALUE(SUBSTITUTE(MID($A774,J774+J$2+1,K774-J774-J$2-1),",","."))</f>
        <v>2.15</v>
      </c>
      <c r="AD774" s="3">
        <f>VALUE(SUBSTITUTE(MID($A774,K774+K$2+1,L774-K774-K$2-1),",","."))</f>
        <v>9.18</v>
      </c>
      <c r="AE774" s="3">
        <f>VALUE(SUBSTITUTE(MID($A774,L774+L$2+1,M774-L774-L$2-1),",","."))</f>
        <v>0</v>
      </c>
      <c r="AF774" s="3">
        <f>VALUE(SUBSTITUTE(MID($A774,M774+M$2+1,N774-M774-M$2-1),",","."))</f>
        <v>0</v>
      </c>
      <c r="AG774" s="3">
        <f>VALUE(SUBSTITUTE(MID($A774,N774+N$2+1,O774-N774-N$2-1),",","."))</f>
        <v>4.22544957838935</v>
      </c>
      <c r="AH774" t="str">
        <f>MID($A774,O774+O$2+1,P774-O774-O$2-1)</f>
        <v/>
      </c>
      <c r="AI774" s="8" t="str">
        <f>MID($A774,P774+P$2+1,Q774-P774-P$2-1)</f>
        <v>False</v>
      </c>
      <c r="AK774" t="b">
        <f t="shared" si="108"/>
        <v>0</v>
      </c>
    </row>
    <row r="775" spans="1:37" x14ac:dyDescent="0.35">
      <c r="A775" t="s">
        <v>5322</v>
      </c>
      <c r="B775">
        <f t="shared" si="103"/>
        <v>10</v>
      </c>
      <c r="C775">
        <f t="shared" si="103"/>
        <v>43</v>
      </c>
      <c r="D775">
        <f t="shared" si="103"/>
        <v>54</v>
      </c>
      <c r="E775">
        <f t="shared" si="103"/>
        <v>80</v>
      </c>
      <c r="F775">
        <f t="shared" si="103"/>
        <v>124</v>
      </c>
      <c r="G775">
        <f t="shared" si="103"/>
        <v>145</v>
      </c>
      <c r="H775">
        <f t="shared" si="103"/>
        <v>177</v>
      </c>
      <c r="I775">
        <f t="shared" si="103"/>
        <v>199</v>
      </c>
      <c r="J775">
        <f t="shared" si="103"/>
        <v>232</v>
      </c>
      <c r="K775">
        <f t="shared" si="103"/>
        <v>252</v>
      </c>
      <c r="L775">
        <f t="shared" si="103"/>
        <v>270</v>
      </c>
      <c r="M775">
        <f t="shared" si="103"/>
        <v>285</v>
      </c>
      <c r="N775">
        <f t="shared" si="106"/>
        <v>297</v>
      </c>
      <c r="O775">
        <f t="shared" si="106"/>
        <v>322</v>
      </c>
      <c r="P775">
        <f t="shared" si="106"/>
        <v>340</v>
      </c>
      <c r="Q775">
        <f t="shared" si="106"/>
        <v>366</v>
      </c>
      <c r="S775" t="str">
        <f t="shared" si="104"/>
        <v>04.12.2025</v>
      </c>
      <c r="T775" t="str">
        <f t="shared" si="105"/>
        <v>20:15:00</v>
      </c>
      <c r="U775" t="str">
        <f t="shared" si="107"/>
        <v>04.12.2025 20:15:00</v>
      </c>
      <c r="V775" s="9" t="str">
        <f>MID($A775,C775+C$2+1,D775-C775-C$2-1)</f>
        <v>0</v>
      </c>
      <c r="W775" s="4">
        <f>VALUE(SUBSTITUTE(MID($A775,D775+D$2+1,E775-D775-D$2-1),",","."))</f>
        <v>0</v>
      </c>
      <c r="X775" s="4">
        <f>VALUE(SUBSTITUTE(MID($A775,E775+E$2+1,F775-E775-E$2-1),",","."))</f>
        <v>0.90957602214449496</v>
      </c>
      <c r="Y775" s="4">
        <f>VALUE(SUBSTITUTE(MID($A775,F775+F$2+1,G775-F775-F$2-1),",","."))</f>
        <v>0</v>
      </c>
      <c r="Z775" s="3">
        <f>VALUE(SUBSTITUTE(MID($A775,G775+G$2+1,H775-G775-G$2-1),",","."))</f>
        <v>0</v>
      </c>
      <c r="AA775" s="3">
        <f>VALUE(SUBSTITUTE(MID($A775,H775+H$2+1,I775-H775-H$2-1),",","."))</f>
        <v>0</v>
      </c>
      <c r="AB775" s="3">
        <f>VALUE(SUBSTITUTE(MID($A775,I775+I$2+1,J775-I775-I$2-1),",","."))</f>
        <v>0</v>
      </c>
      <c r="AC775" s="3">
        <f>VALUE(SUBSTITUTE(MID($A775,J775+J$2+1,K775-J775-J$2-1),",","."))</f>
        <v>2.15</v>
      </c>
      <c r="AD775" s="3">
        <f>VALUE(SUBSTITUTE(MID($A775,K775+K$2+1,L775-K775-K$2-1),",","."))</f>
        <v>9.18</v>
      </c>
      <c r="AE775" s="3">
        <f>VALUE(SUBSTITUTE(MID($A775,L775+L$2+1,M775-L775-L$2-1),",","."))</f>
        <v>0</v>
      </c>
      <c r="AF775" s="3">
        <f>VALUE(SUBSTITUTE(MID($A775,M775+M$2+1,N775-M775-M$2-1),",","."))</f>
        <v>0</v>
      </c>
      <c r="AG775" s="3">
        <f>VALUE(SUBSTITUTE(MID($A775,N775+N$2+1,O775-N775-N$2-1),",","."))</f>
        <v>4.2254780982774296</v>
      </c>
      <c r="AH775" t="str">
        <f>MID($A775,O775+O$2+1,P775-O775-O$2-1)</f>
        <v/>
      </c>
      <c r="AI775" s="8" t="str">
        <f>MID($A775,P775+P$2+1,Q775-P775-P$2-1)</f>
        <v>False</v>
      </c>
      <c r="AK775" t="b">
        <f t="shared" si="108"/>
        <v>0</v>
      </c>
    </row>
    <row r="776" spans="1:37" x14ac:dyDescent="0.35">
      <c r="A776" t="s">
        <v>5323</v>
      </c>
      <c r="B776">
        <f t="shared" si="103"/>
        <v>10</v>
      </c>
      <c r="C776">
        <f t="shared" si="103"/>
        <v>43</v>
      </c>
      <c r="D776">
        <f t="shared" si="103"/>
        <v>54</v>
      </c>
      <c r="E776">
        <f t="shared" si="103"/>
        <v>80</v>
      </c>
      <c r="F776">
        <f t="shared" si="103"/>
        <v>124</v>
      </c>
      <c r="G776">
        <f t="shared" si="103"/>
        <v>145</v>
      </c>
      <c r="H776">
        <f t="shared" si="103"/>
        <v>177</v>
      </c>
      <c r="I776">
        <f t="shared" si="103"/>
        <v>199</v>
      </c>
      <c r="J776">
        <f t="shared" si="103"/>
        <v>232</v>
      </c>
      <c r="K776">
        <f t="shared" si="103"/>
        <v>251</v>
      </c>
      <c r="L776">
        <f t="shared" si="103"/>
        <v>269</v>
      </c>
      <c r="M776">
        <f t="shared" si="103"/>
        <v>284</v>
      </c>
      <c r="N776">
        <f t="shared" si="106"/>
        <v>296</v>
      </c>
      <c r="O776">
        <f t="shared" si="106"/>
        <v>321</v>
      </c>
      <c r="P776">
        <f t="shared" si="106"/>
        <v>339</v>
      </c>
      <c r="Q776">
        <f t="shared" si="106"/>
        <v>365</v>
      </c>
      <c r="S776" t="str">
        <f t="shared" si="104"/>
        <v>04.12.2025</v>
      </c>
      <c r="T776" t="str">
        <f t="shared" si="105"/>
        <v>20:30:00</v>
      </c>
      <c r="U776" t="str">
        <f t="shared" si="107"/>
        <v>04.12.2025 20:30:00</v>
      </c>
      <c r="V776" s="9" t="str">
        <f>MID($A776,C776+C$2+1,D776-C776-C$2-1)</f>
        <v>0</v>
      </c>
      <c r="W776" s="4">
        <f>VALUE(SUBSTITUTE(MID($A776,D776+D$2+1,E776-D776-D$2-1),",","."))</f>
        <v>0</v>
      </c>
      <c r="X776" s="4">
        <f>VALUE(SUBSTITUTE(MID($A776,E776+E$2+1,F776-E776-E$2-1),",","."))</f>
        <v>0.90957602214449496</v>
      </c>
      <c r="Y776" s="4">
        <f>VALUE(SUBSTITUTE(MID($A776,F776+F$2+1,G776-F776-F$2-1),",","."))</f>
        <v>0</v>
      </c>
      <c r="Z776" s="3">
        <f>VALUE(SUBSTITUTE(MID($A776,G776+G$2+1,H776-G776-G$2-1),",","."))</f>
        <v>0</v>
      </c>
      <c r="AA776" s="3">
        <f>VALUE(SUBSTITUTE(MID($A776,H776+H$2+1,I776-H776-H$2-1),",","."))</f>
        <v>0</v>
      </c>
      <c r="AB776" s="3">
        <f>VALUE(SUBSTITUTE(MID($A776,I776+I$2+1,J776-I776-I$2-1),",","."))</f>
        <v>0</v>
      </c>
      <c r="AC776" s="3">
        <f>VALUE(SUBSTITUTE(MID($A776,J776+J$2+1,K776-J776-J$2-1),",","."))</f>
        <v>2.2000000000000002</v>
      </c>
      <c r="AD776" s="3">
        <f>VALUE(SUBSTITUTE(MID($A776,K776+K$2+1,L776-K776-K$2-1),",","."))</f>
        <v>8.64</v>
      </c>
      <c r="AE776" s="3">
        <f>VALUE(SUBSTITUTE(MID($A776,L776+L$2+1,M776-L776-L$2-1),",","."))</f>
        <v>0</v>
      </c>
      <c r="AF776" s="3">
        <f>VALUE(SUBSTITUTE(MID($A776,M776+M$2+1,N776-M776-M$2-1),",","."))</f>
        <v>0</v>
      </c>
      <c r="AG776" s="3">
        <f>VALUE(SUBSTITUTE(MID($A776,N776+N$2+1,O776-N776-N$2-1),",","."))</f>
        <v>4.2255066181655101</v>
      </c>
      <c r="AH776" t="str">
        <f>MID($A776,O776+O$2+1,P776-O776-O$2-1)</f>
        <v/>
      </c>
      <c r="AI776" s="8" t="str">
        <f>MID($A776,P776+P$2+1,Q776-P776-P$2-1)</f>
        <v>False</v>
      </c>
      <c r="AK776" t="b">
        <f t="shared" si="108"/>
        <v>0</v>
      </c>
    </row>
    <row r="777" spans="1:37" x14ac:dyDescent="0.35">
      <c r="A777" t="s">
        <v>5324</v>
      </c>
      <c r="B777">
        <f t="shared" si="103"/>
        <v>10</v>
      </c>
      <c r="C777">
        <f t="shared" si="103"/>
        <v>43</v>
      </c>
      <c r="D777">
        <f t="shared" si="103"/>
        <v>54</v>
      </c>
      <c r="E777">
        <f t="shared" si="103"/>
        <v>80</v>
      </c>
      <c r="F777">
        <f t="shared" si="103"/>
        <v>124</v>
      </c>
      <c r="G777">
        <f t="shared" si="103"/>
        <v>145</v>
      </c>
      <c r="H777">
        <f t="shared" si="103"/>
        <v>177</v>
      </c>
      <c r="I777">
        <f t="shared" si="103"/>
        <v>199</v>
      </c>
      <c r="J777">
        <f t="shared" si="103"/>
        <v>232</v>
      </c>
      <c r="K777">
        <f t="shared" si="103"/>
        <v>251</v>
      </c>
      <c r="L777">
        <f t="shared" si="103"/>
        <v>269</v>
      </c>
      <c r="M777">
        <f t="shared" si="103"/>
        <v>284</v>
      </c>
      <c r="N777">
        <f t="shared" si="106"/>
        <v>296</v>
      </c>
      <c r="O777">
        <f t="shared" si="106"/>
        <v>321</v>
      </c>
      <c r="P777">
        <f t="shared" si="106"/>
        <v>339</v>
      </c>
      <c r="Q777">
        <f t="shared" si="106"/>
        <v>365</v>
      </c>
      <c r="S777" t="str">
        <f t="shared" si="104"/>
        <v>04.12.2025</v>
      </c>
      <c r="T777" t="str">
        <f t="shared" si="105"/>
        <v>20:45:00</v>
      </c>
      <c r="U777" t="str">
        <f t="shared" si="107"/>
        <v>04.12.2025 20:45:00</v>
      </c>
      <c r="V777" s="9" t="str">
        <f>MID($A777,C777+C$2+1,D777-C777-C$2-1)</f>
        <v>0</v>
      </c>
      <c r="W777" s="4">
        <f>VALUE(SUBSTITUTE(MID($A777,D777+D$2+1,E777-D777-D$2-1),",","."))</f>
        <v>0</v>
      </c>
      <c r="X777" s="4">
        <f>VALUE(SUBSTITUTE(MID($A777,E777+E$2+1,F777-E777-E$2-1),",","."))</f>
        <v>0.90957602214449496</v>
      </c>
      <c r="Y777" s="4">
        <f>VALUE(SUBSTITUTE(MID($A777,F777+F$2+1,G777-F777-F$2-1),",","."))</f>
        <v>0</v>
      </c>
      <c r="Z777" s="3">
        <f>VALUE(SUBSTITUTE(MID($A777,G777+G$2+1,H777-G777-G$2-1),",","."))</f>
        <v>0</v>
      </c>
      <c r="AA777" s="3">
        <f>VALUE(SUBSTITUTE(MID($A777,H777+H$2+1,I777-H777-H$2-1),",","."))</f>
        <v>0</v>
      </c>
      <c r="AB777" s="3">
        <f>VALUE(SUBSTITUTE(MID($A777,I777+I$2+1,J777-I777-I$2-1),",","."))</f>
        <v>0</v>
      </c>
      <c r="AC777" s="3">
        <f>VALUE(SUBSTITUTE(MID($A777,J777+J$2+1,K777-J777-J$2-1),",","."))</f>
        <v>2.2000000000000002</v>
      </c>
      <c r="AD777" s="3">
        <f>VALUE(SUBSTITUTE(MID($A777,K777+K$2+1,L777-K777-K$2-1),",","."))</f>
        <v>8.64</v>
      </c>
      <c r="AE777" s="3">
        <f>VALUE(SUBSTITUTE(MID($A777,L777+L$2+1,M777-L777-L$2-1),",","."))</f>
        <v>0</v>
      </c>
      <c r="AF777" s="3">
        <f>VALUE(SUBSTITUTE(MID($A777,M777+M$2+1,N777-M777-M$2-1),",","."))</f>
        <v>0</v>
      </c>
      <c r="AG777" s="3">
        <f>VALUE(SUBSTITUTE(MID($A777,N777+N$2+1,O777-N777-N$2-1),",","."))</f>
        <v>4.2255351380535897</v>
      </c>
      <c r="AH777" t="str">
        <f>MID($A777,O777+O$2+1,P777-O777-O$2-1)</f>
        <v/>
      </c>
      <c r="AI777" s="8" t="str">
        <f>MID($A777,P777+P$2+1,Q777-P777-P$2-1)</f>
        <v>False</v>
      </c>
      <c r="AK777" t="b">
        <f t="shared" si="108"/>
        <v>0</v>
      </c>
    </row>
    <row r="778" spans="1:37" x14ac:dyDescent="0.35">
      <c r="A778" t="s">
        <v>5325</v>
      </c>
      <c r="B778">
        <f t="shared" si="103"/>
        <v>10</v>
      </c>
      <c r="C778">
        <f t="shared" si="103"/>
        <v>43</v>
      </c>
      <c r="D778">
        <f t="shared" si="103"/>
        <v>54</v>
      </c>
      <c r="E778">
        <f t="shared" si="103"/>
        <v>80</v>
      </c>
      <c r="F778">
        <f t="shared" si="103"/>
        <v>124</v>
      </c>
      <c r="G778">
        <f t="shared" si="103"/>
        <v>145</v>
      </c>
      <c r="H778">
        <f t="shared" si="103"/>
        <v>177</v>
      </c>
      <c r="I778">
        <f t="shared" si="103"/>
        <v>199</v>
      </c>
      <c r="J778">
        <f t="shared" si="103"/>
        <v>232</v>
      </c>
      <c r="K778">
        <f t="shared" si="103"/>
        <v>251</v>
      </c>
      <c r="L778">
        <f t="shared" si="103"/>
        <v>269</v>
      </c>
      <c r="M778">
        <f t="shared" si="103"/>
        <v>284</v>
      </c>
      <c r="N778">
        <f t="shared" si="106"/>
        <v>296</v>
      </c>
      <c r="O778">
        <f t="shared" si="106"/>
        <v>320</v>
      </c>
      <c r="P778">
        <f t="shared" si="106"/>
        <v>338</v>
      </c>
      <c r="Q778">
        <f t="shared" si="106"/>
        <v>364</v>
      </c>
      <c r="S778" t="str">
        <f t="shared" si="104"/>
        <v>04.12.2025</v>
      </c>
      <c r="T778" t="str">
        <f t="shared" si="105"/>
        <v>21:00:00</v>
      </c>
      <c r="U778" t="str">
        <f t="shared" si="107"/>
        <v>04.12.2025 21:00:00</v>
      </c>
      <c r="V778" s="9" t="str">
        <f>MID($A778,C778+C$2+1,D778-C778-C$2-1)</f>
        <v>0</v>
      </c>
      <c r="W778" s="4">
        <f>VALUE(SUBSTITUTE(MID($A778,D778+D$2+1,E778-D778-D$2-1),",","."))</f>
        <v>0</v>
      </c>
      <c r="X778" s="4">
        <f>VALUE(SUBSTITUTE(MID($A778,E778+E$2+1,F778-E778-E$2-1),",","."))</f>
        <v>0.90957602214449496</v>
      </c>
      <c r="Y778" s="4">
        <f>VALUE(SUBSTITUTE(MID($A778,F778+F$2+1,G778-F778-F$2-1),",","."))</f>
        <v>0</v>
      </c>
      <c r="Z778" s="3">
        <f>VALUE(SUBSTITUTE(MID($A778,G778+G$2+1,H778-G778-G$2-1),",","."))</f>
        <v>0</v>
      </c>
      <c r="AA778" s="3">
        <f>VALUE(SUBSTITUTE(MID($A778,H778+H$2+1,I778-H778-H$2-1),",","."))</f>
        <v>0</v>
      </c>
      <c r="AB778" s="3">
        <f>VALUE(SUBSTITUTE(MID($A778,I778+I$2+1,J778-I778-I$2-1),",","."))</f>
        <v>0</v>
      </c>
      <c r="AC778" s="3">
        <f>VALUE(SUBSTITUTE(MID($A778,J778+J$2+1,K778-J778-J$2-1),",","."))</f>
        <v>2.2000000000000002</v>
      </c>
      <c r="AD778" s="3">
        <f>VALUE(SUBSTITUTE(MID($A778,K778+K$2+1,L778-K778-K$2-1),",","."))</f>
        <v>8.64</v>
      </c>
      <c r="AE778" s="3">
        <f>VALUE(SUBSTITUTE(MID($A778,L778+L$2+1,M778-L778-L$2-1),",","."))</f>
        <v>0</v>
      </c>
      <c r="AF778" s="3">
        <f>VALUE(SUBSTITUTE(MID($A778,M778+M$2+1,N778-M778-M$2-1),",","."))</f>
        <v>0</v>
      </c>
      <c r="AG778" s="3">
        <f>VALUE(SUBSTITUTE(MID($A778,N778+N$2+1,O778-N778-N$2-1),",","."))</f>
        <v>4.22556365794168</v>
      </c>
      <c r="AH778" t="str">
        <f>MID($A778,O778+O$2+1,P778-O778-O$2-1)</f>
        <v/>
      </c>
      <c r="AI778" s="8" t="str">
        <f>MID($A778,P778+P$2+1,Q778-P778-P$2-1)</f>
        <v>False</v>
      </c>
      <c r="AK778" t="b">
        <f t="shared" si="108"/>
        <v>0</v>
      </c>
    </row>
    <row r="779" spans="1:37" x14ac:dyDescent="0.35">
      <c r="A779" t="s">
        <v>5326</v>
      </c>
      <c r="B779">
        <f t="shared" si="103"/>
        <v>10</v>
      </c>
      <c r="C779">
        <f t="shared" si="103"/>
        <v>43</v>
      </c>
      <c r="D779">
        <f t="shared" si="103"/>
        <v>54</v>
      </c>
      <c r="E779">
        <f t="shared" si="103"/>
        <v>80</v>
      </c>
      <c r="F779">
        <f t="shared" si="103"/>
        <v>124</v>
      </c>
      <c r="G779">
        <f t="shared" si="103"/>
        <v>145</v>
      </c>
      <c r="H779">
        <f t="shared" si="103"/>
        <v>177</v>
      </c>
      <c r="I779">
        <f t="shared" si="103"/>
        <v>199</v>
      </c>
      <c r="J779">
        <f t="shared" si="103"/>
        <v>232</v>
      </c>
      <c r="K779">
        <f t="shared" si="103"/>
        <v>251</v>
      </c>
      <c r="L779">
        <f t="shared" si="103"/>
        <v>269</v>
      </c>
      <c r="M779">
        <f t="shared" si="103"/>
        <v>284</v>
      </c>
      <c r="N779">
        <f t="shared" si="106"/>
        <v>296</v>
      </c>
      <c r="O779">
        <f t="shared" si="106"/>
        <v>321</v>
      </c>
      <c r="P779">
        <f t="shared" si="106"/>
        <v>339</v>
      </c>
      <c r="Q779">
        <f t="shared" si="106"/>
        <v>365</v>
      </c>
      <c r="S779" t="str">
        <f t="shared" si="104"/>
        <v>04.12.2025</v>
      </c>
      <c r="T779" t="str">
        <f t="shared" si="105"/>
        <v>21:15:00</v>
      </c>
      <c r="U779" t="str">
        <f t="shared" si="107"/>
        <v>04.12.2025 21:15:00</v>
      </c>
      <c r="V779" s="9" t="str">
        <f>MID($A779,C779+C$2+1,D779-C779-C$2-1)</f>
        <v>0</v>
      </c>
      <c r="W779" s="4">
        <f>VALUE(SUBSTITUTE(MID($A779,D779+D$2+1,E779-D779-D$2-1),",","."))</f>
        <v>0</v>
      </c>
      <c r="X779" s="4">
        <f>VALUE(SUBSTITUTE(MID($A779,E779+E$2+1,F779-E779-E$2-1),",","."))</f>
        <v>0.90957602214449496</v>
      </c>
      <c r="Y779" s="4">
        <f>VALUE(SUBSTITUTE(MID($A779,F779+F$2+1,G779-F779-F$2-1),",","."))</f>
        <v>0</v>
      </c>
      <c r="Z779" s="3">
        <f>VALUE(SUBSTITUTE(MID($A779,G779+G$2+1,H779-G779-G$2-1),",","."))</f>
        <v>0</v>
      </c>
      <c r="AA779" s="3">
        <f>VALUE(SUBSTITUTE(MID($A779,H779+H$2+1,I779-H779-H$2-1),",","."))</f>
        <v>0</v>
      </c>
      <c r="AB779" s="3">
        <f>VALUE(SUBSTITUTE(MID($A779,I779+I$2+1,J779-I779-I$2-1),",","."))</f>
        <v>0</v>
      </c>
      <c r="AC779" s="3">
        <f>VALUE(SUBSTITUTE(MID($A779,J779+J$2+1,K779-J779-J$2-1),",","."))</f>
        <v>2.2000000000000002</v>
      </c>
      <c r="AD779" s="3">
        <f>VALUE(SUBSTITUTE(MID($A779,K779+K$2+1,L779-K779-K$2-1),",","."))</f>
        <v>8.64</v>
      </c>
      <c r="AE779" s="3">
        <f>VALUE(SUBSTITUTE(MID($A779,L779+L$2+1,M779-L779-L$2-1),",","."))</f>
        <v>0</v>
      </c>
      <c r="AF779" s="3">
        <f>VALUE(SUBSTITUTE(MID($A779,M779+M$2+1,N779-M779-M$2-1),",","."))</f>
        <v>0</v>
      </c>
      <c r="AG779" s="3">
        <f>VALUE(SUBSTITUTE(MID($A779,N779+N$2+1,O779-N779-N$2-1),",","."))</f>
        <v>4.2255921778297596</v>
      </c>
      <c r="AH779" t="str">
        <f>MID($A779,O779+O$2+1,P779-O779-O$2-1)</f>
        <v/>
      </c>
      <c r="AI779" s="8" t="str">
        <f>MID($A779,P779+P$2+1,Q779-P779-P$2-1)</f>
        <v>False</v>
      </c>
      <c r="AK779" t="b">
        <f t="shared" si="108"/>
        <v>0</v>
      </c>
    </row>
    <row r="780" spans="1:37" x14ac:dyDescent="0.35">
      <c r="A780" t="s">
        <v>5327</v>
      </c>
      <c r="B780">
        <f t="shared" si="103"/>
        <v>10</v>
      </c>
      <c r="C780">
        <f t="shared" si="103"/>
        <v>43</v>
      </c>
      <c r="D780">
        <f t="shared" si="103"/>
        <v>54</v>
      </c>
      <c r="E780">
        <f t="shared" si="103"/>
        <v>80</v>
      </c>
      <c r="F780">
        <f t="shared" si="103"/>
        <v>124</v>
      </c>
      <c r="G780">
        <f t="shared" si="103"/>
        <v>145</v>
      </c>
      <c r="H780">
        <f t="shared" si="103"/>
        <v>177</v>
      </c>
      <c r="I780">
        <f t="shared" si="103"/>
        <v>199</v>
      </c>
      <c r="J780">
        <f t="shared" si="103"/>
        <v>232</v>
      </c>
      <c r="K780">
        <f t="shared" si="103"/>
        <v>251</v>
      </c>
      <c r="L780">
        <f t="shared" si="103"/>
        <v>282</v>
      </c>
      <c r="M780">
        <f t="shared" si="103"/>
        <v>297</v>
      </c>
      <c r="N780">
        <f t="shared" si="106"/>
        <v>309</v>
      </c>
      <c r="O780">
        <f t="shared" si="106"/>
        <v>334</v>
      </c>
      <c r="P780">
        <f t="shared" si="106"/>
        <v>352</v>
      </c>
      <c r="Q780">
        <f t="shared" si="106"/>
        <v>378</v>
      </c>
      <c r="S780" t="str">
        <f t="shared" si="104"/>
        <v>04.12.2025</v>
      </c>
      <c r="T780" t="str">
        <f t="shared" si="105"/>
        <v>21:30:00</v>
      </c>
      <c r="U780" t="str">
        <f t="shared" si="107"/>
        <v>04.12.2025 21:30:00</v>
      </c>
      <c r="V780" s="9" t="str">
        <f>MID($A780,C780+C$2+1,D780-C780-C$2-1)</f>
        <v>0</v>
      </c>
      <c r="W780" s="4">
        <f>VALUE(SUBSTITUTE(MID($A780,D780+D$2+1,E780-D780-D$2-1),",","."))</f>
        <v>0</v>
      </c>
      <c r="X780" s="4">
        <f>VALUE(SUBSTITUTE(MID($A780,E780+E$2+1,F780-E780-E$2-1),",","."))</f>
        <v>0.90957602214449496</v>
      </c>
      <c r="Y780" s="4">
        <f>VALUE(SUBSTITUTE(MID($A780,F780+F$2+1,G780-F780-F$2-1),",","."))</f>
        <v>0</v>
      </c>
      <c r="Z780" s="3">
        <f>VALUE(SUBSTITUTE(MID($A780,G780+G$2+1,H780-G780-G$2-1),",","."))</f>
        <v>0</v>
      </c>
      <c r="AA780" s="3">
        <f>VALUE(SUBSTITUTE(MID($A780,H780+H$2+1,I780-H780-H$2-1),",","."))</f>
        <v>0</v>
      </c>
      <c r="AB780" s="3">
        <f>VALUE(SUBSTITUTE(MID($A780,I780+I$2+1,J780-I780-I$2-1),",","."))</f>
        <v>0</v>
      </c>
      <c r="AC780" s="3">
        <f>VALUE(SUBSTITUTE(MID($A780,J780+J$2+1,K780-J780-J$2-1),",","."))</f>
        <v>2.4</v>
      </c>
      <c r="AD780" s="3">
        <f>VALUE(SUBSTITUTE(MID($A780,K780+K$2+1,L780-K780-K$2-1),",","."))</f>
        <v>7.92</v>
      </c>
      <c r="AE780" s="3">
        <f>VALUE(SUBSTITUTE(MID($A780,L780+L$2+1,M780-L780-L$2-1),",","."))</f>
        <v>0</v>
      </c>
      <c r="AF780" s="3">
        <f>VALUE(SUBSTITUTE(MID($A780,M780+M$2+1,N780-M780-M$2-1),",","."))</f>
        <v>0</v>
      </c>
      <c r="AG780" s="3">
        <f>VALUE(SUBSTITUTE(MID($A780,N780+N$2+1,O780-N780-N$2-1),",","."))</f>
        <v>4.2256206977178401</v>
      </c>
      <c r="AH780" t="str">
        <f>MID($A780,O780+O$2+1,P780-O780-O$2-1)</f>
        <v/>
      </c>
      <c r="AI780" s="8" t="str">
        <f>MID($A780,P780+P$2+1,Q780-P780-P$2-1)</f>
        <v>False</v>
      </c>
      <c r="AK780" t="b">
        <f t="shared" si="108"/>
        <v>0</v>
      </c>
    </row>
    <row r="781" spans="1:37" x14ac:dyDescent="0.35">
      <c r="A781" t="s">
        <v>5328</v>
      </c>
      <c r="B781">
        <f t="shared" si="103"/>
        <v>10</v>
      </c>
      <c r="C781">
        <f t="shared" si="103"/>
        <v>43</v>
      </c>
      <c r="D781">
        <f t="shared" si="103"/>
        <v>54</v>
      </c>
      <c r="E781">
        <f t="shared" si="103"/>
        <v>80</v>
      </c>
      <c r="F781">
        <f t="shared" si="103"/>
        <v>124</v>
      </c>
      <c r="G781">
        <f t="shared" si="103"/>
        <v>145</v>
      </c>
      <c r="H781">
        <f t="shared" si="103"/>
        <v>177</v>
      </c>
      <c r="I781">
        <f t="shared" si="103"/>
        <v>199</v>
      </c>
      <c r="J781">
        <f t="shared" si="103"/>
        <v>232</v>
      </c>
      <c r="K781">
        <f t="shared" si="103"/>
        <v>251</v>
      </c>
      <c r="L781">
        <f t="shared" si="103"/>
        <v>282</v>
      </c>
      <c r="M781">
        <f t="shared" si="103"/>
        <v>297</v>
      </c>
      <c r="N781">
        <f t="shared" si="106"/>
        <v>309</v>
      </c>
      <c r="O781">
        <f t="shared" si="106"/>
        <v>334</v>
      </c>
      <c r="P781">
        <f t="shared" si="106"/>
        <v>352</v>
      </c>
      <c r="Q781">
        <f t="shared" si="106"/>
        <v>378</v>
      </c>
      <c r="S781" t="str">
        <f t="shared" si="104"/>
        <v>04.12.2025</v>
      </c>
      <c r="T781" t="str">
        <f t="shared" si="105"/>
        <v>21:45:00</v>
      </c>
      <c r="U781" t="str">
        <f t="shared" si="107"/>
        <v>04.12.2025 21:45:00</v>
      </c>
      <c r="V781" s="9" t="str">
        <f>MID($A781,C781+C$2+1,D781-C781-C$2-1)</f>
        <v>0</v>
      </c>
      <c r="W781" s="4">
        <f>VALUE(SUBSTITUTE(MID($A781,D781+D$2+1,E781-D781-D$2-1),",","."))</f>
        <v>0</v>
      </c>
      <c r="X781" s="4">
        <f>VALUE(SUBSTITUTE(MID($A781,E781+E$2+1,F781-E781-E$2-1),",","."))</f>
        <v>0.90957602214449496</v>
      </c>
      <c r="Y781" s="4">
        <f>VALUE(SUBSTITUTE(MID($A781,F781+F$2+1,G781-F781-F$2-1),",","."))</f>
        <v>0</v>
      </c>
      <c r="Z781" s="3">
        <f>VALUE(SUBSTITUTE(MID($A781,G781+G$2+1,H781-G781-G$2-1),",","."))</f>
        <v>0</v>
      </c>
      <c r="AA781" s="3">
        <f>VALUE(SUBSTITUTE(MID($A781,H781+H$2+1,I781-H781-H$2-1),",","."))</f>
        <v>0</v>
      </c>
      <c r="AB781" s="3">
        <f>VALUE(SUBSTITUTE(MID($A781,I781+I$2+1,J781-I781-I$2-1),",","."))</f>
        <v>0</v>
      </c>
      <c r="AC781" s="3">
        <f>VALUE(SUBSTITUTE(MID($A781,J781+J$2+1,K781-J781-J$2-1),",","."))</f>
        <v>2.4</v>
      </c>
      <c r="AD781" s="3">
        <f>VALUE(SUBSTITUTE(MID($A781,K781+K$2+1,L781-K781-K$2-1),",","."))</f>
        <v>7.92</v>
      </c>
      <c r="AE781" s="3">
        <f>VALUE(SUBSTITUTE(MID($A781,L781+L$2+1,M781-L781-L$2-1),",","."))</f>
        <v>0</v>
      </c>
      <c r="AF781" s="3">
        <f>VALUE(SUBSTITUTE(MID($A781,M781+M$2+1,N781-M781-M$2-1),",","."))</f>
        <v>0</v>
      </c>
      <c r="AG781" s="3">
        <f>VALUE(SUBSTITUTE(MID($A781,N781+N$2+1,O781-N781-N$2-1),",","."))</f>
        <v>4.2256492176059197</v>
      </c>
      <c r="AH781" t="str">
        <f>MID($A781,O781+O$2+1,P781-O781-O$2-1)</f>
        <v/>
      </c>
      <c r="AI781" s="8" t="str">
        <f>MID($A781,P781+P$2+1,Q781-P781-P$2-1)</f>
        <v>False</v>
      </c>
      <c r="AK781" t="b">
        <f t="shared" si="108"/>
        <v>0</v>
      </c>
    </row>
    <row r="782" spans="1:37" x14ac:dyDescent="0.35">
      <c r="A782" t="s">
        <v>5329</v>
      </c>
      <c r="B782">
        <f t="shared" si="103"/>
        <v>10</v>
      </c>
      <c r="C782">
        <f t="shared" si="103"/>
        <v>43</v>
      </c>
      <c r="D782">
        <f t="shared" si="103"/>
        <v>54</v>
      </c>
      <c r="E782">
        <f t="shared" ref="E782:M810" si="109">FIND(E$1,$A782)</f>
        <v>80</v>
      </c>
      <c r="F782">
        <f t="shared" si="109"/>
        <v>124</v>
      </c>
      <c r="G782">
        <f t="shared" si="109"/>
        <v>145</v>
      </c>
      <c r="H782">
        <f t="shared" si="109"/>
        <v>177</v>
      </c>
      <c r="I782">
        <f t="shared" si="109"/>
        <v>199</v>
      </c>
      <c r="J782">
        <f t="shared" si="109"/>
        <v>232</v>
      </c>
      <c r="K782">
        <f t="shared" si="109"/>
        <v>251</v>
      </c>
      <c r="L782">
        <f t="shared" si="109"/>
        <v>282</v>
      </c>
      <c r="M782">
        <f t="shared" si="109"/>
        <v>297</v>
      </c>
      <c r="N782">
        <f t="shared" si="106"/>
        <v>309</v>
      </c>
      <c r="O782">
        <f t="shared" si="106"/>
        <v>335</v>
      </c>
      <c r="P782">
        <f t="shared" si="106"/>
        <v>353</v>
      </c>
      <c r="Q782">
        <f t="shared" si="106"/>
        <v>379</v>
      </c>
      <c r="S782" t="str">
        <f t="shared" si="104"/>
        <v>04.12.2025</v>
      </c>
      <c r="T782" t="str">
        <f t="shared" si="105"/>
        <v>22:00:00</v>
      </c>
      <c r="U782" t="str">
        <f t="shared" si="107"/>
        <v>04.12.2025 22:00:00</v>
      </c>
      <c r="V782" s="9" t="str">
        <f>MID($A782,C782+C$2+1,D782-C782-C$2-1)</f>
        <v>0</v>
      </c>
      <c r="W782" s="4">
        <f>VALUE(SUBSTITUTE(MID($A782,D782+D$2+1,E782-D782-D$2-1),",","."))</f>
        <v>0</v>
      </c>
      <c r="X782" s="4">
        <f>VALUE(SUBSTITUTE(MID($A782,E782+E$2+1,F782-E782-E$2-1),",","."))</f>
        <v>0.90957602214449496</v>
      </c>
      <c r="Y782" s="4">
        <f>VALUE(SUBSTITUTE(MID($A782,F782+F$2+1,G782-F782-F$2-1),",","."))</f>
        <v>0</v>
      </c>
      <c r="Z782" s="3">
        <f>VALUE(SUBSTITUTE(MID($A782,G782+G$2+1,H782-G782-G$2-1),",","."))</f>
        <v>0</v>
      </c>
      <c r="AA782" s="3">
        <f>VALUE(SUBSTITUTE(MID($A782,H782+H$2+1,I782-H782-H$2-1),",","."))</f>
        <v>0</v>
      </c>
      <c r="AB782" s="3">
        <f>VALUE(SUBSTITUTE(MID($A782,I782+I$2+1,J782-I782-I$2-1),",","."))</f>
        <v>0</v>
      </c>
      <c r="AC782" s="3">
        <f>VALUE(SUBSTITUTE(MID($A782,J782+J$2+1,K782-J782-J$2-1),",","."))</f>
        <v>2.4</v>
      </c>
      <c r="AD782" s="3">
        <f>VALUE(SUBSTITUTE(MID($A782,K782+K$2+1,L782-K782-K$2-1),",","."))</f>
        <v>7.92</v>
      </c>
      <c r="AE782" s="3">
        <f>VALUE(SUBSTITUTE(MID($A782,L782+L$2+1,M782-L782-L$2-1),",","."))</f>
        <v>0</v>
      </c>
      <c r="AF782" s="3">
        <f>VALUE(SUBSTITUTE(MID($A782,M782+M$2+1,N782-M782-M$2-1),",","."))</f>
        <v>0</v>
      </c>
      <c r="AG782" s="3">
        <f>VALUE(SUBSTITUTE(MID($A782,N782+N$2+1,O782-N782-N$2-1),",","."))</f>
        <v>4.2256777374940002</v>
      </c>
      <c r="AH782" t="str">
        <f>MID($A782,O782+O$2+1,P782-O782-O$2-1)</f>
        <v/>
      </c>
      <c r="AI782" s="8" t="str">
        <f>MID($A782,P782+P$2+1,Q782-P782-P$2-1)</f>
        <v>False</v>
      </c>
      <c r="AK782" t="b">
        <f t="shared" si="108"/>
        <v>0</v>
      </c>
    </row>
    <row r="783" spans="1:37" x14ac:dyDescent="0.35">
      <c r="A783" t="s">
        <v>5330</v>
      </c>
      <c r="B783">
        <f t="shared" ref="B783:G839" si="110">FIND(B$1,$A783)</f>
        <v>10</v>
      </c>
      <c r="C783">
        <f t="shared" si="110"/>
        <v>43</v>
      </c>
      <c r="D783">
        <f t="shared" si="110"/>
        <v>54</v>
      </c>
      <c r="E783">
        <f t="shared" si="109"/>
        <v>80</v>
      </c>
      <c r="F783">
        <f t="shared" si="109"/>
        <v>124</v>
      </c>
      <c r="G783">
        <f t="shared" si="109"/>
        <v>145</v>
      </c>
      <c r="H783">
        <f t="shared" si="109"/>
        <v>177</v>
      </c>
      <c r="I783">
        <f t="shared" si="109"/>
        <v>199</v>
      </c>
      <c r="J783">
        <f t="shared" si="109"/>
        <v>232</v>
      </c>
      <c r="K783">
        <f t="shared" si="109"/>
        <v>251</v>
      </c>
      <c r="L783">
        <f t="shared" si="109"/>
        <v>282</v>
      </c>
      <c r="M783">
        <f t="shared" si="109"/>
        <v>297</v>
      </c>
      <c r="N783">
        <f t="shared" si="106"/>
        <v>309</v>
      </c>
      <c r="O783">
        <f t="shared" si="106"/>
        <v>334</v>
      </c>
      <c r="P783">
        <f t="shared" si="106"/>
        <v>352</v>
      </c>
      <c r="Q783">
        <f t="shared" si="106"/>
        <v>378</v>
      </c>
      <c r="S783" t="str">
        <f t="shared" si="104"/>
        <v>04.12.2025</v>
      </c>
      <c r="T783" t="str">
        <f t="shared" si="105"/>
        <v>22:15:00</v>
      </c>
      <c r="U783" t="str">
        <f t="shared" si="107"/>
        <v>04.12.2025 22:15:00</v>
      </c>
      <c r="V783" s="9" t="str">
        <f>MID($A783,C783+C$2+1,D783-C783-C$2-1)</f>
        <v>0</v>
      </c>
      <c r="W783" s="4">
        <f>VALUE(SUBSTITUTE(MID($A783,D783+D$2+1,E783-D783-D$2-1),",","."))</f>
        <v>0</v>
      </c>
      <c r="X783" s="4">
        <f>VALUE(SUBSTITUTE(MID($A783,E783+E$2+1,F783-E783-E$2-1),",","."))</f>
        <v>0.90957602214449496</v>
      </c>
      <c r="Y783" s="4">
        <f>VALUE(SUBSTITUTE(MID($A783,F783+F$2+1,G783-F783-F$2-1),",","."))</f>
        <v>0</v>
      </c>
      <c r="Z783" s="3">
        <f>VALUE(SUBSTITUTE(MID($A783,G783+G$2+1,H783-G783-G$2-1),",","."))</f>
        <v>0</v>
      </c>
      <c r="AA783" s="3">
        <f>VALUE(SUBSTITUTE(MID($A783,H783+H$2+1,I783-H783-H$2-1),",","."))</f>
        <v>0</v>
      </c>
      <c r="AB783" s="3">
        <f>VALUE(SUBSTITUTE(MID($A783,I783+I$2+1,J783-I783-I$2-1),",","."))</f>
        <v>0</v>
      </c>
      <c r="AC783" s="3">
        <f>VALUE(SUBSTITUTE(MID($A783,J783+J$2+1,K783-J783-J$2-1),",","."))</f>
        <v>2.4</v>
      </c>
      <c r="AD783" s="3">
        <f>VALUE(SUBSTITUTE(MID($A783,K783+K$2+1,L783-K783-K$2-1),",","."))</f>
        <v>7.92</v>
      </c>
      <c r="AE783" s="3">
        <f>VALUE(SUBSTITUTE(MID($A783,L783+L$2+1,M783-L783-L$2-1),",","."))</f>
        <v>0</v>
      </c>
      <c r="AF783" s="3">
        <f>VALUE(SUBSTITUTE(MID($A783,M783+M$2+1,N783-M783-M$2-1),",","."))</f>
        <v>0</v>
      </c>
      <c r="AG783" s="3">
        <f>VALUE(SUBSTITUTE(MID($A783,N783+N$2+1,O783-N783-N$2-1),",","."))</f>
        <v>4.2257062573820798</v>
      </c>
      <c r="AH783" t="str">
        <f>MID($A783,O783+O$2+1,P783-O783-O$2-1)</f>
        <v/>
      </c>
      <c r="AI783" s="8" t="str">
        <f>MID($A783,P783+P$2+1,Q783-P783-P$2-1)</f>
        <v>False</v>
      </c>
      <c r="AK783" t="b">
        <f t="shared" si="108"/>
        <v>0</v>
      </c>
    </row>
    <row r="784" spans="1:37" x14ac:dyDescent="0.35">
      <c r="A784" t="s">
        <v>5331</v>
      </c>
      <c r="B784">
        <f t="shared" si="110"/>
        <v>10</v>
      </c>
      <c r="C784">
        <f t="shared" si="110"/>
        <v>43</v>
      </c>
      <c r="D784">
        <f t="shared" si="110"/>
        <v>54</v>
      </c>
      <c r="E784">
        <f t="shared" si="109"/>
        <v>80</v>
      </c>
      <c r="F784">
        <f t="shared" si="109"/>
        <v>124</v>
      </c>
      <c r="G784">
        <f t="shared" si="109"/>
        <v>145</v>
      </c>
      <c r="H784">
        <f t="shared" si="109"/>
        <v>177</v>
      </c>
      <c r="I784">
        <f t="shared" si="109"/>
        <v>199</v>
      </c>
      <c r="J784">
        <f t="shared" si="109"/>
        <v>232</v>
      </c>
      <c r="K784">
        <f t="shared" si="109"/>
        <v>251</v>
      </c>
      <c r="L784">
        <f t="shared" si="109"/>
        <v>269</v>
      </c>
      <c r="M784">
        <f t="shared" si="109"/>
        <v>284</v>
      </c>
      <c r="N784">
        <f t="shared" si="106"/>
        <v>296</v>
      </c>
      <c r="O784">
        <f t="shared" si="106"/>
        <v>321</v>
      </c>
      <c r="P784">
        <f t="shared" si="106"/>
        <v>339</v>
      </c>
      <c r="Q784">
        <f t="shared" si="106"/>
        <v>365</v>
      </c>
      <c r="S784" t="str">
        <f t="shared" si="104"/>
        <v>04.12.2025</v>
      </c>
      <c r="T784" t="str">
        <f t="shared" si="105"/>
        <v>22:30:00</v>
      </c>
      <c r="U784" t="str">
        <f t="shared" si="107"/>
        <v>04.12.2025 22:30:00</v>
      </c>
      <c r="V784" s="9" t="str">
        <f>MID($A784,C784+C$2+1,D784-C784-C$2-1)</f>
        <v>0</v>
      </c>
      <c r="W784" s="4">
        <f>VALUE(SUBSTITUTE(MID($A784,D784+D$2+1,E784-D784-D$2-1),",","."))</f>
        <v>0</v>
      </c>
      <c r="X784" s="4">
        <f>VALUE(SUBSTITUTE(MID($A784,E784+E$2+1,F784-E784-E$2-1),",","."))</f>
        <v>0.90957602214449496</v>
      </c>
      <c r="Y784" s="4">
        <f>VALUE(SUBSTITUTE(MID($A784,F784+F$2+1,G784-F784-F$2-1),",","."))</f>
        <v>0</v>
      </c>
      <c r="Z784" s="3">
        <f>VALUE(SUBSTITUTE(MID($A784,G784+G$2+1,H784-G784-G$2-1),",","."))</f>
        <v>0</v>
      </c>
      <c r="AA784" s="3">
        <f>VALUE(SUBSTITUTE(MID($A784,H784+H$2+1,I784-H784-H$2-1),",","."))</f>
        <v>0</v>
      </c>
      <c r="AB784" s="3">
        <f>VALUE(SUBSTITUTE(MID($A784,I784+I$2+1,J784-I784-I$2-1),",","."))</f>
        <v>0</v>
      </c>
      <c r="AC784" s="3">
        <f>VALUE(SUBSTITUTE(MID($A784,J784+J$2+1,K784-J784-J$2-1),",","."))</f>
        <v>2.6</v>
      </c>
      <c r="AD784" s="3">
        <f>VALUE(SUBSTITUTE(MID($A784,K784+K$2+1,L784-K784-K$2-1),",","."))</f>
        <v>7.74</v>
      </c>
      <c r="AE784" s="3">
        <f>VALUE(SUBSTITUTE(MID($A784,L784+L$2+1,M784-L784-L$2-1),",","."))</f>
        <v>0</v>
      </c>
      <c r="AF784" s="3">
        <f>VALUE(SUBSTITUTE(MID($A784,M784+M$2+1,N784-M784-M$2-1),",","."))</f>
        <v>0</v>
      </c>
      <c r="AG784" s="3">
        <f>VALUE(SUBSTITUTE(MID($A784,N784+N$2+1,O784-N784-N$2-1),",","."))</f>
        <v>4.2257347772701603</v>
      </c>
      <c r="AH784" t="str">
        <f>MID($A784,O784+O$2+1,P784-O784-O$2-1)</f>
        <v/>
      </c>
      <c r="AI784" s="8" t="str">
        <f>MID($A784,P784+P$2+1,Q784-P784-P$2-1)</f>
        <v>False</v>
      </c>
      <c r="AK784" t="b">
        <f t="shared" si="108"/>
        <v>0</v>
      </c>
    </row>
    <row r="785" spans="1:37" x14ac:dyDescent="0.35">
      <c r="A785" t="s">
        <v>5332</v>
      </c>
      <c r="B785">
        <f t="shared" si="110"/>
        <v>10</v>
      </c>
      <c r="C785">
        <f t="shared" si="110"/>
        <v>43</v>
      </c>
      <c r="D785">
        <f t="shared" si="110"/>
        <v>54</v>
      </c>
      <c r="E785">
        <f t="shared" si="109"/>
        <v>80</v>
      </c>
      <c r="F785">
        <f t="shared" si="109"/>
        <v>124</v>
      </c>
      <c r="G785">
        <f t="shared" si="109"/>
        <v>145</v>
      </c>
      <c r="H785">
        <f t="shared" si="109"/>
        <v>177</v>
      </c>
      <c r="I785">
        <f t="shared" si="109"/>
        <v>199</v>
      </c>
      <c r="J785">
        <f t="shared" si="109"/>
        <v>232</v>
      </c>
      <c r="K785">
        <f t="shared" si="109"/>
        <v>251</v>
      </c>
      <c r="L785">
        <f t="shared" si="109"/>
        <v>269</v>
      </c>
      <c r="M785">
        <f t="shared" si="109"/>
        <v>284</v>
      </c>
      <c r="N785">
        <f t="shared" si="106"/>
        <v>296</v>
      </c>
      <c r="O785">
        <f t="shared" si="106"/>
        <v>321</v>
      </c>
      <c r="P785">
        <f t="shared" si="106"/>
        <v>339</v>
      </c>
      <c r="Q785">
        <f t="shared" si="106"/>
        <v>365</v>
      </c>
      <c r="S785" t="str">
        <f t="shared" si="104"/>
        <v>04.12.2025</v>
      </c>
      <c r="T785" t="str">
        <f t="shared" si="105"/>
        <v>22:45:00</v>
      </c>
      <c r="U785" t="str">
        <f t="shared" si="107"/>
        <v>04.12.2025 22:45:00</v>
      </c>
      <c r="V785" s="9" t="str">
        <f>MID($A785,C785+C$2+1,D785-C785-C$2-1)</f>
        <v>0</v>
      </c>
      <c r="W785" s="4">
        <f>VALUE(SUBSTITUTE(MID($A785,D785+D$2+1,E785-D785-D$2-1),",","."))</f>
        <v>0</v>
      </c>
      <c r="X785" s="4">
        <f>VALUE(SUBSTITUTE(MID($A785,E785+E$2+1,F785-E785-E$2-1),",","."))</f>
        <v>0.90957602214449496</v>
      </c>
      <c r="Y785" s="4">
        <f>VALUE(SUBSTITUTE(MID($A785,F785+F$2+1,G785-F785-F$2-1),",","."))</f>
        <v>0</v>
      </c>
      <c r="Z785" s="3">
        <f>VALUE(SUBSTITUTE(MID($A785,G785+G$2+1,H785-G785-G$2-1),",","."))</f>
        <v>0</v>
      </c>
      <c r="AA785" s="3">
        <f>VALUE(SUBSTITUTE(MID($A785,H785+H$2+1,I785-H785-H$2-1),",","."))</f>
        <v>0</v>
      </c>
      <c r="AB785" s="3">
        <f>VALUE(SUBSTITUTE(MID($A785,I785+I$2+1,J785-I785-I$2-1),",","."))</f>
        <v>0</v>
      </c>
      <c r="AC785" s="3">
        <f>VALUE(SUBSTITUTE(MID($A785,J785+J$2+1,K785-J785-J$2-1),",","."))</f>
        <v>2.6</v>
      </c>
      <c r="AD785" s="3">
        <f>VALUE(SUBSTITUTE(MID($A785,K785+K$2+1,L785-K785-K$2-1),",","."))</f>
        <v>7.74</v>
      </c>
      <c r="AE785" s="3">
        <f>VALUE(SUBSTITUTE(MID($A785,L785+L$2+1,M785-L785-L$2-1),",","."))</f>
        <v>0</v>
      </c>
      <c r="AF785" s="3">
        <f>VALUE(SUBSTITUTE(MID($A785,M785+M$2+1,N785-M785-M$2-1),",","."))</f>
        <v>0</v>
      </c>
      <c r="AG785" s="3">
        <f>VALUE(SUBSTITUTE(MID($A785,N785+N$2+1,O785-N785-N$2-1),",","."))</f>
        <v>4.2257632971582497</v>
      </c>
      <c r="AH785" t="str">
        <f>MID($A785,O785+O$2+1,P785-O785-O$2-1)</f>
        <v/>
      </c>
      <c r="AI785" s="8" t="str">
        <f>MID($A785,P785+P$2+1,Q785-P785-P$2-1)</f>
        <v>False</v>
      </c>
      <c r="AK785" t="b">
        <f t="shared" si="108"/>
        <v>0</v>
      </c>
    </row>
    <row r="786" spans="1:37" x14ac:dyDescent="0.35">
      <c r="A786" t="s">
        <v>5333</v>
      </c>
      <c r="B786">
        <f t="shared" si="110"/>
        <v>10</v>
      </c>
      <c r="C786">
        <f t="shared" si="110"/>
        <v>43</v>
      </c>
      <c r="D786">
        <f t="shared" si="110"/>
        <v>54</v>
      </c>
      <c r="E786">
        <f t="shared" si="109"/>
        <v>80</v>
      </c>
      <c r="F786">
        <f t="shared" si="109"/>
        <v>124</v>
      </c>
      <c r="G786">
        <f t="shared" si="109"/>
        <v>145</v>
      </c>
      <c r="H786">
        <f t="shared" si="109"/>
        <v>177</v>
      </c>
      <c r="I786">
        <f t="shared" si="109"/>
        <v>199</v>
      </c>
      <c r="J786">
        <f t="shared" si="109"/>
        <v>232</v>
      </c>
      <c r="K786">
        <f t="shared" si="109"/>
        <v>251</v>
      </c>
      <c r="L786">
        <f t="shared" si="109"/>
        <v>269</v>
      </c>
      <c r="M786">
        <f t="shared" si="109"/>
        <v>284</v>
      </c>
      <c r="N786">
        <f t="shared" si="106"/>
        <v>296</v>
      </c>
      <c r="O786">
        <f t="shared" si="106"/>
        <v>321</v>
      </c>
      <c r="P786">
        <f t="shared" si="106"/>
        <v>339</v>
      </c>
      <c r="Q786">
        <f t="shared" si="106"/>
        <v>365</v>
      </c>
      <c r="S786" t="str">
        <f t="shared" si="104"/>
        <v>04.12.2025</v>
      </c>
      <c r="T786" t="str">
        <f t="shared" si="105"/>
        <v>23:00:00</v>
      </c>
      <c r="U786" t="str">
        <f t="shared" si="107"/>
        <v>04.12.2025 23:00:00</v>
      </c>
      <c r="V786" s="9" t="str">
        <f>MID($A786,C786+C$2+1,D786-C786-C$2-1)</f>
        <v>0</v>
      </c>
      <c r="W786" s="4">
        <f>VALUE(SUBSTITUTE(MID($A786,D786+D$2+1,E786-D786-D$2-1),",","."))</f>
        <v>0</v>
      </c>
      <c r="X786" s="4">
        <f>VALUE(SUBSTITUTE(MID($A786,E786+E$2+1,F786-E786-E$2-1),",","."))</f>
        <v>0.90957602214449496</v>
      </c>
      <c r="Y786" s="4">
        <f>VALUE(SUBSTITUTE(MID($A786,F786+F$2+1,G786-F786-F$2-1),",","."))</f>
        <v>0</v>
      </c>
      <c r="Z786" s="3">
        <f>VALUE(SUBSTITUTE(MID($A786,G786+G$2+1,H786-G786-G$2-1),",","."))</f>
        <v>0</v>
      </c>
      <c r="AA786" s="3">
        <f>VALUE(SUBSTITUTE(MID($A786,H786+H$2+1,I786-H786-H$2-1),",","."))</f>
        <v>0</v>
      </c>
      <c r="AB786" s="3">
        <f>VALUE(SUBSTITUTE(MID($A786,I786+I$2+1,J786-I786-I$2-1),",","."))</f>
        <v>0</v>
      </c>
      <c r="AC786" s="3">
        <f>VALUE(SUBSTITUTE(MID($A786,J786+J$2+1,K786-J786-J$2-1),",","."))</f>
        <v>2.6</v>
      </c>
      <c r="AD786" s="3">
        <f>VALUE(SUBSTITUTE(MID($A786,K786+K$2+1,L786-K786-K$2-1),",","."))</f>
        <v>7.74</v>
      </c>
      <c r="AE786" s="3">
        <f>VALUE(SUBSTITUTE(MID($A786,L786+L$2+1,M786-L786-L$2-1),",","."))</f>
        <v>0</v>
      </c>
      <c r="AF786" s="3">
        <f>VALUE(SUBSTITUTE(MID($A786,M786+M$2+1,N786-M786-M$2-1),",","."))</f>
        <v>0</v>
      </c>
      <c r="AG786" s="3">
        <f>VALUE(SUBSTITUTE(MID($A786,N786+N$2+1,O786-N786-N$2-1),",","."))</f>
        <v>4.2257918170463302</v>
      </c>
      <c r="AH786" t="str">
        <f>MID($A786,O786+O$2+1,P786-O786-O$2-1)</f>
        <v/>
      </c>
      <c r="AI786" s="8" t="str">
        <f>MID($A786,P786+P$2+1,Q786-P786-P$2-1)</f>
        <v>False</v>
      </c>
      <c r="AK786" t="b">
        <f t="shared" si="108"/>
        <v>0</v>
      </c>
    </row>
    <row r="787" spans="1:37" x14ac:dyDescent="0.35">
      <c r="A787" t="s">
        <v>5334</v>
      </c>
      <c r="B787">
        <f t="shared" si="110"/>
        <v>10</v>
      </c>
      <c r="C787">
        <f t="shared" si="110"/>
        <v>43</v>
      </c>
      <c r="D787">
        <f t="shared" si="110"/>
        <v>54</v>
      </c>
      <c r="E787">
        <f t="shared" si="109"/>
        <v>80</v>
      </c>
      <c r="F787">
        <f t="shared" si="109"/>
        <v>124</v>
      </c>
      <c r="G787">
        <f t="shared" si="109"/>
        <v>145</v>
      </c>
      <c r="H787">
        <f t="shared" si="109"/>
        <v>177</v>
      </c>
      <c r="I787">
        <f t="shared" si="109"/>
        <v>199</v>
      </c>
      <c r="J787">
        <f t="shared" si="109"/>
        <v>232</v>
      </c>
      <c r="K787">
        <f t="shared" si="109"/>
        <v>251</v>
      </c>
      <c r="L787">
        <f t="shared" si="109"/>
        <v>269</v>
      </c>
      <c r="M787">
        <f t="shared" si="109"/>
        <v>284</v>
      </c>
      <c r="N787">
        <f t="shared" si="106"/>
        <v>296</v>
      </c>
      <c r="O787">
        <f t="shared" si="106"/>
        <v>321</v>
      </c>
      <c r="P787">
        <f t="shared" si="106"/>
        <v>339</v>
      </c>
      <c r="Q787">
        <f t="shared" si="106"/>
        <v>365</v>
      </c>
      <c r="S787" t="str">
        <f t="shared" si="104"/>
        <v>04.12.2025</v>
      </c>
      <c r="T787" t="str">
        <f t="shared" si="105"/>
        <v>23:15:00</v>
      </c>
      <c r="U787" t="str">
        <f t="shared" si="107"/>
        <v>04.12.2025 23:15:00</v>
      </c>
      <c r="V787" s="9" t="str">
        <f>MID($A787,C787+C$2+1,D787-C787-C$2-1)</f>
        <v>0</v>
      </c>
      <c r="W787" s="4">
        <f>VALUE(SUBSTITUTE(MID($A787,D787+D$2+1,E787-D787-D$2-1),",","."))</f>
        <v>0</v>
      </c>
      <c r="X787" s="4">
        <f>VALUE(SUBSTITUTE(MID($A787,E787+E$2+1,F787-E787-E$2-1),",","."))</f>
        <v>0.90957602214449496</v>
      </c>
      <c r="Y787" s="4">
        <f>VALUE(SUBSTITUTE(MID($A787,F787+F$2+1,G787-F787-F$2-1),",","."))</f>
        <v>0</v>
      </c>
      <c r="Z787" s="3">
        <f>VALUE(SUBSTITUTE(MID($A787,G787+G$2+1,H787-G787-G$2-1),",","."))</f>
        <v>0</v>
      </c>
      <c r="AA787" s="3">
        <f>VALUE(SUBSTITUTE(MID($A787,H787+H$2+1,I787-H787-H$2-1),",","."))</f>
        <v>0</v>
      </c>
      <c r="AB787" s="3">
        <f>VALUE(SUBSTITUTE(MID($A787,I787+I$2+1,J787-I787-I$2-1),",","."))</f>
        <v>0</v>
      </c>
      <c r="AC787" s="3">
        <f>VALUE(SUBSTITUTE(MID($A787,J787+J$2+1,K787-J787-J$2-1),",","."))</f>
        <v>2.6</v>
      </c>
      <c r="AD787" s="3">
        <f>VALUE(SUBSTITUTE(MID($A787,K787+K$2+1,L787-K787-K$2-1),",","."))</f>
        <v>7.74</v>
      </c>
      <c r="AE787" s="3">
        <f>VALUE(SUBSTITUTE(MID($A787,L787+L$2+1,M787-L787-L$2-1),",","."))</f>
        <v>0</v>
      </c>
      <c r="AF787" s="3">
        <f>VALUE(SUBSTITUTE(MID($A787,M787+M$2+1,N787-M787-M$2-1),",","."))</f>
        <v>0</v>
      </c>
      <c r="AG787" s="3">
        <f>VALUE(SUBSTITUTE(MID($A787,N787+N$2+1,O787-N787-N$2-1),",","."))</f>
        <v>4.2258203369344098</v>
      </c>
      <c r="AH787" t="str">
        <f>MID($A787,O787+O$2+1,P787-O787-O$2-1)</f>
        <v/>
      </c>
      <c r="AI787" s="8" t="str">
        <f>MID($A787,P787+P$2+1,Q787-P787-P$2-1)</f>
        <v>False</v>
      </c>
      <c r="AK787" t="b">
        <f t="shared" si="108"/>
        <v>0</v>
      </c>
    </row>
    <row r="788" spans="1:37" x14ac:dyDescent="0.35">
      <c r="A788" t="s">
        <v>5335</v>
      </c>
      <c r="B788">
        <f t="shared" si="110"/>
        <v>10</v>
      </c>
      <c r="C788">
        <f t="shared" si="110"/>
        <v>43</v>
      </c>
      <c r="D788">
        <f t="shared" si="110"/>
        <v>54</v>
      </c>
      <c r="E788">
        <f t="shared" si="109"/>
        <v>80</v>
      </c>
      <c r="F788">
        <f t="shared" si="109"/>
        <v>124</v>
      </c>
      <c r="G788">
        <f t="shared" si="109"/>
        <v>145</v>
      </c>
      <c r="H788">
        <f t="shared" si="109"/>
        <v>177</v>
      </c>
      <c r="I788">
        <f t="shared" si="109"/>
        <v>199</v>
      </c>
      <c r="J788">
        <f t="shared" si="109"/>
        <v>232</v>
      </c>
      <c r="K788">
        <f t="shared" si="109"/>
        <v>251</v>
      </c>
      <c r="L788">
        <f t="shared" si="109"/>
        <v>282</v>
      </c>
      <c r="M788">
        <f t="shared" si="109"/>
        <v>297</v>
      </c>
      <c r="N788">
        <f t="shared" si="106"/>
        <v>309</v>
      </c>
      <c r="O788">
        <f t="shared" si="106"/>
        <v>334</v>
      </c>
      <c r="P788">
        <f t="shared" si="106"/>
        <v>352</v>
      </c>
      <c r="Q788">
        <f t="shared" si="106"/>
        <v>378</v>
      </c>
      <c r="S788" t="str">
        <f t="shared" si="104"/>
        <v>04.12.2025</v>
      </c>
      <c r="T788" t="str">
        <f t="shared" si="105"/>
        <v>23:30:00</v>
      </c>
      <c r="U788" t="str">
        <f t="shared" si="107"/>
        <v>04.12.2025 23:30:00</v>
      </c>
      <c r="V788" s="9" t="str">
        <f>MID($A788,C788+C$2+1,D788-C788-C$2-1)</f>
        <v>0</v>
      </c>
      <c r="W788" s="4">
        <f>VALUE(SUBSTITUTE(MID($A788,D788+D$2+1,E788-D788-D$2-1),",","."))</f>
        <v>0</v>
      </c>
      <c r="X788" s="4">
        <f>VALUE(SUBSTITUTE(MID($A788,E788+E$2+1,F788-E788-E$2-1),",","."))</f>
        <v>0.90957602214449496</v>
      </c>
      <c r="Y788" s="4">
        <f>VALUE(SUBSTITUTE(MID($A788,F788+F$2+1,G788-F788-F$2-1),",","."))</f>
        <v>0</v>
      </c>
      <c r="Z788" s="3">
        <f>VALUE(SUBSTITUTE(MID($A788,G788+G$2+1,H788-G788-G$2-1),",","."))</f>
        <v>0</v>
      </c>
      <c r="AA788" s="3">
        <f>VALUE(SUBSTITUTE(MID($A788,H788+H$2+1,I788-H788-H$2-1),",","."))</f>
        <v>0</v>
      </c>
      <c r="AB788" s="3">
        <f>VALUE(SUBSTITUTE(MID($A788,I788+I$2+1,J788-I788-I$2-1),",","."))</f>
        <v>0</v>
      </c>
      <c r="AC788" s="3">
        <f>VALUE(SUBSTITUTE(MID($A788,J788+J$2+1,K788-J788-J$2-1),",","."))</f>
        <v>2.7</v>
      </c>
      <c r="AD788" s="3">
        <f>VALUE(SUBSTITUTE(MID($A788,K788+K$2+1,L788-K788-K$2-1),",","."))</f>
        <v>8.2799999999999994</v>
      </c>
      <c r="AE788" s="3">
        <f>VALUE(SUBSTITUTE(MID($A788,L788+L$2+1,M788-L788-L$2-1),",","."))</f>
        <v>0</v>
      </c>
      <c r="AF788" s="3">
        <f>VALUE(SUBSTITUTE(MID($A788,M788+M$2+1,N788-M788-M$2-1),",","."))</f>
        <v>0</v>
      </c>
      <c r="AG788" s="3">
        <f>VALUE(SUBSTITUTE(MID($A788,N788+N$2+1,O788-N788-N$2-1),",","."))</f>
        <v>4.2258488568224903</v>
      </c>
      <c r="AH788" t="str">
        <f>MID($A788,O788+O$2+1,P788-O788-O$2-1)</f>
        <v/>
      </c>
      <c r="AI788" s="8" t="str">
        <f>MID($A788,P788+P$2+1,Q788-P788-P$2-1)</f>
        <v>False</v>
      </c>
      <c r="AK788" t="b">
        <f t="shared" si="108"/>
        <v>0</v>
      </c>
    </row>
    <row r="789" spans="1:37" x14ac:dyDescent="0.35">
      <c r="A789" t="s">
        <v>5336</v>
      </c>
      <c r="B789">
        <f t="shared" si="110"/>
        <v>10</v>
      </c>
      <c r="C789">
        <f t="shared" si="110"/>
        <v>43</v>
      </c>
      <c r="D789">
        <f t="shared" si="110"/>
        <v>54</v>
      </c>
      <c r="E789">
        <f t="shared" si="109"/>
        <v>80</v>
      </c>
      <c r="F789">
        <f t="shared" si="109"/>
        <v>124</v>
      </c>
      <c r="G789">
        <f t="shared" si="109"/>
        <v>145</v>
      </c>
      <c r="H789">
        <f t="shared" si="109"/>
        <v>177</v>
      </c>
      <c r="I789">
        <f t="shared" si="109"/>
        <v>199</v>
      </c>
      <c r="J789">
        <f t="shared" si="109"/>
        <v>232</v>
      </c>
      <c r="K789">
        <f t="shared" si="109"/>
        <v>251</v>
      </c>
      <c r="L789">
        <f t="shared" si="109"/>
        <v>282</v>
      </c>
      <c r="M789">
        <f t="shared" si="109"/>
        <v>297</v>
      </c>
      <c r="N789">
        <f t="shared" si="106"/>
        <v>309</v>
      </c>
      <c r="O789">
        <f t="shared" si="106"/>
        <v>334</v>
      </c>
      <c r="P789">
        <f t="shared" si="106"/>
        <v>352</v>
      </c>
      <c r="Q789">
        <f t="shared" si="106"/>
        <v>378</v>
      </c>
      <c r="S789" t="str">
        <f t="shared" si="104"/>
        <v>04.12.2025</v>
      </c>
      <c r="T789" t="str">
        <f t="shared" si="105"/>
        <v>23:45:00</v>
      </c>
      <c r="U789" t="str">
        <f t="shared" si="107"/>
        <v>04.12.2025 23:45:00</v>
      </c>
      <c r="V789" s="9" t="str">
        <f>MID($A789,C789+C$2+1,D789-C789-C$2-1)</f>
        <v>0</v>
      </c>
      <c r="W789" s="4">
        <f>VALUE(SUBSTITUTE(MID($A789,D789+D$2+1,E789-D789-D$2-1),",","."))</f>
        <v>0</v>
      </c>
      <c r="X789" s="4">
        <f>VALUE(SUBSTITUTE(MID($A789,E789+E$2+1,F789-E789-E$2-1),",","."))</f>
        <v>0.90957602214449496</v>
      </c>
      <c r="Y789" s="4">
        <f>VALUE(SUBSTITUTE(MID($A789,F789+F$2+1,G789-F789-F$2-1),",","."))</f>
        <v>0</v>
      </c>
      <c r="Z789" s="3">
        <f>VALUE(SUBSTITUTE(MID($A789,G789+G$2+1,H789-G789-G$2-1),",","."))</f>
        <v>0</v>
      </c>
      <c r="AA789" s="3">
        <f>VALUE(SUBSTITUTE(MID($A789,H789+H$2+1,I789-H789-H$2-1),",","."))</f>
        <v>0</v>
      </c>
      <c r="AB789" s="3">
        <f>VALUE(SUBSTITUTE(MID($A789,I789+I$2+1,J789-I789-I$2-1),",","."))</f>
        <v>0</v>
      </c>
      <c r="AC789" s="3">
        <f>VALUE(SUBSTITUTE(MID($A789,J789+J$2+1,K789-J789-J$2-1),",","."))</f>
        <v>2.7</v>
      </c>
      <c r="AD789" s="3">
        <f>VALUE(SUBSTITUTE(MID($A789,K789+K$2+1,L789-K789-K$2-1),",","."))</f>
        <v>8.2799999999999994</v>
      </c>
      <c r="AE789" s="3">
        <f>VALUE(SUBSTITUTE(MID($A789,L789+L$2+1,M789-L789-L$2-1),",","."))</f>
        <v>0</v>
      </c>
      <c r="AF789" s="3">
        <f>VALUE(SUBSTITUTE(MID($A789,M789+M$2+1,N789-M789-M$2-1),",","."))</f>
        <v>0</v>
      </c>
      <c r="AG789" s="3">
        <f>VALUE(SUBSTITUTE(MID($A789,N789+N$2+1,O789-N789-N$2-1),",","."))</f>
        <v>4.22587737671057</v>
      </c>
      <c r="AH789" t="str">
        <f>MID($A789,O789+O$2+1,P789-O789-O$2-1)</f>
        <v/>
      </c>
      <c r="AI789" s="8" t="str">
        <f>MID($A789,P789+P$2+1,Q789-P789-P$2-1)</f>
        <v>False</v>
      </c>
      <c r="AK789" t="b">
        <f t="shared" si="108"/>
        <v>0</v>
      </c>
    </row>
    <row r="790" spans="1:37" x14ac:dyDescent="0.35">
      <c r="A790" t="s">
        <v>5337</v>
      </c>
      <c r="B790">
        <f t="shared" si="110"/>
        <v>10</v>
      </c>
      <c r="C790">
        <f t="shared" si="110"/>
        <v>43</v>
      </c>
      <c r="D790">
        <f t="shared" si="110"/>
        <v>54</v>
      </c>
      <c r="E790">
        <f t="shared" si="109"/>
        <v>80</v>
      </c>
      <c r="F790">
        <f t="shared" si="109"/>
        <v>124</v>
      </c>
      <c r="G790">
        <f t="shared" si="109"/>
        <v>145</v>
      </c>
      <c r="H790">
        <f t="shared" si="109"/>
        <v>177</v>
      </c>
      <c r="I790">
        <f t="shared" si="109"/>
        <v>199</v>
      </c>
      <c r="J790">
        <f t="shared" si="109"/>
        <v>232</v>
      </c>
      <c r="K790">
        <f t="shared" si="109"/>
        <v>251</v>
      </c>
      <c r="L790">
        <f t="shared" si="109"/>
        <v>282</v>
      </c>
      <c r="M790">
        <f t="shared" si="109"/>
        <v>297</v>
      </c>
      <c r="N790">
        <f t="shared" si="106"/>
        <v>309</v>
      </c>
      <c r="O790">
        <f t="shared" si="106"/>
        <v>335</v>
      </c>
      <c r="P790">
        <f t="shared" si="106"/>
        <v>353</v>
      </c>
      <c r="Q790">
        <f t="shared" si="106"/>
        <v>379</v>
      </c>
      <c r="S790" t="str">
        <f t="shared" si="104"/>
        <v>05.12.2025</v>
      </c>
      <c r="T790" t="str">
        <f t="shared" si="105"/>
        <v>00:00:00</v>
      </c>
      <c r="U790" t="str">
        <f t="shared" si="107"/>
        <v>05.12.2025 00:00:00</v>
      </c>
      <c r="V790" s="9" t="str">
        <f>MID($A790,C790+C$2+1,D790-C790-C$2-1)</f>
        <v>0</v>
      </c>
      <c r="W790" s="4">
        <f>VALUE(SUBSTITUTE(MID($A790,D790+D$2+1,E790-D790-D$2-1),",","."))</f>
        <v>0</v>
      </c>
      <c r="X790" s="4">
        <f>VALUE(SUBSTITUTE(MID($A790,E790+E$2+1,F790-E790-E$2-1),",","."))</f>
        <v>0.90957602214449496</v>
      </c>
      <c r="Y790" s="4">
        <f>VALUE(SUBSTITUTE(MID($A790,F790+F$2+1,G790-F790-F$2-1),",","."))</f>
        <v>0</v>
      </c>
      <c r="Z790" s="3">
        <f>VALUE(SUBSTITUTE(MID($A790,G790+G$2+1,H790-G790-G$2-1),",","."))</f>
        <v>0</v>
      </c>
      <c r="AA790" s="3">
        <f>VALUE(SUBSTITUTE(MID($A790,H790+H$2+1,I790-H790-H$2-1),",","."))</f>
        <v>0</v>
      </c>
      <c r="AB790" s="3">
        <f>VALUE(SUBSTITUTE(MID($A790,I790+I$2+1,J790-I790-I$2-1),",","."))</f>
        <v>0</v>
      </c>
      <c r="AC790" s="3">
        <f>VALUE(SUBSTITUTE(MID($A790,J790+J$2+1,K790-J790-J$2-1),",","."))</f>
        <v>2.7</v>
      </c>
      <c r="AD790" s="3">
        <f>VALUE(SUBSTITUTE(MID($A790,K790+K$2+1,L790-K790-K$2-1),",","."))</f>
        <v>8.2799999999999994</v>
      </c>
      <c r="AE790" s="3">
        <f>VALUE(SUBSTITUTE(MID($A790,L790+L$2+1,M790-L790-L$2-1),",","."))</f>
        <v>0</v>
      </c>
      <c r="AF790" s="3">
        <f>VALUE(SUBSTITUTE(MID($A790,M790+M$2+1,N790-M790-M$2-1),",","."))</f>
        <v>0</v>
      </c>
      <c r="AG790" s="3">
        <f>VALUE(SUBSTITUTE(MID($A790,N790+N$2+1,O790-N790-N$2-1),",","."))</f>
        <v>4.2259058965986496</v>
      </c>
      <c r="AH790" t="str">
        <f>MID($A790,O790+O$2+1,P790-O790-O$2-1)</f>
        <v/>
      </c>
      <c r="AI790" s="8" t="str">
        <f>MID($A790,P790+P$2+1,Q790-P790-P$2-1)</f>
        <v>False</v>
      </c>
      <c r="AK790" t="b">
        <f t="shared" si="108"/>
        <v>0</v>
      </c>
    </row>
    <row r="791" spans="1:37" x14ac:dyDescent="0.35">
      <c r="A791" t="s">
        <v>5338</v>
      </c>
      <c r="B791">
        <f t="shared" si="110"/>
        <v>10</v>
      </c>
      <c r="C791">
        <f t="shared" si="110"/>
        <v>43</v>
      </c>
      <c r="D791">
        <f t="shared" si="110"/>
        <v>54</v>
      </c>
      <c r="E791">
        <f t="shared" si="109"/>
        <v>80</v>
      </c>
      <c r="F791">
        <f t="shared" si="109"/>
        <v>124</v>
      </c>
      <c r="G791">
        <f t="shared" si="109"/>
        <v>145</v>
      </c>
      <c r="H791">
        <f t="shared" si="109"/>
        <v>177</v>
      </c>
      <c r="I791">
        <f t="shared" si="109"/>
        <v>199</v>
      </c>
      <c r="J791">
        <f t="shared" si="109"/>
        <v>232</v>
      </c>
      <c r="K791">
        <f t="shared" si="109"/>
        <v>251</v>
      </c>
      <c r="L791">
        <f t="shared" si="109"/>
        <v>282</v>
      </c>
      <c r="M791">
        <f t="shared" si="109"/>
        <v>297</v>
      </c>
      <c r="N791">
        <f t="shared" si="106"/>
        <v>309</v>
      </c>
      <c r="O791">
        <f t="shared" si="106"/>
        <v>333</v>
      </c>
      <c r="P791">
        <f t="shared" si="106"/>
        <v>351</v>
      </c>
      <c r="Q791">
        <f t="shared" si="106"/>
        <v>377</v>
      </c>
      <c r="S791" t="str">
        <f t="shared" si="104"/>
        <v>05.12.2025</v>
      </c>
      <c r="T791" t="str">
        <f t="shared" si="105"/>
        <v>00:15:00</v>
      </c>
      <c r="U791" t="str">
        <f t="shared" si="107"/>
        <v>05.12.2025 00:15:00</v>
      </c>
      <c r="V791" s="9" t="str">
        <f>MID($A791,C791+C$2+1,D791-C791-C$2-1)</f>
        <v>0</v>
      </c>
      <c r="W791" s="4">
        <f>VALUE(SUBSTITUTE(MID($A791,D791+D$2+1,E791-D791-D$2-1),",","."))</f>
        <v>0</v>
      </c>
      <c r="X791" s="4">
        <f>VALUE(SUBSTITUTE(MID($A791,E791+E$2+1,F791-E791-E$2-1),",","."))</f>
        <v>0.90957602214449496</v>
      </c>
      <c r="Y791" s="4">
        <f>VALUE(SUBSTITUTE(MID($A791,F791+F$2+1,G791-F791-F$2-1),",","."))</f>
        <v>0</v>
      </c>
      <c r="Z791" s="3">
        <f>VALUE(SUBSTITUTE(MID($A791,G791+G$2+1,H791-G791-G$2-1),",","."))</f>
        <v>0</v>
      </c>
      <c r="AA791" s="3">
        <f>VALUE(SUBSTITUTE(MID($A791,H791+H$2+1,I791-H791-H$2-1),",","."))</f>
        <v>0</v>
      </c>
      <c r="AB791" s="3">
        <f>VALUE(SUBSTITUTE(MID($A791,I791+I$2+1,J791-I791-I$2-1),",","."))</f>
        <v>0</v>
      </c>
      <c r="AC791" s="3">
        <f>VALUE(SUBSTITUTE(MID($A791,J791+J$2+1,K791-J791-J$2-1),",","."))</f>
        <v>2.7</v>
      </c>
      <c r="AD791" s="3">
        <f>VALUE(SUBSTITUTE(MID($A791,K791+K$2+1,L791-K791-K$2-1),",","."))</f>
        <v>8.2799999999999994</v>
      </c>
      <c r="AE791" s="3">
        <f>VALUE(SUBSTITUTE(MID($A791,L791+L$2+1,M791-L791-L$2-1),",","."))</f>
        <v>0</v>
      </c>
      <c r="AF791" s="3">
        <f>VALUE(SUBSTITUTE(MID($A791,M791+M$2+1,N791-M791-M$2-1),",","."))</f>
        <v>0</v>
      </c>
      <c r="AG791" s="3">
        <f>VALUE(SUBSTITUTE(MID($A791,N791+N$2+1,O791-N791-N$2-1),",","."))</f>
        <v>4.2259344164867398</v>
      </c>
      <c r="AH791" t="str">
        <f>MID($A791,O791+O$2+1,P791-O791-O$2-1)</f>
        <v/>
      </c>
      <c r="AI791" s="8" t="str">
        <f>MID($A791,P791+P$2+1,Q791-P791-P$2-1)</f>
        <v>False</v>
      </c>
      <c r="AK791" t="b">
        <f t="shared" si="108"/>
        <v>0</v>
      </c>
    </row>
    <row r="792" spans="1:37" x14ac:dyDescent="0.35">
      <c r="A792" t="s">
        <v>5339</v>
      </c>
      <c r="B792">
        <f t="shared" si="110"/>
        <v>10</v>
      </c>
      <c r="C792">
        <f t="shared" si="110"/>
        <v>43</v>
      </c>
      <c r="D792">
        <f t="shared" si="110"/>
        <v>54</v>
      </c>
      <c r="E792">
        <f t="shared" si="109"/>
        <v>80</v>
      </c>
      <c r="F792">
        <f t="shared" si="109"/>
        <v>124</v>
      </c>
      <c r="G792">
        <f t="shared" si="109"/>
        <v>145</v>
      </c>
      <c r="H792">
        <f t="shared" si="109"/>
        <v>177</v>
      </c>
      <c r="I792">
        <f t="shared" si="109"/>
        <v>199</v>
      </c>
      <c r="J792">
        <f t="shared" si="109"/>
        <v>232</v>
      </c>
      <c r="K792">
        <f t="shared" si="109"/>
        <v>252</v>
      </c>
      <c r="L792">
        <f t="shared" si="109"/>
        <v>267</v>
      </c>
      <c r="M792">
        <f t="shared" si="109"/>
        <v>282</v>
      </c>
      <c r="N792">
        <f t="shared" si="106"/>
        <v>294</v>
      </c>
      <c r="O792">
        <f t="shared" si="106"/>
        <v>319</v>
      </c>
      <c r="P792">
        <f t="shared" si="106"/>
        <v>337</v>
      </c>
      <c r="Q792">
        <f t="shared" si="106"/>
        <v>363</v>
      </c>
      <c r="S792" t="str">
        <f t="shared" si="104"/>
        <v>05.12.2025</v>
      </c>
      <c r="T792" t="str">
        <f t="shared" si="105"/>
        <v>00:30:00</v>
      </c>
      <c r="U792" t="str">
        <f t="shared" si="107"/>
        <v>05.12.2025 00:30:00</v>
      </c>
      <c r="V792" s="9" t="str">
        <f>MID($A792,C792+C$2+1,D792-C792-C$2-1)</f>
        <v>0</v>
      </c>
      <c r="W792" s="4">
        <f>VALUE(SUBSTITUTE(MID($A792,D792+D$2+1,E792-D792-D$2-1),",","."))</f>
        <v>0</v>
      </c>
      <c r="X792" s="4">
        <f>VALUE(SUBSTITUTE(MID($A792,E792+E$2+1,F792-E792-E$2-1),",","."))</f>
        <v>0.90957602214449496</v>
      </c>
      <c r="Y792" s="4">
        <f>VALUE(SUBSTITUTE(MID($A792,F792+F$2+1,G792-F792-F$2-1),",","."))</f>
        <v>0</v>
      </c>
      <c r="Z792" s="3">
        <f>VALUE(SUBSTITUTE(MID($A792,G792+G$2+1,H792-G792-G$2-1),",","."))</f>
        <v>0</v>
      </c>
      <c r="AA792" s="3">
        <f>VALUE(SUBSTITUTE(MID($A792,H792+H$2+1,I792-H792-H$2-1),",","."))</f>
        <v>0</v>
      </c>
      <c r="AB792" s="3">
        <f>VALUE(SUBSTITUTE(MID($A792,I792+I$2+1,J792-I792-I$2-1),",","."))</f>
        <v>0</v>
      </c>
      <c r="AC792" s="3">
        <f>VALUE(SUBSTITUTE(MID($A792,J792+J$2+1,K792-J792-J$2-1),",","."))</f>
        <v>2.75</v>
      </c>
      <c r="AD792" s="3">
        <f>VALUE(SUBSTITUTE(MID($A792,K792+K$2+1,L792-K792-K$2-1),",","."))</f>
        <v>9</v>
      </c>
      <c r="AE792" s="3">
        <f>VALUE(SUBSTITUTE(MID($A792,L792+L$2+1,M792-L792-L$2-1),",","."))</f>
        <v>0</v>
      </c>
      <c r="AF792" s="3">
        <f>VALUE(SUBSTITUTE(MID($A792,M792+M$2+1,N792-M792-M$2-1),",","."))</f>
        <v>0</v>
      </c>
      <c r="AG792" s="3">
        <f>VALUE(SUBSTITUTE(MID($A792,N792+N$2+1,O792-N792-N$2-1),",","."))</f>
        <v>4.2259629363748203</v>
      </c>
      <c r="AH792" t="str">
        <f>MID($A792,O792+O$2+1,P792-O792-O$2-1)</f>
        <v/>
      </c>
      <c r="AI792" s="8" t="str">
        <f>MID($A792,P792+P$2+1,Q792-P792-P$2-1)</f>
        <v>False</v>
      </c>
      <c r="AK792" t="b">
        <f t="shared" si="108"/>
        <v>0</v>
      </c>
    </row>
    <row r="793" spans="1:37" x14ac:dyDescent="0.35">
      <c r="A793" t="s">
        <v>5340</v>
      </c>
      <c r="B793">
        <f t="shared" si="110"/>
        <v>10</v>
      </c>
      <c r="C793">
        <f t="shared" si="110"/>
        <v>43</v>
      </c>
      <c r="D793">
        <f t="shared" si="110"/>
        <v>54</v>
      </c>
      <c r="E793">
        <f t="shared" si="109"/>
        <v>80</v>
      </c>
      <c r="F793">
        <f t="shared" si="109"/>
        <v>124</v>
      </c>
      <c r="G793">
        <f t="shared" si="109"/>
        <v>145</v>
      </c>
      <c r="H793">
        <f t="shared" si="109"/>
        <v>177</v>
      </c>
      <c r="I793">
        <f t="shared" si="109"/>
        <v>199</v>
      </c>
      <c r="J793">
        <f t="shared" si="109"/>
        <v>232</v>
      </c>
      <c r="K793">
        <f t="shared" si="109"/>
        <v>252</v>
      </c>
      <c r="L793">
        <f t="shared" si="109"/>
        <v>267</v>
      </c>
      <c r="M793">
        <f t="shared" si="109"/>
        <v>282</v>
      </c>
      <c r="N793">
        <f t="shared" si="106"/>
        <v>294</v>
      </c>
      <c r="O793">
        <f t="shared" si="106"/>
        <v>320</v>
      </c>
      <c r="P793">
        <f t="shared" si="106"/>
        <v>338</v>
      </c>
      <c r="Q793">
        <f t="shared" si="106"/>
        <v>364</v>
      </c>
      <c r="S793" t="str">
        <f t="shared" si="104"/>
        <v>05.12.2025</v>
      </c>
      <c r="T793" t="str">
        <f t="shared" si="105"/>
        <v>00:45:00</v>
      </c>
      <c r="U793" t="str">
        <f t="shared" si="107"/>
        <v>05.12.2025 00:45:00</v>
      </c>
      <c r="V793" s="9" t="str">
        <f>MID($A793,C793+C$2+1,D793-C793-C$2-1)</f>
        <v>0</v>
      </c>
      <c r="W793" s="4">
        <f>VALUE(SUBSTITUTE(MID($A793,D793+D$2+1,E793-D793-D$2-1),",","."))</f>
        <v>0</v>
      </c>
      <c r="X793" s="4">
        <f>VALUE(SUBSTITUTE(MID($A793,E793+E$2+1,F793-E793-E$2-1),",","."))</f>
        <v>0.90957602214449496</v>
      </c>
      <c r="Y793" s="4">
        <f>VALUE(SUBSTITUTE(MID($A793,F793+F$2+1,G793-F793-F$2-1),",","."))</f>
        <v>0</v>
      </c>
      <c r="Z793" s="3">
        <f>VALUE(SUBSTITUTE(MID($A793,G793+G$2+1,H793-G793-G$2-1),",","."))</f>
        <v>0</v>
      </c>
      <c r="AA793" s="3">
        <f>VALUE(SUBSTITUTE(MID($A793,H793+H$2+1,I793-H793-H$2-1),",","."))</f>
        <v>0</v>
      </c>
      <c r="AB793" s="3">
        <f>VALUE(SUBSTITUTE(MID($A793,I793+I$2+1,J793-I793-I$2-1),",","."))</f>
        <v>0</v>
      </c>
      <c r="AC793" s="3">
        <f>VALUE(SUBSTITUTE(MID($A793,J793+J$2+1,K793-J793-J$2-1),",","."))</f>
        <v>2.75</v>
      </c>
      <c r="AD793" s="3">
        <f>VALUE(SUBSTITUTE(MID($A793,K793+K$2+1,L793-K793-K$2-1),",","."))</f>
        <v>9</v>
      </c>
      <c r="AE793" s="3">
        <f>VALUE(SUBSTITUTE(MID($A793,L793+L$2+1,M793-L793-L$2-1),",","."))</f>
        <v>0</v>
      </c>
      <c r="AF793" s="3">
        <f>VALUE(SUBSTITUTE(MID($A793,M793+M$2+1,N793-M793-M$2-1),",","."))</f>
        <v>0</v>
      </c>
      <c r="AG793" s="3">
        <f>VALUE(SUBSTITUTE(MID($A793,N793+N$2+1,O793-N793-N$2-1),",","."))</f>
        <v>4.2259914562629</v>
      </c>
      <c r="AH793" t="str">
        <f>MID($A793,O793+O$2+1,P793-O793-O$2-1)</f>
        <v/>
      </c>
      <c r="AI793" s="8" t="str">
        <f>MID($A793,P793+P$2+1,Q793-P793-P$2-1)</f>
        <v>False</v>
      </c>
      <c r="AK793" t="b">
        <f t="shared" si="108"/>
        <v>0</v>
      </c>
    </row>
    <row r="794" spans="1:37" x14ac:dyDescent="0.35">
      <c r="A794" t="s">
        <v>5341</v>
      </c>
      <c r="B794">
        <f t="shared" si="110"/>
        <v>10</v>
      </c>
      <c r="C794">
        <f t="shared" si="110"/>
        <v>43</v>
      </c>
      <c r="D794">
        <f t="shared" si="110"/>
        <v>54</v>
      </c>
      <c r="E794">
        <f t="shared" si="109"/>
        <v>80</v>
      </c>
      <c r="F794">
        <f t="shared" si="109"/>
        <v>124</v>
      </c>
      <c r="G794">
        <f t="shared" si="109"/>
        <v>145</v>
      </c>
      <c r="H794">
        <f t="shared" si="109"/>
        <v>177</v>
      </c>
      <c r="I794">
        <f t="shared" si="109"/>
        <v>199</v>
      </c>
      <c r="J794">
        <f t="shared" si="109"/>
        <v>232</v>
      </c>
      <c r="K794">
        <f t="shared" si="109"/>
        <v>252</v>
      </c>
      <c r="L794">
        <f t="shared" si="109"/>
        <v>267</v>
      </c>
      <c r="M794">
        <f t="shared" si="109"/>
        <v>282</v>
      </c>
      <c r="N794">
        <f t="shared" si="106"/>
        <v>294</v>
      </c>
      <c r="O794">
        <f t="shared" si="106"/>
        <v>319</v>
      </c>
      <c r="P794">
        <f t="shared" si="106"/>
        <v>337</v>
      </c>
      <c r="Q794">
        <f t="shared" si="106"/>
        <v>363</v>
      </c>
      <c r="S794" t="str">
        <f t="shared" si="104"/>
        <v>05.12.2025</v>
      </c>
      <c r="T794" t="str">
        <f t="shared" si="105"/>
        <v>01:00:00</v>
      </c>
      <c r="U794" t="str">
        <f t="shared" si="107"/>
        <v>05.12.2025 01:00:00</v>
      </c>
      <c r="V794" s="9" t="str">
        <f>MID($A794,C794+C$2+1,D794-C794-C$2-1)</f>
        <v>0</v>
      </c>
      <c r="W794" s="4">
        <f>VALUE(SUBSTITUTE(MID($A794,D794+D$2+1,E794-D794-D$2-1),",","."))</f>
        <v>0</v>
      </c>
      <c r="X794" s="4">
        <f>VALUE(SUBSTITUTE(MID($A794,E794+E$2+1,F794-E794-E$2-1),",","."))</f>
        <v>0.90957602214449496</v>
      </c>
      <c r="Y794" s="4">
        <f>VALUE(SUBSTITUTE(MID($A794,F794+F$2+1,G794-F794-F$2-1),",","."))</f>
        <v>0</v>
      </c>
      <c r="Z794" s="3">
        <f>VALUE(SUBSTITUTE(MID($A794,G794+G$2+1,H794-G794-G$2-1),",","."))</f>
        <v>0</v>
      </c>
      <c r="AA794" s="3">
        <f>VALUE(SUBSTITUTE(MID($A794,H794+H$2+1,I794-H794-H$2-1),",","."))</f>
        <v>0</v>
      </c>
      <c r="AB794" s="3">
        <f>VALUE(SUBSTITUTE(MID($A794,I794+I$2+1,J794-I794-I$2-1),",","."))</f>
        <v>0</v>
      </c>
      <c r="AC794" s="3">
        <f>VALUE(SUBSTITUTE(MID($A794,J794+J$2+1,K794-J794-J$2-1),",","."))</f>
        <v>2.75</v>
      </c>
      <c r="AD794" s="3">
        <f>VALUE(SUBSTITUTE(MID($A794,K794+K$2+1,L794-K794-K$2-1),",","."))</f>
        <v>9</v>
      </c>
      <c r="AE794" s="3">
        <f>VALUE(SUBSTITUTE(MID($A794,L794+L$2+1,M794-L794-L$2-1),",","."))</f>
        <v>0</v>
      </c>
      <c r="AF794" s="3">
        <f>VALUE(SUBSTITUTE(MID($A794,M794+M$2+1,N794-M794-M$2-1),",","."))</f>
        <v>0</v>
      </c>
      <c r="AG794" s="3">
        <f>VALUE(SUBSTITUTE(MID($A794,N794+N$2+1,O794-N794-N$2-1),",","."))</f>
        <v>4.2260199761509796</v>
      </c>
      <c r="AH794" t="str">
        <f>MID($A794,O794+O$2+1,P794-O794-O$2-1)</f>
        <v/>
      </c>
      <c r="AI794" s="8" t="str">
        <f>MID($A794,P794+P$2+1,Q794-P794-P$2-1)</f>
        <v>False</v>
      </c>
      <c r="AK794" t="b">
        <f t="shared" si="108"/>
        <v>0</v>
      </c>
    </row>
    <row r="795" spans="1:37" x14ac:dyDescent="0.35">
      <c r="A795" t="s">
        <v>5342</v>
      </c>
      <c r="B795">
        <f t="shared" si="110"/>
        <v>10</v>
      </c>
      <c r="C795">
        <f t="shared" si="110"/>
        <v>43</v>
      </c>
      <c r="D795">
        <f t="shared" si="110"/>
        <v>54</v>
      </c>
      <c r="E795">
        <f t="shared" si="109"/>
        <v>80</v>
      </c>
      <c r="F795">
        <f t="shared" si="109"/>
        <v>124</v>
      </c>
      <c r="G795">
        <f t="shared" si="109"/>
        <v>145</v>
      </c>
      <c r="H795">
        <f t="shared" si="109"/>
        <v>177</v>
      </c>
      <c r="I795">
        <f t="shared" si="109"/>
        <v>199</v>
      </c>
      <c r="J795">
        <f t="shared" si="109"/>
        <v>232</v>
      </c>
      <c r="K795">
        <f t="shared" si="109"/>
        <v>252</v>
      </c>
      <c r="L795">
        <f t="shared" si="109"/>
        <v>267</v>
      </c>
      <c r="M795">
        <f t="shared" si="109"/>
        <v>282</v>
      </c>
      <c r="N795">
        <f t="shared" si="106"/>
        <v>294</v>
      </c>
      <c r="O795">
        <f t="shared" si="106"/>
        <v>319</v>
      </c>
      <c r="P795">
        <f t="shared" si="106"/>
        <v>337</v>
      </c>
      <c r="Q795">
        <f t="shared" si="106"/>
        <v>363</v>
      </c>
      <c r="S795" t="str">
        <f t="shared" si="104"/>
        <v>05.12.2025</v>
      </c>
      <c r="T795" t="str">
        <f t="shared" si="105"/>
        <v>01:15:00</v>
      </c>
      <c r="U795" t="str">
        <f t="shared" si="107"/>
        <v>05.12.2025 01:15:00</v>
      </c>
      <c r="V795" s="9" t="str">
        <f>MID($A795,C795+C$2+1,D795-C795-C$2-1)</f>
        <v>0</v>
      </c>
      <c r="W795" s="4">
        <f>VALUE(SUBSTITUTE(MID($A795,D795+D$2+1,E795-D795-D$2-1),",","."))</f>
        <v>0</v>
      </c>
      <c r="X795" s="4">
        <f>VALUE(SUBSTITUTE(MID($A795,E795+E$2+1,F795-E795-E$2-1),",","."))</f>
        <v>0.90957602214449496</v>
      </c>
      <c r="Y795" s="4">
        <f>VALUE(SUBSTITUTE(MID($A795,F795+F$2+1,G795-F795-F$2-1),",","."))</f>
        <v>0</v>
      </c>
      <c r="Z795" s="3">
        <f>VALUE(SUBSTITUTE(MID($A795,G795+G$2+1,H795-G795-G$2-1),",","."))</f>
        <v>0</v>
      </c>
      <c r="AA795" s="3">
        <f>VALUE(SUBSTITUTE(MID($A795,H795+H$2+1,I795-H795-H$2-1),",","."))</f>
        <v>0</v>
      </c>
      <c r="AB795" s="3">
        <f>VALUE(SUBSTITUTE(MID($A795,I795+I$2+1,J795-I795-I$2-1),",","."))</f>
        <v>0</v>
      </c>
      <c r="AC795" s="3">
        <f>VALUE(SUBSTITUTE(MID($A795,J795+J$2+1,K795-J795-J$2-1),",","."))</f>
        <v>2.75</v>
      </c>
      <c r="AD795" s="3">
        <f>VALUE(SUBSTITUTE(MID($A795,K795+K$2+1,L795-K795-K$2-1),",","."))</f>
        <v>9</v>
      </c>
      <c r="AE795" s="3">
        <f>VALUE(SUBSTITUTE(MID($A795,L795+L$2+1,M795-L795-L$2-1),",","."))</f>
        <v>0</v>
      </c>
      <c r="AF795" s="3">
        <f>VALUE(SUBSTITUTE(MID($A795,M795+M$2+1,N795-M795-M$2-1),",","."))</f>
        <v>0</v>
      </c>
      <c r="AG795" s="3">
        <f>VALUE(SUBSTITUTE(MID($A795,N795+N$2+1,O795-N795-N$2-1),",","."))</f>
        <v>4.2260484960390601</v>
      </c>
      <c r="AH795" t="str">
        <f>MID($A795,O795+O$2+1,P795-O795-O$2-1)</f>
        <v/>
      </c>
      <c r="AI795" s="8" t="str">
        <f>MID($A795,P795+P$2+1,Q795-P795-P$2-1)</f>
        <v>False</v>
      </c>
      <c r="AK795" t="b">
        <f t="shared" si="108"/>
        <v>0</v>
      </c>
    </row>
    <row r="796" spans="1:37" x14ac:dyDescent="0.35">
      <c r="A796" t="s">
        <v>5343</v>
      </c>
      <c r="B796">
        <f t="shared" si="110"/>
        <v>10</v>
      </c>
      <c r="C796">
        <f t="shared" si="110"/>
        <v>43</v>
      </c>
      <c r="D796">
        <f t="shared" si="110"/>
        <v>54</v>
      </c>
      <c r="E796">
        <f t="shared" si="109"/>
        <v>80</v>
      </c>
      <c r="F796">
        <f t="shared" si="109"/>
        <v>124</v>
      </c>
      <c r="G796">
        <f t="shared" si="109"/>
        <v>145</v>
      </c>
      <c r="H796">
        <f t="shared" si="109"/>
        <v>177</v>
      </c>
      <c r="I796">
        <f t="shared" si="109"/>
        <v>199</v>
      </c>
      <c r="J796">
        <f t="shared" si="109"/>
        <v>232</v>
      </c>
      <c r="K796">
        <f t="shared" si="109"/>
        <v>252</v>
      </c>
      <c r="L796">
        <f t="shared" si="109"/>
        <v>271</v>
      </c>
      <c r="M796">
        <f t="shared" si="109"/>
        <v>286</v>
      </c>
      <c r="N796">
        <f t="shared" si="106"/>
        <v>298</v>
      </c>
      <c r="O796">
        <f t="shared" si="106"/>
        <v>323</v>
      </c>
      <c r="P796">
        <f t="shared" si="106"/>
        <v>341</v>
      </c>
      <c r="Q796">
        <f t="shared" si="106"/>
        <v>367</v>
      </c>
      <c r="S796" t="str">
        <f t="shared" si="104"/>
        <v>05.12.2025</v>
      </c>
      <c r="T796" t="str">
        <f t="shared" si="105"/>
        <v>01:30:00</v>
      </c>
      <c r="U796" t="str">
        <f t="shared" si="107"/>
        <v>05.12.2025 01:30:00</v>
      </c>
      <c r="V796" s="9" t="str">
        <f>MID($A796,C796+C$2+1,D796-C796-C$2-1)</f>
        <v>0</v>
      </c>
      <c r="W796" s="4">
        <f>VALUE(SUBSTITUTE(MID($A796,D796+D$2+1,E796-D796-D$2-1),",","."))</f>
        <v>0</v>
      </c>
      <c r="X796" s="4">
        <f>VALUE(SUBSTITUTE(MID($A796,E796+E$2+1,F796-E796-E$2-1),",","."))</f>
        <v>0.90957602214449496</v>
      </c>
      <c r="Y796" s="4">
        <f>VALUE(SUBSTITUTE(MID($A796,F796+F$2+1,G796-F796-F$2-1),",","."))</f>
        <v>0</v>
      </c>
      <c r="Z796" s="3">
        <f>VALUE(SUBSTITUTE(MID($A796,G796+G$2+1,H796-G796-G$2-1),",","."))</f>
        <v>0</v>
      </c>
      <c r="AA796" s="3">
        <f>VALUE(SUBSTITUTE(MID($A796,H796+H$2+1,I796-H796-H$2-1),",","."))</f>
        <v>0</v>
      </c>
      <c r="AB796" s="3">
        <f>VALUE(SUBSTITUTE(MID($A796,I796+I$2+1,J796-I796-I$2-1),",","."))</f>
        <v>0</v>
      </c>
      <c r="AC796" s="3">
        <f>VALUE(SUBSTITUTE(MID($A796,J796+J$2+1,K796-J796-J$2-1),",","."))</f>
        <v>2.65</v>
      </c>
      <c r="AD796" s="3">
        <f>VALUE(SUBSTITUTE(MID($A796,K796+K$2+1,L796-K796-K$2-1),",","."))</f>
        <v>10.26</v>
      </c>
      <c r="AE796" s="3">
        <f>VALUE(SUBSTITUTE(MID($A796,L796+L$2+1,M796-L796-L$2-1),",","."))</f>
        <v>0</v>
      </c>
      <c r="AF796" s="3">
        <f>VALUE(SUBSTITUTE(MID($A796,M796+M$2+1,N796-M796-M$2-1),",","."))</f>
        <v>0</v>
      </c>
      <c r="AG796" s="3">
        <f>VALUE(SUBSTITUTE(MID($A796,N796+N$2+1,O796-N796-N$2-1),",","."))</f>
        <v>4.2260770159271397</v>
      </c>
      <c r="AH796" t="str">
        <f>MID($A796,O796+O$2+1,P796-O796-O$2-1)</f>
        <v/>
      </c>
      <c r="AI796" s="8" t="str">
        <f>MID($A796,P796+P$2+1,Q796-P796-P$2-1)</f>
        <v>False</v>
      </c>
      <c r="AK796" t="b">
        <f t="shared" si="108"/>
        <v>0</v>
      </c>
    </row>
    <row r="797" spans="1:37" x14ac:dyDescent="0.35">
      <c r="A797" t="s">
        <v>5344</v>
      </c>
      <c r="B797">
        <f t="shared" si="110"/>
        <v>10</v>
      </c>
      <c r="C797">
        <f t="shared" si="110"/>
        <v>43</v>
      </c>
      <c r="D797">
        <f t="shared" si="110"/>
        <v>54</v>
      </c>
      <c r="E797">
        <f t="shared" si="109"/>
        <v>80</v>
      </c>
      <c r="F797">
        <f t="shared" si="109"/>
        <v>124</v>
      </c>
      <c r="G797">
        <f t="shared" si="109"/>
        <v>145</v>
      </c>
      <c r="H797">
        <f t="shared" si="109"/>
        <v>177</v>
      </c>
      <c r="I797">
        <f t="shared" si="109"/>
        <v>199</v>
      </c>
      <c r="J797">
        <f t="shared" si="109"/>
        <v>232</v>
      </c>
      <c r="K797">
        <f t="shared" si="109"/>
        <v>252</v>
      </c>
      <c r="L797">
        <f t="shared" si="109"/>
        <v>271</v>
      </c>
      <c r="M797">
        <f t="shared" si="109"/>
        <v>286</v>
      </c>
      <c r="N797">
        <f t="shared" si="106"/>
        <v>298</v>
      </c>
      <c r="O797">
        <f t="shared" si="106"/>
        <v>323</v>
      </c>
      <c r="P797">
        <f t="shared" si="106"/>
        <v>341</v>
      </c>
      <c r="Q797">
        <f t="shared" si="106"/>
        <v>367</v>
      </c>
      <c r="S797" t="str">
        <f t="shared" si="104"/>
        <v>05.12.2025</v>
      </c>
      <c r="T797" t="str">
        <f t="shared" si="105"/>
        <v>01:45:00</v>
      </c>
      <c r="U797" t="str">
        <f t="shared" si="107"/>
        <v>05.12.2025 01:45:00</v>
      </c>
      <c r="V797" s="9" t="str">
        <f>MID($A797,C797+C$2+1,D797-C797-C$2-1)</f>
        <v>0</v>
      </c>
      <c r="W797" s="4">
        <f>VALUE(SUBSTITUTE(MID($A797,D797+D$2+1,E797-D797-D$2-1),",","."))</f>
        <v>0</v>
      </c>
      <c r="X797" s="4">
        <f>VALUE(SUBSTITUTE(MID($A797,E797+E$2+1,F797-E797-E$2-1),",","."))</f>
        <v>0.90957602214449496</v>
      </c>
      <c r="Y797" s="4">
        <f>VALUE(SUBSTITUTE(MID($A797,F797+F$2+1,G797-F797-F$2-1),",","."))</f>
        <v>0</v>
      </c>
      <c r="Z797" s="3">
        <f>VALUE(SUBSTITUTE(MID($A797,G797+G$2+1,H797-G797-G$2-1),",","."))</f>
        <v>0</v>
      </c>
      <c r="AA797" s="3">
        <f>VALUE(SUBSTITUTE(MID($A797,H797+H$2+1,I797-H797-H$2-1),",","."))</f>
        <v>0</v>
      </c>
      <c r="AB797" s="3">
        <f>VALUE(SUBSTITUTE(MID($A797,I797+I$2+1,J797-I797-I$2-1),",","."))</f>
        <v>0</v>
      </c>
      <c r="AC797" s="3">
        <f>VALUE(SUBSTITUTE(MID($A797,J797+J$2+1,K797-J797-J$2-1),",","."))</f>
        <v>2.65</v>
      </c>
      <c r="AD797" s="3">
        <f>VALUE(SUBSTITUTE(MID($A797,K797+K$2+1,L797-K797-K$2-1),",","."))</f>
        <v>10.26</v>
      </c>
      <c r="AE797" s="3">
        <f>VALUE(SUBSTITUTE(MID($A797,L797+L$2+1,M797-L797-L$2-1),",","."))</f>
        <v>0</v>
      </c>
      <c r="AF797" s="3">
        <f>VALUE(SUBSTITUTE(MID($A797,M797+M$2+1,N797-M797-M$2-1),",","."))</f>
        <v>0</v>
      </c>
      <c r="AG797" s="3">
        <f>VALUE(SUBSTITUTE(MID($A797,N797+N$2+1,O797-N797-N$2-1),",","."))</f>
        <v>4.2261055358152202</v>
      </c>
      <c r="AH797" t="str">
        <f>MID($A797,O797+O$2+1,P797-O797-O$2-1)</f>
        <v/>
      </c>
      <c r="AI797" s="8" t="str">
        <f>MID($A797,P797+P$2+1,Q797-P797-P$2-1)</f>
        <v>False</v>
      </c>
      <c r="AK797" t="b">
        <f t="shared" si="108"/>
        <v>0</v>
      </c>
    </row>
    <row r="798" spans="1:37" x14ac:dyDescent="0.35">
      <c r="A798" t="s">
        <v>5345</v>
      </c>
      <c r="B798">
        <f t="shared" si="110"/>
        <v>10</v>
      </c>
      <c r="C798">
        <f t="shared" si="110"/>
        <v>43</v>
      </c>
      <c r="D798">
        <f t="shared" si="110"/>
        <v>54</v>
      </c>
      <c r="E798">
        <f t="shared" si="109"/>
        <v>80</v>
      </c>
      <c r="F798">
        <f t="shared" si="109"/>
        <v>124</v>
      </c>
      <c r="G798">
        <f t="shared" si="109"/>
        <v>145</v>
      </c>
      <c r="H798">
        <f t="shared" si="109"/>
        <v>177</v>
      </c>
      <c r="I798">
        <f t="shared" si="109"/>
        <v>199</v>
      </c>
      <c r="J798">
        <f t="shared" si="109"/>
        <v>232</v>
      </c>
      <c r="K798">
        <f t="shared" si="109"/>
        <v>252</v>
      </c>
      <c r="L798">
        <f t="shared" si="109"/>
        <v>271</v>
      </c>
      <c r="M798">
        <f t="shared" si="109"/>
        <v>286</v>
      </c>
      <c r="N798">
        <f t="shared" si="106"/>
        <v>298</v>
      </c>
      <c r="O798">
        <f t="shared" si="106"/>
        <v>323</v>
      </c>
      <c r="P798">
        <f t="shared" si="106"/>
        <v>341</v>
      </c>
      <c r="Q798">
        <f t="shared" si="106"/>
        <v>367</v>
      </c>
      <c r="S798" t="str">
        <f t="shared" si="104"/>
        <v>05.12.2025</v>
      </c>
      <c r="T798" t="str">
        <f t="shared" si="105"/>
        <v>02:00:00</v>
      </c>
      <c r="U798" t="str">
        <f t="shared" si="107"/>
        <v>05.12.2025 02:00:00</v>
      </c>
      <c r="V798" s="9" t="str">
        <f>MID($A798,C798+C$2+1,D798-C798-C$2-1)</f>
        <v>0</v>
      </c>
      <c r="W798" s="4">
        <f>VALUE(SUBSTITUTE(MID($A798,D798+D$2+1,E798-D798-D$2-1),",","."))</f>
        <v>0</v>
      </c>
      <c r="X798" s="4">
        <f>VALUE(SUBSTITUTE(MID($A798,E798+E$2+1,F798-E798-E$2-1),",","."))</f>
        <v>0.90957602214449496</v>
      </c>
      <c r="Y798" s="4">
        <f>VALUE(SUBSTITUTE(MID($A798,F798+F$2+1,G798-F798-F$2-1),",","."))</f>
        <v>0</v>
      </c>
      <c r="Z798" s="3">
        <f>VALUE(SUBSTITUTE(MID($A798,G798+G$2+1,H798-G798-G$2-1),",","."))</f>
        <v>0</v>
      </c>
      <c r="AA798" s="3">
        <f>VALUE(SUBSTITUTE(MID($A798,H798+H$2+1,I798-H798-H$2-1),",","."))</f>
        <v>0</v>
      </c>
      <c r="AB798" s="3">
        <f>VALUE(SUBSTITUTE(MID($A798,I798+I$2+1,J798-I798-I$2-1),",","."))</f>
        <v>0</v>
      </c>
      <c r="AC798" s="3">
        <f>VALUE(SUBSTITUTE(MID($A798,J798+J$2+1,K798-J798-J$2-1),",","."))</f>
        <v>2.65</v>
      </c>
      <c r="AD798" s="3">
        <f>VALUE(SUBSTITUTE(MID($A798,K798+K$2+1,L798-K798-K$2-1),",","."))</f>
        <v>10.26</v>
      </c>
      <c r="AE798" s="3">
        <f>VALUE(SUBSTITUTE(MID($A798,L798+L$2+1,M798-L798-L$2-1),",","."))</f>
        <v>0</v>
      </c>
      <c r="AF798" s="3">
        <f>VALUE(SUBSTITUTE(MID($A798,M798+M$2+1,N798-M798-M$2-1),",","."))</f>
        <v>0</v>
      </c>
      <c r="AG798" s="3">
        <f>VALUE(SUBSTITUTE(MID($A798,N798+N$2+1,O798-N798-N$2-1),",","."))</f>
        <v>4.2261340557033096</v>
      </c>
      <c r="AH798" t="str">
        <f>MID($A798,O798+O$2+1,P798-O798-O$2-1)</f>
        <v/>
      </c>
      <c r="AI798" s="8" t="str">
        <f>MID($A798,P798+P$2+1,Q798-P798-P$2-1)</f>
        <v>False</v>
      </c>
      <c r="AK798" t="b">
        <f t="shared" si="108"/>
        <v>0</v>
      </c>
    </row>
    <row r="799" spans="1:37" x14ac:dyDescent="0.35">
      <c r="A799" t="s">
        <v>5346</v>
      </c>
      <c r="B799">
        <f t="shared" si="110"/>
        <v>10</v>
      </c>
      <c r="C799">
        <f t="shared" si="110"/>
        <v>43</v>
      </c>
      <c r="D799">
        <f t="shared" si="110"/>
        <v>54</v>
      </c>
      <c r="E799">
        <f t="shared" si="109"/>
        <v>80</v>
      </c>
      <c r="F799">
        <f t="shared" si="109"/>
        <v>124</v>
      </c>
      <c r="G799">
        <f t="shared" si="109"/>
        <v>145</v>
      </c>
      <c r="H799">
        <f t="shared" si="109"/>
        <v>177</v>
      </c>
      <c r="I799">
        <f t="shared" si="109"/>
        <v>199</v>
      </c>
      <c r="J799">
        <f t="shared" si="109"/>
        <v>232</v>
      </c>
      <c r="K799">
        <f t="shared" si="109"/>
        <v>252</v>
      </c>
      <c r="L799">
        <f t="shared" si="109"/>
        <v>271</v>
      </c>
      <c r="M799">
        <f t="shared" si="109"/>
        <v>286</v>
      </c>
      <c r="N799">
        <f t="shared" si="106"/>
        <v>298</v>
      </c>
      <c r="O799">
        <f t="shared" si="106"/>
        <v>323</v>
      </c>
      <c r="P799">
        <f t="shared" si="106"/>
        <v>341</v>
      </c>
      <c r="Q799">
        <f t="shared" si="106"/>
        <v>367</v>
      </c>
      <c r="S799" t="str">
        <f t="shared" si="104"/>
        <v>05.12.2025</v>
      </c>
      <c r="T799" t="str">
        <f t="shared" si="105"/>
        <v>02:15:00</v>
      </c>
      <c r="U799" t="str">
        <f t="shared" si="107"/>
        <v>05.12.2025 02:15:00</v>
      </c>
      <c r="V799" s="9" t="str">
        <f>MID($A799,C799+C$2+1,D799-C799-C$2-1)</f>
        <v>0</v>
      </c>
      <c r="W799" s="4">
        <f>VALUE(SUBSTITUTE(MID($A799,D799+D$2+1,E799-D799-D$2-1),",","."))</f>
        <v>0</v>
      </c>
      <c r="X799" s="4">
        <f>VALUE(SUBSTITUTE(MID($A799,E799+E$2+1,F799-E799-E$2-1),",","."))</f>
        <v>0.90957602214449496</v>
      </c>
      <c r="Y799" s="4">
        <f>VALUE(SUBSTITUTE(MID($A799,F799+F$2+1,G799-F799-F$2-1),",","."))</f>
        <v>0</v>
      </c>
      <c r="Z799" s="3">
        <f>VALUE(SUBSTITUTE(MID($A799,G799+G$2+1,H799-G799-G$2-1),",","."))</f>
        <v>0</v>
      </c>
      <c r="AA799" s="3">
        <f>VALUE(SUBSTITUTE(MID($A799,H799+H$2+1,I799-H799-H$2-1),",","."))</f>
        <v>0</v>
      </c>
      <c r="AB799" s="3">
        <f>VALUE(SUBSTITUTE(MID($A799,I799+I$2+1,J799-I799-I$2-1),",","."))</f>
        <v>0</v>
      </c>
      <c r="AC799" s="3">
        <f>VALUE(SUBSTITUTE(MID($A799,J799+J$2+1,K799-J799-J$2-1),",","."))</f>
        <v>2.65</v>
      </c>
      <c r="AD799" s="3">
        <f>VALUE(SUBSTITUTE(MID($A799,K799+K$2+1,L799-K799-K$2-1),",","."))</f>
        <v>10.26</v>
      </c>
      <c r="AE799" s="3">
        <f>VALUE(SUBSTITUTE(MID($A799,L799+L$2+1,M799-L799-L$2-1),",","."))</f>
        <v>0</v>
      </c>
      <c r="AF799" s="3">
        <f>VALUE(SUBSTITUTE(MID($A799,M799+M$2+1,N799-M799-M$2-1),",","."))</f>
        <v>0</v>
      </c>
      <c r="AG799" s="3">
        <f>VALUE(SUBSTITUTE(MID($A799,N799+N$2+1,O799-N799-N$2-1),",","."))</f>
        <v>4.2261625755913901</v>
      </c>
      <c r="AH799" t="str">
        <f>MID($A799,O799+O$2+1,P799-O799-O$2-1)</f>
        <v/>
      </c>
      <c r="AI799" s="8" t="str">
        <f>MID($A799,P799+P$2+1,Q799-P799-P$2-1)</f>
        <v>False</v>
      </c>
      <c r="AK799" t="b">
        <f t="shared" si="108"/>
        <v>0</v>
      </c>
    </row>
    <row r="800" spans="1:37" x14ac:dyDescent="0.35">
      <c r="A800" t="s">
        <v>5347</v>
      </c>
      <c r="B800">
        <f t="shared" si="110"/>
        <v>10</v>
      </c>
      <c r="C800">
        <f t="shared" si="110"/>
        <v>43</v>
      </c>
      <c r="D800">
        <f t="shared" si="110"/>
        <v>54</v>
      </c>
      <c r="E800">
        <f t="shared" si="109"/>
        <v>80</v>
      </c>
      <c r="F800">
        <f t="shared" si="109"/>
        <v>124</v>
      </c>
      <c r="G800">
        <f t="shared" si="109"/>
        <v>145</v>
      </c>
      <c r="H800">
        <f t="shared" si="109"/>
        <v>177</v>
      </c>
      <c r="I800">
        <f t="shared" si="109"/>
        <v>199</v>
      </c>
      <c r="J800">
        <f t="shared" si="109"/>
        <v>232</v>
      </c>
      <c r="K800">
        <f t="shared" si="109"/>
        <v>252</v>
      </c>
      <c r="L800">
        <f t="shared" si="109"/>
        <v>271</v>
      </c>
      <c r="M800">
        <f t="shared" si="109"/>
        <v>286</v>
      </c>
      <c r="N800">
        <f t="shared" si="106"/>
        <v>298</v>
      </c>
      <c r="O800">
        <f t="shared" si="106"/>
        <v>323</v>
      </c>
      <c r="P800">
        <f t="shared" si="106"/>
        <v>341</v>
      </c>
      <c r="Q800">
        <f t="shared" si="106"/>
        <v>367</v>
      </c>
      <c r="S800" t="str">
        <f t="shared" si="104"/>
        <v>05.12.2025</v>
      </c>
      <c r="T800" t="str">
        <f t="shared" si="105"/>
        <v>02:30:00</v>
      </c>
      <c r="U800" t="str">
        <f t="shared" si="107"/>
        <v>05.12.2025 02:30:00</v>
      </c>
      <c r="V800" s="9" t="str">
        <f>MID($A800,C800+C$2+1,D800-C800-C$2-1)</f>
        <v>0</v>
      </c>
      <c r="W800" s="4">
        <f>VALUE(SUBSTITUTE(MID($A800,D800+D$2+1,E800-D800-D$2-1),",","."))</f>
        <v>0</v>
      </c>
      <c r="X800" s="4">
        <f>VALUE(SUBSTITUTE(MID($A800,E800+E$2+1,F800-E800-E$2-1),",","."))</f>
        <v>0.90957602214449496</v>
      </c>
      <c r="Y800" s="4">
        <f>VALUE(SUBSTITUTE(MID($A800,F800+F$2+1,G800-F800-F$2-1),",","."))</f>
        <v>0</v>
      </c>
      <c r="Z800" s="3">
        <f>VALUE(SUBSTITUTE(MID($A800,G800+G$2+1,H800-G800-G$2-1),",","."))</f>
        <v>0</v>
      </c>
      <c r="AA800" s="3">
        <f>VALUE(SUBSTITUTE(MID($A800,H800+H$2+1,I800-H800-H$2-1),",","."))</f>
        <v>0</v>
      </c>
      <c r="AB800" s="3">
        <f>VALUE(SUBSTITUTE(MID($A800,I800+I$2+1,J800-I800-I$2-1),",","."))</f>
        <v>0</v>
      </c>
      <c r="AC800" s="3">
        <f>VALUE(SUBSTITUTE(MID($A800,J800+J$2+1,K800-J800-J$2-1),",","."))</f>
        <v>2.4500000000000002</v>
      </c>
      <c r="AD800" s="3">
        <f>VALUE(SUBSTITUTE(MID($A800,K800+K$2+1,L800-K800-K$2-1),",","."))</f>
        <v>11.34</v>
      </c>
      <c r="AE800" s="3">
        <f>VALUE(SUBSTITUTE(MID($A800,L800+L$2+1,M800-L800-L$2-1),",","."))</f>
        <v>0</v>
      </c>
      <c r="AF800" s="3">
        <f>VALUE(SUBSTITUTE(MID($A800,M800+M$2+1,N800-M800-M$2-1),",","."))</f>
        <v>0</v>
      </c>
      <c r="AG800" s="3">
        <f>VALUE(SUBSTITUTE(MID($A800,N800+N$2+1,O800-N800-N$2-1),",","."))</f>
        <v>4.2261910954794697</v>
      </c>
      <c r="AH800" t="str">
        <f>MID($A800,O800+O$2+1,P800-O800-O$2-1)</f>
        <v/>
      </c>
      <c r="AI800" s="8" t="str">
        <f>MID($A800,P800+P$2+1,Q800-P800-P$2-1)</f>
        <v>False</v>
      </c>
      <c r="AK800" t="b">
        <f t="shared" si="108"/>
        <v>0</v>
      </c>
    </row>
    <row r="801" spans="1:37" x14ac:dyDescent="0.35">
      <c r="A801" t="s">
        <v>5348</v>
      </c>
      <c r="B801">
        <f t="shared" si="110"/>
        <v>10</v>
      </c>
      <c r="C801">
        <f t="shared" si="110"/>
        <v>43</v>
      </c>
      <c r="D801">
        <f t="shared" si="110"/>
        <v>54</v>
      </c>
      <c r="E801">
        <f t="shared" si="109"/>
        <v>80</v>
      </c>
      <c r="F801">
        <f t="shared" si="109"/>
        <v>124</v>
      </c>
      <c r="G801">
        <f t="shared" si="109"/>
        <v>145</v>
      </c>
      <c r="H801">
        <f t="shared" si="109"/>
        <v>177</v>
      </c>
      <c r="I801">
        <f t="shared" si="109"/>
        <v>199</v>
      </c>
      <c r="J801">
        <f t="shared" si="109"/>
        <v>232</v>
      </c>
      <c r="K801">
        <f t="shared" si="109"/>
        <v>252</v>
      </c>
      <c r="L801">
        <f t="shared" si="109"/>
        <v>271</v>
      </c>
      <c r="M801">
        <f t="shared" si="109"/>
        <v>286</v>
      </c>
      <c r="N801">
        <f t="shared" si="106"/>
        <v>298</v>
      </c>
      <c r="O801">
        <f t="shared" si="106"/>
        <v>324</v>
      </c>
      <c r="P801">
        <f t="shared" si="106"/>
        <v>342</v>
      </c>
      <c r="Q801">
        <f t="shared" si="106"/>
        <v>368</v>
      </c>
      <c r="S801" t="str">
        <f t="shared" si="104"/>
        <v>05.12.2025</v>
      </c>
      <c r="T801" t="str">
        <f t="shared" si="105"/>
        <v>02:45:00</v>
      </c>
      <c r="U801" t="str">
        <f t="shared" si="107"/>
        <v>05.12.2025 02:45:00</v>
      </c>
      <c r="V801" s="9" t="str">
        <f>MID($A801,C801+C$2+1,D801-C801-C$2-1)</f>
        <v>0</v>
      </c>
      <c r="W801" s="4">
        <f>VALUE(SUBSTITUTE(MID($A801,D801+D$2+1,E801-D801-D$2-1),",","."))</f>
        <v>0</v>
      </c>
      <c r="X801" s="4">
        <f>VALUE(SUBSTITUTE(MID($A801,E801+E$2+1,F801-E801-E$2-1),",","."))</f>
        <v>0.90957602214449496</v>
      </c>
      <c r="Y801" s="4">
        <f>VALUE(SUBSTITUTE(MID($A801,F801+F$2+1,G801-F801-F$2-1),",","."))</f>
        <v>0</v>
      </c>
      <c r="Z801" s="3">
        <f>VALUE(SUBSTITUTE(MID($A801,G801+G$2+1,H801-G801-G$2-1),",","."))</f>
        <v>0</v>
      </c>
      <c r="AA801" s="3">
        <f>VALUE(SUBSTITUTE(MID($A801,H801+H$2+1,I801-H801-H$2-1),",","."))</f>
        <v>0</v>
      </c>
      <c r="AB801" s="3">
        <f>VALUE(SUBSTITUTE(MID($A801,I801+I$2+1,J801-I801-I$2-1),",","."))</f>
        <v>0</v>
      </c>
      <c r="AC801" s="3">
        <f>VALUE(SUBSTITUTE(MID($A801,J801+J$2+1,K801-J801-J$2-1),",","."))</f>
        <v>2.4500000000000002</v>
      </c>
      <c r="AD801" s="3">
        <f>VALUE(SUBSTITUTE(MID($A801,K801+K$2+1,L801-K801-K$2-1),",","."))</f>
        <v>11.34</v>
      </c>
      <c r="AE801" s="3">
        <f>VALUE(SUBSTITUTE(MID($A801,L801+L$2+1,M801-L801-L$2-1),",","."))</f>
        <v>0</v>
      </c>
      <c r="AF801" s="3">
        <f>VALUE(SUBSTITUTE(MID($A801,M801+M$2+1,N801-M801-M$2-1),",","."))</f>
        <v>0</v>
      </c>
      <c r="AG801" s="3">
        <f>VALUE(SUBSTITUTE(MID($A801,N801+N$2+1,O801-N801-N$2-1),",","."))</f>
        <v>4.2262196153675502</v>
      </c>
      <c r="AH801" t="str">
        <f>MID($A801,O801+O$2+1,P801-O801-O$2-1)</f>
        <v/>
      </c>
      <c r="AI801" s="8" t="str">
        <f>MID($A801,P801+P$2+1,Q801-P801-P$2-1)</f>
        <v>False</v>
      </c>
      <c r="AK801" t="b">
        <f t="shared" si="108"/>
        <v>0</v>
      </c>
    </row>
    <row r="802" spans="1:37" x14ac:dyDescent="0.35">
      <c r="A802" t="s">
        <v>5349</v>
      </c>
      <c r="B802">
        <f t="shared" si="110"/>
        <v>10</v>
      </c>
      <c r="C802">
        <f t="shared" si="110"/>
        <v>43</v>
      </c>
      <c r="D802">
        <f t="shared" si="110"/>
        <v>54</v>
      </c>
      <c r="E802">
        <f t="shared" si="109"/>
        <v>80</v>
      </c>
      <c r="F802">
        <f t="shared" si="109"/>
        <v>124</v>
      </c>
      <c r="G802">
        <f t="shared" si="109"/>
        <v>145</v>
      </c>
      <c r="H802">
        <f t="shared" si="109"/>
        <v>177</v>
      </c>
      <c r="I802">
        <f t="shared" si="109"/>
        <v>199</v>
      </c>
      <c r="J802">
        <f t="shared" si="109"/>
        <v>232</v>
      </c>
      <c r="K802">
        <f t="shared" si="109"/>
        <v>252</v>
      </c>
      <c r="L802">
        <f t="shared" si="109"/>
        <v>271</v>
      </c>
      <c r="M802">
        <f t="shared" si="109"/>
        <v>286</v>
      </c>
      <c r="N802">
        <f t="shared" si="106"/>
        <v>298</v>
      </c>
      <c r="O802">
        <f t="shared" si="106"/>
        <v>323</v>
      </c>
      <c r="P802">
        <f t="shared" si="106"/>
        <v>341</v>
      </c>
      <c r="Q802">
        <f t="shared" si="106"/>
        <v>367</v>
      </c>
      <c r="S802" t="str">
        <f t="shared" si="104"/>
        <v>05.12.2025</v>
      </c>
      <c r="T802" t="str">
        <f t="shared" si="105"/>
        <v>03:00:00</v>
      </c>
      <c r="U802" t="str">
        <f t="shared" si="107"/>
        <v>05.12.2025 03:00:00</v>
      </c>
      <c r="V802" s="9" t="str">
        <f>MID($A802,C802+C$2+1,D802-C802-C$2-1)</f>
        <v>0</v>
      </c>
      <c r="W802" s="4">
        <f>VALUE(SUBSTITUTE(MID($A802,D802+D$2+1,E802-D802-D$2-1),",","."))</f>
        <v>0</v>
      </c>
      <c r="X802" s="4">
        <f>VALUE(SUBSTITUTE(MID($A802,E802+E$2+1,F802-E802-E$2-1),",","."))</f>
        <v>0.90957602214449496</v>
      </c>
      <c r="Y802" s="4">
        <f>VALUE(SUBSTITUTE(MID($A802,F802+F$2+1,G802-F802-F$2-1),",","."))</f>
        <v>0</v>
      </c>
      <c r="Z802" s="3">
        <f>VALUE(SUBSTITUTE(MID($A802,G802+G$2+1,H802-G802-G$2-1),",","."))</f>
        <v>0</v>
      </c>
      <c r="AA802" s="3">
        <f>VALUE(SUBSTITUTE(MID($A802,H802+H$2+1,I802-H802-H$2-1),",","."))</f>
        <v>0</v>
      </c>
      <c r="AB802" s="3">
        <f>VALUE(SUBSTITUTE(MID($A802,I802+I$2+1,J802-I802-I$2-1),",","."))</f>
        <v>0</v>
      </c>
      <c r="AC802" s="3">
        <f>VALUE(SUBSTITUTE(MID($A802,J802+J$2+1,K802-J802-J$2-1),",","."))</f>
        <v>2.4500000000000002</v>
      </c>
      <c r="AD802" s="3">
        <f>VALUE(SUBSTITUTE(MID($A802,K802+K$2+1,L802-K802-K$2-1),",","."))</f>
        <v>11.34</v>
      </c>
      <c r="AE802" s="3">
        <f>VALUE(SUBSTITUTE(MID($A802,L802+L$2+1,M802-L802-L$2-1),",","."))</f>
        <v>0</v>
      </c>
      <c r="AF802" s="3">
        <f>VALUE(SUBSTITUTE(MID($A802,M802+M$2+1,N802-M802-M$2-1),",","."))</f>
        <v>0</v>
      </c>
      <c r="AG802" s="3">
        <f>VALUE(SUBSTITUTE(MID($A802,N802+N$2+1,O802-N802-N$2-1),",","."))</f>
        <v>4.2262481352556298</v>
      </c>
      <c r="AH802" t="str">
        <f>MID($A802,O802+O$2+1,P802-O802-O$2-1)</f>
        <v/>
      </c>
      <c r="AI802" s="8" t="str">
        <f>MID($A802,P802+P$2+1,Q802-P802-P$2-1)</f>
        <v>False</v>
      </c>
      <c r="AK802" t="b">
        <f t="shared" si="108"/>
        <v>0</v>
      </c>
    </row>
    <row r="803" spans="1:37" x14ac:dyDescent="0.35">
      <c r="A803" t="s">
        <v>5350</v>
      </c>
      <c r="B803">
        <f t="shared" si="110"/>
        <v>10</v>
      </c>
      <c r="C803">
        <f t="shared" si="110"/>
        <v>43</v>
      </c>
      <c r="D803">
        <f t="shared" si="110"/>
        <v>54</v>
      </c>
      <c r="E803">
        <f t="shared" si="109"/>
        <v>80</v>
      </c>
      <c r="F803">
        <f t="shared" si="109"/>
        <v>124</v>
      </c>
      <c r="G803">
        <f t="shared" si="109"/>
        <v>145</v>
      </c>
      <c r="H803">
        <f t="shared" si="109"/>
        <v>177</v>
      </c>
      <c r="I803">
        <f t="shared" si="109"/>
        <v>199</v>
      </c>
      <c r="J803">
        <f t="shared" si="109"/>
        <v>232</v>
      </c>
      <c r="K803">
        <f t="shared" si="109"/>
        <v>252</v>
      </c>
      <c r="L803">
        <f t="shared" si="109"/>
        <v>271</v>
      </c>
      <c r="M803">
        <f t="shared" si="109"/>
        <v>286</v>
      </c>
      <c r="N803">
        <f t="shared" si="106"/>
        <v>298</v>
      </c>
      <c r="O803">
        <f t="shared" si="106"/>
        <v>323</v>
      </c>
      <c r="P803">
        <f t="shared" si="106"/>
        <v>341</v>
      </c>
      <c r="Q803">
        <f t="shared" si="106"/>
        <v>367</v>
      </c>
      <c r="S803" t="str">
        <f t="shared" si="104"/>
        <v>05.12.2025</v>
      </c>
      <c r="T803" t="str">
        <f t="shared" si="105"/>
        <v>03:15:00</v>
      </c>
      <c r="U803" t="str">
        <f t="shared" si="107"/>
        <v>05.12.2025 03:15:00</v>
      </c>
      <c r="V803" s="9" t="str">
        <f>MID($A803,C803+C$2+1,D803-C803-C$2-1)</f>
        <v>0</v>
      </c>
      <c r="W803" s="4">
        <f>VALUE(SUBSTITUTE(MID($A803,D803+D$2+1,E803-D803-D$2-1),",","."))</f>
        <v>0</v>
      </c>
      <c r="X803" s="4">
        <f>VALUE(SUBSTITUTE(MID($A803,E803+E$2+1,F803-E803-E$2-1),",","."))</f>
        <v>0.90957602214449496</v>
      </c>
      <c r="Y803" s="4">
        <f>VALUE(SUBSTITUTE(MID($A803,F803+F$2+1,G803-F803-F$2-1),",","."))</f>
        <v>0</v>
      </c>
      <c r="Z803" s="3">
        <f>VALUE(SUBSTITUTE(MID($A803,G803+G$2+1,H803-G803-G$2-1),",","."))</f>
        <v>0</v>
      </c>
      <c r="AA803" s="3">
        <f>VALUE(SUBSTITUTE(MID($A803,H803+H$2+1,I803-H803-H$2-1),",","."))</f>
        <v>0</v>
      </c>
      <c r="AB803" s="3">
        <f>VALUE(SUBSTITUTE(MID($A803,I803+I$2+1,J803-I803-I$2-1),",","."))</f>
        <v>0</v>
      </c>
      <c r="AC803" s="3">
        <f>VALUE(SUBSTITUTE(MID($A803,J803+J$2+1,K803-J803-J$2-1),",","."))</f>
        <v>2.4500000000000002</v>
      </c>
      <c r="AD803" s="3">
        <f>VALUE(SUBSTITUTE(MID($A803,K803+K$2+1,L803-K803-K$2-1),",","."))</f>
        <v>11.34</v>
      </c>
      <c r="AE803" s="3">
        <f>VALUE(SUBSTITUTE(MID($A803,L803+L$2+1,M803-L803-L$2-1),",","."))</f>
        <v>0</v>
      </c>
      <c r="AF803" s="3">
        <f>VALUE(SUBSTITUTE(MID($A803,M803+M$2+1,N803-M803-M$2-1),",","."))</f>
        <v>0</v>
      </c>
      <c r="AG803" s="3">
        <f>VALUE(SUBSTITUTE(MID($A803,N803+N$2+1,O803-N803-N$2-1),",","."))</f>
        <v>4.2262766551437103</v>
      </c>
      <c r="AH803" t="str">
        <f>MID($A803,O803+O$2+1,P803-O803-O$2-1)</f>
        <v/>
      </c>
      <c r="AI803" s="8" t="str">
        <f>MID($A803,P803+P$2+1,Q803-P803-P$2-1)</f>
        <v>False</v>
      </c>
      <c r="AK803" t="b">
        <f t="shared" si="108"/>
        <v>0</v>
      </c>
    </row>
    <row r="804" spans="1:37" x14ac:dyDescent="0.35">
      <c r="A804" t="s">
        <v>5351</v>
      </c>
      <c r="B804">
        <f t="shared" si="110"/>
        <v>10</v>
      </c>
      <c r="C804">
        <f t="shared" si="110"/>
        <v>43</v>
      </c>
      <c r="D804">
        <f t="shared" si="110"/>
        <v>54</v>
      </c>
      <c r="E804">
        <f t="shared" si="109"/>
        <v>80</v>
      </c>
      <c r="F804">
        <f t="shared" si="109"/>
        <v>124</v>
      </c>
      <c r="G804">
        <f t="shared" si="109"/>
        <v>145</v>
      </c>
      <c r="H804">
        <f t="shared" si="109"/>
        <v>177</v>
      </c>
      <c r="I804">
        <f t="shared" si="109"/>
        <v>199</v>
      </c>
      <c r="J804">
        <f t="shared" si="109"/>
        <v>232</v>
      </c>
      <c r="K804">
        <f t="shared" si="109"/>
        <v>252</v>
      </c>
      <c r="L804">
        <f t="shared" si="109"/>
        <v>284</v>
      </c>
      <c r="M804">
        <f t="shared" si="109"/>
        <v>299</v>
      </c>
      <c r="N804">
        <f t="shared" si="106"/>
        <v>311</v>
      </c>
      <c r="O804">
        <f t="shared" si="106"/>
        <v>336</v>
      </c>
      <c r="P804">
        <f t="shared" si="106"/>
        <v>354</v>
      </c>
      <c r="Q804">
        <f t="shared" si="106"/>
        <v>380</v>
      </c>
      <c r="S804" t="str">
        <f t="shared" si="104"/>
        <v>05.12.2025</v>
      </c>
      <c r="T804" t="str">
        <f t="shared" si="105"/>
        <v>03:30:00</v>
      </c>
      <c r="U804" t="str">
        <f t="shared" si="107"/>
        <v>05.12.2025 03:30:00</v>
      </c>
      <c r="V804" s="9" t="str">
        <f>MID($A804,C804+C$2+1,D804-C804-C$2-1)</f>
        <v>0</v>
      </c>
      <c r="W804" s="4">
        <f>VALUE(SUBSTITUTE(MID($A804,D804+D$2+1,E804-D804-D$2-1),",","."))</f>
        <v>0</v>
      </c>
      <c r="X804" s="4">
        <f>VALUE(SUBSTITUTE(MID($A804,E804+E$2+1,F804-E804-E$2-1),",","."))</f>
        <v>0.90957602214449496</v>
      </c>
      <c r="Y804" s="4">
        <f>VALUE(SUBSTITUTE(MID($A804,F804+F$2+1,G804-F804-F$2-1),",","."))</f>
        <v>0</v>
      </c>
      <c r="Z804" s="3">
        <f>VALUE(SUBSTITUTE(MID($A804,G804+G$2+1,H804-G804-G$2-1),",","."))</f>
        <v>0</v>
      </c>
      <c r="AA804" s="3">
        <f>VALUE(SUBSTITUTE(MID($A804,H804+H$2+1,I804-H804-H$2-1),",","."))</f>
        <v>0</v>
      </c>
      <c r="AB804" s="3">
        <f>VALUE(SUBSTITUTE(MID($A804,I804+I$2+1,J804-I804-I$2-1),",","."))</f>
        <v>0</v>
      </c>
      <c r="AC804" s="3">
        <f>VALUE(SUBSTITUTE(MID($A804,J804+J$2+1,K804-J804-J$2-1),",","."))</f>
        <v>2.15</v>
      </c>
      <c r="AD804" s="3">
        <f>VALUE(SUBSTITUTE(MID($A804,K804+K$2+1,L804-K804-K$2-1),",","."))</f>
        <v>12.78</v>
      </c>
      <c r="AE804" s="3">
        <f>VALUE(SUBSTITUTE(MID($A804,L804+L$2+1,M804-L804-L$2-1),",","."))</f>
        <v>0</v>
      </c>
      <c r="AF804" s="3">
        <f>VALUE(SUBSTITUTE(MID($A804,M804+M$2+1,N804-M804-M$2-1),",","."))</f>
        <v>0</v>
      </c>
      <c r="AG804" s="3">
        <f>VALUE(SUBSTITUTE(MID($A804,N804+N$2+1,O804-N804-N$2-1),",","."))</f>
        <v>4.2263051750317997</v>
      </c>
      <c r="AH804" t="str">
        <f>MID($A804,O804+O$2+1,P804-O804-O$2-1)</f>
        <v/>
      </c>
      <c r="AI804" s="8" t="str">
        <f>MID($A804,P804+P$2+1,Q804-P804-P$2-1)</f>
        <v>False</v>
      </c>
      <c r="AK804" t="b">
        <f t="shared" si="108"/>
        <v>0</v>
      </c>
    </row>
    <row r="805" spans="1:37" x14ac:dyDescent="0.35">
      <c r="A805" t="s">
        <v>5352</v>
      </c>
      <c r="B805">
        <f t="shared" si="110"/>
        <v>10</v>
      </c>
      <c r="C805">
        <f t="shared" si="110"/>
        <v>43</v>
      </c>
      <c r="D805">
        <f t="shared" si="110"/>
        <v>54</v>
      </c>
      <c r="E805">
        <f t="shared" si="109"/>
        <v>80</v>
      </c>
      <c r="F805">
        <f t="shared" si="109"/>
        <v>124</v>
      </c>
      <c r="G805">
        <f t="shared" si="109"/>
        <v>145</v>
      </c>
      <c r="H805">
        <f t="shared" si="109"/>
        <v>177</v>
      </c>
      <c r="I805">
        <f t="shared" si="109"/>
        <v>199</v>
      </c>
      <c r="J805">
        <f t="shared" si="109"/>
        <v>232</v>
      </c>
      <c r="K805">
        <f t="shared" si="109"/>
        <v>252</v>
      </c>
      <c r="L805">
        <f t="shared" si="109"/>
        <v>284</v>
      </c>
      <c r="M805">
        <f t="shared" si="109"/>
        <v>299</v>
      </c>
      <c r="N805">
        <f t="shared" si="106"/>
        <v>311</v>
      </c>
      <c r="O805">
        <f t="shared" si="106"/>
        <v>336</v>
      </c>
      <c r="P805">
        <f t="shared" si="106"/>
        <v>354</v>
      </c>
      <c r="Q805">
        <f t="shared" si="106"/>
        <v>380</v>
      </c>
      <c r="S805" t="str">
        <f t="shared" si="104"/>
        <v>05.12.2025</v>
      </c>
      <c r="T805" t="str">
        <f t="shared" si="105"/>
        <v>03:45:00</v>
      </c>
      <c r="U805" t="str">
        <f t="shared" si="107"/>
        <v>05.12.2025 03:45:00</v>
      </c>
      <c r="V805" s="9" t="str">
        <f>MID($A805,C805+C$2+1,D805-C805-C$2-1)</f>
        <v>0</v>
      </c>
      <c r="W805" s="4">
        <f>VALUE(SUBSTITUTE(MID($A805,D805+D$2+1,E805-D805-D$2-1),",","."))</f>
        <v>0</v>
      </c>
      <c r="X805" s="4">
        <f>VALUE(SUBSTITUTE(MID($A805,E805+E$2+1,F805-E805-E$2-1),",","."))</f>
        <v>0.90957602214449496</v>
      </c>
      <c r="Y805" s="4">
        <f>VALUE(SUBSTITUTE(MID($A805,F805+F$2+1,G805-F805-F$2-1),",","."))</f>
        <v>0</v>
      </c>
      <c r="Z805" s="3">
        <f>VALUE(SUBSTITUTE(MID($A805,G805+G$2+1,H805-G805-G$2-1),",","."))</f>
        <v>0</v>
      </c>
      <c r="AA805" s="3">
        <f>VALUE(SUBSTITUTE(MID($A805,H805+H$2+1,I805-H805-H$2-1),",","."))</f>
        <v>0</v>
      </c>
      <c r="AB805" s="3">
        <f>VALUE(SUBSTITUTE(MID($A805,I805+I$2+1,J805-I805-I$2-1),",","."))</f>
        <v>0</v>
      </c>
      <c r="AC805" s="3">
        <f>VALUE(SUBSTITUTE(MID($A805,J805+J$2+1,K805-J805-J$2-1),",","."))</f>
        <v>2.15</v>
      </c>
      <c r="AD805" s="3">
        <f>VALUE(SUBSTITUTE(MID($A805,K805+K$2+1,L805-K805-K$2-1),",","."))</f>
        <v>12.78</v>
      </c>
      <c r="AE805" s="3">
        <f>VALUE(SUBSTITUTE(MID($A805,L805+L$2+1,M805-L805-L$2-1),",","."))</f>
        <v>0</v>
      </c>
      <c r="AF805" s="3">
        <f>VALUE(SUBSTITUTE(MID($A805,M805+M$2+1,N805-M805-M$2-1),",","."))</f>
        <v>0</v>
      </c>
      <c r="AG805" s="3">
        <f>VALUE(SUBSTITUTE(MID($A805,N805+N$2+1,O805-N805-N$2-1),",","."))</f>
        <v>4.2263336949198802</v>
      </c>
      <c r="AH805" t="str">
        <f>MID($A805,O805+O$2+1,P805-O805-O$2-1)</f>
        <v/>
      </c>
      <c r="AI805" s="8" t="str">
        <f>MID($A805,P805+P$2+1,Q805-P805-P$2-1)</f>
        <v>False</v>
      </c>
      <c r="AK805" t="b">
        <f t="shared" si="108"/>
        <v>0</v>
      </c>
    </row>
    <row r="806" spans="1:37" x14ac:dyDescent="0.35">
      <c r="A806" t="s">
        <v>5353</v>
      </c>
      <c r="B806">
        <f t="shared" si="110"/>
        <v>10</v>
      </c>
      <c r="C806">
        <f t="shared" si="110"/>
        <v>43</v>
      </c>
      <c r="D806">
        <f t="shared" si="110"/>
        <v>54</v>
      </c>
      <c r="E806">
        <f t="shared" si="109"/>
        <v>80</v>
      </c>
      <c r="F806">
        <f t="shared" si="109"/>
        <v>124</v>
      </c>
      <c r="G806">
        <f t="shared" si="109"/>
        <v>145</v>
      </c>
      <c r="H806">
        <f t="shared" si="109"/>
        <v>177</v>
      </c>
      <c r="I806">
        <f t="shared" si="109"/>
        <v>199</v>
      </c>
      <c r="J806">
        <f t="shared" si="109"/>
        <v>232</v>
      </c>
      <c r="K806">
        <f t="shared" si="109"/>
        <v>252</v>
      </c>
      <c r="L806">
        <f t="shared" si="109"/>
        <v>284</v>
      </c>
      <c r="M806">
        <f t="shared" si="109"/>
        <v>299</v>
      </c>
      <c r="N806">
        <f t="shared" si="106"/>
        <v>311</v>
      </c>
      <c r="O806">
        <f t="shared" si="106"/>
        <v>336</v>
      </c>
      <c r="P806">
        <f t="shared" si="106"/>
        <v>354</v>
      </c>
      <c r="Q806">
        <f t="shared" si="106"/>
        <v>380</v>
      </c>
      <c r="S806" t="str">
        <f t="shared" si="104"/>
        <v>05.12.2025</v>
      </c>
      <c r="T806" t="str">
        <f t="shared" si="105"/>
        <v>04:00:00</v>
      </c>
      <c r="U806" t="str">
        <f t="shared" si="107"/>
        <v>05.12.2025 04:00:00</v>
      </c>
      <c r="V806" s="9" t="str">
        <f>MID($A806,C806+C$2+1,D806-C806-C$2-1)</f>
        <v>0</v>
      </c>
      <c r="W806" s="4">
        <f>VALUE(SUBSTITUTE(MID($A806,D806+D$2+1,E806-D806-D$2-1),",","."))</f>
        <v>0</v>
      </c>
      <c r="X806" s="4">
        <f>VALUE(SUBSTITUTE(MID($A806,E806+E$2+1,F806-E806-E$2-1),",","."))</f>
        <v>0.90957602214449496</v>
      </c>
      <c r="Y806" s="4">
        <f>VALUE(SUBSTITUTE(MID($A806,F806+F$2+1,G806-F806-F$2-1),",","."))</f>
        <v>0</v>
      </c>
      <c r="Z806" s="3">
        <f>VALUE(SUBSTITUTE(MID($A806,G806+G$2+1,H806-G806-G$2-1),",","."))</f>
        <v>0</v>
      </c>
      <c r="AA806" s="3">
        <f>VALUE(SUBSTITUTE(MID($A806,H806+H$2+1,I806-H806-H$2-1),",","."))</f>
        <v>0</v>
      </c>
      <c r="AB806" s="3">
        <f>VALUE(SUBSTITUTE(MID($A806,I806+I$2+1,J806-I806-I$2-1),",","."))</f>
        <v>0</v>
      </c>
      <c r="AC806" s="3">
        <f>VALUE(SUBSTITUTE(MID($A806,J806+J$2+1,K806-J806-J$2-1),",","."))</f>
        <v>2.15</v>
      </c>
      <c r="AD806" s="3">
        <f>VALUE(SUBSTITUTE(MID($A806,K806+K$2+1,L806-K806-K$2-1),",","."))</f>
        <v>12.78</v>
      </c>
      <c r="AE806" s="3">
        <f>VALUE(SUBSTITUTE(MID($A806,L806+L$2+1,M806-L806-L$2-1),",","."))</f>
        <v>0</v>
      </c>
      <c r="AF806" s="3">
        <f>VALUE(SUBSTITUTE(MID($A806,M806+M$2+1,N806-M806-M$2-1),",","."))</f>
        <v>0</v>
      </c>
      <c r="AG806" s="3">
        <f>VALUE(SUBSTITUTE(MID($A806,N806+N$2+1,O806-N806-N$2-1),",","."))</f>
        <v>4.2263622148079598</v>
      </c>
      <c r="AH806" t="str">
        <f>MID($A806,O806+O$2+1,P806-O806-O$2-1)</f>
        <v/>
      </c>
      <c r="AI806" s="8" t="str">
        <f>MID($A806,P806+P$2+1,Q806-P806-P$2-1)</f>
        <v>False</v>
      </c>
      <c r="AK806" t="b">
        <f t="shared" si="108"/>
        <v>0</v>
      </c>
    </row>
    <row r="807" spans="1:37" x14ac:dyDescent="0.35">
      <c r="A807" t="s">
        <v>5354</v>
      </c>
      <c r="B807">
        <f t="shared" si="110"/>
        <v>10</v>
      </c>
      <c r="C807">
        <f t="shared" si="110"/>
        <v>43</v>
      </c>
      <c r="D807">
        <f t="shared" si="110"/>
        <v>54</v>
      </c>
      <c r="E807">
        <f t="shared" si="109"/>
        <v>80</v>
      </c>
      <c r="F807">
        <f t="shared" si="109"/>
        <v>124</v>
      </c>
      <c r="G807">
        <f t="shared" si="109"/>
        <v>145</v>
      </c>
      <c r="H807">
        <f t="shared" si="109"/>
        <v>177</v>
      </c>
      <c r="I807">
        <f t="shared" si="109"/>
        <v>199</v>
      </c>
      <c r="J807">
        <f t="shared" si="109"/>
        <v>232</v>
      </c>
      <c r="K807">
        <f t="shared" si="109"/>
        <v>252</v>
      </c>
      <c r="L807">
        <f t="shared" si="109"/>
        <v>284</v>
      </c>
      <c r="M807">
        <f t="shared" si="109"/>
        <v>299</v>
      </c>
      <c r="N807">
        <f t="shared" si="106"/>
        <v>311</v>
      </c>
      <c r="O807">
        <f t="shared" si="106"/>
        <v>336</v>
      </c>
      <c r="P807">
        <f t="shared" si="106"/>
        <v>354</v>
      </c>
      <c r="Q807">
        <f t="shared" si="106"/>
        <v>380</v>
      </c>
      <c r="S807" t="str">
        <f t="shared" si="104"/>
        <v>05.12.2025</v>
      </c>
      <c r="T807" t="str">
        <f t="shared" si="105"/>
        <v>04:15:00</v>
      </c>
      <c r="U807" t="str">
        <f t="shared" si="107"/>
        <v>05.12.2025 04:15:00</v>
      </c>
      <c r="V807" s="9" t="str">
        <f>MID($A807,C807+C$2+1,D807-C807-C$2-1)</f>
        <v>0</v>
      </c>
      <c r="W807" s="4">
        <f>VALUE(SUBSTITUTE(MID($A807,D807+D$2+1,E807-D807-D$2-1),",","."))</f>
        <v>0</v>
      </c>
      <c r="X807" s="4">
        <f>VALUE(SUBSTITUTE(MID($A807,E807+E$2+1,F807-E807-E$2-1),",","."))</f>
        <v>0.90957602214449496</v>
      </c>
      <c r="Y807" s="4">
        <f>VALUE(SUBSTITUTE(MID($A807,F807+F$2+1,G807-F807-F$2-1),",","."))</f>
        <v>0</v>
      </c>
      <c r="Z807" s="3">
        <f>VALUE(SUBSTITUTE(MID($A807,G807+G$2+1,H807-G807-G$2-1),",","."))</f>
        <v>0</v>
      </c>
      <c r="AA807" s="3">
        <f>VALUE(SUBSTITUTE(MID($A807,H807+H$2+1,I807-H807-H$2-1),",","."))</f>
        <v>0</v>
      </c>
      <c r="AB807" s="3">
        <f>VALUE(SUBSTITUTE(MID($A807,I807+I$2+1,J807-I807-I$2-1),",","."))</f>
        <v>0</v>
      </c>
      <c r="AC807" s="3">
        <f>VALUE(SUBSTITUTE(MID($A807,J807+J$2+1,K807-J807-J$2-1),",","."))</f>
        <v>2.15</v>
      </c>
      <c r="AD807" s="3">
        <f>VALUE(SUBSTITUTE(MID($A807,K807+K$2+1,L807-K807-K$2-1),",","."))</f>
        <v>12.78</v>
      </c>
      <c r="AE807" s="3">
        <f>VALUE(SUBSTITUTE(MID($A807,L807+L$2+1,M807-L807-L$2-1),",","."))</f>
        <v>0</v>
      </c>
      <c r="AF807" s="3">
        <f>VALUE(SUBSTITUTE(MID($A807,M807+M$2+1,N807-M807-M$2-1),",","."))</f>
        <v>0</v>
      </c>
      <c r="AG807" s="3">
        <f>VALUE(SUBSTITUTE(MID($A807,N807+N$2+1,O807-N807-N$2-1),",","."))</f>
        <v>4.2263907346960403</v>
      </c>
      <c r="AH807" t="str">
        <f>MID($A807,O807+O$2+1,P807-O807-O$2-1)</f>
        <v/>
      </c>
      <c r="AI807" s="8" t="str">
        <f>MID($A807,P807+P$2+1,Q807-P807-P$2-1)</f>
        <v>False</v>
      </c>
      <c r="AK807" t="b">
        <f t="shared" si="108"/>
        <v>0</v>
      </c>
    </row>
    <row r="808" spans="1:37" x14ac:dyDescent="0.35">
      <c r="A808" t="s">
        <v>5355</v>
      </c>
      <c r="B808">
        <f t="shared" si="110"/>
        <v>10</v>
      </c>
      <c r="C808">
        <f t="shared" si="110"/>
        <v>43</v>
      </c>
      <c r="D808">
        <f t="shared" si="110"/>
        <v>54</v>
      </c>
      <c r="E808">
        <f t="shared" si="109"/>
        <v>80</v>
      </c>
      <c r="F808">
        <f t="shared" si="109"/>
        <v>124</v>
      </c>
      <c r="G808">
        <f t="shared" si="109"/>
        <v>145</v>
      </c>
      <c r="H808">
        <f t="shared" si="109"/>
        <v>177</v>
      </c>
      <c r="I808">
        <f t="shared" si="109"/>
        <v>199</v>
      </c>
      <c r="J808">
        <f t="shared" si="109"/>
        <v>232</v>
      </c>
      <c r="K808">
        <f t="shared" si="109"/>
        <v>266</v>
      </c>
      <c r="L808">
        <f t="shared" si="109"/>
        <v>285</v>
      </c>
      <c r="M808">
        <f t="shared" si="109"/>
        <v>300</v>
      </c>
      <c r="N808">
        <f t="shared" si="106"/>
        <v>312</v>
      </c>
      <c r="O808">
        <f t="shared" si="106"/>
        <v>337</v>
      </c>
      <c r="P808">
        <f t="shared" si="106"/>
        <v>355</v>
      </c>
      <c r="Q808">
        <f t="shared" si="106"/>
        <v>381</v>
      </c>
      <c r="S808" t="str">
        <f t="shared" si="104"/>
        <v>05.12.2025</v>
      </c>
      <c r="T808" t="str">
        <f t="shared" si="105"/>
        <v>04:30:00</v>
      </c>
      <c r="U808" t="str">
        <f t="shared" si="107"/>
        <v>05.12.2025 04:30:00</v>
      </c>
      <c r="V808" s="9" t="str">
        <f>MID($A808,C808+C$2+1,D808-C808-C$2-1)</f>
        <v>0</v>
      </c>
      <c r="W808" s="4">
        <f>VALUE(SUBSTITUTE(MID($A808,D808+D$2+1,E808-D808-D$2-1),",","."))</f>
        <v>0</v>
      </c>
      <c r="X808" s="4">
        <f>VALUE(SUBSTITUTE(MID($A808,E808+E$2+1,F808-E808-E$2-1),",","."))</f>
        <v>0.90957602214449496</v>
      </c>
      <c r="Y808" s="4">
        <f>VALUE(SUBSTITUTE(MID($A808,F808+F$2+1,G808-F808-F$2-1),",","."))</f>
        <v>0</v>
      </c>
      <c r="Z808" s="3">
        <f>VALUE(SUBSTITUTE(MID($A808,G808+G$2+1,H808-G808-G$2-1),",","."))</f>
        <v>0</v>
      </c>
      <c r="AA808" s="3">
        <f>VALUE(SUBSTITUTE(MID($A808,H808+H$2+1,I808-H808-H$2-1),",","."))</f>
        <v>0</v>
      </c>
      <c r="AB808" s="3">
        <f>VALUE(SUBSTITUTE(MID($A808,I808+I$2+1,J808-I808-I$2-1),",","."))</f>
        <v>0</v>
      </c>
      <c r="AC808" s="3">
        <f>VALUE(SUBSTITUTE(MID($A808,J808+J$2+1,K808-J808-J$2-1),",","."))</f>
        <v>1.95</v>
      </c>
      <c r="AD808" s="3">
        <f>VALUE(SUBSTITUTE(MID($A808,K808+K$2+1,L808-K808-K$2-1),",","."))</f>
        <v>14.04</v>
      </c>
      <c r="AE808" s="3">
        <f>VALUE(SUBSTITUTE(MID($A808,L808+L$2+1,M808-L808-L$2-1),",","."))</f>
        <v>0</v>
      </c>
      <c r="AF808" s="3">
        <f>VALUE(SUBSTITUTE(MID($A808,M808+M$2+1,N808-M808-M$2-1),",","."))</f>
        <v>0</v>
      </c>
      <c r="AG808" s="3">
        <f>VALUE(SUBSTITUTE(MID($A808,N808+N$2+1,O808-N808-N$2-1),",","."))</f>
        <v>4.2264192545841199</v>
      </c>
      <c r="AH808" t="str">
        <f>MID($A808,O808+O$2+1,P808-O808-O$2-1)</f>
        <v/>
      </c>
      <c r="AI808" s="8" t="str">
        <f>MID($A808,P808+P$2+1,Q808-P808-P$2-1)</f>
        <v>False</v>
      </c>
      <c r="AK808" t="b">
        <f t="shared" si="108"/>
        <v>0</v>
      </c>
    </row>
    <row r="809" spans="1:37" x14ac:dyDescent="0.35">
      <c r="A809" t="s">
        <v>5356</v>
      </c>
      <c r="B809">
        <f t="shared" si="110"/>
        <v>10</v>
      </c>
      <c r="C809">
        <f t="shared" si="110"/>
        <v>43</v>
      </c>
      <c r="D809">
        <f t="shared" si="110"/>
        <v>54</v>
      </c>
      <c r="E809">
        <f t="shared" si="109"/>
        <v>80</v>
      </c>
      <c r="F809">
        <f t="shared" si="109"/>
        <v>124</v>
      </c>
      <c r="G809">
        <f t="shared" si="109"/>
        <v>145</v>
      </c>
      <c r="H809">
        <f t="shared" si="109"/>
        <v>177</v>
      </c>
      <c r="I809">
        <f t="shared" si="109"/>
        <v>199</v>
      </c>
      <c r="J809">
        <f t="shared" si="109"/>
        <v>232</v>
      </c>
      <c r="K809">
        <f t="shared" si="109"/>
        <v>266</v>
      </c>
      <c r="L809">
        <f t="shared" si="109"/>
        <v>285</v>
      </c>
      <c r="M809">
        <f t="shared" si="109"/>
        <v>300</v>
      </c>
      <c r="N809">
        <f t="shared" si="106"/>
        <v>312</v>
      </c>
      <c r="O809">
        <f t="shared" si="106"/>
        <v>337</v>
      </c>
      <c r="P809">
        <f t="shared" si="106"/>
        <v>355</v>
      </c>
      <c r="Q809">
        <f t="shared" si="106"/>
        <v>381</v>
      </c>
      <c r="S809" t="str">
        <f t="shared" si="104"/>
        <v>05.12.2025</v>
      </c>
      <c r="T809" t="str">
        <f t="shared" si="105"/>
        <v>04:45:00</v>
      </c>
      <c r="U809" t="str">
        <f t="shared" si="107"/>
        <v>05.12.2025 04:45:00</v>
      </c>
      <c r="V809" s="9" t="str">
        <f>MID($A809,C809+C$2+1,D809-C809-C$2-1)</f>
        <v>0</v>
      </c>
      <c r="W809" s="4">
        <f>VALUE(SUBSTITUTE(MID($A809,D809+D$2+1,E809-D809-D$2-1),",","."))</f>
        <v>0</v>
      </c>
      <c r="X809" s="4">
        <f>VALUE(SUBSTITUTE(MID($A809,E809+E$2+1,F809-E809-E$2-1),",","."))</f>
        <v>0.90957602214449496</v>
      </c>
      <c r="Y809" s="4">
        <f>VALUE(SUBSTITUTE(MID($A809,F809+F$2+1,G809-F809-F$2-1),",","."))</f>
        <v>0</v>
      </c>
      <c r="Z809" s="3">
        <f>VALUE(SUBSTITUTE(MID($A809,G809+G$2+1,H809-G809-G$2-1),",","."))</f>
        <v>0</v>
      </c>
      <c r="AA809" s="3">
        <f>VALUE(SUBSTITUTE(MID($A809,H809+H$2+1,I809-H809-H$2-1),",","."))</f>
        <v>0</v>
      </c>
      <c r="AB809" s="3">
        <f>VALUE(SUBSTITUTE(MID($A809,I809+I$2+1,J809-I809-I$2-1),",","."))</f>
        <v>0</v>
      </c>
      <c r="AC809" s="3">
        <f>VALUE(SUBSTITUTE(MID($A809,J809+J$2+1,K809-J809-J$2-1),",","."))</f>
        <v>1.95</v>
      </c>
      <c r="AD809" s="3">
        <f>VALUE(SUBSTITUTE(MID($A809,K809+K$2+1,L809-K809-K$2-1),",","."))</f>
        <v>14.04</v>
      </c>
      <c r="AE809" s="3">
        <f>VALUE(SUBSTITUTE(MID($A809,L809+L$2+1,M809-L809-L$2-1),",","."))</f>
        <v>0</v>
      </c>
      <c r="AF809" s="3">
        <f>VALUE(SUBSTITUTE(MID($A809,M809+M$2+1,N809-M809-M$2-1),",","."))</f>
        <v>0</v>
      </c>
      <c r="AG809" s="3">
        <f>VALUE(SUBSTITUTE(MID($A809,N809+N$2+1,O809-N809-N$2-1),",","."))</f>
        <v>4.2264477744722004</v>
      </c>
      <c r="AH809" t="str">
        <f>MID($A809,O809+O$2+1,P809-O809-O$2-1)</f>
        <v/>
      </c>
      <c r="AI809" s="8" t="str">
        <f>MID($A809,P809+P$2+1,Q809-P809-P$2-1)</f>
        <v>False</v>
      </c>
      <c r="AK809" t="b">
        <f t="shared" si="108"/>
        <v>0</v>
      </c>
    </row>
    <row r="810" spans="1:37" x14ac:dyDescent="0.35">
      <c r="A810" t="s">
        <v>5357</v>
      </c>
      <c r="B810">
        <f t="shared" si="110"/>
        <v>10</v>
      </c>
      <c r="C810">
        <f t="shared" si="110"/>
        <v>43</v>
      </c>
      <c r="D810">
        <f t="shared" si="110"/>
        <v>54</v>
      </c>
      <c r="E810">
        <f t="shared" si="109"/>
        <v>80</v>
      </c>
      <c r="F810">
        <f t="shared" si="109"/>
        <v>124</v>
      </c>
      <c r="G810">
        <f t="shared" si="109"/>
        <v>145</v>
      </c>
      <c r="H810">
        <f t="shared" ref="H810:P844" si="111">FIND(H$1,$A810)</f>
        <v>177</v>
      </c>
      <c r="I810">
        <f t="shared" si="111"/>
        <v>199</v>
      </c>
      <c r="J810">
        <f t="shared" si="111"/>
        <v>232</v>
      </c>
      <c r="K810">
        <f t="shared" si="111"/>
        <v>266</v>
      </c>
      <c r="L810">
        <f t="shared" si="111"/>
        <v>285</v>
      </c>
      <c r="M810">
        <f t="shared" si="111"/>
        <v>300</v>
      </c>
      <c r="N810">
        <f t="shared" si="106"/>
        <v>312</v>
      </c>
      <c r="O810">
        <f t="shared" si="106"/>
        <v>336</v>
      </c>
      <c r="P810">
        <f t="shared" si="106"/>
        <v>354</v>
      </c>
      <c r="Q810">
        <f t="shared" si="106"/>
        <v>380</v>
      </c>
      <c r="S810" t="str">
        <f t="shared" si="104"/>
        <v>05.12.2025</v>
      </c>
      <c r="T810" t="str">
        <f t="shared" si="105"/>
        <v>05:00:00</v>
      </c>
      <c r="U810" t="str">
        <f t="shared" si="107"/>
        <v>05.12.2025 05:00:00</v>
      </c>
      <c r="V810" s="9" t="str">
        <f>MID($A810,C810+C$2+1,D810-C810-C$2-1)</f>
        <v>0</v>
      </c>
      <c r="W810" s="4">
        <f>VALUE(SUBSTITUTE(MID($A810,D810+D$2+1,E810-D810-D$2-1),",","."))</f>
        <v>0</v>
      </c>
      <c r="X810" s="4">
        <f>VALUE(SUBSTITUTE(MID($A810,E810+E$2+1,F810-E810-E$2-1),",","."))</f>
        <v>0.90957602214449496</v>
      </c>
      <c r="Y810" s="4">
        <f>VALUE(SUBSTITUTE(MID($A810,F810+F$2+1,G810-F810-F$2-1),",","."))</f>
        <v>0</v>
      </c>
      <c r="Z810" s="3">
        <f>VALUE(SUBSTITUTE(MID($A810,G810+G$2+1,H810-G810-G$2-1),",","."))</f>
        <v>0</v>
      </c>
      <c r="AA810" s="3">
        <f>VALUE(SUBSTITUTE(MID($A810,H810+H$2+1,I810-H810-H$2-1),",","."))</f>
        <v>0</v>
      </c>
      <c r="AB810" s="3">
        <f>VALUE(SUBSTITUTE(MID($A810,I810+I$2+1,J810-I810-I$2-1),",","."))</f>
        <v>0</v>
      </c>
      <c r="AC810" s="3">
        <f>VALUE(SUBSTITUTE(MID($A810,J810+J$2+1,K810-J810-J$2-1),",","."))</f>
        <v>1.95</v>
      </c>
      <c r="AD810" s="3">
        <f>VALUE(SUBSTITUTE(MID($A810,K810+K$2+1,L810-K810-K$2-1),",","."))</f>
        <v>14.04</v>
      </c>
      <c r="AE810" s="3">
        <f>VALUE(SUBSTITUTE(MID($A810,L810+L$2+1,M810-L810-L$2-1),",","."))</f>
        <v>0</v>
      </c>
      <c r="AF810" s="3">
        <f>VALUE(SUBSTITUTE(MID($A810,M810+M$2+1,N810-M810-M$2-1),",","."))</f>
        <v>0</v>
      </c>
      <c r="AG810" s="3">
        <f>VALUE(SUBSTITUTE(MID($A810,N810+N$2+1,O810-N810-N$2-1),",","."))</f>
        <v>4.2264762943602898</v>
      </c>
      <c r="AH810" t="str">
        <f>MID($A810,O810+O$2+1,P810-O810-O$2-1)</f>
        <v/>
      </c>
      <c r="AI810" s="8" t="str">
        <f>MID($A810,P810+P$2+1,Q810-P810-P$2-1)</f>
        <v>False</v>
      </c>
      <c r="AK810" t="b">
        <f t="shared" si="108"/>
        <v>0</v>
      </c>
    </row>
    <row r="811" spans="1:37" x14ac:dyDescent="0.35">
      <c r="A811" t="s">
        <v>5358</v>
      </c>
      <c r="B811">
        <f t="shared" si="110"/>
        <v>10</v>
      </c>
      <c r="C811">
        <f t="shared" si="110"/>
        <v>43</v>
      </c>
      <c r="D811">
        <f t="shared" si="110"/>
        <v>54</v>
      </c>
      <c r="E811">
        <f t="shared" si="110"/>
        <v>80</v>
      </c>
      <c r="F811">
        <f t="shared" si="110"/>
        <v>124</v>
      </c>
      <c r="G811">
        <f t="shared" si="110"/>
        <v>145</v>
      </c>
      <c r="H811">
        <f t="shared" si="111"/>
        <v>177</v>
      </c>
      <c r="I811">
        <f t="shared" si="111"/>
        <v>199</v>
      </c>
      <c r="J811">
        <f t="shared" si="111"/>
        <v>232</v>
      </c>
      <c r="K811">
        <f t="shared" si="111"/>
        <v>266</v>
      </c>
      <c r="L811">
        <f t="shared" si="111"/>
        <v>285</v>
      </c>
      <c r="M811">
        <f t="shared" si="111"/>
        <v>300</v>
      </c>
      <c r="N811">
        <f t="shared" si="106"/>
        <v>312</v>
      </c>
      <c r="O811">
        <f t="shared" si="106"/>
        <v>337</v>
      </c>
      <c r="P811">
        <f t="shared" si="106"/>
        <v>355</v>
      </c>
      <c r="Q811">
        <f t="shared" si="106"/>
        <v>381</v>
      </c>
      <c r="S811" t="str">
        <f t="shared" si="104"/>
        <v>05.12.2025</v>
      </c>
      <c r="T811" t="str">
        <f t="shared" si="105"/>
        <v>05:15:00</v>
      </c>
      <c r="U811" t="str">
        <f t="shared" si="107"/>
        <v>05.12.2025 05:15:00</v>
      </c>
      <c r="V811" s="9" t="str">
        <f>MID($A811,C811+C$2+1,D811-C811-C$2-1)</f>
        <v>0</v>
      </c>
      <c r="W811" s="4">
        <f>VALUE(SUBSTITUTE(MID($A811,D811+D$2+1,E811-D811-D$2-1),",","."))</f>
        <v>0</v>
      </c>
      <c r="X811" s="4">
        <f>VALUE(SUBSTITUTE(MID($A811,E811+E$2+1,F811-E811-E$2-1),",","."))</f>
        <v>0.90957602214449496</v>
      </c>
      <c r="Y811" s="4">
        <f>VALUE(SUBSTITUTE(MID($A811,F811+F$2+1,G811-F811-F$2-1),",","."))</f>
        <v>0</v>
      </c>
      <c r="Z811" s="3">
        <f>VALUE(SUBSTITUTE(MID($A811,G811+G$2+1,H811-G811-G$2-1),",","."))</f>
        <v>0</v>
      </c>
      <c r="AA811" s="3">
        <f>VALUE(SUBSTITUTE(MID($A811,H811+H$2+1,I811-H811-H$2-1),",","."))</f>
        <v>0</v>
      </c>
      <c r="AB811" s="3">
        <f>VALUE(SUBSTITUTE(MID($A811,I811+I$2+1,J811-I811-I$2-1),",","."))</f>
        <v>0</v>
      </c>
      <c r="AC811" s="3">
        <f>VALUE(SUBSTITUTE(MID($A811,J811+J$2+1,K811-J811-J$2-1),",","."))</f>
        <v>1.95</v>
      </c>
      <c r="AD811" s="3">
        <f>VALUE(SUBSTITUTE(MID($A811,K811+K$2+1,L811-K811-K$2-1),",","."))</f>
        <v>14.04</v>
      </c>
      <c r="AE811" s="3">
        <f>VALUE(SUBSTITUTE(MID($A811,L811+L$2+1,M811-L811-L$2-1),",","."))</f>
        <v>0</v>
      </c>
      <c r="AF811" s="3">
        <f>VALUE(SUBSTITUTE(MID($A811,M811+M$2+1,N811-M811-M$2-1),",","."))</f>
        <v>0</v>
      </c>
      <c r="AG811" s="3">
        <f>VALUE(SUBSTITUTE(MID($A811,N811+N$2+1,O811-N811-N$2-1),",","."))</f>
        <v>4.2265048142483703</v>
      </c>
      <c r="AH811" t="str">
        <f>MID($A811,O811+O$2+1,P811-O811-O$2-1)</f>
        <v/>
      </c>
      <c r="AI811" s="8" t="str">
        <f>MID($A811,P811+P$2+1,Q811-P811-P$2-1)</f>
        <v>False</v>
      </c>
      <c r="AK811" t="b">
        <f t="shared" si="108"/>
        <v>0</v>
      </c>
    </row>
    <row r="812" spans="1:37" x14ac:dyDescent="0.35">
      <c r="A812" t="s">
        <v>5359</v>
      </c>
      <c r="B812">
        <f t="shared" si="110"/>
        <v>10</v>
      </c>
      <c r="C812">
        <f t="shared" si="110"/>
        <v>43</v>
      </c>
      <c r="D812">
        <f t="shared" si="110"/>
        <v>54</v>
      </c>
      <c r="E812">
        <f t="shared" si="110"/>
        <v>80</v>
      </c>
      <c r="F812">
        <f t="shared" si="110"/>
        <v>124</v>
      </c>
      <c r="G812">
        <f t="shared" si="110"/>
        <v>145</v>
      </c>
      <c r="H812">
        <f t="shared" si="111"/>
        <v>177</v>
      </c>
      <c r="I812">
        <f t="shared" si="111"/>
        <v>199</v>
      </c>
      <c r="J812">
        <f t="shared" si="111"/>
        <v>232</v>
      </c>
      <c r="K812">
        <f t="shared" si="111"/>
        <v>251</v>
      </c>
      <c r="L812">
        <f t="shared" si="111"/>
        <v>283</v>
      </c>
      <c r="M812">
        <f t="shared" si="111"/>
        <v>298</v>
      </c>
      <c r="N812">
        <f t="shared" si="106"/>
        <v>310</v>
      </c>
      <c r="O812">
        <f t="shared" si="106"/>
        <v>336</v>
      </c>
      <c r="P812">
        <f t="shared" si="106"/>
        <v>354</v>
      </c>
      <c r="Q812">
        <f t="shared" si="106"/>
        <v>380</v>
      </c>
      <c r="S812" t="str">
        <f t="shared" si="104"/>
        <v>05.12.2025</v>
      </c>
      <c r="T812" t="str">
        <f t="shared" si="105"/>
        <v>05:30:00</v>
      </c>
      <c r="U812" t="str">
        <f t="shared" si="107"/>
        <v>05.12.2025 05:30:00</v>
      </c>
      <c r="V812" s="9" t="str">
        <f>MID($A812,C812+C$2+1,D812-C812-C$2-1)</f>
        <v>0</v>
      </c>
      <c r="W812" s="4">
        <f>VALUE(SUBSTITUTE(MID($A812,D812+D$2+1,E812-D812-D$2-1),",","."))</f>
        <v>0</v>
      </c>
      <c r="X812" s="4">
        <f>VALUE(SUBSTITUTE(MID($A812,E812+E$2+1,F812-E812-E$2-1),",","."))</f>
        <v>0.90957602214449496</v>
      </c>
      <c r="Y812" s="4">
        <f>VALUE(SUBSTITUTE(MID($A812,F812+F$2+1,G812-F812-F$2-1),",","."))</f>
        <v>0</v>
      </c>
      <c r="Z812" s="3">
        <f>VALUE(SUBSTITUTE(MID($A812,G812+G$2+1,H812-G812-G$2-1),",","."))</f>
        <v>0</v>
      </c>
      <c r="AA812" s="3">
        <f>VALUE(SUBSTITUTE(MID($A812,H812+H$2+1,I812-H812-H$2-1),",","."))</f>
        <v>0</v>
      </c>
      <c r="AB812" s="3">
        <f>VALUE(SUBSTITUTE(MID($A812,I812+I$2+1,J812-I812-I$2-1),",","."))</f>
        <v>0</v>
      </c>
      <c r="AC812" s="3">
        <f>VALUE(SUBSTITUTE(MID($A812,J812+J$2+1,K812-J812-J$2-1),",","."))</f>
        <v>1.8</v>
      </c>
      <c r="AD812" s="3">
        <f>VALUE(SUBSTITUTE(MID($A812,K812+K$2+1,L812-K812-K$2-1),",","."))</f>
        <v>15.12</v>
      </c>
      <c r="AE812" s="3">
        <f>VALUE(SUBSTITUTE(MID($A812,L812+L$2+1,M812-L812-L$2-1),",","."))</f>
        <v>0</v>
      </c>
      <c r="AF812" s="3">
        <f>VALUE(SUBSTITUTE(MID($A812,M812+M$2+1,N812-M812-M$2-1),",","."))</f>
        <v>0</v>
      </c>
      <c r="AG812" s="3">
        <f>VALUE(SUBSTITUTE(MID($A812,N812+N$2+1,O812-N812-N$2-1),",","."))</f>
        <v>4.2265333341364499</v>
      </c>
      <c r="AH812" t="str">
        <f>MID($A812,O812+O$2+1,P812-O812-O$2-1)</f>
        <v/>
      </c>
      <c r="AI812" s="8" t="str">
        <f>MID($A812,P812+P$2+1,Q812-P812-P$2-1)</f>
        <v>False</v>
      </c>
      <c r="AK812" t="b">
        <f t="shared" si="108"/>
        <v>0</v>
      </c>
    </row>
    <row r="813" spans="1:37" x14ac:dyDescent="0.35">
      <c r="A813" t="s">
        <v>5360</v>
      </c>
      <c r="B813">
        <f t="shared" si="110"/>
        <v>10</v>
      </c>
      <c r="C813">
        <f t="shared" si="110"/>
        <v>43</v>
      </c>
      <c r="D813">
        <f t="shared" si="110"/>
        <v>54</v>
      </c>
      <c r="E813">
        <f t="shared" si="110"/>
        <v>80</v>
      </c>
      <c r="F813">
        <f t="shared" si="110"/>
        <v>124</v>
      </c>
      <c r="G813">
        <f t="shared" si="110"/>
        <v>145</v>
      </c>
      <c r="H813">
        <f t="shared" si="111"/>
        <v>177</v>
      </c>
      <c r="I813">
        <f t="shared" si="111"/>
        <v>199</v>
      </c>
      <c r="J813">
        <f t="shared" si="111"/>
        <v>232</v>
      </c>
      <c r="K813">
        <f t="shared" si="111"/>
        <v>251</v>
      </c>
      <c r="L813">
        <f t="shared" si="111"/>
        <v>283</v>
      </c>
      <c r="M813">
        <f t="shared" si="111"/>
        <v>298</v>
      </c>
      <c r="N813">
        <f t="shared" si="106"/>
        <v>310</v>
      </c>
      <c r="O813">
        <f t="shared" si="106"/>
        <v>335</v>
      </c>
      <c r="P813">
        <f t="shared" si="106"/>
        <v>353</v>
      </c>
      <c r="Q813">
        <f t="shared" si="106"/>
        <v>379</v>
      </c>
      <c r="S813" t="str">
        <f t="shared" si="104"/>
        <v>05.12.2025</v>
      </c>
      <c r="T813" t="str">
        <f t="shared" si="105"/>
        <v>05:45:00</v>
      </c>
      <c r="U813" t="str">
        <f t="shared" si="107"/>
        <v>05.12.2025 05:45:00</v>
      </c>
      <c r="V813" s="9" t="str">
        <f>MID($A813,C813+C$2+1,D813-C813-C$2-1)</f>
        <v>0</v>
      </c>
      <c r="W813" s="4">
        <f>VALUE(SUBSTITUTE(MID($A813,D813+D$2+1,E813-D813-D$2-1),",","."))</f>
        <v>0</v>
      </c>
      <c r="X813" s="4">
        <f>VALUE(SUBSTITUTE(MID($A813,E813+E$2+1,F813-E813-E$2-1),",","."))</f>
        <v>0.90957602214449496</v>
      </c>
      <c r="Y813" s="4">
        <f>VALUE(SUBSTITUTE(MID($A813,F813+F$2+1,G813-F813-F$2-1),",","."))</f>
        <v>0</v>
      </c>
      <c r="Z813" s="3">
        <f>VALUE(SUBSTITUTE(MID($A813,G813+G$2+1,H813-G813-G$2-1),",","."))</f>
        <v>0</v>
      </c>
      <c r="AA813" s="3">
        <f>VALUE(SUBSTITUTE(MID($A813,H813+H$2+1,I813-H813-H$2-1),",","."))</f>
        <v>0</v>
      </c>
      <c r="AB813" s="3">
        <f>VALUE(SUBSTITUTE(MID($A813,I813+I$2+1,J813-I813-I$2-1),",","."))</f>
        <v>0</v>
      </c>
      <c r="AC813" s="3">
        <f>VALUE(SUBSTITUTE(MID($A813,J813+J$2+1,K813-J813-J$2-1),",","."))</f>
        <v>1.8</v>
      </c>
      <c r="AD813" s="3">
        <f>VALUE(SUBSTITUTE(MID($A813,K813+K$2+1,L813-K813-K$2-1),",","."))</f>
        <v>15.12</v>
      </c>
      <c r="AE813" s="3">
        <f>VALUE(SUBSTITUTE(MID($A813,L813+L$2+1,M813-L813-L$2-1),",","."))</f>
        <v>0</v>
      </c>
      <c r="AF813" s="3">
        <f>VALUE(SUBSTITUTE(MID($A813,M813+M$2+1,N813-M813-M$2-1),",","."))</f>
        <v>0</v>
      </c>
      <c r="AG813" s="3">
        <f>VALUE(SUBSTITUTE(MID($A813,N813+N$2+1,O813-N813-N$2-1),",","."))</f>
        <v>4.2265618540245304</v>
      </c>
      <c r="AH813" t="str">
        <f>MID($A813,O813+O$2+1,P813-O813-O$2-1)</f>
        <v/>
      </c>
      <c r="AI813" s="8" t="str">
        <f>MID($A813,P813+P$2+1,Q813-P813-P$2-1)</f>
        <v>False</v>
      </c>
      <c r="AK813" t="b">
        <f t="shared" si="108"/>
        <v>0</v>
      </c>
    </row>
    <row r="814" spans="1:37" x14ac:dyDescent="0.35">
      <c r="A814" t="s">
        <v>5361</v>
      </c>
      <c r="B814">
        <f t="shared" si="110"/>
        <v>10</v>
      </c>
      <c r="C814">
        <f t="shared" si="110"/>
        <v>43</v>
      </c>
      <c r="D814">
        <f t="shared" si="110"/>
        <v>54</v>
      </c>
      <c r="E814">
        <f t="shared" si="110"/>
        <v>80</v>
      </c>
      <c r="F814">
        <f t="shared" si="110"/>
        <v>124</v>
      </c>
      <c r="G814">
        <f t="shared" si="110"/>
        <v>145</v>
      </c>
      <c r="H814">
        <f t="shared" si="111"/>
        <v>177</v>
      </c>
      <c r="I814">
        <f t="shared" si="111"/>
        <v>199</v>
      </c>
      <c r="J814">
        <f t="shared" si="111"/>
        <v>232</v>
      </c>
      <c r="K814">
        <f t="shared" si="111"/>
        <v>251</v>
      </c>
      <c r="L814">
        <f t="shared" si="111"/>
        <v>283</v>
      </c>
      <c r="M814">
        <f t="shared" si="111"/>
        <v>298</v>
      </c>
      <c r="N814">
        <f t="shared" si="106"/>
        <v>310</v>
      </c>
      <c r="O814">
        <f t="shared" si="106"/>
        <v>335</v>
      </c>
      <c r="P814">
        <f t="shared" si="106"/>
        <v>353</v>
      </c>
      <c r="Q814">
        <f t="shared" si="106"/>
        <v>379</v>
      </c>
      <c r="S814" t="str">
        <f t="shared" si="104"/>
        <v>05.12.2025</v>
      </c>
      <c r="T814" t="str">
        <f t="shared" si="105"/>
        <v>06:00:00</v>
      </c>
      <c r="U814" t="str">
        <f t="shared" si="107"/>
        <v>05.12.2025 06:00:00</v>
      </c>
      <c r="V814" s="9" t="str">
        <f>MID($A814,C814+C$2+1,D814-C814-C$2-1)</f>
        <v>0</v>
      </c>
      <c r="W814" s="4">
        <f>VALUE(SUBSTITUTE(MID($A814,D814+D$2+1,E814-D814-D$2-1),",","."))</f>
        <v>0</v>
      </c>
      <c r="X814" s="4">
        <f>VALUE(SUBSTITUTE(MID($A814,E814+E$2+1,F814-E814-E$2-1),",","."))</f>
        <v>0.90957602214449496</v>
      </c>
      <c r="Y814" s="4">
        <f>VALUE(SUBSTITUTE(MID($A814,F814+F$2+1,G814-F814-F$2-1),",","."))</f>
        <v>0</v>
      </c>
      <c r="Z814" s="3">
        <f>VALUE(SUBSTITUTE(MID($A814,G814+G$2+1,H814-G814-G$2-1),",","."))</f>
        <v>0</v>
      </c>
      <c r="AA814" s="3">
        <f>VALUE(SUBSTITUTE(MID($A814,H814+H$2+1,I814-H814-H$2-1),",","."))</f>
        <v>0</v>
      </c>
      <c r="AB814" s="3">
        <f>VALUE(SUBSTITUTE(MID($A814,I814+I$2+1,J814-I814-I$2-1),",","."))</f>
        <v>0</v>
      </c>
      <c r="AC814" s="3">
        <f>VALUE(SUBSTITUTE(MID($A814,J814+J$2+1,K814-J814-J$2-1),",","."))</f>
        <v>1.8</v>
      </c>
      <c r="AD814" s="3">
        <f>VALUE(SUBSTITUTE(MID($A814,K814+K$2+1,L814-K814-K$2-1),",","."))</f>
        <v>15.12</v>
      </c>
      <c r="AE814" s="3">
        <f>VALUE(SUBSTITUTE(MID($A814,L814+L$2+1,M814-L814-L$2-1),",","."))</f>
        <v>0</v>
      </c>
      <c r="AF814" s="3">
        <f>VALUE(SUBSTITUTE(MID($A814,M814+M$2+1,N814-M814-M$2-1),",","."))</f>
        <v>0</v>
      </c>
      <c r="AG814" s="3">
        <f>VALUE(SUBSTITUTE(MID($A814,N814+N$2+1,O814-N814-N$2-1),",","."))</f>
        <v>4.2265903739126101</v>
      </c>
      <c r="AH814" t="str">
        <f>MID($A814,O814+O$2+1,P814-O814-O$2-1)</f>
        <v/>
      </c>
      <c r="AI814" s="8" t="str">
        <f>MID($A814,P814+P$2+1,Q814-P814-P$2-1)</f>
        <v>False</v>
      </c>
      <c r="AK814" t="b">
        <f t="shared" si="108"/>
        <v>0</v>
      </c>
    </row>
    <row r="815" spans="1:37" x14ac:dyDescent="0.35">
      <c r="A815" t="s">
        <v>5362</v>
      </c>
      <c r="B815">
        <f t="shared" si="110"/>
        <v>10</v>
      </c>
      <c r="C815">
        <f t="shared" si="110"/>
        <v>43</v>
      </c>
      <c r="D815">
        <f t="shared" si="110"/>
        <v>54</v>
      </c>
      <c r="E815">
        <f t="shared" si="110"/>
        <v>80</v>
      </c>
      <c r="F815">
        <f t="shared" si="110"/>
        <v>124</v>
      </c>
      <c r="G815">
        <f t="shared" si="110"/>
        <v>145</v>
      </c>
      <c r="H815">
        <f t="shared" si="111"/>
        <v>177</v>
      </c>
      <c r="I815">
        <f t="shared" si="111"/>
        <v>199</v>
      </c>
      <c r="J815">
        <f t="shared" si="111"/>
        <v>232</v>
      </c>
      <c r="K815">
        <f t="shared" si="111"/>
        <v>251</v>
      </c>
      <c r="L815">
        <f t="shared" si="111"/>
        <v>283</v>
      </c>
      <c r="M815">
        <f t="shared" si="111"/>
        <v>298</v>
      </c>
      <c r="N815">
        <f t="shared" si="106"/>
        <v>310</v>
      </c>
      <c r="O815">
        <f t="shared" si="106"/>
        <v>335</v>
      </c>
      <c r="P815">
        <f t="shared" si="106"/>
        <v>353</v>
      </c>
      <c r="Q815">
        <f t="shared" si="106"/>
        <v>379</v>
      </c>
      <c r="S815" t="str">
        <f t="shared" si="104"/>
        <v>05.12.2025</v>
      </c>
      <c r="T815" t="str">
        <f t="shared" si="105"/>
        <v>06:15:00</v>
      </c>
      <c r="U815" t="str">
        <f t="shared" si="107"/>
        <v>05.12.2025 06:15:00</v>
      </c>
      <c r="V815" s="9" t="str">
        <f>MID($A815,C815+C$2+1,D815-C815-C$2-1)</f>
        <v>0</v>
      </c>
      <c r="W815" s="4">
        <f>VALUE(SUBSTITUTE(MID($A815,D815+D$2+1,E815-D815-D$2-1),",","."))</f>
        <v>0</v>
      </c>
      <c r="X815" s="4">
        <f>VALUE(SUBSTITUTE(MID($A815,E815+E$2+1,F815-E815-E$2-1),",","."))</f>
        <v>0.90957602214449496</v>
      </c>
      <c r="Y815" s="4">
        <f>VALUE(SUBSTITUTE(MID($A815,F815+F$2+1,G815-F815-F$2-1),",","."))</f>
        <v>0</v>
      </c>
      <c r="Z815" s="3">
        <f>VALUE(SUBSTITUTE(MID($A815,G815+G$2+1,H815-G815-G$2-1),",","."))</f>
        <v>0</v>
      </c>
      <c r="AA815" s="3">
        <f>VALUE(SUBSTITUTE(MID($A815,H815+H$2+1,I815-H815-H$2-1),",","."))</f>
        <v>0</v>
      </c>
      <c r="AB815" s="3">
        <f>VALUE(SUBSTITUTE(MID($A815,I815+I$2+1,J815-I815-I$2-1),",","."))</f>
        <v>0</v>
      </c>
      <c r="AC815" s="3">
        <f>VALUE(SUBSTITUTE(MID($A815,J815+J$2+1,K815-J815-J$2-1),",","."))</f>
        <v>1.8</v>
      </c>
      <c r="AD815" s="3">
        <f>VALUE(SUBSTITUTE(MID($A815,K815+K$2+1,L815-K815-K$2-1),",","."))</f>
        <v>15.12</v>
      </c>
      <c r="AE815" s="3">
        <f>VALUE(SUBSTITUTE(MID($A815,L815+L$2+1,M815-L815-L$2-1),",","."))</f>
        <v>0</v>
      </c>
      <c r="AF815" s="3">
        <f>VALUE(SUBSTITUTE(MID($A815,M815+M$2+1,N815-M815-M$2-1),",","."))</f>
        <v>0</v>
      </c>
      <c r="AG815" s="3">
        <f>VALUE(SUBSTITUTE(MID($A815,N815+N$2+1,O815-N815-N$2-1),",","."))</f>
        <v>4.2266188938006897</v>
      </c>
      <c r="AH815" t="str">
        <f>MID($A815,O815+O$2+1,P815-O815-O$2-1)</f>
        <v/>
      </c>
      <c r="AI815" s="8" t="str">
        <f>MID($A815,P815+P$2+1,Q815-P815-P$2-1)</f>
        <v>False</v>
      </c>
      <c r="AK815" t="b">
        <f t="shared" si="108"/>
        <v>0</v>
      </c>
    </row>
    <row r="816" spans="1:37" x14ac:dyDescent="0.35">
      <c r="A816" t="s">
        <v>5363</v>
      </c>
      <c r="B816">
        <f t="shared" si="110"/>
        <v>10</v>
      </c>
      <c r="C816">
        <f t="shared" si="110"/>
        <v>43</v>
      </c>
      <c r="D816">
        <f t="shared" si="110"/>
        <v>54</v>
      </c>
      <c r="E816">
        <f t="shared" si="110"/>
        <v>80</v>
      </c>
      <c r="F816">
        <f t="shared" si="110"/>
        <v>124</v>
      </c>
      <c r="G816">
        <f t="shared" si="110"/>
        <v>145</v>
      </c>
      <c r="H816">
        <f t="shared" si="111"/>
        <v>177</v>
      </c>
      <c r="I816">
        <f t="shared" si="111"/>
        <v>199</v>
      </c>
      <c r="J816">
        <f t="shared" si="111"/>
        <v>232</v>
      </c>
      <c r="K816">
        <f t="shared" si="111"/>
        <v>251</v>
      </c>
      <c r="L816">
        <f t="shared" si="111"/>
        <v>270</v>
      </c>
      <c r="M816">
        <f t="shared" si="111"/>
        <v>285</v>
      </c>
      <c r="N816">
        <f t="shared" si="106"/>
        <v>297</v>
      </c>
      <c r="O816">
        <f t="shared" si="106"/>
        <v>322</v>
      </c>
      <c r="P816">
        <f t="shared" si="106"/>
        <v>340</v>
      </c>
      <c r="Q816">
        <f t="shared" si="106"/>
        <v>366</v>
      </c>
      <c r="S816" t="str">
        <f t="shared" si="104"/>
        <v>05.12.2025</v>
      </c>
      <c r="T816" t="str">
        <f t="shared" si="105"/>
        <v>06:30:00</v>
      </c>
      <c r="U816" t="str">
        <f t="shared" si="107"/>
        <v>05.12.2025 06:30:00</v>
      </c>
      <c r="V816" s="9" t="str">
        <f>MID($A816,C816+C$2+1,D816-C816-C$2-1)</f>
        <v>0</v>
      </c>
      <c r="W816" s="4">
        <f>VALUE(SUBSTITUTE(MID($A816,D816+D$2+1,E816-D816-D$2-1),",","."))</f>
        <v>0</v>
      </c>
      <c r="X816" s="4">
        <f>VALUE(SUBSTITUTE(MID($A816,E816+E$2+1,F816-E816-E$2-1),",","."))</f>
        <v>0.90957602214449496</v>
      </c>
      <c r="Y816" s="4">
        <f>VALUE(SUBSTITUTE(MID($A816,F816+F$2+1,G816-F816-F$2-1),",","."))</f>
        <v>0</v>
      </c>
      <c r="Z816" s="3">
        <f>VALUE(SUBSTITUTE(MID($A816,G816+G$2+1,H816-G816-G$2-1),",","."))</f>
        <v>0</v>
      </c>
      <c r="AA816" s="3">
        <f>VALUE(SUBSTITUTE(MID($A816,H816+H$2+1,I816-H816-H$2-1),",","."))</f>
        <v>0</v>
      </c>
      <c r="AB816" s="3">
        <f>VALUE(SUBSTITUTE(MID($A816,I816+I$2+1,J816-I816-I$2-1),",","."))</f>
        <v>0</v>
      </c>
      <c r="AC816" s="3">
        <f>VALUE(SUBSTITUTE(MID($A816,J816+J$2+1,K816-J816-J$2-1),",","."))</f>
        <v>1.9</v>
      </c>
      <c r="AD816" s="3">
        <f>VALUE(SUBSTITUTE(MID($A816,K816+K$2+1,L816-K816-K$2-1),",","."))</f>
        <v>15.66</v>
      </c>
      <c r="AE816" s="3">
        <f>VALUE(SUBSTITUTE(MID($A816,L816+L$2+1,M816-L816-L$2-1),",","."))</f>
        <v>0</v>
      </c>
      <c r="AF816" s="3">
        <f>VALUE(SUBSTITUTE(MID($A816,M816+M$2+1,N816-M816-M$2-1),",","."))</f>
        <v>0</v>
      </c>
      <c r="AG816" s="3">
        <f>VALUE(SUBSTITUTE(MID($A816,N816+N$2+1,O816-N816-N$2-1),",","."))</f>
        <v>4.2266474136887702</v>
      </c>
      <c r="AH816" t="str">
        <f>MID($A816,O816+O$2+1,P816-O816-O$2-1)</f>
        <v/>
      </c>
      <c r="AI816" s="8" t="str">
        <f>MID($A816,P816+P$2+1,Q816-P816-P$2-1)</f>
        <v>False</v>
      </c>
      <c r="AK816" t="b">
        <f t="shared" si="108"/>
        <v>0</v>
      </c>
    </row>
    <row r="817" spans="1:37" x14ac:dyDescent="0.35">
      <c r="A817" t="s">
        <v>5364</v>
      </c>
      <c r="B817">
        <f t="shared" si="110"/>
        <v>10</v>
      </c>
      <c r="C817">
        <f t="shared" si="110"/>
        <v>43</v>
      </c>
      <c r="D817">
        <f t="shared" si="110"/>
        <v>54</v>
      </c>
      <c r="E817">
        <f t="shared" si="110"/>
        <v>80</v>
      </c>
      <c r="F817">
        <f t="shared" si="110"/>
        <v>124</v>
      </c>
      <c r="G817">
        <f t="shared" si="110"/>
        <v>145</v>
      </c>
      <c r="H817">
        <f t="shared" si="111"/>
        <v>177</v>
      </c>
      <c r="I817">
        <f t="shared" si="111"/>
        <v>199</v>
      </c>
      <c r="J817">
        <f t="shared" si="111"/>
        <v>232</v>
      </c>
      <c r="K817">
        <f t="shared" si="111"/>
        <v>251</v>
      </c>
      <c r="L817">
        <f t="shared" si="111"/>
        <v>270</v>
      </c>
      <c r="M817">
        <f t="shared" si="111"/>
        <v>285</v>
      </c>
      <c r="N817">
        <f t="shared" si="106"/>
        <v>297</v>
      </c>
      <c r="O817">
        <f t="shared" si="106"/>
        <v>322</v>
      </c>
      <c r="P817">
        <f t="shared" si="106"/>
        <v>340</v>
      </c>
      <c r="Q817">
        <f t="shared" si="106"/>
        <v>366</v>
      </c>
      <c r="S817" t="str">
        <f t="shared" si="104"/>
        <v>05.12.2025</v>
      </c>
      <c r="T817" t="str">
        <f t="shared" si="105"/>
        <v>06:45:00</v>
      </c>
      <c r="U817" t="str">
        <f t="shared" si="107"/>
        <v>05.12.2025 06:45:00</v>
      </c>
      <c r="V817" s="9" t="str">
        <f>MID($A817,C817+C$2+1,D817-C817-C$2-1)</f>
        <v>0</v>
      </c>
      <c r="W817" s="4">
        <f>VALUE(SUBSTITUTE(MID($A817,D817+D$2+1,E817-D817-D$2-1),",","."))</f>
        <v>0</v>
      </c>
      <c r="X817" s="4">
        <f>VALUE(SUBSTITUTE(MID($A817,E817+E$2+1,F817-E817-E$2-1),",","."))</f>
        <v>0.90957602214449496</v>
      </c>
      <c r="Y817" s="4">
        <f>VALUE(SUBSTITUTE(MID($A817,F817+F$2+1,G817-F817-F$2-1),",","."))</f>
        <v>0</v>
      </c>
      <c r="Z817" s="3">
        <f>VALUE(SUBSTITUTE(MID($A817,G817+G$2+1,H817-G817-G$2-1),",","."))</f>
        <v>0</v>
      </c>
      <c r="AA817" s="3">
        <f>VALUE(SUBSTITUTE(MID($A817,H817+H$2+1,I817-H817-H$2-1),",","."))</f>
        <v>0</v>
      </c>
      <c r="AB817" s="3">
        <f>VALUE(SUBSTITUTE(MID($A817,I817+I$2+1,J817-I817-I$2-1),",","."))</f>
        <v>0</v>
      </c>
      <c r="AC817" s="3">
        <f>VALUE(SUBSTITUTE(MID($A817,J817+J$2+1,K817-J817-J$2-1),",","."))</f>
        <v>1.9</v>
      </c>
      <c r="AD817" s="3">
        <f>VALUE(SUBSTITUTE(MID($A817,K817+K$2+1,L817-K817-K$2-1),",","."))</f>
        <v>15.66</v>
      </c>
      <c r="AE817" s="3">
        <f>VALUE(SUBSTITUTE(MID($A817,L817+L$2+1,M817-L817-L$2-1),",","."))</f>
        <v>0</v>
      </c>
      <c r="AF817" s="3">
        <f>VALUE(SUBSTITUTE(MID($A817,M817+M$2+1,N817-M817-M$2-1),",","."))</f>
        <v>0</v>
      </c>
      <c r="AG817" s="3">
        <f>VALUE(SUBSTITUTE(MID($A817,N817+N$2+1,O817-N817-N$2-1),",","."))</f>
        <v>4.2266759335768596</v>
      </c>
      <c r="AH817" t="str">
        <f>MID($A817,O817+O$2+1,P817-O817-O$2-1)</f>
        <v/>
      </c>
      <c r="AI817" s="8" t="str">
        <f>MID($A817,P817+P$2+1,Q817-P817-P$2-1)</f>
        <v>False</v>
      </c>
      <c r="AK817" t="b">
        <f t="shared" si="108"/>
        <v>0</v>
      </c>
    </row>
    <row r="818" spans="1:37" x14ac:dyDescent="0.35">
      <c r="A818" t="s">
        <v>5365</v>
      </c>
      <c r="B818">
        <f t="shared" si="110"/>
        <v>10</v>
      </c>
      <c r="C818">
        <f t="shared" si="110"/>
        <v>43</v>
      </c>
      <c r="D818">
        <f t="shared" si="110"/>
        <v>54</v>
      </c>
      <c r="E818">
        <f t="shared" si="110"/>
        <v>80</v>
      </c>
      <c r="F818">
        <f t="shared" si="110"/>
        <v>124</v>
      </c>
      <c r="G818">
        <f t="shared" si="110"/>
        <v>145</v>
      </c>
      <c r="H818">
        <f t="shared" si="111"/>
        <v>177</v>
      </c>
      <c r="I818">
        <f t="shared" si="111"/>
        <v>199</v>
      </c>
      <c r="J818">
        <f t="shared" si="111"/>
        <v>232</v>
      </c>
      <c r="K818">
        <f t="shared" si="111"/>
        <v>251</v>
      </c>
      <c r="L818">
        <f t="shared" si="111"/>
        <v>270</v>
      </c>
      <c r="M818">
        <f t="shared" si="111"/>
        <v>285</v>
      </c>
      <c r="N818">
        <f t="shared" si="106"/>
        <v>297</v>
      </c>
      <c r="O818">
        <f t="shared" si="106"/>
        <v>322</v>
      </c>
      <c r="P818">
        <f t="shared" si="106"/>
        <v>340</v>
      </c>
      <c r="Q818">
        <f t="shared" si="106"/>
        <v>366</v>
      </c>
      <c r="S818" t="str">
        <f t="shared" si="104"/>
        <v>05.12.2025</v>
      </c>
      <c r="T818" t="str">
        <f t="shared" si="105"/>
        <v>07:00:00</v>
      </c>
      <c r="U818" t="str">
        <f t="shared" si="107"/>
        <v>05.12.2025 07:00:00</v>
      </c>
      <c r="V818" s="9" t="str">
        <f>MID($A818,C818+C$2+1,D818-C818-C$2-1)</f>
        <v>0</v>
      </c>
      <c r="W818" s="4">
        <f>VALUE(SUBSTITUTE(MID($A818,D818+D$2+1,E818-D818-D$2-1),",","."))</f>
        <v>0</v>
      </c>
      <c r="X818" s="4">
        <f>VALUE(SUBSTITUTE(MID($A818,E818+E$2+1,F818-E818-E$2-1),",","."))</f>
        <v>0.90957602214449496</v>
      </c>
      <c r="Y818" s="4">
        <f>VALUE(SUBSTITUTE(MID($A818,F818+F$2+1,G818-F818-F$2-1),",","."))</f>
        <v>0</v>
      </c>
      <c r="Z818" s="3">
        <f>VALUE(SUBSTITUTE(MID($A818,G818+G$2+1,H818-G818-G$2-1),",","."))</f>
        <v>0</v>
      </c>
      <c r="AA818" s="3">
        <f>VALUE(SUBSTITUTE(MID($A818,H818+H$2+1,I818-H818-H$2-1),",","."))</f>
        <v>0</v>
      </c>
      <c r="AB818" s="3">
        <f>VALUE(SUBSTITUTE(MID($A818,I818+I$2+1,J818-I818-I$2-1),",","."))</f>
        <v>0</v>
      </c>
      <c r="AC818" s="3">
        <f>VALUE(SUBSTITUTE(MID($A818,J818+J$2+1,K818-J818-J$2-1),",","."))</f>
        <v>1.9</v>
      </c>
      <c r="AD818" s="3">
        <f>VALUE(SUBSTITUTE(MID($A818,K818+K$2+1,L818-K818-K$2-1),",","."))</f>
        <v>15.66</v>
      </c>
      <c r="AE818" s="3">
        <f>VALUE(SUBSTITUTE(MID($A818,L818+L$2+1,M818-L818-L$2-1),",","."))</f>
        <v>0</v>
      </c>
      <c r="AF818" s="3">
        <f>VALUE(SUBSTITUTE(MID($A818,M818+M$2+1,N818-M818-M$2-1),",","."))</f>
        <v>0</v>
      </c>
      <c r="AG818" s="3">
        <f>VALUE(SUBSTITUTE(MID($A818,N818+N$2+1,O818-N818-N$2-1),",","."))</f>
        <v>4.2267044534649401</v>
      </c>
      <c r="AH818" t="str">
        <f>MID($A818,O818+O$2+1,P818-O818-O$2-1)</f>
        <v/>
      </c>
      <c r="AI818" s="8" t="str">
        <f>MID($A818,P818+P$2+1,Q818-P818-P$2-1)</f>
        <v>False</v>
      </c>
      <c r="AK818" t="b">
        <f t="shared" si="108"/>
        <v>0</v>
      </c>
    </row>
    <row r="819" spans="1:37" x14ac:dyDescent="0.35">
      <c r="A819" t="s">
        <v>5366</v>
      </c>
      <c r="B819">
        <f t="shared" si="110"/>
        <v>10</v>
      </c>
      <c r="C819">
        <f t="shared" si="110"/>
        <v>43</v>
      </c>
      <c r="D819">
        <f t="shared" si="110"/>
        <v>54</v>
      </c>
      <c r="E819">
        <f t="shared" si="110"/>
        <v>80</v>
      </c>
      <c r="F819">
        <f t="shared" si="110"/>
        <v>124</v>
      </c>
      <c r="G819">
        <f t="shared" si="110"/>
        <v>145</v>
      </c>
      <c r="H819">
        <f t="shared" si="111"/>
        <v>177</v>
      </c>
      <c r="I819">
        <f t="shared" si="111"/>
        <v>199</v>
      </c>
      <c r="J819">
        <f t="shared" si="111"/>
        <v>232</v>
      </c>
      <c r="K819">
        <f t="shared" si="111"/>
        <v>251</v>
      </c>
      <c r="L819">
        <f t="shared" si="111"/>
        <v>270</v>
      </c>
      <c r="M819">
        <f t="shared" si="111"/>
        <v>285</v>
      </c>
      <c r="N819">
        <f t="shared" si="106"/>
        <v>297</v>
      </c>
      <c r="O819">
        <f t="shared" si="106"/>
        <v>322</v>
      </c>
      <c r="P819">
        <f t="shared" si="106"/>
        <v>340</v>
      </c>
      <c r="Q819">
        <f t="shared" si="106"/>
        <v>366</v>
      </c>
      <c r="S819" t="str">
        <f t="shared" si="104"/>
        <v>05.12.2025</v>
      </c>
      <c r="T819" t="str">
        <f t="shared" si="105"/>
        <v>07:15:00</v>
      </c>
      <c r="U819" t="str">
        <f t="shared" si="107"/>
        <v>05.12.2025 07:15:00</v>
      </c>
      <c r="V819" s="9" t="str">
        <f>MID($A819,C819+C$2+1,D819-C819-C$2-1)</f>
        <v>0</v>
      </c>
      <c r="W819" s="4">
        <f>VALUE(SUBSTITUTE(MID($A819,D819+D$2+1,E819-D819-D$2-1),",","."))</f>
        <v>0</v>
      </c>
      <c r="X819" s="4">
        <f>VALUE(SUBSTITUTE(MID($A819,E819+E$2+1,F819-E819-E$2-1),",","."))</f>
        <v>0.90957602214449496</v>
      </c>
      <c r="Y819" s="4">
        <f>VALUE(SUBSTITUTE(MID($A819,F819+F$2+1,G819-F819-F$2-1),",","."))</f>
        <v>0</v>
      </c>
      <c r="Z819" s="3">
        <f>VALUE(SUBSTITUTE(MID($A819,G819+G$2+1,H819-G819-G$2-1),",","."))</f>
        <v>0</v>
      </c>
      <c r="AA819" s="3">
        <f>VALUE(SUBSTITUTE(MID($A819,H819+H$2+1,I819-H819-H$2-1),",","."))</f>
        <v>0</v>
      </c>
      <c r="AB819" s="3">
        <f>VALUE(SUBSTITUTE(MID($A819,I819+I$2+1,J819-I819-I$2-1),",","."))</f>
        <v>0</v>
      </c>
      <c r="AC819" s="3">
        <f>VALUE(SUBSTITUTE(MID($A819,J819+J$2+1,K819-J819-J$2-1),",","."))</f>
        <v>1.9</v>
      </c>
      <c r="AD819" s="3">
        <f>VALUE(SUBSTITUTE(MID($A819,K819+K$2+1,L819-K819-K$2-1),",","."))</f>
        <v>15.66</v>
      </c>
      <c r="AE819" s="3">
        <f>VALUE(SUBSTITUTE(MID($A819,L819+L$2+1,M819-L819-L$2-1),",","."))</f>
        <v>0</v>
      </c>
      <c r="AF819" s="3">
        <f>VALUE(SUBSTITUTE(MID($A819,M819+M$2+1,N819-M819-M$2-1),",","."))</f>
        <v>0</v>
      </c>
      <c r="AG819" s="3">
        <f>VALUE(SUBSTITUTE(MID($A819,N819+N$2+1,O819-N819-N$2-1),",","."))</f>
        <v>4.2267329733530197</v>
      </c>
      <c r="AH819" t="str">
        <f>MID($A819,O819+O$2+1,P819-O819-O$2-1)</f>
        <v/>
      </c>
      <c r="AI819" s="8" t="str">
        <f>MID($A819,P819+P$2+1,Q819-P819-P$2-1)</f>
        <v>False</v>
      </c>
      <c r="AK819" t="b">
        <f t="shared" si="108"/>
        <v>0</v>
      </c>
    </row>
    <row r="820" spans="1:37" x14ac:dyDescent="0.35">
      <c r="A820" t="s">
        <v>5367</v>
      </c>
      <c r="B820">
        <f t="shared" si="110"/>
        <v>10</v>
      </c>
      <c r="C820">
        <f t="shared" si="110"/>
        <v>43</v>
      </c>
      <c r="D820">
        <f t="shared" si="110"/>
        <v>54</v>
      </c>
      <c r="E820">
        <f t="shared" si="110"/>
        <v>80</v>
      </c>
      <c r="F820">
        <f t="shared" si="110"/>
        <v>124</v>
      </c>
      <c r="G820">
        <f t="shared" si="110"/>
        <v>145</v>
      </c>
      <c r="H820">
        <f t="shared" si="111"/>
        <v>177</v>
      </c>
      <c r="I820">
        <f t="shared" si="111"/>
        <v>199</v>
      </c>
      <c r="J820">
        <f t="shared" si="111"/>
        <v>232</v>
      </c>
      <c r="K820">
        <f t="shared" si="111"/>
        <v>251</v>
      </c>
      <c r="L820">
        <f t="shared" si="111"/>
        <v>269</v>
      </c>
      <c r="M820">
        <f t="shared" si="111"/>
        <v>284</v>
      </c>
      <c r="N820">
        <f t="shared" si="106"/>
        <v>296</v>
      </c>
      <c r="O820">
        <f t="shared" si="106"/>
        <v>322</v>
      </c>
      <c r="P820">
        <f t="shared" si="106"/>
        <v>340</v>
      </c>
      <c r="Q820">
        <f t="shared" si="106"/>
        <v>366</v>
      </c>
      <c r="S820" t="str">
        <f t="shared" si="104"/>
        <v>05.12.2025</v>
      </c>
      <c r="T820" t="str">
        <f t="shared" si="105"/>
        <v>07:30:00</v>
      </c>
      <c r="U820" t="str">
        <f t="shared" si="107"/>
        <v>05.12.2025 07:30:00</v>
      </c>
      <c r="V820" s="9" t="str">
        <f>MID($A820,C820+C$2+1,D820-C820-C$2-1)</f>
        <v>0</v>
      </c>
      <c r="W820" s="4">
        <f>VALUE(SUBSTITUTE(MID($A820,D820+D$2+1,E820-D820-D$2-1),",","."))</f>
        <v>0</v>
      </c>
      <c r="X820" s="4">
        <f>VALUE(SUBSTITUTE(MID($A820,E820+E$2+1,F820-E820-E$2-1),",","."))</f>
        <v>0.90957602214449496</v>
      </c>
      <c r="Y820" s="4">
        <f>VALUE(SUBSTITUTE(MID($A820,F820+F$2+1,G820-F820-F$2-1),",","."))</f>
        <v>0</v>
      </c>
      <c r="Z820" s="3">
        <f>VALUE(SUBSTITUTE(MID($A820,G820+G$2+1,H820-G820-G$2-1),",","."))</f>
        <v>0</v>
      </c>
      <c r="AA820" s="3">
        <f>VALUE(SUBSTITUTE(MID($A820,H820+H$2+1,I820-H820-H$2-1),",","."))</f>
        <v>0</v>
      </c>
      <c r="AB820" s="3">
        <f>VALUE(SUBSTITUTE(MID($A820,I820+I$2+1,J820-I820-I$2-1),",","."))</f>
        <v>0</v>
      </c>
      <c r="AC820" s="3">
        <f>VALUE(SUBSTITUTE(MID($A820,J820+J$2+1,K820-J820-J$2-1),",","."))</f>
        <v>2.2999999999999998</v>
      </c>
      <c r="AD820" s="3">
        <f>VALUE(SUBSTITUTE(MID($A820,K820+K$2+1,L820-K820-K$2-1),",","."))</f>
        <v>15.3</v>
      </c>
      <c r="AE820" s="3">
        <f>VALUE(SUBSTITUTE(MID($A820,L820+L$2+1,M820-L820-L$2-1),",","."))</f>
        <v>0</v>
      </c>
      <c r="AF820" s="3">
        <f>VALUE(SUBSTITUTE(MID($A820,M820+M$2+1,N820-M820-M$2-1),",","."))</f>
        <v>0</v>
      </c>
      <c r="AG820" s="3">
        <f>VALUE(SUBSTITUTE(MID($A820,N820+N$2+1,O820-N820-N$2-1),",","."))</f>
        <v>4.2267614932411002</v>
      </c>
      <c r="AH820" t="str">
        <f>MID($A820,O820+O$2+1,P820-O820-O$2-1)</f>
        <v/>
      </c>
      <c r="AI820" s="8" t="str">
        <f>MID($A820,P820+P$2+1,Q820-P820-P$2-1)</f>
        <v>False</v>
      </c>
      <c r="AK820" t="b">
        <f t="shared" si="108"/>
        <v>0</v>
      </c>
    </row>
    <row r="821" spans="1:37" x14ac:dyDescent="0.35">
      <c r="A821" t="s">
        <v>5368</v>
      </c>
      <c r="B821">
        <f t="shared" si="110"/>
        <v>10</v>
      </c>
      <c r="C821">
        <f t="shared" si="110"/>
        <v>43</v>
      </c>
      <c r="D821">
        <f t="shared" si="110"/>
        <v>54</v>
      </c>
      <c r="E821">
        <f t="shared" si="110"/>
        <v>80</v>
      </c>
      <c r="F821">
        <f t="shared" si="110"/>
        <v>124</v>
      </c>
      <c r="G821">
        <f t="shared" si="110"/>
        <v>145</v>
      </c>
      <c r="H821">
        <f t="shared" si="111"/>
        <v>177</v>
      </c>
      <c r="I821">
        <f t="shared" si="111"/>
        <v>199</v>
      </c>
      <c r="J821">
        <f t="shared" si="111"/>
        <v>232</v>
      </c>
      <c r="K821">
        <f t="shared" si="111"/>
        <v>251</v>
      </c>
      <c r="L821">
        <f t="shared" si="111"/>
        <v>269</v>
      </c>
      <c r="M821">
        <f t="shared" si="111"/>
        <v>284</v>
      </c>
      <c r="N821">
        <f t="shared" si="106"/>
        <v>296</v>
      </c>
      <c r="O821">
        <f t="shared" si="106"/>
        <v>321</v>
      </c>
      <c r="P821">
        <f t="shared" si="106"/>
        <v>339</v>
      </c>
      <c r="Q821">
        <f t="shared" si="106"/>
        <v>365</v>
      </c>
      <c r="S821" t="str">
        <f t="shared" si="104"/>
        <v>05.12.2025</v>
      </c>
      <c r="T821" t="str">
        <f t="shared" si="105"/>
        <v>07:45:00</v>
      </c>
      <c r="U821" t="str">
        <f t="shared" si="107"/>
        <v>05.12.2025 07:45:00</v>
      </c>
      <c r="V821" s="9" t="str">
        <f>MID($A821,C821+C$2+1,D821-C821-C$2-1)</f>
        <v>0</v>
      </c>
      <c r="W821" s="4">
        <f>VALUE(SUBSTITUTE(MID($A821,D821+D$2+1,E821-D821-D$2-1),",","."))</f>
        <v>0</v>
      </c>
      <c r="X821" s="4">
        <f>VALUE(SUBSTITUTE(MID($A821,E821+E$2+1,F821-E821-E$2-1),",","."))</f>
        <v>0.90957602214449496</v>
      </c>
      <c r="Y821" s="4">
        <f>VALUE(SUBSTITUTE(MID($A821,F821+F$2+1,G821-F821-F$2-1),",","."))</f>
        <v>0</v>
      </c>
      <c r="Z821" s="3">
        <f>VALUE(SUBSTITUTE(MID($A821,G821+G$2+1,H821-G821-G$2-1),",","."))</f>
        <v>0</v>
      </c>
      <c r="AA821" s="3">
        <f>VALUE(SUBSTITUTE(MID($A821,H821+H$2+1,I821-H821-H$2-1),",","."))</f>
        <v>0</v>
      </c>
      <c r="AB821" s="3">
        <f>VALUE(SUBSTITUTE(MID($A821,I821+I$2+1,J821-I821-I$2-1),",","."))</f>
        <v>0</v>
      </c>
      <c r="AC821" s="3">
        <f>VALUE(SUBSTITUTE(MID($A821,J821+J$2+1,K821-J821-J$2-1),",","."))</f>
        <v>2.2999999999999998</v>
      </c>
      <c r="AD821" s="3">
        <f>VALUE(SUBSTITUTE(MID($A821,K821+K$2+1,L821-K821-K$2-1),",","."))</f>
        <v>15.3</v>
      </c>
      <c r="AE821" s="3">
        <f>VALUE(SUBSTITUTE(MID($A821,L821+L$2+1,M821-L821-L$2-1),",","."))</f>
        <v>0</v>
      </c>
      <c r="AF821" s="3">
        <f>VALUE(SUBSTITUTE(MID($A821,M821+M$2+1,N821-M821-M$2-1),",","."))</f>
        <v>0</v>
      </c>
      <c r="AG821" s="3">
        <f>VALUE(SUBSTITUTE(MID($A821,N821+N$2+1,O821-N821-N$2-1),",","."))</f>
        <v>4.2267900131291798</v>
      </c>
      <c r="AH821" t="str">
        <f>MID($A821,O821+O$2+1,P821-O821-O$2-1)</f>
        <v/>
      </c>
      <c r="AI821" s="8" t="str">
        <f>MID($A821,P821+P$2+1,Q821-P821-P$2-1)</f>
        <v>False</v>
      </c>
      <c r="AK821" t="b">
        <f t="shared" si="108"/>
        <v>0</v>
      </c>
    </row>
    <row r="822" spans="1:37" x14ac:dyDescent="0.35">
      <c r="A822" t="s">
        <v>5369</v>
      </c>
      <c r="B822">
        <f t="shared" si="110"/>
        <v>10</v>
      </c>
      <c r="C822">
        <f t="shared" si="110"/>
        <v>43</v>
      </c>
      <c r="D822">
        <f t="shared" si="110"/>
        <v>54</v>
      </c>
      <c r="E822">
        <f t="shared" si="110"/>
        <v>80</v>
      </c>
      <c r="F822">
        <f t="shared" si="110"/>
        <v>124</v>
      </c>
      <c r="G822">
        <f t="shared" si="110"/>
        <v>162</v>
      </c>
      <c r="H822">
        <f t="shared" si="111"/>
        <v>194</v>
      </c>
      <c r="I822">
        <f t="shared" si="111"/>
        <v>216</v>
      </c>
      <c r="J822">
        <f t="shared" si="111"/>
        <v>249</v>
      </c>
      <c r="K822">
        <f t="shared" si="111"/>
        <v>268</v>
      </c>
      <c r="L822">
        <f t="shared" si="111"/>
        <v>286</v>
      </c>
      <c r="M822">
        <f t="shared" si="111"/>
        <v>301</v>
      </c>
      <c r="N822">
        <f t="shared" si="106"/>
        <v>313</v>
      </c>
      <c r="O822">
        <f t="shared" si="106"/>
        <v>338</v>
      </c>
      <c r="P822">
        <f t="shared" si="106"/>
        <v>356</v>
      </c>
      <c r="Q822">
        <f t="shared" si="106"/>
        <v>382</v>
      </c>
      <c r="S822" t="str">
        <f t="shared" si="104"/>
        <v>05.12.2025</v>
      </c>
      <c r="T822" t="str">
        <f t="shared" si="105"/>
        <v>08:00:00</v>
      </c>
      <c r="U822" t="str">
        <f t="shared" si="107"/>
        <v>05.12.2025 08:00:00</v>
      </c>
      <c r="V822" s="9" t="str">
        <f>MID($A822,C822+C$2+1,D822-C822-C$2-1)</f>
        <v>0</v>
      </c>
      <c r="W822" s="4">
        <f>VALUE(SUBSTITUTE(MID($A822,D822+D$2+1,E822-D822-D$2-1),",","."))</f>
        <v>0</v>
      </c>
      <c r="X822" s="4">
        <f>VALUE(SUBSTITUTE(MID($A822,E822+E$2+1,F822-E822-E$2-1),",","."))</f>
        <v>0.90957602214449496</v>
      </c>
      <c r="Y822" s="4">
        <f>VALUE(SUBSTITUTE(MID($A822,F822+F$2+1,G822-F822-F$2-1),",","."))</f>
        <v>2.0645325700845801E-2</v>
      </c>
      <c r="Z822" s="3">
        <f>VALUE(SUBSTITUTE(MID($A822,G822+G$2+1,H822-G822-G$2-1),",","."))</f>
        <v>0</v>
      </c>
      <c r="AA822" s="3">
        <f>VALUE(SUBSTITUTE(MID($A822,H822+H$2+1,I822-H822-H$2-1),",","."))</f>
        <v>0</v>
      </c>
      <c r="AB822" s="3">
        <f>VALUE(SUBSTITUTE(MID($A822,I822+I$2+1,J822-I822-I$2-1),",","."))</f>
        <v>0</v>
      </c>
      <c r="AC822" s="3">
        <f>VALUE(SUBSTITUTE(MID($A822,J822+J$2+1,K822-J822-J$2-1),",","."))</f>
        <v>2.2999999999999998</v>
      </c>
      <c r="AD822" s="3">
        <f>VALUE(SUBSTITUTE(MID($A822,K822+K$2+1,L822-K822-K$2-1),",","."))</f>
        <v>15.3</v>
      </c>
      <c r="AE822" s="3">
        <f>VALUE(SUBSTITUTE(MID($A822,L822+L$2+1,M822-L822-L$2-1),",","."))</f>
        <v>0</v>
      </c>
      <c r="AF822" s="3">
        <f>VALUE(SUBSTITUTE(MID($A822,M822+M$2+1,N822-M822-M$2-1),",","."))</f>
        <v>0</v>
      </c>
      <c r="AG822" s="3">
        <f>VALUE(SUBSTITUTE(MID($A822,N822+N$2+1,O822-N822-N$2-1),",","."))</f>
        <v>4.2268185330172603</v>
      </c>
      <c r="AH822" t="str">
        <f>MID($A822,O822+O$2+1,P822-O822-O$2-1)</f>
        <v/>
      </c>
      <c r="AI822" s="8" t="str">
        <f>MID($A822,P822+P$2+1,Q822-P822-P$2-1)</f>
        <v>False</v>
      </c>
      <c r="AK822" t="b">
        <f t="shared" si="108"/>
        <v>0</v>
      </c>
    </row>
    <row r="823" spans="1:37" x14ac:dyDescent="0.35">
      <c r="A823" t="s">
        <v>5370</v>
      </c>
      <c r="B823">
        <f t="shared" si="110"/>
        <v>10</v>
      </c>
      <c r="C823">
        <f t="shared" si="110"/>
        <v>43</v>
      </c>
      <c r="D823">
        <f t="shared" si="110"/>
        <v>54</v>
      </c>
      <c r="E823">
        <f t="shared" si="110"/>
        <v>97</v>
      </c>
      <c r="F823">
        <f t="shared" si="110"/>
        <v>141</v>
      </c>
      <c r="G823">
        <f t="shared" si="110"/>
        <v>180</v>
      </c>
      <c r="H823">
        <f t="shared" si="111"/>
        <v>212</v>
      </c>
      <c r="I823">
        <f t="shared" si="111"/>
        <v>234</v>
      </c>
      <c r="J823">
        <f t="shared" si="111"/>
        <v>267</v>
      </c>
      <c r="K823">
        <f t="shared" si="111"/>
        <v>286</v>
      </c>
      <c r="L823">
        <f t="shared" si="111"/>
        <v>304</v>
      </c>
      <c r="M823">
        <f t="shared" si="111"/>
        <v>319</v>
      </c>
      <c r="N823">
        <f t="shared" si="106"/>
        <v>331</v>
      </c>
      <c r="O823">
        <f t="shared" si="106"/>
        <v>356</v>
      </c>
      <c r="P823">
        <f t="shared" si="106"/>
        <v>374</v>
      </c>
      <c r="Q823">
        <f t="shared" si="106"/>
        <v>400</v>
      </c>
      <c r="S823" t="str">
        <f t="shared" si="104"/>
        <v>05.12.2025</v>
      </c>
      <c r="T823" t="str">
        <f t="shared" si="105"/>
        <v>08:15:00</v>
      </c>
      <c r="U823" t="str">
        <f t="shared" si="107"/>
        <v>05.12.2025 08:15:00</v>
      </c>
      <c r="V823" s="9" t="str">
        <f>MID($A823,C823+C$2+1,D823-C823-C$2-1)</f>
        <v>0</v>
      </c>
      <c r="W823" s="4">
        <f>VALUE(SUBSTITUTE(MID($A823,D823+D$2+1,E823-D823-D$2-1),",","."))</f>
        <v>0.53734180922734398</v>
      </c>
      <c r="X823" s="4">
        <f>VALUE(SUBSTITUTE(MID($A823,E823+E$2+1,F823-E823-E$2-1),",","."))</f>
        <v>0.90957602214449496</v>
      </c>
      <c r="Y823" s="4">
        <f>VALUE(SUBSTITUTE(MID($A823,F823+F$2+1,G823-F823-F$2-1),",","."))</f>
        <v>5.3584281081035197E-2</v>
      </c>
      <c r="Z823" s="3">
        <f>VALUE(SUBSTITUTE(MID($A823,G823+G$2+1,H823-G823-G$2-1),",","."))</f>
        <v>0</v>
      </c>
      <c r="AA823" s="3">
        <f>VALUE(SUBSTITUTE(MID($A823,H823+H$2+1,I823-H823-H$2-1),",","."))</f>
        <v>0</v>
      </c>
      <c r="AB823" s="3">
        <f>VALUE(SUBSTITUTE(MID($A823,I823+I$2+1,J823-I823-I$2-1),",","."))</f>
        <v>0</v>
      </c>
      <c r="AC823" s="3">
        <f>VALUE(SUBSTITUTE(MID($A823,J823+J$2+1,K823-J823-J$2-1),",","."))</f>
        <v>2.2999999999999998</v>
      </c>
      <c r="AD823" s="3">
        <f>VALUE(SUBSTITUTE(MID($A823,K823+K$2+1,L823-K823-K$2-1),",","."))</f>
        <v>15.3</v>
      </c>
      <c r="AE823" s="3">
        <f>VALUE(SUBSTITUTE(MID($A823,L823+L$2+1,M823-L823-L$2-1),",","."))</f>
        <v>0</v>
      </c>
      <c r="AF823" s="3">
        <f>VALUE(SUBSTITUTE(MID($A823,M823+M$2+1,N823-M823-M$2-1),",","."))</f>
        <v>0</v>
      </c>
      <c r="AG823" s="3">
        <f>VALUE(SUBSTITUTE(MID($A823,N823+N$2+1,O823-N823-N$2-1),",","."))</f>
        <v>4.2268470529053497</v>
      </c>
      <c r="AH823" t="str">
        <f>MID($A823,O823+O$2+1,P823-O823-O$2-1)</f>
        <v/>
      </c>
      <c r="AI823" s="8" t="str">
        <f>MID($A823,P823+P$2+1,Q823-P823-P$2-1)</f>
        <v>False</v>
      </c>
      <c r="AK823" t="b">
        <f t="shared" si="108"/>
        <v>0</v>
      </c>
    </row>
    <row r="824" spans="1:37" x14ac:dyDescent="0.35">
      <c r="A824" t="s">
        <v>5371</v>
      </c>
      <c r="B824">
        <f t="shared" si="110"/>
        <v>10</v>
      </c>
      <c r="C824">
        <f t="shared" si="110"/>
        <v>43</v>
      </c>
      <c r="D824">
        <f t="shared" si="110"/>
        <v>54</v>
      </c>
      <c r="E824">
        <f t="shared" si="110"/>
        <v>97</v>
      </c>
      <c r="F824">
        <f t="shared" si="110"/>
        <v>141</v>
      </c>
      <c r="G824">
        <f t="shared" si="110"/>
        <v>180</v>
      </c>
      <c r="H824">
        <f t="shared" si="111"/>
        <v>229</v>
      </c>
      <c r="I824">
        <f t="shared" si="111"/>
        <v>251</v>
      </c>
      <c r="J824">
        <f t="shared" si="111"/>
        <v>287</v>
      </c>
      <c r="K824">
        <f t="shared" si="111"/>
        <v>321</v>
      </c>
      <c r="L824">
        <f t="shared" si="111"/>
        <v>353</v>
      </c>
      <c r="M824">
        <f t="shared" si="111"/>
        <v>368</v>
      </c>
      <c r="N824">
        <f t="shared" si="106"/>
        <v>380</v>
      </c>
      <c r="O824">
        <f t="shared" si="106"/>
        <v>405</v>
      </c>
      <c r="P824">
        <f t="shared" si="106"/>
        <v>423</v>
      </c>
      <c r="Q824">
        <f t="shared" si="106"/>
        <v>449</v>
      </c>
      <c r="S824" t="str">
        <f t="shared" ref="S824:S887" si="112">LEFT(U824,10)</f>
        <v>05.12.2025</v>
      </c>
      <c r="T824" t="str">
        <f t="shared" ref="T824:T887" si="113">MID(U824,12,8)</f>
        <v>08:30:00</v>
      </c>
      <c r="U824" t="str">
        <f t="shared" si="107"/>
        <v>05.12.2025 08:30:00</v>
      </c>
      <c r="V824" s="9" t="str">
        <f>MID($A824,C824+C$2+1,D824-C824-C$2-1)</f>
        <v>0</v>
      </c>
      <c r="W824" s="4">
        <f>VALUE(SUBSTITUTE(MID($A824,D824+D$2+1,E824-D824-D$2-1),",","."))</f>
        <v>0.57703761902298201</v>
      </c>
      <c r="X824" s="4">
        <f>VALUE(SUBSTITUTE(MID($A824,E824+E$2+1,F824-E824-E$2-1),",","."))</f>
        <v>0.90957602214449496</v>
      </c>
      <c r="Y824" s="4">
        <f>VALUE(SUBSTITUTE(MID($A824,F824+F$2+1,G824-F824-F$2-1),",","."))</f>
        <v>8.64818047897285E-2</v>
      </c>
      <c r="Z824" s="3">
        <f>VALUE(SUBSTITUTE(MID($A824,G824+G$2+1,H824-G824-G$2-1),",","."))</f>
        <v>128.916666666666</v>
      </c>
      <c r="AA824" s="3">
        <f>VALUE(SUBSTITUTE(MID($A824,H824+H$2+1,I824-H824-H$2-1),",","."))</f>
        <v>0</v>
      </c>
      <c r="AB824" s="3">
        <f>VALUE(SUBSTITUTE(MID($A824,I824+I$2+1,J824-I824-I$2-1),",","."))</f>
        <v>26.5</v>
      </c>
      <c r="AC824" s="3">
        <f>VALUE(SUBSTITUTE(MID($A824,J824+J$2+1,K824-J824-J$2-1),",","."))</f>
        <v>2.9</v>
      </c>
      <c r="AD824" s="3">
        <f>VALUE(SUBSTITUTE(MID($A824,K824+K$2+1,L824-K824-K$2-1),",","."))</f>
        <v>14.04</v>
      </c>
      <c r="AE824" s="3">
        <f>VALUE(SUBSTITUTE(MID($A824,L824+L$2+1,M824-L824-L$2-1),",","."))</f>
        <v>0</v>
      </c>
      <c r="AF824" s="3">
        <f>VALUE(SUBSTITUTE(MID($A824,M824+M$2+1,N824-M824-M$2-1),",","."))</f>
        <v>0</v>
      </c>
      <c r="AG824" s="3">
        <f>VALUE(SUBSTITUTE(MID($A824,N824+N$2+1,O824-N824-N$2-1),",","."))</f>
        <v>4.2268755727934302</v>
      </c>
      <c r="AH824" t="str">
        <f>MID($A824,O824+O$2+1,P824-O824-O$2-1)</f>
        <v/>
      </c>
      <c r="AI824" s="8" t="str">
        <f>MID($A824,P824+P$2+1,Q824-P824-P$2-1)</f>
        <v>False</v>
      </c>
      <c r="AK824" t="b">
        <f t="shared" si="108"/>
        <v>0</v>
      </c>
    </row>
    <row r="825" spans="1:37" x14ac:dyDescent="0.35">
      <c r="A825" t="s">
        <v>5372</v>
      </c>
      <c r="B825">
        <f t="shared" si="110"/>
        <v>10</v>
      </c>
      <c r="C825">
        <f t="shared" si="110"/>
        <v>43</v>
      </c>
      <c r="D825">
        <f t="shared" si="110"/>
        <v>54</v>
      </c>
      <c r="E825">
        <f t="shared" si="110"/>
        <v>97</v>
      </c>
      <c r="F825">
        <f t="shared" si="110"/>
        <v>141</v>
      </c>
      <c r="G825">
        <f t="shared" si="110"/>
        <v>180</v>
      </c>
      <c r="H825">
        <f t="shared" si="111"/>
        <v>229</v>
      </c>
      <c r="I825">
        <f t="shared" si="111"/>
        <v>251</v>
      </c>
      <c r="J825">
        <f t="shared" si="111"/>
        <v>287</v>
      </c>
      <c r="K825">
        <f t="shared" si="111"/>
        <v>321</v>
      </c>
      <c r="L825">
        <f t="shared" si="111"/>
        <v>353</v>
      </c>
      <c r="M825">
        <f t="shared" si="111"/>
        <v>368</v>
      </c>
      <c r="N825">
        <f t="shared" si="106"/>
        <v>380</v>
      </c>
      <c r="O825">
        <f t="shared" si="106"/>
        <v>405</v>
      </c>
      <c r="P825">
        <f t="shared" si="106"/>
        <v>423</v>
      </c>
      <c r="Q825">
        <f t="shared" si="106"/>
        <v>449</v>
      </c>
      <c r="S825" t="str">
        <f t="shared" si="112"/>
        <v>05.12.2025</v>
      </c>
      <c r="T825" t="str">
        <f t="shared" si="113"/>
        <v>08:45:00</v>
      </c>
      <c r="U825" t="str">
        <f t="shared" si="107"/>
        <v>05.12.2025 08:45:00</v>
      </c>
      <c r="V825" s="9" t="str">
        <f>MID($A825,C825+C$2+1,D825-C825-C$2-1)</f>
        <v>0</v>
      </c>
      <c r="W825" s="4">
        <f>VALUE(SUBSTITUTE(MID($A825,D825+D$2+1,E825-D825-D$2-1),",","."))</f>
        <v>0.61433244316701296</v>
      </c>
      <c r="X825" s="4">
        <f>VALUE(SUBSTITUTE(MID($A825,E825+E$2+1,F825-E825-E$2-1),",","."))</f>
        <v>0.90957602214449496</v>
      </c>
      <c r="Y825" s="4">
        <f>VALUE(SUBSTITUTE(MID($A825,F825+F$2+1,G825-F825-F$2-1),",","."))</f>
        <v>0.11836162406396999</v>
      </c>
      <c r="Z825" s="3">
        <f>VALUE(SUBSTITUTE(MID($A825,G825+G$2+1,H825-G825-G$2-1),",","."))</f>
        <v>128.916666666666</v>
      </c>
      <c r="AA825" s="3">
        <f>VALUE(SUBSTITUTE(MID($A825,H825+H$2+1,I825-H825-H$2-1),",","."))</f>
        <v>0</v>
      </c>
      <c r="AB825" s="3">
        <f>VALUE(SUBSTITUTE(MID($A825,I825+I$2+1,J825-I825-I$2-1),",","."))</f>
        <v>26.5</v>
      </c>
      <c r="AC825" s="3">
        <f>VALUE(SUBSTITUTE(MID($A825,J825+J$2+1,K825-J825-J$2-1),",","."))</f>
        <v>2.9</v>
      </c>
      <c r="AD825" s="3">
        <f>VALUE(SUBSTITUTE(MID($A825,K825+K$2+1,L825-K825-K$2-1),",","."))</f>
        <v>14.04</v>
      </c>
      <c r="AE825" s="3">
        <f>VALUE(SUBSTITUTE(MID($A825,L825+L$2+1,M825-L825-L$2-1),",","."))</f>
        <v>0</v>
      </c>
      <c r="AF825" s="3">
        <f>VALUE(SUBSTITUTE(MID($A825,M825+M$2+1,N825-M825-M$2-1),",","."))</f>
        <v>0</v>
      </c>
      <c r="AG825" s="3">
        <f>VALUE(SUBSTITUTE(MID($A825,N825+N$2+1,O825-N825-N$2-1),",","."))</f>
        <v>4.2269040926815098</v>
      </c>
      <c r="AH825" t="str">
        <f>MID($A825,O825+O$2+1,P825-O825-O$2-1)</f>
        <v/>
      </c>
      <c r="AI825" s="8" t="str">
        <f>MID($A825,P825+P$2+1,Q825-P825-P$2-1)</f>
        <v>False</v>
      </c>
      <c r="AK825" t="b">
        <f t="shared" si="108"/>
        <v>0</v>
      </c>
    </row>
    <row r="826" spans="1:37" x14ac:dyDescent="0.35">
      <c r="A826" t="s">
        <v>5373</v>
      </c>
      <c r="B826">
        <f t="shared" si="110"/>
        <v>10</v>
      </c>
      <c r="C826">
        <f t="shared" si="110"/>
        <v>43</v>
      </c>
      <c r="D826">
        <f t="shared" si="110"/>
        <v>54</v>
      </c>
      <c r="E826">
        <f t="shared" si="110"/>
        <v>96</v>
      </c>
      <c r="F826">
        <f t="shared" si="110"/>
        <v>140</v>
      </c>
      <c r="G826">
        <f t="shared" si="110"/>
        <v>178</v>
      </c>
      <c r="H826">
        <f t="shared" si="111"/>
        <v>227</v>
      </c>
      <c r="I826">
        <f t="shared" si="111"/>
        <v>249</v>
      </c>
      <c r="J826">
        <f t="shared" si="111"/>
        <v>285</v>
      </c>
      <c r="K826">
        <f t="shared" si="111"/>
        <v>319</v>
      </c>
      <c r="L826">
        <f t="shared" si="111"/>
        <v>351</v>
      </c>
      <c r="M826">
        <f t="shared" si="111"/>
        <v>366</v>
      </c>
      <c r="N826">
        <f t="shared" si="106"/>
        <v>378</v>
      </c>
      <c r="O826">
        <f t="shared" si="106"/>
        <v>403</v>
      </c>
      <c r="P826">
        <f t="shared" si="106"/>
        <v>421</v>
      </c>
      <c r="Q826">
        <f t="shared" si="106"/>
        <v>447</v>
      </c>
      <c r="S826" t="str">
        <f t="shared" si="112"/>
        <v>05.12.2025</v>
      </c>
      <c r="T826" t="str">
        <f t="shared" si="113"/>
        <v>09:00:00</v>
      </c>
      <c r="U826" t="str">
        <f t="shared" si="107"/>
        <v>05.12.2025 09:00:00</v>
      </c>
      <c r="V826" s="9" t="str">
        <f>MID($A826,C826+C$2+1,D826-C826-C$2-1)</f>
        <v>0</v>
      </c>
      <c r="W826" s="4">
        <f>VALUE(SUBSTITUTE(MID($A826,D826+D$2+1,E826-D826-D$2-1),",","."))</f>
        <v>0.648823075647734</v>
      </c>
      <c r="X826" s="4">
        <f>VALUE(SUBSTITUTE(MID($A826,E826+E$2+1,F826-E826-E$2-1),",","."))</f>
        <v>0.90957602214449496</v>
      </c>
      <c r="Y826" s="4">
        <f>VALUE(SUBSTITUTE(MID($A826,F826+F$2+1,G826-F826-F$2-1),",","."))</f>
        <v>0.14879640466980701</v>
      </c>
      <c r="Z826" s="3">
        <f>VALUE(SUBSTITUTE(MID($A826,G826+G$2+1,H826-G826-G$2-1),",","."))</f>
        <v>128.916666666666</v>
      </c>
      <c r="AA826" s="3">
        <f>VALUE(SUBSTITUTE(MID($A826,H826+H$2+1,I826-H826-H$2-1),",","."))</f>
        <v>0</v>
      </c>
      <c r="AB826" s="3">
        <f>VALUE(SUBSTITUTE(MID($A826,I826+I$2+1,J826-I826-I$2-1),",","."))</f>
        <v>26.5</v>
      </c>
      <c r="AC826" s="3">
        <f>VALUE(SUBSTITUTE(MID($A826,J826+J$2+1,K826-J826-J$2-1),",","."))</f>
        <v>2.9</v>
      </c>
      <c r="AD826" s="3">
        <f>VALUE(SUBSTITUTE(MID($A826,K826+K$2+1,L826-K826-K$2-1),",","."))</f>
        <v>14.04</v>
      </c>
      <c r="AE826" s="3">
        <f>VALUE(SUBSTITUTE(MID($A826,L826+L$2+1,M826-L826-L$2-1),",","."))</f>
        <v>0</v>
      </c>
      <c r="AF826" s="3">
        <f>VALUE(SUBSTITUTE(MID($A826,M826+M$2+1,N826-M826-M$2-1),",","."))</f>
        <v>0</v>
      </c>
      <c r="AG826" s="3">
        <f>VALUE(SUBSTITUTE(MID($A826,N826+N$2+1,O826-N826-N$2-1),",","."))</f>
        <v>4.2269326125695903</v>
      </c>
      <c r="AH826" t="str">
        <f>MID($A826,O826+O$2+1,P826-O826-O$2-1)</f>
        <v/>
      </c>
      <c r="AI826" s="8" t="str">
        <f>MID($A826,P826+P$2+1,Q826-P826-P$2-1)</f>
        <v>False</v>
      </c>
      <c r="AK826" t="b">
        <f t="shared" si="108"/>
        <v>0</v>
      </c>
    </row>
    <row r="827" spans="1:37" x14ac:dyDescent="0.35">
      <c r="A827" t="s">
        <v>5374</v>
      </c>
      <c r="B827">
        <f t="shared" si="110"/>
        <v>10</v>
      </c>
      <c r="C827">
        <f t="shared" si="110"/>
        <v>43</v>
      </c>
      <c r="D827">
        <f t="shared" si="110"/>
        <v>54</v>
      </c>
      <c r="E827">
        <f t="shared" si="110"/>
        <v>96</v>
      </c>
      <c r="F827">
        <f t="shared" si="110"/>
        <v>140</v>
      </c>
      <c r="G827">
        <f t="shared" si="110"/>
        <v>179</v>
      </c>
      <c r="H827">
        <f t="shared" si="111"/>
        <v>228</v>
      </c>
      <c r="I827">
        <f t="shared" si="111"/>
        <v>250</v>
      </c>
      <c r="J827">
        <f t="shared" si="111"/>
        <v>286</v>
      </c>
      <c r="K827">
        <f t="shared" si="111"/>
        <v>320</v>
      </c>
      <c r="L827">
        <f t="shared" si="111"/>
        <v>352</v>
      </c>
      <c r="M827">
        <f t="shared" si="111"/>
        <v>367</v>
      </c>
      <c r="N827">
        <f t="shared" si="106"/>
        <v>379</v>
      </c>
      <c r="O827">
        <f t="shared" si="106"/>
        <v>404</v>
      </c>
      <c r="P827">
        <f t="shared" si="106"/>
        <v>422</v>
      </c>
      <c r="Q827">
        <f t="shared" si="106"/>
        <v>448</v>
      </c>
      <c r="S827" t="str">
        <f t="shared" si="112"/>
        <v>05.12.2025</v>
      </c>
      <c r="T827" t="str">
        <f t="shared" si="113"/>
        <v>09:15:00</v>
      </c>
      <c r="U827" t="str">
        <f t="shared" si="107"/>
        <v>05.12.2025 09:15:00</v>
      </c>
      <c r="V827" s="9" t="str">
        <f>MID($A827,C827+C$2+1,D827-C827-C$2-1)</f>
        <v>0</v>
      </c>
      <c r="W827" s="4">
        <f>VALUE(SUBSTITUTE(MID($A827,D827+D$2+1,E827-D827-D$2-1),",","."))</f>
        <v>0.680262767279882</v>
      </c>
      <c r="X827" s="4">
        <f>VALUE(SUBSTITUTE(MID($A827,E827+E$2+1,F827-E827-E$2-1),",","."))</f>
        <v>0.90957602214449496</v>
      </c>
      <c r="Y827" s="4">
        <f>VALUE(SUBSTITUTE(MID($A827,F827+F$2+1,G827-F827-F$2-1),",","."))</f>
        <v>0.17753713240910601</v>
      </c>
      <c r="Z827" s="3">
        <f>VALUE(SUBSTITUTE(MID($A827,G827+G$2+1,H827-G827-G$2-1),",","."))</f>
        <v>128.916666666666</v>
      </c>
      <c r="AA827" s="3">
        <f>VALUE(SUBSTITUTE(MID($A827,H827+H$2+1,I827-H827-H$2-1),",","."))</f>
        <v>0</v>
      </c>
      <c r="AB827" s="3">
        <f>VALUE(SUBSTITUTE(MID($A827,I827+I$2+1,J827-I827-I$2-1),",","."))</f>
        <v>26.5</v>
      </c>
      <c r="AC827" s="3">
        <f>VALUE(SUBSTITUTE(MID($A827,J827+J$2+1,K827-J827-J$2-1),",","."))</f>
        <v>2.9</v>
      </c>
      <c r="AD827" s="3">
        <f>VALUE(SUBSTITUTE(MID($A827,K827+K$2+1,L827-K827-K$2-1),",","."))</f>
        <v>14.04</v>
      </c>
      <c r="AE827" s="3">
        <f>VALUE(SUBSTITUTE(MID($A827,L827+L$2+1,M827-L827-L$2-1),",","."))</f>
        <v>0</v>
      </c>
      <c r="AF827" s="3">
        <f>VALUE(SUBSTITUTE(MID($A827,M827+M$2+1,N827-M827-M$2-1),",","."))</f>
        <v>0</v>
      </c>
      <c r="AG827" s="3">
        <f>VALUE(SUBSTITUTE(MID($A827,N827+N$2+1,O827-N827-N$2-1),",","."))</f>
        <v>4.2269611324576699</v>
      </c>
      <c r="AH827" t="str">
        <f>MID($A827,O827+O$2+1,P827-O827-O$2-1)</f>
        <v/>
      </c>
      <c r="AI827" s="8" t="str">
        <f>MID($A827,P827+P$2+1,Q827-P827-P$2-1)</f>
        <v>False</v>
      </c>
      <c r="AK827" t="b">
        <f t="shared" si="108"/>
        <v>0</v>
      </c>
    </row>
    <row r="828" spans="1:37" x14ac:dyDescent="0.35">
      <c r="A828" t="s">
        <v>5375</v>
      </c>
      <c r="B828">
        <f t="shared" si="110"/>
        <v>10</v>
      </c>
      <c r="C828">
        <f t="shared" si="110"/>
        <v>43</v>
      </c>
      <c r="D828">
        <f t="shared" si="110"/>
        <v>54</v>
      </c>
      <c r="E828">
        <f t="shared" si="110"/>
        <v>97</v>
      </c>
      <c r="F828">
        <f t="shared" si="110"/>
        <v>141</v>
      </c>
      <c r="G828">
        <f t="shared" si="110"/>
        <v>180</v>
      </c>
      <c r="H828">
        <f t="shared" si="111"/>
        <v>229</v>
      </c>
      <c r="I828">
        <f t="shared" si="111"/>
        <v>251</v>
      </c>
      <c r="J828">
        <f t="shared" si="111"/>
        <v>287</v>
      </c>
      <c r="K828">
        <f t="shared" si="111"/>
        <v>307</v>
      </c>
      <c r="L828">
        <f t="shared" si="111"/>
        <v>326</v>
      </c>
      <c r="M828">
        <f t="shared" si="111"/>
        <v>341</v>
      </c>
      <c r="N828">
        <f t="shared" si="106"/>
        <v>353</v>
      </c>
      <c r="O828">
        <f t="shared" si="106"/>
        <v>378</v>
      </c>
      <c r="P828">
        <f t="shared" si="106"/>
        <v>396</v>
      </c>
      <c r="Q828">
        <f t="shared" si="106"/>
        <v>422</v>
      </c>
      <c r="S828" t="str">
        <f t="shared" si="112"/>
        <v>05.12.2025</v>
      </c>
      <c r="T828" t="str">
        <f t="shared" si="113"/>
        <v>09:30:00</v>
      </c>
      <c r="U828" t="str">
        <f t="shared" si="107"/>
        <v>05.12.2025 09:30:00</v>
      </c>
      <c r="V828" s="9" t="str">
        <f>MID($A828,C828+C$2+1,D828-C828-C$2-1)</f>
        <v>0</v>
      </c>
      <c r="W828" s="4">
        <f>VALUE(SUBSTITUTE(MID($A828,D828+D$2+1,E828-D828-D$2-1),",","."))</f>
        <v>0.708470245322118</v>
      </c>
      <c r="X828" s="4">
        <f>VALUE(SUBSTITUTE(MID($A828,E828+E$2+1,F828-E828-E$2-1),",","."))</f>
        <v>0.90957602214449496</v>
      </c>
      <c r="Y828" s="4">
        <f>VALUE(SUBSTITUTE(MID($A828,F828+F$2+1,G828-F828-F$2-1),",","."))</f>
        <v>0.20440468921648</v>
      </c>
      <c r="Z828" s="3">
        <f>VALUE(SUBSTITUTE(MID($A828,G828+G$2+1,H828-G828-G$2-1),",","."))</f>
        <v>205.53333333333299</v>
      </c>
      <c r="AA828" s="3">
        <f>VALUE(SUBSTITUTE(MID($A828,H828+H$2+1,I828-H828-H$2-1),",","."))</f>
        <v>0</v>
      </c>
      <c r="AB828" s="3">
        <f>VALUE(SUBSTITUTE(MID($A828,I828+I$2+1,J828-I828-I$2-1),",","."))</f>
        <v>78.5</v>
      </c>
      <c r="AC828" s="3">
        <f>VALUE(SUBSTITUTE(MID($A828,J828+J$2+1,K828-J828-J$2-1),",","."))</f>
        <v>3.65</v>
      </c>
      <c r="AD828" s="3">
        <f>VALUE(SUBSTITUTE(MID($A828,K828+K$2+1,L828-K828-K$2-1),",","."))</f>
        <v>13.32</v>
      </c>
      <c r="AE828" s="3">
        <f>VALUE(SUBSTITUTE(MID($A828,L828+L$2+1,M828-L828-L$2-1),",","."))</f>
        <v>0</v>
      </c>
      <c r="AF828" s="3">
        <f>VALUE(SUBSTITUTE(MID($A828,M828+M$2+1,N828-M828-M$2-1),",","."))</f>
        <v>0</v>
      </c>
      <c r="AG828" s="3">
        <f>VALUE(SUBSTITUTE(MID($A828,N828+N$2+1,O828-N828-N$2-1),",","."))</f>
        <v>4.2269896523457504</v>
      </c>
      <c r="AH828" t="str">
        <f>MID($A828,O828+O$2+1,P828-O828-O$2-1)</f>
        <v/>
      </c>
      <c r="AI828" s="8" t="str">
        <f>MID($A828,P828+P$2+1,Q828-P828-P$2-1)</f>
        <v>False</v>
      </c>
      <c r="AK828" t="b">
        <f t="shared" si="108"/>
        <v>0</v>
      </c>
    </row>
    <row r="829" spans="1:37" x14ac:dyDescent="0.35">
      <c r="A829" t="s">
        <v>5376</v>
      </c>
      <c r="B829">
        <f t="shared" si="110"/>
        <v>10</v>
      </c>
      <c r="C829">
        <f t="shared" si="110"/>
        <v>43</v>
      </c>
      <c r="D829">
        <f t="shared" si="110"/>
        <v>54</v>
      </c>
      <c r="E829">
        <f t="shared" si="110"/>
        <v>97</v>
      </c>
      <c r="F829">
        <f t="shared" si="110"/>
        <v>141</v>
      </c>
      <c r="G829">
        <f t="shared" si="110"/>
        <v>180</v>
      </c>
      <c r="H829">
        <f t="shared" si="111"/>
        <v>229</v>
      </c>
      <c r="I829">
        <f t="shared" si="111"/>
        <v>251</v>
      </c>
      <c r="J829">
        <f t="shared" si="111"/>
        <v>287</v>
      </c>
      <c r="K829">
        <f t="shared" si="111"/>
        <v>307</v>
      </c>
      <c r="L829">
        <f t="shared" si="111"/>
        <v>326</v>
      </c>
      <c r="M829">
        <f t="shared" si="111"/>
        <v>341</v>
      </c>
      <c r="N829">
        <f t="shared" si="106"/>
        <v>353</v>
      </c>
      <c r="O829">
        <f t="shared" si="106"/>
        <v>377</v>
      </c>
      <c r="P829">
        <f t="shared" si="106"/>
        <v>395</v>
      </c>
      <c r="Q829">
        <f t="shared" ref="Q829:Q892" si="114">FIND(Q$1,$A829)</f>
        <v>421</v>
      </c>
      <c r="S829" t="str">
        <f t="shared" si="112"/>
        <v>05.12.2025</v>
      </c>
      <c r="T829" t="str">
        <f t="shared" si="113"/>
        <v>09:45:00</v>
      </c>
      <c r="U829" t="str">
        <f t="shared" si="107"/>
        <v>05.12.2025 09:45:00</v>
      </c>
      <c r="V829" s="9" t="str">
        <f>MID($A829,C829+C$2+1,D829-C829-C$2-1)</f>
        <v>0</v>
      </c>
      <c r="W829" s="4">
        <f>VALUE(SUBSTITUTE(MID($A829,D829+D$2+1,E829-D829-D$2-1),",","."))</f>
        <v>0.73330018770847005</v>
      </c>
      <c r="X829" s="4">
        <f>VALUE(SUBSTITUTE(MID($A829,E829+E$2+1,F829-E829-E$2-1),",","."))</f>
        <v>0.90957602214449496</v>
      </c>
      <c r="Y829" s="4">
        <f>VALUE(SUBSTITUTE(MID($A829,F829+F$2+1,G829-F829-F$2-1),",","."))</f>
        <v>0.22925445907848299</v>
      </c>
      <c r="Z829" s="3">
        <f>VALUE(SUBSTITUTE(MID($A829,G829+G$2+1,H829-G829-G$2-1),",","."))</f>
        <v>205.53333333333299</v>
      </c>
      <c r="AA829" s="3">
        <f>VALUE(SUBSTITUTE(MID($A829,H829+H$2+1,I829-H829-H$2-1),",","."))</f>
        <v>0</v>
      </c>
      <c r="AB829" s="3">
        <f>VALUE(SUBSTITUTE(MID($A829,I829+I$2+1,J829-I829-I$2-1),",","."))</f>
        <v>78.5</v>
      </c>
      <c r="AC829" s="3">
        <f>VALUE(SUBSTITUTE(MID($A829,J829+J$2+1,K829-J829-J$2-1),",","."))</f>
        <v>3.65</v>
      </c>
      <c r="AD829" s="3">
        <f>VALUE(SUBSTITUTE(MID($A829,K829+K$2+1,L829-K829-K$2-1),",","."))</f>
        <v>13.32</v>
      </c>
      <c r="AE829" s="3">
        <f>VALUE(SUBSTITUTE(MID($A829,L829+L$2+1,M829-L829-L$2-1),",","."))</f>
        <v>0</v>
      </c>
      <c r="AF829" s="3">
        <f>VALUE(SUBSTITUTE(MID($A829,M829+M$2+1,N829-M829-M$2-1),",","."))</f>
        <v>0</v>
      </c>
      <c r="AG829" s="3">
        <f>VALUE(SUBSTITUTE(MID($A829,N829+N$2+1,O829-N829-N$2-1),",","."))</f>
        <v>4.2270181722338398</v>
      </c>
      <c r="AH829" t="str">
        <f>MID($A829,O829+O$2+1,P829-O829-O$2-1)</f>
        <v/>
      </c>
      <c r="AI829" s="8" t="str">
        <f>MID($A829,P829+P$2+1,Q829-P829-P$2-1)</f>
        <v>False</v>
      </c>
      <c r="AK829" t="b">
        <f t="shared" si="108"/>
        <v>0</v>
      </c>
    </row>
    <row r="830" spans="1:37" x14ac:dyDescent="0.35">
      <c r="A830" t="s">
        <v>5377</v>
      </c>
      <c r="B830">
        <f t="shared" si="110"/>
        <v>10</v>
      </c>
      <c r="C830">
        <f t="shared" si="110"/>
        <v>43</v>
      </c>
      <c r="D830">
        <f t="shared" si="110"/>
        <v>54</v>
      </c>
      <c r="E830">
        <f t="shared" si="110"/>
        <v>97</v>
      </c>
      <c r="F830">
        <f t="shared" si="110"/>
        <v>141</v>
      </c>
      <c r="G830">
        <f t="shared" si="110"/>
        <v>180</v>
      </c>
      <c r="H830">
        <f t="shared" si="111"/>
        <v>229</v>
      </c>
      <c r="I830">
        <f t="shared" si="111"/>
        <v>251</v>
      </c>
      <c r="J830">
        <f t="shared" si="111"/>
        <v>287</v>
      </c>
      <c r="K830">
        <f t="shared" si="111"/>
        <v>307</v>
      </c>
      <c r="L830">
        <f t="shared" si="111"/>
        <v>326</v>
      </c>
      <c r="M830">
        <f t="shared" si="111"/>
        <v>341</v>
      </c>
      <c r="N830">
        <f t="shared" si="111"/>
        <v>353</v>
      </c>
      <c r="O830">
        <f t="shared" si="111"/>
        <v>378</v>
      </c>
      <c r="P830">
        <f t="shared" si="111"/>
        <v>396</v>
      </c>
      <c r="Q830">
        <f t="shared" si="114"/>
        <v>422</v>
      </c>
      <c r="S830" t="str">
        <f t="shared" si="112"/>
        <v>05.12.2025</v>
      </c>
      <c r="T830" t="str">
        <f t="shared" si="113"/>
        <v>10:00:00</v>
      </c>
      <c r="U830" t="str">
        <f t="shared" si="107"/>
        <v>05.12.2025 10:00:00</v>
      </c>
      <c r="V830" s="9" t="str">
        <f>MID($A830,C830+C$2+1,D830-C830-C$2-1)</f>
        <v>0</v>
      </c>
      <c r="W830" s="4">
        <f>VALUE(SUBSTITUTE(MID($A830,D830+D$2+1,E830-D830-D$2-1),",","."))</f>
        <v>0.754632244579867</v>
      </c>
      <c r="X830" s="4">
        <f>VALUE(SUBSTITUTE(MID($A830,E830+E$2+1,F830-E830-E$2-1),",","."))</f>
        <v>0.90957602214449496</v>
      </c>
      <c r="Y830" s="4">
        <f>VALUE(SUBSTITUTE(MID($A830,F830+F$2+1,G830-F830-F$2-1),",","."))</f>
        <v>0.25196307494222703</v>
      </c>
      <c r="Z830" s="3">
        <f>VALUE(SUBSTITUTE(MID($A830,G830+G$2+1,H830-G830-G$2-1),",","."))</f>
        <v>205.53333333333299</v>
      </c>
      <c r="AA830" s="3">
        <f>VALUE(SUBSTITUTE(MID($A830,H830+H$2+1,I830-H830-H$2-1),",","."))</f>
        <v>0</v>
      </c>
      <c r="AB830" s="3">
        <f>VALUE(SUBSTITUTE(MID($A830,I830+I$2+1,J830-I830-I$2-1),",","."))</f>
        <v>78.5</v>
      </c>
      <c r="AC830" s="3">
        <f>VALUE(SUBSTITUTE(MID($A830,J830+J$2+1,K830-J830-J$2-1),",","."))</f>
        <v>3.65</v>
      </c>
      <c r="AD830" s="3">
        <f>VALUE(SUBSTITUTE(MID($A830,K830+K$2+1,L830-K830-K$2-1),",","."))</f>
        <v>13.32</v>
      </c>
      <c r="AE830" s="3">
        <f>VALUE(SUBSTITUTE(MID($A830,L830+L$2+1,M830-L830-L$2-1),",","."))</f>
        <v>0</v>
      </c>
      <c r="AF830" s="3">
        <f>VALUE(SUBSTITUTE(MID($A830,M830+M$2+1,N830-M830-M$2-1),",","."))</f>
        <v>0</v>
      </c>
      <c r="AG830" s="3">
        <f>VALUE(SUBSTITUTE(MID($A830,N830+N$2+1,O830-N830-N$2-1),",","."))</f>
        <v>4.2270466921219203</v>
      </c>
      <c r="AH830" t="str">
        <f>MID($A830,O830+O$2+1,P830-O830-O$2-1)</f>
        <v/>
      </c>
      <c r="AI830" s="8" t="str">
        <f>MID($A830,P830+P$2+1,Q830-P830-P$2-1)</f>
        <v>False</v>
      </c>
      <c r="AK830" t="b">
        <f t="shared" si="108"/>
        <v>0</v>
      </c>
    </row>
    <row r="831" spans="1:37" x14ac:dyDescent="0.35">
      <c r="A831" t="s">
        <v>5378</v>
      </c>
      <c r="B831">
        <f t="shared" si="110"/>
        <v>10</v>
      </c>
      <c r="C831">
        <f t="shared" si="110"/>
        <v>43</v>
      </c>
      <c r="D831">
        <f t="shared" si="110"/>
        <v>54</v>
      </c>
      <c r="E831">
        <f t="shared" si="110"/>
        <v>97</v>
      </c>
      <c r="F831">
        <f t="shared" si="110"/>
        <v>141</v>
      </c>
      <c r="G831">
        <f t="shared" si="110"/>
        <v>180</v>
      </c>
      <c r="H831">
        <f t="shared" si="111"/>
        <v>229</v>
      </c>
      <c r="I831">
        <f t="shared" si="111"/>
        <v>251</v>
      </c>
      <c r="J831">
        <f t="shared" si="111"/>
        <v>287</v>
      </c>
      <c r="K831">
        <f t="shared" si="111"/>
        <v>307</v>
      </c>
      <c r="L831">
        <f t="shared" si="111"/>
        <v>326</v>
      </c>
      <c r="M831">
        <f t="shared" si="111"/>
        <v>341</v>
      </c>
      <c r="N831">
        <f t="shared" si="111"/>
        <v>353</v>
      </c>
      <c r="O831">
        <f t="shared" si="111"/>
        <v>378</v>
      </c>
      <c r="P831">
        <f t="shared" si="111"/>
        <v>396</v>
      </c>
      <c r="Q831">
        <f t="shared" si="114"/>
        <v>422</v>
      </c>
      <c r="S831" t="str">
        <f t="shared" si="112"/>
        <v>05.12.2025</v>
      </c>
      <c r="T831" t="str">
        <f t="shared" si="113"/>
        <v>10:15:00</v>
      </c>
      <c r="U831" t="str">
        <f t="shared" si="107"/>
        <v>05.12.2025 10:15:00</v>
      </c>
      <c r="V831" s="9" t="str">
        <f>MID($A831,C831+C$2+1,D831-C831-C$2-1)</f>
        <v>0</v>
      </c>
      <c r="W831" s="4">
        <f>VALUE(SUBSTITUTE(MID($A831,D831+D$2+1,E831-D831-D$2-1),",","."))</f>
        <v>0.772366528335513</v>
      </c>
      <c r="X831" s="4">
        <f>VALUE(SUBSTITUTE(MID($A831,E831+E$2+1,F831-E831-E$2-1),",","."))</f>
        <v>0.90957602214449496</v>
      </c>
      <c r="Y831" s="4">
        <f>VALUE(SUBSTITUTE(MID($A831,F831+F$2+1,G831-F831-F$2-1),",","."))</f>
        <v>0.27242292839591298</v>
      </c>
      <c r="Z831" s="3">
        <f>VALUE(SUBSTITUTE(MID($A831,G831+G$2+1,H831-G831-G$2-1),",","."))</f>
        <v>205.53333333333299</v>
      </c>
      <c r="AA831" s="3">
        <f>VALUE(SUBSTITUTE(MID($A831,H831+H$2+1,I831-H831-H$2-1),",","."))</f>
        <v>0</v>
      </c>
      <c r="AB831" s="3">
        <f>VALUE(SUBSTITUTE(MID($A831,I831+I$2+1,J831-I831-I$2-1),",","."))</f>
        <v>78.5</v>
      </c>
      <c r="AC831" s="3">
        <f>VALUE(SUBSTITUTE(MID($A831,J831+J$2+1,K831-J831-J$2-1),",","."))</f>
        <v>3.65</v>
      </c>
      <c r="AD831" s="3">
        <f>VALUE(SUBSTITUTE(MID($A831,K831+K$2+1,L831-K831-K$2-1),",","."))</f>
        <v>13.32</v>
      </c>
      <c r="AE831" s="3">
        <f>VALUE(SUBSTITUTE(MID($A831,L831+L$2+1,M831-L831-L$2-1),",","."))</f>
        <v>0</v>
      </c>
      <c r="AF831" s="3">
        <f>VALUE(SUBSTITUTE(MID($A831,M831+M$2+1,N831-M831-M$2-1),",","."))</f>
        <v>0</v>
      </c>
      <c r="AG831" s="3">
        <f>VALUE(SUBSTITUTE(MID($A831,N831+N$2+1,O831-N831-N$2-1),",","."))</f>
        <v>4.2270752120099999</v>
      </c>
      <c r="AH831" t="str">
        <f>MID($A831,O831+O$2+1,P831-O831-O$2-1)</f>
        <v/>
      </c>
      <c r="AI831" s="8" t="str">
        <f>MID($A831,P831+P$2+1,Q831-P831-P$2-1)</f>
        <v>False</v>
      </c>
      <c r="AK831" t="b">
        <f t="shared" si="108"/>
        <v>0</v>
      </c>
    </row>
    <row r="832" spans="1:37" x14ac:dyDescent="0.35">
      <c r="A832" t="s">
        <v>5379</v>
      </c>
      <c r="B832">
        <f t="shared" si="110"/>
        <v>10</v>
      </c>
      <c r="C832">
        <f t="shared" si="110"/>
        <v>43</v>
      </c>
      <c r="D832">
        <f t="shared" si="110"/>
        <v>54</v>
      </c>
      <c r="E832">
        <f t="shared" si="110"/>
        <v>97</v>
      </c>
      <c r="F832">
        <f t="shared" si="110"/>
        <v>141</v>
      </c>
      <c r="G832">
        <f t="shared" si="110"/>
        <v>179</v>
      </c>
      <c r="H832">
        <f t="shared" si="111"/>
        <v>228</v>
      </c>
      <c r="I832">
        <f t="shared" si="111"/>
        <v>250</v>
      </c>
      <c r="J832">
        <f t="shared" si="111"/>
        <v>285</v>
      </c>
      <c r="K832">
        <f t="shared" si="111"/>
        <v>305</v>
      </c>
      <c r="L832">
        <f t="shared" si="111"/>
        <v>324</v>
      </c>
      <c r="M832">
        <f t="shared" si="111"/>
        <v>339</v>
      </c>
      <c r="N832">
        <f t="shared" si="111"/>
        <v>351</v>
      </c>
      <c r="O832">
        <f t="shared" si="111"/>
        <v>376</v>
      </c>
      <c r="P832">
        <f t="shared" si="111"/>
        <v>394</v>
      </c>
      <c r="Q832">
        <f t="shared" si="114"/>
        <v>420</v>
      </c>
      <c r="S832" t="str">
        <f t="shared" si="112"/>
        <v>05.12.2025</v>
      </c>
      <c r="T832" t="str">
        <f t="shared" si="113"/>
        <v>10:30:00</v>
      </c>
      <c r="U832" t="str">
        <f t="shared" si="107"/>
        <v>05.12.2025 10:30:00</v>
      </c>
      <c r="V832" s="9" t="str">
        <f>MID($A832,C832+C$2+1,D832-C832-C$2-1)</f>
        <v>0</v>
      </c>
      <c r="W832" s="4">
        <f>VALUE(SUBSTITUTE(MID($A832,D832+D$2+1,E832-D832-D$2-1),",","."))</f>
        <v>0.78642164046185203</v>
      </c>
      <c r="X832" s="4">
        <f>VALUE(SUBSTITUTE(MID($A832,E832+E$2+1,F832-E832-E$2-1),",","."))</f>
        <v>0.90957602214449496</v>
      </c>
      <c r="Y832" s="4">
        <f>VALUE(SUBSTITUTE(MID($A832,F832+F$2+1,G832-F832-F$2-1),",","."))</f>
        <v>0.29053975154060002</v>
      </c>
      <c r="Z832" s="3">
        <f>VALUE(SUBSTITUTE(MID($A832,G832+G$2+1,H832-G832-G$2-1),",","."))</f>
        <v>206.016666666666</v>
      </c>
      <c r="AA832" s="3">
        <f>VALUE(SUBSTITUTE(MID($A832,H832+H$2+1,I832-H832-H$2-1),",","."))</f>
        <v>0</v>
      </c>
      <c r="AB832" s="3">
        <f>VALUE(SUBSTITUTE(MID($A832,I832+I$2+1,J832-I832-I$2-1),",","."))</f>
        <v>118</v>
      </c>
      <c r="AC832" s="3">
        <f>VALUE(SUBSTITUTE(MID($A832,J832+J$2+1,K832-J832-J$2-1),",","."))</f>
        <v>4.3499999999999996</v>
      </c>
      <c r="AD832" s="3">
        <f>VALUE(SUBSTITUTE(MID($A832,K832+K$2+1,L832-K832-K$2-1),",","."))</f>
        <v>13.68</v>
      </c>
      <c r="AE832" s="3">
        <f>VALUE(SUBSTITUTE(MID($A832,L832+L$2+1,M832-L832-L$2-1),",","."))</f>
        <v>0</v>
      </c>
      <c r="AF832" s="3">
        <f>VALUE(SUBSTITUTE(MID($A832,M832+M$2+1,N832-M832-M$2-1),",","."))</f>
        <v>0</v>
      </c>
      <c r="AG832" s="3">
        <f>VALUE(SUBSTITUTE(MID($A832,N832+N$2+1,O832-N832-N$2-1),",","."))</f>
        <v>4.2271037318980804</v>
      </c>
      <c r="AH832" t="str">
        <f>MID($A832,O832+O$2+1,P832-O832-O$2-1)</f>
        <v/>
      </c>
      <c r="AI832" s="8" t="str">
        <f>MID($A832,P832+P$2+1,Q832-P832-P$2-1)</f>
        <v>False</v>
      </c>
      <c r="AK832" t="b">
        <f t="shared" si="108"/>
        <v>0</v>
      </c>
    </row>
    <row r="833" spans="1:37" x14ac:dyDescent="0.35">
      <c r="A833" t="s">
        <v>5380</v>
      </c>
      <c r="B833">
        <f t="shared" si="110"/>
        <v>10</v>
      </c>
      <c r="C833">
        <f t="shared" si="110"/>
        <v>43</v>
      </c>
      <c r="D833">
        <f t="shared" si="110"/>
        <v>54</v>
      </c>
      <c r="E833">
        <f t="shared" si="110"/>
        <v>97</v>
      </c>
      <c r="F833">
        <f t="shared" si="110"/>
        <v>141</v>
      </c>
      <c r="G833">
        <f t="shared" si="110"/>
        <v>179</v>
      </c>
      <c r="H833">
        <f t="shared" si="111"/>
        <v>228</v>
      </c>
      <c r="I833">
        <f t="shared" si="111"/>
        <v>250</v>
      </c>
      <c r="J833">
        <f t="shared" si="111"/>
        <v>285</v>
      </c>
      <c r="K833">
        <f t="shared" si="111"/>
        <v>305</v>
      </c>
      <c r="L833">
        <f t="shared" si="111"/>
        <v>324</v>
      </c>
      <c r="M833">
        <f t="shared" si="111"/>
        <v>339</v>
      </c>
      <c r="N833">
        <f t="shared" si="111"/>
        <v>351</v>
      </c>
      <c r="O833">
        <f t="shared" si="111"/>
        <v>376</v>
      </c>
      <c r="P833">
        <f t="shared" si="111"/>
        <v>394</v>
      </c>
      <c r="Q833">
        <f t="shared" si="114"/>
        <v>420</v>
      </c>
      <c r="S833" t="str">
        <f t="shared" si="112"/>
        <v>05.12.2025</v>
      </c>
      <c r="T833" t="str">
        <f t="shared" si="113"/>
        <v>10:45:00</v>
      </c>
      <c r="U833" t="str">
        <f t="shared" si="107"/>
        <v>05.12.2025 10:45:00</v>
      </c>
      <c r="V833" s="9" t="str">
        <f>MID($A833,C833+C$2+1,D833-C833-C$2-1)</f>
        <v>0</v>
      </c>
      <c r="W833" s="4">
        <f>VALUE(SUBSTITUTE(MID($A833,D833+D$2+1,E833-D833-D$2-1),",","."))</f>
        <v>0.79673378013707397</v>
      </c>
      <c r="X833" s="4">
        <f>VALUE(SUBSTITUTE(MID($A833,E833+E$2+1,F833-E833-E$2-1),",","."))</f>
        <v>0.90957602214449496</v>
      </c>
      <c r="Y833" s="4">
        <f>VALUE(SUBSTITUTE(MID($A833,F833+F$2+1,G833-F833-F$2-1),",","."))</f>
        <v>0.30623153235779199</v>
      </c>
      <c r="Z833" s="3">
        <f>VALUE(SUBSTITUTE(MID($A833,G833+G$2+1,H833-G833-G$2-1),",","."))</f>
        <v>206.016666666666</v>
      </c>
      <c r="AA833" s="3">
        <f>VALUE(SUBSTITUTE(MID($A833,H833+H$2+1,I833-H833-H$2-1),",","."))</f>
        <v>0</v>
      </c>
      <c r="AB833" s="3">
        <f>VALUE(SUBSTITUTE(MID($A833,I833+I$2+1,J833-I833-I$2-1),",","."))</f>
        <v>118</v>
      </c>
      <c r="AC833" s="3">
        <f>VALUE(SUBSTITUTE(MID($A833,J833+J$2+1,K833-J833-J$2-1),",","."))</f>
        <v>4.3499999999999996</v>
      </c>
      <c r="AD833" s="3">
        <f>VALUE(SUBSTITUTE(MID($A833,K833+K$2+1,L833-K833-K$2-1),",","."))</f>
        <v>13.68</v>
      </c>
      <c r="AE833" s="3">
        <f>VALUE(SUBSTITUTE(MID($A833,L833+L$2+1,M833-L833-L$2-1),",","."))</f>
        <v>0</v>
      </c>
      <c r="AF833" s="3">
        <f>VALUE(SUBSTITUTE(MID($A833,M833+M$2+1,N833-M833-M$2-1),",","."))</f>
        <v>0</v>
      </c>
      <c r="AG833" s="3">
        <f>VALUE(SUBSTITUTE(MID($A833,N833+N$2+1,O833-N833-N$2-1),",","."))</f>
        <v>4.22713225178616</v>
      </c>
      <c r="AH833" t="str">
        <f>MID($A833,O833+O$2+1,P833-O833-O$2-1)</f>
        <v/>
      </c>
      <c r="AI833" s="8" t="str">
        <f>MID($A833,P833+P$2+1,Q833-P833-P$2-1)</f>
        <v>False</v>
      </c>
      <c r="AK833" t="b">
        <f t="shared" si="108"/>
        <v>0</v>
      </c>
    </row>
    <row r="834" spans="1:37" x14ac:dyDescent="0.35">
      <c r="A834" t="s">
        <v>5381</v>
      </c>
      <c r="B834">
        <f t="shared" si="110"/>
        <v>10</v>
      </c>
      <c r="C834">
        <f t="shared" si="110"/>
        <v>43</v>
      </c>
      <c r="D834">
        <f t="shared" si="110"/>
        <v>54</v>
      </c>
      <c r="E834">
        <f t="shared" si="110"/>
        <v>97</v>
      </c>
      <c r="F834">
        <f t="shared" si="110"/>
        <v>141</v>
      </c>
      <c r="G834">
        <f t="shared" si="110"/>
        <v>180</v>
      </c>
      <c r="H834">
        <f t="shared" si="111"/>
        <v>229</v>
      </c>
      <c r="I834">
        <f t="shared" si="111"/>
        <v>251</v>
      </c>
      <c r="J834">
        <f t="shared" si="111"/>
        <v>286</v>
      </c>
      <c r="K834">
        <f t="shared" si="111"/>
        <v>306</v>
      </c>
      <c r="L834">
        <f t="shared" si="111"/>
        <v>325</v>
      </c>
      <c r="M834">
        <f t="shared" si="111"/>
        <v>340</v>
      </c>
      <c r="N834">
        <f t="shared" si="111"/>
        <v>352</v>
      </c>
      <c r="O834">
        <f t="shared" si="111"/>
        <v>377</v>
      </c>
      <c r="P834">
        <f t="shared" si="111"/>
        <v>395</v>
      </c>
      <c r="Q834">
        <f t="shared" si="114"/>
        <v>421</v>
      </c>
      <c r="S834" t="str">
        <f t="shared" si="112"/>
        <v>05.12.2025</v>
      </c>
      <c r="T834" t="str">
        <f t="shared" si="113"/>
        <v>11:00:00</v>
      </c>
      <c r="U834" t="str">
        <f t="shared" si="107"/>
        <v>05.12.2025 11:00:00</v>
      </c>
      <c r="V834" s="9" t="str">
        <f>MID($A834,C834+C$2+1,D834-C834-C$2-1)</f>
        <v>0</v>
      </c>
      <c r="W834" s="4">
        <f>VALUE(SUBSTITUTE(MID($A834,D834+D$2+1,E834-D834-D$2-1),",","."))</f>
        <v>0.803256335906535</v>
      </c>
      <c r="X834" s="4">
        <f>VALUE(SUBSTITUTE(MID($A834,E834+E$2+1,F834-E834-E$2-1),",","."))</f>
        <v>0.90957602214449496</v>
      </c>
      <c r="Y834" s="4">
        <f>VALUE(SUBSTITUTE(MID($A834,F834+F$2+1,G834-F834-F$2-1),",","."))</f>
        <v>0.31942804723562401</v>
      </c>
      <c r="Z834" s="3">
        <f>VALUE(SUBSTITUTE(MID($A834,G834+G$2+1,H834-G834-G$2-1),",","."))</f>
        <v>206.016666666666</v>
      </c>
      <c r="AA834" s="3">
        <f>VALUE(SUBSTITUTE(MID($A834,H834+H$2+1,I834-H834-H$2-1),",","."))</f>
        <v>0</v>
      </c>
      <c r="AB834" s="3">
        <f>VALUE(SUBSTITUTE(MID($A834,I834+I$2+1,J834-I834-I$2-1),",","."))</f>
        <v>118</v>
      </c>
      <c r="AC834" s="3">
        <f>VALUE(SUBSTITUTE(MID($A834,J834+J$2+1,K834-J834-J$2-1),",","."))</f>
        <v>4.3499999999999996</v>
      </c>
      <c r="AD834" s="3">
        <f>VALUE(SUBSTITUTE(MID($A834,K834+K$2+1,L834-K834-K$2-1),",","."))</f>
        <v>13.68</v>
      </c>
      <c r="AE834" s="3">
        <f>VALUE(SUBSTITUTE(MID($A834,L834+L$2+1,M834-L834-L$2-1),",","."))</f>
        <v>0</v>
      </c>
      <c r="AF834" s="3">
        <f>VALUE(SUBSTITUTE(MID($A834,M834+M$2+1,N834-M834-M$2-1),",","."))</f>
        <v>0</v>
      </c>
      <c r="AG834" s="3">
        <f>VALUE(SUBSTITUTE(MID($A834,N834+N$2+1,O834-N834-N$2-1),",","."))</f>
        <v>4.2271607716742396</v>
      </c>
      <c r="AH834" t="str">
        <f>MID($A834,O834+O$2+1,P834-O834-O$2-1)</f>
        <v/>
      </c>
      <c r="AI834" s="8" t="str">
        <f>MID($A834,P834+P$2+1,Q834-P834-P$2-1)</f>
        <v>False</v>
      </c>
      <c r="AK834" t="b">
        <f t="shared" si="108"/>
        <v>0</v>
      </c>
    </row>
    <row r="835" spans="1:37" x14ac:dyDescent="0.35">
      <c r="A835" t="s">
        <v>5382</v>
      </c>
      <c r="B835">
        <f t="shared" si="110"/>
        <v>10</v>
      </c>
      <c r="C835">
        <f t="shared" si="110"/>
        <v>43</v>
      </c>
      <c r="D835">
        <f t="shared" si="110"/>
        <v>54</v>
      </c>
      <c r="E835">
        <f t="shared" si="110"/>
        <v>97</v>
      </c>
      <c r="F835">
        <f t="shared" si="110"/>
        <v>141</v>
      </c>
      <c r="G835">
        <f t="shared" si="110"/>
        <v>180</v>
      </c>
      <c r="H835">
        <f t="shared" si="111"/>
        <v>229</v>
      </c>
      <c r="I835">
        <f t="shared" si="111"/>
        <v>251</v>
      </c>
      <c r="J835">
        <f t="shared" si="111"/>
        <v>286</v>
      </c>
      <c r="K835">
        <f t="shared" si="111"/>
        <v>306</v>
      </c>
      <c r="L835">
        <f t="shared" si="111"/>
        <v>325</v>
      </c>
      <c r="M835">
        <f t="shared" si="111"/>
        <v>340</v>
      </c>
      <c r="N835">
        <f t="shared" si="111"/>
        <v>352</v>
      </c>
      <c r="O835">
        <f t="shared" si="111"/>
        <v>377</v>
      </c>
      <c r="P835">
        <f t="shared" si="111"/>
        <v>395</v>
      </c>
      <c r="Q835">
        <f t="shared" si="114"/>
        <v>421</v>
      </c>
      <c r="S835" t="str">
        <f t="shared" si="112"/>
        <v>05.12.2025</v>
      </c>
      <c r="T835" t="str">
        <f t="shared" si="113"/>
        <v>11:15:00</v>
      </c>
      <c r="U835" t="str">
        <f t="shared" si="107"/>
        <v>05.12.2025 11:15:00</v>
      </c>
      <c r="V835" s="9" t="str">
        <f>MID($A835,C835+C$2+1,D835-C835-C$2-1)</f>
        <v>0</v>
      </c>
      <c r="W835" s="4">
        <f>VALUE(SUBSTITUTE(MID($A835,D835+D$2+1,E835-D835-D$2-1),",","."))</f>
        <v>0.805959691643786</v>
      </c>
      <c r="X835" s="4">
        <f>VALUE(SUBSTITUTE(MID($A835,E835+E$2+1,F835-E835-E$2-1),",","."))</f>
        <v>0.90957602214449496</v>
      </c>
      <c r="Y835" s="4">
        <f>VALUE(SUBSTITUTE(MID($A835,F835+F$2+1,G835-F835-F$2-1),",","."))</f>
        <v>0.33007068854983901</v>
      </c>
      <c r="Z835" s="3">
        <f>VALUE(SUBSTITUTE(MID($A835,G835+G$2+1,H835-G835-G$2-1),",","."))</f>
        <v>206.016666666666</v>
      </c>
      <c r="AA835" s="3">
        <f>VALUE(SUBSTITUTE(MID($A835,H835+H$2+1,I835-H835-H$2-1),",","."))</f>
        <v>0</v>
      </c>
      <c r="AB835" s="3">
        <f>VALUE(SUBSTITUTE(MID($A835,I835+I$2+1,J835-I835-I$2-1),",","."))</f>
        <v>118</v>
      </c>
      <c r="AC835" s="3">
        <f>VALUE(SUBSTITUTE(MID($A835,J835+J$2+1,K835-J835-J$2-1),",","."))</f>
        <v>4.3499999999999996</v>
      </c>
      <c r="AD835" s="3">
        <f>VALUE(SUBSTITUTE(MID($A835,K835+K$2+1,L835-K835-K$2-1),",","."))</f>
        <v>13.68</v>
      </c>
      <c r="AE835" s="3">
        <f>VALUE(SUBSTITUTE(MID($A835,L835+L$2+1,M835-L835-L$2-1),",","."))</f>
        <v>0</v>
      </c>
      <c r="AF835" s="3">
        <f>VALUE(SUBSTITUTE(MID($A835,M835+M$2+1,N835-M835-M$2-1),",","."))</f>
        <v>0</v>
      </c>
      <c r="AG835" s="3">
        <f>VALUE(SUBSTITUTE(MID($A835,N835+N$2+1,O835-N835-N$2-1),",","."))</f>
        <v>4.2271892915623202</v>
      </c>
      <c r="AH835" t="str">
        <f>MID($A835,O835+O$2+1,P835-O835-O$2-1)</f>
        <v/>
      </c>
      <c r="AI835" s="8" t="str">
        <f>MID($A835,P835+P$2+1,Q835-P835-P$2-1)</f>
        <v>False</v>
      </c>
      <c r="AK835" t="b">
        <f t="shared" si="108"/>
        <v>0</v>
      </c>
    </row>
    <row r="836" spans="1:37" x14ac:dyDescent="0.35">
      <c r="A836" t="s">
        <v>5383</v>
      </c>
      <c r="B836">
        <f t="shared" si="110"/>
        <v>10</v>
      </c>
      <c r="C836">
        <f t="shared" si="110"/>
        <v>43</v>
      </c>
      <c r="D836">
        <f t="shared" si="110"/>
        <v>54</v>
      </c>
      <c r="E836">
        <f t="shared" si="110"/>
        <v>97</v>
      </c>
      <c r="F836">
        <f t="shared" si="110"/>
        <v>141</v>
      </c>
      <c r="G836">
        <f t="shared" si="110"/>
        <v>179</v>
      </c>
      <c r="H836">
        <f t="shared" si="111"/>
        <v>228</v>
      </c>
      <c r="I836">
        <f t="shared" si="111"/>
        <v>250</v>
      </c>
      <c r="J836">
        <f t="shared" si="111"/>
        <v>287</v>
      </c>
      <c r="K836">
        <f t="shared" si="111"/>
        <v>304</v>
      </c>
      <c r="L836">
        <f t="shared" si="111"/>
        <v>322</v>
      </c>
      <c r="M836">
        <f t="shared" si="111"/>
        <v>337</v>
      </c>
      <c r="N836">
        <f t="shared" si="111"/>
        <v>349</v>
      </c>
      <c r="O836">
        <f t="shared" si="111"/>
        <v>373</v>
      </c>
      <c r="P836">
        <f t="shared" si="111"/>
        <v>391</v>
      </c>
      <c r="Q836">
        <f t="shared" si="114"/>
        <v>417</v>
      </c>
      <c r="S836" t="str">
        <f t="shared" si="112"/>
        <v>05.12.2025</v>
      </c>
      <c r="T836" t="str">
        <f t="shared" si="113"/>
        <v>11:30:00</v>
      </c>
      <c r="U836" t="str">
        <f t="shared" ref="U836:U899" si="115">MID($A836,B836+B$2+1,C836-B836-B$2-1)</f>
        <v>05.12.2025 11:30:00</v>
      </c>
      <c r="V836" s="9" t="str">
        <f>MID($A836,C836+C$2+1,D836-C836-C$2-1)</f>
        <v>0</v>
      </c>
      <c r="W836" s="4">
        <f>VALUE(SUBSTITUTE(MID($A836,D836+D$2+1,E836-D836-D$2-1),",","."))</f>
        <v>0.80483111762068205</v>
      </c>
      <c r="X836" s="4">
        <f>VALUE(SUBSTITUTE(MID($A836,E836+E$2+1,F836-E836-E$2-1),",","."))</f>
        <v>0.90957602214449496</v>
      </c>
      <c r="Y836" s="4">
        <f>VALUE(SUBSTITUTE(MID($A836,F836+F$2+1,G836-F836-F$2-1),",","."))</f>
        <v>0.338112432129276</v>
      </c>
      <c r="Z836" s="3">
        <f>VALUE(SUBSTITUTE(MID($A836,G836+G$2+1,H836-G836-G$2-1),",","."))</f>
        <v>204.31666666666601</v>
      </c>
      <c r="AA836" s="3">
        <f>VALUE(SUBSTITUTE(MID($A836,H836+H$2+1,I836-H836-H$2-1),",","."))</f>
        <v>0</v>
      </c>
      <c r="AB836" s="3">
        <f>VALUE(SUBSTITUTE(MID($A836,I836+I$2+1,J836-I836-I$2-1),",","."))</f>
        <v>140.5</v>
      </c>
      <c r="AC836" s="3">
        <f>VALUE(SUBSTITUTE(MID($A836,J836+J$2+1,K836-J836-J$2-1),",","."))</f>
        <v>5</v>
      </c>
      <c r="AD836" s="3">
        <f>VALUE(SUBSTITUTE(MID($A836,K836+K$2+1,L836-K836-K$2-1),",","."))</f>
        <v>14.4</v>
      </c>
      <c r="AE836" s="3">
        <f>VALUE(SUBSTITUTE(MID($A836,L836+L$2+1,M836-L836-L$2-1),",","."))</f>
        <v>0</v>
      </c>
      <c r="AF836" s="3">
        <f>VALUE(SUBSTITUTE(MID($A836,M836+M$2+1,N836-M836-M$2-1),",","."))</f>
        <v>0</v>
      </c>
      <c r="AG836" s="3">
        <f>VALUE(SUBSTITUTE(MID($A836,N836+N$2+1,O836-N836-N$2-1),",","."))</f>
        <v>4.2272178114504104</v>
      </c>
      <c r="AH836" t="str">
        <f>MID($A836,O836+O$2+1,P836-O836-O$2-1)</f>
        <v/>
      </c>
      <c r="AI836" s="8" t="str">
        <f>MID($A836,P836+P$2+1,Q836-P836-P$2-1)</f>
        <v>False</v>
      </c>
      <c r="AK836" t="b">
        <f t="shared" ref="AK836:AK899" si="116">AB836&gt;Z836</f>
        <v>0</v>
      </c>
    </row>
    <row r="837" spans="1:37" x14ac:dyDescent="0.35">
      <c r="A837" t="s">
        <v>5384</v>
      </c>
      <c r="B837">
        <f t="shared" si="110"/>
        <v>10</v>
      </c>
      <c r="C837">
        <f t="shared" si="110"/>
        <v>43</v>
      </c>
      <c r="D837">
        <f t="shared" si="110"/>
        <v>54</v>
      </c>
      <c r="E837">
        <f t="shared" si="110"/>
        <v>97</v>
      </c>
      <c r="F837">
        <f t="shared" si="110"/>
        <v>141</v>
      </c>
      <c r="G837">
        <f t="shared" si="110"/>
        <v>178</v>
      </c>
      <c r="H837">
        <f t="shared" si="111"/>
        <v>227</v>
      </c>
      <c r="I837">
        <f t="shared" si="111"/>
        <v>249</v>
      </c>
      <c r="J837">
        <f t="shared" si="111"/>
        <v>286</v>
      </c>
      <c r="K837">
        <f t="shared" si="111"/>
        <v>303</v>
      </c>
      <c r="L837">
        <f t="shared" si="111"/>
        <v>321</v>
      </c>
      <c r="M837">
        <f t="shared" si="111"/>
        <v>336</v>
      </c>
      <c r="N837">
        <f t="shared" si="111"/>
        <v>348</v>
      </c>
      <c r="O837">
        <f t="shared" si="111"/>
        <v>373</v>
      </c>
      <c r="P837">
        <f t="shared" si="111"/>
        <v>391</v>
      </c>
      <c r="Q837">
        <f t="shared" si="114"/>
        <v>417</v>
      </c>
      <c r="S837" t="str">
        <f t="shared" si="112"/>
        <v>05.12.2025</v>
      </c>
      <c r="T837" t="str">
        <f t="shared" si="113"/>
        <v>11:45:00</v>
      </c>
      <c r="U837" t="str">
        <f t="shared" si="115"/>
        <v>05.12.2025 11:45:00</v>
      </c>
      <c r="V837" s="9" t="str">
        <f>MID($A837,C837+C$2+1,D837-C837-C$2-1)</f>
        <v>0</v>
      </c>
      <c r="W837" s="4">
        <f>VALUE(SUBSTITUTE(MID($A837,D837+D$2+1,E837-D837-D$2-1),",","."))</f>
        <v>0.79987468079380797</v>
      </c>
      <c r="X837" s="4">
        <f>VALUE(SUBSTITUTE(MID($A837,E837+E$2+1,F837-E837-E$2-1),",","."))</f>
        <v>0.90957602214449496</v>
      </c>
      <c r="Y837" s="4">
        <f>VALUE(SUBSTITUTE(MID($A837,F837+F$2+1,G837-F837-F$2-1),",","."))</f>
        <v>0.34351786519760802</v>
      </c>
      <c r="Z837" s="3">
        <f>VALUE(SUBSTITUTE(MID($A837,G837+G$2+1,H837-G837-G$2-1),",","."))</f>
        <v>204.31666666666601</v>
      </c>
      <c r="AA837" s="3">
        <f>VALUE(SUBSTITUTE(MID($A837,H837+H$2+1,I837-H837-H$2-1),",","."))</f>
        <v>0</v>
      </c>
      <c r="AB837" s="3">
        <f>VALUE(SUBSTITUTE(MID($A837,I837+I$2+1,J837-I837-I$2-1),",","."))</f>
        <v>140.5</v>
      </c>
      <c r="AC837" s="3">
        <f>VALUE(SUBSTITUTE(MID($A837,J837+J$2+1,K837-J837-J$2-1),",","."))</f>
        <v>5</v>
      </c>
      <c r="AD837" s="3">
        <f>VALUE(SUBSTITUTE(MID($A837,K837+K$2+1,L837-K837-K$2-1),",","."))</f>
        <v>14.4</v>
      </c>
      <c r="AE837" s="3">
        <f>VALUE(SUBSTITUTE(MID($A837,L837+L$2+1,M837-L837-L$2-1),",","."))</f>
        <v>0</v>
      </c>
      <c r="AF837" s="3">
        <f>VALUE(SUBSTITUTE(MID($A837,M837+M$2+1,N837-M837-M$2-1),",","."))</f>
        <v>0</v>
      </c>
      <c r="AG837" s="3">
        <f>VALUE(SUBSTITUTE(MID($A837,N837+N$2+1,O837-N837-N$2-1),",","."))</f>
        <v>4.22724633133849</v>
      </c>
      <c r="AH837" t="str">
        <f>MID($A837,O837+O$2+1,P837-O837-O$2-1)</f>
        <v/>
      </c>
      <c r="AI837" s="8" t="str">
        <f>MID($A837,P837+P$2+1,Q837-P837-P$2-1)</f>
        <v>False</v>
      </c>
      <c r="AK837" t="b">
        <f t="shared" si="116"/>
        <v>0</v>
      </c>
    </row>
    <row r="838" spans="1:37" x14ac:dyDescent="0.35">
      <c r="A838" t="s">
        <v>5385</v>
      </c>
      <c r="B838">
        <f t="shared" si="110"/>
        <v>10</v>
      </c>
      <c r="C838">
        <f t="shared" si="110"/>
        <v>43</v>
      </c>
      <c r="D838">
        <f t="shared" si="110"/>
        <v>54</v>
      </c>
      <c r="E838">
        <f t="shared" si="110"/>
        <v>97</v>
      </c>
      <c r="F838">
        <f t="shared" si="110"/>
        <v>141</v>
      </c>
      <c r="G838">
        <f t="shared" si="110"/>
        <v>180</v>
      </c>
      <c r="H838">
        <f t="shared" si="111"/>
        <v>229</v>
      </c>
      <c r="I838">
        <f t="shared" si="111"/>
        <v>251</v>
      </c>
      <c r="J838">
        <f t="shared" si="111"/>
        <v>288</v>
      </c>
      <c r="K838">
        <f t="shared" si="111"/>
        <v>305</v>
      </c>
      <c r="L838">
        <f t="shared" si="111"/>
        <v>323</v>
      </c>
      <c r="M838">
        <f t="shared" si="111"/>
        <v>338</v>
      </c>
      <c r="N838">
        <f t="shared" si="111"/>
        <v>350</v>
      </c>
      <c r="O838">
        <f t="shared" si="111"/>
        <v>375</v>
      </c>
      <c r="P838">
        <f t="shared" si="111"/>
        <v>393</v>
      </c>
      <c r="Q838">
        <f t="shared" si="114"/>
        <v>419</v>
      </c>
      <c r="S838" t="str">
        <f t="shared" si="112"/>
        <v>05.12.2025</v>
      </c>
      <c r="T838" t="str">
        <f t="shared" si="113"/>
        <v>12:00:00</v>
      </c>
      <c r="U838" t="str">
        <f t="shared" si="115"/>
        <v>05.12.2025 12:00:00</v>
      </c>
      <c r="V838" s="9" t="str">
        <f>MID($A838,C838+C$2+1,D838-C838-C$2-1)</f>
        <v>0</v>
      </c>
      <c r="W838" s="4">
        <f>VALUE(SUBSTITUTE(MID($A838,D838+D$2+1,E838-D838-D$2-1),",","."))</f>
        <v>0.79111113941569</v>
      </c>
      <c r="X838" s="4">
        <f>VALUE(SUBSTITUTE(MID($A838,E838+E$2+1,F838-E838-E$2-1),",","."))</f>
        <v>0.90957602214449496</v>
      </c>
      <c r="Y838" s="4">
        <f>VALUE(SUBSTITUTE(MID($A838,F838+F$2+1,G838-F838-F$2-1),",","."))</f>
        <v>0.34626323222754601</v>
      </c>
      <c r="Z838" s="3">
        <f>VALUE(SUBSTITUTE(MID($A838,G838+G$2+1,H838-G838-G$2-1),",","."))</f>
        <v>204.31666666666601</v>
      </c>
      <c r="AA838" s="3">
        <f>VALUE(SUBSTITUTE(MID($A838,H838+H$2+1,I838-H838-H$2-1),",","."))</f>
        <v>0</v>
      </c>
      <c r="AB838" s="3">
        <f>VALUE(SUBSTITUTE(MID($A838,I838+I$2+1,J838-I838-I$2-1),",","."))</f>
        <v>140.5</v>
      </c>
      <c r="AC838" s="3">
        <f>VALUE(SUBSTITUTE(MID($A838,J838+J$2+1,K838-J838-J$2-1),",","."))</f>
        <v>5</v>
      </c>
      <c r="AD838" s="3">
        <f>VALUE(SUBSTITUTE(MID($A838,K838+K$2+1,L838-K838-K$2-1),",","."))</f>
        <v>14.4</v>
      </c>
      <c r="AE838" s="3">
        <f>VALUE(SUBSTITUTE(MID($A838,L838+L$2+1,M838-L838-L$2-1),",","."))</f>
        <v>0</v>
      </c>
      <c r="AF838" s="3">
        <f>VALUE(SUBSTITUTE(MID($A838,M838+M$2+1,N838-M838-M$2-1),",","."))</f>
        <v>0</v>
      </c>
      <c r="AG838" s="3">
        <f>VALUE(SUBSTITUTE(MID($A838,N838+N$2+1,O838-N838-N$2-1),",","."))</f>
        <v>4.2272748512265697</v>
      </c>
      <c r="AH838" t="str">
        <f>MID($A838,O838+O$2+1,P838-O838-O$2-1)</f>
        <v/>
      </c>
      <c r="AI838" s="8" t="str">
        <f>MID($A838,P838+P$2+1,Q838-P838-P$2-1)</f>
        <v>False</v>
      </c>
      <c r="AK838" t="b">
        <f t="shared" si="116"/>
        <v>0</v>
      </c>
    </row>
    <row r="839" spans="1:37" x14ac:dyDescent="0.35">
      <c r="A839" t="s">
        <v>5386</v>
      </c>
      <c r="B839">
        <f t="shared" si="110"/>
        <v>10</v>
      </c>
      <c r="C839">
        <f t="shared" si="110"/>
        <v>43</v>
      </c>
      <c r="D839">
        <f t="shared" si="110"/>
        <v>54</v>
      </c>
      <c r="E839">
        <f t="shared" ref="E839:P864" si="117">FIND(E$1,$A839)</f>
        <v>97</v>
      </c>
      <c r="F839">
        <f t="shared" si="117"/>
        <v>141</v>
      </c>
      <c r="G839">
        <f t="shared" si="117"/>
        <v>179</v>
      </c>
      <c r="H839">
        <f t="shared" si="111"/>
        <v>228</v>
      </c>
      <c r="I839">
        <f t="shared" si="111"/>
        <v>250</v>
      </c>
      <c r="J839">
        <f t="shared" si="111"/>
        <v>287</v>
      </c>
      <c r="K839">
        <f t="shared" si="111"/>
        <v>304</v>
      </c>
      <c r="L839">
        <f t="shared" si="111"/>
        <v>322</v>
      </c>
      <c r="M839">
        <f t="shared" si="111"/>
        <v>337</v>
      </c>
      <c r="N839">
        <f t="shared" si="111"/>
        <v>349</v>
      </c>
      <c r="O839">
        <f t="shared" si="111"/>
        <v>375</v>
      </c>
      <c r="P839">
        <f t="shared" si="111"/>
        <v>393</v>
      </c>
      <c r="Q839">
        <f t="shared" si="114"/>
        <v>419</v>
      </c>
      <c r="S839" t="str">
        <f t="shared" si="112"/>
        <v>05.12.2025</v>
      </c>
      <c r="T839" t="str">
        <f t="shared" si="113"/>
        <v>12:15:00</v>
      </c>
      <c r="U839" t="str">
        <f t="shared" si="115"/>
        <v>05.12.2025 12:15:00</v>
      </c>
      <c r="V839" s="9" t="str">
        <f>MID($A839,C839+C$2+1,D839-C839-C$2-1)</f>
        <v>0</v>
      </c>
      <c r="W839" s="4">
        <f>VALUE(SUBSTITUTE(MID($A839,D839+D$2+1,E839-D839-D$2-1),",","."))</f>
        <v>0.77857780339100102</v>
      </c>
      <c r="X839" s="4">
        <f>VALUE(SUBSTITUTE(MID($A839,E839+E$2+1,F839-E839-E$2-1),",","."))</f>
        <v>0.90957602214449496</v>
      </c>
      <c r="Y839" s="4">
        <f>VALUE(SUBSTITUTE(MID($A839,F839+F$2+1,G839-F839-F$2-1),",","."))</f>
        <v>0.346336475674559</v>
      </c>
      <c r="Z839" s="3">
        <f>VALUE(SUBSTITUTE(MID($A839,G839+G$2+1,H839-G839-G$2-1),",","."))</f>
        <v>204.31666666666601</v>
      </c>
      <c r="AA839" s="3">
        <f>VALUE(SUBSTITUTE(MID($A839,H839+H$2+1,I839-H839-H$2-1),",","."))</f>
        <v>0</v>
      </c>
      <c r="AB839" s="3">
        <f>VALUE(SUBSTITUTE(MID($A839,I839+I$2+1,J839-I839-I$2-1),",","."))</f>
        <v>140.5</v>
      </c>
      <c r="AC839" s="3">
        <f>VALUE(SUBSTITUTE(MID($A839,J839+J$2+1,K839-J839-J$2-1),",","."))</f>
        <v>5</v>
      </c>
      <c r="AD839" s="3">
        <f>VALUE(SUBSTITUTE(MID($A839,K839+K$2+1,L839-K839-K$2-1),",","."))</f>
        <v>14.4</v>
      </c>
      <c r="AE839" s="3">
        <f>VALUE(SUBSTITUTE(MID($A839,L839+L$2+1,M839-L839-L$2-1),",","."))</f>
        <v>0</v>
      </c>
      <c r="AF839" s="3">
        <f>VALUE(SUBSTITUTE(MID($A839,M839+M$2+1,N839-M839-M$2-1),",","."))</f>
        <v>0</v>
      </c>
      <c r="AG839" s="3">
        <f>VALUE(SUBSTITUTE(MID($A839,N839+N$2+1,O839-N839-N$2-1),",","."))</f>
        <v>4.2273033711146502</v>
      </c>
      <c r="AH839" t="str">
        <f>MID($A839,O839+O$2+1,P839-O839-O$2-1)</f>
        <v/>
      </c>
      <c r="AI839" s="8" t="str">
        <f>MID($A839,P839+P$2+1,Q839-P839-P$2-1)</f>
        <v>False</v>
      </c>
      <c r="AK839" t="b">
        <f t="shared" si="116"/>
        <v>0</v>
      </c>
    </row>
    <row r="840" spans="1:37" x14ac:dyDescent="0.35">
      <c r="A840" t="s">
        <v>5387</v>
      </c>
      <c r="B840">
        <f t="shared" ref="B840:M879" si="118">FIND(B$1,$A840)</f>
        <v>10</v>
      </c>
      <c r="C840">
        <f t="shared" si="118"/>
        <v>43</v>
      </c>
      <c r="D840">
        <f t="shared" si="118"/>
        <v>54</v>
      </c>
      <c r="E840">
        <f t="shared" si="117"/>
        <v>97</v>
      </c>
      <c r="F840">
        <f t="shared" si="117"/>
        <v>141</v>
      </c>
      <c r="G840">
        <f t="shared" si="117"/>
        <v>179</v>
      </c>
      <c r="H840">
        <f t="shared" si="111"/>
        <v>228</v>
      </c>
      <c r="I840">
        <f t="shared" si="111"/>
        <v>250</v>
      </c>
      <c r="J840">
        <f t="shared" si="111"/>
        <v>285</v>
      </c>
      <c r="K840">
        <f t="shared" si="111"/>
        <v>304</v>
      </c>
      <c r="L840">
        <f t="shared" si="111"/>
        <v>336</v>
      </c>
      <c r="M840">
        <f t="shared" si="111"/>
        <v>351</v>
      </c>
      <c r="N840">
        <f t="shared" si="111"/>
        <v>363</v>
      </c>
      <c r="O840">
        <f t="shared" si="111"/>
        <v>388</v>
      </c>
      <c r="P840">
        <f t="shared" si="111"/>
        <v>406</v>
      </c>
      <c r="Q840">
        <f t="shared" si="114"/>
        <v>432</v>
      </c>
      <c r="S840" t="str">
        <f t="shared" si="112"/>
        <v>05.12.2025</v>
      </c>
      <c r="T840" t="str">
        <f t="shared" si="113"/>
        <v>12:30:00</v>
      </c>
      <c r="U840" t="str">
        <f t="shared" si="115"/>
        <v>05.12.2025 12:30:00</v>
      </c>
      <c r="V840" s="9" t="str">
        <f>MID($A840,C840+C$2+1,D840-C840-C$2-1)</f>
        <v>0</v>
      </c>
      <c r="W840" s="4">
        <f>VALUE(SUBSTITUTE(MID($A840,D840+D$2+1,E840-D840-D$2-1),",","."))</f>
        <v>0.762328350782561</v>
      </c>
      <c r="X840" s="4">
        <f>VALUE(SUBSTITUTE(MID($A840,E840+E$2+1,F840-E840-E$2-1),",","."))</f>
        <v>0.90957602214449496</v>
      </c>
      <c r="Y840" s="4">
        <f>VALUE(SUBSTITUTE(MID($A840,F840+F$2+1,G840-F840-F$2-1),",","."))</f>
        <v>0.343737259298246</v>
      </c>
      <c r="Z840" s="3">
        <f>VALUE(SUBSTITUTE(MID($A840,G840+G$2+1,H840-G840-G$2-1),",","."))</f>
        <v>197.11666666666599</v>
      </c>
      <c r="AA840" s="3">
        <f>VALUE(SUBSTITUTE(MID($A840,H840+H$2+1,I840-H840-H$2-1),",","."))</f>
        <v>0</v>
      </c>
      <c r="AB840" s="3">
        <f>VALUE(SUBSTITUTE(MID($A840,I840+I$2+1,J840-I840-I$2-1),",","."))</f>
        <v>146</v>
      </c>
      <c r="AC840" s="3">
        <f>VALUE(SUBSTITUTE(MID($A840,J840+J$2+1,K840-J840-J$2-1),",","."))</f>
        <v>5.4</v>
      </c>
      <c r="AD840" s="3">
        <f>VALUE(SUBSTITUTE(MID($A840,K840+K$2+1,L840-K840-K$2-1),",","."))</f>
        <v>14.76</v>
      </c>
      <c r="AE840" s="3">
        <f>VALUE(SUBSTITUTE(MID($A840,L840+L$2+1,M840-L840-L$2-1),",","."))</f>
        <v>0</v>
      </c>
      <c r="AF840" s="3">
        <f>VALUE(SUBSTITUTE(MID($A840,M840+M$2+1,N840-M840-M$2-1),",","."))</f>
        <v>0</v>
      </c>
      <c r="AG840" s="3">
        <f>VALUE(SUBSTITUTE(MID($A840,N840+N$2+1,O840-N840-N$2-1),",","."))</f>
        <v>4.2273318910027298</v>
      </c>
      <c r="AH840" t="str">
        <f>MID($A840,O840+O$2+1,P840-O840-O$2-1)</f>
        <v/>
      </c>
      <c r="AI840" s="8" t="str">
        <f>MID($A840,P840+P$2+1,Q840-P840-P$2-1)</f>
        <v>False</v>
      </c>
      <c r="AK840" t="b">
        <f t="shared" si="116"/>
        <v>0</v>
      </c>
    </row>
    <row r="841" spans="1:37" x14ac:dyDescent="0.35">
      <c r="A841" t="s">
        <v>5388</v>
      </c>
      <c r="B841">
        <f t="shared" si="118"/>
        <v>10</v>
      </c>
      <c r="C841">
        <f t="shared" si="118"/>
        <v>43</v>
      </c>
      <c r="D841">
        <f t="shared" si="118"/>
        <v>54</v>
      </c>
      <c r="E841">
        <f t="shared" si="117"/>
        <v>97</v>
      </c>
      <c r="F841">
        <f t="shared" si="117"/>
        <v>141</v>
      </c>
      <c r="G841">
        <f t="shared" si="117"/>
        <v>178</v>
      </c>
      <c r="H841">
        <f t="shared" si="111"/>
        <v>227</v>
      </c>
      <c r="I841">
        <f t="shared" si="111"/>
        <v>249</v>
      </c>
      <c r="J841">
        <f t="shared" si="111"/>
        <v>284</v>
      </c>
      <c r="K841">
        <f t="shared" si="111"/>
        <v>303</v>
      </c>
      <c r="L841">
        <f t="shared" si="111"/>
        <v>335</v>
      </c>
      <c r="M841">
        <f t="shared" si="111"/>
        <v>350</v>
      </c>
      <c r="N841">
        <f t="shared" si="111"/>
        <v>362</v>
      </c>
      <c r="O841">
        <f t="shared" si="111"/>
        <v>387</v>
      </c>
      <c r="P841">
        <f t="shared" si="111"/>
        <v>405</v>
      </c>
      <c r="Q841">
        <f t="shared" si="114"/>
        <v>431</v>
      </c>
      <c r="S841" t="str">
        <f t="shared" si="112"/>
        <v>05.12.2025</v>
      </c>
      <c r="T841" t="str">
        <f t="shared" si="113"/>
        <v>12:45:00</v>
      </c>
      <c r="U841" t="str">
        <f t="shared" si="115"/>
        <v>05.12.2025 12:45:00</v>
      </c>
      <c r="V841" s="9" t="str">
        <f>MID($A841,C841+C$2+1,D841-C841-C$2-1)</f>
        <v>0</v>
      </c>
      <c r="W841" s="4">
        <f>VALUE(SUBSTITUTE(MID($A841,D841+D$2+1,E841-D841-D$2-1),",","."))</f>
        <v>0.74243259693965802</v>
      </c>
      <c r="X841" s="4">
        <f>VALUE(SUBSTITUTE(MID($A841,E841+E$2+1,F841-E841-E$2-1),",","."))</f>
        <v>0.90957602214449496</v>
      </c>
      <c r="Y841" s="4">
        <f>VALUE(SUBSTITUTE(MID($A841,F841+F$2+1,G841-F841-F$2-1),",","."))</f>
        <v>0.33847696865017601</v>
      </c>
      <c r="Z841" s="3">
        <f>VALUE(SUBSTITUTE(MID($A841,G841+G$2+1,H841-G841-G$2-1),",","."))</f>
        <v>197.11666666666599</v>
      </c>
      <c r="AA841" s="3">
        <f>VALUE(SUBSTITUTE(MID($A841,H841+H$2+1,I841-H841-H$2-1),",","."))</f>
        <v>0</v>
      </c>
      <c r="AB841" s="3">
        <f>VALUE(SUBSTITUTE(MID($A841,I841+I$2+1,J841-I841-I$2-1),",","."))</f>
        <v>146</v>
      </c>
      <c r="AC841" s="3">
        <f>VALUE(SUBSTITUTE(MID($A841,J841+J$2+1,K841-J841-J$2-1),",","."))</f>
        <v>5.4</v>
      </c>
      <c r="AD841" s="3">
        <f>VALUE(SUBSTITUTE(MID($A841,K841+K$2+1,L841-K841-K$2-1),",","."))</f>
        <v>14.76</v>
      </c>
      <c r="AE841" s="3">
        <f>VALUE(SUBSTITUTE(MID($A841,L841+L$2+1,M841-L841-L$2-1),",","."))</f>
        <v>0</v>
      </c>
      <c r="AF841" s="3">
        <f>VALUE(SUBSTITUTE(MID($A841,M841+M$2+1,N841-M841-M$2-1),",","."))</f>
        <v>0</v>
      </c>
      <c r="AG841" s="3">
        <f>VALUE(SUBSTITUTE(MID($A841,N841+N$2+1,O841-N841-N$2-1),",","."))</f>
        <v>4.2273604108908103</v>
      </c>
      <c r="AH841" t="str">
        <f>MID($A841,O841+O$2+1,P841-O841-O$2-1)</f>
        <v/>
      </c>
      <c r="AI841" s="8" t="str">
        <f>MID($A841,P841+P$2+1,Q841-P841-P$2-1)</f>
        <v>False</v>
      </c>
      <c r="AK841" t="b">
        <f t="shared" si="116"/>
        <v>0</v>
      </c>
    </row>
    <row r="842" spans="1:37" x14ac:dyDescent="0.35">
      <c r="A842" t="s">
        <v>5389</v>
      </c>
      <c r="B842">
        <f t="shared" si="118"/>
        <v>10</v>
      </c>
      <c r="C842">
        <f t="shared" si="118"/>
        <v>43</v>
      </c>
      <c r="D842">
        <f t="shared" si="118"/>
        <v>54</v>
      </c>
      <c r="E842">
        <f t="shared" si="117"/>
        <v>97</v>
      </c>
      <c r="F842">
        <f t="shared" si="117"/>
        <v>141</v>
      </c>
      <c r="G842">
        <f t="shared" si="117"/>
        <v>179</v>
      </c>
      <c r="H842">
        <f t="shared" si="111"/>
        <v>228</v>
      </c>
      <c r="I842">
        <f t="shared" si="111"/>
        <v>250</v>
      </c>
      <c r="J842">
        <f t="shared" si="111"/>
        <v>285</v>
      </c>
      <c r="K842">
        <f t="shared" si="111"/>
        <v>304</v>
      </c>
      <c r="L842">
        <f t="shared" si="111"/>
        <v>336</v>
      </c>
      <c r="M842">
        <f t="shared" si="111"/>
        <v>351</v>
      </c>
      <c r="N842">
        <f t="shared" si="111"/>
        <v>363</v>
      </c>
      <c r="O842">
        <f t="shared" si="111"/>
        <v>389</v>
      </c>
      <c r="P842">
        <f t="shared" si="111"/>
        <v>407</v>
      </c>
      <c r="Q842">
        <f t="shared" si="114"/>
        <v>433</v>
      </c>
      <c r="S842" t="str">
        <f t="shared" si="112"/>
        <v>05.12.2025</v>
      </c>
      <c r="T842" t="str">
        <f t="shared" si="113"/>
        <v>13:00:00</v>
      </c>
      <c r="U842" t="str">
        <f t="shared" si="115"/>
        <v>05.12.2025 13:00:00</v>
      </c>
      <c r="V842" s="9" t="str">
        <f>MID($A842,C842+C$2+1,D842-C842-C$2-1)</f>
        <v>0</v>
      </c>
      <c r="W842" s="4">
        <f>VALUE(SUBSTITUTE(MID($A842,D842+D$2+1,E842-D842-D$2-1),",","."))</f>
        <v>0.71897621708819304</v>
      </c>
      <c r="X842" s="4">
        <f>VALUE(SUBSTITUTE(MID($A842,E842+E$2+1,F842-E842-E$2-1),",","."))</f>
        <v>0.90957602214449496</v>
      </c>
      <c r="Y842" s="4">
        <f>VALUE(SUBSTITUTE(MID($A842,F842+F$2+1,G842-F842-F$2-1),",","."))</f>
        <v>0.330578688653694</v>
      </c>
      <c r="Z842" s="3">
        <f>VALUE(SUBSTITUTE(MID($A842,G842+G$2+1,H842-G842-G$2-1),",","."))</f>
        <v>197.11666666666599</v>
      </c>
      <c r="AA842" s="3">
        <f>VALUE(SUBSTITUTE(MID($A842,H842+H$2+1,I842-H842-H$2-1),",","."))</f>
        <v>0</v>
      </c>
      <c r="AB842" s="3">
        <f>VALUE(SUBSTITUTE(MID($A842,I842+I$2+1,J842-I842-I$2-1),",","."))</f>
        <v>146</v>
      </c>
      <c r="AC842" s="3">
        <f>VALUE(SUBSTITUTE(MID($A842,J842+J$2+1,K842-J842-J$2-1),",","."))</f>
        <v>5.4</v>
      </c>
      <c r="AD842" s="3">
        <f>VALUE(SUBSTITUTE(MID($A842,K842+K$2+1,L842-K842-K$2-1),",","."))</f>
        <v>14.76</v>
      </c>
      <c r="AE842" s="3">
        <f>VALUE(SUBSTITUTE(MID($A842,L842+L$2+1,M842-L842-L$2-1),",","."))</f>
        <v>0</v>
      </c>
      <c r="AF842" s="3">
        <f>VALUE(SUBSTITUTE(MID($A842,M842+M$2+1,N842-M842-M$2-1),",","."))</f>
        <v>0</v>
      </c>
      <c r="AG842" s="3">
        <f>VALUE(SUBSTITUTE(MID($A842,N842+N$2+1,O842-N842-N$2-1),",","."))</f>
        <v>4.2273889307788997</v>
      </c>
      <c r="AH842" t="str">
        <f>MID($A842,O842+O$2+1,P842-O842-O$2-1)</f>
        <v/>
      </c>
      <c r="AI842" s="8" t="str">
        <f>MID($A842,P842+P$2+1,Q842-P842-P$2-1)</f>
        <v>False</v>
      </c>
      <c r="AK842" t="b">
        <f t="shared" si="116"/>
        <v>0</v>
      </c>
    </row>
    <row r="843" spans="1:37" x14ac:dyDescent="0.35">
      <c r="A843" t="s">
        <v>5390</v>
      </c>
      <c r="B843">
        <f t="shared" si="118"/>
        <v>10</v>
      </c>
      <c r="C843">
        <f t="shared" si="118"/>
        <v>43</v>
      </c>
      <c r="D843">
        <f t="shared" si="118"/>
        <v>54</v>
      </c>
      <c r="E843">
        <f t="shared" si="117"/>
        <v>97</v>
      </c>
      <c r="F843">
        <f t="shared" si="117"/>
        <v>141</v>
      </c>
      <c r="G843">
        <f t="shared" si="117"/>
        <v>180</v>
      </c>
      <c r="H843">
        <f t="shared" si="111"/>
        <v>229</v>
      </c>
      <c r="I843">
        <f t="shared" si="111"/>
        <v>251</v>
      </c>
      <c r="J843">
        <f t="shared" si="111"/>
        <v>286</v>
      </c>
      <c r="K843">
        <f t="shared" si="111"/>
        <v>305</v>
      </c>
      <c r="L843">
        <f t="shared" si="111"/>
        <v>337</v>
      </c>
      <c r="M843">
        <f t="shared" si="111"/>
        <v>352</v>
      </c>
      <c r="N843">
        <f t="shared" si="111"/>
        <v>364</v>
      </c>
      <c r="O843">
        <f t="shared" si="111"/>
        <v>389</v>
      </c>
      <c r="P843">
        <f t="shared" si="111"/>
        <v>407</v>
      </c>
      <c r="Q843">
        <f t="shared" si="114"/>
        <v>433</v>
      </c>
      <c r="S843" t="str">
        <f t="shared" si="112"/>
        <v>05.12.2025</v>
      </c>
      <c r="T843" t="str">
        <f t="shared" si="113"/>
        <v>13:15:00</v>
      </c>
      <c r="U843" t="str">
        <f t="shared" si="115"/>
        <v>05.12.2025 13:15:00</v>
      </c>
      <c r="V843" s="9" t="str">
        <f>MID($A843,C843+C$2+1,D843-C843-C$2-1)</f>
        <v>0</v>
      </c>
      <c r="W843" s="4">
        <f>VALUE(SUBSTITUTE(MID($A843,D843+D$2+1,E843-D843-D$2-1),",","."))</f>
        <v>0.69206042746004304</v>
      </c>
      <c r="X843" s="4">
        <f>VALUE(SUBSTITUTE(MID($A843,E843+E$2+1,F843-E843-E$2-1),",","."))</f>
        <v>0.90957602214449496</v>
      </c>
      <c r="Y843" s="4">
        <f>VALUE(SUBSTITUTE(MID($A843,F843+F$2+1,G843-F843-F$2-1),",","."))</f>
        <v>0.32007716327983798</v>
      </c>
      <c r="Z843" s="3">
        <f>VALUE(SUBSTITUTE(MID($A843,G843+G$2+1,H843-G843-G$2-1),",","."))</f>
        <v>197.11666666666599</v>
      </c>
      <c r="AA843" s="3">
        <f>VALUE(SUBSTITUTE(MID($A843,H843+H$2+1,I843-H843-H$2-1),",","."))</f>
        <v>0</v>
      </c>
      <c r="AB843" s="3">
        <f>VALUE(SUBSTITUTE(MID($A843,I843+I$2+1,J843-I843-I$2-1),",","."))</f>
        <v>146</v>
      </c>
      <c r="AC843" s="3">
        <f>VALUE(SUBSTITUTE(MID($A843,J843+J$2+1,K843-J843-J$2-1),",","."))</f>
        <v>5.4</v>
      </c>
      <c r="AD843" s="3">
        <f>VALUE(SUBSTITUTE(MID($A843,K843+K$2+1,L843-K843-K$2-1),",","."))</f>
        <v>14.76</v>
      </c>
      <c r="AE843" s="3">
        <f>VALUE(SUBSTITUTE(MID($A843,L843+L$2+1,M843-L843-L$2-1),",","."))</f>
        <v>0</v>
      </c>
      <c r="AF843" s="3">
        <f>VALUE(SUBSTITUTE(MID($A843,M843+M$2+1,N843-M843-M$2-1),",","."))</f>
        <v>0</v>
      </c>
      <c r="AG843" s="3">
        <f>VALUE(SUBSTITUTE(MID($A843,N843+N$2+1,O843-N843-N$2-1),",","."))</f>
        <v>4.2274174506669802</v>
      </c>
      <c r="AH843" t="str">
        <f>MID($A843,O843+O$2+1,P843-O843-O$2-1)</f>
        <v/>
      </c>
      <c r="AI843" s="8" t="str">
        <f>MID($A843,P843+P$2+1,Q843-P843-P$2-1)</f>
        <v>False</v>
      </c>
      <c r="AK843" t="b">
        <f t="shared" si="116"/>
        <v>0</v>
      </c>
    </row>
    <row r="844" spans="1:37" x14ac:dyDescent="0.35">
      <c r="A844" t="s">
        <v>5391</v>
      </c>
      <c r="B844">
        <f t="shared" si="118"/>
        <v>10</v>
      </c>
      <c r="C844">
        <f t="shared" si="118"/>
        <v>43</v>
      </c>
      <c r="D844">
        <f t="shared" si="118"/>
        <v>54</v>
      </c>
      <c r="E844">
        <f t="shared" si="117"/>
        <v>97</v>
      </c>
      <c r="F844">
        <f t="shared" si="117"/>
        <v>141</v>
      </c>
      <c r="G844">
        <f t="shared" si="117"/>
        <v>179</v>
      </c>
      <c r="H844">
        <f t="shared" si="111"/>
        <v>228</v>
      </c>
      <c r="I844">
        <f t="shared" si="111"/>
        <v>250</v>
      </c>
      <c r="J844">
        <f t="shared" si="111"/>
        <v>287</v>
      </c>
      <c r="K844">
        <f t="shared" si="111"/>
        <v>320</v>
      </c>
      <c r="L844">
        <f t="shared" si="111"/>
        <v>338</v>
      </c>
      <c r="M844">
        <f t="shared" si="111"/>
        <v>353</v>
      </c>
      <c r="N844">
        <f t="shared" si="111"/>
        <v>365</v>
      </c>
      <c r="O844">
        <f t="shared" si="111"/>
        <v>390</v>
      </c>
      <c r="P844">
        <f t="shared" si="111"/>
        <v>408</v>
      </c>
      <c r="Q844">
        <f t="shared" si="114"/>
        <v>434</v>
      </c>
      <c r="S844" t="str">
        <f t="shared" si="112"/>
        <v>05.12.2025</v>
      </c>
      <c r="T844" t="str">
        <f t="shared" si="113"/>
        <v>13:30:00</v>
      </c>
      <c r="U844" t="str">
        <f t="shared" si="115"/>
        <v>05.12.2025 13:30:00</v>
      </c>
      <c r="V844" s="9" t="str">
        <f>MID($A844,C844+C$2+1,D844-C844-C$2-1)</f>
        <v>0</v>
      </c>
      <c r="W844" s="4">
        <f>VALUE(SUBSTITUTE(MID($A844,D844+D$2+1,E844-D844-D$2-1),",","."))</f>
        <v>0.66180163614725196</v>
      </c>
      <c r="X844" s="4">
        <f>VALUE(SUBSTITUTE(MID($A844,E844+E$2+1,F844-E844-E$2-1),",","."))</f>
        <v>0.90957602214449496</v>
      </c>
      <c r="Y844" s="4">
        <f>VALUE(SUBSTITUTE(MID($A844,F844+F$2+1,G844-F844-F$2-1),",","."))</f>
        <v>0.30701874920859701</v>
      </c>
      <c r="Z844" s="3">
        <f>VALUE(SUBSTITUTE(MID($A844,G844+G$2+1,H844-G844-G$2-1),",","."))</f>
        <v>185.833333333333</v>
      </c>
      <c r="AA844" s="3">
        <f>VALUE(SUBSTITUTE(MID($A844,H844+H$2+1,I844-H844-H$2-1),",","."))</f>
        <v>0</v>
      </c>
      <c r="AB844" s="3">
        <f>VALUE(SUBSTITUTE(MID($A844,I844+I$2+1,J844-I844-I$2-1),",","."))</f>
        <v>133.5</v>
      </c>
      <c r="AC844" s="3">
        <f>VALUE(SUBSTITUTE(MID($A844,J844+J$2+1,K844-J844-J$2-1),",","."))</f>
        <v>5.4499999999999904</v>
      </c>
      <c r="AD844" s="3">
        <f>VALUE(SUBSTITUTE(MID($A844,K844+K$2+1,L844-K844-K$2-1),",","."))</f>
        <v>15.3</v>
      </c>
      <c r="AE844" s="3">
        <f>VALUE(SUBSTITUTE(MID($A844,L844+L$2+1,M844-L844-L$2-1),",","."))</f>
        <v>0</v>
      </c>
      <c r="AF844" s="3">
        <f>VALUE(SUBSTITUTE(MID($A844,M844+M$2+1,N844-M844-M$2-1),",","."))</f>
        <v>0</v>
      </c>
      <c r="AG844" s="3">
        <f>VALUE(SUBSTITUTE(MID($A844,N844+N$2+1,O844-N844-N$2-1),",","."))</f>
        <v>4.2274459705550598</v>
      </c>
      <c r="AH844" t="str">
        <f>MID($A844,O844+O$2+1,P844-O844-O$2-1)</f>
        <v/>
      </c>
      <c r="AI844" s="8" t="str">
        <f>MID($A844,P844+P$2+1,Q844-P844-P$2-1)</f>
        <v>False</v>
      </c>
      <c r="AK844" t="b">
        <f t="shared" si="116"/>
        <v>0</v>
      </c>
    </row>
    <row r="845" spans="1:37" x14ac:dyDescent="0.35">
      <c r="A845" t="s">
        <v>5392</v>
      </c>
      <c r="B845">
        <f t="shared" si="118"/>
        <v>10</v>
      </c>
      <c r="C845">
        <f t="shared" si="118"/>
        <v>43</v>
      </c>
      <c r="D845">
        <f t="shared" si="118"/>
        <v>54</v>
      </c>
      <c r="E845">
        <f t="shared" si="117"/>
        <v>97</v>
      </c>
      <c r="F845">
        <f t="shared" si="117"/>
        <v>141</v>
      </c>
      <c r="G845">
        <f t="shared" si="117"/>
        <v>177</v>
      </c>
      <c r="H845">
        <f t="shared" si="117"/>
        <v>226</v>
      </c>
      <c r="I845">
        <f t="shared" si="117"/>
        <v>248</v>
      </c>
      <c r="J845">
        <f t="shared" si="117"/>
        <v>285</v>
      </c>
      <c r="K845">
        <f t="shared" si="117"/>
        <v>318</v>
      </c>
      <c r="L845">
        <f t="shared" si="117"/>
        <v>336</v>
      </c>
      <c r="M845">
        <f t="shared" si="117"/>
        <v>351</v>
      </c>
      <c r="N845">
        <f t="shared" si="117"/>
        <v>363</v>
      </c>
      <c r="O845">
        <f t="shared" si="117"/>
        <v>388</v>
      </c>
      <c r="P845">
        <f t="shared" si="117"/>
        <v>406</v>
      </c>
      <c r="Q845">
        <f t="shared" si="114"/>
        <v>432</v>
      </c>
      <c r="S845" t="str">
        <f t="shared" si="112"/>
        <v>05.12.2025</v>
      </c>
      <c r="T845" t="str">
        <f t="shared" si="113"/>
        <v>13:45:00</v>
      </c>
      <c r="U845" t="str">
        <f t="shared" si="115"/>
        <v>05.12.2025 13:45:00</v>
      </c>
      <c r="V845" s="9" t="str">
        <f>MID($A845,C845+C$2+1,D845-C845-C$2-1)</f>
        <v>0</v>
      </c>
      <c r="W845" s="4">
        <f>VALUE(SUBSTITUTE(MID($A845,D845+D$2+1,E845-D845-D$2-1),",","."))</f>
        <v>0.62833108335817101</v>
      </c>
      <c r="X845" s="4">
        <f>VALUE(SUBSTITUTE(MID($A845,E845+E$2+1,F845-E845-E$2-1),",","."))</f>
        <v>0.90957602214449496</v>
      </c>
      <c r="Y845" s="4">
        <f>VALUE(SUBSTITUTE(MID($A845,F845+F$2+1,G845-F845-F$2-1),",","."))</f>
        <v>0.29146138587704001</v>
      </c>
      <c r="Z845" s="3">
        <f>VALUE(SUBSTITUTE(MID($A845,G845+G$2+1,H845-G845-G$2-1),",","."))</f>
        <v>185.833333333333</v>
      </c>
      <c r="AA845" s="3">
        <f>VALUE(SUBSTITUTE(MID($A845,H845+H$2+1,I845-H845-H$2-1),",","."))</f>
        <v>0</v>
      </c>
      <c r="AB845" s="3">
        <f>VALUE(SUBSTITUTE(MID($A845,I845+I$2+1,J845-I845-I$2-1),",","."))</f>
        <v>133.5</v>
      </c>
      <c r="AC845" s="3">
        <f>VALUE(SUBSTITUTE(MID($A845,J845+J$2+1,K845-J845-J$2-1),",","."))</f>
        <v>5.4499999999999904</v>
      </c>
      <c r="AD845" s="3">
        <f>VALUE(SUBSTITUTE(MID($A845,K845+K$2+1,L845-K845-K$2-1),",","."))</f>
        <v>15.3</v>
      </c>
      <c r="AE845" s="3">
        <f>VALUE(SUBSTITUTE(MID($A845,L845+L$2+1,M845-L845-L$2-1),",","."))</f>
        <v>0</v>
      </c>
      <c r="AF845" s="3">
        <f>VALUE(SUBSTITUTE(MID($A845,M845+M$2+1,N845-M845-M$2-1),",","."))</f>
        <v>0</v>
      </c>
      <c r="AG845" s="3">
        <f>VALUE(SUBSTITUTE(MID($A845,N845+N$2+1,O845-N845-N$2-1),",","."))</f>
        <v>4.2274744904431403</v>
      </c>
      <c r="AH845" t="str">
        <f>MID($A845,O845+O$2+1,P845-O845-O$2-1)</f>
        <v/>
      </c>
      <c r="AI845" s="8" t="str">
        <f>MID($A845,P845+P$2+1,Q845-P845-P$2-1)</f>
        <v>False</v>
      </c>
      <c r="AK845" t="b">
        <f t="shared" si="116"/>
        <v>0</v>
      </c>
    </row>
    <row r="846" spans="1:37" x14ac:dyDescent="0.35">
      <c r="A846" t="s">
        <v>5393</v>
      </c>
      <c r="B846">
        <f t="shared" si="118"/>
        <v>10</v>
      </c>
      <c r="C846">
        <f t="shared" si="118"/>
        <v>43</v>
      </c>
      <c r="D846">
        <f t="shared" si="118"/>
        <v>54</v>
      </c>
      <c r="E846">
        <f t="shared" si="117"/>
        <v>97</v>
      </c>
      <c r="F846">
        <f t="shared" si="117"/>
        <v>141</v>
      </c>
      <c r="G846">
        <f t="shared" si="117"/>
        <v>180</v>
      </c>
      <c r="H846">
        <f t="shared" si="117"/>
        <v>229</v>
      </c>
      <c r="I846">
        <f t="shared" si="117"/>
        <v>251</v>
      </c>
      <c r="J846">
        <f t="shared" si="117"/>
        <v>288</v>
      </c>
      <c r="K846">
        <f t="shared" si="117"/>
        <v>321</v>
      </c>
      <c r="L846">
        <f t="shared" si="117"/>
        <v>339</v>
      </c>
      <c r="M846">
        <f t="shared" si="117"/>
        <v>354</v>
      </c>
      <c r="N846">
        <f t="shared" si="117"/>
        <v>366</v>
      </c>
      <c r="O846">
        <f t="shared" si="117"/>
        <v>391</v>
      </c>
      <c r="P846">
        <f t="shared" si="117"/>
        <v>409</v>
      </c>
      <c r="Q846">
        <f t="shared" si="114"/>
        <v>435</v>
      </c>
      <c r="S846" t="str">
        <f t="shared" si="112"/>
        <v>05.12.2025</v>
      </c>
      <c r="T846" t="str">
        <f t="shared" si="113"/>
        <v>14:00:00</v>
      </c>
      <c r="U846" t="str">
        <f t="shared" si="115"/>
        <v>05.12.2025 14:00:00</v>
      </c>
      <c r="V846" s="9" t="str">
        <f>MID($A846,C846+C$2+1,D846-C846-C$2-1)</f>
        <v>0</v>
      </c>
      <c r="W846" s="4">
        <f>VALUE(SUBSTITUTE(MID($A846,D846+D$2+1,E846-D846-D$2-1),",","."))</f>
        <v>0.59179450604157802</v>
      </c>
      <c r="X846" s="4">
        <f>VALUE(SUBSTITUTE(MID($A846,E846+E$2+1,F846-E846-E$2-1),",","."))</f>
        <v>0.90957602214449496</v>
      </c>
      <c r="Y846" s="4">
        <f>VALUE(SUBSTITUTE(MID($A846,F846+F$2+1,G846-F846-F$2-1),",","."))</f>
        <v>0.27347462284287199</v>
      </c>
      <c r="Z846" s="3">
        <f>VALUE(SUBSTITUTE(MID($A846,G846+G$2+1,H846-G846-G$2-1),",","."))</f>
        <v>185.833333333333</v>
      </c>
      <c r="AA846" s="3">
        <f>VALUE(SUBSTITUTE(MID($A846,H846+H$2+1,I846-H846-H$2-1),",","."))</f>
        <v>0</v>
      </c>
      <c r="AB846" s="3">
        <f>VALUE(SUBSTITUTE(MID($A846,I846+I$2+1,J846-I846-I$2-1),",","."))</f>
        <v>133.5</v>
      </c>
      <c r="AC846" s="3">
        <f>VALUE(SUBSTITUTE(MID($A846,J846+J$2+1,K846-J846-J$2-1),",","."))</f>
        <v>5.4499999999999904</v>
      </c>
      <c r="AD846" s="3">
        <f>VALUE(SUBSTITUTE(MID($A846,K846+K$2+1,L846-K846-K$2-1),",","."))</f>
        <v>15.3</v>
      </c>
      <c r="AE846" s="3">
        <f>VALUE(SUBSTITUTE(MID($A846,L846+L$2+1,M846-L846-L$2-1),",","."))</f>
        <v>0</v>
      </c>
      <c r="AF846" s="3">
        <f>VALUE(SUBSTITUTE(MID($A846,M846+M$2+1,N846-M846-M$2-1),",","."))</f>
        <v>0</v>
      </c>
      <c r="AG846" s="3">
        <f>VALUE(SUBSTITUTE(MID($A846,N846+N$2+1,O846-N846-N$2-1),",","."))</f>
        <v>4.2275030103312199</v>
      </c>
      <c r="AH846" t="str">
        <f>MID($A846,O846+O$2+1,P846-O846-O$2-1)</f>
        <v/>
      </c>
      <c r="AI846" s="8" t="str">
        <f>MID($A846,P846+P$2+1,Q846-P846-P$2-1)</f>
        <v>False</v>
      </c>
      <c r="AK846" t="b">
        <f t="shared" si="116"/>
        <v>0</v>
      </c>
    </row>
    <row r="847" spans="1:37" x14ac:dyDescent="0.35">
      <c r="A847" t="s">
        <v>5394</v>
      </c>
      <c r="B847">
        <f t="shared" si="118"/>
        <v>10</v>
      </c>
      <c r="C847">
        <f t="shared" si="118"/>
        <v>43</v>
      </c>
      <c r="D847">
        <f t="shared" si="118"/>
        <v>54</v>
      </c>
      <c r="E847">
        <f t="shared" si="117"/>
        <v>97</v>
      </c>
      <c r="F847">
        <f t="shared" si="117"/>
        <v>141</v>
      </c>
      <c r="G847">
        <f t="shared" si="117"/>
        <v>179</v>
      </c>
      <c r="H847">
        <f t="shared" si="117"/>
        <v>228</v>
      </c>
      <c r="I847">
        <f t="shared" si="117"/>
        <v>250</v>
      </c>
      <c r="J847">
        <f t="shared" si="117"/>
        <v>287</v>
      </c>
      <c r="K847">
        <f t="shared" si="117"/>
        <v>320</v>
      </c>
      <c r="L847">
        <f t="shared" si="117"/>
        <v>338</v>
      </c>
      <c r="M847">
        <f t="shared" si="117"/>
        <v>353</v>
      </c>
      <c r="N847">
        <f t="shared" si="117"/>
        <v>365</v>
      </c>
      <c r="O847">
        <f t="shared" si="117"/>
        <v>390</v>
      </c>
      <c r="P847">
        <f t="shared" si="117"/>
        <v>408</v>
      </c>
      <c r="Q847">
        <f t="shared" si="114"/>
        <v>434</v>
      </c>
      <c r="S847" t="str">
        <f t="shared" si="112"/>
        <v>05.12.2025</v>
      </c>
      <c r="T847" t="str">
        <f t="shared" si="113"/>
        <v>14:15:00</v>
      </c>
      <c r="U847" t="str">
        <f t="shared" si="115"/>
        <v>05.12.2025 14:15:00</v>
      </c>
      <c r="V847" s="9" t="str">
        <f>MID($A847,C847+C$2+1,D847-C847-C$2-1)</f>
        <v>0</v>
      </c>
      <c r="W847" s="4">
        <f>VALUE(SUBSTITUTE(MID($A847,D847+D$2+1,E847-D847-D$2-1),",","."))</f>
        <v>0.55235189192509604</v>
      </c>
      <c r="X847" s="4">
        <f>VALUE(SUBSTITUTE(MID($A847,E847+E$2+1,F847-E847-E$2-1),",","."))</f>
        <v>0.90957602214449496</v>
      </c>
      <c r="Y847" s="4">
        <f>VALUE(SUBSTITUTE(MID($A847,F847+F$2+1,G847-F847-F$2-1),",","."))</f>
        <v>0.25313978134291798</v>
      </c>
      <c r="Z847" s="3">
        <f>VALUE(SUBSTITUTE(MID($A847,G847+G$2+1,H847-G847-G$2-1),",","."))</f>
        <v>185.833333333333</v>
      </c>
      <c r="AA847" s="3">
        <f>VALUE(SUBSTITUTE(MID($A847,H847+H$2+1,I847-H847-H$2-1),",","."))</f>
        <v>0</v>
      </c>
      <c r="AB847" s="3">
        <f>VALUE(SUBSTITUTE(MID($A847,I847+I$2+1,J847-I847-I$2-1),",","."))</f>
        <v>133.5</v>
      </c>
      <c r="AC847" s="3">
        <f>VALUE(SUBSTITUTE(MID($A847,J847+J$2+1,K847-J847-J$2-1),",","."))</f>
        <v>5.4499999999999904</v>
      </c>
      <c r="AD847" s="3">
        <f>VALUE(SUBSTITUTE(MID($A847,K847+K$2+1,L847-K847-K$2-1),",","."))</f>
        <v>15.3</v>
      </c>
      <c r="AE847" s="3">
        <f>VALUE(SUBSTITUTE(MID($A847,L847+L$2+1,M847-L847-L$2-1),",","."))</f>
        <v>0</v>
      </c>
      <c r="AF847" s="3">
        <f>VALUE(SUBSTITUTE(MID($A847,M847+M$2+1,N847-M847-M$2-1),",","."))</f>
        <v>0</v>
      </c>
      <c r="AG847" s="3">
        <f>VALUE(SUBSTITUTE(MID($A847,N847+N$2+1,O847-N847-N$2-1),",","."))</f>
        <v>4.2275315302193004</v>
      </c>
      <c r="AH847" t="str">
        <f>MID($A847,O847+O$2+1,P847-O847-O$2-1)</f>
        <v/>
      </c>
      <c r="AI847" s="8" t="str">
        <f>MID($A847,P847+P$2+1,Q847-P847-P$2-1)</f>
        <v>False</v>
      </c>
      <c r="AK847" t="b">
        <f t="shared" si="116"/>
        <v>0</v>
      </c>
    </row>
    <row r="848" spans="1:37" x14ac:dyDescent="0.35">
      <c r="A848" t="s">
        <v>5395</v>
      </c>
      <c r="B848">
        <f t="shared" si="118"/>
        <v>10</v>
      </c>
      <c r="C848">
        <f t="shared" si="118"/>
        <v>43</v>
      </c>
      <c r="D848">
        <f t="shared" si="118"/>
        <v>54</v>
      </c>
      <c r="E848">
        <f t="shared" si="117"/>
        <v>97</v>
      </c>
      <c r="F848">
        <f t="shared" si="117"/>
        <v>141</v>
      </c>
      <c r="G848">
        <f t="shared" si="117"/>
        <v>179</v>
      </c>
      <c r="H848">
        <f t="shared" si="117"/>
        <v>228</v>
      </c>
      <c r="I848">
        <f t="shared" si="117"/>
        <v>250</v>
      </c>
      <c r="J848">
        <f t="shared" si="117"/>
        <v>287</v>
      </c>
      <c r="K848">
        <f t="shared" si="117"/>
        <v>306</v>
      </c>
      <c r="L848">
        <f t="shared" si="117"/>
        <v>325</v>
      </c>
      <c r="M848">
        <f t="shared" si="117"/>
        <v>340</v>
      </c>
      <c r="N848">
        <f t="shared" si="117"/>
        <v>352</v>
      </c>
      <c r="O848">
        <f t="shared" si="117"/>
        <v>376</v>
      </c>
      <c r="P848">
        <f t="shared" si="117"/>
        <v>394</v>
      </c>
      <c r="Q848">
        <f t="shared" si="114"/>
        <v>420</v>
      </c>
      <c r="S848" t="str">
        <f t="shared" si="112"/>
        <v>05.12.2025</v>
      </c>
      <c r="T848" t="str">
        <f t="shared" si="113"/>
        <v>14:30:00</v>
      </c>
      <c r="U848" t="str">
        <f t="shared" si="115"/>
        <v>05.12.2025 14:30:00</v>
      </c>
      <c r="V848" s="9" t="str">
        <f>MID($A848,C848+C$2+1,D848-C848-C$2-1)</f>
        <v>0</v>
      </c>
      <c r="W848" s="4">
        <f>VALUE(SUBSTITUTE(MID($A848,D848+D$2+1,E848-D848-D$2-1),",","."))</f>
        <v>0.51017744757088102</v>
      </c>
      <c r="X848" s="4">
        <f>VALUE(SUBSTITUTE(MID($A848,E848+E$2+1,F848-E848-E$2-1),",","."))</f>
        <v>0.90957602214449496</v>
      </c>
      <c r="Y848" s="4">
        <f>VALUE(SUBSTITUTE(MID($A848,F848+F$2+1,G848-F848-F$2-1),",","."))</f>
        <v>0.230550399590815</v>
      </c>
      <c r="Z848" s="3">
        <f>VALUE(SUBSTITUTE(MID($A848,G848+G$2+1,H848-G848-G$2-1),",","."))</f>
        <v>169.56666666666601</v>
      </c>
      <c r="AA848" s="3">
        <f>VALUE(SUBSTITUTE(MID($A848,H848+H$2+1,I848-H848-H$2-1),",","."))</f>
        <v>0</v>
      </c>
      <c r="AB848" s="3">
        <f>VALUE(SUBSTITUTE(MID($A848,I848+I$2+1,J848-I848-I$2-1),",","."))</f>
        <v>102.5</v>
      </c>
      <c r="AC848" s="3">
        <f>VALUE(SUBSTITUTE(MID($A848,J848+J$2+1,K848-J848-J$2-1),",","."))</f>
        <v>5.4</v>
      </c>
      <c r="AD848" s="3">
        <f>VALUE(SUBSTITUTE(MID($A848,K848+K$2+1,L848-K848-K$2-1),",","."))</f>
        <v>15.84</v>
      </c>
      <c r="AE848" s="3">
        <f>VALUE(SUBSTITUTE(MID($A848,L848+L$2+1,M848-L848-L$2-1),",","."))</f>
        <v>0</v>
      </c>
      <c r="AF848" s="3">
        <f>VALUE(SUBSTITUTE(MID($A848,M848+M$2+1,N848-M848-M$2-1),",","."))</f>
        <v>0</v>
      </c>
      <c r="AG848" s="3">
        <f>VALUE(SUBSTITUTE(MID($A848,N848+N$2+1,O848-N848-N$2-1),",","."))</f>
        <v>4.2275600501073898</v>
      </c>
      <c r="AH848" t="str">
        <f>MID($A848,O848+O$2+1,P848-O848-O$2-1)</f>
        <v/>
      </c>
      <c r="AI848" s="8" t="str">
        <f>MID($A848,P848+P$2+1,Q848-P848-P$2-1)</f>
        <v>False</v>
      </c>
      <c r="AK848" t="b">
        <f t="shared" si="116"/>
        <v>0</v>
      </c>
    </row>
    <row r="849" spans="1:37" x14ac:dyDescent="0.35">
      <c r="A849" t="s">
        <v>5396</v>
      </c>
      <c r="B849">
        <f t="shared" si="118"/>
        <v>10</v>
      </c>
      <c r="C849">
        <f t="shared" si="118"/>
        <v>43</v>
      </c>
      <c r="D849">
        <f t="shared" si="118"/>
        <v>54</v>
      </c>
      <c r="E849">
        <f t="shared" si="117"/>
        <v>97</v>
      </c>
      <c r="F849">
        <f t="shared" si="117"/>
        <v>141</v>
      </c>
      <c r="G849">
        <f t="shared" si="117"/>
        <v>179</v>
      </c>
      <c r="H849">
        <f t="shared" si="117"/>
        <v>228</v>
      </c>
      <c r="I849">
        <f t="shared" si="117"/>
        <v>250</v>
      </c>
      <c r="J849">
        <f t="shared" si="117"/>
        <v>287</v>
      </c>
      <c r="K849">
        <f t="shared" si="117"/>
        <v>306</v>
      </c>
      <c r="L849">
        <f t="shared" si="117"/>
        <v>325</v>
      </c>
      <c r="M849">
        <f t="shared" si="117"/>
        <v>340</v>
      </c>
      <c r="N849">
        <f t="shared" si="117"/>
        <v>352</v>
      </c>
      <c r="O849">
        <f t="shared" si="117"/>
        <v>377</v>
      </c>
      <c r="P849">
        <f t="shared" si="117"/>
        <v>395</v>
      </c>
      <c r="Q849">
        <f t="shared" si="114"/>
        <v>421</v>
      </c>
      <c r="S849" t="str">
        <f t="shared" si="112"/>
        <v>05.12.2025</v>
      </c>
      <c r="T849" t="str">
        <f t="shared" si="113"/>
        <v>14:45:00</v>
      </c>
      <c r="U849" t="str">
        <f t="shared" si="115"/>
        <v>05.12.2025 14:45:00</v>
      </c>
      <c r="V849" s="9" t="str">
        <f>MID($A849,C849+C$2+1,D849-C849-C$2-1)</f>
        <v>0</v>
      </c>
      <c r="W849" s="4">
        <f>VALUE(SUBSTITUTE(MID($A849,D849+D$2+1,E849-D849-D$2-1),",","."))</f>
        <v>0.46546003615658099</v>
      </c>
      <c r="X849" s="4">
        <f>VALUE(SUBSTITUTE(MID($A849,E849+E$2+1,F849-E849-E$2-1),",","."))</f>
        <v>0.90957602214449496</v>
      </c>
      <c r="Y849" s="4">
        <f>VALUE(SUBSTITUTE(MID($A849,F849+F$2+1,G849-F849-F$2-1),",","."))</f>
        <v>0.205813270564421</v>
      </c>
      <c r="Z849" s="3">
        <f>VALUE(SUBSTITUTE(MID($A849,G849+G$2+1,H849-G849-G$2-1),",","."))</f>
        <v>169.56666666666601</v>
      </c>
      <c r="AA849" s="3">
        <f>VALUE(SUBSTITUTE(MID($A849,H849+H$2+1,I849-H849-H$2-1),",","."))</f>
        <v>0</v>
      </c>
      <c r="AB849" s="3">
        <f>VALUE(SUBSTITUTE(MID($A849,I849+I$2+1,J849-I849-I$2-1),",","."))</f>
        <v>102.5</v>
      </c>
      <c r="AC849" s="3">
        <f>VALUE(SUBSTITUTE(MID($A849,J849+J$2+1,K849-J849-J$2-1),",","."))</f>
        <v>5.4</v>
      </c>
      <c r="AD849" s="3">
        <f>VALUE(SUBSTITUTE(MID($A849,K849+K$2+1,L849-K849-K$2-1),",","."))</f>
        <v>15.84</v>
      </c>
      <c r="AE849" s="3">
        <f>VALUE(SUBSTITUTE(MID($A849,L849+L$2+1,M849-L849-L$2-1),",","."))</f>
        <v>0</v>
      </c>
      <c r="AF849" s="3">
        <f>VALUE(SUBSTITUTE(MID($A849,M849+M$2+1,N849-M849-M$2-1),",","."))</f>
        <v>0</v>
      </c>
      <c r="AG849" s="3">
        <f>VALUE(SUBSTITUTE(MID($A849,N849+N$2+1,O849-N849-N$2-1),",","."))</f>
        <v>4.2275885699954703</v>
      </c>
      <c r="AH849" t="str">
        <f>MID($A849,O849+O$2+1,P849-O849-O$2-1)</f>
        <v/>
      </c>
      <c r="AI849" s="8" t="str">
        <f>MID($A849,P849+P$2+1,Q849-P849-P$2-1)</f>
        <v>False</v>
      </c>
      <c r="AK849" t="b">
        <f t="shared" si="116"/>
        <v>0</v>
      </c>
    </row>
    <row r="850" spans="1:37" x14ac:dyDescent="0.35">
      <c r="A850" t="s">
        <v>5397</v>
      </c>
      <c r="B850">
        <f t="shared" si="118"/>
        <v>10</v>
      </c>
      <c r="C850">
        <f t="shared" si="118"/>
        <v>43</v>
      </c>
      <c r="D850">
        <f t="shared" si="118"/>
        <v>54</v>
      </c>
      <c r="E850">
        <f t="shared" si="117"/>
        <v>98</v>
      </c>
      <c r="F850">
        <f t="shared" si="117"/>
        <v>142</v>
      </c>
      <c r="G850">
        <f t="shared" si="117"/>
        <v>181</v>
      </c>
      <c r="H850">
        <f t="shared" si="117"/>
        <v>230</v>
      </c>
      <c r="I850">
        <f t="shared" si="117"/>
        <v>252</v>
      </c>
      <c r="J850">
        <f t="shared" si="117"/>
        <v>289</v>
      </c>
      <c r="K850">
        <f t="shared" si="117"/>
        <v>308</v>
      </c>
      <c r="L850">
        <f t="shared" si="117"/>
        <v>327</v>
      </c>
      <c r="M850">
        <f t="shared" si="117"/>
        <v>342</v>
      </c>
      <c r="N850">
        <f t="shared" si="117"/>
        <v>354</v>
      </c>
      <c r="O850">
        <f t="shared" si="117"/>
        <v>379</v>
      </c>
      <c r="P850">
        <f t="shared" si="117"/>
        <v>397</v>
      </c>
      <c r="Q850">
        <f t="shared" si="114"/>
        <v>423</v>
      </c>
      <c r="S850" t="str">
        <f t="shared" si="112"/>
        <v>05.12.2025</v>
      </c>
      <c r="T850" t="str">
        <f t="shared" si="113"/>
        <v>15:00:00</v>
      </c>
      <c r="U850" t="str">
        <f t="shared" si="115"/>
        <v>05.12.2025 15:00:00</v>
      </c>
      <c r="V850" s="9" t="str">
        <f>MID($A850,C850+C$2+1,D850-C850-C$2-1)</f>
        <v>0</v>
      </c>
      <c r="W850" s="4">
        <f>VALUE(SUBSTITUTE(MID($A850,D850+D$2+1,E850-D850-D$2-1),",","."))</f>
        <v>0.41840465097572599</v>
      </c>
      <c r="X850" s="4">
        <f>VALUE(SUBSTITUTE(MID($A850,E850+E$2+1,F850-E850-E$2-1),",","."))</f>
        <v>0.90957602214449496</v>
      </c>
      <c r="Y850" s="4">
        <f>VALUE(SUBSTITUTE(MID($A850,F850+F$2+1,G850-F850-F$2-1),",","."))</f>
        <v>0.17905075722563299</v>
      </c>
      <c r="Z850" s="3">
        <f>VALUE(SUBSTITUTE(MID($A850,G850+G$2+1,H850-G850-G$2-1),",","."))</f>
        <v>169.56666666666601</v>
      </c>
      <c r="AA850" s="3">
        <f>VALUE(SUBSTITUTE(MID($A850,H850+H$2+1,I850-H850-H$2-1),",","."))</f>
        <v>0</v>
      </c>
      <c r="AB850" s="3">
        <f>VALUE(SUBSTITUTE(MID($A850,I850+I$2+1,J850-I850-I$2-1),",","."))</f>
        <v>102.5</v>
      </c>
      <c r="AC850" s="3">
        <f>VALUE(SUBSTITUTE(MID($A850,J850+J$2+1,K850-J850-J$2-1),",","."))</f>
        <v>5.4</v>
      </c>
      <c r="AD850" s="3">
        <f>VALUE(SUBSTITUTE(MID($A850,K850+K$2+1,L850-K850-K$2-1),",","."))</f>
        <v>15.84</v>
      </c>
      <c r="AE850" s="3">
        <f>VALUE(SUBSTITUTE(MID($A850,L850+L$2+1,M850-L850-L$2-1),",","."))</f>
        <v>0</v>
      </c>
      <c r="AF850" s="3">
        <f>VALUE(SUBSTITUTE(MID($A850,M850+M$2+1,N850-M850-M$2-1),",","."))</f>
        <v>0</v>
      </c>
      <c r="AG850" s="3">
        <f>VALUE(SUBSTITUTE(MID($A850,N850+N$2+1,O850-N850-N$2-1),",","."))</f>
        <v>4.2276170898835499</v>
      </c>
      <c r="AH850" t="str">
        <f>MID($A850,O850+O$2+1,P850-O850-O$2-1)</f>
        <v/>
      </c>
      <c r="AI850" s="8" t="str">
        <f>MID($A850,P850+P$2+1,Q850-P850-P$2-1)</f>
        <v>False</v>
      </c>
      <c r="AK850" t="b">
        <f t="shared" si="116"/>
        <v>0</v>
      </c>
    </row>
    <row r="851" spans="1:37" x14ac:dyDescent="0.35">
      <c r="A851" t="s">
        <v>5398</v>
      </c>
      <c r="B851">
        <f t="shared" si="118"/>
        <v>10</v>
      </c>
      <c r="C851">
        <f t="shared" si="118"/>
        <v>43</v>
      </c>
      <c r="D851">
        <f t="shared" si="118"/>
        <v>54</v>
      </c>
      <c r="E851">
        <f t="shared" si="117"/>
        <v>98</v>
      </c>
      <c r="F851">
        <f t="shared" si="117"/>
        <v>142</v>
      </c>
      <c r="G851">
        <f t="shared" si="117"/>
        <v>181</v>
      </c>
      <c r="H851">
        <f t="shared" si="117"/>
        <v>230</v>
      </c>
      <c r="I851">
        <f t="shared" si="117"/>
        <v>252</v>
      </c>
      <c r="J851">
        <f t="shared" si="117"/>
        <v>289</v>
      </c>
      <c r="K851">
        <f t="shared" si="117"/>
        <v>308</v>
      </c>
      <c r="L851">
        <f t="shared" si="117"/>
        <v>327</v>
      </c>
      <c r="M851">
        <f t="shared" si="117"/>
        <v>342</v>
      </c>
      <c r="N851">
        <f t="shared" si="117"/>
        <v>354</v>
      </c>
      <c r="O851">
        <f t="shared" si="117"/>
        <v>379</v>
      </c>
      <c r="P851">
        <f t="shared" si="117"/>
        <v>397</v>
      </c>
      <c r="Q851">
        <f t="shared" si="114"/>
        <v>423</v>
      </c>
      <c r="S851" t="str">
        <f t="shared" si="112"/>
        <v>05.12.2025</v>
      </c>
      <c r="T851" t="str">
        <f t="shared" si="113"/>
        <v>15:15:00</v>
      </c>
      <c r="U851" t="str">
        <f t="shared" si="115"/>
        <v>05.12.2025 15:15:00</v>
      </c>
      <c r="V851" s="9" t="str">
        <f>MID($A851,C851+C$2+1,D851-C851-C$2-1)</f>
        <v>0</v>
      </c>
      <c r="W851" s="4">
        <f>VALUE(SUBSTITUTE(MID($A851,D851+D$2+1,E851-D851-D$2-1),",","."))</f>
        <v>0.36923628782142498</v>
      </c>
      <c r="X851" s="4">
        <f>VALUE(SUBSTITUTE(MID($A851,E851+E$2+1,F851-E851-E$2-1),",","."))</f>
        <v>0.90957602214449496</v>
      </c>
      <c r="Y851" s="4">
        <f>VALUE(SUBSTITUTE(MID($A851,F851+F$2+1,G851-F851-F$2-1),",","."))</f>
        <v>0.15040603849058201</v>
      </c>
      <c r="Z851" s="3">
        <f>VALUE(SUBSTITUTE(MID($A851,G851+G$2+1,H851-G851-G$2-1),",","."))</f>
        <v>169.56666666666601</v>
      </c>
      <c r="AA851" s="3">
        <f>VALUE(SUBSTITUTE(MID($A851,H851+H$2+1,I851-H851-H$2-1),",","."))</f>
        <v>0</v>
      </c>
      <c r="AB851" s="3">
        <f>VALUE(SUBSTITUTE(MID($A851,I851+I$2+1,J851-I851-I$2-1),",","."))</f>
        <v>102.5</v>
      </c>
      <c r="AC851" s="3">
        <f>VALUE(SUBSTITUTE(MID($A851,J851+J$2+1,K851-J851-J$2-1),",","."))</f>
        <v>5.4</v>
      </c>
      <c r="AD851" s="3">
        <f>VALUE(SUBSTITUTE(MID($A851,K851+K$2+1,L851-K851-K$2-1),",","."))</f>
        <v>15.84</v>
      </c>
      <c r="AE851" s="3">
        <f>VALUE(SUBSTITUTE(MID($A851,L851+L$2+1,M851-L851-L$2-1),",","."))</f>
        <v>0</v>
      </c>
      <c r="AF851" s="3">
        <f>VALUE(SUBSTITUTE(MID($A851,M851+M$2+1,N851-M851-M$2-1),",","."))</f>
        <v>0</v>
      </c>
      <c r="AG851" s="3">
        <f>VALUE(SUBSTITUTE(MID($A851,N851+N$2+1,O851-N851-N$2-1),",","."))</f>
        <v>4.2276456097716304</v>
      </c>
      <c r="AH851" t="str">
        <f>MID($A851,O851+O$2+1,P851-O851-O$2-1)</f>
        <v/>
      </c>
      <c r="AI851" s="8" t="str">
        <f>MID($A851,P851+P$2+1,Q851-P851-P$2-1)</f>
        <v>False</v>
      </c>
      <c r="AK851" t="b">
        <f t="shared" si="116"/>
        <v>0</v>
      </c>
    </row>
    <row r="852" spans="1:37" x14ac:dyDescent="0.35">
      <c r="A852" t="s">
        <v>5399</v>
      </c>
      <c r="B852">
        <f t="shared" si="118"/>
        <v>10</v>
      </c>
      <c r="C852">
        <f t="shared" si="118"/>
        <v>43</v>
      </c>
      <c r="D852">
        <f t="shared" si="118"/>
        <v>54</v>
      </c>
      <c r="E852">
        <f t="shared" si="117"/>
        <v>96</v>
      </c>
      <c r="F852">
        <f t="shared" si="117"/>
        <v>140</v>
      </c>
      <c r="G852">
        <f t="shared" si="117"/>
        <v>179</v>
      </c>
      <c r="H852">
        <f t="shared" si="117"/>
        <v>228</v>
      </c>
      <c r="I852">
        <f t="shared" si="117"/>
        <v>250</v>
      </c>
      <c r="J852">
        <f t="shared" si="117"/>
        <v>284</v>
      </c>
      <c r="K852">
        <f t="shared" si="117"/>
        <v>303</v>
      </c>
      <c r="L852">
        <f t="shared" si="117"/>
        <v>322</v>
      </c>
      <c r="M852">
        <f t="shared" si="117"/>
        <v>337</v>
      </c>
      <c r="N852">
        <f t="shared" si="117"/>
        <v>349</v>
      </c>
      <c r="O852">
        <f t="shared" si="117"/>
        <v>374</v>
      </c>
      <c r="P852">
        <f t="shared" si="117"/>
        <v>392</v>
      </c>
      <c r="Q852">
        <f t="shared" si="114"/>
        <v>418</v>
      </c>
      <c r="S852" t="str">
        <f t="shared" si="112"/>
        <v>05.12.2025</v>
      </c>
      <c r="T852" t="str">
        <f t="shared" si="113"/>
        <v>15:30:00</v>
      </c>
      <c r="U852" t="str">
        <f t="shared" si="115"/>
        <v>05.12.2025 15:30:00</v>
      </c>
      <c r="V852" s="9" t="str">
        <f>MID($A852,C852+C$2+1,D852-C852-C$2-1)</f>
        <v>0</v>
      </c>
      <c r="W852" s="4">
        <f>VALUE(SUBSTITUTE(MID($A852,D852+D$2+1,E852-D852-D$2-1),",","."))</f>
        <v>0.31820986825980901</v>
      </c>
      <c r="X852" s="4">
        <f>VALUE(SUBSTITUTE(MID($A852,E852+E$2+1,F852-E852-E$2-1),",","."))</f>
        <v>0.90957602214449496</v>
      </c>
      <c r="Y852" s="4">
        <f>VALUE(SUBSTITUTE(MID($A852,F852+F$2+1,G852-F852-F$2-1),",","."))</f>
        <v>0.12005571781775499</v>
      </c>
      <c r="Z852" s="3">
        <f>VALUE(SUBSTITUTE(MID($A852,G852+G$2+1,H852-G852-G$2-1),",","."))</f>
        <v>147.46666666666599</v>
      </c>
      <c r="AA852" s="3">
        <f>VALUE(SUBSTITUTE(MID($A852,H852+H$2+1,I852-H852-H$2-1),",","."))</f>
        <v>0</v>
      </c>
      <c r="AB852" s="3">
        <f>VALUE(SUBSTITUTE(MID($A852,I852+I$2+1,J852-I852-I$2-1),",","."))</f>
        <v>58</v>
      </c>
      <c r="AC852" s="3">
        <f>VALUE(SUBSTITUTE(MID($A852,J852+J$2+1,K852-J852-J$2-1),",","."))</f>
        <v>5.2</v>
      </c>
      <c r="AD852" s="3">
        <f>VALUE(SUBSTITUTE(MID($A852,K852+K$2+1,L852-K852-K$2-1),",","."))</f>
        <v>17.46</v>
      </c>
      <c r="AE852" s="3">
        <f>VALUE(SUBSTITUTE(MID($A852,L852+L$2+1,M852-L852-L$2-1),",","."))</f>
        <v>0</v>
      </c>
      <c r="AF852" s="3">
        <f>VALUE(SUBSTITUTE(MID($A852,M852+M$2+1,N852-M852-M$2-1),",","."))</f>
        <v>0</v>
      </c>
      <c r="AG852" s="3">
        <f>VALUE(SUBSTITUTE(MID($A852,N852+N$2+1,O852-N852-N$2-1),",","."))</f>
        <v>4.22767412965971</v>
      </c>
      <c r="AH852" t="str">
        <f>MID($A852,O852+O$2+1,P852-O852-O$2-1)</f>
        <v/>
      </c>
      <c r="AI852" s="8" t="str">
        <f>MID($A852,P852+P$2+1,Q852-P852-P$2-1)</f>
        <v>False</v>
      </c>
      <c r="AK852" t="b">
        <f t="shared" si="116"/>
        <v>0</v>
      </c>
    </row>
    <row r="853" spans="1:37" x14ac:dyDescent="0.35">
      <c r="A853" t="s">
        <v>5400</v>
      </c>
      <c r="B853">
        <f t="shared" si="118"/>
        <v>10</v>
      </c>
      <c r="C853">
        <f t="shared" si="118"/>
        <v>43</v>
      </c>
      <c r="D853">
        <f t="shared" si="118"/>
        <v>54</v>
      </c>
      <c r="E853">
        <f t="shared" si="117"/>
        <v>80</v>
      </c>
      <c r="F853">
        <f t="shared" si="117"/>
        <v>124</v>
      </c>
      <c r="G853">
        <f t="shared" si="117"/>
        <v>163</v>
      </c>
      <c r="H853">
        <f t="shared" si="117"/>
        <v>212</v>
      </c>
      <c r="I853">
        <f t="shared" si="117"/>
        <v>234</v>
      </c>
      <c r="J853">
        <f t="shared" si="117"/>
        <v>268</v>
      </c>
      <c r="K853">
        <f t="shared" si="117"/>
        <v>287</v>
      </c>
      <c r="L853">
        <f t="shared" si="117"/>
        <v>306</v>
      </c>
      <c r="M853">
        <f t="shared" si="117"/>
        <v>321</v>
      </c>
      <c r="N853">
        <f t="shared" si="117"/>
        <v>333</v>
      </c>
      <c r="O853">
        <f t="shared" si="117"/>
        <v>358</v>
      </c>
      <c r="P853">
        <f t="shared" si="117"/>
        <v>376</v>
      </c>
      <c r="Q853">
        <f t="shared" si="114"/>
        <v>402</v>
      </c>
      <c r="S853" t="str">
        <f t="shared" si="112"/>
        <v>05.12.2025</v>
      </c>
      <c r="T853" t="str">
        <f t="shared" si="113"/>
        <v>15:45:00</v>
      </c>
      <c r="U853" t="str">
        <f t="shared" si="115"/>
        <v>05.12.2025 15:45:00</v>
      </c>
      <c r="V853" s="9" t="str">
        <f>MID($A853,C853+C$2+1,D853-C853-C$2-1)</f>
        <v>0</v>
      </c>
      <c r="W853" s="4">
        <f>VALUE(SUBSTITUTE(MID($A853,D853+D$2+1,E853-D853-D$2-1),",","."))</f>
        <v>0</v>
      </c>
      <c r="X853" s="4">
        <f>VALUE(SUBSTITUTE(MID($A853,E853+E$2+1,F853-E853-E$2-1),",","."))</f>
        <v>0.90957602214449496</v>
      </c>
      <c r="Y853" s="4">
        <f>VALUE(SUBSTITUTE(MID($A853,F853+F$2+1,G853-F853-F$2-1),",","."))</f>
        <v>8.8243280853055203E-2</v>
      </c>
      <c r="Z853" s="3">
        <f>VALUE(SUBSTITUTE(MID($A853,G853+G$2+1,H853-G853-G$2-1),",","."))</f>
        <v>147.46666666666599</v>
      </c>
      <c r="AA853" s="3">
        <f>VALUE(SUBSTITUTE(MID($A853,H853+H$2+1,I853-H853-H$2-1),",","."))</f>
        <v>0</v>
      </c>
      <c r="AB853" s="3">
        <f>VALUE(SUBSTITUTE(MID($A853,I853+I$2+1,J853-I853-I$2-1),",","."))</f>
        <v>58</v>
      </c>
      <c r="AC853" s="3">
        <f>VALUE(SUBSTITUTE(MID($A853,J853+J$2+1,K853-J853-J$2-1),",","."))</f>
        <v>5.2</v>
      </c>
      <c r="AD853" s="3">
        <f>VALUE(SUBSTITUTE(MID($A853,K853+K$2+1,L853-K853-K$2-1),",","."))</f>
        <v>17.46</v>
      </c>
      <c r="AE853" s="3">
        <f>VALUE(SUBSTITUTE(MID($A853,L853+L$2+1,M853-L853-L$2-1),",","."))</f>
        <v>0</v>
      </c>
      <c r="AF853" s="3">
        <f>VALUE(SUBSTITUTE(MID($A853,M853+M$2+1,N853-M853-M$2-1),",","."))</f>
        <v>0</v>
      </c>
      <c r="AG853" s="3">
        <f>VALUE(SUBSTITUTE(MID($A853,N853+N$2+1,O853-N853-N$2-1),",","."))</f>
        <v>4.2277026495477896</v>
      </c>
      <c r="AH853" t="str">
        <f>MID($A853,O853+O$2+1,P853-O853-O$2-1)</f>
        <v/>
      </c>
      <c r="AI853" s="8" t="str">
        <f>MID($A853,P853+P$2+1,Q853-P853-P$2-1)</f>
        <v>False</v>
      </c>
      <c r="AK853" t="b">
        <f t="shared" si="116"/>
        <v>0</v>
      </c>
    </row>
    <row r="854" spans="1:37" x14ac:dyDescent="0.35">
      <c r="A854" t="s">
        <v>5401</v>
      </c>
      <c r="B854">
        <f t="shared" si="118"/>
        <v>10</v>
      </c>
      <c r="C854">
        <f t="shared" si="118"/>
        <v>43</v>
      </c>
      <c r="D854">
        <f t="shared" si="118"/>
        <v>54</v>
      </c>
      <c r="E854">
        <f t="shared" si="117"/>
        <v>80</v>
      </c>
      <c r="F854">
        <f t="shared" si="117"/>
        <v>124</v>
      </c>
      <c r="G854">
        <f t="shared" si="117"/>
        <v>163</v>
      </c>
      <c r="H854">
        <f t="shared" si="117"/>
        <v>212</v>
      </c>
      <c r="I854">
        <f t="shared" si="117"/>
        <v>234</v>
      </c>
      <c r="J854">
        <f t="shared" si="117"/>
        <v>268</v>
      </c>
      <c r="K854">
        <f t="shared" si="117"/>
        <v>287</v>
      </c>
      <c r="L854">
        <f t="shared" si="117"/>
        <v>306</v>
      </c>
      <c r="M854">
        <f t="shared" si="117"/>
        <v>321</v>
      </c>
      <c r="N854">
        <f t="shared" si="117"/>
        <v>333</v>
      </c>
      <c r="O854">
        <f t="shared" si="117"/>
        <v>358</v>
      </c>
      <c r="P854">
        <f t="shared" si="117"/>
        <v>376</v>
      </c>
      <c r="Q854">
        <f t="shared" si="114"/>
        <v>402</v>
      </c>
      <c r="S854" t="str">
        <f t="shared" si="112"/>
        <v>05.12.2025</v>
      </c>
      <c r="T854" t="str">
        <f t="shared" si="113"/>
        <v>16:00:00</v>
      </c>
      <c r="U854" t="str">
        <f t="shared" si="115"/>
        <v>05.12.2025 16:00:00</v>
      </c>
      <c r="V854" s="9" t="str">
        <f>MID($A854,C854+C$2+1,D854-C854-C$2-1)</f>
        <v>0</v>
      </c>
      <c r="W854" s="4">
        <f>VALUE(SUBSTITUTE(MID($A854,D854+D$2+1,E854-D854-D$2-1),",","."))</f>
        <v>0</v>
      </c>
      <c r="X854" s="4">
        <f>VALUE(SUBSTITUTE(MID($A854,E854+E$2+1,F854-E854-E$2-1),",","."))</f>
        <v>0.90957602214449496</v>
      </c>
      <c r="Y854" s="4">
        <f>VALUE(SUBSTITUTE(MID($A854,F854+F$2+1,G854-F854-F$2-1),",","."))</f>
        <v>5.5380779995622499E-2</v>
      </c>
      <c r="Z854" s="3">
        <f>VALUE(SUBSTITUTE(MID($A854,G854+G$2+1,H854-G854-G$2-1),",","."))</f>
        <v>147.46666666666599</v>
      </c>
      <c r="AA854" s="3">
        <f>VALUE(SUBSTITUTE(MID($A854,H854+H$2+1,I854-H854-H$2-1),",","."))</f>
        <v>0</v>
      </c>
      <c r="AB854" s="3">
        <f>VALUE(SUBSTITUTE(MID($A854,I854+I$2+1,J854-I854-I$2-1),",","."))</f>
        <v>58</v>
      </c>
      <c r="AC854" s="3">
        <f>VALUE(SUBSTITUTE(MID($A854,J854+J$2+1,K854-J854-J$2-1),",","."))</f>
        <v>5.2</v>
      </c>
      <c r="AD854" s="3">
        <f>VALUE(SUBSTITUTE(MID($A854,K854+K$2+1,L854-K854-K$2-1),",","."))</f>
        <v>17.46</v>
      </c>
      <c r="AE854" s="3">
        <f>VALUE(SUBSTITUTE(MID($A854,L854+L$2+1,M854-L854-L$2-1),",","."))</f>
        <v>0</v>
      </c>
      <c r="AF854" s="3">
        <f>VALUE(SUBSTITUTE(MID($A854,M854+M$2+1,N854-M854-M$2-1),",","."))</f>
        <v>0</v>
      </c>
      <c r="AG854" s="3">
        <f>VALUE(SUBSTITUTE(MID($A854,N854+N$2+1,O854-N854-N$2-1),",","."))</f>
        <v>4.2277311694358701</v>
      </c>
      <c r="AH854" t="str">
        <f>MID($A854,O854+O$2+1,P854-O854-O$2-1)</f>
        <v/>
      </c>
      <c r="AI854" s="8" t="str">
        <f>MID($A854,P854+P$2+1,Q854-P854-P$2-1)</f>
        <v>False</v>
      </c>
      <c r="AK854" t="b">
        <f t="shared" si="116"/>
        <v>0</v>
      </c>
    </row>
    <row r="855" spans="1:37" x14ac:dyDescent="0.35">
      <c r="A855" t="s">
        <v>5402</v>
      </c>
      <c r="B855">
        <f t="shared" si="118"/>
        <v>10</v>
      </c>
      <c r="C855">
        <f t="shared" si="118"/>
        <v>43</v>
      </c>
      <c r="D855">
        <f t="shared" si="118"/>
        <v>54</v>
      </c>
      <c r="E855">
        <f t="shared" si="117"/>
        <v>80</v>
      </c>
      <c r="F855">
        <f t="shared" si="117"/>
        <v>124</v>
      </c>
      <c r="G855">
        <f t="shared" si="117"/>
        <v>162</v>
      </c>
      <c r="H855">
        <f t="shared" si="117"/>
        <v>211</v>
      </c>
      <c r="I855">
        <f t="shared" si="117"/>
        <v>233</v>
      </c>
      <c r="J855">
        <f t="shared" si="117"/>
        <v>267</v>
      </c>
      <c r="K855">
        <f t="shared" si="117"/>
        <v>286</v>
      </c>
      <c r="L855">
        <f t="shared" si="117"/>
        <v>305</v>
      </c>
      <c r="M855">
        <f t="shared" si="117"/>
        <v>320</v>
      </c>
      <c r="N855">
        <f t="shared" si="117"/>
        <v>332</v>
      </c>
      <c r="O855">
        <f t="shared" si="117"/>
        <v>356</v>
      </c>
      <c r="P855">
        <f t="shared" si="117"/>
        <v>374</v>
      </c>
      <c r="Q855">
        <f t="shared" si="114"/>
        <v>400</v>
      </c>
      <c r="S855" t="str">
        <f t="shared" si="112"/>
        <v>05.12.2025</v>
      </c>
      <c r="T855" t="str">
        <f t="shared" si="113"/>
        <v>16:15:00</v>
      </c>
      <c r="U855" t="str">
        <f t="shared" si="115"/>
        <v>05.12.2025 16:15:00</v>
      </c>
      <c r="V855" s="9" t="str">
        <f>MID($A855,C855+C$2+1,D855-C855-C$2-1)</f>
        <v>0</v>
      </c>
      <c r="W855" s="4">
        <f>VALUE(SUBSTITUTE(MID($A855,D855+D$2+1,E855-D855-D$2-1),",","."))</f>
        <v>0</v>
      </c>
      <c r="X855" s="4">
        <f>VALUE(SUBSTITUTE(MID($A855,E855+E$2+1,F855-E855-E$2-1),",","."))</f>
        <v>0.90957602214449496</v>
      </c>
      <c r="Y855" s="4">
        <f>VALUE(SUBSTITUTE(MID($A855,F855+F$2+1,G855-F855-F$2-1),",","."))</f>
        <v>2.23963228582226E-2</v>
      </c>
      <c r="Z855" s="3">
        <f>VALUE(SUBSTITUTE(MID($A855,G855+G$2+1,H855-G855-G$2-1),",","."))</f>
        <v>147.46666666666599</v>
      </c>
      <c r="AA855" s="3">
        <f>VALUE(SUBSTITUTE(MID($A855,H855+H$2+1,I855-H855-H$2-1),",","."))</f>
        <v>0</v>
      </c>
      <c r="AB855" s="3">
        <f>VALUE(SUBSTITUTE(MID($A855,I855+I$2+1,J855-I855-I$2-1),",","."))</f>
        <v>58</v>
      </c>
      <c r="AC855" s="3">
        <f>VALUE(SUBSTITUTE(MID($A855,J855+J$2+1,K855-J855-J$2-1),",","."))</f>
        <v>5.2</v>
      </c>
      <c r="AD855" s="3">
        <f>VALUE(SUBSTITUTE(MID($A855,K855+K$2+1,L855-K855-K$2-1),",","."))</f>
        <v>17.46</v>
      </c>
      <c r="AE855" s="3">
        <f>VALUE(SUBSTITUTE(MID($A855,L855+L$2+1,M855-L855-L$2-1),",","."))</f>
        <v>0</v>
      </c>
      <c r="AF855" s="3">
        <f>VALUE(SUBSTITUTE(MID($A855,M855+M$2+1,N855-M855-M$2-1),",","."))</f>
        <v>0</v>
      </c>
      <c r="AG855" s="3">
        <f>VALUE(SUBSTITUTE(MID($A855,N855+N$2+1,O855-N855-N$2-1),",","."))</f>
        <v>4.2277596893239604</v>
      </c>
      <c r="AH855" t="str">
        <f>MID($A855,O855+O$2+1,P855-O855-O$2-1)</f>
        <v/>
      </c>
      <c r="AI855" s="8" t="str">
        <f>MID($A855,P855+P$2+1,Q855-P855-P$2-1)</f>
        <v>False</v>
      </c>
      <c r="AK855" t="b">
        <f t="shared" si="116"/>
        <v>0</v>
      </c>
    </row>
    <row r="856" spans="1:37" x14ac:dyDescent="0.35">
      <c r="A856" t="s">
        <v>5403</v>
      </c>
      <c r="B856">
        <f t="shared" si="118"/>
        <v>10</v>
      </c>
      <c r="C856">
        <f t="shared" si="118"/>
        <v>43</v>
      </c>
      <c r="D856">
        <f t="shared" si="118"/>
        <v>54</v>
      </c>
      <c r="E856">
        <f t="shared" si="117"/>
        <v>80</v>
      </c>
      <c r="F856">
        <f t="shared" si="117"/>
        <v>124</v>
      </c>
      <c r="G856">
        <f t="shared" si="117"/>
        <v>145</v>
      </c>
      <c r="H856">
        <f t="shared" si="117"/>
        <v>180</v>
      </c>
      <c r="I856">
        <f t="shared" si="117"/>
        <v>202</v>
      </c>
      <c r="J856">
        <f t="shared" si="117"/>
        <v>238</v>
      </c>
      <c r="K856">
        <f t="shared" si="117"/>
        <v>258</v>
      </c>
      <c r="L856">
        <f t="shared" si="117"/>
        <v>290</v>
      </c>
      <c r="M856">
        <f t="shared" si="117"/>
        <v>305</v>
      </c>
      <c r="N856">
        <f t="shared" si="117"/>
        <v>317</v>
      </c>
      <c r="O856">
        <f t="shared" si="117"/>
        <v>342</v>
      </c>
      <c r="P856">
        <f t="shared" si="117"/>
        <v>360</v>
      </c>
      <c r="Q856">
        <f t="shared" si="114"/>
        <v>386</v>
      </c>
      <c r="S856" t="str">
        <f t="shared" si="112"/>
        <v>05.12.2025</v>
      </c>
      <c r="T856" t="str">
        <f t="shared" si="113"/>
        <v>16:30:00</v>
      </c>
      <c r="U856" t="str">
        <f t="shared" si="115"/>
        <v>05.12.2025 16:30:00</v>
      </c>
      <c r="V856" s="9" t="str">
        <f>MID($A856,C856+C$2+1,D856-C856-C$2-1)</f>
        <v>0</v>
      </c>
      <c r="W856" s="4">
        <f>VALUE(SUBSTITUTE(MID($A856,D856+D$2+1,E856-D856-D$2-1),",","."))</f>
        <v>0</v>
      </c>
      <c r="X856" s="4">
        <f>VALUE(SUBSTITUTE(MID($A856,E856+E$2+1,F856-E856-E$2-1),",","."))</f>
        <v>0.90957602214449496</v>
      </c>
      <c r="Y856" s="4">
        <f>VALUE(SUBSTITUTE(MID($A856,F856+F$2+1,G856-F856-F$2-1),",","."))</f>
        <v>0</v>
      </c>
      <c r="Z856" s="3">
        <f>VALUE(SUBSTITUTE(MID($A856,G856+G$2+1,H856-G856-G$2-1),",","."))</f>
        <v>46.8</v>
      </c>
      <c r="AA856" s="3">
        <f>VALUE(SUBSTITUTE(MID($A856,H856+H$2+1,I856-H856-H$2-1),",","."))</f>
        <v>0</v>
      </c>
      <c r="AB856" s="3">
        <f>VALUE(SUBSTITUTE(MID($A856,I856+I$2+1,J856-I856-I$2-1),",","."))</f>
        <v>12.5</v>
      </c>
      <c r="AC856" s="3">
        <f>VALUE(SUBSTITUTE(MID($A856,J856+J$2+1,K856-J856-J$2-1),",","."))</f>
        <v>4.95</v>
      </c>
      <c r="AD856" s="3">
        <f>VALUE(SUBSTITUTE(MID($A856,K856+K$2+1,L856-K856-K$2-1),",","."))</f>
        <v>19.079999999999998</v>
      </c>
      <c r="AE856" s="3">
        <f>VALUE(SUBSTITUTE(MID($A856,L856+L$2+1,M856-L856-L$2-1),",","."))</f>
        <v>0</v>
      </c>
      <c r="AF856" s="3">
        <f>VALUE(SUBSTITUTE(MID($A856,M856+M$2+1,N856-M856-M$2-1),",","."))</f>
        <v>0</v>
      </c>
      <c r="AG856" s="3">
        <f>VALUE(SUBSTITUTE(MID($A856,N856+N$2+1,O856-N856-N$2-1),",","."))</f>
        <v>4.22778820921204</v>
      </c>
      <c r="AH856" t="str">
        <f>MID($A856,O856+O$2+1,P856-O856-O$2-1)</f>
        <v/>
      </c>
      <c r="AI856" s="8" t="str">
        <f>MID($A856,P856+P$2+1,Q856-P856-P$2-1)</f>
        <v>False</v>
      </c>
      <c r="AK856" t="b">
        <f t="shared" si="116"/>
        <v>0</v>
      </c>
    </row>
    <row r="857" spans="1:37" x14ac:dyDescent="0.35">
      <c r="A857" t="s">
        <v>5404</v>
      </c>
      <c r="B857">
        <f t="shared" si="118"/>
        <v>10</v>
      </c>
      <c r="C857">
        <f t="shared" si="118"/>
        <v>43</v>
      </c>
      <c r="D857">
        <f t="shared" si="118"/>
        <v>54</v>
      </c>
      <c r="E857">
        <f t="shared" si="117"/>
        <v>80</v>
      </c>
      <c r="F857">
        <f t="shared" si="117"/>
        <v>124</v>
      </c>
      <c r="G857">
        <f t="shared" si="117"/>
        <v>145</v>
      </c>
      <c r="H857">
        <f t="shared" si="117"/>
        <v>180</v>
      </c>
      <c r="I857">
        <f t="shared" si="117"/>
        <v>202</v>
      </c>
      <c r="J857">
        <f t="shared" si="117"/>
        <v>238</v>
      </c>
      <c r="K857">
        <f t="shared" si="117"/>
        <v>258</v>
      </c>
      <c r="L857">
        <f t="shared" si="117"/>
        <v>290</v>
      </c>
      <c r="M857">
        <f t="shared" si="117"/>
        <v>305</v>
      </c>
      <c r="N857">
        <f t="shared" si="117"/>
        <v>317</v>
      </c>
      <c r="O857">
        <f t="shared" si="117"/>
        <v>342</v>
      </c>
      <c r="P857">
        <f t="shared" si="117"/>
        <v>360</v>
      </c>
      <c r="Q857">
        <f t="shared" si="114"/>
        <v>386</v>
      </c>
      <c r="S857" t="str">
        <f t="shared" si="112"/>
        <v>05.12.2025</v>
      </c>
      <c r="T857" t="str">
        <f t="shared" si="113"/>
        <v>16:45:00</v>
      </c>
      <c r="U857" t="str">
        <f t="shared" si="115"/>
        <v>05.12.2025 16:45:00</v>
      </c>
      <c r="V857" s="9" t="str">
        <f>MID($A857,C857+C$2+1,D857-C857-C$2-1)</f>
        <v>0</v>
      </c>
      <c r="W857" s="4">
        <f>VALUE(SUBSTITUTE(MID($A857,D857+D$2+1,E857-D857-D$2-1),",","."))</f>
        <v>0</v>
      </c>
      <c r="X857" s="4">
        <f>VALUE(SUBSTITUTE(MID($A857,E857+E$2+1,F857-E857-E$2-1),",","."))</f>
        <v>0.90957602214449496</v>
      </c>
      <c r="Y857" s="4">
        <f>VALUE(SUBSTITUTE(MID($A857,F857+F$2+1,G857-F857-F$2-1),",","."))</f>
        <v>0</v>
      </c>
      <c r="Z857" s="3">
        <f>VALUE(SUBSTITUTE(MID($A857,G857+G$2+1,H857-G857-G$2-1),",","."))</f>
        <v>46.8</v>
      </c>
      <c r="AA857" s="3">
        <f>VALUE(SUBSTITUTE(MID($A857,H857+H$2+1,I857-H857-H$2-1),",","."))</f>
        <v>0</v>
      </c>
      <c r="AB857" s="3">
        <f>VALUE(SUBSTITUTE(MID($A857,I857+I$2+1,J857-I857-I$2-1),",","."))</f>
        <v>12.5</v>
      </c>
      <c r="AC857" s="3">
        <f>VALUE(SUBSTITUTE(MID($A857,J857+J$2+1,K857-J857-J$2-1),",","."))</f>
        <v>4.95</v>
      </c>
      <c r="AD857" s="3">
        <f>VALUE(SUBSTITUTE(MID($A857,K857+K$2+1,L857-K857-K$2-1),",","."))</f>
        <v>19.079999999999998</v>
      </c>
      <c r="AE857" s="3">
        <f>VALUE(SUBSTITUTE(MID($A857,L857+L$2+1,M857-L857-L$2-1),",","."))</f>
        <v>0</v>
      </c>
      <c r="AF857" s="3">
        <f>VALUE(SUBSTITUTE(MID($A857,M857+M$2+1,N857-M857-M$2-1),",","."))</f>
        <v>0</v>
      </c>
      <c r="AG857" s="3">
        <f>VALUE(SUBSTITUTE(MID($A857,N857+N$2+1,O857-N857-N$2-1),",","."))</f>
        <v>4.2278167291001196</v>
      </c>
      <c r="AH857" t="str">
        <f>MID($A857,O857+O$2+1,P857-O857-O$2-1)</f>
        <v/>
      </c>
      <c r="AI857" s="8" t="str">
        <f>MID($A857,P857+P$2+1,Q857-P857-P$2-1)</f>
        <v>False</v>
      </c>
      <c r="AK857" t="b">
        <f t="shared" si="116"/>
        <v>0</v>
      </c>
    </row>
    <row r="858" spans="1:37" x14ac:dyDescent="0.35">
      <c r="A858" t="s">
        <v>5405</v>
      </c>
      <c r="B858">
        <f t="shared" si="118"/>
        <v>10</v>
      </c>
      <c r="C858">
        <f t="shared" si="118"/>
        <v>43</v>
      </c>
      <c r="D858">
        <f t="shared" si="118"/>
        <v>54</v>
      </c>
      <c r="E858">
        <f t="shared" si="117"/>
        <v>80</v>
      </c>
      <c r="F858">
        <f t="shared" si="117"/>
        <v>124</v>
      </c>
      <c r="G858">
        <f t="shared" si="117"/>
        <v>145</v>
      </c>
      <c r="H858">
        <f t="shared" si="117"/>
        <v>180</v>
      </c>
      <c r="I858">
        <f t="shared" si="117"/>
        <v>202</v>
      </c>
      <c r="J858">
        <f t="shared" si="117"/>
        <v>238</v>
      </c>
      <c r="K858">
        <f t="shared" si="117"/>
        <v>258</v>
      </c>
      <c r="L858">
        <f t="shared" si="117"/>
        <v>290</v>
      </c>
      <c r="M858">
        <f t="shared" si="117"/>
        <v>305</v>
      </c>
      <c r="N858">
        <f t="shared" si="117"/>
        <v>317</v>
      </c>
      <c r="O858">
        <f t="shared" si="117"/>
        <v>343</v>
      </c>
      <c r="P858">
        <f t="shared" si="117"/>
        <v>361</v>
      </c>
      <c r="Q858">
        <f t="shared" si="114"/>
        <v>387</v>
      </c>
      <c r="S858" t="str">
        <f t="shared" si="112"/>
        <v>05.12.2025</v>
      </c>
      <c r="T858" t="str">
        <f t="shared" si="113"/>
        <v>17:00:00</v>
      </c>
      <c r="U858" t="str">
        <f t="shared" si="115"/>
        <v>05.12.2025 17:00:00</v>
      </c>
      <c r="V858" s="9" t="str">
        <f>MID($A858,C858+C$2+1,D858-C858-C$2-1)</f>
        <v>0</v>
      </c>
      <c r="W858" s="4">
        <f>VALUE(SUBSTITUTE(MID($A858,D858+D$2+1,E858-D858-D$2-1),",","."))</f>
        <v>0</v>
      </c>
      <c r="X858" s="4">
        <f>VALUE(SUBSTITUTE(MID($A858,E858+E$2+1,F858-E858-E$2-1),",","."))</f>
        <v>0.90957602214449496</v>
      </c>
      <c r="Y858" s="4">
        <f>VALUE(SUBSTITUTE(MID($A858,F858+F$2+1,G858-F858-F$2-1),",","."))</f>
        <v>0</v>
      </c>
      <c r="Z858" s="3">
        <f>VALUE(SUBSTITUTE(MID($A858,G858+G$2+1,H858-G858-G$2-1),",","."))</f>
        <v>46.8</v>
      </c>
      <c r="AA858" s="3">
        <f>VALUE(SUBSTITUTE(MID($A858,H858+H$2+1,I858-H858-H$2-1),",","."))</f>
        <v>0</v>
      </c>
      <c r="AB858" s="3">
        <f>VALUE(SUBSTITUTE(MID($A858,I858+I$2+1,J858-I858-I$2-1),",","."))</f>
        <v>12.5</v>
      </c>
      <c r="AC858" s="3">
        <f>VALUE(SUBSTITUTE(MID($A858,J858+J$2+1,K858-J858-J$2-1),",","."))</f>
        <v>4.95</v>
      </c>
      <c r="AD858" s="3">
        <f>VALUE(SUBSTITUTE(MID($A858,K858+K$2+1,L858-K858-K$2-1),",","."))</f>
        <v>19.079999999999998</v>
      </c>
      <c r="AE858" s="3">
        <f>VALUE(SUBSTITUTE(MID($A858,L858+L$2+1,M858-L858-L$2-1),",","."))</f>
        <v>0</v>
      </c>
      <c r="AF858" s="3">
        <f>VALUE(SUBSTITUTE(MID($A858,M858+M$2+1,N858-M858-M$2-1),",","."))</f>
        <v>0</v>
      </c>
      <c r="AG858" s="3">
        <f>VALUE(SUBSTITUTE(MID($A858,N858+N$2+1,O858-N858-N$2-1),",","."))</f>
        <v>4.2278452489882001</v>
      </c>
      <c r="AH858" t="str">
        <f>MID($A858,O858+O$2+1,P858-O858-O$2-1)</f>
        <v/>
      </c>
      <c r="AI858" s="8" t="str">
        <f>MID($A858,P858+P$2+1,Q858-P858-P$2-1)</f>
        <v>False</v>
      </c>
      <c r="AK858" t="b">
        <f t="shared" si="116"/>
        <v>0</v>
      </c>
    </row>
    <row r="859" spans="1:37" x14ac:dyDescent="0.35">
      <c r="A859" t="s">
        <v>5406</v>
      </c>
      <c r="B859">
        <f t="shared" si="118"/>
        <v>10</v>
      </c>
      <c r="C859">
        <f t="shared" si="118"/>
        <v>43</v>
      </c>
      <c r="D859">
        <f t="shared" si="118"/>
        <v>54</v>
      </c>
      <c r="E859">
        <f t="shared" si="117"/>
        <v>80</v>
      </c>
      <c r="F859">
        <f t="shared" si="117"/>
        <v>124</v>
      </c>
      <c r="G859">
        <f t="shared" si="117"/>
        <v>145</v>
      </c>
      <c r="H859">
        <f t="shared" si="117"/>
        <v>180</v>
      </c>
      <c r="I859">
        <f t="shared" si="117"/>
        <v>202</v>
      </c>
      <c r="J859">
        <f t="shared" si="117"/>
        <v>238</v>
      </c>
      <c r="K859">
        <f t="shared" si="117"/>
        <v>258</v>
      </c>
      <c r="L859">
        <f t="shared" si="117"/>
        <v>290</v>
      </c>
      <c r="M859">
        <f t="shared" si="117"/>
        <v>305</v>
      </c>
      <c r="N859">
        <f t="shared" si="117"/>
        <v>317</v>
      </c>
      <c r="O859">
        <f t="shared" si="117"/>
        <v>342</v>
      </c>
      <c r="P859">
        <f t="shared" si="117"/>
        <v>360</v>
      </c>
      <c r="Q859">
        <f t="shared" si="114"/>
        <v>386</v>
      </c>
      <c r="S859" t="str">
        <f t="shared" si="112"/>
        <v>05.12.2025</v>
      </c>
      <c r="T859" t="str">
        <f t="shared" si="113"/>
        <v>17:15:00</v>
      </c>
      <c r="U859" t="str">
        <f t="shared" si="115"/>
        <v>05.12.2025 17:15:00</v>
      </c>
      <c r="V859" s="9" t="str">
        <f>MID($A859,C859+C$2+1,D859-C859-C$2-1)</f>
        <v>0</v>
      </c>
      <c r="W859" s="4">
        <f>VALUE(SUBSTITUTE(MID($A859,D859+D$2+1,E859-D859-D$2-1),",","."))</f>
        <v>0</v>
      </c>
      <c r="X859" s="4">
        <f>VALUE(SUBSTITUTE(MID($A859,E859+E$2+1,F859-E859-E$2-1),",","."))</f>
        <v>0.90957602214449496</v>
      </c>
      <c r="Y859" s="4">
        <f>VALUE(SUBSTITUTE(MID($A859,F859+F$2+1,G859-F859-F$2-1),",","."))</f>
        <v>0</v>
      </c>
      <c r="Z859" s="3">
        <f>VALUE(SUBSTITUTE(MID($A859,G859+G$2+1,H859-G859-G$2-1),",","."))</f>
        <v>46.8</v>
      </c>
      <c r="AA859" s="3">
        <f>VALUE(SUBSTITUTE(MID($A859,H859+H$2+1,I859-H859-H$2-1),",","."))</f>
        <v>0</v>
      </c>
      <c r="AB859" s="3">
        <f>VALUE(SUBSTITUTE(MID($A859,I859+I$2+1,J859-I859-I$2-1),",","."))</f>
        <v>12.5</v>
      </c>
      <c r="AC859" s="3">
        <f>VALUE(SUBSTITUTE(MID($A859,J859+J$2+1,K859-J859-J$2-1),",","."))</f>
        <v>4.95</v>
      </c>
      <c r="AD859" s="3">
        <f>VALUE(SUBSTITUTE(MID($A859,K859+K$2+1,L859-K859-K$2-1),",","."))</f>
        <v>19.079999999999998</v>
      </c>
      <c r="AE859" s="3">
        <f>VALUE(SUBSTITUTE(MID($A859,L859+L$2+1,M859-L859-L$2-1),",","."))</f>
        <v>0</v>
      </c>
      <c r="AF859" s="3">
        <f>VALUE(SUBSTITUTE(MID($A859,M859+M$2+1,N859-M859-M$2-1),",","."))</f>
        <v>0</v>
      </c>
      <c r="AG859" s="3">
        <f>VALUE(SUBSTITUTE(MID($A859,N859+N$2+1,O859-N859-N$2-1),",","."))</f>
        <v>4.2278737688762797</v>
      </c>
      <c r="AH859" t="str">
        <f>MID($A859,O859+O$2+1,P859-O859-O$2-1)</f>
        <v/>
      </c>
      <c r="AI859" s="8" t="str">
        <f>MID($A859,P859+P$2+1,Q859-P859-P$2-1)</f>
        <v>False</v>
      </c>
      <c r="AK859" t="b">
        <f t="shared" si="116"/>
        <v>0</v>
      </c>
    </row>
    <row r="860" spans="1:37" x14ac:dyDescent="0.35">
      <c r="A860" t="s">
        <v>5407</v>
      </c>
      <c r="B860">
        <f t="shared" si="118"/>
        <v>10</v>
      </c>
      <c r="C860">
        <f t="shared" si="118"/>
        <v>43</v>
      </c>
      <c r="D860">
        <f t="shared" si="118"/>
        <v>54</v>
      </c>
      <c r="E860">
        <f t="shared" si="117"/>
        <v>80</v>
      </c>
      <c r="F860">
        <f t="shared" si="117"/>
        <v>124</v>
      </c>
      <c r="G860">
        <f t="shared" si="117"/>
        <v>145</v>
      </c>
      <c r="H860">
        <f t="shared" si="117"/>
        <v>177</v>
      </c>
      <c r="I860">
        <f t="shared" si="117"/>
        <v>199</v>
      </c>
      <c r="J860">
        <f t="shared" si="117"/>
        <v>232</v>
      </c>
      <c r="K860">
        <f t="shared" si="117"/>
        <v>252</v>
      </c>
      <c r="L860">
        <f t="shared" si="117"/>
        <v>284</v>
      </c>
      <c r="M860">
        <f t="shared" si="117"/>
        <v>299</v>
      </c>
      <c r="N860">
        <f t="shared" si="117"/>
        <v>311</v>
      </c>
      <c r="O860">
        <f t="shared" si="117"/>
        <v>336</v>
      </c>
      <c r="P860">
        <f t="shared" si="117"/>
        <v>354</v>
      </c>
      <c r="Q860">
        <f t="shared" si="114"/>
        <v>380</v>
      </c>
      <c r="S860" t="str">
        <f t="shared" si="112"/>
        <v>05.12.2025</v>
      </c>
      <c r="T860" t="str">
        <f t="shared" si="113"/>
        <v>17:30:00</v>
      </c>
      <c r="U860" t="str">
        <f t="shared" si="115"/>
        <v>05.12.2025 17:30:00</v>
      </c>
      <c r="V860" s="9" t="str">
        <f>MID($A860,C860+C$2+1,D860-C860-C$2-1)</f>
        <v>0</v>
      </c>
      <c r="W860" s="4">
        <f>VALUE(SUBSTITUTE(MID($A860,D860+D$2+1,E860-D860-D$2-1),",","."))</f>
        <v>0</v>
      </c>
      <c r="X860" s="4">
        <f>VALUE(SUBSTITUTE(MID($A860,E860+E$2+1,F860-E860-E$2-1),",","."))</f>
        <v>0.90957602214449496</v>
      </c>
      <c r="Y860" s="4">
        <f>VALUE(SUBSTITUTE(MID($A860,F860+F$2+1,G860-F860-F$2-1),",","."))</f>
        <v>0</v>
      </c>
      <c r="Z860" s="3">
        <f>VALUE(SUBSTITUTE(MID($A860,G860+G$2+1,H860-G860-G$2-1),",","."))</f>
        <v>0</v>
      </c>
      <c r="AA860" s="3">
        <f>VALUE(SUBSTITUTE(MID($A860,H860+H$2+1,I860-H860-H$2-1),",","."))</f>
        <v>0</v>
      </c>
      <c r="AB860" s="3">
        <f>VALUE(SUBSTITUTE(MID($A860,I860+I$2+1,J860-I860-I$2-1),",","."))</f>
        <v>0</v>
      </c>
      <c r="AC860" s="3">
        <f>VALUE(SUBSTITUTE(MID($A860,J860+J$2+1,K860-J860-J$2-1),",","."))</f>
        <v>4.6500000000000004</v>
      </c>
      <c r="AD860" s="3">
        <f>VALUE(SUBSTITUTE(MID($A860,K860+K$2+1,L860-K860-K$2-1),",","."))</f>
        <v>21.24</v>
      </c>
      <c r="AE860" s="3">
        <f>VALUE(SUBSTITUTE(MID($A860,L860+L$2+1,M860-L860-L$2-1),",","."))</f>
        <v>0</v>
      </c>
      <c r="AF860" s="3">
        <f>VALUE(SUBSTITUTE(MID($A860,M860+M$2+1,N860-M860-M$2-1),",","."))</f>
        <v>0</v>
      </c>
      <c r="AG860" s="3">
        <f>VALUE(SUBSTITUTE(MID($A860,N860+N$2+1,O860-N860-N$2-1),",","."))</f>
        <v>4.2279022887643603</v>
      </c>
      <c r="AH860" t="str">
        <f>MID($A860,O860+O$2+1,P860-O860-O$2-1)</f>
        <v/>
      </c>
      <c r="AI860" s="8" t="str">
        <f>MID($A860,P860+P$2+1,Q860-P860-P$2-1)</f>
        <v>False</v>
      </c>
      <c r="AK860" t="b">
        <f t="shared" si="116"/>
        <v>0</v>
      </c>
    </row>
    <row r="861" spans="1:37" x14ac:dyDescent="0.35">
      <c r="A861" t="s">
        <v>5408</v>
      </c>
      <c r="B861">
        <f t="shared" si="118"/>
        <v>10</v>
      </c>
      <c r="C861">
        <f t="shared" si="118"/>
        <v>43</v>
      </c>
      <c r="D861">
        <f t="shared" si="118"/>
        <v>54</v>
      </c>
      <c r="E861">
        <f t="shared" si="117"/>
        <v>80</v>
      </c>
      <c r="F861">
        <f t="shared" si="117"/>
        <v>124</v>
      </c>
      <c r="G861">
        <f t="shared" si="117"/>
        <v>145</v>
      </c>
      <c r="H861">
        <f t="shared" si="117"/>
        <v>177</v>
      </c>
      <c r="I861">
        <f t="shared" si="117"/>
        <v>199</v>
      </c>
      <c r="J861">
        <f t="shared" si="117"/>
        <v>232</v>
      </c>
      <c r="K861">
        <f t="shared" si="117"/>
        <v>252</v>
      </c>
      <c r="L861">
        <f t="shared" si="117"/>
        <v>284</v>
      </c>
      <c r="M861">
        <f t="shared" si="117"/>
        <v>299</v>
      </c>
      <c r="N861">
        <f t="shared" si="117"/>
        <v>311</v>
      </c>
      <c r="O861">
        <f t="shared" si="117"/>
        <v>335</v>
      </c>
      <c r="P861">
        <f t="shared" si="117"/>
        <v>353</v>
      </c>
      <c r="Q861">
        <f t="shared" si="114"/>
        <v>379</v>
      </c>
      <c r="S861" t="str">
        <f t="shared" si="112"/>
        <v>05.12.2025</v>
      </c>
      <c r="T861" t="str">
        <f t="shared" si="113"/>
        <v>17:45:00</v>
      </c>
      <c r="U861" t="str">
        <f t="shared" si="115"/>
        <v>05.12.2025 17:45:00</v>
      </c>
      <c r="V861" s="9" t="str">
        <f>MID($A861,C861+C$2+1,D861-C861-C$2-1)</f>
        <v>0</v>
      </c>
      <c r="W861" s="4">
        <f>VALUE(SUBSTITUTE(MID($A861,D861+D$2+1,E861-D861-D$2-1),",","."))</f>
        <v>0</v>
      </c>
      <c r="X861" s="4">
        <f>VALUE(SUBSTITUTE(MID($A861,E861+E$2+1,F861-E861-E$2-1),",","."))</f>
        <v>0.90957602214449496</v>
      </c>
      <c r="Y861" s="4">
        <f>VALUE(SUBSTITUTE(MID($A861,F861+F$2+1,G861-F861-F$2-1),",","."))</f>
        <v>0</v>
      </c>
      <c r="Z861" s="3">
        <f>VALUE(SUBSTITUTE(MID($A861,G861+G$2+1,H861-G861-G$2-1),",","."))</f>
        <v>0</v>
      </c>
      <c r="AA861" s="3">
        <f>VALUE(SUBSTITUTE(MID($A861,H861+H$2+1,I861-H861-H$2-1),",","."))</f>
        <v>0</v>
      </c>
      <c r="AB861" s="3">
        <f>VALUE(SUBSTITUTE(MID($A861,I861+I$2+1,J861-I861-I$2-1),",","."))</f>
        <v>0</v>
      </c>
      <c r="AC861" s="3">
        <f>VALUE(SUBSTITUTE(MID($A861,J861+J$2+1,K861-J861-J$2-1),",","."))</f>
        <v>4.6500000000000004</v>
      </c>
      <c r="AD861" s="3">
        <f>VALUE(SUBSTITUTE(MID($A861,K861+K$2+1,L861-K861-K$2-1),",","."))</f>
        <v>21.24</v>
      </c>
      <c r="AE861" s="3">
        <f>VALUE(SUBSTITUTE(MID($A861,L861+L$2+1,M861-L861-L$2-1),",","."))</f>
        <v>0</v>
      </c>
      <c r="AF861" s="3">
        <f>VALUE(SUBSTITUTE(MID($A861,M861+M$2+1,N861-M861-M$2-1),",","."))</f>
        <v>0</v>
      </c>
      <c r="AG861" s="3">
        <f>VALUE(SUBSTITUTE(MID($A861,N861+N$2+1,O861-N861-N$2-1),",","."))</f>
        <v>4.2279308086524496</v>
      </c>
      <c r="AH861" t="str">
        <f>MID($A861,O861+O$2+1,P861-O861-O$2-1)</f>
        <v/>
      </c>
      <c r="AI861" s="8" t="str">
        <f>MID($A861,P861+P$2+1,Q861-P861-P$2-1)</f>
        <v>False</v>
      </c>
      <c r="AK861" t="b">
        <f t="shared" si="116"/>
        <v>0</v>
      </c>
    </row>
    <row r="862" spans="1:37" x14ac:dyDescent="0.35">
      <c r="A862" t="s">
        <v>5409</v>
      </c>
      <c r="B862">
        <f t="shared" si="118"/>
        <v>10</v>
      </c>
      <c r="C862">
        <f t="shared" si="118"/>
        <v>43</v>
      </c>
      <c r="D862">
        <f t="shared" si="118"/>
        <v>54</v>
      </c>
      <c r="E862">
        <f t="shared" si="117"/>
        <v>80</v>
      </c>
      <c r="F862">
        <f t="shared" si="117"/>
        <v>124</v>
      </c>
      <c r="G862">
        <f t="shared" si="117"/>
        <v>145</v>
      </c>
      <c r="H862">
        <f t="shared" si="117"/>
        <v>177</v>
      </c>
      <c r="I862">
        <f t="shared" si="117"/>
        <v>199</v>
      </c>
      <c r="J862">
        <f t="shared" si="117"/>
        <v>232</v>
      </c>
      <c r="K862">
        <f t="shared" si="117"/>
        <v>252</v>
      </c>
      <c r="L862">
        <f t="shared" si="117"/>
        <v>284</v>
      </c>
      <c r="M862">
        <f t="shared" si="117"/>
        <v>299</v>
      </c>
      <c r="N862">
        <f t="shared" si="117"/>
        <v>311</v>
      </c>
      <c r="O862">
        <f t="shared" si="117"/>
        <v>336</v>
      </c>
      <c r="P862">
        <f t="shared" si="117"/>
        <v>354</v>
      </c>
      <c r="Q862">
        <f t="shared" si="114"/>
        <v>380</v>
      </c>
      <c r="S862" t="str">
        <f t="shared" si="112"/>
        <v>05.12.2025</v>
      </c>
      <c r="T862" t="str">
        <f t="shared" si="113"/>
        <v>18:00:00</v>
      </c>
      <c r="U862" t="str">
        <f t="shared" si="115"/>
        <v>05.12.2025 18:00:00</v>
      </c>
      <c r="V862" s="9" t="str">
        <f>MID($A862,C862+C$2+1,D862-C862-C$2-1)</f>
        <v>0</v>
      </c>
      <c r="W862" s="4">
        <f>VALUE(SUBSTITUTE(MID($A862,D862+D$2+1,E862-D862-D$2-1),",","."))</f>
        <v>0</v>
      </c>
      <c r="X862" s="4">
        <f>VALUE(SUBSTITUTE(MID($A862,E862+E$2+1,F862-E862-E$2-1),",","."))</f>
        <v>0.90957602214449496</v>
      </c>
      <c r="Y862" s="4">
        <f>VALUE(SUBSTITUTE(MID($A862,F862+F$2+1,G862-F862-F$2-1),",","."))</f>
        <v>0</v>
      </c>
      <c r="Z862" s="3">
        <f>VALUE(SUBSTITUTE(MID($A862,G862+G$2+1,H862-G862-G$2-1),",","."))</f>
        <v>0</v>
      </c>
      <c r="AA862" s="3">
        <f>VALUE(SUBSTITUTE(MID($A862,H862+H$2+1,I862-H862-H$2-1),",","."))</f>
        <v>0</v>
      </c>
      <c r="AB862" s="3">
        <f>VALUE(SUBSTITUTE(MID($A862,I862+I$2+1,J862-I862-I$2-1),",","."))</f>
        <v>0</v>
      </c>
      <c r="AC862" s="3">
        <f>VALUE(SUBSTITUTE(MID($A862,J862+J$2+1,K862-J862-J$2-1),",","."))</f>
        <v>4.6500000000000004</v>
      </c>
      <c r="AD862" s="3">
        <f>VALUE(SUBSTITUTE(MID($A862,K862+K$2+1,L862-K862-K$2-1),",","."))</f>
        <v>21.24</v>
      </c>
      <c r="AE862" s="3">
        <f>VALUE(SUBSTITUTE(MID($A862,L862+L$2+1,M862-L862-L$2-1),",","."))</f>
        <v>0</v>
      </c>
      <c r="AF862" s="3">
        <f>VALUE(SUBSTITUTE(MID($A862,M862+M$2+1,N862-M862-M$2-1),",","."))</f>
        <v>0</v>
      </c>
      <c r="AG862" s="3">
        <f>VALUE(SUBSTITUTE(MID($A862,N862+N$2+1,O862-N862-N$2-1),",","."))</f>
        <v>4.2279593285405301</v>
      </c>
      <c r="AH862" t="str">
        <f>MID($A862,O862+O$2+1,P862-O862-O$2-1)</f>
        <v/>
      </c>
      <c r="AI862" s="8" t="str">
        <f>MID($A862,P862+P$2+1,Q862-P862-P$2-1)</f>
        <v>False</v>
      </c>
      <c r="AK862" t="b">
        <f t="shared" si="116"/>
        <v>0</v>
      </c>
    </row>
    <row r="863" spans="1:37" x14ac:dyDescent="0.35">
      <c r="A863" t="s">
        <v>5410</v>
      </c>
      <c r="B863">
        <f t="shared" si="118"/>
        <v>10</v>
      </c>
      <c r="C863">
        <f t="shared" si="118"/>
        <v>43</v>
      </c>
      <c r="D863">
        <f t="shared" si="118"/>
        <v>54</v>
      </c>
      <c r="E863">
        <f t="shared" si="117"/>
        <v>80</v>
      </c>
      <c r="F863">
        <f t="shared" si="117"/>
        <v>124</v>
      </c>
      <c r="G863">
        <f t="shared" si="117"/>
        <v>145</v>
      </c>
      <c r="H863">
        <f t="shared" si="117"/>
        <v>177</v>
      </c>
      <c r="I863">
        <f t="shared" si="117"/>
        <v>199</v>
      </c>
      <c r="J863">
        <f t="shared" si="117"/>
        <v>232</v>
      </c>
      <c r="K863">
        <f t="shared" si="117"/>
        <v>252</v>
      </c>
      <c r="L863">
        <f t="shared" si="117"/>
        <v>284</v>
      </c>
      <c r="M863">
        <f t="shared" si="117"/>
        <v>299</v>
      </c>
      <c r="N863">
        <f t="shared" si="117"/>
        <v>311</v>
      </c>
      <c r="O863">
        <f t="shared" si="117"/>
        <v>336</v>
      </c>
      <c r="P863">
        <f t="shared" si="117"/>
        <v>354</v>
      </c>
      <c r="Q863">
        <f t="shared" si="114"/>
        <v>380</v>
      </c>
      <c r="S863" t="str">
        <f t="shared" si="112"/>
        <v>05.12.2025</v>
      </c>
      <c r="T863" t="str">
        <f t="shared" si="113"/>
        <v>18:15:00</v>
      </c>
      <c r="U863" t="str">
        <f t="shared" si="115"/>
        <v>05.12.2025 18:15:00</v>
      </c>
      <c r="V863" s="9" t="str">
        <f>MID($A863,C863+C$2+1,D863-C863-C$2-1)</f>
        <v>0</v>
      </c>
      <c r="W863" s="4">
        <f>VALUE(SUBSTITUTE(MID($A863,D863+D$2+1,E863-D863-D$2-1),",","."))</f>
        <v>0</v>
      </c>
      <c r="X863" s="4">
        <f>VALUE(SUBSTITUTE(MID($A863,E863+E$2+1,F863-E863-E$2-1),",","."))</f>
        <v>0.90957602214449496</v>
      </c>
      <c r="Y863" s="4">
        <f>VALUE(SUBSTITUTE(MID($A863,F863+F$2+1,G863-F863-F$2-1),",","."))</f>
        <v>0</v>
      </c>
      <c r="Z863" s="3">
        <f>VALUE(SUBSTITUTE(MID($A863,G863+G$2+1,H863-G863-G$2-1),",","."))</f>
        <v>0</v>
      </c>
      <c r="AA863" s="3">
        <f>VALUE(SUBSTITUTE(MID($A863,H863+H$2+1,I863-H863-H$2-1),",","."))</f>
        <v>0</v>
      </c>
      <c r="AB863" s="3">
        <f>VALUE(SUBSTITUTE(MID($A863,I863+I$2+1,J863-I863-I$2-1),",","."))</f>
        <v>0</v>
      </c>
      <c r="AC863" s="3">
        <f>VALUE(SUBSTITUTE(MID($A863,J863+J$2+1,K863-J863-J$2-1),",","."))</f>
        <v>4.6500000000000004</v>
      </c>
      <c r="AD863" s="3">
        <f>VALUE(SUBSTITUTE(MID($A863,K863+K$2+1,L863-K863-K$2-1),",","."))</f>
        <v>21.24</v>
      </c>
      <c r="AE863" s="3">
        <f>VALUE(SUBSTITUTE(MID($A863,L863+L$2+1,M863-L863-L$2-1),",","."))</f>
        <v>0</v>
      </c>
      <c r="AF863" s="3">
        <f>VALUE(SUBSTITUTE(MID($A863,M863+M$2+1,N863-M863-M$2-1),",","."))</f>
        <v>0</v>
      </c>
      <c r="AG863" s="3">
        <f>VALUE(SUBSTITUTE(MID($A863,N863+N$2+1,O863-N863-N$2-1),",","."))</f>
        <v>4.2279878484286098</v>
      </c>
      <c r="AH863" t="str">
        <f>MID($A863,O863+O$2+1,P863-O863-O$2-1)</f>
        <v/>
      </c>
      <c r="AI863" s="8" t="str">
        <f>MID($A863,P863+P$2+1,Q863-P863-P$2-1)</f>
        <v>False</v>
      </c>
      <c r="AK863" t="b">
        <f t="shared" si="116"/>
        <v>0</v>
      </c>
    </row>
    <row r="864" spans="1:37" x14ac:dyDescent="0.35">
      <c r="A864" t="s">
        <v>5411</v>
      </c>
      <c r="B864">
        <f t="shared" si="118"/>
        <v>10</v>
      </c>
      <c r="C864">
        <f t="shared" si="118"/>
        <v>43</v>
      </c>
      <c r="D864">
        <f t="shared" si="118"/>
        <v>54</v>
      </c>
      <c r="E864">
        <f t="shared" si="117"/>
        <v>80</v>
      </c>
      <c r="F864">
        <f t="shared" si="117"/>
        <v>124</v>
      </c>
      <c r="G864">
        <f t="shared" si="117"/>
        <v>145</v>
      </c>
      <c r="H864">
        <f t="shared" si="117"/>
        <v>177</v>
      </c>
      <c r="I864">
        <f t="shared" si="117"/>
        <v>199</v>
      </c>
      <c r="J864">
        <f t="shared" si="117"/>
        <v>232</v>
      </c>
      <c r="K864">
        <f t="shared" si="117"/>
        <v>251</v>
      </c>
      <c r="L864">
        <f t="shared" si="117"/>
        <v>270</v>
      </c>
      <c r="M864">
        <f t="shared" si="117"/>
        <v>285</v>
      </c>
      <c r="N864">
        <f t="shared" ref="N864:Q927" si="119">FIND(N$1,$A864)</f>
        <v>297</v>
      </c>
      <c r="O864">
        <f t="shared" si="119"/>
        <v>322</v>
      </c>
      <c r="P864">
        <f t="shared" si="119"/>
        <v>340</v>
      </c>
      <c r="Q864">
        <f t="shared" si="114"/>
        <v>366</v>
      </c>
      <c r="S864" t="str">
        <f t="shared" si="112"/>
        <v>05.12.2025</v>
      </c>
      <c r="T864" t="str">
        <f t="shared" si="113"/>
        <v>18:30:00</v>
      </c>
      <c r="U864" t="str">
        <f t="shared" si="115"/>
        <v>05.12.2025 18:30:00</v>
      </c>
      <c r="V864" s="9" t="str">
        <f>MID($A864,C864+C$2+1,D864-C864-C$2-1)</f>
        <v>0</v>
      </c>
      <c r="W864" s="4">
        <f>VALUE(SUBSTITUTE(MID($A864,D864+D$2+1,E864-D864-D$2-1),",","."))</f>
        <v>0</v>
      </c>
      <c r="X864" s="4">
        <f>VALUE(SUBSTITUTE(MID($A864,E864+E$2+1,F864-E864-E$2-1),",","."))</f>
        <v>0.90957602214449496</v>
      </c>
      <c r="Y864" s="4">
        <f>VALUE(SUBSTITUTE(MID($A864,F864+F$2+1,G864-F864-F$2-1),",","."))</f>
        <v>0</v>
      </c>
      <c r="Z864" s="3">
        <f>VALUE(SUBSTITUTE(MID($A864,G864+G$2+1,H864-G864-G$2-1),",","."))</f>
        <v>0</v>
      </c>
      <c r="AA864" s="3">
        <f>VALUE(SUBSTITUTE(MID($A864,H864+H$2+1,I864-H864-H$2-1),",","."))</f>
        <v>0</v>
      </c>
      <c r="AB864" s="3">
        <f>VALUE(SUBSTITUTE(MID($A864,I864+I$2+1,J864-I864-I$2-1),",","."))</f>
        <v>0</v>
      </c>
      <c r="AC864" s="3">
        <f>VALUE(SUBSTITUTE(MID($A864,J864+J$2+1,K864-J864-J$2-1),",","."))</f>
        <v>4.4000000000000004</v>
      </c>
      <c r="AD864" s="3">
        <f>VALUE(SUBSTITUTE(MID($A864,K864+K$2+1,L864-K864-K$2-1),",","."))</f>
        <v>21.78</v>
      </c>
      <c r="AE864" s="3">
        <f>VALUE(SUBSTITUTE(MID($A864,L864+L$2+1,M864-L864-L$2-1),",","."))</f>
        <v>0</v>
      </c>
      <c r="AF864" s="3">
        <f>VALUE(SUBSTITUTE(MID($A864,M864+M$2+1,N864-M864-M$2-1),",","."))</f>
        <v>0</v>
      </c>
      <c r="AG864" s="3">
        <f>VALUE(SUBSTITUTE(MID($A864,N864+N$2+1,O864-N864-N$2-1),",","."))</f>
        <v>4.2280163683166903</v>
      </c>
      <c r="AH864" t="str">
        <f>MID($A864,O864+O$2+1,P864-O864-O$2-1)</f>
        <v/>
      </c>
      <c r="AI864" s="8" t="str">
        <f>MID($A864,P864+P$2+1,Q864-P864-P$2-1)</f>
        <v>False</v>
      </c>
      <c r="AK864" t="b">
        <f t="shared" si="116"/>
        <v>0</v>
      </c>
    </row>
    <row r="865" spans="1:37" x14ac:dyDescent="0.35">
      <c r="A865" t="s">
        <v>5412</v>
      </c>
      <c r="B865">
        <f t="shared" si="118"/>
        <v>10</v>
      </c>
      <c r="C865">
        <f t="shared" si="118"/>
        <v>43</v>
      </c>
      <c r="D865">
        <f t="shared" si="118"/>
        <v>54</v>
      </c>
      <c r="E865">
        <f t="shared" si="118"/>
        <v>80</v>
      </c>
      <c r="F865">
        <f t="shared" si="118"/>
        <v>124</v>
      </c>
      <c r="G865">
        <f t="shared" si="118"/>
        <v>145</v>
      </c>
      <c r="H865">
        <f t="shared" si="118"/>
        <v>177</v>
      </c>
      <c r="I865">
        <f t="shared" si="118"/>
        <v>199</v>
      </c>
      <c r="J865">
        <f t="shared" si="118"/>
        <v>232</v>
      </c>
      <c r="K865">
        <f t="shared" si="118"/>
        <v>251</v>
      </c>
      <c r="L865">
        <f t="shared" si="118"/>
        <v>270</v>
      </c>
      <c r="M865">
        <f t="shared" si="118"/>
        <v>285</v>
      </c>
      <c r="N865">
        <f t="shared" si="119"/>
        <v>297</v>
      </c>
      <c r="O865">
        <f t="shared" si="119"/>
        <v>322</v>
      </c>
      <c r="P865">
        <f t="shared" si="119"/>
        <v>340</v>
      </c>
      <c r="Q865">
        <f t="shared" si="114"/>
        <v>366</v>
      </c>
      <c r="S865" t="str">
        <f t="shared" si="112"/>
        <v>05.12.2025</v>
      </c>
      <c r="T865" t="str">
        <f t="shared" si="113"/>
        <v>18:45:00</v>
      </c>
      <c r="U865" t="str">
        <f t="shared" si="115"/>
        <v>05.12.2025 18:45:00</v>
      </c>
      <c r="V865" s="9" t="str">
        <f>MID($A865,C865+C$2+1,D865-C865-C$2-1)</f>
        <v>0</v>
      </c>
      <c r="W865" s="4">
        <f>VALUE(SUBSTITUTE(MID($A865,D865+D$2+1,E865-D865-D$2-1),",","."))</f>
        <v>0</v>
      </c>
      <c r="X865" s="4">
        <f>VALUE(SUBSTITUTE(MID($A865,E865+E$2+1,F865-E865-E$2-1),",","."))</f>
        <v>0.90957602214449496</v>
      </c>
      <c r="Y865" s="4">
        <f>VALUE(SUBSTITUTE(MID($A865,F865+F$2+1,G865-F865-F$2-1),",","."))</f>
        <v>0</v>
      </c>
      <c r="Z865" s="3">
        <f>VALUE(SUBSTITUTE(MID($A865,G865+G$2+1,H865-G865-G$2-1),",","."))</f>
        <v>0</v>
      </c>
      <c r="AA865" s="3">
        <f>VALUE(SUBSTITUTE(MID($A865,H865+H$2+1,I865-H865-H$2-1),",","."))</f>
        <v>0</v>
      </c>
      <c r="AB865" s="3">
        <f>VALUE(SUBSTITUTE(MID($A865,I865+I$2+1,J865-I865-I$2-1),",","."))</f>
        <v>0</v>
      </c>
      <c r="AC865" s="3">
        <f>VALUE(SUBSTITUTE(MID($A865,J865+J$2+1,K865-J865-J$2-1),",","."))</f>
        <v>4.4000000000000004</v>
      </c>
      <c r="AD865" s="3">
        <f>VALUE(SUBSTITUTE(MID($A865,K865+K$2+1,L865-K865-K$2-1),",","."))</f>
        <v>21.78</v>
      </c>
      <c r="AE865" s="3">
        <f>VALUE(SUBSTITUTE(MID($A865,L865+L$2+1,M865-L865-L$2-1),",","."))</f>
        <v>0</v>
      </c>
      <c r="AF865" s="3">
        <f>VALUE(SUBSTITUTE(MID($A865,M865+M$2+1,N865-M865-M$2-1),",","."))</f>
        <v>0</v>
      </c>
      <c r="AG865" s="3">
        <f>VALUE(SUBSTITUTE(MID($A865,N865+N$2+1,O865-N865-N$2-1),",","."))</f>
        <v>4.2280448882047699</v>
      </c>
      <c r="AH865" t="str">
        <f>MID($A865,O865+O$2+1,P865-O865-O$2-1)</f>
        <v/>
      </c>
      <c r="AI865" s="8" t="str">
        <f>MID($A865,P865+P$2+1,Q865-P865-P$2-1)</f>
        <v>False</v>
      </c>
      <c r="AK865" t="b">
        <f t="shared" si="116"/>
        <v>0</v>
      </c>
    </row>
    <row r="866" spans="1:37" x14ac:dyDescent="0.35">
      <c r="A866" t="s">
        <v>5413</v>
      </c>
      <c r="B866">
        <f t="shared" si="118"/>
        <v>10</v>
      </c>
      <c r="C866">
        <f t="shared" si="118"/>
        <v>43</v>
      </c>
      <c r="D866">
        <f t="shared" si="118"/>
        <v>54</v>
      </c>
      <c r="E866">
        <f t="shared" si="118"/>
        <v>80</v>
      </c>
      <c r="F866">
        <f t="shared" si="118"/>
        <v>124</v>
      </c>
      <c r="G866">
        <f t="shared" si="118"/>
        <v>145</v>
      </c>
      <c r="H866">
        <f t="shared" si="118"/>
        <v>177</v>
      </c>
      <c r="I866">
        <f t="shared" si="118"/>
        <v>199</v>
      </c>
      <c r="J866">
        <f t="shared" si="118"/>
        <v>232</v>
      </c>
      <c r="K866">
        <f t="shared" si="118"/>
        <v>251</v>
      </c>
      <c r="L866">
        <f t="shared" si="118"/>
        <v>270</v>
      </c>
      <c r="M866">
        <f t="shared" si="118"/>
        <v>285</v>
      </c>
      <c r="N866">
        <f t="shared" si="119"/>
        <v>297</v>
      </c>
      <c r="O866">
        <f t="shared" si="119"/>
        <v>323</v>
      </c>
      <c r="P866">
        <f t="shared" si="119"/>
        <v>341</v>
      </c>
      <c r="Q866">
        <f t="shared" si="114"/>
        <v>367</v>
      </c>
      <c r="S866" t="str">
        <f t="shared" si="112"/>
        <v>05.12.2025</v>
      </c>
      <c r="T866" t="str">
        <f t="shared" si="113"/>
        <v>19:00:00</v>
      </c>
      <c r="U866" t="str">
        <f t="shared" si="115"/>
        <v>05.12.2025 19:00:00</v>
      </c>
      <c r="V866" s="9" t="str">
        <f>MID($A866,C866+C$2+1,D866-C866-C$2-1)</f>
        <v>0</v>
      </c>
      <c r="W866" s="4">
        <f>VALUE(SUBSTITUTE(MID($A866,D866+D$2+1,E866-D866-D$2-1),",","."))</f>
        <v>0</v>
      </c>
      <c r="X866" s="4">
        <f>VALUE(SUBSTITUTE(MID($A866,E866+E$2+1,F866-E866-E$2-1),",","."))</f>
        <v>0.90957602214449496</v>
      </c>
      <c r="Y866" s="4">
        <f>VALUE(SUBSTITUTE(MID($A866,F866+F$2+1,G866-F866-F$2-1),",","."))</f>
        <v>0</v>
      </c>
      <c r="Z866" s="3">
        <f>VALUE(SUBSTITUTE(MID($A866,G866+G$2+1,H866-G866-G$2-1),",","."))</f>
        <v>0</v>
      </c>
      <c r="AA866" s="3">
        <f>VALUE(SUBSTITUTE(MID($A866,H866+H$2+1,I866-H866-H$2-1),",","."))</f>
        <v>0</v>
      </c>
      <c r="AB866" s="3">
        <f>VALUE(SUBSTITUTE(MID($A866,I866+I$2+1,J866-I866-I$2-1),",","."))</f>
        <v>0</v>
      </c>
      <c r="AC866" s="3">
        <f>VALUE(SUBSTITUTE(MID($A866,J866+J$2+1,K866-J866-J$2-1),",","."))</f>
        <v>4.4000000000000004</v>
      </c>
      <c r="AD866" s="3">
        <f>VALUE(SUBSTITUTE(MID($A866,K866+K$2+1,L866-K866-K$2-1),",","."))</f>
        <v>21.78</v>
      </c>
      <c r="AE866" s="3">
        <f>VALUE(SUBSTITUTE(MID($A866,L866+L$2+1,M866-L866-L$2-1),",","."))</f>
        <v>0</v>
      </c>
      <c r="AF866" s="3">
        <f>VALUE(SUBSTITUTE(MID($A866,M866+M$2+1,N866-M866-M$2-1),",","."))</f>
        <v>0</v>
      </c>
      <c r="AG866" s="3">
        <f>VALUE(SUBSTITUTE(MID($A866,N866+N$2+1,O866-N866-N$2-1),",","."))</f>
        <v>4.2280734080928504</v>
      </c>
      <c r="AH866" t="str">
        <f>MID($A866,O866+O$2+1,P866-O866-O$2-1)</f>
        <v/>
      </c>
      <c r="AI866" s="8" t="str">
        <f>MID($A866,P866+P$2+1,Q866-P866-P$2-1)</f>
        <v>False</v>
      </c>
      <c r="AK866" t="b">
        <f t="shared" si="116"/>
        <v>0</v>
      </c>
    </row>
    <row r="867" spans="1:37" x14ac:dyDescent="0.35">
      <c r="A867" t="s">
        <v>5414</v>
      </c>
      <c r="B867">
        <f t="shared" si="118"/>
        <v>10</v>
      </c>
      <c r="C867">
        <f t="shared" si="118"/>
        <v>43</v>
      </c>
      <c r="D867">
        <f t="shared" si="118"/>
        <v>54</v>
      </c>
      <c r="E867">
        <f t="shared" si="118"/>
        <v>80</v>
      </c>
      <c r="F867">
        <f t="shared" si="118"/>
        <v>124</v>
      </c>
      <c r="G867">
        <f t="shared" si="118"/>
        <v>145</v>
      </c>
      <c r="H867">
        <f t="shared" si="118"/>
        <v>177</v>
      </c>
      <c r="I867">
        <f t="shared" si="118"/>
        <v>199</v>
      </c>
      <c r="J867">
        <f t="shared" si="118"/>
        <v>232</v>
      </c>
      <c r="K867">
        <f t="shared" si="118"/>
        <v>251</v>
      </c>
      <c r="L867">
        <f t="shared" si="118"/>
        <v>270</v>
      </c>
      <c r="M867">
        <f t="shared" si="118"/>
        <v>285</v>
      </c>
      <c r="N867">
        <f t="shared" si="119"/>
        <v>297</v>
      </c>
      <c r="O867">
        <f t="shared" si="119"/>
        <v>321</v>
      </c>
      <c r="P867">
        <f t="shared" si="119"/>
        <v>339</v>
      </c>
      <c r="Q867">
        <f t="shared" si="114"/>
        <v>365</v>
      </c>
      <c r="S867" t="str">
        <f t="shared" si="112"/>
        <v>05.12.2025</v>
      </c>
      <c r="T867" t="str">
        <f t="shared" si="113"/>
        <v>19:15:00</v>
      </c>
      <c r="U867" t="str">
        <f t="shared" si="115"/>
        <v>05.12.2025 19:15:00</v>
      </c>
      <c r="V867" s="9" t="str">
        <f>MID($A867,C867+C$2+1,D867-C867-C$2-1)</f>
        <v>0</v>
      </c>
      <c r="W867" s="4">
        <f>VALUE(SUBSTITUTE(MID($A867,D867+D$2+1,E867-D867-D$2-1),",","."))</f>
        <v>0</v>
      </c>
      <c r="X867" s="4">
        <f>VALUE(SUBSTITUTE(MID($A867,E867+E$2+1,F867-E867-E$2-1),",","."))</f>
        <v>0.90957602214449496</v>
      </c>
      <c r="Y867" s="4">
        <f>VALUE(SUBSTITUTE(MID($A867,F867+F$2+1,G867-F867-F$2-1),",","."))</f>
        <v>0</v>
      </c>
      <c r="Z867" s="3">
        <f>VALUE(SUBSTITUTE(MID($A867,G867+G$2+1,H867-G867-G$2-1),",","."))</f>
        <v>0</v>
      </c>
      <c r="AA867" s="3">
        <f>VALUE(SUBSTITUTE(MID($A867,H867+H$2+1,I867-H867-H$2-1),",","."))</f>
        <v>0</v>
      </c>
      <c r="AB867" s="3">
        <f>VALUE(SUBSTITUTE(MID($A867,I867+I$2+1,J867-I867-I$2-1),",","."))</f>
        <v>0</v>
      </c>
      <c r="AC867" s="3">
        <f>VALUE(SUBSTITUTE(MID($A867,J867+J$2+1,K867-J867-J$2-1),",","."))</f>
        <v>4.4000000000000004</v>
      </c>
      <c r="AD867" s="3">
        <f>VALUE(SUBSTITUTE(MID($A867,K867+K$2+1,L867-K867-K$2-1),",","."))</f>
        <v>21.78</v>
      </c>
      <c r="AE867" s="3">
        <f>VALUE(SUBSTITUTE(MID($A867,L867+L$2+1,M867-L867-L$2-1),",","."))</f>
        <v>0</v>
      </c>
      <c r="AF867" s="3">
        <f>VALUE(SUBSTITUTE(MID($A867,M867+M$2+1,N867-M867-M$2-1),",","."))</f>
        <v>0</v>
      </c>
      <c r="AG867" s="3">
        <f>VALUE(SUBSTITUTE(MID($A867,N867+N$2+1,O867-N867-N$2-1),",","."))</f>
        <v>4.2281019279809398</v>
      </c>
      <c r="AH867" t="str">
        <f>MID($A867,O867+O$2+1,P867-O867-O$2-1)</f>
        <v/>
      </c>
      <c r="AI867" s="8" t="str">
        <f>MID($A867,P867+P$2+1,Q867-P867-P$2-1)</f>
        <v>False</v>
      </c>
      <c r="AK867" t="b">
        <f t="shared" si="116"/>
        <v>0</v>
      </c>
    </row>
    <row r="868" spans="1:37" x14ac:dyDescent="0.35">
      <c r="A868" t="s">
        <v>5415</v>
      </c>
      <c r="B868">
        <f t="shared" si="118"/>
        <v>10</v>
      </c>
      <c r="C868">
        <f t="shared" si="118"/>
        <v>43</v>
      </c>
      <c r="D868">
        <f t="shared" si="118"/>
        <v>54</v>
      </c>
      <c r="E868">
        <f t="shared" si="118"/>
        <v>80</v>
      </c>
      <c r="F868">
        <f t="shared" si="118"/>
        <v>124</v>
      </c>
      <c r="G868">
        <f t="shared" si="118"/>
        <v>145</v>
      </c>
      <c r="H868">
        <f t="shared" si="118"/>
        <v>177</v>
      </c>
      <c r="I868">
        <f t="shared" si="118"/>
        <v>199</v>
      </c>
      <c r="J868">
        <f t="shared" si="118"/>
        <v>232</v>
      </c>
      <c r="K868">
        <f t="shared" si="118"/>
        <v>251</v>
      </c>
      <c r="L868">
        <f t="shared" si="118"/>
        <v>270</v>
      </c>
      <c r="M868">
        <f t="shared" si="118"/>
        <v>285</v>
      </c>
      <c r="N868">
        <f t="shared" si="119"/>
        <v>297</v>
      </c>
      <c r="O868">
        <f t="shared" si="119"/>
        <v>322</v>
      </c>
      <c r="P868">
        <f t="shared" si="119"/>
        <v>340</v>
      </c>
      <c r="Q868">
        <f t="shared" si="114"/>
        <v>366</v>
      </c>
      <c r="S868" t="str">
        <f t="shared" si="112"/>
        <v>05.12.2025</v>
      </c>
      <c r="T868" t="str">
        <f t="shared" si="113"/>
        <v>19:30:00</v>
      </c>
      <c r="U868" t="str">
        <f t="shared" si="115"/>
        <v>05.12.2025 19:30:00</v>
      </c>
      <c r="V868" s="9" t="str">
        <f>MID($A868,C868+C$2+1,D868-C868-C$2-1)</f>
        <v>0</v>
      </c>
      <c r="W868" s="4">
        <f>VALUE(SUBSTITUTE(MID($A868,D868+D$2+1,E868-D868-D$2-1),",","."))</f>
        <v>0</v>
      </c>
      <c r="X868" s="4">
        <f>VALUE(SUBSTITUTE(MID($A868,E868+E$2+1,F868-E868-E$2-1),",","."))</f>
        <v>0.90957602214449496</v>
      </c>
      <c r="Y868" s="4">
        <f>VALUE(SUBSTITUTE(MID($A868,F868+F$2+1,G868-F868-F$2-1),",","."))</f>
        <v>0</v>
      </c>
      <c r="Z868" s="3">
        <f>VALUE(SUBSTITUTE(MID($A868,G868+G$2+1,H868-G868-G$2-1),",","."))</f>
        <v>0</v>
      </c>
      <c r="AA868" s="3">
        <f>VALUE(SUBSTITUTE(MID($A868,H868+H$2+1,I868-H868-H$2-1),",","."))</f>
        <v>0</v>
      </c>
      <c r="AB868" s="3">
        <f>VALUE(SUBSTITUTE(MID($A868,I868+I$2+1,J868-I868-I$2-1),",","."))</f>
        <v>0</v>
      </c>
      <c r="AC868" s="3">
        <f>VALUE(SUBSTITUTE(MID($A868,J868+J$2+1,K868-J868-J$2-1),",","."))</f>
        <v>4.2</v>
      </c>
      <c r="AD868" s="3">
        <f>VALUE(SUBSTITUTE(MID($A868,K868+K$2+1,L868-K868-K$2-1),",","."))</f>
        <v>20.34</v>
      </c>
      <c r="AE868" s="3">
        <f>VALUE(SUBSTITUTE(MID($A868,L868+L$2+1,M868-L868-L$2-1),",","."))</f>
        <v>0</v>
      </c>
      <c r="AF868" s="3">
        <f>VALUE(SUBSTITUTE(MID($A868,M868+M$2+1,N868-M868-M$2-1),",","."))</f>
        <v>0</v>
      </c>
      <c r="AG868" s="3">
        <f>VALUE(SUBSTITUTE(MID($A868,N868+N$2+1,O868-N868-N$2-1),",","."))</f>
        <v>4.2281304478690203</v>
      </c>
      <c r="AH868" t="str">
        <f>MID($A868,O868+O$2+1,P868-O868-O$2-1)</f>
        <v/>
      </c>
      <c r="AI868" s="8" t="str">
        <f>MID($A868,P868+P$2+1,Q868-P868-P$2-1)</f>
        <v>False</v>
      </c>
      <c r="AK868" t="b">
        <f t="shared" si="116"/>
        <v>0</v>
      </c>
    </row>
    <row r="869" spans="1:37" x14ac:dyDescent="0.35">
      <c r="A869" t="s">
        <v>5416</v>
      </c>
      <c r="B869">
        <f t="shared" si="118"/>
        <v>10</v>
      </c>
      <c r="C869">
        <f t="shared" si="118"/>
        <v>43</v>
      </c>
      <c r="D869">
        <f t="shared" si="118"/>
        <v>54</v>
      </c>
      <c r="E869">
        <f t="shared" si="118"/>
        <v>80</v>
      </c>
      <c r="F869">
        <f t="shared" si="118"/>
        <v>124</v>
      </c>
      <c r="G869">
        <f t="shared" si="118"/>
        <v>145</v>
      </c>
      <c r="H869">
        <f t="shared" si="118"/>
        <v>177</v>
      </c>
      <c r="I869">
        <f t="shared" si="118"/>
        <v>199</v>
      </c>
      <c r="J869">
        <f t="shared" si="118"/>
        <v>232</v>
      </c>
      <c r="K869">
        <f t="shared" si="118"/>
        <v>251</v>
      </c>
      <c r="L869">
        <f t="shared" si="118"/>
        <v>270</v>
      </c>
      <c r="M869">
        <f t="shared" si="118"/>
        <v>285</v>
      </c>
      <c r="N869">
        <f t="shared" si="119"/>
        <v>297</v>
      </c>
      <c r="O869">
        <f t="shared" si="119"/>
        <v>323</v>
      </c>
      <c r="P869">
        <f t="shared" si="119"/>
        <v>341</v>
      </c>
      <c r="Q869">
        <f t="shared" si="114"/>
        <v>367</v>
      </c>
      <c r="S869" t="str">
        <f t="shared" si="112"/>
        <v>05.12.2025</v>
      </c>
      <c r="T869" t="str">
        <f t="shared" si="113"/>
        <v>19:45:00</v>
      </c>
      <c r="U869" t="str">
        <f t="shared" si="115"/>
        <v>05.12.2025 19:45:00</v>
      </c>
      <c r="V869" s="9" t="str">
        <f>MID($A869,C869+C$2+1,D869-C869-C$2-1)</f>
        <v>0</v>
      </c>
      <c r="W869" s="4">
        <f>VALUE(SUBSTITUTE(MID($A869,D869+D$2+1,E869-D869-D$2-1),",","."))</f>
        <v>0</v>
      </c>
      <c r="X869" s="4">
        <f>VALUE(SUBSTITUTE(MID($A869,E869+E$2+1,F869-E869-E$2-1),",","."))</f>
        <v>0.90957602214449496</v>
      </c>
      <c r="Y869" s="4">
        <f>VALUE(SUBSTITUTE(MID($A869,F869+F$2+1,G869-F869-F$2-1),",","."))</f>
        <v>0</v>
      </c>
      <c r="Z869" s="3">
        <f>VALUE(SUBSTITUTE(MID($A869,G869+G$2+1,H869-G869-G$2-1),",","."))</f>
        <v>0</v>
      </c>
      <c r="AA869" s="3">
        <f>VALUE(SUBSTITUTE(MID($A869,H869+H$2+1,I869-H869-H$2-1),",","."))</f>
        <v>0</v>
      </c>
      <c r="AB869" s="3">
        <f>VALUE(SUBSTITUTE(MID($A869,I869+I$2+1,J869-I869-I$2-1),",","."))</f>
        <v>0</v>
      </c>
      <c r="AC869" s="3">
        <f>VALUE(SUBSTITUTE(MID($A869,J869+J$2+1,K869-J869-J$2-1),",","."))</f>
        <v>4.2</v>
      </c>
      <c r="AD869" s="3">
        <f>VALUE(SUBSTITUTE(MID($A869,K869+K$2+1,L869-K869-K$2-1),",","."))</f>
        <v>20.34</v>
      </c>
      <c r="AE869" s="3">
        <f>VALUE(SUBSTITUTE(MID($A869,L869+L$2+1,M869-L869-L$2-1),",","."))</f>
        <v>0</v>
      </c>
      <c r="AF869" s="3">
        <f>VALUE(SUBSTITUTE(MID($A869,M869+M$2+1,N869-M869-M$2-1),",","."))</f>
        <v>0</v>
      </c>
      <c r="AG869" s="3">
        <f>VALUE(SUBSTITUTE(MID($A869,N869+N$2+1,O869-N869-N$2-1),",","."))</f>
        <v>4.2281589677570999</v>
      </c>
      <c r="AH869" t="str">
        <f>MID($A869,O869+O$2+1,P869-O869-O$2-1)</f>
        <v/>
      </c>
      <c r="AI869" s="8" t="str">
        <f>MID($A869,P869+P$2+1,Q869-P869-P$2-1)</f>
        <v>False</v>
      </c>
      <c r="AK869" t="b">
        <f t="shared" si="116"/>
        <v>0</v>
      </c>
    </row>
    <row r="870" spans="1:37" x14ac:dyDescent="0.35">
      <c r="A870" t="s">
        <v>5417</v>
      </c>
      <c r="B870">
        <f t="shared" si="118"/>
        <v>10</v>
      </c>
      <c r="C870">
        <f t="shared" si="118"/>
        <v>43</v>
      </c>
      <c r="D870">
        <f t="shared" si="118"/>
        <v>54</v>
      </c>
      <c r="E870">
        <f t="shared" si="118"/>
        <v>80</v>
      </c>
      <c r="F870">
        <f t="shared" si="118"/>
        <v>124</v>
      </c>
      <c r="G870">
        <f t="shared" si="118"/>
        <v>145</v>
      </c>
      <c r="H870">
        <f t="shared" si="118"/>
        <v>177</v>
      </c>
      <c r="I870">
        <f t="shared" si="118"/>
        <v>199</v>
      </c>
      <c r="J870">
        <f t="shared" si="118"/>
        <v>232</v>
      </c>
      <c r="K870">
        <f t="shared" si="118"/>
        <v>251</v>
      </c>
      <c r="L870">
        <f t="shared" si="118"/>
        <v>270</v>
      </c>
      <c r="M870">
        <f t="shared" si="118"/>
        <v>285</v>
      </c>
      <c r="N870">
        <f t="shared" si="119"/>
        <v>297</v>
      </c>
      <c r="O870">
        <f t="shared" si="119"/>
        <v>322</v>
      </c>
      <c r="P870">
        <f t="shared" si="119"/>
        <v>340</v>
      </c>
      <c r="Q870">
        <f t="shared" si="114"/>
        <v>366</v>
      </c>
      <c r="S870" t="str">
        <f t="shared" si="112"/>
        <v>05.12.2025</v>
      </c>
      <c r="T870" t="str">
        <f t="shared" si="113"/>
        <v>20:00:00</v>
      </c>
      <c r="U870" t="str">
        <f t="shared" si="115"/>
        <v>05.12.2025 20:00:00</v>
      </c>
      <c r="V870" s="9" t="str">
        <f>MID($A870,C870+C$2+1,D870-C870-C$2-1)</f>
        <v>0</v>
      </c>
      <c r="W870" s="4">
        <f>VALUE(SUBSTITUTE(MID($A870,D870+D$2+1,E870-D870-D$2-1),",","."))</f>
        <v>0</v>
      </c>
      <c r="X870" s="4">
        <f>VALUE(SUBSTITUTE(MID($A870,E870+E$2+1,F870-E870-E$2-1),",","."))</f>
        <v>0.90957602214449496</v>
      </c>
      <c r="Y870" s="4">
        <f>VALUE(SUBSTITUTE(MID($A870,F870+F$2+1,G870-F870-F$2-1),",","."))</f>
        <v>0</v>
      </c>
      <c r="Z870" s="3">
        <f>VALUE(SUBSTITUTE(MID($A870,G870+G$2+1,H870-G870-G$2-1),",","."))</f>
        <v>0</v>
      </c>
      <c r="AA870" s="3">
        <f>VALUE(SUBSTITUTE(MID($A870,H870+H$2+1,I870-H870-H$2-1),",","."))</f>
        <v>0</v>
      </c>
      <c r="AB870" s="3">
        <f>VALUE(SUBSTITUTE(MID($A870,I870+I$2+1,J870-I870-I$2-1),",","."))</f>
        <v>0</v>
      </c>
      <c r="AC870" s="3">
        <f>VALUE(SUBSTITUTE(MID($A870,J870+J$2+1,K870-J870-J$2-1),",","."))</f>
        <v>4.2</v>
      </c>
      <c r="AD870" s="3">
        <f>VALUE(SUBSTITUTE(MID($A870,K870+K$2+1,L870-K870-K$2-1),",","."))</f>
        <v>20.34</v>
      </c>
      <c r="AE870" s="3">
        <f>VALUE(SUBSTITUTE(MID($A870,L870+L$2+1,M870-L870-L$2-1),",","."))</f>
        <v>0</v>
      </c>
      <c r="AF870" s="3">
        <f>VALUE(SUBSTITUTE(MID($A870,M870+M$2+1,N870-M870-M$2-1),",","."))</f>
        <v>0</v>
      </c>
      <c r="AG870" s="3">
        <f>VALUE(SUBSTITUTE(MID($A870,N870+N$2+1,O870-N870-N$2-1),",","."))</f>
        <v>4.2281874876451804</v>
      </c>
      <c r="AH870" t="str">
        <f>MID($A870,O870+O$2+1,P870-O870-O$2-1)</f>
        <v/>
      </c>
      <c r="AI870" s="8" t="str">
        <f>MID($A870,P870+P$2+1,Q870-P870-P$2-1)</f>
        <v>False</v>
      </c>
      <c r="AK870" t="b">
        <f t="shared" si="116"/>
        <v>0</v>
      </c>
    </row>
    <row r="871" spans="1:37" x14ac:dyDescent="0.35">
      <c r="A871" t="s">
        <v>5418</v>
      </c>
      <c r="B871">
        <f t="shared" si="118"/>
        <v>10</v>
      </c>
      <c r="C871">
        <f t="shared" si="118"/>
        <v>43</v>
      </c>
      <c r="D871">
        <f t="shared" si="118"/>
        <v>54</v>
      </c>
      <c r="E871">
        <f t="shared" si="118"/>
        <v>80</v>
      </c>
      <c r="F871">
        <f t="shared" si="118"/>
        <v>124</v>
      </c>
      <c r="G871">
        <f t="shared" si="118"/>
        <v>145</v>
      </c>
      <c r="H871">
        <f t="shared" si="118"/>
        <v>177</v>
      </c>
      <c r="I871">
        <f t="shared" si="118"/>
        <v>199</v>
      </c>
      <c r="J871">
        <f t="shared" si="118"/>
        <v>232</v>
      </c>
      <c r="K871">
        <f t="shared" si="118"/>
        <v>251</v>
      </c>
      <c r="L871">
        <f t="shared" si="118"/>
        <v>270</v>
      </c>
      <c r="M871">
        <f t="shared" si="118"/>
        <v>285</v>
      </c>
      <c r="N871">
        <f t="shared" si="119"/>
        <v>297</v>
      </c>
      <c r="O871">
        <f t="shared" si="119"/>
        <v>322</v>
      </c>
      <c r="P871">
        <f t="shared" si="119"/>
        <v>340</v>
      </c>
      <c r="Q871">
        <f t="shared" si="114"/>
        <v>366</v>
      </c>
      <c r="S871" t="str">
        <f t="shared" si="112"/>
        <v>05.12.2025</v>
      </c>
      <c r="T871" t="str">
        <f t="shared" si="113"/>
        <v>20:15:00</v>
      </c>
      <c r="U871" t="str">
        <f t="shared" si="115"/>
        <v>05.12.2025 20:15:00</v>
      </c>
      <c r="V871" s="9" t="str">
        <f>MID($A871,C871+C$2+1,D871-C871-C$2-1)</f>
        <v>0</v>
      </c>
      <c r="W871" s="4">
        <f>VALUE(SUBSTITUTE(MID($A871,D871+D$2+1,E871-D871-D$2-1),",","."))</f>
        <v>0</v>
      </c>
      <c r="X871" s="4">
        <f>VALUE(SUBSTITUTE(MID($A871,E871+E$2+1,F871-E871-E$2-1),",","."))</f>
        <v>0.90957602214449496</v>
      </c>
      <c r="Y871" s="4">
        <f>VALUE(SUBSTITUTE(MID($A871,F871+F$2+1,G871-F871-F$2-1),",","."))</f>
        <v>0</v>
      </c>
      <c r="Z871" s="3">
        <f>VALUE(SUBSTITUTE(MID($A871,G871+G$2+1,H871-G871-G$2-1),",","."))</f>
        <v>0</v>
      </c>
      <c r="AA871" s="3">
        <f>VALUE(SUBSTITUTE(MID($A871,H871+H$2+1,I871-H871-H$2-1),",","."))</f>
        <v>0</v>
      </c>
      <c r="AB871" s="3">
        <f>VALUE(SUBSTITUTE(MID($A871,I871+I$2+1,J871-I871-I$2-1),",","."))</f>
        <v>0</v>
      </c>
      <c r="AC871" s="3">
        <f>VALUE(SUBSTITUTE(MID($A871,J871+J$2+1,K871-J871-J$2-1),",","."))</f>
        <v>4.2</v>
      </c>
      <c r="AD871" s="3">
        <f>VALUE(SUBSTITUTE(MID($A871,K871+K$2+1,L871-K871-K$2-1),",","."))</f>
        <v>20.34</v>
      </c>
      <c r="AE871" s="3">
        <f>VALUE(SUBSTITUTE(MID($A871,L871+L$2+1,M871-L871-L$2-1),",","."))</f>
        <v>0</v>
      </c>
      <c r="AF871" s="3">
        <f>VALUE(SUBSTITUTE(MID($A871,M871+M$2+1,N871-M871-M$2-1),",","."))</f>
        <v>0</v>
      </c>
      <c r="AG871" s="3">
        <f>VALUE(SUBSTITUTE(MID($A871,N871+N$2+1,O871-N871-N$2-1),",","."))</f>
        <v>4.22821600753326</v>
      </c>
      <c r="AH871" t="str">
        <f>MID($A871,O871+O$2+1,P871-O871-O$2-1)</f>
        <v/>
      </c>
      <c r="AI871" s="8" t="str">
        <f>MID($A871,P871+P$2+1,Q871-P871-P$2-1)</f>
        <v>False</v>
      </c>
      <c r="AK871" t="b">
        <f t="shared" si="116"/>
        <v>0</v>
      </c>
    </row>
    <row r="872" spans="1:37" x14ac:dyDescent="0.35">
      <c r="A872" t="s">
        <v>5419</v>
      </c>
      <c r="B872">
        <f t="shared" si="118"/>
        <v>10</v>
      </c>
      <c r="C872">
        <f t="shared" si="118"/>
        <v>43</v>
      </c>
      <c r="D872">
        <f t="shared" si="118"/>
        <v>54</v>
      </c>
      <c r="E872">
        <f t="shared" si="118"/>
        <v>80</v>
      </c>
      <c r="F872">
        <f t="shared" si="118"/>
        <v>124</v>
      </c>
      <c r="G872">
        <f t="shared" si="118"/>
        <v>145</v>
      </c>
      <c r="H872">
        <f t="shared" si="118"/>
        <v>177</v>
      </c>
      <c r="I872">
        <f t="shared" si="118"/>
        <v>199</v>
      </c>
      <c r="J872">
        <f t="shared" si="118"/>
        <v>232</v>
      </c>
      <c r="K872">
        <f t="shared" si="118"/>
        <v>252</v>
      </c>
      <c r="L872">
        <f t="shared" si="118"/>
        <v>271</v>
      </c>
      <c r="M872">
        <f t="shared" si="118"/>
        <v>286</v>
      </c>
      <c r="N872">
        <f t="shared" si="119"/>
        <v>298</v>
      </c>
      <c r="O872">
        <f t="shared" si="119"/>
        <v>323</v>
      </c>
      <c r="P872">
        <f t="shared" si="119"/>
        <v>341</v>
      </c>
      <c r="Q872">
        <f t="shared" si="114"/>
        <v>367</v>
      </c>
      <c r="S872" t="str">
        <f t="shared" si="112"/>
        <v>05.12.2025</v>
      </c>
      <c r="T872" t="str">
        <f t="shared" si="113"/>
        <v>20:30:00</v>
      </c>
      <c r="U872" t="str">
        <f t="shared" si="115"/>
        <v>05.12.2025 20:30:00</v>
      </c>
      <c r="V872" s="9" t="str">
        <f>MID($A872,C872+C$2+1,D872-C872-C$2-1)</f>
        <v>0</v>
      </c>
      <c r="W872" s="4">
        <f>VALUE(SUBSTITUTE(MID($A872,D872+D$2+1,E872-D872-D$2-1),",","."))</f>
        <v>0</v>
      </c>
      <c r="X872" s="4">
        <f>VALUE(SUBSTITUTE(MID($A872,E872+E$2+1,F872-E872-E$2-1),",","."))</f>
        <v>0.90957602214449496</v>
      </c>
      <c r="Y872" s="4">
        <f>VALUE(SUBSTITUTE(MID($A872,F872+F$2+1,G872-F872-F$2-1),",","."))</f>
        <v>0</v>
      </c>
      <c r="Z872" s="3">
        <f>VALUE(SUBSTITUTE(MID($A872,G872+G$2+1,H872-G872-G$2-1),",","."))</f>
        <v>0</v>
      </c>
      <c r="AA872" s="3">
        <f>VALUE(SUBSTITUTE(MID($A872,H872+H$2+1,I872-H872-H$2-1),",","."))</f>
        <v>0</v>
      </c>
      <c r="AB872" s="3">
        <f>VALUE(SUBSTITUTE(MID($A872,I872+I$2+1,J872-I872-I$2-1),",","."))</f>
        <v>0</v>
      </c>
      <c r="AC872" s="3">
        <f>VALUE(SUBSTITUTE(MID($A872,J872+J$2+1,K872-J872-J$2-1),",","."))</f>
        <v>3.85</v>
      </c>
      <c r="AD872" s="3">
        <f>VALUE(SUBSTITUTE(MID($A872,K872+K$2+1,L872-K872-K$2-1),",","."))</f>
        <v>17.46</v>
      </c>
      <c r="AE872" s="3">
        <f>VALUE(SUBSTITUTE(MID($A872,L872+L$2+1,M872-L872-L$2-1),",","."))</f>
        <v>0</v>
      </c>
      <c r="AF872" s="3">
        <f>VALUE(SUBSTITUTE(MID($A872,M872+M$2+1,N872-M872-M$2-1),",","."))</f>
        <v>0</v>
      </c>
      <c r="AG872" s="3">
        <f>VALUE(SUBSTITUTE(MID($A872,N872+N$2+1,O872-N872-N$2-1),",","."))</f>
        <v>4.2282445274213396</v>
      </c>
      <c r="AH872" t="str">
        <f>MID($A872,O872+O$2+1,P872-O872-O$2-1)</f>
        <v/>
      </c>
      <c r="AI872" s="8" t="str">
        <f>MID($A872,P872+P$2+1,Q872-P872-P$2-1)</f>
        <v>False</v>
      </c>
      <c r="AK872" t="b">
        <f t="shared" si="116"/>
        <v>0</v>
      </c>
    </row>
    <row r="873" spans="1:37" x14ac:dyDescent="0.35">
      <c r="A873" t="s">
        <v>5420</v>
      </c>
      <c r="B873">
        <f t="shared" si="118"/>
        <v>10</v>
      </c>
      <c r="C873">
        <f t="shared" si="118"/>
        <v>43</v>
      </c>
      <c r="D873">
        <f t="shared" si="118"/>
        <v>54</v>
      </c>
      <c r="E873">
        <f t="shared" si="118"/>
        <v>80</v>
      </c>
      <c r="F873">
        <f t="shared" si="118"/>
        <v>124</v>
      </c>
      <c r="G873">
        <f t="shared" si="118"/>
        <v>145</v>
      </c>
      <c r="H873">
        <f t="shared" si="118"/>
        <v>177</v>
      </c>
      <c r="I873">
        <f t="shared" si="118"/>
        <v>199</v>
      </c>
      <c r="J873">
        <f t="shared" si="118"/>
        <v>232</v>
      </c>
      <c r="K873">
        <f t="shared" si="118"/>
        <v>252</v>
      </c>
      <c r="L873">
        <f t="shared" si="118"/>
        <v>271</v>
      </c>
      <c r="M873">
        <f t="shared" si="118"/>
        <v>286</v>
      </c>
      <c r="N873">
        <f t="shared" si="119"/>
        <v>298</v>
      </c>
      <c r="O873">
        <f t="shared" si="119"/>
        <v>323</v>
      </c>
      <c r="P873">
        <f t="shared" si="119"/>
        <v>341</v>
      </c>
      <c r="Q873">
        <f t="shared" si="114"/>
        <v>367</v>
      </c>
      <c r="S873" t="str">
        <f t="shared" si="112"/>
        <v>05.12.2025</v>
      </c>
      <c r="T873" t="str">
        <f t="shared" si="113"/>
        <v>20:45:00</v>
      </c>
      <c r="U873" t="str">
        <f t="shared" si="115"/>
        <v>05.12.2025 20:45:00</v>
      </c>
      <c r="V873" s="9" t="str">
        <f>MID($A873,C873+C$2+1,D873-C873-C$2-1)</f>
        <v>0</v>
      </c>
      <c r="W873" s="4">
        <f>VALUE(SUBSTITUTE(MID($A873,D873+D$2+1,E873-D873-D$2-1),",","."))</f>
        <v>0</v>
      </c>
      <c r="X873" s="4">
        <f>VALUE(SUBSTITUTE(MID($A873,E873+E$2+1,F873-E873-E$2-1),",","."))</f>
        <v>0.90957602214449496</v>
      </c>
      <c r="Y873" s="4">
        <f>VALUE(SUBSTITUTE(MID($A873,F873+F$2+1,G873-F873-F$2-1),",","."))</f>
        <v>0</v>
      </c>
      <c r="Z873" s="3">
        <f>VALUE(SUBSTITUTE(MID($A873,G873+G$2+1,H873-G873-G$2-1),",","."))</f>
        <v>0</v>
      </c>
      <c r="AA873" s="3">
        <f>VALUE(SUBSTITUTE(MID($A873,H873+H$2+1,I873-H873-H$2-1),",","."))</f>
        <v>0</v>
      </c>
      <c r="AB873" s="3">
        <f>VALUE(SUBSTITUTE(MID($A873,I873+I$2+1,J873-I873-I$2-1),",","."))</f>
        <v>0</v>
      </c>
      <c r="AC873" s="3">
        <f>VALUE(SUBSTITUTE(MID($A873,J873+J$2+1,K873-J873-J$2-1),",","."))</f>
        <v>3.85</v>
      </c>
      <c r="AD873" s="3">
        <f>VALUE(SUBSTITUTE(MID($A873,K873+K$2+1,L873-K873-K$2-1),",","."))</f>
        <v>17.46</v>
      </c>
      <c r="AE873" s="3">
        <f>VALUE(SUBSTITUTE(MID($A873,L873+L$2+1,M873-L873-L$2-1),",","."))</f>
        <v>0</v>
      </c>
      <c r="AF873" s="3">
        <f>VALUE(SUBSTITUTE(MID($A873,M873+M$2+1,N873-M873-M$2-1),",","."))</f>
        <v>0</v>
      </c>
      <c r="AG873" s="3">
        <f>VALUE(SUBSTITUTE(MID($A873,N873+N$2+1,O873-N873-N$2-1),",","."))</f>
        <v>4.2282730473094201</v>
      </c>
      <c r="AH873" t="str">
        <f>MID($A873,O873+O$2+1,P873-O873-O$2-1)</f>
        <v/>
      </c>
      <c r="AI873" s="8" t="str">
        <f>MID($A873,P873+P$2+1,Q873-P873-P$2-1)</f>
        <v>False</v>
      </c>
      <c r="AK873" t="b">
        <f t="shared" si="116"/>
        <v>0</v>
      </c>
    </row>
    <row r="874" spans="1:37" x14ac:dyDescent="0.35">
      <c r="A874" t="s">
        <v>5421</v>
      </c>
      <c r="B874">
        <f t="shared" si="118"/>
        <v>10</v>
      </c>
      <c r="C874">
        <f t="shared" si="118"/>
        <v>43</v>
      </c>
      <c r="D874">
        <f t="shared" si="118"/>
        <v>54</v>
      </c>
      <c r="E874">
        <f t="shared" si="118"/>
        <v>80</v>
      </c>
      <c r="F874">
        <f t="shared" si="118"/>
        <v>124</v>
      </c>
      <c r="G874">
        <f t="shared" si="118"/>
        <v>145</v>
      </c>
      <c r="H874">
        <f t="shared" si="118"/>
        <v>177</v>
      </c>
      <c r="I874">
        <f t="shared" si="118"/>
        <v>199</v>
      </c>
      <c r="J874">
        <f t="shared" si="118"/>
        <v>232</v>
      </c>
      <c r="K874">
        <f t="shared" si="118"/>
        <v>252</v>
      </c>
      <c r="L874">
        <f t="shared" si="118"/>
        <v>271</v>
      </c>
      <c r="M874">
        <f t="shared" si="118"/>
        <v>286</v>
      </c>
      <c r="N874">
        <f t="shared" si="119"/>
        <v>298</v>
      </c>
      <c r="O874">
        <f t="shared" si="119"/>
        <v>322</v>
      </c>
      <c r="P874">
        <f t="shared" si="119"/>
        <v>340</v>
      </c>
      <c r="Q874">
        <f t="shared" si="114"/>
        <v>366</v>
      </c>
      <c r="S874" t="str">
        <f t="shared" si="112"/>
        <v>05.12.2025</v>
      </c>
      <c r="T874" t="str">
        <f t="shared" si="113"/>
        <v>21:00:00</v>
      </c>
      <c r="U874" t="str">
        <f t="shared" si="115"/>
        <v>05.12.2025 21:00:00</v>
      </c>
      <c r="V874" s="9" t="str">
        <f>MID($A874,C874+C$2+1,D874-C874-C$2-1)</f>
        <v>0</v>
      </c>
      <c r="W874" s="4">
        <f>VALUE(SUBSTITUTE(MID($A874,D874+D$2+1,E874-D874-D$2-1),",","."))</f>
        <v>0</v>
      </c>
      <c r="X874" s="4">
        <f>VALUE(SUBSTITUTE(MID($A874,E874+E$2+1,F874-E874-E$2-1),",","."))</f>
        <v>0.90957602214449496</v>
      </c>
      <c r="Y874" s="4">
        <f>VALUE(SUBSTITUTE(MID($A874,F874+F$2+1,G874-F874-F$2-1),",","."))</f>
        <v>0</v>
      </c>
      <c r="Z874" s="3">
        <f>VALUE(SUBSTITUTE(MID($A874,G874+G$2+1,H874-G874-G$2-1),",","."))</f>
        <v>0</v>
      </c>
      <c r="AA874" s="3">
        <f>VALUE(SUBSTITUTE(MID($A874,H874+H$2+1,I874-H874-H$2-1),",","."))</f>
        <v>0</v>
      </c>
      <c r="AB874" s="3">
        <f>VALUE(SUBSTITUTE(MID($A874,I874+I$2+1,J874-I874-I$2-1),",","."))</f>
        <v>0</v>
      </c>
      <c r="AC874" s="3">
        <f>VALUE(SUBSTITUTE(MID($A874,J874+J$2+1,K874-J874-J$2-1),",","."))</f>
        <v>3.85</v>
      </c>
      <c r="AD874" s="3">
        <f>VALUE(SUBSTITUTE(MID($A874,K874+K$2+1,L874-K874-K$2-1),",","."))</f>
        <v>17.46</v>
      </c>
      <c r="AE874" s="3">
        <f>VALUE(SUBSTITUTE(MID($A874,L874+L$2+1,M874-L874-L$2-1),",","."))</f>
        <v>0</v>
      </c>
      <c r="AF874" s="3">
        <f>VALUE(SUBSTITUTE(MID($A874,M874+M$2+1,N874-M874-M$2-1),",","."))</f>
        <v>0</v>
      </c>
      <c r="AG874" s="3">
        <f>VALUE(SUBSTITUTE(MID($A874,N874+N$2+1,O874-N874-N$2-1),",","."))</f>
        <v>4.2283015671975104</v>
      </c>
      <c r="AH874" t="str">
        <f>MID($A874,O874+O$2+1,P874-O874-O$2-1)</f>
        <v/>
      </c>
      <c r="AI874" s="8" t="str">
        <f>MID($A874,P874+P$2+1,Q874-P874-P$2-1)</f>
        <v>False</v>
      </c>
      <c r="AK874" t="b">
        <f t="shared" si="116"/>
        <v>0</v>
      </c>
    </row>
    <row r="875" spans="1:37" x14ac:dyDescent="0.35">
      <c r="A875" t="s">
        <v>5422</v>
      </c>
      <c r="B875">
        <f t="shared" si="118"/>
        <v>10</v>
      </c>
      <c r="C875">
        <f t="shared" si="118"/>
        <v>43</v>
      </c>
      <c r="D875">
        <f t="shared" si="118"/>
        <v>54</v>
      </c>
      <c r="E875">
        <f t="shared" si="118"/>
        <v>80</v>
      </c>
      <c r="F875">
        <f t="shared" si="118"/>
        <v>124</v>
      </c>
      <c r="G875">
        <f t="shared" si="118"/>
        <v>145</v>
      </c>
      <c r="H875">
        <f t="shared" si="118"/>
        <v>177</v>
      </c>
      <c r="I875">
        <f t="shared" si="118"/>
        <v>199</v>
      </c>
      <c r="J875">
        <f t="shared" si="118"/>
        <v>232</v>
      </c>
      <c r="K875">
        <f t="shared" si="118"/>
        <v>252</v>
      </c>
      <c r="L875">
        <f t="shared" si="118"/>
        <v>271</v>
      </c>
      <c r="M875">
        <f t="shared" si="118"/>
        <v>286</v>
      </c>
      <c r="N875">
        <f t="shared" si="119"/>
        <v>298</v>
      </c>
      <c r="O875">
        <f t="shared" si="119"/>
        <v>323</v>
      </c>
      <c r="P875">
        <f t="shared" si="119"/>
        <v>341</v>
      </c>
      <c r="Q875">
        <f t="shared" si="114"/>
        <v>367</v>
      </c>
      <c r="S875" t="str">
        <f t="shared" si="112"/>
        <v>05.12.2025</v>
      </c>
      <c r="T875" t="str">
        <f t="shared" si="113"/>
        <v>21:15:00</v>
      </c>
      <c r="U875" t="str">
        <f t="shared" si="115"/>
        <v>05.12.2025 21:15:00</v>
      </c>
      <c r="V875" s="9" t="str">
        <f>MID($A875,C875+C$2+1,D875-C875-C$2-1)</f>
        <v>0</v>
      </c>
      <c r="W875" s="4">
        <f>VALUE(SUBSTITUTE(MID($A875,D875+D$2+1,E875-D875-D$2-1),",","."))</f>
        <v>0</v>
      </c>
      <c r="X875" s="4">
        <f>VALUE(SUBSTITUTE(MID($A875,E875+E$2+1,F875-E875-E$2-1),",","."))</f>
        <v>0.90957602214449496</v>
      </c>
      <c r="Y875" s="4">
        <f>VALUE(SUBSTITUTE(MID($A875,F875+F$2+1,G875-F875-F$2-1),",","."))</f>
        <v>0</v>
      </c>
      <c r="Z875" s="3">
        <f>VALUE(SUBSTITUTE(MID($A875,G875+G$2+1,H875-G875-G$2-1),",","."))</f>
        <v>0</v>
      </c>
      <c r="AA875" s="3">
        <f>VALUE(SUBSTITUTE(MID($A875,H875+H$2+1,I875-H875-H$2-1),",","."))</f>
        <v>0</v>
      </c>
      <c r="AB875" s="3">
        <f>VALUE(SUBSTITUTE(MID($A875,I875+I$2+1,J875-I875-I$2-1),",","."))</f>
        <v>0</v>
      </c>
      <c r="AC875" s="3">
        <f>VALUE(SUBSTITUTE(MID($A875,J875+J$2+1,K875-J875-J$2-1),",","."))</f>
        <v>3.85</v>
      </c>
      <c r="AD875" s="3">
        <f>VALUE(SUBSTITUTE(MID($A875,K875+K$2+1,L875-K875-K$2-1),",","."))</f>
        <v>17.46</v>
      </c>
      <c r="AE875" s="3">
        <f>VALUE(SUBSTITUTE(MID($A875,L875+L$2+1,M875-L875-L$2-1),",","."))</f>
        <v>0</v>
      </c>
      <c r="AF875" s="3">
        <f>VALUE(SUBSTITUTE(MID($A875,M875+M$2+1,N875-M875-M$2-1),",","."))</f>
        <v>0</v>
      </c>
      <c r="AG875" s="3">
        <f>VALUE(SUBSTITUTE(MID($A875,N875+N$2+1,O875-N875-N$2-1),",","."))</f>
        <v>4.22833008708559</v>
      </c>
      <c r="AH875" t="str">
        <f>MID($A875,O875+O$2+1,P875-O875-O$2-1)</f>
        <v/>
      </c>
      <c r="AI875" s="8" t="str">
        <f>MID($A875,P875+P$2+1,Q875-P875-P$2-1)</f>
        <v>False</v>
      </c>
      <c r="AK875" t="b">
        <f t="shared" si="116"/>
        <v>0</v>
      </c>
    </row>
    <row r="876" spans="1:37" x14ac:dyDescent="0.35">
      <c r="A876" t="s">
        <v>5423</v>
      </c>
      <c r="B876">
        <f t="shared" si="118"/>
        <v>10</v>
      </c>
      <c r="C876">
        <f t="shared" si="118"/>
        <v>43</v>
      </c>
      <c r="D876">
        <f t="shared" si="118"/>
        <v>54</v>
      </c>
      <c r="E876">
        <f t="shared" si="118"/>
        <v>80</v>
      </c>
      <c r="F876">
        <f t="shared" si="118"/>
        <v>124</v>
      </c>
      <c r="G876">
        <f t="shared" si="118"/>
        <v>145</v>
      </c>
      <c r="H876">
        <f t="shared" si="118"/>
        <v>177</v>
      </c>
      <c r="I876">
        <f t="shared" si="118"/>
        <v>199</v>
      </c>
      <c r="J876">
        <f t="shared" si="118"/>
        <v>232</v>
      </c>
      <c r="K876">
        <f t="shared" si="118"/>
        <v>251</v>
      </c>
      <c r="L876">
        <f t="shared" si="118"/>
        <v>283</v>
      </c>
      <c r="M876">
        <f t="shared" si="118"/>
        <v>298</v>
      </c>
      <c r="N876">
        <f t="shared" si="119"/>
        <v>310</v>
      </c>
      <c r="O876">
        <f t="shared" si="119"/>
        <v>335</v>
      </c>
      <c r="P876">
        <f t="shared" si="119"/>
        <v>353</v>
      </c>
      <c r="Q876">
        <f t="shared" si="114"/>
        <v>379</v>
      </c>
      <c r="S876" t="str">
        <f t="shared" si="112"/>
        <v>05.12.2025</v>
      </c>
      <c r="T876" t="str">
        <f t="shared" si="113"/>
        <v>21:30:00</v>
      </c>
      <c r="U876" t="str">
        <f t="shared" si="115"/>
        <v>05.12.2025 21:30:00</v>
      </c>
      <c r="V876" s="9" t="str">
        <f>MID($A876,C876+C$2+1,D876-C876-C$2-1)</f>
        <v>0</v>
      </c>
      <c r="W876" s="4">
        <f>VALUE(SUBSTITUTE(MID($A876,D876+D$2+1,E876-D876-D$2-1),",","."))</f>
        <v>0</v>
      </c>
      <c r="X876" s="4">
        <f>VALUE(SUBSTITUTE(MID($A876,E876+E$2+1,F876-E876-E$2-1),",","."))</f>
        <v>0.90957602214449496</v>
      </c>
      <c r="Y876" s="4">
        <f>VALUE(SUBSTITUTE(MID($A876,F876+F$2+1,G876-F876-F$2-1),",","."))</f>
        <v>0</v>
      </c>
      <c r="Z876" s="3">
        <f>VALUE(SUBSTITUTE(MID($A876,G876+G$2+1,H876-G876-G$2-1),",","."))</f>
        <v>0</v>
      </c>
      <c r="AA876" s="3">
        <f>VALUE(SUBSTITUTE(MID($A876,H876+H$2+1,I876-H876-H$2-1),",","."))</f>
        <v>0</v>
      </c>
      <c r="AB876" s="3">
        <f>VALUE(SUBSTITUTE(MID($A876,I876+I$2+1,J876-I876-I$2-1),",","."))</f>
        <v>0</v>
      </c>
      <c r="AC876" s="3">
        <f>VALUE(SUBSTITUTE(MID($A876,J876+J$2+1,K876-J876-J$2-1),",","."))</f>
        <v>3.5</v>
      </c>
      <c r="AD876" s="3">
        <f>VALUE(SUBSTITUTE(MID($A876,K876+K$2+1,L876-K876-K$2-1),",","."))</f>
        <v>13.86</v>
      </c>
      <c r="AE876" s="3">
        <f>VALUE(SUBSTITUTE(MID($A876,L876+L$2+1,M876-L876-L$2-1),",","."))</f>
        <v>0</v>
      </c>
      <c r="AF876" s="3">
        <f>VALUE(SUBSTITUTE(MID($A876,M876+M$2+1,N876-M876-M$2-1),",","."))</f>
        <v>0</v>
      </c>
      <c r="AG876" s="3">
        <f>VALUE(SUBSTITUTE(MID($A876,N876+N$2+1,O876-N876-N$2-1),",","."))</f>
        <v>4.2283586069736696</v>
      </c>
      <c r="AH876" t="str">
        <f>MID($A876,O876+O$2+1,P876-O876-O$2-1)</f>
        <v/>
      </c>
      <c r="AI876" s="8" t="str">
        <f>MID($A876,P876+P$2+1,Q876-P876-P$2-1)</f>
        <v>False</v>
      </c>
      <c r="AK876" t="b">
        <f t="shared" si="116"/>
        <v>0</v>
      </c>
    </row>
    <row r="877" spans="1:37" x14ac:dyDescent="0.35">
      <c r="A877" t="s">
        <v>5424</v>
      </c>
      <c r="B877">
        <f t="shared" si="118"/>
        <v>10</v>
      </c>
      <c r="C877">
        <f t="shared" si="118"/>
        <v>43</v>
      </c>
      <c r="D877">
        <f t="shared" si="118"/>
        <v>54</v>
      </c>
      <c r="E877">
        <f t="shared" si="118"/>
        <v>80</v>
      </c>
      <c r="F877">
        <f t="shared" si="118"/>
        <v>124</v>
      </c>
      <c r="G877">
        <f t="shared" si="118"/>
        <v>145</v>
      </c>
      <c r="H877">
        <f t="shared" si="118"/>
        <v>177</v>
      </c>
      <c r="I877">
        <f t="shared" si="118"/>
        <v>199</v>
      </c>
      <c r="J877">
        <f t="shared" si="118"/>
        <v>232</v>
      </c>
      <c r="K877">
        <f t="shared" si="118"/>
        <v>251</v>
      </c>
      <c r="L877">
        <f t="shared" si="118"/>
        <v>283</v>
      </c>
      <c r="M877">
        <f t="shared" si="118"/>
        <v>298</v>
      </c>
      <c r="N877">
        <f t="shared" si="119"/>
        <v>310</v>
      </c>
      <c r="O877">
        <f t="shared" si="119"/>
        <v>335</v>
      </c>
      <c r="P877">
        <f t="shared" si="119"/>
        <v>353</v>
      </c>
      <c r="Q877">
        <f t="shared" si="114"/>
        <v>379</v>
      </c>
      <c r="S877" t="str">
        <f t="shared" si="112"/>
        <v>05.12.2025</v>
      </c>
      <c r="T877" t="str">
        <f t="shared" si="113"/>
        <v>21:45:00</v>
      </c>
      <c r="U877" t="str">
        <f t="shared" si="115"/>
        <v>05.12.2025 21:45:00</v>
      </c>
      <c r="V877" s="9" t="str">
        <f>MID($A877,C877+C$2+1,D877-C877-C$2-1)</f>
        <v>0</v>
      </c>
      <c r="W877" s="4">
        <f>VALUE(SUBSTITUTE(MID($A877,D877+D$2+1,E877-D877-D$2-1),",","."))</f>
        <v>0</v>
      </c>
      <c r="X877" s="4">
        <f>VALUE(SUBSTITUTE(MID($A877,E877+E$2+1,F877-E877-E$2-1),",","."))</f>
        <v>0.90957602214449496</v>
      </c>
      <c r="Y877" s="4">
        <f>VALUE(SUBSTITUTE(MID($A877,F877+F$2+1,G877-F877-F$2-1),",","."))</f>
        <v>0</v>
      </c>
      <c r="Z877" s="3">
        <f>VALUE(SUBSTITUTE(MID($A877,G877+G$2+1,H877-G877-G$2-1),",","."))</f>
        <v>0</v>
      </c>
      <c r="AA877" s="3">
        <f>VALUE(SUBSTITUTE(MID($A877,H877+H$2+1,I877-H877-H$2-1),",","."))</f>
        <v>0</v>
      </c>
      <c r="AB877" s="3">
        <f>VALUE(SUBSTITUTE(MID($A877,I877+I$2+1,J877-I877-I$2-1),",","."))</f>
        <v>0</v>
      </c>
      <c r="AC877" s="3">
        <f>VALUE(SUBSTITUTE(MID($A877,J877+J$2+1,K877-J877-J$2-1),",","."))</f>
        <v>3.5</v>
      </c>
      <c r="AD877" s="3">
        <f>VALUE(SUBSTITUTE(MID($A877,K877+K$2+1,L877-K877-K$2-1),",","."))</f>
        <v>13.86</v>
      </c>
      <c r="AE877" s="3">
        <f>VALUE(SUBSTITUTE(MID($A877,L877+L$2+1,M877-L877-L$2-1),",","."))</f>
        <v>0</v>
      </c>
      <c r="AF877" s="3">
        <f>VALUE(SUBSTITUTE(MID($A877,M877+M$2+1,N877-M877-M$2-1),",","."))</f>
        <v>0</v>
      </c>
      <c r="AG877" s="3">
        <f>VALUE(SUBSTITUTE(MID($A877,N877+N$2+1,O877-N877-N$2-1),",","."))</f>
        <v>4.2283871268617501</v>
      </c>
      <c r="AH877" t="str">
        <f>MID($A877,O877+O$2+1,P877-O877-O$2-1)</f>
        <v/>
      </c>
      <c r="AI877" s="8" t="str">
        <f>MID($A877,P877+P$2+1,Q877-P877-P$2-1)</f>
        <v>False</v>
      </c>
      <c r="AK877" t="b">
        <f t="shared" si="116"/>
        <v>0</v>
      </c>
    </row>
    <row r="878" spans="1:37" x14ac:dyDescent="0.35">
      <c r="A878" t="s">
        <v>5425</v>
      </c>
      <c r="B878">
        <f t="shared" si="118"/>
        <v>10</v>
      </c>
      <c r="C878">
        <f t="shared" si="118"/>
        <v>43</v>
      </c>
      <c r="D878">
        <f t="shared" si="118"/>
        <v>54</v>
      </c>
      <c r="E878">
        <f t="shared" si="118"/>
        <v>80</v>
      </c>
      <c r="F878">
        <f t="shared" si="118"/>
        <v>124</v>
      </c>
      <c r="G878">
        <f t="shared" si="118"/>
        <v>145</v>
      </c>
      <c r="H878">
        <f t="shared" si="118"/>
        <v>177</v>
      </c>
      <c r="I878">
        <f t="shared" si="118"/>
        <v>199</v>
      </c>
      <c r="J878">
        <f t="shared" si="118"/>
        <v>232</v>
      </c>
      <c r="K878">
        <f t="shared" si="118"/>
        <v>251</v>
      </c>
      <c r="L878">
        <f t="shared" si="118"/>
        <v>283</v>
      </c>
      <c r="M878">
        <f t="shared" si="118"/>
        <v>298</v>
      </c>
      <c r="N878">
        <f t="shared" si="119"/>
        <v>310</v>
      </c>
      <c r="O878">
        <f t="shared" si="119"/>
        <v>335</v>
      </c>
      <c r="P878">
        <f t="shared" si="119"/>
        <v>353</v>
      </c>
      <c r="Q878">
        <f t="shared" si="114"/>
        <v>379</v>
      </c>
      <c r="S878" t="str">
        <f t="shared" si="112"/>
        <v>05.12.2025</v>
      </c>
      <c r="T878" t="str">
        <f t="shared" si="113"/>
        <v>22:00:00</v>
      </c>
      <c r="U878" t="str">
        <f t="shared" si="115"/>
        <v>05.12.2025 22:00:00</v>
      </c>
      <c r="V878" s="9" t="str">
        <f>MID($A878,C878+C$2+1,D878-C878-C$2-1)</f>
        <v>0</v>
      </c>
      <c r="W878" s="4">
        <f>VALUE(SUBSTITUTE(MID($A878,D878+D$2+1,E878-D878-D$2-1),",","."))</f>
        <v>0</v>
      </c>
      <c r="X878" s="4">
        <f>VALUE(SUBSTITUTE(MID($A878,E878+E$2+1,F878-E878-E$2-1),",","."))</f>
        <v>0.90957602214449496</v>
      </c>
      <c r="Y878" s="4">
        <f>VALUE(SUBSTITUTE(MID($A878,F878+F$2+1,G878-F878-F$2-1),",","."))</f>
        <v>0</v>
      </c>
      <c r="Z878" s="3">
        <f>VALUE(SUBSTITUTE(MID($A878,G878+G$2+1,H878-G878-G$2-1),",","."))</f>
        <v>0</v>
      </c>
      <c r="AA878" s="3">
        <f>VALUE(SUBSTITUTE(MID($A878,H878+H$2+1,I878-H878-H$2-1),",","."))</f>
        <v>0</v>
      </c>
      <c r="AB878" s="3">
        <f>VALUE(SUBSTITUTE(MID($A878,I878+I$2+1,J878-I878-I$2-1),",","."))</f>
        <v>0</v>
      </c>
      <c r="AC878" s="3">
        <f>VALUE(SUBSTITUTE(MID($A878,J878+J$2+1,K878-J878-J$2-1),",","."))</f>
        <v>3.5</v>
      </c>
      <c r="AD878" s="3">
        <f>VALUE(SUBSTITUTE(MID($A878,K878+K$2+1,L878-K878-K$2-1),",","."))</f>
        <v>13.86</v>
      </c>
      <c r="AE878" s="3">
        <f>VALUE(SUBSTITUTE(MID($A878,L878+L$2+1,M878-L878-L$2-1),",","."))</f>
        <v>0</v>
      </c>
      <c r="AF878" s="3">
        <f>VALUE(SUBSTITUTE(MID($A878,M878+M$2+1,N878-M878-M$2-1),",","."))</f>
        <v>0</v>
      </c>
      <c r="AG878" s="3">
        <f>VALUE(SUBSTITUTE(MID($A878,N878+N$2+1,O878-N878-N$2-1),",","."))</f>
        <v>4.2284156467498297</v>
      </c>
      <c r="AH878" t="str">
        <f>MID($A878,O878+O$2+1,P878-O878-O$2-1)</f>
        <v/>
      </c>
      <c r="AI878" s="8" t="str">
        <f>MID($A878,P878+P$2+1,Q878-P878-P$2-1)</f>
        <v>False</v>
      </c>
      <c r="AK878" t="b">
        <f t="shared" si="116"/>
        <v>0</v>
      </c>
    </row>
    <row r="879" spans="1:37" x14ac:dyDescent="0.35">
      <c r="A879" t="s">
        <v>5426</v>
      </c>
      <c r="B879">
        <f t="shared" si="118"/>
        <v>10</v>
      </c>
      <c r="C879">
        <f t="shared" si="118"/>
        <v>43</v>
      </c>
      <c r="D879">
        <f t="shared" si="118"/>
        <v>54</v>
      </c>
      <c r="E879">
        <f t="shared" si="118"/>
        <v>80</v>
      </c>
      <c r="F879">
        <f t="shared" si="118"/>
        <v>124</v>
      </c>
      <c r="G879">
        <f t="shared" si="118"/>
        <v>145</v>
      </c>
      <c r="H879">
        <f t="shared" si="118"/>
        <v>177</v>
      </c>
      <c r="I879">
        <f t="shared" si="118"/>
        <v>199</v>
      </c>
      <c r="J879">
        <f t="shared" si="118"/>
        <v>232</v>
      </c>
      <c r="K879">
        <f t="shared" si="118"/>
        <v>251</v>
      </c>
      <c r="L879">
        <f t="shared" si="118"/>
        <v>283</v>
      </c>
      <c r="M879">
        <f t="shared" si="118"/>
        <v>298</v>
      </c>
      <c r="N879">
        <f t="shared" si="119"/>
        <v>310</v>
      </c>
      <c r="O879">
        <f t="shared" si="119"/>
        <v>335</v>
      </c>
      <c r="P879">
        <f t="shared" si="119"/>
        <v>353</v>
      </c>
      <c r="Q879">
        <f t="shared" si="114"/>
        <v>379</v>
      </c>
      <c r="S879" t="str">
        <f t="shared" si="112"/>
        <v>05.12.2025</v>
      </c>
      <c r="T879" t="str">
        <f t="shared" si="113"/>
        <v>22:15:00</v>
      </c>
      <c r="U879" t="str">
        <f t="shared" si="115"/>
        <v>05.12.2025 22:15:00</v>
      </c>
      <c r="V879" s="9" t="str">
        <f>MID($A879,C879+C$2+1,D879-C879-C$2-1)</f>
        <v>0</v>
      </c>
      <c r="W879" s="4">
        <f>VALUE(SUBSTITUTE(MID($A879,D879+D$2+1,E879-D879-D$2-1),",","."))</f>
        <v>0</v>
      </c>
      <c r="X879" s="4">
        <f>VALUE(SUBSTITUTE(MID($A879,E879+E$2+1,F879-E879-E$2-1),",","."))</f>
        <v>0.90957602214449496</v>
      </c>
      <c r="Y879" s="4">
        <f>VALUE(SUBSTITUTE(MID($A879,F879+F$2+1,G879-F879-F$2-1),",","."))</f>
        <v>0</v>
      </c>
      <c r="Z879" s="3">
        <f>VALUE(SUBSTITUTE(MID($A879,G879+G$2+1,H879-G879-G$2-1),",","."))</f>
        <v>0</v>
      </c>
      <c r="AA879" s="3">
        <f>VALUE(SUBSTITUTE(MID($A879,H879+H$2+1,I879-H879-H$2-1),",","."))</f>
        <v>0</v>
      </c>
      <c r="AB879" s="3">
        <f>VALUE(SUBSTITUTE(MID($A879,I879+I$2+1,J879-I879-I$2-1),",","."))</f>
        <v>0</v>
      </c>
      <c r="AC879" s="3">
        <f>VALUE(SUBSTITUTE(MID($A879,J879+J$2+1,K879-J879-J$2-1),",","."))</f>
        <v>3.5</v>
      </c>
      <c r="AD879" s="3">
        <f>VALUE(SUBSTITUTE(MID($A879,K879+K$2+1,L879-K879-K$2-1),",","."))</f>
        <v>13.86</v>
      </c>
      <c r="AE879" s="3">
        <f>VALUE(SUBSTITUTE(MID($A879,L879+L$2+1,M879-L879-L$2-1),",","."))</f>
        <v>0</v>
      </c>
      <c r="AF879" s="3">
        <f>VALUE(SUBSTITUTE(MID($A879,M879+M$2+1,N879-M879-M$2-1),",","."))</f>
        <v>0</v>
      </c>
      <c r="AG879" s="3">
        <f>VALUE(SUBSTITUTE(MID($A879,N879+N$2+1,O879-N879-N$2-1),",","."))</f>
        <v>4.2284441666379102</v>
      </c>
      <c r="AH879" t="str">
        <f>MID($A879,O879+O$2+1,P879-O879-O$2-1)</f>
        <v/>
      </c>
      <c r="AI879" s="8" t="str">
        <f>MID($A879,P879+P$2+1,Q879-P879-P$2-1)</f>
        <v>False</v>
      </c>
      <c r="AK879" t="b">
        <f t="shared" si="116"/>
        <v>0</v>
      </c>
    </row>
    <row r="880" spans="1:37" x14ac:dyDescent="0.35">
      <c r="A880" t="s">
        <v>5427</v>
      </c>
      <c r="B880">
        <f t="shared" ref="B880:M901" si="120">FIND(B$1,$A880)</f>
        <v>10</v>
      </c>
      <c r="C880">
        <f t="shared" si="120"/>
        <v>43</v>
      </c>
      <c r="D880">
        <f t="shared" si="120"/>
        <v>54</v>
      </c>
      <c r="E880">
        <f t="shared" si="120"/>
        <v>80</v>
      </c>
      <c r="F880">
        <f t="shared" si="120"/>
        <v>124</v>
      </c>
      <c r="G880">
        <f t="shared" si="120"/>
        <v>145</v>
      </c>
      <c r="H880">
        <f t="shared" si="120"/>
        <v>177</v>
      </c>
      <c r="I880">
        <f t="shared" si="120"/>
        <v>199</v>
      </c>
      <c r="J880">
        <f t="shared" si="120"/>
        <v>232</v>
      </c>
      <c r="K880">
        <f t="shared" si="120"/>
        <v>251</v>
      </c>
      <c r="L880">
        <f t="shared" si="120"/>
        <v>283</v>
      </c>
      <c r="M880">
        <f t="shared" si="120"/>
        <v>298</v>
      </c>
      <c r="N880">
        <f t="shared" si="119"/>
        <v>310</v>
      </c>
      <c r="O880">
        <f t="shared" si="119"/>
        <v>332</v>
      </c>
      <c r="P880">
        <f t="shared" si="119"/>
        <v>350</v>
      </c>
      <c r="Q880">
        <f t="shared" si="114"/>
        <v>376</v>
      </c>
      <c r="S880" t="str">
        <f t="shared" si="112"/>
        <v>05.12.2025</v>
      </c>
      <c r="T880" t="str">
        <f t="shared" si="113"/>
        <v>22:30:00</v>
      </c>
      <c r="U880" t="str">
        <f t="shared" si="115"/>
        <v>05.12.2025 22:30:00</v>
      </c>
      <c r="V880" s="9" t="str">
        <f>MID($A880,C880+C$2+1,D880-C880-C$2-1)</f>
        <v>0</v>
      </c>
      <c r="W880" s="4">
        <f>VALUE(SUBSTITUTE(MID($A880,D880+D$2+1,E880-D880-D$2-1),",","."))</f>
        <v>0</v>
      </c>
      <c r="X880" s="4">
        <f>VALUE(SUBSTITUTE(MID($A880,E880+E$2+1,F880-E880-E$2-1),",","."))</f>
        <v>0.90957602214449496</v>
      </c>
      <c r="Y880" s="4">
        <f>VALUE(SUBSTITUTE(MID($A880,F880+F$2+1,G880-F880-F$2-1),",","."))</f>
        <v>0</v>
      </c>
      <c r="Z880" s="3">
        <f>VALUE(SUBSTITUTE(MID($A880,G880+G$2+1,H880-G880-G$2-1),",","."))</f>
        <v>0</v>
      </c>
      <c r="AA880" s="3">
        <f>VALUE(SUBSTITUTE(MID($A880,H880+H$2+1,I880-H880-H$2-1),",","."))</f>
        <v>0</v>
      </c>
      <c r="AB880" s="3">
        <f>VALUE(SUBSTITUTE(MID($A880,I880+I$2+1,J880-I880-I$2-1),",","."))</f>
        <v>0</v>
      </c>
      <c r="AC880" s="3">
        <f>VALUE(SUBSTITUTE(MID($A880,J880+J$2+1,K880-J880-J$2-1),",","."))</f>
        <v>3.2</v>
      </c>
      <c r="AD880" s="3">
        <f>VALUE(SUBSTITUTE(MID($A880,K880+K$2+1,L880-K880-K$2-1),",","."))</f>
        <v>10.44</v>
      </c>
      <c r="AE880" s="3">
        <f>VALUE(SUBSTITUTE(MID($A880,L880+L$2+1,M880-L880-L$2-1),",","."))</f>
        <v>0</v>
      </c>
      <c r="AF880" s="3">
        <f>VALUE(SUBSTITUTE(MID($A880,M880+M$2+1,N880-M880-M$2-1),",","."))</f>
        <v>0</v>
      </c>
      <c r="AG880" s="3">
        <f>VALUE(SUBSTITUTE(MID($A880,N880+N$2+1,O880-N880-N$2-1),",","."))</f>
        <v>4.2284726865259996</v>
      </c>
      <c r="AH880" t="str">
        <f>MID($A880,O880+O$2+1,P880-O880-O$2-1)</f>
        <v/>
      </c>
      <c r="AI880" s="8" t="str">
        <f>MID($A880,P880+P$2+1,Q880-P880-P$2-1)</f>
        <v>False</v>
      </c>
      <c r="AK880" t="b">
        <f t="shared" si="116"/>
        <v>0</v>
      </c>
    </row>
    <row r="881" spans="1:37" x14ac:dyDescent="0.35">
      <c r="A881" t="s">
        <v>5428</v>
      </c>
      <c r="B881">
        <f t="shared" si="120"/>
        <v>10</v>
      </c>
      <c r="C881">
        <f t="shared" si="120"/>
        <v>43</v>
      </c>
      <c r="D881">
        <f t="shared" si="120"/>
        <v>54</v>
      </c>
      <c r="E881">
        <f t="shared" si="120"/>
        <v>80</v>
      </c>
      <c r="F881">
        <f t="shared" si="120"/>
        <v>124</v>
      </c>
      <c r="G881">
        <f t="shared" si="120"/>
        <v>145</v>
      </c>
      <c r="H881">
        <f t="shared" si="120"/>
        <v>177</v>
      </c>
      <c r="I881">
        <f t="shared" si="120"/>
        <v>199</v>
      </c>
      <c r="J881">
        <f t="shared" si="120"/>
        <v>232</v>
      </c>
      <c r="K881">
        <f t="shared" si="120"/>
        <v>251</v>
      </c>
      <c r="L881">
        <f t="shared" si="120"/>
        <v>283</v>
      </c>
      <c r="M881">
        <f t="shared" si="120"/>
        <v>298</v>
      </c>
      <c r="N881">
        <f t="shared" si="119"/>
        <v>310</v>
      </c>
      <c r="O881">
        <f t="shared" si="119"/>
        <v>335</v>
      </c>
      <c r="P881">
        <f t="shared" si="119"/>
        <v>353</v>
      </c>
      <c r="Q881">
        <f t="shared" si="114"/>
        <v>379</v>
      </c>
      <c r="S881" t="str">
        <f t="shared" si="112"/>
        <v>05.12.2025</v>
      </c>
      <c r="T881" t="str">
        <f t="shared" si="113"/>
        <v>22:45:00</v>
      </c>
      <c r="U881" t="str">
        <f t="shared" si="115"/>
        <v>05.12.2025 22:45:00</v>
      </c>
      <c r="V881" s="9" t="str">
        <f>MID($A881,C881+C$2+1,D881-C881-C$2-1)</f>
        <v>0</v>
      </c>
      <c r="W881" s="4">
        <f>VALUE(SUBSTITUTE(MID($A881,D881+D$2+1,E881-D881-D$2-1),",","."))</f>
        <v>0</v>
      </c>
      <c r="X881" s="4">
        <f>VALUE(SUBSTITUTE(MID($A881,E881+E$2+1,F881-E881-E$2-1),",","."))</f>
        <v>0.90957602214449496</v>
      </c>
      <c r="Y881" s="4">
        <f>VALUE(SUBSTITUTE(MID($A881,F881+F$2+1,G881-F881-F$2-1),",","."))</f>
        <v>0</v>
      </c>
      <c r="Z881" s="3">
        <f>VALUE(SUBSTITUTE(MID($A881,G881+G$2+1,H881-G881-G$2-1),",","."))</f>
        <v>0</v>
      </c>
      <c r="AA881" s="3">
        <f>VALUE(SUBSTITUTE(MID($A881,H881+H$2+1,I881-H881-H$2-1),",","."))</f>
        <v>0</v>
      </c>
      <c r="AB881" s="3">
        <f>VALUE(SUBSTITUTE(MID($A881,I881+I$2+1,J881-I881-I$2-1),",","."))</f>
        <v>0</v>
      </c>
      <c r="AC881" s="3">
        <f>VALUE(SUBSTITUTE(MID($A881,J881+J$2+1,K881-J881-J$2-1),",","."))</f>
        <v>3.2</v>
      </c>
      <c r="AD881" s="3">
        <f>VALUE(SUBSTITUTE(MID($A881,K881+K$2+1,L881-K881-K$2-1),",","."))</f>
        <v>10.44</v>
      </c>
      <c r="AE881" s="3">
        <f>VALUE(SUBSTITUTE(MID($A881,L881+L$2+1,M881-L881-L$2-1),",","."))</f>
        <v>0</v>
      </c>
      <c r="AF881" s="3">
        <f>VALUE(SUBSTITUTE(MID($A881,M881+M$2+1,N881-M881-M$2-1),",","."))</f>
        <v>0</v>
      </c>
      <c r="AG881" s="3">
        <f>VALUE(SUBSTITUTE(MID($A881,N881+N$2+1,O881-N881-N$2-1),",","."))</f>
        <v>4.2285012064140801</v>
      </c>
      <c r="AH881" t="str">
        <f>MID($A881,O881+O$2+1,P881-O881-O$2-1)</f>
        <v/>
      </c>
      <c r="AI881" s="8" t="str">
        <f>MID($A881,P881+P$2+1,Q881-P881-P$2-1)</f>
        <v>False</v>
      </c>
      <c r="AK881" t="b">
        <f t="shared" si="116"/>
        <v>0</v>
      </c>
    </row>
    <row r="882" spans="1:37" x14ac:dyDescent="0.35">
      <c r="A882" t="s">
        <v>5429</v>
      </c>
      <c r="B882">
        <f t="shared" si="120"/>
        <v>10</v>
      </c>
      <c r="C882">
        <f t="shared" si="120"/>
        <v>43</v>
      </c>
      <c r="D882">
        <f t="shared" si="120"/>
        <v>54</v>
      </c>
      <c r="E882">
        <f t="shared" si="120"/>
        <v>80</v>
      </c>
      <c r="F882">
        <f t="shared" si="120"/>
        <v>124</v>
      </c>
      <c r="G882">
        <f t="shared" si="120"/>
        <v>145</v>
      </c>
      <c r="H882">
        <f t="shared" si="120"/>
        <v>177</v>
      </c>
      <c r="I882">
        <f t="shared" si="120"/>
        <v>199</v>
      </c>
      <c r="J882">
        <f t="shared" si="120"/>
        <v>232</v>
      </c>
      <c r="K882">
        <f t="shared" si="120"/>
        <v>251</v>
      </c>
      <c r="L882">
        <f t="shared" si="120"/>
        <v>283</v>
      </c>
      <c r="M882">
        <f t="shared" si="120"/>
        <v>298</v>
      </c>
      <c r="N882">
        <f t="shared" si="119"/>
        <v>310</v>
      </c>
      <c r="O882">
        <f t="shared" si="119"/>
        <v>335</v>
      </c>
      <c r="P882">
        <f t="shared" si="119"/>
        <v>353</v>
      </c>
      <c r="Q882">
        <f t="shared" si="114"/>
        <v>379</v>
      </c>
      <c r="S882" t="str">
        <f t="shared" si="112"/>
        <v>05.12.2025</v>
      </c>
      <c r="T882" t="str">
        <f t="shared" si="113"/>
        <v>23:00:00</v>
      </c>
      <c r="U882" t="str">
        <f t="shared" si="115"/>
        <v>05.12.2025 23:00:00</v>
      </c>
      <c r="V882" s="9" t="str">
        <f>MID($A882,C882+C$2+1,D882-C882-C$2-1)</f>
        <v>0</v>
      </c>
      <c r="W882" s="4">
        <f>VALUE(SUBSTITUTE(MID($A882,D882+D$2+1,E882-D882-D$2-1),",","."))</f>
        <v>0</v>
      </c>
      <c r="X882" s="4">
        <f>VALUE(SUBSTITUTE(MID($A882,E882+E$2+1,F882-E882-E$2-1),",","."))</f>
        <v>0.90957602214449496</v>
      </c>
      <c r="Y882" s="4">
        <f>VALUE(SUBSTITUTE(MID($A882,F882+F$2+1,G882-F882-F$2-1),",","."))</f>
        <v>0</v>
      </c>
      <c r="Z882" s="3">
        <f>VALUE(SUBSTITUTE(MID($A882,G882+G$2+1,H882-G882-G$2-1),",","."))</f>
        <v>0</v>
      </c>
      <c r="AA882" s="3">
        <f>VALUE(SUBSTITUTE(MID($A882,H882+H$2+1,I882-H882-H$2-1),",","."))</f>
        <v>0</v>
      </c>
      <c r="AB882" s="3">
        <f>VALUE(SUBSTITUTE(MID($A882,I882+I$2+1,J882-I882-I$2-1),",","."))</f>
        <v>0</v>
      </c>
      <c r="AC882" s="3">
        <f>VALUE(SUBSTITUTE(MID($A882,J882+J$2+1,K882-J882-J$2-1),",","."))</f>
        <v>3.2</v>
      </c>
      <c r="AD882" s="3">
        <f>VALUE(SUBSTITUTE(MID($A882,K882+K$2+1,L882-K882-K$2-1),",","."))</f>
        <v>10.44</v>
      </c>
      <c r="AE882" s="3">
        <f>VALUE(SUBSTITUTE(MID($A882,L882+L$2+1,M882-L882-L$2-1),",","."))</f>
        <v>0</v>
      </c>
      <c r="AF882" s="3">
        <f>VALUE(SUBSTITUTE(MID($A882,M882+M$2+1,N882-M882-M$2-1),",","."))</f>
        <v>0</v>
      </c>
      <c r="AG882" s="3">
        <f>VALUE(SUBSTITUTE(MID($A882,N882+N$2+1,O882-N882-N$2-1),",","."))</f>
        <v>4.2285297263021597</v>
      </c>
      <c r="AH882" t="str">
        <f>MID($A882,O882+O$2+1,P882-O882-O$2-1)</f>
        <v/>
      </c>
      <c r="AI882" s="8" t="str">
        <f>MID($A882,P882+P$2+1,Q882-P882-P$2-1)</f>
        <v>False</v>
      </c>
      <c r="AK882" t="b">
        <f t="shared" si="116"/>
        <v>0</v>
      </c>
    </row>
    <row r="883" spans="1:37" x14ac:dyDescent="0.35">
      <c r="A883" t="s">
        <v>5430</v>
      </c>
      <c r="B883">
        <f t="shared" si="120"/>
        <v>10</v>
      </c>
      <c r="C883">
        <f t="shared" si="120"/>
        <v>43</v>
      </c>
      <c r="D883">
        <f t="shared" si="120"/>
        <v>54</v>
      </c>
      <c r="E883">
        <f t="shared" si="120"/>
        <v>80</v>
      </c>
      <c r="F883">
        <f t="shared" si="120"/>
        <v>124</v>
      </c>
      <c r="G883">
        <f t="shared" si="120"/>
        <v>145</v>
      </c>
      <c r="H883">
        <f t="shared" si="120"/>
        <v>177</v>
      </c>
      <c r="I883">
        <f t="shared" si="120"/>
        <v>199</v>
      </c>
      <c r="J883">
        <f t="shared" si="120"/>
        <v>232</v>
      </c>
      <c r="K883">
        <f t="shared" si="120"/>
        <v>251</v>
      </c>
      <c r="L883">
        <f t="shared" si="120"/>
        <v>283</v>
      </c>
      <c r="M883">
        <f t="shared" si="120"/>
        <v>298</v>
      </c>
      <c r="N883">
        <f t="shared" si="119"/>
        <v>310</v>
      </c>
      <c r="O883">
        <f t="shared" si="119"/>
        <v>335</v>
      </c>
      <c r="P883">
        <f t="shared" si="119"/>
        <v>353</v>
      </c>
      <c r="Q883">
        <f t="shared" si="114"/>
        <v>379</v>
      </c>
      <c r="S883" t="str">
        <f t="shared" si="112"/>
        <v>05.12.2025</v>
      </c>
      <c r="T883" t="str">
        <f t="shared" si="113"/>
        <v>23:15:00</v>
      </c>
      <c r="U883" t="str">
        <f t="shared" si="115"/>
        <v>05.12.2025 23:15:00</v>
      </c>
      <c r="V883" s="9" t="str">
        <f>MID($A883,C883+C$2+1,D883-C883-C$2-1)</f>
        <v>0</v>
      </c>
      <c r="W883" s="4">
        <f>VALUE(SUBSTITUTE(MID($A883,D883+D$2+1,E883-D883-D$2-1),",","."))</f>
        <v>0</v>
      </c>
      <c r="X883" s="4">
        <f>VALUE(SUBSTITUTE(MID($A883,E883+E$2+1,F883-E883-E$2-1),",","."))</f>
        <v>0.90957602214449496</v>
      </c>
      <c r="Y883" s="4">
        <f>VALUE(SUBSTITUTE(MID($A883,F883+F$2+1,G883-F883-F$2-1),",","."))</f>
        <v>0</v>
      </c>
      <c r="Z883" s="3">
        <f>VALUE(SUBSTITUTE(MID($A883,G883+G$2+1,H883-G883-G$2-1),",","."))</f>
        <v>0</v>
      </c>
      <c r="AA883" s="3">
        <f>VALUE(SUBSTITUTE(MID($A883,H883+H$2+1,I883-H883-H$2-1),",","."))</f>
        <v>0</v>
      </c>
      <c r="AB883" s="3">
        <f>VALUE(SUBSTITUTE(MID($A883,I883+I$2+1,J883-I883-I$2-1),",","."))</f>
        <v>0</v>
      </c>
      <c r="AC883" s="3">
        <f>VALUE(SUBSTITUTE(MID($A883,J883+J$2+1,K883-J883-J$2-1),",","."))</f>
        <v>3.2</v>
      </c>
      <c r="AD883" s="3">
        <f>VALUE(SUBSTITUTE(MID($A883,K883+K$2+1,L883-K883-K$2-1),",","."))</f>
        <v>10.44</v>
      </c>
      <c r="AE883" s="3">
        <f>VALUE(SUBSTITUTE(MID($A883,L883+L$2+1,M883-L883-L$2-1),",","."))</f>
        <v>0</v>
      </c>
      <c r="AF883" s="3">
        <f>VALUE(SUBSTITUTE(MID($A883,M883+M$2+1,N883-M883-M$2-1),",","."))</f>
        <v>0</v>
      </c>
      <c r="AG883" s="3">
        <f>VALUE(SUBSTITUTE(MID($A883,N883+N$2+1,O883-N883-N$2-1),",","."))</f>
        <v>4.2285582461902402</v>
      </c>
      <c r="AH883" t="str">
        <f>MID($A883,O883+O$2+1,P883-O883-O$2-1)</f>
        <v/>
      </c>
      <c r="AI883" s="8" t="str">
        <f>MID($A883,P883+P$2+1,Q883-P883-P$2-1)</f>
        <v>False</v>
      </c>
      <c r="AK883" t="b">
        <f t="shared" si="116"/>
        <v>0</v>
      </c>
    </row>
    <row r="884" spans="1:37" x14ac:dyDescent="0.35">
      <c r="A884" t="s">
        <v>5431</v>
      </c>
      <c r="B884">
        <f t="shared" si="120"/>
        <v>10</v>
      </c>
      <c r="C884">
        <f t="shared" si="120"/>
        <v>43</v>
      </c>
      <c r="D884">
        <f t="shared" si="120"/>
        <v>54</v>
      </c>
      <c r="E884">
        <f t="shared" si="120"/>
        <v>80</v>
      </c>
      <c r="F884">
        <f t="shared" si="120"/>
        <v>124</v>
      </c>
      <c r="G884">
        <f t="shared" si="120"/>
        <v>145</v>
      </c>
      <c r="H884">
        <f t="shared" si="120"/>
        <v>177</v>
      </c>
      <c r="I884">
        <f t="shared" si="120"/>
        <v>199</v>
      </c>
      <c r="J884">
        <f t="shared" si="120"/>
        <v>232</v>
      </c>
      <c r="K884">
        <f t="shared" si="120"/>
        <v>252</v>
      </c>
      <c r="L884">
        <f t="shared" si="120"/>
        <v>269</v>
      </c>
      <c r="M884">
        <f t="shared" si="120"/>
        <v>284</v>
      </c>
      <c r="N884">
        <f t="shared" si="119"/>
        <v>296</v>
      </c>
      <c r="O884">
        <f t="shared" si="119"/>
        <v>321</v>
      </c>
      <c r="P884">
        <f t="shared" si="119"/>
        <v>339</v>
      </c>
      <c r="Q884">
        <f t="shared" si="114"/>
        <v>365</v>
      </c>
      <c r="S884" t="str">
        <f t="shared" si="112"/>
        <v>05.12.2025</v>
      </c>
      <c r="T884" t="str">
        <f t="shared" si="113"/>
        <v>23:30:00</v>
      </c>
      <c r="U884" t="str">
        <f t="shared" si="115"/>
        <v>05.12.2025 23:30:00</v>
      </c>
      <c r="V884" s="9" t="str">
        <f>MID($A884,C884+C$2+1,D884-C884-C$2-1)</f>
        <v>0</v>
      </c>
      <c r="W884" s="4">
        <f>VALUE(SUBSTITUTE(MID($A884,D884+D$2+1,E884-D884-D$2-1),",","."))</f>
        <v>0</v>
      </c>
      <c r="X884" s="4">
        <f>VALUE(SUBSTITUTE(MID($A884,E884+E$2+1,F884-E884-E$2-1),",","."))</f>
        <v>0.90957602214449496</v>
      </c>
      <c r="Y884" s="4">
        <f>VALUE(SUBSTITUTE(MID($A884,F884+F$2+1,G884-F884-F$2-1),",","."))</f>
        <v>0</v>
      </c>
      <c r="Z884" s="3">
        <f>VALUE(SUBSTITUTE(MID($A884,G884+G$2+1,H884-G884-G$2-1),",","."))</f>
        <v>0</v>
      </c>
      <c r="AA884" s="3">
        <f>VALUE(SUBSTITUTE(MID($A884,H884+H$2+1,I884-H884-H$2-1),",","."))</f>
        <v>0</v>
      </c>
      <c r="AB884" s="3">
        <f>VALUE(SUBSTITUTE(MID($A884,I884+I$2+1,J884-I884-I$2-1),",","."))</f>
        <v>0</v>
      </c>
      <c r="AC884" s="3">
        <f>VALUE(SUBSTITUTE(MID($A884,J884+J$2+1,K884-J884-J$2-1),",","."))</f>
        <v>3.05</v>
      </c>
      <c r="AD884" s="3">
        <f>VALUE(SUBSTITUTE(MID($A884,K884+K$2+1,L884-K884-K$2-1),",","."))</f>
        <v>8.1</v>
      </c>
      <c r="AE884" s="3">
        <f>VALUE(SUBSTITUTE(MID($A884,L884+L$2+1,M884-L884-L$2-1),",","."))</f>
        <v>0</v>
      </c>
      <c r="AF884" s="3">
        <f>VALUE(SUBSTITUTE(MID($A884,M884+M$2+1,N884-M884-M$2-1),",","."))</f>
        <v>0</v>
      </c>
      <c r="AG884" s="3">
        <f>VALUE(SUBSTITUTE(MID($A884,N884+N$2+1,O884-N884-N$2-1),",","."))</f>
        <v>4.2285867660783198</v>
      </c>
      <c r="AH884" t="str">
        <f>MID($A884,O884+O$2+1,P884-O884-O$2-1)</f>
        <v/>
      </c>
      <c r="AI884" s="8" t="str">
        <f>MID($A884,P884+P$2+1,Q884-P884-P$2-1)</f>
        <v>False</v>
      </c>
      <c r="AK884" t="b">
        <f t="shared" si="116"/>
        <v>0</v>
      </c>
    </row>
    <row r="885" spans="1:37" x14ac:dyDescent="0.35">
      <c r="A885" t="s">
        <v>5432</v>
      </c>
      <c r="B885">
        <f t="shared" si="120"/>
        <v>10</v>
      </c>
      <c r="C885">
        <f t="shared" si="120"/>
        <v>43</v>
      </c>
      <c r="D885">
        <f t="shared" si="120"/>
        <v>54</v>
      </c>
      <c r="E885">
        <f t="shared" si="120"/>
        <v>80</v>
      </c>
      <c r="F885">
        <f t="shared" si="120"/>
        <v>124</v>
      </c>
      <c r="G885">
        <f t="shared" si="120"/>
        <v>145</v>
      </c>
      <c r="H885">
        <f t="shared" si="120"/>
        <v>177</v>
      </c>
      <c r="I885">
        <f t="shared" si="120"/>
        <v>199</v>
      </c>
      <c r="J885">
        <f t="shared" si="120"/>
        <v>232</v>
      </c>
      <c r="K885">
        <f t="shared" si="120"/>
        <v>252</v>
      </c>
      <c r="L885">
        <f t="shared" si="120"/>
        <v>269</v>
      </c>
      <c r="M885">
        <f t="shared" si="120"/>
        <v>284</v>
      </c>
      <c r="N885">
        <f t="shared" si="119"/>
        <v>296</v>
      </c>
      <c r="O885">
        <f t="shared" si="119"/>
        <v>322</v>
      </c>
      <c r="P885">
        <f t="shared" si="119"/>
        <v>340</v>
      </c>
      <c r="Q885">
        <f t="shared" si="114"/>
        <v>366</v>
      </c>
      <c r="S885" t="str">
        <f t="shared" si="112"/>
        <v>05.12.2025</v>
      </c>
      <c r="T885" t="str">
        <f t="shared" si="113"/>
        <v>23:45:00</v>
      </c>
      <c r="U885" t="str">
        <f t="shared" si="115"/>
        <v>05.12.2025 23:45:00</v>
      </c>
      <c r="V885" s="9" t="str">
        <f>MID($A885,C885+C$2+1,D885-C885-C$2-1)</f>
        <v>0</v>
      </c>
      <c r="W885" s="4">
        <f>VALUE(SUBSTITUTE(MID($A885,D885+D$2+1,E885-D885-D$2-1),",","."))</f>
        <v>0</v>
      </c>
      <c r="X885" s="4">
        <f>VALUE(SUBSTITUTE(MID($A885,E885+E$2+1,F885-E885-E$2-1),",","."))</f>
        <v>0.90957602214449496</v>
      </c>
      <c r="Y885" s="4">
        <f>VALUE(SUBSTITUTE(MID($A885,F885+F$2+1,G885-F885-F$2-1),",","."))</f>
        <v>0</v>
      </c>
      <c r="Z885" s="3">
        <f>VALUE(SUBSTITUTE(MID($A885,G885+G$2+1,H885-G885-G$2-1),",","."))</f>
        <v>0</v>
      </c>
      <c r="AA885" s="3">
        <f>VALUE(SUBSTITUTE(MID($A885,H885+H$2+1,I885-H885-H$2-1),",","."))</f>
        <v>0</v>
      </c>
      <c r="AB885" s="3">
        <f>VALUE(SUBSTITUTE(MID($A885,I885+I$2+1,J885-I885-I$2-1),",","."))</f>
        <v>0</v>
      </c>
      <c r="AC885" s="3">
        <f>VALUE(SUBSTITUTE(MID($A885,J885+J$2+1,K885-J885-J$2-1),",","."))</f>
        <v>3.05</v>
      </c>
      <c r="AD885" s="3">
        <f>VALUE(SUBSTITUTE(MID($A885,K885+K$2+1,L885-K885-K$2-1),",","."))</f>
        <v>8.1</v>
      </c>
      <c r="AE885" s="3">
        <f>VALUE(SUBSTITUTE(MID($A885,L885+L$2+1,M885-L885-L$2-1),",","."))</f>
        <v>0</v>
      </c>
      <c r="AF885" s="3">
        <f>VALUE(SUBSTITUTE(MID($A885,M885+M$2+1,N885-M885-M$2-1),",","."))</f>
        <v>0</v>
      </c>
      <c r="AG885" s="3">
        <f>VALUE(SUBSTITUTE(MID($A885,N885+N$2+1,O885-N885-N$2-1),",","."))</f>
        <v>4.2286152859664004</v>
      </c>
      <c r="AH885" t="str">
        <f>MID($A885,O885+O$2+1,P885-O885-O$2-1)</f>
        <v/>
      </c>
      <c r="AI885" s="8" t="str">
        <f>MID($A885,P885+P$2+1,Q885-P885-P$2-1)</f>
        <v>False</v>
      </c>
      <c r="AK885" t="b">
        <f t="shared" si="116"/>
        <v>0</v>
      </c>
    </row>
    <row r="886" spans="1:37" x14ac:dyDescent="0.35">
      <c r="A886" t="s">
        <v>5433</v>
      </c>
      <c r="B886">
        <f t="shared" si="120"/>
        <v>10</v>
      </c>
      <c r="C886">
        <f t="shared" si="120"/>
        <v>43</v>
      </c>
      <c r="D886">
        <f t="shared" si="120"/>
        <v>54</v>
      </c>
      <c r="E886">
        <f t="shared" si="120"/>
        <v>80</v>
      </c>
      <c r="F886">
        <f t="shared" si="120"/>
        <v>124</v>
      </c>
      <c r="G886">
        <f t="shared" si="120"/>
        <v>145</v>
      </c>
      <c r="H886">
        <f t="shared" si="120"/>
        <v>177</v>
      </c>
      <c r="I886">
        <f t="shared" si="120"/>
        <v>199</v>
      </c>
      <c r="J886">
        <f t="shared" si="120"/>
        <v>232</v>
      </c>
      <c r="K886">
        <f t="shared" si="120"/>
        <v>252</v>
      </c>
      <c r="L886">
        <f t="shared" si="120"/>
        <v>269</v>
      </c>
      <c r="M886">
        <f t="shared" si="120"/>
        <v>284</v>
      </c>
      <c r="N886">
        <f t="shared" si="119"/>
        <v>296</v>
      </c>
      <c r="O886">
        <f t="shared" si="119"/>
        <v>320</v>
      </c>
      <c r="P886">
        <f t="shared" si="119"/>
        <v>338</v>
      </c>
      <c r="Q886">
        <f t="shared" si="114"/>
        <v>364</v>
      </c>
      <c r="S886" t="str">
        <f t="shared" si="112"/>
        <v>06.12.2025</v>
      </c>
      <c r="T886" t="str">
        <f t="shared" si="113"/>
        <v>00:00:00</v>
      </c>
      <c r="U886" t="str">
        <f t="shared" si="115"/>
        <v>06.12.2025 00:00:00</v>
      </c>
      <c r="V886" s="9" t="str">
        <f>MID($A886,C886+C$2+1,D886-C886-C$2-1)</f>
        <v>0</v>
      </c>
      <c r="W886" s="4">
        <f>VALUE(SUBSTITUTE(MID($A886,D886+D$2+1,E886-D886-D$2-1),",","."))</f>
        <v>0</v>
      </c>
      <c r="X886" s="4">
        <f>VALUE(SUBSTITUTE(MID($A886,E886+E$2+1,F886-E886-E$2-1),",","."))</f>
        <v>0.90957602214449496</v>
      </c>
      <c r="Y886" s="4">
        <f>VALUE(SUBSTITUTE(MID($A886,F886+F$2+1,G886-F886-F$2-1),",","."))</f>
        <v>0</v>
      </c>
      <c r="Z886" s="3">
        <f>VALUE(SUBSTITUTE(MID($A886,G886+G$2+1,H886-G886-G$2-1),",","."))</f>
        <v>0</v>
      </c>
      <c r="AA886" s="3">
        <f>VALUE(SUBSTITUTE(MID($A886,H886+H$2+1,I886-H886-H$2-1),",","."))</f>
        <v>0</v>
      </c>
      <c r="AB886" s="3">
        <f>VALUE(SUBSTITUTE(MID($A886,I886+I$2+1,J886-I886-I$2-1),",","."))</f>
        <v>0</v>
      </c>
      <c r="AC886" s="3">
        <f>VALUE(SUBSTITUTE(MID($A886,J886+J$2+1,K886-J886-J$2-1),",","."))</f>
        <v>3.05</v>
      </c>
      <c r="AD886" s="3">
        <f>VALUE(SUBSTITUTE(MID($A886,K886+K$2+1,L886-K886-K$2-1),",","."))</f>
        <v>8.1</v>
      </c>
      <c r="AE886" s="3">
        <f>VALUE(SUBSTITUTE(MID($A886,L886+L$2+1,M886-L886-L$2-1),",","."))</f>
        <v>0</v>
      </c>
      <c r="AF886" s="3">
        <f>VALUE(SUBSTITUTE(MID($A886,M886+M$2+1,N886-M886-M$2-1),",","."))</f>
        <v>0</v>
      </c>
      <c r="AG886" s="3">
        <f>VALUE(SUBSTITUTE(MID($A886,N886+N$2+1,O886-N886-N$2-1),",","."))</f>
        <v>4.2286438058544897</v>
      </c>
      <c r="AH886" t="str">
        <f>MID($A886,O886+O$2+1,P886-O886-O$2-1)</f>
        <v/>
      </c>
      <c r="AI886" s="8" t="str">
        <f>MID($A886,P886+P$2+1,Q886-P886-P$2-1)</f>
        <v>False</v>
      </c>
      <c r="AK886" t="b">
        <f t="shared" si="116"/>
        <v>0</v>
      </c>
    </row>
    <row r="887" spans="1:37" x14ac:dyDescent="0.35">
      <c r="A887" t="s">
        <v>5434</v>
      </c>
      <c r="B887">
        <f t="shared" si="120"/>
        <v>10</v>
      </c>
      <c r="C887">
        <f t="shared" si="120"/>
        <v>43</v>
      </c>
      <c r="D887">
        <f t="shared" si="120"/>
        <v>54</v>
      </c>
      <c r="E887">
        <f t="shared" si="120"/>
        <v>80</v>
      </c>
      <c r="F887">
        <f t="shared" si="120"/>
        <v>124</v>
      </c>
      <c r="G887">
        <f t="shared" si="120"/>
        <v>145</v>
      </c>
      <c r="H887">
        <f t="shared" si="120"/>
        <v>177</v>
      </c>
      <c r="I887">
        <f t="shared" si="120"/>
        <v>199</v>
      </c>
      <c r="J887">
        <f t="shared" si="120"/>
        <v>232</v>
      </c>
      <c r="K887">
        <f t="shared" si="120"/>
        <v>252</v>
      </c>
      <c r="L887">
        <f t="shared" si="120"/>
        <v>269</v>
      </c>
      <c r="M887">
        <f t="shared" si="120"/>
        <v>284</v>
      </c>
      <c r="N887">
        <f t="shared" si="119"/>
        <v>296</v>
      </c>
      <c r="O887">
        <f t="shared" si="119"/>
        <v>321</v>
      </c>
      <c r="P887">
        <f t="shared" si="119"/>
        <v>339</v>
      </c>
      <c r="Q887">
        <f t="shared" si="114"/>
        <v>365</v>
      </c>
      <c r="S887" t="str">
        <f t="shared" si="112"/>
        <v>06.12.2025</v>
      </c>
      <c r="T887" t="str">
        <f t="shared" si="113"/>
        <v>00:15:00</v>
      </c>
      <c r="U887" t="str">
        <f t="shared" si="115"/>
        <v>06.12.2025 00:15:00</v>
      </c>
      <c r="V887" s="9" t="str">
        <f>MID($A887,C887+C$2+1,D887-C887-C$2-1)</f>
        <v>0</v>
      </c>
      <c r="W887" s="4">
        <f>VALUE(SUBSTITUTE(MID($A887,D887+D$2+1,E887-D887-D$2-1),",","."))</f>
        <v>0</v>
      </c>
      <c r="X887" s="4">
        <f>VALUE(SUBSTITUTE(MID($A887,E887+E$2+1,F887-E887-E$2-1),",","."))</f>
        <v>0.90957602214449496</v>
      </c>
      <c r="Y887" s="4">
        <f>VALUE(SUBSTITUTE(MID($A887,F887+F$2+1,G887-F887-F$2-1),",","."))</f>
        <v>0</v>
      </c>
      <c r="Z887" s="3">
        <f>VALUE(SUBSTITUTE(MID($A887,G887+G$2+1,H887-G887-G$2-1),",","."))</f>
        <v>0</v>
      </c>
      <c r="AA887" s="3">
        <f>VALUE(SUBSTITUTE(MID($A887,H887+H$2+1,I887-H887-H$2-1),",","."))</f>
        <v>0</v>
      </c>
      <c r="AB887" s="3">
        <f>VALUE(SUBSTITUTE(MID($A887,I887+I$2+1,J887-I887-I$2-1),",","."))</f>
        <v>0</v>
      </c>
      <c r="AC887" s="3">
        <f>VALUE(SUBSTITUTE(MID($A887,J887+J$2+1,K887-J887-J$2-1),",","."))</f>
        <v>3.05</v>
      </c>
      <c r="AD887" s="3">
        <f>VALUE(SUBSTITUTE(MID($A887,K887+K$2+1,L887-K887-K$2-1),",","."))</f>
        <v>8.1</v>
      </c>
      <c r="AE887" s="3">
        <f>VALUE(SUBSTITUTE(MID($A887,L887+L$2+1,M887-L887-L$2-1),",","."))</f>
        <v>0</v>
      </c>
      <c r="AF887" s="3">
        <f>VALUE(SUBSTITUTE(MID($A887,M887+M$2+1,N887-M887-M$2-1),",","."))</f>
        <v>0</v>
      </c>
      <c r="AG887" s="3">
        <f>VALUE(SUBSTITUTE(MID($A887,N887+N$2+1,O887-N887-N$2-1),",","."))</f>
        <v>4.2286723257425702</v>
      </c>
      <c r="AH887" t="str">
        <f>MID($A887,O887+O$2+1,P887-O887-O$2-1)</f>
        <v/>
      </c>
      <c r="AI887" s="8" t="str">
        <f>MID($A887,P887+P$2+1,Q887-P887-P$2-1)</f>
        <v>False</v>
      </c>
      <c r="AK887" t="b">
        <f t="shared" si="116"/>
        <v>0</v>
      </c>
    </row>
    <row r="888" spans="1:37" x14ac:dyDescent="0.35">
      <c r="A888" t="s">
        <v>5435</v>
      </c>
      <c r="B888">
        <f t="shared" si="120"/>
        <v>10</v>
      </c>
      <c r="C888">
        <f t="shared" si="120"/>
        <v>43</v>
      </c>
      <c r="D888">
        <f t="shared" si="120"/>
        <v>54</v>
      </c>
      <c r="E888">
        <f t="shared" si="120"/>
        <v>80</v>
      </c>
      <c r="F888">
        <f t="shared" si="120"/>
        <v>124</v>
      </c>
      <c r="G888">
        <f t="shared" si="120"/>
        <v>145</v>
      </c>
      <c r="H888">
        <f t="shared" si="120"/>
        <v>177</v>
      </c>
      <c r="I888">
        <f t="shared" si="120"/>
        <v>199</v>
      </c>
      <c r="J888">
        <f t="shared" si="120"/>
        <v>232</v>
      </c>
      <c r="K888">
        <f t="shared" si="120"/>
        <v>251</v>
      </c>
      <c r="L888">
        <f t="shared" si="120"/>
        <v>269</v>
      </c>
      <c r="M888">
        <f t="shared" si="120"/>
        <v>284</v>
      </c>
      <c r="N888">
        <f t="shared" si="119"/>
        <v>296</v>
      </c>
      <c r="O888">
        <f t="shared" si="119"/>
        <v>322</v>
      </c>
      <c r="P888">
        <f t="shared" si="119"/>
        <v>340</v>
      </c>
      <c r="Q888">
        <f t="shared" si="114"/>
        <v>366</v>
      </c>
      <c r="S888" t="str">
        <f t="shared" ref="S888:S951" si="121">LEFT(U888,10)</f>
        <v>06.12.2025</v>
      </c>
      <c r="T888" t="str">
        <f t="shared" ref="T888:T951" si="122">MID(U888,12,8)</f>
        <v>00:30:00</v>
      </c>
      <c r="U888" t="str">
        <f t="shared" si="115"/>
        <v>06.12.2025 00:30:00</v>
      </c>
      <c r="V888" s="9" t="str">
        <f>MID($A888,C888+C$2+1,D888-C888-C$2-1)</f>
        <v>0</v>
      </c>
      <c r="W888" s="4">
        <f>VALUE(SUBSTITUTE(MID($A888,D888+D$2+1,E888-D888-D$2-1),",","."))</f>
        <v>0</v>
      </c>
      <c r="X888" s="4">
        <f>VALUE(SUBSTITUTE(MID($A888,E888+E$2+1,F888-E888-E$2-1),",","."))</f>
        <v>0.90957602214449496</v>
      </c>
      <c r="Y888" s="4">
        <f>VALUE(SUBSTITUTE(MID($A888,F888+F$2+1,G888-F888-F$2-1),",","."))</f>
        <v>0</v>
      </c>
      <c r="Z888" s="3">
        <f>VALUE(SUBSTITUTE(MID($A888,G888+G$2+1,H888-G888-G$2-1),",","."))</f>
        <v>0</v>
      </c>
      <c r="AA888" s="3">
        <f>VALUE(SUBSTITUTE(MID($A888,H888+H$2+1,I888-H888-H$2-1),",","."))</f>
        <v>0</v>
      </c>
      <c r="AB888" s="3">
        <f>VALUE(SUBSTITUTE(MID($A888,I888+I$2+1,J888-I888-I$2-1),",","."))</f>
        <v>0</v>
      </c>
      <c r="AC888" s="3">
        <f>VALUE(SUBSTITUTE(MID($A888,J888+J$2+1,K888-J888-J$2-1),",","."))</f>
        <v>3.1</v>
      </c>
      <c r="AD888" s="3">
        <f>VALUE(SUBSTITUTE(MID($A888,K888+K$2+1,L888-K888-K$2-1),",","."))</f>
        <v>8.4600000000000009</v>
      </c>
      <c r="AE888" s="3">
        <f>VALUE(SUBSTITUTE(MID($A888,L888+L$2+1,M888-L888-L$2-1),",","."))</f>
        <v>0</v>
      </c>
      <c r="AF888" s="3">
        <f>VALUE(SUBSTITUTE(MID($A888,M888+M$2+1,N888-M888-M$2-1),",","."))</f>
        <v>0</v>
      </c>
      <c r="AG888" s="3">
        <f>VALUE(SUBSTITUTE(MID($A888,N888+N$2+1,O888-N888-N$2-1),",","."))</f>
        <v>4.2287008456306499</v>
      </c>
      <c r="AH888" t="str">
        <f>MID($A888,O888+O$2+1,P888-O888-O$2-1)</f>
        <v/>
      </c>
      <c r="AI888" s="8" t="str">
        <f>MID($A888,P888+P$2+1,Q888-P888-P$2-1)</f>
        <v>False</v>
      </c>
      <c r="AK888" t="b">
        <f t="shared" si="116"/>
        <v>0</v>
      </c>
    </row>
    <row r="889" spans="1:37" x14ac:dyDescent="0.35">
      <c r="A889" t="s">
        <v>5436</v>
      </c>
      <c r="B889">
        <f t="shared" si="120"/>
        <v>10</v>
      </c>
      <c r="C889">
        <f t="shared" si="120"/>
        <v>43</v>
      </c>
      <c r="D889">
        <f t="shared" si="120"/>
        <v>54</v>
      </c>
      <c r="E889">
        <f t="shared" si="120"/>
        <v>80</v>
      </c>
      <c r="F889">
        <f t="shared" si="120"/>
        <v>124</v>
      </c>
      <c r="G889">
        <f t="shared" si="120"/>
        <v>145</v>
      </c>
      <c r="H889">
        <f t="shared" si="120"/>
        <v>177</v>
      </c>
      <c r="I889">
        <f t="shared" si="120"/>
        <v>199</v>
      </c>
      <c r="J889">
        <f t="shared" si="120"/>
        <v>232</v>
      </c>
      <c r="K889">
        <f t="shared" si="120"/>
        <v>251</v>
      </c>
      <c r="L889">
        <f t="shared" si="120"/>
        <v>269</v>
      </c>
      <c r="M889">
        <f t="shared" si="120"/>
        <v>284</v>
      </c>
      <c r="N889">
        <f t="shared" si="119"/>
        <v>296</v>
      </c>
      <c r="O889">
        <f t="shared" si="119"/>
        <v>321</v>
      </c>
      <c r="P889">
        <f t="shared" si="119"/>
        <v>339</v>
      </c>
      <c r="Q889">
        <f t="shared" si="114"/>
        <v>365</v>
      </c>
      <c r="S889" t="str">
        <f t="shared" si="121"/>
        <v>06.12.2025</v>
      </c>
      <c r="T889" t="str">
        <f t="shared" si="122"/>
        <v>00:45:00</v>
      </c>
      <c r="U889" t="str">
        <f t="shared" si="115"/>
        <v>06.12.2025 00:45:00</v>
      </c>
      <c r="V889" s="9" t="str">
        <f>MID($A889,C889+C$2+1,D889-C889-C$2-1)</f>
        <v>0</v>
      </c>
      <c r="W889" s="4">
        <f>VALUE(SUBSTITUTE(MID($A889,D889+D$2+1,E889-D889-D$2-1),",","."))</f>
        <v>0</v>
      </c>
      <c r="X889" s="4">
        <f>VALUE(SUBSTITUTE(MID($A889,E889+E$2+1,F889-E889-E$2-1),",","."))</f>
        <v>0.90957602214449496</v>
      </c>
      <c r="Y889" s="4">
        <f>VALUE(SUBSTITUTE(MID($A889,F889+F$2+1,G889-F889-F$2-1),",","."))</f>
        <v>0</v>
      </c>
      <c r="Z889" s="3">
        <f>VALUE(SUBSTITUTE(MID($A889,G889+G$2+1,H889-G889-G$2-1),",","."))</f>
        <v>0</v>
      </c>
      <c r="AA889" s="3">
        <f>VALUE(SUBSTITUTE(MID($A889,H889+H$2+1,I889-H889-H$2-1),",","."))</f>
        <v>0</v>
      </c>
      <c r="AB889" s="3">
        <f>VALUE(SUBSTITUTE(MID($A889,I889+I$2+1,J889-I889-I$2-1),",","."))</f>
        <v>0</v>
      </c>
      <c r="AC889" s="3">
        <f>VALUE(SUBSTITUTE(MID($A889,J889+J$2+1,K889-J889-J$2-1),",","."))</f>
        <v>3.1</v>
      </c>
      <c r="AD889" s="3">
        <f>VALUE(SUBSTITUTE(MID($A889,K889+K$2+1,L889-K889-K$2-1),",","."))</f>
        <v>8.4600000000000009</v>
      </c>
      <c r="AE889" s="3">
        <f>VALUE(SUBSTITUTE(MID($A889,L889+L$2+1,M889-L889-L$2-1),",","."))</f>
        <v>0</v>
      </c>
      <c r="AF889" s="3">
        <f>VALUE(SUBSTITUTE(MID($A889,M889+M$2+1,N889-M889-M$2-1),",","."))</f>
        <v>0</v>
      </c>
      <c r="AG889" s="3">
        <f>VALUE(SUBSTITUTE(MID($A889,N889+N$2+1,O889-N889-N$2-1),",","."))</f>
        <v>4.2287293655187304</v>
      </c>
      <c r="AH889" t="str">
        <f>MID($A889,O889+O$2+1,P889-O889-O$2-1)</f>
        <v/>
      </c>
      <c r="AI889" s="8" t="str">
        <f>MID($A889,P889+P$2+1,Q889-P889-P$2-1)</f>
        <v>False</v>
      </c>
      <c r="AK889" t="b">
        <f t="shared" si="116"/>
        <v>0</v>
      </c>
    </row>
    <row r="890" spans="1:37" x14ac:dyDescent="0.35">
      <c r="A890" t="s">
        <v>5437</v>
      </c>
      <c r="B890">
        <f t="shared" si="120"/>
        <v>10</v>
      </c>
      <c r="C890">
        <f t="shared" si="120"/>
        <v>43</v>
      </c>
      <c r="D890">
        <f t="shared" si="120"/>
        <v>54</v>
      </c>
      <c r="E890">
        <f t="shared" si="120"/>
        <v>80</v>
      </c>
      <c r="F890">
        <f t="shared" si="120"/>
        <v>124</v>
      </c>
      <c r="G890">
        <f t="shared" si="120"/>
        <v>145</v>
      </c>
      <c r="H890">
        <f t="shared" si="120"/>
        <v>177</v>
      </c>
      <c r="I890">
        <f t="shared" si="120"/>
        <v>199</v>
      </c>
      <c r="J890">
        <f t="shared" si="120"/>
        <v>232</v>
      </c>
      <c r="K890">
        <f t="shared" si="120"/>
        <v>251</v>
      </c>
      <c r="L890">
        <f t="shared" si="120"/>
        <v>269</v>
      </c>
      <c r="M890">
        <f t="shared" si="120"/>
        <v>284</v>
      </c>
      <c r="N890">
        <f t="shared" si="119"/>
        <v>296</v>
      </c>
      <c r="O890">
        <f t="shared" si="119"/>
        <v>321</v>
      </c>
      <c r="P890">
        <f t="shared" si="119"/>
        <v>339</v>
      </c>
      <c r="Q890">
        <f t="shared" si="114"/>
        <v>365</v>
      </c>
      <c r="S890" t="str">
        <f t="shared" si="121"/>
        <v>06.12.2025</v>
      </c>
      <c r="T890" t="str">
        <f t="shared" si="122"/>
        <v>01:00:00</v>
      </c>
      <c r="U890" t="str">
        <f t="shared" si="115"/>
        <v>06.12.2025 01:00:00</v>
      </c>
      <c r="V890" s="9" t="str">
        <f>MID($A890,C890+C$2+1,D890-C890-C$2-1)</f>
        <v>0</v>
      </c>
      <c r="W890" s="4">
        <f>VALUE(SUBSTITUTE(MID($A890,D890+D$2+1,E890-D890-D$2-1),",","."))</f>
        <v>0</v>
      </c>
      <c r="X890" s="4">
        <f>VALUE(SUBSTITUTE(MID($A890,E890+E$2+1,F890-E890-E$2-1),",","."))</f>
        <v>0.90957602214449496</v>
      </c>
      <c r="Y890" s="4">
        <f>VALUE(SUBSTITUTE(MID($A890,F890+F$2+1,G890-F890-F$2-1),",","."))</f>
        <v>0</v>
      </c>
      <c r="Z890" s="3">
        <f>VALUE(SUBSTITUTE(MID($A890,G890+G$2+1,H890-G890-G$2-1),",","."))</f>
        <v>0</v>
      </c>
      <c r="AA890" s="3">
        <f>VALUE(SUBSTITUTE(MID($A890,H890+H$2+1,I890-H890-H$2-1),",","."))</f>
        <v>0</v>
      </c>
      <c r="AB890" s="3">
        <f>VALUE(SUBSTITUTE(MID($A890,I890+I$2+1,J890-I890-I$2-1),",","."))</f>
        <v>0</v>
      </c>
      <c r="AC890" s="3">
        <f>VALUE(SUBSTITUTE(MID($A890,J890+J$2+1,K890-J890-J$2-1),",","."))</f>
        <v>3.1</v>
      </c>
      <c r="AD890" s="3">
        <f>VALUE(SUBSTITUTE(MID($A890,K890+K$2+1,L890-K890-K$2-1),",","."))</f>
        <v>8.4600000000000009</v>
      </c>
      <c r="AE890" s="3">
        <f>VALUE(SUBSTITUTE(MID($A890,L890+L$2+1,M890-L890-L$2-1),",","."))</f>
        <v>0</v>
      </c>
      <c r="AF890" s="3">
        <f>VALUE(SUBSTITUTE(MID($A890,M890+M$2+1,N890-M890-M$2-1),",","."))</f>
        <v>0</v>
      </c>
      <c r="AG890" s="3">
        <f>VALUE(SUBSTITUTE(MID($A890,N890+N$2+1,O890-N890-N$2-1),",","."))</f>
        <v>4.22875788540681</v>
      </c>
      <c r="AH890" t="str">
        <f>MID($A890,O890+O$2+1,P890-O890-O$2-1)</f>
        <v/>
      </c>
      <c r="AI890" s="8" t="str">
        <f>MID($A890,P890+P$2+1,Q890-P890-P$2-1)</f>
        <v>False</v>
      </c>
      <c r="AK890" t="b">
        <f t="shared" si="116"/>
        <v>0</v>
      </c>
    </row>
    <row r="891" spans="1:37" x14ac:dyDescent="0.35">
      <c r="A891" t="s">
        <v>5438</v>
      </c>
      <c r="B891">
        <f t="shared" si="120"/>
        <v>10</v>
      </c>
      <c r="C891">
        <f t="shared" si="120"/>
        <v>43</v>
      </c>
      <c r="D891">
        <f t="shared" si="120"/>
        <v>54</v>
      </c>
      <c r="E891">
        <f t="shared" si="120"/>
        <v>80</v>
      </c>
      <c r="F891">
        <f t="shared" si="120"/>
        <v>124</v>
      </c>
      <c r="G891">
        <f t="shared" si="120"/>
        <v>145</v>
      </c>
      <c r="H891">
        <f t="shared" si="120"/>
        <v>177</v>
      </c>
      <c r="I891">
        <f t="shared" si="120"/>
        <v>199</v>
      </c>
      <c r="J891">
        <f t="shared" si="120"/>
        <v>232</v>
      </c>
      <c r="K891">
        <f t="shared" si="120"/>
        <v>251</v>
      </c>
      <c r="L891">
        <f t="shared" si="120"/>
        <v>269</v>
      </c>
      <c r="M891">
        <f t="shared" si="120"/>
        <v>284</v>
      </c>
      <c r="N891">
        <f t="shared" si="119"/>
        <v>296</v>
      </c>
      <c r="O891">
        <f t="shared" si="119"/>
        <v>321</v>
      </c>
      <c r="P891">
        <f t="shared" si="119"/>
        <v>339</v>
      </c>
      <c r="Q891">
        <f t="shared" si="114"/>
        <v>365</v>
      </c>
      <c r="S891" t="str">
        <f t="shared" si="121"/>
        <v>06.12.2025</v>
      </c>
      <c r="T891" t="str">
        <f t="shared" si="122"/>
        <v>01:15:00</v>
      </c>
      <c r="U891" t="str">
        <f t="shared" si="115"/>
        <v>06.12.2025 01:15:00</v>
      </c>
      <c r="V891" s="9" t="str">
        <f>MID($A891,C891+C$2+1,D891-C891-C$2-1)</f>
        <v>0</v>
      </c>
      <c r="W891" s="4">
        <f>VALUE(SUBSTITUTE(MID($A891,D891+D$2+1,E891-D891-D$2-1),",","."))</f>
        <v>0</v>
      </c>
      <c r="X891" s="4">
        <f>VALUE(SUBSTITUTE(MID($A891,E891+E$2+1,F891-E891-E$2-1),",","."))</f>
        <v>0.90957602214449496</v>
      </c>
      <c r="Y891" s="4">
        <f>VALUE(SUBSTITUTE(MID($A891,F891+F$2+1,G891-F891-F$2-1),",","."))</f>
        <v>0</v>
      </c>
      <c r="Z891" s="3">
        <f>VALUE(SUBSTITUTE(MID($A891,G891+G$2+1,H891-G891-G$2-1),",","."))</f>
        <v>0</v>
      </c>
      <c r="AA891" s="3">
        <f>VALUE(SUBSTITUTE(MID($A891,H891+H$2+1,I891-H891-H$2-1),",","."))</f>
        <v>0</v>
      </c>
      <c r="AB891" s="3">
        <f>VALUE(SUBSTITUTE(MID($A891,I891+I$2+1,J891-I891-I$2-1),",","."))</f>
        <v>0</v>
      </c>
      <c r="AC891" s="3">
        <f>VALUE(SUBSTITUTE(MID($A891,J891+J$2+1,K891-J891-J$2-1),",","."))</f>
        <v>3.1</v>
      </c>
      <c r="AD891" s="3">
        <f>VALUE(SUBSTITUTE(MID($A891,K891+K$2+1,L891-K891-K$2-1),",","."))</f>
        <v>8.4600000000000009</v>
      </c>
      <c r="AE891" s="3">
        <f>VALUE(SUBSTITUTE(MID($A891,L891+L$2+1,M891-L891-L$2-1),",","."))</f>
        <v>0</v>
      </c>
      <c r="AF891" s="3">
        <f>VALUE(SUBSTITUTE(MID($A891,M891+M$2+1,N891-M891-M$2-1),",","."))</f>
        <v>0</v>
      </c>
      <c r="AG891" s="3">
        <f>VALUE(SUBSTITUTE(MID($A891,N891+N$2+1,O891-N891-N$2-1),",","."))</f>
        <v>4.2287864052948896</v>
      </c>
      <c r="AH891" t="str">
        <f>MID($A891,O891+O$2+1,P891-O891-O$2-1)</f>
        <v/>
      </c>
      <c r="AI891" s="8" t="str">
        <f>MID($A891,P891+P$2+1,Q891-P891-P$2-1)</f>
        <v>False</v>
      </c>
      <c r="AK891" t="b">
        <f t="shared" si="116"/>
        <v>0</v>
      </c>
    </row>
    <row r="892" spans="1:37" x14ac:dyDescent="0.35">
      <c r="A892" t="s">
        <v>5439</v>
      </c>
      <c r="B892">
        <f t="shared" si="120"/>
        <v>10</v>
      </c>
      <c r="C892">
        <f t="shared" si="120"/>
        <v>43</v>
      </c>
      <c r="D892">
        <f t="shared" si="120"/>
        <v>54</v>
      </c>
      <c r="E892">
        <f t="shared" si="120"/>
        <v>80</v>
      </c>
      <c r="F892">
        <f t="shared" si="120"/>
        <v>124</v>
      </c>
      <c r="G892">
        <f t="shared" si="120"/>
        <v>145</v>
      </c>
      <c r="H892">
        <f t="shared" si="120"/>
        <v>177</v>
      </c>
      <c r="I892">
        <f t="shared" si="120"/>
        <v>199</v>
      </c>
      <c r="J892">
        <f t="shared" si="120"/>
        <v>232</v>
      </c>
      <c r="K892">
        <f t="shared" si="120"/>
        <v>251</v>
      </c>
      <c r="L892">
        <f t="shared" si="120"/>
        <v>283</v>
      </c>
      <c r="M892">
        <f t="shared" si="120"/>
        <v>298</v>
      </c>
      <c r="N892">
        <f t="shared" si="119"/>
        <v>310</v>
      </c>
      <c r="O892">
        <f t="shared" si="119"/>
        <v>335</v>
      </c>
      <c r="P892">
        <f t="shared" si="119"/>
        <v>353</v>
      </c>
      <c r="Q892">
        <f t="shared" si="114"/>
        <v>379</v>
      </c>
      <c r="S892" t="str">
        <f t="shared" si="121"/>
        <v>06.12.2025</v>
      </c>
      <c r="T892" t="str">
        <f t="shared" si="122"/>
        <v>01:30:00</v>
      </c>
      <c r="U892" t="str">
        <f t="shared" si="115"/>
        <v>06.12.2025 01:30:00</v>
      </c>
      <c r="V892" s="9" t="str">
        <f>MID($A892,C892+C$2+1,D892-C892-C$2-1)</f>
        <v>0</v>
      </c>
      <c r="W892" s="4">
        <f>VALUE(SUBSTITUTE(MID($A892,D892+D$2+1,E892-D892-D$2-1),",","."))</f>
        <v>0</v>
      </c>
      <c r="X892" s="4">
        <f>VALUE(SUBSTITUTE(MID($A892,E892+E$2+1,F892-E892-E$2-1),",","."))</f>
        <v>0.90957602214449496</v>
      </c>
      <c r="Y892" s="4">
        <f>VALUE(SUBSTITUTE(MID($A892,F892+F$2+1,G892-F892-F$2-1),",","."))</f>
        <v>0</v>
      </c>
      <c r="Z892" s="3">
        <f>VALUE(SUBSTITUTE(MID($A892,G892+G$2+1,H892-G892-G$2-1),",","."))</f>
        <v>0</v>
      </c>
      <c r="AA892" s="3">
        <f>VALUE(SUBSTITUTE(MID($A892,H892+H$2+1,I892-H892-H$2-1),",","."))</f>
        <v>0</v>
      </c>
      <c r="AB892" s="3">
        <f>VALUE(SUBSTITUTE(MID($A892,I892+I$2+1,J892-I892-I$2-1),",","."))</f>
        <v>0</v>
      </c>
      <c r="AC892" s="3">
        <f>VALUE(SUBSTITUTE(MID($A892,J892+J$2+1,K892-J892-J$2-1),",","."))</f>
        <v>3.3</v>
      </c>
      <c r="AD892" s="3">
        <f>VALUE(SUBSTITUTE(MID($A892,K892+K$2+1,L892-K892-K$2-1),",","."))</f>
        <v>12.6</v>
      </c>
      <c r="AE892" s="3">
        <f>VALUE(SUBSTITUTE(MID($A892,L892+L$2+1,M892-L892-L$2-1),",","."))</f>
        <v>0</v>
      </c>
      <c r="AF892" s="3">
        <f>VALUE(SUBSTITUTE(MID($A892,M892+M$2+1,N892-M892-M$2-1),",","."))</f>
        <v>0</v>
      </c>
      <c r="AG892" s="3">
        <f>VALUE(SUBSTITUTE(MID($A892,N892+N$2+1,O892-N892-N$2-1),",","."))</f>
        <v>4.2288149251829701</v>
      </c>
      <c r="AH892" t="str">
        <f>MID($A892,O892+O$2+1,P892-O892-O$2-1)</f>
        <v/>
      </c>
      <c r="AI892" s="8" t="str">
        <f>MID($A892,P892+P$2+1,Q892-P892-P$2-1)</f>
        <v>False</v>
      </c>
      <c r="AK892" t="b">
        <f t="shared" si="116"/>
        <v>0</v>
      </c>
    </row>
    <row r="893" spans="1:37" x14ac:dyDescent="0.35">
      <c r="A893" t="s">
        <v>5440</v>
      </c>
      <c r="B893">
        <f t="shared" si="120"/>
        <v>10</v>
      </c>
      <c r="C893">
        <f t="shared" si="120"/>
        <v>43</v>
      </c>
      <c r="D893">
        <f t="shared" si="120"/>
        <v>54</v>
      </c>
      <c r="E893">
        <f t="shared" si="120"/>
        <v>80</v>
      </c>
      <c r="F893">
        <f t="shared" si="120"/>
        <v>124</v>
      </c>
      <c r="G893">
        <f t="shared" si="120"/>
        <v>145</v>
      </c>
      <c r="H893">
        <f t="shared" si="120"/>
        <v>177</v>
      </c>
      <c r="I893">
        <f t="shared" si="120"/>
        <v>199</v>
      </c>
      <c r="J893">
        <f t="shared" si="120"/>
        <v>232</v>
      </c>
      <c r="K893">
        <f t="shared" si="120"/>
        <v>251</v>
      </c>
      <c r="L893">
        <f t="shared" si="120"/>
        <v>283</v>
      </c>
      <c r="M893">
        <f t="shared" si="120"/>
        <v>298</v>
      </c>
      <c r="N893">
        <f t="shared" si="119"/>
        <v>310</v>
      </c>
      <c r="O893">
        <f t="shared" si="119"/>
        <v>334</v>
      </c>
      <c r="P893">
        <f t="shared" si="119"/>
        <v>352</v>
      </c>
      <c r="Q893">
        <f t="shared" si="119"/>
        <v>378</v>
      </c>
      <c r="S893" t="str">
        <f t="shared" si="121"/>
        <v>06.12.2025</v>
      </c>
      <c r="T893" t="str">
        <f t="shared" si="122"/>
        <v>01:45:00</v>
      </c>
      <c r="U893" t="str">
        <f t="shared" si="115"/>
        <v>06.12.2025 01:45:00</v>
      </c>
      <c r="V893" s="9" t="str">
        <f>MID($A893,C893+C$2+1,D893-C893-C$2-1)</f>
        <v>0</v>
      </c>
      <c r="W893" s="4">
        <f>VALUE(SUBSTITUTE(MID($A893,D893+D$2+1,E893-D893-D$2-1),",","."))</f>
        <v>0</v>
      </c>
      <c r="X893" s="4">
        <f>VALUE(SUBSTITUTE(MID($A893,E893+E$2+1,F893-E893-E$2-1),",","."))</f>
        <v>0.90957602214449496</v>
      </c>
      <c r="Y893" s="4">
        <f>VALUE(SUBSTITUTE(MID($A893,F893+F$2+1,G893-F893-F$2-1),",","."))</f>
        <v>0</v>
      </c>
      <c r="Z893" s="3">
        <f>VALUE(SUBSTITUTE(MID($A893,G893+G$2+1,H893-G893-G$2-1),",","."))</f>
        <v>0</v>
      </c>
      <c r="AA893" s="3">
        <f>VALUE(SUBSTITUTE(MID($A893,H893+H$2+1,I893-H893-H$2-1),",","."))</f>
        <v>0</v>
      </c>
      <c r="AB893" s="3">
        <f>VALUE(SUBSTITUTE(MID($A893,I893+I$2+1,J893-I893-I$2-1),",","."))</f>
        <v>0</v>
      </c>
      <c r="AC893" s="3">
        <f>VALUE(SUBSTITUTE(MID($A893,J893+J$2+1,K893-J893-J$2-1),",","."))</f>
        <v>3.3</v>
      </c>
      <c r="AD893" s="3">
        <f>VALUE(SUBSTITUTE(MID($A893,K893+K$2+1,L893-K893-K$2-1),",","."))</f>
        <v>12.6</v>
      </c>
      <c r="AE893" s="3">
        <f>VALUE(SUBSTITUTE(MID($A893,L893+L$2+1,M893-L893-L$2-1),",","."))</f>
        <v>0</v>
      </c>
      <c r="AF893" s="3">
        <f>VALUE(SUBSTITUTE(MID($A893,M893+M$2+1,N893-M893-M$2-1),",","."))</f>
        <v>0</v>
      </c>
      <c r="AG893" s="3">
        <f>VALUE(SUBSTITUTE(MID($A893,N893+N$2+1,O893-N893-N$2-1),",","."))</f>
        <v>4.2288434450710604</v>
      </c>
      <c r="AH893" t="str">
        <f>MID($A893,O893+O$2+1,P893-O893-O$2-1)</f>
        <v/>
      </c>
      <c r="AI893" s="8" t="str">
        <f>MID($A893,P893+P$2+1,Q893-P893-P$2-1)</f>
        <v>False</v>
      </c>
      <c r="AK893" t="b">
        <f t="shared" si="116"/>
        <v>0</v>
      </c>
    </row>
    <row r="894" spans="1:37" x14ac:dyDescent="0.35">
      <c r="A894" t="s">
        <v>5441</v>
      </c>
      <c r="B894">
        <f t="shared" si="120"/>
        <v>10</v>
      </c>
      <c r="C894">
        <f t="shared" si="120"/>
        <v>43</v>
      </c>
      <c r="D894">
        <f t="shared" si="120"/>
        <v>54</v>
      </c>
      <c r="E894">
        <f t="shared" si="120"/>
        <v>80</v>
      </c>
      <c r="F894">
        <f t="shared" si="120"/>
        <v>124</v>
      </c>
      <c r="G894">
        <f t="shared" si="120"/>
        <v>145</v>
      </c>
      <c r="H894">
        <f t="shared" si="120"/>
        <v>177</v>
      </c>
      <c r="I894">
        <f t="shared" si="120"/>
        <v>199</v>
      </c>
      <c r="J894">
        <f t="shared" si="120"/>
        <v>232</v>
      </c>
      <c r="K894">
        <f t="shared" si="120"/>
        <v>251</v>
      </c>
      <c r="L894">
        <f t="shared" si="120"/>
        <v>283</v>
      </c>
      <c r="M894">
        <f t="shared" si="120"/>
        <v>298</v>
      </c>
      <c r="N894">
        <f t="shared" si="119"/>
        <v>310</v>
      </c>
      <c r="O894">
        <f t="shared" si="119"/>
        <v>335</v>
      </c>
      <c r="P894">
        <f t="shared" si="119"/>
        <v>353</v>
      </c>
      <c r="Q894">
        <f t="shared" si="119"/>
        <v>379</v>
      </c>
      <c r="S894" t="str">
        <f t="shared" si="121"/>
        <v>06.12.2025</v>
      </c>
      <c r="T894" t="str">
        <f t="shared" si="122"/>
        <v>02:00:00</v>
      </c>
      <c r="U894" t="str">
        <f t="shared" si="115"/>
        <v>06.12.2025 02:00:00</v>
      </c>
      <c r="V894" s="9" t="str">
        <f>MID($A894,C894+C$2+1,D894-C894-C$2-1)</f>
        <v>0</v>
      </c>
      <c r="W894" s="4">
        <f>VALUE(SUBSTITUTE(MID($A894,D894+D$2+1,E894-D894-D$2-1),",","."))</f>
        <v>0</v>
      </c>
      <c r="X894" s="4">
        <f>VALUE(SUBSTITUTE(MID($A894,E894+E$2+1,F894-E894-E$2-1),",","."))</f>
        <v>0.90957602214449496</v>
      </c>
      <c r="Y894" s="4">
        <f>VALUE(SUBSTITUTE(MID($A894,F894+F$2+1,G894-F894-F$2-1),",","."))</f>
        <v>0</v>
      </c>
      <c r="Z894" s="3">
        <f>VALUE(SUBSTITUTE(MID($A894,G894+G$2+1,H894-G894-G$2-1),",","."))</f>
        <v>0</v>
      </c>
      <c r="AA894" s="3">
        <f>VALUE(SUBSTITUTE(MID($A894,H894+H$2+1,I894-H894-H$2-1),",","."))</f>
        <v>0</v>
      </c>
      <c r="AB894" s="3">
        <f>VALUE(SUBSTITUTE(MID($A894,I894+I$2+1,J894-I894-I$2-1),",","."))</f>
        <v>0</v>
      </c>
      <c r="AC894" s="3">
        <f>VALUE(SUBSTITUTE(MID($A894,J894+J$2+1,K894-J894-J$2-1),",","."))</f>
        <v>3.3</v>
      </c>
      <c r="AD894" s="3">
        <f>VALUE(SUBSTITUTE(MID($A894,K894+K$2+1,L894-K894-K$2-1),",","."))</f>
        <v>12.6</v>
      </c>
      <c r="AE894" s="3">
        <f>VALUE(SUBSTITUTE(MID($A894,L894+L$2+1,M894-L894-L$2-1),",","."))</f>
        <v>0</v>
      </c>
      <c r="AF894" s="3">
        <f>VALUE(SUBSTITUTE(MID($A894,M894+M$2+1,N894-M894-M$2-1),",","."))</f>
        <v>0</v>
      </c>
      <c r="AG894" s="3">
        <f>VALUE(SUBSTITUTE(MID($A894,N894+N$2+1,O894-N894-N$2-1),",","."))</f>
        <v>4.22887196495914</v>
      </c>
      <c r="AH894" t="str">
        <f>MID($A894,O894+O$2+1,P894-O894-O$2-1)</f>
        <v/>
      </c>
      <c r="AI894" s="8" t="str">
        <f>MID($A894,P894+P$2+1,Q894-P894-P$2-1)</f>
        <v>False</v>
      </c>
      <c r="AK894" t="b">
        <f t="shared" si="116"/>
        <v>0</v>
      </c>
    </row>
    <row r="895" spans="1:37" x14ac:dyDescent="0.35">
      <c r="A895" t="s">
        <v>5442</v>
      </c>
      <c r="B895">
        <f t="shared" si="120"/>
        <v>10</v>
      </c>
      <c r="C895">
        <f t="shared" si="120"/>
        <v>43</v>
      </c>
      <c r="D895">
        <f t="shared" si="120"/>
        <v>54</v>
      </c>
      <c r="E895">
        <f t="shared" si="120"/>
        <v>80</v>
      </c>
      <c r="F895">
        <f t="shared" si="120"/>
        <v>124</v>
      </c>
      <c r="G895">
        <f t="shared" si="120"/>
        <v>145</v>
      </c>
      <c r="H895">
        <f t="shared" si="120"/>
        <v>177</v>
      </c>
      <c r="I895">
        <f t="shared" si="120"/>
        <v>199</v>
      </c>
      <c r="J895">
        <f t="shared" si="120"/>
        <v>232</v>
      </c>
      <c r="K895">
        <f t="shared" si="120"/>
        <v>251</v>
      </c>
      <c r="L895">
        <f t="shared" si="120"/>
        <v>283</v>
      </c>
      <c r="M895">
        <f t="shared" si="120"/>
        <v>298</v>
      </c>
      <c r="N895">
        <f t="shared" si="119"/>
        <v>310</v>
      </c>
      <c r="O895">
        <f t="shared" si="119"/>
        <v>335</v>
      </c>
      <c r="P895">
        <f t="shared" si="119"/>
        <v>353</v>
      </c>
      <c r="Q895">
        <f t="shared" si="119"/>
        <v>379</v>
      </c>
      <c r="S895" t="str">
        <f t="shared" si="121"/>
        <v>06.12.2025</v>
      </c>
      <c r="T895" t="str">
        <f t="shared" si="122"/>
        <v>02:15:00</v>
      </c>
      <c r="U895" t="str">
        <f t="shared" si="115"/>
        <v>06.12.2025 02:15:00</v>
      </c>
      <c r="V895" s="9" t="str">
        <f>MID($A895,C895+C$2+1,D895-C895-C$2-1)</f>
        <v>0</v>
      </c>
      <c r="W895" s="4">
        <f>VALUE(SUBSTITUTE(MID($A895,D895+D$2+1,E895-D895-D$2-1),",","."))</f>
        <v>0</v>
      </c>
      <c r="X895" s="4">
        <f>VALUE(SUBSTITUTE(MID($A895,E895+E$2+1,F895-E895-E$2-1),",","."))</f>
        <v>0.90957602214449496</v>
      </c>
      <c r="Y895" s="4">
        <f>VALUE(SUBSTITUTE(MID($A895,F895+F$2+1,G895-F895-F$2-1),",","."))</f>
        <v>0</v>
      </c>
      <c r="Z895" s="3">
        <f>VALUE(SUBSTITUTE(MID($A895,G895+G$2+1,H895-G895-G$2-1),",","."))</f>
        <v>0</v>
      </c>
      <c r="AA895" s="3">
        <f>VALUE(SUBSTITUTE(MID($A895,H895+H$2+1,I895-H895-H$2-1),",","."))</f>
        <v>0</v>
      </c>
      <c r="AB895" s="3">
        <f>VALUE(SUBSTITUTE(MID($A895,I895+I$2+1,J895-I895-I$2-1),",","."))</f>
        <v>0</v>
      </c>
      <c r="AC895" s="3">
        <f>VALUE(SUBSTITUTE(MID($A895,J895+J$2+1,K895-J895-J$2-1),",","."))</f>
        <v>3.3</v>
      </c>
      <c r="AD895" s="3">
        <f>VALUE(SUBSTITUTE(MID($A895,K895+K$2+1,L895-K895-K$2-1),",","."))</f>
        <v>12.6</v>
      </c>
      <c r="AE895" s="3">
        <f>VALUE(SUBSTITUTE(MID($A895,L895+L$2+1,M895-L895-L$2-1),",","."))</f>
        <v>0</v>
      </c>
      <c r="AF895" s="3">
        <f>VALUE(SUBSTITUTE(MID($A895,M895+M$2+1,N895-M895-M$2-1),",","."))</f>
        <v>0</v>
      </c>
      <c r="AG895" s="3">
        <f>VALUE(SUBSTITUTE(MID($A895,N895+N$2+1,O895-N895-N$2-1),",","."))</f>
        <v>4.2289004848472196</v>
      </c>
      <c r="AH895" t="str">
        <f>MID($A895,O895+O$2+1,P895-O895-O$2-1)</f>
        <v/>
      </c>
      <c r="AI895" s="8" t="str">
        <f>MID($A895,P895+P$2+1,Q895-P895-P$2-1)</f>
        <v>False</v>
      </c>
      <c r="AK895" t="b">
        <f t="shared" si="116"/>
        <v>0</v>
      </c>
    </row>
    <row r="896" spans="1:37" x14ac:dyDescent="0.35">
      <c r="A896" t="s">
        <v>5443</v>
      </c>
      <c r="B896">
        <f t="shared" si="120"/>
        <v>10</v>
      </c>
      <c r="C896">
        <f t="shared" si="120"/>
        <v>43</v>
      </c>
      <c r="D896">
        <f t="shared" si="120"/>
        <v>54</v>
      </c>
      <c r="E896">
        <f t="shared" si="120"/>
        <v>80</v>
      </c>
      <c r="F896">
        <f t="shared" si="120"/>
        <v>124</v>
      </c>
      <c r="G896">
        <f t="shared" si="120"/>
        <v>145</v>
      </c>
      <c r="H896">
        <f t="shared" si="120"/>
        <v>177</v>
      </c>
      <c r="I896">
        <f t="shared" si="120"/>
        <v>199</v>
      </c>
      <c r="J896">
        <f t="shared" si="120"/>
        <v>232</v>
      </c>
      <c r="K896">
        <f t="shared" si="120"/>
        <v>252</v>
      </c>
      <c r="L896">
        <f t="shared" si="120"/>
        <v>284</v>
      </c>
      <c r="M896">
        <f t="shared" si="120"/>
        <v>299</v>
      </c>
      <c r="N896">
        <f t="shared" si="119"/>
        <v>311</v>
      </c>
      <c r="O896">
        <f t="shared" si="119"/>
        <v>336</v>
      </c>
      <c r="P896">
        <f t="shared" si="119"/>
        <v>354</v>
      </c>
      <c r="Q896">
        <f t="shared" si="119"/>
        <v>380</v>
      </c>
      <c r="S896" t="str">
        <f t="shared" si="121"/>
        <v>06.12.2025</v>
      </c>
      <c r="T896" t="str">
        <f t="shared" si="122"/>
        <v>02:30:00</v>
      </c>
      <c r="U896" t="str">
        <f t="shared" si="115"/>
        <v>06.12.2025 02:30:00</v>
      </c>
      <c r="V896" s="9" t="str">
        <f>MID($A896,C896+C$2+1,D896-C896-C$2-1)</f>
        <v>0</v>
      </c>
      <c r="W896" s="4">
        <f>VALUE(SUBSTITUTE(MID($A896,D896+D$2+1,E896-D896-D$2-1),",","."))</f>
        <v>0</v>
      </c>
      <c r="X896" s="4">
        <f>VALUE(SUBSTITUTE(MID($A896,E896+E$2+1,F896-E896-E$2-1),",","."))</f>
        <v>0.90957602214449496</v>
      </c>
      <c r="Y896" s="4">
        <f>VALUE(SUBSTITUTE(MID($A896,F896+F$2+1,G896-F896-F$2-1),",","."))</f>
        <v>0</v>
      </c>
      <c r="Z896" s="3">
        <f>VALUE(SUBSTITUTE(MID($A896,G896+G$2+1,H896-G896-G$2-1),",","."))</f>
        <v>0</v>
      </c>
      <c r="AA896" s="3">
        <f>VALUE(SUBSTITUTE(MID($A896,H896+H$2+1,I896-H896-H$2-1),",","."))</f>
        <v>0</v>
      </c>
      <c r="AB896" s="3">
        <f>VALUE(SUBSTITUTE(MID($A896,I896+I$2+1,J896-I896-I$2-1),",","."))</f>
        <v>0</v>
      </c>
      <c r="AC896" s="3">
        <f>VALUE(SUBSTITUTE(MID($A896,J896+J$2+1,K896-J896-J$2-1),",","."))</f>
        <v>3.75</v>
      </c>
      <c r="AD896" s="3">
        <f>VALUE(SUBSTITUTE(MID($A896,K896+K$2+1,L896-K896-K$2-1),",","."))</f>
        <v>19.439999999999898</v>
      </c>
      <c r="AE896" s="3">
        <f>VALUE(SUBSTITUTE(MID($A896,L896+L$2+1,M896-L896-L$2-1),",","."))</f>
        <v>0</v>
      </c>
      <c r="AF896" s="3">
        <f>VALUE(SUBSTITUTE(MID($A896,M896+M$2+1,N896-M896-M$2-1),",","."))</f>
        <v>0</v>
      </c>
      <c r="AG896" s="3">
        <f>VALUE(SUBSTITUTE(MID($A896,N896+N$2+1,O896-N896-N$2-1),",","."))</f>
        <v>4.2289290047353001</v>
      </c>
      <c r="AH896" t="str">
        <f>MID($A896,O896+O$2+1,P896-O896-O$2-1)</f>
        <v/>
      </c>
      <c r="AI896" s="8" t="str">
        <f>MID($A896,P896+P$2+1,Q896-P896-P$2-1)</f>
        <v>False</v>
      </c>
      <c r="AK896" t="b">
        <f t="shared" si="116"/>
        <v>0</v>
      </c>
    </row>
    <row r="897" spans="1:37" x14ac:dyDescent="0.35">
      <c r="A897" t="s">
        <v>5444</v>
      </c>
      <c r="B897">
        <f t="shared" si="120"/>
        <v>10</v>
      </c>
      <c r="C897">
        <f t="shared" si="120"/>
        <v>43</v>
      </c>
      <c r="D897">
        <f t="shared" si="120"/>
        <v>54</v>
      </c>
      <c r="E897">
        <f t="shared" si="120"/>
        <v>80</v>
      </c>
      <c r="F897">
        <f t="shared" si="120"/>
        <v>124</v>
      </c>
      <c r="G897">
        <f t="shared" si="120"/>
        <v>145</v>
      </c>
      <c r="H897">
        <f t="shared" si="120"/>
        <v>177</v>
      </c>
      <c r="I897">
        <f t="shared" si="120"/>
        <v>199</v>
      </c>
      <c r="J897">
        <f t="shared" si="120"/>
        <v>232</v>
      </c>
      <c r="K897">
        <f t="shared" si="120"/>
        <v>252</v>
      </c>
      <c r="L897">
        <f t="shared" si="120"/>
        <v>284</v>
      </c>
      <c r="M897">
        <f t="shared" si="120"/>
        <v>299</v>
      </c>
      <c r="N897">
        <f t="shared" si="119"/>
        <v>311</v>
      </c>
      <c r="O897">
        <f t="shared" si="119"/>
        <v>336</v>
      </c>
      <c r="P897">
        <f t="shared" si="119"/>
        <v>354</v>
      </c>
      <c r="Q897">
        <f t="shared" si="119"/>
        <v>380</v>
      </c>
      <c r="S897" t="str">
        <f t="shared" si="121"/>
        <v>06.12.2025</v>
      </c>
      <c r="T897" t="str">
        <f t="shared" si="122"/>
        <v>02:45:00</v>
      </c>
      <c r="U897" t="str">
        <f t="shared" si="115"/>
        <v>06.12.2025 02:45:00</v>
      </c>
      <c r="V897" s="9" t="str">
        <f>MID($A897,C897+C$2+1,D897-C897-C$2-1)</f>
        <v>0</v>
      </c>
      <c r="W897" s="4">
        <f>VALUE(SUBSTITUTE(MID($A897,D897+D$2+1,E897-D897-D$2-1),",","."))</f>
        <v>0</v>
      </c>
      <c r="X897" s="4">
        <f>VALUE(SUBSTITUTE(MID($A897,E897+E$2+1,F897-E897-E$2-1),",","."))</f>
        <v>0.90957602214449496</v>
      </c>
      <c r="Y897" s="4">
        <f>VALUE(SUBSTITUTE(MID($A897,F897+F$2+1,G897-F897-F$2-1),",","."))</f>
        <v>0</v>
      </c>
      <c r="Z897" s="3">
        <f>VALUE(SUBSTITUTE(MID($A897,G897+G$2+1,H897-G897-G$2-1),",","."))</f>
        <v>0</v>
      </c>
      <c r="AA897" s="3">
        <f>VALUE(SUBSTITUTE(MID($A897,H897+H$2+1,I897-H897-H$2-1),",","."))</f>
        <v>0</v>
      </c>
      <c r="AB897" s="3">
        <f>VALUE(SUBSTITUTE(MID($A897,I897+I$2+1,J897-I897-I$2-1),",","."))</f>
        <v>0</v>
      </c>
      <c r="AC897" s="3">
        <f>VALUE(SUBSTITUTE(MID($A897,J897+J$2+1,K897-J897-J$2-1),",","."))</f>
        <v>3.75</v>
      </c>
      <c r="AD897" s="3">
        <f>VALUE(SUBSTITUTE(MID($A897,K897+K$2+1,L897-K897-K$2-1),",","."))</f>
        <v>19.439999999999898</v>
      </c>
      <c r="AE897" s="3">
        <f>VALUE(SUBSTITUTE(MID($A897,L897+L$2+1,M897-L897-L$2-1),",","."))</f>
        <v>0</v>
      </c>
      <c r="AF897" s="3">
        <f>VALUE(SUBSTITUTE(MID($A897,M897+M$2+1,N897-M897-M$2-1),",","."))</f>
        <v>0</v>
      </c>
      <c r="AG897" s="3">
        <f>VALUE(SUBSTITUTE(MID($A897,N897+N$2+1,O897-N897-N$2-1),",","."))</f>
        <v>4.2289575246233797</v>
      </c>
      <c r="AH897" t="str">
        <f>MID($A897,O897+O$2+1,P897-O897-O$2-1)</f>
        <v/>
      </c>
      <c r="AI897" s="8" t="str">
        <f>MID($A897,P897+P$2+1,Q897-P897-P$2-1)</f>
        <v>False</v>
      </c>
      <c r="AK897" t="b">
        <f t="shared" si="116"/>
        <v>0</v>
      </c>
    </row>
    <row r="898" spans="1:37" x14ac:dyDescent="0.35">
      <c r="A898" t="s">
        <v>5445</v>
      </c>
      <c r="B898">
        <f t="shared" si="120"/>
        <v>10</v>
      </c>
      <c r="C898">
        <f t="shared" si="120"/>
        <v>43</v>
      </c>
      <c r="D898">
        <f t="shared" si="120"/>
        <v>54</v>
      </c>
      <c r="E898">
        <f t="shared" si="120"/>
        <v>80</v>
      </c>
      <c r="F898">
        <f t="shared" si="120"/>
        <v>124</v>
      </c>
      <c r="G898">
        <f t="shared" si="120"/>
        <v>145</v>
      </c>
      <c r="H898">
        <f t="shared" si="120"/>
        <v>177</v>
      </c>
      <c r="I898">
        <f t="shared" si="120"/>
        <v>199</v>
      </c>
      <c r="J898">
        <f t="shared" si="120"/>
        <v>232</v>
      </c>
      <c r="K898">
        <f t="shared" si="120"/>
        <v>252</v>
      </c>
      <c r="L898">
        <f t="shared" si="120"/>
        <v>284</v>
      </c>
      <c r="M898">
        <f t="shared" si="120"/>
        <v>299</v>
      </c>
      <c r="N898">
        <f t="shared" si="119"/>
        <v>311</v>
      </c>
      <c r="O898">
        <f t="shared" si="119"/>
        <v>336</v>
      </c>
      <c r="P898">
        <f t="shared" si="119"/>
        <v>354</v>
      </c>
      <c r="Q898">
        <f t="shared" si="119"/>
        <v>380</v>
      </c>
      <c r="S898" t="str">
        <f t="shared" si="121"/>
        <v>06.12.2025</v>
      </c>
      <c r="T898" t="str">
        <f t="shared" si="122"/>
        <v>03:00:00</v>
      </c>
      <c r="U898" t="str">
        <f t="shared" si="115"/>
        <v>06.12.2025 03:00:00</v>
      </c>
      <c r="V898" s="9" t="str">
        <f>MID($A898,C898+C$2+1,D898-C898-C$2-1)</f>
        <v>0</v>
      </c>
      <c r="W898" s="4">
        <f>VALUE(SUBSTITUTE(MID($A898,D898+D$2+1,E898-D898-D$2-1),",","."))</f>
        <v>0</v>
      </c>
      <c r="X898" s="4">
        <f>VALUE(SUBSTITUTE(MID($A898,E898+E$2+1,F898-E898-E$2-1),",","."))</f>
        <v>0.90957602214449496</v>
      </c>
      <c r="Y898" s="4">
        <f>VALUE(SUBSTITUTE(MID($A898,F898+F$2+1,G898-F898-F$2-1),",","."))</f>
        <v>0</v>
      </c>
      <c r="Z898" s="3">
        <f>VALUE(SUBSTITUTE(MID($A898,G898+G$2+1,H898-G898-G$2-1),",","."))</f>
        <v>0</v>
      </c>
      <c r="AA898" s="3">
        <f>VALUE(SUBSTITUTE(MID($A898,H898+H$2+1,I898-H898-H$2-1),",","."))</f>
        <v>0</v>
      </c>
      <c r="AB898" s="3">
        <f>VALUE(SUBSTITUTE(MID($A898,I898+I$2+1,J898-I898-I$2-1),",","."))</f>
        <v>0</v>
      </c>
      <c r="AC898" s="3">
        <f>VALUE(SUBSTITUTE(MID($A898,J898+J$2+1,K898-J898-J$2-1),",","."))</f>
        <v>3.75</v>
      </c>
      <c r="AD898" s="3">
        <f>VALUE(SUBSTITUTE(MID($A898,K898+K$2+1,L898-K898-K$2-1),",","."))</f>
        <v>19.439999999999898</v>
      </c>
      <c r="AE898" s="3">
        <f>VALUE(SUBSTITUTE(MID($A898,L898+L$2+1,M898-L898-L$2-1),",","."))</f>
        <v>0</v>
      </c>
      <c r="AF898" s="3">
        <f>VALUE(SUBSTITUTE(MID($A898,M898+M$2+1,N898-M898-M$2-1),",","."))</f>
        <v>0</v>
      </c>
      <c r="AG898" s="3">
        <f>VALUE(SUBSTITUTE(MID($A898,N898+N$2+1,O898-N898-N$2-1),",","."))</f>
        <v>4.2289860445114602</v>
      </c>
      <c r="AH898" t="str">
        <f>MID($A898,O898+O$2+1,P898-O898-O$2-1)</f>
        <v/>
      </c>
      <c r="AI898" s="8" t="str">
        <f>MID($A898,P898+P$2+1,Q898-P898-P$2-1)</f>
        <v>False</v>
      </c>
      <c r="AK898" t="b">
        <f t="shared" si="116"/>
        <v>0</v>
      </c>
    </row>
    <row r="899" spans="1:37" x14ac:dyDescent="0.35">
      <c r="A899" t="s">
        <v>5446</v>
      </c>
      <c r="B899">
        <f t="shared" si="120"/>
        <v>10</v>
      </c>
      <c r="C899">
        <f t="shared" si="120"/>
        <v>43</v>
      </c>
      <c r="D899">
        <f t="shared" si="120"/>
        <v>54</v>
      </c>
      <c r="E899">
        <f t="shared" si="120"/>
        <v>80</v>
      </c>
      <c r="F899">
        <f t="shared" si="120"/>
        <v>124</v>
      </c>
      <c r="G899">
        <f t="shared" si="120"/>
        <v>145</v>
      </c>
      <c r="H899">
        <f t="shared" si="120"/>
        <v>177</v>
      </c>
      <c r="I899">
        <f t="shared" si="120"/>
        <v>199</v>
      </c>
      <c r="J899">
        <f t="shared" si="120"/>
        <v>232</v>
      </c>
      <c r="K899">
        <f t="shared" si="120"/>
        <v>252</v>
      </c>
      <c r="L899">
        <f t="shared" si="120"/>
        <v>284</v>
      </c>
      <c r="M899">
        <f t="shared" si="120"/>
        <v>299</v>
      </c>
      <c r="N899">
        <f t="shared" si="119"/>
        <v>311</v>
      </c>
      <c r="O899">
        <f t="shared" si="119"/>
        <v>335</v>
      </c>
      <c r="P899">
        <f t="shared" si="119"/>
        <v>353</v>
      </c>
      <c r="Q899">
        <f t="shared" si="119"/>
        <v>379</v>
      </c>
      <c r="S899" t="str">
        <f t="shared" si="121"/>
        <v>06.12.2025</v>
      </c>
      <c r="T899" t="str">
        <f t="shared" si="122"/>
        <v>03:15:00</v>
      </c>
      <c r="U899" t="str">
        <f t="shared" si="115"/>
        <v>06.12.2025 03:15:00</v>
      </c>
      <c r="V899" s="9" t="str">
        <f>MID($A899,C899+C$2+1,D899-C899-C$2-1)</f>
        <v>0</v>
      </c>
      <c r="W899" s="4">
        <f>VALUE(SUBSTITUTE(MID($A899,D899+D$2+1,E899-D899-D$2-1),",","."))</f>
        <v>0</v>
      </c>
      <c r="X899" s="4">
        <f>VALUE(SUBSTITUTE(MID($A899,E899+E$2+1,F899-E899-E$2-1),",","."))</f>
        <v>0.90957602214449496</v>
      </c>
      <c r="Y899" s="4">
        <f>VALUE(SUBSTITUTE(MID($A899,F899+F$2+1,G899-F899-F$2-1),",","."))</f>
        <v>0</v>
      </c>
      <c r="Z899" s="3">
        <f>VALUE(SUBSTITUTE(MID($A899,G899+G$2+1,H899-G899-G$2-1),",","."))</f>
        <v>0</v>
      </c>
      <c r="AA899" s="3">
        <f>VALUE(SUBSTITUTE(MID($A899,H899+H$2+1,I899-H899-H$2-1),",","."))</f>
        <v>0</v>
      </c>
      <c r="AB899" s="3">
        <f>VALUE(SUBSTITUTE(MID($A899,I899+I$2+1,J899-I899-I$2-1),",","."))</f>
        <v>0</v>
      </c>
      <c r="AC899" s="3">
        <f>VALUE(SUBSTITUTE(MID($A899,J899+J$2+1,K899-J899-J$2-1),",","."))</f>
        <v>3.75</v>
      </c>
      <c r="AD899" s="3">
        <f>VALUE(SUBSTITUTE(MID($A899,K899+K$2+1,L899-K899-K$2-1),",","."))</f>
        <v>19.439999999999898</v>
      </c>
      <c r="AE899" s="3">
        <f>VALUE(SUBSTITUTE(MID($A899,L899+L$2+1,M899-L899-L$2-1),",","."))</f>
        <v>0</v>
      </c>
      <c r="AF899" s="3">
        <f>VALUE(SUBSTITUTE(MID($A899,M899+M$2+1,N899-M899-M$2-1),",","."))</f>
        <v>0</v>
      </c>
      <c r="AG899" s="3">
        <f>VALUE(SUBSTITUTE(MID($A899,N899+N$2+1,O899-N899-N$2-1),",","."))</f>
        <v>4.2290145643995496</v>
      </c>
      <c r="AH899" t="str">
        <f>MID($A899,O899+O$2+1,P899-O899-O$2-1)</f>
        <v/>
      </c>
      <c r="AI899" s="8" t="str">
        <f>MID($A899,P899+P$2+1,Q899-P899-P$2-1)</f>
        <v>False</v>
      </c>
      <c r="AK899" t="b">
        <f t="shared" si="116"/>
        <v>0</v>
      </c>
    </row>
    <row r="900" spans="1:37" x14ac:dyDescent="0.35">
      <c r="A900" t="s">
        <v>5447</v>
      </c>
      <c r="B900">
        <f t="shared" si="120"/>
        <v>10</v>
      </c>
      <c r="C900">
        <f t="shared" si="120"/>
        <v>43</v>
      </c>
      <c r="D900">
        <f t="shared" si="120"/>
        <v>54</v>
      </c>
      <c r="E900">
        <f t="shared" si="120"/>
        <v>80</v>
      </c>
      <c r="F900">
        <f t="shared" si="120"/>
        <v>124</v>
      </c>
      <c r="G900">
        <f t="shared" si="120"/>
        <v>145</v>
      </c>
      <c r="H900">
        <f t="shared" si="120"/>
        <v>177</v>
      </c>
      <c r="I900">
        <f t="shared" si="120"/>
        <v>199</v>
      </c>
      <c r="J900">
        <f t="shared" si="120"/>
        <v>232</v>
      </c>
      <c r="K900">
        <f t="shared" si="120"/>
        <v>252</v>
      </c>
      <c r="L900">
        <f t="shared" si="120"/>
        <v>271</v>
      </c>
      <c r="M900">
        <f t="shared" si="120"/>
        <v>286</v>
      </c>
      <c r="N900">
        <f t="shared" si="119"/>
        <v>298</v>
      </c>
      <c r="O900">
        <f t="shared" si="119"/>
        <v>323</v>
      </c>
      <c r="P900">
        <f t="shared" si="119"/>
        <v>341</v>
      </c>
      <c r="Q900">
        <f t="shared" si="119"/>
        <v>367</v>
      </c>
      <c r="S900" t="str">
        <f t="shared" si="121"/>
        <v>06.12.2025</v>
      </c>
      <c r="T900" t="str">
        <f t="shared" si="122"/>
        <v>03:30:00</v>
      </c>
      <c r="U900" t="str">
        <f t="shared" ref="U900:U963" si="123">MID($A900,B900+B$2+1,C900-B900-B$2-1)</f>
        <v>06.12.2025 03:30:00</v>
      </c>
      <c r="V900" s="9" t="str">
        <f>MID($A900,C900+C$2+1,D900-C900-C$2-1)</f>
        <v>0</v>
      </c>
      <c r="W900" s="4">
        <f>VALUE(SUBSTITUTE(MID($A900,D900+D$2+1,E900-D900-D$2-1),",","."))</f>
        <v>0</v>
      </c>
      <c r="X900" s="4">
        <f>VALUE(SUBSTITUTE(MID($A900,E900+E$2+1,F900-E900-E$2-1),",","."))</f>
        <v>0.90957602214449496</v>
      </c>
      <c r="Y900" s="4">
        <f>VALUE(SUBSTITUTE(MID($A900,F900+F$2+1,G900-F900-F$2-1),",","."))</f>
        <v>0</v>
      </c>
      <c r="Z900" s="3">
        <f>VALUE(SUBSTITUTE(MID($A900,G900+G$2+1,H900-G900-G$2-1),",","."))</f>
        <v>0</v>
      </c>
      <c r="AA900" s="3">
        <f>VALUE(SUBSTITUTE(MID($A900,H900+H$2+1,I900-H900-H$2-1),",","."))</f>
        <v>0</v>
      </c>
      <c r="AB900" s="3">
        <f>VALUE(SUBSTITUTE(MID($A900,I900+I$2+1,J900-I900-I$2-1),",","."))</f>
        <v>0</v>
      </c>
      <c r="AC900" s="3">
        <f>VALUE(SUBSTITUTE(MID($A900,J900+J$2+1,K900-J900-J$2-1),",","."))</f>
        <v>4.3499999999999996</v>
      </c>
      <c r="AD900" s="3">
        <f>VALUE(SUBSTITUTE(MID($A900,K900+K$2+1,L900-K900-K$2-1),",","."))</f>
        <v>27.36</v>
      </c>
      <c r="AE900" s="3">
        <f>VALUE(SUBSTITUTE(MID($A900,L900+L$2+1,M900-L900-L$2-1),",","."))</f>
        <v>0</v>
      </c>
      <c r="AF900" s="3">
        <f>VALUE(SUBSTITUTE(MID($A900,M900+M$2+1,N900-M900-M$2-1),",","."))</f>
        <v>0</v>
      </c>
      <c r="AG900" s="3">
        <f>VALUE(SUBSTITUTE(MID($A900,N900+N$2+1,O900-N900-N$2-1),",","."))</f>
        <v>4.2290430842876301</v>
      </c>
      <c r="AH900" t="str">
        <f>MID($A900,O900+O$2+1,P900-O900-O$2-1)</f>
        <v/>
      </c>
      <c r="AI900" s="8" t="str">
        <f>MID($A900,P900+P$2+1,Q900-P900-P$2-1)</f>
        <v>False</v>
      </c>
      <c r="AK900" t="b">
        <f t="shared" ref="AK900:AK963" si="124">AB900&gt;Z900</f>
        <v>0</v>
      </c>
    </row>
    <row r="901" spans="1:37" x14ac:dyDescent="0.35">
      <c r="A901" t="s">
        <v>5448</v>
      </c>
      <c r="B901">
        <f t="shared" si="120"/>
        <v>10</v>
      </c>
      <c r="C901">
        <f t="shared" si="120"/>
        <v>43</v>
      </c>
      <c r="D901">
        <f t="shared" si="120"/>
        <v>54</v>
      </c>
      <c r="E901">
        <f t="shared" ref="E901:P928" si="125">FIND(E$1,$A901)</f>
        <v>80</v>
      </c>
      <c r="F901">
        <f t="shared" si="125"/>
        <v>124</v>
      </c>
      <c r="G901">
        <f t="shared" si="125"/>
        <v>145</v>
      </c>
      <c r="H901">
        <f t="shared" si="125"/>
        <v>177</v>
      </c>
      <c r="I901">
        <f t="shared" si="125"/>
        <v>199</v>
      </c>
      <c r="J901">
        <f t="shared" si="125"/>
        <v>232</v>
      </c>
      <c r="K901">
        <f t="shared" si="125"/>
        <v>252</v>
      </c>
      <c r="L901">
        <f t="shared" si="125"/>
        <v>271</v>
      </c>
      <c r="M901">
        <f t="shared" si="125"/>
        <v>286</v>
      </c>
      <c r="N901">
        <f t="shared" si="119"/>
        <v>298</v>
      </c>
      <c r="O901">
        <f t="shared" si="119"/>
        <v>323</v>
      </c>
      <c r="P901">
        <f t="shared" si="119"/>
        <v>341</v>
      </c>
      <c r="Q901">
        <f t="shared" si="119"/>
        <v>367</v>
      </c>
      <c r="S901" t="str">
        <f t="shared" si="121"/>
        <v>06.12.2025</v>
      </c>
      <c r="T901" t="str">
        <f t="shared" si="122"/>
        <v>03:45:00</v>
      </c>
      <c r="U901" t="str">
        <f t="shared" si="123"/>
        <v>06.12.2025 03:45:00</v>
      </c>
      <c r="V901" s="9" t="str">
        <f>MID($A901,C901+C$2+1,D901-C901-C$2-1)</f>
        <v>0</v>
      </c>
      <c r="W901" s="4">
        <f>VALUE(SUBSTITUTE(MID($A901,D901+D$2+1,E901-D901-D$2-1),",","."))</f>
        <v>0</v>
      </c>
      <c r="X901" s="4">
        <f>VALUE(SUBSTITUTE(MID($A901,E901+E$2+1,F901-E901-E$2-1),",","."))</f>
        <v>0.90957602214449496</v>
      </c>
      <c r="Y901" s="4">
        <f>VALUE(SUBSTITUTE(MID($A901,F901+F$2+1,G901-F901-F$2-1),",","."))</f>
        <v>0</v>
      </c>
      <c r="Z901" s="3">
        <f>VALUE(SUBSTITUTE(MID($A901,G901+G$2+1,H901-G901-G$2-1),",","."))</f>
        <v>0</v>
      </c>
      <c r="AA901" s="3">
        <f>VALUE(SUBSTITUTE(MID($A901,H901+H$2+1,I901-H901-H$2-1),",","."))</f>
        <v>0</v>
      </c>
      <c r="AB901" s="3">
        <f>VALUE(SUBSTITUTE(MID($A901,I901+I$2+1,J901-I901-I$2-1),",","."))</f>
        <v>0</v>
      </c>
      <c r="AC901" s="3">
        <f>VALUE(SUBSTITUTE(MID($A901,J901+J$2+1,K901-J901-J$2-1),",","."))</f>
        <v>4.3499999999999996</v>
      </c>
      <c r="AD901" s="3">
        <f>VALUE(SUBSTITUTE(MID($A901,K901+K$2+1,L901-K901-K$2-1),",","."))</f>
        <v>27.36</v>
      </c>
      <c r="AE901" s="3">
        <f>VALUE(SUBSTITUTE(MID($A901,L901+L$2+1,M901-L901-L$2-1),",","."))</f>
        <v>0</v>
      </c>
      <c r="AF901" s="3">
        <f>VALUE(SUBSTITUTE(MID($A901,M901+M$2+1,N901-M901-M$2-1),",","."))</f>
        <v>0</v>
      </c>
      <c r="AG901" s="3">
        <f>VALUE(SUBSTITUTE(MID($A901,N901+N$2+1,O901-N901-N$2-1),",","."))</f>
        <v>4.2290716041757097</v>
      </c>
      <c r="AH901" t="str">
        <f>MID($A901,O901+O$2+1,P901-O901-O$2-1)</f>
        <v/>
      </c>
      <c r="AI901" s="8" t="str">
        <f>MID($A901,P901+P$2+1,Q901-P901-P$2-1)</f>
        <v>False</v>
      </c>
      <c r="AK901" t="b">
        <f t="shared" si="124"/>
        <v>0</v>
      </c>
    </row>
    <row r="902" spans="1:37" x14ac:dyDescent="0.35">
      <c r="A902" t="s">
        <v>5449</v>
      </c>
      <c r="B902">
        <f t="shared" ref="B902:P940" si="126">FIND(B$1,$A902)</f>
        <v>10</v>
      </c>
      <c r="C902">
        <f t="shared" si="126"/>
        <v>43</v>
      </c>
      <c r="D902">
        <f t="shared" si="126"/>
        <v>54</v>
      </c>
      <c r="E902">
        <f t="shared" si="125"/>
        <v>80</v>
      </c>
      <c r="F902">
        <f t="shared" si="125"/>
        <v>124</v>
      </c>
      <c r="G902">
        <f t="shared" si="125"/>
        <v>145</v>
      </c>
      <c r="H902">
        <f t="shared" si="125"/>
        <v>177</v>
      </c>
      <c r="I902">
        <f t="shared" si="125"/>
        <v>199</v>
      </c>
      <c r="J902">
        <f t="shared" si="125"/>
        <v>232</v>
      </c>
      <c r="K902">
        <f t="shared" si="125"/>
        <v>252</v>
      </c>
      <c r="L902">
        <f t="shared" si="125"/>
        <v>271</v>
      </c>
      <c r="M902">
        <f t="shared" si="125"/>
        <v>286</v>
      </c>
      <c r="N902">
        <f t="shared" si="119"/>
        <v>298</v>
      </c>
      <c r="O902">
        <f t="shared" si="119"/>
        <v>323</v>
      </c>
      <c r="P902">
        <f t="shared" si="119"/>
        <v>341</v>
      </c>
      <c r="Q902">
        <f t="shared" si="119"/>
        <v>367</v>
      </c>
      <c r="S902" t="str">
        <f t="shared" si="121"/>
        <v>06.12.2025</v>
      </c>
      <c r="T902" t="str">
        <f t="shared" si="122"/>
        <v>04:00:00</v>
      </c>
      <c r="U902" t="str">
        <f t="shared" si="123"/>
        <v>06.12.2025 04:00:00</v>
      </c>
      <c r="V902" s="9" t="str">
        <f>MID($A902,C902+C$2+1,D902-C902-C$2-1)</f>
        <v>0</v>
      </c>
      <c r="W902" s="4">
        <f>VALUE(SUBSTITUTE(MID($A902,D902+D$2+1,E902-D902-D$2-1),",","."))</f>
        <v>0</v>
      </c>
      <c r="X902" s="4">
        <f>VALUE(SUBSTITUTE(MID($A902,E902+E$2+1,F902-E902-E$2-1),",","."))</f>
        <v>0.90957602214449496</v>
      </c>
      <c r="Y902" s="4">
        <f>VALUE(SUBSTITUTE(MID($A902,F902+F$2+1,G902-F902-F$2-1),",","."))</f>
        <v>0</v>
      </c>
      <c r="Z902" s="3">
        <f>VALUE(SUBSTITUTE(MID($A902,G902+G$2+1,H902-G902-G$2-1),",","."))</f>
        <v>0</v>
      </c>
      <c r="AA902" s="3">
        <f>VALUE(SUBSTITUTE(MID($A902,H902+H$2+1,I902-H902-H$2-1),",","."))</f>
        <v>0</v>
      </c>
      <c r="AB902" s="3">
        <f>VALUE(SUBSTITUTE(MID($A902,I902+I$2+1,J902-I902-I$2-1),",","."))</f>
        <v>0</v>
      </c>
      <c r="AC902" s="3">
        <f>VALUE(SUBSTITUTE(MID($A902,J902+J$2+1,K902-J902-J$2-1),",","."))</f>
        <v>4.3499999999999996</v>
      </c>
      <c r="AD902" s="3">
        <f>VALUE(SUBSTITUTE(MID($A902,K902+K$2+1,L902-K902-K$2-1),",","."))</f>
        <v>27.36</v>
      </c>
      <c r="AE902" s="3">
        <f>VALUE(SUBSTITUTE(MID($A902,L902+L$2+1,M902-L902-L$2-1),",","."))</f>
        <v>0</v>
      </c>
      <c r="AF902" s="3">
        <f>VALUE(SUBSTITUTE(MID($A902,M902+M$2+1,N902-M902-M$2-1),",","."))</f>
        <v>0</v>
      </c>
      <c r="AG902" s="3">
        <f>VALUE(SUBSTITUTE(MID($A902,N902+N$2+1,O902-N902-N$2-1),",","."))</f>
        <v>4.2291001240637902</v>
      </c>
      <c r="AH902" t="str">
        <f>MID($A902,O902+O$2+1,P902-O902-O$2-1)</f>
        <v/>
      </c>
      <c r="AI902" s="8" t="str">
        <f>MID($A902,P902+P$2+1,Q902-P902-P$2-1)</f>
        <v>False</v>
      </c>
      <c r="AK902" t="b">
        <f t="shared" si="124"/>
        <v>0</v>
      </c>
    </row>
    <row r="903" spans="1:37" x14ac:dyDescent="0.35">
      <c r="A903" t="s">
        <v>5450</v>
      </c>
      <c r="B903">
        <f t="shared" si="126"/>
        <v>10</v>
      </c>
      <c r="C903">
        <f t="shared" si="126"/>
        <v>43</v>
      </c>
      <c r="D903">
        <f t="shared" si="126"/>
        <v>54</v>
      </c>
      <c r="E903">
        <f t="shared" si="125"/>
        <v>80</v>
      </c>
      <c r="F903">
        <f t="shared" si="125"/>
        <v>124</v>
      </c>
      <c r="G903">
        <f t="shared" si="125"/>
        <v>145</v>
      </c>
      <c r="H903">
        <f t="shared" si="125"/>
        <v>177</v>
      </c>
      <c r="I903">
        <f t="shared" si="125"/>
        <v>199</v>
      </c>
      <c r="J903">
        <f t="shared" si="125"/>
        <v>232</v>
      </c>
      <c r="K903">
        <f t="shared" si="125"/>
        <v>252</v>
      </c>
      <c r="L903">
        <f t="shared" si="125"/>
        <v>271</v>
      </c>
      <c r="M903">
        <f t="shared" si="125"/>
        <v>286</v>
      </c>
      <c r="N903">
        <f t="shared" si="119"/>
        <v>298</v>
      </c>
      <c r="O903">
        <f t="shared" si="119"/>
        <v>323</v>
      </c>
      <c r="P903">
        <f t="shared" si="119"/>
        <v>341</v>
      </c>
      <c r="Q903">
        <f t="shared" si="119"/>
        <v>367</v>
      </c>
      <c r="S903" t="str">
        <f t="shared" si="121"/>
        <v>06.12.2025</v>
      </c>
      <c r="T903" t="str">
        <f t="shared" si="122"/>
        <v>04:15:00</v>
      </c>
      <c r="U903" t="str">
        <f t="shared" si="123"/>
        <v>06.12.2025 04:15:00</v>
      </c>
      <c r="V903" s="9" t="str">
        <f>MID($A903,C903+C$2+1,D903-C903-C$2-1)</f>
        <v>0</v>
      </c>
      <c r="W903" s="4">
        <f>VALUE(SUBSTITUTE(MID($A903,D903+D$2+1,E903-D903-D$2-1),",","."))</f>
        <v>0</v>
      </c>
      <c r="X903" s="4">
        <f>VALUE(SUBSTITUTE(MID($A903,E903+E$2+1,F903-E903-E$2-1),",","."))</f>
        <v>0.90957602214449496</v>
      </c>
      <c r="Y903" s="4">
        <f>VALUE(SUBSTITUTE(MID($A903,F903+F$2+1,G903-F903-F$2-1),",","."))</f>
        <v>0</v>
      </c>
      <c r="Z903" s="3">
        <f>VALUE(SUBSTITUTE(MID($A903,G903+G$2+1,H903-G903-G$2-1),",","."))</f>
        <v>0</v>
      </c>
      <c r="AA903" s="3">
        <f>VALUE(SUBSTITUTE(MID($A903,H903+H$2+1,I903-H903-H$2-1),",","."))</f>
        <v>0</v>
      </c>
      <c r="AB903" s="3">
        <f>VALUE(SUBSTITUTE(MID($A903,I903+I$2+1,J903-I903-I$2-1),",","."))</f>
        <v>0</v>
      </c>
      <c r="AC903" s="3">
        <f>VALUE(SUBSTITUTE(MID($A903,J903+J$2+1,K903-J903-J$2-1),",","."))</f>
        <v>4.3499999999999996</v>
      </c>
      <c r="AD903" s="3">
        <f>VALUE(SUBSTITUTE(MID($A903,K903+K$2+1,L903-K903-K$2-1),",","."))</f>
        <v>27.36</v>
      </c>
      <c r="AE903" s="3">
        <f>VALUE(SUBSTITUTE(MID($A903,L903+L$2+1,M903-L903-L$2-1),",","."))</f>
        <v>0</v>
      </c>
      <c r="AF903" s="3">
        <f>VALUE(SUBSTITUTE(MID($A903,M903+M$2+1,N903-M903-M$2-1),",","."))</f>
        <v>0</v>
      </c>
      <c r="AG903" s="3">
        <f>VALUE(SUBSTITUTE(MID($A903,N903+N$2+1,O903-N903-N$2-1),",","."))</f>
        <v>4.2291286439518698</v>
      </c>
      <c r="AH903" t="str">
        <f>MID($A903,O903+O$2+1,P903-O903-O$2-1)</f>
        <v/>
      </c>
      <c r="AI903" s="8" t="str">
        <f>MID($A903,P903+P$2+1,Q903-P903-P$2-1)</f>
        <v>False</v>
      </c>
      <c r="AK903" t="b">
        <f t="shared" si="124"/>
        <v>0</v>
      </c>
    </row>
    <row r="904" spans="1:37" x14ac:dyDescent="0.35">
      <c r="A904" t="s">
        <v>5451</v>
      </c>
      <c r="B904">
        <f t="shared" si="126"/>
        <v>10</v>
      </c>
      <c r="C904">
        <f t="shared" si="126"/>
        <v>43</v>
      </c>
      <c r="D904">
        <f t="shared" si="126"/>
        <v>54</v>
      </c>
      <c r="E904">
        <f t="shared" si="125"/>
        <v>80</v>
      </c>
      <c r="F904">
        <f t="shared" si="125"/>
        <v>124</v>
      </c>
      <c r="G904">
        <f t="shared" si="125"/>
        <v>145</v>
      </c>
      <c r="H904">
        <f t="shared" si="125"/>
        <v>177</v>
      </c>
      <c r="I904">
        <f t="shared" si="125"/>
        <v>199</v>
      </c>
      <c r="J904">
        <f t="shared" si="125"/>
        <v>232</v>
      </c>
      <c r="K904">
        <f t="shared" si="125"/>
        <v>252</v>
      </c>
      <c r="L904">
        <f t="shared" si="125"/>
        <v>271</v>
      </c>
      <c r="M904">
        <f t="shared" si="125"/>
        <v>286</v>
      </c>
      <c r="N904">
        <f t="shared" si="119"/>
        <v>298</v>
      </c>
      <c r="O904">
        <f t="shared" si="119"/>
        <v>323</v>
      </c>
      <c r="P904">
        <f t="shared" si="119"/>
        <v>341</v>
      </c>
      <c r="Q904">
        <f t="shared" si="119"/>
        <v>367</v>
      </c>
      <c r="S904" t="str">
        <f t="shared" si="121"/>
        <v>06.12.2025</v>
      </c>
      <c r="T904" t="str">
        <f t="shared" si="122"/>
        <v>04:30:00</v>
      </c>
      <c r="U904" t="str">
        <f t="shared" si="123"/>
        <v>06.12.2025 04:30:00</v>
      </c>
      <c r="V904" s="9" t="str">
        <f>MID($A904,C904+C$2+1,D904-C904-C$2-1)</f>
        <v>0</v>
      </c>
      <c r="W904" s="4">
        <f>VALUE(SUBSTITUTE(MID($A904,D904+D$2+1,E904-D904-D$2-1),",","."))</f>
        <v>0</v>
      </c>
      <c r="X904" s="4">
        <f>VALUE(SUBSTITUTE(MID($A904,E904+E$2+1,F904-E904-E$2-1),",","."))</f>
        <v>0.90957602214449496</v>
      </c>
      <c r="Y904" s="4">
        <f>VALUE(SUBSTITUTE(MID($A904,F904+F$2+1,G904-F904-F$2-1),",","."))</f>
        <v>0</v>
      </c>
      <c r="Z904" s="3">
        <f>VALUE(SUBSTITUTE(MID($A904,G904+G$2+1,H904-G904-G$2-1),",","."))</f>
        <v>0</v>
      </c>
      <c r="AA904" s="3">
        <f>VALUE(SUBSTITUTE(MID($A904,H904+H$2+1,I904-H904-H$2-1),",","."))</f>
        <v>0</v>
      </c>
      <c r="AB904" s="3">
        <f>VALUE(SUBSTITUTE(MID($A904,I904+I$2+1,J904-I904-I$2-1),",","."))</f>
        <v>0</v>
      </c>
      <c r="AC904" s="3">
        <f>VALUE(SUBSTITUTE(MID($A904,J904+J$2+1,K904-J904-J$2-1),",","."))</f>
        <v>4.95</v>
      </c>
      <c r="AD904" s="3">
        <f>VALUE(SUBSTITUTE(MID($A904,K904+K$2+1,L904-K904-K$2-1),",","."))</f>
        <v>36.18</v>
      </c>
      <c r="AE904" s="3">
        <f>VALUE(SUBSTITUTE(MID($A904,L904+L$2+1,M904-L904-L$2-1),",","."))</f>
        <v>0</v>
      </c>
      <c r="AF904" s="3">
        <f>VALUE(SUBSTITUTE(MID($A904,M904+M$2+1,N904-M904-M$2-1),",","."))</f>
        <v>0</v>
      </c>
      <c r="AG904" s="3">
        <f>VALUE(SUBSTITUTE(MID($A904,N904+N$2+1,O904-N904-N$2-1),",","."))</f>
        <v>4.2291571638399503</v>
      </c>
      <c r="AH904" t="str">
        <f>MID($A904,O904+O$2+1,P904-O904-O$2-1)</f>
        <v/>
      </c>
      <c r="AI904" s="8" t="str">
        <f>MID($A904,P904+P$2+1,Q904-P904-P$2-1)</f>
        <v>False</v>
      </c>
      <c r="AK904" t="b">
        <f t="shared" si="124"/>
        <v>0</v>
      </c>
    </row>
    <row r="905" spans="1:37" x14ac:dyDescent="0.35">
      <c r="A905" t="s">
        <v>5452</v>
      </c>
      <c r="B905">
        <f t="shared" si="126"/>
        <v>10</v>
      </c>
      <c r="C905">
        <f t="shared" si="126"/>
        <v>43</v>
      </c>
      <c r="D905">
        <f t="shared" si="126"/>
        <v>54</v>
      </c>
      <c r="E905">
        <f t="shared" si="125"/>
        <v>80</v>
      </c>
      <c r="F905">
        <f t="shared" si="125"/>
        <v>124</v>
      </c>
      <c r="G905">
        <f t="shared" si="125"/>
        <v>145</v>
      </c>
      <c r="H905">
        <f t="shared" si="125"/>
        <v>177</v>
      </c>
      <c r="I905">
        <f t="shared" si="125"/>
        <v>199</v>
      </c>
      <c r="J905">
        <f t="shared" si="125"/>
        <v>232</v>
      </c>
      <c r="K905">
        <f t="shared" si="125"/>
        <v>252</v>
      </c>
      <c r="L905">
        <f t="shared" si="125"/>
        <v>271</v>
      </c>
      <c r="M905">
        <f t="shared" si="125"/>
        <v>286</v>
      </c>
      <c r="N905">
        <f t="shared" si="119"/>
        <v>298</v>
      </c>
      <c r="O905">
        <f t="shared" si="119"/>
        <v>323</v>
      </c>
      <c r="P905">
        <f t="shared" si="119"/>
        <v>341</v>
      </c>
      <c r="Q905">
        <f t="shared" si="119"/>
        <v>367</v>
      </c>
      <c r="S905" t="str">
        <f t="shared" si="121"/>
        <v>06.12.2025</v>
      </c>
      <c r="T905" t="str">
        <f t="shared" si="122"/>
        <v>04:45:00</v>
      </c>
      <c r="U905" t="str">
        <f t="shared" si="123"/>
        <v>06.12.2025 04:45:00</v>
      </c>
      <c r="V905" s="9" t="str">
        <f>MID($A905,C905+C$2+1,D905-C905-C$2-1)</f>
        <v>0</v>
      </c>
      <c r="W905" s="4">
        <f>VALUE(SUBSTITUTE(MID($A905,D905+D$2+1,E905-D905-D$2-1),",","."))</f>
        <v>0</v>
      </c>
      <c r="X905" s="4">
        <f>VALUE(SUBSTITUTE(MID($A905,E905+E$2+1,F905-E905-E$2-1),",","."))</f>
        <v>0.90957602214449496</v>
      </c>
      <c r="Y905" s="4">
        <f>VALUE(SUBSTITUTE(MID($A905,F905+F$2+1,G905-F905-F$2-1),",","."))</f>
        <v>0</v>
      </c>
      <c r="Z905" s="3">
        <f>VALUE(SUBSTITUTE(MID($A905,G905+G$2+1,H905-G905-G$2-1),",","."))</f>
        <v>0</v>
      </c>
      <c r="AA905" s="3">
        <f>VALUE(SUBSTITUTE(MID($A905,H905+H$2+1,I905-H905-H$2-1),",","."))</f>
        <v>0</v>
      </c>
      <c r="AB905" s="3">
        <f>VALUE(SUBSTITUTE(MID($A905,I905+I$2+1,J905-I905-I$2-1),",","."))</f>
        <v>0</v>
      </c>
      <c r="AC905" s="3">
        <f>VALUE(SUBSTITUTE(MID($A905,J905+J$2+1,K905-J905-J$2-1),",","."))</f>
        <v>4.95</v>
      </c>
      <c r="AD905" s="3">
        <f>VALUE(SUBSTITUTE(MID($A905,K905+K$2+1,L905-K905-K$2-1),",","."))</f>
        <v>36.18</v>
      </c>
      <c r="AE905" s="3">
        <f>VALUE(SUBSTITUTE(MID($A905,L905+L$2+1,M905-L905-L$2-1),",","."))</f>
        <v>0</v>
      </c>
      <c r="AF905" s="3">
        <f>VALUE(SUBSTITUTE(MID($A905,M905+M$2+1,N905-M905-M$2-1),",","."))</f>
        <v>0</v>
      </c>
      <c r="AG905" s="3">
        <f>VALUE(SUBSTITUTE(MID($A905,N905+N$2+1,O905-N905-N$2-1),",","."))</f>
        <v>4.2291856837280299</v>
      </c>
      <c r="AH905" t="str">
        <f>MID($A905,O905+O$2+1,P905-O905-O$2-1)</f>
        <v/>
      </c>
      <c r="AI905" s="8" t="str">
        <f>MID($A905,P905+P$2+1,Q905-P905-P$2-1)</f>
        <v>False</v>
      </c>
      <c r="AK905" t="b">
        <f t="shared" si="124"/>
        <v>0</v>
      </c>
    </row>
    <row r="906" spans="1:37" x14ac:dyDescent="0.35">
      <c r="A906" t="s">
        <v>5453</v>
      </c>
      <c r="B906">
        <f t="shared" si="126"/>
        <v>10</v>
      </c>
      <c r="C906">
        <f t="shared" si="126"/>
        <v>43</v>
      </c>
      <c r="D906">
        <f t="shared" si="126"/>
        <v>54</v>
      </c>
      <c r="E906">
        <f t="shared" si="125"/>
        <v>80</v>
      </c>
      <c r="F906">
        <f t="shared" si="125"/>
        <v>124</v>
      </c>
      <c r="G906">
        <f t="shared" si="125"/>
        <v>145</v>
      </c>
      <c r="H906">
        <f t="shared" si="125"/>
        <v>177</v>
      </c>
      <c r="I906">
        <f t="shared" si="125"/>
        <v>199</v>
      </c>
      <c r="J906">
        <f t="shared" si="125"/>
        <v>232</v>
      </c>
      <c r="K906">
        <f t="shared" si="125"/>
        <v>252</v>
      </c>
      <c r="L906">
        <f t="shared" si="125"/>
        <v>271</v>
      </c>
      <c r="M906">
        <f t="shared" si="125"/>
        <v>286</v>
      </c>
      <c r="N906">
        <f t="shared" si="119"/>
        <v>298</v>
      </c>
      <c r="O906">
        <f t="shared" si="119"/>
        <v>323</v>
      </c>
      <c r="P906">
        <f t="shared" si="119"/>
        <v>341</v>
      </c>
      <c r="Q906">
        <f t="shared" si="119"/>
        <v>367</v>
      </c>
      <c r="S906" t="str">
        <f t="shared" si="121"/>
        <v>06.12.2025</v>
      </c>
      <c r="T906" t="str">
        <f t="shared" si="122"/>
        <v>05:00:00</v>
      </c>
      <c r="U906" t="str">
        <f t="shared" si="123"/>
        <v>06.12.2025 05:00:00</v>
      </c>
      <c r="V906" s="9" t="str">
        <f>MID($A906,C906+C$2+1,D906-C906-C$2-1)</f>
        <v>0</v>
      </c>
      <c r="W906" s="4">
        <f>VALUE(SUBSTITUTE(MID($A906,D906+D$2+1,E906-D906-D$2-1),",","."))</f>
        <v>0</v>
      </c>
      <c r="X906" s="4">
        <f>VALUE(SUBSTITUTE(MID($A906,E906+E$2+1,F906-E906-E$2-1),",","."))</f>
        <v>0.90957602214449496</v>
      </c>
      <c r="Y906" s="4">
        <f>VALUE(SUBSTITUTE(MID($A906,F906+F$2+1,G906-F906-F$2-1),",","."))</f>
        <v>0</v>
      </c>
      <c r="Z906" s="3">
        <f>VALUE(SUBSTITUTE(MID($A906,G906+G$2+1,H906-G906-G$2-1),",","."))</f>
        <v>0</v>
      </c>
      <c r="AA906" s="3">
        <f>VALUE(SUBSTITUTE(MID($A906,H906+H$2+1,I906-H906-H$2-1),",","."))</f>
        <v>0</v>
      </c>
      <c r="AB906" s="3">
        <f>VALUE(SUBSTITUTE(MID($A906,I906+I$2+1,J906-I906-I$2-1),",","."))</f>
        <v>0</v>
      </c>
      <c r="AC906" s="3">
        <f>VALUE(SUBSTITUTE(MID($A906,J906+J$2+1,K906-J906-J$2-1),",","."))</f>
        <v>4.95</v>
      </c>
      <c r="AD906" s="3">
        <f>VALUE(SUBSTITUTE(MID($A906,K906+K$2+1,L906-K906-K$2-1),",","."))</f>
        <v>36.18</v>
      </c>
      <c r="AE906" s="3">
        <f>VALUE(SUBSTITUTE(MID($A906,L906+L$2+1,M906-L906-L$2-1),",","."))</f>
        <v>0</v>
      </c>
      <c r="AF906" s="3">
        <f>VALUE(SUBSTITUTE(MID($A906,M906+M$2+1,N906-M906-M$2-1),",","."))</f>
        <v>0</v>
      </c>
      <c r="AG906" s="3">
        <f>VALUE(SUBSTITUTE(MID($A906,N906+N$2+1,O906-N906-N$2-1),",","."))</f>
        <v>4.2292142036161202</v>
      </c>
      <c r="AH906" t="str">
        <f>MID($A906,O906+O$2+1,P906-O906-O$2-1)</f>
        <v/>
      </c>
      <c r="AI906" s="8" t="str">
        <f>MID($A906,P906+P$2+1,Q906-P906-P$2-1)</f>
        <v>False</v>
      </c>
      <c r="AK906" t="b">
        <f t="shared" si="124"/>
        <v>0</v>
      </c>
    </row>
    <row r="907" spans="1:37" x14ac:dyDescent="0.35">
      <c r="A907" t="s">
        <v>5454</v>
      </c>
      <c r="B907">
        <f t="shared" si="126"/>
        <v>10</v>
      </c>
      <c r="C907">
        <f t="shared" si="126"/>
        <v>43</v>
      </c>
      <c r="D907">
        <f t="shared" si="126"/>
        <v>54</v>
      </c>
      <c r="E907">
        <f t="shared" si="125"/>
        <v>80</v>
      </c>
      <c r="F907">
        <f t="shared" si="125"/>
        <v>124</v>
      </c>
      <c r="G907">
        <f t="shared" si="125"/>
        <v>145</v>
      </c>
      <c r="H907">
        <f t="shared" si="125"/>
        <v>177</v>
      </c>
      <c r="I907">
        <f t="shared" si="125"/>
        <v>199</v>
      </c>
      <c r="J907">
        <f t="shared" si="125"/>
        <v>232</v>
      </c>
      <c r="K907">
        <f t="shared" si="125"/>
        <v>252</v>
      </c>
      <c r="L907">
        <f t="shared" si="125"/>
        <v>271</v>
      </c>
      <c r="M907">
        <f t="shared" si="125"/>
        <v>286</v>
      </c>
      <c r="N907">
        <f t="shared" si="119"/>
        <v>298</v>
      </c>
      <c r="O907">
        <f t="shared" si="119"/>
        <v>324</v>
      </c>
      <c r="P907">
        <f t="shared" si="119"/>
        <v>342</v>
      </c>
      <c r="Q907">
        <f t="shared" si="119"/>
        <v>368</v>
      </c>
      <c r="S907" t="str">
        <f t="shared" si="121"/>
        <v>06.12.2025</v>
      </c>
      <c r="T907" t="str">
        <f t="shared" si="122"/>
        <v>05:15:00</v>
      </c>
      <c r="U907" t="str">
        <f t="shared" si="123"/>
        <v>06.12.2025 05:15:00</v>
      </c>
      <c r="V907" s="9" t="str">
        <f>MID($A907,C907+C$2+1,D907-C907-C$2-1)</f>
        <v>0</v>
      </c>
      <c r="W907" s="4">
        <f>VALUE(SUBSTITUTE(MID($A907,D907+D$2+1,E907-D907-D$2-1),",","."))</f>
        <v>0</v>
      </c>
      <c r="X907" s="4">
        <f>VALUE(SUBSTITUTE(MID($A907,E907+E$2+1,F907-E907-E$2-1),",","."))</f>
        <v>0.90957602214449496</v>
      </c>
      <c r="Y907" s="4">
        <f>VALUE(SUBSTITUTE(MID($A907,F907+F$2+1,G907-F907-F$2-1),",","."))</f>
        <v>0</v>
      </c>
      <c r="Z907" s="3">
        <f>VALUE(SUBSTITUTE(MID($A907,G907+G$2+1,H907-G907-G$2-1),",","."))</f>
        <v>0</v>
      </c>
      <c r="AA907" s="3">
        <f>VALUE(SUBSTITUTE(MID($A907,H907+H$2+1,I907-H907-H$2-1),",","."))</f>
        <v>0</v>
      </c>
      <c r="AB907" s="3">
        <f>VALUE(SUBSTITUTE(MID($A907,I907+I$2+1,J907-I907-I$2-1),",","."))</f>
        <v>0</v>
      </c>
      <c r="AC907" s="3">
        <f>VALUE(SUBSTITUTE(MID($A907,J907+J$2+1,K907-J907-J$2-1),",","."))</f>
        <v>4.95</v>
      </c>
      <c r="AD907" s="3">
        <f>VALUE(SUBSTITUTE(MID($A907,K907+K$2+1,L907-K907-K$2-1),",","."))</f>
        <v>36.18</v>
      </c>
      <c r="AE907" s="3">
        <f>VALUE(SUBSTITUTE(MID($A907,L907+L$2+1,M907-L907-L$2-1),",","."))</f>
        <v>0</v>
      </c>
      <c r="AF907" s="3">
        <f>VALUE(SUBSTITUTE(MID($A907,M907+M$2+1,N907-M907-M$2-1),",","."))</f>
        <v>0</v>
      </c>
      <c r="AG907" s="3">
        <f>VALUE(SUBSTITUTE(MID($A907,N907+N$2+1,O907-N907-N$2-1),",","."))</f>
        <v>4.2292427235041998</v>
      </c>
      <c r="AH907" t="str">
        <f>MID($A907,O907+O$2+1,P907-O907-O$2-1)</f>
        <v/>
      </c>
      <c r="AI907" s="8" t="str">
        <f>MID($A907,P907+P$2+1,Q907-P907-P$2-1)</f>
        <v>False</v>
      </c>
      <c r="AK907" t="b">
        <f t="shared" si="124"/>
        <v>0</v>
      </c>
    </row>
    <row r="908" spans="1:37" x14ac:dyDescent="0.35">
      <c r="A908" t="s">
        <v>5455</v>
      </c>
      <c r="B908">
        <f t="shared" si="126"/>
        <v>10</v>
      </c>
      <c r="C908">
        <f t="shared" si="126"/>
        <v>43</v>
      </c>
      <c r="D908">
        <f t="shared" si="126"/>
        <v>54</v>
      </c>
      <c r="E908">
        <f t="shared" si="125"/>
        <v>80</v>
      </c>
      <c r="F908">
        <f t="shared" si="125"/>
        <v>124</v>
      </c>
      <c r="G908">
        <f t="shared" si="125"/>
        <v>145</v>
      </c>
      <c r="H908">
        <f t="shared" si="125"/>
        <v>177</v>
      </c>
      <c r="I908">
        <f t="shared" si="125"/>
        <v>199</v>
      </c>
      <c r="J908">
        <f t="shared" si="125"/>
        <v>232</v>
      </c>
      <c r="K908">
        <f t="shared" si="125"/>
        <v>251</v>
      </c>
      <c r="L908">
        <f t="shared" si="125"/>
        <v>270</v>
      </c>
      <c r="M908">
        <f t="shared" si="125"/>
        <v>285</v>
      </c>
      <c r="N908">
        <f t="shared" si="119"/>
        <v>297</v>
      </c>
      <c r="O908">
        <f t="shared" si="119"/>
        <v>322</v>
      </c>
      <c r="P908">
        <f t="shared" si="119"/>
        <v>340</v>
      </c>
      <c r="Q908">
        <f t="shared" si="119"/>
        <v>366</v>
      </c>
      <c r="S908" t="str">
        <f t="shared" si="121"/>
        <v>06.12.2025</v>
      </c>
      <c r="T908" t="str">
        <f t="shared" si="122"/>
        <v>05:30:00</v>
      </c>
      <c r="U908" t="str">
        <f t="shared" si="123"/>
        <v>06.12.2025 05:30:00</v>
      </c>
      <c r="V908" s="9" t="str">
        <f>MID($A908,C908+C$2+1,D908-C908-C$2-1)</f>
        <v>0</v>
      </c>
      <c r="W908" s="4">
        <f>VALUE(SUBSTITUTE(MID($A908,D908+D$2+1,E908-D908-D$2-1),",","."))</f>
        <v>0</v>
      </c>
      <c r="X908" s="4">
        <f>VALUE(SUBSTITUTE(MID($A908,E908+E$2+1,F908-E908-E$2-1),",","."))</f>
        <v>0.90957602214449496</v>
      </c>
      <c r="Y908" s="4">
        <f>VALUE(SUBSTITUTE(MID($A908,F908+F$2+1,G908-F908-F$2-1),",","."))</f>
        <v>0</v>
      </c>
      <c r="Z908" s="3">
        <f>VALUE(SUBSTITUTE(MID($A908,G908+G$2+1,H908-G908-G$2-1),",","."))</f>
        <v>0</v>
      </c>
      <c r="AA908" s="3">
        <f>VALUE(SUBSTITUTE(MID($A908,H908+H$2+1,I908-H908-H$2-1),",","."))</f>
        <v>0</v>
      </c>
      <c r="AB908" s="3">
        <f>VALUE(SUBSTITUTE(MID($A908,I908+I$2+1,J908-I908-I$2-1),",","."))</f>
        <v>0</v>
      </c>
      <c r="AC908" s="3">
        <f>VALUE(SUBSTITUTE(MID($A908,J908+J$2+1,K908-J908-J$2-1),",","."))</f>
        <v>5.5</v>
      </c>
      <c r="AD908" s="3">
        <f>VALUE(SUBSTITUTE(MID($A908,K908+K$2+1,L908-K908-K$2-1),",","."))</f>
        <v>43.56</v>
      </c>
      <c r="AE908" s="3">
        <f>VALUE(SUBSTITUTE(MID($A908,L908+L$2+1,M908-L908-L$2-1),",","."))</f>
        <v>0</v>
      </c>
      <c r="AF908" s="3">
        <f>VALUE(SUBSTITUTE(MID($A908,M908+M$2+1,N908-M908-M$2-1),",","."))</f>
        <v>0</v>
      </c>
      <c r="AG908" s="3">
        <f>VALUE(SUBSTITUTE(MID($A908,N908+N$2+1,O908-N908-N$2-1),",","."))</f>
        <v>4.2292712433922803</v>
      </c>
      <c r="AH908" t="str">
        <f>MID($A908,O908+O$2+1,P908-O908-O$2-1)</f>
        <v/>
      </c>
      <c r="AI908" s="8" t="str">
        <f>MID($A908,P908+P$2+1,Q908-P908-P$2-1)</f>
        <v>False</v>
      </c>
      <c r="AK908" t="b">
        <f t="shared" si="124"/>
        <v>0</v>
      </c>
    </row>
    <row r="909" spans="1:37" x14ac:dyDescent="0.35">
      <c r="A909" t="s">
        <v>5456</v>
      </c>
      <c r="B909">
        <f t="shared" si="126"/>
        <v>10</v>
      </c>
      <c r="C909">
        <f t="shared" si="126"/>
        <v>43</v>
      </c>
      <c r="D909">
        <f t="shared" si="126"/>
        <v>54</v>
      </c>
      <c r="E909">
        <f t="shared" si="125"/>
        <v>80</v>
      </c>
      <c r="F909">
        <f t="shared" si="125"/>
        <v>124</v>
      </c>
      <c r="G909">
        <f t="shared" si="125"/>
        <v>145</v>
      </c>
      <c r="H909">
        <f t="shared" si="125"/>
        <v>177</v>
      </c>
      <c r="I909">
        <f t="shared" si="125"/>
        <v>199</v>
      </c>
      <c r="J909">
        <f t="shared" si="125"/>
        <v>232</v>
      </c>
      <c r="K909">
        <f t="shared" si="125"/>
        <v>251</v>
      </c>
      <c r="L909">
        <f t="shared" si="125"/>
        <v>270</v>
      </c>
      <c r="M909">
        <f t="shared" si="125"/>
        <v>285</v>
      </c>
      <c r="N909">
        <f t="shared" si="119"/>
        <v>297</v>
      </c>
      <c r="O909">
        <f t="shared" si="119"/>
        <v>322</v>
      </c>
      <c r="P909">
        <f t="shared" si="119"/>
        <v>340</v>
      </c>
      <c r="Q909">
        <f t="shared" si="119"/>
        <v>366</v>
      </c>
      <c r="S909" t="str">
        <f t="shared" si="121"/>
        <v>06.12.2025</v>
      </c>
      <c r="T909" t="str">
        <f t="shared" si="122"/>
        <v>05:45:00</v>
      </c>
      <c r="U909" t="str">
        <f t="shared" si="123"/>
        <v>06.12.2025 05:45:00</v>
      </c>
      <c r="V909" s="9" t="str">
        <f>MID($A909,C909+C$2+1,D909-C909-C$2-1)</f>
        <v>0</v>
      </c>
      <c r="W909" s="4">
        <f>VALUE(SUBSTITUTE(MID($A909,D909+D$2+1,E909-D909-D$2-1),",","."))</f>
        <v>0</v>
      </c>
      <c r="X909" s="4">
        <f>VALUE(SUBSTITUTE(MID($A909,E909+E$2+1,F909-E909-E$2-1),",","."))</f>
        <v>0.90957602214449496</v>
      </c>
      <c r="Y909" s="4">
        <f>VALUE(SUBSTITUTE(MID($A909,F909+F$2+1,G909-F909-F$2-1),",","."))</f>
        <v>0</v>
      </c>
      <c r="Z909" s="3">
        <f>VALUE(SUBSTITUTE(MID($A909,G909+G$2+1,H909-G909-G$2-1),",","."))</f>
        <v>0</v>
      </c>
      <c r="AA909" s="3">
        <f>VALUE(SUBSTITUTE(MID($A909,H909+H$2+1,I909-H909-H$2-1),",","."))</f>
        <v>0</v>
      </c>
      <c r="AB909" s="3">
        <f>VALUE(SUBSTITUTE(MID($A909,I909+I$2+1,J909-I909-I$2-1),",","."))</f>
        <v>0</v>
      </c>
      <c r="AC909" s="3">
        <f>VALUE(SUBSTITUTE(MID($A909,J909+J$2+1,K909-J909-J$2-1),",","."))</f>
        <v>5.5</v>
      </c>
      <c r="AD909" s="3">
        <f>VALUE(SUBSTITUTE(MID($A909,K909+K$2+1,L909-K909-K$2-1),",","."))</f>
        <v>43.56</v>
      </c>
      <c r="AE909" s="3">
        <f>VALUE(SUBSTITUTE(MID($A909,L909+L$2+1,M909-L909-L$2-1),",","."))</f>
        <v>0</v>
      </c>
      <c r="AF909" s="3">
        <f>VALUE(SUBSTITUTE(MID($A909,M909+M$2+1,N909-M909-M$2-1),",","."))</f>
        <v>0</v>
      </c>
      <c r="AG909" s="3">
        <f>VALUE(SUBSTITUTE(MID($A909,N909+N$2+1,O909-N909-N$2-1),",","."))</f>
        <v>4.2292997632803599</v>
      </c>
      <c r="AH909" t="str">
        <f>MID($A909,O909+O$2+1,P909-O909-O$2-1)</f>
        <v/>
      </c>
      <c r="AI909" s="8" t="str">
        <f>MID($A909,P909+P$2+1,Q909-P909-P$2-1)</f>
        <v>False</v>
      </c>
      <c r="AK909" t="b">
        <f t="shared" si="124"/>
        <v>0</v>
      </c>
    </row>
    <row r="910" spans="1:37" x14ac:dyDescent="0.35">
      <c r="A910" t="s">
        <v>5457</v>
      </c>
      <c r="B910">
        <f t="shared" si="126"/>
        <v>10</v>
      </c>
      <c r="C910">
        <f t="shared" si="126"/>
        <v>43</v>
      </c>
      <c r="D910">
        <f t="shared" si="126"/>
        <v>54</v>
      </c>
      <c r="E910">
        <f t="shared" si="125"/>
        <v>80</v>
      </c>
      <c r="F910">
        <f t="shared" si="125"/>
        <v>124</v>
      </c>
      <c r="G910">
        <f t="shared" si="125"/>
        <v>145</v>
      </c>
      <c r="H910">
        <f t="shared" si="125"/>
        <v>177</v>
      </c>
      <c r="I910">
        <f t="shared" si="125"/>
        <v>199</v>
      </c>
      <c r="J910">
        <f t="shared" si="125"/>
        <v>232</v>
      </c>
      <c r="K910">
        <f t="shared" si="125"/>
        <v>251</v>
      </c>
      <c r="L910">
        <f t="shared" si="125"/>
        <v>270</v>
      </c>
      <c r="M910">
        <f t="shared" si="125"/>
        <v>285</v>
      </c>
      <c r="N910">
        <f t="shared" si="119"/>
        <v>297</v>
      </c>
      <c r="O910">
        <f t="shared" si="119"/>
        <v>322</v>
      </c>
      <c r="P910">
        <f t="shared" si="119"/>
        <v>340</v>
      </c>
      <c r="Q910">
        <f t="shared" si="119"/>
        <v>366</v>
      </c>
      <c r="S910" t="str">
        <f t="shared" si="121"/>
        <v>06.12.2025</v>
      </c>
      <c r="T910" t="str">
        <f t="shared" si="122"/>
        <v>06:00:00</v>
      </c>
      <c r="U910" t="str">
        <f t="shared" si="123"/>
        <v>06.12.2025 06:00:00</v>
      </c>
      <c r="V910" s="9" t="str">
        <f>MID($A910,C910+C$2+1,D910-C910-C$2-1)</f>
        <v>0</v>
      </c>
      <c r="W910" s="4">
        <f>VALUE(SUBSTITUTE(MID($A910,D910+D$2+1,E910-D910-D$2-1),",","."))</f>
        <v>0</v>
      </c>
      <c r="X910" s="4">
        <f>VALUE(SUBSTITUTE(MID($A910,E910+E$2+1,F910-E910-E$2-1),",","."))</f>
        <v>0.90957602214449496</v>
      </c>
      <c r="Y910" s="4">
        <f>VALUE(SUBSTITUTE(MID($A910,F910+F$2+1,G910-F910-F$2-1),",","."))</f>
        <v>0</v>
      </c>
      <c r="Z910" s="3">
        <f>VALUE(SUBSTITUTE(MID($A910,G910+G$2+1,H910-G910-G$2-1),",","."))</f>
        <v>0</v>
      </c>
      <c r="AA910" s="3">
        <f>VALUE(SUBSTITUTE(MID($A910,H910+H$2+1,I910-H910-H$2-1),",","."))</f>
        <v>0</v>
      </c>
      <c r="AB910" s="3">
        <f>VALUE(SUBSTITUTE(MID($A910,I910+I$2+1,J910-I910-I$2-1),",","."))</f>
        <v>0</v>
      </c>
      <c r="AC910" s="3">
        <f>VALUE(SUBSTITUTE(MID($A910,J910+J$2+1,K910-J910-J$2-1),",","."))</f>
        <v>5.5</v>
      </c>
      <c r="AD910" s="3">
        <f>VALUE(SUBSTITUTE(MID($A910,K910+K$2+1,L910-K910-K$2-1),",","."))</f>
        <v>43.56</v>
      </c>
      <c r="AE910" s="3">
        <f>VALUE(SUBSTITUTE(MID($A910,L910+L$2+1,M910-L910-L$2-1),",","."))</f>
        <v>0</v>
      </c>
      <c r="AF910" s="3">
        <f>VALUE(SUBSTITUTE(MID($A910,M910+M$2+1,N910-M910-M$2-1),",","."))</f>
        <v>0</v>
      </c>
      <c r="AG910" s="3">
        <f>VALUE(SUBSTITUTE(MID($A910,N910+N$2+1,O910-N910-N$2-1),",","."))</f>
        <v>4.2293282831684396</v>
      </c>
      <c r="AH910" t="str">
        <f>MID($A910,O910+O$2+1,P910-O910-O$2-1)</f>
        <v/>
      </c>
      <c r="AI910" s="8" t="str">
        <f>MID($A910,P910+P$2+1,Q910-P910-P$2-1)</f>
        <v>False</v>
      </c>
      <c r="AK910" t="b">
        <f t="shared" si="124"/>
        <v>0</v>
      </c>
    </row>
    <row r="911" spans="1:37" x14ac:dyDescent="0.35">
      <c r="A911" t="s">
        <v>5458</v>
      </c>
      <c r="B911">
        <f t="shared" si="126"/>
        <v>10</v>
      </c>
      <c r="C911">
        <f t="shared" si="126"/>
        <v>43</v>
      </c>
      <c r="D911">
        <f t="shared" si="126"/>
        <v>54</v>
      </c>
      <c r="E911">
        <f t="shared" si="125"/>
        <v>80</v>
      </c>
      <c r="F911">
        <f t="shared" si="125"/>
        <v>124</v>
      </c>
      <c r="G911">
        <f t="shared" si="125"/>
        <v>145</v>
      </c>
      <c r="H911">
        <f t="shared" si="125"/>
        <v>177</v>
      </c>
      <c r="I911">
        <f t="shared" si="125"/>
        <v>199</v>
      </c>
      <c r="J911">
        <f t="shared" si="125"/>
        <v>232</v>
      </c>
      <c r="K911">
        <f t="shared" si="125"/>
        <v>251</v>
      </c>
      <c r="L911">
        <f t="shared" si="125"/>
        <v>270</v>
      </c>
      <c r="M911">
        <f t="shared" si="125"/>
        <v>285</v>
      </c>
      <c r="N911">
        <f t="shared" si="119"/>
        <v>297</v>
      </c>
      <c r="O911">
        <f t="shared" si="119"/>
        <v>322</v>
      </c>
      <c r="P911">
        <f t="shared" si="119"/>
        <v>340</v>
      </c>
      <c r="Q911">
        <f t="shared" si="119"/>
        <v>366</v>
      </c>
      <c r="S911" t="str">
        <f t="shared" si="121"/>
        <v>06.12.2025</v>
      </c>
      <c r="T911" t="str">
        <f t="shared" si="122"/>
        <v>06:15:00</v>
      </c>
      <c r="U911" t="str">
        <f t="shared" si="123"/>
        <v>06.12.2025 06:15:00</v>
      </c>
      <c r="V911" s="9" t="str">
        <f>MID($A911,C911+C$2+1,D911-C911-C$2-1)</f>
        <v>0</v>
      </c>
      <c r="W911" s="4">
        <f>VALUE(SUBSTITUTE(MID($A911,D911+D$2+1,E911-D911-D$2-1),",","."))</f>
        <v>0</v>
      </c>
      <c r="X911" s="4">
        <f>VALUE(SUBSTITUTE(MID($A911,E911+E$2+1,F911-E911-E$2-1),",","."))</f>
        <v>0.90957602214449496</v>
      </c>
      <c r="Y911" s="4">
        <f>VALUE(SUBSTITUTE(MID($A911,F911+F$2+1,G911-F911-F$2-1),",","."))</f>
        <v>0</v>
      </c>
      <c r="Z911" s="3">
        <f>VALUE(SUBSTITUTE(MID($A911,G911+G$2+1,H911-G911-G$2-1),",","."))</f>
        <v>0</v>
      </c>
      <c r="AA911" s="3">
        <f>VALUE(SUBSTITUTE(MID($A911,H911+H$2+1,I911-H911-H$2-1),",","."))</f>
        <v>0</v>
      </c>
      <c r="AB911" s="3">
        <f>VALUE(SUBSTITUTE(MID($A911,I911+I$2+1,J911-I911-I$2-1),",","."))</f>
        <v>0</v>
      </c>
      <c r="AC911" s="3">
        <f>VALUE(SUBSTITUTE(MID($A911,J911+J$2+1,K911-J911-J$2-1),",","."))</f>
        <v>5.5</v>
      </c>
      <c r="AD911" s="3">
        <f>VALUE(SUBSTITUTE(MID($A911,K911+K$2+1,L911-K911-K$2-1),",","."))</f>
        <v>43.56</v>
      </c>
      <c r="AE911" s="3">
        <f>VALUE(SUBSTITUTE(MID($A911,L911+L$2+1,M911-L911-L$2-1),",","."))</f>
        <v>0</v>
      </c>
      <c r="AF911" s="3">
        <f>VALUE(SUBSTITUTE(MID($A911,M911+M$2+1,N911-M911-M$2-1),",","."))</f>
        <v>0</v>
      </c>
      <c r="AG911" s="3">
        <f>VALUE(SUBSTITUTE(MID($A911,N911+N$2+1,O911-N911-N$2-1),",","."))</f>
        <v>4.2293568030565201</v>
      </c>
      <c r="AH911" t="str">
        <f>MID($A911,O911+O$2+1,P911-O911-O$2-1)</f>
        <v/>
      </c>
      <c r="AI911" s="8" t="str">
        <f>MID($A911,P911+P$2+1,Q911-P911-P$2-1)</f>
        <v>False</v>
      </c>
      <c r="AK911" t="b">
        <f t="shared" si="124"/>
        <v>0</v>
      </c>
    </row>
    <row r="912" spans="1:37" x14ac:dyDescent="0.35">
      <c r="A912" t="s">
        <v>5459</v>
      </c>
      <c r="B912">
        <f t="shared" si="126"/>
        <v>10</v>
      </c>
      <c r="C912">
        <f t="shared" si="126"/>
        <v>43</v>
      </c>
      <c r="D912">
        <f t="shared" si="126"/>
        <v>54</v>
      </c>
      <c r="E912">
        <f t="shared" si="125"/>
        <v>80</v>
      </c>
      <c r="F912">
        <f t="shared" si="125"/>
        <v>124</v>
      </c>
      <c r="G912">
        <f t="shared" si="125"/>
        <v>145</v>
      </c>
      <c r="H912">
        <f t="shared" si="125"/>
        <v>177</v>
      </c>
      <c r="I912">
        <f t="shared" si="125"/>
        <v>199</v>
      </c>
      <c r="J912">
        <f t="shared" si="125"/>
        <v>232</v>
      </c>
      <c r="K912">
        <f t="shared" si="125"/>
        <v>265</v>
      </c>
      <c r="L912">
        <f t="shared" si="125"/>
        <v>284</v>
      </c>
      <c r="M912">
        <f t="shared" si="125"/>
        <v>299</v>
      </c>
      <c r="N912">
        <f t="shared" si="119"/>
        <v>311</v>
      </c>
      <c r="O912">
        <f t="shared" si="119"/>
        <v>335</v>
      </c>
      <c r="P912">
        <f t="shared" si="119"/>
        <v>353</v>
      </c>
      <c r="Q912">
        <f t="shared" si="119"/>
        <v>379</v>
      </c>
      <c r="S912" t="str">
        <f t="shared" si="121"/>
        <v>06.12.2025</v>
      </c>
      <c r="T912" t="str">
        <f t="shared" si="122"/>
        <v>06:30:00</v>
      </c>
      <c r="U912" t="str">
        <f t="shared" si="123"/>
        <v>06.12.2025 06:30:00</v>
      </c>
      <c r="V912" s="9" t="str">
        <f>MID($A912,C912+C$2+1,D912-C912-C$2-1)</f>
        <v>0</v>
      </c>
      <c r="W912" s="4">
        <f>VALUE(SUBSTITUTE(MID($A912,D912+D$2+1,E912-D912-D$2-1),",","."))</f>
        <v>0</v>
      </c>
      <c r="X912" s="4">
        <f>VALUE(SUBSTITUTE(MID($A912,E912+E$2+1,F912-E912-E$2-1),",","."))</f>
        <v>0.90957602214449496</v>
      </c>
      <c r="Y912" s="4">
        <f>VALUE(SUBSTITUTE(MID($A912,F912+F$2+1,G912-F912-F$2-1),",","."))</f>
        <v>0</v>
      </c>
      <c r="Z912" s="3">
        <f>VALUE(SUBSTITUTE(MID($A912,G912+G$2+1,H912-G912-G$2-1),",","."))</f>
        <v>0</v>
      </c>
      <c r="AA912" s="3">
        <f>VALUE(SUBSTITUTE(MID($A912,H912+H$2+1,I912-H912-H$2-1),",","."))</f>
        <v>0</v>
      </c>
      <c r="AB912" s="3">
        <f>VALUE(SUBSTITUTE(MID($A912,I912+I$2+1,J912-I912-I$2-1),",","."))</f>
        <v>0</v>
      </c>
      <c r="AC912" s="3">
        <f>VALUE(SUBSTITUTE(MID($A912,J912+J$2+1,K912-J912-J$2-1),",","."))</f>
        <v>5.9499999999999904</v>
      </c>
      <c r="AD912" s="3">
        <f>VALUE(SUBSTITUTE(MID($A912,K912+K$2+1,L912-K912-K$2-1),",","."))</f>
        <v>49.86</v>
      </c>
      <c r="AE912" s="3">
        <f>VALUE(SUBSTITUTE(MID($A912,L912+L$2+1,M912-L912-L$2-1),",","."))</f>
        <v>0</v>
      </c>
      <c r="AF912" s="3">
        <f>VALUE(SUBSTITUTE(MID($A912,M912+M$2+1,N912-M912-M$2-1),",","."))</f>
        <v>0</v>
      </c>
      <c r="AG912" s="3">
        <f>VALUE(SUBSTITUTE(MID($A912,N912+N$2+1,O912-N912-N$2-1),",","."))</f>
        <v>4.2293853229446103</v>
      </c>
      <c r="AH912" t="str">
        <f>MID($A912,O912+O$2+1,P912-O912-O$2-1)</f>
        <v/>
      </c>
      <c r="AI912" s="8" t="str">
        <f>MID($A912,P912+P$2+1,Q912-P912-P$2-1)</f>
        <v>False</v>
      </c>
      <c r="AK912" t="b">
        <f t="shared" si="124"/>
        <v>0</v>
      </c>
    </row>
    <row r="913" spans="1:37" x14ac:dyDescent="0.35">
      <c r="A913" t="s">
        <v>5460</v>
      </c>
      <c r="B913">
        <f t="shared" si="126"/>
        <v>10</v>
      </c>
      <c r="C913">
        <f t="shared" si="126"/>
        <v>43</v>
      </c>
      <c r="D913">
        <f t="shared" si="126"/>
        <v>54</v>
      </c>
      <c r="E913">
        <f t="shared" si="125"/>
        <v>80</v>
      </c>
      <c r="F913">
        <f t="shared" si="125"/>
        <v>124</v>
      </c>
      <c r="G913">
        <f t="shared" si="125"/>
        <v>145</v>
      </c>
      <c r="H913">
        <f t="shared" si="125"/>
        <v>177</v>
      </c>
      <c r="I913">
        <f t="shared" si="125"/>
        <v>199</v>
      </c>
      <c r="J913">
        <f t="shared" si="125"/>
        <v>232</v>
      </c>
      <c r="K913">
        <f t="shared" si="125"/>
        <v>265</v>
      </c>
      <c r="L913">
        <f t="shared" si="125"/>
        <v>284</v>
      </c>
      <c r="M913">
        <f t="shared" si="125"/>
        <v>299</v>
      </c>
      <c r="N913">
        <f t="shared" si="119"/>
        <v>311</v>
      </c>
      <c r="O913">
        <f t="shared" si="119"/>
        <v>336</v>
      </c>
      <c r="P913">
        <f t="shared" si="119"/>
        <v>354</v>
      </c>
      <c r="Q913">
        <f t="shared" si="119"/>
        <v>380</v>
      </c>
      <c r="S913" t="str">
        <f t="shared" si="121"/>
        <v>06.12.2025</v>
      </c>
      <c r="T913" t="str">
        <f t="shared" si="122"/>
        <v>06:45:00</v>
      </c>
      <c r="U913" t="str">
        <f t="shared" si="123"/>
        <v>06.12.2025 06:45:00</v>
      </c>
      <c r="V913" s="9" t="str">
        <f>MID($A913,C913+C$2+1,D913-C913-C$2-1)</f>
        <v>0</v>
      </c>
      <c r="W913" s="4">
        <f>VALUE(SUBSTITUTE(MID($A913,D913+D$2+1,E913-D913-D$2-1),",","."))</f>
        <v>0</v>
      </c>
      <c r="X913" s="4">
        <f>VALUE(SUBSTITUTE(MID($A913,E913+E$2+1,F913-E913-E$2-1),",","."))</f>
        <v>0.90957602214449496</v>
      </c>
      <c r="Y913" s="4">
        <f>VALUE(SUBSTITUTE(MID($A913,F913+F$2+1,G913-F913-F$2-1),",","."))</f>
        <v>0</v>
      </c>
      <c r="Z913" s="3">
        <f>VALUE(SUBSTITUTE(MID($A913,G913+G$2+1,H913-G913-G$2-1),",","."))</f>
        <v>0</v>
      </c>
      <c r="AA913" s="3">
        <f>VALUE(SUBSTITUTE(MID($A913,H913+H$2+1,I913-H913-H$2-1),",","."))</f>
        <v>0</v>
      </c>
      <c r="AB913" s="3">
        <f>VALUE(SUBSTITUTE(MID($A913,I913+I$2+1,J913-I913-I$2-1),",","."))</f>
        <v>0</v>
      </c>
      <c r="AC913" s="3">
        <f>VALUE(SUBSTITUTE(MID($A913,J913+J$2+1,K913-J913-J$2-1),",","."))</f>
        <v>5.9499999999999904</v>
      </c>
      <c r="AD913" s="3">
        <f>VALUE(SUBSTITUTE(MID($A913,K913+K$2+1,L913-K913-K$2-1),",","."))</f>
        <v>49.86</v>
      </c>
      <c r="AE913" s="3">
        <f>VALUE(SUBSTITUTE(MID($A913,L913+L$2+1,M913-L913-L$2-1),",","."))</f>
        <v>0</v>
      </c>
      <c r="AF913" s="3">
        <f>VALUE(SUBSTITUTE(MID($A913,M913+M$2+1,N913-M913-M$2-1),",","."))</f>
        <v>0</v>
      </c>
      <c r="AG913" s="3">
        <f>VALUE(SUBSTITUTE(MID($A913,N913+N$2+1,O913-N913-N$2-1),",","."))</f>
        <v>4.22941384283269</v>
      </c>
      <c r="AH913" t="str">
        <f>MID($A913,O913+O$2+1,P913-O913-O$2-1)</f>
        <v/>
      </c>
      <c r="AI913" s="8" t="str">
        <f>MID($A913,P913+P$2+1,Q913-P913-P$2-1)</f>
        <v>False</v>
      </c>
      <c r="AK913" t="b">
        <f t="shared" si="124"/>
        <v>0</v>
      </c>
    </row>
    <row r="914" spans="1:37" x14ac:dyDescent="0.35">
      <c r="A914" t="s">
        <v>5461</v>
      </c>
      <c r="B914">
        <f t="shared" si="126"/>
        <v>10</v>
      </c>
      <c r="C914">
        <f t="shared" si="126"/>
        <v>43</v>
      </c>
      <c r="D914">
        <f t="shared" si="126"/>
        <v>54</v>
      </c>
      <c r="E914">
        <f t="shared" si="125"/>
        <v>80</v>
      </c>
      <c r="F914">
        <f t="shared" si="125"/>
        <v>124</v>
      </c>
      <c r="G914">
        <f t="shared" si="125"/>
        <v>145</v>
      </c>
      <c r="H914">
        <f t="shared" si="125"/>
        <v>177</v>
      </c>
      <c r="I914">
        <f t="shared" si="125"/>
        <v>199</v>
      </c>
      <c r="J914">
        <f t="shared" si="125"/>
        <v>232</v>
      </c>
      <c r="K914">
        <f t="shared" si="125"/>
        <v>265</v>
      </c>
      <c r="L914">
        <f t="shared" si="125"/>
        <v>284</v>
      </c>
      <c r="M914">
        <f t="shared" si="125"/>
        <v>299</v>
      </c>
      <c r="N914">
        <f t="shared" si="119"/>
        <v>311</v>
      </c>
      <c r="O914">
        <f t="shared" si="119"/>
        <v>336</v>
      </c>
      <c r="P914">
        <f t="shared" si="119"/>
        <v>354</v>
      </c>
      <c r="Q914">
        <f t="shared" si="119"/>
        <v>380</v>
      </c>
      <c r="S914" t="str">
        <f t="shared" si="121"/>
        <v>06.12.2025</v>
      </c>
      <c r="T914" t="str">
        <f t="shared" si="122"/>
        <v>07:00:00</v>
      </c>
      <c r="U914" t="str">
        <f t="shared" si="123"/>
        <v>06.12.2025 07:00:00</v>
      </c>
      <c r="V914" s="9" t="str">
        <f>MID($A914,C914+C$2+1,D914-C914-C$2-1)</f>
        <v>0</v>
      </c>
      <c r="W914" s="4">
        <f>VALUE(SUBSTITUTE(MID($A914,D914+D$2+1,E914-D914-D$2-1),",","."))</f>
        <v>0</v>
      </c>
      <c r="X914" s="4">
        <f>VALUE(SUBSTITUTE(MID($A914,E914+E$2+1,F914-E914-E$2-1),",","."))</f>
        <v>0.90957602214449496</v>
      </c>
      <c r="Y914" s="4">
        <f>VALUE(SUBSTITUTE(MID($A914,F914+F$2+1,G914-F914-F$2-1),",","."))</f>
        <v>0</v>
      </c>
      <c r="Z914" s="3">
        <f>VALUE(SUBSTITUTE(MID($A914,G914+G$2+1,H914-G914-G$2-1),",","."))</f>
        <v>0</v>
      </c>
      <c r="AA914" s="3">
        <f>VALUE(SUBSTITUTE(MID($A914,H914+H$2+1,I914-H914-H$2-1),",","."))</f>
        <v>0</v>
      </c>
      <c r="AB914" s="3">
        <f>VALUE(SUBSTITUTE(MID($A914,I914+I$2+1,J914-I914-I$2-1),",","."))</f>
        <v>0</v>
      </c>
      <c r="AC914" s="3">
        <f>VALUE(SUBSTITUTE(MID($A914,J914+J$2+1,K914-J914-J$2-1),",","."))</f>
        <v>5.9499999999999904</v>
      </c>
      <c r="AD914" s="3">
        <f>VALUE(SUBSTITUTE(MID($A914,K914+K$2+1,L914-K914-K$2-1),",","."))</f>
        <v>49.86</v>
      </c>
      <c r="AE914" s="3">
        <f>VALUE(SUBSTITUTE(MID($A914,L914+L$2+1,M914-L914-L$2-1),",","."))</f>
        <v>0</v>
      </c>
      <c r="AF914" s="3">
        <f>VALUE(SUBSTITUTE(MID($A914,M914+M$2+1,N914-M914-M$2-1),",","."))</f>
        <v>0</v>
      </c>
      <c r="AG914" s="3">
        <f>VALUE(SUBSTITUTE(MID($A914,N914+N$2+1,O914-N914-N$2-1),",","."))</f>
        <v>4.2294423627207696</v>
      </c>
      <c r="AH914" t="str">
        <f>MID($A914,O914+O$2+1,P914-O914-O$2-1)</f>
        <v/>
      </c>
      <c r="AI914" s="8" t="str">
        <f>MID($A914,P914+P$2+1,Q914-P914-P$2-1)</f>
        <v>False</v>
      </c>
      <c r="AK914" t="b">
        <f t="shared" si="124"/>
        <v>0</v>
      </c>
    </row>
    <row r="915" spans="1:37" x14ac:dyDescent="0.35">
      <c r="A915" t="s">
        <v>5462</v>
      </c>
      <c r="B915">
        <f t="shared" si="126"/>
        <v>10</v>
      </c>
      <c r="C915">
        <f t="shared" si="126"/>
        <v>43</v>
      </c>
      <c r="D915">
        <f t="shared" si="126"/>
        <v>54</v>
      </c>
      <c r="E915">
        <f t="shared" si="125"/>
        <v>80</v>
      </c>
      <c r="F915">
        <f t="shared" si="125"/>
        <v>124</v>
      </c>
      <c r="G915">
        <f t="shared" si="125"/>
        <v>145</v>
      </c>
      <c r="H915">
        <f t="shared" si="125"/>
        <v>177</v>
      </c>
      <c r="I915">
        <f t="shared" si="125"/>
        <v>199</v>
      </c>
      <c r="J915">
        <f t="shared" si="125"/>
        <v>232</v>
      </c>
      <c r="K915">
        <f t="shared" si="125"/>
        <v>265</v>
      </c>
      <c r="L915">
        <f t="shared" si="125"/>
        <v>284</v>
      </c>
      <c r="M915">
        <f t="shared" si="125"/>
        <v>299</v>
      </c>
      <c r="N915">
        <f t="shared" si="119"/>
        <v>311</v>
      </c>
      <c r="O915">
        <f t="shared" si="119"/>
        <v>337</v>
      </c>
      <c r="P915">
        <f t="shared" si="119"/>
        <v>355</v>
      </c>
      <c r="Q915">
        <f t="shared" si="119"/>
        <v>381</v>
      </c>
      <c r="S915" t="str">
        <f t="shared" si="121"/>
        <v>06.12.2025</v>
      </c>
      <c r="T915" t="str">
        <f t="shared" si="122"/>
        <v>07:15:00</v>
      </c>
      <c r="U915" t="str">
        <f t="shared" si="123"/>
        <v>06.12.2025 07:15:00</v>
      </c>
      <c r="V915" s="9" t="str">
        <f>MID($A915,C915+C$2+1,D915-C915-C$2-1)</f>
        <v>0</v>
      </c>
      <c r="W915" s="4">
        <f>VALUE(SUBSTITUTE(MID($A915,D915+D$2+1,E915-D915-D$2-1),",","."))</f>
        <v>0</v>
      </c>
      <c r="X915" s="4">
        <f>VALUE(SUBSTITUTE(MID($A915,E915+E$2+1,F915-E915-E$2-1),",","."))</f>
        <v>0.90957602214449496</v>
      </c>
      <c r="Y915" s="4">
        <f>VALUE(SUBSTITUTE(MID($A915,F915+F$2+1,G915-F915-F$2-1),",","."))</f>
        <v>0</v>
      </c>
      <c r="Z915" s="3">
        <f>VALUE(SUBSTITUTE(MID($A915,G915+G$2+1,H915-G915-G$2-1),",","."))</f>
        <v>0</v>
      </c>
      <c r="AA915" s="3">
        <f>VALUE(SUBSTITUTE(MID($A915,H915+H$2+1,I915-H915-H$2-1),",","."))</f>
        <v>0</v>
      </c>
      <c r="AB915" s="3">
        <f>VALUE(SUBSTITUTE(MID($A915,I915+I$2+1,J915-I915-I$2-1),",","."))</f>
        <v>0</v>
      </c>
      <c r="AC915" s="3">
        <f>VALUE(SUBSTITUTE(MID($A915,J915+J$2+1,K915-J915-J$2-1),",","."))</f>
        <v>5.9499999999999904</v>
      </c>
      <c r="AD915" s="3">
        <f>VALUE(SUBSTITUTE(MID($A915,K915+K$2+1,L915-K915-K$2-1),",","."))</f>
        <v>49.86</v>
      </c>
      <c r="AE915" s="3">
        <f>VALUE(SUBSTITUTE(MID($A915,L915+L$2+1,M915-L915-L$2-1),",","."))</f>
        <v>0</v>
      </c>
      <c r="AF915" s="3">
        <f>VALUE(SUBSTITUTE(MID($A915,M915+M$2+1,N915-M915-M$2-1),",","."))</f>
        <v>0</v>
      </c>
      <c r="AG915" s="3">
        <f>VALUE(SUBSTITUTE(MID($A915,N915+N$2+1,O915-N915-N$2-1),",","."))</f>
        <v>4.2294708826088501</v>
      </c>
      <c r="AH915" t="str">
        <f>MID($A915,O915+O$2+1,P915-O915-O$2-1)</f>
        <v/>
      </c>
      <c r="AI915" s="8" t="str">
        <f>MID($A915,P915+P$2+1,Q915-P915-P$2-1)</f>
        <v>False</v>
      </c>
      <c r="AK915" t="b">
        <f t="shared" si="124"/>
        <v>0</v>
      </c>
    </row>
    <row r="916" spans="1:37" x14ac:dyDescent="0.35">
      <c r="A916" t="s">
        <v>5463</v>
      </c>
      <c r="B916">
        <f t="shared" si="126"/>
        <v>10</v>
      </c>
      <c r="C916">
        <f t="shared" si="126"/>
        <v>43</v>
      </c>
      <c r="D916">
        <f t="shared" si="126"/>
        <v>54</v>
      </c>
      <c r="E916">
        <f t="shared" si="125"/>
        <v>80</v>
      </c>
      <c r="F916">
        <f t="shared" si="125"/>
        <v>124</v>
      </c>
      <c r="G916">
        <f t="shared" si="125"/>
        <v>145</v>
      </c>
      <c r="H916">
        <f t="shared" si="125"/>
        <v>177</v>
      </c>
      <c r="I916">
        <f t="shared" si="125"/>
        <v>199</v>
      </c>
      <c r="J916">
        <f t="shared" si="125"/>
        <v>232</v>
      </c>
      <c r="K916">
        <f t="shared" si="125"/>
        <v>265</v>
      </c>
      <c r="L916">
        <f t="shared" si="125"/>
        <v>297</v>
      </c>
      <c r="M916">
        <f t="shared" si="125"/>
        <v>312</v>
      </c>
      <c r="N916">
        <f t="shared" si="119"/>
        <v>324</v>
      </c>
      <c r="O916">
        <f t="shared" si="119"/>
        <v>349</v>
      </c>
      <c r="P916">
        <f t="shared" si="119"/>
        <v>367</v>
      </c>
      <c r="Q916">
        <f t="shared" si="119"/>
        <v>393</v>
      </c>
      <c r="S916" t="str">
        <f t="shared" si="121"/>
        <v>06.12.2025</v>
      </c>
      <c r="T916" t="str">
        <f t="shared" si="122"/>
        <v>07:30:00</v>
      </c>
      <c r="U916" t="str">
        <f t="shared" si="123"/>
        <v>06.12.2025 07:30:00</v>
      </c>
      <c r="V916" s="9" t="str">
        <f>MID($A916,C916+C$2+1,D916-C916-C$2-1)</f>
        <v>0</v>
      </c>
      <c r="W916" s="4">
        <f>VALUE(SUBSTITUTE(MID($A916,D916+D$2+1,E916-D916-D$2-1),",","."))</f>
        <v>0</v>
      </c>
      <c r="X916" s="4">
        <f>VALUE(SUBSTITUTE(MID($A916,E916+E$2+1,F916-E916-E$2-1),",","."))</f>
        <v>0.90957602214449496</v>
      </c>
      <c r="Y916" s="4">
        <f>VALUE(SUBSTITUTE(MID($A916,F916+F$2+1,G916-F916-F$2-1),",","."))</f>
        <v>0</v>
      </c>
      <c r="Z916" s="3">
        <f>VALUE(SUBSTITUTE(MID($A916,G916+G$2+1,H916-G916-G$2-1),",","."))</f>
        <v>0</v>
      </c>
      <c r="AA916" s="3">
        <f>VALUE(SUBSTITUTE(MID($A916,H916+H$2+1,I916-H916-H$2-1),",","."))</f>
        <v>0</v>
      </c>
      <c r="AB916" s="3">
        <f>VALUE(SUBSTITUTE(MID($A916,I916+I$2+1,J916-I916-I$2-1),",","."))</f>
        <v>0</v>
      </c>
      <c r="AC916" s="3">
        <f>VALUE(SUBSTITUTE(MID($A916,J916+J$2+1,K916-J916-J$2-1),",","."))</f>
        <v>6.3</v>
      </c>
      <c r="AD916" s="3">
        <f>VALUE(SUBSTITUTE(MID($A916,K916+K$2+1,L916-K916-K$2-1),",","."))</f>
        <v>54.72</v>
      </c>
      <c r="AE916" s="3">
        <f>VALUE(SUBSTITUTE(MID($A916,L916+L$2+1,M916-L916-L$2-1),",","."))</f>
        <v>0</v>
      </c>
      <c r="AF916" s="3">
        <f>VALUE(SUBSTITUTE(MID($A916,M916+M$2+1,N916-M916-M$2-1),",","."))</f>
        <v>0</v>
      </c>
      <c r="AG916" s="3">
        <f>VALUE(SUBSTITUTE(MID($A916,N916+N$2+1,O916-N916-N$2-1),",","."))</f>
        <v>4.2294994024969297</v>
      </c>
      <c r="AH916" t="str">
        <f>MID($A916,O916+O$2+1,P916-O916-O$2-1)</f>
        <v/>
      </c>
      <c r="AI916" s="8" t="str">
        <f>MID($A916,P916+P$2+1,Q916-P916-P$2-1)</f>
        <v>False</v>
      </c>
      <c r="AK916" t="b">
        <f t="shared" si="124"/>
        <v>0</v>
      </c>
    </row>
    <row r="917" spans="1:37" x14ac:dyDescent="0.35">
      <c r="A917" t="s">
        <v>5464</v>
      </c>
      <c r="B917">
        <f t="shared" si="126"/>
        <v>10</v>
      </c>
      <c r="C917">
        <f t="shared" si="126"/>
        <v>43</v>
      </c>
      <c r="D917">
        <f t="shared" si="126"/>
        <v>54</v>
      </c>
      <c r="E917">
        <f t="shared" si="125"/>
        <v>80</v>
      </c>
      <c r="F917">
        <f t="shared" si="125"/>
        <v>124</v>
      </c>
      <c r="G917">
        <f t="shared" si="125"/>
        <v>145</v>
      </c>
      <c r="H917">
        <f t="shared" si="125"/>
        <v>177</v>
      </c>
      <c r="I917">
        <f t="shared" si="125"/>
        <v>199</v>
      </c>
      <c r="J917">
        <f t="shared" si="125"/>
        <v>232</v>
      </c>
      <c r="K917">
        <f t="shared" si="125"/>
        <v>265</v>
      </c>
      <c r="L917">
        <f t="shared" si="125"/>
        <v>297</v>
      </c>
      <c r="M917">
        <f t="shared" si="125"/>
        <v>312</v>
      </c>
      <c r="N917">
        <f t="shared" si="119"/>
        <v>324</v>
      </c>
      <c r="O917">
        <f t="shared" si="119"/>
        <v>349</v>
      </c>
      <c r="P917">
        <f t="shared" si="119"/>
        <v>367</v>
      </c>
      <c r="Q917">
        <f t="shared" si="119"/>
        <v>393</v>
      </c>
      <c r="S917" t="str">
        <f t="shared" si="121"/>
        <v>06.12.2025</v>
      </c>
      <c r="T917" t="str">
        <f t="shared" si="122"/>
        <v>07:45:00</v>
      </c>
      <c r="U917" t="str">
        <f t="shared" si="123"/>
        <v>06.12.2025 07:45:00</v>
      </c>
      <c r="V917" s="9" t="str">
        <f>MID($A917,C917+C$2+1,D917-C917-C$2-1)</f>
        <v>0</v>
      </c>
      <c r="W917" s="4">
        <f>VALUE(SUBSTITUTE(MID($A917,D917+D$2+1,E917-D917-D$2-1),",","."))</f>
        <v>0</v>
      </c>
      <c r="X917" s="4">
        <f>VALUE(SUBSTITUTE(MID($A917,E917+E$2+1,F917-E917-E$2-1),",","."))</f>
        <v>0.90957602214449496</v>
      </c>
      <c r="Y917" s="4">
        <f>VALUE(SUBSTITUTE(MID($A917,F917+F$2+1,G917-F917-F$2-1),",","."))</f>
        <v>0</v>
      </c>
      <c r="Z917" s="3">
        <f>VALUE(SUBSTITUTE(MID($A917,G917+G$2+1,H917-G917-G$2-1),",","."))</f>
        <v>0</v>
      </c>
      <c r="AA917" s="3">
        <f>VALUE(SUBSTITUTE(MID($A917,H917+H$2+1,I917-H917-H$2-1),",","."))</f>
        <v>0</v>
      </c>
      <c r="AB917" s="3">
        <f>VALUE(SUBSTITUTE(MID($A917,I917+I$2+1,J917-I917-I$2-1),",","."))</f>
        <v>0</v>
      </c>
      <c r="AC917" s="3">
        <f>VALUE(SUBSTITUTE(MID($A917,J917+J$2+1,K917-J917-J$2-1),",","."))</f>
        <v>6.3</v>
      </c>
      <c r="AD917" s="3">
        <f>VALUE(SUBSTITUTE(MID($A917,K917+K$2+1,L917-K917-K$2-1),",","."))</f>
        <v>54.72</v>
      </c>
      <c r="AE917" s="3">
        <f>VALUE(SUBSTITUTE(MID($A917,L917+L$2+1,M917-L917-L$2-1),",","."))</f>
        <v>0</v>
      </c>
      <c r="AF917" s="3">
        <f>VALUE(SUBSTITUTE(MID($A917,M917+M$2+1,N917-M917-M$2-1),",","."))</f>
        <v>0</v>
      </c>
      <c r="AG917" s="3">
        <f>VALUE(SUBSTITUTE(MID($A917,N917+N$2+1,O917-N917-N$2-1),",","."))</f>
        <v>4.2295279223850102</v>
      </c>
      <c r="AH917" t="str">
        <f>MID($A917,O917+O$2+1,P917-O917-O$2-1)</f>
        <v/>
      </c>
      <c r="AI917" s="8" t="str">
        <f>MID($A917,P917+P$2+1,Q917-P917-P$2-1)</f>
        <v>False</v>
      </c>
      <c r="AK917" t="b">
        <f t="shared" si="124"/>
        <v>0</v>
      </c>
    </row>
    <row r="918" spans="1:37" x14ac:dyDescent="0.35">
      <c r="A918" t="s">
        <v>5465</v>
      </c>
      <c r="B918">
        <f t="shared" si="126"/>
        <v>10</v>
      </c>
      <c r="C918">
        <f t="shared" si="126"/>
        <v>43</v>
      </c>
      <c r="D918">
        <f t="shared" si="126"/>
        <v>54</v>
      </c>
      <c r="E918">
        <f t="shared" si="125"/>
        <v>80</v>
      </c>
      <c r="F918">
        <f t="shared" si="125"/>
        <v>124</v>
      </c>
      <c r="G918">
        <f t="shared" si="125"/>
        <v>163</v>
      </c>
      <c r="H918">
        <f t="shared" si="125"/>
        <v>195</v>
      </c>
      <c r="I918">
        <f t="shared" si="125"/>
        <v>217</v>
      </c>
      <c r="J918">
        <f t="shared" si="125"/>
        <v>250</v>
      </c>
      <c r="K918">
        <f t="shared" si="125"/>
        <v>283</v>
      </c>
      <c r="L918">
        <f t="shared" si="125"/>
        <v>315</v>
      </c>
      <c r="M918">
        <f t="shared" si="125"/>
        <v>330</v>
      </c>
      <c r="N918">
        <f t="shared" si="119"/>
        <v>342</v>
      </c>
      <c r="O918">
        <f t="shared" si="119"/>
        <v>365</v>
      </c>
      <c r="P918">
        <f t="shared" si="119"/>
        <v>383</v>
      </c>
      <c r="Q918">
        <f t="shared" si="119"/>
        <v>409</v>
      </c>
      <c r="S918" t="str">
        <f t="shared" si="121"/>
        <v>06.12.2025</v>
      </c>
      <c r="T918" t="str">
        <f t="shared" si="122"/>
        <v>08:00:00</v>
      </c>
      <c r="U918" t="str">
        <f t="shared" si="123"/>
        <v>06.12.2025 08:00:00</v>
      </c>
      <c r="V918" s="9" t="str">
        <f>MID($A918,C918+C$2+1,D918-C918-C$2-1)</f>
        <v>0</v>
      </c>
      <c r="W918" s="4">
        <f>VALUE(SUBSTITUTE(MID($A918,D918+D$2+1,E918-D918-D$2-1),",","."))</f>
        <v>0</v>
      </c>
      <c r="X918" s="4">
        <f>VALUE(SUBSTITUTE(MID($A918,E918+E$2+1,F918-E918-E$2-1),",","."))</f>
        <v>0.90957602214449496</v>
      </c>
      <c r="Y918" s="4">
        <f>VALUE(SUBSTITUTE(MID($A918,F918+F$2+1,G918-F918-F$2-1),",","."))</f>
        <v>1.8237474842115301E-2</v>
      </c>
      <c r="Z918" s="3">
        <f>VALUE(SUBSTITUTE(MID($A918,G918+G$2+1,H918-G918-G$2-1),",","."))</f>
        <v>0</v>
      </c>
      <c r="AA918" s="3">
        <f>VALUE(SUBSTITUTE(MID($A918,H918+H$2+1,I918-H918-H$2-1),",","."))</f>
        <v>0</v>
      </c>
      <c r="AB918" s="3">
        <f>VALUE(SUBSTITUTE(MID($A918,I918+I$2+1,J918-I918-I$2-1),",","."))</f>
        <v>0</v>
      </c>
      <c r="AC918" s="3">
        <f>VALUE(SUBSTITUTE(MID($A918,J918+J$2+1,K918-J918-J$2-1),",","."))</f>
        <v>6.3</v>
      </c>
      <c r="AD918" s="3">
        <f>VALUE(SUBSTITUTE(MID($A918,K918+K$2+1,L918-K918-K$2-1),",","."))</f>
        <v>54.72</v>
      </c>
      <c r="AE918" s="3">
        <f>VALUE(SUBSTITUTE(MID($A918,L918+L$2+1,M918-L918-L$2-1),",","."))</f>
        <v>0</v>
      </c>
      <c r="AF918" s="3">
        <f>VALUE(SUBSTITUTE(MID($A918,M918+M$2+1,N918-M918-M$2-1),",","."))</f>
        <v>0</v>
      </c>
      <c r="AG918" s="3">
        <f>VALUE(SUBSTITUTE(MID($A918,N918+N$2+1,O918-N918-N$2-1),",","."))</f>
        <v>4.2295564422730996</v>
      </c>
      <c r="AH918" t="str">
        <f>MID($A918,O918+O$2+1,P918-O918-O$2-1)</f>
        <v/>
      </c>
      <c r="AI918" s="8" t="str">
        <f>MID($A918,P918+P$2+1,Q918-P918-P$2-1)</f>
        <v>False</v>
      </c>
      <c r="AK918" t="b">
        <f t="shared" si="124"/>
        <v>0</v>
      </c>
    </row>
    <row r="919" spans="1:37" x14ac:dyDescent="0.35">
      <c r="A919" t="s">
        <v>5466</v>
      </c>
      <c r="B919">
        <f t="shared" si="126"/>
        <v>10</v>
      </c>
      <c r="C919">
        <f t="shared" si="126"/>
        <v>43</v>
      </c>
      <c r="D919">
        <f t="shared" si="126"/>
        <v>54</v>
      </c>
      <c r="E919">
        <f t="shared" si="125"/>
        <v>97</v>
      </c>
      <c r="F919">
        <f t="shared" si="125"/>
        <v>141</v>
      </c>
      <c r="G919">
        <f t="shared" si="125"/>
        <v>180</v>
      </c>
      <c r="H919">
        <f t="shared" si="125"/>
        <v>212</v>
      </c>
      <c r="I919">
        <f t="shared" si="125"/>
        <v>234</v>
      </c>
      <c r="J919">
        <f t="shared" si="125"/>
        <v>267</v>
      </c>
      <c r="K919">
        <f t="shared" si="125"/>
        <v>300</v>
      </c>
      <c r="L919">
        <f t="shared" si="125"/>
        <v>332</v>
      </c>
      <c r="M919">
        <f t="shared" si="125"/>
        <v>347</v>
      </c>
      <c r="N919">
        <f t="shared" si="119"/>
        <v>359</v>
      </c>
      <c r="O919">
        <f t="shared" si="119"/>
        <v>384</v>
      </c>
      <c r="P919">
        <f t="shared" si="119"/>
        <v>402</v>
      </c>
      <c r="Q919">
        <f t="shared" si="119"/>
        <v>428</v>
      </c>
      <c r="S919" t="str">
        <f t="shared" si="121"/>
        <v>06.12.2025</v>
      </c>
      <c r="T919" t="str">
        <f t="shared" si="122"/>
        <v>08:15:00</v>
      </c>
      <c r="U919" t="str">
        <f t="shared" si="123"/>
        <v>06.12.2025 08:15:00</v>
      </c>
      <c r="V919" s="9" t="str">
        <f>MID($A919,C919+C$2+1,D919-C919-C$2-1)</f>
        <v>0</v>
      </c>
      <c r="W919" s="4">
        <f>VALUE(SUBSTITUTE(MID($A919,D919+D$2+1,E919-D919-D$2-1),",","."))</f>
        <v>0.53526031664225204</v>
      </c>
      <c r="X919" s="4">
        <f>VALUE(SUBSTITUTE(MID($A919,E919+E$2+1,F919-E919-E$2-1),",","."))</f>
        <v>0.90957602214449496</v>
      </c>
      <c r="Y919" s="4">
        <f>VALUE(SUBSTITUTE(MID($A919,F919+F$2+1,G919-F919-F$2-1),",","."))</f>
        <v>5.1019574422573398E-2</v>
      </c>
      <c r="Z919" s="3">
        <f>VALUE(SUBSTITUTE(MID($A919,G919+G$2+1,H919-G919-G$2-1),",","."))</f>
        <v>0</v>
      </c>
      <c r="AA919" s="3">
        <f>VALUE(SUBSTITUTE(MID($A919,H919+H$2+1,I919-H919-H$2-1),",","."))</f>
        <v>0</v>
      </c>
      <c r="AB919" s="3">
        <f>VALUE(SUBSTITUTE(MID($A919,I919+I$2+1,J919-I919-I$2-1),",","."))</f>
        <v>0</v>
      </c>
      <c r="AC919" s="3">
        <f>VALUE(SUBSTITUTE(MID($A919,J919+J$2+1,K919-J919-J$2-1),",","."))</f>
        <v>6.3</v>
      </c>
      <c r="AD919" s="3">
        <f>VALUE(SUBSTITUTE(MID($A919,K919+K$2+1,L919-K919-K$2-1),",","."))</f>
        <v>54.72</v>
      </c>
      <c r="AE919" s="3">
        <f>VALUE(SUBSTITUTE(MID($A919,L919+L$2+1,M919-L919-L$2-1),",","."))</f>
        <v>0</v>
      </c>
      <c r="AF919" s="3">
        <f>VALUE(SUBSTITUTE(MID($A919,M919+M$2+1,N919-M919-M$2-1),",","."))</f>
        <v>0</v>
      </c>
      <c r="AG919" s="3">
        <f>VALUE(SUBSTITUTE(MID($A919,N919+N$2+1,O919-N919-N$2-1),",","."))</f>
        <v>4.2295849621611801</v>
      </c>
      <c r="AH919" t="str">
        <f>MID($A919,O919+O$2+1,P919-O919-O$2-1)</f>
        <v/>
      </c>
      <c r="AI919" s="8" t="str">
        <f>MID($A919,P919+P$2+1,Q919-P919-P$2-1)</f>
        <v>False</v>
      </c>
      <c r="AK919" t="b">
        <f t="shared" si="124"/>
        <v>0</v>
      </c>
    </row>
    <row r="920" spans="1:37" x14ac:dyDescent="0.35">
      <c r="A920" t="s">
        <v>5467</v>
      </c>
      <c r="B920">
        <f t="shared" si="126"/>
        <v>10</v>
      </c>
      <c r="C920">
        <f t="shared" si="126"/>
        <v>43</v>
      </c>
      <c r="D920">
        <f t="shared" si="126"/>
        <v>54</v>
      </c>
      <c r="E920">
        <f t="shared" si="125"/>
        <v>97</v>
      </c>
      <c r="F920">
        <f t="shared" si="125"/>
        <v>141</v>
      </c>
      <c r="G920">
        <f t="shared" si="125"/>
        <v>180</v>
      </c>
      <c r="H920">
        <f t="shared" si="125"/>
        <v>216</v>
      </c>
      <c r="I920">
        <f t="shared" si="125"/>
        <v>238</v>
      </c>
      <c r="J920">
        <f t="shared" si="125"/>
        <v>274</v>
      </c>
      <c r="K920">
        <f t="shared" si="125"/>
        <v>294</v>
      </c>
      <c r="L920">
        <f t="shared" si="125"/>
        <v>313</v>
      </c>
      <c r="M920">
        <f t="shared" si="125"/>
        <v>328</v>
      </c>
      <c r="N920">
        <f t="shared" si="119"/>
        <v>340</v>
      </c>
      <c r="O920">
        <f t="shared" si="119"/>
        <v>365</v>
      </c>
      <c r="P920">
        <f t="shared" si="119"/>
        <v>383</v>
      </c>
      <c r="Q920">
        <f t="shared" si="119"/>
        <v>409</v>
      </c>
      <c r="S920" t="str">
        <f t="shared" si="121"/>
        <v>06.12.2025</v>
      </c>
      <c r="T920" t="str">
        <f t="shared" si="122"/>
        <v>08:30:00</v>
      </c>
      <c r="U920" t="str">
        <f t="shared" si="123"/>
        <v>06.12.2025 08:30:00</v>
      </c>
      <c r="V920" s="9" t="str">
        <f>MID($A920,C920+C$2+1,D920-C920-C$2-1)</f>
        <v>0</v>
      </c>
      <c r="W920" s="4">
        <f>VALUE(SUBSTITUTE(MID($A920,D920+D$2+1,E920-D920-D$2-1),",","."))</f>
        <v>0.574946255304571</v>
      </c>
      <c r="X920" s="4">
        <f>VALUE(SUBSTITUTE(MID($A920,E920+E$2+1,F920-E920-E$2-1),",","."))</f>
        <v>0.90957602214449496</v>
      </c>
      <c r="Y920" s="4">
        <f>VALUE(SUBSTITUTE(MID($A920,F920+F$2+1,G920-F920-F$2-1),",","."))</f>
        <v>8.3867653005285606E-2</v>
      </c>
      <c r="Z920" s="3">
        <f>VALUE(SUBSTITUTE(MID($A920,G920+G$2+1,H920-G920-G$2-1),",","."))</f>
        <v>221.5</v>
      </c>
      <c r="AA920" s="3">
        <f>VALUE(SUBSTITUTE(MID($A920,H920+H$2+1,I920-H920-H$2-1),",","."))</f>
        <v>0</v>
      </c>
      <c r="AB920" s="3">
        <f>VALUE(SUBSTITUTE(MID($A920,I920+I$2+1,J920-I920-I$2-1),",","."))</f>
        <v>17.5</v>
      </c>
      <c r="AC920" s="3">
        <f>VALUE(SUBSTITUTE(MID($A920,J920+J$2+1,K920-J920-J$2-1),",","."))</f>
        <v>6.65</v>
      </c>
      <c r="AD920" s="3">
        <f>VALUE(SUBSTITUTE(MID($A920,K920+K$2+1,L920-K920-K$2-1),",","."))</f>
        <v>59.22</v>
      </c>
      <c r="AE920" s="3">
        <f>VALUE(SUBSTITUTE(MID($A920,L920+L$2+1,M920-L920-L$2-1),",","."))</f>
        <v>0</v>
      </c>
      <c r="AF920" s="3">
        <f>VALUE(SUBSTITUTE(MID($A920,M920+M$2+1,N920-M920-M$2-1),",","."))</f>
        <v>0</v>
      </c>
      <c r="AG920" s="3">
        <f>VALUE(SUBSTITUTE(MID($A920,N920+N$2+1,O920-N920-N$2-1),",","."))</f>
        <v>4.2296134820492597</v>
      </c>
      <c r="AH920" t="str">
        <f>MID($A920,O920+O$2+1,P920-O920-O$2-1)</f>
        <v/>
      </c>
      <c r="AI920" s="8" t="str">
        <f>MID($A920,P920+P$2+1,Q920-P920-P$2-1)</f>
        <v>False</v>
      </c>
      <c r="AK920" t="b">
        <f t="shared" si="124"/>
        <v>0</v>
      </c>
    </row>
    <row r="921" spans="1:37" x14ac:dyDescent="0.35">
      <c r="A921" t="s">
        <v>5468</v>
      </c>
      <c r="B921">
        <f t="shared" si="126"/>
        <v>10</v>
      </c>
      <c r="C921">
        <f t="shared" si="126"/>
        <v>43</v>
      </c>
      <c r="D921">
        <f t="shared" si="126"/>
        <v>54</v>
      </c>
      <c r="E921">
        <f t="shared" si="125"/>
        <v>97</v>
      </c>
      <c r="F921">
        <f t="shared" si="125"/>
        <v>141</v>
      </c>
      <c r="G921">
        <f t="shared" si="125"/>
        <v>180</v>
      </c>
      <c r="H921">
        <f t="shared" si="125"/>
        <v>216</v>
      </c>
      <c r="I921">
        <f t="shared" si="125"/>
        <v>238</v>
      </c>
      <c r="J921">
        <f t="shared" si="125"/>
        <v>274</v>
      </c>
      <c r="K921">
        <f t="shared" si="125"/>
        <v>294</v>
      </c>
      <c r="L921">
        <f t="shared" si="125"/>
        <v>313</v>
      </c>
      <c r="M921">
        <f t="shared" si="125"/>
        <v>328</v>
      </c>
      <c r="N921">
        <f t="shared" si="119"/>
        <v>340</v>
      </c>
      <c r="O921">
        <f t="shared" si="119"/>
        <v>365</v>
      </c>
      <c r="P921">
        <f t="shared" si="119"/>
        <v>383</v>
      </c>
      <c r="Q921">
        <f t="shared" si="119"/>
        <v>409</v>
      </c>
      <c r="S921" t="str">
        <f t="shared" si="121"/>
        <v>06.12.2025</v>
      </c>
      <c r="T921" t="str">
        <f t="shared" si="122"/>
        <v>08:45:00</v>
      </c>
      <c r="U921" t="str">
        <f t="shared" si="123"/>
        <v>06.12.2025 08:45:00</v>
      </c>
      <c r="V921" s="9" t="str">
        <f>MID($A921,C921+C$2+1,D921-C921-C$2-1)</f>
        <v>0</v>
      </c>
      <c r="W921" s="4">
        <f>VALUE(SUBSTITUTE(MID($A921,D921+D$2+1,E921-D921-D$2-1),",","."))</f>
        <v>0.612267692381262</v>
      </c>
      <c r="X921" s="4">
        <f>VALUE(SUBSTITUTE(MID($A921,E921+E$2+1,F921-E921-E$2-1),",","."))</f>
        <v>0.90957602214449496</v>
      </c>
      <c r="Y921" s="4">
        <f>VALUE(SUBSTITUTE(MID($A921,F921+F$2+1,G921-F921-F$2-1),",","."))</f>
        <v>0.115738212921065</v>
      </c>
      <c r="Z921" s="3">
        <f>VALUE(SUBSTITUTE(MID($A921,G921+G$2+1,H921-G921-G$2-1),",","."))</f>
        <v>221.5</v>
      </c>
      <c r="AA921" s="3">
        <f>VALUE(SUBSTITUTE(MID($A921,H921+H$2+1,I921-H921-H$2-1),",","."))</f>
        <v>0</v>
      </c>
      <c r="AB921" s="3">
        <f>VALUE(SUBSTITUTE(MID($A921,I921+I$2+1,J921-I921-I$2-1),",","."))</f>
        <v>17.5</v>
      </c>
      <c r="AC921" s="3">
        <f>VALUE(SUBSTITUTE(MID($A921,J921+J$2+1,K921-J921-J$2-1),",","."))</f>
        <v>6.65</v>
      </c>
      <c r="AD921" s="3">
        <f>VALUE(SUBSTITUTE(MID($A921,K921+K$2+1,L921-K921-K$2-1),",","."))</f>
        <v>59.22</v>
      </c>
      <c r="AE921" s="3">
        <f>VALUE(SUBSTITUTE(MID($A921,L921+L$2+1,M921-L921-L$2-1),",","."))</f>
        <v>0</v>
      </c>
      <c r="AF921" s="3">
        <f>VALUE(SUBSTITUTE(MID($A921,M921+M$2+1,N921-M921-M$2-1),",","."))</f>
        <v>0</v>
      </c>
      <c r="AG921" s="3">
        <f>VALUE(SUBSTITUTE(MID($A921,N921+N$2+1,O921-N921-N$2-1),",","."))</f>
        <v>4.2296420019373402</v>
      </c>
      <c r="AH921" t="str">
        <f>MID($A921,O921+O$2+1,P921-O921-O$2-1)</f>
        <v/>
      </c>
      <c r="AI921" s="8" t="str">
        <f>MID($A921,P921+P$2+1,Q921-P921-P$2-1)</f>
        <v>False</v>
      </c>
      <c r="AK921" t="b">
        <f t="shared" si="124"/>
        <v>0</v>
      </c>
    </row>
    <row r="922" spans="1:37" x14ac:dyDescent="0.35">
      <c r="A922" t="s">
        <v>5469</v>
      </c>
      <c r="B922">
        <f t="shared" si="126"/>
        <v>10</v>
      </c>
      <c r="C922">
        <f t="shared" si="126"/>
        <v>43</v>
      </c>
      <c r="D922">
        <f t="shared" si="126"/>
        <v>54</v>
      </c>
      <c r="E922">
        <f t="shared" si="125"/>
        <v>97</v>
      </c>
      <c r="F922">
        <f t="shared" si="125"/>
        <v>141</v>
      </c>
      <c r="G922">
        <f t="shared" si="125"/>
        <v>180</v>
      </c>
      <c r="H922">
        <f t="shared" si="125"/>
        <v>216</v>
      </c>
      <c r="I922">
        <f t="shared" si="125"/>
        <v>238</v>
      </c>
      <c r="J922">
        <f t="shared" si="125"/>
        <v>274</v>
      </c>
      <c r="K922">
        <f t="shared" si="125"/>
        <v>294</v>
      </c>
      <c r="L922">
        <f t="shared" si="125"/>
        <v>313</v>
      </c>
      <c r="M922">
        <f t="shared" si="125"/>
        <v>328</v>
      </c>
      <c r="N922">
        <f t="shared" si="119"/>
        <v>340</v>
      </c>
      <c r="O922">
        <f t="shared" si="119"/>
        <v>365</v>
      </c>
      <c r="P922">
        <f t="shared" si="119"/>
        <v>383</v>
      </c>
      <c r="Q922">
        <f t="shared" si="119"/>
        <v>409</v>
      </c>
      <c r="S922" t="str">
        <f t="shared" si="121"/>
        <v>06.12.2025</v>
      </c>
      <c r="T922" t="str">
        <f t="shared" si="122"/>
        <v>09:00:00</v>
      </c>
      <c r="U922" t="str">
        <f t="shared" si="123"/>
        <v>06.12.2025 09:00:00</v>
      </c>
      <c r="V922" s="9" t="str">
        <f>MID($A922,C922+C$2+1,D922-C922-C$2-1)</f>
        <v>0</v>
      </c>
      <c r="W922" s="4">
        <f>VALUE(SUBSTITUTE(MID($A922,D922+D$2+1,E922-D922-D$2-1),",","."))</f>
        <v>0.64680311951930303</v>
      </c>
      <c r="X922" s="4">
        <f>VALUE(SUBSTITUTE(MID($A922,E922+E$2+1,F922-E922-E$2-1),",","."))</f>
        <v>0.90957602214449496</v>
      </c>
      <c r="Y922" s="4">
        <f>VALUE(SUBSTITUTE(MID($A922,F922+F$2+1,G922-F922-F$2-1),",","."))</f>
        <v>0.146182352356236</v>
      </c>
      <c r="Z922" s="3">
        <f>VALUE(SUBSTITUTE(MID($A922,G922+G$2+1,H922-G922-G$2-1),",","."))</f>
        <v>221.5</v>
      </c>
      <c r="AA922" s="3">
        <f>VALUE(SUBSTITUTE(MID($A922,H922+H$2+1,I922-H922-H$2-1),",","."))</f>
        <v>0</v>
      </c>
      <c r="AB922" s="3">
        <f>VALUE(SUBSTITUTE(MID($A922,I922+I$2+1,J922-I922-I$2-1),",","."))</f>
        <v>17.5</v>
      </c>
      <c r="AC922" s="3">
        <f>VALUE(SUBSTITUTE(MID($A922,J922+J$2+1,K922-J922-J$2-1),",","."))</f>
        <v>6.65</v>
      </c>
      <c r="AD922" s="3">
        <f>VALUE(SUBSTITUTE(MID($A922,K922+K$2+1,L922-K922-K$2-1),",","."))</f>
        <v>59.22</v>
      </c>
      <c r="AE922" s="3">
        <f>VALUE(SUBSTITUTE(MID($A922,L922+L$2+1,M922-L922-L$2-1),",","."))</f>
        <v>0</v>
      </c>
      <c r="AF922" s="3">
        <f>VALUE(SUBSTITUTE(MID($A922,M922+M$2+1,N922-M922-M$2-1),",","."))</f>
        <v>0</v>
      </c>
      <c r="AG922" s="3">
        <f>VALUE(SUBSTITUTE(MID($A922,N922+N$2+1,O922-N922-N$2-1),",","."))</f>
        <v>4.2296705218254198</v>
      </c>
      <c r="AH922" t="str">
        <f>MID($A922,O922+O$2+1,P922-O922-O$2-1)</f>
        <v/>
      </c>
      <c r="AI922" s="8" t="str">
        <f>MID($A922,P922+P$2+1,Q922-P922-P$2-1)</f>
        <v>False</v>
      </c>
      <c r="AK922" t="b">
        <f t="shared" si="124"/>
        <v>0</v>
      </c>
    </row>
    <row r="923" spans="1:37" x14ac:dyDescent="0.35">
      <c r="A923" t="s">
        <v>5470</v>
      </c>
      <c r="B923">
        <f t="shared" si="126"/>
        <v>10</v>
      </c>
      <c r="C923">
        <f t="shared" si="126"/>
        <v>43</v>
      </c>
      <c r="D923">
        <f t="shared" si="126"/>
        <v>54</v>
      </c>
      <c r="E923">
        <f t="shared" si="125"/>
        <v>97</v>
      </c>
      <c r="F923">
        <f t="shared" si="125"/>
        <v>141</v>
      </c>
      <c r="G923">
        <f t="shared" si="125"/>
        <v>179</v>
      </c>
      <c r="H923">
        <f t="shared" si="125"/>
        <v>215</v>
      </c>
      <c r="I923">
        <f t="shared" si="125"/>
        <v>237</v>
      </c>
      <c r="J923">
        <f t="shared" si="125"/>
        <v>273</v>
      </c>
      <c r="K923">
        <f t="shared" si="125"/>
        <v>293</v>
      </c>
      <c r="L923">
        <f t="shared" si="125"/>
        <v>312</v>
      </c>
      <c r="M923">
        <f t="shared" si="125"/>
        <v>327</v>
      </c>
      <c r="N923">
        <f t="shared" si="119"/>
        <v>339</v>
      </c>
      <c r="O923">
        <f t="shared" si="119"/>
        <v>364</v>
      </c>
      <c r="P923">
        <f t="shared" si="119"/>
        <v>382</v>
      </c>
      <c r="Q923">
        <f t="shared" si="119"/>
        <v>408</v>
      </c>
      <c r="S923" t="str">
        <f t="shared" si="121"/>
        <v>06.12.2025</v>
      </c>
      <c r="T923" t="str">
        <f t="shared" si="122"/>
        <v>09:15:00</v>
      </c>
      <c r="U923" t="str">
        <f t="shared" si="123"/>
        <v>06.12.2025 09:15:00</v>
      </c>
      <c r="V923" s="9" t="str">
        <f>MID($A923,C923+C$2+1,D923-C923-C$2-1)</f>
        <v>0</v>
      </c>
      <c r="W923" s="4">
        <f>VALUE(SUBSTITUTE(MID($A923,D923+D$2+1,E923-D923-D$2-1),",","."))</f>
        <v>0.67829938673094303</v>
      </c>
      <c r="X923" s="4">
        <f>VALUE(SUBSTITUTE(MID($A923,E923+E$2+1,F923-E923-E$2-1),",","."))</f>
        <v>0.90957602214449496</v>
      </c>
      <c r="Y923" s="4">
        <f>VALUE(SUBSTITUTE(MID($A923,F923+F$2+1,G923-F923-F$2-1),",","."))</f>
        <v>0.174943616924463</v>
      </c>
      <c r="Z923" s="3">
        <f>VALUE(SUBSTITUTE(MID($A923,G923+G$2+1,H923-G923-G$2-1),",","."))</f>
        <v>221.5</v>
      </c>
      <c r="AA923" s="3">
        <f>VALUE(SUBSTITUTE(MID($A923,H923+H$2+1,I923-H923-H$2-1),",","."))</f>
        <v>0</v>
      </c>
      <c r="AB923" s="3">
        <f>VALUE(SUBSTITUTE(MID($A923,I923+I$2+1,J923-I923-I$2-1),",","."))</f>
        <v>17.5</v>
      </c>
      <c r="AC923" s="3">
        <f>VALUE(SUBSTITUTE(MID($A923,J923+J$2+1,K923-J923-J$2-1),",","."))</f>
        <v>6.65</v>
      </c>
      <c r="AD923" s="3">
        <f>VALUE(SUBSTITUTE(MID($A923,K923+K$2+1,L923-K923-K$2-1),",","."))</f>
        <v>59.22</v>
      </c>
      <c r="AE923" s="3">
        <f>VALUE(SUBSTITUTE(MID($A923,L923+L$2+1,M923-L923-L$2-1),",","."))</f>
        <v>0</v>
      </c>
      <c r="AF923" s="3">
        <f>VALUE(SUBSTITUTE(MID($A923,M923+M$2+1,N923-M923-M$2-1),",","."))</f>
        <v>0</v>
      </c>
      <c r="AG923" s="3">
        <f>VALUE(SUBSTITUTE(MID($A923,N923+N$2+1,O923-N923-N$2-1),",","."))</f>
        <v>4.2296990417135003</v>
      </c>
      <c r="AH923" t="str">
        <f>MID($A923,O923+O$2+1,P923-O923-O$2-1)</f>
        <v/>
      </c>
      <c r="AI923" s="8" t="str">
        <f>MID($A923,P923+P$2+1,Q923-P923-P$2-1)</f>
        <v>False</v>
      </c>
      <c r="AK923" t="b">
        <f t="shared" si="124"/>
        <v>0</v>
      </c>
    </row>
    <row r="924" spans="1:37" x14ac:dyDescent="0.35">
      <c r="A924" t="s">
        <v>5471</v>
      </c>
      <c r="B924">
        <f t="shared" si="126"/>
        <v>10</v>
      </c>
      <c r="C924">
        <f t="shared" si="126"/>
        <v>43</v>
      </c>
      <c r="D924">
        <f t="shared" si="126"/>
        <v>54</v>
      </c>
      <c r="E924">
        <f t="shared" si="125"/>
        <v>97</v>
      </c>
      <c r="F924">
        <f t="shared" si="125"/>
        <v>141</v>
      </c>
      <c r="G924">
        <f t="shared" si="125"/>
        <v>180</v>
      </c>
      <c r="H924">
        <f t="shared" si="125"/>
        <v>229</v>
      </c>
      <c r="I924">
        <f t="shared" si="125"/>
        <v>251</v>
      </c>
      <c r="J924">
        <f t="shared" si="125"/>
        <v>287</v>
      </c>
      <c r="K924">
        <f t="shared" si="125"/>
        <v>304</v>
      </c>
      <c r="L924">
        <f t="shared" si="125"/>
        <v>323</v>
      </c>
      <c r="M924">
        <f t="shared" si="125"/>
        <v>338</v>
      </c>
      <c r="N924">
        <f t="shared" si="119"/>
        <v>350</v>
      </c>
      <c r="O924">
        <f t="shared" si="119"/>
        <v>375</v>
      </c>
      <c r="P924">
        <f t="shared" si="119"/>
        <v>393</v>
      </c>
      <c r="Q924">
        <f t="shared" si="119"/>
        <v>419</v>
      </c>
      <c r="S924" t="str">
        <f t="shared" si="121"/>
        <v>06.12.2025</v>
      </c>
      <c r="T924" t="str">
        <f t="shared" si="122"/>
        <v>09:30:00</v>
      </c>
      <c r="U924" t="str">
        <f t="shared" si="123"/>
        <v>06.12.2025 09:30:00</v>
      </c>
      <c r="V924" s="9" t="str">
        <f>MID($A924,C924+C$2+1,D924-C924-C$2-1)</f>
        <v>0</v>
      </c>
      <c r="W924" s="4">
        <f>VALUE(SUBSTITUTE(MID($A924,D924+D$2+1,E924-D924-D$2-1),",","."))</f>
        <v>0.70657249536793798</v>
      </c>
      <c r="X924" s="4">
        <f>VALUE(SUBSTITUTE(MID($A924,E924+E$2+1,F924-E924-E$2-1),",","."))</f>
        <v>0.90957602214449496</v>
      </c>
      <c r="Y924" s="4">
        <f>VALUE(SUBSTITUTE(MID($A924,F924+F$2+1,G924-F924-F$2-1),",","."))</f>
        <v>0.201839836252063</v>
      </c>
      <c r="Z924" s="3">
        <f>VALUE(SUBSTITUTE(MID($A924,G924+G$2+1,H924-G924-G$2-1),",","."))</f>
        <v>373.98333333333301</v>
      </c>
      <c r="AA924" s="3">
        <f>VALUE(SUBSTITUTE(MID($A924,H924+H$2+1,I924-H924-H$2-1),",","."))</f>
        <v>0</v>
      </c>
      <c r="AB924" s="3">
        <f>VALUE(SUBSTITUTE(MID($A924,I924+I$2+1,J924-I924-I$2-1),",","."))</f>
        <v>52.5</v>
      </c>
      <c r="AC924" s="3">
        <f>VALUE(SUBSTITUTE(MID($A924,J924+J$2+1,K924-J924-J$2-1),",","."))</f>
        <v>7</v>
      </c>
      <c r="AD924" s="3">
        <f>VALUE(SUBSTITUTE(MID($A924,K924+K$2+1,L924-K924-K$2-1),",","."))</f>
        <v>64.44</v>
      </c>
      <c r="AE924" s="3">
        <f>VALUE(SUBSTITUTE(MID($A924,L924+L$2+1,M924-L924-L$2-1),",","."))</f>
        <v>0</v>
      </c>
      <c r="AF924" s="3">
        <f>VALUE(SUBSTITUTE(MID($A924,M924+M$2+1,N924-M924-M$2-1),",","."))</f>
        <v>0</v>
      </c>
      <c r="AG924" s="3">
        <f>VALUE(SUBSTITUTE(MID($A924,N924+N$2+1,O924-N924-N$2-1),",","."))</f>
        <v>4.2297275616015799</v>
      </c>
      <c r="AH924" t="str">
        <f>MID($A924,O924+O$2+1,P924-O924-O$2-1)</f>
        <v/>
      </c>
      <c r="AI924" s="8" t="str">
        <f>MID($A924,P924+P$2+1,Q924-P924-P$2-1)</f>
        <v>False</v>
      </c>
      <c r="AK924" t="b">
        <f t="shared" si="124"/>
        <v>0</v>
      </c>
    </row>
    <row r="925" spans="1:37" x14ac:dyDescent="0.35">
      <c r="A925" t="s">
        <v>5472</v>
      </c>
      <c r="B925">
        <f t="shared" si="126"/>
        <v>10</v>
      </c>
      <c r="C925">
        <f t="shared" si="126"/>
        <v>43</v>
      </c>
      <c r="D925">
        <f t="shared" si="126"/>
        <v>54</v>
      </c>
      <c r="E925">
        <f t="shared" si="125"/>
        <v>97</v>
      </c>
      <c r="F925">
        <f t="shared" si="125"/>
        <v>141</v>
      </c>
      <c r="G925">
        <f t="shared" si="125"/>
        <v>180</v>
      </c>
      <c r="H925">
        <f t="shared" si="125"/>
        <v>229</v>
      </c>
      <c r="I925">
        <f t="shared" si="125"/>
        <v>251</v>
      </c>
      <c r="J925">
        <f t="shared" si="125"/>
        <v>287</v>
      </c>
      <c r="K925">
        <f t="shared" si="125"/>
        <v>304</v>
      </c>
      <c r="L925">
        <f t="shared" si="125"/>
        <v>323</v>
      </c>
      <c r="M925">
        <f t="shared" si="125"/>
        <v>338</v>
      </c>
      <c r="N925">
        <f t="shared" si="119"/>
        <v>350</v>
      </c>
      <c r="O925">
        <f t="shared" si="119"/>
        <v>374</v>
      </c>
      <c r="P925">
        <f t="shared" si="119"/>
        <v>392</v>
      </c>
      <c r="Q925">
        <f t="shared" si="119"/>
        <v>418</v>
      </c>
      <c r="S925" t="str">
        <f t="shared" si="121"/>
        <v>06.12.2025</v>
      </c>
      <c r="T925" t="str">
        <f t="shared" si="122"/>
        <v>09:45:00</v>
      </c>
      <c r="U925" t="str">
        <f t="shared" si="123"/>
        <v>06.12.2025 09:45:00</v>
      </c>
      <c r="V925" s="9" t="str">
        <f>MID($A925,C925+C$2+1,D925-C925-C$2-1)</f>
        <v>0</v>
      </c>
      <c r="W925" s="4">
        <f>VALUE(SUBSTITUTE(MID($A925,D925+D$2+1,E925-D925-D$2-1),",","."))</f>
        <v>0.73147570941367002</v>
      </c>
      <c r="X925" s="4">
        <f>VALUE(SUBSTITUTE(MID($A925,E925+E$2+1,F925-E925-E$2-1),",","."))</f>
        <v>0.90957602214449496</v>
      </c>
      <c r="Y925" s="4">
        <f>VALUE(SUBSTITUTE(MID($A925,F925+F$2+1,G925-F925-F$2-1),",","."))</f>
        <v>0.22672491939742101</v>
      </c>
      <c r="Z925" s="3">
        <f>VALUE(SUBSTITUTE(MID($A925,G925+G$2+1,H925-G925-G$2-1),",","."))</f>
        <v>373.98333333333301</v>
      </c>
      <c r="AA925" s="3">
        <f>VALUE(SUBSTITUTE(MID($A925,H925+H$2+1,I925-H925-H$2-1),",","."))</f>
        <v>0</v>
      </c>
      <c r="AB925" s="3">
        <f>VALUE(SUBSTITUTE(MID($A925,I925+I$2+1,J925-I925-I$2-1),",","."))</f>
        <v>52.5</v>
      </c>
      <c r="AC925" s="3">
        <f>VALUE(SUBSTITUTE(MID($A925,J925+J$2+1,K925-J925-J$2-1),",","."))</f>
        <v>7</v>
      </c>
      <c r="AD925" s="3">
        <f>VALUE(SUBSTITUTE(MID($A925,K925+K$2+1,L925-K925-K$2-1),",","."))</f>
        <v>64.44</v>
      </c>
      <c r="AE925" s="3">
        <f>VALUE(SUBSTITUTE(MID($A925,L925+L$2+1,M925-L925-L$2-1),",","."))</f>
        <v>0</v>
      </c>
      <c r="AF925" s="3">
        <f>VALUE(SUBSTITUTE(MID($A925,M925+M$2+1,N925-M925-M$2-1),",","."))</f>
        <v>0</v>
      </c>
      <c r="AG925" s="3">
        <f>VALUE(SUBSTITUTE(MID($A925,N925+N$2+1,O925-N925-N$2-1),",","."))</f>
        <v>4.2297560814896702</v>
      </c>
      <c r="AH925" t="str">
        <f>MID($A925,O925+O$2+1,P925-O925-O$2-1)</f>
        <v/>
      </c>
      <c r="AI925" s="8" t="str">
        <f>MID($A925,P925+P$2+1,Q925-P925-P$2-1)</f>
        <v>False</v>
      </c>
      <c r="AK925" t="b">
        <f t="shared" si="124"/>
        <v>0</v>
      </c>
    </row>
    <row r="926" spans="1:37" x14ac:dyDescent="0.35">
      <c r="A926" t="s">
        <v>5473</v>
      </c>
      <c r="B926">
        <f t="shared" si="126"/>
        <v>10</v>
      </c>
      <c r="C926">
        <f t="shared" si="126"/>
        <v>43</v>
      </c>
      <c r="D926">
        <f t="shared" si="126"/>
        <v>54</v>
      </c>
      <c r="E926">
        <f t="shared" si="125"/>
        <v>97</v>
      </c>
      <c r="F926">
        <f t="shared" si="125"/>
        <v>141</v>
      </c>
      <c r="G926">
        <f t="shared" si="125"/>
        <v>180</v>
      </c>
      <c r="H926">
        <f t="shared" si="125"/>
        <v>229</v>
      </c>
      <c r="I926">
        <f t="shared" si="125"/>
        <v>251</v>
      </c>
      <c r="J926">
        <f t="shared" si="125"/>
        <v>287</v>
      </c>
      <c r="K926">
        <f t="shared" si="125"/>
        <v>304</v>
      </c>
      <c r="L926">
        <f t="shared" si="125"/>
        <v>323</v>
      </c>
      <c r="M926">
        <f t="shared" si="125"/>
        <v>338</v>
      </c>
      <c r="N926">
        <f t="shared" si="119"/>
        <v>350</v>
      </c>
      <c r="O926">
        <f t="shared" si="119"/>
        <v>376</v>
      </c>
      <c r="P926">
        <f t="shared" si="119"/>
        <v>394</v>
      </c>
      <c r="Q926">
        <f t="shared" si="119"/>
        <v>420</v>
      </c>
      <c r="S926" t="str">
        <f t="shared" si="121"/>
        <v>06.12.2025</v>
      </c>
      <c r="T926" t="str">
        <f t="shared" si="122"/>
        <v>10:00:00</v>
      </c>
      <c r="U926" t="str">
        <f t="shared" si="123"/>
        <v>06.12.2025 10:00:00</v>
      </c>
      <c r="V926" s="9" t="str">
        <f>MID($A926,C926+C$2+1,D926-C926-C$2-1)</f>
        <v>0</v>
      </c>
      <c r="W926" s="4">
        <f>VALUE(SUBSTITUTE(MID($A926,D926+D$2+1,E926-D926-D$2-1),",","."))</f>
        <v>0.752887792419068</v>
      </c>
      <c r="X926" s="4">
        <f>VALUE(SUBSTITUTE(MID($A926,E926+E$2+1,F926-E926-E$2-1),",","."))</f>
        <v>0.90957602214449496</v>
      </c>
      <c r="Y926" s="4">
        <f>VALUE(SUBSTITUTE(MID($A926,F926+F$2+1,G926-F926-F$2-1),",","."))</f>
        <v>0.24947466558544801</v>
      </c>
      <c r="Z926" s="3">
        <f>VALUE(SUBSTITUTE(MID($A926,G926+G$2+1,H926-G926-G$2-1),",","."))</f>
        <v>373.98333333333301</v>
      </c>
      <c r="AA926" s="3">
        <f>VALUE(SUBSTITUTE(MID($A926,H926+H$2+1,I926-H926-H$2-1),",","."))</f>
        <v>0</v>
      </c>
      <c r="AB926" s="3">
        <f>VALUE(SUBSTITUTE(MID($A926,I926+I$2+1,J926-I926-I$2-1),",","."))</f>
        <v>52.5</v>
      </c>
      <c r="AC926" s="3">
        <f>VALUE(SUBSTITUTE(MID($A926,J926+J$2+1,K926-J926-J$2-1),",","."))</f>
        <v>7</v>
      </c>
      <c r="AD926" s="3">
        <f>VALUE(SUBSTITUTE(MID($A926,K926+K$2+1,L926-K926-K$2-1),",","."))</f>
        <v>64.44</v>
      </c>
      <c r="AE926" s="3">
        <f>VALUE(SUBSTITUTE(MID($A926,L926+L$2+1,M926-L926-L$2-1),",","."))</f>
        <v>0</v>
      </c>
      <c r="AF926" s="3">
        <f>VALUE(SUBSTITUTE(MID($A926,M926+M$2+1,N926-M926-M$2-1),",","."))</f>
        <v>0</v>
      </c>
      <c r="AG926" s="3">
        <f>VALUE(SUBSTITUTE(MID($A926,N926+N$2+1,O926-N926-N$2-1),",","."))</f>
        <v>4.2297846013777498</v>
      </c>
      <c r="AH926" t="str">
        <f>MID($A926,O926+O$2+1,P926-O926-O$2-1)</f>
        <v/>
      </c>
      <c r="AI926" s="8" t="str">
        <f>MID($A926,P926+P$2+1,Q926-P926-P$2-1)</f>
        <v>False</v>
      </c>
      <c r="AK926" t="b">
        <f t="shared" si="124"/>
        <v>0</v>
      </c>
    </row>
    <row r="927" spans="1:37" x14ac:dyDescent="0.35">
      <c r="A927" t="s">
        <v>5474</v>
      </c>
      <c r="B927">
        <f t="shared" si="126"/>
        <v>10</v>
      </c>
      <c r="C927">
        <f t="shared" si="126"/>
        <v>43</v>
      </c>
      <c r="D927">
        <f t="shared" si="126"/>
        <v>54</v>
      </c>
      <c r="E927">
        <f t="shared" si="125"/>
        <v>97</v>
      </c>
      <c r="F927">
        <f t="shared" si="125"/>
        <v>141</v>
      </c>
      <c r="G927">
        <f t="shared" si="125"/>
        <v>179</v>
      </c>
      <c r="H927">
        <f t="shared" si="125"/>
        <v>228</v>
      </c>
      <c r="I927">
        <f t="shared" si="125"/>
        <v>250</v>
      </c>
      <c r="J927">
        <f t="shared" si="125"/>
        <v>286</v>
      </c>
      <c r="K927">
        <f t="shared" si="125"/>
        <v>303</v>
      </c>
      <c r="L927">
        <f t="shared" si="125"/>
        <v>322</v>
      </c>
      <c r="M927">
        <f t="shared" si="125"/>
        <v>337</v>
      </c>
      <c r="N927">
        <f t="shared" si="119"/>
        <v>349</v>
      </c>
      <c r="O927">
        <f t="shared" si="119"/>
        <v>374</v>
      </c>
      <c r="P927">
        <f t="shared" si="119"/>
        <v>392</v>
      </c>
      <c r="Q927">
        <f t="shared" si="119"/>
        <v>418</v>
      </c>
      <c r="S927" t="str">
        <f t="shared" si="121"/>
        <v>06.12.2025</v>
      </c>
      <c r="T927" t="str">
        <f t="shared" si="122"/>
        <v>10:15:00</v>
      </c>
      <c r="U927" t="str">
        <f t="shared" si="123"/>
        <v>06.12.2025 10:15:00</v>
      </c>
      <c r="V927" s="9" t="str">
        <f>MID($A927,C927+C$2+1,D927-C927-C$2-1)</f>
        <v>0</v>
      </c>
      <c r="W927" s="4">
        <f>VALUE(SUBSTITUTE(MID($A927,D927+D$2+1,E927-D927-D$2-1),",","."))</f>
        <v>0.77070819983998895</v>
      </c>
      <c r="X927" s="4">
        <f>VALUE(SUBSTITUTE(MID($A927,E927+E$2+1,F927-E927-E$2-1),",","."))</f>
        <v>0.90957602214449496</v>
      </c>
      <c r="Y927" s="4">
        <f>VALUE(SUBSTITUTE(MID($A927,F927+F$2+1,G927-F927-F$2-1),",","."))</f>
        <v>0.26998091740987601</v>
      </c>
      <c r="Z927" s="3">
        <f>VALUE(SUBSTITUTE(MID($A927,G927+G$2+1,H927-G927-G$2-1),",","."))</f>
        <v>373.98333333333301</v>
      </c>
      <c r="AA927" s="3">
        <f>VALUE(SUBSTITUTE(MID($A927,H927+H$2+1,I927-H927-H$2-1),",","."))</f>
        <v>0</v>
      </c>
      <c r="AB927" s="3">
        <f>VALUE(SUBSTITUTE(MID($A927,I927+I$2+1,J927-I927-I$2-1),",","."))</f>
        <v>52.5</v>
      </c>
      <c r="AC927" s="3">
        <f>VALUE(SUBSTITUTE(MID($A927,J927+J$2+1,K927-J927-J$2-1),",","."))</f>
        <v>7</v>
      </c>
      <c r="AD927" s="3">
        <f>VALUE(SUBSTITUTE(MID($A927,K927+K$2+1,L927-K927-K$2-1),",","."))</f>
        <v>64.44</v>
      </c>
      <c r="AE927" s="3">
        <f>VALUE(SUBSTITUTE(MID($A927,L927+L$2+1,M927-L927-L$2-1),",","."))</f>
        <v>0</v>
      </c>
      <c r="AF927" s="3">
        <f>VALUE(SUBSTITUTE(MID($A927,M927+M$2+1,N927-M927-M$2-1),",","."))</f>
        <v>0</v>
      </c>
      <c r="AG927" s="3">
        <f>VALUE(SUBSTITUTE(MID($A927,N927+N$2+1,O927-N927-N$2-1),",","."))</f>
        <v>4.2298131212658303</v>
      </c>
      <c r="AH927" t="str">
        <f>MID($A927,O927+O$2+1,P927-O927-O$2-1)</f>
        <v/>
      </c>
      <c r="AI927" s="8" t="str">
        <f>MID($A927,P927+P$2+1,Q927-P927-P$2-1)</f>
        <v>False</v>
      </c>
      <c r="AK927" t="b">
        <f t="shared" si="124"/>
        <v>0</v>
      </c>
    </row>
    <row r="928" spans="1:37" x14ac:dyDescent="0.35">
      <c r="A928" t="s">
        <v>5475</v>
      </c>
      <c r="B928">
        <f t="shared" si="126"/>
        <v>10</v>
      </c>
      <c r="C928">
        <f t="shared" si="126"/>
        <v>43</v>
      </c>
      <c r="D928">
        <f t="shared" si="126"/>
        <v>54</v>
      </c>
      <c r="E928">
        <f t="shared" si="125"/>
        <v>97</v>
      </c>
      <c r="F928">
        <f t="shared" si="125"/>
        <v>141</v>
      </c>
      <c r="G928">
        <f t="shared" si="125"/>
        <v>179</v>
      </c>
      <c r="H928">
        <f t="shared" si="125"/>
        <v>216</v>
      </c>
      <c r="I928">
        <f t="shared" si="125"/>
        <v>238</v>
      </c>
      <c r="J928">
        <f t="shared" si="125"/>
        <v>274</v>
      </c>
      <c r="K928">
        <f t="shared" si="125"/>
        <v>293</v>
      </c>
      <c r="L928">
        <f t="shared" si="125"/>
        <v>312</v>
      </c>
      <c r="M928">
        <f t="shared" si="125"/>
        <v>327</v>
      </c>
      <c r="N928">
        <f t="shared" si="125"/>
        <v>339</v>
      </c>
      <c r="O928">
        <f t="shared" si="125"/>
        <v>364</v>
      </c>
      <c r="P928">
        <f t="shared" si="125"/>
        <v>382</v>
      </c>
      <c r="Q928">
        <f t="shared" ref="Q928:Q991" si="127">FIND(Q$1,$A928)</f>
        <v>408</v>
      </c>
      <c r="S928" t="str">
        <f t="shared" si="121"/>
        <v>06.12.2025</v>
      </c>
      <c r="T928" t="str">
        <f t="shared" si="122"/>
        <v>10:30:00</v>
      </c>
      <c r="U928" t="str">
        <f t="shared" si="123"/>
        <v>06.12.2025 10:30:00</v>
      </c>
      <c r="V928" s="9" t="str">
        <f>MID($A928,C928+C$2+1,D928-C928-C$2-1)</f>
        <v>0</v>
      </c>
      <c r="W928" s="4">
        <f>VALUE(SUBSTITUTE(MID($A928,D928+D$2+1,E928-D928-D$2-1),",","."))</f>
        <v>0.78485498019200395</v>
      </c>
      <c r="X928" s="4">
        <f>VALUE(SUBSTITUTE(MID($A928,E928+E$2+1,F928-E928-E$2-1),",","."))</f>
        <v>0.90957602214449496</v>
      </c>
      <c r="Y928" s="4">
        <f>VALUE(SUBSTITUTE(MID($A928,F928+F$2+1,G928-F928-F$2-1),",","."))</f>
        <v>0.28814899141094102</v>
      </c>
      <c r="Z928" s="3">
        <f>VALUE(SUBSTITUTE(MID($A928,G928+G$2+1,H928-G928-G$2-1),",","."))</f>
        <v>375.65</v>
      </c>
      <c r="AA928" s="3">
        <f>VALUE(SUBSTITUTE(MID($A928,H928+H$2+1,I928-H928-H$2-1),",","."))</f>
        <v>0</v>
      </c>
      <c r="AB928" s="3">
        <f>VALUE(SUBSTITUTE(MID($A928,I928+I$2+1,J928-I928-I$2-1),",","."))</f>
        <v>78.5</v>
      </c>
      <c r="AC928" s="3">
        <f>VALUE(SUBSTITUTE(MID($A928,J928+J$2+1,K928-J928-J$2-1),",","."))</f>
        <v>7.2</v>
      </c>
      <c r="AD928" s="3">
        <f>VALUE(SUBSTITUTE(MID($A928,K928+K$2+1,L928-K928-K$2-1),",","."))</f>
        <v>69.12</v>
      </c>
      <c r="AE928" s="3">
        <f>VALUE(SUBSTITUTE(MID($A928,L928+L$2+1,M928-L928-L$2-1),",","."))</f>
        <v>0</v>
      </c>
      <c r="AF928" s="3">
        <f>VALUE(SUBSTITUTE(MID($A928,M928+M$2+1,N928-M928-M$2-1),",","."))</f>
        <v>0</v>
      </c>
      <c r="AG928" s="3">
        <f>VALUE(SUBSTITUTE(MID($A928,N928+N$2+1,O928-N928-N$2-1),",","."))</f>
        <v>4.2298416411539099</v>
      </c>
      <c r="AH928" t="str">
        <f>MID($A928,O928+O$2+1,P928-O928-O$2-1)</f>
        <v/>
      </c>
      <c r="AI928" s="8" t="str">
        <f>MID($A928,P928+P$2+1,Q928-P928-P$2-1)</f>
        <v>False</v>
      </c>
      <c r="AK928" t="b">
        <f t="shared" si="124"/>
        <v>0</v>
      </c>
    </row>
    <row r="929" spans="1:37" x14ac:dyDescent="0.35">
      <c r="A929" t="s">
        <v>5476</v>
      </c>
      <c r="B929">
        <f t="shared" si="126"/>
        <v>10</v>
      </c>
      <c r="C929">
        <f t="shared" si="126"/>
        <v>43</v>
      </c>
      <c r="D929">
        <f t="shared" si="126"/>
        <v>54</v>
      </c>
      <c r="E929">
        <f t="shared" si="126"/>
        <v>97</v>
      </c>
      <c r="F929">
        <f t="shared" si="126"/>
        <v>141</v>
      </c>
      <c r="G929">
        <f t="shared" si="126"/>
        <v>180</v>
      </c>
      <c r="H929">
        <f t="shared" si="126"/>
        <v>217</v>
      </c>
      <c r="I929">
        <f t="shared" si="126"/>
        <v>239</v>
      </c>
      <c r="J929">
        <f t="shared" si="126"/>
        <v>275</v>
      </c>
      <c r="K929">
        <f t="shared" si="126"/>
        <v>294</v>
      </c>
      <c r="L929">
        <f t="shared" si="126"/>
        <v>313</v>
      </c>
      <c r="M929">
        <f t="shared" si="126"/>
        <v>328</v>
      </c>
      <c r="N929">
        <f t="shared" si="126"/>
        <v>340</v>
      </c>
      <c r="O929">
        <f t="shared" si="126"/>
        <v>365</v>
      </c>
      <c r="P929">
        <f t="shared" si="126"/>
        <v>383</v>
      </c>
      <c r="Q929">
        <f t="shared" si="127"/>
        <v>409</v>
      </c>
      <c r="S929" t="str">
        <f t="shared" si="121"/>
        <v>06.12.2025</v>
      </c>
      <c r="T929" t="str">
        <f t="shared" si="122"/>
        <v>10:45:00</v>
      </c>
      <c r="U929" t="str">
        <f t="shared" si="123"/>
        <v>06.12.2025 10:45:00</v>
      </c>
      <c r="V929" s="9" t="str">
        <f>MID($A929,C929+C$2+1,D929-C929-C$2-1)</f>
        <v>0</v>
      </c>
      <c r="W929" s="4">
        <f>VALUE(SUBSTITUTE(MID($A929,D929+D$2+1,E929-D929-D$2-1),",","."))</f>
        <v>0.79526382611280599</v>
      </c>
      <c r="X929" s="4">
        <f>VALUE(SUBSTITUTE(MID($A929,E929+E$2+1,F929-E929-E$2-1),",","."))</f>
        <v>0.90957602214449496</v>
      </c>
      <c r="Y929" s="4">
        <f>VALUE(SUBSTITUTE(MID($A929,F929+F$2+1,G929-F929-F$2-1),",","."))</f>
        <v>0.30389652349873902</v>
      </c>
      <c r="Z929" s="3">
        <f>VALUE(SUBSTITUTE(MID($A929,G929+G$2+1,H929-G929-G$2-1),",","."))</f>
        <v>375.65</v>
      </c>
      <c r="AA929" s="3">
        <f>VALUE(SUBSTITUTE(MID($A929,H929+H$2+1,I929-H929-H$2-1),",","."))</f>
        <v>0</v>
      </c>
      <c r="AB929" s="3">
        <f>VALUE(SUBSTITUTE(MID($A929,I929+I$2+1,J929-I929-I$2-1),",","."))</f>
        <v>78.5</v>
      </c>
      <c r="AC929" s="3">
        <f>VALUE(SUBSTITUTE(MID($A929,J929+J$2+1,K929-J929-J$2-1),",","."))</f>
        <v>7.2</v>
      </c>
      <c r="AD929" s="3">
        <f>VALUE(SUBSTITUTE(MID($A929,K929+K$2+1,L929-K929-K$2-1),",","."))</f>
        <v>69.12</v>
      </c>
      <c r="AE929" s="3">
        <f>VALUE(SUBSTITUTE(MID($A929,L929+L$2+1,M929-L929-L$2-1),",","."))</f>
        <v>0</v>
      </c>
      <c r="AF929" s="3">
        <f>VALUE(SUBSTITUTE(MID($A929,M929+M$2+1,N929-M929-M$2-1),",","."))</f>
        <v>0</v>
      </c>
      <c r="AG929" s="3">
        <f>VALUE(SUBSTITUTE(MID($A929,N929+N$2+1,O929-N929-N$2-1),",","."))</f>
        <v>4.2298701610419904</v>
      </c>
      <c r="AH929" t="str">
        <f>MID($A929,O929+O$2+1,P929-O929-O$2-1)</f>
        <v/>
      </c>
      <c r="AI929" s="8" t="str">
        <f>MID($A929,P929+P$2+1,Q929-P929-P$2-1)</f>
        <v>False</v>
      </c>
      <c r="AK929" t="b">
        <f t="shared" si="124"/>
        <v>0</v>
      </c>
    </row>
    <row r="930" spans="1:37" x14ac:dyDescent="0.35">
      <c r="A930" t="s">
        <v>5477</v>
      </c>
      <c r="B930">
        <f t="shared" si="126"/>
        <v>10</v>
      </c>
      <c r="C930">
        <f t="shared" si="126"/>
        <v>43</v>
      </c>
      <c r="D930">
        <f t="shared" si="126"/>
        <v>54</v>
      </c>
      <c r="E930">
        <f t="shared" si="126"/>
        <v>97</v>
      </c>
      <c r="F930">
        <f t="shared" si="126"/>
        <v>141</v>
      </c>
      <c r="G930">
        <f t="shared" si="126"/>
        <v>179</v>
      </c>
      <c r="H930">
        <f t="shared" si="126"/>
        <v>216</v>
      </c>
      <c r="I930">
        <f t="shared" si="126"/>
        <v>238</v>
      </c>
      <c r="J930">
        <f t="shared" si="126"/>
        <v>274</v>
      </c>
      <c r="K930">
        <f t="shared" si="126"/>
        <v>293</v>
      </c>
      <c r="L930">
        <f t="shared" si="126"/>
        <v>312</v>
      </c>
      <c r="M930">
        <f t="shared" si="126"/>
        <v>327</v>
      </c>
      <c r="N930">
        <f t="shared" si="126"/>
        <v>339</v>
      </c>
      <c r="O930">
        <f t="shared" si="126"/>
        <v>364</v>
      </c>
      <c r="P930">
        <f t="shared" si="126"/>
        <v>382</v>
      </c>
      <c r="Q930">
        <f t="shared" si="127"/>
        <v>408</v>
      </c>
      <c r="S930" t="str">
        <f t="shared" si="121"/>
        <v>06.12.2025</v>
      </c>
      <c r="T930" t="str">
        <f t="shared" si="122"/>
        <v>11:00:00</v>
      </c>
      <c r="U930" t="str">
        <f t="shared" si="123"/>
        <v>06.12.2025 11:00:00</v>
      </c>
      <c r="V930" s="9" t="str">
        <f>MID($A930,C930+C$2+1,D930-C930-C$2-1)</f>
        <v>0</v>
      </c>
      <c r="W930" s="4">
        <f>VALUE(SUBSTITUTE(MID($A930,D930+D$2+1,E930-D930-D$2-1),",","."))</f>
        <v>0.80188763814263597</v>
      </c>
      <c r="X930" s="4">
        <f>VALUE(SUBSTITUTE(MID($A930,E930+E$2+1,F930-E930-E$2-1),",","."))</f>
        <v>0.90957602214449496</v>
      </c>
      <c r="Y930" s="4">
        <f>VALUE(SUBSTITUTE(MID($A930,F930+F$2+1,G930-F930-F$2-1),",","."))</f>
        <v>0.317152966956461</v>
      </c>
      <c r="Z930" s="3">
        <f>VALUE(SUBSTITUTE(MID($A930,G930+G$2+1,H930-G930-G$2-1),",","."))</f>
        <v>375.65</v>
      </c>
      <c r="AA930" s="3">
        <f>VALUE(SUBSTITUTE(MID($A930,H930+H$2+1,I930-H930-H$2-1),",","."))</f>
        <v>0</v>
      </c>
      <c r="AB930" s="3">
        <f>VALUE(SUBSTITUTE(MID($A930,I930+I$2+1,J930-I930-I$2-1),",","."))</f>
        <v>78.5</v>
      </c>
      <c r="AC930" s="3">
        <f>VALUE(SUBSTITUTE(MID($A930,J930+J$2+1,K930-J930-J$2-1),",","."))</f>
        <v>7.2</v>
      </c>
      <c r="AD930" s="3">
        <f>VALUE(SUBSTITUTE(MID($A930,K930+K$2+1,L930-K930-K$2-1),",","."))</f>
        <v>69.12</v>
      </c>
      <c r="AE930" s="3">
        <f>VALUE(SUBSTITUTE(MID($A930,L930+L$2+1,M930-L930-L$2-1),",","."))</f>
        <v>0</v>
      </c>
      <c r="AF930" s="3">
        <f>VALUE(SUBSTITUTE(MID($A930,M930+M$2+1,N930-M930-M$2-1),",","."))</f>
        <v>0</v>
      </c>
      <c r="AG930" s="3">
        <f>VALUE(SUBSTITUTE(MID($A930,N930+N$2+1,O930-N930-N$2-1),",","."))</f>
        <v>4.22989868093007</v>
      </c>
      <c r="AH930" t="str">
        <f>MID($A930,O930+O$2+1,P930-O930-O$2-1)</f>
        <v/>
      </c>
      <c r="AI930" s="8" t="str">
        <f>MID($A930,P930+P$2+1,Q930-P930-P$2-1)</f>
        <v>False</v>
      </c>
      <c r="AK930" t="b">
        <f t="shared" si="124"/>
        <v>0</v>
      </c>
    </row>
    <row r="931" spans="1:37" x14ac:dyDescent="0.35">
      <c r="A931" t="s">
        <v>5478</v>
      </c>
      <c r="B931">
        <f t="shared" si="126"/>
        <v>10</v>
      </c>
      <c r="C931">
        <f t="shared" si="126"/>
        <v>43</v>
      </c>
      <c r="D931">
        <f t="shared" si="126"/>
        <v>54</v>
      </c>
      <c r="E931">
        <f t="shared" si="126"/>
        <v>97</v>
      </c>
      <c r="F931">
        <f t="shared" si="126"/>
        <v>141</v>
      </c>
      <c r="G931">
        <f t="shared" si="126"/>
        <v>180</v>
      </c>
      <c r="H931">
        <f t="shared" si="126"/>
        <v>217</v>
      </c>
      <c r="I931">
        <f t="shared" si="126"/>
        <v>239</v>
      </c>
      <c r="J931">
        <f t="shared" si="126"/>
        <v>275</v>
      </c>
      <c r="K931">
        <f t="shared" si="126"/>
        <v>294</v>
      </c>
      <c r="L931">
        <f t="shared" si="126"/>
        <v>313</v>
      </c>
      <c r="M931">
        <f t="shared" si="126"/>
        <v>328</v>
      </c>
      <c r="N931">
        <f t="shared" si="126"/>
        <v>340</v>
      </c>
      <c r="O931">
        <f t="shared" si="126"/>
        <v>364</v>
      </c>
      <c r="P931">
        <f t="shared" si="126"/>
        <v>382</v>
      </c>
      <c r="Q931">
        <f t="shared" si="127"/>
        <v>408</v>
      </c>
      <c r="S931" t="str">
        <f t="shared" si="121"/>
        <v>06.12.2025</v>
      </c>
      <c r="T931" t="str">
        <f t="shared" si="122"/>
        <v>11:15:00</v>
      </c>
      <c r="U931" t="str">
        <f t="shared" si="123"/>
        <v>06.12.2025 11:15:00</v>
      </c>
      <c r="V931" s="9" t="str">
        <f>MID($A931,C931+C$2+1,D931-C931-C$2-1)</f>
        <v>0</v>
      </c>
      <c r="W931" s="4">
        <f>VALUE(SUBSTITUTE(MID($A931,D931+D$2+1,E931-D931-D$2-1),",","."))</f>
        <v>0.804696316746218</v>
      </c>
      <c r="X931" s="4">
        <f>VALUE(SUBSTITUTE(MID($A931,E931+E$2+1,F931-E931-E$2-1),",","."))</f>
        <v>0.90957602214449496</v>
      </c>
      <c r="Y931" s="4">
        <f>VALUE(SUBSTITUTE(MID($A931,F931+F$2+1,G931-F931-F$2-1),",","."))</f>
        <v>0.32785940217567999</v>
      </c>
      <c r="Z931" s="3">
        <f>VALUE(SUBSTITUTE(MID($A931,G931+G$2+1,H931-G931-G$2-1),",","."))</f>
        <v>375.65</v>
      </c>
      <c r="AA931" s="3">
        <f>VALUE(SUBSTITUTE(MID($A931,H931+H$2+1,I931-H931-H$2-1),",","."))</f>
        <v>0</v>
      </c>
      <c r="AB931" s="3">
        <f>VALUE(SUBSTITUTE(MID($A931,I931+I$2+1,J931-I931-I$2-1),",","."))</f>
        <v>78.5</v>
      </c>
      <c r="AC931" s="3">
        <f>VALUE(SUBSTITUTE(MID($A931,J931+J$2+1,K931-J931-J$2-1),",","."))</f>
        <v>7.2</v>
      </c>
      <c r="AD931" s="3">
        <f>VALUE(SUBSTITUTE(MID($A931,K931+K$2+1,L931-K931-K$2-1),",","."))</f>
        <v>69.12</v>
      </c>
      <c r="AE931" s="3">
        <f>VALUE(SUBSTITUTE(MID($A931,L931+L$2+1,M931-L931-L$2-1),",","."))</f>
        <v>0</v>
      </c>
      <c r="AF931" s="3">
        <f>VALUE(SUBSTITUTE(MID($A931,M931+M$2+1,N931-M931-M$2-1),",","."))</f>
        <v>0</v>
      </c>
      <c r="AG931" s="3">
        <f>VALUE(SUBSTITUTE(MID($A931,N931+N$2+1,O931-N931-N$2-1),",","."))</f>
        <v>4.2299272008181603</v>
      </c>
      <c r="AH931" t="str">
        <f>MID($A931,O931+O$2+1,P931-O931-O$2-1)</f>
        <v/>
      </c>
      <c r="AI931" s="8" t="str">
        <f>MID($A931,P931+P$2+1,Q931-P931-P$2-1)</f>
        <v>False</v>
      </c>
      <c r="AK931" t="b">
        <f t="shared" si="124"/>
        <v>0</v>
      </c>
    </row>
    <row r="932" spans="1:37" x14ac:dyDescent="0.35">
      <c r="A932" t="s">
        <v>5479</v>
      </c>
      <c r="B932">
        <f t="shared" si="126"/>
        <v>10</v>
      </c>
      <c r="C932">
        <f t="shared" si="126"/>
        <v>43</v>
      </c>
      <c r="D932">
        <f t="shared" si="126"/>
        <v>54</v>
      </c>
      <c r="E932">
        <f t="shared" si="126"/>
        <v>97</v>
      </c>
      <c r="F932">
        <f t="shared" si="126"/>
        <v>141</v>
      </c>
      <c r="G932">
        <f t="shared" si="126"/>
        <v>179</v>
      </c>
      <c r="H932">
        <f t="shared" si="126"/>
        <v>228</v>
      </c>
      <c r="I932">
        <f t="shared" si="126"/>
        <v>250</v>
      </c>
      <c r="J932">
        <f t="shared" si="126"/>
        <v>284</v>
      </c>
      <c r="K932">
        <f t="shared" si="126"/>
        <v>317</v>
      </c>
      <c r="L932">
        <f t="shared" si="126"/>
        <v>335</v>
      </c>
      <c r="M932">
        <f t="shared" si="126"/>
        <v>350</v>
      </c>
      <c r="N932">
        <f t="shared" si="126"/>
        <v>362</v>
      </c>
      <c r="O932">
        <f t="shared" si="126"/>
        <v>387</v>
      </c>
      <c r="P932">
        <f t="shared" si="126"/>
        <v>405</v>
      </c>
      <c r="Q932">
        <f t="shared" si="127"/>
        <v>431</v>
      </c>
      <c r="S932" t="str">
        <f t="shared" si="121"/>
        <v>06.12.2025</v>
      </c>
      <c r="T932" t="str">
        <f t="shared" si="122"/>
        <v>11:30:00</v>
      </c>
      <c r="U932" t="str">
        <f t="shared" si="123"/>
        <v>06.12.2025 11:30:00</v>
      </c>
      <c r="V932" s="9" t="str">
        <f>MID($A932,C932+C$2+1,D932-C932-C$2-1)</f>
        <v>0</v>
      </c>
      <c r="W932" s="4">
        <f>VALUE(SUBSTITUTE(MID($A932,D932+D$2+1,E932-D932-D$2-1),",","."))</f>
        <v>0.80367664647066905</v>
      </c>
      <c r="X932" s="4">
        <f>VALUE(SUBSTITUTE(MID($A932,E932+E$2+1,F932-E932-E$2-1),",","."))</f>
        <v>0.90957602214449496</v>
      </c>
      <c r="Y932" s="4">
        <f>VALUE(SUBSTITUTE(MID($A932,F932+F$2+1,G932-F932-F$2-1),",","."))</f>
        <v>0.33596849467041801</v>
      </c>
      <c r="Z932" s="3">
        <f>VALUE(SUBSTITUTE(MID($A932,G932+G$2+1,H932-G932-G$2-1),",","."))</f>
        <v>372.21666666666601</v>
      </c>
      <c r="AA932" s="3">
        <f>VALUE(SUBSTITUTE(MID($A932,H932+H$2+1,I932-H932-H$2-1),",","."))</f>
        <v>0</v>
      </c>
      <c r="AB932" s="3">
        <f>VALUE(SUBSTITUTE(MID($A932,I932+I$2+1,J932-I932-I$2-1),",","."))</f>
        <v>94</v>
      </c>
      <c r="AC932" s="3">
        <f>VALUE(SUBSTITUTE(MID($A932,J932+J$2+1,K932-J932-J$2-1),",","."))</f>
        <v>7.3</v>
      </c>
      <c r="AD932" s="3">
        <f>VALUE(SUBSTITUTE(MID($A932,K932+K$2+1,L932-K932-K$2-1),",","."))</f>
        <v>72.900000000000006</v>
      </c>
      <c r="AE932" s="3">
        <f>VALUE(SUBSTITUTE(MID($A932,L932+L$2+1,M932-L932-L$2-1),",","."))</f>
        <v>0</v>
      </c>
      <c r="AF932" s="3">
        <f>VALUE(SUBSTITUTE(MID($A932,M932+M$2+1,N932-M932-M$2-1),",","."))</f>
        <v>0</v>
      </c>
      <c r="AG932" s="3">
        <f>VALUE(SUBSTITUTE(MID($A932,N932+N$2+1,O932-N932-N$2-1),",","."))</f>
        <v>4.2299557207062399</v>
      </c>
      <c r="AH932" t="str">
        <f>MID($A932,O932+O$2+1,P932-O932-O$2-1)</f>
        <v/>
      </c>
      <c r="AI932" s="8" t="str">
        <f>MID($A932,P932+P$2+1,Q932-P932-P$2-1)</f>
        <v>False</v>
      </c>
      <c r="AK932" t="b">
        <f t="shared" si="124"/>
        <v>0</v>
      </c>
    </row>
    <row r="933" spans="1:37" x14ac:dyDescent="0.35">
      <c r="A933" t="s">
        <v>5480</v>
      </c>
      <c r="B933">
        <f t="shared" si="126"/>
        <v>10</v>
      </c>
      <c r="C933">
        <f t="shared" si="126"/>
        <v>43</v>
      </c>
      <c r="D933">
        <f t="shared" si="126"/>
        <v>54</v>
      </c>
      <c r="E933">
        <f t="shared" si="126"/>
        <v>97</v>
      </c>
      <c r="F933">
        <f t="shared" si="126"/>
        <v>141</v>
      </c>
      <c r="G933">
        <f t="shared" si="126"/>
        <v>180</v>
      </c>
      <c r="H933">
        <f t="shared" si="126"/>
        <v>229</v>
      </c>
      <c r="I933">
        <f t="shared" si="126"/>
        <v>251</v>
      </c>
      <c r="J933">
        <f t="shared" si="126"/>
        <v>285</v>
      </c>
      <c r="K933">
        <f t="shared" si="126"/>
        <v>318</v>
      </c>
      <c r="L933">
        <f t="shared" si="126"/>
        <v>336</v>
      </c>
      <c r="M933">
        <f t="shared" si="126"/>
        <v>351</v>
      </c>
      <c r="N933">
        <f t="shared" si="126"/>
        <v>363</v>
      </c>
      <c r="O933">
        <f t="shared" si="126"/>
        <v>388</v>
      </c>
      <c r="P933">
        <f t="shared" si="126"/>
        <v>406</v>
      </c>
      <c r="Q933">
        <f t="shared" si="127"/>
        <v>432</v>
      </c>
      <c r="S933" t="str">
        <f t="shared" si="121"/>
        <v>06.12.2025</v>
      </c>
      <c r="T933" t="str">
        <f t="shared" si="122"/>
        <v>11:45:00</v>
      </c>
      <c r="U933" t="str">
        <f t="shared" si="123"/>
        <v>06.12.2025 11:45:00</v>
      </c>
      <c r="V933" s="9" t="str">
        <f>MID($A933,C933+C$2+1,D933-C933-C$2-1)</f>
        <v>0</v>
      </c>
      <c r="W933" s="4">
        <f>VALUE(SUBSTITUTE(MID($A933,D933+D$2+1,E933-D933-D$2-1),",","."))</f>
        <v>0.79883220307352998</v>
      </c>
      <c r="X933" s="4">
        <f>VALUE(SUBSTITUTE(MID($A933,E933+E$2+1,F933-E933-E$2-1),",","."))</f>
        <v>0.90957602214449496</v>
      </c>
      <c r="Y933" s="4">
        <f>VALUE(SUBSTITUTE(MID($A933,F933+F$2+1,G933-F933-F$2-1),",","."))</f>
        <v>0.34144451804834702</v>
      </c>
      <c r="Z933" s="3">
        <f>VALUE(SUBSTITUTE(MID($A933,G933+G$2+1,H933-G933-G$2-1),",","."))</f>
        <v>372.21666666666601</v>
      </c>
      <c r="AA933" s="3">
        <f>VALUE(SUBSTITUTE(MID($A933,H933+H$2+1,I933-H933-H$2-1),",","."))</f>
        <v>0</v>
      </c>
      <c r="AB933" s="3">
        <f>VALUE(SUBSTITUTE(MID($A933,I933+I$2+1,J933-I933-I$2-1),",","."))</f>
        <v>94</v>
      </c>
      <c r="AC933" s="3">
        <f>VALUE(SUBSTITUTE(MID($A933,J933+J$2+1,K933-J933-J$2-1),",","."))</f>
        <v>7.3</v>
      </c>
      <c r="AD933" s="3">
        <f>VALUE(SUBSTITUTE(MID($A933,K933+K$2+1,L933-K933-K$2-1),",","."))</f>
        <v>72.900000000000006</v>
      </c>
      <c r="AE933" s="3">
        <f>VALUE(SUBSTITUTE(MID($A933,L933+L$2+1,M933-L933-L$2-1),",","."))</f>
        <v>0</v>
      </c>
      <c r="AF933" s="3">
        <f>VALUE(SUBSTITUTE(MID($A933,M933+M$2+1,N933-M933-M$2-1),",","."))</f>
        <v>0</v>
      </c>
      <c r="AG933" s="3">
        <f>VALUE(SUBSTITUTE(MID($A933,N933+N$2+1,O933-N933-N$2-1),",","."))</f>
        <v>4.2299842405943204</v>
      </c>
      <c r="AH933" t="str">
        <f>MID($A933,O933+O$2+1,P933-O933-O$2-1)</f>
        <v/>
      </c>
      <c r="AI933" s="8" t="str">
        <f>MID($A933,P933+P$2+1,Q933-P933-P$2-1)</f>
        <v>False</v>
      </c>
      <c r="AK933" t="b">
        <f t="shared" si="124"/>
        <v>0</v>
      </c>
    </row>
    <row r="934" spans="1:37" x14ac:dyDescent="0.35">
      <c r="A934" t="s">
        <v>5481</v>
      </c>
      <c r="B934">
        <f t="shared" si="126"/>
        <v>10</v>
      </c>
      <c r="C934">
        <f t="shared" si="126"/>
        <v>43</v>
      </c>
      <c r="D934">
        <f t="shared" si="126"/>
        <v>54</v>
      </c>
      <c r="E934">
        <f t="shared" si="126"/>
        <v>96</v>
      </c>
      <c r="F934">
        <f t="shared" si="126"/>
        <v>140</v>
      </c>
      <c r="G934">
        <f t="shared" si="126"/>
        <v>179</v>
      </c>
      <c r="H934">
        <f t="shared" si="126"/>
        <v>228</v>
      </c>
      <c r="I934">
        <f t="shared" si="126"/>
        <v>250</v>
      </c>
      <c r="J934">
        <f t="shared" si="126"/>
        <v>284</v>
      </c>
      <c r="K934">
        <f t="shared" si="126"/>
        <v>317</v>
      </c>
      <c r="L934">
        <f t="shared" si="126"/>
        <v>335</v>
      </c>
      <c r="M934">
        <f t="shared" si="126"/>
        <v>350</v>
      </c>
      <c r="N934">
        <f t="shared" si="126"/>
        <v>362</v>
      </c>
      <c r="O934">
        <f t="shared" si="126"/>
        <v>388</v>
      </c>
      <c r="P934">
        <f t="shared" si="126"/>
        <v>406</v>
      </c>
      <c r="Q934">
        <f t="shared" si="127"/>
        <v>432</v>
      </c>
      <c r="S934" t="str">
        <f t="shared" si="121"/>
        <v>06.12.2025</v>
      </c>
      <c r="T934" t="str">
        <f t="shared" si="122"/>
        <v>12:00:00</v>
      </c>
      <c r="U934" t="str">
        <f t="shared" si="123"/>
        <v>06.12.2025 12:00:00</v>
      </c>
      <c r="V934" s="9" t="str">
        <f>MID($A934,C934+C$2+1,D934-C934-C$2-1)</f>
        <v>0</v>
      </c>
      <c r="W934" s="4">
        <f>VALUE(SUBSTITUTE(MID($A934,D934+D$2+1,E934-D934-D$2-1),",","."))</f>
        <v>0.79018324709066601</v>
      </c>
      <c r="X934" s="4">
        <f>VALUE(SUBSTITUTE(MID($A934,E934+E$2+1,F934-E934-E$2-1),",","."))</f>
        <v>0.90957602214449496</v>
      </c>
      <c r="Y934" s="4">
        <f>VALUE(SUBSTITUTE(MID($A934,F934+F$2+1,G934-F934-F$2-1),",","."))</f>
        <v>0.344263397418128</v>
      </c>
      <c r="Z934" s="3">
        <f>VALUE(SUBSTITUTE(MID($A934,G934+G$2+1,H934-G934-G$2-1),",","."))</f>
        <v>372.21666666666601</v>
      </c>
      <c r="AA934" s="3">
        <f>VALUE(SUBSTITUTE(MID($A934,H934+H$2+1,I934-H934-H$2-1),",","."))</f>
        <v>0</v>
      </c>
      <c r="AB934" s="3">
        <f>VALUE(SUBSTITUTE(MID($A934,I934+I$2+1,J934-I934-I$2-1),",","."))</f>
        <v>94</v>
      </c>
      <c r="AC934" s="3">
        <f>VALUE(SUBSTITUTE(MID($A934,J934+J$2+1,K934-J934-J$2-1),",","."))</f>
        <v>7.3</v>
      </c>
      <c r="AD934" s="3">
        <f>VALUE(SUBSTITUTE(MID($A934,K934+K$2+1,L934-K934-K$2-1),",","."))</f>
        <v>72.900000000000006</v>
      </c>
      <c r="AE934" s="3">
        <f>VALUE(SUBSTITUTE(MID($A934,L934+L$2+1,M934-L934-L$2-1),",","."))</f>
        <v>0</v>
      </c>
      <c r="AF934" s="3">
        <f>VALUE(SUBSTITUTE(MID($A934,M934+M$2+1,N934-M934-M$2-1),",","."))</f>
        <v>0</v>
      </c>
      <c r="AG934" s="3">
        <f>VALUE(SUBSTITUTE(MID($A934,N934+N$2+1,O934-N934-N$2-1),",","."))</f>
        <v>4.2300127604824</v>
      </c>
      <c r="AH934" t="str">
        <f>MID($A934,O934+O$2+1,P934-O934-O$2-1)</f>
        <v/>
      </c>
      <c r="AI934" s="8" t="str">
        <f>MID($A934,P934+P$2+1,Q934-P934-P$2-1)</f>
        <v>False</v>
      </c>
      <c r="AK934" t="b">
        <f t="shared" si="124"/>
        <v>0</v>
      </c>
    </row>
    <row r="935" spans="1:37" x14ac:dyDescent="0.35">
      <c r="A935" t="s">
        <v>5482</v>
      </c>
      <c r="B935">
        <f t="shared" si="126"/>
        <v>10</v>
      </c>
      <c r="C935">
        <f t="shared" si="126"/>
        <v>43</v>
      </c>
      <c r="D935">
        <f t="shared" si="126"/>
        <v>54</v>
      </c>
      <c r="E935">
        <f t="shared" si="126"/>
        <v>97</v>
      </c>
      <c r="F935">
        <f t="shared" si="126"/>
        <v>141</v>
      </c>
      <c r="G935">
        <f t="shared" si="126"/>
        <v>180</v>
      </c>
      <c r="H935">
        <f t="shared" si="126"/>
        <v>229</v>
      </c>
      <c r="I935">
        <f t="shared" si="126"/>
        <v>251</v>
      </c>
      <c r="J935">
        <f t="shared" si="126"/>
        <v>285</v>
      </c>
      <c r="K935">
        <f t="shared" si="126"/>
        <v>318</v>
      </c>
      <c r="L935">
        <f t="shared" si="126"/>
        <v>336</v>
      </c>
      <c r="M935">
        <f t="shared" si="126"/>
        <v>351</v>
      </c>
      <c r="N935">
        <f t="shared" si="126"/>
        <v>363</v>
      </c>
      <c r="O935">
        <f t="shared" si="126"/>
        <v>388</v>
      </c>
      <c r="P935">
        <f t="shared" si="126"/>
        <v>406</v>
      </c>
      <c r="Q935">
        <f t="shared" si="127"/>
        <v>432</v>
      </c>
      <c r="S935" t="str">
        <f t="shared" si="121"/>
        <v>06.12.2025</v>
      </c>
      <c r="T935" t="str">
        <f t="shared" si="122"/>
        <v>12:15:00</v>
      </c>
      <c r="U935" t="str">
        <f t="shared" si="123"/>
        <v>06.12.2025 12:15:00</v>
      </c>
      <c r="V935" s="9" t="str">
        <f>MID($A935,C935+C$2+1,D935-C935-C$2-1)</f>
        <v>0</v>
      </c>
      <c r="W935" s="4">
        <f>VALUE(SUBSTITUTE(MID($A935,D935+D$2+1,E935-D935-D$2-1),",","."))</f>
        <v>0.77776658440680002</v>
      </c>
      <c r="X935" s="4">
        <f>VALUE(SUBSTITUTE(MID($A935,E935+E$2+1,F935-E935-E$2-1),",","."))</f>
        <v>0.90957602214449496</v>
      </c>
      <c r="Y935" s="4">
        <f>VALUE(SUBSTITUTE(MID($A935,F935+F$2+1,G935-F935-F$2-1),",","."))</f>
        <v>0.34441274917694098</v>
      </c>
      <c r="Z935" s="3">
        <f>VALUE(SUBSTITUTE(MID($A935,G935+G$2+1,H935-G935-G$2-1),",","."))</f>
        <v>372.21666666666601</v>
      </c>
      <c r="AA935" s="3">
        <f>VALUE(SUBSTITUTE(MID($A935,H935+H$2+1,I935-H935-H$2-1),",","."))</f>
        <v>0</v>
      </c>
      <c r="AB935" s="3">
        <f>VALUE(SUBSTITUTE(MID($A935,I935+I$2+1,J935-I935-I$2-1),",","."))</f>
        <v>94</v>
      </c>
      <c r="AC935" s="3">
        <f>VALUE(SUBSTITUTE(MID($A935,J935+J$2+1,K935-J935-J$2-1),",","."))</f>
        <v>7.3</v>
      </c>
      <c r="AD935" s="3">
        <f>VALUE(SUBSTITUTE(MID($A935,K935+K$2+1,L935-K935-K$2-1),",","."))</f>
        <v>72.900000000000006</v>
      </c>
      <c r="AE935" s="3">
        <f>VALUE(SUBSTITUTE(MID($A935,L935+L$2+1,M935-L935-L$2-1),",","."))</f>
        <v>0</v>
      </c>
      <c r="AF935" s="3">
        <f>VALUE(SUBSTITUTE(MID($A935,M935+M$2+1,N935-M935-M$2-1),",","."))</f>
        <v>0</v>
      </c>
      <c r="AG935" s="3">
        <f>VALUE(SUBSTITUTE(MID($A935,N935+N$2+1,O935-N935-N$2-1),",","."))</f>
        <v>4.2300412803704797</v>
      </c>
      <c r="AH935" t="str">
        <f>MID($A935,O935+O$2+1,P935-O935-O$2-1)</f>
        <v/>
      </c>
      <c r="AI935" s="8" t="str">
        <f>MID($A935,P935+P$2+1,Q935-P935-P$2-1)</f>
        <v>False</v>
      </c>
      <c r="AK935" t="b">
        <f t="shared" si="124"/>
        <v>0</v>
      </c>
    </row>
    <row r="936" spans="1:37" x14ac:dyDescent="0.35">
      <c r="A936" t="s">
        <v>5483</v>
      </c>
      <c r="B936">
        <f t="shared" si="126"/>
        <v>10</v>
      </c>
      <c r="C936">
        <f t="shared" si="126"/>
        <v>43</v>
      </c>
      <c r="D936">
        <f t="shared" si="126"/>
        <v>54</v>
      </c>
      <c r="E936">
        <f t="shared" si="126"/>
        <v>97</v>
      </c>
      <c r="F936">
        <f t="shared" si="126"/>
        <v>141</v>
      </c>
      <c r="G936">
        <f t="shared" si="126"/>
        <v>180</v>
      </c>
      <c r="H936">
        <f t="shared" si="126"/>
        <v>216</v>
      </c>
      <c r="I936">
        <f t="shared" si="126"/>
        <v>238</v>
      </c>
      <c r="J936">
        <f t="shared" si="126"/>
        <v>274</v>
      </c>
      <c r="K936">
        <f t="shared" si="126"/>
        <v>294</v>
      </c>
      <c r="L936">
        <f t="shared" si="126"/>
        <v>313</v>
      </c>
      <c r="M936">
        <f t="shared" si="126"/>
        <v>328</v>
      </c>
      <c r="N936">
        <f t="shared" si="126"/>
        <v>340</v>
      </c>
      <c r="O936">
        <f t="shared" si="126"/>
        <v>365</v>
      </c>
      <c r="P936">
        <f t="shared" si="126"/>
        <v>383</v>
      </c>
      <c r="Q936">
        <f t="shared" si="127"/>
        <v>409</v>
      </c>
      <c r="S936" t="str">
        <f t="shared" si="121"/>
        <v>06.12.2025</v>
      </c>
      <c r="T936" t="str">
        <f t="shared" si="122"/>
        <v>12:30:00</v>
      </c>
      <c r="U936" t="str">
        <f t="shared" si="123"/>
        <v>06.12.2025 12:30:00</v>
      </c>
      <c r="V936" s="9" t="str">
        <f>MID($A936,C936+C$2+1,D936-C936-C$2-1)</f>
        <v>0</v>
      </c>
      <c r="W936" s="4">
        <f>VALUE(SUBSTITUTE(MID($A936,D936+D$2+1,E936-D936-D$2-1),",","."))</f>
        <v>0.76163538376907702</v>
      </c>
      <c r="X936" s="4">
        <f>VALUE(SUBSTITUTE(MID($A936,E936+E$2+1,F936-E936-E$2-1),",","."))</f>
        <v>0.90957602214449496</v>
      </c>
      <c r="Y936" s="4">
        <f>VALUE(SUBSTITUTE(MID($A936,F936+F$2+1,G936-F936-F$2-1),",","."))</f>
        <v>0.34189190433437</v>
      </c>
      <c r="Z936" s="3">
        <f>VALUE(SUBSTITUTE(MID($A936,G936+G$2+1,H936-G936-G$2-1),",","."))</f>
        <v>362.1</v>
      </c>
      <c r="AA936" s="3">
        <f>VALUE(SUBSTITUTE(MID($A936,H936+H$2+1,I936-H936-H$2-1),",","."))</f>
        <v>0</v>
      </c>
      <c r="AB936" s="3">
        <f>VALUE(SUBSTITUTE(MID($A936,I936+I$2+1,J936-I936-I$2-1),",","."))</f>
        <v>97.5</v>
      </c>
      <c r="AC936" s="3">
        <f>VALUE(SUBSTITUTE(MID($A936,J936+J$2+1,K936-J936-J$2-1),",","."))</f>
        <v>7.15</v>
      </c>
      <c r="AD936" s="3">
        <f>VALUE(SUBSTITUTE(MID($A936,K936+K$2+1,L936-K936-K$2-1),",","."))</f>
        <v>74.52</v>
      </c>
      <c r="AE936" s="3">
        <f>VALUE(SUBSTITUTE(MID($A936,L936+L$2+1,M936-L936-L$2-1),",","."))</f>
        <v>0</v>
      </c>
      <c r="AF936" s="3">
        <f>VALUE(SUBSTITUTE(MID($A936,M936+M$2+1,N936-M936-M$2-1),",","."))</f>
        <v>0</v>
      </c>
      <c r="AG936" s="3">
        <f>VALUE(SUBSTITUTE(MID($A936,N936+N$2+1,O936-N936-N$2-1),",","."))</f>
        <v>4.2300698002585602</v>
      </c>
      <c r="AH936" t="str">
        <f>MID($A936,O936+O$2+1,P936-O936-O$2-1)</f>
        <v/>
      </c>
      <c r="AI936" s="8" t="str">
        <f>MID($A936,P936+P$2+1,Q936-P936-P$2-1)</f>
        <v>False</v>
      </c>
      <c r="AK936" t="b">
        <f t="shared" si="124"/>
        <v>0</v>
      </c>
    </row>
    <row r="937" spans="1:37" x14ac:dyDescent="0.35">
      <c r="A937" t="s">
        <v>5484</v>
      </c>
      <c r="B937">
        <f t="shared" si="126"/>
        <v>10</v>
      </c>
      <c r="C937">
        <f t="shared" si="126"/>
        <v>43</v>
      </c>
      <c r="D937">
        <f t="shared" si="126"/>
        <v>54</v>
      </c>
      <c r="E937">
        <f t="shared" si="126"/>
        <v>97</v>
      </c>
      <c r="F937">
        <f t="shared" si="126"/>
        <v>141</v>
      </c>
      <c r="G937">
        <f t="shared" si="126"/>
        <v>179</v>
      </c>
      <c r="H937">
        <f t="shared" si="126"/>
        <v>215</v>
      </c>
      <c r="I937">
        <f t="shared" si="126"/>
        <v>237</v>
      </c>
      <c r="J937">
        <f t="shared" si="126"/>
        <v>273</v>
      </c>
      <c r="K937">
        <f t="shared" si="126"/>
        <v>293</v>
      </c>
      <c r="L937">
        <f t="shared" si="126"/>
        <v>312</v>
      </c>
      <c r="M937">
        <f t="shared" si="126"/>
        <v>327</v>
      </c>
      <c r="N937">
        <f t="shared" si="126"/>
        <v>339</v>
      </c>
      <c r="O937">
        <f t="shared" si="126"/>
        <v>365</v>
      </c>
      <c r="P937">
        <f t="shared" si="126"/>
        <v>383</v>
      </c>
      <c r="Q937">
        <f t="shared" si="127"/>
        <v>409</v>
      </c>
      <c r="S937" t="str">
        <f t="shared" si="121"/>
        <v>06.12.2025</v>
      </c>
      <c r="T937" t="str">
        <f t="shared" si="122"/>
        <v>12:45:00</v>
      </c>
      <c r="U937" t="str">
        <f t="shared" si="123"/>
        <v>06.12.2025 12:45:00</v>
      </c>
      <c r="V937" s="9" t="str">
        <f>MID($A937,C937+C$2+1,D937-C937-C$2-1)</f>
        <v>0</v>
      </c>
      <c r="W937" s="4">
        <f>VALUE(SUBSTITUTE(MID($A937,D937+D$2+1,E937-D937-D$2-1),",","."))</f>
        <v>0.74185894746110004</v>
      </c>
      <c r="X937" s="4">
        <f>VALUE(SUBSTITUTE(MID($A937,E937+E$2+1,F937-E937-E$2-1),",","."))</f>
        <v>0.90957602214449496</v>
      </c>
      <c r="Y937" s="4">
        <f>VALUE(SUBSTITUTE(MID($A937,F937+F$2+1,G937-F937-F$2-1),",","."))</f>
        <v>0.33671190965134701</v>
      </c>
      <c r="Z937" s="3">
        <f>VALUE(SUBSTITUTE(MID($A937,G937+G$2+1,H937-G937-G$2-1),",","."))</f>
        <v>362.1</v>
      </c>
      <c r="AA937" s="3">
        <f>VALUE(SUBSTITUTE(MID($A937,H937+H$2+1,I937-H937-H$2-1),",","."))</f>
        <v>0</v>
      </c>
      <c r="AB937" s="3">
        <f>VALUE(SUBSTITUTE(MID($A937,I937+I$2+1,J937-I937-I$2-1),",","."))</f>
        <v>97.5</v>
      </c>
      <c r="AC937" s="3">
        <f>VALUE(SUBSTITUTE(MID($A937,J937+J$2+1,K937-J937-J$2-1),",","."))</f>
        <v>7.15</v>
      </c>
      <c r="AD937" s="3">
        <f>VALUE(SUBSTITUTE(MID($A937,K937+K$2+1,L937-K937-K$2-1),",","."))</f>
        <v>74.52</v>
      </c>
      <c r="AE937" s="3">
        <f>VALUE(SUBSTITUTE(MID($A937,L937+L$2+1,M937-L937-L$2-1),",","."))</f>
        <v>0</v>
      </c>
      <c r="AF937" s="3">
        <f>VALUE(SUBSTITUTE(MID($A937,M937+M$2+1,N937-M937-M$2-1),",","."))</f>
        <v>0</v>
      </c>
      <c r="AG937" s="3">
        <f>VALUE(SUBSTITUTE(MID($A937,N937+N$2+1,O937-N937-N$2-1),",","."))</f>
        <v>4.2300983201466398</v>
      </c>
      <c r="AH937" t="str">
        <f>MID($A937,O937+O$2+1,P937-O937-O$2-1)</f>
        <v/>
      </c>
      <c r="AI937" s="8" t="str">
        <f>MID($A937,P937+P$2+1,Q937-P937-P$2-1)</f>
        <v>False</v>
      </c>
      <c r="AK937" t="b">
        <f t="shared" si="124"/>
        <v>0</v>
      </c>
    </row>
    <row r="938" spans="1:37" x14ac:dyDescent="0.35">
      <c r="A938" t="s">
        <v>5485</v>
      </c>
      <c r="B938">
        <f t="shared" si="126"/>
        <v>10</v>
      </c>
      <c r="C938">
        <f t="shared" si="126"/>
        <v>43</v>
      </c>
      <c r="D938">
        <f t="shared" si="126"/>
        <v>54</v>
      </c>
      <c r="E938">
        <f t="shared" si="126"/>
        <v>97</v>
      </c>
      <c r="F938">
        <f t="shared" si="126"/>
        <v>141</v>
      </c>
      <c r="G938">
        <f t="shared" si="126"/>
        <v>180</v>
      </c>
      <c r="H938">
        <f t="shared" si="126"/>
        <v>216</v>
      </c>
      <c r="I938">
        <f t="shared" si="126"/>
        <v>238</v>
      </c>
      <c r="J938">
        <f t="shared" si="126"/>
        <v>274</v>
      </c>
      <c r="K938">
        <f t="shared" si="126"/>
        <v>294</v>
      </c>
      <c r="L938">
        <f t="shared" si="126"/>
        <v>313</v>
      </c>
      <c r="M938">
        <f t="shared" si="126"/>
        <v>328</v>
      </c>
      <c r="N938">
        <f t="shared" si="126"/>
        <v>340</v>
      </c>
      <c r="O938">
        <f t="shared" si="126"/>
        <v>365</v>
      </c>
      <c r="P938">
        <f t="shared" si="126"/>
        <v>383</v>
      </c>
      <c r="Q938">
        <f t="shared" si="127"/>
        <v>409</v>
      </c>
      <c r="S938" t="str">
        <f t="shared" si="121"/>
        <v>06.12.2025</v>
      </c>
      <c r="T938" t="str">
        <f t="shared" si="122"/>
        <v>13:00:00</v>
      </c>
      <c r="U938" t="str">
        <f t="shared" si="123"/>
        <v>06.12.2025 13:00:00</v>
      </c>
      <c r="V938" s="9" t="str">
        <f>MID($A938,C938+C$2+1,D938-C938-C$2-1)</f>
        <v>0</v>
      </c>
      <c r="W938" s="4">
        <f>VALUE(SUBSTITUTE(MID($A938,D938+D$2+1,E938-D938-D$2-1),",","."))</f>
        <v>0.71852243584875897</v>
      </c>
      <c r="X938" s="4">
        <f>VALUE(SUBSTITUTE(MID($A938,E938+E$2+1,F938-E938-E$2-1),",","."))</f>
        <v>0.90957602214449496</v>
      </c>
      <c r="Y938" s="4">
        <f>VALUE(SUBSTITUTE(MID($A938,F938+F$2+1,G938-F938-F$2-1),",","."))</f>
        <v>0.32889550637102799</v>
      </c>
      <c r="Z938" s="3">
        <f>VALUE(SUBSTITUTE(MID($A938,G938+G$2+1,H938-G938-G$2-1),",","."))</f>
        <v>362.1</v>
      </c>
      <c r="AA938" s="3">
        <f>VALUE(SUBSTITUTE(MID($A938,H938+H$2+1,I938-H938-H$2-1),",","."))</f>
        <v>0</v>
      </c>
      <c r="AB938" s="3">
        <f>VALUE(SUBSTITUTE(MID($A938,I938+I$2+1,J938-I938-I$2-1),",","."))</f>
        <v>97.5</v>
      </c>
      <c r="AC938" s="3">
        <f>VALUE(SUBSTITUTE(MID($A938,J938+J$2+1,K938-J938-J$2-1),",","."))</f>
        <v>7.15</v>
      </c>
      <c r="AD938" s="3">
        <f>VALUE(SUBSTITUTE(MID($A938,K938+K$2+1,L938-K938-K$2-1),",","."))</f>
        <v>74.52</v>
      </c>
      <c r="AE938" s="3">
        <f>VALUE(SUBSTITUTE(MID($A938,L938+L$2+1,M938-L938-L$2-1),",","."))</f>
        <v>0</v>
      </c>
      <c r="AF938" s="3">
        <f>VALUE(SUBSTITUTE(MID($A938,M938+M$2+1,N938-M938-M$2-1),",","."))</f>
        <v>0</v>
      </c>
      <c r="AG938" s="3">
        <f>VALUE(SUBSTITUTE(MID($A938,N938+N$2+1,O938-N938-N$2-1),",","."))</f>
        <v>4.2301268400347301</v>
      </c>
      <c r="AH938" t="str">
        <f>MID($A938,O938+O$2+1,P938-O938-O$2-1)</f>
        <v/>
      </c>
      <c r="AI938" s="8" t="str">
        <f>MID($A938,P938+P$2+1,Q938-P938-P$2-1)</f>
        <v>False</v>
      </c>
      <c r="AK938" t="b">
        <f t="shared" si="124"/>
        <v>0</v>
      </c>
    </row>
    <row r="939" spans="1:37" x14ac:dyDescent="0.35">
      <c r="A939" t="s">
        <v>5486</v>
      </c>
      <c r="B939">
        <f t="shared" si="126"/>
        <v>10</v>
      </c>
      <c r="C939">
        <f t="shared" si="126"/>
        <v>43</v>
      </c>
      <c r="D939">
        <f t="shared" si="126"/>
        <v>54</v>
      </c>
      <c r="E939">
        <f t="shared" si="126"/>
        <v>97</v>
      </c>
      <c r="F939">
        <f t="shared" si="126"/>
        <v>141</v>
      </c>
      <c r="G939">
        <f t="shared" si="126"/>
        <v>179</v>
      </c>
      <c r="H939">
        <f t="shared" si="126"/>
        <v>215</v>
      </c>
      <c r="I939">
        <f t="shared" si="126"/>
        <v>237</v>
      </c>
      <c r="J939">
        <f t="shared" si="126"/>
        <v>273</v>
      </c>
      <c r="K939">
        <f t="shared" si="126"/>
        <v>293</v>
      </c>
      <c r="L939">
        <f t="shared" si="126"/>
        <v>312</v>
      </c>
      <c r="M939">
        <f t="shared" si="126"/>
        <v>327</v>
      </c>
      <c r="N939">
        <f t="shared" si="126"/>
        <v>339</v>
      </c>
      <c r="O939">
        <f t="shared" si="126"/>
        <v>364</v>
      </c>
      <c r="P939">
        <f t="shared" si="126"/>
        <v>382</v>
      </c>
      <c r="Q939">
        <f t="shared" si="127"/>
        <v>408</v>
      </c>
      <c r="S939" t="str">
        <f t="shared" si="121"/>
        <v>06.12.2025</v>
      </c>
      <c r="T939" t="str">
        <f t="shared" si="122"/>
        <v>13:15:00</v>
      </c>
      <c r="U939" t="str">
        <f t="shared" si="123"/>
        <v>06.12.2025 13:15:00</v>
      </c>
      <c r="V939" s="9" t="str">
        <f>MID($A939,C939+C$2+1,D939-C939-C$2-1)</f>
        <v>0</v>
      </c>
      <c r="W939" s="4">
        <f>VALUE(SUBSTITUTE(MID($A939,D939+D$2+1,E939-D939-D$2-1),",","."))</f>
        <v>0.69172655083528001</v>
      </c>
      <c r="X939" s="4">
        <f>VALUE(SUBSTITUTE(MID($A939,E939+E$2+1,F939-E939-E$2-1),",","."))</f>
        <v>0.90957602214449496</v>
      </c>
      <c r="Y939" s="4">
        <f>VALUE(SUBSTITUTE(MID($A939,F939+F$2+1,G939-F939-F$2-1),",","."))</f>
        <v>0.31847709150272302</v>
      </c>
      <c r="Z939" s="3">
        <f>VALUE(SUBSTITUTE(MID($A939,G939+G$2+1,H939-G939-G$2-1),",","."))</f>
        <v>362.1</v>
      </c>
      <c r="AA939" s="3">
        <f>VALUE(SUBSTITUTE(MID($A939,H939+H$2+1,I939-H939-H$2-1),",","."))</f>
        <v>0</v>
      </c>
      <c r="AB939" s="3">
        <f>VALUE(SUBSTITUTE(MID($A939,I939+I$2+1,J939-I939-I$2-1),",","."))</f>
        <v>97.5</v>
      </c>
      <c r="AC939" s="3">
        <f>VALUE(SUBSTITUTE(MID($A939,J939+J$2+1,K939-J939-J$2-1),",","."))</f>
        <v>7.15</v>
      </c>
      <c r="AD939" s="3">
        <f>VALUE(SUBSTITUTE(MID($A939,K939+K$2+1,L939-K939-K$2-1),",","."))</f>
        <v>74.52</v>
      </c>
      <c r="AE939" s="3">
        <f>VALUE(SUBSTITUTE(MID($A939,L939+L$2+1,M939-L939-L$2-1),",","."))</f>
        <v>0</v>
      </c>
      <c r="AF939" s="3">
        <f>VALUE(SUBSTITUTE(MID($A939,M939+M$2+1,N939-M939-M$2-1),",","."))</f>
        <v>0</v>
      </c>
      <c r="AG939" s="3">
        <f>VALUE(SUBSTITUTE(MID($A939,N939+N$2+1,O939-N939-N$2-1),",","."))</f>
        <v>4.2301553599228097</v>
      </c>
      <c r="AH939" t="str">
        <f>MID($A939,O939+O$2+1,P939-O939-O$2-1)</f>
        <v/>
      </c>
      <c r="AI939" s="8" t="str">
        <f>MID($A939,P939+P$2+1,Q939-P939-P$2-1)</f>
        <v>False</v>
      </c>
      <c r="AK939" t="b">
        <f t="shared" si="124"/>
        <v>0</v>
      </c>
    </row>
    <row r="940" spans="1:37" x14ac:dyDescent="0.35">
      <c r="A940" t="s">
        <v>5487</v>
      </c>
      <c r="B940">
        <f t="shared" si="126"/>
        <v>10</v>
      </c>
      <c r="C940">
        <f t="shared" si="126"/>
        <v>43</v>
      </c>
      <c r="D940">
        <f t="shared" si="126"/>
        <v>54</v>
      </c>
      <c r="E940">
        <f t="shared" si="126"/>
        <v>97</v>
      </c>
      <c r="F940">
        <f t="shared" si="126"/>
        <v>141</v>
      </c>
      <c r="G940">
        <f t="shared" si="126"/>
        <v>178</v>
      </c>
      <c r="H940">
        <f t="shared" si="126"/>
        <v>226</v>
      </c>
      <c r="I940">
        <f t="shared" si="126"/>
        <v>248</v>
      </c>
      <c r="J940">
        <f t="shared" si="126"/>
        <v>284</v>
      </c>
      <c r="K940">
        <f t="shared" ref="K940:P982" si="128">FIND(K$1,$A940)</f>
        <v>304</v>
      </c>
      <c r="L940">
        <f t="shared" si="128"/>
        <v>335</v>
      </c>
      <c r="M940">
        <f t="shared" si="128"/>
        <v>350</v>
      </c>
      <c r="N940">
        <f t="shared" si="128"/>
        <v>362</v>
      </c>
      <c r="O940">
        <f t="shared" si="128"/>
        <v>387</v>
      </c>
      <c r="P940">
        <f t="shared" si="128"/>
        <v>405</v>
      </c>
      <c r="Q940">
        <f t="shared" si="127"/>
        <v>431</v>
      </c>
      <c r="S940" t="str">
        <f t="shared" si="121"/>
        <v>06.12.2025</v>
      </c>
      <c r="T940" t="str">
        <f t="shared" si="122"/>
        <v>13:30:00</v>
      </c>
      <c r="U940" t="str">
        <f t="shared" si="123"/>
        <v>06.12.2025 13:30:00</v>
      </c>
      <c r="V940" s="9" t="str">
        <f>MID($A940,C940+C$2+1,D940-C940-C$2-1)</f>
        <v>0</v>
      </c>
      <c r="W940" s="4">
        <f>VALUE(SUBSTITUTE(MID($A940,D940+D$2+1,E940-D940-D$2-1),",","."))</f>
        <v>0.66158718945132</v>
      </c>
      <c r="X940" s="4">
        <f>VALUE(SUBSTITUTE(MID($A940,E940+E$2+1,F940-E940-E$2-1),",","."))</f>
        <v>0.90957602214449496</v>
      </c>
      <c r="Y940" s="4">
        <f>VALUE(SUBSTITUTE(MID($A940,F940+F$2+1,G940-F940-F$2-1),",","."))</f>
        <v>0.30550267360323102</v>
      </c>
      <c r="Z940" s="3">
        <f>VALUE(SUBSTITUTE(MID($A940,G940+G$2+1,H940-G940-G$2-1),",","."))</f>
        <v>341.849999999999</v>
      </c>
      <c r="AA940" s="3">
        <f>VALUE(SUBSTITUTE(MID($A940,H940+H$2+1,I940-H940-H$2-1),",","."))</f>
        <v>0</v>
      </c>
      <c r="AB940" s="3">
        <f>VALUE(SUBSTITUTE(MID($A940,I940+I$2+1,J940-I940-I$2-1),",","."))</f>
        <v>88.5</v>
      </c>
      <c r="AC940" s="3">
        <f>VALUE(SUBSTITUTE(MID($A940,J940+J$2+1,K940-J940-J$2-1),",","."))</f>
        <v>6.75</v>
      </c>
      <c r="AD940" s="3">
        <f>VALUE(SUBSTITUTE(MID($A940,K940+K$2+1,L940-K940-K$2-1),",","."))</f>
        <v>73.259999999999906</v>
      </c>
      <c r="AE940" s="3">
        <f>VALUE(SUBSTITUTE(MID($A940,L940+L$2+1,M940-L940-L$2-1),",","."))</f>
        <v>0</v>
      </c>
      <c r="AF940" s="3">
        <f>VALUE(SUBSTITUTE(MID($A940,M940+M$2+1,N940-M940-M$2-1),",","."))</f>
        <v>0</v>
      </c>
      <c r="AG940" s="3">
        <f>VALUE(SUBSTITUTE(MID($A940,N940+N$2+1,O940-N940-N$2-1),",","."))</f>
        <v>4.2301838798108902</v>
      </c>
      <c r="AH940" t="str">
        <f>MID($A940,O940+O$2+1,P940-O940-O$2-1)</f>
        <v/>
      </c>
      <c r="AI940" s="8" t="str">
        <f>MID($A940,P940+P$2+1,Q940-P940-P$2-1)</f>
        <v>False</v>
      </c>
      <c r="AK940" t="b">
        <f t="shared" si="124"/>
        <v>0</v>
      </c>
    </row>
    <row r="941" spans="1:37" x14ac:dyDescent="0.35">
      <c r="A941" t="s">
        <v>5488</v>
      </c>
      <c r="B941">
        <f t="shared" ref="B941:J969" si="129">FIND(B$1,$A941)</f>
        <v>10</v>
      </c>
      <c r="C941">
        <f t="shared" si="129"/>
        <v>43</v>
      </c>
      <c r="D941">
        <f t="shared" si="129"/>
        <v>54</v>
      </c>
      <c r="E941">
        <f t="shared" si="129"/>
        <v>97</v>
      </c>
      <c r="F941">
        <f t="shared" si="129"/>
        <v>141</v>
      </c>
      <c r="G941">
        <f t="shared" si="129"/>
        <v>180</v>
      </c>
      <c r="H941">
        <f t="shared" si="129"/>
        <v>228</v>
      </c>
      <c r="I941">
        <f t="shared" si="129"/>
        <v>250</v>
      </c>
      <c r="J941">
        <f t="shared" si="129"/>
        <v>286</v>
      </c>
      <c r="K941">
        <f t="shared" si="128"/>
        <v>306</v>
      </c>
      <c r="L941">
        <f t="shared" si="128"/>
        <v>337</v>
      </c>
      <c r="M941">
        <f t="shared" si="128"/>
        <v>352</v>
      </c>
      <c r="N941">
        <f t="shared" si="128"/>
        <v>364</v>
      </c>
      <c r="O941">
        <f t="shared" si="128"/>
        <v>389</v>
      </c>
      <c r="P941">
        <f t="shared" si="128"/>
        <v>407</v>
      </c>
      <c r="Q941">
        <f t="shared" si="127"/>
        <v>433</v>
      </c>
      <c r="S941" t="str">
        <f t="shared" si="121"/>
        <v>06.12.2025</v>
      </c>
      <c r="T941" t="str">
        <f t="shared" si="122"/>
        <v>13:45:00</v>
      </c>
      <c r="U941" t="str">
        <f t="shared" si="123"/>
        <v>06.12.2025 13:45:00</v>
      </c>
      <c r="V941" s="9" t="str">
        <f>MID($A941,C941+C$2+1,D941-C941-C$2-1)</f>
        <v>0</v>
      </c>
      <c r="W941" s="4">
        <f>VALUE(SUBSTITUTE(MID($A941,D941+D$2+1,E941-D941-D$2-1),",","."))</f>
        <v>0.62823508740937695</v>
      </c>
      <c r="X941" s="4">
        <f>VALUE(SUBSTITUTE(MID($A941,E941+E$2+1,F941-E941-E$2-1),",","."))</f>
        <v>0.90957602214449496</v>
      </c>
      <c r="Y941" s="4">
        <f>VALUE(SUBSTITUTE(MID($A941,F941+F$2+1,G941-F941-F$2-1),",","."))</f>
        <v>0.290029845645562</v>
      </c>
      <c r="Z941" s="3">
        <f>VALUE(SUBSTITUTE(MID($A941,G941+G$2+1,H941-G941-G$2-1),",","."))</f>
        <v>341.849999999999</v>
      </c>
      <c r="AA941" s="3">
        <f>VALUE(SUBSTITUTE(MID($A941,H941+H$2+1,I941-H941-H$2-1),",","."))</f>
        <v>0</v>
      </c>
      <c r="AB941" s="3">
        <f>VALUE(SUBSTITUTE(MID($A941,I941+I$2+1,J941-I941-I$2-1),",","."))</f>
        <v>88.5</v>
      </c>
      <c r="AC941" s="3">
        <f>VALUE(SUBSTITUTE(MID($A941,J941+J$2+1,K941-J941-J$2-1),",","."))</f>
        <v>6.75</v>
      </c>
      <c r="AD941" s="3">
        <f>VALUE(SUBSTITUTE(MID($A941,K941+K$2+1,L941-K941-K$2-1),",","."))</f>
        <v>73.259999999999906</v>
      </c>
      <c r="AE941" s="3">
        <f>VALUE(SUBSTITUTE(MID($A941,L941+L$2+1,M941-L941-L$2-1),",","."))</f>
        <v>0</v>
      </c>
      <c r="AF941" s="3">
        <f>VALUE(SUBSTITUTE(MID($A941,M941+M$2+1,N941-M941-M$2-1),",","."))</f>
        <v>0</v>
      </c>
      <c r="AG941" s="3">
        <f>VALUE(SUBSTITUTE(MID($A941,N941+N$2+1,O941-N941-N$2-1),",","."))</f>
        <v>4.2302123996989698</v>
      </c>
      <c r="AH941" t="str">
        <f>MID($A941,O941+O$2+1,P941-O941-O$2-1)</f>
        <v/>
      </c>
      <c r="AI941" s="8" t="str">
        <f>MID($A941,P941+P$2+1,Q941-P941-P$2-1)</f>
        <v>False</v>
      </c>
      <c r="AK941" t="b">
        <f t="shared" si="124"/>
        <v>0</v>
      </c>
    </row>
    <row r="942" spans="1:37" x14ac:dyDescent="0.35">
      <c r="A942" t="s">
        <v>5489</v>
      </c>
      <c r="B942">
        <f t="shared" si="129"/>
        <v>10</v>
      </c>
      <c r="C942">
        <f t="shared" si="129"/>
        <v>43</v>
      </c>
      <c r="D942">
        <f t="shared" si="129"/>
        <v>54</v>
      </c>
      <c r="E942">
        <f t="shared" si="129"/>
        <v>97</v>
      </c>
      <c r="F942">
        <f t="shared" si="129"/>
        <v>141</v>
      </c>
      <c r="G942">
        <f t="shared" si="129"/>
        <v>179</v>
      </c>
      <c r="H942">
        <f t="shared" si="129"/>
        <v>227</v>
      </c>
      <c r="I942">
        <f t="shared" si="129"/>
        <v>249</v>
      </c>
      <c r="J942">
        <f t="shared" si="129"/>
        <v>285</v>
      </c>
      <c r="K942">
        <f t="shared" si="128"/>
        <v>305</v>
      </c>
      <c r="L942">
        <f t="shared" si="128"/>
        <v>336</v>
      </c>
      <c r="M942">
        <f t="shared" si="128"/>
        <v>351</v>
      </c>
      <c r="N942">
        <f t="shared" si="128"/>
        <v>363</v>
      </c>
      <c r="O942">
        <f t="shared" si="128"/>
        <v>388</v>
      </c>
      <c r="P942">
        <f t="shared" si="128"/>
        <v>406</v>
      </c>
      <c r="Q942">
        <f t="shared" si="127"/>
        <v>432</v>
      </c>
      <c r="S942" t="str">
        <f t="shared" si="121"/>
        <v>06.12.2025</v>
      </c>
      <c r="T942" t="str">
        <f t="shared" si="122"/>
        <v>14:00:00</v>
      </c>
      <c r="U942" t="str">
        <f t="shared" si="123"/>
        <v>06.12.2025 14:00:00</v>
      </c>
      <c r="V942" s="9" t="str">
        <f>MID($A942,C942+C$2+1,D942-C942-C$2-1)</f>
        <v>0</v>
      </c>
      <c r="W942" s="4">
        <f>VALUE(SUBSTITUTE(MID($A942,D942+D$2+1,E942-D942-D$2-1),",","."))</f>
        <v>0.59181548792646599</v>
      </c>
      <c r="X942" s="4">
        <f>VALUE(SUBSTITUTE(MID($A942,E942+E$2+1,F942-E942-E$2-1),",","."))</f>
        <v>0.90957602214449496</v>
      </c>
      <c r="Y942" s="4">
        <f>VALUE(SUBSTITUTE(MID($A942,F942+F$2+1,G942-F942-F$2-1),",","."))</f>
        <v>0.27212781631633998</v>
      </c>
      <c r="Z942" s="3">
        <f>VALUE(SUBSTITUTE(MID($A942,G942+G$2+1,H942-G942-G$2-1),",","."))</f>
        <v>341.849999999999</v>
      </c>
      <c r="AA942" s="3">
        <f>VALUE(SUBSTITUTE(MID($A942,H942+H$2+1,I942-H942-H$2-1),",","."))</f>
        <v>0</v>
      </c>
      <c r="AB942" s="3">
        <f>VALUE(SUBSTITUTE(MID($A942,I942+I$2+1,J942-I942-I$2-1),",","."))</f>
        <v>88.5</v>
      </c>
      <c r="AC942" s="3">
        <f>VALUE(SUBSTITUTE(MID($A942,J942+J$2+1,K942-J942-J$2-1),",","."))</f>
        <v>6.75</v>
      </c>
      <c r="AD942" s="3">
        <f>VALUE(SUBSTITUTE(MID($A942,K942+K$2+1,L942-K942-K$2-1),",","."))</f>
        <v>73.259999999999906</v>
      </c>
      <c r="AE942" s="3">
        <f>VALUE(SUBSTITUTE(MID($A942,L942+L$2+1,M942-L942-L$2-1),",","."))</f>
        <v>0</v>
      </c>
      <c r="AF942" s="3">
        <f>VALUE(SUBSTITUTE(MID($A942,M942+M$2+1,N942-M942-M$2-1),",","."))</f>
        <v>0</v>
      </c>
      <c r="AG942" s="3">
        <f>VALUE(SUBSTITUTE(MID($A942,N942+N$2+1,O942-N942-N$2-1),",","."))</f>
        <v>4.2302409195870503</v>
      </c>
      <c r="AH942" t="str">
        <f>MID($A942,O942+O$2+1,P942-O942-O$2-1)</f>
        <v/>
      </c>
      <c r="AI942" s="8" t="str">
        <f>MID($A942,P942+P$2+1,Q942-P942-P$2-1)</f>
        <v>False</v>
      </c>
      <c r="AK942" t="b">
        <f t="shared" si="124"/>
        <v>0</v>
      </c>
    </row>
    <row r="943" spans="1:37" x14ac:dyDescent="0.35">
      <c r="A943" t="s">
        <v>5490</v>
      </c>
      <c r="B943">
        <f t="shared" si="129"/>
        <v>10</v>
      </c>
      <c r="C943">
        <f t="shared" si="129"/>
        <v>43</v>
      </c>
      <c r="D943">
        <f t="shared" si="129"/>
        <v>54</v>
      </c>
      <c r="E943">
        <f t="shared" si="129"/>
        <v>97</v>
      </c>
      <c r="F943">
        <f t="shared" si="129"/>
        <v>141</v>
      </c>
      <c r="G943">
        <f t="shared" si="129"/>
        <v>179</v>
      </c>
      <c r="H943">
        <f t="shared" si="129"/>
        <v>227</v>
      </c>
      <c r="I943">
        <f t="shared" si="129"/>
        <v>249</v>
      </c>
      <c r="J943">
        <f t="shared" si="129"/>
        <v>285</v>
      </c>
      <c r="K943">
        <f t="shared" si="128"/>
        <v>305</v>
      </c>
      <c r="L943">
        <f t="shared" si="128"/>
        <v>336</v>
      </c>
      <c r="M943">
        <f t="shared" si="128"/>
        <v>351</v>
      </c>
      <c r="N943">
        <f t="shared" si="128"/>
        <v>363</v>
      </c>
      <c r="O943">
        <f t="shared" si="128"/>
        <v>388</v>
      </c>
      <c r="P943">
        <f t="shared" si="128"/>
        <v>406</v>
      </c>
      <c r="Q943">
        <f t="shared" si="127"/>
        <v>432</v>
      </c>
      <c r="S943" t="str">
        <f t="shared" si="121"/>
        <v>06.12.2025</v>
      </c>
      <c r="T943" t="str">
        <f t="shared" si="122"/>
        <v>14:15:00</v>
      </c>
      <c r="U943" t="str">
        <f t="shared" si="123"/>
        <v>06.12.2025 14:15:00</v>
      </c>
      <c r="V943" s="9" t="str">
        <f>MID($A943,C943+C$2+1,D943-C943-C$2-1)</f>
        <v>0</v>
      </c>
      <c r="W943" s="4">
        <f>VALUE(SUBSTITUTE(MID($A943,D943+D$2+1,E943-D943-D$2-1),",","."))</f>
        <v>0.55248790156128202</v>
      </c>
      <c r="X943" s="4">
        <f>VALUE(SUBSTITUTE(MID($A943,E943+E$2+1,F943-E943-E$2-1),",","."))</f>
        <v>0.90957602214449496</v>
      </c>
      <c r="Y943" s="4">
        <f>VALUE(SUBSTITUTE(MID($A943,F943+F$2+1,G943-F943-F$2-1),",","."))</f>
        <v>0.25187757747227202</v>
      </c>
      <c r="Z943" s="3">
        <f>VALUE(SUBSTITUTE(MID($A943,G943+G$2+1,H943-G943-G$2-1),",","."))</f>
        <v>341.849999999999</v>
      </c>
      <c r="AA943" s="3">
        <f>VALUE(SUBSTITUTE(MID($A943,H943+H$2+1,I943-H943-H$2-1),",","."))</f>
        <v>0</v>
      </c>
      <c r="AB943" s="3">
        <f>VALUE(SUBSTITUTE(MID($A943,I943+I$2+1,J943-I943-I$2-1),",","."))</f>
        <v>88.5</v>
      </c>
      <c r="AC943" s="3">
        <f>VALUE(SUBSTITUTE(MID($A943,J943+J$2+1,K943-J943-J$2-1),",","."))</f>
        <v>6.75</v>
      </c>
      <c r="AD943" s="3">
        <f>VALUE(SUBSTITUTE(MID($A943,K943+K$2+1,L943-K943-K$2-1),",","."))</f>
        <v>73.259999999999906</v>
      </c>
      <c r="AE943" s="3">
        <f>VALUE(SUBSTITUTE(MID($A943,L943+L$2+1,M943-L943-L$2-1),",","."))</f>
        <v>0</v>
      </c>
      <c r="AF943" s="3">
        <f>VALUE(SUBSTITUTE(MID($A943,M943+M$2+1,N943-M943-M$2-1),",","."))</f>
        <v>0</v>
      </c>
      <c r="AG943" s="3">
        <f>VALUE(SUBSTITUTE(MID($A943,N943+N$2+1,O943-N943-N$2-1),",","."))</f>
        <v>4.2302694394751299</v>
      </c>
      <c r="AH943" t="str">
        <f>MID($A943,O943+O$2+1,P943-O943-O$2-1)</f>
        <v/>
      </c>
      <c r="AI943" s="8" t="str">
        <f>MID($A943,P943+P$2+1,Q943-P943-P$2-1)</f>
        <v>False</v>
      </c>
      <c r="AK943" t="b">
        <f t="shared" si="124"/>
        <v>0</v>
      </c>
    </row>
    <row r="944" spans="1:37" x14ac:dyDescent="0.35">
      <c r="A944" t="s">
        <v>5491</v>
      </c>
      <c r="B944">
        <f t="shared" si="129"/>
        <v>10</v>
      </c>
      <c r="C944">
        <f t="shared" si="129"/>
        <v>43</v>
      </c>
      <c r="D944">
        <f t="shared" si="129"/>
        <v>54</v>
      </c>
      <c r="E944">
        <f t="shared" si="129"/>
        <v>97</v>
      </c>
      <c r="F944">
        <f t="shared" si="129"/>
        <v>141</v>
      </c>
      <c r="G944">
        <f t="shared" si="129"/>
        <v>179</v>
      </c>
      <c r="H944">
        <f t="shared" si="129"/>
        <v>228</v>
      </c>
      <c r="I944">
        <f t="shared" si="129"/>
        <v>250</v>
      </c>
      <c r="J944">
        <f t="shared" si="129"/>
        <v>284</v>
      </c>
      <c r="K944">
        <f t="shared" si="128"/>
        <v>303</v>
      </c>
      <c r="L944">
        <f t="shared" si="128"/>
        <v>334</v>
      </c>
      <c r="M944">
        <f t="shared" si="128"/>
        <v>349</v>
      </c>
      <c r="N944">
        <f t="shared" si="128"/>
        <v>361</v>
      </c>
      <c r="O944">
        <f t="shared" si="128"/>
        <v>385</v>
      </c>
      <c r="P944">
        <f t="shared" si="128"/>
        <v>403</v>
      </c>
      <c r="Q944">
        <f t="shared" si="127"/>
        <v>429</v>
      </c>
      <c r="S944" t="str">
        <f t="shared" si="121"/>
        <v>06.12.2025</v>
      </c>
      <c r="T944" t="str">
        <f t="shared" si="122"/>
        <v>14:30:00</v>
      </c>
      <c r="U944" t="str">
        <f t="shared" si="123"/>
        <v>06.12.2025 14:30:00</v>
      </c>
      <c r="V944" s="9" t="str">
        <f>MID($A944,C944+C$2+1,D944-C944-C$2-1)</f>
        <v>0</v>
      </c>
      <c r="W944" s="4">
        <f>VALUE(SUBSTITUTE(MID($A944,D944+D$2+1,E944-D944-D$2-1),",","."))</f>
        <v>0.51042608315621996</v>
      </c>
      <c r="X944" s="4">
        <f>VALUE(SUBSTITUTE(MID($A944,E944+E$2+1,F944-E944-E$2-1),",","."))</f>
        <v>0.90957602214449496</v>
      </c>
      <c r="Y944" s="4">
        <f>VALUE(SUBSTITUTE(MID($A944,F944+F$2+1,G944-F944-F$2-1),",","."))</f>
        <v>0.229372359099695</v>
      </c>
      <c r="Z944" s="3">
        <f>VALUE(SUBSTITUTE(MID($A944,G944+G$2+1,H944-G944-G$2-1),",","."))</f>
        <v>309.98333333333301</v>
      </c>
      <c r="AA944" s="3">
        <f>VALUE(SUBSTITUTE(MID($A944,H944+H$2+1,I944-H944-H$2-1),",","."))</f>
        <v>0</v>
      </c>
      <c r="AB944" s="3">
        <f>VALUE(SUBSTITUTE(MID($A944,I944+I$2+1,J944-I944-I$2-1),",","."))</f>
        <v>68</v>
      </c>
      <c r="AC944" s="3">
        <f>VALUE(SUBSTITUTE(MID($A944,J944+J$2+1,K944-J944-J$2-1),",","."))</f>
        <v>6.1</v>
      </c>
      <c r="AD944" s="3">
        <f>VALUE(SUBSTITUTE(MID($A944,K944+K$2+1,L944-K944-K$2-1),",","."))</f>
        <v>68.759999999999906</v>
      </c>
      <c r="AE944" s="3">
        <f>VALUE(SUBSTITUTE(MID($A944,L944+L$2+1,M944-L944-L$2-1),",","."))</f>
        <v>0</v>
      </c>
      <c r="AF944" s="3">
        <f>VALUE(SUBSTITUTE(MID($A944,M944+M$2+1,N944-M944-M$2-1),",","."))</f>
        <v>0</v>
      </c>
      <c r="AG944" s="3">
        <f>VALUE(SUBSTITUTE(MID($A944,N944+N$2+1,O944-N944-N$2-1),",","."))</f>
        <v>4.2302979593632202</v>
      </c>
      <c r="AH944" t="str">
        <f>MID($A944,O944+O$2+1,P944-O944-O$2-1)</f>
        <v/>
      </c>
      <c r="AI944" s="8" t="str">
        <f>MID($A944,P944+P$2+1,Q944-P944-P$2-1)</f>
        <v>False</v>
      </c>
      <c r="AK944" t="b">
        <f t="shared" si="124"/>
        <v>0</v>
      </c>
    </row>
    <row r="945" spans="1:37" x14ac:dyDescent="0.35">
      <c r="A945" t="s">
        <v>5492</v>
      </c>
      <c r="B945">
        <f t="shared" si="129"/>
        <v>10</v>
      </c>
      <c r="C945">
        <f t="shared" si="129"/>
        <v>43</v>
      </c>
      <c r="D945">
        <f t="shared" si="129"/>
        <v>54</v>
      </c>
      <c r="E945">
        <f t="shared" si="129"/>
        <v>97</v>
      </c>
      <c r="F945">
        <f t="shared" si="129"/>
        <v>141</v>
      </c>
      <c r="G945">
        <f t="shared" si="129"/>
        <v>179</v>
      </c>
      <c r="H945">
        <f t="shared" si="129"/>
        <v>228</v>
      </c>
      <c r="I945">
        <f t="shared" si="129"/>
        <v>250</v>
      </c>
      <c r="J945">
        <f t="shared" si="129"/>
        <v>284</v>
      </c>
      <c r="K945">
        <f t="shared" si="128"/>
        <v>303</v>
      </c>
      <c r="L945">
        <f t="shared" si="128"/>
        <v>334</v>
      </c>
      <c r="M945">
        <f t="shared" si="128"/>
        <v>349</v>
      </c>
      <c r="N945">
        <f t="shared" si="128"/>
        <v>361</v>
      </c>
      <c r="O945">
        <f t="shared" si="128"/>
        <v>386</v>
      </c>
      <c r="P945">
        <f t="shared" si="128"/>
        <v>404</v>
      </c>
      <c r="Q945">
        <f t="shared" si="127"/>
        <v>430</v>
      </c>
      <c r="S945" t="str">
        <f t="shared" si="121"/>
        <v>06.12.2025</v>
      </c>
      <c r="T945" t="str">
        <f t="shared" si="122"/>
        <v>14:45:00</v>
      </c>
      <c r="U945" t="str">
        <f t="shared" si="123"/>
        <v>06.12.2025 14:45:00</v>
      </c>
      <c r="V945" s="9" t="str">
        <f>MID($A945,C945+C$2+1,D945-C945-C$2-1)</f>
        <v>0</v>
      </c>
      <c r="W945" s="4">
        <f>VALUE(SUBSTITUTE(MID($A945,D945+D$2+1,E945-D945-D$2-1),",","."))</f>
        <v>0.46581848490546501</v>
      </c>
      <c r="X945" s="4">
        <f>VALUE(SUBSTITUTE(MID($A945,E945+E$2+1,F945-E945-E$2-1),",","."))</f>
        <v>0.90957602214449496</v>
      </c>
      <c r="Y945" s="4">
        <f>VALUE(SUBSTITUTE(MID($A945,F945+F$2+1,G945-F945-F$2-1),",","."))</f>
        <v>0.204718684531874</v>
      </c>
      <c r="Z945" s="3">
        <f>VALUE(SUBSTITUTE(MID($A945,G945+G$2+1,H945-G945-G$2-1),",","."))</f>
        <v>309.98333333333301</v>
      </c>
      <c r="AA945" s="3">
        <f>VALUE(SUBSTITUTE(MID($A945,H945+H$2+1,I945-H945-H$2-1),",","."))</f>
        <v>0</v>
      </c>
      <c r="AB945" s="3">
        <f>VALUE(SUBSTITUTE(MID($A945,I945+I$2+1,J945-I945-I$2-1),",","."))</f>
        <v>68</v>
      </c>
      <c r="AC945" s="3">
        <f>VALUE(SUBSTITUTE(MID($A945,J945+J$2+1,K945-J945-J$2-1),",","."))</f>
        <v>6.1</v>
      </c>
      <c r="AD945" s="3">
        <f>VALUE(SUBSTITUTE(MID($A945,K945+K$2+1,L945-K945-K$2-1),",","."))</f>
        <v>68.759999999999906</v>
      </c>
      <c r="AE945" s="3">
        <f>VALUE(SUBSTITUTE(MID($A945,L945+L$2+1,M945-L945-L$2-1),",","."))</f>
        <v>0</v>
      </c>
      <c r="AF945" s="3">
        <f>VALUE(SUBSTITUTE(MID($A945,M945+M$2+1,N945-M945-M$2-1),",","."))</f>
        <v>0</v>
      </c>
      <c r="AG945" s="3">
        <f>VALUE(SUBSTITUTE(MID($A945,N945+N$2+1,O945-N945-N$2-1),",","."))</f>
        <v>4.2303264792512998</v>
      </c>
      <c r="AH945" t="str">
        <f>MID($A945,O945+O$2+1,P945-O945-O$2-1)</f>
        <v/>
      </c>
      <c r="AI945" s="8" t="str">
        <f>MID($A945,P945+P$2+1,Q945-P945-P$2-1)</f>
        <v>False</v>
      </c>
      <c r="AK945" t="b">
        <f t="shared" si="124"/>
        <v>0</v>
      </c>
    </row>
    <row r="946" spans="1:37" x14ac:dyDescent="0.35">
      <c r="A946" t="s">
        <v>5493</v>
      </c>
      <c r="B946">
        <f t="shared" si="129"/>
        <v>10</v>
      </c>
      <c r="C946">
        <f t="shared" si="129"/>
        <v>43</v>
      </c>
      <c r="D946">
        <f t="shared" si="129"/>
        <v>54</v>
      </c>
      <c r="E946">
        <f t="shared" si="129"/>
        <v>97</v>
      </c>
      <c r="F946">
        <f t="shared" si="129"/>
        <v>141</v>
      </c>
      <c r="G946">
        <f t="shared" si="129"/>
        <v>180</v>
      </c>
      <c r="H946">
        <f t="shared" si="129"/>
        <v>229</v>
      </c>
      <c r="I946">
        <f t="shared" si="129"/>
        <v>251</v>
      </c>
      <c r="J946">
        <f t="shared" si="129"/>
        <v>285</v>
      </c>
      <c r="K946">
        <f t="shared" si="128"/>
        <v>304</v>
      </c>
      <c r="L946">
        <f t="shared" si="128"/>
        <v>335</v>
      </c>
      <c r="M946">
        <f t="shared" si="128"/>
        <v>350</v>
      </c>
      <c r="N946">
        <f t="shared" si="128"/>
        <v>362</v>
      </c>
      <c r="O946">
        <f t="shared" si="128"/>
        <v>387</v>
      </c>
      <c r="P946">
        <f t="shared" si="128"/>
        <v>405</v>
      </c>
      <c r="Q946">
        <f t="shared" si="127"/>
        <v>431</v>
      </c>
      <c r="S946" t="str">
        <f t="shared" si="121"/>
        <v>06.12.2025</v>
      </c>
      <c r="T946" t="str">
        <f t="shared" si="122"/>
        <v>15:00:00</v>
      </c>
      <c r="U946" t="str">
        <f t="shared" si="123"/>
        <v>06.12.2025 15:00:00</v>
      </c>
      <c r="V946" s="9" t="str">
        <f>MID($A946,C946+C$2+1,D946-C946-C$2-1)</f>
        <v>0</v>
      </c>
      <c r="W946" s="4">
        <f>VALUE(SUBSTITUTE(MID($A946,D946+D$2+1,E946-D946-D$2-1),",","."))</f>
        <v>0.41886975947465499</v>
      </c>
      <c r="X946" s="4">
        <f>VALUE(SUBSTITUTE(MID($A946,E946+E$2+1,F946-E946-E$2-1),",","."))</f>
        <v>0.90957602214449496</v>
      </c>
      <c r="Y946" s="4">
        <f>VALUE(SUBSTITUTE(MID($A946,F946+F$2+1,G946-F946-F$2-1),",","."))</f>
        <v>0.17803872044518601</v>
      </c>
      <c r="Z946" s="3">
        <f>VALUE(SUBSTITUTE(MID($A946,G946+G$2+1,H946-G946-G$2-1),",","."))</f>
        <v>309.98333333333301</v>
      </c>
      <c r="AA946" s="3">
        <f>VALUE(SUBSTITUTE(MID($A946,H946+H$2+1,I946-H946-H$2-1),",","."))</f>
        <v>0</v>
      </c>
      <c r="AB946" s="3">
        <f>VALUE(SUBSTITUTE(MID($A946,I946+I$2+1,J946-I946-I$2-1),",","."))</f>
        <v>68</v>
      </c>
      <c r="AC946" s="3">
        <f>VALUE(SUBSTITUTE(MID($A946,J946+J$2+1,K946-J946-J$2-1),",","."))</f>
        <v>6.1</v>
      </c>
      <c r="AD946" s="3">
        <f>VALUE(SUBSTITUTE(MID($A946,K946+K$2+1,L946-K946-K$2-1),",","."))</f>
        <v>68.759999999999906</v>
      </c>
      <c r="AE946" s="3">
        <f>VALUE(SUBSTITUTE(MID($A946,L946+L$2+1,M946-L946-L$2-1),",","."))</f>
        <v>0</v>
      </c>
      <c r="AF946" s="3">
        <f>VALUE(SUBSTITUTE(MID($A946,M946+M$2+1,N946-M946-M$2-1),",","."))</f>
        <v>0</v>
      </c>
      <c r="AG946" s="3">
        <f>VALUE(SUBSTITUTE(MID($A946,N946+N$2+1,O946-N946-N$2-1),",","."))</f>
        <v>4.2303549991393803</v>
      </c>
      <c r="AH946" t="str">
        <f>MID($A946,O946+O$2+1,P946-O946-O$2-1)</f>
        <v/>
      </c>
      <c r="AI946" s="8" t="str">
        <f>MID($A946,P946+P$2+1,Q946-P946-P$2-1)</f>
        <v>False</v>
      </c>
      <c r="AK946" t="b">
        <f t="shared" si="124"/>
        <v>0</v>
      </c>
    </row>
    <row r="947" spans="1:37" x14ac:dyDescent="0.35">
      <c r="A947" t="s">
        <v>5494</v>
      </c>
      <c r="B947">
        <f t="shared" si="129"/>
        <v>10</v>
      </c>
      <c r="C947">
        <f t="shared" si="129"/>
        <v>43</v>
      </c>
      <c r="D947">
        <f t="shared" si="129"/>
        <v>54</v>
      </c>
      <c r="E947">
        <f t="shared" si="129"/>
        <v>97</v>
      </c>
      <c r="F947">
        <f t="shared" si="129"/>
        <v>141</v>
      </c>
      <c r="G947">
        <f t="shared" si="129"/>
        <v>180</v>
      </c>
      <c r="H947">
        <f t="shared" si="129"/>
        <v>229</v>
      </c>
      <c r="I947">
        <f t="shared" si="129"/>
        <v>251</v>
      </c>
      <c r="J947">
        <f t="shared" si="129"/>
        <v>285</v>
      </c>
      <c r="K947">
        <f t="shared" si="128"/>
        <v>304</v>
      </c>
      <c r="L947">
        <f t="shared" si="128"/>
        <v>335</v>
      </c>
      <c r="M947">
        <f t="shared" si="128"/>
        <v>350</v>
      </c>
      <c r="N947">
        <f t="shared" si="128"/>
        <v>362</v>
      </c>
      <c r="O947">
        <f t="shared" si="128"/>
        <v>387</v>
      </c>
      <c r="P947">
        <f t="shared" si="128"/>
        <v>405</v>
      </c>
      <c r="Q947">
        <f t="shared" si="127"/>
        <v>431</v>
      </c>
      <c r="S947" t="str">
        <f t="shared" si="121"/>
        <v>06.12.2025</v>
      </c>
      <c r="T947" t="str">
        <f t="shared" si="122"/>
        <v>15:15:00</v>
      </c>
      <c r="U947" t="str">
        <f t="shared" si="123"/>
        <v>06.12.2025 15:15:00</v>
      </c>
      <c r="V947" s="9" t="str">
        <f>MID($A947,C947+C$2+1,D947-C947-C$2-1)</f>
        <v>0</v>
      </c>
      <c r="W947" s="4">
        <f>VALUE(SUBSTITUTE(MID($A947,D947+D$2+1,E947-D947-D$2-1),",","."))</f>
        <v>0.36980469711284503</v>
      </c>
      <c r="X947" s="4">
        <f>VALUE(SUBSTITUTE(MID($A947,E947+E$2+1,F947-E947-E$2-1),",","."))</f>
        <v>0.90957602214449496</v>
      </c>
      <c r="Y947" s="4">
        <f>VALUE(SUBSTITUTE(MID($A947,F947+F$2+1,G947-F947-F$2-1),",","."))</f>
        <v>0.14947560003235</v>
      </c>
      <c r="Z947" s="3">
        <f>VALUE(SUBSTITUTE(MID($A947,G947+G$2+1,H947-G947-G$2-1),",","."))</f>
        <v>309.98333333333301</v>
      </c>
      <c r="AA947" s="3">
        <f>VALUE(SUBSTITUTE(MID($A947,H947+H$2+1,I947-H947-H$2-1),",","."))</f>
        <v>0</v>
      </c>
      <c r="AB947" s="3">
        <f>VALUE(SUBSTITUTE(MID($A947,I947+I$2+1,J947-I947-I$2-1),",","."))</f>
        <v>68</v>
      </c>
      <c r="AC947" s="3">
        <f>VALUE(SUBSTITUTE(MID($A947,J947+J$2+1,K947-J947-J$2-1),",","."))</f>
        <v>6.1</v>
      </c>
      <c r="AD947" s="3">
        <f>VALUE(SUBSTITUTE(MID($A947,K947+K$2+1,L947-K947-K$2-1),",","."))</f>
        <v>68.759999999999906</v>
      </c>
      <c r="AE947" s="3">
        <f>VALUE(SUBSTITUTE(MID($A947,L947+L$2+1,M947-L947-L$2-1),",","."))</f>
        <v>0</v>
      </c>
      <c r="AF947" s="3">
        <f>VALUE(SUBSTITUTE(MID($A947,M947+M$2+1,N947-M947-M$2-1),",","."))</f>
        <v>0</v>
      </c>
      <c r="AG947" s="3">
        <f>VALUE(SUBSTITUTE(MID($A947,N947+N$2+1,O947-N947-N$2-1),",","."))</f>
        <v>4.2303835190274599</v>
      </c>
      <c r="AH947" t="str">
        <f>MID($A947,O947+O$2+1,P947-O947-O$2-1)</f>
        <v/>
      </c>
      <c r="AI947" s="8" t="str">
        <f>MID($A947,P947+P$2+1,Q947-P947-P$2-1)</f>
        <v>False</v>
      </c>
      <c r="AK947" t="b">
        <f t="shared" si="124"/>
        <v>0</v>
      </c>
    </row>
    <row r="948" spans="1:37" x14ac:dyDescent="0.35">
      <c r="A948" t="s">
        <v>5495</v>
      </c>
      <c r="B948">
        <f t="shared" si="129"/>
        <v>10</v>
      </c>
      <c r="C948">
        <f t="shared" si="129"/>
        <v>43</v>
      </c>
      <c r="D948">
        <f t="shared" si="129"/>
        <v>54</v>
      </c>
      <c r="E948">
        <f t="shared" si="129"/>
        <v>97</v>
      </c>
      <c r="F948">
        <f t="shared" si="129"/>
        <v>141</v>
      </c>
      <c r="G948">
        <f t="shared" si="129"/>
        <v>180</v>
      </c>
      <c r="H948">
        <f t="shared" si="129"/>
        <v>228</v>
      </c>
      <c r="I948">
        <f t="shared" si="129"/>
        <v>250</v>
      </c>
      <c r="J948">
        <f t="shared" si="129"/>
        <v>284</v>
      </c>
      <c r="K948">
        <f t="shared" si="128"/>
        <v>303</v>
      </c>
      <c r="L948">
        <f t="shared" si="128"/>
        <v>335</v>
      </c>
      <c r="M948">
        <f t="shared" si="128"/>
        <v>350</v>
      </c>
      <c r="N948">
        <f t="shared" si="128"/>
        <v>362</v>
      </c>
      <c r="O948">
        <f t="shared" si="128"/>
        <v>387</v>
      </c>
      <c r="P948">
        <f t="shared" si="128"/>
        <v>405</v>
      </c>
      <c r="Q948">
        <f t="shared" si="127"/>
        <v>431</v>
      </c>
      <c r="S948" t="str">
        <f t="shared" si="121"/>
        <v>06.12.2025</v>
      </c>
      <c r="T948" t="str">
        <f t="shared" si="122"/>
        <v>15:30:00</v>
      </c>
      <c r="U948" t="str">
        <f t="shared" si="123"/>
        <v>06.12.2025 15:30:00</v>
      </c>
      <c r="V948" s="9" t="str">
        <f>MID($A948,C948+C$2+1,D948-C948-C$2-1)</f>
        <v>0</v>
      </c>
      <c r="W948" s="4">
        <f>VALUE(SUBSTITUTE(MID($A948,D948+D$2+1,E948-D948-D$2-1),",","."))</f>
        <v>0.31887830943304502</v>
      </c>
      <c r="X948" s="4">
        <f>VALUE(SUBSTITUTE(MID($A948,E948+E$2+1,F948-E948-E$2-1),",","."))</f>
        <v>0.90957602214449496</v>
      </c>
      <c r="Y948" s="4">
        <f>VALUE(SUBSTITUTE(MID($A948,F948+F$2+1,G948-F948-F$2-1),",","."))</f>
        <v>0.11920622443109299</v>
      </c>
      <c r="Z948" s="3">
        <f>VALUE(SUBSTITUTE(MID($A948,G948+G$2+1,H948-G948-G$2-1),",","."))</f>
        <v>274.28333333333302</v>
      </c>
      <c r="AA948" s="3">
        <f>VALUE(SUBSTITUTE(MID($A948,H948+H$2+1,I948-H948-H$2-1),",","."))</f>
        <v>0</v>
      </c>
      <c r="AB948" s="3">
        <f>VALUE(SUBSTITUTE(MID($A948,I948+I$2+1,J948-I948-I$2-1),",","."))</f>
        <v>38</v>
      </c>
      <c r="AC948" s="3">
        <f>VALUE(SUBSTITUTE(MID($A948,J948+J$2+1,K948-J948-J$2-1),",","."))</f>
        <v>5.3</v>
      </c>
      <c r="AD948" s="3">
        <f>VALUE(SUBSTITUTE(MID($A948,K948+K$2+1,L948-K948-K$2-1),",","."))</f>
        <v>63.54</v>
      </c>
      <c r="AE948" s="3">
        <f>VALUE(SUBSTITUTE(MID($A948,L948+L$2+1,M948-L948-L$2-1),",","."))</f>
        <v>0</v>
      </c>
      <c r="AF948" s="3">
        <f>VALUE(SUBSTITUTE(MID($A948,M948+M$2+1,N948-M948-M$2-1),",","."))</f>
        <v>0</v>
      </c>
      <c r="AG948" s="3">
        <f>VALUE(SUBSTITUTE(MID($A948,N948+N$2+1,O948-N948-N$2-1),",","."))</f>
        <v>4.2304120389155404</v>
      </c>
      <c r="AH948" t="str">
        <f>MID($A948,O948+O$2+1,P948-O948-O$2-1)</f>
        <v/>
      </c>
      <c r="AI948" s="8" t="str">
        <f>MID($A948,P948+P$2+1,Q948-P948-P$2-1)</f>
        <v>False</v>
      </c>
      <c r="AK948" t="b">
        <f t="shared" si="124"/>
        <v>0</v>
      </c>
    </row>
    <row r="949" spans="1:37" x14ac:dyDescent="0.35">
      <c r="A949" t="s">
        <v>5496</v>
      </c>
      <c r="B949">
        <f t="shared" si="129"/>
        <v>10</v>
      </c>
      <c r="C949">
        <f t="shared" si="129"/>
        <v>43</v>
      </c>
      <c r="D949">
        <f t="shared" si="129"/>
        <v>54</v>
      </c>
      <c r="E949">
        <f t="shared" si="129"/>
        <v>80</v>
      </c>
      <c r="F949">
        <f t="shared" si="129"/>
        <v>124</v>
      </c>
      <c r="G949">
        <f t="shared" si="129"/>
        <v>163</v>
      </c>
      <c r="H949">
        <f t="shared" si="129"/>
        <v>211</v>
      </c>
      <c r="I949">
        <f t="shared" si="129"/>
        <v>233</v>
      </c>
      <c r="J949">
        <f t="shared" si="129"/>
        <v>267</v>
      </c>
      <c r="K949">
        <f t="shared" si="128"/>
        <v>286</v>
      </c>
      <c r="L949">
        <f t="shared" si="128"/>
        <v>318</v>
      </c>
      <c r="M949">
        <f t="shared" si="128"/>
        <v>333</v>
      </c>
      <c r="N949">
        <f t="shared" si="128"/>
        <v>345</v>
      </c>
      <c r="O949">
        <f t="shared" si="128"/>
        <v>370</v>
      </c>
      <c r="P949">
        <f t="shared" si="128"/>
        <v>388</v>
      </c>
      <c r="Q949">
        <f t="shared" si="127"/>
        <v>414</v>
      </c>
      <c r="S949" t="str">
        <f t="shared" si="121"/>
        <v>06.12.2025</v>
      </c>
      <c r="T949" t="str">
        <f t="shared" si="122"/>
        <v>15:45:00</v>
      </c>
      <c r="U949" t="str">
        <f t="shared" si="123"/>
        <v>06.12.2025 15:45:00</v>
      </c>
      <c r="V949" s="9" t="str">
        <f>MID($A949,C949+C$2+1,D949-C949-C$2-1)</f>
        <v>0</v>
      </c>
      <c r="W949" s="4">
        <f>VALUE(SUBSTITUTE(MID($A949,D949+D$2+1,E949-D949-D$2-1),",","."))</f>
        <v>0</v>
      </c>
      <c r="X949" s="4">
        <f>VALUE(SUBSTITUTE(MID($A949,E949+E$2+1,F949-E949-E$2-1),",","."))</f>
        <v>0.90957602214449496</v>
      </c>
      <c r="Y949" s="4">
        <f>VALUE(SUBSTITUTE(MID($A949,F949+F$2+1,G949-F949-F$2-1),",","."))</f>
        <v>8.7475271086343301E-2</v>
      </c>
      <c r="Z949" s="3">
        <f>VALUE(SUBSTITUTE(MID($A949,G949+G$2+1,H949-G949-G$2-1),",","."))</f>
        <v>274.28333333333302</v>
      </c>
      <c r="AA949" s="3">
        <f>VALUE(SUBSTITUTE(MID($A949,H949+H$2+1,I949-H949-H$2-1),",","."))</f>
        <v>0</v>
      </c>
      <c r="AB949" s="3">
        <f>VALUE(SUBSTITUTE(MID($A949,I949+I$2+1,J949-I949-I$2-1),",","."))</f>
        <v>38</v>
      </c>
      <c r="AC949" s="3">
        <f>VALUE(SUBSTITUTE(MID($A949,J949+J$2+1,K949-J949-J$2-1),",","."))</f>
        <v>5.3</v>
      </c>
      <c r="AD949" s="3">
        <f>VALUE(SUBSTITUTE(MID($A949,K949+K$2+1,L949-K949-K$2-1),",","."))</f>
        <v>63.54</v>
      </c>
      <c r="AE949" s="3">
        <f>VALUE(SUBSTITUTE(MID($A949,L949+L$2+1,M949-L949-L$2-1),",","."))</f>
        <v>0</v>
      </c>
      <c r="AF949" s="3">
        <f>VALUE(SUBSTITUTE(MID($A949,M949+M$2+1,N949-M949-M$2-1),",","."))</f>
        <v>0</v>
      </c>
      <c r="AG949" s="3">
        <f>VALUE(SUBSTITUTE(MID($A949,N949+N$2+1,O949-N949-N$2-1),",","."))</f>
        <v>4.23044055880362</v>
      </c>
      <c r="AH949" t="str">
        <f>MID($A949,O949+O$2+1,P949-O949-O$2-1)</f>
        <v/>
      </c>
      <c r="AI949" s="8" t="str">
        <f>MID($A949,P949+P$2+1,Q949-P949-P$2-1)</f>
        <v>False</v>
      </c>
      <c r="AK949" t="b">
        <f t="shared" si="124"/>
        <v>0</v>
      </c>
    </row>
    <row r="950" spans="1:37" x14ac:dyDescent="0.35">
      <c r="A950" t="s">
        <v>5497</v>
      </c>
      <c r="B950">
        <f t="shared" si="129"/>
        <v>10</v>
      </c>
      <c r="C950">
        <f t="shared" si="129"/>
        <v>43</v>
      </c>
      <c r="D950">
        <f t="shared" si="129"/>
        <v>54</v>
      </c>
      <c r="E950">
        <f t="shared" si="129"/>
        <v>80</v>
      </c>
      <c r="F950">
        <f t="shared" si="129"/>
        <v>124</v>
      </c>
      <c r="G950">
        <f t="shared" si="129"/>
        <v>164</v>
      </c>
      <c r="H950">
        <f t="shared" si="129"/>
        <v>212</v>
      </c>
      <c r="I950">
        <f t="shared" si="129"/>
        <v>234</v>
      </c>
      <c r="J950">
        <f t="shared" si="129"/>
        <v>268</v>
      </c>
      <c r="K950">
        <f t="shared" si="128"/>
        <v>287</v>
      </c>
      <c r="L950">
        <f t="shared" si="128"/>
        <v>319</v>
      </c>
      <c r="M950">
        <f t="shared" si="128"/>
        <v>334</v>
      </c>
      <c r="N950">
        <f t="shared" si="128"/>
        <v>346</v>
      </c>
      <c r="O950">
        <f t="shared" si="128"/>
        <v>371</v>
      </c>
      <c r="P950">
        <f t="shared" si="128"/>
        <v>389</v>
      </c>
      <c r="Q950">
        <f t="shared" si="127"/>
        <v>415</v>
      </c>
      <c r="S950" t="str">
        <f t="shared" si="121"/>
        <v>06.12.2025</v>
      </c>
      <c r="T950" t="str">
        <f t="shared" si="122"/>
        <v>16:00:00</v>
      </c>
      <c r="U950" t="str">
        <f t="shared" si="123"/>
        <v>06.12.2025 16:00:00</v>
      </c>
      <c r="V950" s="9" t="str">
        <f>MID($A950,C950+C$2+1,D950-C950-C$2-1)</f>
        <v>0</v>
      </c>
      <c r="W950" s="4">
        <f>VALUE(SUBSTITUTE(MID($A950,D950+D$2+1,E950-D950-D$2-1),",","."))</f>
        <v>0</v>
      </c>
      <c r="X950" s="4">
        <f>VALUE(SUBSTITUTE(MID($A950,E950+E$2+1,F950-E950-E$2-1),",","."))</f>
        <v>0.90957602214449496</v>
      </c>
      <c r="Y950" s="4">
        <f>VALUE(SUBSTITUTE(MID($A950,F950+F$2+1,G950-F950-F$2-1),",","."))</f>
        <v>5.46986803091749E-2</v>
      </c>
      <c r="Z950" s="3">
        <f>VALUE(SUBSTITUTE(MID($A950,G950+G$2+1,H950-G950-G$2-1),",","."))</f>
        <v>274.28333333333302</v>
      </c>
      <c r="AA950" s="3">
        <f>VALUE(SUBSTITUTE(MID($A950,H950+H$2+1,I950-H950-H$2-1),",","."))</f>
        <v>0</v>
      </c>
      <c r="AB950" s="3">
        <f>VALUE(SUBSTITUTE(MID($A950,I950+I$2+1,J950-I950-I$2-1),",","."))</f>
        <v>38</v>
      </c>
      <c r="AC950" s="3">
        <f>VALUE(SUBSTITUTE(MID($A950,J950+J$2+1,K950-J950-J$2-1),",","."))</f>
        <v>5.3</v>
      </c>
      <c r="AD950" s="3">
        <f>VALUE(SUBSTITUTE(MID($A950,K950+K$2+1,L950-K950-K$2-1),",","."))</f>
        <v>63.54</v>
      </c>
      <c r="AE950" s="3">
        <f>VALUE(SUBSTITUTE(MID($A950,L950+L$2+1,M950-L950-L$2-1),",","."))</f>
        <v>0</v>
      </c>
      <c r="AF950" s="3">
        <f>VALUE(SUBSTITUTE(MID($A950,M950+M$2+1,N950-M950-M$2-1),",","."))</f>
        <v>0</v>
      </c>
      <c r="AG950" s="3">
        <f>VALUE(SUBSTITUTE(MID($A950,N950+N$2+1,O950-N950-N$2-1),",","."))</f>
        <v>4.2304690786916996</v>
      </c>
      <c r="AH950" t="str">
        <f>MID($A950,O950+O$2+1,P950-O950-O$2-1)</f>
        <v/>
      </c>
      <c r="AI950" s="8" t="str">
        <f>MID($A950,P950+P$2+1,Q950-P950-P$2-1)</f>
        <v>False</v>
      </c>
      <c r="AK950" t="b">
        <f t="shared" si="124"/>
        <v>0</v>
      </c>
    </row>
    <row r="951" spans="1:37" x14ac:dyDescent="0.35">
      <c r="A951" t="s">
        <v>5498</v>
      </c>
      <c r="B951">
        <f t="shared" si="129"/>
        <v>10</v>
      </c>
      <c r="C951">
        <f t="shared" si="129"/>
        <v>43</v>
      </c>
      <c r="D951">
        <f t="shared" si="129"/>
        <v>54</v>
      </c>
      <c r="E951">
        <f t="shared" si="129"/>
        <v>80</v>
      </c>
      <c r="F951">
        <f t="shared" si="129"/>
        <v>124</v>
      </c>
      <c r="G951">
        <f t="shared" si="129"/>
        <v>164</v>
      </c>
      <c r="H951">
        <f t="shared" si="129"/>
        <v>212</v>
      </c>
      <c r="I951">
        <f t="shared" si="129"/>
        <v>234</v>
      </c>
      <c r="J951">
        <f t="shared" si="129"/>
        <v>268</v>
      </c>
      <c r="K951">
        <f t="shared" si="128"/>
        <v>287</v>
      </c>
      <c r="L951">
        <f t="shared" si="128"/>
        <v>319</v>
      </c>
      <c r="M951">
        <f t="shared" si="128"/>
        <v>334</v>
      </c>
      <c r="N951">
        <f t="shared" si="128"/>
        <v>346</v>
      </c>
      <c r="O951">
        <f t="shared" si="128"/>
        <v>371</v>
      </c>
      <c r="P951">
        <f t="shared" si="128"/>
        <v>389</v>
      </c>
      <c r="Q951">
        <f t="shared" si="127"/>
        <v>415</v>
      </c>
      <c r="S951" t="str">
        <f t="shared" si="121"/>
        <v>06.12.2025</v>
      </c>
      <c r="T951" t="str">
        <f t="shared" si="122"/>
        <v>16:15:00</v>
      </c>
      <c r="U951" t="str">
        <f t="shared" si="123"/>
        <v>06.12.2025 16:15:00</v>
      </c>
      <c r="V951" s="9" t="str">
        <f>MID($A951,C951+C$2+1,D951-C951-C$2-1)</f>
        <v>0</v>
      </c>
      <c r="W951" s="4">
        <f>VALUE(SUBSTITUTE(MID($A951,D951+D$2+1,E951-D951-D$2-1),",","."))</f>
        <v>0</v>
      </c>
      <c r="X951" s="4">
        <f>VALUE(SUBSTITUTE(MID($A951,E951+E$2+1,F951-E951-E$2-1),",","."))</f>
        <v>0.90957602214449496</v>
      </c>
      <c r="Y951" s="4">
        <f>VALUE(SUBSTITUTE(MID($A951,F951+F$2+1,G951-F951-F$2-1),",","."))</f>
        <v>2.1816622926311001E-2</v>
      </c>
      <c r="Z951" s="3">
        <f>VALUE(SUBSTITUTE(MID($A951,G951+G$2+1,H951-G951-G$2-1),",","."))</f>
        <v>274.28333333333302</v>
      </c>
      <c r="AA951" s="3">
        <f>VALUE(SUBSTITUTE(MID($A951,H951+H$2+1,I951-H951-H$2-1),",","."))</f>
        <v>0</v>
      </c>
      <c r="AB951" s="3">
        <f>VALUE(SUBSTITUTE(MID($A951,I951+I$2+1,J951-I951-I$2-1),",","."))</f>
        <v>38</v>
      </c>
      <c r="AC951" s="3">
        <f>VALUE(SUBSTITUTE(MID($A951,J951+J$2+1,K951-J951-J$2-1),",","."))</f>
        <v>5.3</v>
      </c>
      <c r="AD951" s="3">
        <f>VALUE(SUBSTITUTE(MID($A951,K951+K$2+1,L951-K951-K$2-1),",","."))</f>
        <v>63.54</v>
      </c>
      <c r="AE951" s="3">
        <f>VALUE(SUBSTITUTE(MID($A951,L951+L$2+1,M951-L951-L$2-1),",","."))</f>
        <v>0</v>
      </c>
      <c r="AF951" s="3">
        <f>VALUE(SUBSTITUTE(MID($A951,M951+M$2+1,N951-M951-M$2-1),",","."))</f>
        <v>0</v>
      </c>
      <c r="AG951" s="3">
        <f>VALUE(SUBSTITUTE(MID($A951,N951+N$2+1,O951-N951-N$2-1),",","."))</f>
        <v>4.2304975985797899</v>
      </c>
      <c r="AH951" t="str">
        <f>MID($A951,O951+O$2+1,P951-O951-O$2-1)</f>
        <v/>
      </c>
      <c r="AI951" s="8" t="str">
        <f>MID($A951,P951+P$2+1,Q951-P951-P$2-1)</f>
        <v>False</v>
      </c>
      <c r="AK951" t="b">
        <f t="shared" si="124"/>
        <v>0</v>
      </c>
    </row>
    <row r="952" spans="1:37" x14ac:dyDescent="0.35">
      <c r="A952" t="s">
        <v>5499</v>
      </c>
      <c r="B952">
        <f t="shared" si="129"/>
        <v>10</v>
      </c>
      <c r="C952">
        <f t="shared" si="129"/>
        <v>43</v>
      </c>
      <c r="D952">
        <f t="shared" si="129"/>
        <v>54</v>
      </c>
      <c r="E952">
        <f t="shared" si="129"/>
        <v>80</v>
      </c>
      <c r="F952">
        <f t="shared" si="129"/>
        <v>124</v>
      </c>
      <c r="G952">
        <f t="shared" si="129"/>
        <v>145</v>
      </c>
      <c r="H952">
        <f t="shared" si="129"/>
        <v>193</v>
      </c>
      <c r="I952">
        <f t="shared" si="129"/>
        <v>215</v>
      </c>
      <c r="J952">
        <f t="shared" si="129"/>
        <v>250</v>
      </c>
      <c r="K952">
        <f t="shared" si="128"/>
        <v>270</v>
      </c>
      <c r="L952">
        <f t="shared" si="128"/>
        <v>289</v>
      </c>
      <c r="M952">
        <f t="shared" si="128"/>
        <v>304</v>
      </c>
      <c r="N952">
        <f t="shared" si="128"/>
        <v>316</v>
      </c>
      <c r="O952">
        <f t="shared" si="128"/>
        <v>341</v>
      </c>
      <c r="P952">
        <f t="shared" si="128"/>
        <v>359</v>
      </c>
      <c r="Q952">
        <f t="shared" si="127"/>
        <v>385</v>
      </c>
      <c r="S952" t="str">
        <f t="shared" ref="S952:S1015" si="130">LEFT(U952,10)</f>
        <v>06.12.2025</v>
      </c>
      <c r="T952" t="str">
        <f t="shared" ref="T952:T1015" si="131">MID(U952,12,8)</f>
        <v>16:30:00</v>
      </c>
      <c r="U952" t="str">
        <f t="shared" si="123"/>
        <v>06.12.2025 16:30:00</v>
      </c>
      <c r="V952" s="9" t="str">
        <f>MID($A952,C952+C$2+1,D952-C952-C$2-1)</f>
        <v>0</v>
      </c>
      <c r="W952" s="4">
        <f>VALUE(SUBSTITUTE(MID($A952,D952+D$2+1,E952-D952-D$2-1),",","."))</f>
        <v>0</v>
      </c>
      <c r="X952" s="4">
        <f>VALUE(SUBSTITUTE(MID($A952,E952+E$2+1,F952-E952-E$2-1),",","."))</f>
        <v>0.90957602214449496</v>
      </c>
      <c r="Y952" s="4">
        <f>VALUE(SUBSTITUTE(MID($A952,F952+F$2+1,G952-F952-F$2-1),",","."))</f>
        <v>0</v>
      </c>
      <c r="Z952" s="3">
        <f>VALUE(SUBSTITUTE(MID($A952,G952+G$2+1,H952-G952-G$2-1),",","."))</f>
        <v>96.1666666666666</v>
      </c>
      <c r="AA952" s="3">
        <f>VALUE(SUBSTITUTE(MID($A952,H952+H$2+1,I952-H952-H$2-1),",","."))</f>
        <v>0</v>
      </c>
      <c r="AB952" s="3">
        <f>VALUE(SUBSTITUTE(MID($A952,I952+I$2+1,J952-I952-I$2-1),",","."))</f>
        <v>7.5</v>
      </c>
      <c r="AC952" s="3">
        <f>VALUE(SUBSTITUTE(MID($A952,J952+J$2+1,K952-J952-J$2-1),",","."))</f>
        <v>4.45</v>
      </c>
      <c r="AD952" s="3">
        <f>VALUE(SUBSTITUTE(MID($A952,K952+K$2+1,L952-K952-K$2-1),",","."))</f>
        <v>57.78</v>
      </c>
      <c r="AE952" s="3">
        <f>VALUE(SUBSTITUTE(MID($A952,L952+L$2+1,M952-L952-L$2-1),",","."))</f>
        <v>0</v>
      </c>
      <c r="AF952" s="3">
        <f>VALUE(SUBSTITUTE(MID($A952,M952+M$2+1,N952-M952-M$2-1),",","."))</f>
        <v>0</v>
      </c>
      <c r="AG952" s="3">
        <f>VALUE(SUBSTITUTE(MID($A952,N952+N$2+1,O952-N952-N$2-1),",","."))</f>
        <v>4.2305261184678704</v>
      </c>
      <c r="AH952" t="str">
        <f>MID($A952,O952+O$2+1,P952-O952-O$2-1)</f>
        <v/>
      </c>
      <c r="AI952" s="8" t="str">
        <f>MID($A952,P952+P$2+1,Q952-P952-P$2-1)</f>
        <v>False</v>
      </c>
      <c r="AK952" t="b">
        <f t="shared" si="124"/>
        <v>0</v>
      </c>
    </row>
    <row r="953" spans="1:37" x14ac:dyDescent="0.35">
      <c r="A953" t="s">
        <v>5500</v>
      </c>
      <c r="B953">
        <f t="shared" si="129"/>
        <v>10</v>
      </c>
      <c r="C953">
        <f t="shared" si="129"/>
        <v>43</v>
      </c>
      <c r="D953">
        <f t="shared" si="129"/>
        <v>54</v>
      </c>
      <c r="E953">
        <f t="shared" si="129"/>
        <v>80</v>
      </c>
      <c r="F953">
        <f t="shared" si="129"/>
        <v>124</v>
      </c>
      <c r="G953">
        <f t="shared" si="129"/>
        <v>145</v>
      </c>
      <c r="H953">
        <f t="shared" si="129"/>
        <v>193</v>
      </c>
      <c r="I953">
        <f t="shared" si="129"/>
        <v>215</v>
      </c>
      <c r="J953">
        <f t="shared" si="129"/>
        <v>250</v>
      </c>
      <c r="K953">
        <f t="shared" si="128"/>
        <v>270</v>
      </c>
      <c r="L953">
        <f t="shared" si="128"/>
        <v>289</v>
      </c>
      <c r="M953">
        <f t="shared" si="128"/>
        <v>304</v>
      </c>
      <c r="N953">
        <f t="shared" si="128"/>
        <v>316</v>
      </c>
      <c r="O953">
        <f t="shared" si="128"/>
        <v>342</v>
      </c>
      <c r="P953">
        <f t="shared" si="128"/>
        <v>360</v>
      </c>
      <c r="Q953">
        <f t="shared" si="127"/>
        <v>386</v>
      </c>
      <c r="S953" t="str">
        <f t="shared" si="130"/>
        <v>06.12.2025</v>
      </c>
      <c r="T953" t="str">
        <f t="shared" si="131"/>
        <v>16:45:00</v>
      </c>
      <c r="U953" t="str">
        <f t="shared" si="123"/>
        <v>06.12.2025 16:45:00</v>
      </c>
      <c r="V953" s="9" t="str">
        <f>MID($A953,C953+C$2+1,D953-C953-C$2-1)</f>
        <v>0</v>
      </c>
      <c r="W953" s="4">
        <f>VALUE(SUBSTITUTE(MID($A953,D953+D$2+1,E953-D953-D$2-1),",","."))</f>
        <v>0</v>
      </c>
      <c r="X953" s="4">
        <f>VALUE(SUBSTITUTE(MID($A953,E953+E$2+1,F953-E953-E$2-1),",","."))</f>
        <v>0.90957602214449496</v>
      </c>
      <c r="Y953" s="4">
        <f>VALUE(SUBSTITUTE(MID($A953,F953+F$2+1,G953-F953-F$2-1),",","."))</f>
        <v>0</v>
      </c>
      <c r="Z953" s="3">
        <f>VALUE(SUBSTITUTE(MID($A953,G953+G$2+1,H953-G953-G$2-1),",","."))</f>
        <v>96.1666666666666</v>
      </c>
      <c r="AA953" s="3">
        <f>VALUE(SUBSTITUTE(MID($A953,H953+H$2+1,I953-H953-H$2-1),",","."))</f>
        <v>0</v>
      </c>
      <c r="AB953" s="3">
        <f>VALUE(SUBSTITUTE(MID($A953,I953+I$2+1,J953-I953-I$2-1),",","."))</f>
        <v>7.5</v>
      </c>
      <c r="AC953" s="3">
        <f>VALUE(SUBSTITUTE(MID($A953,J953+J$2+1,K953-J953-J$2-1),",","."))</f>
        <v>4.45</v>
      </c>
      <c r="AD953" s="3">
        <f>VALUE(SUBSTITUTE(MID($A953,K953+K$2+1,L953-K953-K$2-1),",","."))</f>
        <v>57.78</v>
      </c>
      <c r="AE953" s="3">
        <f>VALUE(SUBSTITUTE(MID($A953,L953+L$2+1,M953-L953-L$2-1),",","."))</f>
        <v>0</v>
      </c>
      <c r="AF953" s="3">
        <f>VALUE(SUBSTITUTE(MID($A953,M953+M$2+1,N953-M953-M$2-1),",","."))</f>
        <v>0</v>
      </c>
      <c r="AG953" s="3">
        <f>VALUE(SUBSTITUTE(MID($A953,N953+N$2+1,O953-N953-N$2-1),",","."))</f>
        <v>4.23055463835595</v>
      </c>
      <c r="AH953" t="str">
        <f>MID($A953,O953+O$2+1,P953-O953-O$2-1)</f>
        <v/>
      </c>
      <c r="AI953" s="8" t="str">
        <f>MID($A953,P953+P$2+1,Q953-P953-P$2-1)</f>
        <v>False</v>
      </c>
      <c r="AK953" t="b">
        <f t="shared" si="124"/>
        <v>0</v>
      </c>
    </row>
    <row r="954" spans="1:37" x14ac:dyDescent="0.35">
      <c r="A954" t="s">
        <v>5501</v>
      </c>
      <c r="B954">
        <f t="shared" si="129"/>
        <v>10</v>
      </c>
      <c r="C954">
        <f t="shared" si="129"/>
        <v>43</v>
      </c>
      <c r="D954">
        <f t="shared" si="129"/>
        <v>54</v>
      </c>
      <c r="E954">
        <f t="shared" si="129"/>
        <v>80</v>
      </c>
      <c r="F954">
        <f t="shared" si="129"/>
        <v>124</v>
      </c>
      <c r="G954">
        <f t="shared" si="129"/>
        <v>145</v>
      </c>
      <c r="H954">
        <f t="shared" si="129"/>
        <v>193</v>
      </c>
      <c r="I954">
        <f t="shared" si="129"/>
        <v>215</v>
      </c>
      <c r="J954">
        <f t="shared" si="129"/>
        <v>250</v>
      </c>
      <c r="K954">
        <f t="shared" si="128"/>
        <v>270</v>
      </c>
      <c r="L954">
        <f t="shared" si="128"/>
        <v>289</v>
      </c>
      <c r="M954">
        <f t="shared" si="128"/>
        <v>304</v>
      </c>
      <c r="N954">
        <f t="shared" si="128"/>
        <v>316</v>
      </c>
      <c r="O954">
        <f t="shared" si="128"/>
        <v>341</v>
      </c>
      <c r="P954">
        <f t="shared" si="128"/>
        <v>359</v>
      </c>
      <c r="Q954">
        <f t="shared" si="127"/>
        <v>385</v>
      </c>
      <c r="S954" t="str">
        <f t="shared" si="130"/>
        <v>06.12.2025</v>
      </c>
      <c r="T954" t="str">
        <f t="shared" si="131"/>
        <v>17:00:00</v>
      </c>
      <c r="U954" t="str">
        <f t="shared" si="123"/>
        <v>06.12.2025 17:00:00</v>
      </c>
      <c r="V954" s="9" t="str">
        <f>MID($A954,C954+C$2+1,D954-C954-C$2-1)</f>
        <v>0</v>
      </c>
      <c r="W954" s="4">
        <f>VALUE(SUBSTITUTE(MID($A954,D954+D$2+1,E954-D954-D$2-1),",","."))</f>
        <v>0</v>
      </c>
      <c r="X954" s="4">
        <f>VALUE(SUBSTITUTE(MID($A954,E954+E$2+1,F954-E954-E$2-1),",","."))</f>
        <v>0.90957602214449496</v>
      </c>
      <c r="Y954" s="4">
        <f>VALUE(SUBSTITUTE(MID($A954,F954+F$2+1,G954-F954-F$2-1),",","."))</f>
        <v>0</v>
      </c>
      <c r="Z954" s="3">
        <f>VALUE(SUBSTITUTE(MID($A954,G954+G$2+1,H954-G954-G$2-1),",","."))</f>
        <v>96.1666666666666</v>
      </c>
      <c r="AA954" s="3">
        <f>VALUE(SUBSTITUTE(MID($A954,H954+H$2+1,I954-H954-H$2-1),",","."))</f>
        <v>0</v>
      </c>
      <c r="AB954" s="3">
        <f>VALUE(SUBSTITUTE(MID($A954,I954+I$2+1,J954-I954-I$2-1),",","."))</f>
        <v>7.5</v>
      </c>
      <c r="AC954" s="3">
        <f>VALUE(SUBSTITUTE(MID($A954,J954+J$2+1,K954-J954-J$2-1),",","."))</f>
        <v>4.45</v>
      </c>
      <c r="AD954" s="3">
        <f>VALUE(SUBSTITUTE(MID($A954,K954+K$2+1,L954-K954-K$2-1),",","."))</f>
        <v>57.78</v>
      </c>
      <c r="AE954" s="3">
        <f>VALUE(SUBSTITUTE(MID($A954,L954+L$2+1,M954-L954-L$2-1),",","."))</f>
        <v>0</v>
      </c>
      <c r="AF954" s="3">
        <f>VALUE(SUBSTITUTE(MID($A954,M954+M$2+1,N954-M954-M$2-1),",","."))</f>
        <v>0</v>
      </c>
      <c r="AG954" s="3">
        <f>VALUE(SUBSTITUTE(MID($A954,N954+N$2+1,O954-N954-N$2-1),",","."))</f>
        <v>4.2305831582440296</v>
      </c>
      <c r="AH954" t="str">
        <f>MID($A954,O954+O$2+1,P954-O954-O$2-1)</f>
        <v/>
      </c>
      <c r="AI954" s="8" t="str">
        <f>MID($A954,P954+P$2+1,Q954-P954-P$2-1)</f>
        <v>False</v>
      </c>
      <c r="AK954" t="b">
        <f t="shared" si="124"/>
        <v>0</v>
      </c>
    </row>
    <row r="955" spans="1:37" x14ac:dyDescent="0.35">
      <c r="A955" t="s">
        <v>5502</v>
      </c>
      <c r="B955">
        <f t="shared" si="129"/>
        <v>10</v>
      </c>
      <c r="C955">
        <f t="shared" si="129"/>
        <v>43</v>
      </c>
      <c r="D955">
        <f t="shared" si="129"/>
        <v>54</v>
      </c>
      <c r="E955">
        <f t="shared" si="129"/>
        <v>80</v>
      </c>
      <c r="F955">
        <f t="shared" si="129"/>
        <v>124</v>
      </c>
      <c r="G955">
        <f t="shared" si="129"/>
        <v>145</v>
      </c>
      <c r="H955">
        <f t="shared" si="129"/>
        <v>193</v>
      </c>
      <c r="I955">
        <f t="shared" si="129"/>
        <v>215</v>
      </c>
      <c r="J955">
        <f t="shared" si="129"/>
        <v>250</v>
      </c>
      <c r="K955">
        <f t="shared" si="128"/>
        <v>270</v>
      </c>
      <c r="L955">
        <f t="shared" si="128"/>
        <v>289</v>
      </c>
      <c r="M955">
        <f t="shared" si="128"/>
        <v>304</v>
      </c>
      <c r="N955">
        <f t="shared" si="128"/>
        <v>316</v>
      </c>
      <c r="O955">
        <f t="shared" si="128"/>
        <v>341</v>
      </c>
      <c r="P955">
        <f t="shared" si="128"/>
        <v>359</v>
      </c>
      <c r="Q955">
        <f t="shared" si="127"/>
        <v>385</v>
      </c>
      <c r="S955" t="str">
        <f t="shared" si="130"/>
        <v>06.12.2025</v>
      </c>
      <c r="T955" t="str">
        <f t="shared" si="131"/>
        <v>17:15:00</v>
      </c>
      <c r="U955" t="str">
        <f t="shared" si="123"/>
        <v>06.12.2025 17:15:00</v>
      </c>
      <c r="V955" s="9" t="str">
        <f>MID($A955,C955+C$2+1,D955-C955-C$2-1)</f>
        <v>0</v>
      </c>
      <c r="W955" s="4">
        <f>VALUE(SUBSTITUTE(MID($A955,D955+D$2+1,E955-D955-D$2-1),",","."))</f>
        <v>0</v>
      </c>
      <c r="X955" s="4">
        <f>VALUE(SUBSTITUTE(MID($A955,E955+E$2+1,F955-E955-E$2-1),",","."))</f>
        <v>0.90957602214449496</v>
      </c>
      <c r="Y955" s="4">
        <f>VALUE(SUBSTITUTE(MID($A955,F955+F$2+1,G955-F955-F$2-1),",","."))</f>
        <v>0</v>
      </c>
      <c r="Z955" s="3">
        <f>VALUE(SUBSTITUTE(MID($A955,G955+G$2+1,H955-G955-G$2-1),",","."))</f>
        <v>96.1666666666666</v>
      </c>
      <c r="AA955" s="3">
        <f>VALUE(SUBSTITUTE(MID($A955,H955+H$2+1,I955-H955-H$2-1),",","."))</f>
        <v>0</v>
      </c>
      <c r="AB955" s="3">
        <f>VALUE(SUBSTITUTE(MID($A955,I955+I$2+1,J955-I955-I$2-1),",","."))</f>
        <v>7.5</v>
      </c>
      <c r="AC955" s="3">
        <f>VALUE(SUBSTITUTE(MID($A955,J955+J$2+1,K955-J955-J$2-1),",","."))</f>
        <v>4.45</v>
      </c>
      <c r="AD955" s="3">
        <f>VALUE(SUBSTITUTE(MID($A955,K955+K$2+1,L955-K955-K$2-1),",","."))</f>
        <v>57.78</v>
      </c>
      <c r="AE955" s="3">
        <f>VALUE(SUBSTITUTE(MID($A955,L955+L$2+1,M955-L955-L$2-1),",","."))</f>
        <v>0</v>
      </c>
      <c r="AF955" s="3">
        <f>VALUE(SUBSTITUTE(MID($A955,M955+M$2+1,N955-M955-M$2-1),",","."))</f>
        <v>0</v>
      </c>
      <c r="AG955" s="3">
        <f>VALUE(SUBSTITUTE(MID($A955,N955+N$2+1,O955-N955-N$2-1),",","."))</f>
        <v>4.2306116781321101</v>
      </c>
      <c r="AH955" t="str">
        <f>MID($A955,O955+O$2+1,P955-O955-O$2-1)</f>
        <v/>
      </c>
      <c r="AI955" s="8" t="str">
        <f>MID($A955,P955+P$2+1,Q955-P955-P$2-1)</f>
        <v>False</v>
      </c>
      <c r="AK955" t="b">
        <f t="shared" si="124"/>
        <v>0</v>
      </c>
    </row>
    <row r="956" spans="1:37" x14ac:dyDescent="0.35">
      <c r="A956" t="s">
        <v>5503</v>
      </c>
      <c r="B956">
        <f t="shared" si="129"/>
        <v>10</v>
      </c>
      <c r="C956">
        <f t="shared" si="129"/>
        <v>43</v>
      </c>
      <c r="D956">
        <f t="shared" si="129"/>
        <v>54</v>
      </c>
      <c r="E956">
        <f t="shared" si="129"/>
        <v>80</v>
      </c>
      <c r="F956">
        <f t="shared" si="129"/>
        <v>124</v>
      </c>
      <c r="G956">
        <f t="shared" si="129"/>
        <v>145</v>
      </c>
      <c r="H956">
        <f t="shared" si="129"/>
        <v>177</v>
      </c>
      <c r="I956">
        <f t="shared" si="129"/>
        <v>199</v>
      </c>
      <c r="J956">
        <f t="shared" si="129"/>
        <v>232</v>
      </c>
      <c r="K956">
        <f t="shared" si="128"/>
        <v>251</v>
      </c>
      <c r="L956">
        <f t="shared" si="128"/>
        <v>270</v>
      </c>
      <c r="M956">
        <f t="shared" si="128"/>
        <v>285</v>
      </c>
      <c r="N956">
        <f t="shared" si="128"/>
        <v>297</v>
      </c>
      <c r="O956">
        <f t="shared" si="128"/>
        <v>323</v>
      </c>
      <c r="P956">
        <f t="shared" si="128"/>
        <v>341</v>
      </c>
      <c r="Q956">
        <f t="shared" si="127"/>
        <v>367</v>
      </c>
      <c r="S956" t="str">
        <f t="shared" si="130"/>
        <v>06.12.2025</v>
      </c>
      <c r="T956" t="str">
        <f t="shared" si="131"/>
        <v>17:30:00</v>
      </c>
      <c r="U956" t="str">
        <f t="shared" si="123"/>
        <v>06.12.2025 17:30:00</v>
      </c>
      <c r="V956" s="9" t="str">
        <f>MID($A956,C956+C$2+1,D956-C956-C$2-1)</f>
        <v>0</v>
      </c>
      <c r="W956" s="4">
        <f>VALUE(SUBSTITUTE(MID($A956,D956+D$2+1,E956-D956-D$2-1),",","."))</f>
        <v>0</v>
      </c>
      <c r="X956" s="4">
        <f>VALUE(SUBSTITUTE(MID($A956,E956+E$2+1,F956-E956-E$2-1),",","."))</f>
        <v>0.90957602214449496</v>
      </c>
      <c r="Y956" s="4">
        <f>VALUE(SUBSTITUTE(MID($A956,F956+F$2+1,G956-F956-F$2-1),",","."))</f>
        <v>0</v>
      </c>
      <c r="Z956" s="3">
        <f>VALUE(SUBSTITUTE(MID($A956,G956+G$2+1,H956-G956-G$2-1),",","."))</f>
        <v>0</v>
      </c>
      <c r="AA956" s="3">
        <f>VALUE(SUBSTITUTE(MID($A956,H956+H$2+1,I956-H956-H$2-1),",","."))</f>
        <v>0</v>
      </c>
      <c r="AB956" s="3">
        <f>VALUE(SUBSTITUTE(MID($A956,I956+I$2+1,J956-I956-I$2-1),",","."))</f>
        <v>0</v>
      </c>
      <c r="AC956" s="3">
        <f>VALUE(SUBSTITUTE(MID($A956,J956+J$2+1,K956-J956-J$2-1),",","."))</f>
        <v>3.7</v>
      </c>
      <c r="AD956" s="3">
        <f>VALUE(SUBSTITUTE(MID($A956,K956+K$2+1,L956-K956-K$2-1),",","."))</f>
        <v>52.92</v>
      </c>
      <c r="AE956" s="3">
        <f>VALUE(SUBSTITUTE(MID($A956,L956+L$2+1,M956-L956-L$2-1),",","."))</f>
        <v>0</v>
      </c>
      <c r="AF956" s="3">
        <f>VALUE(SUBSTITUTE(MID($A956,M956+M$2+1,N956-M956-M$2-1),",","."))</f>
        <v>0</v>
      </c>
      <c r="AG956" s="3">
        <f>VALUE(SUBSTITUTE(MID($A956,N956+N$2+1,O956-N956-N$2-1),",","."))</f>
        <v>4.2306401980201898</v>
      </c>
      <c r="AH956" t="str">
        <f>MID($A956,O956+O$2+1,P956-O956-O$2-1)</f>
        <v/>
      </c>
      <c r="AI956" s="8" t="str">
        <f>MID($A956,P956+P$2+1,Q956-P956-P$2-1)</f>
        <v>False</v>
      </c>
      <c r="AK956" t="b">
        <f t="shared" si="124"/>
        <v>0</v>
      </c>
    </row>
    <row r="957" spans="1:37" x14ac:dyDescent="0.35">
      <c r="A957" t="s">
        <v>5504</v>
      </c>
      <c r="B957">
        <f t="shared" si="129"/>
        <v>10</v>
      </c>
      <c r="C957">
        <f t="shared" si="129"/>
        <v>43</v>
      </c>
      <c r="D957">
        <f t="shared" si="129"/>
        <v>54</v>
      </c>
      <c r="E957">
        <f t="shared" si="129"/>
        <v>80</v>
      </c>
      <c r="F957">
        <f t="shared" si="129"/>
        <v>124</v>
      </c>
      <c r="G957">
        <f t="shared" si="129"/>
        <v>145</v>
      </c>
      <c r="H957">
        <f t="shared" si="129"/>
        <v>177</v>
      </c>
      <c r="I957">
        <f t="shared" si="129"/>
        <v>199</v>
      </c>
      <c r="J957">
        <f t="shared" si="129"/>
        <v>232</v>
      </c>
      <c r="K957">
        <f t="shared" si="128"/>
        <v>251</v>
      </c>
      <c r="L957">
        <f t="shared" si="128"/>
        <v>270</v>
      </c>
      <c r="M957">
        <f t="shared" si="128"/>
        <v>285</v>
      </c>
      <c r="N957">
        <f t="shared" si="128"/>
        <v>297</v>
      </c>
      <c r="O957">
        <f t="shared" si="128"/>
        <v>322</v>
      </c>
      <c r="P957">
        <f t="shared" si="128"/>
        <v>340</v>
      </c>
      <c r="Q957">
        <f t="shared" si="127"/>
        <v>366</v>
      </c>
      <c r="S957" t="str">
        <f t="shared" si="130"/>
        <v>06.12.2025</v>
      </c>
      <c r="T957" t="str">
        <f t="shared" si="131"/>
        <v>17:45:00</v>
      </c>
      <c r="U957" t="str">
        <f t="shared" si="123"/>
        <v>06.12.2025 17:45:00</v>
      </c>
      <c r="V957" s="9" t="str">
        <f>MID($A957,C957+C$2+1,D957-C957-C$2-1)</f>
        <v>0</v>
      </c>
      <c r="W957" s="4">
        <f>VALUE(SUBSTITUTE(MID($A957,D957+D$2+1,E957-D957-D$2-1),",","."))</f>
        <v>0</v>
      </c>
      <c r="X957" s="4">
        <f>VALUE(SUBSTITUTE(MID($A957,E957+E$2+1,F957-E957-E$2-1),",","."))</f>
        <v>0.90957602214449496</v>
      </c>
      <c r="Y957" s="4">
        <f>VALUE(SUBSTITUTE(MID($A957,F957+F$2+1,G957-F957-F$2-1),",","."))</f>
        <v>0</v>
      </c>
      <c r="Z957" s="3">
        <f>VALUE(SUBSTITUTE(MID($A957,G957+G$2+1,H957-G957-G$2-1),",","."))</f>
        <v>0</v>
      </c>
      <c r="AA957" s="3">
        <f>VALUE(SUBSTITUTE(MID($A957,H957+H$2+1,I957-H957-H$2-1),",","."))</f>
        <v>0</v>
      </c>
      <c r="AB957" s="3">
        <f>VALUE(SUBSTITUTE(MID($A957,I957+I$2+1,J957-I957-I$2-1),",","."))</f>
        <v>0</v>
      </c>
      <c r="AC957" s="3">
        <f>VALUE(SUBSTITUTE(MID($A957,J957+J$2+1,K957-J957-J$2-1),",","."))</f>
        <v>3.7</v>
      </c>
      <c r="AD957" s="3">
        <f>VALUE(SUBSTITUTE(MID($A957,K957+K$2+1,L957-K957-K$2-1),",","."))</f>
        <v>52.92</v>
      </c>
      <c r="AE957" s="3">
        <f>VALUE(SUBSTITUTE(MID($A957,L957+L$2+1,M957-L957-L$2-1),",","."))</f>
        <v>0</v>
      </c>
      <c r="AF957" s="3">
        <f>VALUE(SUBSTITUTE(MID($A957,M957+M$2+1,N957-M957-M$2-1),",","."))</f>
        <v>0</v>
      </c>
      <c r="AG957" s="3">
        <f>VALUE(SUBSTITUTE(MID($A957,N957+N$2+1,O957-N957-N$2-1),",","."))</f>
        <v>4.23066871790828</v>
      </c>
      <c r="AH957" t="str">
        <f>MID($A957,O957+O$2+1,P957-O957-O$2-1)</f>
        <v/>
      </c>
      <c r="AI957" s="8" t="str">
        <f>MID($A957,P957+P$2+1,Q957-P957-P$2-1)</f>
        <v>False</v>
      </c>
      <c r="AK957" t="b">
        <f t="shared" si="124"/>
        <v>0</v>
      </c>
    </row>
    <row r="958" spans="1:37" x14ac:dyDescent="0.35">
      <c r="A958" t="s">
        <v>5505</v>
      </c>
      <c r="B958">
        <f t="shared" si="129"/>
        <v>10</v>
      </c>
      <c r="C958">
        <f t="shared" si="129"/>
        <v>43</v>
      </c>
      <c r="D958">
        <f t="shared" si="129"/>
        <v>54</v>
      </c>
      <c r="E958">
        <f t="shared" si="129"/>
        <v>80</v>
      </c>
      <c r="F958">
        <f t="shared" si="129"/>
        <v>124</v>
      </c>
      <c r="G958">
        <f t="shared" si="129"/>
        <v>145</v>
      </c>
      <c r="H958">
        <f t="shared" si="129"/>
        <v>177</v>
      </c>
      <c r="I958">
        <f t="shared" si="129"/>
        <v>199</v>
      </c>
      <c r="J958">
        <f t="shared" si="129"/>
        <v>232</v>
      </c>
      <c r="K958">
        <f t="shared" si="128"/>
        <v>251</v>
      </c>
      <c r="L958">
        <f t="shared" si="128"/>
        <v>270</v>
      </c>
      <c r="M958">
        <f t="shared" si="128"/>
        <v>285</v>
      </c>
      <c r="N958">
        <f t="shared" si="128"/>
        <v>297</v>
      </c>
      <c r="O958">
        <f t="shared" si="128"/>
        <v>322</v>
      </c>
      <c r="P958">
        <f t="shared" si="128"/>
        <v>340</v>
      </c>
      <c r="Q958">
        <f t="shared" si="127"/>
        <v>366</v>
      </c>
      <c r="S958" t="str">
        <f t="shared" si="130"/>
        <v>06.12.2025</v>
      </c>
      <c r="T958" t="str">
        <f t="shared" si="131"/>
        <v>18:00:00</v>
      </c>
      <c r="U958" t="str">
        <f t="shared" si="123"/>
        <v>06.12.2025 18:00:00</v>
      </c>
      <c r="V958" s="9" t="str">
        <f>MID($A958,C958+C$2+1,D958-C958-C$2-1)</f>
        <v>0</v>
      </c>
      <c r="W958" s="4">
        <f>VALUE(SUBSTITUTE(MID($A958,D958+D$2+1,E958-D958-D$2-1),",","."))</f>
        <v>0</v>
      </c>
      <c r="X958" s="4">
        <f>VALUE(SUBSTITUTE(MID($A958,E958+E$2+1,F958-E958-E$2-1),",","."))</f>
        <v>0.90957602214449496</v>
      </c>
      <c r="Y958" s="4">
        <f>VALUE(SUBSTITUTE(MID($A958,F958+F$2+1,G958-F958-F$2-1),",","."))</f>
        <v>0</v>
      </c>
      <c r="Z958" s="3">
        <f>VALUE(SUBSTITUTE(MID($A958,G958+G$2+1,H958-G958-G$2-1),",","."))</f>
        <v>0</v>
      </c>
      <c r="AA958" s="3">
        <f>VALUE(SUBSTITUTE(MID($A958,H958+H$2+1,I958-H958-H$2-1),",","."))</f>
        <v>0</v>
      </c>
      <c r="AB958" s="3">
        <f>VALUE(SUBSTITUTE(MID($A958,I958+I$2+1,J958-I958-I$2-1),",","."))</f>
        <v>0</v>
      </c>
      <c r="AC958" s="3">
        <f>VALUE(SUBSTITUTE(MID($A958,J958+J$2+1,K958-J958-J$2-1),",","."))</f>
        <v>3.7</v>
      </c>
      <c r="AD958" s="3">
        <f>VALUE(SUBSTITUTE(MID($A958,K958+K$2+1,L958-K958-K$2-1),",","."))</f>
        <v>52.92</v>
      </c>
      <c r="AE958" s="3">
        <f>VALUE(SUBSTITUTE(MID($A958,L958+L$2+1,M958-L958-L$2-1),",","."))</f>
        <v>0</v>
      </c>
      <c r="AF958" s="3">
        <f>VALUE(SUBSTITUTE(MID($A958,M958+M$2+1,N958-M958-M$2-1),",","."))</f>
        <v>0</v>
      </c>
      <c r="AG958" s="3">
        <f>VALUE(SUBSTITUTE(MID($A958,N958+N$2+1,O958-N958-N$2-1),",","."))</f>
        <v>4.2306972377963596</v>
      </c>
      <c r="AH958" t="str">
        <f>MID($A958,O958+O$2+1,P958-O958-O$2-1)</f>
        <v/>
      </c>
      <c r="AI958" s="8" t="str">
        <f>MID($A958,P958+P$2+1,Q958-P958-P$2-1)</f>
        <v>False</v>
      </c>
      <c r="AK958" t="b">
        <f t="shared" si="124"/>
        <v>0</v>
      </c>
    </row>
    <row r="959" spans="1:37" x14ac:dyDescent="0.35">
      <c r="A959" t="s">
        <v>5506</v>
      </c>
      <c r="B959">
        <f t="shared" si="129"/>
        <v>10</v>
      </c>
      <c r="C959">
        <f t="shared" si="129"/>
        <v>43</v>
      </c>
      <c r="D959">
        <f t="shared" si="129"/>
        <v>54</v>
      </c>
      <c r="E959">
        <f t="shared" si="129"/>
        <v>80</v>
      </c>
      <c r="F959">
        <f t="shared" si="129"/>
        <v>124</v>
      </c>
      <c r="G959">
        <f t="shared" si="129"/>
        <v>145</v>
      </c>
      <c r="H959">
        <f t="shared" si="129"/>
        <v>177</v>
      </c>
      <c r="I959">
        <f t="shared" si="129"/>
        <v>199</v>
      </c>
      <c r="J959">
        <f t="shared" si="129"/>
        <v>232</v>
      </c>
      <c r="K959">
        <f t="shared" si="128"/>
        <v>251</v>
      </c>
      <c r="L959">
        <f t="shared" si="128"/>
        <v>270</v>
      </c>
      <c r="M959">
        <f t="shared" si="128"/>
        <v>285</v>
      </c>
      <c r="N959">
        <f t="shared" si="128"/>
        <v>297</v>
      </c>
      <c r="O959">
        <f t="shared" si="128"/>
        <v>322</v>
      </c>
      <c r="P959">
        <f t="shared" si="128"/>
        <v>340</v>
      </c>
      <c r="Q959">
        <f t="shared" si="127"/>
        <v>366</v>
      </c>
      <c r="S959" t="str">
        <f t="shared" si="130"/>
        <v>06.12.2025</v>
      </c>
      <c r="T959" t="str">
        <f t="shared" si="131"/>
        <v>18:15:00</v>
      </c>
      <c r="U959" t="str">
        <f t="shared" si="123"/>
        <v>06.12.2025 18:15:00</v>
      </c>
      <c r="V959" s="9" t="str">
        <f>MID($A959,C959+C$2+1,D959-C959-C$2-1)</f>
        <v>0</v>
      </c>
      <c r="W959" s="4">
        <f>VALUE(SUBSTITUTE(MID($A959,D959+D$2+1,E959-D959-D$2-1),",","."))</f>
        <v>0</v>
      </c>
      <c r="X959" s="4">
        <f>VALUE(SUBSTITUTE(MID($A959,E959+E$2+1,F959-E959-E$2-1),",","."))</f>
        <v>0.90957602214449496</v>
      </c>
      <c r="Y959" s="4">
        <f>VALUE(SUBSTITUTE(MID($A959,F959+F$2+1,G959-F959-F$2-1),",","."))</f>
        <v>0</v>
      </c>
      <c r="Z959" s="3">
        <f>VALUE(SUBSTITUTE(MID($A959,G959+G$2+1,H959-G959-G$2-1),",","."))</f>
        <v>0</v>
      </c>
      <c r="AA959" s="3">
        <f>VALUE(SUBSTITUTE(MID($A959,H959+H$2+1,I959-H959-H$2-1),",","."))</f>
        <v>0</v>
      </c>
      <c r="AB959" s="3">
        <f>VALUE(SUBSTITUTE(MID($A959,I959+I$2+1,J959-I959-I$2-1),",","."))</f>
        <v>0</v>
      </c>
      <c r="AC959" s="3">
        <f>VALUE(SUBSTITUTE(MID($A959,J959+J$2+1,K959-J959-J$2-1),",","."))</f>
        <v>3.7</v>
      </c>
      <c r="AD959" s="3">
        <f>VALUE(SUBSTITUTE(MID($A959,K959+K$2+1,L959-K959-K$2-1),",","."))</f>
        <v>52.92</v>
      </c>
      <c r="AE959" s="3">
        <f>VALUE(SUBSTITUTE(MID($A959,L959+L$2+1,M959-L959-L$2-1),",","."))</f>
        <v>0</v>
      </c>
      <c r="AF959" s="3">
        <f>VALUE(SUBSTITUTE(MID($A959,M959+M$2+1,N959-M959-M$2-1),",","."))</f>
        <v>0</v>
      </c>
      <c r="AG959" s="3">
        <f>VALUE(SUBSTITUTE(MID($A959,N959+N$2+1,O959-N959-N$2-1),",","."))</f>
        <v>4.2307257576844401</v>
      </c>
      <c r="AH959" t="str">
        <f>MID($A959,O959+O$2+1,P959-O959-O$2-1)</f>
        <v/>
      </c>
      <c r="AI959" s="8" t="str">
        <f>MID($A959,P959+P$2+1,Q959-P959-P$2-1)</f>
        <v>False</v>
      </c>
      <c r="AK959" t="b">
        <f t="shared" si="124"/>
        <v>0</v>
      </c>
    </row>
    <row r="960" spans="1:37" x14ac:dyDescent="0.35">
      <c r="A960" t="s">
        <v>5507</v>
      </c>
      <c r="B960">
        <f t="shared" si="129"/>
        <v>10</v>
      </c>
      <c r="C960">
        <f t="shared" si="129"/>
        <v>43</v>
      </c>
      <c r="D960">
        <f t="shared" si="129"/>
        <v>54</v>
      </c>
      <c r="E960">
        <f t="shared" si="129"/>
        <v>80</v>
      </c>
      <c r="F960">
        <f t="shared" si="129"/>
        <v>124</v>
      </c>
      <c r="G960">
        <f t="shared" si="129"/>
        <v>145</v>
      </c>
      <c r="H960">
        <f t="shared" si="129"/>
        <v>177</v>
      </c>
      <c r="I960">
        <f t="shared" si="129"/>
        <v>199</v>
      </c>
      <c r="J960">
        <f t="shared" si="129"/>
        <v>232</v>
      </c>
      <c r="K960">
        <f t="shared" si="128"/>
        <v>266</v>
      </c>
      <c r="L960">
        <f t="shared" si="128"/>
        <v>298</v>
      </c>
      <c r="M960">
        <f t="shared" si="128"/>
        <v>313</v>
      </c>
      <c r="N960">
        <f t="shared" si="128"/>
        <v>325</v>
      </c>
      <c r="O960">
        <f t="shared" si="128"/>
        <v>350</v>
      </c>
      <c r="P960">
        <f t="shared" si="128"/>
        <v>368</v>
      </c>
      <c r="Q960">
        <f t="shared" si="127"/>
        <v>394</v>
      </c>
      <c r="S960" t="str">
        <f t="shared" si="130"/>
        <v>06.12.2025</v>
      </c>
      <c r="T960" t="str">
        <f t="shared" si="131"/>
        <v>18:30:00</v>
      </c>
      <c r="U960" t="str">
        <f t="shared" si="123"/>
        <v>06.12.2025 18:30:00</v>
      </c>
      <c r="V960" s="9" t="str">
        <f>MID($A960,C960+C$2+1,D960-C960-C$2-1)</f>
        <v>0</v>
      </c>
      <c r="W960" s="4">
        <f>VALUE(SUBSTITUTE(MID($A960,D960+D$2+1,E960-D960-D$2-1),",","."))</f>
        <v>0</v>
      </c>
      <c r="X960" s="4">
        <f>VALUE(SUBSTITUTE(MID($A960,E960+E$2+1,F960-E960-E$2-1),",","."))</f>
        <v>0.90957602214449496</v>
      </c>
      <c r="Y960" s="4">
        <f>VALUE(SUBSTITUTE(MID($A960,F960+F$2+1,G960-F960-F$2-1),",","."))</f>
        <v>0</v>
      </c>
      <c r="Z960" s="3">
        <f>VALUE(SUBSTITUTE(MID($A960,G960+G$2+1,H960-G960-G$2-1),",","."))</f>
        <v>0</v>
      </c>
      <c r="AA960" s="3">
        <f>VALUE(SUBSTITUTE(MID($A960,H960+H$2+1,I960-H960-H$2-1),",","."))</f>
        <v>0</v>
      </c>
      <c r="AB960" s="3">
        <f>VALUE(SUBSTITUTE(MID($A960,I960+I$2+1,J960-I960-I$2-1),",","."))</f>
        <v>0</v>
      </c>
      <c r="AC960" s="3">
        <f>VALUE(SUBSTITUTE(MID($A960,J960+J$2+1,K960-J960-J$2-1),",","."))</f>
        <v>3.0999999999999899</v>
      </c>
      <c r="AD960" s="3">
        <f>VALUE(SUBSTITUTE(MID($A960,K960+K$2+1,L960-K960-K$2-1),",","."))</f>
        <v>50.04</v>
      </c>
      <c r="AE960" s="3">
        <f>VALUE(SUBSTITUTE(MID($A960,L960+L$2+1,M960-L960-L$2-1),",","."))</f>
        <v>0</v>
      </c>
      <c r="AF960" s="3">
        <f>VALUE(SUBSTITUTE(MID($A960,M960+M$2+1,N960-M960-M$2-1),",","."))</f>
        <v>0</v>
      </c>
      <c r="AG960" s="3">
        <f>VALUE(SUBSTITUTE(MID($A960,N960+N$2+1,O960-N960-N$2-1),",","."))</f>
        <v>4.2307542775725198</v>
      </c>
      <c r="AH960" t="str">
        <f>MID($A960,O960+O$2+1,P960-O960-O$2-1)</f>
        <v/>
      </c>
      <c r="AI960" s="8" t="str">
        <f>MID($A960,P960+P$2+1,Q960-P960-P$2-1)</f>
        <v>False</v>
      </c>
      <c r="AK960" t="b">
        <f t="shared" si="124"/>
        <v>0</v>
      </c>
    </row>
    <row r="961" spans="1:37" x14ac:dyDescent="0.35">
      <c r="A961" t="s">
        <v>5508</v>
      </c>
      <c r="B961">
        <f t="shared" si="129"/>
        <v>10</v>
      </c>
      <c r="C961">
        <f t="shared" si="129"/>
        <v>43</v>
      </c>
      <c r="D961">
        <f t="shared" si="129"/>
        <v>54</v>
      </c>
      <c r="E961">
        <f t="shared" si="129"/>
        <v>80</v>
      </c>
      <c r="F961">
        <f t="shared" si="129"/>
        <v>124</v>
      </c>
      <c r="G961">
        <f t="shared" si="129"/>
        <v>145</v>
      </c>
      <c r="H961">
        <f t="shared" si="129"/>
        <v>177</v>
      </c>
      <c r="I961">
        <f t="shared" si="129"/>
        <v>199</v>
      </c>
      <c r="J961">
        <f t="shared" si="129"/>
        <v>232</v>
      </c>
      <c r="K961">
        <f t="shared" si="128"/>
        <v>266</v>
      </c>
      <c r="L961">
        <f t="shared" si="128"/>
        <v>298</v>
      </c>
      <c r="M961">
        <f t="shared" si="128"/>
        <v>313</v>
      </c>
      <c r="N961">
        <f t="shared" si="128"/>
        <v>325</v>
      </c>
      <c r="O961">
        <f t="shared" si="128"/>
        <v>350</v>
      </c>
      <c r="P961">
        <f t="shared" si="128"/>
        <v>368</v>
      </c>
      <c r="Q961">
        <f t="shared" si="127"/>
        <v>394</v>
      </c>
      <c r="S961" t="str">
        <f t="shared" si="130"/>
        <v>06.12.2025</v>
      </c>
      <c r="T961" t="str">
        <f t="shared" si="131"/>
        <v>18:45:00</v>
      </c>
      <c r="U961" t="str">
        <f t="shared" si="123"/>
        <v>06.12.2025 18:45:00</v>
      </c>
      <c r="V961" s="9" t="str">
        <f>MID($A961,C961+C$2+1,D961-C961-C$2-1)</f>
        <v>0</v>
      </c>
      <c r="W961" s="4">
        <f>VALUE(SUBSTITUTE(MID($A961,D961+D$2+1,E961-D961-D$2-1),",","."))</f>
        <v>0</v>
      </c>
      <c r="X961" s="4">
        <f>VALUE(SUBSTITUTE(MID($A961,E961+E$2+1,F961-E961-E$2-1),",","."))</f>
        <v>0.90957602214449496</v>
      </c>
      <c r="Y961" s="4">
        <f>VALUE(SUBSTITUTE(MID($A961,F961+F$2+1,G961-F961-F$2-1),",","."))</f>
        <v>0</v>
      </c>
      <c r="Z961" s="3">
        <f>VALUE(SUBSTITUTE(MID($A961,G961+G$2+1,H961-G961-G$2-1),",","."))</f>
        <v>0</v>
      </c>
      <c r="AA961" s="3">
        <f>VALUE(SUBSTITUTE(MID($A961,H961+H$2+1,I961-H961-H$2-1),",","."))</f>
        <v>0</v>
      </c>
      <c r="AB961" s="3">
        <f>VALUE(SUBSTITUTE(MID($A961,I961+I$2+1,J961-I961-I$2-1),",","."))</f>
        <v>0</v>
      </c>
      <c r="AC961" s="3">
        <f>VALUE(SUBSTITUTE(MID($A961,J961+J$2+1,K961-J961-J$2-1),",","."))</f>
        <v>3.0999999999999899</v>
      </c>
      <c r="AD961" s="3">
        <f>VALUE(SUBSTITUTE(MID($A961,K961+K$2+1,L961-K961-K$2-1),",","."))</f>
        <v>50.04</v>
      </c>
      <c r="AE961" s="3">
        <f>VALUE(SUBSTITUTE(MID($A961,L961+L$2+1,M961-L961-L$2-1),",","."))</f>
        <v>0</v>
      </c>
      <c r="AF961" s="3">
        <f>VALUE(SUBSTITUTE(MID($A961,M961+M$2+1,N961-M961-M$2-1),",","."))</f>
        <v>0</v>
      </c>
      <c r="AG961" s="3">
        <f>VALUE(SUBSTITUTE(MID($A961,N961+N$2+1,O961-N961-N$2-1),",","."))</f>
        <v>4.2307827974606003</v>
      </c>
      <c r="AH961" t="str">
        <f>MID($A961,O961+O$2+1,P961-O961-O$2-1)</f>
        <v/>
      </c>
      <c r="AI961" s="8" t="str">
        <f>MID($A961,P961+P$2+1,Q961-P961-P$2-1)</f>
        <v>False</v>
      </c>
      <c r="AK961" t="b">
        <f t="shared" si="124"/>
        <v>0</v>
      </c>
    </row>
    <row r="962" spans="1:37" x14ac:dyDescent="0.35">
      <c r="A962" t="s">
        <v>5509</v>
      </c>
      <c r="B962">
        <f t="shared" si="129"/>
        <v>10</v>
      </c>
      <c r="C962">
        <f t="shared" si="129"/>
        <v>43</v>
      </c>
      <c r="D962">
        <f t="shared" si="129"/>
        <v>54</v>
      </c>
      <c r="E962">
        <f t="shared" si="129"/>
        <v>80</v>
      </c>
      <c r="F962">
        <f t="shared" si="129"/>
        <v>124</v>
      </c>
      <c r="G962">
        <f t="shared" si="129"/>
        <v>145</v>
      </c>
      <c r="H962">
        <f t="shared" si="129"/>
        <v>177</v>
      </c>
      <c r="I962">
        <f t="shared" si="129"/>
        <v>199</v>
      </c>
      <c r="J962">
        <f t="shared" si="129"/>
        <v>232</v>
      </c>
      <c r="K962">
        <f t="shared" si="128"/>
        <v>266</v>
      </c>
      <c r="L962">
        <f t="shared" si="128"/>
        <v>298</v>
      </c>
      <c r="M962">
        <f t="shared" si="128"/>
        <v>313</v>
      </c>
      <c r="N962">
        <f t="shared" si="128"/>
        <v>325</v>
      </c>
      <c r="O962">
        <f t="shared" si="128"/>
        <v>350</v>
      </c>
      <c r="P962">
        <f t="shared" si="128"/>
        <v>368</v>
      </c>
      <c r="Q962">
        <f t="shared" si="127"/>
        <v>394</v>
      </c>
      <c r="S962" t="str">
        <f t="shared" si="130"/>
        <v>06.12.2025</v>
      </c>
      <c r="T962" t="str">
        <f t="shared" si="131"/>
        <v>19:00:00</v>
      </c>
      <c r="U962" t="str">
        <f t="shared" si="123"/>
        <v>06.12.2025 19:00:00</v>
      </c>
      <c r="V962" s="9" t="str">
        <f>MID($A962,C962+C$2+1,D962-C962-C$2-1)</f>
        <v>0</v>
      </c>
      <c r="W962" s="4">
        <f>VALUE(SUBSTITUTE(MID($A962,D962+D$2+1,E962-D962-D$2-1),",","."))</f>
        <v>0</v>
      </c>
      <c r="X962" s="4">
        <f>VALUE(SUBSTITUTE(MID($A962,E962+E$2+1,F962-E962-E$2-1),",","."))</f>
        <v>0.90957602214449496</v>
      </c>
      <c r="Y962" s="4">
        <f>VALUE(SUBSTITUTE(MID($A962,F962+F$2+1,G962-F962-F$2-1),",","."))</f>
        <v>0</v>
      </c>
      <c r="Z962" s="3">
        <f>VALUE(SUBSTITUTE(MID($A962,G962+G$2+1,H962-G962-G$2-1),",","."))</f>
        <v>0</v>
      </c>
      <c r="AA962" s="3">
        <f>VALUE(SUBSTITUTE(MID($A962,H962+H$2+1,I962-H962-H$2-1),",","."))</f>
        <v>0</v>
      </c>
      <c r="AB962" s="3">
        <f>VALUE(SUBSTITUTE(MID($A962,I962+I$2+1,J962-I962-I$2-1),",","."))</f>
        <v>0</v>
      </c>
      <c r="AC962" s="3">
        <f>VALUE(SUBSTITUTE(MID($A962,J962+J$2+1,K962-J962-J$2-1),",","."))</f>
        <v>3.0999999999999899</v>
      </c>
      <c r="AD962" s="3">
        <f>VALUE(SUBSTITUTE(MID($A962,K962+K$2+1,L962-K962-K$2-1),",","."))</f>
        <v>50.04</v>
      </c>
      <c r="AE962" s="3">
        <f>VALUE(SUBSTITUTE(MID($A962,L962+L$2+1,M962-L962-L$2-1),",","."))</f>
        <v>0</v>
      </c>
      <c r="AF962" s="3">
        <f>VALUE(SUBSTITUTE(MID($A962,M962+M$2+1,N962-M962-M$2-1),",","."))</f>
        <v>0</v>
      </c>
      <c r="AG962" s="3">
        <f>VALUE(SUBSTITUTE(MID($A962,N962+N$2+1,O962-N962-N$2-1),",","."))</f>
        <v>4.2308113173486799</v>
      </c>
      <c r="AH962" t="str">
        <f>MID($A962,O962+O$2+1,P962-O962-O$2-1)</f>
        <v/>
      </c>
      <c r="AI962" s="8" t="str">
        <f>MID($A962,P962+P$2+1,Q962-P962-P$2-1)</f>
        <v>False</v>
      </c>
      <c r="AK962" t="b">
        <f t="shared" si="124"/>
        <v>0</v>
      </c>
    </row>
    <row r="963" spans="1:37" x14ac:dyDescent="0.35">
      <c r="A963" t="s">
        <v>5510</v>
      </c>
      <c r="B963">
        <f t="shared" si="129"/>
        <v>10</v>
      </c>
      <c r="C963">
        <f t="shared" si="129"/>
        <v>43</v>
      </c>
      <c r="D963">
        <f t="shared" si="129"/>
        <v>54</v>
      </c>
      <c r="E963">
        <f t="shared" si="129"/>
        <v>80</v>
      </c>
      <c r="F963">
        <f t="shared" si="129"/>
        <v>124</v>
      </c>
      <c r="G963">
        <f t="shared" si="129"/>
        <v>145</v>
      </c>
      <c r="H963">
        <f t="shared" si="129"/>
        <v>177</v>
      </c>
      <c r="I963">
        <f t="shared" si="129"/>
        <v>199</v>
      </c>
      <c r="J963">
        <f t="shared" si="129"/>
        <v>232</v>
      </c>
      <c r="K963">
        <f t="shared" si="128"/>
        <v>266</v>
      </c>
      <c r="L963">
        <f t="shared" si="128"/>
        <v>298</v>
      </c>
      <c r="M963">
        <f t="shared" si="128"/>
        <v>313</v>
      </c>
      <c r="N963">
        <f t="shared" si="128"/>
        <v>325</v>
      </c>
      <c r="O963">
        <f t="shared" si="128"/>
        <v>349</v>
      </c>
      <c r="P963">
        <f t="shared" si="128"/>
        <v>367</v>
      </c>
      <c r="Q963">
        <f t="shared" si="127"/>
        <v>393</v>
      </c>
      <c r="S963" t="str">
        <f t="shared" si="130"/>
        <v>06.12.2025</v>
      </c>
      <c r="T963" t="str">
        <f t="shared" si="131"/>
        <v>19:15:00</v>
      </c>
      <c r="U963" t="str">
        <f t="shared" si="123"/>
        <v>06.12.2025 19:15:00</v>
      </c>
      <c r="V963" s="9" t="str">
        <f>MID($A963,C963+C$2+1,D963-C963-C$2-1)</f>
        <v>0</v>
      </c>
      <c r="W963" s="4">
        <f>VALUE(SUBSTITUTE(MID($A963,D963+D$2+1,E963-D963-D$2-1),",","."))</f>
        <v>0</v>
      </c>
      <c r="X963" s="4">
        <f>VALUE(SUBSTITUTE(MID($A963,E963+E$2+1,F963-E963-E$2-1),",","."))</f>
        <v>0.90957602214449496</v>
      </c>
      <c r="Y963" s="4">
        <f>VALUE(SUBSTITUTE(MID($A963,F963+F$2+1,G963-F963-F$2-1),",","."))</f>
        <v>0</v>
      </c>
      <c r="Z963" s="3">
        <f>VALUE(SUBSTITUTE(MID($A963,G963+G$2+1,H963-G963-G$2-1),",","."))</f>
        <v>0</v>
      </c>
      <c r="AA963" s="3">
        <f>VALUE(SUBSTITUTE(MID($A963,H963+H$2+1,I963-H963-H$2-1),",","."))</f>
        <v>0</v>
      </c>
      <c r="AB963" s="3">
        <f>VALUE(SUBSTITUTE(MID($A963,I963+I$2+1,J963-I963-I$2-1),",","."))</f>
        <v>0</v>
      </c>
      <c r="AC963" s="3">
        <f>VALUE(SUBSTITUTE(MID($A963,J963+J$2+1,K963-J963-J$2-1),",","."))</f>
        <v>3.0999999999999899</v>
      </c>
      <c r="AD963" s="3">
        <f>VALUE(SUBSTITUTE(MID($A963,K963+K$2+1,L963-K963-K$2-1),",","."))</f>
        <v>50.04</v>
      </c>
      <c r="AE963" s="3">
        <f>VALUE(SUBSTITUTE(MID($A963,L963+L$2+1,M963-L963-L$2-1),",","."))</f>
        <v>0</v>
      </c>
      <c r="AF963" s="3">
        <f>VALUE(SUBSTITUTE(MID($A963,M963+M$2+1,N963-M963-M$2-1),",","."))</f>
        <v>0</v>
      </c>
      <c r="AG963" s="3">
        <f>VALUE(SUBSTITUTE(MID($A963,N963+N$2+1,O963-N963-N$2-1),",","."))</f>
        <v>4.2308398372367702</v>
      </c>
      <c r="AH963" t="str">
        <f>MID($A963,O963+O$2+1,P963-O963-O$2-1)</f>
        <v/>
      </c>
      <c r="AI963" s="8" t="str">
        <f>MID($A963,P963+P$2+1,Q963-P963-P$2-1)</f>
        <v>False</v>
      </c>
      <c r="AK963" t="b">
        <f t="shared" si="124"/>
        <v>0</v>
      </c>
    </row>
    <row r="964" spans="1:37" x14ac:dyDescent="0.35">
      <c r="A964" t="s">
        <v>5511</v>
      </c>
      <c r="B964">
        <f t="shared" si="129"/>
        <v>10</v>
      </c>
      <c r="C964">
        <f t="shared" si="129"/>
        <v>43</v>
      </c>
      <c r="D964">
        <f t="shared" si="129"/>
        <v>54</v>
      </c>
      <c r="E964">
        <f t="shared" si="129"/>
        <v>80</v>
      </c>
      <c r="F964">
        <f t="shared" si="129"/>
        <v>124</v>
      </c>
      <c r="G964">
        <f t="shared" si="129"/>
        <v>145</v>
      </c>
      <c r="H964">
        <f t="shared" si="129"/>
        <v>177</v>
      </c>
      <c r="I964">
        <f t="shared" si="129"/>
        <v>199</v>
      </c>
      <c r="J964">
        <f t="shared" si="129"/>
        <v>232</v>
      </c>
      <c r="K964">
        <f t="shared" si="128"/>
        <v>251</v>
      </c>
      <c r="L964">
        <f t="shared" si="128"/>
        <v>269</v>
      </c>
      <c r="M964">
        <f t="shared" si="128"/>
        <v>284</v>
      </c>
      <c r="N964">
        <f t="shared" si="128"/>
        <v>296</v>
      </c>
      <c r="O964">
        <f t="shared" si="128"/>
        <v>322</v>
      </c>
      <c r="P964">
        <f t="shared" si="128"/>
        <v>340</v>
      </c>
      <c r="Q964">
        <f t="shared" si="127"/>
        <v>366</v>
      </c>
      <c r="S964" t="str">
        <f t="shared" si="130"/>
        <v>06.12.2025</v>
      </c>
      <c r="T964" t="str">
        <f t="shared" si="131"/>
        <v>19:30:00</v>
      </c>
      <c r="U964" t="str">
        <f t="shared" ref="U964:U1027" si="132">MID($A964,B964+B$2+1,C964-B964-B$2-1)</f>
        <v>06.12.2025 19:30:00</v>
      </c>
      <c r="V964" s="9" t="str">
        <f>MID($A964,C964+C$2+1,D964-C964-C$2-1)</f>
        <v>0</v>
      </c>
      <c r="W964" s="4">
        <f>VALUE(SUBSTITUTE(MID($A964,D964+D$2+1,E964-D964-D$2-1),",","."))</f>
        <v>0</v>
      </c>
      <c r="X964" s="4">
        <f>VALUE(SUBSTITUTE(MID($A964,E964+E$2+1,F964-E964-E$2-1),",","."))</f>
        <v>0.90957602214449496</v>
      </c>
      <c r="Y964" s="4">
        <f>VALUE(SUBSTITUTE(MID($A964,F964+F$2+1,G964-F964-F$2-1),",","."))</f>
        <v>0</v>
      </c>
      <c r="Z964" s="3">
        <f>VALUE(SUBSTITUTE(MID($A964,G964+G$2+1,H964-G964-G$2-1),",","."))</f>
        <v>0</v>
      </c>
      <c r="AA964" s="3">
        <f>VALUE(SUBSTITUTE(MID($A964,H964+H$2+1,I964-H964-H$2-1),",","."))</f>
        <v>0</v>
      </c>
      <c r="AB964" s="3">
        <f>VALUE(SUBSTITUTE(MID($A964,I964+I$2+1,J964-I964-I$2-1),",","."))</f>
        <v>0</v>
      </c>
      <c r="AC964" s="3">
        <f>VALUE(SUBSTITUTE(MID($A964,J964+J$2+1,K964-J964-J$2-1),",","."))</f>
        <v>2.7</v>
      </c>
      <c r="AD964" s="3">
        <f>VALUE(SUBSTITUTE(MID($A964,K964+K$2+1,L964-K964-K$2-1),",","."))</f>
        <v>48.6</v>
      </c>
      <c r="AE964" s="3">
        <f>VALUE(SUBSTITUTE(MID($A964,L964+L$2+1,M964-L964-L$2-1),",","."))</f>
        <v>0</v>
      </c>
      <c r="AF964" s="3">
        <f>VALUE(SUBSTITUTE(MID($A964,M964+M$2+1,N964-M964-M$2-1),",","."))</f>
        <v>0</v>
      </c>
      <c r="AG964" s="3">
        <f>VALUE(SUBSTITUTE(MID($A964,N964+N$2+1,O964-N964-N$2-1),",","."))</f>
        <v>4.2308683571248498</v>
      </c>
      <c r="AH964" t="str">
        <f>MID($A964,O964+O$2+1,P964-O964-O$2-1)</f>
        <v/>
      </c>
      <c r="AI964" s="8" t="str">
        <f>MID($A964,P964+P$2+1,Q964-P964-P$2-1)</f>
        <v>False</v>
      </c>
      <c r="AK964" t="b">
        <f t="shared" ref="AK964:AK1027" si="133">AB964&gt;Z964</f>
        <v>0</v>
      </c>
    </row>
    <row r="965" spans="1:37" x14ac:dyDescent="0.35">
      <c r="A965" t="s">
        <v>5512</v>
      </c>
      <c r="B965">
        <f t="shared" si="129"/>
        <v>10</v>
      </c>
      <c r="C965">
        <f t="shared" si="129"/>
        <v>43</v>
      </c>
      <c r="D965">
        <f t="shared" si="129"/>
        <v>54</v>
      </c>
      <c r="E965">
        <f t="shared" si="129"/>
        <v>80</v>
      </c>
      <c r="F965">
        <f t="shared" si="129"/>
        <v>124</v>
      </c>
      <c r="G965">
        <f t="shared" si="129"/>
        <v>145</v>
      </c>
      <c r="H965">
        <f t="shared" si="129"/>
        <v>177</v>
      </c>
      <c r="I965">
        <f t="shared" si="129"/>
        <v>199</v>
      </c>
      <c r="J965">
        <f t="shared" si="129"/>
        <v>232</v>
      </c>
      <c r="K965">
        <f t="shared" si="128"/>
        <v>251</v>
      </c>
      <c r="L965">
        <f t="shared" si="128"/>
        <v>269</v>
      </c>
      <c r="M965">
        <f t="shared" si="128"/>
        <v>284</v>
      </c>
      <c r="N965">
        <f t="shared" si="128"/>
        <v>296</v>
      </c>
      <c r="O965">
        <f t="shared" si="128"/>
        <v>321</v>
      </c>
      <c r="P965">
        <f t="shared" si="128"/>
        <v>339</v>
      </c>
      <c r="Q965">
        <f t="shared" si="127"/>
        <v>365</v>
      </c>
      <c r="S965" t="str">
        <f t="shared" si="130"/>
        <v>06.12.2025</v>
      </c>
      <c r="T965" t="str">
        <f t="shared" si="131"/>
        <v>19:45:00</v>
      </c>
      <c r="U965" t="str">
        <f t="shared" si="132"/>
        <v>06.12.2025 19:45:00</v>
      </c>
      <c r="V965" s="9" t="str">
        <f>MID($A965,C965+C$2+1,D965-C965-C$2-1)</f>
        <v>0</v>
      </c>
      <c r="W965" s="4">
        <f>VALUE(SUBSTITUTE(MID($A965,D965+D$2+1,E965-D965-D$2-1),",","."))</f>
        <v>0</v>
      </c>
      <c r="X965" s="4">
        <f>VALUE(SUBSTITUTE(MID($A965,E965+E$2+1,F965-E965-E$2-1),",","."))</f>
        <v>0.90957602214449496</v>
      </c>
      <c r="Y965" s="4">
        <f>VALUE(SUBSTITUTE(MID($A965,F965+F$2+1,G965-F965-F$2-1),",","."))</f>
        <v>0</v>
      </c>
      <c r="Z965" s="3">
        <f>VALUE(SUBSTITUTE(MID($A965,G965+G$2+1,H965-G965-G$2-1),",","."))</f>
        <v>0</v>
      </c>
      <c r="AA965" s="3">
        <f>VALUE(SUBSTITUTE(MID($A965,H965+H$2+1,I965-H965-H$2-1),",","."))</f>
        <v>0</v>
      </c>
      <c r="AB965" s="3">
        <f>VALUE(SUBSTITUTE(MID($A965,I965+I$2+1,J965-I965-I$2-1),",","."))</f>
        <v>0</v>
      </c>
      <c r="AC965" s="3">
        <f>VALUE(SUBSTITUTE(MID($A965,J965+J$2+1,K965-J965-J$2-1),",","."))</f>
        <v>2.7</v>
      </c>
      <c r="AD965" s="3">
        <f>VALUE(SUBSTITUTE(MID($A965,K965+K$2+1,L965-K965-K$2-1),",","."))</f>
        <v>48.6</v>
      </c>
      <c r="AE965" s="3">
        <f>VALUE(SUBSTITUTE(MID($A965,L965+L$2+1,M965-L965-L$2-1),",","."))</f>
        <v>0</v>
      </c>
      <c r="AF965" s="3">
        <f>VALUE(SUBSTITUTE(MID($A965,M965+M$2+1,N965-M965-M$2-1),",","."))</f>
        <v>0</v>
      </c>
      <c r="AG965" s="3">
        <f>VALUE(SUBSTITUTE(MID($A965,N965+N$2+1,O965-N965-N$2-1),",","."))</f>
        <v>4.2308968770129303</v>
      </c>
      <c r="AH965" t="str">
        <f>MID($A965,O965+O$2+1,P965-O965-O$2-1)</f>
        <v/>
      </c>
      <c r="AI965" s="8" t="str">
        <f>MID($A965,P965+P$2+1,Q965-P965-P$2-1)</f>
        <v>False</v>
      </c>
      <c r="AK965" t="b">
        <f t="shared" si="133"/>
        <v>0</v>
      </c>
    </row>
    <row r="966" spans="1:37" x14ac:dyDescent="0.35">
      <c r="A966" t="s">
        <v>5513</v>
      </c>
      <c r="B966">
        <f t="shared" si="129"/>
        <v>10</v>
      </c>
      <c r="C966">
        <f t="shared" si="129"/>
        <v>43</v>
      </c>
      <c r="D966">
        <f t="shared" si="129"/>
        <v>54</v>
      </c>
      <c r="E966">
        <f t="shared" si="129"/>
        <v>80</v>
      </c>
      <c r="F966">
        <f t="shared" si="129"/>
        <v>124</v>
      </c>
      <c r="G966">
        <f t="shared" si="129"/>
        <v>145</v>
      </c>
      <c r="H966">
        <f t="shared" si="129"/>
        <v>177</v>
      </c>
      <c r="I966">
        <f t="shared" si="129"/>
        <v>199</v>
      </c>
      <c r="J966">
        <f t="shared" si="129"/>
        <v>232</v>
      </c>
      <c r="K966">
        <f t="shared" si="128"/>
        <v>251</v>
      </c>
      <c r="L966">
        <f t="shared" si="128"/>
        <v>269</v>
      </c>
      <c r="M966">
        <f t="shared" si="128"/>
        <v>284</v>
      </c>
      <c r="N966">
        <f t="shared" si="128"/>
        <v>296</v>
      </c>
      <c r="O966">
        <f t="shared" si="128"/>
        <v>321</v>
      </c>
      <c r="P966">
        <f t="shared" si="128"/>
        <v>339</v>
      </c>
      <c r="Q966">
        <f t="shared" si="127"/>
        <v>365</v>
      </c>
      <c r="S966" t="str">
        <f t="shared" si="130"/>
        <v>06.12.2025</v>
      </c>
      <c r="T966" t="str">
        <f t="shared" si="131"/>
        <v>20:00:00</v>
      </c>
      <c r="U966" t="str">
        <f t="shared" si="132"/>
        <v>06.12.2025 20:00:00</v>
      </c>
      <c r="V966" s="9" t="str">
        <f>MID($A966,C966+C$2+1,D966-C966-C$2-1)</f>
        <v>0</v>
      </c>
      <c r="W966" s="4">
        <f>VALUE(SUBSTITUTE(MID($A966,D966+D$2+1,E966-D966-D$2-1),",","."))</f>
        <v>0</v>
      </c>
      <c r="X966" s="4">
        <f>VALUE(SUBSTITUTE(MID($A966,E966+E$2+1,F966-E966-E$2-1),",","."))</f>
        <v>0.90957602214449496</v>
      </c>
      <c r="Y966" s="4">
        <f>VALUE(SUBSTITUTE(MID($A966,F966+F$2+1,G966-F966-F$2-1),",","."))</f>
        <v>0</v>
      </c>
      <c r="Z966" s="3">
        <f>VALUE(SUBSTITUTE(MID($A966,G966+G$2+1,H966-G966-G$2-1),",","."))</f>
        <v>0</v>
      </c>
      <c r="AA966" s="3">
        <f>VALUE(SUBSTITUTE(MID($A966,H966+H$2+1,I966-H966-H$2-1),",","."))</f>
        <v>0</v>
      </c>
      <c r="AB966" s="3">
        <f>VALUE(SUBSTITUTE(MID($A966,I966+I$2+1,J966-I966-I$2-1),",","."))</f>
        <v>0</v>
      </c>
      <c r="AC966" s="3">
        <f>VALUE(SUBSTITUTE(MID($A966,J966+J$2+1,K966-J966-J$2-1),",","."))</f>
        <v>2.7</v>
      </c>
      <c r="AD966" s="3">
        <f>VALUE(SUBSTITUTE(MID($A966,K966+K$2+1,L966-K966-K$2-1),",","."))</f>
        <v>48.6</v>
      </c>
      <c r="AE966" s="3">
        <f>VALUE(SUBSTITUTE(MID($A966,L966+L$2+1,M966-L966-L$2-1),",","."))</f>
        <v>0</v>
      </c>
      <c r="AF966" s="3">
        <f>VALUE(SUBSTITUTE(MID($A966,M966+M$2+1,N966-M966-M$2-1),",","."))</f>
        <v>0</v>
      </c>
      <c r="AG966" s="3">
        <f>VALUE(SUBSTITUTE(MID($A966,N966+N$2+1,O966-N966-N$2-1),",","."))</f>
        <v>4.2309253969010099</v>
      </c>
      <c r="AH966" t="str">
        <f>MID($A966,O966+O$2+1,P966-O966-O$2-1)</f>
        <v/>
      </c>
      <c r="AI966" s="8" t="str">
        <f>MID($A966,P966+P$2+1,Q966-P966-P$2-1)</f>
        <v>False</v>
      </c>
      <c r="AK966" t="b">
        <f t="shared" si="133"/>
        <v>0</v>
      </c>
    </row>
    <row r="967" spans="1:37" x14ac:dyDescent="0.35">
      <c r="A967" t="s">
        <v>5514</v>
      </c>
      <c r="B967">
        <f t="shared" si="129"/>
        <v>10</v>
      </c>
      <c r="C967">
        <f t="shared" si="129"/>
        <v>43</v>
      </c>
      <c r="D967">
        <f t="shared" si="129"/>
        <v>54</v>
      </c>
      <c r="E967">
        <f t="shared" si="129"/>
        <v>80</v>
      </c>
      <c r="F967">
        <f t="shared" si="129"/>
        <v>124</v>
      </c>
      <c r="G967">
        <f t="shared" si="129"/>
        <v>145</v>
      </c>
      <c r="H967">
        <f t="shared" si="129"/>
        <v>177</v>
      </c>
      <c r="I967">
        <f t="shared" si="129"/>
        <v>199</v>
      </c>
      <c r="J967">
        <f t="shared" si="129"/>
        <v>232</v>
      </c>
      <c r="K967">
        <f t="shared" si="128"/>
        <v>251</v>
      </c>
      <c r="L967">
        <f t="shared" si="128"/>
        <v>269</v>
      </c>
      <c r="M967">
        <f t="shared" si="128"/>
        <v>284</v>
      </c>
      <c r="N967">
        <f t="shared" si="128"/>
        <v>296</v>
      </c>
      <c r="O967">
        <f t="shared" si="128"/>
        <v>321</v>
      </c>
      <c r="P967">
        <f t="shared" si="128"/>
        <v>339</v>
      </c>
      <c r="Q967">
        <f t="shared" si="127"/>
        <v>365</v>
      </c>
      <c r="S967" t="str">
        <f t="shared" si="130"/>
        <v>06.12.2025</v>
      </c>
      <c r="T967" t="str">
        <f t="shared" si="131"/>
        <v>20:15:00</v>
      </c>
      <c r="U967" t="str">
        <f t="shared" si="132"/>
        <v>06.12.2025 20:15:00</v>
      </c>
      <c r="V967" s="9" t="str">
        <f>MID($A967,C967+C$2+1,D967-C967-C$2-1)</f>
        <v>0</v>
      </c>
      <c r="W967" s="4">
        <f>VALUE(SUBSTITUTE(MID($A967,D967+D$2+1,E967-D967-D$2-1),",","."))</f>
        <v>0</v>
      </c>
      <c r="X967" s="4">
        <f>VALUE(SUBSTITUTE(MID($A967,E967+E$2+1,F967-E967-E$2-1),",","."))</f>
        <v>0.90957602214449496</v>
      </c>
      <c r="Y967" s="4">
        <f>VALUE(SUBSTITUTE(MID($A967,F967+F$2+1,G967-F967-F$2-1),",","."))</f>
        <v>0</v>
      </c>
      <c r="Z967" s="3">
        <f>VALUE(SUBSTITUTE(MID($A967,G967+G$2+1,H967-G967-G$2-1),",","."))</f>
        <v>0</v>
      </c>
      <c r="AA967" s="3">
        <f>VALUE(SUBSTITUTE(MID($A967,H967+H$2+1,I967-H967-H$2-1),",","."))</f>
        <v>0</v>
      </c>
      <c r="AB967" s="3">
        <f>VALUE(SUBSTITUTE(MID($A967,I967+I$2+1,J967-I967-I$2-1),",","."))</f>
        <v>0</v>
      </c>
      <c r="AC967" s="3">
        <f>VALUE(SUBSTITUTE(MID($A967,J967+J$2+1,K967-J967-J$2-1),",","."))</f>
        <v>2.7</v>
      </c>
      <c r="AD967" s="3">
        <f>VALUE(SUBSTITUTE(MID($A967,K967+K$2+1,L967-K967-K$2-1),",","."))</f>
        <v>48.6</v>
      </c>
      <c r="AE967" s="3">
        <f>VALUE(SUBSTITUTE(MID($A967,L967+L$2+1,M967-L967-L$2-1),",","."))</f>
        <v>0</v>
      </c>
      <c r="AF967" s="3">
        <f>VALUE(SUBSTITUTE(MID($A967,M967+M$2+1,N967-M967-M$2-1),",","."))</f>
        <v>0</v>
      </c>
      <c r="AG967" s="3">
        <f>VALUE(SUBSTITUTE(MID($A967,N967+N$2+1,O967-N967-N$2-1),",","."))</f>
        <v>4.2309539167890904</v>
      </c>
      <c r="AH967" t="str">
        <f>MID($A967,O967+O$2+1,P967-O967-O$2-1)</f>
        <v/>
      </c>
      <c r="AI967" s="8" t="str">
        <f>MID($A967,P967+P$2+1,Q967-P967-P$2-1)</f>
        <v>False</v>
      </c>
      <c r="AK967" t="b">
        <f t="shared" si="133"/>
        <v>0</v>
      </c>
    </row>
    <row r="968" spans="1:37" x14ac:dyDescent="0.35">
      <c r="A968" t="s">
        <v>5515</v>
      </c>
      <c r="B968">
        <f t="shared" si="129"/>
        <v>10</v>
      </c>
      <c r="C968">
        <f t="shared" si="129"/>
        <v>43</v>
      </c>
      <c r="D968">
        <f t="shared" si="129"/>
        <v>54</v>
      </c>
      <c r="E968">
        <f t="shared" si="129"/>
        <v>80</v>
      </c>
      <c r="F968">
        <f t="shared" si="129"/>
        <v>124</v>
      </c>
      <c r="G968">
        <f t="shared" si="129"/>
        <v>145</v>
      </c>
      <c r="H968">
        <f t="shared" si="129"/>
        <v>177</v>
      </c>
      <c r="I968">
        <f t="shared" si="129"/>
        <v>199</v>
      </c>
      <c r="J968">
        <f t="shared" si="129"/>
        <v>232</v>
      </c>
      <c r="K968">
        <f t="shared" si="128"/>
        <v>252</v>
      </c>
      <c r="L968">
        <f t="shared" si="128"/>
        <v>284</v>
      </c>
      <c r="M968">
        <f t="shared" si="128"/>
        <v>299</v>
      </c>
      <c r="N968">
        <f t="shared" si="128"/>
        <v>311</v>
      </c>
      <c r="O968">
        <f t="shared" si="128"/>
        <v>336</v>
      </c>
      <c r="P968">
        <f t="shared" si="128"/>
        <v>354</v>
      </c>
      <c r="Q968">
        <f t="shared" si="127"/>
        <v>380</v>
      </c>
      <c r="S968" t="str">
        <f t="shared" si="130"/>
        <v>06.12.2025</v>
      </c>
      <c r="T968" t="str">
        <f t="shared" si="131"/>
        <v>20:30:00</v>
      </c>
      <c r="U968" t="str">
        <f t="shared" si="132"/>
        <v>06.12.2025 20:30:00</v>
      </c>
      <c r="V968" s="9" t="str">
        <f>MID($A968,C968+C$2+1,D968-C968-C$2-1)</f>
        <v>0</v>
      </c>
      <c r="W968" s="4">
        <f>VALUE(SUBSTITUTE(MID($A968,D968+D$2+1,E968-D968-D$2-1),",","."))</f>
        <v>0</v>
      </c>
      <c r="X968" s="4">
        <f>VALUE(SUBSTITUTE(MID($A968,E968+E$2+1,F968-E968-E$2-1),",","."))</f>
        <v>0.90957602214449496</v>
      </c>
      <c r="Y968" s="4">
        <f>VALUE(SUBSTITUTE(MID($A968,F968+F$2+1,G968-F968-F$2-1),",","."))</f>
        <v>0</v>
      </c>
      <c r="Z968" s="3">
        <f>VALUE(SUBSTITUTE(MID($A968,G968+G$2+1,H968-G968-G$2-1),",","."))</f>
        <v>0</v>
      </c>
      <c r="AA968" s="3">
        <f>VALUE(SUBSTITUTE(MID($A968,H968+H$2+1,I968-H968-H$2-1),",","."))</f>
        <v>0</v>
      </c>
      <c r="AB968" s="3">
        <f>VALUE(SUBSTITUTE(MID($A968,I968+I$2+1,J968-I968-I$2-1),",","."))</f>
        <v>0</v>
      </c>
      <c r="AC968" s="3">
        <f>VALUE(SUBSTITUTE(MID($A968,J968+J$2+1,K968-J968-J$2-1),",","."))</f>
        <v>2.4500000000000002</v>
      </c>
      <c r="AD968" s="3">
        <f>VALUE(SUBSTITUTE(MID($A968,K968+K$2+1,L968-K968-K$2-1),",","."))</f>
        <v>46.98</v>
      </c>
      <c r="AE968" s="3">
        <f>VALUE(SUBSTITUTE(MID($A968,L968+L$2+1,M968-L968-L$2-1),",","."))</f>
        <v>0</v>
      </c>
      <c r="AF968" s="3">
        <f>VALUE(SUBSTITUTE(MID($A968,M968+M$2+1,N968-M968-M$2-1),",","."))</f>
        <v>0</v>
      </c>
      <c r="AG968" s="3">
        <f>VALUE(SUBSTITUTE(MID($A968,N968+N$2+1,O968-N968-N$2-1),",","."))</f>
        <v>4.23098243667717</v>
      </c>
      <c r="AH968" t="str">
        <f>MID($A968,O968+O$2+1,P968-O968-O$2-1)</f>
        <v/>
      </c>
      <c r="AI968" s="8" t="str">
        <f>MID($A968,P968+P$2+1,Q968-P968-P$2-1)</f>
        <v>False</v>
      </c>
      <c r="AK968" t="b">
        <f t="shared" si="133"/>
        <v>0</v>
      </c>
    </row>
    <row r="969" spans="1:37" x14ac:dyDescent="0.35">
      <c r="A969" t="s">
        <v>5516</v>
      </c>
      <c r="B969">
        <f t="shared" si="129"/>
        <v>10</v>
      </c>
      <c r="C969">
        <f t="shared" si="129"/>
        <v>43</v>
      </c>
      <c r="D969">
        <f t="shared" si="129"/>
        <v>54</v>
      </c>
      <c r="E969">
        <f t="shared" ref="E969:M1001" si="134">FIND(E$1,$A969)</f>
        <v>80</v>
      </c>
      <c r="F969">
        <f t="shared" si="134"/>
        <v>124</v>
      </c>
      <c r="G969">
        <f t="shared" si="134"/>
        <v>145</v>
      </c>
      <c r="H969">
        <f t="shared" si="134"/>
        <v>177</v>
      </c>
      <c r="I969">
        <f t="shared" si="134"/>
        <v>199</v>
      </c>
      <c r="J969">
        <f t="shared" si="134"/>
        <v>232</v>
      </c>
      <c r="K969">
        <f t="shared" si="128"/>
        <v>252</v>
      </c>
      <c r="L969">
        <f t="shared" si="128"/>
        <v>284</v>
      </c>
      <c r="M969">
        <f t="shared" si="128"/>
        <v>299</v>
      </c>
      <c r="N969">
        <f t="shared" si="128"/>
        <v>311</v>
      </c>
      <c r="O969">
        <f t="shared" si="128"/>
        <v>336</v>
      </c>
      <c r="P969">
        <f t="shared" si="128"/>
        <v>354</v>
      </c>
      <c r="Q969">
        <f t="shared" si="127"/>
        <v>380</v>
      </c>
      <c r="S969" t="str">
        <f t="shared" si="130"/>
        <v>06.12.2025</v>
      </c>
      <c r="T969" t="str">
        <f t="shared" si="131"/>
        <v>20:45:00</v>
      </c>
      <c r="U969" t="str">
        <f t="shared" si="132"/>
        <v>06.12.2025 20:45:00</v>
      </c>
      <c r="V969" s="9" t="str">
        <f>MID($A969,C969+C$2+1,D969-C969-C$2-1)</f>
        <v>0</v>
      </c>
      <c r="W969" s="4">
        <f>VALUE(SUBSTITUTE(MID($A969,D969+D$2+1,E969-D969-D$2-1),",","."))</f>
        <v>0</v>
      </c>
      <c r="X969" s="4">
        <f>VALUE(SUBSTITUTE(MID($A969,E969+E$2+1,F969-E969-E$2-1),",","."))</f>
        <v>0.90957602214449496</v>
      </c>
      <c r="Y969" s="4">
        <f>VALUE(SUBSTITUTE(MID($A969,F969+F$2+1,G969-F969-F$2-1),",","."))</f>
        <v>0</v>
      </c>
      <c r="Z969" s="3">
        <f>VALUE(SUBSTITUTE(MID($A969,G969+G$2+1,H969-G969-G$2-1),",","."))</f>
        <v>0</v>
      </c>
      <c r="AA969" s="3">
        <f>VALUE(SUBSTITUTE(MID($A969,H969+H$2+1,I969-H969-H$2-1),",","."))</f>
        <v>0</v>
      </c>
      <c r="AB969" s="3">
        <f>VALUE(SUBSTITUTE(MID($A969,I969+I$2+1,J969-I969-I$2-1),",","."))</f>
        <v>0</v>
      </c>
      <c r="AC969" s="3">
        <f>VALUE(SUBSTITUTE(MID($A969,J969+J$2+1,K969-J969-J$2-1),",","."))</f>
        <v>2.4500000000000002</v>
      </c>
      <c r="AD969" s="3">
        <f>VALUE(SUBSTITUTE(MID($A969,K969+K$2+1,L969-K969-K$2-1),",","."))</f>
        <v>46.98</v>
      </c>
      <c r="AE969" s="3">
        <f>VALUE(SUBSTITUTE(MID($A969,L969+L$2+1,M969-L969-L$2-1),",","."))</f>
        <v>0</v>
      </c>
      <c r="AF969" s="3">
        <f>VALUE(SUBSTITUTE(MID($A969,M969+M$2+1,N969-M969-M$2-1),",","."))</f>
        <v>0</v>
      </c>
      <c r="AG969" s="3">
        <f>VALUE(SUBSTITUTE(MID($A969,N969+N$2+1,O969-N969-N$2-1),",","."))</f>
        <v>4.2310109565652496</v>
      </c>
      <c r="AH969" t="str">
        <f>MID($A969,O969+O$2+1,P969-O969-O$2-1)</f>
        <v/>
      </c>
      <c r="AI969" s="8" t="str">
        <f>MID($A969,P969+P$2+1,Q969-P969-P$2-1)</f>
        <v>False</v>
      </c>
      <c r="AK969" t="b">
        <f t="shared" si="133"/>
        <v>0</v>
      </c>
    </row>
    <row r="970" spans="1:37" x14ac:dyDescent="0.35">
      <c r="A970" t="s">
        <v>5517</v>
      </c>
      <c r="B970">
        <f t="shared" ref="B970:M1015" si="135">FIND(B$1,$A970)</f>
        <v>10</v>
      </c>
      <c r="C970">
        <f t="shared" si="135"/>
        <v>43</v>
      </c>
      <c r="D970">
        <f t="shared" si="135"/>
        <v>54</v>
      </c>
      <c r="E970">
        <f t="shared" si="134"/>
        <v>80</v>
      </c>
      <c r="F970">
        <f t="shared" si="134"/>
        <v>124</v>
      </c>
      <c r="G970">
        <f t="shared" si="134"/>
        <v>145</v>
      </c>
      <c r="H970">
        <f t="shared" si="134"/>
        <v>177</v>
      </c>
      <c r="I970">
        <f t="shared" si="134"/>
        <v>199</v>
      </c>
      <c r="J970">
        <f t="shared" si="134"/>
        <v>232</v>
      </c>
      <c r="K970">
        <f t="shared" si="128"/>
        <v>252</v>
      </c>
      <c r="L970">
        <f t="shared" si="128"/>
        <v>284</v>
      </c>
      <c r="M970">
        <f t="shared" si="128"/>
        <v>299</v>
      </c>
      <c r="N970">
        <f t="shared" si="128"/>
        <v>311</v>
      </c>
      <c r="O970">
        <f t="shared" si="128"/>
        <v>336</v>
      </c>
      <c r="P970">
        <f t="shared" si="128"/>
        <v>354</v>
      </c>
      <c r="Q970">
        <f t="shared" si="127"/>
        <v>380</v>
      </c>
      <c r="S970" t="str">
        <f t="shared" si="130"/>
        <v>06.12.2025</v>
      </c>
      <c r="T970" t="str">
        <f t="shared" si="131"/>
        <v>21:00:00</v>
      </c>
      <c r="U970" t="str">
        <f t="shared" si="132"/>
        <v>06.12.2025 21:00:00</v>
      </c>
      <c r="V970" s="9" t="str">
        <f>MID($A970,C970+C$2+1,D970-C970-C$2-1)</f>
        <v>0</v>
      </c>
      <c r="W970" s="4">
        <f>VALUE(SUBSTITUTE(MID($A970,D970+D$2+1,E970-D970-D$2-1),",","."))</f>
        <v>0</v>
      </c>
      <c r="X970" s="4">
        <f>VALUE(SUBSTITUTE(MID($A970,E970+E$2+1,F970-E970-E$2-1),",","."))</f>
        <v>0.90957602214449496</v>
      </c>
      <c r="Y970" s="4">
        <f>VALUE(SUBSTITUTE(MID($A970,F970+F$2+1,G970-F970-F$2-1),",","."))</f>
        <v>0</v>
      </c>
      <c r="Z970" s="3">
        <f>VALUE(SUBSTITUTE(MID($A970,G970+G$2+1,H970-G970-G$2-1),",","."))</f>
        <v>0</v>
      </c>
      <c r="AA970" s="3">
        <f>VALUE(SUBSTITUTE(MID($A970,H970+H$2+1,I970-H970-H$2-1),",","."))</f>
        <v>0</v>
      </c>
      <c r="AB970" s="3">
        <f>VALUE(SUBSTITUTE(MID($A970,I970+I$2+1,J970-I970-I$2-1),",","."))</f>
        <v>0</v>
      </c>
      <c r="AC970" s="3">
        <f>VALUE(SUBSTITUTE(MID($A970,J970+J$2+1,K970-J970-J$2-1),",","."))</f>
        <v>2.4500000000000002</v>
      </c>
      <c r="AD970" s="3">
        <f>VALUE(SUBSTITUTE(MID($A970,K970+K$2+1,L970-K970-K$2-1),",","."))</f>
        <v>46.98</v>
      </c>
      <c r="AE970" s="3">
        <f>VALUE(SUBSTITUTE(MID($A970,L970+L$2+1,M970-L970-L$2-1),",","."))</f>
        <v>0</v>
      </c>
      <c r="AF970" s="3">
        <f>VALUE(SUBSTITUTE(MID($A970,M970+M$2+1,N970-M970-M$2-1),",","."))</f>
        <v>0</v>
      </c>
      <c r="AG970" s="3">
        <f>VALUE(SUBSTITUTE(MID($A970,N970+N$2+1,O970-N970-N$2-1),",","."))</f>
        <v>4.2310394764533399</v>
      </c>
      <c r="AH970" t="str">
        <f>MID($A970,O970+O$2+1,P970-O970-O$2-1)</f>
        <v/>
      </c>
      <c r="AI970" s="8" t="str">
        <f>MID($A970,P970+P$2+1,Q970-P970-P$2-1)</f>
        <v>False</v>
      </c>
      <c r="AK970" t="b">
        <f t="shared" si="133"/>
        <v>0</v>
      </c>
    </row>
    <row r="971" spans="1:37" x14ac:dyDescent="0.35">
      <c r="A971" t="s">
        <v>5518</v>
      </c>
      <c r="B971">
        <f t="shared" si="135"/>
        <v>10</v>
      </c>
      <c r="C971">
        <f t="shared" si="135"/>
        <v>43</v>
      </c>
      <c r="D971">
        <f t="shared" si="135"/>
        <v>54</v>
      </c>
      <c r="E971">
        <f t="shared" si="134"/>
        <v>80</v>
      </c>
      <c r="F971">
        <f t="shared" si="134"/>
        <v>124</v>
      </c>
      <c r="G971">
        <f t="shared" si="134"/>
        <v>145</v>
      </c>
      <c r="H971">
        <f t="shared" si="134"/>
        <v>177</v>
      </c>
      <c r="I971">
        <f t="shared" si="134"/>
        <v>199</v>
      </c>
      <c r="J971">
        <f t="shared" si="134"/>
        <v>232</v>
      </c>
      <c r="K971">
        <f t="shared" si="128"/>
        <v>252</v>
      </c>
      <c r="L971">
        <f t="shared" si="128"/>
        <v>284</v>
      </c>
      <c r="M971">
        <f t="shared" si="128"/>
        <v>299</v>
      </c>
      <c r="N971">
        <f t="shared" si="128"/>
        <v>311</v>
      </c>
      <c r="O971">
        <f t="shared" si="128"/>
        <v>336</v>
      </c>
      <c r="P971">
        <f t="shared" si="128"/>
        <v>354</v>
      </c>
      <c r="Q971">
        <f t="shared" si="127"/>
        <v>380</v>
      </c>
      <c r="S971" t="str">
        <f t="shared" si="130"/>
        <v>06.12.2025</v>
      </c>
      <c r="T971" t="str">
        <f t="shared" si="131"/>
        <v>21:15:00</v>
      </c>
      <c r="U971" t="str">
        <f t="shared" si="132"/>
        <v>06.12.2025 21:15:00</v>
      </c>
      <c r="V971" s="9" t="str">
        <f>MID($A971,C971+C$2+1,D971-C971-C$2-1)</f>
        <v>0</v>
      </c>
      <c r="W971" s="4">
        <f>VALUE(SUBSTITUTE(MID($A971,D971+D$2+1,E971-D971-D$2-1),",","."))</f>
        <v>0</v>
      </c>
      <c r="X971" s="4">
        <f>VALUE(SUBSTITUTE(MID($A971,E971+E$2+1,F971-E971-E$2-1),",","."))</f>
        <v>0.90957602214449496</v>
      </c>
      <c r="Y971" s="4">
        <f>VALUE(SUBSTITUTE(MID($A971,F971+F$2+1,G971-F971-F$2-1),",","."))</f>
        <v>0</v>
      </c>
      <c r="Z971" s="3">
        <f>VALUE(SUBSTITUTE(MID($A971,G971+G$2+1,H971-G971-G$2-1),",","."))</f>
        <v>0</v>
      </c>
      <c r="AA971" s="3">
        <f>VALUE(SUBSTITUTE(MID($A971,H971+H$2+1,I971-H971-H$2-1),",","."))</f>
        <v>0</v>
      </c>
      <c r="AB971" s="3">
        <f>VALUE(SUBSTITUTE(MID($A971,I971+I$2+1,J971-I971-I$2-1),",","."))</f>
        <v>0</v>
      </c>
      <c r="AC971" s="3">
        <f>VALUE(SUBSTITUTE(MID($A971,J971+J$2+1,K971-J971-J$2-1),",","."))</f>
        <v>2.4500000000000002</v>
      </c>
      <c r="AD971" s="3">
        <f>VALUE(SUBSTITUTE(MID($A971,K971+K$2+1,L971-K971-K$2-1),",","."))</f>
        <v>46.98</v>
      </c>
      <c r="AE971" s="3">
        <f>VALUE(SUBSTITUTE(MID($A971,L971+L$2+1,M971-L971-L$2-1),",","."))</f>
        <v>0</v>
      </c>
      <c r="AF971" s="3">
        <f>VALUE(SUBSTITUTE(MID($A971,M971+M$2+1,N971-M971-M$2-1),",","."))</f>
        <v>0</v>
      </c>
      <c r="AG971" s="3">
        <f>VALUE(SUBSTITUTE(MID($A971,N971+N$2+1,O971-N971-N$2-1),",","."))</f>
        <v>4.2310679963414204</v>
      </c>
      <c r="AH971" t="str">
        <f>MID($A971,O971+O$2+1,P971-O971-O$2-1)</f>
        <v/>
      </c>
      <c r="AI971" s="8" t="str">
        <f>MID($A971,P971+P$2+1,Q971-P971-P$2-1)</f>
        <v>False</v>
      </c>
      <c r="AK971" t="b">
        <f t="shared" si="133"/>
        <v>0</v>
      </c>
    </row>
    <row r="972" spans="1:37" x14ac:dyDescent="0.35">
      <c r="A972" t="s">
        <v>5519</v>
      </c>
      <c r="B972">
        <f t="shared" si="135"/>
        <v>10</v>
      </c>
      <c r="C972">
        <f t="shared" si="135"/>
        <v>43</v>
      </c>
      <c r="D972">
        <f t="shared" si="135"/>
        <v>54</v>
      </c>
      <c r="E972">
        <f t="shared" si="134"/>
        <v>80</v>
      </c>
      <c r="F972">
        <f t="shared" si="134"/>
        <v>124</v>
      </c>
      <c r="G972">
        <f t="shared" si="134"/>
        <v>145</v>
      </c>
      <c r="H972">
        <f t="shared" si="134"/>
        <v>177</v>
      </c>
      <c r="I972">
        <f t="shared" si="134"/>
        <v>199</v>
      </c>
      <c r="J972">
        <f t="shared" si="134"/>
        <v>232</v>
      </c>
      <c r="K972">
        <f t="shared" si="128"/>
        <v>251</v>
      </c>
      <c r="L972">
        <f t="shared" si="128"/>
        <v>283</v>
      </c>
      <c r="M972">
        <f t="shared" si="128"/>
        <v>298</v>
      </c>
      <c r="N972">
        <f t="shared" si="128"/>
        <v>310</v>
      </c>
      <c r="O972">
        <f t="shared" si="128"/>
        <v>336</v>
      </c>
      <c r="P972">
        <f t="shared" si="128"/>
        <v>354</v>
      </c>
      <c r="Q972">
        <f t="shared" si="127"/>
        <v>380</v>
      </c>
      <c r="S972" t="str">
        <f t="shared" si="130"/>
        <v>06.12.2025</v>
      </c>
      <c r="T972" t="str">
        <f t="shared" si="131"/>
        <v>21:30:00</v>
      </c>
      <c r="U972" t="str">
        <f t="shared" si="132"/>
        <v>06.12.2025 21:30:00</v>
      </c>
      <c r="V972" s="9" t="str">
        <f>MID($A972,C972+C$2+1,D972-C972-C$2-1)</f>
        <v>0</v>
      </c>
      <c r="W972" s="4">
        <f>VALUE(SUBSTITUTE(MID($A972,D972+D$2+1,E972-D972-D$2-1),",","."))</f>
        <v>0</v>
      </c>
      <c r="X972" s="4">
        <f>VALUE(SUBSTITUTE(MID($A972,E972+E$2+1,F972-E972-E$2-1),",","."))</f>
        <v>0.90957602214449496</v>
      </c>
      <c r="Y972" s="4">
        <f>VALUE(SUBSTITUTE(MID($A972,F972+F$2+1,G972-F972-F$2-1),",","."))</f>
        <v>0</v>
      </c>
      <c r="Z972" s="3">
        <f>VALUE(SUBSTITUTE(MID($A972,G972+G$2+1,H972-G972-G$2-1),",","."))</f>
        <v>0</v>
      </c>
      <c r="AA972" s="3">
        <f>VALUE(SUBSTITUTE(MID($A972,H972+H$2+1,I972-H972-H$2-1),",","."))</f>
        <v>0</v>
      </c>
      <c r="AB972" s="3">
        <f>VALUE(SUBSTITUTE(MID($A972,I972+I$2+1,J972-I972-I$2-1),",","."))</f>
        <v>0</v>
      </c>
      <c r="AC972" s="3">
        <f>VALUE(SUBSTITUTE(MID($A972,J972+J$2+1,K972-J972-J$2-1),",","."))</f>
        <v>2.2000000000000002</v>
      </c>
      <c r="AD972" s="3">
        <f>VALUE(SUBSTITUTE(MID($A972,K972+K$2+1,L972-K972-K$2-1),",","."))</f>
        <v>46.44</v>
      </c>
      <c r="AE972" s="3">
        <f>VALUE(SUBSTITUTE(MID($A972,L972+L$2+1,M972-L972-L$2-1),",","."))</f>
        <v>0</v>
      </c>
      <c r="AF972" s="3">
        <f>VALUE(SUBSTITUTE(MID($A972,M972+M$2+1,N972-M972-M$2-1),",","."))</f>
        <v>0</v>
      </c>
      <c r="AG972" s="3">
        <f>VALUE(SUBSTITUTE(MID($A972,N972+N$2+1,O972-N972-N$2-1),",","."))</f>
        <v>4.2310965162295</v>
      </c>
      <c r="AH972" t="str">
        <f>MID($A972,O972+O$2+1,P972-O972-O$2-1)</f>
        <v/>
      </c>
      <c r="AI972" s="8" t="str">
        <f>MID($A972,P972+P$2+1,Q972-P972-P$2-1)</f>
        <v>False</v>
      </c>
      <c r="AK972" t="b">
        <f t="shared" si="133"/>
        <v>0</v>
      </c>
    </row>
    <row r="973" spans="1:37" x14ac:dyDescent="0.35">
      <c r="A973" t="s">
        <v>5520</v>
      </c>
      <c r="B973">
        <f t="shared" si="135"/>
        <v>10</v>
      </c>
      <c r="C973">
        <f t="shared" si="135"/>
        <v>43</v>
      </c>
      <c r="D973">
        <f t="shared" si="135"/>
        <v>54</v>
      </c>
      <c r="E973">
        <f t="shared" si="134"/>
        <v>80</v>
      </c>
      <c r="F973">
        <f t="shared" si="134"/>
        <v>124</v>
      </c>
      <c r="G973">
        <f t="shared" si="134"/>
        <v>145</v>
      </c>
      <c r="H973">
        <f t="shared" si="134"/>
        <v>177</v>
      </c>
      <c r="I973">
        <f t="shared" si="134"/>
        <v>199</v>
      </c>
      <c r="J973">
        <f t="shared" si="134"/>
        <v>232</v>
      </c>
      <c r="K973">
        <f t="shared" si="128"/>
        <v>251</v>
      </c>
      <c r="L973">
        <f t="shared" si="128"/>
        <v>283</v>
      </c>
      <c r="M973">
        <f t="shared" si="128"/>
        <v>298</v>
      </c>
      <c r="N973">
        <f t="shared" si="128"/>
        <v>310</v>
      </c>
      <c r="O973">
        <f t="shared" si="128"/>
        <v>335</v>
      </c>
      <c r="P973">
        <f t="shared" si="128"/>
        <v>353</v>
      </c>
      <c r="Q973">
        <f t="shared" si="127"/>
        <v>379</v>
      </c>
      <c r="S973" t="str">
        <f t="shared" si="130"/>
        <v>06.12.2025</v>
      </c>
      <c r="T973" t="str">
        <f t="shared" si="131"/>
        <v>21:45:00</v>
      </c>
      <c r="U973" t="str">
        <f t="shared" si="132"/>
        <v>06.12.2025 21:45:00</v>
      </c>
      <c r="V973" s="9" t="str">
        <f>MID($A973,C973+C$2+1,D973-C973-C$2-1)</f>
        <v>0</v>
      </c>
      <c r="W973" s="4">
        <f>VALUE(SUBSTITUTE(MID($A973,D973+D$2+1,E973-D973-D$2-1),",","."))</f>
        <v>0</v>
      </c>
      <c r="X973" s="4">
        <f>VALUE(SUBSTITUTE(MID($A973,E973+E$2+1,F973-E973-E$2-1),",","."))</f>
        <v>0.90957602214449496</v>
      </c>
      <c r="Y973" s="4">
        <f>VALUE(SUBSTITUTE(MID($A973,F973+F$2+1,G973-F973-F$2-1),",","."))</f>
        <v>0</v>
      </c>
      <c r="Z973" s="3">
        <f>VALUE(SUBSTITUTE(MID($A973,G973+G$2+1,H973-G973-G$2-1),",","."))</f>
        <v>0</v>
      </c>
      <c r="AA973" s="3">
        <f>VALUE(SUBSTITUTE(MID($A973,H973+H$2+1,I973-H973-H$2-1),",","."))</f>
        <v>0</v>
      </c>
      <c r="AB973" s="3">
        <f>VALUE(SUBSTITUTE(MID($A973,I973+I$2+1,J973-I973-I$2-1),",","."))</f>
        <v>0</v>
      </c>
      <c r="AC973" s="3">
        <f>VALUE(SUBSTITUTE(MID($A973,J973+J$2+1,K973-J973-J$2-1),",","."))</f>
        <v>2.2000000000000002</v>
      </c>
      <c r="AD973" s="3">
        <f>VALUE(SUBSTITUTE(MID($A973,K973+K$2+1,L973-K973-K$2-1),",","."))</f>
        <v>46.44</v>
      </c>
      <c r="AE973" s="3">
        <f>VALUE(SUBSTITUTE(MID($A973,L973+L$2+1,M973-L973-L$2-1),",","."))</f>
        <v>0</v>
      </c>
      <c r="AF973" s="3">
        <f>VALUE(SUBSTITUTE(MID($A973,M973+M$2+1,N973-M973-M$2-1),",","."))</f>
        <v>0</v>
      </c>
      <c r="AG973" s="3">
        <f>VALUE(SUBSTITUTE(MID($A973,N973+N$2+1,O973-N973-N$2-1),",","."))</f>
        <v>4.2311250361175796</v>
      </c>
      <c r="AH973" t="str">
        <f>MID($A973,O973+O$2+1,P973-O973-O$2-1)</f>
        <v/>
      </c>
      <c r="AI973" s="8" t="str">
        <f>MID($A973,P973+P$2+1,Q973-P973-P$2-1)</f>
        <v>False</v>
      </c>
      <c r="AK973" t="b">
        <f t="shared" si="133"/>
        <v>0</v>
      </c>
    </row>
    <row r="974" spans="1:37" x14ac:dyDescent="0.35">
      <c r="A974" t="s">
        <v>5521</v>
      </c>
      <c r="B974">
        <f t="shared" si="135"/>
        <v>10</v>
      </c>
      <c r="C974">
        <f t="shared" si="135"/>
        <v>43</v>
      </c>
      <c r="D974">
        <f t="shared" si="135"/>
        <v>54</v>
      </c>
      <c r="E974">
        <f t="shared" si="134"/>
        <v>80</v>
      </c>
      <c r="F974">
        <f t="shared" si="134"/>
        <v>124</v>
      </c>
      <c r="G974">
        <f t="shared" si="134"/>
        <v>145</v>
      </c>
      <c r="H974">
        <f t="shared" si="134"/>
        <v>177</v>
      </c>
      <c r="I974">
        <f t="shared" si="134"/>
        <v>199</v>
      </c>
      <c r="J974">
        <f t="shared" si="134"/>
        <v>232</v>
      </c>
      <c r="K974">
        <f t="shared" si="128"/>
        <v>251</v>
      </c>
      <c r="L974">
        <f t="shared" si="128"/>
        <v>283</v>
      </c>
      <c r="M974">
        <f t="shared" si="128"/>
        <v>298</v>
      </c>
      <c r="N974">
        <f t="shared" si="128"/>
        <v>310</v>
      </c>
      <c r="O974">
        <f t="shared" si="128"/>
        <v>335</v>
      </c>
      <c r="P974">
        <f t="shared" si="128"/>
        <v>353</v>
      </c>
      <c r="Q974">
        <f t="shared" si="127"/>
        <v>379</v>
      </c>
      <c r="S974" t="str">
        <f t="shared" si="130"/>
        <v>06.12.2025</v>
      </c>
      <c r="T974" t="str">
        <f t="shared" si="131"/>
        <v>22:00:00</v>
      </c>
      <c r="U974" t="str">
        <f t="shared" si="132"/>
        <v>06.12.2025 22:00:00</v>
      </c>
      <c r="V974" s="9" t="str">
        <f>MID($A974,C974+C$2+1,D974-C974-C$2-1)</f>
        <v>0</v>
      </c>
      <c r="W974" s="4">
        <f>VALUE(SUBSTITUTE(MID($A974,D974+D$2+1,E974-D974-D$2-1),",","."))</f>
        <v>0</v>
      </c>
      <c r="X974" s="4">
        <f>VALUE(SUBSTITUTE(MID($A974,E974+E$2+1,F974-E974-E$2-1),",","."))</f>
        <v>0.90957602214449496</v>
      </c>
      <c r="Y974" s="4">
        <f>VALUE(SUBSTITUTE(MID($A974,F974+F$2+1,G974-F974-F$2-1),",","."))</f>
        <v>0</v>
      </c>
      <c r="Z974" s="3">
        <f>VALUE(SUBSTITUTE(MID($A974,G974+G$2+1,H974-G974-G$2-1),",","."))</f>
        <v>0</v>
      </c>
      <c r="AA974" s="3">
        <f>VALUE(SUBSTITUTE(MID($A974,H974+H$2+1,I974-H974-H$2-1),",","."))</f>
        <v>0</v>
      </c>
      <c r="AB974" s="3">
        <f>VALUE(SUBSTITUTE(MID($A974,I974+I$2+1,J974-I974-I$2-1),",","."))</f>
        <v>0</v>
      </c>
      <c r="AC974" s="3">
        <f>VALUE(SUBSTITUTE(MID($A974,J974+J$2+1,K974-J974-J$2-1),",","."))</f>
        <v>2.2000000000000002</v>
      </c>
      <c r="AD974" s="3">
        <f>VALUE(SUBSTITUTE(MID($A974,K974+K$2+1,L974-K974-K$2-1),",","."))</f>
        <v>46.44</v>
      </c>
      <c r="AE974" s="3">
        <f>VALUE(SUBSTITUTE(MID($A974,L974+L$2+1,M974-L974-L$2-1),",","."))</f>
        <v>0</v>
      </c>
      <c r="AF974" s="3">
        <f>VALUE(SUBSTITUTE(MID($A974,M974+M$2+1,N974-M974-M$2-1),",","."))</f>
        <v>0</v>
      </c>
      <c r="AG974" s="3">
        <f>VALUE(SUBSTITUTE(MID($A974,N974+N$2+1,O974-N974-N$2-1),",","."))</f>
        <v>4.2311535560056601</v>
      </c>
      <c r="AH974" t="str">
        <f>MID($A974,O974+O$2+1,P974-O974-O$2-1)</f>
        <v/>
      </c>
      <c r="AI974" s="8" t="str">
        <f>MID($A974,P974+P$2+1,Q974-P974-P$2-1)</f>
        <v>False</v>
      </c>
      <c r="AK974" t="b">
        <f t="shared" si="133"/>
        <v>0</v>
      </c>
    </row>
    <row r="975" spans="1:37" x14ac:dyDescent="0.35">
      <c r="A975" t="s">
        <v>5522</v>
      </c>
      <c r="B975">
        <f t="shared" si="135"/>
        <v>10</v>
      </c>
      <c r="C975">
        <f t="shared" si="135"/>
        <v>43</v>
      </c>
      <c r="D975">
        <f t="shared" si="135"/>
        <v>54</v>
      </c>
      <c r="E975">
        <f t="shared" si="134"/>
        <v>80</v>
      </c>
      <c r="F975">
        <f t="shared" si="134"/>
        <v>124</v>
      </c>
      <c r="G975">
        <f t="shared" si="134"/>
        <v>145</v>
      </c>
      <c r="H975">
        <f t="shared" si="134"/>
        <v>177</v>
      </c>
      <c r="I975">
        <f t="shared" si="134"/>
        <v>199</v>
      </c>
      <c r="J975">
        <f t="shared" si="134"/>
        <v>232</v>
      </c>
      <c r="K975">
        <f t="shared" si="128"/>
        <v>251</v>
      </c>
      <c r="L975">
        <f t="shared" si="128"/>
        <v>283</v>
      </c>
      <c r="M975">
        <f t="shared" si="128"/>
        <v>298</v>
      </c>
      <c r="N975">
        <f t="shared" si="128"/>
        <v>310</v>
      </c>
      <c r="O975">
        <f t="shared" si="128"/>
        <v>336</v>
      </c>
      <c r="P975">
        <f t="shared" si="128"/>
        <v>354</v>
      </c>
      <c r="Q975">
        <f t="shared" si="127"/>
        <v>380</v>
      </c>
      <c r="S975" t="str">
        <f t="shared" si="130"/>
        <v>06.12.2025</v>
      </c>
      <c r="T975" t="str">
        <f t="shared" si="131"/>
        <v>22:15:00</v>
      </c>
      <c r="U975" t="str">
        <f t="shared" si="132"/>
        <v>06.12.2025 22:15:00</v>
      </c>
      <c r="V975" s="9" t="str">
        <f>MID($A975,C975+C$2+1,D975-C975-C$2-1)</f>
        <v>0</v>
      </c>
      <c r="W975" s="4">
        <f>VALUE(SUBSTITUTE(MID($A975,D975+D$2+1,E975-D975-D$2-1),",","."))</f>
        <v>0</v>
      </c>
      <c r="X975" s="4">
        <f>VALUE(SUBSTITUTE(MID($A975,E975+E$2+1,F975-E975-E$2-1),",","."))</f>
        <v>0.90957602214449496</v>
      </c>
      <c r="Y975" s="4">
        <f>VALUE(SUBSTITUTE(MID($A975,F975+F$2+1,G975-F975-F$2-1),",","."))</f>
        <v>0</v>
      </c>
      <c r="Z975" s="3">
        <f>VALUE(SUBSTITUTE(MID($A975,G975+G$2+1,H975-G975-G$2-1),",","."))</f>
        <v>0</v>
      </c>
      <c r="AA975" s="3">
        <f>VALUE(SUBSTITUTE(MID($A975,H975+H$2+1,I975-H975-H$2-1),",","."))</f>
        <v>0</v>
      </c>
      <c r="AB975" s="3">
        <f>VALUE(SUBSTITUTE(MID($A975,I975+I$2+1,J975-I975-I$2-1),",","."))</f>
        <v>0</v>
      </c>
      <c r="AC975" s="3">
        <f>VALUE(SUBSTITUTE(MID($A975,J975+J$2+1,K975-J975-J$2-1),",","."))</f>
        <v>2.2000000000000002</v>
      </c>
      <c r="AD975" s="3">
        <f>VALUE(SUBSTITUTE(MID($A975,K975+K$2+1,L975-K975-K$2-1),",","."))</f>
        <v>46.44</v>
      </c>
      <c r="AE975" s="3">
        <f>VALUE(SUBSTITUTE(MID($A975,L975+L$2+1,M975-L975-L$2-1),",","."))</f>
        <v>0</v>
      </c>
      <c r="AF975" s="3">
        <f>VALUE(SUBSTITUTE(MID($A975,M975+M$2+1,N975-M975-M$2-1),",","."))</f>
        <v>0</v>
      </c>
      <c r="AG975" s="3">
        <f>VALUE(SUBSTITUTE(MID($A975,N975+N$2+1,O975-N975-N$2-1),",","."))</f>
        <v>4.2311820758937397</v>
      </c>
      <c r="AH975" t="str">
        <f>MID($A975,O975+O$2+1,P975-O975-O$2-1)</f>
        <v/>
      </c>
      <c r="AI975" s="8" t="str">
        <f>MID($A975,P975+P$2+1,Q975-P975-P$2-1)</f>
        <v>False</v>
      </c>
      <c r="AK975" t="b">
        <f t="shared" si="133"/>
        <v>0</v>
      </c>
    </row>
    <row r="976" spans="1:37" x14ac:dyDescent="0.35">
      <c r="A976" t="s">
        <v>5523</v>
      </c>
      <c r="B976">
        <f t="shared" si="135"/>
        <v>10</v>
      </c>
      <c r="C976">
        <f t="shared" si="135"/>
        <v>43</v>
      </c>
      <c r="D976">
        <f t="shared" si="135"/>
        <v>54</v>
      </c>
      <c r="E976">
        <f t="shared" si="134"/>
        <v>80</v>
      </c>
      <c r="F976">
        <f t="shared" si="134"/>
        <v>124</v>
      </c>
      <c r="G976">
        <f t="shared" si="134"/>
        <v>145</v>
      </c>
      <c r="H976">
        <f t="shared" si="134"/>
        <v>177</v>
      </c>
      <c r="I976">
        <f t="shared" si="134"/>
        <v>199</v>
      </c>
      <c r="J976">
        <f t="shared" si="134"/>
        <v>232</v>
      </c>
      <c r="K976">
        <f t="shared" si="128"/>
        <v>252</v>
      </c>
      <c r="L976">
        <f t="shared" si="128"/>
        <v>284</v>
      </c>
      <c r="M976">
        <f t="shared" si="128"/>
        <v>299</v>
      </c>
      <c r="N976">
        <f t="shared" si="128"/>
        <v>311</v>
      </c>
      <c r="O976">
        <f t="shared" si="128"/>
        <v>336</v>
      </c>
      <c r="P976">
        <f t="shared" si="128"/>
        <v>354</v>
      </c>
      <c r="Q976">
        <f t="shared" si="127"/>
        <v>380</v>
      </c>
      <c r="S976" t="str">
        <f t="shared" si="130"/>
        <v>06.12.2025</v>
      </c>
      <c r="T976" t="str">
        <f t="shared" si="131"/>
        <v>22:30:00</v>
      </c>
      <c r="U976" t="str">
        <f t="shared" si="132"/>
        <v>06.12.2025 22:30:00</v>
      </c>
      <c r="V976" s="9" t="str">
        <f>MID($A976,C976+C$2+1,D976-C976-C$2-1)</f>
        <v>0</v>
      </c>
      <c r="W976" s="4">
        <f>VALUE(SUBSTITUTE(MID($A976,D976+D$2+1,E976-D976-D$2-1),",","."))</f>
        <v>0</v>
      </c>
      <c r="X976" s="4">
        <f>VALUE(SUBSTITUTE(MID($A976,E976+E$2+1,F976-E976-E$2-1),",","."))</f>
        <v>0.90957602214449496</v>
      </c>
      <c r="Y976" s="4">
        <f>VALUE(SUBSTITUTE(MID($A976,F976+F$2+1,G976-F976-F$2-1),",","."))</f>
        <v>0</v>
      </c>
      <c r="Z976" s="3">
        <f>VALUE(SUBSTITUTE(MID($A976,G976+G$2+1,H976-G976-G$2-1),",","."))</f>
        <v>0</v>
      </c>
      <c r="AA976" s="3">
        <f>VALUE(SUBSTITUTE(MID($A976,H976+H$2+1,I976-H976-H$2-1),",","."))</f>
        <v>0</v>
      </c>
      <c r="AB976" s="3">
        <f>VALUE(SUBSTITUTE(MID($A976,I976+I$2+1,J976-I976-I$2-1),",","."))</f>
        <v>0</v>
      </c>
      <c r="AC976" s="3">
        <f>VALUE(SUBSTITUTE(MID($A976,J976+J$2+1,K976-J976-J$2-1),",","."))</f>
        <v>2.0499999999999998</v>
      </c>
      <c r="AD976" s="3">
        <f>VALUE(SUBSTITUTE(MID($A976,K976+K$2+1,L976-K976-K$2-1),",","."))</f>
        <v>45.9</v>
      </c>
      <c r="AE976" s="3">
        <f>VALUE(SUBSTITUTE(MID($A976,L976+L$2+1,M976-L976-L$2-1),",","."))</f>
        <v>0</v>
      </c>
      <c r="AF976" s="3">
        <f>VALUE(SUBSTITUTE(MID($A976,M976+M$2+1,N976-M976-M$2-1),",","."))</f>
        <v>0</v>
      </c>
      <c r="AG976" s="3">
        <f>VALUE(SUBSTITUTE(MID($A976,N976+N$2+1,O976-N976-N$2-1),",","."))</f>
        <v>4.23121059578183</v>
      </c>
      <c r="AH976" t="str">
        <f>MID($A976,O976+O$2+1,P976-O976-O$2-1)</f>
        <v/>
      </c>
      <c r="AI976" s="8" t="str">
        <f>MID($A976,P976+P$2+1,Q976-P976-P$2-1)</f>
        <v>False</v>
      </c>
      <c r="AK976" t="b">
        <f t="shared" si="133"/>
        <v>0</v>
      </c>
    </row>
    <row r="977" spans="1:37" x14ac:dyDescent="0.35">
      <c r="A977" t="s">
        <v>5524</v>
      </c>
      <c r="B977">
        <f t="shared" si="135"/>
        <v>10</v>
      </c>
      <c r="C977">
        <f t="shared" si="135"/>
        <v>43</v>
      </c>
      <c r="D977">
        <f t="shared" si="135"/>
        <v>54</v>
      </c>
      <c r="E977">
        <f t="shared" si="134"/>
        <v>80</v>
      </c>
      <c r="F977">
        <f t="shared" si="134"/>
        <v>124</v>
      </c>
      <c r="G977">
        <f t="shared" si="134"/>
        <v>145</v>
      </c>
      <c r="H977">
        <f t="shared" si="134"/>
        <v>177</v>
      </c>
      <c r="I977">
        <f t="shared" si="134"/>
        <v>199</v>
      </c>
      <c r="J977">
        <f t="shared" si="134"/>
        <v>232</v>
      </c>
      <c r="K977">
        <f t="shared" si="128"/>
        <v>252</v>
      </c>
      <c r="L977">
        <f t="shared" si="128"/>
        <v>284</v>
      </c>
      <c r="M977">
        <f t="shared" si="128"/>
        <v>299</v>
      </c>
      <c r="N977">
        <f t="shared" si="128"/>
        <v>311</v>
      </c>
      <c r="O977">
        <f t="shared" si="128"/>
        <v>336</v>
      </c>
      <c r="P977">
        <f t="shared" si="128"/>
        <v>354</v>
      </c>
      <c r="Q977">
        <f t="shared" si="127"/>
        <v>380</v>
      </c>
      <c r="S977" t="str">
        <f t="shared" si="130"/>
        <v>06.12.2025</v>
      </c>
      <c r="T977" t="str">
        <f t="shared" si="131"/>
        <v>22:45:00</v>
      </c>
      <c r="U977" t="str">
        <f t="shared" si="132"/>
        <v>06.12.2025 22:45:00</v>
      </c>
      <c r="V977" s="9" t="str">
        <f>MID($A977,C977+C$2+1,D977-C977-C$2-1)</f>
        <v>0</v>
      </c>
      <c r="W977" s="4">
        <f>VALUE(SUBSTITUTE(MID($A977,D977+D$2+1,E977-D977-D$2-1),",","."))</f>
        <v>0</v>
      </c>
      <c r="X977" s="4">
        <f>VALUE(SUBSTITUTE(MID($A977,E977+E$2+1,F977-E977-E$2-1),",","."))</f>
        <v>0.90957602214449496</v>
      </c>
      <c r="Y977" s="4">
        <f>VALUE(SUBSTITUTE(MID($A977,F977+F$2+1,G977-F977-F$2-1),",","."))</f>
        <v>0</v>
      </c>
      <c r="Z977" s="3">
        <f>VALUE(SUBSTITUTE(MID($A977,G977+G$2+1,H977-G977-G$2-1),",","."))</f>
        <v>0</v>
      </c>
      <c r="AA977" s="3">
        <f>VALUE(SUBSTITUTE(MID($A977,H977+H$2+1,I977-H977-H$2-1),",","."))</f>
        <v>0</v>
      </c>
      <c r="AB977" s="3">
        <f>VALUE(SUBSTITUTE(MID($A977,I977+I$2+1,J977-I977-I$2-1),",","."))</f>
        <v>0</v>
      </c>
      <c r="AC977" s="3">
        <f>VALUE(SUBSTITUTE(MID($A977,J977+J$2+1,K977-J977-J$2-1),",","."))</f>
        <v>2.0499999999999998</v>
      </c>
      <c r="AD977" s="3">
        <f>VALUE(SUBSTITUTE(MID($A977,K977+K$2+1,L977-K977-K$2-1),",","."))</f>
        <v>45.9</v>
      </c>
      <c r="AE977" s="3">
        <f>VALUE(SUBSTITUTE(MID($A977,L977+L$2+1,M977-L977-L$2-1),",","."))</f>
        <v>0</v>
      </c>
      <c r="AF977" s="3">
        <f>VALUE(SUBSTITUTE(MID($A977,M977+M$2+1,N977-M977-M$2-1),",","."))</f>
        <v>0</v>
      </c>
      <c r="AG977" s="3">
        <f>VALUE(SUBSTITUTE(MID($A977,N977+N$2+1,O977-N977-N$2-1),",","."))</f>
        <v>4.2312391156699096</v>
      </c>
      <c r="AH977" t="str">
        <f>MID($A977,O977+O$2+1,P977-O977-O$2-1)</f>
        <v/>
      </c>
      <c r="AI977" s="8" t="str">
        <f>MID($A977,P977+P$2+1,Q977-P977-P$2-1)</f>
        <v>False</v>
      </c>
      <c r="AK977" t="b">
        <f t="shared" si="133"/>
        <v>0</v>
      </c>
    </row>
    <row r="978" spans="1:37" x14ac:dyDescent="0.35">
      <c r="A978" t="s">
        <v>5525</v>
      </c>
      <c r="B978">
        <f t="shared" si="135"/>
        <v>10</v>
      </c>
      <c r="C978">
        <f t="shared" si="135"/>
        <v>43</v>
      </c>
      <c r="D978">
        <f t="shared" si="135"/>
        <v>54</v>
      </c>
      <c r="E978">
        <f t="shared" si="134"/>
        <v>80</v>
      </c>
      <c r="F978">
        <f t="shared" si="134"/>
        <v>124</v>
      </c>
      <c r="G978">
        <f t="shared" si="134"/>
        <v>145</v>
      </c>
      <c r="H978">
        <f t="shared" si="134"/>
        <v>177</v>
      </c>
      <c r="I978">
        <f t="shared" si="134"/>
        <v>199</v>
      </c>
      <c r="J978">
        <f t="shared" si="134"/>
        <v>232</v>
      </c>
      <c r="K978">
        <f t="shared" si="128"/>
        <v>252</v>
      </c>
      <c r="L978">
        <f t="shared" si="128"/>
        <v>284</v>
      </c>
      <c r="M978">
        <f t="shared" si="128"/>
        <v>299</v>
      </c>
      <c r="N978">
        <f t="shared" si="128"/>
        <v>311</v>
      </c>
      <c r="O978">
        <f t="shared" si="128"/>
        <v>336</v>
      </c>
      <c r="P978">
        <f t="shared" si="128"/>
        <v>354</v>
      </c>
      <c r="Q978">
        <f t="shared" si="127"/>
        <v>380</v>
      </c>
      <c r="S978" t="str">
        <f t="shared" si="130"/>
        <v>06.12.2025</v>
      </c>
      <c r="T978" t="str">
        <f t="shared" si="131"/>
        <v>23:00:00</v>
      </c>
      <c r="U978" t="str">
        <f t="shared" si="132"/>
        <v>06.12.2025 23:00:00</v>
      </c>
      <c r="V978" s="9" t="str">
        <f>MID($A978,C978+C$2+1,D978-C978-C$2-1)</f>
        <v>0</v>
      </c>
      <c r="W978" s="4">
        <f>VALUE(SUBSTITUTE(MID($A978,D978+D$2+1,E978-D978-D$2-1),",","."))</f>
        <v>0</v>
      </c>
      <c r="X978" s="4">
        <f>VALUE(SUBSTITUTE(MID($A978,E978+E$2+1,F978-E978-E$2-1),",","."))</f>
        <v>0.90957602214449496</v>
      </c>
      <c r="Y978" s="4">
        <f>VALUE(SUBSTITUTE(MID($A978,F978+F$2+1,G978-F978-F$2-1),",","."))</f>
        <v>0</v>
      </c>
      <c r="Z978" s="3">
        <f>VALUE(SUBSTITUTE(MID($A978,G978+G$2+1,H978-G978-G$2-1),",","."))</f>
        <v>0</v>
      </c>
      <c r="AA978" s="3">
        <f>VALUE(SUBSTITUTE(MID($A978,H978+H$2+1,I978-H978-H$2-1),",","."))</f>
        <v>0</v>
      </c>
      <c r="AB978" s="3">
        <f>VALUE(SUBSTITUTE(MID($A978,I978+I$2+1,J978-I978-I$2-1),",","."))</f>
        <v>0</v>
      </c>
      <c r="AC978" s="3">
        <f>VALUE(SUBSTITUTE(MID($A978,J978+J$2+1,K978-J978-J$2-1),",","."))</f>
        <v>2.0499999999999998</v>
      </c>
      <c r="AD978" s="3">
        <f>VALUE(SUBSTITUTE(MID($A978,K978+K$2+1,L978-K978-K$2-1),",","."))</f>
        <v>45.9</v>
      </c>
      <c r="AE978" s="3">
        <f>VALUE(SUBSTITUTE(MID($A978,L978+L$2+1,M978-L978-L$2-1),",","."))</f>
        <v>0</v>
      </c>
      <c r="AF978" s="3">
        <f>VALUE(SUBSTITUTE(MID($A978,M978+M$2+1,N978-M978-M$2-1),",","."))</f>
        <v>0</v>
      </c>
      <c r="AG978" s="3">
        <f>VALUE(SUBSTITUTE(MID($A978,N978+N$2+1,O978-N978-N$2-1),",","."))</f>
        <v>4.2312676355579901</v>
      </c>
      <c r="AH978" t="str">
        <f>MID($A978,O978+O$2+1,P978-O978-O$2-1)</f>
        <v/>
      </c>
      <c r="AI978" s="8" t="str">
        <f>MID($A978,P978+P$2+1,Q978-P978-P$2-1)</f>
        <v>False</v>
      </c>
      <c r="AK978" t="b">
        <f t="shared" si="133"/>
        <v>0</v>
      </c>
    </row>
    <row r="979" spans="1:37" x14ac:dyDescent="0.35">
      <c r="A979" t="s">
        <v>5526</v>
      </c>
      <c r="B979">
        <f t="shared" si="135"/>
        <v>10</v>
      </c>
      <c r="C979">
        <f t="shared" si="135"/>
        <v>43</v>
      </c>
      <c r="D979">
        <f t="shared" si="135"/>
        <v>54</v>
      </c>
      <c r="E979">
        <f t="shared" si="134"/>
        <v>80</v>
      </c>
      <c r="F979">
        <f t="shared" si="134"/>
        <v>124</v>
      </c>
      <c r="G979">
        <f t="shared" si="134"/>
        <v>145</v>
      </c>
      <c r="H979">
        <f t="shared" si="134"/>
        <v>177</v>
      </c>
      <c r="I979">
        <f t="shared" si="134"/>
        <v>199</v>
      </c>
      <c r="J979">
        <f t="shared" si="134"/>
        <v>232</v>
      </c>
      <c r="K979">
        <f t="shared" si="128"/>
        <v>252</v>
      </c>
      <c r="L979">
        <f t="shared" si="128"/>
        <v>284</v>
      </c>
      <c r="M979">
        <f t="shared" si="128"/>
        <v>299</v>
      </c>
      <c r="N979">
        <f t="shared" si="128"/>
        <v>311</v>
      </c>
      <c r="O979">
        <f t="shared" si="128"/>
        <v>336</v>
      </c>
      <c r="P979">
        <f t="shared" si="128"/>
        <v>354</v>
      </c>
      <c r="Q979">
        <f t="shared" si="127"/>
        <v>380</v>
      </c>
      <c r="S979" t="str">
        <f t="shared" si="130"/>
        <v>06.12.2025</v>
      </c>
      <c r="T979" t="str">
        <f t="shared" si="131"/>
        <v>23:15:00</v>
      </c>
      <c r="U979" t="str">
        <f t="shared" si="132"/>
        <v>06.12.2025 23:15:00</v>
      </c>
      <c r="V979" s="9" t="str">
        <f>MID($A979,C979+C$2+1,D979-C979-C$2-1)</f>
        <v>0</v>
      </c>
      <c r="W979" s="4">
        <f>VALUE(SUBSTITUTE(MID($A979,D979+D$2+1,E979-D979-D$2-1),",","."))</f>
        <v>0</v>
      </c>
      <c r="X979" s="4">
        <f>VALUE(SUBSTITUTE(MID($A979,E979+E$2+1,F979-E979-E$2-1),",","."))</f>
        <v>0.90957602214449496</v>
      </c>
      <c r="Y979" s="4">
        <f>VALUE(SUBSTITUTE(MID($A979,F979+F$2+1,G979-F979-F$2-1),",","."))</f>
        <v>0</v>
      </c>
      <c r="Z979" s="3">
        <f>VALUE(SUBSTITUTE(MID($A979,G979+G$2+1,H979-G979-G$2-1),",","."))</f>
        <v>0</v>
      </c>
      <c r="AA979" s="3">
        <f>VALUE(SUBSTITUTE(MID($A979,H979+H$2+1,I979-H979-H$2-1),",","."))</f>
        <v>0</v>
      </c>
      <c r="AB979" s="3">
        <f>VALUE(SUBSTITUTE(MID($A979,I979+I$2+1,J979-I979-I$2-1),",","."))</f>
        <v>0</v>
      </c>
      <c r="AC979" s="3">
        <f>VALUE(SUBSTITUTE(MID($A979,J979+J$2+1,K979-J979-J$2-1),",","."))</f>
        <v>2.0499999999999998</v>
      </c>
      <c r="AD979" s="3">
        <f>VALUE(SUBSTITUTE(MID($A979,K979+K$2+1,L979-K979-K$2-1),",","."))</f>
        <v>45.9</v>
      </c>
      <c r="AE979" s="3">
        <f>VALUE(SUBSTITUTE(MID($A979,L979+L$2+1,M979-L979-L$2-1),",","."))</f>
        <v>0</v>
      </c>
      <c r="AF979" s="3">
        <f>VALUE(SUBSTITUTE(MID($A979,M979+M$2+1,N979-M979-M$2-1),",","."))</f>
        <v>0</v>
      </c>
      <c r="AG979" s="3">
        <f>VALUE(SUBSTITUTE(MID($A979,N979+N$2+1,O979-N979-N$2-1),",","."))</f>
        <v>4.2312961554460697</v>
      </c>
      <c r="AH979" t="str">
        <f>MID($A979,O979+O$2+1,P979-O979-O$2-1)</f>
        <v/>
      </c>
      <c r="AI979" s="8" t="str">
        <f>MID($A979,P979+P$2+1,Q979-P979-P$2-1)</f>
        <v>False</v>
      </c>
      <c r="AK979" t="b">
        <f t="shared" si="133"/>
        <v>0</v>
      </c>
    </row>
    <row r="980" spans="1:37" x14ac:dyDescent="0.35">
      <c r="A980" t="s">
        <v>5527</v>
      </c>
      <c r="B980">
        <f t="shared" si="135"/>
        <v>10</v>
      </c>
      <c r="C980">
        <f t="shared" si="135"/>
        <v>43</v>
      </c>
      <c r="D980">
        <f t="shared" si="135"/>
        <v>54</v>
      </c>
      <c r="E980">
        <f t="shared" si="134"/>
        <v>80</v>
      </c>
      <c r="F980">
        <f t="shared" si="134"/>
        <v>124</v>
      </c>
      <c r="G980">
        <f t="shared" si="134"/>
        <v>145</v>
      </c>
      <c r="H980">
        <f t="shared" si="134"/>
        <v>177</v>
      </c>
      <c r="I980">
        <f t="shared" si="134"/>
        <v>199</v>
      </c>
      <c r="J980">
        <f t="shared" si="134"/>
        <v>232</v>
      </c>
      <c r="K980">
        <f t="shared" si="128"/>
        <v>251</v>
      </c>
      <c r="L980">
        <f t="shared" si="128"/>
        <v>270</v>
      </c>
      <c r="M980">
        <f t="shared" si="128"/>
        <v>285</v>
      </c>
      <c r="N980">
        <f t="shared" si="128"/>
        <v>297</v>
      </c>
      <c r="O980">
        <f t="shared" si="128"/>
        <v>322</v>
      </c>
      <c r="P980">
        <f t="shared" si="128"/>
        <v>340</v>
      </c>
      <c r="Q980">
        <f t="shared" si="127"/>
        <v>366</v>
      </c>
      <c r="S980" t="str">
        <f t="shared" si="130"/>
        <v>06.12.2025</v>
      </c>
      <c r="T980" t="str">
        <f t="shared" si="131"/>
        <v>23:30:00</v>
      </c>
      <c r="U980" t="str">
        <f t="shared" si="132"/>
        <v>06.12.2025 23:30:00</v>
      </c>
      <c r="V980" s="9" t="str">
        <f>MID($A980,C980+C$2+1,D980-C980-C$2-1)</f>
        <v>0</v>
      </c>
      <c r="W980" s="4">
        <f>VALUE(SUBSTITUTE(MID($A980,D980+D$2+1,E980-D980-D$2-1),",","."))</f>
        <v>0</v>
      </c>
      <c r="X980" s="4">
        <f>VALUE(SUBSTITUTE(MID($A980,E980+E$2+1,F980-E980-E$2-1),",","."))</f>
        <v>0.90957602214449496</v>
      </c>
      <c r="Y980" s="4">
        <f>VALUE(SUBSTITUTE(MID($A980,F980+F$2+1,G980-F980-F$2-1),",","."))</f>
        <v>0</v>
      </c>
      <c r="Z980" s="3">
        <f>VALUE(SUBSTITUTE(MID($A980,G980+G$2+1,H980-G980-G$2-1),",","."))</f>
        <v>0</v>
      </c>
      <c r="AA980" s="3">
        <f>VALUE(SUBSTITUTE(MID($A980,H980+H$2+1,I980-H980-H$2-1),",","."))</f>
        <v>0</v>
      </c>
      <c r="AB980" s="3">
        <f>VALUE(SUBSTITUTE(MID($A980,I980+I$2+1,J980-I980-I$2-1),",","."))</f>
        <v>0</v>
      </c>
      <c r="AC980" s="3">
        <f>VALUE(SUBSTITUTE(MID($A980,J980+J$2+1,K980-J980-J$2-1),",","."))</f>
        <v>1.9</v>
      </c>
      <c r="AD980" s="3">
        <f>VALUE(SUBSTITUTE(MID($A980,K980+K$2+1,L980-K980-K$2-1),",","."))</f>
        <v>45.72</v>
      </c>
      <c r="AE980" s="3">
        <f>VALUE(SUBSTITUTE(MID($A980,L980+L$2+1,M980-L980-L$2-1),",","."))</f>
        <v>0</v>
      </c>
      <c r="AF980" s="3">
        <f>VALUE(SUBSTITUTE(MID($A980,M980+M$2+1,N980-M980-M$2-1),",","."))</f>
        <v>0</v>
      </c>
      <c r="AG980" s="3">
        <f>VALUE(SUBSTITUTE(MID($A980,N980+N$2+1,O980-N980-N$2-1),",","."))</f>
        <v>4.2313246753341502</v>
      </c>
      <c r="AH980" t="str">
        <f>MID($A980,O980+O$2+1,P980-O980-O$2-1)</f>
        <v/>
      </c>
      <c r="AI980" s="8" t="str">
        <f>MID($A980,P980+P$2+1,Q980-P980-P$2-1)</f>
        <v>False</v>
      </c>
      <c r="AK980" t="b">
        <f t="shared" si="133"/>
        <v>0</v>
      </c>
    </row>
    <row r="981" spans="1:37" x14ac:dyDescent="0.35">
      <c r="A981" t="s">
        <v>5528</v>
      </c>
      <c r="B981">
        <f t="shared" si="135"/>
        <v>10</v>
      </c>
      <c r="C981">
        <f t="shared" si="135"/>
        <v>43</v>
      </c>
      <c r="D981">
        <f t="shared" si="135"/>
        <v>54</v>
      </c>
      <c r="E981">
        <f t="shared" si="134"/>
        <v>80</v>
      </c>
      <c r="F981">
        <f t="shared" si="134"/>
        <v>124</v>
      </c>
      <c r="G981">
        <f t="shared" si="134"/>
        <v>145</v>
      </c>
      <c r="H981">
        <f t="shared" si="134"/>
        <v>177</v>
      </c>
      <c r="I981">
        <f t="shared" si="134"/>
        <v>199</v>
      </c>
      <c r="J981">
        <f t="shared" si="134"/>
        <v>232</v>
      </c>
      <c r="K981">
        <f t="shared" si="128"/>
        <v>251</v>
      </c>
      <c r="L981">
        <f t="shared" si="128"/>
        <v>270</v>
      </c>
      <c r="M981">
        <f t="shared" si="128"/>
        <v>285</v>
      </c>
      <c r="N981">
        <f t="shared" si="128"/>
        <v>297</v>
      </c>
      <c r="O981">
        <f t="shared" si="128"/>
        <v>322</v>
      </c>
      <c r="P981">
        <f t="shared" si="128"/>
        <v>340</v>
      </c>
      <c r="Q981">
        <f t="shared" si="127"/>
        <v>366</v>
      </c>
      <c r="S981" t="str">
        <f t="shared" si="130"/>
        <v>06.12.2025</v>
      </c>
      <c r="T981" t="str">
        <f t="shared" si="131"/>
        <v>23:45:00</v>
      </c>
      <c r="U981" t="str">
        <f t="shared" si="132"/>
        <v>06.12.2025 23:45:00</v>
      </c>
      <c r="V981" s="9" t="str">
        <f>MID($A981,C981+C$2+1,D981-C981-C$2-1)</f>
        <v>0</v>
      </c>
      <c r="W981" s="4">
        <f>VALUE(SUBSTITUTE(MID($A981,D981+D$2+1,E981-D981-D$2-1),",","."))</f>
        <v>0</v>
      </c>
      <c r="X981" s="4">
        <f>VALUE(SUBSTITUTE(MID($A981,E981+E$2+1,F981-E981-E$2-1),",","."))</f>
        <v>0.90957602214449496</v>
      </c>
      <c r="Y981" s="4">
        <f>VALUE(SUBSTITUTE(MID($A981,F981+F$2+1,G981-F981-F$2-1),",","."))</f>
        <v>0</v>
      </c>
      <c r="Z981" s="3">
        <f>VALUE(SUBSTITUTE(MID($A981,G981+G$2+1,H981-G981-G$2-1),",","."))</f>
        <v>0</v>
      </c>
      <c r="AA981" s="3">
        <f>VALUE(SUBSTITUTE(MID($A981,H981+H$2+1,I981-H981-H$2-1),",","."))</f>
        <v>0</v>
      </c>
      <c r="AB981" s="3">
        <f>VALUE(SUBSTITUTE(MID($A981,I981+I$2+1,J981-I981-I$2-1),",","."))</f>
        <v>0</v>
      </c>
      <c r="AC981" s="3">
        <f>VALUE(SUBSTITUTE(MID($A981,J981+J$2+1,K981-J981-J$2-1),",","."))</f>
        <v>1.9</v>
      </c>
      <c r="AD981" s="3">
        <f>VALUE(SUBSTITUTE(MID($A981,K981+K$2+1,L981-K981-K$2-1),",","."))</f>
        <v>45.72</v>
      </c>
      <c r="AE981" s="3">
        <f>VALUE(SUBSTITUTE(MID($A981,L981+L$2+1,M981-L981-L$2-1),",","."))</f>
        <v>0</v>
      </c>
      <c r="AF981" s="3">
        <f>VALUE(SUBSTITUTE(MID($A981,M981+M$2+1,N981-M981-M$2-1),",","."))</f>
        <v>0</v>
      </c>
      <c r="AG981" s="3">
        <f>VALUE(SUBSTITUTE(MID($A981,N981+N$2+1,O981-N981-N$2-1),",","."))</f>
        <v>4.2313531952222299</v>
      </c>
      <c r="AH981" t="str">
        <f>MID($A981,O981+O$2+1,P981-O981-O$2-1)</f>
        <v/>
      </c>
      <c r="AI981" s="8" t="str">
        <f>MID($A981,P981+P$2+1,Q981-P981-P$2-1)</f>
        <v>False</v>
      </c>
      <c r="AK981" t="b">
        <f t="shared" si="133"/>
        <v>0</v>
      </c>
    </row>
    <row r="982" spans="1:37" x14ac:dyDescent="0.35">
      <c r="A982" t="s">
        <v>5529</v>
      </c>
      <c r="B982">
        <f t="shared" si="135"/>
        <v>10</v>
      </c>
      <c r="C982">
        <f t="shared" si="135"/>
        <v>43</v>
      </c>
      <c r="D982">
        <f t="shared" si="135"/>
        <v>54</v>
      </c>
      <c r="E982">
        <f t="shared" si="134"/>
        <v>80</v>
      </c>
      <c r="F982">
        <f t="shared" si="134"/>
        <v>124</v>
      </c>
      <c r="G982">
        <f t="shared" si="134"/>
        <v>145</v>
      </c>
      <c r="H982">
        <f t="shared" si="134"/>
        <v>177</v>
      </c>
      <c r="I982">
        <f t="shared" si="134"/>
        <v>199</v>
      </c>
      <c r="J982">
        <f t="shared" si="134"/>
        <v>232</v>
      </c>
      <c r="K982">
        <f t="shared" si="128"/>
        <v>251</v>
      </c>
      <c r="L982">
        <f t="shared" si="128"/>
        <v>270</v>
      </c>
      <c r="M982">
        <f t="shared" si="128"/>
        <v>285</v>
      </c>
      <c r="N982">
        <f t="shared" ref="N982:Q1045" si="136">FIND(N$1,$A982)</f>
        <v>297</v>
      </c>
      <c r="O982">
        <f t="shared" si="136"/>
        <v>321</v>
      </c>
      <c r="P982">
        <f t="shared" si="136"/>
        <v>339</v>
      </c>
      <c r="Q982">
        <f t="shared" si="127"/>
        <v>365</v>
      </c>
      <c r="S982" t="str">
        <f t="shared" si="130"/>
        <v>07.12.2025</v>
      </c>
      <c r="T982" t="str">
        <f t="shared" si="131"/>
        <v>00:00:00</v>
      </c>
      <c r="U982" t="str">
        <f t="shared" si="132"/>
        <v>07.12.2025 00:00:00</v>
      </c>
      <c r="V982" s="9" t="str">
        <f>MID($A982,C982+C$2+1,D982-C982-C$2-1)</f>
        <v>0</v>
      </c>
      <c r="W982" s="4">
        <f>VALUE(SUBSTITUTE(MID($A982,D982+D$2+1,E982-D982-D$2-1),",","."))</f>
        <v>0</v>
      </c>
      <c r="X982" s="4">
        <f>VALUE(SUBSTITUTE(MID($A982,E982+E$2+1,F982-E982-E$2-1),",","."))</f>
        <v>0.90957602214449496</v>
      </c>
      <c r="Y982" s="4">
        <f>VALUE(SUBSTITUTE(MID($A982,F982+F$2+1,G982-F982-F$2-1),",","."))</f>
        <v>0</v>
      </c>
      <c r="Z982" s="3">
        <f>VALUE(SUBSTITUTE(MID($A982,G982+G$2+1,H982-G982-G$2-1),",","."))</f>
        <v>0</v>
      </c>
      <c r="AA982" s="3">
        <f>VALUE(SUBSTITUTE(MID($A982,H982+H$2+1,I982-H982-H$2-1),",","."))</f>
        <v>0</v>
      </c>
      <c r="AB982" s="3">
        <f>VALUE(SUBSTITUTE(MID($A982,I982+I$2+1,J982-I982-I$2-1),",","."))</f>
        <v>0</v>
      </c>
      <c r="AC982" s="3">
        <f>VALUE(SUBSTITUTE(MID($A982,J982+J$2+1,K982-J982-J$2-1),",","."))</f>
        <v>1.9</v>
      </c>
      <c r="AD982" s="3">
        <f>VALUE(SUBSTITUTE(MID($A982,K982+K$2+1,L982-K982-K$2-1),",","."))</f>
        <v>45.72</v>
      </c>
      <c r="AE982" s="3">
        <f>VALUE(SUBSTITUTE(MID($A982,L982+L$2+1,M982-L982-L$2-1),",","."))</f>
        <v>0</v>
      </c>
      <c r="AF982" s="3">
        <f>VALUE(SUBSTITUTE(MID($A982,M982+M$2+1,N982-M982-M$2-1),",","."))</f>
        <v>0</v>
      </c>
      <c r="AG982" s="3">
        <f>VALUE(SUBSTITUTE(MID($A982,N982+N$2+1,O982-N982-N$2-1),",","."))</f>
        <v>4.2313817151103201</v>
      </c>
      <c r="AH982" t="str">
        <f>MID($A982,O982+O$2+1,P982-O982-O$2-1)</f>
        <v/>
      </c>
      <c r="AI982" s="8" t="str">
        <f>MID($A982,P982+P$2+1,Q982-P982-P$2-1)</f>
        <v>False</v>
      </c>
      <c r="AK982" t="b">
        <f t="shared" si="133"/>
        <v>0</v>
      </c>
    </row>
    <row r="983" spans="1:37" x14ac:dyDescent="0.35">
      <c r="A983" t="s">
        <v>5530</v>
      </c>
      <c r="B983">
        <f t="shared" si="135"/>
        <v>10</v>
      </c>
      <c r="C983">
        <f t="shared" si="135"/>
        <v>43</v>
      </c>
      <c r="D983">
        <f t="shared" si="135"/>
        <v>54</v>
      </c>
      <c r="E983">
        <f t="shared" si="134"/>
        <v>80</v>
      </c>
      <c r="F983">
        <f t="shared" si="134"/>
        <v>124</v>
      </c>
      <c r="G983">
        <f t="shared" si="134"/>
        <v>145</v>
      </c>
      <c r="H983">
        <f t="shared" si="134"/>
        <v>177</v>
      </c>
      <c r="I983">
        <f t="shared" si="134"/>
        <v>199</v>
      </c>
      <c r="J983">
        <f t="shared" si="134"/>
        <v>232</v>
      </c>
      <c r="K983">
        <f t="shared" si="134"/>
        <v>251</v>
      </c>
      <c r="L983">
        <f t="shared" si="134"/>
        <v>270</v>
      </c>
      <c r="M983">
        <f t="shared" si="134"/>
        <v>285</v>
      </c>
      <c r="N983">
        <f t="shared" si="136"/>
        <v>297</v>
      </c>
      <c r="O983">
        <f t="shared" si="136"/>
        <v>323</v>
      </c>
      <c r="P983">
        <f t="shared" si="136"/>
        <v>341</v>
      </c>
      <c r="Q983">
        <f t="shared" si="127"/>
        <v>367</v>
      </c>
      <c r="S983" t="str">
        <f t="shared" si="130"/>
        <v>07.12.2025</v>
      </c>
      <c r="T983" t="str">
        <f t="shared" si="131"/>
        <v>00:15:00</v>
      </c>
      <c r="U983" t="str">
        <f t="shared" si="132"/>
        <v>07.12.2025 00:15:00</v>
      </c>
      <c r="V983" s="9" t="str">
        <f>MID($A983,C983+C$2+1,D983-C983-C$2-1)</f>
        <v>0</v>
      </c>
      <c r="W983" s="4">
        <f>VALUE(SUBSTITUTE(MID($A983,D983+D$2+1,E983-D983-D$2-1),",","."))</f>
        <v>0</v>
      </c>
      <c r="X983" s="4">
        <f>VALUE(SUBSTITUTE(MID($A983,E983+E$2+1,F983-E983-E$2-1),",","."))</f>
        <v>0.90957602214449496</v>
      </c>
      <c r="Y983" s="4">
        <f>VALUE(SUBSTITUTE(MID($A983,F983+F$2+1,G983-F983-F$2-1),",","."))</f>
        <v>0</v>
      </c>
      <c r="Z983" s="3">
        <f>VALUE(SUBSTITUTE(MID($A983,G983+G$2+1,H983-G983-G$2-1),",","."))</f>
        <v>0</v>
      </c>
      <c r="AA983" s="3">
        <f>VALUE(SUBSTITUTE(MID($A983,H983+H$2+1,I983-H983-H$2-1),",","."))</f>
        <v>0</v>
      </c>
      <c r="AB983" s="3">
        <f>VALUE(SUBSTITUTE(MID($A983,I983+I$2+1,J983-I983-I$2-1),",","."))</f>
        <v>0</v>
      </c>
      <c r="AC983" s="3">
        <f>VALUE(SUBSTITUTE(MID($A983,J983+J$2+1,K983-J983-J$2-1),",","."))</f>
        <v>1.9</v>
      </c>
      <c r="AD983" s="3">
        <f>VALUE(SUBSTITUTE(MID($A983,K983+K$2+1,L983-K983-K$2-1),",","."))</f>
        <v>45.72</v>
      </c>
      <c r="AE983" s="3">
        <f>VALUE(SUBSTITUTE(MID($A983,L983+L$2+1,M983-L983-L$2-1),",","."))</f>
        <v>0</v>
      </c>
      <c r="AF983" s="3">
        <f>VALUE(SUBSTITUTE(MID($A983,M983+M$2+1,N983-M983-M$2-1),",","."))</f>
        <v>0</v>
      </c>
      <c r="AG983" s="3">
        <f>VALUE(SUBSTITUTE(MID($A983,N983+N$2+1,O983-N983-N$2-1),",","."))</f>
        <v>4.2314102349983997</v>
      </c>
      <c r="AH983" t="str">
        <f>MID($A983,O983+O$2+1,P983-O983-O$2-1)</f>
        <v/>
      </c>
      <c r="AI983" s="8" t="str">
        <f>MID($A983,P983+P$2+1,Q983-P983-P$2-1)</f>
        <v>False</v>
      </c>
      <c r="AK983" t="b">
        <f t="shared" si="133"/>
        <v>0</v>
      </c>
    </row>
    <row r="984" spans="1:37" x14ac:dyDescent="0.35">
      <c r="A984" t="s">
        <v>5531</v>
      </c>
      <c r="B984">
        <f t="shared" si="135"/>
        <v>10</v>
      </c>
      <c r="C984">
        <f t="shared" si="135"/>
        <v>43</v>
      </c>
      <c r="D984">
        <f t="shared" si="135"/>
        <v>54</v>
      </c>
      <c r="E984">
        <f t="shared" si="134"/>
        <v>80</v>
      </c>
      <c r="F984">
        <f t="shared" si="134"/>
        <v>124</v>
      </c>
      <c r="G984">
        <f t="shared" si="134"/>
        <v>145</v>
      </c>
      <c r="H984">
        <f t="shared" si="134"/>
        <v>177</v>
      </c>
      <c r="I984">
        <f t="shared" si="134"/>
        <v>199</v>
      </c>
      <c r="J984">
        <f t="shared" si="134"/>
        <v>232</v>
      </c>
      <c r="K984">
        <f t="shared" si="134"/>
        <v>252</v>
      </c>
      <c r="L984">
        <f t="shared" si="134"/>
        <v>271</v>
      </c>
      <c r="M984">
        <f t="shared" si="134"/>
        <v>286</v>
      </c>
      <c r="N984">
        <f t="shared" si="136"/>
        <v>298</v>
      </c>
      <c r="O984">
        <f t="shared" si="136"/>
        <v>323</v>
      </c>
      <c r="P984">
        <f t="shared" si="136"/>
        <v>341</v>
      </c>
      <c r="Q984">
        <f t="shared" si="127"/>
        <v>367</v>
      </c>
      <c r="S984" t="str">
        <f t="shared" si="130"/>
        <v>07.12.2025</v>
      </c>
      <c r="T984" t="str">
        <f t="shared" si="131"/>
        <v>00:30:00</v>
      </c>
      <c r="U984" t="str">
        <f t="shared" si="132"/>
        <v>07.12.2025 00:30:00</v>
      </c>
      <c r="V984" s="9" t="str">
        <f>MID($A984,C984+C$2+1,D984-C984-C$2-1)</f>
        <v>0</v>
      </c>
      <c r="W984" s="4">
        <f>VALUE(SUBSTITUTE(MID($A984,D984+D$2+1,E984-D984-D$2-1),",","."))</f>
        <v>0</v>
      </c>
      <c r="X984" s="4">
        <f>VALUE(SUBSTITUTE(MID($A984,E984+E$2+1,F984-E984-E$2-1),",","."))</f>
        <v>0.90957602214449496</v>
      </c>
      <c r="Y984" s="4">
        <f>VALUE(SUBSTITUTE(MID($A984,F984+F$2+1,G984-F984-F$2-1),",","."))</f>
        <v>0</v>
      </c>
      <c r="Z984" s="3">
        <f>VALUE(SUBSTITUTE(MID($A984,G984+G$2+1,H984-G984-G$2-1),",","."))</f>
        <v>0</v>
      </c>
      <c r="AA984" s="3">
        <f>VALUE(SUBSTITUTE(MID($A984,H984+H$2+1,I984-H984-H$2-1),",","."))</f>
        <v>0</v>
      </c>
      <c r="AB984" s="3">
        <f>VALUE(SUBSTITUTE(MID($A984,I984+I$2+1,J984-I984-I$2-1),",","."))</f>
        <v>0</v>
      </c>
      <c r="AC984" s="3">
        <f>VALUE(SUBSTITUTE(MID($A984,J984+J$2+1,K984-J984-J$2-1),",","."))</f>
        <v>1.75</v>
      </c>
      <c r="AD984" s="3">
        <f>VALUE(SUBSTITUTE(MID($A984,K984+K$2+1,L984-K984-K$2-1),",","."))</f>
        <v>45.18</v>
      </c>
      <c r="AE984" s="3">
        <f>VALUE(SUBSTITUTE(MID($A984,L984+L$2+1,M984-L984-L$2-1),",","."))</f>
        <v>0</v>
      </c>
      <c r="AF984" s="3">
        <f>VALUE(SUBSTITUTE(MID($A984,M984+M$2+1,N984-M984-M$2-1),",","."))</f>
        <v>0</v>
      </c>
      <c r="AG984" s="3">
        <f>VALUE(SUBSTITUTE(MID($A984,N984+N$2+1,O984-N984-N$2-1),",","."))</f>
        <v>4.2314387548864802</v>
      </c>
      <c r="AH984" t="str">
        <f>MID($A984,O984+O$2+1,P984-O984-O$2-1)</f>
        <v/>
      </c>
      <c r="AI984" s="8" t="str">
        <f>MID($A984,P984+P$2+1,Q984-P984-P$2-1)</f>
        <v>False</v>
      </c>
      <c r="AK984" t="b">
        <f t="shared" si="133"/>
        <v>0</v>
      </c>
    </row>
    <row r="985" spans="1:37" x14ac:dyDescent="0.35">
      <c r="A985" t="s">
        <v>5532</v>
      </c>
      <c r="B985">
        <f t="shared" si="135"/>
        <v>10</v>
      </c>
      <c r="C985">
        <f t="shared" si="135"/>
        <v>43</v>
      </c>
      <c r="D985">
        <f t="shared" si="135"/>
        <v>54</v>
      </c>
      <c r="E985">
        <f t="shared" si="134"/>
        <v>80</v>
      </c>
      <c r="F985">
        <f t="shared" si="134"/>
        <v>124</v>
      </c>
      <c r="G985">
        <f t="shared" si="134"/>
        <v>145</v>
      </c>
      <c r="H985">
        <f t="shared" si="134"/>
        <v>177</v>
      </c>
      <c r="I985">
        <f t="shared" si="134"/>
        <v>199</v>
      </c>
      <c r="J985">
        <f t="shared" si="134"/>
        <v>232</v>
      </c>
      <c r="K985">
        <f t="shared" si="134"/>
        <v>252</v>
      </c>
      <c r="L985">
        <f t="shared" si="134"/>
        <v>271</v>
      </c>
      <c r="M985">
        <f t="shared" si="134"/>
        <v>286</v>
      </c>
      <c r="N985">
        <f t="shared" si="136"/>
        <v>298</v>
      </c>
      <c r="O985">
        <f t="shared" si="136"/>
        <v>323</v>
      </c>
      <c r="P985">
        <f t="shared" si="136"/>
        <v>341</v>
      </c>
      <c r="Q985">
        <f t="shared" si="127"/>
        <v>367</v>
      </c>
      <c r="S985" t="str">
        <f t="shared" si="130"/>
        <v>07.12.2025</v>
      </c>
      <c r="T985" t="str">
        <f t="shared" si="131"/>
        <v>00:45:00</v>
      </c>
      <c r="U985" t="str">
        <f t="shared" si="132"/>
        <v>07.12.2025 00:45:00</v>
      </c>
      <c r="V985" s="9" t="str">
        <f>MID($A985,C985+C$2+1,D985-C985-C$2-1)</f>
        <v>0</v>
      </c>
      <c r="W985" s="4">
        <f>VALUE(SUBSTITUTE(MID($A985,D985+D$2+1,E985-D985-D$2-1),",","."))</f>
        <v>0</v>
      </c>
      <c r="X985" s="4">
        <f>VALUE(SUBSTITUTE(MID($A985,E985+E$2+1,F985-E985-E$2-1),",","."))</f>
        <v>0.90957602214449496</v>
      </c>
      <c r="Y985" s="4">
        <f>VALUE(SUBSTITUTE(MID($A985,F985+F$2+1,G985-F985-F$2-1),",","."))</f>
        <v>0</v>
      </c>
      <c r="Z985" s="3">
        <f>VALUE(SUBSTITUTE(MID($A985,G985+G$2+1,H985-G985-G$2-1),",","."))</f>
        <v>0</v>
      </c>
      <c r="AA985" s="3">
        <f>VALUE(SUBSTITUTE(MID($A985,H985+H$2+1,I985-H985-H$2-1),",","."))</f>
        <v>0</v>
      </c>
      <c r="AB985" s="3">
        <f>VALUE(SUBSTITUTE(MID($A985,I985+I$2+1,J985-I985-I$2-1),",","."))</f>
        <v>0</v>
      </c>
      <c r="AC985" s="3">
        <f>VALUE(SUBSTITUTE(MID($A985,J985+J$2+1,K985-J985-J$2-1),",","."))</f>
        <v>1.75</v>
      </c>
      <c r="AD985" s="3">
        <f>VALUE(SUBSTITUTE(MID($A985,K985+K$2+1,L985-K985-K$2-1),",","."))</f>
        <v>45.18</v>
      </c>
      <c r="AE985" s="3">
        <f>VALUE(SUBSTITUTE(MID($A985,L985+L$2+1,M985-L985-L$2-1),",","."))</f>
        <v>0</v>
      </c>
      <c r="AF985" s="3">
        <f>VALUE(SUBSTITUTE(MID($A985,M985+M$2+1,N985-M985-M$2-1),",","."))</f>
        <v>0</v>
      </c>
      <c r="AG985" s="3">
        <f>VALUE(SUBSTITUTE(MID($A985,N985+N$2+1,O985-N985-N$2-1),",","."))</f>
        <v>4.2314672747745599</v>
      </c>
      <c r="AH985" t="str">
        <f>MID($A985,O985+O$2+1,P985-O985-O$2-1)</f>
        <v/>
      </c>
      <c r="AI985" s="8" t="str">
        <f>MID($A985,P985+P$2+1,Q985-P985-P$2-1)</f>
        <v>False</v>
      </c>
      <c r="AK985" t="b">
        <f t="shared" si="133"/>
        <v>0</v>
      </c>
    </row>
    <row r="986" spans="1:37" x14ac:dyDescent="0.35">
      <c r="A986" t="s">
        <v>5533</v>
      </c>
      <c r="B986">
        <f t="shared" si="135"/>
        <v>10</v>
      </c>
      <c r="C986">
        <f t="shared" si="135"/>
        <v>43</v>
      </c>
      <c r="D986">
        <f t="shared" si="135"/>
        <v>54</v>
      </c>
      <c r="E986">
        <f t="shared" si="134"/>
        <v>80</v>
      </c>
      <c r="F986">
        <f t="shared" si="134"/>
        <v>124</v>
      </c>
      <c r="G986">
        <f t="shared" si="134"/>
        <v>145</v>
      </c>
      <c r="H986">
        <f t="shared" si="134"/>
        <v>177</v>
      </c>
      <c r="I986">
        <f t="shared" si="134"/>
        <v>199</v>
      </c>
      <c r="J986">
        <f t="shared" si="134"/>
        <v>232</v>
      </c>
      <c r="K986">
        <f t="shared" si="134"/>
        <v>252</v>
      </c>
      <c r="L986">
        <f t="shared" si="134"/>
        <v>271</v>
      </c>
      <c r="M986">
        <f t="shared" si="134"/>
        <v>286</v>
      </c>
      <c r="N986">
        <f t="shared" si="136"/>
        <v>298</v>
      </c>
      <c r="O986">
        <f t="shared" si="136"/>
        <v>323</v>
      </c>
      <c r="P986">
        <f t="shared" si="136"/>
        <v>341</v>
      </c>
      <c r="Q986">
        <f t="shared" si="127"/>
        <v>367</v>
      </c>
      <c r="S986" t="str">
        <f t="shared" si="130"/>
        <v>07.12.2025</v>
      </c>
      <c r="T986" t="str">
        <f t="shared" si="131"/>
        <v>01:00:00</v>
      </c>
      <c r="U986" t="str">
        <f t="shared" si="132"/>
        <v>07.12.2025 01:00:00</v>
      </c>
      <c r="V986" s="9" t="str">
        <f>MID($A986,C986+C$2+1,D986-C986-C$2-1)</f>
        <v>0</v>
      </c>
      <c r="W986" s="4">
        <f>VALUE(SUBSTITUTE(MID($A986,D986+D$2+1,E986-D986-D$2-1),",","."))</f>
        <v>0</v>
      </c>
      <c r="X986" s="4">
        <f>VALUE(SUBSTITUTE(MID($A986,E986+E$2+1,F986-E986-E$2-1),",","."))</f>
        <v>0.90957602214449496</v>
      </c>
      <c r="Y986" s="4">
        <f>VALUE(SUBSTITUTE(MID($A986,F986+F$2+1,G986-F986-F$2-1),",","."))</f>
        <v>0</v>
      </c>
      <c r="Z986" s="3">
        <f>VALUE(SUBSTITUTE(MID($A986,G986+G$2+1,H986-G986-G$2-1),",","."))</f>
        <v>0</v>
      </c>
      <c r="AA986" s="3">
        <f>VALUE(SUBSTITUTE(MID($A986,H986+H$2+1,I986-H986-H$2-1),",","."))</f>
        <v>0</v>
      </c>
      <c r="AB986" s="3">
        <f>VALUE(SUBSTITUTE(MID($A986,I986+I$2+1,J986-I986-I$2-1),",","."))</f>
        <v>0</v>
      </c>
      <c r="AC986" s="3">
        <f>VALUE(SUBSTITUTE(MID($A986,J986+J$2+1,K986-J986-J$2-1),",","."))</f>
        <v>1.75</v>
      </c>
      <c r="AD986" s="3">
        <f>VALUE(SUBSTITUTE(MID($A986,K986+K$2+1,L986-K986-K$2-1),",","."))</f>
        <v>45.18</v>
      </c>
      <c r="AE986" s="3">
        <f>VALUE(SUBSTITUTE(MID($A986,L986+L$2+1,M986-L986-L$2-1),",","."))</f>
        <v>0</v>
      </c>
      <c r="AF986" s="3">
        <f>VALUE(SUBSTITUTE(MID($A986,M986+M$2+1,N986-M986-M$2-1),",","."))</f>
        <v>0</v>
      </c>
      <c r="AG986" s="3">
        <f>VALUE(SUBSTITUTE(MID($A986,N986+N$2+1,O986-N986-N$2-1),",","."))</f>
        <v>4.2314957946626404</v>
      </c>
      <c r="AH986" t="str">
        <f>MID($A986,O986+O$2+1,P986-O986-O$2-1)</f>
        <v/>
      </c>
      <c r="AI986" s="8" t="str">
        <f>MID($A986,P986+P$2+1,Q986-P986-P$2-1)</f>
        <v>False</v>
      </c>
      <c r="AK986" t="b">
        <f t="shared" si="133"/>
        <v>0</v>
      </c>
    </row>
    <row r="987" spans="1:37" x14ac:dyDescent="0.35">
      <c r="A987" t="s">
        <v>5534</v>
      </c>
      <c r="B987">
        <f t="shared" si="135"/>
        <v>10</v>
      </c>
      <c r="C987">
        <f t="shared" si="135"/>
        <v>43</v>
      </c>
      <c r="D987">
        <f t="shared" si="135"/>
        <v>54</v>
      </c>
      <c r="E987">
        <f t="shared" si="134"/>
        <v>80</v>
      </c>
      <c r="F987">
        <f t="shared" si="134"/>
        <v>124</v>
      </c>
      <c r="G987">
        <f t="shared" si="134"/>
        <v>145</v>
      </c>
      <c r="H987">
        <f t="shared" si="134"/>
        <v>177</v>
      </c>
      <c r="I987">
        <f t="shared" si="134"/>
        <v>199</v>
      </c>
      <c r="J987">
        <f t="shared" si="134"/>
        <v>232</v>
      </c>
      <c r="K987">
        <f t="shared" si="134"/>
        <v>252</v>
      </c>
      <c r="L987">
        <f t="shared" si="134"/>
        <v>271</v>
      </c>
      <c r="M987">
        <f t="shared" si="134"/>
        <v>286</v>
      </c>
      <c r="N987">
        <f t="shared" si="136"/>
        <v>298</v>
      </c>
      <c r="O987">
        <f t="shared" si="136"/>
        <v>323</v>
      </c>
      <c r="P987">
        <f t="shared" si="136"/>
        <v>341</v>
      </c>
      <c r="Q987">
        <f t="shared" si="127"/>
        <v>367</v>
      </c>
      <c r="S987" t="str">
        <f t="shared" si="130"/>
        <v>07.12.2025</v>
      </c>
      <c r="T987" t="str">
        <f t="shared" si="131"/>
        <v>01:15:00</v>
      </c>
      <c r="U987" t="str">
        <f t="shared" si="132"/>
        <v>07.12.2025 01:15:00</v>
      </c>
      <c r="V987" s="9" t="str">
        <f>MID($A987,C987+C$2+1,D987-C987-C$2-1)</f>
        <v>0</v>
      </c>
      <c r="W987" s="4">
        <f>VALUE(SUBSTITUTE(MID($A987,D987+D$2+1,E987-D987-D$2-1),",","."))</f>
        <v>0</v>
      </c>
      <c r="X987" s="4">
        <f>VALUE(SUBSTITUTE(MID($A987,E987+E$2+1,F987-E987-E$2-1),",","."))</f>
        <v>0.90957602214449496</v>
      </c>
      <c r="Y987" s="4">
        <f>VALUE(SUBSTITUTE(MID($A987,F987+F$2+1,G987-F987-F$2-1),",","."))</f>
        <v>0</v>
      </c>
      <c r="Z987" s="3">
        <f>VALUE(SUBSTITUTE(MID($A987,G987+G$2+1,H987-G987-G$2-1),",","."))</f>
        <v>0</v>
      </c>
      <c r="AA987" s="3">
        <f>VALUE(SUBSTITUTE(MID($A987,H987+H$2+1,I987-H987-H$2-1),",","."))</f>
        <v>0</v>
      </c>
      <c r="AB987" s="3">
        <f>VALUE(SUBSTITUTE(MID($A987,I987+I$2+1,J987-I987-I$2-1),",","."))</f>
        <v>0</v>
      </c>
      <c r="AC987" s="3">
        <f>VALUE(SUBSTITUTE(MID($A987,J987+J$2+1,K987-J987-J$2-1),",","."))</f>
        <v>1.75</v>
      </c>
      <c r="AD987" s="3">
        <f>VALUE(SUBSTITUTE(MID($A987,K987+K$2+1,L987-K987-K$2-1),",","."))</f>
        <v>45.18</v>
      </c>
      <c r="AE987" s="3">
        <f>VALUE(SUBSTITUTE(MID($A987,L987+L$2+1,M987-L987-L$2-1),",","."))</f>
        <v>0</v>
      </c>
      <c r="AF987" s="3">
        <f>VALUE(SUBSTITUTE(MID($A987,M987+M$2+1,N987-M987-M$2-1),",","."))</f>
        <v>0</v>
      </c>
      <c r="AG987" s="3">
        <f>VALUE(SUBSTITUTE(MID($A987,N987+N$2+1,O987-N987-N$2-1),",","."))</f>
        <v>4.23152431455072</v>
      </c>
      <c r="AH987" t="str">
        <f>MID($A987,O987+O$2+1,P987-O987-O$2-1)</f>
        <v/>
      </c>
      <c r="AI987" s="8" t="str">
        <f>MID($A987,P987+P$2+1,Q987-P987-P$2-1)</f>
        <v>False</v>
      </c>
      <c r="AK987" t="b">
        <f t="shared" si="133"/>
        <v>0</v>
      </c>
    </row>
    <row r="988" spans="1:37" x14ac:dyDescent="0.35">
      <c r="A988" t="s">
        <v>5535</v>
      </c>
      <c r="B988">
        <f t="shared" si="135"/>
        <v>10</v>
      </c>
      <c r="C988">
        <f t="shared" si="135"/>
        <v>43</v>
      </c>
      <c r="D988">
        <f t="shared" si="135"/>
        <v>54</v>
      </c>
      <c r="E988">
        <f t="shared" si="134"/>
        <v>80</v>
      </c>
      <c r="F988">
        <f t="shared" si="134"/>
        <v>124</v>
      </c>
      <c r="G988">
        <f t="shared" si="134"/>
        <v>145</v>
      </c>
      <c r="H988">
        <f t="shared" si="134"/>
        <v>177</v>
      </c>
      <c r="I988">
        <f t="shared" si="134"/>
        <v>199</v>
      </c>
      <c r="J988">
        <f t="shared" si="134"/>
        <v>232</v>
      </c>
      <c r="K988">
        <f t="shared" si="134"/>
        <v>252</v>
      </c>
      <c r="L988">
        <f t="shared" si="134"/>
        <v>271</v>
      </c>
      <c r="M988">
        <f t="shared" si="134"/>
        <v>286</v>
      </c>
      <c r="N988">
        <f t="shared" si="136"/>
        <v>298</v>
      </c>
      <c r="O988">
        <f t="shared" si="136"/>
        <v>323</v>
      </c>
      <c r="P988">
        <f t="shared" si="136"/>
        <v>341</v>
      </c>
      <c r="Q988">
        <f t="shared" si="127"/>
        <v>367</v>
      </c>
      <c r="S988" t="str">
        <f t="shared" si="130"/>
        <v>07.12.2025</v>
      </c>
      <c r="T988" t="str">
        <f t="shared" si="131"/>
        <v>01:30:00</v>
      </c>
      <c r="U988" t="str">
        <f t="shared" si="132"/>
        <v>07.12.2025 01:30:00</v>
      </c>
      <c r="V988" s="9" t="str">
        <f>MID($A988,C988+C$2+1,D988-C988-C$2-1)</f>
        <v>0</v>
      </c>
      <c r="W988" s="4">
        <f>VALUE(SUBSTITUTE(MID($A988,D988+D$2+1,E988-D988-D$2-1),",","."))</f>
        <v>0</v>
      </c>
      <c r="X988" s="4">
        <f>VALUE(SUBSTITUTE(MID($A988,E988+E$2+1,F988-E988-E$2-1),",","."))</f>
        <v>0.90957602214449496</v>
      </c>
      <c r="Y988" s="4">
        <f>VALUE(SUBSTITUTE(MID($A988,F988+F$2+1,G988-F988-F$2-1),",","."))</f>
        <v>0</v>
      </c>
      <c r="Z988" s="3">
        <f>VALUE(SUBSTITUTE(MID($A988,G988+G$2+1,H988-G988-G$2-1),",","."))</f>
        <v>0</v>
      </c>
      <c r="AA988" s="3">
        <f>VALUE(SUBSTITUTE(MID($A988,H988+H$2+1,I988-H988-H$2-1),",","."))</f>
        <v>0</v>
      </c>
      <c r="AB988" s="3">
        <f>VALUE(SUBSTITUTE(MID($A988,I988+I$2+1,J988-I988-I$2-1),",","."))</f>
        <v>0</v>
      </c>
      <c r="AC988" s="3">
        <f>VALUE(SUBSTITUTE(MID($A988,J988+J$2+1,K988-J988-J$2-1),",","."))</f>
        <v>1.65</v>
      </c>
      <c r="AD988" s="3">
        <f>VALUE(SUBSTITUTE(MID($A988,K988+K$2+1,L988-K988-K$2-1),",","."))</f>
        <v>44.28</v>
      </c>
      <c r="AE988" s="3">
        <f>VALUE(SUBSTITUTE(MID($A988,L988+L$2+1,M988-L988-L$2-1),",","."))</f>
        <v>0</v>
      </c>
      <c r="AF988" s="3">
        <f>VALUE(SUBSTITUTE(MID($A988,M988+M$2+1,N988-M988-M$2-1),",","."))</f>
        <v>0</v>
      </c>
      <c r="AG988" s="3">
        <f>VALUE(SUBSTITUTE(MID($A988,N988+N$2+1,O988-N988-N$2-1),",","."))</f>
        <v>4.2315528344387996</v>
      </c>
      <c r="AH988" t="str">
        <f>MID($A988,O988+O$2+1,P988-O988-O$2-1)</f>
        <v/>
      </c>
      <c r="AI988" s="8" t="str">
        <f>MID($A988,P988+P$2+1,Q988-P988-P$2-1)</f>
        <v>False</v>
      </c>
      <c r="AK988" t="b">
        <f t="shared" si="133"/>
        <v>0</v>
      </c>
    </row>
    <row r="989" spans="1:37" x14ac:dyDescent="0.35">
      <c r="A989" t="s">
        <v>5536</v>
      </c>
      <c r="B989">
        <f t="shared" si="135"/>
        <v>10</v>
      </c>
      <c r="C989">
        <f t="shared" si="135"/>
        <v>43</v>
      </c>
      <c r="D989">
        <f t="shared" si="135"/>
        <v>54</v>
      </c>
      <c r="E989">
        <f t="shared" si="134"/>
        <v>80</v>
      </c>
      <c r="F989">
        <f t="shared" si="134"/>
        <v>124</v>
      </c>
      <c r="G989">
        <f t="shared" si="134"/>
        <v>145</v>
      </c>
      <c r="H989">
        <f t="shared" si="134"/>
        <v>177</v>
      </c>
      <c r="I989">
        <f t="shared" si="134"/>
        <v>199</v>
      </c>
      <c r="J989">
        <f t="shared" si="134"/>
        <v>232</v>
      </c>
      <c r="K989">
        <f t="shared" si="134"/>
        <v>252</v>
      </c>
      <c r="L989">
        <f t="shared" si="134"/>
        <v>271</v>
      </c>
      <c r="M989">
        <f t="shared" si="134"/>
        <v>286</v>
      </c>
      <c r="N989">
        <f t="shared" si="136"/>
        <v>298</v>
      </c>
      <c r="O989">
        <f t="shared" si="136"/>
        <v>323</v>
      </c>
      <c r="P989">
        <f t="shared" si="136"/>
        <v>341</v>
      </c>
      <c r="Q989">
        <f t="shared" si="127"/>
        <v>367</v>
      </c>
      <c r="S989" t="str">
        <f t="shared" si="130"/>
        <v>07.12.2025</v>
      </c>
      <c r="T989" t="str">
        <f t="shared" si="131"/>
        <v>01:45:00</v>
      </c>
      <c r="U989" t="str">
        <f t="shared" si="132"/>
        <v>07.12.2025 01:45:00</v>
      </c>
      <c r="V989" s="9" t="str">
        <f>MID($A989,C989+C$2+1,D989-C989-C$2-1)</f>
        <v>0</v>
      </c>
      <c r="W989" s="4">
        <f>VALUE(SUBSTITUTE(MID($A989,D989+D$2+1,E989-D989-D$2-1),",","."))</f>
        <v>0</v>
      </c>
      <c r="X989" s="4">
        <f>VALUE(SUBSTITUTE(MID($A989,E989+E$2+1,F989-E989-E$2-1),",","."))</f>
        <v>0.90957602214449496</v>
      </c>
      <c r="Y989" s="4">
        <f>VALUE(SUBSTITUTE(MID($A989,F989+F$2+1,G989-F989-F$2-1),",","."))</f>
        <v>0</v>
      </c>
      <c r="Z989" s="3">
        <f>VALUE(SUBSTITUTE(MID($A989,G989+G$2+1,H989-G989-G$2-1),",","."))</f>
        <v>0</v>
      </c>
      <c r="AA989" s="3">
        <f>VALUE(SUBSTITUTE(MID($A989,H989+H$2+1,I989-H989-H$2-1),",","."))</f>
        <v>0</v>
      </c>
      <c r="AB989" s="3">
        <f>VALUE(SUBSTITUTE(MID($A989,I989+I$2+1,J989-I989-I$2-1),",","."))</f>
        <v>0</v>
      </c>
      <c r="AC989" s="3">
        <f>VALUE(SUBSTITUTE(MID($A989,J989+J$2+1,K989-J989-J$2-1),",","."))</f>
        <v>1.65</v>
      </c>
      <c r="AD989" s="3">
        <f>VALUE(SUBSTITUTE(MID($A989,K989+K$2+1,L989-K989-K$2-1),",","."))</f>
        <v>44.28</v>
      </c>
      <c r="AE989" s="3">
        <f>VALUE(SUBSTITUTE(MID($A989,L989+L$2+1,M989-L989-L$2-1),",","."))</f>
        <v>0</v>
      </c>
      <c r="AF989" s="3">
        <f>VALUE(SUBSTITUTE(MID($A989,M989+M$2+1,N989-M989-M$2-1),",","."))</f>
        <v>0</v>
      </c>
      <c r="AG989" s="3">
        <f>VALUE(SUBSTITUTE(MID($A989,N989+N$2+1,O989-N989-N$2-1),",","."))</f>
        <v>4.2315813543268899</v>
      </c>
      <c r="AH989" t="str">
        <f>MID($A989,O989+O$2+1,P989-O989-O$2-1)</f>
        <v/>
      </c>
      <c r="AI989" s="8" t="str">
        <f>MID($A989,P989+P$2+1,Q989-P989-P$2-1)</f>
        <v>False</v>
      </c>
      <c r="AK989" t="b">
        <f t="shared" si="133"/>
        <v>0</v>
      </c>
    </row>
    <row r="990" spans="1:37" x14ac:dyDescent="0.35">
      <c r="A990" t="s">
        <v>5537</v>
      </c>
      <c r="B990">
        <f t="shared" si="135"/>
        <v>10</v>
      </c>
      <c r="C990">
        <f t="shared" si="135"/>
        <v>43</v>
      </c>
      <c r="D990">
        <f t="shared" si="135"/>
        <v>54</v>
      </c>
      <c r="E990">
        <f t="shared" si="134"/>
        <v>80</v>
      </c>
      <c r="F990">
        <f t="shared" si="134"/>
        <v>124</v>
      </c>
      <c r="G990">
        <f t="shared" si="134"/>
        <v>145</v>
      </c>
      <c r="H990">
        <f t="shared" si="134"/>
        <v>177</v>
      </c>
      <c r="I990">
        <f t="shared" si="134"/>
        <v>199</v>
      </c>
      <c r="J990">
        <f t="shared" si="134"/>
        <v>232</v>
      </c>
      <c r="K990">
        <f t="shared" si="134"/>
        <v>252</v>
      </c>
      <c r="L990">
        <f t="shared" si="134"/>
        <v>271</v>
      </c>
      <c r="M990">
        <f t="shared" si="134"/>
        <v>286</v>
      </c>
      <c r="N990">
        <f t="shared" si="136"/>
        <v>298</v>
      </c>
      <c r="O990">
        <f t="shared" si="136"/>
        <v>323</v>
      </c>
      <c r="P990">
        <f t="shared" si="136"/>
        <v>341</v>
      </c>
      <c r="Q990">
        <f t="shared" si="127"/>
        <v>367</v>
      </c>
      <c r="S990" t="str">
        <f t="shared" si="130"/>
        <v>07.12.2025</v>
      </c>
      <c r="T990" t="str">
        <f t="shared" si="131"/>
        <v>02:00:00</v>
      </c>
      <c r="U990" t="str">
        <f t="shared" si="132"/>
        <v>07.12.2025 02:00:00</v>
      </c>
      <c r="V990" s="9" t="str">
        <f>MID($A990,C990+C$2+1,D990-C990-C$2-1)</f>
        <v>0</v>
      </c>
      <c r="W990" s="4">
        <f>VALUE(SUBSTITUTE(MID($A990,D990+D$2+1,E990-D990-D$2-1),",","."))</f>
        <v>0</v>
      </c>
      <c r="X990" s="4">
        <f>VALUE(SUBSTITUTE(MID($A990,E990+E$2+1,F990-E990-E$2-1),",","."))</f>
        <v>0.90957602214449496</v>
      </c>
      <c r="Y990" s="4">
        <f>VALUE(SUBSTITUTE(MID($A990,F990+F$2+1,G990-F990-F$2-1),",","."))</f>
        <v>0</v>
      </c>
      <c r="Z990" s="3">
        <f>VALUE(SUBSTITUTE(MID($A990,G990+G$2+1,H990-G990-G$2-1),",","."))</f>
        <v>0</v>
      </c>
      <c r="AA990" s="3">
        <f>VALUE(SUBSTITUTE(MID($A990,H990+H$2+1,I990-H990-H$2-1),",","."))</f>
        <v>0</v>
      </c>
      <c r="AB990" s="3">
        <f>VALUE(SUBSTITUTE(MID($A990,I990+I$2+1,J990-I990-I$2-1),",","."))</f>
        <v>0</v>
      </c>
      <c r="AC990" s="3">
        <f>VALUE(SUBSTITUTE(MID($A990,J990+J$2+1,K990-J990-J$2-1),",","."))</f>
        <v>1.65</v>
      </c>
      <c r="AD990" s="3">
        <f>VALUE(SUBSTITUTE(MID($A990,K990+K$2+1,L990-K990-K$2-1),",","."))</f>
        <v>44.28</v>
      </c>
      <c r="AE990" s="3">
        <f>VALUE(SUBSTITUTE(MID($A990,L990+L$2+1,M990-L990-L$2-1),",","."))</f>
        <v>0</v>
      </c>
      <c r="AF990" s="3">
        <f>VALUE(SUBSTITUTE(MID($A990,M990+M$2+1,N990-M990-M$2-1),",","."))</f>
        <v>0</v>
      </c>
      <c r="AG990" s="3">
        <f>VALUE(SUBSTITUTE(MID($A990,N990+N$2+1,O990-N990-N$2-1),",","."))</f>
        <v>4.2316098742149704</v>
      </c>
      <c r="AH990" t="str">
        <f>MID($A990,O990+O$2+1,P990-O990-O$2-1)</f>
        <v/>
      </c>
      <c r="AI990" s="8" t="str">
        <f>MID($A990,P990+P$2+1,Q990-P990-P$2-1)</f>
        <v>False</v>
      </c>
      <c r="AK990" t="b">
        <f t="shared" si="133"/>
        <v>0</v>
      </c>
    </row>
    <row r="991" spans="1:37" x14ac:dyDescent="0.35">
      <c r="A991" t="s">
        <v>5538</v>
      </c>
      <c r="B991">
        <f t="shared" si="135"/>
        <v>10</v>
      </c>
      <c r="C991">
        <f t="shared" si="135"/>
        <v>43</v>
      </c>
      <c r="D991">
        <f t="shared" si="135"/>
        <v>54</v>
      </c>
      <c r="E991">
        <f t="shared" si="134"/>
        <v>80</v>
      </c>
      <c r="F991">
        <f t="shared" si="134"/>
        <v>124</v>
      </c>
      <c r="G991">
        <f t="shared" si="134"/>
        <v>145</v>
      </c>
      <c r="H991">
        <f t="shared" si="134"/>
        <v>177</v>
      </c>
      <c r="I991">
        <f t="shared" si="134"/>
        <v>199</v>
      </c>
      <c r="J991">
        <f t="shared" si="134"/>
        <v>232</v>
      </c>
      <c r="K991">
        <f t="shared" si="134"/>
        <v>252</v>
      </c>
      <c r="L991">
        <f t="shared" si="134"/>
        <v>271</v>
      </c>
      <c r="M991">
        <f t="shared" si="134"/>
        <v>286</v>
      </c>
      <c r="N991">
        <f t="shared" si="136"/>
        <v>298</v>
      </c>
      <c r="O991">
        <f t="shared" si="136"/>
        <v>323</v>
      </c>
      <c r="P991">
        <f t="shared" si="136"/>
        <v>341</v>
      </c>
      <c r="Q991">
        <f t="shared" si="127"/>
        <v>367</v>
      </c>
      <c r="S991" t="str">
        <f t="shared" si="130"/>
        <v>07.12.2025</v>
      </c>
      <c r="T991" t="str">
        <f t="shared" si="131"/>
        <v>02:15:00</v>
      </c>
      <c r="U991" t="str">
        <f t="shared" si="132"/>
        <v>07.12.2025 02:15:00</v>
      </c>
      <c r="V991" s="9" t="str">
        <f>MID($A991,C991+C$2+1,D991-C991-C$2-1)</f>
        <v>0</v>
      </c>
      <c r="W991" s="4">
        <f>VALUE(SUBSTITUTE(MID($A991,D991+D$2+1,E991-D991-D$2-1),",","."))</f>
        <v>0</v>
      </c>
      <c r="X991" s="4">
        <f>VALUE(SUBSTITUTE(MID($A991,E991+E$2+1,F991-E991-E$2-1),",","."))</f>
        <v>0.90957602214449496</v>
      </c>
      <c r="Y991" s="4">
        <f>VALUE(SUBSTITUTE(MID($A991,F991+F$2+1,G991-F991-F$2-1),",","."))</f>
        <v>0</v>
      </c>
      <c r="Z991" s="3">
        <f>VALUE(SUBSTITUTE(MID($A991,G991+G$2+1,H991-G991-G$2-1),",","."))</f>
        <v>0</v>
      </c>
      <c r="AA991" s="3">
        <f>VALUE(SUBSTITUTE(MID($A991,H991+H$2+1,I991-H991-H$2-1),",","."))</f>
        <v>0</v>
      </c>
      <c r="AB991" s="3">
        <f>VALUE(SUBSTITUTE(MID($A991,I991+I$2+1,J991-I991-I$2-1),",","."))</f>
        <v>0</v>
      </c>
      <c r="AC991" s="3">
        <f>VALUE(SUBSTITUTE(MID($A991,J991+J$2+1,K991-J991-J$2-1),",","."))</f>
        <v>1.65</v>
      </c>
      <c r="AD991" s="3">
        <f>VALUE(SUBSTITUTE(MID($A991,K991+K$2+1,L991-K991-K$2-1),",","."))</f>
        <v>44.28</v>
      </c>
      <c r="AE991" s="3">
        <f>VALUE(SUBSTITUTE(MID($A991,L991+L$2+1,M991-L991-L$2-1),",","."))</f>
        <v>0</v>
      </c>
      <c r="AF991" s="3">
        <f>VALUE(SUBSTITUTE(MID($A991,M991+M$2+1,N991-M991-M$2-1),",","."))</f>
        <v>0</v>
      </c>
      <c r="AG991" s="3">
        <f>VALUE(SUBSTITUTE(MID($A991,N991+N$2+1,O991-N991-N$2-1),",","."))</f>
        <v>4.23163839410305</v>
      </c>
      <c r="AH991" t="str">
        <f>MID($A991,O991+O$2+1,P991-O991-O$2-1)</f>
        <v/>
      </c>
      <c r="AI991" s="8" t="str">
        <f>MID($A991,P991+P$2+1,Q991-P991-P$2-1)</f>
        <v>False</v>
      </c>
      <c r="AK991" t="b">
        <f t="shared" si="133"/>
        <v>0</v>
      </c>
    </row>
    <row r="992" spans="1:37" x14ac:dyDescent="0.35">
      <c r="A992" t="s">
        <v>5539</v>
      </c>
      <c r="B992">
        <f t="shared" si="135"/>
        <v>10</v>
      </c>
      <c r="C992">
        <f t="shared" si="135"/>
        <v>43</v>
      </c>
      <c r="D992">
        <f t="shared" si="135"/>
        <v>54</v>
      </c>
      <c r="E992">
        <f t="shared" si="134"/>
        <v>80</v>
      </c>
      <c r="F992">
        <f t="shared" si="134"/>
        <v>124</v>
      </c>
      <c r="G992">
        <f t="shared" si="134"/>
        <v>145</v>
      </c>
      <c r="H992">
        <f t="shared" si="134"/>
        <v>177</v>
      </c>
      <c r="I992">
        <f t="shared" si="134"/>
        <v>199</v>
      </c>
      <c r="J992">
        <f t="shared" si="134"/>
        <v>232</v>
      </c>
      <c r="K992">
        <f t="shared" si="134"/>
        <v>252</v>
      </c>
      <c r="L992">
        <f t="shared" si="134"/>
        <v>271</v>
      </c>
      <c r="M992">
        <f t="shared" si="134"/>
        <v>286</v>
      </c>
      <c r="N992">
        <f t="shared" si="136"/>
        <v>298</v>
      </c>
      <c r="O992">
        <f t="shared" si="136"/>
        <v>323</v>
      </c>
      <c r="P992">
        <f t="shared" si="136"/>
        <v>341</v>
      </c>
      <c r="Q992">
        <f t="shared" si="136"/>
        <v>367</v>
      </c>
      <c r="S992" t="str">
        <f t="shared" si="130"/>
        <v>07.12.2025</v>
      </c>
      <c r="T992" t="str">
        <f t="shared" si="131"/>
        <v>02:30:00</v>
      </c>
      <c r="U992" t="str">
        <f t="shared" si="132"/>
        <v>07.12.2025 02:30:00</v>
      </c>
      <c r="V992" s="9" t="str">
        <f>MID($A992,C992+C$2+1,D992-C992-C$2-1)</f>
        <v>0</v>
      </c>
      <c r="W992" s="4">
        <f>VALUE(SUBSTITUTE(MID($A992,D992+D$2+1,E992-D992-D$2-1),",","."))</f>
        <v>0</v>
      </c>
      <c r="X992" s="4">
        <f>VALUE(SUBSTITUTE(MID($A992,E992+E$2+1,F992-E992-E$2-1),",","."))</f>
        <v>0.90957602214449496</v>
      </c>
      <c r="Y992" s="4">
        <f>VALUE(SUBSTITUTE(MID($A992,F992+F$2+1,G992-F992-F$2-1),",","."))</f>
        <v>0</v>
      </c>
      <c r="Z992" s="3">
        <f>VALUE(SUBSTITUTE(MID($A992,G992+G$2+1,H992-G992-G$2-1),",","."))</f>
        <v>0</v>
      </c>
      <c r="AA992" s="3">
        <f>VALUE(SUBSTITUTE(MID($A992,H992+H$2+1,I992-H992-H$2-1),",","."))</f>
        <v>0</v>
      </c>
      <c r="AB992" s="3">
        <f>VALUE(SUBSTITUTE(MID($A992,I992+I$2+1,J992-I992-I$2-1),",","."))</f>
        <v>0</v>
      </c>
      <c r="AC992" s="3">
        <f>VALUE(SUBSTITUTE(MID($A992,J992+J$2+1,K992-J992-J$2-1),",","."))</f>
        <v>1.45</v>
      </c>
      <c r="AD992" s="3">
        <f>VALUE(SUBSTITUTE(MID($A992,K992+K$2+1,L992-K992-K$2-1),",","."))</f>
        <v>43.38</v>
      </c>
      <c r="AE992" s="3">
        <f>VALUE(SUBSTITUTE(MID($A992,L992+L$2+1,M992-L992-L$2-1),",","."))</f>
        <v>0</v>
      </c>
      <c r="AF992" s="3">
        <f>VALUE(SUBSTITUTE(MID($A992,M992+M$2+1,N992-M992-M$2-1),",","."))</f>
        <v>0</v>
      </c>
      <c r="AG992" s="3">
        <f>VALUE(SUBSTITUTE(MID($A992,N992+N$2+1,O992-N992-N$2-1),",","."))</f>
        <v>4.2316669139911296</v>
      </c>
      <c r="AH992" t="str">
        <f>MID($A992,O992+O$2+1,P992-O992-O$2-1)</f>
        <v/>
      </c>
      <c r="AI992" s="8" t="str">
        <f>MID($A992,P992+P$2+1,Q992-P992-P$2-1)</f>
        <v>False</v>
      </c>
      <c r="AK992" t="b">
        <f t="shared" si="133"/>
        <v>0</v>
      </c>
    </row>
    <row r="993" spans="1:37" x14ac:dyDescent="0.35">
      <c r="A993" t="s">
        <v>5540</v>
      </c>
      <c r="B993">
        <f t="shared" si="135"/>
        <v>10</v>
      </c>
      <c r="C993">
        <f t="shared" si="135"/>
        <v>43</v>
      </c>
      <c r="D993">
        <f t="shared" si="135"/>
        <v>54</v>
      </c>
      <c r="E993">
        <f t="shared" si="134"/>
        <v>80</v>
      </c>
      <c r="F993">
        <f t="shared" si="134"/>
        <v>124</v>
      </c>
      <c r="G993">
        <f t="shared" si="134"/>
        <v>145</v>
      </c>
      <c r="H993">
        <f t="shared" si="134"/>
        <v>177</v>
      </c>
      <c r="I993">
        <f t="shared" si="134"/>
        <v>199</v>
      </c>
      <c r="J993">
        <f t="shared" si="134"/>
        <v>232</v>
      </c>
      <c r="K993">
        <f t="shared" si="134"/>
        <v>252</v>
      </c>
      <c r="L993">
        <f t="shared" si="134"/>
        <v>271</v>
      </c>
      <c r="M993">
        <f t="shared" si="134"/>
        <v>286</v>
      </c>
      <c r="N993">
        <f t="shared" si="136"/>
        <v>298</v>
      </c>
      <c r="O993">
        <f t="shared" si="136"/>
        <v>323</v>
      </c>
      <c r="P993">
        <f t="shared" si="136"/>
        <v>341</v>
      </c>
      <c r="Q993">
        <f t="shared" si="136"/>
        <v>367</v>
      </c>
      <c r="S993" t="str">
        <f t="shared" si="130"/>
        <v>07.12.2025</v>
      </c>
      <c r="T993" t="str">
        <f t="shared" si="131"/>
        <v>02:45:00</v>
      </c>
      <c r="U993" t="str">
        <f t="shared" si="132"/>
        <v>07.12.2025 02:45:00</v>
      </c>
      <c r="V993" s="9" t="str">
        <f>MID($A993,C993+C$2+1,D993-C993-C$2-1)</f>
        <v>0</v>
      </c>
      <c r="W993" s="4">
        <f>VALUE(SUBSTITUTE(MID($A993,D993+D$2+1,E993-D993-D$2-1),",","."))</f>
        <v>0</v>
      </c>
      <c r="X993" s="4">
        <f>VALUE(SUBSTITUTE(MID($A993,E993+E$2+1,F993-E993-E$2-1),",","."))</f>
        <v>0.90957602214449496</v>
      </c>
      <c r="Y993" s="4">
        <f>VALUE(SUBSTITUTE(MID($A993,F993+F$2+1,G993-F993-F$2-1),",","."))</f>
        <v>0</v>
      </c>
      <c r="Z993" s="3">
        <f>VALUE(SUBSTITUTE(MID($A993,G993+G$2+1,H993-G993-G$2-1),",","."))</f>
        <v>0</v>
      </c>
      <c r="AA993" s="3">
        <f>VALUE(SUBSTITUTE(MID($A993,H993+H$2+1,I993-H993-H$2-1),",","."))</f>
        <v>0</v>
      </c>
      <c r="AB993" s="3">
        <f>VALUE(SUBSTITUTE(MID($A993,I993+I$2+1,J993-I993-I$2-1),",","."))</f>
        <v>0</v>
      </c>
      <c r="AC993" s="3">
        <f>VALUE(SUBSTITUTE(MID($A993,J993+J$2+1,K993-J993-J$2-1),",","."))</f>
        <v>1.45</v>
      </c>
      <c r="AD993" s="3">
        <f>VALUE(SUBSTITUTE(MID($A993,K993+K$2+1,L993-K993-K$2-1),",","."))</f>
        <v>43.38</v>
      </c>
      <c r="AE993" s="3">
        <f>VALUE(SUBSTITUTE(MID($A993,L993+L$2+1,M993-L993-L$2-1),",","."))</f>
        <v>0</v>
      </c>
      <c r="AF993" s="3">
        <f>VALUE(SUBSTITUTE(MID($A993,M993+M$2+1,N993-M993-M$2-1),",","."))</f>
        <v>0</v>
      </c>
      <c r="AG993" s="3">
        <f>VALUE(SUBSTITUTE(MID($A993,N993+N$2+1,O993-N993-N$2-1),",","."))</f>
        <v>4.2316954338792101</v>
      </c>
      <c r="AH993" t="str">
        <f>MID($A993,O993+O$2+1,P993-O993-O$2-1)</f>
        <v/>
      </c>
      <c r="AI993" s="8" t="str">
        <f>MID($A993,P993+P$2+1,Q993-P993-P$2-1)</f>
        <v>False</v>
      </c>
      <c r="AK993" t="b">
        <f t="shared" si="133"/>
        <v>0</v>
      </c>
    </row>
    <row r="994" spans="1:37" x14ac:dyDescent="0.35">
      <c r="A994" t="s">
        <v>5541</v>
      </c>
      <c r="B994">
        <f t="shared" si="135"/>
        <v>10</v>
      </c>
      <c r="C994">
        <f t="shared" si="135"/>
        <v>43</v>
      </c>
      <c r="D994">
        <f t="shared" si="135"/>
        <v>54</v>
      </c>
      <c r="E994">
        <f t="shared" si="134"/>
        <v>80</v>
      </c>
      <c r="F994">
        <f t="shared" si="134"/>
        <v>124</v>
      </c>
      <c r="G994">
        <f t="shared" si="134"/>
        <v>145</v>
      </c>
      <c r="H994">
        <f t="shared" si="134"/>
        <v>177</v>
      </c>
      <c r="I994">
        <f t="shared" si="134"/>
        <v>199</v>
      </c>
      <c r="J994">
        <f t="shared" si="134"/>
        <v>232</v>
      </c>
      <c r="K994">
        <f t="shared" si="134"/>
        <v>252</v>
      </c>
      <c r="L994">
        <f t="shared" si="134"/>
        <v>271</v>
      </c>
      <c r="M994">
        <f t="shared" si="134"/>
        <v>286</v>
      </c>
      <c r="N994">
        <f t="shared" si="136"/>
        <v>298</v>
      </c>
      <c r="O994">
        <f t="shared" si="136"/>
        <v>323</v>
      </c>
      <c r="P994">
        <f t="shared" si="136"/>
        <v>341</v>
      </c>
      <c r="Q994">
        <f t="shared" si="136"/>
        <v>367</v>
      </c>
      <c r="S994" t="str">
        <f t="shared" si="130"/>
        <v>07.12.2025</v>
      </c>
      <c r="T994" t="str">
        <f t="shared" si="131"/>
        <v>03:00:00</v>
      </c>
      <c r="U994" t="str">
        <f t="shared" si="132"/>
        <v>07.12.2025 03:00:00</v>
      </c>
      <c r="V994" s="9" t="str">
        <f>MID($A994,C994+C$2+1,D994-C994-C$2-1)</f>
        <v>0</v>
      </c>
      <c r="W994" s="4">
        <f>VALUE(SUBSTITUTE(MID($A994,D994+D$2+1,E994-D994-D$2-1),",","."))</f>
        <v>0</v>
      </c>
      <c r="X994" s="4">
        <f>VALUE(SUBSTITUTE(MID($A994,E994+E$2+1,F994-E994-E$2-1),",","."))</f>
        <v>0.90957602214449496</v>
      </c>
      <c r="Y994" s="4">
        <f>VALUE(SUBSTITUTE(MID($A994,F994+F$2+1,G994-F994-F$2-1),",","."))</f>
        <v>0</v>
      </c>
      <c r="Z994" s="3">
        <f>VALUE(SUBSTITUTE(MID($A994,G994+G$2+1,H994-G994-G$2-1),",","."))</f>
        <v>0</v>
      </c>
      <c r="AA994" s="3">
        <f>VALUE(SUBSTITUTE(MID($A994,H994+H$2+1,I994-H994-H$2-1),",","."))</f>
        <v>0</v>
      </c>
      <c r="AB994" s="3">
        <f>VALUE(SUBSTITUTE(MID($A994,I994+I$2+1,J994-I994-I$2-1),",","."))</f>
        <v>0</v>
      </c>
      <c r="AC994" s="3">
        <f>VALUE(SUBSTITUTE(MID($A994,J994+J$2+1,K994-J994-J$2-1),",","."))</f>
        <v>1.45</v>
      </c>
      <c r="AD994" s="3">
        <f>VALUE(SUBSTITUTE(MID($A994,K994+K$2+1,L994-K994-K$2-1),",","."))</f>
        <v>43.38</v>
      </c>
      <c r="AE994" s="3">
        <f>VALUE(SUBSTITUTE(MID($A994,L994+L$2+1,M994-L994-L$2-1),",","."))</f>
        <v>0</v>
      </c>
      <c r="AF994" s="3">
        <f>VALUE(SUBSTITUTE(MID($A994,M994+M$2+1,N994-M994-M$2-1),",","."))</f>
        <v>0</v>
      </c>
      <c r="AG994" s="3">
        <f>VALUE(SUBSTITUTE(MID($A994,N994+N$2+1,O994-N994-N$2-1),",","."))</f>
        <v>4.2317239537672897</v>
      </c>
      <c r="AH994" t="str">
        <f>MID($A994,O994+O$2+1,P994-O994-O$2-1)</f>
        <v/>
      </c>
      <c r="AI994" s="8" t="str">
        <f>MID($A994,P994+P$2+1,Q994-P994-P$2-1)</f>
        <v>False</v>
      </c>
      <c r="AK994" t="b">
        <f t="shared" si="133"/>
        <v>0</v>
      </c>
    </row>
    <row r="995" spans="1:37" x14ac:dyDescent="0.35">
      <c r="A995" t="s">
        <v>5542</v>
      </c>
      <c r="B995">
        <f t="shared" si="135"/>
        <v>10</v>
      </c>
      <c r="C995">
        <f t="shared" si="135"/>
        <v>43</v>
      </c>
      <c r="D995">
        <f t="shared" si="135"/>
        <v>54</v>
      </c>
      <c r="E995">
        <f t="shared" si="134"/>
        <v>80</v>
      </c>
      <c r="F995">
        <f t="shared" si="134"/>
        <v>124</v>
      </c>
      <c r="G995">
        <f t="shared" si="134"/>
        <v>145</v>
      </c>
      <c r="H995">
        <f t="shared" si="134"/>
        <v>177</v>
      </c>
      <c r="I995">
        <f t="shared" si="134"/>
        <v>199</v>
      </c>
      <c r="J995">
        <f t="shared" si="134"/>
        <v>232</v>
      </c>
      <c r="K995">
        <f t="shared" si="134"/>
        <v>252</v>
      </c>
      <c r="L995">
        <f t="shared" si="134"/>
        <v>271</v>
      </c>
      <c r="M995">
        <f t="shared" si="134"/>
        <v>286</v>
      </c>
      <c r="N995">
        <f t="shared" si="136"/>
        <v>298</v>
      </c>
      <c r="O995">
        <f t="shared" si="136"/>
        <v>323</v>
      </c>
      <c r="P995">
        <f t="shared" si="136"/>
        <v>341</v>
      </c>
      <c r="Q995">
        <f t="shared" si="136"/>
        <v>367</v>
      </c>
      <c r="S995" t="str">
        <f t="shared" si="130"/>
        <v>07.12.2025</v>
      </c>
      <c r="T995" t="str">
        <f t="shared" si="131"/>
        <v>03:15:00</v>
      </c>
      <c r="U995" t="str">
        <f t="shared" si="132"/>
        <v>07.12.2025 03:15:00</v>
      </c>
      <c r="V995" s="9" t="str">
        <f>MID($A995,C995+C$2+1,D995-C995-C$2-1)</f>
        <v>0</v>
      </c>
      <c r="W995" s="4">
        <f>VALUE(SUBSTITUTE(MID($A995,D995+D$2+1,E995-D995-D$2-1),",","."))</f>
        <v>0</v>
      </c>
      <c r="X995" s="4">
        <f>VALUE(SUBSTITUTE(MID($A995,E995+E$2+1,F995-E995-E$2-1),",","."))</f>
        <v>0.90957602214449496</v>
      </c>
      <c r="Y995" s="4">
        <f>VALUE(SUBSTITUTE(MID($A995,F995+F$2+1,G995-F995-F$2-1),",","."))</f>
        <v>0</v>
      </c>
      <c r="Z995" s="3">
        <f>VALUE(SUBSTITUTE(MID($A995,G995+G$2+1,H995-G995-G$2-1),",","."))</f>
        <v>0</v>
      </c>
      <c r="AA995" s="3">
        <f>VALUE(SUBSTITUTE(MID($A995,H995+H$2+1,I995-H995-H$2-1),",","."))</f>
        <v>0</v>
      </c>
      <c r="AB995" s="3">
        <f>VALUE(SUBSTITUTE(MID($A995,I995+I$2+1,J995-I995-I$2-1),",","."))</f>
        <v>0</v>
      </c>
      <c r="AC995" s="3">
        <f>VALUE(SUBSTITUTE(MID($A995,J995+J$2+1,K995-J995-J$2-1),",","."))</f>
        <v>1.45</v>
      </c>
      <c r="AD995" s="3">
        <f>VALUE(SUBSTITUTE(MID($A995,K995+K$2+1,L995-K995-K$2-1),",","."))</f>
        <v>43.38</v>
      </c>
      <c r="AE995" s="3">
        <f>VALUE(SUBSTITUTE(MID($A995,L995+L$2+1,M995-L995-L$2-1),",","."))</f>
        <v>0</v>
      </c>
      <c r="AF995" s="3">
        <f>VALUE(SUBSTITUTE(MID($A995,M995+M$2+1,N995-M995-M$2-1),",","."))</f>
        <v>0</v>
      </c>
      <c r="AG995" s="3">
        <f>VALUE(SUBSTITUTE(MID($A995,N995+N$2+1,O995-N995-N$2-1),",","."))</f>
        <v>4.23175247365538</v>
      </c>
      <c r="AH995" t="str">
        <f>MID($A995,O995+O$2+1,P995-O995-O$2-1)</f>
        <v/>
      </c>
      <c r="AI995" s="8" t="str">
        <f>MID($A995,P995+P$2+1,Q995-P995-P$2-1)</f>
        <v>False</v>
      </c>
      <c r="AK995" t="b">
        <f t="shared" si="133"/>
        <v>0</v>
      </c>
    </row>
    <row r="996" spans="1:37" x14ac:dyDescent="0.35">
      <c r="A996" t="s">
        <v>5543</v>
      </c>
      <c r="B996">
        <f t="shared" si="135"/>
        <v>10</v>
      </c>
      <c r="C996">
        <f t="shared" si="135"/>
        <v>43</v>
      </c>
      <c r="D996">
        <f t="shared" si="135"/>
        <v>54</v>
      </c>
      <c r="E996">
        <f t="shared" si="134"/>
        <v>80</v>
      </c>
      <c r="F996">
        <f t="shared" si="134"/>
        <v>124</v>
      </c>
      <c r="G996">
        <f t="shared" si="134"/>
        <v>145</v>
      </c>
      <c r="H996">
        <f t="shared" si="134"/>
        <v>177</v>
      </c>
      <c r="I996">
        <f t="shared" si="134"/>
        <v>199</v>
      </c>
      <c r="J996">
        <f t="shared" si="134"/>
        <v>232</v>
      </c>
      <c r="K996">
        <f t="shared" si="134"/>
        <v>252</v>
      </c>
      <c r="L996">
        <f t="shared" si="134"/>
        <v>284</v>
      </c>
      <c r="M996">
        <f t="shared" si="134"/>
        <v>299</v>
      </c>
      <c r="N996">
        <f t="shared" si="136"/>
        <v>311</v>
      </c>
      <c r="O996">
        <f t="shared" si="136"/>
        <v>336</v>
      </c>
      <c r="P996">
        <f t="shared" si="136"/>
        <v>354</v>
      </c>
      <c r="Q996">
        <f t="shared" si="136"/>
        <v>380</v>
      </c>
      <c r="S996" t="str">
        <f t="shared" si="130"/>
        <v>07.12.2025</v>
      </c>
      <c r="T996" t="str">
        <f t="shared" si="131"/>
        <v>03:30:00</v>
      </c>
      <c r="U996" t="str">
        <f t="shared" si="132"/>
        <v>07.12.2025 03:30:00</v>
      </c>
      <c r="V996" s="9" t="str">
        <f>MID($A996,C996+C$2+1,D996-C996-C$2-1)</f>
        <v>0</v>
      </c>
      <c r="W996" s="4">
        <f>VALUE(SUBSTITUTE(MID($A996,D996+D$2+1,E996-D996-D$2-1),",","."))</f>
        <v>0</v>
      </c>
      <c r="X996" s="4">
        <f>VALUE(SUBSTITUTE(MID($A996,E996+E$2+1,F996-E996-E$2-1),",","."))</f>
        <v>0.90957602214449496</v>
      </c>
      <c r="Y996" s="4">
        <f>VALUE(SUBSTITUTE(MID($A996,F996+F$2+1,G996-F996-F$2-1),",","."))</f>
        <v>0</v>
      </c>
      <c r="Z996" s="3">
        <f>VALUE(SUBSTITUTE(MID($A996,G996+G$2+1,H996-G996-G$2-1),",","."))</f>
        <v>0</v>
      </c>
      <c r="AA996" s="3">
        <f>VALUE(SUBSTITUTE(MID($A996,H996+H$2+1,I996-H996-H$2-1),",","."))</f>
        <v>0</v>
      </c>
      <c r="AB996" s="3">
        <f>VALUE(SUBSTITUTE(MID($A996,I996+I$2+1,J996-I996-I$2-1),",","."))</f>
        <v>0</v>
      </c>
      <c r="AC996" s="3">
        <f>VALUE(SUBSTITUTE(MID($A996,J996+J$2+1,K996-J996-J$2-1),",","."))</f>
        <v>1.35</v>
      </c>
      <c r="AD996" s="3">
        <f>VALUE(SUBSTITUTE(MID($A996,K996+K$2+1,L996-K996-K$2-1),",","."))</f>
        <v>42.48</v>
      </c>
      <c r="AE996" s="3">
        <f>VALUE(SUBSTITUTE(MID($A996,L996+L$2+1,M996-L996-L$2-1),",","."))</f>
        <v>0</v>
      </c>
      <c r="AF996" s="3">
        <f>VALUE(SUBSTITUTE(MID($A996,M996+M$2+1,N996-M996-M$2-1),",","."))</f>
        <v>0</v>
      </c>
      <c r="AG996" s="3">
        <f>VALUE(SUBSTITUTE(MID($A996,N996+N$2+1,O996-N996-N$2-1),",","."))</f>
        <v>4.2317809935434596</v>
      </c>
      <c r="AH996" t="str">
        <f>MID($A996,O996+O$2+1,P996-O996-O$2-1)</f>
        <v/>
      </c>
      <c r="AI996" s="8" t="str">
        <f>MID($A996,P996+P$2+1,Q996-P996-P$2-1)</f>
        <v>False</v>
      </c>
      <c r="AK996" t="b">
        <f t="shared" si="133"/>
        <v>0</v>
      </c>
    </row>
    <row r="997" spans="1:37" x14ac:dyDescent="0.35">
      <c r="A997" t="s">
        <v>5544</v>
      </c>
      <c r="B997">
        <f t="shared" si="135"/>
        <v>10</v>
      </c>
      <c r="C997">
        <f t="shared" si="135"/>
        <v>43</v>
      </c>
      <c r="D997">
        <f t="shared" si="135"/>
        <v>54</v>
      </c>
      <c r="E997">
        <f t="shared" si="134"/>
        <v>80</v>
      </c>
      <c r="F997">
        <f t="shared" si="134"/>
        <v>124</v>
      </c>
      <c r="G997">
        <f t="shared" si="134"/>
        <v>145</v>
      </c>
      <c r="H997">
        <f t="shared" si="134"/>
        <v>177</v>
      </c>
      <c r="I997">
        <f t="shared" si="134"/>
        <v>199</v>
      </c>
      <c r="J997">
        <f t="shared" si="134"/>
        <v>232</v>
      </c>
      <c r="K997">
        <f t="shared" si="134"/>
        <v>252</v>
      </c>
      <c r="L997">
        <f t="shared" si="134"/>
        <v>284</v>
      </c>
      <c r="M997">
        <f t="shared" si="134"/>
        <v>299</v>
      </c>
      <c r="N997">
        <f t="shared" si="136"/>
        <v>311</v>
      </c>
      <c r="O997">
        <f t="shared" si="136"/>
        <v>336</v>
      </c>
      <c r="P997">
        <f t="shared" si="136"/>
        <v>354</v>
      </c>
      <c r="Q997">
        <f t="shared" si="136"/>
        <v>380</v>
      </c>
      <c r="S997" t="str">
        <f t="shared" si="130"/>
        <v>07.12.2025</v>
      </c>
      <c r="T997" t="str">
        <f t="shared" si="131"/>
        <v>03:45:00</v>
      </c>
      <c r="U997" t="str">
        <f t="shared" si="132"/>
        <v>07.12.2025 03:45:00</v>
      </c>
      <c r="V997" s="9" t="str">
        <f>MID($A997,C997+C$2+1,D997-C997-C$2-1)</f>
        <v>0</v>
      </c>
      <c r="W997" s="4">
        <f>VALUE(SUBSTITUTE(MID($A997,D997+D$2+1,E997-D997-D$2-1),",","."))</f>
        <v>0</v>
      </c>
      <c r="X997" s="4">
        <f>VALUE(SUBSTITUTE(MID($A997,E997+E$2+1,F997-E997-E$2-1),",","."))</f>
        <v>0.90957602214449496</v>
      </c>
      <c r="Y997" s="4">
        <f>VALUE(SUBSTITUTE(MID($A997,F997+F$2+1,G997-F997-F$2-1),",","."))</f>
        <v>0</v>
      </c>
      <c r="Z997" s="3">
        <f>VALUE(SUBSTITUTE(MID($A997,G997+G$2+1,H997-G997-G$2-1),",","."))</f>
        <v>0</v>
      </c>
      <c r="AA997" s="3">
        <f>VALUE(SUBSTITUTE(MID($A997,H997+H$2+1,I997-H997-H$2-1),",","."))</f>
        <v>0</v>
      </c>
      <c r="AB997" s="3">
        <f>VALUE(SUBSTITUTE(MID($A997,I997+I$2+1,J997-I997-I$2-1),",","."))</f>
        <v>0</v>
      </c>
      <c r="AC997" s="3">
        <f>VALUE(SUBSTITUTE(MID($A997,J997+J$2+1,K997-J997-J$2-1),",","."))</f>
        <v>1.35</v>
      </c>
      <c r="AD997" s="3">
        <f>VALUE(SUBSTITUTE(MID($A997,K997+K$2+1,L997-K997-K$2-1),",","."))</f>
        <v>42.48</v>
      </c>
      <c r="AE997" s="3">
        <f>VALUE(SUBSTITUTE(MID($A997,L997+L$2+1,M997-L997-L$2-1),",","."))</f>
        <v>0</v>
      </c>
      <c r="AF997" s="3">
        <f>VALUE(SUBSTITUTE(MID($A997,M997+M$2+1,N997-M997-M$2-1),",","."))</f>
        <v>0</v>
      </c>
      <c r="AG997" s="3">
        <f>VALUE(SUBSTITUTE(MID($A997,N997+N$2+1,O997-N997-N$2-1),",","."))</f>
        <v>4.2318095134315401</v>
      </c>
      <c r="AH997" t="str">
        <f>MID($A997,O997+O$2+1,P997-O997-O$2-1)</f>
        <v/>
      </c>
      <c r="AI997" s="8" t="str">
        <f>MID($A997,P997+P$2+1,Q997-P997-P$2-1)</f>
        <v>False</v>
      </c>
      <c r="AK997" t="b">
        <f t="shared" si="133"/>
        <v>0</v>
      </c>
    </row>
    <row r="998" spans="1:37" x14ac:dyDescent="0.35">
      <c r="A998" t="s">
        <v>5545</v>
      </c>
      <c r="B998">
        <f t="shared" si="135"/>
        <v>10</v>
      </c>
      <c r="C998">
        <f t="shared" si="135"/>
        <v>43</v>
      </c>
      <c r="D998">
        <f t="shared" si="135"/>
        <v>54</v>
      </c>
      <c r="E998">
        <f t="shared" si="134"/>
        <v>80</v>
      </c>
      <c r="F998">
        <f t="shared" si="134"/>
        <v>124</v>
      </c>
      <c r="G998">
        <f t="shared" si="134"/>
        <v>145</v>
      </c>
      <c r="H998">
        <f t="shared" si="134"/>
        <v>177</v>
      </c>
      <c r="I998">
        <f t="shared" si="134"/>
        <v>199</v>
      </c>
      <c r="J998">
        <f t="shared" si="134"/>
        <v>232</v>
      </c>
      <c r="K998">
        <f t="shared" si="134"/>
        <v>252</v>
      </c>
      <c r="L998">
        <f t="shared" si="134"/>
        <v>284</v>
      </c>
      <c r="M998">
        <f t="shared" si="134"/>
        <v>299</v>
      </c>
      <c r="N998">
        <f t="shared" si="136"/>
        <v>311</v>
      </c>
      <c r="O998">
        <f t="shared" si="136"/>
        <v>336</v>
      </c>
      <c r="P998">
        <f t="shared" si="136"/>
        <v>354</v>
      </c>
      <c r="Q998">
        <f t="shared" si="136"/>
        <v>380</v>
      </c>
      <c r="S998" t="str">
        <f t="shared" si="130"/>
        <v>07.12.2025</v>
      </c>
      <c r="T998" t="str">
        <f t="shared" si="131"/>
        <v>04:00:00</v>
      </c>
      <c r="U998" t="str">
        <f t="shared" si="132"/>
        <v>07.12.2025 04:00:00</v>
      </c>
      <c r="V998" s="9" t="str">
        <f>MID($A998,C998+C$2+1,D998-C998-C$2-1)</f>
        <v>0</v>
      </c>
      <c r="W998" s="4">
        <f>VALUE(SUBSTITUTE(MID($A998,D998+D$2+1,E998-D998-D$2-1),",","."))</f>
        <v>0</v>
      </c>
      <c r="X998" s="4">
        <f>VALUE(SUBSTITUTE(MID($A998,E998+E$2+1,F998-E998-E$2-1),",","."))</f>
        <v>0.90957602214449496</v>
      </c>
      <c r="Y998" s="4">
        <f>VALUE(SUBSTITUTE(MID($A998,F998+F$2+1,G998-F998-F$2-1),",","."))</f>
        <v>0</v>
      </c>
      <c r="Z998" s="3">
        <f>VALUE(SUBSTITUTE(MID($A998,G998+G$2+1,H998-G998-G$2-1),",","."))</f>
        <v>0</v>
      </c>
      <c r="AA998" s="3">
        <f>VALUE(SUBSTITUTE(MID($A998,H998+H$2+1,I998-H998-H$2-1),",","."))</f>
        <v>0</v>
      </c>
      <c r="AB998" s="3">
        <f>VALUE(SUBSTITUTE(MID($A998,I998+I$2+1,J998-I998-I$2-1),",","."))</f>
        <v>0</v>
      </c>
      <c r="AC998" s="3">
        <f>VALUE(SUBSTITUTE(MID($A998,J998+J$2+1,K998-J998-J$2-1),",","."))</f>
        <v>1.35</v>
      </c>
      <c r="AD998" s="3">
        <f>VALUE(SUBSTITUTE(MID($A998,K998+K$2+1,L998-K998-K$2-1),",","."))</f>
        <v>42.48</v>
      </c>
      <c r="AE998" s="3">
        <f>VALUE(SUBSTITUTE(MID($A998,L998+L$2+1,M998-L998-L$2-1),",","."))</f>
        <v>0</v>
      </c>
      <c r="AF998" s="3">
        <f>VALUE(SUBSTITUTE(MID($A998,M998+M$2+1,N998-M998-M$2-1),",","."))</f>
        <v>0</v>
      </c>
      <c r="AG998" s="3">
        <f>VALUE(SUBSTITUTE(MID($A998,N998+N$2+1,O998-N998-N$2-1),",","."))</f>
        <v>4.2318380333196197</v>
      </c>
      <c r="AH998" t="str">
        <f>MID($A998,O998+O$2+1,P998-O998-O$2-1)</f>
        <v/>
      </c>
      <c r="AI998" s="8" t="str">
        <f>MID($A998,P998+P$2+1,Q998-P998-P$2-1)</f>
        <v>False</v>
      </c>
      <c r="AK998" t="b">
        <f t="shared" si="133"/>
        <v>0</v>
      </c>
    </row>
    <row r="999" spans="1:37" x14ac:dyDescent="0.35">
      <c r="A999" t="s">
        <v>5546</v>
      </c>
      <c r="B999">
        <f t="shared" si="135"/>
        <v>10</v>
      </c>
      <c r="C999">
        <f t="shared" si="135"/>
        <v>43</v>
      </c>
      <c r="D999">
        <f t="shared" si="135"/>
        <v>54</v>
      </c>
      <c r="E999">
        <f t="shared" si="134"/>
        <v>80</v>
      </c>
      <c r="F999">
        <f t="shared" si="134"/>
        <v>124</v>
      </c>
      <c r="G999">
        <f t="shared" si="134"/>
        <v>145</v>
      </c>
      <c r="H999">
        <f t="shared" si="134"/>
        <v>177</v>
      </c>
      <c r="I999">
        <f t="shared" si="134"/>
        <v>199</v>
      </c>
      <c r="J999">
        <f t="shared" si="134"/>
        <v>232</v>
      </c>
      <c r="K999">
        <f t="shared" si="134"/>
        <v>252</v>
      </c>
      <c r="L999">
        <f t="shared" si="134"/>
        <v>284</v>
      </c>
      <c r="M999">
        <f t="shared" si="134"/>
        <v>299</v>
      </c>
      <c r="N999">
        <f t="shared" si="136"/>
        <v>311</v>
      </c>
      <c r="O999">
        <f t="shared" si="136"/>
        <v>336</v>
      </c>
      <c r="P999">
        <f t="shared" si="136"/>
        <v>354</v>
      </c>
      <c r="Q999">
        <f t="shared" si="136"/>
        <v>380</v>
      </c>
      <c r="S999" t="str">
        <f t="shared" si="130"/>
        <v>07.12.2025</v>
      </c>
      <c r="T999" t="str">
        <f t="shared" si="131"/>
        <v>04:15:00</v>
      </c>
      <c r="U999" t="str">
        <f t="shared" si="132"/>
        <v>07.12.2025 04:15:00</v>
      </c>
      <c r="V999" s="9" t="str">
        <f>MID($A999,C999+C$2+1,D999-C999-C$2-1)</f>
        <v>0</v>
      </c>
      <c r="W999" s="4">
        <f>VALUE(SUBSTITUTE(MID($A999,D999+D$2+1,E999-D999-D$2-1),",","."))</f>
        <v>0</v>
      </c>
      <c r="X999" s="4">
        <f>VALUE(SUBSTITUTE(MID($A999,E999+E$2+1,F999-E999-E$2-1),",","."))</f>
        <v>0.90957602214449496</v>
      </c>
      <c r="Y999" s="4">
        <f>VALUE(SUBSTITUTE(MID($A999,F999+F$2+1,G999-F999-F$2-1),",","."))</f>
        <v>0</v>
      </c>
      <c r="Z999" s="3">
        <f>VALUE(SUBSTITUTE(MID($A999,G999+G$2+1,H999-G999-G$2-1),",","."))</f>
        <v>0</v>
      </c>
      <c r="AA999" s="3">
        <f>VALUE(SUBSTITUTE(MID($A999,H999+H$2+1,I999-H999-H$2-1),",","."))</f>
        <v>0</v>
      </c>
      <c r="AB999" s="3">
        <f>VALUE(SUBSTITUTE(MID($A999,I999+I$2+1,J999-I999-I$2-1),",","."))</f>
        <v>0</v>
      </c>
      <c r="AC999" s="3">
        <f>VALUE(SUBSTITUTE(MID($A999,J999+J$2+1,K999-J999-J$2-1),",","."))</f>
        <v>1.35</v>
      </c>
      <c r="AD999" s="3">
        <f>VALUE(SUBSTITUTE(MID($A999,K999+K$2+1,L999-K999-K$2-1),",","."))</f>
        <v>42.48</v>
      </c>
      <c r="AE999" s="3">
        <f>VALUE(SUBSTITUTE(MID($A999,L999+L$2+1,M999-L999-L$2-1),",","."))</f>
        <v>0</v>
      </c>
      <c r="AF999" s="3">
        <f>VALUE(SUBSTITUTE(MID($A999,M999+M$2+1,N999-M999-M$2-1),",","."))</f>
        <v>0</v>
      </c>
      <c r="AG999" s="3">
        <f>VALUE(SUBSTITUTE(MID($A999,N999+N$2+1,O999-N999-N$2-1),",","."))</f>
        <v>4.2318665532077002</v>
      </c>
      <c r="AH999" t="str">
        <f>MID($A999,O999+O$2+1,P999-O999-O$2-1)</f>
        <v/>
      </c>
      <c r="AI999" s="8" t="str">
        <f>MID($A999,P999+P$2+1,Q999-P999-P$2-1)</f>
        <v>False</v>
      </c>
      <c r="AK999" t="b">
        <f t="shared" si="133"/>
        <v>0</v>
      </c>
    </row>
    <row r="1000" spans="1:37" x14ac:dyDescent="0.35">
      <c r="A1000" t="s">
        <v>5547</v>
      </c>
      <c r="B1000">
        <f t="shared" si="135"/>
        <v>10</v>
      </c>
      <c r="C1000">
        <f t="shared" si="135"/>
        <v>43</v>
      </c>
      <c r="D1000">
        <f t="shared" si="135"/>
        <v>54</v>
      </c>
      <c r="E1000">
        <f t="shared" si="134"/>
        <v>80</v>
      </c>
      <c r="F1000">
        <f t="shared" si="134"/>
        <v>124</v>
      </c>
      <c r="G1000">
        <f t="shared" si="134"/>
        <v>145</v>
      </c>
      <c r="H1000">
        <f t="shared" si="134"/>
        <v>177</v>
      </c>
      <c r="I1000">
        <f t="shared" si="134"/>
        <v>199</v>
      </c>
      <c r="J1000">
        <f t="shared" si="134"/>
        <v>232</v>
      </c>
      <c r="K1000">
        <f t="shared" si="134"/>
        <v>251</v>
      </c>
      <c r="L1000">
        <f t="shared" si="134"/>
        <v>283</v>
      </c>
      <c r="M1000">
        <f t="shared" si="134"/>
        <v>298</v>
      </c>
      <c r="N1000">
        <f t="shared" si="136"/>
        <v>310</v>
      </c>
      <c r="O1000">
        <f t="shared" si="136"/>
        <v>335</v>
      </c>
      <c r="P1000">
        <f t="shared" si="136"/>
        <v>353</v>
      </c>
      <c r="Q1000">
        <f t="shared" si="136"/>
        <v>379</v>
      </c>
      <c r="S1000" t="str">
        <f t="shared" si="130"/>
        <v>07.12.2025</v>
      </c>
      <c r="T1000" t="str">
        <f t="shared" si="131"/>
        <v>04:30:00</v>
      </c>
      <c r="U1000" t="str">
        <f t="shared" si="132"/>
        <v>07.12.2025 04:30:00</v>
      </c>
      <c r="V1000" s="9" t="str">
        <f>MID($A1000,C1000+C$2+1,D1000-C1000-C$2-1)</f>
        <v>0</v>
      </c>
      <c r="W1000" s="4">
        <f>VALUE(SUBSTITUTE(MID($A1000,D1000+D$2+1,E1000-D1000-D$2-1),",","."))</f>
        <v>0</v>
      </c>
      <c r="X1000" s="4">
        <f>VALUE(SUBSTITUTE(MID($A1000,E1000+E$2+1,F1000-E1000-E$2-1),",","."))</f>
        <v>0.90957602214449496</v>
      </c>
      <c r="Y1000" s="4">
        <f>VALUE(SUBSTITUTE(MID($A1000,F1000+F$2+1,G1000-F1000-F$2-1),",","."))</f>
        <v>0</v>
      </c>
      <c r="Z1000" s="3">
        <f>VALUE(SUBSTITUTE(MID($A1000,G1000+G$2+1,H1000-G1000-G$2-1),",","."))</f>
        <v>0</v>
      </c>
      <c r="AA1000" s="3">
        <f>VALUE(SUBSTITUTE(MID($A1000,H1000+H$2+1,I1000-H1000-H$2-1),",","."))</f>
        <v>0</v>
      </c>
      <c r="AB1000" s="3">
        <f>VALUE(SUBSTITUTE(MID($A1000,I1000+I$2+1,J1000-I1000-I$2-1),",","."))</f>
        <v>0</v>
      </c>
      <c r="AC1000" s="3">
        <f>VALUE(SUBSTITUTE(MID($A1000,J1000+J$2+1,K1000-J1000-J$2-1),",","."))</f>
        <v>1.3</v>
      </c>
      <c r="AD1000" s="3">
        <f>VALUE(SUBSTITUTE(MID($A1000,K1000+K$2+1,L1000-K1000-K$2-1),",","."))</f>
        <v>42.48</v>
      </c>
      <c r="AE1000" s="3">
        <f>VALUE(SUBSTITUTE(MID($A1000,L1000+L$2+1,M1000-L1000-L$2-1),",","."))</f>
        <v>0</v>
      </c>
      <c r="AF1000" s="3">
        <f>VALUE(SUBSTITUTE(MID($A1000,M1000+M$2+1,N1000-M1000-M$2-1),",","."))</f>
        <v>0</v>
      </c>
      <c r="AG1000" s="3">
        <f>VALUE(SUBSTITUTE(MID($A1000,N1000+N$2+1,O1000-N1000-N$2-1),",","."))</f>
        <v>4.2318950730957798</v>
      </c>
      <c r="AH1000" t="str">
        <f>MID($A1000,O1000+O$2+1,P1000-O1000-O$2-1)</f>
        <v/>
      </c>
      <c r="AI1000" s="8" t="str">
        <f>MID($A1000,P1000+P$2+1,Q1000-P1000-P$2-1)</f>
        <v>False</v>
      </c>
      <c r="AK1000" t="b">
        <f t="shared" si="133"/>
        <v>0</v>
      </c>
    </row>
    <row r="1001" spans="1:37" x14ac:dyDescent="0.35">
      <c r="A1001" t="s">
        <v>5548</v>
      </c>
      <c r="B1001">
        <f t="shared" si="135"/>
        <v>10</v>
      </c>
      <c r="C1001">
        <f t="shared" si="135"/>
        <v>43</v>
      </c>
      <c r="D1001">
        <f t="shared" si="135"/>
        <v>54</v>
      </c>
      <c r="E1001">
        <f t="shared" si="134"/>
        <v>80</v>
      </c>
      <c r="F1001">
        <f t="shared" si="134"/>
        <v>124</v>
      </c>
      <c r="G1001">
        <f t="shared" si="134"/>
        <v>145</v>
      </c>
      <c r="H1001">
        <f t="shared" si="134"/>
        <v>177</v>
      </c>
      <c r="I1001">
        <f t="shared" si="134"/>
        <v>199</v>
      </c>
      <c r="J1001">
        <f t="shared" si="134"/>
        <v>232</v>
      </c>
      <c r="K1001">
        <f t="shared" si="134"/>
        <v>251</v>
      </c>
      <c r="L1001">
        <f t="shared" si="134"/>
        <v>283</v>
      </c>
      <c r="M1001">
        <f t="shared" si="134"/>
        <v>298</v>
      </c>
      <c r="N1001">
        <f t="shared" si="136"/>
        <v>310</v>
      </c>
      <c r="O1001">
        <f t="shared" si="136"/>
        <v>334</v>
      </c>
      <c r="P1001">
        <f t="shared" si="136"/>
        <v>352</v>
      </c>
      <c r="Q1001">
        <f t="shared" si="136"/>
        <v>378</v>
      </c>
      <c r="S1001" t="str">
        <f t="shared" si="130"/>
        <v>07.12.2025</v>
      </c>
      <c r="T1001" t="str">
        <f t="shared" si="131"/>
        <v>04:45:00</v>
      </c>
      <c r="U1001" t="str">
        <f t="shared" si="132"/>
        <v>07.12.2025 04:45:00</v>
      </c>
      <c r="V1001" s="9" t="str">
        <f>MID($A1001,C1001+C$2+1,D1001-C1001-C$2-1)</f>
        <v>0</v>
      </c>
      <c r="W1001" s="4">
        <f>VALUE(SUBSTITUTE(MID($A1001,D1001+D$2+1,E1001-D1001-D$2-1),",","."))</f>
        <v>0</v>
      </c>
      <c r="X1001" s="4">
        <f>VALUE(SUBSTITUTE(MID($A1001,E1001+E$2+1,F1001-E1001-E$2-1),",","."))</f>
        <v>0.90957602214449496</v>
      </c>
      <c r="Y1001" s="4">
        <f>VALUE(SUBSTITUTE(MID($A1001,F1001+F$2+1,G1001-F1001-F$2-1),",","."))</f>
        <v>0</v>
      </c>
      <c r="Z1001" s="3">
        <f>VALUE(SUBSTITUTE(MID($A1001,G1001+G$2+1,H1001-G1001-G$2-1),",","."))</f>
        <v>0</v>
      </c>
      <c r="AA1001" s="3">
        <f>VALUE(SUBSTITUTE(MID($A1001,H1001+H$2+1,I1001-H1001-H$2-1),",","."))</f>
        <v>0</v>
      </c>
      <c r="AB1001" s="3">
        <f>VALUE(SUBSTITUTE(MID($A1001,I1001+I$2+1,J1001-I1001-I$2-1),",","."))</f>
        <v>0</v>
      </c>
      <c r="AC1001" s="3">
        <f>VALUE(SUBSTITUTE(MID($A1001,J1001+J$2+1,K1001-J1001-J$2-1),",","."))</f>
        <v>1.3</v>
      </c>
      <c r="AD1001" s="3">
        <f>VALUE(SUBSTITUTE(MID($A1001,K1001+K$2+1,L1001-K1001-K$2-1),",","."))</f>
        <v>42.48</v>
      </c>
      <c r="AE1001" s="3">
        <f>VALUE(SUBSTITUTE(MID($A1001,L1001+L$2+1,M1001-L1001-L$2-1),",","."))</f>
        <v>0</v>
      </c>
      <c r="AF1001" s="3">
        <f>VALUE(SUBSTITUTE(MID($A1001,M1001+M$2+1,N1001-M1001-M$2-1),",","."))</f>
        <v>0</v>
      </c>
      <c r="AG1001" s="3">
        <f>VALUE(SUBSTITUTE(MID($A1001,N1001+N$2+1,O1001-N1001-N$2-1),",","."))</f>
        <v>4.2319235929838701</v>
      </c>
      <c r="AH1001" t="str">
        <f>MID($A1001,O1001+O$2+1,P1001-O1001-O$2-1)</f>
        <v/>
      </c>
      <c r="AI1001" s="8" t="str">
        <f>MID($A1001,P1001+P$2+1,Q1001-P1001-P$2-1)</f>
        <v>False</v>
      </c>
      <c r="AK1001" t="b">
        <f t="shared" si="133"/>
        <v>0</v>
      </c>
    </row>
    <row r="1002" spans="1:37" x14ac:dyDescent="0.35">
      <c r="A1002" t="s">
        <v>5549</v>
      </c>
      <c r="B1002">
        <f t="shared" si="135"/>
        <v>10</v>
      </c>
      <c r="C1002">
        <f t="shared" si="135"/>
        <v>43</v>
      </c>
      <c r="D1002">
        <f t="shared" si="135"/>
        <v>54</v>
      </c>
      <c r="E1002">
        <f t="shared" si="135"/>
        <v>80</v>
      </c>
      <c r="F1002">
        <f t="shared" si="135"/>
        <v>124</v>
      </c>
      <c r="G1002">
        <f t="shared" si="135"/>
        <v>145</v>
      </c>
      <c r="H1002">
        <f t="shared" si="135"/>
        <v>177</v>
      </c>
      <c r="I1002">
        <f t="shared" si="135"/>
        <v>199</v>
      </c>
      <c r="J1002">
        <f t="shared" si="135"/>
        <v>232</v>
      </c>
      <c r="K1002">
        <f t="shared" si="135"/>
        <v>251</v>
      </c>
      <c r="L1002">
        <f t="shared" si="135"/>
        <v>283</v>
      </c>
      <c r="M1002">
        <f t="shared" si="135"/>
        <v>298</v>
      </c>
      <c r="N1002">
        <f t="shared" si="136"/>
        <v>310</v>
      </c>
      <c r="O1002">
        <f t="shared" si="136"/>
        <v>336</v>
      </c>
      <c r="P1002">
        <f t="shared" si="136"/>
        <v>354</v>
      </c>
      <c r="Q1002">
        <f t="shared" si="136"/>
        <v>380</v>
      </c>
      <c r="S1002" t="str">
        <f t="shared" si="130"/>
        <v>07.12.2025</v>
      </c>
      <c r="T1002" t="str">
        <f t="shared" si="131"/>
        <v>05:00:00</v>
      </c>
      <c r="U1002" t="str">
        <f t="shared" si="132"/>
        <v>07.12.2025 05:00:00</v>
      </c>
      <c r="V1002" s="9" t="str">
        <f>MID($A1002,C1002+C$2+1,D1002-C1002-C$2-1)</f>
        <v>0</v>
      </c>
      <c r="W1002" s="4">
        <f>VALUE(SUBSTITUTE(MID($A1002,D1002+D$2+1,E1002-D1002-D$2-1),",","."))</f>
        <v>0</v>
      </c>
      <c r="X1002" s="4">
        <f>VALUE(SUBSTITUTE(MID($A1002,E1002+E$2+1,F1002-E1002-E$2-1),",","."))</f>
        <v>0.90957602214449496</v>
      </c>
      <c r="Y1002" s="4">
        <f>VALUE(SUBSTITUTE(MID($A1002,F1002+F$2+1,G1002-F1002-F$2-1),",","."))</f>
        <v>0</v>
      </c>
      <c r="Z1002" s="3">
        <f>VALUE(SUBSTITUTE(MID($A1002,G1002+G$2+1,H1002-G1002-G$2-1),",","."))</f>
        <v>0</v>
      </c>
      <c r="AA1002" s="3">
        <f>VALUE(SUBSTITUTE(MID($A1002,H1002+H$2+1,I1002-H1002-H$2-1),",","."))</f>
        <v>0</v>
      </c>
      <c r="AB1002" s="3">
        <f>VALUE(SUBSTITUTE(MID($A1002,I1002+I$2+1,J1002-I1002-I$2-1),",","."))</f>
        <v>0</v>
      </c>
      <c r="AC1002" s="3">
        <f>VALUE(SUBSTITUTE(MID($A1002,J1002+J$2+1,K1002-J1002-J$2-1),",","."))</f>
        <v>1.3</v>
      </c>
      <c r="AD1002" s="3">
        <f>VALUE(SUBSTITUTE(MID($A1002,K1002+K$2+1,L1002-K1002-K$2-1),",","."))</f>
        <v>42.48</v>
      </c>
      <c r="AE1002" s="3">
        <f>VALUE(SUBSTITUTE(MID($A1002,L1002+L$2+1,M1002-L1002-L$2-1),",","."))</f>
        <v>0</v>
      </c>
      <c r="AF1002" s="3">
        <f>VALUE(SUBSTITUTE(MID($A1002,M1002+M$2+1,N1002-M1002-M$2-1),",","."))</f>
        <v>0</v>
      </c>
      <c r="AG1002" s="3">
        <f>VALUE(SUBSTITUTE(MID($A1002,N1002+N$2+1,O1002-N1002-N$2-1),",","."))</f>
        <v>4.2319521128719497</v>
      </c>
      <c r="AH1002" t="str">
        <f>MID($A1002,O1002+O$2+1,P1002-O1002-O$2-1)</f>
        <v/>
      </c>
      <c r="AI1002" s="8" t="str">
        <f>MID($A1002,P1002+P$2+1,Q1002-P1002-P$2-1)</f>
        <v>False</v>
      </c>
      <c r="AK1002" t="b">
        <f t="shared" si="133"/>
        <v>0</v>
      </c>
    </row>
    <row r="1003" spans="1:37" x14ac:dyDescent="0.35">
      <c r="A1003" t="s">
        <v>5550</v>
      </c>
      <c r="B1003">
        <f t="shared" si="135"/>
        <v>10</v>
      </c>
      <c r="C1003">
        <f t="shared" si="135"/>
        <v>43</v>
      </c>
      <c r="D1003">
        <f t="shared" si="135"/>
        <v>54</v>
      </c>
      <c r="E1003">
        <f t="shared" si="135"/>
        <v>80</v>
      </c>
      <c r="F1003">
        <f t="shared" si="135"/>
        <v>124</v>
      </c>
      <c r="G1003">
        <f t="shared" si="135"/>
        <v>145</v>
      </c>
      <c r="H1003">
        <f t="shared" si="135"/>
        <v>177</v>
      </c>
      <c r="I1003">
        <f t="shared" si="135"/>
        <v>199</v>
      </c>
      <c r="J1003">
        <f t="shared" si="135"/>
        <v>232</v>
      </c>
      <c r="K1003">
        <f t="shared" si="135"/>
        <v>251</v>
      </c>
      <c r="L1003">
        <f t="shared" si="135"/>
        <v>283</v>
      </c>
      <c r="M1003">
        <f t="shared" si="135"/>
        <v>298</v>
      </c>
      <c r="N1003">
        <f t="shared" si="136"/>
        <v>310</v>
      </c>
      <c r="O1003">
        <f t="shared" si="136"/>
        <v>335</v>
      </c>
      <c r="P1003">
        <f t="shared" si="136"/>
        <v>353</v>
      </c>
      <c r="Q1003">
        <f t="shared" si="136"/>
        <v>379</v>
      </c>
      <c r="S1003" t="str">
        <f t="shared" si="130"/>
        <v>07.12.2025</v>
      </c>
      <c r="T1003" t="str">
        <f t="shared" si="131"/>
        <v>05:15:00</v>
      </c>
      <c r="U1003" t="str">
        <f t="shared" si="132"/>
        <v>07.12.2025 05:15:00</v>
      </c>
      <c r="V1003" s="9" t="str">
        <f>MID($A1003,C1003+C$2+1,D1003-C1003-C$2-1)</f>
        <v>0</v>
      </c>
      <c r="W1003" s="4">
        <f>VALUE(SUBSTITUTE(MID($A1003,D1003+D$2+1,E1003-D1003-D$2-1),",","."))</f>
        <v>0</v>
      </c>
      <c r="X1003" s="4">
        <f>VALUE(SUBSTITUTE(MID($A1003,E1003+E$2+1,F1003-E1003-E$2-1),",","."))</f>
        <v>0.90957602214449496</v>
      </c>
      <c r="Y1003" s="4">
        <f>VALUE(SUBSTITUTE(MID($A1003,F1003+F$2+1,G1003-F1003-F$2-1),",","."))</f>
        <v>0</v>
      </c>
      <c r="Z1003" s="3">
        <f>VALUE(SUBSTITUTE(MID($A1003,G1003+G$2+1,H1003-G1003-G$2-1),",","."))</f>
        <v>0</v>
      </c>
      <c r="AA1003" s="3">
        <f>VALUE(SUBSTITUTE(MID($A1003,H1003+H$2+1,I1003-H1003-H$2-1),",","."))</f>
        <v>0</v>
      </c>
      <c r="AB1003" s="3">
        <f>VALUE(SUBSTITUTE(MID($A1003,I1003+I$2+1,J1003-I1003-I$2-1),",","."))</f>
        <v>0</v>
      </c>
      <c r="AC1003" s="3">
        <f>VALUE(SUBSTITUTE(MID($A1003,J1003+J$2+1,K1003-J1003-J$2-1),",","."))</f>
        <v>1.3</v>
      </c>
      <c r="AD1003" s="3">
        <f>VALUE(SUBSTITUTE(MID($A1003,K1003+K$2+1,L1003-K1003-K$2-1),",","."))</f>
        <v>42.48</v>
      </c>
      <c r="AE1003" s="3">
        <f>VALUE(SUBSTITUTE(MID($A1003,L1003+L$2+1,M1003-L1003-L$2-1),",","."))</f>
        <v>0</v>
      </c>
      <c r="AF1003" s="3">
        <f>VALUE(SUBSTITUTE(MID($A1003,M1003+M$2+1,N1003-M1003-M$2-1),",","."))</f>
        <v>0</v>
      </c>
      <c r="AG1003" s="3">
        <f>VALUE(SUBSTITUTE(MID($A1003,N1003+N$2+1,O1003-N1003-N$2-1),",","."))</f>
        <v>4.2319806327600302</v>
      </c>
      <c r="AH1003" t="str">
        <f>MID($A1003,O1003+O$2+1,P1003-O1003-O$2-1)</f>
        <v/>
      </c>
      <c r="AI1003" s="8" t="str">
        <f>MID($A1003,P1003+P$2+1,Q1003-P1003-P$2-1)</f>
        <v>False</v>
      </c>
      <c r="AK1003" t="b">
        <f t="shared" si="133"/>
        <v>0</v>
      </c>
    </row>
    <row r="1004" spans="1:37" x14ac:dyDescent="0.35">
      <c r="A1004" t="s">
        <v>5551</v>
      </c>
      <c r="B1004">
        <f t="shared" si="135"/>
        <v>10</v>
      </c>
      <c r="C1004">
        <f t="shared" si="135"/>
        <v>43</v>
      </c>
      <c r="D1004">
        <f t="shared" si="135"/>
        <v>54</v>
      </c>
      <c r="E1004">
        <f t="shared" si="135"/>
        <v>80</v>
      </c>
      <c r="F1004">
        <f t="shared" si="135"/>
        <v>124</v>
      </c>
      <c r="G1004">
        <f t="shared" si="135"/>
        <v>145</v>
      </c>
      <c r="H1004">
        <f t="shared" si="135"/>
        <v>177</v>
      </c>
      <c r="I1004">
        <f t="shared" si="135"/>
        <v>199</v>
      </c>
      <c r="J1004">
        <f t="shared" si="135"/>
        <v>232</v>
      </c>
      <c r="K1004">
        <f t="shared" si="135"/>
        <v>251</v>
      </c>
      <c r="L1004">
        <f t="shared" si="135"/>
        <v>283</v>
      </c>
      <c r="M1004">
        <f t="shared" si="135"/>
        <v>298</v>
      </c>
      <c r="N1004">
        <f t="shared" si="136"/>
        <v>310</v>
      </c>
      <c r="O1004">
        <f t="shared" si="136"/>
        <v>335</v>
      </c>
      <c r="P1004">
        <f t="shared" si="136"/>
        <v>353</v>
      </c>
      <c r="Q1004">
        <f t="shared" si="136"/>
        <v>379</v>
      </c>
      <c r="S1004" t="str">
        <f t="shared" si="130"/>
        <v>07.12.2025</v>
      </c>
      <c r="T1004" t="str">
        <f t="shared" si="131"/>
        <v>05:30:00</v>
      </c>
      <c r="U1004" t="str">
        <f t="shared" si="132"/>
        <v>07.12.2025 05:30:00</v>
      </c>
      <c r="V1004" s="9" t="str">
        <f>MID($A1004,C1004+C$2+1,D1004-C1004-C$2-1)</f>
        <v>0</v>
      </c>
      <c r="W1004" s="4">
        <f>VALUE(SUBSTITUTE(MID($A1004,D1004+D$2+1,E1004-D1004-D$2-1),",","."))</f>
        <v>0</v>
      </c>
      <c r="X1004" s="4">
        <f>VALUE(SUBSTITUTE(MID($A1004,E1004+E$2+1,F1004-E1004-E$2-1),",","."))</f>
        <v>0.90957602214449496</v>
      </c>
      <c r="Y1004" s="4">
        <f>VALUE(SUBSTITUTE(MID($A1004,F1004+F$2+1,G1004-F1004-F$2-1),",","."))</f>
        <v>0</v>
      </c>
      <c r="Z1004" s="3">
        <f>VALUE(SUBSTITUTE(MID($A1004,G1004+G$2+1,H1004-G1004-G$2-1),",","."))</f>
        <v>0</v>
      </c>
      <c r="AA1004" s="3">
        <f>VALUE(SUBSTITUTE(MID($A1004,H1004+H$2+1,I1004-H1004-H$2-1),",","."))</f>
        <v>0</v>
      </c>
      <c r="AB1004" s="3">
        <f>VALUE(SUBSTITUTE(MID($A1004,I1004+I$2+1,J1004-I1004-I$2-1),",","."))</f>
        <v>0</v>
      </c>
      <c r="AC1004" s="3">
        <f>VALUE(SUBSTITUTE(MID($A1004,J1004+J$2+1,K1004-J1004-J$2-1),",","."))</f>
        <v>1.3</v>
      </c>
      <c r="AD1004" s="3">
        <f>VALUE(SUBSTITUTE(MID($A1004,K1004+K$2+1,L1004-K1004-K$2-1),",","."))</f>
        <v>42.48</v>
      </c>
      <c r="AE1004" s="3">
        <f>VALUE(SUBSTITUTE(MID($A1004,L1004+L$2+1,M1004-L1004-L$2-1),",","."))</f>
        <v>0</v>
      </c>
      <c r="AF1004" s="3">
        <f>VALUE(SUBSTITUTE(MID($A1004,M1004+M$2+1,N1004-M1004-M$2-1),",","."))</f>
        <v>0</v>
      </c>
      <c r="AG1004" s="3">
        <f>VALUE(SUBSTITUTE(MID($A1004,N1004+N$2+1,O1004-N1004-N$2-1),",","."))</f>
        <v>4.2320091526481098</v>
      </c>
      <c r="AH1004" t="str">
        <f>MID($A1004,O1004+O$2+1,P1004-O1004-O$2-1)</f>
        <v/>
      </c>
      <c r="AI1004" s="8" t="str">
        <f>MID($A1004,P1004+P$2+1,Q1004-P1004-P$2-1)</f>
        <v>False</v>
      </c>
      <c r="AK1004" t="b">
        <f t="shared" si="133"/>
        <v>0</v>
      </c>
    </row>
    <row r="1005" spans="1:37" x14ac:dyDescent="0.35">
      <c r="A1005" t="s">
        <v>5552</v>
      </c>
      <c r="B1005">
        <f t="shared" si="135"/>
        <v>10</v>
      </c>
      <c r="C1005">
        <f t="shared" si="135"/>
        <v>43</v>
      </c>
      <c r="D1005">
        <f t="shared" si="135"/>
        <v>54</v>
      </c>
      <c r="E1005">
        <f t="shared" si="135"/>
        <v>80</v>
      </c>
      <c r="F1005">
        <f t="shared" si="135"/>
        <v>124</v>
      </c>
      <c r="G1005">
        <f t="shared" si="135"/>
        <v>145</v>
      </c>
      <c r="H1005">
        <f t="shared" si="135"/>
        <v>177</v>
      </c>
      <c r="I1005">
        <f t="shared" si="135"/>
        <v>199</v>
      </c>
      <c r="J1005">
        <f t="shared" si="135"/>
        <v>232</v>
      </c>
      <c r="K1005">
        <f t="shared" si="135"/>
        <v>251</v>
      </c>
      <c r="L1005">
        <f t="shared" si="135"/>
        <v>283</v>
      </c>
      <c r="M1005">
        <f t="shared" si="135"/>
        <v>298</v>
      </c>
      <c r="N1005">
        <f t="shared" si="136"/>
        <v>310</v>
      </c>
      <c r="O1005">
        <f t="shared" si="136"/>
        <v>335</v>
      </c>
      <c r="P1005">
        <f t="shared" si="136"/>
        <v>353</v>
      </c>
      <c r="Q1005">
        <f t="shared" si="136"/>
        <v>379</v>
      </c>
      <c r="S1005" t="str">
        <f t="shared" si="130"/>
        <v>07.12.2025</v>
      </c>
      <c r="T1005" t="str">
        <f t="shared" si="131"/>
        <v>05:45:00</v>
      </c>
      <c r="U1005" t="str">
        <f t="shared" si="132"/>
        <v>07.12.2025 05:45:00</v>
      </c>
      <c r="V1005" s="9" t="str">
        <f>MID($A1005,C1005+C$2+1,D1005-C1005-C$2-1)</f>
        <v>0</v>
      </c>
      <c r="W1005" s="4">
        <f>VALUE(SUBSTITUTE(MID($A1005,D1005+D$2+1,E1005-D1005-D$2-1),",","."))</f>
        <v>0</v>
      </c>
      <c r="X1005" s="4">
        <f>VALUE(SUBSTITUTE(MID($A1005,E1005+E$2+1,F1005-E1005-E$2-1),",","."))</f>
        <v>0.90957602214449496</v>
      </c>
      <c r="Y1005" s="4">
        <f>VALUE(SUBSTITUTE(MID($A1005,F1005+F$2+1,G1005-F1005-F$2-1),",","."))</f>
        <v>0</v>
      </c>
      <c r="Z1005" s="3">
        <f>VALUE(SUBSTITUTE(MID($A1005,G1005+G$2+1,H1005-G1005-G$2-1),",","."))</f>
        <v>0</v>
      </c>
      <c r="AA1005" s="3">
        <f>VALUE(SUBSTITUTE(MID($A1005,H1005+H$2+1,I1005-H1005-H$2-1),",","."))</f>
        <v>0</v>
      </c>
      <c r="AB1005" s="3">
        <f>VALUE(SUBSTITUTE(MID($A1005,I1005+I$2+1,J1005-I1005-I$2-1),",","."))</f>
        <v>0</v>
      </c>
      <c r="AC1005" s="3">
        <f>VALUE(SUBSTITUTE(MID($A1005,J1005+J$2+1,K1005-J1005-J$2-1),",","."))</f>
        <v>1.3</v>
      </c>
      <c r="AD1005" s="3">
        <f>VALUE(SUBSTITUTE(MID($A1005,K1005+K$2+1,L1005-K1005-K$2-1),",","."))</f>
        <v>42.48</v>
      </c>
      <c r="AE1005" s="3">
        <f>VALUE(SUBSTITUTE(MID($A1005,L1005+L$2+1,M1005-L1005-L$2-1),",","."))</f>
        <v>0</v>
      </c>
      <c r="AF1005" s="3">
        <f>VALUE(SUBSTITUTE(MID($A1005,M1005+M$2+1,N1005-M1005-M$2-1),",","."))</f>
        <v>0</v>
      </c>
      <c r="AG1005" s="3">
        <f>VALUE(SUBSTITUTE(MID($A1005,N1005+N$2+1,O1005-N1005-N$2-1),",","."))</f>
        <v>4.2320376725361903</v>
      </c>
      <c r="AH1005" t="str">
        <f>MID($A1005,O1005+O$2+1,P1005-O1005-O$2-1)</f>
        <v/>
      </c>
      <c r="AI1005" s="8" t="str">
        <f>MID($A1005,P1005+P$2+1,Q1005-P1005-P$2-1)</f>
        <v>False</v>
      </c>
      <c r="AK1005" t="b">
        <f t="shared" si="133"/>
        <v>0</v>
      </c>
    </row>
    <row r="1006" spans="1:37" x14ac:dyDescent="0.35">
      <c r="A1006" t="s">
        <v>5553</v>
      </c>
      <c r="B1006">
        <f t="shared" si="135"/>
        <v>10</v>
      </c>
      <c r="C1006">
        <f t="shared" si="135"/>
        <v>43</v>
      </c>
      <c r="D1006">
        <f t="shared" si="135"/>
        <v>54</v>
      </c>
      <c r="E1006">
        <f t="shared" si="135"/>
        <v>80</v>
      </c>
      <c r="F1006">
        <f t="shared" si="135"/>
        <v>124</v>
      </c>
      <c r="G1006">
        <f t="shared" si="135"/>
        <v>145</v>
      </c>
      <c r="H1006">
        <f t="shared" si="135"/>
        <v>177</v>
      </c>
      <c r="I1006">
        <f t="shared" si="135"/>
        <v>199</v>
      </c>
      <c r="J1006">
        <f t="shared" si="135"/>
        <v>232</v>
      </c>
      <c r="K1006">
        <f t="shared" si="135"/>
        <v>251</v>
      </c>
      <c r="L1006">
        <f t="shared" si="135"/>
        <v>283</v>
      </c>
      <c r="M1006">
        <f t="shared" si="135"/>
        <v>298</v>
      </c>
      <c r="N1006">
        <f t="shared" si="136"/>
        <v>310</v>
      </c>
      <c r="O1006">
        <f t="shared" si="136"/>
        <v>335</v>
      </c>
      <c r="P1006">
        <f t="shared" si="136"/>
        <v>353</v>
      </c>
      <c r="Q1006">
        <f t="shared" si="136"/>
        <v>379</v>
      </c>
      <c r="S1006" t="str">
        <f t="shared" si="130"/>
        <v>07.12.2025</v>
      </c>
      <c r="T1006" t="str">
        <f t="shared" si="131"/>
        <v>06:00:00</v>
      </c>
      <c r="U1006" t="str">
        <f t="shared" si="132"/>
        <v>07.12.2025 06:00:00</v>
      </c>
      <c r="V1006" s="9" t="str">
        <f>MID($A1006,C1006+C$2+1,D1006-C1006-C$2-1)</f>
        <v>0</v>
      </c>
      <c r="W1006" s="4">
        <f>VALUE(SUBSTITUTE(MID($A1006,D1006+D$2+1,E1006-D1006-D$2-1),",","."))</f>
        <v>0</v>
      </c>
      <c r="X1006" s="4">
        <f>VALUE(SUBSTITUTE(MID($A1006,E1006+E$2+1,F1006-E1006-E$2-1),",","."))</f>
        <v>0.90957602214449496</v>
      </c>
      <c r="Y1006" s="4">
        <f>VALUE(SUBSTITUTE(MID($A1006,F1006+F$2+1,G1006-F1006-F$2-1),",","."))</f>
        <v>0</v>
      </c>
      <c r="Z1006" s="3">
        <f>VALUE(SUBSTITUTE(MID($A1006,G1006+G$2+1,H1006-G1006-G$2-1),",","."))</f>
        <v>0</v>
      </c>
      <c r="AA1006" s="3">
        <f>VALUE(SUBSTITUTE(MID($A1006,H1006+H$2+1,I1006-H1006-H$2-1),",","."))</f>
        <v>0</v>
      </c>
      <c r="AB1006" s="3">
        <f>VALUE(SUBSTITUTE(MID($A1006,I1006+I$2+1,J1006-I1006-I$2-1),",","."))</f>
        <v>0</v>
      </c>
      <c r="AC1006" s="3">
        <f>VALUE(SUBSTITUTE(MID($A1006,J1006+J$2+1,K1006-J1006-J$2-1),",","."))</f>
        <v>1.3</v>
      </c>
      <c r="AD1006" s="3">
        <f>VALUE(SUBSTITUTE(MID($A1006,K1006+K$2+1,L1006-K1006-K$2-1),",","."))</f>
        <v>42.48</v>
      </c>
      <c r="AE1006" s="3">
        <f>VALUE(SUBSTITUTE(MID($A1006,L1006+L$2+1,M1006-L1006-L$2-1),",","."))</f>
        <v>0</v>
      </c>
      <c r="AF1006" s="3">
        <f>VALUE(SUBSTITUTE(MID($A1006,M1006+M$2+1,N1006-M1006-M$2-1),",","."))</f>
        <v>0</v>
      </c>
      <c r="AG1006" s="3">
        <f>VALUE(SUBSTITUTE(MID($A1006,N1006+N$2+1,O1006-N1006-N$2-1),",","."))</f>
        <v>4.23206619242427</v>
      </c>
      <c r="AH1006" t="str">
        <f>MID($A1006,O1006+O$2+1,P1006-O1006-O$2-1)</f>
        <v/>
      </c>
      <c r="AI1006" s="8" t="str">
        <f>MID($A1006,P1006+P$2+1,Q1006-P1006-P$2-1)</f>
        <v>False</v>
      </c>
      <c r="AK1006" t="b">
        <f t="shared" si="133"/>
        <v>0</v>
      </c>
    </row>
    <row r="1007" spans="1:37" x14ac:dyDescent="0.35">
      <c r="A1007" t="s">
        <v>5554</v>
      </c>
      <c r="B1007">
        <f t="shared" si="135"/>
        <v>10</v>
      </c>
      <c r="C1007">
        <f t="shared" si="135"/>
        <v>43</v>
      </c>
      <c r="D1007">
        <f t="shared" si="135"/>
        <v>54</v>
      </c>
      <c r="E1007">
        <f t="shared" si="135"/>
        <v>80</v>
      </c>
      <c r="F1007">
        <f t="shared" si="135"/>
        <v>124</v>
      </c>
      <c r="G1007">
        <f t="shared" si="135"/>
        <v>145</v>
      </c>
      <c r="H1007">
        <f t="shared" si="135"/>
        <v>177</v>
      </c>
      <c r="I1007">
        <f t="shared" si="135"/>
        <v>199</v>
      </c>
      <c r="J1007">
        <f t="shared" si="135"/>
        <v>232</v>
      </c>
      <c r="K1007">
        <f t="shared" si="135"/>
        <v>251</v>
      </c>
      <c r="L1007">
        <f t="shared" si="135"/>
        <v>283</v>
      </c>
      <c r="M1007">
        <f t="shared" si="135"/>
        <v>298</v>
      </c>
      <c r="N1007">
        <f t="shared" si="136"/>
        <v>310</v>
      </c>
      <c r="O1007">
        <f t="shared" si="136"/>
        <v>335</v>
      </c>
      <c r="P1007">
        <f t="shared" si="136"/>
        <v>353</v>
      </c>
      <c r="Q1007">
        <f t="shared" si="136"/>
        <v>379</v>
      </c>
      <c r="S1007" t="str">
        <f t="shared" si="130"/>
        <v>07.12.2025</v>
      </c>
      <c r="T1007" t="str">
        <f t="shared" si="131"/>
        <v>06:15:00</v>
      </c>
      <c r="U1007" t="str">
        <f t="shared" si="132"/>
        <v>07.12.2025 06:15:00</v>
      </c>
      <c r="V1007" s="9" t="str">
        <f>MID($A1007,C1007+C$2+1,D1007-C1007-C$2-1)</f>
        <v>0</v>
      </c>
      <c r="W1007" s="4">
        <f>VALUE(SUBSTITUTE(MID($A1007,D1007+D$2+1,E1007-D1007-D$2-1),",","."))</f>
        <v>0</v>
      </c>
      <c r="X1007" s="4">
        <f>VALUE(SUBSTITUTE(MID($A1007,E1007+E$2+1,F1007-E1007-E$2-1),",","."))</f>
        <v>0.90957602214449496</v>
      </c>
      <c r="Y1007" s="4">
        <f>VALUE(SUBSTITUTE(MID($A1007,F1007+F$2+1,G1007-F1007-F$2-1),",","."))</f>
        <v>0</v>
      </c>
      <c r="Z1007" s="3">
        <f>VALUE(SUBSTITUTE(MID($A1007,G1007+G$2+1,H1007-G1007-G$2-1),",","."))</f>
        <v>0</v>
      </c>
      <c r="AA1007" s="3">
        <f>VALUE(SUBSTITUTE(MID($A1007,H1007+H$2+1,I1007-H1007-H$2-1),",","."))</f>
        <v>0</v>
      </c>
      <c r="AB1007" s="3">
        <f>VALUE(SUBSTITUTE(MID($A1007,I1007+I$2+1,J1007-I1007-I$2-1),",","."))</f>
        <v>0</v>
      </c>
      <c r="AC1007" s="3">
        <f>VALUE(SUBSTITUTE(MID($A1007,J1007+J$2+1,K1007-J1007-J$2-1),",","."))</f>
        <v>1.3</v>
      </c>
      <c r="AD1007" s="3">
        <f>VALUE(SUBSTITUTE(MID($A1007,K1007+K$2+1,L1007-K1007-K$2-1),",","."))</f>
        <v>42.48</v>
      </c>
      <c r="AE1007" s="3">
        <f>VALUE(SUBSTITUTE(MID($A1007,L1007+L$2+1,M1007-L1007-L$2-1),",","."))</f>
        <v>0</v>
      </c>
      <c r="AF1007" s="3">
        <f>VALUE(SUBSTITUTE(MID($A1007,M1007+M$2+1,N1007-M1007-M$2-1),",","."))</f>
        <v>0</v>
      </c>
      <c r="AG1007" s="3">
        <f>VALUE(SUBSTITUTE(MID($A1007,N1007+N$2+1,O1007-N1007-N$2-1),",","."))</f>
        <v>4.2320947123123496</v>
      </c>
      <c r="AH1007" t="str">
        <f>MID($A1007,O1007+O$2+1,P1007-O1007-O$2-1)</f>
        <v/>
      </c>
      <c r="AI1007" s="8" t="str">
        <f>MID($A1007,P1007+P$2+1,Q1007-P1007-P$2-1)</f>
        <v>False</v>
      </c>
      <c r="AK1007" t="b">
        <f t="shared" si="133"/>
        <v>0</v>
      </c>
    </row>
    <row r="1008" spans="1:37" x14ac:dyDescent="0.35">
      <c r="A1008" t="s">
        <v>5555</v>
      </c>
      <c r="B1008">
        <f t="shared" si="135"/>
        <v>10</v>
      </c>
      <c r="C1008">
        <f t="shared" si="135"/>
        <v>43</v>
      </c>
      <c r="D1008">
        <f t="shared" si="135"/>
        <v>54</v>
      </c>
      <c r="E1008">
        <f t="shared" si="135"/>
        <v>80</v>
      </c>
      <c r="F1008">
        <f t="shared" si="135"/>
        <v>124</v>
      </c>
      <c r="G1008">
        <f t="shared" si="135"/>
        <v>145</v>
      </c>
      <c r="H1008">
        <f t="shared" si="135"/>
        <v>177</v>
      </c>
      <c r="I1008">
        <f t="shared" si="135"/>
        <v>199</v>
      </c>
      <c r="J1008">
        <f t="shared" si="135"/>
        <v>232</v>
      </c>
      <c r="K1008">
        <f t="shared" si="135"/>
        <v>251</v>
      </c>
      <c r="L1008">
        <f t="shared" si="135"/>
        <v>269</v>
      </c>
      <c r="M1008">
        <f t="shared" si="135"/>
        <v>284</v>
      </c>
      <c r="N1008">
        <f t="shared" si="136"/>
        <v>296</v>
      </c>
      <c r="O1008">
        <f t="shared" si="136"/>
        <v>321</v>
      </c>
      <c r="P1008">
        <f t="shared" si="136"/>
        <v>339</v>
      </c>
      <c r="Q1008">
        <f t="shared" si="136"/>
        <v>365</v>
      </c>
      <c r="S1008" t="str">
        <f t="shared" si="130"/>
        <v>07.12.2025</v>
      </c>
      <c r="T1008" t="str">
        <f t="shared" si="131"/>
        <v>06:30:00</v>
      </c>
      <c r="U1008" t="str">
        <f t="shared" si="132"/>
        <v>07.12.2025 06:30:00</v>
      </c>
      <c r="V1008" s="9" t="str">
        <f>MID($A1008,C1008+C$2+1,D1008-C1008-C$2-1)</f>
        <v>0</v>
      </c>
      <c r="W1008" s="4">
        <f>VALUE(SUBSTITUTE(MID($A1008,D1008+D$2+1,E1008-D1008-D$2-1),",","."))</f>
        <v>0</v>
      </c>
      <c r="X1008" s="4">
        <f>VALUE(SUBSTITUTE(MID($A1008,E1008+E$2+1,F1008-E1008-E$2-1),",","."))</f>
        <v>0.90957602214449496</v>
      </c>
      <c r="Y1008" s="4">
        <f>VALUE(SUBSTITUTE(MID($A1008,F1008+F$2+1,G1008-F1008-F$2-1),",","."))</f>
        <v>0</v>
      </c>
      <c r="Z1008" s="3">
        <f>VALUE(SUBSTITUTE(MID($A1008,G1008+G$2+1,H1008-G1008-G$2-1),",","."))</f>
        <v>0</v>
      </c>
      <c r="AA1008" s="3">
        <f>VALUE(SUBSTITUTE(MID($A1008,H1008+H$2+1,I1008-H1008-H$2-1),",","."))</f>
        <v>0</v>
      </c>
      <c r="AB1008" s="3">
        <f>VALUE(SUBSTITUTE(MID($A1008,I1008+I$2+1,J1008-I1008-I$2-1),",","."))</f>
        <v>0</v>
      </c>
      <c r="AC1008" s="3">
        <f>VALUE(SUBSTITUTE(MID($A1008,J1008+J$2+1,K1008-J1008-J$2-1),",","."))</f>
        <v>1.4</v>
      </c>
      <c r="AD1008" s="3">
        <f>VALUE(SUBSTITUTE(MID($A1008,K1008+K$2+1,L1008-K1008-K$2-1),",","."))</f>
        <v>43.2</v>
      </c>
      <c r="AE1008" s="3">
        <f>VALUE(SUBSTITUTE(MID($A1008,L1008+L$2+1,M1008-L1008-L$2-1),",","."))</f>
        <v>0</v>
      </c>
      <c r="AF1008" s="3">
        <f>VALUE(SUBSTITUTE(MID($A1008,M1008+M$2+1,N1008-M1008-M$2-1),",","."))</f>
        <v>0</v>
      </c>
      <c r="AG1008" s="3">
        <f>VALUE(SUBSTITUTE(MID($A1008,N1008+N$2+1,O1008-N1008-N$2-1),",","."))</f>
        <v>4.2321232322004398</v>
      </c>
      <c r="AH1008" t="str">
        <f>MID($A1008,O1008+O$2+1,P1008-O1008-O$2-1)</f>
        <v/>
      </c>
      <c r="AI1008" s="8" t="str">
        <f>MID($A1008,P1008+P$2+1,Q1008-P1008-P$2-1)</f>
        <v>False</v>
      </c>
      <c r="AK1008" t="b">
        <f t="shared" si="133"/>
        <v>0</v>
      </c>
    </row>
    <row r="1009" spans="1:37" x14ac:dyDescent="0.35">
      <c r="A1009" t="s">
        <v>5556</v>
      </c>
      <c r="B1009">
        <f t="shared" si="135"/>
        <v>10</v>
      </c>
      <c r="C1009">
        <f t="shared" si="135"/>
        <v>43</v>
      </c>
      <c r="D1009">
        <f t="shared" si="135"/>
        <v>54</v>
      </c>
      <c r="E1009">
        <f t="shared" si="135"/>
        <v>80</v>
      </c>
      <c r="F1009">
        <f t="shared" si="135"/>
        <v>124</v>
      </c>
      <c r="G1009">
        <f t="shared" si="135"/>
        <v>145</v>
      </c>
      <c r="H1009">
        <f t="shared" si="135"/>
        <v>177</v>
      </c>
      <c r="I1009">
        <f t="shared" si="135"/>
        <v>199</v>
      </c>
      <c r="J1009">
        <f t="shared" si="135"/>
        <v>232</v>
      </c>
      <c r="K1009">
        <f t="shared" si="135"/>
        <v>251</v>
      </c>
      <c r="L1009">
        <f t="shared" si="135"/>
        <v>269</v>
      </c>
      <c r="M1009">
        <f t="shared" si="135"/>
        <v>284</v>
      </c>
      <c r="N1009">
        <f t="shared" si="136"/>
        <v>296</v>
      </c>
      <c r="O1009">
        <f t="shared" si="136"/>
        <v>321</v>
      </c>
      <c r="P1009">
        <f t="shared" si="136"/>
        <v>339</v>
      </c>
      <c r="Q1009">
        <f t="shared" si="136"/>
        <v>365</v>
      </c>
      <c r="S1009" t="str">
        <f t="shared" si="130"/>
        <v>07.12.2025</v>
      </c>
      <c r="T1009" t="str">
        <f t="shared" si="131"/>
        <v>06:45:00</v>
      </c>
      <c r="U1009" t="str">
        <f t="shared" si="132"/>
        <v>07.12.2025 06:45:00</v>
      </c>
      <c r="V1009" s="9" t="str">
        <f>MID($A1009,C1009+C$2+1,D1009-C1009-C$2-1)</f>
        <v>0</v>
      </c>
      <c r="W1009" s="4">
        <f>VALUE(SUBSTITUTE(MID($A1009,D1009+D$2+1,E1009-D1009-D$2-1),",","."))</f>
        <v>0</v>
      </c>
      <c r="X1009" s="4">
        <f>VALUE(SUBSTITUTE(MID($A1009,E1009+E$2+1,F1009-E1009-E$2-1),",","."))</f>
        <v>0.90957602214449496</v>
      </c>
      <c r="Y1009" s="4">
        <f>VALUE(SUBSTITUTE(MID($A1009,F1009+F$2+1,G1009-F1009-F$2-1),",","."))</f>
        <v>0</v>
      </c>
      <c r="Z1009" s="3">
        <f>VALUE(SUBSTITUTE(MID($A1009,G1009+G$2+1,H1009-G1009-G$2-1),",","."))</f>
        <v>0</v>
      </c>
      <c r="AA1009" s="3">
        <f>VALUE(SUBSTITUTE(MID($A1009,H1009+H$2+1,I1009-H1009-H$2-1),",","."))</f>
        <v>0</v>
      </c>
      <c r="AB1009" s="3">
        <f>VALUE(SUBSTITUTE(MID($A1009,I1009+I$2+1,J1009-I1009-I$2-1),",","."))</f>
        <v>0</v>
      </c>
      <c r="AC1009" s="3">
        <f>VALUE(SUBSTITUTE(MID($A1009,J1009+J$2+1,K1009-J1009-J$2-1),",","."))</f>
        <v>1.4</v>
      </c>
      <c r="AD1009" s="3">
        <f>VALUE(SUBSTITUTE(MID($A1009,K1009+K$2+1,L1009-K1009-K$2-1),",","."))</f>
        <v>43.2</v>
      </c>
      <c r="AE1009" s="3">
        <f>VALUE(SUBSTITUTE(MID($A1009,L1009+L$2+1,M1009-L1009-L$2-1),",","."))</f>
        <v>0</v>
      </c>
      <c r="AF1009" s="3">
        <f>VALUE(SUBSTITUTE(MID($A1009,M1009+M$2+1,N1009-M1009-M$2-1),",","."))</f>
        <v>0</v>
      </c>
      <c r="AG1009" s="3">
        <f>VALUE(SUBSTITUTE(MID($A1009,N1009+N$2+1,O1009-N1009-N$2-1),",","."))</f>
        <v>4.2321517520885203</v>
      </c>
      <c r="AH1009" t="str">
        <f>MID($A1009,O1009+O$2+1,P1009-O1009-O$2-1)</f>
        <v/>
      </c>
      <c r="AI1009" s="8" t="str">
        <f>MID($A1009,P1009+P$2+1,Q1009-P1009-P$2-1)</f>
        <v>False</v>
      </c>
      <c r="AK1009" t="b">
        <f t="shared" si="133"/>
        <v>0</v>
      </c>
    </row>
    <row r="1010" spans="1:37" x14ac:dyDescent="0.35">
      <c r="A1010" t="s">
        <v>5557</v>
      </c>
      <c r="B1010">
        <f t="shared" si="135"/>
        <v>10</v>
      </c>
      <c r="C1010">
        <f t="shared" si="135"/>
        <v>43</v>
      </c>
      <c r="D1010">
        <f t="shared" si="135"/>
        <v>54</v>
      </c>
      <c r="E1010">
        <f t="shared" si="135"/>
        <v>80</v>
      </c>
      <c r="F1010">
        <f t="shared" si="135"/>
        <v>124</v>
      </c>
      <c r="G1010">
        <f t="shared" si="135"/>
        <v>145</v>
      </c>
      <c r="H1010">
        <f t="shared" si="135"/>
        <v>177</v>
      </c>
      <c r="I1010">
        <f t="shared" si="135"/>
        <v>199</v>
      </c>
      <c r="J1010">
        <f t="shared" si="135"/>
        <v>232</v>
      </c>
      <c r="K1010">
        <f t="shared" si="135"/>
        <v>251</v>
      </c>
      <c r="L1010">
        <f t="shared" si="135"/>
        <v>269</v>
      </c>
      <c r="M1010">
        <f t="shared" si="135"/>
        <v>284</v>
      </c>
      <c r="N1010">
        <f t="shared" si="136"/>
        <v>296</v>
      </c>
      <c r="O1010">
        <f t="shared" si="136"/>
        <v>321</v>
      </c>
      <c r="P1010">
        <f t="shared" si="136"/>
        <v>339</v>
      </c>
      <c r="Q1010">
        <f t="shared" si="136"/>
        <v>365</v>
      </c>
      <c r="S1010" t="str">
        <f t="shared" si="130"/>
        <v>07.12.2025</v>
      </c>
      <c r="T1010" t="str">
        <f t="shared" si="131"/>
        <v>07:00:00</v>
      </c>
      <c r="U1010" t="str">
        <f t="shared" si="132"/>
        <v>07.12.2025 07:00:00</v>
      </c>
      <c r="V1010" s="9" t="str">
        <f>MID($A1010,C1010+C$2+1,D1010-C1010-C$2-1)</f>
        <v>0</v>
      </c>
      <c r="W1010" s="4">
        <f>VALUE(SUBSTITUTE(MID($A1010,D1010+D$2+1,E1010-D1010-D$2-1),",","."))</f>
        <v>0</v>
      </c>
      <c r="X1010" s="4">
        <f>VALUE(SUBSTITUTE(MID($A1010,E1010+E$2+1,F1010-E1010-E$2-1),",","."))</f>
        <v>0.90957602214449496</v>
      </c>
      <c r="Y1010" s="4">
        <f>VALUE(SUBSTITUTE(MID($A1010,F1010+F$2+1,G1010-F1010-F$2-1),",","."))</f>
        <v>0</v>
      </c>
      <c r="Z1010" s="3">
        <f>VALUE(SUBSTITUTE(MID($A1010,G1010+G$2+1,H1010-G1010-G$2-1),",","."))</f>
        <v>0</v>
      </c>
      <c r="AA1010" s="3">
        <f>VALUE(SUBSTITUTE(MID($A1010,H1010+H$2+1,I1010-H1010-H$2-1),",","."))</f>
        <v>0</v>
      </c>
      <c r="AB1010" s="3">
        <f>VALUE(SUBSTITUTE(MID($A1010,I1010+I$2+1,J1010-I1010-I$2-1),",","."))</f>
        <v>0</v>
      </c>
      <c r="AC1010" s="3">
        <f>VALUE(SUBSTITUTE(MID($A1010,J1010+J$2+1,K1010-J1010-J$2-1),",","."))</f>
        <v>1.4</v>
      </c>
      <c r="AD1010" s="3">
        <f>VALUE(SUBSTITUTE(MID($A1010,K1010+K$2+1,L1010-K1010-K$2-1),",","."))</f>
        <v>43.2</v>
      </c>
      <c r="AE1010" s="3">
        <f>VALUE(SUBSTITUTE(MID($A1010,L1010+L$2+1,M1010-L1010-L$2-1),",","."))</f>
        <v>0</v>
      </c>
      <c r="AF1010" s="3">
        <f>VALUE(SUBSTITUTE(MID($A1010,M1010+M$2+1,N1010-M1010-M$2-1),",","."))</f>
        <v>0</v>
      </c>
      <c r="AG1010" s="3">
        <f>VALUE(SUBSTITUTE(MID($A1010,N1010+N$2+1,O1010-N1010-N$2-1),",","."))</f>
        <v>4.2321802719766</v>
      </c>
      <c r="AH1010" t="str">
        <f>MID($A1010,O1010+O$2+1,P1010-O1010-O$2-1)</f>
        <v/>
      </c>
      <c r="AI1010" s="8" t="str">
        <f>MID($A1010,P1010+P$2+1,Q1010-P1010-P$2-1)</f>
        <v>False</v>
      </c>
      <c r="AK1010" t="b">
        <f t="shared" si="133"/>
        <v>0</v>
      </c>
    </row>
    <row r="1011" spans="1:37" x14ac:dyDescent="0.35">
      <c r="A1011" t="s">
        <v>5558</v>
      </c>
      <c r="B1011">
        <f t="shared" si="135"/>
        <v>10</v>
      </c>
      <c r="C1011">
        <f t="shared" si="135"/>
        <v>43</v>
      </c>
      <c r="D1011">
        <f t="shared" si="135"/>
        <v>54</v>
      </c>
      <c r="E1011">
        <f t="shared" si="135"/>
        <v>80</v>
      </c>
      <c r="F1011">
        <f t="shared" si="135"/>
        <v>124</v>
      </c>
      <c r="G1011">
        <f t="shared" si="135"/>
        <v>145</v>
      </c>
      <c r="H1011">
        <f t="shared" si="135"/>
        <v>177</v>
      </c>
      <c r="I1011">
        <f t="shared" si="135"/>
        <v>199</v>
      </c>
      <c r="J1011">
        <f t="shared" si="135"/>
        <v>232</v>
      </c>
      <c r="K1011">
        <f t="shared" si="135"/>
        <v>251</v>
      </c>
      <c r="L1011">
        <f t="shared" si="135"/>
        <v>269</v>
      </c>
      <c r="M1011">
        <f t="shared" si="135"/>
        <v>284</v>
      </c>
      <c r="N1011">
        <f t="shared" si="136"/>
        <v>296</v>
      </c>
      <c r="O1011">
        <f t="shared" si="136"/>
        <v>321</v>
      </c>
      <c r="P1011">
        <f t="shared" si="136"/>
        <v>339</v>
      </c>
      <c r="Q1011">
        <f t="shared" si="136"/>
        <v>365</v>
      </c>
      <c r="S1011" t="str">
        <f t="shared" si="130"/>
        <v>07.12.2025</v>
      </c>
      <c r="T1011" t="str">
        <f t="shared" si="131"/>
        <v>07:15:00</v>
      </c>
      <c r="U1011" t="str">
        <f t="shared" si="132"/>
        <v>07.12.2025 07:15:00</v>
      </c>
      <c r="V1011" s="9" t="str">
        <f>MID($A1011,C1011+C$2+1,D1011-C1011-C$2-1)</f>
        <v>0</v>
      </c>
      <c r="W1011" s="4">
        <f>VALUE(SUBSTITUTE(MID($A1011,D1011+D$2+1,E1011-D1011-D$2-1),",","."))</f>
        <v>0</v>
      </c>
      <c r="X1011" s="4">
        <f>VALUE(SUBSTITUTE(MID($A1011,E1011+E$2+1,F1011-E1011-E$2-1),",","."))</f>
        <v>0.90957602214449496</v>
      </c>
      <c r="Y1011" s="4">
        <f>VALUE(SUBSTITUTE(MID($A1011,F1011+F$2+1,G1011-F1011-F$2-1),",","."))</f>
        <v>0</v>
      </c>
      <c r="Z1011" s="3">
        <f>VALUE(SUBSTITUTE(MID($A1011,G1011+G$2+1,H1011-G1011-G$2-1),",","."))</f>
        <v>0</v>
      </c>
      <c r="AA1011" s="3">
        <f>VALUE(SUBSTITUTE(MID($A1011,H1011+H$2+1,I1011-H1011-H$2-1),",","."))</f>
        <v>0</v>
      </c>
      <c r="AB1011" s="3">
        <f>VALUE(SUBSTITUTE(MID($A1011,I1011+I$2+1,J1011-I1011-I$2-1),",","."))</f>
        <v>0</v>
      </c>
      <c r="AC1011" s="3">
        <f>VALUE(SUBSTITUTE(MID($A1011,J1011+J$2+1,K1011-J1011-J$2-1),",","."))</f>
        <v>1.4</v>
      </c>
      <c r="AD1011" s="3">
        <f>VALUE(SUBSTITUTE(MID($A1011,K1011+K$2+1,L1011-K1011-K$2-1),",","."))</f>
        <v>43.2</v>
      </c>
      <c r="AE1011" s="3">
        <f>VALUE(SUBSTITUTE(MID($A1011,L1011+L$2+1,M1011-L1011-L$2-1),",","."))</f>
        <v>0</v>
      </c>
      <c r="AF1011" s="3">
        <f>VALUE(SUBSTITUTE(MID($A1011,M1011+M$2+1,N1011-M1011-M$2-1),",","."))</f>
        <v>0</v>
      </c>
      <c r="AG1011" s="3">
        <f>VALUE(SUBSTITUTE(MID($A1011,N1011+N$2+1,O1011-N1011-N$2-1),",","."))</f>
        <v>4.2322087918646796</v>
      </c>
      <c r="AH1011" t="str">
        <f>MID($A1011,O1011+O$2+1,P1011-O1011-O$2-1)</f>
        <v/>
      </c>
      <c r="AI1011" s="8" t="str">
        <f>MID($A1011,P1011+P$2+1,Q1011-P1011-P$2-1)</f>
        <v>False</v>
      </c>
      <c r="AK1011" t="b">
        <f t="shared" si="133"/>
        <v>0</v>
      </c>
    </row>
    <row r="1012" spans="1:37" x14ac:dyDescent="0.35">
      <c r="A1012" t="s">
        <v>5559</v>
      </c>
      <c r="B1012">
        <f t="shared" si="135"/>
        <v>10</v>
      </c>
      <c r="C1012">
        <f t="shared" si="135"/>
        <v>43</v>
      </c>
      <c r="D1012">
        <f t="shared" si="135"/>
        <v>54</v>
      </c>
      <c r="E1012">
        <f t="shared" si="135"/>
        <v>80</v>
      </c>
      <c r="F1012">
        <f t="shared" si="135"/>
        <v>124</v>
      </c>
      <c r="G1012">
        <f t="shared" si="135"/>
        <v>145</v>
      </c>
      <c r="H1012">
        <f t="shared" si="135"/>
        <v>177</v>
      </c>
      <c r="I1012">
        <f t="shared" si="135"/>
        <v>199</v>
      </c>
      <c r="J1012">
        <f t="shared" si="135"/>
        <v>232</v>
      </c>
      <c r="K1012">
        <f t="shared" si="135"/>
        <v>252</v>
      </c>
      <c r="L1012">
        <f t="shared" si="135"/>
        <v>284</v>
      </c>
      <c r="M1012">
        <f t="shared" si="135"/>
        <v>299</v>
      </c>
      <c r="N1012">
        <f t="shared" si="136"/>
        <v>311</v>
      </c>
      <c r="O1012">
        <f t="shared" si="136"/>
        <v>336</v>
      </c>
      <c r="P1012">
        <f t="shared" si="136"/>
        <v>354</v>
      </c>
      <c r="Q1012">
        <f t="shared" si="136"/>
        <v>380</v>
      </c>
      <c r="S1012" t="str">
        <f t="shared" si="130"/>
        <v>07.12.2025</v>
      </c>
      <c r="T1012" t="str">
        <f t="shared" si="131"/>
        <v>07:30:00</v>
      </c>
      <c r="U1012" t="str">
        <f t="shared" si="132"/>
        <v>07.12.2025 07:30:00</v>
      </c>
      <c r="V1012" s="9" t="str">
        <f>MID($A1012,C1012+C$2+1,D1012-C1012-C$2-1)</f>
        <v>0</v>
      </c>
      <c r="W1012" s="4">
        <f>VALUE(SUBSTITUTE(MID($A1012,D1012+D$2+1,E1012-D1012-D$2-1),",","."))</f>
        <v>0</v>
      </c>
      <c r="X1012" s="4">
        <f>VALUE(SUBSTITUTE(MID($A1012,E1012+E$2+1,F1012-E1012-E$2-1),",","."))</f>
        <v>0.90957602214449496</v>
      </c>
      <c r="Y1012" s="4">
        <f>VALUE(SUBSTITUTE(MID($A1012,F1012+F$2+1,G1012-F1012-F$2-1),",","."))</f>
        <v>0</v>
      </c>
      <c r="Z1012" s="3">
        <f>VALUE(SUBSTITUTE(MID($A1012,G1012+G$2+1,H1012-G1012-G$2-1),",","."))</f>
        <v>0</v>
      </c>
      <c r="AA1012" s="3">
        <f>VALUE(SUBSTITUTE(MID($A1012,H1012+H$2+1,I1012-H1012-H$2-1),",","."))</f>
        <v>0</v>
      </c>
      <c r="AB1012" s="3">
        <f>VALUE(SUBSTITUTE(MID($A1012,I1012+I$2+1,J1012-I1012-I$2-1),",","."))</f>
        <v>0</v>
      </c>
      <c r="AC1012" s="3">
        <f>VALUE(SUBSTITUTE(MID($A1012,J1012+J$2+1,K1012-J1012-J$2-1),",","."))</f>
        <v>1.65</v>
      </c>
      <c r="AD1012" s="3">
        <f>VALUE(SUBSTITUTE(MID($A1012,K1012+K$2+1,L1012-K1012-K$2-1),",","."))</f>
        <v>44.099999999999902</v>
      </c>
      <c r="AE1012" s="3">
        <f>VALUE(SUBSTITUTE(MID($A1012,L1012+L$2+1,M1012-L1012-L$2-1),",","."))</f>
        <v>0</v>
      </c>
      <c r="AF1012" s="3">
        <f>VALUE(SUBSTITUTE(MID($A1012,M1012+M$2+1,N1012-M1012-M$2-1),",","."))</f>
        <v>0</v>
      </c>
      <c r="AG1012" s="3">
        <f>VALUE(SUBSTITUTE(MID($A1012,N1012+N$2+1,O1012-N1012-N$2-1),",","."))</f>
        <v>4.2322373117527601</v>
      </c>
      <c r="AH1012" t="str">
        <f>MID($A1012,O1012+O$2+1,P1012-O1012-O$2-1)</f>
        <v/>
      </c>
      <c r="AI1012" s="8" t="str">
        <f>MID($A1012,P1012+P$2+1,Q1012-P1012-P$2-1)</f>
        <v>False</v>
      </c>
      <c r="AK1012" t="b">
        <f t="shared" si="133"/>
        <v>0</v>
      </c>
    </row>
    <row r="1013" spans="1:37" x14ac:dyDescent="0.35">
      <c r="A1013" t="s">
        <v>5560</v>
      </c>
      <c r="B1013">
        <f t="shared" si="135"/>
        <v>10</v>
      </c>
      <c r="C1013">
        <f t="shared" si="135"/>
        <v>43</v>
      </c>
      <c r="D1013">
        <f t="shared" si="135"/>
        <v>54</v>
      </c>
      <c r="E1013">
        <f t="shared" si="135"/>
        <v>80</v>
      </c>
      <c r="F1013">
        <f t="shared" si="135"/>
        <v>124</v>
      </c>
      <c r="G1013">
        <f t="shared" si="135"/>
        <v>145</v>
      </c>
      <c r="H1013">
        <f t="shared" si="135"/>
        <v>177</v>
      </c>
      <c r="I1013">
        <f t="shared" si="135"/>
        <v>199</v>
      </c>
      <c r="J1013">
        <f t="shared" si="135"/>
        <v>232</v>
      </c>
      <c r="K1013">
        <f t="shared" si="135"/>
        <v>252</v>
      </c>
      <c r="L1013">
        <f t="shared" si="135"/>
        <v>284</v>
      </c>
      <c r="M1013">
        <f t="shared" si="135"/>
        <v>299</v>
      </c>
      <c r="N1013">
        <f t="shared" si="136"/>
        <v>311</v>
      </c>
      <c r="O1013">
        <f t="shared" si="136"/>
        <v>336</v>
      </c>
      <c r="P1013">
        <f t="shared" si="136"/>
        <v>354</v>
      </c>
      <c r="Q1013">
        <f t="shared" si="136"/>
        <v>380</v>
      </c>
      <c r="S1013" t="str">
        <f t="shared" si="130"/>
        <v>07.12.2025</v>
      </c>
      <c r="T1013" t="str">
        <f t="shared" si="131"/>
        <v>07:45:00</v>
      </c>
      <c r="U1013" t="str">
        <f t="shared" si="132"/>
        <v>07.12.2025 07:45:00</v>
      </c>
      <c r="V1013" s="9" t="str">
        <f>MID($A1013,C1013+C$2+1,D1013-C1013-C$2-1)</f>
        <v>0</v>
      </c>
      <c r="W1013" s="4">
        <f>VALUE(SUBSTITUTE(MID($A1013,D1013+D$2+1,E1013-D1013-D$2-1),",","."))</f>
        <v>0</v>
      </c>
      <c r="X1013" s="4">
        <f>VALUE(SUBSTITUTE(MID($A1013,E1013+E$2+1,F1013-E1013-E$2-1),",","."))</f>
        <v>0.90957602214449496</v>
      </c>
      <c r="Y1013" s="4">
        <f>VALUE(SUBSTITUTE(MID($A1013,F1013+F$2+1,G1013-F1013-F$2-1),",","."))</f>
        <v>0</v>
      </c>
      <c r="Z1013" s="3">
        <f>VALUE(SUBSTITUTE(MID($A1013,G1013+G$2+1,H1013-G1013-G$2-1),",","."))</f>
        <v>0</v>
      </c>
      <c r="AA1013" s="3">
        <f>VALUE(SUBSTITUTE(MID($A1013,H1013+H$2+1,I1013-H1013-H$2-1),",","."))</f>
        <v>0</v>
      </c>
      <c r="AB1013" s="3">
        <f>VALUE(SUBSTITUTE(MID($A1013,I1013+I$2+1,J1013-I1013-I$2-1),",","."))</f>
        <v>0</v>
      </c>
      <c r="AC1013" s="3">
        <f>VALUE(SUBSTITUTE(MID($A1013,J1013+J$2+1,K1013-J1013-J$2-1),",","."))</f>
        <v>1.65</v>
      </c>
      <c r="AD1013" s="3">
        <f>VALUE(SUBSTITUTE(MID($A1013,K1013+K$2+1,L1013-K1013-K$2-1),",","."))</f>
        <v>44.099999999999902</v>
      </c>
      <c r="AE1013" s="3">
        <f>VALUE(SUBSTITUTE(MID($A1013,L1013+L$2+1,M1013-L1013-L$2-1),",","."))</f>
        <v>0</v>
      </c>
      <c r="AF1013" s="3">
        <f>VALUE(SUBSTITUTE(MID($A1013,M1013+M$2+1,N1013-M1013-M$2-1),",","."))</f>
        <v>0</v>
      </c>
      <c r="AG1013" s="3">
        <f>VALUE(SUBSTITUTE(MID($A1013,N1013+N$2+1,O1013-N1013-N$2-1),",","."))</f>
        <v>4.2322658316408397</v>
      </c>
      <c r="AH1013" t="str">
        <f>MID($A1013,O1013+O$2+1,P1013-O1013-O$2-1)</f>
        <v/>
      </c>
      <c r="AI1013" s="8" t="str">
        <f>MID($A1013,P1013+P$2+1,Q1013-P1013-P$2-1)</f>
        <v>False</v>
      </c>
      <c r="AK1013" t="b">
        <f t="shared" si="133"/>
        <v>0</v>
      </c>
    </row>
    <row r="1014" spans="1:37" x14ac:dyDescent="0.35">
      <c r="A1014" t="s">
        <v>5561</v>
      </c>
      <c r="B1014">
        <f t="shared" si="135"/>
        <v>10</v>
      </c>
      <c r="C1014">
        <f t="shared" si="135"/>
        <v>43</v>
      </c>
      <c r="D1014">
        <f t="shared" si="135"/>
        <v>54</v>
      </c>
      <c r="E1014">
        <f t="shared" si="135"/>
        <v>80</v>
      </c>
      <c r="F1014">
        <f t="shared" si="135"/>
        <v>124</v>
      </c>
      <c r="G1014">
        <f t="shared" si="135"/>
        <v>164</v>
      </c>
      <c r="H1014">
        <f t="shared" si="135"/>
        <v>196</v>
      </c>
      <c r="I1014">
        <f t="shared" si="135"/>
        <v>218</v>
      </c>
      <c r="J1014">
        <f t="shared" si="135"/>
        <v>251</v>
      </c>
      <c r="K1014">
        <f t="shared" si="135"/>
        <v>271</v>
      </c>
      <c r="L1014">
        <f t="shared" si="135"/>
        <v>303</v>
      </c>
      <c r="M1014">
        <f t="shared" si="135"/>
        <v>318</v>
      </c>
      <c r="N1014">
        <f t="shared" si="136"/>
        <v>330</v>
      </c>
      <c r="O1014">
        <f t="shared" si="136"/>
        <v>354</v>
      </c>
      <c r="P1014">
        <f t="shared" si="136"/>
        <v>372</v>
      </c>
      <c r="Q1014">
        <f t="shared" si="136"/>
        <v>398</v>
      </c>
      <c r="S1014" t="str">
        <f t="shared" si="130"/>
        <v>07.12.2025</v>
      </c>
      <c r="T1014" t="str">
        <f t="shared" si="131"/>
        <v>08:00:00</v>
      </c>
      <c r="U1014" t="str">
        <f t="shared" si="132"/>
        <v>07.12.2025 08:00:00</v>
      </c>
      <c r="V1014" s="9" t="str">
        <f>MID($A1014,C1014+C$2+1,D1014-C1014-C$2-1)</f>
        <v>0</v>
      </c>
      <c r="W1014" s="4">
        <f>VALUE(SUBSTITUTE(MID($A1014,D1014+D$2+1,E1014-D1014-D$2-1),",","."))</f>
        <v>0</v>
      </c>
      <c r="X1014" s="4">
        <f>VALUE(SUBSTITUTE(MID($A1014,E1014+E$2+1,F1014-E1014-E$2-1),",","."))</f>
        <v>0.90957602214449496</v>
      </c>
      <c r="Y1014" s="4">
        <f>VALUE(SUBSTITUTE(MID($A1014,F1014+F$2+1,G1014-F1014-F$2-1),",","."))</f>
        <v>1.5921262030072499E-2</v>
      </c>
      <c r="Z1014" s="3">
        <f>VALUE(SUBSTITUTE(MID($A1014,G1014+G$2+1,H1014-G1014-G$2-1),",","."))</f>
        <v>0</v>
      </c>
      <c r="AA1014" s="3">
        <f>VALUE(SUBSTITUTE(MID($A1014,H1014+H$2+1,I1014-H1014-H$2-1),",","."))</f>
        <v>0</v>
      </c>
      <c r="AB1014" s="3">
        <f>VALUE(SUBSTITUTE(MID($A1014,I1014+I$2+1,J1014-I1014-I$2-1),",","."))</f>
        <v>0</v>
      </c>
      <c r="AC1014" s="3">
        <f>VALUE(SUBSTITUTE(MID($A1014,J1014+J$2+1,K1014-J1014-J$2-1),",","."))</f>
        <v>1.65</v>
      </c>
      <c r="AD1014" s="3">
        <f>VALUE(SUBSTITUTE(MID($A1014,K1014+K$2+1,L1014-K1014-K$2-1),",","."))</f>
        <v>44.099999999999902</v>
      </c>
      <c r="AE1014" s="3">
        <f>VALUE(SUBSTITUTE(MID($A1014,L1014+L$2+1,M1014-L1014-L$2-1),",","."))</f>
        <v>0</v>
      </c>
      <c r="AF1014" s="3">
        <f>VALUE(SUBSTITUTE(MID($A1014,M1014+M$2+1,N1014-M1014-M$2-1),",","."))</f>
        <v>0</v>
      </c>
      <c r="AG1014" s="3">
        <f>VALUE(SUBSTITUTE(MID($A1014,N1014+N$2+1,O1014-N1014-N$2-1),",","."))</f>
        <v>4.23229435152893</v>
      </c>
      <c r="AH1014" t="str">
        <f>MID($A1014,O1014+O$2+1,P1014-O1014-O$2-1)</f>
        <v/>
      </c>
      <c r="AI1014" s="8" t="str">
        <f>MID($A1014,P1014+P$2+1,Q1014-P1014-P$2-1)</f>
        <v>False</v>
      </c>
      <c r="AK1014" t="b">
        <f t="shared" si="133"/>
        <v>0</v>
      </c>
    </row>
    <row r="1015" spans="1:37" x14ac:dyDescent="0.35">
      <c r="A1015" t="s">
        <v>5562</v>
      </c>
      <c r="B1015">
        <f t="shared" si="135"/>
        <v>10</v>
      </c>
      <c r="C1015">
        <f t="shared" si="135"/>
        <v>43</v>
      </c>
      <c r="D1015">
        <f t="shared" si="135"/>
        <v>54</v>
      </c>
      <c r="E1015">
        <f t="shared" ref="E1015:M1043" si="137">FIND(E$1,$A1015)</f>
        <v>97</v>
      </c>
      <c r="F1015">
        <f t="shared" si="137"/>
        <v>141</v>
      </c>
      <c r="G1015">
        <f t="shared" si="137"/>
        <v>180</v>
      </c>
      <c r="H1015">
        <f t="shared" si="137"/>
        <v>212</v>
      </c>
      <c r="I1015">
        <f t="shared" si="137"/>
        <v>234</v>
      </c>
      <c r="J1015">
        <f t="shared" si="137"/>
        <v>267</v>
      </c>
      <c r="K1015">
        <f t="shared" si="137"/>
        <v>287</v>
      </c>
      <c r="L1015">
        <f t="shared" si="137"/>
        <v>319</v>
      </c>
      <c r="M1015">
        <f t="shared" si="137"/>
        <v>334</v>
      </c>
      <c r="N1015">
        <f t="shared" si="136"/>
        <v>346</v>
      </c>
      <c r="O1015">
        <f t="shared" si="136"/>
        <v>371</v>
      </c>
      <c r="P1015">
        <f t="shared" si="136"/>
        <v>389</v>
      </c>
      <c r="Q1015">
        <f t="shared" si="136"/>
        <v>415</v>
      </c>
      <c r="S1015" t="str">
        <f t="shared" si="130"/>
        <v>07.12.2025</v>
      </c>
      <c r="T1015" t="str">
        <f t="shared" si="131"/>
        <v>08:15:00</v>
      </c>
      <c r="U1015" t="str">
        <f t="shared" si="132"/>
        <v>07.12.2025 08:15:00</v>
      </c>
      <c r="V1015" s="9" t="str">
        <f>MID($A1015,C1015+C$2+1,D1015-C1015-C$2-1)</f>
        <v>0</v>
      </c>
      <c r="W1015" s="4">
        <f>VALUE(SUBSTITUTE(MID($A1015,D1015+D$2+1,E1015-D1015-D$2-1),",","."))</f>
        <v>0.53321630071557602</v>
      </c>
      <c r="X1015" s="4">
        <f>VALUE(SUBSTITUTE(MID($A1015,E1015+E$2+1,F1015-E1015-E$2-1),",","."))</f>
        <v>0.90957602214449496</v>
      </c>
      <c r="Y1015" s="4">
        <f>VALUE(SUBSTITUTE(MID($A1015,F1015+F$2+1,G1015-F1015-F$2-1),",","."))</f>
        <v>4.8542474178251603E-2</v>
      </c>
      <c r="Z1015" s="3">
        <f>VALUE(SUBSTITUTE(MID($A1015,G1015+G$2+1,H1015-G1015-G$2-1),",","."))</f>
        <v>0</v>
      </c>
      <c r="AA1015" s="3">
        <f>VALUE(SUBSTITUTE(MID($A1015,H1015+H$2+1,I1015-H1015-H$2-1),",","."))</f>
        <v>0</v>
      </c>
      <c r="AB1015" s="3">
        <f>VALUE(SUBSTITUTE(MID($A1015,I1015+I$2+1,J1015-I1015-I$2-1),",","."))</f>
        <v>0</v>
      </c>
      <c r="AC1015" s="3">
        <f>VALUE(SUBSTITUTE(MID($A1015,J1015+J$2+1,K1015-J1015-J$2-1),",","."))</f>
        <v>1.65</v>
      </c>
      <c r="AD1015" s="3">
        <f>VALUE(SUBSTITUTE(MID($A1015,K1015+K$2+1,L1015-K1015-K$2-1),",","."))</f>
        <v>44.099999999999902</v>
      </c>
      <c r="AE1015" s="3">
        <f>VALUE(SUBSTITUTE(MID($A1015,L1015+L$2+1,M1015-L1015-L$2-1),",","."))</f>
        <v>0</v>
      </c>
      <c r="AF1015" s="3">
        <f>VALUE(SUBSTITUTE(MID($A1015,M1015+M$2+1,N1015-M1015-M$2-1),",","."))</f>
        <v>0</v>
      </c>
      <c r="AG1015" s="3">
        <f>VALUE(SUBSTITUTE(MID($A1015,N1015+N$2+1,O1015-N1015-N$2-1),",","."))</f>
        <v>4.2323228714170096</v>
      </c>
      <c r="AH1015" t="str">
        <f>MID($A1015,O1015+O$2+1,P1015-O1015-O$2-1)</f>
        <v/>
      </c>
      <c r="AI1015" s="8" t="str">
        <f>MID($A1015,P1015+P$2+1,Q1015-P1015-P$2-1)</f>
        <v>False</v>
      </c>
      <c r="AK1015" t="b">
        <f t="shared" si="133"/>
        <v>0</v>
      </c>
    </row>
    <row r="1016" spans="1:37" x14ac:dyDescent="0.35">
      <c r="A1016" t="s">
        <v>5563</v>
      </c>
      <c r="B1016">
        <f t="shared" ref="B1016:N1071" si="138">FIND(B$1,$A1016)</f>
        <v>10</v>
      </c>
      <c r="C1016">
        <f t="shared" si="138"/>
        <v>43</v>
      </c>
      <c r="D1016">
        <f t="shared" si="138"/>
        <v>54</v>
      </c>
      <c r="E1016">
        <f t="shared" si="137"/>
        <v>97</v>
      </c>
      <c r="F1016">
        <f t="shared" si="137"/>
        <v>141</v>
      </c>
      <c r="G1016">
        <f t="shared" si="137"/>
        <v>180</v>
      </c>
      <c r="H1016">
        <f t="shared" si="137"/>
        <v>229</v>
      </c>
      <c r="I1016">
        <f t="shared" si="137"/>
        <v>251</v>
      </c>
      <c r="J1016">
        <f t="shared" si="137"/>
        <v>285</v>
      </c>
      <c r="K1016">
        <f t="shared" si="137"/>
        <v>304</v>
      </c>
      <c r="L1016">
        <f t="shared" si="137"/>
        <v>336</v>
      </c>
      <c r="M1016">
        <f t="shared" si="137"/>
        <v>351</v>
      </c>
      <c r="N1016">
        <f t="shared" si="136"/>
        <v>363</v>
      </c>
      <c r="O1016">
        <f t="shared" si="136"/>
        <v>388</v>
      </c>
      <c r="P1016">
        <f t="shared" si="136"/>
        <v>406</v>
      </c>
      <c r="Q1016">
        <f t="shared" si="136"/>
        <v>432</v>
      </c>
      <c r="S1016" t="str">
        <f t="shared" ref="S1016:S1079" si="139">LEFT(U1016,10)</f>
        <v>07.12.2025</v>
      </c>
      <c r="T1016" t="str">
        <f t="shared" ref="T1016:T1079" si="140">MID(U1016,12,8)</f>
        <v>08:30:00</v>
      </c>
      <c r="U1016" t="str">
        <f t="shared" si="132"/>
        <v>07.12.2025 08:30:00</v>
      </c>
      <c r="V1016" s="9" t="str">
        <f>MID($A1016,C1016+C$2+1,D1016-C1016-C$2-1)</f>
        <v>0</v>
      </c>
      <c r="W1016" s="4">
        <f>VALUE(SUBSTITUTE(MID($A1016,D1016+D$2+1,E1016-D1016-D$2-1),",","."))</f>
        <v>0.57289370579422005</v>
      </c>
      <c r="X1016" s="4">
        <f>VALUE(SUBSTITUTE(MID($A1016,E1016+E$2+1,F1016-E1016-E$2-1),",","."))</f>
        <v>0.90957602214449496</v>
      </c>
      <c r="Y1016" s="4">
        <f>VALUE(SUBSTITUTE(MID($A1016,F1016+F$2+1,G1016-F1016-F$2-1),",","."))</f>
        <v>8.1341101970148003E-2</v>
      </c>
      <c r="Z1016" s="3">
        <f>VALUE(SUBSTITUTE(MID($A1016,G1016+G$2+1,H1016-G1016-G$2-1),",","."))</f>
        <v>48.9166666666666</v>
      </c>
      <c r="AA1016" s="3">
        <f>VALUE(SUBSTITUTE(MID($A1016,H1016+H$2+1,I1016-H1016-H$2-1),",","."))</f>
        <v>0</v>
      </c>
      <c r="AB1016" s="3">
        <f>VALUE(SUBSTITUTE(MID($A1016,I1016+I$2+1,J1016-I1016-I$2-1),",","."))</f>
        <v>16</v>
      </c>
      <c r="AC1016" s="3">
        <f>VALUE(SUBSTITUTE(MID($A1016,J1016+J$2+1,K1016-J1016-J$2-1),",","."))</f>
        <v>2.1</v>
      </c>
      <c r="AD1016" s="3">
        <f>VALUE(SUBSTITUTE(MID($A1016,K1016+K$2+1,L1016-K1016-K$2-1),",","."))</f>
        <v>46.62</v>
      </c>
      <c r="AE1016" s="3">
        <f>VALUE(SUBSTITUTE(MID($A1016,L1016+L$2+1,M1016-L1016-L$2-1),",","."))</f>
        <v>0</v>
      </c>
      <c r="AF1016" s="3">
        <f>VALUE(SUBSTITUTE(MID($A1016,M1016+M$2+1,N1016-M1016-M$2-1),",","."))</f>
        <v>0</v>
      </c>
      <c r="AG1016" s="3">
        <f>VALUE(SUBSTITUTE(MID($A1016,N1016+N$2+1,O1016-N1016-N$2-1),",","."))</f>
        <v>4.2323513913050901</v>
      </c>
      <c r="AH1016" t="str">
        <f>MID($A1016,O1016+O$2+1,P1016-O1016-O$2-1)</f>
        <v/>
      </c>
      <c r="AI1016" s="8" t="str">
        <f>MID($A1016,P1016+P$2+1,Q1016-P1016-P$2-1)</f>
        <v>False</v>
      </c>
      <c r="AK1016" t="b">
        <f t="shared" si="133"/>
        <v>0</v>
      </c>
    </row>
    <row r="1017" spans="1:37" x14ac:dyDescent="0.35">
      <c r="A1017" t="s">
        <v>5564</v>
      </c>
      <c r="B1017">
        <f t="shared" si="138"/>
        <v>10</v>
      </c>
      <c r="C1017">
        <f t="shared" si="138"/>
        <v>43</v>
      </c>
      <c r="D1017">
        <f t="shared" si="138"/>
        <v>54</v>
      </c>
      <c r="E1017">
        <f t="shared" si="137"/>
        <v>97</v>
      </c>
      <c r="F1017">
        <f t="shared" si="137"/>
        <v>141</v>
      </c>
      <c r="G1017">
        <f t="shared" si="137"/>
        <v>180</v>
      </c>
      <c r="H1017">
        <f t="shared" si="137"/>
        <v>229</v>
      </c>
      <c r="I1017">
        <f t="shared" si="137"/>
        <v>251</v>
      </c>
      <c r="J1017">
        <f t="shared" si="137"/>
        <v>285</v>
      </c>
      <c r="K1017">
        <f t="shared" si="137"/>
        <v>304</v>
      </c>
      <c r="L1017">
        <f t="shared" si="137"/>
        <v>336</v>
      </c>
      <c r="M1017">
        <f t="shared" si="137"/>
        <v>351</v>
      </c>
      <c r="N1017">
        <f t="shared" si="136"/>
        <v>363</v>
      </c>
      <c r="O1017">
        <f t="shared" si="136"/>
        <v>388</v>
      </c>
      <c r="P1017">
        <f t="shared" si="136"/>
        <v>406</v>
      </c>
      <c r="Q1017">
        <f t="shared" si="136"/>
        <v>432</v>
      </c>
      <c r="S1017" t="str">
        <f t="shared" si="139"/>
        <v>07.12.2025</v>
      </c>
      <c r="T1017" t="str">
        <f t="shared" si="140"/>
        <v>08:45:00</v>
      </c>
      <c r="U1017" t="str">
        <f t="shared" si="132"/>
        <v>07.12.2025 08:45:00</v>
      </c>
      <c r="V1017" s="9" t="str">
        <f>MID($A1017,C1017+C$2+1,D1017-C1017-C$2-1)</f>
        <v>0</v>
      </c>
      <c r="W1017" s="4">
        <f>VALUE(SUBSTITUTE(MID($A1017,D1017+D$2+1,E1017-D1017-D$2-1),",","."))</f>
        <v>0.61024445671341299</v>
      </c>
      <c r="X1017" s="4">
        <f>VALUE(SUBSTITUTE(MID($A1017,E1017+E$2+1,F1017-E1017-E$2-1),",","."))</f>
        <v>0.90957602214449496</v>
      </c>
      <c r="Y1017" s="4">
        <f>VALUE(SUBSTITUTE(MID($A1017,F1017+F$2+1,G1017-F1017-F$2-1),",","."))</f>
        <v>0.113204060126052</v>
      </c>
      <c r="Z1017" s="3">
        <f>VALUE(SUBSTITUTE(MID($A1017,G1017+G$2+1,H1017-G1017-G$2-1),",","."))</f>
        <v>48.9166666666666</v>
      </c>
      <c r="AA1017" s="3">
        <f>VALUE(SUBSTITUTE(MID($A1017,H1017+H$2+1,I1017-H1017-H$2-1),",","."))</f>
        <v>0</v>
      </c>
      <c r="AB1017" s="3">
        <f>VALUE(SUBSTITUTE(MID($A1017,I1017+I$2+1,J1017-I1017-I$2-1),",","."))</f>
        <v>16</v>
      </c>
      <c r="AC1017" s="3">
        <f>VALUE(SUBSTITUTE(MID($A1017,J1017+J$2+1,K1017-J1017-J$2-1),",","."))</f>
        <v>2.1</v>
      </c>
      <c r="AD1017" s="3">
        <f>VALUE(SUBSTITUTE(MID($A1017,K1017+K$2+1,L1017-K1017-K$2-1),",","."))</f>
        <v>46.62</v>
      </c>
      <c r="AE1017" s="3">
        <f>VALUE(SUBSTITUTE(MID($A1017,L1017+L$2+1,M1017-L1017-L$2-1),",","."))</f>
        <v>0</v>
      </c>
      <c r="AF1017" s="3">
        <f>VALUE(SUBSTITUTE(MID($A1017,M1017+M$2+1,N1017-M1017-M$2-1),",","."))</f>
        <v>0</v>
      </c>
      <c r="AG1017" s="3">
        <f>VALUE(SUBSTITUTE(MID($A1017,N1017+N$2+1,O1017-N1017-N$2-1),",","."))</f>
        <v>4.2323799111931697</v>
      </c>
      <c r="AH1017" t="str">
        <f>MID($A1017,O1017+O$2+1,P1017-O1017-O$2-1)</f>
        <v/>
      </c>
      <c r="AI1017" s="8" t="str">
        <f>MID($A1017,P1017+P$2+1,Q1017-P1017-P$2-1)</f>
        <v>False</v>
      </c>
      <c r="AK1017" t="b">
        <f t="shared" si="133"/>
        <v>0</v>
      </c>
    </row>
    <row r="1018" spans="1:37" x14ac:dyDescent="0.35">
      <c r="A1018" t="s">
        <v>5565</v>
      </c>
      <c r="B1018">
        <f t="shared" si="138"/>
        <v>10</v>
      </c>
      <c r="C1018">
        <f t="shared" si="138"/>
        <v>43</v>
      </c>
      <c r="D1018">
        <f t="shared" si="138"/>
        <v>54</v>
      </c>
      <c r="E1018">
        <f t="shared" si="137"/>
        <v>96</v>
      </c>
      <c r="F1018">
        <f t="shared" si="137"/>
        <v>140</v>
      </c>
      <c r="G1018">
        <f t="shared" si="137"/>
        <v>179</v>
      </c>
      <c r="H1018">
        <f t="shared" si="137"/>
        <v>228</v>
      </c>
      <c r="I1018">
        <f t="shared" si="137"/>
        <v>250</v>
      </c>
      <c r="J1018">
        <f t="shared" si="137"/>
        <v>284</v>
      </c>
      <c r="K1018">
        <f t="shared" si="137"/>
        <v>303</v>
      </c>
      <c r="L1018">
        <f t="shared" si="137"/>
        <v>335</v>
      </c>
      <c r="M1018">
        <f t="shared" si="137"/>
        <v>350</v>
      </c>
      <c r="N1018">
        <f t="shared" si="136"/>
        <v>362</v>
      </c>
      <c r="O1018">
        <f t="shared" si="136"/>
        <v>387</v>
      </c>
      <c r="P1018">
        <f t="shared" si="136"/>
        <v>405</v>
      </c>
      <c r="Q1018">
        <f t="shared" si="136"/>
        <v>431</v>
      </c>
      <c r="S1018" t="str">
        <f t="shared" si="139"/>
        <v>07.12.2025</v>
      </c>
      <c r="T1018" t="str">
        <f t="shared" si="140"/>
        <v>09:00:00</v>
      </c>
      <c r="U1018" t="str">
        <f t="shared" si="132"/>
        <v>07.12.2025 09:00:00</v>
      </c>
      <c r="V1018" s="9" t="str">
        <f>MID($A1018,C1018+C$2+1,D1018-C1018-C$2-1)</f>
        <v>0</v>
      </c>
      <c r="W1018" s="4">
        <f>VALUE(SUBSTITUTE(MID($A1018,D1018+D$2+1,E1018-D1018-D$2-1),",","."))</f>
        <v>0.64482772536698296</v>
      </c>
      <c r="X1018" s="4">
        <f>VALUE(SUBSTITUTE(MID($A1018,E1018+E$2+1,F1018-E1018-E$2-1),",","."))</f>
        <v>0.90957602214449496</v>
      </c>
      <c r="Y1018" s="4">
        <f>VALUE(SUBSTITUTE(MID($A1018,F1018+F$2+1,G1018-F1018-F$2-1),",","."))</f>
        <v>0.14365968676887</v>
      </c>
      <c r="Z1018" s="3">
        <f>VALUE(SUBSTITUTE(MID($A1018,G1018+G$2+1,H1018-G1018-G$2-1),",","."))</f>
        <v>48.9166666666666</v>
      </c>
      <c r="AA1018" s="3">
        <f>VALUE(SUBSTITUTE(MID($A1018,H1018+H$2+1,I1018-H1018-H$2-1),",","."))</f>
        <v>0</v>
      </c>
      <c r="AB1018" s="3">
        <f>VALUE(SUBSTITUTE(MID($A1018,I1018+I$2+1,J1018-I1018-I$2-1),",","."))</f>
        <v>16</v>
      </c>
      <c r="AC1018" s="3">
        <f>VALUE(SUBSTITUTE(MID($A1018,J1018+J$2+1,K1018-J1018-J$2-1),",","."))</f>
        <v>2.1</v>
      </c>
      <c r="AD1018" s="3">
        <f>VALUE(SUBSTITUTE(MID($A1018,K1018+K$2+1,L1018-K1018-K$2-1),",","."))</f>
        <v>46.62</v>
      </c>
      <c r="AE1018" s="3">
        <f>VALUE(SUBSTITUTE(MID($A1018,L1018+L$2+1,M1018-L1018-L$2-1),",","."))</f>
        <v>0</v>
      </c>
      <c r="AF1018" s="3">
        <f>VALUE(SUBSTITUTE(MID($A1018,M1018+M$2+1,N1018-M1018-M$2-1),",","."))</f>
        <v>0</v>
      </c>
      <c r="AG1018" s="3">
        <f>VALUE(SUBSTITUTE(MID($A1018,N1018+N$2+1,O1018-N1018-N$2-1),",","."))</f>
        <v>4.2324084310812502</v>
      </c>
      <c r="AH1018" t="str">
        <f>MID($A1018,O1018+O$2+1,P1018-O1018-O$2-1)</f>
        <v/>
      </c>
      <c r="AI1018" s="8" t="str">
        <f>MID($A1018,P1018+P$2+1,Q1018-P1018-P$2-1)</f>
        <v>False</v>
      </c>
      <c r="AK1018" t="b">
        <f t="shared" si="133"/>
        <v>0</v>
      </c>
    </row>
    <row r="1019" spans="1:37" x14ac:dyDescent="0.35">
      <c r="A1019" t="s">
        <v>5566</v>
      </c>
      <c r="B1019">
        <f t="shared" si="138"/>
        <v>10</v>
      </c>
      <c r="C1019">
        <f t="shared" si="138"/>
        <v>43</v>
      </c>
      <c r="D1019">
        <f t="shared" si="138"/>
        <v>54</v>
      </c>
      <c r="E1019">
        <f t="shared" si="137"/>
        <v>97</v>
      </c>
      <c r="F1019">
        <f t="shared" si="137"/>
        <v>141</v>
      </c>
      <c r="G1019">
        <f t="shared" si="137"/>
        <v>180</v>
      </c>
      <c r="H1019">
        <f t="shared" si="137"/>
        <v>229</v>
      </c>
      <c r="I1019">
        <f t="shared" si="137"/>
        <v>251</v>
      </c>
      <c r="J1019">
        <f t="shared" si="137"/>
        <v>285</v>
      </c>
      <c r="K1019">
        <f t="shared" si="137"/>
        <v>304</v>
      </c>
      <c r="L1019">
        <f t="shared" si="137"/>
        <v>336</v>
      </c>
      <c r="M1019">
        <f t="shared" si="137"/>
        <v>351</v>
      </c>
      <c r="N1019">
        <f t="shared" si="136"/>
        <v>363</v>
      </c>
      <c r="O1019">
        <f t="shared" si="136"/>
        <v>388</v>
      </c>
      <c r="P1019">
        <f t="shared" si="136"/>
        <v>406</v>
      </c>
      <c r="Q1019">
        <f t="shared" si="136"/>
        <v>432</v>
      </c>
      <c r="S1019" t="str">
        <f t="shared" si="139"/>
        <v>07.12.2025</v>
      </c>
      <c r="T1019" t="str">
        <f t="shared" si="140"/>
        <v>09:15:00</v>
      </c>
      <c r="U1019" t="str">
        <f t="shared" si="132"/>
        <v>07.12.2025 09:15:00</v>
      </c>
      <c r="V1019" s="9" t="str">
        <f>MID($A1019,C1019+C$2+1,D1019-C1019-C$2-1)</f>
        <v>0</v>
      </c>
      <c r="W1019" s="4">
        <f>VALUE(SUBSTITUTE(MID($A1019,D1019+D$2+1,E1019-D1019-D$2-1),",","."))</f>
        <v>0.67638367320779602</v>
      </c>
      <c r="X1019" s="4">
        <f>VALUE(SUBSTITUTE(MID($A1019,E1019+E$2+1,F1019-E1019-E$2-1),",","."))</f>
        <v>0.90957602214449496</v>
      </c>
      <c r="Y1019" s="4">
        <f>VALUE(SUBSTITUTE(MID($A1019,F1019+F$2+1,G1019-F1019-F$2-1),",","."))</f>
        <v>0.172443752569961</v>
      </c>
      <c r="Z1019" s="3">
        <f>VALUE(SUBSTITUTE(MID($A1019,G1019+G$2+1,H1019-G1019-G$2-1),",","."))</f>
        <v>48.9166666666666</v>
      </c>
      <c r="AA1019" s="3">
        <f>VALUE(SUBSTITUTE(MID($A1019,H1019+H$2+1,I1019-H1019-H$2-1),",","."))</f>
        <v>0</v>
      </c>
      <c r="AB1019" s="3">
        <f>VALUE(SUBSTITUTE(MID($A1019,I1019+I$2+1,J1019-I1019-I$2-1),",","."))</f>
        <v>16</v>
      </c>
      <c r="AC1019" s="3">
        <f>VALUE(SUBSTITUTE(MID($A1019,J1019+J$2+1,K1019-J1019-J$2-1),",","."))</f>
        <v>2.1</v>
      </c>
      <c r="AD1019" s="3">
        <f>VALUE(SUBSTITUTE(MID($A1019,K1019+K$2+1,L1019-K1019-K$2-1),",","."))</f>
        <v>46.62</v>
      </c>
      <c r="AE1019" s="3">
        <f>VALUE(SUBSTITUTE(MID($A1019,L1019+L$2+1,M1019-L1019-L$2-1),",","."))</f>
        <v>0</v>
      </c>
      <c r="AF1019" s="3">
        <f>VALUE(SUBSTITUTE(MID($A1019,M1019+M$2+1,N1019-M1019-M$2-1),",","."))</f>
        <v>0</v>
      </c>
      <c r="AG1019" s="3">
        <f>VALUE(SUBSTITUTE(MID($A1019,N1019+N$2+1,O1019-N1019-N$2-1),",","."))</f>
        <v>4.2324369509693298</v>
      </c>
      <c r="AH1019" t="str">
        <f>MID($A1019,O1019+O$2+1,P1019-O1019-O$2-1)</f>
        <v/>
      </c>
      <c r="AI1019" s="8" t="str">
        <f>MID($A1019,P1019+P$2+1,Q1019-P1019-P$2-1)</f>
        <v>False</v>
      </c>
      <c r="AK1019" t="b">
        <f t="shared" si="133"/>
        <v>0</v>
      </c>
    </row>
    <row r="1020" spans="1:37" x14ac:dyDescent="0.35">
      <c r="A1020" t="s">
        <v>5567</v>
      </c>
      <c r="B1020">
        <f t="shared" si="138"/>
        <v>10</v>
      </c>
      <c r="C1020">
        <f t="shared" si="138"/>
        <v>43</v>
      </c>
      <c r="D1020">
        <f t="shared" si="138"/>
        <v>54</v>
      </c>
      <c r="E1020">
        <f t="shared" si="137"/>
        <v>97</v>
      </c>
      <c r="F1020">
        <f t="shared" si="137"/>
        <v>141</v>
      </c>
      <c r="G1020">
        <f t="shared" si="137"/>
        <v>180</v>
      </c>
      <c r="H1020">
        <f t="shared" si="137"/>
        <v>216</v>
      </c>
      <c r="I1020">
        <f t="shared" si="137"/>
        <v>238</v>
      </c>
      <c r="J1020">
        <f t="shared" si="137"/>
        <v>272</v>
      </c>
      <c r="K1020">
        <f t="shared" si="137"/>
        <v>306</v>
      </c>
      <c r="L1020">
        <f t="shared" si="137"/>
        <v>325</v>
      </c>
      <c r="M1020">
        <f t="shared" si="137"/>
        <v>340</v>
      </c>
      <c r="N1020">
        <f t="shared" si="136"/>
        <v>352</v>
      </c>
      <c r="O1020">
        <f t="shared" si="136"/>
        <v>376</v>
      </c>
      <c r="P1020">
        <f t="shared" si="136"/>
        <v>394</v>
      </c>
      <c r="Q1020">
        <f t="shared" si="136"/>
        <v>420</v>
      </c>
      <c r="S1020" t="str">
        <f t="shared" si="139"/>
        <v>07.12.2025</v>
      </c>
      <c r="T1020" t="str">
        <f t="shared" si="140"/>
        <v>09:30:00</v>
      </c>
      <c r="U1020" t="str">
        <f t="shared" si="132"/>
        <v>07.12.2025 09:30:00</v>
      </c>
      <c r="V1020" s="9" t="str">
        <f>MID($A1020,C1020+C$2+1,D1020-C1020-C$2-1)</f>
        <v>0</v>
      </c>
      <c r="W1020" s="4">
        <f>VALUE(SUBSTITUTE(MID($A1020,D1020+D$2+1,E1020-D1020-D$2-1),",","."))</f>
        <v>0.70472547887860004</v>
      </c>
      <c r="X1020" s="4">
        <f>VALUE(SUBSTITUTE(MID($A1020,E1020+E$2+1,F1020-E1020-E$2-1),",","."))</f>
        <v>0.90957602214449496</v>
      </c>
      <c r="Y1020" s="4">
        <f>VALUE(SUBSTITUTE(MID($A1020,F1020+F$2+1,G1020-F1020-F$2-1),",","."))</f>
        <v>0.199370925948539</v>
      </c>
      <c r="Z1020" s="3">
        <f>VALUE(SUBSTITUTE(MID($A1020,G1020+G$2+1,H1020-G1020-G$2-1),",","."))</f>
        <v>70.849999999999994</v>
      </c>
      <c r="AA1020" s="3">
        <f>VALUE(SUBSTITUTE(MID($A1020,H1020+H$2+1,I1020-H1020-H$2-1),",","."))</f>
        <v>0</v>
      </c>
      <c r="AB1020" s="3">
        <f>VALUE(SUBSTITUTE(MID($A1020,I1020+I$2+1,J1020-I1020-I$2-1),",","."))</f>
        <v>52</v>
      </c>
      <c r="AC1020" s="3">
        <f>VALUE(SUBSTITUTE(MID($A1020,J1020+J$2+1,K1020-J1020-J$2-1),",","."))</f>
        <v>2.5999999999999899</v>
      </c>
      <c r="AD1020" s="3">
        <f>VALUE(SUBSTITUTE(MID($A1020,K1020+K$2+1,L1020-K1020-K$2-1),",","."))</f>
        <v>49.86</v>
      </c>
      <c r="AE1020" s="3">
        <f>VALUE(SUBSTITUTE(MID($A1020,L1020+L$2+1,M1020-L1020-L$2-1),",","."))</f>
        <v>0</v>
      </c>
      <c r="AF1020" s="3">
        <f>VALUE(SUBSTITUTE(MID($A1020,M1020+M$2+1,N1020-M1020-M$2-1),",","."))</f>
        <v>0</v>
      </c>
      <c r="AG1020" s="3">
        <f>VALUE(SUBSTITUTE(MID($A1020,N1020+N$2+1,O1020-N1020-N$2-1),",","."))</f>
        <v>4.2324654708574201</v>
      </c>
      <c r="AH1020" t="str">
        <f>MID($A1020,O1020+O$2+1,P1020-O1020-O$2-1)</f>
        <v/>
      </c>
      <c r="AI1020" s="8" t="str">
        <f>MID($A1020,P1020+P$2+1,Q1020-P1020-P$2-1)</f>
        <v>False</v>
      </c>
      <c r="AK1020" t="b">
        <f t="shared" si="133"/>
        <v>0</v>
      </c>
    </row>
    <row r="1021" spans="1:37" x14ac:dyDescent="0.35">
      <c r="A1021" t="s">
        <v>5568</v>
      </c>
      <c r="B1021">
        <f t="shared" si="138"/>
        <v>10</v>
      </c>
      <c r="C1021">
        <f t="shared" si="138"/>
        <v>43</v>
      </c>
      <c r="D1021">
        <f t="shared" si="138"/>
        <v>54</v>
      </c>
      <c r="E1021">
        <f t="shared" si="137"/>
        <v>97</v>
      </c>
      <c r="F1021">
        <f t="shared" si="137"/>
        <v>141</v>
      </c>
      <c r="G1021">
        <f t="shared" si="137"/>
        <v>180</v>
      </c>
      <c r="H1021">
        <f t="shared" si="137"/>
        <v>216</v>
      </c>
      <c r="I1021">
        <f t="shared" si="137"/>
        <v>238</v>
      </c>
      <c r="J1021">
        <f t="shared" si="137"/>
        <v>272</v>
      </c>
      <c r="K1021">
        <f t="shared" si="137"/>
        <v>306</v>
      </c>
      <c r="L1021">
        <f t="shared" si="137"/>
        <v>325</v>
      </c>
      <c r="M1021">
        <f t="shared" si="137"/>
        <v>340</v>
      </c>
      <c r="N1021">
        <f t="shared" si="136"/>
        <v>352</v>
      </c>
      <c r="O1021">
        <f t="shared" si="136"/>
        <v>378</v>
      </c>
      <c r="P1021">
        <f t="shared" si="136"/>
        <v>396</v>
      </c>
      <c r="Q1021">
        <f t="shared" si="136"/>
        <v>422</v>
      </c>
      <c r="S1021" t="str">
        <f t="shared" si="139"/>
        <v>07.12.2025</v>
      </c>
      <c r="T1021" t="str">
        <f t="shared" si="140"/>
        <v>09:45:00</v>
      </c>
      <c r="U1021" t="str">
        <f t="shared" si="132"/>
        <v>07.12.2025 09:45:00</v>
      </c>
      <c r="V1021" s="9" t="str">
        <f>MID($A1021,C1021+C$2+1,D1021-C1021-C$2-1)</f>
        <v>0</v>
      </c>
      <c r="W1021" s="4">
        <f>VALUE(SUBSTITUTE(MID($A1021,D1021+D$2+1,E1021-D1021-D$2-1),",","."))</f>
        <v>0.72970495070657404</v>
      </c>
      <c r="X1021" s="4">
        <f>VALUE(SUBSTITUTE(MID($A1021,E1021+E$2+1,F1021-E1021-E$2-1),",","."))</f>
        <v>0.90957602214449496</v>
      </c>
      <c r="Y1021" s="4">
        <f>VALUE(SUBSTITUTE(MID($A1021,F1021+F$2+1,G1021-F1021-F$2-1),",","."))</f>
        <v>0.22429359727092699</v>
      </c>
      <c r="Z1021" s="3">
        <f>VALUE(SUBSTITUTE(MID($A1021,G1021+G$2+1,H1021-G1021-G$2-1),",","."))</f>
        <v>70.849999999999994</v>
      </c>
      <c r="AA1021" s="3">
        <f>VALUE(SUBSTITUTE(MID($A1021,H1021+H$2+1,I1021-H1021-H$2-1),",","."))</f>
        <v>0</v>
      </c>
      <c r="AB1021" s="3">
        <f>VALUE(SUBSTITUTE(MID($A1021,I1021+I$2+1,J1021-I1021-I$2-1),",","."))</f>
        <v>52</v>
      </c>
      <c r="AC1021" s="3">
        <f>VALUE(SUBSTITUTE(MID($A1021,J1021+J$2+1,K1021-J1021-J$2-1),",","."))</f>
        <v>2.5999999999999899</v>
      </c>
      <c r="AD1021" s="3">
        <f>VALUE(SUBSTITUTE(MID($A1021,K1021+K$2+1,L1021-K1021-K$2-1),",","."))</f>
        <v>49.86</v>
      </c>
      <c r="AE1021" s="3">
        <f>VALUE(SUBSTITUTE(MID($A1021,L1021+L$2+1,M1021-L1021-L$2-1),",","."))</f>
        <v>0</v>
      </c>
      <c r="AF1021" s="3">
        <f>VALUE(SUBSTITUTE(MID($A1021,M1021+M$2+1,N1021-M1021-M$2-1),",","."))</f>
        <v>0</v>
      </c>
      <c r="AG1021" s="3">
        <f>VALUE(SUBSTITUTE(MID($A1021,N1021+N$2+1,O1021-N1021-N$2-1),",","."))</f>
        <v>4.2324939907454997</v>
      </c>
      <c r="AH1021" t="str">
        <f>MID($A1021,O1021+O$2+1,P1021-O1021-O$2-1)</f>
        <v/>
      </c>
      <c r="AI1021" s="8" t="str">
        <f>MID($A1021,P1021+P$2+1,Q1021-P1021-P$2-1)</f>
        <v>False</v>
      </c>
      <c r="AK1021" t="b">
        <f t="shared" si="133"/>
        <v>0</v>
      </c>
    </row>
    <row r="1022" spans="1:37" x14ac:dyDescent="0.35">
      <c r="A1022" t="s">
        <v>5569</v>
      </c>
      <c r="B1022">
        <f t="shared" si="138"/>
        <v>10</v>
      </c>
      <c r="C1022">
        <f t="shared" si="138"/>
        <v>43</v>
      </c>
      <c r="D1022">
        <f t="shared" si="138"/>
        <v>54</v>
      </c>
      <c r="E1022">
        <f t="shared" si="137"/>
        <v>97</v>
      </c>
      <c r="F1022">
        <f t="shared" si="137"/>
        <v>141</v>
      </c>
      <c r="G1022">
        <f t="shared" si="137"/>
        <v>179</v>
      </c>
      <c r="H1022">
        <f t="shared" si="137"/>
        <v>215</v>
      </c>
      <c r="I1022">
        <f t="shared" si="137"/>
        <v>237</v>
      </c>
      <c r="J1022">
        <f t="shared" si="137"/>
        <v>271</v>
      </c>
      <c r="K1022">
        <f t="shared" si="137"/>
        <v>305</v>
      </c>
      <c r="L1022">
        <f t="shared" si="137"/>
        <v>324</v>
      </c>
      <c r="M1022">
        <f t="shared" si="137"/>
        <v>339</v>
      </c>
      <c r="N1022">
        <f t="shared" si="136"/>
        <v>351</v>
      </c>
      <c r="O1022">
        <f t="shared" si="136"/>
        <v>376</v>
      </c>
      <c r="P1022">
        <f t="shared" si="136"/>
        <v>394</v>
      </c>
      <c r="Q1022">
        <f t="shared" si="136"/>
        <v>420</v>
      </c>
      <c r="S1022" t="str">
        <f t="shared" si="139"/>
        <v>07.12.2025</v>
      </c>
      <c r="T1022" t="str">
        <f t="shared" si="140"/>
        <v>10:00:00</v>
      </c>
      <c r="U1022" t="str">
        <f t="shared" si="132"/>
        <v>07.12.2025 10:00:00</v>
      </c>
      <c r="V1022" s="9" t="str">
        <f>MID($A1022,C1022+C$2+1,D1022-C1022-C$2-1)</f>
        <v>0</v>
      </c>
      <c r="W1022" s="4">
        <f>VALUE(SUBSTITUTE(MID($A1022,D1022+D$2+1,E1022-D1022-D$2-1),",","."))</f>
        <v>0.75119994215881203</v>
      </c>
      <c r="X1022" s="4">
        <f>VALUE(SUBSTITUTE(MID($A1022,E1022+E$2+1,F1022-E1022-E$2-1),",","."))</f>
        <v>0.90957602214449496</v>
      </c>
      <c r="Y1022" s="4">
        <f>VALUE(SUBSTITUTE(MID($A1022,F1022+F$2+1,G1022-F1022-F$2-1),",","."))</f>
        <v>0.24708670960759599</v>
      </c>
      <c r="Z1022" s="3">
        <f>VALUE(SUBSTITUTE(MID($A1022,G1022+G$2+1,H1022-G1022-G$2-1),",","."))</f>
        <v>70.849999999999994</v>
      </c>
      <c r="AA1022" s="3">
        <f>VALUE(SUBSTITUTE(MID($A1022,H1022+H$2+1,I1022-H1022-H$2-1),",","."))</f>
        <v>0</v>
      </c>
      <c r="AB1022" s="3">
        <f>VALUE(SUBSTITUTE(MID($A1022,I1022+I$2+1,J1022-I1022-I$2-1),",","."))</f>
        <v>52</v>
      </c>
      <c r="AC1022" s="3">
        <f>VALUE(SUBSTITUTE(MID($A1022,J1022+J$2+1,K1022-J1022-J$2-1),",","."))</f>
        <v>2.5999999999999899</v>
      </c>
      <c r="AD1022" s="3">
        <f>VALUE(SUBSTITUTE(MID($A1022,K1022+K$2+1,L1022-K1022-K$2-1),",","."))</f>
        <v>49.86</v>
      </c>
      <c r="AE1022" s="3">
        <f>VALUE(SUBSTITUTE(MID($A1022,L1022+L$2+1,M1022-L1022-L$2-1),",","."))</f>
        <v>0</v>
      </c>
      <c r="AF1022" s="3">
        <f>VALUE(SUBSTITUTE(MID($A1022,M1022+M$2+1,N1022-M1022-M$2-1),",","."))</f>
        <v>0</v>
      </c>
      <c r="AG1022" s="3">
        <f>VALUE(SUBSTITUTE(MID($A1022,N1022+N$2+1,O1022-N1022-N$2-1),",","."))</f>
        <v>4.2325225106335802</v>
      </c>
      <c r="AH1022" t="str">
        <f>MID($A1022,O1022+O$2+1,P1022-O1022-O$2-1)</f>
        <v/>
      </c>
      <c r="AI1022" s="8" t="str">
        <f>MID($A1022,P1022+P$2+1,Q1022-P1022-P$2-1)</f>
        <v>False</v>
      </c>
      <c r="AK1022" t="b">
        <f t="shared" si="133"/>
        <v>0</v>
      </c>
    </row>
    <row r="1023" spans="1:37" x14ac:dyDescent="0.35">
      <c r="A1023" t="s">
        <v>5570</v>
      </c>
      <c r="B1023">
        <f t="shared" si="138"/>
        <v>10</v>
      </c>
      <c r="C1023">
        <f t="shared" si="138"/>
        <v>43</v>
      </c>
      <c r="D1023">
        <f t="shared" si="138"/>
        <v>54</v>
      </c>
      <c r="E1023">
        <f t="shared" si="137"/>
        <v>97</v>
      </c>
      <c r="F1023">
        <f t="shared" si="137"/>
        <v>141</v>
      </c>
      <c r="G1023">
        <f t="shared" si="137"/>
        <v>180</v>
      </c>
      <c r="H1023">
        <f t="shared" si="137"/>
        <v>216</v>
      </c>
      <c r="I1023">
        <f t="shared" si="137"/>
        <v>238</v>
      </c>
      <c r="J1023">
        <f t="shared" si="137"/>
        <v>272</v>
      </c>
      <c r="K1023">
        <f t="shared" si="137"/>
        <v>306</v>
      </c>
      <c r="L1023">
        <f t="shared" si="137"/>
        <v>325</v>
      </c>
      <c r="M1023">
        <f t="shared" si="137"/>
        <v>340</v>
      </c>
      <c r="N1023">
        <f t="shared" si="136"/>
        <v>352</v>
      </c>
      <c r="O1023">
        <f t="shared" si="136"/>
        <v>377</v>
      </c>
      <c r="P1023">
        <f t="shared" si="136"/>
        <v>395</v>
      </c>
      <c r="Q1023">
        <f t="shared" si="136"/>
        <v>421</v>
      </c>
      <c r="S1023" t="str">
        <f t="shared" si="139"/>
        <v>07.12.2025</v>
      </c>
      <c r="T1023" t="str">
        <f t="shared" si="140"/>
        <v>10:15:00</v>
      </c>
      <c r="U1023" t="str">
        <f t="shared" si="132"/>
        <v>07.12.2025 10:15:00</v>
      </c>
      <c r="V1023" s="9" t="str">
        <f>MID($A1023,C1023+C$2+1,D1023-C1023-C$2-1)</f>
        <v>0</v>
      </c>
      <c r="W1023" s="4">
        <f>VALUE(SUBSTITUTE(MID($A1023,D1023+D$2+1,E1023-D1023-D$2-1),",","."))</f>
        <v>0.76910923513078</v>
      </c>
      <c r="X1023" s="4">
        <f>VALUE(SUBSTITUTE(MID($A1023,E1023+E$2+1,F1023-E1023-E$2-1),",","."))</f>
        <v>0.90957602214449496</v>
      </c>
      <c r="Y1023" s="4">
        <f>VALUE(SUBSTITUTE(MID($A1023,F1023+F$2+1,G1023-F1023-F$2-1),",","."))</f>
        <v>0.26764154195251499</v>
      </c>
      <c r="Z1023" s="3">
        <f>VALUE(SUBSTITUTE(MID($A1023,G1023+G$2+1,H1023-G1023-G$2-1),",","."))</f>
        <v>70.849999999999994</v>
      </c>
      <c r="AA1023" s="3">
        <f>VALUE(SUBSTITUTE(MID($A1023,H1023+H$2+1,I1023-H1023-H$2-1),",","."))</f>
        <v>0</v>
      </c>
      <c r="AB1023" s="3">
        <f>VALUE(SUBSTITUTE(MID($A1023,I1023+I$2+1,J1023-I1023-I$2-1),",","."))</f>
        <v>52</v>
      </c>
      <c r="AC1023" s="3">
        <f>VALUE(SUBSTITUTE(MID($A1023,J1023+J$2+1,K1023-J1023-J$2-1),",","."))</f>
        <v>2.5999999999999899</v>
      </c>
      <c r="AD1023" s="3">
        <f>VALUE(SUBSTITUTE(MID($A1023,K1023+K$2+1,L1023-K1023-K$2-1),",","."))</f>
        <v>49.86</v>
      </c>
      <c r="AE1023" s="3">
        <f>VALUE(SUBSTITUTE(MID($A1023,L1023+L$2+1,M1023-L1023-L$2-1),",","."))</f>
        <v>0</v>
      </c>
      <c r="AF1023" s="3">
        <f>VALUE(SUBSTITUTE(MID($A1023,M1023+M$2+1,N1023-M1023-M$2-1),",","."))</f>
        <v>0</v>
      </c>
      <c r="AG1023" s="3">
        <f>VALUE(SUBSTITUTE(MID($A1023,N1023+N$2+1,O1023-N1023-N$2-1),",","."))</f>
        <v>4.2325510305216598</v>
      </c>
      <c r="AH1023" t="str">
        <f>MID($A1023,O1023+O$2+1,P1023-O1023-O$2-1)</f>
        <v/>
      </c>
      <c r="AI1023" s="8" t="str">
        <f>MID($A1023,P1023+P$2+1,Q1023-P1023-P$2-1)</f>
        <v>False</v>
      </c>
      <c r="AK1023" t="b">
        <f t="shared" si="133"/>
        <v>0</v>
      </c>
    </row>
    <row r="1024" spans="1:37" x14ac:dyDescent="0.35">
      <c r="A1024" t="s">
        <v>5571</v>
      </c>
      <c r="B1024">
        <f t="shared" si="138"/>
        <v>10</v>
      </c>
      <c r="C1024">
        <f t="shared" si="138"/>
        <v>43</v>
      </c>
      <c r="D1024">
        <f t="shared" si="138"/>
        <v>54</v>
      </c>
      <c r="E1024">
        <f t="shared" si="137"/>
        <v>97</v>
      </c>
      <c r="F1024">
        <f t="shared" si="137"/>
        <v>141</v>
      </c>
      <c r="G1024">
        <f t="shared" si="137"/>
        <v>179</v>
      </c>
      <c r="H1024">
        <f t="shared" si="137"/>
        <v>227</v>
      </c>
      <c r="I1024">
        <f t="shared" si="137"/>
        <v>249</v>
      </c>
      <c r="J1024">
        <f t="shared" si="137"/>
        <v>285</v>
      </c>
      <c r="K1024">
        <f t="shared" si="137"/>
        <v>304</v>
      </c>
      <c r="L1024">
        <f t="shared" si="137"/>
        <v>323</v>
      </c>
      <c r="M1024">
        <f t="shared" si="137"/>
        <v>338</v>
      </c>
      <c r="N1024">
        <f t="shared" si="136"/>
        <v>350</v>
      </c>
      <c r="O1024">
        <f t="shared" si="136"/>
        <v>375</v>
      </c>
      <c r="P1024">
        <f t="shared" si="136"/>
        <v>393</v>
      </c>
      <c r="Q1024">
        <f t="shared" si="136"/>
        <v>419</v>
      </c>
      <c r="S1024" t="str">
        <f t="shared" si="139"/>
        <v>07.12.2025</v>
      </c>
      <c r="T1024" t="str">
        <f t="shared" si="140"/>
        <v>10:30:00</v>
      </c>
      <c r="U1024" t="str">
        <f t="shared" si="132"/>
        <v>07.12.2025 10:30:00</v>
      </c>
      <c r="V1024" s="9" t="str">
        <f>MID($A1024,C1024+C$2+1,D1024-C1024-C$2-1)</f>
        <v>0</v>
      </c>
      <c r="W1024" s="4">
        <f>VALUE(SUBSTITUTE(MID($A1024,D1024+D$2+1,E1024-D1024-D$2-1),",","."))</f>
        <v>0.78335031156027402</v>
      </c>
      <c r="X1024" s="4">
        <f>VALUE(SUBSTITUTE(MID($A1024,E1024+E$2+1,F1024-E1024-E$2-1),",","."))</f>
        <v>0.90957602214449496</v>
      </c>
      <c r="Y1024" s="4">
        <f>VALUE(SUBSTITUTE(MID($A1024,F1024+F$2+1,G1024-F1024-F$2-1),",","."))</f>
        <v>0.28586298387919801</v>
      </c>
      <c r="Z1024" s="3">
        <f>VALUE(SUBSTITUTE(MID($A1024,G1024+G$2+1,H1024-G1024-G$2-1),",","."))</f>
        <v>68.4166666666666</v>
      </c>
      <c r="AA1024" s="3">
        <f>VALUE(SUBSTITUTE(MID($A1024,H1024+H$2+1,I1024-H1024-H$2-1),",","."))</f>
        <v>0</v>
      </c>
      <c r="AB1024" s="3">
        <f>VALUE(SUBSTITUTE(MID($A1024,I1024+I$2+1,J1024-I1024-I$2-1),",","."))</f>
        <v>79.5</v>
      </c>
      <c r="AC1024" s="3">
        <f>VALUE(SUBSTITUTE(MID($A1024,J1024+J$2+1,K1024-J1024-J$2-1),",","."))</f>
        <v>3.1</v>
      </c>
      <c r="AD1024" s="3">
        <f>VALUE(SUBSTITUTE(MID($A1024,K1024+K$2+1,L1024-K1024-K$2-1),",","."))</f>
        <v>53.28</v>
      </c>
      <c r="AE1024" s="3">
        <f>VALUE(SUBSTITUTE(MID($A1024,L1024+L$2+1,M1024-L1024-L$2-1),",","."))</f>
        <v>0</v>
      </c>
      <c r="AF1024" s="3">
        <f>VALUE(SUBSTITUTE(MID($A1024,M1024+M$2+1,N1024-M1024-M$2-1),",","."))</f>
        <v>0</v>
      </c>
      <c r="AG1024" s="3">
        <f>VALUE(SUBSTITUTE(MID($A1024,N1024+N$2+1,O1024-N1024-N$2-1),",","."))</f>
        <v>4.2325795504097403</v>
      </c>
      <c r="AH1024" t="str">
        <f>MID($A1024,O1024+O$2+1,P1024-O1024-O$2-1)</f>
        <v/>
      </c>
      <c r="AI1024" s="8" t="str">
        <f>MID($A1024,P1024+P$2+1,Q1024-P1024-P$2-1)</f>
        <v>False</v>
      </c>
      <c r="AK1024" t="b">
        <f t="shared" si="133"/>
        <v>1</v>
      </c>
    </row>
    <row r="1025" spans="1:37" x14ac:dyDescent="0.35">
      <c r="A1025" t="s">
        <v>5572</v>
      </c>
      <c r="B1025">
        <f t="shared" si="138"/>
        <v>10</v>
      </c>
      <c r="C1025">
        <f t="shared" si="138"/>
        <v>43</v>
      </c>
      <c r="D1025">
        <f t="shared" si="138"/>
        <v>54</v>
      </c>
      <c r="E1025">
        <f t="shared" si="137"/>
        <v>97</v>
      </c>
      <c r="F1025">
        <f t="shared" si="137"/>
        <v>141</v>
      </c>
      <c r="G1025">
        <f t="shared" si="137"/>
        <v>179</v>
      </c>
      <c r="H1025">
        <f t="shared" si="137"/>
        <v>227</v>
      </c>
      <c r="I1025">
        <f t="shared" si="137"/>
        <v>249</v>
      </c>
      <c r="J1025">
        <f t="shared" si="137"/>
        <v>285</v>
      </c>
      <c r="K1025">
        <f t="shared" si="137"/>
        <v>304</v>
      </c>
      <c r="L1025">
        <f t="shared" si="137"/>
        <v>323</v>
      </c>
      <c r="M1025">
        <f t="shared" si="137"/>
        <v>338</v>
      </c>
      <c r="N1025">
        <f t="shared" si="136"/>
        <v>350</v>
      </c>
      <c r="O1025">
        <f t="shared" si="136"/>
        <v>375</v>
      </c>
      <c r="P1025">
        <f t="shared" si="136"/>
        <v>393</v>
      </c>
      <c r="Q1025">
        <f t="shared" si="136"/>
        <v>419</v>
      </c>
      <c r="S1025" t="str">
        <f t="shared" si="139"/>
        <v>07.12.2025</v>
      </c>
      <c r="T1025" t="str">
        <f t="shared" si="140"/>
        <v>10:45:00</v>
      </c>
      <c r="U1025" t="str">
        <f t="shared" si="132"/>
        <v>07.12.2025 10:45:00</v>
      </c>
      <c r="V1025" s="9" t="str">
        <f>MID($A1025,C1025+C$2+1,D1025-C1025-C$2-1)</f>
        <v>0</v>
      </c>
      <c r="W1025" s="4">
        <f>VALUE(SUBSTITUTE(MID($A1025,D1025+D$2+1,E1025-D1025-D$2-1),",","."))</f>
        <v>0.79385834552516799</v>
      </c>
      <c r="X1025" s="4">
        <f>VALUE(SUBSTITUTE(MID($A1025,E1025+E$2+1,F1025-E1025-E$2-1),",","."))</f>
        <v>0.90957602214449496</v>
      </c>
      <c r="Y1025" s="4">
        <f>VALUE(SUBSTITUTE(MID($A1025,F1025+F$2+1,G1025-F1025-F$2-1),",","."))</f>
        <v>0.30166830930302602</v>
      </c>
      <c r="Z1025" s="3">
        <f>VALUE(SUBSTITUTE(MID($A1025,G1025+G$2+1,H1025-G1025-G$2-1),",","."))</f>
        <v>68.4166666666666</v>
      </c>
      <c r="AA1025" s="3">
        <f>VALUE(SUBSTITUTE(MID($A1025,H1025+H$2+1,I1025-H1025-H$2-1),",","."))</f>
        <v>0</v>
      </c>
      <c r="AB1025" s="3">
        <f>VALUE(SUBSTITUTE(MID($A1025,I1025+I$2+1,J1025-I1025-I$2-1),",","."))</f>
        <v>79.5</v>
      </c>
      <c r="AC1025" s="3">
        <f>VALUE(SUBSTITUTE(MID($A1025,J1025+J$2+1,K1025-J1025-J$2-1),",","."))</f>
        <v>3.1</v>
      </c>
      <c r="AD1025" s="3">
        <f>VALUE(SUBSTITUTE(MID($A1025,K1025+K$2+1,L1025-K1025-K$2-1),",","."))</f>
        <v>53.28</v>
      </c>
      <c r="AE1025" s="3">
        <f>VALUE(SUBSTITUTE(MID($A1025,L1025+L$2+1,M1025-L1025-L$2-1),",","."))</f>
        <v>0</v>
      </c>
      <c r="AF1025" s="3">
        <f>VALUE(SUBSTITUTE(MID($A1025,M1025+M$2+1,N1025-M1025-M$2-1),",","."))</f>
        <v>0</v>
      </c>
      <c r="AG1025" s="3">
        <f>VALUE(SUBSTITUTE(MID($A1025,N1025+N$2+1,O1025-N1025-N$2-1),",","."))</f>
        <v>4.2326080702978199</v>
      </c>
      <c r="AH1025" t="str">
        <f>MID($A1025,O1025+O$2+1,P1025-O1025-O$2-1)</f>
        <v/>
      </c>
      <c r="AI1025" s="8" t="str">
        <f>MID($A1025,P1025+P$2+1,Q1025-P1025-P$2-1)</f>
        <v>False</v>
      </c>
      <c r="AK1025" t="b">
        <f t="shared" si="133"/>
        <v>1</v>
      </c>
    </row>
    <row r="1026" spans="1:37" x14ac:dyDescent="0.35">
      <c r="A1026" t="s">
        <v>5573</v>
      </c>
      <c r="B1026">
        <f t="shared" si="138"/>
        <v>10</v>
      </c>
      <c r="C1026">
        <f t="shared" si="138"/>
        <v>43</v>
      </c>
      <c r="D1026">
        <f t="shared" si="138"/>
        <v>54</v>
      </c>
      <c r="E1026">
        <f t="shared" si="137"/>
        <v>96</v>
      </c>
      <c r="F1026">
        <f t="shared" si="137"/>
        <v>140</v>
      </c>
      <c r="G1026">
        <f t="shared" si="137"/>
        <v>179</v>
      </c>
      <c r="H1026">
        <f t="shared" si="137"/>
        <v>227</v>
      </c>
      <c r="I1026">
        <f t="shared" si="137"/>
        <v>249</v>
      </c>
      <c r="J1026">
        <f t="shared" si="137"/>
        <v>285</v>
      </c>
      <c r="K1026">
        <f t="shared" si="137"/>
        <v>304</v>
      </c>
      <c r="L1026">
        <f t="shared" si="137"/>
        <v>323</v>
      </c>
      <c r="M1026">
        <f t="shared" si="137"/>
        <v>338</v>
      </c>
      <c r="N1026">
        <f t="shared" si="136"/>
        <v>350</v>
      </c>
      <c r="O1026">
        <f t="shared" si="136"/>
        <v>375</v>
      </c>
      <c r="P1026">
        <f t="shared" si="136"/>
        <v>393</v>
      </c>
      <c r="Q1026">
        <f t="shared" si="136"/>
        <v>419</v>
      </c>
      <c r="S1026" t="str">
        <f t="shared" si="139"/>
        <v>07.12.2025</v>
      </c>
      <c r="T1026" t="str">
        <f t="shared" si="140"/>
        <v>11:00:00</v>
      </c>
      <c r="U1026" t="str">
        <f t="shared" si="132"/>
        <v>07.12.2025 11:00:00</v>
      </c>
      <c r="V1026" s="9" t="str">
        <f>MID($A1026,C1026+C$2+1,D1026-C1026-C$2-1)</f>
        <v>0</v>
      </c>
      <c r="W1026" s="4">
        <f>VALUE(SUBSTITUTE(MID($A1026,D1026+D$2+1,E1026-D1026-D$2-1),",","."))</f>
        <v>0.80058573858299797</v>
      </c>
      <c r="X1026" s="4">
        <f>VALUE(SUBSTITUTE(MID($A1026,E1026+E$2+1,F1026-E1026-E$2-1),",","."))</f>
        <v>0.90957602214449496</v>
      </c>
      <c r="Y1026" s="4">
        <f>VALUE(SUBSTITUTE(MID($A1026,F1026+F$2+1,G1026-F1026-F$2-1),",","."))</f>
        <v>0.314986639291152</v>
      </c>
      <c r="Z1026" s="3">
        <f>VALUE(SUBSTITUTE(MID($A1026,G1026+G$2+1,H1026-G1026-G$2-1),",","."))</f>
        <v>68.4166666666666</v>
      </c>
      <c r="AA1026" s="3">
        <f>VALUE(SUBSTITUTE(MID($A1026,H1026+H$2+1,I1026-H1026-H$2-1),",","."))</f>
        <v>0</v>
      </c>
      <c r="AB1026" s="3">
        <f>VALUE(SUBSTITUTE(MID($A1026,I1026+I$2+1,J1026-I1026-I$2-1),",","."))</f>
        <v>79.5</v>
      </c>
      <c r="AC1026" s="3">
        <f>VALUE(SUBSTITUTE(MID($A1026,J1026+J$2+1,K1026-J1026-J$2-1),",","."))</f>
        <v>3.1</v>
      </c>
      <c r="AD1026" s="3">
        <f>VALUE(SUBSTITUTE(MID($A1026,K1026+K$2+1,L1026-K1026-K$2-1),",","."))</f>
        <v>53.28</v>
      </c>
      <c r="AE1026" s="3">
        <f>VALUE(SUBSTITUTE(MID($A1026,L1026+L$2+1,M1026-L1026-L$2-1),",","."))</f>
        <v>0</v>
      </c>
      <c r="AF1026" s="3">
        <f>VALUE(SUBSTITUTE(MID($A1026,M1026+M$2+1,N1026-M1026-M$2-1),",","."))</f>
        <v>0</v>
      </c>
      <c r="AG1026" s="3">
        <f>VALUE(SUBSTITUTE(MID($A1026,N1026+N$2+1,O1026-N1026-N$2-1),",","."))</f>
        <v>4.2326365901859004</v>
      </c>
      <c r="AH1026" t="str">
        <f>MID($A1026,O1026+O$2+1,P1026-O1026-O$2-1)</f>
        <v/>
      </c>
      <c r="AI1026" s="8" t="str">
        <f>MID($A1026,P1026+P$2+1,Q1026-P1026-P$2-1)</f>
        <v>False</v>
      </c>
      <c r="AK1026" t="b">
        <f t="shared" si="133"/>
        <v>1</v>
      </c>
    </row>
    <row r="1027" spans="1:37" x14ac:dyDescent="0.35">
      <c r="A1027" t="s">
        <v>5574</v>
      </c>
      <c r="B1027">
        <f t="shared" si="138"/>
        <v>10</v>
      </c>
      <c r="C1027">
        <f t="shared" si="138"/>
        <v>43</v>
      </c>
      <c r="D1027">
        <f t="shared" si="138"/>
        <v>54</v>
      </c>
      <c r="E1027">
        <f t="shared" si="137"/>
        <v>97</v>
      </c>
      <c r="F1027">
        <f t="shared" si="137"/>
        <v>141</v>
      </c>
      <c r="G1027">
        <f t="shared" si="137"/>
        <v>179</v>
      </c>
      <c r="H1027">
        <f t="shared" si="137"/>
        <v>227</v>
      </c>
      <c r="I1027">
        <f t="shared" si="137"/>
        <v>249</v>
      </c>
      <c r="J1027">
        <f t="shared" si="137"/>
        <v>285</v>
      </c>
      <c r="K1027">
        <f t="shared" si="137"/>
        <v>304</v>
      </c>
      <c r="L1027">
        <f t="shared" si="137"/>
        <v>323</v>
      </c>
      <c r="M1027">
        <f t="shared" si="137"/>
        <v>338</v>
      </c>
      <c r="N1027">
        <f t="shared" si="136"/>
        <v>350</v>
      </c>
      <c r="O1027">
        <f t="shared" si="136"/>
        <v>375</v>
      </c>
      <c r="P1027">
        <f t="shared" si="136"/>
        <v>393</v>
      </c>
      <c r="Q1027">
        <f t="shared" si="136"/>
        <v>419</v>
      </c>
      <c r="S1027" t="str">
        <f t="shared" si="139"/>
        <v>07.12.2025</v>
      </c>
      <c r="T1027" t="str">
        <f t="shared" si="140"/>
        <v>11:15:00</v>
      </c>
      <c r="U1027" t="str">
        <f t="shared" si="132"/>
        <v>07.12.2025 11:15:00</v>
      </c>
      <c r="V1027" s="9" t="str">
        <f>MID($A1027,C1027+C$2+1,D1027-C1027-C$2-1)</f>
        <v>0</v>
      </c>
      <c r="W1027" s="4">
        <f>VALUE(SUBSTITUTE(MID($A1027,D1027+D$2+1,E1027-D1027-D$2-1),",","."))</f>
        <v>0.803501897645853</v>
      </c>
      <c r="X1027" s="4">
        <f>VALUE(SUBSTITUTE(MID($A1027,E1027+E$2+1,F1027-E1027-E$2-1),",","."))</f>
        <v>0.90957602214449496</v>
      </c>
      <c r="Y1027" s="4">
        <f>VALUE(SUBSTITUTE(MID($A1027,F1027+F$2+1,G1027-F1027-F$2-1),",","."))</f>
        <v>0.325758733686553</v>
      </c>
      <c r="Z1027" s="3">
        <f>VALUE(SUBSTITUTE(MID($A1027,G1027+G$2+1,H1027-G1027-G$2-1),",","."))</f>
        <v>68.4166666666666</v>
      </c>
      <c r="AA1027" s="3">
        <f>VALUE(SUBSTITUTE(MID($A1027,H1027+H$2+1,I1027-H1027-H$2-1),",","."))</f>
        <v>0</v>
      </c>
      <c r="AB1027" s="3">
        <f>VALUE(SUBSTITUTE(MID($A1027,I1027+I$2+1,J1027-I1027-I$2-1),",","."))</f>
        <v>79.5</v>
      </c>
      <c r="AC1027" s="3">
        <f>VALUE(SUBSTITUTE(MID($A1027,J1027+J$2+1,K1027-J1027-J$2-1),",","."))</f>
        <v>3.1</v>
      </c>
      <c r="AD1027" s="3">
        <f>VALUE(SUBSTITUTE(MID($A1027,K1027+K$2+1,L1027-K1027-K$2-1),",","."))</f>
        <v>53.28</v>
      </c>
      <c r="AE1027" s="3">
        <f>VALUE(SUBSTITUTE(MID($A1027,L1027+L$2+1,M1027-L1027-L$2-1),",","."))</f>
        <v>0</v>
      </c>
      <c r="AF1027" s="3">
        <f>VALUE(SUBSTITUTE(MID($A1027,M1027+M$2+1,N1027-M1027-M$2-1),",","."))</f>
        <v>0</v>
      </c>
      <c r="AG1027" s="3">
        <f>VALUE(SUBSTITUTE(MID($A1027,N1027+N$2+1,O1027-N1027-N$2-1),",","."))</f>
        <v>4.2326651100739898</v>
      </c>
      <c r="AH1027" t="str">
        <f>MID($A1027,O1027+O$2+1,P1027-O1027-O$2-1)</f>
        <v/>
      </c>
      <c r="AI1027" s="8" t="str">
        <f>MID($A1027,P1027+P$2+1,Q1027-P1027-P$2-1)</f>
        <v>False</v>
      </c>
      <c r="AK1027" t="b">
        <f t="shared" si="133"/>
        <v>1</v>
      </c>
    </row>
    <row r="1028" spans="1:37" x14ac:dyDescent="0.35">
      <c r="A1028" t="s">
        <v>5575</v>
      </c>
      <c r="B1028">
        <f t="shared" si="138"/>
        <v>10</v>
      </c>
      <c r="C1028">
        <f t="shared" si="138"/>
        <v>43</v>
      </c>
      <c r="D1028">
        <f t="shared" si="138"/>
        <v>54</v>
      </c>
      <c r="E1028">
        <f t="shared" si="137"/>
        <v>97</v>
      </c>
      <c r="F1028">
        <f t="shared" si="137"/>
        <v>141</v>
      </c>
      <c r="G1028">
        <f t="shared" si="137"/>
        <v>179</v>
      </c>
      <c r="H1028">
        <f t="shared" si="137"/>
        <v>227</v>
      </c>
      <c r="I1028">
        <f t="shared" si="137"/>
        <v>249</v>
      </c>
      <c r="J1028">
        <f t="shared" si="137"/>
        <v>285</v>
      </c>
      <c r="K1028">
        <f t="shared" si="137"/>
        <v>305</v>
      </c>
      <c r="L1028">
        <f t="shared" si="137"/>
        <v>324</v>
      </c>
      <c r="M1028">
        <f t="shared" si="137"/>
        <v>339</v>
      </c>
      <c r="N1028">
        <f t="shared" si="136"/>
        <v>351</v>
      </c>
      <c r="O1028">
        <f t="shared" si="136"/>
        <v>376</v>
      </c>
      <c r="P1028">
        <f t="shared" si="136"/>
        <v>394</v>
      </c>
      <c r="Q1028">
        <f t="shared" si="136"/>
        <v>420</v>
      </c>
      <c r="S1028" t="str">
        <f t="shared" si="139"/>
        <v>07.12.2025</v>
      </c>
      <c r="T1028" t="str">
        <f t="shared" si="140"/>
        <v>11:30:00</v>
      </c>
      <c r="U1028" t="str">
        <f t="shared" ref="U1028:U1091" si="141">MID($A1028,B1028+B$2+1,C1028-B1028-B$2-1)</f>
        <v>07.12.2025 11:30:00</v>
      </c>
      <c r="V1028" s="9" t="str">
        <f>MID($A1028,C1028+C$2+1,D1028-C1028-C$2-1)</f>
        <v>0</v>
      </c>
      <c r="W1028" s="4">
        <f>VALUE(SUBSTITUTE(MID($A1028,D1028+D$2+1,E1028-D1028-D$2-1),",","."))</f>
        <v>0.80259311215434204</v>
      </c>
      <c r="X1028" s="4">
        <f>VALUE(SUBSTITUTE(MID($A1028,E1028+E$2+1,F1028-E1028-E$2-1),",","."))</f>
        <v>0.90957602214449496</v>
      </c>
      <c r="Y1028" s="4">
        <f>VALUE(SUBSTITUTE(MID($A1028,F1028+F$2+1,G1028-F1028-F$2-1),",","."))</f>
        <v>0.33393693956958298</v>
      </c>
      <c r="Z1028" s="3">
        <f>VALUE(SUBSTITUTE(MID($A1028,G1028+G$2+1,H1028-G1028-G$2-1),",","."))</f>
        <v>73.483333333333306</v>
      </c>
      <c r="AA1028" s="3">
        <f>VALUE(SUBSTITUTE(MID($A1028,H1028+H$2+1,I1028-H1028-H$2-1),",","."))</f>
        <v>0</v>
      </c>
      <c r="AB1028" s="3">
        <f>VALUE(SUBSTITUTE(MID($A1028,I1028+I$2+1,J1028-I1028-I$2-1),",","."))</f>
        <v>94.5</v>
      </c>
      <c r="AC1028" s="3">
        <f>VALUE(SUBSTITUTE(MID($A1028,J1028+J$2+1,K1028-J1028-J$2-1),",","."))</f>
        <v>3.45</v>
      </c>
      <c r="AD1028" s="3">
        <f>VALUE(SUBSTITUTE(MID($A1028,K1028+K$2+1,L1028-K1028-K$2-1),",","."))</f>
        <v>56.16</v>
      </c>
      <c r="AE1028" s="3">
        <f>VALUE(SUBSTITUTE(MID($A1028,L1028+L$2+1,M1028-L1028-L$2-1),",","."))</f>
        <v>0</v>
      </c>
      <c r="AF1028" s="3">
        <f>VALUE(SUBSTITUTE(MID($A1028,M1028+M$2+1,N1028-M1028-M$2-1),",","."))</f>
        <v>0</v>
      </c>
      <c r="AG1028" s="3">
        <f>VALUE(SUBSTITUTE(MID($A1028,N1028+N$2+1,O1028-N1028-N$2-1),",","."))</f>
        <v>4.2326936299620703</v>
      </c>
      <c r="AH1028" t="str">
        <f>MID($A1028,O1028+O$2+1,P1028-O1028-O$2-1)</f>
        <v/>
      </c>
      <c r="AI1028" s="8" t="str">
        <f>MID($A1028,P1028+P$2+1,Q1028-P1028-P$2-1)</f>
        <v>False</v>
      </c>
      <c r="AK1028" t="b">
        <f t="shared" ref="AK1028:AK1091" si="142">AB1028&gt;Z1028</f>
        <v>1</v>
      </c>
    </row>
    <row r="1029" spans="1:37" x14ac:dyDescent="0.35">
      <c r="A1029" t="s">
        <v>5576</v>
      </c>
      <c r="B1029">
        <f t="shared" si="138"/>
        <v>10</v>
      </c>
      <c r="C1029">
        <f t="shared" si="138"/>
        <v>43</v>
      </c>
      <c r="D1029">
        <f t="shared" si="138"/>
        <v>54</v>
      </c>
      <c r="E1029">
        <f t="shared" si="137"/>
        <v>97</v>
      </c>
      <c r="F1029">
        <f t="shared" si="137"/>
        <v>141</v>
      </c>
      <c r="G1029">
        <f t="shared" si="137"/>
        <v>179</v>
      </c>
      <c r="H1029">
        <f t="shared" si="137"/>
        <v>227</v>
      </c>
      <c r="I1029">
        <f t="shared" si="137"/>
        <v>249</v>
      </c>
      <c r="J1029">
        <f t="shared" si="137"/>
        <v>285</v>
      </c>
      <c r="K1029">
        <f t="shared" si="137"/>
        <v>305</v>
      </c>
      <c r="L1029">
        <f t="shared" si="137"/>
        <v>324</v>
      </c>
      <c r="M1029">
        <f t="shared" si="137"/>
        <v>339</v>
      </c>
      <c r="N1029">
        <f t="shared" si="136"/>
        <v>351</v>
      </c>
      <c r="O1029">
        <f t="shared" si="136"/>
        <v>377</v>
      </c>
      <c r="P1029">
        <f t="shared" si="136"/>
        <v>395</v>
      </c>
      <c r="Q1029">
        <f t="shared" si="136"/>
        <v>421</v>
      </c>
      <c r="S1029" t="str">
        <f t="shared" si="139"/>
        <v>07.12.2025</v>
      </c>
      <c r="T1029" t="str">
        <f t="shared" si="140"/>
        <v>11:45:00</v>
      </c>
      <c r="U1029" t="str">
        <f t="shared" si="141"/>
        <v>07.12.2025 11:45:00</v>
      </c>
      <c r="V1029" s="9" t="str">
        <f>MID($A1029,C1029+C$2+1,D1029-C1029-C$2-1)</f>
        <v>0</v>
      </c>
      <c r="W1029" s="4">
        <f>VALUE(SUBSTITUTE(MID($A1029,D1029+D$2+1,E1029-D1029-D$2-1),",","."))</f>
        <v>0.79786245803090705</v>
      </c>
      <c r="X1029" s="4">
        <f>VALUE(SUBSTITUTE(MID($A1029,E1029+E$2+1,F1029-E1029-E$2-1),",","."))</f>
        <v>0.90957602214449496</v>
      </c>
      <c r="Y1029" s="4">
        <f>VALUE(SUBSTITUTE(MID($A1029,F1029+F$2+1,G1029-F1029-F$2-1),",","."))</f>
        <v>0.33948520922569603</v>
      </c>
      <c r="Z1029" s="3">
        <f>VALUE(SUBSTITUTE(MID($A1029,G1029+G$2+1,H1029-G1029-G$2-1),",","."))</f>
        <v>73.483333333333306</v>
      </c>
      <c r="AA1029" s="3">
        <f>VALUE(SUBSTITUTE(MID($A1029,H1029+H$2+1,I1029-H1029-H$2-1),",","."))</f>
        <v>0</v>
      </c>
      <c r="AB1029" s="3">
        <f>VALUE(SUBSTITUTE(MID($A1029,I1029+I$2+1,J1029-I1029-I$2-1),",","."))</f>
        <v>94.5</v>
      </c>
      <c r="AC1029" s="3">
        <f>VALUE(SUBSTITUTE(MID($A1029,J1029+J$2+1,K1029-J1029-J$2-1),",","."))</f>
        <v>3.45</v>
      </c>
      <c r="AD1029" s="3">
        <f>VALUE(SUBSTITUTE(MID($A1029,K1029+K$2+1,L1029-K1029-K$2-1),",","."))</f>
        <v>56.16</v>
      </c>
      <c r="AE1029" s="3">
        <f>VALUE(SUBSTITUTE(MID($A1029,L1029+L$2+1,M1029-L1029-L$2-1),",","."))</f>
        <v>0</v>
      </c>
      <c r="AF1029" s="3">
        <f>VALUE(SUBSTITUTE(MID($A1029,M1029+M$2+1,N1029-M1029-M$2-1),",","."))</f>
        <v>0</v>
      </c>
      <c r="AG1029" s="3">
        <f>VALUE(SUBSTITUTE(MID($A1029,N1029+N$2+1,O1029-N1029-N$2-1),",","."))</f>
        <v>4.2327221498501499</v>
      </c>
      <c r="AH1029" t="str">
        <f>MID($A1029,O1029+O$2+1,P1029-O1029-O$2-1)</f>
        <v/>
      </c>
      <c r="AI1029" s="8" t="str">
        <f>MID($A1029,P1029+P$2+1,Q1029-P1029-P$2-1)</f>
        <v>False</v>
      </c>
      <c r="AK1029" t="b">
        <f t="shared" si="142"/>
        <v>1</v>
      </c>
    </row>
    <row r="1030" spans="1:37" x14ac:dyDescent="0.35">
      <c r="A1030" t="s">
        <v>5577</v>
      </c>
      <c r="B1030">
        <f t="shared" si="138"/>
        <v>10</v>
      </c>
      <c r="C1030">
        <f t="shared" si="138"/>
        <v>43</v>
      </c>
      <c r="D1030">
        <f t="shared" si="138"/>
        <v>54</v>
      </c>
      <c r="E1030">
        <f t="shared" si="137"/>
        <v>96</v>
      </c>
      <c r="F1030">
        <f t="shared" si="137"/>
        <v>140</v>
      </c>
      <c r="G1030">
        <f t="shared" si="137"/>
        <v>179</v>
      </c>
      <c r="H1030">
        <f t="shared" si="137"/>
        <v>227</v>
      </c>
      <c r="I1030">
        <f t="shared" si="137"/>
        <v>249</v>
      </c>
      <c r="J1030">
        <f t="shared" si="137"/>
        <v>285</v>
      </c>
      <c r="K1030">
        <f t="shared" si="137"/>
        <v>305</v>
      </c>
      <c r="L1030">
        <f t="shared" si="137"/>
        <v>324</v>
      </c>
      <c r="M1030">
        <f t="shared" si="137"/>
        <v>339</v>
      </c>
      <c r="N1030">
        <f t="shared" si="136"/>
        <v>351</v>
      </c>
      <c r="O1030">
        <f t="shared" si="136"/>
        <v>376</v>
      </c>
      <c r="P1030">
        <f t="shared" si="136"/>
        <v>394</v>
      </c>
      <c r="Q1030">
        <f t="shared" si="136"/>
        <v>420</v>
      </c>
      <c r="S1030" t="str">
        <f t="shared" si="139"/>
        <v>07.12.2025</v>
      </c>
      <c r="T1030" t="str">
        <f t="shared" si="140"/>
        <v>12:00:00</v>
      </c>
      <c r="U1030" t="str">
        <f t="shared" si="141"/>
        <v>07.12.2025 12:00:00</v>
      </c>
      <c r="V1030" s="9" t="str">
        <f>MID($A1030,C1030+C$2+1,D1030-C1030-C$2-1)</f>
        <v>0</v>
      </c>
      <c r="W1030" s="4">
        <f>VALUE(SUBSTITUTE(MID($A1030,D1030+D$2+1,E1030-D1030-D$2-1),",","."))</f>
        <v>0.78932969020870702</v>
      </c>
      <c r="X1030" s="4">
        <f>VALUE(SUBSTITUTE(MID($A1030,E1030+E$2+1,F1030-E1030-E$2-1),",","."))</f>
        <v>0.90957602214449496</v>
      </c>
      <c r="Y1030" s="4">
        <f>VALUE(SUBSTITUTE(MID($A1030,F1030+F$2+1,G1030-F1030-F$2-1),",","."))</f>
        <v>0.34237914109955198</v>
      </c>
      <c r="Z1030" s="3">
        <f>VALUE(SUBSTITUTE(MID($A1030,G1030+G$2+1,H1030-G1030-G$2-1),",","."))</f>
        <v>73.483333333333306</v>
      </c>
      <c r="AA1030" s="3">
        <f>VALUE(SUBSTITUTE(MID($A1030,H1030+H$2+1,I1030-H1030-H$2-1),",","."))</f>
        <v>0</v>
      </c>
      <c r="AB1030" s="3">
        <f>VALUE(SUBSTITUTE(MID($A1030,I1030+I$2+1,J1030-I1030-I$2-1),",","."))</f>
        <v>94.5</v>
      </c>
      <c r="AC1030" s="3">
        <f>VALUE(SUBSTITUTE(MID($A1030,J1030+J$2+1,K1030-J1030-J$2-1),",","."))</f>
        <v>3.45</v>
      </c>
      <c r="AD1030" s="3">
        <f>VALUE(SUBSTITUTE(MID($A1030,K1030+K$2+1,L1030-K1030-K$2-1),",","."))</f>
        <v>56.16</v>
      </c>
      <c r="AE1030" s="3">
        <f>VALUE(SUBSTITUTE(MID($A1030,L1030+L$2+1,M1030-L1030-L$2-1),",","."))</f>
        <v>0</v>
      </c>
      <c r="AF1030" s="3">
        <f>VALUE(SUBSTITUTE(MID($A1030,M1030+M$2+1,N1030-M1030-M$2-1),",","."))</f>
        <v>0</v>
      </c>
      <c r="AG1030" s="3">
        <f>VALUE(SUBSTITUTE(MID($A1030,N1030+N$2+1,O1030-N1030-N$2-1),",","."))</f>
        <v>4.2327506697382304</v>
      </c>
      <c r="AH1030" t="str">
        <f>MID($A1030,O1030+O$2+1,P1030-O1030-O$2-1)</f>
        <v/>
      </c>
      <c r="AI1030" s="8" t="str">
        <f>MID($A1030,P1030+P$2+1,Q1030-P1030-P$2-1)</f>
        <v>False</v>
      </c>
      <c r="AK1030" t="b">
        <f t="shared" si="142"/>
        <v>1</v>
      </c>
    </row>
    <row r="1031" spans="1:37" x14ac:dyDescent="0.35">
      <c r="A1031" t="s">
        <v>5578</v>
      </c>
      <c r="B1031">
        <f t="shared" si="138"/>
        <v>10</v>
      </c>
      <c r="C1031">
        <f t="shared" si="138"/>
        <v>43</v>
      </c>
      <c r="D1031">
        <f t="shared" si="138"/>
        <v>54</v>
      </c>
      <c r="E1031">
        <f t="shared" si="137"/>
        <v>97</v>
      </c>
      <c r="F1031">
        <f t="shared" si="137"/>
        <v>141</v>
      </c>
      <c r="G1031">
        <f t="shared" si="137"/>
        <v>178</v>
      </c>
      <c r="H1031">
        <f t="shared" si="137"/>
        <v>226</v>
      </c>
      <c r="I1031">
        <f t="shared" si="137"/>
        <v>248</v>
      </c>
      <c r="J1031">
        <f t="shared" si="137"/>
        <v>284</v>
      </c>
      <c r="K1031">
        <f t="shared" si="137"/>
        <v>304</v>
      </c>
      <c r="L1031">
        <f t="shared" si="137"/>
        <v>323</v>
      </c>
      <c r="M1031">
        <f t="shared" si="137"/>
        <v>338</v>
      </c>
      <c r="N1031">
        <f t="shared" si="136"/>
        <v>350</v>
      </c>
      <c r="O1031">
        <f t="shared" si="136"/>
        <v>375</v>
      </c>
      <c r="P1031">
        <f t="shared" si="136"/>
        <v>393</v>
      </c>
      <c r="Q1031">
        <f t="shared" si="136"/>
        <v>419</v>
      </c>
      <c r="S1031" t="str">
        <f t="shared" si="139"/>
        <v>07.12.2025</v>
      </c>
      <c r="T1031" t="str">
        <f t="shared" si="140"/>
        <v>12:15:00</v>
      </c>
      <c r="U1031" t="str">
        <f t="shared" si="141"/>
        <v>07.12.2025 12:15:00</v>
      </c>
      <c r="V1031" s="9" t="str">
        <f>MID($A1031,C1031+C$2+1,D1031-C1031-C$2-1)</f>
        <v>0</v>
      </c>
      <c r="W1031" s="4">
        <f>VALUE(SUBSTITUTE(MID($A1031,D1031+D$2+1,E1031-D1031-D$2-1),",","."))</f>
        <v>0.77703110342484305</v>
      </c>
      <c r="X1031" s="4">
        <f>VALUE(SUBSTITUTE(MID($A1031,E1031+E$2+1,F1031-E1031-E$2-1),",","."))</f>
        <v>0.90957602214449496</v>
      </c>
      <c r="Y1031" s="4">
        <f>VALUE(SUBSTITUTE(MID($A1031,F1031+F$2+1,G1031-F1031-F$2-1),",","."))</f>
        <v>0.34260601863701401</v>
      </c>
      <c r="Z1031" s="3">
        <f>VALUE(SUBSTITUTE(MID($A1031,G1031+G$2+1,H1031-G1031-G$2-1),",","."))</f>
        <v>73.483333333333306</v>
      </c>
      <c r="AA1031" s="3">
        <f>VALUE(SUBSTITUTE(MID($A1031,H1031+H$2+1,I1031-H1031-H$2-1),",","."))</f>
        <v>0</v>
      </c>
      <c r="AB1031" s="3">
        <f>VALUE(SUBSTITUTE(MID($A1031,I1031+I$2+1,J1031-I1031-I$2-1),",","."))</f>
        <v>94.5</v>
      </c>
      <c r="AC1031" s="3">
        <f>VALUE(SUBSTITUTE(MID($A1031,J1031+J$2+1,K1031-J1031-J$2-1),",","."))</f>
        <v>3.45</v>
      </c>
      <c r="AD1031" s="3">
        <f>VALUE(SUBSTITUTE(MID($A1031,K1031+K$2+1,L1031-K1031-K$2-1),",","."))</f>
        <v>56.16</v>
      </c>
      <c r="AE1031" s="3">
        <f>VALUE(SUBSTITUTE(MID($A1031,L1031+L$2+1,M1031-L1031-L$2-1),",","."))</f>
        <v>0</v>
      </c>
      <c r="AF1031" s="3">
        <f>VALUE(SUBSTITUTE(MID($A1031,M1031+M$2+1,N1031-M1031-M$2-1),",","."))</f>
        <v>0</v>
      </c>
      <c r="AG1031" s="3">
        <f>VALUE(SUBSTITUTE(MID($A1031,N1031+N$2+1,O1031-N1031-N$2-1),",","."))</f>
        <v>4.2327791896263101</v>
      </c>
      <c r="AH1031" t="str">
        <f>MID($A1031,O1031+O$2+1,P1031-O1031-O$2-1)</f>
        <v/>
      </c>
      <c r="AI1031" s="8" t="str">
        <f>MID($A1031,P1031+P$2+1,Q1031-P1031-P$2-1)</f>
        <v>False</v>
      </c>
      <c r="AK1031" t="b">
        <f t="shared" si="142"/>
        <v>1</v>
      </c>
    </row>
    <row r="1032" spans="1:37" x14ac:dyDescent="0.35">
      <c r="A1032" t="s">
        <v>5579</v>
      </c>
      <c r="B1032">
        <f t="shared" si="138"/>
        <v>10</v>
      </c>
      <c r="C1032">
        <f t="shared" si="138"/>
        <v>43</v>
      </c>
      <c r="D1032">
        <f t="shared" si="138"/>
        <v>54</v>
      </c>
      <c r="E1032">
        <f t="shared" si="137"/>
        <v>97</v>
      </c>
      <c r="F1032">
        <f t="shared" si="137"/>
        <v>141</v>
      </c>
      <c r="G1032">
        <f t="shared" si="137"/>
        <v>180</v>
      </c>
      <c r="H1032">
        <f t="shared" si="137"/>
        <v>228</v>
      </c>
      <c r="I1032">
        <f t="shared" si="137"/>
        <v>250</v>
      </c>
      <c r="J1032">
        <f t="shared" si="137"/>
        <v>284</v>
      </c>
      <c r="K1032">
        <f t="shared" si="137"/>
        <v>304</v>
      </c>
      <c r="L1032">
        <f t="shared" si="137"/>
        <v>336</v>
      </c>
      <c r="M1032">
        <f t="shared" si="137"/>
        <v>351</v>
      </c>
      <c r="N1032">
        <f t="shared" si="136"/>
        <v>363</v>
      </c>
      <c r="O1032">
        <f t="shared" si="136"/>
        <v>389</v>
      </c>
      <c r="P1032">
        <f t="shared" si="136"/>
        <v>407</v>
      </c>
      <c r="Q1032">
        <f t="shared" si="136"/>
        <v>433</v>
      </c>
      <c r="S1032" t="str">
        <f t="shared" si="139"/>
        <v>07.12.2025</v>
      </c>
      <c r="T1032" t="str">
        <f t="shared" si="140"/>
        <v>12:30:00</v>
      </c>
      <c r="U1032" t="str">
        <f t="shared" si="141"/>
        <v>07.12.2025 12:30:00</v>
      </c>
      <c r="V1032" s="9" t="str">
        <f>MID($A1032,C1032+C$2+1,D1032-C1032-C$2-1)</f>
        <v>0</v>
      </c>
      <c r="W1032" s="4">
        <f>VALUE(SUBSTITUTE(MID($A1032,D1032+D$2+1,E1032-D1032-D$2-1),",","."))</f>
        <v>0.76101935074482396</v>
      </c>
      <c r="X1032" s="4">
        <f>VALUE(SUBSTITUTE(MID($A1032,E1032+E$2+1,F1032-E1032-E$2-1),",","."))</f>
        <v>0.90957602214449496</v>
      </c>
      <c r="Y1032" s="4">
        <f>VALUE(SUBSTITUTE(MID($A1032,F1032+F$2+1,G1032-F1032-F$2-1),",","."))</f>
        <v>0.34016483360798899</v>
      </c>
      <c r="Z1032" s="3">
        <f>VALUE(SUBSTITUTE(MID($A1032,G1032+G$2+1,H1032-G1032-G$2-1),",","."))</f>
        <v>91.483333333333306</v>
      </c>
      <c r="AA1032" s="3">
        <f>VALUE(SUBSTITUTE(MID($A1032,H1032+H$2+1,I1032-H1032-H$2-1),",","."))</f>
        <v>0</v>
      </c>
      <c r="AB1032" s="3">
        <f>VALUE(SUBSTITUTE(MID($A1032,I1032+I$2+1,J1032-I1032-I$2-1),",","."))</f>
        <v>98</v>
      </c>
      <c r="AC1032" s="3">
        <f>VALUE(SUBSTITUTE(MID($A1032,J1032+J$2+1,K1032-J1032-J$2-1),",","."))</f>
        <v>3.55</v>
      </c>
      <c r="AD1032" s="3">
        <f>VALUE(SUBSTITUTE(MID($A1032,K1032+K$2+1,L1032-K1032-K$2-1),",","."))</f>
        <v>56.519999999999897</v>
      </c>
      <c r="AE1032" s="3">
        <f>VALUE(SUBSTITUTE(MID($A1032,L1032+L$2+1,M1032-L1032-L$2-1),",","."))</f>
        <v>0</v>
      </c>
      <c r="AF1032" s="3">
        <f>VALUE(SUBSTITUTE(MID($A1032,M1032+M$2+1,N1032-M1032-M$2-1),",","."))</f>
        <v>0</v>
      </c>
      <c r="AG1032" s="3">
        <f>VALUE(SUBSTITUTE(MID($A1032,N1032+N$2+1,O1032-N1032-N$2-1),",","."))</f>
        <v>4.2328077095143897</v>
      </c>
      <c r="AH1032" t="str">
        <f>MID($A1032,O1032+O$2+1,P1032-O1032-O$2-1)</f>
        <v/>
      </c>
      <c r="AI1032" s="8" t="str">
        <f>MID($A1032,P1032+P$2+1,Q1032-P1032-P$2-1)</f>
        <v>False</v>
      </c>
      <c r="AK1032" t="b">
        <f t="shared" si="142"/>
        <v>1</v>
      </c>
    </row>
    <row r="1033" spans="1:37" x14ac:dyDescent="0.35">
      <c r="A1033" t="s">
        <v>5580</v>
      </c>
      <c r="B1033">
        <f t="shared" si="138"/>
        <v>10</v>
      </c>
      <c r="C1033">
        <f t="shared" si="138"/>
        <v>43</v>
      </c>
      <c r="D1033">
        <f t="shared" si="138"/>
        <v>54</v>
      </c>
      <c r="E1033">
        <f t="shared" si="137"/>
        <v>97</v>
      </c>
      <c r="F1033">
        <f t="shared" si="137"/>
        <v>141</v>
      </c>
      <c r="G1033">
        <f t="shared" si="137"/>
        <v>180</v>
      </c>
      <c r="H1033">
        <f t="shared" si="137"/>
        <v>228</v>
      </c>
      <c r="I1033">
        <f t="shared" si="137"/>
        <v>250</v>
      </c>
      <c r="J1033">
        <f t="shared" si="137"/>
        <v>284</v>
      </c>
      <c r="K1033">
        <f t="shared" si="137"/>
        <v>304</v>
      </c>
      <c r="L1033">
        <f t="shared" si="137"/>
        <v>336</v>
      </c>
      <c r="M1033">
        <f t="shared" si="137"/>
        <v>351</v>
      </c>
      <c r="N1033">
        <f t="shared" si="136"/>
        <v>363</v>
      </c>
      <c r="O1033">
        <f t="shared" si="136"/>
        <v>387</v>
      </c>
      <c r="P1033">
        <f t="shared" si="136"/>
        <v>405</v>
      </c>
      <c r="Q1033">
        <f t="shared" si="136"/>
        <v>431</v>
      </c>
      <c r="S1033" t="str">
        <f t="shared" si="139"/>
        <v>07.12.2025</v>
      </c>
      <c r="T1033" t="str">
        <f t="shared" si="140"/>
        <v>12:45:00</v>
      </c>
      <c r="U1033" t="str">
        <f t="shared" si="141"/>
        <v>07.12.2025 12:45:00</v>
      </c>
      <c r="V1033" s="9" t="str">
        <f>MID($A1033,C1033+C$2+1,D1033-C1033-C$2-1)</f>
        <v>0</v>
      </c>
      <c r="W1033" s="4">
        <f>VALUE(SUBSTITUTE(MID($A1033,D1033+D$2+1,E1033-D1033-D$2-1),",","."))</f>
        <v>0.74136321577332498</v>
      </c>
      <c r="X1033" s="4">
        <f>VALUE(SUBSTITUTE(MID($A1033,E1033+E$2+1,F1033-E1033-E$2-1),",","."))</f>
        <v>0.90957602214449496</v>
      </c>
      <c r="Y1033" s="4">
        <f>VALUE(SUBSTITUTE(MID($A1033,F1033+F$2+1,G1033-F1033-F$2-1),",","."))</f>
        <v>0.335066287880397</v>
      </c>
      <c r="Z1033" s="3">
        <f>VALUE(SUBSTITUTE(MID($A1033,G1033+G$2+1,H1033-G1033-G$2-1),",","."))</f>
        <v>91.483333333333306</v>
      </c>
      <c r="AA1033" s="3">
        <f>VALUE(SUBSTITUTE(MID($A1033,H1033+H$2+1,I1033-H1033-H$2-1),",","."))</f>
        <v>0</v>
      </c>
      <c r="AB1033" s="3">
        <f>VALUE(SUBSTITUTE(MID($A1033,I1033+I$2+1,J1033-I1033-I$2-1),",","."))</f>
        <v>98</v>
      </c>
      <c r="AC1033" s="3">
        <f>VALUE(SUBSTITUTE(MID($A1033,J1033+J$2+1,K1033-J1033-J$2-1),",","."))</f>
        <v>3.55</v>
      </c>
      <c r="AD1033" s="3">
        <f>VALUE(SUBSTITUTE(MID($A1033,K1033+K$2+1,L1033-K1033-K$2-1),",","."))</f>
        <v>56.519999999999897</v>
      </c>
      <c r="AE1033" s="3">
        <f>VALUE(SUBSTITUTE(MID($A1033,L1033+L$2+1,M1033-L1033-L$2-1),",","."))</f>
        <v>0</v>
      </c>
      <c r="AF1033" s="3">
        <f>VALUE(SUBSTITUTE(MID($A1033,M1033+M$2+1,N1033-M1033-M$2-1),",","."))</f>
        <v>0</v>
      </c>
      <c r="AG1033" s="3">
        <f>VALUE(SUBSTITUTE(MID($A1033,N1033+N$2+1,O1033-N1033-N$2-1),",","."))</f>
        <v>4.2328362294024799</v>
      </c>
      <c r="AH1033" t="str">
        <f>MID($A1033,O1033+O$2+1,P1033-O1033-O$2-1)</f>
        <v/>
      </c>
      <c r="AI1033" s="8" t="str">
        <f>MID($A1033,P1033+P$2+1,Q1033-P1033-P$2-1)</f>
        <v>False</v>
      </c>
      <c r="AK1033" t="b">
        <f t="shared" si="142"/>
        <v>1</v>
      </c>
    </row>
    <row r="1034" spans="1:37" x14ac:dyDescent="0.35">
      <c r="A1034" t="s">
        <v>5581</v>
      </c>
      <c r="B1034">
        <f t="shared" si="138"/>
        <v>10</v>
      </c>
      <c r="C1034">
        <f t="shared" si="138"/>
        <v>43</v>
      </c>
      <c r="D1034">
        <f t="shared" si="138"/>
        <v>54</v>
      </c>
      <c r="E1034">
        <f t="shared" si="137"/>
        <v>97</v>
      </c>
      <c r="F1034">
        <f t="shared" si="137"/>
        <v>141</v>
      </c>
      <c r="G1034">
        <f t="shared" si="137"/>
        <v>178</v>
      </c>
      <c r="H1034">
        <f t="shared" si="137"/>
        <v>226</v>
      </c>
      <c r="I1034">
        <f t="shared" si="137"/>
        <v>248</v>
      </c>
      <c r="J1034">
        <f t="shared" si="137"/>
        <v>282</v>
      </c>
      <c r="K1034">
        <f t="shared" si="137"/>
        <v>302</v>
      </c>
      <c r="L1034">
        <f t="shared" si="137"/>
        <v>334</v>
      </c>
      <c r="M1034">
        <f t="shared" si="137"/>
        <v>349</v>
      </c>
      <c r="N1034">
        <f t="shared" si="136"/>
        <v>361</v>
      </c>
      <c r="O1034">
        <f t="shared" si="136"/>
        <v>386</v>
      </c>
      <c r="P1034">
        <f t="shared" si="136"/>
        <v>404</v>
      </c>
      <c r="Q1034">
        <f t="shared" si="136"/>
        <v>430</v>
      </c>
      <c r="S1034" t="str">
        <f t="shared" si="139"/>
        <v>07.12.2025</v>
      </c>
      <c r="T1034" t="str">
        <f t="shared" si="140"/>
        <v>13:00:00</v>
      </c>
      <c r="U1034" t="str">
        <f t="shared" si="141"/>
        <v>07.12.2025 13:00:00</v>
      </c>
      <c r="V1034" s="9" t="str">
        <f>MID($A1034,C1034+C$2+1,D1034-C1034-C$2-1)</f>
        <v>0</v>
      </c>
      <c r="W1034" s="4">
        <f>VALUE(SUBSTITUTE(MID($A1034,D1034+D$2+1,E1034-D1034-D$2-1),",","."))</f>
        <v>0.71814733912665896</v>
      </c>
      <c r="X1034" s="4">
        <f>VALUE(SUBSTITUTE(MID($A1034,E1034+E$2+1,F1034-E1034-E$2-1),",","."))</f>
        <v>0.90957602214449496</v>
      </c>
      <c r="Y1034" s="4">
        <f>VALUE(SUBSTITUTE(MID($A1034,F1034+F$2+1,G1034-F1034-F$2-1),",","."))</f>
        <v>0.327332773263809</v>
      </c>
      <c r="Z1034" s="3">
        <f>VALUE(SUBSTITUTE(MID($A1034,G1034+G$2+1,H1034-G1034-G$2-1),",","."))</f>
        <v>91.483333333333306</v>
      </c>
      <c r="AA1034" s="3">
        <f>VALUE(SUBSTITUTE(MID($A1034,H1034+H$2+1,I1034-H1034-H$2-1),",","."))</f>
        <v>0</v>
      </c>
      <c r="AB1034" s="3">
        <f>VALUE(SUBSTITUTE(MID($A1034,I1034+I$2+1,J1034-I1034-I$2-1),",","."))</f>
        <v>98</v>
      </c>
      <c r="AC1034" s="3">
        <f>VALUE(SUBSTITUTE(MID($A1034,J1034+J$2+1,K1034-J1034-J$2-1),",","."))</f>
        <v>3.55</v>
      </c>
      <c r="AD1034" s="3">
        <f>VALUE(SUBSTITUTE(MID($A1034,K1034+K$2+1,L1034-K1034-K$2-1),",","."))</f>
        <v>56.519999999999897</v>
      </c>
      <c r="AE1034" s="3">
        <f>VALUE(SUBSTITUTE(MID($A1034,L1034+L$2+1,M1034-L1034-L$2-1),",","."))</f>
        <v>0</v>
      </c>
      <c r="AF1034" s="3">
        <f>VALUE(SUBSTITUTE(MID($A1034,M1034+M$2+1,N1034-M1034-M$2-1),",","."))</f>
        <v>0</v>
      </c>
      <c r="AG1034" s="3">
        <f>VALUE(SUBSTITUTE(MID($A1034,N1034+N$2+1,O1034-N1034-N$2-1),",","."))</f>
        <v>4.2328647492905596</v>
      </c>
      <c r="AH1034" t="str">
        <f>MID($A1034,O1034+O$2+1,P1034-O1034-O$2-1)</f>
        <v/>
      </c>
      <c r="AI1034" s="8" t="str">
        <f>MID($A1034,P1034+P$2+1,Q1034-P1034-P$2-1)</f>
        <v>False</v>
      </c>
      <c r="AK1034" t="b">
        <f t="shared" si="142"/>
        <v>1</v>
      </c>
    </row>
    <row r="1035" spans="1:37" x14ac:dyDescent="0.35">
      <c r="A1035" t="s">
        <v>5582</v>
      </c>
      <c r="B1035">
        <f t="shared" si="138"/>
        <v>10</v>
      </c>
      <c r="C1035">
        <f t="shared" si="138"/>
        <v>43</v>
      </c>
      <c r="D1035">
        <f t="shared" si="138"/>
        <v>54</v>
      </c>
      <c r="E1035">
        <f t="shared" si="137"/>
        <v>96</v>
      </c>
      <c r="F1035">
        <f t="shared" si="137"/>
        <v>140</v>
      </c>
      <c r="G1035">
        <f t="shared" si="137"/>
        <v>179</v>
      </c>
      <c r="H1035">
        <f t="shared" si="137"/>
        <v>227</v>
      </c>
      <c r="I1035">
        <f t="shared" si="137"/>
        <v>249</v>
      </c>
      <c r="J1035">
        <f t="shared" si="137"/>
        <v>283</v>
      </c>
      <c r="K1035">
        <f t="shared" si="137"/>
        <v>303</v>
      </c>
      <c r="L1035">
        <f t="shared" si="137"/>
        <v>335</v>
      </c>
      <c r="M1035">
        <f t="shared" si="137"/>
        <v>350</v>
      </c>
      <c r="N1035">
        <f t="shared" si="136"/>
        <v>362</v>
      </c>
      <c r="O1035">
        <f t="shared" si="136"/>
        <v>387</v>
      </c>
      <c r="P1035">
        <f t="shared" si="136"/>
        <v>405</v>
      </c>
      <c r="Q1035">
        <f t="shared" si="136"/>
        <v>431</v>
      </c>
      <c r="S1035" t="str">
        <f t="shared" si="139"/>
        <v>07.12.2025</v>
      </c>
      <c r="T1035" t="str">
        <f t="shared" si="140"/>
        <v>13:15:00</v>
      </c>
      <c r="U1035" t="str">
        <f t="shared" si="141"/>
        <v>07.12.2025 13:15:00</v>
      </c>
      <c r="V1035" s="9" t="str">
        <f>MID($A1035,C1035+C$2+1,D1035-C1035-C$2-1)</f>
        <v>0</v>
      </c>
      <c r="W1035" s="4">
        <f>VALUE(SUBSTITUTE(MID($A1035,D1035+D$2+1,E1035-D1035-D$2-1),",","."))</f>
        <v>0.69147190415284798</v>
      </c>
      <c r="X1035" s="4">
        <f>VALUE(SUBSTITUTE(MID($A1035,E1035+E$2+1,F1035-E1035-E$2-1),",","."))</f>
        <v>0.90957602214449496</v>
      </c>
      <c r="Y1035" s="4">
        <f>VALUE(SUBSTITUTE(MID($A1035,F1035+F$2+1,G1035-F1035-F$2-1),",","."))</f>
        <v>0.31699833432706598</v>
      </c>
      <c r="Z1035" s="3">
        <f>VALUE(SUBSTITUTE(MID($A1035,G1035+G$2+1,H1035-G1035-G$2-1),",","."))</f>
        <v>91.483333333333306</v>
      </c>
      <c r="AA1035" s="3">
        <f>VALUE(SUBSTITUTE(MID($A1035,H1035+H$2+1,I1035-H1035-H$2-1),",","."))</f>
        <v>0</v>
      </c>
      <c r="AB1035" s="3">
        <f>VALUE(SUBSTITUTE(MID($A1035,I1035+I$2+1,J1035-I1035-I$2-1),",","."))</f>
        <v>98</v>
      </c>
      <c r="AC1035" s="3">
        <f>VALUE(SUBSTITUTE(MID($A1035,J1035+J$2+1,K1035-J1035-J$2-1),",","."))</f>
        <v>3.55</v>
      </c>
      <c r="AD1035" s="3">
        <f>VALUE(SUBSTITUTE(MID($A1035,K1035+K$2+1,L1035-K1035-K$2-1),",","."))</f>
        <v>56.519999999999897</v>
      </c>
      <c r="AE1035" s="3">
        <f>VALUE(SUBSTITUTE(MID($A1035,L1035+L$2+1,M1035-L1035-L$2-1),",","."))</f>
        <v>0</v>
      </c>
      <c r="AF1035" s="3">
        <f>VALUE(SUBSTITUTE(MID($A1035,M1035+M$2+1,N1035-M1035-M$2-1),",","."))</f>
        <v>0</v>
      </c>
      <c r="AG1035" s="3">
        <f>VALUE(SUBSTITUTE(MID($A1035,N1035+N$2+1,O1035-N1035-N$2-1),",","."))</f>
        <v>4.2328932691786401</v>
      </c>
      <c r="AH1035" t="str">
        <f>MID($A1035,O1035+O$2+1,P1035-O1035-O$2-1)</f>
        <v/>
      </c>
      <c r="AI1035" s="8" t="str">
        <f>MID($A1035,P1035+P$2+1,Q1035-P1035-P$2-1)</f>
        <v>False</v>
      </c>
      <c r="AK1035" t="b">
        <f t="shared" si="142"/>
        <v>1</v>
      </c>
    </row>
    <row r="1036" spans="1:37" x14ac:dyDescent="0.35">
      <c r="A1036" t="s">
        <v>5583</v>
      </c>
      <c r="B1036">
        <f t="shared" si="138"/>
        <v>10</v>
      </c>
      <c r="C1036">
        <f t="shared" si="138"/>
        <v>43</v>
      </c>
      <c r="D1036">
        <f t="shared" si="138"/>
        <v>54</v>
      </c>
      <c r="E1036">
        <f t="shared" si="137"/>
        <v>97</v>
      </c>
      <c r="F1036">
        <f t="shared" si="137"/>
        <v>141</v>
      </c>
      <c r="G1036">
        <f t="shared" si="137"/>
        <v>180</v>
      </c>
      <c r="H1036">
        <f t="shared" si="137"/>
        <v>216</v>
      </c>
      <c r="I1036">
        <f t="shared" si="137"/>
        <v>238</v>
      </c>
      <c r="J1036">
        <f t="shared" si="137"/>
        <v>272</v>
      </c>
      <c r="K1036">
        <f t="shared" si="137"/>
        <v>291</v>
      </c>
      <c r="L1036">
        <f t="shared" si="137"/>
        <v>310</v>
      </c>
      <c r="M1036">
        <f t="shared" si="137"/>
        <v>325</v>
      </c>
      <c r="N1036">
        <f t="shared" si="136"/>
        <v>337</v>
      </c>
      <c r="O1036">
        <f t="shared" si="136"/>
        <v>362</v>
      </c>
      <c r="P1036">
        <f t="shared" si="136"/>
        <v>380</v>
      </c>
      <c r="Q1036">
        <f t="shared" si="136"/>
        <v>406</v>
      </c>
      <c r="S1036" t="str">
        <f t="shared" si="139"/>
        <v>07.12.2025</v>
      </c>
      <c r="T1036" t="str">
        <f t="shared" si="140"/>
        <v>13:30:00</v>
      </c>
      <c r="U1036" t="str">
        <f t="shared" si="141"/>
        <v>07.12.2025 13:30:00</v>
      </c>
      <c r="V1036" s="9" t="str">
        <f>MID($A1036,C1036+C$2+1,D1036-C1036-C$2-1)</f>
        <v>0</v>
      </c>
      <c r="W1036" s="4">
        <f>VALUE(SUBSTITUTE(MID($A1036,D1036+D$2+1,E1036-D1036-D$2-1),",","."))</f>
        <v>0.66145229314628096</v>
      </c>
      <c r="X1036" s="4">
        <f>VALUE(SUBSTITUTE(MID($A1036,E1036+E$2+1,F1036-E1036-E$2-1),",","."))</f>
        <v>0.90957602214449496</v>
      </c>
      <c r="Y1036" s="4">
        <f>VALUE(SUBSTITUTE(MID($A1036,F1036+F$2+1,G1036-F1036-F$2-1),",","."))</f>
        <v>0.30410862616620099</v>
      </c>
      <c r="Z1036" s="3">
        <f>VALUE(SUBSTITUTE(MID($A1036,G1036+G$2+1,H1036-G1036-G$2-1),",","."))</f>
        <v>129.1</v>
      </c>
      <c r="AA1036" s="3">
        <f>VALUE(SUBSTITUTE(MID($A1036,H1036+H$2+1,I1036-H1036-H$2-1),",","."))</f>
        <v>0</v>
      </c>
      <c r="AB1036" s="3">
        <f>VALUE(SUBSTITUTE(MID($A1036,I1036+I$2+1,J1036-I1036-I$2-1),",","."))</f>
        <v>88</v>
      </c>
      <c r="AC1036" s="3">
        <f>VALUE(SUBSTITUTE(MID($A1036,J1036+J$2+1,K1036-J1036-J$2-1),",","."))</f>
        <v>3.4</v>
      </c>
      <c r="AD1036" s="3">
        <f>VALUE(SUBSTITUTE(MID($A1036,K1036+K$2+1,L1036-K1036-K$2-1),",","."))</f>
        <v>53.64</v>
      </c>
      <c r="AE1036" s="3">
        <f>VALUE(SUBSTITUTE(MID($A1036,L1036+L$2+1,M1036-L1036-L$2-1),",","."))</f>
        <v>0</v>
      </c>
      <c r="AF1036" s="3">
        <f>VALUE(SUBSTITUTE(MID($A1036,M1036+M$2+1,N1036-M1036-M$2-1),",","."))</f>
        <v>0</v>
      </c>
      <c r="AG1036" s="3">
        <f>VALUE(SUBSTITUTE(MID($A1036,N1036+N$2+1,O1036-N1036-N$2-1),",","."))</f>
        <v>4.2329217890667197</v>
      </c>
      <c r="AH1036" t="str">
        <f>MID($A1036,O1036+O$2+1,P1036-O1036-O$2-1)</f>
        <v/>
      </c>
      <c r="AI1036" s="8" t="str">
        <f>MID($A1036,P1036+P$2+1,Q1036-P1036-P$2-1)</f>
        <v>False</v>
      </c>
      <c r="AK1036" t="b">
        <f t="shared" si="142"/>
        <v>0</v>
      </c>
    </row>
    <row r="1037" spans="1:37" x14ac:dyDescent="0.35">
      <c r="A1037" t="s">
        <v>5584</v>
      </c>
      <c r="B1037">
        <f t="shared" si="138"/>
        <v>10</v>
      </c>
      <c r="C1037">
        <f t="shared" si="138"/>
        <v>43</v>
      </c>
      <c r="D1037">
        <f t="shared" si="138"/>
        <v>54</v>
      </c>
      <c r="E1037">
        <f t="shared" si="137"/>
        <v>97</v>
      </c>
      <c r="F1037">
        <f t="shared" si="137"/>
        <v>141</v>
      </c>
      <c r="G1037">
        <f t="shared" si="137"/>
        <v>179</v>
      </c>
      <c r="H1037">
        <f t="shared" si="137"/>
        <v>215</v>
      </c>
      <c r="I1037">
        <f t="shared" si="137"/>
        <v>237</v>
      </c>
      <c r="J1037">
        <f t="shared" si="137"/>
        <v>271</v>
      </c>
      <c r="K1037">
        <f t="shared" si="137"/>
        <v>290</v>
      </c>
      <c r="L1037">
        <f t="shared" si="137"/>
        <v>309</v>
      </c>
      <c r="M1037">
        <f t="shared" si="137"/>
        <v>324</v>
      </c>
      <c r="N1037">
        <f t="shared" si="136"/>
        <v>336</v>
      </c>
      <c r="O1037">
        <f t="shared" si="136"/>
        <v>361</v>
      </c>
      <c r="P1037">
        <f t="shared" si="136"/>
        <v>379</v>
      </c>
      <c r="Q1037">
        <f t="shared" si="136"/>
        <v>405</v>
      </c>
      <c r="S1037" t="str">
        <f t="shared" si="139"/>
        <v>07.12.2025</v>
      </c>
      <c r="T1037" t="str">
        <f t="shared" si="140"/>
        <v>13:45:00</v>
      </c>
      <c r="U1037" t="str">
        <f t="shared" si="141"/>
        <v>07.12.2025 13:45:00</v>
      </c>
      <c r="V1037" s="9" t="str">
        <f>MID($A1037,C1037+C$2+1,D1037-C1037-C$2-1)</f>
        <v>0</v>
      </c>
      <c r="W1037" s="4">
        <f>VALUE(SUBSTITUTE(MID($A1037,D1037+D$2+1,E1037-D1037-D$2-1),",","."))</f>
        <v>0.62821873400454498</v>
      </c>
      <c r="X1037" s="4">
        <f>VALUE(SUBSTITUTE(MID($A1037,E1037+E$2+1,F1037-E1037-E$2-1),",","."))</f>
        <v>0.90957602214449496</v>
      </c>
      <c r="Y1037" s="4">
        <f>VALUE(SUBSTITUTE(MID($A1037,F1037+F$2+1,G1037-F1037-F$2-1),",","."))</f>
        <v>0.28872088985990502</v>
      </c>
      <c r="Z1037" s="3">
        <f>VALUE(SUBSTITUTE(MID($A1037,G1037+G$2+1,H1037-G1037-G$2-1),",","."))</f>
        <v>129.1</v>
      </c>
      <c r="AA1037" s="3">
        <f>VALUE(SUBSTITUTE(MID($A1037,H1037+H$2+1,I1037-H1037-H$2-1),",","."))</f>
        <v>0</v>
      </c>
      <c r="AB1037" s="3">
        <f>VALUE(SUBSTITUTE(MID($A1037,I1037+I$2+1,J1037-I1037-I$2-1),",","."))</f>
        <v>88</v>
      </c>
      <c r="AC1037" s="3">
        <f>VALUE(SUBSTITUTE(MID($A1037,J1037+J$2+1,K1037-J1037-J$2-1),",","."))</f>
        <v>3.4</v>
      </c>
      <c r="AD1037" s="3">
        <f>VALUE(SUBSTITUTE(MID($A1037,K1037+K$2+1,L1037-K1037-K$2-1),",","."))</f>
        <v>53.64</v>
      </c>
      <c r="AE1037" s="3">
        <f>VALUE(SUBSTITUTE(MID($A1037,L1037+L$2+1,M1037-L1037-L$2-1),",","."))</f>
        <v>0</v>
      </c>
      <c r="AF1037" s="3">
        <f>VALUE(SUBSTITUTE(MID($A1037,M1037+M$2+1,N1037-M1037-M$2-1),",","."))</f>
        <v>0</v>
      </c>
      <c r="AG1037" s="3">
        <f>VALUE(SUBSTITUTE(MID($A1037,N1037+N$2+1,O1037-N1037-N$2-1),",","."))</f>
        <v>4.2329503089548002</v>
      </c>
      <c r="AH1037" t="str">
        <f>MID($A1037,O1037+O$2+1,P1037-O1037-O$2-1)</f>
        <v/>
      </c>
      <c r="AI1037" s="8" t="str">
        <f>MID($A1037,P1037+P$2+1,Q1037-P1037-P$2-1)</f>
        <v>False</v>
      </c>
      <c r="AK1037" t="b">
        <f t="shared" si="142"/>
        <v>0</v>
      </c>
    </row>
    <row r="1038" spans="1:37" x14ac:dyDescent="0.35">
      <c r="A1038" t="s">
        <v>5585</v>
      </c>
      <c r="B1038">
        <f t="shared" si="138"/>
        <v>10</v>
      </c>
      <c r="C1038">
        <f t="shared" si="138"/>
        <v>43</v>
      </c>
      <c r="D1038">
        <f t="shared" si="138"/>
        <v>54</v>
      </c>
      <c r="E1038">
        <f t="shared" si="137"/>
        <v>97</v>
      </c>
      <c r="F1038">
        <f t="shared" si="137"/>
        <v>141</v>
      </c>
      <c r="G1038">
        <f t="shared" si="137"/>
        <v>179</v>
      </c>
      <c r="H1038">
        <f t="shared" si="137"/>
        <v>215</v>
      </c>
      <c r="I1038">
        <f t="shared" si="137"/>
        <v>237</v>
      </c>
      <c r="J1038">
        <f t="shared" si="137"/>
        <v>271</v>
      </c>
      <c r="K1038">
        <f t="shared" si="137"/>
        <v>290</v>
      </c>
      <c r="L1038">
        <f t="shared" si="137"/>
        <v>309</v>
      </c>
      <c r="M1038">
        <f t="shared" si="137"/>
        <v>324</v>
      </c>
      <c r="N1038">
        <f t="shared" si="136"/>
        <v>336</v>
      </c>
      <c r="O1038">
        <f t="shared" si="136"/>
        <v>361</v>
      </c>
      <c r="P1038">
        <f t="shared" si="136"/>
        <v>379</v>
      </c>
      <c r="Q1038">
        <f t="shared" si="136"/>
        <v>405</v>
      </c>
      <c r="S1038" t="str">
        <f t="shared" si="139"/>
        <v>07.12.2025</v>
      </c>
      <c r="T1038" t="str">
        <f t="shared" si="140"/>
        <v>14:00:00</v>
      </c>
      <c r="U1038" t="str">
        <f t="shared" si="141"/>
        <v>07.12.2025 14:00:00</v>
      </c>
      <c r="V1038" s="9" t="str">
        <f>MID($A1038,C1038+C$2+1,D1038-C1038-C$2-1)</f>
        <v>0</v>
      </c>
      <c r="W1038" s="4">
        <f>VALUE(SUBSTITUTE(MID($A1038,D1038+D$2+1,E1038-D1038-D$2-1),",","."))</f>
        <v>0.59191597290498099</v>
      </c>
      <c r="X1038" s="4">
        <f>VALUE(SUBSTITUTE(MID($A1038,E1038+E$2+1,F1038-E1038-E$2-1),",","."))</f>
        <v>0.90957602214449496</v>
      </c>
      <c r="Y1038" s="4">
        <f>VALUE(SUBSTITUTE(MID($A1038,F1038+F$2+1,G1038-F1038-F$2-1),",","."))</f>
        <v>0.27090398728884002</v>
      </c>
      <c r="Z1038" s="3">
        <f>VALUE(SUBSTITUTE(MID($A1038,G1038+G$2+1,H1038-G1038-G$2-1),",","."))</f>
        <v>129.1</v>
      </c>
      <c r="AA1038" s="3">
        <f>VALUE(SUBSTITUTE(MID($A1038,H1038+H$2+1,I1038-H1038-H$2-1),",","."))</f>
        <v>0</v>
      </c>
      <c r="AB1038" s="3">
        <f>VALUE(SUBSTITUTE(MID($A1038,I1038+I$2+1,J1038-I1038-I$2-1),",","."))</f>
        <v>88</v>
      </c>
      <c r="AC1038" s="3">
        <f>VALUE(SUBSTITUTE(MID($A1038,J1038+J$2+1,K1038-J1038-J$2-1),",","."))</f>
        <v>3.4</v>
      </c>
      <c r="AD1038" s="3">
        <f>VALUE(SUBSTITUTE(MID($A1038,K1038+K$2+1,L1038-K1038-K$2-1),",","."))</f>
        <v>53.64</v>
      </c>
      <c r="AE1038" s="3">
        <f>VALUE(SUBSTITUTE(MID($A1038,L1038+L$2+1,M1038-L1038-L$2-1),",","."))</f>
        <v>0</v>
      </c>
      <c r="AF1038" s="3">
        <f>VALUE(SUBSTITUTE(MID($A1038,M1038+M$2+1,N1038-M1038-M$2-1),",","."))</f>
        <v>0</v>
      </c>
      <c r="AG1038" s="3">
        <f>VALUE(SUBSTITUTE(MID($A1038,N1038+N$2+1,O1038-N1038-N$2-1),",","."))</f>
        <v>4.2329788288428798</v>
      </c>
      <c r="AH1038" t="str">
        <f>MID($A1038,O1038+O$2+1,P1038-O1038-O$2-1)</f>
        <v/>
      </c>
      <c r="AI1038" s="8" t="str">
        <f>MID($A1038,P1038+P$2+1,Q1038-P1038-P$2-1)</f>
        <v>False</v>
      </c>
      <c r="AK1038" t="b">
        <f t="shared" si="142"/>
        <v>0</v>
      </c>
    </row>
    <row r="1039" spans="1:37" x14ac:dyDescent="0.35">
      <c r="A1039" t="s">
        <v>5586</v>
      </c>
      <c r="B1039">
        <f t="shared" si="138"/>
        <v>10</v>
      </c>
      <c r="C1039">
        <f t="shared" si="138"/>
        <v>43</v>
      </c>
      <c r="D1039">
        <f t="shared" si="138"/>
        <v>54</v>
      </c>
      <c r="E1039">
        <f t="shared" si="137"/>
        <v>97</v>
      </c>
      <c r="F1039">
        <f t="shared" si="137"/>
        <v>141</v>
      </c>
      <c r="G1039">
        <f t="shared" si="137"/>
        <v>180</v>
      </c>
      <c r="H1039">
        <f t="shared" si="137"/>
        <v>216</v>
      </c>
      <c r="I1039">
        <f t="shared" si="137"/>
        <v>238</v>
      </c>
      <c r="J1039">
        <f t="shared" si="137"/>
        <v>272</v>
      </c>
      <c r="K1039">
        <f t="shared" si="137"/>
        <v>291</v>
      </c>
      <c r="L1039">
        <f t="shared" si="137"/>
        <v>310</v>
      </c>
      <c r="M1039">
        <f t="shared" si="137"/>
        <v>325</v>
      </c>
      <c r="N1039">
        <f t="shared" si="136"/>
        <v>337</v>
      </c>
      <c r="O1039">
        <f t="shared" si="136"/>
        <v>362</v>
      </c>
      <c r="P1039">
        <f t="shared" si="136"/>
        <v>380</v>
      </c>
      <c r="Q1039">
        <f t="shared" si="136"/>
        <v>406</v>
      </c>
      <c r="S1039" t="str">
        <f t="shared" si="139"/>
        <v>07.12.2025</v>
      </c>
      <c r="T1039" t="str">
        <f t="shared" si="140"/>
        <v>14:15:00</v>
      </c>
      <c r="U1039" t="str">
        <f t="shared" si="141"/>
        <v>07.12.2025 14:15:00</v>
      </c>
      <c r="V1039" s="9" t="str">
        <f>MID($A1039,C1039+C$2+1,D1039-C1039-C$2-1)</f>
        <v>0</v>
      </c>
      <c r="W1039" s="4">
        <f>VALUE(SUBSTITUTE(MID($A1039,D1039+D$2+1,E1039-D1039-D$2-1),",","."))</f>
        <v>0.55270303932091402</v>
      </c>
      <c r="X1039" s="4">
        <f>VALUE(SUBSTITUTE(MID($A1039,E1039+E$2+1,F1039-E1039-E$2-1),",","."))</f>
        <v>0.90957602214449496</v>
      </c>
      <c r="Y1039" s="4">
        <f>VALUE(SUBSTITUTE(MID($A1039,F1039+F$2+1,G1039-F1039-F$2-1),",","."))</f>
        <v>0.25073857374648001</v>
      </c>
      <c r="Z1039" s="3">
        <f>VALUE(SUBSTITUTE(MID($A1039,G1039+G$2+1,H1039-G1039-G$2-1),",","."))</f>
        <v>129.1</v>
      </c>
      <c r="AA1039" s="3">
        <f>VALUE(SUBSTITUTE(MID($A1039,H1039+H$2+1,I1039-H1039-H$2-1),",","."))</f>
        <v>0</v>
      </c>
      <c r="AB1039" s="3">
        <f>VALUE(SUBSTITUTE(MID($A1039,I1039+I$2+1,J1039-I1039-I$2-1),",","."))</f>
        <v>88</v>
      </c>
      <c r="AC1039" s="3">
        <f>VALUE(SUBSTITUTE(MID($A1039,J1039+J$2+1,K1039-J1039-J$2-1),",","."))</f>
        <v>3.4</v>
      </c>
      <c r="AD1039" s="3">
        <f>VALUE(SUBSTITUTE(MID($A1039,K1039+K$2+1,L1039-K1039-K$2-1),",","."))</f>
        <v>53.64</v>
      </c>
      <c r="AE1039" s="3">
        <f>VALUE(SUBSTITUTE(MID($A1039,L1039+L$2+1,M1039-L1039-L$2-1),",","."))</f>
        <v>0</v>
      </c>
      <c r="AF1039" s="3">
        <f>VALUE(SUBSTITUTE(MID($A1039,M1039+M$2+1,N1039-M1039-M$2-1),",","."))</f>
        <v>0</v>
      </c>
      <c r="AG1039" s="3">
        <f>VALUE(SUBSTITUTE(MID($A1039,N1039+N$2+1,O1039-N1039-N$2-1),",","."))</f>
        <v>4.2330073487309603</v>
      </c>
      <c r="AH1039" t="str">
        <f>MID($A1039,O1039+O$2+1,P1039-O1039-O$2-1)</f>
        <v/>
      </c>
      <c r="AI1039" s="8" t="str">
        <f>MID($A1039,P1039+P$2+1,Q1039-P1039-P$2-1)</f>
        <v>False</v>
      </c>
      <c r="AK1039" t="b">
        <f t="shared" si="142"/>
        <v>0</v>
      </c>
    </row>
    <row r="1040" spans="1:37" x14ac:dyDescent="0.35">
      <c r="A1040" t="s">
        <v>5587</v>
      </c>
      <c r="B1040">
        <f t="shared" si="138"/>
        <v>10</v>
      </c>
      <c r="C1040">
        <f t="shared" si="138"/>
        <v>43</v>
      </c>
      <c r="D1040">
        <f t="shared" si="138"/>
        <v>54</v>
      </c>
      <c r="E1040">
        <f t="shared" si="137"/>
        <v>97</v>
      </c>
      <c r="F1040">
        <f t="shared" si="137"/>
        <v>141</v>
      </c>
      <c r="G1040">
        <f t="shared" si="137"/>
        <v>180</v>
      </c>
      <c r="H1040">
        <f t="shared" si="137"/>
        <v>229</v>
      </c>
      <c r="I1040">
        <f t="shared" si="137"/>
        <v>251</v>
      </c>
      <c r="J1040">
        <f t="shared" si="137"/>
        <v>285</v>
      </c>
      <c r="K1040">
        <f t="shared" si="137"/>
        <v>302</v>
      </c>
      <c r="L1040">
        <f t="shared" si="137"/>
        <v>321</v>
      </c>
      <c r="M1040">
        <f t="shared" si="137"/>
        <v>336</v>
      </c>
      <c r="N1040">
        <f t="shared" si="136"/>
        <v>348</v>
      </c>
      <c r="O1040">
        <f t="shared" si="136"/>
        <v>374</v>
      </c>
      <c r="P1040">
        <f t="shared" si="136"/>
        <v>392</v>
      </c>
      <c r="Q1040">
        <f t="shared" si="136"/>
        <v>418</v>
      </c>
      <c r="S1040" t="str">
        <f t="shared" si="139"/>
        <v>07.12.2025</v>
      </c>
      <c r="T1040" t="str">
        <f t="shared" si="140"/>
        <v>14:30:00</v>
      </c>
      <c r="U1040" t="str">
        <f t="shared" si="141"/>
        <v>07.12.2025 14:30:00</v>
      </c>
      <c r="V1040" s="9" t="str">
        <f>MID($A1040,C1040+C$2+1,D1040-C1040-C$2-1)</f>
        <v>0</v>
      </c>
      <c r="W1040" s="4">
        <f>VALUE(SUBSTITUTE(MID($A1040,D1040+D$2+1,E1040-D1040-D$2-1),",","."))</f>
        <v>0.51075323068867096</v>
      </c>
      <c r="X1040" s="4">
        <f>VALUE(SUBSTITUTE(MID($A1040,E1040+E$2+1,F1040-E1040-E$2-1),",","."))</f>
        <v>0.90957602214449496</v>
      </c>
      <c r="Y1040" s="4">
        <f>VALUE(SUBSTITUTE(MID($A1040,F1040+F$2+1,G1040-F1040-F$2-1),",","."))</f>
        <v>0.228317561162275</v>
      </c>
      <c r="Z1040" s="3">
        <f>VALUE(SUBSTITUTE(MID($A1040,G1040+G$2+1,H1040-G1040-G$2-1),",","."))</f>
        <v>184.083333333333</v>
      </c>
      <c r="AA1040" s="3">
        <f>VALUE(SUBSTITUTE(MID($A1040,H1040+H$2+1,I1040-H1040-H$2-1),",","."))</f>
        <v>0</v>
      </c>
      <c r="AB1040" s="3">
        <f>VALUE(SUBSTITUTE(MID($A1040,I1040+I$2+1,J1040-I1040-I$2-1),",","."))</f>
        <v>68</v>
      </c>
      <c r="AC1040" s="3">
        <f>VALUE(SUBSTITUTE(MID($A1040,J1040+J$2+1,K1040-J1040-J$2-1),",","."))</f>
        <v>3</v>
      </c>
      <c r="AD1040" s="3">
        <f>VALUE(SUBSTITUTE(MID($A1040,K1040+K$2+1,L1040-K1040-K$2-1),",","."))</f>
        <v>48.42</v>
      </c>
      <c r="AE1040" s="3">
        <f>VALUE(SUBSTITUTE(MID($A1040,L1040+L$2+1,M1040-L1040-L$2-1),",","."))</f>
        <v>0</v>
      </c>
      <c r="AF1040" s="3">
        <f>VALUE(SUBSTITUTE(MID($A1040,M1040+M$2+1,N1040-M1040-M$2-1),",","."))</f>
        <v>0</v>
      </c>
      <c r="AG1040" s="3">
        <f>VALUE(SUBSTITUTE(MID($A1040,N1040+N$2+1,O1040-N1040-N$2-1),",","."))</f>
        <v>4.2330358686190497</v>
      </c>
      <c r="AH1040" t="str">
        <f>MID($A1040,O1040+O$2+1,P1040-O1040-O$2-1)</f>
        <v/>
      </c>
      <c r="AI1040" s="8" t="str">
        <f>MID($A1040,P1040+P$2+1,Q1040-P1040-P$2-1)</f>
        <v>False</v>
      </c>
      <c r="AK1040" t="b">
        <f t="shared" si="142"/>
        <v>0</v>
      </c>
    </row>
    <row r="1041" spans="1:37" x14ac:dyDescent="0.35">
      <c r="A1041" t="s">
        <v>5588</v>
      </c>
      <c r="B1041">
        <f t="shared" si="138"/>
        <v>10</v>
      </c>
      <c r="C1041">
        <f t="shared" si="138"/>
        <v>43</v>
      </c>
      <c r="D1041">
        <f t="shared" si="138"/>
        <v>54</v>
      </c>
      <c r="E1041">
        <f t="shared" si="137"/>
        <v>97</v>
      </c>
      <c r="F1041">
        <f t="shared" si="137"/>
        <v>141</v>
      </c>
      <c r="G1041">
        <f t="shared" si="137"/>
        <v>179</v>
      </c>
      <c r="H1041">
        <f t="shared" si="137"/>
        <v>228</v>
      </c>
      <c r="I1041">
        <f t="shared" si="137"/>
        <v>250</v>
      </c>
      <c r="J1041">
        <f t="shared" si="137"/>
        <v>284</v>
      </c>
      <c r="K1041">
        <f t="shared" si="137"/>
        <v>301</v>
      </c>
      <c r="L1041">
        <f t="shared" si="137"/>
        <v>320</v>
      </c>
      <c r="M1041">
        <f t="shared" si="137"/>
        <v>335</v>
      </c>
      <c r="N1041">
        <f t="shared" si="136"/>
        <v>347</v>
      </c>
      <c r="O1041">
        <f t="shared" si="136"/>
        <v>372</v>
      </c>
      <c r="P1041">
        <f t="shared" si="136"/>
        <v>390</v>
      </c>
      <c r="Q1041">
        <f t="shared" si="136"/>
        <v>416</v>
      </c>
      <c r="S1041" t="str">
        <f t="shared" si="139"/>
        <v>07.12.2025</v>
      </c>
      <c r="T1041" t="str">
        <f t="shared" si="140"/>
        <v>14:45:00</v>
      </c>
      <c r="U1041" t="str">
        <f t="shared" si="141"/>
        <v>07.12.2025 14:45:00</v>
      </c>
      <c r="V1041" s="9" t="str">
        <f>MID($A1041,C1041+C$2+1,D1041-C1041-C$2-1)</f>
        <v>0</v>
      </c>
      <c r="W1041" s="4">
        <f>VALUE(SUBSTITUTE(MID($A1041,D1041+D$2+1,E1041-D1041-D$2-1),",","."))</f>
        <v>0.46625457846427298</v>
      </c>
      <c r="X1041" s="4">
        <f>VALUE(SUBSTITUTE(MID($A1041,E1041+E$2+1,F1041-E1041-E$2-1),",","."))</f>
        <v>0.90957602214449496</v>
      </c>
      <c r="Y1041" s="4">
        <f>VALUE(SUBSTITUTE(MID($A1041,F1041+F$2+1,G1041-F1041-F$2-1),",","."))</f>
        <v>0.203747187973077</v>
      </c>
      <c r="Z1041" s="3">
        <f>VALUE(SUBSTITUTE(MID($A1041,G1041+G$2+1,H1041-G1041-G$2-1),",","."))</f>
        <v>184.083333333333</v>
      </c>
      <c r="AA1041" s="3">
        <f>VALUE(SUBSTITUTE(MID($A1041,H1041+H$2+1,I1041-H1041-H$2-1),",","."))</f>
        <v>0</v>
      </c>
      <c r="AB1041" s="3">
        <f>VALUE(SUBSTITUTE(MID($A1041,I1041+I$2+1,J1041-I1041-I$2-1),",","."))</f>
        <v>68</v>
      </c>
      <c r="AC1041" s="3">
        <f>VALUE(SUBSTITUTE(MID($A1041,J1041+J$2+1,K1041-J1041-J$2-1),",","."))</f>
        <v>3</v>
      </c>
      <c r="AD1041" s="3">
        <f>VALUE(SUBSTITUTE(MID($A1041,K1041+K$2+1,L1041-K1041-K$2-1),",","."))</f>
        <v>48.42</v>
      </c>
      <c r="AE1041" s="3">
        <f>VALUE(SUBSTITUTE(MID($A1041,L1041+L$2+1,M1041-L1041-L$2-1),",","."))</f>
        <v>0</v>
      </c>
      <c r="AF1041" s="3">
        <f>VALUE(SUBSTITUTE(MID($A1041,M1041+M$2+1,N1041-M1041-M$2-1),",","."))</f>
        <v>0</v>
      </c>
      <c r="AG1041" s="3">
        <f>VALUE(SUBSTITUTE(MID($A1041,N1041+N$2+1,O1041-N1041-N$2-1),",","."))</f>
        <v>4.2330643885071302</v>
      </c>
      <c r="AH1041" t="str">
        <f>MID($A1041,O1041+O$2+1,P1041-O1041-O$2-1)</f>
        <v/>
      </c>
      <c r="AI1041" s="8" t="str">
        <f>MID($A1041,P1041+P$2+1,Q1041-P1041-P$2-1)</f>
        <v>False</v>
      </c>
      <c r="AK1041" t="b">
        <f t="shared" si="142"/>
        <v>0</v>
      </c>
    </row>
    <row r="1042" spans="1:37" x14ac:dyDescent="0.35">
      <c r="A1042" t="s">
        <v>5589</v>
      </c>
      <c r="B1042">
        <f t="shared" si="138"/>
        <v>10</v>
      </c>
      <c r="C1042">
        <f t="shared" si="138"/>
        <v>43</v>
      </c>
      <c r="D1042">
        <f t="shared" si="138"/>
        <v>54</v>
      </c>
      <c r="E1042">
        <f t="shared" si="137"/>
        <v>96</v>
      </c>
      <c r="F1042">
        <f t="shared" si="137"/>
        <v>140</v>
      </c>
      <c r="G1042">
        <f t="shared" si="137"/>
        <v>177</v>
      </c>
      <c r="H1042">
        <f t="shared" si="137"/>
        <v>226</v>
      </c>
      <c r="I1042">
        <f t="shared" si="137"/>
        <v>248</v>
      </c>
      <c r="J1042">
        <f t="shared" si="137"/>
        <v>282</v>
      </c>
      <c r="K1042">
        <f t="shared" si="137"/>
        <v>299</v>
      </c>
      <c r="L1042">
        <f t="shared" si="137"/>
        <v>318</v>
      </c>
      <c r="M1042">
        <f t="shared" si="137"/>
        <v>333</v>
      </c>
      <c r="N1042">
        <f t="shared" si="136"/>
        <v>345</v>
      </c>
      <c r="O1042">
        <f t="shared" si="136"/>
        <v>370</v>
      </c>
      <c r="P1042">
        <f t="shared" si="136"/>
        <v>388</v>
      </c>
      <c r="Q1042">
        <f t="shared" si="136"/>
        <v>414</v>
      </c>
      <c r="S1042" t="str">
        <f t="shared" si="139"/>
        <v>07.12.2025</v>
      </c>
      <c r="T1042" t="str">
        <f t="shared" si="140"/>
        <v>15:00:00</v>
      </c>
      <c r="U1042" t="str">
        <f t="shared" si="141"/>
        <v>07.12.2025 15:00:00</v>
      </c>
      <c r="V1042" s="9" t="str">
        <f>MID($A1042,C1042+C$2+1,D1042-C1042-C$2-1)</f>
        <v>0</v>
      </c>
      <c r="W1042" s="4">
        <f>VALUE(SUBSTITUTE(MID($A1042,D1042+D$2+1,E1042-D1042-D$2-1),",","."))</f>
        <v>0.41941137598127298</v>
      </c>
      <c r="X1042" s="4">
        <f>VALUE(SUBSTITUTE(MID($A1042,E1042+E$2+1,F1042-E1042-E$2-1),",","."))</f>
        <v>0.90957602214449496</v>
      </c>
      <c r="Y1042" s="4">
        <f>VALUE(SUBSTITUTE(MID($A1042,F1042+F$2+1,G1042-F1042-F$2-1),",","."))</f>
        <v>0.177149397989428</v>
      </c>
      <c r="Z1042" s="3">
        <f>VALUE(SUBSTITUTE(MID($A1042,G1042+G$2+1,H1042-G1042-G$2-1),",","."))</f>
        <v>184.083333333333</v>
      </c>
      <c r="AA1042" s="3">
        <f>VALUE(SUBSTITUTE(MID($A1042,H1042+H$2+1,I1042-H1042-H$2-1),",","."))</f>
        <v>0</v>
      </c>
      <c r="AB1042" s="3">
        <f>VALUE(SUBSTITUTE(MID($A1042,I1042+I$2+1,J1042-I1042-I$2-1),",","."))</f>
        <v>68</v>
      </c>
      <c r="AC1042" s="3">
        <f>VALUE(SUBSTITUTE(MID($A1042,J1042+J$2+1,K1042-J1042-J$2-1),",","."))</f>
        <v>3</v>
      </c>
      <c r="AD1042" s="3">
        <f>VALUE(SUBSTITUTE(MID($A1042,K1042+K$2+1,L1042-K1042-K$2-1),",","."))</f>
        <v>48.42</v>
      </c>
      <c r="AE1042" s="3">
        <f>VALUE(SUBSTITUTE(MID($A1042,L1042+L$2+1,M1042-L1042-L$2-1),",","."))</f>
        <v>0</v>
      </c>
      <c r="AF1042" s="3">
        <f>VALUE(SUBSTITUTE(MID($A1042,M1042+M$2+1,N1042-M1042-M$2-1),",","."))</f>
        <v>0</v>
      </c>
      <c r="AG1042" s="3">
        <f>VALUE(SUBSTITUTE(MID($A1042,N1042+N$2+1,O1042-N1042-N$2-1),",","."))</f>
        <v>4.2330929083952098</v>
      </c>
      <c r="AH1042" t="str">
        <f>MID($A1042,O1042+O$2+1,P1042-O1042-O$2-1)</f>
        <v/>
      </c>
      <c r="AI1042" s="8" t="str">
        <f>MID($A1042,P1042+P$2+1,Q1042-P1042-P$2-1)</f>
        <v>False</v>
      </c>
      <c r="AK1042" t="b">
        <f t="shared" si="142"/>
        <v>0</v>
      </c>
    </row>
    <row r="1043" spans="1:37" x14ac:dyDescent="0.35">
      <c r="A1043" t="s">
        <v>5590</v>
      </c>
      <c r="B1043">
        <f t="shared" si="138"/>
        <v>10</v>
      </c>
      <c r="C1043">
        <f t="shared" si="138"/>
        <v>43</v>
      </c>
      <c r="D1043">
        <f t="shared" si="138"/>
        <v>54</v>
      </c>
      <c r="E1043">
        <f t="shared" si="137"/>
        <v>97</v>
      </c>
      <c r="F1043">
        <f t="shared" si="137"/>
        <v>141</v>
      </c>
      <c r="G1043">
        <f t="shared" si="137"/>
        <v>180</v>
      </c>
      <c r="H1043">
        <f t="shared" ref="H1043:Q1069" si="143">FIND(H$1,$A1043)</f>
        <v>229</v>
      </c>
      <c r="I1043">
        <f t="shared" si="143"/>
        <v>251</v>
      </c>
      <c r="J1043">
        <f t="shared" si="143"/>
        <v>285</v>
      </c>
      <c r="K1043">
        <f t="shared" si="143"/>
        <v>302</v>
      </c>
      <c r="L1043">
        <f t="shared" si="143"/>
        <v>321</v>
      </c>
      <c r="M1043">
        <f t="shared" si="143"/>
        <v>336</v>
      </c>
      <c r="N1043">
        <f t="shared" si="136"/>
        <v>348</v>
      </c>
      <c r="O1043">
        <f t="shared" si="136"/>
        <v>373</v>
      </c>
      <c r="P1043">
        <f t="shared" si="136"/>
        <v>391</v>
      </c>
      <c r="Q1043">
        <f t="shared" si="136"/>
        <v>417</v>
      </c>
      <c r="S1043" t="str">
        <f t="shared" si="139"/>
        <v>07.12.2025</v>
      </c>
      <c r="T1043" t="str">
        <f t="shared" si="140"/>
        <v>15:15:00</v>
      </c>
      <c r="U1043" t="str">
        <f t="shared" si="141"/>
        <v>07.12.2025 15:15:00</v>
      </c>
      <c r="V1043" s="9" t="str">
        <f>MID($A1043,C1043+C$2+1,D1043-C1043-C$2-1)</f>
        <v>0</v>
      </c>
      <c r="W1043" s="4">
        <f>VALUE(SUBSTITUTE(MID($A1043,D1043+D$2+1,E1043-D1043-D$2-1),",","."))</f>
        <v>0.37044816897986699</v>
      </c>
      <c r="X1043" s="4">
        <f>VALUE(SUBSTITUTE(MID($A1043,E1043+E$2+1,F1043-E1043-E$2-1),",","."))</f>
        <v>0.90957602214449496</v>
      </c>
      <c r="Y1043" s="4">
        <f>VALUE(SUBSTITUTE(MID($A1043,F1043+F$2+1,G1043-F1043-F$2-1),",","."))</f>
        <v>0.148667227068566</v>
      </c>
      <c r="Z1043" s="3">
        <f>VALUE(SUBSTITUTE(MID($A1043,G1043+G$2+1,H1043-G1043-G$2-1),",","."))</f>
        <v>184.083333333333</v>
      </c>
      <c r="AA1043" s="3">
        <f>VALUE(SUBSTITUTE(MID($A1043,H1043+H$2+1,I1043-H1043-H$2-1),",","."))</f>
        <v>0</v>
      </c>
      <c r="AB1043" s="3">
        <f>VALUE(SUBSTITUTE(MID($A1043,I1043+I$2+1,J1043-I1043-I$2-1),",","."))</f>
        <v>68</v>
      </c>
      <c r="AC1043" s="3">
        <f>VALUE(SUBSTITUTE(MID($A1043,J1043+J$2+1,K1043-J1043-J$2-1),",","."))</f>
        <v>3</v>
      </c>
      <c r="AD1043" s="3">
        <f>VALUE(SUBSTITUTE(MID($A1043,K1043+K$2+1,L1043-K1043-K$2-1),",","."))</f>
        <v>48.42</v>
      </c>
      <c r="AE1043" s="3">
        <f>VALUE(SUBSTITUTE(MID($A1043,L1043+L$2+1,M1043-L1043-L$2-1),",","."))</f>
        <v>0</v>
      </c>
      <c r="AF1043" s="3">
        <f>VALUE(SUBSTITUTE(MID($A1043,M1043+M$2+1,N1043-M1043-M$2-1),",","."))</f>
        <v>0</v>
      </c>
      <c r="AG1043" s="3">
        <f>VALUE(SUBSTITUTE(MID($A1043,N1043+N$2+1,O1043-N1043-N$2-1),",","."))</f>
        <v>4.2331214282832903</v>
      </c>
      <c r="AH1043" t="str">
        <f>MID($A1043,O1043+O$2+1,P1043-O1043-O$2-1)</f>
        <v/>
      </c>
      <c r="AI1043" s="8" t="str">
        <f>MID($A1043,P1043+P$2+1,Q1043-P1043-P$2-1)</f>
        <v>False</v>
      </c>
      <c r="AK1043" t="b">
        <f t="shared" si="142"/>
        <v>0</v>
      </c>
    </row>
    <row r="1044" spans="1:37" x14ac:dyDescent="0.35">
      <c r="A1044" t="s">
        <v>5591</v>
      </c>
      <c r="B1044">
        <f t="shared" si="138"/>
        <v>10</v>
      </c>
      <c r="C1044">
        <f t="shared" si="138"/>
        <v>43</v>
      </c>
      <c r="D1044">
        <f t="shared" si="138"/>
        <v>54</v>
      </c>
      <c r="E1044">
        <f t="shared" si="138"/>
        <v>97</v>
      </c>
      <c r="F1044">
        <f t="shared" si="138"/>
        <v>141</v>
      </c>
      <c r="G1044">
        <f t="shared" si="138"/>
        <v>180</v>
      </c>
      <c r="H1044">
        <f t="shared" si="143"/>
        <v>229</v>
      </c>
      <c r="I1044">
        <f t="shared" si="143"/>
        <v>251</v>
      </c>
      <c r="J1044">
        <f t="shared" si="143"/>
        <v>287</v>
      </c>
      <c r="K1044">
        <f t="shared" si="143"/>
        <v>306</v>
      </c>
      <c r="L1044">
        <f t="shared" si="143"/>
        <v>324</v>
      </c>
      <c r="M1044">
        <f t="shared" si="143"/>
        <v>339</v>
      </c>
      <c r="N1044">
        <f t="shared" si="136"/>
        <v>351</v>
      </c>
      <c r="O1044">
        <f t="shared" si="136"/>
        <v>376</v>
      </c>
      <c r="P1044">
        <f t="shared" si="136"/>
        <v>394</v>
      </c>
      <c r="Q1044">
        <f t="shared" si="136"/>
        <v>420</v>
      </c>
      <c r="S1044" t="str">
        <f t="shared" si="139"/>
        <v>07.12.2025</v>
      </c>
      <c r="T1044" t="str">
        <f t="shared" si="140"/>
        <v>15:30:00</v>
      </c>
      <c r="U1044" t="str">
        <f t="shared" si="141"/>
        <v>07.12.2025 15:30:00</v>
      </c>
      <c r="V1044" s="9" t="str">
        <f>MID($A1044,C1044+C$2+1,D1044-C1044-C$2-1)</f>
        <v>0</v>
      </c>
      <c r="W1044" s="4">
        <f>VALUE(SUBSTITUTE(MID($A1044,D1044+D$2+1,E1044-D1044-D$2-1),",","."))</f>
        <v>0.319619970680114</v>
      </c>
      <c r="X1044" s="4">
        <f>VALUE(SUBSTITUTE(MID($A1044,E1044+E$2+1,F1044-E1044-E$2-1),",","."))</f>
        <v>0.90957602214449496</v>
      </c>
      <c r="Y1044" s="4">
        <f>VALUE(SUBSTITUTE(MID($A1044,F1044+F$2+1,G1044-F1044-F$2-1),",","."))</f>
        <v>0.118477761969943</v>
      </c>
      <c r="Z1044" s="3">
        <f>VALUE(SUBSTITUTE(MID($A1044,G1044+G$2+1,H1044-G1044-G$2-1),",","."))</f>
        <v>241.64999999999901</v>
      </c>
      <c r="AA1044" s="3">
        <f>VALUE(SUBSTITUTE(MID($A1044,H1044+H$2+1,I1044-H1044-H$2-1),",","."))</f>
        <v>0</v>
      </c>
      <c r="AB1044" s="3">
        <f>VALUE(SUBSTITUTE(MID($A1044,I1044+I$2+1,J1044-I1044-I$2-1),",","."))</f>
        <v>37.5</v>
      </c>
      <c r="AC1044" s="3">
        <f>VALUE(SUBSTITUTE(MID($A1044,J1044+J$2+1,K1044-J1044-J$2-1),",","."))</f>
        <v>2.5</v>
      </c>
      <c r="AD1044" s="3">
        <f>VALUE(SUBSTITUTE(MID($A1044,K1044+K$2+1,L1044-K1044-K$2-1),",","."))</f>
        <v>42.3</v>
      </c>
      <c r="AE1044" s="3">
        <f>VALUE(SUBSTITUTE(MID($A1044,L1044+L$2+1,M1044-L1044-L$2-1),",","."))</f>
        <v>0</v>
      </c>
      <c r="AF1044" s="3">
        <f>VALUE(SUBSTITUTE(MID($A1044,M1044+M$2+1,N1044-M1044-M$2-1),",","."))</f>
        <v>0</v>
      </c>
      <c r="AG1044" s="3">
        <f>VALUE(SUBSTITUTE(MID($A1044,N1044+N$2+1,O1044-N1044-N$2-1),",","."))</f>
        <v>4.2331499481713699</v>
      </c>
      <c r="AH1044" t="str">
        <f>MID($A1044,O1044+O$2+1,P1044-O1044-O$2-1)</f>
        <v/>
      </c>
      <c r="AI1044" s="8" t="str">
        <f>MID($A1044,P1044+P$2+1,Q1044-P1044-P$2-1)</f>
        <v>False</v>
      </c>
      <c r="AK1044" t="b">
        <f t="shared" si="142"/>
        <v>0</v>
      </c>
    </row>
    <row r="1045" spans="1:37" x14ac:dyDescent="0.35">
      <c r="A1045" t="s">
        <v>5592</v>
      </c>
      <c r="B1045">
        <f t="shared" si="138"/>
        <v>10</v>
      </c>
      <c r="C1045">
        <f t="shared" si="138"/>
        <v>43</v>
      </c>
      <c r="D1045">
        <f t="shared" si="138"/>
        <v>54</v>
      </c>
      <c r="E1045">
        <f t="shared" si="138"/>
        <v>80</v>
      </c>
      <c r="F1045">
        <f t="shared" si="138"/>
        <v>124</v>
      </c>
      <c r="G1045">
        <f t="shared" si="138"/>
        <v>163</v>
      </c>
      <c r="H1045">
        <f t="shared" si="143"/>
        <v>212</v>
      </c>
      <c r="I1045">
        <f t="shared" si="143"/>
        <v>234</v>
      </c>
      <c r="J1045">
        <f t="shared" si="143"/>
        <v>270</v>
      </c>
      <c r="K1045">
        <f t="shared" si="143"/>
        <v>289</v>
      </c>
      <c r="L1045">
        <f t="shared" si="143"/>
        <v>307</v>
      </c>
      <c r="M1045">
        <f t="shared" si="143"/>
        <v>322</v>
      </c>
      <c r="N1045">
        <f t="shared" si="136"/>
        <v>334</v>
      </c>
      <c r="O1045">
        <f t="shared" si="136"/>
        <v>359</v>
      </c>
      <c r="P1045">
        <f t="shared" si="136"/>
        <v>377</v>
      </c>
      <c r="Q1045">
        <f t="shared" si="136"/>
        <v>403</v>
      </c>
      <c r="S1045" t="str">
        <f t="shared" si="139"/>
        <v>07.12.2025</v>
      </c>
      <c r="T1045" t="str">
        <f t="shared" si="140"/>
        <v>15:45:00</v>
      </c>
      <c r="U1045" t="str">
        <f t="shared" si="141"/>
        <v>07.12.2025 15:45:00</v>
      </c>
      <c r="V1045" s="9" t="str">
        <f>MID($A1045,C1045+C$2+1,D1045-C1045-C$2-1)</f>
        <v>0</v>
      </c>
      <c r="W1045" s="4">
        <f>VALUE(SUBSTITUTE(MID($A1045,D1045+D$2+1,E1045-D1045-D$2-1),",","."))</f>
        <v>0</v>
      </c>
      <c r="X1045" s="4">
        <f>VALUE(SUBSTITUTE(MID($A1045,E1045+E$2+1,F1045-E1045-E$2-1),",","."))</f>
        <v>0.90957602214449496</v>
      </c>
      <c r="Y1045" s="4">
        <f>VALUE(SUBSTITUTE(MID($A1045,F1045+F$2+1,G1045-F1045-F$2-1),",","."))</f>
        <v>8.6826594874066201E-2</v>
      </c>
      <c r="Z1045" s="3">
        <f>VALUE(SUBSTITUTE(MID($A1045,G1045+G$2+1,H1045-G1045-G$2-1),",","."))</f>
        <v>241.64999999999901</v>
      </c>
      <c r="AA1045" s="3">
        <f>VALUE(SUBSTITUTE(MID($A1045,H1045+H$2+1,I1045-H1045-H$2-1),",","."))</f>
        <v>0</v>
      </c>
      <c r="AB1045" s="3">
        <f>VALUE(SUBSTITUTE(MID($A1045,I1045+I$2+1,J1045-I1045-I$2-1),",","."))</f>
        <v>37.5</v>
      </c>
      <c r="AC1045" s="3">
        <f>VALUE(SUBSTITUTE(MID($A1045,J1045+J$2+1,K1045-J1045-J$2-1),",","."))</f>
        <v>2.5</v>
      </c>
      <c r="AD1045" s="3">
        <f>VALUE(SUBSTITUTE(MID($A1045,K1045+K$2+1,L1045-K1045-K$2-1),",","."))</f>
        <v>42.3</v>
      </c>
      <c r="AE1045" s="3">
        <f>VALUE(SUBSTITUTE(MID($A1045,L1045+L$2+1,M1045-L1045-L$2-1),",","."))</f>
        <v>0</v>
      </c>
      <c r="AF1045" s="3">
        <f>VALUE(SUBSTITUTE(MID($A1045,M1045+M$2+1,N1045-M1045-M$2-1),",","."))</f>
        <v>0</v>
      </c>
      <c r="AG1045" s="3">
        <f>VALUE(SUBSTITUTE(MID($A1045,N1045+N$2+1,O1045-N1045-N$2-1),",","."))</f>
        <v>4.2331784680594504</v>
      </c>
      <c r="AH1045" t="str">
        <f>MID($A1045,O1045+O$2+1,P1045-O1045-O$2-1)</f>
        <v/>
      </c>
      <c r="AI1045" s="8" t="str">
        <f>MID($A1045,P1045+P$2+1,Q1045-P1045-P$2-1)</f>
        <v>False</v>
      </c>
      <c r="AK1045" t="b">
        <f t="shared" si="142"/>
        <v>0</v>
      </c>
    </row>
    <row r="1046" spans="1:37" x14ac:dyDescent="0.35">
      <c r="A1046" t="s">
        <v>5593</v>
      </c>
      <c r="B1046">
        <f t="shared" si="138"/>
        <v>10</v>
      </c>
      <c r="C1046">
        <f t="shared" si="138"/>
        <v>43</v>
      </c>
      <c r="D1046">
        <f t="shared" si="138"/>
        <v>54</v>
      </c>
      <c r="E1046">
        <f t="shared" si="138"/>
        <v>80</v>
      </c>
      <c r="F1046">
        <f t="shared" si="138"/>
        <v>124</v>
      </c>
      <c r="G1046">
        <f t="shared" si="138"/>
        <v>164</v>
      </c>
      <c r="H1046">
        <f t="shared" si="143"/>
        <v>213</v>
      </c>
      <c r="I1046">
        <f t="shared" si="143"/>
        <v>235</v>
      </c>
      <c r="J1046">
        <f t="shared" si="143"/>
        <v>271</v>
      </c>
      <c r="K1046">
        <f t="shared" si="143"/>
        <v>290</v>
      </c>
      <c r="L1046">
        <f t="shared" si="143"/>
        <v>308</v>
      </c>
      <c r="M1046">
        <f t="shared" si="143"/>
        <v>323</v>
      </c>
      <c r="N1046">
        <f t="shared" si="143"/>
        <v>335</v>
      </c>
      <c r="O1046">
        <f t="shared" si="143"/>
        <v>360</v>
      </c>
      <c r="P1046">
        <f t="shared" si="143"/>
        <v>378</v>
      </c>
      <c r="Q1046">
        <f t="shared" si="143"/>
        <v>404</v>
      </c>
      <c r="S1046" t="str">
        <f t="shared" si="139"/>
        <v>07.12.2025</v>
      </c>
      <c r="T1046" t="str">
        <f t="shared" si="140"/>
        <v>16:00:00</v>
      </c>
      <c r="U1046" t="str">
        <f t="shared" si="141"/>
        <v>07.12.2025 16:00:00</v>
      </c>
      <c r="V1046" s="9" t="str">
        <f>MID($A1046,C1046+C$2+1,D1046-C1046-C$2-1)</f>
        <v>0</v>
      </c>
      <c r="W1046" s="4">
        <f>VALUE(SUBSTITUTE(MID($A1046,D1046+D$2+1,E1046-D1046-D$2-1),",","."))</f>
        <v>0</v>
      </c>
      <c r="X1046" s="4">
        <f>VALUE(SUBSTITUTE(MID($A1046,E1046+E$2+1,F1046-E1046-E$2-1),",","."))</f>
        <v>0.90957602214449496</v>
      </c>
      <c r="Y1046" s="4">
        <f>VALUE(SUBSTITUTE(MID($A1046,F1046+F$2+1,G1046-F1046-F$2-1),",","."))</f>
        <v>5.4132753001568799E-2</v>
      </c>
      <c r="Z1046" s="3">
        <f>VALUE(SUBSTITUTE(MID($A1046,G1046+G$2+1,H1046-G1046-G$2-1),",","."))</f>
        <v>241.64999999999901</v>
      </c>
      <c r="AA1046" s="3">
        <f>VALUE(SUBSTITUTE(MID($A1046,H1046+H$2+1,I1046-H1046-H$2-1),",","."))</f>
        <v>0</v>
      </c>
      <c r="AB1046" s="3">
        <f>VALUE(SUBSTITUTE(MID($A1046,I1046+I$2+1,J1046-I1046-I$2-1),",","."))</f>
        <v>37.5</v>
      </c>
      <c r="AC1046" s="3">
        <f>VALUE(SUBSTITUTE(MID($A1046,J1046+J$2+1,K1046-J1046-J$2-1),",","."))</f>
        <v>2.5</v>
      </c>
      <c r="AD1046" s="3">
        <f>VALUE(SUBSTITUTE(MID($A1046,K1046+K$2+1,L1046-K1046-K$2-1),",","."))</f>
        <v>42.3</v>
      </c>
      <c r="AE1046" s="3">
        <f>VALUE(SUBSTITUTE(MID($A1046,L1046+L$2+1,M1046-L1046-L$2-1),",","."))</f>
        <v>0</v>
      </c>
      <c r="AF1046" s="3">
        <f>VALUE(SUBSTITUTE(MID($A1046,M1046+M$2+1,N1046-M1046-M$2-1),",","."))</f>
        <v>0</v>
      </c>
      <c r="AG1046" s="3">
        <f>VALUE(SUBSTITUTE(MID($A1046,N1046+N$2+1,O1046-N1046-N$2-1),",","."))</f>
        <v>4.2332069879475398</v>
      </c>
      <c r="AH1046" t="str">
        <f>MID($A1046,O1046+O$2+1,P1046-O1046-O$2-1)</f>
        <v/>
      </c>
      <c r="AI1046" s="8" t="str">
        <f>MID($A1046,P1046+P$2+1,Q1046-P1046-P$2-1)</f>
        <v>False</v>
      </c>
      <c r="AK1046" t="b">
        <f t="shared" si="142"/>
        <v>0</v>
      </c>
    </row>
    <row r="1047" spans="1:37" x14ac:dyDescent="0.35">
      <c r="A1047" t="s">
        <v>5594</v>
      </c>
      <c r="B1047">
        <f t="shared" si="138"/>
        <v>10</v>
      </c>
      <c r="C1047">
        <f t="shared" si="138"/>
        <v>43</v>
      </c>
      <c r="D1047">
        <f t="shared" si="138"/>
        <v>54</v>
      </c>
      <c r="E1047">
        <f t="shared" si="138"/>
        <v>80</v>
      </c>
      <c r="F1047">
        <f t="shared" si="138"/>
        <v>124</v>
      </c>
      <c r="G1047">
        <f t="shared" si="138"/>
        <v>164</v>
      </c>
      <c r="H1047">
        <f t="shared" si="143"/>
        <v>213</v>
      </c>
      <c r="I1047">
        <f t="shared" si="143"/>
        <v>235</v>
      </c>
      <c r="J1047">
        <f t="shared" si="143"/>
        <v>271</v>
      </c>
      <c r="K1047">
        <f t="shared" si="143"/>
        <v>290</v>
      </c>
      <c r="L1047">
        <f t="shared" si="143"/>
        <v>308</v>
      </c>
      <c r="M1047">
        <f t="shared" si="143"/>
        <v>323</v>
      </c>
      <c r="N1047">
        <f t="shared" si="143"/>
        <v>335</v>
      </c>
      <c r="O1047">
        <f t="shared" si="143"/>
        <v>360</v>
      </c>
      <c r="P1047">
        <f t="shared" si="143"/>
        <v>378</v>
      </c>
      <c r="Q1047">
        <f t="shared" si="143"/>
        <v>404</v>
      </c>
      <c r="S1047" t="str">
        <f t="shared" si="139"/>
        <v>07.12.2025</v>
      </c>
      <c r="T1047" t="str">
        <f t="shared" si="140"/>
        <v>16:15:00</v>
      </c>
      <c r="U1047" t="str">
        <f t="shared" si="141"/>
        <v>07.12.2025 16:15:00</v>
      </c>
      <c r="V1047" s="9" t="str">
        <f>MID($A1047,C1047+C$2+1,D1047-C1047-C$2-1)</f>
        <v>0</v>
      </c>
      <c r="W1047" s="4">
        <f>VALUE(SUBSTITUTE(MID($A1047,D1047+D$2+1,E1047-D1047-D$2-1),",","."))</f>
        <v>0</v>
      </c>
      <c r="X1047" s="4">
        <f>VALUE(SUBSTITUTE(MID($A1047,E1047+E$2+1,F1047-E1047-E$2-1),",","."))</f>
        <v>0.90957602214449496</v>
      </c>
      <c r="Y1047" s="4">
        <f>VALUE(SUBSTITUTE(MID($A1047,F1047+F$2+1,G1047-F1047-F$2-1),",","."))</f>
        <v>2.1345875512423701E-2</v>
      </c>
      <c r="Z1047" s="3">
        <f>VALUE(SUBSTITUTE(MID($A1047,G1047+G$2+1,H1047-G1047-G$2-1),",","."))</f>
        <v>241.64999999999901</v>
      </c>
      <c r="AA1047" s="3">
        <f>VALUE(SUBSTITUTE(MID($A1047,H1047+H$2+1,I1047-H1047-H$2-1),",","."))</f>
        <v>0</v>
      </c>
      <c r="AB1047" s="3">
        <f>VALUE(SUBSTITUTE(MID($A1047,I1047+I$2+1,J1047-I1047-I$2-1),",","."))</f>
        <v>37.5</v>
      </c>
      <c r="AC1047" s="3">
        <f>VALUE(SUBSTITUTE(MID($A1047,J1047+J$2+1,K1047-J1047-J$2-1),",","."))</f>
        <v>2.5</v>
      </c>
      <c r="AD1047" s="3">
        <f>VALUE(SUBSTITUTE(MID($A1047,K1047+K$2+1,L1047-K1047-K$2-1),",","."))</f>
        <v>42.3</v>
      </c>
      <c r="AE1047" s="3">
        <f>VALUE(SUBSTITUTE(MID($A1047,L1047+L$2+1,M1047-L1047-L$2-1),",","."))</f>
        <v>0</v>
      </c>
      <c r="AF1047" s="3">
        <f>VALUE(SUBSTITUTE(MID($A1047,M1047+M$2+1,N1047-M1047-M$2-1),",","."))</f>
        <v>0</v>
      </c>
      <c r="AG1047" s="3">
        <f>VALUE(SUBSTITUTE(MID($A1047,N1047+N$2+1,O1047-N1047-N$2-1),",","."))</f>
        <v>4.2332355078356203</v>
      </c>
      <c r="AH1047" t="str">
        <f>MID($A1047,O1047+O$2+1,P1047-O1047-O$2-1)</f>
        <v/>
      </c>
      <c r="AI1047" s="8" t="str">
        <f>MID($A1047,P1047+P$2+1,Q1047-P1047-P$2-1)</f>
        <v>False</v>
      </c>
      <c r="AK1047" t="b">
        <f t="shared" si="142"/>
        <v>0</v>
      </c>
    </row>
    <row r="1048" spans="1:37" x14ac:dyDescent="0.35">
      <c r="A1048" t="s">
        <v>5595</v>
      </c>
      <c r="B1048">
        <f t="shared" si="138"/>
        <v>10</v>
      </c>
      <c r="C1048">
        <f t="shared" si="138"/>
        <v>43</v>
      </c>
      <c r="D1048">
        <f t="shared" si="138"/>
        <v>54</v>
      </c>
      <c r="E1048">
        <f t="shared" si="138"/>
        <v>80</v>
      </c>
      <c r="F1048">
        <f t="shared" si="138"/>
        <v>124</v>
      </c>
      <c r="G1048">
        <f t="shared" si="138"/>
        <v>145</v>
      </c>
      <c r="H1048">
        <f t="shared" si="143"/>
        <v>194</v>
      </c>
      <c r="I1048">
        <f t="shared" si="143"/>
        <v>216</v>
      </c>
      <c r="J1048">
        <f t="shared" si="143"/>
        <v>251</v>
      </c>
      <c r="K1048">
        <f t="shared" si="143"/>
        <v>285</v>
      </c>
      <c r="L1048">
        <f t="shared" si="143"/>
        <v>304</v>
      </c>
      <c r="M1048">
        <f t="shared" si="143"/>
        <v>319</v>
      </c>
      <c r="N1048">
        <f t="shared" si="143"/>
        <v>331</v>
      </c>
      <c r="O1048">
        <f t="shared" si="143"/>
        <v>357</v>
      </c>
      <c r="P1048">
        <f t="shared" si="143"/>
        <v>375</v>
      </c>
      <c r="Q1048">
        <f t="shared" si="143"/>
        <v>401</v>
      </c>
      <c r="S1048" t="str">
        <f t="shared" si="139"/>
        <v>07.12.2025</v>
      </c>
      <c r="T1048" t="str">
        <f t="shared" si="140"/>
        <v>16:30:00</v>
      </c>
      <c r="U1048" t="str">
        <f t="shared" si="141"/>
        <v>07.12.2025 16:30:00</v>
      </c>
      <c r="V1048" s="9" t="str">
        <f>MID($A1048,C1048+C$2+1,D1048-C1048-C$2-1)</f>
        <v>0</v>
      </c>
      <c r="W1048" s="4">
        <f>VALUE(SUBSTITUTE(MID($A1048,D1048+D$2+1,E1048-D1048-D$2-1),",","."))</f>
        <v>0</v>
      </c>
      <c r="X1048" s="4">
        <f>VALUE(SUBSTITUTE(MID($A1048,E1048+E$2+1,F1048-E1048-E$2-1),",","."))</f>
        <v>0.90957602214449496</v>
      </c>
      <c r="Y1048" s="4">
        <f>VALUE(SUBSTITUTE(MID($A1048,F1048+F$2+1,G1048-F1048-F$2-1),",","."))</f>
        <v>0</v>
      </c>
      <c r="Z1048" s="3">
        <f>VALUE(SUBSTITUTE(MID($A1048,G1048+G$2+1,H1048-G1048-G$2-1),",","."))</f>
        <v>122.466666666666</v>
      </c>
      <c r="AA1048" s="3">
        <f>VALUE(SUBSTITUTE(MID($A1048,H1048+H$2+1,I1048-H1048-H$2-1),",","."))</f>
        <v>0</v>
      </c>
      <c r="AB1048" s="3">
        <f>VALUE(SUBSTITUTE(MID($A1048,I1048+I$2+1,J1048-I1048-I$2-1),",","."))</f>
        <v>8.5</v>
      </c>
      <c r="AC1048" s="3">
        <f>VALUE(SUBSTITUTE(MID($A1048,J1048+J$2+1,K1048-J1048-J$2-1),",","."))</f>
        <v>1.95</v>
      </c>
      <c r="AD1048" s="3">
        <f>VALUE(SUBSTITUTE(MID($A1048,K1048+K$2+1,L1048-K1048-K$2-1),",","."))</f>
        <v>36.18</v>
      </c>
      <c r="AE1048" s="3">
        <f>VALUE(SUBSTITUTE(MID($A1048,L1048+L$2+1,M1048-L1048-L$2-1),",","."))</f>
        <v>0</v>
      </c>
      <c r="AF1048" s="3">
        <f>VALUE(SUBSTITUTE(MID($A1048,M1048+M$2+1,N1048-M1048-M$2-1),",","."))</f>
        <v>0</v>
      </c>
      <c r="AG1048" s="3">
        <f>VALUE(SUBSTITUTE(MID($A1048,N1048+N$2+1,O1048-N1048-N$2-1),",","."))</f>
        <v>4.2332640277236999</v>
      </c>
      <c r="AH1048" t="str">
        <f>MID($A1048,O1048+O$2+1,P1048-O1048-O$2-1)</f>
        <v/>
      </c>
      <c r="AI1048" s="8" t="str">
        <f>MID($A1048,P1048+P$2+1,Q1048-P1048-P$2-1)</f>
        <v>False</v>
      </c>
      <c r="AK1048" t="b">
        <f t="shared" si="142"/>
        <v>0</v>
      </c>
    </row>
    <row r="1049" spans="1:37" x14ac:dyDescent="0.35">
      <c r="A1049" t="s">
        <v>5596</v>
      </c>
      <c r="B1049">
        <f t="shared" si="138"/>
        <v>10</v>
      </c>
      <c r="C1049">
        <f t="shared" si="138"/>
        <v>43</v>
      </c>
      <c r="D1049">
        <f t="shared" si="138"/>
        <v>54</v>
      </c>
      <c r="E1049">
        <f t="shared" si="138"/>
        <v>80</v>
      </c>
      <c r="F1049">
        <f t="shared" si="138"/>
        <v>124</v>
      </c>
      <c r="G1049">
        <f t="shared" si="138"/>
        <v>145</v>
      </c>
      <c r="H1049">
        <f t="shared" si="143"/>
        <v>194</v>
      </c>
      <c r="I1049">
        <f t="shared" si="143"/>
        <v>216</v>
      </c>
      <c r="J1049">
        <f t="shared" si="143"/>
        <v>251</v>
      </c>
      <c r="K1049">
        <f t="shared" si="143"/>
        <v>285</v>
      </c>
      <c r="L1049">
        <f t="shared" si="143"/>
        <v>304</v>
      </c>
      <c r="M1049">
        <f t="shared" si="143"/>
        <v>319</v>
      </c>
      <c r="N1049">
        <f t="shared" si="143"/>
        <v>331</v>
      </c>
      <c r="O1049">
        <f t="shared" si="143"/>
        <v>356</v>
      </c>
      <c r="P1049">
        <f t="shared" si="143"/>
        <v>374</v>
      </c>
      <c r="Q1049">
        <f t="shared" si="143"/>
        <v>400</v>
      </c>
      <c r="S1049" t="str">
        <f t="shared" si="139"/>
        <v>07.12.2025</v>
      </c>
      <c r="T1049" t="str">
        <f t="shared" si="140"/>
        <v>16:45:00</v>
      </c>
      <c r="U1049" t="str">
        <f t="shared" si="141"/>
        <v>07.12.2025 16:45:00</v>
      </c>
      <c r="V1049" s="9" t="str">
        <f>MID($A1049,C1049+C$2+1,D1049-C1049-C$2-1)</f>
        <v>0</v>
      </c>
      <c r="W1049" s="4">
        <f>VALUE(SUBSTITUTE(MID($A1049,D1049+D$2+1,E1049-D1049-D$2-1),",","."))</f>
        <v>0</v>
      </c>
      <c r="X1049" s="4">
        <f>VALUE(SUBSTITUTE(MID($A1049,E1049+E$2+1,F1049-E1049-E$2-1),",","."))</f>
        <v>0.90957602214449496</v>
      </c>
      <c r="Y1049" s="4">
        <f>VALUE(SUBSTITUTE(MID($A1049,F1049+F$2+1,G1049-F1049-F$2-1),",","."))</f>
        <v>0</v>
      </c>
      <c r="Z1049" s="3">
        <f>VALUE(SUBSTITUTE(MID($A1049,G1049+G$2+1,H1049-G1049-G$2-1),",","."))</f>
        <v>122.466666666666</v>
      </c>
      <c r="AA1049" s="3">
        <f>VALUE(SUBSTITUTE(MID($A1049,H1049+H$2+1,I1049-H1049-H$2-1),",","."))</f>
        <v>0</v>
      </c>
      <c r="AB1049" s="3">
        <f>VALUE(SUBSTITUTE(MID($A1049,I1049+I$2+1,J1049-I1049-I$2-1),",","."))</f>
        <v>8.5</v>
      </c>
      <c r="AC1049" s="3">
        <f>VALUE(SUBSTITUTE(MID($A1049,J1049+J$2+1,K1049-J1049-J$2-1),",","."))</f>
        <v>1.95</v>
      </c>
      <c r="AD1049" s="3">
        <f>VALUE(SUBSTITUTE(MID($A1049,K1049+K$2+1,L1049-K1049-K$2-1),",","."))</f>
        <v>36.18</v>
      </c>
      <c r="AE1049" s="3">
        <f>VALUE(SUBSTITUTE(MID($A1049,L1049+L$2+1,M1049-L1049-L$2-1),",","."))</f>
        <v>0</v>
      </c>
      <c r="AF1049" s="3">
        <f>VALUE(SUBSTITUTE(MID($A1049,M1049+M$2+1,N1049-M1049-M$2-1),",","."))</f>
        <v>0</v>
      </c>
      <c r="AG1049" s="3">
        <f>VALUE(SUBSTITUTE(MID($A1049,N1049+N$2+1,O1049-N1049-N$2-1),",","."))</f>
        <v>4.2332925476117804</v>
      </c>
      <c r="AH1049" t="str">
        <f>MID($A1049,O1049+O$2+1,P1049-O1049-O$2-1)</f>
        <v/>
      </c>
      <c r="AI1049" s="8" t="str">
        <f>MID($A1049,P1049+P$2+1,Q1049-P1049-P$2-1)</f>
        <v>False</v>
      </c>
      <c r="AK1049" t="b">
        <f t="shared" si="142"/>
        <v>0</v>
      </c>
    </row>
    <row r="1050" spans="1:37" x14ac:dyDescent="0.35">
      <c r="A1050" t="s">
        <v>5597</v>
      </c>
      <c r="B1050">
        <f t="shared" si="138"/>
        <v>10</v>
      </c>
      <c r="C1050">
        <f t="shared" si="138"/>
        <v>43</v>
      </c>
      <c r="D1050">
        <f t="shared" si="138"/>
        <v>54</v>
      </c>
      <c r="E1050">
        <f t="shared" si="138"/>
        <v>80</v>
      </c>
      <c r="F1050">
        <f t="shared" si="138"/>
        <v>124</v>
      </c>
      <c r="G1050">
        <f t="shared" si="138"/>
        <v>145</v>
      </c>
      <c r="H1050">
        <f t="shared" si="143"/>
        <v>194</v>
      </c>
      <c r="I1050">
        <f t="shared" si="143"/>
        <v>216</v>
      </c>
      <c r="J1050">
        <f t="shared" si="143"/>
        <v>251</v>
      </c>
      <c r="K1050">
        <f t="shared" si="143"/>
        <v>285</v>
      </c>
      <c r="L1050">
        <f t="shared" si="143"/>
        <v>304</v>
      </c>
      <c r="M1050">
        <f t="shared" si="143"/>
        <v>319</v>
      </c>
      <c r="N1050">
        <f t="shared" si="143"/>
        <v>331</v>
      </c>
      <c r="O1050">
        <f t="shared" si="143"/>
        <v>356</v>
      </c>
      <c r="P1050">
        <f t="shared" si="143"/>
        <v>374</v>
      </c>
      <c r="Q1050">
        <f t="shared" si="143"/>
        <v>400</v>
      </c>
      <c r="S1050" t="str">
        <f t="shared" si="139"/>
        <v>07.12.2025</v>
      </c>
      <c r="T1050" t="str">
        <f t="shared" si="140"/>
        <v>17:00:00</v>
      </c>
      <c r="U1050" t="str">
        <f t="shared" si="141"/>
        <v>07.12.2025 17:00:00</v>
      </c>
      <c r="V1050" s="9" t="str">
        <f>MID($A1050,C1050+C$2+1,D1050-C1050-C$2-1)</f>
        <v>0</v>
      </c>
      <c r="W1050" s="4">
        <f>VALUE(SUBSTITUTE(MID($A1050,D1050+D$2+1,E1050-D1050-D$2-1),",","."))</f>
        <v>0</v>
      </c>
      <c r="X1050" s="4">
        <f>VALUE(SUBSTITUTE(MID($A1050,E1050+E$2+1,F1050-E1050-E$2-1),",","."))</f>
        <v>0.90957602214449496</v>
      </c>
      <c r="Y1050" s="4">
        <f>VALUE(SUBSTITUTE(MID($A1050,F1050+F$2+1,G1050-F1050-F$2-1),",","."))</f>
        <v>0</v>
      </c>
      <c r="Z1050" s="3">
        <f>VALUE(SUBSTITUTE(MID($A1050,G1050+G$2+1,H1050-G1050-G$2-1),",","."))</f>
        <v>122.466666666666</v>
      </c>
      <c r="AA1050" s="3">
        <f>VALUE(SUBSTITUTE(MID($A1050,H1050+H$2+1,I1050-H1050-H$2-1),",","."))</f>
        <v>0</v>
      </c>
      <c r="AB1050" s="3">
        <f>VALUE(SUBSTITUTE(MID($A1050,I1050+I$2+1,J1050-I1050-I$2-1),",","."))</f>
        <v>8.5</v>
      </c>
      <c r="AC1050" s="3">
        <f>VALUE(SUBSTITUTE(MID($A1050,J1050+J$2+1,K1050-J1050-J$2-1),",","."))</f>
        <v>1.95</v>
      </c>
      <c r="AD1050" s="3">
        <f>VALUE(SUBSTITUTE(MID($A1050,K1050+K$2+1,L1050-K1050-K$2-1),",","."))</f>
        <v>36.18</v>
      </c>
      <c r="AE1050" s="3">
        <f>VALUE(SUBSTITUTE(MID($A1050,L1050+L$2+1,M1050-L1050-L$2-1),",","."))</f>
        <v>0</v>
      </c>
      <c r="AF1050" s="3">
        <f>VALUE(SUBSTITUTE(MID($A1050,M1050+M$2+1,N1050-M1050-M$2-1),",","."))</f>
        <v>0</v>
      </c>
      <c r="AG1050" s="3">
        <f>VALUE(SUBSTITUTE(MID($A1050,N1050+N$2+1,O1050-N1050-N$2-1),",","."))</f>
        <v>4.23332106749986</v>
      </c>
      <c r="AH1050" t="str">
        <f>MID($A1050,O1050+O$2+1,P1050-O1050-O$2-1)</f>
        <v/>
      </c>
      <c r="AI1050" s="8" t="str">
        <f>MID($A1050,P1050+P$2+1,Q1050-P1050-P$2-1)</f>
        <v>False</v>
      </c>
      <c r="AK1050" t="b">
        <f t="shared" si="142"/>
        <v>0</v>
      </c>
    </row>
    <row r="1051" spans="1:37" x14ac:dyDescent="0.35">
      <c r="A1051" t="s">
        <v>5598</v>
      </c>
      <c r="B1051">
        <f t="shared" si="138"/>
        <v>10</v>
      </c>
      <c r="C1051">
        <f t="shared" si="138"/>
        <v>43</v>
      </c>
      <c r="D1051">
        <f t="shared" si="138"/>
        <v>54</v>
      </c>
      <c r="E1051">
        <f t="shared" si="138"/>
        <v>80</v>
      </c>
      <c r="F1051">
        <f t="shared" si="138"/>
        <v>124</v>
      </c>
      <c r="G1051">
        <f t="shared" si="138"/>
        <v>145</v>
      </c>
      <c r="H1051">
        <f t="shared" si="143"/>
        <v>194</v>
      </c>
      <c r="I1051">
        <f t="shared" si="143"/>
        <v>216</v>
      </c>
      <c r="J1051">
        <f t="shared" si="143"/>
        <v>251</v>
      </c>
      <c r="K1051">
        <f t="shared" si="143"/>
        <v>285</v>
      </c>
      <c r="L1051">
        <f t="shared" si="143"/>
        <v>304</v>
      </c>
      <c r="M1051">
        <f t="shared" si="143"/>
        <v>319</v>
      </c>
      <c r="N1051">
        <f t="shared" si="143"/>
        <v>331</v>
      </c>
      <c r="O1051">
        <f t="shared" si="143"/>
        <v>357</v>
      </c>
      <c r="P1051">
        <f t="shared" si="143"/>
        <v>375</v>
      </c>
      <c r="Q1051">
        <f t="shared" si="143"/>
        <v>401</v>
      </c>
      <c r="S1051" t="str">
        <f t="shared" si="139"/>
        <v>07.12.2025</v>
      </c>
      <c r="T1051" t="str">
        <f t="shared" si="140"/>
        <v>17:15:00</v>
      </c>
      <c r="U1051" t="str">
        <f t="shared" si="141"/>
        <v>07.12.2025 17:15:00</v>
      </c>
      <c r="V1051" s="9" t="str">
        <f>MID($A1051,C1051+C$2+1,D1051-C1051-C$2-1)</f>
        <v>0</v>
      </c>
      <c r="W1051" s="4">
        <f>VALUE(SUBSTITUTE(MID($A1051,D1051+D$2+1,E1051-D1051-D$2-1),",","."))</f>
        <v>0</v>
      </c>
      <c r="X1051" s="4">
        <f>VALUE(SUBSTITUTE(MID($A1051,E1051+E$2+1,F1051-E1051-E$2-1),",","."))</f>
        <v>0.90957602214449496</v>
      </c>
      <c r="Y1051" s="4">
        <f>VALUE(SUBSTITUTE(MID($A1051,F1051+F$2+1,G1051-F1051-F$2-1),",","."))</f>
        <v>0</v>
      </c>
      <c r="Z1051" s="3">
        <f>VALUE(SUBSTITUTE(MID($A1051,G1051+G$2+1,H1051-G1051-G$2-1),",","."))</f>
        <v>122.466666666666</v>
      </c>
      <c r="AA1051" s="3">
        <f>VALUE(SUBSTITUTE(MID($A1051,H1051+H$2+1,I1051-H1051-H$2-1),",","."))</f>
        <v>0</v>
      </c>
      <c r="AB1051" s="3">
        <f>VALUE(SUBSTITUTE(MID($A1051,I1051+I$2+1,J1051-I1051-I$2-1),",","."))</f>
        <v>8.5</v>
      </c>
      <c r="AC1051" s="3">
        <f>VALUE(SUBSTITUTE(MID($A1051,J1051+J$2+1,K1051-J1051-J$2-1),",","."))</f>
        <v>1.95</v>
      </c>
      <c r="AD1051" s="3">
        <f>VALUE(SUBSTITUTE(MID($A1051,K1051+K$2+1,L1051-K1051-K$2-1),",","."))</f>
        <v>36.18</v>
      </c>
      <c r="AE1051" s="3">
        <f>VALUE(SUBSTITUTE(MID($A1051,L1051+L$2+1,M1051-L1051-L$2-1),",","."))</f>
        <v>0</v>
      </c>
      <c r="AF1051" s="3">
        <f>VALUE(SUBSTITUTE(MID($A1051,M1051+M$2+1,N1051-M1051-M$2-1),",","."))</f>
        <v>0</v>
      </c>
      <c r="AG1051" s="3">
        <f>VALUE(SUBSTITUTE(MID($A1051,N1051+N$2+1,O1051-N1051-N$2-1),",","."))</f>
        <v>4.2333495873879396</v>
      </c>
      <c r="AH1051" t="str">
        <f>MID($A1051,O1051+O$2+1,P1051-O1051-O$2-1)</f>
        <v/>
      </c>
      <c r="AI1051" s="8" t="str">
        <f>MID($A1051,P1051+P$2+1,Q1051-P1051-P$2-1)</f>
        <v>False</v>
      </c>
      <c r="AK1051" t="b">
        <f t="shared" si="142"/>
        <v>0</v>
      </c>
    </row>
    <row r="1052" spans="1:37" x14ac:dyDescent="0.35">
      <c r="A1052" t="s">
        <v>5599</v>
      </c>
      <c r="B1052">
        <f t="shared" si="138"/>
        <v>10</v>
      </c>
      <c r="C1052">
        <f t="shared" si="138"/>
        <v>43</v>
      </c>
      <c r="D1052">
        <f t="shared" si="138"/>
        <v>54</v>
      </c>
      <c r="E1052">
        <f t="shared" si="138"/>
        <v>80</v>
      </c>
      <c r="F1052">
        <f t="shared" si="138"/>
        <v>124</v>
      </c>
      <c r="G1052">
        <f t="shared" si="138"/>
        <v>145</v>
      </c>
      <c r="H1052">
        <f t="shared" si="143"/>
        <v>177</v>
      </c>
      <c r="I1052">
        <f t="shared" si="143"/>
        <v>199</v>
      </c>
      <c r="J1052">
        <f t="shared" si="143"/>
        <v>232</v>
      </c>
      <c r="K1052">
        <f t="shared" si="143"/>
        <v>252</v>
      </c>
      <c r="L1052">
        <f t="shared" si="143"/>
        <v>284</v>
      </c>
      <c r="M1052">
        <f t="shared" si="143"/>
        <v>299</v>
      </c>
      <c r="N1052">
        <f t="shared" si="143"/>
        <v>311</v>
      </c>
      <c r="O1052">
        <f t="shared" si="143"/>
        <v>335</v>
      </c>
      <c r="P1052">
        <f t="shared" si="143"/>
        <v>353</v>
      </c>
      <c r="Q1052">
        <f t="shared" si="143"/>
        <v>379</v>
      </c>
      <c r="S1052" t="str">
        <f t="shared" si="139"/>
        <v>07.12.2025</v>
      </c>
      <c r="T1052" t="str">
        <f t="shared" si="140"/>
        <v>17:30:00</v>
      </c>
      <c r="U1052" t="str">
        <f t="shared" si="141"/>
        <v>07.12.2025 17:30:00</v>
      </c>
      <c r="V1052" s="9" t="str">
        <f>MID($A1052,C1052+C$2+1,D1052-C1052-C$2-1)</f>
        <v>0</v>
      </c>
      <c r="W1052" s="4">
        <f>VALUE(SUBSTITUTE(MID($A1052,D1052+D$2+1,E1052-D1052-D$2-1),",","."))</f>
        <v>0</v>
      </c>
      <c r="X1052" s="4">
        <f>VALUE(SUBSTITUTE(MID($A1052,E1052+E$2+1,F1052-E1052-E$2-1),",","."))</f>
        <v>0.90957602214449496</v>
      </c>
      <c r="Y1052" s="4">
        <f>VALUE(SUBSTITUTE(MID($A1052,F1052+F$2+1,G1052-F1052-F$2-1),",","."))</f>
        <v>0</v>
      </c>
      <c r="Z1052" s="3">
        <f>VALUE(SUBSTITUTE(MID($A1052,G1052+G$2+1,H1052-G1052-G$2-1),",","."))</f>
        <v>0</v>
      </c>
      <c r="AA1052" s="3">
        <f>VALUE(SUBSTITUTE(MID($A1052,H1052+H$2+1,I1052-H1052-H$2-1),",","."))</f>
        <v>0</v>
      </c>
      <c r="AB1052" s="3">
        <f>VALUE(SUBSTITUTE(MID($A1052,I1052+I$2+1,J1052-I1052-I$2-1),",","."))</f>
        <v>0</v>
      </c>
      <c r="AC1052" s="3">
        <f>VALUE(SUBSTITUTE(MID($A1052,J1052+J$2+1,K1052-J1052-J$2-1),",","."))</f>
        <v>1.35</v>
      </c>
      <c r="AD1052" s="3">
        <f>VALUE(SUBSTITUTE(MID($A1052,K1052+K$2+1,L1052-K1052-K$2-1),",","."))</f>
        <v>30.06</v>
      </c>
      <c r="AE1052" s="3">
        <f>VALUE(SUBSTITUTE(MID($A1052,L1052+L$2+1,M1052-L1052-L$2-1),",","."))</f>
        <v>0</v>
      </c>
      <c r="AF1052" s="3">
        <f>VALUE(SUBSTITUTE(MID($A1052,M1052+M$2+1,N1052-M1052-M$2-1),",","."))</f>
        <v>0</v>
      </c>
      <c r="AG1052" s="3">
        <f>VALUE(SUBSTITUTE(MID($A1052,N1052+N$2+1,O1052-N1052-N$2-1),",","."))</f>
        <v>4.2333781072760299</v>
      </c>
      <c r="AH1052" t="str">
        <f>MID($A1052,O1052+O$2+1,P1052-O1052-O$2-1)</f>
        <v/>
      </c>
      <c r="AI1052" s="8" t="str">
        <f>MID($A1052,P1052+P$2+1,Q1052-P1052-P$2-1)</f>
        <v>False</v>
      </c>
      <c r="AK1052" t="b">
        <f t="shared" si="142"/>
        <v>0</v>
      </c>
    </row>
    <row r="1053" spans="1:37" x14ac:dyDescent="0.35">
      <c r="A1053" t="s">
        <v>5600</v>
      </c>
      <c r="B1053">
        <f t="shared" si="138"/>
        <v>10</v>
      </c>
      <c r="C1053">
        <f t="shared" si="138"/>
        <v>43</v>
      </c>
      <c r="D1053">
        <f t="shared" si="138"/>
        <v>54</v>
      </c>
      <c r="E1053">
        <f t="shared" si="138"/>
        <v>80</v>
      </c>
      <c r="F1053">
        <f t="shared" si="138"/>
        <v>124</v>
      </c>
      <c r="G1053">
        <f t="shared" si="138"/>
        <v>145</v>
      </c>
      <c r="H1053">
        <f t="shared" si="143"/>
        <v>177</v>
      </c>
      <c r="I1053">
        <f t="shared" si="143"/>
        <v>199</v>
      </c>
      <c r="J1053">
        <f t="shared" si="143"/>
        <v>232</v>
      </c>
      <c r="K1053">
        <f t="shared" si="143"/>
        <v>252</v>
      </c>
      <c r="L1053">
        <f t="shared" si="143"/>
        <v>284</v>
      </c>
      <c r="M1053">
        <f t="shared" si="143"/>
        <v>299</v>
      </c>
      <c r="N1053">
        <f t="shared" si="143"/>
        <v>311</v>
      </c>
      <c r="O1053">
        <f t="shared" si="143"/>
        <v>336</v>
      </c>
      <c r="P1053">
        <f t="shared" si="143"/>
        <v>354</v>
      </c>
      <c r="Q1053">
        <f t="shared" si="143"/>
        <v>380</v>
      </c>
      <c r="S1053" t="str">
        <f t="shared" si="139"/>
        <v>07.12.2025</v>
      </c>
      <c r="T1053" t="str">
        <f t="shared" si="140"/>
        <v>17:45:00</v>
      </c>
      <c r="U1053" t="str">
        <f t="shared" si="141"/>
        <v>07.12.2025 17:45:00</v>
      </c>
      <c r="V1053" s="9" t="str">
        <f>MID($A1053,C1053+C$2+1,D1053-C1053-C$2-1)</f>
        <v>0</v>
      </c>
      <c r="W1053" s="4">
        <f>VALUE(SUBSTITUTE(MID($A1053,D1053+D$2+1,E1053-D1053-D$2-1),",","."))</f>
        <v>0</v>
      </c>
      <c r="X1053" s="4">
        <f>VALUE(SUBSTITUTE(MID($A1053,E1053+E$2+1,F1053-E1053-E$2-1),",","."))</f>
        <v>0.90957602214449496</v>
      </c>
      <c r="Y1053" s="4">
        <f>VALUE(SUBSTITUTE(MID($A1053,F1053+F$2+1,G1053-F1053-F$2-1),",","."))</f>
        <v>0</v>
      </c>
      <c r="Z1053" s="3">
        <f>VALUE(SUBSTITUTE(MID($A1053,G1053+G$2+1,H1053-G1053-G$2-1),",","."))</f>
        <v>0</v>
      </c>
      <c r="AA1053" s="3">
        <f>VALUE(SUBSTITUTE(MID($A1053,H1053+H$2+1,I1053-H1053-H$2-1),",","."))</f>
        <v>0</v>
      </c>
      <c r="AB1053" s="3">
        <f>VALUE(SUBSTITUTE(MID($A1053,I1053+I$2+1,J1053-I1053-I$2-1),",","."))</f>
        <v>0</v>
      </c>
      <c r="AC1053" s="3">
        <f>VALUE(SUBSTITUTE(MID($A1053,J1053+J$2+1,K1053-J1053-J$2-1),",","."))</f>
        <v>1.35</v>
      </c>
      <c r="AD1053" s="3">
        <f>VALUE(SUBSTITUTE(MID($A1053,K1053+K$2+1,L1053-K1053-K$2-1),",","."))</f>
        <v>30.06</v>
      </c>
      <c r="AE1053" s="3">
        <f>VALUE(SUBSTITUTE(MID($A1053,L1053+L$2+1,M1053-L1053-L$2-1),",","."))</f>
        <v>0</v>
      </c>
      <c r="AF1053" s="3">
        <f>VALUE(SUBSTITUTE(MID($A1053,M1053+M$2+1,N1053-M1053-M$2-1),",","."))</f>
        <v>0</v>
      </c>
      <c r="AG1053" s="3">
        <f>VALUE(SUBSTITUTE(MID($A1053,N1053+N$2+1,O1053-N1053-N$2-1),",","."))</f>
        <v>4.2334066271641104</v>
      </c>
      <c r="AH1053" t="str">
        <f>MID($A1053,O1053+O$2+1,P1053-O1053-O$2-1)</f>
        <v/>
      </c>
      <c r="AI1053" s="8" t="str">
        <f>MID($A1053,P1053+P$2+1,Q1053-P1053-P$2-1)</f>
        <v>False</v>
      </c>
      <c r="AK1053" t="b">
        <f t="shared" si="142"/>
        <v>0</v>
      </c>
    </row>
    <row r="1054" spans="1:37" x14ac:dyDescent="0.35">
      <c r="A1054" t="s">
        <v>5601</v>
      </c>
      <c r="B1054">
        <f t="shared" si="138"/>
        <v>10</v>
      </c>
      <c r="C1054">
        <f t="shared" si="138"/>
        <v>43</v>
      </c>
      <c r="D1054">
        <f t="shared" si="138"/>
        <v>54</v>
      </c>
      <c r="E1054">
        <f t="shared" si="138"/>
        <v>80</v>
      </c>
      <c r="F1054">
        <f t="shared" si="138"/>
        <v>124</v>
      </c>
      <c r="G1054">
        <f t="shared" si="138"/>
        <v>145</v>
      </c>
      <c r="H1054">
        <f t="shared" si="143"/>
        <v>177</v>
      </c>
      <c r="I1054">
        <f t="shared" si="143"/>
        <v>199</v>
      </c>
      <c r="J1054">
        <f t="shared" si="143"/>
        <v>232</v>
      </c>
      <c r="K1054">
        <f t="shared" si="143"/>
        <v>252</v>
      </c>
      <c r="L1054">
        <f t="shared" si="143"/>
        <v>284</v>
      </c>
      <c r="M1054">
        <f t="shared" si="143"/>
        <v>299</v>
      </c>
      <c r="N1054">
        <f t="shared" si="143"/>
        <v>311</v>
      </c>
      <c r="O1054">
        <f t="shared" si="143"/>
        <v>336</v>
      </c>
      <c r="P1054">
        <f t="shared" si="143"/>
        <v>354</v>
      </c>
      <c r="Q1054">
        <f t="shared" si="143"/>
        <v>380</v>
      </c>
      <c r="S1054" t="str">
        <f t="shared" si="139"/>
        <v>07.12.2025</v>
      </c>
      <c r="T1054" t="str">
        <f t="shared" si="140"/>
        <v>18:00:00</v>
      </c>
      <c r="U1054" t="str">
        <f t="shared" si="141"/>
        <v>07.12.2025 18:00:00</v>
      </c>
      <c r="V1054" s="9" t="str">
        <f>MID($A1054,C1054+C$2+1,D1054-C1054-C$2-1)</f>
        <v>0</v>
      </c>
      <c r="W1054" s="4">
        <f>VALUE(SUBSTITUTE(MID($A1054,D1054+D$2+1,E1054-D1054-D$2-1),",","."))</f>
        <v>0</v>
      </c>
      <c r="X1054" s="4">
        <f>VALUE(SUBSTITUTE(MID($A1054,E1054+E$2+1,F1054-E1054-E$2-1),",","."))</f>
        <v>0.90957602214449496</v>
      </c>
      <c r="Y1054" s="4">
        <f>VALUE(SUBSTITUTE(MID($A1054,F1054+F$2+1,G1054-F1054-F$2-1),",","."))</f>
        <v>0</v>
      </c>
      <c r="Z1054" s="3">
        <f>VALUE(SUBSTITUTE(MID($A1054,G1054+G$2+1,H1054-G1054-G$2-1),",","."))</f>
        <v>0</v>
      </c>
      <c r="AA1054" s="3">
        <f>VALUE(SUBSTITUTE(MID($A1054,H1054+H$2+1,I1054-H1054-H$2-1),",","."))</f>
        <v>0</v>
      </c>
      <c r="AB1054" s="3">
        <f>VALUE(SUBSTITUTE(MID($A1054,I1054+I$2+1,J1054-I1054-I$2-1),",","."))</f>
        <v>0</v>
      </c>
      <c r="AC1054" s="3">
        <f>VALUE(SUBSTITUTE(MID($A1054,J1054+J$2+1,K1054-J1054-J$2-1),",","."))</f>
        <v>1.35</v>
      </c>
      <c r="AD1054" s="3">
        <f>VALUE(SUBSTITUTE(MID($A1054,K1054+K$2+1,L1054-K1054-K$2-1),",","."))</f>
        <v>30.06</v>
      </c>
      <c r="AE1054" s="3">
        <f>VALUE(SUBSTITUTE(MID($A1054,L1054+L$2+1,M1054-L1054-L$2-1),",","."))</f>
        <v>0</v>
      </c>
      <c r="AF1054" s="3">
        <f>VALUE(SUBSTITUTE(MID($A1054,M1054+M$2+1,N1054-M1054-M$2-1),",","."))</f>
        <v>0</v>
      </c>
      <c r="AG1054" s="3">
        <f>VALUE(SUBSTITUTE(MID($A1054,N1054+N$2+1,O1054-N1054-N$2-1),",","."))</f>
        <v>4.23343514705219</v>
      </c>
      <c r="AH1054" t="str">
        <f>MID($A1054,O1054+O$2+1,P1054-O1054-O$2-1)</f>
        <v/>
      </c>
      <c r="AI1054" s="8" t="str">
        <f>MID($A1054,P1054+P$2+1,Q1054-P1054-P$2-1)</f>
        <v>False</v>
      </c>
      <c r="AK1054" t="b">
        <f t="shared" si="142"/>
        <v>0</v>
      </c>
    </row>
    <row r="1055" spans="1:37" x14ac:dyDescent="0.35">
      <c r="A1055" t="s">
        <v>5602</v>
      </c>
      <c r="B1055">
        <f t="shared" si="138"/>
        <v>10</v>
      </c>
      <c r="C1055">
        <f t="shared" si="138"/>
        <v>43</v>
      </c>
      <c r="D1055">
        <f t="shared" si="138"/>
        <v>54</v>
      </c>
      <c r="E1055">
        <f t="shared" si="138"/>
        <v>80</v>
      </c>
      <c r="F1055">
        <f t="shared" si="138"/>
        <v>124</v>
      </c>
      <c r="G1055">
        <f t="shared" si="138"/>
        <v>145</v>
      </c>
      <c r="H1055">
        <f t="shared" si="143"/>
        <v>177</v>
      </c>
      <c r="I1055">
        <f t="shared" si="143"/>
        <v>199</v>
      </c>
      <c r="J1055">
        <f t="shared" si="143"/>
        <v>232</v>
      </c>
      <c r="K1055">
        <f t="shared" si="143"/>
        <v>252</v>
      </c>
      <c r="L1055">
        <f t="shared" si="143"/>
        <v>284</v>
      </c>
      <c r="M1055">
        <f t="shared" si="143"/>
        <v>299</v>
      </c>
      <c r="N1055">
        <f t="shared" si="143"/>
        <v>311</v>
      </c>
      <c r="O1055">
        <f t="shared" si="143"/>
        <v>336</v>
      </c>
      <c r="P1055">
        <f t="shared" si="143"/>
        <v>354</v>
      </c>
      <c r="Q1055">
        <f t="shared" si="143"/>
        <v>380</v>
      </c>
      <c r="S1055" t="str">
        <f t="shared" si="139"/>
        <v>07.12.2025</v>
      </c>
      <c r="T1055" t="str">
        <f t="shared" si="140"/>
        <v>18:15:00</v>
      </c>
      <c r="U1055" t="str">
        <f t="shared" si="141"/>
        <v>07.12.2025 18:15:00</v>
      </c>
      <c r="V1055" s="9" t="str">
        <f>MID($A1055,C1055+C$2+1,D1055-C1055-C$2-1)</f>
        <v>0</v>
      </c>
      <c r="W1055" s="4">
        <f>VALUE(SUBSTITUTE(MID($A1055,D1055+D$2+1,E1055-D1055-D$2-1),",","."))</f>
        <v>0</v>
      </c>
      <c r="X1055" s="4">
        <f>VALUE(SUBSTITUTE(MID($A1055,E1055+E$2+1,F1055-E1055-E$2-1),",","."))</f>
        <v>0.90957602214449496</v>
      </c>
      <c r="Y1055" s="4">
        <f>VALUE(SUBSTITUTE(MID($A1055,F1055+F$2+1,G1055-F1055-F$2-1),",","."))</f>
        <v>0</v>
      </c>
      <c r="Z1055" s="3">
        <f>VALUE(SUBSTITUTE(MID($A1055,G1055+G$2+1,H1055-G1055-G$2-1),",","."))</f>
        <v>0</v>
      </c>
      <c r="AA1055" s="3">
        <f>VALUE(SUBSTITUTE(MID($A1055,H1055+H$2+1,I1055-H1055-H$2-1),",","."))</f>
        <v>0</v>
      </c>
      <c r="AB1055" s="3">
        <f>VALUE(SUBSTITUTE(MID($A1055,I1055+I$2+1,J1055-I1055-I$2-1),",","."))</f>
        <v>0</v>
      </c>
      <c r="AC1055" s="3">
        <f>VALUE(SUBSTITUTE(MID($A1055,J1055+J$2+1,K1055-J1055-J$2-1),",","."))</f>
        <v>1.35</v>
      </c>
      <c r="AD1055" s="3">
        <f>VALUE(SUBSTITUTE(MID($A1055,K1055+K$2+1,L1055-K1055-K$2-1),",","."))</f>
        <v>30.06</v>
      </c>
      <c r="AE1055" s="3">
        <f>VALUE(SUBSTITUTE(MID($A1055,L1055+L$2+1,M1055-L1055-L$2-1),",","."))</f>
        <v>0</v>
      </c>
      <c r="AF1055" s="3">
        <f>VALUE(SUBSTITUTE(MID($A1055,M1055+M$2+1,N1055-M1055-M$2-1),",","."))</f>
        <v>0</v>
      </c>
      <c r="AG1055" s="3">
        <f>VALUE(SUBSTITUTE(MID($A1055,N1055+N$2+1,O1055-N1055-N$2-1),",","."))</f>
        <v>4.2334636669402697</v>
      </c>
      <c r="AH1055" t="str">
        <f>MID($A1055,O1055+O$2+1,P1055-O1055-O$2-1)</f>
        <v/>
      </c>
      <c r="AI1055" s="8" t="str">
        <f>MID($A1055,P1055+P$2+1,Q1055-P1055-P$2-1)</f>
        <v>False</v>
      </c>
      <c r="AK1055" t="b">
        <f t="shared" si="142"/>
        <v>0</v>
      </c>
    </row>
    <row r="1056" spans="1:37" x14ac:dyDescent="0.35">
      <c r="A1056" t="s">
        <v>5603</v>
      </c>
      <c r="B1056">
        <f t="shared" si="138"/>
        <v>10</v>
      </c>
      <c r="C1056">
        <f t="shared" si="138"/>
        <v>43</v>
      </c>
      <c r="D1056">
        <f t="shared" si="138"/>
        <v>54</v>
      </c>
      <c r="E1056">
        <f t="shared" si="138"/>
        <v>80</v>
      </c>
      <c r="F1056">
        <f t="shared" si="138"/>
        <v>124</v>
      </c>
      <c r="G1056">
        <f t="shared" si="138"/>
        <v>145</v>
      </c>
      <c r="H1056">
        <f t="shared" si="143"/>
        <v>177</v>
      </c>
      <c r="I1056">
        <f t="shared" si="143"/>
        <v>199</v>
      </c>
      <c r="J1056">
        <f t="shared" si="143"/>
        <v>232</v>
      </c>
      <c r="K1056">
        <f t="shared" si="143"/>
        <v>251</v>
      </c>
      <c r="L1056">
        <f t="shared" si="143"/>
        <v>283</v>
      </c>
      <c r="M1056">
        <f t="shared" si="143"/>
        <v>298</v>
      </c>
      <c r="N1056">
        <f t="shared" si="143"/>
        <v>310</v>
      </c>
      <c r="O1056">
        <f t="shared" si="143"/>
        <v>335</v>
      </c>
      <c r="P1056">
        <f t="shared" si="143"/>
        <v>353</v>
      </c>
      <c r="Q1056">
        <f t="shared" si="143"/>
        <v>379</v>
      </c>
      <c r="S1056" t="str">
        <f t="shared" si="139"/>
        <v>07.12.2025</v>
      </c>
      <c r="T1056" t="str">
        <f t="shared" si="140"/>
        <v>18:30:00</v>
      </c>
      <c r="U1056" t="str">
        <f t="shared" si="141"/>
        <v>07.12.2025 18:30:00</v>
      </c>
      <c r="V1056" s="9" t="str">
        <f>MID($A1056,C1056+C$2+1,D1056-C1056-C$2-1)</f>
        <v>0</v>
      </c>
      <c r="W1056" s="4">
        <f>VALUE(SUBSTITUTE(MID($A1056,D1056+D$2+1,E1056-D1056-D$2-1),",","."))</f>
        <v>0</v>
      </c>
      <c r="X1056" s="4">
        <f>VALUE(SUBSTITUTE(MID($A1056,E1056+E$2+1,F1056-E1056-E$2-1),",","."))</f>
        <v>0.90957602214449496</v>
      </c>
      <c r="Y1056" s="4">
        <f>VALUE(SUBSTITUTE(MID($A1056,F1056+F$2+1,G1056-F1056-F$2-1),",","."))</f>
        <v>0</v>
      </c>
      <c r="Z1056" s="3">
        <f>VALUE(SUBSTITUTE(MID($A1056,G1056+G$2+1,H1056-G1056-G$2-1),",","."))</f>
        <v>0</v>
      </c>
      <c r="AA1056" s="3">
        <f>VALUE(SUBSTITUTE(MID($A1056,H1056+H$2+1,I1056-H1056-H$2-1),",","."))</f>
        <v>0</v>
      </c>
      <c r="AB1056" s="3">
        <f>VALUE(SUBSTITUTE(MID($A1056,I1056+I$2+1,J1056-I1056-I$2-1),",","."))</f>
        <v>0</v>
      </c>
      <c r="AC1056" s="3">
        <f>VALUE(SUBSTITUTE(MID($A1056,J1056+J$2+1,K1056-J1056-J$2-1),",","."))</f>
        <v>0.8</v>
      </c>
      <c r="AD1056" s="3">
        <f>VALUE(SUBSTITUTE(MID($A1056,K1056+K$2+1,L1056-K1056-K$2-1),",","."))</f>
        <v>25.74</v>
      </c>
      <c r="AE1056" s="3">
        <f>VALUE(SUBSTITUTE(MID($A1056,L1056+L$2+1,M1056-L1056-L$2-1),",","."))</f>
        <v>0</v>
      </c>
      <c r="AF1056" s="3">
        <f>VALUE(SUBSTITUTE(MID($A1056,M1056+M$2+1,N1056-M1056-M$2-1),",","."))</f>
        <v>0</v>
      </c>
      <c r="AG1056" s="3">
        <f>VALUE(SUBSTITUTE(MID($A1056,N1056+N$2+1,O1056-N1056-N$2-1),",","."))</f>
        <v>4.2334921868283502</v>
      </c>
      <c r="AH1056" t="str">
        <f>MID($A1056,O1056+O$2+1,P1056-O1056-O$2-1)</f>
        <v/>
      </c>
      <c r="AI1056" s="8" t="str">
        <f>MID($A1056,P1056+P$2+1,Q1056-P1056-P$2-1)</f>
        <v>False</v>
      </c>
      <c r="AK1056" t="b">
        <f t="shared" si="142"/>
        <v>0</v>
      </c>
    </row>
    <row r="1057" spans="1:37" x14ac:dyDescent="0.35">
      <c r="A1057" t="s">
        <v>5604</v>
      </c>
      <c r="B1057">
        <f t="shared" si="138"/>
        <v>10</v>
      </c>
      <c r="C1057">
        <f t="shared" si="138"/>
        <v>43</v>
      </c>
      <c r="D1057">
        <f t="shared" si="138"/>
        <v>54</v>
      </c>
      <c r="E1057">
        <f t="shared" si="138"/>
        <v>80</v>
      </c>
      <c r="F1057">
        <f t="shared" si="138"/>
        <v>124</v>
      </c>
      <c r="G1057">
        <f t="shared" si="138"/>
        <v>145</v>
      </c>
      <c r="H1057">
        <f t="shared" si="143"/>
        <v>177</v>
      </c>
      <c r="I1057">
        <f t="shared" si="143"/>
        <v>199</v>
      </c>
      <c r="J1057">
        <f t="shared" si="143"/>
        <v>232</v>
      </c>
      <c r="K1057">
        <f t="shared" si="143"/>
        <v>251</v>
      </c>
      <c r="L1057">
        <f t="shared" si="143"/>
        <v>283</v>
      </c>
      <c r="M1057">
        <f t="shared" si="143"/>
        <v>298</v>
      </c>
      <c r="N1057">
        <f t="shared" si="143"/>
        <v>310</v>
      </c>
      <c r="O1057">
        <f t="shared" si="143"/>
        <v>335</v>
      </c>
      <c r="P1057">
        <f t="shared" si="143"/>
        <v>353</v>
      </c>
      <c r="Q1057">
        <f t="shared" si="143"/>
        <v>379</v>
      </c>
      <c r="S1057" t="str">
        <f t="shared" si="139"/>
        <v>07.12.2025</v>
      </c>
      <c r="T1057" t="str">
        <f t="shared" si="140"/>
        <v>18:45:00</v>
      </c>
      <c r="U1057" t="str">
        <f t="shared" si="141"/>
        <v>07.12.2025 18:45:00</v>
      </c>
      <c r="V1057" s="9" t="str">
        <f>MID($A1057,C1057+C$2+1,D1057-C1057-C$2-1)</f>
        <v>0</v>
      </c>
      <c r="W1057" s="4">
        <f>VALUE(SUBSTITUTE(MID($A1057,D1057+D$2+1,E1057-D1057-D$2-1),",","."))</f>
        <v>0</v>
      </c>
      <c r="X1057" s="4">
        <f>VALUE(SUBSTITUTE(MID($A1057,E1057+E$2+1,F1057-E1057-E$2-1),",","."))</f>
        <v>0.90957602214449496</v>
      </c>
      <c r="Y1057" s="4">
        <f>VALUE(SUBSTITUTE(MID($A1057,F1057+F$2+1,G1057-F1057-F$2-1),",","."))</f>
        <v>0</v>
      </c>
      <c r="Z1057" s="3">
        <f>VALUE(SUBSTITUTE(MID($A1057,G1057+G$2+1,H1057-G1057-G$2-1),",","."))</f>
        <v>0</v>
      </c>
      <c r="AA1057" s="3">
        <f>VALUE(SUBSTITUTE(MID($A1057,H1057+H$2+1,I1057-H1057-H$2-1),",","."))</f>
        <v>0</v>
      </c>
      <c r="AB1057" s="3">
        <f>VALUE(SUBSTITUTE(MID($A1057,I1057+I$2+1,J1057-I1057-I$2-1),",","."))</f>
        <v>0</v>
      </c>
      <c r="AC1057" s="3">
        <f>VALUE(SUBSTITUTE(MID($A1057,J1057+J$2+1,K1057-J1057-J$2-1),",","."))</f>
        <v>0.8</v>
      </c>
      <c r="AD1057" s="3">
        <f>VALUE(SUBSTITUTE(MID($A1057,K1057+K$2+1,L1057-K1057-K$2-1),",","."))</f>
        <v>25.74</v>
      </c>
      <c r="AE1057" s="3">
        <f>VALUE(SUBSTITUTE(MID($A1057,L1057+L$2+1,M1057-L1057-L$2-1),",","."))</f>
        <v>0</v>
      </c>
      <c r="AF1057" s="3">
        <f>VALUE(SUBSTITUTE(MID($A1057,M1057+M$2+1,N1057-M1057-M$2-1),",","."))</f>
        <v>0</v>
      </c>
      <c r="AG1057" s="3">
        <f>VALUE(SUBSTITUTE(MID($A1057,N1057+N$2+1,O1057-N1057-N$2-1),",","."))</f>
        <v>4.2335207067164298</v>
      </c>
      <c r="AH1057" t="str">
        <f>MID($A1057,O1057+O$2+1,P1057-O1057-O$2-1)</f>
        <v/>
      </c>
      <c r="AI1057" s="8" t="str">
        <f>MID($A1057,P1057+P$2+1,Q1057-P1057-P$2-1)</f>
        <v>False</v>
      </c>
      <c r="AK1057" t="b">
        <f t="shared" si="142"/>
        <v>0</v>
      </c>
    </row>
    <row r="1058" spans="1:37" x14ac:dyDescent="0.35">
      <c r="A1058" t="s">
        <v>5605</v>
      </c>
      <c r="B1058">
        <f t="shared" si="138"/>
        <v>10</v>
      </c>
      <c r="C1058">
        <f t="shared" si="138"/>
        <v>43</v>
      </c>
      <c r="D1058">
        <f t="shared" si="138"/>
        <v>54</v>
      </c>
      <c r="E1058">
        <f t="shared" si="138"/>
        <v>80</v>
      </c>
      <c r="F1058">
        <f t="shared" si="138"/>
        <v>124</v>
      </c>
      <c r="G1058">
        <f t="shared" si="138"/>
        <v>145</v>
      </c>
      <c r="H1058">
        <f t="shared" si="143"/>
        <v>177</v>
      </c>
      <c r="I1058">
        <f t="shared" si="143"/>
        <v>199</v>
      </c>
      <c r="J1058">
        <f t="shared" si="143"/>
        <v>232</v>
      </c>
      <c r="K1058">
        <f t="shared" si="143"/>
        <v>251</v>
      </c>
      <c r="L1058">
        <f t="shared" si="143"/>
        <v>283</v>
      </c>
      <c r="M1058">
        <f t="shared" si="143"/>
        <v>298</v>
      </c>
      <c r="N1058">
        <f t="shared" si="143"/>
        <v>310</v>
      </c>
      <c r="O1058">
        <f t="shared" si="143"/>
        <v>335</v>
      </c>
      <c r="P1058">
        <f t="shared" si="143"/>
        <v>353</v>
      </c>
      <c r="Q1058">
        <f t="shared" si="143"/>
        <v>379</v>
      </c>
      <c r="S1058" t="str">
        <f t="shared" si="139"/>
        <v>07.12.2025</v>
      </c>
      <c r="T1058" t="str">
        <f t="shared" si="140"/>
        <v>19:00:00</v>
      </c>
      <c r="U1058" t="str">
        <f t="shared" si="141"/>
        <v>07.12.2025 19:00:00</v>
      </c>
      <c r="V1058" s="9" t="str">
        <f>MID($A1058,C1058+C$2+1,D1058-C1058-C$2-1)</f>
        <v>0</v>
      </c>
      <c r="W1058" s="4">
        <f>VALUE(SUBSTITUTE(MID($A1058,D1058+D$2+1,E1058-D1058-D$2-1),",","."))</f>
        <v>0</v>
      </c>
      <c r="X1058" s="4">
        <f>VALUE(SUBSTITUTE(MID($A1058,E1058+E$2+1,F1058-E1058-E$2-1),",","."))</f>
        <v>0.90957602214449496</v>
      </c>
      <c r="Y1058" s="4">
        <f>VALUE(SUBSTITUTE(MID($A1058,F1058+F$2+1,G1058-F1058-F$2-1),",","."))</f>
        <v>0</v>
      </c>
      <c r="Z1058" s="3">
        <f>VALUE(SUBSTITUTE(MID($A1058,G1058+G$2+1,H1058-G1058-G$2-1),",","."))</f>
        <v>0</v>
      </c>
      <c r="AA1058" s="3">
        <f>VALUE(SUBSTITUTE(MID($A1058,H1058+H$2+1,I1058-H1058-H$2-1),",","."))</f>
        <v>0</v>
      </c>
      <c r="AB1058" s="3">
        <f>VALUE(SUBSTITUTE(MID($A1058,I1058+I$2+1,J1058-I1058-I$2-1),",","."))</f>
        <v>0</v>
      </c>
      <c r="AC1058" s="3">
        <f>VALUE(SUBSTITUTE(MID($A1058,J1058+J$2+1,K1058-J1058-J$2-1),",","."))</f>
        <v>0.8</v>
      </c>
      <c r="AD1058" s="3">
        <f>VALUE(SUBSTITUTE(MID($A1058,K1058+K$2+1,L1058-K1058-K$2-1),",","."))</f>
        <v>25.74</v>
      </c>
      <c r="AE1058" s="3">
        <f>VALUE(SUBSTITUTE(MID($A1058,L1058+L$2+1,M1058-L1058-L$2-1),",","."))</f>
        <v>0</v>
      </c>
      <c r="AF1058" s="3">
        <f>VALUE(SUBSTITUTE(MID($A1058,M1058+M$2+1,N1058-M1058-M$2-1),",","."))</f>
        <v>0</v>
      </c>
      <c r="AG1058" s="3">
        <f>VALUE(SUBSTITUTE(MID($A1058,N1058+N$2+1,O1058-N1058-N$2-1),",","."))</f>
        <v>4.2335492266045103</v>
      </c>
      <c r="AH1058" t="str">
        <f>MID($A1058,O1058+O$2+1,P1058-O1058-O$2-1)</f>
        <v/>
      </c>
      <c r="AI1058" s="8" t="str">
        <f>MID($A1058,P1058+P$2+1,Q1058-P1058-P$2-1)</f>
        <v>False</v>
      </c>
      <c r="AK1058" t="b">
        <f t="shared" si="142"/>
        <v>0</v>
      </c>
    </row>
    <row r="1059" spans="1:37" x14ac:dyDescent="0.35">
      <c r="A1059" t="s">
        <v>5606</v>
      </c>
      <c r="B1059">
        <f t="shared" si="138"/>
        <v>10</v>
      </c>
      <c r="C1059">
        <f t="shared" si="138"/>
        <v>43</v>
      </c>
      <c r="D1059">
        <f t="shared" si="138"/>
        <v>54</v>
      </c>
      <c r="E1059">
        <f t="shared" si="138"/>
        <v>80</v>
      </c>
      <c r="F1059">
        <f t="shared" si="138"/>
        <v>124</v>
      </c>
      <c r="G1059">
        <f t="shared" si="138"/>
        <v>145</v>
      </c>
      <c r="H1059">
        <f t="shared" si="143"/>
        <v>177</v>
      </c>
      <c r="I1059">
        <f t="shared" si="143"/>
        <v>199</v>
      </c>
      <c r="J1059">
        <f t="shared" si="143"/>
        <v>232</v>
      </c>
      <c r="K1059">
        <f t="shared" si="143"/>
        <v>251</v>
      </c>
      <c r="L1059">
        <f t="shared" si="143"/>
        <v>283</v>
      </c>
      <c r="M1059">
        <f t="shared" si="143"/>
        <v>298</v>
      </c>
      <c r="N1059">
        <f t="shared" si="143"/>
        <v>310</v>
      </c>
      <c r="O1059">
        <f t="shared" si="143"/>
        <v>335</v>
      </c>
      <c r="P1059">
        <f t="shared" si="143"/>
        <v>353</v>
      </c>
      <c r="Q1059">
        <f t="shared" si="143"/>
        <v>379</v>
      </c>
      <c r="S1059" t="str">
        <f t="shared" si="139"/>
        <v>07.12.2025</v>
      </c>
      <c r="T1059" t="str">
        <f t="shared" si="140"/>
        <v>19:15:00</v>
      </c>
      <c r="U1059" t="str">
        <f t="shared" si="141"/>
        <v>07.12.2025 19:15:00</v>
      </c>
      <c r="V1059" s="9" t="str">
        <f>MID($A1059,C1059+C$2+1,D1059-C1059-C$2-1)</f>
        <v>0</v>
      </c>
      <c r="W1059" s="4">
        <f>VALUE(SUBSTITUTE(MID($A1059,D1059+D$2+1,E1059-D1059-D$2-1),",","."))</f>
        <v>0</v>
      </c>
      <c r="X1059" s="4">
        <f>VALUE(SUBSTITUTE(MID($A1059,E1059+E$2+1,F1059-E1059-E$2-1),",","."))</f>
        <v>0.90957602214449496</v>
      </c>
      <c r="Y1059" s="4">
        <f>VALUE(SUBSTITUTE(MID($A1059,F1059+F$2+1,G1059-F1059-F$2-1),",","."))</f>
        <v>0</v>
      </c>
      <c r="Z1059" s="3">
        <f>VALUE(SUBSTITUTE(MID($A1059,G1059+G$2+1,H1059-G1059-G$2-1),",","."))</f>
        <v>0</v>
      </c>
      <c r="AA1059" s="3">
        <f>VALUE(SUBSTITUTE(MID($A1059,H1059+H$2+1,I1059-H1059-H$2-1),",","."))</f>
        <v>0</v>
      </c>
      <c r="AB1059" s="3">
        <f>VALUE(SUBSTITUTE(MID($A1059,I1059+I$2+1,J1059-I1059-I$2-1),",","."))</f>
        <v>0</v>
      </c>
      <c r="AC1059" s="3">
        <f>VALUE(SUBSTITUTE(MID($A1059,J1059+J$2+1,K1059-J1059-J$2-1),",","."))</f>
        <v>0.8</v>
      </c>
      <c r="AD1059" s="3">
        <f>VALUE(SUBSTITUTE(MID($A1059,K1059+K$2+1,L1059-K1059-K$2-1),",","."))</f>
        <v>25.74</v>
      </c>
      <c r="AE1059" s="3">
        <f>VALUE(SUBSTITUTE(MID($A1059,L1059+L$2+1,M1059-L1059-L$2-1),",","."))</f>
        <v>0</v>
      </c>
      <c r="AF1059" s="3">
        <f>VALUE(SUBSTITUTE(MID($A1059,M1059+M$2+1,N1059-M1059-M$2-1),",","."))</f>
        <v>0</v>
      </c>
      <c r="AG1059" s="3">
        <f>VALUE(SUBSTITUTE(MID($A1059,N1059+N$2+1,O1059-N1059-N$2-1),",","."))</f>
        <v>4.2335777464925997</v>
      </c>
      <c r="AH1059" t="str">
        <f>MID($A1059,O1059+O$2+1,P1059-O1059-O$2-1)</f>
        <v/>
      </c>
      <c r="AI1059" s="8" t="str">
        <f>MID($A1059,P1059+P$2+1,Q1059-P1059-P$2-1)</f>
        <v>False</v>
      </c>
      <c r="AK1059" t="b">
        <f t="shared" si="142"/>
        <v>0</v>
      </c>
    </row>
    <row r="1060" spans="1:37" x14ac:dyDescent="0.35">
      <c r="A1060" t="s">
        <v>5607</v>
      </c>
      <c r="B1060">
        <f t="shared" si="138"/>
        <v>10</v>
      </c>
      <c r="C1060">
        <f t="shared" si="138"/>
        <v>43</v>
      </c>
      <c r="D1060">
        <f t="shared" si="138"/>
        <v>54</v>
      </c>
      <c r="E1060">
        <f t="shared" si="138"/>
        <v>80</v>
      </c>
      <c r="F1060">
        <f t="shared" si="138"/>
        <v>124</v>
      </c>
      <c r="G1060">
        <f t="shared" si="138"/>
        <v>145</v>
      </c>
      <c r="H1060">
        <f t="shared" si="143"/>
        <v>177</v>
      </c>
      <c r="I1060">
        <f t="shared" si="143"/>
        <v>199</v>
      </c>
      <c r="J1060">
        <f t="shared" si="143"/>
        <v>232</v>
      </c>
      <c r="K1060">
        <f t="shared" si="143"/>
        <v>251</v>
      </c>
      <c r="L1060">
        <f t="shared" si="143"/>
        <v>283</v>
      </c>
      <c r="M1060">
        <f t="shared" si="143"/>
        <v>298</v>
      </c>
      <c r="N1060">
        <f t="shared" si="143"/>
        <v>310</v>
      </c>
      <c r="O1060">
        <f t="shared" si="143"/>
        <v>335</v>
      </c>
      <c r="P1060">
        <f t="shared" si="143"/>
        <v>353</v>
      </c>
      <c r="Q1060">
        <f t="shared" si="143"/>
        <v>379</v>
      </c>
      <c r="S1060" t="str">
        <f t="shared" si="139"/>
        <v>07.12.2025</v>
      </c>
      <c r="T1060" t="str">
        <f t="shared" si="140"/>
        <v>19:30:00</v>
      </c>
      <c r="U1060" t="str">
        <f t="shared" si="141"/>
        <v>07.12.2025 19:30:00</v>
      </c>
      <c r="V1060" s="9" t="str">
        <f>MID($A1060,C1060+C$2+1,D1060-C1060-C$2-1)</f>
        <v>0</v>
      </c>
      <c r="W1060" s="4">
        <f>VALUE(SUBSTITUTE(MID($A1060,D1060+D$2+1,E1060-D1060-D$2-1),",","."))</f>
        <v>0</v>
      </c>
      <c r="X1060" s="4">
        <f>VALUE(SUBSTITUTE(MID($A1060,E1060+E$2+1,F1060-E1060-E$2-1),",","."))</f>
        <v>0.90957602214449496</v>
      </c>
      <c r="Y1060" s="4">
        <f>VALUE(SUBSTITUTE(MID($A1060,F1060+F$2+1,G1060-F1060-F$2-1),",","."))</f>
        <v>0</v>
      </c>
      <c r="Z1060" s="3">
        <f>VALUE(SUBSTITUTE(MID($A1060,G1060+G$2+1,H1060-G1060-G$2-1),",","."))</f>
        <v>0</v>
      </c>
      <c r="AA1060" s="3">
        <f>VALUE(SUBSTITUTE(MID($A1060,H1060+H$2+1,I1060-H1060-H$2-1),",","."))</f>
        <v>0</v>
      </c>
      <c r="AB1060" s="3">
        <f>VALUE(SUBSTITUTE(MID($A1060,I1060+I$2+1,J1060-I1060-I$2-1),",","."))</f>
        <v>0</v>
      </c>
      <c r="AC1060" s="3">
        <f>VALUE(SUBSTITUTE(MID($A1060,J1060+J$2+1,K1060-J1060-J$2-1),",","."))</f>
        <v>0.3</v>
      </c>
      <c r="AD1060" s="3">
        <f>VALUE(SUBSTITUTE(MID($A1060,K1060+K$2+1,L1060-K1060-K$2-1),",","."))</f>
        <v>21.24</v>
      </c>
      <c r="AE1060" s="3">
        <f>VALUE(SUBSTITUTE(MID($A1060,L1060+L$2+1,M1060-L1060-L$2-1),",","."))</f>
        <v>0</v>
      </c>
      <c r="AF1060" s="3">
        <f>VALUE(SUBSTITUTE(MID($A1060,M1060+M$2+1,N1060-M1060-M$2-1),",","."))</f>
        <v>0</v>
      </c>
      <c r="AG1060" s="3">
        <f>VALUE(SUBSTITUTE(MID($A1060,N1060+N$2+1,O1060-N1060-N$2-1),",","."))</f>
        <v>4.2336062663806802</v>
      </c>
      <c r="AH1060" t="str">
        <f>MID($A1060,O1060+O$2+1,P1060-O1060-O$2-1)</f>
        <v/>
      </c>
      <c r="AI1060" s="8" t="str">
        <f>MID($A1060,P1060+P$2+1,Q1060-P1060-P$2-1)</f>
        <v>False</v>
      </c>
      <c r="AK1060" t="b">
        <f t="shared" si="142"/>
        <v>0</v>
      </c>
    </row>
    <row r="1061" spans="1:37" x14ac:dyDescent="0.35">
      <c r="A1061" t="s">
        <v>5608</v>
      </c>
      <c r="B1061">
        <f t="shared" si="138"/>
        <v>10</v>
      </c>
      <c r="C1061">
        <f t="shared" si="138"/>
        <v>43</v>
      </c>
      <c r="D1061">
        <f t="shared" si="138"/>
        <v>54</v>
      </c>
      <c r="E1061">
        <f t="shared" si="138"/>
        <v>80</v>
      </c>
      <c r="F1061">
        <f t="shared" si="138"/>
        <v>124</v>
      </c>
      <c r="G1061">
        <f t="shared" si="138"/>
        <v>145</v>
      </c>
      <c r="H1061">
        <f t="shared" si="143"/>
        <v>177</v>
      </c>
      <c r="I1061">
        <f t="shared" si="143"/>
        <v>199</v>
      </c>
      <c r="J1061">
        <f t="shared" si="143"/>
        <v>232</v>
      </c>
      <c r="K1061">
        <f t="shared" si="143"/>
        <v>251</v>
      </c>
      <c r="L1061">
        <f t="shared" si="143"/>
        <v>283</v>
      </c>
      <c r="M1061">
        <f t="shared" si="143"/>
        <v>298</v>
      </c>
      <c r="N1061">
        <f t="shared" si="143"/>
        <v>310</v>
      </c>
      <c r="O1061">
        <f t="shared" si="143"/>
        <v>335</v>
      </c>
      <c r="P1061">
        <f t="shared" si="143"/>
        <v>353</v>
      </c>
      <c r="Q1061">
        <f t="shared" si="143"/>
        <v>379</v>
      </c>
      <c r="S1061" t="str">
        <f t="shared" si="139"/>
        <v>07.12.2025</v>
      </c>
      <c r="T1061" t="str">
        <f t="shared" si="140"/>
        <v>19:45:00</v>
      </c>
      <c r="U1061" t="str">
        <f t="shared" si="141"/>
        <v>07.12.2025 19:45:00</v>
      </c>
      <c r="V1061" s="9" t="str">
        <f>MID($A1061,C1061+C$2+1,D1061-C1061-C$2-1)</f>
        <v>0</v>
      </c>
      <c r="W1061" s="4">
        <f>VALUE(SUBSTITUTE(MID($A1061,D1061+D$2+1,E1061-D1061-D$2-1),",","."))</f>
        <v>0</v>
      </c>
      <c r="X1061" s="4">
        <f>VALUE(SUBSTITUTE(MID($A1061,E1061+E$2+1,F1061-E1061-E$2-1),",","."))</f>
        <v>0.90957602214449496</v>
      </c>
      <c r="Y1061" s="4">
        <f>VALUE(SUBSTITUTE(MID($A1061,F1061+F$2+1,G1061-F1061-F$2-1),",","."))</f>
        <v>0</v>
      </c>
      <c r="Z1061" s="3">
        <f>VALUE(SUBSTITUTE(MID($A1061,G1061+G$2+1,H1061-G1061-G$2-1),",","."))</f>
        <v>0</v>
      </c>
      <c r="AA1061" s="3">
        <f>VALUE(SUBSTITUTE(MID($A1061,H1061+H$2+1,I1061-H1061-H$2-1),",","."))</f>
        <v>0</v>
      </c>
      <c r="AB1061" s="3">
        <f>VALUE(SUBSTITUTE(MID($A1061,I1061+I$2+1,J1061-I1061-I$2-1),",","."))</f>
        <v>0</v>
      </c>
      <c r="AC1061" s="3">
        <f>VALUE(SUBSTITUTE(MID($A1061,J1061+J$2+1,K1061-J1061-J$2-1),",","."))</f>
        <v>0.3</v>
      </c>
      <c r="AD1061" s="3">
        <f>VALUE(SUBSTITUTE(MID($A1061,K1061+K$2+1,L1061-K1061-K$2-1),",","."))</f>
        <v>21.24</v>
      </c>
      <c r="AE1061" s="3">
        <f>VALUE(SUBSTITUTE(MID($A1061,L1061+L$2+1,M1061-L1061-L$2-1),",","."))</f>
        <v>0</v>
      </c>
      <c r="AF1061" s="3">
        <f>VALUE(SUBSTITUTE(MID($A1061,M1061+M$2+1,N1061-M1061-M$2-1),",","."))</f>
        <v>0</v>
      </c>
      <c r="AG1061" s="3">
        <f>VALUE(SUBSTITUTE(MID($A1061,N1061+N$2+1,O1061-N1061-N$2-1),",","."))</f>
        <v>4.2336347862687598</v>
      </c>
      <c r="AH1061" t="str">
        <f>MID($A1061,O1061+O$2+1,P1061-O1061-O$2-1)</f>
        <v/>
      </c>
      <c r="AI1061" s="8" t="str">
        <f>MID($A1061,P1061+P$2+1,Q1061-P1061-P$2-1)</f>
        <v>False</v>
      </c>
      <c r="AK1061" t="b">
        <f t="shared" si="142"/>
        <v>0</v>
      </c>
    </row>
    <row r="1062" spans="1:37" x14ac:dyDescent="0.35">
      <c r="A1062" t="s">
        <v>5609</v>
      </c>
      <c r="B1062">
        <f t="shared" si="138"/>
        <v>10</v>
      </c>
      <c r="C1062">
        <f t="shared" si="138"/>
        <v>43</v>
      </c>
      <c r="D1062">
        <f t="shared" si="138"/>
        <v>54</v>
      </c>
      <c r="E1062">
        <f t="shared" si="138"/>
        <v>80</v>
      </c>
      <c r="F1062">
        <f t="shared" si="138"/>
        <v>124</v>
      </c>
      <c r="G1062">
        <f t="shared" si="138"/>
        <v>145</v>
      </c>
      <c r="H1062">
        <f t="shared" si="143"/>
        <v>177</v>
      </c>
      <c r="I1062">
        <f t="shared" si="143"/>
        <v>199</v>
      </c>
      <c r="J1062">
        <f t="shared" si="143"/>
        <v>232</v>
      </c>
      <c r="K1062">
        <f t="shared" si="143"/>
        <v>251</v>
      </c>
      <c r="L1062">
        <f t="shared" si="143"/>
        <v>283</v>
      </c>
      <c r="M1062">
        <f t="shared" si="143"/>
        <v>298</v>
      </c>
      <c r="N1062">
        <f t="shared" si="143"/>
        <v>310</v>
      </c>
      <c r="O1062">
        <f t="shared" si="143"/>
        <v>335</v>
      </c>
      <c r="P1062">
        <f t="shared" si="143"/>
        <v>353</v>
      </c>
      <c r="Q1062">
        <f t="shared" si="143"/>
        <v>379</v>
      </c>
      <c r="S1062" t="str">
        <f t="shared" si="139"/>
        <v>07.12.2025</v>
      </c>
      <c r="T1062" t="str">
        <f t="shared" si="140"/>
        <v>20:00:00</v>
      </c>
      <c r="U1062" t="str">
        <f t="shared" si="141"/>
        <v>07.12.2025 20:00:00</v>
      </c>
      <c r="V1062" s="9" t="str">
        <f>MID($A1062,C1062+C$2+1,D1062-C1062-C$2-1)</f>
        <v>0</v>
      </c>
      <c r="W1062" s="4">
        <f>VALUE(SUBSTITUTE(MID($A1062,D1062+D$2+1,E1062-D1062-D$2-1),",","."))</f>
        <v>0</v>
      </c>
      <c r="X1062" s="4">
        <f>VALUE(SUBSTITUTE(MID($A1062,E1062+E$2+1,F1062-E1062-E$2-1),",","."))</f>
        <v>0.90957602214449496</v>
      </c>
      <c r="Y1062" s="4">
        <f>VALUE(SUBSTITUTE(MID($A1062,F1062+F$2+1,G1062-F1062-F$2-1),",","."))</f>
        <v>0</v>
      </c>
      <c r="Z1062" s="3">
        <f>VALUE(SUBSTITUTE(MID($A1062,G1062+G$2+1,H1062-G1062-G$2-1),",","."))</f>
        <v>0</v>
      </c>
      <c r="AA1062" s="3">
        <f>VALUE(SUBSTITUTE(MID($A1062,H1062+H$2+1,I1062-H1062-H$2-1),",","."))</f>
        <v>0</v>
      </c>
      <c r="AB1062" s="3">
        <f>VALUE(SUBSTITUTE(MID($A1062,I1062+I$2+1,J1062-I1062-I$2-1),",","."))</f>
        <v>0</v>
      </c>
      <c r="AC1062" s="3">
        <f>VALUE(SUBSTITUTE(MID($A1062,J1062+J$2+1,K1062-J1062-J$2-1),",","."))</f>
        <v>0.3</v>
      </c>
      <c r="AD1062" s="3">
        <f>VALUE(SUBSTITUTE(MID($A1062,K1062+K$2+1,L1062-K1062-K$2-1),",","."))</f>
        <v>21.24</v>
      </c>
      <c r="AE1062" s="3">
        <f>VALUE(SUBSTITUTE(MID($A1062,L1062+L$2+1,M1062-L1062-L$2-1),",","."))</f>
        <v>0</v>
      </c>
      <c r="AF1062" s="3">
        <f>VALUE(SUBSTITUTE(MID($A1062,M1062+M$2+1,N1062-M1062-M$2-1),",","."))</f>
        <v>0</v>
      </c>
      <c r="AG1062" s="3">
        <f>VALUE(SUBSTITUTE(MID($A1062,N1062+N$2+1,O1062-N1062-N$2-1),",","."))</f>
        <v>4.2336633061568403</v>
      </c>
      <c r="AH1062" t="str">
        <f>MID($A1062,O1062+O$2+1,P1062-O1062-O$2-1)</f>
        <v/>
      </c>
      <c r="AI1062" s="8" t="str">
        <f>MID($A1062,P1062+P$2+1,Q1062-P1062-P$2-1)</f>
        <v>False</v>
      </c>
      <c r="AK1062" t="b">
        <f t="shared" si="142"/>
        <v>0</v>
      </c>
    </row>
    <row r="1063" spans="1:37" x14ac:dyDescent="0.35">
      <c r="A1063" t="s">
        <v>5610</v>
      </c>
      <c r="B1063">
        <f t="shared" si="138"/>
        <v>10</v>
      </c>
      <c r="C1063">
        <f t="shared" si="138"/>
        <v>43</v>
      </c>
      <c r="D1063">
        <f t="shared" si="138"/>
        <v>54</v>
      </c>
      <c r="E1063">
        <f t="shared" si="138"/>
        <v>80</v>
      </c>
      <c r="F1063">
        <f t="shared" si="138"/>
        <v>124</v>
      </c>
      <c r="G1063">
        <f t="shared" si="138"/>
        <v>145</v>
      </c>
      <c r="H1063">
        <f t="shared" si="143"/>
        <v>177</v>
      </c>
      <c r="I1063">
        <f t="shared" si="143"/>
        <v>199</v>
      </c>
      <c r="J1063">
        <f t="shared" si="143"/>
        <v>232</v>
      </c>
      <c r="K1063">
        <f t="shared" si="143"/>
        <v>251</v>
      </c>
      <c r="L1063">
        <f t="shared" si="143"/>
        <v>283</v>
      </c>
      <c r="M1063">
        <f t="shared" si="143"/>
        <v>298</v>
      </c>
      <c r="N1063">
        <f t="shared" si="143"/>
        <v>310</v>
      </c>
      <c r="O1063">
        <f t="shared" si="143"/>
        <v>335</v>
      </c>
      <c r="P1063">
        <f t="shared" si="143"/>
        <v>353</v>
      </c>
      <c r="Q1063">
        <f t="shared" si="143"/>
        <v>379</v>
      </c>
      <c r="S1063" t="str">
        <f t="shared" si="139"/>
        <v>07.12.2025</v>
      </c>
      <c r="T1063" t="str">
        <f t="shared" si="140"/>
        <v>20:15:00</v>
      </c>
      <c r="U1063" t="str">
        <f t="shared" si="141"/>
        <v>07.12.2025 20:15:00</v>
      </c>
      <c r="V1063" s="9" t="str">
        <f>MID($A1063,C1063+C$2+1,D1063-C1063-C$2-1)</f>
        <v>0</v>
      </c>
      <c r="W1063" s="4">
        <f>VALUE(SUBSTITUTE(MID($A1063,D1063+D$2+1,E1063-D1063-D$2-1),",","."))</f>
        <v>0</v>
      </c>
      <c r="X1063" s="4">
        <f>VALUE(SUBSTITUTE(MID($A1063,E1063+E$2+1,F1063-E1063-E$2-1),",","."))</f>
        <v>0.90957602214449496</v>
      </c>
      <c r="Y1063" s="4">
        <f>VALUE(SUBSTITUTE(MID($A1063,F1063+F$2+1,G1063-F1063-F$2-1),",","."))</f>
        <v>0</v>
      </c>
      <c r="Z1063" s="3">
        <f>VALUE(SUBSTITUTE(MID($A1063,G1063+G$2+1,H1063-G1063-G$2-1),",","."))</f>
        <v>0</v>
      </c>
      <c r="AA1063" s="3">
        <f>VALUE(SUBSTITUTE(MID($A1063,H1063+H$2+1,I1063-H1063-H$2-1),",","."))</f>
        <v>0</v>
      </c>
      <c r="AB1063" s="3">
        <f>VALUE(SUBSTITUTE(MID($A1063,I1063+I$2+1,J1063-I1063-I$2-1),",","."))</f>
        <v>0</v>
      </c>
      <c r="AC1063" s="3">
        <f>VALUE(SUBSTITUTE(MID($A1063,J1063+J$2+1,K1063-J1063-J$2-1),",","."))</f>
        <v>0.3</v>
      </c>
      <c r="AD1063" s="3">
        <f>VALUE(SUBSTITUTE(MID($A1063,K1063+K$2+1,L1063-K1063-K$2-1),",","."))</f>
        <v>21.24</v>
      </c>
      <c r="AE1063" s="3">
        <f>VALUE(SUBSTITUTE(MID($A1063,L1063+L$2+1,M1063-L1063-L$2-1),",","."))</f>
        <v>0</v>
      </c>
      <c r="AF1063" s="3">
        <f>VALUE(SUBSTITUTE(MID($A1063,M1063+M$2+1,N1063-M1063-M$2-1),",","."))</f>
        <v>0</v>
      </c>
      <c r="AG1063" s="3">
        <f>VALUE(SUBSTITUTE(MID($A1063,N1063+N$2+1,O1063-N1063-N$2-1),",","."))</f>
        <v>4.2336918260449199</v>
      </c>
      <c r="AH1063" t="str">
        <f>MID($A1063,O1063+O$2+1,P1063-O1063-O$2-1)</f>
        <v/>
      </c>
      <c r="AI1063" s="8" t="str">
        <f>MID($A1063,P1063+P$2+1,Q1063-P1063-P$2-1)</f>
        <v>False</v>
      </c>
      <c r="AK1063" t="b">
        <f t="shared" si="142"/>
        <v>0</v>
      </c>
    </row>
    <row r="1064" spans="1:37" x14ac:dyDescent="0.35">
      <c r="A1064" t="s">
        <v>5611</v>
      </c>
      <c r="B1064">
        <f t="shared" si="138"/>
        <v>10</v>
      </c>
      <c r="C1064">
        <f t="shared" si="138"/>
        <v>43</v>
      </c>
      <c r="D1064">
        <f t="shared" si="138"/>
        <v>54</v>
      </c>
      <c r="E1064">
        <f t="shared" si="138"/>
        <v>80</v>
      </c>
      <c r="F1064">
        <f t="shared" si="138"/>
        <v>124</v>
      </c>
      <c r="G1064">
        <f t="shared" si="138"/>
        <v>145</v>
      </c>
      <c r="H1064">
        <f t="shared" si="143"/>
        <v>177</v>
      </c>
      <c r="I1064">
        <f t="shared" si="143"/>
        <v>199</v>
      </c>
      <c r="J1064">
        <f t="shared" si="143"/>
        <v>232</v>
      </c>
      <c r="K1064">
        <f t="shared" si="143"/>
        <v>252</v>
      </c>
      <c r="L1064">
        <f t="shared" si="143"/>
        <v>271</v>
      </c>
      <c r="M1064">
        <f t="shared" si="143"/>
        <v>286</v>
      </c>
      <c r="N1064">
        <f t="shared" si="143"/>
        <v>298</v>
      </c>
      <c r="O1064">
        <f t="shared" si="143"/>
        <v>323</v>
      </c>
      <c r="P1064">
        <f t="shared" si="143"/>
        <v>341</v>
      </c>
      <c r="Q1064">
        <f t="shared" si="143"/>
        <v>367</v>
      </c>
      <c r="S1064" t="str">
        <f t="shared" si="139"/>
        <v>07.12.2025</v>
      </c>
      <c r="T1064" t="str">
        <f t="shared" si="140"/>
        <v>20:30:00</v>
      </c>
      <c r="U1064" t="str">
        <f t="shared" si="141"/>
        <v>07.12.2025 20:30:00</v>
      </c>
      <c r="V1064" s="9" t="str">
        <f>MID($A1064,C1064+C$2+1,D1064-C1064-C$2-1)</f>
        <v>0</v>
      </c>
      <c r="W1064" s="4">
        <f>VALUE(SUBSTITUTE(MID($A1064,D1064+D$2+1,E1064-D1064-D$2-1),",","."))</f>
        <v>0</v>
      </c>
      <c r="X1064" s="4">
        <f>VALUE(SUBSTITUTE(MID($A1064,E1064+E$2+1,F1064-E1064-E$2-1),",","."))</f>
        <v>0.90957602214449496</v>
      </c>
      <c r="Y1064" s="4">
        <f>VALUE(SUBSTITUTE(MID($A1064,F1064+F$2+1,G1064-F1064-F$2-1),",","."))</f>
        <v>0</v>
      </c>
      <c r="Z1064" s="3">
        <f>VALUE(SUBSTITUTE(MID($A1064,G1064+G$2+1,H1064-G1064-G$2-1),",","."))</f>
        <v>0</v>
      </c>
      <c r="AA1064" s="3">
        <f>VALUE(SUBSTITUTE(MID($A1064,H1064+H$2+1,I1064-H1064-H$2-1),",","."))</f>
        <v>0</v>
      </c>
      <c r="AB1064" s="3">
        <f>VALUE(SUBSTITUTE(MID($A1064,I1064+I$2+1,J1064-I1064-I$2-1),",","."))</f>
        <v>0</v>
      </c>
      <c r="AC1064" s="3">
        <f>VALUE(SUBSTITUTE(MID($A1064,J1064+J$2+1,K1064-J1064-J$2-1),",","."))</f>
        <v>-0.3</v>
      </c>
      <c r="AD1064" s="3">
        <f>VALUE(SUBSTITUTE(MID($A1064,K1064+K$2+1,L1064-K1064-K$2-1),",","."))</f>
        <v>16.739999999999998</v>
      </c>
      <c r="AE1064" s="3">
        <f>VALUE(SUBSTITUTE(MID($A1064,L1064+L$2+1,M1064-L1064-L$2-1),",","."))</f>
        <v>0</v>
      </c>
      <c r="AF1064" s="3">
        <f>VALUE(SUBSTITUTE(MID($A1064,M1064+M$2+1,N1064-M1064-M$2-1),",","."))</f>
        <v>0</v>
      </c>
      <c r="AG1064" s="3">
        <f>VALUE(SUBSTITUTE(MID($A1064,N1064+N$2+1,O1064-N1064-N$2-1),",","."))</f>
        <v>4.2337203459330004</v>
      </c>
      <c r="AH1064" t="str">
        <f>MID($A1064,O1064+O$2+1,P1064-O1064-O$2-1)</f>
        <v/>
      </c>
      <c r="AI1064" s="8" t="str">
        <f>MID($A1064,P1064+P$2+1,Q1064-P1064-P$2-1)</f>
        <v>False</v>
      </c>
      <c r="AK1064" t="b">
        <f t="shared" si="142"/>
        <v>0</v>
      </c>
    </row>
    <row r="1065" spans="1:37" x14ac:dyDescent="0.35">
      <c r="A1065" t="s">
        <v>5612</v>
      </c>
      <c r="B1065">
        <f t="shared" si="138"/>
        <v>10</v>
      </c>
      <c r="C1065">
        <f t="shared" si="138"/>
        <v>43</v>
      </c>
      <c r="D1065">
        <f t="shared" si="138"/>
        <v>54</v>
      </c>
      <c r="E1065">
        <f t="shared" si="138"/>
        <v>80</v>
      </c>
      <c r="F1065">
        <f t="shared" si="138"/>
        <v>124</v>
      </c>
      <c r="G1065">
        <f t="shared" si="138"/>
        <v>145</v>
      </c>
      <c r="H1065">
        <f t="shared" si="143"/>
        <v>177</v>
      </c>
      <c r="I1065">
        <f t="shared" si="143"/>
        <v>199</v>
      </c>
      <c r="J1065">
        <f t="shared" si="143"/>
        <v>232</v>
      </c>
      <c r="K1065">
        <f t="shared" si="143"/>
        <v>252</v>
      </c>
      <c r="L1065">
        <f t="shared" si="143"/>
        <v>271</v>
      </c>
      <c r="M1065">
        <f t="shared" si="143"/>
        <v>286</v>
      </c>
      <c r="N1065">
        <f t="shared" si="143"/>
        <v>298</v>
      </c>
      <c r="O1065">
        <f t="shared" si="143"/>
        <v>323</v>
      </c>
      <c r="P1065">
        <f t="shared" si="143"/>
        <v>341</v>
      </c>
      <c r="Q1065">
        <f t="shared" si="143"/>
        <v>367</v>
      </c>
      <c r="S1065" t="str">
        <f t="shared" si="139"/>
        <v>07.12.2025</v>
      </c>
      <c r="T1065" t="str">
        <f t="shared" si="140"/>
        <v>20:45:00</v>
      </c>
      <c r="U1065" t="str">
        <f t="shared" si="141"/>
        <v>07.12.2025 20:45:00</v>
      </c>
      <c r="V1065" s="9" t="str">
        <f>MID($A1065,C1065+C$2+1,D1065-C1065-C$2-1)</f>
        <v>0</v>
      </c>
      <c r="W1065" s="4">
        <f>VALUE(SUBSTITUTE(MID($A1065,D1065+D$2+1,E1065-D1065-D$2-1),",","."))</f>
        <v>0</v>
      </c>
      <c r="X1065" s="4">
        <f>VALUE(SUBSTITUTE(MID($A1065,E1065+E$2+1,F1065-E1065-E$2-1),",","."))</f>
        <v>0.90957602214449496</v>
      </c>
      <c r="Y1065" s="4">
        <f>VALUE(SUBSTITUTE(MID($A1065,F1065+F$2+1,G1065-F1065-F$2-1),",","."))</f>
        <v>0</v>
      </c>
      <c r="Z1065" s="3">
        <f>VALUE(SUBSTITUTE(MID($A1065,G1065+G$2+1,H1065-G1065-G$2-1),",","."))</f>
        <v>0</v>
      </c>
      <c r="AA1065" s="3">
        <f>VALUE(SUBSTITUTE(MID($A1065,H1065+H$2+1,I1065-H1065-H$2-1),",","."))</f>
        <v>0</v>
      </c>
      <c r="AB1065" s="3">
        <f>VALUE(SUBSTITUTE(MID($A1065,I1065+I$2+1,J1065-I1065-I$2-1),",","."))</f>
        <v>0</v>
      </c>
      <c r="AC1065" s="3">
        <f>VALUE(SUBSTITUTE(MID($A1065,J1065+J$2+1,K1065-J1065-J$2-1),",","."))</f>
        <v>-0.3</v>
      </c>
      <c r="AD1065" s="3">
        <f>VALUE(SUBSTITUTE(MID($A1065,K1065+K$2+1,L1065-K1065-K$2-1),",","."))</f>
        <v>16.739999999999998</v>
      </c>
      <c r="AE1065" s="3">
        <f>VALUE(SUBSTITUTE(MID($A1065,L1065+L$2+1,M1065-L1065-L$2-1),",","."))</f>
        <v>0</v>
      </c>
      <c r="AF1065" s="3">
        <f>VALUE(SUBSTITUTE(MID($A1065,M1065+M$2+1,N1065-M1065-M$2-1),",","."))</f>
        <v>0</v>
      </c>
      <c r="AG1065" s="3">
        <f>VALUE(SUBSTITUTE(MID($A1065,N1065+N$2+1,O1065-N1065-N$2-1),",","."))</f>
        <v>4.2337488658210898</v>
      </c>
      <c r="AH1065" t="str">
        <f>MID($A1065,O1065+O$2+1,P1065-O1065-O$2-1)</f>
        <v/>
      </c>
      <c r="AI1065" s="8" t="str">
        <f>MID($A1065,P1065+P$2+1,Q1065-P1065-P$2-1)</f>
        <v>False</v>
      </c>
      <c r="AK1065" t="b">
        <f t="shared" si="142"/>
        <v>0</v>
      </c>
    </row>
    <row r="1066" spans="1:37" x14ac:dyDescent="0.35">
      <c r="A1066" t="s">
        <v>5613</v>
      </c>
      <c r="B1066">
        <f t="shared" si="138"/>
        <v>10</v>
      </c>
      <c r="C1066">
        <f t="shared" si="138"/>
        <v>43</v>
      </c>
      <c r="D1066">
        <f t="shared" si="138"/>
        <v>54</v>
      </c>
      <c r="E1066">
        <f t="shared" si="138"/>
        <v>80</v>
      </c>
      <c r="F1066">
        <f t="shared" si="138"/>
        <v>124</v>
      </c>
      <c r="G1066">
        <f t="shared" si="138"/>
        <v>145</v>
      </c>
      <c r="H1066">
        <f t="shared" si="143"/>
        <v>177</v>
      </c>
      <c r="I1066">
        <f t="shared" si="143"/>
        <v>199</v>
      </c>
      <c r="J1066">
        <f t="shared" si="143"/>
        <v>232</v>
      </c>
      <c r="K1066">
        <f t="shared" si="143"/>
        <v>252</v>
      </c>
      <c r="L1066">
        <f t="shared" si="143"/>
        <v>271</v>
      </c>
      <c r="M1066">
        <f t="shared" si="143"/>
        <v>286</v>
      </c>
      <c r="N1066">
        <f t="shared" si="143"/>
        <v>298</v>
      </c>
      <c r="O1066">
        <f t="shared" si="143"/>
        <v>323</v>
      </c>
      <c r="P1066">
        <f t="shared" si="143"/>
        <v>341</v>
      </c>
      <c r="Q1066">
        <f t="shared" si="143"/>
        <v>367</v>
      </c>
      <c r="S1066" t="str">
        <f t="shared" si="139"/>
        <v>07.12.2025</v>
      </c>
      <c r="T1066" t="str">
        <f t="shared" si="140"/>
        <v>21:00:00</v>
      </c>
      <c r="U1066" t="str">
        <f t="shared" si="141"/>
        <v>07.12.2025 21:00:00</v>
      </c>
      <c r="V1066" s="9" t="str">
        <f>MID($A1066,C1066+C$2+1,D1066-C1066-C$2-1)</f>
        <v>0</v>
      </c>
      <c r="W1066" s="4">
        <f>VALUE(SUBSTITUTE(MID($A1066,D1066+D$2+1,E1066-D1066-D$2-1),",","."))</f>
        <v>0</v>
      </c>
      <c r="X1066" s="4">
        <f>VALUE(SUBSTITUTE(MID($A1066,E1066+E$2+1,F1066-E1066-E$2-1),",","."))</f>
        <v>0.90957602214449496</v>
      </c>
      <c r="Y1066" s="4">
        <f>VALUE(SUBSTITUTE(MID($A1066,F1066+F$2+1,G1066-F1066-F$2-1),",","."))</f>
        <v>0</v>
      </c>
      <c r="Z1066" s="3">
        <f>VALUE(SUBSTITUTE(MID($A1066,G1066+G$2+1,H1066-G1066-G$2-1),",","."))</f>
        <v>0</v>
      </c>
      <c r="AA1066" s="3">
        <f>VALUE(SUBSTITUTE(MID($A1066,H1066+H$2+1,I1066-H1066-H$2-1),",","."))</f>
        <v>0</v>
      </c>
      <c r="AB1066" s="3">
        <f>VALUE(SUBSTITUTE(MID($A1066,I1066+I$2+1,J1066-I1066-I$2-1),",","."))</f>
        <v>0</v>
      </c>
      <c r="AC1066" s="3">
        <f>VALUE(SUBSTITUTE(MID($A1066,J1066+J$2+1,K1066-J1066-J$2-1),",","."))</f>
        <v>-0.3</v>
      </c>
      <c r="AD1066" s="3">
        <f>VALUE(SUBSTITUTE(MID($A1066,K1066+K$2+1,L1066-K1066-K$2-1),",","."))</f>
        <v>16.739999999999998</v>
      </c>
      <c r="AE1066" s="3">
        <f>VALUE(SUBSTITUTE(MID($A1066,L1066+L$2+1,M1066-L1066-L$2-1),",","."))</f>
        <v>0</v>
      </c>
      <c r="AF1066" s="3">
        <f>VALUE(SUBSTITUTE(MID($A1066,M1066+M$2+1,N1066-M1066-M$2-1),",","."))</f>
        <v>0</v>
      </c>
      <c r="AG1066" s="3">
        <f>VALUE(SUBSTITUTE(MID($A1066,N1066+N$2+1,O1066-N1066-N$2-1),",","."))</f>
        <v>4.2337773857091703</v>
      </c>
      <c r="AH1066" t="str">
        <f>MID($A1066,O1066+O$2+1,P1066-O1066-O$2-1)</f>
        <v/>
      </c>
      <c r="AI1066" s="8" t="str">
        <f>MID($A1066,P1066+P$2+1,Q1066-P1066-P$2-1)</f>
        <v>False</v>
      </c>
      <c r="AK1066" t="b">
        <f t="shared" si="142"/>
        <v>0</v>
      </c>
    </row>
    <row r="1067" spans="1:37" x14ac:dyDescent="0.35">
      <c r="A1067" t="s">
        <v>5614</v>
      </c>
      <c r="B1067">
        <f t="shared" si="138"/>
        <v>10</v>
      </c>
      <c r="C1067">
        <f t="shared" si="138"/>
        <v>43</v>
      </c>
      <c r="D1067">
        <f t="shared" si="138"/>
        <v>54</v>
      </c>
      <c r="E1067">
        <f t="shared" si="138"/>
        <v>80</v>
      </c>
      <c r="F1067">
        <f t="shared" si="138"/>
        <v>124</v>
      </c>
      <c r="G1067">
        <f t="shared" si="138"/>
        <v>145</v>
      </c>
      <c r="H1067">
        <f t="shared" si="143"/>
        <v>177</v>
      </c>
      <c r="I1067">
        <f t="shared" si="143"/>
        <v>199</v>
      </c>
      <c r="J1067">
        <f t="shared" si="143"/>
        <v>232</v>
      </c>
      <c r="K1067">
        <f t="shared" si="143"/>
        <v>252</v>
      </c>
      <c r="L1067">
        <f t="shared" si="143"/>
        <v>271</v>
      </c>
      <c r="M1067">
        <f t="shared" si="143"/>
        <v>286</v>
      </c>
      <c r="N1067">
        <f t="shared" si="143"/>
        <v>298</v>
      </c>
      <c r="O1067">
        <f t="shared" si="143"/>
        <v>324</v>
      </c>
      <c r="P1067">
        <f t="shared" si="143"/>
        <v>342</v>
      </c>
      <c r="Q1067">
        <f t="shared" si="143"/>
        <v>368</v>
      </c>
      <c r="S1067" t="str">
        <f t="shared" si="139"/>
        <v>07.12.2025</v>
      </c>
      <c r="T1067" t="str">
        <f t="shared" si="140"/>
        <v>21:15:00</v>
      </c>
      <c r="U1067" t="str">
        <f t="shared" si="141"/>
        <v>07.12.2025 21:15:00</v>
      </c>
      <c r="V1067" s="9" t="str">
        <f>MID($A1067,C1067+C$2+1,D1067-C1067-C$2-1)</f>
        <v>0</v>
      </c>
      <c r="W1067" s="4">
        <f>VALUE(SUBSTITUTE(MID($A1067,D1067+D$2+1,E1067-D1067-D$2-1),",","."))</f>
        <v>0</v>
      </c>
      <c r="X1067" s="4">
        <f>VALUE(SUBSTITUTE(MID($A1067,E1067+E$2+1,F1067-E1067-E$2-1),",","."))</f>
        <v>0.90957602214449496</v>
      </c>
      <c r="Y1067" s="4">
        <f>VALUE(SUBSTITUTE(MID($A1067,F1067+F$2+1,G1067-F1067-F$2-1),",","."))</f>
        <v>0</v>
      </c>
      <c r="Z1067" s="3">
        <f>VALUE(SUBSTITUTE(MID($A1067,G1067+G$2+1,H1067-G1067-G$2-1),",","."))</f>
        <v>0</v>
      </c>
      <c r="AA1067" s="3">
        <f>VALUE(SUBSTITUTE(MID($A1067,H1067+H$2+1,I1067-H1067-H$2-1),",","."))</f>
        <v>0</v>
      </c>
      <c r="AB1067" s="3">
        <f>VALUE(SUBSTITUTE(MID($A1067,I1067+I$2+1,J1067-I1067-I$2-1),",","."))</f>
        <v>0</v>
      </c>
      <c r="AC1067" s="3">
        <f>VALUE(SUBSTITUTE(MID($A1067,J1067+J$2+1,K1067-J1067-J$2-1),",","."))</f>
        <v>-0.3</v>
      </c>
      <c r="AD1067" s="3">
        <f>VALUE(SUBSTITUTE(MID($A1067,K1067+K$2+1,L1067-K1067-K$2-1),",","."))</f>
        <v>16.739999999999998</v>
      </c>
      <c r="AE1067" s="3">
        <f>VALUE(SUBSTITUTE(MID($A1067,L1067+L$2+1,M1067-L1067-L$2-1),",","."))</f>
        <v>0</v>
      </c>
      <c r="AF1067" s="3">
        <f>VALUE(SUBSTITUTE(MID($A1067,M1067+M$2+1,N1067-M1067-M$2-1),",","."))</f>
        <v>0</v>
      </c>
      <c r="AG1067" s="3">
        <f>VALUE(SUBSTITUTE(MID($A1067,N1067+N$2+1,O1067-N1067-N$2-1),",","."))</f>
        <v>4.2338059055972499</v>
      </c>
      <c r="AH1067" t="str">
        <f>MID($A1067,O1067+O$2+1,P1067-O1067-O$2-1)</f>
        <v/>
      </c>
      <c r="AI1067" s="8" t="str">
        <f>MID($A1067,P1067+P$2+1,Q1067-P1067-P$2-1)</f>
        <v>False</v>
      </c>
      <c r="AK1067" t="b">
        <f t="shared" si="142"/>
        <v>0</v>
      </c>
    </row>
    <row r="1068" spans="1:37" x14ac:dyDescent="0.35">
      <c r="A1068" t="s">
        <v>5615</v>
      </c>
      <c r="B1068">
        <f t="shared" si="138"/>
        <v>10</v>
      </c>
      <c r="C1068">
        <f t="shared" si="138"/>
        <v>43</v>
      </c>
      <c r="D1068">
        <f t="shared" si="138"/>
        <v>54</v>
      </c>
      <c r="E1068">
        <f t="shared" si="138"/>
        <v>80</v>
      </c>
      <c r="F1068">
        <f t="shared" si="138"/>
        <v>124</v>
      </c>
      <c r="G1068">
        <f t="shared" si="138"/>
        <v>145</v>
      </c>
      <c r="H1068">
        <f t="shared" si="143"/>
        <v>177</v>
      </c>
      <c r="I1068">
        <f t="shared" si="143"/>
        <v>199</v>
      </c>
      <c r="J1068">
        <f t="shared" si="143"/>
        <v>232</v>
      </c>
      <c r="K1068">
        <f t="shared" si="143"/>
        <v>267</v>
      </c>
      <c r="L1068">
        <f t="shared" si="143"/>
        <v>299</v>
      </c>
      <c r="M1068">
        <f t="shared" si="143"/>
        <v>314</v>
      </c>
      <c r="N1068">
        <f t="shared" si="143"/>
        <v>326</v>
      </c>
      <c r="O1068">
        <f t="shared" si="143"/>
        <v>351</v>
      </c>
      <c r="P1068">
        <f t="shared" si="143"/>
        <v>369</v>
      </c>
      <c r="Q1068">
        <f t="shared" si="143"/>
        <v>395</v>
      </c>
      <c r="S1068" t="str">
        <f t="shared" si="139"/>
        <v>07.12.2025</v>
      </c>
      <c r="T1068" t="str">
        <f t="shared" si="140"/>
        <v>21:30:00</v>
      </c>
      <c r="U1068" t="str">
        <f t="shared" si="141"/>
        <v>07.12.2025 21:30:00</v>
      </c>
      <c r="V1068" s="9" t="str">
        <f>MID($A1068,C1068+C$2+1,D1068-C1068-C$2-1)</f>
        <v>0</v>
      </c>
      <c r="W1068" s="4">
        <f>VALUE(SUBSTITUTE(MID($A1068,D1068+D$2+1,E1068-D1068-D$2-1),",","."))</f>
        <v>0</v>
      </c>
      <c r="X1068" s="4">
        <f>VALUE(SUBSTITUTE(MID($A1068,E1068+E$2+1,F1068-E1068-E$2-1),",","."))</f>
        <v>0.90957602214449496</v>
      </c>
      <c r="Y1068" s="4">
        <f>VALUE(SUBSTITUTE(MID($A1068,F1068+F$2+1,G1068-F1068-F$2-1),",","."))</f>
        <v>0</v>
      </c>
      <c r="Z1068" s="3">
        <f>VALUE(SUBSTITUTE(MID($A1068,G1068+G$2+1,H1068-G1068-G$2-1),",","."))</f>
        <v>0</v>
      </c>
      <c r="AA1068" s="3">
        <f>VALUE(SUBSTITUTE(MID($A1068,H1068+H$2+1,I1068-H1068-H$2-1),",","."))</f>
        <v>0</v>
      </c>
      <c r="AB1068" s="3">
        <f>VALUE(SUBSTITUTE(MID($A1068,I1068+I$2+1,J1068-I1068-I$2-1),",","."))</f>
        <v>0</v>
      </c>
      <c r="AC1068" s="3">
        <f>VALUE(SUBSTITUTE(MID($A1068,J1068+J$2+1,K1068-J1068-J$2-1),",","."))</f>
        <v>-0.85</v>
      </c>
      <c r="AD1068" s="3">
        <f>VALUE(SUBSTITUTE(MID($A1068,K1068+K$2+1,L1068-K1068-K$2-1),",","."))</f>
        <v>11.8799999999999</v>
      </c>
      <c r="AE1068" s="3">
        <f>VALUE(SUBSTITUTE(MID($A1068,L1068+L$2+1,M1068-L1068-L$2-1),",","."))</f>
        <v>0</v>
      </c>
      <c r="AF1068" s="3">
        <f>VALUE(SUBSTITUTE(MID($A1068,M1068+M$2+1,N1068-M1068-M$2-1),",","."))</f>
        <v>0</v>
      </c>
      <c r="AG1068" s="3">
        <f>VALUE(SUBSTITUTE(MID($A1068,N1068+N$2+1,O1068-N1068-N$2-1),",","."))</f>
        <v>4.2338344254853304</v>
      </c>
      <c r="AH1068" t="str">
        <f>MID($A1068,O1068+O$2+1,P1068-O1068-O$2-1)</f>
        <v/>
      </c>
      <c r="AI1068" s="8" t="str">
        <f>MID($A1068,P1068+P$2+1,Q1068-P1068-P$2-1)</f>
        <v>False</v>
      </c>
      <c r="AK1068" t="b">
        <f t="shared" si="142"/>
        <v>0</v>
      </c>
    </row>
    <row r="1069" spans="1:37" x14ac:dyDescent="0.35">
      <c r="A1069" t="s">
        <v>5616</v>
      </c>
      <c r="B1069">
        <f t="shared" si="138"/>
        <v>10</v>
      </c>
      <c r="C1069">
        <f t="shared" si="138"/>
        <v>43</v>
      </c>
      <c r="D1069">
        <f t="shared" si="138"/>
        <v>54</v>
      </c>
      <c r="E1069">
        <f t="shared" si="138"/>
        <v>80</v>
      </c>
      <c r="F1069">
        <f t="shared" si="138"/>
        <v>124</v>
      </c>
      <c r="G1069">
        <f t="shared" si="138"/>
        <v>145</v>
      </c>
      <c r="H1069">
        <f t="shared" si="143"/>
        <v>177</v>
      </c>
      <c r="I1069">
        <f t="shared" si="143"/>
        <v>199</v>
      </c>
      <c r="J1069">
        <f t="shared" si="143"/>
        <v>232</v>
      </c>
      <c r="K1069">
        <f t="shared" si="143"/>
        <v>267</v>
      </c>
      <c r="L1069">
        <f t="shared" si="143"/>
        <v>299</v>
      </c>
      <c r="M1069">
        <f t="shared" si="143"/>
        <v>314</v>
      </c>
      <c r="N1069">
        <f t="shared" si="143"/>
        <v>326</v>
      </c>
      <c r="O1069">
        <f t="shared" ref="O1069:Q1132" si="144">FIND(O$1,$A1069)</f>
        <v>351</v>
      </c>
      <c r="P1069">
        <f t="shared" si="144"/>
        <v>369</v>
      </c>
      <c r="Q1069">
        <f t="shared" si="144"/>
        <v>395</v>
      </c>
      <c r="S1069" t="str">
        <f t="shared" si="139"/>
        <v>07.12.2025</v>
      </c>
      <c r="T1069" t="str">
        <f t="shared" si="140"/>
        <v>21:45:00</v>
      </c>
      <c r="U1069" t="str">
        <f t="shared" si="141"/>
        <v>07.12.2025 21:45:00</v>
      </c>
      <c r="V1069" s="9" t="str">
        <f>MID($A1069,C1069+C$2+1,D1069-C1069-C$2-1)</f>
        <v>0</v>
      </c>
      <c r="W1069" s="4">
        <f>VALUE(SUBSTITUTE(MID($A1069,D1069+D$2+1,E1069-D1069-D$2-1),",","."))</f>
        <v>0</v>
      </c>
      <c r="X1069" s="4">
        <f>VALUE(SUBSTITUTE(MID($A1069,E1069+E$2+1,F1069-E1069-E$2-1),",","."))</f>
        <v>0.90957602214449496</v>
      </c>
      <c r="Y1069" s="4">
        <f>VALUE(SUBSTITUTE(MID($A1069,F1069+F$2+1,G1069-F1069-F$2-1),",","."))</f>
        <v>0</v>
      </c>
      <c r="Z1069" s="3">
        <f>VALUE(SUBSTITUTE(MID($A1069,G1069+G$2+1,H1069-G1069-G$2-1),",","."))</f>
        <v>0</v>
      </c>
      <c r="AA1069" s="3">
        <f>VALUE(SUBSTITUTE(MID($A1069,H1069+H$2+1,I1069-H1069-H$2-1),",","."))</f>
        <v>0</v>
      </c>
      <c r="AB1069" s="3">
        <f>VALUE(SUBSTITUTE(MID($A1069,I1069+I$2+1,J1069-I1069-I$2-1),",","."))</f>
        <v>0</v>
      </c>
      <c r="AC1069" s="3">
        <f>VALUE(SUBSTITUTE(MID($A1069,J1069+J$2+1,K1069-J1069-J$2-1),",","."))</f>
        <v>-0.85</v>
      </c>
      <c r="AD1069" s="3">
        <f>VALUE(SUBSTITUTE(MID($A1069,K1069+K$2+1,L1069-K1069-K$2-1),",","."))</f>
        <v>11.8799999999999</v>
      </c>
      <c r="AE1069" s="3">
        <f>VALUE(SUBSTITUTE(MID($A1069,L1069+L$2+1,M1069-L1069-L$2-1),",","."))</f>
        <v>0</v>
      </c>
      <c r="AF1069" s="3">
        <f>VALUE(SUBSTITUTE(MID($A1069,M1069+M$2+1,N1069-M1069-M$2-1),",","."))</f>
        <v>0</v>
      </c>
      <c r="AG1069" s="3">
        <f>VALUE(SUBSTITUTE(MID($A1069,N1069+N$2+1,O1069-N1069-N$2-1),",","."))</f>
        <v>4.23386294537341</v>
      </c>
      <c r="AH1069" t="str">
        <f>MID($A1069,O1069+O$2+1,P1069-O1069-O$2-1)</f>
        <v/>
      </c>
      <c r="AI1069" s="8" t="str">
        <f>MID($A1069,P1069+P$2+1,Q1069-P1069-P$2-1)</f>
        <v>False</v>
      </c>
      <c r="AK1069" t="b">
        <f t="shared" si="142"/>
        <v>0</v>
      </c>
    </row>
    <row r="1070" spans="1:37" x14ac:dyDescent="0.35">
      <c r="A1070" t="s">
        <v>5617</v>
      </c>
      <c r="B1070">
        <f t="shared" si="138"/>
        <v>10</v>
      </c>
      <c r="C1070">
        <f t="shared" si="138"/>
        <v>43</v>
      </c>
      <c r="D1070">
        <f t="shared" si="138"/>
        <v>54</v>
      </c>
      <c r="E1070">
        <f t="shared" si="138"/>
        <v>80</v>
      </c>
      <c r="F1070">
        <f t="shared" si="138"/>
        <v>124</v>
      </c>
      <c r="G1070">
        <f t="shared" si="138"/>
        <v>145</v>
      </c>
      <c r="H1070">
        <f t="shared" si="138"/>
        <v>177</v>
      </c>
      <c r="I1070">
        <f t="shared" si="138"/>
        <v>199</v>
      </c>
      <c r="J1070">
        <f t="shared" si="138"/>
        <v>232</v>
      </c>
      <c r="K1070">
        <f t="shared" si="138"/>
        <v>267</v>
      </c>
      <c r="L1070">
        <f t="shared" si="138"/>
        <v>299</v>
      </c>
      <c r="M1070">
        <f t="shared" si="138"/>
        <v>314</v>
      </c>
      <c r="N1070">
        <f t="shared" si="138"/>
        <v>326</v>
      </c>
      <c r="O1070">
        <f t="shared" si="144"/>
        <v>352</v>
      </c>
      <c r="P1070">
        <f t="shared" si="144"/>
        <v>370</v>
      </c>
      <c r="Q1070">
        <f t="shared" si="144"/>
        <v>396</v>
      </c>
      <c r="S1070" t="str">
        <f t="shared" si="139"/>
        <v>07.12.2025</v>
      </c>
      <c r="T1070" t="str">
        <f t="shared" si="140"/>
        <v>22:00:00</v>
      </c>
      <c r="U1070" t="str">
        <f t="shared" si="141"/>
        <v>07.12.2025 22:00:00</v>
      </c>
      <c r="V1070" s="9" t="str">
        <f>MID($A1070,C1070+C$2+1,D1070-C1070-C$2-1)</f>
        <v>0</v>
      </c>
      <c r="W1070" s="4">
        <f>VALUE(SUBSTITUTE(MID($A1070,D1070+D$2+1,E1070-D1070-D$2-1),",","."))</f>
        <v>0</v>
      </c>
      <c r="X1070" s="4">
        <f>VALUE(SUBSTITUTE(MID($A1070,E1070+E$2+1,F1070-E1070-E$2-1),",","."))</f>
        <v>0.90957602214449496</v>
      </c>
      <c r="Y1070" s="4">
        <f>VALUE(SUBSTITUTE(MID($A1070,F1070+F$2+1,G1070-F1070-F$2-1),",","."))</f>
        <v>0</v>
      </c>
      <c r="Z1070" s="3">
        <f>VALUE(SUBSTITUTE(MID($A1070,G1070+G$2+1,H1070-G1070-G$2-1),",","."))</f>
        <v>0</v>
      </c>
      <c r="AA1070" s="3">
        <f>VALUE(SUBSTITUTE(MID($A1070,H1070+H$2+1,I1070-H1070-H$2-1),",","."))</f>
        <v>0</v>
      </c>
      <c r="AB1070" s="3">
        <f>VALUE(SUBSTITUTE(MID($A1070,I1070+I$2+1,J1070-I1070-I$2-1),",","."))</f>
        <v>0</v>
      </c>
      <c r="AC1070" s="3">
        <f>VALUE(SUBSTITUTE(MID($A1070,J1070+J$2+1,K1070-J1070-J$2-1),",","."))</f>
        <v>-0.85</v>
      </c>
      <c r="AD1070" s="3">
        <f>VALUE(SUBSTITUTE(MID($A1070,K1070+K$2+1,L1070-K1070-K$2-1),",","."))</f>
        <v>11.8799999999999</v>
      </c>
      <c r="AE1070" s="3">
        <f>VALUE(SUBSTITUTE(MID($A1070,L1070+L$2+1,M1070-L1070-L$2-1),",","."))</f>
        <v>0</v>
      </c>
      <c r="AF1070" s="3">
        <f>VALUE(SUBSTITUTE(MID($A1070,M1070+M$2+1,N1070-M1070-M$2-1),",","."))</f>
        <v>0</v>
      </c>
      <c r="AG1070" s="3">
        <f>VALUE(SUBSTITUTE(MID($A1070,N1070+N$2+1,O1070-N1070-N$2-1),",","."))</f>
        <v>4.2338914652614896</v>
      </c>
      <c r="AH1070" t="str">
        <f>MID($A1070,O1070+O$2+1,P1070-O1070-O$2-1)</f>
        <v/>
      </c>
      <c r="AI1070" s="8" t="str">
        <f>MID($A1070,P1070+P$2+1,Q1070-P1070-P$2-1)</f>
        <v>False</v>
      </c>
      <c r="AK1070" t="b">
        <f t="shared" si="142"/>
        <v>0</v>
      </c>
    </row>
    <row r="1071" spans="1:37" x14ac:dyDescent="0.35">
      <c r="A1071" t="s">
        <v>5618</v>
      </c>
      <c r="B1071">
        <f t="shared" si="138"/>
        <v>10</v>
      </c>
      <c r="C1071">
        <f t="shared" si="138"/>
        <v>43</v>
      </c>
      <c r="D1071">
        <f t="shared" ref="C1071:N1092" si="145">FIND(D$1,$A1071)</f>
        <v>54</v>
      </c>
      <c r="E1071">
        <f t="shared" si="145"/>
        <v>80</v>
      </c>
      <c r="F1071">
        <f t="shared" si="145"/>
        <v>124</v>
      </c>
      <c r="G1071">
        <f t="shared" si="145"/>
        <v>145</v>
      </c>
      <c r="H1071">
        <f t="shared" si="145"/>
        <v>177</v>
      </c>
      <c r="I1071">
        <f t="shared" si="145"/>
        <v>199</v>
      </c>
      <c r="J1071">
        <f t="shared" si="145"/>
        <v>232</v>
      </c>
      <c r="K1071">
        <f t="shared" si="145"/>
        <v>267</v>
      </c>
      <c r="L1071">
        <f t="shared" si="145"/>
        <v>299</v>
      </c>
      <c r="M1071">
        <f t="shared" si="145"/>
        <v>314</v>
      </c>
      <c r="N1071">
        <f t="shared" si="145"/>
        <v>326</v>
      </c>
      <c r="O1071">
        <f t="shared" si="144"/>
        <v>350</v>
      </c>
      <c r="P1071">
        <f t="shared" si="144"/>
        <v>368</v>
      </c>
      <c r="Q1071">
        <f t="shared" si="144"/>
        <v>394</v>
      </c>
      <c r="S1071" t="str">
        <f t="shared" si="139"/>
        <v>07.12.2025</v>
      </c>
      <c r="T1071" t="str">
        <f t="shared" si="140"/>
        <v>22:15:00</v>
      </c>
      <c r="U1071" t="str">
        <f t="shared" si="141"/>
        <v>07.12.2025 22:15:00</v>
      </c>
      <c r="V1071" s="9" t="str">
        <f>MID($A1071,C1071+C$2+1,D1071-C1071-C$2-1)</f>
        <v>0</v>
      </c>
      <c r="W1071" s="4">
        <f>VALUE(SUBSTITUTE(MID($A1071,D1071+D$2+1,E1071-D1071-D$2-1),",","."))</f>
        <v>0</v>
      </c>
      <c r="X1071" s="4">
        <f>VALUE(SUBSTITUTE(MID($A1071,E1071+E$2+1,F1071-E1071-E$2-1),",","."))</f>
        <v>0.90957602214449496</v>
      </c>
      <c r="Y1071" s="4">
        <f>VALUE(SUBSTITUTE(MID($A1071,F1071+F$2+1,G1071-F1071-F$2-1),",","."))</f>
        <v>0</v>
      </c>
      <c r="Z1071" s="3">
        <f>VALUE(SUBSTITUTE(MID($A1071,G1071+G$2+1,H1071-G1071-G$2-1),",","."))</f>
        <v>0</v>
      </c>
      <c r="AA1071" s="3">
        <f>VALUE(SUBSTITUTE(MID($A1071,H1071+H$2+1,I1071-H1071-H$2-1),",","."))</f>
        <v>0</v>
      </c>
      <c r="AB1071" s="3">
        <f>VALUE(SUBSTITUTE(MID($A1071,I1071+I$2+1,J1071-I1071-I$2-1),",","."))</f>
        <v>0</v>
      </c>
      <c r="AC1071" s="3">
        <f>VALUE(SUBSTITUTE(MID($A1071,J1071+J$2+1,K1071-J1071-J$2-1),",","."))</f>
        <v>-0.85</v>
      </c>
      <c r="AD1071" s="3">
        <f>VALUE(SUBSTITUTE(MID($A1071,K1071+K$2+1,L1071-K1071-K$2-1),",","."))</f>
        <v>11.8799999999999</v>
      </c>
      <c r="AE1071" s="3">
        <f>VALUE(SUBSTITUTE(MID($A1071,L1071+L$2+1,M1071-L1071-L$2-1),",","."))</f>
        <v>0</v>
      </c>
      <c r="AF1071" s="3">
        <f>VALUE(SUBSTITUTE(MID($A1071,M1071+M$2+1,N1071-M1071-M$2-1),",","."))</f>
        <v>0</v>
      </c>
      <c r="AG1071" s="3">
        <f>VALUE(SUBSTITUTE(MID($A1071,N1071+N$2+1,O1071-N1071-N$2-1),",","."))</f>
        <v>4.2339199851495799</v>
      </c>
      <c r="AH1071" t="str">
        <f>MID($A1071,O1071+O$2+1,P1071-O1071-O$2-1)</f>
        <v/>
      </c>
      <c r="AI1071" s="8" t="str">
        <f>MID($A1071,P1071+P$2+1,Q1071-P1071-P$2-1)</f>
        <v>False</v>
      </c>
      <c r="AK1071" t="b">
        <f t="shared" si="142"/>
        <v>0</v>
      </c>
    </row>
    <row r="1072" spans="1:37" x14ac:dyDescent="0.35">
      <c r="A1072" t="s">
        <v>5619</v>
      </c>
      <c r="B1072">
        <f t="shared" ref="B1072:M1130" si="146">FIND(B$1,$A1072)</f>
        <v>10</v>
      </c>
      <c r="C1072">
        <f t="shared" si="145"/>
        <v>43</v>
      </c>
      <c r="D1072">
        <f t="shared" si="145"/>
        <v>54</v>
      </c>
      <c r="E1072">
        <f t="shared" si="145"/>
        <v>80</v>
      </c>
      <c r="F1072">
        <f t="shared" si="145"/>
        <v>124</v>
      </c>
      <c r="G1072">
        <f t="shared" si="145"/>
        <v>145</v>
      </c>
      <c r="H1072">
        <f t="shared" si="145"/>
        <v>177</v>
      </c>
      <c r="I1072">
        <f t="shared" si="145"/>
        <v>199</v>
      </c>
      <c r="J1072">
        <f t="shared" si="145"/>
        <v>232</v>
      </c>
      <c r="K1072">
        <f t="shared" si="145"/>
        <v>252</v>
      </c>
      <c r="L1072">
        <f t="shared" si="145"/>
        <v>270</v>
      </c>
      <c r="M1072">
        <f t="shared" si="145"/>
        <v>285</v>
      </c>
      <c r="N1072">
        <f t="shared" si="145"/>
        <v>297</v>
      </c>
      <c r="O1072">
        <f t="shared" si="144"/>
        <v>322</v>
      </c>
      <c r="P1072">
        <f t="shared" si="144"/>
        <v>340</v>
      </c>
      <c r="Q1072">
        <f t="shared" si="144"/>
        <v>366</v>
      </c>
      <c r="S1072" t="str">
        <f t="shared" si="139"/>
        <v>07.12.2025</v>
      </c>
      <c r="T1072" t="str">
        <f t="shared" si="140"/>
        <v>22:30:00</v>
      </c>
      <c r="U1072" t="str">
        <f t="shared" si="141"/>
        <v>07.12.2025 22:30:00</v>
      </c>
      <c r="V1072" s="9" t="str">
        <f>MID($A1072,C1072+C$2+1,D1072-C1072-C$2-1)</f>
        <v>0</v>
      </c>
      <c r="W1072" s="4">
        <f>VALUE(SUBSTITUTE(MID($A1072,D1072+D$2+1,E1072-D1072-D$2-1),",","."))</f>
        <v>0</v>
      </c>
      <c r="X1072" s="4">
        <f>VALUE(SUBSTITUTE(MID($A1072,E1072+E$2+1,F1072-E1072-E$2-1),",","."))</f>
        <v>0.90957602214449496</v>
      </c>
      <c r="Y1072" s="4">
        <f>VALUE(SUBSTITUTE(MID($A1072,F1072+F$2+1,G1072-F1072-F$2-1),",","."))</f>
        <v>0</v>
      </c>
      <c r="Z1072" s="3">
        <f>VALUE(SUBSTITUTE(MID($A1072,G1072+G$2+1,H1072-G1072-G$2-1),",","."))</f>
        <v>0</v>
      </c>
      <c r="AA1072" s="3">
        <f>VALUE(SUBSTITUTE(MID($A1072,H1072+H$2+1,I1072-H1072-H$2-1),",","."))</f>
        <v>0</v>
      </c>
      <c r="AB1072" s="3">
        <f>VALUE(SUBSTITUTE(MID($A1072,I1072+I$2+1,J1072-I1072-I$2-1),",","."))</f>
        <v>0</v>
      </c>
      <c r="AC1072" s="3">
        <f>VALUE(SUBSTITUTE(MID($A1072,J1072+J$2+1,K1072-J1072-J$2-1),",","."))</f>
        <v>-1.4</v>
      </c>
      <c r="AD1072" s="3">
        <f>VALUE(SUBSTITUTE(MID($A1072,K1072+K$2+1,L1072-K1072-K$2-1),",","."))</f>
        <v>7.74</v>
      </c>
      <c r="AE1072" s="3">
        <f>VALUE(SUBSTITUTE(MID($A1072,L1072+L$2+1,M1072-L1072-L$2-1),",","."))</f>
        <v>0</v>
      </c>
      <c r="AF1072" s="3">
        <f>VALUE(SUBSTITUTE(MID($A1072,M1072+M$2+1,N1072-M1072-M$2-1),",","."))</f>
        <v>0</v>
      </c>
      <c r="AG1072" s="3">
        <f>VALUE(SUBSTITUTE(MID($A1072,N1072+N$2+1,O1072-N1072-N$2-1),",","."))</f>
        <v>4.2339485050376604</v>
      </c>
      <c r="AH1072" t="str">
        <f>MID($A1072,O1072+O$2+1,P1072-O1072-O$2-1)</f>
        <v/>
      </c>
      <c r="AI1072" s="8" t="str">
        <f>MID($A1072,P1072+P$2+1,Q1072-P1072-P$2-1)</f>
        <v>False</v>
      </c>
      <c r="AK1072" t="b">
        <f t="shared" si="142"/>
        <v>0</v>
      </c>
    </row>
    <row r="1073" spans="1:37" x14ac:dyDescent="0.35">
      <c r="A1073" t="s">
        <v>5620</v>
      </c>
      <c r="B1073">
        <f t="shared" si="146"/>
        <v>10</v>
      </c>
      <c r="C1073">
        <f t="shared" si="145"/>
        <v>43</v>
      </c>
      <c r="D1073">
        <f t="shared" si="145"/>
        <v>54</v>
      </c>
      <c r="E1073">
        <f t="shared" si="145"/>
        <v>80</v>
      </c>
      <c r="F1073">
        <f t="shared" si="145"/>
        <v>124</v>
      </c>
      <c r="G1073">
        <f t="shared" si="145"/>
        <v>145</v>
      </c>
      <c r="H1073">
        <f t="shared" si="145"/>
        <v>177</v>
      </c>
      <c r="I1073">
        <f t="shared" si="145"/>
        <v>199</v>
      </c>
      <c r="J1073">
        <f t="shared" si="145"/>
        <v>232</v>
      </c>
      <c r="K1073">
        <f t="shared" si="145"/>
        <v>252</v>
      </c>
      <c r="L1073">
        <f t="shared" si="145"/>
        <v>270</v>
      </c>
      <c r="M1073">
        <f t="shared" si="145"/>
        <v>285</v>
      </c>
      <c r="N1073">
        <f t="shared" si="145"/>
        <v>297</v>
      </c>
      <c r="O1073">
        <f t="shared" si="144"/>
        <v>322</v>
      </c>
      <c r="P1073">
        <f t="shared" si="144"/>
        <v>340</v>
      </c>
      <c r="Q1073">
        <f t="shared" si="144"/>
        <v>366</v>
      </c>
      <c r="S1073" t="str">
        <f t="shared" si="139"/>
        <v>07.12.2025</v>
      </c>
      <c r="T1073" t="str">
        <f t="shared" si="140"/>
        <v>22:45:00</v>
      </c>
      <c r="U1073" t="str">
        <f t="shared" si="141"/>
        <v>07.12.2025 22:45:00</v>
      </c>
      <c r="V1073" s="9" t="str">
        <f>MID($A1073,C1073+C$2+1,D1073-C1073-C$2-1)</f>
        <v>0</v>
      </c>
      <c r="W1073" s="4">
        <f>VALUE(SUBSTITUTE(MID($A1073,D1073+D$2+1,E1073-D1073-D$2-1),",","."))</f>
        <v>0</v>
      </c>
      <c r="X1073" s="4">
        <f>VALUE(SUBSTITUTE(MID($A1073,E1073+E$2+1,F1073-E1073-E$2-1),",","."))</f>
        <v>0.90957602214449496</v>
      </c>
      <c r="Y1073" s="4">
        <f>VALUE(SUBSTITUTE(MID($A1073,F1073+F$2+1,G1073-F1073-F$2-1),",","."))</f>
        <v>0</v>
      </c>
      <c r="Z1073" s="3">
        <f>VALUE(SUBSTITUTE(MID($A1073,G1073+G$2+1,H1073-G1073-G$2-1),",","."))</f>
        <v>0</v>
      </c>
      <c r="AA1073" s="3">
        <f>VALUE(SUBSTITUTE(MID($A1073,H1073+H$2+1,I1073-H1073-H$2-1),",","."))</f>
        <v>0</v>
      </c>
      <c r="AB1073" s="3">
        <f>VALUE(SUBSTITUTE(MID($A1073,I1073+I$2+1,J1073-I1073-I$2-1),",","."))</f>
        <v>0</v>
      </c>
      <c r="AC1073" s="3">
        <f>VALUE(SUBSTITUTE(MID($A1073,J1073+J$2+1,K1073-J1073-J$2-1),",","."))</f>
        <v>-1.4</v>
      </c>
      <c r="AD1073" s="3">
        <f>VALUE(SUBSTITUTE(MID($A1073,K1073+K$2+1,L1073-K1073-K$2-1),",","."))</f>
        <v>7.74</v>
      </c>
      <c r="AE1073" s="3">
        <f>VALUE(SUBSTITUTE(MID($A1073,L1073+L$2+1,M1073-L1073-L$2-1),",","."))</f>
        <v>0</v>
      </c>
      <c r="AF1073" s="3">
        <f>VALUE(SUBSTITUTE(MID($A1073,M1073+M$2+1,N1073-M1073-M$2-1),",","."))</f>
        <v>0</v>
      </c>
      <c r="AG1073" s="3">
        <f>VALUE(SUBSTITUTE(MID($A1073,N1073+N$2+1,O1073-N1073-N$2-1),",","."))</f>
        <v>4.23397702492574</v>
      </c>
      <c r="AH1073" t="str">
        <f>MID($A1073,O1073+O$2+1,P1073-O1073-O$2-1)</f>
        <v/>
      </c>
      <c r="AI1073" s="8" t="str">
        <f>MID($A1073,P1073+P$2+1,Q1073-P1073-P$2-1)</f>
        <v>False</v>
      </c>
      <c r="AK1073" t="b">
        <f t="shared" si="142"/>
        <v>0</v>
      </c>
    </row>
    <row r="1074" spans="1:37" x14ac:dyDescent="0.35">
      <c r="A1074" t="s">
        <v>5621</v>
      </c>
      <c r="B1074">
        <f t="shared" si="146"/>
        <v>10</v>
      </c>
      <c r="C1074">
        <f t="shared" si="145"/>
        <v>43</v>
      </c>
      <c r="D1074">
        <f t="shared" si="145"/>
        <v>54</v>
      </c>
      <c r="E1074">
        <f t="shared" si="145"/>
        <v>80</v>
      </c>
      <c r="F1074">
        <f t="shared" si="145"/>
        <v>124</v>
      </c>
      <c r="G1074">
        <f t="shared" si="145"/>
        <v>145</v>
      </c>
      <c r="H1074">
        <f t="shared" si="145"/>
        <v>177</v>
      </c>
      <c r="I1074">
        <f t="shared" si="145"/>
        <v>199</v>
      </c>
      <c r="J1074">
        <f t="shared" si="145"/>
        <v>232</v>
      </c>
      <c r="K1074">
        <f t="shared" si="145"/>
        <v>252</v>
      </c>
      <c r="L1074">
        <f t="shared" si="145"/>
        <v>270</v>
      </c>
      <c r="M1074">
        <f t="shared" si="145"/>
        <v>285</v>
      </c>
      <c r="N1074">
        <f t="shared" si="145"/>
        <v>297</v>
      </c>
      <c r="O1074">
        <f t="shared" si="144"/>
        <v>322</v>
      </c>
      <c r="P1074">
        <f t="shared" si="144"/>
        <v>340</v>
      </c>
      <c r="Q1074">
        <f t="shared" si="144"/>
        <v>366</v>
      </c>
      <c r="S1074" t="str">
        <f t="shared" si="139"/>
        <v>07.12.2025</v>
      </c>
      <c r="T1074" t="str">
        <f t="shared" si="140"/>
        <v>23:00:00</v>
      </c>
      <c r="U1074" t="str">
        <f t="shared" si="141"/>
        <v>07.12.2025 23:00:00</v>
      </c>
      <c r="V1074" s="9" t="str">
        <f>MID($A1074,C1074+C$2+1,D1074-C1074-C$2-1)</f>
        <v>0</v>
      </c>
      <c r="W1074" s="4">
        <f>VALUE(SUBSTITUTE(MID($A1074,D1074+D$2+1,E1074-D1074-D$2-1),",","."))</f>
        <v>0</v>
      </c>
      <c r="X1074" s="4">
        <f>VALUE(SUBSTITUTE(MID($A1074,E1074+E$2+1,F1074-E1074-E$2-1),",","."))</f>
        <v>0.90957602214449496</v>
      </c>
      <c r="Y1074" s="4">
        <f>VALUE(SUBSTITUTE(MID($A1074,F1074+F$2+1,G1074-F1074-F$2-1),",","."))</f>
        <v>0</v>
      </c>
      <c r="Z1074" s="3">
        <f>VALUE(SUBSTITUTE(MID($A1074,G1074+G$2+1,H1074-G1074-G$2-1),",","."))</f>
        <v>0</v>
      </c>
      <c r="AA1074" s="3">
        <f>VALUE(SUBSTITUTE(MID($A1074,H1074+H$2+1,I1074-H1074-H$2-1),",","."))</f>
        <v>0</v>
      </c>
      <c r="AB1074" s="3">
        <f>VALUE(SUBSTITUTE(MID($A1074,I1074+I$2+1,J1074-I1074-I$2-1),",","."))</f>
        <v>0</v>
      </c>
      <c r="AC1074" s="3">
        <f>VALUE(SUBSTITUTE(MID($A1074,J1074+J$2+1,K1074-J1074-J$2-1),",","."))</f>
        <v>-1.4</v>
      </c>
      <c r="AD1074" s="3">
        <f>VALUE(SUBSTITUTE(MID($A1074,K1074+K$2+1,L1074-K1074-K$2-1),",","."))</f>
        <v>7.74</v>
      </c>
      <c r="AE1074" s="3">
        <f>VALUE(SUBSTITUTE(MID($A1074,L1074+L$2+1,M1074-L1074-L$2-1),",","."))</f>
        <v>0</v>
      </c>
      <c r="AF1074" s="3">
        <f>VALUE(SUBSTITUTE(MID($A1074,M1074+M$2+1,N1074-M1074-M$2-1),",","."))</f>
        <v>0</v>
      </c>
      <c r="AG1074" s="3">
        <f>VALUE(SUBSTITUTE(MID($A1074,N1074+N$2+1,O1074-N1074-N$2-1),",","."))</f>
        <v>4.2340055448138196</v>
      </c>
      <c r="AH1074" t="str">
        <f>MID($A1074,O1074+O$2+1,P1074-O1074-O$2-1)</f>
        <v/>
      </c>
      <c r="AI1074" s="8" t="str">
        <f>MID($A1074,P1074+P$2+1,Q1074-P1074-P$2-1)</f>
        <v>False</v>
      </c>
      <c r="AK1074" t="b">
        <f t="shared" si="142"/>
        <v>0</v>
      </c>
    </row>
    <row r="1075" spans="1:37" x14ac:dyDescent="0.35">
      <c r="A1075" t="s">
        <v>5622</v>
      </c>
      <c r="B1075">
        <f t="shared" si="146"/>
        <v>10</v>
      </c>
      <c r="C1075">
        <f t="shared" si="145"/>
        <v>43</v>
      </c>
      <c r="D1075">
        <f t="shared" si="145"/>
        <v>54</v>
      </c>
      <c r="E1075">
        <f t="shared" si="145"/>
        <v>80</v>
      </c>
      <c r="F1075">
        <f t="shared" si="145"/>
        <v>124</v>
      </c>
      <c r="G1075">
        <f t="shared" si="145"/>
        <v>145</v>
      </c>
      <c r="H1075">
        <f t="shared" si="145"/>
        <v>177</v>
      </c>
      <c r="I1075">
        <f t="shared" si="145"/>
        <v>199</v>
      </c>
      <c r="J1075">
        <f t="shared" si="145"/>
        <v>232</v>
      </c>
      <c r="K1075">
        <f t="shared" si="145"/>
        <v>252</v>
      </c>
      <c r="L1075">
        <f t="shared" si="145"/>
        <v>270</v>
      </c>
      <c r="M1075">
        <f t="shared" si="145"/>
        <v>285</v>
      </c>
      <c r="N1075">
        <f t="shared" si="145"/>
        <v>297</v>
      </c>
      <c r="O1075">
        <f t="shared" si="144"/>
        <v>322</v>
      </c>
      <c r="P1075">
        <f t="shared" si="144"/>
        <v>340</v>
      </c>
      <c r="Q1075">
        <f t="shared" si="144"/>
        <v>366</v>
      </c>
      <c r="S1075" t="str">
        <f t="shared" si="139"/>
        <v>07.12.2025</v>
      </c>
      <c r="T1075" t="str">
        <f t="shared" si="140"/>
        <v>23:15:00</v>
      </c>
      <c r="U1075" t="str">
        <f t="shared" si="141"/>
        <v>07.12.2025 23:15:00</v>
      </c>
      <c r="V1075" s="9" t="str">
        <f>MID($A1075,C1075+C$2+1,D1075-C1075-C$2-1)</f>
        <v>0</v>
      </c>
      <c r="W1075" s="4">
        <f>VALUE(SUBSTITUTE(MID($A1075,D1075+D$2+1,E1075-D1075-D$2-1),",","."))</f>
        <v>0</v>
      </c>
      <c r="X1075" s="4">
        <f>VALUE(SUBSTITUTE(MID($A1075,E1075+E$2+1,F1075-E1075-E$2-1),",","."))</f>
        <v>0.90957602214449496</v>
      </c>
      <c r="Y1075" s="4">
        <f>VALUE(SUBSTITUTE(MID($A1075,F1075+F$2+1,G1075-F1075-F$2-1),",","."))</f>
        <v>0</v>
      </c>
      <c r="Z1075" s="3">
        <f>VALUE(SUBSTITUTE(MID($A1075,G1075+G$2+1,H1075-G1075-G$2-1),",","."))</f>
        <v>0</v>
      </c>
      <c r="AA1075" s="3">
        <f>VALUE(SUBSTITUTE(MID($A1075,H1075+H$2+1,I1075-H1075-H$2-1),",","."))</f>
        <v>0</v>
      </c>
      <c r="AB1075" s="3">
        <f>VALUE(SUBSTITUTE(MID($A1075,I1075+I$2+1,J1075-I1075-I$2-1),",","."))</f>
        <v>0</v>
      </c>
      <c r="AC1075" s="3">
        <f>VALUE(SUBSTITUTE(MID($A1075,J1075+J$2+1,K1075-J1075-J$2-1),",","."))</f>
        <v>-1.4</v>
      </c>
      <c r="AD1075" s="3">
        <f>VALUE(SUBSTITUTE(MID($A1075,K1075+K$2+1,L1075-K1075-K$2-1),",","."))</f>
        <v>7.74</v>
      </c>
      <c r="AE1075" s="3">
        <f>VALUE(SUBSTITUTE(MID($A1075,L1075+L$2+1,M1075-L1075-L$2-1),",","."))</f>
        <v>0</v>
      </c>
      <c r="AF1075" s="3">
        <f>VALUE(SUBSTITUTE(MID($A1075,M1075+M$2+1,N1075-M1075-M$2-1),",","."))</f>
        <v>0</v>
      </c>
      <c r="AG1075" s="3">
        <f>VALUE(SUBSTITUTE(MID($A1075,N1075+N$2+1,O1075-N1075-N$2-1),",","."))</f>
        <v>4.2340340647019001</v>
      </c>
      <c r="AH1075" t="str">
        <f>MID($A1075,O1075+O$2+1,P1075-O1075-O$2-1)</f>
        <v/>
      </c>
      <c r="AI1075" s="8" t="str">
        <f>MID($A1075,P1075+P$2+1,Q1075-P1075-P$2-1)</f>
        <v>False</v>
      </c>
      <c r="AK1075" t="b">
        <f t="shared" si="142"/>
        <v>0</v>
      </c>
    </row>
    <row r="1076" spans="1:37" x14ac:dyDescent="0.35">
      <c r="A1076" t="s">
        <v>5623</v>
      </c>
      <c r="B1076">
        <f t="shared" si="146"/>
        <v>10</v>
      </c>
      <c r="C1076">
        <f t="shared" si="145"/>
        <v>43</v>
      </c>
      <c r="D1076">
        <f t="shared" si="145"/>
        <v>54</v>
      </c>
      <c r="E1076">
        <f t="shared" si="145"/>
        <v>80</v>
      </c>
      <c r="F1076">
        <f t="shared" si="145"/>
        <v>124</v>
      </c>
      <c r="G1076">
        <f t="shared" si="145"/>
        <v>145</v>
      </c>
      <c r="H1076">
        <f t="shared" si="145"/>
        <v>177</v>
      </c>
      <c r="I1076">
        <f t="shared" si="145"/>
        <v>199</v>
      </c>
      <c r="J1076">
        <f t="shared" si="145"/>
        <v>232</v>
      </c>
      <c r="K1076">
        <f t="shared" si="145"/>
        <v>253</v>
      </c>
      <c r="L1076">
        <f t="shared" si="145"/>
        <v>284</v>
      </c>
      <c r="M1076">
        <f t="shared" si="145"/>
        <v>299</v>
      </c>
      <c r="N1076">
        <f t="shared" si="145"/>
        <v>311</v>
      </c>
      <c r="O1076">
        <f t="shared" si="144"/>
        <v>336</v>
      </c>
      <c r="P1076">
        <f t="shared" si="144"/>
        <v>354</v>
      </c>
      <c r="Q1076">
        <f t="shared" si="144"/>
        <v>380</v>
      </c>
      <c r="S1076" t="str">
        <f t="shared" si="139"/>
        <v>07.12.2025</v>
      </c>
      <c r="T1076" t="str">
        <f t="shared" si="140"/>
        <v>23:30:00</v>
      </c>
      <c r="U1076" t="str">
        <f t="shared" si="141"/>
        <v>07.12.2025 23:30:00</v>
      </c>
      <c r="V1076" s="9" t="str">
        <f>MID($A1076,C1076+C$2+1,D1076-C1076-C$2-1)</f>
        <v>0</v>
      </c>
      <c r="W1076" s="4">
        <f>VALUE(SUBSTITUTE(MID($A1076,D1076+D$2+1,E1076-D1076-D$2-1),",","."))</f>
        <v>0</v>
      </c>
      <c r="X1076" s="4">
        <f>VALUE(SUBSTITUTE(MID($A1076,E1076+E$2+1,F1076-E1076-E$2-1),",","."))</f>
        <v>0.90957602214449496</v>
      </c>
      <c r="Y1076" s="4">
        <f>VALUE(SUBSTITUTE(MID($A1076,F1076+F$2+1,G1076-F1076-F$2-1),",","."))</f>
        <v>0</v>
      </c>
      <c r="Z1076" s="3">
        <f>VALUE(SUBSTITUTE(MID($A1076,G1076+G$2+1,H1076-G1076-G$2-1),",","."))</f>
        <v>0</v>
      </c>
      <c r="AA1076" s="3">
        <f>VALUE(SUBSTITUTE(MID($A1076,H1076+H$2+1,I1076-H1076-H$2-1),",","."))</f>
        <v>0</v>
      </c>
      <c r="AB1076" s="3">
        <f>VALUE(SUBSTITUTE(MID($A1076,I1076+I$2+1,J1076-I1076-I$2-1),",","."))</f>
        <v>0</v>
      </c>
      <c r="AC1076" s="3">
        <f>VALUE(SUBSTITUTE(MID($A1076,J1076+J$2+1,K1076-J1076-J$2-1),",","."))</f>
        <v>-1.85</v>
      </c>
      <c r="AD1076" s="3">
        <f>VALUE(SUBSTITUTE(MID($A1076,K1076+K$2+1,L1076-K1076-K$2-1),",","."))</f>
        <v>5.22</v>
      </c>
      <c r="AE1076" s="3">
        <f>VALUE(SUBSTITUTE(MID($A1076,L1076+L$2+1,M1076-L1076-L$2-1),",","."))</f>
        <v>0</v>
      </c>
      <c r="AF1076" s="3">
        <f>VALUE(SUBSTITUTE(MID($A1076,M1076+M$2+1,N1076-M1076-M$2-1),",","."))</f>
        <v>0</v>
      </c>
      <c r="AG1076" s="3">
        <f>VALUE(SUBSTITUTE(MID($A1076,N1076+N$2+1,O1076-N1076-N$2-1),",","."))</f>
        <v>4.2340625845899797</v>
      </c>
      <c r="AH1076" t="str">
        <f>MID($A1076,O1076+O$2+1,P1076-O1076-O$2-1)</f>
        <v/>
      </c>
      <c r="AI1076" s="8" t="str">
        <f>MID($A1076,P1076+P$2+1,Q1076-P1076-P$2-1)</f>
        <v>False</v>
      </c>
      <c r="AK1076" t="b">
        <f t="shared" si="142"/>
        <v>0</v>
      </c>
    </row>
    <row r="1077" spans="1:37" x14ac:dyDescent="0.35">
      <c r="A1077" t="s">
        <v>5624</v>
      </c>
      <c r="B1077">
        <f t="shared" si="146"/>
        <v>10</v>
      </c>
      <c r="C1077">
        <f t="shared" si="145"/>
        <v>43</v>
      </c>
      <c r="D1077">
        <f t="shared" si="145"/>
        <v>54</v>
      </c>
      <c r="E1077">
        <f t="shared" si="145"/>
        <v>80</v>
      </c>
      <c r="F1077">
        <f t="shared" si="145"/>
        <v>124</v>
      </c>
      <c r="G1077">
        <f t="shared" si="145"/>
        <v>145</v>
      </c>
      <c r="H1077">
        <f t="shared" si="145"/>
        <v>177</v>
      </c>
      <c r="I1077">
        <f t="shared" si="145"/>
        <v>199</v>
      </c>
      <c r="J1077">
        <f t="shared" si="145"/>
        <v>232</v>
      </c>
      <c r="K1077">
        <f t="shared" si="145"/>
        <v>253</v>
      </c>
      <c r="L1077">
        <f t="shared" si="145"/>
        <v>284</v>
      </c>
      <c r="M1077">
        <f t="shared" si="145"/>
        <v>299</v>
      </c>
      <c r="N1077">
        <f t="shared" si="145"/>
        <v>311</v>
      </c>
      <c r="O1077">
        <f t="shared" si="144"/>
        <v>336</v>
      </c>
      <c r="P1077">
        <f t="shared" si="144"/>
        <v>354</v>
      </c>
      <c r="Q1077">
        <f t="shared" si="144"/>
        <v>380</v>
      </c>
      <c r="S1077" t="str">
        <f t="shared" si="139"/>
        <v>07.12.2025</v>
      </c>
      <c r="T1077" t="str">
        <f t="shared" si="140"/>
        <v>23:45:00</v>
      </c>
      <c r="U1077" t="str">
        <f t="shared" si="141"/>
        <v>07.12.2025 23:45:00</v>
      </c>
      <c r="V1077" s="9" t="str">
        <f>MID($A1077,C1077+C$2+1,D1077-C1077-C$2-1)</f>
        <v>0</v>
      </c>
      <c r="W1077" s="4">
        <f>VALUE(SUBSTITUTE(MID($A1077,D1077+D$2+1,E1077-D1077-D$2-1),",","."))</f>
        <v>0</v>
      </c>
      <c r="X1077" s="4">
        <f>VALUE(SUBSTITUTE(MID($A1077,E1077+E$2+1,F1077-E1077-E$2-1),",","."))</f>
        <v>0.90957602214449496</v>
      </c>
      <c r="Y1077" s="4">
        <f>VALUE(SUBSTITUTE(MID($A1077,F1077+F$2+1,G1077-F1077-F$2-1),",","."))</f>
        <v>0</v>
      </c>
      <c r="Z1077" s="3">
        <f>VALUE(SUBSTITUTE(MID($A1077,G1077+G$2+1,H1077-G1077-G$2-1),",","."))</f>
        <v>0</v>
      </c>
      <c r="AA1077" s="3">
        <f>VALUE(SUBSTITUTE(MID($A1077,H1077+H$2+1,I1077-H1077-H$2-1),",","."))</f>
        <v>0</v>
      </c>
      <c r="AB1077" s="3">
        <f>VALUE(SUBSTITUTE(MID($A1077,I1077+I$2+1,J1077-I1077-I$2-1),",","."))</f>
        <v>0</v>
      </c>
      <c r="AC1077" s="3">
        <f>VALUE(SUBSTITUTE(MID($A1077,J1077+J$2+1,K1077-J1077-J$2-1),",","."))</f>
        <v>-1.85</v>
      </c>
      <c r="AD1077" s="3">
        <f>VALUE(SUBSTITUTE(MID($A1077,K1077+K$2+1,L1077-K1077-K$2-1),",","."))</f>
        <v>5.22</v>
      </c>
      <c r="AE1077" s="3">
        <f>VALUE(SUBSTITUTE(MID($A1077,L1077+L$2+1,M1077-L1077-L$2-1),",","."))</f>
        <v>0</v>
      </c>
      <c r="AF1077" s="3">
        <f>VALUE(SUBSTITUTE(MID($A1077,M1077+M$2+1,N1077-M1077-M$2-1),",","."))</f>
        <v>0</v>
      </c>
      <c r="AG1077" s="3">
        <f>VALUE(SUBSTITUTE(MID($A1077,N1077+N$2+1,O1077-N1077-N$2-1),",","."))</f>
        <v>4.2340911044780603</v>
      </c>
      <c r="AH1077" t="str">
        <f>MID($A1077,O1077+O$2+1,P1077-O1077-O$2-1)</f>
        <v/>
      </c>
      <c r="AI1077" s="8" t="str">
        <f>MID($A1077,P1077+P$2+1,Q1077-P1077-P$2-1)</f>
        <v>False</v>
      </c>
      <c r="AK1077" t="b">
        <f t="shared" si="142"/>
        <v>0</v>
      </c>
    </row>
    <row r="1078" spans="1:37" x14ac:dyDescent="0.35">
      <c r="A1078" t="s">
        <v>5625</v>
      </c>
      <c r="B1078">
        <f t="shared" si="146"/>
        <v>10</v>
      </c>
      <c r="C1078">
        <f t="shared" si="145"/>
        <v>43</v>
      </c>
      <c r="D1078">
        <f t="shared" si="145"/>
        <v>54</v>
      </c>
      <c r="E1078">
        <f t="shared" si="145"/>
        <v>80</v>
      </c>
      <c r="F1078">
        <f t="shared" si="145"/>
        <v>124</v>
      </c>
      <c r="G1078">
        <f t="shared" si="145"/>
        <v>145</v>
      </c>
      <c r="H1078">
        <f t="shared" si="145"/>
        <v>177</v>
      </c>
      <c r="I1078">
        <f t="shared" si="145"/>
        <v>199</v>
      </c>
      <c r="J1078">
        <f t="shared" si="145"/>
        <v>232</v>
      </c>
      <c r="K1078">
        <f t="shared" si="145"/>
        <v>253</v>
      </c>
      <c r="L1078">
        <f t="shared" si="145"/>
        <v>284</v>
      </c>
      <c r="M1078">
        <f t="shared" si="145"/>
        <v>299</v>
      </c>
      <c r="N1078">
        <f t="shared" si="145"/>
        <v>311</v>
      </c>
      <c r="O1078">
        <f t="shared" si="144"/>
        <v>337</v>
      </c>
      <c r="P1078">
        <f t="shared" si="144"/>
        <v>355</v>
      </c>
      <c r="Q1078">
        <f t="shared" si="144"/>
        <v>381</v>
      </c>
      <c r="S1078" t="str">
        <f t="shared" si="139"/>
        <v>08.12.2025</v>
      </c>
      <c r="T1078" t="str">
        <f t="shared" si="140"/>
        <v>00:00:00</v>
      </c>
      <c r="U1078" t="str">
        <f t="shared" si="141"/>
        <v>08.12.2025 00:00:00</v>
      </c>
      <c r="V1078" s="9" t="str">
        <f>MID($A1078,C1078+C$2+1,D1078-C1078-C$2-1)</f>
        <v>0</v>
      </c>
      <c r="W1078" s="4">
        <f>VALUE(SUBSTITUTE(MID($A1078,D1078+D$2+1,E1078-D1078-D$2-1),",","."))</f>
        <v>0</v>
      </c>
      <c r="X1078" s="4">
        <f>VALUE(SUBSTITUTE(MID($A1078,E1078+E$2+1,F1078-E1078-E$2-1),",","."))</f>
        <v>0.90957602214449496</v>
      </c>
      <c r="Y1078" s="4">
        <f>VALUE(SUBSTITUTE(MID($A1078,F1078+F$2+1,G1078-F1078-F$2-1),",","."))</f>
        <v>0</v>
      </c>
      <c r="Z1078" s="3">
        <f>VALUE(SUBSTITUTE(MID($A1078,G1078+G$2+1,H1078-G1078-G$2-1),",","."))</f>
        <v>0</v>
      </c>
      <c r="AA1078" s="3">
        <f>VALUE(SUBSTITUTE(MID($A1078,H1078+H$2+1,I1078-H1078-H$2-1),",","."))</f>
        <v>0</v>
      </c>
      <c r="AB1078" s="3">
        <f>VALUE(SUBSTITUTE(MID($A1078,I1078+I$2+1,J1078-I1078-I$2-1),",","."))</f>
        <v>0</v>
      </c>
      <c r="AC1078" s="3">
        <f>VALUE(SUBSTITUTE(MID($A1078,J1078+J$2+1,K1078-J1078-J$2-1),",","."))</f>
        <v>-1.85</v>
      </c>
      <c r="AD1078" s="3">
        <f>VALUE(SUBSTITUTE(MID($A1078,K1078+K$2+1,L1078-K1078-K$2-1),",","."))</f>
        <v>5.22</v>
      </c>
      <c r="AE1078" s="3">
        <f>VALUE(SUBSTITUTE(MID($A1078,L1078+L$2+1,M1078-L1078-L$2-1),",","."))</f>
        <v>0</v>
      </c>
      <c r="AF1078" s="3">
        <f>VALUE(SUBSTITUTE(MID($A1078,M1078+M$2+1,N1078-M1078-M$2-1),",","."))</f>
        <v>0</v>
      </c>
      <c r="AG1078" s="3">
        <f>VALUE(SUBSTITUTE(MID($A1078,N1078+N$2+1,O1078-N1078-N$2-1),",","."))</f>
        <v>4.2341196243661496</v>
      </c>
      <c r="AH1078" t="str">
        <f>MID($A1078,O1078+O$2+1,P1078-O1078-O$2-1)</f>
        <v/>
      </c>
      <c r="AI1078" s="8" t="str">
        <f>MID($A1078,P1078+P$2+1,Q1078-P1078-P$2-1)</f>
        <v>False</v>
      </c>
      <c r="AK1078" t="b">
        <f t="shared" si="142"/>
        <v>0</v>
      </c>
    </row>
    <row r="1079" spans="1:37" x14ac:dyDescent="0.35">
      <c r="A1079" t="s">
        <v>5626</v>
      </c>
      <c r="B1079">
        <f t="shared" si="146"/>
        <v>10</v>
      </c>
      <c r="C1079">
        <f t="shared" si="145"/>
        <v>43</v>
      </c>
      <c r="D1079">
        <f t="shared" si="145"/>
        <v>54</v>
      </c>
      <c r="E1079">
        <f t="shared" si="145"/>
        <v>80</v>
      </c>
      <c r="F1079">
        <f t="shared" si="145"/>
        <v>124</v>
      </c>
      <c r="G1079">
        <f t="shared" si="145"/>
        <v>145</v>
      </c>
      <c r="H1079">
        <f t="shared" si="145"/>
        <v>177</v>
      </c>
      <c r="I1079">
        <f t="shared" si="145"/>
        <v>199</v>
      </c>
      <c r="J1079">
        <f t="shared" si="145"/>
        <v>232</v>
      </c>
      <c r="K1079">
        <f t="shared" si="145"/>
        <v>253</v>
      </c>
      <c r="L1079">
        <f t="shared" si="145"/>
        <v>284</v>
      </c>
      <c r="M1079">
        <f t="shared" si="145"/>
        <v>299</v>
      </c>
      <c r="N1079">
        <f t="shared" si="145"/>
        <v>311</v>
      </c>
      <c r="O1079">
        <f t="shared" si="144"/>
        <v>336</v>
      </c>
      <c r="P1079">
        <f t="shared" si="144"/>
        <v>354</v>
      </c>
      <c r="Q1079">
        <f t="shared" si="144"/>
        <v>380</v>
      </c>
      <c r="S1079" t="str">
        <f t="shared" si="139"/>
        <v>08.12.2025</v>
      </c>
      <c r="T1079" t="str">
        <f t="shared" si="140"/>
        <v>00:15:00</v>
      </c>
      <c r="U1079" t="str">
        <f t="shared" si="141"/>
        <v>08.12.2025 00:15:00</v>
      </c>
      <c r="V1079" s="9" t="str">
        <f>MID($A1079,C1079+C$2+1,D1079-C1079-C$2-1)</f>
        <v>0</v>
      </c>
      <c r="W1079" s="4">
        <f>VALUE(SUBSTITUTE(MID($A1079,D1079+D$2+1,E1079-D1079-D$2-1),",","."))</f>
        <v>0</v>
      </c>
      <c r="X1079" s="4">
        <f>VALUE(SUBSTITUTE(MID($A1079,E1079+E$2+1,F1079-E1079-E$2-1),",","."))</f>
        <v>0.90957602214449496</v>
      </c>
      <c r="Y1079" s="4">
        <f>VALUE(SUBSTITUTE(MID($A1079,F1079+F$2+1,G1079-F1079-F$2-1),",","."))</f>
        <v>0</v>
      </c>
      <c r="Z1079" s="3">
        <f>VALUE(SUBSTITUTE(MID($A1079,G1079+G$2+1,H1079-G1079-G$2-1),",","."))</f>
        <v>0</v>
      </c>
      <c r="AA1079" s="3">
        <f>VALUE(SUBSTITUTE(MID($A1079,H1079+H$2+1,I1079-H1079-H$2-1),",","."))</f>
        <v>0</v>
      </c>
      <c r="AB1079" s="3">
        <f>VALUE(SUBSTITUTE(MID($A1079,I1079+I$2+1,J1079-I1079-I$2-1),",","."))</f>
        <v>0</v>
      </c>
      <c r="AC1079" s="3">
        <f>VALUE(SUBSTITUTE(MID($A1079,J1079+J$2+1,K1079-J1079-J$2-1),",","."))</f>
        <v>-1.85</v>
      </c>
      <c r="AD1079" s="3">
        <f>VALUE(SUBSTITUTE(MID($A1079,K1079+K$2+1,L1079-K1079-K$2-1),",","."))</f>
        <v>5.22</v>
      </c>
      <c r="AE1079" s="3">
        <f>VALUE(SUBSTITUTE(MID($A1079,L1079+L$2+1,M1079-L1079-L$2-1),",","."))</f>
        <v>0</v>
      </c>
      <c r="AF1079" s="3">
        <f>VALUE(SUBSTITUTE(MID($A1079,M1079+M$2+1,N1079-M1079-M$2-1),",","."))</f>
        <v>0</v>
      </c>
      <c r="AG1079" s="3">
        <f>VALUE(SUBSTITUTE(MID($A1079,N1079+N$2+1,O1079-N1079-N$2-1),",","."))</f>
        <v>4.2341481442542301</v>
      </c>
      <c r="AH1079" t="str">
        <f>MID($A1079,O1079+O$2+1,P1079-O1079-O$2-1)</f>
        <v/>
      </c>
      <c r="AI1079" s="8" t="str">
        <f>MID($A1079,P1079+P$2+1,Q1079-P1079-P$2-1)</f>
        <v>False</v>
      </c>
      <c r="AK1079" t="b">
        <f t="shared" si="142"/>
        <v>0</v>
      </c>
    </row>
    <row r="1080" spans="1:37" x14ac:dyDescent="0.35">
      <c r="A1080" t="s">
        <v>5627</v>
      </c>
      <c r="B1080">
        <f t="shared" si="146"/>
        <v>10</v>
      </c>
      <c r="C1080">
        <f t="shared" si="145"/>
        <v>43</v>
      </c>
      <c r="D1080">
        <f t="shared" si="145"/>
        <v>54</v>
      </c>
      <c r="E1080">
        <f t="shared" si="145"/>
        <v>80</v>
      </c>
      <c r="F1080">
        <f t="shared" si="145"/>
        <v>124</v>
      </c>
      <c r="G1080">
        <f t="shared" si="145"/>
        <v>145</v>
      </c>
      <c r="H1080">
        <f t="shared" si="145"/>
        <v>177</v>
      </c>
      <c r="I1080">
        <f t="shared" si="145"/>
        <v>199</v>
      </c>
      <c r="J1080">
        <f t="shared" si="145"/>
        <v>232</v>
      </c>
      <c r="K1080">
        <f t="shared" si="145"/>
        <v>253</v>
      </c>
      <c r="L1080">
        <f t="shared" si="145"/>
        <v>271</v>
      </c>
      <c r="M1080">
        <f t="shared" si="145"/>
        <v>286</v>
      </c>
      <c r="N1080">
        <f t="shared" si="145"/>
        <v>298</v>
      </c>
      <c r="O1080">
        <f t="shared" si="144"/>
        <v>323</v>
      </c>
      <c r="P1080">
        <f t="shared" si="144"/>
        <v>341</v>
      </c>
      <c r="Q1080">
        <f t="shared" si="144"/>
        <v>367</v>
      </c>
      <c r="S1080" t="str">
        <f t="shared" ref="S1080:S1143" si="147">LEFT(U1080,10)</f>
        <v>08.12.2025</v>
      </c>
      <c r="T1080" t="str">
        <f t="shared" ref="T1080:T1143" si="148">MID(U1080,12,8)</f>
        <v>00:30:00</v>
      </c>
      <c r="U1080" t="str">
        <f t="shared" si="141"/>
        <v>08.12.2025 00:30:00</v>
      </c>
      <c r="V1080" s="9" t="str">
        <f>MID($A1080,C1080+C$2+1,D1080-C1080-C$2-1)</f>
        <v>0</v>
      </c>
      <c r="W1080" s="4">
        <f>VALUE(SUBSTITUTE(MID($A1080,D1080+D$2+1,E1080-D1080-D$2-1),",","."))</f>
        <v>0</v>
      </c>
      <c r="X1080" s="4">
        <f>VALUE(SUBSTITUTE(MID($A1080,E1080+E$2+1,F1080-E1080-E$2-1),",","."))</f>
        <v>0.90957602214449496</v>
      </c>
      <c r="Y1080" s="4">
        <f>VALUE(SUBSTITUTE(MID($A1080,F1080+F$2+1,G1080-F1080-F$2-1),",","."))</f>
        <v>0</v>
      </c>
      <c r="Z1080" s="3">
        <f>VALUE(SUBSTITUTE(MID($A1080,G1080+G$2+1,H1080-G1080-G$2-1),",","."))</f>
        <v>0</v>
      </c>
      <c r="AA1080" s="3">
        <f>VALUE(SUBSTITUTE(MID($A1080,H1080+H$2+1,I1080-H1080-H$2-1),",","."))</f>
        <v>0</v>
      </c>
      <c r="AB1080" s="3">
        <f>VALUE(SUBSTITUTE(MID($A1080,I1080+I$2+1,J1080-I1080-I$2-1),",","."))</f>
        <v>0</v>
      </c>
      <c r="AC1080" s="3">
        <f>VALUE(SUBSTITUTE(MID($A1080,J1080+J$2+1,K1080-J1080-J$2-1),",","."))</f>
        <v>-2.15</v>
      </c>
      <c r="AD1080" s="3">
        <f>VALUE(SUBSTITUTE(MID($A1080,K1080+K$2+1,L1080-K1080-K$2-1),",","."))</f>
        <v>5.04</v>
      </c>
      <c r="AE1080" s="3">
        <f>VALUE(SUBSTITUTE(MID($A1080,L1080+L$2+1,M1080-L1080-L$2-1),",","."))</f>
        <v>0</v>
      </c>
      <c r="AF1080" s="3">
        <f>VALUE(SUBSTITUTE(MID($A1080,M1080+M$2+1,N1080-M1080-M$2-1),",","."))</f>
        <v>0</v>
      </c>
      <c r="AG1080" s="3">
        <f>VALUE(SUBSTITUTE(MID($A1080,N1080+N$2+1,O1080-N1080-N$2-1),",","."))</f>
        <v>4.2341766641423098</v>
      </c>
      <c r="AH1080" t="str">
        <f>MID($A1080,O1080+O$2+1,P1080-O1080-O$2-1)</f>
        <v/>
      </c>
      <c r="AI1080" s="8" t="str">
        <f>MID($A1080,P1080+P$2+1,Q1080-P1080-P$2-1)</f>
        <v>False</v>
      </c>
      <c r="AK1080" t="b">
        <f t="shared" si="142"/>
        <v>0</v>
      </c>
    </row>
    <row r="1081" spans="1:37" x14ac:dyDescent="0.35">
      <c r="A1081" t="s">
        <v>5628</v>
      </c>
      <c r="B1081">
        <f t="shared" si="146"/>
        <v>10</v>
      </c>
      <c r="C1081">
        <f t="shared" si="145"/>
        <v>43</v>
      </c>
      <c r="D1081">
        <f t="shared" si="145"/>
        <v>54</v>
      </c>
      <c r="E1081">
        <f t="shared" si="145"/>
        <v>80</v>
      </c>
      <c r="F1081">
        <f t="shared" si="145"/>
        <v>124</v>
      </c>
      <c r="G1081">
        <f t="shared" si="145"/>
        <v>145</v>
      </c>
      <c r="H1081">
        <f t="shared" si="145"/>
        <v>177</v>
      </c>
      <c r="I1081">
        <f t="shared" si="145"/>
        <v>199</v>
      </c>
      <c r="J1081">
        <f t="shared" si="145"/>
        <v>232</v>
      </c>
      <c r="K1081">
        <f t="shared" si="145"/>
        <v>253</v>
      </c>
      <c r="L1081">
        <f t="shared" si="145"/>
        <v>271</v>
      </c>
      <c r="M1081">
        <f t="shared" si="145"/>
        <v>286</v>
      </c>
      <c r="N1081">
        <f t="shared" si="145"/>
        <v>298</v>
      </c>
      <c r="O1081">
        <f t="shared" si="144"/>
        <v>323</v>
      </c>
      <c r="P1081">
        <f t="shared" si="144"/>
        <v>341</v>
      </c>
      <c r="Q1081">
        <f t="shared" si="144"/>
        <v>367</v>
      </c>
      <c r="S1081" t="str">
        <f t="shared" si="147"/>
        <v>08.12.2025</v>
      </c>
      <c r="T1081" t="str">
        <f t="shared" si="148"/>
        <v>00:45:00</v>
      </c>
      <c r="U1081" t="str">
        <f t="shared" si="141"/>
        <v>08.12.2025 00:45:00</v>
      </c>
      <c r="V1081" s="9" t="str">
        <f>MID($A1081,C1081+C$2+1,D1081-C1081-C$2-1)</f>
        <v>0</v>
      </c>
      <c r="W1081" s="4">
        <f>VALUE(SUBSTITUTE(MID($A1081,D1081+D$2+1,E1081-D1081-D$2-1),",","."))</f>
        <v>0</v>
      </c>
      <c r="X1081" s="4">
        <f>VALUE(SUBSTITUTE(MID($A1081,E1081+E$2+1,F1081-E1081-E$2-1),",","."))</f>
        <v>0.90957602214449496</v>
      </c>
      <c r="Y1081" s="4">
        <f>VALUE(SUBSTITUTE(MID($A1081,F1081+F$2+1,G1081-F1081-F$2-1),",","."))</f>
        <v>0</v>
      </c>
      <c r="Z1081" s="3">
        <f>VALUE(SUBSTITUTE(MID($A1081,G1081+G$2+1,H1081-G1081-G$2-1),",","."))</f>
        <v>0</v>
      </c>
      <c r="AA1081" s="3">
        <f>VALUE(SUBSTITUTE(MID($A1081,H1081+H$2+1,I1081-H1081-H$2-1),",","."))</f>
        <v>0</v>
      </c>
      <c r="AB1081" s="3">
        <f>VALUE(SUBSTITUTE(MID($A1081,I1081+I$2+1,J1081-I1081-I$2-1),",","."))</f>
        <v>0</v>
      </c>
      <c r="AC1081" s="3">
        <f>VALUE(SUBSTITUTE(MID($A1081,J1081+J$2+1,K1081-J1081-J$2-1),",","."))</f>
        <v>-2.15</v>
      </c>
      <c r="AD1081" s="3">
        <f>VALUE(SUBSTITUTE(MID($A1081,K1081+K$2+1,L1081-K1081-K$2-1),",","."))</f>
        <v>5.04</v>
      </c>
      <c r="AE1081" s="3">
        <f>VALUE(SUBSTITUTE(MID($A1081,L1081+L$2+1,M1081-L1081-L$2-1),",","."))</f>
        <v>0</v>
      </c>
      <c r="AF1081" s="3">
        <f>VALUE(SUBSTITUTE(MID($A1081,M1081+M$2+1,N1081-M1081-M$2-1),",","."))</f>
        <v>0</v>
      </c>
      <c r="AG1081" s="3">
        <f>VALUE(SUBSTITUTE(MID($A1081,N1081+N$2+1,O1081-N1081-N$2-1),",","."))</f>
        <v>4.2342051840303903</v>
      </c>
      <c r="AH1081" t="str">
        <f>MID($A1081,O1081+O$2+1,P1081-O1081-O$2-1)</f>
        <v/>
      </c>
      <c r="AI1081" s="8" t="str">
        <f>MID($A1081,P1081+P$2+1,Q1081-P1081-P$2-1)</f>
        <v>False</v>
      </c>
      <c r="AK1081" t="b">
        <f t="shared" si="142"/>
        <v>0</v>
      </c>
    </row>
    <row r="1082" spans="1:37" x14ac:dyDescent="0.35">
      <c r="A1082" t="s">
        <v>5629</v>
      </c>
      <c r="B1082">
        <f t="shared" si="146"/>
        <v>10</v>
      </c>
      <c r="C1082">
        <f t="shared" si="145"/>
        <v>43</v>
      </c>
      <c r="D1082">
        <f t="shared" si="145"/>
        <v>54</v>
      </c>
      <c r="E1082">
        <f t="shared" si="145"/>
        <v>80</v>
      </c>
      <c r="F1082">
        <f t="shared" si="145"/>
        <v>124</v>
      </c>
      <c r="G1082">
        <f t="shared" si="145"/>
        <v>145</v>
      </c>
      <c r="H1082">
        <f t="shared" si="145"/>
        <v>177</v>
      </c>
      <c r="I1082">
        <f t="shared" si="145"/>
        <v>199</v>
      </c>
      <c r="J1082">
        <f t="shared" si="145"/>
        <v>232</v>
      </c>
      <c r="K1082">
        <f t="shared" si="145"/>
        <v>253</v>
      </c>
      <c r="L1082">
        <f t="shared" si="145"/>
        <v>271</v>
      </c>
      <c r="M1082">
        <f t="shared" si="145"/>
        <v>286</v>
      </c>
      <c r="N1082">
        <f t="shared" si="145"/>
        <v>298</v>
      </c>
      <c r="O1082">
        <f t="shared" si="144"/>
        <v>323</v>
      </c>
      <c r="P1082">
        <f t="shared" si="144"/>
        <v>341</v>
      </c>
      <c r="Q1082">
        <f t="shared" si="144"/>
        <v>367</v>
      </c>
      <c r="S1082" t="str">
        <f t="shared" si="147"/>
        <v>08.12.2025</v>
      </c>
      <c r="T1082" t="str">
        <f t="shared" si="148"/>
        <v>01:00:00</v>
      </c>
      <c r="U1082" t="str">
        <f t="shared" si="141"/>
        <v>08.12.2025 01:00:00</v>
      </c>
      <c r="V1082" s="9" t="str">
        <f>MID($A1082,C1082+C$2+1,D1082-C1082-C$2-1)</f>
        <v>0</v>
      </c>
      <c r="W1082" s="4">
        <f>VALUE(SUBSTITUTE(MID($A1082,D1082+D$2+1,E1082-D1082-D$2-1),",","."))</f>
        <v>0</v>
      </c>
      <c r="X1082" s="4">
        <f>VALUE(SUBSTITUTE(MID($A1082,E1082+E$2+1,F1082-E1082-E$2-1),",","."))</f>
        <v>0.90957602214449496</v>
      </c>
      <c r="Y1082" s="4">
        <f>VALUE(SUBSTITUTE(MID($A1082,F1082+F$2+1,G1082-F1082-F$2-1),",","."))</f>
        <v>0</v>
      </c>
      <c r="Z1082" s="3">
        <f>VALUE(SUBSTITUTE(MID($A1082,G1082+G$2+1,H1082-G1082-G$2-1),",","."))</f>
        <v>0</v>
      </c>
      <c r="AA1082" s="3">
        <f>VALUE(SUBSTITUTE(MID($A1082,H1082+H$2+1,I1082-H1082-H$2-1),",","."))</f>
        <v>0</v>
      </c>
      <c r="AB1082" s="3">
        <f>VALUE(SUBSTITUTE(MID($A1082,I1082+I$2+1,J1082-I1082-I$2-1),",","."))</f>
        <v>0</v>
      </c>
      <c r="AC1082" s="3">
        <f>VALUE(SUBSTITUTE(MID($A1082,J1082+J$2+1,K1082-J1082-J$2-1),",","."))</f>
        <v>-2.15</v>
      </c>
      <c r="AD1082" s="3">
        <f>VALUE(SUBSTITUTE(MID($A1082,K1082+K$2+1,L1082-K1082-K$2-1),",","."))</f>
        <v>5.04</v>
      </c>
      <c r="AE1082" s="3">
        <f>VALUE(SUBSTITUTE(MID($A1082,L1082+L$2+1,M1082-L1082-L$2-1),",","."))</f>
        <v>0</v>
      </c>
      <c r="AF1082" s="3">
        <f>VALUE(SUBSTITUTE(MID($A1082,M1082+M$2+1,N1082-M1082-M$2-1),",","."))</f>
        <v>0</v>
      </c>
      <c r="AG1082" s="3">
        <f>VALUE(SUBSTITUTE(MID($A1082,N1082+N$2+1,O1082-N1082-N$2-1),",","."))</f>
        <v>4.2342337039184699</v>
      </c>
      <c r="AH1082" t="str">
        <f>MID($A1082,O1082+O$2+1,P1082-O1082-O$2-1)</f>
        <v/>
      </c>
      <c r="AI1082" s="8" t="str">
        <f>MID($A1082,P1082+P$2+1,Q1082-P1082-P$2-1)</f>
        <v>False</v>
      </c>
      <c r="AK1082" t="b">
        <f t="shared" si="142"/>
        <v>0</v>
      </c>
    </row>
    <row r="1083" spans="1:37" x14ac:dyDescent="0.35">
      <c r="A1083" t="s">
        <v>5630</v>
      </c>
      <c r="B1083">
        <f t="shared" si="146"/>
        <v>10</v>
      </c>
      <c r="C1083">
        <f t="shared" si="145"/>
        <v>43</v>
      </c>
      <c r="D1083">
        <f t="shared" si="145"/>
        <v>54</v>
      </c>
      <c r="E1083">
        <f t="shared" si="145"/>
        <v>80</v>
      </c>
      <c r="F1083">
        <f t="shared" si="145"/>
        <v>124</v>
      </c>
      <c r="G1083">
        <f t="shared" si="145"/>
        <v>145</v>
      </c>
      <c r="H1083">
        <f t="shared" si="145"/>
        <v>177</v>
      </c>
      <c r="I1083">
        <f t="shared" si="145"/>
        <v>199</v>
      </c>
      <c r="J1083">
        <f t="shared" si="145"/>
        <v>232</v>
      </c>
      <c r="K1083">
        <f t="shared" si="145"/>
        <v>253</v>
      </c>
      <c r="L1083">
        <f t="shared" si="145"/>
        <v>271</v>
      </c>
      <c r="M1083">
        <f t="shared" si="145"/>
        <v>286</v>
      </c>
      <c r="N1083">
        <f t="shared" si="145"/>
        <v>298</v>
      </c>
      <c r="O1083">
        <f t="shared" si="144"/>
        <v>323</v>
      </c>
      <c r="P1083">
        <f t="shared" si="144"/>
        <v>341</v>
      </c>
      <c r="Q1083">
        <f t="shared" si="144"/>
        <v>367</v>
      </c>
      <c r="S1083" t="str">
        <f t="shared" si="147"/>
        <v>08.12.2025</v>
      </c>
      <c r="T1083" t="str">
        <f t="shared" si="148"/>
        <v>01:15:00</v>
      </c>
      <c r="U1083" t="str">
        <f t="shared" si="141"/>
        <v>08.12.2025 01:15:00</v>
      </c>
      <c r="V1083" s="9" t="str">
        <f>MID($A1083,C1083+C$2+1,D1083-C1083-C$2-1)</f>
        <v>0</v>
      </c>
      <c r="W1083" s="4">
        <f>VALUE(SUBSTITUTE(MID($A1083,D1083+D$2+1,E1083-D1083-D$2-1),",","."))</f>
        <v>0</v>
      </c>
      <c r="X1083" s="4">
        <f>VALUE(SUBSTITUTE(MID($A1083,E1083+E$2+1,F1083-E1083-E$2-1),",","."))</f>
        <v>0.90957602214449496</v>
      </c>
      <c r="Y1083" s="4">
        <f>VALUE(SUBSTITUTE(MID($A1083,F1083+F$2+1,G1083-F1083-F$2-1),",","."))</f>
        <v>0</v>
      </c>
      <c r="Z1083" s="3">
        <f>VALUE(SUBSTITUTE(MID($A1083,G1083+G$2+1,H1083-G1083-G$2-1),",","."))</f>
        <v>0</v>
      </c>
      <c r="AA1083" s="3">
        <f>VALUE(SUBSTITUTE(MID($A1083,H1083+H$2+1,I1083-H1083-H$2-1),",","."))</f>
        <v>0</v>
      </c>
      <c r="AB1083" s="3">
        <f>VALUE(SUBSTITUTE(MID($A1083,I1083+I$2+1,J1083-I1083-I$2-1),",","."))</f>
        <v>0</v>
      </c>
      <c r="AC1083" s="3">
        <f>VALUE(SUBSTITUTE(MID($A1083,J1083+J$2+1,K1083-J1083-J$2-1),",","."))</f>
        <v>-2.15</v>
      </c>
      <c r="AD1083" s="3">
        <f>VALUE(SUBSTITUTE(MID($A1083,K1083+K$2+1,L1083-K1083-K$2-1),",","."))</f>
        <v>5.04</v>
      </c>
      <c r="AE1083" s="3">
        <f>VALUE(SUBSTITUTE(MID($A1083,L1083+L$2+1,M1083-L1083-L$2-1),",","."))</f>
        <v>0</v>
      </c>
      <c r="AF1083" s="3">
        <f>VALUE(SUBSTITUTE(MID($A1083,M1083+M$2+1,N1083-M1083-M$2-1),",","."))</f>
        <v>0</v>
      </c>
      <c r="AG1083" s="3">
        <f>VALUE(SUBSTITUTE(MID($A1083,N1083+N$2+1,O1083-N1083-N$2-1),",","."))</f>
        <v>4.2342622238065504</v>
      </c>
      <c r="AH1083" t="str">
        <f>MID($A1083,O1083+O$2+1,P1083-O1083-O$2-1)</f>
        <v/>
      </c>
      <c r="AI1083" s="8" t="str">
        <f>MID($A1083,P1083+P$2+1,Q1083-P1083-P$2-1)</f>
        <v>False</v>
      </c>
      <c r="AK1083" t="b">
        <f t="shared" si="142"/>
        <v>0</v>
      </c>
    </row>
    <row r="1084" spans="1:37" x14ac:dyDescent="0.35">
      <c r="A1084" t="s">
        <v>5631</v>
      </c>
      <c r="B1084">
        <f t="shared" si="146"/>
        <v>10</v>
      </c>
      <c r="C1084">
        <f t="shared" si="145"/>
        <v>43</v>
      </c>
      <c r="D1084">
        <f t="shared" si="145"/>
        <v>54</v>
      </c>
      <c r="E1084">
        <f t="shared" si="145"/>
        <v>80</v>
      </c>
      <c r="F1084">
        <f t="shared" si="145"/>
        <v>124</v>
      </c>
      <c r="G1084">
        <f t="shared" si="145"/>
        <v>145</v>
      </c>
      <c r="H1084">
        <f t="shared" si="145"/>
        <v>177</v>
      </c>
      <c r="I1084">
        <f t="shared" si="145"/>
        <v>199</v>
      </c>
      <c r="J1084">
        <f t="shared" si="145"/>
        <v>232</v>
      </c>
      <c r="K1084">
        <f t="shared" si="145"/>
        <v>252</v>
      </c>
      <c r="L1084">
        <f t="shared" si="145"/>
        <v>283</v>
      </c>
      <c r="M1084">
        <f t="shared" si="145"/>
        <v>298</v>
      </c>
      <c r="N1084">
        <f t="shared" si="145"/>
        <v>310</v>
      </c>
      <c r="O1084">
        <f t="shared" si="144"/>
        <v>335</v>
      </c>
      <c r="P1084">
        <f t="shared" si="144"/>
        <v>353</v>
      </c>
      <c r="Q1084">
        <f t="shared" si="144"/>
        <v>379</v>
      </c>
      <c r="S1084" t="str">
        <f t="shared" si="147"/>
        <v>08.12.2025</v>
      </c>
      <c r="T1084" t="str">
        <f t="shared" si="148"/>
        <v>01:30:00</v>
      </c>
      <c r="U1084" t="str">
        <f t="shared" si="141"/>
        <v>08.12.2025 01:30:00</v>
      </c>
      <c r="V1084" s="9" t="str">
        <f>MID($A1084,C1084+C$2+1,D1084-C1084-C$2-1)</f>
        <v>0</v>
      </c>
      <c r="W1084" s="4">
        <f>VALUE(SUBSTITUTE(MID($A1084,D1084+D$2+1,E1084-D1084-D$2-1),",","."))</f>
        <v>0</v>
      </c>
      <c r="X1084" s="4">
        <f>VALUE(SUBSTITUTE(MID($A1084,E1084+E$2+1,F1084-E1084-E$2-1),",","."))</f>
        <v>0.90957602214449496</v>
      </c>
      <c r="Y1084" s="4">
        <f>VALUE(SUBSTITUTE(MID($A1084,F1084+F$2+1,G1084-F1084-F$2-1),",","."))</f>
        <v>0</v>
      </c>
      <c r="Z1084" s="3">
        <f>VALUE(SUBSTITUTE(MID($A1084,G1084+G$2+1,H1084-G1084-G$2-1),",","."))</f>
        <v>0</v>
      </c>
      <c r="AA1084" s="3">
        <f>VALUE(SUBSTITUTE(MID($A1084,H1084+H$2+1,I1084-H1084-H$2-1),",","."))</f>
        <v>0</v>
      </c>
      <c r="AB1084" s="3">
        <f>VALUE(SUBSTITUTE(MID($A1084,I1084+I$2+1,J1084-I1084-I$2-1),",","."))</f>
        <v>0</v>
      </c>
      <c r="AC1084" s="3">
        <f>VALUE(SUBSTITUTE(MID($A1084,J1084+J$2+1,K1084-J1084-J$2-1),",","."))</f>
        <v>-2.2999999999999998</v>
      </c>
      <c r="AD1084" s="3">
        <f>VALUE(SUBSTITUTE(MID($A1084,K1084+K$2+1,L1084-K1084-K$2-1),",","."))</f>
        <v>6.66</v>
      </c>
      <c r="AE1084" s="3">
        <f>VALUE(SUBSTITUTE(MID($A1084,L1084+L$2+1,M1084-L1084-L$2-1),",","."))</f>
        <v>0</v>
      </c>
      <c r="AF1084" s="3">
        <f>VALUE(SUBSTITUTE(MID($A1084,M1084+M$2+1,N1084-M1084-M$2-1),",","."))</f>
        <v>0</v>
      </c>
      <c r="AG1084" s="3">
        <f>VALUE(SUBSTITUTE(MID($A1084,N1084+N$2+1,O1084-N1084-N$2-1),",","."))</f>
        <v>4.2342907436946398</v>
      </c>
      <c r="AH1084" t="str">
        <f>MID($A1084,O1084+O$2+1,P1084-O1084-O$2-1)</f>
        <v/>
      </c>
      <c r="AI1084" s="8" t="str">
        <f>MID($A1084,P1084+P$2+1,Q1084-P1084-P$2-1)</f>
        <v>False</v>
      </c>
      <c r="AK1084" t="b">
        <f t="shared" si="142"/>
        <v>0</v>
      </c>
    </row>
    <row r="1085" spans="1:37" x14ac:dyDescent="0.35">
      <c r="A1085" t="s">
        <v>5632</v>
      </c>
      <c r="B1085">
        <f t="shared" si="146"/>
        <v>10</v>
      </c>
      <c r="C1085">
        <f t="shared" si="145"/>
        <v>43</v>
      </c>
      <c r="D1085">
        <f t="shared" si="145"/>
        <v>54</v>
      </c>
      <c r="E1085">
        <f t="shared" si="145"/>
        <v>80</v>
      </c>
      <c r="F1085">
        <f t="shared" si="145"/>
        <v>124</v>
      </c>
      <c r="G1085">
        <f t="shared" si="145"/>
        <v>145</v>
      </c>
      <c r="H1085">
        <f t="shared" si="145"/>
        <v>177</v>
      </c>
      <c r="I1085">
        <f t="shared" si="145"/>
        <v>199</v>
      </c>
      <c r="J1085">
        <f t="shared" si="145"/>
        <v>232</v>
      </c>
      <c r="K1085">
        <f t="shared" si="145"/>
        <v>252</v>
      </c>
      <c r="L1085">
        <f t="shared" si="145"/>
        <v>283</v>
      </c>
      <c r="M1085">
        <f t="shared" si="145"/>
        <v>298</v>
      </c>
      <c r="N1085">
        <f t="shared" si="145"/>
        <v>310</v>
      </c>
      <c r="O1085">
        <f t="shared" si="144"/>
        <v>335</v>
      </c>
      <c r="P1085">
        <f t="shared" si="144"/>
        <v>353</v>
      </c>
      <c r="Q1085">
        <f t="shared" si="144"/>
        <v>379</v>
      </c>
      <c r="S1085" t="str">
        <f t="shared" si="147"/>
        <v>08.12.2025</v>
      </c>
      <c r="T1085" t="str">
        <f t="shared" si="148"/>
        <v>01:45:00</v>
      </c>
      <c r="U1085" t="str">
        <f t="shared" si="141"/>
        <v>08.12.2025 01:45:00</v>
      </c>
      <c r="V1085" s="9" t="str">
        <f>MID($A1085,C1085+C$2+1,D1085-C1085-C$2-1)</f>
        <v>0</v>
      </c>
      <c r="W1085" s="4">
        <f>VALUE(SUBSTITUTE(MID($A1085,D1085+D$2+1,E1085-D1085-D$2-1),",","."))</f>
        <v>0</v>
      </c>
      <c r="X1085" s="4">
        <f>VALUE(SUBSTITUTE(MID($A1085,E1085+E$2+1,F1085-E1085-E$2-1),",","."))</f>
        <v>0.90957602214449496</v>
      </c>
      <c r="Y1085" s="4">
        <f>VALUE(SUBSTITUTE(MID($A1085,F1085+F$2+1,G1085-F1085-F$2-1),",","."))</f>
        <v>0</v>
      </c>
      <c r="Z1085" s="3">
        <f>VALUE(SUBSTITUTE(MID($A1085,G1085+G$2+1,H1085-G1085-G$2-1),",","."))</f>
        <v>0</v>
      </c>
      <c r="AA1085" s="3">
        <f>VALUE(SUBSTITUTE(MID($A1085,H1085+H$2+1,I1085-H1085-H$2-1),",","."))</f>
        <v>0</v>
      </c>
      <c r="AB1085" s="3">
        <f>VALUE(SUBSTITUTE(MID($A1085,I1085+I$2+1,J1085-I1085-I$2-1),",","."))</f>
        <v>0</v>
      </c>
      <c r="AC1085" s="3">
        <f>VALUE(SUBSTITUTE(MID($A1085,J1085+J$2+1,K1085-J1085-J$2-1),",","."))</f>
        <v>-2.2999999999999998</v>
      </c>
      <c r="AD1085" s="3">
        <f>VALUE(SUBSTITUTE(MID($A1085,K1085+K$2+1,L1085-K1085-K$2-1),",","."))</f>
        <v>6.66</v>
      </c>
      <c r="AE1085" s="3">
        <f>VALUE(SUBSTITUTE(MID($A1085,L1085+L$2+1,M1085-L1085-L$2-1),",","."))</f>
        <v>0</v>
      </c>
      <c r="AF1085" s="3">
        <f>VALUE(SUBSTITUTE(MID($A1085,M1085+M$2+1,N1085-M1085-M$2-1),",","."))</f>
        <v>0</v>
      </c>
      <c r="AG1085" s="3">
        <f>VALUE(SUBSTITUTE(MID($A1085,N1085+N$2+1,O1085-N1085-N$2-1),",","."))</f>
        <v>4.2343192635827203</v>
      </c>
      <c r="AH1085" t="str">
        <f>MID($A1085,O1085+O$2+1,P1085-O1085-O$2-1)</f>
        <v/>
      </c>
      <c r="AI1085" s="8" t="str">
        <f>MID($A1085,P1085+P$2+1,Q1085-P1085-P$2-1)</f>
        <v>False</v>
      </c>
      <c r="AK1085" t="b">
        <f t="shared" si="142"/>
        <v>0</v>
      </c>
    </row>
    <row r="1086" spans="1:37" x14ac:dyDescent="0.35">
      <c r="A1086" t="s">
        <v>5633</v>
      </c>
      <c r="B1086">
        <f t="shared" si="146"/>
        <v>10</v>
      </c>
      <c r="C1086">
        <f t="shared" si="145"/>
        <v>43</v>
      </c>
      <c r="D1086">
        <f t="shared" si="145"/>
        <v>54</v>
      </c>
      <c r="E1086">
        <f t="shared" si="145"/>
        <v>80</v>
      </c>
      <c r="F1086">
        <f t="shared" si="145"/>
        <v>124</v>
      </c>
      <c r="G1086">
        <f t="shared" si="145"/>
        <v>145</v>
      </c>
      <c r="H1086">
        <f t="shared" si="145"/>
        <v>177</v>
      </c>
      <c r="I1086">
        <f t="shared" si="145"/>
        <v>199</v>
      </c>
      <c r="J1086">
        <f t="shared" si="145"/>
        <v>232</v>
      </c>
      <c r="K1086">
        <f t="shared" si="145"/>
        <v>252</v>
      </c>
      <c r="L1086">
        <f t="shared" si="145"/>
        <v>283</v>
      </c>
      <c r="M1086">
        <f t="shared" si="145"/>
        <v>298</v>
      </c>
      <c r="N1086">
        <f t="shared" si="145"/>
        <v>310</v>
      </c>
      <c r="O1086">
        <f t="shared" si="144"/>
        <v>335</v>
      </c>
      <c r="P1086">
        <f t="shared" si="144"/>
        <v>353</v>
      </c>
      <c r="Q1086">
        <f t="shared" si="144"/>
        <v>379</v>
      </c>
      <c r="S1086" t="str">
        <f t="shared" si="147"/>
        <v>08.12.2025</v>
      </c>
      <c r="T1086" t="str">
        <f t="shared" si="148"/>
        <v>02:00:00</v>
      </c>
      <c r="U1086" t="str">
        <f t="shared" si="141"/>
        <v>08.12.2025 02:00:00</v>
      </c>
      <c r="V1086" s="9" t="str">
        <f>MID($A1086,C1086+C$2+1,D1086-C1086-C$2-1)</f>
        <v>0</v>
      </c>
      <c r="W1086" s="4">
        <f>VALUE(SUBSTITUTE(MID($A1086,D1086+D$2+1,E1086-D1086-D$2-1),",","."))</f>
        <v>0</v>
      </c>
      <c r="X1086" s="4">
        <f>VALUE(SUBSTITUTE(MID($A1086,E1086+E$2+1,F1086-E1086-E$2-1),",","."))</f>
        <v>0.90957602214449496</v>
      </c>
      <c r="Y1086" s="4">
        <f>VALUE(SUBSTITUTE(MID($A1086,F1086+F$2+1,G1086-F1086-F$2-1),",","."))</f>
        <v>0</v>
      </c>
      <c r="Z1086" s="3">
        <f>VALUE(SUBSTITUTE(MID($A1086,G1086+G$2+1,H1086-G1086-G$2-1),",","."))</f>
        <v>0</v>
      </c>
      <c r="AA1086" s="3">
        <f>VALUE(SUBSTITUTE(MID($A1086,H1086+H$2+1,I1086-H1086-H$2-1),",","."))</f>
        <v>0</v>
      </c>
      <c r="AB1086" s="3">
        <f>VALUE(SUBSTITUTE(MID($A1086,I1086+I$2+1,J1086-I1086-I$2-1),",","."))</f>
        <v>0</v>
      </c>
      <c r="AC1086" s="3">
        <f>VALUE(SUBSTITUTE(MID($A1086,J1086+J$2+1,K1086-J1086-J$2-1),",","."))</f>
        <v>-2.2999999999999998</v>
      </c>
      <c r="AD1086" s="3">
        <f>VALUE(SUBSTITUTE(MID($A1086,K1086+K$2+1,L1086-K1086-K$2-1),",","."))</f>
        <v>6.66</v>
      </c>
      <c r="AE1086" s="3">
        <f>VALUE(SUBSTITUTE(MID($A1086,L1086+L$2+1,M1086-L1086-L$2-1),",","."))</f>
        <v>0</v>
      </c>
      <c r="AF1086" s="3">
        <f>VALUE(SUBSTITUTE(MID($A1086,M1086+M$2+1,N1086-M1086-M$2-1),",","."))</f>
        <v>0</v>
      </c>
      <c r="AG1086" s="3">
        <f>VALUE(SUBSTITUTE(MID($A1086,N1086+N$2+1,O1086-N1086-N$2-1),",","."))</f>
        <v>4.2343477834707999</v>
      </c>
      <c r="AH1086" t="str">
        <f>MID($A1086,O1086+O$2+1,P1086-O1086-O$2-1)</f>
        <v/>
      </c>
      <c r="AI1086" s="8" t="str">
        <f>MID($A1086,P1086+P$2+1,Q1086-P1086-P$2-1)</f>
        <v>False</v>
      </c>
      <c r="AK1086" t="b">
        <f t="shared" si="142"/>
        <v>0</v>
      </c>
    </row>
    <row r="1087" spans="1:37" x14ac:dyDescent="0.35">
      <c r="A1087" t="s">
        <v>5634</v>
      </c>
      <c r="B1087">
        <f t="shared" si="146"/>
        <v>10</v>
      </c>
      <c r="C1087">
        <f t="shared" si="145"/>
        <v>43</v>
      </c>
      <c r="D1087">
        <f t="shared" si="145"/>
        <v>54</v>
      </c>
      <c r="E1087">
        <f t="shared" si="145"/>
        <v>80</v>
      </c>
      <c r="F1087">
        <f t="shared" si="145"/>
        <v>124</v>
      </c>
      <c r="G1087">
        <f t="shared" si="145"/>
        <v>145</v>
      </c>
      <c r="H1087">
        <f t="shared" si="145"/>
        <v>177</v>
      </c>
      <c r="I1087">
        <f t="shared" si="145"/>
        <v>199</v>
      </c>
      <c r="J1087">
        <f t="shared" si="145"/>
        <v>232</v>
      </c>
      <c r="K1087">
        <f t="shared" si="145"/>
        <v>252</v>
      </c>
      <c r="L1087">
        <f t="shared" si="145"/>
        <v>283</v>
      </c>
      <c r="M1087">
        <f t="shared" si="145"/>
        <v>298</v>
      </c>
      <c r="N1087">
        <f t="shared" si="145"/>
        <v>310</v>
      </c>
      <c r="O1087">
        <f t="shared" si="144"/>
        <v>335</v>
      </c>
      <c r="P1087">
        <f t="shared" si="144"/>
        <v>353</v>
      </c>
      <c r="Q1087">
        <f t="shared" si="144"/>
        <v>379</v>
      </c>
      <c r="S1087" t="str">
        <f t="shared" si="147"/>
        <v>08.12.2025</v>
      </c>
      <c r="T1087" t="str">
        <f t="shared" si="148"/>
        <v>02:15:00</v>
      </c>
      <c r="U1087" t="str">
        <f t="shared" si="141"/>
        <v>08.12.2025 02:15:00</v>
      </c>
      <c r="V1087" s="9" t="str">
        <f>MID($A1087,C1087+C$2+1,D1087-C1087-C$2-1)</f>
        <v>0</v>
      </c>
      <c r="W1087" s="4">
        <f>VALUE(SUBSTITUTE(MID($A1087,D1087+D$2+1,E1087-D1087-D$2-1),",","."))</f>
        <v>0</v>
      </c>
      <c r="X1087" s="4">
        <f>VALUE(SUBSTITUTE(MID($A1087,E1087+E$2+1,F1087-E1087-E$2-1),",","."))</f>
        <v>0.90957602214449496</v>
      </c>
      <c r="Y1087" s="4">
        <f>VALUE(SUBSTITUTE(MID($A1087,F1087+F$2+1,G1087-F1087-F$2-1),",","."))</f>
        <v>0</v>
      </c>
      <c r="Z1087" s="3">
        <f>VALUE(SUBSTITUTE(MID($A1087,G1087+G$2+1,H1087-G1087-G$2-1),",","."))</f>
        <v>0</v>
      </c>
      <c r="AA1087" s="3">
        <f>VALUE(SUBSTITUTE(MID($A1087,H1087+H$2+1,I1087-H1087-H$2-1),",","."))</f>
        <v>0</v>
      </c>
      <c r="AB1087" s="3">
        <f>VALUE(SUBSTITUTE(MID($A1087,I1087+I$2+1,J1087-I1087-I$2-1),",","."))</f>
        <v>0</v>
      </c>
      <c r="AC1087" s="3">
        <f>VALUE(SUBSTITUTE(MID($A1087,J1087+J$2+1,K1087-J1087-J$2-1),",","."))</f>
        <v>-2.2999999999999998</v>
      </c>
      <c r="AD1087" s="3">
        <f>VALUE(SUBSTITUTE(MID($A1087,K1087+K$2+1,L1087-K1087-K$2-1),",","."))</f>
        <v>6.66</v>
      </c>
      <c r="AE1087" s="3">
        <f>VALUE(SUBSTITUTE(MID($A1087,L1087+L$2+1,M1087-L1087-L$2-1),",","."))</f>
        <v>0</v>
      </c>
      <c r="AF1087" s="3">
        <f>VALUE(SUBSTITUTE(MID($A1087,M1087+M$2+1,N1087-M1087-M$2-1),",","."))</f>
        <v>0</v>
      </c>
      <c r="AG1087" s="3">
        <f>VALUE(SUBSTITUTE(MID($A1087,N1087+N$2+1,O1087-N1087-N$2-1),",","."))</f>
        <v>4.2343763033588804</v>
      </c>
      <c r="AH1087" t="str">
        <f>MID($A1087,O1087+O$2+1,P1087-O1087-O$2-1)</f>
        <v/>
      </c>
      <c r="AI1087" s="8" t="str">
        <f>MID($A1087,P1087+P$2+1,Q1087-P1087-P$2-1)</f>
        <v>False</v>
      </c>
      <c r="AK1087" t="b">
        <f t="shared" si="142"/>
        <v>0</v>
      </c>
    </row>
    <row r="1088" spans="1:37" x14ac:dyDescent="0.35">
      <c r="A1088" t="s">
        <v>5635</v>
      </c>
      <c r="B1088">
        <f t="shared" si="146"/>
        <v>10</v>
      </c>
      <c r="C1088">
        <f t="shared" si="145"/>
        <v>43</v>
      </c>
      <c r="D1088">
        <f t="shared" si="145"/>
        <v>54</v>
      </c>
      <c r="E1088">
        <f t="shared" si="145"/>
        <v>80</v>
      </c>
      <c r="F1088">
        <f t="shared" si="145"/>
        <v>124</v>
      </c>
      <c r="G1088">
        <f t="shared" si="145"/>
        <v>145</v>
      </c>
      <c r="H1088">
        <f t="shared" si="145"/>
        <v>177</v>
      </c>
      <c r="I1088">
        <f t="shared" si="145"/>
        <v>199</v>
      </c>
      <c r="J1088">
        <f t="shared" si="145"/>
        <v>232</v>
      </c>
      <c r="K1088">
        <f t="shared" si="145"/>
        <v>252</v>
      </c>
      <c r="L1088">
        <f t="shared" si="145"/>
        <v>267</v>
      </c>
      <c r="M1088">
        <f t="shared" si="145"/>
        <v>282</v>
      </c>
      <c r="N1088">
        <f t="shared" si="145"/>
        <v>294</v>
      </c>
      <c r="O1088">
        <f t="shared" si="144"/>
        <v>319</v>
      </c>
      <c r="P1088">
        <f t="shared" si="144"/>
        <v>337</v>
      </c>
      <c r="Q1088">
        <f t="shared" si="144"/>
        <v>363</v>
      </c>
      <c r="S1088" t="str">
        <f t="shared" si="147"/>
        <v>08.12.2025</v>
      </c>
      <c r="T1088" t="str">
        <f t="shared" si="148"/>
        <v>02:30:00</v>
      </c>
      <c r="U1088" t="str">
        <f t="shared" si="141"/>
        <v>08.12.2025 02:30:00</v>
      </c>
      <c r="V1088" s="9" t="str">
        <f>MID($A1088,C1088+C$2+1,D1088-C1088-C$2-1)</f>
        <v>0</v>
      </c>
      <c r="W1088" s="4">
        <f>VALUE(SUBSTITUTE(MID($A1088,D1088+D$2+1,E1088-D1088-D$2-1),",","."))</f>
        <v>0</v>
      </c>
      <c r="X1088" s="4">
        <f>VALUE(SUBSTITUTE(MID($A1088,E1088+E$2+1,F1088-E1088-E$2-1),",","."))</f>
        <v>0.90957602214449496</v>
      </c>
      <c r="Y1088" s="4">
        <f>VALUE(SUBSTITUTE(MID($A1088,F1088+F$2+1,G1088-F1088-F$2-1),",","."))</f>
        <v>0</v>
      </c>
      <c r="Z1088" s="3">
        <f>VALUE(SUBSTITUTE(MID($A1088,G1088+G$2+1,H1088-G1088-G$2-1),",","."))</f>
        <v>0</v>
      </c>
      <c r="AA1088" s="3">
        <f>VALUE(SUBSTITUTE(MID($A1088,H1088+H$2+1,I1088-H1088-H$2-1),",","."))</f>
        <v>0</v>
      </c>
      <c r="AB1088" s="3">
        <f>VALUE(SUBSTITUTE(MID($A1088,I1088+I$2+1,J1088-I1088-I$2-1),",","."))</f>
        <v>0</v>
      </c>
      <c r="AC1088" s="3">
        <f>VALUE(SUBSTITUTE(MID($A1088,J1088+J$2+1,K1088-J1088-J$2-1),",","."))</f>
        <v>-2.2999999999999998</v>
      </c>
      <c r="AD1088" s="3">
        <f>VALUE(SUBSTITUTE(MID($A1088,K1088+K$2+1,L1088-K1088-K$2-1),",","."))</f>
        <v>9</v>
      </c>
      <c r="AE1088" s="3">
        <f>VALUE(SUBSTITUTE(MID($A1088,L1088+L$2+1,M1088-L1088-L$2-1),",","."))</f>
        <v>0</v>
      </c>
      <c r="AF1088" s="3">
        <f>VALUE(SUBSTITUTE(MID($A1088,M1088+M$2+1,N1088-M1088-M$2-1),",","."))</f>
        <v>0</v>
      </c>
      <c r="AG1088" s="3">
        <f>VALUE(SUBSTITUTE(MID($A1088,N1088+N$2+1,O1088-N1088-N$2-1),",","."))</f>
        <v>4.23440482324696</v>
      </c>
      <c r="AH1088" t="str">
        <f>MID($A1088,O1088+O$2+1,P1088-O1088-O$2-1)</f>
        <v/>
      </c>
      <c r="AI1088" s="8" t="str">
        <f>MID($A1088,P1088+P$2+1,Q1088-P1088-P$2-1)</f>
        <v>False</v>
      </c>
      <c r="AK1088" t="b">
        <f t="shared" si="142"/>
        <v>0</v>
      </c>
    </row>
    <row r="1089" spans="1:37" x14ac:dyDescent="0.35">
      <c r="A1089" t="s">
        <v>5636</v>
      </c>
      <c r="B1089">
        <f t="shared" si="146"/>
        <v>10</v>
      </c>
      <c r="C1089">
        <f t="shared" si="145"/>
        <v>43</v>
      </c>
      <c r="D1089">
        <f t="shared" si="145"/>
        <v>54</v>
      </c>
      <c r="E1089">
        <f t="shared" si="145"/>
        <v>80</v>
      </c>
      <c r="F1089">
        <f t="shared" si="145"/>
        <v>124</v>
      </c>
      <c r="G1089">
        <f t="shared" si="145"/>
        <v>145</v>
      </c>
      <c r="H1089">
        <f t="shared" si="145"/>
        <v>177</v>
      </c>
      <c r="I1089">
        <f t="shared" si="145"/>
        <v>199</v>
      </c>
      <c r="J1089">
        <f t="shared" si="145"/>
        <v>232</v>
      </c>
      <c r="K1089">
        <f t="shared" si="145"/>
        <v>252</v>
      </c>
      <c r="L1089">
        <f t="shared" si="145"/>
        <v>267</v>
      </c>
      <c r="M1089">
        <f t="shared" si="145"/>
        <v>282</v>
      </c>
      <c r="N1089">
        <f t="shared" si="145"/>
        <v>294</v>
      </c>
      <c r="O1089">
        <f t="shared" si="144"/>
        <v>320</v>
      </c>
      <c r="P1089">
        <f t="shared" si="144"/>
        <v>338</v>
      </c>
      <c r="Q1089">
        <f t="shared" si="144"/>
        <v>364</v>
      </c>
      <c r="S1089" t="str">
        <f t="shared" si="147"/>
        <v>08.12.2025</v>
      </c>
      <c r="T1089" t="str">
        <f t="shared" si="148"/>
        <v>02:45:00</v>
      </c>
      <c r="U1089" t="str">
        <f t="shared" si="141"/>
        <v>08.12.2025 02:45:00</v>
      </c>
      <c r="V1089" s="9" t="str">
        <f>MID($A1089,C1089+C$2+1,D1089-C1089-C$2-1)</f>
        <v>0</v>
      </c>
      <c r="W1089" s="4">
        <f>VALUE(SUBSTITUTE(MID($A1089,D1089+D$2+1,E1089-D1089-D$2-1),",","."))</f>
        <v>0</v>
      </c>
      <c r="X1089" s="4">
        <f>VALUE(SUBSTITUTE(MID($A1089,E1089+E$2+1,F1089-E1089-E$2-1),",","."))</f>
        <v>0.90957602214449496</v>
      </c>
      <c r="Y1089" s="4">
        <f>VALUE(SUBSTITUTE(MID($A1089,F1089+F$2+1,G1089-F1089-F$2-1),",","."))</f>
        <v>0</v>
      </c>
      <c r="Z1089" s="3">
        <f>VALUE(SUBSTITUTE(MID($A1089,G1089+G$2+1,H1089-G1089-G$2-1),",","."))</f>
        <v>0</v>
      </c>
      <c r="AA1089" s="3">
        <f>VALUE(SUBSTITUTE(MID($A1089,H1089+H$2+1,I1089-H1089-H$2-1),",","."))</f>
        <v>0</v>
      </c>
      <c r="AB1089" s="3">
        <f>VALUE(SUBSTITUTE(MID($A1089,I1089+I$2+1,J1089-I1089-I$2-1),",","."))</f>
        <v>0</v>
      </c>
      <c r="AC1089" s="3">
        <f>VALUE(SUBSTITUTE(MID($A1089,J1089+J$2+1,K1089-J1089-J$2-1),",","."))</f>
        <v>-2.2999999999999998</v>
      </c>
      <c r="AD1089" s="3">
        <f>VALUE(SUBSTITUTE(MID($A1089,K1089+K$2+1,L1089-K1089-K$2-1),",","."))</f>
        <v>9</v>
      </c>
      <c r="AE1089" s="3">
        <f>VALUE(SUBSTITUTE(MID($A1089,L1089+L$2+1,M1089-L1089-L$2-1),",","."))</f>
        <v>0</v>
      </c>
      <c r="AF1089" s="3">
        <f>VALUE(SUBSTITUTE(MID($A1089,M1089+M$2+1,N1089-M1089-M$2-1),",","."))</f>
        <v>0</v>
      </c>
      <c r="AG1089" s="3">
        <f>VALUE(SUBSTITUTE(MID($A1089,N1089+N$2+1,O1089-N1089-N$2-1),",","."))</f>
        <v>4.2344333431350396</v>
      </c>
      <c r="AH1089" t="str">
        <f>MID($A1089,O1089+O$2+1,P1089-O1089-O$2-1)</f>
        <v/>
      </c>
      <c r="AI1089" s="8" t="str">
        <f>MID($A1089,P1089+P$2+1,Q1089-P1089-P$2-1)</f>
        <v>False</v>
      </c>
      <c r="AK1089" t="b">
        <f t="shared" si="142"/>
        <v>0</v>
      </c>
    </row>
    <row r="1090" spans="1:37" x14ac:dyDescent="0.35">
      <c r="A1090" t="s">
        <v>5637</v>
      </c>
      <c r="B1090">
        <f t="shared" si="146"/>
        <v>10</v>
      </c>
      <c r="C1090">
        <f t="shared" si="145"/>
        <v>43</v>
      </c>
      <c r="D1090">
        <f t="shared" si="145"/>
        <v>54</v>
      </c>
      <c r="E1090">
        <f t="shared" si="145"/>
        <v>80</v>
      </c>
      <c r="F1090">
        <f t="shared" si="145"/>
        <v>124</v>
      </c>
      <c r="G1090">
        <f t="shared" si="145"/>
        <v>145</v>
      </c>
      <c r="H1090">
        <f t="shared" si="145"/>
        <v>177</v>
      </c>
      <c r="I1090">
        <f t="shared" si="145"/>
        <v>199</v>
      </c>
      <c r="J1090">
        <f t="shared" si="145"/>
        <v>232</v>
      </c>
      <c r="K1090">
        <f t="shared" si="145"/>
        <v>252</v>
      </c>
      <c r="L1090">
        <f t="shared" si="145"/>
        <v>267</v>
      </c>
      <c r="M1090">
        <f t="shared" si="145"/>
        <v>282</v>
      </c>
      <c r="N1090">
        <f t="shared" si="145"/>
        <v>294</v>
      </c>
      <c r="O1090">
        <f t="shared" si="144"/>
        <v>318</v>
      </c>
      <c r="P1090">
        <f t="shared" si="144"/>
        <v>336</v>
      </c>
      <c r="Q1090">
        <f t="shared" si="144"/>
        <v>362</v>
      </c>
      <c r="S1090" t="str">
        <f t="shared" si="147"/>
        <v>08.12.2025</v>
      </c>
      <c r="T1090" t="str">
        <f t="shared" si="148"/>
        <v>03:00:00</v>
      </c>
      <c r="U1090" t="str">
        <f t="shared" si="141"/>
        <v>08.12.2025 03:00:00</v>
      </c>
      <c r="V1090" s="9" t="str">
        <f>MID($A1090,C1090+C$2+1,D1090-C1090-C$2-1)</f>
        <v>0</v>
      </c>
      <c r="W1090" s="4">
        <f>VALUE(SUBSTITUTE(MID($A1090,D1090+D$2+1,E1090-D1090-D$2-1),",","."))</f>
        <v>0</v>
      </c>
      <c r="X1090" s="4">
        <f>VALUE(SUBSTITUTE(MID($A1090,E1090+E$2+1,F1090-E1090-E$2-1),",","."))</f>
        <v>0.90957602214449496</v>
      </c>
      <c r="Y1090" s="4">
        <f>VALUE(SUBSTITUTE(MID($A1090,F1090+F$2+1,G1090-F1090-F$2-1),",","."))</f>
        <v>0</v>
      </c>
      <c r="Z1090" s="3">
        <f>VALUE(SUBSTITUTE(MID($A1090,G1090+G$2+1,H1090-G1090-G$2-1),",","."))</f>
        <v>0</v>
      </c>
      <c r="AA1090" s="3">
        <f>VALUE(SUBSTITUTE(MID($A1090,H1090+H$2+1,I1090-H1090-H$2-1),",","."))</f>
        <v>0</v>
      </c>
      <c r="AB1090" s="3">
        <f>VALUE(SUBSTITUTE(MID($A1090,I1090+I$2+1,J1090-I1090-I$2-1),",","."))</f>
        <v>0</v>
      </c>
      <c r="AC1090" s="3">
        <f>VALUE(SUBSTITUTE(MID($A1090,J1090+J$2+1,K1090-J1090-J$2-1),",","."))</f>
        <v>-2.2999999999999998</v>
      </c>
      <c r="AD1090" s="3">
        <f>VALUE(SUBSTITUTE(MID($A1090,K1090+K$2+1,L1090-K1090-K$2-1),",","."))</f>
        <v>9</v>
      </c>
      <c r="AE1090" s="3">
        <f>VALUE(SUBSTITUTE(MID($A1090,L1090+L$2+1,M1090-L1090-L$2-1),",","."))</f>
        <v>0</v>
      </c>
      <c r="AF1090" s="3">
        <f>VALUE(SUBSTITUTE(MID($A1090,M1090+M$2+1,N1090-M1090-M$2-1),",","."))</f>
        <v>0</v>
      </c>
      <c r="AG1090" s="3">
        <f>VALUE(SUBSTITUTE(MID($A1090,N1090+N$2+1,O1090-N1090-N$2-1),",","."))</f>
        <v>4.2344618630231299</v>
      </c>
      <c r="AH1090" t="str">
        <f>MID($A1090,O1090+O$2+1,P1090-O1090-O$2-1)</f>
        <v/>
      </c>
      <c r="AI1090" s="8" t="str">
        <f>MID($A1090,P1090+P$2+1,Q1090-P1090-P$2-1)</f>
        <v>False</v>
      </c>
      <c r="AK1090" t="b">
        <f t="shared" si="142"/>
        <v>0</v>
      </c>
    </row>
    <row r="1091" spans="1:37" x14ac:dyDescent="0.35">
      <c r="A1091" t="s">
        <v>5638</v>
      </c>
      <c r="B1091">
        <f t="shared" si="146"/>
        <v>10</v>
      </c>
      <c r="C1091">
        <f t="shared" si="145"/>
        <v>43</v>
      </c>
      <c r="D1091">
        <f t="shared" si="145"/>
        <v>54</v>
      </c>
      <c r="E1091">
        <f t="shared" si="145"/>
        <v>80</v>
      </c>
      <c r="F1091">
        <f t="shared" si="145"/>
        <v>124</v>
      </c>
      <c r="G1091">
        <f t="shared" si="145"/>
        <v>145</v>
      </c>
      <c r="H1091">
        <f t="shared" si="145"/>
        <v>177</v>
      </c>
      <c r="I1091">
        <f t="shared" si="145"/>
        <v>199</v>
      </c>
      <c r="J1091">
        <f t="shared" si="145"/>
        <v>232</v>
      </c>
      <c r="K1091">
        <f t="shared" si="145"/>
        <v>252</v>
      </c>
      <c r="L1091">
        <f t="shared" si="145"/>
        <v>267</v>
      </c>
      <c r="M1091">
        <f t="shared" si="145"/>
        <v>282</v>
      </c>
      <c r="N1091">
        <f t="shared" si="145"/>
        <v>294</v>
      </c>
      <c r="O1091">
        <f t="shared" si="144"/>
        <v>319</v>
      </c>
      <c r="P1091">
        <f t="shared" si="144"/>
        <v>337</v>
      </c>
      <c r="Q1091">
        <f t="shared" si="144"/>
        <v>363</v>
      </c>
      <c r="S1091" t="str">
        <f t="shared" si="147"/>
        <v>08.12.2025</v>
      </c>
      <c r="T1091" t="str">
        <f t="shared" si="148"/>
        <v>03:15:00</v>
      </c>
      <c r="U1091" t="str">
        <f t="shared" si="141"/>
        <v>08.12.2025 03:15:00</v>
      </c>
      <c r="V1091" s="9" t="str">
        <f>MID($A1091,C1091+C$2+1,D1091-C1091-C$2-1)</f>
        <v>0</v>
      </c>
      <c r="W1091" s="4">
        <f>VALUE(SUBSTITUTE(MID($A1091,D1091+D$2+1,E1091-D1091-D$2-1),",","."))</f>
        <v>0</v>
      </c>
      <c r="X1091" s="4">
        <f>VALUE(SUBSTITUTE(MID($A1091,E1091+E$2+1,F1091-E1091-E$2-1),",","."))</f>
        <v>0.90957602214449496</v>
      </c>
      <c r="Y1091" s="4">
        <f>VALUE(SUBSTITUTE(MID($A1091,F1091+F$2+1,G1091-F1091-F$2-1),",","."))</f>
        <v>0</v>
      </c>
      <c r="Z1091" s="3">
        <f>VALUE(SUBSTITUTE(MID($A1091,G1091+G$2+1,H1091-G1091-G$2-1),",","."))</f>
        <v>0</v>
      </c>
      <c r="AA1091" s="3">
        <f>VALUE(SUBSTITUTE(MID($A1091,H1091+H$2+1,I1091-H1091-H$2-1),",","."))</f>
        <v>0</v>
      </c>
      <c r="AB1091" s="3">
        <f>VALUE(SUBSTITUTE(MID($A1091,I1091+I$2+1,J1091-I1091-I$2-1),",","."))</f>
        <v>0</v>
      </c>
      <c r="AC1091" s="3">
        <f>VALUE(SUBSTITUTE(MID($A1091,J1091+J$2+1,K1091-J1091-J$2-1),",","."))</f>
        <v>-2.2999999999999998</v>
      </c>
      <c r="AD1091" s="3">
        <f>VALUE(SUBSTITUTE(MID($A1091,K1091+K$2+1,L1091-K1091-K$2-1),",","."))</f>
        <v>9</v>
      </c>
      <c r="AE1091" s="3">
        <f>VALUE(SUBSTITUTE(MID($A1091,L1091+L$2+1,M1091-L1091-L$2-1),",","."))</f>
        <v>0</v>
      </c>
      <c r="AF1091" s="3">
        <f>VALUE(SUBSTITUTE(MID($A1091,M1091+M$2+1,N1091-M1091-M$2-1),",","."))</f>
        <v>0</v>
      </c>
      <c r="AG1091" s="3">
        <f>VALUE(SUBSTITUTE(MID($A1091,N1091+N$2+1,O1091-N1091-N$2-1),",","."))</f>
        <v>4.2344903829112104</v>
      </c>
      <c r="AH1091" t="str">
        <f>MID($A1091,O1091+O$2+1,P1091-O1091-O$2-1)</f>
        <v/>
      </c>
      <c r="AI1091" s="8" t="str">
        <f>MID($A1091,P1091+P$2+1,Q1091-P1091-P$2-1)</f>
        <v>False</v>
      </c>
      <c r="AK1091" t="b">
        <f t="shared" si="142"/>
        <v>0</v>
      </c>
    </row>
    <row r="1092" spans="1:37" x14ac:dyDescent="0.35">
      <c r="A1092" t="s">
        <v>5639</v>
      </c>
      <c r="B1092">
        <f t="shared" si="146"/>
        <v>10</v>
      </c>
      <c r="C1092">
        <f t="shared" si="145"/>
        <v>43</v>
      </c>
      <c r="D1092">
        <f t="shared" si="145"/>
        <v>54</v>
      </c>
      <c r="E1092">
        <f t="shared" si="145"/>
        <v>80</v>
      </c>
      <c r="F1092">
        <f t="shared" si="145"/>
        <v>124</v>
      </c>
      <c r="G1092">
        <f t="shared" ref="G1092:N1123" si="149">FIND(G$1,$A1092)</f>
        <v>145</v>
      </c>
      <c r="H1092">
        <f t="shared" si="149"/>
        <v>177</v>
      </c>
      <c r="I1092">
        <f t="shared" si="149"/>
        <v>199</v>
      </c>
      <c r="J1092">
        <f t="shared" si="149"/>
        <v>232</v>
      </c>
      <c r="K1092">
        <f t="shared" si="149"/>
        <v>253</v>
      </c>
      <c r="L1092">
        <f t="shared" si="149"/>
        <v>285</v>
      </c>
      <c r="M1092">
        <f t="shared" si="149"/>
        <v>300</v>
      </c>
      <c r="N1092">
        <f t="shared" si="149"/>
        <v>312</v>
      </c>
      <c r="O1092">
        <f t="shared" si="144"/>
        <v>337</v>
      </c>
      <c r="P1092">
        <f t="shared" si="144"/>
        <v>355</v>
      </c>
      <c r="Q1092">
        <f t="shared" si="144"/>
        <v>381</v>
      </c>
      <c r="S1092" t="str">
        <f t="shared" si="147"/>
        <v>08.12.2025</v>
      </c>
      <c r="T1092" t="str">
        <f t="shared" si="148"/>
        <v>03:30:00</v>
      </c>
      <c r="U1092" t="str">
        <f t="shared" ref="U1092:U1155" si="150">MID($A1092,B1092+B$2+1,C1092-B1092-B$2-1)</f>
        <v>08.12.2025 03:30:00</v>
      </c>
      <c r="V1092" s="9" t="str">
        <f>MID($A1092,C1092+C$2+1,D1092-C1092-C$2-1)</f>
        <v>0</v>
      </c>
      <c r="W1092" s="4">
        <f>VALUE(SUBSTITUTE(MID($A1092,D1092+D$2+1,E1092-D1092-D$2-1),",","."))</f>
        <v>0</v>
      </c>
      <c r="X1092" s="4">
        <f>VALUE(SUBSTITUTE(MID($A1092,E1092+E$2+1,F1092-E1092-E$2-1),",","."))</f>
        <v>0.90957602214449496</v>
      </c>
      <c r="Y1092" s="4">
        <f>VALUE(SUBSTITUTE(MID($A1092,F1092+F$2+1,G1092-F1092-F$2-1),",","."))</f>
        <v>0</v>
      </c>
      <c r="Z1092" s="3">
        <f>VALUE(SUBSTITUTE(MID($A1092,G1092+G$2+1,H1092-G1092-G$2-1),",","."))</f>
        <v>0</v>
      </c>
      <c r="AA1092" s="3">
        <f>VALUE(SUBSTITUTE(MID($A1092,H1092+H$2+1,I1092-H1092-H$2-1),",","."))</f>
        <v>0</v>
      </c>
      <c r="AB1092" s="3">
        <f>VALUE(SUBSTITUTE(MID($A1092,I1092+I$2+1,J1092-I1092-I$2-1),",","."))</f>
        <v>0</v>
      </c>
      <c r="AC1092" s="3">
        <f>VALUE(SUBSTITUTE(MID($A1092,J1092+J$2+1,K1092-J1092-J$2-1),",","."))</f>
        <v>-2.25</v>
      </c>
      <c r="AD1092" s="3">
        <f>VALUE(SUBSTITUTE(MID($A1092,K1092+K$2+1,L1092-K1092-K$2-1),",","."))</f>
        <v>10.26</v>
      </c>
      <c r="AE1092" s="3">
        <f>VALUE(SUBSTITUTE(MID($A1092,L1092+L$2+1,M1092-L1092-L$2-1),",","."))</f>
        <v>0</v>
      </c>
      <c r="AF1092" s="3">
        <f>VALUE(SUBSTITUTE(MID($A1092,M1092+M$2+1,N1092-M1092-M$2-1),",","."))</f>
        <v>0</v>
      </c>
      <c r="AG1092" s="3">
        <f>VALUE(SUBSTITUTE(MID($A1092,N1092+N$2+1,O1092-N1092-N$2-1),",","."))</f>
        <v>4.23451890279929</v>
      </c>
      <c r="AH1092" t="str">
        <f>MID($A1092,O1092+O$2+1,P1092-O1092-O$2-1)</f>
        <v/>
      </c>
      <c r="AI1092" s="8" t="str">
        <f>MID($A1092,P1092+P$2+1,Q1092-P1092-P$2-1)</f>
        <v>False</v>
      </c>
      <c r="AK1092" t="b">
        <f t="shared" ref="AK1092:AK1155" si="151">AB1092&gt;Z1092</f>
        <v>0</v>
      </c>
    </row>
    <row r="1093" spans="1:37" x14ac:dyDescent="0.35">
      <c r="A1093" t="s">
        <v>5640</v>
      </c>
      <c r="B1093">
        <f t="shared" si="146"/>
        <v>10</v>
      </c>
      <c r="C1093">
        <f t="shared" si="146"/>
        <v>43</v>
      </c>
      <c r="D1093">
        <f t="shared" si="146"/>
        <v>54</v>
      </c>
      <c r="E1093">
        <f t="shared" si="146"/>
        <v>80</v>
      </c>
      <c r="F1093">
        <f t="shared" si="146"/>
        <v>124</v>
      </c>
      <c r="G1093">
        <f t="shared" si="149"/>
        <v>145</v>
      </c>
      <c r="H1093">
        <f t="shared" si="149"/>
        <v>177</v>
      </c>
      <c r="I1093">
        <f t="shared" si="149"/>
        <v>199</v>
      </c>
      <c r="J1093">
        <f t="shared" si="149"/>
        <v>232</v>
      </c>
      <c r="K1093">
        <f t="shared" si="149"/>
        <v>253</v>
      </c>
      <c r="L1093">
        <f t="shared" si="149"/>
        <v>285</v>
      </c>
      <c r="M1093">
        <f t="shared" si="149"/>
        <v>300</v>
      </c>
      <c r="N1093">
        <f t="shared" si="149"/>
        <v>312</v>
      </c>
      <c r="O1093">
        <f t="shared" si="144"/>
        <v>337</v>
      </c>
      <c r="P1093">
        <f t="shared" si="144"/>
        <v>355</v>
      </c>
      <c r="Q1093">
        <f t="shared" si="144"/>
        <v>381</v>
      </c>
      <c r="S1093" t="str">
        <f t="shared" si="147"/>
        <v>08.12.2025</v>
      </c>
      <c r="T1093" t="str">
        <f t="shared" si="148"/>
        <v>03:45:00</v>
      </c>
      <c r="U1093" t="str">
        <f t="shared" si="150"/>
        <v>08.12.2025 03:45:00</v>
      </c>
      <c r="V1093" s="9" t="str">
        <f>MID($A1093,C1093+C$2+1,D1093-C1093-C$2-1)</f>
        <v>0</v>
      </c>
      <c r="W1093" s="4">
        <f>VALUE(SUBSTITUTE(MID($A1093,D1093+D$2+1,E1093-D1093-D$2-1),",","."))</f>
        <v>0</v>
      </c>
      <c r="X1093" s="4">
        <f>VALUE(SUBSTITUTE(MID($A1093,E1093+E$2+1,F1093-E1093-E$2-1),",","."))</f>
        <v>0.90957602214449496</v>
      </c>
      <c r="Y1093" s="4">
        <f>VALUE(SUBSTITUTE(MID($A1093,F1093+F$2+1,G1093-F1093-F$2-1),",","."))</f>
        <v>0</v>
      </c>
      <c r="Z1093" s="3">
        <f>VALUE(SUBSTITUTE(MID($A1093,G1093+G$2+1,H1093-G1093-G$2-1),",","."))</f>
        <v>0</v>
      </c>
      <c r="AA1093" s="3">
        <f>VALUE(SUBSTITUTE(MID($A1093,H1093+H$2+1,I1093-H1093-H$2-1),",","."))</f>
        <v>0</v>
      </c>
      <c r="AB1093" s="3">
        <f>VALUE(SUBSTITUTE(MID($A1093,I1093+I$2+1,J1093-I1093-I$2-1),",","."))</f>
        <v>0</v>
      </c>
      <c r="AC1093" s="3">
        <f>VALUE(SUBSTITUTE(MID($A1093,J1093+J$2+1,K1093-J1093-J$2-1),",","."))</f>
        <v>-2.25</v>
      </c>
      <c r="AD1093" s="3">
        <f>VALUE(SUBSTITUTE(MID($A1093,K1093+K$2+1,L1093-K1093-K$2-1),",","."))</f>
        <v>10.26</v>
      </c>
      <c r="AE1093" s="3">
        <f>VALUE(SUBSTITUTE(MID($A1093,L1093+L$2+1,M1093-L1093-L$2-1),",","."))</f>
        <v>0</v>
      </c>
      <c r="AF1093" s="3">
        <f>VALUE(SUBSTITUTE(MID($A1093,M1093+M$2+1,N1093-M1093-M$2-1),",","."))</f>
        <v>0</v>
      </c>
      <c r="AG1093" s="3">
        <f>VALUE(SUBSTITUTE(MID($A1093,N1093+N$2+1,O1093-N1093-N$2-1),",","."))</f>
        <v>4.2345474226873696</v>
      </c>
      <c r="AH1093" t="str">
        <f>MID($A1093,O1093+O$2+1,P1093-O1093-O$2-1)</f>
        <v/>
      </c>
      <c r="AI1093" s="8" t="str">
        <f>MID($A1093,P1093+P$2+1,Q1093-P1093-P$2-1)</f>
        <v>False</v>
      </c>
      <c r="AK1093" t="b">
        <f t="shared" si="151"/>
        <v>0</v>
      </c>
    </row>
    <row r="1094" spans="1:37" x14ac:dyDescent="0.35">
      <c r="A1094" t="s">
        <v>5641</v>
      </c>
      <c r="B1094">
        <f t="shared" si="146"/>
        <v>10</v>
      </c>
      <c r="C1094">
        <f t="shared" si="146"/>
        <v>43</v>
      </c>
      <c r="D1094">
        <f t="shared" si="146"/>
        <v>54</v>
      </c>
      <c r="E1094">
        <f t="shared" si="146"/>
        <v>80</v>
      </c>
      <c r="F1094">
        <f t="shared" si="146"/>
        <v>124</v>
      </c>
      <c r="G1094">
        <f t="shared" si="149"/>
        <v>145</v>
      </c>
      <c r="H1094">
        <f t="shared" si="149"/>
        <v>177</v>
      </c>
      <c r="I1094">
        <f t="shared" si="149"/>
        <v>199</v>
      </c>
      <c r="J1094">
        <f t="shared" si="149"/>
        <v>232</v>
      </c>
      <c r="K1094">
        <f t="shared" si="149"/>
        <v>253</v>
      </c>
      <c r="L1094">
        <f t="shared" si="149"/>
        <v>285</v>
      </c>
      <c r="M1094">
        <f t="shared" si="149"/>
        <v>300</v>
      </c>
      <c r="N1094">
        <f t="shared" si="149"/>
        <v>312</v>
      </c>
      <c r="O1094">
        <f t="shared" si="144"/>
        <v>337</v>
      </c>
      <c r="P1094">
        <f t="shared" si="144"/>
        <v>355</v>
      </c>
      <c r="Q1094">
        <f t="shared" si="144"/>
        <v>381</v>
      </c>
      <c r="S1094" t="str">
        <f t="shared" si="147"/>
        <v>08.12.2025</v>
      </c>
      <c r="T1094" t="str">
        <f t="shared" si="148"/>
        <v>04:00:00</v>
      </c>
      <c r="U1094" t="str">
        <f t="shared" si="150"/>
        <v>08.12.2025 04:00:00</v>
      </c>
      <c r="V1094" s="9" t="str">
        <f>MID($A1094,C1094+C$2+1,D1094-C1094-C$2-1)</f>
        <v>0</v>
      </c>
      <c r="W1094" s="4">
        <f>VALUE(SUBSTITUTE(MID($A1094,D1094+D$2+1,E1094-D1094-D$2-1),",","."))</f>
        <v>0</v>
      </c>
      <c r="X1094" s="4">
        <f>VALUE(SUBSTITUTE(MID($A1094,E1094+E$2+1,F1094-E1094-E$2-1),",","."))</f>
        <v>0.90957602214449496</v>
      </c>
      <c r="Y1094" s="4">
        <f>VALUE(SUBSTITUTE(MID($A1094,F1094+F$2+1,G1094-F1094-F$2-1),",","."))</f>
        <v>0</v>
      </c>
      <c r="Z1094" s="3">
        <f>VALUE(SUBSTITUTE(MID($A1094,G1094+G$2+1,H1094-G1094-G$2-1),",","."))</f>
        <v>0</v>
      </c>
      <c r="AA1094" s="3">
        <f>VALUE(SUBSTITUTE(MID($A1094,H1094+H$2+1,I1094-H1094-H$2-1),",","."))</f>
        <v>0</v>
      </c>
      <c r="AB1094" s="3">
        <f>VALUE(SUBSTITUTE(MID($A1094,I1094+I$2+1,J1094-I1094-I$2-1),",","."))</f>
        <v>0</v>
      </c>
      <c r="AC1094" s="3">
        <f>VALUE(SUBSTITUTE(MID($A1094,J1094+J$2+1,K1094-J1094-J$2-1),",","."))</f>
        <v>-2.25</v>
      </c>
      <c r="AD1094" s="3">
        <f>VALUE(SUBSTITUTE(MID($A1094,K1094+K$2+1,L1094-K1094-K$2-1),",","."))</f>
        <v>10.26</v>
      </c>
      <c r="AE1094" s="3">
        <f>VALUE(SUBSTITUTE(MID($A1094,L1094+L$2+1,M1094-L1094-L$2-1),",","."))</f>
        <v>0</v>
      </c>
      <c r="AF1094" s="3">
        <f>VALUE(SUBSTITUTE(MID($A1094,M1094+M$2+1,N1094-M1094-M$2-1),",","."))</f>
        <v>0</v>
      </c>
      <c r="AG1094" s="3">
        <f>VALUE(SUBSTITUTE(MID($A1094,N1094+N$2+1,O1094-N1094-N$2-1),",","."))</f>
        <v>4.2345759425754501</v>
      </c>
      <c r="AH1094" t="str">
        <f>MID($A1094,O1094+O$2+1,P1094-O1094-O$2-1)</f>
        <v/>
      </c>
      <c r="AI1094" s="8" t="str">
        <f>MID($A1094,P1094+P$2+1,Q1094-P1094-P$2-1)</f>
        <v>False</v>
      </c>
      <c r="AK1094" t="b">
        <f t="shared" si="151"/>
        <v>0</v>
      </c>
    </row>
    <row r="1095" spans="1:37" x14ac:dyDescent="0.35">
      <c r="A1095" t="s">
        <v>5642</v>
      </c>
      <c r="B1095">
        <f t="shared" si="146"/>
        <v>10</v>
      </c>
      <c r="C1095">
        <f t="shared" si="146"/>
        <v>43</v>
      </c>
      <c r="D1095">
        <f t="shared" si="146"/>
        <v>54</v>
      </c>
      <c r="E1095">
        <f t="shared" si="146"/>
        <v>80</v>
      </c>
      <c r="F1095">
        <f t="shared" si="146"/>
        <v>124</v>
      </c>
      <c r="G1095">
        <f t="shared" si="149"/>
        <v>145</v>
      </c>
      <c r="H1095">
        <f t="shared" si="149"/>
        <v>177</v>
      </c>
      <c r="I1095">
        <f t="shared" si="149"/>
        <v>199</v>
      </c>
      <c r="J1095">
        <f t="shared" si="149"/>
        <v>232</v>
      </c>
      <c r="K1095">
        <f t="shared" si="149"/>
        <v>253</v>
      </c>
      <c r="L1095">
        <f t="shared" si="149"/>
        <v>285</v>
      </c>
      <c r="M1095">
        <f t="shared" si="149"/>
        <v>300</v>
      </c>
      <c r="N1095">
        <f t="shared" si="149"/>
        <v>312</v>
      </c>
      <c r="O1095">
        <f t="shared" si="144"/>
        <v>337</v>
      </c>
      <c r="P1095">
        <f t="shared" si="144"/>
        <v>355</v>
      </c>
      <c r="Q1095">
        <f t="shared" si="144"/>
        <v>381</v>
      </c>
      <c r="S1095" t="str">
        <f t="shared" si="147"/>
        <v>08.12.2025</v>
      </c>
      <c r="T1095" t="str">
        <f t="shared" si="148"/>
        <v>04:15:00</v>
      </c>
      <c r="U1095" t="str">
        <f t="shared" si="150"/>
        <v>08.12.2025 04:15:00</v>
      </c>
      <c r="V1095" s="9" t="str">
        <f>MID($A1095,C1095+C$2+1,D1095-C1095-C$2-1)</f>
        <v>0</v>
      </c>
      <c r="W1095" s="4">
        <f>VALUE(SUBSTITUTE(MID($A1095,D1095+D$2+1,E1095-D1095-D$2-1),",","."))</f>
        <v>0</v>
      </c>
      <c r="X1095" s="4">
        <f>VALUE(SUBSTITUTE(MID($A1095,E1095+E$2+1,F1095-E1095-E$2-1),",","."))</f>
        <v>0.90957602214449496</v>
      </c>
      <c r="Y1095" s="4">
        <f>VALUE(SUBSTITUTE(MID($A1095,F1095+F$2+1,G1095-F1095-F$2-1),",","."))</f>
        <v>0</v>
      </c>
      <c r="Z1095" s="3">
        <f>VALUE(SUBSTITUTE(MID($A1095,G1095+G$2+1,H1095-G1095-G$2-1),",","."))</f>
        <v>0</v>
      </c>
      <c r="AA1095" s="3">
        <f>VALUE(SUBSTITUTE(MID($A1095,H1095+H$2+1,I1095-H1095-H$2-1),",","."))</f>
        <v>0</v>
      </c>
      <c r="AB1095" s="3">
        <f>VALUE(SUBSTITUTE(MID($A1095,I1095+I$2+1,J1095-I1095-I$2-1),",","."))</f>
        <v>0</v>
      </c>
      <c r="AC1095" s="3">
        <f>VALUE(SUBSTITUTE(MID($A1095,J1095+J$2+1,K1095-J1095-J$2-1),",","."))</f>
        <v>-2.25</v>
      </c>
      <c r="AD1095" s="3">
        <f>VALUE(SUBSTITUTE(MID($A1095,K1095+K$2+1,L1095-K1095-K$2-1),",","."))</f>
        <v>10.26</v>
      </c>
      <c r="AE1095" s="3">
        <f>VALUE(SUBSTITUTE(MID($A1095,L1095+L$2+1,M1095-L1095-L$2-1),",","."))</f>
        <v>0</v>
      </c>
      <c r="AF1095" s="3">
        <f>VALUE(SUBSTITUTE(MID($A1095,M1095+M$2+1,N1095-M1095-M$2-1),",","."))</f>
        <v>0</v>
      </c>
      <c r="AG1095" s="3">
        <f>VALUE(SUBSTITUTE(MID($A1095,N1095+N$2+1,O1095-N1095-N$2-1),",","."))</f>
        <v>4.2346044624635297</v>
      </c>
      <c r="AH1095" t="str">
        <f>MID($A1095,O1095+O$2+1,P1095-O1095-O$2-1)</f>
        <v/>
      </c>
      <c r="AI1095" s="8" t="str">
        <f>MID($A1095,P1095+P$2+1,Q1095-P1095-P$2-1)</f>
        <v>False</v>
      </c>
      <c r="AK1095" t="b">
        <f t="shared" si="151"/>
        <v>0</v>
      </c>
    </row>
    <row r="1096" spans="1:37" x14ac:dyDescent="0.35">
      <c r="A1096" t="s">
        <v>5643</v>
      </c>
      <c r="B1096">
        <f t="shared" si="146"/>
        <v>10</v>
      </c>
      <c r="C1096">
        <f t="shared" si="146"/>
        <v>43</v>
      </c>
      <c r="D1096">
        <f t="shared" si="146"/>
        <v>54</v>
      </c>
      <c r="E1096">
        <f t="shared" si="146"/>
        <v>80</v>
      </c>
      <c r="F1096">
        <f t="shared" si="146"/>
        <v>124</v>
      </c>
      <c r="G1096">
        <f t="shared" si="149"/>
        <v>145</v>
      </c>
      <c r="H1096">
        <f t="shared" si="149"/>
        <v>177</v>
      </c>
      <c r="I1096">
        <f t="shared" si="149"/>
        <v>199</v>
      </c>
      <c r="J1096">
        <f t="shared" si="149"/>
        <v>232</v>
      </c>
      <c r="K1096">
        <f t="shared" si="149"/>
        <v>253</v>
      </c>
      <c r="L1096">
        <f t="shared" si="149"/>
        <v>285</v>
      </c>
      <c r="M1096">
        <f t="shared" si="149"/>
        <v>300</v>
      </c>
      <c r="N1096">
        <f t="shared" si="149"/>
        <v>312</v>
      </c>
      <c r="O1096">
        <f t="shared" si="144"/>
        <v>337</v>
      </c>
      <c r="P1096">
        <f t="shared" si="144"/>
        <v>355</v>
      </c>
      <c r="Q1096">
        <f t="shared" si="144"/>
        <v>381</v>
      </c>
      <c r="S1096" t="str">
        <f t="shared" si="147"/>
        <v>08.12.2025</v>
      </c>
      <c r="T1096" t="str">
        <f t="shared" si="148"/>
        <v>04:30:00</v>
      </c>
      <c r="U1096" t="str">
        <f t="shared" si="150"/>
        <v>08.12.2025 04:30:00</v>
      </c>
      <c r="V1096" s="9" t="str">
        <f>MID($A1096,C1096+C$2+1,D1096-C1096-C$2-1)</f>
        <v>0</v>
      </c>
      <c r="W1096" s="4">
        <f>VALUE(SUBSTITUTE(MID($A1096,D1096+D$2+1,E1096-D1096-D$2-1),",","."))</f>
        <v>0</v>
      </c>
      <c r="X1096" s="4">
        <f>VALUE(SUBSTITUTE(MID($A1096,E1096+E$2+1,F1096-E1096-E$2-1),",","."))</f>
        <v>0.90957602214449496</v>
      </c>
      <c r="Y1096" s="4">
        <f>VALUE(SUBSTITUTE(MID($A1096,F1096+F$2+1,G1096-F1096-F$2-1),",","."))</f>
        <v>0</v>
      </c>
      <c r="Z1096" s="3">
        <f>VALUE(SUBSTITUTE(MID($A1096,G1096+G$2+1,H1096-G1096-G$2-1),",","."))</f>
        <v>0</v>
      </c>
      <c r="AA1096" s="3">
        <f>VALUE(SUBSTITUTE(MID($A1096,H1096+H$2+1,I1096-H1096-H$2-1),",","."))</f>
        <v>0</v>
      </c>
      <c r="AB1096" s="3">
        <f>VALUE(SUBSTITUTE(MID($A1096,I1096+I$2+1,J1096-I1096-I$2-1),",","."))</f>
        <v>0</v>
      </c>
      <c r="AC1096" s="3">
        <f>VALUE(SUBSTITUTE(MID($A1096,J1096+J$2+1,K1096-J1096-J$2-1),",","."))</f>
        <v>-2.0499999999999998</v>
      </c>
      <c r="AD1096" s="3">
        <f>VALUE(SUBSTITUTE(MID($A1096,K1096+K$2+1,L1096-K1096-K$2-1),",","."))</f>
        <v>11.34</v>
      </c>
      <c r="AE1096" s="3">
        <f>VALUE(SUBSTITUTE(MID($A1096,L1096+L$2+1,M1096-L1096-L$2-1),",","."))</f>
        <v>0</v>
      </c>
      <c r="AF1096" s="3">
        <f>VALUE(SUBSTITUTE(MID($A1096,M1096+M$2+1,N1096-M1096-M$2-1),",","."))</f>
        <v>0</v>
      </c>
      <c r="AG1096" s="3">
        <f>VALUE(SUBSTITUTE(MID($A1096,N1096+N$2+1,O1096-N1096-N$2-1),",","."))</f>
        <v>4.2346329823516102</v>
      </c>
      <c r="AH1096" t="str">
        <f>MID($A1096,O1096+O$2+1,P1096-O1096-O$2-1)</f>
        <v/>
      </c>
      <c r="AI1096" s="8" t="str">
        <f>MID($A1096,P1096+P$2+1,Q1096-P1096-P$2-1)</f>
        <v>False</v>
      </c>
      <c r="AK1096" t="b">
        <f t="shared" si="151"/>
        <v>0</v>
      </c>
    </row>
    <row r="1097" spans="1:37" x14ac:dyDescent="0.35">
      <c r="A1097" t="s">
        <v>5644</v>
      </c>
      <c r="B1097">
        <f t="shared" si="146"/>
        <v>10</v>
      </c>
      <c r="C1097">
        <f t="shared" si="146"/>
        <v>43</v>
      </c>
      <c r="D1097">
        <f t="shared" si="146"/>
        <v>54</v>
      </c>
      <c r="E1097">
        <f t="shared" si="146"/>
        <v>80</v>
      </c>
      <c r="F1097">
        <f t="shared" si="146"/>
        <v>124</v>
      </c>
      <c r="G1097">
        <f t="shared" si="149"/>
        <v>145</v>
      </c>
      <c r="H1097">
        <f t="shared" si="149"/>
        <v>177</v>
      </c>
      <c r="I1097">
        <f t="shared" si="149"/>
        <v>199</v>
      </c>
      <c r="J1097">
        <f t="shared" si="149"/>
        <v>232</v>
      </c>
      <c r="K1097">
        <f t="shared" si="149"/>
        <v>253</v>
      </c>
      <c r="L1097">
        <f t="shared" si="149"/>
        <v>285</v>
      </c>
      <c r="M1097">
        <f t="shared" si="149"/>
        <v>300</v>
      </c>
      <c r="N1097">
        <f t="shared" si="149"/>
        <v>312</v>
      </c>
      <c r="O1097">
        <f t="shared" si="144"/>
        <v>338</v>
      </c>
      <c r="P1097">
        <f t="shared" si="144"/>
        <v>356</v>
      </c>
      <c r="Q1097">
        <f t="shared" si="144"/>
        <v>382</v>
      </c>
      <c r="S1097" t="str">
        <f t="shared" si="147"/>
        <v>08.12.2025</v>
      </c>
      <c r="T1097" t="str">
        <f t="shared" si="148"/>
        <v>04:45:00</v>
      </c>
      <c r="U1097" t="str">
        <f t="shared" si="150"/>
        <v>08.12.2025 04:45:00</v>
      </c>
      <c r="V1097" s="9" t="str">
        <f>MID($A1097,C1097+C$2+1,D1097-C1097-C$2-1)</f>
        <v>0</v>
      </c>
      <c r="W1097" s="4">
        <f>VALUE(SUBSTITUTE(MID($A1097,D1097+D$2+1,E1097-D1097-D$2-1),",","."))</f>
        <v>0</v>
      </c>
      <c r="X1097" s="4">
        <f>VALUE(SUBSTITUTE(MID($A1097,E1097+E$2+1,F1097-E1097-E$2-1),",","."))</f>
        <v>0.90957602214449496</v>
      </c>
      <c r="Y1097" s="4">
        <f>VALUE(SUBSTITUTE(MID($A1097,F1097+F$2+1,G1097-F1097-F$2-1),",","."))</f>
        <v>0</v>
      </c>
      <c r="Z1097" s="3">
        <f>VALUE(SUBSTITUTE(MID($A1097,G1097+G$2+1,H1097-G1097-G$2-1),",","."))</f>
        <v>0</v>
      </c>
      <c r="AA1097" s="3">
        <f>VALUE(SUBSTITUTE(MID($A1097,H1097+H$2+1,I1097-H1097-H$2-1),",","."))</f>
        <v>0</v>
      </c>
      <c r="AB1097" s="3">
        <f>VALUE(SUBSTITUTE(MID($A1097,I1097+I$2+1,J1097-I1097-I$2-1),",","."))</f>
        <v>0</v>
      </c>
      <c r="AC1097" s="3">
        <f>VALUE(SUBSTITUTE(MID($A1097,J1097+J$2+1,K1097-J1097-J$2-1),",","."))</f>
        <v>-2.0499999999999998</v>
      </c>
      <c r="AD1097" s="3">
        <f>VALUE(SUBSTITUTE(MID($A1097,K1097+K$2+1,L1097-K1097-K$2-1),",","."))</f>
        <v>11.34</v>
      </c>
      <c r="AE1097" s="3">
        <f>VALUE(SUBSTITUTE(MID($A1097,L1097+L$2+1,M1097-L1097-L$2-1),",","."))</f>
        <v>0</v>
      </c>
      <c r="AF1097" s="3">
        <f>VALUE(SUBSTITUTE(MID($A1097,M1097+M$2+1,N1097-M1097-M$2-1),",","."))</f>
        <v>0</v>
      </c>
      <c r="AG1097" s="3">
        <f>VALUE(SUBSTITUTE(MID($A1097,N1097+N$2+1,O1097-N1097-N$2-1),",","."))</f>
        <v>4.2346615022396996</v>
      </c>
      <c r="AH1097" t="str">
        <f>MID($A1097,O1097+O$2+1,P1097-O1097-O$2-1)</f>
        <v/>
      </c>
      <c r="AI1097" s="8" t="str">
        <f>MID($A1097,P1097+P$2+1,Q1097-P1097-P$2-1)</f>
        <v>False</v>
      </c>
      <c r="AK1097" t="b">
        <f t="shared" si="151"/>
        <v>0</v>
      </c>
    </row>
    <row r="1098" spans="1:37" x14ac:dyDescent="0.35">
      <c r="A1098" t="s">
        <v>5645</v>
      </c>
      <c r="B1098">
        <f t="shared" si="146"/>
        <v>10</v>
      </c>
      <c r="C1098">
        <f t="shared" si="146"/>
        <v>43</v>
      </c>
      <c r="D1098">
        <f t="shared" si="146"/>
        <v>54</v>
      </c>
      <c r="E1098">
        <f t="shared" si="146"/>
        <v>80</v>
      </c>
      <c r="F1098">
        <f t="shared" si="146"/>
        <v>124</v>
      </c>
      <c r="G1098">
        <f t="shared" si="149"/>
        <v>145</v>
      </c>
      <c r="H1098">
        <f t="shared" si="149"/>
        <v>177</v>
      </c>
      <c r="I1098">
        <f t="shared" si="149"/>
        <v>199</v>
      </c>
      <c r="J1098">
        <f t="shared" si="149"/>
        <v>232</v>
      </c>
      <c r="K1098">
        <f t="shared" si="149"/>
        <v>253</v>
      </c>
      <c r="L1098">
        <f t="shared" si="149"/>
        <v>285</v>
      </c>
      <c r="M1098">
        <f t="shared" si="149"/>
        <v>300</v>
      </c>
      <c r="N1098">
        <f t="shared" si="149"/>
        <v>312</v>
      </c>
      <c r="O1098">
        <f t="shared" si="144"/>
        <v>337</v>
      </c>
      <c r="P1098">
        <f t="shared" si="144"/>
        <v>355</v>
      </c>
      <c r="Q1098">
        <f t="shared" si="144"/>
        <v>381</v>
      </c>
      <c r="S1098" t="str">
        <f t="shared" si="147"/>
        <v>08.12.2025</v>
      </c>
      <c r="T1098" t="str">
        <f t="shared" si="148"/>
        <v>05:00:00</v>
      </c>
      <c r="U1098" t="str">
        <f t="shared" si="150"/>
        <v>08.12.2025 05:00:00</v>
      </c>
      <c r="V1098" s="9" t="str">
        <f>MID($A1098,C1098+C$2+1,D1098-C1098-C$2-1)</f>
        <v>0</v>
      </c>
      <c r="W1098" s="4">
        <f>VALUE(SUBSTITUTE(MID($A1098,D1098+D$2+1,E1098-D1098-D$2-1),",","."))</f>
        <v>0</v>
      </c>
      <c r="X1098" s="4">
        <f>VALUE(SUBSTITUTE(MID($A1098,E1098+E$2+1,F1098-E1098-E$2-1),",","."))</f>
        <v>0.90957602214449496</v>
      </c>
      <c r="Y1098" s="4">
        <f>VALUE(SUBSTITUTE(MID($A1098,F1098+F$2+1,G1098-F1098-F$2-1),",","."))</f>
        <v>0</v>
      </c>
      <c r="Z1098" s="3">
        <f>VALUE(SUBSTITUTE(MID($A1098,G1098+G$2+1,H1098-G1098-G$2-1),",","."))</f>
        <v>0</v>
      </c>
      <c r="AA1098" s="3">
        <f>VALUE(SUBSTITUTE(MID($A1098,H1098+H$2+1,I1098-H1098-H$2-1),",","."))</f>
        <v>0</v>
      </c>
      <c r="AB1098" s="3">
        <f>VALUE(SUBSTITUTE(MID($A1098,I1098+I$2+1,J1098-I1098-I$2-1),",","."))</f>
        <v>0</v>
      </c>
      <c r="AC1098" s="3">
        <f>VALUE(SUBSTITUTE(MID($A1098,J1098+J$2+1,K1098-J1098-J$2-1),",","."))</f>
        <v>-2.0499999999999998</v>
      </c>
      <c r="AD1098" s="3">
        <f>VALUE(SUBSTITUTE(MID($A1098,K1098+K$2+1,L1098-K1098-K$2-1),",","."))</f>
        <v>11.34</v>
      </c>
      <c r="AE1098" s="3">
        <f>VALUE(SUBSTITUTE(MID($A1098,L1098+L$2+1,M1098-L1098-L$2-1),",","."))</f>
        <v>0</v>
      </c>
      <c r="AF1098" s="3">
        <f>VALUE(SUBSTITUTE(MID($A1098,M1098+M$2+1,N1098-M1098-M$2-1),",","."))</f>
        <v>0</v>
      </c>
      <c r="AG1098" s="3">
        <f>VALUE(SUBSTITUTE(MID($A1098,N1098+N$2+1,O1098-N1098-N$2-1),",","."))</f>
        <v>4.2346900221277801</v>
      </c>
      <c r="AH1098" t="str">
        <f>MID($A1098,O1098+O$2+1,P1098-O1098-O$2-1)</f>
        <v/>
      </c>
      <c r="AI1098" s="8" t="str">
        <f>MID($A1098,P1098+P$2+1,Q1098-P1098-P$2-1)</f>
        <v>False</v>
      </c>
      <c r="AK1098" t="b">
        <f t="shared" si="151"/>
        <v>0</v>
      </c>
    </row>
    <row r="1099" spans="1:37" x14ac:dyDescent="0.35">
      <c r="A1099" t="s">
        <v>5646</v>
      </c>
      <c r="B1099">
        <f t="shared" si="146"/>
        <v>10</v>
      </c>
      <c r="C1099">
        <f t="shared" si="146"/>
        <v>43</v>
      </c>
      <c r="D1099">
        <f t="shared" si="146"/>
        <v>54</v>
      </c>
      <c r="E1099">
        <f t="shared" si="146"/>
        <v>80</v>
      </c>
      <c r="F1099">
        <f t="shared" si="146"/>
        <v>124</v>
      </c>
      <c r="G1099">
        <f t="shared" si="149"/>
        <v>145</v>
      </c>
      <c r="H1099">
        <f t="shared" si="149"/>
        <v>177</v>
      </c>
      <c r="I1099">
        <f t="shared" si="149"/>
        <v>199</v>
      </c>
      <c r="J1099">
        <f t="shared" si="149"/>
        <v>232</v>
      </c>
      <c r="K1099">
        <f t="shared" si="149"/>
        <v>253</v>
      </c>
      <c r="L1099">
        <f t="shared" si="149"/>
        <v>285</v>
      </c>
      <c r="M1099">
        <f t="shared" si="149"/>
        <v>300</v>
      </c>
      <c r="N1099">
        <f t="shared" si="149"/>
        <v>312</v>
      </c>
      <c r="O1099">
        <f t="shared" si="144"/>
        <v>337</v>
      </c>
      <c r="P1099">
        <f t="shared" si="144"/>
        <v>355</v>
      </c>
      <c r="Q1099">
        <f t="shared" si="144"/>
        <v>381</v>
      </c>
      <c r="S1099" t="str">
        <f t="shared" si="147"/>
        <v>08.12.2025</v>
      </c>
      <c r="T1099" t="str">
        <f t="shared" si="148"/>
        <v>05:15:00</v>
      </c>
      <c r="U1099" t="str">
        <f t="shared" si="150"/>
        <v>08.12.2025 05:15:00</v>
      </c>
      <c r="V1099" s="9" t="str">
        <f>MID($A1099,C1099+C$2+1,D1099-C1099-C$2-1)</f>
        <v>0</v>
      </c>
      <c r="W1099" s="4">
        <f>VALUE(SUBSTITUTE(MID($A1099,D1099+D$2+1,E1099-D1099-D$2-1),",","."))</f>
        <v>0</v>
      </c>
      <c r="X1099" s="4">
        <f>VALUE(SUBSTITUTE(MID($A1099,E1099+E$2+1,F1099-E1099-E$2-1),",","."))</f>
        <v>0.90957602214449496</v>
      </c>
      <c r="Y1099" s="4">
        <f>VALUE(SUBSTITUTE(MID($A1099,F1099+F$2+1,G1099-F1099-F$2-1),",","."))</f>
        <v>0</v>
      </c>
      <c r="Z1099" s="3">
        <f>VALUE(SUBSTITUTE(MID($A1099,G1099+G$2+1,H1099-G1099-G$2-1),",","."))</f>
        <v>0</v>
      </c>
      <c r="AA1099" s="3">
        <f>VALUE(SUBSTITUTE(MID($A1099,H1099+H$2+1,I1099-H1099-H$2-1),",","."))</f>
        <v>0</v>
      </c>
      <c r="AB1099" s="3">
        <f>VALUE(SUBSTITUTE(MID($A1099,I1099+I$2+1,J1099-I1099-I$2-1),",","."))</f>
        <v>0</v>
      </c>
      <c r="AC1099" s="3">
        <f>VALUE(SUBSTITUTE(MID($A1099,J1099+J$2+1,K1099-J1099-J$2-1),",","."))</f>
        <v>-2.0499999999999998</v>
      </c>
      <c r="AD1099" s="3">
        <f>VALUE(SUBSTITUTE(MID($A1099,K1099+K$2+1,L1099-K1099-K$2-1),",","."))</f>
        <v>11.34</v>
      </c>
      <c r="AE1099" s="3">
        <f>VALUE(SUBSTITUTE(MID($A1099,L1099+L$2+1,M1099-L1099-L$2-1),",","."))</f>
        <v>0</v>
      </c>
      <c r="AF1099" s="3">
        <f>VALUE(SUBSTITUTE(MID($A1099,M1099+M$2+1,N1099-M1099-M$2-1),",","."))</f>
        <v>0</v>
      </c>
      <c r="AG1099" s="3">
        <f>VALUE(SUBSTITUTE(MID($A1099,N1099+N$2+1,O1099-N1099-N$2-1),",","."))</f>
        <v>4.2347185420158597</v>
      </c>
      <c r="AH1099" t="str">
        <f>MID($A1099,O1099+O$2+1,P1099-O1099-O$2-1)</f>
        <v/>
      </c>
      <c r="AI1099" s="8" t="str">
        <f>MID($A1099,P1099+P$2+1,Q1099-P1099-P$2-1)</f>
        <v>False</v>
      </c>
      <c r="AK1099" t="b">
        <f t="shared" si="151"/>
        <v>0</v>
      </c>
    </row>
    <row r="1100" spans="1:37" x14ac:dyDescent="0.35">
      <c r="A1100" t="s">
        <v>5647</v>
      </c>
      <c r="B1100">
        <f t="shared" si="146"/>
        <v>10</v>
      </c>
      <c r="C1100">
        <f t="shared" si="146"/>
        <v>43</v>
      </c>
      <c r="D1100">
        <f t="shared" si="146"/>
        <v>54</v>
      </c>
      <c r="E1100">
        <f t="shared" si="146"/>
        <v>80</v>
      </c>
      <c r="F1100">
        <f t="shared" si="146"/>
        <v>124</v>
      </c>
      <c r="G1100">
        <f t="shared" si="149"/>
        <v>145</v>
      </c>
      <c r="H1100">
        <f t="shared" si="149"/>
        <v>177</v>
      </c>
      <c r="I1100">
        <f t="shared" si="149"/>
        <v>199</v>
      </c>
      <c r="J1100">
        <f t="shared" si="149"/>
        <v>232</v>
      </c>
      <c r="K1100">
        <f t="shared" si="149"/>
        <v>253</v>
      </c>
      <c r="L1100">
        <f t="shared" si="149"/>
        <v>272</v>
      </c>
      <c r="M1100">
        <f t="shared" si="149"/>
        <v>287</v>
      </c>
      <c r="N1100">
        <f t="shared" si="149"/>
        <v>299</v>
      </c>
      <c r="O1100">
        <f t="shared" si="144"/>
        <v>324</v>
      </c>
      <c r="P1100">
        <f t="shared" si="144"/>
        <v>342</v>
      </c>
      <c r="Q1100">
        <f t="shared" si="144"/>
        <v>368</v>
      </c>
      <c r="S1100" t="str">
        <f t="shared" si="147"/>
        <v>08.12.2025</v>
      </c>
      <c r="T1100" t="str">
        <f t="shared" si="148"/>
        <v>05:30:00</v>
      </c>
      <c r="U1100" t="str">
        <f t="shared" si="150"/>
        <v>08.12.2025 05:30:00</v>
      </c>
      <c r="V1100" s="9" t="str">
        <f>MID($A1100,C1100+C$2+1,D1100-C1100-C$2-1)</f>
        <v>0</v>
      </c>
      <c r="W1100" s="4">
        <f>VALUE(SUBSTITUTE(MID($A1100,D1100+D$2+1,E1100-D1100-D$2-1),",","."))</f>
        <v>0</v>
      </c>
      <c r="X1100" s="4">
        <f>VALUE(SUBSTITUTE(MID($A1100,E1100+E$2+1,F1100-E1100-E$2-1),",","."))</f>
        <v>0.90957602214449496</v>
      </c>
      <c r="Y1100" s="4">
        <f>VALUE(SUBSTITUTE(MID($A1100,F1100+F$2+1,G1100-F1100-F$2-1),",","."))</f>
        <v>0</v>
      </c>
      <c r="Z1100" s="3">
        <f>VALUE(SUBSTITUTE(MID($A1100,G1100+G$2+1,H1100-G1100-G$2-1),",","."))</f>
        <v>0</v>
      </c>
      <c r="AA1100" s="3">
        <f>VALUE(SUBSTITUTE(MID($A1100,H1100+H$2+1,I1100-H1100-H$2-1),",","."))</f>
        <v>0</v>
      </c>
      <c r="AB1100" s="3">
        <f>VALUE(SUBSTITUTE(MID($A1100,I1100+I$2+1,J1100-I1100-I$2-1),",","."))</f>
        <v>0</v>
      </c>
      <c r="AC1100" s="3">
        <f>VALUE(SUBSTITUTE(MID($A1100,J1100+J$2+1,K1100-J1100-J$2-1),",","."))</f>
        <v>-1.85</v>
      </c>
      <c r="AD1100" s="3">
        <f>VALUE(SUBSTITUTE(MID($A1100,K1100+K$2+1,L1100-K1100-K$2-1),",","."))</f>
        <v>12.24</v>
      </c>
      <c r="AE1100" s="3">
        <f>VALUE(SUBSTITUTE(MID($A1100,L1100+L$2+1,M1100-L1100-L$2-1),",","."))</f>
        <v>0</v>
      </c>
      <c r="AF1100" s="3">
        <f>VALUE(SUBSTITUTE(MID($A1100,M1100+M$2+1,N1100-M1100-M$2-1),",","."))</f>
        <v>0</v>
      </c>
      <c r="AG1100" s="3">
        <f>VALUE(SUBSTITUTE(MID($A1100,N1100+N$2+1,O1100-N1100-N$2-1),",","."))</f>
        <v>4.2347470619039402</v>
      </c>
      <c r="AH1100" t="str">
        <f>MID($A1100,O1100+O$2+1,P1100-O1100-O$2-1)</f>
        <v/>
      </c>
      <c r="AI1100" s="8" t="str">
        <f>MID($A1100,P1100+P$2+1,Q1100-P1100-P$2-1)</f>
        <v>False</v>
      </c>
      <c r="AK1100" t="b">
        <f t="shared" si="151"/>
        <v>0</v>
      </c>
    </row>
    <row r="1101" spans="1:37" x14ac:dyDescent="0.35">
      <c r="A1101" t="s">
        <v>5648</v>
      </c>
      <c r="B1101">
        <f t="shared" si="146"/>
        <v>10</v>
      </c>
      <c r="C1101">
        <f t="shared" si="146"/>
        <v>43</v>
      </c>
      <c r="D1101">
        <f t="shared" si="146"/>
        <v>54</v>
      </c>
      <c r="E1101">
        <f t="shared" si="146"/>
        <v>80</v>
      </c>
      <c r="F1101">
        <f t="shared" si="146"/>
        <v>124</v>
      </c>
      <c r="G1101">
        <f t="shared" si="149"/>
        <v>145</v>
      </c>
      <c r="H1101">
        <f t="shared" si="149"/>
        <v>177</v>
      </c>
      <c r="I1101">
        <f t="shared" si="149"/>
        <v>199</v>
      </c>
      <c r="J1101">
        <f t="shared" si="149"/>
        <v>232</v>
      </c>
      <c r="K1101">
        <f t="shared" si="149"/>
        <v>253</v>
      </c>
      <c r="L1101">
        <f t="shared" si="149"/>
        <v>272</v>
      </c>
      <c r="M1101">
        <f t="shared" si="149"/>
        <v>287</v>
      </c>
      <c r="N1101">
        <f t="shared" si="149"/>
        <v>299</v>
      </c>
      <c r="O1101">
        <f t="shared" si="144"/>
        <v>324</v>
      </c>
      <c r="P1101">
        <f t="shared" si="144"/>
        <v>342</v>
      </c>
      <c r="Q1101">
        <f t="shared" si="144"/>
        <v>368</v>
      </c>
      <c r="S1101" t="str">
        <f t="shared" si="147"/>
        <v>08.12.2025</v>
      </c>
      <c r="T1101" t="str">
        <f t="shared" si="148"/>
        <v>05:45:00</v>
      </c>
      <c r="U1101" t="str">
        <f t="shared" si="150"/>
        <v>08.12.2025 05:45:00</v>
      </c>
      <c r="V1101" s="9" t="str">
        <f>MID($A1101,C1101+C$2+1,D1101-C1101-C$2-1)</f>
        <v>0</v>
      </c>
      <c r="W1101" s="4">
        <f>VALUE(SUBSTITUTE(MID($A1101,D1101+D$2+1,E1101-D1101-D$2-1),",","."))</f>
        <v>0</v>
      </c>
      <c r="X1101" s="4">
        <f>VALUE(SUBSTITUTE(MID($A1101,E1101+E$2+1,F1101-E1101-E$2-1),",","."))</f>
        <v>0.90957602214449496</v>
      </c>
      <c r="Y1101" s="4">
        <f>VALUE(SUBSTITUTE(MID($A1101,F1101+F$2+1,G1101-F1101-F$2-1),",","."))</f>
        <v>0</v>
      </c>
      <c r="Z1101" s="3">
        <f>VALUE(SUBSTITUTE(MID($A1101,G1101+G$2+1,H1101-G1101-G$2-1),",","."))</f>
        <v>0</v>
      </c>
      <c r="AA1101" s="3">
        <f>VALUE(SUBSTITUTE(MID($A1101,H1101+H$2+1,I1101-H1101-H$2-1),",","."))</f>
        <v>0</v>
      </c>
      <c r="AB1101" s="3">
        <f>VALUE(SUBSTITUTE(MID($A1101,I1101+I$2+1,J1101-I1101-I$2-1),",","."))</f>
        <v>0</v>
      </c>
      <c r="AC1101" s="3">
        <f>VALUE(SUBSTITUTE(MID($A1101,J1101+J$2+1,K1101-J1101-J$2-1),",","."))</f>
        <v>-1.85</v>
      </c>
      <c r="AD1101" s="3">
        <f>VALUE(SUBSTITUTE(MID($A1101,K1101+K$2+1,L1101-K1101-K$2-1),",","."))</f>
        <v>12.24</v>
      </c>
      <c r="AE1101" s="3">
        <f>VALUE(SUBSTITUTE(MID($A1101,L1101+L$2+1,M1101-L1101-L$2-1),",","."))</f>
        <v>0</v>
      </c>
      <c r="AF1101" s="3">
        <f>VALUE(SUBSTITUTE(MID($A1101,M1101+M$2+1,N1101-M1101-M$2-1),",","."))</f>
        <v>0</v>
      </c>
      <c r="AG1101" s="3">
        <f>VALUE(SUBSTITUTE(MID($A1101,N1101+N$2+1,O1101-N1101-N$2-1),",","."))</f>
        <v>4.2347755817920198</v>
      </c>
      <c r="AH1101" t="str">
        <f>MID($A1101,O1101+O$2+1,P1101-O1101-O$2-1)</f>
        <v/>
      </c>
      <c r="AI1101" s="8" t="str">
        <f>MID($A1101,P1101+P$2+1,Q1101-P1101-P$2-1)</f>
        <v>False</v>
      </c>
      <c r="AK1101" t="b">
        <f t="shared" si="151"/>
        <v>0</v>
      </c>
    </row>
    <row r="1102" spans="1:37" x14ac:dyDescent="0.35">
      <c r="A1102" t="s">
        <v>5649</v>
      </c>
      <c r="B1102">
        <f t="shared" si="146"/>
        <v>10</v>
      </c>
      <c r="C1102">
        <f t="shared" si="146"/>
        <v>43</v>
      </c>
      <c r="D1102">
        <f t="shared" si="146"/>
        <v>54</v>
      </c>
      <c r="E1102">
        <f t="shared" si="146"/>
        <v>80</v>
      </c>
      <c r="F1102">
        <f t="shared" si="146"/>
        <v>124</v>
      </c>
      <c r="G1102">
        <f t="shared" si="149"/>
        <v>145</v>
      </c>
      <c r="H1102">
        <f t="shared" si="149"/>
        <v>177</v>
      </c>
      <c r="I1102">
        <f t="shared" si="149"/>
        <v>199</v>
      </c>
      <c r="J1102">
        <f t="shared" si="149"/>
        <v>232</v>
      </c>
      <c r="K1102">
        <f t="shared" si="149"/>
        <v>253</v>
      </c>
      <c r="L1102">
        <f t="shared" si="149"/>
        <v>272</v>
      </c>
      <c r="M1102">
        <f t="shared" si="149"/>
        <v>287</v>
      </c>
      <c r="N1102">
        <f t="shared" si="149"/>
        <v>299</v>
      </c>
      <c r="O1102">
        <f t="shared" si="144"/>
        <v>324</v>
      </c>
      <c r="P1102">
        <f t="shared" si="144"/>
        <v>342</v>
      </c>
      <c r="Q1102">
        <f t="shared" si="144"/>
        <v>368</v>
      </c>
      <c r="S1102" t="str">
        <f t="shared" si="147"/>
        <v>08.12.2025</v>
      </c>
      <c r="T1102" t="str">
        <f t="shared" si="148"/>
        <v>06:00:00</v>
      </c>
      <c r="U1102" t="str">
        <f t="shared" si="150"/>
        <v>08.12.2025 06:00:00</v>
      </c>
      <c r="V1102" s="9" t="str">
        <f>MID($A1102,C1102+C$2+1,D1102-C1102-C$2-1)</f>
        <v>0</v>
      </c>
      <c r="W1102" s="4">
        <f>VALUE(SUBSTITUTE(MID($A1102,D1102+D$2+1,E1102-D1102-D$2-1),",","."))</f>
        <v>0</v>
      </c>
      <c r="X1102" s="4">
        <f>VALUE(SUBSTITUTE(MID($A1102,E1102+E$2+1,F1102-E1102-E$2-1),",","."))</f>
        <v>0.90957602214449496</v>
      </c>
      <c r="Y1102" s="4">
        <f>VALUE(SUBSTITUTE(MID($A1102,F1102+F$2+1,G1102-F1102-F$2-1),",","."))</f>
        <v>0</v>
      </c>
      <c r="Z1102" s="3">
        <f>VALUE(SUBSTITUTE(MID($A1102,G1102+G$2+1,H1102-G1102-G$2-1),",","."))</f>
        <v>0</v>
      </c>
      <c r="AA1102" s="3">
        <f>VALUE(SUBSTITUTE(MID($A1102,H1102+H$2+1,I1102-H1102-H$2-1),",","."))</f>
        <v>0</v>
      </c>
      <c r="AB1102" s="3">
        <f>VALUE(SUBSTITUTE(MID($A1102,I1102+I$2+1,J1102-I1102-I$2-1),",","."))</f>
        <v>0</v>
      </c>
      <c r="AC1102" s="3">
        <f>VALUE(SUBSTITUTE(MID($A1102,J1102+J$2+1,K1102-J1102-J$2-1),",","."))</f>
        <v>-1.85</v>
      </c>
      <c r="AD1102" s="3">
        <f>VALUE(SUBSTITUTE(MID($A1102,K1102+K$2+1,L1102-K1102-K$2-1),",","."))</f>
        <v>12.24</v>
      </c>
      <c r="AE1102" s="3">
        <f>VALUE(SUBSTITUTE(MID($A1102,L1102+L$2+1,M1102-L1102-L$2-1),",","."))</f>
        <v>0</v>
      </c>
      <c r="AF1102" s="3">
        <f>VALUE(SUBSTITUTE(MID($A1102,M1102+M$2+1,N1102-M1102-M$2-1),",","."))</f>
        <v>0</v>
      </c>
      <c r="AG1102" s="3">
        <f>VALUE(SUBSTITUTE(MID($A1102,N1102+N$2+1,O1102-N1102-N$2-1),",","."))</f>
        <v>4.2348041016801004</v>
      </c>
      <c r="AH1102" t="str">
        <f>MID($A1102,O1102+O$2+1,P1102-O1102-O$2-1)</f>
        <v/>
      </c>
      <c r="AI1102" s="8" t="str">
        <f>MID($A1102,P1102+P$2+1,Q1102-P1102-P$2-1)</f>
        <v>False</v>
      </c>
      <c r="AK1102" t="b">
        <f t="shared" si="151"/>
        <v>0</v>
      </c>
    </row>
    <row r="1103" spans="1:37" x14ac:dyDescent="0.35">
      <c r="A1103" t="s">
        <v>5650</v>
      </c>
      <c r="B1103">
        <f t="shared" si="146"/>
        <v>10</v>
      </c>
      <c r="C1103">
        <f t="shared" si="146"/>
        <v>43</v>
      </c>
      <c r="D1103">
        <f t="shared" si="146"/>
        <v>54</v>
      </c>
      <c r="E1103">
        <f t="shared" si="146"/>
        <v>80</v>
      </c>
      <c r="F1103">
        <f t="shared" si="146"/>
        <v>124</v>
      </c>
      <c r="G1103">
        <f t="shared" si="149"/>
        <v>145</v>
      </c>
      <c r="H1103">
        <f t="shared" si="149"/>
        <v>177</v>
      </c>
      <c r="I1103">
        <f t="shared" si="149"/>
        <v>199</v>
      </c>
      <c r="J1103">
        <f t="shared" si="149"/>
        <v>232</v>
      </c>
      <c r="K1103">
        <f t="shared" si="149"/>
        <v>253</v>
      </c>
      <c r="L1103">
        <f t="shared" si="149"/>
        <v>272</v>
      </c>
      <c r="M1103">
        <f t="shared" si="149"/>
        <v>287</v>
      </c>
      <c r="N1103">
        <f t="shared" si="149"/>
        <v>299</v>
      </c>
      <c r="O1103">
        <f t="shared" si="144"/>
        <v>323</v>
      </c>
      <c r="P1103">
        <f t="shared" si="144"/>
        <v>341</v>
      </c>
      <c r="Q1103">
        <f t="shared" si="144"/>
        <v>367</v>
      </c>
      <c r="S1103" t="str">
        <f t="shared" si="147"/>
        <v>08.12.2025</v>
      </c>
      <c r="T1103" t="str">
        <f t="shared" si="148"/>
        <v>06:15:00</v>
      </c>
      <c r="U1103" t="str">
        <f t="shared" si="150"/>
        <v>08.12.2025 06:15:00</v>
      </c>
      <c r="V1103" s="9" t="str">
        <f>MID($A1103,C1103+C$2+1,D1103-C1103-C$2-1)</f>
        <v>0</v>
      </c>
      <c r="W1103" s="4">
        <f>VALUE(SUBSTITUTE(MID($A1103,D1103+D$2+1,E1103-D1103-D$2-1),",","."))</f>
        <v>0</v>
      </c>
      <c r="X1103" s="4">
        <f>VALUE(SUBSTITUTE(MID($A1103,E1103+E$2+1,F1103-E1103-E$2-1),",","."))</f>
        <v>0.90957602214449496</v>
      </c>
      <c r="Y1103" s="4">
        <f>VALUE(SUBSTITUTE(MID($A1103,F1103+F$2+1,G1103-F1103-F$2-1),",","."))</f>
        <v>0</v>
      </c>
      <c r="Z1103" s="3">
        <f>VALUE(SUBSTITUTE(MID($A1103,G1103+G$2+1,H1103-G1103-G$2-1),",","."))</f>
        <v>0</v>
      </c>
      <c r="AA1103" s="3">
        <f>VALUE(SUBSTITUTE(MID($A1103,H1103+H$2+1,I1103-H1103-H$2-1),",","."))</f>
        <v>0</v>
      </c>
      <c r="AB1103" s="3">
        <f>VALUE(SUBSTITUTE(MID($A1103,I1103+I$2+1,J1103-I1103-I$2-1),",","."))</f>
        <v>0</v>
      </c>
      <c r="AC1103" s="3">
        <f>VALUE(SUBSTITUTE(MID($A1103,J1103+J$2+1,K1103-J1103-J$2-1),",","."))</f>
        <v>-1.85</v>
      </c>
      <c r="AD1103" s="3">
        <f>VALUE(SUBSTITUTE(MID($A1103,K1103+K$2+1,L1103-K1103-K$2-1),",","."))</f>
        <v>12.24</v>
      </c>
      <c r="AE1103" s="3">
        <f>VALUE(SUBSTITUTE(MID($A1103,L1103+L$2+1,M1103-L1103-L$2-1),",","."))</f>
        <v>0</v>
      </c>
      <c r="AF1103" s="3">
        <f>VALUE(SUBSTITUTE(MID($A1103,M1103+M$2+1,N1103-M1103-M$2-1),",","."))</f>
        <v>0</v>
      </c>
      <c r="AG1103" s="3">
        <f>VALUE(SUBSTITUTE(MID($A1103,N1103+N$2+1,O1103-N1103-N$2-1),",","."))</f>
        <v>4.2348326215681897</v>
      </c>
      <c r="AH1103" t="str">
        <f>MID($A1103,O1103+O$2+1,P1103-O1103-O$2-1)</f>
        <v/>
      </c>
      <c r="AI1103" s="8" t="str">
        <f>MID($A1103,P1103+P$2+1,Q1103-P1103-P$2-1)</f>
        <v>False</v>
      </c>
      <c r="AK1103" t="b">
        <f t="shared" si="151"/>
        <v>0</v>
      </c>
    </row>
    <row r="1104" spans="1:37" x14ac:dyDescent="0.35">
      <c r="A1104" t="s">
        <v>5651</v>
      </c>
      <c r="B1104">
        <f t="shared" si="146"/>
        <v>10</v>
      </c>
      <c r="C1104">
        <f t="shared" si="146"/>
        <v>43</v>
      </c>
      <c r="D1104">
        <f t="shared" si="146"/>
        <v>54</v>
      </c>
      <c r="E1104">
        <f t="shared" si="146"/>
        <v>80</v>
      </c>
      <c r="F1104">
        <f t="shared" si="146"/>
        <v>124</v>
      </c>
      <c r="G1104">
        <f t="shared" si="149"/>
        <v>145</v>
      </c>
      <c r="H1104">
        <f t="shared" si="149"/>
        <v>177</v>
      </c>
      <c r="I1104">
        <f t="shared" si="149"/>
        <v>199</v>
      </c>
      <c r="J1104">
        <f t="shared" si="149"/>
        <v>232</v>
      </c>
      <c r="K1104">
        <f t="shared" si="149"/>
        <v>252</v>
      </c>
      <c r="L1104">
        <f t="shared" si="149"/>
        <v>271</v>
      </c>
      <c r="M1104">
        <f t="shared" si="149"/>
        <v>286</v>
      </c>
      <c r="N1104">
        <f t="shared" si="149"/>
        <v>298</v>
      </c>
      <c r="O1104">
        <f t="shared" si="144"/>
        <v>323</v>
      </c>
      <c r="P1104">
        <f t="shared" si="144"/>
        <v>341</v>
      </c>
      <c r="Q1104">
        <f t="shared" si="144"/>
        <v>367</v>
      </c>
      <c r="S1104" t="str">
        <f t="shared" si="147"/>
        <v>08.12.2025</v>
      </c>
      <c r="T1104" t="str">
        <f t="shared" si="148"/>
        <v>06:30:00</v>
      </c>
      <c r="U1104" t="str">
        <f t="shared" si="150"/>
        <v>08.12.2025 06:30:00</v>
      </c>
      <c r="V1104" s="9" t="str">
        <f>MID($A1104,C1104+C$2+1,D1104-C1104-C$2-1)</f>
        <v>0</v>
      </c>
      <c r="W1104" s="4">
        <f>VALUE(SUBSTITUTE(MID($A1104,D1104+D$2+1,E1104-D1104-D$2-1),",","."))</f>
        <v>0</v>
      </c>
      <c r="X1104" s="4">
        <f>VALUE(SUBSTITUTE(MID($A1104,E1104+E$2+1,F1104-E1104-E$2-1),",","."))</f>
        <v>0.90957602214449496</v>
      </c>
      <c r="Y1104" s="4">
        <f>VALUE(SUBSTITUTE(MID($A1104,F1104+F$2+1,G1104-F1104-F$2-1),",","."))</f>
        <v>0</v>
      </c>
      <c r="Z1104" s="3">
        <f>VALUE(SUBSTITUTE(MID($A1104,G1104+G$2+1,H1104-G1104-G$2-1),",","."))</f>
        <v>0</v>
      </c>
      <c r="AA1104" s="3">
        <f>VALUE(SUBSTITUTE(MID($A1104,H1104+H$2+1,I1104-H1104-H$2-1),",","."))</f>
        <v>0</v>
      </c>
      <c r="AB1104" s="3">
        <f>VALUE(SUBSTITUTE(MID($A1104,I1104+I$2+1,J1104-I1104-I$2-1),",","."))</f>
        <v>0</v>
      </c>
      <c r="AC1104" s="3">
        <f>VALUE(SUBSTITUTE(MID($A1104,J1104+J$2+1,K1104-J1104-J$2-1),",","."))</f>
        <v>-1.5</v>
      </c>
      <c r="AD1104" s="3">
        <f>VALUE(SUBSTITUTE(MID($A1104,K1104+K$2+1,L1104-K1104-K$2-1),",","."))</f>
        <v>12.06</v>
      </c>
      <c r="AE1104" s="3">
        <f>VALUE(SUBSTITUTE(MID($A1104,L1104+L$2+1,M1104-L1104-L$2-1),",","."))</f>
        <v>0</v>
      </c>
      <c r="AF1104" s="3">
        <f>VALUE(SUBSTITUTE(MID($A1104,M1104+M$2+1,N1104-M1104-M$2-1),",","."))</f>
        <v>0</v>
      </c>
      <c r="AG1104" s="3">
        <f>VALUE(SUBSTITUTE(MID($A1104,N1104+N$2+1,O1104-N1104-N$2-1),",","."))</f>
        <v>4.2348611414562702</v>
      </c>
      <c r="AH1104" t="str">
        <f>MID($A1104,O1104+O$2+1,P1104-O1104-O$2-1)</f>
        <v/>
      </c>
      <c r="AI1104" s="8" t="str">
        <f>MID($A1104,P1104+P$2+1,Q1104-P1104-P$2-1)</f>
        <v>False</v>
      </c>
      <c r="AK1104" t="b">
        <f t="shared" si="151"/>
        <v>0</v>
      </c>
    </row>
    <row r="1105" spans="1:37" x14ac:dyDescent="0.35">
      <c r="A1105" t="s">
        <v>5652</v>
      </c>
      <c r="B1105">
        <f t="shared" si="146"/>
        <v>10</v>
      </c>
      <c r="C1105">
        <f t="shared" si="146"/>
        <v>43</v>
      </c>
      <c r="D1105">
        <f t="shared" si="146"/>
        <v>54</v>
      </c>
      <c r="E1105">
        <f t="shared" si="146"/>
        <v>80</v>
      </c>
      <c r="F1105">
        <f t="shared" si="146"/>
        <v>124</v>
      </c>
      <c r="G1105">
        <f t="shared" si="149"/>
        <v>145</v>
      </c>
      <c r="H1105">
        <f t="shared" si="149"/>
        <v>177</v>
      </c>
      <c r="I1105">
        <f t="shared" si="149"/>
        <v>199</v>
      </c>
      <c r="J1105">
        <f t="shared" si="149"/>
        <v>232</v>
      </c>
      <c r="K1105">
        <f t="shared" si="149"/>
        <v>252</v>
      </c>
      <c r="L1105">
        <f t="shared" si="149"/>
        <v>271</v>
      </c>
      <c r="M1105">
        <f t="shared" si="149"/>
        <v>286</v>
      </c>
      <c r="N1105">
        <f t="shared" si="149"/>
        <v>298</v>
      </c>
      <c r="O1105">
        <f t="shared" si="144"/>
        <v>323</v>
      </c>
      <c r="P1105">
        <f t="shared" si="144"/>
        <v>341</v>
      </c>
      <c r="Q1105">
        <f t="shared" si="144"/>
        <v>367</v>
      </c>
      <c r="S1105" t="str">
        <f t="shared" si="147"/>
        <v>08.12.2025</v>
      </c>
      <c r="T1105" t="str">
        <f t="shared" si="148"/>
        <v>06:45:00</v>
      </c>
      <c r="U1105" t="str">
        <f t="shared" si="150"/>
        <v>08.12.2025 06:45:00</v>
      </c>
      <c r="V1105" s="9" t="str">
        <f>MID($A1105,C1105+C$2+1,D1105-C1105-C$2-1)</f>
        <v>0</v>
      </c>
      <c r="W1105" s="4">
        <f>VALUE(SUBSTITUTE(MID($A1105,D1105+D$2+1,E1105-D1105-D$2-1),",","."))</f>
        <v>0</v>
      </c>
      <c r="X1105" s="4">
        <f>VALUE(SUBSTITUTE(MID($A1105,E1105+E$2+1,F1105-E1105-E$2-1),",","."))</f>
        <v>0.90957602214449496</v>
      </c>
      <c r="Y1105" s="4">
        <f>VALUE(SUBSTITUTE(MID($A1105,F1105+F$2+1,G1105-F1105-F$2-1),",","."))</f>
        <v>0</v>
      </c>
      <c r="Z1105" s="3">
        <f>VALUE(SUBSTITUTE(MID($A1105,G1105+G$2+1,H1105-G1105-G$2-1),",","."))</f>
        <v>0</v>
      </c>
      <c r="AA1105" s="3">
        <f>VALUE(SUBSTITUTE(MID($A1105,H1105+H$2+1,I1105-H1105-H$2-1),",","."))</f>
        <v>0</v>
      </c>
      <c r="AB1105" s="3">
        <f>VALUE(SUBSTITUTE(MID($A1105,I1105+I$2+1,J1105-I1105-I$2-1),",","."))</f>
        <v>0</v>
      </c>
      <c r="AC1105" s="3">
        <f>VALUE(SUBSTITUTE(MID($A1105,J1105+J$2+1,K1105-J1105-J$2-1),",","."))</f>
        <v>-1.5</v>
      </c>
      <c r="AD1105" s="3">
        <f>VALUE(SUBSTITUTE(MID($A1105,K1105+K$2+1,L1105-K1105-K$2-1),",","."))</f>
        <v>12.06</v>
      </c>
      <c r="AE1105" s="3">
        <f>VALUE(SUBSTITUTE(MID($A1105,L1105+L$2+1,M1105-L1105-L$2-1),",","."))</f>
        <v>0</v>
      </c>
      <c r="AF1105" s="3">
        <f>VALUE(SUBSTITUTE(MID($A1105,M1105+M$2+1,N1105-M1105-M$2-1),",","."))</f>
        <v>0</v>
      </c>
      <c r="AG1105" s="3">
        <f>VALUE(SUBSTITUTE(MID($A1105,N1105+N$2+1,O1105-N1105-N$2-1),",","."))</f>
        <v>4.2348896613443499</v>
      </c>
      <c r="AH1105" t="str">
        <f>MID($A1105,O1105+O$2+1,P1105-O1105-O$2-1)</f>
        <v/>
      </c>
      <c r="AI1105" s="8" t="str">
        <f>MID($A1105,P1105+P$2+1,Q1105-P1105-P$2-1)</f>
        <v>False</v>
      </c>
      <c r="AK1105" t="b">
        <f t="shared" si="151"/>
        <v>0</v>
      </c>
    </row>
    <row r="1106" spans="1:37" x14ac:dyDescent="0.35">
      <c r="A1106" t="s">
        <v>5653</v>
      </c>
      <c r="B1106">
        <f t="shared" si="146"/>
        <v>10</v>
      </c>
      <c r="C1106">
        <f t="shared" si="146"/>
        <v>43</v>
      </c>
      <c r="D1106">
        <f t="shared" si="146"/>
        <v>54</v>
      </c>
      <c r="E1106">
        <f t="shared" si="146"/>
        <v>80</v>
      </c>
      <c r="F1106">
        <f t="shared" si="146"/>
        <v>124</v>
      </c>
      <c r="G1106">
        <f t="shared" si="149"/>
        <v>145</v>
      </c>
      <c r="H1106">
        <f t="shared" si="149"/>
        <v>177</v>
      </c>
      <c r="I1106">
        <f t="shared" si="149"/>
        <v>199</v>
      </c>
      <c r="J1106">
        <f t="shared" si="149"/>
        <v>232</v>
      </c>
      <c r="K1106">
        <f t="shared" si="149"/>
        <v>252</v>
      </c>
      <c r="L1106">
        <f t="shared" si="149"/>
        <v>271</v>
      </c>
      <c r="M1106">
        <f t="shared" si="149"/>
        <v>286</v>
      </c>
      <c r="N1106">
        <f t="shared" si="149"/>
        <v>298</v>
      </c>
      <c r="O1106">
        <f t="shared" si="144"/>
        <v>323</v>
      </c>
      <c r="P1106">
        <f t="shared" si="144"/>
        <v>341</v>
      </c>
      <c r="Q1106">
        <f t="shared" si="144"/>
        <v>367</v>
      </c>
      <c r="S1106" t="str">
        <f t="shared" si="147"/>
        <v>08.12.2025</v>
      </c>
      <c r="T1106" t="str">
        <f t="shared" si="148"/>
        <v>07:00:00</v>
      </c>
      <c r="U1106" t="str">
        <f t="shared" si="150"/>
        <v>08.12.2025 07:00:00</v>
      </c>
      <c r="V1106" s="9" t="str">
        <f>MID($A1106,C1106+C$2+1,D1106-C1106-C$2-1)</f>
        <v>0</v>
      </c>
      <c r="W1106" s="4">
        <f>VALUE(SUBSTITUTE(MID($A1106,D1106+D$2+1,E1106-D1106-D$2-1),",","."))</f>
        <v>0</v>
      </c>
      <c r="X1106" s="4">
        <f>VALUE(SUBSTITUTE(MID($A1106,E1106+E$2+1,F1106-E1106-E$2-1),",","."))</f>
        <v>0.90957602214449496</v>
      </c>
      <c r="Y1106" s="4">
        <f>VALUE(SUBSTITUTE(MID($A1106,F1106+F$2+1,G1106-F1106-F$2-1),",","."))</f>
        <v>0</v>
      </c>
      <c r="Z1106" s="3">
        <f>VALUE(SUBSTITUTE(MID($A1106,G1106+G$2+1,H1106-G1106-G$2-1),",","."))</f>
        <v>0</v>
      </c>
      <c r="AA1106" s="3">
        <f>VALUE(SUBSTITUTE(MID($A1106,H1106+H$2+1,I1106-H1106-H$2-1),",","."))</f>
        <v>0</v>
      </c>
      <c r="AB1106" s="3">
        <f>VALUE(SUBSTITUTE(MID($A1106,I1106+I$2+1,J1106-I1106-I$2-1),",","."))</f>
        <v>0</v>
      </c>
      <c r="AC1106" s="3">
        <f>VALUE(SUBSTITUTE(MID($A1106,J1106+J$2+1,K1106-J1106-J$2-1),",","."))</f>
        <v>-1.5</v>
      </c>
      <c r="AD1106" s="3">
        <f>VALUE(SUBSTITUTE(MID($A1106,K1106+K$2+1,L1106-K1106-K$2-1),",","."))</f>
        <v>12.06</v>
      </c>
      <c r="AE1106" s="3">
        <f>VALUE(SUBSTITUTE(MID($A1106,L1106+L$2+1,M1106-L1106-L$2-1),",","."))</f>
        <v>0</v>
      </c>
      <c r="AF1106" s="3">
        <f>VALUE(SUBSTITUTE(MID($A1106,M1106+M$2+1,N1106-M1106-M$2-1),",","."))</f>
        <v>0</v>
      </c>
      <c r="AG1106" s="3">
        <f>VALUE(SUBSTITUTE(MID($A1106,N1106+N$2+1,O1106-N1106-N$2-1),",","."))</f>
        <v>4.2349181812324304</v>
      </c>
      <c r="AH1106" t="str">
        <f>MID($A1106,O1106+O$2+1,P1106-O1106-O$2-1)</f>
        <v/>
      </c>
      <c r="AI1106" s="8" t="str">
        <f>MID($A1106,P1106+P$2+1,Q1106-P1106-P$2-1)</f>
        <v>False</v>
      </c>
      <c r="AK1106" t="b">
        <f t="shared" si="151"/>
        <v>0</v>
      </c>
    </row>
    <row r="1107" spans="1:37" x14ac:dyDescent="0.35">
      <c r="A1107" t="s">
        <v>5654</v>
      </c>
      <c r="B1107">
        <f t="shared" si="146"/>
        <v>10</v>
      </c>
      <c r="C1107">
        <f t="shared" si="146"/>
        <v>43</v>
      </c>
      <c r="D1107">
        <f t="shared" si="146"/>
        <v>54</v>
      </c>
      <c r="E1107">
        <f t="shared" si="146"/>
        <v>80</v>
      </c>
      <c r="F1107">
        <f t="shared" si="146"/>
        <v>124</v>
      </c>
      <c r="G1107">
        <f t="shared" si="149"/>
        <v>145</v>
      </c>
      <c r="H1107">
        <f t="shared" si="149"/>
        <v>177</v>
      </c>
      <c r="I1107">
        <f t="shared" si="149"/>
        <v>199</v>
      </c>
      <c r="J1107">
        <f t="shared" si="149"/>
        <v>232</v>
      </c>
      <c r="K1107">
        <f t="shared" si="149"/>
        <v>252</v>
      </c>
      <c r="L1107">
        <f t="shared" si="149"/>
        <v>271</v>
      </c>
      <c r="M1107">
        <f t="shared" si="149"/>
        <v>286</v>
      </c>
      <c r="N1107">
        <f t="shared" si="149"/>
        <v>298</v>
      </c>
      <c r="O1107">
        <f t="shared" si="144"/>
        <v>323</v>
      </c>
      <c r="P1107">
        <f t="shared" si="144"/>
        <v>341</v>
      </c>
      <c r="Q1107">
        <f t="shared" si="144"/>
        <v>367</v>
      </c>
      <c r="S1107" t="str">
        <f t="shared" si="147"/>
        <v>08.12.2025</v>
      </c>
      <c r="T1107" t="str">
        <f t="shared" si="148"/>
        <v>07:15:00</v>
      </c>
      <c r="U1107" t="str">
        <f t="shared" si="150"/>
        <v>08.12.2025 07:15:00</v>
      </c>
      <c r="V1107" s="9" t="str">
        <f>MID($A1107,C1107+C$2+1,D1107-C1107-C$2-1)</f>
        <v>0</v>
      </c>
      <c r="W1107" s="4">
        <f>VALUE(SUBSTITUTE(MID($A1107,D1107+D$2+1,E1107-D1107-D$2-1),",","."))</f>
        <v>0</v>
      </c>
      <c r="X1107" s="4">
        <f>VALUE(SUBSTITUTE(MID($A1107,E1107+E$2+1,F1107-E1107-E$2-1),",","."))</f>
        <v>0.90957602214449496</v>
      </c>
      <c r="Y1107" s="4">
        <f>VALUE(SUBSTITUTE(MID($A1107,F1107+F$2+1,G1107-F1107-F$2-1),",","."))</f>
        <v>0</v>
      </c>
      <c r="Z1107" s="3">
        <f>VALUE(SUBSTITUTE(MID($A1107,G1107+G$2+1,H1107-G1107-G$2-1),",","."))</f>
        <v>0</v>
      </c>
      <c r="AA1107" s="3">
        <f>VALUE(SUBSTITUTE(MID($A1107,H1107+H$2+1,I1107-H1107-H$2-1),",","."))</f>
        <v>0</v>
      </c>
      <c r="AB1107" s="3">
        <f>VALUE(SUBSTITUTE(MID($A1107,I1107+I$2+1,J1107-I1107-I$2-1),",","."))</f>
        <v>0</v>
      </c>
      <c r="AC1107" s="3">
        <f>VALUE(SUBSTITUTE(MID($A1107,J1107+J$2+1,K1107-J1107-J$2-1),",","."))</f>
        <v>-1.5</v>
      </c>
      <c r="AD1107" s="3">
        <f>VALUE(SUBSTITUTE(MID($A1107,K1107+K$2+1,L1107-K1107-K$2-1),",","."))</f>
        <v>12.06</v>
      </c>
      <c r="AE1107" s="3">
        <f>VALUE(SUBSTITUTE(MID($A1107,L1107+L$2+1,M1107-L1107-L$2-1),",","."))</f>
        <v>0</v>
      </c>
      <c r="AF1107" s="3">
        <f>VALUE(SUBSTITUTE(MID($A1107,M1107+M$2+1,N1107-M1107-M$2-1),",","."))</f>
        <v>0</v>
      </c>
      <c r="AG1107" s="3">
        <f>VALUE(SUBSTITUTE(MID($A1107,N1107+N$2+1,O1107-N1107-N$2-1),",","."))</f>
        <v>4.23494670112051</v>
      </c>
      <c r="AH1107" t="str">
        <f>MID($A1107,O1107+O$2+1,P1107-O1107-O$2-1)</f>
        <v/>
      </c>
      <c r="AI1107" s="8" t="str">
        <f>MID($A1107,P1107+P$2+1,Q1107-P1107-P$2-1)</f>
        <v>False</v>
      </c>
      <c r="AK1107" t="b">
        <f t="shared" si="151"/>
        <v>0</v>
      </c>
    </row>
    <row r="1108" spans="1:37" x14ac:dyDescent="0.35">
      <c r="A1108" t="s">
        <v>5655</v>
      </c>
      <c r="B1108">
        <f t="shared" si="146"/>
        <v>10</v>
      </c>
      <c r="C1108">
        <f t="shared" si="146"/>
        <v>43</v>
      </c>
      <c r="D1108">
        <f t="shared" si="146"/>
        <v>54</v>
      </c>
      <c r="E1108">
        <f t="shared" si="146"/>
        <v>80</v>
      </c>
      <c r="F1108">
        <f t="shared" si="146"/>
        <v>124</v>
      </c>
      <c r="G1108">
        <f t="shared" si="149"/>
        <v>145</v>
      </c>
      <c r="H1108">
        <f t="shared" si="149"/>
        <v>177</v>
      </c>
      <c r="I1108">
        <f t="shared" si="149"/>
        <v>199</v>
      </c>
      <c r="J1108">
        <f t="shared" si="149"/>
        <v>232</v>
      </c>
      <c r="K1108">
        <f t="shared" si="149"/>
        <v>253</v>
      </c>
      <c r="L1108">
        <f t="shared" si="149"/>
        <v>271</v>
      </c>
      <c r="M1108">
        <f t="shared" si="149"/>
        <v>286</v>
      </c>
      <c r="N1108">
        <f t="shared" si="149"/>
        <v>298</v>
      </c>
      <c r="O1108">
        <f t="shared" si="144"/>
        <v>323</v>
      </c>
      <c r="P1108">
        <f t="shared" si="144"/>
        <v>341</v>
      </c>
      <c r="Q1108">
        <f t="shared" si="144"/>
        <v>367</v>
      </c>
      <c r="S1108" t="str">
        <f t="shared" si="147"/>
        <v>08.12.2025</v>
      </c>
      <c r="T1108" t="str">
        <f t="shared" si="148"/>
        <v>07:30:00</v>
      </c>
      <c r="U1108" t="str">
        <f t="shared" si="150"/>
        <v>08.12.2025 07:30:00</v>
      </c>
      <c r="V1108" s="9" t="str">
        <f>MID($A1108,C1108+C$2+1,D1108-C1108-C$2-1)</f>
        <v>0</v>
      </c>
      <c r="W1108" s="4">
        <f>VALUE(SUBSTITUTE(MID($A1108,D1108+D$2+1,E1108-D1108-D$2-1),",","."))</f>
        <v>0</v>
      </c>
      <c r="X1108" s="4">
        <f>VALUE(SUBSTITUTE(MID($A1108,E1108+E$2+1,F1108-E1108-E$2-1),",","."))</f>
        <v>0.90957602214449496</v>
      </c>
      <c r="Y1108" s="4">
        <f>VALUE(SUBSTITUTE(MID($A1108,F1108+F$2+1,G1108-F1108-F$2-1),",","."))</f>
        <v>0</v>
      </c>
      <c r="Z1108" s="3">
        <f>VALUE(SUBSTITUTE(MID($A1108,G1108+G$2+1,H1108-G1108-G$2-1),",","."))</f>
        <v>0</v>
      </c>
      <c r="AA1108" s="3">
        <f>VALUE(SUBSTITUTE(MID($A1108,H1108+H$2+1,I1108-H1108-H$2-1),",","."))</f>
        <v>0</v>
      </c>
      <c r="AB1108" s="3">
        <f>VALUE(SUBSTITUTE(MID($A1108,I1108+I$2+1,J1108-I1108-I$2-1),",","."))</f>
        <v>0</v>
      </c>
      <c r="AC1108" s="3">
        <f>VALUE(SUBSTITUTE(MID($A1108,J1108+J$2+1,K1108-J1108-J$2-1),",","."))</f>
        <v>-1.05</v>
      </c>
      <c r="AD1108" s="3">
        <f>VALUE(SUBSTITUTE(MID($A1108,K1108+K$2+1,L1108-K1108-K$2-1),",","."))</f>
        <v>10.8</v>
      </c>
      <c r="AE1108" s="3">
        <f>VALUE(SUBSTITUTE(MID($A1108,L1108+L$2+1,M1108-L1108-L$2-1),",","."))</f>
        <v>0</v>
      </c>
      <c r="AF1108" s="3">
        <f>VALUE(SUBSTITUTE(MID($A1108,M1108+M$2+1,N1108-M1108-M$2-1),",","."))</f>
        <v>0</v>
      </c>
      <c r="AG1108" s="3">
        <f>VALUE(SUBSTITUTE(MID($A1108,N1108+N$2+1,O1108-N1108-N$2-1),",","."))</f>
        <v>4.2349752210085896</v>
      </c>
      <c r="AH1108" t="str">
        <f>MID($A1108,O1108+O$2+1,P1108-O1108-O$2-1)</f>
        <v/>
      </c>
      <c r="AI1108" s="8" t="str">
        <f>MID($A1108,P1108+P$2+1,Q1108-P1108-P$2-1)</f>
        <v>False</v>
      </c>
      <c r="AK1108" t="b">
        <f t="shared" si="151"/>
        <v>0</v>
      </c>
    </row>
    <row r="1109" spans="1:37" x14ac:dyDescent="0.35">
      <c r="A1109" t="s">
        <v>5656</v>
      </c>
      <c r="B1109">
        <f t="shared" si="146"/>
        <v>10</v>
      </c>
      <c r="C1109">
        <f t="shared" si="146"/>
        <v>43</v>
      </c>
      <c r="D1109">
        <f t="shared" si="146"/>
        <v>54</v>
      </c>
      <c r="E1109">
        <f t="shared" si="146"/>
        <v>80</v>
      </c>
      <c r="F1109">
        <f t="shared" si="146"/>
        <v>124</v>
      </c>
      <c r="G1109">
        <f t="shared" si="149"/>
        <v>145</v>
      </c>
      <c r="H1109">
        <f t="shared" si="149"/>
        <v>177</v>
      </c>
      <c r="I1109">
        <f t="shared" si="149"/>
        <v>199</v>
      </c>
      <c r="J1109">
        <f t="shared" si="149"/>
        <v>232</v>
      </c>
      <c r="K1109">
        <f t="shared" si="149"/>
        <v>253</v>
      </c>
      <c r="L1109">
        <f t="shared" si="149"/>
        <v>271</v>
      </c>
      <c r="M1109">
        <f t="shared" si="149"/>
        <v>286</v>
      </c>
      <c r="N1109">
        <f t="shared" si="149"/>
        <v>298</v>
      </c>
      <c r="O1109">
        <f t="shared" si="144"/>
        <v>322</v>
      </c>
      <c r="P1109">
        <f t="shared" si="144"/>
        <v>340</v>
      </c>
      <c r="Q1109">
        <f t="shared" si="144"/>
        <v>366</v>
      </c>
      <c r="S1109" t="str">
        <f t="shared" si="147"/>
        <v>08.12.2025</v>
      </c>
      <c r="T1109" t="str">
        <f t="shared" si="148"/>
        <v>07:45:00</v>
      </c>
      <c r="U1109" t="str">
        <f t="shared" si="150"/>
        <v>08.12.2025 07:45:00</v>
      </c>
      <c r="V1109" s="9" t="str">
        <f>MID($A1109,C1109+C$2+1,D1109-C1109-C$2-1)</f>
        <v>0</v>
      </c>
      <c r="W1109" s="4">
        <f>VALUE(SUBSTITUTE(MID($A1109,D1109+D$2+1,E1109-D1109-D$2-1),",","."))</f>
        <v>0</v>
      </c>
      <c r="X1109" s="4">
        <f>VALUE(SUBSTITUTE(MID($A1109,E1109+E$2+1,F1109-E1109-E$2-1),",","."))</f>
        <v>0.90957602214449496</v>
      </c>
      <c r="Y1109" s="4">
        <f>VALUE(SUBSTITUTE(MID($A1109,F1109+F$2+1,G1109-F1109-F$2-1),",","."))</f>
        <v>0</v>
      </c>
      <c r="Z1109" s="3">
        <f>VALUE(SUBSTITUTE(MID($A1109,G1109+G$2+1,H1109-G1109-G$2-1),",","."))</f>
        <v>0</v>
      </c>
      <c r="AA1109" s="3">
        <f>VALUE(SUBSTITUTE(MID($A1109,H1109+H$2+1,I1109-H1109-H$2-1),",","."))</f>
        <v>0</v>
      </c>
      <c r="AB1109" s="3">
        <f>VALUE(SUBSTITUTE(MID($A1109,I1109+I$2+1,J1109-I1109-I$2-1),",","."))</f>
        <v>0</v>
      </c>
      <c r="AC1109" s="3">
        <f>VALUE(SUBSTITUTE(MID($A1109,J1109+J$2+1,K1109-J1109-J$2-1),",","."))</f>
        <v>-1.05</v>
      </c>
      <c r="AD1109" s="3">
        <f>VALUE(SUBSTITUTE(MID($A1109,K1109+K$2+1,L1109-K1109-K$2-1),",","."))</f>
        <v>10.8</v>
      </c>
      <c r="AE1109" s="3">
        <f>VALUE(SUBSTITUTE(MID($A1109,L1109+L$2+1,M1109-L1109-L$2-1),",","."))</f>
        <v>0</v>
      </c>
      <c r="AF1109" s="3">
        <f>VALUE(SUBSTITUTE(MID($A1109,M1109+M$2+1,N1109-M1109-M$2-1),",","."))</f>
        <v>0</v>
      </c>
      <c r="AG1109" s="3">
        <f>VALUE(SUBSTITUTE(MID($A1109,N1109+N$2+1,O1109-N1109-N$2-1),",","."))</f>
        <v>4.2350037408966799</v>
      </c>
      <c r="AH1109" t="str">
        <f>MID($A1109,O1109+O$2+1,P1109-O1109-O$2-1)</f>
        <v/>
      </c>
      <c r="AI1109" s="8" t="str">
        <f>MID($A1109,P1109+P$2+1,Q1109-P1109-P$2-1)</f>
        <v>False</v>
      </c>
      <c r="AK1109" t="b">
        <f t="shared" si="151"/>
        <v>0</v>
      </c>
    </row>
    <row r="1110" spans="1:37" x14ac:dyDescent="0.35">
      <c r="A1110" t="s">
        <v>5657</v>
      </c>
      <c r="B1110">
        <f t="shared" si="146"/>
        <v>10</v>
      </c>
      <c r="C1110">
        <f t="shared" si="146"/>
        <v>43</v>
      </c>
      <c r="D1110">
        <f t="shared" si="146"/>
        <v>54</v>
      </c>
      <c r="E1110">
        <f t="shared" si="146"/>
        <v>80</v>
      </c>
      <c r="F1110">
        <f t="shared" si="146"/>
        <v>124</v>
      </c>
      <c r="G1110">
        <f t="shared" si="149"/>
        <v>164</v>
      </c>
      <c r="H1110">
        <f t="shared" si="149"/>
        <v>196</v>
      </c>
      <c r="I1110">
        <f t="shared" si="149"/>
        <v>218</v>
      </c>
      <c r="J1110">
        <f t="shared" si="149"/>
        <v>251</v>
      </c>
      <c r="K1110">
        <f t="shared" si="149"/>
        <v>272</v>
      </c>
      <c r="L1110">
        <f t="shared" si="149"/>
        <v>290</v>
      </c>
      <c r="M1110">
        <f t="shared" si="149"/>
        <v>305</v>
      </c>
      <c r="N1110">
        <f t="shared" si="149"/>
        <v>317</v>
      </c>
      <c r="O1110">
        <f t="shared" si="144"/>
        <v>342</v>
      </c>
      <c r="P1110">
        <f t="shared" si="144"/>
        <v>360</v>
      </c>
      <c r="Q1110">
        <f t="shared" si="144"/>
        <v>386</v>
      </c>
      <c r="S1110" t="str">
        <f t="shared" si="147"/>
        <v>08.12.2025</v>
      </c>
      <c r="T1110" t="str">
        <f t="shared" si="148"/>
        <v>08:00:00</v>
      </c>
      <c r="U1110" t="str">
        <f t="shared" si="150"/>
        <v>08.12.2025 08:00:00</v>
      </c>
      <c r="V1110" s="9" t="str">
        <f>MID($A1110,C1110+C$2+1,D1110-C1110-C$2-1)</f>
        <v>0</v>
      </c>
      <c r="W1110" s="4">
        <f>VALUE(SUBSTITUTE(MID($A1110,D1110+D$2+1,E1110-D1110-D$2-1),",","."))</f>
        <v>0</v>
      </c>
      <c r="X1110" s="4">
        <f>VALUE(SUBSTITUTE(MID($A1110,E1110+E$2+1,F1110-E1110-E$2-1),",","."))</f>
        <v>0.90957602214449496</v>
      </c>
      <c r="Y1110" s="4">
        <f>VALUE(SUBSTITUTE(MID($A1110,F1110+F$2+1,G1110-F1110-F$2-1),",","."))</f>
        <v>1.36973149151648E-2</v>
      </c>
      <c r="Z1110" s="3">
        <f>VALUE(SUBSTITUTE(MID($A1110,G1110+G$2+1,H1110-G1110-G$2-1),",","."))</f>
        <v>0</v>
      </c>
      <c r="AA1110" s="3">
        <f>VALUE(SUBSTITUTE(MID($A1110,H1110+H$2+1,I1110-H1110-H$2-1),",","."))</f>
        <v>0</v>
      </c>
      <c r="AB1110" s="3">
        <f>VALUE(SUBSTITUTE(MID($A1110,I1110+I$2+1,J1110-I1110-I$2-1),",","."))</f>
        <v>0</v>
      </c>
      <c r="AC1110" s="3">
        <f>VALUE(SUBSTITUTE(MID($A1110,J1110+J$2+1,K1110-J1110-J$2-1),",","."))</f>
        <v>-1.05</v>
      </c>
      <c r="AD1110" s="3">
        <f>VALUE(SUBSTITUTE(MID($A1110,K1110+K$2+1,L1110-K1110-K$2-1),",","."))</f>
        <v>10.8</v>
      </c>
      <c r="AE1110" s="3">
        <f>VALUE(SUBSTITUTE(MID($A1110,L1110+L$2+1,M1110-L1110-L$2-1),",","."))</f>
        <v>0</v>
      </c>
      <c r="AF1110" s="3">
        <f>VALUE(SUBSTITUTE(MID($A1110,M1110+M$2+1,N1110-M1110-M$2-1),",","."))</f>
        <v>0</v>
      </c>
      <c r="AG1110" s="3">
        <f>VALUE(SUBSTITUTE(MID($A1110,N1110+N$2+1,O1110-N1110-N$2-1),",","."))</f>
        <v>4.2350322607847604</v>
      </c>
      <c r="AH1110" t="str">
        <f>MID($A1110,O1110+O$2+1,P1110-O1110-O$2-1)</f>
        <v/>
      </c>
      <c r="AI1110" s="8" t="str">
        <f>MID($A1110,P1110+P$2+1,Q1110-P1110-P$2-1)</f>
        <v>False</v>
      </c>
      <c r="AK1110" t="b">
        <f t="shared" si="151"/>
        <v>0</v>
      </c>
    </row>
    <row r="1111" spans="1:37" x14ac:dyDescent="0.35">
      <c r="A1111" t="s">
        <v>5658</v>
      </c>
      <c r="B1111">
        <f t="shared" si="146"/>
        <v>10</v>
      </c>
      <c r="C1111">
        <f t="shared" si="146"/>
        <v>43</v>
      </c>
      <c r="D1111">
        <f t="shared" si="146"/>
        <v>54</v>
      </c>
      <c r="E1111">
        <f t="shared" si="146"/>
        <v>97</v>
      </c>
      <c r="F1111">
        <f t="shared" si="146"/>
        <v>141</v>
      </c>
      <c r="G1111">
        <f t="shared" si="149"/>
        <v>180</v>
      </c>
      <c r="H1111">
        <f t="shared" si="149"/>
        <v>212</v>
      </c>
      <c r="I1111">
        <f t="shared" si="149"/>
        <v>234</v>
      </c>
      <c r="J1111">
        <f t="shared" si="149"/>
        <v>267</v>
      </c>
      <c r="K1111">
        <f t="shared" si="149"/>
        <v>288</v>
      </c>
      <c r="L1111">
        <f t="shared" si="149"/>
        <v>306</v>
      </c>
      <c r="M1111">
        <f t="shared" si="149"/>
        <v>321</v>
      </c>
      <c r="N1111">
        <f t="shared" si="149"/>
        <v>333</v>
      </c>
      <c r="O1111">
        <f t="shared" si="144"/>
        <v>358</v>
      </c>
      <c r="P1111">
        <f t="shared" si="144"/>
        <v>376</v>
      </c>
      <c r="Q1111">
        <f t="shared" si="144"/>
        <v>402</v>
      </c>
      <c r="S1111" t="str">
        <f t="shared" si="147"/>
        <v>08.12.2025</v>
      </c>
      <c r="T1111" t="str">
        <f t="shared" si="148"/>
        <v>08:15:00</v>
      </c>
      <c r="U1111" t="str">
        <f t="shared" si="150"/>
        <v>08.12.2025 08:15:00</v>
      </c>
      <c r="V1111" s="9" t="str">
        <f>MID($A1111,C1111+C$2+1,D1111-C1111-C$2-1)</f>
        <v>0</v>
      </c>
      <c r="W1111" s="4">
        <f>VALUE(SUBSTITUTE(MID($A1111,D1111+D$2+1,E1111-D1111-D$2-1),",","."))</f>
        <v>0.53121146519694296</v>
      </c>
      <c r="X1111" s="4">
        <f>VALUE(SUBSTITUTE(MID($A1111,E1111+E$2+1,F1111-E1111-E$2-1),",","."))</f>
        <v>0.90957602214449496</v>
      </c>
      <c r="Y1111" s="4">
        <f>VALUE(SUBSTITUTE(MID($A1111,F1111+F$2+1,G1111-F1111-F$2-1),",","."))</f>
        <v>4.61544809010846E-2</v>
      </c>
      <c r="Z1111" s="3">
        <f>VALUE(SUBSTITUTE(MID($A1111,G1111+G$2+1,H1111-G1111-G$2-1),",","."))</f>
        <v>0</v>
      </c>
      <c r="AA1111" s="3">
        <f>VALUE(SUBSTITUTE(MID($A1111,H1111+H$2+1,I1111-H1111-H$2-1),",","."))</f>
        <v>0</v>
      </c>
      <c r="AB1111" s="3">
        <f>VALUE(SUBSTITUTE(MID($A1111,I1111+I$2+1,J1111-I1111-I$2-1),",","."))</f>
        <v>0</v>
      </c>
      <c r="AC1111" s="3">
        <f>VALUE(SUBSTITUTE(MID($A1111,J1111+J$2+1,K1111-J1111-J$2-1),",","."))</f>
        <v>-1.05</v>
      </c>
      <c r="AD1111" s="3">
        <f>VALUE(SUBSTITUTE(MID($A1111,K1111+K$2+1,L1111-K1111-K$2-1),",","."))</f>
        <v>10.8</v>
      </c>
      <c r="AE1111" s="3">
        <f>VALUE(SUBSTITUTE(MID($A1111,L1111+L$2+1,M1111-L1111-L$2-1),",","."))</f>
        <v>0</v>
      </c>
      <c r="AF1111" s="3">
        <f>VALUE(SUBSTITUTE(MID($A1111,M1111+M$2+1,N1111-M1111-M$2-1),",","."))</f>
        <v>0</v>
      </c>
      <c r="AG1111" s="3">
        <f>VALUE(SUBSTITUTE(MID($A1111,N1111+N$2+1,O1111-N1111-N$2-1),",","."))</f>
        <v>4.23506078067284</v>
      </c>
      <c r="AH1111" t="str">
        <f>MID($A1111,O1111+O$2+1,P1111-O1111-O$2-1)</f>
        <v/>
      </c>
      <c r="AI1111" s="8" t="str">
        <f>MID($A1111,P1111+P$2+1,Q1111-P1111-P$2-1)</f>
        <v>False</v>
      </c>
      <c r="AK1111" t="b">
        <f t="shared" si="151"/>
        <v>0</v>
      </c>
    </row>
    <row r="1112" spans="1:37" x14ac:dyDescent="0.35">
      <c r="A1112" t="s">
        <v>5659</v>
      </c>
      <c r="B1112">
        <f t="shared" si="146"/>
        <v>10</v>
      </c>
      <c r="C1112">
        <f t="shared" si="146"/>
        <v>43</v>
      </c>
      <c r="D1112">
        <f t="shared" si="146"/>
        <v>54</v>
      </c>
      <c r="E1112">
        <f t="shared" si="146"/>
        <v>97</v>
      </c>
      <c r="F1112">
        <f t="shared" si="146"/>
        <v>141</v>
      </c>
      <c r="G1112">
        <f t="shared" si="149"/>
        <v>180</v>
      </c>
      <c r="H1112">
        <f t="shared" si="149"/>
        <v>228</v>
      </c>
      <c r="I1112">
        <f t="shared" si="149"/>
        <v>250</v>
      </c>
      <c r="J1112">
        <f t="shared" si="149"/>
        <v>286</v>
      </c>
      <c r="K1112">
        <f t="shared" si="149"/>
        <v>306</v>
      </c>
      <c r="L1112">
        <f t="shared" si="149"/>
        <v>324</v>
      </c>
      <c r="M1112">
        <f t="shared" si="149"/>
        <v>339</v>
      </c>
      <c r="N1112">
        <f t="shared" si="149"/>
        <v>351</v>
      </c>
      <c r="O1112">
        <f t="shared" si="144"/>
        <v>376</v>
      </c>
      <c r="P1112">
        <f t="shared" si="144"/>
        <v>394</v>
      </c>
      <c r="Q1112">
        <f t="shared" si="144"/>
        <v>420</v>
      </c>
      <c r="S1112" t="str">
        <f t="shared" si="147"/>
        <v>08.12.2025</v>
      </c>
      <c r="T1112" t="str">
        <f t="shared" si="148"/>
        <v>08:30:00</v>
      </c>
      <c r="U1112" t="str">
        <f t="shared" si="150"/>
        <v>08.12.2025 08:30:00</v>
      </c>
      <c r="V1112" s="9" t="str">
        <f>MID($A1112,C1112+C$2+1,D1112-C1112-C$2-1)</f>
        <v>0</v>
      </c>
      <c r="W1112" s="4">
        <f>VALUE(SUBSTITUTE(MID($A1112,D1112+D$2+1,E1112-D1112-D$2-1),",","."))</f>
        <v>0.57088173450928104</v>
      </c>
      <c r="X1112" s="4">
        <f>VALUE(SUBSTITUTE(MID($A1112,E1112+E$2+1,F1112-E1112-E$2-1),",","."))</f>
        <v>0.90957602214449496</v>
      </c>
      <c r="Y1112" s="4">
        <f>VALUE(SUBSTITUTE(MID($A1112,F1112+F$2+1,G1112-F1112-F$2-1),",","."))</f>
        <v>7.8903760335089501E-2</v>
      </c>
      <c r="Z1112" s="3">
        <f>VALUE(SUBSTITUTE(MID($A1112,G1112+G$2+1,H1112-G1112-G$2-1),",","."))</f>
        <v>8.5333333333333297</v>
      </c>
      <c r="AA1112" s="3">
        <f>VALUE(SUBSTITUTE(MID($A1112,H1112+H$2+1,I1112-H1112-H$2-1),",","."))</f>
        <v>0</v>
      </c>
      <c r="AB1112" s="3">
        <f>VALUE(SUBSTITUTE(MID($A1112,I1112+I$2+1,J1112-I1112-I$2-1),",","."))</f>
        <v>13.5</v>
      </c>
      <c r="AC1112" s="3">
        <f>VALUE(SUBSTITUTE(MID($A1112,J1112+J$2+1,K1112-J1112-J$2-1),",","."))</f>
        <v>-0.4</v>
      </c>
      <c r="AD1112" s="3">
        <f>VALUE(SUBSTITUTE(MID($A1112,K1112+K$2+1,L1112-K1112-K$2-1),",","."))</f>
        <v>9.18</v>
      </c>
      <c r="AE1112" s="3">
        <f>VALUE(SUBSTITUTE(MID($A1112,L1112+L$2+1,M1112-L1112-L$2-1),",","."))</f>
        <v>0</v>
      </c>
      <c r="AF1112" s="3">
        <f>VALUE(SUBSTITUTE(MID($A1112,M1112+M$2+1,N1112-M1112-M$2-1),",","."))</f>
        <v>0</v>
      </c>
      <c r="AG1112" s="3">
        <f>VALUE(SUBSTITUTE(MID($A1112,N1112+N$2+1,O1112-N1112-N$2-1),",","."))</f>
        <v>4.2350893005609196</v>
      </c>
      <c r="AH1112" t="str">
        <f>MID($A1112,O1112+O$2+1,P1112-O1112-O$2-1)</f>
        <v/>
      </c>
      <c r="AI1112" s="8" t="str">
        <f>MID($A1112,P1112+P$2+1,Q1112-P1112-P$2-1)</f>
        <v>False</v>
      </c>
      <c r="AK1112" t="b">
        <f t="shared" si="151"/>
        <v>1</v>
      </c>
    </row>
    <row r="1113" spans="1:37" x14ac:dyDescent="0.35">
      <c r="A1113" t="s">
        <v>5660</v>
      </c>
      <c r="B1113">
        <f t="shared" si="146"/>
        <v>10</v>
      </c>
      <c r="C1113">
        <f t="shared" si="146"/>
        <v>43</v>
      </c>
      <c r="D1113">
        <f t="shared" si="146"/>
        <v>54</v>
      </c>
      <c r="E1113">
        <f t="shared" si="146"/>
        <v>97</v>
      </c>
      <c r="F1113">
        <f t="shared" si="146"/>
        <v>141</v>
      </c>
      <c r="G1113">
        <f t="shared" si="149"/>
        <v>180</v>
      </c>
      <c r="H1113">
        <f t="shared" si="149"/>
        <v>228</v>
      </c>
      <c r="I1113">
        <f t="shared" si="149"/>
        <v>250</v>
      </c>
      <c r="J1113">
        <f t="shared" si="149"/>
        <v>286</v>
      </c>
      <c r="K1113">
        <f t="shared" si="149"/>
        <v>306</v>
      </c>
      <c r="L1113">
        <f t="shared" si="149"/>
        <v>324</v>
      </c>
      <c r="M1113">
        <f t="shared" si="149"/>
        <v>339</v>
      </c>
      <c r="N1113">
        <f t="shared" si="149"/>
        <v>351</v>
      </c>
      <c r="O1113">
        <f t="shared" si="144"/>
        <v>376</v>
      </c>
      <c r="P1113">
        <f t="shared" si="144"/>
        <v>394</v>
      </c>
      <c r="Q1113">
        <f t="shared" si="144"/>
        <v>420</v>
      </c>
      <c r="S1113" t="str">
        <f t="shared" si="147"/>
        <v>08.12.2025</v>
      </c>
      <c r="T1113" t="str">
        <f t="shared" si="148"/>
        <v>08:45:00</v>
      </c>
      <c r="U1113" t="str">
        <f t="shared" si="150"/>
        <v>08.12.2025 08:45:00</v>
      </c>
      <c r="V1113" s="9" t="str">
        <f>MID($A1113,C1113+C$2+1,D1113-C1113-C$2-1)</f>
        <v>0</v>
      </c>
      <c r="W1113" s="4">
        <f>VALUE(SUBSTITUTE(MID($A1113,D1113+D$2+1,E1113-D1113-D$2-1),",","."))</f>
        <v>0.60826451044933305</v>
      </c>
      <c r="X1113" s="4">
        <f>VALUE(SUBSTITUTE(MID($A1113,E1113+E$2+1,F1113-E1113-E$2-1),",","."))</f>
        <v>0.90957602214449496</v>
      </c>
      <c r="Y1113" s="4">
        <f>VALUE(SUBSTITUTE(MID($A1113,F1113+F$2+1,G1113-F1113-F$2-1),",","."))</f>
        <v>0.110760825034529</v>
      </c>
      <c r="Z1113" s="3">
        <f>VALUE(SUBSTITUTE(MID($A1113,G1113+G$2+1,H1113-G1113-G$2-1),",","."))</f>
        <v>8.5333333333333297</v>
      </c>
      <c r="AA1113" s="3">
        <f>VALUE(SUBSTITUTE(MID($A1113,H1113+H$2+1,I1113-H1113-H$2-1),",","."))</f>
        <v>0</v>
      </c>
      <c r="AB1113" s="3">
        <f>VALUE(SUBSTITUTE(MID($A1113,I1113+I$2+1,J1113-I1113-I$2-1),",","."))</f>
        <v>13.5</v>
      </c>
      <c r="AC1113" s="3">
        <f>VALUE(SUBSTITUTE(MID($A1113,J1113+J$2+1,K1113-J1113-J$2-1),",","."))</f>
        <v>-0.4</v>
      </c>
      <c r="AD1113" s="3">
        <f>VALUE(SUBSTITUTE(MID($A1113,K1113+K$2+1,L1113-K1113-K$2-1),",","."))</f>
        <v>9.18</v>
      </c>
      <c r="AE1113" s="3">
        <f>VALUE(SUBSTITUTE(MID($A1113,L1113+L$2+1,M1113-L1113-L$2-1),",","."))</f>
        <v>0</v>
      </c>
      <c r="AF1113" s="3">
        <f>VALUE(SUBSTITUTE(MID($A1113,M1113+M$2+1,N1113-M1113-M$2-1),",","."))</f>
        <v>0</v>
      </c>
      <c r="AG1113" s="3">
        <f>VALUE(SUBSTITUTE(MID($A1113,N1113+N$2+1,O1113-N1113-N$2-1),",","."))</f>
        <v>4.2351178204490001</v>
      </c>
      <c r="AH1113" t="str">
        <f>MID($A1113,O1113+O$2+1,P1113-O1113-O$2-1)</f>
        <v/>
      </c>
      <c r="AI1113" s="8" t="str">
        <f>MID($A1113,P1113+P$2+1,Q1113-P1113-P$2-1)</f>
        <v>False</v>
      </c>
      <c r="AK1113" t="b">
        <f t="shared" si="151"/>
        <v>1</v>
      </c>
    </row>
    <row r="1114" spans="1:37" x14ac:dyDescent="0.35">
      <c r="A1114" t="s">
        <v>5661</v>
      </c>
      <c r="B1114">
        <f t="shared" si="146"/>
        <v>10</v>
      </c>
      <c r="C1114">
        <f t="shared" si="146"/>
        <v>43</v>
      </c>
      <c r="D1114">
        <f t="shared" si="146"/>
        <v>54</v>
      </c>
      <c r="E1114">
        <f t="shared" si="146"/>
        <v>97</v>
      </c>
      <c r="F1114">
        <f t="shared" si="146"/>
        <v>141</v>
      </c>
      <c r="G1114">
        <f t="shared" si="149"/>
        <v>180</v>
      </c>
      <c r="H1114">
        <f t="shared" si="149"/>
        <v>228</v>
      </c>
      <c r="I1114">
        <f t="shared" si="149"/>
        <v>250</v>
      </c>
      <c r="J1114">
        <f t="shared" si="149"/>
        <v>286</v>
      </c>
      <c r="K1114">
        <f t="shared" si="149"/>
        <v>306</v>
      </c>
      <c r="L1114">
        <f t="shared" si="149"/>
        <v>324</v>
      </c>
      <c r="M1114">
        <f t="shared" si="149"/>
        <v>339</v>
      </c>
      <c r="N1114">
        <f t="shared" si="149"/>
        <v>351</v>
      </c>
      <c r="O1114">
        <f t="shared" si="144"/>
        <v>376</v>
      </c>
      <c r="P1114">
        <f t="shared" si="144"/>
        <v>394</v>
      </c>
      <c r="Q1114">
        <f t="shared" si="144"/>
        <v>420</v>
      </c>
      <c r="S1114" t="str">
        <f t="shared" si="147"/>
        <v>08.12.2025</v>
      </c>
      <c r="T1114" t="str">
        <f t="shared" si="148"/>
        <v>09:00:00</v>
      </c>
      <c r="U1114" t="str">
        <f t="shared" si="150"/>
        <v>08.12.2025 09:00:00</v>
      </c>
      <c r="V1114" s="9" t="str">
        <f>MID($A1114,C1114+C$2+1,D1114-C1114-C$2-1)</f>
        <v>0</v>
      </c>
      <c r="W1114" s="4">
        <f>VALUE(SUBSTITUTE(MID($A1114,D1114+D$2+1,E1114-D1114-D$2-1),",","."))</f>
        <v>0.642898648696129</v>
      </c>
      <c r="X1114" s="4">
        <f>VALUE(SUBSTITUTE(MID($A1114,E1114+E$2+1,F1114-E1114-E$2-1),",","."))</f>
        <v>0.90957602214449496</v>
      </c>
      <c r="Y1114" s="4">
        <f>VALUE(SUBSTITUTE(MID($A1114,F1114+F$2+1,G1114-F1114-F$2-1),",","."))</f>
        <v>0.14123008646736099</v>
      </c>
      <c r="Z1114" s="3">
        <f>VALUE(SUBSTITUTE(MID($A1114,G1114+G$2+1,H1114-G1114-G$2-1),",","."))</f>
        <v>8.5333333333333297</v>
      </c>
      <c r="AA1114" s="3">
        <f>VALUE(SUBSTITUTE(MID($A1114,H1114+H$2+1,I1114-H1114-H$2-1),",","."))</f>
        <v>0</v>
      </c>
      <c r="AB1114" s="3">
        <f>VALUE(SUBSTITUTE(MID($A1114,I1114+I$2+1,J1114-I1114-I$2-1),",","."))</f>
        <v>13.5</v>
      </c>
      <c r="AC1114" s="3">
        <f>VALUE(SUBSTITUTE(MID($A1114,J1114+J$2+1,K1114-J1114-J$2-1),",","."))</f>
        <v>-0.4</v>
      </c>
      <c r="AD1114" s="3">
        <f>VALUE(SUBSTITUTE(MID($A1114,K1114+K$2+1,L1114-K1114-K$2-1),",","."))</f>
        <v>9.18</v>
      </c>
      <c r="AE1114" s="3">
        <f>VALUE(SUBSTITUTE(MID($A1114,L1114+L$2+1,M1114-L1114-L$2-1),",","."))</f>
        <v>0</v>
      </c>
      <c r="AF1114" s="3">
        <f>VALUE(SUBSTITUTE(MID($A1114,M1114+M$2+1,N1114-M1114-M$2-1),",","."))</f>
        <v>0</v>
      </c>
      <c r="AG1114" s="3">
        <f>VALUE(SUBSTITUTE(MID($A1114,N1114+N$2+1,O1114-N1114-N$2-1),",","."))</f>
        <v>4.2351463403370797</v>
      </c>
      <c r="AH1114" t="str">
        <f>MID($A1114,O1114+O$2+1,P1114-O1114-O$2-1)</f>
        <v/>
      </c>
      <c r="AI1114" s="8" t="str">
        <f>MID($A1114,P1114+P$2+1,Q1114-P1114-P$2-1)</f>
        <v>False</v>
      </c>
      <c r="AK1114" t="b">
        <f t="shared" si="151"/>
        <v>1</v>
      </c>
    </row>
    <row r="1115" spans="1:37" x14ac:dyDescent="0.35">
      <c r="A1115" t="s">
        <v>5662</v>
      </c>
      <c r="B1115">
        <f t="shared" si="146"/>
        <v>10</v>
      </c>
      <c r="C1115">
        <f t="shared" si="146"/>
        <v>43</v>
      </c>
      <c r="D1115">
        <f t="shared" si="146"/>
        <v>54</v>
      </c>
      <c r="E1115">
        <f t="shared" si="146"/>
        <v>97</v>
      </c>
      <c r="F1115">
        <f t="shared" si="146"/>
        <v>141</v>
      </c>
      <c r="G1115">
        <f t="shared" si="149"/>
        <v>180</v>
      </c>
      <c r="H1115">
        <f t="shared" si="149"/>
        <v>228</v>
      </c>
      <c r="I1115">
        <f t="shared" si="149"/>
        <v>250</v>
      </c>
      <c r="J1115">
        <f t="shared" si="149"/>
        <v>286</v>
      </c>
      <c r="K1115">
        <f t="shared" si="149"/>
        <v>306</v>
      </c>
      <c r="L1115">
        <f t="shared" si="149"/>
        <v>324</v>
      </c>
      <c r="M1115">
        <f t="shared" si="149"/>
        <v>339</v>
      </c>
      <c r="N1115">
        <f t="shared" si="149"/>
        <v>351</v>
      </c>
      <c r="O1115">
        <f t="shared" si="144"/>
        <v>376</v>
      </c>
      <c r="P1115">
        <f t="shared" si="144"/>
        <v>394</v>
      </c>
      <c r="Q1115">
        <f t="shared" si="144"/>
        <v>420</v>
      </c>
      <c r="S1115" t="str">
        <f t="shared" si="147"/>
        <v>08.12.2025</v>
      </c>
      <c r="T1115" t="str">
        <f t="shared" si="148"/>
        <v>09:15:00</v>
      </c>
      <c r="U1115" t="str">
        <f t="shared" si="150"/>
        <v>08.12.2025 09:15:00</v>
      </c>
      <c r="V1115" s="9" t="str">
        <f>MID($A1115,C1115+C$2+1,D1115-C1115-C$2-1)</f>
        <v>0</v>
      </c>
      <c r="W1115" s="4">
        <f>VALUE(SUBSTITUTE(MID($A1115,D1115+D$2+1,E1115-D1115-D$2-1),",","."))</f>
        <v>0.67451734418322595</v>
      </c>
      <c r="X1115" s="4">
        <f>VALUE(SUBSTITUTE(MID($A1115,E1115+E$2+1,F1115-E1115-E$2-1),",","."))</f>
        <v>0.90957602214449496</v>
      </c>
      <c r="Y1115" s="4">
        <f>VALUE(SUBSTITUTE(MID($A1115,F1115+F$2+1,G1115-F1115-F$2-1),",","."))</f>
        <v>0.17003921722677001</v>
      </c>
      <c r="Z1115" s="3">
        <f>VALUE(SUBSTITUTE(MID($A1115,G1115+G$2+1,H1115-G1115-G$2-1),",","."))</f>
        <v>8.5333333333333297</v>
      </c>
      <c r="AA1115" s="3">
        <f>VALUE(SUBSTITUTE(MID($A1115,H1115+H$2+1,I1115-H1115-H$2-1),",","."))</f>
        <v>0</v>
      </c>
      <c r="AB1115" s="3">
        <f>VALUE(SUBSTITUTE(MID($A1115,I1115+I$2+1,J1115-I1115-I$2-1),",","."))</f>
        <v>13.5</v>
      </c>
      <c r="AC1115" s="3">
        <f>VALUE(SUBSTITUTE(MID($A1115,J1115+J$2+1,K1115-J1115-J$2-1),",","."))</f>
        <v>-0.4</v>
      </c>
      <c r="AD1115" s="3">
        <f>VALUE(SUBSTITUTE(MID($A1115,K1115+K$2+1,L1115-K1115-K$2-1),",","."))</f>
        <v>9.18</v>
      </c>
      <c r="AE1115" s="3">
        <f>VALUE(SUBSTITUTE(MID($A1115,L1115+L$2+1,M1115-L1115-L$2-1),",","."))</f>
        <v>0</v>
      </c>
      <c r="AF1115" s="3">
        <f>VALUE(SUBSTITUTE(MID($A1115,M1115+M$2+1,N1115-M1115-M$2-1),",","."))</f>
        <v>0</v>
      </c>
      <c r="AG1115" s="3">
        <f>VALUE(SUBSTITUTE(MID($A1115,N1115+N$2+1,O1115-N1115-N$2-1),",","."))</f>
        <v>4.2351748602251602</v>
      </c>
      <c r="AH1115" t="str">
        <f>MID($A1115,O1115+O$2+1,P1115-O1115-O$2-1)</f>
        <v/>
      </c>
      <c r="AI1115" s="8" t="str">
        <f>MID($A1115,P1115+P$2+1,Q1115-P1115-P$2-1)</f>
        <v>False</v>
      </c>
      <c r="AK1115" t="b">
        <f t="shared" si="151"/>
        <v>1</v>
      </c>
    </row>
    <row r="1116" spans="1:37" x14ac:dyDescent="0.35">
      <c r="A1116" t="s">
        <v>5663</v>
      </c>
      <c r="B1116">
        <f t="shared" si="146"/>
        <v>10</v>
      </c>
      <c r="C1116">
        <f t="shared" si="146"/>
        <v>43</v>
      </c>
      <c r="D1116">
        <f t="shared" si="146"/>
        <v>54</v>
      </c>
      <c r="E1116">
        <f t="shared" si="146"/>
        <v>97</v>
      </c>
      <c r="F1116">
        <f t="shared" si="146"/>
        <v>141</v>
      </c>
      <c r="G1116">
        <f t="shared" si="149"/>
        <v>179</v>
      </c>
      <c r="H1116">
        <f t="shared" si="149"/>
        <v>228</v>
      </c>
      <c r="I1116">
        <f t="shared" si="149"/>
        <v>250</v>
      </c>
      <c r="J1116">
        <f t="shared" si="149"/>
        <v>284</v>
      </c>
      <c r="K1116">
        <f t="shared" si="149"/>
        <v>304</v>
      </c>
      <c r="L1116">
        <f t="shared" si="149"/>
        <v>322</v>
      </c>
      <c r="M1116">
        <f t="shared" si="149"/>
        <v>337</v>
      </c>
      <c r="N1116">
        <f t="shared" si="149"/>
        <v>349</v>
      </c>
      <c r="O1116">
        <f t="shared" si="144"/>
        <v>375</v>
      </c>
      <c r="P1116">
        <f t="shared" si="144"/>
        <v>393</v>
      </c>
      <c r="Q1116">
        <f t="shared" si="144"/>
        <v>419</v>
      </c>
      <c r="S1116" t="str">
        <f t="shared" si="147"/>
        <v>08.12.2025</v>
      </c>
      <c r="T1116" t="str">
        <f t="shared" si="148"/>
        <v>09:30:00</v>
      </c>
      <c r="U1116" t="str">
        <f t="shared" si="150"/>
        <v>08.12.2025 09:30:00</v>
      </c>
      <c r="V1116" s="9" t="str">
        <f>MID($A1116,C1116+C$2+1,D1116-C1116-C$2-1)</f>
        <v>0</v>
      </c>
      <c r="W1116" s="4">
        <f>VALUE(SUBSTITUTE(MID($A1116,D1116+D$2+1,E1116-D1116-D$2-1),",","."))</f>
        <v>0.702930861626754</v>
      </c>
      <c r="X1116" s="4">
        <f>VALUE(SUBSTITUTE(MID($A1116,E1116+E$2+1,F1116-E1116-E$2-1),",","."))</f>
        <v>0.90957602214449496</v>
      </c>
      <c r="Y1116" s="4">
        <f>VALUE(SUBSTITUTE(MID($A1116,F1116+F$2+1,G1116-F1116-F$2-1),",","."))</f>
        <v>0.19699962211803099</v>
      </c>
      <c r="Z1116" s="3">
        <f>VALUE(SUBSTITUTE(MID($A1116,G1116+G$2+1,H1116-G1116-G$2-1),",","."))</f>
        <v>10.233333333333301</v>
      </c>
      <c r="AA1116" s="3">
        <f>VALUE(SUBSTITUTE(MID($A1116,H1116+H$2+1,I1116-H1116-H$2-1),",","."))</f>
        <v>0</v>
      </c>
      <c r="AB1116" s="3">
        <f>VALUE(SUBSTITUTE(MID($A1116,I1116+I$2+1,J1116-I1116-I$2-1),",","."))</f>
        <v>45</v>
      </c>
      <c r="AC1116" s="3">
        <f>VALUE(SUBSTITUTE(MID($A1116,J1116+J$2+1,K1116-J1116-J$2-1),",","."))</f>
        <v>0.35</v>
      </c>
      <c r="AD1116" s="3">
        <f>VALUE(SUBSTITUTE(MID($A1116,K1116+K$2+1,L1116-K1116-K$2-1),",","."))</f>
        <v>7.38</v>
      </c>
      <c r="AE1116" s="3">
        <f>VALUE(SUBSTITUTE(MID($A1116,L1116+L$2+1,M1116-L1116-L$2-1),",","."))</f>
        <v>0</v>
      </c>
      <c r="AF1116" s="3">
        <f>VALUE(SUBSTITUTE(MID($A1116,M1116+M$2+1,N1116-M1116-M$2-1),",","."))</f>
        <v>0</v>
      </c>
      <c r="AG1116" s="3">
        <f>VALUE(SUBSTITUTE(MID($A1116,N1116+N$2+1,O1116-N1116-N$2-1),",","."))</f>
        <v>4.2352033801132496</v>
      </c>
      <c r="AH1116" t="str">
        <f>MID($A1116,O1116+O$2+1,P1116-O1116-O$2-1)</f>
        <v/>
      </c>
      <c r="AI1116" s="8" t="str">
        <f>MID($A1116,P1116+P$2+1,Q1116-P1116-P$2-1)</f>
        <v>False</v>
      </c>
      <c r="AK1116" t="b">
        <f t="shared" si="151"/>
        <v>1</v>
      </c>
    </row>
    <row r="1117" spans="1:37" x14ac:dyDescent="0.35">
      <c r="A1117" t="s">
        <v>5664</v>
      </c>
      <c r="B1117">
        <f t="shared" si="146"/>
        <v>10</v>
      </c>
      <c r="C1117">
        <f t="shared" si="146"/>
        <v>43</v>
      </c>
      <c r="D1117">
        <f t="shared" si="146"/>
        <v>54</v>
      </c>
      <c r="E1117">
        <f t="shared" si="146"/>
        <v>97</v>
      </c>
      <c r="F1117">
        <f t="shared" si="146"/>
        <v>141</v>
      </c>
      <c r="G1117">
        <f t="shared" si="149"/>
        <v>179</v>
      </c>
      <c r="H1117">
        <f t="shared" si="149"/>
        <v>228</v>
      </c>
      <c r="I1117">
        <f t="shared" si="149"/>
        <v>250</v>
      </c>
      <c r="J1117">
        <f t="shared" si="149"/>
        <v>284</v>
      </c>
      <c r="K1117">
        <f t="shared" si="149"/>
        <v>304</v>
      </c>
      <c r="L1117">
        <f t="shared" si="149"/>
        <v>322</v>
      </c>
      <c r="M1117">
        <f t="shared" si="149"/>
        <v>337</v>
      </c>
      <c r="N1117">
        <f t="shared" si="149"/>
        <v>349</v>
      </c>
      <c r="O1117">
        <f t="shared" si="144"/>
        <v>374</v>
      </c>
      <c r="P1117">
        <f t="shared" si="144"/>
        <v>392</v>
      </c>
      <c r="Q1117">
        <f t="shared" si="144"/>
        <v>418</v>
      </c>
      <c r="S1117" t="str">
        <f t="shared" si="147"/>
        <v>08.12.2025</v>
      </c>
      <c r="T1117" t="str">
        <f t="shared" si="148"/>
        <v>09:45:00</v>
      </c>
      <c r="U1117" t="str">
        <f t="shared" si="150"/>
        <v>08.12.2025 09:45:00</v>
      </c>
      <c r="V1117" s="9" t="str">
        <f>MID($A1117,C1117+C$2+1,D1117-C1117-C$2-1)</f>
        <v>0</v>
      </c>
      <c r="W1117" s="4">
        <f>VALUE(SUBSTITUTE(MID($A1117,D1117+D$2+1,E1117-D1117-D$2-1),",","."))</f>
        <v>0.72798951510735799</v>
      </c>
      <c r="X1117" s="4">
        <f>VALUE(SUBSTITUTE(MID($A1117,E1117+E$2+1,F1117-E1117-E$2-1),",","."))</f>
        <v>0.90957602214449496</v>
      </c>
      <c r="Y1117" s="4">
        <f>VALUE(SUBSTITUTE(MID($A1117,F1117+F$2+1,G1117-F1117-F$2-1),",","."))</f>
        <v>0.22196213257188699</v>
      </c>
      <c r="Z1117" s="3">
        <f>VALUE(SUBSTITUTE(MID($A1117,G1117+G$2+1,H1117-G1117-G$2-1),",","."))</f>
        <v>10.233333333333301</v>
      </c>
      <c r="AA1117" s="3">
        <f>VALUE(SUBSTITUTE(MID($A1117,H1117+H$2+1,I1117-H1117-H$2-1),",","."))</f>
        <v>0</v>
      </c>
      <c r="AB1117" s="3">
        <f>VALUE(SUBSTITUTE(MID($A1117,I1117+I$2+1,J1117-I1117-I$2-1),",","."))</f>
        <v>45</v>
      </c>
      <c r="AC1117" s="3">
        <f>VALUE(SUBSTITUTE(MID($A1117,J1117+J$2+1,K1117-J1117-J$2-1),",","."))</f>
        <v>0.35</v>
      </c>
      <c r="AD1117" s="3">
        <f>VALUE(SUBSTITUTE(MID($A1117,K1117+K$2+1,L1117-K1117-K$2-1),",","."))</f>
        <v>7.38</v>
      </c>
      <c r="AE1117" s="3">
        <f>VALUE(SUBSTITUTE(MID($A1117,L1117+L$2+1,M1117-L1117-L$2-1),",","."))</f>
        <v>0</v>
      </c>
      <c r="AF1117" s="3">
        <f>VALUE(SUBSTITUTE(MID($A1117,M1117+M$2+1,N1117-M1117-M$2-1),",","."))</f>
        <v>0</v>
      </c>
      <c r="AG1117" s="3">
        <f>VALUE(SUBSTITUTE(MID($A1117,N1117+N$2+1,O1117-N1117-N$2-1),",","."))</f>
        <v>4.2352319000013301</v>
      </c>
      <c r="AH1117" t="str">
        <f>MID($A1117,O1117+O$2+1,P1117-O1117-O$2-1)</f>
        <v/>
      </c>
      <c r="AI1117" s="8" t="str">
        <f>MID($A1117,P1117+P$2+1,Q1117-P1117-P$2-1)</f>
        <v>False</v>
      </c>
      <c r="AK1117" t="b">
        <f t="shared" si="151"/>
        <v>1</v>
      </c>
    </row>
    <row r="1118" spans="1:37" x14ac:dyDescent="0.35">
      <c r="A1118" t="s">
        <v>5665</v>
      </c>
      <c r="B1118">
        <f t="shared" si="146"/>
        <v>10</v>
      </c>
      <c r="C1118">
        <f t="shared" si="146"/>
        <v>43</v>
      </c>
      <c r="D1118">
        <f t="shared" si="146"/>
        <v>54</v>
      </c>
      <c r="E1118">
        <f t="shared" si="146"/>
        <v>97</v>
      </c>
      <c r="F1118">
        <f t="shared" si="146"/>
        <v>141</v>
      </c>
      <c r="G1118">
        <f t="shared" si="149"/>
        <v>180</v>
      </c>
      <c r="H1118">
        <f t="shared" si="149"/>
        <v>229</v>
      </c>
      <c r="I1118">
        <f t="shared" si="149"/>
        <v>251</v>
      </c>
      <c r="J1118">
        <f t="shared" si="149"/>
        <v>285</v>
      </c>
      <c r="K1118">
        <f t="shared" si="149"/>
        <v>305</v>
      </c>
      <c r="L1118">
        <f t="shared" si="149"/>
        <v>323</v>
      </c>
      <c r="M1118">
        <f t="shared" si="149"/>
        <v>338</v>
      </c>
      <c r="N1118">
        <f t="shared" si="149"/>
        <v>350</v>
      </c>
      <c r="O1118">
        <f t="shared" si="144"/>
        <v>375</v>
      </c>
      <c r="P1118">
        <f t="shared" si="144"/>
        <v>393</v>
      </c>
      <c r="Q1118">
        <f t="shared" si="144"/>
        <v>419</v>
      </c>
      <c r="S1118" t="str">
        <f t="shared" si="147"/>
        <v>08.12.2025</v>
      </c>
      <c r="T1118" t="str">
        <f t="shared" si="148"/>
        <v>10:00:00</v>
      </c>
      <c r="U1118" t="str">
        <f t="shared" si="150"/>
        <v>08.12.2025 10:00:00</v>
      </c>
      <c r="V1118" s="9" t="str">
        <f>MID($A1118,C1118+C$2+1,D1118-C1118-C$2-1)</f>
        <v>0</v>
      </c>
      <c r="W1118" s="4">
        <f>VALUE(SUBSTITUTE(MID($A1118,D1118+D$2+1,E1118-D1118-D$2-1),",","."))</f>
        <v>0.74957022635611503</v>
      </c>
      <c r="X1118" s="4">
        <f>VALUE(SUBSTITUTE(MID($A1118,E1118+E$2+1,F1118-E1118-E$2-1),",","."))</f>
        <v>0.90957602214449496</v>
      </c>
      <c r="Y1118" s="4">
        <f>VALUE(SUBSTITUTE(MID($A1118,F1118+F$2+1,G1118-F1118-F$2-1),",","."))</f>
        <v>0.244800815057236</v>
      </c>
      <c r="Z1118" s="3">
        <f>VALUE(SUBSTITUTE(MID($A1118,G1118+G$2+1,H1118-G1118-G$2-1),",","."))</f>
        <v>10.233333333333301</v>
      </c>
      <c r="AA1118" s="3">
        <f>VALUE(SUBSTITUTE(MID($A1118,H1118+H$2+1,I1118-H1118-H$2-1),",","."))</f>
        <v>0</v>
      </c>
      <c r="AB1118" s="3">
        <f>VALUE(SUBSTITUTE(MID($A1118,I1118+I$2+1,J1118-I1118-I$2-1),",","."))</f>
        <v>45</v>
      </c>
      <c r="AC1118" s="3">
        <f>VALUE(SUBSTITUTE(MID($A1118,J1118+J$2+1,K1118-J1118-J$2-1),",","."))</f>
        <v>0.35</v>
      </c>
      <c r="AD1118" s="3">
        <f>VALUE(SUBSTITUTE(MID($A1118,K1118+K$2+1,L1118-K1118-K$2-1),",","."))</f>
        <v>7.38</v>
      </c>
      <c r="AE1118" s="3">
        <f>VALUE(SUBSTITUTE(MID($A1118,L1118+L$2+1,M1118-L1118-L$2-1),",","."))</f>
        <v>0</v>
      </c>
      <c r="AF1118" s="3">
        <f>VALUE(SUBSTITUTE(MID($A1118,M1118+M$2+1,N1118-M1118-M$2-1),",","."))</f>
        <v>0</v>
      </c>
      <c r="AG1118" s="3">
        <f>VALUE(SUBSTITUTE(MID($A1118,N1118+N$2+1,O1118-N1118-N$2-1),",","."))</f>
        <v>4.2352604198894097</v>
      </c>
      <c r="AH1118" t="str">
        <f>MID($A1118,O1118+O$2+1,P1118-O1118-O$2-1)</f>
        <v/>
      </c>
      <c r="AI1118" s="8" t="str">
        <f>MID($A1118,P1118+P$2+1,Q1118-P1118-P$2-1)</f>
        <v>False</v>
      </c>
      <c r="AK1118" t="b">
        <f t="shared" si="151"/>
        <v>1</v>
      </c>
    </row>
    <row r="1119" spans="1:37" x14ac:dyDescent="0.35">
      <c r="A1119" t="s">
        <v>5666</v>
      </c>
      <c r="B1119">
        <f t="shared" si="146"/>
        <v>10</v>
      </c>
      <c r="C1119">
        <f t="shared" si="146"/>
        <v>43</v>
      </c>
      <c r="D1119">
        <f t="shared" si="146"/>
        <v>54</v>
      </c>
      <c r="E1119">
        <f t="shared" si="146"/>
        <v>97</v>
      </c>
      <c r="F1119">
        <f t="shared" si="146"/>
        <v>141</v>
      </c>
      <c r="G1119">
        <f t="shared" si="149"/>
        <v>179</v>
      </c>
      <c r="H1119">
        <f t="shared" si="149"/>
        <v>228</v>
      </c>
      <c r="I1119">
        <f t="shared" si="149"/>
        <v>250</v>
      </c>
      <c r="J1119">
        <f t="shared" si="149"/>
        <v>284</v>
      </c>
      <c r="K1119">
        <f t="shared" si="149"/>
        <v>304</v>
      </c>
      <c r="L1119">
        <f t="shared" si="149"/>
        <v>322</v>
      </c>
      <c r="M1119">
        <f t="shared" si="149"/>
        <v>337</v>
      </c>
      <c r="N1119">
        <f t="shared" si="149"/>
        <v>349</v>
      </c>
      <c r="O1119">
        <f t="shared" si="144"/>
        <v>375</v>
      </c>
      <c r="P1119">
        <f t="shared" si="144"/>
        <v>393</v>
      </c>
      <c r="Q1119">
        <f t="shared" si="144"/>
        <v>419</v>
      </c>
      <c r="S1119" t="str">
        <f t="shared" si="147"/>
        <v>08.12.2025</v>
      </c>
      <c r="T1119" t="str">
        <f t="shared" si="148"/>
        <v>10:15:00</v>
      </c>
      <c r="U1119" t="str">
        <f t="shared" si="150"/>
        <v>08.12.2025 10:15:00</v>
      </c>
      <c r="V1119" s="9" t="str">
        <f>MID($A1119,C1119+C$2+1,D1119-C1119-C$2-1)</f>
        <v>0</v>
      </c>
      <c r="W1119" s="4">
        <f>VALUE(SUBSTITUTE(MID($A1119,D1119+D$2+1,E1119-D1119-D$2-1),",","."))</f>
        <v>0.76757108828736298</v>
      </c>
      <c r="X1119" s="4">
        <f>VALUE(SUBSTITUTE(MID($A1119,E1119+E$2+1,F1119-E1119-E$2-1),",","."))</f>
        <v>0.90957602214449496</v>
      </c>
      <c r="Y1119" s="4">
        <f>VALUE(SUBSTITUTE(MID($A1119,F1119+F$2+1,G1119-F1119-F$2-1),",","."))</f>
        <v>0.265406371565161</v>
      </c>
      <c r="Z1119" s="3">
        <f>VALUE(SUBSTITUTE(MID($A1119,G1119+G$2+1,H1119-G1119-G$2-1),",","."))</f>
        <v>10.233333333333301</v>
      </c>
      <c r="AA1119" s="3">
        <f>VALUE(SUBSTITUTE(MID($A1119,H1119+H$2+1,I1119-H1119-H$2-1),",","."))</f>
        <v>0</v>
      </c>
      <c r="AB1119" s="3">
        <f>VALUE(SUBSTITUTE(MID($A1119,I1119+I$2+1,J1119-I1119-I$2-1),",","."))</f>
        <v>45</v>
      </c>
      <c r="AC1119" s="3">
        <f>VALUE(SUBSTITUTE(MID($A1119,J1119+J$2+1,K1119-J1119-J$2-1),",","."))</f>
        <v>0.35</v>
      </c>
      <c r="AD1119" s="3">
        <f>VALUE(SUBSTITUTE(MID($A1119,K1119+K$2+1,L1119-K1119-K$2-1),",","."))</f>
        <v>7.38</v>
      </c>
      <c r="AE1119" s="3">
        <f>VALUE(SUBSTITUTE(MID($A1119,L1119+L$2+1,M1119-L1119-L$2-1),",","."))</f>
        <v>0</v>
      </c>
      <c r="AF1119" s="3">
        <f>VALUE(SUBSTITUTE(MID($A1119,M1119+M$2+1,N1119-M1119-M$2-1),",","."))</f>
        <v>0</v>
      </c>
      <c r="AG1119" s="3">
        <f>VALUE(SUBSTITUTE(MID($A1119,N1119+N$2+1,O1119-N1119-N$2-1),",","."))</f>
        <v>4.2352889397774902</v>
      </c>
      <c r="AH1119" t="str">
        <f>MID($A1119,O1119+O$2+1,P1119-O1119-O$2-1)</f>
        <v/>
      </c>
      <c r="AI1119" s="8" t="str">
        <f>MID($A1119,P1119+P$2+1,Q1119-P1119-P$2-1)</f>
        <v>False</v>
      </c>
      <c r="AK1119" t="b">
        <f t="shared" si="151"/>
        <v>1</v>
      </c>
    </row>
    <row r="1120" spans="1:37" x14ac:dyDescent="0.35">
      <c r="A1120" t="s">
        <v>5667</v>
      </c>
      <c r="B1120">
        <f t="shared" si="146"/>
        <v>10</v>
      </c>
      <c r="C1120">
        <f t="shared" si="146"/>
        <v>43</v>
      </c>
      <c r="D1120">
        <f t="shared" si="146"/>
        <v>54</v>
      </c>
      <c r="E1120">
        <f t="shared" si="146"/>
        <v>97</v>
      </c>
      <c r="F1120">
        <f t="shared" si="146"/>
        <v>141</v>
      </c>
      <c r="G1120">
        <f t="shared" si="149"/>
        <v>179</v>
      </c>
      <c r="H1120">
        <f t="shared" si="149"/>
        <v>214</v>
      </c>
      <c r="I1120">
        <f t="shared" si="149"/>
        <v>236</v>
      </c>
      <c r="J1120">
        <f t="shared" si="149"/>
        <v>272</v>
      </c>
      <c r="K1120">
        <f t="shared" si="149"/>
        <v>292</v>
      </c>
      <c r="L1120">
        <f t="shared" si="149"/>
        <v>324</v>
      </c>
      <c r="M1120">
        <f t="shared" si="149"/>
        <v>339</v>
      </c>
      <c r="N1120">
        <f t="shared" si="149"/>
        <v>351</v>
      </c>
      <c r="O1120">
        <f t="shared" si="144"/>
        <v>376</v>
      </c>
      <c r="P1120">
        <f t="shared" si="144"/>
        <v>394</v>
      </c>
      <c r="Q1120">
        <f t="shared" si="144"/>
        <v>420</v>
      </c>
      <c r="S1120" t="str">
        <f t="shared" si="147"/>
        <v>08.12.2025</v>
      </c>
      <c r="T1120" t="str">
        <f t="shared" si="148"/>
        <v>10:30:00</v>
      </c>
      <c r="U1120" t="str">
        <f t="shared" si="150"/>
        <v>08.12.2025 10:30:00</v>
      </c>
      <c r="V1120" s="9" t="str">
        <f>MID($A1120,C1120+C$2+1,D1120-C1120-C$2-1)</f>
        <v>0</v>
      </c>
      <c r="W1120" s="4">
        <f>VALUE(SUBSTITUTE(MID($A1120,D1120+D$2+1,E1120-D1120-D$2-1),",","."))</f>
        <v>0.781909003518651</v>
      </c>
      <c r="X1120" s="4">
        <f>VALUE(SUBSTITUTE(MID($A1120,E1120+E$2+1,F1120-E1120-E$2-1),",","."))</f>
        <v>0.90957602214449496</v>
      </c>
      <c r="Y1120" s="4">
        <f>VALUE(SUBSTITUTE(MID($A1120,F1120+F$2+1,G1120-F1120-F$2-1),",","."))</f>
        <v>0.28368325409154299</v>
      </c>
      <c r="Z1120" s="3">
        <f>VALUE(SUBSTITUTE(MID($A1120,G1120+G$2+1,H1120-G1120-G$2-1),",","."))</f>
        <v>9.85</v>
      </c>
      <c r="AA1120" s="3">
        <f>VALUE(SUBSTITUTE(MID($A1120,H1120+H$2+1,I1120-H1120-H$2-1),",","."))</f>
        <v>0</v>
      </c>
      <c r="AB1120" s="3">
        <f>VALUE(SUBSTITUTE(MID($A1120,I1120+I$2+1,J1120-I1120-I$2-1),",","."))</f>
        <v>68.5</v>
      </c>
      <c r="AC1120" s="3">
        <f>VALUE(SUBSTITUTE(MID($A1120,J1120+J$2+1,K1120-J1120-J$2-1),",","."))</f>
        <v>1.05</v>
      </c>
      <c r="AD1120" s="3">
        <f>VALUE(SUBSTITUTE(MID($A1120,K1120+K$2+1,L1120-K1120-K$2-1),",","."))</f>
        <v>7.56</v>
      </c>
      <c r="AE1120" s="3">
        <f>VALUE(SUBSTITUTE(MID($A1120,L1120+L$2+1,M1120-L1120-L$2-1),",","."))</f>
        <v>0</v>
      </c>
      <c r="AF1120" s="3">
        <f>VALUE(SUBSTITUTE(MID($A1120,M1120+M$2+1,N1120-M1120-M$2-1),",","."))</f>
        <v>0</v>
      </c>
      <c r="AG1120" s="3">
        <f>VALUE(SUBSTITUTE(MID($A1120,N1120+N$2+1,O1120-N1120-N$2-1),",","."))</f>
        <v>4.2353174596655698</v>
      </c>
      <c r="AH1120" t="str">
        <f>MID($A1120,O1120+O$2+1,P1120-O1120-O$2-1)</f>
        <v/>
      </c>
      <c r="AI1120" s="8" t="str">
        <f>MID($A1120,P1120+P$2+1,Q1120-P1120-P$2-1)</f>
        <v>False</v>
      </c>
      <c r="AK1120" t="b">
        <f t="shared" si="151"/>
        <v>1</v>
      </c>
    </row>
    <row r="1121" spans="1:37" x14ac:dyDescent="0.35">
      <c r="A1121" t="s">
        <v>5668</v>
      </c>
      <c r="B1121">
        <f t="shared" si="146"/>
        <v>10</v>
      </c>
      <c r="C1121">
        <f t="shared" si="146"/>
        <v>43</v>
      </c>
      <c r="D1121">
        <f t="shared" si="146"/>
        <v>54</v>
      </c>
      <c r="E1121">
        <f t="shared" si="146"/>
        <v>97</v>
      </c>
      <c r="F1121">
        <f t="shared" si="146"/>
        <v>141</v>
      </c>
      <c r="G1121">
        <f t="shared" si="149"/>
        <v>180</v>
      </c>
      <c r="H1121">
        <f t="shared" si="149"/>
        <v>215</v>
      </c>
      <c r="I1121">
        <f t="shared" si="149"/>
        <v>237</v>
      </c>
      <c r="J1121">
        <f t="shared" si="149"/>
        <v>273</v>
      </c>
      <c r="K1121">
        <f t="shared" si="149"/>
        <v>293</v>
      </c>
      <c r="L1121">
        <f t="shared" si="149"/>
        <v>325</v>
      </c>
      <c r="M1121">
        <f t="shared" si="149"/>
        <v>340</v>
      </c>
      <c r="N1121">
        <f t="shared" si="149"/>
        <v>352</v>
      </c>
      <c r="O1121">
        <f t="shared" si="144"/>
        <v>377</v>
      </c>
      <c r="P1121">
        <f t="shared" si="144"/>
        <v>395</v>
      </c>
      <c r="Q1121">
        <f t="shared" si="144"/>
        <v>421</v>
      </c>
      <c r="S1121" t="str">
        <f t="shared" si="147"/>
        <v>08.12.2025</v>
      </c>
      <c r="T1121" t="str">
        <f t="shared" si="148"/>
        <v>10:45:00</v>
      </c>
      <c r="U1121" t="str">
        <f t="shared" si="150"/>
        <v>08.12.2025 10:45:00</v>
      </c>
      <c r="V1121" s="9" t="str">
        <f>MID($A1121,C1121+C$2+1,D1121-C1121-C$2-1)</f>
        <v>0</v>
      </c>
      <c r="W1121" s="4">
        <f>VALUE(SUBSTITUTE(MID($A1121,D1121+D$2+1,E1121-D1121-D$2-1),",","."))</f>
        <v>0.79251861623923103</v>
      </c>
      <c r="X1121" s="4">
        <f>VALUE(SUBSTITUTE(MID($A1121,E1121+E$2+1,F1121-E1121-E$2-1),",","."))</f>
        <v>0.90957602214449496</v>
      </c>
      <c r="Y1121" s="4">
        <f>VALUE(SUBSTITUTE(MID($A1121,F1121+F$2+1,G1121-F1121-F$2-1),",","."))</f>
        <v>0.29954836521147499</v>
      </c>
      <c r="Z1121" s="3">
        <f>VALUE(SUBSTITUTE(MID($A1121,G1121+G$2+1,H1121-G1121-G$2-1),",","."))</f>
        <v>9.85</v>
      </c>
      <c r="AA1121" s="3">
        <f>VALUE(SUBSTITUTE(MID($A1121,H1121+H$2+1,I1121-H1121-H$2-1),",","."))</f>
        <v>0</v>
      </c>
      <c r="AB1121" s="3">
        <f>VALUE(SUBSTITUTE(MID($A1121,I1121+I$2+1,J1121-I1121-I$2-1),",","."))</f>
        <v>68.5</v>
      </c>
      <c r="AC1121" s="3">
        <f>VALUE(SUBSTITUTE(MID($A1121,J1121+J$2+1,K1121-J1121-J$2-1),",","."))</f>
        <v>1.05</v>
      </c>
      <c r="AD1121" s="3">
        <f>VALUE(SUBSTITUTE(MID($A1121,K1121+K$2+1,L1121-K1121-K$2-1),",","."))</f>
        <v>7.56</v>
      </c>
      <c r="AE1121" s="3">
        <f>VALUE(SUBSTITUTE(MID($A1121,L1121+L$2+1,M1121-L1121-L$2-1),",","."))</f>
        <v>0</v>
      </c>
      <c r="AF1121" s="3">
        <f>VALUE(SUBSTITUTE(MID($A1121,M1121+M$2+1,N1121-M1121-M$2-1),",","."))</f>
        <v>0</v>
      </c>
      <c r="AG1121" s="3">
        <f>VALUE(SUBSTITUTE(MID($A1121,N1121+N$2+1,O1121-N1121-N$2-1),",","."))</f>
        <v>4.2353459795536503</v>
      </c>
      <c r="AH1121" t="str">
        <f>MID($A1121,O1121+O$2+1,P1121-O1121-O$2-1)</f>
        <v/>
      </c>
      <c r="AI1121" s="8" t="str">
        <f>MID($A1121,P1121+P$2+1,Q1121-P1121-P$2-1)</f>
        <v>False</v>
      </c>
      <c r="AK1121" t="b">
        <f t="shared" si="151"/>
        <v>1</v>
      </c>
    </row>
    <row r="1122" spans="1:37" x14ac:dyDescent="0.35">
      <c r="A1122" t="s">
        <v>5669</v>
      </c>
      <c r="B1122">
        <f t="shared" si="146"/>
        <v>10</v>
      </c>
      <c r="C1122">
        <f t="shared" si="146"/>
        <v>43</v>
      </c>
      <c r="D1122">
        <f t="shared" si="146"/>
        <v>54</v>
      </c>
      <c r="E1122">
        <f t="shared" si="146"/>
        <v>97</v>
      </c>
      <c r="F1122">
        <f t="shared" si="146"/>
        <v>141</v>
      </c>
      <c r="G1122">
        <f t="shared" si="149"/>
        <v>179</v>
      </c>
      <c r="H1122">
        <f t="shared" si="149"/>
        <v>214</v>
      </c>
      <c r="I1122">
        <f t="shared" si="149"/>
        <v>236</v>
      </c>
      <c r="J1122">
        <f t="shared" si="149"/>
        <v>272</v>
      </c>
      <c r="K1122">
        <f t="shared" si="149"/>
        <v>292</v>
      </c>
      <c r="L1122">
        <f t="shared" si="149"/>
        <v>324</v>
      </c>
      <c r="M1122">
        <f t="shared" si="149"/>
        <v>339</v>
      </c>
      <c r="N1122">
        <f t="shared" si="149"/>
        <v>351</v>
      </c>
      <c r="O1122">
        <f t="shared" si="144"/>
        <v>375</v>
      </c>
      <c r="P1122">
        <f t="shared" si="144"/>
        <v>393</v>
      </c>
      <c r="Q1122">
        <f t="shared" si="144"/>
        <v>419</v>
      </c>
      <c r="S1122" t="str">
        <f t="shared" si="147"/>
        <v>08.12.2025</v>
      </c>
      <c r="T1122" t="str">
        <f t="shared" si="148"/>
        <v>11:00:00</v>
      </c>
      <c r="U1122" t="str">
        <f t="shared" si="150"/>
        <v>08.12.2025 11:00:00</v>
      </c>
      <c r="V1122" s="9" t="str">
        <f>MID($A1122,C1122+C$2+1,D1122-C1122-C$2-1)</f>
        <v>0</v>
      </c>
      <c r="W1122" s="4">
        <f>VALUE(SUBSTITUTE(MID($A1122,D1122+D$2+1,E1122-D1122-D$2-1),",","."))</f>
        <v>0.79935181864525395</v>
      </c>
      <c r="X1122" s="4">
        <f>VALUE(SUBSTITUTE(MID($A1122,E1122+E$2+1,F1122-E1122-E$2-1),",","."))</f>
        <v>0.90957602214449496</v>
      </c>
      <c r="Y1122" s="4">
        <f>VALUE(SUBSTITUTE(MID($A1122,F1122+F$2+1,G1122-F1122-F$2-1),",","."))</f>
        <v>0.31293048512500299</v>
      </c>
      <c r="Z1122" s="3">
        <f>VALUE(SUBSTITUTE(MID($A1122,G1122+G$2+1,H1122-G1122-G$2-1),",","."))</f>
        <v>9.85</v>
      </c>
      <c r="AA1122" s="3">
        <f>VALUE(SUBSTITUTE(MID($A1122,H1122+H$2+1,I1122-H1122-H$2-1),",","."))</f>
        <v>0</v>
      </c>
      <c r="AB1122" s="3">
        <f>VALUE(SUBSTITUTE(MID($A1122,I1122+I$2+1,J1122-I1122-I$2-1),",","."))</f>
        <v>68.5</v>
      </c>
      <c r="AC1122" s="3">
        <f>VALUE(SUBSTITUTE(MID($A1122,J1122+J$2+1,K1122-J1122-J$2-1),",","."))</f>
        <v>1.05</v>
      </c>
      <c r="AD1122" s="3">
        <f>VALUE(SUBSTITUTE(MID($A1122,K1122+K$2+1,L1122-K1122-K$2-1),",","."))</f>
        <v>7.56</v>
      </c>
      <c r="AE1122" s="3">
        <f>VALUE(SUBSTITUTE(MID($A1122,L1122+L$2+1,M1122-L1122-L$2-1),",","."))</f>
        <v>0</v>
      </c>
      <c r="AF1122" s="3">
        <f>VALUE(SUBSTITUTE(MID($A1122,M1122+M$2+1,N1122-M1122-M$2-1),",","."))</f>
        <v>0</v>
      </c>
      <c r="AG1122" s="3">
        <f>VALUE(SUBSTITUTE(MID($A1122,N1122+N$2+1,O1122-N1122-N$2-1),",","."))</f>
        <v>4.2353744994417397</v>
      </c>
      <c r="AH1122" t="str">
        <f>MID($A1122,O1122+O$2+1,P1122-O1122-O$2-1)</f>
        <v/>
      </c>
      <c r="AI1122" s="8" t="str">
        <f>MID($A1122,P1122+P$2+1,Q1122-P1122-P$2-1)</f>
        <v>False</v>
      </c>
      <c r="AK1122" t="b">
        <f t="shared" si="151"/>
        <v>1</v>
      </c>
    </row>
    <row r="1123" spans="1:37" x14ac:dyDescent="0.35">
      <c r="A1123" t="s">
        <v>5670</v>
      </c>
      <c r="B1123">
        <f t="shared" si="146"/>
        <v>10</v>
      </c>
      <c r="C1123">
        <f t="shared" si="146"/>
        <v>43</v>
      </c>
      <c r="D1123">
        <f t="shared" si="146"/>
        <v>54</v>
      </c>
      <c r="E1123">
        <f t="shared" si="146"/>
        <v>97</v>
      </c>
      <c r="F1123">
        <f t="shared" si="146"/>
        <v>141</v>
      </c>
      <c r="G1123">
        <f t="shared" si="149"/>
        <v>179</v>
      </c>
      <c r="H1123">
        <f t="shared" si="149"/>
        <v>214</v>
      </c>
      <c r="I1123">
        <f t="shared" si="149"/>
        <v>236</v>
      </c>
      <c r="J1123">
        <f t="shared" si="149"/>
        <v>272</v>
      </c>
      <c r="K1123">
        <f t="shared" si="149"/>
        <v>292</v>
      </c>
      <c r="L1123">
        <f t="shared" si="149"/>
        <v>324</v>
      </c>
      <c r="M1123">
        <f t="shared" si="149"/>
        <v>339</v>
      </c>
      <c r="N1123">
        <f t="shared" ref="N1123:Q1186" si="152">FIND(N$1,$A1123)</f>
        <v>351</v>
      </c>
      <c r="O1123">
        <f t="shared" si="144"/>
        <v>376</v>
      </c>
      <c r="P1123">
        <f t="shared" si="144"/>
        <v>394</v>
      </c>
      <c r="Q1123">
        <f t="shared" si="144"/>
        <v>420</v>
      </c>
      <c r="S1123" t="str">
        <f t="shared" si="147"/>
        <v>08.12.2025</v>
      </c>
      <c r="T1123" t="str">
        <f t="shared" si="148"/>
        <v>11:15:00</v>
      </c>
      <c r="U1123" t="str">
        <f t="shared" si="150"/>
        <v>08.12.2025 11:15:00</v>
      </c>
      <c r="V1123" s="9" t="str">
        <f>MID($A1123,C1123+C$2+1,D1123-C1123-C$2-1)</f>
        <v>0</v>
      </c>
      <c r="W1123" s="4">
        <f>VALUE(SUBSTITUTE(MID($A1123,D1123+D$2+1,E1123-D1123-D$2-1),",","."))</f>
        <v>0.802377514503536</v>
      </c>
      <c r="X1123" s="4">
        <f>VALUE(SUBSTITUTE(MID($A1123,E1123+E$2+1,F1123-E1123-E$2-1),",","."))</f>
        <v>0.90957602214449496</v>
      </c>
      <c r="Y1123" s="4">
        <f>VALUE(SUBSTITUTE(MID($A1123,F1123+F$2+1,G1123-F1123-F$2-1),",","."))</f>
        <v>0.32377004495804101</v>
      </c>
      <c r="Z1123" s="3">
        <f>VALUE(SUBSTITUTE(MID($A1123,G1123+G$2+1,H1123-G1123-G$2-1),",","."))</f>
        <v>9.85</v>
      </c>
      <c r="AA1123" s="3">
        <f>VALUE(SUBSTITUTE(MID($A1123,H1123+H$2+1,I1123-H1123-H$2-1),",","."))</f>
        <v>0</v>
      </c>
      <c r="AB1123" s="3">
        <f>VALUE(SUBSTITUTE(MID($A1123,I1123+I$2+1,J1123-I1123-I$2-1),",","."))</f>
        <v>68.5</v>
      </c>
      <c r="AC1123" s="3">
        <f>VALUE(SUBSTITUTE(MID($A1123,J1123+J$2+1,K1123-J1123-J$2-1),",","."))</f>
        <v>1.05</v>
      </c>
      <c r="AD1123" s="3">
        <f>VALUE(SUBSTITUTE(MID($A1123,K1123+K$2+1,L1123-K1123-K$2-1),",","."))</f>
        <v>7.56</v>
      </c>
      <c r="AE1123" s="3">
        <f>VALUE(SUBSTITUTE(MID($A1123,L1123+L$2+1,M1123-L1123-L$2-1),",","."))</f>
        <v>0</v>
      </c>
      <c r="AF1123" s="3">
        <f>VALUE(SUBSTITUTE(MID($A1123,M1123+M$2+1,N1123-M1123-M$2-1),",","."))</f>
        <v>0</v>
      </c>
      <c r="AG1123" s="3">
        <f>VALUE(SUBSTITUTE(MID($A1123,N1123+N$2+1,O1123-N1123-N$2-1),",","."))</f>
        <v>4.2354030193298202</v>
      </c>
      <c r="AH1123" t="str">
        <f>MID($A1123,O1123+O$2+1,P1123-O1123-O$2-1)</f>
        <v/>
      </c>
      <c r="AI1123" s="8" t="str">
        <f>MID($A1123,P1123+P$2+1,Q1123-P1123-P$2-1)</f>
        <v>False</v>
      </c>
      <c r="AK1123" t="b">
        <f t="shared" si="151"/>
        <v>1</v>
      </c>
    </row>
    <row r="1124" spans="1:37" x14ac:dyDescent="0.35">
      <c r="A1124" t="s">
        <v>5671</v>
      </c>
      <c r="B1124">
        <f t="shared" si="146"/>
        <v>10</v>
      </c>
      <c r="C1124">
        <f t="shared" si="146"/>
        <v>43</v>
      </c>
      <c r="D1124">
        <f t="shared" si="146"/>
        <v>54</v>
      </c>
      <c r="E1124">
        <f t="shared" si="146"/>
        <v>97</v>
      </c>
      <c r="F1124">
        <f t="shared" si="146"/>
        <v>141</v>
      </c>
      <c r="G1124">
        <f t="shared" si="146"/>
        <v>180</v>
      </c>
      <c r="H1124">
        <f t="shared" si="146"/>
        <v>229</v>
      </c>
      <c r="I1124">
        <f t="shared" si="146"/>
        <v>251</v>
      </c>
      <c r="J1124">
        <f t="shared" si="146"/>
        <v>285</v>
      </c>
      <c r="K1124">
        <f t="shared" si="146"/>
        <v>305</v>
      </c>
      <c r="L1124">
        <f t="shared" si="146"/>
        <v>320</v>
      </c>
      <c r="M1124">
        <f t="shared" si="146"/>
        <v>335</v>
      </c>
      <c r="N1124">
        <f t="shared" si="152"/>
        <v>347</v>
      </c>
      <c r="O1124">
        <f t="shared" si="144"/>
        <v>372</v>
      </c>
      <c r="P1124">
        <f t="shared" si="144"/>
        <v>390</v>
      </c>
      <c r="Q1124">
        <f t="shared" si="144"/>
        <v>416</v>
      </c>
      <c r="S1124" t="str">
        <f t="shared" si="147"/>
        <v>08.12.2025</v>
      </c>
      <c r="T1124" t="str">
        <f t="shared" si="148"/>
        <v>11:30:00</v>
      </c>
      <c r="U1124" t="str">
        <f t="shared" si="150"/>
        <v>08.12.2025 11:30:00</v>
      </c>
      <c r="V1124" s="9" t="str">
        <f>MID($A1124,C1124+C$2+1,D1124-C1124-C$2-1)</f>
        <v>0</v>
      </c>
      <c r="W1124" s="4">
        <f>VALUE(SUBSTITUTE(MID($A1124,D1124+D$2+1,E1124-D1124-D$2-1),",","."))</f>
        <v>0.80158148929383499</v>
      </c>
      <c r="X1124" s="4">
        <f>VALUE(SUBSTITUTE(MID($A1124,E1124+E$2+1,F1124-E1124-E$2-1),",","."))</f>
        <v>0.90957602214449496</v>
      </c>
      <c r="Y1124" s="4">
        <f>VALUE(SUBSTITUTE(MID($A1124,F1124+F$2+1,G1124-F1124-F$2-1),",","."))</f>
        <v>0.33201906560023398</v>
      </c>
      <c r="Z1124" s="3">
        <f>VALUE(SUBSTITUTE(MID($A1124,G1124+G$2+1,H1124-G1124-G$2-1),",","."))</f>
        <v>11.283333333333299</v>
      </c>
      <c r="AA1124" s="3">
        <f>VALUE(SUBSTITUTE(MID($A1124,H1124+H$2+1,I1124-H1124-H$2-1),",","."))</f>
        <v>0</v>
      </c>
      <c r="AB1124" s="3">
        <f>VALUE(SUBSTITUTE(MID($A1124,I1124+I$2+1,J1124-I1124-I$2-1),",","."))</f>
        <v>81</v>
      </c>
      <c r="AC1124" s="3">
        <f>VALUE(SUBSTITUTE(MID($A1124,J1124+J$2+1,K1124-J1124-J$2-1),",","."))</f>
        <v>1.65</v>
      </c>
      <c r="AD1124" s="3">
        <f>VALUE(SUBSTITUTE(MID($A1124,K1124+K$2+1,L1124-K1124-K$2-1),",","."))</f>
        <v>9</v>
      </c>
      <c r="AE1124" s="3">
        <f>VALUE(SUBSTITUTE(MID($A1124,L1124+L$2+1,M1124-L1124-L$2-1),",","."))</f>
        <v>0</v>
      </c>
      <c r="AF1124" s="3">
        <f>VALUE(SUBSTITUTE(MID($A1124,M1124+M$2+1,N1124-M1124-M$2-1),",","."))</f>
        <v>0</v>
      </c>
      <c r="AG1124" s="3">
        <f>VALUE(SUBSTITUTE(MID($A1124,N1124+N$2+1,O1124-N1124-N$2-1),",","."))</f>
        <v>4.2354315392178998</v>
      </c>
      <c r="AH1124" t="str">
        <f>MID($A1124,O1124+O$2+1,P1124-O1124-O$2-1)</f>
        <v/>
      </c>
      <c r="AI1124" s="8" t="str">
        <f>MID($A1124,P1124+P$2+1,Q1124-P1124-P$2-1)</f>
        <v>False</v>
      </c>
      <c r="AK1124" t="b">
        <f t="shared" si="151"/>
        <v>1</v>
      </c>
    </row>
    <row r="1125" spans="1:37" x14ac:dyDescent="0.35">
      <c r="A1125" t="s">
        <v>5672</v>
      </c>
      <c r="B1125">
        <f t="shared" si="146"/>
        <v>10</v>
      </c>
      <c r="C1125">
        <f t="shared" si="146"/>
        <v>43</v>
      </c>
      <c r="D1125">
        <f t="shared" si="146"/>
        <v>54</v>
      </c>
      <c r="E1125">
        <f t="shared" si="146"/>
        <v>97</v>
      </c>
      <c r="F1125">
        <f t="shared" si="146"/>
        <v>141</v>
      </c>
      <c r="G1125">
        <f t="shared" si="146"/>
        <v>179</v>
      </c>
      <c r="H1125">
        <f t="shared" si="146"/>
        <v>228</v>
      </c>
      <c r="I1125">
        <f t="shared" si="146"/>
        <v>250</v>
      </c>
      <c r="J1125">
        <f t="shared" si="146"/>
        <v>284</v>
      </c>
      <c r="K1125">
        <f t="shared" si="146"/>
        <v>304</v>
      </c>
      <c r="L1125">
        <f t="shared" si="146"/>
        <v>319</v>
      </c>
      <c r="M1125">
        <f t="shared" si="146"/>
        <v>334</v>
      </c>
      <c r="N1125">
        <f t="shared" si="152"/>
        <v>346</v>
      </c>
      <c r="O1125">
        <f t="shared" si="144"/>
        <v>371</v>
      </c>
      <c r="P1125">
        <f t="shared" si="144"/>
        <v>389</v>
      </c>
      <c r="Q1125">
        <f t="shared" si="144"/>
        <v>415</v>
      </c>
      <c r="S1125" t="str">
        <f t="shared" si="147"/>
        <v>08.12.2025</v>
      </c>
      <c r="T1125" t="str">
        <f t="shared" si="148"/>
        <v>11:45:00</v>
      </c>
      <c r="U1125" t="str">
        <f t="shared" si="150"/>
        <v>08.12.2025 11:45:00</v>
      </c>
      <c r="V1125" s="9" t="str">
        <f>MID($A1125,C1125+C$2+1,D1125-C1125-C$2-1)</f>
        <v>0</v>
      </c>
      <c r="W1125" s="4">
        <f>VALUE(SUBSTITUTE(MID($A1125,D1125+D$2+1,E1125-D1125-D$2-1),",","."))</f>
        <v>0.79696631098424797</v>
      </c>
      <c r="X1125" s="4">
        <f>VALUE(SUBSTITUTE(MID($A1125,E1125+E$2+1,F1125-E1125-E$2-1),",","."))</f>
        <v>0.90957602214449496</v>
      </c>
      <c r="Y1125" s="4">
        <f>VALUE(SUBSTITUTE(MID($A1125,F1125+F$2+1,G1125-F1125-F$2-1),",","."))</f>
        <v>0.33764117065307703</v>
      </c>
      <c r="Z1125" s="3">
        <f>VALUE(SUBSTITUTE(MID($A1125,G1125+G$2+1,H1125-G1125-G$2-1),",","."))</f>
        <v>11.283333333333299</v>
      </c>
      <c r="AA1125" s="3">
        <f>VALUE(SUBSTITUTE(MID($A1125,H1125+H$2+1,I1125-H1125-H$2-1),",","."))</f>
        <v>0</v>
      </c>
      <c r="AB1125" s="3">
        <f>VALUE(SUBSTITUTE(MID($A1125,I1125+I$2+1,J1125-I1125-I$2-1),",","."))</f>
        <v>81</v>
      </c>
      <c r="AC1125" s="3">
        <f>VALUE(SUBSTITUTE(MID($A1125,J1125+J$2+1,K1125-J1125-J$2-1),",","."))</f>
        <v>1.65</v>
      </c>
      <c r="AD1125" s="3">
        <f>VALUE(SUBSTITUTE(MID($A1125,K1125+K$2+1,L1125-K1125-K$2-1),",","."))</f>
        <v>9</v>
      </c>
      <c r="AE1125" s="3">
        <f>VALUE(SUBSTITUTE(MID($A1125,L1125+L$2+1,M1125-L1125-L$2-1),",","."))</f>
        <v>0</v>
      </c>
      <c r="AF1125" s="3">
        <f>VALUE(SUBSTITUTE(MID($A1125,M1125+M$2+1,N1125-M1125-M$2-1),",","."))</f>
        <v>0</v>
      </c>
      <c r="AG1125" s="3">
        <f>VALUE(SUBSTITUTE(MID($A1125,N1125+N$2+1,O1125-N1125-N$2-1),",","."))</f>
        <v>4.2354600591059803</v>
      </c>
      <c r="AH1125" t="str">
        <f>MID($A1125,O1125+O$2+1,P1125-O1125-O$2-1)</f>
        <v/>
      </c>
      <c r="AI1125" s="8" t="str">
        <f>MID($A1125,P1125+P$2+1,Q1125-P1125-P$2-1)</f>
        <v>False</v>
      </c>
      <c r="AK1125" t="b">
        <f t="shared" si="151"/>
        <v>1</v>
      </c>
    </row>
    <row r="1126" spans="1:37" x14ac:dyDescent="0.35">
      <c r="A1126" t="s">
        <v>5673</v>
      </c>
      <c r="B1126">
        <f t="shared" si="146"/>
        <v>10</v>
      </c>
      <c r="C1126">
        <f t="shared" si="146"/>
        <v>43</v>
      </c>
      <c r="D1126">
        <f t="shared" si="146"/>
        <v>54</v>
      </c>
      <c r="E1126">
        <f t="shared" si="146"/>
        <v>97</v>
      </c>
      <c r="F1126">
        <f t="shared" si="146"/>
        <v>141</v>
      </c>
      <c r="G1126">
        <f t="shared" si="146"/>
        <v>180</v>
      </c>
      <c r="H1126">
        <f t="shared" si="146"/>
        <v>229</v>
      </c>
      <c r="I1126">
        <f t="shared" si="146"/>
        <v>251</v>
      </c>
      <c r="J1126">
        <f t="shared" si="146"/>
        <v>285</v>
      </c>
      <c r="K1126">
        <f t="shared" si="146"/>
        <v>305</v>
      </c>
      <c r="L1126">
        <f t="shared" si="146"/>
        <v>320</v>
      </c>
      <c r="M1126">
        <f t="shared" si="146"/>
        <v>335</v>
      </c>
      <c r="N1126">
        <f t="shared" si="152"/>
        <v>347</v>
      </c>
      <c r="O1126">
        <f t="shared" si="144"/>
        <v>372</v>
      </c>
      <c r="P1126">
        <f t="shared" si="144"/>
        <v>390</v>
      </c>
      <c r="Q1126">
        <f t="shared" si="144"/>
        <v>416</v>
      </c>
      <c r="S1126" t="str">
        <f t="shared" si="147"/>
        <v>08.12.2025</v>
      </c>
      <c r="T1126" t="str">
        <f t="shared" si="148"/>
        <v>12:00:00</v>
      </c>
      <c r="U1126" t="str">
        <f t="shared" si="150"/>
        <v>08.12.2025 12:00:00</v>
      </c>
      <c r="V1126" s="9" t="str">
        <f>MID($A1126,C1126+C$2+1,D1126-C1126-C$2-1)</f>
        <v>0</v>
      </c>
      <c r="W1126" s="4">
        <f>VALUE(SUBSTITUTE(MID($A1126,D1126+D$2+1,E1126-D1126-D$2-1),",","."))</f>
        <v>0.78855122153233603</v>
      </c>
      <c r="X1126" s="4">
        <f>VALUE(SUBSTITUTE(MID($A1126,E1126+E$2+1,F1126-E1126-E$2-1),",","."))</f>
        <v>0.90957602214449496</v>
      </c>
      <c r="Y1126" s="4">
        <f>VALUE(SUBSTITUTE(MID($A1126,F1126+F$2+1,G1126-F1126-F$2-1),",","."))</f>
        <v>0.340611624934062</v>
      </c>
      <c r="Z1126" s="3">
        <f>VALUE(SUBSTITUTE(MID($A1126,G1126+G$2+1,H1126-G1126-G$2-1),",","."))</f>
        <v>11.283333333333299</v>
      </c>
      <c r="AA1126" s="3">
        <f>VALUE(SUBSTITUTE(MID($A1126,H1126+H$2+1,I1126-H1126-H$2-1),",","."))</f>
        <v>0</v>
      </c>
      <c r="AB1126" s="3">
        <f>VALUE(SUBSTITUTE(MID($A1126,I1126+I$2+1,J1126-I1126-I$2-1),",","."))</f>
        <v>81</v>
      </c>
      <c r="AC1126" s="3">
        <f>VALUE(SUBSTITUTE(MID($A1126,J1126+J$2+1,K1126-J1126-J$2-1),",","."))</f>
        <v>1.65</v>
      </c>
      <c r="AD1126" s="3">
        <f>VALUE(SUBSTITUTE(MID($A1126,K1126+K$2+1,L1126-K1126-K$2-1),",","."))</f>
        <v>9</v>
      </c>
      <c r="AE1126" s="3">
        <f>VALUE(SUBSTITUTE(MID($A1126,L1126+L$2+1,M1126-L1126-L$2-1),",","."))</f>
        <v>0</v>
      </c>
      <c r="AF1126" s="3">
        <f>VALUE(SUBSTITUTE(MID($A1126,M1126+M$2+1,N1126-M1126-M$2-1),",","."))</f>
        <v>0</v>
      </c>
      <c r="AG1126" s="3">
        <f>VALUE(SUBSTITUTE(MID($A1126,N1126+N$2+1,O1126-N1126-N$2-1),",","."))</f>
        <v>4.2354885789940599</v>
      </c>
      <c r="AH1126" t="str">
        <f>MID($A1126,O1126+O$2+1,P1126-O1126-O$2-1)</f>
        <v/>
      </c>
      <c r="AI1126" s="8" t="str">
        <f>MID($A1126,P1126+P$2+1,Q1126-P1126-P$2-1)</f>
        <v>False</v>
      </c>
      <c r="AK1126" t="b">
        <f t="shared" si="151"/>
        <v>1</v>
      </c>
    </row>
    <row r="1127" spans="1:37" x14ac:dyDescent="0.35">
      <c r="A1127" t="s">
        <v>5674</v>
      </c>
      <c r="B1127">
        <f t="shared" si="146"/>
        <v>10</v>
      </c>
      <c r="C1127">
        <f t="shared" si="146"/>
        <v>43</v>
      </c>
      <c r="D1127">
        <f t="shared" si="146"/>
        <v>54</v>
      </c>
      <c r="E1127">
        <f t="shared" si="146"/>
        <v>97</v>
      </c>
      <c r="F1127">
        <f t="shared" si="146"/>
        <v>141</v>
      </c>
      <c r="G1127">
        <f t="shared" si="146"/>
        <v>179</v>
      </c>
      <c r="H1127">
        <f t="shared" si="146"/>
        <v>228</v>
      </c>
      <c r="I1127">
        <f t="shared" si="146"/>
        <v>250</v>
      </c>
      <c r="J1127">
        <f t="shared" si="146"/>
        <v>284</v>
      </c>
      <c r="K1127">
        <f t="shared" si="146"/>
        <v>304</v>
      </c>
      <c r="L1127">
        <f t="shared" si="146"/>
        <v>319</v>
      </c>
      <c r="M1127">
        <f t="shared" si="146"/>
        <v>334</v>
      </c>
      <c r="N1127">
        <f t="shared" si="152"/>
        <v>346</v>
      </c>
      <c r="O1127">
        <f t="shared" si="144"/>
        <v>371</v>
      </c>
      <c r="P1127">
        <f t="shared" si="144"/>
        <v>389</v>
      </c>
      <c r="Q1127">
        <f t="shared" si="144"/>
        <v>415</v>
      </c>
      <c r="S1127" t="str">
        <f t="shared" si="147"/>
        <v>08.12.2025</v>
      </c>
      <c r="T1127" t="str">
        <f t="shared" si="148"/>
        <v>12:15:00</v>
      </c>
      <c r="U1127" t="str">
        <f t="shared" si="150"/>
        <v>08.12.2025 12:15:00</v>
      </c>
      <c r="V1127" s="9" t="str">
        <f>MID($A1127,C1127+C$2+1,D1127-C1127-C$2-1)</f>
        <v>0</v>
      </c>
      <c r="W1127" s="4">
        <f>VALUE(SUBSTITUTE(MID($A1127,D1127+D$2+1,E1127-D1127-D$2-1),",","."))</f>
        <v>0.77637199791275602</v>
      </c>
      <c r="X1127" s="4">
        <f>VALUE(SUBSTITUTE(MID($A1127,E1127+E$2+1,F1127-E1127-E$2-1),",","."))</f>
        <v>0.90957602214449496</v>
      </c>
      <c r="Y1127" s="4">
        <f>VALUE(SUBSTITUTE(MID($A1127,F1127+F$2+1,G1127-F1127-F$2-1),",","."))</f>
        <v>0.34091737237886499</v>
      </c>
      <c r="Z1127" s="3">
        <f>VALUE(SUBSTITUTE(MID($A1127,G1127+G$2+1,H1127-G1127-G$2-1),",","."))</f>
        <v>11.283333333333299</v>
      </c>
      <c r="AA1127" s="3">
        <f>VALUE(SUBSTITUTE(MID($A1127,H1127+H$2+1,I1127-H1127-H$2-1),",","."))</f>
        <v>0</v>
      </c>
      <c r="AB1127" s="3">
        <f>VALUE(SUBSTITUTE(MID($A1127,I1127+I$2+1,J1127-I1127-I$2-1),",","."))</f>
        <v>81</v>
      </c>
      <c r="AC1127" s="3">
        <f>VALUE(SUBSTITUTE(MID($A1127,J1127+J$2+1,K1127-J1127-J$2-1),",","."))</f>
        <v>1.65</v>
      </c>
      <c r="AD1127" s="3">
        <f>VALUE(SUBSTITUTE(MID($A1127,K1127+K$2+1,L1127-K1127-K$2-1),",","."))</f>
        <v>9</v>
      </c>
      <c r="AE1127" s="3">
        <f>VALUE(SUBSTITUTE(MID($A1127,L1127+L$2+1,M1127-L1127-L$2-1),",","."))</f>
        <v>0</v>
      </c>
      <c r="AF1127" s="3">
        <f>VALUE(SUBSTITUTE(MID($A1127,M1127+M$2+1,N1127-M1127-M$2-1),",","."))</f>
        <v>0</v>
      </c>
      <c r="AG1127" s="3">
        <f>VALUE(SUBSTITUTE(MID($A1127,N1127+N$2+1,O1127-N1127-N$2-1),",","."))</f>
        <v>4.2355170988821396</v>
      </c>
      <c r="AH1127" t="str">
        <f>MID($A1127,O1127+O$2+1,P1127-O1127-O$2-1)</f>
        <v/>
      </c>
      <c r="AI1127" s="8" t="str">
        <f>MID($A1127,P1127+P$2+1,Q1127-P1127-P$2-1)</f>
        <v>False</v>
      </c>
      <c r="AK1127" t="b">
        <f t="shared" si="151"/>
        <v>1</v>
      </c>
    </row>
    <row r="1128" spans="1:37" x14ac:dyDescent="0.35">
      <c r="A1128" t="s">
        <v>5675</v>
      </c>
      <c r="B1128">
        <f t="shared" si="146"/>
        <v>10</v>
      </c>
      <c r="C1128">
        <f t="shared" si="146"/>
        <v>43</v>
      </c>
      <c r="D1128">
        <f t="shared" si="146"/>
        <v>54</v>
      </c>
      <c r="E1128">
        <f t="shared" si="146"/>
        <v>96</v>
      </c>
      <c r="F1128">
        <f t="shared" si="146"/>
        <v>140</v>
      </c>
      <c r="G1128">
        <f t="shared" si="146"/>
        <v>179</v>
      </c>
      <c r="H1128">
        <f t="shared" si="146"/>
        <v>227</v>
      </c>
      <c r="I1128">
        <f t="shared" si="146"/>
        <v>249</v>
      </c>
      <c r="J1128">
        <f t="shared" si="146"/>
        <v>285</v>
      </c>
      <c r="K1128">
        <f t="shared" si="146"/>
        <v>302</v>
      </c>
      <c r="L1128">
        <f t="shared" si="146"/>
        <v>334</v>
      </c>
      <c r="M1128">
        <f t="shared" si="146"/>
        <v>349</v>
      </c>
      <c r="N1128">
        <f t="shared" si="152"/>
        <v>361</v>
      </c>
      <c r="O1128">
        <f t="shared" si="144"/>
        <v>385</v>
      </c>
      <c r="P1128">
        <f t="shared" si="144"/>
        <v>403</v>
      </c>
      <c r="Q1128">
        <f t="shared" si="144"/>
        <v>429</v>
      </c>
      <c r="S1128" t="str">
        <f t="shared" si="147"/>
        <v>08.12.2025</v>
      </c>
      <c r="T1128" t="str">
        <f t="shared" si="148"/>
        <v>12:30:00</v>
      </c>
      <c r="U1128" t="str">
        <f t="shared" si="150"/>
        <v>08.12.2025 12:30:00</v>
      </c>
      <c r="V1128" s="9" t="str">
        <f>MID($A1128,C1128+C$2+1,D1128-C1128-C$2-1)</f>
        <v>0</v>
      </c>
      <c r="W1128" s="4">
        <f>VALUE(SUBSTITUTE(MID($A1128,D1128+D$2+1,E1128-D1128-D$2-1),",","."))</f>
        <v>0.76048077165684602</v>
      </c>
      <c r="X1128" s="4">
        <f>VALUE(SUBSTITUTE(MID($A1128,E1128+E$2+1,F1128-E1128-E$2-1),",","."))</f>
        <v>0.90957602214449496</v>
      </c>
      <c r="Y1128" s="4">
        <f>VALUE(SUBSTITUTE(MID($A1128,F1128+F$2+1,G1128-F1128-F$2-1),",","."))</f>
        <v>0.33855705936203401</v>
      </c>
      <c r="Z1128" s="3">
        <f>VALUE(SUBSTITUTE(MID($A1128,G1128+G$2+1,H1128-G1128-G$2-1),",","."))</f>
        <v>8.4166666666666607</v>
      </c>
      <c r="AA1128" s="3">
        <f>VALUE(SUBSTITUTE(MID($A1128,H1128+H$2+1,I1128-H1128-H$2-1),",","."))</f>
        <v>0</v>
      </c>
      <c r="AB1128" s="3">
        <f>VALUE(SUBSTITUTE(MID($A1128,I1128+I$2+1,J1128-I1128-I$2-1),",","."))</f>
        <v>83.5</v>
      </c>
      <c r="AC1128" s="3">
        <f>VALUE(SUBSTITUTE(MID($A1128,J1128+J$2+1,K1128-J1128-J$2-1),",","."))</f>
        <v>2</v>
      </c>
      <c r="AD1128" s="3">
        <f>VALUE(SUBSTITUTE(MID($A1128,K1128+K$2+1,L1128-K1128-K$2-1),",","."))</f>
        <v>10.62</v>
      </c>
      <c r="AE1128" s="3">
        <f>VALUE(SUBSTITUTE(MID($A1128,L1128+L$2+1,M1128-L1128-L$2-1),",","."))</f>
        <v>0</v>
      </c>
      <c r="AF1128" s="3">
        <f>VALUE(SUBSTITUTE(MID($A1128,M1128+M$2+1,N1128-M1128-M$2-1),",","."))</f>
        <v>0</v>
      </c>
      <c r="AG1128" s="3">
        <f>VALUE(SUBSTITUTE(MID($A1128,N1128+N$2+1,O1128-N1128-N$2-1),",","."))</f>
        <v>4.2355456187702298</v>
      </c>
      <c r="AH1128" t="str">
        <f>MID($A1128,O1128+O$2+1,P1128-O1128-O$2-1)</f>
        <v/>
      </c>
      <c r="AI1128" s="8" t="str">
        <f>MID($A1128,P1128+P$2+1,Q1128-P1128-P$2-1)</f>
        <v>False</v>
      </c>
      <c r="AK1128" t="b">
        <f t="shared" si="151"/>
        <v>1</v>
      </c>
    </row>
    <row r="1129" spans="1:37" x14ac:dyDescent="0.35">
      <c r="A1129" t="s">
        <v>5676</v>
      </c>
      <c r="B1129">
        <f t="shared" si="146"/>
        <v>10</v>
      </c>
      <c r="C1129">
        <f t="shared" si="146"/>
        <v>43</v>
      </c>
      <c r="D1129">
        <f t="shared" si="146"/>
        <v>54</v>
      </c>
      <c r="E1129">
        <f t="shared" si="146"/>
        <v>97</v>
      </c>
      <c r="F1129">
        <f t="shared" si="146"/>
        <v>141</v>
      </c>
      <c r="G1129">
        <f t="shared" si="146"/>
        <v>179</v>
      </c>
      <c r="H1129">
        <f t="shared" si="146"/>
        <v>227</v>
      </c>
      <c r="I1129">
        <f t="shared" si="146"/>
        <v>249</v>
      </c>
      <c r="J1129">
        <f t="shared" si="146"/>
        <v>285</v>
      </c>
      <c r="K1129">
        <f t="shared" si="146"/>
        <v>302</v>
      </c>
      <c r="L1129">
        <f t="shared" si="146"/>
        <v>334</v>
      </c>
      <c r="M1129">
        <f t="shared" si="146"/>
        <v>349</v>
      </c>
      <c r="N1129">
        <f t="shared" si="152"/>
        <v>361</v>
      </c>
      <c r="O1129">
        <f t="shared" si="144"/>
        <v>386</v>
      </c>
      <c r="P1129">
        <f t="shared" si="144"/>
        <v>404</v>
      </c>
      <c r="Q1129">
        <f t="shared" si="144"/>
        <v>430</v>
      </c>
      <c r="S1129" t="str">
        <f t="shared" si="147"/>
        <v>08.12.2025</v>
      </c>
      <c r="T1129" t="str">
        <f t="shared" si="148"/>
        <v>12:45:00</v>
      </c>
      <c r="U1129" t="str">
        <f t="shared" si="150"/>
        <v>08.12.2025 12:45:00</v>
      </c>
      <c r="V1129" s="9" t="str">
        <f>MID($A1129,C1129+C$2+1,D1129-C1129-C$2-1)</f>
        <v>0</v>
      </c>
      <c r="W1129" s="4">
        <f>VALUE(SUBSTITUTE(MID($A1129,D1129+D$2+1,E1129-D1129-D$2-1),",","."))</f>
        <v>0.74094580259044496</v>
      </c>
      <c r="X1129" s="4">
        <f>VALUE(SUBSTITUTE(MID($A1129,E1129+E$2+1,F1129-E1129-E$2-1),",","."))</f>
        <v>0.90957602214449496</v>
      </c>
      <c r="Y1129" s="4">
        <f>VALUE(SUBSTITUTE(MID($A1129,F1129+F$2+1,G1129-F1129-F$2-1),",","."))</f>
        <v>0.33354103709020499</v>
      </c>
      <c r="Z1129" s="3">
        <f>VALUE(SUBSTITUTE(MID($A1129,G1129+G$2+1,H1129-G1129-G$2-1),",","."))</f>
        <v>8.4166666666666607</v>
      </c>
      <c r="AA1129" s="3">
        <f>VALUE(SUBSTITUTE(MID($A1129,H1129+H$2+1,I1129-H1129-H$2-1),",","."))</f>
        <v>0</v>
      </c>
      <c r="AB1129" s="3">
        <f>VALUE(SUBSTITUTE(MID($A1129,I1129+I$2+1,J1129-I1129-I$2-1),",","."))</f>
        <v>83.5</v>
      </c>
      <c r="AC1129" s="3">
        <f>VALUE(SUBSTITUTE(MID($A1129,J1129+J$2+1,K1129-J1129-J$2-1),",","."))</f>
        <v>2</v>
      </c>
      <c r="AD1129" s="3">
        <f>VALUE(SUBSTITUTE(MID($A1129,K1129+K$2+1,L1129-K1129-K$2-1),",","."))</f>
        <v>10.62</v>
      </c>
      <c r="AE1129" s="3">
        <f>VALUE(SUBSTITUTE(MID($A1129,L1129+L$2+1,M1129-L1129-L$2-1),",","."))</f>
        <v>0</v>
      </c>
      <c r="AF1129" s="3">
        <f>VALUE(SUBSTITUTE(MID($A1129,M1129+M$2+1,N1129-M1129-M$2-1),",","."))</f>
        <v>0</v>
      </c>
      <c r="AG1129" s="3">
        <f>VALUE(SUBSTITUTE(MID($A1129,N1129+N$2+1,O1129-N1129-N$2-1),",","."))</f>
        <v>4.2355741386583103</v>
      </c>
      <c r="AH1129" t="str">
        <f>MID($A1129,O1129+O$2+1,P1129-O1129-O$2-1)</f>
        <v/>
      </c>
      <c r="AI1129" s="8" t="str">
        <f>MID($A1129,P1129+P$2+1,Q1129-P1129-P$2-1)</f>
        <v>False</v>
      </c>
      <c r="AK1129" t="b">
        <f t="shared" si="151"/>
        <v>1</v>
      </c>
    </row>
    <row r="1130" spans="1:37" x14ac:dyDescent="0.35">
      <c r="A1130" t="s">
        <v>5677</v>
      </c>
      <c r="B1130">
        <f t="shared" si="146"/>
        <v>10</v>
      </c>
      <c r="C1130">
        <f t="shared" si="146"/>
        <v>43</v>
      </c>
      <c r="D1130">
        <f t="shared" si="146"/>
        <v>54</v>
      </c>
      <c r="E1130">
        <f t="shared" si="146"/>
        <v>97</v>
      </c>
      <c r="F1130">
        <f t="shared" si="146"/>
        <v>141</v>
      </c>
      <c r="G1130">
        <f t="shared" si="146"/>
        <v>180</v>
      </c>
      <c r="H1130">
        <f t="shared" si="146"/>
        <v>228</v>
      </c>
      <c r="I1130">
        <f t="shared" ref="I1130:M1180" si="153">FIND(I$1,$A1130)</f>
        <v>250</v>
      </c>
      <c r="J1130">
        <f t="shared" si="153"/>
        <v>286</v>
      </c>
      <c r="K1130">
        <f t="shared" si="153"/>
        <v>303</v>
      </c>
      <c r="L1130">
        <f t="shared" si="153"/>
        <v>335</v>
      </c>
      <c r="M1130">
        <f t="shared" si="153"/>
        <v>350</v>
      </c>
      <c r="N1130">
        <f t="shared" si="152"/>
        <v>362</v>
      </c>
      <c r="O1130">
        <f t="shared" si="144"/>
        <v>387</v>
      </c>
      <c r="P1130">
        <f t="shared" si="144"/>
        <v>405</v>
      </c>
      <c r="Q1130">
        <f t="shared" si="144"/>
        <v>431</v>
      </c>
      <c r="S1130" t="str">
        <f t="shared" si="147"/>
        <v>08.12.2025</v>
      </c>
      <c r="T1130" t="str">
        <f t="shared" si="148"/>
        <v>13:00:00</v>
      </c>
      <c r="U1130" t="str">
        <f t="shared" si="150"/>
        <v>08.12.2025 13:00:00</v>
      </c>
      <c r="V1130" s="9" t="str">
        <f>MID($A1130,C1130+C$2+1,D1130-C1130-C$2-1)</f>
        <v>0</v>
      </c>
      <c r="W1130" s="4">
        <f>VALUE(SUBSTITUTE(MID($A1130,D1130+D$2+1,E1130-D1130-D$2-1),",","."))</f>
        <v>0.717851207201883</v>
      </c>
      <c r="X1130" s="4">
        <f>VALUE(SUBSTITUTE(MID($A1130,E1130+E$2+1,F1130-E1130-E$2-1),",","."))</f>
        <v>0.90957602214449496</v>
      </c>
      <c r="Y1130" s="4">
        <f>VALUE(SUBSTITUTE(MID($A1130,F1130+F$2+1,G1130-F1130-F$2-1),",","."))</f>
        <v>0.32589134251894297</v>
      </c>
      <c r="Z1130" s="3">
        <f>VALUE(SUBSTITUTE(MID($A1130,G1130+G$2+1,H1130-G1130-G$2-1),",","."))</f>
        <v>8.4166666666666607</v>
      </c>
      <c r="AA1130" s="3">
        <f>VALUE(SUBSTITUTE(MID($A1130,H1130+H$2+1,I1130-H1130-H$2-1),",","."))</f>
        <v>0</v>
      </c>
      <c r="AB1130" s="3">
        <f>VALUE(SUBSTITUTE(MID($A1130,I1130+I$2+1,J1130-I1130-I$2-1),",","."))</f>
        <v>83.5</v>
      </c>
      <c r="AC1130" s="3">
        <f>VALUE(SUBSTITUTE(MID($A1130,J1130+J$2+1,K1130-J1130-J$2-1),",","."))</f>
        <v>2</v>
      </c>
      <c r="AD1130" s="3">
        <f>VALUE(SUBSTITUTE(MID($A1130,K1130+K$2+1,L1130-K1130-K$2-1),",","."))</f>
        <v>10.62</v>
      </c>
      <c r="AE1130" s="3">
        <f>VALUE(SUBSTITUTE(MID($A1130,L1130+L$2+1,M1130-L1130-L$2-1),",","."))</f>
        <v>0</v>
      </c>
      <c r="AF1130" s="3">
        <f>VALUE(SUBSTITUTE(MID($A1130,M1130+M$2+1,N1130-M1130-M$2-1),",","."))</f>
        <v>0</v>
      </c>
      <c r="AG1130" s="3">
        <f>VALUE(SUBSTITUTE(MID($A1130,N1130+N$2+1,O1130-N1130-N$2-1),",","."))</f>
        <v>4.23560265854639</v>
      </c>
      <c r="AH1130" t="str">
        <f>MID($A1130,O1130+O$2+1,P1130-O1130-O$2-1)</f>
        <v/>
      </c>
      <c r="AI1130" s="8" t="str">
        <f>MID($A1130,P1130+P$2+1,Q1130-P1130-P$2-1)</f>
        <v>False</v>
      </c>
      <c r="AK1130" t="b">
        <f t="shared" si="151"/>
        <v>1</v>
      </c>
    </row>
    <row r="1131" spans="1:37" x14ac:dyDescent="0.35">
      <c r="A1131" t="s">
        <v>5678</v>
      </c>
      <c r="B1131">
        <f t="shared" ref="B1131:H1167" si="154">FIND(B$1,$A1131)</f>
        <v>10</v>
      </c>
      <c r="C1131">
        <f t="shared" si="154"/>
        <v>43</v>
      </c>
      <c r="D1131">
        <f t="shared" si="154"/>
        <v>54</v>
      </c>
      <c r="E1131">
        <f t="shared" si="154"/>
        <v>97</v>
      </c>
      <c r="F1131">
        <f t="shared" si="154"/>
        <v>141</v>
      </c>
      <c r="G1131">
        <f t="shared" si="154"/>
        <v>179</v>
      </c>
      <c r="H1131">
        <f t="shared" si="154"/>
        <v>227</v>
      </c>
      <c r="I1131">
        <f t="shared" si="153"/>
        <v>249</v>
      </c>
      <c r="J1131">
        <f t="shared" si="153"/>
        <v>285</v>
      </c>
      <c r="K1131">
        <f t="shared" si="153"/>
        <v>302</v>
      </c>
      <c r="L1131">
        <f t="shared" si="153"/>
        <v>334</v>
      </c>
      <c r="M1131">
        <f t="shared" si="153"/>
        <v>349</v>
      </c>
      <c r="N1131">
        <f t="shared" si="152"/>
        <v>361</v>
      </c>
      <c r="O1131">
        <f t="shared" si="144"/>
        <v>386</v>
      </c>
      <c r="P1131">
        <f t="shared" si="144"/>
        <v>404</v>
      </c>
      <c r="Q1131">
        <f t="shared" si="144"/>
        <v>430</v>
      </c>
      <c r="S1131" t="str">
        <f t="shared" si="147"/>
        <v>08.12.2025</v>
      </c>
      <c r="T1131" t="str">
        <f t="shared" si="148"/>
        <v>13:15:00</v>
      </c>
      <c r="U1131" t="str">
        <f t="shared" si="150"/>
        <v>08.12.2025 13:15:00</v>
      </c>
      <c r="V1131" s="9" t="str">
        <f>MID($A1131,C1131+C$2+1,D1131-C1131-C$2-1)</f>
        <v>0</v>
      </c>
      <c r="W1131" s="4">
        <f>VALUE(SUBSTITUTE(MID($A1131,D1131+D$2+1,E1131-D1131-D$2-1),",","."))</f>
        <v>0.69129664656281897</v>
      </c>
      <c r="X1131" s="4">
        <f>VALUE(SUBSTITUTE(MID($A1131,E1131+E$2+1,F1131-E1131-E$2-1),",","."))</f>
        <v>0.90957602214449496</v>
      </c>
      <c r="Y1131" s="4">
        <f>VALUE(SUBSTITUTE(MID($A1131,F1131+F$2+1,G1131-F1131-F$2-1),",","."))</f>
        <v>0.31564166262669902</v>
      </c>
      <c r="Z1131" s="3">
        <f>VALUE(SUBSTITUTE(MID($A1131,G1131+G$2+1,H1131-G1131-G$2-1),",","."))</f>
        <v>8.4166666666666607</v>
      </c>
      <c r="AA1131" s="3">
        <f>VALUE(SUBSTITUTE(MID($A1131,H1131+H$2+1,I1131-H1131-H$2-1),",","."))</f>
        <v>0</v>
      </c>
      <c r="AB1131" s="3">
        <f>VALUE(SUBSTITUTE(MID($A1131,I1131+I$2+1,J1131-I1131-I$2-1),",","."))</f>
        <v>83.5</v>
      </c>
      <c r="AC1131" s="3">
        <f>VALUE(SUBSTITUTE(MID($A1131,J1131+J$2+1,K1131-J1131-J$2-1),",","."))</f>
        <v>2</v>
      </c>
      <c r="AD1131" s="3">
        <f>VALUE(SUBSTITUTE(MID($A1131,K1131+K$2+1,L1131-K1131-K$2-1),",","."))</f>
        <v>10.62</v>
      </c>
      <c r="AE1131" s="3">
        <f>VALUE(SUBSTITUTE(MID($A1131,L1131+L$2+1,M1131-L1131-L$2-1),",","."))</f>
        <v>0</v>
      </c>
      <c r="AF1131" s="3">
        <f>VALUE(SUBSTITUTE(MID($A1131,M1131+M$2+1,N1131-M1131-M$2-1),",","."))</f>
        <v>0</v>
      </c>
      <c r="AG1131" s="3">
        <f>VALUE(SUBSTITUTE(MID($A1131,N1131+N$2+1,O1131-N1131-N$2-1),",","."))</f>
        <v>4.2356311784344696</v>
      </c>
      <c r="AH1131" t="str">
        <f>MID($A1131,O1131+O$2+1,P1131-O1131-O$2-1)</f>
        <v/>
      </c>
      <c r="AI1131" s="8" t="str">
        <f>MID($A1131,P1131+P$2+1,Q1131-P1131-P$2-1)</f>
        <v>False</v>
      </c>
      <c r="AK1131" t="b">
        <f t="shared" si="151"/>
        <v>1</v>
      </c>
    </row>
    <row r="1132" spans="1:37" x14ac:dyDescent="0.35">
      <c r="A1132" t="s">
        <v>5679</v>
      </c>
      <c r="B1132">
        <f t="shared" si="154"/>
        <v>10</v>
      </c>
      <c r="C1132">
        <f t="shared" si="154"/>
        <v>43</v>
      </c>
      <c r="D1132">
        <f t="shared" si="154"/>
        <v>54</v>
      </c>
      <c r="E1132">
        <f t="shared" si="154"/>
        <v>97</v>
      </c>
      <c r="F1132">
        <f t="shared" si="154"/>
        <v>141</v>
      </c>
      <c r="G1132">
        <f t="shared" si="154"/>
        <v>180</v>
      </c>
      <c r="H1132">
        <f t="shared" si="154"/>
        <v>215</v>
      </c>
      <c r="I1132">
        <f t="shared" si="153"/>
        <v>237</v>
      </c>
      <c r="J1132">
        <f t="shared" si="153"/>
        <v>271</v>
      </c>
      <c r="K1132">
        <f t="shared" si="153"/>
        <v>291</v>
      </c>
      <c r="L1132">
        <f t="shared" si="153"/>
        <v>323</v>
      </c>
      <c r="M1132">
        <f t="shared" si="153"/>
        <v>338</v>
      </c>
      <c r="N1132">
        <f t="shared" si="152"/>
        <v>350</v>
      </c>
      <c r="O1132">
        <f t="shared" si="144"/>
        <v>375</v>
      </c>
      <c r="P1132">
        <f t="shared" si="144"/>
        <v>393</v>
      </c>
      <c r="Q1132">
        <f t="shared" si="144"/>
        <v>419</v>
      </c>
      <c r="S1132" t="str">
        <f t="shared" si="147"/>
        <v>08.12.2025</v>
      </c>
      <c r="T1132" t="str">
        <f t="shared" si="148"/>
        <v>13:30:00</v>
      </c>
      <c r="U1132" t="str">
        <f t="shared" si="150"/>
        <v>08.12.2025 13:30:00</v>
      </c>
      <c r="V1132" s="9" t="str">
        <f>MID($A1132,C1132+C$2+1,D1132-C1132-C$2-1)</f>
        <v>0</v>
      </c>
      <c r="W1132" s="4">
        <f>VALUE(SUBSTITUTE(MID($A1132,D1132+D$2+1,E1132-D1132-D$2-1),",","."))</f>
        <v>0.66139698505092004</v>
      </c>
      <c r="X1132" s="4">
        <f>VALUE(SUBSTITUTE(MID($A1132,E1132+E$2+1,F1132-E1132-E$2-1),",","."))</f>
        <v>0.90957602214449496</v>
      </c>
      <c r="Y1132" s="4">
        <f>VALUE(SUBSTITUTE(MID($A1132,F1132+F$2+1,G1132-F1132-F$2-1),",","."))</f>
        <v>0.30283729403059201</v>
      </c>
      <c r="Z1132" s="3">
        <f>VALUE(SUBSTITUTE(MID($A1132,G1132+G$2+1,H1132-G1132-G$2-1),",","."))</f>
        <v>8.65</v>
      </c>
      <c r="AA1132" s="3">
        <f>VALUE(SUBSTITUTE(MID($A1132,H1132+H$2+1,I1132-H1132-H$2-1),",","."))</f>
        <v>0</v>
      </c>
      <c r="AB1132" s="3">
        <f>VALUE(SUBSTITUTE(MID($A1132,I1132+I$2+1,J1132-I1132-I$2-1),",","."))</f>
        <v>74</v>
      </c>
      <c r="AC1132" s="3">
        <f>VALUE(SUBSTITUTE(MID($A1132,J1132+J$2+1,K1132-J1132-J$2-1),",","."))</f>
        <v>2.0499999999999998</v>
      </c>
      <c r="AD1132" s="3">
        <f>VALUE(SUBSTITUTE(MID($A1132,K1132+K$2+1,L1132-K1132-K$2-1),",","."))</f>
        <v>11.7</v>
      </c>
      <c r="AE1132" s="3">
        <f>VALUE(SUBSTITUTE(MID($A1132,L1132+L$2+1,M1132-L1132-L$2-1),",","."))</f>
        <v>0</v>
      </c>
      <c r="AF1132" s="3">
        <f>VALUE(SUBSTITUTE(MID($A1132,M1132+M$2+1,N1132-M1132-M$2-1),",","."))</f>
        <v>0</v>
      </c>
      <c r="AG1132" s="3">
        <f>VALUE(SUBSTITUTE(MID($A1132,N1132+N$2+1,O1132-N1132-N$2-1),",","."))</f>
        <v>4.2356596983225501</v>
      </c>
      <c r="AH1132" t="str">
        <f>MID($A1132,O1132+O$2+1,P1132-O1132-O$2-1)</f>
        <v/>
      </c>
      <c r="AI1132" s="8" t="str">
        <f>MID($A1132,P1132+P$2+1,Q1132-P1132-P$2-1)</f>
        <v>False</v>
      </c>
      <c r="AK1132" t="b">
        <f t="shared" si="151"/>
        <v>1</v>
      </c>
    </row>
    <row r="1133" spans="1:37" x14ac:dyDescent="0.35">
      <c r="A1133" t="s">
        <v>5680</v>
      </c>
      <c r="B1133">
        <f t="shared" si="154"/>
        <v>10</v>
      </c>
      <c r="C1133">
        <f t="shared" si="154"/>
        <v>43</v>
      </c>
      <c r="D1133">
        <f t="shared" si="154"/>
        <v>54</v>
      </c>
      <c r="E1133">
        <f t="shared" si="154"/>
        <v>97</v>
      </c>
      <c r="F1133">
        <f t="shared" si="154"/>
        <v>141</v>
      </c>
      <c r="G1133">
        <f t="shared" si="154"/>
        <v>179</v>
      </c>
      <c r="H1133">
        <f t="shared" si="154"/>
        <v>214</v>
      </c>
      <c r="I1133">
        <f t="shared" si="153"/>
        <v>236</v>
      </c>
      <c r="J1133">
        <f t="shared" si="153"/>
        <v>270</v>
      </c>
      <c r="K1133">
        <f t="shared" si="153"/>
        <v>290</v>
      </c>
      <c r="L1133">
        <f t="shared" si="153"/>
        <v>322</v>
      </c>
      <c r="M1133">
        <f t="shared" si="153"/>
        <v>337</v>
      </c>
      <c r="N1133">
        <f t="shared" si="152"/>
        <v>349</v>
      </c>
      <c r="O1133">
        <f t="shared" si="152"/>
        <v>374</v>
      </c>
      <c r="P1133">
        <f t="shared" si="152"/>
        <v>392</v>
      </c>
      <c r="Q1133">
        <f t="shared" si="152"/>
        <v>418</v>
      </c>
      <c r="S1133" t="str">
        <f t="shared" si="147"/>
        <v>08.12.2025</v>
      </c>
      <c r="T1133" t="str">
        <f t="shared" si="148"/>
        <v>13:45:00</v>
      </c>
      <c r="U1133" t="str">
        <f t="shared" si="150"/>
        <v>08.12.2025 13:45:00</v>
      </c>
      <c r="V1133" s="9" t="str">
        <f>MID($A1133,C1133+C$2+1,D1133-C1133-C$2-1)</f>
        <v>0</v>
      </c>
      <c r="W1133" s="4">
        <f>VALUE(SUBSTITUTE(MID($A1133,D1133+D$2+1,E1133-D1133-D$2-1),",","."))</f>
        <v>0.62828193990478498</v>
      </c>
      <c r="X1133" s="4">
        <f>VALUE(SUBSTITUTE(MID($A1133,E1133+E$2+1,F1133-E1133-E$2-1),",","."))</f>
        <v>0.90957602214449496</v>
      </c>
      <c r="Y1133" s="4">
        <f>VALUE(SUBSTITUTE(MID($A1133,F1133+F$2+1,G1133-F1133-F$2-1),",","."))</f>
        <v>0.28753512078594301</v>
      </c>
      <c r="Z1133" s="3">
        <f>VALUE(SUBSTITUTE(MID($A1133,G1133+G$2+1,H1133-G1133-G$2-1),",","."))</f>
        <v>8.65</v>
      </c>
      <c r="AA1133" s="3">
        <f>VALUE(SUBSTITUTE(MID($A1133,H1133+H$2+1,I1133-H1133-H$2-1),",","."))</f>
        <v>0</v>
      </c>
      <c r="AB1133" s="3">
        <f>VALUE(SUBSTITUTE(MID($A1133,I1133+I$2+1,J1133-I1133-I$2-1),",","."))</f>
        <v>74</v>
      </c>
      <c r="AC1133" s="3">
        <f>VALUE(SUBSTITUTE(MID($A1133,J1133+J$2+1,K1133-J1133-J$2-1),",","."))</f>
        <v>2.0499999999999998</v>
      </c>
      <c r="AD1133" s="3">
        <f>VALUE(SUBSTITUTE(MID($A1133,K1133+K$2+1,L1133-K1133-K$2-1),",","."))</f>
        <v>11.7</v>
      </c>
      <c r="AE1133" s="3">
        <f>VALUE(SUBSTITUTE(MID($A1133,L1133+L$2+1,M1133-L1133-L$2-1),",","."))</f>
        <v>0</v>
      </c>
      <c r="AF1133" s="3">
        <f>VALUE(SUBSTITUTE(MID($A1133,M1133+M$2+1,N1133-M1133-M$2-1),",","."))</f>
        <v>0</v>
      </c>
      <c r="AG1133" s="3">
        <f>VALUE(SUBSTITUTE(MID($A1133,N1133+N$2+1,O1133-N1133-N$2-1),",","."))</f>
        <v>4.2356882182106297</v>
      </c>
      <c r="AH1133" t="str">
        <f>MID($A1133,O1133+O$2+1,P1133-O1133-O$2-1)</f>
        <v/>
      </c>
      <c r="AI1133" s="8" t="str">
        <f>MID($A1133,P1133+P$2+1,Q1133-P1133-P$2-1)</f>
        <v>False</v>
      </c>
      <c r="AK1133" t="b">
        <f t="shared" si="151"/>
        <v>1</v>
      </c>
    </row>
    <row r="1134" spans="1:37" x14ac:dyDescent="0.35">
      <c r="A1134" t="s">
        <v>5681</v>
      </c>
      <c r="B1134">
        <f t="shared" si="154"/>
        <v>10</v>
      </c>
      <c r="C1134">
        <f t="shared" si="154"/>
        <v>43</v>
      </c>
      <c r="D1134">
        <f t="shared" si="154"/>
        <v>54</v>
      </c>
      <c r="E1134">
        <f t="shared" si="154"/>
        <v>97</v>
      </c>
      <c r="F1134">
        <f t="shared" si="154"/>
        <v>141</v>
      </c>
      <c r="G1134">
        <f t="shared" si="154"/>
        <v>179</v>
      </c>
      <c r="H1134">
        <f t="shared" si="154"/>
        <v>214</v>
      </c>
      <c r="I1134">
        <f t="shared" si="153"/>
        <v>236</v>
      </c>
      <c r="J1134">
        <f t="shared" si="153"/>
        <v>270</v>
      </c>
      <c r="K1134">
        <f t="shared" si="153"/>
        <v>290</v>
      </c>
      <c r="L1134">
        <f t="shared" si="153"/>
        <v>322</v>
      </c>
      <c r="M1134">
        <f t="shared" si="153"/>
        <v>337</v>
      </c>
      <c r="N1134">
        <f t="shared" si="152"/>
        <v>349</v>
      </c>
      <c r="O1134">
        <f t="shared" si="152"/>
        <v>374</v>
      </c>
      <c r="P1134">
        <f t="shared" si="152"/>
        <v>392</v>
      </c>
      <c r="Q1134">
        <f t="shared" si="152"/>
        <v>418</v>
      </c>
      <c r="S1134" t="str">
        <f t="shared" si="147"/>
        <v>08.12.2025</v>
      </c>
      <c r="T1134" t="str">
        <f t="shared" si="148"/>
        <v>14:00:00</v>
      </c>
      <c r="U1134" t="str">
        <f t="shared" si="150"/>
        <v>08.12.2025 14:00:00</v>
      </c>
      <c r="V1134" s="9" t="str">
        <f>MID($A1134,C1134+C$2+1,D1134-C1134-C$2-1)</f>
        <v>0</v>
      </c>
      <c r="W1134" s="4">
        <f>VALUE(SUBSTITUTE(MID($A1134,D1134+D$2+1,E1134-D1134-D$2-1),",","."))</f>
        <v>0.59209575739651799</v>
      </c>
      <c r="X1134" s="4">
        <f>VALUE(SUBSTITUTE(MID($A1134,E1134+E$2+1,F1134-E1134-E$2-1),",","."))</f>
        <v>0.90957602214449496</v>
      </c>
      <c r="Y1134" s="4">
        <f>VALUE(SUBSTITUTE(MID($A1134,F1134+F$2+1,G1134-F1134-F$2-1),",","."))</f>
        <v>0.26980365230064601</v>
      </c>
      <c r="Z1134" s="3">
        <f>VALUE(SUBSTITUTE(MID($A1134,G1134+G$2+1,H1134-G1134-G$2-1),",","."))</f>
        <v>8.65</v>
      </c>
      <c r="AA1134" s="3">
        <f>VALUE(SUBSTITUTE(MID($A1134,H1134+H$2+1,I1134-H1134-H$2-1),",","."))</f>
        <v>0</v>
      </c>
      <c r="AB1134" s="3">
        <f>VALUE(SUBSTITUTE(MID($A1134,I1134+I$2+1,J1134-I1134-I$2-1),",","."))</f>
        <v>74</v>
      </c>
      <c r="AC1134" s="3">
        <f>VALUE(SUBSTITUTE(MID($A1134,J1134+J$2+1,K1134-J1134-J$2-1),",","."))</f>
        <v>2.0499999999999998</v>
      </c>
      <c r="AD1134" s="3">
        <f>VALUE(SUBSTITUTE(MID($A1134,K1134+K$2+1,L1134-K1134-K$2-1),",","."))</f>
        <v>11.7</v>
      </c>
      <c r="AE1134" s="3">
        <f>VALUE(SUBSTITUTE(MID($A1134,L1134+L$2+1,M1134-L1134-L$2-1),",","."))</f>
        <v>0</v>
      </c>
      <c r="AF1134" s="3">
        <f>VALUE(SUBSTITUTE(MID($A1134,M1134+M$2+1,N1134-M1134-M$2-1),",","."))</f>
        <v>0</v>
      </c>
      <c r="AG1134" s="3">
        <f>VALUE(SUBSTITUTE(MID($A1134,N1134+N$2+1,O1134-N1134-N$2-1),",","."))</f>
        <v>4.2357167380987102</v>
      </c>
      <c r="AH1134" t="str">
        <f>MID($A1134,O1134+O$2+1,P1134-O1134-O$2-1)</f>
        <v/>
      </c>
      <c r="AI1134" s="8" t="str">
        <f>MID($A1134,P1134+P$2+1,Q1134-P1134-P$2-1)</f>
        <v>False</v>
      </c>
      <c r="AK1134" t="b">
        <f t="shared" si="151"/>
        <v>1</v>
      </c>
    </row>
    <row r="1135" spans="1:37" x14ac:dyDescent="0.35">
      <c r="A1135" t="s">
        <v>5682</v>
      </c>
      <c r="B1135">
        <f t="shared" si="154"/>
        <v>10</v>
      </c>
      <c r="C1135">
        <f t="shared" si="154"/>
        <v>43</v>
      </c>
      <c r="D1135">
        <f t="shared" si="154"/>
        <v>54</v>
      </c>
      <c r="E1135">
        <f t="shared" si="154"/>
        <v>97</v>
      </c>
      <c r="F1135">
        <f t="shared" si="154"/>
        <v>141</v>
      </c>
      <c r="G1135">
        <f t="shared" si="154"/>
        <v>180</v>
      </c>
      <c r="H1135">
        <f t="shared" si="154"/>
        <v>215</v>
      </c>
      <c r="I1135">
        <f t="shared" si="153"/>
        <v>237</v>
      </c>
      <c r="J1135">
        <f t="shared" si="153"/>
        <v>271</v>
      </c>
      <c r="K1135">
        <f t="shared" si="153"/>
        <v>291</v>
      </c>
      <c r="L1135">
        <f t="shared" si="153"/>
        <v>323</v>
      </c>
      <c r="M1135">
        <f t="shared" si="153"/>
        <v>338</v>
      </c>
      <c r="N1135">
        <f t="shared" si="152"/>
        <v>350</v>
      </c>
      <c r="O1135">
        <f t="shared" si="152"/>
        <v>376</v>
      </c>
      <c r="P1135">
        <f t="shared" si="152"/>
        <v>394</v>
      </c>
      <c r="Q1135">
        <f t="shared" si="152"/>
        <v>420</v>
      </c>
      <c r="S1135" t="str">
        <f t="shared" si="147"/>
        <v>08.12.2025</v>
      </c>
      <c r="T1135" t="str">
        <f t="shared" si="148"/>
        <v>14:15:00</v>
      </c>
      <c r="U1135" t="str">
        <f t="shared" si="150"/>
        <v>08.12.2025 14:15:00</v>
      </c>
      <c r="V1135" s="9" t="str">
        <f>MID($A1135,C1135+C$2+1,D1135-C1135-C$2-1)</f>
        <v>0</v>
      </c>
      <c r="W1135" s="4">
        <f>VALUE(SUBSTITUTE(MID($A1135,D1135+D$2+1,E1135-D1135-D$2-1),",","."))</f>
        <v>0.552996982383828</v>
      </c>
      <c r="X1135" s="4">
        <f>VALUE(SUBSTITUTE(MID($A1135,E1135+E$2+1,F1135-E1135-E$2-1),",","."))</f>
        <v>0.90957602214449496</v>
      </c>
      <c r="Y1135" s="4">
        <f>VALUE(SUBSTITUTE(MID($A1135,F1135+F$2+1,G1135-F1135-F$2-1),",","."))</f>
        <v>0.24972320032978201</v>
      </c>
      <c r="Z1135" s="3">
        <f>VALUE(SUBSTITUTE(MID($A1135,G1135+G$2+1,H1135-G1135-G$2-1),",","."))</f>
        <v>8.65</v>
      </c>
      <c r="AA1135" s="3">
        <f>VALUE(SUBSTITUTE(MID($A1135,H1135+H$2+1,I1135-H1135-H$2-1),",","."))</f>
        <v>0</v>
      </c>
      <c r="AB1135" s="3">
        <f>VALUE(SUBSTITUTE(MID($A1135,I1135+I$2+1,J1135-I1135-I$2-1),",","."))</f>
        <v>74</v>
      </c>
      <c r="AC1135" s="3">
        <f>VALUE(SUBSTITUTE(MID($A1135,J1135+J$2+1,K1135-J1135-J$2-1),",","."))</f>
        <v>2.0499999999999998</v>
      </c>
      <c r="AD1135" s="3">
        <f>VALUE(SUBSTITUTE(MID($A1135,K1135+K$2+1,L1135-K1135-K$2-1),",","."))</f>
        <v>11.7</v>
      </c>
      <c r="AE1135" s="3">
        <f>VALUE(SUBSTITUTE(MID($A1135,L1135+L$2+1,M1135-L1135-L$2-1),",","."))</f>
        <v>0</v>
      </c>
      <c r="AF1135" s="3">
        <f>VALUE(SUBSTITUTE(MID($A1135,M1135+M$2+1,N1135-M1135-M$2-1),",","."))</f>
        <v>0</v>
      </c>
      <c r="AG1135" s="3">
        <f>VALUE(SUBSTITUTE(MID($A1135,N1135+N$2+1,O1135-N1135-N$2-1),",","."))</f>
        <v>4.2357452579867996</v>
      </c>
      <c r="AH1135" t="str">
        <f>MID($A1135,O1135+O$2+1,P1135-O1135-O$2-1)</f>
        <v/>
      </c>
      <c r="AI1135" s="8" t="str">
        <f>MID($A1135,P1135+P$2+1,Q1135-P1135-P$2-1)</f>
        <v>False</v>
      </c>
      <c r="AK1135" t="b">
        <f t="shared" si="151"/>
        <v>1</v>
      </c>
    </row>
    <row r="1136" spans="1:37" x14ac:dyDescent="0.35">
      <c r="A1136" t="s">
        <v>5683</v>
      </c>
      <c r="B1136">
        <f t="shared" si="154"/>
        <v>10</v>
      </c>
      <c r="C1136">
        <f t="shared" si="154"/>
        <v>43</v>
      </c>
      <c r="D1136">
        <f t="shared" si="154"/>
        <v>54</v>
      </c>
      <c r="E1136">
        <f t="shared" si="154"/>
        <v>97</v>
      </c>
      <c r="F1136">
        <f t="shared" si="154"/>
        <v>141</v>
      </c>
      <c r="G1136">
        <f t="shared" si="154"/>
        <v>180</v>
      </c>
      <c r="H1136">
        <f t="shared" si="154"/>
        <v>228</v>
      </c>
      <c r="I1136">
        <f t="shared" si="153"/>
        <v>250</v>
      </c>
      <c r="J1136">
        <f t="shared" si="153"/>
        <v>286</v>
      </c>
      <c r="K1136">
        <f t="shared" si="153"/>
        <v>305</v>
      </c>
      <c r="L1136">
        <f t="shared" si="153"/>
        <v>324</v>
      </c>
      <c r="M1136">
        <f t="shared" si="153"/>
        <v>339</v>
      </c>
      <c r="N1136">
        <f t="shared" si="152"/>
        <v>351</v>
      </c>
      <c r="O1136">
        <f t="shared" si="152"/>
        <v>376</v>
      </c>
      <c r="P1136">
        <f t="shared" si="152"/>
        <v>394</v>
      </c>
      <c r="Q1136">
        <f t="shared" si="152"/>
        <v>420</v>
      </c>
      <c r="S1136" t="str">
        <f t="shared" si="147"/>
        <v>08.12.2025</v>
      </c>
      <c r="T1136" t="str">
        <f t="shared" si="148"/>
        <v>14:30:00</v>
      </c>
      <c r="U1136" t="str">
        <f t="shared" si="150"/>
        <v>08.12.2025 14:30:00</v>
      </c>
      <c r="V1136" s="9" t="str">
        <f>MID($A1136,C1136+C$2+1,D1136-C1136-C$2-1)</f>
        <v>0</v>
      </c>
      <c r="W1136" s="4">
        <f>VALUE(SUBSTITUTE(MID($A1136,D1136+D$2+1,E1136-D1136-D$2-1),",","."))</f>
        <v>0.51115844949729605</v>
      </c>
      <c r="X1136" s="4">
        <f>VALUE(SUBSTITUTE(MID($A1136,E1136+E$2+1,F1136-E1136-E$2-1),",","."))</f>
        <v>0.90957602214449496</v>
      </c>
      <c r="Y1136" s="4">
        <f>VALUE(SUBSTITUTE(MID($A1136,F1136+F$2+1,G1136-F1136-F$2-1),",","."))</f>
        <v>0.22738634901292701</v>
      </c>
      <c r="Z1136" s="3">
        <f>VALUE(SUBSTITUTE(MID($A1136,G1136+G$2+1,H1136-G1136-G$2-1),",","."))</f>
        <v>7.7166666666666597</v>
      </c>
      <c r="AA1136" s="3">
        <f>VALUE(SUBSTITUTE(MID($A1136,H1136+H$2+1,I1136-H1136-H$2-1),",","."))</f>
        <v>0</v>
      </c>
      <c r="AB1136" s="3">
        <f>VALUE(SUBSTITUTE(MID($A1136,I1136+I$2+1,J1136-I1136-I$2-1),",","."))</f>
        <v>53.5</v>
      </c>
      <c r="AC1136" s="3">
        <f>VALUE(SUBSTITUTE(MID($A1136,J1136+J$2+1,K1136-J1136-J$2-1),",","."))</f>
        <v>1.9</v>
      </c>
      <c r="AD1136" s="3">
        <f>VALUE(SUBSTITUTE(MID($A1136,K1136+K$2+1,L1136-K1136-K$2-1),",","."))</f>
        <v>12.96</v>
      </c>
      <c r="AE1136" s="3">
        <f>VALUE(SUBSTITUTE(MID($A1136,L1136+L$2+1,M1136-L1136-L$2-1),",","."))</f>
        <v>0</v>
      </c>
      <c r="AF1136" s="3">
        <f>VALUE(SUBSTITUTE(MID($A1136,M1136+M$2+1,N1136-M1136-M$2-1),",","."))</f>
        <v>0</v>
      </c>
      <c r="AG1136" s="3">
        <f>VALUE(SUBSTITUTE(MID($A1136,N1136+N$2+1,O1136-N1136-N$2-1),",","."))</f>
        <v>4.2357737778748801</v>
      </c>
      <c r="AH1136" t="str">
        <f>MID($A1136,O1136+O$2+1,P1136-O1136-O$2-1)</f>
        <v/>
      </c>
      <c r="AI1136" s="8" t="str">
        <f>MID($A1136,P1136+P$2+1,Q1136-P1136-P$2-1)</f>
        <v>False</v>
      </c>
      <c r="AK1136" t="b">
        <f t="shared" si="151"/>
        <v>1</v>
      </c>
    </row>
    <row r="1137" spans="1:37" x14ac:dyDescent="0.35">
      <c r="A1137" t="s">
        <v>5684</v>
      </c>
      <c r="B1137">
        <f t="shared" si="154"/>
        <v>10</v>
      </c>
      <c r="C1137">
        <f t="shared" si="154"/>
        <v>43</v>
      </c>
      <c r="D1137">
        <f t="shared" si="154"/>
        <v>54</v>
      </c>
      <c r="E1137">
        <f t="shared" si="154"/>
        <v>98</v>
      </c>
      <c r="F1137">
        <f t="shared" si="154"/>
        <v>142</v>
      </c>
      <c r="G1137">
        <f t="shared" si="154"/>
        <v>181</v>
      </c>
      <c r="H1137">
        <f t="shared" si="154"/>
        <v>229</v>
      </c>
      <c r="I1137">
        <f t="shared" si="153"/>
        <v>251</v>
      </c>
      <c r="J1137">
        <f t="shared" si="153"/>
        <v>287</v>
      </c>
      <c r="K1137">
        <f t="shared" si="153"/>
        <v>306</v>
      </c>
      <c r="L1137">
        <f t="shared" si="153"/>
        <v>325</v>
      </c>
      <c r="M1137">
        <f t="shared" si="153"/>
        <v>340</v>
      </c>
      <c r="N1137">
        <f t="shared" si="152"/>
        <v>352</v>
      </c>
      <c r="O1137">
        <f t="shared" si="152"/>
        <v>377</v>
      </c>
      <c r="P1137">
        <f t="shared" si="152"/>
        <v>395</v>
      </c>
      <c r="Q1137">
        <f t="shared" si="152"/>
        <v>421</v>
      </c>
      <c r="S1137" t="str">
        <f t="shared" si="147"/>
        <v>08.12.2025</v>
      </c>
      <c r="T1137" t="str">
        <f t="shared" si="148"/>
        <v>14:45:00</v>
      </c>
      <c r="U1137" t="str">
        <f t="shared" si="150"/>
        <v>08.12.2025 14:45:00</v>
      </c>
      <c r="V1137" s="9" t="str">
        <f>MID($A1137,C1137+C$2+1,D1137-C1137-C$2-1)</f>
        <v>0</v>
      </c>
      <c r="W1137" s="4">
        <f>VALUE(SUBSTITUTE(MID($A1137,D1137+D$2+1,E1137-D1137-D$2-1),",","."))</f>
        <v>0.46676775979878798</v>
      </c>
      <c r="X1137" s="4">
        <f>VALUE(SUBSTITUTE(MID($A1137,E1137+E$2+1,F1137-E1137-E$2-1),",","."))</f>
        <v>0.90957602214449496</v>
      </c>
      <c r="Y1137" s="4">
        <f>VALUE(SUBSTITUTE(MID($A1137,F1137+F$2+1,G1137-F1137-F$2-1),",","."))</f>
        <v>0.20289903651859101</v>
      </c>
      <c r="Z1137" s="3">
        <f>VALUE(SUBSTITUTE(MID($A1137,G1137+G$2+1,H1137-G1137-G$2-1),",","."))</f>
        <v>7.7166666666666597</v>
      </c>
      <c r="AA1137" s="3">
        <f>VALUE(SUBSTITUTE(MID($A1137,H1137+H$2+1,I1137-H1137-H$2-1),",","."))</f>
        <v>0</v>
      </c>
      <c r="AB1137" s="3">
        <f>VALUE(SUBSTITUTE(MID($A1137,I1137+I$2+1,J1137-I1137-I$2-1),",","."))</f>
        <v>53.5</v>
      </c>
      <c r="AC1137" s="3">
        <f>VALUE(SUBSTITUTE(MID($A1137,J1137+J$2+1,K1137-J1137-J$2-1),",","."))</f>
        <v>1.9</v>
      </c>
      <c r="AD1137" s="3">
        <f>VALUE(SUBSTITUTE(MID($A1137,K1137+K$2+1,L1137-K1137-K$2-1),",","."))</f>
        <v>12.96</v>
      </c>
      <c r="AE1137" s="3">
        <f>VALUE(SUBSTITUTE(MID($A1137,L1137+L$2+1,M1137-L1137-L$2-1),",","."))</f>
        <v>0</v>
      </c>
      <c r="AF1137" s="3">
        <f>VALUE(SUBSTITUTE(MID($A1137,M1137+M$2+1,N1137-M1137-M$2-1),",","."))</f>
        <v>0</v>
      </c>
      <c r="AG1137" s="3">
        <f>VALUE(SUBSTITUTE(MID($A1137,N1137+N$2+1,O1137-N1137-N$2-1),",","."))</f>
        <v>4.2358022977629597</v>
      </c>
      <c r="AH1137" t="str">
        <f>MID($A1137,O1137+O$2+1,P1137-O1137-O$2-1)</f>
        <v/>
      </c>
      <c r="AI1137" s="8" t="str">
        <f>MID($A1137,P1137+P$2+1,Q1137-P1137-P$2-1)</f>
        <v>False</v>
      </c>
      <c r="AK1137" t="b">
        <f t="shared" si="151"/>
        <v>1</v>
      </c>
    </row>
    <row r="1138" spans="1:37" x14ac:dyDescent="0.35">
      <c r="A1138" t="s">
        <v>5685</v>
      </c>
      <c r="B1138">
        <f t="shared" si="154"/>
        <v>10</v>
      </c>
      <c r="C1138">
        <f t="shared" si="154"/>
        <v>43</v>
      </c>
      <c r="D1138">
        <f t="shared" si="154"/>
        <v>54</v>
      </c>
      <c r="E1138">
        <f t="shared" si="154"/>
        <v>97</v>
      </c>
      <c r="F1138">
        <f t="shared" si="154"/>
        <v>141</v>
      </c>
      <c r="G1138">
        <f t="shared" si="154"/>
        <v>179</v>
      </c>
      <c r="H1138">
        <f t="shared" si="154"/>
        <v>227</v>
      </c>
      <c r="I1138">
        <f t="shared" si="153"/>
        <v>249</v>
      </c>
      <c r="J1138">
        <f t="shared" si="153"/>
        <v>285</v>
      </c>
      <c r="K1138">
        <f t="shared" si="153"/>
        <v>304</v>
      </c>
      <c r="L1138">
        <f t="shared" si="153"/>
        <v>323</v>
      </c>
      <c r="M1138">
        <f t="shared" si="153"/>
        <v>338</v>
      </c>
      <c r="N1138">
        <f t="shared" si="152"/>
        <v>350</v>
      </c>
      <c r="O1138">
        <f t="shared" si="152"/>
        <v>376</v>
      </c>
      <c r="P1138">
        <f t="shared" si="152"/>
        <v>394</v>
      </c>
      <c r="Q1138">
        <f t="shared" si="152"/>
        <v>420</v>
      </c>
      <c r="S1138" t="str">
        <f t="shared" si="147"/>
        <v>08.12.2025</v>
      </c>
      <c r="T1138" t="str">
        <f t="shared" si="148"/>
        <v>15:00:00</v>
      </c>
      <c r="U1138" t="str">
        <f t="shared" si="150"/>
        <v>08.12.2025 15:00:00</v>
      </c>
      <c r="V1138" s="9" t="str">
        <f>MID($A1138,C1138+C$2+1,D1138-C1138-C$2-1)</f>
        <v>0</v>
      </c>
      <c r="W1138" s="4">
        <f>VALUE(SUBSTITUTE(MID($A1138,D1138+D$2+1,E1138-D1138-D$2-1),",","."))</f>
        <v>0.420028828299913</v>
      </c>
      <c r="X1138" s="4">
        <f>VALUE(SUBSTITUTE(MID($A1138,E1138+E$2+1,F1138-E1138-E$2-1),",","."))</f>
        <v>0.90957602214449496</v>
      </c>
      <c r="Y1138" s="4">
        <f>VALUE(SUBSTITUTE(MID($A1138,F1138+F$2+1,G1138-F1138-F$2-1),",","."))</f>
        <v>0.17638295663898901</v>
      </c>
      <c r="Z1138" s="3">
        <f>VALUE(SUBSTITUTE(MID($A1138,G1138+G$2+1,H1138-G1138-G$2-1),",","."))</f>
        <v>7.7166666666666597</v>
      </c>
      <c r="AA1138" s="3">
        <f>VALUE(SUBSTITUTE(MID($A1138,H1138+H$2+1,I1138-H1138-H$2-1),",","."))</f>
        <v>0</v>
      </c>
      <c r="AB1138" s="3">
        <f>VALUE(SUBSTITUTE(MID($A1138,I1138+I$2+1,J1138-I1138-I$2-1),",","."))</f>
        <v>53.5</v>
      </c>
      <c r="AC1138" s="3">
        <f>VALUE(SUBSTITUTE(MID($A1138,J1138+J$2+1,K1138-J1138-J$2-1),",","."))</f>
        <v>1.9</v>
      </c>
      <c r="AD1138" s="3">
        <f>VALUE(SUBSTITUTE(MID($A1138,K1138+K$2+1,L1138-K1138-K$2-1),",","."))</f>
        <v>12.96</v>
      </c>
      <c r="AE1138" s="3">
        <f>VALUE(SUBSTITUTE(MID($A1138,L1138+L$2+1,M1138-L1138-L$2-1),",","."))</f>
        <v>0</v>
      </c>
      <c r="AF1138" s="3">
        <f>VALUE(SUBSTITUTE(MID($A1138,M1138+M$2+1,N1138-M1138-M$2-1),",","."))</f>
        <v>0</v>
      </c>
      <c r="AG1138" s="3">
        <f>VALUE(SUBSTITUTE(MID($A1138,N1138+N$2+1,O1138-N1138-N$2-1),",","."))</f>
        <v>4.2358308176510402</v>
      </c>
      <c r="AH1138" t="str">
        <f>MID($A1138,O1138+O$2+1,P1138-O1138-O$2-1)</f>
        <v/>
      </c>
      <c r="AI1138" s="8" t="str">
        <f>MID($A1138,P1138+P$2+1,Q1138-P1138-P$2-1)</f>
        <v>False</v>
      </c>
      <c r="AK1138" t="b">
        <f t="shared" si="151"/>
        <v>1</v>
      </c>
    </row>
    <row r="1139" spans="1:37" x14ac:dyDescent="0.35">
      <c r="A1139" t="s">
        <v>5686</v>
      </c>
      <c r="B1139">
        <f t="shared" si="154"/>
        <v>10</v>
      </c>
      <c r="C1139">
        <f t="shared" si="154"/>
        <v>43</v>
      </c>
      <c r="D1139">
        <f t="shared" si="154"/>
        <v>54</v>
      </c>
      <c r="E1139">
        <f t="shared" si="154"/>
        <v>98</v>
      </c>
      <c r="F1139">
        <f t="shared" si="154"/>
        <v>142</v>
      </c>
      <c r="G1139">
        <f t="shared" si="154"/>
        <v>180</v>
      </c>
      <c r="H1139">
        <f t="shared" si="154"/>
        <v>228</v>
      </c>
      <c r="I1139">
        <f t="shared" si="153"/>
        <v>250</v>
      </c>
      <c r="J1139">
        <f t="shared" si="153"/>
        <v>286</v>
      </c>
      <c r="K1139">
        <f t="shared" si="153"/>
        <v>305</v>
      </c>
      <c r="L1139">
        <f t="shared" si="153"/>
        <v>324</v>
      </c>
      <c r="M1139">
        <f t="shared" si="153"/>
        <v>339</v>
      </c>
      <c r="N1139">
        <f t="shared" si="152"/>
        <v>351</v>
      </c>
      <c r="O1139">
        <f t="shared" si="152"/>
        <v>376</v>
      </c>
      <c r="P1139">
        <f t="shared" si="152"/>
        <v>394</v>
      </c>
      <c r="Q1139">
        <f t="shared" si="152"/>
        <v>420</v>
      </c>
      <c r="S1139" t="str">
        <f t="shared" si="147"/>
        <v>08.12.2025</v>
      </c>
      <c r="T1139" t="str">
        <f t="shared" si="148"/>
        <v>15:15:00</v>
      </c>
      <c r="U1139" t="str">
        <f t="shared" si="150"/>
        <v>08.12.2025 15:15:00</v>
      </c>
      <c r="V1139" s="9" t="str">
        <f>MID($A1139,C1139+C$2+1,D1139-C1139-C$2-1)</f>
        <v>0</v>
      </c>
      <c r="W1139" s="4">
        <f>VALUE(SUBSTITUTE(MID($A1139,D1139+D$2+1,E1139-D1139-D$2-1),",","."))</f>
        <v>0.37116591611496103</v>
      </c>
      <c r="X1139" s="4">
        <f>VALUE(SUBSTITUTE(MID($A1139,E1139+E$2+1,F1139-E1139-E$2-1),",","."))</f>
        <v>0.90957602214449496</v>
      </c>
      <c r="Y1139" s="4">
        <f>VALUE(SUBSTITUTE(MID($A1139,F1139+F$2+1,G1139-F1139-F$2-1),",","."))</f>
        <v>0.147980994679802</v>
      </c>
      <c r="Z1139" s="3">
        <f>VALUE(SUBSTITUTE(MID($A1139,G1139+G$2+1,H1139-G1139-G$2-1),",","."))</f>
        <v>7.7166666666666597</v>
      </c>
      <c r="AA1139" s="3">
        <f>VALUE(SUBSTITUTE(MID($A1139,H1139+H$2+1,I1139-H1139-H$2-1),",","."))</f>
        <v>0</v>
      </c>
      <c r="AB1139" s="3">
        <f>VALUE(SUBSTITUTE(MID($A1139,I1139+I$2+1,J1139-I1139-I$2-1),",","."))</f>
        <v>53.5</v>
      </c>
      <c r="AC1139" s="3">
        <f>VALUE(SUBSTITUTE(MID($A1139,J1139+J$2+1,K1139-J1139-J$2-1),",","."))</f>
        <v>1.9</v>
      </c>
      <c r="AD1139" s="3">
        <f>VALUE(SUBSTITUTE(MID($A1139,K1139+K$2+1,L1139-K1139-K$2-1),",","."))</f>
        <v>12.96</v>
      </c>
      <c r="AE1139" s="3">
        <f>VALUE(SUBSTITUTE(MID($A1139,L1139+L$2+1,M1139-L1139-L$2-1),",","."))</f>
        <v>0</v>
      </c>
      <c r="AF1139" s="3">
        <f>VALUE(SUBSTITUTE(MID($A1139,M1139+M$2+1,N1139-M1139-M$2-1),",","."))</f>
        <v>0</v>
      </c>
      <c r="AG1139" s="3">
        <f>VALUE(SUBSTITUTE(MID($A1139,N1139+N$2+1,O1139-N1139-N$2-1),",","."))</f>
        <v>4.2358593375391198</v>
      </c>
      <c r="AH1139" t="str">
        <f>MID($A1139,O1139+O$2+1,P1139-O1139-O$2-1)</f>
        <v/>
      </c>
      <c r="AI1139" s="8" t="str">
        <f>MID($A1139,P1139+P$2+1,Q1139-P1139-P$2-1)</f>
        <v>False</v>
      </c>
      <c r="AK1139" t="b">
        <f t="shared" si="151"/>
        <v>1</v>
      </c>
    </row>
    <row r="1140" spans="1:37" x14ac:dyDescent="0.35">
      <c r="A1140" t="s">
        <v>5687</v>
      </c>
      <c r="B1140">
        <f t="shared" si="154"/>
        <v>10</v>
      </c>
      <c r="C1140">
        <f t="shared" si="154"/>
        <v>43</v>
      </c>
      <c r="D1140">
        <f t="shared" si="154"/>
        <v>54</v>
      </c>
      <c r="E1140">
        <f t="shared" si="154"/>
        <v>98</v>
      </c>
      <c r="F1140">
        <f t="shared" si="154"/>
        <v>142</v>
      </c>
      <c r="G1140">
        <f t="shared" si="154"/>
        <v>181</v>
      </c>
      <c r="H1140">
        <f t="shared" si="154"/>
        <v>229</v>
      </c>
      <c r="I1140">
        <f t="shared" si="153"/>
        <v>251</v>
      </c>
      <c r="J1140">
        <f t="shared" si="153"/>
        <v>285</v>
      </c>
      <c r="K1140">
        <f t="shared" si="153"/>
        <v>304</v>
      </c>
      <c r="L1140">
        <f t="shared" si="153"/>
        <v>336</v>
      </c>
      <c r="M1140">
        <f t="shared" si="153"/>
        <v>351</v>
      </c>
      <c r="N1140">
        <f t="shared" si="152"/>
        <v>363</v>
      </c>
      <c r="O1140">
        <f t="shared" si="152"/>
        <v>388</v>
      </c>
      <c r="P1140">
        <f t="shared" si="152"/>
        <v>406</v>
      </c>
      <c r="Q1140">
        <f t="shared" si="152"/>
        <v>432</v>
      </c>
      <c r="S1140" t="str">
        <f t="shared" si="147"/>
        <v>08.12.2025</v>
      </c>
      <c r="T1140" t="str">
        <f t="shared" si="148"/>
        <v>15:30:00</v>
      </c>
      <c r="U1140" t="str">
        <f t="shared" si="150"/>
        <v>08.12.2025 15:30:00</v>
      </c>
      <c r="V1140" s="9" t="str">
        <f>MID($A1140,C1140+C$2+1,D1140-C1140-C$2-1)</f>
        <v>0</v>
      </c>
      <c r="W1140" s="4">
        <f>VALUE(SUBSTITUTE(MID($A1140,D1140+D$2+1,E1140-D1140-D$2-1),",","."))</f>
        <v>0.32043394627862598</v>
      </c>
      <c r="X1140" s="4">
        <f>VALUE(SUBSTITUTE(MID($A1140,E1140+E$2+1,F1140-E1140-E$2-1),",","."))</f>
        <v>0.90957602214449496</v>
      </c>
      <c r="Y1140" s="4">
        <f>VALUE(SUBSTITUTE(MID($A1140,F1140+F$2+1,G1140-F1140-F$2-1),",","."))</f>
        <v>0.117870306724793</v>
      </c>
      <c r="Z1140" s="3">
        <f>VALUE(SUBSTITUTE(MID($A1140,G1140+G$2+1,H1140-G1140-G$2-1),",","."))</f>
        <v>6.2666666666666604</v>
      </c>
      <c r="AA1140" s="3">
        <f>VALUE(SUBSTITUTE(MID($A1140,H1140+H$2+1,I1140-H1140-H$2-1),",","."))</f>
        <v>0</v>
      </c>
      <c r="AB1140" s="3">
        <f>VALUE(SUBSTITUTE(MID($A1140,I1140+I$2+1,J1140-I1140-I$2-1),",","."))</f>
        <v>28</v>
      </c>
      <c r="AC1140" s="3">
        <f>VALUE(SUBSTITUTE(MID($A1140,J1140+J$2+1,K1140-J1140-J$2-1),",","."))</f>
        <v>1.6</v>
      </c>
      <c r="AD1140" s="3">
        <f>VALUE(SUBSTITUTE(MID($A1140,K1140+K$2+1,L1140-K1140-K$2-1),",","."))</f>
        <v>14.76</v>
      </c>
      <c r="AE1140" s="3">
        <f>VALUE(SUBSTITUTE(MID($A1140,L1140+L$2+1,M1140-L1140-L$2-1),",","."))</f>
        <v>0</v>
      </c>
      <c r="AF1140" s="3">
        <f>VALUE(SUBSTITUTE(MID($A1140,M1140+M$2+1,N1140-M1140-M$2-1),",","."))</f>
        <v>0</v>
      </c>
      <c r="AG1140" s="3">
        <f>VALUE(SUBSTITUTE(MID($A1140,N1140+N$2+1,O1140-N1140-N$2-1),",","."))</f>
        <v>4.2358878574272003</v>
      </c>
      <c r="AH1140" t="str">
        <f>MID($A1140,O1140+O$2+1,P1140-O1140-O$2-1)</f>
        <v/>
      </c>
      <c r="AI1140" s="8" t="str">
        <f>MID($A1140,P1140+P$2+1,Q1140-P1140-P$2-1)</f>
        <v>False</v>
      </c>
      <c r="AK1140" t="b">
        <f t="shared" si="151"/>
        <v>1</v>
      </c>
    </row>
    <row r="1141" spans="1:37" x14ac:dyDescent="0.35">
      <c r="A1141" t="s">
        <v>5688</v>
      </c>
      <c r="B1141">
        <f t="shared" si="154"/>
        <v>10</v>
      </c>
      <c r="C1141">
        <f t="shared" si="154"/>
        <v>43</v>
      </c>
      <c r="D1141">
        <f t="shared" si="154"/>
        <v>54</v>
      </c>
      <c r="E1141">
        <f t="shared" si="154"/>
        <v>80</v>
      </c>
      <c r="F1141">
        <f t="shared" si="154"/>
        <v>124</v>
      </c>
      <c r="G1141">
        <f t="shared" si="154"/>
        <v>163</v>
      </c>
      <c r="H1141">
        <f t="shared" si="154"/>
        <v>211</v>
      </c>
      <c r="I1141">
        <f t="shared" si="153"/>
        <v>233</v>
      </c>
      <c r="J1141">
        <f t="shared" si="153"/>
        <v>267</v>
      </c>
      <c r="K1141">
        <f t="shared" si="153"/>
        <v>286</v>
      </c>
      <c r="L1141">
        <f t="shared" si="153"/>
        <v>318</v>
      </c>
      <c r="M1141">
        <f t="shared" si="153"/>
        <v>333</v>
      </c>
      <c r="N1141">
        <f t="shared" si="152"/>
        <v>345</v>
      </c>
      <c r="O1141">
        <f t="shared" si="152"/>
        <v>369</v>
      </c>
      <c r="P1141">
        <f t="shared" si="152"/>
        <v>387</v>
      </c>
      <c r="Q1141">
        <f t="shared" si="152"/>
        <v>413</v>
      </c>
      <c r="S1141" t="str">
        <f t="shared" si="147"/>
        <v>08.12.2025</v>
      </c>
      <c r="T1141" t="str">
        <f t="shared" si="148"/>
        <v>15:45:00</v>
      </c>
      <c r="U1141" t="str">
        <f t="shared" si="150"/>
        <v>08.12.2025 15:45:00</v>
      </c>
      <c r="V1141" s="9" t="str">
        <f>MID($A1141,C1141+C$2+1,D1141-C1141-C$2-1)</f>
        <v>0</v>
      </c>
      <c r="W1141" s="4">
        <f>VALUE(SUBSTITUTE(MID($A1141,D1141+D$2+1,E1141-D1141-D$2-1),",","."))</f>
        <v>0</v>
      </c>
      <c r="X1141" s="4">
        <f>VALUE(SUBSTITUTE(MID($A1141,E1141+E$2+1,F1141-E1141-E$2-1),",","."))</f>
        <v>0.90957602214449496</v>
      </c>
      <c r="Y1141" s="4">
        <f>VALUE(SUBSTITUTE(MID($A1141,F1141+F$2+1,G1141-F1141-F$2-1),",","."))</f>
        <v>8.6297110703817403E-2</v>
      </c>
      <c r="Z1141" s="3">
        <f>VALUE(SUBSTITUTE(MID($A1141,G1141+G$2+1,H1141-G1141-G$2-1),",","."))</f>
        <v>6.2666666666666604</v>
      </c>
      <c r="AA1141" s="3">
        <f>VALUE(SUBSTITUTE(MID($A1141,H1141+H$2+1,I1141-H1141-H$2-1),",","."))</f>
        <v>0</v>
      </c>
      <c r="AB1141" s="3">
        <f>VALUE(SUBSTITUTE(MID($A1141,I1141+I$2+1,J1141-I1141-I$2-1),",","."))</f>
        <v>28</v>
      </c>
      <c r="AC1141" s="3">
        <f>VALUE(SUBSTITUTE(MID($A1141,J1141+J$2+1,K1141-J1141-J$2-1),",","."))</f>
        <v>1.6</v>
      </c>
      <c r="AD1141" s="3">
        <f>VALUE(SUBSTITUTE(MID($A1141,K1141+K$2+1,L1141-K1141-K$2-1),",","."))</f>
        <v>14.76</v>
      </c>
      <c r="AE1141" s="3">
        <f>VALUE(SUBSTITUTE(MID($A1141,L1141+L$2+1,M1141-L1141-L$2-1),",","."))</f>
        <v>0</v>
      </c>
      <c r="AF1141" s="3">
        <f>VALUE(SUBSTITUTE(MID($A1141,M1141+M$2+1,N1141-M1141-M$2-1),",","."))</f>
        <v>0</v>
      </c>
      <c r="AG1141" s="3">
        <f>VALUE(SUBSTITUTE(MID($A1141,N1141+N$2+1,O1141-N1141-N$2-1),",","."))</f>
        <v>4.2359163773152897</v>
      </c>
      <c r="AH1141" t="str">
        <f>MID($A1141,O1141+O$2+1,P1141-O1141-O$2-1)</f>
        <v/>
      </c>
      <c r="AI1141" s="8" t="str">
        <f>MID($A1141,P1141+P$2+1,Q1141-P1141-P$2-1)</f>
        <v>False</v>
      </c>
      <c r="AK1141" t="b">
        <f t="shared" si="151"/>
        <v>1</v>
      </c>
    </row>
    <row r="1142" spans="1:37" x14ac:dyDescent="0.35">
      <c r="A1142" t="s">
        <v>5689</v>
      </c>
      <c r="B1142">
        <f t="shared" si="154"/>
        <v>10</v>
      </c>
      <c r="C1142">
        <f t="shared" si="154"/>
        <v>43</v>
      </c>
      <c r="D1142">
        <f t="shared" si="154"/>
        <v>54</v>
      </c>
      <c r="E1142">
        <f t="shared" si="154"/>
        <v>80</v>
      </c>
      <c r="F1142">
        <f t="shared" si="154"/>
        <v>124</v>
      </c>
      <c r="G1142">
        <f t="shared" si="154"/>
        <v>164</v>
      </c>
      <c r="H1142">
        <f t="shared" si="154"/>
        <v>212</v>
      </c>
      <c r="I1142">
        <f t="shared" si="153"/>
        <v>234</v>
      </c>
      <c r="J1142">
        <f t="shared" si="153"/>
        <v>268</v>
      </c>
      <c r="K1142">
        <f t="shared" si="153"/>
        <v>287</v>
      </c>
      <c r="L1142">
        <f t="shared" si="153"/>
        <v>319</v>
      </c>
      <c r="M1142">
        <f t="shared" si="153"/>
        <v>334</v>
      </c>
      <c r="N1142">
        <f t="shared" si="152"/>
        <v>346</v>
      </c>
      <c r="O1142">
        <f t="shared" si="152"/>
        <v>371</v>
      </c>
      <c r="P1142">
        <f t="shared" si="152"/>
        <v>389</v>
      </c>
      <c r="Q1142">
        <f t="shared" si="152"/>
        <v>415</v>
      </c>
      <c r="S1142" t="str">
        <f t="shared" si="147"/>
        <v>08.12.2025</v>
      </c>
      <c r="T1142" t="str">
        <f t="shared" si="148"/>
        <v>16:00:00</v>
      </c>
      <c r="U1142" t="str">
        <f t="shared" si="150"/>
        <v>08.12.2025 16:00:00</v>
      </c>
      <c r="V1142" s="9" t="str">
        <f>MID($A1142,C1142+C$2+1,D1142-C1142-C$2-1)</f>
        <v>0</v>
      </c>
      <c r="W1142" s="4">
        <f>VALUE(SUBSTITUTE(MID($A1142,D1142+D$2+1,E1142-D1142-D$2-1),",","."))</f>
        <v>0</v>
      </c>
      <c r="X1142" s="4">
        <f>VALUE(SUBSTITUTE(MID($A1142,E1142+E$2+1,F1142-E1142-E$2-1),",","."))</f>
        <v>0.90957602214449496</v>
      </c>
      <c r="Y1142" s="4">
        <f>VALUE(SUBSTITUTE(MID($A1142,F1142+F$2+1,G1142-F1142-F$2-1),",","."))</f>
        <v>5.3682682789446899E-2</v>
      </c>
      <c r="Z1142" s="3">
        <f>VALUE(SUBSTITUTE(MID($A1142,G1142+G$2+1,H1142-G1142-G$2-1),",","."))</f>
        <v>6.2666666666666604</v>
      </c>
      <c r="AA1142" s="3">
        <f>VALUE(SUBSTITUTE(MID($A1142,H1142+H$2+1,I1142-H1142-H$2-1),",","."))</f>
        <v>0</v>
      </c>
      <c r="AB1142" s="3">
        <f>VALUE(SUBSTITUTE(MID($A1142,I1142+I$2+1,J1142-I1142-I$2-1),",","."))</f>
        <v>28</v>
      </c>
      <c r="AC1142" s="3">
        <f>VALUE(SUBSTITUTE(MID($A1142,J1142+J$2+1,K1142-J1142-J$2-1),",","."))</f>
        <v>1.6</v>
      </c>
      <c r="AD1142" s="3">
        <f>VALUE(SUBSTITUTE(MID($A1142,K1142+K$2+1,L1142-K1142-K$2-1),",","."))</f>
        <v>14.76</v>
      </c>
      <c r="AE1142" s="3">
        <f>VALUE(SUBSTITUTE(MID($A1142,L1142+L$2+1,M1142-L1142-L$2-1),",","."))</f>
        <v>0</v>
      </c>
      <c r="AF1142" s="3">
        <f>VALUE(SUBSTITUTE(MID($A1142,M1142+M$2+1,N1142-M1142-M$2-1),",","."))</f>
        <v>0</v>
      </c>
      <c r="AG1142" s="3">
        <f>VALUE(SUBSTITUTE(MID($A1142,N1142+N$2+1,O1142-N1142-N$2-1),",","."))</f>
        <v>4.2359448972033702</v>
      </c>
      <c r="AH1142" t="str">
        <f>MID($A1142,O1142+O$2+1,P1142-O1142-O$2-1)</f>
        <v/>
      </c>
      <c r="AI1142" s="8" t="str">
        <f>MID($A1142,P1142+P$2+1,Q1142-P1142-P$2-1)</f>
        <v>False</v>
      </c>
      <c r="AK1142" t="b">
        <f t="shared" si="151"/>
        <v>1</v>
      </c>
    </row>
    <row r="1143" spans="1:37" x14ac:dyDescent="0.35">
      <c r="A1143" t="s">
        <v>5690</v>
      </c>
      <c r="B1143">
        <f t="shared" si="154"/>
        <v>10</v>
      </c>
      <c r="C1143">
        <f t="shared" si="154"/>
        <v>43</v>
      </c>
      <c r="D1143">
        <f t="shared" si="154"/>
        <v>54</v>
      </c>
      <c r="E1143">
        <f t="shared" si="154"/>
        <v>80</v>
      </c>
      <c r="F1143">
        <f t="shared" si="154"/>
        <v>124</v>
      </c>
      <c r="G1143">
        <f t="shared" si="154"/>
        <v>164</v>
      </c>
      <c r="H1143">
        <f t="shared" si="154"/>
        <v>212</v>
      </c>
      <c r="I1143">
        <f t="shared" si="153"/>
        <v>234</v>
      </c>
      <c r="J1143">
        <f t="shared" si="153"/>
        <v>268</v>
      </c>
      <c r="K1143">
        <f t="shared" si="153"/>
        <v>287</v>
      </c>
      <c r="L1143">
        <f t="shared" si="153"/>
        <v>319</v>
      </c>
      <c r="M1143">
        <f t="shared" si="153"/>
        <v>334</v>
      </c>
      <c r="N1143">
        <f t="shared" si="152"/>
        <v>346</v>
      </c>
      <c r="O1143">
        <f t="shared" si="152"/>
        <v>371</v>
      </c>
      <c r="P1143">
        <f t="shared" si="152"/>
        <v>389</v>
      </c>
      <c r="Q1143">
        <f t="shared" si="152"/>
        <v>415</v>
      </c>
      <c r="S1143" t="str">
        <f t="shared" si="147"/>
        <v>08.12.2025</v>
      </c>
      <c r="T1143" t="str">
        <f t="shared" si="148"/>
        <v>16:15:00</v>
      </c>
      <c r="U1143" t="str">
        <f t="shared" si="150"/>
        <v>08.12.2025 16:15:00</v>
      </c>
      <c r="V1143" s="9" t="str">
        <f>MID($A1143,C1143+C$2+1,D1143-C1143-C$2-1)</f>
        <v>0</v>
      </c>
      <c r="W1143" s="4">
        <f>VALUE(SUBSTITUTE(MID($A1143,D1143+D$2+1,E1143-D1143-D$2-1),",","."))</f>
        <v>0</v>
      </c>
      <c r="X1143" s="4">
        <f>VALUE(SUBSTITUTE(MID($A1143,E1143+E$2+1,F1143-E1143-E$2-1),",","."))</f>
        <v>0.90957602214449496</v>
      </c>
      <c r="Y1143" s="4">
        <f>VALUE(SUBSTITUTE(MID($A1143,F1143+F$2+1,G1143-F1143-F$2-1),",","."))</f>
        <v>2.0983449767233198E-2</v>
      </c>
      <c r="Z1143" s="3">
        <f>VALUE(SUBSTITUTE(MID($A1143,G1143+G$2+1,H1143-G1143-G$2-1),",","."))</f>
        <v>6.2666666666666604</v>
      </c>
      <c r="AA1143" s="3">
        <f>VALUE(SUBSTITUTE(MID($A1143,H1143+H$2+1,I1143-H1143-H$2-1),",","."))</f>
        <v>0</v>
      </c>
      <c r="AB1143" s="3">
        <f>VALUE(SUBSTITUTE(MID($A1143,I1143+I$2+1,J1143-I1143-I$2-1),",","."))</f>
        <v>28</v>
      </c>
      <c r="AC1143" s="3">
        <f>VALUE(SUBSTITUTE(MID($A1143,J1143+J$2+1,K1143-J1143-J$2-1),",","."))</f>
        <v>1.6</v>
      </c>
      <c r="AD1143" s="3">
        <f>VALUE(SUBSTITUTE(MID($A1143,K1143+K$2+1,L1143-K1143-K$2-1),",","."))</f>
        <v>14.76</v>
      </c>
      <c r="AE1143" s="3">
        <f>VALUE(SUBSTITUTE(MID($A1143,L1143+L$2+1,M1143-L1143-L$2-1),",","."))</f>
        <v>0</v>
      </c>
      <c r="AF1143" s="3">
        <f>VALUE(SUBSTITUTE(MID($A1143,M1143+M$2+1,N1143-M1143-M$2-1),",","."))</f>
        <v>0</v>
      </c>
      <c r="AG1143" s="3">
        <f>VALUE(SUBSTITUTE(MID($A1143,N1143+N$2+1,O1143-N1143-N$2-1),",","."))</f>
        <v>4.2359734170914498</v>
      </c>
      <c r="AH1143" t="str">
        <f>MID($A1143,O1143+O$2+1,P1143-O1143-O$2-1)</f>
        <v/>
      </c>
      <c r="AI1143" s="8" t="str">
        <f>MID($A1143,P1143+P$2+1,Q1143-P1143-P$2-1)</f>
        <v>False</v>
      </c>
      <c r="AK1143" t="b">
        <f t="shared" si="151"/>
        <v>1</v>
      </c>
    </row>
    <row r="1144" spans="1:37" x14ac:dyDescent="0.35">
      <c r="A1144" t="s">
        <v>5691</v>
      </c>
      <c r="B1144">
        <f t="shared" si="154"/>
        <v>10</v>
      </c>
      <c r="C1144">
        <f t="shared" si="154"/>
        <v>43</v>
      </c>
      <c r="D1144">
        <f t="shared" si="154"/>
        <v>54</v>
      </c>
      <c r="E1144">
        <f t="shared" si="154"/>
        <v>80</v>
      </c>
      <c r="F1144">
        <f t="shared" si="154"/>
        <v>124</v>
      </c>
      <c r="G1144">
        <f t="shared" si="154"/>
        <v>145</v>
      </c>
      <c r="H1144">
        <f t="shared" si="154"/>
        <v>177</v>
      </c>
      <c r="I1144">
        <f t="shared" si="153"/>
        <v>199</v>
      </c>
      <c r="J1144">
        <f t="shared" si="153"/>
        <v>232</v>
      </c>
      <c r="K1144">
        <f t="shared" si="153"/>
        <v>252</v>
      </c>
      <c r="L1144">
        <f t="shared" si="153"/>
        <v>270</v>
      </c>
      <c r="M1144">
        <f t="shared" si="153"/>
        <v>285</v>
      </c>
      <c r="N1144">
        <f t="shared" si="152"/>
        <v>297</v>
      </c>
      <c r="O1144">
        <f t="shared" si="152"/>
        <v>322</v>
      </c>
      <c r="P1144">
        <f t="shared" si="152"/>
        <v>340</v>
      </c>
      <c r="Q1144">
        <f t="shared" si="152"/>
        <v>366</v>
      </c>
      <c r="S1144" t="str">
        <f t="shared" ref="S1144:S1207" si="155">LEFT(U1144,10)</f>
        <v>08.12.2025</v>
      </c>
      <c r="T1144" t="str">
        <f t="shared" ref="T1144:T1207" si="156">MID(U1144,12,8)</f>
        <v>16:30:00</v>
      </c>
      <c r="U1144" t="str">
        <f t="shared" si="150"/>
        <v>08.12.2025 16:30:00</v>
      </c>
      <c r="V1144" s="9" t="str">
        <f>MID($A1144,C1144+C$2+1,D1144-C1144-C$2-1)</f>
        <v>0</v>
      </c>
      <c r="W1144" s="4">
        <f>VALUE(SUBSTITUTE(MID($A1144,D1144+D$2+1,E1144-D1144-D$2-1),",","."))</f>
        <v>0</v>
      </c>
      <c r="X1144" s="4">
        <f>VALUE(SUBSTITUTE(MID($A1144,E1144+E$2+1,F1144-E1144-E$2-1),",","."))</f>
        <v>0.90957602214449496</v>
      </c>
      <c r="Y1144" s="4">
        <f>VALUE(SUBSTITUTE(MID($A1144,F1144+F$2+1,G1144-F1144-F$2-1),",","."))</f>
        <v>0</v>
      </c>
      <c r="Z1144" s="3">
        <f>VALUE(SUBSTITUTE(MID($A1144,G1144+G$2+1,H1144-G1144-G$2-1),",","."))</f>
        <v>0</v>
      </c>
      <c r="AA1144" s="3">
        <f>VALUE(SUBSTITUTE(MID($A1144,H1144+H$2+1,I1144-H1144-H$2-1),",","."))</f>
        <v>0</v>
      </c>
      <c r="AB1144" s="3">
        <f>VALUE(SUBSTITUTE(MID($A1144,I1144+I$2+1,J1144-I1144-I$2-1),",","."))</f>
        <v>6</v>
      </c>
      <c r="AC1144" s="3">
        <f>VALUE(SUBSTITUTE(MID($A1144,J1144+J$2+1,K1144-J1144-J$2-1),",","."))</f>
        <v>1.25</v>
      </c>
      <c r="AD1144" s="3">
        <f>VALUE(SUBSTITUTE(MID($A1144,K1144+K$2+1,L1144-K1144-K$2-1),",","."))</f>
        <v>17.100000000000001</v>
      </c>
      <c r="AE1144" s="3">
        <f>VALUE(SUBSTITUTE(MID($A1144,L1144+L$2+1,M1144-L1144-L$2-1),",","."))</f>
        <v>0</v>
      </c>
      <c r="AF1144" s="3">
        <f>VALUE(SUBSTITUTE(MID($A1144,M1144+M$2+1,N1144-M1144-M$2-1),",","."))</f>
        <v>0</v>
      </c>
      <c r="AG1144" s="3">
        <f>VALUE(SUBSTITUTE(MID($A1144,N1144+N$2+1,O1144-N1144-N$2-1),",","."))</f>
        <v>4.2360019369795303</v>
      </c>
      <c r="AH1144" t="str">
        <f>MID($A1144,O1144+O$2+1,P1144-O1144-O$2-1)</f>
        <v/>
      </c>
      <c r="AI1144" s="8" t="str">
        <f>MID($A1144,P1144+P$2+1,Q1144-P1144-P$2-1)</f>
        <v>False</v>
      </c>
      <c r="AK1144" t="b">
        <f t="shared" si="151"/>
        <v>1</v>
      </c>
    </row>
    <row r="1145" spans="1:37" x14ac:dyDescent="0.35">
      <c r="A1145" t="s">
        <v>5692</v>
      </c>
      <c r="B1145">
        <f t="shared" si="154"/>
        <v>10</v>
      </c>
      <c r="C1145">
        <f t="shared" si="154"/>
        <v>43</v>
      </c>
      <c r="D1145">
        <f t="shared" si="154"/>
        <v>54</v>
      </c>
      <c r="E1145">
        <f t="shared" si="154"/>
        <v>80</v>
      </c>
      <c r="F1145">
        <f t="shared" si="154"/>
        <v>124</v>
      </c>
      <c r="G1145">
        <f t="shared" si="154"/>
        <v>145</v>
      </c>
      <c r="H1145">
        <f t="shared" si="154"/>
        <v>177</v>
      </c>
      <c r="I1145">
        <f t="shared" si="153"/>
        <v>199</v>
      </c>
      <c r="J1145">
        <f t="shared" si="153"/>
        <v>232</v>
      </c>
      <c r="K1145">
        <f t="shared" si="153"/>
        <v>252</v>
      </c>
      <c r="L1145">
        <f t="shared" si="153"/>
        <v>270</v>
      </c>
      <c r="M1145">
        <f t="shared" si="153"/>
        <v>285</v>
      </c>
      <c r="N1145">
        <f t="shared" si="152"/>
        <v>297</v>
      </c>
      <c r="O1145">
        <f t="shared" si="152"/>
        <v>322</v>
      </c>
      <c r="P1145">
        <f t="shared" si="152"/>
        <v>340</v>
      </c>
      <c r="Q1145">
        <f t="shared" si="152"/>
        <v>366</v>
      </c>
      <c r="S1145" t="str">
        <f t="shared" si="155"/>
        <v>08.12.2025</v>
      </c>
      <c r="T1145" t="str">
        <f t="shared" si="156"/>
        <v>16:45:00</v>
      </c>
      <c r="U1145" t="str">
        <f t="shared" si="150"/>
        <v>08.12.2025 16:45:00</v>
      </c>
      <c r="V1145" s="9" t="str">
        <f>MID($A1145,C1145+C$2+1,D1145-C1145-C$2-1)</f>
        <v>0</v>
      </c>
      <c r="W1145" s="4">
        <f>VALUE(SUBSTITUTE(MID($A1145,D1145+D$2+1,E1145-D1145-D$2-1),",","."))</f>
        <v>0</v>
      </c>
      <c r="X1145" s="4">
        <f>VALUE(SUBSTITUTE(MID($A1145,E1145+E$2+1,F1145-E1145-E$2-1),",","."))</f>
        <v>0.90957602214449496</v>
      </c>
      <c r="Y1145" s="4">
        <f>VALUE(SUBSTITUTE(MID($A1145,F1145+F$2+1,G1145-F1145-F$2-1),",","."))</f>
        <v>0</v>
      </c>
      <c r="Z1145" s="3">
        <f>VALUE(SUBSTITUTE(MID($A1145,G1145+G$2+1,H1145-G1145-G$2-1),",","."))</f>
        <v>0</v>
      </c>
      <c r="AA1145" s="3">
        <f>VALUE(SUBSTITUTE(MID($A1145,H1145+H$2+1,I1145-H1145-H$2-1),",","."))</f>
        <v>0</v>
      </c>
      <c r="AB1145" s="3">
        <f>VALUE(SUBSTITUTE(MID($A1145,I1145+I$2+1,J1145-I1145-I$2-1),",","."))</f>
        <v>6</v>
      </c>
      <c r="AC1145" s="3">
        <f>VALUE(SUBSTITUTE(MID($A1145,J1145+J$2+1,K1145-J1145-J$2-1),",","."))</f>
        <v>1.25</v>
      </c>
      <c r="AD1145" s="3">
        <f>VALUE(SUBSTITUTE(MID($A1145,K1145+K$2+1,L1145-K1145-K$2-1),",","."))</f>
        <v>17.100000000000001</v>
      </c>
      <c r="AE1145" s="3">
        <f>VALUE(SUBSTITUTE(MID($A1145,L1145+L$2+1,M1145-L1145-L$2-1),",","."))</f>
        <v>0</v>
      </c>
      <c r="AF1145" s="3">
        <f>VALUE(SUBSTITUTE(MID($A1145,M1145+M$2+1,N1145-M1145-M$2-1),",","."))</f>
        <v>0</v>
      </c>
      <c r="AG1145" s="3">
        <f>VALUE(SUBSTITUTE(MID($A1145,N1145+N$2+1,O1145-N1145-N$2-1),",","."))</f>
        <v>4.2360304568676099</v>
      </c>
      <c r="AH1145" t="str">
        <f>MID($A1145,O1145+O$2+1,P1145-O1145-O$2-1)</f>
        <v/>
      </c>
      <c r="AI1145" s="8" t="str">
        <f>MID($A1145,P1145+P$2+1,Q1145-P1145-P$2-1)</f>
        <v>False</v>
      </c>
      <c r="AK1145" t="b">
        <f t="shared" si="151"/>
        <v>1</v>
      </c>
    </row>
    <row r="1146" spans="1:37" x14ac:dyDescent="0.35">
      <c r="A1146" t="s">
        <v>5693</v>
      </c>
      <c r="B1146">
        <f t="shared" si="154"/>
        <v>10</v>
      </c>
      <c r="C1146">
        <f t="shared" si="154"/>
        <v>43</v>
      </c>
      <c r="D1146">
        <f t="shared" si="154"/>
        <v>54</v>
      </c>
      <c r="E1146">
        <f t="shared" si="154"/>
        <v>80</v>
      </c>
      <c r="F1146">
        <f t="shared" si="154"/>
        <v>124</v>
      </c>
      <c r="G1146">
        <f t="shared" si="154"/>
        <v>145</v>
      </c>
      <c r="H1146">
        <f t="shared" si="154"/>
        <v>177</v>
      </c>
      <c r="I1146">
        <f t="shared" si="153"/>
        <v>199</v>
      </c>
      <c r="J1146">
        <f t="shared" si="153"/>
        <v>232</v>
      </c>
      <c r="K1146">
        <f t="shared" si="153"/>
        <v>252</v>
      </c>
      <c r="L1146">
        <f t="shared" si="153"/>
        <v>270</v>
      </c>
      <c r="M1146">
        <f t="shared" si="153"/>
        <v>285</v>
      </c>
      <c r="N1146">
        <f t="shared" si="152"/>
        <v>297</v>
      </c>
      <c r="O1146">
        <f t="shared" si="152"/>
        <v>323</v>
      </c>
      <c r="P1146">
        <f t="shared" si="152"/>
        <v>341</v>
      </c>
      <c r="Q1146">
        <f t="shared" si="152"/>
        <v>367</v>
      </c>
      <c r="S1146" t="str">
        <f t="shared" si="155"/>
        <v>08.12.2025</v>
      </c>
      <c r="T1146" t="str">
        <f t="shared" si="156"/>
        <v>17:00:00</v>
      </c>
      <c r="U1146" t="str">
        <f t="shared" si="150"/>
        <v>08.12.2025 17:00:00</v>
      </c>
      <c r="V1146" s="9" t="str">
        <f>MID($A1146,C1146+C$2+1,D1146-C1146-C$2-1)</f>
        <v>0</v>
      </c>
      <c r="W1146" s="4">
        <f>VALUE(SUBSTITUTE(MID($A1146,D1146+D$2+1,E1146-D1146-D$2-1),",","."))</f>
        <v>0</v>
      </c>
      <c r="X1146" s="4">
        <f>VALUE(SUBSTITUTE(MID($A1146,E1146+E$2+1,F1146-E1146-E$2-1),",","."))</f>
        <v>0.90957602214449496</v>
      </c>
      <c r="Y1146" s="4">
        <f>VALUE(SUBSTITUTE(MID($A1146,F1146+F$2+1,G1146-F1146-F$2-1),",","."))</f>
        <v>0</v>
      </c>
      <c r="Z1146" s="3">
        <f>VALUE(SUBSTITUTE(MID($A1146,G1146+G$2+1,H1146-G1146-G$2-1),",","."))</f>
        <v>0</v>
      </c>
      <c r="AA1146" s="3">
        <f>VALUE(SUBSTITUTE(MID($A1146,H1146+H$2+1,I1146-H1146-H$2-1),",","."))</f>
        <v>0</v>
      </c>
      <c r="AB1146" s="3">
        <f>VALUE(SUBSTITUTE(MID($A1146,I1146+I$2+1,J1146-I1146-I$2-1),",","."))</f>
        <v>6</v>
      </c>
      <c r="AC1146" s="3">
        <f>VALUE(SUBSTITUTE(MID($A1146,J1146+J$2+1,K1146-J1146-J$2-1),",","."))</f>
        <v>1.25</v>
      </c>
      <c r="AD1146" s="3">
        <f>VALUE(SUBSTITUTE(MID($A1146,K1146+K$2+1,L1146-K1146-K$2-1),",","."))</f>
        <v>17.100000000000001</v>
      </c>
      <c r="AE1146" s="3">
        <f>VALUE(SUBSTITUTE(MID($A1146,L1146+L$2+1,M1146-L1146-L$2-1),",","."))</f>
        <v>0</v>
      </c>
      <c r="AF1146" s="3">
        <f>VALUE(SUBSTITUTE(MID($A1146,M1146+M$2+1,N1146-M1146-M$2-1),",","."))</f>
        <v>0</v>
      </c>
      <c r="AG1146" s="3">
        <f>VALUE(SUBSTITUTE(MID($A1146,N1146+N$2+1,O1146-N1146-N$2-1),",","."))</f>
        <v>4.2360589767556904</v>
      </c>
      <c r="AH1146" t="str">
        <f>MID($A1146,O1146+O$2+1,P1146-O1146-O$2-1)</f>
        <v/>
      </c>
      <c r="AI1146" s="8" t="str">
        <f>MID($A1146,P1146+P$2+1,Q1146-P1146-P$2-1)</f>
        <v>False</v>
      </c>
      <c r="AK1146" t="b">
        <f t="shared" si="151"/>
        <v>1</v>
      </c>
    </row>
    <row r="1147" spans="1:37" x14ac:dyDescent="0.35">
      <c r="A1147" t="s">
        <v>5694</v>
      </c>
      <c r="B1147">
        <f t="shared" si="154"/>
        <v>10</v>
      </c>
      <c r="C1147">
        <f t="shared" si="154"/>
        <v>43</v>
      </c>
      <c r="D1147">
        <f t="shared" si="154"/>
        <v>54</v>
      </c>
      <c r="E1147">
        <f t="shared" si="154"/>
        <v>80</v>
      </c>
      <c r="F1147">
        <f t="shared" si="154"/>
        <v>124</v>
      </c>
      <c r="G1147">
        <f t="shared" si="154"/>
        <v>145</v>
      </c>
      <c r="H1147">
        <f t="shared" si="154"/>
        <v>177</v>
      </c>
      <c r="I1147">
        <f t="shared" si="153"/>
        <v>199</v>
      </c>
      <c r="J1147">
        <f t="shared" si="153"/>
        <v>232</v>
      </c>
      <c r="K1147">
        <f t="shared" si="153"/>
        <v>252</v>
      </c>
      <c r="L1147">
        <f t="shared" si="153"/>
        <v>270</v>
      </c>
      <c r="M1147">
        <f t="shared" si="153"/>
        <v>285</v>
      </c>
      <c r="N1147">
        <f t="shared" si="152"/>
        <v>297</v>
      </c>
      <c r="O1147">
        <f t="shared" si="152"/>
        <v>322</v>
      </c>
      <c r="P1147">
        <f t="shared" si="152"/>
        <v>340</v>
      </c>
      <c r="Q1147">
        <f t="shared" si="152"/>
        <v>366</v>
      </c>
      <c r="S1147" t="str">
        <f t="shared" si="155"/>
        <v>08.12.2025</v>
      </c>
      <c r="T1147" t="str">
        <f t="shared" si="156"/>
        <v>17:15:00</v>
      </c>
      <c r="U1147" t="str">
        <f t="shared" si="150"/>
        <v>08.12.2025 17:15:00</v>
      </c>
      <c r="V1147" s="9" t="str">
        <f>MID($A1147,C1147+C$2+1,D1147-C1147-C$2-1)</f>
        <v>0</v>
      </c>
      <c r="W1147" s="4">
        <f>VALUE(SUBSTITUTE(MID($A1147,D1147+D$2+1,E1147-D1147-D$2-1),",","."))</f>
        <v>0</v>
      </c>
      <c r="X1147" s="4">
        <f>VALUE(SUBSTITUTE(MID($A1147,E1147+E$2+1,F1147-E1147-E$2-1),",","."))</f>
        <v>0.90957602214449496</v>
      </c>
      <c r="Y1147" s="4">
        <f>VALUE(SUBSTITUTE(MID($A1147,F1147+F$2+1,G1147-F1147-F$2-1),",","."))</f>
        <v>0</v>
      </c>
      <c r="Z1147" s="3">
        <f>VALUE(SUBSTITUTE(MID($A1147,G1147+G$2+1,H1147-G1147-G$2-1),",","."))</f>
        <v>0</v>
      </c>
      <c r="AA1147" s="3">
        <f>VALUE(SUBSTITUTE(MID($A1147,H1147+H$2+1,I1147-H1147-H$2-1),",","."))</f>
        <v>0</v>
      </c>
      <c r="AB1147" s="3">
        <f>VALUE(SUBSTITUTE(MID($A1147,I1147+I$2+1,J1147-I1147-I$2-1),",","."))</f>
        <v>6</v>
      </c>
      <c r="AC1147" s="3">
        <f>VALUE(SUBSTITUTE(MID($A1147,J1147+J$2+1,K1147-J1147-J$2-1),",","."))</f>
        <v>1.25</v>
      </c>
      <c r="AD1147" s="3">
        <f>VALUE(SUBSTITUTE(MID($A1147,K1147+K$2+1,L1147-K1147-K$2-1),",","."))</f>
        <v>17.100000000000001</v>
      </c>
      <c r="AE1147" s="3">
        <f>VALUE(SUBSTITUTE(MID($A1147,L1147+L$2+1,M1147-L1147-L$2-1),",","."))</f>
        <v>0</v>
      </c>
      <c r="AF1147" s="3">
        <f>VALUE(SUBSTITUTE(MID($A1147,M1147+M$2+1,N1147-M1147-M$2-1),",","."))</f>
        <v>0</v>
      </c>
      <c r="AG1147" s="3">
        <f>VALUE(SUBSTITUTE(MID($A1147,N1147+N$2+1,O1147-N1147-N$2-1),",","."))</f>
        <v>4.23608749664377</v>
      </c>
      <c r="AH1147" t="str">
        <f>MID($A1147,O1147+O$2+1,P1147-O1147-O$2-1)</f>
        <v/>
      </c>
      <c r="AI1147" s="8" t="str">
        <f>MID($A1147,P1147+P$2+1,Q1147-P1147-P$2-1)</f>
        <v>False</v>
      </c>
      <c r="AK1147" t="b">
        <f t="shared" si="151"/>
        <v>1</v>
      </c>
    </row>
    <row r="1148" spans="1:37" x14ac:dyDescent="0.35">
      <c r="A1148" t="s">
        <v>5695</v>
      </c>
      <c r="B1148">
        <f t="shared" si="154"/>
        <v>10</v>
      </c>
      <c r="C1148">
        <f t="shared" si="154"/>
        <v>43</v>
      </c>
      <c r="D1148">
        <f t="shared" si="154"/>
        <v>54</v>
      </c>
      <c r="E1148">
        <f t="shared" si="154"/>
        <v>80</v>
      </c>
      <c r="F1148">
        <f t="shared" si="154"/>
        <v>124</v>
      </c>
      <c r="G1148">
        <f t="shared" si="154"/>
        <v>145</v>
      </c>
      <c r="H1148">
        <f t="shared" si="154"/>
        <v>177</v>
      </c>
      <c r="I1148">
        <f t="shared" si="153"/>
        <v>199</v>
      </c>
      <c r="J1148">
        <f t="shared" si="153"/>
        <v>232</v>
      </c>
      <c r="K1148">
        <f t="shared" si="153"/>
        <v>252</v>
      </c>
      <c r="L1148">
        <f t="shared" si="153"/>
        <v>270</v>
      </c>
      <c r="M1148">
        <f t="shared" si="153"/>
        <v>285</v>
      </c>
      <c r="N1148">
        <f t="shared" si="152"/>
        <v>297</v>
      </c>
      <c r="O1148">
        <f t="shared" si="152"/>
        <v>322</v>
      </c>
      <c r="P1148">
        <f t="shared" si="152"/>
        <v>340</v>
      </c>
      <c r="Q1148">
        <f t="shared" si="152"/>
        <v>366</v>
      </c>
      <c r="S1148" t="str">
        <f t="shared" si="155"/>
        <v>08.12.2025</v>
      </c>
      <c r="T1148" t="str">
        <f t="shared" si="156"/>
        <v>17:30:00</v>
      </c>
      <c r="U1148" t="str">
        <f t="shared" si="150"/>
        <v>08.12.2025 17:30:00</v>
      </c>
      <c r="V1148" s="9" t="str">
        <f>MID($A1148,C1148+C$2+1,D1148-C1148-C$2-1)</f>
        <v>0</v>
      </c>
      <c r="W1148" s="4">
        <f>VALUE(SUBSTITUTE(MID($A1148,D1148+D$2+1,E1148-D1148-D$2-1),",","."))</f>
        <v>0</v>
      </c>
      <c r="X1148" s="4">
        <f>VALUE(SUBSTITUTE(MID($A1148,E1148+E$2+1,F1148-E1148-E$2-1),",","."))</f>
        <v>0.90957602214449496</v>
      </c>
      <c r="Y1148" s="4">
        <f>VALUE(SUBSTITUTE(MID($A1148,F1148+F$2+1,G1148-F1148-F$2-1),",","."))</f>
        <v>0</v>
      </c>
      <c r="Z1148" s="3">
        <f>VALUE(SUBSTITUTE(MID($A1148,G1148+G$2+1,H1148-G1148-G$2-1),",","."))</f>
        <v>0</v>
      </c>
      <c r="AA1148" s="3">
        <f>VALUE(SUBSTITUTE(MID($A1148,H1148+H$2+1,I1148-H1148-H$2-1),",","."))</f>
        <v>0</v>
      </c>
      <c r="AB1148" s="3">
        <f>VALUE(SUBSTITUTE(MID($A1148,I1148+I$2+1,J1148-I1148-I$2-1),",","."))</f>
        <v>0</v>
      </c>
      <c r="AC1148" s="3">
        <f>VALUE(SUBSTITUTE(MID($A1148,J1148+J$2+1,K1148-J1148-J$2-1),",","."))</f>
        <v>0.95</v>
      </c>
      <c r="AD1148" s="3">
        <f>VALUE(SUBSTITUTE(MID($A1148,K1148+K$2+1,L1148-K1148-K$2-1),",","."))</f>
        <v>18.899999999999999</v>
      </c>
      <c r="AE1148" s="3">
        <f>VALUE(SUBSTITUTE(MID($A1148,L1148+L$2+1,M1148-L1148-L$2-1),",","."))</f>
        <v>0</v>
      </c>
      <c r="AF1148" s="3">
        <f>VALUE(SUBSTITUTE(MID($A1148,M1148+M$2+1,N1148-M1148-M$2-1),",","."))</f>
        <v>0</v>
      </c>
      <c r="AG1148" s="3">
        <f>VALUE(SUBSTITUTE(MID($A1148,N1148+N$2+1,O1148-N1148-N$2-1),",","."))</f>
        <v>4.2361160165318603</v>
      </c>
      <c r="AH1148" t="str">
        <f>MID($A1148,O1148+O$2+1,P1148-O1148-O$2-1)</f>
        <v/>
      </c>
      <c r="AI1148" s="8" t="str">
        <f>MID($A1148,P1148+P$2+1,Q1148-P1148-P$2-1)</f>
        <v>False</v>
      </c>
      <c r="AK1148" t="b">
        <f t="shared" si="151"/>
        <v>0</v>
      </c>
    </row>
    <row r="1149" spans="1:37" x14ac:dyDescent="0.35">
      <c r="A1149" t="s">
        <v>5696</v>
      </c>
      <c r="B1149">
        <f t="shared" si="154"/>
        <v>10</v>
      </c>
      <c r="C1149">
        <f t="shared" si="154"/>
        <v>43</v>
      </c>
      <c r="D1149">
        <f t="shared" si="154"/>
        <v>54</v>
      </c>
      <c r="E1149">
        <f t="shared" si="154"/>
        <v>80</v>
      </c>
      <c r="F1149">
        <f t="shared" si="154"/>
        <v>124</v>
      </c>
      <c r="G1149">
        <f t="shared" si="154"/>
        <v>145</v>
      </c>
      <c r="H1149">
        <f t="shared" si="154"/>
        <v>177</v>
      </c>
      <c r="I1149">
        <f t="shared" si="153"/>
        <v>199</v>
      </c>
      <c r="J1149">
        <f t="shared" si="153"/>
        <v>232</v>
      </c>
      <c r="K1149">
        <f t="shared" si="153"/>
        <v>252</v>
      </c>
      <c r="L1149">
        <f t="shared" si="153"/>
        <v>270</v>
      </c>
      <c r="M1149">
        <f t="shared" si="153"/>
        <v>285</v>
      </c>
      <c r="N1149">
        <f t="shared" si="152"/>
        <v>297</v>
      </c>
      <c r="O1149">
        <f t="shared" si="152"/>
        <v>322</v>
      </c>
      <c r="P1149">
        <f t="shared" si="152"/>
        <v>340</v>
      </c>
      <c r="Q1149">
        <f t="shared" si="152"/>
        <v>366</v>
      </c>
      <c r="S1149" t="str">
        <f t="shared" si="155"/>
        <v>08.12.2025</v>
      </c>
      <c r="T1149" t="str">
        <f t="shared" si="156"/>
        <v>17:45:00</v>
      </c>
      <c r="U1149" t="str">
        <f t="shared" si="150"/>
        <v>08.12.2025 17:45:00</v>
      </c>
      <c r="V1149" s="9" t="str">
        <f>MID($A1149,C1149+C$2+1,D1149-C1149-C$2-1)</f>
        <v>0</v>
      </c>
      <c r="W1149" s="4">
        <f>VALUE(SUBSTITUTE(MID($A1149,D1149+D$2+1,E1149-D1149-D$2-1),",","."))</f>
        <v>0</v>
      </c>
      <c r="X1149" s="4">
        <f>VALUE(SUBSTITUTE(MID($A1149,E1149+E$2+1,F1149-E1149-E$2-1),",","."))</f>
        <v>0.90957602214449496</v>
      </c>
      <c r="Y1149" s="4">
        <f>VALUE(SUBSTITUTE(MID($A1149,F1149+F$2+1,G1149-F1149-F$2-1),",","."))</f>
        <v>0</v>
      </c>
      <c r="Z1149" s="3">
        <f>VALUE(SUBSTITUTE(MID($A1149,G1149+G$2+1,H1149-G1149-G$2-1),",","."))</f>
        <v>0</v>
      </c>
      <c r="AA1149" s="3">
        <f>VALUE(SUBSTITUTE(MID($A1149,H1149+H$2+1,I1149-H1149-H$2-1),",","."))</f>
        <v>0</v>
      </c>
      <c r="AB1149" s="3">
        <f>VALUE(SUBSTITUTE(MID($A1149,I1149+I$2+1,J1149-I1149-I$2-1),",","."))</f>
        <v>0</v>
      </c>
      <c r="AC1149" s="3">
        <f>VALUE(SUBSTITUTE(MID($A1149,J1149+J$2+1,K1149-J1149-J$2-1),",","."))</f>
        <v>0.95</v>
      </c>
      <c r="AD1149" s="3">
        <f>VALUE(SUBSTITUTE(MID($A1149,K1149+K$2+1,L1149-K1149-K$2-1),",","."))</f>
        <v>18.899999999999999</v>
      </c>
      <c r="AE1149" s="3">
        <f>VALUE(SUBSTITUTE(MID($A1149,L1149+L$2+1,M1149-L1149-L$2-1),",","."))</f>
        <v>0</v>
      </c>
      <c r="AF1149" s="3">
        <f>VALUE(SUBSTITUTE(MID($A1149,M1149+M$2+1,N1149-M1149-M$2-1),",","."))</f>
        <v>0</v>
      </c>
      <c r="AG1149" s="3">
        <f>VALUE(SUBSTITUTE(MID($A1149,N1149+N$2+1,O1149-N1149-N$2-1),",","."))</f>
        <v>4.2361445364199399</v>
      </c>
      <c r="AH1149" t="str">
        <f>MID($A1149,O1149+O$2+1,P1149-O1149-O$2-1)</f>
        <v/>
      </c>
      <c r="AI1149" s="8" t="str">
        <f>MID($A1149,P1149+P$2+1,Q1149-P1149-P$2-1)</f>
        <v>False</v>
      </c>
      <c r="AK1149" t="b">
        <f t="shared" si="151"/>
        <v>0</v>
      </c>
    </row>
    <row r="1150" spans="1:37" x14ac:dyDescent="0.35">
      <c r="A1150" t="s">
        <v>5697</v>
      </c>
      <c r="B1150">
        <f t="shared" si="154"/>
        <v>10</v>
      </c>
      <c r="C1150">
        <f t="shared" si="154"/>
        <v>43</v>
      </c>
      <c r="D1150">
        <f t="shared" si="154"/>
        <v>54</v>
      </c>
      <c r="E1150">
        <f t="shared" si="154"/>
        <v>80</v>
      </c>
      <c r="F1150">
        <f t="shared" si="154"/>
        <v>124</v>
      </c>
      <c r="G1150">
        <f t="shared" si="154"/>
        <v>145</v>
      </c>
      <c r="H1150">
        <f t="shared" si="154"/>
        <v>177</v>
      </c>
      <c r="I1150">
        <f t="shared" si="153"/>
        <v>199</v>
      </c>
      <c r="J1150">
        <f t="shared" si="153"/>
        <v>232</v>
      </c>
      <c r="K1150">
        <f t="shared" si="153"/>
        <v>252</v>
      </c>
      <c r="L1150">
        <f t="shared" si="153"/>
        <v>270</v>
      </c>
      <c r="M1150">
        <f t="shared" si="153"/>
        <v>285</v>
      </c>
      <c r="N1150">
        <f t="shared" si="152"/>
        <v>297</v>
      </c>
      <c r="O1150">
        <f t="shared" si="152"/>
        <v>322</v>
      </c>
      <c r="P1150">
        <f t="shared" si="152"/>
        <v>340</v>
      </c>
      <c r="Q1150">
        <f t="shared" si="152"/>
        <v>366</v>
      </c>
      <c r="S1150" t="str">
        <f t="shared" si="155"/>
        <v>08.12.2025</v>
      </c>
      <c r="T1150" t="str">
        <f t="shared" si="156"/>
        <v>18:00:00</v>
      </c>
      <c r="U1150" t="str">
        <f t="shared" si="150"/>
        <v>08.12.2025 18:00:00</v>
      </c>
      <c r="V1150" s="9" t="str">
        <f>MID($A1150,C1150+C$2+1,D1150-C1150-C$2-1)</f>
        <v>0</v>
      </c>
      <c r="W1150" s="4">
        <f>VALUE(SUBSTITUTE(MID($A1150,D1150+D$2+1,E1150-D1150-D$2-1),",","."))</f>
        <v>0</v>
      </c>
      <c r="X1150" s="4">
        <f>VALUE(SUBSTITUTE(MID($A1150,E1150+E$2+1,F1150-E1150-E$2-1),",","."))</f>
        <v>0.90957602214449496</v>
      </c>
      <c r="Y1150" s="4">
        <f>VALUE(SUBSTITUTE(MID($A1150,F1150+F$2+1,G1150-F1150-F$2-1),",","."))</f>
        <v>0</v>
      </c>
      <c r="Z1150" s="3">
        <f>VALUE(SUBSTITUTE(MID($A1150,G1150+G$2+1,H1150-G1150-G$2-1),",","."))</f>
        <v>0</v>
      </c>
      <c r="AA1150" s="3">
        <f>VALUE(SUBSTITUTE(MID($A1150,H1150+H$2+1,I1150-H1150-H$2-1),",","."))</f>
        <v>0</v>
      </c>
      <c r="AB1150" s="3">
        <f>VALUE(SUBSTITUTE(MID($A1150,I1150+I$2+1,J1150-I1150-I$2-1),",","."))</f>
        <v>0</v>
      </c>
      <c r="AC1150" s="3">
        <f>VALUE(SUBSTITUTE(MID($A1150,J1150+J$2+1,K1150-J1150-J$2-1),",","."))</f>
        <v>0.95</v>
      </c>
      <c r="AD1150" s="3">
        <f>VALUE(SUBSTITUTE(MID($A1150,K1150+K$2+1,L1150-K1150-K$2-1),",","."))</f>
        <v>18.899999999999999</v>
      </c>
      <c r="AE1150" s="3">
        <f>VALUE(SUBSTITUTE(MID($A1150,L1150+L$2+1,M1150-L1150-L$2-1),",","."))</f>
        <v>0</v>
      </c>
      <c r="AF1150" s="3">
        <f>VALUE(SUBSTITUTE(MID($A1150,M1150+M$2+1,N1150-M1150-M$2-1),",","."))</f>
        <v>0</v>
      </c>
      <c r="AG1150" s="3">
        <f>VALUE(SUBSTITUTE(MID($A1150,N1150+N$2+1,O1150-N1150-N$2-1),",","."))</f>
        <v>4.2361730563080204</v>
      </c>
      <c r="AH1150" t="str">
        <f>MID($A1150,O1150+O$2+1,P1150-O1150-O$2-1)</f>
        <v/>
      </c>
      <c r="AI1150" s="8" t="str">
        <f>MID($A1150,P1150+P$2+1,Q1150-P1150-P$2-1)</f>
        <v>False</v>
      </c>
      <c r="AK1150" t="b">
        <f t="shared" si="151"/>
        <v>0</v>
      </c>
    </row>
    <row r="1151" spans="1:37" x14ac:dyDescent="0.35">
      <c r="A1151" t="s">
        <v>5698</v>
      </c>
      <c r="B1151">
        <f t="shared" si="154"/>
        <v>10</v>
      </c>
      <c r="C1151">
        <f t="shared" si="154"/>
        <v>43</v>
      </c>
      <c r="D1151">
        <f t="shared" si="154"/>
        <v>54</v>
      </c>
      <c r="E1151">
        <f t="shared" si="154"/>
        <v>80</v>
      </c>
      <c r="F1151">
        <f t="shared" si="154"/>
        <v>124</v>
      </c>
      <c r="G1151">
        <f t="shared" si="154"/>
        <v>145</v>
      </c>
      <c r="H1151">
        <f t="shared" si="154"/>
        <v>177</v>
      </c>
      <c r="I1151">
        <f t="shared" si="153"/>
        <v>199</v>
      </c>
      <c r="J1151">
        <f t="shared" si="153"/>
        <v>232</v>
      </c>
      <c r="K1151">
        <f t="shared" si="153"/>
        <v>252</v>
      </c>
      <c r="L1151">
        <f t="shared" si="153"/>
        <v>270</v>
      </c>
      <c r="M1151">
        <f t="shared" si="153"/>
        <v>285</v>
      </c>
      <c r="N1151">
        <f t="shared" si="152"/>
        <v>297</v>
      </c>
      <c r="O1151">
        <f t="shared" si="152"/>
        <v>322</v>
      </c>
      <c r="P1151">
        <f t="shared" si="152"/>
        <v>340</v>
      </c>
      <c r="Q1151">
        <f t="shared" si="152"/>
        <v>366</v>
      </c>
      <c r="S1151" t="str">
        <f t="shared" si="155"/>
        <v>08.12.2025</v>
      </c>
      <c r="T1151" t="str">
        <f t="shared" si="156"/>
        <v>18:15:00</v>
      </c>
      <c r="U1151" t="str">
        <f t="shared" si="150"/>
        <v>08.12.2025 18:15:00</v>
      </c>
      <c r="V1151" s="9" t="str">
        <f>MID($A1151,C1151+C$2+1,D1151-C1151-C$2-1)</f>
        <v>0</v>
      </c>
      <c r="W1151" s="4">
        <f>VALUE(SUBSTITUTE(MID($A1151,D1151+D$2+1,E1151-D1151-D$2-1),",","."))</f>
        <v>0</v>
      </c>
      <c r="X1151" s="4">
        <f>VALUE(SUBSTITUTE(MID($A1151,E1151+E$2+1,F1151-E1151-E$2-1),",","."))</f>
        <v>0.90957602214449496</v>
      </c>
      <c r="Y1151" s="4">
        <f>VALUE(SUBSTITUTE(MID($A1151,F1151+F$2+1,G1151-F1151-F$2-1),",","."))</f>
        <v>0</v>
      </c>
      <c r="Z1151" s="3">
        <f>VALUE(SUBSTITUTE(MID($A1151,G1151+G$2+1,H1151-G1151-G$2-1),",","."))</f>
        <v>0</v>
      </c>
      <c r="AA1151" s="3">
        <f>VALUE(SUBSTITUTE(MID($A1151,H1151+H$2+1,I1151-H1151-H$2-1),",","."))</f>
        <v>0</v>
      </c>
      <c r="AB1151" s="3">
        <f>VALUE(SUBSTITUTE(MID($A1151,I1151+I$2+1,J1151-I1151-I$2-1),",","."))</f>
        <v>0</v>
      </c>
      <c r="AC1151" s="3">
        <f>VALUE(SUBSTITUTE(MID($A1151,J1151+J$2+1,K1151-J1151-J$2-1),",","."))</f>
        <v>0.95</v>
      </c>
      <c r="AD1151" s="3">
        <f>VALUE(SUBSTITUTE(MID($A1151,K1151+K$2+1,L1151-K1151-K$2-1),",","."))</f>
        <v>18.899999999999999</v>
      </c>
      <c r="AE1151" s="3">
        <f>VALUE(SUBSTITUTE(MID($A1151,L1151+L$2+1,M1151-L1151-L$2-1),",","."))</f>
        <v>0</v>
      </c>
      <c r="AF1151" s="3">
        <f>VALUE(SUBSTITUTE(MID($A1151,M1151+M$2+1,N1151-M1151-M$2-1),",","."))</f>
        <v>0</v>
      </c>
      <c r="AG1151" s="3">
        <f>VALUE(SUBSTITUTE(MID($A1151,N1151+N$2+1,O1151-N1151-N$2-1),",","."))</f>
        <v>4.2362015761961</v>
      </c>
      <c r="AH1151" t="str">
        <f>MID($A1151,O1151+O$2+1,P1151-O1151-O$2-1)</f>
        <v/>
      </c>
      <c r="AI1151" s="8" t="str">
        <f>MID($A1151,P1151+P$2+1,Q1151-P1151-P$2-1)</f>
        <v>False</v>
      </c>
      <c r="AK1151" t="b">
        <f t="shared" si="151"/>
        <v>0</v>
      </c>
    </row>
    <row r="1152" spans="1:37" x14ac:dyDescent="0.35">
      <c r="A1152" t="s">
        <v>5699</v>
      </c>
      <c r="B1152">
        <f t="shared" si="154"/>
        <v>10</v>
      </c>
      <c r="C1152">
        <f t="shared" si="154"/>
        <v>43</v>
      </c>
      <c r="D1152">
        <f t="shared" si="154"/>
        <v>54</v>
      </c>
      <c r="E1152">
        <f t="shared" si="154"/>
        <v>80</v>
      </c>
      <c r="F1152">
        <f t="shared" si="154"/>
        <v>124</v>
      </c>
      <c r="G1152">
        <f t="shared" si="154"/>
        <v>145</v>
      </c>
      <c r="H1152">
        <f t="shared" si="154"/>
        <v>177</v>
      </c>
      <c r="I1152">
        <f t="shared" si="153"/>
        <v>199</v>
      </c>
      <c r="J1152">
        <f t="shared" si="153"/>
        <v>232</v>
      </c>
      <c r="K1152">
        <f t="shared" si="153"/>
        <v>252</v>
      </c>
      <c r="L1152">
        <f t="shared" si="153"/>
        <v>284</v>
      </c>
      <c r="M1152">
        <f t="shared" si="153"/>
        <v>299</v>
      </c>
      <c r="N1152">
        <f t="shared" si="152"/>
        <v>311</v>
      </c>
      <c r="O1152">
        <f t="shared" si="152"/>
        <v>336</v>
      </c>
      <c r="P1152">
        <f t="shared" si="152"/>
        <v>354</v>
      </c>
      <c r="Q1152">
        <f t="shared" si="152"/>
        <v>380</v>
      </c>
      <c r="S1152" t="str">
        <f t="shared" si="155"/>
        <v>08.12.2025</v>
      </c>
      <c r="T1152" t="str">
        <f t="shared" si="156"/>
        <v>18:30:00</v>
      </c>
      <c r="U1152" t="str">
        <f t="shared" si="150"/>
        <v>08.12.2025 18:30:00</v>
      </c>
      <c r="V1152" s="9" t="str">
        <f>MID($A1152,C1152+C$2+1,D1152-C1152-C$2-1)</f>
        <v>0</v>
      </c>
      <c r="W1152" s="4">
        <f>VALUE(SUBSTITUTE(MID($A1152,D1152+D$2+1,E1152-D1152-D$2-1),",","."))</f>
        <v>0</v>
      </c>
      <c r="X1152" s="4">
        <f>VALUE(SUBSTITUTE(MID($A1152,E1152+E$2+1,F1152-E1152-E$2-1),",","."))</f>
        <v>0.90957602214449496</v>
      </c>
      <c r="Y1152" s="4">
        <f>VALUE(SUBSTITUTE(MID($A1152,F1152+F$2+1,G1152-F1152-F$2-1),",","."))</f>
        <v>0</v>
      </c>
      <c r="Z1152" s="3">
        <f>VALUE(SUBSTITUTE(MID($A1152,G1152+G$2+1,H1152-G1152-G$2-1),",","."))</f>
        <v>0</v>
      </c>
      <c r="AA1152" s="3">
        <f>VALUE(SUBSTITUTE(MID($A1152,H1152+H$2+1,I1152-H1152-H$2-1),",","."))</f>
        <v>0</v>
      </c>
      <c r="AB1152" s="3">
        <f>VALUE(SUBSTITUTE(MID($A1152,I1152+I$2+1,J1152-I1152-I$2-1),",","."))</f>
        <v>0</v>
      </c>
      <c r="AC1152" s="3">
        <f>VALUE(SUBSTITUTE(MID($A1152,J1152+J$2+1,K1152-J1152-J$2-1),",","."))</f>
        <v>0.75</v>
      </c>
      <c r="AD1152" s="3">
        <f>VALUE(SUBSTITUTE(MID($A1152,K1152+K$2+1,L1152-K1152-K$2-1),",","."))</f>
        <v>20.52</v>
      </c>
      <c r="AE1152" s="3">
        <f>VALUE(SUBSTITUTE(MID($A1152,L1152+L$2+1,M1152-L1152-L$2-1),",","."))</f>
        <v>0</v>
      </c>
      <c r="AF1152" s="3">
        <f>VALUE(SUBSTITUTE(MID($A1152,M1152+M$2+1,N1152-M1152-M$2-1),",","."))</f>
        <v>0</v>
      </c>
      <c r="AG1152" s="3">
        <f>VALUE(SUBSTITUTE(MID($A1152,N1152+N$2+1,O1152-N1152-N$2-1),",","."))</f>
        <v>4.2362300960841797</v>
      </c>
      <c r="AH1152" t="str">
        <f>MID($A1152,O1152+O$2+1,P1152-O1152-O$2-1)</f>
        <v/>
      </c>
      <c r="AI1152" s="8" t="str">
        <f>MID($A1152,P1152+P$2+1,Q1152-P1152-P$2-1)</f>
        <v>False</v>
      </c>
      <c r="AK1152" t="b">
        <f t="shared" si="151"/>
        <v>0</v>
      </c>
    </row>
    <row r="1153" spans="1:37" x14ac:dyDescent="0.35">
      <c r="A1153" t="s">
        <v>5700</v>
      </c>
      <c r="B1153">
        <f t="shared" si="154"/>
        <v>10</v>
      </c>
      <c r="C1153">
        <f t="shared" si="154"/>
        <v>43</v>
      </c>
      <c r="D1153">
        <f t="shared" si="154"/>
        <v>54</v>
      </c>
      <c r="E1153">
        <f t="shared" si="154"/>
        <v>80</v>
      </c>
      <c r="F1153">
        <f t="shared" si="154"/>
        <v>124</v>
      </c>
      <c r="G1153">
        <f t="shared" si="154"/>
        <v>145</v>
      </c>
      <c r="H1153">
        <f t="shared" si="154"/>
        <v>177</v>
      </c>
      <c r="I1153">
        <f t="shared" si="153"/>
        <v>199</v>
      </c>
      <c r="J1153">
        <f t="shared" si="153"/>
        <v>232</v>
      </c>
      <c r="K1153">
        <f t="shared" si="153"/>
        <v>252</v>
      </c>
      <c r="L1153">
        <f t="shared" si="153"/>
        <v>284</v>
      </c>
      <c r="M1153">
        <f t="shared" si="153"/>
        <v>299</v>
      </c>
      <c r="N1153">
        <f t="shared" si="152"/>
        <v>311</v>
      </c>
      <c r="O1153">
        <f t="shared" si="152"/>
        <v>336</v>
      </c>
      <c r="P1153">
        <f t="shared" si="152"/>
        <v>354</v>
      </c>
      <c r="Q1153">
        <f t="shared" si="152"/>
        <v>380</v>
      </c>
      <c r="S1153" t="str">
        <f t="shared" si="155"/>
        <v>08.12.2025</v>
      </c>
      <c r="T1153" t="str">
        <f t="shared" si="156"/>
        <v>18:45:00</v>
      </c>
      <c r="U1153" t="str">
        <f t="shared" si="150"/>
        <v>08.12.2025 18:45:00</v>
      </c>
      <c r="V1153" s="9" t="str">
        <f>MID($A1153,C1153+C$2+1,D1153-C1153-C$2-1)</f>
        <v>0</v>
      </c>
      <c r="W1153" s="4">
        <f>VALUE(SUBSTITUTE(MID($A1153,D1153+D$2+1,E1153-D1153-D$2-1),",","."))</f>
        <v>0</v>
      </c>
      <c r="X1153" s="4">
        <f>VALUE(SUBSTITUTE(MID($A1153,E1153+E$2+1,F1153-E1153-E$2-1),",","."))</f>
        <v>0.90957602214449496</v>
      </c>
      <c r="Y1153" s="4">
        <f>VALUE(SUBSTITUTE(MID($A1153,F1153+F$2+1,G1153-F1153-F$2-1),",","."))</f>
        <v>0</v>
      </c>
      <c r="Z1153" s="3">
        <f>VALUE(SUBSTITUTE(MID($A1153,G1153+G$2+1,H1153-G1153-G$2-1),",","."))</f>
        <v>0</v>
      </c>
      <c r="AA1153" s="3">
        <f>VALUE(SUBSTITUTE(MID($A1153,H1153+H$2+1,I1153-H1153-H$2-1),",","."))</f>
        <v>0</v>
      </c>
      <c r="AB1153" s="3">
        <f>VALUE(SUBSTITUTE(MID($A1153,I1153+I$2+1,J1153-I1153-I$2-1),",","."))</f>
        <v>0</v>
      </c>
      <c r="AC1153" s="3">
        <f>VALUE(SUBSTITUTE(MID($A1153,J1153+J$2+1,K1153-J1153-J$2-1),",","."))</f>
        <v>0.75</v>
      </c>
      <c r="AD1153" s="3">
        <f>VALUE(SUBSTITUTE(MID($A1153,K1153+K$2+1,L1153-K1153-K$2-1),",","."))</f>
        <v>20.52</v>
      </c>
      <c r="AE1153" s="3">
        <f>VALUE(SUBSTITUTE(MID($A1153,L1153+L$2+1,M1153-L1153-L$2-1),",","."))</f>
        <v>0</v>
      </c>
      <c r="AF1153" s="3">
        <f>VALUE(SUBSTITUTE(MID($A1153,M1153+M$2+1,N1153-M1153-M$2-1),",","."))</f>
        <v>0</v>
      </c>
      <c r="AG1153" s="3">
        <f>VALUE(SUBSTITUTE(MID($A1153,N1153+N$2+1,O1153-N1153-N$2-1),",","."))</f>
        <v>4.2362586159722602</v>
      </c>
      <c r="AH1153" t="str">
        <f>MID($A1153,O1153+O$2+1,P1153-O1153-O$2-1)</f>
        <v/>
      </c>
      <c r="AI1153" s="8" t="str">
        <f>MID($A1153,P1153+P$2+1,Q1153-P1153-P$2-1)</f>
        <v>False</v>
      </c>
      <c r="AK1153" t="b">
        <f t="shared" si="151"/>
        <v>0</v>
      </c>
    </row>
    <row r="1154" spans="1:37" x14ac:dyDescent="0.35">
      <c r="A1154" t="s">
        <v>5701</v>
      </c>
      <c r="B1154">
        <f t="shared" si="154"/>
        <v>10</v>
      </c>
      <c r="C1154">
        <f t="shared" si="154"/>
        <v>43</v>
      </c>
      <c r="D1154">
        <f t="shared" si="154"/>
        <v>54</v>
      </c>
      <c r="E1154">
        <f t="shared" si="154"/>
        <v>80</v>
      </c>
      <c r="F1154">
        <f t="shared" si="154"/>
        <v>124</v>
      </c>
      <c r="G1154">
        <f t="shared" si="154"/>
        <v>145</v>
      </c>
      <c r="H1154">
        <f t="shared" si="154"/>
        <v>177</v>
      </c>
      <c r="I1154">
        <f t="shared" si="153"/>
        <v>199</v>
      </c>
      <c r="J1154">
        <f t="shared" si="153"/>
        <v>232</v>
      </c>
      <c r="K1154">
        <f t="shared" si="153"/>
        <v>252</v>
      </c>
      <c r="L1154">
        <f t="shared" si="153"/>
        <v>284</v>
      </c>
      <c r="M1154">
        <f t="shared" si="153"/>
        <v>299</v>
      </c>
      <c r="N1154">
        <f t="shared" si="152"/>
        <v>311</v>
      </c>
      <c r="O1154">
        <f t="shared" si="152"/>
        <v>335</v>
      </c>
      <c r="P1154">
        <f t="shared" si="152"/>
        <v>353</v>
      </c>
      <c r="Q1154">
        <f t="shared" si="152"/>
        <v>379</v>
      </c>
      <c r="S1154" t="str">
        <f t="shared" si="155"/>
        <v>08.12.2025</v>
      </c>
      <c r="T1154" t="str">
        <f t="shared" si="156"/>
        <v>19:00:00</v>
      </c>
      <c r="U1154" t="str">
        <f t="shared" si="150"/>
        <v>08.12.2025 19:00:00</v>
      </c>
      <c r="V1154" s="9" t="str">
        <f>MID($A1154,C1154+C$2+1,D1154-C1154-C$2-1)</f>
        <v>0</v>
      </c>
      <c r="W1154" s="4">
        <f>VALUE(SUBSTITUTE(MID($A1154,D1154+D$2+1,E1154-D1154-D$2-1),",","."))</f>
        <v>0</v>
      </c>
      <c r="X1154" s="4">
        <f>VALUE(SUBSTITUTE(MID($A1154,E1154+E$2+1,F1154-E1154-E$2-1),",","."))</f>
        <v>0.90957602214449496</v>
      </c>
      <c r="Y1154" s="4">
        <f>VALUE(SUBSTITUTE(MID($A1154,F1154+F$2+1,G1154-F1154-F$2-1),",","."))</f>
        <v>0</v>
      </c>
      <c r="Z1154" s="3">
        <f>VALUE(SUBSTITUTE(MID($A1154,G1154+G$2+1,H1154-G1154-G$2-1),",","."))</f>
        <v>0</v>
      </c>
      <c r="AA1154" s="3">
        <f>VALUE(SUBSTITUTE(MID($A1154,H1154+H$2+1,I1154-H1154-H$2-1),",","."))</f>
        <v>0</v>
      </c>
      <c r="AB1154" s="3">
        <f>VALUE(SUBSTITUTE(MID($A1154,I1154+I$2+1,J1154-I1154-I$2-1),",","."))</f>
        <v>0</v>
      </c>
      <c r="AC1154" s="3">
        <f>VALUE(SUBSTITUTE(MID($A1154,J1154+J$2+1,K1154-J1154-J$2-1),",","."))</f>
        <v>0.75</v>
      </c>
      <c r="AD1154" s="3">
        <f>VALUE(SUBSTITUTE(MID($A1154,K1154+K$2+1,L1154-K1154-K$2-1),",","."))</f>
        <v>20.52</v>
      </c>
      <c r="AE1154" s="3">
        <f>VALUE(SUBSTITUTE(MID($A1154,L1154+L$2+1,M1154-L1154-L$2-1),",","."))</f>
        <v>0</v>
      </c>
      <c r="AF1154" s="3">
        <f>VALUE(SUBSTITUTE(MID($A1154,M1154+M$2+1,N1154-M1154-M$2-1),",","."))</f>
        <v>0</v>
      </c>
      <c r="AG1154" s="3">
        <f>VALUE(SUBSTITUTE(MID($A1154,N1154+N$2+1,O1154-N1154-N$2-1),",","."))</f>
        <v>4.2362871358603504</v>
      </c>
      <c r="AH1154" t="str">
        <f>MID($A1154,O1154+O$2+1,P1154-O1154-O$2-1)</f>
        <v/>
      </c>
      <c r="AI1154" s="8" t="str">
        <f>MID($A1154,P1154+P$2+1,Q1154-P1154-P$2-1)</f>
        <v>False</v>
      </c>
      <c r="AK1154" t="b">
        <f t="shared" si="151"/>
        <v>0</v>
      </c>
    </row>
    <row r="1155" spans="1:37" x14ac:dyDescent="0.35">
      <c r="A1155" t="s">
        <v>5702</v>
      </c>
      <c r="B1155">
        <f t="shared" si="154"/>
        <v>10</v>
      </c>
      <c r="C1155">
        <f t="shared" si="154"/>
        <v>43</v>
      </c>
      <c r="D1155">
        <f t="shared" si="154"/>
        <v>54</v>
      </c>
      <c r="E1155">
        <f t="shared" si="154"/>
        <v>80</v>
      </c>
      <c r="F1155">
        <f t="shared" si="154"/>
        <v>124</v>
      </c>
      <c r="G1155">
        <f t="shared" si="154"/>
        <v>145</v>
      </c>
      <c r="H1155">
        <f t="shared" si="154"/>
        <v>177</v>
      </c>
      <c r="I1155">
        <f t="shared" si="153"/>
        <v>199</v>
      </c>
      <c r="J1155">
        <f t="shared" si="153"/>
        <v>232</v>
      </c>
      <c r="K1155">
        <f t="shared" si="153"/>
        <v>252</v>
      </c>
      <c r="L1155">
        <f t="shared" si="153"/>
        <v>284</v>
      </c>
      <c r="M1155">
        <f t="shared" si="153"/>
        <v>299</v>
      </c>
      <c r="N1155">
        <f t="shared" si="152"/>
        <v>311</v>
      </c>
      <c r="O1155">
        <f t="shared" si="152"/>
        <v>336</v>
      </c>
      <c r="P1155">
        <f t="shared" si="152"/>
        <v>354</v>
      </c>
      <c r="Q1155">
        <f t="shared" si="152"/>
        <v>380</v>
      </c>
      <c r="S1155" t="str">
        <f t="shared" si="155"/>
        <v>08.12.2025</v>
      </c>
      <c r="T1155" t="str">
        <f t="shared" si="156"/>
        <v>19:15:00</v>
      </c>
      <c r="U1155" t="str">
        <f t="shared" si="150"/>
        <v>08.12.2025 19:15:00</v>
      </c>
      <c r="V1155" s="9" t="str">
        <f>MID($A1155,C1155+C$2+1,D1155-C1155-C$2-1)</f>
        <v>0</v>
      </c>
      <c r="W1155" s="4">
        <f>VALUE(SUBSTITUTE(MID($A1155,D1155+D$2+1,E1155-D1155-D$2-1),",","."))</f>
        <v>0</v>
      </c>
      <c r="X1155" s="4">
        <f>VALUE(SUBSTITUTE(MID($A1155,E1155+E$2+1,F1155-E1155-E$2-1),",","."))</f>
        <v>0.90957602214449496</v>
      </c>
      <c r="Y1155" s="4">
        <f>VALUE(SUBSTITUTE(MID($A1155,F1155+F$2+1,G1155-F1155-F$2-1),",","."))</f>
        <v>0</v>
      </c>
      <c r="Z1155" s="3">
        <f>VALUE(SUBSTITUTE(MID($A1155,G1155+G$2+1,H1155-G1155-G$2-1),",","."))</f>
        <v>0</v>
      </c>
      <c r="AA1155" s="3">
        <f>VALUE(SUBSTITUTE(MID($A1155,H1155+H$2+1,I1155-H1155-H$2-1),",","."))</f>
        <v>0</v>
      </c>
      <c r="AB1155" s="3">
        <f>VALUE(SUBSTITUTE(MID($A1155,I1155+I$2+1,J1155-I1155-I$2-1),",","."))</f>
        <v>0</v>
      </c>
      <c r="AC1155" s="3">
        <f>VALUE(SUBSTITUTE(MID($A1155,J1155+J$2+1,K1155-J1155-J$2-1),",","."))</f>
        <v>0.75</v>
      </c>
      <c r="AD1155" s="3">
        <f>VALUE(SUBSTITUTE(MID($A1155,K1155+K$2+1,L1155-K1155-K$2-1),",","."))</f>
        <v>20.52</v>
      </c>
      <c r="AE1155" s="3">
        <f>VALUE(SUBSTITUTE(MID($A1155,L1155+L$2+1,M1155-L1155-L$2-1),",","."))</f>
        <v>0</v>
      </c>
      <c r="AF1155" s="3">
        <f>VALUE(SUBSTITUTE(MID($A1155,M1155+M$2+1,N1155-M1155-M$2-1),",","."))</f>
        <v>0</v>
      </c>
      <c r="AG1155" s="3">
        <f>VALUE(SUBSTITUTE(MID($A1155,N1155+N$2+1,O1155-N1155-N$2-1),",","."))</f>
        <v>4.2363156557484301</v>
      </c>
      <c r="AH1155" t="str">
        <f>MID($A1155,O1155+O$2+1,P1155-O1155-O$2-1)</f>
        <v/>
      </c>
      <c r="AI1155" s="8" t="str">
        <f>MID($A1155,P1155+P$2+1,Q1155-P1155-P$2-1)</f>
        <v>False</v>
      </c>
      <c r="AK1155" t="b">
        <f t="shared" si="151"/>
        <v>0</v>
      </c>
    </row>
    <row r="1156" spans="1:37" x14ac:dyDescent="0.35">
      <c r="A1156" t="s">
        <v>5703</v>
      </c>
      <c r="B1156">
        <f t="shared" si="154"/>
        <v>10</v>
      </c>
      <c r="C1156">
        <f t="shared" si="154"/>
        <v>43</v>
      </c>
      <c r="D1156">
        <f t="shared" si="154"/>
        <v>54</v>
      </c>
      <c r="E1156">
        <f t="shared" si="154"/>
        <v>80</v>
      </c>
      <c r="F1156">
        <f t="shared" si="154"/>
        <v>124</v>
      </c>
      <c r="G1156">
        <f t="shared" si="154"/>
        <v>145</v>
      </c>
      <c r="H1156">
        <f t="shared" si="154"/>
        <v>177</v>
      </c>
      <c r="I1156">
        <f t="shared" si="153"/>
        <v>199</v>
      </c>
      <c r="J1156">
        <f t="shared" si="153"/>
        <v>232</v>
      </c>
      <c r="K1156">
        <f t="shared" si="153"/>
        <v>252</v>
      </c>
      <c r="L1156">
        <f t="shared" si="153"/>
        <v>271</v>
      </c>
      <c r="M1156">
        <f t="shared" si="153"/>
        <v>286</v>
      </c>
      <c r="N1156">
        <f t="shared" si="152"/>
        <v>298</v>
      </c>
      <c r="O1156">
        <f t="shared" si="152"/>
        <v>323</v>
      </c>
      <c r="P1156">
        <f t="shared" si="152"/>
        <v>341</v>
      </c>
      <c r="Q1156">
        <f t="shared" si="152"/>
        <v>367</v>
      </c>
      <c r="S1156" t="str">
        <f t="shared" si="155"/>
        <v>08.12.2025</v>
      </c>
      <c r="T1156" t="str">
        <f t="shared" si="156"/>
        <v>19:30:00</v>
      </c>
      <c r="U1156" t="str">
        <f t="shared" ref="U1156:U1219" si="157">MID($A1156,B1156+B$2+1,C1156-B1156-B$2-1)</f>
        <v>08.12.2025 19:30:00</v>
      </c>
      <c r="V1156" s="9" t="str">
        <f>MID($A1156,C1156+C$2+1,D1156-C1156-C$2-1)</f>
        <v>0</v>
      </c>
      <c r="W1156" s="4">
        <f>VALUE(SUBSTITUTE(MID($A1156,D1156+D$2+1,E1156-D1156-D$2-1),",","."))</f>
        <v>0</v>
      </c>
      <c r="X1156" s="4">
        <f>VALUE(SUBSTITUTE(MID($A1156,E1156+E$2+1,F1156-E1156-E$2-1),",","."))</f>
        <v>0.90957602214449496</v>
      </c>
      <c r="Y1156" s="4">
        <f>VALUE(SUBSTITUTE(MID($A1156,F1156+F$2+1,G1156-F1156-F$2-1),",","."))</f>
        <v>0</v>
      </c>
      <c r="Z1156" s="3">
        <f>VALUE(SUBSTITUTE(MID($A1156,G1156+G$2+1,H1156-G1156-G$2-1),",","."))</f>
        <v>0</v>
      </c>
      <c r="AA1156" s="3">
        <f>VALUE(SUBSTITUTE(MID($A1156,H1156+H$2+1,I1156-H1156-H$2-1),",","."))</f>
        <v>0</v>
      </c>
      <c r="AB1156" s="3">
        <f>VALUE(SUBSTITUTE(MID($A1156,I1156+I$2+1,J1156-I1156-I$2-1),",","."))</f>
        <v>0</v>
      </c>
      <c r="AC1156" s="3">
        <f>VALUE(SUBSTITUTE(MID($A1156,J1156+J$2+1,K1156-J1156-J$2-1),",","."))</f>
        <v>0.75</v>
      </c>
      <c r="AD1156" s="3">
        <f>VALUE(SUBSTITUTE(MID($A1156,K1156+K$2+1,L1156-K1156-K$2-1),",","."))</f>
        <v>21.42</v>
      </c>
      <c r="AE1156" s="3">
        <f>VALUE(SUBSTITUTE(MID($A1156,L1156+L$2+1,M1156-L1156-L$2-1),",","."))</f>
        <v>0</v>
      </c>
      <c r="AF1156" s="3">
        <f>VALUE(SUBSTITUTE(MID($A1156,M1156+M$2+1,N1156-M1156-M$2-1),",","."))</f>
        <v>0</v>
      </c>
      <c r="AG1156" s="3">
        <f>VALUE(SUBSTITUTE(MID($A1156,N1156+N$2+1,O1156-N1156-N$2-1),",","."))</f>
        <v>4.2363441756365097</v>
      </c>
      <c r="AH1156" t="str">
        <f>MID($A1156,O1156+O$2+1,P1156-O1156-O$2-1)</f>
        <v/>
      </c>
      <c r="AI1156" s="8" t="str">
        <f>MID($A1156,P1156+P$2+1,Q1156-P1156-P$2-1)</f>
        <v>False</v>
      </c>
      <c r="AK1156" t="b">
        <f t="shared" ref="AK1156:AK1219" si="158">AB1156&gt;Z1156</f>
        <v>0</v>
      </c>
    </row>
    <row r="1157" spans="1:37" x14ac:dyDescent="0.35">
      <c r="A1157" t="s">
        <v>5704</v>
      </c>
      <c r="B1157">
        <f t="shared" si="154"/>
        <v>10</v>
      </c>
      <c r="C1157">
        <f t="shared" si="154"/>
        <v>43</v>
      </c>
      <c r="D1157">
        <f t="shared" si="154"/>
        <v>54</v>
      </c>
      <c r="E1157">
        <f t="shared" si="154"/>
        <v>80</v>
      </c>
      <c r="F1157">
        <f t="shared" si="154"/>
        <v>124</v>
      </c>
      <c r="G1157">
        <f t="shared" si="154"/>
        <v>145</v>
      </c>
      <c r="H1157">
        <f t="shared" si="154"/>
        <v>177</v>
      </c>
      <c r="I1157">
        <f t="shared" si="153"/>
        <v>199</v>
      </c>
      <c r="J1157">
        <f t="shared" si="153"/>
        <v>232</v>
      </c>
      <c r="K1157">
        <f t="shared" si="153"/>
        <v>252</v>
      </c>
      <c r="L1157">
        <f t="shared" si="153"/>
        <v>271</v>
      </c>
      <c r="M1157">
        <f t="shared" si="153"/>
        <v>286</v>
      </c>
      <c r="N1157">
        <f t="shared" si="152"/>
        <v>298</v>
      </c>
      <c r="O1157">
        <f t="shared" si="152"/>
        <v>323</v>
      </c>
      <c r="P1157">
        <f t="shared" si="152"/>
        <v>341</v>
      </c>
      <c r="Q1157">
        <f t="shared" si="152"/>
        <v>367</v>
      </c>
      <c r="S1157" t="str">
        <f t="shared" si="155"/>
        <v>08.12.2025</v>
      </c>
      <c r="T1157" t="str">
        <f t="shared" si="156"/>
        <v>19:45:00</v>
      </c>
      <c r="U1157" t="str">
        <f t="shared" si="157"/>
        <v>08.12.2025 19:45:00</v>
      </c>
      <c r="V1157" s="9" t="str">
        <f>MID($A1157,C1157+C$2+1,D1157-C1157-C$2-1)</f>
        <v>0</v>
      </c>
      <c r="W1157" s="4">
        <f>VALUE(SUBSTITUTE(MID($A1157,D1157+D$2+1,E1157-D1157-D$2-1),",","."))</f>
        <v>0</v>
      </c>
      <c r="X1157" s="4">
        <f>VALUE(SUBSTITUTE(MID($A1157,E1157+E$2+1,F1157-E1157-E$2-1),",","."))</f>
        <v>0.90957602214449496</v>
      </c>
      <c r="Y1157" s="4">
        <f>VALUE(SUBSTITUTE(MID($A1157,F1157+F$2+1,G1157-F1157-F$2-1),",","."))</f>
        <v>0</v>
      </c>
      <c r="Z1157" s="3">
        <f>VALUE(SUBSTITUTE(MID($A1157,G1157+G$2+1,H1157-G1157-G$2-1),",","."))</f>
        <v>0</v>
      </c>
      <c r="AA1157" s="3">
        <f>VALUE(SUBSTITUTE(MID($A1157,H1157+H$2+1,I1157-H1157-H$2-1),",","."))</f>
        <v>0</v>
      </c>
      <c r="AB1157" s="3">
        <f>VALUE(SUBSTITUTE(MID($A1157,I1157+I$2+1,J1157-I1157-I$2-1),",","."))</f>
        <v>0</v>
      </c>
      <c r="AC1157" s="3">
        <f>VALUE(SUBSTITUTE(MID($A1157,J1157+J$2+1,K1157-J1157-J$2-1),",","."))</f>
        <v>0.75</v>
      </c>
      <c r="AD1157" s="3">
        <f>VALUE(SUBSTITUTE(MID($A1157,K1157+K$2+1,L1157-K1157-K$2-1),",","."))</f>
        <v>21.42</v>
      </c>
      <c r="AE1157" s="3">
        <f>VALUE(SUBSTITUTE(MID($A1157,L1157+L$2+1,M1157-L1157-L$2-1),",","."))</f>
        <v>0</v>
      </c>
      <c r="AF1157" s="3">
        <f>VALUE(SUBSTITUTE(MID($A1157,M1157+M$2+1,N1157-M1157-M$2-1),",","."))</f>
        <v>0</v>
      </c>
      <c r="AG1157" s="3">
        <f>VALUE(SUBSTITUTE(MID($A1157,N1157+N$2+1,O1157-N1157-N$2-1),",","."))</f>
        <v>4.2363726955245902</v>
      </c>
      <c r="AH1157" t="str">
        <f>MID($A1157,O1157+O$2+1,P1157-O1157-O$2-1)</f>
        <v/>
      </c>
      <c r="AI1157" s="8" t="str">
        <f>MID($A1157,P1157+P$2+1,Q1157-P1157-P$2-1)</f>
        <v>False</v>
      </c>
      <c r="AK1157" t="b">
        <f t="shared" si="158"/>
        <v>0</v>
      </c>
    </row>
    <row r="1158" spans="1:37" x14ac:dyDescent="0.35">
      <c r="A1158" t="s">
        <v>5705</v>
      </c>
      <c r="B1158">
        <f t="shared" si="154"/>
        <v>10</v>
      </c>
      <c r="C1158">
        <f t="shared" si="154"/>
        <v>43</v>
      </c>
      <c r="D1158">
        <f t="shared" si="154"/>
        <v>54</v>
      </c>
      <c r="E1158">
        <f t="shared" si="154"/>
        <v>80</v>
      </c>
      <c r="F1158">
        <f t="shared" si="154"/>
        <v>124</v>
      </c>
      <c r="G1158">
        <f t="shared" si="154"/>
        <v>145</v>
      </c>
      <c r="H1158">
        <f t="shared" si="154"/>
        <v>177</v>
      </c>
      <c r="I1158">
        <f t="shared" si="153"/>
        <v>199</v>
      </c>
      <c r="J1158">
        <f t="shared" si="153"/>
        <v>232</v>
      </c>
      <c r="K1158">
        <f t="shared" si="153"/>
        <v>252</v>
      </c>
      <c r="L1158">
        <f t="shared" si="153"/>
        <v>271</v>
      </c>
      <c r="M1158">
        <f t="shared" si="153"/>
        <v>286</v>
      </c>
      <c r="N1158">
        <f t="shared" si="152"/>
        <v>298</v>
      </c>
      <c r="O1158">
        <f t="shared" si="152"/>
        <v>323</v>
      </c>
      <c r="P1158">
        <f t="shared" si="152"/>
        <v>341</v>
      </c>
      <c r="Q1158">
        <f t="shared" si="152"/>
        <v>367</v>
      </c>
      <c r="S1158" t="str">
        <f t="shared" si="155"/>
        <v>08.12.2025</v>
      </c>
      <c r="T1158" t="str">
        <f t="shared" si="156"/>
        <v>20:00:00</v>
      </c>
      <c r="U1158" t="str">
        <f t="shared" si="157"/>
        <v>08.12.2025 20:00:00</v>
      </c>
      <c r="V1158" s="9" t="str">
        <f>MID($A1158,C1158+C$2+1,D1158-C1158-C$2-1)</f>
        <v>0</v>
      </c>
      <c r="W1158" s="4">
        <f>VALUE(SUBSTITUTE(MID($A1158,D1158+D$2+1,E1158-D1158-D$2-1),",","."))</f>
        <v>0</v>
      </c>
      <c r="X1158" s="4">
        <f>VALUE(SUBSTITUTE(MID($A1158,E1158+E$2+1,F1158-E1158-E$2-1),",","."))</f>
        <v>0.90957602214449496</v>
      </c>
      <c r="Y1158" s="4">
        <f>VALUE(SUBSTITUTE(MID($A1158,F1158+F$2+1,G1158-F1158-F$2-1),",","."))</f>
        <v>0</v>
      </c>
      <c r="Z1158" s="3">
        <f>VALUE(SUBSTITUTE(MID($A1158,G1158+G$2+1,H1158-G1158-G$2-1),",","."))</f>
        <v>0</v>
      </c>
      <c r="AA1158" s="3">
        <f>VALUE(SUBSTITUTE(MID($A1158,H1158+H$2+1,I1158-H1158-H$2-1),",","."))</f>
        <v>0</v>
      </c>
      <c r="AB1158" s="3">
        <f>VALUE(SUBSTITUTE(MID($A1158,I1158+I$2+1,J1158-I1158-I$2-1),",","."))</f>
        <v>0</v>
      </c>
      <c r="AC1158" s="3">
        <f>VALUE(SUBSTITUTE(MID($A1158,J1158+J$2+1,K1158-J1158-J$2-1),",","."))</f>
        <v>0.75</v>
      </c>
      <c r="AD1158" s="3">
        <f>VALUE(SUBSTITUTE(MID($A1158,K1158+K$2+1,L1158-K1158-K$2-1),",","."))</f>
        <v>21.42</v>
      </c>
      <c r="AE1158" s="3">
        <f>VALUE(SUBSTITUTE(MID($A1158,L1158+L$2+1,M1158-L1158-L$2-1),",","."))</f>
        <v>0</v>
      </c>
      <c r="AF1158" s="3">
        <f>VALUE(SUBSTITUTE(MID($A1158,M1158+M$2+1,N1158-M1158-M$2-1),",","."))</f>
        <v>0</v>
      </c>
      <c r="AG1158" s="3">
        <f>VALUE(SUBSTITUTE(MID($A1158,N1158+N$2+1,O1158-N1158-N$2-1),",","."))</f>
        <v>4.2364012154126698</v>
      </c>
      <c r="AH1158" t="str">
        <f>MID($A1158,O1158+O$2+1,P1158-O1158-O$2-1)</f>
        <v/>
      </c>
      <c r="AI1158" s="8" t="str">
        <f>MID($A1158,P1158+P$2+1,Q1158-P1158-P$2-1)</f>
        <v>False</v>
      </c>
      <c r="AK1158" t="b">
        <f t="shared" si="158"/>
        <v>0</v>
      </c>
    </row>
    <row r="1159" spans="1:37" x14ac:dyDescent="0.35">
      <c r="A1159" t="s">
        <v>5706</v>
      </c>
      <c r="B1159">
        <f t="shared" si="154"/>
        <v>10</v>
      </c>
      <c r="C1159">
        <f t="shared" si="154"/>
        <v>43</v>
      </c>
      <c r="D1159">
        <f t="shared" si="154"/>
        <v>54</v>
      </c>
      <c r="E1159">
        <f t="shared" si="154"/>
        <v>80</v>
      </c>
      <c r="F1159">
        <f t="shared" si="154"/>
        <v>124</v>
      </c>
      <c r="G1159">
        <f t="shared" si="154"/>
        <v>145</v>
      </c>
      <c r="H1159">
        <f t="shared" si="154"/>
        <v>177</v>
      </c>
      <c r="I1159">
        <f t="shared" si="153"/>
        <v>199</v>
      </c>
      <c r="J1159">
        <f t="shared" si="153"/>
        <v>232</v>
      </c>
      <c r="K1159">
        <f t="shared" si="153"/>
        <v>252</v>
      </c>
      <c r="L1159">
        <f t="shared" si="153"/>
        <v>271</v>
      </c>
      <c r="M1159">
        <f t="shared" si="153"/>
        <v>286</v>
      </c>
      <c r="N1159">
        <f t="shared" si="152"/>
        <v>298</v>
      </c>
      <c r="O1159">
        <f t="shared" si="152"/>
        <v>323</v>
      </c>
      <c r="P1159">
        <f t="shared" si="152"/>
        <v>341</v>
      </c>
      <c r="Q1159">
        <f t="shared" si="152"/>
        <v>367</v>
      </c>
      <c r="S1159" t="str">
        <f t="shared" si="155"/>
        <v>08.12.2025</v>
      </c>
      <c r="T1159" t="str">
        <f t="shared" si="156"/>
        <v>20:15:00</v>
      </c>
      <c r="U1159" t="str">
        <f t="shared" si="157"/>
        <v>08.12.2025 20:15:00</v>
      </c>
      <c r="V1159" s="9" t="str">
        <f>MID($A1159,C1159+C$2+1,D1159-C1159-C$2-1)</f>
        <v>0</v>
      </c>
      <c r="W1159" s="4">
        <f>VALUE(SUBSTITUTE(MID($A1159,D1159+D$2+1,E1159-D1159-D$2-1),",","."))</f>
        <v>0</v>
      </c>
      <c r="X1159" s="4">
        <f>VALUE(SUBSTITUTE(MID($A1159,E1159+E$2+1,F1159-E1159-E$2-1),",","."))</f>
        <v>0.90957602214449496</v>
      </c>
      <c r="Y1159" s="4">
        <f>VALUE(SUBSTITUTE(MID($A1159,F1159+F$2+1,G1159-F1159-F$2-1),",","."))</f>
        <v>0</v>
      </c>
      <c r="Z1159" s="3">
        <f>VALUE(SUBSTITUTE(MID($A1159,G1159+G$2+1,H1159-G1159-G$2-1),",","."))</f>
        <v>0</v>
      </c>
      <c r="AA1159" s="3">
        <f>VALUE(SUBSTITUTE(MID($A1159,H1159+H$2+1,I1159-H1159-H$2-1),",","."))</f>
        <v>0</v>
      </c>
      <c r="AB1159" s="3">
        <f>VALUE(SUBSTITUTE(MID($A1159,I1159+I$2+1,J1159-I1159-I$2-1),",","."))</f>
        <v>0</v>
      </c>
      <c r="AC1159" s="3">
        <f>VALUE(SUBSTITUTE(MID($A1159,J1159+J$2+1,K1159-J1159-J$2-1),",","."))</f>
        <v>0.75</v>
      </c>
      <c r="AD1159" s="3">
        <f>VALUE(SUBSTITUTE(MID($A1159,K1159+K$2+1,L1159-K1159-K$2-1),",","."))</f>
        <v>21.42</v>
      </c>
      <c r="AE1159" s="3">
        <f>VALUE(SUBSTITUTE(MID($A1159,L1159+L$2+1,M1159-L1159-L$2-1),",","."))</f>
        <v>0</v>
      </c>
      <c r="AF1159" s="3">
        <f>VALUE(SUBSTITUTE(MID($A1159,M1159+M$2+1,N1159-M1159-M$2-1),",","."))</f>
        <v>0</v>
      </c>
      <c r="AG1159" s="3">
        <f>VALUE(SUBSTITUTE(MID($A1159,N1159+N$2+1,O1159-N1159-N$2-1),",","."))</f>
        <v>4.2364297353007503</v>
      </c>
      <c r="AH1159" t="str">
        <f>MID($A1159,O1159+O$2+1,P1159-O1159-O$2-1)</f>
        <v/>
      </c>
      <c r="AI1159" s="8" t="str">
        <f>MID($A1159,P1159+P$2+1,Q1159-P1159-P$2-1)</f>
        <v>False</v>
      </c>
      <c r="AK1159" t="b">
        <f t="shared" si="158"/>
        <v>0</v>
      </c>
    </row>
    <row r="1160" spans="1:37" x14ac:dyDescent="0.35">
      <c r="A1160" t="s">
        <v>5707</v>
      </c>
      <c r="B1160">
        <f t="shared" si="154"/>
        <v>10</v>
      </c>
      <c r="C1160">
        <f t="shared" si="154"/>
        <v>43</v>
      </c>
      <c r="D1160">
        <f t="shared" si="154"/>
        <v>54</v>
      </c>
      <c r="E1160">
        <f t="shared" si="154"/>
        <v>80</v>
      </c>
      <c r="F1160">
        <f t="shared" si="154"/>
        <v>124</v>
      </c>
      <c r="G1160">
        <f t="shared" si="154"/>
        <v>145</v>
      </c>
      <c r="H1160">
        <f t="shared" si="154"/>
        <v>177</v>
      </c>
      <c r="I1160">
        <f t="shared" si="153"/>
        <v>199</v>
      </c>
      <c r="J1160">
        <f t="shared" si="153"/>
        <v>232</v>
      </c>
      <c r="K1160">
        <f t="shared" si="153"/>
        <v>251</v>
      </c>
      <c r="L1160">
        <f t="shared" si="153"/>
        <v>269</v>
      </c>
      <c r="M1160">
        <f t="shared" si="153"/>
        <v>284</v>
      </c>
      <c r="N1160">
        <f t="shared" si="152"/>
        <v>296</v>
      </c>
      <c r="O1160">
        <f t="shared" si="152"/>
        <v>320</v>
      </c>
      <c r="P1160">
        <f t="shared" si="152"/>
        <v>338</v>
      </c>
      <c r="Q1160">
        <f t="shared" si="152"/>
        <v>364</v>
      </c>
      <c r="S1160" t="str">
        <f t="shared" si="155"/>
        <v>08.12.2025</v>
      </c>
      <c r="T1160" t="str">
        <f t="shared" si="156"/>
        <v>20:30:00</v>
      </c>
      <c r="U1160" t="str">
        <f t="shared" si="157"/>
        <v>08.12.2025 20:30:00</v>
      </c>
      <c r="V1160" s="9" t="str">
        <f>MID($A1160,C1160+C$2+1,D1160-C1160-C$2-1)</f>
        <v>0</v>
      </c>
      <c r="W1160" s="4">
        <f>VALUE(SUBSTITUTE(MID($A1160,D1160+D$2+1,E1160-D1160-D$2-1),",","."))</f>
        <v>0</v>
      </c>
      <c r="X1160" s="4">
        <f>VALUE(SUBSTITUTE(MID($A1160,E1160+E$2+1,F1160-E1160-E$2-1),",","."))</f>
        <v>0.90957602214449496</v>
      </c>
      <c r="Y1160" s="4">
        <f>VALUE(SUBSTITUTE(MID($A1160,F1160+F$2+1,G1160-F1160-F$2-1),",","."))</f>
        <v>0</v>
      </c>
      <c r="Z1160" s="3">
        <f>VALUE(SUBSTITUTE(MID($A1160,G1160+G$2+1,H1160-G1160-G$2-1),",","."))</f>
        <v>0</v>
      </c>
      <c r="AA1160" s="3">
        <f>VALUE(SUBSTITUTE(MID($A1160,H1160+H$2+1,I1160-H1160-H$2-1),",","."))</f>
        <v>0</v>
      </c>
      <c r="AB1160" s="3">
        <f>VALUE(SUBSTITUTE(MID($A1160,I1160+I$2+1,J1160-I1160-I$2-1),",","."))</f>
        <v>0</v>
      </c>
      <c r="AC1160" s="3">
        <f>VALUE(SUBSTITUTE(MID($A1160,J1160+J$2+1,K1160-J1160-J$2-1),",","."))</f>
        <v>0.8</v>
      </c>
      <c r="AD1160" s="3">
        <f>VALUE(SUBSTITUTE(MID($A1160,K1160+K$2+1,L1160-K1160-K$2-1),",","."))</f>
        <v>22.5</v>
      </c>
      <c r="AE1160" s="3">
        <f>VALUE(SUBSTITUTE(MID($A1160,L1160+L$2+1,M1160-L1160-L$2-1),",","."))</f>
        <v>0</v>
      </c>
      <c r="AF1160" s="3">
        <f>VALUE(SUBSTITUTE(MID($A1160,M1160+M$2+1,N1160-M1160-M$2-1),",","."))</f>
        <v>0</v>
      </c>
      <c r="AG1160" s="3">
        <f>VALUE(SUBSTITUTE(MID($A1160,N1160+N$2+1,O1160-N1160-N$2-1),",","."))</f>
        <v>4.2364582551888397</v>
      </c>
      <c r="AH1160" t="str">
        <f>MID($A1160,O1160+O$2+1,P1160-O1160-O$2-1)</f>
        <v/>
      </c>
      <c r="AI1160" s="8" t="str">
        <f>MID($A1160,P1160+P$2+1,Q1160-P1160-P$2-1)</f>
        <v>False</v>
      </c>
      <c r="AK1160" t="b">
        <f t="shared" si="158"/>
        <v>0</v>
      </c>
    </row>
    <row r="1161" spans="1:37" x14ac:dyDescent="0.35">
      <c r="A1161" t="s">
        <v>5708</v>
      </c>
      <c r="B1161">
        <f t="shared" si="154"/>
        <v>10</v>
      </c>
      <c r="C1161">
        <f t="shared" si="154"/>
        <v>43</v>
      </c>
      <c r="D1161">
        <f t="shared" si="154"/>
        <v>54</v>
      </c>
      <c r="E1161">
        <f t="shared" si="154"/>
        <v>80</v>
      </c>
      <c r="F1161">
        <f t="shared" si="154"/>
        <v>124</v>
      </c>
      <c r="G1161">
        <f t="shared" si="154"/>
        <v>145</v>
      </c>
      <c r="H1161">
        <f t="shared" si="154"/>
        <v>177</v>
      </c>
      <c r="I1161">
        <f t="shared" si="153"/>
        <v>199</v>
      </c>
      <c r="J1161">
        <f t="shared" si="153"/>
        <v>232</v>
      </c>
      <c r="K1161">
        <f t="shared" si="153"/>
        <v>251</v>
      </c>
      <c r="L1161">
        <f t="shared" si="153"/>
        <v>269</v>
      </c>
      <c r="M1161">
        <f t="shared" si="153"/>
        <v>284</v>
      </c>
      <c r="N1161">
        <f t="shared" si="152"/>
        <v>296</v>
      </c>
      <c r="O1161">
        <f t="shared" si="152"/>
        <v>321</v>
      </c>
      <c r="P1161">
        <f t="shared" si="152"/>
        <v>339</v>
      </c>
      <c r="Q1161">
        <f t="shared" si="152"/>
        <v>365</v>
      </c>
      <c r="S1161" t="str">
        <f t="shared" si="155"/>
        <v>08.12.2025</v>
      </c>
      <c r="T1161" t="str">
        <f t="shared" si="156"/>
        <v>20:45:00</v>
      </c>
      <c r="U1161" t="str">
        <f t="shared" si="157"/>
        <v>08.12.2025 20:45:00</v>
      </c>
      <c r="V1161" s="9" t="str">
        <f>MID($A1161,C1161+C$2+1,D1161-C1161-C$2-1)</f>
        <v>0</v>
      </c>
      <c r="W1161" s="4">
        <f>VALUE(SUBSTITUTE(MID($A1161,D1161+D$2+1,E1161-D1161-D$2-1),",","."))</f>
        <v>0</v>
      </c>
      <c r="X1161" s="4">
        <f>VALUE(SUBSTITUTE(MID($A1161,E1161+E$2+1,F1161-E1161-E$2-1),",","."))</f>
        <v>0.90957602214449496</v>
      </c>
      <c r="Y1161" s="4">
        <f>VALUE(SUBSTITUTE(MID($A1161,F1161+F$2+1,G1161-F1161-F$2-1),",","."))</f>
        <v>0</v>
      </c>
      <c r="Z1161" s="3">
        <f>VALUE(SUBSTITUTE(MID($A1161,G1161+G$2+1,H1161-G1161-G$2-1),",","."))</f>
        <v>0</v>
      </c>
      <c r="AA1161" s="3">
        <f>VALUE(SUBSTITUTE(MID($A1161,H1161+H$2+1,I1161-H1161-H$2-1),",","."))</f>
        <v>0</v>
      </c>
      <c r="AB1161" s="3">
        <f>VALUE(SUBSTITUTE(MID($A1161,I1161+I$2+1,J1161-I1161-I$2-1),",","."))</f>
        <v>0</v>
      </c>
      <c r="AC1161" s="3">
        <f>VALUE(SUBSTITUTE(MID($A1161,J1161+J$2+1,K1161-J1161-J$2-1),",","."))</f>
        <v>0.8</v>
      </c>
      <c r="AD1161" s="3">
        <f>VALUE(SUBSTITUTE(MID($A1161,K1161+K$2+1,L1161-K1161-K$2-1),",","."))</f>
        <v>22.5</v>
      </c>
      <c r="AE1161" s="3">
        <f>VALUE(SUBSTITUTE(MID($A1161,L1161+L$2+1,M1161-L1161-L$2-1),",","."))</f>
        <v>0</v>
      </c>
      <c r="AF1161" s="3">
        <f>VALUE(SUBSTITUTE(MID($A1161,M1161+M$2+1,N1161-M1161-M$2-1),",","."))</f>
        <v>0</v>
      </c>
      <c r="AG1161" s="3">
        <f>VALUE(SUBSTITUTE(MID($A1161,N1161+N$2+1,O1161-N1161-N$2-1),",","."))</f>
        <v>4.2364867750769202</v>
      </c>
      <c r="AH1161" t="str">
        <f>MID($A1161,O1161+O$2+1,P1161-O1161-O$2-1)</f>
        <v/>
      </c>
      <c r="AI1161" s="8" t="str">
        <f>MID($A1161,P1161+P$2+1,Q1161-P1161-P$2-1)</f>
        <v>False</v>
      </c>
      <c r="AK1161" t="b">
        <f t="shared" si="158"/>
        <v>0</v>
      </c>
    </row>
    <row r="1162" spans="1:37" x14ac:dyDescent="0.35">
      <c r="A1162" t="s">
        <v>5709</v>
      </c>
      <c r="B1162">
        <f t="shared" si="154"/>
        <v>10</v>
      </c>
      <c r="C1162">
        <f t="shared" si="154"/>
        <v>43</v>
      </c>
      <c r="D1162">
        <f t="shared" si="154"/>
        <v>54</v>
      </c>
      <c r="E1162">
        <f t="shared" si="154"/>
        <v>80</v>
      </c>
      <c r="F1162">
        <f t="shared" si="154"/>
        <v>124</v>
      </c>
      <c r="G1162">
        <f t="shared" si="154"/>
        <v>145</v>
      </c>
      <c r="H1162">
        <f t="shared" si="154"/>
        <v>177</v>
      </c>
      <c r="I1162">
        <f t="shared" si="153"/>
        <v>199</v>
      </c>
      <c r="J1162">
        <f t="shared" si="153"/>
        <v>232</v>
      </c>
      <c r="K1162">
        <f t="shared" si="153"/>
        <v>251</v>
      </c>
      <c r="L1162">
        <f t="shared" si="153"/>
        <v>269</v>
      </c>
      <c r="M1162">
        <f t="shared" si="153"/>
        <v>284</v>
      </c>
      <c r="N1162">
        <f t="shared" si="152"/>
        <v>296</v>
      </c>
      <c r="O1162">
        <f t="shared" si="152"/>
        <v>322</v>
      </c>
      <c r="P1162">
        <f t="shared" si="152"/>
        <v>340</v>
      </c>
      <c r="Q1162">
        <f t="shared" si="152"/>
        <v>366</v>
      </c>
      <c r="S1162" t="str">
        <f t="shared" si="155"/>
        <v>08.12.2025</v>
      </c>
      <c r="T1162" t="str">
        <f t="shared" si="156"/>
        <v>21:00:00</v>
      </c>
      <c r="U1162" t="str">
        <f t="shared" si="157"/>
        <v>08.12.2025 21:00:00</v>
      </c>
      <c r="V1162" s="9" t="str">
        <f>MID($A1162,C1162+C$2+1,D1162-C1162-C$2-1)</f>
        <v>0</v>
      </c>
      <c r="W1162" s="4">
        <f>VALUE(SUBSTITUTE(MID($A1162,D1162+D$2+1,E1162-D1162-D$2-1),",","."))</f>
        <v>0</v>
      </c>
      <c r="X1162" s="4">
        <f>VALUE(SUBSTITUTE(MID($A1162,E1162+E$2+1,F1162-E1162-E$2-1),",","."))</f>
        <v>0.90957602214449496</v>
      </c>
      <c r="Y1162" s="4">
        <f>VALUE(SUBSTITUTE(MID($A1162,F1162+F$2+1,G1162-F1162-F$2-1),",","."))</f>
        <v>0</v>
      </c>
      <c r="Z1162" s="3">
        <f>VALUE(SUBSTITUTE(MID($A1162,G1162+G$2+1,H1162-G1162-G$2-1),",","."))</f>
        <v>0</v>
      </c>
      <c r="AA1162" s="3">
        <f>VALUE(SUBSTITUTE(MID($A1162,H1162+H$2+1,I1162-H1162-H$2-1),",","."))</f>
        <v>0</v>
      </c>
      <c r="AB1162" s="3">
        <f>VALUE(SUBSTITUTE(MID($A1162,I1162+I$2+1,J1162-I1162-I$2-1),",","."))</f>
        <v>0</v>
      </c>
      <c r="AC1162" s="3">
        <f>VALUE(SUBSTITUTE(MID($A1162,J1162+J$2+1,K1162-J1162-J$2-1),",","."))</f>
        <v>0.8</v>
      </c>
      <c r="AD1162" s="3">
        <f>VALUE(SUBSTITUTE(MID($A1162,K1162+K$2+1,L1162-K1162-K$2-1),",","."))</f>
        <v>22.5</v>
      </c>
      <c r="AE1162" s="3">
        <f>VALUE(SUBSTITUTE(MID($A1162,L1162+L$2+1,M1162-L1162-L$2-1),",","."))</f>
        <v>0</v>
      </c>
      <c r="AF1162" s="3">
        <f>VALUE(SUBSTITUTE(MID($A1162,M1162+M$2+1,N1162-M1162-M$2-1),",","."))</f>
        <v>0</v>
      </c>
      <c r="AG1162" s="3">
        <f>VALUE(SUBSTITUTE(MID($A1162,N1162+N$2+1,O1162-N1162-N$2-1),",","."))</f>
        <v>4.2365152949649998</v>
      </c>
      <c r="AH1162" t="str">
        <f>MID($A1162,O1162+O$2+1,P1162-O1162-O$2-1)</f>
        <v/>
      </c>
      <c r="AI1162" s="8" t="str">
        <f>MID($A1162,P1162+P$2+1,Q1162-P1162-P$2-1)</f>
        <v>False</v>
      </c>
      <c r="AK1162" t="b">
        <f t="shared" si="158"/>
        <v>0</v>
      </c>
    </row>
    <row r="1163" spans="1:37" x14ac:dyDescent="0.35">
      <c r="A1163" t="s">
        <v>5710</v>
      </c>
      <c r="B1163">
        <f t="shared" si="154"/>
        <v>10</v>
      </c>
      <c r="C1163">
        <f t="shared" si="154"/>
        <v>43</v>
      </c>
      <c r="D1163">
        <f t="shared" si="154"/>
        <v>54</v>
      </c>
      <c r="E1163">
        <f t="shared" si="154"/>
        <v>80</v>
      </c>
      <c r="F1163">
        <f t="shared" si="154"/>
        <v>124</v>
      </c>
      <c r="G1163">
        <f t="shared" si="154"/>
        <v>145</v>
      </c>
      <c r="H1163">
        <f t="shared" si="154"/>
        <v>177</v>
      </c>
      <c r="I1163">
        <f t="shared" si="153"/>
        <v>199</v>
      </c>
      <c r="J1163">
        <f t="shared" si="153"/>
        <v>232</v>
      </c>
      <c r="K1163">
        <f t="shared" si="153"/>
        <v>251</v>
      </c>
      <c r="L1163">
        <f t="shared" si="153"/>
        <v>269</v>
      </c>
      <c r="M1163">
        <f t="shared" si="153"/>
        <v>284</v>
      </c>
      <c r="N1163">
        <f t="shared" si="152"/>
        <v>296</v>
      </c>
      <c r="O1163">
        <f t="shared" si="152"/>
        <v>321</v>
      </c>
      <c r="P1163">
        <f t="shared" si="152"/>
        <v>339</v>
      </c>
      <c r="Q1163">
        <f t="shared" si="152"/>
        <v>365</v>
      </c>
      <c r="S1163" t="str">
        <f t="shared" si="155"/>
        <v>08.12.2025</v>
      </c>
      <c r="T1163" t="str">
        <f t="shared" si="156"/>
        <v>21:15:00</v>
      </c>
      <c r="U1163" t="str">
        <f t="shared" si="157"/>
        <v>08.12.2025 21:15:00</v>
      </c>
      <c r="V1163" s="9" t="str">
        <f>MID($A1163,C1163+C$2+1,D1163-C1163-C$2-1)</f>
        <v>0</v>
      </c>
      <c r="W1163" s="4">
        <f>VALUE(SUBSTITUTE(MID($A1163,D1163+D$2+1,E1163-D1163-D$2-1),",","."))</f>
        <v>0</v>
      </c>
      <c r="X1163" s="4">
        <f>VALUE(SUBSTITUTE(MID($A1163,E1163+E$2+1,F1163-E1163-E$2-1),",","."))</f>
        <v>0.90957602214449496</v>
      </c>
      <c r="Y1163" s="4">
        <f>VALUE(SUBSTITUTE(MID($A1163,F1163+F$2+1,G1163-F1163-F$2-1),",","."))</f>
        <v>0</v>
      </c>
      <c r="Z1163" s="3">
        <f>VALUE(SUBSTITUTE(MID($A1163,G1163+G$2+1,H1163-G1163-G$2-1),",","."))</f>
        <v>0</v>
      </c>
      <c r="AA1163" s="3">
        <f>VALUE(SUBSTITUTE(MID($A1163,H1163+H$2+1,I1163-H1163-H$2-1),",","."))</f>
        <v>0</v>
      </c>
      <c r="AB1163" s="3">
        <f>VALUE(SUBSTITUTE(MID($A1163,I1163+I$2+1,J1163-I1163-I$2-1),",","."))</f>
        <v>0</v>
      </c>
      <c r="AC1163" s="3">
        <f>VALUE(SUBSTITUTE(MID($A1163,J1163+J$2+1,K1163-J1163-J$2-1),",","."))</f>
        <v>0.8</v>
      </c>
      <c r="AD1163" s="3">
        <f>VALUE(SUBSTITUTE(MID($A1163,K1163+K$2+1,L1163-K1163-K$2-1),",","."))</f>
        <v>22.5</v>
      </c>
      <c r="AE1163" s="3">
        <f>VALUE(SUBSTITUTE(MID($A1163,L1163+L$2+1,M1163-L1163-L$2-1),",","."))</f>
        <v>0</v>
      </c>
      <c r="AF1163" s="3">
        <f>VALUE(SUBSTITUTE(MID($A1163,M1163+M$2+1,N1163-M1163-M$2-1),",","."))</f>
        <v>0</v>
      </c>
      <c r="AG1163" s="3">
        <f>VALUE(SUBSTITUTE(MID($A1163,N1163+N$2+1,O1163-N1163-N$2-1),",","."))</f>
        <v>4.2365438148530803</v>
      </c>
      <c r="AH1163" t="str">
        <f>MID($A1163,O1163+O$2+1,P1163-O1163-O$2-1)</f>
        <v/>
      </c>
      <c r="AI1163" s="8" t="str">
        <f>MID($A1163,P1163+P$2+1,Q1163-P1163-P$2-1)</f>
        <v>False</v>
      </c>
      <c r="AK1163" t="b">
        <f t="shared" si="158"/>
        <v>0</v>
      </c>
    </row>
    <row r="1164" spans="1:37" x14ac:dyDescent="0.35">
      <c r="A1164" t="s">
        <v>5711</v>
      </c>
      <c r="B1164">
        <f t="shared" si="154"/>
        <v>10</v>
      </c>
      <c r="C1164">
        <f t="shared" si="154"/>
        <v>43</v>
      </c>
      <c r="D1164">
        <f t="shared" si="154"/>
        <v>54</v>
      </c>
      <c r="E1164">
        <f t="shared" si="154"/>
        <v>80</v>
      </c>
      <c r="F1164">
        <f t="shared" si="154"/>
        <v>124</v>
      </c>
      <c r="G1164">
        <f t="shared" si="154"/>
        <v>145</v>
      </c>
      <c r="H1164">
        <f t="shared" si="154"/>
        <v>177</v>
      </c>
      <c r="I1164">
        <f t="shared" si="153"/>
        <v>199</v>
      </c>
      <c r="J1164">
        <f t="shared" si="153"/>
        <v>232</v>
      </c>
      <c r="K1164">
        <f t="shared" si="153"/>
        <v>252</v>
      </c>
      <c r="L1164">
        <f t="shared" si="153"/>
        <v>271</v>
      </c>
      <c r="M1164">
        <f t="shared" si="153"/>
        <v>286</v>
      </c>
      <c r="N1164">
        <f t="shared" si="152"/>
        <v>298</v>
      </c>
      <c r="O1164">
        <f t="shared" si="152"/>
        <v>323</v>
      </c>
      <c r="P1164">
        <f t="shared" si="152"/>
        <v>341</v>
      </c>
      <c r="Q1164">
        <f t="shared" si="152"/>
        <v>367</v>
      </c>
      <c r="S1164" t="str">
        <f t="shared" si="155"/>
        <v>08.12.2025</v>
      </c>
      <c r="T1164" t="str">
        <f t="shared" si="156"/>
        <v>21:30:00</v>
      </c>
      <c r="U1164" t="str">
        <f t="shared" si="157"/>
        <v>08.12.2025 21:30:00</v>
      </c>
      <c r="V1164" s="9" t="str">
        <f>MID($A1164,C1164+C$2+1,D1164-C1164-C$2-1)</f>
        <v>0</v>
      </c>
      <c r="W1164" s="4">
        <f>VALUE(SUBSTITUTE(MID($A1164,D1164+D$2+1,E1164-D1164-D$2-1),",","."))</f>
        <v>0</v>
      </c>
      <c r="X1164" s="4">
        <f>VALUE(SUBSTITUTE(MID($A1164,E1164+E$2+1,F1164-E1164-E$2-1),",","."))</f>
        <v>0.90957602214449496</v>
      </c>
      <c r="Y1164" s="4">
        <f>VALUE(SUBSTITUTE(MID($A1164,F1164+F$2+1,G1164-F1164-F$2-1),",","."))</f>
        <v>0</v>
      </c>
      <c r="Z1164" s="3">
        <f>VALUE(SUBSTITUTE(MID($A1164,G1164+G$2+1,H1164-G1164-G$2-1),",","."))</f>
        <v>0</v>
      </c>
      <c r="AA1164" s="3">
        <f>VALUE(SUBSTITUTE(MID($A1164,H1164+H$2+1,I1164-H1164-H$2-1),",","."))</f>
        <v>0</v>
      </c>
      <c r="AB1164" s="3">
        <f>VALUE(SUBSTITUTE(MID($A1164,I1164+I$2+1,J1164-I1164-I$2-1),",","."))</f>
        <v>0</v>
      </c>
      <c r="AC1164" s="3">
        <f>VALUE(SUBSTITUTE(MID($A1164,J1164+J$2+1,K1164-J1164-J$2-1),",","."))</f>
        <v>0.85</v>
      </c>
      <c r="AD1164" s="3">
        <f>VALUE(SUBSTITUTE(MID($A1164,K1164+K$2+1,L1164-K1164-K$2-1),",","."))</f>
        <v>23.76</v>
      </c>
      <c r="AE1164" s="3">
        <f>VALUE(SUBSTITUTE(MID($A1164,L1164+L$2+1,M1164-L1164-L$2-1),",","."))</f>
        <v>0</v>
      </c>
      <c r="AF1164" s="3">
        <f>VALUE(SUBSTITUTE(MID($A1164,M1164+M$2+1,N1164-M1164-M$2-1),",","."))</f>
        <v>0</v>
      </c>
      <c r="AG1164" s="3">
        <f>VALUE(SUBSTITUTE(MID($A1164,N1164+N$2+1,O1164-N1164-N$2-1),",","."))</f>
        <v>4.2365723347411599</v>
      </c>
      <c r="AH1164" t="str">
        <f>MID($A1164,O1164+O$2+1,P1164-O1164-O$2-1)</f>
        <v/>
      </c>
      <c r="AI1164" s="8" t="str">
        <f>MID($A1164,P1164+P$2+1,Q1164-P1164-P$2-1)</f>
        <v>False</v>
      </c>
      <c r="AK1164" t="b">
        <f t="shared" si="158"/>
        <v>0</v>
      </c>
    </row>
    <row r="1165" spans="1:37" x14ac:dyDescent="0.35">
      <c r="A1165" t="s">
        <v>5712</v>
      </c>
      <c r="B1165">
        <f t="shared" si="154"/>
        <v>10</v>
      </c>
      <c r="C1165">
        <f t="shared" si="154"/>
        <v>43</v>
      </c>
      <c r="D1165">
        <f t="shared" si="154"/>
        <v>54</v>
      </c>
      <c r="E1165">
        <f t="shared" si="154"/>
        <v>80</v>
      </c>
      <c r="F1165">
        <f t="shared" si="154"/>
        <v>124</v>
      </c>
      <c r="G1165">
        <f t="shared" si="154"/>
        <v>145</v>
      </c>
      <c r="H1165">
        <f t="shared" si="154"/>
        <v>177</v>
      </c>
      <c r="I1165">
        <f t="shared" si="153"/>
        <v>199</v>
      </c>
      <c r="J1165">
        <f t="shared" si="153"/>
        <v>232</v>
      </c>
      <c r="K1165">
        <f t="shared" si="153"/>
        <v>252</v>
      </c>
      <c r="L1165">
        <f t="shared" si="153"/>
        <v>271</v>
      </c>
      <c r="M1165">
        <f t="shared" si="153"/>
        <v>286</v>
      </c>
      <c r="N1165">
        <f t="shared" si="152"/>
        <v>298</v>
      </c>
      <c r="O1165">
        <f t="shared" si="152"/>
        <v>324</v>
      </c>
      <c r="P1165">
        <f t="shared" si="152"/>
        <v>342</v>
      </c>
      <c r="Q1165">
        <f t="shared" si="152"/>
        <v>368</v>
      </c>
      <c r="S1165" t="str">
        <f t="shared" si="155"/>
        <v>08.12.2025</v>
      </c>
      <c r="T1165" t="str">
        <f t="shared" si="156"/>
        <v>21:45:00</v>
      </c>
      <c r="U1165" t="str">
        <f t="shared" si="157"/>
        <v>08.12.2025 21:45:00</v>
      </c>
      <c r="V1165" s="9" t="str">
        <f>MID($A1165,C1165+C$2+1,D1165-C1165-C$2-1)</f>
        <v>0</v>
      </c>
      <c r="W1165" s="4">
        <f>VALUE(SUBSTITUTE(MID($A1165,D1165+D$2+1,E1165-D1165-D$2-1),",","."))</f>
        <v>0</v>
      </c>
      <c r="X1165" s="4">
        <f>VALUE(SUBSTITUTE(MID($A1165,E1165+E$2+1,F1165-E1165-E$2-1),",","."))</f>
        <v>0.90957602214449496</v>
      </c>
      <c r="Y1165" s="4">
        <f>VALUE(SUBSTITUTE(MID($A1165,F1165+F$2+1,G1165-F1165-F$2-1),",","."))</f>
        <v>0</v>
      </c>
      <c r="Z1165" s="3">
        <f>VALUE(SUBSTITUTE(MID($A1165,G1165+G$2+1,H1165-G1165-G$2-1),",","."))</f>
        <v>0</v>
      </c>
      <c r="AA1165" s="3">
        <f>VALUE(SUBSTITUTE(MID($A1165,H1165+H$2+1,I1165-H1165-H$2-1),",","."))</f>
        <v>0</v>
      </c>
      <c r="AB1165" s="3">
        <f>VALUE(SUBSTITUTE(MID($A1165,I1165+I$2+1,J1165-I1165-I$2-1),",","."))</f>
        <v>0</v>
      </c>
      <c r="AC1165" s="3">
        <f>VALUE(SUBSTITUTE(MID($A1165,J1165+J$2+1,K1165-J1165-J$2-1),",","."))</f>
        <v>0.85</v>
      </c>
      <c r="AD1165" s="3">
        <f>VALUE(SUBSTITUTE(MID($A1165,K1165+K$2+1,L1165-K1165-K$2-1),",","."))</f>
        <v>23.76</v>
      </c>
      <c r="AE1165" s="3">
        <f>VALUE(SUBSTITUTE(MID($A1165,L1165+L$2+1,M1165-L1165-L$2-1),",","."))</f>
        <v>0</v>
      </c>
      <c r="AF1165" s="3">
        <f>VALUE(SUBSTITUTE(MID($A1165,M1165+M$2+1,N1165-M1165-M$2-1),",","."))</f>
        <v>0</v>
      </c>
      <c r="AG1165" s="3">
        <f>VALUE(SUBSTITUTE(MID($A1165,N1165+N$2+1,O1165-N1165-N$2-1),",","."))</f>
        <v>4.2366008546292404</v>
      </c>
      <c r="AH1165" t="str">
        <f>MID($A1165,O1165+O$2+1,P1165-O1165-O$2-1)</f>
        <v/>
      </c>
      <c r="AI1165" s="8" t="str">
        <f>MID($A1165,P1165+P$2+1,Q1165-P1165-P$2-1)</f>
        <v>False</v>
      </c>
      <c r="AK1165" t="b">
        <f t="shared" si="158"/>
        <v>0</v>
      </c>
    </row>
    <row r="1166" spans="1:37" x14ac:dyDescent="0.35">
      <c r="A1166" t="s">
        <v>5713</v>
      </c>
      <c r="B1166">
        <f t="shared" si="154"/>
        <v>10</v>
      </c>
      <c r="C1166">
        <f t="shared" si="154"/>
        <v>43</v>
      </c>
      <c r="D1166">
        <f t="shared" si="154"/>
        <v>54</v>
      </c>
      <c r="E1166">
        <f t="shared" si="154"/>
        <v>80</v>
      </c>
      <c r="F1166">
        <f t="shared" si="154"/>
        <v>124</v>
      </c>
      <c r="G1166">
        <f t="shared" si="154"/>
        <v>145</v>
      </c>
      <c r="H1166">
        <f t="shared" si="154"/>
        <v>177</v>
      </c>
      <c r="I1166">
        <f t="shared" si="153"/>
        <v>199</v>
      </c>
      <c r="J1166">
        <f t="shared" si="153"/>
        <v>232</v>
      </c>
      <c r="K1166">
        <f t="shared" si="153"/>
        <v>252</v>
      </c>
      <c r="L1166">
        <f t="shared" si="153"/>
        <v>271</v>
      </c>
      <c r="M1166">
        <f t="shared" si="153"/>
        <v>286</v>
      </c>
      <c r="N1166">
        <f t="shared" si="152"/>
        <v>298</v>
      </c>
      <c r="O1166">
        <f t="shared" si="152"/>
        <v>323</v>
      </c>
      <c r="P1166">
        <f t="shared" si="152"/>
        <v>341</v>
      </c>
      <c r="Q1166">
        <f t="shared" si="152"/>
        <v>367</v>
      </c>
      <c r="S1166" t="str">
        <f t="shared" si="155"/>
        <v>08.12.2025</v>
      </c>
      <c r="T1166" t="str">
        <f t="shared" si="156"/>
        <v>22:00:00</v>
      </c>
      <c r="U1166" t="str">
        <f t="shared" si="157"/>
        <v>08.12.2025 22:00:00</v>
      </c>
      <c r="V1166" s="9" t="str">
        <f>MID($A1166,C1166+C$2+1,D1166-C1166-C$2-1)</f>
        <v>0</v>
      </c>
      <c r="W1166" s="4">
        <f>VALUE(SUBSTITUTE(MID($A1166,D1166+D$2+1,E1166-D1166-D$2-1),",","."))</f>
        <v>0</v>
      </c>
      <c r="X1166" s="4">
        <f>VALUE(SUBSTITUTE(MID($A1166,E1166+E$2+1,F1166-E1166-E$2-1),",","."))</f>
        <v>0.90957602214449496</v>
      </c>
      <c r="Y1166" s="4">
        <f>VALUE(SUBSTITUTE(MID($A1166,F1166+F$2+1,G1166-F1166-F$2-1),",","."))</f>
        <v>0</v>
      </c>
      <c r="Z1166" s="3">
        <f>VALUE(SUBSTITUTE(MID($A1166,G1166+G$2+1,H1166-G1166-G$2-1),",","."))</f>
        <v>0</v>
      </c>
      <c r="AA1166" s="3">
        <f>VALUE(SUBSTITUTE(MID($A1166,H1166+H$2+1,I1166-H1166-H$2-1),",","."))</f>
        <v>0</v>
      </c>
      <c r="AB1166" s="3">
        <f>VALUE(SUBSTITUTE(MID($A1166,I1166+I$2+1,J1166-I1166-I$2-1),",","."))</f>
        <v>0</v>
      </c>
      <c r="AC1166" s="3">
        <f>VALUE(SUBSTITUTE(MID($A1166,J1166+J$2+1,K1166-J1166-J$2-1),",","."))</f>
        <v>0.85</v>
      </c>
      <c r="AD1166" s="3">
        <f>VALUE(SUBSTITUTE(MID($A1166,K1166+K$2+1,L1166-K1166-K$2-1),",","."))</f>
        <v>23.76</v>
      </c>
      <c r="AE1166" s="3">
        <f>VALUE(SUBSTITUTE(MID($A1166,L1166+L$2+1,M1166-L1166-L$2-1),",","."))</f>
        <v>0</v>
      </c>
      <c r="AF1166" s="3">
        <f>VALUE(SUBSTITUTE(MID($A1166,M1166+M$2+1,N1166-M1166-M$2-1),",","."))</f>
        <v>0</v>
      </c>
      <c r="AG1166" s="3">
        <f>VALUE(SUBSTITUTE(MID($A1166,N1166+N$2+1,O1166-N1166-N$2-1),",","."))</f>
        <v>4.23662937451732</v>
      </c>
      <c r="AH1166" t="str">
        <f>MID($A1166,O1166+O$2+1,P1166-O1166-O$2-1)</f>
        <v/>
      </c>
      <c r="AI1166" s="8" t="str">
        <f>MID($A1166,P1166+P$2+1,Q1166-P1166-P$2-1)</f>
        <v>False</v>
      </c>
      <c r="AK1166" t="b">
        <f t="shared" si="158"/>
        <v>0</v>
      </c>
    </row>
    <row r="1167" spans="1:37" x14ac:dyDescent="0.35">
      <c r="A1167" t="s">
        <v>5714</v>
      </c>
      <c r="B1167">
        <f t="shared" si="154"/>
        <v>10</v>
      </c>
      <c r="C1167">
        <f t="shared" si="154"/>
        <v>43</v>
      </c>
      <c r="D1167">
        <f t="shared" si="154"/>
        <v>54</v>
      </c>
      <c r="E1167">
        <f t="shared" ref="E1167:Q1198" si="159">FIND(E$1,$A1167)</f>
        <v>80</v>
      </c>
      <c r="F1167">
        <f t="shared" si="159"/>
        <v>124</v>
      </c>
      <c r="G1167">
        <f t="shared" si="159"/>
        <v>145</v>
      </c>
      <c r="H1167">
        <f t="shared" si="159"/>
        <v>177</v>
      </c>
      <c r="I1167">
        <f t="shared" si="153"/>
        <v>199</v>
      </c>
      <c r="J1167">
        <f t="shared" si="153"/>
        <v>232</v>
      </c>
      <c r="K1167">
        <f t="shared" si="153"/>
        <v>252</v>
      </c>
      <c r="L1167">
        <f t="shared" si="153"/>
        <v>271</v>
      </c>
      <c r="M1167">
        <f t="shared" si="153"/>
        <v>286</v>
      </c>
      <c r="N1167">
        <f t="shared" si="152"/>
        <v>298</v>
      </c>
      <c r="O1167">
        <f t="shared" si="152"/>
        <v>322</v>
      </c>
      <c r="P1167">
        <f t="shared" si="152"/>
        <v>340</v>
      </c>
      <c r="Q1167">
        <f t="shared" si="152"/>
        <v>366</v>
      </c>
      <c r="S1167" t="str">
        <f t="shared" si="155"/>
        <v>08.12.2025</v>
      </c>
      <c r="T1167" t="str">
        <f t="shared" si="156"/>
        <v>22:15:00</v>
      </c>
      <c r="U1167" t="str">
        <f t="shared" si="157"/>
        <v>08.12.2025 22:15:00</v>
      </c>
      <c r="V1167" s="9" t="str">
        <f>MID($A1167,C1167+C$2+1,D1167-C1167-C$2-1)</f>
        <v>0</v>
      </c>
      <c r="W1167" s="4">
        <f>VALUE(SUBSTITUTE(MID($A1167,D1167+D$2+1,E1167-D1167-D$2-1),",","."))</f>
        <v>0</v>
      </c>
      <c r="X1167" s="4">
        <f>VALUE(SUBSTITUTE(MID($A1167,E1167+E$2+1,F1167-E1167-E$2-1),",","."))</f>
        <v>0.90957602214449496</v>
      </c>
      <c r="Y1167" s="4">
        <f>VALUE(SUBSTITUTE(MID($A1167,F1167+F$2+1,G1167-F1167-F$2-1),",","."))</f>
        <v>0</v>
      </c>
      <c r="Z1167" s="3">
        <f>VALUE(SUBSTITUTE(MID($A1167,G1167+G$2+1,H1167-G1167-G$2-1),",","."))</f>
        <v>0</v>
      </c>
      <c r="AA1167" s="3">
        <f>VALUE(SUBSTITUTE(MID($A1167,H1167+H$2+1,I1167-H1167-H$2-1),",","."))</f>
        <v>0</v>
      </c>
      <c r="AB1167" s="3">
        <f>VALUE(SUBSTITUTE(MID($A1167,I1167+I$2+1,J1167-I1167-I$2-1),",","."))</f>
        <v>0</v>
      </c>
      <c r="AC1167" s="3">
        <f>VALUE(SUBSTITUTE(MID($A1167,J1167+J$2+1,K1167-J1167-J$2-1),",","."))</f>
        <v>0.85</v>
      </c>
      <c r="AD1167" s="3">
        <f>VALUE(SUBSTITUTE(MID($A1167,K1167+K$2+1,L1167-K1167-K$2-1),",","."))</f>
        <v>23.76</v>
      </c>
      <c r="AE1167" s="3">
        <f>VALUE(SUBSTITUTE(MID($A1167,L1167+L$2+1,M1167-L1167-L$2-1),",","."))</f>
        <v>0</v>
      </c>
      <c r="AF1167" s="3">
        <f>VALUE(SUBSTITUTE(MID($A1167,M1167+M$2+1,N1167-M1167-M$2-1),",","."))</f>
        <v>0</v>
      </c>
      <c r="AG1167" s="3">
        <f>VALUE(SUBSTITUTE(MID($A1167,N1167+N$2+1,O1167-N1167-N$2-1),",","."))</f>
        <v>4.2366578944054103</v>
      </c>
      <c r="AH1167" t="str">
        <f>MID($A1167,O1167+O$2+1,P1167-O1167-O$2-1)</f>
        <v/>
      </c>
      <c r="AI1167" s="8" t="str">
        <f>MID($A1167,P1167+P$2+1,Q1167-P1167-P$2-1)</f>
        <v>False</v>
      </c>
      <c r="AK1167" t="b">
        <f t="shared" si="158"/>
        <v>0</v>
      </c>
    </row>
    <row r="1168" spans="1:37" x14ac:dyDescent="0.35">
      <c r="A1168" t="s">
        <v>5715</v>
      </c>
      <c r="B1168">
        <f t="shared" ref="B1168:H1228" si="160">FIND(B$1,$A1168)</f>
        <v>10</v>
      </c>
      <c r="C1168">
        <f t="shared" si="160"/>
        <v>43</v>
      </c>
      <c r="D1168">
        <f t="shared" si="160"/>
        <v>54</v>
      </c>
      <c r="E1168">
        <f t="shared" si="159"/>
        <v>80</v>
      </c>
      <c r="F1168">
        <f t="shared" si="159"/>
        <v>124</v>
      </c>
      <c r="G1168">
        <f t="shared" si="159"/>
        <v>145</v>
      </c>
      <c r="H1168">
        <f t="shared" si="159"/>
        <v>177</v>
      </c>
      <c r="I1168">
        <f t="shared" si="153"/>
        <v>199</v>
      </c>
      <c r="J1168">
        <f t="shared" si="153"/>
        <v>232</v>
      </c>
      <c r="K1168">
        <f t="shared" si="153"/>
        <v>252</v>
      </c>
      <c r="L1168">
        <f t="shared" si="153"/>
        <v>271</v>
      </c>
      <c r="M1168">
        <f t="shared" si="153"/>
        <v>286</v>
      </c>
      <c r="N1168">
        <f t="shared" si="152"/>
        <v>298</v>
      </c>
      <c r="O1168">
        <f t="shared" si="152"/>
        <v>323</v>
      </c>
      <c r="P1168">
        <f t="shared" si="152"/>
        <v>341</v>
      </c>
      <c r="Q1168">
        <f t="shared" si="152"/>
        <v>367</v>
      </c>
      <c r="S1168" t="str">
        <f t="shared" si="155"/>
        <v>08.12.2025</v>
      </c>
      <c r="T1168" t="str">
        <f t="shared" si="156"/>
        <v>22:30:00</v>
      </c>
      <c r="U1168" t="str">
        <f t="shared" si="157"/>
        <v>08.12.2025 22:30:00</v>
      </c>
      <c r="V1168" s="9" t="str">
        <f>MID($A1168,C1168+C$2+1,D1168-C1168-C$2-1)</f>
        <v>0</v>
      </c>
      <c r="W1168" s="4">
        <f>VALUE(SUBSTITUTE(MID($A1168,D1168+D$2+1,E1168-D1168-D$2-1),",","."))</f>
        <v>0</v>
      </c>
      <c r="X1168" s="4">
        <f>VALUE(SUBSTITUTE(MID($A1168,E1168+E$2+1,F1168-E1168-E$2-1),",","."))</f>
        <v>0.90957602214449496</v>
      </c>
      <c r="Y1168" s="4">
        <f>VALUE(SUBSTITUTE(MID($A1168,F1168+F$2+1,G1168-F1168-F$2-1),",","."))</f>
        <v>0</v>
      </c>
      <c r="Z1168" s="3">
        <f>VALUE(SUBSTITUTE(MID($A1168,G1168+G$2+1,H1168-G1168-G$2-1),",","."))</f>
        <v>0</v>
      </c>
      <c r="AA1168" s="3">
        <f>VALUE(SUBSTITUTE(MID($A1168,H1168+H$2+1,I1168-H1168-H$2-1),",","."))</f>
        <v>0</v>
      </c>
      <c r="AB1168" s="3">
        <f>VALUE(SUBSTITUTE(MID($A1168,I1168+I$2+1,J1168-I1168-I$2-1),",","."))</f>
        <v>0</v>
      </c>
      <c r="AC1168" s="3">
        <f>VALUE(SUBSTITUTE(MID($A1168,J1168+J$2+1,K1168-J1168-J$2-1),",","."))</f>
        <v>0.95</v>
      </c>
      <c r="AD1168" s="3">
        <f>VALUE(SUBSTITUTE(MID($A1168,K1168+K$2+1,L1168-K1168-K$2-1),",","."))</f>
        <v>24.12</v>
      </c>
      <c r="AE1168" s="3">
        <f>VALUE(SUBSTITUTE(MID($A1168,L1168+L$2+1,M1168-L1168-L$2-1),",","."))</f>
        <v>0</v>
      </c>
      <c r="AF1168" s="3">
        <f>VALUE(SUBSTITUTE(MID($A1168,M1168+M$2+1,N1168-M1168-M$2-1),",","."))</f>
        <v>0</v>
      </c>
      <c r="AG1168" s="3">
        <f>VALUE(SUBSTITUTE(MID($A1168,N1168+N$2+1,O1168-N1168-N$2-1),",","."))</f>
        <v>4.2366864142934899</v>
      </c>
      <c r="AH1168" t="str">
        <f>MID($A1168,O1168+O$2+1,P1168-O1168-O$2-1)</f>
        <v/>
      </c>
      <c r="AI1168" s="8" t="str">
        <f>MID($A1168,P1168+P$2+1,Q1168-P1168-P$2-1)</f>
        <v>False</v>
      </c>
      <c r="AK1168" t="b">
        <f t="shared" si="158"/>
        <v>0</v>
      </c>
    </row>
    <row r="1169" spans="1:37" x14ac:dyDescent="0.35">
      <c r="A1169" t="s">
        <v>5716</v>
      </c>
      <c r="B1169">
        <f t="shared" si="160"/>
        <v>10</v>
      </c>
      <c r="C1169">
        <f t="shared" si="160"/>
        <v>43</v>
      </c>
      <c r="D1169">
        <f t="shared" si="160"/>
        <v>54</v>
      </c>
      <c r="E1169">
        <f t="shared" si="159"/>
        <v>80</v>
      </c>
      <c r="F1169">
        <f t="shared" si="159"/>
        <v>124</v>
      </c>
      <c r="G1169">
        <f t="shared" si="159"/>
        <v>145</v>
      </c>
      <c r="H1169">
        <f t="shared" si="159"/>
        <v>177</v>
      </c>
      <c r="I1169">
        <f t="shared" si="153"/>
        <v>199</v>
      </c>
      <c r="J1169">
        <f t="shared" si="153"/>
        <v>232</v>
      </c>
      <c r="K1169">
        <f t="shared" si="153"/>
        <v>252</v>
      </c>
      <c r="L1169">
        <f t="shared" si="153"/>
        <v>271</v>
      </c>
      <c r="M1169">
        <f t="shared" si="153"/>
        <v>286</v>
      </c>
      <c r="N1169">
        <f t="shared" si="152"/>
        <v>298</v>
      </c>
      <c r="O1169">
        <f t="shared" si="152"/>
        <v>323</v>
      </c>
      <c r="P1169">
        <f t="shared" si="152"/>
        <v>341</v>
      </c>
      <c r="Q1169">
        <f t="shared" si="152"/>
        <v>367</v>
      </c>
      <c r="S1169" t="str">
        <f t="shared" si="155"/>
        <v>08.12.2025</v>
      </c>
      <c r="T1169" t="str">
        <f t="shared" si="156"/>
        <v>22:45:00</v>
      </c>
      <c r="U1169" t="str">
        <f t="shared" si="157"/>
        <v>08.12.2025 22:45:00</v>
      </c>
      <c r="V1169" s="9" t="str">
        <f>MID($A1169,C1169+C$2+1,D1169-C1169-C$2-1)</f>
        <v>0</v>
      </c>
      <c r="W1169" s="4">
        <f>VALUE(SUBSTITUTE(MID($A1169,D1169+D$2+1,E1169-D1169-D$2-1),",","."))</f>
        <v>0</v>
      </c>
      <c r="X1169" s="4">
        <f>VALUE(SUBSTITUTE(MID($A1169,E1169+E$2+1,F1169-E1169-E$2-1),",","."))</f>
        <v>0.90957602214449496</v>
      </c>
      <c r="Y1169" s="4">
        <f>VALUE(SUBSTITUTE(MID($A1169,F1169+F$2+1,G1169-F1169-F$2-1),",","."))</f>
        <v>0</v>
      </c>
      <c r="Z1169" s="3">
        <f>VALUE(SUBSTITUTE(MID($A1169,G1169+G$2+1,H1169-G1169-G$2-1),",","."))</f>
        <v>0</v>
      </c>
      <c r="AA1169" s="3">
        <f>VALUE(SUBSTITUTE(MID($A1169,H1169+H$2+1,I1169-H1169-H$2-1),",","."))</f>
        <v>0</v>
      </c>
      <c r="AB1169" s="3">
        <f>VALUE(SUBSTITUTE(MID($A1169,I1169+I$2+1,J1169-I1169-I$2-1),",","."))</f>
        <v>0</v>
      </c>
      <c r="AC1169" s="3">
        <f>VALUE(SUBSTITUTE(MID($A1169,J1169+J$2+1,K1169-J1169-J$2-1),",","."))</f>
        <v>0.95</v>
      </c>
      <c r="AD1169" s="3">
        <f>VALUE(SUBSTITUTE(MID($A1169,K1169+K$2+1,L1169-K1169-K$2-1),",","."))</f>
        <v>24.12</v>
      </c>
      <c r="AE1169" s="3">
        <f>VALUE(SUBSTITUTE(MID($A1169,L1169+L$2+1,M1169-L1169-L$2-1),",","."))</f>
        <v>0</v>
      </c>
      <c r="AF1169" s="3">
        <f>VALUE(SUBSTITUTE(MID($A1169,M1169+M$2+1,N1169-M1169-M$2-1),",","."))</f>
        <v>0</v>
      </c>
      <c r="AG1169" s="3">
        <f>VALUE(SUBSTITUTE(MID($A1169,N1169+N$2+1,O1169-N1169-N$2-1),",","."))</f>
        <v>4.2367149341815704</v>
      </c>
      <c r="AH1169" t="str">
        <f>MID($A1169,O1169+O$2+1,P1169-O1169-O$2-1)</f>
        <v/>
      </c>
      <c r="AI1169" s="8" t="str">
        <f>MID($A1169,P1169+P$2+1,Q1169-P1169-P$2-1)</f>
        <v>False</v>
      </c>
      <c r="AK1169" t="b">
        <f t="shared" si="158"/>
        <v>0</v>
      </c>
    </row>
    <row r="1170" spans="1:37" x14ac:dyDescent="0.35">
      <c r="A1170" t="s">
        <v>5717</v>
      </c>
      <c r="B1170">
        <f t="shared" si="160"/>
        <v>10</v>
      </c>
      <c r="C1170">
        <f t="shared" si="160"/>
        <v>43</v>
      </c>
      <c r="D1170">
        <f t="shared" si="160"/>
        <v>54</v>
      </c>
      <c r="E1170">
        <f t="shared" si="159"/>
        <v>80</v>
      </c>
      <c r="F1170">
        <f t="shared" si="159"/>
        <v>124</v>
      </c>
      <c r="G1170">
        <f t="shared" si="159"/>
        <v>145</v>
      </c>
      <c r="H1170">
        <f t="shared" si="159"/>
        <v>177</v>
      </c>
      <c r="I1170">
        <f t="shared" si="153"/>
        <v>199</v>
      </c>
      <c r="J1170">
        <f t="shared" si="153"/>
        <v>232</v>
      </c>
      <c r="K1170">
        <f t="shared" si="153"/>
        <v>252</v>
      </c>
      <c r="L1170">
        <f t="shared" si="153"/>
        <v>271</v>
      </c>
      <c r="M1170">
        <f t="shared" si="153"/>
        <v>286</v>
      </c>
      <c r="N1170">
        <f t="shared" si="152"/>
        <v>298</v>
      </c>
      <c r="O1170">
        <f t="shared" si="152"/>
        <v>323</v>
      </c>
      <c r="P1170">
        <f t="shared" si="152"/>
        <v>341</v>
      </c>
      <c r="Q1170">
        <f t="shared" si="152"/>
        <v>367</v>
      </c>
      <c r="S1170" t="str">
        <f t="shared" si="155"/>
        <v>08.12.2025</v>
      </c>
      <c r="T1170" t="str">
        <f t="shared" si="156"/>
        <v>23:00:00</v>
      </c>
      <c r="U1170" t="str">
        <f t="shared" si="157"/>
        <v>08.12.2025 23:00:00</v>
      </c>
      <c r="V1170" s="9" t="str">
        <f>MID($A1170,C1170+C$2+1,D1170-C1170-C$2-1)</f>
        <v>0</v>
      </c>
      <c r="W1170" s="4">
        <f>VALUE(SUBSTITUTE(MID($A1170,D1170+D$2+1,E1170-D1170-D$2-1),",","."))</f>
        <v>0</v>
      </c>
      <c r="X1170" s="4">
        <f>VALUE(SUBSTITUTE(MID($A1170,E1170+E$2+1,F1170-E1170-E$2-1),",","."))</f>
        <v>0.90957602214449496</v>
      </c>
      <c r="Y1170" s="4">
        <f>VALUE(SUBSTITUTE(MID($A1170,F1170+F$2+1,G1170-F1170-F$2-1),",","."))</f>
        <v>0</v>
      </c>
      <c r="Z1170" s="3">
        <f>VALUE(SUBSTITUTE(MID($A1170,G1170+G$2+1,H1170-G1170-G$2-1),",","."))</f>
        <v>0</v>
      </c>
      <c r="AA1170" s="3">
        <f>VALUE(SUBSTITUTE(MID($A1170,H1170+H$2+1,I1170-H1170-H$2-1),",","."))</f>
        <v>0</v>
      </c>
      <c r="AB1170" s="3">
        <f>VALUE(SUBSTITUTE(MID($A1170,I1170+I$2+1,J1170-I1170-I$2-1),",","."))</f>
        <v>0</v>
      </c>
      <c r="AC1170" s="3">
        <f>VALUE(SUBSTITUTE(MID($A1170,J1170+J$2+1,K1170-J1170-J$2-1),",","."))</f>
        <v>0.95</v>
      </c>
      <c r="AD1170" s="3">
        <f>VALUE(SUBSTITUTE(MID($A1170,K1170+K$2+1,L1170-K1170-K$2-1),",","."))</f>
        <v>24.12</v>
      </c>
      <c r="AE1170" s="3">
        <f>VALUE(SUBSTITUTE(MID($A1170,L1170+L$2+1,M1170-L1170-L$2-1),",","."))</f>
        <v>0</v>
      </c>
      <c r="AF1170" s="3">
        <f>VALUE(SUBSTITUTE(MID($A1170,M1170+M$2+1,N1170-M1170-M$2-1),",","."))</f>
        <v>0</v>
      </c>
      <c r="AG1170" s="3">
        <f>VALUE(SUBSTITUTE(MID($A1170,N1170+N$2+1,O1170-N1170-N$2-1),",","."))</f>
        <v>4.23674345406965</v>
      </c>
      <c r="AH1170" t="str">
        <f>MID($A1170,O1170+O$2+1,P1170-O1170-O$2-1)</f>
        <v/>
      </c>
      <c r="AI1170" s="8" t="str">
        <f>MID($A1170,P1170+P$2+1,Q1170-P1170-P$2-1)</f>
        <v>False</v>
      </c>
      <c r="AK1170" t="b">
        <f t="shared" si="158"/>
        <v>0</v>
      </c>
    </row>
    <row r="1171" spans="1:37" x14ac:dyDescent="0.35">
      <c r="A1171" t="s">
        <v>5718</v>
      </c>
      <c r="B1171">
        <f t="shared" si="160"/>
        <v>10</v>
      </c>
      <c r="C1171">
        <f t="shared" si="160"/>
        <v>43</v>
      </c>
      <c r="D1171">
        <f t="shared" si="160"/>
        <v>54</v>
      </c>
      <c r="E1171">
        <f t="shared" si="159"/>
        <v>80</v>
      </c>
      <c r="F1171">
        <f t="shared" si="159"/>
        <v>124</v>
      </c>
      <c r="G1171">
        <f t="shared" si="159"/>
        <v>145</v>
      </c>
      <c r="H1171">
        <f t="shared" si="159"/>
        <v>177</v>
      </c>
      <c r="I1171">
        <f t="shared" si="153"/>
        <v>199</v>
      </c>
      <c r="J1171">
        <f t="shared" si="153"/>
        <v>232</v>
      </c>
      <c r="K1171">
        <f t="shared" si="153"/>
        <v>252</v>
      </c>
      <c r="L1171">
        <f t="shared" si="153"/>
        <v>271</v>
      </c>
      <c r="M1171">
        <f t="shared" si="153"/>
        <v>286</v>
      </c>
      <c r="N1171">
        <f t="shared" si="152"/>
        <v>298</v>
      </c>
      <c r="O1171">
        <f t="shared" si="152"/>
        <v>323</v>
      </c>
      <c r="P1171">
        <f t="shared" si="152"/>
        <v>341</v>
      </c>
      <c r="Q1171">
        <f t="shared" si="152"/>
        <v>367</v>
      </c>
      <c r="S1171" t="str">
        <f t="shared" si="155"/>
        <v>08.12.2025</v>
      </c>
      <c r="T1171" t="str">
        <f t="shared" si="156"/>
        <v>23:15:00</v>
      </c>
      <c r="U1171" t="str">
        <f t="shared" si="157"/>
        <v>08.12.2025 23:15:00</v>
      </c>
      <c r="V1171" s="9" t="str">
        <f>MID($A1171,C1171+C$2+1,D1171-C1171-C$2-1)</f>
        <v>0</v>
      </c>
      <c r="W1171" s="4">
        <f>VALUE(SUBSTITUTE(MID($A1171,D1171+D$2+1,E1171-D1171-D$2-1),",","."))</f>
        <v>0</v>
      </c>
      <c r="X1171" s="4">
        <f>VALUE(SUBSTITUTE(MID($A1171,E1171+E$2+1,F1171-E1171-E$2-1),",","."))</f>
        <v>0.90957602214449496</v>
      </c>
      <c r="Y1171" s="4">
        <f>VALUE(SUBSTITUTE(MID($A1171,F1171+F$2+1,G1171-F1171-F$2-1),",","."))</f>
        <v>0</v>
      </c>
      <c r="Z1171" s="3">
        <f>VALUE(SUBSTITUTE(MID($A1171,G1171+G$2+1,H1171-G1171-G$2-1),",","."))</f>
        <v>0</v>
      </c>
      <c r="AA1171" s="3">
        <f>VALUE(SUBSTITUTE(MID($A1171,H1171+H$2+1,I1171-H1171-H$2-1),",","."))</f>
        <v>0</v>
      </c>
      <c r="AB1171" s="3">
        <f>VALUE(SUBSTITUTE(MID($A1171,I1171+I$2+1,J1171-I1171-I$2-1),",","."))</f>
        <v>0</v>
      </c>
      <c r="AC1171" s="3">
        <f>VALUE(SUBSTITUTE(MID($A1171,J1171+J$2+1,K1171-J1171-J$2-1),",","."))</f>
        <v>0.95</v>
      </c>
      <c r="AD1171" s="3">
        <f>VALUE(SUBSTITUTE(MID($A1171,K1171+K$2+1,L1171-K1171-K$2-1),",","."))</f>
        <v>24.12</v>
      </c>
      <c r="AE1171" s="3">
        <f>VALUE(SUBSTITUTE(MID($A1171,L1171+L$2+1,M1171-L1171-L$2-1),",","."))</f>
        <v>0</v>
      </c>
      <c r="AF1171" s="3">
        <f>VALUE(SUBSTITUTE(MID($A1171,M1171+M$2+1,N1171-M1171-M$2-1),",","."))</f>
        <v>0</v>
      </c>
      <c r="AG1171" s="3">
        <f>VALUE(SUBSTITUTE(MID($A1171,N1171+N$2+1,O1171-N1171-N$2-1),",","."))</f>
        <v>4.2367719739577296</v>
      </c>
      <c r="AH1171" t="str">
        <f>MID($A1171,O1171+O$2+1,P1171-O1171-O$2-1)</f>
        <v/>
      </c>
      <c r="AI1171" s="8" t="str">
        <f>MID($A1171,P1171+P$2+1,Q1171-P1171-P$2-1)</f>
        <v>False</v>
      </c>
      <c r="AK1171" t="b">
        <f t="shared" si="158"/>
        <v>0</v>
      </c>
    </row>
    <row r="1172" spans="1:37" x14ac:dyDescent="0.35">
      <c r="A1172" t="s">
        <v>5719</v>
      </c>
      <c r="B1172">
        <f t="shared" si="160"/>
        <v>10</v>
      </c>
      <c r="C1172">
        <f t="shared" si="160"/>
        <v>43</v>
      </c>
      <c r="D1172">
        <f t="shared" si="160"/>
        <v>54</v>
      </c>
      <c r="E1172">
        <f t="shared" si="159"/>
        <v>80</v>
      </c>
      <c r="F1172">
        <f t="shared" si="159"/>
        <v>124</v>
      </c>
      <c r="G1172">
        <f t="shared" si="159"/>
        <v>145</v>
      </c>
      <c r="H1172">
        <f t="shared" si="159"/>
        <v>177</v>
      </c>
      <c r="I1172">
        <f t="shared" si="153"/>
        <v>199</v>
      </c>
      <c r="J1172">
        <f t="shared" si="153"/>
        <v>232</v>
      </c>
      <c r="K1172">
        <f t="shared" si="153"/>
        <v>252</v>
      </c>
      <c r="L1172">
        <f t="shared" si="153"/>
        <v>284</v>
      </c>
      <c r="M1172">
        <f t="shared" si="153"/>
        <v>299</v>
      </c>
      <c r="N1172">
        <f t="shared" si="152"/>
        <v>311</v>
      </c>
      <c r="O1172">
        <f t="shared" si="152"/>
        <v>336</v>
      </c>
      <c r="P1172">
        <f t="shared" si="152"/>
        <v>354</v>
      </c>
      <c r="Q1172">
        <f t="shared" si="152"/>
        <v>380</v>
      </c>
      <c r="S1172" t="str">
        <f t="shared" si="155"/>
        <v>08.12.2025</v>
      </c>
      <c r="T1172" t="str">
        <f t="shared" si="156"/>
        <v>23:30:00</v>
      </c>
      <c r="U1172" t="str">
        <f t="shared" si="157"/>
        <v>08.12.2025 23:30:00</v>
      </c>
      <c r="V1172" s="9" t="str">
        <f>MID($A1172,C1172+C$2+1,D1172-C1172-C$2-1)</f>
        <v>0</v>
      </c>
      <c r="W1172" s="4">
        <f>VALUE(SUBSTITUTE(MID($A1172,D1172+D$2+1,E1172-D1172-D$2-1),",","."))</f>
        <v>0</v>
      </c>
      <c r="X1172" s="4">
        <f>VALUE(SUBSTITUTE(MID($A1172,E1172+E$2+1,F1172-E1172-E$2-1),",","."))</f>
        <v>0.90957602214449496</v>
      </c>
      <c r="Y1172" s="4">
        <f>VALUE(SUBSTITUTE(MID($A1172,F1172+F$2+1,G1172-F1172-F$2-1),",","."))</f>
        <v>0</v>
      </c>
      <c r="Z1172" s="3">
        <f>VALUE(SUBSTITUTE(MID($A1172,G1172+G$2+1,H1172-G1172-G$2-1),",","."))</f>
        <v>0</v>
      </c>
      <c r="AA1172" s="3">
        <f>VALUE(SUBSTITUTE(MID($A1172,H1172+H$2+1,I1172-H1172-H$2-1),",","."))</f>
        <v>0</v>
      </c>
      <c r="AB1172" s="3">
        <f>VALUE(SUBSTITUTE(MID($A1172,I1172+I$2+1,J1172-I1172-I$2-1),",","."))</f>
        <v>0</v>
      </c>
      <c r="AC1172" s="3">
        <f>VALUE(SUBSTITUTE(MID($A1172,J1172+J$2+1,K1172-J1172-J$2-1),",","."))</f>
        <v>0.95</v>
      </c>
      <c r="AD1172" s="3">
        <f>VALUE(SUBSTITUTE(MID($A1172,K1172+K$2+1,L1172-K1172-K$2-1),",","."))</f>
        <v>24.119999999999902</v>
      </c>
      <c r="AE1172" s="3">
        <f>VALUE(SUBSTITUTE(MID($A1172,L1172+L$2+1,M1172-L1172-L$2-1),",","."))</f>
        <v>0</v>
      </c>
      <c r="AF1172" s="3">
        <f>VALUE(SUBSTITUTE(MID($A1172,M1172+M$2+1,N1172-M1172-M$2-1),",","."))</f>
        <v>0</v>
      </c>
      <c r="AG1172" s="3">
        <f>VALUE(SUBSTITUTE(MID($A1172,N1172+N$2+1,O1172-N1172-N$2-1),",","."))</f>
        <v>4.2368004938458101</v>
      </c>
      <c r="AH1172" t="str">
        <f>MID($A1172,O1172+O$2+1,P1172-O1172-O$2-1)</f>
        <v/>
      </c>
      <c r="AI1172" s="8" t="str">
        <f>MID($A1172,P1172+P$2+1,Q1172-P1172-P$2-1)</f>
        <v>False</v>
      </c>
      <c r="AK1172" t="b">
        <f t="shared" si="158"/>
        <v>0</v>
      </c>
    </row>
    <row r="1173" spans="1:37" x14ac:dyDescent="0.35">
      <c r="A1173" t="s">
        <v>5720</v>
      </c>
      <c r="B1173">
        <f t="shared" si="160"/>
        <v>10</v>
      </c>
      <c r="C1173">
        <f t="shared" si="160"/>
        <v>43</v>
      </c>
      <c r="D1173">
        <f t="shared" si="160"/>
        <v>54</v>
      </c>
      <c r="E1173">
        <f t="shared" si="159"/>
        <v>80</v>
      </c>
      <c r="F1173">
        <f t="shared" si="159"/>
        <v>124</v>
      </c>
      <c r="G1173">
        <f t="shared" si="159"/>
        <v>145</v>
      </c>
      <c r="H1173">
        <f t="shared" si="159"/>
        <v>177</v>
      </c>
      <c r="I1173">
        <f t="shared" si="153"/>
        <v>199</v>
      </c>
      <c r="J1173">
        <f t="shared" si="153"/>
        <v>232</v>
      </c>
      <c r="K1173">
        <f t="shared" si="153"/>
        <v>252</v>
      </c>
      <c r="L1173">
        <f t="shared" si="153"/>
        <v>284</v>
      </c>
      <c r="M1173">
        <f t="shared" si="153"/>
        <v>299</v>
      </c>
      <c r="N1173">
        <f t="shared" si="152"/>
        <v>311</v>
      </c>
      <c r="O1173">
        <f t="shared" si="152"/>
        <v>334</v>
      </c>
      <c r="P1173">
        <f t="shared" si="152"/>
        <v>352</v>
      </c>
      <c r="Q1173">
        <f t="shared" si="152"/>
        <v>378</v>
      </c>
      <c r="S1173" t="str">
        <f t="shared" si="155"/>
        <v>08.12.2025</v>
      </c>
      <c r="T1173" t="str">
        <f t="shared" si="156"/>
        <v>23:45:00</v>
      </c>
      <c r="U1173" t="str">
        <f t="shared" si="157"/>
        <v>08.12.2025 23:45:00</v>
      </c>
      <c r="V1173" s="9" t="str">
        <f>MID($A1173,C1173+C$2+1,D1173-C1173-C$2-1)</f>
        <v>0</v>
      </c>
      <c r="W1173" s="4">
        <f>VALUE(SUBSTITUTE(MID($A1173,D1173+D$2+1,E1173-D1173-D$2-1),",","."))</f>
        <v>0</v>
      </c>
      <c r="X1173" s="4">
        <f>VALUE(SUBSTITUTE(MID($A1173,E1173+E$2+1,F1173-E1173-E$2-1),",","."))</f>
        <v>0.90957602214449496</v>
      </c>
      <c r="Y1173" s="4">
        <f>VALUE(SUBSTITUTE(MID($A1173,F1173+F$2+1,G1173-F1173-F$2-1),",","."))</f>
        <v>0</v>
      </c>
      <c r="Z1173" s="3">
        <f>VALUE(SUBSTITUTE(MID($A1173,G1173+G$2+1,H1173-G1173-G$2-1),",","."))</f>
        <v>0</v>
      </c>
      <c r="AA1173" s="3">
        <f>VALUE(SUBSTITUTE(MID($A1173,H1173+H$2+1,I1173-H1173-H$2-1),",","."))</f>
        <v>0</v>
      </c>
      <c r="AB1173" s="3">
        <f>VALUE(SUBSTITUTE(MID($A1173,I1173+I$2+1,J1173-I1173-I$2-1),",","."))</f>
        <v>0</v>
      </c>
      <c r="AC1173" s="3">
        <f>VALUE(SUBSTITUTE(MID($A1173,J1173+J$2+1,K1173-J1173-J$2-1),",","."))</f>
        <v>0.95</v>
      </c>
      <c r="AD1173" s="3">
        <f>VALUE(SUBSTITUTE(MID($A1173,K1173+K$2+1,L1173-K1173-K$2-1),",","."))</f>
        <v>24.119999999999902</v>
      </c>
      <c r="AE1173" s="3">
        <f>VALUE(SUBSTITUTE(MID($A1173,L1173+L$2+1,M1173-L1173-L$2-1),",","."))</f>
        <v>0</v>
      </c>
      <c r="AF1173" s="3">
        <f>VALUE(SUBSTITUTE(MID($A1173,M1173+M$2+1,N1173-M1173-M$2-1),",","."))</f>
        <v>0</v>
      </c>
      <c r="AG1173" s="3">
        <f>VALUE(SUBSTITUTE(MID($A1173,N1173+N$2+1,O1173-N1173-N$2-1),",","."))</f>
        <v>4.2368290137339004</v>
      </c>
      <c r="AH1173" t="str">
        <f>MID($A1173,O1173+O$2+1,P1173-O1173-O$2-1)</f>
        <v/>
      </c>
      <c r="AI1173" s="8" t="str">
        <f>MID($A1173,P1173+P$2+1,Q1173-P1173-P$2-1)</f>
        <v>False</v>
      </c>
      <c r="AK1173" t="b">
        <f t="shared" si="158"/>
        <v>0</v>
      </c>
    </row>
    <row r="1174" spans="1:37" x14ac:dyDescent="0.35">
      <c r="A1174" t="s">
        <v>5721</v>
      </c>
      <c r="B1174">
        <f t="shared" si="160"/>
        <v>10</v>
      </c>
      <c r="C1174">
        <f t="shared" si="160"/>
        <v>43</v>
      </c>
      <c r="D1174">
        <f t="shared" si="160"/>
        <v>54</v>
      </c>
      <c r="E1174">
        <f t="shared" si="159"/>
        <v>80</v>
      </c>
      <c r="F1174">
        <f t="shared" si="159"/>
        <v>124</v>
      </c>
      <c r="G1174">
        <f t="shared" si="159"/>
        <v>145</v>
      </c>
      <c r="H1174">
        <f t="shared" si="159"/>
        <v>177</v>
      </c>
      <c r="I1174">
        <f t="shared" si="153"/>
        <v>199</v>
      </c>
      <c r="J1174">
        <f t="shared" si="153"/>
        <v>232</v>
      </c>
      <c r="K1174">
        <f t="shared" si="153"/>
        <v>252</v>
      </c>
      <c r="L1174">
        <f t="shared" si="153"/>
        <v>284</v>
      </c>
      <c r="M1174">
        <f t="shared" si="153"/>
        <v>299</v>
      </c>
      <c r="N1174">
        <f t="shared" si="152"/>
        <v>311</v>
      </c>
      <c r="O1174">
        <f t="shared" si="152"/>
        <v>336</v>
      </c>
      <c r="P1174">
        <f t="shared" si="152"/>
        <v>354</v>
      </c>
      <c r="Q1174">
        <f t="shared" si="152"/>
        <v>380</v>
      </c>
      <c r="S1174" t="str">
        <f t="shared" si="155"/>
        <v>09.12.2025</v>
      </c>
      <c r="T1174" t="str">
        <f t="shared" si="156"/>
        <v>00:00:00</v>
      </c>
      <c r="U1174" t="str">
        <f t="shared" si="157"/>
        <v>09.12.2025 00:00:00</v>
      </c>
      <c r="V1174" s="9" t="str">
        <f>MID($A1174,C1174+C$2+1,D1174-C1174-C$2-1)</f>
        <v>0</v>
      </c>
      <c r="W1174" s="4">
        <f>VALUE(SUBSTITUTE(MID($A1174,D1174+D$2+1,E1174-D1174-D$2-1),",","."))</f>
        <v>0</v>
      </c>
      <c r="X1174" s="4">
        <f>VALUE(SUBSTITUTE(MID($A1174,E1174+E$2+1,F1174-E1174-E$2-1),",","."))</f>
        <v>0.90957602214449496</v>
      </c>
      <c r="Y1174" s="4">
        <f>VALUE(SUBSTITUTE(MID($A1174,F1174+F$2+1,G1174-F1174-F$2-1),",","."))</f>
        <v>0</v>
      </c>
      <c r="Z1174" s="3">
        <f>VALUE(SUBSTITUTE(MID($A1174,G1174+G$2+1,H1174-G1174-G$2-1),",","."))</f>
        <v>0</v>
      </c>
      <c r="AA1174" s="3">
        <f>VALUE(SUBSTITUTE(MID($A1174,H1174+H$2+1,I1174-H1174-H$2-1),",","."))</f>
        <v>0</v>
      </c>
      <c r="AB1174" s="3">
        <f>VALUE(SUBSTITUTE(MID($A1174,I1174+I$2+1,J1174-I1174-I$2-1),",","."))</f>
        <v>0</v>
      </c>
      <c r="AC1174" s="3">
        <f>VALUE(SUBSTITUTE(MID($A1174,J1174+J$2+1,K1174-J1174-J$2-1),",","."))</f>
        <v>0.95</v>
      </c>
      <c r="AD1174" s="3">
        <f>VALUE(SUBSTITUTE(MID($A1174,K1174+K$2+1,L1174-K1174-K$2-1),",","."))</f>
        <v>24.119999999999902</v>
      </c>
      <c r="AE1174" s="3">
        <f>VALUE(SUBSTITUTE(MID($A1174,L1174+L$2+1,M1174-L1174-L$2-1),",","."))</f>
        <v>0</v>
      </c>
      <c r="AF1174" s="3">
        <f>VALUE(SUBSTITUTE(MID($A1174,M1174+M$2+1,N1174-M1174-M$2-1),",","."))</f>
        <v>0</v>
      </c>
      <c r="AG1174" s="3">
        <f>VALUE(SUBSTITUTE(MID($A1174,N1174+N$2+1,O1174-N1174-N$2-1),",","."))</f>
        <v>4.23685753362198</v>
      </c>
      <c r="AH1174" t="str">
        <f>MID($A1174,O1174+O$2+1,P1174-O1174-O$2-1)</f>
        <v/>
      </c>
      <c r="AI1174" s="8" t="str">
        <f>MID($A1174,P1174+P$2+1,Q1174-P1174-P$2-1)</f>
        <v>False</v>
      </c>
      <c r="AK1174" t="b">
        <f t="shared" si="158"/>
        <v>0</v>
      </c>
    </row>
    <row r="1175" spans="1:37" x14ac:dyDescent="0.35">
      <c r="A1175" t="s">
        <v>5722</v>
      </c>
      <c r="B1175">
        <f t="shared" si="160"/>
        <v>10</v>
      </c>
      <c r="C1175">
        <f t="shared" si="160"/>
        <v>43</v>
      </c>
      <c r="D1175">
        <f t="shared" si="160"/>
        <v>54</v>
      </c>
      <c r="E1175">
        <f t="shared" si="159"/>
        <v>80</v>
      </c>
      <c r="F1175">
        <f t="shared" si="159"/>
        <v>124</v>
      </c>
      <c r="G1175">
        <f t="shared" si="159"/>
        <v>145</v>
      </c>
      <c r="H1175">
        <f t="shared" si="159"/>
        <v>177</v>
      </c>
      <c r="I1175">
        <f t="shared" si="153"/>
        <v>199</v>
      </c>
      <c r="J1175">
        <f t="shared" si="153"/>
        <v>232</v>
      </c>
      <c r="K1175">
        <f t="shared" si="153"/>
        <v>252</v>
      </c>
      <c r="L1175">
        <f t="shared" si="153"/>
        <v>284</v>
      </c>
      <c r="M1175">
        <f t="shared" si="153"/>
        <v>299</v>
      </c>
      <c r="N1175">
        <f t="shared" si="152"/>
        <v>311</v>
      </c>
      <c r="O1175">
        <f t="shared" si="152"/>
        <v>336</v>
      </c>
      <c r="P1175">
        <f t="shared" si="152"/>
        <v>354</v>
      </c>
      <c r="Q1175">
        <f t="shared" si="152"/>
        <v>380</v>
      </c>
      <c r="S1175" t="str">
        <f t="shared" si="155"/>
        <v>09.12.2025</v>
      </c>
      <c r="T1175" t="str">
        <f t="shared" si="156"/>
        <v>00:15:00</v>
      </c>
      <c r="U1175" t="str">
        <f t="shared" si="157"/>
        <v>09.12.2025 00:15:00</v>
      </c>
      <c r="V1175" s="9" t="str">
        <f>MID($A1175,C1175+C$2+1,D1175-C1175-C$2-1)</f>
        <v>0</v>
      </c>
      <c r="W1175" s="4">
        <f>VALUE(SUBSTITUTE(MID($A1175,D1175+D$2+1,E1175-D1175-D$2-1),",","."))</f>
        <v>0</v>
      </c>
      <c r="X1175" s="4">
        <f>VALUE(SUBSTITUTE(MID($A1175,E1175+E$2+1,F1175-E1175-E$2-1),",","."))</f>
        <v>0.90957602214449496</v>
      </c>
      <c r="Y1175" s="4">
        <f>VALUE(SUBSTITUTE(MID($A1175,F1175+F$2+1,G1175-F1175-F$2-1),",","."))</f>
        <v>0</v>
      </c>
      <c r="Z1175" s="3">
        <f>VALUE(SUBSTITUTE(MID($A1175,G1175+G$2+1,H1175-G1175-G$2-1),",","."))</f>
        <v>0</v>
      </c>
      <c r="AA1175" s="3">
        <f>VALUE(SUBSTITUTE(MID($A1175,H1175+H$2+1,I1175-H1175-H$2-1),",","."))</f>
        <v>0</v>
      </c>
      <c r="AB1175" s="3">
        <f>VALUE(SUBSTITUTE(MID($A1175,I1175+I$2+1,J1175-I1175-I$2-1),",","."))</f>
        <v>0</v>
      </c>
      <c r="AC1175" s="3">
        <f>VALUE(SUBSTITUTE(MID($A1175,J1175+J$2+1,K1175-J1175-J$2-1),",","."))</f>
        <v>0.95</v>
      </c>
      <c r="AD1175" s="3">
        <f>VALUE(SUBSTITUTE(MID($A1175,K1175+K$2+1,L1175-K1175-K$2-1),",","."))</f>
        <v>24.119999999999902</v>
      </c>
      <c r="AE1175" s="3">
        <f>VALUE(SUBSTITUTE(MID($A1175,L1175+L$2+1,M1175-L1175-L$2-1),",","."))</f>
        <v>0</v>
      </c>
      <c r="AF1175" s="3">
        <f>VALUE(SUBSTITUTE(MID($A1175,M1175+M$2+1,N1175-M1175-M$2-1),",","."))</f>
        <v>0</v>
      </c>
      <c r="AG1175" s="3">
        <f>VALUE(SUBSTITUTE(MID($A1175,N1175+N$2+1,O1175-N1175-N$2-1),",","."))</f>
        <v>4.2368860535100596</v>
      </c>
      <c r="AH1175" t="str">
        <f>MID($A1175,O1175+O$2+1,P1175-O1175-O$2-1)</f>
        <v/>
      </c>
      <c r="AI1175" s="8" t="str">
        <f>MID($A1175,P1175+P$2+1,Q1175-P1175-P$2-1)</f>
        <v>False</v>
      </c>
      <c r="AK1175" t="b">
        <f t="shared" si="158"/>
        <v>0</v>
      </c>
    </row>
    <row r="1176" spans="1:37" x14ac:dyDescent="0.35">
      <c r="A1176" t="s">
        <v>5723</v>
      </c>
      <c r="B1176">
        <f t="shared" si="160"/>
        <v>10</v>
      </c>
      <c r="C1176">
        <f t="shared" si="160"/>
        <v>43</v>
      </c>
      <c r="D1176">
        <f t="shared" si="160"/>
        <v>54</v>
      </c>
      <c r="E1176">
        <f t="shared" si="159"/>
        <v>80</v>
      </c>
      <c r="F1176">
        <f t="shared" si="159"/>
        <v>124</v>
      </c>
      <c r="G1176">
        <f t="shared" si="159"/>
        <v>145</v>
      </c>
      <c r="H1176">
        <f t="shared" si="159"/>
        <v>177</v>
      </c>
      <c r="I1176">
        <f t="shared" si="153"/>
        <v>199</v>
      </c>
      <c r="J1176">
        <f t="shared" si="153"/>
        <v>232</v>
      </c>
      <c r="K1176">
        <f t="shared" si="153"/>
        <v>266</v>
      </c>
      <c r="L1176">
        <f t="shared" si="153"/>
        <v>285</v>
      </c>
      <c r="M1176">
        <f t="shared" si="153"/>
        <v>300</v>
      </c>
      <c r="N1176">
        <f t="shared" si="152"/>
        <v>312</v>
      </c>
      <c r="O1176">
        <f t="shared" si="152"/>
        <v>337</v>
      </c>
      <c r="P1176">
        <f t="shared" si="152"/>
        <v>355</v>
      </c>
      <c r="Q1176">
        <f t="shared" si="152"/>
        <v>381</v>
      </c>
      <c r="S1176" t="str">
        <f t="shared" si="155"/>
        <v>09.12.2025</v>
      </c>
      <c r="T1176" t="str">
        <f t="shared" si="156"/>
        <v>00:30:00</v>
      </c>
      <c r="U1176" t="str">
        <f t="shared" si="157"/>
        <v>09.12.2025 00:30:00</v>
      </c>
      <c r="V1176" s="9" t="str">
        <f>MID($A1176,C1176+C$2+1,D1176-C1176-C$2-1)</f>
        <v>0</v>
      </c>
      <c r="W1176" s="4">
        <f>VALUE(SUBSTITUTE(MID($A1176,D1176+D$2+1,E1176-D1176-D$2-1),",","."))</f>
        <v>0</v>
      </c>
      <c r="X1176" s="4">
        <f>VALUE(SUBSTITUTE(MID($A1176,E1176+E$2+1,F1176-E1176-E$2-1),",","."))</f>
        <v>0.90957602214449496</v>
      </c>
      <c r="Y1176" s="4">
        <f>VALUE(SUBSTITUTE(MID($A1176,F1176+F$2+1,G1176-F1176-F$2-1),",","."))</f>
        <v>0</v>
      </c>
      <c r="Z1176" s="3">
        <f>VALUE(SUBSTITUTE(MID($A1176,G1176+G$2+1,H1176-G1176-G$2-1),",","."))</f>
        <v>0</v>
      </c>
      <c r="AA1176" s="3">
        <f>VALUE(SUBSTITUTE(MID($A1176,H1176+H$2+1,I1176-H1176-H$2-1),",","."))</f>
        <v>0</v>
      </c>
      <c r="AB1176" s="3">
        <f>VALUE(SUBSTITUTE(MID($A1176,I1176+I$2+1,J1176-I1176-I$2-1),",","."))</f>
        <v>0</v>
      </c>
      <c r="AC1176" s="3">
        <f>VALUE(SUBSTITUTE(MID($A1176,J1176+J$2+1,K1176-J1176-J$2-1),",","."))</f>
        <v>0.89999999999999902</v>
      </c>
      <c r="AD1176" s="3">
        <f>VALUE(SUBSTITUTE(MID($A1176,K1176+K$2+1,L1176-K1176-K$2-1),",","."))</f>
        <v>22.86</v>
      </c>
      <c r="AE1176" s="3">
        <f>VALUE(SUBSTITUTE(MID($A1176,L1176+L$2+1,M1176-L1176-L$2-1),",","."))</f>
        <v>0</v>
      </c>
      <c r="AF1176" s="3">
        <f>VALUE(SUBSTITUTE(MID($A1176,M1176+M$2+1,N1176-M1176-M$2-1),",","."))</f>
        <v>0</v>
      </c>
      <c r="AG1176" s="3">
        <f>VALUE(SUBSTITUTE(MID($A1176,N1176+N$2+1,O1176-N1176-N$2-1),",","."))</f>
        <v>4.2369145733981401</v>
      </c>
      <c r="AH1176" t="str">
        <f>MID($A1176,O1176+O$2+1,P1176-O1176-O$2-1)</f>
        <v/>
      </c>
      <c r="AI1176" s="8" t="str">
        <f>MID($A1176,P1176+P$2+1,Q1176-P1176-P$2-1)</f>
        <v>False</v>
      </c>
      <c r="AK1176" t="b">
        <f t="shared" si="158"/>
        <v>0</v>
      </c>
    </row>
    <row r="1177" spans="1:37" x14ac:dyDescent="0.35">
      <c r="A1177" t="s">
        <v>5724</v>
      </c>
      <c r="B1177">
        <f t="shared" si="160"/>
        <v>10</v>
      </c>
      <c r="C1177">
        <f t="shared" si="160"/>
        <v>43</v>
      </c>
      <c r="D1177">
        <f t="shared" si="160"/>
        <v>54</v>
      </c>
      <c r="E1177">
        <f t="shared" si="159"/>
        <v>80</v>
      </c>
      <c r="F1177">
        <f t="shared" si="159"/>
        <v>124</v>
      </c>
      <c r="G1177">
        <f t="shared" si="159"/>
        <v>145</v>
      </c>
      <c r="H1177">
        <f t="shared" si="159"/>
        <v>177</v>
      </c>
      <c r="I1177">
        <f t="shared" si="153"/>
        <v>199</v>
      </c>
      <c r="J1177">
        <f t="shared" si="153"/>
        <v>232</v>
      </c>
      <c r="K1177">
        <f t="shared" si="153"/>
        <v>266</v>
      </c>
      <c r="L1177">
        <f t="shared" si="153"/>
        <v>285</v>
      </c>
      <c r="M1177">
        <f t="shared" si="153"/>
        <v>300</v>
      </c>
      <c r="N1177">
        <f t="shared" si="152"/>
        <v>312</v>
      </c>
      <c r="O1177">
        <f t="shared" si="152"/>
        <v>337</v>
      </c>
      <c r="P1177">
        <f t="shared" si="152"/>
        <v>355</v>
      </c>
      <c r="Q1177">
        <f t="shared" si="152"/>
        <v>381</v>
      </c>
      <c r="S1177" t="str">
        <f t="shared" si="155"/>
        <v>09.12.2025</v>
      </c>
      <c r="T1177" t="str">
        <f t="shared" si="156"/>
        <v>00:45:00</v>
      </c>
      <c r="U1177" t="str">
        <f t="shared" si="157"/>
        <v>09.12.2025 00:45:00</v>
      </c>
      <c r="V1177" s="9" t="str">
        <f>MID($A1177,C1177+C$2+1,D1177-C1177-C$2-1)</f>
        <v>0</v>
      </c>
      <c r="W1177" s="4">
        <f>VALUE(SUBSTITUTE(MID($A1177,D1177+D$2+1,E1177-D1177-D$2-1),",","."))</f>
        <v>0</v>
      </c>
      <c r="X1177" s="4">
        <f>VALUE(SUBSTITUTE(MID($A1177,E1177+E$2+1,F1177-E1177-E$2-1),",","."))</f>
        <v>0.90957602214449496</v>
      </c>
      <c r="Y1177" s="4">
        <f>VALUE(SUBSTITUTE(MID($A1177,F1177+F$2+1,G1177-F1177-F$2-1),",","."))</f>
        <v>0</v>
      </c>
      <c r="Z1177" s="3">
        <f>VALUE(SUBSTITUTE(MID($A1177,G1177+G$2+1,H1177-G1177-G$2-1),",","."))</f>
        <v>0</v>
      </c>
      <c r="AA1177" s="3">
        <f>VALUE(SUBSTITUTE(MID($A1177,H1177+H$2+1,I1177-H1177-H$2-1),",","."))</f>
        <v>0</v>
      </c>
      <c r="AB1177" s="3">
        <f>VALUE(SUBSTITUTE(MID($A1177,I1177+I$2+1,J1177-I1177-I$2-1),",","."))</f>
        <v>0</v>
      </c>
      <c r="AC1177" s="3">
        <f>VALUE(SUBSTITUTE(MID($A1177,J1177+J$2+1,K1177-J1177-J$2-1),",","."))</f>
        <v>0.89999999999999902</v>
      </c>
      <c r="AD1177" s="3">
        <f>VALUE(SUBSTITUTE(MID($A1177,K1177+K$2+1,L1177-K1177-K$2-1),",","."))</f>
        <v>22.86</v>
      </c>
      <c r="AE1177" s="3">
        <f>VALUE(SUBSTITUTE(MID($A1177,L1177+L$2+1,M1177-L1177-L$2-1),",","."))</f>
        <v>0</v>
      </c>
      <c r="AF1177" s="3">
        <f>VALUE(SUBSTITUTE(MID($A1177,M1177+M$2+1,N1177-M1177-M$2-1),",","."))</f>
        <v>0</v>
      </c>
      <c r="AG1177" s="3">
        <f>VALUE(SUBSTITUTE(MID($A1177,N1177+N$2+1,O1177-N1177-N$2-1),",","."))</f>
        <v>4.2369430932862198</v>
      </c>
      <c r="AH1177" t="str">
        <f>MID($A1177,O1177+O$2+1,P1177-O1177-O$2-1)</f>
        <v/>
      </c>
      <c r="AI1177" s="8" t="str">
        <f>MID($A1177,P1177+P$2+1,Q1177-P1177-P$2-1)</f>
        <v>False</v>
      </c>
      <c r="AK1177" t="b">
        <f t="shared" si="158"/>
        <v>0</v>
      </c>
    </row>
    <row r="1178" spans="1:37" x14ac:dyDescent="0.35">
      <c r="A1178" t="s">
        <v>5725</v>
      </c>
      <c r="B1178">
        <f t="shared" si="160"/>
        <v>10</v>
      </c>
      <c r="C1178">
        <f t="shared" si="160"/>
        <v>43</v>
      </c>
      <c r="D1178">
        <f t="shared" si="160"/>
        <v>54</v>
      </c>
      <c r="E1178">
        <f t="shared" si="159"/>
        <v>80</v>
      </c>
      <c r="F1178">
        <f t="shared" si="159"/>
        <v>124</v>
      </c>
      <c r="G1178">
        <f t="shared" si="159"/>
        <v>145</v>
      </c>
      <c r="H1178">
        <f t="shared" si="159"/>
        <v>177</v>
      </c>
      <c r="I1178">
        <f t="shared" si="153"/>
        <v>199</v>
      </c>
      <c r="J1178">
        <f t="shared" si="153"/>
        <v>232</v>
      </c>
      <c r="K1178">
        <f t="shared" si="153"/>
        <v>266</v>
      </c>
      <c r="L1178">
        <f t="shared" si="153"/>
        <v>285</v>
      </c>
      <c r="M1178">
        <f t="shared" si="153"/>
        <v>300</v>
      </c>
      <c r="N1178">
        <f t="shared" si="152"/>
        <v>312</v>
      </c>
      <c r="O1178">
        <f t="shared" si="152"/>
        <v>337</v>
      </c>
      <c r="P1178">
        <f t="shared" si="152"/>
        <v>355</v>
      </c>
      <c r="Q1178">
        <f t="shared" si="152"/>
        <v>381</v>
      </c>
      <c r="S1178" t="str">
        <f t="shared" si="155"/>
        <v>09.12.2025</v>
      </c>
      <c r="T1178" t="str">
        <f t="shared" si="156"/>
        <v>01:00:00</v>
      </c>
      <c r="U1178" t="str">
        <f t="shared" si="157"/>
        <v>09.12.2025 01:00:00</v>
      </c>
      <c r="V1178" s="9" t="str">
        <f>MID($A1178,C1178+C$2+1,D1178-C1178-C$2-1)</f>
        <v>0</v>
      </c>
      <c r="W1178" s="4">
        <f>VALUE(SUBSTITUTE(MID($A1178,D1178+D$2+1,E1178-D1178-D$2-1),",","."))</f>
        <v>0</v>
      </c>
      <c r="X1178" s="4">
        <f>VALUE(SUBSTITUTE(MID($A1178,E1178+E$2+1,F1178-E1178-E$2-1),",","."))</f>
        <v>0.90957602214449496</v>
      </c>
      <c r="Y1178" s="4">
        <f>VALUE(SUBSTITUTE(MID($A1178,F1178+F$2+1,G1178-F1178-F$2-1),",","."))</f>
        <v>0</v>
      </c>
      <c r="Z1178" s="3">
        <f>VALUE(SUBSTITUTE(MID($A1178,G1178+G$2+1,H1178-G1178-G$2-1),",","."))</f>
        <v>0</v>
      </c>
      <c r="AA1178" s="3">
        <f>VALUE(SUBSTITUTE(MID($A1178,H1178+H$2+1,I1178-H1178-H$2-1),",","."))</f>
        <v>0</v>
      </c>
      <c r="AB1178" s="3">
        <f>VALUE(SUBSTITUTE(MID($A1178,I1178+I$2+1,J1178-I1178-I$2-1),",","."))</f>
        <v>0</v>
      </c>
      <c r="AC1178" s="3">
        <f>VALUE(SUBSTITUTE(MID($A1178,J1178+J$2+1,K1178-J1178-J$2-1),",","."))</f>
        <v>0.89999999999999902</v>
      </c>
      <c r="AD1178" s="3">
        <f>VALUE(SUBSTITUTE(MID($A1178,K1178+K$2+1,L1178-K1178-K$2-1),",","."))</f>
        <v>22.86</v>
      </c>
      <c r="AE1178" s="3">
        <f>VALUE(SUBSTITUTE(MID($A1178,L1178+L$2+1,M1178-L1178-L$2-1),",","."))</f>
        <v>0</v>
      </c>
      <c r="AF1178" s="3">
        <f>VALUE(SUBSTITUTE(MID($A1178,M1178+M$2+1,N1178-M1178-M$2-1),",","."))</f>
        <v>0</v>
      </c>
      <c r="AG1178" s="3">
        <f>VALUE(SUBSTITUTE(MID($A1178,N1178+N$2+1,O1178-N1178-N$2-1),",","."))</f>
        <v>4.2369716131743003</v>
      </c>
      <c r="AH1178" t="str">
        <f>MID($A1178,O1178+O$2+1,P1178-O1178-O$2-1)</f>
        <v/>
      </c>
      <c r="AI1178" s="8" t="str">
        <f>MID($A1178,P1178+P$2+1,Q1178-P1178-P$2-1)</f>
        <v>False</v>
      </c>
      <c r="AK1178" t="b">
        <f t="shared" si="158"/>
        <v>0</v>
      </c>
    </row>
    <row r="1179" spans="1:37" x14ac:dyDescent="0.35">
      <c r="A1179" t="s">
        <v>5726</v>
      </c>
      <c r="B1179">
        <f t="shared" si="160"/>
        <v>10</v>
      </c>
      <c r="C1179">
        <f t="shared" si="160"/>
        <v>43</v>
      </c>
      <c r="D1179">
        <f t="shared" si="160"/>
        <v>54</v>
      </c>
      <c r="E1179">
        <f t="shared" si="159"/>
        <v>80</v>
      </c>
      <c r="F1179">
        <f t="shared" si="159"/>
        <v>124</v>
      </c>
      <c r="G1179">
        <f t="shared" si="159"/>
        <v>145</v>
      </c>
      <c r="H1179">
        <f t="shared" si="159"/>
        <v>177</v>
      </c>
      <c r="I1179">
        <f t="shared" si="153"/>
        <v>199</v>
      </c>
      <c r="J1179">
        <f t="shared" si="153"/>
        <v>232</v>
      </c>
      <c r="K1179">
        <f t="shared" si="153"/>
        <v>266</v>
      </c>
      <c r="L1179">
        <f t="shared" si="153"/>
        <v>285</v>
      </c>
      <c r="M1179">
        <f t="shared" si="153"/>
        <v>300</v>
      </c>
      <c r="N1179">
        <f t="shared" si="152"/>
        <v>312</v>
      </c>
      <c r="O1179">
        <f t="shared" si="152"/>
        <v>336</v>
      </c>
      <c r="P1179">
        <f t="shared" si="152"/>
        <v>354</v>
      </c>
      <c r="Q1179">
        <f t="shared" si="152"/>
        <v>380</v>
      </c>
      <c r="S1179" t="str">
        <f t="shared" si="155"/>
        <v>09.12.2025</v>
      </c>
      <c r="T1179" t="str">
        <f t="shared" si="156"/>
        <v>01:15:00</v>
      </c>
      <c r="U1179" t="str">
        <f t="shared" si="157"/>
        <v>09.12.2025 01:15:00</v>
      </c>
      <c r="V1179" s="9" t="str">
        <f>MID($A1179,C1179+C$2+1,D1179-C1179-C$2-1)</f>
        <v>0</v>
      </c>
      <c r="W1179" s="4">
        <f>VALUE(SUBSTITUTE(MID($A1179,D1179+D$2+1,E1179-D1179-D$2-1),",","."))</f>
        <v>0</v>
      </c>
      <c r="X1179" s="4">
        <f>VALUE(SUBSTITUTE(MID($A1179,E1179+E$2+1,F1179-E1179-E$2-1),",","."))</f>
        <v>0.90957602214449496</v>
      </c>
      <c r="Y1179" s="4">
        <f>VALUE(SUBSTITUTE(MID($A1179,F1179+F$2+1,G1179-F1179-F$2-1),",","."))</f>
        <v>0</v>
      </c>
      <c r="Z1179" s="3">
        <f>VALUE(SUBSTITUTE(MID($A1179,G1179+G$2+1,H1179-G1179-G$2-1),",","."))</f>
        <v>0</v>
      </c>
      <c r="AA1179" s="3">
        <f>VALUE(SUBSTITUTE(MID($A1179,H1179+H$2+1,I1179-H1179-H$2-1),",","."))</f>
        <v>0</v>
      </c>
      <c r="AB1179" s="3">
        <f>VALUE(SUBSTITUTE(MID($A1179,I1179+I$2+1,J1179-I1179-I$2-1),",","."))</f>
        <v>0</v>
      </c>
      <c r="AC1179" s="3">
        <f>VALUE(SUBSTITUTE(MID($A1179,J1179+J$2+1,K1179-J1179-J$2-1),",","."))</f>
        <v>0.89999999999999902</v>
      </c>
      <c r="AD1179" s="3">
        <f>VALUE(SUBSTITUTE(MID($A1179,K1179+K$2+1,L1179-K1179-K$2-1),",","."))</f>
        <v>22.86</v>
      </c>
      <c r="AE1179" s="3">
        <f>VALUE(SUBSTITUTE(MID($A1179,L1179+L$2+1,M1179-L1179-L$2-1),",","."))</f>
        <v>0</v>
      </c>
      <c r="AF1179" s="3">
        <f>VALUE(SUBSTITUTE(MID($A1179,M1179+M$2+1,N1179-M1179-M$2-1),",","."))</f>
        <v>0</v>
      </c>
      <c r="AG1179" s="3">
        <f>VALUE(SUBSTITUTE(MID($A1179,N1179+N$2+1,O1179-N1179-N$2-1),",","."))</f>
        <v>4.2370001330623897</v>
      </c>
      <c r="AH1179" t="str">
        <f>MID($A1179,O1179+O$2+1,P1179-O1179-O$2-1)</f>
        <v/>
      </c>
      <c r="AI1179" s="8" t="str">
        <f>MID($A1179,P1179+P$2+1,Q1179-P1179-P$2-1)</f>
        <v>False</v>
      </c>
      <c r="AK1179" t="b">
        <f t="shared" si="158"/>
        <v>0</v>
      </c>
    </row>
    <row r="1180" spans="1:37" x14ac:dyDescent="0.35">
      <c r="A1180" t="s">
        <v>5727</v>
      </c>
      <c r="B1180">
        <f t="shared" si="160"/>
        <v>10</v>
      </c>
      <c r="C1180">
        <f t="shared" si="160"/>
        <v>43</v>
      </c>
      <c r="D1180">
        <f t="shared" si="160"/>
        <v>54</v>
      </c>
      <c r="E1180">
        <f t="shared" si="159"/>
        <v>80</v>
      </c>
      <c r="F1180">
        <f t="shared" si="159"/>
        <v>124</v>
      </c>
      <c r="G1180">
        <f t="shared" si="159"/>
        <v>145</v>
      </c>
      <c r="H1180">
        <f t="shared" si="159"/>
        <v>177</v>
      </c>
      <c r="I1180">
        <f t="shared" si="153"/>
        <v>199</v>
      </c>
      <c r="J1180">
        <f t="shared" si="153"/>
        <v>232</v>
      </c>
      <c r="K1180">
        <f t="shared" si="153"/>
        <v>252</v>
      </c>
      <c r="L1180">
        <f t="shared" si="153"/>
        <v>271</v>
      </c>
      <c r="M1180">
        <f t="shared" si="153"/>
        <v>286</v>
      </c>
      <c r="N1180">
        <f t="shared" si="152"/>
        <v>298</v>
      </c>
      <c r="O1180">
        <f t="shared" si="152"/>
        <v>323</v>
      </c>
      <c r="P1180">
        <f t="shared" si="152"/>
        <v>341</v>
      </c>
      <c r="Q1180">
        <f t="shared" si="152"/>
        <v>367</v>
      </c>
      <c r="S1180" t="str">
        <f t="shared" si="155"/>
        <v>09.12.2025</v>
      </c>
      <c r="T1180" t="str">
        <f t="shared" si="156"/>
        <v>01:30:00</v>
      </c>
      <c r="U1180" t="str">
        <f t="shared" si="157"/>
        <v>09.12.2025 01:30:00</v>
      </c>
      <c r="V1180" s="9" t="str">
        <f>MID($A1180,C1180+C$2+1,D1180-C1180-C$2-1)</f>
        <v>0</v>
      </c>
      <c r="W1180" s="4">
        <f>VALUE(SUBSTITUTE(MID($A1180,D1180+D$2+1,E1180-D1180-D$2-1),",","."))</f>
        <v>0</v>
      </c>
      <c r="X1180" s="4">
        <f>VALUE(SUBSTITUTE(MID($A1180,E1180+E$2+1,F1180-E1180-E$2-1),",","."))</f>
        <v>0.90957602214449496</v>
      </c>
      <c r="Y1180" s="4">
        <f>VALUE(SUBSTITUTE(MID($A1180,F1180+F$2+1,G1180-F1180-F$2-1),",","."))</f>
        <v>0</v>
      </c>
      <c r="Z1180" s="3">
        <f>VALUE(SUBSTITUTE(MID($A1180,G1180+G$2+1,H1180-G1180-G$2-1),",","."))</f>
        <v>0</v>
      </c>
      <c r="AA1180" s="3">
        <f>VALUE(SUBSTITUTE(MID($A1180,H1180+H$2+1,I1180-H1180-H$2-1),",","."))</f>
        <v>0</v>
      </c>
      <c r="AB1180" s="3">
        <f>VALUE(SUBSTITUTE(MID($A1180,I1180+I$2+1,J1180-I1180-I$2-1),",","."))</f>
        <v>0</v>
      </c>
      <c r="AC1180" s="3">
        <f>VALUE(SUBSTITUTE(MID($A1180,J1180+J$2+1,K1180-J1180-J$2-1),",","."))</f>
        <v>0.65</v>
      </c>
      <c r="AD1180" s="3">
        <f>VALUE(SUBSTITUTE(MID($A1180,K1180+K$2+1,L1180-K1180-K$2-1),",","."))</f>
        <v>19.62</v>
      </c>
      <c r="AE1180" s="3">
        <f>VALUE(SUBSTITUTE(MID($A1180,L1180+L$2+1,M1180-L1180-L$2-1),",","."))</f>
        <v>0</v>
      </c>
      <c r="AF1180" s="3">
        <f>VALUE(SUBSTITUTE(MID($A1180,M1180+M$2+1,N1180-M1180-M$2-1),",","."))</f>
        <v>0</v>
      </c>
      <c r="AG1180" s="3">
        <f>VALUE(SUBSTITUTE(MID($A1180,N1180+N$2+1,O1180-N1180-N$2-1),",","."))</f>
        <v>4.2370286529504702</v>
      </c>
      <c r="AH1180" t="str">
        <f>MID($A1180,O1180+O$2+1,P1180-O1180-O$2-1)</f>
        <v/>
      </c>
      <c r="AI1180" s="8" t="str">
        <f>MID($A1180,P1180+P$2+1,Q1180-P1180-P$2-1)</f>
        <v>False</v>
      </c>
      <c r="AK1180" t="b">
        <f t="shared" si="158"/>
        <v>0</v>
      </c>
    </row>
    <row r="1181" spans="1:37" x14ac:dyDescent="0.35">
      <c r="A1181" t="s">
        <v>5728</v>
      </c>
      <c r="B1181">
        <f t="shared" si="160"/>
        <v>10</v>
      </c>
      <c r="C1181">
        <f t="shared" si="160"/>
        <v>43</v>
      </c>
      <c r="D1181">
        <f t="shared" si="160"/>
        <v>54</v>
      </c>
      <c r="E1181">
        <f t="shared" si="159"/>
        <v>80</v>
      </c>
      <c r="F1181">
        <f t="shared" si="159"/>
        <v>124</v>
      </c>
      <c r="G1181">
        <f t="shared" si="159"/>
        <v>145</v>
      </c>
      <c r="H1181">
        <f t="shared" si="159"/>
        <v>177</v>
      </c>
      <c r="I1181">
        <f t="shared" si="159"/>
        <v>199</v>
      </c>
      <c r="J1181">
        <f t="shared" si="159"/>
        <v>232</v>
      </c>
      <c r="K1181">
        <f t="shared" si="159"/>
        <v>252</v>
      </c>
      <c r="L1181">
        <f t="shared" si="159"/>
        <v>271</v>
      </c>
      <c r="M1181">
        <f t="shared" si="159"/>
        <v>286</v>
      </c>
      <c r="N1181">
        <f t="shared" si="152"/>
        <v>298</v>
      </c>
      <c r="O1181">
        <f t="shared" si="152"/>
        <v>323</v>
      </c>
      <c r="P1181">
        <f t="shared" si="152"/>
        <v>341</v>
      </c>
      <c r="Q1181">
        <f t="shared" si="152"/>
        <v>367</v>
      </c>
      <c r="S1181" t="str">
        <f t="shared" si="155"/>
        <v>09.12.2025</v>
      </c>
      <c r="T1181" t="str">
        <f t="shared" si="156"/>
        <v>01:45:00</v>
      </c>
      <c r="U1181" t="str">
        <f t="shared" si="157"/>
        <v>09.12.2025 01:45:00</v>
      </c>
      <c r="V1181" s="9" t="str">
        <f>MID($A1181,C1181+C$2+1,D1181-C1181-C$2-1)</f>
        <v>0</v>
      </c>
      <c r="W1181" s="4">
        <f>VALUE(SUBSTITUTE(MID($A1181,D1181+D$2+1,E1181-D1181-D$2-1),",","."))</f>
        <v>0</v>
      </c>
      <c r="X1181" s="4">
        <f>VALUE(SUBSTITUTE(MID($A1181,E1181+E$2+1,F1181-E1181-E$2-1),",","."))</f>
        <v>0.90957602214449496</v>
      </c>
      <c r="Y1181" s="4">
        <f>VALUE(SUBSTITUTE(MID($A1181,F1181+F$2+1,G1181-F1181-F$2-1),",","."))</f>
        <v>0</v>
      </c>
      <c r="Z1181" s="3">
        <f>VALUE(SUBSTITUTE(MID($A1181,G1181+G$2+1,H1181-G1181-G$2-1),",","."))</f>
        <v>0</v>
      </c>
      <c r="AA1181" s="3">
        <f>VALUE(SUBSTITUTE(MID($A1181,H1181+H$2+1,I1181-H1181-H$2-1),",","."))</f>
        <v>0</v>
      </c>
      <c r="AB1181" s="3">
        <f>VALUE(SUBSTITUTE(MID($A1181,I1181+I$2+1,J1181-I1181-I$2-1),",","."))</f>
        <v>0</v>
      </c>
      <c r="AC1181" s="3">
        <f>VALUE(SUBSTITUTE(MID($A1181,J1181+J$2+1,K1181-J1181-J$2-1),",","."))</f>
        <v>0.65</v>
      </c>
      <c r="AD1181" s="3">
        <f>VALUE(SUBSTITUTE(MID($A1181,K1181+K$2+1,L1181-K1181-K$2-1),",","."))</f>
        <v>19.62</v>
      </c>
      <c r="AE1181" s="3">
        <f>VALUE(SUBSTITUTE(MID($A1181,L1181+L$2+1,M1181-L1181-L$2-1),",","."))</f>
        <v>0</v>
      </c>
      <c r="AF1181" s="3">
        <f>VALUE(SUBSTITUTE(MID($A1181,M1181+M$2+1,N1181-M1181-M$2-1),",","."))</f>
        <v>0</v>
      </c>
      <c r="AG1181" s="3">
        <f>VALUE(SUBSTITUTE(MID($A1181,N1181+N$2+1,O1181-N1181-N$2-1),",","."))</f>
        <v>4.2370571728385498</v>
      </c>
      <c r="AH1181" t="str">
        <f>MID($A1181,O1181+O$2+1,P1181-O1181-O$2-1)</f>
        <v/>
      </c>
      <c r="AI1181" s="8" t="str">
        <f>MID($A1181,P1181+P$2+1,Q1181-P1181-P$2-1)</f>
        <v>False</v>
      </c>
      <c r="AK1181" t="b">
        <f t="shared" si="158"/>
        <v>0</v>
      </c>
    </row>
    <row r="1182" spans="1:37" x14ac:dyDescent="0.35">
      <c r="A1182" t="s">
        <v>5729</v>
      </c>
      <c r="B1182">
        <f t="shared" si="160"/>
        <v>10</v>
      </c>
      <c r="C1182">
        <f t="shared" si="160"/>
        <v>43</v>
      </c>
      <c r="D1182">
        <f t="shared" si="160"/>
        <v>54</v>
      </c>
      <c r="E1182">
        <f t="shared" si="159"/>
        <v>80</v>
      </c>
      <c r="F1182">
        <f t="shared" si="159"/>
        <v>124</v>
      </c>
      <c r="G1182">
        <f t="shared" si="159"/>
        <v>145</v>
      </c>
      <c r="H1182">
        <f t="shared" si="159"/>
        <v>177</v>
      </c>
      <c r="I1182">
        <f t="shared" si="159"/>
        <v>199</v>
      </c>
      <c r="J1182">
        <f t="shared" si="159"/>
        <v>232</v>
      </c>
      <c r="K1182">
        <f t="shared" si="159"/>
        <v>252</v>
      </c>
      <c r="L1182">
        <f t="shared" si="159"/>
        <v>271</v>
      </c>
      <c r="M1182">
        <f t="shared" si="159"/>
        <v>286</v>
      </c>
      <c r="N1182">
        <f t="shared" si="152"/>
        <v>298</v>
      </c>
      <c r="O1182">
        <f t="shared" si="152"/>
        <v>323</v>
      </c>
      <c r="P1182">
        <f t="shared" si="152"/>
        <v>341</v>
      </c>
      <c r="Q1182">
        <f t="shared" si="152"/>
        <v>367</v>
      </c>
      <c r="S1182" t="str">
        <f t="shared" si="155"/>
        <v>09.12.2025</v>
      </c>
      <c r="T1182" t="str">
        <f t="shared" si="156"/>
        <v>02:00:00</v>
      </c>
      <c r="U1182" t="str">
        <f t="shared" si="157"/>
        <v>09.12.2025 02:00:00</v>
      </c>
      <c r="V1182" s="9" t="str">
        <f>MID($A1182,C1182+C$2+1,D1182-C1182-C$2-1)</f>
        <v>0</v>
      </c>
      <c r="W1182" s="4">
        <f>VALUE(SUBSTITUTE(MID($A1182,D1182+D$2+1,E1182-D1182-D$2-1),",","."))</f>
        <v>0</v>
      </c>
      <c r="X1182" s="4">
        <f>VALUE(SUBSTITUTE(MID($A1182,E1182+E$2+1,F1182-E1182-E$2-1),",","."))</f>
        <v>0.90957602214449496</v>
      </c>
      <c r="Y1182" s="4">
        <f>VALUE(SUBSTITUTE(MID($A1182,F1182+F$2+1,G1182-F1182-F$2-1),",","."))</f>
        <v>0</v>
      </c>
      <c r="Z1182" s="3">
        <f>VALUE(SUBSTITUTE(MID($A1182,G1182+G$2+1,H1182-G1182-G$2-1),",","."))</f>
        <v>0</v>
      </c>
      <c r="AA1182" s="3">
        <f>VALUE(SUBSTITUTE(MID($A1182,H1182+H$2+1,I1182-H1182-H$2-1),",","."))</f>
        <v>0</v>
      </c>
      <c r="AB1182" s="3">
        <f>VALUE(SUBSTITUTE(MID($A1182,I1182+I$2+1,J1182-I1182-I$2-1),",","."))</f>
        <v>0</v>
      </c>
      <c r="AC1182" s="3">
        <f>VALUE(SUBSTITUTE(MID($A1182,J1182+J$2+1,K1182-J1182-J$2-1),",","."))</f>
        <v>0.65</v>
      </c>
      <c r="AD1182" s="3">
        <f>VALUE(SUBSTITUTE(MID($A1182,K1182+K$2+1,L1182-K1182-K$2-1),",","."))</f>
        <v>19.62</v>
      </c>
      <c r="AE1182" s="3">
        <f>VALUE(SUBSTITUTE(MID($A1182,L1182+L$2+1,M1182-L1182-L$2-1),",","."))</f>
        <v>0</v>
      </c>
      <c r="AF1182" s="3">
        <f>VALUE(SUBSTITUTE(MID($A1182,M1182+M$2+1,N1182-M1182-M$2-1),",","."))</f>
        <v>0</v>
      </c>
      <c r="AG1182" s="3">
        <f>VALUE(SUBSTITUTE(MID($A1182,N1182+N$2+1,O1182-N1182-N$2-1),",","."))</f>
        <v>4.2370856927266303</v>
      </c>
      <c r="AH1182" t="str">
        <f>MID($A1182,O1182+O$2+1,P1182-O1182-O$2-1)</f>
        <v/>
      </c>
      <c r="AI1182" s="8" t="str">
        <f>MID($A1182,P1182+P$2+1,Q1182-P1182-P$2-1)</f>
        <v>False</v>
      </c>
      <c r="AK1182" t="b">
        <f t="shared" si="158"/>
        <v>0</v>
      </c>
    </row>
    <row r="1183" spans="1:37" x14ac:dyDescent="0.35">
      <c r="A1183" t="s">
        <v>5730</v>
      </c>
      <c r="B1183">
        <f t="shared" si="160"/>
        <v>10</v>
      </c>
      <c r="C1183">
        <f t="shared" si="160"/>
        <v>43</v>
      </c>
      <c r="D1183">
        <f t="shared" si="160"/>
        <v>54</v>
      </c>
      <c r="E1183">
        <f t="shared" si="159"/>
        <v>80</v>
      </c>
      <c r="F1183">
        <f t="shared" si="159"/>
        <v>124</v>
      </c>
      <c r="G1183">
        <f t="shared" si="159"/>
        <v>145</v>
      </c>
      <c r="H1183">
        <f t="shared" si="159"/>
        <v>177</v>
      </c>
      <c r="I1183">
        <f t="shared" si="159"/>
        <v>199</v>
      </c>
      <c r="J1183">
        <f t="shared" si="159"/>
        <v>232</v>
      </c>
      <c r="K1183">
        <f t="shared" si="159"/>
        <v>252</v>
      </c>
      <c r="L1183">
        <f t="shared" si="159"/>
        <v>271</v>
      </c>
      <c r="M1183">
        <f t="shared" si="159"/>
        <v>286</v>
      </c>
      <c r="N1183">
        <f t="shared" si="152"/>
        <v>298</v>
      </c>
      <c r="O1183">
        <f t="shared" si="152"/>
        <v>323</v>
      </c>
      <c r="P1183">
        <f t="shared" si="152"/>
        <v>341</v>
      </c>
      <c r="Q1183">
        <f t="shared" si="152"/>
        <v>367</v>
      </c>
      <c r="S1183" t="str">
        <f t="shared" si="155"/>
        <v>09.12.2025</v>
      </c>
      <c r="T1183" t="str">
        <f t="shared" si="156"/>
        <v>02:15:00</v>
      </c>
      <c r="U1183" t="str">
        <f t="shared" si="157"/>
        <v>09.12.2025 02:15:00</v>
      </c>
      <c r="V1183" s="9" t="str">
        <f>MID($A1183,C1183+C$2+1,D1183-C1183-C$2-1)</f>
        <v>0</v>
      </c>
      <c r="W1183" s="4">
        <f>VALUE(SUBSTITUTE(MID($A1183,D1183+D$2+1,E1183-D1183-D$2-1),",","."))</f>
        <v>0</v>
      </c>
      <c r="X1183" s="4">
        <f>VALUE(SUBSTITUTE(MID($A1183,E1183+E$2+1,F1183-E1183-E$2-1),",","."))</f>
        <v>0.90957602214449496</v>
      </c>
      <c r="Y1183" s="4">
        <f>VALUE(SUBSTITUTE(MID($A1183,F1183+F$2+1,G1183-F1183-F$2-1),",","."))</f>
        <v>0</v>
      </c>
      <c r="Z1183" s="3">
        <f>VALUE(SUBSTITUTE(MID($A1183,G1183+G$2+1,H1183-G1183-G$2-1),",","."))</f>
        <v>0</v>
      </c>
      <c r="AA1183" s="3">
        <f>VALUE(SUBSTITUTE(MID($A1183,H1183+H$2+1,I1183-H1183-H$2-1),",","."))</f>
        <v>0</v>
      </c>
      <c r="AB1183" s="3">
        <f>VALUE(SUBSTITUTE(MID($A1183,I1183+I$2+1,J1183-I1183-I$2-1),",","."))</f>
        <v>0</v>
      </c>
      <c r="AC1183" s="3">
        <f>VALUE(SUBSTITUTE(MID($A1183,J1183+J$2+1,K1183-J1183-J$2-1),",","."))</f>
        <v>0.65</v>
      </c>
      <c r="AD1183" s="3">
        <f>VALUE(SUBSTITUTE(MID($A1183,K1183+K$2+1,L1183-K1183-K$2-1),",","."))</f>
        <v>19.62</v>
      </c>
      <c r="AE1183" s="3">
        <f>VALUE(SUBSTITUTE(MID($A1183,L1183+L$2+1,M1183-L1183-L$2-1),",","."))</f>
        <v>0</v>
      </c>
      <c r="AF1183" s="3">
        <f>VALUE(SUBSTITUTE(MID($A1183,M1183+M$2+1,N1183-M1183-M$2-1),",","."))</f>
        <v>0</v>
      </c>
      <c r="AG1183" s="3">
        <f>VALUE(SUBSTITUTE(MID($A1183,N1183+N$2+1,O1183-N1183-N$2-1),",","."))</f>
        <v>4.2371142126147099</v>
      </c>
      <c r="AH1183" t="str">
        <f>MID($A1183,O1183+O$2+1,P1183-O1183-O$2-1)</f>
        <v/>
      </c>
      <c r="AI1183" s="8" t="str">
        <f>MID($A1183,P1183+P$2+1,Q1183-P1183-P$2-1)</f>
        <v>False</v>
      </c>
      <c r="AK1183" t="b">
        <f t="shared" si="158"/>
        <v>0</v>
      </c>
    </row>
    <row r="1184" spans="1:37" x14ac:dyDescent="0.35">
      <c r="A1184" t="s">
        <v>5731</v>
      </c>
      <c r="B1184">
        <f t="shared" si="160"/>
        <v>10</v>
      </c>
      <c r="C1184">
        <f t="shared" si="160"/>
        <v>43</v>
      </c>
      <c r="D1184">
        <f t="shared" si="160"/>
        <v>54</v>
      </c>
      <c r="E1184">
        <f t="shared" si="159"/>
        <v>80</v>
      </c>
      <c r="F1184">
        <f t="shared" si="159"/>
        <v>124</v>
      </c>
      <c r="G1184">
        <f t="shared" si="159"/>
        <v>145</v>
      </c>
      <c r="H1184">
        <f t="shared" si="159"/>
        <v>177</v>
      </c>
      <c r="I1184">
        <f t="shared" si="159"/>
        <v>199</v>
      </c>
      <c r="J1184">
        <f t="shared" si="159"/>
        <v>232</v>
      </c>
      <c r="K1184">
        <f t="shared" si="159"/>
        <v>252</v>
      </c>
      <c r="L1184">
        <f t="shared" si="159"/>
        <v>284</v>
      </c>
      <c r="M1184">
        <f t="shared" si="159"/>
        <v>299</v>
      </c>
      <c r="N1184">
        <f t="shared" si="152"/>
        <v>311</v>
      </c>
      <c r="O1184">
        <f t="shared" si="152"/>
        <v>337</v>
      </c>
      <c r="P1184">
        <f t="shared" si="152"/>
        <v>355</v>
      </c>
      <c r="Q1184">
        <f t="shared" si="152"/>
        <v>381</v>
      </c>
      <c r="S1184" t="str">
        <f t="shared" si="155"/>
        <v>09.12.2025</v>
      </c>
      <c r="T1184" t="str">
        <f t="shared" si="156"/>
        <v>02:30:00</v>
      </c>
      <c r="U1184" t="str">
        <f t="shared" si="157"/>
        <v>09.12.2025 02:30:00</v>
      </c>
      <c r="V1184" s="9" t="str">
        <f>MID($A1184,C1184+C$2+1,D1184-C1184-C$2-1)</f>
        <v>0</v>
      </c>
      <c r="W1184" s="4">
        <f>VALUE(SUBSTITUTE(MID($A1184,D1184+D$2+1,E1184-D1184-D$2-1),",","."))</f>
        <v>0</v>
      </c>
      <c r="X1184" s="4">
        <f>VALUE(SUBSTITUTE(MID($A1184,E1184+E$2+1,F1184-E1184-E$2-1),",","."))</f>
        <v>0.90957602214449496</v>
      </c>
      <c r="Y1184" s="4">
        <f>VALUE(SUBSTITUTE(MID($A1184,F1184+F$2+1,G1184-F1184-F$2-1),",","."))</f>
        <v>0</v>
      </c>
      <c r="Z1184" s="3">
        <f>VALUE(SUBSTITUTE(MID($A1184,G1184+G$2+1,H1184-G1184-G$2-1),",","."))</f>
        <v>0</v>
      </c>
      <c r="AA1184" s="3">
        <f>VALUE(SUBSTITUTE(MID($A1184,H1184+H$2+1,I1184-H1184-H$2-1),",","."))</f>
        <v>0</v>
      </c>
      <c r="AB1184" s="3">
        <f>VALUE(SUBSTITUTE(MID($A1184,I1184+I$2+1,J1184-I1184-I$2-1),",","."))</f>
        <v>0</v>
      </c>
      <c r="AC1184" s="3">
        <f>VALUE(SUBSTITUTE(MID($A1184,J1184+J$2+1,K1184-J1184-J$2-1),",","."))</f>
        <v>0.25</v>
      </c>
      <c r="AD1184" s="3">
        <f>VALUE(SUBSTITUTE(MID($A1184,K1184+K$2+1,L1184-K1184-K$2-1),",","."))</f>
        <v>14.4</v>
      </c>
      <c r="AE1184" s="3">
        <f>VALUE(SUBSTITUTE(MID($A1184,L1184+L$2+1,M1184-L1184-L$2-1),",","."))</f>
        <v>0</v>
      </c>
      <c r="AF1184" s="3">
        <f>VALUE(SUBSTITUTE(MID($A1184,M1184+M$2+1,N1184-M1184-M$2-1),",","."))</f>
        <v>0</v>
      </c>
      <c r="AG1184" s="3">
        <f>VALUE(SUBSTITUTE(MID($A1184,N1184+N$2+1,O1184-N1184-N$2-1),",","."))</f>
        <v>4.2371427325027904</v>
      </c>
      <c r="AH1184" t="str">
        <f>MID($A1184,O1184+O$2+1,P1184-O1184-O$2-1)</f>
        <v/>
      </c>
      <c r="AI1184" s="8" t="str">
        <f>MID($A1184,P1184+P$2+1,Q1184-P1184-P$2-1)</f>
        <v>False</v>
      </c>
      <c r="AK1184" t="b">
        <f t="shared" si="158"/>
        <v>0</v>
      </c>
    </row>
    <row r="1185" spans="1:37" x14ac:dyDescent="0.35">
      <c r="A1185" t="s">
        <v>5732</v>
      </c>
      <c r="B1185">
        <f t="shared" si="160"/>
        <v>10</v>
      </c>
      <c r="C1185">
        <f t="shared" si="160"/>
        <v>43</v>
      </c>
      <c r="D1185">
        <f t="shared" si="160"/>
        <v>54</v>
      </c>
      <c r="E1185">
        <f t="shared" si="159"/>
        <v>80</v>
      </c>
      <c r="F1185">
        <f t="shared" si="159"/>
        <v>124</v>
      </c>
      <c r="G1185">
        <f t="shared" si="159"/>
        <v>145</v>
      </c>
      <c r="H1185">
        <f t="shared" si="159"/>
        <v>177</v>
      </c>
      <c r="I1185">
        <f t="shared" si="159"/>
        <v>199</v>
      </c>
      <c r="J1185">
        <f t="shared" si="159"/>
        <v>232</v>
      </c>
      <c r="K1185">
        <f t="shared" si="159"/>
        <v>252</v>
      </c>
      <c r="L1185">
        <f t="shared" si="159"/>
        <v>284</v>
      </c>
      <c r="M1185">
        <f t="shared" si="159"/>
        <v>299</v>
      </c>
      <c r="N1185">
        <f t="shared" si="152"/>
        <v>311</v>
      </c>
      <c r="O1185">
        <f t="shared" si="152"/>
        <v>336</v>
      </c>
      <c r="P1185">
        <f t="shared" si="152"/>
        <v>354</v>
      </c>
      <c r="Q1185">
        <f t="shared" si="152"/>
        <v>380</v>
      </c>
      <c r="S1185" t="str">
        <f t="shared" si="155"/>
        <v>09.12.2025</v>
      </c>
      <c r="T1185" t="str">
        <f t="shared" si="156"/>
        <v>02:45:00</v>
      </c>
      <c r="U1185" t="str">
        <f t="shared" si="157"/>
        <v>09.12.2025 02:45:00</v>
      </c>
      <c r="V1185" s="9" t="str">
        <f>MID($A1185,C1185+C$2+1,D1185-C1185-C$2-1)</f>
        <v>0</v>
      </c>
      <c r="W1185" s="4">
        <f>VALUE(SUBSTITUTE(MID($A1185,D1185+D$2+1,E1185-D1185-D$2-1),",","."))</f>
        <v>0</v>
      </c>
      <c r="X1185" s="4">
        <f>VALUE(SUBSTITUTE(MID($A1185,E1185+E$2+1,F1185-E1185-E$2-1),",","."))</f>
        <v>0.90957602214449496</v>
      </c>
      <c r="Y1185" s="4">
        <f>VALUE(SUBSTITUTE(MID($A1185,F1185+F$2+1,G1185-F1185-F$2-1),",","."))</f>
        <v>0</v>
      </c>
      <c r="Z1185" s="3">
        <f>VALUE(SUBSTITUTE(MID($A1185,G1185+G$2+1,H1185-G1185-G$2-1),",","."))</f>
        <v>0</v>
      </c>
      <c r="AA1185" s="3">
        <f>VALUE(SUBSTITUTE(MID($A1185,H1185+H$2+1,I1185-H1185-H$2-1),",","."))</f>
        <v>0</v>
      </c>
      <c r="AB1185" s="3">
        <f>VALUE(SUBSTITUTE(MID($A1185,I1185+I$2+1,J1185-I1185-I$2-1),",","."))</f>
        <v>0</v>
      </c>
      <c r="AC1185" s="3">
        <f>VALUE(SUBSTITUTE(MID($A1185,J1185+J$2+1,K1185-J1185-J$2-1),",","."))</f>
        <v>0.25</v>
      </c>
      <c r="AD1185" s="3">
        <f>VALUE(SUBSTITUTE(MID($A1185,K1185+K$2+1,L1185-K1185-K$2-1),",","."))</f>
        <v>14.4</v>
      </c>
      <c r="AE1185" s="3">
        <f>VALUE(SUBSTITUTE(MID($A1185,L1185+L$2+1,M1185-L1185-L$2-1),",","."))</f>
        <v>0</v>
      </c>
      <c r="AF1185" s="3">
        <f>VALUE(SUBSTITUTE(MID($A1185,M1185+M$2+1,N1185-M1185-M$2-1),",","."))</f>
        <v>0</v>
      </c>
      <c r="AG1185" s="3">
        <f>VALUE(SUBSTITUTE(MID($A1185,N1185+N$2+1,O1185-N1185-N$2-1),",","."))</f>
        <v>4.23717125239087</v>
      </c>
      <c r="AH1185" t="str">
        <f>MID($A1185,O1185+O$2+1,P1185-O1185-O$2-1)</f>
        <v/>
      </c>
      <c r="AI1185" s="8" t="str">
        <f>MID($A1185,P1185+P$2+1,Q1185-P1185-P$2-1)</f>
        <v>False</v>
      </c>
      <c r="AK1185" t="b">
        <f t="shared" si="158"/>
        <v>0</v>
      </c>
    </row>
    <row r="1186" spans="1:37" x14ac:dyDescent="0.35">
      <c r="A1186" t="s">
        <v>5733</v>
      </c>
      <c r="B1186">
        <f t="shared" si="160"/>
        <v>10</v>
      </c>
      <c r="C1186">
        <f t="shared" si="160"/>
        <v>43</v>
      </c>
      <c r="D1186">
        <f t="shared" si="160"/>
        <v>54</v>
      </c>
      <c r="E1186">
        <f t="shared" si="159"/>
        <v>80</v>
      </c>
      <c r="F1186">
        <f t="shared" si="159"/>
        <v>124</v>
      </c>
      <c r="G1186">
        <f t="shared" si="159"/>
        <v>145</v>
      </c>
      <c r="H1186">
        <f t="shared" si="159"/>
        <v>177</v>
      </c>
      <c r="I1186">
        <f t="shared" si="159"/>
        <v>199</v>
      </c>
      <c r="J1186">
        <f t="shared" si="159"/>
        <v>232</v>
      </c>
      <c r="K1186">
        <f t="shared" si="159"/>
        <v>252</v>
      </c>
      <c r="L1186">
        <f t="shared" si="159"/>
        <v>284</v>
      </c>
      <c r="M1186">
        <f t="shared" si="159"/>
        <v>299</v>
      </c>
      <c r="N1186">
        <f t="shared" si="152"/>
        <v>311</v>
      </c>
      <c r="O1186">
        <f t="shared" si="152"/>
        <v>335</v>
      </c>
      <c r="P1186">
        <f t="shared" si="152"/>
        <v>353</v>
      </c>
      <c r="Q1186">
        <f t="shared" si="152"/>
        <v>379</v>
      </c>
      <c r="S1186" t="str">
        <f t="shared" si="155"/>
        <v>09.12.2025</v>
      </c>
      <c r="T1186" t="str">
        <f t="shared" si="156"/>
        <v>03:00:00</v>
      </c>
      <c r="U1186" t="str">
        <f t="shared" si="157"/>
        <v>09.12.2025 03:00:00</v>
      </c>
      <c r="V1186" s="9" t="str">
        <f>MID($A1186,C1186+C$2+1,D1186-C1186-C$2-1)</f>
        <v>0</v>
      </c>
      <c r="W1186" s="4">
        <f>VALUE(SUBSTITUTE(MID($A1186,D1186+D$2+1,E1186-D1186-D$2-1),",","."))</f>
        <v>0</v>
      </c>
      <c r="X1186" s="4">
        <f>VALUE(SUBSTITUTE(MID($A1186,E1186+E$2+1,F1186-E1186-E$2-1),",","."))</f>
        <v>0.90957602214449496</v>
      </c>
      <c r="Y1186" s="4">
        <f>VALUE(SUBSTITUTE(MID($A1186,F1186+F$2+1,G1186-F1186-F$2-1),",","."))</f>
        <v>0</v>
      </c>
      <c r="Z1186" s="3">
        <f>VALUE(SUBSTITUTE(MID($A1186,G1186+G$2+1,H1186-G1186-G$2-1),",","."))</f>
        <v>0</v>
      </c>
      <c r="AA1186" s="3">
        <f>VALUE(SUBSTITUTE(MID($A1186,H1186+H$2+1,I1186-H1186-H$2-1),",","."))</f>
        <v>0</v>
      </c>
      <c r="AB1186" s="3">
        <f>VALUE(SUBSTITUTE(MID($A1186,I1186+I$2+1,J1186-I1186-I$2-1),",","."))</f>
        <v>0</v>
      </c>
      <c r="AC1186" s="3">
        <f>VALUE(SUBSTITUTE(MID($A1186,J1186+J$2+1,K1186-J1186-J$2-1),",","."))</f>
        <v>0.25</v>
      </c>
      <c r="AD1186" s="3">
        <f>VALUE(SUBSTITUTE(MID($A1186,K1186+K$2+1,L1186-K1186-K$2-1),",","."))</f>
        <v>14.4</v>
      </c>
      <c r="AE1186" s="3">
        <f>VALUE(SUBSTITUTE(MID($A1186,L1186+L$2+1,M1186-L1186-L$2-1),",","."))</f>
        <v>0</v>
      </c>
      <c r="AF1186" s="3">
        <f>VALUE(SUBSTITUTE(MID($A1186,M1186+M$2+1,N1186-M1186-M$2-1),",","."))</f>
        <v>0</v>
      </c>
      <c r="AG1186" s="3">
        <f>VALUE(SUBSTITUTE(MID($A1186,N1186+N$2+1,O1186-N1186-N$2-1),",","."))</f>
        <v>4.2371997722789603</v>
      </c>
      <c r="AH1186" t="str">
        <f>MID($A1186,O1186+O$2+1,P1186-O1186-O$2-1)</f>
        <v/>
      </c>
      <c r="AI1186" s="8" t="str">
        <f>MID($A1186,P1186+P$2+1,Q1186-P1186-P$2-1)</f>
        <v>False</v>
      </c>
      <c r="AK1186" t="b">
        <f t="shared" si="158"/>
        <v>0</v>
      </c>
    </row>
    <row r="1187" spans="1:37" x14ac:dyDescent="0.35">
      <c r="A1187" t="s">
        <v>5734</v>
      </c>
      <c r="B1187">
        <f t="shared" si="160"/>
        <v>10</v>
      </c>
      <c r="C1187">
        <f t="shared" si="160"/>
        <v>43</v>
      </c>
      <c r="D1187">
        <f t="shared" si="160"/>
        <v>54</v>
      </c>
      <c r="E1187">
        <f t="shared" si="159"/>
        <v>80</v>
      </c>
      <c r="F1187">
        <f t="shared" si="159"/>
        <v>124</v>
      </c>
      <c r="G1187">
        <f t="shared" si="159"/>
        <v>145</v>
      </c>
      <c r="H1187">
        <f t="shared" si="159"/>
        <v>177</v>
      </c>
      <c r="I1187">
        <f t="shared" si="159"/>
        <v>199</v>
      </c>
      <c r="J1187">
        <f t="shared" si="159"/>
        <v>232</v>
      </c>
      <c r="K1187">
        <f t="shared" si="159"/>
        <v>252</v>
      </c>
      <c r="L1187">
        <f t="shared" si="159"/>
        <v>284</v>
      </c>
      <c r="M1187">
        <f t="shared" si="159"/>
        <v>299</v>
      </c>
      <c r="N1187">
        <f t="shared" si="159"/>
        <v>311</v>
      </c>
      <c r="O1187">
        <f t="shared" si="159"/>
        <v>336</v>
      </c>
      <c r="P1187">
        <f t="shared" si="159"/>
        <v>354</v>
      </c>
      <c r="Q1187">
        <f t="shared" si="159"/>
        <v>380</v>
      </c>
      <c r="S1187" t="str">
        <f t="shared" si="155"/>
        <v>09.12.2025</v>
      </c>
      <c r="T1187" t="str">
        <f t="shared" si="156"/>
        <v>03:15:00</v>
      </c>
      <c r="U1187" t="str">
        <f t="shared" si="157"/>
        <v>09.12.2025 03:15:00</v>
      </c>
      <c r="V1187" s="9" t="str">
        <f>MID($A1187,C1187+C$2+1,D1187-C1187-C$2-1)</f>
        <v>0</v>
      </c>
      <c r="W1187" s="4">
        <f>VALUE(SUBSTITUTE(MID($A1187,D1187+D$2+1,E1187-D1187-D$2-1),",","."))</f>
        <v>0</v>
      </c>
      <c r="X1187" s="4">
        <f>VALUE(SUBSTITUTE(MID($A1187,E1187+E$2+1,F1187-E1187-E$2-1),",","."))</f>
        <v>0.90957602214449496</v>
      </c>
      <c r="Y1187" s="4">
        <f>VALUE(SUBSTITUTE(MID($A1187,F1187+F$2+1,G1187-F1187-F$2-1),",","."))</f>
        <v>0</v>
      </c>
      <c r="Z1187" s="3">
        <f>VALUE(SUBSTITUTE(MID($A1187,G1187+G$2+1,H1187-G1187-G$2-1),",","."))</f>
        <v>0</v>
      </c>
      <c r="AA1187" s="3">
        <f>VALUE(SUBSTITUTE(MID($A1187,H1187+H$2+1,I1187-H1187-H$2-1),",","."))</f>
        <v>0</v>
      </c>
      <c r="AB1187" s="3">
        <f>VALUE(SUBSTITUTE(MID($A1187,I1187+I$2+1,J1187-I1187-I$2-1),",","."))</f>
        <v>0</v>
      </c>
      <c r="AC1187" s="3">
        <f>VALUE(SUBSTITUTE(MID($A1187,J1187+J$2+1,K1187-J1187-J$2-1),",","."))</f>
        <v>0.25</v>
      </c>
      <c r="AD1187" s="3">
        <f>VALUE(SUBSTITUTE(MID($A1187,K1187+K$2+1,L1187-K1187-K$2-1),",","."))</f>
        <v>14.4</v>
      </c>
      <c r="AE1187" s="3">
        <f>VALUE(SUBSTITUTE(MID($A1187,L1187+L$2+1,M1187-L1187-L$2-1),",","."))</f>
        <v>0</v>
      </c>
      <c r="AF1187" s="3">
        <f>VALUE(SUBSTITUTE(MID($A1187,M1187+M$2+1,N1187-M1187-M$2-1),",","."))</f>
        <v>0</v>
      </c>
      <c r="AG1187" s="3">
        <f>VALUE(SUBSTITUTE(MID($A1187,N1187+N$2+1,O1187-N1187-N$2-1),",","."))</f>
        <v>4.2372282921670399</v>
      </c>
      <c r="AH1187" t="str">
        <f>MID($A1187,O1187+O$2+1,P1187-O1187-O$2-1)</f>
        <v/>
      </c>
      <c r="AI1187" s="8" t="str">
        <f>MID($A1187,P1187+P$2+1,Q1187-P1187-P$2-1)</f>
        <v>False</v>
      </c>
      <c r="AK1187" t="b">
        <f t="shared" si="158"/>
        <v>0</v>
      </c>
    </row>
    <row r="1188" spans="1:37" x14ac:dyDescent="0.35">
      <c r="A1188" t="s">
        <v>5735</v>
      </c>
      <c r="B1188">
        <f t="shared" si="160"/>
        <v>10</v>
      </c>
      <c r="C1188">
        <f t="shared" si="160"/>
        <v>43</v>
      </c>
      <c r="D1188">
        <f t="shared" si="160"/>
        <v>54</v>
      </c>
      <c r="E1188">
        <f t="shared" si="159"/>
        <v>80</v>
      </c>
      <c r="F1188">
        <f t="shared" si="159"/>
        <v>124</v>
      </c>
      <c r="G1188">
        <f t="shared" si="159"/>
        <v>145</v>
      </c>
      <c r="H1188">
        <f t="shared" si="159"/>
        <v>177</v>
      </c>
      <c r="I1188">
        <f t="shared" si="159"/>
        <v>199</v>
      </c>
      <c r="J1188">
        <f t="shared" si="159"/>
        <v>232</v>
      </c>
      <c r="K1188">
        <f t="shared" si="159"/>
        <v>253</v>
      </c>
      <c r="L1188">
        <f t="shared" si="159"/>
        <v>271</v>
      </c>
      <c r="M1188">
        <f t="shared" si="159"/>
        <v>286</v>
      </c>
      <c r="N1188">
        <f t="shared" si="159"/>
        <v>298</v>
      </c>
      <c r="O1188">
        <f t="shared" si="159"/>
        <v>323</v>
      </c>
      <c r="P1188">
        <f t="shared" si="159"/>
        <v>341</v>
      </c>
      <c r="Q1188">
        <f t="shared" si="159"/>
        <v>367</v>
      </c>
      <c r="S1188" t="str">
        <f t="shared" si="155"/>
        <v>09.12.2025</v>
      </c>
      <c r="T1188" t="str">
        <f t="shared" si="156"/>
        <v>03:30:00</v>
      </c>
      <c r="U1188" t="str">
        <f t="shared" si="157"/>
        <v>09.12.2025 03:30:00</v>
      </c>
      <c r="V1188" s="9" t="str">
        <f>MID($A1188,C1188+C$2+1,D1188-C1188-C$2-1)</f>
        <v>0</v>
      </c>
      <c r="W1188" s="4">
        <f>VALUE(SUBSTITUTE(MID($A1188,D1188+D$2+1,E1188-D1188-D$2-1),",","."))</f>
        <v>0</v>
      </c>
      <c r="X1188" s="4">
        <f>VALUE(SUBSTITUTE(MID($A1188,E1188+E$2+1,F1188-E1188-E$2-1),",","."))</f>
        <v>0.90957602214449496</v>
      </c>
      <c r="Y1188" s="4">
        <f>VALUE(SUBSTITUTE(MID($A1188,F1188+F$2+1,G1188-F1188-F$2-1),",","."))</f>
        <v>0</v>
      </c>
      <c r="Z1188" s="3">
        <f>VALUE(SUBSTITUTE(MID($A1188,G1188+G$2+1,H1188-G1188-G$2-1),",","."))</f>
        <v>0</v>
      </c>
      <c r="AA1188" s="3">
        <f>VALUE(SUBSTITUTE(MID($A1188,H1188+H$2+1,I1188-H1188-H$2-1),",","."))</f>
        <v>0</v>
      </c>
      <c r="AB1188" s="3">
        <f>VALUE(SUBSTITUTE(MID($A1188,I1188+I$2+1,J1188-I1188-I$2-1),",","."))</f>
        <v>0</v>
      </c>
      <c r="AC1188" s="3">
        <f>VALUE(SUBSTITUTE(MID($A1188,J1188+J$2+1,K1188-J1188-J$2-1),",","."))</f>
        <v>-0.15</v>
      </c>
      <c r="AD1188" s="3">
        <f>VALUE(SUBSTITUTE(MID($A1188,K1188+K$2+1,L1188-K1188-K$2-1),",","."))</f>
        <v>8.64</v>
      </c>
      <c r="AE1188" s="3">
        <f>VALUE(SUBSTITUTE(MID($A1188,L1188+L$2+1,M1188-L1188-L$2-1),",","."))</f>
        <v>0</v>
      </c>
      <c r="AF1188" s="3">
        <f>VALUE(SUBSTITUTE(MID($A1188,M1188+M$2+1,N1188-M1188-M$2-1),",","."))</f>
        <v>0</v>
      </c>
      <c r="AG1188" s="3">
        <f>VALUE(SUBSTITUTE(MID($A1188,N1188+N$2+1,O1188-N1188-N$2-1),",","."))</f>
        <v>4.2372568120551204</v>
      </c>
      <c r="AH1188" t="str">
        <f>MID($A1188,O1188+O$2+1,P1188-O1188-O$2-1)</f>
        <v/>
      </c>
      <c r="AI1188" s="8" t="str">
        <f>MID($A1188,P1188+P$2+1,Q1188-P1188-P$2-1)</f>
        <v>False</v>
      </c>
      <c r="AK1188" t="b">
        <f t="shared" si="158"/>
        <v>0</v>
      </c>
    </row>
    <row r="1189" spans="1:37" x14ac:dyDescent="0.35">
      <c r="A1189" t="s">
        <v>5736</v>
      </c>
      <c r="B1189">
        <f t="shared" si="160"/>
        <v>10</v>
      </c>
      <c r="C1189">
        <f t="shared" si="160"/>
        <v>43</v>
      </c>
      <c r="D1189">
        <f t="shared" si="160"/>
        <v>54</v>
      </c>
      <c r="E1189">
        <f t="shared" si="159"/>
        <v>80</v>
      </c>
      <c r="F1189">
        <f t="shared" si="159"/>
        <v>124</v>
      </c>
      <c r="G1189">
        <f t="shared" si="159"/>
        <v>145</v>
      </c>
      <c r="H1189">
        <f t="shared" si="159"/>
        <v>177</v>
      </c>
      <c r="I1189">
        <f t="shared" si="159"/>
        <v>199</v>
      </c>
      <c r="J1189">
        <f t="shared" si="159"/>
        <v>232</v>
      </c>
      <c r="K1189">
        <f t="shared" si="159"/>
        <v>253</v>
      </c>
      <c r="L1189">
        <f t="shared" si="159"/>
        <v>271</v>
      </c>
      <c r="M1189">
        <f t="shared" si="159"/>
        <v>286</v>
      </c>
      <c r="N1189">
        <f t="shared" si="159"/>
        <v>298</v>
      </c>
      <c r="O1189">
        <f t="shared" si="159"/>
        <v>323</v>
      </c>
      <c r="P1189">
        <f t="shared" si="159"/>
        <v>341</v>
      </c>
      <c r="Q1189">
        <f t="shared" si="159"/>
        <v>367</v>
      </c>
      <c r="S1189" t="str">
        <f t="shared" si="155"/>
        <v>09.12.2025</v>
      </c>
      <c r="T1189" t="str">
        <f t="shared" si="156"/>
        <v>03:45:00</v>
      </c>
      <c r="U1189" t="str">
        <f t="shared" si="157"/>
        <v>09.12.2025 03:45:00</v>
      </c>
      <c r="V1189" s="9" t="str">
        <f>MID($A1189,C1189+C$2+1,D1189-C1189-C$2-1)</f>
        <v>0</v>
      </c>
      <c r="W1189" s="4">
        <f>VALUE(SUBSTITUTE(MID($A1189,D1189+D$2+1,E1189-D1189-D$2-1),",","."))</f>
        <v>0</v>
      </c>
      <c r="X1189" s="4">
        <f>VALUE(SUBSTITUTE(MID($A1189,E1189+E$2+1,F1189-E1189-E$2-1),",","."))</f>
        <v>0.90957602214449496</v>
      </c>
      <c r="Y1189" s="4">
        <f>VALUE(SUBSTITUTE(MID($A1189,F1189+F$2+1,G1189-F1189-F$2-1),",","."))</f>
        <v>0</v>
      </c>
      <c r="Z1189" s="3">
        <f>VALUE(SUBSTITUTE(MID($A1189,G1189+G$2+1,H1189-G1189-G$2-1),",","."))</f>
        <v>0</v>
      </c>
      <c r="AA1189" s="3">
        <f>VALUE(SUBSTITUTE(MID($A1189,H1189+H$2+1,I1189-H1189-H$2-1),",","."))</f>
        <v>0</v>
      </c>
      <c r="AB1189" s="3">
        <f>VALUE(SUBSTITUTE(MID($A1189,I1189+I$2+1,J1189-I1189-I$2-1),",","."))</f>
        <v>0</v>
      </c>
      <c r="AC1189" s="3">
        <f>VALUE(SUBSTITUTE(MID($A1189,J1189+J$2+1,K1189-J1189-J$2-1),",","."))</f>
        <v>-0.15</v>
      </c>
      <c r="AD1189" s="3">
        <f>VALUE(SUBSTITUTE(MID($A1189,K1189+K$2+1,L1189-K1189-K$2-1),",","."))</f>
        <v>8.64</v>
      </c>
      <c r="AE1189" s="3">
        <f>VALUE(SUBSTITUTE(MID($A1189,L1189+L$2+1,M1189-L1189-L$2-1),",","."))</f>
        <v>0</v>
      </c>
      <c r="AF1189" s="3">
        <f>VALUE(SUBSTITUTE(MID($A1189,M1189+M$2+1,N1189-M1189-M$2-1),",","."))</f>
        <v>0</v>
      </c>
      <c r="AG1189" s="3">
        <f>VALUE(SUBSTITUTE(MID($A1189,N1189+N$2+1,O1189-N1189-N$2-1),",","."))</f>
        <v>4.2372853319432</v>
      </c>
      <c r="AH1189" t="str">
        <f>MID($A1189,O1189+O$2+1,P1189-O1189-O$2-1)</f>
        <v/>
      </c>
      <c r="AI1189" s="8" t="str">
        <f>MID($A1189,P1189+P$2+1,Q1189-P1189-P$2-1)</f>
        <v>False</v>
      </c>
      <c r="AK1189" t="b">
        <f t="shared" si="158"/>
        <v>0</v>
      </c>
    </row>
    <row r="1190" spans="1:37" x14ac:dyDescent="0.35">
      <c r="A1190" t="s">
        <v>5737</v>
      </c>
      <c r="B1190">
        <f t="shared" si="160"/>
        <v>10</v>
      </c>
      <c r="C1190">
        <f t="shared" si="160"/>
        <v>43</v>
      </c>
      <c r="D1190">
        <f t="shared" si="160"/>
        <v>54</v>
      </c>
      <c r="E1190">
        <f t="shared" si="159"/>
        <v>80</v>
      </c>
      <c r="F1190">
        <f t="shared" si="159"/>
        <v>124</v>
      </c>
      <c r="G1190">
        <f t="shared" si="159"/>
        <v>145</v>
      </c>
      <c r="H1190">
        <f t="shared" si="159"/>
        <v>177</v>
      </c>
      <c r="I1190">
        <f t="shared" si="159"/>
        <v>199</v>
      </c>
      <c r="J1190">
        <f t="shared" si="159"/>
        <v>232</v>
      </c>
      <c r="K1190">
        <f t="shared" si="159"/>
        <v>253</v>
      </c>
      <c r="L1190">
        <f t="shared" si="159"/>
        <v>271</v>
      </c>
      <c r="M1190">
        <f t="shared" si="159"/>
        <v>286</v>
      </c>
      <c r="N1190">
        <f t="shared" si="159"/>
        <v>298</v>
      </c>
      <c r="O1190">
        <f t="shared" si="159"/>
        <v>323</v>
      </c>
      <c r="P1190">
        <f t="shared" si="159"/>
        <v>341</v>
      </c>
      <c r="Q1190">
        <f t="shared" si="159"/>
        <v>367</v>
      </c>
      <c r="S1190" t="str">
        <f t="shared" si="155"/>
        <v>09.12.2025</v>
      </c>
      <c r="T1190" t="str">
        <f t="shared" si="156"/>
        <v>04:00:00</v>
      </c>
      <c r="U1190" t="str">
        <f t="shared" si="157"/>
        <v>09.12.2025 04:00:00</v>
      </c>
      <c r="V1190" s="9" t="str">
        <f>MID($A1190,C1190+C$2+1,D1190-C1190-C$2-1)</f>
        <v>0</v>
      </c>
      <c r="W1190" s="4">
        <f>VALUE(SUBSTITUTE(MID($A1190,D1190+D$2+1,E1190-D1190-D$2-1),",","."))</f>
        <v>0</v>
      </c>
      <c r="X1190" s="4">
        <f>VALUE(SUBSTITUTE(MID($A1190,E1190+E$2+1,F1190-E1190-E$2-1),",","."))</f>
        <v>0.90957602214449496</v>
      </c>
      <c r="Y1190" s="4">
        <f>VALUE(SUBSTITUTE(MID($A1190,F1190+F$2+1,G1190-F1190-F$2-1),",","."))</f>
        <v>0</v>
      </c>
      <c r="Z1190" s="3">
        <f>VALUE(SUBSTITUTE(MID($A1190,G1190+G$2+1,H1190-G1190-G$2-1),",","."))</f>
        <v>0</v>
      </c>
      <c r="AA1190" s="3">
        <f>VALUE(SUBSTITUTE(MID($A1190,H1190+H$2+1,I1190-H1190-H$2-1),",","."))</f>
        <v>0</v>
      </c>
      <c r="AB1190" s="3">
        <f>VALUE(SUBSTITUTE(MID($A1190,I1190+I$2+1,J1190-I1190-I$2-1),",","."))</f>
        <v>0</v>
      </c>
      <c r="AC1190" s="3">
        <f>VALUE(SUBSTITUTE(MID($A1190,J1190+J$2+1,K1190-J1190-J$2-1),",","."))</f>
        <v>-0.15</v>
      </c>
      <c r="AD1190" s="3">
        <f>VALUE(SUBSTITUTE(MID($A1190,K1190+K$2+1,L1190-K1190-K$2-1),",","."))</f>
        <v>8.64</v>
      </c>
      <c r="AE1190" s="3">
        <f>VALUE(SUBSTITUTE(MID($A1190,L1190+L$2+1,M1190-L1190-L$2-1),",","."))</f>
        <v>0</v>
      </c>
      <c r="AF1190" s="3">
        <f>VALUE(SUBSTITUTE(MID($A1190,M1190+M$2+1,N1190-M1190-M$2-1),",","."))</f>
        <v>0</v>
      </c>
      <c r="AG1190" s="3">
        <f>VALUE(SUBSTITUTE(MID($A1190,N1190+N$2+1,O1190-N1190-N$2-1),",","."))</f>
        <v>4.2373138518312796</v>
      </c>
      <c r="AH1190" t="str">
        <f>MID($A1190,O1190+O$2+1,P1190-O1190-O$2-1)</f>
        <v/>
      </c>
      <c r="AI1190" s="8" t="str">
        <f>MID($A1190,P1190+P$2+1,Q1190-P1190-P$2-1)</f>
        <v>False</v>
      </c>
      <c r="AK1190" t="b">
        <f t="shared" si="158"/>
        <v>0</v>
      </c>
    </row>
    <row r="1191" spans="1:37" x14ac:dyDescent="0.35">
      <c r="A1191" t="s">
        <v>5738</v>
      </c>
      <c r="B1191">
        <f t="shared" si="160"/>
        <v>10</v>
      </c>
      <c r="C1191">
        <f t="shared" si="160"/>
        <v>43</v>
      </c>
      <c r="D1191">
        <f t="shared" si="160"/>
        <v>54</v>
      </c>
      <c r="E1191">
        <f t="shared" si="159"/>
        <v>80</v>
      </c>
      <c r="F1191">
        <f t="shared" si="159"/>
        <v>124</v>
      </c>
      <c r="G1191">
        <f t="shared" si="159"/>
        <v>145</v>
      </c>
      <c r="H1191">
        <f t="shared" si="159"/>
        <v>177</v>
      </c>
      <c r="I1191">
        <f t="shared" si="159"/>
        <v>199</v>
      </c>
      <c r="J1191">
        <f t="shared" si="159"/>
        <v>232</v>
      </c>
      <c r="K1191">
        <f t="shared" si="159"/>
        <v>253</v>
      </c>
      <c r="L1191">
        <f t="shared" si="159"/>
        <v>271</v>
      </c>
      <c r="M1191">
        <f t="shared" si="159"/>
        <v>286</v>
      </c>
      <c r="N1191">
        <f t="shared" si="159"/>
        <v>298</v>
      </c>
      <c r="O1191">
        <f t="shared" si="159"/>
        <v>323</v>
      </c>
      <c r="P1191">
        <f t="shared" si="159"/>
        <v>341</v>
      </c>
      <c r="Q1191">
        <f t="shared" si="159"/>
        <v>367</v>
      </c>
      <c r="S1191" t="str">
        <f t="shared" si="155"/>
        <v>09.12.2025</v>
      </c>
      <c r="T1191" t="str">
        <f t="shared" si="156"/>
        <v>04:15:00</v>
      </c>
      <c r="U1191" t="str">
        <f t="shared" si="157"/>
        <v>09.12.2025 04:15:00</v>
      </c>
      <c r="V1191" s="9" t="str">
        <f>MID($A1191,C1191+C$2+1,D1191-C1191-C$2-1)</f>
        <v>0</v>
      </c>
      <c r="W1191" s="4">
        <f>VALUE(SUBSTITUTE(MID($A1191,D1191+D$2+1,E1191-D1191-D$2-1),",","."))</f>
        <v>0</v>
      </c>
      <c r="X1191" s="4">
        <f>VALUE(SUBSTITUTE(MID($A1191,E1191+E$2+1,F1191-E1191-E$2-1),",","."))</f>
        <v>0.90957602214449496</v>
      </c>
      <c r="Y1191" s="4">
        <f>VALUE(SUBSTITUTE(MID($A1191,F1191+F$2+1,G1191-F1191-F$2-1),",","."))</f>
        <v>0</v>
      </c>
      <c r="Z1191" s="3">
        <f>VALUE(SUBSTITUTE(MID($A1191,G1191+G$2+1,H1191-G1191-G$2-1),",","."))</f>
        <v>0</v>
      </c>
      <c r="AA1191" s="3">
        <f>VALUE(SUBSTITUTE(MID($A1191,H1191+H$2+1,I1191-H1191-H$2-1),",","."))</f>
        <v>0</v>
      </c>
      <c r="AB1191" s="3">
        <f>VALUE(SUBSTITUTE(MID($A1191,I1191+I$2+1,J1191-I1191-I$2-1),",","."))</f>
        <v>0</v>
      </c>
      <c r="AC1191" s="3">
        <f>VALUE(SUBSTITUTE(MID($A1191,J1191+J$2+1,K1191-J1191-J$2-1),",","."))</f>
        <v>-0.15</v>
      </c>
      <c r="AD1191" s="3">
        <f>VALUE(SUBSTITUTE(MID($A1191,K1191+K$2+1,L1191-K1191-K$2-1),",","."))</f>
        <v>8.64</v>
      </c>
      <c r="AE1191" s="3">
        <f>VALUE(SUBSTITUTE(MID($A1191,L1191+L$2+1,M1191-L1191-L$2-1),",","."))</f>
        <v>0</v>
      </c>
      <c r="AF1191" s="3">
        <f>VALUE(SUBSTITUTE(MID($A1191,M1191+M$2+1,N1191-M1191-M$2-1),",","."))</f>
        <v>0</v>
      </c>
      <c r="AG1191" s="3">
        <f>VALUE(SUBSTITUTE(MID($A1191,N1191+N$2+1,O1191-N1191-N$2-1),",","."))</f>
        <v>4.2373423717193601</v>
      </c>
      <c r="AH1191" t="str">
        <f>MID($A1191,O1191+O$2+1,P1191-O1191-O$2-1)</f>
        <v/>
      </c>
      <c r="AI1191" s="8" t="str">
        <f>MID($A1191,P1191+P$2+1,Q1191-P1191-P$2-1)</f>
        <v>False</v>
      </c>
      <c r="AK1191" t="b">
        <f t="shared" si="158"/>
        <v>0</v>
      </c>
    </row>
    <row r="1192" spans="1:37" x14ac:dyDescent="0.35">
      <c r="A1192" t="s">
        <v>5739</v>
      </c>
      <c r="B1192">
        <f t="shared" si="160"/>
        <v>10</v>
      </c>
      <c r="C1192">
        <f t="shared" si="160"/>
        <v>43</v>
      </c>
      <c r="D1192">
        <f t="shared" si="160"/>
        <v>54</v>
      </c>
      <c r="E1192">
        <f t="shared" si="159"/>
        <v>80</v>
      </c>
      <c r="F1192">
        <f t="shared" si="159"/>
        <v>124</v>
      </c>
      <c r="G1192">
        <f t="shared" si="159"/>
        <v>145</v>
      </c>
      <c r="H1192">
        <f t="shared" si="159"/>
        <v>177</v>
      </c>
      <c r="I1192">
        <f t="shared" si="159"/>
        <v>199</v>
      </c>
      <c r="J1192">
        <f t="shared" si="159"/>
        <v>232</v>
      </c>
      <c r="K1192">
        <f t="shared" si="159"/>
        <v>253</v>
      </c>
      <c r="L1192">
        <f t="shared" si="159"/>
        <v>271</v>
      </c>
      <c r="M1192">
        <f t="shared" si="159"/>
        <v>286</v>
      </c>
      <c r="N1192">
        <f t="shared" si="159"/>
        <v>298</v>
      </c>
      <c r="O1192">
        <f t="shared" si="159"/>
        <v>324</v>
      </c>
      <c r="P1192">
        <f t="shared" si="159"/>
        <v>342</v>
      </c>
      <c r="Q1192">
        <f t="shared" si="159"/>
        <v>368</v>
      </c>
      <c r="S1192" t="str">
        <f t="shared" si="155"/>
        <v>09.12.2025</v>
      </c>
      <c r="T1192" t="str">
        <f t="shared" si="156"/>
        <v>04:30:00</v>
      </c>
      <c r="U1192" t="str">
        <f t="shared" si="157"/>
        <v>09.12.2025 04:30:00</v>
      </c>
      <c r="V1192" s="9" t="str">
        <f>MID($A1192,C1192+C$2+1,D1192-C1192-C$2-1)</f>
        <v>0</v>
      </c>
      <c r="W1192" s="4">
        <f>VALUE(SUBSTITUTE(MID($A1192,D1192+D$2+1,E1192-D1192-D$2-1),",","."))</f>
        <v>0</v>
      </c>
      <c r="X1192" s="4">
        <f>VALUE(SUBSTITUTE(MID($A1192,E1192+E$2+1,F1192-E1192-E$2-1),",","."))</f>
        <v>0.90957602214449496</v>
      </c>
      <c r="Y1192" s="4">
        <f>VALUE(SUBSTITUTE(MID($A1192,F1192+F$2+1,G1192-F1192-F$2-1),",","."))</f>
        <v>0</v>
      </c>
      <c r="Z1192" s="3">
        <f>VALUE(SUBSTITUTE(MID($A1192,G1192+G$2+1,H1192-G1192-G$2-1),",","."))</f>
        <v>0</v>
      </c>
      <c r="AA1192" s="3">
        <f>VALUE(SUBSTITUTE(MID($A1192,H1192+H$2+1,I1192-H1192-H$2-1),",","."))</f>
        <v>0</v>
      </c>
      <c r="AB1192" s="3">
        <f>VALUE(SUBSTITUTE(MID($A1192,I1192+I$2+1,J1192-I1192-I$2-1),",","."))</f>
        <v>0</v>
      </c>
      <c r="AC1192" s="3">
        <f>VALUE(SUBSTITUTE(MID($A1192,J1192+J$2+1,K1192-J1192-J$2-1),",","."))</f>
        <v>-0.55000000000000004</v>
      </c>
      <c r="AD1192" s="3">
        <f>VALUE(SUBSTITUTE(MID($A1192,K1192+K$2+1,L1192-K1192-K$2-1),",","."))</f>
        <v>4.32</v>
      </c>
      <c r="AE1192" s="3">
        <f>VALUE(SUBSTITUTE(MID($A1192,L1192+L$2+1,M1192-L1192-L$2-1),",","."))</f>
        <v>0</v>
      </c>
      <c r="AF1192" s="3">
        <f>VALUE(SUBSTITUTE(MID($A1192,M1192+M$2+1,N1192-M1192-M$2-1),",","."))</f>
        <v>0</v>
      </c>
      <c r="AG1192" s="3">
        <f>VALUE(SUBSTITUTE(MID($A1192,N1192+N$2+1,O1192-N1192-N$2-1),",","."))</f>
        <v>4.2373708916074397</v>
      </c>
      <c r="AH1192" t="str">
        <f>MID($A1192,O1192+O$2+1,P1192-O1192-O$2-1)</f>
        <v/>
      </c>
      <c r="AI1192" s="8" t="str">
        <f>MID($A1192,P1192+P$2+1,Q1192-P1192-P$2-1)</f>
        <v>False</v>
      </c>
      <c r="AK1192" t="b">
        <f t="shared" si="158"/>
        <v>0</v>
      </c>
    </row>
    <row r="1193" spans="1:37" x14ac:dyDescent="0.35">
      <c r="A1193" t="s">
        <v>5740</v>
      </c>
      <c r="B1193">
        <f t="shared" si="160"/>
        <v>10</v>
      </c>
      <c r="C1193">
        <f t="shared" si="160"/>
        <v>43</v>
      </c>
      <c r="D1193">
        <f t="shared" si="160"/>
        <v>54</v>
      </c>
      <c r="E1193">
        <f t="shared" si="159"/>
        <v>80</v>
      </c>
      <c r="F1193">
        <f t="shared" si="159"/>
        <v>124</v>
      </c>
      <c r="G1193">
        <f t="shared" si="159"/>
        <v>145</v>
      </c>
      <c r="H1193">
        <f t="shared" si="159"/>
        <v>177</v>
      </c>
      <c r="I1193">
        <f t="shared" si="159"/>
        <v>199</v>
      </c>
      <c r="J1193">
        <f t="shared" si="159"/>
        <v>232</v>
      </c>
      <c r="K1193">
        <f t="shared" si="159"/>
        <v>253</v>
      </c>
      <c r="L1193">
        <f t="shared" si="159"/>
        <v>271</v>
      </c>
      <c r="M1193">
        <f t="shared" si="159"/>
        <v>286</v>
      </c>
      <c r="N1193">
        <f t="shared" si="159"/>
        <v>298</v>
      </c>
      <c r="O1193">
        <f t="shared" si="159"/>
        <v>323</v>
      </c>
      <c r="P1193">
        <f t="shared" si="159"/>
        <v>341</v>
      </c>
      <c r="Q1193">
        <f t="shared" si="159"/>
        <v>367</v>
      </c>
      <c r="S1193" t="str">
        <f t="shared" si="155"/>
        <v>09.12.2025</v>
      </c>
      <c r="T1193" t="str">
        <f t="shared" si="156"/>
        <v>04:45:00</v>
      </c>
      <c r="U1193" t="str">
        <f t="shared" si="157"/>
        <v>09.12.2025 04:45:00</v>
      </c>
      <c r="V1193" s="9" t="str">
        <f>MID($A1193,C1193+C$2+1,D1193-C1193-C$2-1)</f>
        <v>0</v>
      </c>
      <c r="W1193" s="4">
        <f>VALUE(SUBSTITUTE(MID($A1193,D1193+D$2+1,E1193-D1193-D$2-1),",","."))</f>
        <v>0</v>
      </c>
      <c r="X1193" s="4">
        <f>VALUE(SUBSTITUTE(MID($A1193,E1193+E$2+1,F1193-E1193-E$2-1),",","."))</f>
        <v>0.90957602214449496</v>
      </c>
      <c r="Y1193" s="4">
        <f>VALUE(SUBSTITUTE(MID($A1193,F1193+F$2+1,G1193-F1193-F$2-1),",","."))</f>
        <v>0</v>
      </c>
      <c r="Z1193" s="3">
        <f>VALUE(SUBSTITUTE(MID($A1193,G1193+G$2+1,H1193-G1193-G$2-1),",","."))</f>
        <v>0</v>
      </c>
      <c r="AA1193" s="3">
        <f>VALUE(SUBSTITUTE(MID($A1193,H1193+H$2+1,I1193-H1193-H$2-1),",","."))</f>
        <v>0</v>
      </c>
      <c r="AB1193" s="3">
        <f>VALUE(SUBSTITUTE(MID($A1193,I1193+I$2+1,J1193-I1193-I$2-1),",","."))</f>
        <v>0</v>
      </c>
      <c r="AC1193" s="3">
        <f>VALUE(SUBSTITUTE(MID($A1193,J1193+J$2+1,K1193-J1193-J$2-1),",","."))</f>
        <v>-0.55000000000000004</v>
      </c>
      <c r="AD1193" s="3">
        <f>VALUE(SUBSTITUTE(MID($A1193,K1193+K$2+1,L1193-K1193-K$2-1),",","."))</f>
        <v>4.32</v>
      </c>
      <c r="AE1193" s="3">
        <f>VALUE(SUBSTITUTE(MID($A1193,L1193+L$2+1,M1193-L1193-L$2-1),",","."))</f>
        <v>0</v>
      </c>
      <c r="AF1193" s="3">
        <f>VALUE(SUBSTITUTE(MID($A1193,M1193+M$2+1,N1193-M1193-M$2-1),",","."))</f>
        <v>0</v>
      </c>
      <c r="AG1193" s="3">
        <f>VALUE(SUBSTITUTE(MID($A1193,N1193+N$2+1,O1193-N1193-N$2-1),",","."))</f>
        <v>4.23739941149553</v>
      </c>
      <c r="AH1193" t="str">
        <f>MID($A1193,O1193+O$2+1,P1193-O1193-O$2-1)</f>
        <v/>
      </c>
      <c r="AI1193" s="8" t="str">
        <f>MID($A1193,P1193+P$2+1,Q1193-P1193-P$2-1)</f>
        <v>False</v>
      </c>
      <c r="AK1193" t="b">
        <f t="shared" si="158"/>
        <v>0</v>
      </c>
    </row>
    <row r="1194" spans="1:37" x14ac:dyDescent="0.35">
      <c r="A1194" t="s">
        <v>5741</v>
      </c>
      <c r="B1194">
        <f t="shared" si="160"/>
        <v>10</v>
      </c>
      <c r="C1194">
        <f t="shared" si="160"/>
        <v>43</v>
      </c>
      <c r="D1194">
        <f t="shared" si="160"/>
        <v>54</v>
      </c>
      <c r="E1194">
        <f t="shared" si="159"/>
        <v>80</v>
      </c>
      <c r="F1194">
        <f t="shared" si="159"/>
        <v>124</v>
      </c>
      <c r="G1194">
        <f t="shared" si="159"/>
        <v>145</v>
      </c>
      <c r="H1194">
        <f t="shared" si="159"/>
        <v>177</v>
      </c>
      <c r="I1194">
        <f t="shared" si="159"/>
        <v>199</v>
      </c>
      <c r="J1194">
        <f t="shared" si="159"/>
        <v>232</v>
      </c>
      <c r="K1194">
        <f t="shared" si="159"/>
        <v>253</v>
      </c>
      <c r="L1194">
        <f t="shared" si="159"/>
        <v>271</v>
      </c>
      <c r="M1194">
        <f t="shared" si="159"/>
        <v>286</v>
      </c>
      <c r="N1194">
        <f t="shared" si="159"/>
        <v>298</v>
      </c>
      <c r="O1194">
        <f t="shared" si="159"/>
        <v>323</v>
      </c>
      <c r="P1194">
        <f t="shared" si="159"/>
        <v>341</v>
      </c>
      <c r="Q1194">
        <f t="shared" si="159"/>
        <v>367</v>
      </c>
      <c r="S1194" t="str">
        <f t="shared" si="155"/>
        <v>09.12.2025</v>
      </c>
      <c r="T1194" t="str">
        <f t="shared" si="156"/>
        <v>05:00:00</v>
      </c>
      <c r="U1194" t="str">
        <f t="shared" si="157"/>
        <v>09.12.2025 05:00:00</v>
      </c>
      <c r="V1194" s="9" t="str">
        <f>MID($A1194,C1194+C$2+1,D1194-C1194-C$2-1)</f>
        <v>0</v>
      </c>
      <c r="W1194" s="4">
        <f>VALUE(SUBSTITUTE(MID($A1194,D1194+D$2+1,E1194-D1194-D$2-1),",","."))</f>
        <v>0</v>
      </c>
      <c r="X1194" s="4">
        <f>VALUE(SUBSTITUTE(MID($A1194,E1194+E$2+1,F1194-E1194-E$2-1),",","."))</f>
        <v>0.90957602214449496</v>
      </c>
      <c r="Y1194" s="4">
        <f>VALUE(SUBSTITUTE(MID($A1194,F1194+F$2+1,G1194-F1194-F$2-1),",","."))</f>
        <v>0</v>
      </c>
      <c r="Z1194" s="3">
        <f>VALUE(SUBSTITUTE(MID($A1194,G1194+G$2+1,H1194-G1194-G$2-1),",","."))</f>
        <v>0</v>
      </c>
      <c r="AA1194" s="3">
        <f>VALUE(SUBSTITUTE(MID($A1194,H1194+H$2+1,I1194-H1194-H$2-1),",","."))</f>
        <v>0</v>
      </c>
      <c r="AB1194" s="3">
        <f>VALUE(SUBSTITUTE(MID($A1194,I1194+I$2+1,J1194-I1194-I$2-1),",","."))</f>
        <v>0</v>
      </c>
      <c r="AC1194" s="3">
        <f>VALUE(SUBSTITUTE(MID($A1194,J1194+J$2+1,K1194-J1194-J$2-1),",","."))</f>
        <v>-0.55000000000000004</v>
      </c>
      <c r="AD1194" s="3">
        <f>VALUE(SUBSTITUTE(MID($A1194,K1194+K$2+1,L1194-K1194-K$2-1),",","."))</f>
        <v>4.32</v>
      </c>
      <c r="AE1194" s="3">
        <f>VALUE(SUBSTITUTE(MID($A1194,L1194+L$2+1,M1194-L1194-L$2-1),",","."))</f>
        <v>0</v>
      </c>
      <c r="AF1194" s="3">
        <f>VALUE(SUBSTITUTE(MID($A1194,M1194+M$2+1,N1194-M1194-M$2-1),",","."))</f>
        <v>0</v>
      </c>
      <c r="AG1194" s="3">
        <f>VALUE(SUBSTITUTE(MID($A1194,N1194+N$2+1,O1194-N1194-N$2-1),",","."))</f>
        <v>4.2374279313836096</v>
      </c>
      <c r="AH1194" t="str">
        <f>MID($A1194,O1194+O$2+1,P1194-O1194-O$2-1)</f>
        <v/>
      </c>
      <c r="AI1194" s="8" t="str">
        <f>MID($A1194,P1194+P$2+1,Q1194-P1194-P$2-1)</f>
        <v>False</v>
      </c>
      <c r="AK1194" t="b">
        <f t="shared" si="158"/>
        <v>0</v>
      </c>
    </row>
    <row r="1195" spans="1:37" x14ac:dyDescent="0.35">
      <c r="A1195" t="s">
        <v>5742</v>
      </c>
      <c r="B1195">
        <f t="shared" si="160"/>
        <v>10</v>
      </c>
      <c r="C1195">
        <f t="shared" si="160"/>
        <v>43</v>
      </c>
      <c r="D1195">
        <f t="shared" si="160"/>
        <v>54</v>
      </c>
      <c r="E1195">
        <f t="shared" si="159"/>
        <v>80</v>
      </c>
      <c r="F1195">
        <f t="shared" si="159"/>
        <v>124</v>
      </c>
      <c r="G1195">
        <f t="shared" si="159"/>
        <v>145</v>
      </c>
      <c r="H1195">
        <f t="shared" si="159"/>
        <v>177</v>
      </c>
      <c r="I1195">
        <f t="shared" si="159"/>
        <v>199</v>
      </c>
      <c r="J1195">
        <f t="shared" si="159"/>
        <v>232</v>
      </c>
      <c r="K1195">
        <f t="shared" si="159"/>
        <v>253</v>
      </c>
      <c r="L1195">
        <f t="shared" si="159"/>
        <v>271</v>
      </c>
      <c r="M1195">
        <f t="shared" si="159"/>
        <v>286</v>
      </c>
      <c r="N1195">
        <f t="shared" si="159"/>
        <v>298</v>
      </c>
      <c r="O1195">
        <f t="shared" si="159"/>
        <v>323</v>
      </c>
      <c r="P1195">
        <f t="shared" si="159"/>
        <v>341</v>
      </c>
      <c r="Q1195">
        <f t="shared" si="159"/>
        <v>367</v>
      </c>
      <c r="S1195" t="str">
        <f t="shared" si="155"/>
        <v>09.12.2025</v>
      </c>
      <c r="T1195" t="str">
        <f t="shared" si="156"/>
        <v>05:15:00</v>
      </c>
      <c r="U1195" t="str">
        <f t="shared" si="157"/>
        <v>09.12.2025 05:15:00</v>
      </c>
      <c r="V1195" s="9" t="str">
        <f>MID($A1195,C1195+C$2+1,D1195-C1195-C$2-1)</f>
        <v>0</v>
      </c>
      <c r="W1195" s="4">
        <f>VALUE(SUBSTITUTE(MID($A1195,D1195+D$2+1,E1195-D1195-D$2-1),",","."))</f>
        <v>0</v>
      </c>
      <c r="X1195" s="4">
        <f>VALUE(SUBSTITUTE(MID($A1195,E1195+E$2+1,F1195-E1195-E$2-1),",","."))</f>
        <v>0.90957602214449496</v>
      </c>
      <c r="Y1195" s="4">
        <f>VALUE(SUBSTITUTE(MID($A1195,F1195+F$2+1,G1195-F1195-F$2-1),",","."))</f>
        <v>0</v>
      </c>
      <c r="Z1195" s="3">
        <f>VALUE(SUBSTITUTE(MID($A1195,G1195+G$2+1,H1195-G1195-G$2-1),",","."))</f>
        <v>0</v>
      </c>
      <c r="AA1195" s="3">
        <f>VALUE(SUBSTITUTE(MID($A1195,H1195+H$2+1,I1195-H1195-H$2-1),",","."))</f>
        <v>0</v>
      </c>
      <c r="AB1195" s="3">
        <f>VALUE(SUBSTITUTE(MID($A1195,I1195+I$2+1,J1195-I1195-I$2-1),",","."))</f>
        <v>0</v>
      </c>
      <c r="AC1195" s="3">
        <f>VALUE(SUBSTITUTE(MID($A1195,J1195+J$2+1,K1195-J1195-J$2-1),",","."))</f>
        <v>-0.55000000000000004</v>
      </c>
      <c r="AD1195" s="3">
        <f>VALUE(SUBSTITUTE(MID($A1195,K1195+K$2+1,L1195-K1195-K$2-1),",","."))</f>
        <v>4.32</v>
      </c>
      <c r="AE1195" s="3">
        <f>VALUE(SUBSTITUTE(MID($A1195,L1195+L$2+1,M1195-L1195-L$2-1),",","."))</f>
        <v>0</v>
      </c>
      <c r="AF1195" s="3">
        <f>VALUE(SUBSTITUTE(MID($A1195,M1195+M$2+1,N1195-M1195-M$2-1),",","."))</f>
        <v>0</v>
      </c>
      <c r="AG1195" s="3">
        <f>VALUE(SUBSTITUTE(MID($A1195,N1195+N$2+1,O1195-N1195-N$2-1),",","."))</f>
        <v>4.2374564512716901</v>
      </c>
      <c r="AH1195" t="str">
        <f>MID($A1195,O1195+O$2+1,P1195-O1195-O$2-1)</f>
        <v/>
      </c>
      <c r="AI1195" s="8" t="str">
        <f>MID($A1195,P1195+P$2+1,Q1195-P1195-P$2-1)</f>
        <v>False</v>
      </c>
      <c r="AK1195" t="b">
        <f t="shared" si="158"/>
        <v>0</v>
      </c>
    </row>
    <row r="1196" spans="1:37" x14ac:dyDescent="0.35">
      <c r="A1196" t="s">
        <v>5743</v>
      </c>
      <c r="B1196">
        <f t="shared" si="160"/>
        <v>10</v>
      </c>
      <c r="C1196">
        <f t="shared" si="160"/>
        <v>43</v>
      </c>
      <c r="D1196">
        <f t="shared" si="160"/>
        <v>54</v>
      </c>
      <c r="E1196">
        <f t="shared" si="159"/>
        <v>80</v>
      </c>
      <c r="F1196">
        <f t="shared" si="159"/>
        <v>124</v>
      </c>
      <c r="G1196">
        <f t="shared" si="159"/>
        <v>145</v>
      </c>
      <c r="H1196">
        <f t="shared" si="159"/>
        <v>177</v>
      </c>
      <c r="I1196">
        <f t="shared" si="159"/>
        <v>199</v>
      </c>
      <c r="J1196">
        <f t="shared" si="159"/>
        <v>232</v>
      </c>
      <c r="K1196">
        <f t="shared" si="159"/>
        <v>252</v>
      </c>
      <c r="L1196">
        <f t="shared" si="159"/>
        <v>270</v>
      </c>
      <c r="M1196">
        <f t="shared" si="159"/>
        <v>285</v>
      </c>
      <c r="N1196">
        <f t="shared" si="159"/>
        <v>297</v>
      </c>
      <c r="O1196">
        <f t="shared" si="159"/>
        <v>322</v>
      </c>
      <c r="P1196">
        <f t="shared" si="159"/>
        <v>340</v>
      </c>
      <c r="Q1196">
        <f t="shared" si="159"/>
        <v>366</v>
      </c>
      <c r="S1196" t="str">
        <f t="shared" si="155"/>
        <v>09.12.2025</v>
      </c>
      <c r="T1196" t="str">
        <f t="shared" si="156"/>
        <v>05:30:00</v>
      </c>
      <c r="U1196" t="str">
        <f t="shared" si="157"/>
        <v>09.12.2025 05:30:00</v>
      </c>
      <c r="V1196" s="9" t="str">
        <f>MID($A1196,C1196+C$2+1,D1196-C1196-C$2-1)</f>
        <v>0</v>
      </c>
      <c r="W1196" s="4">
        <f>VALUE(SUBSTITUTE(MID($A1196,D1196+D$2+1,E1196-D1196-D$2-1),",","."))</f>
        <v>0</v>
      </c>
      <c r="X1196" s="4">
        <f>VALUE(SUBSTITUTE(MID($A1196,E1196+E$2+1,F1196-E1196-E$2-1),",","."))</f>
        <v>0.90957602214449496</v>
      </c>
      <c r="Y1196" s="4">
        <f>VALUE(SUBSTITUTE(MID($A1196,F1196+F$2+1,G1196-F1196-F$2-1),",","."))</f>
        <v>0</v>
      </c>
      <c r="Z1196" s="3">
        <f>VALUE(SUBSTITUTE(MID($A1196,G1196+G$2+1,H1196-G1196-G$2-1),",","."))</f>
        <v>0</v>
      </c>
      <c r="AA1196" s="3">
        <f>VALUE(SUBSTITUTE(MID($A1196,H1196+H$2+1,I1196-H1196-H$2-1),",","."))</f>
        <v>0</v>
      </c>
      <c r="AB1196" s="3">
        <f>VALUE(SUBSTITUTE(MID($A1196,I1196+I$2+1,J1196-I1196-I$2-1),",","."))</f>
        <v>0</v>
      </c>
      <c r="AC1196" s="3">
        <f>VALUE(SUBSTITUTE(MID($A1196,J1196+J$2+1,K1196-J1196-J$2-1),",","."))</f>
        <v>-0.8</v>
      </c>
      <c r="AD1196" s="3">
        <f>VALUE(SUBSTITUTE(MID($A1196,K1196+K$2+1,L1196-K1196-K$2-1),",","."))</f>
        <v>4.68</v>
      </c>
      <c r="AE1196" s="3">
        <f>VALUE(SUBSTITUTE(MID($A1196,L1196+L$2+1,M1196-L1196-L$2-1),",","."))</f>
        <v>0</v>
      </c>
      <c r="AF1196" s="3">
        <f>VALUE(SUBSTITUTE(MID($A1196,M1196+M$2+1,N1196-M1196-M$2-1),",","."))</f>
        <v>0</v>
      </c>
      <c r="AG1196" s="3">
        <f>VALUE(SUBSTITUTE(MID($A1196,N1196+N$2+1,O1196-N1196-N$2-1),",","."))</f>
        <v>4.2374849711597697</v>
      </c>
      <c r="AH1196" t="str">
        <f>MID($A1196,O1196+O$2+1,P1196-O1196-O$2-1)</f>
        <v/>
      </c>
      <c r="AI1196" s="8" t="str">
        <f>MID($A1196,P1196+P$2+1,Q1196-P1196-P$2-1)</f>
        <v>False</v>
      </c>
      <c r="AK1196" t="b">
        <f t="shared" si="158"/>
        <v>0</v>
      </c>
    </row>
    <row r="1197" spans="1:37" x14ac:dyDescent="0.35">
      <c r="A1197" t="s">
        <v>5744</v>
      </c>
      <c r="B1197">
        <f t="shared" si="160"/>
        <v>10</v>
      </c>
      <c r="C1197">
        <f t="shared" si="160"/>
        <v>43</v>
      </c>
      <c r="D1197">
        <f t="shared" si="160"/>
        <v>54</v>
      </c>
      <c r="E1197">
        <f t="shared" si="159"/>
        <v>80</v>
      </c>
      <c r="F1197">
        <f t="shared" si="159"/>
        <v>124</v>
      </c>
      <c r="G1197">
        <f t="shared" si="159"/>
        <v>145</v>
      </c>
      <c r="H1197">
        <f t="shared" si="159"/>
        <v>177</v>
      </c>
      <c r="I1197">
        <f t="shared" si="159"/>
        <v>199</v>
      </c>
      <c r="J1197">
        <f t="shared" si="159"/>
        <v>232</v>
      </c>
      <c r="K1197">
        <f t="shared" si="159"/>
        <v>252</v>
      </c>
      <c r="L1197">
        <f t="shared" si="159"/>
        <v>270</v>
      </c>
      <c r="M1197">
        <f t="shared" si="159"/>
        <v>285</v>
      </c>
      <c r="N1197">
        <f t="shared" si="159"/>
        <v>297</v>
      </c>
      <c r="O1197">
        <f t="shared" si="159"/>
        <v>322</v>
      </c>
      <c r="P1197">
        <f t="shared" si="159"/>
        <v>340</v>
      </c>
      <c r="Q1197">
        <f t="shared" si="159"/>
        <v>366</v>
      </c>
      <c r="S1197" t="str">
        <f t="shared" si="155"/>
        <v>09.12.2025</v>
      </c>
      <c r="T1197" t="str">
        <f t="shared" si="156"/>
        <v>05:45:00</v>
      </c>
      <c r="U1197" t="str">
        <f t="shared" si="157"/>
        <v>09.12.2025 05:45:00</v>
      </c>
      <c r="V1197" s="9" t="str">
        <f>MID($A1197,C1197+C$2+1,D1197-C1197-C$2-1)</f>
        <v>0</v>
      </c>
      <c r="W1197" s="4">
        <f>VALUE(SUBSTITUTE(MID($A1197,D1197+D$2+1,E1197-D1197-D$2-1),",","."))</f>
        <v>0</v>
      </c>
      <c r="X1197" s="4">
        <f>VALUE(SUBSTITUTE(MID($A1197,E1197+E$2+1,F1197-E1197-E$2-1),",","."))</f>
        <v>0.90957602214449496</v>
      </c>
      <c r="Y1197" s="4">
        <f>VALUE(SUBSTITUTE(MID($A1197,F1197+F$2+1,G1197-F1197-F$2-1),",","."))</f>
        <v>0</v>
      </c>
      <c r="Z1197" s="3">
        <f>VALUE(SUBSTITUTE(MID($A1197,G1197+G$2+1,H1197-G1197-G$2-1),",","."))</f>
        <v>0</v>
      </c>
      <c r="AA1197" s="3">
        <f>VALUE(SUBSTITUTE(MID($A1197,H1197+H$2+1,I1197-H1197-H$2-1),",","."))</f>
        <v>0</v>
      </c>
      <c r="AB1197" s="3">
        <f>VALUE(SUBSTITUTE(MID($A1197,I1197+I$2+1,J1197-I1197-I$2-1),",","."))</f>
        <v>0</v>
      </c>
      <c r="AC1197" s="3">
        <f>VALUE(SUBSTITUTE(MID($A1197,J1197+J$2+1,K1197-J1197-J$2-1),",","."))</f>
        <v>-0.8</v>
      </c>
      <c r="AD1197" s="3">
        <f>VALUE(SUBSTITUTE(MID($A1197,K1197+K$2+1,L1197-K1197-K$2-1),",","."))</f>
        <v>4.68</v>
      </c>
      <c r="AE1197" s="3">
        <f>VALUE(SUBSTITUTE(MID($A1197,L1197+L$2+1,M1197-L1197-L$2-1),",","."))</f>
        <v>0</v>
      </c>
      <c r="AF1197" s="3">
        <f>VALUE(SUBSTITUTE(MID($A1197,M1197+M$2+1,N1197-M1197-M$2-1),",","."))</f>
        <v>0</v>
      </c>
      <c r="AG1197" s="3">
        <f>VALUE(SUBSTITUTE(MID($A1197,N1197+N$2+1,O1197-N1197-N$2-1),",","."))</f>
        <v>4.2375134910478502</v>
      </c>
      <c r="AH1197" t="str">
        <f>MID($A1197,O1197+O$2+1,P1197-O1197-O$2-1)</f>
        <v/>
      </c>
      <c r="AI1197" s="8" t="str">
        <f>MID($A1197,P1197+P$2+1,Q1197-P1197-P$2-1)</f>
        <v>False</v>
      </c>
      <c r="AK1197" t="b">
        <f t="shared" si="158"/>
        <v>0</v>
      </c>
    </row>
    <row r="1198" spans="1:37" x14ac:dyDescent="0.35">
      <c r="A1198" t="s">
        <v>5745</v>
      </c>
      <c r="B1198">
        <f t="shared" si="160"/>
        <v>10</v>
      </c>
      <c r="C1198">
        <f t="shared" si="160"/>
        <v>43</v>
      </c>
      <c r="D1198">
        <f t="shared" si="160"/>
        <v>54</v>
      </c>
      <c r="E1198">
        <f t="shared" si="159"/>
        <v>80</v>
      </c>
      <c r="F1198">
        <f t="shared" si="159"/>
        <v>124</v>
      </c>
      <c r="G1198">
        <f t="shared" ref="G1198:Q1221" si="161">FIND(G$1,$A1198)</f>
        <v>145</v>
      </c>
      <c r="H1198">
        <f t="shared" si="161"/>
        <v>177</v>
      </c>
      <c r="I1198">
        <f t="shared" si="161"/>
        <v>199</v>
      </c>
      <c r="J1198">
        <f t="shared" si="161"/>
        <v>232</v>
      </c>
      <c r="K1198">
        <f t="shared" si="161"/>
        <v>252</v>
      </c>
      <c r="L1198">
        <f t="shared" si="161"/>
        <v>270</v>
      </c>
      <c r="M1198">
        <f t="shared" si="161"/>
        <v>285</v>
      </c>
      <c r="N1198">
        <f t="shared" si="161"/>
        <v>297</v>
      </c>
      <c r="O1198">
        <f t="shared" si="161"/>
        <v>321</v>
      </c>
      <c r="P1198">
        <f t="shared" si="161"/>
        <v>339</v>
      </c>
      <c r="Q1198">
        <f t="shared" si="161"/>
        <v>365</v>
      </c>
      <c r="S1198" t="str">
        <f t="shared" si="155"/>
        <v>09.12.2025</v>
      </c>
      <c r="T1198" t="str">
        <f t="shared" si="156"/>
        <v>06:00:00</v>
      </c>
      <c r="U1198" t="str">
        <f t="shared" si="157"/>
        <v>09.12.2025 06:00:00</v>
      </c>
      <c r="V1198" s="9" t="str">
        <f>MID($A1198,C1198+C$2+1,D1198-C1198-C$2-1)</f>
        <v>0</v>
      </c>
      <c r="W1198" s="4">
        <f>VALUE(SUBSTITUTE(MID($A1198,D1198+D$2+1,E1198-D1198-D$2-1),",","."))</f>
        <v>0</v>
      </c>
      <c r="X1198" s="4">
        <f>VALUE(SUBSTITUTE(MID($A1198,E1198+E$2+1,F1198-E1198-E$2-1),",","."))</f>
        <v>0.90957602214449496</v>
      </c>
      <c r="Y1198" s="4">
        <f>VALUE(SUBSTITUTE(MID($A1198,F1198+F$2+1,G1198-F1198-F$2-1),",","."))</f>
        <v>0</v>
      </c>
      <c r="Z1198" s="3">
        <f>VALUE(SUBSTITUTE(MID($A1198,G1198+G$2+1,H1198-G1198-G$2-1),",","."))</f>
        <v>0</v>
      </c>
      <c r="AA1198" s="3">
        <f>VALUE(SUBSTITUTE(MID($A1198,H1198+H$2+1,I1198-H1198-H$2-1),",","."))</f>
        <v>0</v>
      </c>
      <c r="AB1198" s="3">
        <f>VALUE(SUBSTITUTE(MID($A1198,I1198+I$2+1,J1198-I1198-I$2-1),",","."))</f>
        <v>0</v>
      </c>
      <c r="AC1198" s="3">
        <f>VALUE(SUBSTITUTE(MID($A1198,J1198+J$2+1,K1198-J1198-J$2-1),",","."))</f>
        <v>-0.8</v>
      </c>
      <c r="AD1198" s="3">
        <f>VALUE(SUBSTITUTE(MID($A1198,K1198+K$2+1,L1198-K1198-K$2-1),",","."))</f>
        <v>4.68</v>
      </c>
      <c r="AE1198" s="3">
        <f>VALUE(SUBSTITUTE(MID($A1198,L1198+L$2+1,M1198-L1198-L$2-1),",","."))</f>
        <v>0</v>
      </c>
      <c r="AF1198" s="3">
        <f>VALUE(SUBSTITUTE(MID($A1198,M1198+M$2+1,N1198-M1198-M$2-1),",","."))</f>
        <v>0</v>
      </c>
      <c r="AG1198" s="3">
        <f>VALUE(SUBSTITUTE(MID($A1198,N1198+N$2+1,O1198-N1198-N$2-1),",","."))</f>
        <v>4.2375420109359396</v>
      </c>
      <c r="AH1198" t="str">
        <f>MID($A1198,O1198+O$2+1,P1198-O1198-O$2-1)</f>
        <v/>
      </c>
      <c r="AI1198" s="8" t="str">
        <f>MID($A1198,P1198+P$2+1,Q1198-P1198-P$2-1)</f>
        <v>False</v>
      </c>
      <c r="AK1198" t="b">
        <f t="shared" si="158"/>
        <v>0</v>
      </c>
    </row>
    <row r="1199" spans="1:37" x14ac:dyDescent="0.35">
      <c r="A1199" t="s">
        <v>5746</v>
      </c>
      <c r="B1199">
        <f t="shared" si="160"/>
        <v>10</v>
      </c>
      <c r="C1199">
        <f t="shared" si="160"/>
        <v>43</v>
      </c>
      <c r="D1199">
        <f t="shared" si="160"/>
        <v>54</v>
      </c>
      <c r="E1199">
        <f t="shared" si="160"/>
        <v>80</v>
      </c>
      <c r="F1199">
        <f t="shared" si="160"/>
        <v>124</v>
      </c>
      <c r="G1199">
        <f t="shared" si="161"/>
        <v>145</v>
      </c>
      <c r="H1199">
        <f t="shared" si="161"/>
        <v>177</v>
      </c>
      <c r="I1199">
        <f t="shared" si="161"/>
        <v>199</v>
      </c>
      <c r="J1199">
        <f t="shared" si="161"/>
        <v>232</v>
      </c>
      <c r="K1199">
        <f t="shared" si="161"/>
        <v>252</v>
      </c>
      <c r="L1199">
        <f t="shared" si="161"/>
        <v>270</v>
      </c>
      <c r="M1199">
        <f t="shared" si="161"/>
        <v>285</v>
      </c>
      <c r="N1199">
        <f t="shared" si="161"/>
        <v>297</v>
      </c>
      <c r="O1199">
        <f t="shared" si="161"/>
        <v>322</v>
      </c>
      <c r="P1199">
        <f t="shared" si="161"/>
        <v>340</v>
      </c>
      <c r="Q1199">
        <f t="shared" si="161"/>
        <v>366</v>
      </c>
      <c r="S1199" t="str">
        <f t="shared" si="155"/>
        <v>09.12.2025</v>
      </c>
      <c r="T1199" t="str">
        <f t="shared" si="156"/>
        <v>06:15:00</v>
      </c>
      <c r="U1199" t="str">
        <f t="shared" si="157"/>
        <v>09.12.2025 06:15:00</v>
      </c>
      <c r="V1199" s="9" t="str">
        <f>MID($A1199,C1199+C$2+1,D1199-C1199-C$2-1)</f>
        <v>0</v>
      </c>
      <c r="W1199" s="4">
        <f>VALUE(SUBSTITUTE(MID($A1199,D1199+D$2+1,E1199-D1199-D$2-1),",","."))</f>
        <v>0</v>
      </c>
      <c r="X1199" s="4">
        <f>VALUE(SUBSTITUTE(MID($A1199,E1199+E$2+1,F1199-E1199-E$2-1),",","."))</f>
        <v>0.90957602214449496</v>
      </c>
      <c r="Y1199" s="4">
        <f>VALUE(SUBSTITUTE(MID($A1199,F1199+F$2+1,G1199-F1199-F$2-1),",","."))</f>
        <v>0</v>
      </c>
      <c r="Z1199" s="3">
        <f>VALUE(SUBSTITUTE(MID($A1199,G1199+G$2+1,H1199-G1199-G$2-1),",","."))</f>
        <v>0</v>
      </c>
      <c r="AA1199" s="3">
        <f>VALUE(SUBSTITUTE(MID($A1199,H1199+H$2+1,I1199-H1199-H$2-1),",","."))</f>
        <v>0</v>
      </c>
      <c r="AB1199" s="3">
        <f>VALUE(SUBSTITUTE(MID($A1199,I1199+I$2+1,J1199-I1199-I$2-1),",","."))</f>
        <v>0</v>
      </c>
      <c r="AC1199" s="3">
        <f>VALUE(SUBSTITUTE(MID($A1199,J1199+J$2+1,K1199-J1199-J$2-1),",","."))</f>
        <v>-0.8</v>
      </c>
      <c r="AD1199" s="3">
        <f>VALUE(SUBSTITUTE(MID($A1199,K1199+K$2+1,L1199-K1199-K$2-1),",","."))</f>
        <v>4.68</v>
      </c>
      <c r="AE1199" s="3">
        <f>VALUE(SUBSTITUTE(MID($A1199,L1199+L$2+1,M1199-L1199-L$2-1),",","."))</f>
        <v>0</v>
      </c>
      <c r="AF1199" s="3">
        <f>VALUE(SUBSTITUTE(MID($A1199,M1199+M$2+1,N1199-M1199-M$2-1),",","."))</f>
        <v>0</v>
      </c>
      <c r="AG1199" s="3">
        <f>VALUE(SUBSTITUTE(MID($A1199,N1199+N$2+1,O1199-N1199-N$2-1),",","."))</f>
        <v>4.2375705308240201</v>
      </c>
      <c r="AH1199" t="str">
        <f>MID($A1199,O1199+O$2+1,P1199-O1199-O$2-1)</f>
        <v/>
      </c>
      <c r="AI1199" s="8" t="str">
        <f>MID($A1199,P1199+P$2+1,Q1199-P1199-P$2-1)</f>
        <v>False</v>
      </c>
      <c r="AK1199" t="b">
        <f t="shared" si="158"/>
        <v>0</v>
      </c>
    </row>
    <row r="1200" spans="1:37" x14ac:dyDescent="0.35">
      <c r="A1200" t="s">
        <v>5747</v>
      </c>
      <c r="B1200">
        <f t="shared" si="160"/>
        <v>10</v>
      </c>
      <c r="C1200">
        <f t="shared" si="160"/>
        <v>43</v>
      </c>
      <c r="D1200">
        <f t="shared" si="160"/>
        <v>54</v>
      </c>
      <c r="E1200">
        <f t="shared" si="160"/>
        <v>80</v>
      </c>
      <c r="F1200">
        <f t="shared" si="160"/>
        <v>124</v>
      </c>
      <c r="G1200">
        <f t="shared" si="161"/>
        <v>145</v>
      </c>
      <c r="H1200">
        <f t="shared" si="161"/>
        <v>177</v>
      </c>
      <c r="I1200">
        <f t="shared" si="161"/>
        <v>199</v>
      </c>
      <c r="J1200">
        <f t="shared" si="161"/>
        <v>232</v>
      </c>
      <c r="K1200">
        <f t="shared" si="161"/>
        <v>253</v>
      </c>
      <c r="L1200">
        <f t="shared" si="161"/>
        <v>270</v>
      </c>
      <c r="M1200">
        <f t="shared" si="161"/>
        <v>285</v>
      </c>
      <c r="N1200">
        <f t="shared" si="161"/>
        <v>297</v>
      </c>
      <c r="O1200">
        <f t="shared" si="161"/>
        <v>322</v>
      </c>
      <c r="P1200">
        <f t="shared" si="161"/>
        <v>340</v>
      </c>
      <c r="Q1200">
        <f t="shared" si="161"/>
        <v>366</v>
      </c>
      <c r="S1200" t="str">
        <f t="shared" si="155"/>
        <v>09.12.2025</v>
      </c>
      <c r="T1200" t="str">
        <f t="shared" si="156"/>
        <v>06:30:00</v>
      </c>
      <c r="U1200" t="str">
        <f t="shared" si="157"/>
        <v>09.12.2025 06:30:00</v>
      </c>
      <c r="V1200" s="9" t="str">
        <f>MID($A1200,C1200+C$2+1,D1200-C1200-C$2-1)</f>
        <v>0</v>
      </c>
      <c r="W1200" s="4">
        <f>VALUE(SUBSTITUTE(MID($A1200,D1200+D$2+1,E1200-D1200-D$2-1),",","."))</f>
        <v>0</v>
      </c>
      <c r="X1200" s="4">
        <f>VALUE(SUBSTITUTE(MID($A1200,E1200+E$2+1,F1200-E1200-E$2-1),",","."))</f>
        <v>0.90957602214449496</v>
      </c>
      <c r="Y1200" s="4">
        <f>VALUE(SUBSTITUTE(MID($A1200,F1200+F$2+1,G1200-F1200-F$2-1),",","."))</f>
        <v>0</v>
      </c>
      <c r="Z1200" s="3">
        <f>VALUE(SUBSTITUTE(MID($A1200,G1200+G$2+1,H1200-G1200-G$2-1),",","."))</f>
        <v>0</v>
      </c>
      <c r="AA1200" s="3">
        <f>VALUE(SUBSTITUTE(MID($A1200,H1200+H$2+1,I1200-H1200-H$2-1),",","."))</f>
        <v>0</v>
      </c>
      <c r="AB1200" s="3">
        <f>VALUE(SUBSTITUTE(MID($A1200,I1200+I$2+1,J1200-I1200-I$2-1),",","."))</f>
        <v>0</v>
      </c>
      <c r="AC1200" s="3">
        <f>VALUE(SUBSTITUTE(MID($A1200,J1200+J$2+1,K1200-J1200-J$2-1),",","."))</f>
        <v>-0.85</v>
      </c>
      <c r="AD1200" s="3">
        <f>VALUE(SUBSTITUTE(MID($A1200,K1200+K$2+1,L1200-K1200-K$2-1),",","."))</f>
        <v>7.2</v>
      </c>
      <c r="AE1200" s="3">
        <f>VALUE(SUBSTITUTE(MID($A1200,L1200+L$2+1,M1200-L1200-L$2-1),",","."))</f>
        <v>0</v>
      </c>
      <c r="AF1200" s="3">
        <f>VALUE(SUBSTITUTE(MID($A1200,M1200+M$2+1,N1200-M1200-M$2-1),",","."))</f>
        <v>0</v>
      </c>
      <c r="AG1200" s="3">
        <f>VALUE(SUBSTITUTE(MID($A1200,N1200+N$2+1,O1200-N1200-N$2-1),",","."))</f>
        <v>4.2375990507120997</v>
      </c>
      <c r="AH1200" t="str">
        <f>MID($A1200,O1200+O$2+1,P1200-O1200-O$2-1)</f>
        <v/>
      </c>
      <c r="AI1200" s="8" t="str">
        <f>MID($A1200,P1200+P$2+1,Q1200-P1200-P$2-1)</f>
        <v>False</v>
      </c>
      <c r="AK1200" t="b">
        <f t="shared" si="158"/>
        <v>0</v>
      </c>
    </row>
    <row r="1201" spans="1:37" x14ac:dyDescent="0.35">
      <c r="A1201" t="s">
        <v>5748</v>
      </c>
      <c r="B1201">
        <f t="shared" si="160"/>
        <v>10</v>
      </c>
      <c r="C1201">
        <f t="shared" si="160"/>
        <v>43</v>
      </c>
      <c r="D1201">
        <f t="shared" si="160"/>
        <v>54</v>
      </c>
      <c r="E1201">
        <f t="shared" si="160"/>
        <v>80</v>
      </c>
      <c r="F1201">
        <f t="shared" si="160"/>
        <v>124</v>
      </c>
      <c r="G1201">
        <f t="shared" si="161"/>
        <v>145</v>
      </c>
      <c r="H1201">
        <f t="shared" si="161"/>
        <v>177</v>
      </c>
      <c r="I1201">
        <f t="shared" si="161"/>
        <v>199</v>
      </c>
      <c r="J1201">
        <f t="shared" si="161"/>
        <v>232</v>
      </c>
      <c r="K1201">
        <f t="shared" si="161"/>
        <v>253</v>
      </c>
      <c r="L1201">
        <f t="shared" si="161"/>
        <v>270</v>
      </c>
      <c r="M1201">
        <f t="shared" si="161"/>
        <v>285</v>
      </c>
      <c r="N1201">
        <f t="shared" si="161"/>
        <v>297</v>
      </c>
      <c r="O1201">
        <f t="shared" si="161"/>
        <v>322</v>
      </c>
      <c r="P1201">
        <f t="shared" si="161"/>
        <v>340</v>
      </c>
      <c r="Q1201">
        <f t="shared" si="161"/>
        <v>366</v>
      </c>
      <c r="S1201" t="str">
        <f t="shared" si="155"/>
        <v>09.12.2025</v>
      </c>
      <c r="T1201" t="str">
        <f t="shared" si="156"/>
        <v>06:45:00</v>
      </c>
      <c r="U1201" t="str">
        <f t="shared" si="157"/>
        <v>09.12.2025 06:45:00</v>
      </c>
      <c r="V1201" s="9" t="str">
        <f>MID($A1201,C1201+C$2+1,D1201-C1201-C$2-1)</f>
        <v>0</v>
      </c>
      <c r="W1201" s="4">
        <f>VALUE(SUBSTITUTE(MID($A1201,D1201+D$2+1,E1201-D1201-D$2-1),",","."))</f>
        <v>0</v>
      </c>
      <c r="X1201" s="4">
        <f>VALUE(SUBSTITUTE(MID($A1201,E1201+E$2+1,F1201-E1201-E$2-1),",","."))</f>
        <v>0.90957602214449496</v>
      </c>
      <c r="Y1201" s="4">
        <f>VALUE(SUBSTITUTE(MID($A1201,F1201+F$2+1,G1201-F1201-F$2-1),",","."))</f>
        <v>0</v>
      </c>
      <c r="Z1201" s="3">
        <f>VALUE(SUBSTITUTE(MID($A1201,G1201+G$2+1,H1201-G1201-G$2-1),",","."))</f>
        <v>0</v>
      </c>
      <c r="AA1201" s="3">
        <f>VALUE(SUBSTITUTE(MID($A1201,H1201+H$2+1,I1201-H1201-H$2-1),",","."))</f>
        <v>0</v>
      </c>
      <c r="AB1201" s="3">
        <f>VALUE(SUBSTITUTE(MID($A1201,I1201+I$2+1,J1201-I1201-I$2-1),",","."))</f>
        <v>0</v>
      </c>
      <c r="AC1201" s="3">
        <f>VALUE(SUBSTITUTE(MID($A1201,J1201+J$2+1,K1201-J1201-J$2-1),",","."))</f>
        <v>-0.85</v>
      </c>
      <c r="AD1201" s="3">
        <f>VALUE(SUBSTITUTE(MID($A1201,K1201+K$2+1,L1201-K1201-K$2-1),",","."))</f>
        <v>7.2</v>
      </c>
      <c r="AE1201" s="3">
        <f>VALUE(SUBSTITUTE(MID($A1201,L1201+L$2+1,M1201-L1201-L$2-1),",","."))</f>
        <v>0</v>
      </c>
      <c r="AF1201" s="3">
        <f>VALUE(SUBSTITUTE(MID($A1201,M1201+M$2+1,N1201-M1201-M$2-1),",","."))</f>
        <v>0</v>
      </c>
      <c r="AG1201" s="3">
        <f>VALUE(SUBSTITUTE(MID($A1201,N1201+N$2+1,O1201-N1201-N$2-1),",","."))</f>
        <v>4.2376275706001802</v>
      </c>
      <c r="AH1201" t="str">
        <f>MID($A1201,O1201+O$2+1,P1201-O1201-O$2-1)</f>
        <v/>
      </c>
      <c r="AI1201" s="8" t="str">
        <f>MID($A1201,P1201+P$2+1,Q1201-P1201-P$2-1)</f>
        <v>False</v>
      </c>
      <c r="AK1201" t="b">
        <f t="shared" si="158"/>
        <v>0</v>
      </c>
    </row>
    <row r="1202" spans="1:37" x14ac:dyDescent="0.35">
      <c r="A1202" t="s">
        <v>5749</v>
      </c>
      <c r="B1202">
        <f t="shared" si="160"/>
        <v>10</v>
      </c>
      <c r="C1202">
        <f t="shared" si="160"/>
        <v>43</v>
      </c>
      <c r="D1202">
        <f t="shared" si="160"/>
        <v>54</v>
      </c>
      <c r="E1202">
        <f t="shared" si="160"/>
        <v>80</v>
      </c>
      <c r="F1202">
        <f t="shared" si="160"/>
        <v>124</v>
      </c>
      <c r="G1202">
        <f t="shared" si="161"/>
        <v>145</v>
      </c>
      <c r="H1202">
        <f t="shared" si="161"/>
        <v>177</v>
      </c>
      <c r="I1202">
        <f t="shared" si="161"/>
        <v>199</v>
      </c>
      <c r="J1202">
        <f t="shared" si="161"/>
        <v>232</v>
      </c>
      <c r="K1202">
        <f t="shared" si="161"/>
        <v>253</v>
      </c>
      <c r="L1202">
        <f t="shared" si="161"/>
        <v>270</v>
      </c>
      <c r="M1202">
        <f t="shared" si="161"/>
        <v>285</v>
      </c>
      <c r="N1202">
        <f t="shared" si="161"/>
        <v>297</v>
      </c>
      <c r="O1202">
        <f t="shared" si="161"/>
        <v>322</v>
      </c>
      <c r="P1202">
        <f t="shared" si="161"/>
        <v>340</v>
      </c>
      <c r="Q1202">
        <f t="shared" si="161"/>
        <v>366</v>
      </c>
      <c r="S1202" t="str">
        <f t="shared" si="155"/>
        <v>09.12.2025</v>
      </c>
      <c r="T1202" t="str">
        <f t="shared" si="156"/>
        <v>07:00:00</v>
      </c>
      <c r="U1202" t="str">
        <f t="shared" si="157"/>
        <v>09.12.2025 07:00:00</v>
      </c>
      <c r="V1202" s="9" t="str">
        <f>MID($A1202,C1202+C$2+1,D1202-C1202-C$2-1)</f>
        <v>0</v>
      </c>
      <c r="W1202" s="4">
        <f>VALUE(SUBSTITUTE(MID($A1202,D1202+D$2+1,E1202-D1202-D$2-1),",","."))</f>
        <v>0</v>
      </c>
      <c r="X1202" s="4">
        <f>VALUE(SUBSTITUTE(MID($A1202,E1202+E$2+1,F1202-E1202-E$2-1),",","."))</f>
        <v>0.90957602214449496</v>
      </c>
      <c r="Y1202" s="4">
        <f>VALUE(SUBSTITUTE(MID($A1202,F1202+F$2+1,G1202-F1202-F$2-1),",","."))</f>
        <v>0</v>
      </c>
      <c r="Z1202" s="3">
        <f>VALUE(SUBSTITUTE(MID($A1202,G1202+G$2+1,H1202-G1202-G$2-1),",","."))</f>
        <v>0</v>
      </c>
      <c r="AA1202" s="3">
        <f>VALUE(SUBSTITUTE(MID($A1202,H1202+H$2+1,I1202-H1202-H$2-1),",","."))</f>
        <v>0</v>
      </c>
      <c r="AB1202" s="3">
        <f>VALUE(SUBSTITUTE(MID($A1202,I1202+I$2+1,J1202-I1202-I$2-1),",","."))</f>
        <v>0</v>
      </c>
      <c r="AC1202" s="3">
        <f>VALUE(SUBSTITUTE(MID($A1202,J1202+J$2+1,K1202-J1202-J$2-1),",","."))</f>
        <v>-0.85</v>
      </c>
      <c r="AD1202" s="3">
        <f>VALUE(SUBSTITUTE(MID($A1202,K1202+K$2+1,L1202-K1202-K$2-1),",","."))</f>
        <v>7.2</v>
      </c>
      <c r="AE1202" s="3">
        <f>VALUE(SUBSTITUTE(MID($A1202,L1202+L$2+1,M1202-L1202-L$2-1),",","."))</f>
        <v>0</v>
      </c>
      <c r="AF1202" s="3">
        <f>VALUE(SUBSTITUTE(MID($A1202,M1202+M$2+1,N1202-M1202-M$2-1),",","."))</f>
        <v>0</v>
      </c>
      <c r="AG1202" s="3">
        <f>VALUE(SUBSTITUTE(MID($A1202,N1202+N$2+1,O1202-N1202-N$2-1),",","."))</f>
        <v>4.2376560904882599</v>
      </c>
      <c r="AH1202" t="str">
        <f>MID($A1202,O1202+O$2+1,P1202-O1202-O$2-1)</f>
        <v/>
      </c>
      <c r="AI1202" s="8" t="str">
        <f>MID($A1202,P1202+P$2+1,Q1202-P1202-P$2-1)</f>
        <v>False</v>
      </c>
      <c r="AK1202" t="b">
        <f t="shared" si="158"/>
        <v>0</v>
      </c>
    </row>
    <row r="1203" spans="1:37" x14ac:dyDescent="0.35">
      <c r="A1203" t="s">
        <v>5750</v>
      </c>
      <c r="B1203">
        <f t="shared" si="160"/>
        <v>10</v>
      </c>
      <c r="C1203">
        <f t="shared" si="160"/>
        <v>43</v>
      </c>
      <c r="D1203">
        <f t="shared" si="160"/>
        <v>54</v>
      </c>
      <c r="E1203">
        <f t="shared" si="160"/>
        <v>80</v>
      </c>
      <c r="F1203">
        <f t="shared" si="160"/>
        <v>124</v>
      </c>
      <c r="G1203">
        <f t="shared" si="161"/>
        <v>145</v>
      </c>
      <c r="H1203">
        <f t="shared" si="161"/>
        <v>177</v>
      </c>
      <c r="I1203">
        <f t="shared" si="161"/>
        <v>199</v>
      </c>
      <c r="J1203">
        <f t="shared" si="161"/>
        <v>232</v>
      </c>
      <c r="K1203">
        <f t="shared" si="161"/>
        <v>253</v>
      </c>
      <c r="L1203">
        <f t="shared" si="161"/>
        <v>270</v>
      </c>
      <c r="M1203">
        <f t="shared" si="161"/>
        <v>285</v>
      </c>
      <c r="N1203">
        <f t="shared" si="161"/>
        <v>297</v>
      </c>
      <c r="O1203">
        <f t="shared" si="161"/>
        <v>323</v>
      </c>
      <c r="P1203">
        <f t="shared" si="161"/>
        <v>341</v>
      </c>
      <c r="Q1203">
        <f t="shared" si="161"/>
        <v>367</v>
      </c>
      <c r="S1203" t="str">
        <f t="shared" si="155"/>
        <v>09.12.2025</v>
      </c>
      <c r="T1203" t="str">
        <f t="shared" si="156"/>
        <v>07:15:00</v>
      </c>
      <c r="U1203" t="str">
        <f t="shared" si="157"/>
        <v>09.12.2025 07:15:00</v>
      </c>
      <c r="V1203" s="9" t="str">
        <f>MID($A1203,C1203+C$2+1,D1203-C1203-C$2-1)</f>
        <v>0</v>
      </c>
      <c r="W1203" s="4">
        <f>VALUE(SUBSTITUTE(MID($A1203,D1203+D$2+1,E1203-D1203-D$2-1),",","."))</f>
        <v>0</v>
      </c>
      <c r="X1203" s="4">
        <f>VALUE(SUBSTITUTE(MID($A1203,E1203+E$2+1,F1203-E1203-E$2-1),",","."))</f>
        <v>0.90957602214449496</v>
      </c>
      <c r="Y1203" s="4">
        <f>VALUE(SUBSTITUTE(MID($A1203,F1203+F$2+1,G1203-F1203-F$2-1),",","."))</f>
        <v>0</v>
      </c>
      <c r="Z1203" s="3">
        <f>VALUE(SUBSTITUTE(MID($A1203,G1203+G$2+1,H1203-G1203-G$2-1),",","."))</f>
        <v>0</v>
      </c>
      <c r="AA1203" s="3">
        <f>VALUE(SUBSTITUTE(MID($A1203,H1203+H$2+1,I1203-H1203-H$2-1),",","."))</f>
        <v>0</v>
      </c>
      <c r="AB1203" s="3">
        <f>VALUE(SUBSTITUTE(MID($A1203,I1203+I$2+1,J1203-I1203-I$2-1),",","."))</f>
        <v>0</v>
      </c>
      <c r="AC1203" s="3">
        <f>VALUE(SUBSTITUTE(MID($A1203,J1203+J$2+1,K1203-J1203-J$2-1),",","."))</f>
        <v>-0.85</v>
      </c>
      <c r="AD1203" s="3">
        <f>VALUE(SUBSTITUTE(MID($A1203,K1203+K$2+1,L1203-K1203-K$2-1),",","."))</f>
        <v>7.2</v>
      </c>
      <c r="AE1203" s="3">
        <f>VALUE(SUBSTITUTE(MID($A1203,L1203+L$2+1,M1203-L1203-L$2-1),",","."))</f>
        <v>0</v>
      </c>
      <c r="AF1203" s="3">
        <f>VALUE(SUBSTITUTE(MID($A1203,M1203+M$2+1,N1203-M1203-M$2-1),",","."))</f>
        <v>0</v>
      </c>
      <c r="AG1203" s="3">
        <f>VALUE(SUBSTITUTE(MID($A1203,N1203+N$2+1,O1203-N1203-N$2-1),",","."))</f>
        <v>4.2376846103763404</v>
      </c>
      <c r="AH1203" t="str">
        <f>MID($A1203,O1203+O$2+1,P1203-O1203-O$2-1)</f>
        <v/>
      </c>
      <c r="AI1203" s="8" t="str">
        <f>MID($A1203,P1203+P$2+1,Q1203-P1203-P$2-1)</f>
        <v>False</v>
      </c>
      <c r="AK1203" t="b">
        <f t="shared" si="158"/>
        <v>0</v>
      </c>
    </row>
    <row r="1204" spans="1:37" x14ac:dyDescent="0.35">
      <c r="A1204" t="s">
        <v>5751</v>
      </c>
      <c r="B1204">
        <f t="shared" si="160"/>
        <v>10</v>
      </c>
      <c r="C1204">
        <f t="shared" si="160"/>
        <v>43</v>
      </c>
      <c r="D1204">
        <f t="shared" si="160"/>
        <v>54</v>
      </c>
      <c r="E1204">
        <f t="shared" si="160"/>
        <v>80</v>
      </c>
      <c r="F1204">
        <f t="shared" si="160"/>
        <v>124</v>
      </c>
      <c r="G1204">
        <f t="shared" si="161"/>
        <v>145</v>
      </c>
      <c r="H1204">
        <f t="shared" si="161"/>
        <v>177</v>
      </c>
      <c r="I1204">
        <f t="shared" si="161"/>
        <v>199</v>
      </c>
      <c r="J1204">
        <f t="shared" si="161"/>
        <v>232</v>
      </c>
      <c r="K1204">
        <f t="shared" si="161"/>
        <v>252</v>
      </c>
      <c r="L1204">
        <f t="shared" si="161"/>
        <v>270</v>
      </c>
      <c r="M1204">
        <f t="shared" si="161"/>
        <v>285</v>
      </c>
      <c r="N1204">
        <f t="shared" si="161"/>
        <v>297</v>
      </c>
      <c r="O1204">
        <f t="shared" si="161"/>
        <v>322</v>
      </c>
      <c r="P1204">
        <f t="shared" si="161"/>
        <v>340</v>
      </c>
      <c r="Q1204">
        <f t="shared" si="161"/>
        <v>366</v>
      </c>
      <c r="S1204" t="str">
        <f t="shared" si="155"/>
        <v>09.12.2025</v>
      </c>
      <c r="T1204" t="str">
        <f t="shared" si="156"/>
        <v>07:30:00</v>
      </c>
      <c r="U1204" t="str">
        <f t="shared" si="157"/>
        <v>09.12.2025 07:30:00</v>
      </c>
      <c r="V1204" s="9" t="str">
        <f>MID($A1204,C1204+C$2+1,D1204-C1204-C$2-1)</f>
        <v>0</v>
      </c>
      <c r="W1204" s="4">
        <f>VALUE(SUBSTITUTE(MID($A1204,D1204+D$2+1,E1204-D1204-D$2-1),",","."))</f>
        <v>0</v>
      </c>
      <c r="X1204" s="4">
        <f>VALUE(SUBSTITUTE(MID($A1204,E1204+E$2+1,F1204-E1204-E$2-1),",","."))</f>
        <v>0.90957602214449496</v>
      </c>
      <c r="Y1204" s="4">
        <f>VALUE(SUBSTITUTE(MID($A1204,F1204+F$2+1,G1204-F1204-F$2-1),",","."))</f>
        <v>0</v>
      </c>
      <c r="Z1204" s="3">
        <f>VALUE(SUBSTITUTE(MID($A1204,G1204+G$2+1,H1204-G1204-G$2-1),",","."))</f>
        <v>0</v>
      </c>
      <c r="AA1204" s="3">
        <f>VALUE(SUBSTITUTE(MID($A1204,H1204+H$2+1,I1204-H1204-H$2-1),",","."))</f>
        <v>0</v>
      </c>
      <c r="AB1204" s="3">
        <f>VALUE(SUBSTITUTE(MID($A1204,I1204+I$2+1,J1204-I1204-I$2-1),",","."))</f>
        <v>0</v>
      </c>
      <c r="AC1204" s="3">
        <f>VALUE(SUBSTITUTE(MID($A1204,J1204+J$2+1,K1204-J1204-J$2-1),",","."))</f>
        <v>-0.5</v>
      </c>
      <c r="AD1204" s="3">
        <f>VALUE(SUBSTITUTE(MID($A1204,K1204+K$2+1,L1204-K1204-K$2-1),",","."))</f>
        <v>8.2799999999999994</v>
      </c>
      <c r="AE1204" s="3">
        <f>VALUE(SUBSTITUTE(MID($A1204,L1204+L$2+1,M1204-L1204-L$2-1),",","."))</f>
        <v>0</v>
      </c>
      <c r="AF1204" s="3">
        <f>VALUE(SUBSTITUTE(MID($A1204,M1204+M$2+1,N1204-M1204-M$2-1),",","."))</f>
        <v>0</v>
      </c>
      <c r="AG1204" s="3">
        <f>VALUE(SUBSTITUTE(MID($A1204,N1204+N$2+1,O1204-N1204-N$2-1),",","."))</f>
        <v>4.23771313026442</v>
      </c>
      <c r="AH1204" t="str">
        <f>MID($A1204,O1204+O$2+1,P1204-O1204-O$2-1)</f>
        <v/>
      </c>
      <c r="AI1204" s="8" t="str">
        <f>MID($A1204,P1204+P$2+1,Q1204-P1204-P$2-1)</f>
        <v>False</v>
      </c>
      <c r="AK1204" t="b">
        <f t="shared" si="158"/>
        <v>0</v>
      </c>
    </row>
    <row r="1205" spans="1:37" x14ac:dyDescent="0.35">
      <c r="A1205" t="s">
        <v>5752</v>
      </c>
      <c r="B1205">
        <f t="shared" si="160"/>
        <v>10</v>
      </c>
      <c r="C1205">
        <f t="shared" si="160"/>
        <v>43</v>
      </c>
      <c r="D1205">
        <f t="shared" si="160"/>
        <v>54</v>
      </c>
      <c r="E1205">
        <f t="shared" si="160"/>
        <v>80</v>
      </c>
      <c r="F1205">
        <f t="shared" si="160"/>
        <v>124</v>
      </c>
      <c r="G1205">
        <f t="shared" si="161"/>
        <v>145</v>
      </c>
      <c r="H1205">
        <f t="shared" si="161"/>
        <v>177</v>
      </c>
      <c r="I1205">
        <f t="shared" si="161"/>
        <v>199</v>
      </c>
      <c r="J1205">
        <f t="shared" si="161"/>
        <v>232</v>
      </c>
      <c r="K1205">
        <f t="shared" si="161"/>
        <v>252</v>
      </c>
      <c r="L1205">
        <f t="shared" si="161"/>
        <v>270</v>
      </c>
      <c r="M1205">
        <f t="shared" si="161"/>
        <v>285</v>
      </c>
      <c r="N1205">
        <f t="shared" si="161"/>
        <v>297</v>
      </c>
      <c r="O1205">
        <f t="shared" si="161"/>
        <v>321</v>
      </c>
      <c r="P1205">
        <f t="shared" si="161"/>
        <v>339</v>
      </c>
      <c r="Q1205">
        <f t="shared" si="161"/>
        <v>365</v>
      </c>
      <c r="S1205" t="str">
        <f t="shared" si="155"/>
        <v>09.12.2025</v>
      </c>
      <c r="T1205" t="str">
        <f t="shared" si="156"/>
        <v>07:45:00</v>
      </c>
      <c r="U1205" t="str">
        <f t="shared" si="157"/>
        <v>09.12.2025 07:45:00</v>
      </c>
      <c r="V1205" s="9" t="str">
        <f>MID($A1205,C1205+C$2+1,D1205-C1205-C$2-1)</f>
        <v>0</v>
      </c>
      <c r="W1205" s="4">
        <f>VALUE(SUBSTITUTE(MID($A1205,D1205+D$2+1,E1205-D1205-D$2-1),",","."))</f>
        <v>0</v>
      </c>
      <c r="X1205" s="4">
        <f>VALUE(SUBSTITUTE(MID($A1205,E1205+E$2+1,F1205-E1205-E$2-1),",","."))</f>
        <v>0.90957602214449496</v>
      </c>
      <c r="Y1205" s="4">
        <f>VALUE(SUBSTITUTE(MID($A1205,F1205+F$2+1,G1205-F1205-F$2-1),",","."))</f>
        <v>0</v>
      </c>
      <c r="Z1205" s="3">
        <f>VALUE(SUBSTITUTE(MID($A1205,G1205+G$2+1,H1205-G1205-G$2-1),",","."))</f>
        <v>0</v>
      </c>
      <c r="AA1205" s="3">
        <f>VALUE(SUBSTITUTE(MID($A1205,H1205+H$2+1,I1205-H1205-H$2-1),",","."))</f>
        <v>0</v>
      </c>
      <c r="AB1205" s="3">
        <f>VALUE(SUBSTITUTE(MID($A1205,I1205+I$2+1,J1205-I1205-I$2-1),",","."))</f>
        <v>0</v>
      </c>
      <c r="AC1205" s="3">
        <f>VALUE(SUBSTITUTE(MID($A1205,J1205+J$2+1,K1205-J1205-J$2-1),",","."))</f>
        <v>-0.5</v>
      </c>
      <c r="AD1205" s="3">
        <f>VALUE(SUBSTITUTE(MID($A1205,K1205+K$2+1,L1205-K1205-K$2-1),",","."))</f>
        <v>8.2799999999999994</v>
      </c>
      <c r="AE1205" s="3">
        <f>VALUE(SUBSTITUTE(MID($A1205,L1205+L$2+1,M1205-L1205-L$2-1),",","."))</f>
        <v>0</v>
      </c>
      <c r="AF1205" s="3">
        <f>VALUE(SUBSTITUTE(MID($A1205,M1205+M$2+1,N1205-M1205-M$2-1),",","."))</f>
        <v>0</v>
      </c>
      <c r="AG1205" s="3">
        <f>VALUE(SUBSTITUTE(MID($A1205,N1205+N$2+1,O1205-N1205-N$2-1),",","."))</f>
        <v>4.2377416501525103</v>
      </c>
      <c r="AH1205" t="str">
        <f>MID($A1205,O1205+O$2+1,P1205-O1205-O$2-1)</f>
        <v/>
      </c>
      <c r="AI1205" s="8" t="str">
        <f>MID($A1205,P1205+P$2+1,Q1205-P1205-P$2-1)</f>
        <v>False</v>
      </c>
      <c r="AK1205" t="b">
        <f t="shared" si="158"/>
        <v>0</v>
      </c>
    </row>
    <row r="1206" spans="1:37" x14ac:dyDescent="0.35">
      <c r="A1206" t="s">
        <v>5753</v>
      </c>
      <c r="B1206">
        <f t="shared" si="160"/>
        <v>10</v>
      </c>
      <c r="C1206">
        <f t="shared" si="160"/>
        <v>43</v>
      </c>
      <c r="D1206">
        <f t="shared" si="160"/>
        <v>54</v>
      </c>
      <c r="E1206">
        <f t="shared" si="160"/>
        <v>80</v>
      </c>
      <c r="F1206">
        <f t="shared" si="160"/>
        <v>124</v>
      </c>
      <c r="G1206">
        <f t="shared" si="161"/>
        <v>164</v>
      </c>
      <c r="H1206">
        <f t="shared" si="161"/>
        <v>196</v>
      </c>
      <c r="I1206">
        <f t="shared" si="161"/>
        <v>218</v>
      </c>
      <c r="J1206">
        <f t="shared" si="161"/>
        <v>251</v>
      </c>
      <c r="K1206">
        <f t="shared" si="161"/>
        <v>271</v>
      </c>
      <c r="L1206">
        <f t="shared" si="161"/>
        <v>289</v>
      </c>
      <c r="M1206">
        <f t="shared" si="161"/>
        <v>304</v>
      </c>
      <c r="N1206">
        <f t="shared" si="161"/>
        <v>316</v>
      </c>
      <c r="O1206">
        <f t="shared" si="161"/>
        <v>341</v>
      </c>
      <c r="P1206">
        <f t="shared" si="161"/>
        <v>359</v>
      </c>
      <c r="Q1206">
        <f t="shared" si="161"/>
        <v>385</v>
      </c>
      <c r="S1206" t="str">
        <f t="shared" si="155"/>
        <v>09.12.2025</v>
      </c>
      <c r="T1206" t="str">
        <f t="shared" si="156"/>
        <v>08:00:00</v>
      </c>
      <c r="U1206" t="str">
        <f t="shared" si="157"/>
        <v>09.12.2025 08:00:00</v>
      </c>
      <c r="V1206" s="9" t="str">
        <f>MID($A1206,C1206+C$2+1,D1206-C1206-C$2-1)</f>
        <v>0</v>
      </c>
      <c r="W1206" s="4">
        <f>VALUE(SUBSTITUTE(MID($A1206,D1206+D$2+1,E1206-D1206-D$2-1),",","."))</f>
        <v>0</v>
      </c>
      <c r="X1206" s="4">
        <f>VALUE(SUBSTITUTE(MID($A1206,E1206+E$2+1,F1206-E1206-E$2-1),",","."))</f>
        <v>0.90957602214449496</v>
      </c>
      <c r="Y1206" s="4">
        <f>VALUE(SUBSTITUTE(MID($A1206,F1206+F$2+1,G1206-F1206-F$2-1),",","."))</f>
        <v>1.1565934151233701E-2</v>
      </c>
      <c r="Z1206" s="3">
        <f>VALUE(SUBSTITUTE(MID($A1206,G1206+G$2+1,H1206-G1206-G$2-1),",","."))</f>
        <v>0</v>
      </c>
      <c r="AA1206" s="3">
        <f>VALUE(SUBSTITUTE(MID($A1206,H1206+H$2+1,I1206-H1206-H$2-1),",","."))</f>
        <v>0</v>
      </c>
      <c r="AB1206" s="3">
        <f>VALUE(SUBSTITUTE(MID($A1206,I1206+I$2+1,J1206-I1206-I$2-1),",","."))</f>
        <v>0</v>
      </c>
      <c r="AC1206" s="3">
        <f>VALUE(SUBSTITUTE(MID($A1206,J1206+J$2+1,K1206-J1206-J$2-1),",","."))</f>
        <v>-0.5</v>
      </c>
      <c r="AD1206" s="3">
        <f>VALUE(SUBSTITUTE(MID($A1206,K1206+K$2+1,L1206-K1206-K$2-1),",","."))</f>
        <v>8.2799999999999994</v>
      </c>
      <c r="AE1206" s="3">
        <f>VALUE(SUBSTITUTE(MID($A1206,L1206+L$2+1,M1206-L1206-L$2-1),",","."))</f>
        <v>0</v>
      </c>
      <c r="AF1206" s="3">
        <f>VALUE(SUBSTITUTE(MID($A1206,M1206+M$2+1,N1206-M1206-M$2-1),",","."))</f>
        <v>0</v>
      </c>
      <c r="AG1206" s="3">
        <f>VALUE(SUBSTITUTE(MID($A1206,N1206+N$2+1,O1206-N1206-N$2-1),",","."))</f>
        <v>4.2377701700405899</v>
      </c>
      <c r="AH1206" t="str">
        <f>MID($A1206,O1206+O$2+1,P1206-O1206-O$2-1)</f>
        <v/>
      </c>
      <c r="AI1206" s="8" t="str">
        <f>MID($A1206,P1206+P$2+1,Q1206-P1206-P$2-1)</f>
        <v>False</v>
      </c>
      <c r="AK1206" t="b">
        <f t="shared" si="158"/>
        <v>0</v>
      </c>
    </row>
    <row r="1207" spans="1:37" x14ac:dyDescent="0.35">
      <c r="A1207" t="s">
        <v>5754</v>
      </c>
      <c r="B1207">
        <f t="shared" si="160"/>
        <v>10</v>
      </c>
      <c r="C1207">
        <f t="shared" si="160"/>
        <v>43</v>
      </c>
      <c r="D1207">
        <f t="shared" si="160"/>
        <v>54</v>
      </c>
      <c r="E1207">
        <f t="shared" si="160"/>
        <v>97</v>
      </c>
      <c r="F1207">
        <f t="shared" si="160"/>
        <v>141</v>
      </c>
      <c r="G1207">
        <f t="shared" si="161"/>
        <v>180</v>
      </c>
      <c r="H1207">
        <f t="shared" si="161"/>
        <v>212</v>
      </c>
      <c r="I1207">
        <f t="shared" si="161"/>
        <v>234</v>
      </c>
      <c r="J1207">
        <f t="shared" si="161"/>
        <v>267</v>
      </c>
      <c r="K1207">
        <f t="shared" si="161"/>
        <v>287</v>
      </c>
      <c r="L1207">
        <f t="shared" si="161"/>
        <v>305</v>
      </c>
      <c r="M1207">
        <f t="shared" si="161"/>
        <v>320</v>
      </c>
      <c r="N1207">
        <f t="shared" si="161"/>
        <v>332</v>
      </c>
      <c r="O1207">
        <f t="shared" si="161"/>
        <v>357</v>
      </c>
      <c r="P1207">
        <f t="shared" si="161"/>
        <v>375</v>
      </c>
      <c r="Q1207">
        <f t="shared" si="161"/>
        <v>401</v>
      </c>
      <c r="S1207" t="str">
        <f t="shared" si="155"/>
        <v>09.12.2025</v>
      </c>
      <c r="T1207" t="str">
        <f t="shared" si="156"/>
        <v>08:15:00</v>
      </c>
      <c r="U1207" t="str">
        <f t="shared" si="157"/>
        <v>09.12.2025 08:15:00</v>
      </c>
      <c r="V1207" s="9" t="str">
        <f>MID($A1207,C1207+C$2+1,D1207-C1207-C$2-1)</f>
        <v>0</v>
      </c>
      <c r="W1207" s="4">
        <f>VALUE(SUBSTITUTE(MID($A1207,D1207+D$2+1,E1207-D1207-D$2-1),",","."))</f>
        <v>0.52924744318238703</v>
      </c>
      <c r="X1207" s="4">
        <f>VALUE(SUBSTITUTE(MID($A1207,E1207+E$2+1,F1207-E1207-E$2-1),",","."))</f>
        <v>0.90957602214449496</v>
      </c>
      <c r="Y1207" s="4">
        <f>VALUE(SUBSTITUTE(MID($A1207,F1207+F$2+1,G1207-F1207-F$2-1),",","."))</f>
        <v>4.3857007464867703E-2</v>
      </c>
      <c r="Z1207" s="3">
        <f>VALUE(SUBSTITUTE(MID($A1207,G1207+G$2+1,H1207-G1207-G$2-1),",","."))</f>
        <v>0</v>
      </c>
      <c r="AA1207" s="3">
        <f>VALUE(SUBSTITUTE(MID($A1207,H1207+H$2+1,I1207-H1207-H$2-1),",","."))</f>
        <v>0</v>
      </c>
      <c r="AB1207" s="3">
        <f>VALUE(SUBSTITUTE(MID($A1207,I1207+I$2+1,J1207-I1207-I$2-1),",","."))</f>
        <v>0</v>
      </c>
      <c r="AC1207" s="3">
        <f>VALUE(SUBSTITUTE(MID($A1207,J1207+J$2+1,K1207-J1207-J$2-1),",","."))</f>
        <v>-0.5</v>
      </c>
      <c r="AD1207" s="3">
        <f>VALUE(SUBSTITUTE(MID($A1207,K1207+K$2+1,L1207-K1207-K$2-1),",","."))</f>
        <v>8.2799999999999994</v>
      </c>
      <c r="AE1207" s="3">
        <f>VALUE(SUBSTITUTE(MID($A1207,L1207+L$2+1,M1207-L1207-L$2-1),",","."))</f>
        <v>0</v>
      </c>
      <c r="AF1207" s="3">
        <f>VALUE(SUBSTITUTE(MID($A1207,M1207+M$2+1,N1207-M1207-M$2-1),",","."))</f>
        <v>0</v>
      </c>
      <c r="AG1207" s="3">
        <f>VALUE(SUBSTITUTE(MID($A1207,N1207+N$2+1,O1207-N1207-N$2-1),",","."))</f>
        <v>4.2377986899286704</v>
      </c>
      <c r="AH1207" t="str">
        <f>MID($A1207,O1207+O$2+1,P1207-O1207-O$2-1)</f>
        <v/>
      </c>
      <c r="AI1207" s="8" t="str">
        <f>MID($A1207,P1207+P$2+1,Q1207-P1207-P$2-1)</f>
        <v>False</v>
      </c>
      <c r="AK1207" t="b">
        <f t="shared" si="158"/>
        <v>0</v>
      </c>
    </row>
    <row r="1208" spans="1:37" x14ac:dyDescent="0.35">
      <c r="A1208" t="s">
        <v>5755</v>
      </c>
      <c r="B1208">
        <f t="shared" si="160"/>
        <v>10</v>
      </c>
      <c r="C1208">
        <f t="shared" si="160"/>
        <v>43</v>
      </c>
      <c r="D1208">
        <f t="shared" si="160"/>
        <v>54</v>
      </c>
      <c r="E1208">
        <f t="shared" si="160"/>
        <v>97</v>
      </c>
      <c r="F1208">
        <f t="shared" si="160"/>
        <v>141</v>
      </c>
      <c r="G1208">
        <f t="shared" si="161"/>
        <v>180</v>
      </c>
      <c r="H1208">
        <f t="shared" si="161"/>
        <v>228</v>
      </c>
      <c r="I1208">
        <f t="shared" si="161"/>
        <v>250</v>
      </c>
      <c r="J1208">
        <f t="shared" si="161"/>
        <v>286</v>
      </c>
      <c r="K1208">
        <f t="shared" si="161"/>
        <v>321</v>
      </c>
      <c r="L1208">
        <f t="shared" si="161"/>
        <v>339</v>
      </c>
      <c r="M1208">
        <f t="shared" si="161"/>
        <v>354</v>
      </c>
      <c r="N1208">
        <f t="shared" si="161"/>
        <v>366</v>
      </c>
      <c r="O1208">
        <f t="shared" si="161"/>
        <v>391</v>
      </c>
      <c r="P1208">
        <f t="shared" si="161"/>
        <v>409</v>
      </c>
      <c r="Q1208">
        <f t="shared" si="161"/>
        <v>435</v>
      </c>
      <c r="S1208" t="str">
        <f t="shared" ref="S1208:S1271" si="162">LEFT(U1208,10)</f>
        <v>09.12.2025</v>
      </c>
      <c r="T1208" t="str">
        <f t="shared" ref="T1208:T1271" si="163">MID(U1208,12,8)</f>
        <v>08:30:00</v>
      </c>
      <c r="U1208" t="str">
        <f t="shared" si="157"/>
        <v>09.12.2025 08:30:00</v>
      </c>
      <c r="V1208" s="9" t="str">
        <f>MID($A1208,C1208+C$2+1,D1208-C1208-C$2-1)</f>
        <v>0</v>
      </c>
      <c r="W1208" s="4">
        <f>VALUE(SUBSTITUTE(MID($A1208,D1208+D$2+1,E1208-D1208-D$2-1),",","."))</f>
        <v>0.56891206249699</v>
      </c>
      <c r="X1208" s="4">
        <f>VALUE(SUBSTITUTE(MID($A1208,E1208+E$2+1,F1208-E1208-E$2-1),",","."))</f>
        <v>0.90957602214449496</v>
      </c>
      <c r="Y1208" s="4">
        <f>VALUE(SUBSTITUTE(MID($A1208,F1208+F$2+1,G1208-F1208-F$2-1),",","."))</f>
        <v>7.6557183791110095E-2</v>
      </c>
      <c r="Z1208" s="3">
        <f>VALUE(SUBSTITUTE(MID($A1208,G1208+G$2+1,H1208-G1208-G$2-1),",","."))</f>
        <v>60.283333333333303</v>
      </c>
      <c r="AA1208" s="3">
        <f>VALUE(SUBSTITUTE(MID($A1208,H1208+H$2+1,I1208-H1208-H$2-1),",","."))</f>
        <v>0</v>
      </c>
      <c r="AB1208" s="3">
        <f>VALUE(SUBSTITUTE(MID($A1208,I1208+I$2+1,J1208-I1208-I$2-1),",","."))</f>
        <v>26.5</v>
      </c>
      <c r="AC1208" s="3">
        <f>VALUE(SUBSTITUTE(MID($A1208,J1208+J$2+1,K1208-J1208-J$2-1),",","."))</f>
        <v>4.9999999999999899E-2</v>
      </c>
      <c r="AD1208" s="3">
        <f>VALUE(SUBSTITUTE(MID($A1208,K1208+K$2+1,L1208-K1208-K$2-1),",","."))</f>
        <v>8.64</v>
      </c>
      <c r="AE1208" s="3">
        <f>VALUE(SUBSTITUTE(MID($A1208,L1208+L$2+1,M1208-L1208-L$2-1),",","."))</f>
        <v>0</v>
      </c>
      <c r="AF1208" s="3">
        <f>VALUE(SUBSTITUTE(MID($A1208,M1208+M$2+1,N1208-M1208-M$2-1),",","."))</f>
        <v>0</v>
      </c>
      <c r="AG1208" s="3">
        <f>VALUE(SUBSTITUTE(MID($A1208,N1208+N$2+1,O1208-N1208-N$2-1),",","."))</f>
        <v>4.23782720981675</v>
      </c>
      <c r="AH1208" t="str">
        <f>MID($A1208,O1208+O$2+1,P1208-O1208-O$2-1)</f>
        <v/>
      </c>
      <c r="AI1208" s="8" t="str">
        <f>MID($A1208,P1208+P$2+1,Q1208-P1208-P$2-1)</f>
        <v>False</v>
      </c>
      <c r="AK1208" t="b">
        <f t="shared" si="158"/>
        <v>0</v>
      </c>
    </row>
    <row r="1209" spans="1:37" x14ac:dyDescent="0.35">
      <c r="A1209" t="s">
        <v>5756</v>
      </c>
      <c r="B1209">
        <f t="shared" si="160"/>
        <v>10</v>
      </c>
      <c r="C1209">
        <f t="shared" si="160"/>
        <v>43</v>
      </c>
      <c r="D1209">
        <f t="shared" si="160"/>
        <v>54</v>
      </c>
      <c r="E1209">
        <f t="shared" si="160"/>
        <v>97</v>
      </c>
      <c r="F1209">
        <f t="shared" si="160"/>
        <v>141</v>
      </c>
      <c r="G1209">
        <f t="shared" si="161"/>
        <v>180</v>
      </c>
      <c r="H1209">
        <f t="shared" si="161"/>
        <v>228</v>
      </c>
      <c r="I1209">
        <f t="shared" si="161"/>
        <v>250</v>
      </c>
      <c r="J1209">
        <f t="shared" si="161"/>
        <v>286</v>
      </c>
      <c r="K1209">
        <f t="shared" si="161"/>
        <v>321</v>
      </c>
      <c r="L1209">
        <f t="shared" si="161"/>
        <v>339</v>
      </c>
      <c r="M1209">
        <f t="shared" si="161"/>
        <v>354</v>
      </c>
      <c r="N1209">
        <f t="shared" si="161"/>
        <v>366</v>
      </c>
      <c r="O1209">
        <f t="shared" si="161"/>
        <v>391</v>
      </c>
      <c r="P1209">
        <f t="shared" si="161"/>
        <v>409</v>
      </c>
      <c r="Q1209">
        <f t="shared" si="161"/>
        <v>435</v>
      </c>
      <c r="S1209" t="str">
        <f t="shared" si="162"/>
        <v>09.12.2025</v>
      </c>
      <c r="T1209" t="str">
        <f t="shared" si="163"/>
        <v>08:45:00</v>
      </c>
      <c r="U1209" t="str">
        <f t="shared" si="157"/>
        <v>09.12.2025 08:45:00</v>
      </c>
      <c r="V1209" s="9" t="str">
        <f>MID($A1209,C1209+C$2+1,D1209-C1209-C$2-1)</f>
        <v>0</v>
      </c>
      <c r="W1209" s="4">
        <f>VALUE(SUBSTITUTE(MID($A1209,D1209+D$2+1,E1209-D1209-D$2-1),",","."))</f>
        <v>0.60632959114491303</v>
      </c>
      <c r="X1209" s="4">
        <f>VALUE(SUBSTITUTE(MID($A1209,E1209+E$2+1,F1209-E1209-E$2-1),",","."))</f>
        <v>0.90957602214449496</v>
      </c>
      <c r="Y1209" s="4">
        <f>VALUE(SUBSTITUTE(MID($A1209,F1209+F$2+1,G1209-F1209-F$2-1),",","."))</f>
        <v>0.108410123249088</v>
      </c>
      <c r="Z1209" s="3">
        <f>VALUE(SUBSTITUTE(MID($A1209,G1209+G$2+1,H1209-G1209-G$2-1),",","."))</f>
        <v>60.283333333333303</v>
      </c>
      <c r="AA1209" s="3">
        <f>VALUE(SUBSTITUTE(MID($A1209,H1209+H$2+1,I1209-H1209-H$2-1),",","."))</f>
        <v>0</v>
      </c>
      <c r="AB1209" s="3">
        <f>VALUE(SUBSTITUTE(MID($A1209,I1209+I$2+1,J1209-I1209-I$2-1),",","."))</f>
        <v>26.5</v>
      </c>
      <c r="AC1209" s="3">
        <f>VALUE(SUBSTITUTE(MID($A1209,J1209+J$2+1,K1209-J1209-J$2-1),",","."))</f>
        <v>4.9999999999999899E-2</v>
      </c>
      <c r="AD1209" s="3">
        <f>VALUE(SUBSTITUTE(MID($A1209,K1209+K$2+1,L1209-K1209-K$2-1),",","."))</f>
        <v>8.64</v>
      </c>
      <c r="AE1209" s="3">
        <f>VALUE(SUBSTITUTE(MID($A1209,L1209+L$2+1,M1209-L1209-L$2-1),",","."))</f>
        <v>0</v>
      </c>
      <c r="AF1209" s="3">
        <f>VALUE(SUBSTITUTE(MID($A1209,M1209+M$2+1,N1209-M1209-M$2-1),",","."))</f>
        <v>0</v>
      </c>
      <c r="AG1209" s="3">
        <f>VALUE(SUBSTITUTE(MID($A1209,N1209+N$2+1,O1209-N1209-N$2-1),",","."))</f>
        <v>4.2378557297048296</v>
      </c>
      <c r="AH1209" t="str">
        <f>MID($A1209,O1209+O$2+1,P1209-O1209-O$2-1)</f>
        <v/>
      </c>
      <c r="AI1209" s="8" t="str">
        <f>MID($A1209,P1209+P$2+1,Q1209-P1209-P$2-1)</f>
        <v>False</v>
      </c>
      <c r="AK1209" t="b">
        <f t="shared" si="158"/>
        <v>0</v>
      </c>
    </row>
    <row r="1210" spans="1:37" x14ac:dyDescent="0.35">
      <c r="A1210" t="s">
        <v>5757</v>
      </c>
      <c r="B1210">
        <f t="shared" si="160"/>
        <v>10</v>
      </c>
      <c r="C1210">
        <f t="shared" si="160"/>
        <v>43</v>
      </c>
      <c r="D1210">
        <f t="shared" si="160"/>
        <v>54</v>
      </c>
      <c r="E1210">
        <f t="shared" si="160"/>
        <v>97</v>
      </c>
      <c r="F1210">
        <f t="shared" si="160"/>
        <v>141</v>
      </c>
      <c r="G1210">
        <f t="shared" si="161"/>
        <v>180</v>
      </c>
      <c r="H1210">
        <f t="shared" si="161"/>
        <v>228</v>
      </c>
      <c r="I1210">
        <f t="shared" si="161"/>
        <v>250</v>
      </c>
      <c r="J1210">
        <f t="shared" si="161"/>
        <v>286</v>
      </c>
      <c r="K1210">
        <f t="shared" si="161"/>
        <v>321</v>
      </c>
      <c r="L1210">
        <f t="shared" si="161"/>
        <v>339</v>
      </c>
      <c r="M1210">
        <f t="shared" si="161"/>
        <v>354</v>
      </c>
      <c r="N1210">
        <f t="shared" si="161"/>
        <v>366</v>
      </c>
      <c r="O1210">
        <f t="shared" si="161"/>
        <v>391</v>
      </c>
      <c r="P1210">
        <f t="shared" si="161"/>
        <v>409</v>
      </c>
      <c r="Q1210">
        <f t="shared" si="161"/>
        <v>435</v>
      </c>
      <c r="S1210" t="str">
        <f t="shared" si="162"/>
        <v>09.12.2025</v>
      </c>
      <c r="T1210" t="str">
        <f t="shared" si="163"/>
        <v>09:00:00</v>
      </c>
      <c r="U1210" t="str">
        <f t="shared" si="157"/>
        <v>09.12.2025 09:00:00</v>
      </c>
      <c r="V1210" s="9" t="str">
        <f>MID($A1210,C1210+C$2+1,D1210-C1210-C$2-1)</f>
        <v>0</v>
      </c>
      <c r="W1210" s="4">
        <f>VALUE(SUBSTITUTE(MID($A1210,D1210+D$2+1,E1210-D1210-D$2-1),",","."))</f>
        <v>0.64101760846985301</v>
      </c>
      <c r="X1210" s="4">
        <f>VALUE(SUBSTITUTE(MID($A1210,E1210+E$2+1,F1210-E1210-E$2-1),",","."))</f>
        <v>0.90957602214449496</v>
      </c>
      <c r="Y1210" s="4">
        <f>VALUE(SUBSTITUTE(MID($A1210,F1210+F$2+1,G1210-F1210-F$2-1),",","."))</f>
        <v>0.13889518819473401</v>
      </c>
      <c r="Z1210" s="3">
        <f>VALUE(SUBSTITUTE(MID($A1210,G1210+G$2+1,H1210-G1210-G$2-1),",","."))</f>
        <v>60.283333333333303</v>
      </c>
      <c r="AA1210" s="3">
        <f>VALUE(SUBSTITUTE(MID($A1210,H1210+H$2+1,I1210-H1210-H$2-1),",","."))</f>
        <v>0</v>
      </c>
      <c r="AB1210" s="3">
        <f>VALUE(SUBSTITUTE(MID($A1210,I1210+I$2+1,J1210-I1210-I$2-1),",","."))</f>
        <v>26.5</v>
      </c>
      <c r="AC1210" s="3">
        <f>VALUE(SUBSTITUTE(MID($A1210,J1210+J$2+1,K1210-J1210-J$2-1),",","."))</f>
        <v>4.9999999999999899E-2</v>
      </c>
      <c r="AD1210" s="3">
        <f>VALUE(SUBSTITUTE(MID($A1210,K1210+K$2+1,L1210-K1210-K$2-1),",","."))</f>
        <v>8.64</v>
      </c>
      <c r="AE1210" s="3">
        <f>VALUE(SUBSTITUTE(MID($A1210,L1210+L$2+1,M1210-L1210-L$2-1),",","."))</f>
        <v>0</v>
      </c>
      <c r="AF1210" s="3">
        <f>VALUE(SUBSTITUTE(MID($A1210,M1210+M$2+1,N1210-M1210-M$2-1),",","."))</f>
        <v>0</v>
      </c>
      <c r="AG1210" s="3">
        <f>VALUE(SUBSTITUTE(MID($A1210,N1210+N$2+1,O1210-N1210-N$2-1),",","."))</f>
        <v>4.2378842495929101</v>
      </c>
      <c r="AH1210" t="str">
        <f>MID($A1210,O1210+O$2+1,P1210-O1210-O$2-1)</f>
        <v/>
      </c>
      <c r="AI1210" s="8" t="str">
        <f>MID($A1210,P1210+P$2+1,Q1210-P1210-P$2-1)</f>
        <v>False</v>
      </c>
      <c r="AK1210" t="b">
        <f t="shared" si="158"/>
        <v>0</v>
      </c>
    </row>
    <row r="1211" spans="1:37" x14ac:dyDescent="0.35">
      <c r="A1211" t="s">
        <v>5758</v>
      </c>
      <c r="B1211">
        <f t="shared" si="160"/>
        <v>10</v>
      </c>
      <c r="C1211">
        <f t="shared" si="160"/>
        <v>43</v>
      </c>
      <c r="D1211">
        <f t="shared" si="160"/>
        <v>54</v>
      </c>
      <c r="E1211">
        <f t="shared" si="160"/>
        <v>97</v>
      </c>
      <c r="F1211">
        <f t="shared" si="160"/>
        <v>141</v>
      </c>
      <c r="G1211">
        <f t="shared" si="161"/>
        <v>180</v>
      </c>
      <c r="H1211">
        <f t="shared" si="161"/>
        <v>228</v>
      </c>
      <c r="I1211">
        <f t="shared" si="161"/>
        <v>250</v>
      </c>
      <c r="J1211">
        <f t="shared" si="161"/>
        <v>286</v>
      </c>
      <c r="K1211">
        <f t="shared" si="161"/>
        <v>321</v>
      </c>
      <c r="L1211">
        <f t="shared" si="161"/>
        <v>339</v>
      </c>
      <c r="M1211">
        <f t="shared" si="161"/>
        <v>354</v>
      </c>
      <c r="N1211">
        <f t="shared" si="161"/>
        <v>366</v>
      </c>
      <c r="O1211">
        <f t="shared" si="161"/>
        <v>392</v>
      </c>
      <c r="P1211">
        <f t="shared" si="161"/>
        <v>410</v>
      </c>
      <c r="Q1211">
        <f t="shared" si="161"/>
        <v>436</v>
      </c>
      <c r="S1211" t="str">
        <f t="shared" si="162"/>
        <v>09.12.2025</v>
      </c>
      <c r="T1211" t="str">
        <f t="shared" si="163"/>
        <v>09:15:00</v>
      </c>
      <c r="U1211" t="str">
        <f t="shared" si="157"/>
        <v>09.12.2025 09:15:00</v>
      </c>
      <c r="V1211" s="9" t="str">
        <f>MID($A1211,C1211+C$2+1,D1211-C1211-C$2-1)</f>
        <v>0</v>
      </c>
      <c r="W1211" s="4">
        <f>VALUE(SUBSTITUTE(MID($A1211,D1211+D$2+1,E1211-D1211-D$2-1),",","."))</f>
        <v>0.67270207868401199</v>
      </c>
      <c r="X1211" s="4">
        <f>VALUE(SUBSTITUTE(MID($A1211,E1211+E$2+1,F1211-E1211-E$2-1),",","."))</f>
        <v>0.90957602214449496</v>
      </c>
      <c r="Y1211" s="4">
        <f>VALUE(SUBSTITUTE(MID($A1211,F1211+F$2+1,G1211-F1211-F$2-1),",","."))</f>
        <v>0.16773164631867399</v>
      </c>
      <c r="Z1211" s="3">
        <f>VALUE(SUBSTITUTE(MID($A1211,G1211+G$2+1,H1211-G1211-G$2-1),",","."))</f>
        <v>60.283333333333303</v>
      </c>
      <c r="AA1211" s="3">
        <f>VALUE(SUBSTITUTE(MID($A1211,H1211+H$2+1,I1211-H1211-H$2-1),",","."))</f>
        <v>0</v>
      </c>
      <c r="AB1211" s="3">
        <f>VALUE(SUBSTITUTE(MID($A1211,I1211+I$2+1,J1211-I1211-I$2-1),",","."))</f>
        <v>26.5</v>
      </c>
      <c r="AC1211" s="3">
        <f>VALUE(SUBSTITUTE(MID($A1211,J1211+J$2+1,K1211-J1211-J$2-1),",","."))</f>
        <v>4.9999999999999899E-2</v>
      </c>
      <c r="AD1211" s="3">
        <f>VALUE(SUBSTITUTE(MID($A1211,K1211+K$2+1,L1211-K1211-K$2-1),",","."))</f>
        <v>8.64</v>
      </c>
      <c r="AE1211" s="3">
        <f>VALUE(SUBSTITUTE(MID($A1211,L1211+L$2+1,M1211-L1211-L$2-1),",","."))</f>
        <v>0</v>
      </c>
      <c r="AF1211" s="3">
        <f>VALUE(SUBSTITUTE(MID($A1211,M1211+M$2+1,N1211-M1211-M$2-1),",","."))</f>
        <v>0</v>
      </c>
      <c r="AG1211" s="3">
        <f>VALUE(SUBSTITUTE(MID($A1211,N1211+N$2+1,O1211-N1211-N$2-1),",","."))</f>
        <v>4.2379127694809897</v>
      </c>
      <c r="AH1211" t="str">
        <f>MID($A1211,O1211+O$2+1,P1211-O1211-O$2-1)</f>
        <v/>
      </c>
      <c r="AI1211" s="8" t="str">
        <f>MID($A1211,P1211+P$2+1,Q1211-P1211-P$2-1)</f>
        <v>False</v>
      </c>
      <c r="AK1211" t="b">
        <f t="shared" si="158"/>
        <v>0</v>
      </c>
    </row>
    <row r="1212" spans="1:37" x14ac:dyDescent="0.35">
      <c r="A1212" t="s">
        <v>5759</v>
      </c>
      <c r="B1212">
        <f t="shared" si="160"/>
        <v>10</v>
      </c>
      <c r="C1212">
        <f t="shared" si="160"/>
        <v>43</v>
      </c>
      <c r="D1212">
        <f t="shared" si="160"/>
        <v>54</v>
      </c>
      <c r="E1212">
        <f t="shared" si="160"/>
        <v>97</v>
      </c>
      <c r="F1212">
        <f t="shared" si="160"/>
        <v>141</v>
      </c>
      <c r="G1212">
        <f t="shared" si="161"/>
        <v>180</v>
      </c>
      <c r="H1212">
        <f t="shared" si="161"/>
        <v>229</v>
      </c>
      <c r="I1212">
        <f t="shared" si="161"/>
        <v>251</v>
      </c>
      <c r="J1212">
        <f t="shared" si="161"/>
        <v>287</v>
      </c>
      <c r="K1212">
        <f t="shared" si="161"/>
        <v>307</v>
      </c>
      <c r="L1212">
        <f t="shared" si="161"/>
        <v>325</v>
      </c>
      <c r="M1212">
        <f t="shared" si="161"/>
        <v>340</v>
      </c>
      <c r="N1212">
        <f t="shared" si="161"/>
        <v>352</v>
      </c>
      <c r="O1212">
        <f t="shared" si="161"/>
        <v>377</v>
      </c>
      <c r="P1212">
        <f t="shared" si="161"/>
        <v>395</v>
      </c>
      <c r="Q1212">
        <f t="shared" si="161"/>
        <v>421</v>
      </c>
      <c r="S1212" t="str">
        <f t="shared" si="162"/>
        <v>09.12.2025</v>
      </c>
      <c r="T1212" t="str">
        <f t="shared" si="163"/>
        <v>09:30:00</v>
      </c>
      <c r="U1212" t="str">
        <f t="shared" si="157"/>
        <v>09.12.2025 09:30:00</v>
      </c>
      <c r="V1212" s="9" t="str">
        <f>MID($A1212,C1212+C$2+1,D1212-C1212-C$2-1)</f>
        <v>0</v>
      </c>
      <c r="W1212" s="4">
        <f>VALUE(SUBSTITUTE(MID($A1212,D1212+D$2+1,E1212-D1212-D$2-1),",","."))</f>
        <v>0.70119026825677799</v>
      </c>
      <c r="X1212" s="4">
        <f>VALUE(SUBSTITUTE(MID($A1212,E1212+E$2+1,F1212-E1212-E$2-1),",","."))</f>
        <v>0.90957602214449496</v>
      </c>
      <c r="Y1212" s="4">
        <f>VALUE(SUBSTITUTE(MID($A1212,F1212+F$2+1,G1212-F1212-F$2-1),",","."))</f>
        <v>0.19472754445158</v>
      </c>
      <c r="Z1212" s="3">
        <f>VALUE(SUBSTITUTE(MID($A1212,G1212+G$2+1,H1212-G1212-G$2-1),",","."))</f>
        <v>103.383333333333</v>
      </c>
      <c r="AA1212" s="3">
        <f>VALUE(SUBSTITUTE(MID($A1212,H1212+H$2+1,I1212-H1212-H$2-1),",","."))</f>
        <v>0</v>
      </c>
      <c r="AB1212" s="3">
        <f>VALUE(SUBSTITUTE(MID($A1212,I1212+I$2+1,J1212-I1212-I$2-1),",","."))</f>
        <v>88.5</v>
      </c>
      <c r="AC1212" s="3">
        <f>VALUE(SUBSTITUTE(MID($A1212,J1212+J$2+1,K1212-J1212-J$2-1),",","."))</f>
        <v>0.75</v>
      </c>
      <c r="AD1212" s="3">
        <f>VALUE(SUBSTITUTE(MID($A1212,K1212+K$2+1,L1212-K1212-K$2-1),",","."))</f>
        <v>8.4600000000000009</v>
      </c>
      <c r="AE1212" s="3">
        <f>VALUE(SUBSTITUTE(MID($A1212,L1212+L$2+1,M1212-L1212-L$2-1),",","."))</f>
        <v>0</v>
      </c>
      <c r="AF1212" s="3">
        <f>VALUE(SUBSTITUTE(MID($A1212,M1212+M$2+1,N1212-M1212-M$2-1),",","."))</f>
        <v>0</v>
      </c>
      <c r="AG1212" s="3">
        <f>VALUE(SUBSTITUTE(MID($A1212,N1212+N$2+1,O1212-N1212-N$2-1),",","."))</f>
        <v>4.23794128936908</v>
      </c>
      <c r="AH1212" t="str">
        <f>MID($A1212,O1212+O$2+1,P1212-O1212-O$2-1)</f>
        <v/>
      </c>
      <c r="AI1212" s="8" t="str">
        <f>MID($A1212,P1212+P$2+1,Q1212-P1212-P$2-1)</f>
        <v>False</v>
      </c>
      <c r="AK1212" t="b">
        <f t="shared" si="158"/>
        <v>0</v>
      </c>
    </row>
    <row r="1213" spans="1:37" x14ac:dyDescent="0.35">
      <c r="A1213" t="s">
        <v>5760</v>
      </c>
      <c r="B1213">
        <f t="shared" si="160"/>
        <v>10</v>
      </c>
      <c r="C1213">
        <f t="shared" si="160"/>
        <v>43</v>
      </c>
      <c r="D1213">
        <f t="shared" si="160"/>
        <v>54</v>
      </c>
      <c r="E1213">
        <f t="shared" si="160"/>
        <v>97</v>
      </c>
      <c r="F1213">
        <f t="shared" si="160"/>
        <v>141</v>
      </c>
      <c r="G1213">
        <f t="shared" si="161"/>
        <v>180</v>
      </c>
      <c r="H1213">
        <f t="shared" si="161"/>
        <v>229</v>
      </c>
      <c r="I1213">
        <f t="shared" si="161"/>
        <v>251</v>
      </c>
      <c r="J1213">
        <f t="shared" si="161"/>
        <v>287</v>
      </c>
      <c r="K1213">
        <f t="shared" si="161"/>
        <v>307</v>
      </c>
      <c r="L1213">
        <f t="shared" si="161"/>
        <v>325</v>
      </c>
      <c r="M1213">
        <f t="shared" si="161"/>
        <v>340</v>
      </c>
      <c r="N1213">
        <f t="shared" si="161"/>
        <v>352</v>
      </c>
      <c r="O1213">
        <f t="shared" si="161"/>
        <v>377</v>
      </c>
      <c r="P1213">
        <f t="shared" si="161"/>
        <v>395</v>
      </c>
      <c r="Q1213">
        <f t="shared" si="161"/>
        <v>421</v>
      </c>
      <c r="S1213" t="str">
        <f t="shared" si="162"/>
        <v>09.12.2025</v>
      </c>
      <c r="T1213" t="str">
        <f t="shared" si="163"/>
        <v>09:45:00</v>
      </c>
      <c r="U1213" t="str">
        <f t="shared" si="157"/>
        <v>09.12.2025 09:45:00</v>
      </c>
      <c r="V1213" s="9" t="str">
        <f>MID($A1213,C1213+C$2+1,D1213-C1213-C$2-1)</f>
        <v>0</v>
      </c>
      <c r="W1213" s="4">
        <f>VALUE(SUBSTITUTE(MID($A1213,D1213+D$2+1,E1213-D1213-D$2-1),",","."))</f>
        <v>0.72633096205172898</v>
      </c>
      <c r="X1213" s="4">
        <f>VALUE(SUBSTITUTE(MID($A1213,E1213+E$2+1,F1213-E1213-E$2-1),",","."))</f>
        <v>0.90957602214449496</v>
      </c>
      <c r="Y1213" s="4">
        <f>VALUE(SUBSTITUTE(MID($A1213,F1213+F$2+1,G1213-F1213-F$2-1),",","."))</f>
        <v>0.21973211895976699</v>
      </c>
      <c r="Z1213" s="3">
        <f>VALUE(SUBSTITUTE(MID($A1213,G1213+G$2+1,H1213-G1213-G$2-1),",","."))</f>
        <v>103.383333333333</v>
      </c>
      <c r="AA1213" s="3">
        <f>VALUE(SUBSTITUTE(MID($A1213,H1213+H$2+1,I1213-H1213-H$2-1),",","."))</f>
        <v>0</v>
      </c>
      <c r="AB1213" s="3">
        <f>VALUE(SUBSTITUTE(MID($A1213,I1213+I$2+1,J1213-I1213-I$2-1),",","."))</f>
        <v>88.5</v>
      </c>
      <c r="AC1213" s="3">
        <f>VALUE(SUBSTITUTE(MID($A1213,J1213+J$2+1,K1213-J1213-J$2-1),",","."))</f>
        <v>0.75</v>
      </c>
      <c r="AD1213" s="3">
        <f>VALUE(SUBSTITUTE(MID($A1213,K1213+K$2+1,L1213-K1213-K$2-1),",","."))</f>
        <v>8.4600000000000009</v>
      </c>
      <c r="AE1213" s="3">
        <f>VALUE(SUBSTITUTE(MID($A1213,L1213+L$2+1,M1213-L1213-L$2-1),",","."))</f>
        <v>0</v>
      </c>
      <c r="AF1213" s="3">
        <f>VALUE(SUBSTITUTE(MID($A1213,M1213+M$2+1,N1213-M1213-M$2-1),",","."))</f>
        <v>0</v>
      </c>
      <c r="AG1213" s="3">
        <f>VALUE(SUBSTITUTE(MID($A1213,N1213+N$2+1,O1213-N1213-N$2-1),",","."))</f>
        <v>4.2379698092571596</v>
      </c>
      <c r="AH1213" t="str">
        <f>MID($A1213,O1213+O$2+1,P1213-O1213-O$2-1)</f>
        <v/>
      </c>
      <c r="AI1213" s="8" t="str">
        <f>MID($A1213,P1213+P$2+1,Q1213-P1213-P$2-1)</f>
        <v>False</v>
      </c>
      <c r="AK1213" t="b">
        <f t="shared" si="158"/>
        <v>0</v>
      </c>
    </row>
    <row r="1214" spans="1:37" x14ac:dyDescent="0.35">
      <c r="A1214" t="s">
        <v>5761</v>
      </c>
      <c r="B1214">
        <f t="shared" si="160"/>
        <v>10</v>
      </c>
      <c r="C1214">
        <f t="shared" si="160"/>
        <v>43</v>
      </c>
      <c r="D1214">
        <f t="shared" si="160"/>
        <v>54</v>
      </c>
      <c r="E1214">
        <f t="shared" si="160"/>
        <v>97</v>
      </c>
      <c r="F1214">
        <f t="shared" si="160"/>
        <v>141</v>
      </c>
      <c r="G1214">
        <f t="shared" si="161"/>
        <v>179</v>
      </c>
      <c r="H1214">
        <f t="shared" si="161"/>
        <v>228</v>
      </c>
      <c r="I1214">
        <f t="shared" si="161"/>
        <v>250</v>
      </c>
      <c r="J1214">
        <f t="shared" si="161"/>
        <v>286</v>
      </c>
      <c r="K1214">
        <f t="shared" si="161"/>
        <v>306</v>
      </c>
      <c r="L1214">
        <f t="shared" si="161"/>
        <v>324</v>
      </c>
      <c r="M1214">
        <f t="shared" si="161"/>
        <v>339</v>
      </c>
      <c r="N1214">
        <f t="shared" si="161"/>
        <v>351</v>
      </c>
      <c r="O1214">
        <f t="shared" si="161"/>
        <v>377</v>
      </c>
      <c r="P1214">
        <f t="shared" si="161"/>
        <v>395</v>
      </c>
      <c r="Q1214">
        <f t="shared" si="161"/>
        <v>421</v>
      </c>
      <c r="S1214" t="str">
        <f t="shared" si="162"/>
        <v>09.12.2025</v>
      </c>
      <c r="T1214" t="str">
        <f t="shared" si="163"/>
        <v>10:00:00</v>
      </c>
      <c r="U1214" t="str">
        <f t="shared" si="157"/>
        <v>09.12.2025 10:00:00</v>
      </c>
      <c r="V1214" s="9" t="str">
        <f>MID($A1214,C1214+C$2+1,D1214-C1214-C$2-1)</f>
        <v>0</v>
      </c>
      <c r="W1214" s="4">
        <f>VALUE(SUBSTITUTE(MID($A1214,D1214+D$2+1,E1214-D1214-D$2-1),",","."))</f>
        <v>0.74800013047359803</v>
      </c>
      <c r="X1214" s="4">
        <f>VALUE(SUBSTITUTE(MID($A1214,E1214+E$2+1,F1214-E1214-E$2-1),",","."))</f>
        <v>0.90957602214449496</v>
      </c>
      <c r="Y1214" s="4">
        <f>VALUE(SUBSTITUTE(MID($A1214,F1214+F$2+1,G1214-F1214-F$2-1),",","."))</f>
        <v>0.242618541504944</v>
      </c>
      <c r="Z1214" s="3">
        <f>VALUE(SUBSTITUTE(MID($A1214,G1214+G$2+1,H1214-G1214-G$2-1),",","."))</f>
        <v>103.383333333333</v>
      </c>
      <c r="AA1214" s="3">
        <f>VALUE(SUBSTITUTE(MID($A1214,H1214+H$2+1,I1214-H1214-H$2-1),",","."))</f>
        <v>0</v>
      </c>
      <c r="AB1214" s="3">
        <f>VALUE(SUBSTITUTE(MID($A1214,I1214+I$2+1,J1214-I1214-I$2-1),",","."))</f>
        <v>88.5</v>
      </c>
      <c r="AC1214" s="3">
        <f>VALUE(SUBSTITUTE(MID($A1214,J1214+J$2+1,K1214-J1214-J$2-1),",","."))</f>
        <v>0.75</v>
      </c>
      <c r="AD1214" s="3">
        <f>VALUE(SUBSTITUTE(MID($A1214,K1214+K$2+1,L1214-K1214-K$2-1),",","."))</f>
        <v>8.4600000000000009</v>
      </c>
      <c r="AE1214" s="3">
        <f>VALUE(SUBSTITUTE(MID($A1214,L1214+L$2+1,M1214-L1214-L$2-1),",","."))</f>
        <v>0</v>
      </c>
      <c r="AF1214" s="3">
        <f>VALUE(SUBSTITUTE(MID($A1214,M1214+M$2+1,N1214-M1214-M$2-1),",","."))</f>
        <v>0</v>
      </c>
      <c r="AG1214" s="3">
        <f>VALUE(SUBSTITUTE(MID($A1214,N1214+N$2+1,O1214-N1214-N$2-1),",","."))</f>
        <v>4.2379983291452401</v>
      </c>
      <c r="AH1214" t="str">
        <f>MID($A1214,O1214+O$2+1,P1214-O1214-O$2-1)</f>
        <v/>
      </c>
      <c r="AI1214" s="8" t="str">
        <f>MID($A1214,P1214+P$2+1,Q1214-P1214-P$2-1)</f>
        <v>False</v>
      </c>
      <c r="AK1214" t="b">
        <f t="shared" si="158"/>
        <v>0</v>
      </c>
    </row>
    <row r="1215" spans="1:37" x14ac:dyDescent="0.35">
      <c r="A1215" t="s">
        <v>5762</v>
      </c>
      <c r="B1215">
        <f t="shared" si="160"/>
        <v>10</v>
      </c>
      <c r="C1215">
        <f t="shared" si="160"/>
        <v>43</v>
      </c>
      <c r="D1215">
        <f t="shared" si="160"/>
        <v>54</v>
      </c>
      <c r="E1215">
        <f t="shared" si="160"/>
        <v>97</v>
      </c>
      <c r="F1215">
        <f t="shared" si="160"/>
        <v>141</v>
      </c>
      <c r="G1215">
        <f t="shared" si="161"/>
        <v>179</v>
      </c>
      <c r="H1215">
        <f t="shared" si="161"/>
        <v>228</v>
      </c>
      <c r="I1215">
        <f t="shared" si="161"/>
        <v>250</v>
      </c>
      <c r="J1215">
        <f t="shared" si="161"/>
        <v>286</v>
      </c>
      <c r="K1215">
        <f t="shared" si="161"/>
        <v>306</v>
      </c>
      <c r="L1215">
        <f t="shared" si="161"/>
        <v>324</v>
      </c>
      <c r="M1215">
        <f t="shared" si="161"/>
        <v>339</v>
      </c>
      <c r="N1215">
        <f t="shared" si="161"/>
        <v>351</v>
      </c>
      <c r="O1215">
        <f t="shared" si="161"/>
        <v>376</v>
      </c>
      <c r="P1215">
        <f t="shared" si="161"/>
        <v>394</v>
      </c>
      <c r="Q1215">
        <f t="shared" si="161"/>
        <v>420</v>
      </c>
      <c r="S1215" t="str">
        <f t="shared" si="162"/>
        <v>09.12.2025</v>
      </c>
      <c r="T1215" t="str">
        <f t="shared" si="163"/>
        <v>10:15:00</v>
      </c>
      <c r="U1215" t="str">
        <f t="shared" si="157"/>
        <v>09.12.2025 10:15:00</v>
      </c>
      <c r="V1215" s="9" t="str">
        <f>MID($A1215,C1215+C$2+1,D1215-C1215-C$2-1)</f>
        <v>0</v>
      </c>
      <c r="W1215" s="4">
        <f>VALUE(SUBSTITUTE(MID($A1215,D1215+D$2+1,E1215-D1215-D$2-1),",","."))</f>
        <v>0.76609516333987704</v>
      </c>
      <c r="X1215" s="4">
        <f>VALUE(SUBSTITUTE(MID($A1215,E1215+E$2+1,F1215-E1215-E$2-1),",","."))</f>
        <v>0.90957602214449496</v>
      </c>
      <c r="Y1215" s="4">
        <f>VALUE(SUBSTITUTE(MID($A1215,F1215+F$2+1,G1215-F1215-F$2-1),",","."))</f>
        <v>0.263276924998397</v>
      </c>
      <c r="Z1215" s="3">
        <f>VALUE(SUBSTITUTE(MID($A1215,G1215+G$2+1,H1215-G1215-G$2-1),",","."))</f>
        <v>103.383333333333</v>
      </c>
      <c r="AA1215" s="3">
        <f>VALUE(SUBSTITUTE(MID($A1215,H1215+H$2+1,I1215-H1215-H$2-1),",","."))</f>
        <v>0</v>
      </c>
      <c r="AB1215" s="3">
        <f>VALUE(SUBSTITUTE(MID($A1215,I1215+I$2+1,J1215-I1215-I$2-1),",","."))</f>
        <v>88.5</v>
      </c>
      <c r="AC1215" s="3">
        <f>VALUE(SUBSTITUTE(MID($A1215,J1215+J$2+1,K1215-J1215-J$2-1),",","."))</f>
        <v>0.75</v>
      </c>
      <c r="AD1215" s="3">
        <f>VALUE(SUBSTITUTE(MID($A1215,K1215+K$2+1,L1215-K1215-K$2-1),",","."))</f>
        <v>8.4600000000000009</v>
      </c>
      <c r="AE1215" s="3">
        <f>VALUE(SUBSTITUTE(MID($A1215,L1215+L$2+1,M1215-L1215-L$2-1),",","."))</f>
        <v>0</v>
      </c>
      <c r="AF1215" s="3">
        <f>VALUE(SUBSTITUTE(MID($A1215,M1215+M$2+1,N1215-M1215-M$2-1),",","."))</f>
        <v>0</v>
      </c>
      <c r="AG1215" s="3">
        <f>VALUE(SUBSTITUTE(MID($A1215,N1215+N$2+1,O1215-N1215-N$2-1),",","."))</f>
        <v>4.2380268490333197</v>
      </c>
      <c r="AH1215" t="str">
        <f>MID($A1215,O1215+O$2+1,P1215-O1215-O$2-1)</f>
        <v/>
      </c>
      <c r="AI1215" s="8" t="str">
        <f>MID($A1215,P1215+P$2+1,Q1215-P1215-P$2-1)</f>
        <v>False</v>
      </c>
      <c r="AK1215" t="b">
        <f t="shared" si="158"/>
        <v>0</v>
      </c>
    </row>
    <row r="1216" spans="1:37" x14ac:dyDescent="0.35">
      <c r="A1216" t="s">
        <v>5763</v>
      </c>
      <c r="B1216">
        <f t="shared" si="160"/>
        <v>10</v>
      </c>
      <c r="C1216">
        <f t="shared" si="160"/>
        <v>43</v>
      </c>
      <c r="D1216">
        <f t="shared" si="160"/>
        <v>54</v>
      </c>
      <c r="E1216">
        <f t="shared" si="160"/>
        <v>97</v>
      </c>
      <c r="F1216">
        <f t="shared" si="160"/>
        <v>141</v>
      </c>
      <c r="G1216">
        <f t="shared" si="161"/>
        <v>180</v>
      </c>
      <c r="H1216">
        <f t="shared" si="161"/>
        <v>217</v>
      </c>
      <c r="I1216">
        <f t="shared" si="161"/>
        <v>239</v>
      </c>
      <c r="J1216">
        <f t="shared" si="161"/>
        <v>276</v>
      </c>
      <c r="K1216">
        <f t="shared" si="161"/>
        <v>296</v>
      </c>
      <c r="L1216">
        <f t="shared" si="161"/>
        <v>314</v>
      </c>
      <c r="M1216">
        <f t="shared" si="161"/>
        <v>329</v>
      </c>
      <c r="N1216">
        <f t="shared" si="161"/>
        <v>341</v>
      </c>
      <c r="O1216">
        <f t="shared" si="161"/>
        <v>366</v>
      </c>
      <c r="P1216">
        <f t="shared" si="161"/>
        <v>384</v>
      </c>
      <c r="Q1216">
        <f t="shared" si="161"/>
        <v>410</v>
      </c>
      <c r="S1216" t="str">
        <f t="shared" si="162"/>
        <v>09.12.2025</v>
      </c>
      <c r="T1216" t="str">
        <f t="shared" si="163"/>
        <v>10:30:00</v>
      </c>
      <c r="U1216" t="str">
        <f t="shared" si="157"/>
        <v>09.12.2025 10:30:00</v>
      </c>
      <c r="V1216" s="9" t="str">
        <f>MID($A1216,C1216+C$2+1,D1216-C1216-C$2-1)</f>
        <v>0</v>
      </c>
      <c r="W1216" s="4">
        <f>VALUE(SUBSTITUTE(MID($A1216,D1216+D$2+1,E1216-D1216-D$2-1),",","."))</f>
        <v>0.78053237213012405</v>
      </c>
      <c r="X1216" s="4">
        <f>VALUE(SUBSTITUTE(MID($A1216,E1216+E$2+1,F1216-E1216-E$2-1),",","."))</f>
        <v>0.90957602214449496</v>
      </c>
      <c r="Y1216" s="4">
        <f>VALUE(SUBSTITUTE(MID($A1216,F1216+F$2+1,G1216-F1216-F$2-1),",","."))</f>
        <v>0.281611274109205</v>
      </c>
      <c r="Z1216" s="3">
        <f>VALUE(SUBSTITUTE(MID($A1216,G1216+G$2+1,H1216-G1216-G$2-1),",","."))</f>
        <v>104.65</v>
      </c>
      <c r="AA1216" s="3">
        <f>VALUE(SUBSTITUTE(MID($A1216,H1216+H$2+1,I1216-H1216-H$2-1),",","."))</f>
        <v>0</v>
      </c>
      <c r="AB1216" s="3">
        <f>VALUE(SUBSTITUTE(MID($A1216,I1216+I$2+1,J1216-I1216-I$2-1),",","."))</f>
        <v>135.5</v>
      </c>
      <c r="AC1216" s="3">
        <f>VALUE(SUBSTITUTE(MID($A1216,J1216+J$2+1,K1216-J1216-J$2-1),",","."))</f>
        <v>1.55</v>
      </c>
      <c r="AD1216" s="3">
        <f>VALUE(SUBSTITUTE(MID($A1216,K1216+K$2+1,L1216-K1216-K$2-1),",","."))</f>
        <v>7.92</v>
      </c>
      <c r="AE1216" s="3">
        <f>VALUE(SUBSTITUTE(MID($A1216,L1216+L$2+1,M1216-L1216-L$2-1),",","."))</f>
        <v>0</v>
      </c>
      <c r="AF1216" s="3">
        <f>VALUE(SUBSTITUTE(MID($A1216,M1216+M$2+1,N1216-M1216-M$2-1),",","."))</f>
        <v>0</v>
      </c>
      <c r="AG1216" s="3">
        <f>VALUE(SUBSTITUTE(MID($A1216,N1216+N$2+1,O1216-N1216-N$2-1),",","."))</f>
        <v>4.2380553689214002</v>
      </c>
      <c r="AH1216" t="str">
        <f>MID($A1216,O1216+O$2+1,P1216-O1216-O$2-1)</f>
        <v/>
      </c>
      <c r="AI1216" s="8" t="str">
        <f>MID($A1216,P1216+P$2+1,Q1216-P1216-P$2-1)</f>
        <v>False</v>
      </c>
      <c r="AK1216" t="b">
        <f t="shared" si="158"/>
        <v>1</v>
      </c>
    </row>
    <row r="1217" spans="1:37" x14ac:dyDescent="0.35">
      <c r="A1217" t="s">
        <v>5764</v>
      </c>
      <c r="B1217">
        <f t="shared" si="160"/>
        <v>10</v>
      </c>
      <c r="C1217">
        <f t="shared" si="160"/>
        <v>43</v>
      </c>
      <c r="D1217">
        <f t="shared" si="160"/>
        <v>54</v>
      </c>
      <c r="E1217">
        <f t="shared" si="160"/>
        <v>97</v>
      </c>
      <c r="F1217">
        <f t="shared" si="160"/>
        <v>141</v>
      </c>
      <c r="G1217">
        <f t="shared" si="161"/>
        <v>179</v>
      </c>
      <c r="H1217">
        <f t="shared" si="161"/>
        <v>216</v>
      </c>
      <c r="I1217">
        <f t="shared" si="161"/>
        <v>238</v>
      </c>
      <c r="J1217">
        <f t="shared" si="161"/>
        <v>275</v>
      </c>
      <c r="K1217">
        <f t="shared" si="161"/>
        <v>295</v>
      </c>
      <c r="L1217">
        <f t="shared" si="161"/>
        <v>313</v>
      </c>
      <c r="M1217">
        <f t="shared" si="161"/>
        <v>328</v>
      </c>
      <c r="N1217">
        <f t="shared" si="161"/>
        <v>340</v>
      </c>
      <c r="O1217">
        <f t="shared" si="161"/>
        <v>364</v>
      </c>
      <c r="P1217">
        <f t="shared" si="161"/>
        <v>382</v>
      </c>
      <c r="Q1217">
        <f t="shared" si="161"/>
        <v>408</v>
      </c>
      <c r="S1217" t="str">
        <f t="shared" si="162"/>
        <v>09.12.2025</v>
      </c>
      <c r="T1217" t="str">
        <f t="shared" si="163"/>
        <v>10:45:00</v>
      </c>
      <c r="U1217" t="str">
        <f t="shared" si="157"/>
        <v>09.12.2025 10:45:00</v>
      </c>
      <c r="V1217" s="9" t="str">
        <f>MID($A1217,C1217+C$2+1,D1217-C1217-C$2-1)</f>
        <v>0</v>
      </c>
      <c r="W1217" s="4">
        <f>VALUE(SUBSTITUTE(MID($A1217,D1217+D$2+1,E1217-D1217-D$2-1),",","."))</f>
        <v>0.79124586054423296</v>
      </c>
      <c r="X1217" s="4">
        <f>VALUE(SUBSTITUTE(MID($A1217,E1217+E$2+1,F1217-E1217-E$2-1),",","."))</f>
        <v>0.90957602214449496</v>
      </c>
      <c r="Y1217" s="4">
        <f>VALUE(SUBSTITUTE(MID($A1217,F1217+F$2+1,G1217-F1217-F$2-1),",","."))</f>
        <v>0.29753811134445801</v>
      </c>
      <c r="Z1217" s="3">
        <f>VALUE(SUBSTITUTE(MID($A1217,G1217+G$2+1,H1217-G1217-G$2-1),",","."))</f>
        <v>104.65</v>
      </c>
      <c r="AA1217" s="3">
        <f>VALUE(SUBSTITUTE(MID($A1217,H1217+H$2+1,I1217-H1217-H$2-1),",","."))</f>
        <v>0</v>
      </c>
      <c r="AB1217" s="3">
        <f>VALUE(SUBSTITUTE(MID($A1217,I1217+I$2+1,J1217-I1217-I$2-1),",","."))</f>
        <v>135.5</v>
      </c>
      <c r="AC1217" s="3">
        <f>VALUE(SUBSTITUTE(MID($A1217,J1217+J$2+1,K1217-J1217-J$2-1),",","."))</f>
        <v>1.55</v>
      </c>
      <c r="AD1217" s="3">
        <f>VALUE(SUBSTITUTE(MID($A1217,K1217+K$2+1,L1217-K1217-K$2-1),",","."))</f>
        <v>7.92</v>
      </c>
      <c r="AE1217" s="3">
        <f>VALUE(SUBSTITUTE(MID($A1217,L1217+L$2+1,M1217-L1217-L$2-1),",","."))</f>
        <v>0</v>
      </c>
      <c r="AF1217" s="3">
        <f>VALUE(SUBSTITUTE(MID($A1217,M1217+M$2+1,N1217-M1217-M$2-1),",","."))</f>
        <v>0</v>
      </c>
      <c r="AG1217" s="3">
        <f>VALUE(SUBSTITUTE(MID($A1217,N1217+N$2+1,O1217-N1217-N$2-1),",","."))</f>
        <v>4.2380838888094896</v>
      </c>
      <c r="AH1217" t="str">
        <f>MID($A1217,O1217+O$2+1,P1217-O1217-O$2-1)</f>
        <v/>
      </c>
      <c r="AI1217" s="8" t="str">
        <f>MID($A1217,P1217+P$2+1,Q1217-P1217-P$2-1)</f>
        <v>False</v>
      </c>
      <c r="AK1217" t="b">
        <f t="shared" si="158"/>
        <v>1</v>
      </c>
    </row>
    <row r="1218" spans="1:37" x14ac:dyDescent="0.35">
      <c r="A1218" t="s">
        <v>5765</v>
      </c>
      <c r="B1218">
        <f t="shared" si="160"/>
        <v>10</v>
      </c>
      <c r="C1218">
        <f t="shared" si="160"/>
        <v>43</v>
      </c>
      <c r="D1218">
        <f t="shared" si="160"/>
        <v>54</v>
      </c>
      <c r="E1218">
        <f t="shared" si="160"/>
        <v>97</v>
      </c>
      <c r="F1218">
        <f t="shared" si="160"/>
        <v>141</v>
      </c>
      <c r="G1218">
        <f t="shared" si="161"/>
        <v>179</v>
      </c>
      <c r="H1218">
        <f t="shared" si="161"/>
        <v>216</v>
      </c>
      <c r="I1218">
        <f t="shared" si="161"/>
        <v>238</v>
      </c>
      <c r="J1218">
        <f t="shared" si="161"/>
        <v>275</v>
      </c>
      <c r="K1218">
        <f t="shared" si="161"/>
        <v>295</v>
      </c>
      <c r="L1218">
        <f t="shared" si="161"/>
        <v>313</v>
      </c>
      <c r="M1218">
        <f t="shared" si="161"/>
        <v>328</v>
      </c>
      <c r="N1218">
        <f t="shared" si="161"/>
        <v>340</v>
      </c>
      <c r="O1218">
        <f t="shared" si="161"/>
        <v>365</v>
      </c>
      <c r="P1218">
        <f t="shared" si="161"/>
        <v>383</v>
      </c>
      <c r="Q1218">
        <f t="shared" si="161"/>
        <v>409</v>
      </c>
      <c r="S1218" t="str">
        <f t="shared" si="162"/>
        <v>09.12.2025</v>
      </c>
      <c r="T1218" t="str">
        <f t="shared" si="163"/>
        <v>11:00:00</v>
      </c>
      <c r="U1218" t="str">
        <f t="shared" si="157"/>
        <v>09.12.2025 11:00:00</v>
      </c>
      <c r="V1218" s="9" t="str">
        <f>MID($A1218,C1218+C$2+1,D1218-C1218-C$2-1)</f>
        <v>0</v>
      </c>
      <c r="W1218" s="4">
        <f>VALUE(SUBSTITUTE(MID($A1218,D1218+D$2+1,E1218-D1218-D$2-1),",","."))</f>
        <v>0.79818700166302203</v>
      </c>
      <c r="X1218" s="4">
        <f>VALUE(SUBSTITUTE(MID($A1218,E1218+E$2+1,F1218-E1218-E$2-1),",","."))</f>
        <v>0.90957602214449496</v>
      </c>
      <c r="Y1218" s="4">
        <f>VALUE(SUBSTITUTE(MID($A1218,F1218+F$2+1,G1218-F1218-F$2-1),",","."))</f>
        <v>0.31098586787274302</v>
      </c>
      <c r="Z1218" s="3">
        <f>VALUE(SUBSTITUTE(MID($A1218,G1218+G$2+1,H1218-G1218-G$2-1),",","."))</f>
        <v>104.65</v>
      </c>
      <c r="AA1218" s="3">
        <f>VALUE(SUBSTITUTE(MID($A1218,H1218+H$2+1,I1218-H1218-H$2-1),",","."))</f>
        <v>0</v>
      </c>
      <c r="AB1218" s="3">
        <f>VALUE(SUBSTITUTE(MID($A1218,I1218+I$2+1,J1218-I1218-I$2-1),",","."))</f>
        <v>135.5</v>
      </c>
      <c r="AC1218" s="3">
        <f>VALUE(SUBSTITUTE(MID($A1218,J1218+J$2+1,K1218-J1218-J$2-1),",","."))</f>
        <v>1.55</v>
      </c>
      <c r="AD1218" s="3">
        <f>VALUE(SUBSTITUTE(MID($A1218,K1218+K$2+1,L1218-K1218-K$2-1),",","."))</f>
        <v>7.92</v>
      </c>
      <c r="AE1218" s="3">
        <f>VALUE(SUBSTITUTE(MID($A1218,L1218+L$2+1,M1218-L1218-L$2-1),",","."))</f>
        <v>0</v>
      </c>
      <c r="AF1218" s="3">
        <f>VALUE(SUBSTITUTE(MID($A1218,M1218+M$2+1,N1218-M1218-M$2-1),",","."))</f>
        <v>0</v>
      </c>
      <c r="AG1218" s="3">
        <f>VALUE(SUBSTITUTE(MID($A1218,N1218+N$2+1,O1218-N1218-N$2-1),",","."))</f>
        <v>4.2381124086975701</v>
      </c>
      <c r="AH1218" t="str">
        <f>MID($A1218,O1218+O$2+1,P1218-O1218-O$2-1)</f>
        <v/>
      </c>
      <c r="AI1218" s="8" t="str">
        <f>MID($A1218,P1218+P$2+1,Q1218-P1218-P$2-1)</f>
        <v>False</v>
      </c>
      <c r="AK1218" t="b">
        <f t="shared" si="158"/>
        <v>1</v>
      </c>
    </row>
    <row r="1219" spans="1:37" x14ac:dyDescent="0.35">
      <c r="A1219" t="s">
        <v>5766</v>
      </c>
      <c r="B1219">
        <f t="shared" si="160"/>
        <v>10</v>
      </c>
      <c r="C1219">
        <f t="shared" si="160"/>
        <v>43</v>
      </c>
      <c r="D1219">
        <f t="shared" si="160"/>
        <v>54</v>
      </c>
      <c r="E1219">
        <f t="shared" si="160"/>
        <v>96</v>
      </c>
      <c r="F1219">
        <f t="shared" si="160"/>
        <v>140</v>
      </c>
      <c r="G1219">
        <f t="shared" si="161"/>
        <v>178</v>
      </c>
      <c r="H1219">
        <f t="shared" si="161"/>
        <v>215</v>
      </c>
      <c r="I1219">
        <f t="shared" si="161"/>
        <v>237</v>
      </c>
      <c r="J1219">
        <f t="shared" si="161"/>
        <v>274</v>
      </c>
      <c r="K1219">
        <f t="shared" si="161"/>
        <v>294</v>
      </c>
      <c r="L1219">
        <f t="shared" si="161"/>
        <v>312</v>
      </c>
      <c r="M1219">
        <f t="shared" si="161"/>
        <v>327</v>
      </c>
      <c r="N1219">
        <f t="shared" si="161"/>
        <v>339</v>
      </c>
      <c r="O1219">
        <f t="shared" si="161"/>
        <v>364</v>
      </c>
      <c r="P1219">
        <f t="shared" si="161"/>
        <v>382</v>
      </c>
      <c r="Q1219">
        <f t="shared" si="161"/>
        <v>408</v>
      </c>
      <c r="S1219" t="str">
        <f t="shared" si="162"/>
        <v>09.12.2025</v>
      </c>
      <c r="T1219" t="str">
        <f t="shared" si="163"/>
        <v>11:15:00</v>
      </c>
      <c r="U1219" t="str">
        <f t="shared" si="157"/>
        <v>09.12.2025 11:15:00</v>
      </c>
      <c r="V1219" s="9" t="str">
        <f>MID($A1219,C1219+C$2+1,D1219-C1219-C$2-1)</f>
        <v>0</v>
      </c>
      <c r="W1219" s="4">
        <f>VALUE(SUBSTITUTE(MID($A1219,D1219+D$2+1,E1219-D1219-D$2-1),",","."))</f>
        <v>0.80132418708585096</v>
      </c>
      <c r="X1219" s="4">
        <f>VALUE(SUBSTITUTE(MID($A1219,E1219+E$2+1,F1219-E1219-E$2-1),",","."))</f>
        <v>0.90957602214449496</v>
      </c>
      <c r="Y1219" s="4">
        <f>VALUE(SUBSTITUTE(MID($A1219,F1219+F$2+1,G1219-F1219-F$2-1),",","."))</f>
        <v>0.32189463834981302</v>
      </c>
      <c r="Z1219" s="3">
        <f>VALUE(SUBSTITUTE(MID($A1219,G1219+G$2+1,H1219-G1219-G$2-1),",","."))</f>
        <v>104.65</v>
      </c>
      <c r="AA1219" s="3">
        <f>VALUE(SUBSTITUTE(MID($A1219,H1219+H$2+1,I1219-H1219-H$2-1),",","."))</f>
        <v>0</v>
      </c>
      <c r="AB1219" s="3">
        <f>VALUE(SUBSTITUTE(MID($A1219,I1219+I$2+1,J1219-I1219-I$2-1),",","."))</f>
        <v>135.5</v>
      </c>
      <c r="AC1219" s="3">
        <f>VALUE(SUBSTITUTE(MID($A1219,J1219+J$2+1,K1219-J1219-J$2-1),",","."))</f>
        <v>1.55</v>
      </c>
      <c r="AD1219" s="3">
        <f>VALUE(SUBSTITUTE(MID($A1219,K1219+K$2+1,L1219-K1219-K$2-1),",","."))</f>
        <v>7.92</v>
      </c>
      <c r="AE1219" s="3">
        <f>VALUE(SUBSTITUTE(MID($A1219,L1219+L$2+1,M1219-L1219-L$2-1),",","."))</f>
        <v>0</v>
      </c>
      <c r="AF1219" s="3">
        <f>VALUE(SUBSTITUTE(MID($A1219,M1219+M$2+1,N1219-M1219-M$2-1),",","."))</f>
        <v>0</v>
      </c>
      <c r="AG1219" s="3">
        <f>VALUE(SUBSTITUTE(MID($A1219,N1219+N$2+1,O1219-N1219-N$2-1),",","."))</f>
        <v>4.2381409285856497</v>
      </c>
      <c r="AH1219" t="str">
        <f>MID($A1219,O1219+O$2+1,P1219-O1219-O$2-1)</f>
        <v/>
      </c>
      <c r="AI1219" s="8" t="str">
        <f>MID($A1219,P1219+P$2+1,Q1219-P1219-P$2-1)</f>
        <v>False</v>
      </c>
      <c r="AK1219" t="b">
        <f t="shared" si="158"/>
        <v>1</v>
      </c>
    </row>
    <row r="1220" spans="1:37" x14ac:dyDescent="0.35">
      <c r="A1220" t="s">
        <v>5767</v>
      </c>
      <c r="B1220">
        <f t="shared" si="160"/>
        <v>10</v>
      </c>
      <c r="C1220">
        <f t="shared" si="160"/>
        <v>43</v>
      </c>
      <c r="D1220">
        <f t="shared" si="160"/>
        <v>54</v>
      </c>
      <c r="E1220">
        <f t="shared" si="160"/>
        <v>97</v>
      </c>
      <c r="F1220">
        <f t="shared" si="160"/>
        <v>141</v>
      </c>
      <c r="G1220">
        <f t="shared" si="161"/>
        <v>179</v>
      </c>
      <c r="H1220">
        <f t="shared" si="161"/>
        <v>228</v>
      </c>
      <c r="I1220">
        <f t="shared" si="161"/>
        <v>250</v>
      </c>
      <c r="J1220">
        <f t="shared" si="161"/>
        <v>285</v>
      </c>
      <c r="K1220">
        <f t="shared" si="161"/>
        <v>304</v>
      </c>
      <c r="L1220">
        <f t="shared" si="161"/>
        <v>321</v>
      </c>
      <c r="M1220">
        <f t="shared" si="161"/>
        <v>336</v>
      </c>
      <c r="N1220">
        <f t="shared" si="161"/>
        <v>348</v>
      </c>
      <c r="O1220">
        <f t="shared" si="161"/>
        <v>373</v>
      </c>
      <c r="P1220">
        <f t="shared" si="161"/>
        <v>391</v>
      </c>
      <c r="Q1220">
        <f t="shared" si="161"/>
        <v>417</v>
      </c>
      <c r="S1220" t="str">
        <f t="shared" si="162"/>
        <v>09.12.2025</v>
      </c>
      <c r="T1220" t="str">
        <f t="shared" si="163"/>
        <v>11:30:00</v>
      </c>
      <c r="U1220" t="str">
        <f t="shared" ref="U1220:U1283" si="164">MID($A1220,B1220+B$2+1,C1220-B1220-B$2-1)</f>
        <v>09.12.2025 11:30:00</v>
      </c>
      <c r="V1220" s="9" t="str">
        <f>MID($A1220,C1220+C$2+1,D1220-C1220-C$2-1)</f>
        <v>0</v>
      </c>
      <c r="W1220" s="4">
        <f>VALUE(SUBSTITUTE(MID($A1220,D1220+D$2+1,E1220-D1220-D$2-1),",","."))</f>
        <v>0.80064269002005495</v>
      </c>
      <c r="X1220" s="4">
        <f>VALUE(SUBSTITUTE(MID($A1220,E1220+E$2+1,F1220-E1220-E$2-1),",","."))</f>
        <v>0.90957602214449496</v>
      </c>
      <c r="Y1220" s="4">
        <f>VALUE(SUBSTITUTE(MID($A1220,F1220+F$2+1,G1220-F1220-F$2-1),",","."))</f>
        <v>0.33021611009457602</v>
      </c>
      <c r="Z1220" s="3">
        <f>VALUE(SUBSTITUTE(MID($A1220,G1220+G$2+1,H1220-G1220-G$2-1),",","."))</f>
        <v>104.216666666666</v>
      </c>
      <c r="AA1220" s="3">
        <f>VALUE(SUBSTITUTE(MID($A1220,H1220+H$2+1,I1220-H1220-H$2-1),",","."))</f>
        <v>0</v>
      </c>
      <c r="AB1220" s="3">
        <f>VALUE(SUBSTITUTE(MID($A1220,I1220+I$2+1,J1220-I1220-I$2-1),",","."))</f>
        <v>162</v>
      </c>
      <c r="AC1220" s="3">
        <f>VALUE(SUBSTITUTE(MID($A1220,J1220+J$2+1,K1220-J1220-J$2-1),",","."))</f>
        <v>2.1</v>
      </c>
      <c r="AD1220" s="3">
        <f>VALUE(SUBSTITUTE(MID($A1220,K1220+K$2+1,L1220-K1220-K$2-1),",","."))</f>
        <v>7.2</v>
      </c>
      <c r="AE1220" s="3">
        <f>VALUE(SUBSTITUTE(MID($A1220,L1220+L$2+1,M1220-L1220-L$2-1),",","."))</f>
        <v>0</v>
      </c>
      <c r="AF1220" s="3">
        <f>VALUE(SUBSTITUTE(MID($A1220,M1220+M$2+1,N1220-M1220-M$2-1),",","."))</f>
        <v>0</v>
      </c>
      <c r="AG1220" s="3">
        <f>VALUE(SUBSTITUTE(MID($A1220,N1220+N$2+1,O1220-N1220-N$2-1),",","."))</f>
        <v>4.2381694484737302</v>
      </c>
      <c r="AH1220" t="str">
        <f>MID($A1220,O1220+O$2+1,P1220-O1220-O$2-1)</f>
        <v/>
      </c>
      <c r="AI1220" s="8" t="str">
        <f>MID($A1220,P1220+P$2+1,Q1220-P1220-P$2-1)</f>
        <v>False</v>
      </c>
      <c r="AK1220" t="b">
        <f t="shared" ref="AK1220:AK1283" si="165">AB1220&gt;Z1220</f>
        <v>1</v>
      </c>
    </row>
    <row r="1221" spans="1:37" x14ac:dyDescent="0.35">
      <c r="A1221" t="s">
        <v>5768</v>
      </c>
      <c r="B1221">
        <f t="shared" si="160"/>
        <v>10</v>
      </c>
      <c r="C1221">
        <f t="shared" si="160"/>
        <v>43</v>
      </c>
      <c r="D1221">
        <f t="shared" si="160"/>
        <v>54</v>
      </c>
      <c r="E1221">
        <f t="shared" si="160"/>
        <v>96</v>
      </c>
      <c r="F1221">
        <f t="shared" si="160"/>
        <v>140</v>
      </c>
      <c r="G1221">
        <f t="shared" si="161"/>
        <v>179</v>
      </c>
      <c r="H1221">
        <f t="shared" si="161"/>
        <v>228</v>
      </c>
      <c r="I1221">
        <f t="shared" ref="I1221:Q1249" si="166">FIND(I$1,$A1221)</f>
        <v>250</v>
      </c>
      <c r="J1221">
        <f t="shared" si="166"/>
        <v>285</v>
      </c>
      <c r="K1221">
        <f t="shared" si="166"/>
        <v>304</v>
      </c>
      <c r="L1221">
        <f t="shared" si="166"/>
        <v>321</v>
      </c>
      <c r="M1221">
        <f t="shared" si="166"/>
        <v>336</v>
      </c>
      <c r="N1221">
        <f t="shared" si="166"/>
        <v>348</v>
      </c>
      <c r="O1221">
        <f t="shared" si="166"/>
        <v>373</v>
      </c>
      <c r="P1221">
        <f t="shared" si="166"/>
        <v>391</v>
      </c>
      <c r="Q1221">
        <f t="shared" si="166"/>
        <v>417</v>
      </c>
      <c r="S1221" t="str">
        <f t="shared" si="162"/>
        <v>09.12.2025</v>
      </c>
      <c r="T1221" t="str">
        <f t="shared" si="163"/>
        <v>11:45:00</v>
      </c>
      <c r="U1221" t="str">
        <f t="shared" si="164"/>
        <v>09.12.2025 11:45:00</v>
      </c>
      <c r="V1221" s="9" t="str">
        <f>MID($A1221,C1221+C$2+1,D1221-C1221-C$2-1)</f>
        <v>0</v>
      </c>
      <c r="W1221" s="4">
        <f>VALUE(SUBSTITUTE(MID($A1221,D1221+D$2+1,E1221-D1221-D$2-1),",","."))</f>
        <v>0.79614456288973801</v>
      </c>
      <c r="X1221" s="4">
        <f>VALUE(SUBSTITUTE(MID($A1221,E1221+E$2+1,F1221-E1221-E$2-1),",","."))</f>
        <v>0.90957602214449496</v>
      </c>
      <c r="Y1221" s="4">
        <f>VALUE(SUBSTITUTE(MID($A1221,F1221+F$2+1,G1221-F1221-F$2-1),",","."))</f>
        <v>0.33591357102012698</v>
      </c>
      <c r="Z1221" s="3">
        <f>VALUE(SUBSTITUTE(MID($A1221,G1221+G$2+1,H1221-G1221-G$2-1),",","."))</f>
        <v>104.216666666666</v>
      </c>
      <c r="AA1221" s="3">
        <f>VALUE(SUBSTITUTE(MID($A1221,H1221+H$2+1,I1221-H1221-H$2-1),",","."))</f>
        <v>0</v>
      </c>
      <c r="AB1221" s="3">
        <f>VALUE(SUBSTITUTE(MID($A1221,I1221+I$2+1,J1221-I1221-I$2-1),",","."))</f>
        <v>162</v>
      </c>
      <c r="AC1221" s="3">
        <f>VALUE(SUBSTITUTE(MID($A1221,J1221+J$2+1,K1221-J1221-J$2-1),",","."))</f>
        <v>2.1</v>
      </c>
      <c r="AD1221" s="3">
        <f>VALUE(SUBSTITUTE(MID($A1221,K1221+K$2+1,L1221-K1221-K$2-1),",","."))</f>
        <v>7.2</v>
      </c>
      <c r="AE1221" s="3">
        <f>VALUE(SUBSTITUTE(MID($A1221,L1221+L$2+1,M1221-L1221-L$2-1),",","."))</f>
        <v>0</v>
      </c>
      <c r="AF1221" s="3">
        <f>VALUE(SUBSTITUTE(MID($A1221,M1221+M$2+1,N1221-M1221-M$2-1),",","."))</f>
        <v>0</v>
      </c>
      <c r="AG1221" s="3">
        <f>VALUE(SUBSTITUTE(MID($A1221,N1221+N$2+1,O1221-N1221-N$2-1),",","."))</f>
        <v>4.2381979683618098</v>
      </c>
      <c r="AH1221" t="str">
        <f>MID($A1221,O1221+O$2+1,P1221-O1221-O$2-1)</f>
        <v/>
      </c>
      <c r="AI1221" s="8" t="str">
        <f>MID($A1221,P1221+P$2+1,Q1221-P1221-P$2-1)</f>
        <v>False</v>
      </c>
      <c r="AK1221" t="b">
        <f t="shared" si="165"/>
        <v>1</v>
      </c>
    </row>
    <row r="1222" spans="1:37" x14ac:dyDescent="0.35">
      <c r="A1222" t="s">
        <v>5769</v>
      </c>
      <c r="B1222">
        <f t="shared" si="160"/>
        <v>10</v>
      </c>
      <c r="C1222">
        <f t="shared" si="160"/>
        <v>43</v>
      </c>
      <c r="D1222">
        <f t="shared" si="160"/>
        <v>54</v>
      </c>
      <c r="E1222">
        <f t="shared" si="160"/>
        <v>97</v>
      </c>
      <c r="F1222">
        <f t="shared" si="160"/>
        <v>141</v>
      </c>
      <c r="G1222">
        <f t="shared" si="160"/>
        <v>180</v>
      </c>
      <c r="H1222">
        <f t="shared" si="160"/>
        <v>229</v>
      </c>
      <c r="I1222">
        <f t="shared" si="166"/>
        <v>251</v>
      </c>
      <c r="J1222">
        <f t="shared" si="166"/>
        <v>286</v>
      </c>
      <c r="K1222">
        <f t="shared" si="166"/>
        <v>305</v>
      </c>
      <c r="L1222">
        <f t="shared" si="166"/>
        <v>322</v>
      </c>
      <c r="M1222">
        <f t="shared" si="166"/>
        <v>337</v>
      </c>
      <c r="N1222">
        <f t="shared" si="166"/>
        <v>349</v>
      </c>
      <c r="O1222">
        <f t="shared" si="166"/>
        <v>375</v>
      </c>
      <c r="P1222">
        <f t="shared" si="166"/>
        <v>393</v>
      </c>
      <c r="Q1222">
        <f t="shared" si="166"/>
        <v>419</v>
      </c>
      <c r="S1222" t="str">
        <f t="shared" si="162"/>
        <v>09.12.2025</v>
      </c>
      <c r="T1222" t="str">
        <f t="shared" si="163"/>
        <v>12:00:00</v>
      </c>
      <c r="U1222" t="str">
        <f t="shared" si="164"/>
        <v>09.12.2025 12:00:00</v>
      </c>
      <c r="V1222" s="9" t="str">
        <f>MID($A1222,C1222+C$2+1,D1222-C1222-C$2-1)</f>
        <v>0</v>
      </c>
      <c r="W1222" s="4">
        <f>VALUE(SUBSTITUTE(MID($A1222,D1222+D$2+1,E1222-D1222-D$2-1),",","."))</f>
        <v>0.78784852782807202</v>
      </c>
      <c r="X1222" s="4">
        <f>VALUE(SUBSTITUTE(MID($A1222,E1222+E$2+1,F1222-E1222-E$2-1),",","."))</f>
        <v>0.90957602214449496</v>
      </c>
      <c r="Y1222" s="4">
        <f>VALUE(SUBSTITUTE(MID($A1222,F1222+F$2+1,G1222-F1222-F$2-1),",","."))</f>
        <v>0.33896194570152</v>
      </c>
      <c r="Z1222" s="3">
        <f>VALUE(SUBSTITUTE(MID($A1222,G1222+G$2+1,H1222-G1222-G$2-1),",","."))</f>
        <v>104.216666666666</v>
      </c>
      <c r="AA1222" s="3">
        <f>VALUE(SUBSTITUTE(MID($A1222,H1222+H$2+1,I1222-H1222-H$2-1),",","."))</f>
        <v>0</v>
      </c>
      <c r="AB1222" s="3">
        <f>VALUE(SUBSTITUTE(MID($A1222,I1222+I$2+1,J1222-I1222-I$2-1),",","."))</f>
        <v>162</v>
      </c>
      <c r="AC1222" s="3">
        <f>VALUE(SUBSTITUTE(MID($A1222,J1222+J$2+1,K1222-J1222-J$2-1),",","."))</f>
        <v>2.1</v>
      </c>
      <c r="AD1222" s="3">
        <f>VALUE(SUBSTITUTE(MID($A1222,K1222+K$2+1,L1222-K1222-K$2-1),",","."))</f>
        <v>7.2</v>
      </c>
      <c r="AE1222" s="3">
        <f>VALUE(SUBSTITUTE(MID($A1222,L1222+L$2+1,M1222-L1222-L$2-1),",","."))</f>
        <v>0</v>
      </c>
      <c r="AF1222" s="3">
        <f>VALUE(SUBSTITUTE(MID($A1222,M1222+M$2+1,N1222-M1222-M$2-1),",","."))</f>
        <v>0</v>
      </c>
      <c r="AG1222" s="3">
        <f>VALUE(SUBSTITUTE(MID($A1222,N1222+N$2+1,O1222-N1222-N$2-1),",","."))</f>
        <v>4.2382264882498903</v>
      </c>
      <c r="AH1222" t="str">
        <f>MID($A1222,O1222+O$2+1,P1222-O1222-O$2-1)</f>
        <v/>
      </c>
      <c r="AI1222" s="8" t="str">
        <f>MID($A1222,P1222+P$2+1,Q1222-P1222-P$2-1)</f>
        <v>False</v>
      </c>
      <c r="AK1222" t="b">
        <f t="shared" si="165"/>
        <v>1</v>
      </c>
    </row>
    <row r="1223" spans="1:37" x14ac:dyDescent="0.35">
      <c r="A1223" t="s">
        <v>5770</v>
      </c>
      <c r="B1223">
        <f t="shared" si="160"/>
        <v>10</v>
      </c>
      <c r="C1223">
        <f t="shared" si="160"/>
        <v>43</v>
      </c>
      <c r="D1223">
        <f t="shared" si="160"/>
        <v>54</v>
      </c>
      <c r="E1223">
        <f t="shared" si="160"/>
        <v>97</v>
      </c>
      <c r="F1223">
        <f t="shared" si="160"/>
        <v>141</v>
      </c>
      <c r="G1223">
        <f t="shared" si="160"/>
        <v>179</v>
      </c>
      <c r="H1223">
        <f t="shared" si="160"/>
        <v>228</v>
      </c>
      <c r="I1223">
        <f t="shared" si="166"/>
        <v>250</v>
      </c>
      <c r="J1223">
        <f t="shared" si="166"/>
        <v>285</v>
      </c>
      <c r="K1223">
        <f t="shared" si="166"/>
        <v>304</v>
      </c>
      <c r="L1223">
        <f t="shared" si="166"/>
        <v>321</v>
      </c>
      <c r="M1223">
        <f t="shared" si="166"/>
        <v>336</v>
      </c>
      <c r="N1223">
        <f t="shared" si="166"/>
        <v>348</v>
      </c>
      <c r="O1223">
        <f t="shared" si="166"/>
        <v>373</v>
      </c>
      <c r="P1223">
        <f t="shared" si="166"/>
        <v>391</v>
      </c>
      <c r="Q1223">
        <f t="shared" si="166"/>
        <v>417</v>
      </c>
      <c r="S1223" t="str">
        <f t="shared" si="162"/>
        <v>09.12.2025</v>
      </c>
      <c r="T1223" t="str">
        <f t="shared" si="163"/>
        <v>12:15:00</v>
      </c>
      <c r="U1223" t="str">
        <f t="shared" si="164"/>
        <v>09.12.2025 12:15:00</v>
      </c>
      <c r="V1223" s="9" t="str">
        <f>MID($A1223,C1223+C$2+1,D1223-C1223-C$2-1)</f>
        <v>0</v>
      </c>
      <c r="W1223" s="4">
        <f>VALUE(SUBSTITUTE(MID($A1223,D1223+D$2+1,E1223-D1223-D$2-1),",","."))</f>
        <v>0.77578983795480205</v>
      </c>
      <c r="X1223" s="4">
        <f>VALUE(SUBSTITUTE(MID($A1223,E1223+E$2+1,F1223-E1223-E$2-1),",","."))</f>
        <v>0.90957602214449496</v>
      </c>
      <c r="Y1223" s="4">
        <f>VALUE(SUBSTITUTE(MID($A1223,F1223+F$2+1,G1223-F1223-F$2-1),",","."))</f>
        <v>0.33934783234965399</v>
      </c>
      <c r="Z1223" s="3">
        <f>VALUE(SUBSTITUTE(MID($A1223,G1223+G$2+1,H1223-G1223-G$2-1),",","."))</f>
        <v>104.216666666666</v>
      </c>
      <c r="AA1223" s="3">
        <f>VALUE(SUBSTITUTE(MID($A1223,H1223+H$2+1,I1223-H1223-H$2-1),",","."))</f>
        <v>0</v>
      </c>
      <c r="AB1223" s="3">
        <f>VALUE(SUBSTITUTE(MID($A1223,I1223+I$2+1,J1223-I1223-I$2-1),",","."))</f>
        <v>162</v>
      </c>
      <c r="AC1223" s="3">
        <f>VALUE(SUBSTITUTE(MID($A1223,J1223+J$2+1,K1223-J1223-J$2-1),",","."))</f>
        <v>2.1</v>
      </c>
      <c r="AD1223" s="3">
        <f>VALUE(SUBSTITUTE(MID($A1223,K1223+K$2+1,L1223-K1223-K$2-1),",","."))</f>
        <v>7.2</v>
      </c>
      <c r="AE1223" s="3">
        <f>VALUE(SUBSTITUTE(MID($A1223,L1223+L$2+1,M1223-L1223-L$2-1),",","."))</f>
        <v>0</v>
      </c>
      <c r="AF1223" s="3">
        <f>VALUE(SUBSTITUTE(MID($A1223,M1223+M$2+1,N1223-M1223-M$2-1),",","."))</f>
        <v>0</v>
      </c>
      <c r="AG1223" s="3">
        <f>VALUE(SUBSTITUTE(MID($A1223,N1223+N$2+1,O1223-N1223-N$2-1),",","."))</f>
        <v>4.23825500813797</v>
      </c>
      <c r="AH1223" t="str">
        <f>MID($A1223,O1223+O$2+1,P1223-O1223-O$2-1)</f>
        <v/>
      </c>
      <c r="AI1223" s="8" t="str">
        <f>MID($A1223,P1223+P$2+1,Q1223-P1223-P$2-1)</f>
        <v>False</v>
      </c>
      <c r="AK1223" t="b">
        <f t="shared" si="165"/>
        <v>1</v>
      </c>
    </row>
    <row r="1224" spans="1:37" x14ac:dyDescent="0.35">
      <c r="A1224" t="s">
        <v>5771</v>
      </c>
      <c r="B1224">
        <f t="shared" si="160"/>
        <v>10</v>
      </c>
      <c r="C1224">
        <f t="shared" si="160"/>
        <v>43</v>
      </c>
      <c r="D1224">
        <f t="shared" si="160"/>
        <v>54</v>
      </c>
      <c r="E1224">
        <f t="shared" si="160"/>
        <v>97</v>
      </c>
      <c r="F1224">
        <f t="shared" si="160"/>
        <v>141</v>
      </c>
      <c r="G1224">
        <f t="shared" si="160"/>
        <v>179</v>
      </c>
      <c r="H1224">
        <f t="shared" si="160"/>
        <v>227</v>
      </c>
      <c r="I1224">
        <f t="shared" si="166"/>
        <v>249</v>
      </c>
      <c r="J1224">
        <f t="shared" si="166"/>
        <v>284</v>
      </c>
      <c r="K1224">
        <f t="shared" si="166"/>
        <v>303</v>
      </c>
      <c r="L1224">
        <f t="shared" si="166"/>
        <v>335</v>
      </c>
      <c r="M1224">
        <f t="shared" si="166"/>
        <v>350</v>
      </c>
      <c r="N1224">
        <f t="shared" si="166"/>
        <v>362</v>
      </c>
      <c r="O1224">
        <f t="shared" si="166"/>
        <v>386</v>
      </c>
      <c r="P1224">
        <f t="shared" si="166"/>
        <v>404</v>
      </c>
      <c r="Q1224">
        <f t="shared" si="166"/>
        <v>430</v>
      </c>
      <c r="S1224" t="str">
        <f t="shared" si="162"/>
        <v>09.12.2025</v>
      </c>
      <c r="T1224" t="str">
        <f t="shared" si="163"/>
        <v>12:30:00</v>
      </c>
      <c r="U1224" t="str">
        <f t="shared" si="164"/>
        <v>09.12.2025 12:30:00</v>
      </c>
      <c r="V1224" s="9" t="str">
        <f>MID($A1224,C1224+C$2+1,D1224-C1224-C$2-1)</f>
        <v>0</v>
      </c>
      <c r="W1224" s="4">
        <f>VALUE(SUBSTITUTE(MID($A1224,D1224+D$2+1,E1224-D1224-D$2-1),",","."))</f>
        <v>0.76002009793640501</v>
      </c>
      <c r="X1224" s="4">
        <f>VALUE(SUBSTITUTE(MID($A1224,E1224+E$2+1,F1224-E1224-E$2-1),",","."))</f>
        <v>0.90957602214449496</v>
      </c>
      <c r="Y1224" s="4">
        <f>VALUE(SUBSTITUTE(MID($A1224,F1224+F$2+1,G1224-F1224-F$2-1),",","."))</f>
        <v>0.33706952613140401</v>
      </c>
      <c r="Z1224" s="3">
        <f>VALUE(SUBSTITUTE(MID($A1224,G1224+G$2+1,H1224-G1224-G$2-1),",","."))</f>
        <v>98.316666666666606</v>
      </c>
      <c r="AA1224" s="3">
        <f>VALUE(SUBSTITUTE(MID($A1224,H1224+H$2+1,I1224-H1224-H$2-1),",","."))</f>
        <v>0</v>
      </c>
      <c r="AB1224" s="3">
        <f>VALUE(SUBSTITUTE(MID($A1224,I1224+I$2+1,J1224-I1224-I$2-1),",","."))</f>
        <v>165</v>
      </c>
      <c r="AC1224" s="3">
        <f>VALUE(SUBSTITUTE(MID($A1224,J1224+J$2+1,K1224-J1224-J$2-1),",","."))</f>
        <v>2.5</v>
      </c>
      <c r="AD1224" s="3">
        <f>VALUE(SUBSTITUTE(MID($A1224,K1224+K$2+1,L1224-K1224-K$2-1),",","."))</f>
        <v>7.02</v>
      </c>
      <c r="AE1224" s="3">
        <f>VALUE(SUBSTITUTE(MID($A1224,L1224+L$2+1,M1224-L1224-L$2-1),",","."))</f>
        <v>0</v>
      </c>
      <c r="AF1224" s="3">
        <f>VALUE(SUBSTITUTE(MID($A1224,M1224+M$2+1,N1224-M1224-M$2-1),",","."))</f>
        <v>0</v>
      </c>
      <c r="AG1224" s="3">
        <f>VALUE(SUBSTITUTE(MID($A1224,N1224+N$2+1,O1224-N1224-N$2-1),",","."))</f>
        <v>4.2382835280260602</v>
      </c>
      <c r="AH1224" t="str">
        <f>MID($A1224,O1224+O$2+1,P1224-O1224-O$2-1)</f>
        <v/>
      </c>
      <c r="AI1224" s="8" t="str">
        <f>MID($A1224,P1224+P$2+1,Q1224-P1224-P$2-1)</f>
        <v>False</v>
      </c>
      <c r="AK1224" t="b">
        <f t="shared" si="165"/>
        <v>1</v>
      </c>
    </row>
    <row r="1225" spans="1:37" x14ac:dyDescent="0.35">
      <c r="A1225" t="s">
        <v>5772</v>
      </c>
      <c r="B1225">
        <f t="shared" si="160"/>
        <v>10</v>
      </c>
      <c r="C1225">
        <f t="shared" si="160"/>
        <v>43</v>
      </c>
      <c r="D1225">
        <f t="shared" si="160"/>
        <v>54</v>
      </c>
      <c r="E1225">
        <f t="shared" si="160"/>
        <v>97</v>
      </c>
      <c r="F1225">
        <f t="shared" si="160"/>
        <v>141</v>
      </c>
      <c r="G1225">
        <f t="shared" si="160"/>
        <v>180</v>
      </c>
      <c r="H1225">
        <f t="shared" si="160"/>
        <v>228</v>
      </c>
      <c r="I1225">
        <f t="shared" si="166"/>
        <v>250</v>
      </c>
      <c r="J1225">
        <f t="shared" si="166"/>
        <v>285</v>
      </c>
      <c r="K1225">
        <f t="shared" si="166"/>
        <v>304</v>
      </c>
      <c r="L1225">
        <f t="shared" si="166"/>
        <v>336</v>
      </c>
      <c r="M1225">
        <f t="shared" si="166"/>
        <v>351</v>
      </c>
      <c r="N1225">
        <f t="shared" si="166"/>
        <v>363</v>
      </c>
      <c r="O1225">
        <f t="shared" si="166"/>
        <v>388</v>
      </c>
      <c r="P1225">
        <f t="shared" si="166"/>
        <v>406</v>
      </c>
      <c r="Q1225">
        <f t="shared" si="166"/>
        <v>432</v>
      </c>
      <c r="S1225" t="str">
        <f t="shared" si="162"/>
        <v>09.12.2025</v>
      </c>
      <c r="T1225" t="str">
        <f t="shared" si="163"/>
        <v>12:45:00</v>
      </c>
      <c r="U1225" t="str">
        <f t="shared" si="164"/>
        <v>09.12.2025 12:45:00</v>
      </c>
      <c r="V1225" s="9" t="str">
        <f>MID($A1225,C1225+C$2+1,D1225-C1225-C$2-1)</f>
        <v>0</v>
      </c>
      <c r="W1225" s="4">
        <f>VALUE(SUBSTITUTE(MID($A1225,D1225+D$2+1,E1225-D1225-D$2-1),",","."))</f>
        <v>0.74060703924095705</v>
      </c>
      <c r="X1225" s="4">
        <f>VALUE(SUBSTITUTE(MID($A1225,E1225+E$2+1,F1225-E1225-E$2-1),",","."))</f>
        <v>0.90957602214449496</v>
      </c>
      <c r="Y1225" s="4">
        <f>VALUE(SUBSTITUTE(MID($A1225,F1225+F$2+1,G1225-F1225-F$2-1),",","."))</f>
        <v>0.33213702216703</v>
      </c>
      <c r="Z1225" s="3">
        <f>VALUE(SUBSTITUTE(MID($A1225,G1225+G$2+1,H1225-G1225-G$2-1),",","."))</f>
        <v>98.316666666666606</v>
      </c>
      <c r="AA1225" s="3">
        <f>VALUE(SUBSTITUTE(MID($A1225,H1225+H$2+1,I1225-H1225-H$2-1),",","."))</f>
        <v>0</v>
      </c>
      <c r="AB1225" s="3">
        <f>VALUE(SUBSTITUTE(MID($A1225,I1225+I$2+1,J1225-I1225-I$2-1),",","."))</f>
        <v>165</v>
      </c>
      <c r="AC1225" s="3">
        <f>VALUE(SUBSTITUTE(MID($A1225,J1225+J$2+1,K1225-J1225-J$2-1),",","."))</f>
        <v>2.5</v>
      </c>
      <c r="AD1225" s="3">
        <f>VALUE(SUBSTITUTE(MID($A1225,K1225+K$2+1,L1225-K1225-K$2-1),",","."))</f>
        <v>7.02</v>
      </c>
      <c r="AE1225" s="3">
        <f>VALUE(SUBSTITUTE(MID($A1225,L1225+L$2+1,M1225-L1225-L$2-1),",","."))</f>
        <v>0</v>
      </c>
      <c r="AF1225" s="3">
        <f>VALUE(SUBSTITUTE(MID($A1225,M1225+M$2+1,N1225-M1225-M$2-1),",","."))</f>
        <v>0</v>
      </c>
      <c r="AG1225" s="3">
        <f>VALUE(SUBSTITUTE(MID($A1225,N1225+N$2+1,O1225-N1225-N$2-1),",","."))</f>
        <v>4.2383120479141398</v>
      </c>
      <c r="AH1225" t="str">
        <f>MID($A1225,O1225+O$2+1,P1225-O1225-O$2-1)</f>
        <v/>
      </c>
      <c r="AI1225" s="8" t="str">
        <f>MID($A1225,P1225+P$2+1,Q1225-P1225-P$2-1)</f>
        <v>False</v>
      </c>
      <c r="AK1225" t="b">
        <f t="shared" si="165"/>
        <v>1</v>
      </c>
    </row>
    <row r="1226" spans="1:37" x14ac:dyDescent="0.35">
      <c r="A1226" t="s">
        <v>5773</v>
      </c>
      <c r="B1226">
        <f t="shared" si="160"/>
        <v>10</v>
      </c>
      <c r="C1226">
        <f t="shared" si="160"/>
        <v>43</v>
      </c>
      <c r="D1226">
        <f t="shared" si="160"/>
        <v>54</v>
      </c>
      <c r="E1226">
        <f t="shared" si="160"/>
        <v>97</v>
      </c>
      <c r="F1226">
        <f t="shared" si="160"/>
        <v>141</v>
      </c>
      <c r="G1226">
        <f t="shared" si="160"/>
        <v>180</v>
      </c>
      <c r="H1226">
        <f t="shared" si="160"/>
        <v>228</v>
      </c>
      <c r="I1226">
        <f t="shared" si="166"/>
        <v>250</v>
      </c>
      <c r="J1226">
        <f t="shared" si="166"/>
        <v>285</v>
      </c>
      <c r="K1226">
        <f t="shared" si="166"/>
        <v>304</v>
      </c>
      <c r="L1226">
        <f t="shared" si="166"/>
        <v>336</v>
      </c>
      <c r="M1226">
        <f t="shared" si="166"/>
        <v>351</v>
      </c>
      <c r="N1226">
        <f t="shared" si="166"/>
        <v>363</v>
      </c>
      <c r="O1226">
        <f t="shared" si="166"/>
        <v>388</v>
      </c>
      <c r="P1226">
        <f t="shared" si="166"/>
        <v>406</v>
      </c>
      <c r="Q1226">
        <f t="shared" si="166"/>
        <v>432</v>
      </c>
      <c r="S1226" t="str">
        <f t="shared" si="162"/>
        <v>09.12.2025</v>
      </c>
      <c r="T1226" t="str">
        <f t="shared" si="163"/>
        <v>13:00:00</v>
      </c>
      <c r="U1226" t="str">
        <f t="shared" si="164"/>
        <v>09.12.2025 13:00:00</v>
      </c>
      <c r="V1226" s="9" t="str">
        <f>MID($A1226,C1226+C$2+1,D1226-C1226-C$2-1)</f>
        <v>0</v>
      </c>
      <c r="W1226" s="4">
        <f>VALUE(SUBSTITUTE(MID($A1226,D1226+D$2+1,E1226-D1226-D$2-1),",","."))</f>
        <v>0.71763425036870498</v>
      </c>
      <c r="X1226" s="4">
        <f>VALUE(SUBSTITUTE(MID($A1226,E1226+E$2+1,F1226-E1226-E$2-1),",","."))</f>
        <v>0.90957602214449496</v>
      </c>
      <c r="Y1226" s="4">
        <f>VALUE(SUBSTITUTE(MID($A1226,F1226+F$2+1,G1226-F1226-F$2-1),",","."))</f>
        <v>0.32457199747978999</v>
      </c>
      <c r="Z1226" s="3">
        <f>VALUE(SUBSTITUTE(MID($A1226,G1226+G$2+1,H1226-G1226-G$2-1),",","."))</f>
        <v>98.316666666666606</v>
      </c>
      <c r="AA1226" s="3">
        <f>VALUE(SUBSTITUTE(MID($A1226,H1226+H$2+1,I1226-H1226-H$2-1),",","."))</f>
        <v>0</v>
      </c>
      <c r="AB1226" s="3">
        <f>VALUE(SUBSTITUTE(MID($A1226,I1226+I$2+1,J1226-I1226-I$2-1),",","."))</f>
        <v>165</v>
      </c>
      <c r="AC1226" s="3">
        <f>VALUE(SUBSTITUTE(MID($A1226,J1226+J$2+1,K1226-J1226-J$2-1),",","."))</f>
        <v>2.5</v>
      </c>
      <c r="AD1226" s="3">
        <f>VALUE(SUBSTITUTE(MID($A1226,K1226+K$2+1,L1226-K1226-K$2-1),",","."))</f>
        <v>7.02</v>
      </c>
      <c r="AE1226" s="3">
        <f>VALUE(SUBSTITUTE(MID($A1226,L1226+L$2+1,M1226-L1226-L$2-1),",","."))</f>
        <v>0</v>
      </c>
      <c r="AF1226" s="3">
        <f>VALUE(SUBSTITUTE(MID($A1226,M1226+M$2+1,N1226-M1226-M$2-1),",","."))</f>
        <v>0</v>
      </c>
      <c r="AG1226" s="3">
        <f>VALUE(SUBSTITUTE(MID($A1226,N1226+N$2+1,O1226-N1226-N$2-1),",","."))</f>
        <v>4.2383405678022203</v>
      </c>
      <c r="AH1226" t="str">
        <f>MID($A1226,O1226+O$2+1,P1226-O1226-O$2-1)</f>
        <v/>
      </c>
      <c r="AI1226" s="8" t="str">
        <f>MID($A1226,P1226+P$2+1,Q1226-P1226-P$2-1)</f>
        <v>False</v>
      </c>
      <c r="AK1226" t="b">
        <f t="shared" si="165"/>
        <v>1</v>
      </c>
    </row>
    <row r="1227" spans="1:37" x14ac:dyDescent="0.35">
      <c r="A1227" t="s">
        <v>5774</v>
      </c>
      <c r="B1227">
        <f t="shared" si="160"/>
        <v>10</v>
      </c>
      <c r="C1227">
        <f t="shared" si="160"/>
        <v>43</v>
      </c>
      <c r="D1227">
        <f t="shared" si="160"/>
        <v>54</v>
      </c>
      <c r="E1227">
        <f t="shared" si="160"/>
        <v>97</v>
      </c>
      <c r="F1227">
        <f t="shared" si="160"/>
        <v>141</v>
      </c>
      <c r="G1227">
        <f t="shared" si="160"/>
        <v>179</v>
      </c>
      <c r="H1227">
        <f t="shared" si="160"/>
        <v>227</v>
      </c>
      <c r="I1227">
        <f t="shared" si="166"/>
        <v>249</v>
      </c>
      <c r="J1227">
        <f t="shared" si="166"/>
        <v>284</v>
      </c>
      <c r="K1227">
        <f t="shared" si="166"/>
        <v>303</v>
      </c>
      <c r="L1227">
        <f t="shared" si="166"/>
        <v>335</v>
      </c>
      <c r="M1227">
        <f t="shared" si="166"/>
        <v>350</v>
      </c>
      <c r="N1227">
        <f t="shared" si="166"/>
        <v>362</v>
      </c>
      <c r="O1227">
        <f t="shared" si="166"/>
        <v>387</v>
      </c>
      <c r="P1227">
        <f t="shared" si="166"/>
        <v>405</v>
      </c>
      <c r="Q1227">
        <f t="shared" si="166"/>
        <v>431</v>
      </c>
      <c r="S1227" t="str">
        <f t="shared" si="162"/>
        <v>09.12.2025</v>
      </c>
      <c r="T1227" t="str">
        <f t="shared" si="163"/>
        <v>13:15:00</v>
      </c>
      <c r="U1227" t="str">
        <f t="shared" si="164"/>
        <v>09.12.2025 13:15:00</v>
      </c>
      <c r="V1227" s="9" t="str">
        <f>MID($A1227,C1227+C$2+1,D1227-C1227-C$2-1)</f>
        <v>0</v>
      </c>
      <c r="W1227" s="4">
        <f>VALUE(SUBSTITUTE(MID($A1227,D1227+D$2+1,E1227-D1227-D$2-1),",","."))</f>
        <v>0.69120086690653304</v>
      </c>
      <c r="X1227" s="4">
        <f>VALUE(SUBSTITUTE(MID($A1227,E1227+E$2+1,F1227-E1227-E$2-1),",","."))</f>
        <v>0.90957602214449496</v>
      </c>
      <c r="Y1227" s="4">
        <f>VALUE(SUBSTITUTE(MID($A1227,F1227+F$2+1,G1227-F1227-F$2-1),",","."))</f>
        <v>0.314407776646495</v>
      </c>
      <c r="Z1227" s="3">
        <f>VALUE(SUBSTITUTE(MID($A1227,G1227+G$2+1,H1227-G1227-G$2-1),",","."))</f>
        <v>98.316666666666606</v>
      </c>
      <c r="AA1227" s="3">
        <f>VALUE(SUBSTITUTE(MID($A1227,H1227+H$2+1,I1227-H1227-H$2-1),",","."))</f>
        <v>0</v>
      </c>
      <c r="AB1227" s="3">
        <f>VALUE(SUBSTITUTE(MID($A1227,I1227+I$2+1,J1227-I1227-I$2-1),",","."))</f>
        <v>165</v>
      </c>
      <c r="AC1227" s="3">
        <f>VALUE(SUBSTITUTE(MID($A1227,J1227+J$2+1,K1227-J1227-J$2-1),",","."))</f>
        <v>2.5</v>
      </c>
      <c r="AD1227" s="3">
        <f>VALUE(SUBSTITUTE(MID($A1227,K1227+K$2+1,L1227-K1227-K$2-1),",","."))</f>
        <v>7.02</v>
      </c>
      <c r="AE1227" s="3">
        <f>VALUE(SUBSTITUTE(MID($A1227,L1227+L$2+1,M1227-L1227-L$2-1),",","."))</f>
        <v>0</v>
      </c>
      <c r="AF1227" s="3">
        <f>VALUE(SUBSTITUTE(MID($A1227,M1227+M$2+1,N1227-M1227-M$2-1),",","."))</f>
        <v>0</v>
      </c>
      <c r="AG1227" s="3">
        <f>VALUE(SUBSTITUTE(MID($A1227,N1227+N$2+1,O1227-N1227-N$2-1),",","."))</f>
        <v>4.2383690876903</v>
      </c>
      <c r="AH1227" t="str">
        <f>MID($A1227,O1227+O$2+1,P1227-O1227-O$2-1)</f>
        <v/>
      </c>
      <c r="AI1227" s="8" t="str">
        <f>MID($A1227,P1227+P$2+1,Q1227-P1227-P$2-1)</f>
        <v>False</v>
      </c>
      <c r="AK1227" t="b">
        <f t="shared" si="165"/>
        <v>1</v>
      </c>
    </row>
    <row r="1228" spans="1:37" x14ac:dyDescent="0.35">
      <c r="A1228" t="s">
        <v>5775</v>
      </c>
      <c r="B1228">
        <f t="shared" si="160"/>
        <v>10</v>
      </c>
      <c r="C1228">
        <f t="shared" si="160"/>
        <v>43</v>
      </c>
      <c r="D1228">
        <f t="shared" si="160"/>
        <v>54</v>
      </c>
      <c r="E1228">
        <f t="shared" si="160"/>
        <v>97</v>
      </c>
      <c r="F1228">
        <f t="shared" si="160"/>
        <v>141</v>
      </c>
      <c r="G1228">
        <f t="shared" ref="G1228:K1291" si="167">FIND(G$1,$A1228)</f>
        <v>179</v>
      </c>
      <c r="H1228">
        <f t="shared" si="167"/>
        <v>227</v>
      </c>
      <c r="I1228">
        <f t="shared" si="166"/>
        <v>249</v>
      </c>
      <c r="J1228">
        <f t="shared" si="166"/>
        <v>286</v>
      </c>
      <c r="K1228">
        <f t="shared" si="166"/>
        <v>305</v>
      </c>
      <c r="L1228">
        <f t="shared" si="166"/>
        <v>323</v>
      </c>
      <c r="M1228">
        <f t="shared" si="166"/>
        <v>338</v>
      </c>
      <c r="N1228">
        <f t="shared" si="166"/>
        <v>350</v>
      </c>
      <c r="O1228">
        <f t="shared" si="166"/>
        <v>375</v>
      </c>
      <c r="P1228">
        <f t="shared" si="166"/>
        <v>393</v>
      </c>
      <c r="Q1228">
        <f t="shared" si="166"/>
        <v>419</v>
      </c>
      <c r="S1228" t="str">
        <f t="shared" si="162"/>
        <v>09.12.2025</v>
      </c>
      <c r="T1228" t="str">
        <f t="shared" si="163"/>
        <v>13:30:00</v>
      </c>
      <c r="U1228" t="str">
        <f t="shared" si="164"/>
        <v>09.12.2025 13:30:00</v>
      </c>
      <c r="V1228" s="9" t="str">
        <f>MID($A1228,C1228+C$2+1,D1228-C1228-C$2-1)</f>
        <v>0</v>
      </c>
      <c r="W1228" s="4">
        <f>VALUE(SUBSTITUTE(MID($A1228,D1228+D$2+1,E1228-D1228-D$2-1),",","."))</f>
        <v>0.66142123263728603</v>
      </c>
      <c r="X1228" s="4">
        <f>VALUE(SUBSTITUTE(MID($A1228,E1228+E$2+1,F1228-E1228-E$2-1),",","."))</f>
        <v>0.90957602214449496</v>
      </c>
      <c r="Y1228" s="4">
        <f>VALUE(SUBSTITUTE(MID($A1228,F1228+F$2+1,G1228-F1228-F$2-1),",","."))</f>
        <v>0.301689293118028</v>
      </c>
      <c r="Z1228" s="3">
        <f>VALUE(SUBSTITUTE(MID($A1228,G1228+G$2+1,H1228-G1228-G$2-1),",","."))</f>
        <v>86.6666666666666</v>
      </c>
      <c r="AA1228" s="3">
        <f>VALUE(SUBSTITUTE(MID($A1228,H1228+H$2+1,I1228-H1228-H$2-1),",","."))</f>
        <v>0</v>
      </c>
      <c r="AB1228" s="3">
        <f>VALUE(SUBSTITUTE(MID($A1228,I1228+I$2+1,J1228-I1228-I$2-1),",","."))</f>
        <v>143.5</v>
      </c>
      <c r="AC1228" s="3">
        <f>VALUE(SUBSTITUTE(MID($A1228,J1228+J$2+1,K1228-J1228-J$2-1),",","."))</f>
        <v>2.6</v>
      </c>
      <c r="AD1228" s="3">
        <f>VALUE(SUBSTITUTE(MID($A1228,K1228+K$2+1,L1228-K1228-K$2-1),",","."))</f>
        <v>6.12</v>
      </c>
      <c r="AE1228" s="3">
        <f>VALUE(SUBSTITUTE(MID($A1228,L1228+L$2+1,M1228-L1228-L$2-1),",","."))</f>
        <v>0</v>
      </c>
      <c r="AF1228" s="3">
        <f>VALUE(SUBSTITUTE(MID($A1228,M1228+M$2+1,N1228-M1228-M$2-1),",","."))</f>
        <v>0</v>
      </c>
      <c r="AG1228" s="3">
        <f>VALUE(SUBSTITUTE(MID($A1228,N1228+N$2+1,O1228-N1228-N$2-1),",","."))</f>
        <v>4.2383976075783796</v>
      </c>
      <c r="AH1228" t="str">
        <f>MID($A1228,O1228+O$2+1,P1228-O1228-O$2-1)</f>
        <v/>
      </c>
      <c r="AI1228" s="8" t="str">
        <f>MID($A1228,P1228+P$2+1,Q1228-P1228-P$2-1)</f>
        <v>False</v>
      </c>
      <c r="AK1228" t="b">
        <f t="shared" si="165"/>
        <v>1</v>
      </c>
    </row>
    <row r="1229" spans="1:37" x14ac:dyDescent="0.35">
      <c r="A1229" t="s">
        <v>5776</v>
      </c>
      <c r="B1229">
        <f t="shared" ref="B1229:F1279" si="168">FIND(B$1,$A1229)</f>
        <v>10</v>
      </c>
      <c r="C1229">
        <f t="shared" si="168"/>
        <v>43</v>
      </c>
      <c r="D1229">
        <f t="shared" si="168"/>
        <v>54</v>
      </c>
      <c r="E1229">
        <f t="shared" si="168"/>
        <v>97</v>
      </c>
      <c r="F1229">
        <f t="shared" si="168"/>
        <v>141</v>
      </c>
      <c r="G1229">
        <f t="shared" si="167"/>
        <v>179</v>
      </c>
      <c r="H1229">
        <f t="shared" si="167"/>
        <v>227</v>
      </c>
      <c r="I1229">
        <f t="shared" si="166"/>
        <v>249</v>
      </c>
      <c r="J1229">
        <f t="shared" si="166"/>
        <v>286</v>
      </c>
      <c r="K1229">
        <f t="shared" si="166"/>
        <v>305</v>
      </c>
      <c r="L1229">
        <f t="shared" si="166"/>
        <v>323</v>
      </c>
      <c r="M1229">
        <f t="shared" si="166"/>
        <v>338</v>
      </c>
      <c r="N1229">
        <f t="shared" si="166"/>
        <v>350</v>
      </c>
      <c r="O1229">
        <f t="shared" si="166"/>
        <v>375</v>
      </c>
      <c r="P1229">
        <f t="shared" si="166"/>
        <v>393</v>
      </c>
      <c r="Q1229">
        <f t="shared" si="166"/>
        <v>419</v>
      </c>
      <c r="S1229" t="str">
        <f t="shared" si="162"/>
        <v>09.12.2025</v>
      </c>
      <c r="T1229" t="str">
        <f t="shared" si="163"/>
        <v>13:45:00</v>
      </c>
      <c r="U1229" t="str">
        <f t="shared" si="164"/>
        <v>09.12.2025 13:45:00</v>
      </c>
      <c r="V1229" s="9" t="str">
        <f>MID($A1229,C1229+C$2+1,D1229-C1229-C$2-1)</f>
        <v>0</v>
      </c>
      <c r="W1229" s="4">
        <f>VALUE(SUBSTITUTE(MID($A1229,D1229+D$2+1,E1229-D1229-D$2-1),",","."))</f>
        <v>0.62842455178166701</v>
      </c>
      <c r="X1229" s="4">
        <f>VALUE(SUBSTITUTE(MID($A1229,E1229+E$2+1,F1229-E1229-E$2-1),",","."))</f>
        <v>0.90957602214449496</v>
      </c>
      <c r="Y1229" s="4">
        <f>VALUE(SUBSTITUTE(MID($A1229,F1229+F$2+1,G1229-F1229-F$2-1),",","."))</f>
        <v>0.28647306911305997</v>
      </c>
      <c r="Z1229" s="3">
        <f>VALUE(SUBSTITUTE(MID($A1229,G1229+G$2+1,H1229-G1229-G$2-1),",","."))</f>
        <v>86.6666666666666</v>
      </c>
      <c r="AA1229" s="3">
        <f>VALUE(SUBSTITUTE(MID($A1229,H1229+H$2+1,I1229-H1229-H$2-1),",","."))</f>
        <v>0</v>
      </c>
      <c r="AB1229" s="3">
        <f>VALUE(SUBSTITUTE(MID($A1229,I1229+I$2+1,J1229-I1229-I$2-1),",","."))</f>
        <v>143.5</v>
      </c>
      <c r="AC1229" s="3">
        <f>VALUE(SUBSTITUTE(MID($A1229,J1229+J$2+1,K1229-J1229-J$2-1),",","."))</f>
        <v>2.6</v>
      </c>
      <c r="AD1229" s="3">
        <f>VALUE(SUBSTITUTE(MID($A1229,K1229+K$2+1,L1229-K1229-K$2-1),",","."))</f>
        <v>6.12</v>
      </c>
      <c r="AE1229" s="3">
        <f>VALUE(SUBSTITUTE(MID($A1229,L1229+L$2+1,M1229-L1229-L$2-1),",","."))</f>
        <v>0</v>
      </c>
      <c r="AF1229" s="3">
        <f>VALUE(SUBSTITUTE(MID($A1229,M1229+M$2+1,N1229-M1229-M$2-1),",","."))</f>
        <v>0</v>
      </c>
      <c r="AG1229" s="3">
        <f>VALUE(SUBSTITUTE(MID($A1229,N1229+N$2+1,O1229-N1229-N$2-1),",","."))</f>
        <v>4.2384261274664601</v>
      </c>
      <c r="AH1229" t="str">
        <f>MID($A1229,O1229+O$2+1,P1229-O1229-O$2-1)</f>
        <v/>
      </c>
      <c r="AI1229" s="8" t="str">
        <f>MID($A1229,P1229+P$2+1,Q1229-P1229-P$2-1)</f>
        <v>False</v>
      </c>
      <c r="AK1229" t="b">
        <f t="shared" si="165"/>
        <v>1</v>
      </c>
    </row>
    <row r="1230" spans="1:37" x14ac:dyDescent="0.35">
      <c r="A1230" t="s">
        <v>5777</v>
      </c>
      <c r="B1230">
        <f t="shared" si="168"/>
        <v>10</v>
      </c>
      <c r="C1230">
        <f t="shared" si="168"/>
        <v>43</v>
      </c>
      <c r="D1230">
        <f t="shared" si="168"/>
        <v>54</v>
      </c>
      <c r="E1230">
        <f t="shared" si="168"/>
        <v>97</v>
      </c>
      <c r="F1230">
        <f t="shared" si="168"/>
        <v>141</v>
      </c>
      <c r="G1230">
        <f t="shared" si="167"/>
        <v>179</v>
      </c>
      <c r="H1230">
        <f t="shared" si="167"/>
        <v>227</v>
      </c>
      <c r="I1230">
        <f t="shared" si="166"/>
        <v>249</v>
      </c>
      <c r="J1230">
        <f t="shared" si="166"/>
        <v>286</v>
      </c>
      <c r="K1230">
        <f t="shared" si="166"/>
        <v>305</v>
      </c>
      <c r="L1230">
        <f t="shared" si="166"/>
        <v>323</v>
      </c>
      <c r="M1230">
        <f t="shared" si="166"/>
        <v>338</v>
      </c>
      <c r="N1230">
        <f t="shared" si="166"/>
        <v>350</v>
      </c>
      <c r="O1230">
        <f t="shared" si="166"/>
        <v>376</v>
      </c>
      <c r="P1230">
        <f t="shared" si="166"/>
        <v>394</v>
      </c>
      <c r="Q1230">
        <f t="shared" si="166"/>
        <v>420</v>
      </c>
      <c r="S1230" t="str">
        <f t="shared" si="162"/>
        <v>09.12.2025</v>
      </c>
      <c r="T1230" t="str">
        <f t="shared" si="163"/>
        <v>14:00:00</v>
      </c>
      <c r="U1230" t="str">
        <f t="shared" si="164"/>
        <v>09.12.2025 14:00:00</v>
      </c>
      <c r="V1230" s="9" t="str">
        <f>MID($A1230,C1230+C$2+1,D1230-C1230-C$2-1)</f>
        <v>0</v>
      </c>
      <c r="W1230" s="4">
        <f>VALUE(SUBSTITUTE(MID($A1230,D1230+D$2+1,E1230-D1230-D$2-1),",","."))</f>
        <v>0.592354568297633</v>
      </c>
      <c r="X1230" s="4">
        <f>VALUE(SUBSTITUTE(MID($A1230,E1230+E$2+1,F1230-E1230-E$2-1),",","."))</f>
        <v>0.90957602214449496</v>
      </c>
      <c r="Y1230" s="4">
        <f>VALUE(SUBSTITUTE(MID($A1230,F1230+F$2+1,G1230-F1230-F$2-1),",","."))</f>
        <v>0.26882725618831099</v>
      </c>
      <c r="Z1230" s="3">
        <f>VALUE(SUBSTITUTE(MID($A1230,G1230+G$2+1,H1230-G1230-G$2-1),",","."))</f>
        <v>86.6666666666666</v>
      </c>
      <c r="AA1230" s="3">
        <f>VALUE(SUBSTITUTE(MID($A1230,H1230+H$2+1,I1230-H1230-H$2-1),",","."))</f>
        <v>0</v>
      </c>
      <c r="AB1230" s="3">
        <f>VALUE(SUBSTITUTE(MID($A1230,I1230+I$2+1,J1230-I1230-I$2-1),",","."))</f>
        <v>143.5</v>
      </c>
      <c r="AC1230" s="3">
        <f>VALUE(SUBSTITUTE(MID($A1230,J1230+J$2+1,K1230-J1230-J$2-1),",","."))</f>
        <v>2.6</v>
      </c>
      <c r="AD1230" s="3">
        <f>VALUE(SUBSTITUTE(MID($A1230,K1230+K$2+1,L1230-K1230-K$2-1),",","."))</f>
        <v>6.12</v>
      </c>
      <c r="AE1230" s="3">
        <f>VALUE(SUBSTITUTE(MID($A1230,L1230+L$2+1,M1230-L1230-L$2-1),",","."))</f>
        <v>0</v>
      </c>
      <c r="AF1230" s="3">
        <f>VALUE(SUBSTITUTE(MID($A1230,M1230+M$2+1,N1230-M1230-M$2-1),",","."))</f>
        <v>0</v>
      </c>
      <c r="AG1230" s="3">
        <f>VALUE(SUBSTITUTE(MID($A1230,N1230+N$2+1,O1230-N1230-N$2-1),",","."))</f>
        <v>4.2384546473545397</v>
      </c>
      <c r="AH1230" t="str">
        <f>MID($A1230,O1230+O$2+1,P1230-O1230-O$2-1)</f>
        <v/>
      </c>
      <c r="AI1230" s="8" t="str">
        <f>MID($A1230,P1230+P$2+1,Q1230-P1230-P$2-1)</f>
        <v>False</v>
      </c>
      <c r="AK1230" t="b">
        <f t="shared" si="165"/>
        <v>1</v>
      </c>
    </row>
    <row r="1231" spans="1:37" x14ac:dyDescent="0.35">
      <c r="A1231" t="s">
        <v>5778</v>
      </c>
      <c r="B1231">
        <f t="shared" si="168"/>
        <v>10</v>
      </c>
      <c r="C1231">
        <f t="shared" si="168"/>
        <v>43</v>
      </c>
      <c r="D1231">
        <f t="shared" si="168"/>
        <v>54</v>
      </c>
      <c r="E1231">
        <f t="shared" si="168"/>
        <v>97</v>
      </c>
      <c r="F1231">
        <f t="shared" si="168"/>
        <v>141</v>
      </c>
      <c r="G1231">
        <f t="shared" si="167"/>
        <v>180</v>
      </c>
      <c r="H1231">
        <f t="shared" si="167"/>
        <v>228</v>
      </c>
      <c r="I1231">
        <f t="shared" si="166"/>
        <v>250</v>
      </c>
      <c r="J1231">
        <f t="shared" si="166"/>
        <v>287</v>
      </c>
      <c r="K1231">
        <f t="shared" si="166"/>
        <v>306</v>
      </c>
      <c r="L1231">
        <f t="shared" si="166"/>
        <v>324</v>
      </c>
      <c r="M1231">
        <f t="shared" si="166"/>
        <v>339</v>
      </c>
      <c r="N1231">
        <f t="shared" si="166"/>
        <v>351</v>
      </c>
      <c r="O1231">
        <f t="shared" si="166"/>
        <v>376</v>
      </c>
      <c r="P1231">
        <f t="shared" si="166"/>
        <v>394</v>
      </c>
      <c r="Q1231">
        <f t="shared" si="166"/>
        <v>420</v>
      </c>
      <c r="S1231" t="str">
        <f t="shared" si="162"/>
        <v>09.12.2025</v>
      </c>
      <c r="T1231" t="str">
        <f t="shared" si="163"/>
        <v>14:15:00</v>
      </c>
      <c r="U1231" t="str">
        <f t="shared" si="164"/>
        <v>09.12.2025 14:15:00</v>
      </c>
      <c r="V1231" s="9" t="str">
        <f>MID($A1231,C1231+C$2+1,D1231-C1231-C$2-1)</f>
        <v>0</v>
      </c>
      <c r="W1231" s="4">
        <f>VALUE(SUBSTITUTE(MID($A1231,D1231+D$2+1,E1231-D1231-D$2-1),",","."))</f>
        <v>0.55336933930613696</v>
      </c>
      <c r="X1231" s="4">
        <f>VALUE(SUBSTITUTE(MID($A1231,E1231+E$2+1,F1231-E1231-E$2-1),",","."))</f>
        <v>0.90957602214449496</v>
      </c>
      <c r="Y1231" s="4">
        <f>VALUE(SUBSTITUTE(MID($A1231,F1231+F$2+1,G1231-F1231-F$2-1),",","."))</f>
        <v>0.248831815824616</v>
      </c>
      <c r="Z1231" s="3">
        <f>VALUE(SUBSTITUTE(MID($A1231,G1231+G$2+1,H1231-G1231-G$2-1),",","."))</f>
        <v>86.6666666666666</v>
      </c>
      <c r="AA1231" s="3">
        <f>VALUE(SUBSTITUTE(MID($A1231,H1231+H$2+1,I1231-H1231-H$2-1),",","."))</f>
        <v>0</v>
      </c>
      <c r="AB1231" s="3">
        <f>VALUE(SUBSTITUTE(MID($A1231,I1231+I$2+1,J1231-I1231-I$2-1),",","."))</f>
        <v>143.5</v>
      </c>
      <c r="AC1231" s="3">
        <f>VALUE(SUBSTITUTE(MID($A1231,J1231+J$2+1,K1231-J1231-J$2-1),",","."))</f>
        <v>2.6</v>
      </c>
      <c r="AD1231" s="3">
        <f>VALUE(SUBSTITUTE(MID($A1231,K1231+K$2+1,L1231-K1231-K$2-1),",","."))</f>
        <v>6.12</v>
      </c>
      <c r="AE1231" s="3">
        <f>VALUE(SUBSTITUTE(MID($A1231,L1231+L$2+1,M1231-L1231-L$2-1),",","."))</f>
        <v>0</v>
      </c>
      <c r="AF1231" s="3">
        <f>VALUE(SUBSTITUTE(MID($A1231,M1231+M$2+1,N1231-M1231-M$2-1),",","."))</f>
        <v>0</v>
      </c>
      <c r="AG1231" s="3">
        <f>VALUE(SUBSTITUTE(MID($A1231,N1231+N$2+1,O1231-N1231-N$2-1),",","."))</f>
        <v>4.23848316724263</v>
      </c>
      <c r="AH1231" t="str">
        <f>MID($A1231,O1231+O$2+1,P1231-O1231-O$2-1)</f>
        <v/>
      </c>
      <c r="AI1231" s="8" t="str">
        <f>MID($A1231,P1231+P$2+1,Q1231-P1231-P$2-1)</f>
        <v>False</v>
      </c>
      <c r="AK1231" t="b">
        <f t="shared" si="165"/>
        <v>1</v>
      </c>
    </row>
    <row r="1232" spans="1:37" x14ac:dyDescent="0.35">
      <c r="A1232" t="s">
        <v>5779</v>
      </c>
      <c r="B1232">
        <f t="shared" si="168"/>
        <v>10</v>
      </c>
      <c r="C1232">
        <f t="shared" si="168"/>
        <v>43</v>
      </c>
      <c r="D1232">
        <f t="shared" si="168"/>
        <v>54</v>
      </c>
      <c r="E1232">
        <f t="shared" si="168"/>
        <v>97</v>
      </c>
      <c r="F1232">
        <f t="shared" si="168"/>
        <v>141</v>
      </c>
      <c r="G1232">
        <f t="shared" si="167"/>
        <v>180</v>
      </c>
      <c r="H1232">
        <f t="shared" si="167"/>
        <v>228</v>
      </c>
      <c r="I1232">
        <f t="shared" si="166"/>
        <v>250</v>
      </c>
      <c r="J1232">
        <f t="shared" si="166"/>
        <v>287</v>
      </c>
      <c r="K1232">
        <f t="shared" si="166"/>
        <v>307</v>
      </c>
      <c r="L1232">
        <f t="shared" si="166"/>
        <v>324</v>
      </c>
      <c r="M1232">
        <f t="shared" si="166"/>
        <v>339</v>
      </c>
      <c r="N1232">
        <f t="shared" si="166"/>
        <v>351</v>
      </c>
      <c r="O1232">
        <f t="shared" si="166"/>
        <v>376</v>
      </c>
      <c r="P1232">
        <f t="shared" si="166"/>
        <v>394</v>
      </c>
      <c r="Q1232">
        <f t="shared" si="166"/>
        <v>420</v>
      </c>
      <c r="S1232" t="str">
        <f t="shared" si="162"/>
        <v>09.12.2025</v>
      </c>
      <c r="T1232" t="str">
        <f t="shared" si="163"/>
        <v>14:30:00</v>
      </c>
      <c r="U1232" t="str">
        <f t="shared" si="164"/>
        <v>09.12.2025 14:30:00</v>
      </c>
      <c r="V1232" s="9" t="str">
        <f>MID($A1232,C1232+C$2+1,D1232-C1232-C$2-1)</f>
        <v>0</v>
      </c>
      <c r="W1232" s="4">
        <f>VALUE(SUBSTITUTE(MID($A1232,D1232+D$2+1,E1232-D1232-D$2-1),",","."))</f>
        <v>0.511641231559121</v>
      </c>
      <c r="X1232" s="4">
        <f>VALUE(SUBSTITUTE(MID($A1232,E1232+E$2+1,F1232-E1232-E$2-1),",","."))</f>
        <v>0.90957602214449496</v>
      </c>
      <c r="Y1232" s="4">
        <f>VALUE(SUBSTITUTE(MID($A1232,F1232+F$2+1,G1232-F1232-F$2-1),",","."))</f>
        <v>0.226578994787976</v>
      </c>
      <c r="Z1232" s="3">
        <f>VALUE(SUBSTITUTE(MID($A1232,G1232+G$2+1,H1232-G1232-G$2-1),",","."))</f>
        <v>67.883333333333297</v>
      </c>
      <c r="AA1232" s="3">
        <f>VALUE(SUBSTITUTE(MID($A1232,H1232+H$2+1,I1232-H1232-H$2-1),",","."))</f>
        <v>0</v>
      </c>
      <c r="AB1232" s="3">
        <f>VALUE(SUBSTITUTE(MID($A1232,I1232+I$2+1,J1232-I1232-I$2-1),",","."))</f>
        <v>102.5</v>
      </c>
      <c r="AC1232" s="3">
        <f>VALUE(SUBSTITUTE(MID($A1232,J1232+J$2+1,K1232-J1232-J$2-1),",","."))</f>
        <v>2.5499999999999998</v>
      </c>
      <c r="AD1232" s="3">
        <f>VALUE(SUBSTITUTE(MID($A1232,K1232+K$2+1,L1232-K1232-K$2-1),",","."))</f>
        <v>4.5</v>
      </c>
      <c r="AE1232" s="3">
        <f>VALUE(SUBSTITUTE(MID($A1232,L1232+L$2+1,M1232-L1232-L$2-1),",","."))</f>
        <v>0</v>
      </c>
      <c r="AF1232" s="3">
        <f>VALUE(SUBSTITUTE(MID($A1232,M1232+M$2+1,N1232-M1232-M$2-1),",","."))</f>
        <v>0</v>
      </c>
      <c r="AG1232" s="3">
        <f>VALUE(SUBSTITUTE(MID($A1232,N1232+N$2+1,O1232-N1232-N$2-1),",","."))</f>
        <v>4.2385116871307096</v>
      </c>
      <c r="AH1232" t="str">
        <f>MID($A1232,O1232+O$2+1,P1232-O1232-O$2-1)</f>
        <v/>
      </c>
      <c r="AI1232" s="8" t="str">
        <f>MID($A1232,P1232+P$2+1,Q1232-P1232-P$2-1)</f>
        <v>False</v>
      </c>
      <c r="AK1232" t="b">
        <f t="shared" si="165"/>
        <v>1</v>
      </c>
    </row>
    <row r="1233" spans="1:37" x14ac:dyDescent="0.35">
      <c r="A1233" t="s">
        <v>5780</v>
      </c>
      <c r="B1233">
        <f t="shared" si="168"/>
        <v>10</v>
      </c>
      <c r="C1233">
        <f t="shared" si="168"/>
        <v>43</v>
      </c>
      <c r="D1233">
        <f t="shared" si="168"/>
        <v>54</v>
      </c>
      <c r="E1233">
        <f t="shared" si="168"/>
        <v>97</v>
      </c>
      <c r="F1233">
        <f t="shared" si="168"/>
        <v>141</v>
      </c>
      <c r="G1233">
        <f t="shared" si="167"/>
        <v>180</v>
      </c>
      <c r="H1233">
        <f t="shared" si="167"/>
        <v>228</v>
      </c>
      <c r="I1233">
        <f t="shared" si="166"/>
        <v>250</v>
      </c>
      <c r="J1233">
        <f t="shared" si="166"/>
        <v>287</v>
      </c>
      <c r="K1233">
        <f t="shared" si="166"/>
        <v>307</v>
      </c>
      <c r="L1233">
        <f t="shared" si="166"/>
        <v>324</v>
      </c>
      <c r="M1233">
        <f t="shared" si="166"/>
        <v>339</v>
      </c>
      <c r="N1233">
        <f t="shared" si="166"/>
        <v>351</v>
      </c>
      <c r="O1233">
        <f t="shared" si="166"/>
        <v>377</v>
      </c>
      <c r="P1233">
        <f t="shared" si="166"/>
        <v>395</v>
      </c>
      <c r="Q1233">
        <f t="shared" si="166"/>
        <v>421</v>
      </c>
      <c r="S1233" t="str">
        <f t="shared" si="162"/>
        <v>09.12.2025</v>
      </c>
      <c r="T1233" t="str">
        <f t="shared" si="163"/>
        <v>14:45:00</v>
      </c>
      <c r="U1233" t="str">
        <f t="shared" si="164"/>
        <v>09.12.2025 14:45:00</v>
      </c>
      <c r="V1233" s="9" t="str">
        <f>MID($A1233,C1233+C$2+1,D1233-C1233-C$2-1)</f>
        <v>0</v>
      </c>
      <c r="W1233" s="4">
        <f>VALUE(SUBSTITUTE(MID($A1233,D1233+D$2+1,E1233-D1233-D$2-1),",","."))</f>
        <v>0.46735740624232602</v>
      </c>
      <c r="X1233" s="4">
        <f>VALUE(SUBSTITUTE(MID($A1233,E1233+E$2+1,F1233-E1233-E$2-1),",","."))</f>
        <v>0.90957602214449496</v>
      </c>
      <c r="Y1233" s="4">
        <f>VALUE(SUBSTITUTE(MID($A1233,F1233+F$2+1,G1233-F1233-F$2-1),",","."))</f>
        <v>0.202174415582518</v>
      </c>
      <c r="Z1233" s="3">
        <f>VALUE(SUBSTITUTE(MID($A1233,G1233+G$2+1,H1233-G1233-G$2-1),",","."))</f>
        <v>67.883333333333297</v>
      </c>
      <c r="AA1233" s="3">
        <f>VALUE(SUBSTITUTE(MID($A1233,H1233+H$2+1,I1233-H1233-H$2-1),",","."))</f>
        <v>0</v>
      </c>
      <c r="AB1233" s="3">
        <f>VALUE(SUBSTITUTE(MID($A1233,I1233+I$2+1,J1233-I1233-I$2-1),",","."))</f>
        <v>102.5</v>
      </c>
      <c r="AC1233" s="3">
        <f>VALUE(SUBSTITUTE(MID($A1233,J1233+J$2+1,K1233-J1233-J$2-1),",","."))</f>
        <v>2.5499999999999998</v>
      </c>
      <c r="AD1233" s="3">
        <f>VALUE(SUBSTITUTE(MID($A1233,K1233+K$2+1,L1233-K1233-K$2-1),",","."))</f>
        <v>4.5</v>
      </c>
      <c r="AE1233" s="3">
        <f>VALUE(SUBSTITUTE(MID($A1233,L1233+L$2+1,M1233-L1233-L$2-1),",","."))</f>
        <v>0</v>
      </c>
      <c r="AF1233" s="3">
        <f>VALUE(SUBSTITUTE(MID($A1233,M1233+M$2+1,N1233-M1233-M$2-1),",","."))</f>
        <v>0</v>
      </c>
      <c r="AG1233" s="3">
        <f>VALUE(SUBSTITUTE(MID($A1233,N1233+N$2+1,O1233-N1233-N$2-1),",","."))</f>
        <v>4.2385402070187901</v>
      </c>
      <c r="AH1233" t="str">
        <f>MID($A1233,O1233+O$2+1,P1233-O1233-O$2-1)</f>
        <v/>
      </c>
      <c r="AI1233" s="8" t="str">
        <f>MID($A1233,P1233+P$2+1,Q1233-P1233-P$2-1)</f>
        <v>False</v>
      </c>
      <c r="AK1233" t="b">
        <f t="shared" si="165"/>
        <v>1</v>
      </c>
    </row>
    <row r="1234" spans="1:37" x14ac:dyDescent="0.35">
      <c r="A1234" t="s">
        <v>5781</v>
      </c>
      <c r="B1234">
        <f t="shared" si="168"/>
        <v>10</v>
      </c>
      <c r="C1234">
        <f t="shared" si="168"/>
        <v>43</v>
      </c>
      <c r="D1234">
        <f t="shared" si="168"/>
        <v>54</v>
      </c>
      <c r="E1234">
        <f t="shared" si="168"/>
        <v>97</v>
      </c>
      <c r="F1234">
        <f t="shared" si="168"/>
        <v>141</v>
      </c>
      <c r="G1234">
        <f t="shared" si="167"/>
        <v>180</v>
      </c>
      <c r="H1234">
        <f t="shared" si="167"/>
        <v>228</v>
      </c>
      <c r="I1234">
        <f t="shared" si="166"/>
        <v>250</v>
      </c>
      <c r="J1234">
        <f t="shared" si="166"/>
        <v>287</v>
      </c>
      <c r="K1234">
        <f t="shared" si="166"/>
        <v>307</v>
      </c>
      <c r="L1234">
        <f t="shared" si="166"/>
        <v>324</v>
      </c>
      <c r="M1234">
        <f t="shared" si="166"/>
        <v>339</v>
      </c>
      <c r="N1234">
        <f t="shared" si="166"/>
        <v>351</v>
      </c>
      <c r="O1234">
        <f t="shared" si="166"/>
        <v>376</v>
      </c>
      <c r="P1234">
        <f t="shared" si="166"/>
        <v>394</v>
      </c>
      <c r="Q1234">
        <f t="shared" si="166"/>
        <v>420</v>
      </c>
      <c r="S1234" t="str">
        <f t="shared" si="162"/>
        <v>09.12.2025</v>
      </c>
      <c r="T1234" t="str">
        <f t="shared" si="163"/>
        <v>15:00:00</v>
      </c>
      <c r="U1234" t="str">
        <f t="shared" si="164"/>
        <v>09.12.2025 15:00:00</v>
      </c>
      <c r="V1234" s="9" t="str">
        <f>MID($A1234,C1234+C$2+1,D1234-C1234-C$2-1)</f>
        <v>0</v>
      </c>
      <c r="W1234" s="4">
        <f>VALUE(SUBSTITUTE(MID($A1234,D1234+D$2+1,E1234-D1234-D$2-1),",","."))</f>
        <v>0.42072138092295402</v>
      </c>
      <c r="X1234" s="4">
        <f>VALUE(SUBSTITUTE(MID($A1234,E1234+E$2+1,F1234-E1234-E$2-1),",","."))</f>
        <v>0.90957602214449496</v>
      </c>
      <c r="Y1234" s="4">
        <f>VALUE(SUBSTITUTE(MID($A1234,F1234+F$2+1,G1234-F1234-F$2-1),",","."))</f>
        <v>0.175739494447929</v>
      </c>
      <c r="Z1234" s="3">
        <f>VALUE(SUBSTITUTE(MID($A1234,G1234+G$2+1,H1234-G1234-G$2-1),",","."))</f>
        <v>67.883333333333297</v>
      </c>
      <c r="AA1234" s="3">
        <f>VALUE(SUBSTITUTE(MID($A1234,H1234+H$2+1,I1234-H1234-H$2-1),",","."))</f>
        <v>0</v>
      </c>
      <c r="AB1234" s="3">
        <f>VALUE(SUBSTITUTE(MID($A1234,I1234+I$2+1,J1234-I1234-I$2-1),",","."))</f>
        <v>102.5</v>
      </c>
      <c r="AC1234" s="3">
        <f>VALUE(SUBSTITUTE(MID($A1234,J1234+J$2+1,K1234-J1234-J$2-1),",","."))</f>
        <v>2.5499999999999998</v>
      </c>
      <c r="AD1234" s="3">
        <f>VALUE(SUBSTITUTE(MID($A1234,K1234+K$2+1,L1234-K1234-K$2-1),",","."))</f>
        <v>4.5</v>
      </c>
      <c r="AE1234" s="3">
        <f>VALUE(SUBSTITUTE(MID($A1234,L1234+L$2+1,M1234-L1234-L$2-1),",","."))</f>
        <v>0</v>
      </c>
      <c r="AF1234" s="3">
        <f>VALUE(SUBSTITUTE(MID($A1234,M1234+M$2+1,N1234-M1234-M$2-1),",","."))</f>
        <v>0</v>
      </c>
      <c r="AG1234" s="3">
        <f>VALUE(SUBSTITUTE(MID($A1234,N1234+N$2+1,O1234-N1234-N$2-1),",","."))</f>
        <v>4.2385687269068697</v>
      </c>
      <c r="AH1234" t="str">
        <f>MID($A1234,O1234+O$2+1,P1234-O1234-O$2-1)</f>
        <v/>
      </c>
      <c r="AI1234" s="8" t="str">
        <f>MID($A1234,P1234+P$2+1,Q1234-P1234-P$2-1)</f>
        <v>False</v>
      </c>
      <c r="AK1234" t="b">
        <f t="shared" si="165"/>
        <v>1</v>
      </c>
    </row>
    <row r="1235" spans="1:37" x14ac:dyDescent="0.35">
      <c r="A1235" t="s">
        <v>5782</v>
      </c>
      <c r="B1235">
        <f t="shared" si="168"/>
        <v>10</v>
      </c>
      <c r="C1235">
        <f t="shared" si="168"/>
        <v>43</v>
      </c>
      <c r="D1235">
        <f t="shared" si="168"/>
        <v>54</v>
      </c>
      <c r="E1235">
        <f t="shared" si="168"/>
        <v>98</v>
      </c>
      <c r="F1235">
        <f t="shared" si="168"/>
        <v>142</v>
      </c>
      <c r="G1235">
        <f t="shared" si="167"/>
        <v>181</v>
      </c>
      <c r="H1235">
        <f t="shared" si="167"/>
        <v>229</v>
      </c>
      <c r="I1235">
        <f t="shared" si="166"/>
        <v>251</v>
      </c>
      <c r="J1235">
        <f t="shared" si="166"/>
        <v>288</v>
      </c>
      <c r="K1235">
        <f t="shared" si="166"/>
        <v>308</v>
      </c>
      <c r="L1235">
        <f t="shared" si="166"/>
        <v>325</v>
      </c>
      <c r="M1235">
        <f t="shared" si="166"/>
        <v>340</v>
      </c>
      <c r="N1235">
        <f t="shared" si="166"/>
        <v>352</v>
      </c>
      <c r="O1235">
        <f t="shared" si="166"/>
        <v>377</v>
      </c>
      <c r="P1235">
        <f t="shared" si="166"/>
        <v>395</v>
      </c>
      <c r="Q1235">
        <f t="shared" si="166"/>
        <v>421</v>
      </c>
      <c r="S1235" t="str">
        <f t="shared" si="162"/>
        <v>09.12.2025</v>
      </c>
      <c r="T1235" t="str">
        <f t="shared" si="163"/>
        <v>15:15:00</v>
      </c>
      <c r="U1235" t="str">
        <f t="shared" si="164"/>
        <v>09.12.2025 15:15:00</v>
      </c>
      <c r="V1235" s="9" t="str">
        <f>MID($A1235,C1235+C$2+1,D1235-C1235-C$2-1)</f>
        <v>0</v>
      </c>
      <c r="W1235" s="4">
        <f>VALUE(SUBSTITUTE(MID($A1235,D1235+D$2+1,E1235-D1235-D$2-1),",","."))</f>
        <v>0.37195709115784298</v>
      </c>
      <c r="X1235" s="4">
        <f>VALUE(SUBSTITUTE(MID($A1235,E1235+E$2+1,F1235-E1235-E$2-1),",","."))</f>
        <v>0.90957602214449496</v>
      </c>
      <c r="Y1235" s="4">
        <f>VALUE(SUBSTITUTE(MID($A1235,F1235+F$2+1,G1235-F1235-F$2-1),",","."))</f>
        <v>0.14741691173322199</v>
      </c>
      <c r="Z1235" s="3">
        <f>VALUE(SUBSTITUTE(MID($A1235,G1235+G$2+1,H1235-G1235-G$2-1),",","."))</f>
        <v>67.883333333333297</v>
      </c>
      <c r="AA1235" s="3">
        <f>VALUE(SUBSTITUTE(MID($A1235,H1235+H$2+1,I1235-H1235-H$2-1),",","."))</f>
        <v>0</v>
      </c>
      <c r="AB1235" s="3">
        <f>VALUE(SUBSTITUTE(MID($A1235,I1235+I$2+1,J1235-I1235-I$2-1),",","."))</f>
        <v>102.5</v>
      </c>
      <c r="AC1235" s="3">
        <f>VALUE(SUBSTITUTE(MID($A1235,J1235+J$2+1,K1235-J1235-J$2-1),",","."))</f>
        <v>2.5499999999999998</v>
      </c>
      <c r="AD1235" s="3">
        <f>VALUE(SUBSTITUTE(MID($A1235,K1235+K$2+1,L1235-K1235-K$2-1),",","."))</f>
        <v>4.5</v>
      </c>
      <c r="AE1235" s="3">
        <f>VALUE(SUBSTITUTE(MID($A1235,L1235+L$2+1,M1235-L1235-L$2-1),",","."))</f>
        <v>0</v>
      </c>
      <c r="AF1235" s="3">
        <f>VALUE(SUBSTITUTE(MID($A1235,M1235+M$2+1,N1235-M1235-M$2-1),",","."))</f>
        <v>0</v>
      </c>
      <c r="AG1235" s="3">
        <f>VALUE(SUBSTITUTE(MID($A1235,N1235+N$2+1,O1235-N1235-N$2-1),",","."))</f>
        <v>4.2385972467949502</v>
      </c>
      <c r="AH1235" t="str">
        <f>MID($A1235,O1235+O$2+1,P1235-O1235-O$2-1)</f>
        <v/>
      </c>
      <c r="AI1235" s="8" t="str">
        <f>MID($A1235,P1235+P$2+1,Q1235-P1235-P$2-1)</f>
        <v>False</v>
      </c>
      <c r="AK1235" t="b">
        <f t="shared" si="165"/>
        <v>1</v>
      </c>
    </row>
    <row r="1236" spans="1:37" x14ac:dyDescent="0.35">
      <c r="A1236" t="s">
        <v>5783</v>
      </c>
      <c r="B1236">
        <f t="shared" si="168"/>
        <v>10</v>
      </c>
      <c r="C1236">
        <f t="shared" si="168"/>
        <v>43</v>
      </c>
      <c r="D1236">
        <f t="shared" si="168"/>
        <v>54</v>
      </c>
      <c r="E1236">
        <f t="shared" si="168"/>
        <v>98</v>
      </c>
      <c r="F1236">
        <f t="shared" si="168"/>
        <v>142</v>
      </c>
      <c r="G1236">
        <f t="shared" si="167"/>
        <v>181</v>
      </c>
      <c r="H1236">
        <f t="shared" si="167"/>
        <v>230</v>
      </c>
      <c r="I1236">
        <f t="shared" si="166"/>
        <v>252</v>
      </c>
      <c r="J1236">
        <f t="shared" si="166"/>
        <v>286</v>
      </c>
      <c r="K1236">
        <f t="shared" si="166"/>
        <v>306</v>
      </c>
      <c r="L1236">
        <f t="shared" si="166"/>
        <v>338</v>
      </c>
      <c r="M1236">
        <f t="shared" si="166"/>
        <v>353</v>
      </c>
      <c r="N1236">
        <f t="shared" si="166"/>
        <v>365</v>
      </c>
      <c r="O1236">
        <f t="shared" si="166"/>
        <v>390</v>
      </c>
      <c r="P1236">
        <f t="shared" si="166"/>
        <v>408</v>
      </c>
      <c r="Q1236">
        <f t="shared" si="166"/>
        <v>434</v>
      </c>
      <c r="S1236" t="str">
        <f t="shared" si="162"/>
        <v>09.12.2025</v>
      </c>
      <c r="T1236" t="str">
        <f t="shared" si="163"/>
        <v>15:30:00</v>
      </c>
      <c r="U1236" t="str">
        <f t="shared" si="164"/>
        <v>09.12.2025 15:30:00</v>
      </c>
      <c r="V1236" s="9" t="str">
        <f>MID($A1236,C1236+C$2+1,D1236-C1236-C$2-1)</f>
        <v>0</v>
      </c>
      <c r="W1236" s="4">
        <f>VALUE(SUBSTITUTE(MID($A1236,D1236+D$2+1,E1236-D1236-D$2-1),",","."))</f>
        <v>0.32131927548389699</v>
      </c>
      <c r="X1236" s="4">
        <f>VALUE(SUBSTITUTE(MID($A1236,E1236+E$2+1,F1236-E1236-E$2-1),",","."))</f>
        <v>0.90957602214449496</v>
      </c>
      <c r="Y1236" s="4">
        <f>VALUE(SUBSTITUTE(MID($A1236,F1236+F$2+1,G1236-F1236-F$2-1),",","."))</f>
        <v>0.11738377332390799</v>
      </c>
      <c r="Z1236" s="3">
        <f>VALUE(SUBSTITUTE(MID($A1236,G1236+G$2+1,H1236-G1236-G$2-1),",","."))</f>
        <v>47.733333333333299</v>
      </c>
      <c r="AA1236" s="3">
        <f>VALUE(SUBSTITUTE(MID($A1236,H1236+H$2+1,I1236-H1236-H$2-1),",","."))</f>
        <v>0</v>
      </c>
      <c r="AB1236" s="3">
        <f>VALUE(SUBSTITUTE(MID($A1236,I1236+I$2+1,J1236-I1236-I$2-1),",","."))</f>
        <v>51</v>
      </c>
      <c r="AC1236" s="3">
        <f>VALUE(SUBSTITUTE(MID($A1236,J1236+J$2+1,K1236-J1236-J$2-1),",","."))</f>
        <v>2.35</v>
      </c>
      <c r="AD1236" s="3">
        <f>VALUE(SUBSTITUTE(MID($A1236,K1236+K$2+1,L1236-K1236-K$2-1),",","."))</f>
        <v>2.88</v>
      </c>
      <c r="AE1236" s="3">
        <f>VALUE(SUBSTITUTE(MID($A1236,L1236+L$2+1,M1236-L1236-L$2-1),",","."))</f>
        <v>0</v>
      </c>
      <c r="AF1236" s="3">
        <f>VALUE(SUBSTITUTE(MID($A1236,M1236+M$2+1,N1236-M1236-M$2-1),",","."))</f>
        <v>0</v>
      </c>
      <c r="AG1236" s="3">
        <f>VALUE(SUBSTITUTE(MID($A1236,N1236+N$2+1,O1236-N1236-N$2-1),",","."))</f>
        <v>4.2386257666830298</v>
      </c>
      <c r="AH1236" t="str">
        <f>MID($A1236,O1236+O$2+1,P1236-O1236-O$2-1)</f>
        <v/>
      </c>
      <c r="AI1236" s="8" t="str">
        <f>MID($A1236,P1236+P$2+1,Q1236-P1236-P$2-1)</f>
        <v>False</v>
      </c>
      <c r="AK1236" t="b">
        <f t="shared" si="165"/>
        <v>1</v>
      </c>
    </row>
    <row r="1237" spans="1:37" x14ac:dyDescent="0.35">
      <c r="A1237" t="s">
        <v>5784</v>
      </c>
      <c r="B1237">
        <f t="shared" si="168"/>
        <v>10</v>
      </c>
      <c r="C1237">
        <f t="shared" si="168"/>
        <v>43</v>
      </c>
      <c r="D1237">
        <f t="shared" si="168"/>
        <v>54</v>
      </c>
      <c r="E1237">
        <f t="shared" si="168"/>
        <v>80</v>
      </c>
      <c r="F1237">
        <f t="shared" si="168"/>
        <v>124</v>
      </c>
      <c r="G1237">
        <f t="shared" si="167"/>
        <v>163</v>
      </c>
      <c r="H1237">
        <f t="shared" si="167"/>
        <v>212</v>
      </c>
      <c r="I1237">
        <f t="shared" si="166"/>
        <v>234</v>
      </c>
      <c r="J1237">
        <f t="shared" si="166"/>
        <v>268</v>
      </c>
      <c r="K1237">
        <f t="shared" si="166"/>
        <v>288</v>
      </c>
      <c r="L1237">
        <f t="shared" si="166"/>
        <v>320</v>
      </c>
      <c r="M1237">
        <f t="shared" si="166"/>
        <v>335</v>
      </c>
      <c r="N1237">
        <f t="shared" si="166"/>
        <v>347</v>
      </c>
      <c r="O1237">
        <f t="shared" si="166"/>
        <v>372</v>
      </c>
      <c r="P1237">
        <f t="shared" si="166"/>
        <v>390</v>
      </c>
      <c r="Q1237">
        <f t="shared" si="166"/>
        <v>416</v>
      </c>
      <c r="S1237" t="str">
        <f t="shared" si="162"/>
        <v>09.12.2025</v>
      </c>
      <c r="T1237" t="str">
        <f t="shared" si="163"/>
        <v>15:45:00</v>
      </c>
      <c r="U1237" t="str">
        <f t="shared" si="164"/>
        <v>09.12.2025 15:45:00</v>
      </c>
      <c r="V1237" s="9" t="str">
        <f>MID($A1237,C1237+C$2+1,D1237-C1237-C$2-1)</f>
        <v>0</v>
      </c>
      <c r="W1237" s="4">
        <f>VALUE(SUBSTITUTE(MID($A1237,D1237+D$2+1,E1237-D1237-D$2-1),",","."))</f>
        <v>0</v>
      </c>
      <c r="X1237" s="4">
        <f>VALUE(SUBSTITUTE(MID($A1237,E1237+E$2+1,F1237-E1237-E$2-1),",","."))</f>
        <v>0.90957602214449496</v>
      </c>
      <c r="Y1237" s="4">
        <f>VALUE(SUBSTITUTE(MID($A1237,F1237+F$2+1,G1237-F1237-F$2-1),",","."))</f>
        <v>8.5886624848213702E-2</v>
      </c>
      <c r="Z1237" s="3">
        <f>VALUE(SUBSTITUTE(MID($A1237,G1237+G$2+1,H1237-G1237-G$2-1),",","."))</f>
        <v>47.733333333333299</v>
      </c>
      <c r="AA1237" s="3">
        <f>VALUE(SUBSTITUTE(MID($A1237,H1237+H$2+1,I1237-H1237-H$2-1),",","."))</f>
        <v>0</v>
      </c>
      <c r="AB1237" s="3">
        <f>VALUE(SUBSTITUTE(MID($A1237,I1237+I$2+1,J1237-I1237-I$2-1),",","."))</f>
        <v>51</v>
      </c>
      <c r="AC1237" s="3">
        <f>VALUE(SUBSTITUTE(MID($A1237,J1237+J$2+1,K1237-J1237-J$2-1),",","."))</f>
        <v>2.35</v>
      </c>
      <c r="AD1237" s="3">
        <f>VALUE(SUBSTITUTE(MID($A1237,K1237+K$2+1,L1237-K1237-K$2-1),",","."))</f>
        <v>2.88</v>
      </c>
      <c r="AE1237" s="3">
        <f>VALUE(SUBSTITUTE(MID($A1237,L1237+L$2+1,M1237-L1237-L$2-1),",","."))</f>
        <v>0</v>
      </c>
      <c r="AF1237" s="3">
        <f>VALUE(SUBSTITUTE(MID($A1237,M1237+M$2+1,N1237-M1237-M$2-1),",","."))</f>
        <v>0</v>
      </c>
      <c r="AG1237" s="3">
        <f>VALUE(SUBSTITUTE(MID($A1237,N1237+N$2+1,O1237-N1237-N$2-1),",","."))</f>
        <v>4.2386542865711201</v>
      </c>
      <c r="AH1237" t="str">
        <f>MID($A1237,O1237+O$2+1,P1237-O1237-O$2-1)</f>
        <v/>
      </c>
      <c r="AI1237" s="8" t="str">
        <f>MID($A1237,P1237+P$2+1,Q1237-P1237-P$2-1)</f>
        <v>False</v>
      </c>
      <c r="AK1237" t="b">
        <f t="shared" si="165"/>
        <v>1</v>
      </c>
    </row>
    <row r="1238" spans="1:37" x14ac:dyDescent="0.35">
      <c r="A1238" t="s">
        <v>5785</v>
      </c>
      <c r="B1238">
        <f t="shared" si="168"/>
        <v>10</v>
      </c>
      <c r="C1238">
        <f t="shared" si="168"/>
        <v>43</v>
      </c>
      <c r="D1238">
        <f t="shared" si="168"/>
        <v>54</v>
      </c>
      <c r="E1238">
        <f t="shared" si="168"/>
        <v>80</v>
      </c>
      <c r="F1238">
        <f t="shared" si="168"/>
        <v>124</v>
      </c>
      <c r="G1238">
        <f t="shared" si="167"/>
        <v>163</v>
      </c>
      <c r="H1238">
        <f t="shared" si="167"/>
        <v>212</v>
      </c>
      <c r="I1238">
        <f t="shared" si="166"/>
        <v>234</v>
      </c>
      <c r="J1238">
        <f t="shared" si="166"/>
        <v>268</v>
      </c>
      <c r="K1238">
        <f t="shared" si="166"/>
        <v>288</v>
      </c>
      <c r="L1238">
        <f t="shared" si="166"/>
        <v>320</v>
      </c>
      <c r="M1238">
        <f t="shared" si="166"/>
        <v>335</v>
      </c>
      <c r="N1238">
        <f t="shared" si="166"/>
        <v>347</v>
      </c>
      <c r="O1238">
        <f t="shared" si="166"/>
        <v>372</v>
      </c>
      <c r="P1238">
        <f t="shared" si="166"/>
        <v>390</v>
      </c>
      <c r="Q1238">
        <f t="shared" si="166"/>
        <v>416</v>
      </c>
      <c r="S1238" t="str">
        <f t="shared" si="162"/>
        <v>09.12.2025</v>
      </c>
      <c r="T1238" t="str">
        <f t="shared" si="163"/>
        <v>16:00:00</v>
      </c>
      <c r="U1238" t="str">
        <f t="shared" si="164"/>
        <v>09.12.2025 16:00:00</v>
      </c>
      <c r="V1238" s="9" t="str">
        <f>MID($A1238,C1238+C$2+1,D1238-C1238-C$2-1)</f>
        <v>0</v>
      </c>
      <c r="W1238" s="4">
        <f>VALUE(SUBSTITUTE(MID($A1238,D1238+D$2+1,E1238-D1238-D$2-1),",","."))</f>
        <v>0</v>
      </c>
      <c r="X1238" s="4">
        <f>VALUE(SUBSTITUTE(MID($A1238,E1238+E$2+1,F1238-E1238-E$2-1),",","."))</f>
        <v>0.90957602214449496</v>
      </c>
      <c r="Y1238" s="4">
        <f>VALUE(SUBSTITUTE(MID($A1238,F1238+F$2+1,G1238-F1238-F$2-1),",","."))</f>
        <v>5.3348125934138999E-2</v>
      </c>
      <c r="Z1238" s="3">
        <f>VALUE(SUBSTITUTE(MID($A1238,G1238+G$2+1,H1238-G1238-G$2-1),",","."))</f>
        <v>47.733333333333299</v>
      </c>
      <c r="AA1238" s="3">
        <f>VALUE(SUBSTITUTE(MID($A1238,H1238+H$2+1,I1238-H1238-H$2-1),",","."))</f>
        <v>0</v>
      </c>
      <c r="AB1238" s="3">
        <f>VALUE(SUBSTITUTE(MID($A1238,I1238+I$2+1,J1238-I1238-I$2-1),",","."))</f>
        <v>51</v>
      </c>
      <c r="AC1238" s="3">
        <f>VALUE(SUBSTITUTE(MID($A1238,J1238+J$2+1,K1238-J1238-J$2-1),",","."))</f>
        <v>2.35</v>
      </c>
      <c r="AD1238" s="3">
        <f>VALUE(SUBSTITUTE(MID($A1238,K1238+K$2+1,L1238-K1238-K$2-1),",","."))</f>
        <v>2.88</v>
      </c>
      <c r="AE1238" s="3">
        <f>VALUE(SUBSTITUTE(MID($A1238,L1238+L$2+1,M1238-L1238-L$2-1),",","."))</f>
        <v>0</v>
      </c>
      <c r="AF1238" s="3">
        <f>VALUE(SUBSTITUTE(MID($A1238,M1238+M$2+1,N1238-M1238-M$2-1),",","."))</f>
        <v>0</v>
      </c>
      <c r="AG1238" s="3">
        <f>VALUE(SUBSTITUTE(MID($A1238,N1238+N$2+1,O1238-N1238-N$2-1),",","."))</f>
        <v>4.2386828064591997</v>
      </c>
      <c r="AH1238" t="str">
        <f>MID($A1238,O1238+O$2+1,P1238-O1238-O$2-1)</f>
        <v/>
      </c>
      <c r="AI1238" s="8" t="str">
        <f>MID($A1238,P1238+P$2+1,Q1238-P1238-P$2-1)</f>
        <v>False</v>
      </c>
      <c r="AK1238" t="b">
        <f t="shared" si="165"/>
        <v>1</v>
      </c>
    </row>
    <row r="1239" spans="1:37" x14ac:dyDescent="0.35">
      <c r="A1239" t="s">
        <v>5786</v>
      </c>
      <c r="B1239">
        <f t="shared" si="168"/>
        <v>10</v>
      </c>
      <c r="C1239">
        <f t="shared" si="168"/>
        <v>43</v>
      </c>
      <c r="D1239">
        <f t="shared" si="168"/>
        <v>54</v>
      </c>
      <c r="E1239">
        <f t="shared" si="168"/>
        <v>80</v>
      </c>
      <c r="F1239">
        <f t="shared" si="168"/>
        <v>124</v>
      </c>
      <c r="G1239">
        <f t="shared" si="167"/>
        <v>163</v>
      </c>
      <c r="H1239">
        <f t="shared" si="167"/>
        <v>212</v>
      </c>
      <c r="I1239">
        <f t="shared" si="166"/>
        <v>234</v>
      </c>
      <c r="J1239">
        <f t="shared" si="166"/>
        <v>268</v>
      </c>
      <c r="K1239">
        <f t="shared" si="166"/>
        <v>288</v>
      </c>
      <c r="L1239">
        <f t="shared" si="166"/>
        <v>320</v>
      </c>
      <c r="M1239">
        <f t="shared" si="166"/>
        <v>335</v>
      </c>
      <c r="N1239">
        <f t="shared" si="166"/>
        <v>347</v>
      </c>
      <c r="O1239">
        <f t="shared" si="166"/>
        <v>372</v>
      </c>
      <c r="P1239">
        <f t="shared" si="166"/>
        <v>390</v>
      </c>
      <c r="Q1239">
        <f t="shared" si="166"/>
        <v>416</v>
      </c>
      <c r="S1239" t="str">
        <f t="shared" si="162"/>
        <v>09.12.2025</v>
      </c>
      <c r="T1239" t="str">
        <f t="shared" si="163"/>
        <v>16:15:00</v>
      </c>
      <c r="U1239" t="str">
        <f t="shared" si="164"/>
        <v>09.12.2025 16:15:00</v>
      </c>
      <c r="V1239" s="9" t="str">
        <f>MID($A1239,C1239+C$2+1,D1239-C1239-C$2-1)</f>
        <v>0</v>
      </c>
      <c r="W1239" s="4">
        <f>VALUE(SUBSTITUTE(MID($A1239,D1239+D$2+1,E1239-D1239-D$2-1),",","."))</f>
        <v>0</v>
      </c>
      <c r="X1239" s="4">
        <f>VALUE(SUBSTITUTE(MID($A1239,E1239+E$2+1,F1239-E1239-E$2-1),",","."))</f>
        <v>0.90957602214449496</v>
      </c>
      <c r="Y1239" s="4">
        <f>VALUE(SUBSTITUTE(MID($A1239,F1239+F$2+1,G1239-F1239-F$2-1),",","."))</f>
        <v>2.0728753640719501E-2</v>
      </c>
      <c r="Z1239" s="3">
        <f>VALUE(SUBSTITUTE(MID($A1239,G1239+G$2+1,H1239-G1239-G$2-1),",","."))</f>
        <v>47.733333333333299</v>
      </c>
      <c r="AA1239" s="3">
        <f>VALUE(SUBSTITUTE(MID($A1239,H1239+H$2+1,I1239-H1239-H$2-1),",","."))</f>
        <v>0</v>
      </c>
      <c r="AB1239" s="3">
        <f>VALUE(SUBSTITUTE(MID($A1239,I1239+I$2+1,J1239-I1239-I$2-1),",","."))</f>
        <v>51</v>
      </c>
      <c r="AC1239" s="3">
        <f>VALUE(SUBSTITUTE(MID($A1239,J1239+J$2+1,K1239-J1239-J$2-1),",","."))</f>
        <v>2.35</v>
      </c>
      <c r="AD1239" s="3">
        <f>VALUE(SUBSTITUTE(MID($A1239,K1239+K$2+1,L1239-K1239-K$2-1),",","."))</f>
        <v>2.88</v>
      </c>
      <c r="AE1239" s="3">
        <f>VALUE(SUBSTITUTE(MID($A1239,L1239+L$2+1,M1239-L1239-L$2-1),",","."))</f>
        <v>0</v>
      </c>
      <c r="AF1239" s="3">
        <f>VALUE(SUBSTITUTE(MID($A1239,M1239+M$2+1,N1239-M1239-M$2-1),",","."))</f>
        <v>0</v>
      </c>
      <c r="AG1239" s="3">
        <f>VALUE(SUBSTITUTE(MID($A1239,N1239+N$2+1,O1239-N1239-N$2-1),",","."))</f>
        <v>4.2387113263472802</v>
      </c>
      <c r="AH1239" t="str">
        <f>MID($A1239,O1239+O$2+1,P1239-O1239-O$2-1)</f>
        <v/>
      </c>
      <c r="AI1239" s="8" t="str">
        <f>MID($A1239,P1239+P$2+1,Q1239-P1239-P$2-1)</f>
        <v>False</v>
      </c>
      <c r="AK1239" t="b">
        <f t="shared" si="165"/>
        <v>1</v>
      </c>
    </row>
    <row r="1240" spans="1:37" x14ac:dyDescent="0.35">
      <c r="A1240" t="s">
        <v>5787</v>
      </c>
      <c r="B1240">
        <f t="shared" si="168"/>
        <v>10</v>
      </c>
      <c r="C1240">
        <f t="shared" si="168"/>
        <v>43</v>
      </c>
      <c r="D1240">
        <f t="shared" si="168"/>
        <v>54</v>
      </c>
      <c r="E1240">
        <f t="shared" si="168"/>
        <v>80</v>
      </c>
      <c r="F1240">
        <f t="shared" si="168"/>
        <v>124</v>
      </c>
      <c r="G1240">
        <f t="shared" si="167"/>
        <v>145</v>
      </c>
      <c r="H1240">
        <f t="shared" si="167"/>
        <v>194</v>
      </c>
      <c r="I1240">
        <f t="shared" si="166"/>
        <v>216</v>
      </c>
      <c r="J1240">
        <f t="shared" si="166"/>
        <v>250</v>
      </c>
      <c r="K1240">
        <f t="shared" si="166"/>
        <v>269</v>
      </c>
      <c r="L1240">
        <f t="shared" si="166"/>
        <v>287</v>
      </c>
      <c r="M1240">
        <f t="shared" si="166"/>
        <v>302</v>
      </c>
      <c r="N1240">
        <f t="shared" si="166"/>
        <v>314</v>
      </c>
      <c r="O1240">
        <f t="shared" si="166"/>
        <v>339</v>
      </c>
      <c r="P1240">
        <f t="shared" si="166"/>
        <v>357</v>
      </c>
      <c r="Q1240">
        <f t="shared" si="166"/>
        <v>383</v>
      </c>
      <c r="S1240" t="str">
        <f t="shared" si="162"/>
        <v>09.12.2025</v>
      </c>
      <c r="T1240" t="str">
        <f t="shared" si="163"/>
        <v>16:30:00</v>
      </c>
      <c r="U1240" t="str">
        <f t="shared" si="164"/>
        <v>09.12.2025 16:30:00</v>
      </c>
      <c r="V1240" s="9" t="str">
        <f>MID($A1240,C1240+C$2+1,D1240-C1240-C$2-1)</f>
        <v>0</v>
      </c>
      <c r="W1240" s="4">
        <f>VALUE(SUBSTITUTE(MID($A1240,D1240+D$2+1,E1240-D1240-D$2-1),",","."))</f>
        <v>0</v>
      </c>
      <c r="X1240" s="4">
        <f>VALUE(SUBSTITUTE(MID($A1240,E1240+E$2+1,F1240-E1240-E$2-1),",","."))</f>
        <v>0.90957602214449496</v>
      </c>
      <c r="Y1240" s="4">
        <f>VALUE(SUBSTITUTE(MID($A1240,F1240+F$2+1,G1240-F1240-F$2-1),",","."))</f>
        <v>0</v>
      </c>
      <c r="Z1240" s="3">
        <f>VALUE(SUBSTITUTE(MID($A1240,G1240+G$2+1,H1240-G1240-G$2-1),",","."))</f>
        <v>11.883333333333301</v>
      </c>
      <c r="AA1240" s="3">
        <f>VALUE(SUBSTITUTE(MID($A1240,H1240+H$2+1,I1240-H1240-H$2-1),",","."))</f>
        <v>0</v>
      </c>
      <c r="AB1240" s="3">
        <f>VALUE(SUBSTITUTE(MID($A1240,I1240+I$2+1,J1240-I1240-I$2-1),",","."))</f>
        <v>10</v>
      </c>
      <c r="AC1240" s="3">
        <f>VALUE(SUBSTITUTE(MID($A1240,J1240+J$2+1,K1240-J1240-J$2-1),",","."))</f>
        <v>2.1</v>
      </c>
      <c r="AD1240" s="3">
        <f>VALUE(SUBSTITUTE(MID($A1240,K1240+K$2+1,L1240-K1240-K$2-1),",","."))</f>
        <v>2.52</v>
      </c>
      <c r="AE1240" s="3">
        <f>VALUE(SUBSTITUTE(MID($A1240,L1240+L$2+1,M1240-L1240-L$2-1),",","."))</f>
        <v>0</v>
      </c>
      <c r="AF1240" s="3">
        <f>VALUE(SUBSTITUTE(MID($A1240,M1240+M$2+1,N1240-M1240-M$2-1),",","."))</f>
        <v>0</v>
      </c>
      <c r="AG1240" s="3">
        <f>VALUE(SUBSTITUTE(MID($A1240,N1240+N$2+1,O1240-N1240-N$2-1),",","."))</f>
        <v>4.2387398462353598</v>
      </c>
      <c r="AH1240" t="str">
        <f>MID($A1240,O1240+O$2+1,P1240-O1240-O$2-1)</f>
        <v/>
      </c>
      <c r="AI1240" s="8" t="str">
        <f>MID($A1240,P1240+P$2+1,Q1240-P1240-P$2-1)</f>
        <v>False</v>
      </c>
      <c r="AK1240" t="b">
        <f t="shared" si="165"/>
        <v>0</v>
      </c>
    </row>
    <row r="1241" spans="1:37" x14ac:dyDescent="0.35">
      <c r="A1241" t="s">
        <v>5788</v>
      </c>
      <c r="B1241">
        <f t="shared" si="168"/>
        <v>10</v>
      </c>
      <c r="C1241">
        <f t="shared" si="168"/>
        <v>43</v>
      </c>
      <c r="D1241">
        <f t="shared" si="168"/>
        <v>54</v>
      </c>
      <c r="E1241">
        <f t="shared" si="168"/>
        <v>80</v>
      </c>
      <c r="F1241">
        <f t="shared" si="168"/>
        <v>124</v>
      </c>
      <c r="G1241">
        <f t="shared" si="167"/>
        <v>145</v>
      </c>
      <c r="H1241">
        <f t="shared" si="167"/>
        <v>194</v>
      </c>
      <c r="I1241">
        <f t="shared" si="166"/>
        <v>216</v>
      </c>
      <c r="J1241">
        <f t="shared" si="166"/>
        <v>250</v>
      </c>
      <c r="K1241">
        <f t="shared" si="166"/>
        <v>269</v>
      </c>
      <c r="L1241">
        <f t="shared" si="166"/>
        <v>287</v>
      </c>
      <c r="M1241">
        <f t="shared" si="166"/>
        <v>302</v>
      </c>
      <c r="N1241">
        <f t="shared" si="166"/>
        <v>314</v>
      </c>
      <c r="O1241">
        <f t="shared" si="166"/>
        <v>340</v>
      </c>
      <c r="P1241">
        <f t="shared" si="166"/>
        <v>358</v>
      </c>
      <c r="Q1241">
        <f t="shared" si="166"/>
        <v>384</v>
      </c>
      <c r="S1241" t="str">
        <f t="shared" si="162"/>
        <v>09.12.2025</v>
      </c>
      <c r="T1241" t="str">
        <f t="shared" si="163"/>
        <v>16:45:00</v>
      </c>
      <c r="U1241" t="str">
        <f t="shared" si="164"/>
        <v>09.12.2025 16:45:00</v>
      </c>
      <c r="V1241" s="9" t="str">
        <f>MID($A1241,C1241+C$2+1,D1241-C1241-C$2-1)</f>
        <v>0</v>
      </c>
      <c r="W1241" s="4">
        <f>VALUE(SUBSTITUTE(MID($A1241,D1241+D$2+1,E1241-D1241-D$2-1),",","."))</f>
        <v>0</v>
      </c>
      <c r="X1241" s="4">
        <f>VALUE(SUBSTITUTE(MID($A1241,E1241+E$2+1,F1241-E1241-E$2-1),",","."))</f>
        <v>0.90957602214449496</v>
      </c>
      <c r="Y1241" s="4">
        <f>VALUE(SUBSTITUTE(MID($A1241,F1241+F$2+1,G1241-F1241-F$2-1),",","."))</f>
        <v>0</v>
      </c>
      <c r="Z1241" s="3">
        <f>VALUE(SUBSTITUTE(MID($A1241,G1241+G$2+1,H1241-G1241-G$2-1),",","."))</f>
        <v>11.883333333333301</v>
      </c>
      <c r="AA1241" s="3">
        <f>VALUE(SUBSTITUTE(MID($A1241,H1241+H$2+1,I1241-H1241-H$2-1),",","."))</f>
        <v>0</v>
      </c>
      <c r="AB1241" s="3">
        <f>VALUE(SUBSTITUTE(MID($A1241,I1241+I$2+1,J1241-I1241-I$2-1),",","."))</f>
        <v>10</v>
      </c>
      <c r="AC1241" s="3">
        <f>VALUE(SUBSTITUTE(MID($A1241,J1241+J$2+1,K1241-J1241-J$2-1),",","."))</f>
        <v>2.1</v>
      </c>
      <c r="AD1241" s="3">
        <f>VALUE(SUBSTITUTE(MID($A1241,K1241+K$2+1,L1241-K1241-K$2-1),",","."))</f>
        <v>2.52</v>
      </c>
      <c r="AE1241" s="3">
        <f>VALUE(SUBSTITUTE(MID($A1241,L1241+L$2+1,M1241-L1241-L$2-1),",","."))</f>
        <v>0</v>
      </c>
      <c r="AF1241" s="3">
        <f>VALUE(SUBSTITUTE(MID($A1241,M1241+M$2+1,N1241-M1241-M$2-1),",","."))</f>
        <v>0</v>
      </c>
      <c r="AG1241" s="3">
        <f>VALUE(SUBSTITUTE(MID($A1241,N1241+N$2+1,O1241-N1241-N$2-1),",","."))</f>
        <v>4.2387683661234403</v>
      </c>
      <c r="AH1241" t="str">
        <f>MID($A1241,O1241+O$2+1,P1241-O1241-O$2-1)</f>
        <v/>
      </c>
      <c r="AI1241" s="8" t="str">
        <f>MID($A1241,P1241+P$2+1,Q1241-P1241-P$2-1)</f>
        <v>False</v>
      </c>
      <c r="AK1241" t="b">
        <f t="shared" si="165"/>
        <v>0</v>
      </c>
    </row>
    <row r="1242" spans="1:37" x14ac:dyDescent="0.35">
      <c r="A1242" t="s">
        <v>5789</v>
      </c>
      <c r="B1242">
        <f t="shared" si="168"/>
        <v>10</v>
      </c>
      <c r="C1242">
        <f t="shared" si="168"/>
        <v>43</v>
      </c>
      <c r="D1242">
        <f t="shared" si="168"/>
        <v>54</v>
      </c>
      <c r="E1242">
        <f t="shared" si="168"/>
        <v>80</v>
      </c>
      <c r="F1242">
        <f t="shared" si="168"/>
        <v>124</v>
      </c>
      <c r="G1242">
        <f t="shared" si="167"/>
        <v>145</v>
      </c>
      <c r="H1242">
        <f t="shared" si="167"/>
        <v>194</v>
      </c>
      <c r="I1242">
        <f t="shared" si="166"/>
        <v>216</v>
      </c>
      <c r="J1242">
        <f t="shared" si="166"/>
        <v>250</v>
      </c>
      <c r="K1242">
        <f t="shared" si="166"/>
        <v>269</v>
      </c>
      <c r="L1242">
        <f t="shared" si="166"/>
        <v>287</v>
      </c>
      <c r="M1242">
        <f t="shared" si="166"/>
        <v>302</v>
      </c>
      <c r="N1242">
        <f t="shared" si="166"/>
        <v>314</v>
      </c>
      <c r="O1242">
        <f t="shared" si="166"/>
        <v>339</v>
      </c>
      <c r="P1242">
        <f t="shared" si="166"/>
        <v>357</v>
      </c>
      <c r="Q1242">
        <f t="shared" si="166"/>
        <v>383</v>
      </c>
      <c r="S1242" t="str">
        <f t="shared" si="162"/>
        <v>09.12.2025</v>
      </c>
      <c r="T1242" t="str">
        <f t="shared" si="163"/>
        <v>17:00:00</v>
      </c>
      <c r="U1242" t="str">
        <f t="shared" si="164"/>
        <v>09.12.2025 17:00:00</v>
      </c>
      <c r="V1242" s="9" t="str">
        <f>MID($A1242,C1242+C$2+1,D1242-C1242-C$2-1)</f>
        <v>0</v>
      </c>
      <c r="W1242" s="4">
        <f>VALUE(SUBSTITUTE(MID($A1242,D1242+D$2+1,E1242-D1242-D$2-1),",","."))</f>
        <v>0</v>
      </c>
      <c r="X1242" s="4">
        <f>VALUE(SUBSTITUTE(MID($A1242,E1242+E$2+1,F1242-E1242-E$2-1),",","."))</f>
        <v>0.90957602214449496</v>
      </c>
      <c r="Y1242" s="4">
        <f>VALUE(SUBSTITUTE(MID($A1242,F1242+F$2+1,G1242-F1242-F$2-1),",","."))</f>
        <v>0</v>
      </c>
      <c r="Z1242" s="3">
        <f>VALUE(SUBSTITUTE(MID($A1242,G1242+G$2+1,H1242-G1242-G$2-1),",","."))</f>
        <v>11.883333333333301</v>
      </c>
      <c r="AA1242" s="3">
        <f>VALUE(SUBSTITUTE(MID($A1242,H1242+H$2+1,I1242-H1242-H$2-1),",","."))</f>
        <v>0</v>
      </c>
      <c r="AB1242" s="3">
        <f>VALUE(SUBSTITUTE(MID($A1242,I1242+I$2+1,J1242-I1242-I$2-1),",","."))</f>
        <v>10</v>
      </c>
      <c r="AC1242" s="3">
        <f>VALUE(SUBSTITUTE(MID($A1242,J1242+J$2+1,K1242-J1242-J$2-1),",","."))</f>
        <v>2.1</v>
      </c>
      <c r="AD1242" s="3">
        <f>VALUE(SUBSTITUTE(MID($A1242,K1242+K$2+1,L1242-K1242-K$2-1),",","."))</f>
        <v>2.52</v>
      </c>
      <c r="AE1242" s="3">
        <f>VALUE(SUBSTITUTE(MID($A1242,L1242+L$2+1,M1242-L1242-L$2-1),",","."))</f>
        <v>0</v>
      </c>
      <c r="AF1242" s="3">
        <f>VALUE(SUBSTITUTE(MID($A1242,M1242+M$2+1,N1242-M1242-M$2-1),",","."))</f>
        <v>0</v>
      </c>
      <c r="AG1242" s="3">
        <f>VALUE(SUBSTITUTE(MID($A1242,N1242+N$2+1,O1242-N1242-N$2-1),",","."))</f>
        <v>4.2387968860115199</v>
      </c>
      <c r="AH1242" t="str">
        <f>MID($A1242,O1242+O$2+1,P1242-O1242-O$2-1)</f>
        <v/>
      </c>
      <c r="AI1242" s="8" t="str">
        <f>MID($A1242,P1242+P$2+1,Q1242-P1242-P$2-1)</f>
        <v>False</v>
      </c>
      <c r="AK1242" t="b">
        <f t="shared" si="165"/>
        <v>0</v>
      </c>
    </row>
    <row r="1243" spans="1:37" x14ac:dyDescent="0.35">
      <c r="A1243" t="s">
        <v>5790</v>
      </c>
      <c r="B1243">
        <f t="shared" si="168"/>
        <v>10</v>
      </c>
      <c r="C1243">
        <f t="shared" si="168"/>
        <v>43</v>
      </c>
      <c r="D1243">
        <f t="shared" si="168"/>
        <v>54</v>
      </c>
      <c r="E1243">
        <f t="shared" si="168"/>
        <v>80</v>
      </c>
      <c r="F1243">
        <f t="shared" si="168"/>
        <v>124</v>
      </c>
      <c r="G1243">
        <f t="shared" si="167"/>
        <v>145</v>
      </c>
      <c r="H1243">
        <f t="shared" si="167"/>
        <v>194</v>
      </c>
      <c r="I1243">
        <f t="shared" si="166"/>
        <v>216</v>
      </c>
      <c r="J1243">
        <f t="shared" si="166"/>
        <v>250</v>
      </c>
      <c r="K1243">
        <f t="shared" si="166"/>
        <v>269</v>
      </c>
      <c r="L1243">
        <f t="shared" si="166"/>
        <v>287</v>
      </c>
      <c r="M1243">
        <f t="shared" si="166"/>
        <v>302</v>
      </c>
      <c r="N1243">
        <f t="shared" si="166"/>
        <v>314</v>
      </c>
      <c r="O1243">
        <f t="shared" si="166"/>
        <v>338</v>
      </c>
      <c r="P1243">
        <f t="shared" si="166"/>
        <v>356</v>
      </c>
      <c r="Q1243">
        <f t="shared" si="166"/>
        <v>382</v>
      </c>
      <c r="S1243" t="str">
        <f t="shared" si="162"/>
        <v>09.12.2025</v>
      </c>
      <c r="T1243" t="str">
        <f t="shared" si="163"/>
        <v>17:15:00</v>
      </c>
      <c r="U1243" t="str">
        <f t="shared" si="164"/>
        <v>09.12.2025 17:15:00</v>
      </c>
      <c r="V1243" s="9" t="str">
        <f>MID($A1243,C1243+C$2+1,D1243-C1243-C$2-1)</f>
        <v>0</v>
      </c>
      <c r="W1243" s="4">
        <f>VALUE(SUBSTITUTE(MID($A1243,D1243+D$2+1,E1243-D1243-D$2-1),",","."))</f>
        <v>0</v>
      </c>
      <c r="X1243" s="4">
        <f>VALUE(SUBSTITUTE(MID($A1243,E1243+E$2+1,F1243-E1243-E$2-1),",","."))</f>
        <v>0.90957602214449496</v>
      </c>
      <c r="Y1243" s="4">
        <f>VALUE(SUBSTITUTE(MID($A1243,F1243+F$2+1,G1243-F1243-F$2-1),",","."))</f>
        <v>0</v>
      </c>
      <c r="Z1243" s="3">
        <f>VALUE(SUBSTITUTE(MID($A1243,G1243+G$2+1,H1243-G1243-G$2-1),",","."))</f>
        <v>11.883333333333301</v>
      </c>
      <c r="AA1243" s="3">
        <f>VALUE(SUBSTITUTE(MID($A1243,H1243+H$2+1,I1243-H1243-H$2-1),",","."))</f>
        <v>0</v>
      </c>
      <c r="AB1243" s="3">
        <f>VALUE(SUBSTITUTE(MID($A1243,I1243+I$2+1,J1243-I1243-I$2-1),",","."))</f>
        <v>10</v>
      </c>
      <c r="AC1243" s="3">
        <f>VALUE(SUBSTITUTE(MID($A1243,J1243+J$2+1,K1243-J1243-J$2-1),",","."))</f>
        <v>2.1</v>
      </c>
      <c r="AD1243" s="3">
        <f>VALUE(SUBSTITUTE(MID($A1243,K1243+K$2+1,L1243-K1243-K$2-1),",","."))</f>
        <v>2.52</v>
      </c>
      <c r="AE1243" s="3">
        <f>VALUE(SUBSTITUTE(MID($A1243,L1243+L$2+1,M1243-L1243-L$2-1),",","."))</f>
        <v>0</v>
      </c>
      <c r="AF1243" s="3">
        <f>VALUE(SUBSTITUTE(MID($A1243,M1243+M$2+1,N1243-M1243-M$2-1),",","."))</f>
        <v>0</v>
      </c>
      <c r="AG1243" s="3">
        <f>VALUE(SUBSTITUTE(MID($A1243,N1243+N$2+1,O1243-N1243-N$2-1),",","."))</f>
        <v>4.2388254058996102</v>
      </c>
      <c r="AH1243" t="str">
        <f>MID($A1243,O1243+O$2+1,P1243-O1243-O$2-1)</f>
        <v/>
      </c>
      <c r="AI1243" s="8" t="str">
        <f>MID($A1243,P1243+P$2+1,Q1243-P1243-P$2-1)</f>
        <v>False</v>
      </c>
      <c r="AK1243" t="b">
        <f t="shared" si="165"/>
        <v>0</v>
      </c>
    </row>
    <row r="1244" spans="1:37" x14ac:dyDescent="0.35">
      <c r="A1244" t="s">
        <v>5791</v>
      </c>
      <c r="B1244">
        <f t="shared" si="168"/>
        <v>10</v>
      </c>
      <c r="C1244">
        <f t="shared" si="168"/>
        <v>43</v>
      </c>
      <c r="D1244">
        <f t="shared" si="168"/>
        <v>54</v>
      </c>
      <c r="E1244">
        <f t="shared" si="168"/>
        <v>80</v>
      </c>
      <c r="F1244">
        <f t="shared" si="168"/>
        <v>124</v>
      </c>
      <c r="G1244">
        <f t="shared" si="167"/>
        <v>145</v>
      </c>
      <c r="H1244">
        <f t="shared" si="167"/>
        <v>177</v>
      </c>
      <c r="I1244">
        <f t="shared" si="166"/>
        <v>199</v>
      </c>
      <c r="J1244">
        <f t="shared" si="166"/>
        <v>232</v>
      </c>
      <c r="K1244">
        <f t="shared" si="166"/>
        <v>252</v>
      </c>
      <c r="L1244">
        <f t="shared" si="166"/>
        <v>283</v>
      </c>
      <c r="M1244">
        <f t="shared" si="166"/>
        <v>298</v>
      </c>
      <c r="N1244">
        <f t="shared" si="166"/>
        <v>310</v>
      </c>
      <c r="O1244">
        <f t="shared" si="166"/>
        <v>335</v>
      </c>
      <c r="P1244">
        <f t="shared" si="166"/>
        <v>353</v>
      </c>
      <c r="Q1244">
        <f t="shared" si="166"/>
        <v>379</v>
      </c>
      <c r="S1244" t="str">
        <f t="shared" si="162"/>
        <v>09.12.2025</v>
      </c>
      <c r="T1244" t="str">
        <f t="shared" si="163"/>
        <v>17:30:00</v>
      </c>
      <c r="U1244" t="str">
        <f t="shared" si="164"/>
        <v>09.12.2025 17:30:00</v>
      </c>
      <c r="V1244" s="9" t="str">
        <f>MID($A1244,C1244+C$2+1,D1244-C1244-C$2-1)</f>
        <v>0</v>
      </c>
      <c r="W1244" s="4">
        <f>VALUE(SUBSTITUTE(MID($A1244,D1244+D$2+1,E1244-D1244-D$2-1),",","."))</f>
        <v>0</v>
      </c>
      <c r="X1244" s="4">
        <f>VALUE(SUBSTITUTE(MID($A1244,E1244+E$2+1,F1244-E1244-E$2-1),",","."))</f>
        <v>0.90957602214449496</v>
      </c>
      <c r="Y1244" s="4">
        <f>VALUE(SUBSTITUTE(MID($A1244,F1244+F$2+1,G1244-F1244-F$2-1),",","."))</f>
        <v>0</v>
      </c>
      <c r="Z1244" s="3">
        <f>VALUE(SUBSTITUTE(MID($A1244,G1244+G$2+1,H1244-G1244-G$2-1),",","."))</f>
        <v>0</v>
      </c>
      <c r="AA1244" s="3">
        <f>VALUE(SUBSTITUTE(MID($A1244,H1244+H$2+1,I1244-H1244-H$2-1),",","."))</f>
        <v>0</v>
      </c>
      <c r="AB1244" s="3">
        <f>VALUE(SUBSTITUTE(MID($A1244,I1244+I$2+1,J1244-I1244-I$2-1),",","."))</f>
        <v>0</v>
      </c>
      <c r="AC1244" s="3">
        <f>VALUE(SUBSTITUTE(MID($A1244,J1244+J$2+1,K1244-J1244-J$2-1),",","."))</f>
        <v>1.85</v>
      </c>
      <c r="AD1244" s="3">
        <f>VALUE(SUBSTITUTE(MID($A1244,K1244+K$2+1,L1244-K1244-K$2-1),",","."))</f>
        <v>4.68</v>
      </c>
      <c r="AE1244" s="3">
        <f>VALUE(SUBSTITUTE(MID($A1244,L1244+L$2+1,M1244-L1244-L$2-1),",","."))</f>
        <v>0</v>
      </c>
      <c r="AF1244" s="3">
        <f>VALUE(SUBSTITUTE(MID($A1244,M1244+M$2+1,N1244-M1244-M$2-1),",","."))</f>
        <v>0</v>
      </c>
      <c r="AG1244" s="3">
        <f>VALUE(SUBSTITUTE(MID($A1244,N1244+N$2+1,O1244-N1244-N$2-1),",","."))</f>
        <v>4.2388539257876898</v>
      </c>
      <c r="AH1244" t="str">
        <f>MID($A1244,O1244+O$2+1,P1244-O1244-O$2-1)</f>
        <v/>
      </c>
      <c r="AI1244" s="8" t="str">
        <f>MID($A1244,P1244+P$2+1,Q1244-P1244-P$2-1)</f>
        <v>False</v>
      </c>
      <c r="AK1244" t="b">
        <f t="shared" si="165"/>
        <v>0</v>
      </c>
    </row>
    <row r="1245" spans="1:37" x14ac:dyDescent="0.35">
      <c r="A1245" t="s">
        <v>5792</v>
      </c>
      <c r="B1245">
        <f t="shared" si="168"/>
        <v>10</v>
      </c>
      <c r="C1245">
        <f t="shared" si="168"/>
        <v>43</v>
      </c>
      <c r="D1245">
        <f t="shared" si="168"/>
        <v>54</v>
      </c>
      <c r="E1245">
        <f t="shared" si="168"/>
        <v>80</v>
      </c>
      <c r="F1245">
        <f t="shared" si="168"/>
        <v>124</v>
      </c>
      <c r="G1245">
        <f t="shared" si="167"/>
        <v>145</v>
      </c>
      <c r="H1245">
        <f t="shared" si="167"/>
        <v>177</v>
      </c>
      <c r="I1245">
        <f t="shared" si="166"/>
        <v>199</v>
      </c>
      <c r="J1245">
        <f t="shared" si="166"/>
        <v>232</v>
      </c>
      <c r="K1245">
        <f t="shared" si="166"/>
        <v>252</v>
      </c>
      <c r="L1245">
        <f t="shared" si="166"/>
        <v>283</v>
      </c>
      <c r="M1245">
        <f t="shared" si="166"/>
        <v>298</v>
      </c>
      <c r="N1245">
        <f t="shared" si="166"/>
        <v>310</v>
      </c>
      <c r="O1245">
        <f t="shared" si="166"/>
        <v>335</v>
      </c>
      <c r="P1245">
        <f t="shared" si="166"/>
        <v>353</v>
      </c>
      <c r="Q1245">
        <f t="shared" si="166"/>
        <v>379</v>
      </c>
      <c r="S1245" t="str">
        <f t="shared" si="162"/>
        <v>09.12.2025</v>
      </c>
      <c r="T1245" t="str">
        <f t="shared" si="163"/>
        <v>17:45:00</v>
      </c>
      <c r="U1245" t="str">
        <f t="shared" si="164"/>
        <v>09.12.2025 17:45:00</v>
      </c>
      <c r="V1245" s="9" t="str">
        <f>MID($A1245,C1245+C$2+1,D1245-C1245-C$2-1)</f>
        <v>0</v>
      </c>
      <c r="W1245" s="4">
        <f>VALUE(SUBSTITUTE(MID($A1245,D1245+D$2+1,E1245-D1245-D$2-1),",","."))</f>
        <v>0</v>
      </c>
      <c r="X1245" s="4">
        <f>VALUE(SUBSTITUTE(MID($A1245,E1245+E$2+1,F1245-E1245-E$2-1),",","."))</f>
        <v>0.90957602214449496</v>
      </c>
      <c r="Y1245" s="4">
        <f>VALUE(SUBSTITUTE(MID($A1245,F1245+F$2+1,G1245-F1245-F$2-1),",","."))</f>
        <v>0</v>
      </c>
      <c r="Z1245" s="3">
        <f>VALUE(SUBSTITUTE(MID($A1245,G1245+G$2+1,H1245-G1245-G$2-1),",","."))</f>
        <v>0</v>
      </c>
      <c r="AA1245" s="3">
        <f>VALUE(SUBSTITUTE(MID($A1245,H1245+H$2+1,I1245-H1245-H$2-1),",","."))</f>
        <v>0</v>
      </c>
      <c r="AB1245" s="3">
        <f>VALUE(SUBSTITUTE(MID($A1245,I1245+I$2+1,J1245-I1245-I$2-1),",","."))</f>
        <v>0</v>
      </c>
      <c r="AC1245" s="3">
        <f>VALUE(SUBSTITUTE(MID($A1245,J1245+J$2+1,K1245-J1245-J$2-1),",","."))</f>
        <v>1.85</v>
      </c>
      <c r="AD1245" s="3">
        <f>VALUE(SUBSTITUTE(MID($A1245,K1245+K$2+1,L1245-K1245-K$2-1),",","."))</f>
        <v>4.68</v>
      </c>
      <c r="AE1245" s="3">
        <f>VALUE(SUBSTITUTE(MID($A1245,L1245+L$2+1,M1245-L1245-L$2-1),",","."))</f>
        <v>0</v>
      </c>
      <c r="AF1245" s="3">
        <f>VALUE(SUBSTITUTE(MID($A1245,M1245+M$2+1,N1245-M1245-M$2-1),",","."))</f>
        <v>0</v>
      </c>
      <c r="AG1245" s="3">
        <f>VALUE(SUBSTITUTE(MID($A1245,N1245+N$2+1,O1245-N1245-N$2-1),",","."))</f>
        <v>4.2388824456757703</v>
      </c>
      <c r="AH1245" t="str">
        <f>MID($A1245,O1245+O$2+1,P1245-O1245-O$2-1)</f>
        <v/>
      </c>
      <c r="AI1245" s="8" t="str">
        <f>MID($A1245,P1245+P$2+1,Q1245-P1245-P$2-1)</f>
        <v>False</v>
      </c>
      <c r="AK1245" t="b">
        <f t="shared" si="165"/>
        <v>0</v>
      </c>
    </row>
    <row r="1246" spans="1:37" x14ac:dyDescent="0.35">
      <c r="A1246" t="s">
        <v>5793</v>
      </c>
      <c r="B1246">
        <f t="shared" si="168"/>
        <v>10</v>
      </c>
      <c r="C1246">
        <f t="shared" si="168"/>
        <v>43</v>
      </c>
      <c r="D1246">
        <f t="shared" si="168"/>
        <v>54</v>
      </c>
      <c r="E1246">
        <f t="shared" si="168"/>
        <v>80</v>
      </c>
      <c r="F1246">
        <f t="shared" si="168"/>
        <v>124</v>
      </c>
      <c r="G1246">
        <f t="shared" si="167"/>
        <v>145</v>
      </c>
      <c r="H1246">
        <f t="shared" si="167"/>
        <v>177</v>
      </c>
      <c r="I1246">
        <f t="shared" si="166"/>
        <v>199</v>
      </c>
      <c r="J1246">
        <f t="shared" si="166"/>
        <v>232</v>
      </c>
      <c r="K1246">
        <f t="shared" si="166"/>
        <v>252</v>
      </c>
      <c r="L1246">
        <f t="shared" si="166"/>
        <v>283</v>
      </c>
      <c r="M1246">
        <f t="shared" si="166"/>
        <v>298</v>
      </c>
      <c r="N1246">
        <f t="shared" si="166"/>
        <v>310</v>
      </c>
      <c r="O1246">
        <f t="shared" si="166"/>
        <v>335</v>
      </c>
      <c r="P1246">
        <f t="shared" si="166"/>
        <v>353</v>
      </c>
      <c r="Q1246">
        <f t="shared" si="166"/>
        <v>379</v>
      </c>
      <c r="S1246" t="str">
        <f t="shared" si="162"/>
        <v>09.12.2025</v>
      </c>
      <c r="T1246" t="str">
        <f t="shared" si="163"/>
        <v>18:00:00</v>
      </c>
      <c r="U1246" t="str">
        <f t="shared" si="164"/>
        <v>09.12.2025 18:00:00</v>
      </c>
      <c r="V1246" s="9" t="str">
        <f>MID($A1246,C1246+C$2+1,D1246-C1246-C$2-1)</f>
        <v>0</v>
      </c>
      <c r="W1246" s="4">
        <f>VALUE(SUBSTITUTE(MID($A1246,D1246+D$2+1,E1246-D1246-D$2-1),",","."))</f>
        <v>0</v>
      </c>
      <c r="X1246" s="4">
        <f>VALUE(SUBSTITUTE(MID($A1246,E1246+E$2+1,F1246-E1246-E$2-1),",","."))</f>
        <v>0.90957602214449496</v>
      </c>
      <c r="Y1246" s="4">
        <f>VALUE(SUBSTITUTE(MID($A1246,F1246+F$2+1,G1246-F1246-F$2-1),",","."))</f>
        <v>0</v>
      </c>
      <c r="Z1246" s="3">
        <f>VALUE(SUBSTITUTE(MID($A1246,G1246+G$2+1,H1246-G1246-G$2-1),",","."))</f>
        <v>0</v>
      </c>
      <c r="AA1246" s="3">
        <f>VALUE(SUBSTITUTE(MID($A1246,H1246+H$2+1,I1246-H1246-H$2-1),",","."))</f>
        <v>0</v>
      </c>
      <c r="AB1246" s="3">
        <f>VALUE(SUBSTITUTE(MID($A1246,I1246+I$2+1,J1246-I1246-I$2-1),",","."))</f>
        <v>0</v>
      </c>
      <c r="AC1246" s="3">
        <f>VALUE(SUBSTITUTE(MID($A1246,J1246+J$2+1,K1246-J1246-J$2-1),",","."))</f>
        <v>1.85</v>
      </c>
      <c r="AD1246" s="3">
        <f>VALUE(SUBSTITUTE(MID($A1246,K1246+K$2+1,L1246-K1246-K$2-1),",","."))</f>
        <v>4.68</v>
      </c>
      <c r="AE1246" s="3">
        <f>VALUE(SUBSTITUTE(MID($A1246,L1246+L$2+1,M1246-L1246-L$2-1),",","."))</f>
        <v>0</v>
      </c>
      <c r="AF1246" s="3">
        <f>VALUE(SUBSTITUTE(MID($A1246,M1246+M$2+1,N1246-M1246-M$2-1),",","."))</f>
        <v>0</v>
      </c>
      <c r="AG1246" s="3">
        <f>VALUE(SUBSTITUTE(MID($A1246,N1246+N$2+1,O1246-N1246-N$2-1),",","."))</f>
        <v>4.2389109655638499</v>
      </c>
      <c r="AH1246" t="str">
        <f>MID($A1246,O1246+O$2+1,P1246-O1246-O$2-1)</f>
        <v/>
      </c>
      <c r="AI1246" s="8" t="str">
        <f>MID($A1246,P1246+P$2+1,Q1246-P1246-P$2-1)</f>
        <v>False</v>
      </c>
      <c r="AK1246" t="b">
        <f t="shared" si="165"/>
        <v>0</v>
      </c>
    </row>
    <row r="1247" spans="1:37" x14ac:dyDescent="0.35">
      <c r="A1247" t="s">
        <v>5794</v>
      </c>
      <c r="B1247">
        <f t="shared" si="168"/>
        <v>10</v>
      </c>
      <c r="C1247">
        <f t="shared" si="168"/>
        <v>43</v>
      </c>
      <c r="D1247">
        <f t="shared" si="168"/>
        <v>54</v>
      </c>
      <c r="E1247">
        <f t="shared" si="168"/>
        <v>80</v>
      </c>
      <c r="F1247">
        <f t="shared" si="168"/>
        <v>124</v>
      </c>
      <c r="G1247">
        <f t="shared" si="167"/>
        <v>145</v>
      </c>
      <c r="H1247">
        <f t="shared" si="167"/>
        <v>177</v>
      </c>
      <c r="I1247">
        <f t="shared" si="166"/>
        <v>199</v>
      </c>
      <c r="J1247">
        <f t="shared" si="166"/>
        <v>232</v>
      </c>
      <c r="K1247">
        <f t="shared" si="166"/>
        <v>252</v>
      </c>
      <c r="L1247">
        <f t="shared" si="166"/>
        <v>283</v>
      </c>
      <c r="M1247">
        <f t="shared" si="166"/>
        <v>298</v>
      </c>
      <c r="N1247">
        <f t="shared" si="166"/>
        <v>310</v>
      </c>
      <c r="O1247">
        <f t="shared" si="166"/>
        <v>335</v>
      </c>
      <c r="P1247">
        <f t="shared" si="166"/>
        <v>353</v>
      </c>
      <c r="Q1247">
        <f t="shared" si="166"/>
        <v>379</v>
      </c>
      <c r="S1247" t="str">
        <f t="shared" si="162"/>
        <v>09.12.2025</v>
      </c>
      <c r="T1247" t="str">
        <f t="shared" si="163"/>
        <v>18:15:00</v>
      </c>
      <c r="U1247" t="str">
        <f t="shared" si="164"/>
        <v>09.12.2025 18:15:00</v>
      </c>
      <c r="V1247" s="9" t="str">
        <f>MID($A1247,C1247+C$2+1,D1247-C1247-C$2-1)</f>
        <v>0</v>
      </c>
      <c r="W1247" s="4">
        <f>VALUE(SUBSTITUTE(MID($A1247,D1247+D$2+1,E1247-D1247-D$2-1),",","."))</f>
        <v>0</v>
      </c>
      <c r="X1247" s="4">
        <f>VALUE(SUBSTITUTE(MID($A1247,E1247+E$2+1,F1247-E1247-E$2-1),",","."))</f>
        <v>0.90957602214449496</v>
      </c>
      <c r="Y1247" s="4">
        <f>VALUE(SUBSTITUTE(MID($A1247,F1247+F$2+1,G1247-F1247-F$2-1),",","."))</f>
        <v>0</v>
      </c>
      <c r="Z1247" s="3">
        <f>VALUE(SUBSTITUTE(MID($A1247,G1247+G$2+1,H1247-G1247-G$2-1),",","."))</f>
        <v>0</v>
      </c>
      <c r="AA1247" s="3">
        <f>VALUE(SUBSTITUTE(MID($A1247,H1247+H$2+1,I1247-H1247-H$2-1),",","."))</f>
        <v>0</v>
      </c>
      <c r="AB1247" s="3">
        <f>VALUE(SUBSTITUTE(MID($A1247,I1247+I$2+1,J1247-I1247-I$2-1),",","."))</f>
        <v>0</v>
      </c>
      <c r="AC1247" s="3">
        <f>VALUE(SUBSTITUTE(MID($A1247,J1247+J$2+1,K1247-J1247-J$2-1),",","."))</f>
        <v>1.85</v>
      </c>
      <c r="AD1247" s="3">
        <f>VALUE(SUBSTITUTE(MID($A1247,K1247+K$2+1,L1247-K1247-K$2-1),",","."))</f>
        <v>4.68</v>
      </c>
      <c r="AE1247" s="3">
        <f>VALUE(SUBSTITUTE(MID($A1247,L1247+L$2+1,M1247-L1247-L$2-1),",","."))</f>
        <v>0</v>
      </c>
      <c r="AF1247" s="3">
        <f>VALUE(SUBSTITUTE(MID($A1247,M1247+M$2+1,N1247-M1247-M$2-1),",","."))</f>
        <v>0</v>
      </c>
      <c r="AG1247" s="3">
        <f>VALUE(SUBSTITUTE(MID($A1247,N1247+N$2+1,O1247-N1247-N$2-1),",","."))</f>
        <v>4.2389394854519296</v>
      </c>
      <c r="AH1247" t="str">
        <f>MID($A1247,O1247+O$2+1,P1247-O1247-O$2-1)</f>
        <v/>
      </c>
      <c r="AI1247" s="8" t="str">
        <f>MID($A1247,P1247+P$2+1,Q1247-P1247-P$2-1)</f>
        <v>False</v>
      </c>
      <c r="AK1247" t="b">
        <f t="shared" si="165"/>
        <v>0</v>
      </c>
    </row>
    <row r="1248" spans="1:37" x14ac:dyDescent="0.35">
      <c r="A1248" t="s">
        <v>5795</v>
      </c>
      <c r="B1248">
        <f t="shared" si="168"/>
        <v>10</v>
      </c>
      <c r="C1248">
        <f t="shared" si="168"/>
        <v>43</v>
      </c>
      <c r="D1248">
        <f t="shared" si="168"/>
        <v>54</v>
      </c>
      <c r="E1248">
        <f t="shared" si="168"/>
        <v>80</v>
      </c>
      <c r="F1248">
        <f t="shared" si="168"/>
        <v>124</v>
      </c>
      <c r="G1248">
        <f t="shared" si="167"/>
        <v>145</v>
      </c>
      <c r="H1248">
        <f t="shared" si="167"/>
        <v>177</v>
      </c>
      <c r="I1248">
        <f t="shared" si="166"/>
        <v>199</v>
      </c>
      <c r="J1248">
        <f t="shared" si="166"/>
        <v>232</v>
      </c>
      <c r="K1248">
        <f t="shared" si="166"/>
        <v>251</v>
      </c>
      <c r="L1248">
        <f t="shared" si="166"/>
        <v>269</v>
      </c>
      <c r="M1248">
        <f t="shared" si="166"/>
        <v>284</v>
      </c>
      <c r="N1248">
        <f t="shared" si="166"/>
        <v>296</v>
      </c>
      <c r="O1248">
        <f t="shared" si="166"/>
        <v>321</v>
      </c>
      <c r="P1248">
        <f t="shared" si="166"/>
        <v>339</v>
      </c>
      <c r="Q1248">
        <f t="shared" si="166"/>
        <v>365</v>
      </c>
      <c r="S1248" t="str">
        <f t="shared" si="162"/>
        <v>09.12.2025</v>
      </c>
      <c r="T1248" t="str">
        <f t="shared" si="163"/>
        <v>18:30:00</v>
      </c>
      <c r="U1248" t="str">
        <f t="shared" si="164"/>
        <v>09.12.2025 18:30:00</v>
      </c>
      <c r="V1248" s="9" t="str">
        <f>MID($A1248,C1248+C$2+1,D1248-C1248-C$2-1)</f>
        <v>0</v>
      </c>
      <c r="W1248" s="4">
        <f>VALUE(SUBSTITUTE(MID($A1248,D1248+D$2+1,E1248-D1248-D$2-1),",","."))</f>
        <v>0</v>
      </c>
      <c r="X1248" s="4">
        <f>VALUE(SUBSTITUTE(MID($A1248,E1248+E$2+1,F1248-E1248-E$2-1),",","."))</f>
        <v>0.90957602214449496</v>
      </c>
      <c r="Y1248" s="4">
        <f>VALUE(SUBSTITUTE(MID($A1248,F1248+F$2+1,G1248-F1248-F$2-1),",","."))</f>
        <v>0</v>
      </c>
      <c r="Z1248" s="3">
        <f>VALUE(SUBSTITUTE(MID($A1248,G1248+G$2+1,H1248-G1248-G$2-1),",","."))</f>
        <v>0</v>
      </c>
      <c r="AA1248" s="3">
        <f>VALUE(SUBSTITUTE(MID($A1248,H1248+H$2+1,I1248-H1248-H$2-1),",","."))</f>
        <v>0</v>
      </c>
      <c r="AB1248" s="3">
        <f>VALUE(SUBSTITUTE(MID($A1248,I1248+I$2+1,J1248-I1248-I$2-1),",","."))</f>
        <v>0</v>
      </c>
      <c r="AC1248" s="3">
        <f>VALUE(SUBSTITUTE(MID($A1248,J1248+J$2+1,K1248-J1248-J$2-1),",","."))</f>
        <v>1.7</v>
      </c>
      <c r="AD1248" s="3">
        <f>VALUE(SUBSTITUTE(MID($A1248,K1248+K$2+1,L1248-K1248-K$2-1),",","."))</f>
        <v>6.66</v>
      </c>
      <c r="AE1248" s="3">
        <f>VALUE(SUBSTITUTE(MID($A1248,L1248+L$2+1,M1248-L1248-L$2-1),",","."))</f>
        <v>0</v>
      </c>
      <c r="AF1248" s="3">
        <f>VALUE(SUBSTITUTE(MID($A1248,M1248+M$2+1,N1248-M1248-M$2-1),",","."))</f>
        <v>0</v>
      </c>
      <c r="AG1248" s="3">
        <f>VALUE(SUBSTITUTE(MID($A1248,N1248+N$2+1,O1248-N1248-N$2-1),",","."))</f>
        <v>4.2389680053400101</v>
      </c>
      <c r="AH1248" t="str">
        <f>MID($A1248,O1248+O$2+1,P1248-O1248-O$2-1)</f>
        <v/>
      </c>
      <c r="AI1248" s="8" t="str">
        <f>MID($A1248,P1248+P$2+1,Q1248-P1248-P$2-1)</f>
        <v>False</v>
      </c>
      <c r="AK1248" t="b">
        <f t="shared" si="165"/>
        <v>0</v>
      </c>
    </row>
    <row r="1249" spans="1:37" x14ac:dyDescent="0.35">
      <c r="A1249" t="s">
        <v>5796</v>
      </c>
      <c r="B1249">
        <f t="shared" si="168"/>
        <v>10</v>
      </c>
      <c r="C1249">
        <f t="shared" si="168"/>
        <v>43</v>
      </c>
      <c r="D1249">
        <f t="shared" si="168"/>
        <v>54</v>
      </c>
      <c r="E1249">
        <f t="shared" si="168"/>
        <v>80</v>
      </c>
      <c r="F1249">
        <f t="shared" si="168"/>
        <v>124</v>
      </c>
      <c r="G1249">
        <f t="shared" si="167"/>
        <v>145</v>
      </c>
      <c r="H1249">
        <f t="shared" si="167"/>
        <v>177</v>
      </c>
      <c r="I1249">
        <f t="shared" si="166"/>
        <v>199</v>
      </c>
      <c r="J1249">
        <f t="shared" si="166"/>
        <v>232</v>
      </c>
      <c r="K1249">
        <f t="shared" si="166"/>
        <v>251</v>
      </c>
      <c r="L1249">
        <f t="shared" ref="L1249:Q1291" si="169">FIND(L$1,$A1249)</f>
        <v>269</v>
      </c>
      <c r="M1249">
        <f t="shared" si="169"/>
        <v>284</v>
      </c>
      <c r="N1249">
        <f t="shared" si="169"/>
        <v>296</v>
      </c>
      <c r="O1249">
        <f t="shared" si="169"/>
        <v>321</v>
      </c>
      <c r="P1249">
        <f t="shared" si="169"/>
        <v>339</v>
      </c>
      <c r="Q1249">
        <f t="shared" si="169"/>
        <v>365</v>
      </c>
      <c r="S1249" t="str">
        <f t="shared" si="162"/>
        <v>09.12.2025</v>
      </c>
      <c r="T1249" t="str">
        <f t="shared" si="163"/>
        <v>18:45:00</v>
      </c>
      <c r="U1249" t="str">
        <f t="shared" si="164"/>
        <v>09.12.2025 18:45:00</v>
      </c>
      <c r="V1249" s="9" t="str">
        <f>MID($A1249,C1249+C$2+1,D1249-C1249-C$2-1)</f>
        <v>0</v>
      </c>
      <c r="W1249" s="4">
        <f>VALUE(SUBSTITUTE(MID($A1249,D1249+D$2+1,E1249-D1249-D$2-1),",","."))</f>
        <v>0</v>
      </c>
      <c r="X1249" s="4">
        <f>VALUE(SUBSTITUTE(MID($A1249,E1249+E$2+1,F1249-E1249-E$2-1),",","."))</f>
        <v>0.90957602214449496</v>
      </c>
      <c r="Y1249" s="4">
        <f>VALUE(SUBSTITUTE(MID($A1249,F1249+F$2+1,G1249-F1249-F$2-1),",","."))</f>
        <v>0</v>
      </c>
      <c r="Z1249" s="3">
        <f>VALUE(SUBSTITUTE(MID($A1249,G1249+G$2+1,H1249-G1249-G$2-1),",","."))</f>
        <v>0</v>
      </c>
      <c r="AA1249" s="3">
        <f>VALUE(SUBSTITUTE(MID($A1249,H1249+H$2+1,I1249-H1249-H$2-1),",","."))</f>
        <v>0</v>
      </c>
      <c r="AB1249" s="3">
        <f>VALUE(SUBSTITUTE(MID($A1249,I1249+I$2+1,J1249-I1249-I$2-1),",","."))</f>
        <v>0</v>
      </c>
      <c r="AC1249" s="3">
        <f>VALUE(SUBSTITUTE(MID($A1249,J1249+J$2+1,K1249-J1249-J$2-1),",","."))</f>
        <v>1.7</v>
      </c>
      <c r="AD1249" s="3">
        <f>VALUE(SUBSTITUTE(MID($A1249,K1249+K$2+1,L1249-K1249-K$2-1),",","."))</f>
        <v>6.66</v>
      </c>
      <c r="AE1249" s="3">
        <f>VALUE(SUBSTITUTE(MID($A1249,L1249+L$2+1,M1249-L1249-L$2-1),",","."))</f>
        <v>0</v>
      </c>
      <c r="AF1249" s="3">
        <f>VALUE(SUBSTITUTE(MID($A1249,M1249+M$2+1,N1249-M1249-M$2-1),",","."))</f>
        <v>0</v>
      </c>
      <c r="AG1249" s="3">
        <f>VALUE(SUBSTITUTE(MID($A1249,N1249+N$2+1,O1249-N1249-N$2-1),",","."))</f>
        <v>4.2389965252280897</v>
      </c>
      <c r="AH1249" t="str">
        <f>MID($A1249,O1249+O$2+1,P1249-O1249-O$2-1)</f>
        <v/>
      </c>
      <c r="AI1249" s="8" t="str">
        <f>MID($A1249,P1249+P$2+1,Q1249-P1249-P$2-1)</f>
        <v>False</v>
      </c>
      <c r="AK1249" t="b">
        <f t="shared" si="165"/>
        <v>0</v>
      </c>
    </row>
    <row r="1250" spans="1:37" x14ac:dyDescent="0.35">
      <c r="A1250" t="s">
        <v>5797</v>
      </c>
      <c r="B1250">
        <f t="shared" si="168"/>
        <v>10</v>
      </c>
      <c r="C1250">
        <f t="shared" si="168"/>
        <v>43</v>
      </c>
      <c r="D1250">
        <f t="shared" si="168"/>
        <v>54</v>
      </c>
      <c r="E1250">
        <f t="shared" si="168"/>
        <v>80</v>
      </c>
      <c r="F1250">
        <f t="shared" si="168"/>
        <v>124</v>
      </c>
      <c r="G1250">
        <f t="shared" si="167"/>
        <v>145</v>
      </c>
      <c r="H1250">
        <f t="shared" si="167"/>
        <v>177</v>
      </c>
      <c r="I1250">
        <f t="shared" si="167"/>
        <v>199</v>
      </c>
      <c r="J1250">
        <f t="shared" si="167"/>
        <v>232</v>
      </c>
      <c r="K1250">
        <f t="shared" si="167"/>
        <v>251</v>
      </c>
      <c r="L1250">
        <f t="shared" si="169"/>
        <v>269</v>
      </c>
      <c r="M1250">
        <f t="shared" si="169"/>
        <v>284</v>
      </c>
      <c r="N1250">
        <f t="shared" si="169"/>
        <v>296</v>
      </c>
      <c r="O1250">
        <f t="shared" si="169"/>
        <v>321</v>
      </c>
      <c r="P1250">
        <f t="shared" si="169"/>
        <v>339</v>
      </c>
      <c r="Q1250">
        <f t="shared" si="169"/>
        <v>365</v>
      </c>
      <c r="S1250" t="str">
        <f t="shared" si="162"/>
        <v>09.12.2025</v>
      </c>
      <c r="T1250" t="str">
        <f t="shared" si="163"/>
        <v>19:00:00</v>
      </c>
      <c r="U1250" t="str">
        <f t="shared" si="164"/>
        <v>09.12.2025 19:00:00</v>
      </c>
      <c r="V1250" s="9" t="str">
        <f>MID($A1250,C1250+C$2+1,D1250-C1250-C$2-1)</f>
        <v>0</v>
      </c>
      <c r="W1250" s="4">
        <f>VALUE(SUBSTITUTE(MID($A1250,D1250+D$2+1,E1250-D1250-D$2-1),",","."))</f>
        <v>0</v>
      </c>
      <c r="X1250" s="4">
        <f>VALUE(SUBSTITUTE(MID($A1250,E1250+E$2+1,F1250-E1250-E$2-1),",","."))</f>
        <v>0.90957602214449496</v>
      </c>
      <c r="Y1250" s="4">
        <f>VALUE(SUBSTITUTE(MID($A1250,F1250+F$2+1,G1250-F1250-F$2-1),",","."))</f>
        <v>0</v>
      </c>
      <c r="Z1250" s="3">
        <f>VALUE(SUBSTITUTE(MID($A1250,G1250+G$2+1,H1250-G1250-G$2-1),",","."))</f>
        <v>0</v>
      </c>
      <c r="AA1250" s="3">
        <f>VALUE(SUBSTITUTE(MID($A1250,H1250+H$2+1,I1250-H1250-H$2-1),",","."))</f>
        <v>0</v>
      </c>
      <c r="AB1250" s="3">
        <f>VALUE(SUBSTITUTE(MID($A1250,I1250+I$2+1,J1250-I1250-I$2-1),",","."))</f>
        <v>0</v>
      </c>
      <c r="AC1250" s="3">
        <f>VALUE(SUBSTITUTE(MID($A1250,J1250+J$2+1,K1250-J1250-J$2-1),",","."))</f>
        <v>1.7</v>
      </c>
      <c r="AD1250" s="3">
        <f>VALUE(SUBSTITUTE(MID($A1250,K1250+K$2+1,L1250-K1250-K$2-1),",","."))</f>
        <v>6.66</v>
      </c>
      <c r="AE1250" s="3">
        <f>VALUE(SUBSTITUTE(MID($A1250,L1250+L$2+1,M1250-L1250-L$2-1),",","."))</f>
        <v>0</v>
      </c>
      <c r="AF1250" s="3">
        <f>VALUE(SUBSTITUTE(MID($A1250,M1250+M$2+1,N1250-M1250-M$2-1),",","."))</f>
        <v>0</v>
      </c>
      <c r="AG1250" s="3">
        <f>VALUE(SUBSTITUTE(MID($A1250,N1250+N$2+1,O1250-N1250-N$2-1),",","."))</f>
        <v>4.2390250451161799</v>
      </c>
      <c r="AH1250" t="str">
        <f>MID($A1250,O1250+O$2+1,P1250-O1250-O$2-1)</f>
        <v/>
      </c>
      <c r="AI1250" s="8" t="str">
        <f>MID($A1250,P1250+P$2+1,Q1250-P1250-P$2-1)</f>
        <v>False</v>
      </c>
      <c r="AK1250" t="b">
        <f t="shared" si="165"/>
        <v>0</v>
      </c>
    </row>
    <row r="1251" spans="1:37" x14ac:dyDescent="0.35">
      <c r="A1251" t="s">
        <v>5798</v>
      </c>
      <c r="B1251">
        <f t="shared" si="168"/>
        <v>10</v>
      </c>
      <c r="C1251">
        <f t="shared" si="168"/>
        <v>43</v>
      </c>
      <c r="D1251">
        <f t="shared" si="168"/>
        <v>54</v>
      </c>
      <c r="E1251">
        <f t="shared" si="168"/>
        <v>80</v>
      </c>
      <c r="F1251">
        <f t="shared" si="168"/>
        <v>124</v>
      </c>
      <c r="G1251">
        <f t="shared" si="167"/>
        <v>145</v>
      </c>
      <c r="H1251">
        <f t="shared" si="167"/>
        <v>177</v>
      </c>
      <c r="I1251">
        <f t="shared" si="167"/>
        <v>199</v>
      </c>
      <c r="J1251">
        <f t="shared" si="167"/>
        <v>232</v>
      </c>
      <c r="K1251">
        <f t="shared" si="167"/>
        <v>251</v>
      </c>
      <c r="L1251">
        <f t="shared" si="169"/>
        <v>269</v>
      </c>
      <c r="M1251">
        <f t="shared" si="169"/>
        <v>284</v>
      </c>
      <c r="N1251">
        <f t="shared" si="169"/>
        <v>296</v>
      </c>
      <c r="O1251">
        <f t="shared" si="169"/>
        <v>321</v>
      </c>
      <c r="P1251">
        <f t="shared" si="169"/>
        <v>339</v>
      </c>
      <c r="Q1251">
        <f t="shared" si="169"/>
        <v>365</v>
      </c>
      <c r="S1251" t="str">
        <f t="shared" si="162"/>
        <v>09.12.2025</v>
      </c>
      <c r="T1251" t="str">
        <f t="shared" si="163"/>
        <v>19:15:00</v>
      </c>
      <c r="U1251" t="str">
        <f t="shared" si="164"/>
        <v>09.12.2025 19:15:00</v>
      </c>
      <c r="V1251" s="9" t="str">
        <f>MID($A1251,C1251+C$2+1,D1251-C1251-C$2-1)</f>
        <v>0</v>
      </c>
      <c r="W1251" s="4">
        <f>VALUE(SUBSTITUTE(MID($A1251,D1251+D$2+1,E1251-D1251-D$2-1),",","."))</f>
        <v>0</v>
      </c>
      <c r="X1251" s="4">
        <f>VALUE(SUBSTITUTE(MID($A1251,E1251+E$2+1,F1251-E1251-E$2-1),",","."))</f>
        <v>0.90957602214449496</v>
      </c>
      <c r="Y1251" s="4">
        <f>VALUE(SUBSTITUTE(MID($A1251,F1251+F$2+1,G1251-F1251-F$2-1),",","."))</f>
        <v>0</v>
      </c>
      <c r="Z1251" s="3">
        <f>VALUE(SUBSTITUTE(MID($A1251,G1251+G$2+1,H1251-G1251-G$2-1),",","."))</f>
        <v>0</v>
      </c>
      <c r="AA1251" s="3">
        <f>VALUE(SUBSTITUTE(MID($A1251,H1251+H$2+1,I1251-H1251-H$2-1),",","."))</f>
        <v>0</v>
      </c>
      <c r="AB1251" s="3">
        <f>VALUE(SUBSTITUTE(MID($A1251,I1251+I$2+1,J1251-I1251-I$2-1),",","."))</f>
        <v>0</v>
      </c>
      <c r="AC1251" s="3">
        <f>VALUE(SUBSTITUTE(MID($A1251,J1251+J$2+1,K1251-J1251-J$2-1),",","."))</f>
        <v>1.7</v>
      </c>
      <c r="AD1251" s="3">
        <f>VALUE(SUBSTITUTE(MID($A1251,K1251+K$2+1,L1251-K1251-K$2-1),",","."))</f>
        <v>6.66</v>
      </c>
      <c r="AE1251" s="3">
        <f>VALUE(SUBSTITUTE(MID($A1251,L1251+L$2+1,M1251-L1251-L$2-1),",","."))</f>
        <v>0</v>
      </c>
      <c r="AF1251" s="3">
        <f>VALUE(SUBSTITUTE(MID($A1251,M1251+M$2+1,N1251-M1251-M$2-1),",","."))</f>
        <v>0</v>
      </c>
      <c r="AG1251" s="3">
        <f>VALUE(SUBSTITUTE(MID($A1251,N1251+N$2+1,O1251-N1251-N$2-1),",","."))</f>
        <v>4.2390535650042596</v>
      </c>
      <c r="AH1251" t="str">
        <f>MID($A1251,O1251+O$2+1,P1251-O1251-O$2-1)</f>
        <v/>
      </c>
      <c r="AI1251" s="8" t="str">
        <f>MID($A1251,P1251+P$2+1,Q1251-P1251-P$2-1)</f>
        <v>False</v>
      </c>
      <c r="AK1251" t="b">
        <f t="shared" si="165"/>
        <v>0</v>
      </c>
    </row>
    <row r="1252" spans="1:37" x14ac:dyDescent="0.35">
      <c r="A1252" t="s">
        <v>5799</v>
      </c>
      <c r="B1252">
        <f t="shared" si="168"/>
        <v>10</v>
      </c>
      <c r="C1252">
        <f t="shared" si="168"/>
        <v>43</v>
      </c>
      <c r="D1252">
        <f t="shared" si="168"/>
        <v>54</v>
      </c>
      <c r="E1252">
        <f t="shared" si="168"/>
        <v>80</v>
      </c>
      <c r="F1252">
        <f t="shared" si="168"/>
        <v>124</v>
      </c>
      <c r="G1252">
        <f t="shared" si="167"/>
        <v>145</v>
      </c>
      <c r="H1252">
        <f t="shared" si="167"/>
        <v>177</v>
      </c>
      <c r="I1252">
        <f t="shared" si="167"/>
        <v>199</v>
      </c>
      <c r="J1252">
        <f t="shared" si="167"/>
        <v>232</v>
      </c>
      <c r="K1252">
        <f t="shared" si="167"/>
        <v>252</v>
      </c>
      <c r="L1252">
        <f t="shared" si="169"/>
        <v>267</v>
      </c>
      <c r="M1252">
        <f t="shared" si="169"/>
        <v>282</v>
      </c>
      <c r="N1252">
        <f t="shared" si="169"/>
        <v>294</v>
      </c>
      <c r="O1252">
        <f t="shared" si="169"/>
        <v>320</v>
      </c>
      <c r="P1252">
        <f t="shared" si="169"/>
        <v>338</v>
      </c>
      <c r="Q1252">
        <f t="shared" si="169"/>
        <v>364</v>
      </c>
      <c r="S1252" t="str">
        <f t="shared" si="162"/>
        <v>09.12.2025</v>
      </c>
      <c r="T1252" t="str">
        <f t="shared" si="163"/>
        <v>19:30:00</v>
      </c>
      <c r="U1252" t="str">
        <f t="shared" si="164"/>
        <v>09.12.2025 19:30:00</v>
      </c>
      <c r="V1252" s="9" t="str">
        <f>MID($A1252,C1252+C$2+1,D1252-C1252-C$2-1)</f>
        <v>0</v>
      </c>
      <c r="W1252" s="4">
        <f>VALUE(SUBSTITUTE(MID($A1252,D1252+D$2+1,E1252-D1252-D$2-1),",","."))</f>
        <v>0</v>
      </c>
      <c r="X1252" s="4">
        <f>VALUE(SUBSTITUTE(MID($A1252,E1252+E$2+1,F1252-E1252-E$2-1),",","."))</f>
        <v>0.90957602214449496</v>
      </c>
      <c r="Y1252" s="4">
        <f>VALUE(SUBSTITUTE(MID($A1252,F1252+F$2+1,G1252-F1252-F$2-1),",","."))</f>
        <v>0</v>
      </c>
      <c r="Z1252" s="3">
        <f>VALUE(SUBSTITUTE(MID($A1252,G1252+G$2+1,H1252-G1252-G$2-1),",","."))</f>
        <v>0</v>
      </c>
      <c r="AA1252" s="3">
        <f>VALUE(SUBSTITUTE(MID($A1252,H1252+H$2+1,I1252-H1252-H$2-1),",","."))</f>
        <v>0</v>
      </c>
      <c r="AB1252" s="3">
        <f>VALUE(SUBSTITUTE(MID($A1252,I1252+I$2+1,J1252-I1252-I$2-1),",","."))</f>
        <v>0</v>
      </c>
      <c r="AC1252" s="3">
        <f>VALUE(SUBSTITUTE(MID($A1252,J1252+J$2+1,K1252-J1252-J$2-1),",","."))</f>
        <v>1.65</v>
      </c>
      <c r="AD1252" s="3">
        <f>VALUE(SUBSTITUTE(MID($A1252,K1252+K$2+1,L1252-K1252-K$2-1),",","."))</f>
        <v>9</v>
      </c>
      <c r="AE1252" s="3">
        <f>VALUE(SUBSTITUTE(MID($A1252,L1252+L$2+1,M1252-L1252-L$2-1),",","."))</f>
        <v>0</v>
      </c>
      <c r="AF1252" s="3">
        <f>VALUE(SUBSTITUTE(MID($A1252,M1252+M$2+1,N1252-M1252-M$2-1),",","."))</f>
        <v>0</v>
      </c>
      <c r="AG1252" s="3">
        <f>VALUE(SUBSTITUTE(MID($A1252,N1252+N$2+1,O1252-N1252-N$2-1),",","."))</f>
        <v>4.2390820848923401</v>
      </c>
      <c r="AH1252" t="str">
        <f>MID($A1252,O1252+O$2+1,P1252-O1252-O$2-1)</f>
        <v/>
      </c>
      <c r="AI1252" s="8" t="str">
        <f>MID($A1252,P1252+P$2+1,Q1252-P1252-P$2-1)</f>
        <v>False</v>
      </c>
      <c r="AK1252" t="b">
        <f t="shared" si="165"/>
        <v>0</v>
      </c>
    </row>
    <row r="1253" spans="1:37" x14ac:dyDescent="0.35">
      <c r="A1253" t="s">
        <v>5800</v>
      </c>
      <c r="B1253">
        <f t="shared" si="168"/>
        <v>10</v>
      </c>
      <c r="C1253">
        <f t="shared" si="168"/>
        <v>43</v>
      </c>
      <c r="D1253">
        <f t="shared" si="168"/>
        <v>54</v>
      </c>
      <c r="E1253">
        <f t="shared" si="168"/>
        <v>80</v>
      </c>
      <c r="F1253">
        <f t="shared" si="168"/>
        <v>124</v>
      </c>
      <c r="G1253">
        <f t="shared" si="167"/>
        <v>145</v>
      </c>
      <c r="H1253">
        <f t="shared" si="167"/>
        <v>177</v>
      </c>
      <c r="I1253">
        <f t="shared" si="167"/>
        <v>199</v>
      </c>
      <c r="J1253">
        <f t="shared" si="167"/>
        <v>232</v>
      </c>
      <c r="K1253">
        <f t="shared" si="167"/>
        <v>252</v>
      </c>
      <c r="L1253">
        <f t="shared" si="169"/>
        <v>267</v>
      </c>
      <c r="M1253">
        <f t="shared" si="169"/>
        <v>282</v>
      </c>
      <c r="N1253">
        <f t="shared" si="169"/>
        <v>294</v>
      </c>
      <c r="O1253">
        <f t="shared" si="169"/>
        <v>319</v>
      </c>
      <c r="P1253">
        <f t="shared" si="169"/>
        <v>337</v>
      </c>
      <c r="Q1253">
        <f t="shared" si="169"/>
        <v>363</v>
      </c>
      <c r="S1253" t="str">
        <f t="shared" si="162"/>
        <v>09.12.2025</v>
      </c>
      <c r="T1253" t="str">
        <f t="shared" si="163"/>
        <v>19:45:00</v>
      </c>
      <c r="U1253" t="str">
        <f t="shared" si="164"/>
        <v>09.12.2025 19:45:00</v>
      </c>
      <c r="V1253" s="9" t="str">
        <f>MID($A1253,C1253+C$2+1,D1253-C1253-C$2-1)</f>
        <v>0</v>
      </c>
      <c r="W1253" s="4">
        <f>VALUE(SUBSTITUTE(MID($A1253,D1253+D$2+1,E1253-D1253-D$2-1),",","."))</f>
        <v>0</v>
      </c>
      <c r="X1253" s="4">
        <f>VALUE(SUBSTITUTE(MID($A1253,E1253+E$2+1,F1253-E1253-E$2-1),",","."))</f>
        <v>0.90957602214449496</v>
      </c>
      <c r="Y1253" s="4">
        <f>VALUE(SUBSTITUTE(MID($A1253,F1253+F$2+1,G1253-F1253-F$2-1),",","."))</f>
        <v>0</v>
      </c>
      <c r="Z1253" s="3">
        <f>VALUE(SUBSTITUTE(MID($A1253,G1253+G$2+1,H1253-G1253-G$2-1),",","."))</f>
        <v>0</v>
      </c>
      <c r="AA1253" s="3">
        <f>VALUE(SUBSTITUTE(MID($A1253,H1253+H$2+1,I1253-H1253-H$2-1),",","."))</f>
        <v>0</v>
      </c>
      <c r="AB1253" s="3">
        <f>VALUE(SUBSTITUTE(MID($A1253,I1253+I$2+1,J1253-I1253-I$2-1),",","."))</f>
        <v>0</v>
      </c>
      <c r="AC1253" s="3">
        <f>VALUE(SUBSTITUTE(MID($A1253,J1253+J$2+1,K1253-J1253-J$2-1),",","."))</f>
        <v>1.65</v>
      </c>
      <c r="AD1253" s="3">
        <f>VALUE(SUBSTITUTE(MID($A1253,K1253+K$2+1,L1253-K1253-K$2-1),",","."))</f>
        <v>9</v>
      </c>
      <c r="AE1253" s="3">
        <f>VALUE(SUBSTITUTE(MID($A1253,L1253+L$2+1,M1253-L1253-L$2-1),",","."))</f>
        <v>0</v>
      </c>
      <c r="AF1253" s="3">
        <f>VALUE(SUBSTITUTE(MID($A1253,M1253+M$2+1,N1253-M1253-M$2-1),",","."))</f>
        <v>0</v>
      </c>
      <c r="AG1253" s="3">
        <f>VALUE(SUBSTITUTE(MID($A1253,N1253+N$2+1,O1253-N1253-N$2-1),",","."))</f>
        <v>4.2391106047804197</v>
      </c>
      <c r="AH1253" t="str">
        <f>MID($A1253,O1253+O$2+1,P1253-O1253-O$2-1)</f>
        <v/>
      </c>
      <c r="AI1253" s="8" t="str">
        <f>MID($A1253,P1253+P$2+1,Q1253-P1253-P$2-1)</f>
        <v>False</v>
      </c>
      <c r="AK1253" t="b">
        <f t="shared" si="165"/>
        <v>0</v>
      </c>
    </row>
    <row r="1254" spans="1:37" x14ac:dyDescent="0.35">
      <c r="A1254" t="s">
        <v>5801</v>
      </c>
      <c r="B1254">
        <f t="shared" si="168"/>
        <v>10</v>
      </c>
      <c r="C1254">
        <f t="shared" si="168"/>
        <v>43</v>
      </c>
      <c r="D1254">
        <f t="shared" si="168"/>
        <v>54</v>
      </c>
      <c r="E1254">
        <f t="shared" si="168"/>
        <v>80</v>
      </c>
      <c r="F1254">
        <f t="shared" si="168"/>
        <v>124</v>
      </c>
      <c r="G1254">
        <f t="shared" si="167"/>
        <v>145</v>
      </c>
      <c r="H1254">
        <f t="shared" si="167"/>
        <v>177</v>
      </c>
      <c r="I1254">
        <f t="shared" si="167"/>
        <v>199</v>
      </c>
      <c r="J1254">
        <f t="shared" si="167"/>
        <v>232</v>
      </c>
      <c r="K1254">
        <f t="shared" si="167"/>
        <v>252</v>
      </c>
      <c r="L1254">
        <f t="shared" si="169"/>
        <v>267</v>
      </c>
      <c r="M1254">
        <f t="shared" si="169"/>
        <v>282</v>
      </c>
      <c r="N1254">
        <f t="shared" si="169"/>
        <v>294</v>
      </c>
      <c r="O1254">
        <f t="shared" si="169"/>
        <v>319</v>
      </c>
      <c r="P1254">
        <f t="shared" si="169"/>
        <v>337</v>
      </c>
      <c r="Q1254">
        <f t="shared" si="169"/>
        <v>363</v>
      </c>
      <c r="S1254" t="str">
        <f t="shared" si="162"/>
        <v>09.12.2025</v>
      </c>
      <c r="T1254" t="str">
        <f t="shared" si="163"/>
        <v>20:00:00</v>
      </c>
      <c r="U1254" t="str">
        <f t="shared" si="164"/>
        <v>09.12.2025 20:00:00</v>
      </c>
      <c r="V1254" s="9" t="str">
        <f>MID($A1254,C1254+C$2+1,D1254-C1254-C$2-1)</f>
        <v>0</v>
      </c>
      <c r="W1254" s="4">
        <f>VALUE(SUBSTITUTE(MID($A1254,D1254+D$2+1,E1254-D1254-D$2-1),",","."))</f>
        <v>0</v>
      </c>
      <c r="X1254" s="4">
        <f>VALUE(SUBSTITUTE(MID($A1254,E1254+E$2+1,F1254-E1254-E$2-1),",","."))</f>
        <v>0.90957602214449496</v>
      </c>
      <c r="Y1254" s="4">
        <f>VALUE(SUBSTITUTE(MID($A1254,F1254+F$2+1,G1254-F1254-F$2-1),",","."))</f>
        <v>0</v>
      </c>
      <c r="Z1254" s="3">
        <f>VALUE(SUBSTITUTE(MID($A1254,G1254+G$2+1,H1254-G1254-G$2-1),",","."))</f>
        <v>0</v>
      </c>
      <c r="AA1254" s="3">
        <f>VALUE(SUBSTITUTE(MID($A1254,H1254+H$2+1,I1254-H1254-H$2-1),",","."))</f>
        <v>0</v>
      </c>
      <c r="AB1254" s="3">
        <f>VALUE(SUBSTITUTE(MID($A1254,I1254+I$2+1,J1254-I1254-I$2-1),",","."))</f>
        <v>0</v>
      </c>
      <c r="AC1254" s="3">
        <f>VALUE(SUBSTITUTE(MID($A1254,J1254+J$2+1,K1254-J1254-J$2-1),",","."))</f>
        <v>1.65</v>
      </c>
      <c r="AD1254" s="3">
        <f>VALUE(SUBSTITUTE(MID($A1254,K1254+K$2+1,L1254-K1254-K$2-1),",","."))</f>
        <v>9</v>
      </c>
      <c r="AE1254" s="3">
        <f>VALUE(SUBSTITUTE(MID($A1254,L1254+L$2+1,M1254-L1254-L$2-1),",","."))</f>
        <v>0</v>
      </c>
      <c r="AF1254" s="3">
        <f>VALUE(SUBSTITUTE(MID($A1254,M1254+M$2+1,N1254-M1254-M$2-1),",","."))</f>
        <v>0</v>
      </c>
      <c r="AG1254" s="3">
        <f>VALUE(SUBSTITUTE(MID($A1254,N1254+N$2+1,O1254-N1254-N$2-1),",","."))</f>
        <v>4.2391391246685002</v>
      </c>
      <c r="AH1254" t="str">
        <f>MID($A1254,O1254+O$2+1,P1254-O1254-O$2-1)</f>
        <v/>
      </c>
      <c r="AI1254" s="8" t="str">
        <f>MID($A1254,P1254+P$2+1,Q1254-P1254-P$2-1)</f>
        <v>False</v>
      </c>
      <c r="AK1254" t="b">
        <f t="shared" si="165"/>
        <v>0</v>
      </c>
    </row>
    <row r="1255" spans="1:37" x14ac:dyDescent="0.35">
      <c r="A1255" t="s">
        <v>5802</v>
      </c>
      <c r="B1255">
        <f t="shared" si="168"/>
        <v>10</v>
      </c>
      <c r="C1255">
        <f t="shared" si="168"/>
        <v>43</v>
      </c>
      <c r="D1255">
        <f t="shared" si="168"/>
        <v>54</v>
      </c>
      <c r="E1255">
        <f t="shared" si="168"/>
        <v>80</v>
      </c>
      <c r="F1255">
        <f t="shared" si="168"/>
        <v>124</v>
      </c>
      <c r="G1255">
        <f t="shared" si="167"/>
        <v>145</v>
      </c>
      <c r="H1255">
        <f t="shared" si="167"/>
        <v>177</v>
      </c>
      <c r="I1255">
        <f t="shared" si="167"/>
        <v>199</v>
      </c>
      <c r="J1255">
        <f t="shared" si="167"/>
        <v>232</v>
      </c>
      <c r="K1255">
        <f t="shared" si="167"/>
        <v>252</v>
      </c>
      <c r="L1255">
        <f t="shared" si="169"/>
        <v>267</v>
      </c>
      <c r="M1255">
        <f t="shared" si="169"/>
        <v>282</v>
      </c>
      <c r="N1255">
        <f t="shared" si="169"/>
        <v>294</v>
      </c>
      <c r="O1255">
        <f t="shared" si="169"/>
        <v>319</v>
      </c>
      <c r="P1255">
        <f t="shared" si="169"/>
        <v>337</v>
      </c>
      <c r="Q1255">
        <f t="shared" si="169"/>
        <v>363</v>
      </c>
      <c r="S1255" t="str">
        <f t="shared" si="162"/>
        <v>09.12.2025</v>
      </c>
      <c r="T1255" t="str">
        <f t="shared" si="163"/>
        <v>20:15:00</v>
      </c>
      <c r="U1255" t="str">
        <f t="shared" si="164"/>
        <v>09.12.2025 20:15:00</v>
      </c>
      <c r="V1255" s="9" t="str">
        <f>MID($A1255,C1255+C$2+1,D1255-C1255-C$2-1)</f>
        <v>0</v>
      </c>
      <c r="W1255" s="4">
        <f>VALUE(SUBSTITUTE(MID($A1255,D1255+D$2+1,E1255-D1255-D$2-1),",","."))</f>
        <v>0</v>
      </c>
      <c r="X1255" s="4">
        <f>VALUE(SUBSTITUTE(MID($A1255,E1255+E$2+1,F1255-E1255-E$2-1),",","."))</f>
        <v>0.90957602214449496</v>
      </c>
      <c r="Y1255" s="4">
        <f>VALUE(SUBSTITUTE(MID($A1255,F1255+F$2+1,G1255-F1255-F$2-1),",","."))</f>
        <v>0</v>
      </c>
      <c r="Z1255" s="3">
        <f>VALUE(SUBSTITUTE(MID($A1255,G1255+G$2+1,H1255-G1255-G$2-1),",","."))</f>
        <v>0</v>
      </c>
      <c r="AA1255" s="3">
        <f>VALUE(SUBSTITUTE(MID($A1255,H1255+H$2+1,I1255-H1255-H$2-1),",","."))</f>
        <v>0</v>
      </c>
      <c r="AB1255" s="3">
        <f>VALUE(SUBSTITUTE(MID($A1255,I1255+I$2+1,J1255-I1255-I$2-1),",","."))</f>
        <v>0</v>
      </c>
      <c r="AC1255" s="3">
        <f>VALUE(SUBSTITUTE(MID($A1255,J1255+J$2+1,K1255-J1255-J$2-1),",","."))</f>
        <v>1.65</v>
      </c>
      <c r="AD1255" s="3">
        <f>VALUE(SUBSTITUTE(MID($A1255,K1255+K$2+1,L1255-K1255-K$2-1),",","."))</f>
        <v>9</v>
      </c>
      <c r="AE1255" s="3">
        <f>VALUE(SUBSTITUTE(MID($A1255,L1255+L$2+1,M1255-L1255-L$2-1),",","."))</f>
        <v>0</v>
      </c>
      <c r="AF1255" s="3">
        <f>VALUE(SUBSTITUTE(MID($A1255,M1255+M$2+1,N1255-M1255-M$2-1),",","."))</f>
        <v>0</v>
      </c>
      <c r="AG1255" s="3">
        <f>VALUE(SUBSTITUTE(MID($A1255,N1255+N$2+1,O1255-N1255-N$2-1),",","."))</f>
        <v>4.2391676445565798</v>
      </c>
      <c r="AH1255" t="str">
        <f>MID($A1255,O1255+O$2+1,P1255-O1255-O$2-1)</f>
        <v/>
      </c>
      <c r="AI1255" s="8" t="str">
        <f>MID($A1255,P1255+P$2+1,Q1255-P1255-P$2-1)</f>
        <v>False</v>
      </c>
      <c r="AK1255" t="b">
        <f t="shared" si="165"/>
        <v>0</v>
      </c>
    </row>
    <row r="1256" spans="1:37" x14ac:dyDescent="0.35">
      <c r="A1256" t="s">
        <v>5803</v>
      </c>
      <c r="B1256">
        <f t="shared" si="168"/>
        <v>10</v>
      </c>
      <c r="C1256">
        <f t="shared" si="168"/>
        <v>43</v>
      </c>
      <c r="D1256">
        <f t="shared" si="168"/>
        <v>54</v>
      </c>
      <c r="E1256">
        <f t="shared" si="168"/>
        <v>80</v>
      </c>
      <c r="F1256">
        <f t="shared" si="168"/>
        <v>124</v>
      </c>
      <c r="G1256">
        <f t="shared" si="167"/>
        <v>145</v>
      </c>
      <c r="H1256">
        <f t="shared" si="167"/>
        <v>177</v>
      </c>
      <c r="I1256">
        <f t="shared" si="167"/>
        <v>199</v>
      </c>
      <c r="J1256">
        <f t="shared" si="167"/>
        <v>232</v>
      </c>
      <c r="K1256">
        <f t="shared" si="167"/>
        <v>252</v>
      </c>
      <c r="L1256">
        <f t="shared" si="169"/>
        <v>271</v>
      </c>
      <c r="M1256">
        <f t="shared" si="169"/>
        <v>286</v>
      </c>
      <c r="N1256">
        <f t="shared" si="169"/>
        <v>298</v>
      </c>
      <c r="O1256">
        <f t="shared" si="169"/>
        <v>322</v>
      </c>
      <c r="P1256">
        <f t="shared" si="169"/>
        <v>340</v>
      </c>
      <c r="Q1256">
        <f t="shared" si="169"/>
        <v>366</v>
      </c>
      <c r="S1256" t="str">
        <f t="shared" si="162"/>
        <v>09.12.2025</v>
      </c>
      <c r="T1256" t="str">
        <f t="shared" si="163"/>
        <v>20:30:00</v>
      </c>
      <c r="U1256" t="str">
        <f t="shared" si="164"/>
        <v>09.12.2025 20:30:00</v>
      </c>
      <c r="V1256" s="9" t="str">
        <f>MID($A1256,C1256+C$2+1,D1256-C1256-C$2-1)</f>
        <v>0</v>
      </c>
      <c r="W1256" s="4">
        <f>VALUE(SUBSTITUTE(MID($A1256,D1256+D$2+1,E1256-D1256-D$2-1),",","."))</f>
        <v>0</v>
      </c>
      <c r="X1256" s="4">
        <f>VALUE(SUBSTITUTE(MID($A1256,E1256+E$2+1,F1256-E1256-E$2-1),",","."))</f>
        <v>0.90957602214449496</v>
      </c>
      <c r="Y1256" s="4">
        <f>VALUE(SUBSTITUTE(MID($A1256,F1256+F$2+1,G1256-F1256-F$2-1),",","."))</f>
        <v>0</v>
      </c>
      <c r="Z1256" s="3">
        <f>VALUE(SUBSTITUTE(MID($A1256,G1256+G$2+1,H1256-G1256-G$2-1),",","."))</f>
        <v>0</v>
      </c>
      <c r="AA1256" s="3">
        <f>VALUE(SUBSTITUTE(MID($A1256,H1256+H$2+1,I1256-H1256-H$2-1),",","."))</f>
        <v>0</v>
      </c>
      <c r="AB1256" s="3">
        <f>VALUE(SUBSTITUTE(MID($A1256,I1256+I$2+1,J1256-I1256-I$2-1),",","."))</f>
        <v>0</v>
      </c>
      <c r="AC1256" s="3">
        <f>VALUE(SUBSTITUTE(MID($A1256,J1256+J$2+1,K1256-J1256-J$2-1),",","."))</f>
        <v>1.55</v>
      </c>
      <c r="AD1256" s="3">
        <f>VALUE(SUBSTITUTE(MID($A1256,K1256+K$2+1,L1256-K1256-K$2-1),",","."))</f>
        <v>12.06</v>
      </c>
      <c r="AE1256" s="3">
        <f>VALUE(SUBSTITUTE(MID($A1256,L1256+L$2+1,M1256-L1256-L$2-1),",","."))</f>
        <v>0</v>
      </c>
      <c r="AF1256" s="3">
        <f>VALUE(SUBSTITUTE(MID($A1256,M1256+M$2+1,N1256-M1256-M$2-1),",","."))</f>
        <v>0</v>
      </c>
      <c r="AG1256" s="3">
        <f>VALUE(SUBSTITUTE(MID($A1256,N1256+N$2+1,O1256-N1256-N$2-1),",","."))</f>
        <v>4.2391961644446701</v>
      </c>
      <c r="AH1256" t="str">
        <f>MID($A1256,O1256+O$2+1,P1256-O1256-O$2-1)</f>
        <v/>
      </c>
      <c r="AI1256" s="8" t="str">
        <f>MID($A1256,P1256+P$2+1,Q1256-P1256-P$2-1)</f>
        <v>False</v>
      </c>
      <c r="AK1256" t="b">
        <f t="shared" si="165"/>
        <v>0</v>
      </c>
    </row>
    <row r="1257" spans="1:37" x14ac:dyDescent="0.35">
      <c r="A1257" t="s">
        <v>5804</v>
      </c>
      <c r="B1257">
        <f t="shared" si="168"/>
        <v>10</v>
      </c>
      <c r="C1257">
        <f t="shared" si="168"/>
        <v>43</v>
      </c>
      <c r="D1257">
        <f t="shared" si="168"/>
        <v>54</v>
      </c>
      <c r="E1257">
        <f t="shared" si="168"/>
        <v>80</v>
      </c>
      <c r="F1257">
        <f t="shared" si="168"/>
        <v>124</v>
      </c>
      <c r="G1257">
        <f t="shared" si="167"/>
        <v>145</v>
      </c>
      <c r="H1257">
        <f t="shared" si="167"/>
        <v>177</v>
      </c>
      <c r="I1257">
        <f t="shared" si="167"/>
        <v>199</v>
      </c>
      <c r="J1257">
        <f t="shared" si="167"/>
        <v>232</v>
      </c>
      <c r="K1257">
        <f t="shared" si="167"/>
        <v>252</v>
      </c>
      <c r="L1257">
        <f t="shared" si="169"/>
        <v>271</v>
      </c>
      <c r="M1257">
        <f t="shared" si="169"/>
        <v>286</v>
      </c>
      <c r="N1257">
        <f t="shared" si="169"/>
        <v>298</v>
      </c>
      <c r="O1257">
        <f t="shared" si="169"/>
        <v>323</v>
      </c>
      <c r="P1257">
        <f t="shared" si="169"/>
        <v>341</v>
      </c>
      <c r="Q1257">
        <f t="shared" si="169"/>
        <v>367</v>
      </c>
      <c r="S1257" t="str">
        <f t="shared" si="162"/>
        <v>09.12.2025</v>
      </c>
      <c r="T1257" t="str">
        <f t="shared" si="163"/>
        <v>20:45:00</v>
      </c>
      <c r="U1257" t="str">
        <f t="shared" si="164"/>
        <v>09.12.2025 20:45:00</v>
      </c>
      <c r="V1257" s="9" t="str">
        <f>MID($A1257,C1257+C$2+1,D1257-C1257-C$2-1)</f>
        <v>0</v>
      </c>
      <c r="W1257" s="4">
        <f>VALUE(SUBSTITUTE(MID($A1257,D1257+D$2+1,E1257-D1257-D$2-1),",","."))</f>
        <v>0</v>
      </c>
      <c r="X1257" s="4">
        <f>VALUE(SUBSTITUTE(MID($A1257,E1257+E$2+1,F1257-E1257-E$2-1),",","."))</f>
        <v>0.90957602214449496</v>
      </c>
      <c r="Y1257" s="4">
        <f>VALUE(SUBSTITUTE(MID($A1257,F1257+F$2+1,G1257-F1257-F$2-1),",","."))</f>
        <v>0</v>
      </c>
      <c r="Z1257" s="3">
        <f>VALUE(SUBSTITUTE(MID($A1257,G1257+G$2+1,H1257-G1257-G$2-1),",","."))</f>
        <v>0</v>
      </c>
      <c r="AA1257" s="3">
        <f>VALUE(SUBSTITUTE(MID($A1257,H1257+H$2+1,I1257-H1257-H$2-1),",","."))</f>
        <v>0</v>
      </c>
      <c r="AB1257" s="3">
        <f>VALUE(SUBSTITUTE(MID($A1257,I1257+I$2+1,J1257-I1257-I$2-1),",","."))</f>
        <v>0</v>
      </c>
      <c r="AC1257" s="3">
        <f>VALUE(SUBSTITUTE(MID($A1257,J1257+J$2+1,K1257-J1257-J$2-1),",","."))</f>
        <v>1.55</v>
      </c>
      <c r="AD1257" s="3">
        <f>VALUE(SUBSTITUTE(MID($A1257,K1257+K$2+1,L1257-K1257-K$2-1),",","."))</f>
        <v>12.06</v>
      </c>
      <c r="AE1257" s="3">
        <f>VALUE(SUBSTITUTE(MID($A1257,L1257+L$2+1,M1257-L1257-L$2-1),",","."))</f>
        <v>0</v>
      </c>
      <c r="AF1257" s="3">
        <f>VALUE(SUBSTITUTE(MID($A1257,M1257+M$2+1,N1257-M1257-M$2-1),",","."))</f>
        <v>0</v>
      </c>
      <c r="AG1257" s="3">
        <f>VALUE(SUBSTITUTE(MID($A1257,N1257+N$2+1,O1257-N1257-N$2-1),",","."))</f>
        <v>4.2392246843327497</v>
      </c>
      <c r="AH1257" t="str">
        <f>MID($A1257,O1257+O$2+1,P1257-O1257-O$2-1)</f>
        <v/>
      </c>
      <c r="AI1257" s="8" t="str">
        <f>MID($A1257,P1257+P$2+1,Q1257-P1257-P$2-1)</f>
        <v>False</v>
      </c>
      <c r="AK1257" t="b">
        <f t="shared" si="165"/>
        <v>0</v>
      </c>
    </row>
    <row r="1258" spans="1:37" x14ac:dyDescent="0.35">
      <c r="A1258" t="s">
        <v>5805</v>
      </c>
      <c r="B1258">
        <f t="shared" si="168"/>
        <v>10</v>
      </c>
      <c r="C1258">
        <f t="shared" si="168"/>
        <v>43</v>
      </c>
      <c r="D1258">
        <f t="shared" si="168"/>
        <v>54</v>
      </c>
      <c r="E1258">
        <f t="shared" si="168"/>
        <v>80</v>
      </c>
      <c r="F1258">
        <f t="shared" si="168"/>
        <v>124</v>
      </c>
      <c r="G1258">
        <f t="shared" si="167"/>
        <v>145</v>
      </c>
      <c r="H1258">
        <f t="shared" si="167"/>
        <v>177</v>
      </c>
      <c r="I1258">
        <f t="shared" si="167"/>
        <v>199</v>
      </c>
      <c r="J1258">
        <f t="shared" si="167"/>
        <v>232</v>
      </c>
      <c r="K1258">
        <f t="shared" si="167"/>
        <v>252</v>
      </c>
      <c r="L1258">
        <f t="shared" si="169"/>
        <v>271</v>
      </c>
      <c r="M1258">
        <f t="shared" si="169"/>
        <v>286</v>
      </c>
      <c r="N1258">
        <f t="shared" si="169"/>
        <v>298</v>
      </c>
      <c r="O1258">
        <f t="shared" si="169"/>
        <v>323</v>
      </c>
      <c r="P1258">
        <f t="shared" si="169"/>
        <v>341</v>
      </c>
      <c r="Q1258">
        <f t="shared" si="169"/>
        <v>367</v>
      </c>
      <c r="S1258" t="str">
        <f t="shared" si="162"/>
        <v>09.12.2025</v>
      </c>
      <c r="T1258" t="str">
        <f t="shared" si="163"/>
        <v>21:00:00</v>
      </c>
      <c r="U1258" t="str">
        <f t="shared" si="164"/>
        <v>09.12.2025 21:00:00</v>
      </c>
      <c r="V1258" s="9" t="str">
        <f>MID($A1258,C1258+C$2+1,D1258-C1258-C$2-1)</f>
        <v>0</v>
      </c>
      <c r="W1258" s="4">
        <f>VALUE(SUBSTITUTE(MID($A1258,D1258+D$2+1,E1258-D1258-D$2-1),",","."))</f>
        <v>0</v>
      </c>
      <c r="X1258" s="4">
        <f>VALUE(SUBSTITUTE(MID($A1258,E1258+E$2+1,F1258-E1258-E$2-1),",","."))</f>
        <v>0.90957602214449496</v>
      </c>
      <c r="Y1258" s="4">
        <f>VALUE(SUBSTITUTE(MID($A1258,F1258+F$2+1,G1258-F1258-F$2-1),",","."))</f>
        <v>0</v>
      </c>
      <c r="Z1258" s="3">
        <f>VALUE(SUBSTITUTE(MID($A1258,G1258+G$2+1,H1258-G1258-G$2-1),",","."))</f>
        <v>0</v>
      </c>
      <c r="AA1258" s="3">
        <f>VALUE(SUBSTITUTE(MID($A1258,H1258+H$2+1,I1258-H1258-H$2-1),",","."))</f>
        <v>0</v>
      </c>
      <c r="AB1258" s="3">
        <f>VALUE(SUBSTITUTE(MID($A1258,I1258+I$2+1,J1258-I1258-I$2-1),",","."))</f>
        <v>0</v>
      </c>
      <c r="AC1258" s="3">
        <f>VALUE(SUBSTITUTE(MID($A1258,J1258+J$2+1,K1258-J1258-J$2-1),",","."))</f>
        <v>1.55</v>
      </c>
      <c r="AD1258" s="3">
        <f>VALUE(SUBSTITUTE(MID($A1258,K1258+K$2+1,L1258-K1258-K$2-1),",","."))</f>
        <v>12.06</v>
      </c>
      <c r="AE1258" s="3">
        <f>VALUE(SUBSTITUTE(MID($A1258,L1258+L$2+1,M1258-L1258-L$2-1),",","."))</f>
        <v>0</v>
      </c>
      <c r="AF1258" s="3">
        <f>VALUE(SUBSTITUTE(MID($A1258,M1258+M$2+1,N1258-M1258-M$2-1),",","."))</f>
        <v>0</v>
      </c>
      <c r="AG1258" s="3">
        <f>VALUE(SUBSTITUTE(MID($A1258,N1258+N$2+1,O1258-N1258-N$2-1),",","."))</f>
        <v>4.2392532042208302</v>
      </c>
      <c r="AH1258" t="str">
        <f>MID($A1258,O1258+O$2+1,P1258-O1258-O$2-1)</f>
        <v/>
      </c>
      <c r="AI1258" s="8" t="str">
        <f>MID($A1258,P1258+P$2+1,Q1258-P1258-P$2-1)</f>
        <v>False</v>
      </c>
      <c r="AK1258" t="b">
        <f t="shared" si="165"/>
        <v>0</v>
      </c>
    </row>
    <row r="1259" spans="1:37" x14ac:dyDescent="0.35">
      <c r="A1259" t="s">
        <v>5806</v>
      </c>
      <c r="B1259">
        <f t="shared" si="168"/>
        <v>10</v>
      </c>
      <c r="C1259">
        <f t="shared" si="168"/>
        <v>43</v>
      </c>
      <c r="D1259">
        <f t="shared" si="168"/>
        <v>54</v>
      </c>
      <c r="E1259">
        <f t="shared" si="168"/>
        <v>80</v>
      </c>
      <c r="F1259">
        <f t="shared" si="168"/>
        <v>124</v>
      </c>
      <c r="G1259">
        <f t="shared" si="167"/>
        <v>145</v>
      </c>
      <c r="H1259">
        <f t="shared" si="167"/>
        <v>177</v>
      </c>
      <c r="I1259">
        <f t="shared" si="167"/>
        <v>199</v>
      </c>
      <c r="J1259">
        <f t="shared" si="167"/>
        <v>232</v>
      </c>
      <c r="K1259">
        <f t="shared" si="167"/>
        <v>252</v>
      </c>
      <c r="L1259">
        <f t="shared" si="169"/>
        <v>271</v>
      </c>
      <c r="M1259">
        <f t="shared" si="169"/>
        <v>286</v>
      </c>
      <c r="N1259">
        <f t="shared" si="169"/>
        <v>298</v>
      </c>
      <c r="O1259">
        <f t="shared" si="169"/>
        <v>323</v>
      </c>
      <c r="P1259">
        <f t="shared" si="169"/>
        <v>341</v>
      </c>
      <c r="Q1259">
        <f t="shared" si="169"/>
        <v>367</v>
      </c>
      <c r="S1259" t="str">
        <f t="shared" si="162"/>
        <v>09.12.2025</v>
      </c>
      <c r="T1259" t="str">
        <f t="shared" si="163"/>
        <v>21:15:00</v>
      </c>
      <c r="U1259" t="str">
        <f t="shared" si="164"/>
        <v>09.12.2025 21:15:00</v>
      </c>
      <c r="V1259" s="9" t="str">
        <f>MID($A1259,C1259+C$2+1,D1259-C1259-C$2-1)</f>
        <v>0</v>
      </c>
      <c r="W1259" s="4">
        <f>VALUE(SUBSTITUTE(MID($A1259,D1259+D$2+1,E1259-D1259-D$2-1),",","."))</f>
        <v>0</v>
      </c>
      <c r="X1259" s="4">
        <f>VALUE(SUBSTITUTE(MID($A1259,E1259+E$2+1,F1259-E1259-E$2-1),",","."))</f>
        <v>0.90957602214449496</v>
      </c>
      <c r="Y1259" s="4">
        <f>VALUE(SUBSTITUTE(MID($A1259,F1259+F$2+1,G1259-F1259-F$2-1),",","."))</f>
        <v>0</v>
      </c>
      <c r="Z1259" s="3">
        <f>VALUE(SUBSTITUTE(MID($A1259,G1259+G$2+1,H1259-G1259-G$2-1),",","."))</f>
        <v>0</v>
      </c>
      <c r="AA1259" s="3">
        <f>VALUE(SUBSTITUTE(MID($A1259,H1259+H$2+1,I1259-H1259-H$2-1),",","."))</f>
        <v>0</v>
      </c>
      <c r="AB1259" s="3">
        <f>VALUE(SUBSTITUTE(MID($A1259,I1259+I$2+1,J1259-I1259-I$2-1),",","."))</f>
        <v>0</v>
      </c>
      <c r="AC1259" s="3">
        <f>VALUE(SUBSTITUTE(MID($A1259,J1259+J$2+1,K1259-J1259-J$2-1),",","."))</f>
        <v>1.55</v>
      </c>
      <c r="AD1259" s="3">
        <f>VALUE(SUBSTITUTE(MID($A1259,K1259+K$2+1,L1259-K1259-K$2-1),",","."))</f>
        <v>12.06</v>
      </c>
      <c r="AE1259" s="3">
        <f>VALUE(SUBSTITUTE(MID($A1259,L1259+L$2+1,M1259-L1259-L$2-1),",","."))</f>
        <v>0</v>
      </c>
      <c r="AF1259" s="3">
        <f>VALUE(SUBSTITUTE(MID($A1259,M1259+M$2+1,N1259-M1259-M$2-1),",","."))</f>
        <v>0</v>
      </c>
      <c r="AG1259" s="3">
        <f>VALUE(SUBSTITUTE(MID($A1259,N1259+N$2+1,O1259-N1259-N$2-1),",","."))</f>
        <v>4.2392817241089098</v>
      </c>
      <c r="AH1259" t="str">
        <f>MID($A1259,O1259+O$2+1,P1259-O1259-O$2-1)</f>
        <v/>
      </c>
      <c r="AI1259" s="8" t="str">
        <f>MID($A1259,P1259+P$2+1,Q1259-P1259-P$2-1)</f>
        <v>False</v>
      </c>
      <c r="AK1259" t="b">
        <f t="shared" si="165"/>
        <v>0</v>
      </c>
    </row>
    <row r="1260" spans="1:37" x14ac:dyDescent="0.35">
      <c r="A1260" t="s">
        <v>5807</v>
      </c>
      <c r="B1260">
        <f t="shared" si="168"/>
        <v>10</v>
      </c>
      <c r="C1260">
        <f t="shared" si="168"/>
        <v>43</v>
      </c>
      <c r="D1260">
        <f t="shared" si="168"/>
        <v>54</v>
      </c>
      <c r="E1260">
        <f t="shared" si="168"/>
        <v>80</v>
      </c>
      <c r="F1260">
        <f t="shared" si="168"/>
        <v>124</v>
      </c>
      <c r="G1260">
        <f t="shared" si="167"/>
        <v>145</v>
      </c>
      <c r="H1260">
        <f t="shared" si="167"/>
        <v>177</v>
      </c>
      <c r="I1260">
        <f t="shared" si="167"/>
        <v>199</v>
      </c>
      <c r="J1260">
        <f t="shared" si="167"/>
        <v>232</v>
      </c>
      <c r="K1260">
        <f t="shared" si="167"/>
        <v>251</v>
      </c>
      <c r="L1260">
        <f t="shared" si="169"/>
        <v>270</v>
      </c>
      <c r="M1260">
        <f t="shared" si="169"/>
        <v>285</v>
      </c>
      <c r="N1260">
        <f t="shared" si="169"/>
        <v>297</v>
      </c>
      <c r="O1260">
        <f t="shared" si="169"/>
        <v>323</v>
      </c>
      <c r="P1260">
        <f t="shared" si="169"/>
        <v>341</v>
      </c>
      <c r="Q1260">
        <f t="shared" si="169"/>
        <v>367</v>
      </c>
      <c r="S1260" t="str">
        <f t="shared" si="162"/>
        <v>09.12.2025</v>
      </c>
      <c r="T1260" t="str">
        <f t="shared" si="163"/>
        <v>21:30:00</v>
      </c>
      <c r="U1260" t="str">
        <f t="shared" si="164"/>
        <v>09.12.2025 21:30:00</v>
      </c>
      <c r="V1260" s="9" t="str">
        <f>MID($A1260,C1260+C$2+1,D1260-C1260-C$2-1)</f>
        <v>0</v>
      </c>
      <c r="W1260" s="4">
        <f>VALUE(SUBSTITUTE(MID($A1260,D1260+D$2+1,E1260-D1260-D$2-1),",","."))</f>
        <v>0</v>
      </c>
      <c r="X1260" s="4">
        <f>VALUE(SUBSTITUTE(MID($A1260,E1260+E$2+1,F1260-E1260-E$2-1),",","."))</f>
        <v>0.90957602214449496</v>
      </c>
      <c r="Y1260" s="4">
        <f>VALUE(SUBSTITUTE(MID($A1260,F1260+F$2+1,G1260-F1260-F$2-1),",","."))</f>
        <v>0</v>
      </c>
      <c r="Z1260" s="3">
        <f>VALUE(SUBSTITUTE(MID($A1260,G1260+G$2+1,H1260-G1260-G$2-1),",","."))</f>
        <v>0</v>
      </c>
      <c r="AA1260" s="3">
        <f>VALUE(SUBSTITUTE(MID($A1260,H1260+H$2+1,I1260-H1260-H$2-1),",","."))</f>
        <v>0</v>
      </c>
      <c r="AB1260" s="3">
        <f>VALUE(SUBSTITUTE(MID($A1260,I1260+I$2+1,J1260-I1260-I$2-1),",","."))</f>
        <v>0</v>
      </c>
      <c r="AC1260" s="3">
        <f>VALUE(SUBSTITUTE(MID($A1260,J1260+J$2+1,K1260-J1260-J$2-1),",","."))</f>
        <v>1.5</v>
      </c>
      <c r="AD1260" s="3">
        <f>VALUE(SUBSTITUTE(MID($A1260,K1260+K$2+1,L1260-K1260-K$2-1),",","."))</f>
        <v>15.48</v>
      </c>
      <c r="AE1260" s="3">
        <f>VALUE(SUBSTITUTE(MID($A1260,L1260+L$2+1,M1260-L1260-L$2-1),",","."))</f>
        <v>0</v>
      </c>
      <c r="AF1260" s="3">
        <f>VALUE(SUBSTITUTE(MID($A1260,M1260+M$2+1,N1260-M1260-M$2-1),",","."))</f>
        <v>0</v>
      </c>
      <c r="AG1260" s="3">
        <f>VALUE(SUBSTITUTE(MID($A1260,N1260+N$2+1,O1260-N1260-N$2-1),",","."))</f>
        <v>4.2393102439969903</v>
      </c>
      <c r="AH1260" t="str">
        <f>MID($A1260,O1260+O$2+1,P1260-O1260-O$2-1)</f>
        <v/>
      </c>
      <c r="AI1260" s="8" t="str">
        <f>MID($A1260,P1260+P$2+1,Q1260-P1260-P$2-1)</f>
        <v>False</v>
      </c>
      <c r="AK1260" t="b">
        <f t="shared" si="165"/>
        <v>0</v>
      </c>
    </row>
    <row r="1261" spans="1:37" x14ac:dyDescent="0.35">
      <c r="A1261" t="s">
        <v>5808</v>
      </c>
      <c r="B1261">
        <f t="shared" si="168"/>
        <v>10</v>
      </c>
      <c r="C1261">
        <f t="shared" si="168"/>
        <v>43</v>
      </c>
      <c r="D1261">
        <f t="shared" si="168"/>
        <v>54</v>
      </c>
      <c r="E1261">
        <f t="shared" si="168"/>
        <v>80</v>
      </c>
      <c r="F1261">
        <f t="shared" si="168"/>
        <v>124</v>
      </c>
      <c r="G1261">
        <f t="shared" si="167"/>
        <v>145</v>
      </c>
      <c r="H1261">
        <f t="shared" si="167"/>
        <v>177</v>
      </c>
      <c r="I1261">
        <f t="shared" si="167"/>
        <v>199</v>
      </c>
      <c r="J1261">
        <f t="shared" si="167"/>
        <v>232</v>
      </c>
      <c r="K1261">
        <f t="shared" si="167"/>
        <v>251</v>
      </c>
      <c r="L1261">
        <f t="shared" si="169"/>
        <v>270</v>
      </c>
      <c r="M1261">
        <f t="shared" si="169"/>
        <v>285</v>
      </c>
      <c r="N1261">
        <f t="shared" si="169"/>
        <v>297</v>
      </c>
      <c r="O1261">
        <f t="shared" si="169"/>
        <v>322</v>
      </c>
      <c r="P1261">
        <f t="shared" si="169"/>
        <v>340</v>
      </c>
      <c r="Q1261">
        <f t="shared" si="169"/>
        <v>366</v>
      </c>
      <c r="S1261" t="str">
        <f t="shared" si="162"/>
        <v>09.12.2025</v>
      </c>
      <c r="T1261" t="str">
        <f t="shared" si="163"/>
        <v>21:45:00</v>
      </c>
      <c r="U1261" t="str">
        <f t="shared" si="164"/>
        <v>09.12.2025 21:45:00</v>
      </c>
      <c r="V1261" s="9" t="str">
        <f>MID($A1261,C1261+C$2+1,D1261-C1261-C$2-1)</f>
        <v>0</v>
      </c>
      <c r="W1261" s="4">
        <f>VALUE(SUBSTITUTE(MID($A1261,D1261+D$2+1,E1261-D1261-D$2-1),",","."))</f>
        <v>0</v>
      </c>
      <c r="X1261" s="4">
        <f>VALUE(SUBSTITUTE(MID($A1261,E1261+E$2+1,F1261-E1261-E$2-1),",","."))</f>
        <v>0.90957602214449496</v>
      </c>
      <c r="Y1261" s="4">
        <f>VALUE(SUBSTITUTE(MID($A1261,F1261+F$2+1,G1261-F1261-F$2-1),",","."))</f>
        <v>0</v>
      </c>
      <c r="Z1261" s="3">
        <f>VALUE(SUBSTITUTE(MID($A1261,G1261+G$2+1,H1261-G1261-G$2-1),",","."))</f>
        <v>0</v>
      </c>
      <c r="AA1261" s="3">
        <f>VALUE(SUBSTITUTE(MID($A1261,H1261+H$2+1,I1261-H1261-H$2-1),",","."))</f>
        <v>0</v>
      </c>
      <c r="AB1261" s="3">
        <f>VALUE(SUBSTITUTE(MID($A1261,I1261+I$2+1,J1261-I1261-I$2-1),",","."))</f>
        <v>0</v>
      </c>
      <c r="AC1261" s="3">
        <f>VALUE(SUBSTITUTE(MID($A1261,J1261+J$2+1,K1261-J1261-J$2-1),",","."))</f>
        <v>1.5</v>
      </c>
      <c r="AD1261" s="3">
        <f>VALUE(SUBSTITUTE(MID($A1261,K1261+K$2+1,L1261-K1261-K$2-1),",","."))</f>
        <v>15.48</v>
      </c>
      <c r="AE1261" s="3">
        <f>VALUE(SUBSTITUTE(MID($A1261,L1261+L$2+1,M1261-L1261-L$2-1),",","."))</f>
        <v>0</v>
      </c>
      <c r="AF1261" s="3">
        <f>VALUE(SUBSTITUTE(MID($A1261,M1261+M$2+1,N1261-M1261-M$2-1),",","."))</f>
        <v>0</v>
      </c>
      <c r="AG1261" s="3">
        <f>VALUE(SUBSTITUTE(MID($A1261,N1261+N$2+1,O1261-N1261-N$2-1),",","."))</f>
        <v>4.2393387638850699</v>
      </c>
      <c r="AH1261" t="str">
        <f>MID($A1261,O1261+O$2+1,P1261-O1261-O$2-1)</f>
        <v/>
      </c>
      <c r="AI1261" s="8" t="str">
        <f>MID($A1261,P1261+P$2+1,Q1261-P1261-P$2-1)</f>
        <v>False</v>
      </c>
      <c r="AK1261" t="b">
        <f t="shared" si="165"/>
        <v>0</v>
      </c>
    </row>
    <row r="1262" spans="1:37" x14ac:dyDescent="0.35">
      <c r="A1262" t="s">
        <v>5809</v>
      </c>
      <c r="B1262">
        <f t="shared" si="168"/>
        <v>10</v>
      </c>
      <c r="C1262">
        <f t="shared" si="168"/>
        <v>43</v>
      </c>
      <c r="D1262">
        <f t="shared" si="168"/>
        <v>54</v>
      </c>
      <c r="E1262">
        <f t="shared" si="168"/>
        <v>80</v>
      </c>
      <c r="F1262">
        <f t="shared" si="168"/>
        <v>124</v>
      </c>
      <c r="G1262">
        <f t="shared" si="167"/>
        <v>145</v>
      </c>
      <c r="H1262">
        <f t="shared" si="167"/>
        <v>177</v>
      </c>
      <c r="I1262">
        <f t="shared" si="167"/>
        <v>199</v>
      </c>
      <c r="J1262">
        <f t="shared" si="167"/>
        <v>232</v>
      </c>
      <c r="K1262">
        <f t="shared" si="167"/>
        <v>251</v>
      </c>
      <c r="L1262">
        <f t="shared" si="169"/>
        <v>270</v>
      </c>
      <c r="M1262">
        <f t="shared" si="169"/>
        <v>285</v>
      </c>
      <c r="N1262">
        <f t="shared" si="169"/>
        <v>297</v>
      </c>
      <c r="O1262">
        <f t="shared" si="169"/>
        <v>321</v>
      </c>
      <c r="P1262">
        <f t="shared" si="169"/>
        <v>339</v>
      </c>
      <c r="Q1262">
        <f t="shared" si="169"/>
        <v>365</v>
      </c>
      <c r="S1262" t="str">
        <f t="shared" si="162"/>
        <v>09.12.2025</v>
      </c>
      <c r="T1262" t="str">
        <f t="shared" si="163"/>
        <v>22:00:00</v>
      </c>
      <c r="U1262" t="str">
        <f t="shared" si="164"/>
        <v>09.12.2025 22:00:00</v>
      </c>
      <c r="V1262" s="9" t="str">
        <f>MID($A1262,C1262+C$2+1,D1262-C1262-C$2-1)</f>
        <v>0</v>
      </c>
      <c r="W1262" s="4">
        <f>VALUE(SUBSTITUTE(MID($A1262,D1262+D$2+1,E1262-D1262-D$2-1),",","."))</f>
        <v>0</v>
      </c>
      <c r="X1262" s="4">
        <f>VALUE(SUBSTITUTE(MID($A1262,E1262+E$2+1,F1262-E1262-E$2-1),",","."))</f>
        <v>0.90957602214449496</v>
      </c>
      <c r="Y1262" s="4">
        <f>VALUE(SUBSTITUTE(MID($A1262,F1262+F$2+1,G1262-F1262-F$2-1),",","."))</f>
        <v>0</v>
      </c>
      <c r="Z1262" s="3">
        <f>VALUE(SUBSTITUTE(MID($A1262,G1262+G$2+1,H1262-G1262-G$2-1),",","."))</f>
        <v>0</v>
      </c>
      <c r="AA1262" s="3">
        <f>VALUE(SUBSTITUTE(MID($A1262,H1262+H$2+1,I1262-H1262-H$2-1),",","."))</f>
        <v>0</v>
      </c>
      <c r="AB1262" s="3">
        <f>VALUE(SUBSTITUTE(MID($A1262,I1262+I$2+1,J1262-I1262-I$2-1),",","."))</f>
        <v>0</v>
      </c>
      <c r="AC1262" s="3">
        <f>VALUE(SUBSTITUTE(MID($A1262,J1262+J$2+1,K1262-J1262-J$2-1),",","."))</f>
        <v>1.5</v>
      </c>
      <c r="AD1262" s="3">
        <f>VALUE(SUBSTITUTE(MID($A1262,K1262+K$2+1,L1262-K1262-K$2-1),",","."))</f>
        <v>15.48</v>
      </c>
      <c r="AE1262" s="3">
        <f>VALUE(SUBSTITUTE(MID($A1262,L1262+L$2+1,M1262-L1262-L$2-1),",","."))</f>
        <v>0</v>
      </c>
      <c r="AF1262" s="3">
        <f>VALUE(SUBSTITUTE(MID($A1262,M1262+M$2+1,N1262-M1262-M$2-1),",","."))</f>
        <v>0</v>
      </c>
      <c r="AG1262" s="3">
        <f>VALUE(SUBSTITUTE(MID($A1262,N1262+N$2+1,O1262-N1262-N$2-1),",","."))</f>
        <v>4.2393672837731602</v>
      </c>
      <c r="AH1262" t="str">
        <f>MID($A1262,O1262+O$2+1,P1262-O1262-O$2-1)</f>
        <v/>
      </c>
      <c r="AI1262" s="8" t="str">
        <f>MID($A1262,P1262+P$2+1,Q1262-P1262-P$2-1)</f>
        <v>False</v>
      </c>
      <c r="AK1262" t="b">
        <f t="shared" si="165"/>
        <v>0</v>
      </c>
    </row>
    <row r="1263" spans="1:37" x14ac:dyDescent="0.35">
      <c r="A1263" t="s">
        <v>5810</v>
      </c>
      <c r="B1263">
        <f t="shared" si="168"/>
        <v>10</v>
      </c>
      <c r="C1263">
        <f t="shared" si="168"/>
        <v>43</v>
      </c>
      <c r="D1263">
        <f t="shared" si="168"/>
        <v>54</v>
      </c>
      <c r="E1263">
        <f t="shared" si="168"/>
        <v>80</v>
      </c>
      <c r="F1263">
        <f t="shared" si="168"/>
        <v>124</v>
      </c>
      <c r="G1263">
        <f t="shared" si="167"/>
        <v>145</v>
      </c>
      <c r="H1263">
        <f t="shared" si="167"/>
        <v>177</v>
      </c>
      <c r="I1263">
        <f t="shared" si="167"/>
        <v>199</v>
      </c>
      <c r="J1263">
        <f t="shared" si="167"/>
        <v>232</v>
      </c>
      <c r="K1263">
        <f t="shared" si="167"/>
        <v>251</v>
      </c>
      <c r="L1263">
        <f t="shared" si="169"/>
        <v>270</v>
      </c>
      <c r="M1263">
        <f t="shared" si="169"/>
        <v>285</v>
      </c>
      <c r="N1263">
        <f t="shared" si="169"/>
        <v>297</v>
      </c>
      <c r="O1263">
        <f t="shared" si="169"/>
        <v>322</v>
      </c>
      <c r="P1263">
        <f t="shared" si="169"/>
        <v>340</v>
      </c>
      <c r="Q1263">
        <f t="shared" si="169"/>
        <v>366</v>
      </c>
      <c r="S1263" t="str">
        <f t="shared" si="162"/>
        <v>09.12.2025</v>
      </c>
      <c r="T1263" t="str">
        <f t="shared" si="163"/>
        <v>22:15:00</v>
      </c>
      <c r="U1263" t="str">
        <f t="shared" si="164"/>
        <v>09.12.2025 22:15:00</v>
      </c>
      <c r="V1263" s="9" t="str">
        <f>MID($A1263,C1263+C$2+1,D1263-C1263-C$2-1)</f>
        <v>0</v>
      </c>
      <c r="W1263" s="4">
        <f>VALUE(SUBSTITUTE(MID($A1263,D1263+D$2+1,E1263-D1263-D$2-1),",","."))</f>
        <v>0</v>
      </c>
      <c r="X1263" s="4">
        <f>VALUE(SUBSTITUTE(MID($A1263,E1263+E$2+1,F1263-E1263-E$2-1),",","."))</f>
        <v>0.90957602214449496</v>
      </c>
      <c r="Y1263" s="4">
        <f>VALUE(SUBSTITUTE(MID($A1263,F1263+F$2+1,G1263-F1263-F$2-1),",","."))</f>
        <v>0</v>
      </c>
      <c r="Z1263" s="3">
        <f>VALUE(SUBSTITUTE(MID($A1263,G1263+G$2+1,H1263-G1263-G$2-1),",","."))</f>
        <v>0</v>
      </c>
      <c r="AA1263" s="3">
        <f>VALUE(SUBSTITUTE(MID($A1263,H1263+H$2+1,I1263-H1263-H$2-1),",","."))</f>
        <v>0</v>
      </c>
      <c r="AB1263" s="3">
        <f>VALUE(SUBSTITUTE(MID($A1263,I1263+I$2+1,J1263-I1263-I$2-1),",","."))</f>
        <v>0</v>
      </c>
      <c r="AC1263" s="3">
        <f>VALUE(SUBSTITUTE(MID($A1263,J1263+J$2+1,K1263-J1263-J$2-1),",","."))</f>
        <v>1.5</v>
      </c>
      <c r="AD1263" s="3">
        <f>VALUE(SUBSTITUTE(MID($A1263,K1263+K$2+1,L1263-K1263-K$2-1),",","."))</f>
        <v>15.48</v>
      </c>
      <c r="AE1263" s="3">
        <f>VALUE(SUBSTITUTE(MID($A1263,L1263+L$2+1,M1263-L1263-L$2-1),",","."))</f>
        <v>0</v>
      </c>
      <c r="AF1263" s="3">
        <f>VALUE(SUBSTITUTE(MID($A1263,M1263+M$2+1,N1263-M1263-M$2-1),",","."))</f>
        <v>0</v>
      </c>
      <c r="AG1263" s="3">
        <f>VALUE(SUBSTITUTE(MID($A1263,N1263+N$2+1,O1263-N1263-N$2-1),",","."))</f>
        <v>4.2393958036612398</v>
      </c>
      <c r="AH1263" t="str">
        <f>MID($A1263,O1263+O$2+1,P1263-O1263-O$2-1)</f>
        <v/>
      </c>
      <c r="AI1263" s="8" t="str">
        <f>MID($A1263,P1263+P$2+1,Q1263-P1263-P$2-1)</f>
        <v>False</v>
      </c>
      <c r="AK1263" t="b">
        <f t="shared" si="165"/>
        <v>0</v>
      </c>
    </row>
    <row r="1264" spans="1:37" x14ac:dyDescent="0.35">
      <c r="A1264" t="s">
        <v>5811</v>
      </c>
      <c r="B1264">
        <f t="shared" si="168"/>
        <v>10</v>
      </c>
      <c r="C1264">
        <f t="shared" si="168"/>
        <v>43</v>
      </c>
      <c r="D1264">
        <f t="shared" si="168"/>
        <v>54</v>
      </c>
      <c r="E1264">
        <f t="shared" si="168"/>
        <v>80</v>
      </c>
      <c r="F1264">
        <f t="shared" si="168"/>
        <v>124</v>
      </c>
      <c r="G1264">
        <f t="shared" si="167"/>
        <v>145</v>
      </c>
      <c r="H1264">
        <f t="shared" si="167"/>
        <v>177</v>
      </c>
      <c r="I1264">
        <f t="shared" si="167"/>
        <v>199</v>
      </c>
      <c r="J1264">
        <f t="shared" si="167"/>
        <v>232</v>
      </c>
      <c r="K1264">
        <f t="shared" si="167"/>
        <v>252</v>
      </c>
      <c r="L1264">
        <f t="shared" si="169"/>
        <v>284</v>
      </c>
      <c r="M1264">
        <f t="shared" si="169"/>
        <v>299</v>
      </c>
      <c r="N1264">
        <f t="shared" si="169"/>
        <v>311</v>
      </c>
      <c r="O1264">
        <f t="shared" si="169"/>
        <v>336</v>
      </c>
      <c r="P1264">
        <f t="shared" si="169"/>
        <v>354</v>
      </c>
      <c r="Q1264">
        <f t="shared" si="169"/>
        <v>380</v>
      </c>
      <c r="S1264" t="str">
        <f t="shared" si="162"/>
        <v>09.12.2025</v>
      </c>
      <c r="T1264" t="str">
        <f t="shared" si="163"/>
        <v>22:30:00</v>
      </c>
      <c r="U1264" t="str">
        <f t="shared" si="164"/>
        <v>09.12.2025 22:30:00</v>
      </c>
      <c r="V1264" s="9" t="str">
        <f>MID($A1264,C1264+C$2+1,D1264-C1264-C$2-1)</f>
        <v>0</v>
      </c>
      <c r="W1264" s="4">
        <f>VALUE(SUBSTITUTE(MID($A1264,D1264+D$2+1,E1264-D1264-D$2-1),",","."))</f>
        <v>0</v>
      </c>
      <c r="X1264" s="4">
        <f>VALUE(SUBSTITUTE(MID($A1264,E1264+E$2+1,F1264-E1264-E$2-1),",","."))</f>
        <v>0.90957602214449496</v>
      </c>
      <c r="Y1264" s="4">
        <f>VALUE(SUBSTITUTE(MID($A1264,F1264+F$2+1,G1264-F1264-F$2-1),",","."))</f>
        <v>0</v>
      </c>
      <c r="Z1264" s="3">
        <f>VALUE(SUBSTITUTE(MID($A1264,G1264+G$2+1,H1264-G1264-G$2-1),",","."))</f>
        <v>0</v>
      </c>
      <c r="AA1264" s="3">
        <f>VALUE(SUBSTITUTE(MID($A1264,H1264+H$2+1,I1264-H1264-H$2-1),",","."))</f>
        <v>0</v>
      </c>
      <c r="AB1264" s="3">
        <f>VALUE(SUBSTITUTE(MID($A1264,I1264+I$2+1,J1264-I1264-I$2-1),",","."))</f>
        <v>0</v>
      </c>
      <c r="AC1264" s="3">
        <f>VALUE(SUBSTITUTE(MID($A1264,J1264+J$2+1,K1264-J1264-J$2-1),",","."))</f>
        <v>1.45</v>
      </c>
      <c r="AD1264" s="3">
        <f>VALUE(SUBSTITUTE(MID($A1264,K1264+K$2+1,L1264-K1264-K$2-1),",","."))</f>
        <v>19.439999999999898</v>
      </c>
      <c r="AE1264" s="3">
        <f>VALUE(SUBSTITUTE(MID($A1264,L1264+L$2+1,M1264-L1264-L$2-1),",","."))</f>
        <v>0</v>
      </c>
      <c r="AF1264" s="3">
        <f>VALUE(SUBSTITUTE(MID($A1264,M1264+M$2+1,N1264-M1264-M$2-1),",","."))</f>
        <v>0</v>
      </c>
      <c r="AG1264" s="3">
        <f>VALUE(SUBSTITUTE(MID($A1264,N1264+N$2+1,O1264-N1264-N$2-1),",","."))</f>
        <v>4.2394243235493203</v>
      </c>
      <c r="AH1264" t="str">
        <f>MID($A1264,O1264+O$2+1,P1264-O1264-O$2-1)</f>
        <v/>
      </c>
      <c r="AI1264" s="8" t="str">
        <f>MID($A1264,P1264+P$2+1,Q1264-P1264-P$2-1)</f>
        <v>False</v>
      </c>
      <c r="AK1264" t="b">
        <f t="shared" si="165"/>
        <v>0</v>
      </c>
    </row>
    <row r="1265" spans="1:37" x14ac:dyDescent="0.35">
      <c r="A1265" t="s">
        <v>5812</v>
      </c>
      <c r="B1265">
        <f t="shared" si="168"/>
        <v>10</v>
      </c>
      <c r="C1265">
        <f t="shared" si="168"/>
        <v>43</v>
      </c>
      <c r="D1265">
        <f t="shared" si="168"/>
        <v>54</v>
      </c>
      <c r="E1265">
        <f t="shared" si="168"/>
        <v>80</v>
      </c>
      <c r="F1265">
        <f t="shared" si="168"/>
        <v>124</v>
      </c>
      <c r="G1265">
        <f t="shared" si="167"/>
        <v>145</v>
      </c>
      <c r="H1265">
        <f t="shared" si="167"/>
        <v>177</v>
      </c>
      <c r="I1265">
        <f t="shared" si="167"/>
        <v>199</v>
      </c>
      <c r="J1265">
        <f t="shared" si="167"/>
        <v>232</v>
      </c>
      <c r="K1265">
        <f t="shared" si="167"/>
        <v>252</v>
      </c>
      <c r="L1265">
        <f t="shared" si="169"/>
        <v>284</v>
      </c>
      <c r="M1265">
        <f t="shared" si="169"/>
        <v>299</v>
      </c>
      <c r="N1265">
        <f t="shared" si="169"/>
        <v>311</v>
      </c>
      <c r="O1265">
        <f t="shared" si="169"/>
        <v>336</v>
      </c>
      <c r="P1265">
        <f t="shared" si="169"/>
        <v>354</v>
      </c>
      <c r="Q1265">
        <f t="shared" si="169"/>
        <v>380</v>
      </c>
      <c r="S1265" t="str">
        <f t="shared" si="162"/>
        <v>09.12.2025</v>
      </c>
      <c r="T1265" t="str">
        <f t="shared" si="163"/>
        <v>22:45:00</v>
      </c>
      <c r="U1265" t="str">
        <f t="shared" si="164"/>
        <v>09.12.2025 22:45:00</v>
      </c>
      <c r="V1265" s="9" t="str">
        <f>MID($A1265,C1265+C$2+1,D1265-C1265-C$2-1)</f>
        <v>0</v>
      </c>
      <c r="W1265" s="4">
        <f>VALUE(SUBSTITUTE(MID($A1265,D1265+D$2+1,E1265-D1265-D$2-1),",","."))</f>
        <v>0</v>
      </c>
      <c r="X1265" s="4">
        <f>VALUE(SUBSTITUTE(MID($A1265,E1265+E$2+1,F1265-E1265-E$2-1),",","."))</f>
        <v>0.90957602214449496</v>
      </c>
      <c r="Y1265" s="4">
        <f>VALUE(SUBSTITUTE(MID($A1265,F1265+F$2+1,G1265-F1265-F$2-1),",","."))</f>
        <v>0</v>
      </c>
      <c r="Z1265" s="3">
        <f>VALUE(SUBSTITUTE(MID($A1265,G1265+G$2+1,H1265-G1265-G$2-1),",","."))</f>
        <v>0</v>
      </c>
      <c r="AA1265" s="3">
        <f>VALUE(SUBSTITUTE(MID($A1265,H1265+H$2+1,I1265-H1265-H$2-1),",","."))</f>
        <v>0</v>
      </c>
      <c r="AB1265" s="3">
        <f>VALUE(SUBSTITUTE(MID($A1265,I1265+I$2+1,J1265-I1265-I$2-1),",","."))</f>
        <v>0</v>
      </c>
      <c r="AC1265" s="3">
        <f>VALUE(SUBSTITUTE(MID($A1265,J1265+J$2+1,K1265-J1265-J$2-1),",","."))</f>
        <v>1.45</v>
      </c>
      <c r="AD1265" s="3">
        <f>VALUE(SUBSTITUTE(MID($A1265,K1265+K$2+1,L1265-K1265-K$2-1),",","."))</f>
        <v>19.439999999999898</v>
      </c>
      <c r="AE1265" s="3">
        <f>VALUE(SUBSTITUTE(MID($A1265,L1265+L$2+1,M1265-L1265-L$2-1),",","."))</f>
        <v>0</v>
      </c>
      <c r="AF1265" s="3">
        <f>VALUE(SUBSTITUTE(MID($A1265,M1265+M$2+1,N1265-M1265-M$2-1),",","."))</f>
        <v>0</v>
      </c>
      <c r="AG1265" s="3">
        <f>VALUE(SUBSTITUTE(MID($A1265,N1265+N$2+1,O1265-N1265-N$2-1),",","."))</f>
        <v>4.2394528434373999</v>
      </c>
      <c r="AH1265" t="str">
        <f>MID($A1265,O1265+O$2+1,P1265-O1265-O$2-1)</f>
        <v/>
      </c>
      <c r="AI1265" s="8" t="str">
        <f>MID($A1265,P1265+P$2+1,Q1265-P1265-P$2-1)</f>
        <v>False</v>
      </c>
      <c r="AK1265" t="b">
        <f t="shared" si="165"/>
        <v>0</v>
      </c>
    </row>
    <row r="1266" spans="1:37" x14ac:dyDescent="0.35">
      <c r="A1266" t="s">
        <v>5813</v>
      </c>
      <c r="B1266">
        <f t="shared" si="168"/>
        <v>10</v>
      </c>
      <c r="C1266">
        <f t="shared" si="168"/>
        <v>43</v>
      </c>
      <c r="D1266">
        <f t="shared" si="168"/>
        <v>54</v>
      </c>
      <c r="E1266">
        <f t="shared" si="168"/>
        <v>80</v>
      </c>
      <c r="F1266">
        <f t="shared" si="168"/>
        <v>124</v>
      </c>
      <c r="G1266">
        <f t="shared" si="167"/>
        <v>145</v>
      </c>
      <c r="H1266">
        <f t="shared" si="167"/>
        <v>177</v>
      </c>
      <c r="I1266">
        <f t="shared" si="167"/>
        <v>199</v>
      </c>
      <c r="J1266">
        <f t="shared" si="167"/>
        <v>232</v>
      </c>
      <c r="K1266">
        <f t="shared" si="167"/>
        <v>252</v>
      </c>
      <c r="L1266">
        <f t="shared" si="169"/>
        <v>284</v>
      </c>
      <c r="M1266">
        <f t="shared" si="169"/>
        <v>299</v>
      </c>
      <c r="N1266">
        <f t="shared" si="169"/>
        <v>311</v>
      </c>
      <c r="O1266">
        <f t="shared" si="169"/>
        <v>336</v>
      </c>
      <c r="P1266">
        <f t="shared" si="169"/>
        <v>354</v>
      </c>
      <c r="Q1266">
        <f t="shared" si="169"/>
        <v>380</v>
      </c>
      <c r="S1266" t="str">
        <f t="shared" si="162"/>
        <v>09.12.2025</v>
      </c>
      <c r="T1266" t="str">
        <f t="shared" si="163"/>
        <v>23:00:00</v>
      </c>
      <c r="U1266" t="str">
        <f t="shared" si="164"/>
        <v>09.12.2025 23:00:00</v>
      </c>
      <c r="V1266" s="9" t="str">
        <f>MID($A1266,C1266+C$2+1,D1266-C1266-C$2-1)</f>
        <v>0</v>
      </c>
      <c r="W1266" s="4">
        <f>VALUE(SUBSTITUTE(MID($A1266,D1266+D$2+1,E1266-D1266-D$2-1),",","."))</f>
        <v>0</v>
      </c>
      <c r="X1266" s="4">
        <f>VALUE(SUBSTITUTE(MID($A1266,E1266+E$2+1,F1266-E1266-E$2-1),",","."))</f>
        <v>0.90957602214449496</v>
      </c>
      <c r="Y1266" s="4">
        <f>VALUE(SUBSTITUTE(MID($A1266,F1266+F$2+1,G1266-F1266-F$2-1),",","."))</f>
        <v>0</v>
      </c>
      <c r="Z1266" s="3">
        <f>VALUE(SUBSTITUTE(MID($A1266,G1266+G$2+1,H1266-G1266-G$2-1),",","."))</f>
        <v>0</v>
      </c>
      <c r="AA1266" s="3">
        <f>VALUE(SUBSTITUTE(MID($A1266,H1266+H$2+1,I1266-H1266-H$2-1),",","."))</f>
        <v>0</v>
      </c>
      <c r="AB1266" s="3">
        <f>VALUE(SUBSTITUTE(MID($A1266,I1266+I$2+1,J1266-I1266-I$2-1),",","."))</f>
        <v>0</v>
      </c>
      <c r="AC1266" s="3">
        <f>VALUE(SUBSTITUTE(MID($A1266,J1266+J$2+1,K1266-J1266-J$2-1),",","."))</f>
        <v>1.45</v>
      </c>
      <c r="AD1266" s="3">
        <f>VALUE(SUBSTITUTE(MID($A1266,K1266+K$2+1,L1266-K1266-K$2-1),",","."))</f>
        <v>19.439999999999898</v>
      </c>
      <c r="AE1266" s="3">
        <f>VALUE(SUBSTITUTE(MID($A1266,L1266+L$2+1,M1266-L1266-L$2-1),",","."))</f>
        <v>0</v>
      </c>
      <c r="AF1266" s="3">
        <f>VALUE(SUBSTITUTE(MID($A1266,M1266+M$2+1,N1266-M1266-M$2-1),",","."))</f>
        <v>0</v>
      </c>
      <c r="AG1266" s="3">
        <f>VALUE(SUBSTITUTE(MID($A1266,N1266+N$2+1,O1266-N1266-N$2-1),",","."))</f>
        <v>4.2394813633254804</v>
      </c>
      <c r="AH1266" t="str">
        <f>MID($A1266,O1266+O$2+1,P1266-O1266-O$2-1)</f>
        <v/>
      </c>
      <c r="AI1266" s="8" t="str">
        <f>MID($A1266,P1266+P$2+1,Q1266-P1266-P$2-1)</f>
        <v>False</v>
      </c>
      <c r="AK1266" t="b">
        <f t="shared" si="165"/>
        <v>0</v>
      </c>
    </row>
    <row r="1267" spans="1:37" x14ac:dyDescent="0.35">
      <c r="A1267" t="s">
        <v>5814</v>
      </c>
      <c r="B1267">
        <f t="shared" si="168"/>
        <v>10</v>
      </c>
      <c r="C1267">
        <f t="shared" si="168"/>
        <v>43</v>
      </c>
      <c r="D1267">
        <f t="shared" si="168"/>
        <v>54</v>
      </c>
      <c r="E1267">
        <f t="shared" si="168"/>
        <v>80</v>
      </c>
      <c r="F1267">
        <f t="shared" si="168"/>
        <v>124</v>
      </c>
      <c r="G1267">
        <f t="shared" si="167"/>
        <v>145</v>
      </c>
      <c r="H1267">
        <f t="shared" si="167"/>
        <v>177</v>
      </c>
      <c r="I1267">
        <f t="shared" si="167"/>
        <v>199</v>
      </c>
      <c r="J1267">
        <f t="shared" si="167"/>
        <v>232</v>
      </c>
      <c r="K1267">
        <f t="shared" si="167"/>
        <v>252</v>
      </c>
      <c r="L1267">
        <f t="shared" si="169"/>
        <v>284</v>
      </c>
      <c r="M1267">
        <f t="shared" si="169"/>
        <v>299</v>
      </c>
      <c r="N1267">
        <f t="shared" si="169"/>
        <v>311</v>
      </c>
      <c r="O1267">
        <f t="shared" si="169"/>
        <v>336</v>
      </c>
      <c r="P1267">
        <f t="shared" si="169"/>
        <v>354</v>
      </c>
      <c r="Q1267">
        <f t="shared" si="169"/>
        <v>380</v>
      </c>
      <c r="S1267" t="str">
        <f t="shared" si="162"/>
        <v>09.12.2025</v>
      </c>
      <c r="T1267" t="str">
        <f t="shared" si="163"/>
        <v>23:15:00</v>
      </c>
      <c r="U1267" t="str">
        <f t="shared" si="164"/>
        <v>09.12.2025 23:15:00</v>
      </c>
      <c r="V1267" s="9" t="str">
        <f>MID($A1267,C1267+C$2+1,D1267-C1267-C$2-1)</f>
        <v>0</v>
      </c>
      <c r="W1267" s="4">
        <f>VALUE(SUBSTITUTE(MID($A1267,D1267+D$2+1,E1267-D1267-D$2-1),",","."))</f>
        <v>0</v>
      </c>
      <c r="X1267" s="4">
        <f>VALUE(SUBSTITUTE(MID($A1267,E1267+E$2+1,F1267-E1267-E$2-1),",","."))</f>
        <v>0.90957602214449496</v>
      </c>
      <c r="Y1267" s="4">
        <f>VALUE(SUBSTITUTE(MID($A1267,F1267+F$2+1,G1267-F1267-F$2-1),",","."))</f>
        <v>0</v>
      </c>
      <c r="Z1267" s="3">
        <f>VALUE(SUBSTITUTE(MID($A1267,G1267+G$2+1,H1267-G1267-G$2-1),",","."))</f>
        <v>0</v>
      </c>
      <c r="AA1267" s="3">
        <f>VALUE(SUBSTITUTE(MID($A1267,H1267+H$2+1,I1267-H1267-H$2-1),",","."))</f>
        <v>0</v>
      </c>
      <c r="AB1267" s="3">
        <f>VALUE(SUBSTITUTE(MID($A1267,I1267+I$2+1,J1267-I1267-I$2-1),",","."))</f>
        <v>0</v>
      </c>
      <c r="AC1267" s="3">
        <f>VALUE(SUBSTITUTE(MID($A1267,J1267+J$2+1,K1267-J1267-J$2-1),",","."))</f>
        <v>1.45</v>
      </c>
      <c r="AD1267" s="3">
        <f>VALUE(SUBSTITUTE(MID($A1267,K1267+K$2+1,L1267-K1267-K$2-1),",","."))</f>
        <v>19.439999999999898</v>
      </c>
      <c r="AE1267" s="3">
        <f>VALUE(SUBSTITUTE(MID($A1267,L1267+L$2+1,M1267-L1267-L$2-1),",","."))</f>
        <v>0</v>
      </c>
      <c r="AF1267" s="3">
        <f>VALUE(SUBSTITUTE(MID($A1267,M1267+M$2+1,N1267-M1267-M$2-1),",","."))</f>
        <v>0</v>
      </c>
      <c r="AG1267" s="3">
        <f>VALUE(SUBSTITUTE(MID($A1267,N1267+N$2+1,O1267-N1267-N$2-1),",","."))</f>
        <v>4.23950988321356</v>
      </c>
      <c r="AH1267" t="str">
        <f>MID($A1267,O1267+O$2+1,P1267-O1267-O$2-1)</f>
        <v/>
      </c>
      <c r="AI1267" s="8" t="str">
        <f>MID($A1267,P1267+P$2+1,Q1267-P1267-P$2-1)</f>
        <v>False</v>
      </c>
      <c r="AK1267" t="b">
        <f t="shared" si="165"/>
        <v>0</v>
      </c>
    </row>
    <row r="1268" spans="1:37" x14ac:dyDescent="0.35">
      <c r="A1268" t="s">
        <v>5815</v>
      </c>
      <c r="B1268">
        <f t="shared" si="168"/>
        <v>10</v>
      </c>
      <c r="C1268">
        <f t="shared" si="168"/>
        <v>43</v>
      </c>
      <c r="D1268">
        <f t="shared" si="168"/>
        <v>54</v>
      </c>
      <c r="E1268">
        <f t="shared" si="168"/>
        <v>80</v>
      </c>
      <c r="F1268">
        <f t="shared" si="168"/>
        <v>124</v>
      </c>
      <c r="G1268">
        <f t="shared" si="167"/>
        <v>145</v>
      </c>
      <c r="H1268">
        <f t="shared" si="167"/>
        <v>177</v>
      </c>
      <c r="I1268">
        <f t="shared" si="167"/>
        <v>199</v>
      </c>
      <c r="J1268">
        <f t="shared" si="167"/>
        <v>232</v>
      </c>
      <c r="K1268">
        <f t="shared" si="167"/>
        <v>252</v>
      </c>
      <c r="L1268">
        <f t="shared" si="169"/>
        <v>271</v>
      </c>
      <c r="M1268">
        <f t="shared" si="169"/>
        <v>286</v>
      </c>
      <c r="N1268">
        <f t="shared" si="169"/>
        <v>298</v>
      </c>
      <c r="O1268">
        <f t="shared" si="169"/>
        <v>323</v>
      </c>
      <c r="P1268">
        <f t="shared" si="169"/>
        <v>341</v>
      </c>
      <c r="Q1268">
        <f t="shared" si="169"/>
        <v>367</v>
      </c>
      <c r="S1268" t="str">
        <f t="shared" si="162"/>
        <v>09.12.2025</v>
      </c>
      <c r="T1268" t="str">
        <f t="shared" si="163"/>
        <v>23:30:00</v>
      </c>
      <c r="U1268" t="str">
        <f t="shared" si="164"/>
        <v>09.12.2025 23:30:00</v>
      </c>
      <c r="V1268" s="9" t="str">
        <f>MID($A1268,C1268+C$2+1,D1268-C1268-C$2-1)</f>
        <v>0</v>
      </c>
      <c r="W1268" s="4">
        <f>VALUE(SUBSTITUTE(MID($A1268,D1268+D$2+1,E1268-D1268-D$2-1),",","."))</f>
        <v>0</v>
      </c>
      <c r="X1268" s="4">
        <f>VALUE(SUBSTITUTE(MID($A1268,E1268+E$2+1,F1268-E1268-E$2-1),",","."))</f>
        <v>0.90957602214449496</v>
      </c>
      <c r="Y1268" s="4">
        <f>VALUE(SUBSTITUTE(MID($A1268,F1268+F$2+1,G1268-F1268-F$2-1),",","."))</f>
        <v>0</v>
      </c>
      <c r="Z1268" s="3">
        <f>VALUE(SUBSTITUTE(MID($A1268,G1268+G$2+1,H1268-G1268-G$2-1),",","."))</f>
        <v>0</v>
      </c>
      <c r="AA1268" s="3">
        <f>VALUE(SUBSTITUTE(MID($A1268,H1268+H$2+1,I1268-H1268-H$2-1),",","."))</f>
        <v>0</v>
      </c>
      <c r="AB1268" s="3">
        <f>VALUE(SUBSTITUTE(MID($A1268,I1268+I$2+1,J1268-I1268-I$2-1),",","."))</f>
        <v>0</v>
      </c>
      <c r="AC1268" s="3">
        <f>VALUE(SUBSTITUTE(MID($A1268,J1268+J$2+1,K1268-J1268-J$2-1),",","."))</f>
        <v>1.45</v>
      </c>
      <c r="AD1268" s="3">
        <f>VALUE(SUBSTITUTE(MID($A1268,K1268+K$2+1,L1268-K1268-K$2-1),",","."))</f>
        <v>22.86</v>
      </c>
      <c r="AE1268" s="3">
        <f>VALUE(SUBSTITUTE(MID($A1268,L1268+L$2+1,M1268-L1268-L$2-1),",","."))</f>
        <v>0</v>
      </c>
      <c r="AF1268" s="3">
        <f>VALUE(SUBSTITUTE(MID($A1268,M1268+M$2+1,N1268-M1268-M$2-1),",","."))</f>
        <v>0</v>
      </c>
      <c r="AG1268" s="3">
        <f>VALUE(SUBSTITUTE(MID($A1268,N1268+N$2+1,O1268-N1268-N$2-1),",","."))</f>
        <v>4.2395384031016397</v>
      </c>
      <c r="AH1268" t="str">
        <f>MID($A1268,O1268+O$2+1,P1268-O1268-O$2-1)</f>
        <v/>
      </c>
      <c r="AI1268" s="8" t="str">
        <f>MID($A1268,P1268+P$2+1,Q1268-P1268-P$2-1)</f>
        <v>False</v>
      </c>
      <c r="AK1268" t="b">
        <f t="shared" si="165"/>
        <v>0</v>
      </c>
    </row>
    <row r="1269" spans="1:37" x14ac:dyDescent="0.35">
      <c r="A1269" t="s">
        <v>5816</v>
      </c>
      <c r="B1269">
        <f t="shared" si="168"/>
        <v>10</v>
      </c>
      <c r="C1269">
        <f t="shared" si="168"/>
        <v>43</v>
      </c>
      <c r="D1269">
        <f t="shared" si="168"/>
        <v>54</v>
      </c>
      <c r="E1269">
        <f t="shared" si="168"/>
        <v>80</v>
      </c>
      <c r="F1269">
        <f t="shared" si="168"/>
        <v>124</v>
      </c>
      <c r="G1269">
        <f t="shared" si="167"/>
        <v>145</v>
      </c>
      <c r="H1269">
        <f t="shared" si="167"/>
        <v>177</v>
      </c>
      <c r="I1269">
        <f t="shared" si="167"/>
        <v>199</v>
      </c>
      <c r="J1269">
        <f t="shared" si="167"/>
        <v>232</v>
      </c>
      <c r="K1269">
        <f t="shared" si="167"/>
        <v>252</v>
      </c>
      <c r="L1269">
        <f t="shared" si="169"/>
        <v>271</v>
      </c>
      <c r="M1269">
        <f t="shared" si="169"/>
        <v>286</v>
      </c>
      <c r="N1269">
        <f t="shared" si="169"/>
        <v>298</v>
      </c>
      <c r="O1269">
        <f t="shared" si="169"/>
        <v>323</v>
      </c>
      <c r="P1269">
        <f t="shared" si="169"/>
        <v>341</v>
      </c>
      <c r="Q1269">
        <f t="shared" si="169"/>
        <v>367</v>
      </c>
      <c r="S1269" t="str">
        <f t="shared" si="162"/>
        <v>09.12.2025</v>
      </c>
      <c r="T1269" t="str">
        <f t="shared" si="163"/>
        <v>23:45:00</v>
      </c>
      <c r="U1269" t="str">
        <f t="shared" si="164"/>
        <v>09.12.2025 23:45:00</v>
      </c>
      <c r="V1269" s="9" t="str">
        <f>MID($A1269,C1269+C$2+1,D1269-C1269-C$2-1)</f>
        <v>0</v>
      </c>
      <c r="W1269" s="4">
        <f>VALUE(SUBSTITUTE(MID($A1269,D1269+D$2+1,E1269-D1269-D$2-1),",","."))</f>
        <v>0</v>
      </c>
      <c r="X1269" s="4">
        <f>VALUE(SUBSTITUTE(MID($A1269,E1269+E$2+1,F1269-E1269-E$2-1),",","."))</f>
        <v>0.90957602214449496</v>
      </c>
      <c r="Y1269" s="4">
        <f>VALUE(SUBSTITUTE(MID($A1269,F1269+F$2+1,G1269-F1269-F$2-1),",","."))</f>
        <v>0</v>
      </c>
      <c r="Z1269" s="3">
        <f>VALUE(SUBSTITUTE(MID($A1269,G1269+G$2+1,H1269-G1269-G$2-1),",","."))</f>
        <v>0</v>
      </c>
      <c r="AA1269" s="3">
        <f>VALUE(SUBSTITUTE(MID($A1269,H1269+H$2+1,I1269-H1269-H$2-1),",","."))</f>
        <v>0</v>
      </c>
      <c r="AB1269" s="3">
        <f>VALUE(SUBSTITUTE(MID($A1269,I1269+I$2+1,J1269-I1269-I$2-1),",","."))</f>
        <v>0</v>
      </c>
      <c r="AC1269" s="3">
        <f>VALUE(SUBSTITUTE(MID($A1269,J1269+J$2+1,K1269-J1269-J$2-1),",","."))</f>
        <v>1.45</v>
      </c>
      <c r="AD1269" s="3">
        <f>VALUE(SUBSTITUTE(MID($A1269,K1269+K$2+1,L1269-K1269-K$2-1),",","."))</f>
        <v>22.86</v>
      </c>
      <c r="AE1269" s="3">
        <f>VALUE(SUBSTITUTE(MID($A1269,L1269+L$2+1,M1269-L1269-L$2-1),",","."))</f>
        <v>0</v>
      </c>
      <c r="AF1269" s="3">
        <f>VALUE(SUBSTITUTE(MID($A1269,M1269+M$2+1,N1269-M1269-M$2-1),",","."))</f>
        <v>0</v>
      </c>
      <c r="AG1269" s="3">
        <f>VALUE(SUBSTITUTE(MID($A1269,N1269+N$2+1,O1269-N1269-N$2-1),",","."))</f>
        <v>4.2395669229897299</v>
      </c>
      <c r="AH1269" t="str">
        <f>MID($A1269,O1269+O$2+1,P1269-O1269-O$2-1)</f>
        <v/>
      </c>
      <c r="AI1269" s="8" t="str">
        <f>MID($A1269,P1269+P$2+1,Q1269-P1269-P$2-1)</f>
        <v>False</v>
      </c>
      <c r="AK1269" t="b">
        <f t="shared" si="165"/>
        <v>0</v>
      </c>
    </row>
    <row r="1270" spans="1:37" x14ac:dyDescent="0.35">
      <c r="A1270" t="s">
        <v>5817</v>
      </c>
      <c r="B1270">
        <f t="shared" si="168"/>
        <v>10</v>
      </c>
      <c r="C1270">
        <f t="shared" si="168"/>
        <v>43</v>
      </c>
      <c r="D1270">
        <f t="shared" si="168"/>
        <v>54</v>
      </c>
      <c r="E1270">
        <f t="shared" si="168"/>
        <v>80</v>
      </c>
      <c r="F1270">
        <f t="shared" si="168"/>
        <v>124</v>
      </c>
      <c r="G1270">
        <f t="shared" si="167"/>
        <v>145</v>
      </c>
      <c r="H1270">
        <f t="shared" si="167"/>
        <v>177</v>
      </c>
      <c r="I1270">
        <f t="shared" si="167"/>
        <v>199</v>
      </c>
      <c r="J1270">
        <f t="shared" si="167"/>
        <v>232</v>
      </c>
      <c r="K1270">
        <f t="shared" si="167"/>
        <v>252</v>
      </c>
      <c r="L1270">
        <f t="shared" si="169"/>
        <v>271</v>
      </c>
      <c r="M1270">
        <f t="shared" si="169"/>
        <v>286</v>
      </c>
      <c r="N1270">
        <f t="shared" si="169"/>
        <v>298</v>
      </c>
      <c r="O1270">
        <f t="shared" si="169"/>
        <v>323</v>
      </c>
      <c r="P1270">
        <f t="shared" si="169"/>
        <v>341</v>
      </c>
      <c r="Q1270">
        <f t="shared" si="169"/>
        <v>367</v>
      </c>
      <c r="S1270" t="str">
        <f t="shared" si="162"/>
        <v>10.12.2025</v>
      </c>
      <c r="T1270" t="str">
        <f t="shared" si="163"/>
        <v>00:00:00</v>
      </c>
      <c r="U1270" t="str">
        <f t="shared" si="164"/>
        <v>10.12.2025 00:00:00</v>
      </c>
      <c r="V1270" s="9" t="str">
        <f>MID($A1270,C1270+C$2+1,D1270-C1270-C$2-1)</f>
        <v>0</v>
      </c>
      <c r="W1270" s="4">
        <f>VALUE(SUBSTITUTE(MID($A1270,D1270+D$2+1,E1270-D1270-D$2-1),",","."))</f>
        <v>0</v>
      </c>
      <c r="X1270" s="4">
        <f>VALUE(SUBSTITUTE(MID($A1270,E1270+E$2+1,F1270-E1270-E$2-1),",","."))</f>
        <v>0.90957602214449496</v>
      </c>
      <c r="Y1270" s="4">
        <f>VALUE(SUBSTITUTE(MID($A1270,F1270+F$2+1,G1270-F1270-F$2-1),",","."))</f>
        <v>0</v>
      </c>
      <c r="Z1270" s="3">
        <f>VALUE(SUBSTITUTE(MID($A1270,G1270+G$2+1,H1270-G1270-G$2-1),",","."))</f>
        <v>0</v>
      </c>
      <c r="AA1270" s="3">
        <f>VALUE(SUBSTITUTE(MID($A1270,H1270+H$2+1,I1270-H1270-H$2-1),",","."))</f>
        <v>0</v>
      </c>
      <c r="AB1270" s="3">
        <f>VALUE(SUBSTITUTE(MID($A1270,I1270+I$2+1,J1270-I1270-I$2-1),",","."))</f>
        <v>0</v>
      </c>
      <c r="AC1270" s="3">
        <f>VALUE(SUBSTITUTE(MID($A1270,J1270+J$2+1,K1270-J1270-J$2-1),",","."))</f>
        <v>1.45</v>
      </c>
      <c r="AD1270" s="3">
        <f>VALUE(SUBSTITUTE(MID($A1270,K1270+K$2+1,L1270-K1270-K$2-1),",","."))</f>
        <v>22.86</v>
      </c>
      <c r="AE1270" s="3">
        <f>VALUE(SUBSTITUTE(MID($A1270,L1270+L$2+1,M1270-L1270-L$2-1),",","."))</f>
        <v>0</v>
      </c>
      <c r="AF1270" s="3">
        <f>VALUE(SUBSTITUTE(MID($A1270,M1270+M$2+1,N1270-M1270-M$2-1),",","."))</f>
        <v>0</v>
      </c>
      <c r="AG1270" s="3">
        <f>VALUE(SUBSTITUTE(MID($A1270,N1270+N$2+1,O1270-N1270-N$2-1),",","."))</f>
        <v>4.2395954428778104</v>
      </c>
      <c r="AH1270" t="str">
        <f>MID($A1270,O1270+O$2+1,P1270-O1270-O$2-1)</f>
        <v/>
      </c>
      <c r="AI1270" s="8" t="str">
        <f>MID($A1270,P1270+P$2+1,Q1270-P1270-P$2-1)</f>
        <v>False</v>
      </c>
      <c r="AK1270" t="b">
        <f t="shared" si="165"/>
        <v>0</v>
      </c>
    </row>
    <row r="1271" spans="1:37" x14ac:dyDescent="0.35">
      <c r="A1271" t="s">
        <v>5818</v>
      </c>
      <c r="B1271">
        <f t="shared" si="168"/>
        <v>10</v>
      </c>
      <c r="C1271">
        <f t="shared" si="168"/>
        <v>43</v>
      </c>
      <c r="D1271">
        <f t="shared" si="168"/>
        <v>54</v>
      </c>
      <c r="E1271">
        <f t="shared" si="168"/>
        <v>80</v>
      </c>
      <c r="F1271">
        <f t="shared" si="168"/>
        <v>124</v>
      </c>
      <c r="G1271">
        <f t="shared" si="167"/>
        <v>145</v>
      </c>
      <c r="H1271">
        <f t="shared" si="167"/>
        <v>177</v>
      </c>
      <c r="I1271">
        <f t="shared" si="167"/>
        <v>199</v>
      </c>
      <c r="J1271">
        <f t="shared" si="167"/>
        <v>232</v>
      </c>
      <c r="K1271">
        <f t="shared" si="167"/>
        <v>252</v>
      </c>
      <c r="L1271">
        <f t="shared" si="169"/>
        <v>271</v>
      </c>
      <c r="M1271">
        <f t="shared" si="169"/>
        <v>286</v>
      </c>
      <c r="N1271">
        <f t="shared" si="169"/>
        <v>298</v>
      </c>
      <c r="O1271">
        <f t="shared" si="169"/>
        <v>323</v>
      </c>
      <c r="P1271">
        <f t="shared" si="169"/>
        <v>341</v>
      </c>
      <c r="Q1271">
        <f t="shared" si="169"/>
        <v>367</v>
      </c>
      <c r="S1271" t="str">
        <f t="shared" si="162"/>
        <v>10.12.2025</v>
      </c>
      <c r="T1271" t="str">
        <f t="shared" si="163"/>
        <v>00:15:00</v>
      </c>
      <c r="U1271" t="str">
        <f t="shared" si="164"/>
        <v>10.12.2025 00:15:00</v>
      </c>
      <c r="V1271" s="9" t="str">
        <f>MID($A1271,C1271+C$2+1,D1271-C1271-C$2-1)</f>
        <v>0</v>
      </c>
      <c r="W1271" s="4">
        <f>VALUE(SUBSTITUTE(MID($A1271,D1271+D$2+1,E1271-D1271-D$2-1),",","."))</f>
        <v>0</v>
      </c>
      <c r="X1271" s="4">
        <f>VALUE(SUBSTITUTE(MID($A1271,E1271+E$2+1,F1271-E1271-E$2-1),",","."))</f>
        <v>0.90957602214449496</v>
      </c>
      <c r="Y1271" s="4">
        <f>VALUE(SUBSTITUTE(MID($A1271,F1271+F$2+1,G1271-F1271-F$2-1),",","."))</f>
        <v>0</v>
      </c>
      <c r="Z1271" s="3">
        <f>VALUE(SUBSTITUTE(MID($A1271,G1271+G$2+1,H1271-G1271-G$2-1),",","."))</f>
        <v>0</v>
      </c>
      <c r="AA1271" s="3">
        <f>VALUE(SUBSTITUTE(MID($A1271,H1271+H$2+1,I1271-H1271-H$2-1),",","."))</f>
        <v>0</v>
      </c>
      <c r="AB1271" s="3">
        <f>VALUE(SUBSTITUTE(MID($A1271,I1271+I$2+1,J1271-I1271-I$2-1),",","."))</f>
        <v>0</v>
      </c>
      <c r="AC1271" s="3">
        <f>VALUE(SUBSTITUTE(MID($A1271,J1271+J$2+1,K1271-J1271-J$2-1),",","."))</f>
        <v>1.45</v>
      </c>
      <c r="AD1271" s="3">
        <f>VALUE(SUBSTITUTE(MID($A1271,K1271+K$2+1,L1271-K1271-K$2-1),",","."))</f>
        <v>22.86</v>
      </c>
      <c r="AE1271" s="3">
        <f>VALUE(SUBSTITUTE(MID($A1271,L1271+L$2+1,M1271-L1271-L$2-1),",","."))</f>
        <v>0</v>
      </c>
      <c r="AF1271" s="3">
        <f>VALUE(SUBSTITUTE(MID($A1271,M1271+M$2+1,N1271-M1271-M$2-1),",","."))</f>
        <v>0</v>
      </c>
      <c r="AG1271" s="3">
        <f>VALUE(SUBSTITUTE(MID($A1271,N1271+N$2+1,O1271-N1271-N$2-1),",","."))</f>
        <v>4.23962396276589</v>
      </c>
      <c r="AH1271" t="str">
        <f>MID($A1271,O1271+O$2+1,P1271-O1271-O$2-1)</f>
        <v/>
      </c>
      <c r="AI1271" s="8" t="str">
        <f>MID($A1271,P1271+P$2+1,Q1271-P1271-P$2-1)</f>
        <v>False</v>
      </c>
      <c r="AK1271" t="b">
        <f t="shared" si="165"/>
        <v>0</v>
      </c>
    </row>
    <row r="1272" spans="1:37" x14ac:dyDescent="0.35">
      <c r="A1272" t="s">
        <v>5819</v>
      </c>
      <c r="B1272">
        <f t="shared" si="168"/>
        <v>10</v>
      </c>
      <c r="C1272">
        <f t="shared" si="168"/>
        <v>43</v>
      </c>
      <c r="D1272">
        <f t="shared" si="168"/>
        <v>54</v>
      </c>
      <c r="E1272">
        <f t="shared" si="168"/>
        <v>80</v>
      </c>
      <c r="F1272">
        <f t="shared" si="168"/>
        <v>124</v>
      </c>
      <c r="G1272">
        <f t="shared" si="167"/>
        <v>145</v>
      </c>
      <c r="H1272">
        <f t="shared" si="167"/>
        <v>177</v>
      </c>
      <c r="I1272">
        <f t="shared" si="167"/>
        <v>199</v>
      </c>
      <c r="J1272">
        <f t="shared" si="167"/>
        <v>232</v>
      </c>
      <c r="K1272">
        <f t="shared" si="167"/>
        <v>251</v>
      </c>
      <c r="L1272">
        <f t="shared" si="169"/>
        <v>269</v>
      </c>
      <c r="M1272">
        <f t="shared" si="169"/>
        <v>284</v>
      </c>
      <c r="N1272">
        <f t="shared" si="169"/>
        <v>296</v>
      </c>
      <c r="O1272">
        <f t="shared" si="169"/>
        <v>321</v>
      </c>
      <c r="P1272">
        <f t="shared" si="169"/>
        <v>339</v>
      </c>
      <c r="Q1272">
        <f t="shared" si="169"/>
        <v>365</v>
      </c>
      <c r="S1272" t="str">
        <f t="shared" ref="S1272:S1335" si="170">LEFT(U1272,10)</f>
        <v>10.12.2025</v>
      </c>
      <c r="T1272" t="str">
        <f t="shared" ref="T1272:T1335" si="171">MID(U1272,12,8)</f>
        <v>00:30:00</v>
      </c>
      <c r="U1272" t="str">
        <f t="shared" si="164"/>
        <v>10.12.2025 00:30:00</v>
      </c>
      <c r="V1272" s="9" t="str">
        <f>MID($A1272,C1272+C$2+1,D1272-C1272-C$2-1)</f>
        <v>0</v>
      </c>
      <c r="W1272" s="4">
        <f>VALUE(SUBSTITUTE(MID($A1272,D1272+D$2+1,E1272-D1272-D$2-1),",","."))</f>
        <v>0</v>
      </c>
      <c r="X1272" s="4">
        <f>VALUE(SUBSTITUTE(MID($A1272,E1272+E$2+1,F1272-E1272-E$2-1),",","."))</f>
        <v>0.90957602214449496</v>
      </c>
      <c r="Y1272" s="4">
        <f>VALUE(SUBSTITUTE(MID($A1272,F1272+F$2+1,G1272-F1272-F$2-1),",","."))</f>
        <v>0</v>
      </c>
      <c r="Z1272" s="3">
        <f>VALUE(SUBSTITUTE(MID($A1272,G1272+G$2+1,H1272-G1272-G$2-1),",","."))</f>
        <v>0</v>
      </c>
      <c r="AA1272" s="3">
        <f>VALUE(SUBSTITUTE(MID($A1272,H1272+H$2+1,I1272-H1272-H$2-1),",","."))</f>
        <v>0</v>
      </c>
      <c r="AB1272" s="3">
        <f>VALUE(SUBSTITUTE(MID($A1272,I1272+I$2+1,J1272-I1272-I$2-1),",","."))</f>
        <v>0</v>
      </c>
      <c r="AC1272" s="3">
        <f>VALUE(SUBSTITUTE(MID($A1272,J1272+J$2+1,K1272-J1272-J$2-1),",","."))</f>
        <v>1.5</v>
      </c>
      <c r="AD1272" s="3">
        <f>VALUE(SUBSTITUTE(MID($A1272,K1272+K$2+1,L1272-K1272-K$2-1),",","."))</f>
        <v>26.1</v>
      </c>
      <c r="AE1272" s="3">
        <f>VALUE(SUBSTITUTE(MID($A1272,L1272+L$2+1,M1272-L1272-L$2-1),",","."))</f>
        <v>0</v>
      </c>
      <c r="AF1272" s="3">
        <f>VALUE(SUBSTITUTE(MID($A1272,M1272+M$2+1,N1272-M1272-M$2-1),",","."))</f>
        <v>0</v>
      </c>
      <c r="AG1272" s="3">
        <f>VALUE(SUBSTITUTE(MID($A1272,N1272+N$2+1,O1272-N1272-N$2-1),",","."))</f>
        <v>4.2396524826539697</v>
      </c>
      <c r="AH1272" t="str">
        <f>MID($A1272,O1272+O$2+1,P1272-O1272-O$2-1)</f>
        <v/>
      </c>
      <c r="AI1272" s="8" t="str">
        <f>MID($A1272,P1272+P$2+1,Q1272-P1272-P$2-1)</f>
        <v>False</v>
      </c>
      <c r="AK1272" t="b">
        <f t="shared" si="165"/>
        <v>0</v>
      </c>
    </row>
    <row r="1273" spans="1:37" x14ac:dyDescent="0.35">
      <c r="A1273" t="s">
        <v>5820</v>
      </c>
      <c r="B1273">
        <f t="shared" si="168"/>
        <v>10</v>
      </c>
      <c r="C1273">
        <f t="shared" si="168"/>
        <v>43</v>
      </c>
      <c r="D1273">
        <f t="shared" si="168"/>
        <v>54</v>
      </c>
      <c r="E1273">
        <f t="shared" si="168"/>
        <v>80</v>
      </c>
      <c r="F1273">
        <f t="shared" si="168"/>
        <v>124</v>
      </c>
      <c r="G1273">
        <f t="shared" si="167"/>
        <v>145</v>
      </c>
      <c r="H1273">
        <f t="shared" si="167"/>
        <v>177</v>
      </c>
      <c r="I1273">
        <f t="shared" si="167"/>
        <v>199</v>
      </c>
      <c r="J1273">
        <f t="shared" si="167"/>
        <v>232</v>
      </c>
      <c r="K1273">
        <f t="shared" si="167"/>
        <v>251</v>
      </c>
      <c r="L1273">
        <f t="shared" si="169"/>
        <v>269</v>
      </c>
      <c r="M1273">
        <f t="shared" si="169"/>
        <v>284</v>
      </c>
      <c r="N1273">
        <f t="shared" si="169"/>
        <v>296</v>
      </c>
      <c r="O1273">
        <f t="shared" si="169"/>
        <v>321</v>
      </c>
      <c r="P1273">
        <f t="shared" si="169"/>
        <v>339</v>
      </c>
      <c r="Q1273">
        <f t="shared" si="169"/>
        <v>365</v>
      </c>
      <c r="S1273" t="str">
        <f t="shared" si="170"/>
        <v>10.12.2025</v>
      </c>
      <c r="T1273" t="str">
        <f t="shared" si="171"/>
        <v>00:45:00</v>
      </c>
      <c r="U1273" t="str">
        <f t="shared" si="164"/>
        <v>10.12.2025 00:45:00</v>
      </c>
      <c r="V1273" s="9" t="str">
        <f>MID($A1273,C1273+C$2+1,D1273-C1273-C$2-1)</f>
        <v>0</v>
      </c>
      <c r="W1273" s="4">
        <f>VALUE(SUBSTITUTE(MID($A1273,D1273+D$2+1,E1273-D1273-D$2-1),",","."))</f>
        <v>0</v>
      </c>
      <c r="X1273" s="4">
        <f>VALUE(SUBSTITUTE(MID($A1273,E1273+E$2+1,F1273-E1273-E$2-1),",","."))</f>
        <v>0.90957602214449496</v>
      </c>
      <c r="Y1273" s="4">
        <f>VALUE(SUBSTITUTE(MID($A1273,F1273+F$2+1,G1273-F1273-F$2-1),",","."))</f>
        <v>0</v>
      </c>
      <c r="Z1273" s="3">
        <f>VALUE(SUBSTITUTE(MID($A1273,G1273+G$2+1,H1273-G1273-G$2-1),",","."))</f>
        <v>0</v>
      </c>
      <c r="AA1273" s="3">
        <f>VALUE(SUBSTITUTE(MID($A1273,H1273+H$2+1,I1273-H1273-H$2-1),",","."))</f>
        <v>0</v>
      </c>
      <c r="AB1273" s="3">
        <f>VALUE(SUBSTITUTE(MID($A1273,I1273+I$2+1,J1273-I1273-I$2-1),",","."))</f>
        <v>0</v>
      </c>
      <c r="AC1273" s="3">
        <f>VALUE(SUBSTITUTE(MID($A1273,J1273+J$2+1,K1273-J1273-J$2-1),",","."))</f>
        <v>1.5</v>
      </c>
      <c r="AD1273" s="3">
        <f>VALUE(SUBSTITUTE(MID($A1273,K1273+K$2+1,L1273-K1273-K$2-1),",","."))</f>
        <v>26.1</v>
      </c>
      <c r="AE1273" s="3">
        <f>VALUE(SUBSTITUTE(MID($A1273,L1273+L$2+1,M1273-L1273-L$2-1),",","."))</f>
        <v>0</v>
      </c>
      <c r="AF1273" s="3">
        <f>VALUE(SUBSTITUTE(MID($A1273,M1273+M$2+1,N1273-M1273-M$2-1),",","."))</f>
        <v>0</v>
      </c>
      <c r="AG1273" s="3">
        <f>VALUE(SUBSTITUTE(MID($A1273,N1273+N$2+1,O1273-N1273-N$2-1),",","."))</f>
        <v>4.2396810025420502</v>
      </c>
      <c r="AH1273" t="str">
        <f>MID($A1273,O1273+O$2+1,P1273-O1273-O$2-1)</f>
        <v/>
      </c>
      <c r="AI1273" s="8" t="str">
        <f>MID($A1273,P1273+P$2+1,Q1273-P1273-P$2-1)</f>
        <v>False</v>
      </c>
      <c r="AK1273" t="b">
        <f t="shared" si="165"/>
        <v>0</v>
      </c>
    </row>
    <row r="1274" spans="1:37" x14ac:dyDescent="0.35">
      <c r="A1274" t="s">
        <v>5821</v>
      </c>
      <c r="B1274">
        <f t="shared" si="168"/>
        <v>10</v>
      </c>
      <c r="C1274">
        <f t="shared" si="168"/>
        <v>43</v>
      </c>
      <c r="D1274">
        <f t="shared" si="168"/>
        <v>54</v>
      </c>
      <c r="E1274">
        <f t="shared" si="168"/>
        <v>80</v>
      </c>
      <c r="F1274">
        <f t="shared" si="168"/>
        <v>124</v>
      </c>
      <c r="G1274">
        <f t="shared" si="167"/>
        <v>145</v>
      </c>
      <c r="H1274">
        <f t="shared" si="167"/>
        <v>177</v>
      </c>
      <c r="I1274">
        <f t="shared" si="167"/>
        <v>199</v>
      </c>
      <c r="J1274">
        <f t="shared" si="167"/>
        <v>232</v>
      </c>
      <c r="K1274">
        <f t="shared" si="167"/>
        <v>251</v>
      </c>
      <c r="L1274">
        <f t="shared" si="169"/>
        <v>269</v>
      </c>
      <c r="M1274">
        <f t="shared" si="169"/>
        <v>284</v>
      </c>
      <c r="N1274">
        <f t="shared" si="169"/>
        <v>296</v>
      </c>
      <c r="O1274">
        <f t="shared" si="169"/>
        <v>321</v>
      </c>
      <c r="P1274">
        <f t="shared" si="169"/>
        <v>339</v>
      </c>
      <c r="Q1274">
        <f t="shared" si="169"/>
        <v>365</v>
      </c>
      <c r="S1274" t="str">
        <f t="shared" si="170"/>
        <v>10.12.2025</v>
      </c>
      <c r="T1274" t="str">
        <f t="shared" si="171"/>
        <v>01:00:00</v>
      </c>
      <c r="U1274" t="str">
        <f t="shared" si="164"/>
        <v>10.12.2025 01:00:00</v>
      </c>
      <c r="V1274" s="9" t="str">
        <f>MID($A1274,C1274+C$2+1,D1274-C1274-C$2-1)</f>
        <v>0</v>
      </c>
      <c r="W1274" s="4">
        <f>VALUE(SUBSTITUTE(MID($A1274,D1274+D$2+1,E1274-D1274-D$2-1),",","."))</f>
        <v>0</v>
      </c>
      <c r="X1274" s="4">
        <f>VALUE(SUBSTITUTE(MID($A1274,E1274+E$2+1,F1274-E1274-E$2-1),",","."))</f>
        <v>0.90957602214449496</v>
      </c>
      <c r="Y1274" s="4">
        <f>VALUE(SUBSTITUTE(MID($A1274,F1274+F$2+1,G1274-F1274-F$2-1),",","."))</f>
        <v>0</v>
      </c>
      <c r="Z1274" s="3">
        <f>VALUE(SUBSTITUTE(MID($A1274,G1274+G$2+1,H1274-G1274-G$2-1),",","."))</f>
        <v>0</v>
      </c>
      <c r="AA1274" s="3">
        <f>VALUE(SUBSTITUTE(MID($A1274,H1274+H$2+1,I1274-H1274-H$2-1),",","."))</f>
        <v>0</v>
      </c>
      <c r="AB1274" s="3">
        <f>VALUE(SUBSTITUTE(MID($A1274,I1274+I$2+1,J1274-I1274-I$2-1),",","."))</f>
        <v>0</v>
      </c>
      <c r="AC1274" s="3">
        <f>VALUE(SUBSTITUTE(MID($A1274,J1274+J$2+1,K1274-J1274-J$2-1),",","."))</f>
        <v>1.5</v>
      </c>
      <c r="AD1274" s="3">
        <f>VALUE(SUBSTITUTE(MID($A1274,K1274+K$2+1,L1274-K1274-K$2-1),",","."))</f>
        <v>26.1</v>
      </c>
      <c r="AE1274" s="3">
        <f>VALUE(SUBSTITUTE(MID($A1274,L1274+L$2+1,M1274-L1274-L$2-1),",","."))</f>
        <v>0</v>
      </c>
      <c r="AF1274" s="3">
        <f>VALUE(SUBSTITUTE(MID($A1274,M1274+M$2+1,N1274-M1274-M$2-1),",","."))</f>
        <v>0</v>
      </c>
      <c r="AG1274" s="3">
        <f>VALUE(SUBSTITUTE(MID($A1274,N1274+N$2+1,O1274-N1274-N$2-1),",","."))</f>
        <v>4.2397095224301298</v>
      </c>
      <c r="AH1274" t="str">
        <f>MID($A1274,O1274+O$2+1,P1274-O1274-O$2-1)</f>
        <v/>
      </c>
      <c r="AI1274" s="8" t="str">
        <f>MID($A1274,P1274+P$2+1,Q1274-P1274-P$2-1)</f>
        <v>False</v>
      </c>
      <c r="AK1274" t="b">
        <f t="shared" si="165"/>
        <v>0</v>
      </c>
    </row>
    <row r="1275" spans="1:37" x14ac:dyDescent="0.35">
      <c r="A1275" t="s">
        <v>5822</v>
      </c>
      <c r="B1275">
        <f t="shared" si="168"/>
        <v>10</v>
      </c>
      <c r="C1275">
        <f t="shared" si="168"/>
        <v>43</v>
      </c>
      <c r="D1275">
        <f t="shared" si="168"/>
        <v>54</v>
      </c>
      <c r="E1275">
        <f t="shared" si="168"/>
        <v>80</v>
      </c>
      <c r="F1275">
        <f t="shared" si="168"/>
        <v>124</v>
      </c>
      <c r="G1275">
        <f t="shared" si="167"/>
        <v>145</v>
      </c>
      <c r="H1275">
        <f t="shared" si="167"/>
        <v>177</v>
      </c>
      <c r="I1275">
        <f t="shared" si="167"/>
        <v>199</v>
      </c>
      <c r="J1275">
        <f t="shared" si="167"/>
        <v>232</v>
      </c>
      <c r="K1275">
        <f t="shared" si="167"/>
        <v>251</v>
      </c>
      <c r="L1275">
        <f t="shared" si="169"/>
        <v>269</v>
      </c>
      <c r="M1275">
        <f t="shared" si="169"/>
        <v>284</v>
      </c>
      <c r="N1275">
        <f t="shared" si="169"/>
        <v>296</v>
      </c>
      <c r="O1275">
        <f t="shared" si="169"/>
        <v>320</v>
      </c>
      <c r="P1275">
        <f t="shared" si="169"/>
        <v>338</v>
      </c>
      <c r="Q1275">
        <f t="shared" si="169"/>
        <v>364</v>
      </c>
      <c r="S1275" t="str">
        <f t="shared" si="170"/>
        <v>10.12.2025</v>
      </c>
      <c r="T1275" t="str">
        <f t="shared" si="171"/>
        <v>01:15:00</v>
      </c>
      <c r="U1275" t="str">
        <f t="shared" si="164"/>
        <v>10.12.2025 01:15:00</v>
      </c>
      <c r="V1275" s="9" t="str">
        <f>MID($A1275,C1275+C$2+1,D1275-C1275-C$2-1)</f>
        <v>0</v>
      </c>
      <c r="W1275" s="4">
        <f>VALUE(SUBSTITUTE(MID($A1275,D1275+D$2+1,E1275-D1275-D$2-1),",","."))</f>
        <v>0</v>
      </c>
      <c r="X1275" s="4">
        <f>VALUE(SUBSTITUTE(MID($A1275,E1275+E$2+1,F1275-E1275-E$2-1),",","."))</f>
        <v>0.90957602214449496</v>
      </c>
      <c r="Y1275" s="4">
        <f>VALUE(SUBSTITUTE(MID($A1275,F1275+F$2+1,G1275-F1275-F$2-1),",","."))</f>
        <v>0</v>
      </c>
      <c r="Z1275" s="3">
        <f>VALUE(SUBSTITUTE(MID($A1275,G1275+G$2+1,H1275-G1275-G$2-1),",","."))</f>
        <v>0</v>
      </c>
      <c r="AA1275" s="3">
        <f>VALUE(SUBSTITUTE(MID($A1275,H1275+H$2+1,I1275-H1275-H$2-1),",","."))</f>
        <v>0</v>
      </c>
      <c r="AB1275" s="3">
        <f>VALUE(SUBSTITUTE(MID($A1275,I1275+I$2+1,J1275-I1275-I$2-1),",","."))</f>
        <v>0</v>
      </c>
      <c r="AC1275" s="3">
        <f>VALUE(SUBSTITUTE(MID($A1275,J1275+J$2+1,K1275-J1275-J$2-1),",","."))</f>
        <v>1.5</v>
      </c>
      <c r="AD1275" s="3">
        <f>VALUE(SUBSTITUTE(MID($A1275,K1275+K$2+1,L1275-K1275-K$2-1),",","."))</f>
        <v>26.1</v>
      </c>
      <c r="AE1275" s="3">
        <f>VALUE(SUBSTITUTE(MID($A1275,L1275+L$2+1,M1275-L1275-L$2-1),",","."))</f>
        <v>0</v>
      </c>
      <c r="AF1275" s="3">
        <f>VALUE(SUBSTITUTE(MID($A1275,M1275+M$2+1,N1275-M1275-M$2-1),",","."))</f>
        <v>0</v>
      </c>
      <c r="AG1275" s="3">
        <f>VALUE(SUBSTITUTE(MID($A1275,N1275+N$2+1,O1275-N1275-N$2-1),",","."))</f>
        <v>4.23973804231822</v>
      </c>
      <c r="AH1275" t="str">
        <f>MID($A1275,O1275+O$2+1,P1275-O1275-O$2-1)</f>
        <v/>
      </c>
      <c r="AI1275" s="8" t="str">
        <f>MID($A1275,P1275+P$2+1,Q1275-P1275-P$2-1)</f>
        <v>False</v>
      </c>
      <c r="AK1275" t="b">
        <f t="shared" si="165"/>
        <v>0</v>
      </c>
    </row>
    <row r="1276" spans="1:37" x14ac:dyDescent="0.35">
      <c r="A1276" t="s">
        <v>5823</v>
      </c>
      <c r="B1276">
        <f t="shared" si="168"/>
        <v>10</v>
      </c>
      <c r="C1276">
        <f t="shared" si="168"/>
        <v>43</v>
      </c>
      <c r="D1276">
        <f t="shared" si="168"/>
        <v>54</v>
      </c>
      <c r="E1276">
        <f t="shared" si="168"/>
        <v>80</v>
      </c>
      <c r="F1276">
        <f t="shared" si="168"/>
        <v>124</v>
      </c>
      <c r="G1276">
        <f t="shared" si="167"/>
        <v>145</v>
      </c>
      <c r="H1276">
        <f t="shared" si="167"/>
        <v>177</v>
      </c>
      <c r="I1276">
        <f t="shared" si="167"/>
        <v>199</v>
      </c>
      <c r="J1276">
        <f t="shared" si="167"/>
        <v>232</v>
      </c>
      <c r="K1276">
        <f t="shared" si="167"/>
        <v>252</v>
      </c>
      <c r="L1276">
        <f t="shared" si="169"/>
        <v>271</v>
      </c>
      <c r="M1276">
        <f t="shared" si="169"/>
        <v>286</v>
      </c>
      <c r="N1276">
        <f t="shared" si="169"/>
        <v>298</v>
      </c>
      <c r="O1276">
        <f t="shared" si="169"/>
        <v>323</v>
      </c>
      <c r="P1276">
        <f t="shared" si="169"/>
        <v>341</v>
      </c>
      <c r="Q1276">
        <f t="shared" si="169"/>
        <v>367</v>
      </c>
      <c r="S1276" t="str">
        <f t="shared" si="170"/>
        <v>10.12.2025</v>
      </c>
      <c r="T1276" t="str">
        <f t="shared" si="171"/>
        <v>01:30:00</v>
      </c>
      <c r="U1276" t="str">
        <f t="shared" si="164"/>
        <v>10.12.2025 01:30:00</v>
      </c>
      <c r="V1276" s="9" t="str">
        <f>MID($A1276,C1276+C$2+1,D1276-C1276-C$2-1)</f>
        <v>0</v>
      </c>
      <c r="W1276" s="4">
        <f>VALUE(SUBSTITUTE(MID($A1276,D1276+D$2+1,E1276-D1276-D$2-1),",","."))</f>
        <v>0</v>
      </c>
      <c r="X1276" s="4">
        <f>VALUE(SUBSTITUTE(MID($A1276,E1276+E$2+1,F1276-E1276-E$2-1),",","."))</f>
        <v>0.90957602214449496</v>
      </c>
      <c r="Y1276" s="4">
        <f>VALUE(SUBSTITUTE(MID($A1276,F1276+F$2+1,G1276-F1276-F$2-1),",","."))</f>
        <v>0</v>
      </c>
      <c r="Z1276" s="3">
        <f>VALUE(SUBSTITUTE(MID($A1276,G1276+G$2+1,H1276-G1276-G$2-1),",","."))</f>
        <v>0</v>
      </c>
      <c r="AA1276" s="3">
        <f>VALUE(SUBSTITUTE(MID($A1276,H1276+H$2+1,I1276-H1276-H$2-1),",","."))</f>
        <v>0</v>
      </c>
      <c r="AB1276" s="3">
        <f>VALUE(SUBSTITUTE(MID($A1276,I1276+I$2+1,J1276-I1276-I$2-1),",","."))</f>
        <v>0</v>
      </c>
      <c r="AC1276" s="3">
        <f>VALUE(SUBSTITUTE(MID($A1276,J1276+J$2+1,K1276-J1276-J$2-1),",","."))</f>
        <v>1.55</v>
      </c>
      <c r="AD1276" s="3">
        <f>VALUE(SUBSTITUTE(MID($A1276,K1276+K$2+1,L1276-K1276-K$2-1),",","."))</f>
        <v>28.98</v>
      </c>
      <c r="AE1276" s="3">
        <f>VALUE(SUBSTITUTE(MID($A1276,L1276+L$2+1,M1276-L1276-L$2-1),",","."))</f>
        <v>0</v>
      </c>
      <c r="AF1276" s="3">
        <f>VALUE(SUBSTITUTE(MID($A1276,M1276+M$2+1,N1276-M1276-M$2-1),",","."))</f>
        <v>0</v>
      </c>
      <c r="AG1276" s="3">
        <f>VALUE(SUBSTITUTE(MID($A1276,N1276+N$2+1,O1276-N1276-N$2-1),",","."))</f>
        <v>4.2397665622062997</v>
      </c>
      <c r="AH1276" t="str">
        <f>MID($A1276,O1276+O$2+1,P1276-O1276-O$2-1)</f>
        <v/>
      </c>
      <c r="AI1276" s="8" t="str">
        <f>MID($A1276,P1276+P$2+1,Q1276-P1276-P$2-1)</f>
        <v>False</v>
      </c>
      <c r="AK1276" t="b">
        <f t="shared" si="165"/>
        <v>0</v>
      </c>
    </row>
    <row r="1277" spans="1:37" x14ac:dyDescent="0.35">
      <c r="A1277" t="s">
        <v>5824</v>
      </c>
      <c r="B1277">
        <f t="shared" si="168"/>
        <v>10</v>
      </c>
      <c r="C1277">
        <f t="shared" si="168"/>
        <v>43</v>
      </c>
      <c r="D1277">
        <f t="shared" si="168"/>
        <v>54</v>
      </c>
      <c r="E1277">
        <f t="shared" si="168"/>
        <v>80</v>
      </c>
      <c r="F1277">
        <f t="shared" si="168"/>
        <v>124</v>
      </c>
      <c r="G1277">
        <f t="shared" si="167"/>
        <v>145</v>
      </c>
      <c r="H1277">
        <f t="shared" si="167"/>
        <v>177</v>
      </c>
      <c r="I1277">
        <f t="shared" si="167"/>
        <v>199</v>
      </c>
      <c r="J1277">
        <f t="shared" si="167"/>
        <v>232</v>
      </c>
      <c r="K1277">
        <f t="shared" si="167"/>
        <v>252</v>
      </c>
      <c r="L1277">
        <f t="shared" si="169"/>
        <v>271</v>
      </c>
      <c r="M1277">
        <f t="shared" si="169"/>
        <v>286</v>
      </c>
      <c r="N1277">
        <f t="shared" si="169"/>
        <v>298</v>
      </c>
      <c r="O1277">
        <f t="shared" si="169"/>
        <v>323</v>
      </c>
      <c r="P1277">
        <f t="shared" si="169"/>
        <v>341</v>
      </c>
      <c r="Q1277">
        <f t="shared" si="169"/>
        <v>367</v>
      </c>
      <c r="S1277" t="str">
        <f t="shared" si="170"/>
        <v>10.12.2025</v>
      </c>
      <c r="T1277" t="str">
        <f t="shared" si="171"/>
        <v>01:45:00</v>
      </c>
      <c r="U1277" t="str">
        <f t="shared" si="164"/>
        <v>10.12.2025 01:45:00</v>
      </c>
      <c r="V1277" s="9" t="str">
        <f>MID($A1277,C1277+C$2+1,D1277-C1277-C$2-1)</f>
        <v>0</v>
      </c>
      <c r="W1277" s="4">
        <f>VALUE(SUBSTITUTE(MID($A1277,D1277+D$2+1,E1277-D1277-D$2-1),",","."))</f>
        <v>0</v>
      </c>
      <c r="X1277" s="4">
        <f>VALUE(SUBSTITUTE(MID($A1277,E1277+E$2+1,F1277-E1277-E$2-1),",","."))</f>
        <v>0.90957602214449496</v>
      </c>
      <c r="Y1277" s="4">
        <f>VALUE(SUBSTITUTE(MID($A1277,F1277+F$2+1,G1277-F1277-F$2-1),",","."))</f>
        <v>0</v>
      </c>
      <c r="Z1277" s="3">
        <f>VALUE(SUBSTITUTE(MID($A1277,G1277+G$2+1,H1277-G1277-G$2-1),",","."))</f>
        <v>0</v>
      </c>
      <c r="AA1277" s="3">
        <f>VALUE(SUBSTITUTE(MID($A1277,H1277+H$2+1,I1277-H1277-H$2-1),",","."))</f>
        <v>0</v>
      </c>
      <c r="AB1277" s="3">
        <f>VALUE(SUBSTITUTE(MID($A1277,I1277+I$2+1,J1277-I1277-I$2-1),",","."))</f>
        <v>0</v>
      </c>
      <c r="AC1277" s="3">
        <f>VALUE(SUBSTITUTE(MID($A1277,J1277+J$2+1,K1277-J1277-J$2-1),",","."))</f>
        <v>1.55</v>
      </c>
      <c r="AD1277" s="3">
        <f>VALUE(SUBSTITUTE(MID($A1277,K1277+K$2+1,L1277-K1277-K$2-1),",","."))</f>
        <v>28.98</v>
      </c>
      <c r="AE1277" s="3">
        <f>VALUE(SUBSTITUTE(MID($A1277,L1277+L$2+1,M1277-L1277-L$2-1),",","."))</f>
        <v>0</v>
      </c>
      <c r="AF1277" s="3">
        <f>VALUE(SUBSTITUTE(MID($A1277,M1277+M$2+1,N1277-M1277-M$2-1),",","."))</f>
        <v>0</v>
      </c>
      <c r="AG1277" s="3">
        <f>VALUE(SUBSTITUTE(MID($A1277,N1277+N$2+1,O1277-N1277-N$2-1),",","."))</f>
        <v>4.2397950820943802</v>
      </c>
      <c r="AH1277" t="str">
        <f>MID($A1277,O1277+O$2+1,P1277-O1277-O$2-1)</f>
        <v/>
      </c>
      <c r="AI1277" s="8" t="str">
        <f>MID($A1277,P1277+P$2+1,Q1277-P1277-P$2-1)</f>
        <v>False</v>
      </c>
      <c r="AK1277" t="b">
        <f t="shared" si="165"/>
        <v>0</v>
      </c>
    </row>
    <row r="1278" spans="1:37" x14ac:dyDescent="0.35">
      <c r="A1278" t="s">
        <v>5825</v>
      </c>
      <c r="B1278">
        <f t="shared" si="168"/>
        <v>10</v>
      </c>
      <c r="C1278">
        <f t="shared" si="168"/>
        <v>43</v>
      </c>
      <c r="D1278">
        <f t="shared" si="168"/>
        <v>54</v>
      </c>
      <c r="E1278">
        <f t="shared" si="168"/>
        <v>80</v>
      </c>
      <c r="F1278">
        <f t="shared" si="168"/>
        <v>124</v>
      </c>
      <c r="G1278">
        <f t="shared" si="167"/>
        <v>145</v>
      </c>
      <c r="H1278">
        <f t="shared" si="167"/>
        <v>177</v>
      </c>
      <c r="I1278">
        <f t="shared" si="167"/>
        <v>199</v>
      </c>
      <c r="J1278">
        <f t="shared" si="167"/>
        <v>232</v>
      </c>
      <c r="K1278">
        <f t="shared" si="167"/>
        <v>252</v>
      </c>
      <c r="L1278">
        <f t="shared" si="169"/>
        <v>271</v>
      </c>
      <c r="M1278">
        <f t="shared" si="169"/>
        <v>286</v>
      </c>
      <c r="N1278">
        <f t="shared" si="169"/>
        <v>298</v>
      </c>
      <c r="O1278">
        <f t="shared" si="169"/>
        <v>323</v>
      </c>
      <c r="P1278">
        <f t="shared" si="169"/>
        <v>341</v>
      </c>
      <c r="Q1278">
        <f t="shared" si="169"/>
        <v>367</v>
      </c>
      <c r="S1278" t="str">
        <f t="shared" si="170"/>
        <v>10.12.2025</v>
      </c>
      <c r="T1278" t="str">
        <f t="shared" si="171"/>
        <v>02:00:00</v>
      </c>
      <c r="U1278" t="str">
        <f t="shared" si="164"/>
        <v>10.12.2025 02:00:00</v>
      </c>
      <c r="V1278" s="9" t="str">
        <f>MID($A1278,C1278+C$2+1,D1278-C1278-C$2-1)</f>
        <v>0</v>
      </c>
      <c r="W1278" s="4">
        <f>VALUE(SUBSTITUTE(MID($A1278,D1278+D$2+1,E1278-D1278-D$2-1),",","."))</f>
        <v>0</v>
      </c>
      <c r="X1278" s="4">
        <f>VALUE(SUBSTITUTE(MID($A1278,E1278+E$2+1,F1278-E1278-E$2-1),",","."))</f>
        <v>0.90957602214449496</v>
      </c>
      <c r="Y1278" s="4">
        <f>VALUE(SUBSTITUTE(MID($A1278,F1278+F$2+1,G1278-F1278-F$2-1),",","."))</f>
        <v>0</v>
      </c>
      <c r="Z1278" s="3">
        <f>VALUE(SUBSTITUTE(MID($A1278,G1278+G$2+1,H1278-G1278-G$2-1),",","."))</f>
        <v>0</v>
      </c>
      <c r="AA1278" s="3">
        <f>VALUE(SUBSTITUTE(MID($A1278,H1278+H$2+1,I1278-H1278-H$2-1),",","."))</f>
        <v>0</v>
      </c>
      <c r="AB1278" s="3">
        <f>VALUE(SUBSTITUTE(MID($A1278,I1278+I$2+1,J1278-I1278-I$2-1),",","."))</f>
        <v>0</v>
      </c>
      <c r="AC1278" s="3">
        <f>VALUE(SUBSTITUTE(MID($A1278,J1278+J$2+1,K1278-J1278-J$2-1),",","."))</f>
        <v>1.55</v>
      </c>
      <c r="AD1278" s="3">
        <f>VALUE(SUBSTITUTE(MID($A1278,K1278+K$2+1,L1278-K1278-K$2-1),",","."))</f>
        <v>28.98</v>
      </c>
      <c r="AE1278" s="3">
        <f>VALUE(SUBSTITUTE(MID($A1278,L1278+L$2+1,M1278-L1278-L$2-1),",","."))</f>
        <v>0</v>
      </c>
      <c r="AF1278" s="3">
        <f>VALUE(SUBSTITUTE(MID($A1278,M1278+M$2+1,N1278-M1278-M$2-1),",","."))</f>
        <v>0</v>
      </c>
      <c r="AG1278" s="3">
        <f>VALUE(SUBSTITUTE(MID($A1278,N1278+N$2+1,O1278-N1278-N$2-1),",","."))</f>
        <v>4.2398236019824598</v>
      </c>
      <c r="AH1278" t="str">
        <f>MID($A1278,O1278+O$2+1,P1278-O1278-O$2-1)</f>
        <v/>
      </c>
      <c r="AI1278" s="8" t="str">
        <f>MID($A1278,P1278+P$2+1,Q1278-P1278-P$2-1)</f>
        <v>False</v>
      </c>
      <c r="AK1278" t="b">
        <f t="shared" si="165"/>
        <v>0</v>
      </c>
    </row>
    <row r="1279" spans="1:37" x14ac:dyDescent="0.35">
      <c r="A1279" t="s">
        <v>5826</v>
      </c>
      <c r="B1279">
        <f t="shared" si="168"/>
        <v>10</v>
      </c>
      <c r="C1279">
        <f t="shared" si="168"/>
        <v>43</v>
      </c>
      <c r="D1279">
        <f t="shared" si="168"/>
        <v>54</v>
      </c>
      <c r="E1279">
        <f t="shared" si="168"/>
        <v>80</v>
      </c>
      <c r="F1279">
        <f t="shared" si="168"/>
        <v>124</v>
      </c>
      <c r="G1279">
        <f t="shared" si="167"/>
        <v>145</v>
      </c>
      <c r="H1279">
        <f t="shared" si="167"/>
        <v>177</v>
      </c>
      <c r="I1279">
        <f t="shared" si="167"/>
        <v>199</v>
      </c>
      <c r="J1279">
        <f t="shared" si="167"/>
        <v>232</v>
      </c>
      <c r="K1279">
        <f t="shared" si="167"/>
        <v>252</v>
      </c>
      <c r="L1279">
        <f t="shared" si="169"/>
        <v>271</v>
      </c>
      <c r="M1279">
        <f t="shared" si="169"/>
        <v>286</v>
      </c>
      <c r="N1279">
        <f t="shared" si="169"/>
        <v>298</v>
      </c>
      <c r="O1279">
        <f t="shared" si="169"/>
        <v>324</v>
      </c>
      <c r="P1279">
        <f t="shared" si="169"/>
        <v>342</v>
      </c>
      <c r="Q1279">
        <f t="shared" si="169"/>
        <v>368</v>
      </c>
      <c r="S1279" t="str">
        <f t="shared" si="170"/>
        <v>10.12.2025</v>
      </c>
      <c r="T1279" t="str">
        <f t="shared" si="171"/>
        <v>02:15:00</v>
      </c>
      <c r="U1279" t="str">
        <f t="shared" si="164"/>
        <v>10.12.2025 02:15:00</v>
      </c>
      <c r="V1279" s="9" t="str">
        <f>MID($A1279,C1279+C$2+1,D1279-C1279-C$2-1)</f>
        <v>0</v>
      </c>
      <c r="W1279" s="4">
        <f>VALUE(SUBSTITUTE(MID($A1279,D1279+D$2+1,E1279-D1279-D$2-1),",","."))</f>
        <v>0</v>
      </c>
      <c r="X1279" s="4">
        <f>VALUE(SUBSTITUTE(MID($A1279,E1279+E$2+1,F1279-E1279-E$2-1),",","."))</f>
        <v>0.90957602214449496</v>
      </c>
      <c r="Y1279" s="4">
        <f>VALUE(SUBSTITUTE(MID($A1279,F1279+F$2+1,G1279-F1279-F$2-1),",","."))</f>
        <v>0</v>
      </c>
      <c r="Z1279" s="3">
        <f>VALUE(SUBSTITUTE(MID($A1279,G1279+G$2+1,H1279-G1279-G$2-1),",","."))</f>
        <v>0</v>
      </c>
      <c r="AA1279" s="3">
        <f>VALUE(SUBSTITUTE(MID($A1279,H1279+H$2+1,I1279-H1279-H$2-1),",","."))</f>
        <v>0</v>
      </c>
      <c r="AB1279" s="3">
        <f>VALUE(SUBSTITUTE(MID($A1279,I1279+I$2+1,J1279-I1279-I$2-1),",","."))</f>
        <v>0</v>
      </c>
      <c r="AC1279" s="3">
        <f>VALUE(SUBSTITUTE(MID($A1279,J1279+J$2+1,K1279-J1279-J$2-1),",","."))</f>
        <v>1.55</v>
      </c>
      <c r="AD1279" s="3">
        <f>VALUE(SUBSTITUTE(MID($A1279,K1279+K$2+1,L1279-K1279-K$2-1),",","."))</f>
        <v>28.98</v>
      </c>
      <c r="AE1279" s="3">
        <f>VALUE(SUBSTITUTE(MID($A1279,L1279+L$2+1,M1279-L1279-L$2-1),",","."))</f>
        <v>0</v>
      </c>
      <c r="AF1279" s="3">
        <f>VALUE(SUBSTITUTE(MID($A1279,M1279+M$2+1,N1279-M1279-M$2-1),",","."))</f>
        <v>0</v>
      </c>
      <c r="AG1279" s="3">
        <f>VALUE(SUBSTITUTE(MID($A1279,N1279+N$2+1,O1279-N1279-N$2-1),",","."))</f>
        <v>4.2398521218705403</v>
      </c>
      <c r="AH1279" t="str">
        <f>MID($A1279,O1279+O$2+1,P1279-O1279-O$2-1)</f>
        <v/>
      </c>
      <c r="AI1279" s="8" t="str">
        <f>MID($A1279,P1279+P$2+1,Q1279-P1279-P$2-1)</f>
        <v>False</v>
      </c>
      <c r="AK1279" t="b">
        <f t="shared" si="165"/>
        <v>0</v>
      </c>
    </row>
    <row r="1280" spans="1:37" x14ac:dyDescent="0.35">
      <c r="A1280" t="s">
        <v>5827</v>
      </c>
      <c r="B1280">
        <f t="shared" ref="B1280:N1306" si="172">FIND(B$1,$A1280)</f>
        <v>10</v>
      </c>
      <c r="C1280">
        <f t="shared" si="172"/>
        <v>43</v>
      </c>
      <c r="D1280">
        <f t="shared" si="172"/>
        <v>54</v>
      </c>
      <c r="E1280">
        <f t="shared" si="172"/>
        <v>80</v>
      </c>
      <c r="F1280">
        <f t="shared" si="172"/>
        <v>124</v>
      </c>
      <c r="G1280">
        <f t="shared" si="167"/>
        <v>145</v>
      </c>
      <c r="H1280">
        <f t="shared" si="167"/>
        <v>177</v>
      </c>
      <c r="I1280">
        <f t="shared" si="167"/>
        <v>199</v>
      </c>
      <c r="J1280">
        <f t="shared" si="167"/>
        <v>232</v>
      </c>
      <c r="K1280">
        <f t="shared" si="167"/>
        <v>251</v>
      </c>
      <c r="L1280">
        <f t="shared" si="169"/>
        <v>283</v>
      </c>
      <c r="M1280">
        <f t="shared" si="169"/>
        <v>298</v>
      </c>
      <c r="N1280">
        <f t="shared" si="169"/>
        <v>310</v>
      </c>
      <c r="O1280">
        <f t="shared" si="169"/>
        <v>335</v>
      </c>
      <c r="P1280">
        <f t="shared" si="169"/>
        <v>353</v>
      </c>
      <c r="Q1280">
        <f t="shared" si="169"/>
        <v>379</v>
      </c>
      <c r="S1280" t="str">
        <f t="shared" si="170"/>
        <v>10.12.2025</v>
      </c>
      <c r="T1280" t="str">
        <f t="shared" si="171"/>
        <v>02:30:00</v>
      </c>
      <c r="U1280" t="str">
        <f t="shared" si="164"/>
        <v>10.12.2025 02:30:00</v>
      </c>
      <c r="V1280" s="9" t="str">
        <f>MID($A1280,C1280+C$2+1,D1280-C1280-C$2-1)</f>
        <v>0</v>
      </c>
      <c r="W1280" s="4">
        <f>VALUE(SUBSTITUTE(MID($A1280,D1280+D$2+1,E1280-D1280-D$2-1),",","."))</f>
        <v>0</v>
      </c>
      <c r="X1280" s="4">
        <f>VALUE(SUBSTITUTE(MID($A1280,E1280+E$2+1,F1280-E1280-E$2-1),",","."))</f>
        <v>0.90957602214449496</v>
      </c>
      <c r="Y1280" s="4">
        <f>VALUE(SUBSTITUTE(MID($A1280,F1280+F$2+1,G1280-F1280-F$2-1),",","."))</f>
        <v>0</v>
      </c>
      <c r="Z1280" s="3">
        <f>VALUE(SUBSTITUTE(MID($A1280,G1280+G$2+1,H1280-G1280-G$2-1),",","."))</f>
        <v>0</v>
      </c>
      <c r="AA1280" s="3">
        <f>VALUE(SUBSTITUTE(MID($A1280,H1280+H$2+1,I1280-H1280-H$2-1),",","."))</f>
        <v>0</v>
      </c>
      <c r="AB1280" s="3">
        <f>VALUE(SUBSTITUTE(MID($A1280,I1280+I$2+1,J1280-I1280-I$2-1),",","."))</f>
        <v>0</v>
      </c>
      <c r="AC1280" s="3">
        <f>VALUE(SUBSTITUTE(MID($A1280,J1280+J$2+1,K1280-J1280-J$2-1),",","."))</f>
        <v>1.7</v>
      </c>
      <c r="AD1280" s="3">
        <f>VALUE(SUBSTITUTE(MID($A1280,K1280+K$2+1,L1280-K1280-K$2-1),",","."))</f>
        <v>31.86</v>
      </c>
      <c r="AE1280" s="3">
        <f>VALUE(SUBSTITUTE(MID($A1280,L1280+L$2+1,M1280-L1280-L$2-1),",","."))</f>
        <v>0</v>
      </c>
      <c r="AF1280" s="3">
        <f>VALUE(SUBSTITUTE(MID($A1280,M1280+M$2+1,N1280-M1280-M$2-1),",","."))</f>
        <v>0</v>
      </c>
      <c r="AG1280" s="3">
        <f>VALUE(SUBSTITUTE(MID($A1280,N1280+N$2+1,O1280-N1280-N$2-1),",","."))</f>
        <v>4.2398806417586199</v>
      </c>
      <c r="AH1280" t="str">
        <f>MID($A1280,O1280+O$2+1,P1280-O1280-O$2-1)</f>
        <v/>
      </c>
      <c r="AI1280" s="8" t="str">
        <f>MID($A1280,P1280+P$2+1,Q1280-P1280-P$2-1)</f>
        <v>False</v>
      </c>
      <c r="AK1280" t="b">
        <f t="shared" si="165"/>
        <v>0</v>
      </c>
    </row>
    <row r="1281" spans="1:37" x14ac:dyDescent="0.35">
      <c r="A1281" t="s">
        <v>5828</v>
      </c>
      <c r="B1281">
        <f t="shared" si="172"/>
        <v>10</v>
      </c>
      <c r="C1281">
        <f t="shared" si="172"/>
        <v>43</v>
      </c>
      <c r="D1281">
        <f t="shared" si="172"/>
        <v>54</v>
      </c>
      <c r="E1281">
        <f t="shared" si="172"/>
        <v>80</v>
      </c>
      <c r="F1281">
        <f t="shared" si="172"/>
        <v>124</v>
      </c>
      <c r="G1281">
        <f t="shared" si="167"/>
        <v>145</v>
      </c>
      <c r="H1281">
        <f t="shared" si="167"/>
        <v>177</v>
      </c>
      <c r="I1281">
        <f t="shared" si="167"/>
        <v>199</v>
      </c>
      <c r="J1281">
        <f t="shared" si="167"/>
        <v>232</v>
      </c>
      <c r="K1281">
        <f t="shared" si="167"/>
        <v>251</v>
      </c>
      <c r="L1281">
        <f t="shared" si="169"/>
        <v>283</v>
      </c>
      <c r="M1281">
        <f t="shared" si="169"/>
        <v>298</v>
      </c>
      <c r="N1281">
        <f t="shared" si="169"/>
        <v>310</v>
      </c>
      <c r="O1281">
        <f t="shared" si="169"/>
        <v>334</v>
      </c>
      <c r="P1281">
        <f t="shared" si="169"/>
        <v>352</v>
      </c>
      <c r="Q1281">
        <f t="shared" si="169"/>
        <v>378</v>
      </c>
      <c r="S1281" t="str">
        <f t="shared" si="170"/>
        <v>10.12.2025</v>
      </c>
      <c r="T1281" t="str">
        <f t="shared" si="171"/>
        <v>02:45:00</v>
      </c>
      <c r="U1281" t="str">
        <f t="shared" si="164"/>
        <v>10.12.2025 02:45:00</v>
      </c>
      <c r="V1281" s="9" t="str">
        <f>MID($A1281,C1281+C$2+1,D1281-C1281-C$2-1)</f>
        <v>0</v>
      </c>
      <c r="W1281" s="4">
        <f>VALUE(SUBSTITUTE(MID($A1281,D1281+D$2+1,E1281-D1281-D$2-1),",","."))</f>
        <v>0</v>
      </c>
      <c r="X1281" s="4">
        <f>VALUE(SUBSTITUTE(MID($A1281,E1281+E$2+1,F1281-E1281-E$2-1),",","."))</f>
        <v>0.90957602214449496</v>
      </c>
      <c r="Y1281" s="4">
        <f>VALUE(SUBSTITUTE(MID($A1281,F1281+F$2+1,G1281-F1281-F$2-1),",","."))</f>
        <v>0</v>
      </c>
      <c r="Z1281" s="3">
        <f>VALUE(SUBSTITUTE(MID($A1281,G1281+G$2+1,H1281-G1281-G$2-1),",","."))</f>
        <v>0</v>
      </c>
      <c r="AA1281" s="3">
        <f>VALUE(SUBSTITUTE(MID($A1281,H1281+H$2+1,I1281-H1281-H$2-1),",","."))</f>
        <v>0</v>
      </c>
      <c r="AB1281" s="3">
        <f>VALUE(SUBSTITUTE(MID($A1281,I1281+I$2+1,J1281-I1281-I$2-1),",","."))</f>
        <v>0</v>
      </c>
      <c r="AC1281" s="3">
        <f>VALUE(SUBSTITUTE(MID($A1281,J1281+J$2+1,K1281-J1281-J$2-1),",","."))</f>
        <v>1.7</v>
      </c>
      <c r="AD1281" s="3">
        <f>VALUE(SUBSTITUTE(MID($A1281,K1281+K$2+1,L1281-K1281-K$2-1),",","."))</f>
        <v>31.86</v>
      </c>
      <c r="AE1281" s="3">
        <f>VALUE(SUBSTITUTE(MID($A1281,L1281+L$2+1,M1281-L1281-L$2-1),",","."))</f>
        <v>0</v>
      </c>
      <c r="AF1281" s="3">
        <f>VALUE(SUBSTITUTE(MID($A1281,M1281+M$2+1,N1281-M1281-M$2-1),",","."))</f>
        <v>0</v>
      </c>
      <c r="AG1281" s="3">
        <f>VALUE(SUBSTITUTE(MID($A1281,N1281+N$2+1,O1281-N1281-N$2-1),",","."))</f>
        <v>4.2399091616467102</v>
      </c>
      <c r="AH1281" t="str">
        <f>MID($A1281,O1281+O$2+1,P1281-O1281-O$2-1)</f>
        <v/>
      </c>
      <c r="AI1281" s="8" t="str">
        <f>MID($A1281,P1281+P$2+1,Q1281-P1281-P$2-1)</f>
        <v>False</v>
      </c>
      <c r="AK1281" t="b">
        <f t="shared" si="165"/>
        <v>0</v>
      </c>
    </row>
    <row r="1282" spans="1:37" x14ac:dyDescent="0.35">
      <c r="A1282" t="s">
        <v>5829</v>
      </c>
      <c r="B1282">
        <f t="shared" si="172"/>
        <v>10</v>
      </c>
      <c r="C1282">
        <f t="shared" si="172"/>
        <v>43</v>
      </c>
      <c r="D1282">
        <f t="shared" si="172"/>
        <v>54</v>
      </c>
      <c r="E1282">
        <f t="shared" si="172"/>
        <v>80</v>
      </c>
      <c r="F1282">
        <f t="shared" si="172"/>
        <v>124</v>
      </c>
      <c r="G1282">
        <f t="shared" si="167"/>
        <v>145</v>
      </c>
      <c r="H1282">
        <f t="shared" si="167"/>
        <v>177</v>
      </c>
      <c r="I1282">
        <f t="shared" si="167"/>
        <v>199</v>
      </c>
      <c r="J1282">
        <f t="shared" si="167"/>
        <v>232</v>
      </c>
      <c r="K1282">
        <f t="shared" si="167"/>
        <v>251</v>
      </c>
      <c r="L1282">
        <f t="shared" si="169"/>
        <v>283</v>
      </c>
      <c r="M1282">
        <f t="shared" si="169"/>
        <v>298</v>
      </c>
      <c r="N1282">
        <f t="shared" si="169"/>
        <v>310</v>
      </c>
      <c r="O1282">
        <f t="shared" si="169"/>
        <v>335</v>
      </c>
      <c r="P1282">
        <f t="shared" si="169"/>
        <v>353</v>
      </c>
      <c r="Q1282">
        <f t="shared" si="169"/>
        <v>379</v>
      </c>
      <c r="S1282" t="str">
        <f t="shared" si="170"/>
        <v>10.12.2025</v>
      </c>
      <c r="T1282" t="str">
        <f t="shared" si="171"/>
        <v>03:00:00</v>
      </c>
      <c r="U1282" t="str">
        <f t="shared" si="164"/>
        <v>10.12.2025 03:00:00</v>
      </c>
      <c r="V1282" s="9" t="str">
        <f>MID($A1282,C1282+C$2+1,D1282-C1282-C$2-1)</f>
        <v>0</v>
      </c>
      <c r="W1282" s="4">
        <f>VALUE(SUBSTITUTE(MID($A1282,D1282+D$2+1,E1282-D1282-D$2-1),",","."))</f>
        <v>0</v>
      </c>
      <c r="X1282" s="4">
        <f>VALUE(SUBSTITUTE(MID($A1282,E1282+E$2+1,F1282-E1282-E$2-1),",","."))</f>
        <v>0.90957602214449496</v>
      </c>
      <c r="Y1282" s="4">
        <f>VALUE(SUBSTITUTE(MID($A1282,F1282+F$2+1,G1282-F1282-F$2-1),",","."))</f>
        <v>0</v>
      </c>
      <c r="Z1282" s="3">
        <f>VALUE(SUBSTITUTE(MID($A1282,G1282+G$2+1,H1282-G1282-G$2-1),",","."))</f>
        <v>0</v>
      </c>
      <c r="AA1282" s="3">
        <f>VALUE(SUBSTITUTE(MID($A1282,H1282+H$2+1,I1282-H1282-H$2-1),",","."))</f>
        <v>0</v>
      </c>
      <c r="AB1282" s="3">
        <f>VALUE(SUBSTITUTE(MID($A1282,I1282+I$2+1,J1282-I1282-I$2-1),",","."))</f>
        <v>0</v>
      </c>
      <c r="AC1282" s="3">
        <f>VALUE(SUBSTITUTE(MID($A1282,J1282+J$2+1,K1282-J1282-J$2-1),",","."))</f>
        <v>1.7</v>
      </c>
      <c r="AD1282" s="3">
        <f>VALUE(SUBSTITUTE(MID($A1282,K1282+K$2+1,L1282-K1282-K$2-1),",","."))</f>
        <v>31.86</v>
      </c>
      <c r="AE1282" s="3">
        <f>VALUE(SUBSTITUTE(MID($A1282,L1282+L$2+1,M1282-L1282-L$2-1),",","."))</f>
        <v>0</v>
      </c>
      <c r="AF1282" s="3">
        <f>VALUE(SUBSTITUTE(MID($A1282,M1282+M$2+1,N1282-M1282-M$2-1),",","."))</f>
        <v>0</v>
      </c>
      <c r="AG1282" s="3">
        <f>VALUE(SUBSTITUTE(MID($A1282,N1282+N$2+1,O1282-N1282-N$2-1),",","."))</f>
        <v>4.2399376815347898</v>
      </c>
      <c r="AH1282" t="str">
        <f>MID($A1282,O1282+O$2+1,P1282-O1282-O$2-1)</f>
        <v/>
      </c>
      <c r="AI1282" s="8" t="str">
        <f>MID($A1282,P1282+P$2+1,Q1282-P1282-P$2-1)</f>
        <v>False</v>
      </c>
      <c r="AK1282" t="b">
        <f t="shared" si="165"/>
        <v>0</v>
      </c>
    </row>
    <row r="1283" spans="1:37" x14ac:dyDescent="0.35">
      <c r="A1283" t="s">
        <v>5830</v>
      </c>
      <c r="B1283">
        <f t="shared" si="172"/>
        <v>10</v>
      </c>
      <c r="C1283">
        <f t="shared" si="172"/>
        <v>43</v>
      </c>
      <c r="D1283">
        <f t="shared" si="172"/>
        <v>54</v>
      </c>
      <c r="E1283">
        <f t="shared" si="172"/>
        <v>80</v>
      </c>
      <c r="F1283">
        <f t="shared" si="172"/>
        <v>124</v>
      </c>
      <c r="G1283">
        <f t="shared" si="167"/>
        <v>145</v>
      </c>
      <c r="H1283">
        <f t="shared" si="167"/>
        <v>177</v>
      </c>
      <c r="I1283">
        <f t="shared" si="167"/>
        <v>199</v>
      </c>
      <c r="J1283">
        <f t="shared" si="167"/>
        <v>232</v>
      </c>
      <c r="K1283">
        <f t="shared" si="167"/>
        <v>251</v>
      </c>
      <c r="L1283">
        <f t="shared" si="169"/>
        <v>283</v>
      </c>
      <c r="M1283">
        <f t="shared" si="169"/>
        <v>298</v>
      </c>
      <c r="N1283">
        <f t="shared" si="169"/>
        <v>310</v>
      </c>
      <c r="O1283">
        <f t="shared" si="169"/>
        <v>335</v>
      </c>
      <c r="P1283">
        <f t="shared" si="169"/>
        <v>353</v>
      </c>
      <c r="Q1283">
        <f t="shared" si="169"/>
        <v>379</v>
      </c>
      <c r="S1283" t="str">
        <f t="shared" si="170"/>
        <v>10.12.2025</v>
      </c>
      <c r="T1283" t="str">
        <f t="shared" si="171"/>
        <v>03:15:00</v>
      </c>
      <c r="U1283" t="str">
        <f t="shared" si="164"/>
        <v>10.12.2025 03:15:00</v>
      </c>
      <c r="V1283" s="9" t="str">
        <f>MID($A1283,C1283+C$2+1,D1283-C1283-C$2-1)</f>
        <v>0</v>
      </c>
      <c r="W1283" s="4">
        <f>VALUE(SUBSTITUTE(MID($A1283,D1283+D$2+1,E1283-D1283-D$2-1),",","."))</f>
        <v>0</v>
      </c>
      <c r="X1283" s="4">
        <f>VALUE(SUBSTITUTE(MID($A1283,E1283+E$2+1,F1283-E1283-E$2-1),",","."))</f>
        <v>0.90957602214449496</v>
      </c>
      <c r="Y1283" s="4">
        <f>VALUE(SUBSTITUTE(MID($A1283,F1283+F$2+1,G1283-F1283-F$2-1),",","."))</f>
        <v>0</v>
      </c>
      <c r="Z1283" s="3">
        <f>VALUE(SUBSTITUTE(MID($A1283,G1283+G$2+1,H1283-G1283-G$2-1),",","."))</f>
        <v>0</v>
      </c>
      <c r="AA1283" s="3">
        <f>VALUE(SUBSTITUTE(MID($A1283,H1283+H$2+1,I1283-H1283-H$2-1),",","."))</f>
        <v>0</v>
      </c>
      <c r="AB1283" s="3">
        <f>VALUE(SUBSTITUTE(MID($A1283,I1283+I$2+1,J1283-I1283-I$2-1),",","."))</f>
        <v>0</v>
      </c>
      <c r="AC1283" s="3">
        <f>VALUE(SUBSTITUTE(MID($A1283,J1283+J$2+1,K1283-J1283-J$2-1),",","."))</f>
        <v>1.7</v>
      </c>
      <c r="AD1283" s="3">
        <f>VALUE(SUBSTITUTE(MID($A1283,K1283+K$2+1,L1283-K1283-K$2-1),",","."))</f>
        <v>31.86</v>
      </c>
      <c r="AE1283" s="3">
        <f>VALUE(SUBSTITUTE(MID($A1283,L1283+L$2+1,M1283-L1283-L$2-1),",","."))</f>
        <v>0</v>
      </c>
      <c r="AF1283" s="3">
        <f>VALUE(SUBSTITUTE(MID($A1283,M1283+M$2+1,N1283-M1283-M$2-1),",","."))</f>
        <v>0</v>
      </c>
      <c r="AG1283" s="3">
        <f>VALUE(SUBSTITUTE(MID($A1283,N1283+N$2+1,O1283-N1283-N$2-1),",","."))</f>
        <v>4.2399662014228703</v>
      </c>
      <c r="AH1283" t="str">
        <f>MID($A1283,O1283+O$2+1,P1283-O1283-O$2-1)</f>
        <v/>
      </c>
      <c r="AI1283" s="8" t="str">
        <f>MID($A1283,P1283+P$2+1,Q1283-P1283-P$2-1)</f>
        <v>False</v>
      </c>
      <c r="AK1283" t="b">
        <f t="shared" si="165"/>
        <v>0</v>
      </c>
    </row>
    <row r="1284" spans="1:37" x14ac:dyDescent="0.35">
      <c r="A1284" t="s">
        <v>5831</v>
      </c>
      <c r="B1284">
        <f t="shared" si="172"/>
        <v>10</v>
      </c>
      <c r="C1284">
        <f t="shared" si="172"/>
        <v>43</v>
      </c>
      <c r="D1284">
        <f t="shared" si="172"/>
        <v>54</v>
      </c>
      <c r="E1284">
        <f t="shared" si="172"/>
        <v>80</v>
      </c>
      <c r="F1284">
        <f t="shared" si="172"/>
        <v>124</v>
      </c>
      <c r="G1284">
        <f t="shared" si="167"/>
        <v>145</v>
      </c>
      <c r="H1284">
        <f t="shared" si="167"/>
        <v>177</v>
      </c>
      <c r="I1284">
        <f t="shared" si="167"/>
        <v>199</v>
      </c>
      <c r="J1284">
        <f t="shared" si="167"/>
        <v>232</v>
      </c>
      <c r="K1284">
        <f t="shared" si="167"/>
        <v>251</v>
      </c>
      <c r="L1284">
        <f t="shared" si="169"/>
        <v>270</v>
      </c>
      <c r="M1284">
        <f t="shared" si="169"/>
        <v>285</v>
      </c>
      <c r="N1284">
        <f t="shared" si="169"/>
        <v>297</v>
      </c>
      <c r="O1284">
        <f t="shared" si="169"/>
        <v>322</v>
      </c>
      <c r="P1284">
        <f t="shared" si="169"/>
        <v>340</v>
      </c>
      <c r="Q1284">
        <f t="shared" si="169"/>
        <v>366</v>
      </c>
      <c r="S1284" t="str">
        <f t="shared" si="170"/>
        <v>10.12.2025</v>
      </c>
      <c r="T1284" t="str">
        <f t="shared" si="171"/>
        <v>03:30:00</v>
      </c>
      <c r="U1284" t="str">
        <f t="shared" ref="U1284:U1347" si="173">MID($A1284,B1284+B$2+1,C1284-B1284-B$2-1)</f>
        <v>10.12.2025 03:30:00</v>
      </c>
      <c r="V1284" s="9" t="str">
        <f>MID($A1284,C1284+C$2+1,D1284-C1284-C$2-1)</f>
        <v>0</v>
      </c>
      <c r="W1284" s="4">
        <f>VALUE(SUBSTITUTE(MID($A1284,D1284+D$2+1,E1284-D1284-D$2-1),",","."))</f>
        <v>0</v>
      </c>
      <c r="X1284" s="4">
        <f>VALUE(SUBSTITUTE(MID($A1284,E1284+E$2+1,F1284-E1284-E$2-1),",","."))</f>
        <v>0.90957602214449496</v>
      </c>
      <c r="Y1284" s="4">
        <f>VALUE(SUBSTITUTE(MID($A1284,F1284+F$2+1,G1284-F1284-F$2-1),",","."))</f>
        <v>0</v>
      </c>
      <c r="Z1284" s="3">
        <f>VALUE(SUBSTITUTE(MID($A1284,G1284+G$2+1,H1284-G1284-G$2-1),",","."))</f>
        <v>0</v>
      </c>
      <c r="AA1284" s="3">
        <f>VALUE(SUBSTITUTE(MID($A1284,H1284+H$2+1,I1284-H1284-H$2-1),",","."))</f>
        <v>0</v>
      </c>
      <c r="AB1284" s="3">
        <f>VALUE(SUBSTITUTE(MID($A1284,I1284+I$2+1,J1284-I1284-I$2-1),",","."))</f>
        <v>0</v>
      </c>
      <c r="AC1284" s="3">
        <f>VALUE(SUBSTITUTE(MID($A1284,J1284+J$2+1,K1284-J1284-J$2-1),",","."))</f>
        <v>1.8</v>
      </c>
      <c r="AD1284" s="3">
        <f>VALUE(SUBSTITUTE(MID($A1284,K1284+K$2+1,L1284-K1284-K$2-1),",","."))</f>
        <v>35.46</v>
      </c>
      <c r="AE1284" s="3">
        <f>VALUE(SUBSTITUTE(MID($A1284,L1284+L$2+1,M1284-L1284-L$2-1),",","."))</f>
        <v>0</v>
      </c>
      <c r="AF1284" s="3">
        <f>VALUE(SUBSTITUTE(MID($A1284,M1284+M$2+1,N1284-M1284-M$2-1),",","."))</f>
        <v>0</v>
      </c>
      <c r="AG1284" s="3">
        <f>VALUE(SUBSTITUTE(MID($A1284,N1284+N$2+1,O1284-N1284-N$2-1),",","."))</f>
        <v>4.2399947213109499</v>
      </c>
      <c r="AH1284" t="str">
        <f>MID($A1284,O1284+O$2+1,P1284-O1284-O$2-1)</f>
        <v/>
      </c>
      <c r="AI1284" s="8" t="str">
        <f>MID($A1284,P1284+P$2+1,Q1284-P1284-P$2-1)</f>
        <v>False</v>
      </c>
      <c r="AK1284" t="b">
        <f t="shared" ref="AK1284:AK1347" si="174">AB1284&gt;Z1284</f>
        <v>0</v>
      </c>
    </row>
    <row r="1285" spans="1:37" x14ac:dyDescent="0.35">
      <c r="A1285" t="s">
        <v>5832</v>
      </c>
      <c r="B1285">
        <f t="shared" si="172"/>
        <v>10</v>
      </c>
      <c r="C1285">
        <f t="shared" si="172"/>
        <v>43</v>
      </c>
      <c r="D1285">
        <f t="shared" si="172"/>
        <v>54</v>
      </c>
      <c r="E1285">
        <f t="shared" si="172"/>
        <v>80</v>
      </c>
      <c r="F1285">
        <f t="shared" si="172"/>
        <v>124</v>
      </c>
      <c r="G1285">
        <f t="shared" si="167"/>
        <v>145</v>
      </c>
      <c r="H1285">
        <f t="shared" si="167"/>
        <v>177</v>
      </c>
      <c r="I1285">
        <f t="shared" si="167"/>
        <v>199</v>
      </c>
      <c r="J1285">
        <f t="shared" si="167"/>
        <v>232</v>
      </c>
      <c r="K1285">
        <f t="shared" si="167"/>
        <v>251</v>
      </c>
      <c r="L1285">
        <f t="shared" si="169"/>
        <v>270</v>
      </c>
      <c r="M1285">
        <f t="shared" si="169"/>
        <v>285</v>
      </c>
      <c r="N1285">
        <f t="shared" si="169"/>
        <v>297</v>
      </c>
      <c r="O1285">
        <f t="shared" si="169"/>
        <v>322</v>
      </c>
      <c r="P1285">
        <f t="shared" si="169"/>
        <v>340</v>
      </c>
      <c r="Q1285">
        <f t="shared" si="169"/>
        <v>366</v>
      </c>
      <c r="S1285" t="str">
        <f t="shared" si="170"/>
        <v>10.12.2025</v>
      </c>
      <c r="T1285" t="str">
        <f t="shared" si="171"/>
        <v>03:45:00</v>
      </c>
      <c r="U1285" t="str">
        <f t="shared" si="173"/>
        <v>10.12.2025 03:45:00</v>
      </c>
      <c r="V1285" s="9" t="str">
        <f>MID($A1285,C1285+C$2+1,D1285-C1285-C$2-1)</f>
        <v>0</v>
      </c>
      <c r="W1285" s="4">
        <f>VALUE(SUBSTITUTE(MID($A1285,D1285+D$2+1,E1285-D1285-D$2-1),",","."))</f>
        <v>0</v>
      </c>
      <c r="X1285" s="4">
        <f>VALUE(SUBSTITUTE(MID($A1285,E1285+E$2+1,F1285-E1285-E$2-1),",","."))</f>
        <v>0.90957602214449496</v>
      </c>
      <c r="Y1285" s="4">
        <f>VALUE(SUBSTITUTE(MID($A1285,F1285+F$2+1,G1285-F1285-F$2-1),",","."))</f>
        <v>0</v>
      </c>
      <c r="Z1285" s="3">
        <f>VALUE(SUBSTITUTE(MID($A1285,G1285+G$2+1,H1285-G1285-G$2-1),",","."))</f>
        <v>0</v>
      </c>
      <c r="AA1285" s="3">
        <f>VALUE(SUBSTITUTE(MID($A1285,H1285+H$2+1,I1285-H1285-H$2-1),",","."))</f>
        <v>0</v>
      </c>
      <c r="AB1285" s="3">
        <f>VALUE(SUBSTITUTE(MID($A1285,I1285+I$2+1,J1285-I1285-I$2-1),",","."))</f>
        <v>0</v>
      </c>
      <c r="AC1285" s="3">
        <f>VALUE(SUBSTITUTE(MID($A1285,J1285+J$2+1,K1285-J1285-J$2-1),",","."))</f>
        <v>1.8</v>
      </c>
      <c r="AD1285" s="3">
        <f>VALUE(SUBSTITUTE(MID($A1285,K1285+K$2+1,L1285-K1285-K$2-1),",","."))</f>
        <v>35.46</v>
      </c>
      <c r="AE1285" s="3">
        <f>VALUE(SUBSTITUTE(MID($A1285,L1285+L$2+1,M1285-L1285-L$2-1),",","."))</f>
        <v>0</v>
      </c>
      <c r="AF1285" s="3">
        <f>VALUE(SUBSTITUTE(MID($A1285,M1285+M$2+1,N1285-M1285-M$2-1),",","."))</f>
        <v>0</v>
      </c>
      <c r="AG1285" s="3">
        <f>VALUE(SUBSTITUTE(MID($A1285,N1285+N$2+1,O1285-N1285-N$2-1),",","."))</f>
        <v>4.2400232411990304</v>
      </c>
      <c r="AH1285" t="str">
        <f>MID($A1285,O1285+O$2+1,P1285-O1285-O$2-1)</f>
        <v/>
      </c>
      <c r="AI1285" s="8" t="str">
        <f>MID($A1285,P1285+P$2+1,Q1285-P1285-P$2-1)</f>
        <v>False</v>
      </c>
      <c r="AK1285" t="b">
        <f t="shared" si="174"/>
        <v>0</v>
      </c>
    </row>
    <row r="1286" spans="1:37" x14ac:dyDescent="0.35">
      <c r="A1286" t="s">
        <v>5833</v>
      </c>
      <c r="B1286">
        <f t="shared" si="172"/>
        <v>10</v>
      </c>
      <c r="C1286">
        <f t="shared" si="172"/>
        <v>43</v>
      </c>
      <c r="D1286">
        <f t="shared" si="172"/>
        <v>54</v>
      </c>
      <c r="E1286">
        <f t="shared" si="172"/>
        <v>80</v>
      </c>
      <c r="F1286">
        <f t="shared" si="172"/>
        <v>124</v>
      </c>
      <c r="G1286">
        <f t="shared" si="167"/>
        <v>145</v>
      </c>
      <c r="H1286">
        <f t="shared" si="167"/>
        <v>177</v>
      </c>
      <c r="I1286">
        <f t="shared" si="167"/>
        <v>199</v>
      </c>
      <c r="J1286">
        <f t="shared" si="167"/>
        <v>232</v>
      </c>
      <c r="K1286">
        <f t="shared" si="167"/>
        <v>251</v>
      </c>
      <c r="L1286">
        <f t="shared" si="169"/>
        <v>270</v>
      </c>
      <c r="M1286">
        <f t="shared" si="169"/>
        <v>285</v>
      </c>
      <c r="N1286">
        <f t="shared" si="169"/>
        <v>297</v>
      </c>
      <c r="O1286">
        <f t="shared" si="169"/>
        <v>322</v>
      </c>
      <c r="P1286">
        <f t="shared" si="169"/>
        <v>340</v>
      </c>
      <c r="Q1286">
        <f t="shared" si="169"/>
        <v>366</v>
      </c>
      <c r="S1286" t="str">
        <f t="shared" si="170"/>
        <v>10.12.2025</v>
      </c>
      <c r="T1286" t="str">
        <f t="shared" si="171"/>
        <v>04:00:00</v>
      </c>
      <c r="U1286" t="str">
        <f t="shared" si="173"/>
        <v>10.12.2025 04:00:00</v>
      </c>
      <c r="V1286" s="9" t="str">
        <f>MID($A1286,C1286+C$2+1,D1286-C1286-C$2-1)</f>
        <v>0</v>
      </c>
      <c r="W1286" s="4">
        <f>VALUE(SUBSTITUTE(MID($A1286,D1286+D$2+1,E1286-D1286-D$2-1),",","."))</f>
        <v>0</v>
      </c>
      <c r="X1286" s="4">
        <f>VALUE(SUBSTITUTE(MID($A1286,E1286+E$2+1,F1286-E1286-E$2-1),",","."))</f>
        <v>0.90957602214449496</v>
      </c>
      <c r="Y1286" s="4">
        <f>VALUE(SUBSTITUTE(MID($A1286,F1286+F$2+1,G1286-F1286-F$2-1),",","."))</f>
        <v>0</v>
      </c>
      <c r="Z1286" s="3">
        <f>VALUE(SUBSTITUTE(MID($A1286,G1286+G$2+1,H1286-G1286-G$2-1),",","."))</f>
        <v>0</v>
      </c>
      <c r="AA1286" s="3">
        <f>VALUE(SUBSTITUTE(MID($A1286,H1286+H$2+1,I1286-H1286-H$2-1),",","."))</f>
        <v>0</v>
      </c>
      <c r="AB1286" s="3">
        <f>VALUE(SUBSTITUTE(MID($A1286,I1286+I$2+1,J1286-I1286-I$2-1),",","."))</f>
        <v>0</v>
      </c>
      <c r="AC1286" s="3">
        <f>VALUE(SUBSTITUTE(MID($A1286,J1286+J$2+1,K1286-J1286-J$2-1),",","."))</f>
        <v>1.8</v>
      </c>
      <c r="AD1286" s="3">
        <f>VALUE(SUBSTITUTE(MID($A1286,K1286+K$2+1,L1286-K1286-K$2-1),",","."))</f>
        <v>35.46</v>
      </c>
      <c r="AE1286" s="3">
        <f>VALUE(SUBSTITUTE(MID($A1286,L1286+L$2+1,M1286-L1286-L$2-1),",","."))</f>
        <v>0</v>
      </c>
      <c r="AF1286" s="3">
        <f>VALUE(SUBSTITUTE(MID($A1286,M1286+M$2+1,N1286-M1286-M$2-1),",","."))</f>
        <v>0</v>
      </c>
      <c r="AG1286" s="3">
        <f>VALUE(SUBSTITUTE(MID($A1286,N1286+N$2+1,O1286-N1286-N$2-1),",","."))</f>
        <v>4.24005176108711</v>
      </c>
      <c r="AH1286" t="str">
        <f>MID($A1286,O1286+O$2+1,P1286-O1286-O$2-1)</f>
        <v/>
      </c>
      <c r="AI1286" s="8" t="str">
        <f>MID($A1286,P1286+P$2+1,Q1286-P1286-P$2-1)</f>
        <v>False</v>
      </c>
      <c r="AK1286" t="b">
        <f t="shared" si="174"/>
        <v>0</v>
      </c>
    </row>
    <row r="1287" spans="1:37" x14ac:dyDescent="0.35">
      <c r="A1287" t="s">
        <v>5834</v>
      </c>
      <c r="B1287">
        <f t="shared" si="172"/>
        <v>10</v>
      </c>
      <c r="C1287">
        <f t="shared" si="172"/>
        <v>43</v>
      </c>
      <c r="D1287">
        <f t="shared" si="172"/>
        <v>54</v>
      </c>
      <c r="E1287">
        <f t="shared" si="172"/>
        <v>80</v>
      </c>
      <c r="F1287">
        <f t="shared" si="172"/>
        <v>124</v>
      </c>
      <c r="G1287">
        <f t="shared" si="167"/>
        <v>145</v>
      </c>
      <c r="H1287">
        <f t="shared" si="167"/>
        <v>177</v>
      </c>
      <c r="I1287">
        <f t="shared" si="167"/>
        <v>199</v>
      </c>
      <c r="J1287">
        <f t="shared" si="167"/>
        <v>232</v>
      </c>
      <c r="K1287">
        <f t="shared" si="167"/>
        <v>251</v>
      </c>
      <c r="L1287">
        <f t="shared" si="169"/>
        <v>270</v>
      </c>
      <c r="M1287">
        <f t="shared" si="169"/>
        <v>285</v>
      </c>
      <c r="N1287">
        <f t="shared" si="169"/>
        <v>297</v>
      </c>
      <c r="O1287">
        <f t="shared" si="169"/>
        <v>322</v>
      </c>
      <c r="P1287">
        <f t="shared" si="169"/>
        <v>340</v>
      </c>
      <c r="Q1287">
        <f t="shared" si="169"/>
        <v>366</v>
      </c>
      <c r="S1287" t="str">
        <f t="shared" si="170"/>
        <v>10.12.2025</v>
      </c>
      <c r="T1287" t="str">
        <f t="shared" si="171"/>
        <v>04:15:00</v>
      </c>
      <c r="U1287" t="str">
        <f t="shared" si="173"/>
        <v>10.12.2025 04:15:00</v>
      </c>
      <c r="V1287" s="9" t="str">
        <f>MID($A1287,C1287+C$2+1,D1287-C1287-C$2-1)</f>
        <v>0</v>
      </c>
      <c r="W1287" s="4">
        <f>VALUE(SUBSTITUTE(MID($A1287,D1287+D$2+1,E1287-D1287-D$2-1),",","."))</f>
        <v>0</v>
      </c>
      <c r="X1287" s="4">
        <f>VALUE(SUBSTITUTE(MID($A1287,E1287+E$2+1,F1287-E1287-E$2-1),",","."))</f>
        <v>0.90957602214449496</v>
      </c>
      <c r="Y1287" s="4">
        <f>VALUE(SUBSTITUTE(MID($A1287,F1287+F$2+1,G1287-F1287-F$2-1),",","."))</f>
        <v>0</v>
      </c>
      <c r="Z1287" s="3">
        <f>VALUE(SUBSTITUTE(MID($A1287,G1287+G$2+1,H1287-G1287-G$2-1),",","."))</f>
        <v>0</v>
      </c>
      <c r="AA1287" s="3">
        <f>VALUE(SUBSTITUTE(MID($A1287,H1287+H$2+1,I1287-H1287-H$2-1),",","."))</f>
        <v>0</v>
      </c>
      <c r="AB1287" s="3">
        <f>VALUE(SUBSTITUTE(MID($A1287,I1287+I$2+1,J1287-I1287-I$2-1),",","."))</f>
        <v>0</v>
      </c>
      <c r="AC1287" s="3">
        <f>VALUE(SUBSTITUTE(MID($A1287,J1287+J$2+1,K1287-J1287-J$2-1),",","."))</f>
        <v>1.8</v>
      </c>
      <c r="AD1287" s="3">
        <f>VALUE(SUBSTITUTE(MID($A1287,K1287+K$2+1,L1287-K1287-K$2-1),",","."))</f>
        <v>35.46</v>
      </c>
      <c r="AE1287" s="3">
        <f>VALUE(SUBSTITUTE(MID($A1287,L1287+L$2+1,M1287-L1287-L$2-1),",","."))</f>
        <v>0</v>
      </c>
      <c r="AF1287" s="3">
        <f>VALUE(SUBSTITUTE(MID($A1287,M1287+M$2+1,N1287-M1287-M$2-1),",","."))</f>
        <v>0</v>
      </c>
      <c r="AG1287" s="3">
        <f>VALUE(SUBSTITUTE(MID($A1287,N1287+N$2+1,O1287-N1287-N$2-1),",","."))</f>
        <v>4.2400802809751896</v>
      </c>
      <c r="AH1287" t="str">
        <f>MID($A1287,O1287+O$2+1,P1287-O1287-O$2-1)</f>
        <v/>
      </c>
      <c r="AI1287" s="8" t="str">
        <f>MID($A1287,P1287+P$2+1,Q1287-P1287-P$2-1)</f>
        <v>False</v>
      </c>
      <c r="AK1287" t="b">
        <f t="shared" si="174"/>
        <v>0</v>
      </c>
    </row>
    <row r="1288" spans="1:37" x14ac:dyDescent="0.35">
      <c r="A1288" t="s">
        <v>5835</v>
      </c>
      <c r="B1288">
        <f t="shared" si="172"/>
        <v>10</v>
      </c>
      <c r="C1288">
        <f t="shared" si="172"/>
        <v>43</v>
      </c>
      <c r="D1288">
        <f t="shared" si="172"/>
        <v>54</v>
      </c>
      <c r="E1288">
        <f t="shared" si="172"/>
        <v>80</v>
      </c>
      <c r="F1288">
        <f t="shared" si="172"/>
        <v>124</v>
      </c>
      <c r="G1288">
        <f t="shared" si="167"/>
        <v>145</v>
      </c>
      <c r="H1288">
        <f t="shared" si="167"/>
        <v>177</v>
      </c>
      <c r="I1288">
        <f t="shared" si="167"/>
        <v>199</v>
      </c>
      <c r="J1288">
        <f t="shared" si="167"/>
        <v>232</v>
      </c>
      <c r="K1288">
        <f t="shared" si="167"/>
        <v>249</v>
      </c>
      <c r="L1288">
        <f t="shared" si="169"/>
        <v>281</v>
      </c>
      <c r="M1288">
        <f t="shared" si="169"/>
        <v>296</v>
      </c>
      <c r="N1288">
        <f t="shared" si="169"/>
        <v>308</v>
      </c>
      <c r="O1288">
        <f t="shared" si="169"/>
        <v>333</v>
      </c>
      <c r="P1288">
        <f t="shared" si="169"/>
        <v>351</v>
      </c>
      <c r="Q1288">
        <f t="shared" si="169"/>
        <v>377</v>
      </c>
      <c r="S1288" t="str">
        <f t="shared" si="170"/>
        <v>10.12.2025</v>
      </c>
      <c r="T1288" t="str">
        <f t="shared" si="171"/>
        <v>04:30:00</v>
      </c>
      <c r="U1288" t="str">
        <f t="shared" si="173"/>
        <v>10.12.2025 04:30:00</v>
      </c>
      <c r="V1288" s="9" t="str">
        <f>MID($A1288,C1288+C$2+1,D1288-C1288-C$2-1)</f>
        <v>0</v>
      </c>
      <c r="W1288" s="4">
        <f>VALUE(SUBSTITUTE(MID($A1288,D1288+D$2+1,E1288-D1288-D$2-1),",","."))</f>
        <v>0</v>
      </c>
      <c r="X1288" s="4">
        <f>VALUE(SUBSTITUTE(MID($A1288,E1288+E$2+1,F1288-E1288-E$2-1),",","."))</f>
        <v>0.90957602214449496</v>
      </c>
      <c r="Y1288" s="4">
        <f>VALUE(SUBSTITUTE(MID($A1288,F1288+F$2+1,G1288-F1288-F$2-1),",","."))</f>
        <v>0</v>
      </c>
      <c r="Z1288" s="3">
        <f>VALUE(SUBSTITUTE(MID($A1288,G1288+G$2+1,H1288-G1288-G$2-1),",","."))</f>
        <v>0</v>
      </c>
      <c r="AA1288" s="3">
        <f>VALUE(SUBSTITUTE(MID($A1288,H1288+H$2+1,I1288-H1288-H$2-1),",","."))</f>
        <v>0</v>
      </c>
      <c r="AB1288" s="3">
        <f>VALUE(SUBSTITUTE(MID($A1288,I1288+I$2+1,J1288-I1288-I$2-1),",","."))</f>
        <v>0</v>
      </c>
      <c r="AC1288" s="3">
        <f>VALUE(SUBSTITUTE(MID($A1288,J1288+J$2+1,K1288-J1288-J$2-1),",","."))</f>
        <v>2</v>
      </c>
      <c r="AD1288" s="3">
        <f>VALUE(SUBSTITUTE(MID($A1288,K1288+K$2+1,L1288-K1288-K$2-1),",","."))</f>
        <v>39.239999999999903</v>
      </c>
      <c r="AE1288" s="3">
        <f>VALUE(SUBSTITUTE(MID($A1288,L1288+L$2+1,M1288-L1288-L$2-1),",","."))</f>
        <v>0</v>
      </c>
      <c r="AF1288" s="3">
        <f>VALUE(SUBSTITUTE(MID($A1288,M1288+M$2+1,N1288-M1288-M$2-1),",","."))</f>
        <v>0</v>
      </c>
      <c r="AG1288" s="3">
        <f>VALUE(SUBSTITUTE(MID($A1288,N1288+N$2+1,O1288-N1288-N$2-1),",","."))</f>
        <v>4.2401088008632799</v>
      </c>
      <c r="AH1288" t="str">
        <f>MID($A1288,O1288+O$2+1,P1288-O1288-O$2-1)</f>
        <v/>
      </c>
      <c r="AI1288" s="8" t="str">
        <f>MID($A1288,P1288+P$2+1,Q1288-P1288-P$2-1)</f>
        <v>False</v>
      </c>
      <c r="AK1288" t="b">
        <f t="shared" si="174"/>
        <v>0</v>
      </c>
    </row>
    <row r="1289" spans="1:37" x14ac:dyDescent="0.35">
      <c r="A1289" t="s">
        <v>5836</v>
      </c>
      <c r="B1289">
        <f t="shared" si="172"/>
        <v>10</v>
      </c>
      <c r="C1289">
        <f t="shared" si="172"/>
        <v>43</v>
      </c>
      <c r="D1289">
        <f t="shared" si="172"/>
        <v>54</v>
      </c>
      <c r="E1289">
        <f t="shared" si="172"/>
        <v>80</v>
      </c>
      <c r="F1289">
        <f t="shared" si="172"/>
        <v>124</v>
      </c>
      <c r="G1289">
        <f t="shared" si="167"/>
        <v>145</v>
      </c>
      <c r="H1289">
        <f t="shared" si="167"/>
        <v>177</v>
      </c>
      <c r="I1289">
        <f t="shared" si="167"/>
        <v>199</v>
      </c>
      <c r="J1289">
        <f t="shared" si="167"/>
        <v>232</v>
      </c>
      <c r="K1289">
        <f t="shared" si="167"/>
        <v>249</v>
      </c>
      <c r="L1289">
        <f t="shared" si="169"/>
        <v>281</v>
      </c>
      <c r="M1289">
        <f t="shared" si="169"/>
        <v>296</v>
      </c>
      <c r="N1289">
        <f t="shared" si="169"/>
        <v>308</v>
      </c>
      <c r="O1289">
        <f t="shared" si="169"/>
        <v>333</v>
      </c>
      <c r="P1289">
        <f t="shared" si="169"/>
        <v>351</v>
      </c>
      <c r="Q1289">
        <f t="shared" si="169"/>
        <v>377</v>
      </c>
      <c r="S1289" t="str">
        <f t="shared" si="170"/>
        <v>10.12.2025</v>
      </c>
      <c r="T1289" t="str">
        <f t="shared" si="171"/>
        <v>04:45:00</v>
      </c>
      <c r="U1289" t="str">
        <f t="shared" si="173"/>
        <v>10.12.2025 04:45:00</v>
      </c>
      <c r="V1289" s="9" t="str">
        <f>MID($A1289,C1289+C$2+1,D1289-C1289-C$2-1)</f>
        <v>0</v>
      </c>
      <c r="W1289" s="4">
        <f>VALUE(SUBSTITUTE(MID($A1289,D1289+D$2+1,E1289-D1289-D$2-1),",","."))</f>
        <v>0</v>
      </c>
      <c r="X1289" s="4">
        <f>VALUE(SUBSTITUTE(MID($A1289,E1289+E$2+1,F1289-E1289-E$2-1),",","."))</f>
        <v>0.90957602214449496</v>
      </c>
      <c r="Y1289" s="4">
        <f>VALUE(SUBSTITUTE(MID($A1289,F1289+F$2+1,G1289-F1289-F$2-1),",","."))</f>
        <v>0</v>
      </c>
      <c r="Z1289" s="3">
        <f>VALUE(SUBSTITUTE(MID($A1289,G1289+G$2+1,H1289-G1289-G$2-1),",","."))</f>
        <v>0</v>
      </c>
      <c r="AA1289" s="3">
        <f>VALUE(SUBSTITUTE(MID($A1289,H1289+H$2+1,I1289-H1289-H$2-1),",","."))</f>
        <v>0</v>
      </c>
      <c r="AB1289" s="3">
        <f>VALUE(SUBSTITUTE(MID($A1289,I1289+I$2+1,J1289-I1289-I$2-1),",","."))</f>
        <v>0</v>
      </c>
      <c r="AC1289" s="3">
        <f>VALUE(SUBSTITUTE(MID($A1289,J1289+J$2+1,K1289-J1289-J$2-1),",","."))</f>
        <v>2</v>
      </c>
      <c r="AD1289" s="3">
        <f>VALUE(SUBSTITUTE(MID($A1289,K1289+K$2+1,L1289-K1289-K$2-1),",","."))</f>
        <v>39.239999999999903</v>
      </c>
      <c r="AE1289" s="3">
        <f>VALUE(SUBSTITUTE(MID($A1289,L1289+L$2+1,M1289-L1289-L$2-1),",","."))</f>
        <v>0</v>
      </c>
      <c r="AF1289" s="3">
        <f>VALUE(SUBSTITUTE(MID($A1289,M1289+M$2+1,N1289-M1289-M$2-1),",","."))</f>
        <v>0</v>
      </c>
      <c r="AG1289" s="3">
        <f>VALUE(SUBSTITUTE(MID($A1289,N1289+N$2+1,O1289-N1289-N$2-1),",","."))</f>
        <v>4.2401373207513604</v>
      </c>
      <c r="AH1289" t="str">
        <f>MID($A1289,O1289+O$2+1,P1289-O1289-O$2-1)</f>
        <v/>
      </c>
      <c r="AI1289" s="8" t="str">
        <f>MID($A1289,P1289+P$2+1,Q1289-P1289-P$2-1)</f>
        <v>False</v>
      </c>
      <c r="AK1289" t="b">
        <f t="shared" si="174"/>
        <v>0</v>
      </c>
    </row>
    <row r="1290" spans="1:37" x14ac:dyDescent="0.35">
      <c r="A1290" t="s">
        <v>5837</v>
      </c>
      <c r="B1290">
        <f t="shared" si="172"/>
        <v>10</v>
      </c>
      <c r="C1290">
        <f t="shared" si="172"/>
        <v>43</v>
      </c>
      <c r="D1290">
        <f t="shared" si="172"/>
        <v>54</v>
      </c>
      <c r="E1290">
        <f t="shared" si="172"/>
        <v>80</v>
      </c>
      <c r="F1290">
        <f t="shared" si="172"/>
        <v>124</v>
      </c>
      <c r="G1290">
        <f t="shared" si="167"/>
        <v>145</v>
      </c>
      <c r="H1290">
        <f t="shared" si="167"/>
        <v>177</v>
      </c>
      <c r="I1290">
        <f t="shared" si="167"/>
        <v>199</v>
      </c>
      <c r="J1290">
        <f t="shared" si="167"/>
        <v>232</v>
      </c>
      <c r="K1290">
        <f t="shared" si="167"/>
        <v>249</v>
      </c>
      <c r="L1290">
        <f t="shared" si="169"/>
        <v>281</v>
      </c>
      <c r="M1290">
        <f t="shared" si="169"/>
        <v>296</v>
      </c>
      <c r="N1290">
        <f t="shared" si="169"/>
        <v>308</v>
      </c>
      <c r="O1290">
        <f t="shared" si="169"/>
        <v>333</v>
      </c>
      <c r="P1290">
        <f t="shared" si="169"/>
        <v>351</v>
      </c>
      <c r="Q1290">
        <f t="shared" si="169"/>
        <v>377</v>
      </c>
      <c r="S1290" t="str">
        <f t="shared" si="170"/>
        <v>10.12.2025</v>
      </c>
      <c r="T1290" t="str">
        <f t="shared" si="171"/>
        <v>05:00:00</v>
      </c>
      <c r="U1290" t="str">
        <f t="shared" si="173"/>
        <v>10.12.2025 05:00:00</v>
      </c>
      <c r="V1290" s="9" t="str">
        <f>MID($A1290,C1290+C$2+1,D1290-C1290-C$2-1)</f>
        <v>0</v>
      </c>
      <c r="W1290" s="4">
        <f>VALUE(SUBSTITUTE(MID($A1290,D1290+D$2+1,E1290-D1290-D$2-1),",","."))</f>
        <v>0</v>
      </c>
      <c r="X1290" s="4">
        <f>VALUE(SUBSTITUTE(MID($A1290,E1290+E$2+1,F1290-E1290-E$2-1),",","."))</f>
        <v>0.90957602214449496</v>
      </c>
      <c r="Y1290" s="4">
        <f>VALUE(SUBSTITUTE(MID($A1290,F1290+F$2+1,G1290-F1290-F$2-1),",","."))</f>
        <v>0</v>
      </c>
      <c r="Z1290" s="3">
        <f>VALUE(SUBSTITUTE(MID($A1290,G1290+G$2+1,H1290-G1290-G$2-1),",","."))</f>
        <v>0</v>
      </c>
      <c r="AA1290" s="3">
        <f>VALUE(SUBSTITUTE(MID($A1290,H1290+H$2+1,I1290-H1290-H$2-1),",","."))</f>
        <v>0</v>
      </c>
      <c r="AB1290" s="3">
        <f>VALUE(SUBSTITUTE(MID($A1290,I1290+I$2+1,J1290-I1290-I$2-1),",","."))</f>
        <v>0</v>
      </c>
      <c r="AC1290" s="3">
        <f>VALUE(SUBSTITUTE(MID($A1290,J1290+J$2+1,K1290-J1290-J$2-1),",","."))</f>
        <v>2</v>
      </c>
      <c r="AD1290" s="3">
        <f>VALUE(SUBSTITUTE(MID($A1290,K1290+K$2+1,L1290-K1290-K$2-1),",","."))</f>
        <v>39.239999999999903</v>
      </c>
      <c r="AE1290" s="3">
        <f>VALUE(SUBSTITUTE(MID($A1290,L1290+L$2+1,M1290-L1290-L$2-1),",","."))</f>
        <v>0</v>
      </c>
      <c r="AF1290" s="3">
        <f>VALUE(SUBSTITUTE(MID($A1290,M1290+M$2+1,N1290-M1290-M$2-1),",","."))</f>
        <v>0</v>
      </c>
      <c r="AG1290" s="3">
        <f>VALUE(SUBSTITUTE(MID($A1290,N1290+N$2+1,O1290-N1290-N$2-1),",","."))</f>
        <v>4.24016584063944</v>
      </c>
      <c r="AH1290" t="str">
        <f>MID($A1290,O1290+O$2+1,P1290-O1290-O$2-1)</f>
        <v/>
      </c>
      <c r="AI1290" s="8" t="str">
        <f>MID($A1290,P1290+P$2+1,Q1290-P1290-P$2-1)</f>
        <v>False</v>
      </c>
      <c r="AK1290" t="b">
        <f t="shared" si="174"/>
        <v>0</v>
      </c>
    </row>
    <row r="1291" spans="1:37" x14ac:dyDescent="0.35">
      <c r="A1291" t="s">
        <v>5838</v>
      </c>
      <c r="B1291">
        <f t="shared" si="172"/>
        <v>10</v>
      </c>
      <c r="C1291">
        <f t="shared" si="172"/>
        <v>43</v>
      </c>
      <c r="D1291">
        <f t="shared" si="172"/>
        <v>54</v>
      </c>
      <c r="E1291">
        <f t="shared" si="172"/>
        <v>80</v>
      </c>
      <c r="F1291">
        <f t="shared" si="172"/>
        <v>124</v>
      </c>
      <c r="G1291">
        <f t="shared" si="167"/>
        <v>145</v>
      </c>
      <c r="H1291">
        <f t="shared" si="167"/>
        <v>177</v>
      </c>
      <c r="I1291">
        <f t="shared" si="167"/>
        <v>199</v>
      </c>
      <c r="J1291">
        <f t="shared" si="167"/>
        <v>232</v>
      </c>
      <c r="K1291">
        <f t="shared" si="167"/>
        <v>249</v>
      </c>
      <c r="L1291">
        <f t="shared" si="169"/>
        <v>281</v>
      </c>
      <c r="M1291">
        <f t="shared" si="169"/>
        <v>296</v>
      </c>
      <c r="N1291">
        <f t="shared" si="169"/>
        <v>308</v>
      </c>
      <c r="O1291">
        <f t="shared" ref="O1291:Q1354" si="175">FIND(O$1,$A1291)</f>
        <v>333</v>
      </c>
      <c r="P1291">
        <f t="shared" si="175"/>
        <v>351</v>
      </c>
      <c r="Q1291">
        <f t="shared" si="175"/>
        <v>377</v>
      </c>
      <c r="S1291" t="str">
        <f t="shared" si="170"/>
        <v>10.12.2025</v>
      </c>
      <c r="T1291" t="str">
        <f t="shared" si="171"/>
        <v>05:15:00</v>
      </c>
      <c r="U1291" t="str">
        <f t="shared" si="173"/>
        <v>10.12.2025 05:15:00</v>
      </c>
      <c r="V1291" s="9" t="str">
        <f>MID($A1291,C1291+C$2+1,D1291-C1291-C$2-1)</f>
        <v>0</v>
      </c>
      <c r="W1291" s="4">
        <f>VALUE(SUBSTITUTE(MID($A1291,D1291+D$2+1,E1291-D1291-D$2-1),",","."))</f>
        <v>0</v>
      </c>
      <c r="X1291" s="4">
        <f>VALUE(SUBSTITUTE(MID($A1291,E1291+E$2+1,F1291-E1291-E$2-1),",","."))</f>
        <v>0.90957602214449496</v>
      </c>
      <c r="Y1291" s="4">
        <f>VALUE(SUBSTITUTE(MID($A1291,F1291+F$2+1,G1291-F1291-F$2-1),",","."))</f>
        <v>0</v>
      </c>
      <c r="Z1291" s="3">
        <f>VALUE(SUBSTITUTE(MID($A1291,G1291+G$2+1,H1291-G1291-G$2-1),",","."))</f>
        <v>0</v>
      </c>
      <c r="AA1291" s="3">
        <f>VALUE(SUBSTITUTE(MID($A1291,H1291+H$2+1,I1291-H1291-H$2-1),",","."))</f>
        <v>0</v>
      </c>
      <c r="AB1291" s="3">
        <f>VALUE(SUBSTITUTE(MID($A1291,I1291+I$2+1,J1291-I1291-I$2-1),",","."))</f>
        <v>0</v>
      </c>
      <c r="AC1291" s="3">
        <f>VALUE(SUBSTITUTE(MID($A1291,J1291+J$2+1,K1291-J1291-J$2-1),",","."))</f>
        <v>2</v>
      </c>
      <c r="AD1291" s="3">
        <f>VALUE(SUBSTITUTE(MID($A1291,K1291+K$2+1,L1291-K1291-K$2-1),",","."))</f>
        <v>39.239999999999903</v>
      </c>
      <c r="AE1291" s="3">
        <f>VALUE(SUBSTITUTE(MID($A1291,L1291+L$2+1,M1291-L1291-L$2-1),",","."))</f>
        <v>0</v>
      </c>
      <c r="AF1291" s="3">
        <f>VALUE(SUBSTITUTE(MID($A1291,M1291+M$2+1,N1291-M1291-M$2-1),",","."))</f>
        <v>0</v>
      </c>
      <c r="AG1291" s="3">
        <f>VALUE(SUBSTITUTE(MID($A1291,N1291+N$2+1,O1291-N1291-N$2-1),",","."))</f>
        <v>4.2401943605275196</v>
      </c>
      <c r="AH1291" t="str">
        <f>MID($A1291,O1291+O$2+1,P1291-O1291-O$2-1)</f>
        <v/>
      </c>
      <c r="AI1291" s="8" t="str">
        <f>MID($A1291,P1291+P$2+1,Q1291-P1291-P$2-1)</f>
        <v>False</v>
      </c>
      <c r="AK1291" t="b">
        <f t="shared" si="174"/>
        <v>0</v>
      </c>
    </row>
    <row r="1292" spans="1:37" x14ac:dyDescent="0.35">
      <c r="A1292" t="s">
        <v>5839</v>
      </c>
      <c r="B1292">
        <f t="shared" si="172"/>
        <v>10</v>
      </c>
      <c r="C1292">
        <f t="shared" si="172"/>
        <v>43</v>
      </c>
      <c r="D1292">
        <f t="shared" si="172"/>
        <v>54</v>
      </c>
      <c r="E1292">
        <f t="shared" si="172"/>
        <v>80</v>
      </c>
      <c r="F1292">
        <f t="shared" si="172"/>
        <v>124</v>
      </c>
      <c r="G1292">
        <f t="shared" si="172"/>
        <v>145</v>
      </c>
      <c r="H1292">
        <f t="shared" si="172"/>
        <v>177</v>
      </c>
      <c r="I1292">
        <f t="shared" si="172"/>
        <v>199</v>
      </c>
      <c r="J1292">
        <f t="shared" si="172"/>
        <v>232</v>
      </c>
      <c r="K1292">
        <f t="shared" si="172"/>
        <v>251</v>
      </c>
      <c r="L1292">
        <f t="shared" si="172"/>
        <v>270</v>
      </c>
      <c r="M1292">
        <f t="shared" si="172"/>
        <v>285</v>
      </c>
      <c r="N1292">
        <f t="shared" si="172"/>
        <v>297</v>
      </c>
      <c r="O1292">
        <f t="shared" si="175"/>
        <v>322</v>
      </c>
      <c r="P1292">
        <f t="shared" si="175"/>
        <v>340</v>
      </c>
      <c r="Q1292">
        <f t="shared" si="175"/>
        <v>366</v>
      </c>
      <c r="S1292" t="str">
        <f t="shared" si="170"/>
        <v>10.12.2025</v>
      </c>
      <c r="T1292" t="str">
        <f t="shared" si="171"/>
        <v>05:30:00</v>
      </c>
      <c r="U1292" t="str">
        <f t="shared" si="173"/>
        <v>10.12.2025 05:30:00</v>
      </c>
      <c r="V1292" s="9" t="str">
        <f>MID($A1292,C1292+C$2+1,D1292-C1292-C$2-1)</f>
        <v>0</v>
      </c>
      <c r="W1292" s="4">
        <f>VALUE(SUBSTITUTE(MID($A1292,D1292+D$2+1,E1292-D1292-D$2-1),",","."))</f>
        <v>0</v>
      </c>
      <c r="X1292" s="4">
        <f>VALUE(SUBSTITUTE(MID($A1292,E1292+E$2+1,F1292-E1292-E$2-1),",","."))</f>
        <v>0.90957602214449496</v>
      </c>
      <c r="Y1292" s="4">
        <f>VALUE(SUBSTITUTE(MID($A1292,F1292+F$2+1,G1292-F1292-F$2-1),",","."))</f>
        <v>0</v>
      </c>
      <c r="Z1292" s="3">
        <f>VALUE(SUBSTITUTE(MID($A1292,G1292+G$2+1,H1292-G1292-G$2-1),",","."))</f>
        <v>0</v>
      </c>
      <c r="AA1292" s="3">
        <f>VALUE(SUBSTITUTE(MID($A1292,H1292+H$2+1,I1292-H1292-H$2-1),",","."))</f>
        <v>0</v>
      </c>
      <c r="AB1292" s="3">
        <f>VALUE(SUBSTITUTE(MID($A1292,I1292+I$2+1,J1292-I1292-I$2-1),",","."))</f>
        <v>0</v>
      </c>
      <c r="AC1292" s="3">
        <f>VALUE(SUBSTITUTE(MID($A1292,J1292+J$2+1,K1292-J1292-J$2-1),",","."))</f>
        <v>2.2999999999999998</v>
      </c>
      <c r="AD1292" s="3">
        <f>VALUE(SUBSTITUTE(MID($A1292,K1292+K$2+1,L1292-K1292-K$2-1),",","."))</f>
        <v>42.84</v>
      </c>
      <c r="AE1292" s="3">
        <f>VALUE(SUBSTITUTE(MID($A1292,L1292+L$2+1,M1292-L1292-L$2-1),",","."))</f>
        <v>0</v>
      </c>
      <c r="AF1292" s="3">
        <f>VALUE(SUBSTITUTE(MID($A1292,M1292+M$2+1,N1292-M1292-M$2-1),",","."))</f>
        <v>0</v>
      </c>
      <c r="AG1292" s="3">
        <f>VALUE(SUBSTITUTE(MID($A1292,N1292+N$2+1,O1292-N1292-N$2-1),",","."))</f>
        <v>4.2402228804156001</v>
      </c>
      <c r="AH1292" t="str">
        <f>MID($A1292,O1292+O$2+1,P1292-O1292-O$2-1)</f>
        <v/>
      </c>
      <c r="AI1292" s="8" t="str">
        <f>MID($A1292,P1292+P$2+1,Q1292-P1292-P$2-1)</f>
        <v>False</v>
      </c>
      <c r="AK1292" t="b">
        <f t="shared" si="174"/>
        <v>0</v>
      </c>
    </row>
    <row r="1293" spans="1:37" x14ac:dyDescent="0.35">
      <c r="A1293" t="s">
        <v>5840</v>
      </c>
      <c r="B1293">
        <f t="shared" si="172"/>
        <v>10</v>
      </c>
      <c r="C1293">
        <f t="shared" si="172"/>
        <v>43</v>
      </c>
      <c r="D1293">
        <f t="shared" si="172"/>
        <v>54</v>
      </c>
      <c r="E1293">
        <f t="shared" si="172"/>
        <v>80</v>
      </c>
      <c r="F1293">
        <f t="shared" si="172"/>
        <v>124</v>
      </c>
      <c r="G1293">
        <f t="shared" si="172"/>
        <v>145</v>
      </c>
      <c r="H1293">
        <f t="shared" si="172"/>
        <v>177</v>
      </c>
      <c r="I1293">
        <f t="shared" si="172"/>
        <v>199</v>
      </c>
      <c r="J1293">
        <f t="shared" si="172"/>
        <v>232</v>
      </c>
      <c r="K1293">
        <f t="shared" si="172"/>
        <v>251</v>
      </c>
      <c r="L1293">
        <f t="shared" si="172"/>
        <v>270</v>
      </c>
      <c r="M1293">
        <f t="shared" si="172"/>
        <v>285</v>
      </c>
      <c r="N1293">
        <f t="shared" si="172"/>
        <v>297</v>
      </c>
      <c r="O1293">
        <f t="shared" si="175"/>
        <v>322</v>
      </c>
      <c r="P1293">
        <f t="shared" si="175"/>
        <v>340</v>
      </c>
      <c r="Q1293">
        <f t="shared" si="175"/>
        <v>366</v>
      </c>
      <c r="S1293" t="str">
        <f t="shared" si="170"/>
        <v>10.12.2025</v>
      </c>
      <c r="T1293" t="str">
        <f t="shared" si="171"/>
        <v>05:45:00</v>
      </c>
      <c r="U1293" t="str">
        <f t="shared" si="173"/>
        <v>10.12.2025 05:45:00</v>
      </c>
      <c r="V1293" s="9" t="str">
        <f>MID($A1293,C1293+C$2+1,D1293-C1293-C$2-1)</f>
        <v>0</v>
      </c>
      <c r="W1293" s="4">
        <f>VALUE(SUBSTITUTE(MID($A1293,D1293+D$2+1,E1293-D1293-D$2-1),",","."))</f>
        <v>0</v>
      </c>
      <c r="X1293" s="4">
        <f>VALUE(SUBSTITUTE(MID($A1293,E1293+E$2+1,F1293-E1293-E$2-1),",","."))</f>
        <v>0.90957602214449496</v>
      </c>
      <c r="Y1293" s="4">
        <f>VALUE(SUBSTITUTE(MID($A1293,F1293+F$2+1,G1293-F1293-F$2-1),",","."))</f>
        <v>0</v>
      </c>
      <c r="Z1293" s="3">
        <f>VALUE(SUBSTITUTE(MID($A1293,G1293+G$2+1,H1293-G1293-G$2-1),",","."))</f>
        <v>0</v>
      </c>
      <c r="AA1293" s="3">
        <f>VALUE(SUBSTITUTE(MID($A1293,H1293+H$2+1,I1293-H1293-H$2-1),",","."))</f>
        <v>0</v>
      </c>
      <c r="AB1293" s="3">
        <f>VALUE(SUBSTITUTE(MID($A1293,I1293+I$2+1,J1293-I1293-I$2-1),",","."))</f>
        <v>0</v>
      </c>
      <c r="AC1293" s="3">
        <f>VALUE(SUBSTITUTE(MID($A1293,J1293+J$2+1,K1293-J1293-J$2-1),",","."))</f>
        <v>2.2999999999999998</v>
      </c>
      <c r="AD1293" s="3">
        <f>VALUE(SUBSTITUTE(MID($A1293,K1293+K$2+1,L1293-K1293-K$2-1),",","."))</f>
        <v>42.84</v>
      </c>
      <c r="AE1293" s="3">
        <f>VALUE(SUBSTITUTE(MID($A1293,L1293+L$2+1,M1293-L1293-L$2-1),",","."))</f>
        <v>0</v>
      </c>
      <c r="AF1293" s="3">
        <f>VALUE(SUBSTITUTE(MID($A1293,M1293+M$2+1,N1293-M1293-M$2-1),",","."))</f>
        <v>0</v>
      </c>
      <c r="AG1293" s="3">
        <f>VALUE(SUBSTITUTE(MID($A1293,N1293+N$2+1,O1293-N1293-N$2-1),",","."))</f>
        <v>4.2402514003036798</v>
      </c>
      <c r="AH1293" t="str">
        <f>MID($A1293,O1293+O$2+1,P1293-O1293-O$2-1)</f>
        <v/>
      </c>
      <c r="AI1293" s="8" t="str">
        <f>MID($A1293,P1293+P$2+1,Q1293-P1293-P$2-1)</f>
        <v>False</v>
      </c>
      <c r="AK1293" t="b">
        <f t="shared" si="174"/>
        <v>0</v>
      </c>
    </row>
    <row r="1294" spans="1:37" x14ac:dyDescent="0.35">
      <c r="A1294" t="s">
        <v>5841</v>
      </c>
      <c r="B1294">
        <f t="shared" si="172"/>
        <v>10</v>
      </c>
      <c r="C1294">
        <f t="shared" si="172"/>
        <v>43</v>
      </c>
      <c r="D1294">
        <f t="shared" si="172"/>
        <v>54</v>
      </c>
      <c r="E1294">
        <f t="shared" si="172"/>
        <v>80</v>
      </c>
      <c r="F1294">
        <f t="shared" si="172"/>
        <v>124</v>
      </c>
      <c r="G1294">
        <f t="shared" si="172"/>
        <v>145</v>
      </c>
      <c r="H1294">
        <f t="shared" si="172"/>
        <v>177</v>
      </c>
      <c r="I1294">
        <f t="shared" si="172"/>
        <v>199</v>
      </c>
      <c r="J1294">
        <f t="shared" si="172"/>
        <v>232</v>
      </c>
      <c r="K1294">
        <f t="shared" si="172"/>
        <v>251</v>
      </c>
      <c r="L1294">
        <f t="shared" si="172"/>
        <v>270</v>
      </c>
      <c r="M1294">
        <f t="shared" si="172"/>
        <v>285</v>
      </c>
      <c r="N1294">
        <f t="shared" si="172"/>
        <v>297</v>
      </c>
      <c r="O1294">
        <f t="shared" si="175"/>
        <v>321</v>
      </c>
      <c r="P1294">
        <f t="shared" si="175"/>
        <v>339</v>
      </c>
      <c r="Q1294">
        <f t="shared" si="175"/>
        <v>365</v>
      </c>
      <c r="S1294" t="str">
        <f t="shared" si="170"/>
        <v>10.12.2025</v>
      </c>
      <c r="T1294" t="str">
        <f t="shared" si="171"/>
        <v>06:00:00</v>
      </c>
      <c r="U1294" t="str">
        <f t="shared" si="173"/>
        <v>10.12.2025 06:00:00</v>
      </c>
      <c r="V1294" s="9" t="str">
        <f>MID($A1294,C1294+C$2+1,D1294-C1294-C$2-1)</f>
        <v>0</v>
      </c>
      <c r="W1294" s="4">
        <f>VALUE(SUBSTITUTE(MID($A1294,D1294+D$2+1,E1294-D1294-D$2-1),",","."))</f>
        <v>0</v>
      </c>
      <c r="X1294" s="4">
        <f>VALUE(SUBSTITUTE(MID($A1294,E1294+E$2+1,F1294-E1294-E$2-1),",","."))</f>
        <v>0.90957602214449496</v>
      </c>
      <c r="Y1294" s="4">
        <f>VALUE(SUBSTITUTE(MID($A1294,F1294+F$2+1,G1294-F1294-F$2-1),",","."))</f>
        <v>0</v>
      </c>
      <c r="Z1294" s="3">
        <f>VALUE(SUBSTITUTE(MID($A1294,G1294+G$2+1,H1294-G1294-G$2-1),",","."))</f>
        <v>0</v>
      </c>
      <c r="AA1294" s="3">
        <f>VALUE(SUBSTITUTE(MID($A1294,H1294+H$2+1,I1294-H1294-H$2-1),",","."))</f>
        <v>0</v>
      </c>
      <c r="AB1294" s="3">
        <f>VALUE(SUBSTITUTE(MID($A1294,I1294+I$2+1,J1294-I1294-I$2-1),",","."))</f>
        <v>0</v>
      </c>
      <c r="AC1294" s="3">
        <f>VALUE(SUBSTITUTE(MID($A1294,J1294+J$2+1,K1294-J1294-J$2-1),",","."))</f>
        <v>2.2999999999999998</v>
      </c>
      <c r="AD1294" s="3">
        <f>VALUE(SUBSTITUTE(MID($A1294,K1294+K$2+1,L1294-K1294-K$2-1),",","."))</f>
        <v>42.84</v>
      </c>
      <c r="AE1294" s="3">
        <f>VALUE(SUBSTITUTE(MID($A1294,L1294+L$2+1,M1294-L1294-L$2-1),",","."))</f>
        <v>0</v>
      </c>
      <c r="AF1294" s="3">
        <f>VALUE(SUBSTITUTE(MID($A1294,M1294+M$2+1,N1294-M1294-M$2-1),",","."))</f>
        <v>0</v>
      </c>
      <c r="AG1294" s="3">
        <f>VALUE(SUBSTITUTE(MID($A1294,N1294+N$2+1,O1294-N1294-N$2-1),",","."))</f>
        <v>4.24027992019177</v>
      </c>
      <c r="AH1294" t="str">
        <f>MID($A1294,O1294+O$2+1,P1294-O1294-O$2-1)</f>
        <v/>
      </c>
      <c r="AI1294" s="8" t="str">
        <f>MID($A1294,P1294+P$2+1,Q1294-P1294-P$2-1)</f>
        <v>False</v>
      </c>
      <c r="AK1294" t="b">
        <f t="shared" si="174"/>
        <v>0</v>
      </c>
    </row>
    <row r="1295" spans="1:37" x14ac:dyDescent="0.35">
      <c r="A1295" t="s">
        <v>5842</v>
      </c>
      <c r="B1295">
        <f t="shared" si="172"/>
        <v>10</v>
      </c>
      <c r="C1295">
        <f t="shared" si="172"/>
        <v>43</v>
      </c>
      <c r="D1295">
        <f t="shared" si="172"/>
        <v>54</v>
      </c>
      <c r="E1295">
        <f t="shared" si="172"/>
        <v>80</v>
      </c>
      <c r="F1295">
        <f t="shared" si="172"/>
        <v>124</v>
      </c>
      <c r="G1295">
        <f t="shared" si="172"/>
        <v>145</v>
      </c>
      <c r="H1295">
        <f t="shared" si="172"/>
        <v>177</v>
      </c>
      <c r="I1295">
        <f t="shared" si="172"/>
        <v>199</v>
      </c>
      <c r="J1295">
        <f t="shared" si="172"/>
        <v>232</v>
      </c>
      <c r="K1295">
        <f t="shared" si="172"/>
        <v>251</v>
      </c>
      <c r="L1295">
        <f t="shared" si="172"/>
        <v>270</v>
      </c>
      <c r="M1295">
        <f t="shared" si="172"/>
        <v>285</v>
      </c>
      <c r="N1295">
        <f t="shared" si="172"/>
        <v>297</v>
      </c>
      <c r="O1295">
        <f t="shared" si="175"/>
        <v>322</v>
      </c>
      <c r="P1295">
        <f t="shared" si="175"/>
        <v>340</v>
      </c>
      <c r="Q1295">
        <f t="shared" si="175"/>
        <v>366</v>
      </c>
      <c r="S1295" t="str">
        <f t="shared" si="170"/>
        <v>10.12.2025</v>
      </c>
      <c r="T1295" t="str">
        <f t="shared" si="171"/>
        <v>06:15:00</v>
      </c>
      <c r="U1295" t="str">
        <f t="shared" si="173"/>
        <v>10.12.2025 06:15:00</v>
      </c>
      <c r="V1295" s="9" t="str">
        <f>MID($A1295,C1295+C$2+1,D1295-C1295-C$2-1)</f>
        <v>0</v>
      </c>
      <c r="W1295" s="4">
        <f>VALUE(SUBSTITUTE(MID($A1295,D1295+D$2+1,E1295-D1295-D$2-1),",","."))</f>
        <v>0</v>
      </c>
      <c r="X1295" s="4">
        <f>VALUE(SUBSTITUTE(MID($A1295,E1295+E$2+1,F1295-E1295-E$2-1),",","."))</f>
        <v>0.90957602214449496</v>
      </c>
      <c r="Y1295" s="4">
        <f>VALUE(SUBSTITUTE(MID($A1295,F1295+F$2+1,G1295-F1295-F$2-1),",","."))</f>
        <v>0</v>
      </c>
      <c r="Z1295" s="3">
        <f>VALUE(SUBSTITUTE(MID($A1295,G1295+G$2+1,H1295-G1295-G$2-1),",","."))</f>
        <v>0</v>
      </c>
      <c r="AA1295" s="3">
        <f>VALUE(SUBSTITUTE(MID($A1295,H1295+H$2+1,I1295-H1295-H$2-1),",","."))</f>
        <v>0</v>
      </c>
      <c r="AB1295" s="3">
        <f>VALUE(SUBSTITUTE(MID($A1295,I1295+I$2+1,J1295-I1295-I$2-1),",","."))</f>
        <v>0</v>
      </c>
      <c r="AC1295" s="3">
        <f>VALUE(SUBSTITUTE(MID($A1295,J1295+J$2+1,K1295-J1295-J$2-1),",","."))</f>
        <v>2.2999999999999998</v>
      </c>
      <c r="AD1295" s="3">
        <f>VALUE(SUBSTITUTE(MID($A1295,K1295+K$2+1,L1295-K1295-K$2-1),",","."))</f>
        <v>42.84</v>
      </c>
      <c r="AE1295" s="3">
        <f>VALUE(SUBSTITUTE(MID($A1295,L1295+L$2+1,M1295-L1295-L$2-1),",","."))</f>
        <v>0</v>
      </c>
      <c r="AF1295" s="3">
        <f>VALUE(SUBSTITUTE(MID($A1295,M1295+M$2+1,N1295-M1295-M$2-1),",","."))</f>
        <v>0</v>
      </c>
      <c r="AG1295" s="3">
        <f>VALUE(SUBSTITUTE(MID($A1295,N1295+N$2+1,O1295-N1295-N$2-1),",","."))</f>
        <v>4.2403084400798496</v>
      </c>
      <c r="AH1295" t="str">
        <f>MID($A1295,O1295+O$2+1,P1295-O1295-O$2-1)</f>
        <v/>
      </c>
      <c r="AI1295" s="8" t="str">
        <f>MID($A1295,P1295+P$2+1,Q1295-P1295-P$2-1)</f>
        <v>False</v>
      </c>
      <c r="AK1295" t="b">
        <f t="shared" si="174"/>
        <v>0</v>
      </c>
    </row>
    <row r="1296" spans="1:37" x14ac:dyDescent="0.35">
      <c r="A1296" t="s">
        <v>5843</v>
      </c>
      <c r="B1296">
        <f t="shared" si="172"/>
        <v>10</v>
      </c>
      <c r="C1296">
        <f t="shared" si="172"/>
        <v>43</v>
      </c>
      <c r="D1296">
        <f t="shared" si="172"/>
        <v>54</v>
      </c>
      <c r="E1296">
        <f t="shared" si="172"/>
        <v>80</v>
      </c>
      <c r="F1296">
        <f t="shared" si="172"/>
        <v>124</v>
      </c>
      <c r="G1296">
        <f t="shared" si="172"/>
        <v>145</v>
      </c>
      <c r="H1296">
        <f t="shared" si="172"/>
        <v>177</v>
      </c>
      <c r="I1296">
        <f t="shared" si="172"/>
        <v>199</v>
      </c>
      <c r="J1296">
        <f t="shared" si="172"/>
        <v>232</v>
      </c>
      <c r="K1296">
        <f t="shared" si="172"/>
        <v>252</v>
      </c>
      <c r="L1296">
        <f t="shared" si="172"/>
        <v>271</v>
      </c>
      <c r="M1296">
        <f t="shared" si="172"/>
        <v>286</v>
      </c>
      <c r="N1296">
        <f t="shared" si="172"/>
        <v>298</v>
      </c>
      <c r="O1296">
        <f t="shared" si="175"/>
        <v>323</v>
      </c>
      <c r="P1296">
        <f t="shared" si="175"/>
        <v>341</v>
      </c>
      <c r="Q1296">
        <f t="shared" si="175"/>
        <v>367</v>
      </c>
      <c r="S1296" t="str">
        <f t="shared" si="170"/>
        <v>10.12.2025</v>
      </c>
      <c r="T1296" t="str">
        <f t="shared" si="171"/>
        <v>06:30:00</v>
      </c>
      <c r="U1296" t="str">
        <f t="shared" si="173"/>
        <v>10.12.2025 06:30:00</v>
      </c>
      <c r="V1296" s="9" t="str">
        <f>MID($A1296,C1296+C$2+1,D1296-C1296-C$2-1)</f>
        <v>0</v>
      </c>
      <c r="W1296" s="4">
        <f>VALUE(SUBSTITUTE(MID($A1296,D1296+D$2+1,E1296-D1296-D$2-1),",","."))</f>
        <v>0</v>
      </c>
      <c r="X1296" s="4">
        <f>VALUE(SUBSTITUTE(MID($A1296,E1296+E$2+1,F1296-E1296-E$2-1),",","."))</f>
        <v>0.90957602214449496</v>
      </c>
      <c r="Y1296" s="4">
        <f>VALUE(SUBSTITUTE(MID($A1296,F1296+F$2+1,G1296-F1296-F$2-1),",","."))</f>
        <v>0</v>
      </c>
      <c r="Z1296" s="3">
        <f>VALUE(SUBSTITUTE(MID($A1296,G1296+G$2+1,H1296-G1296-G$2-1),",","."))</f>
        <v>0</v>
      </c>
      <c r="AA1296" s="3">
        <f>VALUE(SUBSTITUTE(MID($A1296,H1296+H$2+1,I1296-H1296-H$2-1),",","."))</f>
        <v>0</v>
      </c>
      <c r="AB1296" s="3">
        <f>VALUE(SUBSTITUTE(MID($A1296,I1296+I$2+1,J1296-I1296-I$2-1),",","."))</f>
        <v>0</v>
      </c>
      <c r="AC1296" s="3">
        <f>VALUE(SUBSTITUTE(MID($A1296,J1296+J$2+1,K1296-J1296-J$2-1),",","."))</f>
        <v>2.75</v>
      </c>
      <c r="AD1296" s="3">
        <f>VALUE(SUBSTITUTE(MID($A1296,K1296+K$2+1,L1296-K1296-K$2-1),",","."))</f>
        <v>46.44</v>
      </c>
      <c r="AE1296" s="3">
        <f>VALUE(SUBSTITUTE(MID($A1296,L1296+L$2+1,M1296-L1296-L$2-1),",","."))</f>
        <v>0</v>
      </c>
      <c r="AF1296" s="3">
        <f>VALUE(SUBSTITUTE(MID($A1296,M1296+M$2+1,N1296-M1296-M$2-1),",","."))</f>
        <v>0</v>
      </c>
      <c r="AG1296" s="3">
        <f>VALUE(SUBSTITUTE(MID($A1296,N1296+N$2+1,O1296-N1296-N$2-1),",","."))</f>
        <v>4.2403369599679301</v>
      </c>
      <c r="AH1296" t="str">
        <f>MID($A1296,O1296+O$2+1,P1296-O1296-O$2-1)</f>
        <v/>
      </c>
      <c r="AI1296" s="8" t="str">
        <f>MID($A1296,P1296+P$2+1,Q1296-P1296-P$2-1)</f>
        <v>False</v>
      </c>
      <c r="AK1296" t="b">
        <f t="shared" si="174"/>
        <v>0</v>
      </c>
    </row>
    <row r="1297" spans="1:37" x14ac:dyDescent="0.35">
      <c r="A1297" t="s">
        <v>5844</v>
      </c>
      <c r="B1297">
        <f t="shared" si="172"/>
        <v>10</v>
      </c>
      <c r="C1297">
        <f t="shared" si="172"/>
        <v>43</v>
      </c>
      <c r="D1297">
        <f t="shared" si="172"/>
        <v>54</v>
      </c>
      <c r="E1297">
        <f t="shared" si="172"/>
        <v>80</v>
      </c>
      <c r="F1297">
        <f t="shared" si="172"/>
        <v>124</v>
      </c>
      <c r="G1297">
        <f t="shared" si="172"/>
        <v>145</v>
      </c>
      <c r="H1297">
        <f t="shared" si="172"/>
        <v>177</v>
      </c>
      <c r="I1297">
        <f t="shared" si="172"/>
        <v>199</v>
      </c>
      <c r="J1297">
        <f t="shared" si="172"/>
        <v>232</v>
      </c>
      <c r="K1297">
        <f t="shared" si="172"/>
        <v>252</v>
      </c>
      <c r="L1297">
        <f t="shared" si="172"/>
        <v>271</v>
      </c>
      <c r="M1297">
        <f t="shared" si="172"/>
        <v>286</v>
      </c>
      <c r="N1297">
        <f t="shared" si="172"/>
        <v>298</v>
      </c>
      <c r="O1297">
        <f t="shared" si="175"/>
        <v>323</v>
      </c>
      <c r="P1297">
        <f t="shared" si="175"/>
        <v>341</v>
      </c>
      <c r="Q1297">
        <f t="shared" si="175"/>
        <v>367</v>
      </c>
      <c r="S1297" t="str">
        <f t="shared" si="170"/>
        <v>10.12.2025</v>
      </c>
      <c r="T1297" t="str">
        <f t="shared" si="171"/>
        <v>06:45:00</v>
      </c>
      <c r="U1297" t="str">
        <f t="shared" si="173"/>
        <v>10.12.2025 06:45:00</v>
      </c>
      <c r="V1297" s="9" t="str">
        <f>MID($A1297,C1297+C$2+1,D1297-C1297-C$2-1)</f>
        <v>0</v>
      </c>
      <c r="W1297" s="4">
        <f>VALUE(SUBSTITUTE(MID($A1297,D1297+D$2+1,E1297-D1297-D$2-1),",","."))</f>
        <v>0</v>
      </c>
      <c r="X1297" s="4">
        <f>VALUE(SUBSTITUTE(MID($A1297,E1297+E$2+1,F1297-E1297-E$2-1),",","."))</f>
        <v>0.90957602214449496</v>
      </c>
      <c r="Y1297" s="4">
        <f>VALUE(SUBSTITUTE(MID($A1297,F1297+F$2+1,G1297-F1297-F$2-1),",","."))</f>
        <v>0</v>
      </c>
      <c r="Z1297" s="3">
        <f>VALUE(SUBSTITUTE(MID($A1297,G1297+G$2+1,H1297-G1297-G$2-1),",","."))</f>
        <v>0</v>
      </c>
      <c r="AA1297" s="3">
        <f>VALUE(SUBSTITUTE(MID($A1297,H1297+H$2+1,I1297-H1297-H$2-1),",","."))</f>
        <v>0</v>
      </c>
      <c r="AB1297" s="3">
        <f>VALUE(SUBSTITUTE(MID($A1297,I1297+I$2+1,J1297-I1297-I$2-1),",","."))</f>
        <v>0</v>
      </c>
      <c r="AC1297" s="3">
        <f>VALUE(SUBSTITUTE(MID($A1297,J1297+J$2+1,K1297-J1297-J$2-1),",","."))</f>
        <v>2.75</v>
      </c>
      <c r="AD1297" s="3">
        <f>VALUE(SUBSTITUTE(MID($A1297,K1297+K$2+1,L1297-K1297-K$2-1),",","."))</f>
        <v>46.44</v>
      </c>
      <c r="AE1297" s="3">
        <f>VALUE(SUBSTITUTE(MID($A1297,L1297+L$2+1,M1297-L1297-L$2-1),",","."))</f>
        <v>0</v>
      </c>
      <c r="AF1297" s="3">
        <f>VALUE(SUBSTITUTE(MID($A1297,M1297+M$2+1,N1297-M1297-M$2-1),",","."))</f>
        <v>0</v>
      </c>
      <c r="AG1297" s="3">
        <f>VALUE(SUBSTITUTE(MID($A1297,N1297+N$2+1,O1297-N1297-N$2-1),",","."))</f>
        <v>4.2403654798560098</v>
      </c>
      <c r="AH1297" t="str">
        <f>MID($A1297,O1297+O$2+1,P1297-O1297-O$2-1)</f>
        <v/>
      </c>
      <c r="AI1297" s="8" t="str">
        <f>MID($A1297,P1297+P$2+1,Q1297-P1297-P$2-1)</f>
        <v>False</v>
      </c>
      <c r="AK1297" t="b">
        <f t="shared" si="174"/>
        <v>0</v>
      </c>
    </row>
    <row r="1298" spans="1:37" x14ac:dyDescent="0.35">
      <c r="A1298" t="s">
        <v>5845</v>
      </c>
      <c r="B1298">
        <f t="shared" si="172"/>
        <v>10</v>
      </c>
      <c r="C1298">
        <f t="shared" si="172"/>
        <v>43</v>
      </c>
      <c r="D1298">
        <f t="shared" si="172"/>
        <v>54</v>
      </c>
      <c r="E1298">
        <f t="shared" si="172"/>
        <v>80</v>
      </c>
      <c r="F1298">
        <f t="shared" si="172"/>
        <v>124</v>
      </c>
      <c r="G1298">
        <f t="shared" si="172"/>
        <v>145</v>
      </c>
      <c r="H1298">
        <f t="shared" si="172"/>
        <v>177</v>
      </c>
      <c r="I1298">
        <f t="shared" si="172"/>
        <v>199</v>
      </c>
      <c r="J1298">
        <f t="shared" si="172"/>
        <v>232</v>
      </c>
      <c r="K1298">
        <f t="shared" si="172"/>
        <v>252</v>
      </c>
      <c r="L1298">
        <f t="shared" si="172"/>
        <v>271</v>
      </c>
      <c r="M1298">
        <f t="shared" si="172"/>
        <v>286</v>
      </c>
      <c r="N1298">
        <f t="shared" si="172"/>
        <v>298</v>
      </c>
      <c r="O1298">
        <f t="shared" si="175"/>
        <v>324</v>
      </c>
      <c r="P1298">
        <f t="shared" si="175"/>
        <v>342</v>
      </c>
      <c r="Q1298">
        <f t="shared" si="175"/>
        <v>368</v>
      </c>
      <c r="S1298" t="str">
        <f t="shared" si="170"/>
        <v>10.12.2025</v>
      </c>
      <c r="T1298" t="str">
        <f t="shared" si="171"/>
        <v>07:00:00</v>
      </c>
      <c r="U1298" t="str">
        <f t="shared" si="173"/>
        <v>10.12.2025 07:00:00</v>
      </c>
      <c r="V1298" s="9" t="str">
        <f>MID($A1298,C1298+C$2+1,D1298-C1298-C$2-1)</f>
        <v>0</v>
      </c>
      <c r="W1298" s="4">
        <f>VALUE(SUBSTITUTE(MID($A1298,D1298+D$2+1,E1298-D1298-D$2-1),",","."))</f>
        <v>0</v>
      </c>
      <c r="X1298" s="4">
        <f>VALUE(SUBSTITUTE(MID($A1298,E1298+E$2+1,F1298-E1298-E$2-1),",","."))</f>
        <v>0.90957602214449496</v>
      </c>
      <c r="Y1298" s="4">
        <f>VALUE(SUBSTITUTE(MID($A1298,F1298+F$2+1,G1298-F1298-F$2-1),",","."))</f>
        <v>0</v>
      </c>
      <c r="Z1298" s="3">
        <f>VALUE(SUBSTITUTE(MID($A1298,G1298+G$2+1,H1298-G1298-G$2-1),",","."))</f>
        <v>0</v>
      </c>
      <c r="AA1298" s="3">
        <f>VALUE(SUBSTITUTE(MID($A1298,H1298+H$2+1,I1298-H1298-H$2-1),",","."))</f>
        <v>0</v>
      </c>
      <c r="AB1298" s="3">
        <f>VALUE(SUBSTITUTE(MID($A1298,I1298+I$2+1,J1298-I1298-I$2-1),",","."))</f>
        <v>0</v>
      </c>
      <c r="AC1298" s="3">
        <f>VALUE(SUBSTITUTE(MID($A1298,J1298+J$2+1,K1298-J1298-J$2-1),",","."))</f>
        <v>2.75</v>
      </c>
      <c r="AD1298" s="3">
        <f>VALUE(SUBSTITUTE(MID($A1298,K1298+K$2+1,L1298-K1298-K$2-1),",","."))</f>
        <v>46.44</v>
      </c>
      <c r="AE1298" s="3">
        <f>VALUE(SUBSTITUTE(MID($A1298,L1298+L$2+1,M1298-L1298-L$2-1),",","."))</f>
        <v>0</v>
      </c>
      <c r="AF1298" s="3">
        <f>VALUE(SUBSTITUTE(MID($A1298,M1298+M$2+1,N1298-M1298-M$2-1),",","."))</f>
        <v>0</v>
      </c>
      <c r="AG1298" s="3">
        <f>VALUE(SUBSTITUTE(MID($A1298,N1298+N$2+1,O1298-N1298-N$2-1),",","."))</f>
        <v>4.2403939997440903</v>
      </c>
      <c r="AH1298" t="str">
        <f>MID($A1298,O1298+O$2+1,P1298-O1298-O$2-1)</f>
        <v/>
      </c>
      <c r="AI1298" s="8" t="str">
        <f>MID($A1298,P1298+P$2+1,Q1298-P1298-P$2-1)</f>
        <v>False</v>
      </c>
      <c r="AK1298" t="b">
        <f t="shared" si="174"/>
        <v>0</v>
      </c>
    </row>
    <row r="1299" spans="1:37" x14ac:dyDescent="0.35">
      <c r="A1299" t="s">
        <v>5846</v>
      </c>
      <c r="B1299">
        <f t="shared" si="172"/>
        <v>10</v>
      </c>
      <c r="C1299">
        <f t="shared" si="172"/>
        <v>43</v>
      </c>
      <c r="D1299">
        <f t="shared" si="172"/>
        <v>54</v>
      </c>
      <c r="E1299">
        <f t="shared" si="172"/>
        <v>80</v>
      </c>
      <c r="F1299">
        <f t="shared" si="172"/>
        <v>124</v>
      </c>
      <c r="G1299">
        <f t="shared" si="172"/>
        <v>145</v>
      </c>
      <c r="H1299">
        <f t="shared" si="172"/>
        <v>177</v>
      </c>
      <c r="I1299">
        <f t="shared" si="172"/>
        <v>199</v>
      </c>
      <c r="J1299">
        <f t="shared" si="172"/>
        <v>232</v>
      </c>
      <c r="K1299">
        <f t="shared" si="172"/>
        <v>252</v>
      </c>
      <c r="L1299">
        <f t="shared" si="172"/>
        <v>271</v>
      </c>
      <c r="M1299">
        <f t="shared" si="172"/>
        <v>286</v>
      </c>
      <c r="N1299">
        <f t="shared" si="172"/>
        <v>298</v>
      </c>
      <c r="O1299">
        <f t="shared" si="175"/>
        <v>323</v>
      </c>
      <c r="P1299">
        <f t="shared" si="175"/>
        <v>341</v>
      </c>
      <c r="Q1299">
        <f t="shared" si="175"/>
        <v>367</v>
      </c>
      <c r="S1299" t="str">
        <f t="shared" si="170"/>
        <v>10.12.2025</v>
      </c>
      <c r="T1299" t="str">
        <f t="shared" si="171"/>
        <v>07:15:00</v>
      </c>
      <c r="U1299" t="str">
        <f t="shared" si="173"/>
        <v>10.12.2025 07:15:00</v>
      </c>
      <c r="V1299" s="9" t="str">
        <f>MID($A1299,C1299+C$2+1,D1299-C1299-C$2-1)</f>
        <v>0</v>
      </c>
      <c r="W1299" s="4">
        <f>VALUE(SUBSTITUTE(MID($A1299,D1299+D$2+1,E1299-D1299-D$2-1),",","."))</f>
        <v>0</v>
      </c>
      <c r="X1299" s="4">
        <f>VALUE(SUBSTITUTE(MID($A1299,E1299+E$2+1,F1299-E1299-E$2-1),",","."))</f>
        <v>0.90957602214449496</v>
      </c>
      <c r="Y1299" s="4">
        <f>VALUE(SUBSTITUTE(MID($A1299,F1299+F$2+1,G1299-F1299-F$2-1),",","."))</f>
        <v>0</v>
      </c>
      <c r="Z1299" s="3">
        <f>VALUE(SUBSTITUTE(MID($A1299,G1299+G$2+1,H1299-G1299-G$2-1),",","."))</f>
        <v>0</v>
      </c>
      <c r="AA1299" s="3">
        <f>VALUE(SUBSTITUTE(MID($A1299,H1299+H$2+1,I1299-H1299-H$2-1),",","."))</f>
        <v>0</v>
      </c>
      <c r="AB1299" s="3">
        <f>VALUE(SUBSTITUTE(MID($A1299,I1299+I$2+1,J1299-I1299-I$2-1),",","."))</f>
        <v>0</v>
      </c>
      <c r="AC1299" s="3">
        <f>VALUE(SUBSTITUTE(MID($A1299,J1299+J$2+1,K1299-J1299-J$2-1),",","."))</f>
        <v>2.75</v>
      </c>
      <c r="AD1299" s="3">
        <f>VALUE(SUBSTITUTE(MID($A1299,K1299+K$2+1,L1299-K1299-K$2-1),",","."))</f>
        <v>46.44</v>
      </c>
      <c r="AE1299" s="3">
        <f>VALUE(SUBSTITUTE(MID($A1299,L1299+L$2+1,M1299-L1299-L$2-1),",","."))</f>
        <v>0</v>
      </c>
      <c r="AF1299" s="3">
        <f>VALUE(SUBSTITUTE(MID($A1299,M1299+M$2+1,N1299-M1299-M$2-1),",","."))</f>
        <v>0</v>
      </c>
      <c r="AG1299" s="3">
        <f>VALUE(SUBSTITUTE(MID($A1299,N1299+N$2+1,O1299-N1299-N$2-1),",","."))</f>
        <v>4.2404225196321699</v>
      </c>
      <c r="AH1299" t="str">
        <f>MID($A1299,O1299+O$2+1,P1299-O1299-O$2-1)</f>
        <v/>
      </c>
      <c r="AI1299" s="8" t="str">
        <f>MID($A1299,P1299+P$2+1,Q1299-P1299-P$2-1)</f>
        <v>False</v>
      </c>
      <c r="AK1299" t="b">
        <f t="shared" si="174"/>
        <v>0</v>
      </c>
    </row>
    <row r="1300" spans="1:37" x14ac:dyDescent="0.35">
      <c r="A1300" t="s">
        <v>5847</v>
      </c>
      <c r="B1300">
        <f t="shared" si="172"/>
        <v>10</v>
      </c>
      <c r="C1300">
        <f t="shared" si="172"/>
        <v>43</v>
      </c>
      <c r="D1300">
        <f t="shared" si="172"/>
        <v>54</v>
      </c>
      <c r="E1300">
        <f t="shared" si="172"/>
        <v>80</v>
      </c>
      <c r="F1300">
        <f t="shared" si="172"/>
        <v>124</v>
      </c>
      <c r="G1300">
        <f t="shared" si="172"/>
        <v>145</v>
      </c>
      <c r="H1300">
        <f t="shared" si="172"/>
        <v>177</v>
      </c>
      <c r="I1300">
        <f t="shared" si="172"/>
        <v>199</v>
      </c>
      <c r="J1300">
        <f t="shared" si="172"/>
        <v>232</v>
      </c>
      <c r="K1300">
        <f t="shared" si="172"/>
        <v>251</v>
      </c>
      <c r="L1300">
        <f t="shared" si="172"/>
        <v>270</v>
      </c>
      <c r="M1300">
        <f t="shared" si="172"/>
        <v>285</v>
      </c>
      <c r="N1300">
        <f t="shared" si="172"/>
        <v>297</v>
      </c>
      <c r="O1300">
        <f t="shared" si="175"/>
        <v>322</v>
      </c>
      <c r="P1300">
        <f t="shared" si="175"/>
        <v>340</v>
      </c>
      <c r="Q1300">
        <f t="shared" si="175"/>
        <v>366</v>
      </c>
      <c r="S1300" t="str">
        <f t="shared" si="170"/>
        <v>10.12.2025</v>
      </c>
      <c r="T1300" t="str">
        <f t="shared" si="171"/>
        <v>07:30:00</v>
      </c>
      <c r="U1300" t="str">
        <f t="shared" si="173"/>
        <v>10.12.2025 07:30:00</v>
      </c>
      <c r="V1300" s="9" t="str">
        <f>MID($A1300,C1300+C$2+1,D1300-C1300-C$2-1)</f>
        <v>0</v>
      </c>
      <c r="W1300" s="4">
        <f>VALUE(SUBSTITUTE(MID($A1300,D1300+D$2+1,E1300-D1300-D$2-1),",","."))</f>
        <v>0</v>
      </c>
      <c r="X1300" s="4">
        <f>VALUE(SUBSTITUTE(MID($A1300,E1300+E$2+1,F1300-E1300-E$2-1),",","."))</f>
        <v>0.90957602214449496</v>
      </c>
      <c r="Y1300" s="4">
        <f>VALUE(SUBSTITUTE(MID($A1300,F1300+F$2+1,G1300-F1300-F$2-1),",","."))</f>
        <v>0</v>
      </c>
      <c r="Z1300" s="3">
        <f>VALUE(SUBSTITUTE(MID($A1300,G1300+G$2+1,H1300-G1300-G$2-1),",","."))</f>
        <v>0</v>
      </c>
      <c r="AA1300" s="3">
        <f>VALUE(SUBSTITUTE(MID($A1300,H1300+H$2+1,I1300-H1300-H$2-1),",","."))</f>
        <v>0</v>
      </c>
      <c r="AB1300" s="3">
        <f>VALUE(SUBSTITUTE(MID($A1300,I1300+I$2+1,J1300-I1300-I$2-1),",","."))</f>
        <v>0</v>
      </c>
      <c r="AC1300" s="3">
        <f>VALUE(SUBSTITUTE(MID($A1300,J1300+J$2+1,K1300-J1300-J$2-1),",","."))</f>
        <v>3.5</v>
      </c>
      <c r="AD1300" s="3">
        <f>VALUE(SUBSTITUTE(MID($A1300,K1300+K$2+1,L1300-K1300-K$2-1),",","."))</f>
        <v>50.94</v>
      </c>
      <c r="AE1300" s="3">
        <f>VALUE(SUBSTITUTE(MID($A1300,L1300+L$2+1,M1300-L1300-L$2-1),",","."))</f>
        <v>0</v>
      </c>
      <c r="AF1300" s="3">
        <f>VALUE(SUBSTITUTE(MID($A1300,M1300+M$2+1,N1300-M1300-M$2-1),",","."))</f>
        <v>0</v>
      </c>
      <c r="AG1300" s="3">
        <f>VALUE(SUBSTITUTE(MID($A1300,N1300+N$2+1,O1300-N1300-N$2-1),",","."))</f>
        <v>4.2404510395202504</v>
      </c>
      <c r="AH1300" t="str">
        <f>MID($A1300,O1300+O$2+1,P1300-O1300-O$2-1)</f>
        <v/>
      </c>
      <c r="AI1300" s="8" t="str">
        <f>MID($A1300,P1300+P$2+1,Q1300-P1300-P$2-1)</f>
        <v>False</v>
      </c>
      <c r="AK1300" t="b">
        <f t="shared" si="174"/>
        <v>0</v>
      </c>
    </row>
    <row r="1301" spans="1:37" x14ac:dyDescent="0.35">
      <c r="A1301" t="s">
        <v>5848</v>
      </c>
      <c r="B1301">
        <f t="shared" si="172"/>
        <v>10</v>
      </c>
      <c r="C1301">
        <f t="shared" si="172"/>
        <v>43</v>
      </c>
      <c r="D1301">
        <f t="shared" si="172"/>
        <v>54</v>
      </c>
      <c r="E1301">
        <f t="shared" si="172"/>
        <v>80</v>
      </c>
      <c r="F1301">
        <f t="shared" si="172"/>
        <v>124</v>
      </c>
      <c r="G1301">
        <f t="shared" si="172"/>
        <v>145</v>
      </c>
      <c r="H1301">
        <f t="shared" si="172"/>
        <v>177</v>
      </c>
      <c r="I1301">
        <f t="shared" si="172"/>
        <v>199</v>
      </c>
      <c r="J1301">
        <f t="shared" si="172"/>
        <v>232</v>
      </c>
      <c r="K1301">
        <f t="shared" si="172"/>
        <v>251</v>
      </c>
      <c r="L1301">
        <f t="shared" si="172"/>
        <v>270</v>
      </c>
      <c r="M1301">
        <f t="shared" si="172"/>
        <v>285</v>
      </c>
      <c r="N1301">
        <f t="shared" si="172"/>
        <v>297</v>
      </c>
      <c r="O1301">
        <f t="shared" si="175"/>
        <v>323</v>
      </c>
      <c r="P1301">
        <f t="shared" si="175"/>
        <v>341</v>
      </c>
      <c r="Q1301">
        <f t="shared" si="175"/>
        <v>367</v>
      </c>
      <c r="S1301" t="str">
        <f t="shared" si="170"/>
        <v>10.12.2025</v>
      </c>
      <c r="T1301" t="str">
        <f t="shared" si="171"/>
        <v>07:45:00</v>
      </c>
      <c r="U1301" t="str">
        <f t="shared" si="173"/>
        <v>10.12.2025 07:45:00</v>
      </c>
      <c r="V1301" s="9" t="str">
        <f>MID($A1301,C1301+C$2+1,D1301-C1301-C$2-1)</f>
        <v>0</v>
      </c>
      <c r="W1301" s="4">
        <f>VALUE(SUBSTITUTE(MID($A1301,D1301+D$2+1,E1301-D1301-D$2-1),",","."))</f>
        <v>0</v>
      </c>
      <c r="X1301" s="4">
        <f>VALUE(SUBSTITUTE(MID($A1301,E1301+E$2+1,F1301-E1301-E$2-1),",","."))</f>
        <v>0.90957602214449496</v>
      </c>
      <c r="Y1301" s="4">
        <f>VALUE(SUBSTITUTE(MID($A1301,F1301+F$2+1,G1301-F1301-F$2-1),",","."))</f>
        <v>0</v>
      </c>
      <c r="Z1301" s="3">
        <f>VALUE(SUBSTITUTE(MID($A1301,G1301+G$2+1,H1301-G1301-G$2-1),",","."))</f>
        <v>0</v>
      </c>
      <c r="AA1301" s="3">
        <f>VALUE(SUBSTITUTE(MID($A1301,H1301+H$2+1,I1301-H1301-H$2-1),",","."))</f>
        <v>0</v>
      </c>
      <c r="AB1301" s="3">
        <f>VALUE(SUBSTITUTE(MID($A1301,I1301+I$2+1,J1301-I1301-I$2-1),",","."))</f>
        <v>0</v>
      </c>
      <c r="AC1301" s="3">
        <f>VALUE(SUBSTITUTE(MID($A1301,J1301+J$2+1,K1301-J1301-J$2-1),",","."))</f>
        <v>3.5</v>
      </c>
      <c r="AD1301" s="3">
        <f>VALUE(SUBSTITUTE(MID($A1301,K1301+K$2+1,L1301-K1301-K$2-1),",","."))</f>
        <v>50.94</v>
      </c>
      <c r="AE1301" s="3">
        <f>VALUE(SUBSTITUTE(MID($A1301,L1301+L$2+1,M1301-L1301-L$2-1),",","."))</f>
        <v>0</v>
      </c>
      <c r="AF1301" s="3">
        <f>VALUE(SUBSTITUTE(MID($A1301,M1301+M$2+1,N1301-M1301-M$2-1),",","."))</f>
        <v>0</v>
      </c>
      <c r="AG1301" s="3">
        <f>VALUE(SUBSTITUTE(MID($A1301,N1301+N$2+1,O1301-N1301-N$2-1),",","."))</f>
        <v>4.2404795594083398</v>
      </c>
      <c r="AH1301" t="str">
        <f>MID($A1301,O1301+O$2+1,P1301-O1301-O$2-1)</f>
        <v/>
      </c>
      <c r="AI1301" s="8" t="str">
        <f>MID($A1301,P1301+P$2+1,Q1301-P1301-P$2-1)</f>
        <v>False</v>
      </c>
      <c r="AK1301" t="b">
        <f t="shared" si="174"/>
        <v>0</v>
      </c>
    </row>
    <row r="1302" spans="1:37" x14ac:dyDescent="0.35">
      <c r="A1302" t="s">
        <v>5849</v>
      </c>
      <c r="B1302">
        <f t="shared" si="172"/>
        <v>10</v>
      </c>
      <c r="C1302">
        <f t="shared" si="172"/>
        <v>43</v>
      </c>
      <c r="D1302">
        <f t="shared" si="172"/>
        <v>54</v>
      </c>
      <c r="E1302">
        <f t="shared" si="172"/>
        <v>80</v>
      </c>
      <c r="F1302">
        <f t="shared" si="172"/>
        <v>124</v>
      </c>
      <c r="G1302">
        <f t="shared" si="172"/>
        <v>164</v>
      </c>
      <c r="H1302">
        <f t="shared" si="172"/>
        <v>196</v>
      </c>
      <c r="I1302">
        <f t="shared" si="172"/>
        <v>218</v>
      </c>
      <c r="J1302">
        <f t="shared" si="172"/>
        <v>251</v>
      </c>
      <c r="K1302">
        <f t="shared" si="172"/>
        <v>270</v>
      </c>
      <c r="L1302">
        <f t="shared" si="172"/>
        <v>289</v>
      </c>
      <c r="M1302">
        <f t="shared" si="172"/>
        <v>304</v>
      </c>
      <c r="N1302">
        <f t="shared" si="172"/>
        <v>316</v>
      </c>
      <c r="O1302">
        <f t="shared" si="175"/>
        <v>341</v>
      </c>
      <c r="P1302">
        <f t="shared" si="175"/>
        <v>359</v>
      </c>
      <c r="Q1302">
        <f t="shared" si="175"/>
        <v>385</v>
      </c>
      <c r="S1302" t="str">
        <f t="shared" si="170"/>
        <v>10.12.2025</v>
      </c>
      <c r="T1302" t="str">
        <f t="shared" si="171"/>
        <v>08:00:00</v>
      </c>
      <c r="U1302" t="str">
        <f t="shared" si="173"/>
        <v>10.12.2025 08:00:00</v>
      </c>
      <c r="V1302" s="9" t="str">
        <f>MID($A1302,C1302+C$2+1,D1302-C1302-C$2-1)</f>
        <v>0</v>
      </c>
      <c r="W1302" s="4">
        <f>VALUE(SUBSTITUTE(MID($A1302,D1302+D$2+1,E1302-D1302-D$2-1),",","."))</f>
        <v>0</v>
      </c>
      <c r="X1302" s="4">
        <f>VALUE(SUBSTITUTE(MID($A1302,E1302+E$2+1,F1302-E1302-E$2-1),",","."))</f>
        <v>0.90957602214449496</v>
      </c>
      <c r="Y1302" s="4">
        <f>VALUE(SUBSTITUTE(MID($A1302,F1302+F$2+1,G1302-F1302-F$2-1),",","."))</f>
        <v>9.5270822519046092E-3</v>
      </c>
      <c r="Z1302" s="3">
        <f>VALUE(SUBSTITUTE(MID($A1302,G1302+G$2+1,H1302-G1302-G$2-1),",","."))</f>
        <v>0</v>
      </c>
      <c r="AA1302" s="3">
        <f>VALUE(SUBSTITUTE(MID($A1302,H1302+H$2+1,I1302-H1302-H$2-1),",","."))</f>
        <v>0</v>
      </c>
      <c r="AB1302" s="3">
        <f>VALUE(SUBSTITUTE(MID($A1302,I1302+I$2+1,J1302-I1302-I$2-1),",","."))</f>
        <v>0</v>
      </c>
      <c r="AC1302" s="3">
        <f>VALUE(SUBSTITUTE(MID($A1302,J1302+J$2+1,K1302-J1302-J$2-1),",","."))</f>
        <v>3.5</v>
      </c>
      <c r="AD1302" s="3">
        <f>VALUE(SUBSTITUTE(MID($A1302,K1302+K$2+1,L1302-K1302-K$2-1),",","."))</f>
        <v>50.94</v>
      </c>
      <c r="AE1302" s="3">
        <f>VALUE(SUBSTITUTE(MID($A1302,L1302+L$2+1,M1302-L1302-L$2-1),",","."))</f>
        <v>0</v>
      </c>
      <c r="AF1302" s="3">
        <f>VALUE(SUBSTITUTE(MID($A1302,M1302+M$2+1,N1302-M1302-M$2-1),",","."))</f>
        <v>0</v>
      </c>
      <c r="AG1302" s="3">
        <f>VALUE(SUBSTITUTE(MID($A1302,N1302+N$2+1,O1302-N1302-N$2-1),",","."))</f>
        <v>4.2405080792964203</v>
      </c>
      <c r="AH1302" t="str">
        <f>MID($A1302,O1302+O$2+1,P1302-O1302-O$2-1)</f>
        <v/>
      </c>
      <c r="AI1302" s="8" t="str">
        <f>MID($A1302,P1302+P$2+1,Q1302-P1302-P$2-1)</f>
        <v>False</v>
      </c>
      <c r="AK1302" t="b">
        <f t="shared" si="174"/>
        <v>0</v>
      </c>
    </row>
    <row r="1303" spans="1:37" x14ac:dyDescent="0.35">
      <c r="A1303" t="s">
        <v>5850</v>
      </c>
      <c r="B1303">
        <f t="shared" si="172"/>
        <v>10</v>
      </c>
      <c r="C1303">
        <f t="shared" si="172"/>
        <v>43</v>
      </c>
      <c r="D1303">
        <f t="shared" si="172"/>
        <v>54</v>
      </c>
      <c r="E1303">
        <f t="shared" si="172"/>
        <v>96</v>
      </c>
      <c r="F1303">
        <f t="shared" si="172"/>
        <v>140</v>
      </c>
      <c r="G1303">
        <f t="shared" si="172"/>
        <v>180</v>
      </c>
      <c r="H1303">
        <f t="shared" si="172"/>
        <v>212</v>
      </c>
      <c r="I1303">
        <f t="shared" si="172"/>
        <v>234</v>
      </c>
      <c r="J1303">
        <f t="shared" si="172"/>
        <v>267</v>
      </c>
      <c r="K1303">
        <f t="shared" si="172"/>
        <v>286</v>
      </c>
      <c r="L1303">
        <f t="shared" si="172"/>
        <v>305</v>
      </c>
      <c r="M1303">
        <f t="shared" si="172"/>
        <v>320</v>
      </c>
      <c r="N1303">
        <f t="shared" si="172"/>
        <v>332</v>
      </c>
      <c r="O1303">
        <f t="shared" si="175"/>
        <v>357</v>
      </c>
      <c r="P1303">
        <f t="shared" si="175"/>
        <v>375</v>
      </c>
      <c r="Q1303">
        <f t="shared" si="175"/>
        <v>401</v>
      </c>
      <c r="S1303" t="str">
        <f t="shared" si="170"/>
        <v>10.12.2025</v>
      </c>
      <c r="T1303" t="str">
        <f t="shared" si="171"/>
        <v>08:15:00</v>
      </c>
      <c r="U1303" t="str">
        <f t="shared" si="173"/>
        <v>10.12.2025 08:15:00</v>
      </c>
      <c r="V1303" s="9" t="str">
        <f>MID($A1303,C1303+C$2+1,D1303-C1303-C$2-1)</f>
        <v>0</v>
      </c>
      <c r="W1303" s="4">
        <f>VALUE(SUBSTITUTE(MID($A1303,D1303+D$2+1,E1303-D1303-D$2-1),",","."))</f>
        <v>0.52732579211685104</v>
      </c>
      <c r="X1303" s="4">
        <f>VALUE(SUBSTITUTE(MID($A1303,E1303+E$2+1,F1303-E1303-E$2-1),",","."))</f>
        <v>0.90957602214449496</v>
      </c>
      <c r="Y1303" s="4">
        <f>VALUE(SUBSTITUTE(MID($A1303,F1303+F$2+1,G1303-F1303-F$2-1),",","."))</f>
        <v>4.1651374032025602E-2</v>
      </c>
      <c r="Z1303" s="3">
        <f>VALUE(SUBSTITUTE(MID($A1303,G1303+G$2+1,H1303-G1303-G$2-1),",","."))</f>
        <v>0</v>
      </c>
      <c r="AA1303" s="3">
        <f>VALUE(SUBSTITUTE(MID($A1303,H1303+H$2+1,I1303-H1303-H$2-1),",","."))</f>
        <v>0</v>
      </c>
      <c r="AB1303" s="3">
        <f>VALUE(SUBSTITUTE(MID($A1303,I1303+I$2+1,J1303-I1303-I$2-1),",","."))</f>
        <v>0</v>
      </c>
      <c r="AC1303" s="3">
        <f>VALUE(SUBSTITUTE(MID($A1303,J1303+J$2+1,K1303-J1303-J$2-1),",","."))</f>
        <v>3.5</v>
      </c>
      <c r="AD1303" s="3">
        <f>VALUE(SUBSTITUTE(MID($A1303,K1303+K$2+1,L1303-K1303-K$2-1),",","."))</f>
        <v>50.94</v>
      </c>
      <c r="AE1303" s="3">
        <f>VALUE(SUBSTITUTE(MID($A1303,L1303+L$2+1,M1303-L1303-L$2-1),",","."))</f>
        <v>0</v>
      </c>
      <c r="AF1303" s="3">
        <f>VALUE(SUBSTITUTE(MID($A1303,M1303+M$2+1,N1303-M1303-M$2-1),",","."))</f>
        <v>0</v>
      </c>
      <c r="AG1303" s="3">
        <f>VALUE(SUBSTITUTE(MID($A1303,N1303+N$2+1,O1303-N1303-N$2-1),",","."))</f>
        <v>4.2405365991844999</v>
      </c>
      <c r="AH1303" t="str">
        <f>MID($A1303,O1303+O$2+1,P1303-O1303-O$2-1)</f>
        <v/>
      </c>
      <c r="AI1303" s="8" t="str">
        <f>MID($A1303,P1303+P$2+1,Q1303-P1303-P$2-1)</f>
        <v>False</v>
      </c>
      <c r="AK1303" t="b">
        <f t="shared" si="174"/>
        <v>0</v>
      </c>
    </row>
    <row r="1304" spans="1:37" x14ac:dyDescent="0.35">
      <c r="A1304" t="s">
        <v>5851</v>
      </c>
      <c r="B1304">
        <f t="shared" si="172"/>
        <v>10</v>
      </c>
      <c r="C1304">
        <f t="shared" si="172"/>
        <v>43</v>
      </c>
      <c r="D1304">
        <f t="shared" si="172"/>
        <v>54</v>
      </c>
      <c r="E1304">
        <f t="shared" si="172"/>
        <v>96</v>
      </c>
      <c r="F1304">
        <f t="shared" si="172"/>
        <v>140</v>
      </c>
      <c r="G1304">
        <f t="shared" si="172"/>
        <v>179</v>
      </c>
      <c r="H1304">
        <f t="shared" si="172"/>
        <v>227</v>
      </c>
      <c r="I1304">
        <f t="shared" si="172"/>
        <v>249</v>
      </c>
      <c r="J1304">
        <f t="shared" si="172"/>
        <v>283</v>
      </c>
      <c r="K1304">
        <f t="shared" si="172"/>
        <v>303</v>
      </c>
      <c r="L1304">
        <f t="shared" si="172"/>
        <v>321</v>
      </c>
      <c r="M1304">
        <f t="shared" si="172"/>
        <v>336</v>
      </c>
      <c r="N1304">
        <f t="shared" si="172"/>
        <v>348</v>
      </c>
      <c r="O1304">
        <f t="shared" si="175"/>
        <v>373</v>
      </c>
      <c r="P1304">
        <f t="shared" si="175"/>
        <v>391</v>
      </c>
      <c r="Q1304">
        <f t="shared" si="175"/>
        <v>417</v>
      </c>
      <c r="S1304" t="str">
        <f t="shared" si="170"/>
        <v>10.12.2025</v>
      </c>
      <c r="T1304" t="str">
        <f t="shared" si="171"/>
        <v>08:30:00</v>
      </c>
      <c r="U1304" t="str">
        <f t="shared" si="173"/>
        <v>10.12.2025 08:30:00</v>
      </c>
      <c r="V1304" s="9" t="str">
        <f>MID($A1304,C1304+C$2+1,D1304-C1304-C$2-1)</f>
        <v>0</v>
      </c>
      <c r="W1304" s="4">
        <f>VALUE(SUBSTITUTE(MID($A1304,D1304+D$2+1,E1304-D1304-D$2-1),",","."))</f>
        <v>0.56698636529232604</v>
      </c>
      <c r="X1304" s="4">
        <f>VALUE(SUBSTITUTE(MID($A1304,E1304+E$2+1,F1304-E1304-E$2-1),",","."))</f>
        <v>0.90957602214449496</v>
      </c>
      <c r="Y1304" s="4">
        <f>VALUE(SUBSTITUTE(MID($A1304,F1304+F$2+1,G1304-F1304-F$2-1),",","."))</f>
        <v>7.4302872858841407E-2</v>
      </c>
      <c r="Z1304" s="3">
        <f>VALUE(SUBSTITUTE(MID($A1304,G1304+G$2+1,H1304-G1304-G$2-1),",","."))</f>
        <v>365.23333333333301</v>
      </c>
      <c r="AA1304" s="3">
        <f>VALUE(SUBSTITUTE(MID($A1304,H1304+H$2+1,I1304-H1304-H$2-1),",","."))</f>
        <v>0</v>
      </c>
      <c r="AB1304" s="3">
        <f>VALUE(SUBSTITUTE(MID($A1304,I1304+I$2+1,J1304-I1304-I$2-1),",","."))</f>
        <v>12</v>
      </c>
      <c r="AC1304" s="3">
        <f>VALUE(SUBSTITUTE(MID($A1304,J1304+J$2+1,K1304-J1304-J$2-1),",","."))</f>
        <v>4.55</v>
      </c>
      <c r="AD1304" s="3">
        <f>VALUE(SUBSTITUTE(MID($A1304,K1304+K$2+1,L1304-K1304-K$2-1),",","."))</f>
        <v>56.7</v>
      </c>
      <c r="AE1304" s="3">
        <f>VALUE(SUBSTITUTE(MID($A1304,L1304+L$2+1,M1304-L1304-L$2-1),",","."))</f>
        <v>0</v>
      </c>
      <c r="AF1304" s="3">
        <f>VALUE(SUBSTITUTE(MID($A1304,M1304+M$2+1,N1304-M1304-M$2-1),",","."))</f>
        <v>0</v>
      </c>
      <c r="AG1304" s="3">
        <f>VALUE(SUBSTITUTE(MID($A1304,N1304+N$2+1,O1304-N1304-N$2-1),",","."))</f>
        <v>4.2405651190725804</v>
      </c>
      <c r="AH1304" t="str">
        <f>MID($A1304,O1304+O$2+1,P1304-O1304-O$2-1)</f>
        <v/>
      </c>
      <c r="AI1304" s="8" t="str">
        <f>MID($A1304,P1304+P$2+1,Q1304-P1304-P$2-1)</f>
        <v>False</v>
      </c>
      <c r="AK1304" t="b">
        <f t="shared" si="174"/>
        <v>0</v>
      </c>
    </row>
    <row r="1305" spans="1:37" x14ac:dyDescent="0.35">
      <c r="A1305" t="s">
        <v>5852</v>
      </c>
      <c r="B1305">
        <f t="shared" si="172"/>
        <v>10</v>
      </c>
      <c r="C1305">
        <f t="shared" si="172"/>
        <v>43</v>
      </c>
      <c r="D1305">
        <f t="shared" si="172"/>
        <v>54</v>
      </c>
      <c r="E1305">
        <f t="shared" si="172"/>
        <v>97</v>
      </c>
      <c r="F1305">
        <f t="shared" si="172"/>
        <v>141</v>
      </c>
      <c r="G1305">
        <f t="shared" si="172"/>
        <v>180</v>
      </c>
      <c r="H1305">
        <f t="shared" si="172"/>
        <v>228</v>
      </c>
      <c r="I1305">
        <f t="shared" si="172"/>
        <v>250</v>
      </c>
      <c r="J1305">
        <f t="shared" si="172"/>
        <v>284</v>
      </c>
      <c r="K1305">
        <f t="shared" si="172"/>
        <v>304</v>
      </c>
      <c r="L1305">
        <f t="shared" si="172"/>
        <v>322</v>
      </c>
      <c r="M1305">
        <f t="shared" si="172"/>
        <v>337</v>
      </c>
      <c r="N1305">
        <f t="shared" si="172"/>
        <v>349</v>
      </c>
      <c r="O1305">
        <f t="shared" si="175"/>
        <v>374</v>
      </c>
      <c r="P1305">
        <f t="shared" si="175"/>
        <v>392</v>
      </c>
      <c r="Q1305">
        <f t="shared" si="175"/>
        <v>418</v>
      </c>
      <c r="S1305" t="str">
        <f t="shared" si="170"/>
        <v>10.12.2025</v>
      </c>
      <c r="T1305" t="str">
        <f t="shared" si="171"/>
        <v>08:45:00</v>
      </c>
      <c r="U1305" t="str">
        <f t="shared" si="173"/>
        <v>10.12.2025 08:45:00</v>
      </c>
      <c r="V1305" s="9" t="str">
        <f>MID($A1305,C1305+C$2+1,D1305-C1305-C$2-1)</f>
        <v>0</v>
      </c>
      <c r="W1305" s="4">
        <f>VALUE(SUBSTITUTE(MID($A1305,D1305+D$2+1,E1305-D1305-D$2-1),",","."))</f>
        <v>0.60444139761017202</v>
      </c>
      <c r="X1305" s="4">
        <f>VALUE(SUBSTITUTE(MID($A1305,E1305+E$2+1,F1305-E1305-E$2-1),",","."))</f>
        <v>0.90957602214449496</v>
      </c>
      <c r="Y1305" s="4">
        <f>VALUE(SUBSTITUTE(MID($A1305,F1305+F$2+1,G1305-F1305-F$2-1),",","."))</f>
        <v>0.106153524982449</v>
      </c>
      <c r="Z1305" s="3">
        <f>VALUE(SUBSTITUTE(MID($A1305,G1305+G$2+1,H1305-G1305-G$2-1),",","."))</f>
        <v>365.23333333333301</v>
      </c>
      <c r="AA1305" s="3">
        <f>VALUE(SUBSTITUTE(MID($A1305,H1305+H$2+1,I1305-H1305-H$2-1),",","."))</f>
        <v>0</v>
      </c>
      <c r="AB1305" s="3">
        <f>VALUE(SUBSTITUTE(MID($A1305,I1305+I$2+1,J1305-I1305-I$2-1),",","."))</f>
        <v>12</v>
      </c>
      <c r="AC1305" s="3">
        <f>VALUE(SUBSTITUTE(MID($A1305,J1305+J$2+1,K1305-J1305-J$2-1),",","."))</f>
        <v>4.55</v>
      </c>
      <c r="AD1305" s="3">
        <f>VALUE(SUBSTITUTE(MID($A1305,K1305+K$2+1,L1305-K1305-K$2-1),",","."))</f>
        <v>56.7</v>
      </c>
      <c r="AE1305" s="3">
        <f>VALUE(SUBSTITUTE(MID($A1305,L1305+L$2+1,M1305-L1305-L$2-1),",","."))</f>
        <v>0</v>
      </c>
      <c r="AF1305" s="3">
        <f>VALUE(SUBSTITUTE(MID($A1305,M1305+M$2+1,N1305-M1305-M$2-1),",","."))</f>
        <v>0</v>
      </c>
      <c r="AG1305" s="3">
        <f>VALUE(SUBSTITUTE(MID($A1305,N1305+N$2+1,O1305-N1305-N$2-1),",","."))</f>
        <v>4.24059363896066</v>
      </c>
      <c r="AH1305" t="str">
        <f>MID($A1305,O1305+O$2+1,P1305-O1305-O$2-1)</f>
        <v/>
      </c>
      <c r="AI1305" s="8" t="str">
        <f>MID($A1305,P1305+P$2+1,Q1305-P1305-P$2-1)</f>
        <v>False</v>
      </c>
      <c r="AK1305" t="b">
        <f t="shared" si="174"/>
        <v>0</v>
      </c>
    </row>
    <row r="1306" spans="1:37" x14ac:dyDescent="0.35">
      <c r="A1306" t="s">
        <v>5853</v>
      </c>
      <c r="B1306">
        <f t="shared" si="172"/>
        <v>10</v>
      </c>
      <c r="C1306">
        <f t="shared" si="172"/>
        <v>43</v>
      </c>
      <c r="D1306">
        <f t="shared" si="172"/>
        <v>54</v>
      </c>
      <c r="E1306">
        <f t="shared" si="172"/>
        <v>97</v>
      </c>
      <c r="F1306">
        <f t="shared" si="172"/>
        <v>141</v>
      </c>
      <c r="G1306">
        <f t="shared" si="172"/>
        <v>180</v>
      </c>
      <c r="H1306">
        <f t="shared" si="172"/>
        <v>228</v>
      </c>
      <c r="I1306">
        <f t="shared" si="172"/>
        <v>250</v>
      </c>
      <c r="J1306">
        <f t="shared" si="172"/>
        <v>284</v>
      </c>
      <c r="K1306">
        <f t="shared" si="172"/>
        <v>304</v>
      </c>
      <c r="L1306">
        <f t="shared" si="172"/>
        <v>322</v>
      </c>
      <c r="M1306">
        <f t="shared" si="172"/>
        <v>337</v>
      </c>
      <c r="N1306">
        <f t="shared" si="172"/>
        <v>349</v>
      </c>
      <c r="O1306">
        <f t="shared" si="175"/>
        <v>374</v>
      </c>
      <c r="P1306">
        <f t="shared" si="175"/>
        <v>392</v>
      </c>
      <c r="Q1306">
        <f t="shared" si="175"/>
        <v>418</v>
      </c>
      <c r="S1306" t="str">
        <f t="shared" si="170"/>
        <v>10.12.2025</v>
      </c>
      <c r="T1306" t="str">
        <f t="shared" si="171"/>
        <v>09:00:00</v>
      </c>
      <c r="U1306" t="str">
        <f t="shared" si="173"/>
        <v>10.12.2025 09:00:00</v>
      </c>
      <c r="V1306" s="9" t="str">
        <f>MID($A1306,C1306+C$2+1,D1306-C1306-C$2-1)</f>
        <v>0</v>
      </c>
      <c r="W1306" s="4">
        <f>VALUE(SUBSTITUTE(MID($A1306,D1306+D$2+1,E1306-D1306-D$2-1),",","."))</f>
        <v>0.63918628521227905</v>
      </c>
      <c r="X1306" s="4">
        <f>VALUE(SUBSTITUTE(MID($A1306,E1306+E$2+1,F1306-E1306-E$2-1),",","."))</f>
        <v>0.90957602214449496</v>
      </c>
      <c r="Y1306" s="4">
        <f>VALUE(SUBSTITUTE(MID($A1306,F1306+F$2+1,G1306-F1306-F$2-1),",","."))</f>
        <v>0.13665658533219699</v>
      </c>
      <c r="Z1306" s="3">
        <f>VALUE(SUBSTITUTE(MID($A1306,G1306+G$2+1,H1306-G1306-G$2-1),",","."))</f>
        <v>365.23333333333301</v>
      </c>
      <c r="AA1306" s="3">
        <f>VALUE(SUBSTITUTE(MID($A1306,H1306+H$2+1,I1306-H1306-H$2-1),",","."))</f>
        <v>0</v>
      </c>
      <c r="AB1306" s="3">
        <f>VALUE(SUBSTITUTE(MID($A1306,I1306+I$2+1,J1306-I1306-I$2-1),",","."))</f>
        <v>12</v>
      </c>
      <c r="AC1306" s="3">
        <f>VALUE(SUBSTITUTE(MID($A1306,J1306+J$2+1,K1306-J1306-J$2-1),",","."))</f>
        <v>4.55</v>
      </c>
      <c r="AD1306" s="3">
        <f>VALUE(SUBSTITUTE(MID($A1306,K1306+K$2+1,L1306-K1306-K$2-1),",","."))</f>
        <v>56.7</v>
      </c>
      <c r="AE1306" s="3">
        <f>VALUE(SUBSTITUTE(MID($A1306,L1306+L$2+1,M1306-L1306-L$2-1),",","."))</f>
        <v>0</v>
      </c>
      <c r="AF1306" s="3">
        <f>VALUE(SUBSTITUTE(MID($A1306,M1306+M$2+1,N1306-M1306-M$2-1),",","."))</f>
        <v>0</v>
      </c>
      <c r="AG1306" s="3">
        <f>VALUE(SUBSTITUTE(MID($A1306,N1306+N$2+1,O1306-N1306-N$2-1),",","."))</f>
        <v>4.2406221588487396</v>
      </c>
      <c r="AH1306" t="str">
        <f>MID($A1306,O1306+O$2+1,P1306-O1306-O$2-1)</f>
        <v/>
      </c>
      <c r="AI1306" s="8" t="str">
        <f>MID($A1306,P1306+P$2+1,Q1306-P1306-P$2-1)</f>
        <v>False</v>
      </c>
      <c r="AK1306" t="b">
        <f t="shared" si="174"/>
        <v>0</v>
      </c>
    </row>
    <row r="1307" spans="1:37" x14ac:dyDescent="0.35">
      <c r="A1307" t="s">
        <v>5854</v>
      </c>
      <c r="B1307">
        <f t="shared" ref="B1307:N1326" si="176">FIND(B$1,$A1307)</f>
        <v>10</v>
      </c>
      <c r="C1307">
        <f t="shared" si="176"/>
        <v>43</v>
      </c>
      <c r="D1307">
        <f t="shared" si="176"/>
        <v>54</v>
      </c>
      <c r="E1307">
        <f t="shared" si="176"/>
        <v>97</v>
      </c>
      <c r="F1307">
        <f t="shared" si="176"/>
        <v>141</v>
      </c>
      <c r="G1307">
        <f t="shared" si="176"/>
        <v>180</v>
      </c>
      <c r="H1307">
        <f t="shared" si="176"/>
        <v>228</v>
      </c>
      <c r="I1307">
        <f t="shared" si="176"/>
        <v>250</v>
      </c>
      <c r="J1307">
        <f t="shared" si="176"/>
        <v>284</v>
      </c>
      <c r="K1307">
        <f t="shared" si="176"/>
        <v>304</v>
      </c>
      <c r="L1307">
        <f t="shared" si="176"/>
        <v>322</v>
      </c>
      <c r="M1307">
        <f t="shared" si="176"/>
        <v>337</v>
      </c>
      <c r="N1307">
        <f t="shared" si="176"/>
        <v>349</v>
      </c>
      <c r="O1307">
        <f t="shared" si="175"/>
        <v>374</v>
      </c>
      <c r="P1307">
        <f t="shared" si="175"/>
        <v>392</v>
      </c>
      <c r="Q1307">
        <f t="shared" si="175"/>
        <v>418</v>
      </c>
      <c r="S1307" t="str">
        <f t="shared" si="170"/>
        <v>10.12.2025</v>
      </c>
      <c r="T1307" t="str">
        <f t="shared" si="171"/>
        <v>09:15:00</v>
      </c>
      <c r="U1307" t="str">
        <f t="shared" si="173"/>
        <v>10.12.2025 09:15:00</v>
      </c>
      <c r="V1307" s="9" t="str">
        <f>MID($A1307,C1307+C$2+1,D1307-C1307-C$2-1)</f>
        <v>0</v>
      </c>
      <c r="W1307" s="4">
        <f>VALUE(SUBSTITUTE(MID($A1307,D1307+D$2+1,E1307-D1307-D$2-1),",","."))</f>
        <v>0.67093951543894903</v>
      </c>
      <c r="X1307" s="4">
        <f>VALUE(SUBSTITUTE(MID($A1307,E1307+E$2+1,F1307-E1307-E$2-1),",","."))</f>
        <v>0.90957602214449496</v>
      </c>
      <c r="Y1307" s="4">
        <f>VALUE(SUBSTITUTE(MID($A1307,F1307+F$2+1,G1307-F1307-F$2-1),",","."))</f>
        <v>0.165522631267392</v>
      </c>
      <c r="Z1307" s="3">
        <f>VALUE(SUBSTITUTE(MID($A1307,G1307+G$2+1,H1307-G1307-G$2-1),",","."))</f>
        <v>365.23333333333301</v>
      </c>
      <c r="AA1307" s="3">
        <f>VALUE(SUBSTITUTE(MID($A1307,H1307+H$2+1,I1307-H1307-H$2-1),",","."))</f>
        <v>0</v>
      </c>
      <c r="AB1307" s="3">
        <f>VALUE(SUBSTITUTE(MID($A1307,I1307+I$2+1,J1307-I1307-I$2-1),",","."))</f>
        <v>12</v>
      </c>
      <c r="AC1307" s="3">
        <f>VALUE(SUBSTITUTE(MID($A1307,J1307+J$2+1,K1307-J1307-J$2-1),",","."))</f>
        <v>4.55</v>
      </c>
      <c r="AD1307" s="3">
        <f>VALUE(SUBSTITUTE(MID($A1307,K1307+K$2+1,L1307-K1307-K$2-1),",","."))</f>
        <v>56.7</v>
      </c>
      <c r="AE1307" s="3">
        <f>VALUE(SUBSTITUTE(MID($A1307,L1307+L$2+1,M1307-L1307-L$2-1),",","."))</f>
        <v>0</v>
      </c>
      <c r="AF1307" s="3">
        <f>VALUE(SUBSTITUTE(MID($A1307,M1307+M$2+1,N1307-M1307-M$2-1),",","."))</f>
        <v>0</v>
      </c>
      <c r="AG1307" s="3">
        <f>VALUE(SUBSTITUTE(MID($A1307,N1307+N$2+1,O1307-N1307-N$2-1),",","."))</f>
        <v>4.2406506787368299</v>
      </c>
      <c r="AH1307" t="str">
        <f>MID($A1307,O1307+O$2+1,P1307-O1307-O$2-1)</f>
        <v/>
      </c>
      <c r="AI1307" s="8" t="str">
        <f>MID($A1307,P1307+P$2+1,Q1307-P1307-P$2-1)</f>
        <v>False</v>
      </c>
      <c r="AK1307" t="b">
        <f t="shared" si="174"/>
        <v>0</v>
      </c>
    </row>
    <row r="1308" spans="1:37" x14ac:dyDescent="0.35">
      <c r="A1308" t="s">
        <v>5855</v>
      </c>
      <c r="B1308">
        <f t="shared" si="176"/>
        <v>10</v>
      </c>
      <c r="C1308">
        <f t="shared" si="176"/>
        <v>43</v>
      </c>
      <c r="D1308">
        <f t="shared" si="176"/>
        <v>54</v>
      </c>
      <c r="E1308">
        <f t="shared" si="176"/>
        <v>97</v>
      </c>
      <c r="F1308">
        <f t="shared" si="176"/>
        <v>141</v>
      </c>
      <c r="G1308">
        <f t="shared" si="176"/>
        <v>180</v>
      </c>
      <c r="H1308">
        <f t="shared" si="176"/>
        <v>228</v>
      </c>
      <c r="I1308">
        <f t="shared" si="176"/>
        <v>250</v>
      </c>
      <c r="J1308">
        <f t="shared" si="176"/>
        <v>286</v>
      </c>
      <c r="K1308">
        <f t="shared" si="176"/>
        <v>306</v>
      </c>
      <c r="L1308">
        <f t="shared" si="176"/>
        <v>325</v>
      </c>
      <c r="M1308">
        <f t="shared" si="176"/>
        <v>340</v>
      </c>
      <c r="N1308">
        <f t="shared" si="176"/>
        <v>352</v>
      </c>
      <c r="O1308">
        <f t="shared" si="175"/>
        <v>377</v>
      </c>
      <c r="P1308">
        <f t="shared" si="175"/>
        <v>395</v>
      </c>
      <c r="Q1308">
        <f t="shared" si="175"/>
        <v>421</v>
      </c>
      <c r="S1308" t="str">
        <f t="shared" si="170"/>
        <v>10.12.2025</v>
      </c>
      <c r="T1308" t="str">
        <f t="shared" si="171"/>
        <v>09:30:00</v>
      </c>
      <c r="U1308" t="str">
        <f t="shared" si="173"/>
        <v>10.12.2025 09:30:00</v>
      </c>
      <c r="V1308" s="9" t="str">
        <f>MID($A1308,C1308+C$2+1,D1308-C1308-C$2-1)</f>
        <v>0</v>
      </c>
      <c r="W1308" s="4">
        <f>VALUE(SUBSTITUTE(MID($A1308,D1308+D$2+1,E1308-D1308-D$2-1),",","."))</f>
        <v>0.699505280475062</v>
      </c>
      <c r="X1308" s="4">
        <f>VALUE(SUBSTITUTE(MID($A1308,E1308+E$2+1,F1308-E1308-E$2-1),",","."))</f>
        <v>0.90957602214449496</v>
      </c>
      <c r="Y1308" s="4">
        <f>VALUE(SUBSTITUTE(MID($A1308,F1308+F$2+1,G1308-F1308-F$2-1),",","."))</f>
        <v>0.19255626696870001</v>
      </c>
      <c r="Z1308" s="3">
        <f>VALUE(SUBSTITUTE(MID($A1308,G1308+G$2+1,H1308-G1308-G$2-1),",","."))</f>
        <v>646.98333333333301</v>
      </c>
      <c r="AA1308" s="3">
        <f>VALUE(SUBSTITUTE(MID($A1308,H1308+H$2+1,I1308-H1308-H$2-1),",","."))</f>
        <v>0</v>
      </c>
      <c r="AB1308" s="3">
        <f>VALUE(SUBSTITUTE(MID($A1308,I1308+I$2+1,J1308-I1308-I$2-1),",","."))</f>
        <v>39.5</v>
      </c>
      <c r="AC1308" s="3">
        <f>VALUE(SUBSTITUTE(MID($A1308,J1308+J$2+1,K1308-J1308-J$2-1),",","."))</f>
        <v>5.65</v>
      </c>
      <c r="AD1308" s="3">
        <f>VALUE(SUBSTITUTE(MID($A1308,K1308+K$2+1,L1308-K1308-K$2-1),",","."))</f>
        <v>63.36</v>
      </c>
      <c r="AE1308" s="3">
        <f>VALUE(SUBSTITUTE(MID($A1308,L1308+L$2+1,M1308-L1308-L$2-1),",","."))</f>
        <v>0</v>
      </c>
      <c r="AF1308" s="3">
        <f>VALUE(SUBSTITUTE(MID($A1308,M1308+M$2+1,N1308-M1308-M$2-1),",","."))</f>
        <v>0</v>
      </c>
      <c r="AG1308" s="3">
        <f>VALUE(SUBSTITUTE(MID($A1308,N1308+N$2+1,O1308-N1308-N$2-1),",","."))</f>
        <v>4.2406791986249104</v>
      </c>
      <c r="AH1308" t="str">
        <f>MID($A1308,O1308+O$2+1,P1308-O1308-O$2-1)</f>
        <v/>
      </c>
      <c r="AI1308" s="8" t="str">
        <f>MID($A1308,P1308+P$2+1,Q1308-P1308-P$2-1)</f>
        <v>False</v>
      </c>
      <c r="AK1308" t="b">
        <f t="shared" si="174"/>
        <v>0</v>
      </c>
    </row>
    <row r="1309" spans="1:37" x14ac:dyDescent="0.35">
      <c r="A1309" t="s">
        <v>5856</v>
      </c>
      <c r="B1309">
        <f t="shared" si="176"/>
        <v>10</v>
      </c>
      <c r="C1309">
        <f t="shared" si="176"/>
        <v>43</v>
      </c>
      <c r="D1309">
        <f t="shared" si="176"/>
        <v>54</v>
      </c>
      <c r="E1309">
        <f t="shared" si="176"/>
        <v>97</v>
      </c>
      <c r="F1309">
        <f t="shared" si="176"/>
        <v>141</v>
      </c>
      <c r="G1309">
        <f t="shared" si="176"/>
        <v>180</v>
      </c>
      <c r="H1309">
        <f t="shared" si="176"/>
        <v>228</v>
      </c>
      <c r="I1309">
        <f t="shared" si="176"/>
        <v>250</v>
      </c>
      <c r="J1309">
        <f t="shared" si="176"/>
        <v>286</v>
      </c>
      <c r="K1309">
        <f t="shared" si="176"/>
        <v>306</v>
      </c>
      <c r="L1309">
        <f t="shared" si="176"/>
        <v>325</v>
      </c>
      <c r="M1309">
        <f t="shared" si="176"/>
        <v>340</v>
      </c>
      <c r="N1309">
        <f t="shared" si="176"/>
        <v>352</v>
      </c>
      <c r="O1309">
        <f t="shared" si="175"/>
        <v>378</v>
      </c>
      <c r="P1309">
        <f t="shared" si="175"/>
        <v>396</v>
      </c>
      <c r="Q1309">
        <f t="shared" si="175"/>
        <v>422</v>
      </c>
      <c r="S1309" t="str">
        <f t="shared" si="170"/>
        <v>10.12.2025</v>
      </c>
      <c r="T1309" t="str">
        <f t="shared" si="171"/>
        <v>09:45:00</v>
      </c>
      <c r="U1309" t="str">
        <f t="shared" si="173"/>
        <v>10.12.2025 09:45:00</v>
      </c>
      <c r="V1309" s="9" t="str">
        <f>MID($A1309,C1309+C$2+1,D1309-C1309-C$2-1)</f>
        <v>0</v>
      </c>
      <c r="W1309" s="4">
        <f>VALUE(SUBSTITUTE(MID($A1309,D1309+D$2+1,E1309-D1309-D$2-1),",","."))</f>
        <v>0.72473080513532795</v>
      </c>
      <c r="X1309" s="4">
        <f>VALUE(SUBSTITUTE(MID($A1309,E1309+E$2+1,F1309-E1309-E$2-1),",","."))</f>
        <v>0.90957602214449496</v>
      </c>
      <c r="Y1309" s="4">
        <f>VALUE(SUBSTITUTE(MID($A1309,F1309+F$2+1,G1309-F1309-F$2-1),",","."))</f>
        <v>0.217605102335305</v>
      </c>
      <c r="Z1309" s="3">
        <f>VALUE(SUBSTITUTE(MID($A1309,G1309+G$2+1,H1309-G1309-G$2-1),",","."))</f>
        <v>646.98333333333301</v>
      </c>
      <c r="AA1309" s="3">
        <f>VALUE(SUBSTITUTE(MID($A1309,H1309+H$2+1,I1309-H1309-H$2-1),",","."))</f>
        <v>0</v>
      </c>
      <c r="AB1309" s="3">
        <f>VALUE(SUBSTITUTE(MID($A1309,I1309+I$2+1,J1309-I1309-I$2-1),",","."))</f>
        <v>39.5</v>
      </c>
      <c r="AC1309" s="3">
        <f>VALUE(SUBSTITUTE(MID($A1309,J1309+J$2+1,K1309-J1309-J$2-1),",","."))</f>
        <v>5.65</v>
      </c>
      <c r="AD1309" s="3">
        <f>VALUE(SUBSTITUTE(MID($A1309,K1309+K$2+1,L1309-K1309-K$2-1),",","."))</f>
        <v>63.36</v>
      </c>
      <c r="AE1309" s="3">
        <f>VALUE(SUBSTITUTE(MID($A1309,L1309+L$2+1,M1309-L1309-L$2-1),",","."))</f>
        <v>0</v>
      </c>
      <c r="AF1309" s="3">
        <f>VALUE(SUBSTITUTE(MID($A1309,M1309+M$2+1,N1309-M1309-M$2-1),",","."))</f>
        <v>0</v>
      </c>
      <c r="AG1309" s="3">
        <f>VALUE(SUBSTITUTE(MID($A1309,N1309+N$2+1,O1309-N1309-N$2-1),",","."))</f>
        <v>4.24070771851299</v>
      </c>
      <c r="AH1309" t="str">
        <f>MID($A1309,O1309+O$2+1,P1309-O1309-O$2-1)</f>
        <v/>
      </c>
      <c r="AI1309" s="8" t="str">
        <f>MID($A1309,P1309+P$2+1,Q1309-P1309-P$2-1)</f>
        <v>False</v>
      </c>
      <c r="AK1309" t="b">
        <f t="shared" si="174"/>
        <v>0</v>
      </c>
    </row>
    <row r="1310" spans="1:37" x14ac:dyDescent="0.35">
      <c r="A1310" t="s">
        <v>5857</v>
      </c>
      <c r="B1310">
        <f t="shared" si="176"/>
        <v>10</v>
      </c>
      <c r="C1310">
        <f t="shared" si="176"/>
        <v>43</v>
      </c>
      <c r="D1310">
        <f t="shared" si="176"/>
        <v>54</v>
      </c>
      <c r="E1310">
        <f t="shared" si="176"/>
        <v>97</v>
      </c>
      <c r="F1310">
        <f t="shared" si="176"/>
        <v>141</v>
      </c>
      <c r="G1310">
        <f t="shared" si="176"/>
        <v>180</v>
      </c>
      <c r="H1310">
        <f t="shared" si="176"/>
        <v>228</v>
      </c>
      <c r="I1310">
        <f t="shared" si="176"/>
        <v>250</v>
      </c>
      <c r="J1310">
        <f t="shared" si="176"/>
        <v>286</v>
      </c>
      <c r="K1310">
        <f t="shared" si="176"/>
        <v>306</v>
      </c>
      <c r="L1310">
        <f t="shared" si="176"/>
        <v>325</v>
      </c>
      <c r="M1310">
        <f t="shared" si="176"/>
        <v>340</v>
      </c>
      <c r="N1310">
        <f t="shared" si="176"/>
        <v>352</v>
      </c>
      <c r="O1310">
        <f t="shared" si="175"/>
        <v>377</v>
      </c>
      <c r="P1310">
        <f t="shared" si="175"/>
        <v>395</v>
      </c>
      <c r="Q1310">
        <f t="shared" si="175"/>
        <v>421</v>
      </c>
      <c r="S1310" t="str">
        <f t="shared" si="170"/>
        <v>10.12.2025</v>
      </c>
      <c r="T1310" t="str">
        <f t="shared" si="171"/>
        <v>10:00:00</v>
      </c>
      <c r="U1310" t="str">
        <f t="shared" si="173"/>
        <v>10.12.2025 10:00:00</v>
      </c>
      <c r="V1310" s="9" t="str">
        <f>MID($A1310,C1310+C$2+1,D1310-C1310-C$2-1)</f>
        <v>0</v>
      </c>
      <c r="W1310" s="4">
        <f>VALUE(SUBSTITUTE(MID($A1310,D1310+D$2+1,E1310-D1310-D$2-1),",","."))</f>
        <v>0.74649109119164303</v>
      </c>
      <c r="X1310" s="4">
        <f>VALUE(SUBSTITUTE(MID($A1310,E1310+E$2+1,F1310-E1310-E$2-1),",","."))</f>
        <v>0.90957602214449496</v>
      </c>
      <c r="Y1310" s="4">
        <f>VALUE(SUBSTITUTE(MID($A1310,F1310+F$2+1,G1310-F1310-F$2-1),",","."))</f>
        <v>0.240541398516331</v>
      </c>
      <c r="Z1310" s="3">
        <f>VALUE(SUBSTITUTE(MID($A1310,G1310+G$2+1,H1310-G1310-G$2-1),",","."))</f>
        <v>646.98333333333301</v>
      </c>
      <c r="AA1310" s="3">
        <f>VALUE(SUBSTITUTE(MID($A1310,H1310+H$2+1,I1310-H1310-H$2-1),",","."))</f>
        <v>0</v>
      </c>
      <c r="AB1310" s="3">
        <f>VALUE(SUBSTITUTE(MID($A1310,I1310+I$2+1,J1310-I1310-I$2-1),",","."))</f>
        <v>39.5</v>
      </c>
      <c r="AC1310" s="3">
        <f>VALUE(SUBSTITUTE(MID($A1310,J1310+J$2+1,K1310-J1310-J$2-1),",","."))</f>
        <v>5.65</v>
      </c>
      <c r="AD1310" s="3">
        <f>VALUE(SUBSTITUTE(MID($A1310,K1310+K$2+1,L1310-K1310-K$2-1),",","."))</f>
        <v>63.36</v>
      </c>
      <c r="AE1310" s="3">
        <f>VALUE(SUBSTITUTE(MID($A1310,L1310+L$2+1,M1310-L1310-L$2-1),",","."))</f>
        <v>0</v>
      </c>
      <c r="AF1310" s="3">
        <f>VALUE(SUBSTITUTE(MID($A1310,M1310+M$2+1,N1310-M1310-M$2-1),",","."))</f>
        <v>0</v>
      </c>
      <c r="AG1310" s="3">
        <f>VALUE(SUBSTITUTE(MID($A1310,N1310+N$2+1,O1310-N1310-N$2-1),",","."))</f>
        <v>4.2407362384010696</v>
      </c>
      <c r="AH1310" t="str">
        <f>MID($A1310,O1310+O$2+1,P1310-O1310-O$2-1)</f>
        <v/>
      </c>
      <c r="AI1310" s="8" t="str">
        <f>MID($A1310,P1310+P$2+1,Q1310-P1310-P$2-1)</f>
        <v>False</v>
      </c>
      <c r="AK1310" t="b">
        <f t="shared" si="174"/>
        <v>0</v>
      </c>
    </row>
    <row r="1311" spans="1:37" x14ac:dyDescent="0.35">
      <c r="A1311" t="s">
        <v>5858</v>
      </c>
      <c r="B1311">
        <f t="shared" si="176"/>
        <v>10</v>
      </c>
      <c r="C1311">
        <f t="shared" si="176"/>
        <v>43</v>
      </c>
      <c r="D1311">
        <f t="shared" si="176"/>
        <v>54</v>
      </c>
      <c r="E1311">
        <f t="shared" si="176"/>
        <v>97</v>
      </c>
      <c r="F1311">
        <f t="shared" si="176"/>
        <v>141</v>
      </c>
      <c r="G1311">
        <f t="shared" si="176"/>
        <v>180</v>
      </c>
      <c r="H1311">
        <f t="shared" si="176"/>
        <v>228</v>
      </c>
      <c r="I1311">
        <f t="shared" si="176"/>
        <v>250</v>
      </c>
      <c r="J1311">
        <f t="shared" si="176"/>
        <v>286</v>
      </c>
      <c r="K1311">
        <f t="shared" si="176"/>
        <v>306</v>
      </c>
      <c r="L1311">
        <f t="shared" si="176"/>
        <v>325</v>
      </c>
      <c r="M1311">
        <f t="shared" si="176"/>
        <v>340</v>
      </c>
      <c r="N1311">
        <f t="shared" si="176"/>
        <v>352</v>
      </c>
      <c r="O1311">
        <f t="shared" si="175"/>
        <v>377</v>
      </c>
      <c r="P1311">
        <f t="shared" si="175"/>
        <v>395</v>
      </c>
      <c r="Q1311">
        <f t="shared" si="175"/>
        <v>421</v>
      </c>
      <c r="S1311" t="str">
        <f t="shared" si="170"/>
        <v>10.12.2025</v>
      </c>
      <c r="T1311" t="str">
        <f t="shared" si="171"/>
        <v>10:15:00</v>
      </c>
      <c r="U1311" t="str">
        <f t="shared" si="173"/>
        <v>10.12.2025 10:15:00</v>
      </c>
      <c r="V1311" s="9" t="str">
        <f>MID($A1311,C1311+C$2+1,D1311-C1311-C$2-1)</f>
        <v>0</v>
      </c>
      <c r="W1311" s="4">
        <f>VALUE(SUBSTITUTE(MID($A1311,D1311+D$2+1,E1311-D1311-D$2-1),",","."))</f>
        <v>0.76468281266146299</v>
      </c>
      <c r="X1311" s="4">
        <f>VALUE(SUBSTITUTE(MID($A1311,E1311+E$2+1,F1311-E1311-E$2-1),",","."))</f>
        <v>0.90957602214449496</v>
      </c>
      <c r="Y1311" s="4">
        <f>VALUE(SUBSTITUTE(MID($A1311,F1311+F$2+1,G1311-F1311-F$2-1),",","."))</f>
        <v>0.26125466871539199</v>
      </c>
      <c r="Z1311" s="3">
        <f>VALUE(SUBSTITUTE(MID($A1311,G1311+G$2+1,H1311-G1311-G$2-1),",","."))</f>
        <v>646.98333333333301</v>
      </c>
      <c r="AA1311" s="3">
        <f>VALUE(SUBSTITUTE(MID($A1311,H1311+H$2+1,I1311-H1311-H$2-1),",","."))</f>
        <v>0</v>
      </c>
      <c r="AB1311" s="3">
        <f>VALUE(SUBSTITUTE(MID($A1311,I1311+I$2+1,J1311-I1311-I$2-1),",","."))</f>
        <v>39.5</v>
      </c>
      <c r="AC1311" s="3">
        <f>VALUE(SUBSTITUTE(MID($A1311,J1311+J$2+1,K1311-J1311-J$2-1),",","."))</f>
        <v>5.65</v>
      </c>
      <c r="AD1311" s="3">
        <f>VALUE(SUBSTITUTE(MID($A1311,K1311+K$2+1,L1311-K1311-K$2-1),",","."))</f>
        <v>63.36</v>
      </c>
      <c r="AE1311" s="3">
        <f>VALUE(SUBSTITUTE(MID($A1311,L1311+L$2+1,M1311-L1311-L$2-1),",","."))</f>
        <v>0</v>
      </c>
      <c r="AF1311" s="3">
        <f>VALUE(SUBSTITUTE(MID($A1311,M1311+M$2+1,N1311-M1311-M$2-1),",","."))</f>
        <v>0</v>
      </c>
      <c r="AG1311" s="3">
        <f>VALUE(SUBSTITUTE(MID($A1311,N1311+N$2+1,O1311-N1311-N$2-1),",","."))</f>
        <v>4.2407647582891501</v>
      </c>
      <c r="AH1311" t="str">
        <f>MID($A1311,O1311+O$2+1,P1311-O1311-O$2-1)</f>
        <v/>
      </c>
      <c r="AI1311" s="8" t="str">
        <f>MID($A1311,P1311+P$2+1,Q1311-P1311-P$2-1)</f>
        <v>False</v>
      </c>
      <c r="AK1311" t="b">
        <f t="shared" si="174"/>
        <v>0</v>
      </c>
    </row>
    <row r="1312" spans="1:37" x14ac:dyDescent="0.35">
      <c r="A1312" t="s">
        <v>5859</v>
      </c>
      <c r="B1312">
        <f t="shared" si="176"/>
        <v>10</v>
      </c>
      <c r="C1312">
        <f t="shared" si="176"/>
        <v>43</v>
      </c>
      <c r="D1312">
        <f t="shared" si="176"/>
        <v>54</v>
      </c>
      <c r="E1312">
        <f t="shared" si="176"/>
        <v>97</v>
      </c>
      <c r="F1312">
        <f t="shared" si="176"/>
        <v>141</v>
      </c>
      <c r="G1312">
        <f t="shared" si="176"/>
        <v>180</v>
      </c>
      <c r="H1312">
        <f t="shared" si="176"/>
        <v>228</v>
      </c>
      <c r="I1312">
        <f t="shared" si="176"/>
        <v>250</v>
      </c>
      <c r="J1312">
        <f t="shared" si="176"/>
        <v>284</v>
      </c>
      <c r="K1312">
        <f t="shared" si="176"/>
        <v>304</v>
      </c>
      <c r="L1312">
        <f t="shared" si="176"/>
        <v>323</v>
      </c>
      <c r="M1312">
        <f t="shared" si="176"/>
        <v>338</v>
      </c>
      <c r="N1312">
        <f t="shared" si="176"/>
        <v>350</v>
      </c>
      <c r="O1312">
        <f t="shared" si="175"/>
        <v>375</v>
      </c>
      <c r="P1312">
        <f t="shared" si="175"/>
        <v>393</v>
      </c>
      <c r="Q1312">
        <f t="shared" si="175"/>
        <v>419</v>
      </c>
      <c r="S1312" t="str">
        <f t="shared" si="170"/>
        <v>10.12.2025</v>
      </c>
      <c r="T1312" t="str">
        <f t="shared" si="171"/>
        <v>10:30:00</v>
      </c>
      <c r="U1312" t="str">
        <f t="shared" si="173"/>
        <v>10.12.2025 10:30:00</v>
      </c>
      <c r="V1312" s="9" t="str">
        <f>MID($A1312,C1312+C$2+1,D1312-C1312-C$2-1)</f>
        <v>0</v>
      </c>
      <c r="W1312" s="4">
        <f>VALUE(SUBSTITUTE(MID($A1312,D1312+D$2+1,E1312-D1312-D$2-1),",","."))</f>
        <v>0.77922167905203199</v>
      </c>
      <c r="X1312" s="4">
        <f>VALUE(SUBSTITUTE(MID($A1312,E1312+E$2+1,F1312-E1312-E$2-1),",","."))</f>
        <v>0.90957602214449496</v>
      </c>
      <c r="Y1312" s="4">
        <f>VALUE(SUBSTITUTE(MID($A1312,F1312+F$2+1,G1312-F1312-F$2-1),",","."))</f>
        <v>0.27964846145250699</v>
      </c>
      <c r="Z1312" s="3">
        <f>VALUE(SUBSTITUTE(MID($A1312,G1312+G$2+1,H1312-G1312-G$2-1),",","."))</f>
        <v>646.06666666666604</v>
      </c>
      <c r="AA1312" s="3">
        <f>VALUE(SUBSTITUTE(MID($A1312,H1312+H$2+1,I1312-H1312-H$2-1),",","."))</f>
        <v>0</v>
      </c>
      <c r="AB1312" s="3">
        <f>VALUE(SUBSTITUTE(MID($A1312,I1312+I$2+1,J1312-I1312-I$2-1),",","."))</f>
        <v>61</v>
      </c>
      <c r="AC1312" s="3">
        <f>VALUE(SUBSTITUTE(MID($A1312,J1312+J$2+1,K1312-J1312-J$2-1),",","."))</f>
        <v>6.75</v>
      </c>
      <c r="AD1312" s="3">
        <f>VALUE(SUBSTITUTE(MID($A1312,K1312+K$2+1,L1312-K1312-K$2-1),",","."))</f>
        <v>69.12</v>
      </c>
      <c r="AE1312" s="3">
        <f>VALUE(SUBSTITUTE(MID($A1312,L1312+L$2+1,M1312-L1312-L$2-1),",","."))</f>
        <v>0</v>
      </c>
      <c r="AF1312" s="3">
        <f>VALUE(SUBSTITUTE(MID($A1312,M1312+M$2+1,N1312-M1312-M$2-1),",","."))</f>
        <v>0</v>
      </c>
      <c r="AG1312" s="3">
        <f>VALUE(SUBSTITUTE(MID($A1312,N1312+N$2+1,O1312-N1312-N$2-1),",","."))</f>
        <v>4.2407932781772297</v>
      </c>
      <c r="AH1312" t="str">
        <f>MID($A1312,O1312+O$2+1,P1312-O1312-O$2-1)</f>
        <v/>
      </c>
      <c r="AI1312" s="8" t="str">
        <f>MID($A1312,P1312+P$2+1,Q1312-P1312-P$2-1)</f>
        <v>False</v>
      </c>
      <c r="AK1312" t="b">
        <f t="shared" si="174"/>
        <v>0</v>
      </c>
    </row>
    <row r="1313" spans="1:37" x14ac:dyDescent="0.35">
      <c r="A1313" t="s">
        <v>5860</v>
      </c>
      <c r="B1313">
        <f t="shared" si="176"/>
        <v>10</v>
      </c>
      <c r="C1313">
        <f t="shared" si="176"/>
        <v>43</v>
      </c>
      <c r="D1313">
        <f t="shared" si="176"/>
        <v>54</v>
      </c>
      <c r="E1313">
        <f t="shared" si="176"/>
        <v>97</v>
      </c>
      <c r="F1313">
        <f t="shared" si="176"/>
        <v>141</v>
      </c>
      <c r="G1313">
        <f t="shared" si="176"/>
        <v>179</v>
      </c>
      <c r="H1313">
        <f t="shared" si="176"/>
        <v>227</v>
      </c>
      <c r="I1313">
        <f t="shared" si="176"/>
        <v>249</v>
      </c>
      <c r="J1313">
        <f t="shared" si="176"/>
        <v>283</v>
      </c>
      <c r="K1313">
        <f t="shared" si="176"/>
        <v>303</v>
      </c>
      <c r="L1313">
        <f t="shared" si="176"/>
        <v>322</v>
      </c>
      <c r="M1313">
        <f t="shared" si="176"/>
        <v>337</v>
      </c>
      <c r="N1313">
        <f t="shared" si="176"/>
        <v>349</v>
      </c>
      <c r="O1313">
        <f t="shared" si="175"/>
        <v>373</v>
      </c>
      <c r="P1313">
        <f t="shared" si="175"/>
        <v>391</v>
      </c>
      <c r="Q1313">
        <f t="shared" si="175"/>
        <v>417</v>
      </c>
      <c r="S1313" t="str">
        <f t="shared" si="170"/>
        <v>10.12.2025</v>
      </c>
      <c r="T1313" t="str">
        <f t="shared" si="171"/>
        <v>10:45:00</v>
      </c>
      <c r="U1313" t="str">
        <f t="shared" si="173"/>
        <v>10.12.2025 10:45:00</v>
      </c>
      <c r="V1313" s="9" t="str">
        <f>MID($A1313,C1313+C$2+1,D1313-C1313-C$2-1)</f>
        <v>0</v>
      </c>
      <c r="W1313" s="4">
        <f>VALUE(SUBSTITUTE(MID($A1313,D1313+D$2+1,E1313-D1313-D$2-1),",","."))</f>
        <v>0.79004124373733497</v>
      </c>
      <c r="X1313" s="4">
        <f>VALUE(SUBSTITUTE(MID($A1313,E1313+E$2+1,F1313-E1313-E$2-1),",","."))</f>
        <v>0.90957602214449496</v>
      </c>
      <c r="Y1313" s="4">
        <f>VALUE(SUBSTITUTE(MID($A1313,F1313+F$2+1,G1313-F1313-F$2-1),",","."))</f>
        <v>0.29563891109563001</v>
      </c>
      <c r="Z1313" s="3">
        <f>VALUE(SUBSTITUTE(MID($A1313,G1313+G$2+1,H1313-G1313-G$2-1),",","."))</f>
        <v>646.06666666666604</v>
      </c>
      <c r="AA1313" s="3">
        <f>VALUE(SUBSTITUTE(MID($A1313,H1313+H$2+1,I1313-H1313-H$2-1),",","."))</f>
        <v>0</v>
      </c>
      <c r="AB1313" s="3">
        <f>VALUE(SUBSTITUTE(MID($A1313,I1313+I$2+1,J1313-I1313-I$2-1),",","."))</f>
        <v>61</v>
      </c>
      <c r="AC1313" s="3">
        <f>VALUE(SUBSTITUTE(MID($A1313,J1313+J$2+1,K1313-J1313-J$2-1),",","."))</f>
        <v>6.75</v>
      </c>
      <c r="AD1313" s="3">
        <f>VALUE(SUBSTITUTE(MID($A1313,K1313+K$2+1,L1313-K1313-K$2-1),",","."))</f>
        <v>69.12</v>
      </c>
      <c r="AE1313" s="3">
        <f>VALUE(SUBSTITUTE(MID($A1313,L1313+L$2+1,M1313-L1313-L$2-1),",","."))</f>
        <v>0</v>
      </c>
      <c r="AF1313" s="3">
        <f>VALUE(SUBSTITUTE(MID($A1313,M1313+M$2+1,N1313-M1313-M$2-1),",","."))</f>
        <v>0</v>
      </c>
      <c r="AG1313" s="3">
        <f>VALUE(SUBSTITUTE(MID($A1313,N1313+N$2+1,O1313-N1313-N$2-1),",","."))</f>
        <v>4.24082179806532</v>
      </c>
      <c r="AH1313" t="str">
        <f>MID($A1313,O1313+O$2+1,P1313-O1313-O$2-1)</f>
        <v/>
      </c>
      <c r="AI1313" s="8" t="str">
        <f>MID($A1313,P1313+P$2+1,Q1313-P1313-P$2-1)</f>
        <v>False</v>
      </c>
      <c r="AK1313" t="b">
        <f t="shared" si="174"/>
        <v>0</v>
      </c>
    </row>
    <row r="1314" spans="1:37" x14ac:dyDescent="0.35">
      <c r="A1314" t="s">
        <v>5861</v>
      </c>
      <c r="B1314">
        <f t="shared" si="176"/>
        <v>10</v>
      </c>
      <c r="C1314">
        <f t="shared" si="176"/>
        <v>43</v>
      </c>
      <c r="D1314">
        <f t="shared" si="176"/>
        <v>54</v>
      </c>
      <c r="E1314">
        <f t="shared" si="176"/>
        <v>96</v>
      </c>
      <c r="F1314">
        <f t="shared" si="176"/>
        <v>140</v>
      </c>
      <c r="G1314">
        <f t="shared" si="176"/>
        <v>178</v>
      </c>
      <c r="H1314">
        <f t="shared" si="176"/>
        <v>226</v>
      </c>
      <c r="I1314">
        <f t="shared" si="176"/>
        <v>248</v>
      </c>
      <c r="J1314">
        <f t="shared" si="176"/>
        <v>282</v>
      </c>
      <c r="K1314">
        <f t="shared" si="176"/>
        <v>302</v>
      </c>
      <c r="L1314">
        <f t="shared" si="176"/>
        <v>321</v>
      </c>
      <c r="M1314">
        <f t="shared" si="176"/>
        <v>336</v>
      </c>
      <c r="N1314">
        <f t="shared" si="176"/>
        <v>348</v>
      </c>
      <c r="O1314">
        <f t="shared" si="175"/>
        <v>373</v>
      </c>
      <c r="P1314">
        <f t="shared" si="175"/>
        <v>391</v>
      </c>
      <c r="Q1314">
        <f t="shared" si="175"/>
        <v>417</v>
      </c>
      <c r="S1314" t="str">
        <f t="shared" si="170"/>
        <v>10.12.2025</v>
      </c>
      <c r="T1314" t="str">
        <f t="shared" si="171"/>
        <v>11:00:00</v>
      </c>
      <c r="U1314" t="str">
        <f t="shared" si="173"/>
        <v>10.12.2025 11:00:00</v>
      </c>
      <c r="V1314" s="9" t="str">
        <f>MID($A1314,C1314+C$2+1,D1314-C1314-C$2-1)</f>
        <v>0</v>
      </c>
      <c r="W1314" s="4">
        <f>VALUE(SUBSTITUTE(MID($A1314,D1314+D$2+1,E1314-D1314-D$2-1),",","."))</f>
        <v>0.79709235157819602</v>
      </c>
      <c r="X1314" s="4">
        <f>VALUE(SUBSTITUTE(MID($A1314,E1314+E$2+1,F1314-E1314-E$2-1),",","."))</f>
        <v>0.90957602214449496</v>
      </c>
      <c r="Y1314" s="4">
        <f>VALUE(SUBSTITUTE(MID($A1314,F1314+F$2+1,G1314-F1314-F$2-1),",","."))</f>
        <v>0.30915409212966399</v>
      </c>
      <c r="Z1314" s="3">
        <f>VALUE(SUBSTITUTE(MID($A1314,G1314+G$2+1,H1314-G1314-G$2-1),",","."))</f>
        <v>646.06666666666604</v>
      </c>
      <c r="AA1314" s="3">
        <f>VALUE(SUBSTITUTE(MID($A1314,H1314+H$2+1,I1314-H1314-H$2-1),",","."))</f>
        <v>0</v>
      </c>
      <c r="AB1314" s="3">
        <f>VALUE(SUBSTITUTE(MID($A1314,I1314+I$2+1,J1314-I1314-I$2-1),",","."))</f>
        <v>61</v>
      </c>
      <c r="AC1314" s="3">
        <f>VALUE(SUBSTITUTE(MID($A1314,J1314+J$2+1,K1314-J1314-J$2-1),",","."))</f>
        <v>6.75</v>
      </c>
      <c r="AD1314" s="3">
        <f>VALUE(SUBSTITUTE(MID($A1314,K1314+K$2+1,L1314-K1314-K$2-1),",","."))</f>
        <v>69.12</v>
      </c>
      <c r="AE1314" s="3">
        <f>VALUE(SUBSTITUTE(MID($A1314,L1314+L$2+1,M1314-L1314-L$2-1),",","."))</f>
        <v>0</v>
      </c>
      <c r="AF1314" s="3">
        <f>VALUE(SUBSTITUTE(MID($A1314,M1314+M$2+1,N1314-M1314-M$2-1),",","."))</f>
        <v>0</v>
      </c>
      <c r="AG1314" s="3">
        <f>VALUE(SUBSTITUTE(MID($A1314,N1314+N$2+1,O1314-N1314-N$2-1),",","."))</f>
        <v>4.2408503179533996</v>
      </c>
      <c r="AH1314" t="str">
        <f>MID($A1314,O1314+O$2+1,P1314-O1314-O$2-1)</f>
        <v/>
      </c>
      <c r="AI1314" s="8" t="str">
        <f>MID($A1314,P1314+P$2+1,Q1314-P1314-P$2-1)</f>
        <v>False</v>
      </c>
      <c r="AK1314" t="b">
        <f t="shared" si="174"/>
        <v>0</v>
      </c>
    </row>
    <row r="1315" spans="1:37" x14ac:dyDescent="0.35">
      <c r="A1315" t="s">
        <v>5862</v>
      </c>
      <c r="B1315">
        <f t="shared" si="176"/>
        <v>10</v>
      </c>
      <c r="C1315">
        <f t="shared" si="176"/>
        <v>43</v>
      </c>
      <c r="D1315">
        <f t="shared" si="176"/>
        <v>54</v>
      </c>
      <c r="E1315">
        <f t="shared" si="176"/>
        <v>96</v>
      </c>
      <c r="F1315">
        <f t="shared" si="176"/>
        <v>140</v>
      </c>
      <c r="G1315">
        <f t="shared" si="176"/>
        <v>178</v>
      </c>
      <c r="H1315">
        <f t="shared" si="176"/>
        <v>226</v>
      </c>
      <c r="I1315">
        <f t="shared" si="176"/>
        <v>248</v>
      </c>
      <c r="J1315">
        <f t="shared" si="176"/>
        <v>282</v>
      </c>
      <c r="K1315">
        <f t="shared" si="176"/>
        <v>302</v>
      </c>
      <c r="L1315">
        <f t="shared" si="176"/>
        <v>321</v>
      </c>
      <c r="M1315">
        <f t="shared" si="176"/>
        <v>336</v>
      </c>
      <c r="N1315">
        <f t="shared" si="176"/>
        <v>348</v>
      </c>
      <c r="O1315">
        <f t="shared" si="175"/>
        <v>373</v>
      </c>
      <c r="P1315">
        <f t="shared" si="175"/>
        <v>391</v>
      </c>
      <c r="Q1315">
        <f t="shared" si="175"/>
        <v>417</v>
      </c>
      <c r="S1315" t="str">
        <f t="shared" si="170"/>
        <v>10.12.2025</v>
      </c>
      <c r="T1315" t="str">
        <f t="shared" si="171"/>
        <v>11:15:00</v>
      </c>
      <c r="U1315" t="str">
        <f t="shared" si="173"/>
        <v>10.12.2025 11:15:00</v>
      </c>
      <c r="V1315" s="9" t="str">
        <f>MID($A1315,C1315+C$2+1,D1315-C1315-C$2-1)</f>
        <v>0</v>
      </c>
      <c r="W1315" s="4">
        <f>VALUE(SUBSTITUTE(MID($A1315,D1315+D$2+1,E1315-D1315-D$2-1),",","."))</f>
        <v>0.80034287357312195</v>
      </c>
      <c r="X1315" s="4">
        <f>VALUE(SUBSTITUTE(MID($A1315,E1315+E$2+1,F1315-E1315-E$2-1),",","."))</f>
        <v>0.90957602214449496</v>
      </c>
      <c r="Y1315" s="4">
        <f>VALUE(SUBSTITUTE(MID($A1315,F1315+F$2+1,G1315-F1315-F$2-1),",","."))</f>
        <v>0.320133755421038</v>
      </c>
      <c r="Z1315" s="3">
        <f>VALUE(SUBSTITUTE(MID($A1315,G1315+G$2+1,H1315-G1315-G$2-1),",","."))</f>
        <v>646.06666666666604</v>
      </c>
      <c r="AA1315" s="3">
        <f>VALUE(SUBSTITUTE(MID($A1315,H1315+H$2+1,I1315-H1315-H$2-1),",","."))</f>
        <v>0</v>
      </c>
      <c r="AB1315" s="3">
        <f>VALUE(SUBSTITUTE(MID($A1315,I1315+I$2+1,J1315-I1315-I$2-1),",","."))</f>
        <v>61</v>
      </c>
      <c r="AC1315" s="3">
        <f>VALUE(SUBSTITUTE(MID($A1315,J1315+J$2+1,K1315-J1315-J$2-1),",","."))</f>
        <v>6.75</v>
      </c>
      <c r="AD1315" s="3">
        <f>VALUE(SUBSTITUTE(MID($A1315,K1315+K$2+1,L1315-K1315-K$2-1),",","."))</f>
        <v>69.12</v>
      </c>
      <c r="AE1315" s="3">
        <f>VALUE(SUBSTITUTE(MID($A1315,L1315+L$2+1,M1315-L1315-L$2-1),",","."))</f>
        <v>0</v>
      </c>
      <c r="AF1315" s="3">
        <f>VALUE(SUBSTITUTE(MID($A1315,M1315+M$2+1,N1315-M1315-M$2-1),",","."))</f>
        <v>0</v>
      </c>
      <c r="AG1315" s="3">
        <f>VALUE(SUBSTITUTE(MID($A1315,N1315+N$2+1,O1315-N1315-N$2-1),",","."))</f>
        <v>4.2408788378414801</v>
      </c>
      <c r="AH1315" t="str">
        <f>MID($A1315,O1315+O$2+1,P1315-O1315-O$2-1)</f>
        <v/>
      </c>
      <c r="AI1315" s="8" t="str">
        <f>MID($A1315,P1315+P$2+1,Q1315-P1315-P$2-1)</f>
        <v>False</v>
      </c>
      <c r="AK1315" t="b">
        <f t="shared" si="174"/>
        <v>0</v>
      </c>
    </row>
    <row r="1316" spans="1:37" x14ac:dyDescent="0.35">
      <c r="A1316" t="s">
        <v>5863</v>
      </c>
      <c r="B1316">
        <f t="shared" si="176"/>
        <v>10</v>
      </c>
      <c r="C1316">
        <f t="shared" si="176"/>
        <v>43</v>
      </c>
      <c r="D1316">
        <f t="shared" si="176"/>
        <v>54</v>
      </c>
      <c r="E1316">
        <f t="shared" si="176"/>
        <v>96</v>
      </c>
      <c r="F1316">
        <f t="shared" si="176"/>
        <v>140</v>
      </c>
      <c r="G1316">
        <f t="shared" si="176"/>
        <v>179</v>
      </c>
      <c r="H1316">
        <f t="shared" si="176"/>
        <v>216</v>
      </c>
      <c r="I1316">
        <f t="shared" si="176"/>
        <v>238</v>
      </c>
      <c r="J1316">
        <f t="shared" si="176"/>
        <v>272</v>
      </c>
      <c r="K1316">
        <f t="shared" si="176"/>
        <v>291</v>
      </c>
      <c r="L1316">
        <f t="shared" si="176"/>
        <v>310</v>
      </c>
      <c r="M1316">
        <f t="shared" si="176"/>
        <v>325</v>
      </c>
      <c r="N1316">
        <f t="shared" si="176"/>
        <v>337</v>
      </c>
      <c r="O1316">
        <f t="shared" si="175"/>
        <v>362</v>
      </c>
      <c r="P1316">
        <f t="shared" si="175"/>
        <v>380</v>
      </c>
      <c r="Q1316">
        <f t="shared" si="175"/>
        <v>406</v>
      </c>
      <c r="S1316" t="str">
        <f t="shared" si="170"/>
        <v>10.12.2025</v>
      </c>
      <c r="T1316" t="str">
        <f t="shared" si="171"/>
        <v>11:30:00</v>
      </c>
      <c r="U1316" t="str">
        <f t="shared" si="173"/>
        <v>10.12.2025 11:30:00</v>
      </c>
      <c r="V1316" s="9" t="str">
        <f>MID($A1316,C1316+C$2+1,D1316-C1316-C$2-1)</f>
        <v>0</v>
      </c>
      <c r="W1316" s="4">
        <f>VALUE(SUBSTITUTE(MID($A1316,D1316+D$2+1,E1316-D1316-D$2-1),",","."))</f>
        <v>0.79977756290276703</v>
      </c>
      <c r="X1316" s="4">
        <f>VALUE(SUBSTITUTE(MID($A1316,E1316+E$2+1,F1316-E1316-E$2-1),",","."))</f>
        <v>0.90957602214449496</v>
      </c>
      <c r="Y1316" s="4">
        <f>VALUE(SUBSTITUTE(MID($A1316,F1316+F$2+1,G1316-F1316-F$2-1),",","."))</f>
        <v>0.328529247729552</v>
      </c>
      <c r="Z1316" s="3">
        <f>VALUE(SUBSTITUTE(MID($A1316,G1316+G$2+1,H1316-G1316-G$2-1),",","."))</f>
        <v>647.25</v>
      </c>
      <c r="AA1316" s="3">
        <f>VALUE(SUBSTITUTE(MID($A1316,H1316+H$2+1,I1316-H1316-H$2-1),",","."))</f>
        <v>0</v>
      </c>
      <c r="AB1316" s="3">
        <f>VALUE(SUBSTITUTE(MID($A1316,I1316+I$2+1,J1316-I1316-I$2-1),",","."))</f>
        <v>73</v>
      </c>
      <c r="AC1316" s="3">
        <f>VALUE(SUBSTITUTE(MID($A1316,J1316+J$2+1,K1316-J1316-J$2-1),",","."))</f>
        <v>7.5</v>
      </c>
      <c r="AD1316" s="3">
        <f>VALUE(SUBSTITUTE(MID($A1316,K1316+K$2+1,L1316-K1316-K$2-1),",","."))</f>
        <v>72.180000000000007</v>
      </c>
      <c r="AE1316" s="3">
        <f>VALUE(SUBSTITUTE(MID($A1316,L1316+L$2+1,M1316-L1316-L$2-1),",","."))</f>
        <v>0</v>
      </c>
      <c r="AF1316" s="3">
        <f>VALUE(SUBSTITUTE(MID($A1316,M1316+M$2+1,N1316-M1316-M$2-1),",","."))</f>
        <v>0</v>
      </c>
      <c r="AG1316" s="3">
        <f>VALUE(SUBSTITUTE(MID($A1316,N1316+N$2+1,O1316-N1316-N$2-1),",","."))</f>
        <v>4.2409073577295597</v>
      </c>
      <c r="AH1316" t="str">
        <f>MID($A1316,O1316+O$2+1,P1316-O1316-O$2-1)</f>
        <v/>
      </c>
      <c r="AI1316" s="8" t="str">
        <f>MID($A1316,P1316+P$2+1,Q1316-P1316-P$2-1)</f>
        <v>False</v>
      </c>
      <c r="AK1316" t="b">
        <f t="shared" si="174"/>
        <v>0</v>
      </c>
    </row>
    <row r="1317" spans="1:37" x14ac:dyDescent="0.35">
      <c r="A1317" t="s">
        <v>5864</v>
      </c>
      <c r="B1317">
        <f t="shared" si="176"/>
        <v>10</v>
      </c>
      <c r="C1317">
        <f t="shared" si="176"/>
        <v>43</v>
      </c>
      <c r="D1317">
        <f t="shared" si="176"/>
        <v>54</v>
      </c>
      <c r="E1317">
        <f t="shared" si="176"/>
        <v>96</v>
      </c>
      <c r="F1317">
        <f t="shared" si="176"/>
        <v>140</v>
      </c>
      <c r="G1317">
        <f t="shared" si="176"/>
        <v>179</v>
      </c>
      <c r="H1317">
        <f t="shared" si="176"/>
        <v>216</v>
      </c>
      <c r="I1317">
        <f t="shared" si="176"/>
        <v>238</v>
      </c>
      <c r="J1317">
        <f t="shared" si="176"/>
        <v>272</v>
      </c>
      <c r="K1317">
        <f t="shared" si="176"/>
        <v>291</v>
      </c>
      <c r="L1317">
        <f t="shared" si="176"/>
        <v>310</v>
      </c>
      <c r="M1317">
        <f t="shared" si="176"/>
        <v>325</v>
      </c>
      <c r="N1317">
        <f t="shared" si="176"/>
        <v>337</v>
      </c>
      <c r="O1317">
        <f t="shared" si="175"/>
        <v>363</v>
      </c>
      <c r="P1317">
        <f t="shared" si="175"/>
        <v>381</v>
      </c>
      <c r="Q1317">
        <f t="shared" si="175"/>
        <v>407</v>
      </c>
      <c r="S1317" t="str">
        <f t="shared" si="170"/>
        <v>10.12.2025</v>
      </c>
      <c r="T1317" t="str">
        <f t="shared" si="171"/>
        <v>11:45:00</v>
      </c>
      <c r="U1317" t="str">
        <f t="shared" si="173"/>
        <v>10.12.2025 11:45:00</v>
      </c>
      <c r="V1317" s="9" t="str">
        <f>MID($A1317,C1317+C$2+1,D1317-C1317-C$2-1)</f>
        <v>0</v>
      </c>
      <c r="W1317" s="4">
        <f>VALUE(SUBSTITUTE(MID($A1317,D1317+D$2+1,E1317-D1317-D$2-1),",","."))</f>
        <v>0.79539794939916497</v>
      </c>
      <c r="X1317" s="4">
        <f>VALUE(SUBSTITUTE(MID($A1317,E1317+E$2+1,F1317-E1317-E$2-1),",","."))</f>
        <v>0.90957602214449496</v>
      </c>
      <c r="Y1317" s="4">
        <f>VALUE(SUBSTITUTE(MID($A1317,F1317+F$2+1,G1317-F1317-F$2-1),",","."))</f>
        <v>0.33430351464485902</v>
      </c>
      <c r="Z1317" s="3">
        <f>VALUE(SUBSTITUTE(MID($A1317,G1317+G$2+1,H1317-G1317-G$2-1),",","."))</f>
        <v>647.25</v>
      </c>
      <c r="AA1317" s="3">
        <f>VALUE(SUBSTITUTE(MID($A1317,H1317+H$2+1,I1317-H1317-H$2-1),",","."))</f>
        <v>0</v>
      </c>
      <c r="AB1317" s="3">
        <f>VALUE(SUBSTITUTE(MID($A1317,I1317+I$2+1,J1317-I1317-I$2-1),",","."))</f>
        <v>73</v>
      </c>
      <c r="AC1317" s="3">
        <f>VALUE(SUBSTITUTE(MID($A1317,J1317+J$2+1,K1317-J1317-J$2-1),",","."))</f>
        <v>7.5</v>
      </c>
      <c r="AD1317" s="3">
        <f>VALUE(SUBSTITUTE(MID($A1317,K1317+K$2+1,L1317-K1317-K$2-1),",","."))</f>
        <v>72.180000000000007</v>
      </c>
      <c r="AE1317" s="3">
        <f>VALUE(SUBSTITUTE(MID($A1317,L1317+L$2+1,M1317-L1317-L$2-1),",","."))</f>
        <v>0</v>
      </c>
      <c r="AF1317" s="3">
        <f>VALUE(SUBSTITUTE(MID($A1317,M1317+M$2+1,N1317-M1317-M$2-1),",","."))</f>
        <v>0</v>
      </c>
      <c r="AG1317" s="3">
        <f>VALUE(SUBSTITUTE(MID($A1317,N1317+N$2+1,O1317-N1317-N$2-1),",","."))</f>
        <v>4.2409358776176402</v>
      </c>
      <c r="AH1317" t="str">
        <f>MID($A1317,O1317+O$2+1,P1317-O1317-O$2-1)</f>
        <v/>
      </c>
      <c r="AI1317" s="8" t="str">
        <f>MID($A1317,P1317+P$2+1,Q1317-P1317-P$2-1)</f>
        <v>False</v>
      </c>
      <c r="AK1317" t="b">
        <f t="shared" si="174"/>
        <v>0</v>
      </c>
    </row>
    <row r="1318" spans="1:37" x14ac:dyDescent="0.35">
      <c r="A1318" t="s">
        <v>5865</v>
      </c>
      <c r="B1318">
        <f t="shared" si="176"/>
        <v>10</v>
      </c>
      <c r="C1318">
        <f t="shared" si="176"/>
        <v>43</v>
      </c>
      <c r="D1318">
        <f t="shared" si="176"/>
        <v>54</v>
      </c>
      <c r="E1318">
        <f t="shared" si="176"/>
        <v>97</v>
      </c>
      <c r="F1318">
        <f t="shared" si="176"/>
        <v>141</v>
      </c>
      <c r="G1318">
        <f t="shared" si="176"/>
        <v>179</v>
      </c>
      <c r="H1318">
        <f t="shared" si="176"/>
        <v>216</v>
      </c>
      <c r="I1318">
        <f t="shared" si="176"/>
        <v>238</v>
      </c>
      <c r="J1318">
        <f t="shared" si="176"/>
        <v>272</v>
      </c>
      <c r="K1318">
        <f t="shared" si="176"/>
        <v>291</v>
      </c>
      <c r="L1318">
        <f t="shared" si="176"/>
        <v>310</v>
      </c>
      <c r="M1318">
        <f t="shared" si="176"/>
        <v>325</v>
      </c>
      <c r="N1318">
        <f t="shared" si="176"/>
        <v>337</v>
      </c>
      <c r="O1318">
        <f t="shared" si="175"/>
        <v>362</v>
      </c>
      <c r="P1318">
        <f t="shared" si="175"/>
        <v>380</v>
      </c>
      <c r="Q1318">
        <f t="shared" si="175"/>
        <v>406</v>
      </c>
      <c r="S1318" t="str">
        <f t="shared" si="170"/>
        <v>10.12.2025</v>
      </c>
      <c r="T1318" t="str">
        <f t="shared" si="171"/>
        <v>12:00:00</v>
      </c>
      <c r="U1318" t="str">
        <f t="shared" si="173"/>
        <v>10.12.2025 12:00:00</v>
      </c>
      <c r="V1318" s="9" t="str">
        <f>MID($A1318,C1318+C$2+1,D1318-C1318-C$2-1)</f>
        <v>0</v>
      </c>
      <c r="W1318" s="4">
        <f>VALUE(SUBSTITUTE(MID($A1318,D1318+D$2+1,E1318-D1318-D$2-1),",","."))</f>
        <v>0.78722222905660599</v>
      </c>
      <c r="X1318" s="4">
        <f>VALUE(SUBSTITUTE(MID($A1318,E1318+E$2+1,F1318-E1318-E$2-1),",","."))</f>
        <v>0.90957602214449496</v>
      </c>
      <c r="Y1318" s="4">
        <f>VALUE(SUBSTITUTE(MID($A1318,F1318+F$2+1,G1318-F1318-F$2-1),",","."))</f>
        <v>0.33743113424287802</v>
      </c>
      <c r="Z1318" s="3">
        <f>VALUE(SUBSTITUTE(MID($A1318,G1318+G$2+1,H1318-G1318-G$2-1),",","."))</f>
        <v>647.25</v>
      </c>
      <c r="AA1318" s="3">
        <f>VALUE(SUBSTITUTE(MID($A1318,H1318+H$2+1,I1318-H1318-H$2-1),",","."))</f>
        <v>0</v>
      </c>
      <c r="AB1318" s="3">
        <f>VALUE(SUBSTITUTE(MID($A1318,I1318+I$2+1,J1318-I1318-I$2-1),",","."))</f>
        <v>73</v>
      </c>
      <c r="AC1318" s="3">
        <f>VALUE(SUBSTITUTE(MID($A1318,J1318+J$2+1,K1318-J1318-J$2-1),",","."))</f>
        <v>7.5</v>
      </c>
      <c r="AD1318" s="3">
        <f>VALUE(SUBSTITUTE(MID($A1318,K1318+K$2+1,L1318-K1318-K$2-1),",","."))</f>
        <v>72.180000000000007</v>
      </c>
      <c r="AE1318" s="3">
        <f>VALUE(SUBSTITUTE(MID($A1318,L1318+L$2+1,M1318-L1318-L$2-1),",","."))</f>
        <v>0</v>
      </c>
      <c r="AF1318" s="3">
        <f>VALUE(SUBSTITUTE(MID($A1318,M1318+M$2+1,N1318-M1318-M$2-1),",","."))</f>
        <v>0</v>
      </c>
      <c r="AG1318" s="3">
        <f>VALUE(SUBSTITUTE(MID($A1318,N1318+N$2+1,O1318-N1318-N$2-1),",","."))</f>
        <v>4.2409643975057199</v>
      </c>
      <c r="AH1318" t="str">
        <f>MID($A1318,O1318+O$2+1,P1318-O1318-O$2-1)</f>
        <v/>
      </c>
      <c r="AI1318" s="8" t="str">
        <f>MID($A1318,P1318+P$2+1,Q1318-P1318-P$2-1)</f>
        <v>False</v>
      </c>
      <c r="AK1318" t="b">
        <f t="shared" si="174"/>
        <v>0</v>
      </c>
    </row>
    <row r="1319" spans="1:37" x14ac:dyDescent="0.35">
      <c r="A1319" t="s">
        <v>5866</v>
      </c>
      <c r="B1319">
        <f t="shared" si="176"/>
        <v>10</v>
      </c>
      <c r="C1319">
        <f t="shared" si="176"/>
        <v>43</v>
      </c>
      <c r="D1319">
        <f t="shared" si="176"/>
        <v>54</v>
      </c>
      <c r="E1319">
        <f t="shared" si="176"/>
        <v>97</v>
      </c>
      <c r="F1319">
        <f t="shared" si="176"/>
        <v>141</v>
      </c>
      <c r="G1319">
        <f t="shared" si="176"/>
        <v>179</v>
      </c>
      <c r="H1319">
        <f t="shared" si="176"/>
        <v>216</v>
      </c>
      <c r="I1319">
        <f t="shared" si="176"/>
        <v>238</v>
      </c>
      <c r="J1319">
        <f t="shared" si="176"/>
        <v>272</v>
      </c>
      <c r="K1319">
        <f t="shared" si="176"/>
        <v>291</v>
      </c>
      <c r="L1319">
        <f t="shared" si="176"/>
        <v>310</v>
      </c>
      <c r="M1319">
        <f t="shared" si="176"/>
        <v>325</v>
      </c>
      <c r="N1319">
        <f t="shared" si="176"/>
        <v>337</v>
      </c>
      <c r="O1319">
        <f t="shared" si="175"/>
        <v>362</v>
      </c>
      <c r="P1319">
        <f t="shared" si="175"/>
        <v>380</v>
      </c>
      <c r="Q1319">
        <f t="shared" si="175"/>
        <v>406</v>
      </c>
      <c r="S1319" t="str">
        <f t="shared" si="170"/>
        <v>10.12.2025</v>
      </c>
      <c r="T1319" t="str">
        <f t="shared" si="171"/>
        <v>12:15:00</v>
      </c>
      <c r="U1319" t="str">
        <f t="shared" si="173"/>
        <v>10.12.2025 12:15:00</v>
      </c>
      <c r="V1319" s="9" t="str">
        <f>MID($A1319,C1319+C$2+1,D1319-C1319-C$2-1)</f>
        <v>0</v>
      </c>
      <c r="W1319" s="4">
        <f>VALUE(SUBSTITUTE(MID($A1319,D1319+D$2+1,E1319-D1319-D$2-1),",","."))</f>
        <v>0.77528512557862095</v>
      </c>
      <c r="X1319" s="4">
        <f>VALUE(SUBSTITUTE(MID($A1319,E1319+E$2+1,F1319-E1319-E$2-1),",","."))</f>
        <v>0.90957602214449496</v>
      </c>
      <c r="Y1319" s="4">
        <f>VALUE(SUBSTITUTE(MID($A1319,F1319+F$2+1,G1319-F1319-F$2-1),",","."))</f>
        <v>0.33789835314900102</v>
      </c>
      <c r="Z1319" s="3">
        <f>VALUE(SUBSTITUTE(MID($A1319,G1319+G$2+1,H1319-G1319-G$2-1),",","."))</f>
        <v>647.25</v>
      </c>
      <c r="AA1319" s="3">
        <f>VALUE(SUBSTITUTE(MID($A1319,H1319+H$2+1,I1319-H1319-H$2-1),",","."))</f>
        <v>0</v>
      </c>
      <c r="AB1319" s="3">
        <f>VALUE(SUBSTITUTE(MID($A1319,I1319+I$2+1,J1319-I1319-I$2-1),",","."))</f>
        <v>73</v>
      </c>
      <c r="AC1319" s="3">
        <f>VALUE(SUBSTITUTE(MID($A1319,J1319+J$2+1,K1319-J1319-J$2-1),",","."))</f>
        <v>7.5</v>
      </c>
      <c r="AD1319" s="3">
        <f>VALUE(SUBSTITUTE(MID($A1319,K1319+K$2+1,L1319-K1319-K$2-1),",","."))</f>
        <v>72.180000000000007</v>
      </c>
      <c r="AE1319" s="3">
        <f>VALUE(SUBSTITUTE(MID($A1319,L1319+L$2+1,M1319-L1319-L$2-1),",","."))</f>
        <v>0</v>
      </c>
      <c r="AF1319" s="3">
        <f>VALUE(SUBSTITUTE(MID($A1319,M1319+M$2+1,N1319-M1319-M$2-1),",","."))</f>
        <v>0</v>
      </c>
      <c r="AG1319" s="3">
        <f>VALUE(SUBSTITUTE(MID($A1319,N1319+N$2+1,O1319-N1319-N$2-1),",","."))</f>
        <v>4.2409929173938004</v>
      </c>
      <c r="AH1319" t="str">
        <f>MID($A1319,O1319+O$2+1,P1319-O1319-O$2-1)</f>
        <v/>
      </c>
      <c r="AI1319" s="8" t="str">
        <f>MID($A1319,P1319+P$2+1,Q1319-P1319-P$2-1)</f>
        <v>False</v>
      </c>
      <c r="AK1319" t="b">
        <f t="shared" si="174"/>
        <v>0</v>
      </c>
    </row>
    <row r="1320" spans="1:37" x14ac:dyDescent="0.35">
      <c r="A1320" t="s">
        <v>5867</v>
      </c>
      <c r="B1320">
        <f t="shared" si="176"/>
        <v>10</v>
      </c>
      <c r="C1320">
        <f t="shared" si="176"/>
        <v>43</v>
      </c>
      <c r="D1320">
        <f t="shared" si="176"/>
        <v>54</v>
      </c>
      <c r="E1320">
        <f t="shared" si="176"/>
        <v>97</v>
      </c>
      <c r="F1320">
        <f t="shared" si="176"/>
        <v>141</v>
      </c>
      <c r="G1320">
        <f t="shared" si="176"/>
        <v>179</v>
      </c>
      <c r="H1320">
        <f t="shared" si="176"/>
        <v>227</v>
      </c>
      <c r="I1320">
        <f t="shared" si="176"/>
        <v>249</v>
      </c>
      <c r="J1320">
        <f t="shared" si="176"/>
        <v>283</v>
      </c>
      <c r="K1320">
        <f t="shared" si="176"/>
        <v>303</v>
      </c>
      <c r="L1320">
        <f t="shared" si="176"/>
        <v>322</v>
      </c>
      <c r="M1320">
        <f t="shared" si="176"/>
        <v>337</v>
      </c>
      <c r="N1320">
        <f t="shared" si="176"/>
        <v>349</v>
      </c>
      <c r="O1320">
        <f t="shared" si="175"/>
        <v>374</v>
      </c>
      <c r="P1320">
        <f t="shared" si="175"/>
        <v>392</v>
      </c>
      <c r="Q1320">
        <f t="shared" si="175"/>
        <v>418</v>
      </c>
      <c r="S1320" t="str">
        <f t="shared" si="170"/>
        <v>10.12.2025</v>
      </c>
      <c r="T1320" t="str">
        <f t="shared" si="171"/>
        <v>12:30:00</v>
      </c>
      <c r="U1320" t="str">
        <f t="shared" si="173"/>
        <v>10.12.2025 12:30:00</v>
      </c>
      <c r="V1320" s="9" t="str">
        <f>MID($A1320,C1320+C$2+1,D1320-C1320-C$2-1)</f>
        <v>0</v>
      </c>
      <c r="W1320" s="4">
        <f>VALUE(SUBSTITUTE(MID($A1320,D1320+D$2+1,E1320-D1320-D$2-1),",","."))</f>
        <v>0.75963771196584395</v>
      </c>
      <c r="X1320" s="4">
        <f>VALUE(SUBSTITUTE(MID($A1320,E1320+E$2+1,F1320-E1320-E$2-1),",","."))</f>
        <v>0.90957602214449496</v>
      </c>
      <c r="Y1320" s="4">
        <f>VALUE(SUBSTITUTE(MID($A1320,F1320+F$2+1,G1320-F1320-F$2-1),",","."))</f>
        <v>0.335703109862447</v>
      </c>
      <c r="Z1320" s="3">
        <f>VALUE(SUBSTITUTE(MID($A1320,G1320+G$2+1,H1320-G1320-G$2-1),",","."))</f>
        <v>645.63333333333298</v>
      </c>
      <c r="AA1320" s="3">
        <f>VALUE(SUBSTITUTE(MID($A1320,H1320+H$2+1,I1320-H1320-H$2-1),",","."))</f>
        <v>0</v>
      </c>
      <c r="AB1320" s="3">
        <f>VALUE(SUBSTITUTE(MID($A1320,I1320+I$2+1,J1320-I1320-I$2-1),",","."))</f>
        <v>76</v>
      </c>
      <c r="AC1320" s="3">
        <f>VALUE(SUBSTITUTE(MID($A1320,J1320+J$2+1,K1320-J1320-J$2-1),",","."))</f>
        <v>7.75</v>
      </c>
      <c r="AD1320" s="3">
        <f>VALUE(SUBSTITUTE(MID($A1320,K1320+K$2+1,L1320-K1320-K$2-1),",","."))</f>
        <v>71.819999999999993</v>
      </c>
      <c r="AE1320" s="3">
        <f>VALUE(SUBSTITUTE(MID($A1320,L1320+L$2+1,M1320-L1320-L$2-1),",","."))</f>
        <v>0</v>
      </c>
      <c r="AF1320" s="3">
        <f>VALUE(SUBSTITUTE(MID($A1320,M1320+M$2+1,N1320-M1320-M$2-1),",","."))</f>
        <v>0</v>
      </c>
      <c r="AG1320" s="3">
        <f>VALUE(SUBSTITUTE(MID($A1320,N1320+N$2+1,O1320-N1320-N$2-1),",","."))</f>
        <v>4.2410214372818897</v>
      </c>
      <c r="AH1320" t="str">
        <f>MID($A1320,O1320+O$2+1,P1320-O1320-O$2-1)</f>
        <v/>
      </c>
      <c r="AI1320" s="8" t="str">
        <f>MID($A1320,P1320+P$2+1,Q1320-P1320-P$2-1)</f>
        <v>False</v>
      </c>
      <c r="AK1320" t="b">
        <f t="shared" si="174"/>
        <v>0</v>
      </c>
    </row>
    <row r="1321" spans="1:37" x14ac:dyDescent="0.35">
      <c r="A1321" t="s">
        <v>5868</v>
      </c>
      <c r="B1321">
        <f t="shared" si="176"/>
        <v>10</v>
      </c>
      <c r="C1321">
        <f t="shared" si="176"/>
        <v>43</v>
      </c>
      <c r="D1321">
        <f t="shared" si="176"/>
        <v>54</v>
      </c>
      <c r="E1321">
        <f t="shared" si="176"/>
        <v>97</v>
      </c>
      <c r="F1321">
        <f t="shared" si="176"/>
        <v>141</v>
      </c>
      <c r="G1321">
        <f t="shared" si="176"/>
        <v>178</v>
      </c>
      <c r="H1321">
        <f t="shared" si="176"/>
        <v>226</v>
      </c>
      <c r="I1321">
        <f t="shared" si="176"/>
        <v>248</v>
      </c>
      <c r="J1321">
        <f t="shared" si="176"/>
        <v>282</v>
      </c>
      <c r="K1321">
        <f t="shared" si="176"/>
        <v>302</v>
      </c>
      <c r="L1321">
        <f t="shared" si="176"/>
        <v>321</v>
      </c>
      <c r="M1321">
        <f t="shared" si="176"/>
        <v>336</v>
      </c>
      <c r="N1321">
        <f t="shared" si="176"/>
        <v>348</v>
      </c>
      <c r="O1321">
        <f t="shared" si="175"/>
        <v>373</v>
      </c>
      <c r="P1321">
        <f t="shared" si="175"/>
        <v>391</v>
      </c>
      <c r="Q1321">
        <f t="shared" si="175"/>
        <v>417</v>
      </c>
      <c r="S1321" t="str">
        <f t="shared" si="170"/>
        <v>10.12.2025</v>
      </c>
      <c r="T1321" t="str">
        <f t="shared" si="171"/>
        <v>12:45:00</v>
      </c>
      <c r="U1321" t="str">
        <f t="shared" si="173"/>
        <v>10.12.2025 12:45:00</v>
      </c>
      <c r="V1321" s="9" t="str">
        <f>MID($A1321,C1321+C$2+1,D1321-C1321-C$2-1)</f>
        <v>0</v>
      </c>
      <c r="W1321" s="4">
        <f>VALUE(SUBSTITUTE(MID($A1321,D1321+D$2+1,E1321-D1321-D$2-1),",","."))</f>
        <v>0.74034718727768001</v>
      </c>
      <c r="X1321" s="4">
        <f>VALUE(SUBSTITUTE(MID($A1321,E1321+E$2+1,F1321-E1321-E$2-1),",","."))</f>
        <v>0.90957602214449496</v>
      </c>
      <c r="Y1321" s="4">
        <f>VALUE(SUBSTITUTE(MID($A1321,F1321+F$2+1,G1321-F1321-F$2-1),",","."))</f>
        <v>0.33085503834391899</v>
      </c>
      <c r="Z1321" s="3">
        <f>VALUE(SUBSTITUTE(MID($A1321,G1321+G$2+1,H1321-G1321-G$2-1),",","."))</f>
        <v>645.63333333333298</v>
      </c>
      <c r="AA1321" s="3">
        <f>VALUE(SUBSTITUTE(MID($A1321,H1321+H$2+1,I1321-H1321-H$2-1),",","."))</f>
        <v>0</v>
      </c>
      <c r="AB1321" s="3">
        <f>VALUE(SUBSTITUTE(MID($A1321,I1321+I$2+1,J1321-I1321-I$2-1),",","."))</f>
        <v>76</v>
      </c>
      <c r="AC1321" s="3">
        <f>VALUE(SUBSTITUTE(MID($A1321,J1321+J$2+1,K1321-J1321-J$2-1),",","."))</f>
        <v>7.75</v>
      </c>
      <c r="AD1321" s="3">
        <f>VALUE(SUBSTITUTE(MID($A1321,K1321+K$2+1,L1321-K1321-K$2-1),",","."))</f>
        <v>71.819999999999993</v>
      </c>
      <c r="AE1321" s="3">
        <f>VALUE(SUBSTITUTE(MID($A1321,L1321+L$2+1,M1321-L1321-L$2-1),",","."))</f>
        <v>0</v>
      </c>
      <c r="AF1321" s="3">
        <f>VALUE(SUBSTITUTE(MID($A1321,M1321+M$2+1,N1321-M1321-M$2-1),",","."))</f>
        <v>0</v>
      </c>
      <c r="AG1321" s="3">
        <f>VALUE(SUBSTITUTE(MID($A1321,N1321+N$2+1,O1321-N1321-N$2-1),",","."))</f>
        <v>4.2410499571699702</v>
      </c>
      <c r="AH1321" t="str">
        <f>MID($A1321,O1321+O$2+1,P1321-O1321-O$2-1)</f>
        <v/>
      </c>
      <c r="AI1321" s="8" t="str">
        <f>MID($A1321,P1321+P$2+1,Q1321-P1321-P$2-1)</f>
        <v>False</v>
      </c>
      <c r="AK1321" t="b">
        <f t="shared" si="174"/>
        <v>0</v>
      </c>
    </row>
    <row r="1322" spans="1:37" x14ac:dyDescent="0.35">
      <c r="A1322" t="s">
        <v>5869</v>
      </c>
      <c r="B1322">
        <f t="shared" si="176"/>
        <v>10</v>
      </c>
      <c r="C1322">
        <f t="shared" si="176"/>
        <v>43</v>
      </c>
      <c r="D1322">
        <f t="shared" si="176"/>
        <v>54</v>
      </c>
      <c r="E1322">
        <f t="shared" si="176"/>
        <v>97</v>
      </c>
      <c r="F1322">
        <f t="shared" si="176"/>
        <v>141</v>
      </c>
      <c r="G1322">
        <f t="shared" si="176"/>
        <v>179</v>
      </c>
      <c r="H1322">
        <f t="shared" si="176"/>
        <v>227</v>
      </c>
      <c r="I1322">
        <f t="shared" si="176"/>
        <v>249</v>
      </c>
      <c r="J1322">
        <f t="shared" si="176"/>
        <v>283</v>
      </c>
      <c r="K1322">
        <f t="shared" si="176"/>
        <v>303</v>
      </c>
      <c r="L1322">
        <f t="shared" si="176"/>
        <v>322</v>
      </c>
      <c r="M1322">
        <f t="shared" si="176"/>
        <v>337</v>
      </c>
      <c r="N1322">
        <f t="shared" si="176"/>
        <v>349</v>
      </c>
      <c r="O1322">
        <f t="shared" si="175"/>
        <v>374</v>
      </c>
      <c r="P1322">
        <f t="shared" si="175"/>
        <v>392</v>
      </c>
      <c r="Q1322">
        <f t="shared" si="175"/>
        <v>418</v>
      </c>
      <c r="S1322" t="str">
        <f t="shared" si="170"/>
        <v>10.12.2025</v>
      </c>
      <c r="T1322" t="str">
        <f t="shared" si="171"/>
        <v>13:00:00</v>
      </c>
      <c r="U1322" t="str">
        <f t="shared" si="173"/>
        <v>10.12.2025 13:00:00</v>
      </c>
      <c r="V1322" s="9" t="str">
        <f>MID($A1322,C1322+C$2+1,D1322-C1322-C$2-1)</f>
        <v>0</v>
      </c>
      <c r="W1322" s="4">
        <f>VALUE(SUBSTITUTE(MID($A1322,D1322+D$2+1,E1322-D1322-D$2-1),",","."))</f>
        <v>0.71749660869124599</v>
      </c>
      <c r="X1322" s="4">
        <f>VALUE(SUBSTITUTE(MID($A1322,E1322+E$2+1,F1322-E1322-E$2-1),",","."))</f>
        <v>0.90957602214449496</v>
      </c>
      <c r="Y1322" s="4">
        <f>VALUE(SUBSTITUTE(MID($A1322,F1322+F$2+1,G1322-F1322-F$2-1),",","."))</f>
        <v>0.32337545095708797</v>
      </c>
      <c r="Z1322" s="3">
        <f>VALUE(SUBSTITUTE(MID($A1322,G1322+G$2+1,H1322-G1322-G$2-1),",","."))</f>
        <v>645.63333333333298</v>
      </c>
      <c r="AA1322" s="3">
        <f>VALUE(SUBSTITUTE(MID($A1322,H1322+H$2+1,I1322-H1322-H$2-1),",","."))</f>
        <v>0</v>
      </c>
      <c r="AB1322" s="3">
        <f>VALUE(SUBSTITUTE(MID($A1322,I1322+I$2+1,J1322-I1322-I$2-1),",","."))</f>
        <v>76</v>
      </c>
      <c r="AC1322" s="3">
        <f>VALUE(SUBSTITUTE(MID($A1322,J1322+J$2+1,K1322-J1322-J$2-1),",","."))</f>
        <v>7.75</v>
      </c>
      <c r="AD1322" s="3">
        <f>VALUE(SUBSTITUTE(MID($A1322,K1322+K$2+1,L1322-K1322-K$2-1),",","."))</f>
        <v>71.819999999999993</v>
      </c>
      <c r="AE1322" s="3">
        <f>VALUE(SUBSTITUTE(MID($A1322,L1322+L$2+1,M1322-L1322-L$2-1),",","."))</f>
        <v>0</v>
      </c>
      <c r="AF1322" s="3">
        <f>VALUE(SUBSTITUTE(MID($A1322,M1322+M$2+1,N1322-M1322-M$2-1),",","."))</f>
        <v>0</v>
      </c>
      <c r="AG1322" s="3">
        <f>VALUE(SUBSTITUTE(MID($A1322,N1322+N$2+1,O1322-N1322-N$2-1),",","."))</f>
        <v>4.2410784770580499</v>
      </c>
      <c r="AH1322" t="str">
        <f>MID($A1322,O1322+O$2+1,P1322-O1322-O$2-1)</f>
        <v/>
      </c>
      <c r="AI1322" s="8" t="str">
        <f>MID($A1322,P1322+P$2+1,Q1322-P1322-P$2-1)</f>
        <v>False</v>
      </c>
      <c r="AK1322" t="b">
        <f t="shared" si="174"/>
        <v>0</v>
      </c>
    </row>
    <row r="1323" spans="1:37" x14ac:dyDescent="0.35">
      <c r="A1323" t="s">
        <v>5870</v>
      </c>
      <c r="B1323">
        <f t="shared" si="176"/>
        <v>10</v>
      </c>
      <c r="C1323">
        <f t="shared" si="176"/>
        <v>43</v>
      </c>
      <c r="D1323">
        <f t="shared" si="176"/>
        <v>54</v>
      </c>
      <c r="E1323">
        <f t="shared" si="176"/>
        <v>97</v>
      </c>
      <c r="F1323">
        <f t="shared" si="176"/>
        <v>141</v>
      </c>
      <c r="G1323">
        <f t="shared" si="176"/>
        <v>179</v>
      </c>
      <c r="H1323">
        <f t="shared" si="176"/>
        <v>227</v>
      </c>
      <c r="I1323">
        <f t="shared" si="176"/>
        <v>249</v>
      </c>
      <c r="J1323">
        <f t="shared" si="176"/>
        <v>283</v>
      </c>
      <c r="K1323">
        <f t="shared" si="176"/>
        <v>303</v>
      </c>
      <c r="L1323">
        <f t="shared" si="176"/>
        <v>322</v>
      </c>
      <c r="M1323">
        <f t="shared" si="176"/>
        <v>337</v>
      </c>
      <c r="N1323">
        <f t="shared" si="176"/>
        <v>349</v>
      </c>
      <c r="O1323">
        <f t="shared" si="175"/>
        <v>374</v>
      </c>
      <c r="P1323">
        <f t="shared" si="175"/>
        <v>392</v>
      </c>
      <c r="Q1323">
        <f t="shared" si="175"/>
        <v>418</v>
      </c>
      <c r="S1323" t="str">
        <f t="shared" si="170"/>
        <v>10.12.2025</v>
      </c>
      <c r="T1323" t="str">
        <f t="shared" si="171"/>
        <v>13:15:00</v>
      </c>
      <c r="U1323" t="str">
        <f t="shared" si="173"/>
        <v>10.12.2025 13:15:00</v>
      </c>
      <c r="V1323" s="9" t="str">
        <f>MID($A1323,C1323+C$2+1,D1323-C1323-C$2-1)</f>
        <v>0</v>
      </c>
      <c r="W1323" s="4">
        <f>VALUE(SUBSTITUTE(MID($A1323,D1323+D$2+1,E1323-D1323-D$2-1),",","."))</f>
        <v>0.69118458361967705</v>
      </c>
      <c r="X1323" s="4">
        <f>VALUE(SUBSTITUTE(MID($A1323,E1323+E$2+1,F1323-E1323-E$2-1),",","."))</f>
        <v>0.90957602214449496</v>
      </c>
      <c r="Y1323" s="4">
        <f>VALUE(SUBSTITUTE(MID($A1323,F1323+F$2+1,G1323-F1323-F$2-1),",","."))</f>
        <v>0.313297305414171</v>
      </c>
      <c r="Z1323" s="3">
        <f>VALUE(SUBSTITUTE(MID($A1323,G1323+G$2+1,H1323-G1323-G$2-1),",","."))</f>
        <v>645.63333333333298</v>
      </c>
      <c r="AA1323" s="3">
        <f>VALUE(SUBSTITUTE(MID($A1323,H1323+H$2+1,I1323-H1323-H$2-1),",","."))</f>
        <v>0</v>
      </c>
      <c r="AB1323" s="3">
        <f>VALUE(SUBSTITUTE(MID($A1323,I1323+I$2+1,J1323-I1323-I$2-1),",","."))</f>
        <v>76</v>
      </c>
      <c r="AC1323" s="3">
        <f>VALUE(SUBSTITUTE(MID($A1323,J1323+J$2+1,K1323-J1323-J$2-1),",","."))</f>
        <v>7.75</v>
      </c>
      <c r="AD1323" s="3">
        <f>VALUE(SUBSTITUTE(MID($A1323,K1323+K$2+1,L1323-K1323-K$2-1),",","."))</f>
        <v>71.819999999999993</v>
      </c>
      <c r="AE1323" s="3">
        <f>VALUE(SUBSTITUTE(MID($A1323,L1323+L$2+1,M1323-L1323-L$2-1),",","."))</f>
        <v>0</v>
      </c>
      <c r="AF1323" s="3">
        <f>VALUE(SUBSTITUTE(MID($A1323,M1323+M$2+1,N1323-M1323-M$2-1),",","."))</f>
        <v>0</v>
      </c>
      <c r="AG1323" s="3">
        <f>VALUE(SUBSTITUTE(MID($A1323,N1323+N$2+1,O1323-N1323-N$2-1),",","."))</f>
        <v>4.2411069969461304</v>
      </c>
      <c r="AH1323" t="str">
        <f>MID($A1323,O1323+O$2+1,P1323-O1323-O$2-1)</f>
        <v/>
      </c>
      <c r="AI1323" s="8" t="str">
        <f>MID($A1323,P1323+P$2+1,Q1323-P1323-P$2-1)</f>
        <v>False</v>
      </c>
      <c r="AK1323" t="b">
        <f t="shared" si="174"/>
        <v>0</v>
      </c>
    </row>
    <row r="1324" spans="1:37" x14ac:dyDescent="0.35">
      <c r="A1324" t="s">
        <v>5871</v>
      </c>
      <c r="B1324">
        <f t="shared" si="176"/>
        <v>10</v>
      </c>
      <c r="C1324">
        <f t="shared" si="176"/>
        <v>43</v>
      </c>
      <c r="D1324">
        <f t="shared" si="176"/>
        <v>54</v>
      </c>
      <c r="E1324">
        <f t="shared" si="176"/>
        <v>97</v>
      </c>
      <c r="F1324">
        <f t="shared" si="176"/>
        <v>141</v>
      </c>
      <c r="G1324">
        <f t="shared" si="176"/>
        <v>177</v>
      </c>
      <c r="H1324">
        <f t="shared" si="176"/>
        <v>213</v>
      </c>
      <c r="I1324">
        <f t="shared" si="176"/>
        <v>235</v>
      </c>
      <c r="J1324">
        <f t="shared" si="176"/>
        <v>269</v>
      </c>
      <c r="K1324">
        <f t="shared" si="176"/>
        <v>303</v>
      </c>
      <c r="L1324">
        <f t="shared" si="176"/>
        <v>334</v>
      </c>
      <c r="M1324">
        <f t="shared" si="176"/>
        <v>349</v>
      </c>
      <c r="N1324">
        <f t="shared" si="176"/>
        <v>361</v>
      </c>
      <c r="O1324">
        <f t="shared" si="175"/>
        <v>386</v>
      </c>
      <c r="P1324">
        <f t="shared" si="175"/>
        <v>404</v>
      </c>
      <c r="Q1324">
        <f t="shared" si="175"/>
        <v>430</v>
      </c>
      <c r="S1324" t="str">
        <f t="shared" si="170"/>
        <v>10.12.2025</v>
      </c>
      <c r="T1324" t="str">
        <f t="shared" si="171"/>
        <v>13:30:00</v>
      </c>
      <c r="U1324" t="str">
        <f t="shared" si="173"/>
        <v>10.12.2025 13:30:00</v>
      </c>
      <c r="V1324" s="9" t="str">
        <f>MID($A1324,C1324+C$2+1,D1324-C1324-C$2-1)</f>
        <v>0</v>
      </c>
      <c r="W1324" s="4">
        <f>VALUE(SUBSTITUTE(MID($A1324,D1324+D$2+1,E1324-D1324-D$2-1),",","."))</f>
        <v>0.66152493308305005</v>
      </c>
      <c r="X1324" s="4">
        <f>VALUE(SUBSTITUTE(MID($A1324,E1324+E$2+1,F1324-E1324-E$2-1),",","."))</f>
        <v>0.90957602214449496</v>
      </c>
      <c r="Y1324" s="4">
        <f>VALUE(SUBSTITUTE(MID($A1324,F1324+F$2+1,G1324-F1324-F$2-1),",","."))</f>
        <v>0.30066516765468998</v>
      </c>
      <c r="Z1324" s="3">
        <f>VALUE(SUBSTITUTE(MID($A1324,G1324+G$2+1,H1324-G1324-G$2-1),",","."))</f>
        <v>644.9</v>
      </c>
      <c r="AA1324" s="3">
        <f>VALUE(SUBSTITUTE(MID($A1324,H1324+H$2+1,I1324-H1324-H$2-1),",","."))</f>
        <v>0</v>
      </c>
      <c r="AB1324" s="3">
        <f>VALUE(SUBSTITUTE(MID($A1324,I1324+I$2+1,J1324-I1324-I$2-1),",","."))</f>
        <v>69</v>
      </c>
      <c r="AC1324" s="3">
        <f>VALUE(SUBSTITUTE(MID($A1324,J1324+J$2+1,K1324-J1324-J$2-1),",","."))</f>
        <v>7.3999999999999897</v>
      </c>
      <c r="AD1324" s="3">
        <f>VALUE(SUBSTITUTE(MID($A1324,K1324+K$2+1,L1324-K1324-K$2-1),",","."))</f>
        <v>64.8</v>
      </c>
      <c r="AE1324" s="3">
        <f>VALUE(SUBSTITUTE(MID($A1324,L1324+L$2+1,M1324-L1324-L$2-1),",","."))</f>
        <v>0</v>
      </c>
      <c r="AF1324" s="3">
        <f>VALUE(SUBSTITUTE(MID($A1324,M1324+M$2+1,N1324-M1324-M$2-1),",","."))</f>
        <v>0</v>
      </c>
      <c r="AG1324" s="3">
        <f>VALUE(SUBSTITUTE(MID($A1324,N1324+N$2+1,O1324-N1324-N$2-1),",","."))</f>
        <v>4.24113551683421</v>
      </c>
      <c r="AH1324" t="str">
        <f>MID($A1324,O1324+O$2+1,P1324-O1324-O$2-1)</f>
        <v/>
      </c>
      <c r="AI1324" s="8" t="str">
        <f>MID($A1324,P1324+P$2+1,Q1324-P1324-P$2-1)</f>
        <v>False</v>
      </c>
      <c r="AK1324" t="b">
        <f t="shared" si="174"/>
        <v>0</v>
      </c>
    </row>
    <row r="1325" spans="1:37" x14ac:dyDescent="0.35">
      <c r="A1325" t="s">
        <v>5872</v>
      </c>
      <c r="B1325">
        <f t="shared" si="176"/>
        <v>10</v>
      </c>
      <c r="C1325">
        <f t="shared" si="176"/>
        <v>43</v>
      </c>
      <c r="D1325">
        <f t="shared" si="176"/>
        <v>54</v>
      </c>
      <c r="E1325">
        <f t="shared" si="176"/>
        <v>97</v>
      </c>
      <c r="F1325">
        <f t="shared" si="176"/>
        <v>141</v>
      </c>
      <c r="G1325">
        <f t="shared" si="176"/>
        <v>180</v>
      </c>
      <c r="H1325">
        <f t="shared" si="176"/>
        <v>216</v>
      </c>
      <c r="I1325">
        <f t="shared" si="176"/>
        <v>238</v>
      </c>
      <c r="J1325">
        <f t="shared" si="176"/>
        <v>272</v>
      </c>
      <c r="K1325">
        <f t="shared" si="176"/>
        <v>306</v>
      </c>
      <c r="L1325">
        <f t="shared" si="176"/>
        <v>337</v>
      </c>
      <c r="M1325">
        <f t="shared" si="176"/>
        <v>352</v>
      </c>
      <c r="N1325">
        <f t="shared" si="176"/>
        <v>364</v>
      </c>
      <c r="O1325">
        <f t="shared" si="175"/>
        <v>390</v>
      </c>
      <c r="P1325">
        <f t="shared" si="175"/>
        <v>408</v>
      </c>
      <c r="Q1325">
        <f t="shared" si="175"/>
        <v>434</v>
      </c>
      <c r="S1325" t="str">
        <f t="shared" si="170"/>
        <v>10.12.2025</v>
      </c>
      <c r="T1325" t="str">
        <f t="shared" si="171"/>
        <v>13:45:00</v>
      </c>
      <c r="U1325" t="str">
        <f t="shared" si="173"/>
        <v>10.12.2025 13:45:00</v>
      </c>
      <c r="V1325" s="9" t="str">
        <f>MID($A1325,C1325+C$2+1,D1325-C1325-C$2-1)</f>
        <v>0</v>
      </c>
      <c r="W1325" s="4">
        <f>VALUE(SUBSTITUTE(MID($A1325,D1325+D$2+1,E1325-D1325-D$2-1),",","."))</f>
        <v>0.628646346420215</v>
      </c>
      <c r="X1325" s="4">
        <f>VALUE(SUBSTITUTE(MID($A1325,E1325+E$2+1,F1325-E1325-E$2-1),",","."))</f>
        <v>0.90957602214449496</v>
      </c>
      <c r="Y1325" s="4">
        <f>VALUE(SUBSTITUTE(MID($A1325,F1325+F$2+1,G1325-F1325-F$2-1),",","."))</f>
        <v>0.28553519357778701</v>
      </c>
      <c r="Z1325" s="3">
        <f>VALUE(SUBSTITUTE(MID($A1325,G1325+G$2+1,H1325-G1325-G$2-1),",","."))</f>
        <v>644.9</v>
      </c>
      <c r="AA1325" s="3">
        <f>VALUE(SUBSTITUTE(MID($A1325,H1325+H$2+1,I1325-H1325-H$2-1),",","."))</f>
        <v>0</v>
      </c>
      <c r="AB1325" s="3">
        <f>VALUE(SUBSTITUTE(MID($A1325,I1325+I$2+1,J1325-I1325-I$2-1),",","."))</f>
        <v>69</v>
      </c>
      <c r="AC1325" s="3">
        <f>VALUE(SUBSTITUTE(MID($A1325,J1325+J$2+1,K1325-J1325-J$2-1),",","."))</f>
        <v>7.3999999999999897</v>
      </c>
      <c r="AD1325" s="3">
        <f>VALUE(SUBSTITUTE(MID($A1325,K1325+K$2+1,L1325-K1325-K$2-1),",","."))</f>
        <v>64.8</v>
      </c>
      <c r="AE1325" s="3">
        <f>VALUE(SUBSTITUTE(MID($A1325,L1325+L$2+1,M1325-L1325-L$2-1),",","."))</f>
        <v>0</v>
      </c>
      <c r="AF1325" s="3">
        <f>VALUE(SUBSTITUTE(MID($A1325,M1325+M$2+1,N1325-M1325-M$2-1),",","."))</f>
        <v>0</v>
      </c>
      <c r="AG1325" s="3">
        <f>VALUE(SUBSTITUTE(MID($A1325,N1325+N$2+1,O1325-N1325-N$2-1),",","."))</f>
        <v>4.2411640367222896</v>
      </c>
      <c r="AH1325" t="str">
        <f>MID($A1325,O1325+O$2+1,P1325-O1325-O$2-1)</f>
        <v/>
      </c>
      <c r="AI1325" s="8" t="str">
        <f>MID($A1325,P1325+P$2+1,Q1325-P1325-P$2-1)</f>
        <v>False</v>
      </c>
      <c r="AK1325" t="b">
        <f t="shared" si="174"/>
        <v>0</v>
      </c>
    </row>
    <row r="1326" spans="1:37" x14ac:dyDescent="0.35">
      <c r="A1326" t="s">
        <v>5873</v>
      </c>
      <c r="B1326">
        <f t="shared" si="176"/>
        <v>10</v>
      </c>
      <c r="C1326">
        <f t="shared" si="176"/>
        <v>43</v>
      </c>
      <c r="D1326">
        <f t="shared" si="176"/>
        <v>54</v>
      </c>
      <c r="E1326">
        <f t="shared" si="176"/>
        <v>97</v>
      </c>
      <c r="F1326">
        <f t="shared" si="176"/>
        <v>141</v>
      </c>
      <c r="G1326">
        <f t="shared" si="176"/>
        <v>179</v>
      </c>
      <c r="H1326">
        <f t="shared" si="176"/>
        <v>215</v>
      </c>
      <c r="I1326">
        <f t="shared" si="176"/>
        <v>237</v>
      </c>
      <c r="J1326">
        <f t="shared" ref="J1326:Q1368" si="177">FIND(J$1,$A1326)</f>
        <v>271</v>
      </c>
      <c r="K1326">
        <f t="shared" si="177"/>
        <v>305</v>
      </c>
      <c r="L1326">
        <f t="shared" si="177"/>
        <v>336</v>
      </c>
      <c r="M1326">
        <f t="shared" si="177"/>
        <v>351</v>
      </c>
      <c r="N1326">
        <f t="shared" si="177"/>
        <v>363</v>
      </c>
      <c r="O1326">
        <f t="shared" si="175"/>
        <v>388</v>
      </c>
      <c r="P1326">
        <f t="shared" si="175"/>
        <v>406</v>
      </c>
      <c r="Q1326">
        <f t="shared" si="175"/>
        <v>432</v>
      </c>
      <c r="S1326" t="str">
        <f t="shared" si="170"/>
        <v>10.12.2025</v>
      </c>
      <c r="T1326" t="str">
        <f t="shared" si="171"/>
        <v>14:00:00</v>
      </c>
      <c r="U1326" t="str">
        <f t="shared" si="173"/>
        <v>10.12.2025 14:00:00</v>
      </c>
      <c r="V1326" s="9" t="str">
        <f>MID($A1326,C1326+C$2+1,D1326-C1326-C$2-1)</f>
        <v>0</v>
      </c>
      <c r="W1326" s="4">
        <f>VALUE(SUBSTITUTE(MID($A1326,D1326+D$2+1,E1326-D1326-D$2-1),",","."))</f>
        <v>0.59269206333729696</v>
      </c>
      <c r="X1326" s="4">
        <f>VALUE(SUBSTITUTE(MID($A1326,E1326+E$2+1,F1326-E1326-E$2-1),",","."))</f>
        <v>0.90957602214449496</v>
      </c>
      <c r="Y1326" s="4">
        <f>VALUE(SUBSTITUTE(MID($A1326,F1326+F$2+1,G1326-F1326-F$2-1),",","."))</f>
        <v>0.26797517181991198</v>
      </c>
      <c r="Z1326" s="3">
        <f>VALUE(SUBSTITUTE(MID($A1326,G1326+G$2+1,H1326-G1326-G$2-1),",","."))</f>
        <v>644.9</v>
      </c>
      <c r="AA1326" s="3">
        <f>VALUE(SUBSTITUTE(MID($A1326,H1326+H$2+1,I1326-H1326-H$2-1),",","."))</f>
        <v>0</v>
      </c>
      <c r="AB1326" s="3">
        <f>VALUE(SUBSTITUTE(MID($A1326,I1326+I$2+1,J1326-I1326-I$2-1),",","."))</f>
        <v>69</v>
      </c>
      <c r="AC1326" s="3">
        <f>VALUE(SUBSTITUTE(MID($A1326,J1326+J$2+1,K1326-J1326-J$2-1),",","."))</f>
        <v>7.3999999999999897</v>
      </c>
      <c r="AD1326" s="3">
        <f>VALUE(SUBSTITUTE(MID($A1326,K1326+K$2+1,L1326-K1326-K$2-1),",","."))</f>
        <v>64.8</v>
      </c>
      <c r="AE1326" s="3">
        <f>VALUE(SUBSTITUTE(MID($A1326,L1326+L$2+1,M1326-L1326-L$2-1),",","."))</f>
        <v>0</v>
      </c>
      <c r="AF1326" s="3">
        <f>VALUE(SUBSTITUTE(MID($A1326,M1326+M$2+1,N1326-M1326-M$2-1),",","."))</f>
        <v>0</v>
      </c>
      <c r="AG1326" s="3">
        <f>VALUE(SUBSTITUTE(MID($A1326,N1326+N$2+1,O1326-N1326-N$2-1),",","."))</f>
        <v>4.2411925566103799</v>
      </c>
      <c r="AH1326" t="str">
        <f>MID($A1326,O1326+O$2+1,P1326-O1326-O$2-1)</f>
        <v/>
      </c>
      <c r="AI1326" s="8" t="str">
        <f>MID($A1326,P1326+P$2+1,Q1326-P1326-P$2-1)</f>
        <v>False</v>
      </c>
      <c r="AK1326" t="b">
        <f t="shared" si="174"/>
        <v>0</v>
      </c>
    </row>
    <row r="1327" spans="1:37" x14ac:dyDescent="0.35">
      <c r="A1327" t="s">
        <v>5874</v>
      </c>
      <c r="B1327">
        <f t="shared" ref="B1327:I1358" si="178">FIND(B$1,$A1327)</f>
        <v>10</v>
      </c>
      <c r="C1327">
        <f t="shared" si="178"/>
        <v>43</v>
      </c>
      <c r="D1327">
        <f t="shared" si="178"/>
        <v>54</v>
      </c>
      <c r="E1327">
        <f t="shared" si="178"/>
        <v>97</v>
      </c>
      <c r="F1327">
        <f t="shared" si="178"/>
        <v>141</v>
      </c>
      <c r="G1327">
        <f t="shared" si="178"/>
        <v>180</v>
      </c>
      <c r="H1327">
        <f t="shared" si="178"/>
        <v>216</v>
      </c>
      <c r="I1327">
        <f t="shared" si="178"/>
        <v>238</v>
      </c>
      <c r="J1327">
        <f t="shared" si="177"/>
        <v>272</v>
      </c>
      <c r="K1327">
        <f t="shared" si="177"/>
        <v>306</v>
      </c>
      <c r="L1327">
        <f t="shared" si="177"/>
        <v>337</v>
      </c>
      <c r="M1327">
        <f t="shared" si="177"/>
        <v>352</v>
      </c>
      <c r="N1327">
        <f t="shared" si="177"/>
        <v>364</v>
      </c>
      <c r="O1327">
        <f t="shared" si="175"/>
        <v>389</v>
      </c>
      <c r="P1327">
        <f t="shared" si="175"/>
        <v>407</v>
      </c>
      <c r="Q1327">
        <f t="shared" si="175"/>
        <v>433</v>
      </c>
      <c r="S1327" t="str">
        <f t="shared" si="170"/>
        <v>10.12.2025</v>
      </c>
      <c r="T1327" t="str">
        <f t="shared" si="171"/>
        <v>14:15:00</v>
      </c>
      <c r="U1327" t="str">
        <f t="shared" si="173"/>
        <v>10.12.2025 14:15:00</v>
      </c>
      <c r="V1327" s="9" t="str">
        <f>MID($A1327,C1327+C$2+1,D1327-C1327-C$2-1)</f>
        <v>0</v>
      </c>
      <c r="W1327" s="4">
        <f>VALUE(SUBSTITUTE(MID($A1327,D1327+D$2+1,E1327-D1327-D$2-1),",","."))</f>
        <v>0.55381965053037896</v>
      </c>
      <c r="X1327" s="4">
        <f>VALUE(SUBSTITUTE(MID($A1327,E1327+E$2+1,F1327-E1327-E$2-1),",","."))</f>
        <v>0.90957602214449496</v>
      </c>
      <c r="Y1327" s="4">
        <f>VALUE(SUBSTITUTE(MID($A1327,F1327+F$2+1,G1327-F1327-F$2-1),",","."))</f>
        <v>0.248064707123758</v>
      </c>
      <c r="Z1327" s="3">
        <f>VALUE(SUBSTITUTE(MID($A1327,G1327+G$2+1,H1327-G1327-G$2-1),",","."))</f>
        <v>644.9</v>
      </c>
      <c r="AA1327" s="3">
        <f>VALUE(SUBSTITUTE(MID($A1327,H1327+H$2+1,I1327-H1327-H$2-1),",","."))</f>
        <v>0</v>
      </c>
      <c r="AB1327" s="3">
        <f>VALUE(SUBSTITUTE(MID($A1327,I1327+I$2+1,J1327-I1327-I$2-1),",","."))</f>
        <v>69</v>
      </c>
      <c r="AC1327" s="3">
        <f>VALUE(SUBSTITUTE(MID($A1327,J1327+J$2+1,K1327-J1327-J$2-1),",","."))</f>
        <v>7.3999999999999897</v>
      </c>
      <c r="AD1327" s="3">
        <f>VALUE(SUBSTITUTE(MID($A1327,K1327+K$2+1,L1327-K1327-K$2-1),",","."))</f>
        <v>64.8</v>
      </c>
      <c r="AE1327" s="3">
        <f>VALUE(SUBSTITUTE(MID($A1327,L1327+L$2+1,M1327-L1327-L$2-1),",","."))</f>
        <v>0</v>
      </c>
      <c r="AF1327" s="3">
        <f>VALUE(SUBSTITUTE(MID($A1327,M1327+M$2+1,N1327-M1327-M$2-1),",","."))</f>
        <v>0</v>
      </c>
      <c r="AG1327" s="3">
        <f>VALUE(SUBSTITUTE(MID($A1327,N1327+N$2+1,O1327-N1327-N$2-1),",","."))</f>
        <v>4.2412210764984604</v>
      </c>
      <c r="AH1327" t="str">
        <f>MID($A1327,O1327+O$2+1,P1327-O1327-O$2-1)</f>
        <v/>
      </c>
      <c r="AI1327" s="8" t="str">
        <f>MID($A1327,P1327+P$2+1,Q1327-P1327-P$2-1)</f>
        <v>False</v>
      </c>
      <c r="AK1327" t="b">
        <f t="shared" si="174"/>
        <v>0</v>
      </c>
    </row>
    <row r="1328" spans="1:37" x14ac:dyDescent="0.35">
      <c r="A1328" t="s">
        <v>5875</v>
      </c>
      <c r="B1328">
        <f t="shared" si="178"/>
        <v>10</v>
      </c>
      <c r="C1328">
        <f t="shared" si="178"/>
        <v>43</v>
      </c>
      <c r="D1328">
        <f t="shared" si="178"/>
        <v>54</v>
      </c>
      <c r="E1328">
        <f t="shared" si="178"/>
        <v>97</v>
      </c>
      <c r="F1328">
        <f t="shared" si="178"/>
        <v>141</v>
      </c>
      <c r="G1328">
        <f t="shared" si="178"/>
        <v>180</v>
      </c>
      <c r="H1328">
        <f t="shared" si="178"/>
        <v>228</v>
      </c>
      <c r="I1328">
        <f t="shared" si="178"/>
        <v>250</v>
      </c>
      <c r="J1328">
        <f t="shared" si="177"/>
        <v>286</v>
      </c>
      <c r="K1328">
        <f t="shared" si="177"/>
        <v>305</v>
      </c>
      <c r="L1328">
        <f t="shared" si="177"/>
        <v>324</v>
      </c>
      <c r="M1328">
        <f t="shared" si="177"/>
        <v>339</v>
      </c>
      <c r="N1328">
        <f t="shared" si="177"/>
        <v>351</v>
      </c>
      <c r="O1328">
        <f t="shared" si="175"/>
        <v>377</v>
      </c>
      <c r="P1328">
        <f t="shared" si="175"/>
        <v>395</v>
      </c>
      <c r="Q1328">
        <f t="shared" si="175"/>
        <v>421</v>
      </c>
      <c r="S1328" t="str">
        <f t="shared" si="170"/>
        <v>10.12.2025</v>
      </c>
      <c r="T1328" t="str">
        <f t="shared" si="171"/>
        <v>14:30:00</v>
      </c>
      <c r="U1328" t="str">
        <f t="shared" si="173"/>
        <v>10.12.2025 14:30:00</v>
      </c>
      <c r="V1328" s="9" t="str">
        <f>MID($A1328,C1328+C$2+1,D1328-C1328-C$2-1)</f>
        <v>0</v>
      </c>
      <c r="W1328" s="4">
        <f>VALUE(SUBSTITUTE(MID($A1328,D1328+D$2+1,E1328-D1328-D$2-1),",","."))</f>
        <v>0.51220100216856301</v>
      </c>
      <c r="X1328" s="4">
        <f>VALUE(SUBSTITUTE(MID($A1328,E1328+E$2+1,F1328-E1328-E$2-1),",","."))</f>
        <v>0.90957602214449496</v>
      </c>
      <c r="Y1328" s="4">
        <f>VALUE(SUBSTITUTE(MID($A1328,F1328+F$2+1,G1328-F1328-F$2-1),",","."))</f>
        <v>0.225895699502559</v>
      </c>
      <c r="Z1328" s="3">
        <f>VALUE(SUBSTITUTE(MID($A1328,G1328+G$2+1,H1328-G1328-G$2-1),",","."))</f>
        <v>643.08333333333303</v>
      </c>
      <c r="AA1328" s="3">
        <f>VALUE(SUBSTITUTE(MID($A1328,H1328+H$2+1,I1328-H1328-H$2-1),",","."))</f>
        <v>0</v>
      </c>
      <c r="AB1328" s="3">
        <f>VALUE(SUBSTITUTE(MID($A1328,I1328+I$2+1,J1328-I1328-I$2-1),",","."))</f>
        <v>52.5</v>
      </c>
      <c r="AC1328" s="3">
        <f>VALUE(SUBSTITUTE(MID($A1328,J1328+J$2+1,K1328-J1328-J$2-1),",","."))</f>
        <v>6.5</v>
      </c>
      <c r="AD1328" s="3">
        <f>VALUE(SUBSTITUTE(MID($A1328,K1328+K$2+1,L1328-K1328-K$2-1),",","."))</f>
        <v>52.74</v>
      </c>
      <c r="AE1328" s="3">
        <f>VALUE(SUBSTITUTE(MID($A1328,L1328+L$2+1,M1328-L1328-L$2-1),",","."))</f>
        <v>0</v>
      </c>
      <c r="AF1328" s="3">
        <f>VALUE(SUBSTITUTE(MID($A1328,M1328+M$2+1,N1328-M1328-M$2-1),",","."))</f>
        <v>0</v>
      </c>
      <c r="AG1328" s="3">
        <f>VALUE(SUBSTITUTE(MID($A1328,N1328+N$2+1,O1328-N1328-N$2-1),",","."))</f>
        <v>4.24124959638654</v>
      </c>
      <c r="AH1328" t="str">
        <f>MID($A1328,O1328+O$2+1,P1328-O1328-O$2-1)</f>
        <v/>
      </c>
      <c r="AI1328" s="8" t="str">
        <f>MID($A1328,P1328+P$2+1,Q1328-P1328-P$2-1)</f>
        <v>False</v>
      </c>
      <c r="AK1328" t="b">
        <f t="shared" si="174"/>
        <v>0</v>
      </c>
    </row>
    <row r="1329" spans="1:37" x14ac:dyDescent="0.35">
      <c r="A1329" t="s">
        <v>5876</v>
      </c>
      <c r="B1329">
        <f t="shared" si="178"/>
        <v>10</v>
      </c>
      <c r="C1329">
        <f t="shared" si="178"/>
        <v>43</v>
      </c>
      <c r="D1329">
        <f t="shared" si="178"/>
        <v>54</v>
      </c>
      <c r="E1329">
        <f t="shared" si="178"/>
        <v>97</v>
      </c>
      <c r="F1329">
        <f t="shared" si="178"/>
        <v>141</v>
      </c>
      <c r="G1329">
        <f t="shared" si="178"/>
        <v>180</v>
      </c>
      <c r="H1329">
        <f t="shared" si="178"/>
        <v>228</v>
      </c>
      <c r="I1329">
        <f t="shared" si="178"/>
        <v>250</v>
      </c>
      <c r="J1329">
        <f t="shared" si="177"/>
        <v>286</v>
      </c>
      <c r="K1329">
        <f t="shared" si="177"/>
        <v>305</v>
      </c>
      <c r="L1329">
        <f t="shared" si="177"/>
        <v>324</v>
      </c>
      <c r="M1329">
        <f t="shared" si="177"/>
        <v>339</v>
      </c>
      <c r="N1329">
        <f t="shared" si="177"/>
        <v>351</v>
      </c>
      <c r="O1329">
        <f t="shared" si="175"/>
        <v>376</v>
      </c>
      <c r="P1329">
        <f t="shared" si="175"/>
        <v>394</v>
      </c>
      <c r="Q1329">
        <f t="shared" si="175"/>
        <v>420</v>
      </c>
      <c r="S1329" t="str">
        <f t="shared" si="170"/>
        <v>10.12.2025</v>
      </c>
      <c r="T1329" t="str">
        <f t="shared" si="171"/>
        <v>14:45:00</v>
      </c>
      <c r="U1329" t="str">
        <f t="shared" si="173"/>
        <v>10.12.2025 14:45:00</v>
      </c>
      <c r="V1329" s="9" t="str">
        <f>MID($A1329,C1329+C$2+1,D1329-C1329-C$2-1)</f>
        <v>0</v>
      </c>
      <c r="W1329" s="4">
        <f>VALUE(SUBSTITUTE(MID($A1329,D1329+D$2+1,E1329-D1329-D$2-1),",","."))</f>
        <v>0.468022830333092</v>
      </c>
      <c r="X1329" s="4">
        <f>VALUE(SUBSTITUTE(MID($A1329,E1329+E$2+1,F1329-E1329-E$2-1),",","."))</f>
        <v>0.90957602214449496</v>
      </c>
      <c r="Y1329" s="4">
        <f>VALUE(SUBSTITUTE(MID($A1329,F1329+F$2+1,G1329-F1329-F$2-1),",","."))</f>
        <v>0.201573440477152</v>
      </c>
      <c r="Z1329" s="3">
        <f>VALUE(SUBSTITUTE(MID($A1329,G1329+G$2+1,H1329-G1329-G$2-1),",","."))</f>
        <v>643.08333333333303</v>
      </c>
      <c r="AA1329" s="3">
        <f>VALUE(SUBSTITUTE(MID($A1329,H1329+H$2+1,I1329-H1329-H$2-1),",","."))</f>
        <v>0</v>
      </c>
      <c r="AB1329" s="3">
        <f>VALUE(SUBSTITUTE(MID($A1329,I1329+I$2+1,J1329-I1329-I$2-1),",","."))</f>
        <v>52.5</v>
      </c>
      <c r="AC1329" s="3">
        <f>VALUE(SUBSTITUTE(MID($A1329,J1329+J$2+1,K1329-J1329-J$2-1),",","."))</f>
        <v>6.5</v>
      </c>
      <c r="AD1329" s="3">
        <f>VALUE(SUBSTITUTE(MID($A1329,K1329+K$2+1,L1329-K1329-K$2-1),",","."))</f>
        <v>52.74</v>
      </c>
      <c r="AE1329" s="3">
        <f>VALUE(SUBSTITUTE(MID($A1329,L1329+L$2+1,M1329-L1329-L$2-1),",","."))</f>
        <v>0</v>
      </c>
      <c r="AF1329" s="3">
        <f>VALUE(SUBSTITUTE(MID($A1329,M1329+M$2+1,N1329-M1329-M$2-1),",","."))</f>
        <v>0</v>
      </c>
      <c r="AG1329" s="3">
        <f>VALUE(SUBSTITUTE(MID($A1329,N1329+N$2+1,O1329-N1329-N$2-1),",","."))</f>
        <v>4.2412781162746196</v>
      </c>
      <c r="AH1329" t="str">
        <f>MID($A1329,O1329+O$2+1,P1329-O1329-O$2-1)</f>
        <v/>
      </c>
      <c r="AI1329" s="8" t="str">
        <f>MID($A1329,P1329+P$2+1,Q1329-P1329-P$2-1)</f>
        <v>False</v>
      </c>
      <c r="AK1329" t="b">
        <f t="shared" si="174"/>
        <v>0</v>
      </c>
    </row>
    <row r="1330" spans="1:37" x14ac:dyDescent="0.35">
      <c r="A1330" t="s">
        <v>5877</v>
      </c>
      <c r="B1330">
        <f t="shared" si="178"/>
        <v>10</v>
      </c>
      <c r="C1330">
        <f t="shared" si="178"/>
        <v>43</v>
      </c>
      <c r="D1330">
        <f t="shared" si="178"/>
        <v>54</v>
      </c>
      <c r="E1330">
        <f t="shared" si="178"/>
        <v>97</v>
      </c>
      <c r="F1330">
        <f t="shared" si="178"/>
        <v>141</v>
      </c>
      <c r="G1330">
        <f t="shared" si="178"/>
        <v>180</v>
      </c>
      <c r="H1330">
        <f t="shared" si="178"/>
        <v>228</v>
      </c>
      <c r="I1330">
        <f t="shared" si="178"/>
        <v>250</v>
      </c>
      <c r="J1330">
        <f t="shared" si="177"/>
        <v>286</v>
      </c>
      <c r="K1330">
        <f t="shared" si="177"/>
        <v>305</v>
      </c>
      <c r="L1330">
        <f t="shared" si="177"/>
        <v>324</v>
      </c>
      <c r="M1330">
        <f t="shared" si="177"/>
        <v>339</v>
      </c>
      <c r="N1330">
        <f t="shared" si="177"/>
        <v>351</v>
      </c>
      <c r="O1330">
        <f t="shared" si="175"/>
        <v>376</v>
      </c>
      <c r="P1330">
        <f t="shared" si="175"/>
        <v>394</v>
      </c>
      <c r="Q1330">
        <f t="shared" si="175"/>
        <v>420</v>
      </c>
      <c r="S1330" t="str">
        <f t="shared" si="170"/>
        <v>10.12.2025</v>
      </c>
      <c r="T1330" t="str">
        <f t="shared" si="171"/>
        <v>15:00:00</v>
      </c>
      <c r="U1330" t="str">
        <f t="shared" si="173"/>
        <v>10.12.2025 15:00:00</v>
      </c>
      <c r="V1330" s="9" t="str">
        <f>MID($A1330,C1330+C$2+1,D1330-C1330-C$2-1)</f>
        <v>0</v>
      </c>
      <c r="W1330" s="4">
        <f>VALUE(SUBSTITUTE(MID($A1330,D1330+D$2+1,E1330-D1330-D$2-1),",","."))</f>
        <v>0.42148823605344898</v>
      </c>
      <c r="X1330" s="4">
        <f>VALUE(SUBSTITUTE(MID($A1330,E1330+E$2+1,F1330-E1330-E$2-1),",","."))</f>
        <v>0.90957602214449496</v>
      </c>
      <c r="Y1330" s="4">
        <f>VALUE(SUBSTITUTE(MID($A1330,F1330+F$2+1,G1330-F1330-F$2-1),",","."))</f>
        <v>0.17521904102022801</v>
      </c>
      <c r="Z1330" s="3">
        <f>VALUE(SUBSTITUTE(MID($A1330,G1330+G$2+1,H1330-G1330-G$2-1),",","."))</f>
        <v>643.08333333333303</v>
      </c>
      <c r="AA1330" s="3">
        <f>VALUE(SUBSTITUTE(MID($A1330,H1330+H$2+1,I1330-H1330-H$2-1),",","."))</f>
        <v>0</v>
      </c>
      <c r="AB1330" s="3">
        <f>VALUE(SUBSTITUTE(MID($A1330,I1330+I$2+1,J1330-I1330-I$2-1),",","."))</f>
        <v>52.5</v>
      </c>
      <c r="AC1330" s="3">
        <f>VALUE(SUBSTITUTE(MID($A1330,J1330+J$2+1,K1330-J1330-J$2-1),",","."))</f>
        <v>6.5</v>
      </c>
      <c r="AD1330" s="3">
        <f>VALUE(SUBSTITUTE(MID($A1330,K1330+K$2+1,L1330-K1330-K$2-1),",","."))</f>
        <v>52.74</v>
      </c>
      <c r="AE1330" s="3">
        <f>VALUE(SUBSTITUTE(MID($A1330,L1330+L$2+1,M1330-L1330-L$2-1),",","."))</f>
        <v>0</v>
      </c>
      <c r="AF1330" s="3">
        <f>VALUE(SUBSTITUTE(MID($A1330,M1330+M$2+1,N1330-M1330-M$2-1),",","."))</f>
        <v>0</v>
      </c>
      <c r="AG1330" s="3">
        <f>VALUE(SUBSTITUTE(MID($A1330,N1330+N$2+1,O1330-N1330-N$2-1),",","."))</f>
        <v>4.2413066361627001</v>
      </c>
      <c r="AH1330" t="str">
        <f>MID($A1330,O1330+O$2+1,P1330-O1330-O$2-1)</f>
        <v/>
      </c>
      <c r="AI1330" s="8" t="str">
        <f>MID($A1330,P1330+P$2+1,Q1330-P1330-P$2-1)</f>
        <v>False</v>
      </c>
      <c r="AK1330" t="b">
        <f t="shared" si="174"/>
        <v>0</v>
      </c>
    </row>
    <row r="1331" spans="1:37" x14ac:dyDescent="0.35">
      <c r="A1331" t="s">
        <v>5878</v>
      </c>
      <c r="B1331">
        <f t="shared" si="178"/>
        <v>10</v>
      </c>
      <c r="C1331">
        <f t="shared" si="178"/>
        <v>43</v>
      </c>
      <c r="D1331">
        <f t="shared" si="178"/>
        <v>54</v>
      </c>
      <c r="E1331">
        <f t="shared" si="178"/>
        <v>98</v>
      </c>
      <c r="F1331">
        <f t="shared" si="178"/>
        <v>142</v>
      </c>
      <c r="G1331">
        <f t="shared" si="178"/>
        <v>181</v>
      </c>
      <c r="H1331">
        <f t="shared" si="178"/>
        <v>229</v>
      </c>
      <c r="I1331">
        <f t="shared" si="178"/>
        <v>251</v>
      </c>
      <c r="J1331">
        <f t="shared" si="177"/>
        <v>287</v>
      </c>
      <c r="K1331">
        <f t="shared" si="177"/>
        <v>306</v>
      </c>
      <c r="L1331">
        <f t="shared" si="177"/>
        <v>325</v>
      </c>
      <c r="M1331">
        <f t="shared" si="177"/>
        <v>340</v>
      </c>
      <c r="N1331">
        <f t="shared" si="177"/>
        <v>352</v>
      </c>
      <c r="O1331">
        <f t="shared" si="175"/>
        <v>377</v>
      </c>
      <c r="P1331">
        <f t="shared" si="175"/>
        <v>395</v>
      </c>
      <c r="Q1331">
        <f t="shared" si="175"/>
        <v>421</v>
      </c>
      <c r="S1331" t="str">
        <f t="shared" si="170"/>
        <v>10.12.2025</v>
      </c>
      <c r="T1331" t="str">
        <f t="shared" si="171"/>
        <v>15:15:00</v>
      </c>
      <c r="U1331" t="str">
        <f t="shared" si="173"/>
        <v>10.12.2025 15:15:00</v>
      </c>
      <c r="V1331" s="9" t="str">
        <f>MID($A1331,C1331+C$2+1,D1331-C1331-C$2-1)</f>
        <v>0</v>
      </c>
      <c r="W1331" s="4">
        <f>VALUE(SUBSTITUTE(MID($A1331,D1331+D$2+1,E1331-D1331-D$2-1),",","."))</f>
        <v>0.37282078794179102</v>
      </c>
      <c r="X1331" s="4">
        <f>VALUE(SUBSTITUTE(MID($A1331,E1331+E$2+1,F1331-E1331-E$2-1),",","."))</f>
        <v>0.90957602214449496</v>
      </c>
      <c r="Y1331" s="4">
        <f>VALUE(SUBSTITUTE(MID($A1331,F1331+F$2+1,G1331-F1331-F$2-1),",","."))</f>
        <v>0.14697492137051699</v>
      </c>
      <c r="Z1331" s="3">
        <f>VALUE(SUBSTITUTE(MID($A1331,G1331+G$2+1,H1331-G1331-G$2-1),",","."))</f>
        <v>643.08333333333303</v>
      </c>
      <c r="AA1331" s="3">
        <f>VALUE(SUBSTITUTE(MID($A1331,H1331+H$2+1,I1331-H1331-H$2-1),",","."))</f>
        <v>0</v>
      </c>
      <c r="AB1331" s="3">
        <f>VALUE(SUBSTITUTE(MID($A1331,I1331+I$2+1,J1331-I1331-I$2-1),",","."))</f>
        <v>52.5</v>
      </c>
      <c r="AC1331" s="3">
        <f>VALUE(SUBSTITUTE(MID($A1331,J1331+J$2+1,K1331-J1331-J$2-1),",","."))</f>
        <v>6.5</v>
      </c>
      <c r="AD1331" s="3">
        <f>VALUE(SUBSTITUTE(MID($A1331,K1331+K$2+1,L1331-K1331-K$2-1),",","."))</f>
        <v>52.74</v>
      </c>
      <c r="AE1331" s="3">
        <f>VALUE(SUBSTITUTE(MID($A1331,L1331+L$2+1,M1331-L1331-L$2-1),",","."))</f>
        <v>0</v>
      </c>
      <c r="AF1331" s="3">
        <f>VALUE(SUBSTITUTE(MID($A1331,M1331+M$2+1,N1331-M1331-M$2-1),",","."))</f>
        <v>0</v>
      </c>
      <c r="AG1331" s="3">
        <f>VALUE(SUBSTITUTE(MID($A1331,N1331+N$2+1,O1331-N1331-N$2-1),",","."))</f>
        <v>4.2413351560507797</v>
      </c>
      <c r="AH1331" t="str">
        <f>MID($A1331,O1331+O$2+1,P1331-O1331-O$2-1)</f>
        <v/>
      </c>
      <c r="AI1331" s="8" t="str">
        <f>MID($A1331,P1331+P$2+1,Q1331-P1331-P$2-1)</f>
        <v>False</v>
      </c>
      <c r="AK1331" t="b">
        <f t="shared" si="174"/>
        <v>0</v>
      </c>
    </row>
    <row r="1332" spans="1:37" x14ac:dyDescent="0.35">
      <c r="A1332" t="s">
        <v>5879</v>
      </c>
      <c r="B1332">
        <f t="shared" si="178"/>
        <v>10</v>
      </c>
      <c r="C1332">
        <f t="shared" si="178"/>
        <v>43</v>
      </c>
      <c r="D1332">
        <f t="shared" si="178"/>
        <v>54</v>
      </c>
      <c r="E1332">
        <f t="shared" si="178"/>
        <v>97</v>
      </c>
      <c r="F1332">
        <f t="shared" si="178"/>
        <v>141</v>
      </c>
      <c r="G1332">
        <f t="shared" si="178"/>
        <v>180</v>
      </c>
      <c r="H1332">
        <f t="shared" si="178"/>
        <v>217</v>
      </c>
      <c r="I1332">
        <f t="shared" si="178"/>
        <v>239</v>
      </c>
      <c r="J1332">
        <f t="shared" si="177"/>
        <v>273</v>
      </c>
      <c r="K1332">
        <f t="shared" si="177"/>
        <v>293</v>
      </c>
      <c r="L1332">
        <f t="shared" si="177"/>
        <v>312</v>
      </c>
      <c r="M1332">
        <f t="shared" si="177"/>
        <v>327</v>
      </c>
      <c r="N1332">
        <f t="shared" si="177"/>
        <v>339</v>
      </c>
      <c r="O1332">
        <f t="shared" si="175"/>
        <v>363</v>
      </c>
      <c r="P1332">
        <f t="shared" si="175"/>
        <v>381</v>
      </c>
      <c r="Q1332">
        <f t="shared" si="175"/>
        <v>407</v>
      </c>
      <c r="S1332" t="str">
        <f t="shared" si="170"/>
        <v>10.12.2025</v>
      </c>
      <c r="T1332" t="str">
        <f t="shared" si="171"/>
        <v>15:30:00</v>
      </c>
      <c r="U1332" t="str">
        <f t="shared" si="173"/>
        <v>10.12.2025 15:30:00</v>
      </c>
      <c r="V1332" s="9" t="str">
        <f>MID($A1332,C1332+C$2+1,D1332-C1332-C$2-1)</f>
        <v>0</v>
      </c>
      <c r="W1332" s="4">
        <f>VALUE(SUBSTITUTE(MID($A1332,D1332+D$2+1,E1332-D1332-D$2-1),",","."))</f>
        <v>0.32227494409156898</v>
      </c>
      <c r="X1332" s="4">
        <f>VALUE(SUBSTITUTE(MID($A1332,E1332+E$2+1,F1332-E1332-E$2-1),",","."))</f>
        <v>0.90957602214449496</v>
      </c>
      <c r="Y1332" s="4">
        <f>VALUE(SUBSTITUTE(MID($A1332,F1332+F$2+1,G1332-F1332-F$2-1),",","."))</f>
        <v>0.117018015547635</v>
      </c>
      <c r="Z1332" s="3">
        <f>VALUE(SUBSTITUTE(MID($A1332,G1332+G$2+1,H1332-G1332-G$2-1),",","."))</f>
        <v>625.25</v>
      </c>
      <c r="AA1332" s="3">
        <f>VALUE(SUBSTITUTE(MID($A1332,H1332+H$2+1,I1332-H1332-H$2-1),",","."))</f>
        <v>0</v>
      </c>
      <c r="AB1332" s="3">
        <f>VALUE(SUBSTITUTE(MID($A1332,I1332+I$2+1,J1332-I1332-I$2-1),",","."))</f>
        <v>29</v>
      </c>
      <c r="AC1332" s="3">
        <f>VALUE(SUBSTITUTE(MID($A1332,J1332+J$2+1,K1332-J1332-J$2-1),",","."))</f>
        <v>5.35</v>
      </c>
      <c r="AD1332" s="3">
        <f>VALUE(SUBSTITUTE(MID($A1332,K1332+K$2+1,L1332-K1332-K$2-1),",","."))</f>
        <v>37.44</v>
      </c>
      <c r="AE1332" s="3">
        <f>VALUE(SUBSTITUTE(MID($A1332,L1332+L$2+1,M1332-L1332-L$2-1),",","."))</f>
        <v>0</v>
      </c>
      <c r="AF1332" s="3">
        <f>VALUE(SUBSTITUTE(MID($A1332,M1332+M$2+1,N1332-M1332-M$2-1),",","."))</f>
        <v>0</v>
      </c>
      <c r="AG1332" s="3">
        <f>VALUE(SUBSTITUTE(MID($A1332,N1332+N$2+1,O1332-N1332-N$2-1),",","."))</f>
        <v>4.24136367593887</v>
      </c>
      <c r="AH1332" t="str">
        <f>MID($A1332,O1332+O$2+1,P1332-O1332-O$2-1)</f>
        <v/>
      </c>
      <c r="AI1332" s="8" t="str">
        <f>MID($A1332,P1332+P$2+1,Q1332-P1332-P$2-1)</f>
        <v>False</v>
      </c>
      <c r="AK1332" t="b">
        <f t="shared" si="174"/>
        <v>0</v>
      </c>
    </row>
    <row r="1333" spans="1:37" x14ac:dyDescent="0.35">
      <c r="A1333" t="s">
        <v>5880</v>
      </c>
      <c r="B1333">
        <f t="shared" si="178"/>
        <v>10</v>
      </c>
      <c r="C1333">
        <f t="shared" si="178"/>
        <v>43</v>
      </c>
      <c r="D1333">
        <f t="shared" si="178"/>
        <v>54</v>
      </c>
      <c r="E1333">
        <f t="shared" si="178"/>
        <v>80</v>
      </c>
      <c r="F1333">
        <f t="shared" si="178"/>
        <v>124</v>
      </c>
      <c r="G1333">
        <f t="shared" si="178"/>
        <v>163</v>
      </c>
      <c r="H1333">
        <f t="shared" si="178"/>
        <v>200</v>
      </c>
      <c r="I1333">
        <f t="shared" si="178"/>
        <v>222</v>
      </c>
      <c r="J1333">
        <f t="shared" si="177"/>
        <v>256</v>
      </c>
      <c r="K1333">
        <f t="shared" si="177"/>
        <v>276</v>
      </c>
      <c r="L1333">
        <f t="shared" si="177"/>
        <v>295</v>
      </c>
      <c r="M1333">
        <f t="shared" si="177"/>
        <v>310</v>
      </c>
      <c r="N1333">
        <f t="shared" si="177"/>
        <v>322</v>
      </c>
      <c r="O1333">
        <f t="shared" si="175"/>
        <v>347</v>
      </c>
      <c r="P1333">
        <f t="shared" si="175"/>
        <v>365</v>
      </c>
      <c r="Q1333">
        <f t="shared" si="175"/>
        <v>391</v>
      </c>
      <c r="S1333" t="str">
        <f t="shared" si="170"/>
        <v>10.12.2025</v>
      </c>
      <c r="T1333" t="str">
        <f t="shared" si="171"/>
        <v>15:45:00</v>
      </c>
      <c r="U1333" t="str">
        <f t="shared" si="173"/>
        <v>10.12.2025 15:45:00</v>
      </c>
      <c r="V1333" s="9" t="str">
        <f>MID($A1333,C1333+C$2+1,D1333-C1333-C$2-1)</f>
        <v>0</v>
      </c>
      <c r="W1333" s="4">
        <f>VALUE(SUBSTITUTE(MID($A1333,D1333+D$2+1,E1333-D1333-D$2-1),",","."))</f>
        <v>0</v>
      </c>
      <c r="X1333" s="4">
        <f>VALUE(SUBSTITUTE(MID($A1333,E1333+E$2+1,F1333-E1333-E$2-1),",","."))</f>
        <v>0.90957602214449496</v>
      </c>
      <c r="Y1333" s="4">
        <f>VALUE(SUBSTITUTE(MID($A1333,F1333+F$2+1,G1333-F1333-F$2-1),",","."))</f>
        <v>8.5594892809519194E-2</v>
      </c>
      <c r="Z1333" s="3">
        <f>VALUE(SUBSTITUTE(MID($A1333,G1333+G$2+1,H1333-G1333-G$2-1),",","."))</f>
        <v>625.25</v>
      </c>
      <c r="AA1333" s="3">
        <f>VALUE(SUBSTITUTE(MID($A1333,H1333+H$2+1,I1333-H1333-H$2-1),",","."))</f>
        <v>0</v>
      </c>
      <c r="AB1333" s="3">
        <f>VALUE(SUBSTITUTE(MID($A1333,I1333+I$2+1,J1333-I1333-I$2-1),",","."))</f>
        <v>29</v>
      </c>
      <c r="AC1333" s="3">
        <f>VALUE(SUBSTITUTE(MID($A1333,J1333+J$2+1,K1333-J1333-J$2-1),",","."))</f>
        <v>5.35</v>
      </c>
      <c r="AD1333" s="3">
        <f>VALUE(SUBSTITUTE(MID($A1333,K1333+K$2+1,L1333-K1333-K$2-1),",","."))</f>
        <v>37.44</v>
      </c>
      <c r="AE1333" s="3">
        <f>VALUE(SUBSTITUTE(MID($A1333,L1333+L$2+1,M1333-L1333-L$2-1),",","."))</f>
        <v>0</v>
      </c>
      <c r="AF1333" s="3">
        <f>VALUE(SUBSTITUTE(MID($A1333,M1333+M$2+1,N1333-M1333-M$2-1),",","."))</f>
        <v>0</v>
      </c>
      <c r="AG1333" s="3">
        <f>VALUE(SUBSTITUTE(MID($A1333,N1333+N$2+1,O1333-N1333-N$2-1),",","."))</f>
        <v>4.2413921958269496</v>
      </c>
      <c r="AH1333" t="str">
        <f>MID($A1333,O1333+O$2+1,P1333-O1333-O$2-1)</f>
        <v/>
      </c>
      <c r="AI1333" s="8" t="str">
        <f>MID($A1333,P1333+P$2+1,Q1333-P1333-P$2-1)</f>
        <v>False</v>
      </c>
      <c r="AK1333" t="b">
        <f t="shared" si="174"/>
        <v>0</v>
      </c>
    </row>
    <row r="1334" spans="1:37" x14ac:dyDescent="0.35">
      <c r="A1334" t="s">
        <v>5881</v>
      </c>
      <c r="B1334">
        <f t="shared" si="178"/>
        <v>10</v>
      </c>
      <c r="C1334">
        <f t="shared" si="178"/>
        <v>43</v>
      </c>
      <c r="D1334">
        <f t="shared" si="178"/>
        <v>54</v>
      </c>
      <c r="E1334">
        <f t="shared" si="178"/>
        <v>80</v>
      </c>
      <c r="F1334">
        <f t="shared" si="178"/>
        <v>124</v>
      </c>
      <c r="G1334">
        <f t="shared" si="178"/>
        <v>163</v>
      </c>
      <c r="H1334">
        <f t="shared" si="178"/>
        <v>200</v>
      </c>
      <c r="I1334">
        <f t="shared" si="178"/>
        <v>222</v>
      </c>
      <c r="J1334">
        <f t="shared" si="177"/>
        <v>256</v>
      </c>
      <c r="K1334">
        <f t="shared" si="177"/>
        <v>276</v>
      </c>
      <c r="L1334">
        <f t="shared" si="177"/>
        <v>295</v>
      </c>
      <c r="M1334">
        <f t="shared" si="177"/>
        <v>310</v>
      </c>
      <c r="N1334">
        <f t="shared" si="177"/>
        <v>322</v>
      </c>
      <c r="O1334">
        <f t="shared" si="175"/>
        <v>347</v>
      </c>
      <c r="P1334">
        <f t="shared" si="175"/>
        <v>365</v>
      </c>
      <c r="Q1334">
        <f t="shared" si="175"/>
        <v>391</v>
      </c>
      <c r="S1334" t="str">
        <f t="shared" si="170"/>
        <v>10.12.2025</v>
      </c>
      <c r="T1334" t="str">
        <f t="shared" si="171"/>
        <v>16:00:00</v>
      </c>
      <c r="U1334" t="str">
        <f t="shared" si="173"/>
        <v>10.12.2025 16:00:00</v>
      </c>
      <c r="V1334" s="9" t="str">
        <f>MID($A1334,C1334+C$2+1,D1334-C1334-C$2-1)</f>
        <v>0</v>
      </c>
      <c r="W1334" s="4">
        <f>VALUE(SUBSTITUTE(MID($A1334,D1334+D$2+1,E1334-D1334-D$2-1),",","."))</f>
        <v>0</v>
      </c>
      <c r="X1334" s="4">
        <f>VALUE(SUBSTITUTE(MID($A1334,E1334+E$2+1,F1334-E1334-E$2-1),",","."))</f>
        <v>0.90957602214449496</v>
      </c>
      <c r="Y1334" s="4">
        <f>VALUE(SUBSTITUTE(MID($A1334,F1334+F$2+1,G1334-F1334-F$2-1),",","."))</f>
        <v>5.3128713194397999E-2</v>
      </c>
      <c r="Z1334" s="3">
        <f>VALUE(SUBSTITUTE(MID($A1334,G1334+G$2+1,H1334-G1334-G$2-1),",","."))</f>
        <v>625.25</v>
      </c>
      <c r="AA1334" s="3">
        <f>VALUE(SUBSTITUTE(MID($A1334,H1334+H$2+1,I1334-H1334-H$2-1),",","."))</f>
        <v>0</v>
      </c>
      <c r="AB1334" s="3">
        <f>VALUE(SUBSTITUTE(MID($A1334,I1334+I$2+1,J1334-I1334-I$2-1),",","."))</f>
        <v>29</v>
      </c>
      <c r="AC1334" s="3">
        <f>VALUE(SUBSTITUTE(MID($A1334,J1334+J$2+1,K1334-J1334-J$2-1),",","."))</f>
        <v>5.35</v>
      </c>
      <c r="AD1334" s="3">
        <f>VALUE(SUBSTITUTE(MID($A1334,K1334+K$2+1,L1334-K1334-K$2-1),",","."))</f>
        <v>37.44</v>
      </c>
      <c r="AE1334" s="3">
        <f>VALUE(SUBSTITUTE(MID($A1334,L1334+L$2+1,M1334-L1334-L$2-1),",","."))</f>
        <v>0</v>
      </c>
      <c r="AF1334" s="3">
        <f>VALUE(SUBSTITUTE(MID($A1334,M1334+M$2+1,N1334-M1334-M$2-1),",","."))</f>
        <v>0</v>
      </c>
      <c r="AG1334" s="3">
        <f>VALUE(SUBSTITUTE(MID($A1334,N1334+N$2+1,O1334-N1334-N$2-1),",","."))</f>
        <v>4.2414207157150301</v>
      </c>
      <c r="AH1334" t="str">
        <f>MID($A1334,O1334+O$2+1,P1334-O1334-O$2-1)</f>
        <v/>
      </c>
      <c r="AI1334" s="8" t="str">
        <f>MID($A1334,P1334+P$2+1,Q1334-P1334-P$2-1)</f>
        <v>False</v>
      </c>
      <c r="AK1334" t="b">
        <f t="shared" si="174"/>
        <v>0</v>
      </c>
    </row>
    <row r="1335" spans="1:37" x14ac:dyDescent="0.35">
      <c r="A1335" t="s">
        <v>5882</v>
      </c>
      <c r="B1335">
        <f t="shared" si="178"/>
        <v>10</v>
      </c>
      <c r="C1335">
        <f t="shared" si="178"/>
        <v>43</v>
      </c>
      <c r="D1335">
        <f t="shared" si="178"/>
        <v>54</v>
      </c>
      <c r="E1335">
        <f t="shared" si="178"/>
        <v>80</v>
      </c>
      <c r="F1335">
        <f t="shared" si="178"/>
        <v>124</v>
      </c>
      <c r="G1335">
        <f t="shared" si="178"/>
        <v>163</v>
      </c>
      <c r="H1335">
        <f t="shared" si="178"/>
        <v>200</v>
      </c>
      <c r="I1335">
        <f t="shared" si="178"/>
        <v>222</v>
      </c>
      <c r="J1335">
        <f t="shared" si="177"/>
        <v>256</v>
      </c>
      <c r="K1335">
        <f t="shared" si="177"/>
        <v>276</v>
      </c>
      <c r="L1335">
        <f t="shared" si="177"/>
        <v>295</v>
      </c>
      <c r="M1335">
        <f t="shared" si="177"/>
        <v>310</v>
      </c>
      <c r="N1335">
        <f t="shared" si="177"/>
        <v>322</v>
      </c>
      <c r="O1335">
        <f t="shared" si="175"/>
        <v>347</v>
      </c>
      <c r="P1335">
        <f t="shared" si="175"/>
        <v>365</v>
      </c>
      <c r="Q1335">
        <f t="shared" si="175"/>
        <v>391</v>
      </c>
      <c r="S1335" t="str">
        <f t="shared" si="170"/>
        <v>10.12.2025</v>
      </c>
      <c r="T1335" t="str">
        <f t="shared" si="171"/>
        <v>16:15:00</v>
      </c>
      <c r="U1335" t="str">
        <f t="shared" si="173"/>
        <v>10.12.2025 16:15:00</v>
      </c>
      <c r="V1335" s="9" t="str">
        <f>MID($A1335,C1335+C$2+1,D1335-C1335-C$2-1)</f>
        <v>0</v>
      </c>
      <c r="W1335" s="4">
        <f>VALUE(SUBSTITUTE(MID($A1335,D1335+D$2+1,E1335-D1335-D$2-1),",","."))</f>
        <v>0</v>
      </c>
      <c r="X1335" s="4">
        <f>VALUE(SUBSTITUTE(MID($A1335,E1335+E$2+1,F1335-E1335-E$2-1),",","."))</f>
        <v>0.90957602214449496</v>
      </c>
      <c r="Y1335" s="4">
        <f>VALUE(SUBSTITUTE(MID($A1335,F1335+F$2+1,G1335-F1335-F$2-1),",","."))</f>
        <v>2.0581238756686399E-2</v>
      </c>
      <c r="Z1335" s="3">
        <f>VALUE(SUBSTITUTE(MID($A1335,G1335+G$2+1,H1335-G1335-G$2-1),",","."))</f>
        <v>625.25</v>
      </c>
      <c r="AA1335" s="3">
        <f>VALUE(SUBSTITUTE(MID($A1335,H1335+H$2+1,I1335-H1335-H$2-1),",","."))</f>
        <v>0</v>
      </c>
      <c r="AB1335" s="3">
        <f>VALUE(SUBSTITUTE(MID($A1335,I1335+I$2+1,J1335-I1335-I$2-1),",","."))</f>
        <v>29</v>
      </c>
      <c r="AC1335" s="3">
        <f>VALUE(SUBSTITUTE(MID($A1335,J1335+J$2+1,K1335-J1335-J$2-1),",","."))</f>
        <v>5.35</v>
      </c>
      <c r="AD1335" s="3">
        <f>VALUE(SUBSTITUTE(MID($A1335,K1335+K$2+1,L1335-K1335-K$2-1),",","."))</f>
        <v>37.44</v>
      </c>
      <c r="AE1335" s="3">
        <f>VALUE(SUBSTITUTE(MID($A1335,L1335+L$2+1,M1335-L1335-L$2-1),",","."))</f>
        <v>0</v>
      </c>
      <c r="AF1335" s="3">
        <f>VALUE(SUBSTITUTE(MID($A1335,M1335+M$2+1,N1335-M1335-M$2-1),",","."))</f>
        <v>0</v>
      </c>
      <c r="AG1335" s="3">
        <f>VALUE(SUBSTITUTE(MID($A1335,N1335+N$2+1,O1335-N1335-N$2-1),",","."))</f>
        <v>4.2414492356031097</v>
      </c>
      <c r="AH1335" t="str">
        <f>MID($A1335,O1335+O$2+1,P1335-O1335-O$2-1)</f>
        <v/>
      </c>
      <c r="AI1335" s="8" t="str">
        <f>MID($A1335,P1335+P$2+1,Q1335-P1335-P$2-1)</f>
        <v>False</v>
      </c>
      <c r="AK1335" t="b">
        <f t="shared" si="174"/>
        <v>0</v>
      </c>
    </row>
    <row r="1336" spans="1:37" x14ac:dyDescent="0.35">
      <c r="A1336" t="s">
        <v>5883</v>
      </c>
      <c r="B1336">
        <f t="shared" si="178"/>
        <v>10</v>
      </c>
      <c r="C1336">
        <f t="shared" si="178"/>
        <v>43</v>
      </c>
      <c r="D1336">
        <f t="shared" si="178"/>
        <v>54</v>
      </c>
      <c r="E1336">
        <f t="shared" si="178"/>
        <v>80</v>
      </c>
      <c r="F1336">
        <f t="shared" si="178"/>
        <v>124</v>
      </c>
      <c r="G1336">
        <f t="shared" si="178"/>
        <v>145</v>
      </c>
      <c r="H1336">
        <f t="shared" si="178"/>
        <v>194</v>
      </c>
      <c r="I1336">
        <f t="shared" si="178"/>
        <v>216</v>
      </c>
      <c r="J1336">
        <f t="shared" si="177"/>
        <v>251</v>
      </c>
      <c r="K1336">
        <f t="shared" si="177"/>
        <v>270</v>
      </c>
      <c r="L1336">
        <f t="shared" si="177"/>
        <v>288</v>
      </c>
      <c r="M1336">
        <f t="shared" si="177"/>
        <v>303</v>
      </c>
      <c r="N1336">
        <f t="shared" si="177"/>
        <v>315</v>
      </c>
      <c r="O1336">
        <f t="shared" si="175"/>
        <v>340</v>
      </c>
      <c r="P1336">
        <f t="shared" si="175"/>
        <v>358</v>
      </c>
      <c r="Q1336">
        <f t="shared" si="175"/>
        <v>384</v>
      </c>
      <c r="S1336" t="str">
        <f t="shared" ref="S1336:S1399" si="179">LEFT(U1336,10)</f>
        <v>10.12.2025</v>
      </c>
      <c r="T1336" t="str">
        <f t="shared" ref="T1336:T1399" si="180">MID(U1336,12,8)</f>
        <v>16:30:00</v>
      </c>
      <c r="U1336" t="str">
        <f t="shared" si="173"/>
        <v>10.12.2025 16:30:00</v>
      </c>
      <c r="V1336" s="9" t="str">
        <f>MID($A1336,C1336+C$2+1,D1336-C1336-C$2-1)</f>
        <v>0</v>
      </c>
      <c r="W1336" s="4">
        <f>VALUE(SUBSTITUTE(MID($A1336,D1336+D$2+1,E1336-D1336-D$2-1),",","."))</f>
        <v>0</v>
      </c>
      <c r="X1336" s="4">
        <f>VALUE(SUBSTITUTE(MID($A1336,E1336+E$2+1,F1336-E1336-E$2-1),",","."))</f>
        <v>0.90957602214449496</v>
      </c>
      <c r="Y1336" s="4">
        <f>VALUE(SUBSTITUTE(MID($A1336,F1336+F$2+1,G1336-F1336-F$2-1),",","."))</f>
        <v>0</v>
      </c>
      <c r="Z1336" s="3">
        <f>VALUE(SUBSTITUTE(MID($A1336,G1336+G$2+1,H1336-G1336-G$2-1),",","."))</f>
        <v>243.13333333333301</v>
      </c>
      <c r="AA1336" s="3">
        <f>VALUE(SUBSTITUTE(MID($A1336,H1336+H$2+1,I1336-H1336-H$2-1),",","."))</f>
        <v>0</v>
      </c>
      <c r="AB1336" s="3">
        <f>VALUE(SUBSTITUTE(MID($A1336,I1336+I$2+1,J1336-I1336-I$2-1),",","."))</f>
        <v>5.5</v>
      </c>
      <c r="AC1336" s="3">
        <f>VALUE(SUBSTITUTE(MID($A1336,J1336+J$2+1,K1336-J1336-J$2-1),",","."))</f>
        <v>4.0999999999999996</v>
      </c>
      <c r="AD1336" s="3">
        <f>VALUE(SUBSTITUTE(MID($A1336,K1336+K$2+1,L1336-K1336-K$2-1),",","."))</f>
        <v>22.5</v>
      </c>
      <c r="AE1336" s="3">
        <f>VALUE(SUBSTITUTE(MID($A1336,L1336+L$2+1,M1336-L1336-L$2-1),",","."))</f>
        <v>0</v>
      </c>
      <c r="AF1336" s="3">
        <f>VALUE(SUBSTITUTE(MID($A1336,M1336+M$2+1,N1336-M1336-M$2-1),",","."))</f>
        <v>0</v>
      </c>
      <c r="AG1336" s="3">
        <f>VALUE(SUBSTITUTE(MID($A1336,N1336+N$2+1,O1336-N1336-N$2-1),",","."))</f>
        <v>4.2414777554911902</v>
      </c>
      <c r="AH1336" t="str">
        <f>MID($A1336,O1336+O$2+1,P1336-O1336-O$2-1)</f>
        <v/>
      </c>
      <c r="AI1336" s="8" t="str">
        <f>MID($A1336,P1336+P$2+1,Q1336-P1336-P$2-1)</f>
        <v>False</v>
      </c>
      <c r="AK1336" t="b">
        <f t="shared" si="174"/>
        <v>0</v>
      </c>
    </row>
    <row r="1337" spans="1:37" x14ac:dyDescent="0.35">
      <c r="A1337" t="s">
        <v>5884</v>
      </c>
      <c r="B1337">
        <f t="shared" si="178"/>
        <v>10</v>
      </c>
      <c r="C1337">
        <f t="shared" si="178"/>
        <v>43</v>
      </c>
      <c r="D1337">
        <f t="shared" si="178"/>
        <v>54</v>
      </c>
      <c r="E1337">
        <f t="shared" si="178"/>
        <v>80</v>
      </c>
      <c r="F1337">
        <f t="shared" si="178"/>
        <v>124</v>
      </c>
      <c r="G1337">
        <f t="shared" si="178"/>
        <v>145</v>
      </c>
      <c r="H1337">
        <f t="shared" si="178"/>
        <v>194</v>
      </c>
      <c r="I1337">
        <f t="shared" si="178"/>
        <v>216</v>
      </c>
      <c r="J1337">
        <f t="shared" si="177"/>
        <v>251</v>
      </c>
      <c r="K1337">
        <f t="shared" si="177"/>
        <v>270</v>
      </c>
      <c r="L1337">
        <f t="shared" si="177"/>
        <v>288</v>
      </c>
      <c r="M1337">
        <f t="shared" si="177"/>
        <v>303</v>
      </c>
      <c r="N1337">
        <f t="shared" si="177"/>
        <v>315</v>
      </c>
      <c r="O1337">
        <f t="shared" si="175"/>
        <v>340</v>
      </c>
      <c r="P1337">
        <f t="shared" si="175"/>
        <v>358</v>
      </c>
      <c r="Q1337">
        <f t="shared" si="175"/>
        <v>384</v>
      </c>
      <c r="S1337" t="str">
        <f t="shared" si="179"/>
        <v>10.12.2025</v>
      </c>
      <c r="T1337" t="str">
        <f t="shared" si="180"/>
        <v>16:45:00</v>
      </c>
      <c r="U1337" t="str">
        <f t="shared" si="173"/>
        <v>10.12.2025 16:45:00</v>
      </c>
      <c r="V1337" s="9" t="str">
        <f>MID($A1337,C1337+C$2+1,D1337-C1337-C$2-1)</f>
        <v>0</v>
      </c>
      <c r="W1337" s="4">
        <f>VALUE(SUBSTITUTE(MID($A1337,D1337+D$2+1,E1337-D1337-D$2-1),",","."))</f>
        <v>0</v>
      </c>
      <c r="X1337" s="4">
        <f>VALUE(SUBSTITUTE(MID($A1337,E1337+E$2+1,F1337-E1337-E$2-1),",","."))</f>
        <v>0.90957602214449496</v>
      </c>
      <c r="Y1337" s="4">
        <f>VALUE(SUBSTITUTE(MID($A1337,F1337+F$2+1,G1337-F1337-F$2-1),",","."))</f>
        <v>0</v>
      </c>
      <c r="Z1337" s="3">
        <f>VALUE(SUBSTITUTE(MID($A1337,G1337+G$2+1,H1337-G1337-G$2-1),",","."))</f>
        <v>243.13333333333301</v>
      </c>
      <c r="AA1337" s="3">
        <f>VALUE(SUBSTITUTE(MID($A1337,H1337+H$2+1,I1337-H1337-H$2-1),",","."))</f>
        <v>0</v>
      </c>
      <c r="AB1337" s="3">
        <f>VALUE(SUBSTITUTE(MID($A1337,I1337+I$2+1,J1337-I1337-I$2-1),",","."))</f>
        <v>5.5</v>
      </c>
      <c r="AC1337" s="3">
        <f>VALUE(SUBSTITUTE(MID($A1337,J1337+J$2+1,K1337-J1337-J$2-1),",","."))</f>
        <v>4.0999999999999996</v>
      </c>
      <c r="AD1337" s="3">
        <f>VALUE(SUBSTITUTE(MID($A1337,K1337+K$2+1,L1337-K1337-K$2-1),",","."))</f>
        <v>22.5</v>
      </c>
      <c r="AE1337" s="3">
        <f>VALUE(SUBSTITUTE(MID($A1337,L1337+L$2+1,M1337-L1337-L$2-1),",","."))</f>
        <v>0</v>
      </c>
      <c r="AF1337" s="3">
        <f>VALUE(SUBSTITUTE(MID($A1337,M1337+M$2+1,N1337-M1337-M$2-1),",","."))</f>
        <v>0</v>
      </c>
      <c r="AG1337" s="3">
        <f>VALUE(SUBSTITUTE(MID($A1337,N1337+N$2+1,O1337-N1337-N$2-1),",","."))</f>
        <v>4.2415062753792698</v>
      </c>
      <c r="AH1337" t="str">
        <f>MID($A1337,O1337+O$2+1,P1337-O1337-O$2-1)</f>
        <v/>
      </c>
      <c r="AI1337" s="8" t="str">
        <f>MID($A1337,P1337+P$2+1,Q1337-P1337-P$2-1)</f>
        <v>False</v>
      </c>
      <c r="AK1337" t="b">
        <f t="shared" si="174"/>
        <v>0</v>
      </c>
    </row>
    <row r="1338" spans="1:37" x14ac:dyDescent="0.35">
      <c r="A1338" t="s">
        <v>5885</v>
      </c>
      <c r="B1338">
        <f t="shared" si="178"/>
        <v>10</v>
      </c>
      <c r="C1338">
        <f t="shared" si="178"/>
        <v>43</v>
      </c>
      <c r="D1338">
        <f t="shared" si="178"/>
        <v>54</v>
      </c>
      <c r="E1338">
        <f t="shared" si="178"/>
        <v>80</v>
      </c>
      <c r="F1338">
        <f t="shared" si="178"/>
        <v>124</v>
      </c>
      <c r="G1338">
        <f t="shared" si="178"/>
        <v>145</v>
      </c>
      <c r="H1338">
        <f t="shared" si="178"/>
        <v>194</v>
      </c>
      <c r="I1338">
        <f t="shared" si="178"/>
        <v>216</v>
      </c>
      <c r="J1338">
        <f t="shared" si="177"/>
        <v>251</v>
      </c>
      <c r="K1338">
        <f t="shared" si="177"/>
        <v>270</v>
      </c>
      <c r="L1338">
        <f t="shared" si="177"/>
        <v>288</v>
      </c>
      <c r="M1338">
        <f t="shared" si="177"/>
        <v>303</v>
      </c>
      <c r="N1338">
        <f t="shared" si="177"/>
        <v>315</v>
      </c>
      <c r="O1338">
        <f t="shared" si="175"/>
        <v>340</v>
      </c>
      <c r="P1338">
        <f t="shared" si="175"/>
        <v>358</v>
      </c>
      <c r="Q1338">
        <f t="shared" si="175"/>
        <v>384</v>
      </c>
      <c r="S1338" t="str">
        <f t="shared" si="179"/>
        <v>10.12.2025</v>
      </c>
      <c r="T1338" t="str">
        <f t="shared" si="180"/>
        <v>17:00:00</v>
      </c>
      <c r="U1338" t="str">
        <f t="shared" si="173"/>
        <v>10.12.2025 17:00:00</v>
      </c>
      <c r="V1338" s="9" t="str">
        <f>MID($A1338,C1338+C$2+1,D1338-C1338-C$2-1)</f>
        <v>0</v>
      </c>
      <c r="W1338" s="4">
        <f>VALUE(SUBSTITUTE(MID($A1338,D1338+D$2+1,E1338-D1338-D$2-1),",","."))</f>
        <v>0</v>
      </c>
      <c r="X1338" s="4">
        <f>VALUE(SUBSTITUTE(MID($A1338,E1338+E$2+1,F1338-E1338-E$2-1),",","."))</f>
        <v>0.90957602214449496</v>
      </c>
      <c r="Y1338" s="4">
        <f>VALUE(SUBSTITUTE(MID($A1338,F1338+F$2+1,G1338-F1338-F$2-1),",","."))</f>
        <v>0</v>
      </c>
      <c r="Z1338" s="3">
        <f>VALUE(SUBSTITUTE(MID($A1338,G1338+G$2+1,H1338-G1338-G$2-1),",","."))</f>
        <v>243.13333333333301</v>
      </c>
      <c r="AA1338" s="3">
        <f>VALUE(SUBSTITUTE(MID($A1338,H1338+H$2+1,I1338-H1338-H$2-1),",","."))</f>
        <v>0</v>
      </c>
      <c r="AB1338" s="3">
        <f>VALUE(SUBSTITUTE(MID($A1338,I1338+I$2+1,J1338-I1338-I$2-1),",","."))</f>
        <v>5.5</v>
      </c>
      <c r="AC1338" s="3">
        <f>VALUE(SUBSTITUTE(MID($A1338,J1338+J$2+1,K1338-J1338-J$2-1),",","."))</f>
        <v>4.0999999999999996</v>
      </c>
      <c r="AD1338" s="3">
        <f>VALUE(SUBSTITUTE(MID($A1338,K1338+K$2+1,L1338-K1338-K$2-1),",","."))</f>
        <v>22.5</v>
      </c>
      <c r="AE1338" s="3">
        <f>VALUE(SUBSTITUTE(MID($A1338,L1338+L$2+1,M1338-L1338-L$2-1),",","."))</f>
        <v>0</v>
      </c>
      <c r="AF1338" s="3">
        <f>VALUE(SUBSTITUTE(MID($A1338,M1338+M$2+1,N1338-M1338-M$2-1),",","."))</f>
        <v>0</v>
      </c>
      <c r="AG1338" s="3">
        <f>VALUE(SUBSTITUTE(MID($A1338,N1338+N$2+1,O1338-N1338-N$2-1),",","."))</f>
        <v>4.2415347952673503</v>
      </c>
      <c r="AH1338" t="str">
        <f>MID($A1338,O1338+O$2+1,P1338-O1338-O$2-1)</f>
        <v/>
      </c>
      <c r="AI1338" s="8" t="str">
        <f>MID($A1338,P1338+P$2+1,Q1338-P1338-P$2-1)</f>
        <v>False</v>
      </c>
      <c r="AK1338" t="b">
        <f t="shared" si="174"/>
        <v>0</v>
      </c>
    </row>
    <row r="1339" spans="1:37" x14ac:dyDescent="0.35">
      <c r="A1339" t="s">
        <v>5886</v>
      </c>
      <c r="B1339">
        <f t="shared" si="178"/>
        <v>10</v>
      </c>
      <c r="C1339">
        <f t="shared" si="178"/>
        <v>43</v>
      </c>
      <c r="D1339">
        <f t="shared" si="178"/>
        <v>54</v>
      </c>
      <c r="E1339">
        <f t="shared" si="178"/>
        <v>80</v>
      </c>
      <c r="F1339">
        <f t="shared" si="178"/>
        <v>124</v>
      </c>
      <c r="G1339">
        <f t="shared" si="178"/>
        <v>145</v>
      </c>
      <c r="H1339">
        <f t="shared" si="178"/>
        <v>194</v>
      </c>
      <c r="I1339">
        <f t="shared" si="178"/>
        <v>216</v>
      </c>
      <c r="J1339">
        <f t="shared" si="177"/>
        <v>251</v>
      </c>
      <c r="K1339">
        <f t="shared" si="177"/>
        <v>270</v>
      </c>
      <c r="L1339">
        <f t="shared" si="177"/>
        <v>288</v>
      </c>
      <c r="M1339">
        <f t="shared" si="177"/>
        <v>303</v>
      </c>
      <c r="N1339">
        <f t="shared" si="177"/>
        <v>315</v>
      </c>
      <c r="O1339">
        <f t="shared" si="175"/>
        <v>340</v>
      </c>
      <c r="P1339">
        <f t="shared" si="175"/>
        <v>358</v>
      </c>
      <c r="Q1339">
        <f t="shared" si="175"/>
        <v>384</v>
      </c>
      <c r="S1339" t="str">
        <f t="shared" si="179"/>
        <v>10.12.2025</v>
      </c>
      <c r="T1339" t="str">
        <f t="shared" si="180"/>
        <v>17:15:00</v>
      </c>
      <c r="U1339" t="str">
        <f t="shared" si="173"/>
        <v>10.12.2025 17:15:00</v>
      </c>
      <c r="V1339" s="9" t="str">
        <f>MID($A1339,C1339+C$2+1,D1339-C1339-C$2-1)</f>
        <v>0</v>
      </c>
      <c r="W1339" s="4">
        <f>VALUE(SUBSTITUTE(MID($A1339,D1339+D$2+1,E1339-D1339-D$2-1),",","."))</f>
        <v>0</v>
      </c>
      <c r="X1339" s="4">
        <f>VALUE(SUBSTITUTE(MID($A1339,E1339+E$2+1,F1339-E1339-E$2-1),",","."))</f>
        <v>0.90957602214449496</v>
      </c>
      <c r="Y1339" s="4">
        <f>VALUE(SUBSTITUTE(MID($A1339,F1339+F$2+1,G1339-F1339-F$2-1),",","."))</f>
        <v>0</v>
      </c>
      <c r="Z1339" s="3">
        <f>VALUE(SUBSTITUTE(MID($A1339,G1339+G$2+1,H1339-G1339-G$2-1),",","."))</f>
        <v>243.13333333333301</v>
      </c>
      <c r="AA1339" s="3">
        <f>VALUE(SUBSTITUTE(MID($A1339,H1339+H$2+1,I1339-H1339-H$2-1),",","."))</f>
        <v>0</v>
      </c>
      <c r="AB1339" s="3">
        <f>VALUE(SUBSTITUTE(MID($A1339,I1339+I$2+1,J1339-I1339-I$2-1),",","."))</f>
        <v>5.5</v>
      </c>
      <c r="AC1339" s="3">
        <f>VALUE(SUBSTITUTE(MID($A1339,J1339+J$2+1,K1339-J1339-J$2-1),",","."))</f>
        <v>4.0999999999999996</v>
      </c>
      <c r="AD1339" s="3">
        <f>VALUE(SUBSTITUTE(MID($A1339,K1339+K$2+1,L1339-K1339-K$2-1),",","."))</f>
        <v>22.5</v>
      </c>
      <c r="AE1339" s="3">
        <f>VALUE(SUBSTITUTE(MID($A1339,L1339+L$2+1,M1339-L1339-L$2-1),",","."))</f>
        <v>0</v>
      </c>
      <c r="AF1339" s="3">
        <f>VALUE(SUBSTITUTE(MID($A1339,M1339+M$2+1,N1339-M1339-M$2-1),",","."))</f>
        <v>0</v>
      </c>
      <c r="AG1339" s="3">
        <f>VALUE(SUBSTITUTE(MID($A1339,N1339+N$2+1,O1339-N1339-N$2-1),",","."))</f>
        <v>4.2415633151554397</v>
      </c>
      <c r="AH1339" t="str">
        <f>MID($A1339,O1339+O$2+1,P1339-O1339-O$2-1)</f>
        <v/>
      </c>
      <c r="AI1339" s="8" t="str">
        <f>MID($A1339,P1339+P$2+1,Q1339-P1339-P$2-1)</f>
        <v>False</v>
      </c>
      <c r="AK1339" t="b">
        <f t="shared" si="174"/>
        <v>0</v>
      </c>
    </row>
    <row r="1340" spans="1:37" x14ac:dyDescent="0.35">
      <c r="A1340" t="s">
        <v>5887</v>
      </c>
      <c r="B1340">
        <f t="shared" si="178"/>
        <v>10</v>
      </c>
      <c r="C1340">
        <f t="shared" si="178"/>
        <v>43</v>
      </c>
      <c r="D1340">
        <f t="shared" si="178"/>
        <v>54</v>
      </c>
      <c r="E1340">
        <f t="shared" si="178"/>
        <v>80</v>
      </c>
      <c r="F1340">
        <f t="shared" si="178"/>
        <v>124</v>
      </c>
      <c r="G1340">
        <f t="shared" si="178"/>
        <v>145</v>
      </c>
      <c r="H1340">
        <f t="shared" si="178"/>
        <v>177</v>
      </c>
      <c r="I1340">
        <f t="shared" si="178"/>
        <v>199</v>
      </c>
      <c r="J1340">
        <f t="shared" si="177"/>
        <v>232</v>
      </c>
      <c r="K1340">
        <f t="shared" si="177"/>
        <v>249</v>
      </c>
      <c r="L1340">
        <f t="shared" si="177"/>
        <v>268</v>
      </c>
      <c r="M1340">
        <f t="shared" si="177"/>
        <v>283</v>
      </c>
      <c r="N1340">
        <f t="shared" si="177"/>
        <v>295</v>
      </c>
      <c r="O1340">
        <f t="shared" si="175"/>
        <v>320</v>
      </c>
      <c r="P1340">
        <f t="shared" si="175"/>
        <v>338</v>
      </c>
      <c r="Q1340">
        <f t="shared" si="175"/>
        <v>364</v>
      </c>
      <c r="S1340" t="str">
        <f t="shared" si="179"/>
        <v>10.12.2025</v>
      </c>
      <c r="T1340" t="str">
        <f t="shared" si="180"/>
        <v>17:30:00</v>
      </c>
      <c r="U1340" t="str">
        <f t="shared" si="173"/>
        <v>10.12.2025 17:30:00</v>
      </c>
      <c r="V1340" s="9" t="str">
        <f>MID($A1340,C1340+C$2+1,D1340-C1340-C$2-1)</f>
        <v>0</v>
      </c>
      <c r="W1340" s="4">
        <f>VALUE(SUBSTITUTE(MID($A1340,D1340+D$2+1,E1340-D1340-D$2-1),",","."))</f>
        <v>0</v>
      </c>
      <c r="X1340" s="4">
        <f>VALUE(SUBSTITUTE(MID($A1340,E1340+E$2+1,F1340-E1340-E$2-1),",","."))</f>
        <v>0.90957602214449496</v>
      </c>
      <c r="Y1340" s="4">
        <f>VALUE(SUBSTITUTE(MID($A1340,F1340+F$2+1,G1340-F1340-F$2-1),",","."))</f>
        <v>0</v>
      </c>
      <c r="Z1340" s="3">
        <f>VALUE(SUBSTITUTE(MID($A1340,G1340+G$2+1,H1340-G1340-G$2-1),",","."))</f>
        <v>0</v>
      </c>
      <c r="AA1340" s="3">
        <f>VALUE(SUBSTITUTE(MID($A1340,H1340+H$2+1,I1340-H1340-H$2-1),",","."))</f>
        <v>0</v>
      </c>
      <c r="AB1340" s="3">
        <f>VALUE(SUBSTITUTE(MID($A1340,I1340+I$2+1,J1340-I1340-I$2-1),",","."))</f>
        <v>0</v>
      </c>
      <c r="AC1340" s="3">
        <f>VALUE(SUBSTITUTE(MID($A1340,J1340+J$2+1,K1340-J1340-J$2-1),",","."))</f>
        <v>3</v>
      </c>
      <c r="AD1340" s="3">
        <f>VALUE(SUBSTITUTE(MID($A1340,K1340+K$2+1,L1340-K1340-K$2-1),",","."))</f>
        <v>10.98</v>
      </c>
      <c r="AE1340" s="3">
        <f>VALUE(SUBSTITUTE(MID($A1340,L1340+L$2+1,M1340-L1340-L$2-1),",","."))</f>
        <v>0</v>
      </c>
      <c r="AF1340" s="3">
        <f>VALUE(SUBSTITUTE(MID($A1340,M1340+M$2+1,N1340-M1340-M$2-1),",","."))</f>
        <v>0</v>
      </c>
      <c r="AG1340" s="3">
        <f>VALUE(SUBSTITUTE(MID($A1340,N1340+N$2+1,O1340-N1340-N$2-1),",","."))</f>
        <v>4.2415918350435202</v>
      </c>
      <c r="AH1340" t="str">
        <f>MID($A1340,O1340+O$2+1,P1340-O1340-O$2-1)</f>
        <v/>
      </c>
      <c r="AI1340" s="8" t="str">
        <f>MID($A1340,P1340+P$2+1,Q1340-P1340-P$2-1)</f>
        <v>False</v>
      </c>
      <c r="AK1340" t="b">
        <f t="shared" si="174"/>
        <v>0</v>
      </c>
    </row>
    <row r="1341" spans="1:37" x14ac:dyDescent="0.35">
      <c r="A1341" t="s">
        <v>5888</v>
      </c>
      <c r="B1341">
        <f t="shared" si="178"/>
        <v>10</v>
      </c>
      <c r="C1341">
        <f t="shared" si="178"/>
        <v>43</v>
      </c>
      <c r="D1341">
        <f t="shared" si="178"/>
        <v>54</v>
      </c>
      <c r="E1341">
        <f t="shared" si="178"/>
        <v>80</v>
      </c>
      <c r="F1341">
        <f t="shared" si="178"/>
        <v>124</v>
      </c>
      <c r="G1341">
        <f t="shared" si="178"/>
        <v>145</v>
      </c>
      <c r="H1341">
        <f t="shared" si="178"/>
        <v>177</v>
      </c>
      <c r="I1341">
        <f t="shared" si="178"/>
        <v>199</v>
      </c>
      <c r="J1341">
        <f t="shared" si="177"/>
        <v>232</v>
      </c>
      <c r="K1341">
        <f t="shared" si="177"/>
        <v>249</v>
      </c>
      <c r="L1341">
        <f t="shared" si="177"/>
        <v>268</v>
      </c>
      <c r="M1341">
        <f t="shared" si="177"/>
        <v>283</v>
      </c>
      <c r="N1341">
        <f t="shared" si="177"/>
        <v>295</v>
      </c>
      <c r="O1341">
        <f t="shared" si="175"/>
        <v>320</v>
      </c>
      <c r="P1341">
        <f t="shared" si="175"/>
        <v>338</v>
      </c>
      <c r="Q1341">
        <f t="shared" si="175"/>
        <v>364</v>
      </c>
      <c r="S1341" t="str">
        <f t="shared" si="179"/>
        <v>10.12.2025</v>
      </c>
      <c r="T1341" t="str">
        <f t="shared" si="180"/>
        <v>17:45:00</v>
      </c>
      <c r="U1341" t="str">
        <f t="shared" si="173"/>
        <v>10.12.2025 17:45:00</v>
      </c>
      <c r="V1341" s="9" t="str">
        <f>MID($A1341,C1341+C$2+1,D1341-C1341-C$2-1)</f>
        <v>0</v>
      </c>
      <c r="W1341" s="4">
        <f>VALUE(SUBSTITUTE(MID($A1341,D1341+D$2+1,E1341-D1341-D$2-1),",","."))</f>
        <v>0</v>
      </c>
      <c r="X1341" s="4">
        <f>VALUE(SUBSTITUTE(MID($A1341,E1341+E$2+1,F1341-E1341-E$2-1),",","."))</f>
        <v>0.90957602214449496</v>
      </c>
      <c r="Y1341" s="4">
        <f>VALUE(SUBSTITUTE(MID($A1341,F1341+F$2+1,G1341-F1341-F$2-1),",","."))</f>
        <v>0</v>
      </c>
      <c r="Z1341" s="3">
        <f>VALUE(SUBSTITUTE(MID($A1341,G1341+G$2+1,H1341-G1341-G$2-1),",","."))</f>
        <v>0</v>
      </c>
      <c r="AA1341" s="3">
        <f>VALUE(SUBSTITUTE(MID($A1341,H1341+H$2+1,I1341-H1341-H$2-1),",","."))</f>
        <v>0</v>
      </c>
      <c r="AB1341" s="3">
        <f>VALUE(SUBSTITUTE(MID($A1341,I1341+I$2+1,J1341-I1341-I$2-1),",","."))</f>
        <v>0</v>
      </c>
      <c r="AC1341" s="3">
        <f>VALUE(SUBSTITUTE(MID($A1341,J1341+J$2+1,K1341-J1341-J$2-1),",","."))</f>
        <v>3</v>
      </c>
      <c r="AD1341" s="3">
        <f>VALUE(SUBSTITUTE(MID($A1341,K1341+K$2+1,L1341-K1341-K$2-1),",","."))</f>
        <v>10.98</v>
      </c>
      <c r="AE1341" s="3">
        <f>VALUE(SUBSTITUTE(MID($A1341,L1341+L$2+1,M1341-L1341-L$2-1),",","."))</f>
        <v>0</v>
      </c>
      <c r="AF1341" s="3">
        <f>VALUE(SUBSTITUTE(MID($A1341,M1341+M$2+1,N1341-M1341-M$2-1),",","."))</f>
        <v>0</v>
      </c>
      <c r="AG1341" s="3">
        <f>VALUE(SUBSTITUTE(MID($A1341,N1341+N$2+1,O1341-N1341-N$2-1),",","."))</f>
        <v>4.2416203549315998</v>
      </c>
      <c r="AH1341" t="str">
        <f>MID($A1341,O1341+O$2+1,P1341-O1341-O$2-1)</f>
        <v/>
      </c>
      <c r="AI1341" s="8" t="str">
        <f>MID($A1341,P1341+P$2+1,Q1341-P1341-P$2-1)</f>
        <v>False</v>
      </c>
      <c r="AK1341" t="b">
        <f t="shared" si="174"/>
        <v>0</v>
      </c>
    </row>
    <row r="1342" spans="1:37" x14ac:dyDescent="0.35">
      <c r="A1342" t="s">
        <v>5889</v>
      </c>
      <c r="B1342">
        <f t="shared" si="178"/>
        <v>10</v>
      </c>
      <c r="C1342">
        <f t="shared" si="178"/>
        <v>43</v>
      </c>
      <c r="D1342">
        <f t="shared" si="178"/>
        <v>54</v>
      </c>
      <c r="E1342">
        <f t="shared" si="178"/>
        <v>80</v>
      </c>
      <c r="F1342">
        <f t="shared" si="178"/>
        <v>124</v>
      </c>
      <c r="G1342">
        <f t="shared" si="178"/>
        <v>145</v>
      </c>
      <c r="H1342">
        <f t="shared" si="178"/>
        <v>177</v>
      </c>
      <c r="I1342">
        <f t="shared" si="178"/>
        <v>199</v>
      </c>
      <c r="J1342">
        <f t="shared" si="177"/>
        <v>232</v>
      </c>
      <c r="K1342">
        <f t="shared" si="177"/>
        <v>249</v>
      </c>
      <c r="L1342">
        <f t="shared" si="177"/>
        <v>268</v>
      </c>
      <c r="M1342">
        <f t="shared" si="177"/>
        <v>283</v>
      </c>
      <c r="N1342">
        <f t="shared" si="177"/>
        <v>295</v>
      </c>
      <c r="O1342">
        <f t="shared" si="175"/>
        <v>320</v>
      </c>
      <c r="P1342">
        <f t="shared" si="175"/>
        <v>338</v>
      </c>
      <c r="Q1342">
        <f t="shared" si="175"/>
        <v>364</v>
      </c>
      <c r="S1342" t="str">
        <f t="shared" si="179"/>
        <v>10.12.2025</v>
      </c>
      <c r="T1342" t="str">
        <f t="shared" si="180"/>
        <v>18:00:00</v>
      </c>
      <c r="U1342" t="str">
        <f t="shared" si="173"/>
        <v>10.12.2025 18:00:00</v>
      </c>
      <c r="V1342" s="9" t="str">
        <f>MID($A1342,C1342+C$2+1,D1342-C1342-C$2-1)</f>
        <v>0</v>
      </c>
      <c r="W1342" s="4">
        <f>VALUE(SUBSTITUTE(MID($A1342,D1342+D$2+1,E1342-D1342-D$2-1),",","."))</f>
        <v>0</v>
      </c>
      <c r="X1342" s="4">
        <f>VALUE(SUBSTITUTE(MID($A1342,E1342+E$2+1,F1342-E1342-E$2-1),",","."))</f>
        <v>0.90957602214449496</v>
      </c>
      <c r="Y1342" s="4">
        <f>VALUE(SUBSTITUTE(MID($A1342,F1342+F$2+1,G1342-F1342-F$2-1),",","."))</f>
        <v>0</v>
      </c>
      <c r="Z1342" s="3">
        <f>VALUE(SUBSTITUTE(MID($A1342,G1342+G$2+1,H1342-G1342-G$2-1),",","."))</f>
        <v>0</v>
      </c>
      <c r="AA1342" s="3">
        <f>VALUE(SUBSTITUTE(MID($A1342,H1342+H$2+1,I1342-H1342-H$2-1),",","."))</f>
        <v>0</v>
      </c>
      <c r="AB1342" s="3">
        <f>VALUE(SUBSTITUTE(MID($A1342,I1342+I$2+1,J1342-I1342-I$2-1),",","."))</f>
        <v>0</v>
      </c>
      <c r="AC1342" s="3">
        <f>VALUE(SUBSTITUTE(MID($A1342,J1342+J$2+1,K1342-J1342-J$2-1),",","."))</f>
        <v>3</v>
      </c>
      <c r="AD1342" s="3">
        <f>VALUE(SUBSTITUTE(MID($A1342,K1342+K$2+1,L1342-K1342-K$2-1),",","."))</f>
        <v>10.98</v>
      </c>
      <c r="AE1342" s="3">
        <f>VALUE(SUBSTITUTE(MID($A1342,L1342+L$2+1,M1342-L1342-L$2-1),",","."))</f>
        <v>0</v>
      </c>
      <c r="AF1342" s="3">
        <f>VALUE(SUBSTITUTE(MID($A1342,M1342+M$2+1,N1342-M1342-M$2-1),",","."))</f>
        <v>0</v>
      </c>
      <c r="AG1342" s="3">
        <f>VALUE(SUBSTITUTE(MID($A1342,N1342+N$2+1,O1342-N1342-N$2-1),",","."))</f>
        <v>4.2416488748196803</v>
      </c>
      <c r="AH1342" t="str">
        <f>MID($A1342,O1342+O$2+1,P1342-O1342-O$2-1)</f>
        <v/>
      </c>
      <c r="AI1342" s="8" t="str">
        <f>MID($A1342,P1342+P$2+1,Q1342-P1342-P$2-1)</f>
        <v>False</v>
      </c>
      <c r="AK1342" t="b">
        <f t="shared" si="174"/>
        <v>0</v>
      </c>
    </row>
    <row r="1343" spans="1:37" x14ac:dyDescent="0.35">
      <c r="A1343" t="s">
        <v>5890</v>
      </c>
      <c r="B1343">
        <f t="shared" si="178"/>
        <v>10</v>
      </c>
      <c r="C1343">
        <f t="shared" si="178"/>
        <v>43</v>
      </c>
      <c r="D1343">
        <f t="shared" si="178"/>
        <v>54</v>
      </c>
      <c r="E1343">
        <f t="shared" si="178"/>
        <v>80</v>
      </c>
      <c r="F1343">
        <f t="shared" si="178"/>
        <v>124</v>
      </c>
      <c r="G1343">
        <f t="shared" si="178"/>
        <v>145</v>
      </c>
      <c r="H1343">
        <f t="shared" si="178"/>
        <v>177</v>
      </c>
      <c r="I1343">
        <f t="shared" si="178"/>
        <v>199</v>
      </c>
      <c r="J1343">
        <f t="shared" si="177"/>
        <v>232</v>
      </c>
      <c r="K1343">
        <f t="shared" si="177"/>
        <v>249</v>
      </c>
      <c r="L1343">
        <f t="shared" si="177"/>
        <v>268</v>
      </c>
      <c r="M1343">
        <f t="shared" si="177"/>
        <v>283</v>
      </c>
      <c r="N1343">
        <f t="shared" si="177"/>
        <v>295</v>
      </c>
      <c r="O1343">
        <f t="shared" si="175"/>
        <v>320</v>
      </c>
      <c r="P1343">
        <f t="shared" si="175"/>
        <v>338</v>
      </c>
      <c r="Q1343">
        <f t="shared" si="175"/>
        <v>364</v>
      </c>
      <c r="S1343" t="str">
        <f t="shared" si="179"/>
        <v>10.12.2025</v>
      </c>
      <c r="T1343" t="str">
        <f t="shared" si="180"/>
        <v>18:15:00</v>
      </c>
      <c r="U1343" t="str">
        <f t="shared" si="173"/>
        <v>10.12.2025 18:15:00</v>
      </c>
      <c r="V1343" s="9" t="str">
        <f>MID($A1343,C1343+C$2+1,D1343-C1343-C$2-1)</f>
        <v>0</v>
      </c>
      <c r="W1343" s="4">
        <f>VALUE(SUBSTITUTE(MID($A1343,D1343+D$2+1,E1343-D1343-D$2-1),",","."))</f>
        <v>0</v>
      </c>
      <c r="X1343" s="4">
        <f>VALUE(SUBSTITUTE(MID($A1343,E1343+E$2+1,F1343-E1343-E$2-1),",","."))</f>
        <v>0.90957602214449496</v>
      </c>
      <c r="Y1343" s="4">
        <f>VALUE(SUBSTITUTE(MID($A1343,F1343+F$2+1,G1343-F1343-F$2-1),",","."))</f>
        <v>0</v>
      </c>
      <c r="Z1343" s="3">
        <f>VALUE(SUBSTITUTE(MID($A1343,G1343+G$2+1,H1343-G1343-G$2-1),",","."))</f>
        <v>0</v>
      </c>
      <c r="AA1343" s="3">
        <f>VALUE(SUBSTITUTE(MID($A1343,H1343+H$2+1,I1343-H1343-H$2-1),",","."))</f>
        <v>0</v>
      </c>
      <c r="AB1343" s="3">
        <f>VALUE(SUBSTITUTE(MID($A1343,I1343+I$2+1,J1343-I1343-I$2-1),",","."))</f>
        <v>0</v>
      </c>
      <c r="AC1343" s="3">
        <f>VALUE(SUBSTITUTE(MID($A1343,J1343+J$2+1,K1343-J1343-J$2-1),",","."))</f>
        <v>3</v>
      </c>
      <c r="AD1343" s="3">
        <f>VALUE(SUBSTITUTE(MID($A1343,K1343+K$2+1,L1343-K1343-K$2-1),",","."))</f>
        <v>10.98</v>
      </c>
      <c r="AE1343" s="3">
        <f>VALUE(SUBSTITUTE(MID($A1343,L1343+L$2+1,M1343-L1343-L$2-1),",","."))</f>
        <v>0</v>
      </c>
      <c r="AF1343" s="3">
        <f>VALUE(SUBSTITUTE(MID($A1343,M1343+M$2+1,N1343-M1343-M$2-1),",","."))</f>
        <v>0</v>
      </c>
      <c r="AG1343" s="3">
        <f>VALUE(SUBSTITUTE(MID($A1343,N1343+N$2+1,O1343-N1343-N$2-1),",","."))</f>
        <v>4.24167739470776</v>
      </c>
      <c r="AH1343" t="str">
        <f>MID($A1343,O1343+O$2+1,P1343-O1343-O$2-1)</f>
        <v/>
      </c>
      <c r="AI1343" s="8" t="str">
        <f>MID($A1343,P1343+P$2+1,Q1343-P1343-P$2-1)</f>
        <v>False</v>
      </c>
      <c r="AK1343" t="b">
        <f t="shared" si="174"/>
        <v>0</v>
      </c>
    </row>
    <row r="1344" spans="1:37" x14ac:dyDescent="0.35">
      <c r="A1344" t="s">
        <v>5891</v>
      </c>
      <c r="B1344">
        <f t="shared" si="178"/>
        <v>10</v>
      </c>
      <c r="C1344">
        <f t="shared" si="178"/>
        <v>43</v>
      </c>
      <c r="D1344">
        <f t="shared" si="178"/>
        <v>54</v>
      </c>
      <c r="E1344">
        <f t="shared" si="178"/>
        <v>80</v>
      </c>
      <c r="F1344">
        <f t="shared" si="178"/>
        <v>124</v>
      </c>
      <c r="G1344">
        <f t="shared" si="178"/>
        <v>145</v>
      </c>
      <c r="H1344">
        <f t="shared" si="178"/>
        <v>177</v>
      </c>
      <c r="I1344">
        <f t="shared" si="178"/>
        <v>199</v>
      </c>
      <c r="J1344">
        <f t="shared" si="177"/>
        <v>232</v>
      </c>
      <c r="K1344">
        <f t="shared" si="177"/>
        <v>266</v>
      </c>
      <c r="L1344">
        <f t="shared" si="177"/>
        <v>298</v>
      </c>
      <c r="M1344">
        <f t="shared" si="177"/>
        <v>313</v>
      </c>
      <c r="N1344">
        <f t="shared" si="177"/>
        <v>325</v>
      </c>
      <c r="O1344">
        <f t="shared" si="175"/>
        <v>351</v>
      </c>
      <c r="P1344">
        <f t="shared" si="175"/>
        <v>369</v>
      </c>
      <c r="Q1344">
        <f t="shared" si="175"/>
        <v>395</v>
      </c>
      <c r="S1344" t="str">
        <f t="shared" si="179"/>
        <v>10.12.2025</v>
      </c>
      <c r="T1344" t="str">
        <f t="shared" si="180"/>
        <v>18:30:00</v>
      </c>
      <c r="U1344" t="str">
        <f t="shared" si="173"/>
        <v>10.12.2025 18:30:00</v>
      </c>
      <c r="V1344" s="9" t="str">
        <f>MID($A1344,C1344+C$2+1,D1344-C1344-C$2-1)</f>
        <v>0</v>
      </c>
      <c r="W1344" s="4">
        <f>VALUE(SUBSTITUTE(MID($A1344,D1344+D$2+1,E1344-D1344-D$2-1),",","."))</f>
        <v>0</v>
      </c>
      <c r="X1344" s="4">
        <f>VALUE(SUBSTITUTE(MID($A1344,E1344+E$2+1,F1344-E1344-E$2-1),",","."))</f>
        <v>0.90957602214449496</v>
      </c>
      <c r="Y1344" s="4">
        <f>VALUE(SUBSTITUTE(MID($A1344,F1344+F$2+1,G1344-F1344-F$2-1),",","."))</f>
        <v>0</v>
      </c>
      <c r="Z1344" s="3">
        <f>VALUE(SUBSTITUTE(MID($A1344,G1344+G$2+1,H1344-G1344-G$2-1),",","."))</f>
        <v>0</v>
      </c>
      <c r="AA1344" s="3">
        <f>VALUE(SUBSTITUTE(MID($A1344,H1344+H$2+1,I1344-H1344-H$2-1),",","."))</f>
        <v>0</v>
      </c>
      <c r="AB1344" s="3">
        <f>VALUE(SUBSTITUTE(MID($A1344,I1344+I$2+1,J1344-I1344-I$2-1),",","."))</f>
        <v>0</v>
      </c>
      <c r="AC1344" s="3">
        <f>VALUE(SUBSTITUTE(MID($A1344,J1344+J$2+1,K1344-J1344-J$2-1),",","."))</f>
        <v>2.3499999999999899</v>
      </c>
      <c r="AD1344" s="3">
        <f>VALUE(SUBSTITUTE(MID($A1344,K1344+K$2+1,L1344-K1344-K$2-1),",","."))</f>
        <v>6.4799999999999898</v>
      </c>
      <c r="AE1344" s="3">
        <f>VALUE(SUBSTITUTE(MID($A1344,L1344+L$2+1,M1344-L1344-L$2-1),",","."))</f>
        <v>0</v>
      </c>
      <c r="AF1344" s="3">
        <f>VALUE(SUBSTITUTE(MID($A1344,M1344+M$2+1,N1344-M1344-M$2-1),",","."))</f>
        <v>0</v>
      </c>
      <c r="AG1344" s="3">
        <f>VALUE(SUBSTITUTE(MID($A1344,N1344+N$2+1,O1344-N1344-N$2-1),",","."))</f>
        <v>4.2417059145958396</v>
      </c>
      <c r="AH1344" t="str">
        <f>MID($A1344,O1344+O$2+1,P1344-O1344-O$2-1)</f>
        <v/>
      </c>
      <c r="AI1344" s="8" t="str">
        <f>MID($A1344,P1344+P$2+1,Q1344-P1344-P$2-1)</f>
        <v>False</v>
      </c>
      <c r="AK1344" t="b">
        <f t="shared" si="174"/>
        <v>0</v>
      </c>
    </row>
    <row r="1345" spans="1:37" x14ac:dyDescent="0.35">
      <c r="A1345" t="s">
        <v>5892</v>
      </c>
      <c r="B1345">
        <f t="shared" si="178"/>
        <v>10</v>
      </c>
      <c r="C1345">
        <f t="shared" si="178"/>
        <v>43</v>
      </c>
      <c r="D1345">
        <f t="shared" si="178"/>
        <v>54</v>
      </c>
      <c r="E1345">
        <f t="shared" si="178"/>
        <v>80</v>
      </c>
      <c r="F1345">
        <f t="shared" si="178"/>
        <v>124</v>
      </c>
      <c r="G1345">
        <f t="shared" si="178"/>
        <v>145</v>
      </c>
      <c r="H1345">
        <f t="shared" si="178"/>
        <v>177</v>
      </c>
      <c r="I1345">
        <f t="shared" si="178"/>
        <v>199</v>
      </c>
      <c r="J1345">
        <f t="shared" si="177"/>
        <v>232</v>
      </c>
      <c r="K1345">
        <f t="shared" si="177"/>
        <v>266</v>
      </c>
      <c r="L1345">
        <f t="shared" si="177"/>
        <v>298</v>
      </c>
      <c r="M1345">
        <f t="shared" si="177"/>
        <v>313</v>
      </c>
      <c r="N1345">
        <f t="shared" si="177"/>
        <v>325</v>
      </c>
      <c r="O1345">
        <f t="shared" si="175"/>
        <v>349</v>
      </c>
      <c r="P1345">
        <f t="shared" si="175"/>
        <v>367</v>
      </c>
      <c r="Q1345">
        <f t="shared" si="175"/>
        <v>393</v>
      </c>
      <c r="S1345" t="str">
        <f t="shared" si="179"/>
        <v>10.12.2025</v>
      </c>
      <c r="T1345" t="str">
        <f t="shared" si="180"/>
        <v>18:45:00</v>
      </c>
      <c r="U1345" t="str">
        <f t="shared" si="173"/>
        <v>10.12.2025 18:45:00</v>
      </c>
      <c r="V1345" s="9" t="str">
        <f>MID($A1345,C1345+C$2+1,D1345-C1345-C$2-1)</f>
        <v>0</v>
      </c>
      <c r="W1345" s="4">
        <f>VALUE(SUBSTITUTE(MID($A1345,D1345+D$2+1,E1345-D1345-D$2-1),",","."))</f>
        <v>0</v>
      </c>
      <c r="X1345" s="4">
        <f>VALUE(SUBSTITUTE(MID($A1345,E1345+E$2+1,F1345-E1345-E$2-1),",","."))</f>
        <v>0.90957602214449496</v>
      </c>
      <c r="Y1345" s="4">
        <f>VALUE(SUBSTITUTE(MID($A1345,F1345+F$2+1,G1345-F1345-F$2-1),",","."))</f>
        <v>0</v>
      </c>
      <c r="Z1345" s="3">
        <f>VALUE(SUBSTITUTE(MID($A1345,G1345+G$2+1,H1345-G1345-G$2-1),",","."))</f>
        <v>0</v>
      </c>
      <c r="AA1345" s="3">
        <f>VALUE(SUBSTITUTE(MID($A1345,H1345+H$2+1,I1345-H1345-H$2-1),",","."))</f>
        <v>0</v>
      </c>
      <c r="AB1345" s="3">
        <f>VALUE(SUBSTITUTE(MID($A1345,I1345+I$2+1,J1345-I1345-I$2-1),",","."))</f>
        <v>0</v>
      </c>
      <c r="AC1345" s="3">
        <f>VALUE(SUBSTITUTE(MID($A1345,J1345+J$2+1,K1345-J1345-J$2-1),",","."))</f>
        <v>2.3499999999999899</v>
      </c>
      <c r="AD1345" s="3">
        <f>VALUE(SUBSTITUTE(MID($A1345,K1345+K$2+1,L1345-K1345-K$2-1),",","."))</f>
        <v>6.4799999999999898</v>
      </c>
      <c r="AE1345" s="3">
        <f>VALUE(SUBSTITUTE(MID($A1345,L1345+L$2+1,M1345-L1345-L$2-1),",","."))</f>
        <v>0</v>
      </c>
      <c r="AF1345" s="3">
        <f>VALUE(SUBSTITUTE(MID($A1345,M1345+M$2+1,N1345-M1345-M$2-1),",","."))</f>
        <v>0</v>
      </c>
      <c r="AG1345" s="3">
        <f>VALUE(SUBSTITUTE(MID($A1345,N1345+N$2+1,O1345-N1345-N$2-1),",","."))</f>
        <v>4.2417344344839298</v>
      </c>
      <c r="AH1345" t="str">
        <f>MID($A1345,O1345+O$2+1,P1345-O1345-O$2-1)</f>
        <v/>
      </c>
      <c r="AI1345" s="8" t="str">
        <f>MID($A1345,P1345+P$2+1,Q1345-P1345-P$2-1)</f>
        <v>False</v>
      </c>
      <c r="AK1345" t="b">
        <f t="shared" si="174"/>
        <v>0</v>
      </c>
    </row>
    <row r="1346" spans="1:37" x14ac:dyDescent="0.35">
      <c r="A1346" t="s">
        <v>5893</v>
      </c>
      <c r="B1346">
        <f t="shared" si="178"/>
        <v>10</v>
      </c>
      <c r="C1346">
        <f t="shared" si="178"/>
        <v>43</v>
      </c>
      <c r="D1346">
        <f t="shared" si="178"/>
        <v>54</v>
      </c>
      <c r="E1346">
        <f t="shared" si="178"/>
        <v>80</v>
      </c>
      <c r="F1346">
        <f t="shared" si="178"/>
        <v>124</v>
      </c>
      <c r="G1346">
        <f t="shared" si="178"/>
        <v>145</v>
      </c>
      <c r="H1346">
        <f t="shared" si="178"/>
        <v>177</v>
      </c>
      <c r="I1346">
        <f t="shared" si="178"/>
        <v>199</v>
      </c>
      <c r="J1346">
        <f t="shared" si="177"/>
        <v>232</v>
      </c>
      <c r="K1346">
        <f t="shared" si="177"/>
        <v>266</v>
      </c>
      <c r="L1346">
        <f t="shared" si="177"/>
        <v>298</v>
      </c>
      <c r="M1346">
        <f t="shared" si="177"/>
        <v>313</v>
      </c>
      <c r="N1346">
        <f t="shared" si="177"/>
        <v>325</v>
      </c>
      <c r="O1346">
        <f t="shared" si="175"/>
        <v>350</v>
      </c>
      <c r="P1346">
        <f t="shared" si="175"/>
        <v>368</v>
      </c>
      <c r="Q1346">
        <f t="shared" si="175"/>
        <v>394</v>
      </c>
      <c r="S1346" t="str">
        <f t="shared" si="179"/>
        <v>10.12.2025</v>
      </c>
      <c r="T1346" t="str">
        <f t="shared" si="180"/>
        <v>19:00:00</v>
      </c>
      <c r="U1346" t="str">
        <f t="shared" si="173"/>
        <v>10.12.2025 19:00:00</v>
      </c>
      <c r="V1346" s="9" t="str">
        <f>MID($A1346,C1346+C$2+1,D1346-C1346-C$2-1)</f>
        <v>0</v>
      </c>
      <c r="W1346" s="4">
        <f>VALUE(SUBSTITUTE(MID($A1346,D1346+D$2+1,E1346-D1346-D$2-1),",","."))</f>
        <v>0</v>
      </c>
      <c r="X1346" s="4">
        <f>VALUE(SUBSTITUTE(MID($A1346,E1346+E$2+1,F1346-E1346-E$2-1),",","."))</f>
        <v>0.90957602214449496</v>
      </c>
      <c r="Y1346" s="4">
        <f>VALUE(SUBSTITUTE(MID($A1346,F1346+F$2+1,G1346-F1346-F$2-1),",","."))</f>
        <v>0</v>
      </c>
      <c r="Z1346" s="3">
        <f>VALUE(SUBSTITUTE(MID($A1346,G1346+G$2+1,H1346-G1346-G$2-1),",","."))</f>
        <v>0</v>
      </c>
      <c r="AA1346" s="3">
        <f>VALUE(SUBSTITUTE(MID($A1346,H1346+H$2+1,I1346-H1346-H$2-1),",","."))</f>
        <v>0</v>
      </c>
      <c r="AB1346" s="3">
        <f>VALUE(SUBSTITUTE(MID($A1346,I1346+I$2+1,J1346-I1346-I$2-1),",","."))</f>
        <v>0</v>
      </c>
      <c r="AC1346" s="3">
        <f>VALUE(SUBSTITUTE(MID($A1346,J1346+J$2+1,K1346-J1346-J$2-1),",","."))</f>
        <v>2.3499999999999899</v>
      </c>
      <c r="AD1346" s="3">
        <f>VALUE(SUBSTITUTE(MID($A1346,K1346+K$2+1,L1346-K1346-K$2-1),",","."))</f>
        <v>6.4799999999999898</v>
      </c>
      <c r="AE1346" s="3">
        <f>VALUE(SUBSTITUTE(MID($A1346,L1346+L$2+1,M1346-L1346-L$2-1),",","."))</f>
        <v>0</v>
      </c>
      <c r="AF1346" s="3">
        <f>VALUE(SUBSTITUTE(MID($A1346,M1346+M$2+1,N1346-M1346-M$2-1),",","."))</f>
        <v>0</v>
      </c>
      <c r="AG1346" s="3">
        <f>VALUE(SUBSTITUTE(MID($A1346,N1346+N$2+1,O1346-N1346-N$2-1),",","."))</f>
        <v>4.2417629543720103</v>
      </c>
      <c r="AH1346" t="str">
        <f>MID($A1346,O1346+O$2+1,P1346-O1346-O$2-1)</f>
        <v/>
      </c>
      <c r="AI1346" s="8" t="str">
        <f>MID($A1346,P1346+P$2+1,Q1346-P1346-P$2-1)</f>
        <v>False</v>
      </c>
      <c r="AK1346" t="b">
        <f t="shared" si="174"/>
        <v>0</v>
      </c>
    </row>
    <row r="1347" spans="1:37" x14ac:dyDescent="0.35">
      <c r="A1347" t="s">
        <v>5894</v>
      </c>
      <c r="B1347">
        <f t="shared" si="178"/>
        <v>10</v>
      </c>
      <c r="C1347">
        <f t="shared" si="178"/>
        <v>43</v>
      </c>
      <c r="D1347">
        <f t="shared" si="178"/>
        <v>54</v>
      </c>
      <c r="E1347">
        <f t="shared" si="178"/>
        <v>80</v>
      </c>
      <c r="F1347">
        <f t="shared" si="178"/>
        <v>124</v>
      </c>
      <c r="G1347">
        <f t="shared" si="178"/>
        <v>145</v>
      </c>
      <c r="H1347">
        <f t="shared" si="178"/>
        <v>177</v>
      </c>
      <c r="I1347">
        <f t="shared" si="178"/>
        <v>199</v>
      </c>
      <c r="J1347">
        <f t="shared" si="177"/>
        <v>232</v>
      </c>
      <c r="K1347">
        <f t="shared" si="177"/>
        <v>266</v>
      </c>
      <c r="L1347">
        <f t="shared" si="177"/>
        <v>298</v>
      </c>
      <c r="M1347">
        <f t="shared" si="177"/>
        <v>313</v>
      </c>
      <c r="N1347">
        <f t="shared" si="177"/>
        <v>325</v>
      </c>
      <c r="O1347">
        <f t="shared" si="175"/>
        <v>351</v>
      </c>
      <c r="P1347">
        <f t="shared" si="175"/>
        <v>369</v>
      </c>
      <c r="Q1347">
        <f t="shared" si="175"/>
        <v>395</v>
      </c>
      <c r="S1347" t="str">
        <f t="shared" si="179"/>
        <v>10.12.2025</v>
      </c>
      <c r="T1347" t="str">
        <f t="shared" si="180"/>
        <v>19:15:00</v>
      </c>
      <c r="U1347" t="str">
        <f t="shared" si="173"/>
        <v>10.12.2025 19:15:00</v>
      </c>
      <c r="V1347" s="9" t="str">
        <f>MID($A1347,C1347+C$2+1,D1347-C1347-C$2-1)</f>
        <v>0</v>
      </c>
      <c r="W1347" s="4">
        <f>VALUE(SUBSTITUTE(MID($A1347,D1347+D$2+1,E1347-D1347-D$2-1),",","."))</f>
        <v>0</v>
      </c>
      <c r="X1347" s="4">
        <f>VALUE(SUBSTITUTE(MID($A1347,E1347+E$2+1,F1347-E1347-E$2-1),",","."))</f>
        <v>0.90957602214449496</v>
      </c>
      <c r="Y1347" s="4">
        <f>VALUE(SUBSTITUTE(MID($A1347,F1347+F$2+1,G1347-F1347-F$2-1),",","."))</f>
        <v>0</v>
      </c>
      <c r="Z1347" s="3">
        <f>VALUE(SUBSTITUTE(MID($A1347,G1347+G$2+1,H1347-G1347-G$2-1),",","."))</f>
        <v>0</v>
      </c>
      <c r="AA1347" s="3">
        <f>VALUE(SUBSTITUTE(MID($A1347,H1347+H$2+1,I1347-H1347-H$2-1),",","."))</f>
        <v>0</v>
      </c>
      <c r="AB1347" s="3">
        <f>VALUE(SUBSTITUTE(MID($A1347,I1347+I$2+1,J1347-I1347-I$2-1),",","."))</f>
        <v>0</v>
      </c>
      <c r="AC1347" s="3">
        <f>VALUE(SUBSTITUTE(MID($A1347,J1347+J$2+1,K1347-J1347-J$2-1),",","."))</f>
        <v>2.3499999999999899</v>
      </c>
      <c r="AD1347" s="3">
        <f>VALUE(SUBSTITUTE(MID($A1347,K1347+K$2+1,L1347-K1347-K$2-1),",","."))</f>
        <v>6.4799999999999898</v>
      </c>
      <c r="AE1347" s="3">
        <f>VALUE(SUBSTITUTE(MID($A1347,L1347+L$2+1,M1347-L1347-L$2-1),",","."))</f>
        <v>0</v>
      </c>
      <c r="AF1347" s="3">
        <f>VALUE(SUBSTITUTE(MID($A1347,M1347+M$2+1,N1347-M1347-M$2-1),",","."))</f>
        <v>0</v>
      </c>
      <c r="AG1347" s="3">
        <f>VALUE(SUBSTITUTE(MID($A1347,N1347+N$2+1,O1347-N1347-N$2-1),",","."))</f>
        <v>4.24179147426009</v>
      </c>
      <c r="AH1347" t="str">
        <f>MID($A1347,O1347+O$2+1,P1347-O1347-O$2-1)</f>
        <v/>
      </c>
      <c r="AI1347" s="8" t="str">
        <f>MID($A1347,P1347+P$2+1,Q1347-P1347-P$2-1)</f>
        <v>False</v>
      </c>
      <c r="AK1347" t="b">
        <f t="shared" si="174"/>
        <v>0</v>
      </c>
    </row>
    <row r="1348" spans="1:37" x14ac:dyDescent="0.35">
      <c r="A1348" t="s">
        <v>5895</v>
      </c>
      <c r="B1348">
        <f t="shared" si="178"/>
        <v>10</v>
      </c>
      <c r="C1348">
        <f t="shared" si="178"/>
        <v>43</v>
      </c>
      <c r="D1348">
        <f t="shared" si="178"/>
        <v>54</v>
      </c>
      <c r="E1348">
        <f t="shared" si="178"/>
        <v>80</v>
      </c>
      <c r="F1348">
        <f t="shared" si="178"/>
        <v>124</v>
      </c>
      <c r="G1348">
        <f t="shared" si="178"/>
        <v>145</v>
      </c>
      <c r="H1348">
        <f t="shared" si="178"/>
        <v>177</v>
      </c>
      <c r="I1348">
        <f t="shared" si="178"/>
        <v>199</v>
      </c>
      <c r="J1348">
        <f t="shared" si="177"/>
        <v>232</v>
      </c>
      <c r="K1348">
        <f t="shared" si="177"/>
        <v>251</v>
      </c>
      <c r="L1348">
        <f t="shared" si="177"/>
        <v>282</v>
      </c>
      <c r="M1348">
        <f t="shared" si="177"/>
        <v>297</v>
      </c>
      <c r="N1348">
        <f t="shared" si="177"/>
        <v>309</v>
      </c>
      <c r="O1348">
        <f t="shared" si="175"/>
        <v>334</v>
      </c>
      <c r="P1348">
        <f t="shared" si="175"/>
        <v>352</v>
      </c>
      <c r="Q1348">
        <f t="shared" si="175"/>
        <v>378</v>
      </c>
      <c r="S1348" t="str">
        <f t="shared" si="179"/>
        <v>10.12.2025</v>
      </c>
      <c r="T1348" t="str">
        <f t="shared" si="180"/>
        <v>19:30:00</v>
      </c>
      <c r="U1348" t="str">
        <f t="shared" ref="U1348:U1411" si="181">MID($A1348,B1348+B$2+1,C1348-B1348-B$2-1)</f>
        <v>10.12.2025 19:30:00</v>
      </c>
      <c r="V1348" s="9" t="str">
        <f>MID($A1348,C1348+C$2+1,D1348-C1348-C$2-1)</f>
        <v>0</v>
      </c>
      <c r="W1348" s="4">
        <f>VALUE(SUBSTITUTE(MID($A1348,D1348+D$2+1,E1348-D1348-D$2-1),",","."))</f>
        <v>0</v>
      </c>
      <c r="X1348" s="4">
        <f>VALUE(SUBSTITUTE(MID($A1348,E1348+E$2+1,F1348-E1348-E$2-1),",","."))</f>
        <v>0.90957602214449496</v>
      </c>
      <c r="Y1348" s="4">
        <f>VALUE(SUBSTITUTE(MID($A1348,F1348+F$2+1,G1348-F1348-F$2-1),",","."))</f>
        <v>0</v>
      </c>
      <c r="Z1348" s="3">
        <f>VALUE(SUBSTITUTE(MID($A1348,G1348+G$2+1,H1348-G1348-G$2-1),",","."))</f>
        <v>0</v>
      </c>
      <c r="AA1348" s="3">
        <f>VALUE(SUBSTITUTE(MID($A1348,H1348+H$2+1,I1348-H1348-H$2-1),",","."))</f>
        <v>0</v>
      </c>
      <c r="AB1348" s="3">
        <f>VALUE(SUBSTITUTE(MID($A1348,I1348+I$2+1,J1348-I1348-I$2-1),",","."))</f>
        <v>0</v>
      </c>
      <c r="AC1348" s="3">
        <f>VALUE(SUBSTITUTE(MID($A1348,J1348+J$2+1,K1348-J1348-J$2-1),",","."))</f>
        <v>2.1</v>
      </c>
      <c r="AD1348" s="3">
        <f>VALUE(SUBSTITUTE(MID($A1348,K1348+K$2+1,L1348-K1348-K$2-1),",","."))</f>
        <v>9.5399999999999991</v>
      </c>
      <c r="AE1348" s="3">
        <f>VALUE(SUBSTITUTE(MID($A1348,L1348+L$2+1,M1348-L1348-L$2-1),",","."))</f>
        <v>0</v>
      </c>
      <c r="AF1348" s="3">
        <f>VALUE(SUBSTITUTE(MID($A1348,M1348+M$2+1,N1348-M1348-M$2-1),",","."))</f>
        <v>0</v>
      </c>
      <c r="AG1348" s="3">
        <f>VALUE(SUBSTITUTE(MID($A1348,N1348+N$2+1,O1348-N1348-N$2-1),",","."))</f>
        <v>4.2418199941481696</v>
      </c>
      <c r="AH1348" t="str">
        <f>MID($A1348,O1348+O$2+1,P1348-O1348-O$2-1)</f>
        <v/>
      </c>
      <c r="AI1348" s="8" t="str">
        <f>MID($A1348,P1348+P$2+1,Q1348-P1348-P$2-1)</f>
        <v>False</v>
      </c>
      <c r="AK1348" t="b">
        <f t="shared" ref="AK1348:AK1411" si="182">AB1348&gt;Z1348</f>
        <v>0</v>
      </c>
    </row>
    <row r="1349" spans="1:37" x14ac:dyDescent="0.35">
      <c r="A1349" t="s">
        <v>5896</v>
      </c>
      <c r="B1349">
        <f t="shared" si="178"/>
        <v>10</v>
      </c>
      <c r="C1349">
        <f t="shared" si="178"/>
        <v>43</v>
      </c>
      <c r="D1349">
        <f t="shared" si="178"/>
        <v>54</v>
      </c>
      <c r="E1349">
        <f t="shared" si="178"/>
        <v>80</v>
      </c>
      <c r="F1349">
        <f t="shared" si="178"/>
        <v>124</v>
      </c>
      <c r="G1349">
        <f t="shared" si="178"/>
        <v>145</v>
      </c>
      <c r="H1349">
        <f t="shared" si="178"/>
        <v>177</v>
      </c>
      <c r="I1349">
        <f t="shared" si="178"/>
        <v>199</v>
      </c>
      <c r="J1349">
        <f t="shared" si="177"/>
        <v>232</v>
      </c>
      <c r="K1349">
        <f t="shared" si="177"/>
        <v>251</v>
      </c>
      <c r="L1349">
        <f t="shared" si="177"/>
        <v>282</v>
      </c>
      <c r="M1349">
        <f t="shared" si="177"/>
        <v>297</v>
      </c>
      <c r="N1349">
        <f t="shared" si="177"/>
        <v>309</v>
      </c>
      <c r="O1349">
        <f t="shared" si="175"/>
        <v>334</v>
      </c>
      <c r="P1349">
        <f t="shared" si="175"/>
        <v>352</v>
      </c>
      <c r="Q1349">
        <f t="shared" si="175"/>
        <v>378</v>
      </c>
      <c r="S1349" t="str">
        <f t="shared" si="179"/>
        <v>10.12.2025</v>
      </c>
      <c r="T1349" t="str">
        <f t="shared" si="180"/>
        <v>19:45:00</v>
      </c>
      <c r="U1349" t="str">
        <f t="shared" si="181"/>
        <v>10.12.2025 19:45:00</v>
      </c>
      <c r="V1349" s="9" t="str">
        <f>MID($A1349,C1349+C$2+1,D1349-C1349-C$2-1)</f>
        <v>0</v>
      </c>
      <c r="W1349" s="4">
        <f>VALUE(SUBSTITUTE(MID($A1349,D1349+D$2+1,E1349-D1349-D$2-1),",","."))</f>
        <v>0</v>
      </c>
      <c r="X1349" s="4">
        <f>VALUE(SUBSTITUTE(MID($A1349,E1349+E$2+1,F1349-E1349-E$2-1),",","."))</f>
        <v>0.90957602214449496</v>
      </c>
      <c r="Y1349" s="4">
        <f>VALUE(SUBSTITUTE(MID($A1349,F1349+F$2+1,G1349-F1349-F$2-1),",","."))</f>
        <v>0</v>
      </c>
      <c r="Z1349" s="3">
        <f>VALUE(SUBSTITUTE(MID($A1349,G1349+G$2+1,H1349-G1349-G$2-1),",","."))</f>
        <v>0</v>
      </c>
      <c r="AA1349" s="3">
        <f>VALUE(SUBSTITUTE(MID($A1349,H1349+H$2+1,I1349-H1349-H$2-1),",","."))</f>
        <v>0</v>
      </c>
      <c r="AB1349" s="3">
        <f>VALUE(SUBSTITUTE(MID($A1349,I1349+I$2+1,J1349-I1349-I$2-1),",","."))</f>
        <v>0</v>
      </c>
      <c r="AC1349" s="3">
        <f>VALUE(SUBSTITUTE(MID($A1349,J1349+J$2+1,K1349-J1349-J$2-1),",","."))</f>
        <v>2.1</v>
      </c>
      <c r="AD1349" s="3">
        <f>VALUE(SUBSTITUTE(MID($A1349,K1349+K$2+1,L1349-K1349-K$2-1),",","."))</f>
        <v>9.5399999999999991</v>
      </c>
      <c r="AE1349" s="3">
        <f>VALUE(SUBSTITUTE(MID($A1349,L1349+L$2+1,M1349-L1349-L$2-1),",","."))</f>
        <v>0</v>
      </c>
      <c r="AF1349" s="3">
        <f>VALUE(SUBSTITUTE(MID($A1349,M1349+M$2+1,N1349-M1349-M$2-1),",","."))</f>
        <v>0</v>
      </c>
      <c r="AG1349" s="3">
        <f>VALUE(SUBSTITUTE(MID($A1349,N1349+N$2+1,O1349-N1349-N$2-1),",","."))</f>
        <v>4.2418485140362501</v>
      </c>
      <c r="AH1349" t="str">
        <f>MID($A1349,O1349+O$2+1,P1349-O1349-O$2-1)</f>
        <v/>
      </c>
      <c r="AI1349" s="8" t="str">
        <f>MID($A1349,P1349+P$2+1,Q1349-P1349-P$2-1)</f>
        <v>False</v>
      </c>
      <c r="AK1349" t="b">
        <f t="shared" si="182"/>
        <v>0</v>
      </c>
    </row>
    <row r="1350" spans="1:37" x14ac:dyDescent="0.35">
      <c r="A1350" t="s">
        <v>5897</v>
      </c>
      <c r="B1350">
        <f t="shared" si="178"/>
        <v>10</v>
      </c>
      <c r="C1350">
        <f t="shared" si="178"/>
        <v>43</v>
      </c>
      <c r="D1350">
        <f t="shared" si="178"/>
        <v>54</v>
      </c>
      <c r="E1350">
        <f t="shared" si="178"/>
        <v>80</v>
      </c>
      <c r="F1350">
        <f t="shared" si="178"/>
        <v>124</v>
      </c>
      <c r="G1350">
        <f t="shared" si="178"/>
        <v>145</v>
      </c>
      <c r="H1350">
        <f t="shared" si="178"/>
        <v>177</v>
      </c>
      <c r="I1350">
        <f t="shared" si="178"/>
        <v>199</v>
      </c>
      <c r="J1350">
        <f t="shared" si="177"/>
        <v>232</v>
      </c>
      <c r="K1350">
        <f t="shared" si="177"/>
        <v>251</v>
      </c>
      <c r="L1350">
        <f t="shared" si="177"/>
        <v>282</v>
      </c>
      <c r="M1350">
        <f t="shared" si="177"/>
        <v>297</v>
      </c>
      <c r="N1350">
        <f t="shared" si="177"/>
        <v>309</v>
      </c>
      <c r="O1350">
        <f t="shared" si="175"/>
        <v>334</v>
      </c>
      <c r="P1350">
        <f t="shared" si="175"/>
        <v>352</v>
      </c>
      <c r="Q1350">
        <f t="shared" si="175"/>
        <v>378</v>
      </c>
      <c r="S1350" t="str">
        <f t="shared" si="179"/>
        <v>10.12.2025</v>
      </c>
      <c r="T1350" t="str">
        <f t="shared" si="180"/>
        <v>20:00:00</v>
      </c>
      <c r="U1350" t="str">
        <f t="shared" si="181"/>
        <v>10.12.2025 20:00:00</v>
      </c>
      <c r="V1350" s="9" t="str">
        <f>MID($A1350,C1350+C$2+1,D1350-C1350-C$2-1)</f>
        <v>0</v>
      </c>
      <c r="W1350" s="4">
        <f>VALUE(SUBSTITUTE(MID($A1350,D1350+D$2+1,E1350-D1350-D$2-1),",","."))</f>
        <v>0</v>
      </c>
      <c r="X1350" s="4">
        <f>VALUE(SUBSTITUTE(MID($A1350,E1350+E$2+1,F1350-E1350-E$2-1),",","."))</f>
        <v>0.90957602214449496</v>
      </c>
      <c r="Y1350" s="4">
        <f>VALUE(SUBSTITUTE(MID($A1350,F1350+F$2+1,G1350-F1350-F$2-1),",","."))</f>
        <v>0</v>
      </c>
      <c r="Z1350" s="3">
        <f>VALUE(SUBSTITUTE(MID($A1350,G1350+G$2+1,H1350-G1350-G$2-1),",","."))</f>
        <v>0</v>
      </c>
      <c r="AA1350" s="3">
        <f>VALUE(SUBSTITUTE(MID($A1350,H1350+H$2+1,I1350-H1350-H$2-1),",","."))</f>
        <v>0</v>
      </c>
      <c r="AB1350" s="3">
        <f>VALUE(SUBSTITUTE(MID($A1350,I1350+I$2+1,J1350-I1350-I$2-1),",","."))</f>
        <v>0</v>
      </c>
      <c r="AC1350" s="3">
        <f>VALUE(SUBSTITUTE(MID($A1350,J1350+J$2+1,K1350-J1350-J$2-1),",","."))</f>
        <v>2.1</v>
      </c>
      <c r="AD1350" s="3">
        <f>VALUE(SUBSTITUTE(MID($A1350,K1350+K$2+1,L1350-K1350-K$2-1),",","."))</f>
        <v>9.5399999999999991</v>
      </c>
      <c r="AE1350" s="3">
        <f>VALUE(SUBSTITUTE(MID($A1350,L1350+L$2+1,M1350-L1350-L$2-1),",","."))</f>
        <v>0</v>
      </c>
      <c r="AF1350" s="3">
        <f>VALUE(SUBSTITUTE(MID($A1350,M1350+M$2+1,N1350-M1350-M$2-1),",","."))</f>
        <v>0</v>
      </c>
      <c r="AG1350" s="3">
        <f>VALUE(SUBSTITUTE(MID($A1350,N1350+N$2+1,O1350-N1350-N$2-1),",","."))</f>
        <v>4.2418770339243297</v>
      </c>
      <c r="AH1350" t="str">
        <f>MID($A1350,O1350+O$2+1,P1350-O1350-O$2-1)</f>
        <v/>
      </c>
      <c r="AI1350" s="8" t="str">
        <f>MID($A1350,P1350+P$2+1,Q1350-P1350-P$2-1)</f>
        <v>False</v>
      </c>
      <c r="AK1350" t="b">
        <f t="shared" si="182"/>
        <v>0</v>
      </c>
    </row>
    <row r="1351" spans="1:37" x14ac:dyDescent="0.35">
      <c r="A1351" t="s">
        <v>5898</v>
      </c>
      <c r="B1351">
        <f t="shared" si="178"/>
        <v>10</v>
      </c>
      <c r="C1351">
        <f t="shared" si="178"/>
        <v>43</v>
      </c>
      <c r="D1351">
        <f t="shared" si="178"/>
        <v>54</v>
      </c>
      <c r="E1351">
        <f t="shared" si="178"/>
        <v>80</v>
      </c>
      <c r="F1351">
        <f t="shared" si="178"/>
        <v>124</v>
      </c>
      <c r="G1351">
        <f t="shared" si="178"/>
        <v>145</v>
      </c>
      <c r="H1351">
        <f t="shared" si="178"/>
        <v>177</v>
      </c>
      <c r="I1351">
        <f t="shared" si="178"/>
        <v>199</v>
      </c>
      <c r="J1351">
        <f t="shared" si="177"/>
        <v>232</v>
      </c>
      <c r="K1351">
        <f t="shared" si="177"/>
        <v>251</v>
      </c>
      <c r="L1351">
        <f t="shared" si="177"/>
        <v>282</v>
      </c>
      <c r="M1351">
        <f t="shared" si="177"/>
        <v>297</v>
      </c>
      <c r="N1351">
        <f t="shared" si="177"/>
        <v>309</v>
      </c>
      <c r="O1351">
        <f t="shared" si="175"/>
        <v>333</v>
      </c>
      <c r="P1351">
        <f t="shared" si="175"/>
        <v>351</v>
      </c>
      <c r="Q1351">
        <f t="shared" si="175"/>
        <v>377</v>
      </c>
      <c r="S1351" t="str">
        <f t="shared" si="179"/>
        <v>10.12.2025</v>
      </c>
      <c r="T1351" t="str">
        <f t="shared" si="180"/>
        <v>20:15:00</v>
      </c>
      <c r="U1351" t="str">
        <f t="shared" si="181"/>
        <v>10.12.2025 20:15:00</v>
      </c>
      <c r="V1351" s="9" t="str">
        <f>MID($A1351,C1351+C$2+1,D1351-C1351-C$2-1)</f>
        <v>0</v>
      </c>
      <c r="W1351" s="4">
        <f>VALUE(SUBSTITUTE(MID($A1351,D1351+D$2+1,E1351-D1351-D$2-1),",","."))</f>
        <v>0</v>
      </c>
      <c r="X1351" s="4">
        <f>VALUE(SUBSTITUTE(MID($A1351,E1351+E$2+1,F1351-E1351-E$2-1),",","."))</f>
        <v>0.90957602214449496</v>
      </c>
      <c r="Y1351" s="4">
        <f>VALUE(SUBSTITUTE(MID($A1351,F1351+F$2+1,G1351-F1351-F$2-1),",","."))</f>
        <v>0</v>
      </c>
      <c r="Z1351" s="3">
        <f>VALUE(SUBSTITUTE(MID($A1351,G1351+G$2+1,H1351-G1351-G$2-1),",","."))</f>
        <v>0</v>
      </c>
      <c r="AA1351" s="3">
        <f>VALUE(SUBSTITUTE(MID($A1351,H1351+H$2+1,I1351-H1351-H$2-1),",","."))</f>
        <v>0</v>
      </c>
      <c r="AB1351" s="3">
        <f>VALUE(SUBSTITUTE(MID($A1351,I1351+I$2+1,J1351-I1351-I$2-1),",","."))</f>
        <v>0</v>
      </c>
      <c r="AC1351" s="3">
        <f>VALUE(SUBSTITUTE(MID($A1351,J1351+J$2+1,K1351-J1351-J$2-1),",","."))</f>
        <v>2.1</v>
      </c>
      <c r="AD1351" s="3">
        <f>VALUE(SUBSTITUTE(MID($A1351,K1351+K$2+1,L1351-K1351-K$2-1),",","."))</f>
        <v>9.5399999999999991</v>
      </c>
      <c r="AE1351" s="3">
        <f>VALUE(SUBSTITUTE(MID($A1351,L1351+L$2+1,M1351-L1351-L$2-1),",","."))</f>
        <v>0</v>
      </c>
      <c r="AF1351" s="3">
        <f>VALUE(SUBSTITUTE(MID($A1351,M1351+M$2+1,N1351-M1351-M$2-1),",","."))</f>
        <v>0</v>
      </c>
      <c r="AG1351" s="3">
        <f>VALUE(SUBSTITUTE(MID($A1351,N1351+N$2+1,O1351-N1351-N$2-1),",","."))</f>
        <v>4.24190555381242</v>
      </c>
      <c r="AH1351" t="str">
        <f>MID($A1351,O1351+O$2+1,P1351-O1351-O$2-1)</f>
        <v/>
      </c>
      <c r="AI1351" s="8" t="str">
        <f>MID($A1351,P1351+P$2+1,Q1351-P1351-P$2-1)</f>
        <v>False</v>
      </c>
      <c r="AK1351" t="b">
        <f t="shared" si="182"/>
        <v>0</v>
      </c>
    </row>
    <row r="1352" spans="1:37" x14ac:dyDescent="0.35">
      <c r="A1352" t="s">
        <v>5899</v>
      </c>
      <c r="B1352">
        <f t="shared" si="178"/>
        <v>10</v>
      </c>
      <c r="C1352">
        <f t="shared" si="178"/>
        <v>43</v>
      </c>
      <c r="D1352">
        <f t="shared" si="178"/>
        <v>54</v>
      </c>
      <c r="E1352">
        <f t="shared" si="178"/>
        <v>80</v>
      </c>
      <c r="F1352">
        <f t="shared" si="178"/>
        <v>124</v>
      </c>
      <c r="G1352">
        <f t="shared" si="178"/>
        <v>145</v>
      </c>
      <c r="H1352">
        <f t="shared" si="178"/>
        <v>177</v>
      </c>
      <c r="I1352">
        <f t="shared" si="178"/>
        <v>199</v>
      </c>
      <c r="J1352">
        <f t="shared" si="177"/>
        <v>232</v>
      </c>
      <c r="K1352">
        <f t="shared" si="177"/>
        <v>252</v>
      </c>
      <c r="L1352">
        <f t="shared" si="177"/>
        <v>284</v>
      </c>
      <c r="M1352">
        <f t="shared" si="177"/>
        <v>299</v>
      </c>
      <c r="N1352">
        <f t="shared" si="177"/>
        <v>311</v>
      </c>
      <c r="O1352">
        <f t="shared" si="175"/>
        <v>336</v>
      </c>
      <c r="P1352">
        <f t="shared" si="175"/>
        <v>354</v>
      </c>
      <c r="Q1352">
        <f t="shared" si="175"/>
        <v>380</v>
      </c>
      <c r="S1352" t="str">
        <f t="shared" si="179"/>
        <v>10.12.2025</v>
      </c>
      <c r="T1352" t="str">
        <f t="shared" si="180"/>
        <v>20:30:00</v>
      </c>
      <c r="U1352" t="str">
        <f t="shared" si="181"/>
        <v>10.12.2025 20:30:00</v>
      </c>
      <c r="V1352" s="9" t="str">
        <f>MID($A1352,C1352+C$2+1,D1352-C1352-C$2-1)</f>
        <v>0</v>
      </c>
      <c r="W1352" s="4">
        <f>VALUE(SUBSTITUTE(MID($A1352,D1352+D$2+1,E1352-D1352-D$2-1),",","."))</f>
        <v>0</v>
      </c>
      <c r="X1352" s="4">
        <f>VALUE(SUBSTITUTE(MID($A1352,E1352+E$2+1,F1352-E1352-E$2-1),",","."))</f>
        <v>0.90957602214449496</v>
      </c>
      <c r="Y1352" s="4">
        <f>VALUE(SUBSTITUTE(MID($A1352,F1352+F$2+1,G1352-F1352-F$2-1),",","."))</f>
        <v>0</v>
      </c>
      <c r="Z1352" s="3">
        <f>VALUE(SUBSTITUTE(MID($A1352,G1352+G$2+1,H1352-G1352-G$2-1),",","."))</f>
        <v>0</v>
      </c>
      <c r="AA1352" s="3">
        <f>VALUE(SUBSTITUTE(MID($A1352,H1352+H$2+1,I1352-H1352-H$2-1),",","."))</f>
        <v>0</v>
      </c>
      <c r="AB1352" s="3">
        <f>VALUE(SUBSTITUTE(MID($A1352,I1352+I$2+1,J1352-I1352-I$2-1),",","."))</f>
        <v>0</v>
      </c>
      <c r="AC1352" s="3">
        <f>VALUE(SUBSTITUTE(MID($A1352,J1352+J$2+1,K1352-J1352-J$2-1),",","."))</f>
        <v>2.15</v>
      </c>
      <c r="AD1352" s="3">
        <f>VALUE(SUBSTITUTE(MID($A1352,K1352+K$2+1,L1352-K1352-K$2-1),",","."))</f>
        <v>16.38</v>
      </c>
      <c r="AE1352" s="3">
        <f>VALUE(SUBSTITUTE(MID($A1352,L1352+L$2+1,M1352-L1352-L$2-1),",","."))</f>
        <v>0</v>
      </c>
      <c r="AF1352" s="3">
        <f>VALUE(SUBSTITUTE(MID($A1352,M1352+M$2+1,N1352-M1352-M$2-1),",","."))</f>
        <v>0</v>
      </c>
      <c r="AG1352" s="3">
        <f>VALUE(SUBSTITUTE(MID($A1352,N1352+N$2+1,O1352-N1352-N$2-1),",","."))</f>
        <v>4.2419340737004996</v>
      </c>
      <c r="AH1352" t="str">
        <f>MID($A1352,O1352+O$2+1,P1352-O1352-O$2-1)</f>
        <v/>
      </c>
      <c r="AI1352" s="8" t="str">
        <f>MID($A1352,P1352+P$2+1,Q1352-P1352-P$2-1)</f>
        <v>False</v>
      </c>
      <c r="AK1352" t="b">
        <f t="shared" si="182"/>
        <v>0</v>
      </c>
    </row>
    <row r="1353" spans="1:37" x14ac:dyDescent="0.35">
      <c r="A1353" t="s">
        <v>5900</v>
      </c>
      <c r="B1353">
        <f t="shared" si="178"/>
        <v>10</v>
      </c>
      <c r="C1353">
        <f t="shared" si="178"/>
        <v>43</v>
      </c>
      <c r="D1353">
        <f t="shared" si="178"/>
        <v>54</v>
      </c>
      <c r="E1353">
        <f t="shared" si="178"/>
        <v>80</v>
      </c>
      <c r="F1353">
        <f t="shared" si="178"/>
        <v>124</v>
      </c>
      <c r="G1353">
        <f t="shared" si="178"/>
        <v>145</v>
      </c>
      <c r="H1353">
        <f t="shared" si="178"/>
        <v>177</v>
      </c>
      <c r="I1353">
        <f t="shared" si="178"/>
        <v>199</v>
      </c>
      <c r="J1353">
        <f t="shared" si="177"/>
        <v>232</v>
      </c>
      <c r="K1353">
        <f t="shared" si="177"/>
        <v>252</v>
      </c>
      <c r="L1353">
        <f t="shared" si="177"/>
        <v>284</v>
      </c>
      <c r="M1353">
        <f t="shared" si="177"/>
        <v>299</v>
      </c>
      <c r="N1353">
        <f t="shared" si="177"/>
        <v>311</v>
      </c>
      <c r="O1353">
        <f t="shared" si="175"/>
        <v>336</v>
      </c>
      <c r="P1353">
        <f t="shared" si="175"/>
        <v>354</v>
      </c>
      <c r="Q1353">
        <f t="shared" si="175"/>
        <v>380</v>
      </c>
      <c r="S1353" t="str">
        <f t="shared" si="179"/>
        <v>10.12.2025</v>
      </c>
      <c r="T1353" t="str">
        <f t="shared" si="180"/>
        <v>20:45:00</v>
      </c>
      <c r="U1353" t="str">
        <f t="shared" si="181"/>
        <v>10.12.2025 20:45:00</v>
      </c>
      <c r="V1353" s="9" t="str">
        <f>MID($A1353,C1353+C$2+1,D1353-C1353-C$2-1)</f>
        <v>0</v>
      </c>
      <c r="W1353" s="4">
        <f>VALUE(SUBSTITUTE(MID($A1353,D1353+D$2+1,E1353-D1353-D$2-1),",","."))</f>
        <v>0</v>
      </c>
      <c r="X1353" s="4">
        <f>VALUE(SUBSTITUTE(MID($A1353,E1353+E$2+1,F1353-E1353-E$2-1),",","."))</f>
        <v>0.90957602214449496</v>
      </c>
      <c r="Y1353" s="4">
        <f>VALUE(SUBSTITUTE(MID($A1353,F1353+F$2+1,G1353-F1353-F$2-1),",","."))</f>
        <v>0</v>
      </c>
      <c r="Z1353" s="3">
        <f>VALUE(SUBSTITUTE(MID($A1353,G1353+G$2+1,H1353-G1353-G$2-1),",","."))</f>
        <v>0</v>
      </c>
      <c r="AA1353" s="3">
        <f>VALUE(SUBSTITUTE(MID($A1353,H1353+H$2+1,I1353-H1353-H$2-1),",","."))</f>
        <v>0</v>
      </c>
      <c r="AB1353" s="3">
        <f>VALUE(SUBSTITUTE(MID($A1353,I1353+I$2+1,J1353-I1353-I$2-1),",","."))</f>
        <v>0</v>
      </c>
      <c r="AC1353" s="3">
        <f>VALUE(SUBSTITUTE(MID($A1353,J1353+J$2+1,K1353-J1353-J$2-1),",","."))</f>
        <v>2.15</v>
      </c>
      <c r="AD1353" s="3">
        <f>VALUE(SUBSTITUTE(MID($A1353,K1353+K$2+1,L1353-K1353-K$2-1),",","."))</f>
        <v>16.38</v>
      </c>
      <c r="AE1353" s="3">
        <f>VALUE(SUBSTITUTE(MID($A1353,L1353+L$2+1,M1353-L1353-L$2-1),",","."))</f>
        <v>0</v>
      </c>
      <c r="AF1353" s="3">
        <f>VALUE(SUBSTITUTE(MID($A1353,M1353+M$2+1,N1353-M1353-M$2-1),",","."))</f>
        <v>0</v>
      </c>
      <c r="AG1353" s="3">
        <f>VALUE(SUBSTITUTE(MID($A1353,N1353+N$2+1,O1353-N1353-N$2-1),",","."))</f>
        <v>4.2419625935885801</v>
      </c>
      <c r="AH1353" t="str">
        <f>MID($A1353,O1353+O$2+1,P1353-O1353-O$2-1)</f>
        <v/>
      </c>
      <c r="AI1353" s="8" t="str">
        <f>MID($A1353,P1353+P$2+1,Q1353-P1353-P$2-1)</f>
        <v>False</v>
      </c>
      <c r="AK1353" t="b">
        <f t="shared" si="182"/>
        <v>0</v>
      </c>
    </row>
    <row r="1354" spans="1:37" x14ac:dyDescent="0.35">
      <c r="A1354" t="s">
        <v>5901</v>
      </c>
      <c r="B1354">
        <f t="shared" si="178"/>
        <v>10</v>
      </c>
      <c r="C1354">
        <f t="shared" si="178"/>
        <v>43</v>
      </c>
      <c r="D1354">
        <f t="shared" si="178"/>
        <v>54</v>
      </c>
      <c r="E1354">
        <f t="shared" si="178"/>
        <v>80</v>
      </c>
      <c r="F1354">
        <f t="shared" si="178"/>
        <v>124</v>
      </c>
      <c r="G1354">
        <f t="shared" si="178"/>
        <v>145</v>
      </c>
      <c r="H1354">
        <f t="shared" si="178"/>
        <v>177</v>
      </c>
      <c r="I1354">
        <f t="shared" si="178"/>
        <v>199</v>
      </c>
      <c r="J1354">
        <f t="shared" si="177"/>
        <v>232</v>
      </c>
      <c r="K1354">
        <f t="shared" si="177"/>
        <v>252</v>
      </c>
      <c r="L1354">
        <f t="shared" si="177"/>
        <v>284</v>
      </c>
      <c r="M1354">
        <f t="shared" si="177"/>
        <v>299</v>
      </c>
      <c r="N1354">
        <f t="shared" si="177"/>
        <v>311</v>
      </c>
      <c r="O1354">
        <f t="shared" si="175"/>
        <v>336</v>
      </c>
      <c r="P1354">
        <f t="shared" si="175"/>
        <v>354</v>
      </c>
      <c r="Q1354">
        <f t="shared" si="175"/>
        <v>380</v>
      </c>
      <c r="S1354" t="str">
        <f t="shared" si="179"/>
        <v>10.12.2025</v>
      </c>
      <c r="T1354" t="str">
        <f t="shared" si="180"/>
        <v>21:00:00</v>
      </c>
      <c r="U1354" t="str">
        <f t="shared" si="181"/>
        <v>10.12.2025 21:00:00</v>
      </c>
      <c r="V1354" s="9" t="str">
        <f>MID($A1354,C1354+C$2+1,D1354-C1354-C$2-1)</f>
        <v>0</v>
      </c>
      <c r="W1354" s="4">
        <f>VALUE(SUBSTITUTE(MID($A1354,D1354+D$2+1,E1354-D1354-D$2-1),",","."))</f>
        <v>0</v>
      </c>
      <c r="X1354" s="4">
        <f>VALUE(SUBSTITUTE(MID($A1354,E1354+E$2+1,F1354-E1354-E$2-1),",","."))</f>
        <v>0.90957602214449496</v>
      </c>
      <c r="Y1354" s="4">
        <f>VALUE(SUBSTITUTE(MID($A1354,F1354+F$2+1,G1354-F1354-F$2-1),",","."))</f>
        <v>0</v>
      </c>
      <c r="Z1354" s="3">
        <f>VALUE(SUBSTITUTE(MID($A1354,G1354+G$2+1,H1354-G1354-G$2-1),",","."))</f>
        <v>0</v>
      </c>
      <c r="AA1354" s="3">
        <f>VALUE(SUBSTITUTE(MID($A1354,H1354+H$2+1,I1354-H1354-H$2-1),",","."))</f>
        <v>0</v>
      </c>
      <c r="AB1354" s="3">
        <f>VALUE(SUBSTITUTE(MID($A1354,I1354+I$2+1,J1354-I1354-I$2-1),",","."))</f>
        <v>0</v>
      </c>
      <c r="AC1354" s="3">
        <f>VALUE(SUBSTITUTE(MID($A1354,J1354+J$2+1,K1354-J1354-J$2-1),",","."))</f>
        <v>2.15</v>
      </c>
      <c r="AD1354" s="3">
        <f>VALUE(SUBSTITUTE(MID($A1354,K1354+K$2+1,L1354-K1354-K$2-1),",","."))</f>
        <v>16.38</v>
      </c>
      <c r="AE1354" s="3">
        <f>VALUE(SUBSTITUTE(MID($A1354,L1354+L$2+1,M1354-L1354-L$2-1),",","."))</f>
        <v>0</v>
      </c>
      <c r="AF1354" s="3">
        <f>VALUE(SUBSTITUTE(MID($A1354,M1354+M$2+1,N1354-M1354-M$2-1),",","."))</f>
        <v>0</v>
      </c>
      <c r="AG1354" s="3">
        <f>VALUE(SUBSTITUTE(MID($A1354,N1354+N$2+1,O1354-N1354-N$2-1),",","."))</f>
        <v>4.2419911134766597</v>
      </c>
      <c r="AH1354" t="str">
        <f>MID($A1354,O1354+O$2+1,P1354-O1354-O$2-1)</f>
        <v/>
      </c>
      <c r="AI1354" s="8" t="str">
        <f>MID($A1354,P1354+P$2+1,Q1354-P1354-P$2-1)</f>
        <v>False</v>
      </c>
      <c r="AK1354" t="b">
        <f t="shared" si="182"/>
        <v>0</v>
      </c>
    </row>
    <row r="1355" spans="1:37" x14ac:dyDescent="0.35">
      <c r="A1355" t="s">
        <v>5902</v>
      </c>
      <c r="B1355">
        <f t="shared" si="178"/>
        <v>10</v>
      </c>
      <c r="C1355">
        <f t="shared" si="178"/>
        <v>43</v>
      </c>
      <c r="D1355">
        <f t="shared" si="178"/>
        <v>54</v>
      </c>
      <c r="E1355">
        <f t="shared" si="178"/>
        <v>80</v>
      </c>
      <c r="F1355">
        <f t="shared" si="178"/>
        <v>124</v>
      </c>
      <c r="G1355">
        <f t="shared" si="178"/>
        <v>145</v>
      </c>
      <c r="H1355">
        <f t="shared" si="178"/>
        <v>177</v>
      </c>
      <c r="I1355">
        <f t="shared" si="178"/>
        <v>199</v>
      </c>
      <c r="J1355">
        <f t="shared" si="177"/>
        <v>232</v>
      </c>
      <c r="K1355">
        <f t="shared" si="177"/>
        <v>252</v>
      </c>
      <c r="L1355">
        <f t="shared" si="177"/>
        <v>284</v>
      </c>
      <c r="M1355">
        <f t="shared" si="177"/>
        <v>299</v>
      </c>
      <c r="N1355">
        <f t="shared" si="177"/>
        <v>311</v>
      </c>
      <c r="O1355">
        <f t="shared" si="177"/>
        <v>337</v>
      </c>
      <c r="P1355">
        <f t="shared" si="177"/>
        <v>355</v>
      </c>
      <c r="Q1355">
        <f t="shared" si="177"/>
        <v>381</v>
      </c>
      <c r="S1355" t="str">
        <f t="shared" si="179"/>
        <v>10.12.2025</v>
      </c>
      <c r="T1355" t="str">
        <f t="shared" si="180"/>
        <v>21:15:00</v>
      </c>
      <c r="U1355" t="str">
        <f t="shared" si="181"/>
        <v>10.12.2025 21:15:00</v>
      </c>
      <c r="V1355" s="9" t="str">
        <f>MID($A1355,C1355+C$2+1,D1355-C1355-C$2-1)</f>
        <v>0</v>
      </c>
      <c r="W1355" s="4">
        <f>VALUE(SUBSTITUTE(MID($A1355,D1355+D$2+1,E1355-D1355-D$2-1),",","."))</f>
        <v>0</v>
      </c>
      <c r="X1355" s="4">
        <f>VALUE(SUBSTITUTE(MID($A1355,E1355+E$2+1,F1355-E1355-E$2-1),",","."))</f>
        <v>0.90957602214449496</v>
      </c>
      <c r="Y1355" s="4">
        <f>VALUE(SUBSTITUTE(MID($A1355,F1355+F$2+1,G1355-F1355-F$2-1),",","."))</f>
        <v>0</v>
      </c>
      <c r="Z1355" s="3">
        <f>VALUE(SUBSTITUTE(MID($A1355,G1355+G$2+1,H1355-G1355-G$2-1),",","."))</f>
        <v>0</v>
      </c>
      <c r="AA1355" s="3">
        <f>VALUE(SUBSTITUTE(MID($A1355,H1355+H$2+1,I1355-H1355-H$2-1),",","."))</f>
        <v>0</v>
      </c>
      <c r="AB1355" s="3">
        <f>VALUE(SUBSTITUTE(MID($A1355,I1355+I$2+1,J1355-I1355-I$2-1),",","."))</f>
        <v>0</v>
      </c>
      <c r="AC1355" s="3">
        <f>VALUE(SUBSTITUTE(MID($A1355,J1355+J$2+1,K1355-J1355-J$2-1),",","."))</f>
        <v>2.15</v>
      </c>
      <c r="AD1355" s="3">
        <f>VALUE(SUBSTITUTE(MID($A1355,K1355+K$2+1,L1355-K1355-K$2-1),",","."))</f>
        <v>16.38</v>
      </c>
      <c r="AE1355" s="3">
        <f>VALUE(SUBSTITUTE(MID($A1355,L1355+L$2+1,M1355-L1355-L$2-1),",","."))</f>
        <v>0</v>
      </c>
      <c r="AF1355" s="3">
        <f>VALUE(SUBSTITUTE(MID($A1355,M1355+M$2+1,N1355-M1355-M$2-1),",","."))</f>
        <v>0</v>
      </c>
      <c r="AG1355" s="3">
        <f>VALUE(SUBSTITUTE(MID($A1355,N1355+N$2+1,O1355-N1355-N$2-1),",","."))</f>
        <v>4.2420196333647402</v>
      </c>
      <c r="AH1355" t="str">
        <f>MID($A1355,O1355+O$2+1,P1355-O1355-O$2-1)</f>
        <v/>
      </c>
      <c r="AI1355" s="8" t="str">
        <f>MID($A1355,P1355+P$2+1,Q1355-P1355-P$2-1)</f>
        <v>False</v>
      </c>
      <c r="AK1355" t="b">
        <f t="shared" si="182"/>
        <v>0</v>
      </c>
    </row>
    <row r="1356" spans="1:37" x14ac:dyDescent="0.35">
      <c r="A1356" t="s">
        <v>5903</v>
      </c>
      <c r="B1356">
        <f t="shared" si="178"/>
        <v>10</v>
      </c>
      <c r="C1356">
        <f t="shared" si="178"/>
        <v>43</v>
      </c>
      <c r="D1356">
        <f t="shared" si="178"/>
        <v>54</v>
      </c>
      <c r="E1356">
        <f t="shared" si="178"/>
        <v>80</v>
      </c>
      <c r="F1356">
        <f t="shared" si="178"/>
        <v>124</v>
      </c>
      <c r="G1356">
        <f t="shared" si="178"/>
        <v>145</v>
      </c>
      <c r="H1356">
        <f t="shared" si="178"/>
        <v>177</v>
      </c>
      <c r="I1356">
        <f t="shared" si="178"/>
        <v>199</v>
      </c>
      <c r="J1356">
        <f t="shared" si="177"/>
        <v>232</v>
      </c>
      <c r="K1356">
        <f t="shared" si="177"/>
        <v>251</v>
      </c>
      <c r="L1356">
        <f t="shared" si="177"/>
        <v>283</v>
      </c>
      <c r="M1356">
        <f t="shared" si="177"/>
        <v>298</v>
      </c>
      <c r="N1356">
        <f t="shared" si="177"/>
        <v>310</v>
      </c>
      <c r="O1356">
        <f t="shared" si="177"/>
        <v>335</v>
      </c>
      <c r="P1356">
        <f t="shared" si="177"/>
        <v>353</v>
      </c>
      <c r="Q1356">
        <f t="shared" si="177"/>
        <v>379</v>
      </c>
      <c r="S1356" t="str">
        <f t="shared" si="179"/>
        <v>10.12.2025</v>
      </c>
      <c r="T1356" t="str">
        <f t="shared" si="180"/>
        <v>21:30:00</v>
      </c>
      <c r="U1356" t="str">
        <f t="shared" si="181"/>
        <v>10.12.2025 21:30:00</v>
      </c>
      <c r="V1356" s="9" t="str">
        <f>MID($A1356,C1356+C$2+1,D1356-C1356-C$2-1)</f>
        <v>0</v>
      </c>
      <c r="W1356" s="4">
        <f>VALUE(SUBSTITUTE(MID($A1356,D1356+D$2+1,E1356-D1356-D$2-1),",","."))</f>
        <v>0</v>
      </c>
      <c r="X1356" s="4">
        <f>VALUE(SUBSTITUTE(MID($A1356,E1356+E$2+1,F1356-E1356-E$2-1),",","."))</f>
        <v>0.90957602214449496</v>
      </c>
      <c r="Y1356" s="4">
        <f>VALUE(SUBSTITUTE(MID($A1356,F1356+F$2+1,G1356-F1356-F$2-1),",","."))</f>
        <v>0</v>
      </c>
      <c r="Z1356" s="3">
        <f>VALUE(SUBSTITUTE(MID($A1356,G1356+G$2+1,H1356-G1356-G$2-1),",","."))</f>
        <v>0</v>
      </c>
      <c r="AA1356" s="3">
        <f>VALUE(SUBSTITUTE(MID($A1356,H1356+H$2+1,I1356-H1356-H$2-1),",","."))</f>
        <v>0</v>
      </c>
      <c r="AB1356" s="3">
        <f>VALUE(SUBSTITUTE(MID($A1356,I1356+I$2+1,J1356-I1356-I$2-1),",","."))</f>
        <v>0</v>
      </c>
      <c r="AC1356" s="3">
        <f>VALUE(SUBSTITUTE(MID($A1356,J1356+J$2+1,K1356-J1356-J$2-1),",","."))</f>
        <v>2.2999999999999998</v>
      </c>
      <c r="AD1356" s="3">
        <f>VALUE(SUBSTITUTE(MID($A1356,K1356+K$2+1,L1356-K1356-K$2-1),",","."))</f>
        <v>25.56</v>
      </c>
      <c r="AE1356" s="3">
        <f>VALUE(SUBSTITUTE(MID($A1356,L1356+L$2+1,M1356-L1356-L$2-1),",","."))</f>
        <v>0</v>
      </c>
      <c r="AF1356" s="3">
        <f>VALUE(SUBSTITUTE(MID($A1356,M1356+M$2+1,N1356-M1356-M$2-1),",","."))</f>
        <v>0</v>
      </c>
      <c r="AG1356" s="3">
        <f>VALUE(SUBSTITUTE(MID($A1356,N1356+N$2+1,O1356-N1356-N$2-1),",","."))</f>
        <v>4.2420481532528198</v>
      </c>
      <c r="AH1356" t="str">
        <f>MID($A1356,O1356+O$2+1,P1356-O1356-O$2-1)</f>
        <v/>
      </c>
      <c r="AI1356" s="8" t="str">
        <f>MID($A1356,P1356+P$2+1,Q1356-P1356-P$2-1)</f>
        <v>False</v>
      </c>
      <c r="AK1356" t="b">
        <f t="shared" si="182"/>
        <v>0</v>
      </c>
    </row>
    <row r="1357" spans="1:37" x14ac:dyDescent="0.35">
      <c r="A1357" t="s">
        <v>5904</v>
      </c>
      <c r="B1357">
        <f t="shared" si="178"/>
        <v>10</v>
      </c>
      <c r="C1357">
        <f t="shared" si="178"/>
        <v>43</v>
      </c>
      <c r="D1357">
        <f t="shared" si="178"/>
        <v>54</v>
      </c>
      <c r="E1357">
        <f t="shared" si="178"/>
        <v>80</v>
      </c>
      <c r="F1357">
        <f t="shared" si="178"/>
        <v>124</v>
      </c>
      <c r="G1357">
        <f t="shared" si="178"/>
        <v>145</v>
      </c>
      <c r="H1357">
        <f t="shared" si="178"/>
        <v>177</v>
      </c>
      <c r="I1357">
        <f t="shared" si="178"/>
        <v>199</v>
      </c>
      <c r="J1357">
        <f t="shared" si="177"/>
        <v>232</v>
      </c>
      <c r="K1357">
        <f t="shared" si="177"/>
        <v>251</v>
      </c>
      <c r="L1357">
        <f t="shared" si="177"/>
        <v>283</v>
      </c>
      <c r="M1357">
        <f t="shared" si="177"/>
        <v>298</v>
      </c>
      <c r="N1357">
        <f t="shared" si="177"/>
        <v>310</v>
      </c>
      <c r="O1357">
        <f t="shared" si="177"/>
        <v>335</v>
      </c>
      <c r="P1357">
        <f t="shared" si="177"/>
        <v>353</v>
      </c>
      <c r="Q1357">
        <f t="shared" si="177"/>
        <v>379</v>
      </c>
      <c r="S1357" t="str">
        <f t="shared" si="179"/>
        <v>10.12.2025</v>
      </c>
      <c r="T1357" t="str">
        <f t="shared" si="180"/>
        <v>21:45:00</v>
      </c>
      <c r="U1357" t="str">
        <f t="shared" si="181"/>
        <v>10.12.2025 21:45:00</v>
      </c>
      <c r="V1357" s="9" t="str">
        <f>MID($A1357,C1357+C$2+1,D1357-C1357-C$2-1)</f>
        <v>0</v>
      </c>
      <c r="W1357" s="4">
        <f>VALUE(SUBSTITUTE(MID($A1357,D1357+D$2+1,E1357-D1357-D$2-1),",","."))</f>
        <v>0</v>
      </c>
      <c r="X1357" s="4">
        <f>VALUE(SUBSTITUTE(MID($A1357,E1357+E$2+1,F1357-E1357-E$2-1),",","."))</f>
        <v>0.90957602214449496</v>
      </c>
      <c r="Y1357" s="4">
        <f>VALUE(SUBSTITUTE(MID($A1357,F1357+F$2+1,G1357-F1357-F$2-1),",","."))</f>
        <v>0</v>
      </c>
      <c r="Z1357" s="3">
        <f>VALUE(SUBSTITUTE(MID($A1357,G1357+G$2+1,H1357-G1357-G$2-1),",","."))</f>
        <v>0</v>
      </c>
      <c r="AA1357" s="3">
        <f>VALUE(SUBSTITUTE(MID($A1357,H1357+H$2+1,I1357-H1357-H$2-1),",","."))</f>
        <v>0</v>
      </c>
      <c r="AB1357" s="3">
        <f>VALUE(SUBSTITUTE(MID($A1357,I1357+I$2+1,J1357-I1357-I$2-1),",","."))</f>
        <v>0</v>
      </c>
      <c r="AC1357" s="3">
        <f>VALUE(SUBSTITUTE(MID($A1357,J1357+J$2+1,K1357-J1357-J$2-1),",","."))</f>
        <v>2.2999999999999998</v>
      </c>
      <c r="AD1357" s="3">
        <f>VALUE(SUBSTITUTE(MID($A1357,K1357+K$2+1,L1357-K1357-K$2-1),",","."))</f>
        <v>25.56</v>
      </c>
      <c r="AE1357" s="3">
        <f>VALUE(SUBSTITUTE(MID($A1357,L1357+L$2+1,M1357-L1357-L$2-1),",","."))</f>
        <v>0</v>
      </c>
      <c r="AF1357" s="3">
        <f>VALUE(SUBSTITUTE(MID($A1357,M1357+M$2+1,N1357-M1357-M$2-1),",","."))</f>
        <v>0</v>
      </c>
      <c r="AG1357" s="3">
        <f>VALUE(SUBSTITUTE(MID($A1357,N1357+N$2+1,O1357-N1357-N$2-1),",","."))</f>
        <v>4.2420766731409003</v>
      </c>
      <c r="AH1357" t="str">
        <f>MID($A1357,O1357+O$2+1,P1357-O1357-O$2-1)</f>
        <v/>
      </c>
      <c r="AI1357" s="8" t="str">
        <f>MID($A1357,P1357+P$2+1,Q1357-P1357-P$2-1)</f>
        <v>False</v>
      </c>
      <c r="AK1357" t="b">
        <f t="shared" si="182"/>
        <v>0</v>
      </c>
    </row>
    <row r="1358" spans="1:37" x14ac:dyDescent="0.35">
      <c r="A1358" t="s">
        <v>5905</v>
      </c>
      <c r="B1358">
        <f t="shared" si="178"/>
        <v>10</v>
      </c>
      <c r="C1358">
        <f t="shared" si="178"/>
        <v>43</v>
      </c>
      <c r="D1358">
        <f t="shared" si="178"/>
        <v>54</v>
      </c>
      <c r="E1358">
        <f t="shared" si="178"/>
        <v>80</v>
      </c>
      <c r="F1358">
        <f t="shared" si="178"/>
        <v>124</v>
      </c>
      <c r="G1358">
        <f t="shared" si="178"/>
        <v>145</v>
      </c>
      <c r="H1358">
        <f t="shared" si="178"/>
        <v>177</v>
      </c>
      <c r="I1358">
        <f t="shared" ref="I1358:O1389" si="183">FIND(I$1,$A1358)</f>
        <v>199</v>
      </c>
      <c r="J1358">
        <f t="shared" si="177"/>
        <v>232</v>
      </c>
      <c r="K1358">
        <f t="shared" si="177"/>
        <v>251</v>
      </c>
      <c r="L1358">
        <f t="shared" si="177"/>
        <v>283</v>
      </c>
      <c r="M1358">
        <f t="shared" si="177"/>
        <v>298</v>
      </c>
      <c r="N1358">
        <f t="shared" si="177"/>
        <v>310</v>
      </c>
      <c r="O1358">
        <f t="shared" si="177"/>
        <v>335</v>
      </c>
      <c r="P1358">
        <f t="shared" si="177"/>
        <v>353</v>
      </c>
      <c r="Q1358">
        <f t="shared" si="177"/>
        <v>379</v>
      </c>
      <c r="S1358" t="str">
        <f t="shared" si="179"/>
        <v>10.12.2025</v>
      </c>
      <c r="T1358" t="str">
        <f t="shared" si="180"/>
        <v>22:00:00</v>
      </c>
      <c r="U1358" t="str">
        <f t="shared" si="181"/>
        <v>10.12.2025 22:00:00</v>
      </c>
      <c r="V1358" s="9" t="str">
        <f>MID($A1358,C1358+C$2+1,D1358-C1358-C$2-1)</f>
        <v>0</v>
      </c>
      <c r="W1358" s="4">
        <f>VALUE(SUBSTITUTE(MID($A1358,D1358+D$2+1,E1358-D1358-D$2-1),",","."))</f>
        <v>0</v>
      </c>
      <c r="X1358" s="4">
        <f>VALUE(SUBSTITUTE(MID($A1358,E1358+E$2+1,F1358-E1358-E$2-1),",","."))</f>
        <v>0.90957602214449496</v>
      </c>
      <c r="Y1358" s="4">
        <f>VALUE(SUBSTITUTE(MID($A1358,F1358+F$2+1,G1358-F1358-F$2-1),",","."))</f>
        <v>0</v>
      </c>
      <c r="Z1358" s="3">
        <f>VALUE(SUBSTITUTE(MID($A1358,G1358+G$2+1,H1358-G1358-G$2-1),",","."))</f>
        <v>0</v>
      </c>
      <c r="AA1358" s="3">
        <f>VALUE(SUBSTITUTE(MID($A1358,H1358+H$2+1,I1358-H1358-H$2-1),",","."))</f>
        <v>0</v>
      </c>
      <c r="AB1358" s="3">
        <f>VALUE(SUBSTITUTE(MID($A1358,I1358+I$2+1,J1358-I1358-I$2-1),",","."))</f>
        <v>0</v>
      </c>
      <c r="AC1358" s="3">
        <f>VALUE(SUBSTITUTE(MID($A1358,J1358+J$2+1,K1358-J1358-J$2-1),",","."))</f>
        <v>2.2999999999999998</v>
      </c>
      <c r="AD1358" s="3">
        <f>VALUE(SUBSTITUTE(MID($A1358,K1358+K$2+1,L1358-K1358-K$2-1),",","."))</f>
        <v>25.56</v>
      </c>
      <c r="AE1358" s="3">
        <f>VALUE(SUBSTITUTE(MID($A1358,L1358+L$2+1,M1358-L1358-L$2-1),",","."))</f>
        <v>0</v>
      </c>
      <c r="AF1358" s="3">
        <f>VALUE(SUBSTITUTE(MID($A1358,M1358+M$2+1,N1358-M1358-M$2-1),",","."))</f>
        <v>0</v>
      </c>
      <c r="AG1358" s="3">
        <f>VALUE(SUBSTITUTE(MID($A1358,N1358+N$2+1,O1358-N1358-N$2-1),",","."))</f>
        <v>4.2421051930289897</v>
      </c>
      <c r="AH1358" t="str">
        <f>MID($A1358,O1358+O$2+1,P1358-O1358-O$2-1)</f>
        <v/>
      </c>
      <c r="AI1358" s="8" t="str">
        <f>MID($A1358,P1358+P$2+1,Q1358-P1358-P$2-1)</f>
        <v>False</v>
      </c>
      <c r="AK1358" t="b">
        <f t="shared" si="182"/>
        <v>0</v>
      </c>
    </row>
    <row r="1359" spans="1:37" x14ac:dyDescent="0.35">
      <c r="A1359" t="s">
        <v>5906</v>
      </c>
      <c r="B1359">
        <f t="shared" ref="B1359:O1390" si="184">FIND(B$1,$A1359)</f>
        <v>10</v>
      </c>
      <c r="C1359">
        <f t="shared" si="184"/>
        <v>43</v>
      </c>
      <c r="D1359">
        <f t="shared" si="184"/>
        <v>54</v>
      </c>
      <c r="E1359">
        <f t="shared" si="184"/>
        <v>80</v>
      </c>
      <c r="F1359">
        <f t="shared" si="184"/>
        <v>124</v>
      </c>
      <c r="G1359">
        <f t="shared" si="184"/>
        <v>145</v>
      </c>
      <c r="H1359">
        <f t="shared" si="184"/>
        <v>177</v>
      </c>
      <c r="I1359">
        <f t="shared" si="183"/>
        <v>199</v>
      </c>
      <c r="J1359">
        <f t="shared" si="177"/>
        <v>232</v>
      </c>
      <c r="K1359">
        <f t="shared" si="177"/>
        <v>251</v>
      </c>
      <c r="L1359">
        <f t="shared" si="177"/>
        <v>283</v>
      </c>
      <c r="M1359">
        <f t="shared" si="177"/>
        <v>298</v>
      </c>
      <c r="N1359">
        <f t="shared" si="177"/>
        <v>310</v>
      </c>
      <c r="O1359">
        <f t="shared" si="177"/>
        <v>335</v>
      </c>
      <c r="P1359">
        <f t="shared" si="177"/>
        <v>353</v>
      </c>
      <c r="Q1359">
        <f t="shared" si="177"/>
        <v>379</v>
      </c>
      <c r="S1359" t="str">
        <f t="shared" si="179"/>
        <v>10.12.2025</v>
      </c>
      <c r="T1359" t="str">
        <f t="shared" si="180"/>
        <v>22:15:00</v>
      </c>
      <c r="U1359" t="str">
        <f t="shared" si="181"/>
        <v>10.12.2025 22:15:00</v>
      </c>
      <c r="V1359" s="9" t="str">
        <f>MID($A1359,C1359+C$2+1,D1359-C1359-C$2-1)</f>
        <v>0</v>
      </c>
      <c r="W1359" s="4">
        <f>VALUE(SUBSTITUTE(MID($A1359,D1359+D$2+1,E1359-D1359-D$2-1),",","."))</f>
        <v>0</v>
      </c>
      <c r="X1359" s="4">
        <f>VALUE(SUBSTITUTE(MID($A1359,E1359+E$2+1,F1359-E1359-E$2-1),",","."))</f>
        <v>0.90957602214449496</v>
      </c>
      <c r="Y1359" s="4">
        <f>VALUE(SUBSTITUTE(MID($A1359,F1359+F$2+1,G1359-F1359-F$2-1),",","."))</f>
        <v>0</v>
      </c>
      <c r="Z1359" s="3">
        <f>VALUE(SUBSTITUTE(MID($A1359,G1359+G$2+1,H1359-G1359-G$2-1),",","."))</f>
        <v>0</v>
      </c>
      <c r="AA1359" s="3">
        <f>VALUE(SUBSTITUTE(MID($A1359,H1359+H$2+1,I1359-H1359-H$2-1),",","."))</f>
        <v>0</v>
      </c>
      <c r="AB1359" s="3">
        <f>VALUE(SUBSTITUTE(MID($A1359,I1359+I$2+1,J1359-I1359-I$2-1),",","."))</f>
        <v>0</v>
      </c>
      <c r="AC1359" s="3">
        <f>VALUE(SUBSTITUTE(MID($A1359,J1359+J$2+1,K1359-J1359-J$2-1),",","."))</f>
        <v>2.2999999999999998</v>
      </c>
      <c r="AD1359" s="3">
        <f>VALUE(SUBSTITUTE(MID($A1359,K1359+K$2+1,L1359-K1359-K$2-1),",","."))</f>
        <v>25.56</v>
      </c>
      <c r="AE1359" s="3">
        <f>VALUE(SUBSTITUTE(MID($A1359,L1359+L$2+1,M1359-L1359-L$2-1),",","."))</f>
        <v>0</v>
      </c>
      <c r="AF1359" s="3">
        <f>VALUE(SUBSTITUTE(MID($A1359,M1359+M$2+1,N1359-M1359-M$2-1),",","."))</f>
        <v>0</v>
      </c>
      <c r="AG1359" s="3">
        <f>VALUE(SUBSTITUTE(MID($A1359,N1359+N$2+1,O1359-N1359-N$2-1),",","."))</f>
        <v>4.2421337129170702</v>
      </c>
      <c r="AH1359" t="str">
        <f>MID($A1359,O1359+O$2+1,P1359-O1359-O$2-1)</f>
        <v/>
      </c>
      <c r="AI1359" s="8" t="str">
        <f>MID($A1359,P1359+P$2+1,Q1359-P1359-P$2-1)</f>
        <v>False</v>
      </c>
      <c r="AK1359" t="b">
        <f t="shared" si="182"/>
        <v>0</v>
      </c>
    </row>
    <row r="1360" spans="1:37" x14ac:dyDescent="0.35">
      <c r="A1360" t="s">
        <v>5907</v>
      </c>
      <c r="B1360">
        <f t="shared" si="184"/>
        <v>10</v>
      </c>
      <c r="C1360">
        <f t="shared" si="184"/>
        <v>43</v>
      </c>
      <c r="D1360">
        <f t="shared" si="184"/>
        <v>54</v>
      </c>
      <c r="E1360">
        <f t="shared" si="184"/>
        <v>80</v>
      </c>
      <c r="F1360">
        <f t="shared" si="184"/>
        <v>124</v>
      </c>
      <c r="G1360">
        <f t="shared" si="184"/>
        <v>145</v>
      </c>
      <c r="H1360">
        <f t="shared" si="184"/>
        <v>177</v>
      </c>
      <c r="I1360">
        <f t="shared" si="183"/>
        <v>199</v>
      </c>
      <c r="J1360">
        <f t="shared" si="177"/>
        <v>232</v>
      </c>
      <c r="K1360">
        <f t="shared" si="177"/>
        <v>252</v>
      </c>
      <c r="L1360">
        <f t="shared" si="177"/>
        <v>271</v>
      </c>
      <c r="M1360">
        <f t="shared" si="177"/>
        <v>286</v>
      </c>
      <c r="N1360">
        <f t="shared" si="177"/>
        <v>298</v>
      </c>
      <c r="O1360">
        <f t="shared" si="177"/>
        <v>323</v>
      </c>
      <c r="P1360">
        <f t="shared" si="177"/>
        <v>341</v>
      </c>
      <c r="Q1360">
        <f t="shared" si="177"/>
        <v>367</v>
      </c>
      <c r="S1360" t="str">
        <f t="shared" si="179"/>
        <v>10.12.2025</v>
      </c>
      <c r="T1360" t="str">
        <f t="shared" si="180"/>
        <v>22:30:00</v>
      </c>
      <c r="U1360" t="str">
        <f t="shared" si="181"/>
        <v>10.12.2025 22:30:00</v>
      </c>
      <c r="V1360" s="9" t="str">
        <f>MID($A1360,C1360+C$2+1,D1360-C1360-C$2-1)</f>
        <v>0</v>
      </c>
      <c r="W1360" s="4">
        <f>VALUE(SUBSTITUTE(MID($A1360,D1360+D$2+1,E1360-D1360-D$2-1),",","."))</f>
        <v>0</v>
      </c>
      <c r="X1360" s="4">
        <f>VALUE(SUBSTITUTE(MID($A1360,E1360+E$2+1,F1360-E1360-E$2-1),",","."))</f>
        <v>0.90957602214449496</v>
      </c>
      <c r="Y1360" s="4">
        <f>VALUE(SUBSTITUTE(MID($A1360,F1360+F$2+1,G1360-F1360-F$2-1),",","."))</f>
        <v>0</v>
      </c>
      <c r="Z1360" s="3">
        <f>VALUE(SUBSTITUTE(MID($A1360,G1360+G$2+1,H1360-G1360-G$2-1),",","."))</f>
        <v>0</v>
      </c>
      <c r="AA1360" s="3">
        <f>VALUE(SUBSTITUTE(MID($A1360,H1360+H$2+1,I1360-H1360-H$2-1),",","."))</f>
        <v>0</v>
      </c>
      <c r="AB1360" s="3">
        <f>VALUE(SUBSTITUTE(MID($A1360,I1360+I$2+1,J1360-I1360-I$2-1),",","."))</f>
        <v>0</v>
      </c>
      <c r="AC1360" s="3">
        <f>VALUE(SUBSTITUTE(MID($A1360,J1360+J$2+1,K1360-J1360-J$2-1),",","."))</f>
        <v>2.5499999999999998</v>
      </c>
      <c r="AD1360" s="3">
        <f>VALUE(SUBSTITUTE(MID($A1360,K1360+K$2+1,L1360-K1360-K$2-1),",","."))</f>
        <v>35.82</v>
      </c>
      <c r="AE1360" s="3">
        <f>VALUE(SUBSTITUTE(MID($A1360,L1360+L$2+1,M1360-L1360-L$2-1),",","."))</f>
        <v>0</v>
      </c>
      <c r="AF1360" s="3">
        <f>VALUE(SUBSTITUTE(MID($A1360,M1360+M$2+1,N1360-M1360-M$2-1),",","."))</f>
        <v>0</v>
      </c>
      <c r="AG1360" s="3">
        <f>VALUE(SUBSTITUTE(MID($A1360,N1360+N$2+1,O1360-N1360-N$2-1),",","."))</f>
        <v>4.2421622328051498</v>
      </c>
      <c r="AH1360" t="str">
        <f>MID($A1360,O1360+O$2+1,P1360-O1360-O$2-1)</f>
        <v/>
      </c>
      <c r="AI1360" s="8" t="str">
        <f>MID($A1360,P1360+P$2+1,Q1360-P1360-P$2-1)</f>
        <v>False</v>
      </c>
      <c r="AK1360" t="b">
        <f t="shared" si="182"/>
        <v>0</v>
      </c>
    </row>
    <row r="1361" spans="1:37" x14ac:dyDescent="0.35">
      <c r="A1361" t="s">
        <v>5908</v>
      </c>
      <c r="B1361">
        <f t="shared" si="184"/>
        <v>10</v>
      </c>
      <c r="C1361">
        <f t="shared" si="184"/>
        <v>43</v>
      </c>
      <c r="D1361">
        <f t="shared" si="184"/>
        <v>54</v>
      </c>
      <c r="E1361">
        <f t="shared" si="184"/>
        <v>80</v>
      </c>
      <c r="F1361">
        <f t="shared" si="184"/>
        <v>124</v>
      </c>
      <c r="G1361">
        <f t="shared" si="184"/>
        <v>145</v>
      </c>
      <c r="H1361">
        <f t="shared" si="184"/>
        <v>177</v>
      </c>
      <c r="I1361">
        <f t="shared" si="183"/>
        <v>199</v>
      </c>
      <c r="J1361">
        <f t="shared" si="177"/>
        <v>232</v>
      </c>
      <c r="K1361">
        <f t="shared" si="177"/>
        <v>252</v>
      </c>
      <c r="L1361">
        <f t="shared" si="177"/>
        <v>271</v>
      </c>
      <c r="M1361">
        <f t="shared" si="177"/>
        <v>286</v>
      </c>
      <c r="N1361">
        <f t="shared" si="177"/>
        <v>298</v>
      </c>
      <c r="O1361">
        <f t="shared" si="177"/>
        <v>323</v>
      </c>
      <c r="P1361">
        <f t="shared" si="177"/>
        <v>341</v>
      </c>
      <c r="Q1361">
        <f t="shared" si="177"/>
        <v>367</v>
      </c>
      <c r="S1361" t="str">
        <f t="shared" si="179"/>
        <v>10.12.2025</v>
      </c>
      <c r="T1361" t="str">
        <f t="shared" si="180"/>
        <v>22:45:00</v>
      </c>
      <c r="U1361" t="str">
        <f t="shared" si="181"/>
        <v>10.12.2025 22:45:00</v>
      </c>
      <c r="V1361" s="9" t="str">
        <f>MID($A1361,C1361+C$2+1,D1361-C1361-C$2-1)</f>
        <v>0</v>
      </c>
      <c r="W1361" s="4">
        <f>VALUE(SUBSTITUTE(MID($A1361,D1361+D$2+1,E1361-D1361-D$2-1),",","."))</f>
        <v>0</v>
      </c>
      <c r="X1361" s="4">
        <f>VALUE(SUBSTITUTE(MID($A1361,E1361+E$2+1,F1361-E1361-E$2-1),",","."))</f>
        <v>0.90957602214449496</v>
      </c>
      <c r="Y1361" s="4">
        <f>VALUE(SUBSTITUTE(MID($A1361,F1361+F$2+1,G1361-F1361-F$2-1),",","."))</f>
        <v>0</v>
      </c>
      <c r="Z1361" s="3">
        <f>VALUE(SUBSTITUTE(MID($A1361,G1361+G$2+1,H1361-G1361-G$2-1),",","."))</f>
        <v>0</v>
      </c>
      <c r="AA1361" s="3">
        <f>VALUE(SUBSTITUTE(MID($A1361,H1361+H$2+1,I1361-H1361-H$2-1),",","."))</f>
        <v>0</v>
      </c>
      <c r="AB1361" s="3">
        <f>VALUE(SUBSTITUTE(MID($A1361,I1361+I$2+1,J1361-I1361-I$2-1),",","."))</f>
        <v>0</v>
      </c>
      <c r="AC1361" s="3">
        <f>VALUE(SUBSTITUTE(MID($A1361,J1361+J$2+1,K1361-J1361-J$2-1),",","."))</f>
        <v>2.5499999999999998</v>
      </c>
      <c r="AD1361" s="3">
        <f>VALUE(SUBSTITUTE(MID($A1361,K1361+K$2+1,L1361-K1361-K$2-1),",","."))</f>
        <v>35.82</v>
      </c>
      <c r="AE1361" s="3">
        <f>VALUE(SUBSTITUTE(MID($A1361,L1361+L$2+1,M1361-L1361-L$2-1),",","."))</f>
        <v>0</v>
      </c>
      <c r="AF1361" s="3">
        <f>VALUE(SUBSTITUTE(MID($A1361,M1361+M$2+1,N1361-M1361-M$2-1),",","."))</f>
        <v>0</v>
      </c>
      <c r="AG1361" s="3">
        <f>VALUE(SUBSTITUTE(MID($A1361,N1361+N$2+1,O1361-N1361-N$2-1),",","."))</f>
        <v>4.2421907526932303</v>
      </c>
      <c r="AH1361" t="str">
        <f>MID($A1361,O1361+O$2+1,P1361-O1361-O$2-1)</f>
        <v/>
      </c>
      <c r="AI1361" s="8" t="str">
        <f>MID($A1361,P1361+P$2+1,Q1361-P1361-P$2-1)</f>
        <v>False</v>
      </c>
      <c r="AK1361" t="b">
        <f t="shared" si="182"/>
        <v>0</v>
      </c>
    </row>
    <row r="1362" spans="1:37" x14ac:dyDescent="0.35">
      <c r="A1362" t="s">
        <v>5909</v>
      </c>
      <c r="B1362">
        <f t="shared" si="184"/>
        <v>10</v>
      </c>
      <c r="C1362">
        <f t="shared" si="184"/>
        <v>43</v>
      </c>
      <c r="D1362">
        <f t="shared" si="184"/>
        <v>54</v>
      </c>
      <c r="E1362">
        <f t="shared" si="184"/>
        <v>80</v>
      </c>
      <c r="F1362">
        <f t="shared" si="184"/>
        <v>124</v>
      </c>
      <c r="G1362">
        <f t="shared" si="184"/>
        <v>145</v>
      </c>
      <c r="H1362">
        <f t="shared" si="184"/>
        <v>177</v>
      </c>
      <c r="I1362">
        <f t="shared" si="183"/>
        <v>199</v>
      </c>
      <c r="J1362">
        <f t="shared" si="177"/>
        <v>232</v>
      </c>
      <c r="K1362">
        <f t="shared" si="177"/>
        <v>252</v>
      </c>
      <c r="L1362">
        <f t="shared" si="177"/>
        <v>271</v>
      </c>
      <c r="M1362">
        <f t="shared" si="177"/>
        <v>286</v>
      </c>
      <c r="N1362">
        <f t="shared" si="177"/>
        <v>298</v>
      </c>
      <c r="O1362">
        <f t="shared" si="177"/>
        <v>323</v>
      </c>
      <c r="P1362">
        <f t="shared" si="177"/>
        <v>341</v>
      </c>
      <c r="Q1362">
        <f t="shared" si="177"/>
        <v>367</v>
      </c>
      <c r="S1362" t="str">
        <f t="shared" si="179"/>
        <v>10.12.2025</v>
      </c>
      <c r="T1362" t="str">
        <f t="shared" si="180"/>
        <v>23:00:00</v>
      </c>
      <c r="U1362" t="str">
        <f t="shared" si="181"/>
        <v>10.12.2025 23:00:00</v>
      </c>
      <c r="V1362" s="9" t="str">
        <f>MID($A1362,C1362+C$2+1,D1362-C1362-C$2-1)</f>
        <v>0</v>
      </c>
      <c r="W1362" s="4">
        <f>VALUE(SUBSTITUTE(MID($A1362,D1362+D$2+1,E1362-D1362-D$2-1),",","."))</f>
        <v>0</v>
      </c>
      <c r="X1362" s="4">
        <f>VALUE(SUBSTITUTE(MID($A1362,E1362+E$2+1,F1362-E1362-E$2-1),",","."))</f>
        <v>0.90957602214449496</v>
      </c>
      <c r="Y1362" s="4">
        <f>VALUE(SUBSTITUTE(MID($A1362,F1362+F$2+1,G1362-F1362-F$2-1),",","."))</f>
        <v>0</v>
      </c>
      <c r="Z1362" s="3">
        <f>VALUE(SUBSTITUTE(MID($A1362,G1362+G$2+1,H1362-G1362-G$2-1),",","."))</f>
        <v>0</v>
      </c>
      <c r="AA1362" s="3">
        <f>VALUE(SUBSTITUTE(MID($A1362,H1362+H$2+1,I1362-H1362-H$2-1),",","."))</f>
        <v>0</v>
      </c>
      <c r="AB1362" s="3">
        <f>VALUE(SUBSTITUTE(MID($A1362,I1362+I$2+1,J1362-I1362-I$2-1),",","."))</f>
        <v>0</v>
      </c>
      <c r="AC1362" s="3">
        <f>VALUE(SUBSTITUTE(MID($A1362,J1362+J$2+1,K1362-J1362-J$2-1),",","."))</f>
        <v>2.5499999999999998</v>
      </c>
      <c r="AD1362" s="3">
        <f>VALUE(SUBSTITUTE(MID($A1362,K1362+K$2+1,L1362-K1362-K$2-1),",","."))</f>
        <v>35.82</v>
      </c>
      <c r="AE1362" s="3">
        <f>VALUE(SUBSTITUTE(MID($A1362,L1362+L$2+1,M1362-L1362-L$2-1),",","."))</f>
        <v>0</v>
      </c>
      <c r="AF1362" s="3">
        <f>VALUE(SUBSTITUTE(MID($A1362,M1362+M$2+1,N1362-M1362-M$2-1),",","."))</f>
        <v>0</v>
      </c>
      <c r="AG1362" s="3">
        <f>VALUE(SUBSTITUTE(MID($A1362,N1362+N$2+1,O1362-N1362-N$2-1),",","."))</f>
        <v>4.2422192725813099</v>
      </c>
      <c r="AH1362" t="str">
        <f>MID($A1362,O1362+O$2+1,P1362-O1362-O$2-1)</f>
        <v/>
      </c>
      <c r="AI1362" s="8" t="str">
        <f>MID($A1362,P1362+P$2+1,Q1362-P1362-P$2-1)</f>
        <v>False</v>
      </c>
      <c r="AK1362" t="b">
        <f t="shared" si="182"/>
        <v>0</v>
      </c>
    </row>
    <row r="1363" spans="1:37" x14ac:dyDescent="0.35">
      <c r="A1363" t="s">
        <v>5910</v>
      </c>
      <c r="B1363">
        <f t="shared" si="184"/>
        <v>10</v>
      </c>
      <c r="C1363">
        <f t="shared" si="184"/>
        <v>43</v>
      </c>
      <c r="D1363">
        <f t="shared" si="184"/>
        <v>54</v>
      </c>
      <c r="E1363">
        <f t="shared" si="184"/>
        <v>80</v>
      </c>
      <c r="F1363">
        <f t="shared" si="184"/>
        <v>124</v>
      </c>
      <c r="G1363">
        <f t="shared" si="184"/>
        <v>145</v>
      </c>
      <c r="H1363">
        <f t="shared" si="184"/>
        <v>177</v>
      </c>
      <c r="I1363">
        <f t="shared" si="183"/>
        <v>199</v>
      </c>
      <c r="J1363">
        <f t="shared" si="177"/>
        <v>232</v>
      </c>
      <c r="K1363">
        <f t="shared" si="177"/>
        <v>252</v>
      </c>
      <c r="L1363">
        <f t="shared" si="177"/>
        <v>271</v>
      </c>
      <c r="M1363">
        <f t="shared" si="177"/>
        <v>286</v>
      </c>
      <c r="N1363">
        <f t="shared" si="177"/>
        <v>298</v>
      </c>
      <c r="O1363">
        <f t="shared" si="177"/>
        <v>323</v>
      </c>
      <c r="P1363">
        <f t="shared" si="177"/>
        <v>341</v>
      </c>
      <c r="Q1363">
        <f t="shared" si="177"/>
        <v>367</v>
      </c>
      <c r="S1363" t="str">
        <f t="shared" si="179"/>
        <v>10.12.2025</v>
      </c>
      <c r="T1363" t="str">
        <f t="shared" si="180"/>
        <v>23:15:00</v>
      </c>
      <c r="U1363" t="str">
        <f t="shared" si="181"/>
        <v>10.12.2025 23:15:00</v>
      </c>
      <c r="V1363" s="9" t="str">
        <f>MID($A1363,C1363+C$2+1,D1363-C1363-C$2-1)</f>
        <v>0</v>
      </c>
      <c r="W1363" s="4">
        <f>VALUE(SUBSTITUTE(MID($A1363,D1363+D$2+1,E1363-D1363-D$2-1),",","."))</f>
        <v>0</v>
      </c>
      <c r="X1363" s="4">
        <f>VALUE(SUBSTITUTE(MID($A1363,E1363+E$2+1,F1363-E1363-E$2-1),",","."))</f>
        <v>0.90957602214449496</v>
      </c>
      <c r="Y1363" s="4">
        <f>VALUE(SUBSTITUTE(MID($A1363,F1363+F$2+1,G1363-F1363-F$2-1),",","."))</f>
        <v>0</v>
      </c>
      <c r="Z1363" s="3">
        <f>VALUE(SUBSTITUTE(MID($A1363,G1363+G$2+1,H1363-G1363-G$2-1),",","."))</f>
        <v>0</v>
      </c>
      <c r="AA1363" s="3">
        <f>VALUE(SUBSTITUTE(MID($A1363,H1363+H$2+1,I1363-H1363-H$2-1),",","."))</f>
        <v>0</v>
      </c>
      <c r="AB1363" s="3">
        <f>VALUE(SUBSTITUTE(MID($A1363,I1363+I$2+1,J1363-I1363-I$2-1),",","."))</f>
        <v>0</v>
      </c>
      <c r="AC1363" s="3">
        <f>VALUE(SUBSTITUTE(MID($A1363,J1363+J$2+1,K1363-J1363-J$2-1),",","."))</f>
        <v>2.5499999999999998</v>
      </c>
      <c r="AD1363" s="3">
        <f>VALUE(SUBSTITUTE(MID($A1363,K1363+K$2+1,L1363-K1363-K$2-1),",","."))</f>
        <v>35.82</v>
      </c>
      <c r="AE1363" s="3">
        <f>VALUE(SUBSTITUTE(MID($A1363,L1363+L$2+1,M1363-L1363-L$2-1),",","."))</f>
        <v>0</v>
      </c>
      <c r="AF1363" s="3">
        <f>VALUE(SUBSTITUTE(MID($A1363,M1363+M$2+1,N1363-M1363-M$2-1),",","."))</f>
        <v>0</v>
      </c>
      <c r="AG1363" s="3">
        <f>VALUE(SUBSTITUTE(MID($A1363,N1363+N$2+1,O1363-N1363-N$2-1),",","."))</f>
        <v>4.2422477924693904</v>
      </c>
      <c r="AH1363" t="str">
        <f>MID($A1363,O1363+O$2+1,P1363-O1363-O$2-1)</f>
        <v/>
      </c>
      <c r="AI1363" s="8" t="str">
        <f>MID($A1363,P1363+P$2+1,Q1363-P1363-P$2-1)</f>
        <v>False</v>
      </c>
      <c r="AK1363" t="b">
        <f t="shared" si="182"/>
        <v>0</v>
      </c>
    </row>
    <row r="1364" spans="1:37" x14ac:dyDescent="0.35">
      <c r="A1364" t="s">
        <v>5911</v>
      </c>
      <c r="B1364">
        <f t="shared" si="184"/>
        <v>10</v>
      </c>
      <c r="C1364">
        <f t="shared" si="184"/>
        <v>43</v>
      </c>
      <c r="D1364">
        <f t="shared" si="184"/>
        <v>54</v>
      </c>
      <c r="E1364">
        <f t="shared" si="184"/>
        <v>80</v>
      </c>
      <c r="F1364">
        <f t="shared" si="184"/>
        <v>124</v>
      </c>
      <c r="G1364">
        <f t="shared" si="184"/>
        <v>145</v>
      </c>
      <c r="H1364">
        <f t="shared" si="184"/>
        <v>177</v>
      </c>
      <c r="I1364">
        <f t="shared" si="183"/>
        <v>199</v>
      </c>
      <c r="J1364">
        <f t="shared" si="177"/>
        <v>232</v>
      </c>
      <c r="K1364">
        <f t="shared" si="177"/>
        <v>251</v>
      </c>
      <c r="L1364">
        <f t="shared" si="177"/>
        <v>270</v>
      </c>
      <c r="M1364">
        <f t="shared" si="177"/>
        <v>285</v>
      </c>
      <c r="N1364">
        <f t="shared" si="177"/>
        <v>297</v>
      </c>
      <c r="O1364">
        <f t="shared" si="177"/>
        <v>321</v>
      </c>
      <c r="P1364">
        <f t="shared" si="177"/>
        <v>339</v>
      </c>
      <c r="Q1364">
        <f t="shared" si="177"/>
        <v>365</v>
      </c>
      <c r="S1364" t="str">
        <f t="shared" si="179"/>
        <v>10.12.2025</v>
      </c>
      <c r="T1364" t="str">
        <f t="shared" si="180"/>
        <v>23:30:00</v>
      </c>
      <c r="U1364" t="str">
        <f t="shared" si="181"/>
        <v>10.12.2025 23:30:00</v>
      </c>
      <c r="V1364" s="9" t="str">
        <f>MID($A1364,C1364+C$2+1,D1364-C1364-C$2-1)</f>
        <v>0</v>
      </c>
      <c r="W1364" s="4">
        <f>VALUE(SUBSTITUTE(MID($A1364,D1364+D$2+1,E1364-D1364-D$2-1),",","."))</f>
        <v>0</v>
      </c>
      <c r="X1364" s="4">
        <f>VALUE(SUBSTITUTE(MID($A1364,E1364+E$2+1,F1364-E1364-E$2-1),",","."))</f>
        <v>0.90957602214449496</v>
      </c>
      <c r="Y1364" s="4">
        <f>VALUE(SUBSTITUTE(MID($A1364,F1364+F$2+1,G1364-F1364-F$2-1),",","."))</f>
        <v>0</v>
      </c>
      <c r="Z1364" s="3">
        <f>VALUE(SUBSTITUTE(MID($A1364,G1364+G$2+1,H1364-G1364-G$2-1),",","."))</f>
        <v>0</v>
      </c>
      <c r="AA1364" s="3">
        <f>VALUE(SUBSTITUTE(MID($A1364,H1364+H$2+1,I1364-H1364-H$2-1),",","."))</f>
        <v>0</v>
      </c>
      <c r="AB1364" s="3">
        <f>VALUE(SUBSTITUTE(MID($A1364,I1364+I$2+1,J1364-I1364-I$2-1),",","."))</f>
        <v>0</v>
      </c>
      <c r="AC1364" s="3">
        <f>VALUE(SUBSTITUTE(MID($A1364,J1364+J$2+1,K1364-J1364-J$2-1),",","."))</f>
        <v>2.8</v>
      </c>
      <c r="AD1364" s="3">
        <f>VALUE(SUBSTITUTE(MID($A1364,K1364+K$2+1,L1364-K1364-K$2-1),",","."))</f>
        <v>44.46</v>
      </c>
      <c r="AE1364" s="3">
        <f>VALUE(SUBSTITUTE(MID($A1364,L1364+L$2+1,M1364-L1364-L$2-1),",","."))</f>
        <v>0</v>
      </c>
      <c r="AF1364" s="3">
        <f>VALUE(SUBSTITUTE(MID($A1364,M1364+M$2+1,N1364-M1364-M$2-1),",","."))</f>
        <v>0</v>
      </c>
      <c r="AG1364" s="3">
        <f>VALUE(SUBSTITUTE(MID($A1364,N1364+N$2+1,O1364-N1364-N$2-1),",","."))</f>
        <v>4.2422763123574798</v>
      </c>
      <c r="AH1364" t="str">
        <f>MID($A1364,O1364+O$2+1,P1364-O1364-O$2-1)</f>
        <v/>
      </c>
      <c r="AI1364" s="8" t="str">
        <f>MID($A1364,P1364+P$2+1,Q1364-P1364-P$2-1)</f>
        <v>False</v>
      </c>
      <c r="AK1364" t="b">
        <f t="shared" si="182"/>
        <v>0</v>
      </c>
    </row>
    <row r="1365" spans="1:37" x14ac:dyDescent="0.35">
      <c r="A1365" t="s">
        <v>5912</v>
      </c>
      <c r="B1365">
        <f t="shared" si="184"/>
        <v>10</v>
      </c>
      <c r="C1365">
        <f t="shared" si="184"/>
        <v>43</v>
      </c>
      <c r="D1365">
        <f t="shared" si="184"/>
        <v>54</v>
      </c>
      <c r="E1365">
        <f t="shared" si="184"/>
        <v>80</v>
      </c>
      <c r="F1365">
        <f t="shared" si="184"/>
        <v>124</v>
      </c>
      <c r="G1365">
        <f t="shared" si="184"/>
        <v>145</v>
      </c>
      <c r="H1365">
        <f t="shared" si="184"/>
        <v>177</v>
      </c>
      <c r="I1365">
        <f t="shared" si="183"/>
        <v>199</v>
      </c>
      <c r="J1365">
        <f t="shared" si="177"/>
        <v>232</v>
      </c>
      <c r="K1365">
        <f t="shared" si="177"/>
        <v>251</v>
      </c>
      <c r="L1365">
        <f t="shared" si="177"/>
        <v>270</v>
      </c>
      <c r="M1365">
        <f t="shared" si="177"/>
        <v>285</v>
      </c>
      <c r="N1365">
        <f t="shared" si="177"/>
        <v>297</v>
      </c>
      <c r="O1365">
        <f t="shared" si="177"/>
        <v>322</v>
      </c>
      <c r="P1365">
        <f t="shared" si="177"/>
        <v>340</v>
      </c>
      <c r="Q1365">
        <f t="shared" si="177"/>
        <v>366</v>
      </c>
      <c r="S1365" t="str">
        <f t="shared" si="179"/>
        <v>10.12.2025</v>
      </c>
      <c r="T1365" t="str">
        <f t="shared" si="180"/>
        <v>23:45:00</v>
      </c>
      <c r="U1365" t="str">
        <f t="shared" si="181"/>
        <v>10.12.2025 23:45:00</v>
      </c>
      <c r="V1365" s="9" t="str">
        <f>MID($A1365,C1365+C$2+1,D1365-C1365-C$2-1)</f>
        <v>0</v>
      </c>
      <c r="W1365" s="4">
        <f>VALUE(SUBSTITUTE(MID($A1365,D1365+D$2+1,E1365-D1365-D$2-1),",","."))</f>
        <v>0</v>
      </c>
      <c r="X1365" s="4">
        <f>VALUE(SUBSTITUTE(MID($A1365,E1365+E$2+1,F1365-E1365-E$2-1),",","."))</f>
        <v>0.90957602214449496</v>
      </c>
      <c r="Y1365" s="4">
        <f>VALUE(SUBSTITUTE(MID($A1365,F1365+F$2+1,G1365-F1365-F$2-1),",","."))</f>
        <v>0</v>
      </c>
      <c r="Z1365" s="3">
        <f>VALUE(SUBSTITUTE(MID($A1365,G1365+G$2+1,H1365-G1365-G$2-1),",","."))</f>
        <v>0</v>
      </c>
      <c r="AA1365" s="3">
        <f>VALUE(SUBSTITUTE(MID($A1365,H1365+H$2+1,I1365-H1365-H$2-1),",","."))</f>
        <v>0</v>
      </c>
      <c r="AB1365" s="3">
        <f>VALUE(SUBSTITUTE(MID($A1365,I1365+I$2+1,J1365-I1365-I$2-1),",","."))</f>
        <v>0</v>
      </c>
      <c r="AC1365" s="3">
        <f>VALUE(SUBSTITUTE(MID($A1365,J1365+J$2+1,K1365-J1365-J$2-1),",","."))</f>
        <v>2.8</v>
      </c>
      <c r="AD1365" s="3">
        <f>VALUE(SUBSTITUTE(MID($A1365,K1365+K$2+1,L1365-K1365-K$2-1),",","."))</f>
        <v>44.46</v>
      </c>
      <c r="AE1365" s="3">
        <f>VALUE(SUBSTITUTE(MID($A1365,L1365+L$2+1,M1365-L1365-L$2-1),",","."))</f>
        <v>0</v>
      </c>
      <c r="AF1365" s="3">
        <f>VALUE(SUBSTITUTE(MID($A1365,M1365+M$2+1,N1365-M1365-M$2-1),",","."))</f>
        <v>0</v>
      </c>
      <c r="AG1365" s="3">
        <f>VALUE(SUBSTITUTE(MID($A1365,N1365+N$2+1,O1365-N1365-N$2-1),",","."))</f>
        <v>4.2423048322455603</v>
      </c>
      <c r="AH1365" t="str">
        <f>MID($A1365,O1365+O$2+1,P1365-O1365-O$2-1)</f>
        <v/>
      </c>
      <c r="AI1365" s="8" t="str">
        <f>MID($A1365,P1365+P$2+1,Q1365-P1365-P$2-1)</f>
        <v>False</v>
      </c>
      <c r="AK1365" t="b">
        <f t="shared" si="182"/>
        <v>0</v>
      </c>
    </row>
    <row r="1366" spans="1:37" x14ac:dyDescent="0.35">
      <c r="A1366" t="s">
        <v>5913</v>
      </c>
      <c r="B1366">
        <f t="shared" si="184"/>
        <v>10</v>
      </c>
      <c r="C1366">
        <f t="shared" si="184"/>
        <v>43</v>
      </c>
      <c r="D1366">
        <f t="shared" si="184"/>
        <v>54</v>
      </c>
      <c r="E1366">
        <f t="shared" si="184"/>
        <v>80</v>
      </c>
      <c r="F1366">
        <f t="shared" si="184"/>
        <v>124</v>
      </c>
      <c r="G1366">
        <f t="shared" si="184"/>
        <v>145</v>
      </c>
      <c r="H1366">
        <f t="shared" si="184"/>
        <v>177</v>
      </c>
      <c r="I1366">
        <f t="shared" si="183"/>
        <v>199</v>
      </c>
      <c r="J1366">
        <f t="shared" si="177"/>
        <v>232</v>
      </c>
      <c r="K1366">
        <f t="shared" si="177"/>
        <v>251</v>
      </c>
      <c r="L1366">
        <f t="shared" si="177"/>
        <v>270</v>
      </c>
      <c r="M1366">
        <f t="shared" si="177"/>
        <v>285</v>
      </c>
      <c r="N1366">
        <f t="shared" si="177"/>
        <v>297</v>
      </c>
      <c r="O1366">
        <f t="shared" si="177"/>
        <v>323</v>
      </c>
      <c r="P1366">
        <f t="shared" si="177"/>
        <v>341</v>
      </c>
      <c r="Q1366">
        <f t="shared" si="177"/>
        <v>367</v>
      </c>
      <c r="S1366" t="str">
        <f t="shared" si="179"/>
        <v>11.12.2025</v>
      </c>
      <c r="T1366" t="str">
        <f t="shared" si="180"/>
        <v>00:00:00</v>
      </c>
      <c r="U1366" t="str">
        <f t="shared" si="181"/>
        <v>11.12.2025 00:00:00</v>
      </c>
      <c r="V1366" s="9" t="str">
        <f>MID($A1366,C1366+C$2+1,D1366-C1366-C$2-1)</f>
        <v>0</v>
      </c>
      <c r="W1366" s="4">
        <f>VALUE(SUBSTITUTE(MID($A1366,D1366+D$2+1,E1366-D1366-D$2-1),",","."))</f>
        <v>0</v>
      </c>
      <c r="X1366" s="4">
        <f>VALUE(SUBSTITUTE(MID($A1366,E1366+E$2+1,F1366-E1366-E$2-1),",","."))</f>
        <v>0.90957602214449496</v>
      </c>
      <c r="Y1366" s="4">
        <f>VALUE(SUBSTITUTE(MID($A1366,F1366+F$2+1,G1366-F1366-F$2-1),",","."))</f>
        <v>0</v>
      </c>
      <c r="Z1366" s="3">
        <f>VALUE(SUBSTITUTE(MID($A1366,G1366+G$2+1,H1366-G1366-G$2-1),",","."))</f>
        <v>0</v>
      </c>
      <c r="AA1366" s="3">
        <f>VALUE(SUBSTITUTE(MID($A1366,H1366+H$2+1,I1366-H1366-H$2-1),",","."))</f>
        <v>0</v>
      </c>
      <c r="AB1366" s="3">
        <f>VALUE(SUBSTITUTE(MID($A1366,I1366+I$2+1,J1366-I1366-I$2-1),",","."))</f>
        <v>0</v>
      </c>
      <c r="AC1366" s="3">
        <f>VALUE(SUBSTITUTE(MID($A1366,J1366+J$2+1,K1366-J1366-J$2-1),",","."))</f>
        <v>2.8</v>
      </c>
      <c r="AD1366" s="3">
        <f>VALUE(SUBSTITUTE(MID($A1366,K1366+K$2+1,L1366-K1366-K$2-1),",","."))</f>
        <v>44.46</v>
      </c>
      <c r="AE1366" s="3">
        <f>VALUE(SUBSTITUTE(MID($A1366,L1366+L$2+1,M1366-L1366-L$2-1),",","."))</f>
        <v>0</v>
      </c>
      <c r="AF1366" s="3">
        <f>VALUE(SUBSTITUTE(MID($A1366,M1366+M$2+1,N1366-M1366-M$2-1),",","."))</f>
        <v>0</v>
      </c>
      <c r="AG1366" s="3">
        <f>VALUE(SUBSTITUTE(MID($A1366,N1366+N$2+1,O1366-N1366-N$2-1),",","."))</f>
        <v>4.2423333521336399</v>
      </c>
      <c r="AH1366" t="str">
        <f>MID($A1366,O1366+O$2+1,P1366-O1366-O$2-1)</f>
        <v/>
      </c>
      <c r="AI1366" s="8" t="str">
        <f>MID($A1366,P1366+P$2+1,Q1366-P1366-P$2-1)</f>
        <v>False</v>
      </c>
      <c r="AK1366" t="b">
        <f t="shared" si="182"/>
        <v>0</v>
      </c>
    </row>
    <row r="1367" spans="1:37" x14ac:dyDescent="0.35">
      <c r="A1367" t="s">
        <v>5914</v>
      </c>
      <c r="B1367">
        <f t="shared" si="184"/>
        <v>10</v>
      </c>
      <c r="C1367">
        <f t="shared" si="184"/>
        <v>43</v>
      </c>
      <c r="D1367">
        <f t="shared" si="184"/>
        <v>54</v>
      </c>
      <c r="E1367">
        <f t="shared" si="184"/>
        <v>80</v>
      </c>
      <c r="F1367">
        <f t="shared" si="184"/>
        <v>124</v>
      </c>
      <c r="G1367">
        <f t="shared" si="184"/>
        <v>145</v>
      </c>
      <c r="H1367">
        <f t="shared" si="184"/>
        <v>177</v>
      </c>
      <c r="I1367">
        <f t="shared" si="183"/>
        <v>199</v>
      </c>
      <c r="J1367">
        <f t="shared" si="177"/>
        <v>232</v>
      </c>
      <c r="K1367">
        <f t="shared" si="177"/>
        <v>251</v>
      </c>
      <c r="L1367">
        <f t="shared" si="177"/>
        <v>270</v>
      </c>
      <c r="M1367">
        <f t="shared" si="177"/>
        <v>285</v>
      </c>
      <c r="N1367">
        <f t="shared" si="177"/>
        <v>297</v>
      </c>
      <c r="O1367">
        <f t="shared" si="177"/>
        <v>322</v>
      </c>
      <c r="P1367">
        <f t="shared" si="177"/>
        <v>340</v>
      </c>
      <c r="Q1367">
        <f t="shared" si="177"/>
        <v>366</v>
      </c>
      <c r="S1367" t="str">
        <f t="shared" si="179"/>
        <v>11.12.2025</v>
      </c>
      <c r="T1367" t="str">
        <f t="shared" si="180"/>
        <v>00:15:00</v>
      </c>
      <c r="U1367" t="str">
        <f t="shared" si="181"/>
        <v>11.12.2025 00:15:00</v>
      </c>
      <c r="V1367" s="9" t="str">
        <f>MID($A1367,C1367+C$2+1,D1367-C1367-C$2-1)</f>
        <v>0</v>
      </c>
      <c r="W1367" s="4">
        <f>VALUE(SUBSTITUTE(MID($A1367,D1367+D$2+1,E1367-D1367-D$2-1),",","."))</f>
        <v>0</v>
      </c>
      <c r="X1367" s="4">
        <f>VALUE(SUBSTITUTE(MID($A1367,E1367+E$2+1,F1367-E1367-E$2-1),",","."))</f>
        <v>0.90957602214449496</v>
      </c>
      <c r="Y1367" s="4">
        <f>VALUE(SUBSTITUTE(MID($A1367,F1367+F$2+1,G1367-F1367-F$2-1),",","."))</f>
        <v>0</v>
      </c>
      <c r="Z1367" s="3">
        <f>VALUE(SUBSTITUTE(MID($A1367,G1367+G$2+1,H1367-G1367-G$2-1),",","."))</f>
        <v>0</v>
      </c>
      <c r="AA1367" s="3">
        <f>VALUE(SUBSTITUTE(MID($A1367,H1367+H$2+1,I1367-H1367-H$2-1),",","."))</f>
        <v>0</v>
      </c>
      <c r="AB1367" s="3">
        <f>VALUE(SUBSTITUTE(MID($A1367,I1367+I$2+1,J1367-I1367-I$2-1),",","."))</f>
        <v>0</v>
      </c>
      <c r="AC1367" s="3">
        <f>VALUE(SUBSTITUTE(MID($A1367,J1367+J$2+1,K1367-J1367-J$2-1),",","."))</f>
        <v>2.8</v>
      </c>
      <c r="AD1367" s="3">
        <f>VALUE(SUBSTITUTE(MID($A1367,K1367+K$2+1,L1367-K1367-K$2-1),",","."))</f>
        <v>44.46</v>
      </c>
      <c r="AE1367" s="3">
        <f>VALUE(SUBSTITUTE(MID($A1367,L1367+L$2+1,M1367-L1367-L$2-1),",","."))</f>
        <v>0</v>
      </c>
      <c r="AF1367" s="3">
        <f>VALUE(SUBSTITUTE(MID($A1367,M1367+M$2+1,N1367-M1367-M$2-1),",","."))</f>
        <v>0</v>
      </c>
      <c r="AG1367" s="3">
        <f>VALUE(SUBSTITUTE(MID($A1367,N1367+N$2+1,O1367-N1367-N$2-1),",","."))</f>
        <v>4.2423618720217204</v>
      </c>
      <c r="AH1367" t="str">
        <f>MID($A1367,O1367+O$2+1,P1367-O1367-O$2-1)</f>
        <v/>
      </c>
      <c r="AI1367" s="8" t="str">
        <f>MID($A1367,P1367+P$2+1,Q1367-P1367-P$2-1)</f>
        <v>False</v>
      </c>
      <c r="AK1367" t="b">
        <f t="shared" si="182"/>
        <v>0</v>
      </c>
    </row>
    <row r="1368" spans="1:37" x14ac:dyDescent="0.35">
      <c r="A1368" t="s">
        <v>5915</v>
      </c>
      <c r="B1368">
        <f t="shared" si="184"/>
        <v>10</v>
      </c>
      <c r="C1368">
        <f t="shared" si="184"/>
        <v>43</v>
      </c>
      <c r="D1368">
        <f t="shared" si="184"/>
        <v>54</v>
      </c>
      <c r="E1368">
        <f t="shared" si="184"/>
        <v>80</v>
      </c>
      <c r="F1368">
        <f t="shared" si="184"/>
        <v>124</v>
      </c>
      <c r="G1368">
        <f t="shared" si="184"/>
        <v>145</v>
      </c>
      <c r="H1368">
        <f t="shared" si="184"/>
        <v>177</v>
      </c>
      <c r="I1368">
        <f t="shared" si="183"/>
        <v>199</v>
      </c>
      <c r="J1368">
        <f t="shared" si="177"/>
        <v>232</v>
      </c>
      <c r="K1368">
        <f t="shared" si="177"/>
        <v>266</v>
      </c>
      <c r="L1368">
        <f t="shared" si="177"/>
        <v>298</v>
      </c>
      <c r="M1368">
        <f t="shared" si="177"/>
        <v>313</v>
      </c>
      <c r="N1368">
        <f t="shared" si="177"/>
        <v>325</v>
      </c>
      <c r="O1368">
        <f t="shared" si="177"/>
        <v>350</v>
      </c>
      <c r="P1368">
        <f t="shared" ref="P1368:Q1399" si="185">FIND(P$1,$A1368)</f>
        <v>368</v>
      </c>
      <c r="Q1368">
        <f t="shared" si="185"/>
        <v>394</v>
      </c>
      <c r="S1368" t="str">
        <f t="shared" si="179"/>
        <v>11.12.2025</v>
      </c>
      <c r="T1368" t="str">
        <f t="shared" si="180"/>
        <v>00:30:00</v>
      </c>
      <c r="U1368" t="str">
        <f t="shared" si="181"/>
        <v>11.12.2025 00:30:00</v>
      </c>
      <c r="V1368" s="9" t="str">
        <f>MID($A1368,C1368+C$2+1,D1368-C1368-C$2-1)</f>
        <v>0</v>
      </c>
      <c r="W1368" s="4">
        <f>VALUE(SUBSTITUTE(MID($A1368,D1368+D$2+1,E1368-D1368-D$2-1),",","."))</f>
        <v>0</v>
      </c>
      <c r="X1368" s="4">
        <f>VALUE(SUBSTITUTE(MID($A1368,E1368+E$2+1,F1368-E1368-E$2-1),",","."))</f>
        <v>0.90957602214449496</v>
      </c>
      <c r="Y1368" s="4">
        <f>VALUE(SUBSTITUTE(MID($A1368,F1368+F$2+1,G1368-F1368-F$2-1),",","."))</f>
        <v>0</v>
      </c>
      <c r="Z1368" s="3">
        <f>VALUE(SUBSTITUTE(MID($A1368,G1368+G$2+1,H1368-G1368-G$2-1),",","."))</f>
        <v>0</v>
      </c>
      <c r="AA1368" s="3">
        <f>VALUE(SUBSTITUTE(MID($A1368,H1368+H$2+1,I1368-H1368-H$2-1),",","."))</f>
        <v>0</v>
      </c>
      <c r="AB1368" s="3">
        <f>VALUE(SUBSTITUTE(MID($A1368,I1368+I$2+1,J1368-I1368-I$2-1),",","."))</f>
        <v>0</v>
      </c>
      <c r="AC1368" s="3">
        <f>VALUE(SUBSTITUTE(MID($A1368,J1368+J$2+1,K1368-J1368-J$2-1),",","."))</f>
        <v>2.9</v>
      </c>
      <c r="AD1368" s="3">
        <f>VALUE(SUBSTITUTE(MID($A1368,K1368+K$2+1,L1368-K1368-K$2-1),",","."))</f>
        <v>50.76</v>
      </c>
      <c r="AE1368" s="3">
        <f>VALUE(SUBSTITUTE(MID($A1368,L1368+L$2+1,M1368-L1368-L$2-1),",","."))</f>
        <v>0</v>
      </c>
      <c r="AF1368" s="3">
        <f>VALUE(SUBSTITUTE(MID($A1368,M1368+M$2+1,N1368-M1368-M$2-1),",","."))</f>
        <v>0</v>
      </c>
      <c r="AG1368" s="3">
        <f>VALUE(SUBSTITUTE(MID($A1368,N1368+N$2+1,O1368-N1368-N$2-1),",","."))</f>
        <v>4.2423903919098001</v>
      </c>
      <c r="AH1368" t="str">
        <f>MID($A1368,O1368+O$2+1,P1368-O1368-O$2-1)</f>
        <v/>
      </c>
      <c r="AI1368" s="8" t="str">
        <f>MID($A1368,P1368+P$2+1,Q1368-P1368-P$2-1)</f>
        <v>False</v>
      </c>
      <c r="AK1368" t="b">
        <f t="shared" si="182"/>
        <v>0</v>
      </c>
    </row>
    <row r="1369" spans="1:37" x14ac:dyDescent="0.35">
      <c r="A1369" t="s">
        <v>5916</v>
      </c>
      <c r="B1369">
        <f t="shared" si="184"/>
        <v>10</v>
      </c>
      <c r="C1369">
        <f t="shared" si="184"/>
        <v>43</v>
      </c>
      <c r="D1369">
        <f t="shared" si="184"/>
        <v>54</v>
      </c>
      <c r="E1369">
        <f t="shared" si="184"/>
        <v>80</v>
      </c>
      <c r="F1369">
        <f t="shared" si="184"/>
        <v>124</v>
      </c>
      <c r="G1369">
        <f t="shared" si="184"/>
        <v>145</v>
      </c>
      <c r="H1369">
        <f t="shared" si="184"/>
        <v>177</v>
      </c>
      <c r="I1369">
        <f t="shared" si="183"/>
        <v>199</v>
      </c>
      <c r="J1369">
        <f t="shared" si="183"/>
        <v>232</v>
      </c>
      <c r="K1369">
        <f t="shared" si="183"/>
        <v>266</v>
      </c>
      <c r="L1369">
        <f t="shared" si="183"/>
        <v>298</v>
      </c>
      <c r="M1369">
        <f t="shared" si="183"/>
        <v>313</v>
      </c>
      <c r="N1369">
        <f t="shared" si="183"/>
        <v>325</v>
      </c>
      <c r="O1369">
        <f t="shared" si="183"/>
        <v>350</v>
      </c>
      <c r="P1369">
        <f t="shared" si="185"/>
        <v>368</v>
      </c>
      <c r="Q1369">
        <f t="shared" si="185"/>
        <v>394</v>
      </c>
      <c r="S1369" t="str">
        <f t="shared" si="179"/>
        <v>11.12.2025</v>
      </c>
      <c r="T1369" t="str">
        <f t="shared" si="180"/>
        <v>00:45:00</v>
      </c>
      <c r="U1369" t="str">
        <f t="shared" si="181"/>
        <v>11.12.2025 00:45:00</v>
      </c>
      <c r="V1369" s="9" t="str">
        <f>MID($A1369,C1369+C$2+1,D1369-C1369-C$2-1)</f>
        <v>0</v>
      </c>
      <c r="W1369" s="4">
        <f>VALUE(SUBSTITUTE(MID($A1369,D1369+D$2+1,E1369-D1369-D$2-1),",","."))</f>
        <v>0</v>
      </c>
      <c r="X1369" s="4">
        <f>VALUE(SUBSTITUTE(MID($A1369,E1369+E$2+1,F1369-E1369-E$2-1),",","."))</f>
        <v>0.90957602214449496</v>
      </c>
      <c r="Y1369" s="4">
        <f>VALUE(SUBSTITUTE(MID($A1369,F1369+F$2+1,G1369-F1369-F$2-1),",","."))</f>
        <v>0</v>
      </c>
      <c r="Z1369" s="3">
        <f>VALUE(SUBSTITUTE(MID($A1369,G1369+G$2+1,H1369-G1369-G$2-1),",","."))</f>
        <v>0</v>
      </c>
      <c r="AA1369" s="3">
        <f>VALUE(SUBSTITUTE(MID($A1369,H1369+H$2+1,I1369-H1369-H$2-1),",","."))</f>
        <v>0</v>
      </c>
      <c r="AB1369" s="3">
        <f>VALUE(SUBSTITUTE(MID($A1369,I1369+I$2+1,J1369-I1369-I$2-1),",","."))</f>
        <v>0</v>
      </c>
      <c r="AC1369" s="3">
        <f>VALUE(SUBSTITUTE(MID($A1369,J1369+J$2+1,K1369-J1369-J$2-1),",","."))</f>
        <v>2.9</v>
      </c>
      <c r="AD1369" s="3">
        <f>VALUE(SUBSTITUTE(MID($A1369,K1369+K$2+1,L1369-K1369-K$2-1),",","."))</f>
        <v>50.76</v>
      </c>
      <c r="AE1369" s="3">
        <f>VALUE(SUBSTITUTE(MID($A1369,L1369+L$2+1,M1369-L1369-L$2-1),",","."))</f>
        <v>0</v>
      </c>
      <c r="AF1369" s="3">
        <f>VALUE(SUBSTITUTE(MID($A1369,M1369+M$2+1,N1369-M1369-M$2-1),",","."))</f>
        <v>0</v>
      </c>
      <c r="AG1369" s="3">
        <f>VALUE(SUBSTITUTE(MID($A1369,N1369+N$2+1,O1369-N1369-N$2-1),",","."))</f>
        <v>4.2424189117978797</v>
      </c>
      <c r="AH1369" t="str">
        <f>MID($A1369,O1369+O$2+1,P1369-O1369-O$2-1)</f>
        <v/>
      </c>
      <c r="AI1369" s="8" t="str">
        <f>MID($A1369,P1369+P$2+1,Q1369-P1369-P$2-1)</f>
        <v>False</v>
      </c>
      <c r="AK1369" t="b">
        <f t="shared" si="182"/>
        <v>0</v>
      </c>
    </row>
    <row r="1370" spans="1:37" x14ac:dyDescent="0.35">
      <c r="A1370" t="s">
        <v>5917</v>
      </c>
      <c r="B1370">
        <f t="shared" si="184"/>
        <v>10</v>
      </c>
      <c r="C1370">
        <f t="shared" si="184"/>
        <v>43</v>
      </c>
      <c r="D1370">
        <f t="shared" si="184"/>
        <v>54</v>
      </c>
      <c r="E1370">
        <f t="shared" si="184"/>
        <v>80</v>
      </c>
      <c r="F1370">
        <f t="shared" si="184"/>
        <v>124</v>
      </c>
      <c r="G1370">
        <f t="shared" si="184"/>
        <v>145</v>
      </c>
      <c r="H1370">
        <f t="shared" si="184"/>
        <v>177</v>
      </c>
      <c r="I1370">
        <f t="shared" si="183"/>
        <v>199</v>
      </c>
      <c r="J1370">
        <f t="shared" si="183"/>
        <v>232</v>
      </c>
      <c r="K1370">
        <f t="shared" si="183"/>
        <v>266</v>
      </c>
      <c r="L1370">
        <f t="shared" si="183"/>
        <v>298</v>
      </c>
      <c r="M1370">
        <f t="shared" si="183"/>
        <v>313</v>
      </c>
      <c r="N1370">
        <f t="shared" si="183"/>
        <v>325</v>
      </c>
      <c r="O1370">
        <f t="shared" si="183"/>
        <v>349</v>
      </c>
      <c r="P1370">
        <f t="shared" si="185"/>
        <v>367</v>
      </c>
      <c r="Q1370">
        <f t="shared" si="185"/>
        <v>393</v>
      </c>
      <c r="S1370" t="str">
        <f t="shared" si="179"/>
        <v>11.12.2025</v>
      </c>
      <c r="T1370" t="str">
        <f t="shared" si="180"/>
        <v>01:00:00</v>
      </c>
      <c r="U1370" t="str">
        <f t="shared" si="181"/>
        <v>11.12.2025 01:00:00</v>
      </c>
      <c r="V1370" s="9" t="str">
        <f>MID($A1370,C1370+C$2+1,D1370-C1370-C$2-1)</f>
        <v>0</v>
      </c>
      <c r="W1370" s="4">
        <f>VALUE(SUBSTITUTE(MID($A1370,D1370+D$2+1,E1370-D1370-D$2-1),",","."))</f>
        <v>0</v>
      </c>
      <c r="X1370" s="4">
        <f>VALUE(SUBSTITUTE(MID($A1370,E1370+E$2+1,F1370-E1370-E$2-1),",","."))</f>
        <v>0.90957602214449496</v>
      </c>
      <c r="Y1370" s="4">
        <f>VALUE(SUBSTITUTE(MID($A1370,F1370+F$2+1,G1370-F1370-F$2-1),",","."))</f>
        <v>0</v>
      </c>
      <c r="Z1370" s="3">
        <f>VALUE(SUBSTITUTE(MID($A1370,G1370+G$2+1,H1370-G1370-G$2-1),",","."))</f>
        <v>0</v>
      </c>
      <c r="AA1370" s="3">
        <f>VALUE(SUBSTITUTE(MID($A1370,H1370+H$2+1,I1370-H1370-H$2-1),",","."))</f>
        <v>0</v>
      </c>
      <c r="AB1370" s="3">
        <f>VALUE(SUBSTITUTE(MID($A1370,I1370+I$2+1,J1370-I1370-I$2-1),",","."))</f>
        <v>0</v>
      </c>
      <c r="AC1370" s="3">
        <f>VALUE(SUBSTITUTE(MID($A1370,J1370+J$2+1,K1370-J1370-J$2-1),",","."))</f>
        <v>2.9</v>
      </c>
      <c r="AD1370" s="3">
        <f>VALUE(SUBSTITUTE(MID($A1370,K1370+K$2+1,L1370-K1370-K$2-1),",","."))</f>
        <v>50.76</v>
      </c>
      <c r="AE1370" s="3">
        <f>VALUE(SUBSTITUTE(MID($A1370,L1370+L$2+1,M1370-L1370-L$2-1),",","."))</f>
        <v>0</v>
      </c>
      <c r="AF1370" s="3">
        <f>VALUE(SUBSTITUTE(MID($A1370,M1370+M$2+1,N1370-M1370-M$2-1),",","."))</f>
        <v>0</v>
      </c>
      <c r="AG1370" s="3">
        <f>VALUE(SUBSTITUTE(MID($A1370,N1370+N$2+1,O1370-N1370-N$2-1),",","."))</f>
        <v>4.2424474316859699</v>
      </c>
      <c r="AH1370" t="str">
        <f>MID($A1370,O1370+O$2+1,P1370-O1370-O$2-1)</f>
        <v/>
      </c>
      <c r="AI1370" s="8" t="str">
        <f>MID($A1370,P1370+P$2+1,Q1370-P1370-P$2-1)</f>
        <v>False</v>
      </c>
      <c r="AK1370" t="b">
        <f t="shared" si="182"/>
        <v>0</v>
      </c>
    </row>
    <row r="1371" spans="1:37" x14ac:dyDescent="0.35">
      <c r="A1371" t="s">
        <v>5918</v>
      </c>
      <c r="B1371">
        <f t="shared" si="184"/>
        <v>10</v>
      </c>
      <c r="C1371">
        <f t="shared" si="184"/>
        <v>43</v>
      </c>
      <c r="D1371">
        <f t="shared" si="184"/>
        <v>54</v>
      </c>
      <c r="E1371">
        <f t="shared" si="184"/>
        <v>80</v>
      </c>
      <c r="F1371">
        <f t="shared" si="184"/>
        <v>124</v>
      </c>
      <c r="G1371">
        <f t="shared" si="184"/>
        <v>145</v>
      </c>
      <c r="H1371">
        <f t="shared" si="184"/>
        <v>177</v>
      </c>
      <c r="I1371">
        <f t="shared" si="183"/>
        <v>199</v>
      </c>
      <c r="J1371">
        <f t="shared" si="183"/>
        <v>232</v>
      </c>
      <c r="K1371">
        <f t="shared" si="183"/>
        <v>266</v>
      </c>
      <c r="L1371">
        <f t="shared" si="183"/>
        <v>298</v>
      </c>
      <c r="M1371">
        <f t="shared" si="183"/>
        <v>313</v>
      </c>
      <c r="N1371">
        <f t="shared" si="183"/>
        <v>325</v>
      </c>
      <c r="O1371">
        <f t="shared" si="183"/>
        <v>350</v>
      </c>
      <c r="P1371">
        <f t="shared" si="185"/>
        <v>368</v>
      </c>
      <c r="Q1371">
        <f t="shared" si="185"/>
        <v>394</v>
      </c>
      <c r="S1371" t="str">
        <f t="shared" si="179"/>
        <v>11.12.2025</v>
      </c>
      <c r="T1371" t="str">
        <f t="shared" si="180"/>
        <v>01:15:00</v>
      </c>
      <c r="U1371" t="str">
        <f t="shared" si="181"/>
        <v>11.12.2025 01:15:00</v>
      </c>
      <c r="V1371" s="9" t="str">
        <f>MID($A1371,C1371+C$2+1,D1371-C1371-C$2-1)</f>
        <v>0</v>
      </c>
      <c r="W1371" s="4">
        <f>VALUE(SUBSTITUTE(MID($A1371,D1371+D$2+1,E1371-D1371-D$2-1),",","."))</f>
        <v>0</v>
      </c>
      <c r="X1371" s="4">
        <f>VALUE(SUBSTITUTE(MID($A1371,E1371+E$2+1,F1371-E1371-E$2-1),",","."))</f>
        <v>0.90957602214449496</v>
      </c>
      <c r="Y1371" s="4">
        <f>VALUE(SUBSTITUTE(MID($A1371,F1371+F$2+1,G1371-F1371-F$2-1),",","."))</f>
        <v>0</v>
      </c>
      <c r="Z1371" s="3">
        <f>VALUE(SUBSTITUTE(MID($A1371,G1371+G$2+1,H1371-G1371-G$2-1),",","."))</f>
        <v>0</v>
      </c>
      <c r="AA1371" s="3">
        <f>VALUE(SUBSTITUTE(MID($A1371,H1371+H$2+1,I1371-H1371-H$2-1),",","."))</f>
        <v>0</v>
      </c>
      <c r="AB1371" s="3">
        <f>VALUE(SUBSTITUTE(MID($A1371,I1371+I$2+1,J1371-I1371-I$2-1),",","."))</f>
        <v>0</v>
      </c>
      <c r="AC1371" s="3">
        <f>VALUE(SUBSTITUTE(MID($A1371,J1371+J$2+1,K1371-J1371-J$2-1),",","."))</f>
        <v>2.9</v>
      </c>
      <c r="AD1371" s="3">
        <f>VALUE(SUBSTITUTE(MID($A1371,K1371+K$2+1,L1371-K1371-K$2-1),",","."))</f>
        <v>50.76</v>
      </c>
      <c r="AE1371" s="3">
        <f>VALUE(SUBSTITUTE(MID($A1371,L1371+L$2+1,M1371-L1371-L$2-1),",","."))</f>
        <v>0</v>
      </c>
      <c r="AF1371" s="3">
        <f>VALUE(SUBSTITUTE(MID($A1371,M1371+M$2+1,N1371-M1371-M$2-1),",","."))</f>
        <v>0</v>
      </c>
      <c r="AG1371" s="3">
        <f>VALUE(SUBSTITUTE(MID($A1371,N1371+N$2+1,O1371-N1371-N$2-1),",","."))</f>
        <v>4.2424759515740504</v>
      </c>
      <c r="AH1371" t="str">
        <f>MID($A1371,O1371+O$2+1,P1371-O1371-O$2-1)</f>
        <v/>
      </c>
      <c r="AI1371" s="8" t="str">
        <f>MID($A1371,P1371+P$2+1,Q1371-P1371-P$2-1)</f>
        <v>False</v>
      </c>
      <c r="AK1371" t="b">
        <f t="shared" si="182"/>
        <v>0</v>
      </c>
    </row>
    <row r="1372" spans="1:37" x14ac:dyDescent="0.35">
      <c r="A1372" t="s">
        <v>5919</v>
      </c>
      <c r="B1372">
        <f t="shared" si="184"/>
        <v>10</v>
      </c>
      <c r="C1372">
        <f t="shared" si="184"/>
        <v>43</v>
      </c>
      <c r="D1372">
        <f t="shared" si="184"/>
        <v>54</v>
      </c>
      <c r="E1372">
        <f t="shared" si="184"/>
        <v>80</v>
      </c>
      <c r="F1372">
        <f t="shared" si="184"/>
        <v>124</v>
      </c>
      <c r="G1372">
        <f t="shared" si="184"/>
        <v>145</v>
      </c>
      <c r="H1372">
        <f t="shared" si="184"/>
        <v>177</v>
      </c>
      <c r="I1372">
        <f t="shared" si="183"/>
        <v>199</v>
      </c>
      <c r="J1372">
        <f t="shared" si="183"/>
        <v>232</v>
      </c>
      <c r="K1372">
        <f t="shared" si="183"/>
        <v>252</v>
      </c>
      <c r="L1372">
        <f t="shared" si="183"/>
        <v>283</v>
      </c>
      <c r="M1372">
        <f t="shared" si="183"/>
        <v>298</v>
      </c>
      <c r="N1372">
        <f t="shared" si="183"/>
        <v>310</v>
      </c>
      <c r="O1372">
        <f t="shared" si="183"/>
        <v>335</v>
      </c>
      <c r="P1372">
        <f t="shared" si="185"/>
        <v>353</v>
      </c>
      <c r="Q1372">
        <f t="shared" si="185"/>
        <v>379</v>
      </c>
      <c r="S1372" t="str">
        <f t="shared" si="179"/>
        <v>11.12.2025</v>
      </c>
      <c r="T1372" t="str">
        <f t="shared" si="180"/>
        <v>01:30:00</v>
      </c>
      <c r="U1372" t="str">
        <f t="shared" si="181"/>
        <v>11.12.2025 01:30:00</v>
      </c>
      <c r="V1372" s="9" t="str">
        <f>MID($A1372,C1372+C$2+1,D1372-C1372-C$2-1)</f>
        <v>0</v>
      </c>
      <c r="W1372" s="4">
        <f>VALUE(SUBSTITUTE(MID($A1372,D1372+D$2+1,E1372-D1372-D$2-1),",","."))</f>
        <v>0</v>
      </c>
      <c r="X1372" s="4">
        <f>VALUE(SUBSTITUTE(MID($A1372,E1372+E$2+1,F1372-E1372-E$2-1),",","."))</f>
        <v>0.90957602214449496</v>
      </c>
      <c r="Y1372" s="4">
        <f>VALUE(SUBSTITUTE(MID($A1372,F1372+F$2+1,G1372-F1372-F$2-1),",","."))</f>
        <v>0</v>
      </c>
      <c r="Z1372" s="3">
        <f>VALUE(SUBSTITUTE(MID($A1372,G1372+G$2+1,H1372-G1372-G$2-1),",","."))</f>
        <v>0</v>
      </c>
      <c r="AA1372" s="3">
        <f>VALUE(SUBSTITUTE(MID($A1372,H1372+H$2+1,I1372-H1372-H$2-1),",","."))</f>
        <v>0</v>
      </c>
      <c r="AB1372" s="3">
        <f>VALUE(SUBSTITUTE(MID($A1372,I1372+I$2+1,J1372-I1372-I$2-1),",","."))</f>
        <v>0</v>
      </c>
      <c r="AC1372" s="3">
        <f>VALUE(SUBSTITUTE(MID($A1372,J1372+J$2+1,K1372-J1372-J$2-1),",","."))</f>
        <v>2.95</v>
      </c>
      <c r="AD1372" s="3">
        <f>VALUE(SUBSTITUTE(MID($A1372,K1372+K$2+1,L1372-K1372-K$2-1),",","."))</f>
        <v>54.18</v>
      </c>
      <c r="AE1372" s="3">
        <f>VALUE(SUBSTITUTE(MID($A1372,L1372+L$2+1,M1372-L1372-L$2-1),",","."))</f>
        <v>0</v>
      </c>
      <c r="AF1372" s="3">
        <f>VALUE(SUBSTITUTE(MID($A1372,M1372+M$2+1,N1372-M1372-M$2-1),",","."))</f>
        <v>0</v>
      </c>
      <c r="AG1372" s="3">
        <f>VALUE(SUBSTITUTE(MID($A1372,N1372+N$2+1,O1372-N1372-N$2-1),",","."))</f>
        <v>4.2425044714621301</v>
      </c>
      <c r="AH1372" t="str">
        <f>MID($A1372,O1372+O$2+1,P1372-O1372-O$2-1)</f>
        <v/>
      </c>
      <c r="AI1372" s="8" t="str">
        <f>MID($A1372,P1372+P$2+1,Q1372-P1372-P$2-1)</f>
        <v>False</v>
      </c>
      <c r="AK1372" t="b">
        <f t="shared" si="182"/>
        <v>0</v>
      </c>
    </row>
    <row r="1373" spans="1:37" x14ac:dyDescent="0.35">
      <c r="A1373" t="s">
        <v>5920</v>
      </c>
      <c r="B1373">
        <f t="shared" si="184"/>
        <v>10</v>
      </c>
      <c r="C1373">
        <f t="shared" si="184"/>
        <v>43</v>
      </c>
      <c r="D1373">
        <f t="shared" si="184"/>
        <v>54</v>
      </c>
      <c r="E1373">
        <f t="shared" si="184"/>
        <v>80</v>
      </c>
      <c r="F1373">
        <f t="shared" si="184"/>
        <v>124</v>
      </c>
      <c r="G1373">
        <f t="shared" si="184"/>
        <v>145</v>
      </c>
      <c r="H1373">
        <f t="shared" si="184"/>
        <v>177</v>
      </c>
      <c r="I1373">
        <f t="shared" si="183"/>
        <v>199</v>
      </c>
      <c r="J1373">
        <f t="shared" si="183"/>
        <v>232</v>
      </c>
      <c r="K1373">
        <f t="shared" si="183"/>
        <v>252</v>
      </c>
      <c r="L1373">
        <f t="shared" si="183"/>
        <v>283</v>
      </c>
      <c r="M1373">
        <f t="shared" si="183"/>
        <v>298</v>
      </c>
      <c r="N1373">
        <f t="shared" si="183"/>
        <v>310</v>
      </c>
      <c r="O1373">
        <f t="shared" si="183"/>
        <v>335</v>
      </c>
      <c r="P1373">
        <f t="shared" si="185"/>
        <v>353</v>
      </c>
      <c r="Q1373">
        <f t="shared" si="185"/>
        <v>379</v>
      </c>
      <c r="S1373" t="str">
        <f t="shared" si="179"/>
        <v>11.12.2025</v>
      </c>
      <c r="T1373" t="str">
        <f t="shared" si="180"/>
        <v>01:45:00</v>
      </c>
      <c r="U1373" t="str">
        <f t="shared" si="181"/>
        <v>11.12.2025 01:45:00</v>
      </c>
      <c r="V1373" s="9" t="str">
        <f>MID($A1373,C1373+C$2+1,D1373-C1373-C$2-1)</f>
        <v>0</v>
      </c>
      <c r="W1373" s="4">
        <f>VALUE(SUBSTITUTE(MID($A1373,D1373+D$2+1,E1373-D1373-D$2-1),",","."))</f>
        <v>0</v>
      </c>
      <c r="X1373" s="4">
        <f>VALUE(SUBSTITUTE(MID($A1373,E1373+E$2+1,F1373-E1373-E$2-1),",","."))</f>
        <v>0.90957602214449496</v>
      </c>
      <c r="Y1373" s="4">
        <f>VALUE(SUBSTITUTE(MID($A1373,F1373+F$2+1,G1373-F1373-F$2-1),",","."))</f>
        <v>0</v>
      </c>
      <c r="Z1373" s="3">
        <f>VALUE(SUBSTITUTE(MID($A1373,G1373+G$2+1,H1373-G1373-G$2-1),",","."))</f>
        <v>0</v>
      </c>
      <c r="AA1373" s="3">
        <f>VALUE(SUBSTITUTE(MID($A1373,H1373+H$2+1,I1373-H1373-H$2-1),",","."))</f>
        <v>0</v>
      </c>
      <c r="AB1373" s="3">
        <f>VALUE(SUBSTITUTE(MID($A1373,I1373+I$2+1,J1373-I1373-I$2-1),",","."))</f>
        <v>0</v>
      </c>
      <c r="AC1373" s="3">
        <f>VALUE(SUBSTITUTE(MID($A1373,J1373+J$2+1,K1373-J1373-J$2-1),",","."))</f>
        <v>2.95</v>
      </c>
      <c r="AD1373" s="3">
        <f>VALUE(SUBSTITUTE(MID($A1373,K1373+K$2+1,L1373-K1373-K$2-1),",","."))</f>
        <v>54.18</v>
      </c>
      <c r="AE1373" s="3">
        <f>VALUE(SUBSTITUTE(MID($A1373,L1373+L$2+1,M1373-L1373-L$2-1),",","."))</f>
        <v>0</v>
      </c>
      <c r="AF1373" s="3">
        <f>VALUE(SUBSTITUTE(MID($A1373,M1373+M$2+1,N1373-M1373-M$2-1),",","."))</f>
        <v>0</v>
      </c>
      <c r="AG1373" s="3">
        <f>VALUE(SUBSTITUTE(MID($A1373,N1373+N$2+1,O1373-N1373-N$2-1),",","."))</f>
        <v>4.2425329913502097</v>
      </c>
      <c r="AH1373" t="str">
        <f>MID($A1373,O1373+O$2+1,P1373-O1373-O$2-1)</f>
        <v/>
      </c>
      <c r="AI1373" s="8" t="str">
        <f>MID($A1373,P1373+P$2+1,Q1373-P1373-P$2-1)</f>
        <v>False</v>
      </c>
      <c r="AK1373" t="b">
        <f t="shared" si="182"/>
        <v>0</v>
      </c>
    </row>
    <row r="1374" spans="1:37" x14ac:dyDescent="0.35">
      <c r="A1374" t="s">
        <v>5921</v>
      </c>
      <c r="B1374">
        <f t="shared" si="184"/>
        <v>10</v>
      </c>
      <c r="C1374">
        <f t="shared" si="184"/>
        <v>43</v>
      </c>
      <c r="D1374">
        <f t="shared" si="184"/>
        <v>54</v>
      </c>
      <c r="E1374">
        <f t="shared" si="184"/>
        <v>80</v>
      </c>
      <c r="F1374">
        <f t="shared" si="184"/>
        <v>124</v>
      </c>
      <c r="G1374">
        <f t="shared" si="184"/>
        <v>145</v>
      </c>
      <c r="H1374">
        <f t="shared" si="184"/>
        <v>177</v>
      </c>
      <c r="I1374">
        <f t="shared" si="183"/>
        <v>199</v>
      </c>
      <c r="J1374">
        <f t="shared" si="183"/>
        <v>232</v>
      </c>
      <c r="K1374">
        <f t="shared" si="183"/>
        <v>252</v>
      </c>
      <c r="L1374">
        <f t="shared" si="183"/>
        <v>283</v>
      </c>
      <c r="M1374">
        <f t="shared" si="183"/>
        <v>298</v>
      </c>
      <c r="N1374">
        <f t="shared" si="183"/>
        <v>310</v>
      </c>
      <c r="O1374">
        <f t="shared" si="183"/>
        <v>336</v>
      </c>
      <c r="P1374">
        <f t="shared" si="185"/>
        <v>354</v>
      </c>
      <c r="Q1374">
        <f t="shared" si="185"/>
        <v>380</v>
      </c>
      <c r="S1374" t="str">
        <f t="shared" si="179"/>
        <v>11.12.2025</v>
      </c>
      <c r="T1374" t="str">
        <f t="shared" si="180"/>
        <v>02:00:00</v>
      </c>
      <c r="U1374" t="str">
        <f t="shared" si="181"/>
        <v>11.12.2025 02:00:00</v>
      </c>
      <c r="V1374" s="9" t="str">
        <f>MID($A1374,C1374+C$2+1,D1374-C1374-C$2-1)</f>
        <v>0</v>
      </c>
      <c r="W1374" s="4">
        <f>VALUE(SUBSTITUTE(MID($A1374,D1374+D$2+1,E1374-D1374-D$2-1),",","."))</f>
        <v>0</v>
      </c>
      <c r="X1374" s="4">
        <f>VALUE(SUBSTITUTE(MID($A1374,E1374+E$2+1,F1374-E1374-E$2-1),",","."))</f>
        <v>0.90957602214449496</v>
      </c>
      <c r="Y1374" s="4">
        <f>VALUE(SUBSTITUTE(MID($A1374,F1374+F$2+1,G1374-F1374-F$2-1),",","."))</f>
        <v>0</v>
      </c>
      <c r="Z1374" s="3">
        <f>VALUE(SUBSTITUTE(MID($A1374,G1374+G$2+1,H1374-G1374-G$2-1),",","."))</f>
        <v>0</v>
      </c>
      <c r="AA1374" s="3">
        <f>VALUE(SUBSTITUTE(MID($A1374,H1374+H$2+1,I1374-H1374-H$2-1),",","."))</f>
        <v>0</v>
      </c>
      <c r="AB1374" s="3">
        <f>VALUE(SUBSTITUTE(MID($A1374,I1374+I$2+1,J1374-I1374-I$2-1),",","."))</f>
        <v>0</v>
      </c>
      <c r="AC1374" s="3">
        <f>VALUE(SUBSTITUTE(MID($A1374,J1374+J$2+1,K1374-J1374-J$2-1),",","."))</f>
        <v>2.95</v>
      </c>
      <c r="AD1374" s="3">
        <f>VALUE(SUBSTITUTE(MID($A1374,K1374+K$2+1,L1374-K1374-K$2-1),",","."))</f>
        <v>54.18</v>
      </c>
      <c r="AE1374" s="3">
        <f>VALUE(SUBSTITUTE(MID($A1374,L1374+L$2+1,M1374-L1374-L$2-1),",","."))</f>
        <v>0</v>
      </c>
      <c r="AF1374" s="3">
        <f>VALUE(SUBSTITUTE(MID($A1374,M1374+M$2+1,N1374-M1374-M$2-1),",","."))</f>
        <v>0</v>
      </c>
      <c r="AG1374" s="3">
        <f>VALUE(SUBSTITUTE(MID($A1374,N1374+N$2+1,O1374-N1374-N$2-1),",","."))</f>
        <v>4.2425615112382902</v>
      </c>
      <c r="AH1374" t="str">
        <f>MID($A1374,O1374+O$2+1,P1374-O1374-O$2-1)</f>
        <v/>
      </c>
      <c r="AI1374" s="8" t="str">
        <f>MID($A1374,P1374+P$2+1,Q1374-P1374-P$2-1)</f>
        <v>False</v>
      </c>
      <c r="AK1374" t="b">
        <f t="shared" si="182"/>
        <v>0</v>
      </c>
    </row>
    <row r="1375" spans="1:37" x14ac:dyDescent="0.35">
      <c r="A1375" t="s">
        <v>5922</v>
      </c>
      <c r="B1375">
        <f t="shared" si="184"/>
        <v>10</v>
      </c>
      <c r="C1375">
        <f t="shared" si="184"/>
        <v>43</v>
      </c>
      <c r="D1375">
        <f t="shared" si="184"/>
        <v>54</v>
      </c>
      <c r="E1375">
        <f t="shared" si="184"/>
        <v>80</v>
      </c>
      <c r="F1375">
        <f t="shared" si="184"/>
        <v>124</v>
      </c>
      <c r="G1375">
        <f t="shared" si="184"/>
        <v>145</v>
      </c>
      <c r="H1375">
        <f t="shared" si="184"/>
        <v>177</v>
      </c>
      <c r="I1375">
        <f t="shared" si="183"/>
        <v>199</v>
      </c>
      <c r="J1375">
        <f t="shared" si="183"/>
        <v>232</v>
      </c>
      <c r="K1375">
        <f t="shared" si="183"/>
        <v>252</v>
      </c>
      <c r="L1375">
        <f t="shared" si="183"/>
        <v>283</v>
      </c>
      <c r="M1375">
        <f t="shared" si="183"/>
        <v>298</v>
      </c>
      <c r="N1375">
        <f t="shared" si="183"/>
        <v>310</v>
      </c>
      <c r="O1375">
        <f t="shared" si="183"/>
        <v>335</v>
      </c>
      <c r="P1375">
        <f t="shared" si="185"/>
        <v>353</v>
      </c>
      <c r="Q1375">
        <f t="shared" si="185"/>
        <v>379</v>
      </c>
      <c r="S1375" t="str">
        <f t="shared" si="179"/>
        <v>11.12.2025</v>
      </c>
      <c r="T1375" t="str">
        <f t="shared" si="180"/>
        <v>02:15:00</v>
      </c>
      <c r="U1375" t="str">
        <f t="shared" si="181"/>
        <v>11.12.2025 02:15:00</v>
      </c>
      <c r="V1375" s="9" t="str">
        <f>MID($A1375,C1375+C$2+1,D1375-C1375-C$2-1)</f>
        <v>0</v>
      </c>
      <c r="W1375" s="4">
        <f>VALUE(SUBSTITUTE(MID($A1375,D1375+D$2+1,E1375-D1375-D$2-1),",","."))</f>
        <v>0</v>
      </c>
      <c r="X1375" s="4">
        <f>VALUE(SUBSTITUTE(MID($A1375,E1375+E$2+1,F1375-E1375-E$2-1),",","."))</f>
        <v>0.90957602214449496</v>
      </c>
      <c r="Y1375" s="4">
        <f>VALUE(SUBSTITUTE(MID($A1375,F1375+F$2+1,G1375-F1375-F$2-1),",","."))</f>
        <v>0</v>
      </c>
      <c r="Z1375" s="3">
        <f>VALUE(SUBSTITUTE(MID($A1375,G1375+G$2+1,H1375-G1375-G$2-1),",","."))</f>
        <v>0</v>
      </c>
      <c r="AA1375" s="3">
        <f>VALUE(SUBSTITUTE(MID($A1375,H1375+H$2+1,I1375-H1375-H$2-1),",","."))</f>
        <v>0</v>
      </c>
      <c r="AB1375" s="3">
        <f>VALUE(SUBSTITUTE(MID($A1375,I1375+I$2+1,J1375-I1375-I$2-1),",","."))</f>
        <v>0</v>
      </c>
      <c r="AC1375" s="3">
        <f>VALUE(SUBSTITUTE(MID($A1375,J1375+J$2+1,K1375-J1375-J$2-1),",","."))</f>
        <v>2.95</v>
      </c>
      <c r="AD1375" s="3">
        <f>VALUE(SUBSTITUTE(MID($A1375,K1375+K$2+1,L1375-K1375-K$2-1),",","."))</f>
        <v>54.18</v>
      </c>
      <c r="AE1375" s="3">
        <f>VALUE(SUBSTITUTE(MID($A1375,L1375+L$2+1,M1375-L1375-L$2-1),",","."))</f>
        <v>0</v>
      </c>
      <c r="AF1375" s="3">
        <f>VALUE(SUBSTITUTE(MID($A1375,M1375+M$2+1,N1375-M1375-M$2-1),",","."))</f>
        <v>0</v>
      </c>
      <c r="AG1375" s="3">
        <f>VALUE(SUBSTITUTE(MID($A1375,N1375+N$2+1,O1375-N1375-N$2-1),",","."))</f>
        <v>4.2425900311263698</v>
      </c>
      <c r="AH1375" t="str">
        <f>MID($A1375,O1375+O$2+1,P1375-O1375-O$2-1)</f>
        <v/>
      </c>
      <c r="AI1375" s="8" t="str">
        <f>MID($A1375,P1375+P$2+1,Q1375-P1375-P$2-1)</f>
        <v>False</v>
      </c>
      <c r="AK1375" t="b">
        <f t="shared" si="182"/>
        <v>0</v>
      </c>
    </row>
    <row r="1376" spans="1:37" x14ac:dyDescent="0.35">
      <c r="A1376" t="s">
        <v>5923</v>
      </c>
      <c r="B1376">
        <f t="shared" si="184"/>
        <v>10</v>
      </c>
      <c r="C1376">
        <f t="shared" si="184"/>
        <v>43</v>
      </c>
      <c r="D1376">
        <f t="shared" si="184"/>
        <v>54</v>
      </c>
      <c r="E1376">
        <f t="shared" si="184"/>
        <v>80</v>
      </c>
      <c r="F1376">
        <f t="shared" si="184"/>
        <v>124</v>
      </c>
      <c r="G1376">
        <f t="shared" si="184"/>
        <v>145</v>
      </c>
      <c r="H1376">
        <f t="shared" si="184"/>
        <v>177</v>
      </c>
      <c r="I1376">
        <f t="shared" si="183"/>
        <v>199</v>
      </c>
      <c r="J1376">
        <f t="shared" si="183"/>
        <v>232</v>
      </c>
      <c r="K1376">
        <f t="shared" si="183"/>
        <v>251</v>
      </c>
      <c r="L1376">
        <f t="shared" si="183"/>
        <v>270</v>
      </c>
      <c r="M1376">
        <f t="shared" si="183"/>
        <v>285</v>
      </c>
      <c r="N1376">
        <f t="shared" si="183"/>
        <v>297</v>
      </c>
      <c r="O1376">
        <f t="shared" si="183"/>
        <v>322</v>
      </c>
      <c r="P1376">
        <f t="shared" si="185"/>
        <v>340</v>
      </c>
      <c r="Q1376">
        <f t="shared" si="185"/>
        <v>366</v>
      </c>
      <c r="S1376" t="str">
        <f t="shared" si="179"/>
        <v>11.12.2025</v>
      </c>
      <c r="T1376" t="str">
        <f t="shared" si="180"/>
        <v>02:30:00</v>
      </c>
      <c r="U1376" t="str">
        <f t="shared" si="181"/>
        <v>11.12.2025 02:30:00</v>
      </c>
      <c r="V1376" s="9" t="str">
        <f>MID($A1376,C1376+C$2+1,D1376-C1376-C$2-1)</f>
        <v>0</v>
      </c>
      <c r="W1376" s="4">
        <f>VALUE(SUBSTITUTE(MID($A1376,D1376+D$2+1,E1376-D1376-D$2-1),",","."))</f>
        <v>0</v>
      </c>
      <c r="X1376" s="4">
        <f>VALUE(SUBSTITUTE(MID($A1376,E1376+E$2+1,F1376-E1376-E$2-1),",","."))</f>
        <v>0.90957602214449496</v>
      </c>
      <c r="Y1376" s="4">
        <f>VALUE(SUBSTITUTE(MID($A1376,F1376+F$2+1,G1376-F1376-F$2-1),",","."))</f>
        <v>0</v>
      </c>
      <c r="Z1376" s="3">
        <f>VALUE(SUBSTITUTE(MID($A1376,G1376+G$2+1,H1376-G1376-G$2-1),",","."))</f>
        <v>0</v>
      </c>
      <c r="AA1376" s="3">
        <f>VALUE(SUBSTITUTE(MID($A1376,H1376+H$2+1,I1376-H1376-H$2-1),",","."))</f>
        <v>0</v>
      </c>
      <c r="AB1376" s="3">
        <f>VALUE(SUBSTITUTE(MID($A1376,I1376+I$2+1,J1376-I1376-I$2-1),",","."))</f>
        <v>0</v>
      </c>
      <c r="AC1376" s="3">
        <f>VALUE(SUBSTITUTE(MID($A1376,J1376+J$2+1,K1376-J1376-J$2-1),",","."))</f>
        <v>2.9</v>
      </c>
      <c r="AD1376" s="3">
        <f>VALUE(SUBSTITUTE(MID($A1376,K1376+K$2+1,L1376-K1376-K$2-1),",","."))</f>
        <v>57.06</v>
      </c>
      <c r="AE1376" s="3">
        <f>VALUE(SUBSTITUTE(MID($A1376,L1376+L$2+1,M1376-L1376-L$2-1),",","."))</f>
        <v>0</v>
      </c>
      <c r="AF1376" s="3">
        <f>VALUE(SUBSTITUTE(MID($A1376,M1376+M$2+1,N1376-M1376-M$2-1),",","."))</f>
        <v>0</v>
      </c>
      <c r="AG1376" s="3">
        <f>VALUE(SUBSTITUTE(MID($A1376,N1376+N$2+1,O1376-N1376-N$2-1),",","."))</f>
        <v>4.2426185510144503</v>
      </c>
      <c r="AH1376" t="str">
        <f>MID($A1376,O1376+O$2+1,P1376-O1376-O$2-1)</f>
        <v/>
      </c>
      <c r="AI1376" s="8" t="str">
        <f>MID($A1376,P1376+P$2+1,Q1376-P1376-P$2-1)</f>
        <v>False</v>
      </c>
      <c r="AK1376" t="b">
        <f t="shared" si="182"/>
        <v>0</v>
      </c>
    </row>
    <row r="1377" spans="1:37" x14ac:dyDescent="0.35">
      <c r="A1377" t="s">
        <v>5924</v>
      </c>
      <c r="B1377">
        <f t="shared" si="184"/>
        <v>10</v>
      </c>
      <c r="C1377">
        <f t="shared" si="184"/>
        <v>43</v>
      </c>
      <c r="D1377">
        <f t="shared" si="184"/>
        <v>54</v>
      </c>
      <c r="E1377">
        <f t="shared" si="184"/>
        <v>80</v>
      </c>
      <c r="F1377">
        <f t="shared" si="184"/>
        <v>124</v>
      </c>
      <c r="G1377">
        <f t="shared" si="184"/>
        <v>145</v>
      </c>
      <c r="H1377">
        <f t="shared" si="184"/>
        <v>177</v>
      </c>
      <c r="I1377">
        <f t="shared" si="183"/>
        <v>199</v>
      </c>
      <c r="J1377">
        <f t="shared" si="183"/>
        <v>232</v>
      </c>
      <c r="K1377">
        <f t="shared" si="183"/>
        <v>251</v>
      </c>
      <c r="L1377">
        <f t="shared" si="183"/>
        <v>270</v>
      </c>
      <c r="M1377">
        <f t="shared" si="183"/>
        <v>285</v>
      </c>
      <c r="N1377">
        <f t="shared" si="183"/>
        <v>297</v>
      </c>
      <c r="O1377">
        <f t="shared" si="183"/>
        <v>322</v>
      </c>
      <c r="P1377">
        <f t="shared" si="185"/>
        <v>340</v>
      </c>
      <c r="Q1377">
        <f t="shared" si="185"/>
        <v>366</v>
      </c>
      <c r="S1377" t="str">
        <f t="shared" si="179"/>
        <v>11.12.2025</v>
      </c>
      <c r="T1377" t="str">
        <f t="shared" si="180"/>
        <v>02:45:00</v>
      </c>
      <c r="U1377" t="str">
        <f t="shared" si="181"/>
        <v>11.12.2025 02:45:00</v>
      </c>
      <c r="V1377" s="9" t="str">
        <f>MID($A1377,C1377+C$2+1,D1377-C1377-C$2-1)</f>
        <v>0</v>
      </c>
      <c r="W1377" s="4">
        <f>VALUE(SUBSTITUTE(MID($A1377,D1377+D$2+1,E1377-D1377-D$2-1),",","."))</f>
        <v>0</v>
      </c>
      <c r="X1377" s="4">
        <f>VALUE(SUBSTITUTE(MID($A1377,E1377+E$2+1,F1377-E1377-E$2-1),",","."))</f>
        <v>0.90957602214449496</v>
      </c>
      <c r="Y1377" s="4">
        <f>VALUE(SUBSTITUTE(MID($A1377,F1377+F$2+1,G1377-F1377-F$2-1),",","."))</f>
        <v>0</v>
      </c>
      <c r="Z1377" s="3">
        <f>VALUE(SUBSTITUTE(MID($A1377,G1377+G$2+1,H1377-G1377-G$2-1),",","."))</f>
        <v>0</v>
      </c>
      <c r="AA1377" s="3">
        <f>VALUE(SUBSTITUTE(MID($A1377,H1377+H$2+1,I1377-H1377-H$2-1),",","."))</f>
        <v>0</v>
      </c>
      <c r="AB1377" s="3">
        <f>VALUE(SUBSTITUTE(MID($A1377,I1377+I$2+1,J1377-I1377-I$2-1),",","."))</f>
        <v>0</v>
      </c>
      <c r="AC1377" s="3">
        <f>VALUE(SUBSTITUTE(MID($A1377,J1377+J$2+1,K1377-J1377-J$2-1),",","."))</f>
        <v>2.9</v>
      </c>
      <c r="AD1377" s="3">
        <f>VALUE(SUBSTITUTE(MID($A1377,K1377+K$2+1,L1377-K1377-K$2-1),",","."))</f>
        <v>57.06</v>
      </c>
      <c r="AE1377" s="3">
        <f>VALUE(SUBSTITUTE(MID($A1377,L1377+L$2+1,M1377-L1377-L$2-1),",","."))</f>
        <v>0</v>
      </c>
      <c r="AF1377" s="3">
        <f>VALUE(SUBSTITUTE(MID($A1377,M1377+M$2+1,N1377-M1377-M$2-1),",","."))</f>
        <v>0</v>
      </c>
      <c r="AG1377" s="3">
        <f>VALUE(SUBSTITUTE(MID($A1377,N1377+N$2+1,O1377-N1377-N$2-1),",","."))</f>
        <v>4.2426470709025397</v>
      </c>
      <c r="AH1377" t="str">
        <f>MID($A1377,O1377+O$2+1,P1377-O1377-O$2-1)</f>
        <v/>
      </c>
      <c r="AI1377" s="8" t="str">
        <f>MID($A1377,P1377+P$2+1,Q1377-P1377-P$2-1)</f>
        <v>False</v>
      </c>
      <c r="AK1377" t="b">
        <f t="shared" si="182"/>
        <v>0</v>
      </c>
    </row>
    <row r="1378" spans="1:37" x14ac:dyDescent="0.35">
      <c r="A1378" t="s">
        <v>5925</v>
      </c>
      <c r="B1378">
        <f t="shared" si="184"/>
        <v>10</v>
      </c>
      <c r="C1378">
        <f t="shared" si="184"/>
        <v>43</v>
      </c>
      <c r="D1378">
        <f t="shared" si="184"/>
        <v>54</v>
      </c>
      <c r="E1378">
        <f t="shared" si="184"/>
        <v>80</v>
      </c>
      <c r="F1378">
        <f t="shared" si="184"/>
        <v>124</v>
      </c>
      <c r="G1378">
        <f t="shared" si="184"/>
        <v>145</v>
      </c>
      <c r="H1378">
        <f t="shared" si="184"/>
        <v>177</v>
      </c>
      <c r="I1378">
        <f t="shared" si="183"/>
        <v>199</v>
      </c>
      <c r="J1378">
        <f t="shared" si="183"/>
        <v>232</v>
      </c>
      <c r="K1378">
        <f t="shared" si="183"/>
        <v>251</v>
      </c>
      <c r="L1378">
        <f t="shared" si="183"/>
        <v>270</v>
      </c>
      <c r="M1378">
        <f t="shared" si="183"/>
        <v>285</v>
      </c>
      <c r="N1378">
        <f t="shared" si="183"/>
        <v>297</v>
      </c>
      <c r="O1378">
        <f t="shared" si="183"/>
        <v>322</v>
      </c>
      <c r="P1378">
        <f t="shared" si="185"/>
        <v>340</v>
      </c>
      <c r="Q1378">
        <f t="shared" si="185"/>
        <v>366</v>
      </c>
      <c r="S1378" t="str">
        <f t="shared" si="179"/>
        <v>11.12.2025</v>
      </c>
      <c r="T1378" t="str">
        <f t="shared" si="180"/>
        <v>03:00:00</v>
      </c>
      <c r="U1378" t="str">
        <f t="shared" si="181"/>
        <v>11.12.2025 03:00:00</v>
      </c>
      <c r="V1378" s="9" t="str">
        <f>MID($A1378,C1378+C$2+1,D1378-C1378-C$2-1)</f>
        <v>0</v>
      </c>
      <c r="W1378" s="4">
        <f>VALUE(SUBSTITUTE(MID($A1378,D1378+D$2+1,E1378-D1378-D$2-1),",","."))</f>
        <v>0</v>
      </c>
      <c r="X1378" s="4">
        <f>VALUE(SUBSTITUTE(MID($A1378,E1378+E$2+1,F1378-E1378-E$2-1),",","."))</f>
        <v>0.90957602214449496</v>
      </c>
      <c r="Y1378" s="4">
        <f>VALUE(SUBSTITUTE(MID($A1378,F1378+F$2+1,G1378-F1378-F$2-1),",","."))</f>
        <v>0</v>
      </c>
      <c r="Z1378" s="3">
        <f>VALUE(SUBSTITUTE(MID($A1378,G1378+G$2+1,H1378-G1378-G$2-1),",","."))</f>
        <v>0</v>
      </c>
      <c r="AA1378" s="3">
        <f>VALUE(SUBSTITUTE(MID($A1378,H1378+H$2+1,I1378-H1378-H$2-1),",","."))</f>
        <v>0</v>
      </c>
      <c r="AB1378" s="3">
        <f>VALUE(SUBSTITUTE(MID($A1378,I1378+I$2+1,J1378-I1378-I$2-1),",","."))</f>
        <v>0</v>
      </c>
      <c r="AC1378" s="3">
        <f>VALUE(SUBSTITUTE(MID($A1378,J1378+J$2+1,K1378-J1378-J$2-1),",","."))</f>
        <v>2.9</v>
      </c>
      <c r="AD1378" s="3">
        <f>VALUE(SUBSTITUTE(MID($A1378,K1378+K$2+1,L1378-K1378-K$2-1),",","."))</f>
        <v>57.06</v>
      </c>
      <c r="AE1378" s="3">
        <f>VALUE(SUBSTITUTE(MID($A1378,L1378+L$2+1,M1378-L1378-L$2-1),",","."))</f>
        <v>0</v>
      </c>
      <c r="AF1378" s="3">
        <f>VALUE(SUBSTITUTE(MID($A1378,M1378+M$2+1,N1378-M1378-M$2-1),",","."))</f>
        <v>0</v>
      </c>
      <c r="AG1378" s="3">
        <f>VALUE(SUBSTITUTE(MID($A1378,N1378+N$2+1,O1378-N1378-N$2-1),",","."))</f>
        <v>4.2426755907906202</v>
      </c>
      <c r="AH1378" t="str">
        <f>MID($A1378,O1378+O$2+1,P1378-O1378-O$2-1)</f>
        <v/>
      </c>
      <c r="AI1378" s="8" t="str">
        <f>MID($A1378,P1378+P$2+1,Q1378-P1378-P$2-1)</f>
        <v>False</v>
      </c>
      <c r="AK1378" t="b">
        <f t="shared" si="182"/>
        <v>0</v>
      </c>
    </row>
    <row r="1379" spans="1:37" x14ac:dyDescent="0.35">
      <c r="A1379" t="s">
        <v>5926</v>
      </c>
      <c r="B1379">
        <f t="shared" si="184"/>
        <v>10</v>
      </c>
      <c r="C1379">
        <f t="shared" si="184"/>
        <v>43</v>
      </c>
      <c r="D1379">
        <f t="shared" si="184"/>
        <v>54</v>
      </c>
      <c r="E1379">
        <f t="shared" si="184"/>
        <v>80</v>
      </c>
      <c r="F1379">
        <f t="shared" si="184"/>
        <v>124</v>
      </c>
      <c r="G1379">
        <f t="shared" si="184"/>
        <v>145</v>
      </c>
      <c r="H1379">
        <f t="shared" si="184"/>
        <v>177</v>
      </c>
      <c r="I1379">
        <f t="shared" si="183"/>
        <v>199</v>
      </c>
      <c r="J1379">
        <f t="shared" si="183"/>
        <v>232</v>
      </c>
      <c r="K1379">
        <f t="shared" si="183"/>
        <v>251</v>
      </c>
      <c r="L1379">
        <f t="shared" si="183"/>
        <v>270</v>
      </c>
      <c r="M1379">
        <f t="shared" si="183"/>
        <v>285</v>
      </c>
      <c r="N1379">
        <f t="shared" si="183"/>
        <v>297</v>
      </c>
      <c r="O1379">
        <f t="shared" si="183"/>
        <v>322</v>
      </c>
      <c r="P1379">
        <f t="shared" si="185"/>
        <v>340</v>
      </c>
      <c r="Q1379">
        <f t="shared" si="185"/>
        <v>366</v>
      </c>
      <c r="S1379" t="str">
        <f t="shared" si="179"/>
        <v>11.12.2025</v>
      </c>
      <c r="T1379" t="str">
        <f t="shared" si="180"/>
        <v>03:15:00</v>
      </c>
      <c r="U1379" t="str">
        <f t="shared" si="181"/>
        <v>11.12.2025 03:15:00</v>
      </c>
      <c r="V1379" s="9" t="str">
        <f>MID($A1379,C1379+C$2+1,D1379-C1379-C$2-1)</f>
        <v>0</v>
      </c>
      <c r="W1379" s="4">
        <f>VALUE(SUBSTITUTE(MID($A1379,D1379+D$2+1,E1379-D1379-D$2-1),",","."))</f>
        <v>0</v>
      </c>
      <c r="X1379" s="4">
        <f>VALUE(SUBSTITUTE(MID($A1379,E1379+E$2+1,F1379-E1379-E$2-1),",","."))</f>
        <v>0.90957602214449496</v>
      </c>
      <c r="Y1379" s="4">
        <f>VALUE(SUBSTITUTE(MID($A1379,F1379+F$2+1,G1379-F1379-F$2-1),",","."))</f>
        <v>0</v>
      </c>
      <c r="Z1379" s="3">
        <f>VALUE(SUBSTITUTE(MID($A1379,G1379+G$2+1,H1379-G1379-G$2-1),",","."))</f>
        <v>0</v>
      </c>
      <c r="AA1379" s="3">
        <f>VALUE(SUBSTITUTE(MID($A1379,H1379+H$2+1,I1379-H1379-H$2-1),",","."))</f>
        <v>0</v>
      </c>
      <c r="AB1379" s="3">
        <f>VALUE(SUBSTITUTE(MID($A1379,I1379+I$2+1,J1379-I1379-I$2-1),",","."))</f>
        <v>0</v>
      </c>
      <c r="AC1379" s="3">
        <f>VALUE(SUBSTITUTE(MID($A1379,J1379+J$2+1,K1379-J1379-J$2-1),",","."))</f>
        <v>2.9</v>
      </c>
      <c r="AD1379" s="3">
        <f>VALUE(SUBSTITUTE(MID($A1379,K1379+K$2+1,L1379-K1379-K$2-1),",","."))</f>
        <v>57.06</v>
      </c>
      <c r="AE1379" s="3">
        <f>VALUE(SUBSTITUTE(MID($A1379,L1379+L$2+1,M1379-L1379-L$2-1),",","."))</f>
        <v>0</v>
      </c>
      <c r="AF1379" s="3">
        <f>VALUE(SUBSTITUTE(MID($A1379,M1379+M$2+1,N1379-M1379-M$2-1),",","."))</f>
        <v>0</v>
      </c>
      <c r="AG1379" s="3">
        <f>VALUE(SUBSTITUTE(MID($A1379,N1379+N$2+1,O1379-N1379-N$2-1),",","."))</f>
        <v>4.2427041106786998</v>
      </c>
      <c r="AH1379" t="str">
        <f>MID($A1379,O1379+O$2+1,P1379-O1379-O$2-1)</f>
        <v/>
      </c>
      <c r="AI1379" s="8" t="str">
        <f>MID($A1379,P1379+P$2+1,Q1379-P1379-P$2-1)</f>
        <v>False</v>
      </c>
      <c r="AK1379" t="b">
        <f t="shared" si="182"/>
        <v>0</v>
      </c>
    </row>
    <row r="1380" spans="1:37" x14ac:dyDescent="0.35">
      <c r="A1380" t="s">
        <v>5927</v>
      </c>
      <c r="B1380">
        <f t="shared" si="184"/>
        <v>10</v>
      </c>
      <c r="C1380">
        <f t="shared" si="184"/>
        <v>43</v>
      </c>
      <c r="D1380">
        <f t="shared" si="184"/>
        <v>54</v>
      </c>
      <c r="E1380">
        <f t="shared" si="184"/>
        <v>80</v>
      </c>
      <c r="F1380">
        <f t="shared" si="184"/>
        <v>124</v>
      </c>
      <c r="G1380">
        <f t="shared" si="184"/>
        <v>145</v>
      </c>
      <c r="H1380">
        <f t="shared" si="184"/>
        <v>177</v>
      </c>
      <c r="I1380">
        <f t="shared" si="183"/>
        <v>199</v>
      </c>
      <c r="J1380">
        <f t="shared" si="183"/>
        <v>232</v>
      </c>
      <c r="K1380">
        <f t="shared" si="183"/>
        <v>266</v>
      </c>
      <c r="L1380">
        <f t="shared" si="183"/>
        <v>298</v>
      </c>
      <c r="M1380">
        <f t="shared" si="183"/>
        <v>313</v>
      </c>
      <c r="N1380">
        <f t="shared" si="183"/>
        <v>325</v>
      </c>
      <c r="O1380">
        <f t="shared" si="183"/>
        <v>350</v>
      </c>
      <c r="P1380">
        <f t="shared" si="185"/>
        <v>368</v>
      </c>
      <c r="Q1380">
        <f t="shared" si="185"/>
        <v>394</v>
      </c>
      <c r="S1380" t="str">
        <f t="shared" si="179"/>
        <v>11.12.2025</v>
      </c>
      <c r="T1380" t="str">
        <f t="shared" si="180"/>
        <v>03:30:00</v>
      </c>
      <c r="U1380" t="str">
        <f t="shared" si="181"/>
        <v>11.12.2025 03:30:00</v>
      </c>
      <c r="V1380" s="9" t="str">
        <f>MID($A1380,C1380+C$2+1,D1380-C1380-C$2-1)</f>
        <v>0</v>
      </c>
      <c r="W1380" s="4">
        <f>VALUE(SUBSTITUTE(MID($A1380,D1380+D$2+1,E1380-D1380-D$2-1),",","."))</f>
        <v>0</v>
      </c>
      <c r="X1380" s="4">
        <f>VALUE(SUBSTITUTE(MID($A1380,E1380+E$2+1,F1380-E1380-E$2-1),",","."))</f>
        <v>0.90957602214449496</v>
      </c>
      <c r="Y1380" s="4">
        <f>VALUE(SUBSTITUTE(MID($A1380,F1380+F$2+1,G1380-F1380-F$2-1),",","."))</f>
        <v>0</v>
      </c>
      <c r="Z1380" s="3">
        <f>VALUE(SUBSTITUTE(MID($A1380,G1380+G$2+1,H1380-G1380-G$2-1),",","."))</f>
        <v>0</v>
      </c>
      <c r="AA1380" s="3">
        <f>VALUE(SUBSTITUTE(MID($A1380,H1380+H$2+1,I1380-H1380-H$2-1),",","."))</f>
        <v>0</v>
      </c>
      <c r="AB1380" s="3">
        <f>VALUE(SUBSTITUTE(MID($A1380,I1380+I$2+1,J1380-I1380-I$2-1),",","."))</f>
        <v>0</v>
      </c>
      <c r="AC1380" s="3">
        <f>VALUE(SUBSTITUTE(MID($A1380,J1380+J$2+1,K1380-J1380-J$2-1),",","."))</f>
        <v>2.9</v>
      </c>
      <c r="AD1380" s="3">
        <f>VALUE(SUBSTITUTE(MID($A1380,K1380+K$2+1,L1380-K1380-K$2-1),",","."))</f>
        <v>60.66</v>
      </c>
      <c r="AE1380" s="3">
        <f>VALUE(SUBSTITUTE(MID($A1380,L1380+L$2+1,M1380-L1380-L$2-1),",","."))</f>
        <v>0</v>
      </c>
      <c r="AF1380" s="3">
        <f>VALUE(SUBSTITUTE(MID($A1380,M1380+M$2+1,N1380-M1380-M$2-1),",","."))</f>
        <v>0</v>
      </c>
      <c r="AG1380" s="3">
        <f>VALUE(SUBSTITUTE(MID($A1380,N1380+N$2+1,O1380-N1380-N$2-1),",","."))</f>
        <v>4.2427326305667803</v>
      </c>
      <c r="AH1380" t="str">
        <f>MID($A1380,O1380+O$2+1,P1380-O1380-O$2-1)</f>
        <v/>
      </c>
      <c r="AI1380" s="8" t="str">
        <f>MID($A1380,P1380+P$2+1,Q1380-P1380-P$2-1)</f>
        <v>False</v>
      </c>
      <c r="AK1380" t="b">
        <f t="shared" si="182"/>
        <v>0</v>
      </c>
    </row>
    <row r="1381" spans="1:37" x14ac:dyDescent="0.35">
      <c r="A1381" t="s">
        <v>5928</v>
      </c>
      <c r="B1381">
        <f t="shared" si="184"/>
        <v>10</v>
      </c>
      <c r="C1381">
        <f t="shared" si="184"/>
        <v>43</v>
      </c>
      <c r="D1381">
        <f t="shared" si="184"/>
        <v>54</v>
      </c>
      <c r="E1381">
        <f t="shared" si="184"/>
        <v>80</v>
      </c>
      <c r="F1381">
        <f t="shared" si="184"/>
        <v>124</v>
      </c>
      <c r="G1381">
        <f t="shared" si="184"/>
        <v>145</v>
      </c>
      <c r="H1381">
        <f t="shared" si="184"/>
        <v>177</v>
      </c>
      <c r="I1381">
        <f t="shared" si="183"/>
        <v>199</v>
      </c>
      <c r="J1381">
        <f t="shared" si="183"/>
        <v>232</v>
      </c>
      <c r="K1381">
        <f t="shared" si="183"/>
        <v>266</v>
      </c>
      <c r="L1381">
        <f t="shared" si="183"/>
        <v>298</v>
      </c>
      <c r="M1381">
        <f t="shared" si="183"/>
        <v>313</v>
      </c>
      <c r="N1381">
        <f t="shared" si="183"/>
        <v>325</v>
      </c>
      <c r="O1381">
        <f t="shared" si="183"/>
        <v>350</v>
      </c>
      <c r="P1381">
        <f t="shared" si="185"/>
        <v>368</v>
      </c>
      <c r="Q1381">
        <f t="shared" si="185"/>
        <v>394</v>
      </c>
      <c r="S1381" t="str">
        <f t="shared" si="179"/>
        <v>11.12.2025</v>
      </c>
      <c r="T1381" t="str">
        <f t="shared" si="180"/>
        <v>03:45:00</v>
      </c>
      <c r="U1381" t="str">
        <f t="shared" si="181"/>
        <v>11.12.2025 03:45:00</v>
      </c>
      <c r="V1381" s="9" t="str">
        <f>MID($A1381,C1381+C$2+1,D1381-C1381-C$2-1)</f>
        <v>0</v>
      </c>
      <c r="W1381" s="4">
        <f>VALUE(SUBSTITUTE(MID($A1381,D1381+D$2+1,E1381-D1381-D$2-1),",","."))</f>
        <v>0</v>
      </c>
      <c r="X1381" s="4">
        <f>VALUE(SUBSTITUTE(MID($A1381,E1381+E$2+1,F1381-E1381-E$2-1),",","."))</f>
        <v>0.90957602214449496</v>
      </c>
      <c r="Y1381" s="4">
        <f>VALUE(SUBSTITUTE(MID($A1381,F1381+F$2+1,G1381-F1381-F$2-1),",","."))</f>
        <v>0</v>
      </c>
      <c r="Z1381" s="3">
        <f>VALUE(SUBSTITUTE(MID($A1381,G1381+G$2+1,H1381-G1381-G$2-1),",","."))</f>
        <v>0</v>
      </c>
      <c r="AA1381" s="3">
        <f>VALUE(SUBSTITUTE(MID($A1381,H1381+H$2+1,I1381-H1381-H$2-1),",","."))</f>
        <v>0</v>
      </c>
      <c r="AB1381" s="3">
        <f>VALUE(SUBSTITUTE(MID($A1381,I1381+I$2+1,J1381-I1381-I$2-1),",","."))</f>
        <v>0</v>
      </c>
      <c r="AC1381" s="3">
        <f>VALUE(SUBSTITUTE(MID($A1381,J1381+J$2+1,K1381-J1381-J$2-1),",","."))</f>
        <v>2.9</v>
      </c>
      <c r="AD1381" s="3">
        <f>VALUE(SUBSTITUTE(MID($A1381,K1381+K$2+1,L1381-K1381-K$2-1),",","."))</f>
        <v>60.66</v>
      </c>
      <c r="AE1381" s="3">
        <f>VALUE(SUBSTITUTE(MID($A1381,L1381+L$2+1,M1381-L1381-L$2-1),",","."))</f>
        <v>0</v>
      </c>
      <c r="AF1381" s="3">
        <f>VALUE(SUBSTITUTE(MID($A1381,M1381+M$2+1,N1381-M1381-M$2-1),",","."))</f>
        <v>0</v>
      </c>
      <c r="AG1381" s="3">
        <f>VALUE(SUBSTITUTE(MID($A1381,N1381+N$2+1,O1381-N1381-N$2-1),",","."))</f>
        <v>4.2427611504548599</v>
      </c>
      <c r="AH1381" t="str">
        <f>MID($A1381,O1381+O$2+1,P1381-O1381-O$2-1)</f>
        <v/>
      </c>
      <c r="AI1381" s="8" t="str">
        <f>MID($A1381,P1381+P$2+1,Q1381-P1381-P$2-1)</f>
        <v>False</v>
      </c>
      <c r="AK1381" t="b">
        <f t="shared" si="182"/>
        <v>0</v>
      </c>
    </row>
    <row r="1382" spans="1:37" x14ac:dyDescent="0.35">
      <c r="A1382" t="s">
        <v>5929</v>
      </c>
      <c r="B1382">
        <f t="shared" si="184"/>
        <v>10</v>
      </c>
      <c r="C1382">
        <f t="shared" si="184"/>
        <v>43</v>
      </c>
      <c r="D1382">
        <f t="shared" si="184"/>
        <v>54</v>
      </c>
      <c r="E1382">
        <f t="shared" si="184"/>
        <v>80</v>
      </c>
      <c r="F1382">
        <f t="shared" si="184"/>
        <v>124</v>
      </c>
      <c r="G1382">
        <f t="shared" si="184"/>
        <v>145</v>
      </c>
      <c r="H1382">
        <f t="shared" si="184"/>
        <v>177</v>
      </c>
      <c r="I1382">
        <f t="shared" si="183"/>
        <v>199</v>
      </c>
      <c r="J1382">
        <f t="shared" si="183"/>
        <v>232</v>
      </c>
      <c r="K1382">
        <f t="shared" si="183"/>
        <v>266</v>
      </c>
      <c r="L1382">
        <f t="shared" si="183"/>
        <v>298</v>
      </c>
      <c r="M1382">
        <f t="shared" si="183"/>
        <v>313</v>
      </c>
      <c r="N1382">
        <f t="shared" si="183"/>
        <v>325</v>
      </c>
      <c r="O1382">
        <f t="shared" si="183"/>
        <v>350</v>
      </c>
      <c r="P1382">
        <f t="shared" si="185"/>
        <v>368</v>
      </c>
      <c r="Q1382">
        <f t="shared" si="185"/>
        <v>394</v>
      </c>
      <c r="S1382" t="str">
        <f t="shared" si="179"/>
        <v>11.12.2025</v>
      </c>
      <c r="T1382" t="str">
        <f t="shared" si="180"/>
        <v>04:00:00</v>
      </c>
      <c r="U1382" t="str">
        <f t="shared" si="181"/>
        <v>11.12.2025 04:00:00</v>
      </c>
      <c r="V1382" s="9" t="str">
        <f>MID($A1382,C1382+C$2+1,D1382-C1382-C$2-1)</f>
        <v>0</v>
      </c>
      <c r="W1382" s="4">
        <f>VALUE(SUBSTITUTE(MID($A1382,D1382+D$2+1,E1382-D1382-D$2-1),",","."))</f>
        <v>0</v>
      </c>
      <c r="X1382" s="4">
        <f>VALUE(SUBSTITUTE(MID($A1382,E1382+E$2+1,F1382-E1382-E$2-1),",","."))</f>
        <v>0.90957602214449496</v>
      </c>
      <c r="Y1382" s="4">
        <f>VALUE(SUBSTITUTE(MID($A1382,F1382+F$2+1,G1382-F1382-F$2-1),",","."))</f>
        <v>0</v>
      </c>
      <c r="Z1382" s="3">
        <f>VALUE(SUBSTITUTE(MID($A1382,G1382+G$2+1,H1382-G1382-G$2-1),",","."))</f>
        <v>0</v>
      </c>
      <c r="AA1382" s="3">
        <f>VALUE(SUBSTITUTE(MID($A1382,H1382+H$2+1,I1382-H1382-H$2-1),",","."))</f>
        <v>0</v>
      </c>
      <c r="AB1382" s="3">
        <f>VALUE(SUBSTITUTE(MID($A1382,I1382+I$2+1,J1382-I1382-I$2-1),",","."))</f>
        <v>0</v>
      </c>
      <c r="AC1382" s="3">
        <f>VALUE(SUBSTITUTE(MID($A1382,J1382+J$2+1,K1382-J1382-J$2-1),",","."))</f>
        <v>2.9</v>
      </c>
      <c r="AD1382" s="3">
        <f>VALUE(SUBSTITUTE(MID($A1382,K1382+K$2+1,L1382-K1382-K$2-1),",","."))</f>
        <v>60.66</v>
      </c>
      <c r="AE1382" s="3">
        <f>VALUE(SUBSTITUTE(MID($A1382,L1382+L$2+1,M1382-L1382-L$2-1),",","."))</f>
        <v>0</v>
      </c>
      <c r="AF1382" s="3">
        <f>VALUE(SUBSTITUTE(MID($A1382,M1382+M$2+1,N1382-M1382-M$2-1),",","."))</f>
        <v>0</v>
      </c>
      <c r="AG1382" s="3">
        <f>VALUE(SUBSTITUTE(MID($A1382,N1382+N$2+1,O1382-N1382-N$2-1),",","."))</f>
        <v>4.2427896703429404</v>
      </c>
      <c r="AH1382" t="str">
        <f>MID($A1382,O1382+O$2+1,P1382-O1382-O$2-1)</f>
        <v/>
      </c>
      <c r="AI1382" s="8" t="str">
        <f>MID($A1382,P1382+P$2+1,Q1382-P1382-P$2-1)</f>
        <v>False</v>
      </c>
      <c r="AK1382" t="b">
        <f t="shared" si="182"/>
        <v>0</v>
      </c>
    </row>
    <row r="1383" spans="1:37" x14ac:dyDescent="0.35">
      <c r="A1383" t="s">
        <v>5930</v>
      </c>
      <c r="B1383">
        <f t="shared" si="184"/>
        <v>10</v>
      </c>
      <c r="C1383">
        <f t="shared" si="184"/>
        <v>43</v>
      </c>
      <c r="D1383">
        <f t="shared" si="184"/>
        <v>54</v>
      </c>
      <c r="E1383">
        <f t="shared" si="184"/>
        <v>80</v>
      </c>
      <c r="F1383">
        <f t="shared" si="184"/>
        <v>124</v>
      </c>
      <c r="G1383">
        <f t="shared" si="184"/>
        <v>145</v>
      </c>
      <c r="H1383">
        <f t="shared" si="184"/>
        <v>177</v>
      </c>
      <c r="I1383">
        <f t="shared" si="183"/>
        <v>199</v>
      </c>
      <c r="J1383">
        <f t="shared" si="183"/>
        <v>232</v>
      </c>
      <c r="K1383">
        <f t="shared" si="183"/>
        <v>266</v>
      </c>
      <c r="L1383">
        <f t="shared" si="183"/>
        <v>298</v>
      </c>
      <c r="M1383">
        <f t="shared" si="183"/>
        <v>313</v>
      </c>
      <c r="N1383">
        <f t="shared" si="183"/>
        <v>325</v>
      </c>
      <c r="O1383">
        <f t="shared" si="183"/>
        <v>349</v>
      </c>
      <c r="P1383">
        <f t="shared" si="185"/>
        <v>367</v>
      </c>
      <c r="Q1383">
        <f t="shared" si="185"/>
        <v>393</v>
      </c>
      <c r="S1383" t="str">
        <f t="shared" si="179"/>
        <v>11.12.2025</v>
      </c>
      <c r="T1383" t="str">
        <f t="shared" si="180"/>
        <v>04:15:00</v>
      </c>
      <c r="U1383" t="str">
        <f t="shared" si="181"/>
        <v>11.12.2025 04:15:00</v>
      </c>
      <c r="V1383" s="9" t="str">
        <f>MID($A1383,C1383+C$2+1,D1383-C1383-C$2-1)</f>
        <v>0</v>
      </c>
      <c r="W1383" s="4">
        <f>VALUE(SUBSTITUTE(MID($A1383,D1383+D$2+1,E1383-D1383-D$2-1),",","."))</f>
        <v>0</v>
      </c>
      <c r="X1383" s="4">
        <f>VALUE(SUBSTITUTE(MID($A1383,E1383+E$2+1,F1383-E1383-E$2-1),",","."))</f>
        <v>0.90957602214449496</v>
      </c>
      <c r="Y1383" s="4">
        <f>VALUE(SUBSTITUTE(MID($A1383,F1383+F$2+1,G1383-F1383-F$2-1),",","."))</f>
        <v>0</v>
      </c>
      <c r="Z1383" s="3">
        <f>VALUE(SUBSTITUTE(MID($A1383,G1383+G$2+1,H1383-G1383-G$2-1),",","."))</f>
        <v>0</v>
      </c>
      <c r="AA1383" s="3">
        <f>VALUE(SUBSTITUTE(MID($A1383,H1383+H$2+1,I1383-H1383-H$2-1),",","."))</f>
        <v>0</v>
      </c>
      <c r="AB1383" s="3">
        <f>VALUE(SUBSTITUTE(MID($A1383,I1383+I$2+1,J1383-I1383-I$2-1),",","."))</f>
        <v>0</v>
      </c>
      <c r="AC1383" s="3">
        <f>VALUE(SUBSTITUTE(MID($A1383,J1383+J$2+1,K1383-J1383-J$2-1),",","."))</f>
        <v>2.9</v>
      </c>
      <c r="AD1383" s="3">
        <f>VALUE(SUBSTITUTE(MID($A1383,K1383+K$2+1,L1383-K1383-K$2-1),",","."))</f>
        <v>60.66</v>
      </c>
      <c r="AE1383" s="3">
        <f>VALUE(SUBSTITUTE(MID($A1383,L1383+L$2+1,M1383-L1383-L$2-1),",","."))</f>
        <v>0</v>
      </c>
      <c r="AF1383" s="3">
        <f>VALUE(SUBSTITUTE(MID($A1383,M1383+M$2+1,N1383-M1383-M$2-1),",","."))</f>
        <v>0</v>
      </c>
      <c r="AG1383" s="3">
        <f>VALUE(SUBSTITUTE(MID($A1383,N1383+N$2+1,O1383-N1383-N$2-1),",","."))</f>
        <v>4.2428181902310298</v>
      </c>
      <c r="AH1383" t="str">
        <f>MID($A1383,O1383+O$2+1,P1383-O1383-O$2-1)</f>
        <v/>
      </c>
      <c r="AI1383" s="8" t="str">
        <f>MID($A1383,P1383+P$2+1,Q1383-P1383-P$2-1)</f>
        <v>False</v>
      </c>
      <c r="AK1383" t="b">
        <f t="shared" si="182"/>
        <v>0</v>
      </c>
    </row>
    <row r="1384" spans="1:37" x14ac:dyDescent="0.35">
      <c r="A1384" t="s">
        <v>5931</v>
      </c>
      <c r="B1384">
        <f t="shared" si="184"/>
        <v>10</v>
      </c>
      <c r="C1384">
        <f t="shared" si="184"/>
        <v>43</v>
      </c>
      <c r="D1384">
        <f t="shared" si="184"/>
        <v>54</v>
      </c>
      <c r="E1384">
        <f t="shared" si="184"/>
        <v>80</v>
      </c>
      <c r="F1384">
        <f t="shared" si="184"/>
        <v>124</v>
      </c>
      <c r="G1384">
        <f t="shared" si="184"/>
        <v>145</v>
      </c>
      <c r="H1384">
        <f t="shared" si="184"/>
        <v>177</v>
      </c>
      <c r="I1384">
        <f t="shared" si="183"/>
        <v>199</v>
      </c>
      <c r="J1384">
        <f t="shared" si="183"/>
        <v>232</v>
      </c>
      <c r="K1384">
        <f t="shared" si="183"/>
        <v>266</v>
      </c>
      <c r="L1384">
        <f t="shared" si="183"/>
        <v>298</v>
      </c>
      <c r="M1384">
        <f t="shared" si="183"/>
        <v>313</v>
      </c>
      <c r="N1384">
        <f t="shared" si="183"/>
        <v>325</v>
      </c>
      <c r="O1384">
        <f t="shared" si="183"/>
        <v>350</v>
      </c>
      <c r="P1384">
        <f t="shared" si="185"/>
        <v>368</v>
      </c>
      <c r="Q1384">
        <f t="shared" si="185"/>
        <v>394</v>
      </c>
      <c r="S1384" t="str">
        <f t="shared" si="179"/>
        <v>11.12.2025</v>
      </c>
      <c r="T1384" t="str">
        <f t="shared" si="180"/>
        <v>04:30:00</v>
      </c>
      <c r="U1384" t="str">
        <f t="shared" si="181"/>
        <v>11.12.2025 04:30:00</v>
      </c>
      <c r="V1384" s="9" t="str">
        <f>MID($A1384,C1384+C$2+1,D1384-C1384-C$2-1)</f>
        <v>0</v>
      </c>
      <c r="W1384" s="4">
        <f>VALUE(SUBSTITUTE(MID($A1384,D1384+D$2+1,E1384-D1384-D$2-1),",","."))</f>
        <v>0</v>
      </c>
      <c r="X1384" s="4">
        <f>VALUE(SUBSTITUTE(MID($A1384,E1384+E$2+1,F1384-E1384-E$2-1),",","."))</f>
        <v>0.90957602214449496</v>
      </c>
      <c r="Y1384" s="4">
        <f>VALUE(SUBSTITUTE(MID($A1384,F1384+F$2+1,G1384-F1384-F$2-1),",","."))</f>
        <v>0</v>
      </c>
      <c r="Z1384" s="3">
        <f>VALUE(SUBSTITUTE(MID($A1384,G1384+G$2+1,H1384-G1384-G$2-1),",","."))</f>
        <v>0</v>
      </c>
      <c r="AA1384" s="3">
        <f>VALUE(SUBSTITUTE(MID($A1384,H1384+H$2+1,I1384-H1384-H$2-1),",","."))</f>
        <v>0</v>
      </c>
      <c r="AB1384" s="3">
        <f>VALUE(SUBSTITUTE(MID($A1384,I1384+I$2+1,J1384-I1384-I$2-1),",","."))</f>
        <v>0</v>
      </c>
      <c r="AC1384" s="3">
        <f>VALUE(SUBSTITUTE(MID($A1384,J1384+J$2+1,K1384-J1384-J$2-1),",","."))</f>
        <v>2.8499999999999899</v>
      </c>
      <c r="AD1384" s="3">
        <f>VALUE(SUBSTITUTE(MID($A1384,K1384+K$2+1,L1384-K1384-K$2-1),",","."))</f>
        <v>63.9</v>
      </c>
      <c r="AE1384" s="3">
        <f>VALUE(SUBSTITUTE(MID($A1384,L1384+L$2+1,M1384-L1384-L$2-1),",","."))</f>
        <v>0</v>
      </c>
      <c r="AF1384" s="3">
        <f>VALUE(SUBSTITUTE(MID($A1384,M1384+M$2+1,N1384-M1384-M$2-1),",","."))</f>
        <v>0</v>
      </c>
      <c r="AG1384" s="3">
        <f>VALUE(SUBSTITUTE(MID($A1384,N1384+N$2+1,O1384-N1384-N$2-1),",","."))</f>
        <v>4.2428467101191103</v>
      </c>
      <c r="AH1384" t="str">
        <f>MID($A1384,O1384+O$2+1,P1384-O1384-O$2-1)</f>
        <v/>
      </c>
      <c r="AI1384" s="8" t="str">
        <f>MID($A1384,P1384+P$2+1,Q1384-P1384-P$2-1)</f>
        <v>False</v>
      </c>
      <c r="AK1384" t="b">
        <f t="shared" si="182"/>
        <v>0</v>
      </c>
    </row>
    <row r="1385" spans="1:37" x14ac:dyDescent="0.35">
      <c r="A1385" t="s">
        <v>5932</v>
      </c>
      <c r="B1385">
        <f t="shared" si="184"/>
        <v>10</v>
      </c>
      <c r="C1385">
        <f t="shared" si="184"/>
        <v>43</v>
      </c>
      <c r="D1385">
        <f t="shared" si="184"/>
        <v>54</v>
      </c>
      <c r="E1385">
        <f t="shared" si="184"/>
        <v>80</v>
      </c>
      <c r="F1385">
        <f t="shared" si="184"/>
        <v>124</v>
      </c>
      <c r="G1385">
        <f t="shared" si="184"/>
        <v>145</v>
      </c>
      <c r="H1385">
        <f t="shared" si="184"/>
        <v>177</v>
      </c>
      <c r="I1385">
        <f t="shared" si="183"/>
        <v>199</v>
      </c>
      <c r="J1385">
        <f t="shared" si="183"/>
        <v>232</v>
      </c>
      <c r="K1385">
        <f t="shared" si="183"/>
        <v>266</v>
      </c>
      <c r="L1385">
        <f t="shared" si="183"/>
        <v>298</v>
      </c>
      <c r="M1385">
        <f t="shared" si="183"/>
        <v>313</v>
      </c>
      <c r="N1385">
        <f t="shared" si="183"/>
        <v>325</v>
      </c>
      <c r="O1385">
        <f t="shared" si="183"/>
        <v>351</v>
      </c>
      <c r="P1385">
        <f t="shared" si="185"/>
        <v>369</v>
      </c>
      <c r="Q1385">
        <f t="shared" si="185"/>
        <v>395</v>
      </c>
      <c r="S1385" t="str">
        <f t="shared" si="179"/>
        <v>11.12.2025</v>
      </c>
      <c r="T1385" t="str">
        <f t="shared" si="180"/>
        <v>04:45:00</v>
      </c>
      <c r="U1385" t="str">
        <f t="shared" si="181"/>
        <v>11.12.2025 04:45:00</v>
      </c>
      <c r="V1385" s="9" t="str">
        <f>MID($A1385,C1385+C$2+1,D1385-C1385-C$2-1)</f>
        <v>0</v>
      </c>
      <c r="W1385" s="4">
        <f>VALUE(SUBSTITUTE(MID($A1385,D1385+D$2+1,E1385-D1385-D$2-1),",","."))</f>
        <v>0</v>
      </c>
      <c r="X1385" s="4">
        <f>VALUE(SUBSTITUTE(MID($A1385,E1385+E$2+1,F1385-E1385-E$2-1),",","."))</f>
        <v>0.90957602214449496</v>
      </c>
      <c r="Y1385" s="4">
        <f>VALUE(SUBSTITUTE(MID($A1385,F1385+F$2+1,G1385-F1385-F$2-1),",","."))</f>
        <v>0</v>
      </c>
      <c r="Z1385" s="3">
        <f>VALUE(SUBSTITUTE(MID($A1385,G1385+G$2+1,H1385-G1385-G$2-1),",","."))</f>
        <v>0</v>
      </c>
      <c r="AA1385" s="3">
        <f>VALUE(SUBSTITUTE(MID($A1385,H1385+H$2+1,I1385-H1385-H$2-1),",","."))</f>
        <v>0</v>
      </c>
      <c r="AB1385" s="3">
        <f>VALUE(SUBSTITUTE(MID($A1385,I1385+I$2+1,J1385-I1385-I$2-1),",","."))</f>
        <v>0</v>
      </c>
      <c r="AC1385" s="3">
        <f>VALUE(SUBSTITUTE(MID($A1385,J1385+J$2+1,K1385-J1385-J$2-1),",","."))</f>
        <v>2.8499999999999899</v>
      </c>
      <c r="AD1385" s="3">
        <f>VALUE(SUBSTITUTE(MID($A1385,K1385+K$2+1,L1385-K1385-K$2-1),",","."))</f>
        <v>63.9</v>
      </c>
      <c r="AE1385" s="3">
        <f>VALUE(SUBSTITUTE(MID($A1385,L1385+L$2+1,M1385-L1385-L$2-1),",","."))</f>
        <v>0</v>
      </c>
      <c r="AF1385" s="3">
        <f>VALUE(SUBSTITUTE(MID($A1385,M1385+M$2+1,N1385-M1385-M$2-1),",","."))</f>
        <v>0</v>
      </c>
      <c r="AG1385" s="3">
        <f>VALUE(SUBSTITUTE(MID($A1385,N1385+N$2+1,O1385-N1385-N$2-1),",","."))</f>
        <v>4.2428752300071899</v>
      </c>
      <c r="AH1385" t="str">
        <f>MID($A1385,O1385+O$2+1,P1385-O1385-O$2-1)</f>
        <v/>
      </c>
      <c r="AI1385" s="8" t="str">
        <f>MID($A1385,P1385+P$2+1,Q1385-P1385-P$2-1)</f>
        <v>False</v>
      </c>
      <c r="AK1385" t="b">
        <f t="shared" si="182"/>
        <v>0</v>
      </c>
    </row>
    <row r="1386" spans="1:37" x14ac:dyDescent="0.35">
      <c r="A1386" t="s">
        <v>5933</v>
      </c>
      <c r="B1386">
        <f t="shared" si="184"/>
        <v>10</v>
      </c>
      <c r="C1386">
        <f t="shared" si="184"/>
        <v>43</v>
      </c>
      <c r="D1386">
        <f t="shared" si="184"/>
        <v>54</v>
      </c>
      <c r="E1386">
        <f t="shared" si="184"/>
        <v>80</v>
      </c>
      <c r="F1386">
        <f t="shared" si="184"/>
        <v>124</v>
      </c>
      <c r="G1386">
        <f t="shared" si="184"/>
        <v>145</v>
      </c>
      <c r="H1386">
        <f t="shared" si="184"/>
        <v>177</v>
      </c>
      <c r="I1386">
        <f t="shared" si="183"/>
        <v>199</v>
      </c>
      <c r="J1386">
        <f t="shared" si="183"/>
        <v>232</v>
      </c>
      <c r="K1386">
        <f t="shared" si="183"/>
        <v>266</v>
      </c>
      <c r="L1386">
        <f t="shared" si="183"/>
        <v>298</v>
      </c>
      <c r="M1386">
        <f t="shared" si="183"/>
        <v>313</v>
      </c>
      <c r="N1386">
        <f t="shared" si="183"/>
        <v>325</v>
      </c>
      <c r="O1386">
        <f t="shared" si="183"/>
        <v>350</v>
      </c>
      <c r="P1386">
        <f t="shared" si="185"/>
        <v>368</v>
      </c>
      <c r="Q1386">
        <f t="shared" si="185"/>
        <v>394</v>
      </c>
      <c r="S1386" t="str">
        <f t="shared" si="179"/>
        <v>11.12.2025</v>
      </c>
      <c r="T1386" t="str">
        <f t="shared" si="180"/>
        <v>05:00:00</v>
      </c>
      <c r="U1386" t="str">
        <f t="shared" si="181"/>
        <v>11.12.2025 05:00:00</v>
      </c>
      <c r="V1386" s="9" t="str">
        <f>MID($A1386,C1386+C$2+1,D1386-C1386-C$2-1)</f>
        <v>0</v>
      </c>
      <c r="W1386" s="4">
        <f>VALUE(SUBSTITUTE(MID($A1386,D1386+D$2+1,E1386-D1386-D$2-1),",","."))</f>
        <v>0</v>
      </c>
      <c r="X1386" s="4">
        <f>VALUE(SUBSTITUTE(MID($A1386,E1386+E$2+1,F1386-E1386-E$2-1),",","."))</f>
        <v>0.90957602214449496</v>
      </c>
      <c r="Y1386" s="4">
        <f>VALUE(SUBSTITUTE(MID($A1386,F1386+F$2+1,G1386-F1386-F$2-1),",","."))</f>
        <v>0</v>
      </c>
      <c r="Z1386" s="3">
        <f>VALUE(SUBSTITUTE(MID($A1386,G1386+G$2+1,H1386-G1386-G$2-1),",","."))</f>
        <v>0</v>
      </c>
      <c r="AA1386" s="3">
        <f>VALUE(SUBSTITUTE(MID($A1386,H1386+H$2+1,I1386-H1386-H$2-1),",","."))</f>
        <v>0</v>
      </c>
      <c r="AB1386" s="3">
        <f>VALUE(SUBSTITUTE(MID($A1386,I1386+I$2+1,J1386-I1386-I$2-1),",","."))</f>
        <v>0</v>
      </c>
      <c r="AC1386" s="3">
        <f>VALUE(SUBSTITUTE(MID($A1386,J1386+J$2+1,K1386-J1386-J$2-1),",","."))</f>
        <v>2.8499999999999899</v>
      </c>
      <c r="AD1386" s="3">
        <f>VALUE(SUBSTITUTE(MID($A1386,K1386+K$2+1,L1386-K1386-K$2-1),",","."))</f>
        <v>63.9</v>
      </c>
      <c r="AE1386" s="3">
        <f>VALUE(SUBSTITUTE(MID($A1386,L1386+L$2+1,M1386-L1386-L$2-1),",","."))</f>
        <v>0</v>
      </c>
      <c r="AF1386" s="3">
        <f>VALUE(SUBSTITUTE(MID($A1386,M1386+M$2+1,N1386-M1386-M$2-1),",","."))</f>
        <v>0</v>
      </c>
      <c r="AG1386" s="3">
        <f>VALUE(SUBSTITUTE(MID($A1386,N1386+N$2+1,O1386-N1386-N$2-1),",","."))</f>
        <v>4.2429037498952704</v>
      </c>
      <c r="AH1386" t="str">
        <f>MID($A1386,O1386+O$2+1,P1386-O1386-O$2-1)</f>
        <v/>
      </c>
      <c r="AI1386" s="8" t="str">
        <f>MID($A1386,P1386+P$2+1,Q1386-P1386-P$2-1)</f>
        <v>False</v>
      </c>
      <c r="AK1386" t="b">
        <f t="shared" si="182"/>
        <v>0</v>
      </c>
    </row>
    <row r="1387" spans="1:37" x14ac:dyDescent="0.35">
      <c r="A1387" t="s">
        <v>5934</v>
      </c>
      <c r="B1387">
        <f t="shared" si="184"/>
        <v>10</v>
      </c>
      <c r="C1387">
        <f t="shared" si="184"/>
        <v>43</v>
      </c>
      <c r="D1387">
        <f t="shared" si="184"/>
        <v>54</v>
      </c>
      <c r="E1387">
        <f t="shared" si="184"/>
        <v>80</v>
      </c>
      <c r="F1387">
        <f t="shared" si="184"/>
        <v>124</v>
      </c>
      <c r="G1387">
        <f t="shared" si="184"/>
        <v>145</v>
      </c>
      <c r="H1387">
        <f t="shared" si="184"/>
        <v>177</v>
      </c>
      <c r="I1387">
        <f t="shared" si="183"/>
        <v>199</v>
      </c>
      <c r="J1387">
        <f t="shared" si="183"/>
        <v>232</v>
      </c>
      <c r="K1387">
        <f t="shared" si="183"/>
        <v>266</v>
      </c>
      <c r="L1387">
        <f t="shared" si="183"/>
        <v>298</v>
      </c>
      <c r="M1387">
        <f t="shared" si="183"/>
        <v>313</v>
      </c>
      <c r="N1387">
        <f t="shared" si="183"/>
        <v>325</v>
      </c>
      <c r="O1387">
        <f t="shared" si="183"/>
        <v>350</v>
      </c>
      <c r="P1387">
        <f t="shared" si="185"/>
        <v>368</v>
      </c>
      <c r="Q1387">
        <f t="shared" si="185"/>
        <v>394</v>
      </c>
      <c r="S1387" t="str">
        <f t="shared" si="179"/>
        <v>11.12.2025</v>
      </c>
      <c r="T1387" t="str">
        <f t="shared" si="180"/>
        <v>05:15:00</v>
      </c>
      <c r="U1387" t="str">
        <f t="shared" si="181"/>
        <v>11.12.2025 05:15:00</v>
      </c>
      <c r="V1387" s="9" t="str">
        <f>MID($A1387,C1387+C$2+1,D1387-C1387-C$2-1)</f>
        <v>0</v>
      </c>
      <c r="W1387" s="4">
        <f>VALUE(SUBSTITUTE(MID($A1387,D1387+D$2+1,E1387-D1387-D$2-1),",","."))</f>
        <v>0</v>
      </c>
      <c r="X1387" s="4">
        <f>VALUE(SUBSTITUTE(MID($A1387,E1387+E$2+1,F1387-E1387-E$2-1),",","."))</f>
        <v>0.90957602214449496</v>
      </c>
      <c r="Y1387" s="4">
        <f>VALUE(SUBSTITUTE(MID($A1387,F1387+F$2+1,G1387-F1387-F$2-1),",","."))</f>
        <v>0</v>
      </c>
      <c r="Z1387" s="3">
        <f>VALUE(SUBSTITUTE(MID($A1387,G1387+G$2+1,H1387-G1387-G$2-1),",","."))</f>
        <v>0</v>
      </c>
      <c r="AA1387" s="3">
        <f>VALUE(SUBSTITUTE(MID($A1387,H1387+H$2+1,I1387-H1387-H$2-1),",","."))</f>
        <v>0</v>
      </c>
      <c r="AB1387" s="3">
        <f>VALUE(SUBSTITUTE(MID($A1387,I1387+I$2+1,J1387-I1387-I$2-1),",","."))</f>
        <v>0</v>
      </c>
      <c r="AC1387" s="3">
        <f>VALUE(SUBSTITUTE(MID($A1387,J1387+J$2+1,K1387-J1387-J$2-1),",","."))</f>
        <v>2.8499999999999899</v>
      </c>
      <c r="AD1387" s="3">
        <f>VALUE(SUBSTITUTE(MID($A1387,K1387+K$2+1,L1387-K1387-K$2-1),",","."))</f>
        <v>63.9</v>
      </c>
      <c r="AE1387" s="3">
        <f>VALUE(SUBSTITUTE(MID($A1387,L1387+L$2+1,M1387-L1387-L$2-1),",","."))</f>
        <v>0</v>
      </c>
      <c r="AF1387" s="3">
        <f>VALUE(SUBSTITUTE(MID($A1387,M1387+M$2+1,N1387-M1387-M$2-1),",","."))</f>
        <v>0</v>
      </c>
      <c r="AG1387" s="3">
        <f>VALUE(SUBSTITUTE(MID($A1387,N1387+N$2+1,O1387-N1387-N$2-1),",","."))</f>
        <v>4.24293226978335</v>
      </c>
      <c r="AH1387" t="str">
        <f>MID($A1387,O1387+O$2+1,P1387-O1387-O$2-1)</f>
        <v/>
      </c>
      <c r="AI1387" s="8" t="str">
        <f>MID($A1387,P1387+P$2+1,Q1387-P1387-P$2-1)</f>
        <v>False</v>
      </c>
      <c r="AK1387" t="b">
        <f t="shared" si="182"/>
        <v>0</v>
      </c>
    </row>
    <row r="1388" spans="1:37" x14ac:dyDescent="0.35">
      <c r="A1388" t="s">
        <v>5935</v>
      </c>
      <c r="B1388">
        <f t="shared" si="184"/>
        <v>10</v>
      </c>
      <c r="C1388">
        <f t="shared" si="184"/>
        <v>43</v>
      </c>
      <c r="D1388">
        <f t="shared" si="184"/>
        <v>54</v>
      </c>
      <c r="E1388">
        <f t="shared" si="184"/>
        <v>80</v>
      </c>
      <c r="F1388">
        <f t="shared" si="184"/>
        <v>124</v>
      </c>
      <c r="G1388">
        <f t="shared" si="184"/>
        <v>145</v>
      </c>
      <c r="H1388">
        <f t="shared" si="184"/>
        <v>177</v>
      </c>
      <c r="I1388">
        <f t="shared" si="183"/>
        <v>199</v>
      </c>
      <c r="J1388">
        <f t="shared" si="183"/>
        <v>232</v>
      </c>
      <c r="K1388">
        <f t="shared" si="183"/>
        <v>252</v>
      </c>
      <c r="L1388">
        <f t="shared" si="183"/>
        <v>271</v>
      </c>
      <c r="M1388">
        <f t="shared" si="183"/>
        <v>286</v>
      </c>
      <c r="N1388">
        <f t="shared" si="183"/>
        <v>298</v>
      </c>
      <c r="O1388">
        <f t="shared" si="183"/>
        <v>323</v>
      </c>
      <c r="P1388">
        <f t="shared" si="185"/>
        <v>341</v>
      </c>
      <c r="Q1388">
        <f t="shared" si="185"/>
        <v>367</v>
      </c>
      <c r="S1388" t="str">
        <f t="shared" si="179"/>
        <v>11.12.2025</v>
      </c>
      <c r="T1388" t="str">
        <f t="shared" si="180"/>
        <v>05:30:00</v>
      </c>
      <c r="U1388" t="str">
        <f t="shared" si="181"/>
        <v>11.12.2025 05:30:00</v>
      </c>
      <c r="V1388" s="9" t="str">
        <f>MID($A1388,C1388+C$2+1,D1388-C1388-C$2-1)</f>
        <v>0</v>
      </c>
      <c r="W1388" s="4">
        <f>VALUE(SUBSTITUTE(MID($A1388,D1388+D$2+1,E1388-D1388-D$2-1),",","."))</f>
        <v>0</v>
      </c>
      <c r="X1388" s="4">
        <f>VALUE(SUBSTITUTE(MID($A1388,E1388+E$2+1,F1388-E1388-E$2-1),",","."))</f>
        <v>0.90957602214449496</v>
      </c>
      <c r="Y1388" s="4">
        <f>VALUE(SUBSTITUTE(MID($A1388,F1388+F$2+1,G1388-F1388-F$2-1),",","."))</f>
        <v>0</v>
      </c>
      <c r="Z1388" s="3">
        <f>VALUE(SUBSTITUTE(MID($A1388,G1388+G$2+1,H1388-G1388-G$2-1),",","."))</f>
        <v>0</v>
      </c>
      <c r="AA1388" s="3">
        <f>VALUE(SUBSTITUTE(MID($A1388,H1388+H$2+1,I1388-H1388-H$2-1),",","."))</f>
        <v>0</v>
      </c>
      <c r="AB1388" s="3">
        <f>VALUE(SUBSTITUTE(MID($A1388,I1388+I$2+1,J1388-I1388-I$2-1),",","."))</f>
        <v>0</v>
      </c>
      <c r="AC1388" s="3">
        <f>VALUE(SUBSTITUTE(MID($A1388,J1388+J$2+1,K1388-J1388-J$2-1),",","."))</f>
        <v>2.85</v>
      </c>
      <c r="AD1388" s="3">
        <f>VALUE(SUBSTITUTE(MID($A1388,K1388+K$2+1,L1388-K1388-K$2-1),",","."))</f>
        <v>66.78</v>
      </c>
      <c r="AE1388" s="3">
        <f>VALUE(SUBSTITUTE(MID($A1388,L1388+L$2+1,M1388-L1388-L$2-1),",","."))</f>
        <v>0</v>
      </c>
      <c r="AF1388" s="3">
        <f>VALUE(SUBSTITUTE(MID($A1388,M1388+M$2+1,N1388-M1388-M$2-1),",","."))</f>
        <v>0</v>
      </c>
      <c r="AG1388" s="3">
        <f>VALUE(SUBSTITUTE(MID($A1388,N1388+N$2+1,O1388-N1388-N$2-1),",","."))</f>
        <v>4.2429607896714296</v>
      </c>
      <c r="AH1388" t="str">
        <f>MID($A1388,O1388+O$2+1,P1388-O1388-O$2-1)</f>
        <v/>
      </c>
      <c r="AI1388" s="8" t="str">
        <f>MID($A1388,P1388+P$2+1,Q1388-P1388-P$2-1)</f>
        <v>False</v>
      </c>
      <c r="AK1388" t="b">
        <f t="shared" si="182"/>
        <v>0</v>
      </c>
    </row>
    <row r="1389" spans="1:37" x14ac:dyDescent="0.35">
      <c r="A1389" t="s">
        <v>5936</v>
      </c>
      <c r="B1389">
        <f t="shared" si="184"/>
        <v>10</v>
      </c>
      <c r="C1389">
        <f t="shared" si="184"/>
        <v>43</v>
      </c>
      <c r="D1389">
        <f t="shared" si="184"/>
        <v>54</v>
      </c>
      <c r="E1389">
        <f t="shared" si="184"/>
        <v>80</v>
      </c>
      <c r="F1389">
        <f t="shared" si="184"/>
        <v>124</v>
      </c>
      <c r="G1389">
        <f t="shared" si="184"/>
        <v>145</v>
      </c>
      <c r="H1389">
        <f t="shared" si="184"/>
        <v>177</v>
      </c>
      <c r="I1389">
        <f t="shared" si="183"/>
        <v>199</v>
      </c>
      <c r="J1389">
        <f t="shared" si="183"/>
        <v>232</v>
      </c>
      <c r="K1389">
        <f t="shared" si="183"/>
        <v>252</v>
      </c>
      <c r="L1389">
        <f t="shared" si="183"/>
        <v>271</v>
      </c>
      <c r="M1389">
        <f t="shared" si="183"/>
        <v>286</v>
      </c>
      <c r="N1389">
        <f t="shared" si="183"/>
        <v>298</v>
      </c>
      <c r="O1389">
        <f t="shared" si="183"/>
        <v>323</v>
      </c>
      <c r="P1389">
        <f t="shared" si="185"/>
        <v>341</v>
      </c>
      <c r="Q1389">
        <f t="shared" si="185"/>
        <v>367</v>
      </c>
      <c r="S1389" t="str">
        <f t="shared" si="179"/>
        <v>11.12.2025</v>
      </c>
      <c r="T1389" t="str">
        <f t="shared" si="180"/>
        <v>05:45:00</v>
      </c>
      <c r="U1389" t="str">
        <f t="shared" si="181"/>
        <v>11.12.2025 05:45:00</v>
      </c>
      <c r="V1389" s="9" t="str">
        <f>MID($A1389,C1389+C$2+1,D1389-C1389-C$2-1)</f>
        <v>0</v>
      </c>
      <c r="W1389" s="4">
        <f>VALUE(SUBSTITUTE(MID($A1389,D1389+D$2+1,E1389-D1389-D$2-1),",","."))</f>
        <v>0</v>
      </c>
      <c r="X1389" s="4">
        <f>VALUE(SUBSTITUTE(MID($A1389,E1389+E$2+1,F1389-E1389-E$2-1),",","."))</f>
        <v>0.90957602214449496</v>
      </c>
      <c r="Y1389" s="4">
        <f>VALUE(SUBSTITUTE(MID($A1389,F1389+F$2+1,G1389-F1389-F$2-1),",","."))</f>
        <v>0</v>
      </c>
      <c r="Z1389" s="3">
        <f>VALUE(SUBSTITUTE(MID($A1389,G1389+G$2+1,H1389-G1389-G$2-1),",","."))</f>
        <v>0</v>
      </c>
      <c r="AA1389" s="3">
        <f>VALUE(SUBSTITUTE(MID($A1389,H1389+H$2+1,I1389-H1389-H$2-1),",","."))</f>
        <v>0</v>
      </c>
      <c r="AB1389" s="3">
        <f>VALUE(SUBSTITUTE(MID($A1389,I1389+I$2+1,J1389-I1389-I$2-1),",","."))</f>
        <v>0</v>
      </c>
      <c r="AC1389" s="3">
        <f>VALUE(SUBSTITUTE(MID($A1389,J1389+J$2+1,K1389-J1389-J$2-1),",","."))</f>
        <v>2.85</v>
      </c>
      <c r="AD1389" s="3">
        <f>VALUE(SUBSTITUTE(MID($A1389,K1389+K$2+1,L1389-K1389-K$2-1),",","."))</f>
        <v>66.78</v>
      </c>
      <c r="AE1389" s="3">
        <f>VALUE(SUBSTITUTE(MID($A1389,L1389+L$2+1,M1389-L1389-L$2-1),",","."))</f>
        <v>0</v>
      </c>
      <c r="AF1389" s="3">
        <f>VALUE(SUBSTITUTE(MID($A1389,M1389+M$2+1,N1389-M1389-M$2-1),",","."))</f>
        <v>0</v>
      </c>
      <c r="AG1389" s="3">
        <f>VALUE(SUBSTITUTE(MID($A1389,N1389+N$2+1,O1389-N1389-N$2-1),",","."))</f>
        <v>4.2429893095595101</v>
      </c>
      <c r="AH1389" t="str">
        <f>MID($A1389,O1389+O$2+1,P1389-O1389-O$2-1)</f>
        <v/>
      </c>
      <c r="AI1389" s="8" t="str">
        <f>MID($A1389,P1389+P$2+1,Q1389-P1389-P$2-1)</f>
        <v>False</v>
      </c>
      <c r="AK1389" t="b">
        <f t="shared" si="182"/>
        <v>0</v>
      </c>
    </row>
    <row r="1390" spans="1:37" x14ac:dyDescent="0.35">
      <c r="A1390" t="s">
        <v>5937</v>
      </c>
      <c r="B1390">
        <f t="shared" si="184"/>
        <v>10</v>
      </c>
      <c r="C1390">
        <f t="shared" si="184"/>
        <v>43</v>
      </c>
      <c r="D1390">
        <f t="shared" si="184"/>
        <v>54</v>
      </c>
      <c r="E1390">
        <f t="shared" si="184"/>
        <v>80</v>
      </c>
      <c r="F1390">
        <f t="shared" si="184"/>
        <v>124</v>
      </c>
      <c r="G1390">
        <f t="shared" si="184"/>
        <v>145</v>
      </c>
      <c r="H1390">
        <f t="shared" si="184"/>
        <v>177</v>
      </c>
      <c r="I1390">
        <f t="shared" si="184"/>
        <v>199</v>
      </c>
      <c r="J1390">
        <f t="shared" si="184"/>
        <v>232</v>
      </c>
      <c r="K1390">
        <f t="shared" si="184"/>
        <v>252</v>
      </c>
      <c r="L1390">
        <f t="shared" si="184"/>
        <v>271</v>
      </c>
      <c r="M1390">
        <f t="shared" si="184"/>
        <v>286</v>
      </c>
      <c r="N1390">
        <f t="shared" si="184"/>
        <v>298</v>
      </c>
      <c r="O1390">
        <f t="shared" si="184"/>
        <v>323</v>
      </c>
      <c r="P1390">
        <f t="shared" si="185"/>
        <v>341</v>
      </c>
      <c r="Q1390">
        <f t="shared" si="185"/>
        <v>367</v>
      </c>
      <c r="S1390" t="str">
        <f t="shared" si="179"/>
        <v>11.12.2025</v>
      </c>
      <c r="T1390" t="str">
        <f t="shared" si="180"/>
        <v>06:00:00</v>
      </c>
      <c r="U1390" t="str">
        <f t="shared" si="181"/>
        <v>11.12.2025 06:00:00</v>
      </c>
      <c r="V1390" s="9" t="str">
        <f>MID($A1390,C1390+C$2+1,D1390-C1390-C$2-1)</f>
        <v>0</v>
      </c>
      <c r="W1390" s="4">
        <f>VALUE(SUBSTITUTE(MID($A1390,D1390+D$2+1,E1390-D1390-D$2-1),",","."))</f>
        <v>0</v>
      </c>
      <c r="X1390" s="4">
        <f>VALUE(SUBSTITUTE(MID($A1390,E1390+E$2+1,F1390-E1390-E$2-1),",","."))</f>
        <v>0.90957602214449496</v>
      </c>
      <c r="Y1390" s="4">
        <f>VALUE(SUBSTITUTE(MID($A1390,F1390+F$2+1,G1390-F1390-F$2-1),",","."))</f>
        <v>0</v>
      </c>
      <c r="Z1390" s="3">
        <f>VALUE(SUBSTITUTE(MID($A1390,G1390+G$2+1,H1390-G1390-G$2-1),",","."))</f>
        <v>0</v>
      </c>
      <c r="AA1390" s="3">
        <f>VALUE(SUBSTITUTE(MID($A1390,H1390+H$2+1,I1390-H1390-H$2-1),",","."))</f>
        <v>0</v>
      </c>
      <c r="AB1390" s="3">
        <f>VALUE(SUBSTITUTE(MID($A1390,I1390+I$2+1,J1390-I1390-I$2-1),",","."))</f>
        <v>0</v>
      </c>
      <c r="AC1390" s="3">
        <f>VALUE(SUBSTITUTE(MID($A1390,J1390+J$2+1,K1390-J1390-J$2-1),",","."))</f>
        <v>2.85</v>
      </c>
      <c r="AD1390" s="3">
        <f>VALUE(SUBSTITUTE(MID($A1390,K1390+K$2+1,L1390-K1390-K$2-1),",","."))</f>
        <v>66.78</v>
      </c>
      <c r="AE1390" s="3">
        <f>VALUE(SUBSTITUTE(MID($A1390,L1390+L$2+1,M1390-L1390-L$2-1),",","."))</f>
        <v>0</v>
      </c>
      <c r="AF1390" s="3">
        <f>VALUE(SUBSTITUTE(MID($A1390,M1390+M$2+1,N1390-M1390-M$2-1),",","."))</f>
        <v>0</v>
      </c>
      <c r="AG1390" s="3">
        <f>VALUE(SUBSTITUTE(MID($A1390,N1390+N$2+1,O1390-N1390-N$2-1),",","."))</f>
        <v>4.2430178294476004</v>
      </c>
      <c r="AH1390" t="str">
        <f>MID($A1390,O1390+O$2+1,P1390-O1390-O$2-1)</f>
        <v/>
      </c>
      <c r="AI1390" s="8" t="str">
        <f>MID($A1390,P1390+P$2+1,Q1390-P1390-P$2-1)</f>
        <v>False</v>
      </c>
      <c r="AK1390" t="b">
        <f t="shared" si="182"/>
        <v>0</v>
      </c>
    </row>
    <row r="1391" spans="1:37" x14ac:dyDescent="0.35">
      <c r="A1391" t="s">
        <v>5938</v>
      </c>
      <c r="B1391">
        <f t="shared" ref="B1391:Q1408" si="186">FIND(B$1,$A1391)</f>
        <v>10</v>
      </c>
      <c r="C1391">
        <f t="shared" si="186"/>
        <v>43</v>
      </c>
      <c r="D1391">
        <f t="shared" si="186"/>
        <v>54</v>
      </c>
      <c r="E1391">
        <f t="shared" si="186"/>
        <v>80</v>
      </c>
      <c r="F1391">
        <f t="shared" si="186"/>
        <v>124</v>
      </c>
      <c r="G1391">
        <f t="shared" si="186"/>
        <v>145</v>
      </c>
      <c r="H1391">
        <f t="shared" si="186"/>
        <v>177</v>
      </c>
      <c r="I1391">
        <f t="shared" si="186"/>
        <v>199</v>
      </c>
      <c r="J1391">
        <f t="shared" si="186"/>
        <v>232</v>
      </c>
      <c r="K1391">
        <f t="shared" si="186"/>
        <v>252</v>
      </c>
      <c r="L1391">
        <f t="shared" si="186"/>
        <v>271</v>
      </c>
      <c r="M1391">
        <f t="shared" si="186"/>
        <v>286</v>
      </c>
      <c r="N1391">
        <f t="shared" si="186"/>
        <v>298</v>
      </c>
      <c r="O1391">
        <f t="shared" si="186"/>
        <v>323</v>
      </c>
      <c r="P1391">
        <f t="shared" si="185"/>
        <v>341</v>
      </c>
      <c r="Q1391">
        <f t="shared" si="185"/>
        <v>367</v>
      </c>
      <c r="S1391" t="str">
        <f t="shared" si="179"/>
        <v>11.12.2025</v>
      </c>
      <c r="T1391" t="str">
        <f t="shared" si="180"/>
        <v>06:15:00</v>
      </c>
      <c r="U1391" t="str">
        <f t="shared" si="181"/>
        <v>11.12.2025 06:15:00</v>
      </c>
      <c r="V1391" s="9" t="str">
        <f>MID($A1391,C1391+C$2+1,D1391-C1391-C$2-1)</f>
        <v>0</v>
      </c>
      <c r="W1391" s="4">
        <f>VALUE(SUBSTITUTE(MID($A1391,D1391+D$2+1,E1391-D1391-D$2-1),",","."))</f>
        <v>0</v>
      </c>
      <c r="X1391" s="4">
        <f>VALUE(SUBSTITUTE(MID($A1391,E1391+E$2+1,F1391-E1391-E$2-1),",","."))</f>
        <v>0.90957602214449496</v>
      </c>
      <c r="Y1391" s="4">
        <f>VALUE(SUBSTITUTE(MID($A1391,F1391+F$2+1,G1391-F1391-F$2-1),",","."))</f>
        <v>0</v>
      </c>
      <c r="Z1391" s="3">
        <f>VALUE(SUBSTITUTE(MID($A1391,G1391+G$2+1,H1391-G1391-G$2-1),",","."))</f>
        <v>0</v>
      </c>
      <c r="AA1391" s="3">
        <f>VALUE(SUBSTITUTE(MID($A1391,H1391+H$2+1,I1391-H1391-H$2-1),",","."))</f>
        <v>0</v>
      </c>
      <c r="AB1391" s="3">
        <f>VALUE(SUBSTITUTE(MID($A1391,I1391+I$2+1,J1391-I1391-I$2-1),",","."))</f>
        <v>0</v>
      </c>
      <c r="AC1391" s="3">
        <f>VALUE(SUBSTITUTE(MID($A1391,J1391+J$2+1,K1391-J1391-J$2-1),",","."))</f>
        <v>2.85</v>
      </c>
      <c r="AD1391" s="3">
        <f>VALUE(SUBSTITUTE(MID($A1391,K1391+K$2+1,L1391-K1391-K$2-1),",","."))</f>
        <v>66.78</v>
      </c>
      <c r="AE1391" s="3">
        <f>VALUE(SUBSTITUTE(MID($A1391,L1391+L$2+1,M1391-L1391-L$2-1),",","."))</f>
        <v>0</v>
      </c>
      <c r="AF1391" s="3">
        <f>VALUE(SUBSTITUTE(MID($A1391,M1391+M$2+1,N1391-M1391-M$2-1),",","."))</f>
        <v>0</v>
      </c>
      <c r="AG1391" s="3">
        <f>VALUE(SUBSTITUTE(MID($A1391,N1391+N$2+1,O1391-N1391-N$2-1),",","."))</f>
        <v>4.24304634933568</v>
      </c>
      <c r="AH1391" t="str">
        <f>MID($A1391,O1391+O$2+1,P1391-O1391-O$2-1)</f>
        <v/>
      </c>
      <c r="AI1391" s="8" t="str">
        <f>MID($A1391,P1391+P$2+1,Q1391-P1391-P$2-1)</f>
        <v>False</v>
      </c>
      <c r="AK1391" t="b">
        <f t="shared" si="182"/>
        <v>0</v>
      </c>
    </row>
    <row r="1392" spans="1:37" x14ac:dyDescent="0.35">
      <c r="A1392" t="s">
        <v>5939</v>
      </c>
      <c r="B1392">
        <f t="shared" si="186"/>
        <v>10</v>
      </c>
      <c r="C1392">
        <f t="shared" si="186"/>
        <v>43</v>
      </c>
      <c r="D1392">
        <f t="shared" si="186"/>
        <v>54</v>
      </c>
      <c r="E1392">
        <f t="shared" si="186"/>
        <v>80</v>
      </c>
      <c r="F1392">
        <f t="shared" si="186"/>
        <v>124</v>
      </c>
      <c r="G1392">
        <f t="shared" si="186"/>
        <v>145</v>
      </c>
      <c r="H1392">
        <f t="shared" si="186"/>
        <v>177</v>
      </c>
      <c r="I1392">
        <f t="shared" si="186"/>
        <v>199</v>
      </c>
      <c r="J1392">
        <f t="shared" si="186"/>
        <v>232</v>
      </c>
      <c r="K1392">
        <f t="shared" si="186"/>
        <v>251</v>
      </c>
      <c r="L1392">
        <f t="shared" si="186"/>
        <v>269</v>
      </c>
      <c r="M1392">
        <f t="shared" si="186"/>
        <v>284</v>
      </c>
      <c r="N1392">
        <f t="shared" si="186"/>
        <v>296</v>
      </c>
      <c r="O1392">
        <f t="shared" si="186"/>
        <v>321</v>
      </c>
      <c r="P1392">
        <f t="shared" si="185"/>
        <v>339</v>
      </c>
      <c r="Q1392">
        <f t="shared" si="185"/>
        <v>365</v>
      </c>
      <c r="S1392" t="str">
        <f t="shared" si="179"/>
        <v>11.12.2025</v>
      </c>
      <c r="T1392" t="str">
        <f t="shared" si="180"/>
        <v>06:30:00</v>
      </c>
      <c r="U1392" t="str">
        <f t="shared" si="181"/>
        <v>11.12.2025 06:30:00</v>
      </c>
      <c r="V1392" s="9" t="str">
        <f>MID($A1392,C1392+C$2+1,D1392-C1392-C$2-1)</f>
        <v>0</v>
      </c>
      <c r="W1392" s="4">
        <f>VALUE(SUBSTITUTE(MID($A1392,D1392+D$2+1,E1392-D1392-D$2-1),",","."))</f>
        <v>0</v>
      </c>
      <c r="X1392" s="4">
        <f>VALUE(SUBSTITUTE(MID($A1392,E1392+E$2+1,F1392-E1392-E$2-1),",","."))</f>
        <v>0.90957602214449496</v>
      </c>
      <c r="Y1392" s="4">
        <f>VALUE(SUBSTITUTE(MID($A1392,F1392+F$2+1,G1392-F1392-F$2-1),",","."))</f>
        <v>0</v>
      </c>
      <c r="Z1392" s="3">
        <f>VALUE(SUBSTITUTE(MID($A1392,G1392+G$2+1,H1392-G1392-G$2-1),",","."))</f>
        <v>0</v>
      </c>
      <c r="AA1392" s="3">
        <f>VALUE(SUBSTITUTE(MID($A1392,H1392+H$2+1,I1392-H1392-H$2-1),",","."))</f>
        <v>0</v>
      </c>
      <c r="AB1392" s="3">
        <f>VALUE(SUBSTITUTE(MID($A1392,I1392+I$2+1,J1392-I1392-I$2-1),",","."))</f>
        <v>0</v>
      </c>
      <c r="AC1392" s="3">
        <f>VALUE(SUBSTITUTE(MID($A1392,J1392+J$2+1,K1392-J1392-J$2-1),",","."))</f>
        <v>2.9</v>
      </c>
      <c r="AD1392" s="3">
        <f>VALUE(SUBSTITUTE(MID($A1392,K1392+K$2+1,L1392-K1392-K$2-1),",","."))</f>
        <v>68.400000000000006</v>
      </c>
      <c r="AE1392" s="3">
        <f>VALUE(SUBSTITUTE(MID($A1392,L1392+L$2+1,M1392-L1392-L$2-1),",","."))</f>
        <v>0</v>
      </c>
      <c r="AF1392" s="3">
        <f>VALUE(SUBSTITUTE(MID($A1392,M1392+M$2+1,N1392-M1392-M$2-1),",","."))</f>
        <v>0</v>
      </c>
      <c r="AG1392" s="3">
        <f>VALUE(SUBSTITUTE(MID($A1392,N1392+N$2+1,O1392-N1392-N$2-1),",","."))</f>
        <v>4.2430748692237596</v>
      </c>
      <c r="AH1392" t="str">
        <f>MID($A1392,O1392+O$2+1,P1392-O1392-O$2-1)</f>
        <v/>
      </c>
      <c r="AI1392" s="8" t="str">
        <f>MID($A1392,P1392+P$2+1,Q1392-P1392-P$2-1)</f>
        <v>False</v>
      </c>
      <c r="AK1392" t="b">
        <f t="shared" si="182"/>
        <v>0</v>
      </c>
    </row>
    <row r="1393" spans="1:37" x14ac:dyDescent="0.35">
      <c r="A1393" t="s">
        <v>5940</v>
      </c>
      <c r="B1393">
        <f t="shared" si="186"/>
        <v>10</v>
      </c>
      <c r="C1393">
        <f t="shared" si="186"/>
        <v>43</v>
      </c>
      <c r="D1393">
        <f t="shared" si="186"/>
        <v>54</v>
      </c>
      <c r="E1393">
        <f t="shared" si="186"/>
        <v>80</v>
      </c>
      <c r="F1393">
        <f t="shared" si="186"/>
        <v>124</v>
      </c>
      <c r="G1393">
        <f t="shared" si="186"/>
        <v>145</v>
      </c>
      <c r="H1393">
        <f t="shared" si="186"/>
        <v>177</v>
      </c>
      <c r="I1393">
        <f t="shared" si="186"/>
        <v>199</v>
      </c>
      <c r="J1393">
        <f t="shared" si="186"/>
        <v>232</v>
      </c>
      <c r="K1393">
        <f t="shared" si="186"/>
        <v>251</v>
      </c>
      <c r="L1393">
        <f t="shared" si="186"/>
        <v>269</v>
      </c>
      <c r="M1393">
        <f t="shared" si="186"/>
        <v>284</v>
      </c>
      <c r="N1393">
        <f t="shared" si="186"/>
        <v>296</v>
      </c>
      <c r="O1393">
        <f t="shared" si="186"/>
        <v>322</v>
      </c>
      <c r="P1393">
        <f t="shared" si="185"/>
        <v>340</v>
      </c>
      <c r="Q1393">
        <f t="shared" si="185"/>
        <v>366</v>
      </c>
      <c r="S1393" t="str">
        <f t="shared" si="179"/>
        <v>11.12.2025</v>
      </c>
      <c r="T1393" t="str">
        <f t="shared" si="180"/>
        <v>06:45:00</v>
      </c>
      <c r="U1393" t="str">
        <f t="shared" si="181"/>
        <v>11.12.2025 06:45:00</v>
      </c>
      <c r="V1393" s="9" t="str">
        <f>MID($A1393,C1393+C$2+1,D1393-C1393-C$2-1)</f>
        <v>0</v>
      </c>
      <c r="W1393" s="4">
        <f>VALUE(SUBSTITUTE(MID($A1393,D1393+D$2+1,E1393-D1393-D$2-1),",","."))</f>
        <v>0</v>
      </c>
      <c r="X1393" s="4">
        <f>VALUE(SUBSTITUTE(MID($A1393,E1393+E$2+1,F1393-E1393-E$2-1),",","."))</f>
        <v>0.90957602214449496</v>
      </c>
      <c r="Y1393" s="4">
        <f>VALUE(SUBSTITUTE(MID($A1393,F1393+F$2+1,G1393-F1393-F$2-1),",","."))</f>
        <v>0</v>
      </c>
      <c r="Z1393" s="3">
        <f>VALUE(SUBSTITUTE(MID($A1393,G1393+G$2+1,H1393-G1393-G$2-1),",","."))</f>
        <v>0</v>
      </c>
      <c r="AA1393" s="3">
        <f>VALUE(SUBSTITUTE(MID($A1393,H1393+H$2+1,I1393-H1393-H$2-1),",","."))</f>
        <v>0</v>
      </c>
      <c r="AB1393" s="3">
        <f>VALUE(SUBSTITUTE(MID($A1393,I1393+I$2+1,J1393-I1393-I$2-1),",","."))</f>
        <v>0</v>
      </c>
      <c r="AC1393" s="3">
        <f>VALUE(SUBSTITUTE(MID($A1393,J1393+J$2+1,K1393-J1393-J$2-1),",","."))</f>
        <v>2.9</v>
      </c>
      <c r="AD1393" s="3">
        <f>VALUE(SUBSTITUTE(MID($A1393,K1393+K$2+1,L1393-K1393-K$2-1),",","."))</f>
        <v>68.400000000000006</v>
      </c>
      <c r="AE1393" s="3">
        <f>VALUE(SUBSTITUTE(MID($A1393,L1393+L$2+1,M1393-L1393-L$2-1),",","."))</f>
        <v>0</v>
      </c>
      <c r="AF1393" s="3">
        <f>VALUE(SUBSTITUTE(MID($A1393,M1393+M$2+1,N1393-M1393-M$2-1),",","."))</f>
        <v>0</v>
      </c>
      <c r="AG1393" s="3">
        <f>VALUE(SUBSTITUTE(MID($A1393,N1393+N$2+1,O1393-N1393-N$2-1),",","."))</f>
        <v>4.2431033891118402</v>
      </c>
      <c r="AH1393" t="str">
        <f>MID($A1393,O1393+O$2+1,P1393-O1393-O$2-1)</f>
        <v/>
      </c>
      <c r="AI1393" s="8" t="str">
        <f>MID($A1393,P1393+P$2+1,Q1393-P1393-P$2-1)</f>
        <v>False</v>
      </c>
      <c r="AK1393" t="b">
        <f t="shared" si="182"/>
        <v>0</v>
      </c>
    </row>
    <row r="1394" spans="1:37" x14ac:dyDescent="0.35">
      <c r="A1394" t="s">
        <v>5941</v>
      </c>
      <c r="B1394">
        <f t="shared" si="186"/>
        <v>10</v>
      </c>
      <c r="C1394">
        <f t="shared" si="186"/>
        <v>43</v>
      </c>
      <c r="D1394">
        <f t="shared" si="186"/>
        <v>54</v>
      </c>
      <c r="E1394">
        <f t="shared" si="186"/>
        <v>80</v>
      </c>
      <c r="F1394">
        <f t="shared" si="186"/>
        <v>124</v>
      </c>
      <c r="G1394">
        <f t="shared" si="186"/>
        <v>145</v>
      </c>
      <c r="H1394">
        <f t="shared" si="186"/>
        <v>177</v>
      </c>
      <c r="I1394">
        <f t="shared" si="186"/>
        <v>199</v>
      </c>
      <c r="J1394">
        <f t="shared" si="186"/>
        <v>232</v>
      </c>
      <c r="K1394">
        <f t="shared" si="186"/>
        <v>251</v>
      </c>
      <c r="L1394">
        <f t="shared" si="186"/>
        <v>269</v>
      </c>
      <c r="M1394">
        <f t="shared" si="186"/>
        <v>284</v>
      </c>
      <c r="N1394">
        <f t="shared" si="186"/>
        <v>296</v>
      </c>
      <c r="O1394">
        <f t="shared" si="186"/>
        <v>321</v>
      </c>
      <c r="P1394">
        <f t="shared" si="185"/>
        <v>339</v>
      </c>
      <c r="Q1394">
        <f t="shared" si="185"/>
        <v>365</v>
      </c>
      <c r="S1394" t="str">
        <f t="shared" si="179"/>
        <v>11.12.2025</v>
      </c>
      <c r="T1394" t="str">
        <f t="shared" si="180"/>
        <v>07:00:00</v>
      </c>
      <c r="U1394" t="str">
        <f t="shared" si="181"/>
        <v>11.12.2025 07:00:00</v>
      </c>
      <c r="V1394" s="9" t="str">
        <f>MID($A1394,C1394+C$2+1,D1394-C1394-C$2-1)</f>
        <v>0</v>
      </c>
      <c r="W1394" s="4">
        <f>VALUE(SUBSTITUTE(MID($A1394,D1394+D$2+1,E1394-D1394-D$2-1),",","."))</f>
        <v>0</v>
      </c>
      <c r="X1394" s="4">
        <f>VALUE(SUBSTITUTE(MID($A1394,E1394+E$2+1,F1394-E1394-E$2-1),",","."))</f>
        <v>0.90957602214449496</v>
      </c>
      <c r="Y1394" s="4">
        <f>VALUE(SUBSTITUTE(MID($A1394,F1394+F$2+1,G1394-F1394-F$2-1),",","."))</f>
        <v>0</v>
      </c>
      <c r="Z1394" s="3">
        <f>VALUE(SUBSTITUTE(MID($A1394,G1394+G$2+1,H1394-G1394-G$2-1),",","."))</f>
        <v>0</v>
      </c>
      <c r="AA1394" s="3">
        <f>VALUE(SUBSTITUTE(MID($A1394,H1394+H$2+1,I1394-H1394-H$2-1),",","."))</f>
        <v>0</v>
      </c>
      <c r="AB1394" s="3">
        <f>VALUE(SUBSTITUTE(MID($A1394,I1394+I$2+1,J1394-I1394-I$2-1),",","."))</f>
        <v>0</v>
      </c>
      <c r="AC1394" s="3">
        <f>VALUE(SUBSTITUTE(MID($A1394,J1394+J$2+1,K1394-J1394-J$2-1),",","."))</f>
        <v>2.9</v>
      </c>
      <c r="AD1394" s="3">
        <f>VALUE(SUBSTITUTE(MID($A1394,K1394+K$2+1,L1394-K1394-K$2-1),",","."))</f>
        <v>68.400000000000006</v>
      </c>
      <c r="AE1394" s="3">
        <f>VALUE(SUBSTITUTE(MID($A1394,L1394+L$2+1,M1394-L1394-L$2-1),",","."))</f>
        <v>0</v>
      </c>
      <c r="AF1394" s="3">
        <f>VALUE(SUBSTITUTE(MID($A1394,M1394+M$2+1,N1394-M1394-M$2-1),",","."))</f>
        <v>0</v>
      </c>
      <c r="AG1394" s="3">
        <f>VALUE(SUBSTITUTE(MID($A1394,N1394+N$2+1,O1394-N1394-N$2-1),",","."))</f>
        <v>4.2431319089999198</v>
      </c>
      <c r="AH1394" t="str">
        <f>MID($A1394,O1394+O$2+1,P1394-O1394-O$2-1)</f>
        <v/>
      </c>
      <c r="AI1394" s="8" t="str">
        <f>MID($A1394,P1394+P$2+1,Q1394-P1394-P$2-1)</f>
        <v>False</v>
      </c>
      <c r="AK1394" t="b">
        <f t="shared" si="182"/>
        <v>0</v>
      </c>
    </row>
    <row r="1395" spans="1:37" x14ac:dyDescent="0.35">
      <c r="A1395" t="s">
        <v>5942</v>
      </c>
      <c r="B1395">
        <f t="shared" si="186"/>
        <v>10</v>
      </c>
      <c r="C1395">
        <f t="shared" si="186"/>
        <v>43</v>
      </c>
      <c r="D1395">
        <f t="shared" si="186"/>
        <v>54</v>
      </c>
      <c r="E1395">
        <f t="shared" si="186"/>
        <v>80</v>
      </c>
      <c r="F1395">
        <f t="shared" si="186"/>
        <v>124</v>
      </c>
      <c r="G1395">
        <f t="shared" si="186"/>
        <v>145</v>
      </c>
      <c r="H1395">
        <f t="shared" si="186"/>
        <v>177</v>
      </c>
      <c r="I1395">
        <f t="shared" si="186"/>
        <v>199</v>
      </c>
      <c r="J1395">
        <f t="shared" si="186"/>
        <v>232</v>
      </c>
      <c r="K1395">
        <f t="shared" si="186"/>
        <v>251</v>
      </c>
      <c r="L1395">
        <f t="shared" si="186"/>
        <v>269</v>
      </c>
      <c r="M1395">
        <f t="shared" si="186"/>
        <v>284</v>
      </c>
      <c r="N1395">
        <f t="shared" si="186"/>
        <v>296</v>
      </c>
      <c r="O1395">
        <f t="shared" si="186"/>
        <v>321</v>
      </c>
      <c r="P1395">
        <f t="shared" si="185"/>
        <v>339</v>
      </c>
      <c r="Q1395">
        <f t="shared" si="185"/>
        <v>365</v>
      </c>
      <c r="S1395" t="str">
        <f t="shared" si="179"/>
        <v>11.12.2025</v>
      </c>
      <c r="T1395" t="str">
        <f t="shared" si="180"/>
        <v>07:15:00</v>
      </c>
      <c r="U1395" t="str">
        <f t="shared" si="181"/>
        <v>11.12.2025 07:15:00</v>
      </c>
      <c r="V1395" s="9" t="str">
        <f>MID($A1395,C1395+C$2+1,D1395-C1395-C$2-1)</f>
        <v>0</v>
      </c>
      <c r="W1395" s="4">
        <f>VALUE(SUBSTITUTE(MID($A1395,D1395+D$2+1,E1395-D1395-D$2-1),",","."))</f>
        <v>0</v>
      </c>
      <c r="X1395" s="4">
        <f>VALUE(SUBSTITUTE(MID($A1395,E1395+E$2+1,F1395-E1395-E$2-1),",","."))</f>
        <v>0.90957602214449496</v>
      </c>
      <c r="Y1395" s="4">
        <f>VALUE(SUBSTITUTE(MID($A1395,F1395+F$2+1,G1395-F1395-F$2-1),",","."))</f>
        <v>0</v>
      </c>
      <c r="Z1395" s="3">
        <f>VALUE(SUBSTITUTE(MID($A1395,G1395+G$2+1,H1395-G1395-G$2-1),",","."))</f>
        <v>0</v>
      </c>
      <c r="AA1395" s="3">
        <f>VALUE(SUBSTITUTE(MID($A1395,H1395+H$2+1,I1395-H1395-H$2-1),",","."))</f>
        <v>0</v>
      </c>
      <c r="AB1395" s="3">
        <f>VALUE(SUBSTITUTE(MID($A1395,I1395+I$2+1,J1395-I1395-I$2-1),",","."))</f>
        <v>0</v>
      </c>
      <c r="AC1395" s="3">
        <f>VALUE(SUBSTITUTE(MID($A1395,J1395+J$2+1,K1395-J1395-J$2-1),",","."))</f>
        <v>2.9</v>
      </c>
      <c r="AD1395" s="3">
        <f>VALUE(SUBSTITUTE(MID($A1395,K1395+K$2+1,L1395-K1395-K$2-1),",","."))</f>
        <v>68.400000000000006</v>
      </c>
      <c r="AE1395" s="3">
        <f>VALUE(SUBSTITUTE(MID($A1395,L1395+L$2+1,M1395-L1395-L$2-1),",","."))</f>
        <v>0</v>
      </c>
      <c r="AF1395" s="3">
        <f>VALUE(SUBSTITUTE(MID($A1395,M1395+M$2+1,N1395-M1395-M$2-1),",","."))</f>
        <v>0</v>
      </c>
      <c r="AG1395" s="3">
        <f>VALUE(SUBSTITUTE(MID($A1395,N1395+N$2+1,O1395-N1395-N$2-1),",","."))</f>
        <v>4.2431604288880003</v>
      </c>
      <c r="AH1395" t="str">
        <f>MID($A1395,O1395+O$2+1,P1395-O1395-O$2-1)</f>
        <v/>
      </c>
      <c r="AI1395" s="8" t="str">
        <f>MID($A1395,P1395+P$2+1,Q1395-P1395-P$2-1)</f>
        <v>False</v>
      </c>
      <c r="AK1395" t="b">
        <f t="shared" si="182"/>
        <v>0</v>
      </c>
    </row>
    <row r="1396" spans="1:37" x14ac:dyDescent="0.35">
      <c r="A1396" t="s">
        <v>5943</v>
      </c>
      <c r="B1396">
        <f t="shared" si="186"/>
        <v>10</v>
      </c>
      <c r="C1396">
        <f t="shared" si="186"/>
        <v>43</v>
      </c>
      <c r="D1396">
        <f t="shared" si="186"/>
        <v>54</v>
      </c>
      <c r="E1396">
        <f t="shared" si="186"/>
        <v>80</v>
      </c>
      <c r="F1396">
        <f t="shared" si="186"/>
        <v>124</v>
      </c>
      <c r="G1396">
        <f t="shared" si="186"/>
        <v>145</v>
      </c>
      <c r="H1396">
        <f t="shared" si="186"/>
        <v>177</v>
      </c>
      <c r="I1396">
        <f t="shared" si="186"/>
        <v>199</v>
      </c>
      <c r="J1396">
        <f t="shared" si="186"/>
        <v>232</v>
      </c>
      <c r="K1396">
        <f t="shared" si="186"/>
        <v>252</v>
      </c>
      <c r="L1396">
        <f t="shared" si="186"/>
        <v>283</v>
      </c>
      <c r="M1396">
        <f t="shared" si="186"/>
        <v>298</v>
      </c>
      <c r="N1396">
        <f t="shared" si="186"/>
        <v>310</v>
      </c>
      <c r="O1396">
        <f t="shared" si="186"/>
        <v>336</v>
      </c>
      <c r="P1396">
        <f t="shared" si="185"/>
        <v>354</v>
      </c>
      <c r="Q1396">
        <f t="shared" si="185"/>
        <v>380</v>
      </c>
      <c r="S1396" t="str">
        <f t="shared" si="179"/>
        <v>11.12.2025</v>
      </c>
      <c r="T1396" t="str">
        <f t="shared" si="180"/>
        <v>07:30:00</v>
      </c>
      <c r="U1396" t="str">
        <f t="shared" si="181"/>
        <v>11.12.2025 07:30:00</v>
      </c>
      <c r="V1396" s="9" t="str">
        <f>MID($A1396,C1396+C$2+1,D1396-C1396-C$2-1)</f>
        <v>0</v>
      </c>
      <c r="W1396" s="4">
        <f>VALUE(SUBSTITUTE(MID($A1396,D1396+D$2+1,E1396-D1396-D$2-1),",","."))</f>
        <v>0</v>
      </c>
      <c r="X1396" s="4">
        <f>VALUE(SUBSTITUTE(MID($A1396,E1396+E$2+1,F1396-E1396-E$2-1),",","."))</f>
        <v>0.90957602214449496</v>
      </c>
      <c r="Y1396" s="4">
        <f>VALUE(SUBSTITUTE(MID($A1396,F1396+F$2+1,G1396-F1396-F$2-1),",","."))</f>
        <v>0</v>
      </c>
      <c r="Z1396" s="3">
        <f>VALUE(SUBSTITUTE(MID($A1396,G1396+G$2+1,H1396-G1396-G$2-1),",","."))</f>
        <v>0</v>
      </c>
      <c r="AA1396" s="3">
        <f>VALUE(SUBSTITUTE(MID($A1396,H1396+H$2+1,I1396-H1396-H$2-1),",","."))</f>
        <v>0</v>
      </c>
      <c r="AB1396" s="3">
        <f>VALUE(SUBSTITUTE(MID($A1396,I1396+I$2+1,J1396-I1396-I$2-1),",","."))</f>
        <v>0</v>
      </c>
      <c r="AC1396" s="3">
        <f>VALUE(SUBSTITUTE(MID($A1396,J1396+J$2+1,K1396-J1396-J$2-1),",","."))</f>
        <v>3.05</v>
      </c>
      <c r="AD1396" s="3">
        <f>VALUE(SUBSTITUTE(MID($A1396,K1396+K$2+1,L1396-K1396-K$2-1),",","."))</f>
        <v>68.039999999999907</v>
      </c>
      <c r="AE1396" s="3">
        <f>VALUE(SUBSTITUTE(MID($A1396,L1396+L$2+1,M1396-L1396-L$2-1),",","."))</f>
        <v>0</v>
      </c>
      <c r="AF1396" s="3">
        <f>VALUE(SUBSTITUTE(MID($A1396,M1396+M$2+1,N1396-M1396-M$2-1),",","."))</f>
        <v>0</v>
      </c>
      <c r="AG1396" s="3">
        <f>VALUE(SUBSTITUTE(MID($A1396,N1396+N$2+1,O1396-N1396-N$2-1),",","."))</f>
        <v>4.2431889487760897</v>
      </c>
      <c r="AH1396" t="str">
        <f>MID($A1396,O1396+O$2+1,P1396-O1396-O$2-1)</f>
        <v/>
      </c>
      <c r="AI1396" s="8" t="str">
        <f>MID($A1396,P1396+P$2+1,Q1396-P1396-P$2-1)</f>
        <v>False</v>
      </c>
      <c r="AK1396" t="b">
        <f t="shared" si="182"/>
        <v>0</v>
      </c>
    </row>
    <row r="1397" spans="1:37" x14ac:dyDescent="0.35">
      <c r="A1397" t="s">
        <v>5944</v>
      </c>
      <c r="B1397">
        <f t="shared" si="186"/>
        <v>10</v>
      </c>
      <c r="C1397">
        <f t="shared" si="186"/>
        <v>43</v>
      </c>
      <c r="D1397">
        <f t="shared" si="186"/>
        <v>54</v>
      </c>
      <c r="E1397">
        <f t="shared" si="186"/>
        <v>80</v>
      </c>
      <c r="F1397">
        <f t="shared" si="186"/>
        <v>124</v>
      </c>
      <c r="G1397">
        <f t="shared" si="186"/>
        <v>145</v>
      </c>
      <c r="H1397">
        <f t="shared" si="186"/>
        <v>177</v>
      </c>
      <c r="I1397">
        <f t="shared" si="186"/>
        <v>199</v>
      </c>
      <c r="J1397">
        <f t="shared" si="186"/>
        <v>232</v>
      </c>
      <c r="K1397">
        <f t="shared" si="186"/>
        <v>252</v>
      </c>
      <c r="L1397">
        <f t="shared" si="186"/>
        <v>283</v>
      </c>
      <c r="M1397">
        <f t="shared" si="186"/>
        <v>298</v>
      </c>
      <c r="N1397">
        <f t="shared" si="186"/>
        <v>310</v>
      </c>
      <c r="O1397">
        <f t="shared" si="186"/>
        <v>335</v>
      </c>
      <c r="P1397">
        <f t="shared" si="185"/>
        <v>353</v>
      </c>
      <c r="Q1397">
        <f t="shared" si="185"/>
        <v>379</v>
      </c>
      <c r="S1397" t="str">
        <f t="shared" si="179"/>
        <v>11.12.2025</v>
      </c>
      <c r="T1397" t="str">
        <f t="shared" si="180"/>
        <v>07:45:00</v>
      </c>
      <c r="U1397" t="str">
        <f t="shared" si="181"/>
        <v>11.12.2025 07:45:00</v>
      </c>
      <c r="V1397" s="9" t="str">
        <f>MID($A1397,C1397+C$2+1,D1397-C1397-C$2-1)</f>
        <v>0</v>
      </c>
      <c r="W1397" s="4">
        <f>VALUE(SUBSTITUTE(MID($A1397,D1397+D$2+1,E1397-D1397-D$2-1),",","."))</f>
        <v>0</v>
      </c>
      <c r="X1397" s="4">
        <f>VALUE(SUBSTITUTE(MID($A1397,E1397+E$2+1,F1397-E1397-E$2-1),",","."))</f>
        <v>0.90957602214449496</v>
      </c>
      <c r="Y1397" s="4">
        <f>VALUE(SUBSTITUTE(MID($A1397,F1397+F$2+1,G1397-F1397-F$2-1),",","."))</f>
        <v>0</v>
      </c>
      <c r="Z1397" s="3">
        <f>VALUE(SUBSTITUTE(MID($A1397,G1397+G$2+1,H1397-G1397-G$2-1),",","."))</f>
        <v>0</v>
      </c>
      <c r="AA1397" s="3">
        <f>VALUE(SUBSTITUTE(MID($A1397,H1397+H$2+1,I1397-H1397-H$2-1),",","."))</f>
        <v>0</v>
      </c>
      <c r="AB1397" s="3">
        <f>VALUE(SUBSTITUTE(MID($A1397,I1397+I$2+1,J1397-I1397-I$2-1),",","."))</f>
        <v>0</v>
      </c>
      <c r="AC1397" s="3">
        <f>VALUE(SUBSTITUTE(MID($A1397,J1397+J$2+1,K1397-J1397-J$2-1),",","."))</f>
        <v>3.05</v>
      </c>
      <c r="AD1397" s="3">
        <f>VALUE(SUBSTITUTE(MID($A1397,K1397+K$2+1,L1397-K1397-K$2-1),",","."))</f>
        <v>68.039999999999907</v>
      </c>
      <c r="AE1397" s="3">
        <f>VALUE(SUBSTITUTE(MID($A1397,L1397+L$2+1,M1397-L1397-L$2-1),",","."))</f>
        <v>0</v>
      </c>
      <c r="AF1397" s="3">
        <f>VALUE(SUBSTITUTE(MID($A1397,M1397+M$2+1,N1397-M1397-M$2-1),",","."))</f>
        <v>0</v>
      </c>
      <c r="AG1397" s="3">
        <f>VALUE(SUBSTITUTE(MID($A1397,N1397+N$2+1,O1397-N1397-N$2-1),",","."))</f>
        <v>4.2432174686641702</v>
      </c>
      <c r="AH1397" t="str">
        <f>MID($A1397,O1397+O$2+1,P1397-O1397-O$2-1)</f>
        <v/>
      </c>
      <c r="AI1397" s="8" t="str">
        <f>MID($A1397,P1397+P$2+1,Q1397-P1397-P$2-1)</f>
        <v>False</v>
      </c>
      <c r="AK1397" t="b">
        <f t="shared" si="182"/>
        <v>0</v>
      </c>
    </row>
    <row r="1398" spans="1:37" x14ac:dyDescent="0.35">
      <c r="A1398" t="s">
        <v>5945</v>
      </c>
      <c r="B1398">
        <f t="shared" si="186"/>
        <v>10</v>
      </c>
      <c r="C1398">
        <f t="shared" si="186"/>
        <v>43</v>
      </c>
      <c r="D1398">
        <f t="shared" si="186"/>
        <v>54</v>
      </c>
      <c r="E1398">
        <f t="shared" si="186"/>
        <v>80</v>
      </c>
      <c r="F1398">
        <f t="shared" si="186"/>
        <v>124</v>
      </c>
      <c r="G1398">
        <f t="shared" si="186"/>
        <v>164</v>
      </c>
      <c r="H1398">
        <f t="shared" si="186"/>
        <v>196</v>
      </c>
      <c r="I1398">
        <f t="shared" si="186"/>
        <v>218</v>
      </c>
      <c r="J1398">
        <f t="shared" si="186"/>
        <v>251</v>
      </c>
      <c r="K1398">
        <f t="shared" si="186"/>
        <v>271</v>
      </c>
      <c r="L1398">
        <f t="shared" si="186"/>
        <v>302</v>
      </c>
      <c r="M1398">
        <f t="shared" si="186"/>
        <v>317</v>
      </c>
      <c r="N1398">
        <f t="shared" si="186"/>
        <v>329</v>
      </c>
      <c r="O1398">
        <f t="shared" si="186"/>
        <v>354</v>
      </c>
      <c r="P1398">
        <f t="shared" si="185"/>
        <v>372</v>
      </c>
      <c r="Q1398">
        <f t="shared" si="185"/>
        <v>398</v>
      </c>
      <c r="S1398" t="str">
        <f t="shared" si="179"/>
        <v>11.12.2025</v>
      </c>
      <c r="T1398" t="str">
        <f t="shared" si="180"/>
        <v>08:00:00</v>
      </c>
      <c r="U1398" t="str">
        <f t="shared" si="181"/>
        <v>11.12.2025 08:00:00</v>
      </c>
      <c r="V1398" s="9" t="str">
        <f>MID($A1398,C1398+C$2+1,D1398-C1398-C$2-1)</f>
        <v>0</v>
      </c>
      <c r="W1398" s="4">
        <f>VALUE(SUBSTITUTE(MID($A1398,D1398+D$2+1,E1398-D1398-D$2-1),",","."))</f>
        <v>0</v>
      </c>
      <c r="X1398" s="4">
        <f>VALUE(SUBSTITUTE(MID($A1398,E1398+E$2+1,F1398-E1398-E$2-1),",","."))</f>
        <v>0.90957602214449496</v>
      </c>
      <c r="Y1398" s="4">
        <f>VALUE(SUBSTITUTE(MID($A1398,F1398+F$2+1,G1398-F1398-F$2-1),",","."))</f>
        <v>7.5803858224302899E-3</v>
      </c>
      <c r="Z1398" s="3">
        <f>VALUE(SUBSTITUTE(MID($A1398,G1398+G$2+1,H1398-G1398-G$2-1),",","."))</f>
        <v>0</v>
      </c>
      <c r="AA1398" s="3">
        <f>VALUE(SUBSTITUTE(MID($A1398,H1398+H$2+1,I1398-H1398-H$2-1),",","."))</f>
        <v>0</v>
      </c>
      <c r="AB1398" s="3">
        <f>VALUE(SUBSTITUTE(MID($A1398,I1398+I$2+1,J1398-I1398-I$2-1),",","."))</f>
        <v>0</v>
      </c>
      <c r="AC1398" s="3">
        <f>VALUE(SUBSTITUTE(MID($A1398,J1398+J$2+1,K1398-J1398-J$2-1),",","."))</f>
        <v>3.05</v>
      </c>
      <c r="AD1398" s="3">
        <f>VALUE(SUBSTITUTE(MID($A1398,K1398+K$2+1,L1398-K1398-K$2-1),",","."))</f>
        <v>68.039999999999907</v>
      </c>
      <c r="AE1398" s="3">
        <f>VALUE(SUBSTITUTE(MID($A1398,L1398+L$2+1,M1398-L1398-L$2-1),",","."))</f>
        <v>0</v>
      </c>
      <c r="AF1398" s="3">
        <f>VALUE(SUBSTITUTE(MID($A1398,M1398+M$2+1,N1398-M1398-M$2-1),",","."))</f>
        <v>0</v>
      </c>
      <c r="AG1398" s="3">
        <f>VALUE(SUBSTITUTE(MID($A1398,N1398+N$2+1,O1398-N1398-N$2-1),",","."))</f>
        <v>4.2432459885522498</v>
      </c>
      <c r="AH1398" t="str">
        <f>MID($A1398,O1398+O$2+1,P1398-O1398-O$2-1)</f>
        <v/>
      </c>
      <c r="AI1398" s="8" t="str">
        <f>MID($A1398,P1398+P$2+1,Q1398-P1398-P$2-1)</f>
        <v>False</v>
      </c>
      <c r="AK1398" t="b">
        <f t="shared" si="182"/>
        <v>0</v>
      </c>
    </row>
    <row r="1399" spans="1:37" x14ac:dyDescent="0.35">
      <c r="A1399" t="s">
        <v>5946</v>
      </c>
      <c r="B1399">
        <f t="shared" si="186"/>
        <v>10</v>
      </c>
      <c r="C1399">
        <f t="shared" si="186"/>
        <v>43</v>
      </c>
      <c r="D1399">
        <f t="shared" si="186"/>
        <v>54</v>
      </c>
      <c r="E1399">
        <f t="shared" si="186"/>
        <v>97</v>
      </c>
      <c r="F1399">
        <f t="shared" si="186"/>
        <v>141</v>
      </c>
      <c r="G1399">
        <f t="shared" si="186"/>
        <v>181</v>
      </c>
      <c r="H1399">
        <f t="shared" si="186"/>
        <v>213</v>
      </c>
      <c r="I1399">
        <f t="shared" si="186"/>
        <v>235</v>
      </c>
      <c r="J1399">
        <f t="shared" si="186"/>
        <v>268</v>
      </c>
      <c r="K1399">
        <f t="shared" si="186"/>
        <v>288</v>
      </c>
      <c r="L1399">
        <f t="shared" si="186"/>
        <v>319</v>
      </c>
      <c r="M1399">
        <f t="shared" si="186"/>
        <v>334</v>
      </c>
      <c r="N1399">
        <f t="shared" si="186"/>
        <v>346</v>
      </c>
      <c r="O1399">
        <f t="shared" si="186"/>
        <v>371</v>
      </c>
      <c r="P1399">
        <f t="shared" si="185"/>
        <v>389</v>
      </c>
      <c r="Q1399">
        <f t="shared" si="185"/>
        <v>415</v>
      </c>
      <c r="S1399" t="str">
        <f t="shared" si="179"/>
        <v>11.12.2025</v>
      </c>
      <c r="T1399" t="str">
        <f t="shared" si="180"/>
        <v>08:15:00</v>
      </c>
      <c r="U1399" t="str">
        <f t="shared" si="181"/>
        <v>11.12.2025 08:15:00</v>
      </c>
      <c r="V1399" s="9" t="str">
        <f>MID($A1399,C1399+C$2+1,D1399-C1399-C$2-1)</f>
        <v>0</v>
      </c>
      <c r="W1399" s="4">
        <f>VALUE(SUBSTITUTE(MID($A1399,D1399+D$2+1,E1399-D1399-D$2-1),",","."))</f>
        <v>0.52544798951828098</v>
      </c>
      <c r="X1399" s="4">
        <f>VALUE(SUBSTITUTE(MID($A1399,E1399+E$2+1,F1399-E1399-E$2-1),",","."))</f>
        <v>0.90957602214449496</v>
      </c>
      <c r="Y1399" s="4">
        <f>VALUE(SUBSTITUTE(MID($A1399,F1399+F$2+1,G1399-F1399-F$2-1),",","."))</f>
        <v>3.9538803877492902E-2</v>
      </c>
      <c r="Z1399" s="3">
        <f>VALUE(SUBSTITUTE(MID($A1399,G1399+G$2+1,H1399-G1399-G$2-1),",","."))</f>
        <v>0</v>
      </c>
      <c r="AA1399" s="3">
        <f>VALUE(SUBSTITUTE(MID($A1399,H1399+H$2+1,I1399-H1399-H$2-1),",","."))</f>
        <v>0</v>
      </c>
      <c r="AB1399" s="3">
        <f>VALUE(SUBSTITUTE(MID($A1399,I1399+I$2+1,J1399-I1399-I$2-1),",","."))</f>
        <v>0</v>
      </c>
      <c r="AC1399" s="3">
        <f>VALUE(SUBSTITUTE(MID($A1399,J1399+J$2+1,K1399-J1399-J$2-1),",","."))</f>
        <v>3.05</v>
      </c>
      <c r="AD1399" s="3">
        <f>VALUE(SUBSTITUTE(MID($A1399,K1399+K$2+1,L1399-K1399-K$2-1),",","."))</f>
        <v>68.039999999999907</v>
      </c>
      <c r="AE1399" s="3">
        <f>VALUE(SUBSTITUTE(MID($A1399,L1399+L$2+1,M1399-L1399-L$2-1),",","."))</f>
        <v>0</v>
      </c>
      <c r="AF1399" s="3">
        <f>VALUE(SUBSTITUTE(MID($A1399,M1399+M$2+1,N1399-M1399-M$2-1),",","."))</f>
        <v>0</v>
      </c>
      <c r="AG1399" s="3">
        <f>VALUE(SUBSTITUTE(MID($A1399,N1399+N$2+1,O1399-N1399-N$2-1),",","."))</f>
        <v>4.2432745084403303</v>
      </c>
      <c r="AH1399" t="str">
        <f>MID($A1399,O1399+O$2+1,P1399-O1399-O$2-1)</f>
        <v/>
      </c>
      <c r="AI1399" s="8" t="str">
        <f>MID($A1399,P1399+P$2+1,Q1399-P1399-P$2-1)</f>
        <v>False</v>
      </c>
      <c r="AK1399" t="b">
        <f t="shared" si="182"/>
        <v>0</v>
      </c>
    </row>
    <row r="1400" spans="1:37" x14ac:dyDescent="0.35">
      <c r="A1400" t="s">
        <v>5947</v>
      </c>
      <c r="B1400">
        <f t="shared" si="186"/>
        <v>10</v>
      </c>
      <c r="C1400">
        <f t="shared" si="186"/>
        <v>43</v>
      </c>
      <c r="D1400">
        <f t="shared" si="186"/>
        <v>54</v>
      </c>
      <c r="E1400">
        <f t="shared" si="186"/>
        <v>97</v>
      </c>
      <c r="F1400">
        <f t="shared" si="186"/>
        <v>141</v>
      </c>
      <c r="G1400">
        <f t="shared" si="186"/>
        <v>180</v>
      </c>
      <c r="H1400">
        <f t="shared" si="186"/>
        <v>229</v>
      </c>
      <c r="I1400">
        <f t="shared" si="186"/>
        <v>251</v>
      </c>
      <c r="J1400">
        <f t="shared" si="186"/>
        <v>285</v>
      </c>
      <c r="K1400">
        <f t="shared" si="186"/>
        <v>319</v>
      </c>
      <c r="L1400">
        <f t="shared" si="186"/>
        <v>338</v>
      </c>
      <c r="M1400">
        <f t="shared" si="186"/>
        <v>353</v>
      </c>
      <c r="N1400">
        <f t="shared" si="186"/>
        <v>365</v>
      </c>
      <c r="O1400">
        <f t="shared" si="186"/>
        <v>390</v>
      </c>
      <c r="P1400">
        <f t="shared" si="186"/>
        <v>408</v>
      </c>
      <c r="Q1400">
        <f t="shared" si="186"/>
        <v>434</v>
      </c>
      <c r="S1400" t="str">
        <f t="shared" ref="S1400:S1463" si="187">LEFT(U1400,10)</f>
        <v>11.12.2025</v>
      </c>
      <c r="T1400" t="str">
        <f t="shared" ref="T1400:T1463" si="188">MID(U1400,12,8)</f>
        <v>08:30:00</v>
      </c>
      <c r="U1400" t="str">
        <f t="shared" si="181"/>
        <v>11.12.2025 08:30:00</v>
      </c>
      <c r="V1400" s="9" t="str">
        <f>MID($A1400,C1400+C$2+1,D1400-C1400-C$2-1)</f>
        <v>0</v>
      </c>
      <c r="W1400" s="4">
        <f>VALUE(SUBSTITUTE(MID($A1400,D1400+D$2+1,E1400-D1400-D$2-1),",","."))</f>
        <v>0.56510627064550401</v>
      </c>
      <c r="X1400" s="4">
        <f>VALUE(SUBSTITUTE(MID($A1400,E1400+E$2+1,F1400-E1400-E$2-1),",","."))</f>
        <v>0.90957602214449496</v>
      </c>
      <c r="Y1400" s="4">
        <f>VALUE(SUBSTITUTE(MID($A1400,F1400+F$2+1,G1400-F1400-F$2-1),",","."))</f>
        <v>7.2142270986578702E-2</v>
      </c>
      <c r="Z1400" s="3">
        <f>VALUE(SUBSTITUTE(MID($A1400,G1400+G$2+1,H1400-G1400-G$2-1),",","."))</f>
        <v>310.849999999999</v>
      </c>
      <c r="AA1400" s="3">
        <f>VALUE(SUBSTITUTE(MID($A1400,H1400+H$2+1,I1400-H1400-H$2-1),",","."))</f>
        <v>0</v>
      </c>
      <c r="AB1400" s="3">
        <f>VALUE(SUBSTITUTE(MID($A1400,I1400+I$2+1,J1400-I1400-I$2-1),",","."))</f>
        <v>15</v>
      </c>
      <c r="AC1400" s="3">
        <f>VALUE(SUBSTITUTE(MID($A1400,J1400+J$2+1,K1400-J1400-J$2-1),",","."))</f>
        <v>3.3499999999999899</v>
      </c>
      <c r="AD1400" s="3">
        <f>VALUE(SUBSTITUTE(MID($A1400,K1400+K$2+1,L1400-K1400-K$2-1),",","."))</f>
        <v>65.34</v>
      </c>
      <c r="AE1400" s="3">
        <f>VALUE(SUBSTITUTE(MID($A1400,L1400+L$2+1,M1400-L1400-L$2-1),",","."))</f>
        <v>0</v>
      </c>
      <c r="AF1400" s="3">
        <f>VALUE(SUBSTITUTE(MID($A1400,M1400+M$2+1,N1400-M1400-M$2-1),",","."))</f>
        <v>0</v>
      </c>
      <c r="AG1400" s="3">
        <f>VALUE(SUBSTITUTE(MID($A1400,N1400+N$2+1,O1400-N1400-N$2-1),",","."))</f>
        <v>4.2433030283284099</v>
      </c>
      <c r="AH1400" t="str">
        <f>MID($A1400,O1400+O$2+1,P1400-O1400-O$2-1)</f>
        <v/>
      </c>
      <c r="AI1400" s="8" t="str">
        <f>MID($A1400,P1400+P$2+1,Q1400-P1400-P$2-1)</f>
        <v>False</v>
      </c>
      <c r="AK1400" t="b">
        <f t="shared" si="182"/>
        <v>0</v>
      </c>
    </row>
    <row r="1401" spans="1:37" x14ac:dyDescent="0.35">
      <c r="A1401" t="s">
        <v>5948</v>
      </c>
      <c r="B1401">
        <f t="shared" si="186"/>
        <v>10</v>
      </c>
      <c r="C1401">
        <f t="shared" si="186"/>
        <v>43</v>
      </c>
      <c r="D1401">
        <f t="shared" si="186"/>
        <v>54</v>
      </c>
      <c r="E1401">
        <f t="shared" si="186"/>
        <v>97</v>
      </c>
      <c r="F1401">
        <f t="shared" si="186"/>
        <v>141</v>
      </c>
      <c r="G1401">
        <f t="shared" si="186"/>
        <v>179</v>
      </c>
      <c r="H1401">
        <f t="shared" si="186"/>
        <v>228</v>
      </c>
      <c r="I1401">
        <f t="shared" si="186"/>
        <v>250</v>
      </c>
      <c r="J1401">
        <f t="shared" si="186"/>
        <v>284</v>
      </c>
      <c r="K1401">
        <f t="shared" si="186"/>
        <v>318</v>
      </c>
      <c r="L1401">
        <f t="shared" si="186"/>
        <v>337</v>
      </c>
      <c r="M1401">
        <f t="shared" si="186"/>
        <v>352</v>
      </c>
      <c r="N1401">
        <f t="shared" si="186"/>
        <v>364</v>
      </c>
      <c r="O1401">
        <f t="shared" si="186"/>
        <v>389</v>
      </c>
      <c r="P1401">
        <f t="shared" si="186"/>
        <v>407</v>
      </c>
      <c r="Q1401">
        <f t="shared" si="186"/>
        <v>433</v>
      </c>
      <c r="S1401" t="str">
        <f t="shared" si="187"/>
        <v>11.12.2025</v>
      </c>
      <c r="T1401" t="str">
        <f t="shared" si="188"/>
        <v>08:45:00</v>
      </c>
      <c r="U1401" t="str">
        <f t="shared" si="181"/>
        <v>11.12.2025 08:45:00</v>
      </c>
      <c r="V1401" s="9" t="str">
        <f>MID($A1401,C1401+C$2+1,D1401-C1401-C$2-1)</f>
        <v>0</v>
      </c>
      <c r="W1401" s="4">
        <f>VALUE(SUBSTITUTE(MID($A1401,D1401+D$2+1,E1401-D1401-D$2-1),",","."))</f>
        <v>0.60260158803935804</v>
      </c>
      <c r="X1401" s="4">
        <f>VALUE(SUBSTITUTE(MID($A1401,E1401+E$2+1,F1401-E1401-E$2-1),",","."))</f>
        <v>0.90957602214449496</v>
      </c>
      <c r="Y1401" s="4">
        <f>VALUE(SUBSTITUTE(MID($A1401,F1401+F$2+1,G1401-F1401-F$2-1),",","."))</f>
        <v>0.10399255357939</v>
      </c>
      <c r="Z1401" s="3">
        <f>VALUE(SUBSTITUTE(MID($A1401,G1401+G$2+1,H1401-G1401-G$2-1),",","."))</f>
        <v>310.849999999999</v>
      </c>
      <c r="AA1401" s="3">
        <f>VALUE(SUBSTITUTE(MID($A1401,H1401+H$2+1,I1401-H1401-H$2-1),",","."))</f>
        <v>0</v>
      </c>
      <c r="AB1401" s="3">
        <f>VALUE(SUBSTITUTE(MID($A1401,I1401+I$2+1,J1401-I1401-I$2-1),",","."))</f>
        <v>15</v>
      </c>
      <c r="AC1401" s="3">
        <f>VALUE(SUBSTITUTE(MID($A1401,J1401+J$2+1,K1401-J1401-J$2-1),",","."))</f>
        <v>3.3499999999999899</v>
      </c>
      <c r="AD1401" s="3">
        <f>VALUE(SUBSTITUTE(MID($A1401,K1401+K$2+1,L1401-K1401-K$2-1),",","."))</f>
        <v>65.34</v>
      </c>
      <c r="AE1401" s="3">
        <f>VALUE(SUBSTITUTE(MID($A1401,L1401+L$2+1,M1401-L1401-L$2-1),",","."))</f>
        <v>0</v>
      </c>
      <c r="AF1401" s="3">
        <f>VALUE(SUBSTITUTE(MID($A1401,M1401+M$2+1,N1401-M1401-M$2-1),",","."))</f>
        <v>0</v>
      </c>
      <c r="AG1401" s="3">
        <f>VALUE(SUBSTITUTE(MID($A1401,N1401+N$2+1,O1401-N1401-N$2-1),",","."))</f>
        <v>4.2433315482164904</v>
      </c>
      <c r="AH1401" t="str">
        <f>MID($A1401,O1401+O$2+1,P1401-O1401-O$2-1)</f>
        <v/>
      </c>
      <c r="AI1401" s="8" t="str">
        <f>MID($A1401,P1401+P$2+1,Q1401-P1401-P$2-1)</f>
        <v>False</v>
      </c>
      <c r="AK1401" t="b">
        <f t="shared" si="182"/>
        <v>0</v>
      </c>
    </row>
    <row r="1402" spans="1:37" x14ac:dyDescent="0.35">
      <c r="A1402" t="s">
        <v>5949</v>
      </c>
      <c r="B1402">
        <f t="shared" si="186"/>
        <v>10</v>
      </c>
      <c r="C1402">
        <f t="shared" si="186"/>
        <v>43</v>
      </c>
      <c r="D1402">
        <f t="shared" si="186"/>
        <v>54</v>
      </c>
      <c r="E1402">
        <f t="shared" si="186"/>
        <v>97</v>
      </c>
      <c r="F1402">
        <f t="shared" si="186"/>
        <v>141</v>
      </c>
      <c r="G1402">
        <f t="shared" si="186"/>
        <v>178</v>
      </c>
      <c r="H1402">
        <f t="shared" si="186"/>
        <v>227</v>
      </c>
      <c r="I1402">
        <f t="shared" si="186"/>
        <v>249</v>
      </c>
      <c r="J1402">
        <f t="shared" si="186"/>
        <v>283</v>
      </c>
      <c r="K1402">
        <f t="shared" si="186"/>
        <v>317</v>
      </c>
      <c r="L1402">
        <f t="shared" si="186"/>
        <v>336</v>
      </c>
      <c r="M1402">
        <f t="shared" si="186"/>
        <v>351</v>
      </c>
      <c r="N1402">
        <f t="shared" si="186"/>
        <v>363</v>
      </c>
      <c r="O1402">
        <f t="shared" si="186"/>
        <v>387</v>
      </c>
      <c r="P1402">
        <f t="shared" si="186"/>
        <v>405</v>
      </c>
      <c r="Q1402">
        <f t="shared" si="186"/>
        <v>431</v>
      </c>
      <c r="S1402" t="str">
        <f t="shared" si="187"/>
        <v>11.12.2025</v>
      </c>
      <c r="T1402" t="str">
        <f t="shared" si="188"/>
        <v>09:00:00</v>
      </c>
      <c r="U1402" t="str">
        <f t="shared" si="181"/>
        <v>11.12.2025 09:00:00</v>
      </c>
      <c r="V1402" s="9" t="str">
        <f>MID($A1402,C1402+C$2+1,D1402-C1402-C$2-1)</f>
        <v>0</v>
      </c>
      <c r="W1402" s="4">
        <f>VALUE(SUBSTITUTE(MID($A1402,D1402+D$2+1,E1402-D1402-D$2-1),",","."))</f>
        <v>0.63740631920661395</v>
      </c>
      <c r="X1402" s="4">
        <f>VALUE(SUBSTITUTE(MID($A1402,E1402+E$2+1,F1402-E1402-E$2-1),",","."))</f>
        <v>0.90957602214449496</v>
      </c>
      <c r="Y1402" s="4">
        <f>VALUE(SUBSTITUTE(MID($A1402,F1402+F$2+1,G1402-F1402-F$2-1),",","."))</f>
        <v>0.134515826449638</v>
      </c>
      <c r="Z1402" s="3">
        <f>VALUE(SUBSTITUTE(MID($A1402,G1402+G$2+1,H1402-G1402-G$2-1),",","."))</f>
        <v>310.849999999999</v>
      </c>
      <c r="AA1402" s="3">
        <f>VALUE(SUBSTITUTE(MID($A1402,H1402+H$2+1,I1402-H1402-H$2-1),",","."))</f>
        <v>0</v>
      </c>
      <c r="AB1402" s="3">
        <f>VALUE(SUBSTITUTE(MID($A1402,I1402+I$2+1,J1402-I1402-I$2-1),",","."))</f>
        <v>15</v>
      </c>
      <c r="AC1402" s="3">
        <f>VALUE(SUBSTITUTE(MID($A1402,J1402+J$2+1,K1402-J1402-J$2-1),",","."))</f>
        <v>3.3499999999999899</v>
      </c>
      <c r="AD1402" s="3">
        <f>VALUE(SUBSTITUTE(MID($A1402,K1402+K$2+1,L1402-K1402-K$2-1),",","."))</f>
        <v>65.34</v>
      </c>
      <c r="AE1402" s="3">
        <f>VALUE(SUBSTITUTE(MID($A1402,L1402+L$2+1,M1402-L1402-L$2-1),",","."))</f>
        <v>0</v>
      </c>
      <c r="AF1402" s="3">
        <f>VALUE(SUBSTITUTE(MID($A1402,M1402+M$2+1,N1402-M1402-M$2-1),",","."))</f>
        <v>0</v>
      </c>
      <c r="AG1402" s="3">
        <f>VALUE(SUBSTITUTE(MID($A1402,N1402+N$2+1,O1402-N1402-N$2-1),",","."))</f>
        <v>4.2433600681045798</v>
      </c>
      <c r="AH1402" t="str">
        <f>MID($A1402,O1402+O$2+1,P1402-O1402-O$2-1)</f>
        <v/>
      </c>
      <c r="AI1402" s="8" t="str">
        <f>MID($A1402,P1402+P$2+1,Q1402-P1402-P$2-1)</f>
        <v>False</v>
      </c>
      <c r="AK1402" t="b">
        <f t="shared" si="182"/>
        <v>0</v>
      </c>
    </row>
    <row r="1403" spans="1:37" x14ac:dyDescent="0.35">
      <c r="A1403" t="s">
        <v>5950</v>
      </c>
      <c r="B1403">
        <f t="shared" si="186"/>
        <v>10</v>
      </c>
      <c r="C1403">
        <f t="shared" si="186"/>
        <v>43</v>
      </c>
      <c r="D1403">
        <f t="shared" si="186"/>
        <v>54</v>
      </c>
      <c r="E1403">
        <f t="shared" si="186"/>
        <v>97</v>
      </c>
      <c r="F1403">
        <f t="shared" si="186"/>
        <v>141</v>
      </c>
      <c r="G1403">
        <f t="shared" si="186"/>
        <v>180</v>
      </c>
      <c r="H1403">
        <f t="shared" si="186"/>
        <v>229</v>
      </c>
      <c r="I1403">
        <f t="shared" si="186"/>
        <v>251</v>
      </c>
      <c r="J1403">
        <f t="shared" si="186"/>
        <v>285</v>
      </c>
      <c r="K1403">
        <f t="shared" si="186"/>
        <v>319</v>
      </c>
      <c r="L1403">
        <f t="shared" si="186"/>
        <v>338</v>
      </c>
      <c r="M1403">
        <f t="shared" si="186"/>
        <v>353</v>
      </c>
      <c r="N1403">
        <f t="shared" si="186"/>
        <v>365</v>
      </c>
      <c r="O1403">
        <f t="shared" si="186"/>
        <v>390</v>
      </c>
      <c r="P1403">
        <f t="shared" si="186"/>
        <v>408</v>
      </c>
      <c r="Q1403">
        <f t="shared" si="186"/>
        <v>434</v>
      </c>
      <c r="S1403" t="str">
        <f t="shared" si="187"/>
        <v>11.12.2025</v>
      </c>
      <c r="T1403" t="str">
        <f t="shared" si="188"/>
        <v>09:15:00</v>
      </c>
      <c r="U1403" t="str">
        <f t="shared" si="181"/>
        <v>11.12.2025 09:15:00</v>
      </c>
      <c r="V1403" s="9" t="str">
        <f>MID($A1403,C1403+C$2+1,D1403-C1403-C$2-1)</f>
        <v>0</v>
      </c>
      <c r="W1403" s="4">
        <f>VALUE(SUBSTITUTE(MID($A1403,D1403+D$2+1,E1403-D1403-D$2-1),",","."))</f>
        <v>0.66923125109982895</v>
      </c>
      <c r="X1403" s="4">
        <f>VALUE(SUBSTITUTE(MID($A1403,E1403+E$2+1,F1403-E1403-E$2-1),",","."))</f>
        <v>0.90957602214449496</v>
      </c>
      <c r="Y1403" s="4">
        <f>VALUE(SUBSTITUTE(MID($A1403,F1403+F$2+1,G1403-F1403-F$2-1),",","."))</f>
        <v>0.163413718015435</v>
      </c>
      <c r="Z1403" s="3">
        <f>VALUE(SUBSTITUTE(MID($A1403,G1403+G$2+1,H1403-G1403-G$2-1),",","."))</f>
        <v>310.849999999999</v>
      </c>
      <c r="AA1403" s="3">
        <f>VALUE(SUBSTITUTE(MID($A1403,H1403+H$2+1,I1403-H1403-H$2-1),",","."))</f>
        <v>0</v>
      </c>
      <c r="AB1403" s="3">
        <f>VALUE(SUBSTITUTE(MID($A1403,I1403+I$2+1,J1403-I1403-I$2-1),",","."))</f>
        <v>15</v>
      </c>
      <c r="AC1403" s="3">
        <f>VALUE(SUBSTITUTE(MID($A1403,J1403+J$2+1,K1403-J1403-J$2-1),",","."))</f>
        <v>3.3499999999999899</v>
      </c>
      <c r="AD1403" s="3">
        <f>VALUE(SUBSTITUTE(MID($A1403,K1403+K$2+1,L1403-K1403-K$2-1),",","."))</f>
        <v>65.34</v>
      </c>
      <c r="AE1403" s="3">
        <f>VALUE(SUBSTITUTE(MID($A1403,L1403+L$2+1,M1403-L1403-L$2-1),",","."))</f>
        <v>0</v>
      </c>
      <c r="AF1403" s="3">
        <f>VALUE(SUBSTITUTE(MID($A1403,M1403+M$2+1,N1403-M1403-M$2-1),",","."))</f>
        <v>0</v>
      </c>
      <c r="AG1403" s="3">
        <f>VALUE(SUBSTITUTE(MID($A1403,N1403+N$2+1,O1403-N1403-N$2-1),",","."))</f>
        <v>4.2433885879926603</v>
      </c>
      <c r="AH1403" t="str">
        <f>MID($A1403,O1403+O$2+1,P1403-O1403-O$2-1)</f>
        <v/>
      </c>
      <c r="AI1403" s="8" t="str">
        <f>MID($A1403,P1403+P$2+1,Q1403-P1403-P$2-1)</f>
        <v>False</v>
      </c>
      <c r="AK1403" t="b">
        <f t="shared" si="182"/>
        <v>0</v>
      </c>
    </row>
    <row r="1404" spans="1:37" x14ac:dyDescent="0.35">
      <c r="A1404" t="s">
        <v>5951</v>
      </c>
      <c r="B1404">
        <f t="shared" si="186"/>
        <v>10</v>
      </c>
      <c r="C1404">
        <f t="shared" si="186"/>
        <v>43</v>
      </c>
      <c r="D1404">
        <f t="shared" si="186"/>
        <v>54</v>
      </c>
      <c r="E1404">
        <f t="shared" si="186"/>
        <v>97</v>
      </c>
      <c r="F1404">
        <f t="shared" si="186"/>
        <v>141</v>
      </c>
      <c r="G1404">
        <f t="shared" si="186"/>
        <v>180</v>
      </c>
      <c r="H1404">
        <f t="shared" si="186"/>
        <v>228</v>
      </c>
      <c r="I1404">
        <f t="shared" si="186"/>
        <v>250</v>
      </c>
      <c r="J1404">
        <f t="shared" si="186"/>
        <v>284</v>
      </c>
      <c r="K1404">
        <f t="shared" si="186"/>
        <v>304</v>
      </c>
      <c r="L1404">
        <f t="shared" si="186"/>
        <v>323</v>
      </c>
      <c r="M1404">
        <f t="shared" si="186"/>
        <v>338</v>
      </c>
      <c r="N1404">
        <f t="shared" si="186"/>
        <v>350</v>
      </c>
      <c r="O1404">
        <f t="shared" si="186"/>
        <v>376</v>
      </c>
      <c r="P1404">
        <f t="shared" si="186"/>
        <v>394</v>
      </c>
      <c r="Q1404">
        <f t="shared" si="186"/>
        <v>420</v>
      </c>
      <c r="S1404" t="str">
        <f t="shared" si="187"/>
        <v>11.12.2025</v>
      </c>
      <c r="T1404" t="str">
        <f t="shared" si="188"/>
        <v>09:30:00</v>
      </c>
      <c r="U1404" t="str">
        <f t="shared" si="181"/>
        <v>11.12.2025 09:30:00</v>
      </c>
      <c r="V1404" s="9" t="str">
        <f>MID($A1404,C1404+C$2+1,D1404-C1404-C$2-1)</f>
        <v>0</v>
      </c>
      <c r="W1404" s="4">
        <f>VALUE(SUBSTITUTE(MID($A1404,D1404+D$2+1,E1404-D1404-D$2-1),",","."))</f>
        <v>0.69787743530419799</v>
      </c>
      <c r="X1404" s="4">
        <f>VALUE(SUBSTITUTE(MID($A1404,E1404+E$2+1,F1404-E1404-E$2-1),",","."))</f>
        <v>0.90957602214449496</v>
      </c>
      <c r="Y1404" s="4">
        <f>VALUE(SUBSTITUTE(MID($A1404,F1404+F$2+1,G1404-F1404-F$2-1),",","."))</f>
        <v>0.19048731652168099</v>
      </c>
      <c r="Z1404" s="3">
        <f>VALUE(SUBSTITUTE(MID($A1404,G1404+G$2+1,H1404-G1404-G$2-1),",","."))</f>
        <v>565.38333333333298</v>
      </c>
      <c r="AA1404" s="3">
        <f>VALUE(SUBSTITUTE(MID($A1404,H1404+H$2+1,I1404-H1404-H$2-1),",","."))</f>
        <v>0</v>
      </c>
      <c r="AB1404" s="3">
        <f>VALUE(SUBSTITUTE(MID($A1404,I1404+I$2+1,J1404-I1404-I$2-1),",","."))</f>
        <v>50</v>
      </c>
      <c r="AC1404" s="3">
        <f>VALUE(SUBSTITUTE(MID($A1404,J1404+J$2+1,K1404-J1404-J$2-1),",","."))</f>
        <v>3.65</v>
      </c>
      <c r="AD1404" s="3">
        <f>VALUE(SUBSTITUTE(MID($A1404,K1404+K$2+1,L1404-K1404-K$2-1),",","."))</f>
        <v>61.92</v>
      </c>
      <c r="AE1404" s="3">
        <f>VALUE(SUBSTITUTE(MID($A1404,L1404+L$2+1,M1404-L1404-L$2-1),",","."))</f>
        <v>0</v>
      </c>
      <c r="AF1404" s="3">
        <f>VALUE(SUBSTITUTE(MID($A1404,M1404+M$2+1,N1404-M1404-M$2-1),",","."))</f>
        <v>0</v>
      </c>
      <c r="AG1404" s="3">
        <f>VALUE(SUBSTITUTE(MID($A1404,N1404+N$2+1,O1404-N1404-N$2-1),",","."))</f>
        <v>4.2434171078807399</v>
      </c>
      <c r="AH1404" t="str">
        <f>MID($A1404,O1404+O$2+1,P1404-O1404-O$2-1)</f>
        <v/>
      </c>
      <c r="AI1404" s="8" t="str">
        <f>MID($A1404,P1404+P$2+1,Q1404-P1404-P$2-1)</f>
        <v>False</v>
      </c>
      <c r="AK1404" t="b">
        <f t="shared" si="182"/>
        <v>0</v>
      </c>
    </row>
    <row r="1405" spans="1:37" x14ac:dyDescent="0.35">
      <c r="A1405" t="s">
        <v>5952</v>
      </c>
      <c r="B1405">
        <f t="shared" si="186"/>
        <v>10</v>
      </c>
      <c r="C1405">
        <f t="shared" si="186"/>
        <v>43</v>
      </c>
      <c r="D1405">
        <f t="shared" si="186"/>
        <v>54</v>
      </c>
      <c r="E1405">
        <f t="shared" si="186"/>
        <v>97</v>
      </c>
      <c r="F1405">
        <f t="shared" si="186"/>
        <v>141</v>
      </c>
      <c r="G1405">
        <f t="shared" si="186"/>
        <v>180</v>
      </c>
      <c r="H1405">
        <f t="shared" si="186"/>
        <v>228</v>
      </c>
      <c r="I1405">
        <f t="shared" si="186"/>
        <v>250</v>
      </c>
      <c r="J1405">
        <f t="shared" si="186"/>
        <v>284</v>
      </c>
      <c r="K1405">
        <f t="shared" si="186"/>
        <v>304</v>
      </c>
      <c r="L1405">
        <f t="shared" si="186"/>
        <v>323</v>
      </c>
      <c r="M1405">
        <f t="shared" si="186"/>
        <v>338</v>
      </c>
      <c r="N1405">
        <f t="shared" si="186"/>
        <v>350</v>
      </c>
      <c r="O1405">
        <f t="shared" si="186"/>
        <v>375</v>
      </c>
      <c r="P1405">
        <f t="shared" si="186"/>
        <v>393</v>
      </c>
      <c r="Q1405">
        <f t="shared" si="186"/>
        <v>419</v>
      </c>
      <c r="S1405" t="str">
        <f t="shared" si="187"/>
        <v>11.12.2025</v>
      </c>
      <c r="T1405" t="str">
        <f t="shared" si="188"/>
        <v>09:45:00</v>
      </c>
      <c r="U1405" t="str">
        <f t="shared" si="181"/>
        <v>11.12.2025 09:45:00</v>
      </c>
      <c r="V1405" s="9" t="str">
        <f>MID($A1405,C1405+C$2+1,D1405-C1405-C$2-1)</f>
        <v>0</v>
      </c>
      <c r="W1405" s="4">
        <f>VALUE(SUBSTITUTE(MID($A1405,D1405+D$2+1,E1405-D1405-D$2-1),",","."))</f>
        <v>0.72319051041917004</v>
      </c>
      <c r="X1405" s="4">
        <f>VALUE(SUBSTITUTE(MID($A1405,E1405+E$2+1,F1405-E1405-E$2-1),",","."))</f>
        <v>0.90957602214449496</v>
      </c>
      <c r="Y1405" s="4">
        <f>VALUE(SUBSTITUTE(MID($A1405,F1405+F$2+1,G1405-F1405-F$2-1),",","."))</f>
        <v>0.21558257934462699</v>
      </c>
      <c r="Z1405" s="3">
        <f>VALUE(SUBSTITUTE(MID($A1405,G1405+G$2+1,H1405-G1405-G$2-1),",","."))</f>
        <v>565.38333333333298</v>
      </c>
      <c r="AA1405" s="3">
        <f>VALUE(SUBSTITUTE(MID($A1405,H1405+H$2+1,I1405-H1405-H$2-1),",","."))</f>
        <v>0</v>
      </c>
      <c r="AB1405" s="3">
        <f>VALUE(SUBSTITUTE(MID($A1405,I1405+I$2+1,J1405-I1405-I$2-1),",","."))</f>
        <v>50</v>
      </c>
      <c r="AC1405" s="3">
        <f>VALUE(SUBSTITUTE(MID($A1405,J1405+J$2+1,K1405-J1405-J$2-1),",","."))</f>
        <v>3.65</v>
      </c>
      <c r="AD1405" s="3">
        <f>VALUE(SUBSTITUTE(MID($A1405,K1405+K$2+1,L1405-K1405-K$2-1),",","."))</f>
        <v>61.92</v>
      </c>
      <c r="AE1405" s="3">
        <f>VALUE(SUBSTITUTE(MID($A1405,L1405+L$2+1,M1405-L1405-L$2-1),",","."))</f>
        <v>0</v>
      </c>
      <c r="AF1405" s="3">
        <f>VALUE(SUBSTITUTE(MID($A1405,M1405+M$2+1,N1405-M1405-M$2-1),",","."))</f>
        <v>0</v>
      </c>
      <c r="AG1405" s="3">
        <f>VALUE(SUBSTITUTE(MID($A1405,N1405+N$2+1,O1405-N1405-N$2-1),",","."))</f>
        <v>4.2434456277688204</v>
      </c>
      <c r="AH1405" t="str">
        <f>MID($A1405,O1405+O$2+1,P1405-O1405-O$2-1)</f>
        <v/>
      </c>
      <c r="AI1405" s="8" t="str">
        <f>MID($A1405,P1405+P$2+1,Q1405-P1405-P$2-1)</f>
        <v>False</v>
      </c>
      <c r="AK1405" t="b">
        <f t="shared" si="182"/>
        <v>0</v>
      </c>
    </row>
    <row r="1406" spans="1:37" x14ac:dyDescent="0.35">
      <c r="A1406" t="s">
        <v>5953</v>
      </c>
      <c r="B1406">
        <f t="shared" si="186"/>
        <v>10</v>
      </c>
      <c r="C1406">
        <f t="shared" si="186"/>
        <v>43</v>
      </c>
      <c r="D1406">
        <f t="shared" si="186"/>
        <v>54</v>
      </c>
      <c r="E1406">
        <f t="shared" si="186"/>
        <v>97</v>
      </c>
      <c r="F1406">
        <f t="shared" si="186"/>
        <v>141</v>
      </c>
      <c r="G1406">
        <f t="shared" si="186"/>
        <v>180</v>
      </c>
      <c r="H1406">
        <f t="shared" si="186"/>
        <v>228</v>
      </c>
      <c r="I1406">
        <f t="shared" si="186"/>
        <v>250</v>
      </c>
      <c r="J1406">
        <f t="shared" si="186"/>
        <v>284</v>
      </c>
      <c r="K1406">
        <f t="shared" si="186"/>
        <v>304</v>
      </c>
      <c r="L1406">
        <f t="shared" si="186"/>
        <v>323</v>
      </c>
      <c r="M1406">
        <f t="shared" si="186"/>
        <v>338</v>
      </c>
      <c r="N1406">
        <f t="shared" si="186"/>
        <v>350</v>
      </c>
      <c r="O1406">
        <f t="shared" si="186"/>
        <v>375</v>
      </c>
      <c r="P1406">
        <f t="shared" si="186"/>
        <v>393</v>
      </c>
      <c r="Q1406">
        <f t="shared" si="186"/>
        <v>419</v>
      </c>
      <c r="S1406" t="str">
        <f t="shared" si="187"/>
        <v>11.12.2025</v>
      </c>
      <c r="T1406" t="str">
        <f t="shared" si="188"/>
        <v>10:00:00</v>
      </c>
      <c r="U1406" t="str">
        <f t="shared" si="181"/>
        <v>11.12.2025 10:00:00</v>
      </c>
      <c r="V1406" s="9" t="str">
        <f>MID($A1406,C1406+C$2+1,D1406-C1406-C$2-1)</f>
        <v>0</v>
      </c>
      <c r="W1406" s="4">
        <f>VALUE(SUBSTITUTE(MID($A1406,D1406+D$2+1,E1406-D1406-D$2-1),",","."))</f>
        <v>0.74504449478160395</v>
      </c>
      <c r="X1406" s="4">
        <f>VALUE(SUBSTITUTE(MID($A1406,E1406+E$2+1,F1406-E1406-E$2-1),",","."))</f>
        <v>0.90957602214449496</v>
      </c>
      <c r="Y1406" s="4">
        <f>VALUE(SUBSTITUTE(MID($A1406,F1406+F$2+1,G1406-F1406-F$2-1),",","."))</f>
        <v>0.23857084417275901</v>
      </c>
      <c r="Z1406" s="3">
        <f>VALUE(SUBSTITUTE(MID($A1406,G1406+G$2+1,H1406-G1406-G$2-1),",","."))</f>
        <v>565.38333333333298</v>
      </c>
      <c r="AA1406" s="3">
        <f>VALUE(SUBSTITUTE(MID($A1406,H1406+H$2+1,I1406-H1406-H$2-1),",","."))</f>
        <v>0</v>
      </c>
      <c r="AB1406" s="3">
        <f>VALUE(SUBSTITUTE(MID($A1406,I1406+I$2+1,J1406-I1406-I$2-1),",","."))</f>
        <v>50</v>
      </c>
      <c r="AC1406" s="3">
        <f>VALUE(SUBSTITUTE(MID($A1406,J1406+J$2+1,K1406-J1406-J$2-1),",","."))</f>
        <v>3.65</v>
      </c>
      <c r="AD1406" s="3">
        <f>VALUE(SUBSTITUTE(MID($A1406,K1406+K$2+1,L1406-K1406-K$2-1),",","."))</f>
        <v>61.92</v>
      </c>
      <c r="AE1406" s="3">
        <f>VALUE(SUBSTITUTE(MID($A1406,L1406+L$2+1,M1406-L1406-L$2-1),",","."))</f>
        <v>0</v>
      </c>
      <c r="AF1406" s="3">
        <f>VALUE(SUBSTITUTE(MID($A1406,M1406+M$2+1,N1406-M1406-M$2-1),",","."))</f>
        <v>0</v>
      </c>
      <c r="AG1406" s="3">
        <f>VALUE(SUBSTITUTE(MID($A1406,N1406+N$2+1,O1406-N1406-N$2-1),",","."))</f>
        <v>4.2434741476569</v>
      </c>
      <c r="AH1406" t="str">
        <f>MID($A1406,O1406+O$2+1,P1406-O1406-O$2-1)</f>
        <v/>
      </c>
      <c r="AI1406" s="8" t="str">
        <f>MID($A1406,P1406+P$2+1,Q1406-P1406-P$2-1)</f>
        <v>False</v>
      </c>
      <c r="AK1406" t="b">
        <f t="shared" si="182"/>
        <v>0</v>
      </c>
    </row>
    <row r="1407" spans="1:37" x14ac:dyDescent="0.35">
      <c r="A1407" t="s">
        <v>5954</v>
      </c>
      <c r="B1407">
        <f t="shared" si="186"/>
        <v>10</v>
      </c>
      <c r="C1407">
        <f t="shared" si="186"/>
        <v>43</v>
      </c>
      <c r="D1407">
        <f t="shared" si="186"/>
        <v>54</v>
      </c>
      <c r="E1407">
        <f t="shared" si="186"/>
        <v>97</v>
      </c>
      <c r="F1407">
        <f t="shared" si="186"/>
        <v>141</v>
      </c>
      <c r="G1407">
        <f t="shared" si="186"/>
        <v>180</v>
      </c>
      <c r="H1407">
        <f t="shared" si="186"/>
        <v>228</v>
      </c>
      <c r="I1407">
        <f t="shared" si="186"/>
        <v>250</v>
      </c>
      <c r="J1407">
        <f t="shared" si="186"/>
        <v>284</v>
      </c>
      <c r="K1407">
        <f t="shared" si="186"/>
        <v>304</v>
      </c>
      <c r="L1407">
        <f t="shared" si="186"/>
        <v>323</v>
      </c>
      <c r="M1407">
        <f t="shared" si="186"/>
        <v>338</v>
      </c>
      <c r="N1407">
        <f t="shared" si="186"/>
        <v>350</v>
      </c>
      <c r="O1407">
        <f t="shared" si="186"/>
        <v>375</v>
      </c>
      <c r="P1407">
        <f t="shared" si="186"/>
        <v>393</v>
      </c>
      <c r="Q1407">
        <f t="shared" si="186"/>
        <v>419</v>
      </c>
      <c r="S1407" t="str">
        <f t="shared" si="187"/>
        <v>11.12.2025</v>
      </c>
      <c r="T1407" t="str">
        <f t="shared" si="188"/>
        <v>10:15:00</v>
      </c>
      <c r="U1407" t="str">
        <f t="shared" si="181"/>
        <v>11.12.2025 10:15:00</v>
      </c>
      <c r="V1407" s="9" t="str">
        <f>MID($A1407,C1407+C$2+1,D1407-C1407-C$2-1)</f>
        <v>0</v>
      </c>
      <c r="W1407" s="4">
        <f>VALUE(SUBSTITUTE(MID($A1407,D1407+D$2+1,E1407-D1407-D$2-1),",","."))</f>
        <v>0.76333533542292598</v>
      </c>
      <c r="X1407" s="4">
        <f>VALUE(SUBSTITUTE(MID($A1407,E1407+E$2+1,F1407-E1407-E$2-1),",","."))</f>
        <v>0.90957602214449496</v>
      </c>
      <c r="Y1407" s="4">
        <f>VALUE(SUBSTITUTE(MID($A1407,F1407+F$2+1,G1407-F1407-F$2-1),",","."))</f>
        <v>0.25934101544291699</v>
      </c>
      <c r="Z1407" s="3">
        <f>VALUE(SUBSTITUTE(MID($A1407,G1407+G$2+1,H1407-G1407-G$2-1),",","."))</f>
        <v>565.38333333333298</v>
      </c>
      <c r="AA1407" s="3">
        <f>VALUE(SUBSTITUTE(MID($A1407,H1407+H$2+1,I1407-H1407-H$2-1),",","."))</f>
        <v>0</v>
      </c>
      <c r="AB1407" s="3">
        <f>VALUE(SUBSTITUTE(MID($A1407,I1407+I$2+1,J1407-I1407-I$2-1),",","."))</f>
        <v>50</v>
      </c>
      <c r="AC1407" s="3">
        <f>VALUE(SUBSTITUTE(MID($A1407,J1407+J$2+1,K1407-J1407-J$2-1),",","."))</f>
        <v>3.65</v>
      </c>
      <c r="AD1407" s="3">
        <f>VALUE(SUBSTITUTE(MID($A1407,K1407+K$2+1,L1407-K1407-K$2-1),",","."))</f>
        <v>61.92</v>
      </c>
      <c r="AE1407" s="3">
        <f>VALUE(SUBSTITUTE(MID($A1407,L1407+L$2+1,M1407-L1407-L$2-1),",","."))</f>
        <v>0</v>
      </c>
      <c r="AF1407" s="3">
        <f>VALUE(SUBSTITUTE(MID($A1407,M1407+M$2+1,N1407-M1407-M$2-1),",","."))</f>
        <v>0</v>
      </c>
      <c r="AG1407" s="3">
        <f>VALUE(SUBSTITUTE(MID($A1407,N1407+N$2+1,O1407-N1407-N$2-1),",","."))</f>
        <v>4.2435026675449796</v>
      </c>
      <c r="AH1407" t="str">
        <f>MID($A1407,O1407+O$2+1,P1407-O1407-O$2-1)</f>
        <v/>
      </c>
      <c r="AI1407" s="8" t="str">
        <f>MID($A1407,P1407+P$2+1,Q1407-P1407-P$2-1)</f>
        <v>False</v>
      </c>
      <c r="AK1407" t="b">
        <f t="shared" si="182"/>
        <v>0</v>
      </c>
    </row>
    <row r="1408" spans="1:37" x14ac:dyDescent="0.35">
      <c r="A1408" t="s">
        <v>5955</v>
      </c>
      <c r="B1408">
        <f t="shared" si="186"/>
        <v>10</v>
      </c>
      <c r="C1408">
        <f t="shared" ref="C1408:Q1424" si="189">FIND(C$1,$A1408)</f>
        <v>43</v>
      </c>
      <c r="D1408">
        <f t="shared" si="189"/>
        <v>54</v>
      </c>
      <c r="E1408">
        <f t="shared" si="189"/>
        <v>97</v>
      </c>
      <c r="F1408">
        <f t="shared" si="189"/>
        <v>141</v>
      </c>
      <c r="G1408">
        <f t="shared" si="189"/>
        <v>179</v>
      </c>
      <c r="H1408">
        <f t="shared" si="189"/>
        <v>216</v>
      </c>
      <c r="I1408">
        <f t="shared" si="189"/>
        <v>238</v>
      </c>
      <c r="J1408">
        <f t="shared" si="189"/>
        <v>272</v>
      </c>
      <c r="K1408">
        <f t="shared" si="189"/>
        <v>292</v>
      </c>
      <c r="L1408">
        <f t="shared" si="189"/>
        <v>311</v>
      </c>
      <c r="M1408">
        <f t="shared" si="189"/>
        <v>326</v>
      </c>
      <c r="N1408">
        <f t="shared" si="189"/>
        <v>338</v>
      </c>
      <c r="O1408">
        <f t="shared" si="189"/>
        <v>363</v>
      </c>
      <c r="P1408">
        <f t="shared" si="189"/>
        <v>381</v>
      </c>
      <c r="Q1408">
        <f t="shared" si="189"/>
        <v>407</v>
      </c>
      <c r="S1408" t="str">
        <f t="shared" si="187"/>
        <v>11.12.2025</v>
      </c>
      <c r="T1408" t="str">
        <f t="shared" si="188"/>
        <v>10:30:00</v>
      </c>
      <c r="U1408" t="str">
        <f t="shared" si="181"/>
        <v>11.12.2025 10:30:00</v>
      </c>
      <c r="V1408" s="9" t="str">
        <f>MID($A1408,C1408+C$2+1,D1408-C1408-C$2-1)</f>
        <v>0</v>
      </c>
      <c r="W1408" s="4">
        <f>VALUE(SUBSTITUTE(MID($A1408,D1408+D$2+1,E1408-D1408-D$2-1),",","."))</f>
        <v>0.777978130083677</v>
      </c>
      <c r="X1408" s="4">
        <f>VALUE(SUBSTITUTE(MID($A1408,E1408+E$2+1,F1408-E1408-E$2-1),",","."))</f>
        <v>0.90957602214449496</v>
      </c>
      <c r="Y1408" s="4">
        <f>VALUE(SUBSTITUTE(MID($A1408,F1408+F$2+1,G1408-F1408-F$2-1),",","."))</f>
        <v>0.27779617769349302</v>
      </c>
      <c r="Z1408" s="3">
        <f>VALUE(SUBSTITUTE(MID($A1408,G1408+G$2+1,H1408-G1408-G$2-1),",","."))</f>
        <v>564.15</v>
      </c>
      <c r="AA1408" s="3">
        <f>VALUE(SUBSTITUTE(MID($A1408,H1408+H$2+1,I1408-H1408-H$2-1),",","."))</f>
        <v>0</v>
      </c>
      <c r="AB1408" s="3">
        <f>VALUE(SUBSTITUTE(MID($A1408,I1408+I$2+1,J1408-I1408-I$2-1),",","."))</f>
        <v>77</v>
      </c>
      <c r="AC1408" s="3">
        <f>VALUE(SUBSTITUTE(MID($A1408,J1408+J$2+1,K1408-J1408-J$2-1),",","."))</f>
        <v>3.95</v>
      </c>
      <c r="AD1408" s="3">
        <f>VALUE(SUBSTITUTE(MID($A1408,K1408+K$2+1,L1408-K1408-K$2-1),",","."))</f>
        <v>57.96</v>
      </c>
      <c r="AE1408" s="3">
        <f>VALUE(SUBSTITUTE(MID($A1408,L1408+L$2+1,M1408-L1408-L$2-1),",","."))</f>
        <v>0</v>
      </c>
      <c r="AF1408" s="3">
        <f>VALUE(SUBSTITUTE(MID($A1408,M1408+M$2+1,N1408-M1408-M$2-1),",","."))</f>
        <v>0</v>
      </c>
      <c r="AG1408" s="3">
        <f>VALUE(SUBSTITUTE(MID($A1408,N1408+N$2+1,O1408-N1408-N$2-1),",","."))</f>
        <v>4.2435311874330601</v>
      </c>
      <c r="AH1408" t="str">
        <f>MID($A1408,O1408+O$2+1,P1408-O1408-O$2-1)</f>
        <v/>
      </c>
      <c r="AI1408" s="8" t="str">
        <f>MID($A1408,P1408+P$2+1,Q1408-P1408-P$2-1)</f>
        <v>False</v>
      </c>
      <c r="AK1408" t="b">
        <f t="shared" si="182"/>
        <v>0</v>
      </c>
    </row>
    <row r="1409" spans="1:37" x14ac:dyDescent="0.35">
      <c r="A1409" t="s">
        <v>5956</v>
      </c>
      <c r="B1409">
        <f t="shared" ref="B1409:Q1439" si="190">FIND(B$1,$A1409)</f>
        <v>10</v>
      </c>
      <c r="C1409">
        <f t="shared" si="189"/>
        <v>43</v>
      </c>
      <c r="D1409">
        <f t="shared" si="189"/>
        <v>54</v>
      </c>
      <c r="E1409">
        <f t="shared" si="189"/>
        <v>97</v>
      </c>
      <c r="F1409">
        <f t="shared" si="189"/>
        <v>141</v>
      </c>
      <c r="G1409">
        <f t="shared" si="189"/>
        <v>179</v>
      </c>
      <c r="H1409">
        <f t="shared" si="189"/>
        <v>216</v>
      </c>
      <c r="I1409">
        <f t="shared" si="189"/>
        <v>238</v>
      </c>
      <c r="J1409">
        <f t="shared" si="189"/>
        <v>272</v>
      </c>
      <c r="K1409">
        <f t="shared" si="189"/>
        <v>292</v>
      </c>
      <c r="L1409">
        <f t="shared" si="189"/>
        <v>311</v>
      </c>
      <c r="M1409">
        <f t="shared" si="189"/>
        <v>326</v>
      </c>
      <c r="N1409">
        <f t="shared" si="189"/>
        <v>338</v>
      </c>
      <c r="O1409">
        <f t="shared" si="189"/>
        <v>362</v>
      </c>
      <c r="P1409">
        <f t="shared" si="189"/>
        <v>380</v>
      </c>
      <c r="Q1409">
        <f t="shared" si="189"/>
        <v>406</v>
      </c>
      <c r="S1409" t="str">
        <f t="shared" si="187"/>
        <v>11.12.2025</v>
      </c>
      <c r="T1409" t="str">
        <f t="shared" si="188"/>
        <v>10:45:00</v>
      </c>
      <c r="U1409" t="str">
        <f t="shared" si="181"/>
        <v>11.12.2025 10:45:00</v>
      </c>
      <c r="V1409" s="9" t="str">
        <f>MID($A1409,C1409+C$2+1,D1409-C1409-C$2-1)</f>
        <v>0</v>
      </c>
      <c r="W1409" s="4">
        <f>VALUE(SUBSTITUTE(MID($A1409,D1409+D$2+1,E1409-D1409-D$2-1),",","."))</f>
        <v>0.78890587277383395</v>
      </c>
      <c r="X1409" s="4">
        <f>VALUE(SUBSTITUTE(MID($A1409,E1409+E$2+1,F1409-E1409-E$2-1),",","."))</f>
        <v>0.90957602214449496</v>
      </c>
      <c r="Y1409" s="4">
        <f>VALUE(SUBSTITUTE(MID($A1409,F1409+F$2+1,G1409-F1409-F$2-1),",","."))</f>
        <v>0.293852069775554</v>
      </c>
      <c r="Z1409" s="3">
        <f>VALUE(SUBSTITUTE(MID($A1409,G1409+G$2+1,H1409-G1409-G$2-1),",","."))</f>
        <v>564.15</v>
      </c>
      <c r="AA1409" s="3">
        <f>VALUE(SUBSTITUTE(MID($A1409,H1409+H$2+1,I1409-H1409-H$2-1),",","."))</f>
        <v>0</v>
      </c>
      <c r="AB1409" s="3">
        <f>VALUE(SUBSTITUTE(MID($A1409,I1409+I$2+1,J1409-I1409-I$2-1),",","."))</f>
        <v>77</v>
      </c>
      <c r="AC1409" s="3">
        <f>VALUE(SUBSTITUTE(MID($A1409,J1409+J$2+1,K1409-J1409-J$2-1),",","."))</f>
        <v>3.95</v>
      </c>
      <c r="AD1409" s="3">
        <f>VALUE(SUBSTITUTE(MID($A1409,K1409+K$2+1,L1409-K1409-K$2-1),",","."))</f>
        <v>57.96</v>
      </c>
      <c r="AE1409" s="3">
        <f>VALUE(SUBSTITUTE(MID($A1409,L1409+L$2+1,M1409-L1409-L$2-1),",","."))</f>
        <v>0</v>
      </c>
      <c r="AF1409" s="3">
        <f>VALUE(SUBSTITUTE(MID($A1409,M1409+M$2+1,N1409-M1409-M$2-1),",","."))</f>
        <v>0</v>
      </c>
      <c r="AG1409" s="3">
        <f>VALUE(SUBSTITUTE(MID($A1409,N1409+N$2+1,O1409-N1409-N$2-1),",","."))</f>
        <v>4.2435597073211504</v>
      </c>
      <c r="AH1409" t="str">
        <f>MID($A1409,O1409+O$2+1,P1409-O1409-O$2-1)</f>
        <v/>
      </c>
      <c r="AI1409" s="8" t="str">
        <f>MID($A1409,P1409+P$2+1,Q1409-P1409-P$2-1)</f>
        <v>False</v>
      </c>
      <c r="AK1409" t="b">
        <f t="shared" si="182"/>
        <v>0</v>
      </c>
    </row>
    <row r="1410" spans="1:37" x14ac:dyDescent="0.35">
      <c r="A1410" t="s">
        <v>5957</v>
      </c>
      <c r="B1410">
        <f t="shared" si="190"/>
        <v>10</v>
      </c>
      <c r="C1410">
        <f t="shared" si="189"/>
        <v>43</v>
      </c>
      <c r="D1410">
        <f t="shared" si="189"/>
        <v>54</v>
      </c>
      <c r="E1410">
        <f t="shared" si="189"/>
        <v>97</v>
      </c>
      <c r="F1410">
        <f t="shared" si="189"/>
        <v>141</v>
      </c>
      <c r="G1410">
        <f t="shared" si="189"/>
        <v>180</v>
      </c>
      <c r="H1410">
        <f t="shared" si="189"/>
        <v>217</v>
      </c>
      <c r="I1410">
        <f t="shared" si="189"/>
        <v>239</v>
      </c>
      <c r="J1410">
        <f t="shared" si="189"/>
        <v>273</v>
      </c>
      <c r="K1410">
        <f t="shared" si="189"/>
        <v>293</v>
      </c>
      <c r="L1410">
        <f t="shared" si="189"/>
        <v>312</v>
      </c>
      <c r="M1410">
        <f t="shared" si="189"/>
        <v>327</v>
      </c>
      <c r="N1410">
        <f t="shared" si="189"/>
        <v>339</v>
      </c>
      <c r="O1410">
        <f t="shared" si="189"/>
        <v>364</v>
      </c>
      <c r="P1410">
        <f t="shared" si="189"/>
        <v>382</v>
      </c>
      <c r="Q1410">
        <f t="shared" si="189"/>
        <v>408</v>
      </c>
      <c r="S1410" t="str">
        <f t="shared" si="187"/>
        <v>11.12.2025</v>
      </c>
      <c r="T1410" t="str">
        <f t="shared" si="188"/>
        <v>11:00:00</v>
      </c>
      <c r="U1410" t="str">
        <f t="shared" si="181"/>
        <v>11.12.2025 11:00:00</v>
      </c>
      <c r="V1410" s="9" t="str">
        <f>MID($A1410,C1410+C$2+1,D1410-C1410-C$2-1)</f>
        <v>0</v>
      </c>
      <c r="W1410" s="4">
        <f>VALUE(SUBSTITUTE(MID($A1410,D1410+D$2+1,E1410-D1410-D$2-1),",","."))</f>
        <v>0.79606887170211504</v>
      </c>
      <c r="X1410" s="4">
        <f>VALUE(SUBSTITUTE(MID($A1410,E1410+E$2+1,F1410-E1410-E$2-1),",","."))</f>
        <v>0.90957602214449496</v>
      </c>
      <c r="Y1410" s="4">
        <f>VALUE(SUBSTITUTE(MID($A1410,F1410+F$2+1,G1410-F1410-F$2-1),",","."))</f>
        <v>0.30743640237442998</v>
      </c>
      <c r="Z1410" s="3">
        <f>VALUE(SUBSTITUTE(MID($A1410,G1410+G$2+1,H1410-G1410-G$2-1),",","."))</f>
        <v>564.15</v>
      </c>
      <c r="AA1410" s="3">
        <f>VALUE(SUBSTITUTE(MID($A1410,H1410+H$2+1,I1410-H1410-H$2-1),",","."))</f>
        <v>0</v>
      </c>
      <c r="AB1410" s="3">
        <f>VALUE(SUBSTITUTE(MID($A1410,I1410+I$2+1,J1410-I1410-I$2-1),",","."))</f>
        <v>77</v>
      </c>
      <c r="AC1410" s="3">
        <f>VALUE(SUBSTITUTE(MID($A1410,J1410+J$2+1,K1410-J1410-J$2-1),",","."))</f>
        <v>3.95</v>
      </c>
      <c r="AD1410" s="3">
        <f>VALUE(SUBSTITUTE(MID($A1410,K1410+K$2+1,L1410-K1410-K$2-1),",","."))</f>
        <v>57.96</v>
      </c>
      <c r="AE1410" s="3">
        <f>VALUE(SUBSTITUTE(MID($A1410,L1410+L$2+1,M1410-L1410-L$2-1),",","."))</f>
        <v>0</v>
      </c>
      <c r="AF1410" s="3">
        <f>VALUE(SUBSTITUTE(MID($A1410,M1410+M$2+1,N1410-M1410-M$2-1),",","."))</f>
        <v>0</v>
      </c>
      <c r="AG1410" s="3">
        <f>VALUE(SUBSTITUTE(MID($A1410,N1410+N$2+1,O1410-N1410-N$2-1),",","."))</f>
        <v>4.24358822720923</v>
      </c>
      <c r="AH1410" t="str">
        <f>MID($A1410,O1410+O$2+1,P1410-O1410-O$2-1)</f>
        <v/>
      </c>
      <c r="AI1410" s="8" t="str">
        <f>MID($A1410,P1410+P$2+1,Q1410-P1410-P$2-1)</f>
        <v>False</v>
      </c>
      <c r="AK1410" t="b">
        <f t="shared" si="182"/>
        <v>0</v>
      </c>
    </row>
    <row r="1411" spans="1:37" x14ac:dyDescent="0.35">
      <c r="A1411" t="s">
        <v>5958</v>
      </c>
      <c r="B1411">
        <f t="shared" si="190"/>
        <v>10</v>
      </c>
      <c r="C1411">
        <f t="shared" si="189"/>
        <v>43</v>
      </c>
      <c r="D1411">
        <f t="shared" si="189"/>
        <v>54</v>
      </c>
      <c r="E1411">
        <f t="shared" si="189"/>
        <v>97</v>
      </c>
      <c r="F1411">
        <f t="shared" si="189"/>
        <v>141</v>
      </c>
      <c r="G1411">
        <f t="shared" si="189"/>
        <v>180</v>
      </c>
      <c r="H1411">
        <f t="shared" si="189"/>
        <v>217</v>
      </c>
      <c r="I1411">
        <f t="shared" si="189"/>
        <v>239</v>
      </c>
      <c r="J1411">
        <f t="shared" si="189"/>
        <v>273</v>
      </c>
      <c r="K1411">
        <f t="shared" si="189"/>
        <v>293</v>
      </c>
      <c r="L1411">
        <f t="shared" si="189"/>
        <v>312</v>
      </c>
      <c r="M1411">
        <f t="shared" si="189"/>
        <v>327</v>
      </c>
      <c r="N1411">
        <f t="shared" si="189"/>
        <v>339</v>
      </c>
      <c r="O1411">
        <f t="shared" si="189"/>
        <v>364</v>
      </c>
      <c r="P1411">
        <f t="shared" si="189"/>
        <v>382</v>
      </c>
      <c r="Q1411">
        <f t="shared" si="189"/>
        <v>408</v>
      </c>
      <c r="S1411" t="str">
        <f t="shared" si="187"/>
        <v>11.12.2025</v>
      </c>
      <c r="T1411" t="str">
        <f t="shared" si="188"/>
        <v>11:15:00</v>
      </c>
      <c r="U1411" t="str">
        <f t="shared" si="181"/>
        <v>11.12.2025 11:15:00</v>
      </c>
      <c r="V1411" s="9" t="str">
        <f>MID($A1411,C1411+C$2+1,D1411-C1411-C$2-1)</f>
        <v>0</v>
      </c>
      <c r="W1411" s="4">
        <f>VALUE(SUBSTITUTE(MID($A1411,D1411+D$2+1,E1411-D1411-D$2-1),",","."))</f>
        <v>0.79943446943873897</v>
      </c>
      <c r="X1411" s="4">
        <f>VALUE(SUBSTITUTE(MID($A1411,E1411+E$2+1,F1411-E1411-E$2-1),",","."))</f>
        <v>0.90957602214449496</v>
      </c>
      <c r="Y1411" s="4">
        <f>VALUE(SUBSTITUTE(MID($A1411,F1411+F$2+1,G1411-F1411-F$2-1),",","."))</f>
        <v>0.318488575699516</v>
      </c>
      <c r="Z1411" s="3">
        <f>VALUE(SUBSTITUTE(MID($A1411,G1411+G$2+1,H1411-G1411-G$2-1),",","."))</f>
        <v>564.15</v>
      </c>
      <c r="AA1411" s="3">
        <f>VALUE(SUBSTITUTE(MID($A1411,H1411+H$2+1,I1411-H1411-H$2-1),",","."))</f>
        <v>0</v>
      </c>
      <c r="AB1411" s="3">
        <f>VALUE(SUBSTITUTE(MID($A1411,I1411+I$2+1,J1411-I1411-I$2-1),",","."))</f>
        <v>77</v>
      </c>
      <c r="AC1411" s="3">
        <f>VALUE(SUBSTITUTE(MID($A1411,J1411+J$2+1,K1411-J1411-J$2-1),",","."))</f>
        <v>3.95</v>
      </c>
      <c r="AD1411" s="3">
        <f>VALUE(SUBSTITUTE(MID($A1411,K1411+K$2+1,L1411-K1411-K$2-1),",","."))</f>
        <v>57.96</v>
      </c>
      <c r="AE1411" s="3">
        <f>VALUE(SUBSTITUTE(MID($A1411,L1411+L$2+1,M1411-L1411-L$2-1),",","."))</f>
        <v>0</v>
      </c>
      <c r="AF1411" s="3">
        <f>VALUE(SUBSTITUTE(MID($A1411,M1411+M$2+1,N1411-M1411-M$2-1),",","."))</f>
        <v>0</v>
      </c>
      <c r="AG1411" s="3">
        <f>VALUE(SUBSTITUTE(MID($A1411,N1411+N$2+1,O1411-N1411-N$2-1),",","."))</f>
        <v>4.2436167470973096</v>
      </c>
      <c r="AH1411" t="str">
        <f>MID($A1411,O1411+O$2+1,P1411-O1411-O$2-1)</f>
        <v/>
      </c>
      <c r="AI1411" s="8" t="str">
        <f>MID($A1411,P1411+P$2+1,Q1411-P1411-P$2-1)</f>
        <v>False</v>
      </c>
      <c r="AK1411" t="b">
        <f t="shared" si="182"/>
        <v>0</v>
      </c>
    </row>
    <row r="1412" spans="1:37" x14ac:dyDescent="0.35">
      <c r="A1412" t="s">
        <v>5959</v>
      </c>
      <c r="B1412">
        <f t="shared" si="190"/>
        <v>10</v>
      </c>
      <c r="C1412">
        <f t="shared" si="189"/>
        <v>43</v>
      </c>
      <c r="D1412">
        <f t="shared" si="189"/>
        <v>54</v>
      </c>
      <c r="E1412">
        <f t="shared" si="189"/>
        <v>97</v>
      </c>
      <c r="F1412">
        <f t="shared" si="189"/>
        <v>141</v>
      </c>
      <c r="G1412">
        <f t="shared" si="189"/>
        <v>179</v>
      </c>
      <c r="H1412">
        <f t="shared" si="189"/>
        <v>227</v>
      </c>
      <c r="I1412">
        <f t="shared" si="189"/>
        <v>249</v>
      </c>
      <c r="J1412">
        <f t="shared" si="189"/>
        <v>283</v>
      </c>
      <c r="K1412">
        <f t="shared" si="189"/>
        <v>302</v>
      </c>
      <c r="L1412">
        <f t="shared" si="189"/>
        <v>334</v>
      </c>
      <c r="M1412">
        <f t="shared" si="189"/>
        <v>349</v>
      </c>
      <c r="N1412">
        <f t="shared" si="189"/>
        <v>361</v>
      </c>
      <c r="O1412">
        <f t="shared" si="189"/>
        <v>387</v>
      </c>
      <c r="P1412">
        <f t="shared" si="189"/>
        <v>405</v>
      </c>
      <c r="Q1412">
        <f t="shared" si="189"/>
        <v>431</v>
      </c>
      <c r="S1412" t="str">
        <f t="shared" si="187"/>
        <v>11.12.2025</v>
      </c>
      <c r="T1412" t="str">
        <f t="shared" si="188"/>
        <v>11:30:00</v>
      </c>
      <c r="U1412" t="str">
        <f t="shared" ref="U1412:U1475" si="191">MID($A1412,B1412+B$2+1,C1412-B1412-B$2-1)</f>
        <v>11.12.2025 11:30:00</v>
      </c>
      <c r="V1412" s="9" t="str">
        <f>MID($A1412,C1412+C$2+1,D1412-C1412-C$2-1)</f>
        <v>0</v>
      </c>
      <c r="W1412" s="4">
        <f>VALUE(SUBSTITUTE(MID($A1412,D1412+D$2+1,E1412-D1412-D$2-1),",","."))</f>
        <v>0.79898689195422501</v>
      </c>
      <c r="X1412" s="4">
        <f>VALUE(SUBSTITUTE(MID($A1412,E1412+E$2+1,F1412-E1412-E$2-1),",","."))</f>
        <v>0.90957602214449496</v>
      </c>
      <c r="Y1412" s="4">
        <f>VALUE(SUBSTITUTE(MID($A1412,F1412+F$2+1,G1412-F1412-F$2-1),",","."))</f>
        <v>0.32695958936848002</v>
      </c>
      <c r="Z1412" s="3">
        <f>VALUE(SUBSTITUTE(MID($A1412,G1412+G$2+1,H1412-G1412-G$2-1),",","."))</f>
        <v>564.26666666666597</v>
      </c>
      <c r="AA1412" s="3">
        <f>VALUE(SUBSTITUTE(MID($A1412,H1412+H$2+1,I1412-H1412-H$2-1),",","."))</f>
        <v>0</v>
      </c>
      <c r="AB1412" s="3">
        <f>VALUE(SUBSTITUTE(MID($A1412,I1412+I$2+1,J1412-I1412-I$2-1),",","."))</f>
        <v>93</v>
      </c>
      <c r="AC1412" s="3">
        <f>VALUE(SUBSTITUTE(MID($A1412,J1412+J$2+1,K1412-J1412-J$2-1),",","."))</f>
        <v>4.2</v>
      </c>
      <c r="AD1412" s="3">
        <f>VALUE(SUBSTITUTE(MID($A1412,K1412+K$2+1,L1412-K1412-K$2-1),",","."))</f>
        <v>54.54</v>
      </c>
      <c r="AE1412" s="3">
        <f>VALUE(SUBSTITUTE(MID($A1412,L1412+L$2+1,M1412-L1412-L$2-1),",","."))</f>
        <v>0</v>
      </c>
      <c r="AF1412" s="3">
        <f>VALUE(SUBSTITUTE(MID($A1412,M1412+M$2+1,N1412-M1412-M$2-1),",","."))</f>
        <v>0</v>
      </c>
      <c r="AG1412" s="3">
        <f>VALUE(SUBSTITUTE(MID($A1412,N1412+N$2+1,O1412-N1412-N$2-1),",","."))</f>
        <v>4.2436452669853901</v>
      </c>
      <c r="AH1412" t="str">
        <f>MID($A1412,O1412+O$2+1,P1412-O1412-O$2-1)</f>
        <v/>
      </c>
      <c r="AI1412" s="8" t="str">
        <f>MID($A1412,P1412+P$2+1,Q1412-P1412-P$2-1)</f>
        <v>False</v>
      </c>
      <c r="AK1412" t="b">
        <f t="shared" ref="AK1412:AK1475" si="192">AB1412&gt;Z1412</f>
        <v>0</v>
      </c>
    </row>
    <row r="1413" spans="1:37" x14ac:dyDescent="0.35">
      <c r="A1413" t="s">
        <v>5960</v>
      </c>
      <c r="B1413">
        <f t="shared" si="190"/>
        <v>10</v>
      </c>
      <c r="C1413">
        <f t="shared" si="189"/>
        <v>43</v>
      </c>
      <c r="D1413">
        <f t="shared" si="189"/>
        <v>54</v>
      </c>
      <c r="E1413">
        <f t="shared" si="189"/>
        <v>97</v>
      </c>
      <c r="F1413">
        <f t="shared" si="189"/>
        <v>141</v>
      </c>
      <c r="G1413">
        <f t="shared" si="189"/>
        <v>179</v>
      </c>
      <c r="H1413">
        <f t="shared" si="189"/>
        <v>227</v>
      </c>
      <c r="I1413">
        <f t="shared" si="189"/>
        <v>249</v>
      </c>
      <c r="J1413">
        <f t="shared" si="189"/>
        <v>283</v>
      </c>
      <c r="K1413">
        <f t="shared" si="189"/>
        <v>302</v>
      </c>
      <c r="L1413">
        <f t="shared" si="189"/>
        <v>334</v>
      </c>
      <c r="M1413">
        <f t="shared" si="189"/>
        <v>349</v>
      </c>
      <c r="N1413">
        <f t="shared" si="189"/>
        <v>361</v>
      </c>
      <c r="O1413">
        <f t="shared" si="189"/>
        <v>386</v>
      </c>
      <c r="P1413">
        <f t="shared" si="189"/>
        <v>404</v>
      </c>
      <c r="Q1413">
        <f t="shared" si="189"/>
        <v>430</v>
      </c>
      <c r="S1413" t="str">
        <f t="shared" si="187"/>
        <v>11.12.2025</v>
      </c>
      <c r="T1413" t="str">
        <f t="shared" si="188"/>
        <v>11:45:00</v>
      </c>
      <c r="U1413" t="str">
        <f t="shared" si="191"/>
        <v>11.12.2025 11:45:00</v>
      </c>
      <c r="V1413" s="9" t="str">
        <f>MID($A1413,C1413+C$2+1,D1413-C1413-C$2-1)</f>
        <v>0</v>
      </c>
      <c r="W1413" s="4">
        <f>VALUE(SUBSTITUTE(MID($A1413,D1413+D$2+1,E1413-D1413-D$2-1),",","."))</f>
        <v>0.79472713999317601</v>
      </c>
      <c r="X1413" s="4">
        <f>VALUE(SUBSTITUTE(MID($A1413,E1413+E$2+1,F1413-E1413-E$2-1),",","."))</f>
        <v>0.90957602214449496</v>
      </c>
      <c r="Y1413" s="4">
        <f>VALUE(SUBSTITUTE(MID($A1413,F1413+F$2+1,G1413-F1413-F$2-1),",","."))</f>
        <v>0.33281204039339402</v>
      </c>
      <c r="Z1413" s="3">
        <f>VALUE(SUBSTITUTE(MID($A1413,G1413+G$2+1,H1413-G1413-G$2-1),",","."))</f>
        <v>564.26666666666597</v>
      </c>
      <c r="AA1413" s="3">
        <f>VALUE(SUBSTITUTE(MID($A1413,H1413+H$2+1,I1413-H1413-H$2-1),",","."))</f>
        <v>0</v>
      </c>
      <c r="AB1413" s="3">
        <f>VALUE(SUBSTITUTE(MID($A1413,I1413+I$2+1,J1413-I1413-I$2-1),",","."))</f>
        <v>93</v>
      </c>
      <c r="AC1413" s="3">
        <f>VALUE(SUBSTITUTE(MID($A1413,J1413+J$2+1,K1413-J1413-J$2-1),",","."))</f>
        <v>4.2</v>
      </c>
      <c r="AD1413" s="3">
        <f>VALUE(SUBSTITUTE(MID($A1413,K1413+K$2+1,L1413-K1413-K$2-1),",","."))</f>
        <v>54.54</v>
      </c>
      <c r="AE1413" s="3">
        <f>VALUE(SUBSTITUTE(MID($A1413,L1413+L$2+1,M1413-L1413-L$2-1),",","."))</f>
        <v>0</v>
      </c>
      <c r="AF1413" s="3">
        <f>VALUE(SUBSTITUTE(MID($A1413,M1413+M$2+1,N1413-M1413-M$2-1),",","."))</f>
        <v>0</v>
      </c>
      <c r="AG1413" s="3">
        <f>VALUE(SUBSTITUTE(MID($A1413,N1413+N$2+1,O1413-N1413-N$2-1),",","."))</f>
        <v>4.2436737868734697</v>
      </c>
      <c r="AH1413" t="str">
        <f>MID($A1413,O1413+O$2+1,P1413-O1413-O$2-1)</f>
        <v/>
      </c>
      <c r="AI1413" s="8" t="str">
        <f>MID($A1413,P1413+P$2+1,Q1413-P1413-P$2-1)</f>
        <v>False</v>
      </c>
      <c r="AK1413" t="b">
        <f t="shared" si="192"/>
        <v>0</v>
      </c>
    </row>
    <row r="1414" spans="1:37" x14ac:dyDescent="0.35">
      <c r="A1414" t="s">
        <v>5961</v>
      </c>
      <c r="B1414">
        <f t="shared" si="190"/>
        <v>10</v>
      </c>
      <c r="C1414">
        <f t="shared" si="189"/>
        <v>43</v>
      </c>
      <c r="D1414">
        <f t="shared" si="189"/>
        <v>54</v>
      </c>
      <c r="E1414">
        <f t="shared" si="189"/>
        <v>97</v>
      </c>
      <c r="F1414">
        <f t="shared" si="189"/>
        <v>141</v>
      </c>
      <c r="G1414">
        <f t="shared" si="189"/>
        <v>178</v>
      </c>
      <c r="H1414">
        <f t="shared" si="189"/>
        <v>226</v>
      </c>
      <c r="I1414">
        <f t="shared" si="189"/>
        <v>248</v>
      </c>
      <c r="J1414">
        <f t="shared" si="189"/>
        <v>282</v>
      </c>
      <c r="K1414">
        <f t="shared" si="189"/>
        <v>301</v>
      </c>
      <c r="L1414">
        <f t="shared" si="189"/>
        <v>333</v>
      </c>
      <c r="M1414">
        <f t="shared" si="189"/>
        <v>348</v>
      </c>
      <c r="N1414">
        <f t="shared" si="189"/>
        <v>360</v>
      </c>
      <c r="O1414">
        <f t="shared" si="189"/>
        <v>385</v>
      </c>
      <c r="P1414">
        <f t="shared" si="189"/>
        <v>403</v>
      </c>
      <c r="Q1414">
        <f t="shared" si="189"/>
        <v>429</v>
      </c>
      <c r="S1414" t="str">
        <f t="shared" si="187"/>
        <v>11.12.2025</v>
      </c>
      <c r="T1414" t="str">
        <f t="shared" si="188"/>
        <v>12:00:00</v>
      </c>
      <c r="U1414" t="str">
        <f t="shared" si="191"/>
        <v>11.12.2025 12:00:00</v>
      </c>
      <c r="V1414" s="9" t="str">
        <f>MID($A1414,C1414+C$2+1,D1414-C1414-C$2-1)</f>
        <v>0</v>
      </c>
      <c r="W1414" s="4">
        <f>VALUE(SUBSTITUTE(MID($A1414,D1414+D$2+1,E1414-D1414-D$2-1),",","."))</f>
        <v>0.78667287764023097</v>
      </c>
      <c r="X1414" s="4">
        <f>VALUE(SUBSTITUTE(MID($A1414,E1414+E$2+1,F1414-E1414-E$2-1),",","."))</f>
        <v>0.90957602214449496</v>
      </c>
      <c r="Y1414" s="4">
        <f>VALUE(SUBSTITUTE(MID($A1414,F1414+F$2+1,G1414-F1414-F$2-1),",","."))</f>
        <v>0.33602015446287498</v>
      </c>
      <c r="Z1414" s="3">
        <f>VALUE(SUBSTITUTE(MID($A1414,G1414+G$2+1,H1414-G1414-G$2-1),",","."))</f>
        <v>564.26666666666597</v>
      </c>
      <c r="AA1414" s="3">
        <f>VALUE(SUBSTITUTE(MID($A1414,H1414+H$2+1,I1414-H1414-H$2-1),",","."))</f>
        <v>0</v>
      </c>
      <c r="AB1414" s="3">
        <f>VALUE(SUBSTITUTE(MID($A1414,I1414+I$2+1,J1414-I1414-I$2-1),",","."))</f>
        <v>93</v>
      </c>
      <c r="AC1414" s="3">
        <f>VALUE(SUBSTITUTE(MID($A1414,J1414+J$2+1,K1414-J1414-J$2-1),",","."))</f>
        <v>4.2</v>
      </c>
      <c r="AD1414" s="3">
        <f>VALUE(SUBSTITUTE(MID($A1414,K1414+K$2+1,L1414-K1414-K$2-1),",","."))</f>
        <v>54.54</v>
      </c>
      <c r="AE1414" s="3">
        <f>VALUE(SUBSTITUTE(MID($A1414,L1414+L$2+1,M1414-L1414-L$2-1),",","."))</f>
        <v>0</v>
      </c>
      <c r="AF1414" s="3">
        <f>VALUE(SUBSTITUTE(MID($A1414,M1414+M$2+1,N1414-M1414-M$2-1),",","."))</f>
        <v>0</v>
      </c>
      <c r="AG1414" s="3">
        <f>VALUE(SUBSTITUTE(MID($A1414,N1414+N$2+1,O1414-N1414-N$2-1),",","."))</f>
        <v>4.2437023067615502</v>
      </c>
      <c r="AH1414" t="str">
        <f>MID($A1414,O1414+O$2+1,P1414-O1414-O$2-1)</f>
        <v/>
      </c>
      <c r="AI1414" s="8" t="str">
        <f>MID($A1414,P1414+P$2+1,Q1414-P1414-P$2-1)</f>
        <v>False</v>
      </c>
      <c r="AK1414" t="b">
        <f t="shared" si="192"/>
        <v>0</v>
      </c>
    </row>
    <row r="1415" spans="1:37" x14ac:dyDescent="0.35">
      <c r="A1415" t="s">
        <v>5962</v>
      </c>
      <c r="B1415">
        <f t="shared" si="190"/>
        <v>10</v>
      </c>
      <c r="C1415">
        <f t="shared" si="189"/>
        <v>43</v>
      </c>
      <c r="D1415">
        <f t="shared" si="189"/>
        <v>54</v>
      </c>
      <c r="E1415">
        <f t="shared" si="189"/>
        <v>97</v>
      </c>
      <c r="F1415">
        <f t="shared" si="189"/>
        <v>141</v>
      </c>
      <c r="G1415">
        <f t="shared" si="189"/>
        <v>178</v>
      </c>
      <c r="H1415">
        <f t="shared" si="189"/>
        <v>226</v>
      </c>
      <c r="I1415">
        <f t="shared" si="189"/>
        <v>248</v>
      </c>
      <c r="J1415">
        <f t="shared" si="189"/>
        <v>282</v>
      </c>
      <c r="K1415">
        <f t="shared" si="189"/>
        <v>301</v>
      </c>
      <c r="L1415">
        <f t="shared" si="189"/>
        <v>333</v>
      </c>
      <c r="M1415">
        <f t="shared" si="189"/>
        <v>348</v>
      </c>
      <c r="N1415">
        <f t="shared" si="189"/>
        <v>360</v>
      </c>
      <c r="O1415">
        <f t="shared" si="189"/>
        <v>386</v>
      </c>
      <c r="P1415">
        <f t="shared" si="189"/>
        <v>404</v>
      </c>
      <c r="Q1415">
        <f t="shared" si="189"/>
        <v>430</v>
      </c>
      <c r="S1415" t="str">
        <f t="shared" si="187"/>
        <v>11.12.2025</v>
      </c>
      <c r="T1415" t="str">
        <f t="shared" si="188"/>
        <v>12:15:00</v>
      </c>
      <c r="U1415" t="str">
        <f t="shared" si="191"/>
        <v>11.12.2025 12:15:00</v>
      </c>
      <c r="V1415" s="9" t="str">
        <f>MID($A1415,C1415+C$2+1,D1415-C1415-C$2-1)</f>
        <v>0</v>
      </c>
      <c r="W1415" s="4">
        <f>VALUE(SUBSTITUTE(MID($A1415,D1415+D$2+1,E1415-D1415-D$2-1),",","."))</f>
        <v>0.77485829416075402</v>
      </c>
      <c r="X1415" s="4">
        <f>VALUE(SUBSTITUTE(MID($A1415,E1415+E$2+1,F1415-E1415-E$2-1),",","."))</f>
        <v>0.90957602214449496</v>
      </c>
      <c r="Y1415" s="4">
        <f>VALUE(SUBSTITUTE(MID($A1415,F1415+F$2+1,G1415-F1415-F$2-1),",","."))</f>
        <v>0.33656982111906297</v>
      </c>
      <c r="Z1415" s="3">
        <f>VALUE(SUBSTITUTE(MID($A1415,G1415+G$2+1,H1415-G1415-G$2-1),",","."))</f>
        <v>564.26666666666597</v>
      </c>
      <c r="AA1415" s="3">
        <f>VALUE(SUBSTITUTE(MID($A1415,H1415+H$2+1,I1415-H1415-H$2-1),",","."))</f>
        <v>0</v>
      </c>
      <c r="AB1415" s="3">
        <f>VALUE(SUBSTITUTE(MID($A1415,I1415+I$2+1,J1415-I1415-I$2-1),",","."))</f>
        <v>93</v>
      </c>
      <c r="AC1415" s="3">
        <f>VALUE(SUBSTITUTE(MID($A1415,J1415+J$2+1,K1415-J1415-J$2-1),",","."))</f>
        <v>4.2</v>
      </c>
      <c r="AD1415" s="3">
        <f>VALUE(SUBSTITUTE(MID($A1415,K1415+K$2+1,L1415-K1415-K$2-1),",","."))</f>
        <v>54.54</v>
      </c>
      <c r="AE1415" s="3">
        <f>VALUE(SUBSTITUTE(MID($A1415,L1415+L$2+1,M1415-L1415-L$2-1),",","."))</f>
        <v>0</v>
      </c>
      <c r="AF1415" s="3">
        <f>VALUE(SUBSTITUTE(MID($A1415,M1415+M$2+1,N1415-M1415-M$2-1),",","."))</f>
        <v>0</v>
      </c>
      <c r="AG1415" s="3">
        <f>VALUE(SUBSTITUTE(MID($A1415,N1415+N$2+1,O1415-N1415-N$2-1),",","."))</f>
        <v>4.2437308266496396</v>
      </c>
      <c r="AH1415" t="str">
        <f>MID($A1415,O1415+O$2+1,P1415-O1415-O$2-1)</f>
        <v/>
      </c>
      <c r="AI1415" s="8" t="str">
        <f>MID($A1415,P1415+P$2+1,Q1415-P1415-P$2-1)</f>
        <v>False</v>
      </c>
      <c r="AK1415" t="b">
        <f t="shared" si="192"/>
        <v>0</v>
      </c>
    </row>
    <row r="1416" spans="1:37" x14ac:dyDescent="0.35">
      <c r="A1416" t="s">
        <v>5963</v>
      </c>
      <c r="B1416">
        <f t="shared" si="190"/>
        <v>10</v>
      </c>
      <c r="C1416">
        <f t="shared" si="189"/>
        <v>43</v>
      </c>
      <c r="D1416">
        <f t="shared" si="189"/>
        <v>54</v>
      </c>
      <c r="E1416">
        <f t="shared" si="189"/>
        <v>97</v>
      </c>
      <c r="F1416">
        <f t="shared" si="189"/>
        <v>141</v>
      </c>
      <c r="G1416">
        <f t="shared" si="189"/>
        <v>179</v>
      </c>
      <c r="H1416">
        <f t="shared" si="189"/>
        <v>216</v>
      </c>
      <c r="I1416">
        <f t="shared" si="189"/>
        <v>238</v>
      </c>
      <c r="J1416">
        <f t="shared" si="189"/>
        <v>274</v>
      </c>
      <c r="K1416">
        <f t="shared" si="189"/>
        <v>293</v>
      </c>
      <c r="L1416">
        <f t="shared" si="189"/>
        <v>312</v>
      </c>
      <c r="M1416">
        <f t="shared" si="189"/>
        <v>327</v>
      </c>
      <c r="N1416">
        <f t="shared" si="189"/>
        <v>339</v>
      </c>
      <c r="O1416">
        <f t="shared" si="189"/>
        <v>364</v>
      </c>
      <c r="P1416">
        <f t="shared" si="189"/>
        <v>382</v>
      </c>
      <c r="Q1416">
        <f t="shared" si="189"/>
        <v>408</v>
      </c>
      <c r="S1416" t="str">
        <f t="shared" si="187"/>
        <v>11.12.2025</v>
      </c>
      <c r="T1416" t="str">
        <f t="shared" si="188"/>
        <v>12:30:00</v>
      </c>
      <c r="U1416" t="str">
        <f t="shared" si="191"/>
        <v>11.12.2025 12:30:00</v>
      </c>
      <c r="V1416" s="9" t="str">
        <f>MID($A1416,C1416+C$2+1,D1416-C1416-C$2-1)</f>
        <v>0</v>
      </c>
      <c r="W1416" s="4">
        <f>VALUE(SUBSTITUTE(MID($A1416,D1416+D$2+1,E1416-D1416-D$2-1),",","."))</f>
        <v>0.75933392662536203</v>
      </c>
      <c r="X1416" s="4">
        <f>VALUE(SUBSTITUTE(MID($A1416,E1416+E$2+1,F1416-E1416-E$2-1),",","."))</f>
        <v>0.90957602214449496</v>
      </c>
      <c r="Y1416" s="4">
        <f>VALUE(SUBSTITUTE(MID($A1416,F1416+F$2+1,G1416-F1416-F$2-1),",","."))</f>
        <v>0.33445861709443497</v>
      </c>
      <c r="Z1416" s="3">
        <f>VALUE(SUBSTITUTE(MID($A1416,G1416+G$2+1,H1416-G1416-G$2-1),",","."))</f>
        <v>564.35</v>
      </c>
      <c r="AA1416" s="3">
        <f>VALUE(SUBSTITUTE(MID($A1416,H1416+H$2+1,I1416-H1416-H$2-1),",","."))</f>
        <v>0</v>
      </c>
      <c r="AB1416" s="3">
        <f>VALUE(SUBSTITUTE(MID($A1416,I1416+I$2+1,J1416-I1416-I$2-1),",","."))</f>
        <v>97.5</v>
      </c>
      <c r="AC1416" s="3">
        <f>VALUE(SUBSTITUTE(MID($A1416,J1416+J$2+1,K1416-J1416-J$2-1),",","."))</f>
        <v>4.4000000000000004</v>
      </c>
      <c r="AD1416" s="3">
        <f>VALUE(SUBSTITUTE(MID($A1416,K1416+K$2+1,L1416-K1416-K$2-1),",","."))</f>
        <v>52.56</v>
      </c>
      <c r="AE1416" s="3">
        <f>VALUE(SUBSTITUTE(MID($A1416,L1416+L$2+1,M1416-L1416-L$2-1),",","."))</f>
        <v>0</v>
      </c>
      <c r="AF1416" s="3">
        <f>VALUE(SUBSTITUTE(MID($A1416,M1416+M$2+1,N1416-M1416-M$2-1),",","."))</f>
        <v>0</v>
      </c>
      <c r="AG1416" s="3">
        <f>VALUE(SUBSTITUTE(MID($A1416,N1416+N$2+1,O1416-N1416-N$2-1),",","."))</f>
        <v>4.2437593465377201</v>
      </c>
      <c r="AH1416" t="str">
        <f>MID($A1416,O1416+O$2+1,P1416-O1416-O$2-1)</f>
        <v/>
      </c>
      <c r="AI1416" s="8" t="str">
        <f>MID($A1416,P1416+P$2+1,Q1416-P1416-P$2-1)</f>
        <v>False</v>
      </c>
      <c r="AK1416" t="b">
        <f t="shared" si="192"/>
        <v>0</v>
      </c>
    </row>
    <row r="1417" spans="1:37" x14ac:dyDescent="0.35">
      <c r="A1417" t="s">
        <v>5964</v>
      </c>
      <c r="B1417">
        <f t="shared" si="190"/>
        <v>10</v>
      </c>
      <c r="C1417">
        <f t="shared" si="189"/>
        <v>43</v>
      </c>
      <c r="D1417">
        <f t="shared" si="189"/>
        <v>54</v>
      </c>
      <c r="E1417">
        <f t="shared" si="189"/>
        <v>97</v>
      </c>
      <c r="F1417">
        <f t="shared" si="189"/>
        <v>141</v>
      </c>
      <c r="G1417">
        <f t="shared" si="189"/>
        <v>180</v>
      </c>
      <c r="H1417">
        <f t="shared" si="189"/>
        <v>217</v>
      </c>
      <c r="I1417">
        <f t="shared" si="189"/>
        <v>239</v>
      </c>
      <c r="J1417">
        <f t="shared" si="189"/>
        <v>275</v>
      </c>
      <c r="K1417">
        <f t="shared" si="189"/>
        <v>294</v>
      </c>
      <c r="L1417">
        <f t="shared" si="189"/>
        <v>313</v>
      </c>
      <c r="M1417">
        <f t="shared" si="189"/>
        <v>328</v>
      </c>
      <c r="N1417">
        <f t="shared" si="189"/>
        <v>340</v>
      </c>
      <c r="O1417">
        <f t="shared" si="189"/>
        <v>365</v>
      </c>
      <c r="P1417">
        <f t="shared" si="189"/>
        <v>383</v>
      </c>
      <c r="Q1417">
        <f t="shared" si="189"/>
        <v>409</v>
      </c>
      <c r="S1417" t="str">
        <f t="shared" si="187"/>
        <v>11.12.2025</v>
      </c>
      <c r="T1417" t="str">
        <f t="shared" si="188"/>
        <v>12:45:00</v>
      </c>
      <c r="U1417" t="str">
        <f t="shared" si="191"/>
        <v>11.12.2025 12:45:00</v>
      </c>
      <c r="V1417" s="9" t="str">
        <f>MID($A1417,C1417+C$2+1,D1417-C1417-C$2-1)</f>
        <v>0</v>
      </c>
      <c r="W1417" s="4">
        <f>VALUE(SUBSTITUTE(MID($A1417,D1417+D$2+1,E1417-D1417-D$2-1),",","."))</f>
        <v>0.74016643816842098</v>
      </c>
      <c r="X1417" s="4">
        <f>VALUE(SUBSTITUTE(MID($A1417,E1417+E$2+1,F1417-E1417-E$2-1),",","."))</f>
        <v>0.90957602214449496</v>
      </c>
      <c r="Y1417" s="4">
        <f>VALUE(SUBSTITUTE(MID($A1417,F1417+F$2+1,G1417-F1417-F$2-1),",","."))</f>
        <v>0.329695810477179</v>
      </c>
      <c r="Z1417" s="3">
        <f>VALUE(SUBSTITUTE(MID($A1417,G1417+G$2+1,H1417-G1417-G$2-1),",","."))</f>
        <v>564.35</v>
      </c>
      <c r="AA1417" s="3">
        <f>VALUE(SUBSTITUTE(MID($A1417,H1417+H$2+1,I1417-H1417-H$2-1),",","."))</f>
        <v>0</v>
      </c>
      <c r="AB1417" s="3">
        <f>VALUE(SUBSTITUTE(MID($A1417,I1417+I$2+1,J1417-I1417-I$2-1),",","."))</f>
        <v>97.5</v>
      </c>
      <c r="AC1417" s="3">
        <f>VALUE(SUBSTITUTE(MID($A1417,J1417+J$2+1,K1417-J1417-J$2-1),",","."))</f>
        <v>4.4000000000000004</v>
      </c>
      <c r="AD1417" s="3">
        <f>VALUE(SUBSTITUTE(MID($A1417,K1417+K$2+1,L1417-K1417-K$2-1),",","."))</f>
        <v>52.56</v>
      </c>
      <c r="AE1417" s="3">
        <f>VALUE(SUBSTITUTE(MID($A1417,L1417+L$2+1,M1417-L1417-L$2-1),",","."))</f>
        <v>0</v>
      </c>
      <c r="AF1417" s="3">
        <f>VALUE(SUBSTITUTE(MID($A1417,M1417+M$2+1,N1417-M1417-M$2-1),",","."))</f>
        <v>0</v>
      </c>
      <c r="AG1417" s="3">
        <f>VALUE(SUBSTITUTE(MID($A1417,N1417+N$2+1,O1417-N1417-N$2-1),",","."))</f>
        <v>4.2437878664257997</v>
      </c>
      <c r="AH1417" t="str">
        <f>MID($A1417,O1417+O$2+1,P1417-O1417-O$2-1)</f>
        <v/>
      </c>
      <c r="AI1417" s="8" t="str">
        <f>MID($A1417,P1417+P$2+1,Q1417-P1417-P$2-1)</f>
        <v>False</v>
      </c>
      <c r="AK1417" t="b">
        <f t="shared" si="192"/>
        <v>0</v>
      </c>
    </row>
    <row r="1418" spans="1:37" x14ac:dyDescent="0.35">
      <c r="A1418" t="s">
        <v>5965</v>
      </c>
      <c r="B1418">
        <f t="shared" si="190"/>
        <v>10</v>
      </c>
      <c r="C1418">
        <f t="shared" si="189"/>
        <v>43</v>
      </c>
      <c r="D1418">
        <f t="shared" si="189"/>
        <v>54</v>
      </c>
      <c r="E1418">
        <f t="shared" si="189"/>
        <v>97</v>
      </c>
      <c r="F1418">
        <f t="shared" si="189"/>
        <v>141</v>
      </c>
      <c r="G1418">
        <f t="shared" si="189"/>
        <v>180</v>
      </c>
      <c r="H1418">
        <f t="shared" si="189"/>
        <v>217</v>
      </c>
      <c r="I1418">
        <f t="shared" si="189"/>
        <v>239</v>
      </c>
      <c r="J1418">
        <f t="shared" si="189"/>
        <v>275</v>
      </c>
      <c r="K1418">
        <f t="shared" si="189"/>
        <v>294</v>
      </c>
      <c r="L1418">
        <f t="shared" si="189"/>
        <v>313</v>
      </c>
      <c r="M1418">
        <f t="shared" si="189"/>
        <v>328</v>
      </c>
      <c r="N1418">
        <f t="shared" si="189"/>
        <v>340</v>
      </c>
      <c r="O1418">
        <f t="shared" si="189"/>
        <v>365</v>
      </c>
      <c r="P1418">
        <f t="shared" si="189"/>
        <v>383</v>
      </c>
      <c r="Q1418">
        <f t="shared" si="189"/>
        <v>409</v>
      </c>
      <c r="S1418" t="str">
        <f t="shared" si="187"/>
        <v>11.12.2025</v>
      </c>
      <c r="T1418" t="str">
        <f t="shared" si="188"/>
        <v>13:00:00</v>
      </c>
      <c r="U1418" t="str">
        <f t="shared" si="191"/>
        <v>11.12.2025 13:00:00</v>
      </c>
      <c r="V1418" s="9" t="str">
        <f>MID($A1418,C1418+C$2+1,D1418-C1418-C$2-1)</f>
        <v>0</v>
      </c>
      <c r="W1418" s="4">
        <f>VALUE(SUBSTITUTE(MID($A1418,D1418+D$2+1,E1418-D1418-D$2-1),",","."))</f>
        <v>0.71743835183994897</v>
      </c>
      <c r="X1418" s="4">
        <f>VALUE(SUBSTITUTE(MID($A1418,E1418+E$2+1,F1418-E1418-E$2-1),",","."))</f>
        <v>0.90957602214449496</v>
      </c>
      <c r="Y1418" s="4">
        <f>VALUE(SUBSTITUTE(MID($A1418,F1418+F$2+1,G1418-F1418-F$2-1),",","."))</f>
        <v>0.32230234460366203</v>
      </c>
      <c r="Z1418" s="3">
        <f>VALUE(SUBSTITUTE(MID($A1418,G1418+G$2+1,H1418-G1418-G$2-1),",","."))</f>
        <v>564.35</v>
      </c>
      <c r="AA1418" s="3">
        <f>VALUE(SUBSTITUTE(MID($A1418,H1418+H$2+1,I1418-H1418-H$2-1),",","."))</f>
        <v>0</v>
      </c>
      <c r="AB1418" s="3">
        <f>VALUE(SUBSTITUTE(MID($A1418,I1418+I$2+1,J1418-I1418-I$2-1),",","."))</f>
        <v>97.5</v>
      </c>
      <c r="AC1418" s="3">
        <f>VALUE(SUBSTITUTE(MID($A1418,J1418+J$2+1,K1418-J1418-J$2-1),",","."))</f>
        <v>4.4000000000000004</v>
      </c>
      <c r="AD1418" s="3">
        <f>VALUE(SUBSTITUTE(MID($A1418,K1418+K$2+1,L1418-K1418-K$2-1),",","."))</f>
        <v>52.56</v>
      </c>
      <c r="AE1418" s="3">
        <f>VALUE(SUBSTITUTE(MID($A1418,L1418+L$2+1,M1418-L1418-L$2-1),",","."))</f>
        <v>0</v>
      </c>
      <c r="AF1418" s="3">
        <f>VALUE(SUBSTITUTE(MID($A1418,M1418+M$2+1,N1418-M1418-M$2-1),",","."))</f>
        <v>0</v>
      </c>
      <c r="AG1418" s="3">
        <f>VALUE(SUBSTITUTE(MID($A1418,N1418+N$2+1,O1418-N1418-N$2-1),",","."))</f>
        <v>4.2438163863138803</v>
      </c>
      <c r="AH1418" t="str">
        <f>MID($A1418,O1418+O$2+1,P1418-O1418-O$2-1)</f>
        <v/>
      </c>
      <c r="AI1418" s="8" t="str">
        <f>MID($A1418,P1418+P$2+1,Q1418-P1418-P$2-1)</f>
        <v>False</v>
      </c>
      <c r="AK1418" t="b">
        <f t="shared" si="192"/>
        <v>0</v>
      </c>
    </row>
    <row r="1419" spans="1:37" x14ac:dyDescent="0.35">
      <c r="A1419" t="s">
        <v>5966</v>
      </c>
      <c r="B1419">
        <f t="shared" si="190"/>
        <v>10</v>
      </c>
      <c r="C1419">
        <f t="shared" si="189"/>
        <v>43</v>
      </c>
      <c r="D1419">
        <f t="shared" si="189"/>
        <v>54</v>
      </c>
      <c r="E1419">
        <f t="shared" si="189"/>
        <v>96</v>
      </c>
      <c r="F1419">
        <f t="shared" si="189"/>
        <v>140</v>
      </c>
      <c r="G1419">
        <f t="shared" si="189"/>
        <v>178</v>
      </c>
      <c r="H1419">
        <f t="shared" si="189"/>
        <v>215</v>
      </c>
      <c r="I1419">
        <f t="shared" si="189"/>
        <v>237</v>
      </c>
      <c r="J1419">
        <f t="shared" si="189"/>
        <v>273</v>
      </c>
      <c r="K1419">
        <f t="shared" si="189"/>
        <v>292</v>
      </c>
      <c r="L1419">
        <f t="shared" si="189"/>
        <v>311</v>
      </c>
      <c r="M1419">
        <f t="shared" si="189"/>
        <v>326</v>
      </c>
      <c r="N1419">
        <f t="shared" si="189"/>
        <v>338</v>
      </c>
      <c r="O1419">
        <f t="shared" si="189"/>
        <v>363</v>
      </c>
      <c r="P1419">
        <f t="shared" si="189"/>
        <v>381</v>
      </c>
      <c r="Q1419">
        <f t="shared" si="189"/>
        <v>407</v>
      </c>
      <c r="S1419" t="str">
        <f t="shared" si="187"/>
        <v>11.12.2025</v>
      </c>
      <c r="T1419" t="str">
        <f t="shared" si="188"/>
        <v>13:15:00</v>
      </c>
      <c r="U1419" t="str">
        <f t="shared" si="191"/>
        <v>11.12.2025 13:15:00</v>
      </c>
      <c r="V1419" s="9" t="str">
        <f>MID($A1419,C1419+C$2+1,D1419-C1419-C$2-1)</f>
        <v>0</v>
      </c>
      <c r="W1419" s="4">
        <f>VALUE(SUBSTITUTE(MID($A1419,D1419+D$2+1,E1419-D1419-D$2-1),",","."))</f>
        <v>0.69124774471614803</v>
      </c>
      <c r="X1419" s="4">
        <f>VALUE(SUBSTITUTE(MID($A1419,E1419+E$2+1,F1419-E1419-E$2-1),",","."))</f>
        <v>0.90957602214449496</v>
      </c>
      <c r="Y1419" s="4">
        <f>VALUE(SUBSTITUTE(MID($A1419,F1419+F$2+1,G1419-F1419-F$2-1),",","."))</f>
        <v>0.31231080621621798</v>
      </c>
      <c r="Z1419" s="3">
        <f>VALUE(SUBSTITUTE(MID($A1419,G1419+G$2+1,H1419-G1419-G$2-1),",","."))</f>
        <v>564.35</v>
      </c>
      <c r="AA1419" s="3">
        <f>VALUE(SUBSTITUTE(MID($A1419,H1419+H$2+1,I1419-H1419-H$2-1),",","."))</f>
        <v>0</v>
      </c>
      <c r="AB1419" s="3">
        <f>VALUE(SUBSTITUTE(MID($A1419,I1419+I$2+1,J1419-I1419-I$2-1),",","."))</f>
        <v>97.5</v>
      </c>
      <c r="AC1419" s="3">
        <f>VALUE(SUBSTITUTE(MID($A1419,J1419+J$2+1,K1419-J1419-J$2-1),",","."))</f>
        <v>4.4000000000000004</v>
      </c>
      <c r="AD1419" s="3">
        <f>VALUE(SUBSTITUTE(MID($A1419,K1419+K$2+1,L1419-K1419-K$2-1),",","."))</f>
        <v>52.56</v>
      </c>
      <c r="AE1419" s="3">
        <f>VALUE(SUBSTITUTE(MID($A1419,L1419+L$2+1,M1419-L1419-L$2-1),",","."))</f>
        <v>0</v>
      </c>
      <c r="AF1419" s="3">
        <f>VALUE(SUBSTITUTE(MID($A1419,M1419+M$2+1,N1419-M1419-M$2-1),",","."))</f>
        <v>0</v>
      </c>
      <c r="AG1419" s="3">
        <f>VALUE(SUBSTITUTE(MID($A1419,N1419+N$2+1,O1419-N1419-N$2-1),",","."))</f>
        <v>4.2438449062019599</v>
      </c>
      <c r="AH1419" t="str">
        <f>MID($A1419,O1419+O$2+1,P1419-O1419-O$2-1)</f>
        <v/>
      </c>
      <c r="AI1419" s="8" t="str">
        <f>MID($A1419,P1419+P$2+1,Q1419-P1419-P$2-1)</f>
        <v>False</v>
      </c>
      <c r="AK1419" t="b">
        <f t="shared" si="192"/>
        <v>0</v>
      </c>
    </row>
    <row r="1420" spans="1:37" x14ac:dyDescent="0.35">
      <c r="A1420" t="s">
        <v>5967</v>
      </c>
      <c r="B1420">
        <f t="shared" si="190"/>
        <v>10</v>
      </c>
      <c r="C1420">
        <f t="shared" si="189"/>
        <v>43</v>
      </c>
      <c r="D1420">
        <f t="shared" si="189"/>
        <v>54</v>
      </c>
      <c r="E1420">
        <f t="shared" si="189"/>
        <v>97</v>
      </c>
      <c r="F1420">
        <f t="shared" si="189"/>
        <v>141</v>
      </c>
      <c r="G1420">
        <f t="shared" si="189"/>
        <v>180</v>
      </c>
      <c r="H1420">
        <f t="shared" si="189"/>
        <v>212</v>
      </c>
      <c r="I1420">
        <f t="shared" si="189"/>
        <v>234</v>
      </c>
      <c r="J1420">
        <f t="shared" si="189"/>
        <v>267</v>
      </c>
      <c r="K1420">
        <f t="shared" si="189"/>
        <v>284</v>
      </c>
      <c r="L1420">
        <f t="shared" si="189"/>
        <v>299</v>
      </c>
      <c r="M1420">
        <f t="shared" si="189"/>
        <v>314</v>
      </c>
      <c r="N1420">
        <f t="shared" si="189"/>
        <v>326</v>
      </c>
      <c r="O1420">
        <f t="shared" si="189"/>
        <v>351</v>
      </c>
      <c r="P1420">
        <f t="shared" si="189"/>
        <v>369</v>
      </c>
      <c r="Q1420">
        <f t="shared" si="189"/>
        <v>395</v>
      </c>
      <c r="S1420" t="str">
        <f t="shared" si="187"/>
        <v>11.12.2025</v>
      </c>
      <c r="T1420" t="str">
        <f t="shared" si="188"/>
        <v>13:30:00</v>
      </c>
      <c r="U1420" t="str">
        <f t="shared" si="191"/>
        <v>11.12.2025 13:30:00</v>
      </c>
      <c r="V1420" s="9" t="str">
        <f>MID($A1420,C1420+C$2+1,D1420-C1420-C$2-1)</f>
        <v>0</v>
      </c>
      <c r="W1420" s="4">
        <f>VALUE(SUBSTITUTE(MID($A1420,D1420+D$2+1,E1420-D1420-D$2-1),",","."))</f>
        <v>0.66170791340371105</v>
      </c>
      <c r="X1420" s="4">
        <f>VALUE(SUBSTITUTE(MID($A1420,E1420+E$2+1,F1420-E1420-E$2-1),",","."))</f>
        <v>0.90957602214449496</v>
      </c>
      <c r="Y1420" s="4">
        <f>VALUE(SUBSTITUTE(MID($A1420,F1420+F$2+1,G1420-F1420-F$2-1),",","."))</f>
        <v>0.29976538975126499</v>
      </c>
      <c r="Z1420" s="3">
        <f>VALUE(SUBSTITUTE(MID($A1420,G1420+G$2+1,H1420-G1420-G$2-1),",","."))</f>
        <v>0</v>
      </c>
      <c r="AA1420" s="3">
        <f>VALUE(SUBSTITUTE(MID($A1420,H1420+H$2+1,I1420-H1420-H$2-1),",","."))</f>
        <v>0</v>
      </c>
      <c r="AB1420" s="3">
        <f>VALUE(SUBSTITUTE(MID($A1420,I1420+I$2+1,J1420-I1420-I$2-1),",","."))</f>
        <v>0</v>
      </c>
      <c r="AC1420" s="3">
        <f>VALUE(SUBSTITUTE(MID($A1420,J1420+J$2+1,K1420-J1420-J$2-1),",","."))</f>
        <v>0</v>
      </c>
      <c r="AD1420" s="3">
        <f>VALUE(SUBSTITUTE(MID($A1420,K1420+K$2+1,L1420-K1420-K$2-1),",","."))</f>
        <v>0</v>
      </c>
      <c r="AE1420" s="3">
        <f>VALUE(SUBSTITUTE(MID($A1420,L1420+L$2+1,M1420-L1420-L$2-1),",","."))</f>
        <v>0</v>
      </c>
      <c r="AF1420" s="3">
        <f>VALUE(SUBSTITUTE(MID($A1420,M1420+M$2+1,N1420-M1420-M$2-1),",","."))</f>
        <v>0</v>
      </c>
      <c r="AG1420" s="3">
        <f>VALUE(SUBSTITUTE(MID($A1420,N1420+N$2+1,O1420-N1420-N$2-1),",","."))</f>
        <v>4.2438734260900404</v>
      </c>
      <c r="AH1420" t="str">
        <f>MID($A1420,O1420+O$2+1,P1420-O1420-O$2-1)</f>
        <v/>
      </c>
      <c r="AI1420" s="8" t="str">
        <f>MID($A1420,P1420+P$2+1,Q1420-P1420-P$2-1)</f>
        <v>False</v>
      </c>
      <c r="AK1420" t="b">
        <f t="shared" si="192"/>
        <v>0</v>
      </c>
    </row>
    <row r="1421" spans="1:37" x14ac:dyDescent="0.35">
      <c r="A1421" t="s">
        <v>5968</v>
      </c>
      <c r="B1421">
        <f t="shared" si="190"/>
        <v>10</v>
      </c>
      <c r="C1421">
        <f t="shared" si="189"/>
        <v>43</v>
      </c>
      <c r="D1421">
        <f t="shared" si="189"/>
        <v>54</v>
      </c>
      <c r="E1421">
        <f t="shared" si="189"/>
        <v>97</v>
      </c>
      <c r="F1421">
        <f t="shared" si="189"/>
        <v>141</v>
      </c>
      <c r="G1421">
        <f t="shared" si="189"/>
        <v>179</v>
      </c>
      <c r="H1421">
        <f t="shared" si="189"/>
        <v>211</v>
      </c>
      <c r="I1421">
        <f t="shared" si="189"/>
        <v>233</v>
      </c>
      <c r="J1421">
        <f t="shared" si="189"/>
        <v>266</v>
      </c>
      <c r="K1421">
        <f t="shared" si="189"/>
        <v>283</v>
      </c>
      <c r="L1421">
        <f t="shared" si="189"/>
        <v>298</v>
      </c>
      <c r="M1421">
        <f t="shared" si="189"/>
        <v>313</v>
      </c>
      <c r="N1421">
        <f t="shared" si="189"/>
        <v>325</v>
      </c>
      <c r="O1421">
        <f t="shared" si="189"/>
        <v>349</v>
      </c>
      <c r="P1421">
        <f t="shared" si="189"/>
        <v>367</v>
      </c>
      <c r="Q1421">
        <f t="shared" si="189"/>
        <v>393</v>
      </c>
      <c r="S1421" t="str">
        <f t="shared" si="187"/>
        <v>11.12.2025</v>
      </c>
      <c r="T1421" t="str">
        <f t="shared" si="188"/>
        <v>13:45:00</v>
      </c>
      <c r="U1421" t="str">
        <f t="shared" si="191"/>
        <v>11.12.2025 13:45:00</v>
      </c>
      <c r="V1421" s="9" t="str">
        <f>MID($A1421,C1421+C$2+1,D1421-C1421-C$2-1)</f>
        <v>0</v>
      </c>
      <c r="W1421" s="4">
        <f>VALUE(SUBSTITUTE(MID($A1421,D1421+D$2+1,E1421-D1421-D$2-1),",","."))</f>
        <v>0.62894703100052896</v>
      </c>
      <c r="X1421" s="4">
        <f>VALUE(SUBSTITUTE(MID($A1421,E1421+E$2+1,F1421-E1421-E$2-1),",","."))</f>
        <v>0.90957602214449496</v>
      </c>
      <c r="Y1421" s="4">
        <f>VALUE(SUBSTITUTE(MID($A1421,F1421+F$2+1,G1421-F1421-F$2-1),",","."))</f>
        <v>0.28472188065071702</v>
      </c>
      <c r="Z1421" s="3">
        <f>VALUE(SUBSTITUTE(MID($A1421,G1421+G$2+1,H1421-G1421-G$2-1),",","."))</f>
        <v>0</v>
      </c>
      <c r="AA1421" s="3">
        <f>VALUE(SUBSTITUTE(MID($A1421,H1421+H$2+1,I1421-H1421-H$2-1),",","."))</f>
        <v>0</v>
      </c>
      <c r="AB1421" s="3">
        <f>VALUE(SUBSTITUTE(MID($A1421,I1421+I$2+1,J1421-I1421-I$2-1),",","."))</f>
        <v>0</v>
      </c>
      <c r="AC1421" s="3">
        <f>VALUE(SUBSTITUTE(MID($A1421,J1421+J$2+1,K1421-J1421-J$2-1),",","."))</f>
        <v>0</v>
      </c>
      <c r="AD1421" s="3">
        <f>VALUE(SUBSTITUTE(MID($A1421,K1421+K$2+1,L1421-K1421-K$2-1),",","."))</f>
        <v>0</v>
      </c>
      <c r="AE1421" s="3">
        <f>VALUE(SUBSTITUTE(MID($A1421,L1421+L$2+1,M1421-L1421-L$2-1),",","."))</f>
        <v>0</v>
      </c>
      <c r="AF1421" s="3">
        <f>VALUE(SUBSTITUTE(MID($A1421,M1421+M$2+1,N1421-M1421-M$2-1),",","."))</f>
        <v>0</v>
      </c>
      <c r="AG1421" s="3">
        <f>VALUE(SUBSTITUTE(MID($A1421,N1421+N$2+1,O1421-N1421-N$2-1),",","."))</f>
        <v>4.2439019459781298</v>
      </c>
      <c r="AH1421" t="str">
        <f>MID($A1421,O1421+O$2+1,P1421-O1421-O$2-1)</f>
        <v/>
      </c>
      <c r="AI1421" s="8" t="str">
        <f>MID($A1421,P1421+P$2+1,Q1421-P1421-P$2-1)</f>
        <v>False</v>
      </c>
      <c r="AK1421" t="b">
        <f t="shared" si="192"/>
        <v>0</v>
      </c>
    </row>
    <row r="1422" spans="1:37" x14ac:dyDescent="0.35">
      <c r="A1422" t="s">
        <v>5969</v>
      </c>
      <c r="B1422">
        <f t="shared" si="190"/>
        <v>10</v>
      </c>
      <c r="C1422">
        <f t="shared" si="189"/>
        <v>43</v>
      </c>
      <c r="D1422">
        <f t="shared" si="189"/>
        <v>54</v>
      </c>
      <c r="E1422">
        <f t="shared" si="189"/>
        <v>97</v>
      </c>
      <c r="F1422">
        <f t="shared" si="189"/>
        <v>141</v>
      </c>
      <c r="G1422">
        <f t="shared" si="189"/>
        <v>180</v>
      </c>
      <c r="H1422">
        <f t="shared" si="189"/>
        <v>212</v>
      </c>
      <c r="I1422">
        <f t="shared" si="189"/>
        <v>234</v>
      </c>
      <c r="J1422">
        <f t="shared" si="189"/>
        <v>267</v>
      </c>
      <c r="K1422">
        <f t="shared" si="189"/>
        <v>284</v>
      </c>
      <c r="L1422">
        <f t="shared" si="189"/>
        <v>299</v>
      </c>
      <c r="M1422">
        <f t="shared" si="189"/>
        <v>314</v>
      </c>
      <c r="N1422">
        <f t="shared" si="189"/>
        <v>326</v>
      </c>
      <c r="O1422">
        <f t="shared" si="189"/>
        <v>351</v>
      </c>
      <c r="P1422">
        <f t="shared" si="189"/>
        <v>369</v>
      </c>
      <c r="Q1422">
        <f t="shared" si="189"/>
        <v>395</v>
      </c>
      <c r="S1422" t="str">
        <f t="shared" si="187"/>
        <v>11.12.2025</v>
      </c>
      <c r="T1422" t="str">
        <f t="shared" si="188"/>
        <v>14:00:00</v>
      </c>
      <c r="U1422" t="str">
        <f t="shared" si="191"/>
        <v>11.12.2025 14:00:00</v>
      </c>
      <c r="V1422" s="9" t="str">
        <f>MID($A1422,C1422+C$2+1,D1422-C1422-C$2-1)</f>
        <v>0</v>
      </c>
      <c r="W1422" s="4">
        <f>VALUE(SUBSTITUTE(MID($A1422,D1422+D$2+1,E1422-D1422-D$2-1),",","."))</f>
        <v>0.59310783150900404</v>
      </c>
      <c r="X1422" s="4">
        <f>VALUE(SUBSTITUTE(MID($A1422,E1422+E$2+1,F1422-E1422-E$2-1),",","."))</f>
        <v>0.90957602214449496</v>
      </c>
      <c r="Y1422" s="4">
        <f>VALUE(SUBSTITUTE(MID($A1422,F1422+F$2+1,G1422-F1422-F$2-1),",","."))</f>
        <v>0.26724769989219199</v>
      </c>
      <c r="Z1422" s="3">
        <f>VALUE(SUBSTITUTE(MID($A1422,G1422+G$2+1,H1422-G1422-G$2-1),",","."))</f>
        <v>0</v>
      </c>
      <c r="AA1422" s="3">
        <f>VALUE(SUBSTITUTE(MID($A1422,H1422+H$2+1,I1422-H1422-H$2-1),",","."))</f>
        <v>0</v>
      </c>
      <c r="AB1422" s="3">
        <f>VALUE(SUBSTITUTE(MID($A1422,I1422+I$2+1,J1422-I1422-I$2-1),",","."))</f>
        <v>0</v>
      </c>
      <c r="AC1422" s="3">
        <f>VALUE(SUBSTITUTE(MID($A1422,J1422+J$2+1,K1422-J1422-J$2-1),",","."))</f>
        <v>0</v>
      </c>
      <c r="AD1422" s="3">
        <f>VALUE(SUBSTITUTE(MID($A1422,K1422+K$2+1,L1422-K1422-K$2-1),",","."))</f>
        <v>0</v>
      </c>
      <c r="AE1422" s="3">
        <f>VALUE(SUBSTITUTE(MID($A1422,L1422+L$2+1,M1422-L1422-L$2-1),",","."))</f>
        <v>0</v>
      </c>
      <c r="AF1422" s="3">
        <f>VALUE(SUBSTITUTE(MID($A1422,M1422+M$2+1,N1422-M1422-M$2-1),",","."))</f>
        <v>0</v>
      </c>
      <c r="AG1422" s="3">
        <f>VALUE(SUBSTITUTE(MID($A1422,N1422+N$2+1,O1422-N1422-N$2-1),",","."))</f>
        <v>4.2439304658662103</v>
      </c>
      <c r="AH1422" t="str">
        <f>MID($A1422,O1422+O$2+1,P1422-O1422-O$2-1)</f>
        <v/>
      </c>
      <c r="AI1422" s="8" t="str">
        <f>MID($A1422,P1422+P$2+1,Q1422-P1422-P$2-1)</f>
        <v>False</v>
      </c>
      <c r="AK1422" t="b">
        <f t="shared" si="192"/>
        <v>0</v>
      </c>
    </row>
    <row r="1423" spans="1:37" x14ac:dyDescent="0.35">
      <c r="A1423" t="s">
        <v>5970</v>
      </c>
      <c r="B1423">
        <f t="shared" si="190"/>
        <v>10</v>
      </c>
      <c r="C1423">
        <f t="shared" si="189"/>
        <v>43</v>
      </c>
      <c r="D1423">
        <f t="shared" si="189"/>
        <v>54</v>
      </c>
      <c r="E1423">
        <f t="shared" si="189"/>
        <v>97</v>
      </c>
      <c r="F1423">
        <f t="shared" si="189"/>
        <v>141</v>
      </c>
      <c r="G1423">
        <f t="shared" si="189"/>
        <v>179</v>
      </c>
      <c r="H1423">
        <f t="shared" si="189"/>
        <v>211</v>
      </c>
      <c r="I1423">
        <f t="shared" si="189"/>
        <v>233</v>
      </c>
      <c r="J1423">
        <f t="shared" si="189"/>
        <v>266</v>
      </c>
      <c r="K1423">
        <f t="shared" si="189"/>
        <v>283</v>
      </c>
      <c r="L1423">
        <f t="shared" si="189"/>
        <v>298</v>
      </c>
      <c r="M1423">
        <f t="shared" si="189"/>
        <v>313</v>
      </c>
      <c r="N1423">
        <f t="shared" si="189"/>
        <v>325</v>
      </c>
      <c r="O1423">
        <f t="shared" si="189"/>
        <v>351</v>
      </c>
      <c r="P1423">
        <f t="shared" si="189"/>
        <v>369</v>
      </c>
      <c r="Q1423">
        <f t="shared" si="189"/>
        <v>395</v>
      </c>
      <c r="S1423" t="str">
        <f t="shared" si="187"/>
        <v>11.12.2025</v>
      </c>
      <c r="T1423" t="str">
        <f t="shared" si="188"/>
        <v>14:15:00</v>
      </c>
      <c r="U1423" t="str">
        <f t="shared" si="191"/>
        <v>11.12.2025 14:15:00</v>
      </c>
      <c r="V1423" s="9" t="str">
        <f>MID($A1423,C1423+C$2+1,D1423-C1423-C$2-1)</f>
        <v>0</v>
      </c>
      <c r="W1423" s="4">
        <f>VALUE(SUBSTITUTE(MID($A1423,D1423+D$2+1,E1423-D1423-D$2-1),",","."))</f>
        <v>0.55434738896943903</v>
      </c>
      <c r="X1423" s="4">
        <f>VALUE(SUBSTITUTE(MID($A1423,E1423+E$2+1,F1423-E1423-E$2-1),",","."))</f>
        <v>0.90957602214449496</v>
      </c>
      <c r="Y1423" s="4">
        <f>VALUE(SUBSTITUTE(MID($A1423,F1423+F$2+1,G1423-F1423-F$2-1),",","."))</f>
        <v>0.24742208932177201</v>
      </c>
      <c r="Z1423" s="3">
        <f>VALUE(SUBSTITUTE(MID($A1423,G1423+G$2+1,H1423-G1423-G$2-1),",","."))</f>
        <v>0</v>
      </c>
      <c r="AA1423" s="3">
        <f>VALUE(SUBSTITUTE(MID($A1423,H1423+H$2+1,I1423-H1423-H$2-1),",","."))</f>
        <v>0</v>
      </c>
      <c r="AB1423" s="3">
        <f>VALUE(SUBSTITUTE(MID($A1423,I1423+I$2+1,J1423-I1423-I$2-1),",","."))</f>
        <v>0</v>
      </c>
      <c r="AC1423" s="3">
        <f>VALUE(SUBSTITUTE(MID($A1423,J1423+J$2+1,K1423-J1423-J$2-1),",","."))</f>
        <v>0</v>
      </c>
      <c r="AD1423" s="3">
        <f>VALUE(SUBSTITUTE(MID($A1423,K1423+K$2+1,L1423-K1423-K$2-1),",","."))</f>
        <v>0</v>
      </c>
      <c r="AE1423" s="3">
        <f>VALUE(SUBSTITUTE(MID($A1423,L1423+L$2+1,M1423-L1423-L$2-1),",","."))</f>
        <v>0</v>
      </c>
      <c r="AF1423" s="3">
        <f>VALUE(SUBSTITUTE(MID($A1423,M1423+M$2+1,N1423-M1423-M$2-1),",","."))</f>
        <v>0</v>
      </c>
      <c r="AG1423" s="3">
        <f>VALUE(SUBSTITUTE(MID($A1423,N1423+N$2+1,O1423-N1423-N$2-1),",","."))</f>
        <v>4.2439589857542899</v>
      </c>
      <c r="AH1423" t="str">
        <f>MID($A1423,O1423+O$2+1,P1423-O1423-O$2-1)</f>
        <v/>
      </c>
      <c r="AI1423" s="8" t="str">
        <f>MID($A1423,P1423+P$2+1,Q1423-P1423-P$2-1)</f>
        <v>False</v>
      </c>
      <c r="AK1423" t="b">
        <f t="shared" si="192"/>
        <v>0</v>
      </c>
    </row>
    <row r="1424" spans="1:37" x14ac:dyDescent="0.35">
      <c r="A1424" t="s">
        <v>5971</v>
      </c>
      <c r="B1424">
        <f t="shared" si="190"/>
        <v>10</v>
      </c>
      <c r="C1424">
        <f t="shared" si="189"/>
        <v>43</v>
      </c>
      <c r="D1424">
        <f t="shared" si="189"/>
        <v>54</v>
      </c>
      <c r="E1424">
        <f t="shared" si="189"/>
        <v>97</v>
      </c>
      <c r="F1424">
        <f t="shared" si="189"/>
        <v>141</v>
      </c>
      <c r="G1424">
        <f t="shared" si="189"/>
        <v>180</v>
      </c>
      <c r="H1424">
        <f t="shared" si="189"/>
        <v>212</v>
      </c>
      <c r="I1424">
        <f t="shared" si="189"/>
        <v>234</v>
      </c>
      <c r="J1424">
        <f t="shared" si="189"/>
        <v>267</v>
      </c>
      <c r="K1424">
        <f t="shared" si="189"/>
        <v>284</v>
      </c>
      <c r="L1424">
        <f t="shared" si="189"/>
        <v>299</v>
      </c>
      <c r="M1424">
        <f t="shared" si="189"/>
        <v>314</v>
      </c>
      <c r="N1424">
        <f t="shared" si="189"/>
        <v>326</v>
      </c>
      <c r="O1424">
        <f t="shared" si="189"/>
        <v>351</v>
      </c>
      <c r="P1424">
        <f t="shared" si="189"/>
        <v>369</v>
      </c>
      <c r="Q1424">
        <f t="shared" si="189"/>
        <v>395</v>
      </c>
      <c r="S1424" t="str">
        <f t="shared" si="187"/>
        <v>11.12.2025</v>
      </c>
      <c r="T1424" t="str">
        <f t="shared" si="188"/>
        <v>14:30:00</v>
      </c>
      <c r="U1424" t="str">
        <f t="shared" si="191"/>
        <v>11.12.2025 14:30:00</v>
      </c>
      <c r="V1424" s="9" t="str">
        <f>MID($A1424,C1424+C$2+1,D1424-C1424-C$2-1)</f>
        <v>0</v>
      </c>
      <c r="W1424" s="4">
        <f>VALUE(SUBSTITUTE(MID($A1424,D1424+D$2+1,E1424-D1424-D$2-1),",","."))</f>
        <v>0.51283712067574805</v>
      </c>
      <c r="X1424" s="4">
        <f>VALUE(SUBSTITUTE(MID($A1424,E1424+E$2+1,F1424-E1424-E$2-1),",","."))</f>
        <v>0.90957602214449496</v>
      </c>
      <c r="Y1424" s="4">
        <f>VALUE(SUBSTITUTE(MID($A1424,F1424+F$2+1,G1424-F1424-F$2-1),",","."))</f>
        <v>0.225336593082265</v>
      </c>
      <c r="Z1424" s="3">
        <f>VALUE(SUBSTITUTE(MID($A1424,G1424+G$2+1,H1424-G1424-G$2-1),",","."))</f>
        <v>0</v>
      </c>
      <c r="AA1424" s="3">
        <f>VALUE(SUBSTITUTE(MID($A1424,H1424+H$2+1,I1424-H1424-H$2-1),",","."))</f>
        <v>0</v>
      </c>
      <c r="AB1424" s="3">
        <f>VALUE(SUBSTITUTE(MID($A1424,I1424+I$2+1,J1424-I1424-I$2-1),",","."))</f>
        <v>0</v>
      </c>
      <c r="AC1424" s="3">
        <f>VALUE(SUBSTITUTE(MID($A1424,J1424+J$2+1,K1424-J1424-J$2-1),",","."))</f>
        <v>0</v>
      </c>
      <c r="AD1424" s="3">
        <f>VALUE(SUBSTITUTE(MID($A1424,K1424+K$2+1,L1424-K1424-K$2-1),",","."))</f>
        <v>0</v>
      </c>
      <c r="AE1424" s="3">
        <f>VALUE(SUBSTITUTE(MID($A1424,L1424+L$2+1,M1424-L1424-L$2-1),",","."))</f>
        <v>0</v>
      </c>
      <c r="AF1424" s="3">
        <f>VALUE(SUBSTITUTE(MID($A1424,M1424+M$2+1,N1424-M1424-M$2-1),",","."))</f>
        <v>0</v>
      </c>
      <c r="AG1424" s="3">
        <f>VALUE(SUBSTITUTE(MID($A1424,N1424+N$2+1,O1424-N1424-N$2-1),",","."))</f>
        <v>4.2439875056423704</v>
      </c>
      <c r="AH1424" t="str">
        <f>MID($A1424,O1424+O$2+1,P1424-O1424-O$2-1)</f>
        <v/>
      </c>
      <c r="AI1424" s="8" t="str">
        <f>MID($A1424,P1424+P$2+1,Q1424-P1424-P$2-1)</f>
        <v>False</v>
      </c>
      <c r="AK1424" t="b">
        <f t="shared" si="192"/>
        <v>0</v>
      </c>
    </row>
    <row r="1425" spans="1:37" x14ac:dyDescent="0.35">
      <c r="A1425" t="s">
        <v>5972</v>
      </c>
      <c r="B1425">
        <f t="shared" si="190"/>
        <v>10</v>
      </c>
      <c r="C1425">
        <f t="shared" si="190"/>
        <v>43</v>
      </c>
      <c r="D1425">
        <f t="shared" si="190"/>
        <v>54</v>
      </c>
      <c r="E1425">
        <f t="shared" si="190"/>
        <v>98</v>
      </c>
      <c r="F1425">
        <f t="shared" si="190"/>
        <v>142</v>
      </c>
      <c r="G1425">
        <f t="shared" si="190"/>
        <v>181</v>
      </c>
      <c r="H1425">
        <f t="shared" si="190"/>
        <v>213</v>
      </c>
      <c r="I1425">
        <f t="shared" si="190"/>
        <v>235</v>
      </c>
      <c r="J1425">
        <f t="shared" si="190"/>
        <v>268</v>
      </c>
      <c r="K1425">
        <f t="shared" si="190"/>
        <v>285</v>
      </c>
      <c r="L1425">
        <f t="shared" si="190"/>
        <v>300</v>
      </c>
      <c r="M1425">
        <f t="shared" si="190"/>
        <v>315</v>
      </c>
      <c r="N1425">
        <f t="shared" si="190"/>
        <v>327</v>
      </c>
      <c r="O1425">
        <f t="shared" si="190"/>
        <v>352</v>
      </c>
      <c r="P1425">
        <f t="shared" si="190"/>
        <v>370</v>
      </c>
      <c r="Q1425">
        <f t="shared" si="190"/>
        <v>396</v>
      </c>
      <c r="S1425" t="str">
        <f t="shared" si="187"/>
        <v>11.12.2025</v>
      </c>
      <c r="T1425" t="str">
        <f t="shared" si="188"/>
        <v>14:45:00</v>
      </c>
      <c r="U1425" t="str">
        <f t="shared" si="191"/>
        <v>11.12.2025 14:45:00</v>
      </c>
      <c r="V1425" s="9" t="str">
        <f>MID($A1425,C1425+C$2+1,D1425-C1425-C$2-1)</f>
        <v>0</v>
      </c>
      <c r="W1425" s="4">
        <f>VALUE(SUBSTITUTE(MID($A1425,D1425+D$2+1,E1425-D1425-D$2-1),",","."))</f>
        <v>0.46876328071241102</v>
      </c>
      <c r="X1425" s="4">
        <f>VALUE(SUBSTITUTE(MID($A1425,E1425+E$2+1,F1425-E1425-E$2-1),",","."))</f>
        <v>0.90957602214449496</v>
      </c>
      <c r="Y1425" s="4">
        <f>VALUE(SUBSTITUTE(MID($A1425,F1425+F$2+1,G1425-F1425-F$2-1),",","."))</f>
        <v>0.20109615657453001</v>
      </c>
      <c r="Z1425" s="3">
        <f>VALUE(SUBSTITUTE(MID($A1425,G1425+G$2+1,H1425-G1425-G$2-1),",","."))</f>
        <v>0</v>
      </c>
      <c r="AA1425" s="3">
        <f>VALUE(SUBSTITUTE(MID($A1425,H1425+H$2+1,I1425-H1425-H$2-1),",","."))</f>
        <v>0</v>
      </c>
      <c r="AB1425" s="3">
        <f>VALUE(SUBSTITUTE(MID($A1425,I1425+I$2+1,J1425-I1425-I$2-1),",","."))</f>
        <v>0</v>
      </c>
      <c r="AC1425" s="3">
        <f>VALUE(SUBSTITUTE(MID($A1425,J1425+J$2+1,K1425-J1425-J$2-1),",","."))</f>
        <v>0</v>
      </c>
      <c r="AD1425" s="3">
        <f>VALUE(SUBSTITUTE(MID($A1425,K1425+K$2+1,L1425-K1425-K$2-1),",","."))</f>
        <v>0</v>
      </c>
      <c r="AE1425" s="3">
        <f>VALUE(SUBSTITUTE(MID($A1425,L1425+L$2+1,M1425-L1425-L$2-1),",","."))</f>
        <v>0</v>
      </c>
      <c r="AF1425" s="3">
        <f>VALUE(SUBSTITUTE(MID($A1425,M1425+M$2+1,N1425-M1425-M$2-1),",","."))</f>
        <v>0</v>
      </c>
      <c r="AG1425" s="3">
        <f>VALUE(SUBSTITUTE(MID($A1425,N1425+N$2+1,O1425-N1425-N$2-1),",","."))</f>
        <v>4.24401602553045</v>
      </c>
      <c r="AH1425" t="str">
        <f>MID($A1425,O1425+O$2+1,P1425-O1425-O$2-1)</f>
        <v/>
      </c>
      <c r="AI1425" s="8" t="str">
        <f>MID($A1425,P1425+P$2+1,Q1425-P1425-P$2-1)</f>
        <v>False</v>
      </c>
      <c r="AK1425" t="b">
        <f t="shared" si="192"/>
        <v>0</v>
      </c>
    </row>
    <row r="1426" spans="1:37" x14ac:dyDescent="0.35">
      <c r="A1426" t="s">
        <v>5973</v>
      </c>
      <c r="B1426">
        <f t="shared" si="190"/>
        <v>10</v>
      </c>
      <c r="C1426">
        <f t="shared" si="190"/>
        <v>43</v>
      </c>
      <c r="D1426">
        <f t="shared" si="190"/>
        <v>54</v>
      </c>
      <c r="E1426">
        <f t="shared" si="190"/>
        <v>96</v>
      </c>
      <c r="F1426">
        <f t="shared" si="190"/>
        <v>140</v>
      </c>
      <c r="G1426">
        <f t="shared" si="190"/>
        <v>179</v>
      </c>
      <c r="H1426">
        <f t="shared" si="190"/>
        <v>211</v>
      </c>
      <c r="I1426">
        <f t="shared" si="190"/>
        <v>233</v>
      </c>
      <c r="J1426">
        <f t="shared" si="190"/>
        <v>266</v>
      </c>
      <c r="K1426">
        <f t="shared" si="190"/>
        <v>283</v>
      </c>
      <c r="L1426">
        <f t="shared" si="190"/>
        <v>298</v>
      </c>
      <c r="M1426">
        <f t="shared" si="190"/>
        <v>313</v>
      </c>
      <c r="N1426">
        <f t="shared" si="190"/>
        <v>325</v>
      </c>
      <c r="O1426">
        <f t="shared" si="190"/>
        <v>350</v>
      </c>
      <c r="P1426">
        <f t="shared" si="190"/>
        <v>368</v>
      </c>
      <c r="Q1426">
        <f t="shared" si="190"/>
        <v>394</v>
      </c>
      <c r="S1426" t="str">
        <f t="shared" si="187"/>
        <v>11.12.2025</v>
      </c>
      <c r="T1426" t="str">
        <f t="shared" si="188"/>
        <v>15:00:00</v>
      </c>
      <c r="U1426" t="str">
        <f t="shared" si="191"/>
        <v>11.12.2025 15:00:00</v>
      </c>
      <c r="V1426" s="9" t="str">
        <f>MID($A1426,C1426+C$2+1,D1426-C1426-C$2-1)</f>
        <v>0</v>
      </c>
      <c r="W1426" s="4">
        <f>VALUE(SUBSTITUTE(MID($A1426,D1426+D$2+1,E1426-D1426-D$2-1),",","."))</f>
        <v>0.42232853467535703</v>
      </c>
      <c r="X1426" s="4">
        <f>VALUE(SUBSTITUTE(MID($A1426,E1426+E$2+1,F1426-E1426-E$2-1),",","."))</f>
        <v>0.90957602214449496</v>
      </c>
      <c r="Y1426" s="4">
        <f>VALUE(SUBSTITUTE(MID($A1426,F1426+F$2+1,G1426-F1426-F$2-1),",","."))</f>
        <v>0.17482155781908901</v>
      </c>
      <c r="Z1426" s="3">
        <f>VALUE(SUBSTITUTE(MID($A1426,G1426+G$2+1,H1426-G1426-G$2-1),",","."))</f>
        <v>0</v>
      </c>
      <c r="AA1426" s="3">
        <f>VALUE(SUBSTITUTE(MID($A1426,H1426+H$2+1,I1426-H1426-H$2-1),",","."))</f>
        <v>0</v>
      </c>
      <c r="AB1426" s="3">
        <f>VALUE(SUBSTITUTE(MID($A1426,I1426+I$2+1,J1426-I1426-I$2-1),",","."))</f>
        <v>0</v>
      </c>
      <c r="AC1426" s="3">
        <f>VALUE(SUBSTITUTE(MID($A1426,J1426+J$2+1,K1426-J1426-J$2-1),",","."))</f>
        <v>0</v>
      </c>
      <c r="AD1426" s="3">
        <f>VALUE(SUBSTITUTE(MID($A1426,K1426+K$2+1,L1426-K1426-K$2-1),",","."))</f>
        <v>0</v>
      </c>
      <c r="AE1426" s="3">
        <f>VALUE(SUBSTITUTE(MID($A1426,L1426+L$2+1,M1426-L1426-L$2-1),",","."))</f>
        <v>0</v>
      </c>
      <c r="AF1426" s="3">
        <f>VALUE(SUBSTITUTE(MID($A1426,M1426+M$2+1,N1426-M1426-M$2-1),",","."))</f>
        <v>0</v>
      </c>
      <c r="AG1426" s="3">
        <f>VALUE(SUBSTITUTE(MID($A1426,N1426+N$2+1,O1426-N1426-N$2-1),",","."))</f>
        <v>4.2440445454185296</v>
      </c>
      <c r="AH1426" t="str">
        <f>MID($A1426,O1426+O$2+1,P1426-O1426-O$2-1)</f>
        <v/>
      </c>
      <c r="AI1426" s="8" t="str">
        <f>MID($A1426,P1426+P$2+1,Q1426-P1426-P$2-1)</f>
        <v>False</v>
      </c>
      <c r="AK1426" t="b">
        <f t="shared" si="192"/>
        <v>0</v>
      </c>
    </row>
    <row r="1427" spans="1:37" x14ac:dyDescent="0.35">
      <c r="A1427" t="s">
        <v>5974</v>
      </c>
      <c r="B1427">
        <f t="shared" si="190"/>
        <v>10</v>
      </c>
      <c r="C1427">
        <f t="shared" si="190"/>
        <v>43</v>
      </c>
      <c r="D1427">
        <f t="shared" si="190"/>
        <v>54</v>
      </c>
      <c r="E1427">
        <f t="shared" si="190"/>
        <v>97</v>
      </c>
      <c r="F1427">
        <f t="shared" si="190"/>
        <v>141</v>
      </c>
      <c r="G1427">
        <f t="shared" si="190"/>
        <v>180</v>
      </c>
      <c r="H1427">
        <f t="shared" si="190"/>
        <v>212</v>
      </c>
      <c r="I1427">
        <f t="shared" si="190"/>
        <v>234</v>
      </c>
      <c r="J1427">
        <f t="shared" si="190"/>
        <v>267</v>
      </c>
      <c r="K1427">
        <f t="shared" si="190"/>
        <v>284</v>
      </c>
      <c r="L1427">
        <f t="shared" si="190"/>
        <v>299</v>
      </c>
      <c r="M1427">
        <f t="shared" si="190"/>
        <v>314</v>
      </c>
      <c r="N1427">
        <f t="shared" si="190"/>
        <v>326</v>
      </c>
      <c r="O1427">
        <f t="shared" si="190"/>
        <v>351</v>
      </c>
      <c r="P1427">
        <f t="shared" si="190"/>
        <v>369</v>
      </c>
      <c r="Q1427">
        <f t="shared" si="190"/>
        <v>395</v>
      </c>
      <c r="S1427" t="str">
        <f t="shared" si="187"/>
        <v>11.12.2025</v>
      </c>
      <c r="T1427" t="str">
        <f t="shared" si="188"/>
        <v>15:15:00</v>
      </c>
      <c r="U1427" t="str">
        <f t="shared" si="191"/>
        <v>11.12.2025 15:15:00</v>
      </c>
      <c r="V1427" s="9" t="str">
        <f>MID($A1427,C1427+C$2+1,D1427-C1427-C$2-1)</f>
        <v>0</v>
      </c>
      <c r="W1427" s="4">
        <f>VALUE(SUBSTITUTE(MID($A1427,D1427+D$2+1,E1427-D1427-D$2-1),",","."))</f>
        <v>0.37375604276346203</v>
      </c>
      <c r="X1427" s="4">
        <f>VALUE(SUBSTITUTE(MID($A1427,E1427+E$2+1,F1427-E1427-E$2-1),",","."))</f>
        <v>0.90957602214449496</v>
      </c>
      <c r="Y1427" s="4">
        <f>VALUE(SUBSTITUTE(MID($A1427,F1427+F$2+1,G1427-F1427-F$2-1),",","."))</f>
        <v>0.14665490150138</v>
      </c>
      <c r="Z1427" s="3">
        <f>VALUE(SUBSTITUTE(MID($A1427,G1427+G$2+1,H1427-G1427-G$2-1),",","."))</f>
        <v>0</v>
      </c>
      <c r="AA1427" s="3">
        <f>VALUE(SUBSTITUTE(MID($A1427,H1427+H$2+1,I1427-H1427-H$2-1),",","."))</f>
        <v>0</v>
      </c>
      <c r="AB1427" s="3">
        <f>VALUE(SUBSTITUTE(MID($A1427,I1427+I$2+1,J1427-I1427-I$2-1),",","."))</f>
        <v>0</v>
      </c>
      <c r="AC1427" s="3">
        <f>VALUE(SUBSTITUTE(MID($A1427,J1427+J$2+1,K1427-J1427-J$2-1),",","."))</f>
        <v>0</v>
      </c>
      <c r="AD1427" s="3">
        <f>VALUE(SUBSTITUTE(MID($A1427,K1427+K$2+1,L1427-K1427-K$2-1),",","."))</f>
        <v>0</v>
      </c>
      <c r="AE1427" s="3">
        <f>VALUE(SUBSTITUTE(MID($A1427,L1427+L$2+1,M1427-L1427-L$2-1),",","."))</f>
        <v>0</v>
      </c>
      <c r="AF1427" s="3">
        <f>VALUE(SUBSTITUTE(MID($A1427,M1427+M$2+1,N1427-M1427-M$2-1),",","."))</f>
        <v>0</v>
      </c>
      <c r="AG1427" s="3">
        <f>VALUE(SUBSTITUTE(MID($A1427,N1427+N$2+1,O1427-N1427-N$2-1),",","."))</f>
        <v>4.2440730653066101</v>
      </c>
      <c r="AH1427" t="str">
        <f>MID($A1427,O1427+O$2+1,P1427-O1427-O$2-1)</f>
        <v/>
      </c>
      <c r="AI1427" s="8" t="str">
        <f>MID($A1427,P1427+P$2+1,Q1427-P1427-P$2-1)</f>
        <v>False</v>
      </c>
      <c r="AK1427" t="b">
        <f t="shared" si="192"/>
        <v>0</v>
      </c>
    </row>
    <row r="1428" spans="1:37" x14ac:dyDescent="0.35">
      <c r="A1428" t="s">
        <v>5975</v>
      </c>
      <c r="B1428">
        <f t="shared" si="190"/>
        <v>10</v>
      </c>
      <c r="C1428">
        <f t="shared" si="190"/>
        <v>43</v>
      </c>
      <c r="D1428">
        <f t="shared" si="190"/>
        <v>54</v>
      </c>
      <c r="E1428">
        <f t="shared" si="190"/>
        <v>98</v>
      </c>
      <c r="F1428">
        <f t="shared" si="190"/>
        <v>142</v>
      </c>
      <c r="G1428">
        <f t="shared" si="190"/>
        <v>181</v>
      </c>
      <c r="H1428">
        <f t="shared" si="190"/>
        <v>213</v>
      </c>
      <c r="I1428">
        <f t="shared" si="190"/>
        <v>235</v>
      </c>
      <c r="J1428">
        <f t="shared" si="190"/>
        <v>268</v>
      </c>
      <c r="K1428">
        <f t="shared" si="190"/>
        <v>285</v>
      </c>
      <c r="L1428">
        <f t="shared" si="190"/>
        <v>300</v>
      </c>
      <c r="M1428">
        <f t="shared" si="190"/>
        <v>315</v>
      </c>
      <c r="N1428">
        <f t="shared" si="190"/>
        <v>327</v>
      </c>
      <c r="O1428">
        <f t="shared" si="190"/>
        <v>350</v>
      </c>
      <c r="P1428">
        <f t="shared" si="190"/>
        <v>368</v>
      </c>
      <c r="Q1428">
        <f t="shared" si="190"/>
        <v>394</v>
      </c>
      <c r="S1428" t="str">
        <f t="shared" si="187"/>
        <v>11.12.2025</v>
      </c>
      <c r="T1428" t="str">
        <f t="shared" si="188"/>
        <v>15:30:00</v>
      </c>
      <c r="U1428" t="str">
        <f t="shared" si="191"/>
        <v>11.12.2025 15:30:00</v>
      </c>
      <c r="V1428" s="9" t="str">
        <f>MID($A1428,C1428+C$2+1,D1428-C1428-C$2-1)</f>
        <v>0</v>
      </c>
      <c r="W1428" s="4">
        <f>VALUE(SUBSTITUTE(MID($A1428,D1428+D$2+1,E1428-D1428-D$2-1),",","."))</f>
        <v>0.32329988597263198</v>
      </c>
      <c r="X1428" s="4">
        <f>VALUE(SUBSTITUTE(MID($A1428,E1428+E$2+1,F1428-E1428-E$2-1),",","."))</f>
        <v>0.90957602214449496</v>
      </c>
      <c r="Y1428" s="4">
        <f>VALUE(SUBSTITUTE(MID($A1428,F1428+F$2+1,G1428-F1428-F$2-1),",","."))</f>
        <v>0.116772827088302</v>
      </c>
      <c r="Z1428" s="3">
        <f>VALUE(SUBSTITUTE(MID($A1428,G1428+G$2+1,H1428-G1428-G$2-1),",","."))</f>
        <v>0</v>
      </c>
      <c r="AA1428" s="3">
        <f>VALUE(SUBSTITUTE(MID($A1428,H1428+H$2+1,I1428-H1428-H$2-1),",","."))</f>
        <v>0</v>
      </c>
      <c r="AB1428" s="3">
        <f>VALUE(SUBSTITUTE(MID($A1428,I1428+I$2+1,J1428-I1428-I$2-1),",","."))</f>
        <v>0</v>
      </c>
      <c r="AC1428" s="3">
        <f>VALUE(SUBSTITUTE(MID($A1428,J1428+J$2+1,K1428-J1428-J$2-1),",","."))</f>
        <v>0</v>
      </c>
      <c r="AD1428" s="3">
        <f>VALUE(SUBSTITUTE(MID($A1428,K1428+K$2+1,L1428-K1428-K$2-1),",","."))</f>
        <v>0</v>
      </c>
      <c r="AE1428" s="3">
        <f>VALUE(SUBSTITUTE(MID($A1428,L1428+L$2+1,M1428-L1428-L$2-1),",","."))</f>
        <v>0</v>
      </c>
      <c r="AF1428" s="3">
        <f>VALUE(SUBSTITUTE(MID($A1428,M1428+M$2+1,N1428-M1428-M$2-1),",","."))</f>
        <v>0</v>
      </c>
      <c r="AG1428" s="3">
        <f>VALUE(SUBSTITUTE(MID($A1428,N1428+N$2+1,O1428-N1428-N$2-1),",","."))</f>
        <v>4.2441015851947004</v>
      </c>
      <c r="AH1428" t="str">
        <f>MID($A1428,O1428+O$2+1,P1428-O1428-O$2-1)</f>
        <v/>
      </c>
      <c r="AI1428" s="8" t="str">
        <f>MID($A1428,P1428+P$2+1,Q1428-P1428-P$2-1)</f>
        <v>False</v>
      </c>
      <c r="AK1428" t="b">
        <f t="shared" si="192"/>
        <v>0</v>
      </c>
    </row>
    <row r="1429" spans="1:37" x14ac:dyDescent="0.35">
      <c r="A1429" t="s">
        <v>5976</v>
      </c>
      <c r="B1429">
        <f t="shared" si="190"/>
        <v>10</v>
      </c>
      <c r="C1429">
        <f t="shared" si="190"/>
        <v>43</v>
      </c>
      <c r="D1429">
        <f t="shared" si="190"/>
        <v>54</v>
      </c>
      <c r="E1429">
        <f t="shared" si="190"/>
        <v>80</v>
      </c>
      <c r="F1429">
        <f t="shared" si="190"/>
        <v>124</v>
      </c>
      <c r="G1429">
        <f t="shared" si="190"/>
        <v>163</v>
      </c>
      <c r="H1429">
        <f t="shared" si="190"/>
        <v>195</v>
      </c>
      <c r="I1429">
        <f t="shared" si="190"/>
        <v>217</v>
      </c>
      <c r="J1429">
        <f t="shared" si="190"/>
        <v>250</v>
      </c>
      <c r="K1429">
        <f t="shared" si="190"/>
        <v>267</v>
      </c>
      <c r="L1429">
        <f t="shared" si="190"/>
        <v>282</v>
      </c>
      <c r="M1429">
        <f t="shared" si="190"/>
        <v>297</v>
      </c>
      <c r="N1429">
        <f t="shared" si="190"/>
        <v>309</v>
      </c>
      <c r="O1429">
        <f t="shared" si="190"/>
        <v>334</v>
      </c>
      <c r="P1429">
        <f t="shared" si="190"/>
        <v>352</v>
      </c>
      <c r="Q1429">
        <f t="shared" si="190"/>
        <v>378</v>
      </c>
      <c r="S1429" t="str">
        <f t="shared" si="187"/>
        <v>11.12.2025</v>
      </c>
      <c r="T1429" t="str">
        <f t="shared" si="188"/>
        <v>15:45:00</v>
      </c>
      <c r="U1429" t="str">
        <f t="shared" si="191"/>
        <v>11.12.2025 15:45:00</v>
      </c>
      <c r="V1429" s="9" t="str">
        <f>MID($A1429,C1429+C$2+1,D1429-C1429-C$2-1)</f>
        <v>0</v>
      </c>
      <c r="W1429" s="4">
        <f>VALUE(SUBSTITUTE(MID($A1429,D1429+D$2+1,E1429-D1429-D$2-1),",","."))</f>
        <v>0</v>
      </c>
      <c r="X1429" s="4">
        <f>VALUE(SUBSTITUTE(MID($A1429,E1429+E$2+1,F1429-E1429-E$2-1),",","."))</f>
        <v>0.90957602214449496</v>
      </c>
      <c r="Y1429" s="4">
        <f>VALUE(SUBSTITUTE(MID($A1429,F1429+F$2+1,G1429-F1429-F$2-1),",","."))</f>
        <v>8.5421620555763897E-2</v>
      </c>
      <c r="Z1429" s="3">
        <f>VALUE(SUBSTITUTE(MID($A1429,G1429+G$2+1,H1429-G1429-G$2-1),",","."))</f>
        <v>0</v>
      </c>
      <c r="AA1429" s="3">
        <f>VALUE(SUBSTITUTE(MID($A1429,H1429+H$2+1,I1429-H1429-H$2-1),",","."))</f>
        <v>0</v>
      </c>
      <c r="AB1429" s="3">
        <f>VALUE(SUBSTITUTE(MID($A1429,I1429+I$2+1,J1429-I1429-I$2-1),",","."))</f>
        <v>0</v>
      </c>
      <c r="AC1429" s="3">
        <f>VALUE(SUBSTITUTE(MID($A1429,J1429+J$2+1,K1429-J1429-J$2-1),",","."))</f>
        <v>0</v>
      </c>
      <c r="AD1429" s="3">
        <f>VALUE(SUBSTITUTE(MID($A1429,K1429+K$2+1,L1429-K1429-K$2-1),",","."))</f>
        <v>0</v>
      </c>
      <c r="AE1429" s="3">
        <f>VALUE(SUBSTITUTE(MID($A1429,L1429+L$2+1,M1429-L1429-L$2-1),",","."))</f>
        <v>0</v>
      </c>
      <c r="AF1429" s="3">
        <f>VALUE(SUBSTITUTE(MID($A1429,M1429+M$2+1,N1429-M1429-M$2-1),",","."))</f>
        <v>0</v>
      </c>
      <c r="AG1429" s="3">
        <f>VALUE(SUBSTITUTE(MID($A1429,N1429+N$2+1,O1429-N1429-N$2-1),",","."))</f>
        <v>4.24413010508278</v>
      </c>
      <c r="AH1429" t="str">
        <f>MID($A1429,O1429+O$2+1,P1429-O1429-O$2-1)</f>
        <v/>
      </c>
      <c r="AI1429" s="8" t="str">
        <f>MID($A1429,P1429+P$2+1,Q1429-P1429-P$2-1)</f>
        <v>False</v>
      </c>
      <c r="AK1429" t="b">
        <f t="shared" si="192"/>
        <v>0</v>
      </c>
    </row>
    <row r="1430" spans="1:37" x14ac:dyDescent="0.35">
      <c r="A1430" t="s">
        <v>5977</v>
      </c>
      <c r="B1430">
        <f t="shared" si="190"/>
        <v>10</v>
      </c>
      <c r="C1430">
        <f t="shared" si="190"/>
        <v>43</v>
      </c>
      <c r="D1430">
        <f t="shared" si="190"/>
        <v>54</v>
      </c>
      <c r="E1430">
        <f t="shared" si="190"/>
        <v>80</v>
      </c>
      <c r="F1430">
        <f t="shared" si="190"/>
        <v>124</v>
      </c>
      <c r="G1430">
        <f t="shared" si="190"/>
        <v>163</v>
      </c>
      <c r="H1430">
        <f t="shared" si="190"/>
        <v>195</v>
      </c>
      <c r="I1430">
        <f t="shared" si="190"/>
        <v>217</v>
      </c>
      <c r="J1430">
        <f t="shared" si="190"/>
        <v>250</v>
      </c>
      <c r="K1430">
        <f t="shared" si="190"/>
        <v>267</v>
      </c>
      <c r="L1430">
        <f t="shared" si="190"/>
        <v>282</v>
      </c>
      <c r="M1430">
        <f t="shared" si="190"/>
        <v>297</v>
      </c>
      <c r="N1430">
        <f t="shared" si="190"/>
        <v>309</v>
      </c>
      <c r="O1430">
        <f t="shared" si="190"/>
        <v>334</v>
      </c>
      <c r="P1430">
        <f t="shared" si="190"/>
        <v>352</v>
      </c>
      <c r="Q1430">
        <f t="shared" si="190"/>
        <v>378</v>
      </c>
      <c r="S1430" t="str">
        <f t="shared" si="187"/>
        <v>11.12.2025</v>
      </c>
      <c r="T1430" t="str">
        <f t="shared" si="188"/>
        <v>16:00:00</v>
      </c>
      <c r="U1430" t="str">
        <f t="shared" si="191"/>
        <v>11.12.2025 16:00:00</v>
      </c>
      <c r="V1430" s="9" t="str">
        <f>MID($A1430,C1430+C$2+1,D1430-C1430-C$2-1)</f>
        <v>0</v>
      </c>
      <c r="W1430" s="4">
        <f>VALUE(SUBSTITUTE(MID($A1430,D1430+D$2+1,E1430-D1430-D$2-1),",","."))</f>
        <v>0</v>
      </c>
      <c r="X1430" s="4">
        <f>VALUE(SUBSTITUTE(MID($A1430,E1430+E$2+1,F1430-E1430-E$2-1),",","."))</f>
        <v>0.90957602214449496</v>
      </c>
      <c r="Y1430" s="4">
        <f>VALUE(SUBSTITUTE(MID($A1430,F1430+F$2+1,G1430-F1430-F$2-1),",","."))</f>
        <v>5.3024052102227201E-2</v>
      </c>
      <c r="Z1430" s="3">
        <f>VALUE(SUBSTITUTE(MID($A1430,G1430+G$2+1,H1430-G1430-G$2-1),",","."))</f>
        <v>0</v>
      </c>
      <c r="AA1430" s="3">
        <f>VALUE(SUBSTITUTE(MID($A1430,H1430+H$2+1,I1430-H1430-H$2-1),",","."))</f>
        <v>0</v>
      </c>
      <c r="AB1430" s="3">
        <f>VALUE(SUBSTITUTE(MID($A1430,I1430+I$2+1,J1430-I1430-I$2-1),",","."))</f>
        <v>0</v>
      </c>
      <c r="AC1430" s="3">
        <f>VALUE(SUBSTITUTE(MID($A1430,J1430+J$2+1,K1430-J1430-J$2-1),",","."))</f>
        <v>0</v>
      </c>
      <c r="AD1430" s="3">
        <f>VALUE(SUBSTITUTE(MID($A1430,K1430+K$2+1,L1430-K1430-K$2-1),",","."))</f>
        <v>0</v>
      </c>
      <c r="AE1430" s="3">
        <f>VALUE(SUBSTITUTE(MID($A1430,L1430+L$2+1,M1430-L1430-L$2-1),",","."))</f>
        <v>0</v>
      </c>
      <c r="AF1430" s="3">
        <f>VALUE(SUBSTITUTE(MID($A1430,M1430+M$2+1,N1430-M1430-M$2-1),",","."))</f>
        <v>0</v>
      </c>
      <c r="AG1430" s="3">
        <f>VALUE(SUBSTITUTE(MID($A1430,N1430+N$2+1,O1430-N1430-N$2-1),",","."))</f>
        <v>4.2441586249708596</v>
      </c>
      <c r="AH1430" t="str">
        <f>MID($A1430,O1430+O$2+1,P1430-O1430-O$2-1)</f>
        <v/>
      </c>
      <c r="AI1430" s="8" t="str">
        <f>MID($A1430,P1430+P$2+1,Q1430-P1430-P$2-1)</f>
        <v>False</v>
      </c>
      <c r="AK1430" t="b">
        <f t="shared" si="192"/>
        <v>0</v>
      </c>
    </row>
    <row r="1431" spans="1:37" x14ac:dyDescent="0.35">
      <c r="A1431" t="s">
        <v>5978</v>
      </c>
      <c r="B1431">
        <f t="shared" si="190"/>
        <v>10</v>
      </c>
      <c r="C1431">
        <f t="shared" si="190"/>
        <v>43</v>
      </c>
      <c r="D1431">
        <f t="shared" si="190"/>
        <v>54</v>
      </c>
      <c r="E1431">
        <f t="shared" si="190"/>
        <v>80</v>
      </c>
      <c r="F1431">
        <f t="shared" si="190"/>
        <v>124</v>
      </c>
      <c r="G1431">
        <f t="shared" si="190"/>
        <v>164</v>
      </c>
      <c r="H1431">
        <f t="shared" si="190"/>
        <v>196</v>
      </c>
      <c r="I1431">
        <f t="shared" si="190"/>
        <v>218</v>
      </c>
      <c r="J1431">
        <f t="shared" si="190"/>
        <v>251</v>
      </c>
      <c r="K1431">
        <f t="shared" si="190"/>
        <v>268</v>
      </c>
      <c r="L1431">
        <f t="shared" si="190"/>
        <v>283</v>
      </c>
      <c r="M1431">
        <f t="shared" si="190"/>
        <v>298</v>
      </c>
      <c r="N1431">
        <f t="shared" si="190"/>
        <v>310</v>
      </c>
      <c r="O1431">
        <f t="shared" si="190"/>
        <v>335</v>
      </c>
      <c r="P1431">
        <f t="shared" si="190"/>
        <v>353</v>
      </c>
      <c r="Q1431">
        <f t="shared" si="190"/>
        <v>379</v>
      </c>
      <c r="S1431" t="str">
        <f t="shared" si="187"/>
        <v>11.12.2025</v>
      </c>
      <c r="T1431" t="str">
        <f t="shared" si="188"/>
        <v>16:15:00</v>
      </c>
      <c r="U1431" t="str">
        <f t="shared" si="191"/>
        <v>11.12.2025 16:15:00</v>
      </c>
      <c r="V1431" s="9" t="str">
        <f>MID($A1431,C1431+C$2+1,D1431-C1431-C$2-1)</f>
        <v>0</v>
      </c>
      <c r="W1431" s="4">
        <f>VALUE(SUBSTITUTE(MID($A1431,D1431+D$2+1,E1431-D1431-D$2-1),",","."))</f>
        <v>0</v>
      </c>
      <c r="X1431" s="4">
        <f>VALUE(SUBSTITUTE(MID($A1431,E1431+E$2+1,F1431-E1431-E$2-1),",","."))</f>
        <v>0.90957602214449496</v>
      </c>
      <c r="Y1431" s="4">
        <f>VALUE(SUBSTITUTE(MID($A1431,F1431+F$2+1,G1431-F1431-F$2-1),",","."))</f>
        <v>2.0540403546821E-2</v>
      </c>
      <c r="Z1431" s="3">
        <f>VALUE(SUBSTITUTE(MID($A1431,G1431+G$2+1,H1431-G1431-G$2-1),",","."))</f>
        <v>0</v>
      </c>
      <c r="AA1431" s="3">
        <f>VALUE(SUBSTITUTE(MID($A1431,H1431+H$2+1,I1431-H1431-H$2-1),",","."))</f>
        <v>0</v>
      </c>
      <c r="AB1431" s="3">
        <f>VALUE(SUBSTITUTE(MID($A1431,I1431+I$2+1,J1431-I1431-I$2-1),",","."))</f>
        <v>0</v>
      </c>
      <c r="AC1431" s="3">
        <f>VALUE(SUBSTITUTE(MID($A1431,J1431+J$2+1,K1431-J1431-J$2-1),",","."))</f>
        <v>0</v>
      </c>
      <c r="AD1431" s="3">
        <f>VALUE(SUBSTITUTE(MID($A1431,K1431+K$2+1,L1431-K1431-K$2-1),",","."))</f>
        <v>0</v>
      </c>
      <c r="AE1431" s="3">
        <f>VALUE(SUBSTITUTE(MID($A1431,L1431+L$2+1,M1431-L1431-L$2-1),",","."))</f>
        <v>0</v>
      </c>
      <c r="AF1431" s="3">
        <f>VALUE(SUBSTITUTE(MID($A1431,M1431+M$2+1,N1431-M1431-M$2-1),",","."))</f>
        <v>0</v>
      </c>
      <c r="AG1431" s="3">
        <f>VALUE(SUBSTITUTE(MID($A1431,N1431+N$2+1,O1431-N1431-N$2-1),",","."))</f>
        <v>4.2441871448589401</v>
      </c>
      <c r="AH1431" t="str">
        <f>MID($A1431,O1431+O$2+1,P1431-O1431-O$2-1)</f>
        <v/>
      </c>
      <c r="AI1431" s="8" t="str">
        <f>MID($A1431,P1431+P$2+1,Q1431-P1431-P$2-1)</f>
        <v>False</v>
      </c>
      <c r="AK1431" t="b">
        <f t="shared" si="192"/>
        <v>0</v>
      </c>
    </row>
    <row r="1432" spans="1:37" x14ac:dyDescent="0.35">
      <c r="A1432" t="s">
        <v>5979</v>
      </c>
      <c r="B1432">
        <f t="shared" si="190"/>
        <v>10</v>
      </c>
      <c r="C1432">
        <f t="shared" si="190"/>
        <v>43</v>
      </c>
      <c r="D1432">
        <f t="shared" si="190"/>
        <v>54</v>
      </c>
      <c r="E1432">
        <f t="shared" si="190"/>
        <v>80</v>
      </c>
      <c r="F1432">
        <f t="shared" si="190"/>
        <v>124</v>
      </c>
      <c r="G1432">
        <f t="shared" si="190"/>
        <v>145</v>
      </c>
      <c r="H1432">
        <f t="shared" si="190"/>
        <v>177</v>
      </c>
      <c r="I1432">
        <f t="shared" si="190"/>
        <v>199</v>
      </c>
      <c r="J1432">
        <f t="shared" si="190"/>
        <v>232</v>
      </c>
      <c r="K1432">
        <f t="shared" si="190"/>
        <v>249</v>
      </c>
      <c r="L1432">
        <f t="shared" si="190"/>
        <v>264</v>
      </c>
      <c r="M1432">
        <f t="shared" si="190"/>
        <v>279</v>
      </c>
      <c r="N1432">
        <f t="shared" si="190"/>
        <v>291</v>
      </c>
      <c r="O1432">
        <f t="shared" si="190"/>
        <v>316</v>
      </c>
      <c r="P1432">
        <f t="shared" si="190"/>
        <v>334</v>
      </c>
      <c r="Q1432">
        <f t="shared" si="190"/>
        <v>360</v>
      </c>
      <c r="S1432" t="str">
        <f t="shared" si="187"/>
        <v>11.12.2025</v>
      </c>
      <c r="T1432" t="str">
        <f t="shared" si="188"/>
        <v>16:30:00</v>
      </c>
      <c r="U1432" t="str">
        <f t="shared" si="191"/>
        <v>11.12.2025 16:30:00</v>
      </c>
      <c r="V1432" s="9" t="str">
        <f>MID($A1432,C1432+C$2+1,D1432-C1432-C$2-1)</f>
        <v>0</v>
      </c>
      <c r="W1432" s="4">
        <f>VALUE(SUBSTITUTE(MID($A1432,D1432+D$2+1,E1432-D1432-D$2-1),",","."))</f>
        <v>0</v>
      </c>
      <c r="X1432" s="4">
        <f>VALUE(SUBSTITUTE(MID($A1432,E1432+E$2+1,F1432-E1432-E$2-1),",","."))</f>
        <v>0.90957602214449496</v>
      </c>
      <c r="Y1432" s="4">
        <f>VALUE(SUBSTITUTE(MID($A1432,F1432+F$2+1,G1432-F1432-F$2-1),",","."))</f>
        <v>0</v>
      </c>
      <c r="Z1432" s="3">
        <f>VALUE(SUBSTITUTE(MID($A1432,G1432+G$2+1,H1432-G1432-G$2-1),",","."))</f>
        <v>0</v>
      </c>
      <c r="AA1432" s="3">
        <f>VALUE(SUBSTITUTE(MID($A1432,H1432+H$2+1,I1432-H1432-H$2-1),",","."))</f>
        <v>0</v>
      </c>
      <c r="AB1432" s="3">
        <f>VALUE(SUBSTITUTE(MID($A1432,I1432+I$2+1,J1432-I1432-I$2-1),",","."))</f>
        <v>0</v>
      </c>
      <c r="AC1432" s="3">
        <f>VALUE(SUBSTITUTE(MID($A1432,J1432+J$2+1,K1432-J1432-J$2-1),",","."))</f>
        <v>0</v>
      </c>
      <c r="AD1432" s="3">
        <f>VALUE(SUBSTITUTE(MID($A1432,K1432+K$2+1,L1432-K1432-K$2-1),",","."))</f>
        <v>0</v>
      </c>
      <c r="AE1432" s="3">
        <f>VALUE(SUBSTITUTE(MID($A1432,L1432+L$2+1,M1432-L1432-L$2-1),",","."))</f>
        <v>0</v>
      </c>
      <c r="AF1432" s="3">
        <f>VALUE(SUBSTITUTE(MID($A1432,M1432+M$2+1,N1432-M1432-M$2-1),",","."))</f>
        <v>0</v>
      </c>
      <c r="AG1432" s="3">
        <f>VALUE(SUBSTITUTE(MID($A1432,N1432+N$2+1,O1432-N1432-N$2-1),",","."))</f>
        <v>4.2442156647470197</v>
      </c>
      <c r="AH1432" t="str">
        <f>MID($A1432,O1432+O$2+1,P1432-O1432-O$2-1)</f>
        <v/>
      </c>
      <c r="AI1432" s="8" t="str">
        <f>MID($A1432,P1432+P$2+1,Q1432-P1432-P$2-1)</f>
        <v>False</v>
      </c>
      <c r="AK1432" t="b">
        <f t="shared" si="192"/>
        <v>0</v>
      </c>
    </row>
    <row r="1433" spans="1:37" x14ac:dyDescent="0.35">
      <c r="A1433" t="s">
        <v>5980</v>
      </c>
      <c r="B1433">
        <f t="shared" si="190"/>
        <v>10</v>
      </c>
      <c r="C1433">
        <f t="shared" si="190"/>
        <v>43</v>
      </c>
      <c r="D1433">
        <f t="shared" si="190"/>
        <v>54</v>
      </c>
      <c r="E1433">
        <f t="shared" si="190"/>
        <v>80</v>
      </c>
      <c r="F1433">
        <f t="shared" si="190"/>
        <v>124</v>
      </c>
      <c r="G1433">
        <f t="shared" si="190"/>
        <v>145</v>
      </c>
      <c r="H1433">
        <f t="shared" si="190"/>
        <v>177</v>
      </c>
      <c r="I1433">
        <f t="shared" si="190"/>
        <v>199</v>
      </c>
      <c r="J1433">
        <f t="shared" si="190"/>
        <v>232</v>
      </c>
      <c r="K1433">
        <f t="shared" si="190"/>
        <v>249</v>
      </c>
      <c r="L1433">
        <f t="shared" si="190"/>
        <v>264</v>
      </c>
      <c r="M1433">
        <f t="shared" si="190"/>
        <v>279</v>
      </c>
      <c r="N1433">
        <f t="shared" si="190"/>
        <v>291</v>
      </c>
      <c r="O1433">
        <f t="shared" si="190"/>
        <v>316</v>
      </c>
      <c r="P1433">
        <f t="shared" si="190"/>
        <v>334</v>
      </c>
      <c r="Q1433">
        <f t="shared" si="190"/>
        <v>360</v>
      </c>
      <c r="S1433" t="str">
        <f t="shared" si="187"/>
        <v>11.12.2025</v>
      </c>
      <c r="T1433" t="str">
        <f t="shared" si="188"/>
        <v>16:45:00</v>
      </c>
      <c r="U1433" t="str">
        <f t="shared" si="191"/>
        <v>11.12.2025 16:45:00</v>
      </c>
      <c r="V1433" s="9" t="str">
        <f>MID($A1433,C1433+C$2+1,D1433-C1433-C$2-1)</f>
        <v>0</v>
      </c>
      <c r="W1433" s="4">
        <f>VALUE(SUBSTITUTE(MID($A1433,D1433+D$2+1,E1433-D1433-D$2-1),",","."))</f>
        <v>0</v>
      </c>
      <c r="X1433" s="4">
        <f>VALUE(SUBSTITUTE(MID($A1433,E1433+E$2+1,F1433-E1433-E$2-1),",","."))</f>
        <v>0.90957602214449496</v>
      </c>
      <c r="Y1433" s="4">
        <f>VALUE(SUBSTITUTE(MID($A1433,F1433+F$2+1,G1433-F1433-F$2-1),",","."))</f>
        <v>0</v>
      </c>
      <c r="Z1433" s="3">
        <f>VALUE(SUBSTITUTE(MID($A1433,G1433+G$2+1,H1433-G1433-G$2-1),",","."))</f>
        <v>0</v>
      </c>
      <c r="AA1433" s="3">
        <f>VALUE(SUBSTITUTE(MID($A1433,H1433+H$2+1,I1433-H1433-H$2-1),",","."))</f>
        <v>0</v>
      </c>
      <c r="AB1433" s="3">
        <f>VALUE(SUBSTITUTE(MID($A1433,I1433+I$2+1,J1433-I1433-I$2-1),",","."))</f>
        <v>0</v>
      </c>
      <c r="AC1433" s="3">
        <f>VALUE(SUBSTITUTE(MID($A1433,J1433+J$2+1,K1433-J1433-J$2-1),",","."))</f>
        <v>0</v>
      </c>
      <c r="AD1433" s="3">
        <f>VALUE(SUBSTITUTE(MID($A1433,K1433+K$2+1,L1433-K1433-K$2-1),",","."))</f>
        <v>0</v>
      </c>
      <c r="AE1433" s="3">
        <f>VALUE(SUBSTITUTE(MID($A1433,L1433+L$2+1,M1433-L1433-L$2-1),",","."))</f>
        <v>0</v>
      </c>
      <c r="AF1433" s="3">
        <f>VALUE(SUBSTITUTE(MID($A1433,M1433+M$2+1,N1433-M1433-M$2-1),",","."))</f>
        <v>0</v>
      </c>
      <c r="AG1433" s="3">
        <f>VALUE(SUBSTITUTE(MID($A1433,N1433+N$2+1,O1433-N1433-N$2-1),",","."))</f>
        <v>4.2442441846351002</v>
      </c>
      <c r="AH1433" t="str">
        <f>MID($A1433,O1433+O$2+1,P1433-O1433-O$2-1)</f>
        <v/>
      </c>
      <c r="AI1433" s="8" t="str">
        <f>MID($A1433,P1433+P$2+1,Q1433-P1433-P$2-1)</f>
        <v>False</v>
      </c>
      <c r="AK1433" t="b">
        <f t="shared" si="192"/>
        <v>0</v>
      </c>
    </row>
    <row r="1434" spans="1:37" x14ac:dyDescent="0.35">
      <c r="A1434" t="s">
        <v>5981</v>
      </c>
      <c r="B1434">
        <f t="shared" si="190"/>
        <v>10</v>
      </c>
      <c r="C1434">
        <f t="shared" si="190"/>
        <v>43</v>
      </c>
      <c r="D1434">
        <f t="shared" si="190"/>
        <v>54</v>
      </c>
      <c r="E1434">
        <f t="shared" si="190"/>
        <v>80</v>
      </c>
      <c r="F1434">
        <f t="shared" si="190"/>
        <v>124</v>
      </c>
      <c r="G1434">
        <f t="shared" si="190"/>
        <v>145</v>
      </c>
      <c r="H1434">
        <f t="shared" si="190"/>
        <v>177</v>
      </c>
      <c r="I1434">
        <f t="shared" si="190"/>
        <v>199</v>
      </c>
      <c r="J1434">
        <f t="shared" si="190"/>
        <v>232</v>
      </c>
      <c r="K1434">
        <f t="shared" si="190"/>
        <v>249</v>
      </c>
      <c r="L1434">
        <f t="shared" si="190"/>
        <v>264</v>
      </c>
      <c r="M1434">
        <f t="shared" si="190"/>
        <v>279</v>
      </c>
      <c r="N1434">
        <f t="shared" si="190"/>
        <v>291</v>
      </c>
      <c r="O1434">
        <f t="shared" si="190"/>
        <v>315</v>
      </c>
      <c r="P1434">
        <f t="shared" si="190"/>
        <v>333</v>
      </c>
      <c r="Q1434">
        <f t="shared" si="190"/>
        <v>359</v>
      </c>
      <c r="S1434" t="str">
        <f t="shared" si="187"/>
        <v>11.12.2025</v>
      </c>
      <c r="T1434" t="str">
        <f t="shared" si="188"/>
        <v>17:00:00</v>
      </c>
      <c r="U1434" t="str">
        <f t="shared" si="191"/>
        <v>11.12.2025 17:00:00</v>
      </c>
      <c r="V1434" s="9" t="str">
        <f>MID($A1434,C1434+C$2+1,D1434-C1434-C$2-1)</f>
        <v>0</v>
      </c>
      <c r="W1434" s="4">
        <f>VALUE(SUBSTITUTE(MID($A1434,D1434+D$2+1,E1434-D1434-D$2-1),",","."))</f>
        <v>0</v>
      </c>
      <c r="X1434" s="4">
        <f>VALUE(SUBSTITUTE(MID($A1434,E1434+E$2+1,F1434-E1434-E$2-1),",","."))</f>
        <v>0.90957602214449496</v>
      </c>
      <c r="Y1434" s="4">
        <f>VALUE(SUBSTITUTE(MID($A1434,F1434+F$2+1,G1434-F1434-F$2-1),",","."))</f>
        <v>0</v>
      </c>
      <c r="Z1434" s="3">
        <f>VALUE(SUBSTITUTE(MID($A1434,G1434+G$2+1,H1434-G1434-G$2-1),",","."))</f>
        <v>0</v>
      </c>
      <c r="AA1434" s="3">
        <f>VALUE(SUBSTITUTE(MID($A1434,H1434+H$2+1,I1434-H1434-H$2-1),",","."))</f>
        <v>0</v>
      </c>
      <c r="AB1434" s="3">
        <f>VALUE(SUBSTITUTE(MID($A1434,I1434+I$2+1,J1434-I1434-I$2-1),",","."))</f>
        <v>0</v>
      </c>
      <c r="AC1434" s="3">
        <f>VALUE(SUBSTITUTE(MID($A1434,J1434+J$2+1,K1434-J1434-J$2-1),",","."))</f>
        <v>0</v>
      </c>
      <c r="AD1434" s="3">
        <f>VALUE(SUBSTITUTE(MID($A1434,K1434+K$2+1,L1434-K1434-K$2-1),",","."))</f>
        <v>0</v>
      </c>
      <c r="AE1434" s="3">
        <f>VALUE(SUBSTITUTE(MID($A1434,L1434+L$2+1,M1434-L1434-L$2-1),",","."))</f>
        <v>0</v>
      </c>
      <c r="AF1434" s="3">
        <f>VALUE(SUBSTITUTE(MID($A1434,M1434+M$2+1,N1434-M1434-M$2-1),",","."))</f>
        <v>0</v>
      </c>
      <c r="AG1434" s="3">
        <f>VALUE(SUBSTITUTE(MID($A1434,N1434+N$2+1,O1434-N1434-N$2-1),",","."))</f>
        <v>4.2442727045231896</v>
      </c>
      <c r="AH1434" t="str">
        <f>MID($A1434,O1434+O$2+1,P1434-O1434-O$2-1)</f>
        <v/>
      </c>
      <c r="AI1434" s="8" t="str">
        <f>MID($A1434,P1434+P$2+1,Q1434-P1434-P$2-1)</f>
        <v>False</v>
      </c>
      <c r="AK1434" t="b">
        <f t="shared" si="192"/>
        <v>0</v>
      </c>
    </row>
    <row r="1435" spans="1:37" x14ac:dyDescent="0.35">
      <c r="A1435" t="s">
        <v>5982</v>
      </c>
      <c r="B1435">
        <f t="shared" si="190"/>
        <v>10</v>
      </c>
      <c r="C1435">
        <f t="shared" si="190"/>
        <v>43</v>
      </c>
      <c r="D1435">
        <f t="shared" si="190"/>
        <v>54</v>
      </c>
      <c r="E1435">
        <f t="shared" si="190"/>
        <v>80</v>
      </c>
      <c r="F1435">
        <f t="shared" si="190"/>
        <v>124</v>
      </c>
      <c r="G1435">
        <f t="shared" si="190"/>
        <v>145</v>
      </c>
      <c r="H1435">
        <f t="shared" si="190"/>
        <v>177</v>
      </c>
      <c r="I1435">
        <f t="shared" si="190"/>
        <v>199</v>
      </c>
      <c r="J1435">
        <f t="shared" si="190"/>
        <v>232</v>
      </c>
      <c r="K1435">
        <f t="shared" si="190"/>
        <v>249</v>
      </c>
      <c r="L1435">
        <f t="shared" si="190"/>
        <v>264</v>
      </c>
      <c r="M1435">
        <f t="shared" si="190"/>
        <v>279</v>
      </c>
      <c r="N1435">
        <f t="shared" si="190"/>
        <v>291</v>
      </c>
      <c r="O1435">
        <f t="shared" si="190"/>
        <v>316</v>
      </c>
      <c r="P1435">
        <f t="shared" si="190"/>
        <v>334</v>
      </c>
      <c r="Q1435">
        <f t="shared" si="190"/>
        <v>360</v>
      </c>
      <c r="S1435" t="str">
        <f t="shared" si="187"/>
        <v>11.12.2025</v>
      </c>
      <c r="T1435" t="str">
        <f t="shared" si="188"/>
        <v>17:15:00</v>
      </c>
      <c r="U1435" t="str">
        <f t="shared" si="191"/>
        <v>11.12.2025 17:15:00</v>
      </c>
      <c r="V1435" s="9" t="str">
        <f>MID($A1435,C1435+C$2+1,D1435-C1435-C$2-1)</f>
        <v>0</v>
      </c>
      <c r="W1435" s="4">
        <f>VALUE(SUBSTITUTE(MID($A1435,D1435+D$2+1,E1435-D1435-D$2-1),",","."))</f>
        <v>0</v>
      </c>
      <c r="X1435" s="4">
        <f>VALUE(SUBSTITUTE(MID($A1435,E1435+E$2+1,F1435-E1435-E$2-1),",","."))</f>
        <v>0.90957602214449496</v>
      </c>
      <c r="Y1435" s="4">
        <f>VALUE(SUBSTITUTE(MID($A1435,F1435+F$2+1,G1435-F1435-F$2-1),",","."))</f>
        <v>0</v>
      </c>
      <c r="Z1435" s="3">
        <f>VALUE(SUBSTITUTE(MID($A1435,G1435+G$2+1,H1435-G1435-G$2-1),",","."))</f>
        <v>0</v>
      </c>
      <c r="AA1435" s="3">
        <f>VALUE(SUBSTITUTE(MID($A1435,H1435+H$2+1,I1435-H1435-H$2-1),",","."))</f>
        <v>0</v>
      </c>
      <c r="AB1435" s="3">
        <f>VALUE(SUBSTITUTE(MID($A1435,I1435+I$2+1,J1435-I1435-I$2-1),",","."))</f>
        <v>0</v>
      </c>
      <c r="AC1435" s="3">
        <f>VALUE(SUBSTITUTE(MID($A1435,J1435+J$2+1,K1435-J1435-J$2-1),",","."))</f>
        <v>0</v>
      </c>
      <c r="AD1435" s="3">
        <f>VALUE(SUBSTITUTE(MID($A1435,K1435+K$2+1,L1435-K1435-K$2-1),",","."))</f>
        <v>0</v>
      </c>
      <c r="AE1435" s="3">
        <f>VALUE(SUBSTITUTE(MID($A1435,L1435+L$2+1,M1435-L1435-L$2-1),",","."))</f>
        <v>0</v>
      </c>
      <c r="AF1435" s="3">
        <f>VALUE(SUBSTITUTE(MID($A1435,M1435+M$2+1,N1435-M1435-M$2-1),",","."))</f>
        <v>0</v>
      </c>
      <c r="AG1435" s="3">
        <f>VALUE(SUBSTITUTE(MID($A1435,N1435+N$2+1,O1435-N1435-N$2-1),",","."))</f>
        <v>4.2443012244112701</v>
      </c>
      <c r="AH1435" t="str">
        <f>MID($A1435,O1435+O$2+1,P1435-O1435-O$2-1)</f>
        <v/>
      </c>
      <c r="AI1435" s="8" t="str">
        <f>MID($A1435,P1435+P$2+1,Q1435-P1435-P$2-1)</f>
        <v>False</v>
      </c>
      <c r="AK1435" t="b">
        <f t="shared" si="192"/>
        <v>0</v>
      </c>
    </row>
    <row r="1436" spans="1:37" x14ac:dyDescent="0.35">
      <c r="A1436" t="s">
        <v>5983</v>
      </c>
      <c r="B1436">
        <f t="shared" si="190"/>
        <v>10</v>
      </c>
      <c r="C1436">
        <f t="shared" si="190"/>
        <v>43</v>
      </c>
      <c r="D1436">
        <f t="shared" si="190"/>
        <v>54</v>
      </c>
      <c r="E1436">
        <f t="shared" si="190"/>
        <v>80</v>
      </c>
      <c r="F1436">
        <f t="shared" si="190"/>
        <v>124</v>
      </c>
      <c r="G1436">
        <f t="shared" si="190"/>
        <v>145</v>
      </c>
      <c r="H1436">
        <f t="shared" si="190"/>
        <v>177</v>
      </c>
      <c r="I1436">
        <f t="shared" si="190"/>
        <v>199</v>
      </c>
      <c r="J1436">
        <f t="shared" si="190"/>
        <v>232</v>
      </c>
      <c r="K1436">
        <f t="shared" si="190"/>
        <v>249</v>
      </c>
      <c r="L1436">
        <f t="shared" si="190"/>
        <v>264</v>
      </c>
      <c r="M1436">
        <f t="shared" si="190"/>
        <v>279</v>
      </c>
      <c r="N1436">
        <f t="shared" si="190"/>
        <v>291</v>
      </c>
      <c r="O1436">
        <f t="shared" si="190"/>
        <v>316</v>
      </c>
      <c r="P1436">
        <f t="shared" si="190"/>
        <v>334</v>
      </c>
      <c r="Q1436">
        <f t="shared" si="190"/>
        <v>360</v>
      </c>
      <c r="S1436" t="str">
        <f t="shared" si="187"/>
        <v>11.12.2025</v>
      </c>
      <c r="T1436" t="str">
        <f t="shared" si="188"/>
        <v>17:30:00</v>
      </c>
      <c r="U1436" t="str">
        <f t="shared" si="191"/>
        <v>11.12.2025 17:30:00</v>
      </c>
      <c r="V1436" s="9" t="str">
        <f>MID($A1436,C1436+C$2+1,D1436-C1436-C$2-1)</f>
        <v>0</v>
      </c>
      <c r="W1436" s="4">
        <f>VALUE(SUBSTITUTE(MID($A1436,D1436+D$2+1,E1436-D1436-D$2-1),",","."))</f>
        <v>0</v>
      </c>
      <c r="X1436" s="4">
        <f>VALUE(SUBSTITUTE(MID($A1436,E1436+E$2+1,F1436-E1436-E$2-1),",","."))</f>
        <v>0.90957602214449496</v>
      </c>
      <c r="Y1436" s="4">
        <f>VALUE(SUBSTITUTE(MID($A1436,F1436+F$2+1,G1436-F1436-F$2-1),",","."))</f>
        <v>0</v>
      </c>
      <c r="Z1436" s="3">
        <f>VALUE(SUBSTITUTE(MID($A1436,G1436+G$2+1,H1436-G1436-G$2-1),",","."))</f>
        <v>0</v>
      </c>
      <c r="AA1436" s="3">
        <f>VALUE(SUBSTITUTE(MID($A1436,H1436+H$2+1,I1436-H1436-H$2-1),",","."))</f>
        <v>0</v>
      </c>
      <c r="AB1436" s="3">
        <f>VALUE(SUBSTITUTE(MID($A1436,I1436+I$2+1,J1436-I1436-I$2-1),",","."))</f>
        <v>0</v>
      </c>
      <c r="AC1436" s="3">
        <f>VALUE(SUBSTITUTE(MID($A1436,J1436+J$2+1,K1436-J1436-J$2-1),",","."))</f>
        <v>0</v>
      </c>
      <c r="AD1436" s="3">
        <f>VALUE(SUBSTITUTE(MID($A1436,K1436+K$2+1,L1436-K1436-K$2-1),",","."))</f>
        <v>0</v>
      </c>
      <c r="AE1436" s="3">
        <f>VALUE(SUBSTITUTE(MID($A1436,L1436+L$2+1,M1436-L1436-L$2-1),",","."))</f>
        <v>0</v>
      </c>
      <c r="AF1436" s="3">
        <f>VALUE(SUBSTITUTE(MID($A1436,M1436+M$2+1,N1436-M1436-M$2-1),",","."))</f>
        <v>0</v>
      </c>
      <c r="AG1436" s="3">
        <f>VALUE(SUBSTITUTE(MID($A1436,N1436+N$2+1,O1436-N1436-N$2-1),",","."))</f>
        <v>4.2443297442993497</v>
      </c>
      <c r="AH1436" t="str">
        <f>MID($A1436,O1436+O$2+1,P1436-O1436-O$2-1)</f>
        <v/>
      </c>
      <c r="AI1436" s="8" t="str">
        <f>MID($A1436,P1436+P$2+1,Q1436-P1436-P$2-1)</f>
        <v>False</v>
      </c>
      <c r="AK1436" t="b">
        <f t="shared" si="192"/>
        <v>0</v>
      </c>
    </row>
    <row r="1437" spans="1:37" x14ac:dyDescent="0.35">
      <c r="A1437" t="s">
        <v>5984</v>
      </c>
      <c r="B1437">
        <f t="shared" si="190"/>
        <v>10</v>
      </c>
      <c r="C1437">
        <f t="shared" si="190"/>
        <v>43</v>
      </c>
      <c r="D1437">
        <f t="shared" si="190"/>
        <v>54</v>
      </c>
      <c r="E1437">
        <f t="shared" si="190"/>
        <v>80</v>
      </c>
      <c r="F1437">
        <f t="shared" si="190"/>
        <v>124</v>
      </c>
      <c r="G1437">
        <f t="shared" si="190"/>
        <v>145</v>
      </c>
      <c r="H1437">
        <f t="shared" si="190"/>
        <v>177</v>
      </c>
      <c r="I1437">
        <f t="shared" si="190"/>
        <v>199</v>
      </c>
      <c r="J1437">
        <f t="shared" si="190"/>
        <v>232</v>
      </c>
      <c r="K1437">
        <f t="shared" si="190"/>
        <v>249</v>
      </c>
      <c r="L1437">
        <f t="shared" si="190"/>
        <v>264</v>
      </c>
      <c r="M1437">
        <f t="shared" si="190"/>
        <v>279</v>
      </c>
      <c r="N1437">
        <f t="shared" si="190"/>
        <v>291</v>
      </c>
      <c r="O1437">
        <f t="shared" si="190"/>
        <v>316</v>
      </c>
      <c r="P1437">
        <f t="shared" si="190"/>
        <v>334</v>
      </c>
      <c r="Q1437">
        <f t="shared" si="190"/>
        <v>360</v>
      </c>
      <c r="S1437" t="str">
        <f t="shared" si="187"/>
        <v>11.12.2025</v>
      </c>
      <c r="T1437" t="str">
        <f t="shared" si="188"/>
        <v>17:45:00</v>
      </c>
      <c r="U1437" t="str">
        <f t="shared" si="191"/>
        <v>11.12.2025 17:45:00</v>
      </c>
      <c r="V1437" s="9" t="str">
        <f>MID($A1437,C1437+C$2+1,D1437-C1437-C$2-1)</f>
        <v>0</v>
      </c>
      <c r="W1437" s="4">
        <f>VALUE(SUBSTITUTE(MID($A1437,D1437+D$2+1,E1437-D1437-D$2-1),",","."))</f>
        <v>0</v>
      </c>
      <c r="X1437" s="4">
        <f>VALUE(SUBSTITUTE(MID($A1437,E1437+E$2+1,F1437-E1437-E$2-1),",","."))</f>
        <v>0.90957602214449496</v>
      </c>
      <c r="Y1437" s="4">
        <f>VALUE(SUBSTITUTE(MID($A1437,F1437+F$2+1,G1437-F1437-F$2-1),",","."))</f>
        <v>0</v>
      </c>
      <c r="Z1437" s="3">
        <f>VALUE(SUBSTITUTE(MID($A1437,G1437+G$2+1,H1437-G1437-G$2-1),",","."))</f>
        <v>0</v>
      </c>
      <c r="AA1437" s="3">
        <f>VALUE(SUBSTITUTE(MID($A1437,H1437+H$2+1,I1437-H1437-H$2-1),",","."))</f>
        <v>0</v>
      </c>
      <c r="AB1437" s="3">
        <f>VALUE(SUBSTITUTE(MID($A1437,I1437+I$2+1,J1437-I1437-I$2-1),",","."))</f>
        <v>0</v>
      </c>
      <c r="AC1437" s="3">
        <f>VALUE(SUBSTITUTE(MID($A1437,J1437+J$2+1,K1437-J1437-J$2-1),",","."))</f>
        <v>0</v>
      </c>
      <c r="AD1437" s="3">
        <f>VALUE(SUBSTITUTE(MID($A1437,K1437+K$2+1,L1437-K1437-K$2-1),",","."))</f>
        <v>0</v>
      </c>
      <c r="AE1437" s="3">
        <f>VALUE(SUBSTITUTE(MID($A1437,L1437+L$2+1,M1437-L1437-L$2-1),",","."))</f>
        <v>0</v>
      </c>
      <c r="AF1437" s="3">
        <f>VALUE(SUBSTITUTE(MID($A1437,M1437+M$2+1,N1437-M1437-M$2-1),",","."))</f>
        <v>0</v>
      </c>
      <c r="AG1437" s="3">
        <f>VALUE(SUBSTITUTE(MID($A1437,N1437+N$2+1,O1437-N1437-N$2-1),",","."))</f>
        <v>4.2443582641874302</v>
      </c>
      <c r="AH1437" t="str">
        <f>MID($A1437,O1437+O$2+1,P1437-O1437-O$2-1)</f>
        <v/>
      </c>
      <c r="AI1437" s="8" t="str">
        <f>MID($A1437,P1437+P$2+1,Q1437-P1437-P$2-1)</f>
        <v>False</v>
      </c>
      <c r="AK1437" t="b">
        <f t="shared" si="192"/>
        <v>0</v>
      </c>
    </row>
    <row r="1438" spans="1:37" x14ac:dyDescent="0.35">
      <c r="A1438" t="s">
        <v>5985</v>
      </c>
      <c r="B1438">
        <f t="shared" si="190"/>
        <v>10</v>
      </c>
      <c r="C1438">
        <f t="shared" si="190"/>
        <v>43</v>
      </c>
      <c r="D1438">
        <f t="shared" si="190"/>
        <v>54</v>
      </c>
      <c r="E1438">
        <f t="shared" si="190"/>
        <v>80</v>
      </c>
      <c r="F1438">
        <f t="shared" si="190"/>
        <v>124</v>
      </c>
      <c r="G1438">
        <f t="shared" si="190"/>
        <v>145</v>
      </c>
      <c r="H1438">
        <f t="shared" si="190"/>
        <v>177</v>
      </c>
      <c r="I1438">
        <f t="shared" si="190"/>
        <v>199</v>
      </c>
      <c r="J1438">
        <f t="shared" si="190"/>
        <v>232</v>
      </c>
      <c r="K1438">
        <f t="shared" si="190"/>
        <v>249</v>
      </c>
      <c r="L1438">
        <f t="shared" si="190"/>
        <v>264</v>
      </c>
      <c r="M1438">
        <f t="shared" si="190"/>
        <v>279</v>
      </c>
      <c r="N1438">
        <f t="shared" si="190"/>
        <v>291</v>
      </c>
      <c r="O1438">
        <f t="shared" si="190"/>
        <v>316</v>
      </c>
      <c r="P1438">
        <f t="shared" si="190"/>
        <v>334</v>
      </c>
      <c r="Q1438">
        <f t="shared" si="190"/>
        <v>360</v>
      </c>
      <c r="S1438" t="str">
        <f t="shared" si="187"/>
        <v>11.12.2025</v>
      </c>
      <c r="T1438" t="str">
        <f t="shared" si="188"/>
        <v>18:00:00</v>
      </c>
      <c r="U1438" t="str">
        <f t="shared" si="191"/>
        <v>11.12.2025 18:00:00</v>
      </c>
      <c r="V1438" s="9" t="str">
        <f>MID($A1438,C1438+C$2+1,D1438-C1438-C$2-1)</f>
        <v>0</v>
      </c>
      <c r="W1438" s="4">
        <f>VALUE(SUBSTITUTE(MID($A1438,D1438+D$2+1,E1438-D1438-D$2-1),",","."))</f>
        <v>0</v>
      </c>
      <c r="X1438" s="4">
        <f>VALUE(SUBSTITUTE(MID($A1438,E1438+E$2+1,F1438-E1438-E$2-1),",","."))</f>
        <v>0.90957602214449496</v>
      </c>
      <c r="Y1438" s="4">
        <f>VALUE(SUBSTITUTE(MID($A1438,F1438+F$2+1,G1438-F1438-F$2-1),",","."))</f>
        <v>0</v>
      </c>
      <c r="Z1438" s="3">
        <f>VALUE(SUBSTITUTE(MID($A1438,G1438+G$2+1,H1438-G1438-G$2-1),",","."))</f>
        <v>0</v>
      </c>
      <c r="AA1438" s="3">
        <f>VALUE(SUBSTITUTE(MID($A1438,H1438+H$2+1,I1438-H1438-H$2-1),",","."))</f>
        <v>0</v>
      </c>
      <c r="AB1438" s="3">
        <f>VALUE(SUBSTITUTE(MID($A1438,I1438+I$2+1,J1438-I1438-I$2-1),",","."))</f>
        <v>0</v>
      </c>
      <c r="AC1438" s="3">
        <f>VALUE(SUBSTITUTE(MID($A1438,J1438+J$2+1,K1438-J1438-J$2-1),",","."))</f>
        <v>0</v>
      </c>
      <c r="AD1438" s="3">
        <f>VALUE(SUBSTITUTE(MID($A1438,K1438+K$2+1,L1438-K1438-K$2-1),",","."))</f>
        <v>0</v>
      </c>
      <c r="AE1438" s="3">
        <f>VALUE(SUBSTITUTE(MID($A1438,L1438+L$2+1,M1438-L1438-L$2-1),",","."))</f>
        <v>0</v>
      </c>
      <c r="AF1438" s="3">
        <f>VALUE(SUBSTITUTE(MID($A1438,M1438+M$2+1,N1438-M1438-M$2-1),",","."))</f>
        <v>0</v>
      </c>
      <c r="AG1438" s="3">
        <f>VALUE(SUBSTITUTE(MID($A1438,N1438+N$2+1,O1438-N1438-N$2-1),",","."))</f>
        <v>4.2443867840755098</v>
      </c>
      <c r="AH1438" t="str">
        <f>MID($A1438,O1438+O$2+1,P1438-O1438-O$2-1)</f>
        <v/>
      </c>
      <c r="AI1438" s="8" t="str">
        <f>MID($A1438,P1438+P$2+1,Q1438-P1438-P$2-1)</f>
        <v>False</v>
      </c>
      <c r="AK1438" t="b">
        <f t="shared" si="192"/>
        <v>0</v>
      </c>
    </row>
    <row r="1439" spans="1:37" x14ac:dyDescent="0.35">
      <c r="A1439" t="s">
        <v>5986</v>
      </c>
      <c r="B1439">
        <f t="shared" si="190"/>
        <v>10</v>
      </c>
      <c r="C1439">
        <f t="shared" si="190"/>
        <v>43</v>
      </c>
      <c r="D1439">
        <f t="shared" si="190"/>
        <v>54</v>
      </c>
      <c r="E1439">
        <f t="shared" si="190"/>
        <v>80</v>
      </c>
      <c r="F1439">
        <f t="shared" si="190"/>
        <v>124</v>
      </c>
      <c r="G1439">
        <f t="shared" si="190"/>
        <v>145</v>
      </c>
      <c r="H1439">
        <f t="shared" si="190"/>
        <v>177</v>
      </c>
      <c r="I1439">
        <f t="shared" si="190"/>
        <v>199</v>
      </c>
      <c r="J1439">
        <f t="shared" si="190"/>
        <v>232</v>
      </c>
      <c r="K1439">
        <f t="shared" si="190"/>
        <v>249</v>
      </c>
      <c r="L1439">
        <f t="shared" si="190"/>
        <v>264</v>
      </c>
      <c r="M1439">
        <f t="shared" si="190"/>
        <v>279</v>
      </c>
      <c r="N1439">
        <f t="shared" si="190"/>
        <v>291</v>
      </c>
      <c r="O1439">
        <f t="shared" si="190"/>
        <v>317</v>
      </c>
      <c r="P1439">
        <f t="shared" si="190"/>
        <v>335</v>
      </c>
      <c r="Q1439">
        <f t="shared" ref="Q1439:Q1502" si="193">FIND(Q$1,$A1439)</f>
        <v>361</v>
      </c>
      <c r="S1439" t="str">
        <f t="shared" si="187"/>
        <v>11.12.2025</v>
      </c>
      <c r="T1439" t="str">
        <f t="shared" si="188"/>
        <v>18:15:00</v>
      </c>
      <c r="U1439" t="str">
        <f t="shared" si="191"/>
        <v>11.12.2025 18:15:00</v>
      </c>
      <c r="V1439" s="9" t="str">
        <f>MID($A1439,C1439+C$2+1,D1439-C1439-C$2-1)</f>
        <v>0</v>
      </c>
      <c r="W1439" s="4">
        <f>VALUE(SUBSTITUTE(MID($A1439,D1439+D$2+1,E1439-D1439-D$2-1),",","."))</f>
        <v>0</v>
      </c>
      <c r="X1439" s="4">
        <f>VALUE(SUBSTITUTE(MID($A1439,E1439+E$2+1,F1439-E1439-E$2-1),",","."))</f>
        <v>0.90957602214449496</v>
      </c>
      <c r="Y1439" s="4">
        <f>VALUE(SUBSTITUTE(MID($A1439,F1439+F$2+1,G1439-F1439-F$2-1),",","."))</f>
        <v>0</v>
      </c>
      <c r="Z1439" s="3">
        <f>VALUE(SUBSTITUTE(MID($A1439,G1439+G$2+1,H1439-G1439-G$2-1),",","."))</f>
        <v>0</v>
      </c>
      <c r="AA1439" s="3">
        <f>VALUE(SUBSTITUTE(MID($A1439,H1439+H$2+1,I1439-H1439-H$2-1),",","."))</f>
        <v>0</v>
      </c>
      <c r="AB1439" s="3">
        <f>VALUE(SUBSTITUTE(MID($A1439,I1439+I$2+1,J1439-I1439-I$2-1),",","."))</f>
        <v>0</v>
      </c>
      <c r="AC1439" s="3">
        <f>VALUE(SUBSTITUTE(MID($A1439,J1439+J$2+1,K1439-J1439-J$2-1),",","."))</f>
        <v>0</v>
      </c>
      <c r="AD1439" s="3">
        <f>VALUE(SUBSTITUTE(MID($A1439,K1439+K$2+1,L1439-K1439-K$2-1),",","."))</f>
        <v>0</v>
      </c>
      <c r="AE1439" s="3">
        <f>VALUE(SUBSTITUTE(MID($A1439,L1439+L$2+1,M1439-L1439-L$2-1),",","."))</f>
        <v>0</v>
      </c>
      <c r="AF1439" s="3">
        <f>VALUE(SUBSTITUTE(MID($A1439,M1439+M$2+1,N1439-M1439-M$2-1),",","."))</f>
        <v>0</v>
      </c>
      <c r="AG1439" s="3">
        <f>VALUE(SUBSTITUTE(MID($A1439,N1439+N$2+1,O1439-N1439-N$2-1),",","."))</f>
        <v>4.2444153039635903</v>
      </c>
      <c r="AH1439" t="str">
        <f>MID($A1439,O1439+O$2+1,P1439-O1439-O$2-1)</f>
        <v/>
      </c>
      <c r="AI1439" s="8" t="str">
        <f>MID($A1439,P1439+P$2+1,Q1439-P1439-P$2-1)</f>
        <v>False</v>
      </c>
      <c r="AK1439" t="b">
        <f t="shared" si="192"/>
        <v>0</v>
      </c>
    </row>
    <row r="1440" spans="1:37" x14ac:dyDescent="0.35">
      <c r="A1440" t="s">
        <v>5987</v>
      </c>
      <c r="B1440">
        <f t="shared" ref="B1440:P1456" si="194">FIND(B$1,$A1440)</f>
        <v>10</v>
      </c>
      <c r="C1440">
        <f t="shared" si="194"/>
        <v>43</v>
      </c>
      <c r="D1440">
        <f t="shared" si="194"/>
        <v>54</v>
      </c>
      <c r="E1440">
        <f t="shared" si="194"/>
        <v>80</v>
      </c>
      <c r="F1440">
        <f t="shared" si="194"/>
        <v>124</v>
      </c>
      <c r="G1440">
        <f t="shared" si="194"/>
        <v>145</v>
      </c>
      <c r="H1440">
        <f t="shared" si="194"/>
        <v>177</v>
      </c>
      <c r="I1440">
        <f t="shared" si="194"/>
        <v>199</v>
      </c>
      <c r="J1440">
        <f t="shared" si="194"/>
        <v>232</v>
      </c>
      <c r="K1440">
        <f t="shared" si="194"/>
        <v>249</v>
      </c>
      <c r="L1440">
        <f t="shared" si="194"/>
        <v>264</v>
      </c>
      <c r="M1440">
        <f t="shared" si="194"/>
        <v>279</v>
      </c>
      <c r="N1440">
        <f t="shared" si="194"/>
        <v>291</v>
      </c>
      <c r="O1440">
        <f t="shared" si="194"/>
        <v>315</v>
      </c>
      <c r="P1440">
        <f t="shared" si="194"/>
        <v>333</v>
      </c>
      <c r="Q1440">
        <f t="shared" si="193"/>
        <v>359</v>
      </c>
      <c r="S1440" t="str">
        <f t="shared" si="187"/>
        <v>11.12.2025</v>
      </c>
      <c r="T1440" t="str">
        <f t="shared" si="188"/>
        <v>18:30:00</v>
      </c>
      <c r="U1440" t="str">
        <f t="shared" si="191"/>
        <v>11.12.2025 18:30:00</v>
      </c>
      <c r="V1440" s="9" t="str">
        <f>MID($A1440,C1440+C$2+1,D1440-C1440-C$2-1)</f>
        <v>0</v>
      </c>
      <c r="W1440" s="4">
        <f>VALUE(SUBSTITUTE(MID($A1440,D1440+D$2+1,E1440-D1440-D$2-1),",","."))</f>
        <v>0</v>
      </c>
      <c r="X1440" s="4">
        <f>VALUE(SUBSTITUTE(MID($A1440,E1440+E$2+1,F1440-E1440-E$2-1),",","."))</f>
        <v>0.90957602214449496</v>
      </c>
      <c r="Y1440" s="4">
        <f>VALUE(SUBSTITUTE(MID($A1440,F1440+F$2+1,G1440-F1440-F$2-1),",","."))</f>
        <v>0</v>
      </c>
      <c r="Z1440" s="3">
        <f>VALUE(SUBSTITUTE(MID($A1440,G1440+G$2+1,H1440-G1440-G$2-1),",","."))</f>
        <v>0</v>
      </c>
      <c r="AA1440" s="3">
        <f>VALUE(SUBSTITUTE(MID($A1440,H1440+H$2+1,I1440-H1440-H$2-1),",","."))</f>
        <v>0</v>
      </c>
      <c r="AB1440" s="3">
        <f>VALUE(SUBSTITUTE(MID($A1440,I1440+I$2+1,J1440-I1440-I$2-1),",","."))</f>
        <v>0</v>
      </c>
      <c r="AC1440" s="3">
        <f>VALUE(SUBSTITUTE(MID($A1440,J1440+J$2+1,K1440-J1440-J$2-1),",","."))</f>
        <v>0</v>
      </c>
      <c r="AD1440" s="3">
        <f>VALUE(SUBSTITUTE(MID($A1440,K1440+K$2+1,L1440-K1440-K$2-1),",","."))</f>
        <v>0</v>
      </c>
      <c r="AE1440" s="3">
        <f>VALUE(SUBSTITUTE(MID($A1440,L1440+L$2+1,M1440-L1440-L$2-1),",","."))</f>
        <v>0</v>
      </c>
      <c r="AF1440" s="3">
        <f>VALUE(SUBSTITUTE(MID($A1440,M1440+M$2+1,N1440-M1440-M$2-1),",","."))</f>
        <v>0</v>
      </c>
      <c r="AG1440" s="3">
        <f>VALUE(SUBSTITUTE(MID($A1440,N1440+N$2+1,O1440-N1440-N$2-1),",","."))</f>
        <v>4.2444438238516797</v>
      </c>
      <c r="AH1440" t="str">
        <f>MID($A1440,O1440+O$2+1,P1440-O1440-O$2-1)</f>
        <v/>
      </c>
      <c r="AI1440" s="8" t="str">
        <f>MID($A1440,P1440+P$2+1,Q1440-P1440-P$2-1)</f>
        <v>False</v>
      </c>
      <c r="AK1440" t="b">
        <f t="shared" si="192"/>
        <v>0</v>
      </c>
    </row>
    <row r="1441" spans="1:37" x14ac:dyDescent="0.35">
      <c r="A1441" t="s">
        <v>5988</v>
      </c>
      <c r="B1441">
        <f t="shared" si="194"/>
        <v>10</v>
      </c>
      <c r="C1441">
        <f t="shared" si="194"/>
        <v>43</v>
      </c>
      <c r="D1441">
        <f t="shared" si="194"/>
        <v>54</v>
      </c>
      <c r="E1441">
        <f t="shared" si="194"/>
        <v>80</v>
      </c>
      <c r="F1441">
        <f t="shared" si="194"/>
        <v>124</v>
      </c>
      <c r="G1441">
        <f t="shared" si="194"/>
        <v>145</v>
      </c>
      <c r="H1441">
        <f t="shared" si="194"/>
        <v>177</v>
      </c>
      <c r="I1441">
        <f t="shared" si="194"/>
        <v>199</v>
      </c>
      <c r="J1441">
        <f t="shared" si="194"/>
        <v>232</v>
      </c>
      <c r="K1441">
        <f t="shared" si="194"/>
        <v>249</v>
      </c>
      <c r="L1441">
        <f t="shared" si="194"/>
        <v>264</v>
      </c>
      <c r="M1441">
        <f t="shared" si="194"/>
        <v>279</v>
      </c>
      <c r="N1441">
        <f t="shared" si="194"/>
        <v>291</v>
      </c>
      <c r="O1441">
        <f t="shared" si="194"/>
        <v>316</v>
      </c>
      <c r="P1441">
        <f t="shared" si="194"/>
        <v>334</v>
      </c>
      <c r="Q1441">
        <f t="shared" si="193"/>
        <v>360</v>
      </c>
      <c r="S1441" t="str">
        <f t="shared" si="187"/>
        <v>11.12.2025</v>
      </c>
      <c r="T1441" t="str">
        <f t="shared" si="188"/>
        <v>18:45:00</v>
      </c>
      <c r="U1441" t="str">
        <f t="shared" si="191"/>
        <v>11.12.2025 18:45:00</v>
      </c>
      <c r="V1441" s="9" t="str">
        <f>MID($A1441,C1441+C$2+1,D1441-C1441-C$2-1)</f>
        <v>0</v>
      </c>
      <c r="W1441" s="4">
        <f>VALUE(SUBSTITUTE(MID($A1441,D1441+D$2+1,E1441-D1441-D$2-1),",","."))</f>
        <v>0</v>
      </c>
      <c r="X1441" s="4">
        <f>VALUE(SUBSTITUTE(MID($A1441,E1441+E$2+1,F1441-E1441-E$2-1),",","."))</f>
        <v>0.90957602214449496</v>
      </c>
      <c r="Y1441" s="4">
        <f>VALUE(SUBSTITUTE(MID($A1441,F1441+F$2+1,G1441-F1441-F$2-1),",","."))</f>
        <v>0</v>
      </c>
      <c r="Z1441" s="3">
        <f>VALUE(SUBSTITUTE(MID($A1441,G1441+G$2+1,H1441-G1441-G$2-1),",","."))</f>
        <v>0</v>
      </c>
      <c r="AA1441" s="3">
        <f>VALUE(SUBSTITUTE(MID($A1441,H1441+H$2+1,I1441-H1441-H$2-1),",","."))</f>
        <v>0</v>
      </c>
      <c r="AB1441" s="3">
        <f>VALUE(SUBSTITUTE(MID($A1441,I1441+I$2+1,J1441-I1441-I$2-1),",","."))</f>
        <v>0</v>
      </c>
      <c r="AC1441" s="3">
        <f>VALUE(SUBSTITUTE(MID($A1441,J1441+J$2+1,K1441-J1441-J$2-1),",","."))</f>
        <v>0</v>
      </c>
      <c r="AD1441" s="3">
        <f>VALUE(SUBSTITUTE(MID($A1441,K1441+K$2+1,L1441-K1441-K$2-1),",","."))</f>
        <v>0</v>
      </c>
      <c r="AE1441" s="3">
        <f>VALUE(SUBSTITUTE(MID($A1441,L1441+L$2+1,M1441-L1441-L$2-1),",","."))</f>
        <v>0</v>
      </c>
      <c r="AF1441" s="3">
        <f>VALUE(SUBSTITUTE(MID($A1441,M1441+M$2+1,N1441-M1441-M$2-1),",","."))</f>
        <v>0</v>
      </c>
      <c r="AG1441" s="3">
        <f>VALUE(SUBSTITUTE(MID($A1441,N1441+N$2+1,O1441-N1441-N$2-1),",","."))</f>
        <v>4.2444723437397602</v>
      </c>
      <c r="AH1441" t="str">
        <f>MID($A1441,O1441+O$2+1,P1441-O1441-O$2-1)</f>
        <v/>
      </c>
      <c r="AI1441" s="8" t="str">
        <f>MID($A1441,P1441+P$2+1,Q1441-P1441-P$2-1)</f>
        <v>False</v>
      </c>
      <c r="AK1441" t="b">
        <f t="shared" si="192"/>
        <v>0</v>
      </c>
    </row>
    <row r="1442" spans="1:37" x14ac:dyDescent="0.35">
      <c r="A1442" t="s">
        <v>5989</v>
      </c>
      <c r="B1442">
        <f t="shared" si="194"/>
        <v>10</v>
      </c>
      <c r="C1442">
        <f t="shared" si="194"/>
        <v>43</v>
      </c>
      <c r="D1442">
        <f t="shared" si="194"/>
        <v>54</v>
      </c>
      <c r="E1442">
        <f t="shared" si="194"/>
        <v>80</v>
      </c>
      <c r="F1442">
        <f t="shared" si="194"/>
        <v>124</v>
      </c>
      <c r="G1442">
        <f t="shared" si="194"/>
        <v>145</v>
      </c>
      <c r="H1442">
        <f t="shared" si="194"/>
        <v>177</v>
      </c>
      <c r="I1442">
        <f t="shared" si="194"/>
        <v>199</v>
      </c>
      <c r="J1442">
        <f t="shared" si="194"/>
        <v>232</v>
      </c>
      <c r="K1442">
        <f t="shared" si="194"/>
        <v>249</v>
      </c>
      <c r="L1442">
        <f t="shared" si="194"/>
        <v>264</v>
      </c>
      <c r="M1442">
        <f t="shared" si="194"/>
        <v>279</v>
      </c>
      <c r="N1442">
        <f t="shared" si="194"/>
        <v>291</v>
      </c>
      <c r="O1442">
        <f t="shared" si="194"/>
        <v>317</v>
      </c>
      <c r="P1442">
        <f t="shared" si="194"/>
        <v>335</v>
      </c>
      <c r="Q1442">
        <f t="shared" si="193"/>
        <v>361</v>
      </c>
      <c r="S1442" t="str">
        <f t="shared" si="187"/>
        <v>11.12.2025</v>
      </c>
      <c r="T1442" t="str">
        <f t="shared" si="188"/>
        <v>19:00:00</v>
      </c>
      <c r="U1442" t="str">
        <f t="shared" si="191"/>
        <v>11.12.2025 19:00:00</v>
      </c>
      <c r="V1442" s="9" t="str">
        <f>MID($A1442,C1442+C$2+1,D1442-C1442-C$2-1)</f>
        <v>0</v>
      </c>
      <c r="W1442" s="4">
        <f>VALUE(SUBSTITUTE(MID($A1442,D1442+D$2+1,E1442-D1442-D$2-1),",","."))</f>
        <v>0</v>
      </c>
      <c r="X1442" s="4">
        <f>VALUE(SUBSTITUTE(MID($A1442,E1442+E$2+1,F1442-E1442-E$2-1),",","."))</f>
        <v>0.90957602214449496</v>
      </c>
      <c r="Y1442" s="4">
        <f>VALUE(SUBSTITUTE(MID($A1442,F1442+F$2+1,G1442-F1442-F$2-1),",","."))</f>
        <v>0</v>
      </c>
      <c r="Z1442" s="3">
        <f>VALUE(SUBSTITUTE(MID($A1442,G1442+G$2+1,H1442-G1442-G$2-1),",","."))</f>
        <v>0</v>
      </c>
      <c r="AA1442" s="3">
        <f>VALUE(SUBSTITUTE(MID($A1442,H1442+H$2+1,I1442-H1442-H$2-1),",","."))</f>
        <v>0</v>
      </c>
      <c r="AB1442" s="3">
        <f>VALUE(SUBSTITUTE(MID($A1442,I1442+I$2+1,J1442-I1442-I$2-1),",","."))</f>
        <v>0</v>
      </c>
      <c r="AC1442" s="3">
        <f>VALUE(SUBSTITUTE(MID($A1442,J1442+J$2+1,K1442-J1442-J$2-1),",","."))</f>
        <v>0</v>
      </c>
      <c r="AD1442" s="3">
        <f>VALUE(SUBSTITUTE(MID($A1442,K1442+K$2+1,L1442-K1442-K$2-1),",","."))</f>
        <v>0</v>
      </c>
      <c r="AE1442" s="3">
        <f>VALUE(SUBSTITUTE(MID($A1442,L1442+L$2+1,M1442-L1442-L$2-1),",","."))</f>
        <v>0</v>
      </c>
      <c r="AF1442" s="3">
        <f>VALUE(SUBSTITUTE(MID($A1442,M1442+M$2+1,N1442-M1442-M$2-1),",","."))</f>
        <v>0</v>
      </c>
      <c r="AG1442" s="3">
        <f>VALUE(SUBSTITUTE(MID($A1442,N1442+N$2+1,O1442-N1442-N$2-1),",","."))</f>
        <v>4.2445008636278398</v>
      </c>
      <c r="AH1442" t="str">
        <f>MID($A1442,O1442+O$2+1,P1442-O1442-O$2-1)</f>
        <v/>
      </c>
      <c r="AI1442" s="8" t="str">
        <f>MID($A1442,P1442+P$2+1,Q1442-P1442-P$2-1)</f>
        <v>False</v>
      </c>
      <c r="AK1442" t="b">
        <f t="shared" si="192"/>
        <v>0</v>
      </c>
    </row>
    <row r="1443" spans="1:37" x14ac:dyDescent="0.35">
      <c r="A1443" t="s">
        <v>5990</v>
      </c>
      <c r="B1443">
        <f t="shared" si="194"/>
        <v>10</v>
      </c>
      <c r="C1443">
        <f t="shared" si="194"/>
        <v>43</v>
      </c>
      <c r="D1443">
        <f t="shared" si="194"/>
        <v>54</v>
      </c>
      <c r="E1443">
        <f t="shared" si="194"/>
        <v>80</v>
      </c>
      <c r="F1443">
        <f t="shared" si="194"/>
        <v>124</v>
      </c>
      <c r="G1443">
        <f t="shared" si="194"/>
        <v>145</v>
      </c>
      <c r="H1443">
        <f t="shared" si="194"/>
        <v>177</v>
      </c>
      <c r="I1443">
        <f t="shared" si="194"/>
        <v>199</v>
      </c>
      <c r="J1443">
        <f t="shared" si="194"/>
        <v>232</v>
      </c>
      <c r="K1443">
        <f t="shared" si="194"/>
        <v>249</v>
      </c>
      <c r="L1443">
        <f t="shared" si="194"/>
        <v>264</v>
      </c>
      <c r="M1443">
        <f t="shared" si="194"/>
        <v>279</v>
      </c>
      <c r="N1443">
        <f t="shared" si="194"/>
        <v>291</v>
      </c>
      <c r="O1443">
        <f t="shared" si="194"/>
        <v>316</v>
      </c>
      <c r="P1443">
        <f t="shared" si="194"/>
        <v>334</v>
      </c>
      <c r="Q1443">
        <f t="shared" si="193"/>
        <v>360</v>
      </c>
      <c r="S1443" t="str">
        <f t="shared" si="187"/>
        <v>11.12.2025</v>
      </c>
      <c r="T1443" t="str">
        <f t="shared" si="188"/>
        <v>19:15:00</v>
      </c>
      <c r="U1443" t="str">
        <f t="shared" si="191"/>
        <v>11.12.2025 19:15:00</v>
      </c>
      <c r="V1443" s="9" t="str">
        <f>MID($A1443,C1443+C$2+1,D1443-C1443-C$2-1)</f>
        <v>0</v>
      </c>
      <c r="W1443" s="4">
        <f>VALUE(SUBSTITUTE(MID($A1443,D1443+D$2+1,E1443-D1443-D$2-1),",","."))</f>
        <v>0</v>
      </c>
      <c r="X1443" s="4">
        <f>VALUE(SUBSTITUTE(MID($A1443,E1443+E$2+1,F1443-E1443-E$2-1),",","."))</f>
        <v>0.90957602214449496</v>
      </c>
      <c r="Y1443" s="4">
        <f>VALUE(SUBSTITUTE(MID($A1443,F1443+F$2+1,G1443-F1443-F$2-1),",","."))</f>
        <v>0</v>
      </c>
      <c r="Z1443" s="3">
        <f>VALUE(SUBSTITUTE(MID($A1443,G1443+G$2+1,H1443-G1443-G$2-1),",","."))</f>
        <v>0</v>
      </c>
      <c r="AA1443" s="3">
        <f>VALUE(SUBSTITUTE(MID($A1443,H1443+H$2+1,I1443-H1443-H$2-1),",","."))</f>
        <v>0</v>
      </c>
      <c r="AB1443" s="3">
        <f>VALUE(SUBSTITUTE(MID($A1443,I1443+I$2+1,J1443-I1443-I$2-1),",","."))</f>
        <v>0</v>
      </c>
      <c r="AC1443" s="3">
        <f>VALUE(SUBSTITUTE(MID($A1443,J1443+J$2+1,K1443-J1443-J$2-1),",","."))</f>
        <v>0</v>
      </c>
      <c r="AD1443" s="3">
        <f>VALUE(SUBSTITUTE(MID($A1443,K1443+K$2+1,L1443-K1443-K$2-1),",","."))</f>
        <v>0</v>
      </c>
      <c r="AE1443" s="3">
        <f>VALUE(SUBSTITUTE(MID($A1443,L1443+L$2+1,M1443-L1443-L$2-1),",","."))</f>
        <v>0</v>
      </c>
      <c r="AF1443" s="3">
        <f>VALUE(SUBSTITUTE(MID($A1443,M1443+M$2+1,N1443-M1443-M$2-1),",","."))</f>
        <v>0</v>
      </c>
      <c r="AG1443" s="3">
        <f>VALUE(SUBSTITUTE(MID($A1443,N1443+N$2+1,O1443-N1443-N$2-1),",","."))</f>
        <v>4.2445293835159204</v>
      </c>
      <c r="AH1443" t="str">
        <f>MID($A1443,O1443+O$2+1,P1443-O1443-O$2-1)</f>
        <v/>
      </c>
      <c r="AI1443" s="8" t="str">
        <f>MID($A1443,P1443+P$2+1,Q1443-P1443-P$2-1)</f>
        <v>False</v>
      </c>
      <c r="AK1443" t="b">
        <f t="shared" si="192"/>
        <v>0</v>
      </c>
    </row>
    <row r="1444" spans="1:37" x14ac:dyDescent="0.35">
      <c r="A1444" t="s">
        <v>5991</v>
      </c>
      <c r="B1444">
        <f t="shared" si="194"/>
        <v>10</v>
      </c>
      <c r="C1444">
        <f t="shared" si="194"/>
        <v>43</v>
      </c>
      <c r="D1444">
        <f t="shared" si="194"/>
        <v>54</v>
      </c>
      <c r="E1444">
        <f t="shared" si="194"/>
        <v>80</v>
      </c>
      <c r="F1444">
        <f t="shared" si="194"/>
        <v>124</v>
      </c>
      <c r="G1444">
        <f t="shared" si="194"/>
        <v>145</v>
      </c>
      <c r="H1444">
        <f t="shared" si="194"/>
        <v>177</v>
      </c>
      <c r="I1444">
        <f t="shared" si="194"/>
        <v>199</v>
      </c>
      <c r="J1444">
        <f t="shared" si="194"/>
        <v>232</v>
      </c>
      <c r="K1444">
        <f t="shared" si="194"/>
        <v>249</v>
      </c>
      <c r="L1444">
        <f t="shared" si="194"/>
        <v>264</v>
      </c>
      <c r="M1444">
        <f t="shared" si="194"/>
        <v>279</v>
      </c>
      <c r="N1444">
        <f t="shared" si="194"/>
        <v>291</v>
      </c>
      <c r="O1444">
        <f t="shared" si="194"/>
        <v>316</v>
      </c>
      <c r="P1444">
        <f t="shared" si="194"/>
        <v>334</v>
      </c>
      <c r="Q1444">
        <f t="shared" si="193"/>
        <v>360</v>
      </c>
      <c r="S1444" t="str">
        <f t="shared" si="187"/>
        <v>11.12.2025</v>
      </c>
      <c r="T1444" t="str">
        <f t="shared" si="188"/>
        <v>19:30:00</v>
      </c>
      <c r="U1444" t="str">
        <f t="shared" si="191"/>
        <v>11.12.2025 19:30:00</v>
      </c>
      <c r="V1444" s="9" t="str">
        <f>MID($A1444,C1444+C$2+1,D1444-C1444-C$2-1)</f>
        <v>0</v>
      </c>
      <c r="W1444" s="4">
        <f>VALUE(SUBSTITUTE(MID($A1444,D1444+D$2+1,E1444-D1444-D$2-1),",","."))</f>
        <v>0</v>
      </c>
      <c r="X1444" s="4">
        <f>VALUE(SUBSTITUTE(MID($A1444,E1444+E$2+1,F1444-E1444-E$2-1),",","."))</f>
        <v>0.90957602214449496</v>
      </c>
      <c r="Y1444" s="4">
        <f>VALUE(SUBSTITUTE(MID($A1444,F1444+F$2+1,G1444-F1444-F$2-1),",","."))</f>
        <v>0</v>
      </c>
      <c r="Z1444" s="3">
        <f>VALUE(SUBSTITUTE(MID($A1444,G1444+G$2+1,H1444-G1444-G$2-1),",","."))</f>
        <v>0</v>
      </c>
      <c r="AA1444" s="3">
        <f>VALUE(SUBSTITUTE(MID($A1444,H1444+H$2+1,I1444-H1444-H$2-1),",","."))</f>
        <v>0</v>
      </c>
      <c r="AB1444" s="3">
        <f>VALUE(SUBSTITUTE(MID($A1444,I1444+I$2+1,J1444-I1444-I$2-1),",","."))</f>
        <v>0</v>
      </c>
      <c r="AC1444" s="3">
        <f>VALUE(SUBSTITUTE(MID($A1444,J1444+J$2+1,K1444-J1444-J$2-1),",","."))</f>
        <v>0</v>
      </c>
      <c r="AD1444" s="3">
        <f>VALUE(SUBSTITUTE(MID($A1444,K1444+K$2+1,L1444-K1444-K$2-1),",","."))</f>
        <v>0</v>
      </c>
      <c r="AE1444" s="3">
        <f>VALUE(SUBSTITUTE(MID($A1444,L1444+L$2+1,M1444-L1444-L$2-1),",","."))</f>
        <v>0</v>
      </c>
      <c r="AF1444" s="3">
        <f>VALUE(SUBSTITUTE(MID($A1444,M1444+M$2+1,N1444-M1444-M$2-1),",","."))</f>
        <v>0</v>
      </c>
      <c r="AG1444" s="3">
        <f>VALUE(SUBSTITUTE(MID($A1444,N1444+N$2+1,O1444-N1444-N$2-1),",","."))</f>
        <v>4.244557903404</v>
      </c>
      <c r="AH1444" t="str">
        <f>MID($A1444,O1444+O$2+1,P1444-O1444-O$2-1)</f>
        <v/>
      </c>
      <c r="AI1444" s="8" t="str">
        <f>MID($A1444,P1444+P$2+1,Q1444-P1444-P$2-1)</f>
        <v>False</v>
      </c>
      <c r="AK1444" t="b">
        <f t="shared" si="192"/>
        <v>0</v>
      </c>
    </row>
    <row r="1445" spans="1:37" x14ac:dyDescent="0.35">
      <c r="A1445" t="s">
        <v>5992</v>
      </c>
      <c r="B1445">
        <f t="shared" si="194"/>
        <v>10</v>
      </c>
      <c r="C1445">
        <f t="shared" si="194"/>
        <v>43</v>
      </c>
      <c r="D1445">
        <f t="shared" si="194"/>
        <v>54</v>
      </c>
      <c r="E1445">
        <f t="shared" si="194"/>
        <v>80</v>
      </c>
      <c r="F1445">
        <f t="shared" si="194"/>
        <v>124</v>
      </c>
      <c r="G1445">
        <f t="shared" si="194"/>
        <v>145</v>
      </c>
      <c r="H1445">
        <f t="shared" si="194"/>
        <v>177</v>
      </c>
      <c r="I1445">
        <f t="shared" si="194"/>
        <v>199</v>
      </c>
      <c r="J1445">
        <f t="shared" si="194"/>
        <v>232</v>
      </c>
      <c r="K1445">
        <f t="shared" si="194"/>
        <v>249</v>
      </c>
      <c r="L1445">
        <f t="shared" si="194"/>
        <v>264</v>
      </c>
      <c r="M1445">
        <f t="shared" si="194"/>
        <v>279</v>
      </c>
      <c r="N1445">
        <f t="shared" si="194"/>
        <v>291</v>
      </c>
      <c r="O1445">
        <f t="shared" si="194"/>
        <v>316</v>
      </c>
      <c r="P1445">
        <f t="shared" si="194"/>
        <v>334</v>
      </c>
      <c r="Q1445">
        <f t="shared" si="193"/>
        <v>360</v>
      </c>
      <c r="S1445" t="str">
        <f t="shared" si="187"/>
        <v>11.12.2025</v>
      </c>
      <c r="T1445" t="str">
        <f t="shared" si="188"/>
        <v>19:45:00</v>
      </c>
      <c r="U1445" t="str">
        <f t="shared" si="191"/>
        <v>11.12.2025 19:45:00</v>
      </c>
      <c r="V1445" s="9" t="str">
        <f>MID($A1445,C1445+C$2+1,D1445-C1445-C$2-1)</f>
        <v>0</v>
      </c>
      <c r="W1445" s="4">
        <f>VALUE(SUBSTITUTE(MID($A1445,D1445+D$2+1,E1445-D1445-D$2-1),",","."))</f>
        <v>0</v>
      </c>
      <c r="X1445" s="4">
        <f>VALUE(SUBSTITUTE(MID($A1445,E1445+E$2+1,F1445-E1445-E$2-1),",","."))</f>
        <v>0.90957602214449496</v>
      </c>
      <c r="Y1445" s="4">
        <f>VALUE(SUBSTITUTE(MID($A1445,F1445+F$2+1,G1445-F1445-F$2-1),",","."))</f>
        <v>0</v>
      </c>
      <c r="Z1445" s="3">
        <f>VALUE(SUBSTITUTE(MID($A1445,G1445+G$2+1,H1445-G1445-G$2-1),",","."))</f>
        <v>0</v>
      </c>
      <c r="AA1445" s="3">
        <f>VALUE(SUBSTITUTE(MID($A1445,H1445+H$2+1,I1445-H1445-H$2-1),",","."))</f>
        <v>0</v>
      </c>
      <c r="AB1445" s="3">
        <f>VALUE(SUBSTITUTE(MID($A1445,I1445+I$2+1,J1445-I1445-I$2-1),",","."))</f>
        <v>0</v>
      </c>
      <c r="AC1445" s="3">
        <f>VALUE(SUBSTITUTE(MID($A1445,J1445+J$2+1,K1445-J1445-J$2-1),",","."))</f>
        <v>0</v>
      </c>
      <c r="AD1445" s="3">
        <f>VALUE(SUBSTITUTE(MID($A1445,K1445+K$2+1,L1445-K1445-K$2-1),",","."))</f>
        <v>0</v>
      </c>
      <c r="AE1445" s="3">
        <f>VALUE(SUBSTITUTE(MID($A1445,L1445+L$2+1,M1445-L1445-L$2-1),",","."))</f>
        <v>0</v>
      </c>
      <c r="AF1445" s="3">
        <f>VALUE(SUBSTITUTE(MID($A1445,M1445+M$2+1,N1445-M1445-M$2-1),",","."))</f>
        <v>0</v>
      </c>
      <c r="AG1445" s="3">
        <f>VALUE(SUBSTITUTE(MID($A1445,N1445+N$2+1,O1445-N1445-N$2-1),",","."))</f>
        <v>4.2445864232920796</v>
      </c>
      <c r="AH1445" t="str">
        <f>MID($A1445,O1445+O$2+1,P1445-O1445-O$2-1)</f>
        <v/>
      </c>
      <c r="AI1445" s="8" t="str">
        <f>MID($A1445,P1445+P$2+1,Q1445-P1445-P$2-1)</f>
        <v>False</v>
      </c>
      <c r="AK1445" t="b">
        <f t="shared" si="192"/>
        <v>0</v>
      </c>
    </row>
    <row r="1446" spans="1:37" x14ac:dyDescent="0.35">
      <c r="A1446" t="s">
        <v>5993</v>
      </c>
      <c r="B1446">
        <f t="shared" si="194"/>
        <v>10</v>
      </c>
      <c r="C1446">
        <f t="shared" si="194"/>
        <v>43</v>
      </c>
      <c r="D1446">
        <f t="shared" si="194"/>
        <v>54</v>
      </c>
      <c r="E1446">
        <f t="shared" si="194"/>
        <v>80</v>
      </c>
      <c r="F1446">
        <f t="shared" si="194"/>
        <v>124</v>
      </c>
      <c r="G1446">
        <f t="shared" si="194"/>
        <v>145</v>
      </c>
      <c r="H1446">
        <f t="shared" si="194"/>
        <v>177</v>
      </c>
      <c r="I1446">
        <f t="shared" si="194"/>
        <v>199</v>
      </c>
      <c r="J1446">
        <f t="shared" si="194"/>
        <v>232</v>
      </c>
      <c r="K1446">
        <f t="shared" si="194"/>
        <v>249</v>
      </c>
      <c r="L1446">
        <f t="shared" si="194"/>
        <v>264</v>
      </c>
      <c r="M1446">
        <f t="shared" si="194"/>
        <v>279</v>
      </c>
      <c r="N1446">
        <f t="shared" si="194"/>
        <v>291</v>
      </c>
      <c r="O1446">
        <f t="shared" si="194"/>
        <v>316</v>
      </c>
      <c r="P1446">
        <f t="shared" si="194"/>
        <v>334</v>
      </c>
      <c r="Q1446">
        <f t="shared" si="193"/>
        <v>360</v>
      </c>
      <c r="S1446" t="str">
        <f t="shared" si="187"/>
        <v>11.12.2025</v>
      </c>
      <c r="T1446" t="str">
        <f t="shared" si="188"/>
        <v>20:00:00</v>
      </c>
      <c r="U1446" t="str">
        <f t="shared" si="191"/>
        <v>11.12.2025 20:00:00</v>
      </c>
      <c r="V1446" s="9" t="str">
        <f>MID($A1446,C1446+C$2+1,D1446-C1446-C$2-1)</f>
        <v>0</v>
      </c>
      <c r="W1446" s="4">
        <f>VALUE(SUBSTITUTE(MID($A1446,D1446+D$2+1,E1446-D1446-D$2-1),",","."))</f>
        <v>0</v>
      </c>
      <c r="X1446" s="4">
        <f>VALUE(SUBSTITUTE(MID($A1446,E1446+E$2+1,F1446-E1446-E$2-1),",","."))</f>
        <v>0.90957602214449496</v>
      </c>
      <c r="Y1446" s="4">
        <f>VALUE(SUBSTITUTE(MID($A1446,F1446+F$2+1,G1446-F1446-F$2-1),",","."))</f>
        <v>0</v>
      </c>
      <c r="Z1446" s="3">
        <f>VALUE(SUBSTITUTE(MID($A1446,G1446+G$2+1,H1446-G1446-G$2-1),",","."))</f>
        <v>0</v>
      </c>
      <c r="AA1446" s="3">
        <f>VALUE(SUBSTITUTE(MID($A1446,H1446+H$2+1,I1446-H1446-H$2-1),",","."))</f>
        <v>0</v>
      </c>
      <c r="AB1446" s="3">
        <f>VALUE(SUBSTITUTE(MID($A1446,I1446+I$2+1,J1446-I1446-I$2-1),",","."))</f>
        <v>0</v>
      </c>
      <c r="AC1446" s="3">
        <f>VALUE(SUBSTITUTE(MID($A1446,J1446+J$2+1,K1446-J1446-J$2-1),",","."))</f>
        <v>0</v>
      </c>
      <c r="AD1446" s="3">
        <f>VALUE(SUBSTITUTE(MID($A1446,K1446+K$2+1,L1446-K1446-K$2-1),",","."))</f>
        <v>0</v>
      </c>
      <c r="AE1446" s="3">
        <f>VALUE(SUBSTITUTE(MID($A1446,L1446+L$2+1,M1446-L1446-L$2-1),",","."))</f>
        <v>0</v>
      </c>
      <c r="AF1446" s="3">
        <f>VALUE(SUBSTITUTE(MID($A1446,M1446+M$2+1,N1446-M1446-M$2-1),",","."))</f>
        <v>0</v>
      </c>
      <c r="AG1446" s="3">
        <f>VALUE(SUBSTITUTE(MID($A1446,N1446+N$2+1,O1446-N1446-N$2-1),",","."))</f>
        <v>4.2446149431801601</v>
      </c>
      <c r="AH1446" t="str">
        <f>MID($A1446,O1446+O$2+1,P1446-O1446-O$2-1)</f>
        <v/>
      </c>
      <c r="AI1446" s="8" t="str">
        <f>MID($A1446,P1446+P$2+1,Q1446-P1446-P$2-1)</f>
        <v>False</v>
      </c>
      <c r="AK1446" t="b">
        <f t="shared" si="192"/>
        <v>0</v>
      </c>
    </row>
    <row r="1447" spans="1:37" x14ac:dyDescent="0.35">
      <c r="A1447" t="s">
        <v>5994</v>
      </c>
      <c r="B1447">
        <f t="shared" si="194"/>
        <v>10</v>
      </c>
      <c r="C1447">
        <f t="shared" si="194"/>
        <v>43</v>
      </c>
      <c r="D1447">
        <f t="shared" si="194"/>
        <v>54</v>
      </c>
      <c r="E1447">
        <f t="shared" si="194"/>
        <v>80</v>
      </c>
      <c r="F1447">
        <f t="shared" si="194"/>
        <v>124</v>
      </c>
      <c r="G1447">
        <f t="shared" si="194"/>
        <v>145</v>
      </c>
      <c r="H1447">
        <f t="shared" si="194"/>
        <v>177</v>
      </c>
      <c r="I1447">
        <f t="shared" si="194"/>
        <v>199</v>
      </c>
      <c r="J1447">
        <f t="shared" si="194"/>
        <v>232</v>
      </c>
      <c r="K1447">
        <f t="shared" si="194"/>
        <v>249</v>
      </c>
      <c r="L1447">
        <f t="shared" si="194"/>
        <v>264</v>
      </c>
      <c r="M1447">
        <f t="shared" si="194"/>
        <v>279</v>
      </c>
      <c r="N1447">
        <f t="shared" si="194"/>
        <v>291</v>
      </c>
      <c r="O1447">
        <f t="shared" si="194"/>
        <v>315</v>
      </c>
      <c r="P1447">
        <f t="shared" si="194"/>
        <v>333</v>
      </c>
      <c r="Q1447">
        <f t="shared" si="193"/>
        <v>359</v>
      </c>
      <c r="S1447" t="str">
        <f t="shared" si="187"/>
        <v>11.12.2025</v>
      </c>
      <c r="T1447" t="str">
        <f t="shared" si="188"/>
        <v>20:15:00</v>
      </c>
      <c r="U1447" t="str">
        <f t="shared" si="191"/>
        <v>11.12.2025 20:15:00</v>
      </c>
      <c r="V1447" s="9" t="str">
        <f>MID($A1447,C1447+C$2+1,D1447-C1447-C$2-1)</f>
        <v>0</v>
      </c>
      <c r="W1447" s="4">
        <f>VALUE(SUBSTITUTE(MID($A1447,D1447+D$2+1,E1447-D1447-D$2-1),",","."))</f>
        <v>0</v>
      </c>
      <c r="X1447" s="4">
        <f>VALUE(SUBSTITUTE(MID($A1447,E1447+E$2+1,F1447-E1447-E$2-1),",","."))</f>
        <v>0.90957602214449496</v>
      </c>
      <c r="Y1447" s="4">
        <f>VALUE(SUBSTITUTE(MID($A1447,F1447+F$2+1,G1447-F1447-F$2-1),",","."))</f>
        <v>0</v>
      </c>
      <c r="Z1447" s="3">
        <f>VALUE(SUBSTITUTE(MID($A1447,G1447+G$2+1,H1447-G1447-G$2-1),",","."))</f>
        <v>0</v>
      </c>
      <c r="AA1447" s="3">
        <f>VALUE(SUBSTITUTE(MID($A1447,H1447+H$2+1,I1447-H1447-H$2-1),",","."))</f>
        <v>0</v>
      </c>
      <c r="AB1447" s="3">
        <f>VALUE(SUBSTITUTE(MID($A1447,I1447+I$2+1,J1447-I1447-I$2-1),",","."))</f>
        <v>0</v>
      </c>
      <c r="AC1447" s="3">
        <f>VALUE(SUBSTITUTE(MID($A1447,J1447+J$2+1,K1447-J1447-J$2-1),",","."))</f>
        <v>0</v>
      </c>
      <c r="AD1447" s="3">
        <f>VALUE(SUBSTITUTE(MID($A1447,K1447+K$2+1,L1447-K1447-K$2-1),",","."))</f>
        <v>0</v>
      </c>
      <c r="AE1447" s="3">
        <f>VALUE(SUBSTITUTE(MID($A1447,L1447+L$2+1,M1447-L1447-L$2-1),",","."))</f>
        <v>0</v>
      </c>
      <c r="AF1447" s="3">
        <f>VALUE(SUBSTITUTE(MID($A1447,M1447+M$2+1,N1447-M1447-M$2-1),",","."))</f>
        <v>0</v>
      </c>
      <c r="AG1447" s="3">
        <f>VALUE(SUBSTITUTE(MID($A1447,N1447+N$2+1,O1447-N1447-N$2-1),",","."))</f>
        <v>4.2446434630682504</v>
      </c>
      <c r="AH1447" t="str">
        <f>MID($A1447,O1447+O$2+1,P1447-O1447-O$2-1)</f>
        <v/>
      </c>
      <c r="AI1447" s="8" t="str">
        <f>MID($A1447,P1447+P$2+1,Q1447-P1447-P$2-1)</f>
        <v>False</v>
      </c>
      <c r="AK1447" t="b">
        <f t="shared" si="192"/>
        <v>0</v>
      </c>
    </row>
    <row r="1448" spans="1:37" x14ac:dyDescent="0.35">
      <c r="A1448" t="s">
        <v>5995</v>
      </c>
      <c r="B1448">
        <f t="shared" si="194"/>
        <v>10</v>
      </c>
      <c r="C1448">
        <f t="shared" si="194"/>
        <v>43</v>
      </c>
      <c r="D1448">
        <f t="shared" si="194"/>
        <v>54</v>
      </c>
      <c r="E1448">
        <f t="shared" si="194"/>
        <v>80</v>
      </c>
      <c r="F1448">
        <f t="shared" si="194"/>
        <v>124</v>
      </c>
      <c r="G1448">
        <f t="shared" si="194"/>
        <v>145</v>
      </c>
      <c r="H1448">
        <f t="shared" si="194"/>
        <v>177</v>
      </c>
      <c r="I1448">
        <f t="shared" si="194"/>
        <v>199</v>
      </c>
      <c r="J1448">
        <f t="shared" si="194"/>
        <v>232</v>
      </c>
      <c r="K1448">
        <f t="shared" si="194"/>
        <v>249</v>
      </c>
      <c r="L1448">
        <f t="shared" si="194"/>
        <v>264</v>
      </c>
      <c r="M1448">
        <f t="shared" si="194"/>
        <v>279</v>
      </c>
      <c r="N1448">
        <f t="shared" si="194"/>
        <v>291</v>
      </c>
      <c r="O1448">
        <f t="shared" si="194"/>
        <v>316</v>
      </c>
      <c r="P1448">
        <f t="shared" si="194"/>
        <v>334</v>
      </c>
      <c r="Q1448">
        <f t="shared" si="193"/>
        <v>360</v>
      </c>
      <c r="S1448" t="str">
        <f t="shared" si="187"/>
        <v>11.12.2025</v>
      </c>
      <c r="T1448" t="str">
        <f t="shared" si="188"/>
        <v>20:30:00</v>
      </c>
      <c r="U1448" t="str">
        <f t="shared" si="191"/>
        <v>11.12.2025 20:30:00</v>
      </c>
      <c r="V1448" s="9" t="str">
        <f>MID($A1448,C1448+C$2+1,D1448-C1448-C$2-1)</f>
        <v>0</v>
      </c>
      <c r="W1448" s="4">
        <f>VALUE(SUBSTITUTE(MID($A1448,D1448+D$2+1,E1448-D1448-D$2-1),",","."))</f>
        <v>0</v>
      </c>
      <c r="X1448" s="4">
        <f>VALUE(SUBSTITUTE(MID($A1448,E1448+E$2+1,F1448-E1448-E$2-1),",","."))</f>
        <v>0.90957602214449496</v>
      </c>
      <c r="Y1448" s="4">
        <f>VALUE(SUBSTITUTE(MID($A1448,F1448+F$2+1,G1448-F1448-F$2-1),",","."))</f>
        <v>0</v>
      </c>
      <c r="Z1448" s="3">
        <f>VALUE(SUBSTITUTE(MID($A1448,G1448+G$2+1,H1448-G1448-G$2-1),",","."))</f>
        <v>0</v>
      </c>
      <c r="AA1448" s="3">
        <f>VALUE(SUBSTITUTE(MID($A1448,H1448+H$2+1,I1448-H1448-H$2-1),",","."))</f>
        <v>0</v>
      </c>
      <c r="AB1448" s="3">
        <f>VALUE(SUBSTITUTE(MID($A1448,I1448+I$2+1,J1448-I1448-I$2-1),",","."))</f>
        <v>0</v>
      </c>
      <c r="AC1448" s="3">
        <f>VALUE(SUBSTITUTE(MID($A1448,J1448+J$2+1,K1448-J1448-J$2-1),",","."))</f>
        <v>0</v>
      </c>
      <c r="AD1448" s="3">
        <f>VALUE(SUBSTITUTE(MID($A1448,K1448+K$2+1,L1448-K1448-K$2-1),",","."))</f>
        <v>0</v>
      </c>
      <c r="AE1448" s="3">
        <f>VALUE(SUBSTITUTE(MID($A1448,L1448+L$2+1,M1448-L1448-L$2-1),",","."))</f>
        <v>0</v>
      </c>
      <c r="AF1448" s="3">
        <f>VALUE(SUBSTITUTE(MID($A1448,M1448+M$2+1,N1448-M1448-M$2-1),",","."))</f>
        <v>0</v>
      </c>
      <c r="AG1448" s="3">
        <f>VALUE(SUBSTITUTE(MID($A1448,N1448+N$2+1,O1448-N1448-N$2-1),",","."))</f>
        <v>4.24467198295633</v>
      </c>
      <c r="AH1448" t="str">
        <f>MID($A1448,O1448+O$2+1,P1448-O1448-O$2-1)</f>
        <v/>
      </c>
      <c r="AI1448" s="8" t="str">
        <f>MID($A1448,P1448+P$2+1,Q1448-P1448-P$2-1)</f>
        <v>False</v>
      </c>
      <c r="AK1448" t="b">
        <f t="shared" si="192"/>
        <v>0</v>
      </c>
    </row>
    <row r="1449" spans="1:37" x14ac:dyDescent="0.35">
      <c r="A1449" t="s">
        <v>5996</v>
      </c>
      <c r="B1449">
        <f t="shared" si="194"/>
        <v>10</v>
      </c>
      <c r="C1449">
        <f t="shared" si="194"/>
        <v>43</v>
      </c>
      <c r="D1449">
        <f t="shared" si="194"/>
        <v>54</v>
      </c>
      <c r="E1449">
        <f t="shared" si="194"/>
        <v>80</v>
      </c>
      <c r="F1449">
        <f t="shared" si="194"/>
        <v>124</v>
      </c>
      <c r="G1449">
        <f t="shared" si="194"/>
        <v>145</v>
      </c>
      <c r="H1449">
        <f t="shared" si="194"/>
        <v>177</v>
      </c>
      <c r="I1449">
        <f t="shared" si="194"/>
        <v>199</v>
      </c>
      <c r="J1449">
        <f t="shared" si="194"/>
        <v>232</v>
      </c>
      <c r="K1449">
        <f t="shared" si="194"/>
        <v>249</v>
      </c>
      <c r="L1449">
        <f t="shared" si="194"/>
        <v>264</v>
      </c>
      <c r="M1449">
        <f t="shared" si="194"/>
        <v>279</v>
      </c>
      <c r="N1449">
        <f t="shared" si="194"/>
        <v>291</v>
      </c>
      <c r="O1449">
        <f t="shared" si="194"/>
        <v>316</v>
      </c>
      <c r="P1449">
        <f t="shared" si="194"/>
        <v>334</v>
      </c>
      <c r="Q1449">
        <f t="shared" si="193"/>
        <v>360</v>
      </c>
      <c r="S1449" t="str">
        <f t="shared" si="187"/>
        <v>11.12.2025</v>
      </c>
      <c r="T1449" t="str">
        <f t="shared" si="188"/>
        <v>20:45:00</v>
      </c>
      <c r="U1449" t="str">
        <f t="shared" si="191"/>
        <v>11.12.2025 20:45:00</v>
      </c>
      <c r="V1449" s="9" t="str">
        <f>MID($A1449,C1449+C$2+1,D1449-C1449-C$2-1)</f>
        <v>0</v>
      </c>
      <c r="W1449" s="4">
        <f>VALUE(SUBSTITUTE(MID($A1449,D1449+D$2+1,E1449-D1449-D$2-1),",","."))</f>
        <v>0</v>
      </c>
      <c r="X1449" s="4">
        <f>VALUE(SUBSTITUTE(MID($A1449,E1449+E$2+1,F1449-E1449-E$2-1),",","."))</f>
        <v>0.90957602214449496</v>
      </c>
      <c r="Y1449" s="4">
        <f>VALUE(SUBSTITUTE(MID($A1449,F1449+F$2+1,G1449-F1449-F$2-1),",","."))</f>
        <v>0</v>
      </c>
      <c r="Z1449" s="3">
        <f>VALUE(SUBSTITUTE(MID($A1449,G1449+G$2+1,H1449-G1449-G$2-1),",","."))</f>
        <v>0</v>
      </c>
      <c r="AA1449" s="3">
        <f>VALUE(SUBSTITUTE(MID($A1449,H1449+H$2+1,I1449-H1449-H$2-1),",","."))</f>
        <v>0</v>
      </c>
      <c r="AB1449" s="3">
        <f>VALUE(SUBSTITUTE(MID($A1449,I1449+I$2+1,J1449-I1449-I$2-1),",","."))</f>
        <v>0</v>
      </c>
      <c r="AC1449" s="3">
        <f>VALUE(SUBSTITUTE(MID($A1449,J1449+J$2+1,K1449-J1449-J$2-1),",","."))</f>
        <v>0</v>
      </c>
      <c r="AD1449" s="3">
        <f>VALUE(SUBSTITUTE(MID($A1449,K1449+K$2+1,L1449-K1449-K$2-1),",","."))</f>
        <v>0</v>
      </c>
      <c r="AE1449" s="3">
        <f>VALUE(SUBSTITUTE(MID($A1449,L1449+L$2+1,M1449-L1449-L$2-1),",","."))</f>
        <v>0</v>
      </c>
      <c r="AF1449" s="3">
        <f>VALUE(SUBSTITUTE(MID($A1449,M1449+M$2+1,N1449-M1449-M$2-1),",","."))</f>
        <v>0</v>
      </c>
      <c r="AG1449" s="3">
        <f>VALUE(SUBSTITUTE(MID($A1449,N1449+N$2+1,O1449-N1449-N$2-1),",","."))</f>
        <v>4.2447005028444096</v>
      </c>
      <c r="AH1449" t="str">
        <f>MID($A1449,O1449+O$2+1,P1449-O1449-O$2-1)</f>
        <v/>
      </c>
      <c r="AI1449" s="8" t="str">
        <f>MID($A1449,P1449+P$2+1,Q1449-P1449-P$2-1)</f>
        <v>False</v>
      </c>
      <c r="AK1449" t="b">
        <f t="shared" si="192"/>
        <v>0</v>
      </c>
    </row>
    <row r="1450" spans="1:37" x14ac:dyDescent="0.35">
      <c r="A1450" t="s">
        <v>5997</v>
      </c>
      <c r="B1450">
        <f t="shared" si="194"/>
        <v>10</v>
      </c>
      <c r="C1450">
        <f t="shared" si="194"/>
        <v>43</v>
      </c>
      <c r="D1450">
        <f t="shared" si="194"/>
        <v>54</v>
      </c>
      <c r="E1450">
        <f t="shared" si="194"/>
        <v>80</v>
      </c>
      <c r="F1450">
        <f t="shared" si="194"/>
        <v>124</v>
      </c>
      <c r="G1450">
        <f t="shared" si="194"/>
        <v>145</v>
      </c>
      <c r="H1450">
        <f t="shared" si="194"/>
        <v>177</v>
      </c>
      <c r="I1450">
        <f t="shared" si="194"/>
        <v>199</v>
      </c>
      <c r="J1450">
        <f t="shared" si="194"/>
        <v>232</v>
      </c>
      <c r="K1450">
        <f t="shared" si="194"/>
        <v>249</v>
      </c>
      <c r="L1450">
        <f t="shared" si="194"/>
        <v>264</v>
      </c>
      <c r="M1450">
        <f t="shared" si="194"/>
        <v>279</v>
      </c>
      <c r="N1450">
        <f t="shared" si="194"/>
        <v>291</v>
      </c>
      <c r="O1450">
        <f t="shared" si="194"/>
        <v>316</v>
      </c>
      <c r="P1450">
        <f t="shared" si="194"/>
        <v>334</v>
      </c>
      <c r="Q1450">
        <f t="shared" si="193"/>
        <v>360</v>
      </c>
      <c r="S1450" t="str">
        <f t="shared" si="187"/>
        <v>11.12.2025</v>
      </c>
      <c r="T1450" t="str">
        <f t="shared" si="188"/>
        <v>21:00:00</v>
      </c>
      <c r="U1450" t="str">
        <f t="shared" si="191"/>
        <v>11.12.2025 21:00:00</v>
      </c>
      <c r="V1450" s="9" t="str">
        <f>MID($A1450,C1450+C$2+1,D1450-C1450-C$2-1)</f>
        <v>0</v>
      </c>
      <c r="W1450" s="4">
        <f>VALUE(SUBSTITUTE(MID($A1450,D1450+D$2+1,E1450-D1450-D$2-1),",","."))</f>
        <v>0</v>
      </c>
      <c r="X1450" s="4">
        <f>VALUE(SUBSTITUTE(MID($A1450,E1450+E$2+1,F1450-E1450-E$2-1),",","."))</f>
        <v>0.90957602214449496</v>
      </c>
      <c r="Y1450" s="4">
        <f>VALUE(SUBSTITUTE(MID($A1450,F1450+F$2+1,G1450-F1450-F$2-1),",","."))</f>
        <v>0</v>
      </c>
      <c r="Z1450" s="3">
        <f>VALUE(SUBSTITUTE(MID($A1450,G1450+G$2+1,H1450-G1450-G$2-1),",","."))</f>
        <v>0</v>
      </c>
      <c r="AA1450" s="3">
        <f>VALUE(SUBSTITUTE(MID($A1450,H1450+H$2+1,I1450-H1450-H$2-1),",","."))</f>
        <v>0</v>
      </c>
      <c r="AB1450" s="3">
        <f>VALUE(SUBSTITUTE(MID($A1450,I1450+I$2+1,J1450-I1450-I$2-1),",","."))</f>
        <v>0</v>
      </c>
      <c r="AC1450" s="3">
        <f>VALUE(SUBSTITUTE(MID($A1450,J1450+J$2+1,K1450-J1450-J$2-1),",","."))</f>
        <v>0</v>
      </c>
      <c r="AD1450" s="3">
        <f>VALUE(SUBSTITUTE(MID($A1450,K1450+K$2+1,L1450-K1450-K$2-1),",","."))</f>
        <v>0</v>
      </c>
      <c r="AE1450" s="3">
        <f>VALUE(SUBSTITUTE(MID($A1450,L1450+L$2+1,M1450-L1450-L$2-1),",","."))</f>
        <v>0</v>
      </c>
      <c r="AF1450" s="3">
        <f>VALUE(SUBSTITUTE(MID($A1450,M1450+M$2+1,N1450-M1450-M$2-1),",","."))</f>
        <v>0</v>
      </c>
      <c r="AG1450" s="3">
        <f>VALUE(SUBSTITUTE(MID($A1450,N1450+N$2+1,O1450-N1450-N$2-1),",","."))</f>
        <v>4.2447290227324901</v>
      </c>
      <c r="AH1450" t="str">
        <f>MID($A1450,O1450+O$2+1,P1450-O1450-O$2-1)</f>
        <v/>
      </c>
      <c r="AI1450" s="8" t="str">
        <f>MID($A1450,P1450+P$2+1,Q1450-P1450-P$2-1)</f>
        <v>False</v>
      </c>
      <c r="AK1450" t="b">
        <f t="shared" si="192"/>
        <v>0</v>
      </c>
    </row>
    <row r="1451" spans="1:37" x14ac:dyDescent="0.35">
      <c r="A1451" t="s">
        <v>5998</v>
      </c>
      <c r="B1451">
        <f t="shared" si="194"/>
        <v>10</v>
      </c>
      <c r="C1451">
        <f t="shared" si="194"/>
        <v>43</v>
      </c>
      <c r="D1451">
        <f t="shared" si="194"/>
        <v>54</v>
      </c>
      <c r="E1451">
        <f t="shared" si="194"/>
        <v>80</v>
      </c>
      <c r="F1451">
        <f t="shared" si="194"/>
        <v>124</v>
      </c>
      <c r="G1451">
        <f t="shared" si="194"/>
        <v>145</v>
      </c>
      <c r="H1451">
        <f t="shared" si="194"/>
        <v>177</v>
      </c>
      <c r="I1451">
        <f t="shared" si="194"/>
        <v>199</v>
      </c>
      <c r="J1451">
        <f t="shared" si="194"/>
        <v>232</v>
      </c>
      <c r="K1451">
        <f t="shared" si="194"/>
        <v>249</v>
      </c>
      <c r="L1451">
        <f t="shared" si="194"/>
        <v>264</v>
      </c>
      <c r="M1451">
        <f t="shared" si="194"/>
        <v>279</v>
      </c>
      <c r="N1451">
        <f t="shared" si="194"/>
        <v>291</v>
      </c>
      <c r="O1451">
        <f t="shared" si="194"/>
        <v>316</v>
      </c>
      <c r="P1451">
        <f t="shared" si="194"/>
        <v>334</v>
      </c>
      <c r="Q1451">
        <f t="shared" si="193"/>
        <v>360</v>
      </c>
      <c r="S1451" t="str">
        <f t="shared" si="187"/>
        <v>11.12.2025</v>
      </c>
      <c r="T1451" t="str">
        <f t="shared" si="188"/>
        <v>21:15:00</v>
      </c>
      <c r="U1451" t="str">
        <f t="shared" si="191"/>
        <v>11.12.2025 21:15:00</v>
      </c>
      <c r="V1451" s="9" t="str">
        <f>MID($A1451,C1451+C$2+1,D1451-C1451-C$2-1)</f>
        <v>0</v>
      </c>
      <c r="W1451" s="4">
        <f>VALUE(SUBSTITUTE(MID($A1451,D1451+D$2+1,E1451-D1451-D$2-1),",","."))</f>
        <v>0</v>
      </c>
      <c r="X1451" s="4">
        <f>VALUE(SUBSTITUTE(MID($A1451,E1451+E$2+1,F1451-E1451-E$2-1),",","."))</f>
        <v>0.90957602214449496</v>
      </c>
      <c r="Y1451" s="4">
        <f>VALUE(SUBSTITUTE(MID($A1451,F1451+F$2+1,G1451-F1451-F$2-1),",","."))</f>
        <v>0</v>
      </c>
      <c r="Z1451" s="3">
        <f>VALUE(SUBSTITUTE(MID($A1451,G1451+G$2+1,H1451-G1451-G$2-1),",","."))</f>
        <v>0</v>
      </c>
      <c r="AA1451" s="3">
        <f>VALUE(SUBSTITUTE(MID($A1451,H1451+H$2+1,I1451-H1451-H$2-1),",","."))</f>
        <v>0</v>
      </c>
      <c r="AB1451" s="3">
        <f>VALUE(SUBSTITUTE(MID($A1451,I1451+I$2+1,J1451-I1451-I$2-1),",","."))</f>
        <v>0</v>
      </c>
      <c r="AC1451" s="3">
        <f>VALUE(SUBSTITUTE(MID($A1451,J1451+J$2+1,K1451-J1451-J$2-1),",","."))</f>
        <v>0</v>
      </c>
      <c r="AD1451" s="3">
        <f>VALUE(SUBSTITUTE(MID($A1451,K1451+K$2+1,L1451-K1451-K$2-1),",","."))</f>
        <v>0</v>
      </c>
      <c r="AE1451" s="3">
        <f>VALUE(SUBSTITUTE(MID($A1451,L1451+L$2+1,M1451-L1451-L$2-1),",","."))</f>
        <v>0</v>
      </c>
      <c r="AF1451" s="3">
        <f>VALUE(SUBSTITUTE(MID($A1451,M1451+M$2+1,N1451-M1451-M$2-1),",","."))</f>
        <v>0</v>
      </c>
      <c r="AG1451" s="3">
        <f>VALUE(SUBSTITUTE(MID($A1451,N1451+N$2+1,O1451-N1451-N$2-1),",","."))</f>
        <v>4.2447575426205697</v>
      </c>
      <c r="AH1451" t="str">
        <f>MID($A1451,O1451+O$2+1,P1451-O1451-O$2-1)</f>
        <v/>
      </c>
      <c r="AI1451" s="8" t="str">
        <f>MID($A1451,P1451+P$2+1,Q1451-P1451-P$2-1)</f>
        <v>False</v>
      </c>
      <c r="AK1451" t="b">
        <f t="shared" si="192"/>
        <v>0</v>
      </c>
    </row>
    <row r="1452" spans="1:37" x14ac:dyDescent="0.35">
      <c r="A1452" t="s">
        <v>5999</v>
      </c>
      <c r="B1452">
        <f t="shared" si="194"/>
        <v>10</v>
      </c>
      <c r="C1452">
        <f t="shared" si="194"/>
        <v>43</v>
      </c>
      <c r="D1452">
        <f t="shared" si="194"/>
        <v>54</v>
      </c>
      <c r="E1452">
        <f t="shared" si="194"/>
        <v>80</v>
      </c>
      <c r="F1452">
        <f t="shared" si="194"/>
        <v>124</v>
      </c>
      <c r="G1452">
        <f t="shared" si="194"/>
        <v>145</v>
      </c>
      <c r="H1452">
        <f t="shared" si="194"/>
        <v>177</v>
      </c>
      <c r="I1452">
        <f t="shared" si="194"/>
        <v>199</v>
      </c>
      <c r="J1452">
        <f t="shared" si="194"/>
        <v>232</v>
      </c>
      <c r="K1452">
        <f t="shared" si="194"/>
        <v>249</v>
      </c>
      <c r="L1452">
        <f t="shared" si="194"/>
        <v>264</v>
      </c>
      <c r="M1452">
        <f t="shared" si="194"/>
        <v>279</v>
      </c>
      <c r="N1452">
        <f t="shared" si="194"/>
        <v>291</v>
      </c>
      <c r="O1452">
        <f t="shared" si="194"/>
        <v>316</v>
      </c>
      <c r="P1452">
        <f t="shared" si="194"/>
        <v>334</v>
      </c>
      <c r="Q1452">
        <f t="shared" si="193"/>
        <v>360</v>
      </c>
      <c r="S1452" t="str">
        <f t="shared" si="187"/>
        <v>11.12.2025</v>
      </c>
      <c r="T1452" t="str">
        <f t="shared" si="188"/>
        <v>21:30:00</v>
      </c>
      <c r="U1452" t="str">
        <f t="shared" si="191"/>
        <v>11.12.2025 21:30:00</v>
      </c>
      <c r="V1452" s="9" t="str">
        <f>MID($A1452,C1452+C$2+1,D1452-C1452-C$2-1)</f>
        <v>0</v>
      </c>
      <c r="W1452" s="4">
        <f>VALUE(SUBSTITUTE(MID($A1452,D1452+D$2+1,E1452-D1452-D$2-1),",","."))</f>
        <v>0</v>
      </c>
      <c r="X1452" s="4">
        <f>VALUE(SUBSTITUTE(MID($A1452,E1452+E$2+1,F1452-E1452-E$2-1),",","."))</f>
        <v>0.90957602214449496</v>
      </c>
      <c r="Y1452" s="4">
        <f>VALUE(SUBSTITUTE(MID($A1452,F1452+F$2+1,G1452-F1452-F$2-1),",","."))</f>
        <v>0</v>
      </c>
      <c r="Z1452" s="3">
        <f>VALUE(SUBSTITUTE(MID($A1452,G1452+G$2+1,H1452-G1452-G$2-1),",","."))</f>
        <v>0</v>
      </c>
      <c r="AA1452" s="3">
        <f>VALUE(SUBSTITUTE(MID($A1452,H1452+H$2+1,I1452-H1452-H$2-1),",","."))</f>
        <v>0</v>
      </c>
      <c r="AB1452" s="3">
        <f>VALUE(SUBSTITUTE(MID($A1452,I1452+I$2+1,J1452-I1452-I$2-1),",","."))</f>
        <v>0</v>
      </c>
      <c r="AC1452" s="3">
        <f>VALUE(SUBSTITUTE(MID($A1452,J1452+J$2+1,K1452-J1452-J$2-1),",","."))</f>
        <v>0</v>
      </c>
      <c r="AD1452" s="3">
        <f>VALUE(SUBSTITUTE(MID($A1452,K1452+K$2+1,L1452-K1452-K$2-1),",","."))</f>
        <v>0</v>
      </c>
      <c r="AE1452" s="3">
        <f>VALUE(SUBSTITUTE(MID($A1452,L1452+L$2+1,M1452-L1452-L$2-1),",","."))</f>
        <v>0</v>
      </c>
      <c r="AF1452" s="3">
        <f>VALUE(SUBSTITUTE(MID($A1452,M1452+M$2+1,N1452-M1452-M$2-1),",","."))</f>
        <v>0</v>
      </c>
      <c r="AG1452" s="3">
        <f>VALUE(SUBSTITUTE(MID($A1452,N1452+N$2+1,O1452-N1452-N$2-1),",","."))</f>
        <v>4.2447860625086502</v>
      </c>
      <c r="AH1452" t="str">
        <f>MID($A1452,O1452+O$2+1,P1452-O1452-O$2-1)</f>
        <v/>
      </c>
      <c r="AI1452" s="8" t="str">
        <f>MID($A1452,P1452+P$2+1,Q1452-P1452-P$2-1)</f>
        <v>False</v>
      </c>
      <c r="AK1452" t="b">
        <f t="shared" si="192"/>
        <v>0</v>
      </c>
    </row>
    <row r="1453" spans="1:37" x14ac:dyDescent="0.35">
      <c r="A1453" t="s">
        <v>6000</v>
      </c>
      <c r="B1453">
        <f t="shared" si="194"/>
        <v>10</v>
      </c>
      <c r="C1453">
        <f t="shared" si="194"/>
        <v>43</v>
      </c>
      <c r="D1453">
        <f t="shared" si="194"/>
        <v>54</v>
      </c>
      <c r="E1453">
        <f t="shared" si="194"/>
        <v>80</v>
      </c>
      <c r="F1453">
        <f t="shared" si="194"/>
        <v>124</v>
      </c>
      <c r="G1453">
        <f t="shared" si="194"/>
        <v>145</v>
      </c>
      <c r="H1453">
        <f t="shared" si="194"/>
        <v>177</v>
      </c>
      <c r="I1453">
        <f t="shared" si="194"/>
        <v>199</v>
      </c>
      <c r="J1453">
        <f t="shared" si="194"/>
        <v>232</v>
      </c>
      <c r="K1453">
        <f t="shared" si="194"/>
        <v>249</v>
      </c>
      <c r="L1453">
        <f t="shared" si="194"/>
        <v>264</v>
      </c>
      <c r="M1453">
        <f t="shared" si="194"/>
        <v>279</v>
      </c>
      <c r="N1453">
        <f t="shared" si="194"/>
        <v>291</v>
      </c>
      <c r="O1453">
        <f t="shared" si="194"/>
        <v>315</v>
      </c>
      <c r="P1453">
        <f t="shared" si="194"/>
        <v>333</v>
      </c>
      <c r="Q1453">
        <f t="shared" si="193"/>
        <v>359</v>
      </c>
      <c r="S1453" t="str">
        <f t="shared" si="187"/>
        <v>11.12.2025</v>
      </c>
      <c r="T1453" t="str">
        <f t="shared" si="188"/>
        <v>21:45:00</v>
      </c>
      <c r="U1453" t="str">
        <f t="shared" si="191"/>
        <v>11.12.2025 21:45:00</v>
      </c>
      <c r="V1453" s="9" t="str">
        <f>MID($A1453,C1453+C$2+1,D1453-C1453-C$2-1)</f>
        <v>0</v>
      </c>
      <c r="W1453" s="4">
        <f>VALUE(SUBSTITUTE(MID($A1453,D1453+D$2+1,E1453-D1453-D$2-1),",","."))</f>
        <v>0</v>
      </c>
      <c r="X1453" s="4">
        <f>VALUE(SUBSTITUTE(MID($A1453,E1453+E$2+1,F1453-E1453-E$2-1),",","."))</f>
        <v>0.90957602214449496</v>
      </c>
      <c r="Y1453" s="4">
        <f>VALUE(SUBSTITUTE(MID($A1453,F1453+F$2+1,G1453-F1453-F$2-1),",","."))</f>
        <v>0</v>
      </c>
      <c r="Z1453" s="3">
        <f>VALUE(SUBSTITUTE(MID($A1453,G1453+G$2+1,H1453-G1453-G$2-1),",","."))</f>
        <v>0</v>
      </c>
      <c r="AA1453" s="3">
        <f>VALUE(SUBSTITUTE(MID($A1453,H1453+H$2+1,I1453-H1453-H$2-1),",","."))</f>
        <v>0</v>
      </c>
      <c r="AB1453" s="3">
        <f>VALUE(SUBSTITUTE(MID($A1453,I1453+I$2+1,J1453-I1453-I$2-1),",","."))</f>
        <v>0</v>
      </c>
      <c r="AC1453" s="3">
        <f>VALUE(SUBSTITUTE(MID($A1453,J1453+J$2+1,K1453-J1453-J$2-1),",","."))</f>
        <v>0</v>
      </c>
      <c r="AD1453" s="3">
        <f>VALUE(SUBSTITUTE(MID($A1453,K1453+K$2+1,L1453-K1453-K$2-1),",","."))</f>
        <v>0</v>
      </c>
      <c r="AE1453" s="3">
        <f>VALUE(SUBSTITUTE(MID($A1453,L1453+L$2+1,M1453-L1453-L$2-1),",","."))</f>
        <v>0</v>
      </c>
      <c r="AF1453" s="3">
        <f>VALUE(SUBSTITUTE(MID($A1453,M1453+M$2+1,N1453-M1453-M$2-1),",","."))</f>
        <v>0</v>
      </c>
      <c r="AG1453" s="3">
        <f>VALUE(SUBSTITUTE(MID($A1453,N1453+N$2+1,O1453-N1453-N$2-1),",","."))</f>
        <v>4.2448145823967396</v>
      </c>
      <c r="AH1453" t="str">
        <f>MID($A1453,O1453+O$2+1,P1453-O1453-O$2-1)</f>
        <v/>
      </c>
      <c r="AI1453" s="8" t="str">
        <f>MID($A1453,P1453+P$2+1,Q1453-P1453-P$2-1)</f>
        <v>False</v>
      </c>
      <c r="AK1453" t="b">
        <f t="shared" si="192"/>
        <v>0</v>
      </c>
    </row>
    <row r="1454" spans="1:37" x14ac:dyDescent="0.35">
      <c r="A1454" t="s">
        <v>6001</v>
      </c>
      <c r="B1454">
        <f t="shared" si="194"/>
        <v>10</v>
      </c>
      <c r="C1454">
        <f t="shared" si="194"/>
        <v>43</v>
      </c>
      <c r="D1454">
        <f t="shared" si="194"/>
        <v>54</v>
      </c>
      <c r="E1454">
        <f t="shared" si="194"/>
        <v>80</v>
      </c>
      <c r="F1454">
        <f t="shared" si="194"/>
        <v>124</v>
      </c>
      <c r="G1454">
        <f t="shared" si="194"/>
        <v>145</v>
      </c>
      <c r="H1454">
        <f t="shared" si="194"/>
        <v>177</v>
      </c>
      <c r="I1454">
        <f t="shared" si="194"/>
        <v>199</v>
      </c>
      <c r="J1454">
        <f t="shared" si="194"/>
        <v>232</v>
      </c>
      <c r="K1454">
        <f t="shared" si="194"/>
        <v>249</v>
      </c>
      <c r="L1454">
        <f t="shared" si="194"/>
        <v>264</v>
      </c>
      <c r="M1454">
        <f t="shared" si="194"/>
        <v>279</v>
      </c>
      <c r="N1454">
        <f t="shared" si="194"/>
        <v>291</v>
      </c>
      <c r="O1454">
        <f t="shared" si="194"/>
        <v>316</v>
      </c>
      <c r="P1454">
        <f t="shared" si="194"/>
        <v>334</v>
      </c>
      <c r="Q1454">
        <f t="shared" si="193"/>
        <v>360</v>
      </c>
      <c r="S1454" t="str">
        <f t="shared" si="187"/>
        <v>11.12.2025</v>
      </c>
      <c r="T1454" t="str">
        <f t="shared" si="188"/>
        <v>22:00:00</v>
      </c>
      <c r="U1454" t="str">
        <f t="shared" si="191"/>
        <v>11.12.2025 22:00:00</v>
      </c>
      <c r="V1454" s="9" t="str">
        <f>MID($A1454,C1454+C$2+1,D1454-C1454-C$2-1)</f>
        <v>0</v>
      </c>
      <c r="W1454" s="4">
        <f>VALUE(SUBSTITUTE(MID($A1454,D1454+D$2+1,E1454-D1454-D$2-1),",","."))</f>
        <v>0</v>
      </c>
      <c r="X1454" s="4">
        <f>VALUE(SUBSTITUTE(MID($A1454,E1454+E$2+1,F1454-E1454-E$2-1),",","."))</f>
        <v>0.90957602214449496</v>
      </c>
      <c r="Y1454" s="4">
        <f>VALUE(SUBSTITUTE(MID($A1454,F1454+F$2+1,G1454-F1454-F$2-1),",","."))</f>
        <v>0</v>
      </c>
      <c r="Z1454" s="3">
        <f>VALUE(SUBSTITUTE(MID($A1454,G1454+G$2+1,H1454-G1454-G$2-1),",","."))</f>
        <v>0</v>
      </c>
      <c r="AA1454" s="3">
        <f>VALUE(SUBSTITUTE(MID($A1454,H1454+H$2+1,I1454-H1454-H$2-1),",","."))</f>
        <v>0</v>
      </c>
      <c r="AB1454" s="3">
        <f>VALUE(SUBSTITUTE(MID($A1454,I1454+I$2+1,J1454-I1454-I$2-1),",","."))</f>
        <v>0</v>
      </c>
      <c r="AC1454" s="3">
        <f>VALUE(SUBSTITUTE(MID($A1454,J1454+J$2+1,K1454-J1454-J$2-1),",","."))</f>
        <v>0</v>
      </c>
      <c r="AD1454" s="3">
        <f>VALUE(SUBSTITUTE(MID($A1454,K1454+K$2+1,L1454-K1454-K$2-1),",","."))</f>
        <v>0</v>
      </c>
      <c r="AE1454" s="3">
        <f>VALUE(SUBSTITUTE(MID($A1454,L1454+L$2+1,M1454-L1454-L$2-1),",","."))</f>
        <v>0</v>
      </c>
      <c r="AF1454" s="3">
        <f>VALUE(SUBSTITUTE(MID($A1454,M1454+M$2+1,N1454-M1454-M$2-1),",","."))</f>
        <v>0</v>
      </c>
      <c r="AG1454" s="3">
        <f>VALUE(SUBSTITUTE(MID($A1454,N1454+N$2+1,O1454-N1454-N$2-1),",","."))</f>
        <v>4.2448431022848201</v>
      </c>
      <c r="AH1454" t="str">
        <f>MID($A1454,O1454+O$2+1,P1454-O1454-O$2-1)</f>
        <v/>
      </c>
      <c r="AI1454" s="8" t="str">
        <f>MID($A1454,P1454+P$2+1,Q1454-P1454-P$2-1)</f>
        <v>False</v>
      </c>
      <c r="AK1454" t="b">
        <f t="shared" si="192"/>
        <v>0</v>
      </c>
    </row>
    <row r="1455" spans="1:37" x14ac:dyDescent="0.35">
      <c r="A1455" t="s">
        <v>6002</v>
      </c>
      <c r="B1455">
        <f t="shared" si="194"/>
        <v>10</v>
      </c>
      <c r="C1455">
        <f t="shared" si="194"/>
        <v>43</v>
      </c>
      <c r="D1455">
        <f t="shared" si="194"/>
        <v>54</v>
      </c>
      <c r="E1455">
        <f t="shared" si="194"/>
        <v>80</v>
      </c>
      <c r="F1455">
        <f t="shared" si="194"/>
        <v>124</v>
      </c>
      <c r="G1455">
        <f t="shared" si="194"/>
        <v>145</v>
      </c>
      <c r="H1455">
        <f t="shared" si="194"/>
        <v>177</v>
      </c>
      <c r="I1455">
        <f t="shared" si="194"/>
        <v>199</v>
      </c>
      <c r="J1455">
        <f t="shared" si="194"/>
        <v>232</v>
      </c>
      <c r="K1455">
        <f t="shared" si="194"/>
        <v>249</v>
      </c>
      <c r="L1455">
        <f t="shared" si="194"/>
        <v>264</v>
      </c>
      <c r="M1455">
        <f t="shared" si="194"/>
        <v>279</v>
      </c>
      <c r="N1455">
        <f t="shared" si="194"/>
        <v>291</v>
      </c>
      <c r="O1455">
        <f t="shared" si="194"/>
        <v>316</v>
      </c>
      <c r="P1455">
        <f t="shared" si="194"/>
        <v>334</v>
      </c>
      <c r="Q1455">
        <f t="shared" si="193"/>
        <v>360</v>
      </c>
      <c r="S1455" t="str">
        <f t="shared" si="187"/>
        <v>11.12.2025</v>
      </c>
      <c r="T1455" t="str">
        <f t="shared" si="188"/>
        <v>22:15:00</v>
      </c>
      <c r="U1455" t="str">
        <f t="shared" si="191"/>
        <v>11.12.2025 22:15:00</v>
      </c>
      <c r="V1455" s="9" t="str">
        <f>MID($A1455,C1455+C$2+1,D1455-C1455-C$2-1)</f>
        <v>0</v>
      </c>
      <c r="W1455" s="4">
        <f>VALUE(SUBSTITUTE(MID($A1455,D1455+D$2+1,E1455-D1455-D$2-1),",","."))</f>
        <v>0</v>
      </c>
      <c r="X1455" s="4">
        <f>VALUE(SUBSTITUTE(MID($A1455,E1455+E$2+1,F1455-E1455-E$2-1),",","."))</f>
        <v>0.90957602214449496</v>
      </c>
      <c r="Y1455" s="4">
        <f>VALUE(SUBSTITUTE(MID($A1455,F1455+F$2+1,G1455-F1455-F$2-1),",","."))</f>
        <v>0</v>
      </c>
      <c r="Z1455" s="3">
        <f>VALUE(SUBSTITUTE(MID($A1455,G1455+G$2+1,H1455-G1455-G$2-1),",","."))</f>
        <v>0</v>
      </c>
      <c r="AA1455" s="3">
        <f>VALUE(SUBSTITUTE(MID($A1455,H1455+H$2+1,I1455-H1455-H$2-1),",","."))</f>
        <v>0</v>
      </c>
      <c r="AB1455" s="3">
        <f>VALUE(SUBSTITUTE(MID($A1455,I1455+I$2+1,J1455-I1455-I$2-1),",","."))</f>
        <v>0</v>
      </c>
      <c r="AC1455" s="3">
        <f>VALUE(SUBSTITUTE(MID($A1455,J1455+J$2+1,K1455-J1455-J$2-1),",","."))</f>
        <v>0</v>
      </c>
      <c r="AD1455" s="3">
        <f>VALUE(SUBSTITUTE(MID($A1455,K1455+K$2+1,L1455-K1455-K$2-1),",","."))</f>
        <v>0</v>
      </c>
      <c r="AE1455" s="3">
        <f>VALUE(SUBSTITUTE(MID($A1455,L1455+L$2+1,M1455-L1455-L$2-1),",","."))</f>
        <v>0</v>
      </c>
      <c r="AF1455" s="3">
        <f>VALUE(SUBSTITUTE(MID($A1455,M1455+M$2+1,N1455-M1455-M$2-1),",","."))</f>
        <v>0</v>
      </c>
      <c r="AG1455" s="3">
        <f>VALUE(SUBSTITUTE(MID($A1455,N1455+N$2+1,O1455-N1455-N$2-1),",","."))</f>
        <v>4.2448716221728997</v>
      </c>
      <c r="AH1455" t="str">
        <f>MID($A1455,O1455+O$2+1,P1455-O1455-O$2-1)</f>
        <v/>
      </c>
      <c r="AI1455" s="8" t="str">
        <f>MID($A1455,P1455+P$2+1,Q1455-P1455-P$2-1)</f>
        <v>False</v>
      </c>
      <c r="AK1455" t="b">
        <f t="shared" si="192"/>
        <v>0</v>
      </c>
    </row>
    <row r="1456" spans="1:37" x14ac:dyDescent="0.35">
      <c r="A1456" t="s">
        <v>6003</v>
      </c>
      <c r="B1456">
        <f t="shared" si="194"/>
        <v>10</v>
      </c>
      <c r="C1456">
        <f t="shared" si="194"/>
        <v>43</v>
      </c>
      <c r="D1456">
        <f t="shared" si="194"/>
        <v>54</v>
      </c>
      <c r="E1456">
        <f t="shared" si="194"/>
        <v>80</v>
      </c>
      <c r="F1456">
        <f t="shared" si="194"/>
        <v>124</v>
      </c>
      <c r="G1456">
        <f t="shared" si="194"/>
        <v>145</v>
      </c>
      <c r="H1456">
        <f t="shared" si="194"/>
        <v>177</v>
      </c>
      <c r="I1456">
        <f t="shared" si="194"/>
        <v>199</v>
      </c>
      <c r="J1456">
        <f t="shared" si="194"/>
        <v>232</v>
      </c>
      <c r="K1456">
        <f t="shared" si="194"/>
        <v>249</v>
      </c>
      <c r="L1456">
        <f t="shared" si="194"/>
        <v>264</v>
      </c>
      <c r="M1456">
        <f t="shared" si="194"/>
        <v>279</v>
      </c>
      <c r="N1456">
        <f t="shared" si="194"/>
        <v>291</v>
      </c>
      <c r="O1456">
        <f t="shared" si="194"/>
        <v>316</v>
      </c>
      <c r="P1456">
        <f t="shared" si="194"/>
        <v>334</v>
      </c>
      <c r="Q1456">
        <f t="shared" si="193"/>
        <v>360</v>
      </c>
      <c r="S1456" t="str">
        <f t="shared" si="187"/>
        <v>11.12.2025</v>
      </c>
      <c r="T1456" t="str">
        <f t="shared" si="188"/>
        <v>22:30:00</v>
      </c>
      <c r="U1456" t="str">
        <f t="shared" si="191"/>
        <v>11.12.2025 22:30:00</v>
      </c>
      <c r="V1456" s="9" t="str">
        <f>MID($A1456,C1456+C$2+1,D1456-C1456-C$2-1)</f>
        <v>0</v>
      </c>
      <c r="W1456" s="4">
        <f>VALUE(SUBSTITUTE(MID($A1456,D1456+D$2+1,E1456-D1456-D$2-1),",","."))</f>
        <v>0</v>
      </c>
      <c r="X1456" s="4">
        <f>VALUE(SUBSTITUTE(MID($A1456,E1456+E$2+1,F1456-E1456-E$2-1),",","."))</f>
        <v>0.90957602214449496</v>
      </c>
      <c r="Y1456" s="4">
        <f>VALUE(SUBSTITUTE(MID($A1456,F1456+F$2+1,G1456-F1456-F$2-1),",","."))</f>
        <v>0</v>
      </c>
      <c r="Z1456" s="3">
        <f>VALUE(SUBSTITUTE(MID($A1456,G1456+G$2+1,H1456-G1456-G$2-1),",","."))</f>
        <v>0</v>
      </c>
      <c r="AA1456" s="3">
        <f>VALUE(SUBSTITUTE(MID($A1456,H1456+H$2+1,I1456-H1456-H$2-1),",","."))</f>
        <v>0</v>
      </c>
      <c r="AB1456" s="3">
        <f>VALUE(SUBSTITUTE(MID($A1456,I1456+I$2+1,J1456-I1456-I$2-1),",","."))</f>
        <v>0</v>
      </c>
      <c r="AC1456" s="3">
        <f>VALUE(SUBSTITUTE(MID($A1456,J1456+J$2+1,K1456-J1456-J$2-1),",","."))</f>
        <v>0</v>
      </c>
      <c r="AD1456" s="3">
        <f>VALUE(SUBSTITUTE(MID($A1456,K1456+K$2+1,L1456-K1456-K$2-1),",","."))</f>
        <v>0</v>
      </c>
      <c r="AE1456" s="3">
        <f>VALUE(SUBSTITUTE(MID($A1456,L1456+L$2+1,M1456-L1456-L$2-1),",","."))</f>
        <v>0</v>
      </c>
      <c r="AF1456" s="3">
        <f>VALUE(SUBSTITUTE(MID($A1456,M1456+M$2+1,N1456-M1456-M$2-1),",","."))</f>
        <v>0</v>
      </c>
      <c r="AG1456" s="3">
        <f>VALUE(SUBSTITUTE(MID($A1456,N1456+N$2+1,O1456-N1456-N$2-1),",","."))</f>
        <v>4.2449001420609802</v>
      </c>
      <c r="AH1456" t="str">
        <f>MID($A1456,O1456+O$2+1,P1456-O1456-O$2-1)</f>
        <v/>
      </c>
      <c r="AI1456" s="8" t="str">
        <f>MID($A1456,P1456+P$2+1,Q1456-P1456-P$2-1)</f>
        <v>False</v>
      </c>
      <c r="AK1456" t="b">
        <f t="shared" si="192"/>
        <v>0</v>
      </c>
    </row>
    <row r="1457" spans="1:37" x14ac:dyDescent="0.35">
      <c r="A1457" t="s">
        <v>6004</v>
      </c>
      <c r="B1457">
        <f t="shared" ref="B1457:P1473" si="195">FIND(B$1,$A1457)</f>
        <v>10</v>
      </c>
      <c r="C1457">
        <f t="shared" si="195"/>
        <v>43</v>
      </c>
      <c r="D1457">
        <f t="shared" si="195"/>
        <v>54</v>
      </c>
      <c r="E1457">
        <f t="shared" si="195"/>
        <v>80</v>
      </c>
      <c r="F1457">
        <f t="shared" si="195"/>
        <v>124</v>
      </c>
      <c r="G1457">
        <f t="shared" si="195"/>
        <v>145</v>
      </c>
      <c r="H1457">
        <f t="shared" si="195"/>
        <v>177</v>
      </c>
      <c r="I1457">
        <f t="shared" si="195"/>
        <v>199</v>
      </c>
      <c r="J1457">
        <f t="shared" si="195"/>
        <v>232</v>
      </c>
      <c r="K1457">
        <f t="shared" si="195"/>
        <v>249</v>
      </c>
      <c r="L1457">
        <f t="shared" si="195"/>
        <v>264</v>
      </c>
      <c r="M1457">
        <f t="shared" si="195"/>
        <v>279</v>
      </c>
      <c r="N1457">
        <f t="shared" si="195"/>
        <v>291</v>
      </c>
      <c r="O1457">
        <f t="shared" si="195"/>
        <v>316</v>
      </c>
      <c r="P1457">
        <f t="shared" si="195"/>
        <v>334</v>
      </c>
      <c r="Q1457">
        <f t="shared" si="193"/>
        <v>360</v>
      </c>
      <c r="S1457" t="str">
        <f t="shared" si="187"/>
        <v>11.12.2025</v>
      </c>
      <c r="T1457" t="str">
        <f t="shared" si="188"/>
        <v>22:45:00</v>
      </c>
      <c r="U1457" t="str">
        <f t="shared" si="191"/>
        <v>11.12.2025 22:45:00</v>
      </c>
      <c r="V1457" s="9" t="str">
        <f>MID($A1457,C1457+C$2+1,D1457-C1457-C$2-1)</f>
        <v>0</v>
      </c>
      <c r="W1457" s="4">
        <f>VALUE(SUBSTITUTE(MID($A1457,D1457+D$2+1,E1457-D1457-D$2-1),",","."))</f>
        <v>0</v>
      </c>
      <c r="X1457" s="4">
        <f>VALUE(SUBSTITUTE(MID($A1457,E1457+E$2+1,F1457-E1457-E$2-1),",","."))</f>
        <v>0.90957602214449496</v>
      </c>
      <c r="Y1457" s="4">
        <f>VALUE(SUBSTITUTE(MID($A1457,F1457+F$2+1,G1457-F1457-F$2-1),",","."))</f>
        <v>0</v>
      </c>
      <c r="Z1457" s="3">
        <f>VALUE(SUBSTITUTE(MID($A1457,G1457+G$2+1,H1457-G1457-G$2-1),",","."))</f>
        <v>0</v>
      </c>
      <c r="AA1457" s="3">
        <f>VALUE(SUBSTITUTE(MID($A1457,H1457+H$2+1,I1457-H1457-H$2-1),",","."))</f>
        <v>0</v>
      </c>
      <c r="AB1457" s="3">
        <f>VALUE(SUBSTITUTE(MID($A1457,I1457+I$2+1,J1457-I1457-I$2-1),",","."))</f>
        <v>0</v>
      </c>
      <c r="AC1457" s="3">
        <f>VALUE(SUBSTITUTE(MID($A1457,J1457+J$2+1,K1457-J1457-J$2-1),",","."))</f>
        <v>0</v>
      </c>
      <c r="AD1457" s="3">
        <f>VALUE(SUBSTITUTE(MID($A1457,K1457+K$2+1,L1457-K1457-K$2-1),",","."))</f>
        <v>0</v>
      </c>
      <c r="AE1457" s="3">
        <f>VALUE(SUBSTITUTE(MID($A1457,L1457+L$2+1,M1457-L1457-L$2-1),",","."))</f>
        <v>0</v>
      </c>
      <c r="AF1457" s="3">
        <f>VALUE(SUBSTITUTE(MID($A1457,M1457+M$2+1,N1457-M1457-M$2-1),",","."))</f>
        <v>0</v>
      </c>
      <c r="AG1457" s="3">
        <f>VALUE(SUBSTITUTE(MID($A1457,N1457+N$2+1,O1457-N1457-N$2-1),",","."))</f>
        <v>4.2449286619490598</v>
      </c>
      <c r="AH1457" t="str">
        <f>MID($A1457,O1457+O$2+1,P1457-O1457-O$2-1)</f>
        <v/>
      </c>
      <c r="AI1457" s="8" t="str">
        <f>MID($A1457,P1457+P$2+1,Q1457-P1457-P$2-1)</f>
        <v>False</v>
      </c>
      <c r="AK1457" t="b">
        <f t="shared" si="192"/>
        <v>0</v>
      </c>
    </row>
    <row r="1458" spans="1:37" x14ac:dyDescent="0.35">
      <c r="A1458" t="s">
        <v>6005</v>
      </c>
      <c r="B1458">
        <f t="shared" si="195"/>
        <v>10</v>
      </c>
      <c r="C1458">
        <f t="shared" si="195"/>
        <v>43</v>
      </c>
      <c r="D1458">
        <f t="shared" si="195"/>
        <v>54</v>
      </c>
      <c r="E1458">
        <f t="shared" si="195"/>
        <v>80</v>
      </c>
      <c r="F1458">
        <f t="shared" si="195"/>
        <v>124</v>
      </c>
      <c r="G1458">
        <f t="shared" si="195"/>
        <v>145</v>
      </c>
      <c r="H1458">
        <f t="shared" si="195"/>
        <v>177</v>
      </c>
      <c r="I1458">
        <f t="shared" si="195"/>
        <v>199</v>
      </c>
      <c r="J1458">
        <f t="shared" si="195"/>
        <v>232</v>
      </c>
      <c r="K1458">
        <f t="shared" si="195"/>
        <v>249</v>
      </c>
      <c r="L1458">
        <f t="shared" si="195"/>
        <v>264</v>
      </c>
      <c r="M1458">
        <f t="shared" si="195"/>
        <v>279</v>
      </c>
      <c r="N1458">
        <f t="shared" si="195"/>
        <v>291</v>
      </c>
      <c r="O1458">
        <f t="shared" si="195"/>
        <v>316</v>
      </c>
      <c r="P1458">
        <f t="shared" si="195"/>
        <v>334</v>
      </c>
      <c r="Q1458">
        <f t="shared" si="193"/>
        <v>360</v>
      </c>
      <c r="S1458" t="str">
        <f t="shared" si="187"/>
        <v>11.12.2025</v>
      </c>
      <c r="T1458" t="str">
        <f t="shared" si="188"/>
        <v>23:00:00</v>
      </c>
      <c r="U1458" t="str">
        <f t="shared" si="191"/>
        <v>11.12.2025 23:00:00</v>
      </c>
      <c r="V1458" s="9" t="str">
        <f>MID($A1458,C1458+C$2+1,D1458-C1458-C$2-1)</f>
        <v>0</v>
      </c>
      <c r="W1458" s="4">
        <f>VALUE(SUBSTITUTE(MID($A1458,D1458+D$2+1,E1458-D1458-D$2-1),",","."))</f>
        <v>0</v>
      </c>
      <c r="X1458" s="4">
        <f>VALUE(SUBSTITUTE(MID($A1458,E1458+E$2+1,F1458-E1458-E$2-1),",","."))</f>
        <v>0.90957602214449496</v>
      </c>
      <c r="Y1458" s="4">
        <f>VALUE(SUBSTITUTE(MID($A1458,F1458+F$2+1,G1458-F1458-F$2-1),",","."))</f>
        <v>0</v>
      </c>
      <c r="Z1458" s="3">
        <f>VALUE(SUBSTITUTE(MID($A1458,G1458+G$2+1,H1458-G1458-G$2-1),",","."))</f>
        <v>0</v>
      </c>
      <c r="AA1458" s="3">
        <f>VALUE(SUBSTITUTE(MID($A1458,H1458+H$2+1,I1458-H1458-H$2-1),",","."))</f>
        <v>0</v>
      </c>
      <c r="AB1458" s="3">
        <f>VALUE(SUBSTITUTE(MID($A1458,I1458+I$2+1,J1458-I1458-I$2-1),",","."))</f>
        <v>0</v>
      </c>
      <c r="AC1458" s="3">
        <f>VALUE(SUBSTITUTE(MID($A1458,J1458+J$2+1,K1458-J1458-J$2-1),",","."))</f>
        <v>0</v>
      </c>
      <c r="AD1458" s="3">
        <f>VALUE(SUBSTITUTE(MID($A1458,K1458+K$2+1,L1458-K1458-K$2-1),",","."))</f>
        <v>0</v>
      </c>
      <c r="AE1458" s="3">
        <f>VALUE(SUBSTITUTE(MID($A1458,L1458+L$2+1,M1458-L1458-L$2-1),",","."))</f>
        <v>0</v>
      </c>
      <c r="AF1458" s="3">
        <f>VALUE(SUBSTITUTE(MID($A1458,M1458+M$2+1,N1458-M1458-M$2-1),",","."))</f>
        <v>0</v>
      </c>
      <c r="AG1458" s="3">
        <f>VALUE(SUBSTITUTE(MID($A1458,N1458+N$2+1,O1458-N1458-N$2-1),",","."))</f>
        <v>4.2449571818371403</v>
      </c>
      <c r="AH1458" t="str">
        <f>MID($A1458,O1458+O$2+1,P1458-O1458-O$2-1)</f>
        <v/>
      </c>
      <c r="AI1458" s="8" t="str">
        <f>MID($A1458,P1458+P$2+1,Q1458-P1458-P$2-1)</f>
        <v>False</v>
      </c>
      <c r="AK1458" t="b">
        <f t="shared" si="192"/>
        <v>0</v>
      </c>
    </row>
    <row r="1459" spans="1:37" x14ac:dyDescent="0.35">
      <c r="A1459" t="s">
        <v>6006</v>
      </c>
      <c r="B1459">
        <f t="shared" si="195"/>
        <v>10</v>
      </c>
      <c r="C1459">
        <f t="shared" si="195"/>
        <v>43</v>
      </c>
      <c r="D1459">
        <f t="shared" si="195"/>
        <v>54</v>
      </c>
      <c r="E1459">
        <f t="shared" si="195"/>
        <v>80</v>
      </c>
      <c r="F1459">
        <f t="shared" si="195"/>
        <v>124</v>
      </c>
      <c r="G1459">
        <f t="shared" si="195"/>
        <v>145</v>
      </c>
      <c r="H1459">
        <f t="shared" si="195"/>
        <v>177</v>
      </c>
      <c r="I1459">
        <f t="shared" si="195"/>
        <v>199</v>
      </c>
      <c r="J1459">
        <f t="shared" si="195"/>
        <v>232</v>
      </c>
      <c r="K1459">
        <f t="shared" si="195"/>
        <v>249</v>
      </c>
      <c r="L1459">
        <f t="shared" si="195"/>
        <v>264</v>
      </c>
      <c r="M1459">
        <f t="shared" si="195"/>
        <v>279</v>
      </c>
      <c r="N1459">
        <f t="shared" si="195"/>
        <v>291</v>
      </c>
      <c r="O1459">
        <f t="shared" si="195"/>
        <v>315</v>
      </c>
      <c r="P1459">
        <f t="shared" si="195"/>
        <v>333</v>
      </c>
      <c r="Q1459">
        <f t="shared" si="193"/>
        <v>359</v>
      </c>
      <c r="S1459" t="str">
        <f t="shared" si="187"/>
        <v>11.12.2025</v>
      </c>
      <c r="T1459" t="str">
        <f t="shared" si="188"/>
        <v>23:15:00</v>
      </c>
      <c r="U1459" t="str">
        <f t="shared" si="191"/>
        <v>11.12.2025 23:15:00</v>
      </c>
      <c r="V1459" s="9" t="str">
        <f>MID($A1459,C1459+C$2+1,D1459-C1459-C$2-1)</f>
        <v>0</v>
      </c>
      <c r="W1459" s="4">
        <f>VALUE(SUBSTITUTE(MID($A1459,D1459+D$2+1,E1459-D1459-D$2-1),",","."))</f>
        <v>0</v>
      </c>
      <c r="X1459" s="4">
        <f>VALUE(SUBSTITUTE(MID($A1459,E1459+E$2+1,F1459-E1459-E$2-1),",","."))</f>
        <v>0.90957602214449496</v>
      </c>
      <c r="Y1459" s="4">
        <f>VALUE(SUBSTITUTE(MID($A1459,F1459+F$2+1,G1459-F1459-F$2-1),",","."))</f>
        <v>0</v>
      </c>
      <c r="Z1459" s="3">
        <f>VALUE(SUBSTITUTE(MID($A1459,G1459+G$2+1,H1459-G1459-G$2-1),",","."))</f>
        <v>0</v>
      </c>
      <c r="AA1459" s="3">
        <f>VALUE(SUBSTITUTE(MID($A1459,H1459+H$2+1,I1459-H1459-H$2-1),",","."))</f>
        <v>0</v>
      </c>
      <c r="AB1459" s="3">
        <f>VALUE(SUBSTITUTE(MID($A1459,I1459+I$2+1,J1459-I1459-I$2-1),",","."))</f>
        <v>0</v>
      </c>
      <c r="AC1459" s="3">
        <f>VALUE(SUBSTITUTE(MID($A1459,J1459+J$2+1,K1459-J1459-J$2-1),",","."))</f>
        <v>0</v>
      </c>
      <c r="AD1459" s="3">
        <f>VALUE(SUBSTITUTE(MID($A1459,K1459+K$2+1,L1459-K1459-K$2-1),",","."))</f>
        <v>0</v>
      </c>
      <c r="AE1459" s="3">
        <f>VALUE(SUBSTITUTE(MID($A1459,L1459+L$2+1,M1459-L1459-L$2-1),",","."))</f>
        <v>0</v>
      </c>
      <c r="AF1459" s="3">
        <f>VALUE(SUBSTITUTE(MID($A1459,M1459+M$2+1,N1459-M1459-M$2-1),",","."))</f>
        <v>0</v>
      </c>
      <c r="AG1459" s="3">
        <f>VALUE(SUBSTITUTE(MID($A1459,N1459+N$2+1,O1459-N1459-N$2-1),",","."))</f>
        <v>4.2449857017252297</v>
      </c>
      <c r="AH1459" t="str">
        <f>MID($A1459,O1459+O$2+1,P1459-O1459-O$2-1)</f>
        <v/>
      </c>
      <c r="AI1459" s="8" t="str">
        <f>MID($A1459,P1459+P$2+1,Q1459-P1459-P$2-1)</f>
        <v>False</v>
      </c>
      <c r="AK1459" t="b">
        <f t="shared" si="192"/>
        <v>0</v>
      </c>
    </row>
    <row r="1460" spans="1:37" x14ac:dyDescent="0.35">
      <c r="A1460" t="s">
        <v>6007</v>
      </c>
      <c r="B1460">
        <f t="shared" si="195"/>
        <v>10</v>
      </c>
      <c r="C1460">
        <f t="shared" si="195"/>
        <v>43</v>
      </c>
      <c r="D1460">
        <f t="shared" si="195"/>
        <v>54</v>
      </c>
      <c r="E1460">
        <f t="shared" si="195"/>
        <v>80</v>
      </c>
      <c r="F1460">
        <f t="shared" si="195"/>
        <v>124</v>
      </c>
      <c r="G1460">
        <f t="shared" si="195"/>
        <v>145</v>
      </c>
      <c r="H1460">
        <f t="shared" si="195"/>
        <v>177</v>
      </c>
      <c r="I1460">
        <f t="shared" si="195"/>
        <v>199</v>
      </c>
      <c r="J1460">
        <f t="shared" si="195"/>
        <v>232</v>
      </c>
      <c r="K1460">
        <f t="shared" si="195"/>
        <v>249</v>
      </c>
      <c r="L1460">
        <f t="shared" si="195"/>
        <v>264</v>
      </c>
      <c r="M1460">
        <f t="shared" si="195"/>
        <v>279</v>
      </c>
      <c r="N1460">
        <f t="shared" si="195"/>
        <v>291</v>
      </c>
      <c r="O1460">
        <f t="shared" si="195"/>
        <v>316</v>
      </c>
      <c r="P1460">
        <f t="shared" si="195"/>
        <v>334</v>
      </c>
      <c r="Q1460">
        <f t="shared" si="193"/>
        <v>360</v>
      </c>
      <c r="S1460" t="str">
        <f t="shared" si="187"/>
        <v>11.12.2025</v>
      </c>
      <c r="T1460" t="str">
        <f t="shared" si="188"/>
        <v>23:30:00</v>
      </c>
      <c r="U1460" t="str">
        <f t="shared" si="191"/>
        <v>11.12.2025 23:30:00</v>
      </c>
      <c r="V1460" s="9" t="str">
        <f>MID($A1460,C1460+C$2+1,D1460-C1460-C$2-1)</f>
        <v>0</v>
      </c>
      <c r="W1460" s="4">
        <f>VALUE(SUBSTITUTE(MID($A1460,D1460+D$2+1,E1460-D1460-D$2-1),",","."))</f>
        <v>0</v>
      </c>
      <c r="X1460" s="4">
        <f>VALUE(SUBSTITUTE(MID($A1460,E1460+E$2+1,F1460-E1460-E$2-1),",","."))</f>
        <v>0.90957602214449496</v>
      </c>
      <c r="Y1460" s="4">
        <f>VALUE(SUBSTITUTE(MID($A1460,F1460+F$2+1,G1460-F1460-F$2-1),",","."))</f>
        <v>0</v>
      </c>
      <c r="Z1460" s="3">
        <f>VALUE(SUBSTITUTE(MID($A1460,G1460+G$2+1,H1460-G1460-G$2-1),",","."))</f>
        <v>0</v>
      </c>
      <c r="AA1460" s="3">
        <f>VALUE(SUBSTITUTE(MID($A1460,H1460+H$2+1,I1460-H1460-H$2-1),",","."))</f>
        <v>0</v>
      </c>
      <c r="AB1460" s="3">
        <f>VALUE(SUBSTITUTE(MID($A1460,I1460+I$2+1,J1460-I1460-I$2-1),",","."))</f>
        <v>0</v>
      </c>
      <c r="AC1460" s="3">
        <f>VALUE(SUBSTITUTE(MID($A1460,J1460+J$2+1,K1460-J1460-J$2-1),",","."))</f>
        <v>0</v>
      </c>
      <c r="AD1460" s="3">
        <f>VALUE(SUBSTITUTE(MID($A1460,K1460+K$2+1,L1460-K1460-K$2-1),",","."))</f>
        <v>0</v>
      </c>
      <c r="AE1460" s="3">
        <f>VALUE(SUBSTITUTE(MID($A1460,L1460+L$2+1,M1460-L1460-L$2-1),",","."))</f>
        <v>0</v>
      </c>
      <c r="AF1460" s="3">
        <f>VALUE(SUBSTITUTE(MID($A1460,M1460+M$2+1,N1460-M1460-M$2-1),",","."))</f>
        <v>0</v>
      </c>
      <c r="AG1460" s="3">
        <f>VALUE(SUBSTITUTE(MID($A1460,N1460+N$2+1,O1460-N1460-N$2-1),",","."))</f>
        <v>4.2450142216133102</v>
      </c>
      <c r="AH1460" t="str">
        <f>MID($A1460,O1460+O$2+1,P1460-O1460-O$2-1)</f>
        <v/>
      </c>
      <c r="AI1460" s="8" t="str">
        <f>MID($A1460,P1460+P$2+1,Q1460-P1460-P$2-1)</f>
        <v>False</v>
      </c>
      <c r="AK1460" t="b">
        <f t="shared" si="192"/>
        <v>0</v>
      </c>
    </row>
    <row r="1461" spans="1:37" x14ac:dyDescent="0.35">
      <c r="A1461" t="s">
        <v>6008</v>
      </c>
      <c r="B1461">
        <f t="shared" si="195"/>
        <v>10</v>
      </c>
      <c r="C1461">
        <f t="shared" si="195"/>
        <v>43</v>
      </c>
      <c r="D1461">
        <f t="shared" si="195"/>
        <v>54</v>
      </c>
      <c r="E1461">
        <f t="shared" si="195"/>
        <v>80</v>
      </c>
      <c r="F1461">
        <f t="shared" si="195"/>
        <v>124</v>
      </c>
      <c r="G1461">
        <f t="shared" si="195"/>
        <v>145</v>
      </c>
      <c r="H1461">
        <f t="shared" si="195"/>
        <v>177</v>
      </c>
      <c r="I1461">
        <f t="shared" si="195"/>
        <v>199</v>
      </c>
      <c r="J1461">
        <f t="shared" si="195"/>
        <v>232</v>
      </c>
      <c r="K1461">
        <f t="shared" si="195"/>
        <v>249</v>
      </c>
      <c r="L1461">
        <f t="shared" si="195"/>
        <v>264</v>
      </c>
      <c r="M1461">
        <f t="shared" si="195"/>
        <v>279</v>
      </c>
      <c r="N1461">
        <f t="shared" si="195"/>
        <v>291</v>
      </c>
      <c r="O1461">
        <f t="shared" si="195"/>
        <v>317</v>
      </c>
      <c r="P1461">
        <f t="shared" si="195"/>
        <v>335</v>
      </c>
      <c r="Q1461">
        <f t="shared" si="193"/>
        <v>361</v>
      </c>
      <c r="S1461" t="str">
        <f t="shared" si="187"/>
        <v>11.12.2025</v>
      </c>
      <c r="T1461" t="str">
        <f t="shared" si="188"/>
        <v>23:45:00</v>
      </c>
      <c r="U1461" t="str">
        <f t="shared" si="191"/>
        <v>11.12.2025 23:45:00</v>
      </c>
      <c r="V1461" s="9" t="str">
        <f>MID($A1461,C1461+C$2+1,D1461-C1461-C$2-1)</f>
        <v>0</v>
      </c>
      <c r="W1461" s="4">
        <f>VALUE(SUBSTITUTE(MID($A1461,D1461+D$2+1,E1461-D1461-D$2-1),",","."))</f>
        <v>0</v>
      </c>
      <c r="X1461" s="4">
        <f>VALUE(SUBSTITUTE(MID($A1461,E1461+E$2+1,F1461-E1461-E$2-1),",","."))</f>
        <v>0.90957602214449496</v>
      </c>
      <c r="Y1461" s="4">
        <f>VALUE(SUBSTITUTE(MID($A1461,F1461+F$2+1,G1461-F1461-F$2-1),",","."))</f>
        <v>0</v>
      </c>
      <c r="Z1461" s="3">
        <f>VALUE(SUBSTITUTE(MID($A1461,G1461+G$2+1,H1461-G1461-G$2-1),",","."))</f>
        <v>0</v>
      </c>
      <c r="AA1461" s="3">
        <f>VALUE(SUBSTITUTE(MID($A1461,H1461+H$2+1,I1461-H1461-H$2-1),",","."))</f>
        <v>0</v>
      </c>
      <c r="AB1461" s="3">
        <f>VALUE(SUBSTITUTE(MID($A1461,I1461+I$2+1,J1461-I1461-I$2-1),",","."))</f>
        <v>0</v>
      </c>
      <c r="AC1461" s="3">
        <f>VALUE(SUBSTITUTE(MID($A1461,J1461+J$2+1,K1461-J1461-J$2-1),",","."))</f>
        <v>0</v>
      </c>
      <c r="AD1461" s="3">
        <f>VALUE(SUBSTITUTE(MID($A1461,K1461+K$2+1,L1461-K1461-K$2-1),",","."))</f>
        <v>0</v>
      </c>
      <c r="AE1461" s="3">
        <f>VALUE(SUBSTITUTE(MID($A1461,L1461+L$2+1,M1461-L1461-L$2-1),",","."))</f>
        <v>0</v>
      </c>
      <c r="AF1461" s="3">
        <f>VALUE(SUBSTITUTE(MID($A1461,M1461+M$2+1,N1461-M1461-M$2-1),",","."))</f>
        <v>0</v>
      </c>
      <c r="AG1461" s="3">
        <f>VALUE(SUBSTITUTE(MID($A1461,N1461+N$2+1,O1461-N1461-N$2-1),",","."))</f>
        <v>4.2450427415013898</v>
      </c>
      <c r="AH1461" t="str">
        <f>MID($A1461,O1461+O$2+1,P1461-O1461-O$2-1)</f>
        <v/>
      </c>
      <c r="AI1461" s="8" t="str">
        <f>MID($A1461,P1461+P$2+1,Q1461-P1461-P$2-1)</f>
        <v>False</v>
      </c>
      <c r="AK1461" t="b">
        <f t="shared" si="192"/>
        <v>0</v>
      </c>
    </row>
    <row r="1462" spans="1:37" x14ac:dyDescent="0.35">
      <c r="A1462" t="s">
        <v>6009</v>
      </c>
      <c r="B1462">
        <f t="shared" si="195"/>
        <v>10</v>
      </c>
      <c r="C1462">
        <f t="shared" si="195"/>
        <v>43</v>
      </c>
      <c r="D1462">
        <f t="shared" si="195"/>
        <v>54</v>
      </c>
      <c r="E1462">
        <f t="shared" si="195"/>
        <v>80</v>
      </c>
      <c r="F1462">
        <f t="shared" si="195"/>
        <v>124</v>
      </c>
      <c r="G1462">
        <f t="shared" si="195"/>
        <v>145</v>
      </c>
      <c r="H1462">
        <f t="shared" si="195"/>
        <v>177</v>
      </c>
      <c r="I1462">
        <f t="shared" si="195"/>
        <v>199</v>
      </c>
      <c r="J1462">
        <f t="shared" si="195"/>
        <v>232</v>
      </c>
      <c r="K1462">
        <f t="shared" si="195"/>
        <v>249</v>
      </c>
      <c r="L1462">
        <f t="shared" si="195"/>
        <v>264</v>
      </c>
      <c r="M1462">
        <f t="shared" si="195"/>
        <v>279</v>
      </c>
      <c r="N1462">
        <f t="shared" si="195"/>
        <v>291</v>
      </c>
      <c r="O1462">
        <f t="shared" si="195"/>
        <v>316</v>
      </c>
      <c r="P1462">
        <f t="shared" si="195"/>
        <v>334</v>
      </c>
      <c r="Q1462">
        <f t="shared" si="193"/>
        <v>360</v>
      </c>
      <c r="S1462" t="str">
        <f t="shared" si="187"/>
        <v>12.12.2025</v>
      </c>
      <c r="T1462" t="str">
        <f t="shared" si="188"/>
        <v>00:00:00</v>
      </c>
      <c r="U1462" t="str">
        <f t="shared" si="191"/>
        <v>12.12.2025 00:00:00</v>
      </c>
      <c r="V1462" s="9" t="str">
        <f>MID($A1462,C1462+C$2+1,D1462-C1462-C$2-1)</f>
        <v>0</v>
      </c>
      <c r="W1462" s="4">
        <f>VALUE(SUBSTITUTE(MID($A1462,D1462+D$2+1,E1462-D1462-D$2-1),",","."))</f>
        <v>0</v>
      </c>
      <c r="X1462" s="4">
        <f>VALUE(SUBSTITUTE(MID($A1462,E1462+E$2+1,F1462-E1462-E$2-1),",","."))</f>
        <v>0.90957602214449496</v>
      </c>
      <c r="Y1462" s="4">
        <f>VALUE(SUBSTITUTE(MID($A1462,F1462+F$2+1,G1462-F1462-F$2-1),",","."))</f>
        <v>0</v>
      </c>
      <c r="Z1462" s="3">
        <f>VALUE(SUBSTITUTE(MID($A1462,G1462+G$2+1,H1462-G1462-G$2-1),",","."))</f>
        <v>0</v>
      </c>
      <c r="AA1462" s="3">
        <f>VALUE(SUBSTITUTE(MID($A1462,H1462+H$2+1,I1462-H1462-H$2-1),",","."))</f>
        <v>0</v>
      </c>
      <c r="AB1462" s="3">
        <f>VALUE(SUBSTITUTE(MID($A1462,I1462+I$2+1,J1462-I1462-I$2-1),",","."))</f>
        <v>0</v>
      </c>
      <c r="AC1462" s="3">
        <f>VALUE(SUBSTITUTE(MID($A1462,J1462+J$2+1,K1462-J1462-J$2-1),",","."))</f>
        <v>0</v>
      </c>
      <c r="AD1462" s="3">
        <f>VALUE(SUBSTITUTE(MID($A1462,K1462+K$2+1,L1462-K1462-K$2-1),",","."))</f>
        <v>0</v>
      </c>
      <c r="AE1462" s="3">
        <f>VALUE(SUBSTITUTE(MID($A1462,L1462+L$2+1,M1462-L1462-L$2-1),",","."))</f>
        <v>0</v>
      </c>
      <c r="AF1462" s="3">
        <f>VALUE(SUBSTITUTE(MID($A1462,M1462+M$2+1,N1462-M1462-M$2-1),",","."))</f>
        <v>0</v>
      </c>
      <c r="AG1462" s="3">
        <f>VALUE(SUBSTITUTE(MID($A1462,N1462+N$2+1,O1462-N1462-N$2-1),",","."))</f>
        <v>4.2450712613894703</v>
      </c>
      <c r="AH1462" t="str">
        <f>MID($A1462,O1462+O$2+1,P1462-O1462-O$2-1)</f>
        <v/>
      </c>
      <c r="AI1462" s="8" t="str">
        <f>MID($A1462,P1462+P$2+1,Q1462-P1462-P$2-1)</f>
        <v>False</v>
      </c>
      <c r="AK1462" t="b">
        <f t="shared" si="192"/>
        <v>0</v>
      </c>
    </row>
    <row r="1463" spans="1:37" x14ac:dyDescent="0.35">
      <c r="A1463" t="s">
        <v>6010</v>
      </c>
      <c r="B1463">
        <f t="shared" si="195"/>
        <v>10</v>
      </c>
      <c r="C1463">
        <f t="shared" si="195"/>
        <v>43</v>
      </c>
      <c r="D1463">
        <f t="shared" si="195"/>
        <v>54</v>
      </c>
      <c r="E1463">
        <f t="shared" si="195"/>
        <v>80</v>
      </c>
      <c r="F1463">
        <f t="shared" si="195"/>
        <v>124</v>
      </c>
      <c r="G1463">
        <f t="shared" si="195"/>
        <v>145</v>
      </c>
      <c r="H1463">
        <f t="shared" si="195"/>
        <v>177</v>
      </c>
      <c r="I1463">
        <f t="shared" si="195"/>
        <v>199</v>
      </c>
      <c r="J1463">
        <f t="shared" si="195"/>
        <v>232</v>
      </c>
      <c r="K1463">
        <f t="shared" si="195"/>
        <v>249</v>
      </c>
      <c r="L1463">
        <f t="shared" si="195"/>
        <v>264</v>
      </c>
      <c r="M1463">
        <f t="shared" si="195"/>
        <v>279</v>
      </c>
      <c r="N1463">
        <f t="shared" si="195"/>
        <v>291</v>
      </c>
      <c r="O1463">
        <f t="shared" si="195"/>
        <v>316</v>
      </c>
      <c r="P1463">
        <f t="shared" si="195"/>
        <v>334</v>
      </c>
      <c r="Q1463">
        <f t="shared" si="193"/>
        <v>360</v>
      </c>
      <c r="S1463" t="str">
        <f t="shared" si="187"/>
        <v>12.12.2025</v>
      </c>
      <c r="T1463" t="str">
        <f t="shared" si="188"/>
        <v>00:15:00</v>
      </c>
      <c r="U1463" t="str">
        <f t="shared" si="191"/>
        <v>12.12.2025 00:15:00</v>
      </c>
      <c r="V1463" s="9" t="str">
        <f>MID($A1463,C1463+C$2+1,D1463-C1463-C$2-1)</f>
        <v>0</v>
      </c>
      <c r="W1463" s="4">
        <f>VALUE(SUBSTITUTE(MID($A1463,D1463+D$2+1,E1463-D1463-D$2-1),",","."))</f>
        <v>0</v>
      </c>
      <c r="X1463" s="4">
        <f>VALUE(SUBSTITUTE(MID($A1463,E1463+E$2+1,F1463-E1463-E$2-1),",","."))</f>
        <v>0.90957602214449496</v>
      </c>
      <c r="Y1463" s="4">
        <f>VALUE(SUBSTITUTE(MID($A1463,F1463+F$2+1,G1463-F1463-F$2-1),",","."))</f>
        <v>0</v>
      </c>
      <c r="Z1463" s="3">
        <f>VALUE(SUBSTITUTE(MID($A1463,G1463+G$2+1,H1463-G1463-G$2-1),",","."))</f>
        <v>0</v>
      </c>
      <c r="AA1463" s="3">
        <f>VALUE(SUBSTITUTE(MID($A1463,H1463+H$2+1,I1463-H1463-H$2-1),",","."))</f>
        <v>0</v>
      </c>
      <c r="AB1463" s="3">
        <f>VALUE(SUBSTITUTE(MID($A1463,I1463+I$2+1,J1463-I1463-I$2-1),",","."))</f>
        <v>0</v>
      </c>
      <c r="AC1463" s="3">
        <f>VALUE(SUBSTITUTE(MID($A1463,J1463+J$2+1,K1463-J1463-J$2-1),",","."))</f>
        <v>0</v>
      </c>
      <c r="AD1463" s="3">
        <f>VALUE(SUBSTITUTE(MID($A1463,K1463+K$2+1,L1463-K1463-K$2-1),",","."))</f>
        <v>0</v>
      </c>
      <c r="AE1463" s="3">
        <f>VALUE(SUBSTITUTE(MID($A1463,L1463+L$2+1,M1463-L1463-L$2-1),",","."))</f>
        <v>0</v>
      </c>
      <c r="AF1463" s="3">
        <f>VALUE(SUBSTITUTE(MID($A1463,M1463+M$2+1,N1463-M1463-M$2-1),",","."))</f>
        <v>0</v>
      </c>
      <c r="AG1463" s="3">
        <f>VALUE(SUBSTITUTE(MID($A1463,N1463+N$2+1,O1463-N1463-N$2-1),",","."))</f>
        <v>4.2450997812775499</v>
      </c>
      <c r="AH1463" t="str">
        <f>MID($A1463,O1463+O$2+1,P1463-O1463-O$2-1)</f>
        <v/>
      </c>
      <c r="AI1463" s="8" t="str">
        <f>MID($A1463,P1463+P$2+1,Q1463-P1463-P$2-1)</f>
        <v>False</v>
      </c>
      <c r="AK1463" t="b">
        <f t="shared" si="192"/>
        <v>0</v>
      </c>
    </row>
    <row r="1464" spans="1:37" x14ac:dyDescent="0.35">
      <c r="A1464" t="s">
        <v>6011</v>
      </c>
      <c r="B1464">
        <f t="shared" si="195"/>
        <v>10</v>
      </c>
      <c r="C1464">
        <f t="shared" si="195"/>
        <v>43</v>
      </c>
      <c r="D1464">
        <f t="shared" si="195"/>
        <v>54</v>
      </c>
      <c r="E1464">
        <f t="shared" si="195"/>
        <v>80</v>
      </c>
      <c r="F1464">
        <f t="shared" si="195"/>
        <v>124</v>
      </c>
      <c r="G1464">
        <f t="shared" si="195"/>
        <v>145</v>
      </c>
      <c r="H1464">
        <f t="shared" si="195"/>
        <v>177</v>
      </c>
      <c r="I1464">
        <f t="shared" si="195"/>
        <v>199</v>
      </c>
      <c r="J1464">
        <f t="shared" si="195"/>
        <v>232</v>
      </c>
      <c r="K1464">
        <f t="shared" si="195"/>
        <v>249</v>
      </c>
      <c r="L1464">
        <f t="shared" si="195"/>
        <v>264</v>
      </c>
      <c r="M1464">
        <f t="shared" si="195"/>
        <v>279</v>
      </c>
      <c r="N1464">
        <f t="shared" si="195"/>
        <v>291</v>
      </c>
      <c r="O1464">
        <f t="shared" si="195"/>
        <v>317</v>
      </c>
      <c r="P1464">
        <f t="shared" si="195"/>
        <v>335</v>
      </c>
      <c r="Q1464">
        <f t="shared" si="193"/>
        <v>361</v>
      </c>
      <c r="S1464" t="str">
        <f t="shared" ref="S1464:S1527" si="196">LEFT(U1464,10)</f>
        <v>12.12.2025</v>
      </c>
      <c r="T1464" t="str">
        <f t="shared" ref="T1464:T1527" si="197">MID(U1464,12,8)</f>
        <v>00:30:00</v>
      </c>
      <c r="U1464" t="str">
        <f t="shared" si="191"/>
        <v>12.12.2025 00:30:00</v>
      </c>
      <c r="V1464" s="9" t="str">
        <f>MID($A1464,C1464+C$2+1,D1464-C1464-C$2-1)</f>
        <v>0</v>
      </c>
      <c r="W1464" s="4">
        <f>VALUE(SUBSTITUTE(MID($A1464,D1464+D$2+1,E1464-D1464-D$2-1),",","."))</f>
        <v>0</v>
      </c>
      <c r="X1464" s="4">
        <f>VALUE(SUBSTITUTE(MID($A1464,E1464+E$2+1,F1464-E1464-E$2-1),",","."))</f>
        <v>0.90957602214449496</v>
      </c>
      <c r="Y1464" s="4">
        <f>VALUE(SUBSTITUTE(MID($A1464,F1464+F$2+1,G1464-F1464-F$2-1),",","."))</f>
        <v>0</v>
      </c>
      <c r="Z1464" s="3">
        <f>VALUE(SUBSTITUTE(MID($A1464,G1464+G$2+1,H1464-G1464-G$2-1),",","."))</f>
        <v>0</v>
      </c>
      <c r="AA1464" s="3">
        <f>VALUE(SUBSTITUTE(MID($A1464,H1464+H$2+1,I1464-H1464-H$2-1),",","."))</f>
        <v>0</v>
      </c>
      <c r="AB1464" s="3">
        <f>VALUE(SUBSTITUTE(MID($A1464,I1464+I$2+1,J1464-I1464-I$2-1),",","."))</f>
        <v>0</v>
      </c>
      <c r="AC1464" s="3">
        <f>VALUE(SUBSTITUTE(MID($A1464,J1464+J$2+1,K1464-J1464-J$2-1),",","."))</f>
        <v>0</v>
      </c>
      <c r="AD1464" s="3">
        <f>VALUE(SUBSTITUTE(MID($A1464,K1464+K$2+1,L1464-K1464-K$2-1),",","."))</f>
        <v>0</v>
      </c>
      <c r="AE1464" s="3">
        <f>VALUE(SUBSTITUTE(MID($A1464,L1464+L$2+1,M1464-L1464-L$2-1),",","."))</f>
        <v>0</v>
      </c>
      <c r="AF1464" s="3">
        <f>VALUE(SUBSTITUTE(MID($A1464,M1464+M$2+1,N1464-M1464-M$2-1),",","."))</f>
        <v>0</v>
      </c>
      <c r="AG1464" s="3">
        <f>VALUE(SUBSTITUTE(MID($A1464,N1464+N$2+1,O1464-N1464-N$2-1),",","."))</f>
        <v>4.2451283011656296</v>
      </c>
      <c r="AH1464" t="str">
        <f>MID($A1464,O1464+O$2+1,P1464-O1464-O$2-1)</f>
        <v/>
      </c>
      <c r="AI1464" s="8" t="str">
        <f>MID($A1464,P1464+P$2+1,Q1464-P1464-P$2-1)</f>
        <v>False</v>
      </c>
      <c r="AK1464" t="b">
        <f t="shared" si="192"/>
        <v>0</v>
      </c>
    </row>
    <row r="1465" spans="1:37" x14ac:dyDescent="0.35">
      <c r="A1465" t="s">
        <v>6012</v>
      </c>
      <c r="B1465">
        <f t="shared" si="195"/>
        <v>10</v>
      </c>
      <c r="C1465">
        <f t="shared" si="195"/>
        <v>43</v>
      </c>
      <c r="D1465">
        <f t="shared" si="195"/>
        <v>54</v>
      </c>
      <c r="E1465">
        <f t="shared" si="195"/>
        <v>80</v>
      </c>
      <c r="F1465">
        <f t="shared" si="195"/>
        <v>124</v>
      </c>
      <c r="G1465">
        <f t="shared" si="195"/>
        <v>145</v>
      </c>
      <c r="H1465">
        <f t="shared" si="195"/>
        <v>177</v>
      </c>
      <c r="I1465">
        <f t="shared" si="195"/>
        <v>199</v>
      </c>
      <c r="J1465">
        <f t="shared" si="195"/>
        <v>232</v>
      </c>
      <c r="K1465">
        <f t="shared" si="195"/>
        <v>249</v>
      </c>
      <c r="L1465">
        <f t="shared" si="195"/>
        <v>264</v>
      </c>
      <c r="M1465">
        <f t="shared" si="195"/>
        <v>279</v>
      </c>
      <c r="N1465">
        <f t="shared" si="195"/>
        <v>291</v>
      </c>
      <c r="O1465">
        <f t="shared" si="195"/>
        <v>316</v>
      </c>
      <c r="P1465">
        <f t="shared" si="195"/>
        <v>334</v>
      </c>
      <c r="Q1465">
        <f t="shared" si="193"/>
        <v>360</v>
      </c>
      <c r="S1465" t="str">
        <f t="shared" si="196"/>
        <v>12.12.2025</v>
      </c>
      <c r="T1465" t="str">
        <f t="shared" si="197"/>
        <v>00:45:00</v>
      </c>
      <c r="U1465" t="str">
        <f t="shared" si="191"/>
        <v>12.12.2025 00:45:00</v>
      </c>
      <c r="V1465" s="9" t="str">
        <f>MID($A1465,C1465+C$2+1,D1465-C1465-C$2-1)</f>
        <v>0</v>
      </c>
      <c r="W1465" s="4">
        <f>VALUE(SUBSTITUTE(MID($A1465,D1465+D$2+1,E1465-D1465-D$2-1),",","."))</f>
        <v>0</v>
      </c>
      <c r="X1465" s="4">
        <f>VALUE(SUBSTITUTE(MID($A1465,E1465+E$2+1,F1465-E1465-E$2-1),",","."))</f>
        <v>0.90957602214449496</v>
      </c>
      <c r="Y1465" s="4">
        <f>VALUE(SUBSTITUTE(MID($A1465,F1465+F$2+1,G1465-F1465-F$2-1),",","."))</f>
        <v>0</v>
      </c>
      <c r="Z1465" s="3">
        <f>VALUE(SUBSTITUTE(MID($A1465,G1465+G$2+1,H1465-G1465-G$2-1),",","."))</f>
        <v>0</v>
      </c>
      <c r="AA1465" s="3">
        <f>VALUE(SUBSTITUTE(MID($A1465,H1465+H$2+1,I1465-H1465-H$2-1),",","."))</f>
        <v>0</v>
      </c>
      <c r="AB1465" s="3">
        <f>VALUE(SUBSTITUTE(MID($A1465,I1465+I$2+1,J1465-I1465-I$2-1),",","."))</f>
        <v>0</v>
      </c>
      <c r="AC1465" s="3">
        <f>VALUE(SUBSTITUTE(MID($A1465,J1465+J$2+1,K1465-J1465-J$2-1),",","."))</f>
        <v>0</v>
      </c>
      <c r="AD1465" s="3">
        <f>VALUE(SUBSTITUTE(MID($A1465,K1465+K$2+1,L1465-K1465-K$2-1),",","."))</f>
        <v>0</v>
      </c>
      <c r="AE1465" s="3">
        <f>VALUE(SUBSTITUTE(MID($A1465,L1465+L$2+1,M1465-L1465-L$2-1),",","."))</f>
        <v>0</v>
      </c>
      <c r="AF1465" s="3">
        <f>VALUE(SUBSTITUTE(MID($A1465,M1465+M$2+1,N1465-M1465-M$2-1),",","."))</f>
        <v>0</v>
      </c>
      <c r="AG1465" s="3">
        <f>VALUE(SUBSTITUTE(MID($A1465,N1465+N$2+1,O1465-N1465-N$2-1),",","."))</f>
        <v>4.2451568210537101</v>
      </c>
      <c r="AH1465" t="str">
        <f>MID($A1465,O1465+O$2+1,P1465-O1465-O$2-1)</f>
        <v/>
      </c>
      <c r="AI1465" s="8" t="str">
        <f>MID($A1465,P1465+P$2+1,Q1465-P1465-P$2-1)</f>
        <v>False</v>
      </c>
      <c r="AK1465" t="b">
        <f t="shared" si="192"/>
        <v>0</v>
      </c>
    </row>
    <row r="1466" spans="1:37" x14ac:dyDescent="0.35">
      <c r="A1466" t="s">
        <v>6013</v>
      </c>
      <c r="B1466">
        <f t="shared" si="195"/>
        <v>10</v>
      </c>
      <c r="C1466">
        <f t="shared" si="195"/>
        <v>43</v>
      </c>
      <c r="D1466">
        <f t="shared" si="195"/>
        <v>54</v>
      </c>
      <c r="E1466">
        <f t="shared" si="195"/>
        <v>80</v>
      </c>
      <c r="F1466">
        <f t="shared" si="195"/>
        <v>124</v>
      </c>
      <c r="G1466">
        <f t="shared" si="195"/>
        <v>145</v>
      </c>
      <c r="H1466">
        <f t="shared" si="195"/>
        <v>177</v>
      </c>
      <c r="I1466">
        <f t="shared" si="195"/>
        <v>199</v>
      </c>
      <c r="J1466">
        <f t="shared" si="195"/>
        <v>232</v>
      </c>
      <c r="K1466">
        <f t="shared" si="195"/>
        <v>249</v>
      </c>
      <c r="L1466">
        <f t="shared" si="195"/>
        <v>264</v>
      </c>
      <c r="M1466">
        <f t="shared" si="195"/>
        <v>279</v>
      </c>
      <c r="N1466">
        <f t="shared" si="195"/>
        <v>291</v>
      </c>
      <c r="O1466">
        <f t="shared" si="195"/>
        <v>314</v>
      </c>
      <c r="P1466">
        <f t="shared" si="195"/>
        <v>332</v>
      </c>
      <c r="Q1466">
        <f t="shared" si="193"/>
        <v>358</v>
      </c>
      <c r="S1466" t="str">
        <f t="shared" si="196"/>
        <v>12.12.2025</v>
      </c>
      <c r="T1466" t="str">
        <f t="shared" si="197"/>
        <v>01:00:00</v>
      </c>
      <c r="U1466" t="str">
        <f t="shared" si="191"/>
        <v>12.12.2025 01:00:00</v>
      </c>
      <c r="V1466" s="9" t="str">
        <f>MID($A1466,C1466+C$2+1,D1466-C1466-C$2-1)</f>
        <v>0</v>
      </c>
      <c r="W1466" s="4">
        <f>VALUE(SUBSTITUTE(MID($A1466,D1466+D$2+1,E1466-D1466-D$2-1),",","."))</f>
        <v>0</v>
      </c>
      <c r="X1466" s="4">
        <f>VALUE(SUBSTITUTE(MID($A1466,E1466+E$2+1,F1466-E1466-E$2-1),",","."))</f>
        <v>0.90957602214449496</v>
      </c>
      <c r="Y1466" s="4">
        <f>VALUE(SUBSTITUTE(MID($A1466,F1466+F$2+1,G1466-F1466-F$2-1),",","."))</f>
        <v>0</v>
      </c>
      <c r="Z1466" s="3">
        <f>VALUE(SUBSTITUTE(MID($A1466,G1466+G$2+1,H1466-G1466-G$2-1),",","."))</f>
        <v>0</v>
      </c>
      <c r="AA1466" s="3">
        <f>VALUE(SUBSTITUTE(MID($A1466,H1466+H$2+1,I1466-H1466-H$2-1),",","."))</f>
        <v>0</v>
      </c>
      <c r="AB1466" s="3">
        <f>VALUE(SUBSTITUTE(MID($A1466,I1466+I$2+1,J1466-I1466-I$2-1),",","."))</f>
        <v>0</v>
      </c>
      <c r="AC1466" s="3">
        <f>VALUE(SUBSTITUTE(MID($A1466,J1466+J$2+1,K1466-J1466-J$2-1),",","."))</f>
        <v>0</v>
      </c>
      <c r="AD1466" s="3">
        <f>VALUE(SUBSTITUTE(MID($A1466,K1466+K$2+1,L1466-K1466-K$2-1),",","."))</f>
        <v>0</v>
      </c>
      <c r="AE1466" s="3">
        <f>VALUE(SUBSTITUTE(MID($A1466,L1466+L$2+1,M1466-L1466-L$2-1),",","."))</f>
        <v>0</v>
      </c>
      <c r="AF1466" s="3">
        <f>VALUE(SUBSTITUTE(MID($A1466,M1466+M$2+1,N1466-M1466-M$2-1),",","."))</f>
        <v>0</v>
      </c>
      <c r="AG1466" s="3">
        <f>VALUE(SUBSTITUTE(MID($A1466,N1466+N$2+1,O1466-N1466-N$2-1),",","."))</f>
        <v>4.2451853409418003</v>
      </c>
      <c r="AH1466" t="str">
        <f>MID($A1466,O1466+O$2+1,P1466-O1466-O$2-1)</f>
        <v/>
      </c>
      <c r="AI1466" s="8" t="str">
        <f>MID($A1466,P1466+P$2+1,Q1466-P1466-P$2-1)</f>
        <v>False</v>
      </c>
      <c r="AK1466" t="b">
        <f t="shared" si="192"/>
        <v>0</v>
      </c>
    </row>
    <row r="1467" spans="1:37" x14ac:dyDescent="0.35">
      <c r="A1467" t="s">
        <v>6014</v>
      </c>
      <c r="B1467">
        <f t="shared" si="195"/>
        <v>10</v>
      </c>
      <c r="C1467">
        <f t="shared" si="195"/>
        <v>43</v>
      </c>
      <c r="D1467">
        <f t="shared" si="195"/>
        <v>54</v>
      </c>
      <c r="E1467">
        <f t="shared" si="195"/>
        <v>80</v>
      </c>
      <c r="F1467">
        <f t="shared" si="195"/>
        <v>124</v>
      </c>
      <c r="G1467">
        <f t="shared" si="195"/>
        <v>145</v>
      </c>
      <c r="H1467">
        <f t="shared" si="195"/>
        <v>177</v>
      </c>
      <c r="I1467">
        <f t="shared" si="195"/>
        <v>199</v>
      </c>
      <c r="J1467">
        <f t="shared" si="195"/>
        <v>232</v>
      </c>
      <c r="K1467">
        <f t="shared" si="195"/>
        <v>249</v>
      </c>
      <c r="L1467">
        <f t="shared" si="195"/>
        <v>264</v>
      </c>
      <c r="M1467">
        <f t="shared" si="195"/>
        <v>279</v>
      </c>
      <c r="N1467">
        <f t="shared" si="195"/>
        <v>291</v>
      </c>
      <c r="O1467">
        <f t="shared" si="195"/>
        <v>316</v>
      </c>
      <c r="P1467">
        <f t="shared" si="195"/>
        <v>334</v>
      </c>
      <c r="Q1467">
        <f t="shared" si="193"/>
        <v>360</v>
      </c>
      <c r="S1467" t="str">
        <f t="shared" si="196"/>
        <v>12.12.2025</v>
      </c>
      <c r="T1467" t="str">
        <f t="shared" si="197"/>
        <v>01:15:00</v>
      </c>
      <c r="U1467" t="str">
        <f t="shared" si="191"/>
        <v>12.12.2025 01:15:00</v>
      </c>
      <c r="V1467" s="9" t="str">
        <f>MID($A1467,C1467+C$2+1,D1467-C1467-C$2-1)</f>
        <v>0</v>
      </c>
      <c r="W1467" s="4">
        <f>VALUE(SUBSTITUTE(MID($A1467,D1467+D$2+1,E1467-D1467-D$2-1),",","."))</f>
        <v>0</v>
      </c>
      <c r="X1467" s="4">
        <f>VALUE(SUBSTITUTE(MID($A1467,E1467+E$2+1,F1467-E1467-E$2-1),",","."))</f>
        <v>0.90957602214449496</v>
      </c>
      <c r="Y1467" s="4">
        <f>VALUE(SUBSTITUTE(MID($A1467,F1467+F$2+1,G1467-F1467-F$2-1),",","."))</f>
        <v>0</v>
      </c>
      <c r="Z1467" s="3">
        <f>VALUE(SUBSTITUTE(MID($A1467,G1467+G$2+1,H1467-G1467-G$2-1),",","."))</f>
        <v>0</v>
      </c>
      <c r="AA1467" s="3">
        <f>VALUE(SUBSTITUTE(MID($A1467,H1467+H$2+1,I1467-H1467-H$2-1),",","."))</f>
        <v>0</v>
      </c>
      <c r="AB1467" s="3">
        <f>VALUE(SUBSTITUTE(MID($A1467,I1467+I$2+1,J1467-I1467-I$2-1),",","."))</f>
        <v>0</v>
      </c>
      <c r="AC1467" s="3">
        <f>VALUE(SUBSTITUTE(MID($A1467,J1467+J$2+1,K1467-J1467-J$2-1),",","."))</f>
        <v>0</v>
      </c>
      <c r="AD1467" s="3">
        <f>VALUE(SUBSTITUTE(MID($A1467,K1467+K$2+1,L1467-K1467-K$2-1),",","."))</f>
        <v>0</v>
      </c>
      <c r="AE1467" s="3">
        <f>VALUE(SUBSTITUTE(MID($A1467,L1467+L$2+1,M1467-L1467-L$2-1),",","."))</f>
        <v>0</v>
      </c>
      <c r="AF1467" s="3">
        <f>VALUE(SUBSTITUTE(MID($A1467,M1467+M$2+1,N1467-M1467-M$2-1),",","."))</f>
        <v>0</v>
      </c>
      <c r="AG1467" s="3">
        <f>VALUE(SUBSTITUTE(MID($A1467,N1467+N$2+1,O1467-N1467-N$2-1),",","."))</f>
        <v>4.2452138608298799</v>
      </c>
      <c r="AH1467" t="str">
        <f>MID($A1467,O1467+O$2+1,P1467-O1467-O$2-1)</f>
        <v/>
      </c>
      <c r="AI1467" s="8" t="str">
        <f>MID($A1467,P1467+P$2+1,Q1467-P1467-P$2-1)</f>
        <v>False</v>
      </c>
      <c r="AK1467" t="b">
        <f t="shared" si="192"/>
        <v>0</v>
      </c>
    </row>
    <row r="1468" spans="1:37" x14ac:dyDescent="0.35">
      <c r="A1468" t="s">
        <v>6015</v>
      </c>
      <c r="B1468">
        <f t="shared" si="195"/>
        <v>10</v>
      </c>
      <c r="C1468">
        <f t="shared" si="195"/>
        <v>43</v>
      </c>
      <c r="D1468">
        <f t="shared" si="195"/>
        <v>54</v>
      </c>
      <c r="E1468">
        <f t="shared" si="195"/>
        <v>80</v>
      </c>
      <c r="F1468">
        <f t="shared" si="195"/>
        <v>124</v>
      </c>
      <c r="G1468">
        <f t="shared" si="195"/>
        <v>145</v>
      </c>
      <c r="H1468">
        <f t="shared" si="195"/>
        <v>177</v>
      </c>
      <c r="I1468">
        <f t="shared" si="195"/>
        <v>199</v>
      </c>
      <c r="J1468">
        <f t="shared" si="195"/>
        <v>232</v>
      </c>
      <c r="K1468">
        <f t="shared" si="195"/>
        <v>249</v>
      </c>
      <c r="L1468">
        <f t="shared" si="195"/>
        <v>264</v>
      </c>
      <c r="M1468">
        <f t="shared" si="195"/>
        <v>279</v>
      </c>
      <c r="N1468">
        <f t="shared" si="195"/>
        <v>291</v>
      </c>
      <c r="O1468">
        <f t="shared" si="195"/>
        <v>316</v>
      </c>
      <c r="P1468">
        <f t="shared" si="195"/>
        <v>334</v>
      </c>
      <c r="Q1468">
        <f t="shared" si="193"/>
        <v>360</v>
      </c>
      <c r="S1468" t="str">
        <f t="shared" si="196"/>
        <v>12.12.2025</v>
      </c>
      <c r="T1468" t="str">
        <f t="shared" si="197"/>
        <v>01:30:00</v>
      </c>
      <c r="U1468" t="str">
        <f t="shared" si="191"/>
        <v>12.12.2025 01:30:00</v>
      </c>
      <c r="V1468" s="9" t="str">
        <f>MID($A1468,C1468+C$2+1,D1468-C1468-C$2-1)</f>
        <v>0</v>
      </c>
      <c r="W1468" s="4">
        <f>VALUE(SUBSTITUTE(MID($A1468,D1468+D$2+1,E1468-D1468-D$2-1),",","."))</f>
        <v>0</v>
      </c>
      <c r="X1468" s="4">
        <f>VALUE(SUBSTITUTE(MID($A1468,E1468+E$2+1,F1468-E1468-E$2-1),",","."))</f>
        <v>0.90957602214449496</v>
      </c>
      <c r="Y1468" s="4">
        <f>VALUE(SUBSTITUTE(MID($A1468,F1468+F$2+1,G1468-F1468-F$2-1),",","."))</f>
        <v>0</v>
      </c>
      <c r="Z1468" s="3">
        <f>VALUE(SUBSTITUTE(MID($A1468,G1468+G$2+1,H1468-G1468-G$2-1),",","."))</f>
        <v>0</v>
      </c>
      <c r="AA1468" s="3">
        <f>VALUE(SUBSTITUTE(MID($A1468,H1468+H$2+1,I1468-H1468-H$2-1),",","."))</f>
        <v>0</v>
      </c>
      <c r="AB1468" s="3">
        <f>VALUE(SUBSTITUTE(MID($A1468,I1468+I$2+1,J1468-I1468-I$2-1),",","."))</f>
        <v>0</v>
      </c>
      <c r="AC1468" s="3">
        <f>VALUE(SUBSTITUTE(MID($A1468,J1468+J$2+1,K1468-J1468-J$2-1),",","."))</f>
        <v>0</v>
      </c>
      <c r="AD1468" s="3">
        <f>VALUE(SUBSTITUTE(MID($A1468,K1468+K$2+1,L1468-K1468-K$2-1),",","."))</f>
        <v>0</v>
      </c>
      <c r="AE1468" s="3">
        <f>VALUE(SUBSTITUTE(MID($A1468,L1468+L$2+1,M1468-L1468-L$2-1),",","."))</f>
        <v>0</v>
      </c>
      <c r="AF1468" s="3">
        <f>VALUE(SUBSTITUTE(MID($A1468,M1468+M$2+1,N1468-M1468-M$2-1),",","."))</f>
        <v>0</v>
      </c>
      <c r="AG1468" s="3">
        <f>VALUE(SUBSTITUTE(MID($A1468,N1468+N$2+1,O1468-N1468-N$2-1),",","."))</f>
        <v>4.2452423807179596</v>
      </c>
      <c r="AH1468" t="str">
        <f>MID($A1468,O1468+O$2+1,P1468-O1468-O$2-1)</f>
        <v/>
      </c>
      <c r="AI1468" s="8" t="str">
        <f>MID($A1468,P1468+P$2+1,Q1468-P1468-P$2-1)</f>
        <v>False</v>
      </c>
      <c r="AK1468" t="b">
        <f t="shared" si="192"/>
        <v>0</v>
      </c>
    </row>
    <row r="1469" spans="1:37" x14ac:dyDescent="0.35">
      <c r="A1469" t="s">
        <v>6016</v>
      </c>
      <c r="B1469">
        <f t="shared" si="195"/>
        <v>10</v>
      </c>
      <c r="C1469">
        <f t="shared" si="195"/>
        <v>43</v>
      </c>
      <c r="D1469">
        <f t="shared" si="195"/>
        <v>54</v>
      </c>
      <c r="E1469">
        <f t="shared" si="195"/>
        <v>80</v>
      </c>
      <c r="F1469">
        <f t="shared" si="195"/>
        <v>124</v>
      </c>
      <c r="G1469">
        <f t="shared" si="195"/>
        <v>145</v>
      </c>
      <c r="H1469">
        <f t="shared" si="195"/>
        <v>177</v>
      </c>
      <c r="I1469">
        <f t="shared" si="195"/>
        <v>199</v>
      </c>
      <c r="J1469">
        <f t="shared" si="195"/>
        <v>232</v>
      </c>
      <c r="K1469">
        <f t="shared" si="195"/>
        <v>249</v>
      </c>
      <c r="L1469">
        <f t="shared" si="195"/>
        <v>264</v>
      </c>
      <c r="M1469">
        <f t="shared" si="195"/>
        <v>279</v>
      </c>
      <c r="N1469">
        <f t="shared" si="195"/>
        <v>291</v>
      </c>
      <c r="O1469">
        <f t="shared" si="195"/>
        <v>316</v>
      </c>
      <c r="P1469">
        <f t="shared" si="195"/>
        <v>334</v>
      </c>
      <c r="Q1469">
        <f t="shared" si="193"/>
        <v>360</v>
      </c>
      <c r="S1469" t="str">
        <f t="shared" si="196"/>
        <v>12.12.2025</v>
      </c>
      <c r="T1469" t="str">
        <f t="shared" si="197"/>
        <v>01:45:00</v>
      </c>
      <c r="U1469" t="str">
        <f t="shared" si="191"/>
        <v>12.12.2025 01:45:00</v>
      </c>
      <c r="V1469" s="9" t="str">
        <f>MID($A1469,C1469+C$2+1,D1469-C1469-C$2-1)</f>
        <v>0</v>
      </c>
      <c r="W1469" s="4">
        <f>VALUE(SUBSTITUTE(MID($A1469,D1469+D$2+1,E1469-D1469-D$2-1),",","."))</f>
        <v>0</v>
      </c>
      <c r="X1469" s="4">
        <f>VALUE(SUBSTITUTE(MID($A1469,E1469+E$2+1,F1469-E1469-E$2-1),",","."))</f>
        <v>0.90957602214449496</v>
      </c>
      <c r="Y1469" s="4">
        <f>VALUE(SUBSTITUTE(MID($A1469,F1469+F$2+1,G1469-F1469-F$2-1),",","."))</f>
        <v>0</v>
      </c>
      <c r="Z1469" s="3">
        <f>VALUE(SUBSTITUTE(MID($A1469,G1469+G$2+1,H1469-G1469-G$2-1),",","."))</f>
        <v>0</v>
      </c>
      <c r="AA1469" s="3">
        <f>VALUE(SUBSTITUTE(MID($A1469,H1469+H$2+1,I1469-H1469-H$2-1),",","."))</f>
        <v>0</v>
      </c>
      <c r="AB1469" s="3">
        <f>VALUE(SUBSTITUTE(MID($A1469,I1469+I$2+1,J1469-I1469-I$2-1),",","."))</f>
        <v>0</v>
      </c>
      <c r="AC1469" s="3">
        <f>VALUE(SUBSTITUTE(MID($A1469,J1469+J$2+1,K1469-J1469-J$2-1),",","."))</f>
        <v>0</v>
      </c>
      <c r="AD1469" s="3">
        <f>VALUE(SUBSTITUTE(MID($A1469,K1469+K$2+1,L1469-K1469-K$2-1),",","."))</f>
        <v>0</v>
      </c>
      <c r="AE1469" s="3">
        <f>VALUE(SUBSTITUTE(MID($A1469,L1469+L$2+1,M1469-L1469-L$2-1),",","."))</f>
        <v>0</v>
      </c>
      <c r="AF1469" s="3">
        <f>VALUE(SUBSTITUTE(MID($A1469,M1469+M$2+1,N1469-M1469-M$2-1),",","."))</f>
        <v>0</v>
      </c>
      <c r="AG1469" s="3">
        <f>VALUE(SUBSTITUTE(MID($A1469,N1469+N$2+1,O1469-N1469-N$2-1),",","."))</f>
        <v>4.2452709006060401</v>
      </c>
      <c r="AH1469" t="str">
        <f>MID($A1469,O1469+O$2+1,P1469-O1469-O$2-1)</f>
        <v/>
      </c>
      <c r="AI1469" s="8" t="str">
        <f>MID($A1469,P1469+P$2+1,Q1469-P1469-P$2-1)</f>
        <v>False</v>
      </c>
      <c r="AK1469" t="b">
        <f t="shared" si="192"/>
        <v>0</v>
      </c>
    </row>
    <row r="1470" spans="1:37" x14ac:dyDescent="0.35">
      <c r="A1470" t="s">
        <v>6017</v>
      </c>
      <c r="B1470">
        <f t="shared" si="195"/>
        <v>10</v>
      </c>
      <c r="C1470">
        <f t="shared" si="195"/>
        <v>43</v>
      </c>
      <c r="D1470">
        <f t="shared" si="195"/>
        <v>54</v>
      </c>
      <c r="E1470">
        <f t="shared" si="195"/>
        <v>80</v>
      </c>
      <c r="F1470">
        <f t="shared" si="195"/>
        <v>124</v>
      </c>
      <c r="G1470">
        <f t="shared" si="195"/>
        <v>145</v>
      </c>
      <c r="H1470">
        <f t="shared" si="195"/>
        <v>177</v>
      </c>
      <c r="I1470">
        <f t="shared" si="195"/>
        <v>199</v>
      </c>
      <c r="J1470">
        <f t="shared" si="195"/>
        <v>232</v>
      </c>
      <c r="K1470">
        <f t="shared" si="195"/>
        <v>249</v>
      </c>
      <c r="L1470">
        <f t="shared" si="195"/>
        <v>264</v>
      </c>
      <c r="M1470">
        <f t="shared" si="195"/>
        <v>279</v>
      </c>
      <c r="N1470">
        <f t="shared" si="195"/>
        <v>291</v>
      </c>
      <c r="O1470">
        <f t="shared" si="195"/>
        <v>316</v>
      </c>
      <c r="P1470">
        <f t="shared" si="195"/>
        <v>334</v>
      </c>
      <c r="Q1470">
        <f t="shared" si="193"/>
        <v>360</v>
      </c>
      <c r="S1470" t="str">
        <f t="shared" si="196"/>
        <v>12.12.2025</v>
      </c>
      <c r="T1470" t="str">
        <f t="shared" si="197"/>
        <v>02:00:00</v>
      </c>
      <c r="U1470" t="str">
        <f t="shared" si="191"/>
        <v>12.12.2025 02:00:00</v>
      </c>
      <c r="V1470" s="9" t="str">
        <f>MID($A1470,C1470+C$2+1,D1470-C1470-C$2-1)</f>
        <v>0</v>
      </c>
      <c r="W1470" s="4">
        <f>VALUE(SUBSTITUTE(MID($A1470,D1470+D$2+1,E1470-D1470-D$2-1),",","."))</f>
        <v>0</v>
      </c>
      <c r="X1470" s="4">
        <f>VALUE(SUBSTITUTE(MID($A1470,E1470+E$2+1,F1470-E1470-E$2-1),",","."))</f>
        <v>0.90957602214449496</v>
      </c>
      <c r="Y1470" s="4">
        <f>VALUE(SUBSTITUTE(MID($A1470,F1470+F$2+1,G1470-F1470-F$2-1),",","."))</f>
        <v>0</v>
      </c>
      <c r="Z1470" s="3">
        <f>VALUE(SUBSTITUTE(MID($A1470,G1470+G$2+1,H1470-G1470-G$2-1),",","."))</f>
        <v>0</v>
      </c>
      <c r="AA1470" s="3">
        <f>VALUE(SUBSTITUTE(MID($A1470,H1470+H$2+1,I1470-H1470-H$2-1),",","."))</f>
        <v>0</v>
      </c>
      <c r="AB1470" s="3">
        <f>VALUE(SUBSTITUTE(MID($A1470,I1470+I$2+1,J1470-I1470-I$2-1),",","."))</f>
        <v>0</v>
      </c>
      <c r="AC1470" s="3">
        <f>VALUE(SUBSTITUTE(MID($A1470,J1470+J$2+1,K1470-J1470-J$2-1),",","."))</f>
        <v>0</v>
      </c>
      <c r="AD1470" s="3">
        <f>VALUE(SUBSTITUTE(MID($A1470,K1470+K$2+1,L1470-K1470-K$2-1),",","."))</f>
        <v>0</v>
      </c>
      <c r="AE1470" s="3">
        <f>VALUE(SUBSTITUTE(MID($A1470,L1470+L$2+1,M1470-L1470-L$2-1),",","."))</f>
        <v>0</v>
      </c>
      <c r="AF1470" s="3">
        <f>VALUE(SUBSTITUTE(MID($A1470,M1470+M$2+1,N1470-M1470-M$2-1),",","."))</f>
        <v>0</v>
      </c>
      <c r="AG1470" s="3">
        <f>VALUE(SUBSTITUTE(MID($A1470,N1470+N$2+1,O1470-N1470-N$2-1),",","."))</f>
        <v>4.2452994204941197</v>
      </c>
      <c r="AH1470" t="str">
        <f>MID($A1470,O1470+O$2+1,P1470-O1470-O$2-1)</f>
        <v/>
      </c>
      <c r="AI1470" s="8" t="str">
        <f>MID($A1470,P1470+P$2+1,Q1470-P1470-P$2-1)</f>
        <v>False</v>
      </c>
      <c r="AK1470" t="b">
        <f t="shared" si="192"/>
        <v>0</v>
      </c>
    </row>
    <row r="1471" spans="1:37" x14ac:dyDescent="0.35">
      <c r="A1471" t="s">
        <v>6018</v>
      </c>
      <c r="B1471">
        <f t="shared" si="195"/>
        <v>10</v>
      </c>
      <c r="C1471">
        <f t="shared" si="195"/>
        <v>43</v>
      </c>
      <c r="D1471">
        <f t="shared" si="195"/>
        <v>54</v>
      </c>
      <c r="E1471">
        <f t="shared" si="195"/>
        <v>80</v>
      </c>
      <c r="F1471">
        <f t="shared" si="195"/>
        <v>124</v>
      </c>
      <c r="G1471">
        <f t="shared" si="195"/>
        <v>145</v>
      </c>
      <c r="H1471">
        <f t="shared" si="195"/>
        <v>177</v>
      </c>
      <c r="I1471">
        <f t="shared" si="195"/>
        <v>199</v>
      </c>
      <c r="J1471">
        <f t="shared" si="195"/>
        <v>232</v>
      </c>
      <c r="K1471">
        <f t="shared" si="195"/>
        <v>249</v>
      </c>
      <c r="L1471">
        <f t="shared" si="195"/>
        <v>264</v>
      </c>
      <c r="M1471">
        <f t="shared" si="195"/>
        <v>279</v>
      </c>
      <c r="N1471">
        <f t="shared" si="195"/>
        <v>291</v>
      </c>
      <c r="O1471">
        <f t="shared" si="195"/>
        <v>316</v>
      </c>
      <c r="P1471">
        <f t="shared" si="195"/>
        <v>334</v>
      </c>
      <c r="Q1471">
        <f t="shared" si="193"/>
        <v>360</v>
      </c>
      <c r="S1471" t="str">
        <f t="shared" si="196"/>
        <v>12.12.2025</v>
      </c>
      <c r="T1471" t="str">
        <f t="shared" si="197"/>
        <v>02:15:00</v>
      </c>
      <c r="U1471" t="str">
        <f t="shared" si="191"/>
        <v>12.12.2025 02:15:00</v>
      </c>
      <c r="V1471" s="9" t="str">
        <f>MID($A1471,C1471+C$2+1,D1471-C1471-C$2-1)</f>
        <v>0</v>
      </c>
      <c r="W1471" s="4">
        <f>VALUE(SUBSTITUTE(MID($A1471,D1471+D$2+1,E1471-D1471-D$2-1),",","."))</f>
        <v>0</v>
      </c>
      <c r="X1471" s="4">
        <f>VALUE(SUBSTITUTE(MID($A1471,E1471+E$2+1,F1471-E1471-E$2-1),",","."))</f>
        <v>0.90957602214449496</v>
      </c>
      <c r="Y1471" s="4">
        <f>VALUE(SUBSTITUTE(MID($A1471,F1471+F$2+1,G1471-F1471-F$2-1),",","."))</f>
        <v>0</v>
      </c>
      <c r="Z1471" s="3">
        <f>VALUE(SUBSTITUTE(MID($A1471,G1471+G$2+1,H1471-G1471-G$2-1),",","."))</f>
        <v>0</v>
      </c>
      <c r="AA1471" s="3">
        <f>VALUE(SUBSTITUTE(MID($A1471,H1471+H$2+1,I1471-H1471-H$2-1),",","."))</f>
        <v>0</v>
      </c>
      <c r="AB1471" s="3">
        <f>VALUE(SUBSTITUTE(MID($A1471,I1471+I$2+1,J1471-I1471-I$2-1),",","."))</f>
        <v>0</v>
      </c>
      <c r="AC1471" s="3">
        <f>VALUE(SUBSTITUTE(MID($A1471,J1471+J$2+1,K1471-J1471-J$2-1),",","."))</f>
        <v>0</v>
      </c>
      <c r="AD1471" s="3">
        <f>VALUE(SUBSTITUTE(MID($A1471,K1471+K$2+1,L1471-K1471-K$2-1),",","."))</f>
        <v>0</v>
      </c>
      <c r="AE1471" s="3">
        <f>VALUE(SUBSTITUTE(MID($A1471,L1471+L$2+1,M1471-L1471-L$2-1),",","."))</f>
        <v>0</v>
      </c>
      <c r="AF1471" s="3">
        <f>VALUE(SUBSTITUTE(MID($A1471,M1471+M$2+1,N1471-M1471-M$2-1),",","."))</f>
        <v>0</v>
      </c>
      <c r="AG1471" s="3">
        <f>VALUE(SUBSTITUTE(MID($A1471,N1471+N$2+1,O1471-N1471-N$2-1),",","."))</f>
        <v>4.2453279403822002</v>
      </c>
      <c r="AH1471" t="str">
        <f>MID($A1471,O1471+O$2+1,P1471-O1471-O$2-1)</f>
        <v/>
      </c>
      <c r="AI1471" s="8" t="str">
        <f>MID($A1471,P1471+P$2+1,Q1471-P1471-P$2-1)</f>
        <v>False</v>
      </c>
      <c r="AK1471" t="b">
        <f t="shared" si="192"/>
        <v>0</v>
      </c>
    </row>
    <row r="1472" spans="1:37" x14ac:dyDescent="0.35">
      <c r="A1472" t="s">
        <v>6019</v>
      </c>
      <c r="B1472">
        <f t="shared" si="195"/>
        <v>10</v>
      </c>
      <c r="C1472">
        <f t="shared" si="195"/>
        <v>43</v>
      </c>
      <c r="D1472">
        <f t="shared" si="195"/>
        <v>54</v>
      </c>
      <c r="E1472">
        <f t="shared" si="195"/>
        <v>80</v>
      </c>
      <c r="F1472">
        <f t="shared" si="195"/>
        <v>124</v>
      </c>
      <c r="G1472">
        <f t="shared" si="195"/>
        <v>145</v>
      </c>
      <c r="H1472">
        <f t="shared" si="195"/>
        <v>177</v>
      </c>
      <c r="I1472">
        <f t="shared" si="195"/>
        <v>199</v>
      </c>
      <c r="J1472">
        <f t="shared" si="195"/>
        <v>232</v>
      </c>
      <c r="K1472">
        <f t="shared" si="195"/>
        <v>249</v>
      </c>
      <c r="L1472">
        <f t="shared" si="195"/>
        <v>264</v>
      </c>
      <c r="M1472">
        <f t="shared" si="195"/>
        <v>279</v>
      </c>
      <c r="N1472">
        <f t="shared" si="195"/>
        <v>291</v>
      </c>
      <c r="O1472">
        <f t="shared" si="195"/>
        <v>315</v>
      </c>
      <c r="P1472">
        <f t="shared" si="195"/>
        <v>333</v>
      </c>
      <c r="Q1472">
        <f t="shared" si="193"/>
        <v>359</v>
      </c>
      <c r="S1472" t="str">
        <f t="shared" si="196"/>
        <v>12.12.2025</v>
      </c>
      <c r="T1472" t="str">
        <f t="shared" si="197"/>
        <v>02:30:00</v>
      </c>
      <c r="U1472" t="str">
        <f t="shared" si="191"/>
        <v>12.12.2025 02:30:00</v>
      </c>
      <c r="V1472" s="9" t="str">
        <f>MID($A1472,C1472+C$2+1,D1472-C1472-C$2-1)</f>
        <v>0</v>
      </c>
      <c r="W1472" s="4">
        <f>VALUE(SUBSTITUTE(MID($A1472,D1472+D$2+1,E1472-D1472-D$2-1),",","."))</f>
        <v>0</v>
      </c>
      <c r="X1472" s="4">
        <f>VALUE(SUBSTITUTE(MID($A1472,E1472+E$2+1,F1472-E1472-E$2-1),",","."))</f>
        <v>0.90957602214449496</v>
      </c>
      <c r="Y1472" s="4">
        <f>VALUE(SUBSTITUTE(MID($A1472,F1472+F$2+1,G1472-F1472-F$2-1),",","."))</f>
        <v>0</v>
      </c>
      <c r="Z1472" s="3">
        <f>VALUE(SUBSTITUTE(MID($A1472,G1472+G$2+1,H1472-G1472-G$2-1),",","."))</f>
        <v>0</v>
      </c>
      <c r="AA1472" s="3">
        <f>VALUE(SUBSTITUTE(MID($A1472,H1472+H$2+1,I1472-H1472-H$2-1),",","."))</f>
        <v>0</v>
      </c>
      <c r="AB1472" s="3">
        <f>VALUE(SUBSTITUTE(MID($A1472,I1472+I$2+1,J1472-I1472-I$2-1),",","."))</f>
        <v>0</v>
      </c>
      <c r="AC1472" s="3">
        <f>VALUE(SUBSTITUTE(MID($A1472,J1472+J$2+1,K1472-J1472-J$2-1),",","."))</f>
        <v>0</v>
      </c>
      <c r="AD1472" s="3">
        <f>VALUE(SUBSTITUTE(MID($A1472,K1472+K$2+1,L1472-K1472-K$2-1),",","."))</f>
        <v>0</v>
      </c>
      <c r="AE1472" s="3">
        <f>VALUE(SUBSTITUTE(MID($A1472,L1472+L$2+1,M1472-L1472-L$2-1),",","."))</f>
        <v>0</v>
      </c>
      <c r="AF1472" s="3">
        <f>VALUE(SUBSTITUTE(MID($A1472,M1472+M$2+1,N1472-M1472-M$2-1),",","."))</f>
        <v>0</v>
      </c>
      <c r="AG1472" s="3">
        <f>VALUE(SUBSTITUTE(MID($A1472,N1472+N$2+1,O1472-N1472-N$2-1),",","."))</f>
        <v>4.2453564602702896</v>
      </c>
      <c r="AH1472" t="str">
        <f>MID($A1472,O1472+O$2+1,P1472-O1472-O$2-1)</f>
        <v/>
      </c>
      <c r="AI1472" s="8" t="str">
        <f>MID($A1472,P1472+P$2+1,Q1472-P1472-P$2-1)</f>
        <v>False</v>
      </c>
      <c r="AK1472" t="b">
        <f t="shared" si="192"/>
        <v>0</v>
      </c>
    </row>
    <row r="1473" spans="1:37" x14ac:dyDescent="0.35">
      <c r="A1473" t="s">
        <v>6020</v>
      </c>
      <c r="B1473">
        <f t="shared" si="195"/>
        <v>10</v>
      </c>
      <c r="C1473">
        <f t="shared" si="195"/>
        <v>43</v>
      </c>
      <c r="D1473">
        <f t="shared" si="195"/>
        <v>54</v>
      </c>
      <c r="E1473">
        <f t="shared" si="195"/>
        <v>80</v>
      </c>
      <c r="F1473">
        <f t="shared" si="195"/>
        <v>124</v>
      </c>
      <c r="G1473">
        <f t="shared" si="195"/>
        <v>145</v>
      </c>
      <c r="H1473">
        <f t="shared" si="195"/>
        <v>177</v>
      </c>
      <c r="I1473">
        <f t="shared" si="195"/>
        <v>199</v>
      </c>
      <c r="J1473">
        <f t="shared" si="195"/>
        <v>232</v>
      </c>
      <c r="K1473">
        <f t="shared" si="195"/>
        <v>249</v>
      </c>
      <c r="L1473">
        <f t="shared" si="195"/>
        <v>264</v>
      </c>
      <c r="M1473">
        <f t="shared" si="195"/>
        <v>279</v>
      </c>
      <c r="N1473">
        <f t="shared" si="195"/>
        <v>291</v>
      </c>
      <c r="O1473">
        <f t="shared" si="195"/>
        <v>316</v>
      </c>
      <c r="P1473">
        <f t="shared" si="195"/>
        <v>334</v>
      </c>
      <c r="Q1473">
        <f t="shared" si="193"/>
        <v>360</v>
      </c>
      <c r="S1473" t="str">
        <f t="shared" si="196"/>
        <v>12.12.2025</v>
      </c>
      <c r="T1473" t="str">
        <f t="shared" si="197"/>
        <v>02:45:00</v>
      </c>
      <c r="U1473" t="str">
        <f t="shared" si="191"/>
        <v>12.12.2025 02:45:00</v>
      </c>
      <c r="V1473" s="9" t="str">
        <f>MID($A1473,C1473+C$2+1,D1473-C1473-C$2-1)</f>
        <v>0</v>
      </c>
      <c r="W1473" s="4">
        <f>VALUE(SUBSTITUTE(MID($A1473,D1473+D$2+1,E1473-D1473-D$2-1),",","."))</f>
        <v>0</v>
      </c>
      <c r="X1473" s="4">
        <f>VALUE(SUBSTITUTE(MID($A1473,E1473+E$2+1,F1473-E1473-E$2-1),",","."))</f>
        <v>0.90957602214449496</v>
      </c>
      <c r="Y1473" s="4">
        <f>VALUE(SUBSTITUTE(MID($A1473,F1473+F$2+1,G1473-F1473-F$2-1),",","."))</f>
        <v>0</v>
      </c>
      <c r="Z1473" s="3">
        <f>VALUE(SUBSTITUTE(MID($A1473,G1473+G$2+1,H1473-G1473-G$2-1),",","."))</f>
        <v>0</v>
      </c>
      <c r="AA1473" s="3">
        <f>VALUE(SUBSTITUTE(MID($A1473,H1473+H$2+1,I1473-H1473-H$2-1),",","."))</f>
        <v>0</v>
      </c>
      <c r="AB1473" s="3">
        <f>VALUE(SUBSTITUTE(MID($A1473,I1473+I$2+1,J1473-I1473-I$2-1),",","."))</f>
        <v>0</v>
      </c>
      <c r="AC1473" s="3">
        <f>VALUE(SUBSTITUTE(MID($A1473,J1473+J$2+1,K1473-J1473-J$2-1),",","."))</f>
        <v>0</v>
      </c>
      <c r="AD1473" s="3">
        <f>VALUE(SUBSTITUTE(MID($A1473,K1473+K$2+1,L1473-K1473-K$2-1),",","."))</f>
        <v>0</v>
      </c>
      <c r="AE1473" s="3">
        <f>VALUE(SUBSTITUTE(MID($A1473,L1473+L$2+1,M1473-L1473-L$2-1),",","."))</f>
        <v>0</v>
      </c>
      <c r="AF1473" s="3">
        <f>VALUE(SUBSTITUTE(MID($A1473,M1473+M$2+1,N1473-M1473-M$2-1),",","."))</f>
        <v>0</v>
      </c>
      <c r="AG1473" s="3">
        <f>VALUE(SUBSTITUTE(MID($A1473,N1473+N$2+1,O1473-N1473-N$2-1),",","."))</f>
        <v>4.2453849801583701</v>
      </c>
      <c r="AH1473" t="str">
        <f>MID($A1473,O1473+O$2+1,P1473-O1473-O$2-1)</f>
        <v/>
      </c>
      <c r="AI1473" s="8" t="str">
        <f>MID($A1473,P1473+P$2+1,Q1473-P1473-P$2-1)</f>
        <v>False</v>
      </c>
      <c r="AK1473" t="b">
        <f t="shared" si="192"/>
        <v>0</v>
      </c>
    </row>
    <row r="1474" spans="1:37" x14ac:dyDescent="0.35">
      <c r="A1474" t="s">
        <v>6021</v>
      </c>
      <c r="B1474">
        <f t="shared" ref="B1474:P1490" si="198">FIND(B$1,$A1474)</f>
        <v>10</v>
      </c>
      <c r="C1474">
        <f t="shared" si="198"/>
        <v>43</v>
      </c>
      <c r="D1474">
        <f t="shared" si="198"/>
        <v>54</v>
      </c>
      <c r="E1474">
        <f t="shared" si="198"/>
        <v>80</v>
      </c>
      <c r="F1474">
        <f t="shared" si="198"/>
        <v>124</v>
      </c>
      <c r="G1474">
        <f t="shared" si="198"/>
        <v>145</v>
      </c>
      <c r="H1474">
        <f t="shared" si="198"/>
        <v>177</v>
      </c>
      <c r="I1474">
        <f t="shared" si="198"/>
        <v>199</v>
      </c>
      <c r="J1474">
        <f t="shared" si="198"/>
        <v>232</v>
      </c>
      <c r="K1474">
        <f t="shared" si="198"/>
        <v>249</v>
      </c>
      <c r="L1474">
        <f t="shared" si="198"/>
        <v>264</v>
      </c>
      <c r="M1474">
        <f t="shared" si="198"/>
        <v>279</v>
      </c>
      <c r="N1474">
        <f t="shared" si="198"/>
        <v>291</v>
      </c>
      <c r="O1474">
        <f t="shared" si="198"/>
        <v>316</v>
      </c>
      <c r="P1474">
        <f t="shared" si="198"/>
        <v>334</v>
      </c>
      <c r="Q1474">
        <f t="shared" si="193"/>
        <v>360</v>
      </c>
      <c r="S1474" t="str">
        <f t="shared" si="196"/>
        <v>12.12.2025</v>
      </c>
      <c r="T1474" t="str">
        <f t="shared" si="197"/>
        <v>03:00:00</v>
      </c>
      <c r="U1474" t="str">
        <f t="shared" si="191"/>
        <v>12.12.2025 03:00:00</v>
      </c>
      <c r="V1474" s="9" t="str">
        <f>MID($A1474,C1474+C$2+1,D1474-C1474-C$2-1)</f>
        <v>0</v>
      </c>
      <c r="W1474" s="4">
        <f>VALUE(SUBSTITUTE(MID($A1474,D1474+D$2+1,E1474-D1474-D$2-1),",","."))</f>
        <v>0</v>
      </c>
      <c r="X1474" s="4">
        <f>VALUE(SUBSTITUTE(MID($A1474,E1474+E$2+1,F1474-E1474-E$2-1),",","."))</f>
        <v>0.90957602214449496</v>
      </c>
      <c r="Y1474" s="4">
        <f>VALUE(SUBSTITUTE(MID($A1474,F1474+F$2+1,G1474-F1474-F$2-1),",","."))</f>
        <v>0</v>
      </c>
      <c r="Z1474" s="3">
        <f>VALUE(SUBSTITUTE(MID($A1474,G1474+G$2+1,H1474-G1474-G$2-1),",","."))</f>
        <v>0</v>
      </c>
      <c r="AA1474" s="3">
        <f>VALUE(SUBSTITUTE(MID($A1474,H1474+H$2+1,I1474-H1474-H$2-1),",","."))</f>
        <v>0</v>
      </c>
      <c r="AB1474" s="3">
        <f>VALUE(SUBSTITUTE(MID($A1474,I1474+I$2+1,J1474-I1474-I$2-1),",","."))</f>
        <v>0</v>
      </c>
      <c r="AC1474" s="3">
        <f>VALUE(SUBSTITUTE(MID($A1474,J1474+J$2+1,K1474-J1474-J$2-1),",","."))</f>
        <v>0</v>
      </c>
      <c r="AD1474" s="3">
        <f>VALUE(SUBSTITUTE(MID($A1474,K1474+K$2+1,L1474-K1474-K$2-1),",","."))</f>
        <v>0</v>
      </c>
      <c r="AE1474" s="3">
        <f>VALUE(SUBSTITUTE(MID($A1474,L1474+L$2+1,M1474-L1474-L$2-1),",","."))</f>
        <v>0</v>
      </c>
      <c r="AF1474" s="3">
        <f>VALUE(SUBSTITUTE(MID($A1474,M1474+M$2+1,N1474-M1474-M$2-1),",","."))</f>
        <v>0</v>
      </c>
      <c r="AG1474" s="3">
        <f>VALUE(SUBSTITUTE(MID($A1474,N1474+N$2+1,O1474-N1474-N$2-1),",","."))</f>
        <v>4.2454135000464497</v>
      </c>
      <c r="AH1474" t="str">
        <f>MID($A1474,O1474+O$2+1,P1474-O1474-O$2-1)</f>
        <v/>
      </c>
      <c r="AI1474" s="8" t="str">
        <f>MID($A1474,P1474+P$2+1,Q1474-P1474-P$2-1)</f>
        <v>False</v>
      </c>
      <c r="AK1474" t="b">
        <f t="shared" si="192"/>
        <v>0</v>
      </c>
    </row>
    <row r="1475" spans="1:37" x14ac:dyDescent="0.35">
      <c r="A1475" t="s">
        <v>6022</v>
      </c>
      <c r="B1475">
        <f t="shared" si="198"/>
        <v>10</v>
      </c>
      <c r="C1475">
        <f t="shared" si="198"/>
        <v>43</v>
      </c>
      <c r="D1475">
        <f t="shared" si="198"/>
        <v>54</v>
      </c>
      <c r="E1475">
        <f t="shared" si="198"/>
        <v>80</v>
      </c>
      <c r="F1475">
        <f t="shared" si="198"/>
        <v>124</v>
      </c>
      <c r="G1475">
        <f t="shared" si="198"/>
        <v>145</v>
      </c>
      <c r="H1475">
        <f t="shared" si="198"/>
        <v>177</v>
      </c>
      <c r="I1475">
        <f t="shared" si="198"/>
        <v>199</v>
      </c>
      <c r="J1475">
        <f t="shared" si="198"/>
        <v>232</v>
      </c>
      <c r="K1475">
        <f t="shared" si="198"/>
        <v>249</v>
      </c>
      <c r="L1475">
        <f t="shared" si="198"/>
        <v>264</v>
      </c>
      <c r="M1475">
        <f t="shared" si="198"/>
        <v>279</v>
      </c>
      <c r="N1475">
        <f t="shared" si="198"/>
        <v>291</v>
      </c>
      <c r="O1475">
        <f t="shared" si="198"/>
        <v>316</v>
      </c>
      <c r="P1475">
        <f t="shared" si="198"/>
        <v>334</v>
      </c>
      <c r="Q1475">
        <f t="shared" si="193"/>
        <v>360</v>
      </c>
      <c r="S1475" t="str">
        <f t="shared" si="196"/>
        <v>12.12.2025</v>
      </c>
      <c r="T1475" t="str">
        <f t="shared" si="197"/>
        <v>03:15:00</v>
      </c>
      <c r="U1475" t="str">
        <f t="shared" si="191"/>
        <v>12.12.2025 03:15:00</v>
      </c>
      <c r="V1475" s="9" t="str">
        <f>MID($A1475,C1475+C$2+1,D1475-C1475-C$2-1)</f>
        <v>0</v>
      </c>
      <c r="W1475" s="4">
        <f>VALUE(SUBSTITUTE(MID($A1475,D1475+D$2+1,E1475-D1475-D$2-1),",","."))</f>
        <v>0</v>
      </c>
      <c r="X1475" s="4">
        <f>VALUE(SUBSTITUTE(MID($A1475,E1475+E$2+1,F1475-E1475-E$2-1),",","."))</f>
        <v>0.90957602214449496</v>
      </c>
      <c r="Y1475" s="4">
        <f>VALUE(SUBSTITUTE(MID($A1475,F1475+F$2+1,G1475-F1475-F$2-1),",","."))</f>
        <v>0</v>
      </c>
      <c r="Z1475" s="3">
        <f>VALUE(SUBSTITUTE(MID($A1475,G1475+G$2+1,H1475-G1475-G$2-1),",","."))</f>
        <v>0</v>
      </c>
      <c r="AA1475" s="3">
        <f>VALUE(SUBSTITUTE(MID($A1475,H1475+H$2+1,I1475-H1475-H$2-1),",","."))</f>
        <v>0</v>
      </c>
      <c r="AB1475" s="3">
        <f>VALUE(SUBSTITUTE(MID($A1475,I1475+I$2+1,J1475-I1475-I$2-1),",","."))</f>
        <v>0</v>
      </c>
      <c r="AC1475" s="3">
        <f>VALUE(SUBSTITUTE(MID($A1475,J1475+J$2+1,K1475-J1475-J$2-1),",","."))</f>
        <v>0</v>
      </c>
      <c r="AD1475" s="3">
        <f>VALUE(SUBSTITUTE(MID($A1475,K1475+K$2+1,L1475-K1475-K$2-1),",","."))</f>
        <v>0</v>
      </c>
      <c r="AE1475" s="3">
        <f>VALUE(SUBSTITUTE(MID($A1475,L1475+L$2+1,M1475-L1475-L$2-1),",","."))</f>
        <v>0</v>
      </c>
      <c r="AF1475" s="3">
        <f>VALUE(SUBSTITUTE(MID($A1475,M1475+M$2+1,N1475-M1475-M$2-1),",","."))</f>
        <v>0</v>
      </c>
      <c r="AG1475" s="3">
        <f>VALUE(SUBSTITUTE(MID($A1475,N1475+N$2+1,O1475-N1475-N$2-1),",","."))</f>
        <v>4.2454420199345302</v>
      </c>
      <c r="AH1475" t="str">
        <f>MID($A1475,O1475+O$2+1,P1475-O1475-O$2-1)</f>
        <v/>
      </c>
      <c r="AI1475" s="8" t="str">
        <f>MID($A1475,P1475+P$2+1,Q1475-P1475-P$2-1)</f>
        <v>False</v>
      </c>
      <c r="AK1475" t="b">
        <f t="shared" si="192"/>
        <v>0</v>
      </c>
    </row>
    <row r="1476" spans="1:37" x14ac:dyDescent="0.35">
      <c r="A1476" t="s">
        <v>6023</v>
      </c>
      <c r="B1476">
        <f t="shared" si="198"/>
        <v>10</v>
      </c>
      <c r="C1476">
        <f t="shared" si="198"/>
        <v>43</v>
      </c>
      <c r="D1476">
        <f t="shared" si="198"/>
        <v>54</v>
      </c>
      <c r="E1476">
        <f t="shared" si="198"/>
        <v>80</v>
      </c>
      <c r="F1476">
        <f t="shared" si="198"/>
        <v>124</v>
      </c>
      <c r="G1476">
        <f t="shared" si="198"/>
        <v>145</v>
      </c>
      <c r="H1476">
        <f t="shared" si="198"/>
        <v>177</v>
      </c>
      <c r="I1476">
        <f t="shared" si="198"/>
        <v>199</v>
      </c>
      <c r="J1476">
        <f t="shared" si="198"/>
        <v>232</v>
      </c>
      <c r="K1476">
        <f t="shared" si="198"/>
        <v>249</v>
      </c>
      <c r="L1476">
        <f t="shared" si="198"/>
        <v>264</v>
      </c>
      <c r="M1476">
        <f t="shared" si="198"/>
        <v>279</v>
      </c>
      <c r="N1476">
        <f t="shared" si="198"/>
        <v>291</v>
      </c>
      <c r="O1476">
        <f t="shared" si="198"/>
        <v>316</v>
      </c>
      <c r="P1476">
        <f t="shared" si="198"/>
        <v>334</v>
      </c>
      <c r="Q1476">
        <f t="shared" si="193"/>
        <v>360</v>
      </c>
      <c r="S1476" t="str">
        <f t="shared" si="196"/>
        <v>12.12.2025</v>
      </c>
      <c r="T1476" t="str">
        <f t="shared" si="197"/>
        <v>03:30:00</v>
      </c>
      <c r="U1476" t="str">
        <f t="shared" ref="U1476:U1539" si="199">MID($A1476,B1476+B$2+1,C1476-B1476-B$2-1)</f>
        <v>12.12.2025 03:30:00</v>
      </c>
      <c r="V1476" s="9" t="str">
        <f>MID($A1476,C1476+C$2+1,D1476-C1476-C$2-1)</f>
        <v>0</v>
      </c>
      <c r="W1476" s="4">
        <f>VALUE(SUBSTITUTE(MID($A1476,D1476+D$2+1,E1476-D1476-D$2-1),",","."))</f>
        <v>0</v>
      </c>
      <c r="X1476" s="4">
        <f>VALUE(SUBSTITUTE(MID($A1476,E1476+E$2+1,F1476-E1476-E$2-1),",","."))</f>
        <v>0.90957602214449496</v>
      </c>
      <c r="Y1476" s="4">
        <f>VALUE(SUBSTITUTE(MID($A1476,F1476+F$2+1,G1476-F1476-F$2-1),",","."))</f>
        <v>0</v>
      </c>
      <c r="Z1476" s="3">
        <f>VALUE(SUBSTITUTE(MID($A1476,G1476+G$2+1,H1476-G1476-G$2-1),",","."))</f>
        <v>0</v>
      </c>
      <c r="AA1476" s="3">
        <f>VALUE(SUBSTITUTE(MID($A1476,H1476+H$2+1,I1476-H1476-H$2-1),",","."))</f>
        <v>0</v>
      </c>
      <c r="AB1476" s="3">
        <f>VALUE(SUBSTITUTE(MID($A1476,I1476+I$2+1,J1476-I1476-I$2-1),",","."))</f>
        <v>0</v>
      </c>
      <c r="AC1476" s="3">
        <f>VALUE(SUBSTITUTE(MID($A1476,J1476+J$2+1,K1476-J1476-J$2-1),",","."))</f>
        <v>0</v>
      </c>
      <c r="AD1476" s="3">
        <f>VALUE(SUBSTITUTE(MID($A1476,K1476+K$2+1,L1476-K1476-K$2-1),",","."))</f>
        <v>0</v>
      </c>
      <c r="AE1476" s="3">
        <f>VALUE(SUBSTITUTE(MID($A1476,L1476+L$2+1,M1476-L1476-L$2-1),",","."))</f>
        <v>0</v>
      </c>
      <c r="AF1476" s="3">
        <f>VALUE(SUBSTITUTE(MID($A1476,M1476+M$2+1,N1476-M1476-M$2-1),",","."))</f>
        <v>0</v>
      </c>
      <c r="AG1476" s="3">
        <f>VALUE(SUBSTITUTE(MID($A1476,N1476+N$2+1,O1476-N1476-N$2-1),",","."))</f>
        <v>4.2454705398226098</v>
      </c>
      <c r="AH1476" t="str">
        <f>MID($A1476,O1476+O$2+1,P1476-O1476-O$2-1)</f>
        <v/>
      </c>
      <c r="AI1476" s="8" t="str">
        <f>MID($A1476,P1476+P$2+1,Q1476-P1476-P$2-1)</f>
        <v>False</v>
      </c>
      <c r="AK1476" t="b">
        <f t="shared" ref="AK1476:AK1539" si="200">AB1476&gt;Z1476</f>
        <v>0</v>
      </c>
    </row>
    <row r="1477" spans="1:37" x14ac:dyDescent="0.35">
      <c r="A1477" t="s">
        <v>6024</v>
      </c>
      <c r="B1477">
        <f t="shared" si="198"/>
        <v>10</v>
      </c>
      <c r="C1477">
        <f t="shared" si="198"/>
        <v>43</v>
      </c>
      <c r="D1477">
        <f t="shared" si="198"/>
        <v>54</v>
      </c>
      <c r="E1477">
        <f t="shared" si="198"/>
        <v>80</v>
      </c>
      <c r="F1477">
        <f t="shared" si="198"/>
        <v>124</v>
      </c>
      <c r="G1477">
        <f t="shared" si="198"/>
        <v>145</v>
      </c>
      <c r="H1477">
        <f t="shared" si="198"/>
        <v>177</v>
      </c>
      <c r="I1477">
        <f t="shared" si="198"/>
        <v>199</v>
      </c>
      <c r="J1477">
        <f t="shared" si="198"/>
        <v>232</v>
      </c>
      <c r="K1477">
        <f t="shared" si="198"/>
        <v>249</v>
      </c>
      <c r="L1477">
        <f t="shared" si="198"/>
        <v>264</v>
      </c>
      <c r="M1477">
        <f t="shared" si="198"/>
        <v>279</v>
      </c>
      <c r="N1477">
        <f t="shared" si="198"/>
        <v>291</v>
      </c>
      <c r="O1477">
        <f t="shared" si="198"/>
        <v>316</v>
      </c>
      <c r="P1477">
        <f t="shared" si="198"/>
        <v>334</v>
      </c>
      <c r="Q1477">
        <f t="shared" si="193"/>
        <v>360</v>
      </c>
      <c r="S1477" t="str">
        <f t="shared" si="196"/>
        <v>12.12.2025</v>
      </c>
      <c r="T1477" t="str">
        <f t="shared" si="197"/>
        <v>03:45:00</v>
      </c>
      <c r="U1477" t="str">
        <f t="shared" si="199"/>
        <v>12.12.2025 03:45:00</v>
      </c>
      <c r="V1477" s="9" t="str">
        <f>MID($A1477,C1477+C$2+1,D1477-C1477-C$2-1)</f>
        <v>0</v>
      </c>
      <c r="W1477" s="4">
        <f>VALUE(SUBSTITUTE(MID($A1477,D1477+D$2+1,E1477-D1477-D$2-1),",","."))</f>
        <v>0</v>
      </c>
      <c r="X1477" s="4">
        <f>VALUE(SUBSTITUTE(MID($A1477,E1477+E$2+1,F1477-E1477-E$2-1),",","."))</f>
        <v>0.90957602214449496</v>
      </c>
      <c r="Y1477" s="4">
        <f>VALUE(SUBSTITUTE(MID($A1477,F1477+F$2+1,G1477-F1477-F$2-1),",","."))</f>
        <v>0</v>
      </c>
      <c r="Z1477" s="3">
        <f>VALUE(SUBSTITUTE(MID($A1477,G1477+G$2+1,H1477-G1477-G$2-1),",","."))</f>
        <v>0</v>
      </c>
      <c r="AA1477" s="3">
        <f>VALUE(SUBSTITUTE(MID($A1477,H1477+H$2+1,I1477-H1477-H$2-1),",","."))</f>
        <v>0</v>
      </c>
      <c r="AB1477" s="3">
        <f>VALUE(SUBSTITUTE(MID($A1477,I1477+I$2+1,J1477-I1477-I$2-1),",","."))</f>
        <v>0</v>
      </c>
      <c r="AC1477" s="3">
        <f>VALUE(SUBSTITUTE(MID($A1477,J1477+J$2+1,K1477-J1477-J$2-1),",","."))</f>
        <v>0</v>
      </c>
      <c r="AD1477" s="3">
        <f>VALUE(SUBSTITUTE(MID($A1477,K1477+K$2+1,L1477-K1477-K$2-1),",","."))</f>
        <v>0</v>
      </c>
      <c r="AE1477" s="3">
        <f>VALUE(SUBSTITUTE(MID($A1477,L1477+L$2+1,M1477-L1477-L$2-1),",","."))</f>
        <v>0</v>
      </c>
      <c r="AF1477" s="3">
        <f>VALUE(SUBSTITUTE(MID($A1477,M1477+M$2+1,N1477-M1477-M$2-1),",","."))</f>
        <v>0</v>
      </c>
      <c r="AG1477" s="3">
        <f>VALUE(SUBSTITUTE(MID($A1477,N1477+N$2+1,O1477-N1477-N$2-1),",","."))</f>
        <v>4.2454990597106903</v>
      </c>
      <c r="AH1477" t="str">
        <f>MID($A1477,O1477+O$2+1,P1477-O1477-O$2-1)</f>
        <v/>
      </c>
      <c r="AI1477" s="8" t="str">
        <f>MID($A1477,P1477+P$2+1,Q1477-P1477-P$2-1)</f>
        <v>False</v>
      </c>
      <c r="AK1477" t="b">
        <f t="shared" si="200"/>
        <v>0</v>
      </c>
    </row>
    <row r="1478" spans="1:37" x14ac:dyDescent="0.35">
      <c r="A1478" t="s">
        <v>6025</v>
      </c>
      <c r="B1478">
        <f t="shared" si="198"/>
        <v>10</v>
      </c>
      <c r="C1478">
        <f t="shared" si="198"/>
        <v>43</v>
      </c>
      <c r="D1478">
        <f t="shared" si="198"/>
        <v>54</v>
      </c>
      <c r="E1478">
        <f t="shared" si="198"/>
        <v>80</v>
      </c>
      <c r="F1478">
        <f t="shared" si="198"/>
        <v>124</v>
      </c>
      <c r="G1478">
        <f t="shared" si="198"/>
        <v>145</v>
      </c>
      <c r="H1478">
        <f t="shared" si="198"/>
        <v>177</v>
      </c>
      <c r="I1478">
        <f t="shared" si="198"/>
        <v>199</v>
      </c>
      <c r="J1478">
        <f t="shared" si="198"/>
        <v>232</v>
      </c>
      <c r="K1478">
        <f t="shared" si="198"/>
        <v>249</v>
      </c>
      <c r="L1478">
        <f t="shared" si="198"/>
        <v>264</v>
      </c>
      <c r="M1478">
        <f t="shared" si="198"/>
        <v>279</v>
      </c>
      <c r="N1478">
        <f t="shared" si="198"/>
        <v>291</v>
      </c>
      <c r="O1478">
        <f t="shared" si="198"/>
        <v>316</v>
      </c>
      <c r="P1478">
        <f t="shared" si="198"/>
        <v>334</v>
      </c>
      <c r="Q1478">
        <f t="shared" si="193"/>
        <v>360</v>
      </c>
      <c r="S1478" t="str">
        <f t="shared" si="196"/>
        <v>12.12.2025</v>
      </c>
      <c r="T1478" t="str">
        <f t="shared" si="197"/>
        <v>04:00:00</v>
      </c>
      <c r="U1478" t="str">
        <f t="shared" si="199"/>
        <v>12.12.2025 04:00:00</v>
      </c>
      <c r="V1478" s="9" t="str">
        <f>MID($A1478,C1478+C$2+1,D1478-C1478-C$2-1)</f>
        <v>0</v>
      </c>
      <c r="W1478" s="4">
        <f>VALUE(SUBSTITUTE(MID($A1478,D1478+D$2+1,E1478-D1478-D$2-1),",","."))</f>
        <v>0</v>
      </c>
      <c r="X1478" s="4">
        <f>VALUE(SUBSTITUTE(MID($A1478,E1478+E$2+1,F1478-E1478-E$2-1),",","."))</f>
        <v>0.90957602214449496</v>
      </c>
      <c r="Y1478" s="4">
        <f>VALUE(SUBSTITUTE(MID($A1478,F1478+F$2+1,G1478-F1478-F$2-1),",","."))</f>
        <v>0</v>
      </c>
      <c r="Z1478" s="3">
        <f>VALUE(SUBSTITUTE(MID($A1478,G1478+G$2+1,H1478-G1478-G$2-1),",","."))</f>
        <v>0</v>
      </c>
      <c r="AA1478" s="3">
        <f>VALUE(SUBSTITUTE(MID($A1478,H1478+H$2+1,I1478-H1478-H$2-1),",","."))</f>
        <v>0</v>
      </c>
      <c r="AB1478" s="3">
        <f>VALUE(SUBSTITUTE(MID($A1478,I1478+I$2+1,J1478-I1478-I$2-1),",","."))</f>
        <v>0</v>
      </c>
      <c r="AC1478" s="3">
        <f>VALUE(SUBSTITUTE(MID($A1478,J1478+J$2+1,K1478-J1478-J$2-1),",","."))</f>
        <v>0</v>
      </c>
      <c r="AD1478" s="3">
        <f>VALUE(SUBSTITUTE(MID($A1478,K1478+K$2+1,L1478-K1478-K$2-1),",","."))</f>
        <v>0</v>
      </c>
      <c r="AE1478" s="3">
        <f>VALUE(SUBSTITUTE(MID($A1478,L1478+L$2+1,M1478-L1478-L$2-1),",","."))</f>
        <v>0</v>
      </c>
      <c r="AF1478" s="3">
        <f>VALUE(SUBSTITUTE(MID($A1478,M1478+M$2+1,N1478-M1478-M$2-1),",","."))</f>
        <v>0</v>
      </c>
      <c r="AG1478" s="3">
        <f>VALUE(SUBSTITUTE(MID($A1478,N1478+N$2+1,O1478-N1478-N$2-1),",","."))</f>
        <v>4.2455275795987699</v>
      </c>
      <c r="AH1478" t="str">
        <f>MID($A1478,O1478+O$2+1,P1478-O1478-O$2-1)</f>
        <v/>
      </c>
      <c r="AI1478" s="8" t="str">
        <f>MID($A1478,P1478+P$2+1,Q1478-P1478-P$2-1)</f>
        <v>False</v>
      </c>
      <c r="AK1478" t="b">
        <f t="shared" si="200"/>
        <v>0</v>
      </c>
    </row>
    <row r="1479" spans="1:37" x14ac:dyDescent="0.35">
      <c r="A1479" t="s">
        <v>6026</v>
      </c>
      <c r="B1479">
        <f t="shared" si="198"/>
        <v>10</v>
      </c>
      <c r="C1479">
        <f t="shared" si="198"/>
        <v>43</v>
      </c>
      <c r="D1479">
        <f t="shared" si="198"/>
        <v>54</v>
      </c>
      <c r="E1479">
        <f t="shared" si="198"/>
        <v>80</v>
      </c>
      <c r="F1479">
        <f t="shared" si="198"/>
        <v>124</v>
      </c>
      <c r="G1479">
        <f t="shared" si="198"/>
        <v>145</v>
      </c>
      <c r="H1479">
        <f t="shared" si="198"/>
        <v>177</v>
      </c>
      <c r="I1479">
        <f t="shared" si="198"/>
        <v>199</v>
      </c>
      <c r="J1479">
        <f t="shared" si="198"/>
        <v>232</v>
      </c>
      <c r="K1479">
        <f t="shared" si="198"/>
        <v>249</v>
      </c>
      <c r="L1479">
        <f t="shared" si="198"/>
        <v>264</v>
      </c>
      <c r="M1479">
        <f t="shared" si="198"/>
        <v>279</v>
      </c>
      <c r="N1479">
        <f t="shared" si="198"/>
        <v>291</v>
      </c>
      <c r="O1479">
        <f t="shared" si="198"/>
        <v>316</v>
      </c>
      <c r="P1479">
        <f t="shared" si="198"/>
        <v>334</v>
      </c>
      <c r="Q1479">
        <f t="shared" si="193"/>
        <v>360</v>
      </c>
      <c r="S1479" t="str">
        <f t="shared" si="196"/>
        <v>12.12.2025</v>
      </c>
      <c r="T1479" t="str">
        <f t="shared" si="197"/>
        <v>04:15:00</v>
      </c>
      <c r="U1479" t="str">
        <f t="shared" si="199"/>
        <v>12.12.2025 04:15:00</v>
      </c>
      <c r="V1479" s="9" t="str">
        <f>MID($A1479,C1479+C$2+1,D1479-C1479-C$2-1)</f>
        <v>0</v>
      </c>
      <c r="W1479" s="4">
        <f>VALUE(SUBSTITUTE(MID($A1479,D1479+D$2+1,E1479-D1479-D$2-1),",","."))</f>
        <v>0</v>
      </c>
      <c r="X1479" s="4">
        <f>VALUE(SUBSTITUTE(MID($A1479,E1479+E$2+1,F1479-E1479-E$2-1),",","."))</f>
        <v>0.90957602214449496</v>
      </c>
      <c r="Y1479" s="4">
        <f>VALUE(SUBSTITUTE(MID($A1479,F1479+F$2+1,G1479-F1479-F$2-1),",","."))</f>
        <v>0</v>
      </c>
      <c r="Z1479" s="3">
        <f>VALUE(SUBSTITUTE(MID($A1479,G1479+G$2+1,H1479-G1479-G$2-1),",","."))</f>
        <v>0</v>
      </c>
      <c r="AA1479" s="3">
        <f>VALUE(SUBSTITUTE(MID($A1479,H1479+H$2+1,I1479-H1479-H$2-1),",","."))</f>
        <v>0</v>
      </c>
      <c r="AB1479" s="3">
        <f>VALUE(SUBSTITUTE(MID($A1479,I1479+I$2+1,J1479-I1479-I$2-1),",","."))</f>
        <v>0</v>
      </c>
      <c r="AC1479" s="3">
        <f>VALUE(SUBSTITUTE(MID($A1479,J1479+J$2+1,K1479-J1479-J$2-1),",","."))</f>
        <v>0</v>
      </c>
      <c r="AD1479" s="3">
        <f>VALUE(SUBSTITUTE(MID($A1479,K1479+K$2+1,L1479-K1479-K$2-1),",","."))</f>
        <v>0</v>
      </c>
      <c r="AE1479" s="3">
        <f>VALUE(SUBSTITUTE(MID($A1479,L1479+L$2+1,M1479-L1479-L$2-1),",","."))</f>
        <v>0</v>
      </c>
      <c r="AF1479" s="3">
        <f>VALUE(SUBSTITUTE(MID($A1479,M1479+M$2+1,N1479-M1479-M$2-1),",","."))</f>
        <v>0</v>
      </c>
      <c r="AG1479" s="3">
        <f>VALUE(SUBSTITUTE(MID($A1479,N1479+N$2+1,O1479-N1479-N$2-1),",","."))</f>
        <v>4.2455560994868602</v>
      </c>
      <c r="AH1479" t="str">
        <f>MID($A1479,O1479+O$2+1,P1479-O1479-O$2-1)</f>
        <v/>
      </c>
      <c r="AI1479" s="8" t="str">
        <f>MID($A1479,P1479+P$2+1,Q1479-P1479-P$2-1)</f>
        <v>False</v>
      </c>
      <c r="AK1479" t="b">
        <f t="shared" si="200"/>
        <v>0</v>
      </c>
    </row>
    <row r="1480" spans="1:37" x14ac:dyDescent="0.35">
      <c r="A1480" t="s">
        <v>6027</v>
      </c>
      <c r="B1480">
        <f t="shared" si="198"/>
        <v>10</v>
      </c>
      <c r="C1480">
        <f t="shared" si="198"/>
        <v>43</v>
      </c>
      <c r="D1480">
        <f t="shared" si="198"/>
        <v>54</v>
      </c>
      <c r="E1480">
        <f t="shared" si="198"/>
        <v>80</v>
      </c>
      <c r="F1480">
        <f t="shared" si="198"/>
        <v>124</v>
      </c>
      <c r="G1480">
        <f t="shared" si="198"/>
        <v>145</v>
      </c>
      <c r="H1480">
        <f t="shared" si="198"/>
        <v>177</v>
      </c>
      <c r="I1480">
        <f t="shared" si="198"/>
        <v>199</v>
      </c>
      <c r="J1480">
        <f t="shared" si="198"/>
        <v>232</v>
      </c>
      <c r="K1480">
        <f t="shared" si="198"/>
        <v>249</v>
      </c>
      <c r="L1480">
        <f t="shared" si="198"/>
        <v>264</v>
      </c>
      <c r="M1480">
        <f t="shared" si="198"/>
        <v>279</v>
      </c>
      <c r="N1480">
        <f t="shared" si="198"/>
        <v>291</v>
      </c>
      <c r="O1480">
        <f t="shared" si="198"/>
        <v>317</v>
      </c>
      <c r="P1480">
        <f t="shared" si="198"/>
        <v>335</v>
      </c>
      <c r="Q1480">
        <f t="shared" si="193"/>
        <v>361</v>
      </c>
      <c r="S1480" t="str">
        <f t="shared" si="196"/>
        <v>12.12.2025</v>
      </c>
      <c r="T1480" t="str">
        <f t="shared" si="197"/>
        <v>04:30:00</v>
      </c>
      <c r="U1480" t="str">
        <f t="shared" si="199"/>
        <v>12.12.2025 04:30:00</v>
      </c>
      <c r="V1480" s="9" t="str">
        <f>MID($A1480,C1480+C$2+1,D1480-C1480-C$2-1)</f>
        <v>0</v>
      </c>
      <c r="W1480" s="4">
        <f>VALUE(SUBSTITUTE(MID($A1480,D1480+D$2+1,E1480-D1480-D$2-1),",","."))</f>
        <v>0</v>
      </c>
      <c r="X1480" s="4">
        <f>VALUE(SUBSTITUTE(MID($A1480,E1480+E$2+1,F1480-E1480-E$2-1),",","."))</f>
        <v>0.90957602214449496</v>
      </c>
      <c r="Y1480" s="4">
        <f>VALUE(SUBSTITUTE(MID($A1480,F1480+F$2+1,G1480-F1480-F$2-1),",","."))</f>
        <v>0</v>
      </c>
      <c r="Z1480" s="3">
        <f>VALUE(SUBSTITUTE(MID($A1480,G1480+G$2+1,H1480-G1480-G$2-1),",","."))</f>
        <v>0</v>
      </c>
      <c r="AA1480" s="3">
        <f>VALUE(SUBSTITUTE(MID($A1480,H1480+H$2+1,I1480-H1480-H$2-1),",","."))</f>
        <v>0</v>
      </c>
      <c r="AB1480" s="3">
        <f>VALUE(SUBSTITUTE(MID($A1480,I1480+I$2+1,J1480-I1480-I$2-1),",","."))</f>
        <v>0</v>
      </c>
      <c r="AC1480" s="3">
        <f>VALUE(SUBSTITUTE(MID($A1480,J1480+J$2+1,K1480-J1480-J$2-1),",","."))</f>
        <v>0</v>
      </c>
      <c r="AD1480" s="3">
        <f>VALUE(SUBSTITUTE(MID($A1480,K1480+K$2+1,L1480-K1480-K$2-1),",","."))</f>
        <v>0</v>
      </c>
      <c r="AE1480" s="3">
        <f>VALUE(SUBSTITUTE(MID($A1480,L1480+L$2+1,M1480-L1480-L$2-1),",","."))</f>
        <v>0</v>
      </c>
      <c r="AF1480" s="3">
        <f>VALUE(SUBSTITUTE(MID($A1480,M1480+M$2+1,N1480-M1480-M$2-1),",","."))</f>
        <v>0</v>
      </c>
      <c r="AG1480" s="3">
        <f>VALUE(SUBSTITUTE(MID($A1480,N1480+N$2+1,O1480-N1480-N$2-1),",","."))</f>
        <v>4.2455846193749398</v>
      </c>
      <c r="AH1480" t="str">
        <f>MID($A1480,O1480+O$2+1,P1480-O1480-O$2-1)</f>
        <v/>
      </c>
      <c r="AI1480" s="8" t="str">
        <f>MID($A1480,P1480+P$2+1,Q1480-P1480-P$2-1)</f>
        <v>False</v>
      </c>
      <c r="AK1480" t="b">
        <f t="shared" si="200"/>
        <v>0</v>
      </c>
    </row>
    <row r="1481" spans="1:37" x14ac:dyDescent="0.35">
      <c r="A1481" t="s">
        <v>6028</v>
      </c>
      <c r="B1481">
        <f t="shared" si="198"/>
        <v>10</v>
      </c>
      <c r="C1481">
        <f t="shared" si="198"/>
        <v>43</v>
      </c>
      <c r="D1481">
        <f t="shared" si="198"/>
        <v>54</v>
      </c>
      <c r="E1481">
        <f t="shared" si="198"/>
        <v>80</v>
      </c>
      <c r="F1481">
        <f t="shared" si="198"/>
        <v>124</v>
      </c>
      <c r="G1481">
        <f t="shared" si="198"/>
        <v>145</v>
      </c>
      <c r="H1481">
        <f t="shared" si="198"/>
        <v>177</v>
      </c>
      <c r="I1481">
        <f t="shared" si="198"/>
        <v>199</v>
      </c>
      <c r="J1481">
        <f t="shared" si="198"/>
        <v>232</v>
      </c>
      <c r="K1481">
        <f t="shared" si="198"/>
        <v>249</v>
      </c>
      <c r="L1481">
        <f t="shared" si="198"/>
        <v>264</v>
      </c>
      <c r="M1481">
        <f t="shared" si="198"/>
        <v>279</v>
      </c>
      <c r="N1481">
        <f t="shared" si="198"/>
        <v>291</v>
      </c>
      <c r="O1481">
        <f t="shared" si="198"/>
        <v>316</v>
      </c>
      <c r="P1481">
        <f t="shared" si="198"/>
        <v>334</v>
      </c>
      <c r="Q1481">
        <f t="shared" si="193"/>
        <v>360</v>
      </c>
      <c r="S1481" t="str">
        <f t="shared" si="196"/>
        <v>12.12.2025</v>
      </c>
      <c r="T1481" t="str">
        <f t="shared" si="197"/>
        <v>04:45:00</v>
      </c>
      <c r="U1481" t="str">
        <f t="shared" si="199"/>
        <v>12.12.2025 04:45:00</v>
      </c>
      <c r="V1481" s="9" t="str">
        <f>MID($A1481,C1481+C$2+1,D1481-C1481-C$2-1)</f>
        <v>0</v>
      </c>
      <c r="W1481" s="4">
        <f>VALUE(SUBSTITUTE(MID($A1481,D1481+D$2+1,E1481-D1481-D$2-1),",","."))</f>
        <v>0</v>
      </c>
      <c r="X1481" s="4">
        <f>VALUE(SUBSTITUTE(MID($A1481,E1481+E$2+1,F1481-E1481-E$2-1),",","."))</f>
        <v>0.90957602214449496</v>
      </c>
      <c r="Y1481" s="4">
        <f>VALUE(SUBSTITUTE(MID($A1481,F1481+F$2+1,G1481-F1481-F$2-1),",","."))</f>
        <v>0</v>
      </c>
      <c r="Z1481" s="3">
        <f>VALUE(SUBSTITUTE(MID($A1481,G1481+G$2+1,H1481-G1481-G$2-1),",","."))</f>
        <v>0</v>
      </c>
      <c r="AA1481" s="3">
        <f>VALUE(SUBSTITUTE(MID($A1481,H1481+H$2+1,I1481-H1481-H$2-1),",","."))</f>
        <v>0</v>
      </c>
      <c r="AB1481" s="3">
        <f>VALUE(SUBSTITUTE(MID($A1481,I1481+I$2+1,J1481-I1481-I$2-1),",","."))</f>
        <v>0</v>
      </c>
      <c r="AC1481" s="3">
        <f>VALUE(SUBSTITUTE(MID($A1481,J1481+J$2+1,K1481-J1481-J$2-1),",","."))</f>
        <v>0</v>
      </c>
      <c r="AD1481" s="3">
        <f>VALUE(SUBSTITUTE(MID($A1481,K1481+K$2+1,L1481-K1481-K$2-1),",","."))</f>
        <v>0</v>
      </c>
      <c r="AE1481" s="3">
        <f>VALUE(SUBSTITUTE(MID($A1481,L1481+L$2+1,M1481-L1481-L$2-1),",","."))</f>
        <v>0</v>
      </c>
      <c r="AF1481" s="3">
        <f>VALUE(SUBSTITUTE(MID($A1481,M1481+M$2+1,N1481-M1481-M$2-1),",","."))</f>
        <v>0</v>
      </c>
      <c r="AG1481" s="3">
        <f>VALUE(SUBSTITUTE(MID($A1481,N1481+N$2+1,O1481-N1481-N$2-1),",","."))</f>
        <v>4.2456131392630203</v>
      </c>
      <c r="AH1481" t="str">
        <f>MID($A1481,O1481+O$2+1,P1481-O1481-O$2-1)</f>
        <v/>
      </c>
      <c r="AI1481" s="8" t="str">
        <f>MID($A1481,P1481+P$2+1,Q1481-P1481-P$2-1)</f>
        <v>False</v>
      </c>
      <c r="AK1481" t="b">
        <f t="shared" si="200"/>
        <v>0</v>
      </c>
    </row>
    <row r="1482" spans="1:37" x14ac:dyDescent="0.35">
      <c r="A1482" t="s">
        <v>6029</v>
      </c>
      <c r="B1482">
        <f t="shared" si="198"/>
        <v>10</v>
      </c>
      <c r="C1482">
        <f t="shared" si="198"/>
        <v>43</v>
      </c>
      <c r="D1482">
        <f t="shared" si="198"/>
        <v>54</v>
      </c>
      <c r="E1482">
        <f t="shared" si="198"/>
        <v>80</v>
      </c>
      <c r="F1482">
        <f t="shared" si="198"/>
        <v>124</v>
      </c>
      <c r="G1482">
        <f t="shared" si="198"/>
        <v>145</v>
      </c>
      <c r="H1482">
        <f t="shared" si="198"/>
        <v>177</v>
      </c>
      <c r="I1482">
        <f t="shared" si="198"/>
        <v>199</v>
      </c>
      <c r="J1482">
        <f t="shared" si="198"/>
        <v>232</v>
      </c>
      <c r="K1482">
        <f t="shared" si="198"/>
        <v>249</v>
      </c>
      <c r="L1482">
        <f t="shared" si="198"/>
        <v>264</v>
      </c>
      <c r="M1482">
        <f t="shared" si="198"/>
        <v>279</v>
      </c>
      <c r="N1482">
        <f t="shared" si="198"/>
        <v>291</v>
      </c>
      <c r="O1482">
        <f t="shared" si="198"/>
        <v>316</v>
      </c>
      <c r="P1482">
        <f t="shared" si="198"/>
        <v>334</v>
      </c>
      <c r="Q1482">
        <f t="shared" si="193"/>
        <v>360</v>
      </c>
      <c r="S1482" t="str">
        <f t="shared" si="196"/>
        <v>12.12.2025</v>
      </c>
      <c r="T1482" t="str">
        <f t="shared" si="197"/>
        <v>05:00:00</v>
      </c>
      <c r="U1482" t="str">
        <f t="shared" si="199"/>
        <v>12.12.2025 05:00:00</v>
      </c>
      <c r="V1482" s="9" t="str">
        <f>MID($A1482,C1482+C$2+1,D1482-C1482-C$2-1)</f>
        <v>0</v>
      </c>
      <c r="W1482" s="4">
        <f>VALUE(SUBSTITUTE(MID($A1482,D1482+D$2+1,E1482-D1482-D$2-1),",","."))</f>
        <v>0</v>
      </c>
      <c r="X1482" s="4">
        <f>VALUE(SUBSTITUTE(MID($A1482,E1482+E$2+1,F1482-E1482-E$2-1),",","."))</f>
        <v>0.90957602214449496</v>
      </c>
      <c r="Y1482" s="4">
        <f>VALUE(SUBSTITUTE(MID($A1482,F1482+F$2+1,G1482-F1482-F$2-1),",","."))</f>
        <v>0</v>
      </c>
      <c r="Z1482" s="3">
        <f>VALUE(SUBSTITUTE(MID($A1482,G1482+G$2+1,H1482-G1482-G$2-1),",","."))</f>
        <v>0</v>
      </c>
      <c r="AA1482" s="3">
        <f>VALUE(SUBSTITUTE(MID($A1482,H1482+H$2+1,I1482-H1482-H$2-1),",","."))</f>
        <v>0</v>
      </c>
      <c r="AB1482" s="3">
        <f>VALUE(SUBSTITUTE(MID($A1482,I1482+I$2+1,J1482-I1482-I$2-1),",","."))</f>
        <v>0</v>
      </c>
      <c r="AC1482" s="3">
        <f>VALUE(SUBSTITUTE(MID($A1482,J1482+J$2+1,K1482-J1482-J$2-1),",","."))</f>
        <v>0</v>
      </c>
      <c r="AD1482" s="3">
        <f>VALUE(SUBSTITUTE(MID($A1482,K1482+K$2+1,L1482-K1482-K$2-1),",","."))</f>
        <v>0</v>
      </c>
      <c r="AE1482" s="3">
        <f>VALUE(SUBSTITUTE(MID($A1482,L1482+L$2+1,M1482-L1482-L$2-1),",","."))</f>
        <v>0</v>
      </c>
      <c r="AF1482" s="3">
        <f>VALUE(SUBSTITUTE(MID($A1482,M1482+M$2+1,N1482-M1482-M$2-1),",","."))</f>
        <v>0</v>
      </c>
      <c r="AG1482" s="3">
        <f>VALUE(SUBSTITUTE(MID($A1482,N1482+N$2+1,O1482-N1482-N$2-1),",","."))</f>
        <v>4.2456416591510999</v>
      </c>
      <c r="AH1482" t="str">
        <f>MID($A1482,O1482+O$2+1,P1482-O1482-O$2-1)</f>
        <v/>
      </c>
      <c r="AI1482" s="8" t="str">
        <f>MID($A1482,P1482+P$2+1,Q1482-P1482-P$2-1)</f>
        <v>False</v>
      </c>
      <c r="AK1482" t="b">
        <f t="shared" si="200"/>
        <v>0</v>
      </c>
    </row>
    <row r="1483" spans="1:37" x14ac:dyDescent="0.35">
      <c r="A1483" t="s">
        <v>6030</v>
      </c>
      <c r="B1483">
        <f t="shared" si="198"/>
        <v>10</v>
      </c>
      <c r="C1483">
        <f t="shared" si="198"/>
        <v>43</v>
      </c>
      <c r="D1483">
        <f t="shared" si="198"/>
        <v>54</v>
      </c>
      <c r="E1483">
        <f t="shared" si="198"/>
        <v>80</v>
      </c>
      <c r="F1483">
        <f t="shared" si="198"/>
        <v>124</v>
      </c>
      <c r="G1483">
        <f t="shared" si="198"/>
        <v>145</v>
      </c>
      <c r="H1483">
        <f t="shared" si="198"/>
        <v>177</v>
      </c>
      <c r="I1483">
        <f t="shared" si="198"/>
        <v>199</v>
      </c>
      <c r="J1483">
        <f t="shared" si="198"/>
        <v>232</v>
      </c>
      <c r="K1483">
        <f t="shared" si="198"/>
        <v>249</v>
      </c>
      <c r="L1483">
        <f t="shared" si="198"/>
        <v>264</v>
      </c>
      <c r="M1483">
        <f t="shared" si="198"/>
        <v>279</v>
      </c>
      <c r="N1483">
        <f t="shared" si="198"/>
        <v>291</v>
      </c>
      <c r="O1483">
        <f t="shared" si="198"/>
        <v>316</v>
      </c>
      <c r="P1483">
        <f t="shared" si="198"/>
        <v>334</v>
      </c>
      <c r="Q1483">
        <f t="shared" si="193"/>
        <v>360</v>
      </c>
      <c r="S1483" t="str">
        <f t="shared" si="196"/>
        <v>12.12.2025</v>
      </c>
      <c r="T1483" t="str">
        <f t="shared" si="197"/>
        <v>05:15:00</v>
      </c>
      <c r="U1483" t="str">
        <f t="shared" si="199"/>
        <v>12.12.2025 05:15:00</v>
      </c>
      <c r="V1483" s="9" t="str">
        <f>MID($A1483,C1483+C$2+1,D1483-C1483-C$2-1)</f>
        <v>0</v>
      </c>
      <c r="W1483" s="4">
        <f>VALUE(SUBSTITUTE(MID($A1483,D1483+D$2+1,E1483-D1483-D$2-1),",","."))</f>
        <v>0</v>
      </c>
      <c r="X1483" s="4">
        <f>VALUE(SUBSTITUTE(MID($A1483,E1483+E$2+1,F1483-E1483-E$2-1),",","."))</f>
        <v>0.90957602214449496</v>
      </c>
      <c r="Y1483" s="4">
        <f>VALUE(SUBSTITUTE(MID($A1483,F1483+F$2+1,G1483-F1483-F$2-1),",","."))</f>
        <v>0</v>
      </c>
      <c r="Z1483" s="3">
        <f>VALUE(SUBSTITUTE(MID($A1483,G1483+G$2+1,H1483-G1483-G$2-1),",","."))</f>
        <v>0</v>
      </c>
      <c r="AA1483" s="3">
        <f>VALUE(SUBSTITUTE(MID($A1483,H1483+H$2+1,I1483-H1483-H$2-1),",","."))</f>
        <v>0</v>
      </c>
      <c r="AB1483" s="3">
        <f>VALUE(SUBSTITUTE(MID($A1483,I1483+I$2+1,J1483-I1483-I$2-1),",","."))</f>
        <v>0</v>
      </c>
      <c r="AC1483" s="3">
        <f>VALUE(SUBSTITUTE(MID($A1483,J1483+J$2+1,K1483-J1483-J$2-1),",","."))</f>
        <v>0</v>
      </c>
      <c r="AD1483" s="3">
        <f>VALUE(SUBSTITUTE(MID($A1483,K1483+K$2+1,L1483-K1483-K$2-1),",","."))</f>
        <v>0</v>
      </c>
      <c r="AE1483" s="3">
        <f>VALUE(SUBSTITUTE(MID($A1483,L1483+L$2+1,M1483-L1483-L$2-1),",","."))</f>
        <v>0</v>
      </c>
      <c r="AF1483" s="3">
        <f>VALUE(SUBSTITUTE(MID($A1483,M1483+M$2+1,N1483-M1483-M$2-1),",","."))</f>
        <v>0</v>
      </c>
      <c r="AG1483" s="3">
        <f>VALUE(SUBSTITUTE(MID($A1483,N1483+N$2+1,O1483-N1483-N$2-1),",","."))</f>
        <v>4.2456701790391804</v>
      </c>
      <c r="AH1483" t="str">
        <f>MID($A1483,O1483+O$2+1,P1483-O1483-O$2-1)</f>
        <v/>
      </c>
      <c r="AI1483" s="8" t="str">
        <f>MID($A1483,P1483+P$2+1,Q1483-P1483-P$2-1)</f>
        <v>False</v>
      </c>
      <c r="AK1483" t="b">
        <f t="shared" si="200"/>
        <v>0</v>
      </c>
    </row>
    <row r="1484" spans="1:37" x14ac:dyDescent="0.35">
      <c r="A1484" t="s">
        <v>6031</v>
      </c>
      <c r="B1484">
        <f t="shared" si="198"/>
        <v>10</v>
      </c>
      <c r="C1484">
        <f t="shared" si="198"/>
        <v>43</v>
      </c>
      <c r="D1484">
        <f t="shared" si="198"/>
        <v>54</v>
      </c>
      <c r="E1484">
        <f t="shared" si="198"/>
        <v>80</v>
      </c>
      <c r="F1484">
        <f t="shared" si="198"/>
        <v>124</v>
      </c>
      <c r="G1484">
        <f t="shared" si="198"/>
        <v>145</v>
      </c>
      <c r="H1484">
        <f t="shared" si="198"/>
        <v>177</v>
      </c>
      <c r="I1484">
        <f t="shared" si="198"/>
        <v>199</v>
      </c>
      <c r="J1484">
        <f t="shared" si="198"/>
        <v>232</v>
      </c>
      <c r="K1484">
        <f t="shared" si="198"/>
        <v>249</v>
      </c>
      <c r="L1484">
        <f t="shared" si="198"/>
        <v>264</v>
      </c>
      <c r="M1484">
        <f t="shared" si="198"/>
        <v>279</v>
      </c>
      <c r="N1484">
        <f t="shared" si="198"/>
        <v>291</v>
      </c>
      <c r="O1484">
        <f t="shared" si="198"/>
        <v>316</v>
      </c>
      <c r="P1484">
        <f t="shared" si="198"/>
        <v>334</v>
      </c>
      <c r="Q1484">
        <f t="shared" si="193"/>
        <v>360</v>
      </c>
      <c r="S1484" t="str">
        <f t="shared" si="196"/>
        <v>12.12.2025</v>
      </c>
      <c r="T1484" t="str">
        <f t="shared" si="197"/>
        <v>05:30:00</v>
      </c>
      <c r="U1484" t="str">
        <f t="shared" si="199"/>
        <v>12.12.2025 05:30:00</v>
      </c>
      <c r="V1484" s="9" t="str">
        <f>MID($A1484,C1484+C$2+1,D1484-C1484-C$2-1)</f>
        <v>0</v>
      </c>
      <c r="W1484" s="4">
        <f>VALUE(SUBSTITUTE(MID($A1484,D1484+D$2+1,E1484-D1484-D$2-1),",","."))</f>
        <v>0</v>
      </c>
      <c r="X1484" s="4">
        <f>VALUE(SUBSTITUTE(MID($A1484,E1484+E$2+1,F1484-E1484-E$2-1),",","."))</f>
        <v>0.90957602214449496</v>
      </c>
      <c r="Y1484" s="4">
        <f>VALUE(SUBSTITUTE(MID($A1484,F1484+F$2+1,G1484-F1484-F$2-1),",","."))</f>
        <v>0</v>
      </c>
      <c r="Z1484" s="3">
        <f>VALUE(SUBSTITUTE(MID($A1484,G1484+G$2+1,H1484-G1484-G$2-1),",","."))</f>
        <v>0</v>
      </c>
      <c r="AA1484" s="3">
        <f>VALUE(SUBSTITUTE(MID($A1484,H1484+H$2+1,I1484-H1484-H$2-1),",","."))</f>
        <v>0</v>
      </c>
      <c r="AB1484" s="3">
        <f>VALUE(SUBSTITUTE(MID($A1484,I1484+I$2+1,J1484-I1484-I$2-1),",","."))</f>
        <v>0</v>
      </c>
      <c r="AC1484" s="3">
        <f>VALUE(SUBSTITUTE(MID($A1484,J1484+J$2+1,K1484-J1484-J$2-1),",","."))</f>
        <v>0</v>
      </c>
      <c r="AD1484" s="3">
        <f>VALUE(SUBSTITUTE(MID($A1484,K1484+K$2+1,L1484-K1484-K$2-1),",","."))</f>
        <v>0</v>
      </c>
      <c r="AE1484" s="3">
        <f>VALUE(SUBSTITUTE(MID($A1484,L1484+L$2+1,M1484-L1484-L$2-1),",","."))</f>
        <v>0</v>
      </c>
      <c r="AF1484" s="3">
        <f>VALUE(SUBSTITUTE(MID($A1484,M1484+M$2+1,N1484-M1484-M$2-1),",","."))</f>
        <v>0</v>
      </c>
      <c r="AG1484" s="3">
        <f>VALUE(SUBSTITUTE(MID($A1484,N1484+N$2+1,O1484-N1484-N$2-1),",","."))</f>
        <v>4.24569869892726</v>
      </c>
      <c r="AH1484" t="str">
        <f>MID($A1484,O1484+O$2+1,P1484-O1484-O$2-1)</f>
        <v/>
      </c>
      <c r="AI1484" s="8" t="str">
        <f>MID($A1484,P1484+P$2+1,Q1484-P1484-P$2-1)</f>
        <v>False</v>
      </c>
      <c r="AK1484" t="b">
        <f t="shared" si="200"/>
        <v>0</v>
      </c>
    </row>
    <row r="1485" spans="1:37" x14ac:dyDescent="0.35">
      <c r="A1485" t="s">
        <v>6032</v>
      </c>
      <c r="B1485">
        <f t="shared" si="198"/>
        <v>10</v>
      </c>
      <c r="C1485">
        <f t="shared" si="198"/>
        <v>43</v>
      </c>
      <c r="D1485">
        <f t="shared" si="198"/>
        <v>54</v>
      </c>
      <c r="E1485">
        <f t="shared" si="198"/>
        <v>80</v>
      </c>
      <c r="F1485">
        <f t="shared" si="198"/>
        <v>124</v>
      </c>
      <c r="G1485">
        <f t="shared" si="198"/>
        <v>145</v>
      </c>
      <c r="H1485">
        <f t="shared" si="198"/>
        <v>177</v>
      </c>
      <c r="I1485">
        <f t="shared" si="198"/>
        <v>199</v>
      </c>
      <c r="J1485">
        <f t="shared" si="198"/>
        <v>232</v>
      </c>
      <c r="K1485">
        <f t="shared" si="198"/>
        <v>249</v>
      </c>
      <c r="L1485">
        <f t="shared" si="198"/>
        <v>264</v>
      </c>
      <c r="M1485">
        <f t="shared" si="198"/>
        <v>279</v>
      </c>
      <c r="N1485">
        <f t="shared" si="198"/>
        <v>291</v>
      </c>
      <c r="O1485">
        <f t="shared" si="198"/>
        <v>315</v>
      </c>
      <c r="P1485">
        <f t="shared" si="198"/>
        <v>333</v>
      </c>
      <c r="Q1485">
        <f t="shared" si="193"/>
        <v>359</v>
      </c>
      <c r="S1485" t="str">
        <f t="shared" si="196"/>
        <v>12.12.2025</v>
      </c>
      <c r="T1485" t="str">
        <f t="shared" si="197"/>
        <v>05:45:00</v>
      </c>
      <c r="U1485" t="str">
        <f t="shared" si="199"/>
        <v>12.12.2025 05:45:00</v>
      </c>
      <c r="V1485" s="9" t="str">
        <f>MID($A1485,C1485+C$2+1,D1485-C1485-C$2-1)</f>
        <v>0</v>
      </c>
      <c r="W1485" s="4">
        <f>VALUE(SUBSTITUTE(MID($A1485,D1485+D$2+1,E1485-D1485-D$2-1),",","."))</f>
        <v>0</v>
      </c>
      <c r="X1485" s="4">
        <f>VALUE(SUBSTITUTE(MID($A1485,E1485+E$2+1,F1485-E1485-E$2-1),",","."))</f>
        <v>0.90957602214449496</v>
      </c>
      <c r="Y1485" s="4">
        <f>VALUE(SUBSTITUTE(MID($A1485,F1485+F$2+1,G1485-F1485-F$2-1),",","."))</f>
        <v>0</v>
      </c>
      <c r="Z1485" s="3">
        <f>VALUE(SUBSTITUTE(MID($A1485,G1485+G$2+1,H1485-G1485-G$2-1),",","."))</f>
        <v>0</v>
      </c>
      <c r="AA1485" s="3">
        <f>VALUE(SUBSTITUTE(MID($A1485,H1485+H$2+1,I1485-H1485-H$2-1),",","."))</f>
        <v>0</v>
      </c>
      <c r="AB1485" s="3">
        <f>VALUE(SUBSTITUTE(MID($A1485,I1485+I$2+1,J1485-I1485-I$2-1),",","."))</f>
        <v>0</v>
      </c>
      <c r="AC1485" s="3">
        <f>VALUE(SUBSTITUTE(MID($A1485,J1485+J$2+1,K1485-J1485-J$2-1),",","."))</f>
        <v>0</v>
      </c>
      <c r="AD1485" s="3">
        <f>VALUE(SUBSTITUTE(MID($A1485,K1485+K$2+1,L1485-K1485-K$2-1),",","."))</f>
        <v>0</v>
      </c>
      <c r="AE1485" s="3">
        <f>VALUE(SUBSTITUTE(MID($A1485,L1485+L$2+1,M1485-L1485-L$2-1),",","."))</f>
        <v>0</v>
      </c>
      <c r="AF1485" s="3">
        <f>VALUE(SUBSTITUTE(MID($A1485,M1485+M$2+1,N1485-M1485-M$2-1),",","."))</f>
        <v>0</v>
      </c>
      <c r="AG1485" s="3">
        <f>VALUE(SUBSTITUTE(MID($A1485,N1485+N$2+1,O1485-N1485-N$2-1),",","."))</f>
        <v>4.2457272188153503</v>
      </c>
      <c r="AH1485" t="str">
        <f>MID($A1485,O1485+O$2+1,P1485-O1485-O$2-1)</f>
        <v/>
      </c>
      <c r="AI1485" s="8" t="str">
        <f>MID($A1485,P1485+P$2+1,Q1485-P1485-P$2-1)</f>
        <v>False</v>
      </c>
      <c r="AK1485" t="b">
        <f t="shared" si="200"/>
        <v>0</v>
      </c>
    </row>
    <row r="1486" spans="1:37" x14ac:dyDescent="0.35">
      <c r="A1486" t="s">
        <v>6033</v>
      </c>
      <c r="B1486">
        <f t="shared" si="198"/>
        <v>10</v>
      </c>
      <c r="C1486">
        <f t="shared" si="198"/>
        <v>43</v>
      </c>
      <c r="D1486">
        <f t="shared" si="198"/>
        <v>54</v>
      </c>
      <c r="E1486">
        <f t="shared" si="198"/>
        <v>80</v>
      </c>
      <c r="F1486">
        <f t="shared" si="198"/>
        <v>124</v>
      </c>
      <c r="G1486">
        <f t="shared" si="198"/>
        <v>145</v>
      </c>
      <c r="H1486">
        <f t="shared" si="198"/>
        <v>177</v>
      </c>
      <c r="I1486">
        <f t="shared" si="198"/>
        <v>199</v>
      </c>
      <c r="J1486">
        <f t="shared" si="198"/>
        <v>232</v>
      </c>
      <c r="K1486">
        <f t="shared" si="198"/>
        <v>249</v>
      </c>
      <c r="L1486">
        <f t="shared" si="198"/>
        <v>264</v>
      </c>
      <c r="M1486">
        <f t="shared" si="198"/>
        <v>279</v>
      </c>
      <c r="N1486">
        <f t="shared" si="198"/>
        <v>291</v>
      </c>
      <c r="O1486">
        <f t="shared" si="198"/>
        <v>316</v>
      </c>
      <c r="P1486">
        <f t="shared" si="198"/>
        <v>334</v>
      </c>
      <c r="Q1486">
        <f t="shared" si="193"/>
        <v>360</v>
      </c>
      <c r="S1486" t="str">
        <f t="shared" si="196"/>
        <v>12.12.2025</v>
      </c>
      <c r="T1486" t="str">
        <f t="shared" si="197"/>
        <v>06:00:00</v>
      </c>
      <c r="U1486" t="str">
        <f t="shared" si="199"/>
        <v>12.12.2025 06:00:00</v>
      </c>
      <c r="V1486" s="9" t="str">
        <f>MID($A1486,C1486+C$2+1,D1486-C1486-C$2-1)</f>
        <v>0</v>
      </c>
      <c r="W1486" s="4">
        <f>VALUE(SUBSTITUTE(MID($A1486,D1486+D$2+1,E1486-D1486-D$2-1),",","."))</f>
        <v>0</v>
      </c>
      <c r="X1486" s="4">
        <f>VALUE(SUBSTITUTE(MID($A1486,E1486+E$2+1,F1486-E1486-E$2-1),",","."))</f>
        <v>0.90957602214449496</v>
      </c>
      <c r="Y1486" s="4">
        <f>VALUE(SUBSTITUTE(MID($A1486,F1486+F$2+1,G1486-F1486-F$2-1),",","."))</f>
        <v>0</v>
      </c>
      <c r="Z1486" s="3">
        <f>VALUE(SUBSTITUTE(MID($A1486,G1486+G$2+1,H1486-G1486-G$2-1),",","."))</f>
        <v>0</v>
      </c>
      <c r="AA1486" s="3">
        <f>VALUE(SUBSTITUTE(MID($A1486,H1486+H$2+1,I1486-H1486-H$2-1),",","."))</f>
        <v>0</v>
      </c>
      <c r="AB1486" s="3">
        <f>VALUE(SUBSTITUTE(MID($A1486,I1486+I$2+1,J1486-I1486-I$2-1),",","."))</f>
        <v>0</v>
      </c>
      <c r="AC1486" s="3">
        <f>VALUE(SUBSTITUTE(MID($A1486,J1486+J$2+1,K1486-J1486-J$2-1),",","."))</f>
        <v>0</v>
      </c>
      <c r="AD1486" s="3">
        <f>VALUE(SUBSTITUTE(MID($A1486,K1486+K$2+1,L1486-K1486-K$2-1),",","."))</f>
        <v>0</v>
      </c>
      <c r="AE1486" s="3">
        <f>VALUE(SUBSTITUTE(MID($A1486,L1486+L$2+1,M1486-L1486-L$2-1),",","."))</f>
        <v>0</v>
      </c>
      <c r="AF1486" s="3">
        <f>VALUE(SUBSTITUTE(MID($A1486,M1486+M$2+1,N1486-M1486-M$2-1),",","."))</f>
        <v>0</v>
      </c>
      <c r="AG1486" s="3">
        <f>VALUE(SUBSTITUTE(MID($A1486,N1486+N$2+1,O1486-N1486-N$2-1),",","."))</f>
        <v>4.2457557387034299</v>
      </c>
      <c r="AH1486" t="str">
        <f>MID($A1486,O1486+O$2+1,P1486-O1486-O$2-1)</f>
        <v/>
      </c>
      <c r="AI1486" s="8" t="str">
        <f>MID($A1486,P1486+P$2+1,Q1486-P1486-P$2-1)</f>
        <v>False</v>
      </c>
      <c r="AK1486" t="b">
        <f t="shared" si="200"/>
        <v>0</v>
      </c>
    </row>
    <row r="1487" spans="1:37" x14ac:dyDescent="0.35">
      <c r="A1487" t="s">
        <v>6034</v>
      </c>
      <c r="B1487">
        <f t="shared" si="198"/>
        <v>10</v>
      </c>
      <c r="C1487">
        <f t="shared" si="198"/>
        <v>43</v>
      </c>
      <c r="D1487">
        <f t="shared" si="198"/>
        <v>54</v>
      </c>
      <c r="E1487">
        <f t="shared" si="198"/>
        <v>80</v>
      </c>
      <c r="F1487">
        <f t="shared" si="198"/>
        <v>124</v>
      </c>
      <c r="G1487">
        <f t="shared" si="198"/>
        <v>145</v>
      </c>
      <c r="H1487">
        <f t="shared" si="198"/>
        <v>177</v>
      </c>
      <c r="I1487">
        <f t="shared" si="198"/>
        <v>199</v>
      </c>
      <c r="J1487">
        <f t="shared" si="198"/>
        <v>232</v>
      </c>
      <c r="K1487">
        <f t="shared" si="198"/>
        <v>249</v>
      </c>
      <c r="L1487">
        <f t="shared" si="198"/>
        <v>264</v>
      </c>
      <c r="M1487">
        <f t="shared" si="198"/>
        <v>279</v>
      </c>
      <c r="N1487">
        <f t="shared" si="198"/>
        <v>291</v>
      </c>
      <c r="O1487">
        <f t="shared" si="198"/>
        <v>316</v>
      </c>
      <c r="P1487">
        <f t="shared" si="198"/>
        <v>334</v>
      </c>
      <c r="Q1487">
        <f t="shared" si="193"/>
        <v>360</v>
      </c>
      <c r="S1487" t="str">
        <f t="shared" si="196"/>
        <v>12.12.2025</v>
      </c>
      <c r="T1487" t="str">
        <f t="shared" si="197"/>
        <v>06:15:00</v>
      </c>
      <c r="U1487" t="str">
        <f t="shared" si="199"/>
        <v>12.12.2025 06:15:00</v>
      </c>
      <c r="V1487" s="9" t="str">
        <f>MID($A1487,C1487+C$2+1,D1487-C1487-C$2-1)</f>
        <v>0</v>
      </c>
      <c r="W1487" s="4">
        <f>VALUE(SUBSTITUTE(MID($A1487,D1487+D$2+1,E1487-D1487-D$2-1),",","."))</f>
        <v>0</v>
      </c>
      <c r="X1487" s="4">
        <f>VALUE(SUBSTITUTE(MID($A1487,E1487+E$2+1,F1487-E1487-E$2-1),",","."))</f>
        <v>0.90957602214449496</v>
      </c>
      <c r="Y1487" s="4">
        <f>VALUE(SUBSTITUTE(MID($A1487,F1487+F$2+1,G1487-F1487-F$2-1),",","."))</f>
        <v>0</v>
      </c>
      <c r="Z1487" s="3">
        <f>VALUE(SUBSTITUTE(MID($A1487,G1487+G$2+1,H1487-G1487-G$2-1),",","."))</f>
        <v>0</v>
      </c>
      <c r="AA1487" s="3">
        <f>VALUE(SUBSTITUTE(MID($A1487,H1487+H$2+1,I1487-H1487-H$2-1),",","."))</f>
        <v>0</v>
      </c>
      <c r="AB1487" s="3">
        <f>VALUE(SUBSTITUTE(MID($A1487,I1487+I$2+1,J1487-I1487-I$2-1),",","."))</f>
        <v>0</v>
      </c>
      <c r="AC1487" s="3">
        <f>VALUE(SUBSTITUTE(MID($A1487,J1487+J$2+1,K1487-J1487-J$2-1),",","."))</f>
        <v>0</v>
      </c>
      <c r="AD1487" s="3">
        <f>VALUE(SUBSTITUTE(MID($A1487,K1487+K$2+1,L1487-K1487-K$2-1),",","."))</f>
        <v>0</v>
      </c>
      <c r="AE1487" s="3">
        <f>VALUE(SUBSTITUTE(MID($A1487,L1487+L$2+1,M1487-L1487-L$2-1),",","."))</f>
        <v>0</v>
      </c>
      <c r="AF1487" s="3">
        <f>VALUE(SUBSTITUTE(MID($A1487,M1487+M$2+1,N1487-M1487-M$2-1),",","."))</f>
        <v>0</v>
      </c>
      <c r="AG1487" s="3">
        <f>VALUE(SUBSTITUTE(MID($A1487,N1487+N$2+1,O1487-N1487-N$2-1),",","."))</f>
        <v>4.2457842585915104</v>
      </c>
      <c r="AH1487" t="str">
        <f>MID($A1487,O1487+O$2+1,P1487-O1487-O$2-1)</f>
        <v/>
      </c>
      <c r="AI1487" s="8" t="str">
        <f>MID($A1487,P1487+P$2+1,Q1487-P1487-P$2-1)</f>
        <v>False</v>
      </c>
      <c r="AK1487" t="b">
        <f t="shared" si="200"/>
        <v>0</v>
      </c>
    </row>
    <row r="1488" spans="1:37" x14ac:dyDescent="0.35">
      <c r="A1488" t="s">
        <v>6035</v>
      </c>
      <c r="B1488">
        <f t="shared" si="198"/>
        <v>10</v>
      </c>
      <c r="C1488">
        <f t="shared" si="198"/>
        <v>43</v>
      </c>
      <c r="D1488">
        <f t="shared" si="198"/>
        <v>54</v>
      </c>
      <c r="E1488">
        <f t="shared" si="198"/>
        <v>80</v>
      </c>
      <c r="F1488">
        <f t="shared" si="198"/>
        <v>124</v>
      </c>
      <c r="G1488">
        <f t="shared" si="198"/>
        <v>145</v>
      </c>
      <c r="H1488">
        <f t="shared" si="198"/>
        <v>177</v>
      </c>
      <c r="I1488">
        <f t="shared" si="198"/>
        <v>199</v>
      </c>
      <c r="J1488">
        <f t="shared" si="198"/>
        <v>232</v>
      </c>
      <c r="K1488">
        <f t="shared" si="198"/>
        <v>249</v>
      </c>
      <c r="L1488">
        <f t="shared" si="198"/>
        <v>264</v>
      </c>
      <c r="M1488">
        <f t="shared" si="198"/>
        <v>279</v>
      </c>
      <c r="N1488">
        <f t="shared" si="198"/>
        <v>291</v>
      </c>
      <c r="O1488">
        <f t="shared" si="198"/>
        <v>317</v>
      </c>
      <c r="P1488">
        <f t="shared" si="198"/>
        <v>335</v>
      </c>
      <c r="Q1488">
        <f t="shared" si="193"/>
        <v>361</v>
      </c>
      <c r="S1488" t="str">
        <f t="shared" si="196"/>
        <v>12.12.2025</v>
      </c>
      <c r="T1488" t="str">
        <f t="shared" si="197"/>
        <v>06:30:00</v>
      </c>
      <c r="U1488" t="str">
        <f t="shared" si="199"/>
        <v>12.12.2025 06:30:00</v>
      </c>
      <c r="V1488" s="9" t="str">
        <f>MID($A1488,C1488+C$2+1,D1488-C1488-C$2-1)</f>
        <v>0</v>
      </c>
      <c r="W1488" s="4">
        <f>VALUE(SUBSTITUTE(MID($A1488,D1488+D$2+1,E1488-D1488-D$2-1),",","."))</f>
        <v>0</v>
      </c>
      <c r="X1488" s="4">
        <f>VALUE(SUBSTITUTE(MID($A1488,E1488+E$2+1,F1488-E1488-E$2-1),",","."))</f>
        <v>0.90957602214449496</v>
      </c>
      <c r="Y1488" s="4">
        <f>VALUE(SUBSTITUTE(MID($A1488,F1488+F$2+1,G1488-F1488-F$2-1),",","."))</f>
        <v>0</v>
      </c>
      <c r="Z1488" s="3">
        <f>VALUE(SUBSTITUTE(MID($A1488,G1488+G$2+1,H1488-G1488-G$2-1),",","."))</f>
        <v>0</v>
      </c>
      <c r="AA1488" s="3">
        <f>VALUE(SUBSTITUTE(MID($A1488,H1488+H$2+1,I1488-H1488-H$2-1),",","."))</f>
        <v>0</v>
      </c>
      <c r="AB1488" s="3">
        <f>VALUE(SUBSTITUTE(MID($A1488,I1488+I$2+1,J1488-I1488-I$2-1),",","."))</f>
        <v>0</v>
      </c>
      <c r="AC1488" s="3">
        <f>VALUE(SUBSTITUTE(MID($A1488,J1488+J$2+1,K1488-J1488-J$2-1),",","."))</f>
        <v>0</v>
      </c>
      <c r="AD1488" s="3">
        <f>VALUE(SUBSTITUTE(MID($A1488,K1488+K$2+1,L1488-K1488-K$2-1),",","."))</f>
        <v>0</v>
      </c>
      <c r="AE1488" s="3">
        <f>VALUE(SUBSTITUTE(MID($A1488,L1488+L$2+1,M1488-L1488-L$2-1),",","."))</f>
        <v>0</v>
      </c>
      <c r="AF1488" s="3">
        <f>VALUE(SUBSTITUTE(MID($A1488,M1488+M$2+1,N1488-M1488-M$2-1),",","."))</f>
        <v>0</v>
      </c>
      <c r="AG1488" s="3">
        <f>VALUE(SUBSTITUTE(MID($A1488,N1488+N$2+1,O1488-N1488-N$2-1),",","."))</f>
        <v>4.24581277847959</v>
      </c>
      <c r="AH1488" t="str">
        <f>MID($A1488,O1488+O$2+1,P1488-O1488-O$2-1)</f>
        <v/>
      </c>
      <c r="AI1488" s="8" t="str">
        <f>MID($A1488,P1488+P$2+1,Q1488-P1488-P$2-1)</f>
        <v>False</v>
      </c>
      <c r="AK1488" t="b">
        <f t="shared" si="200"/>
        <v>0</v>
      </c>
    </row>
    <row r="1489" spans="1:37" x14ac:dyDescent="0.35">
      <c r="A1489" t="s">
        <v>6036</v>
      </c>
      <c r="B1489">
        <f t="shared" si="198"/>
        <v>10</v>
      </c>
      <c r="C1489">
        <f t="shared" si="198"/>
        <v>43</v>
      </c>
      <c r="D1489">
        <f t="shared" si="198"/>
        <v>54</v>
      </c>
      <c r="E1489">
        <f t="shared" si="198"/>
        <v>80</v>
      </c>
      <c r="F1489">
        <f t="shared" si="198"/>
        <v>124</v>
      </c>
      <c r="G1489">
        <f t="shared" si="198"/>
        <v>145</v>
      </c>
      <c r="H1489">
        <f t="shared" si="198"/>
        <v>177</v>
      </c>
      <c r="I1489">
        <f t="shared" si="198"/>
        <v>199</v>
      </c>
      <c r="J1489">
        <f t="shared" si="198"/>
        <v>232</v>
      </c>
      <c r="K1489">
        <f t="shared" si="198"/>
        <v>249</v>
      </c>
      <c r="L1489">
        <f t="shared" si="198"/>
        <v>264</v>
      </c>
      <c r="M1489">
        <f t="shared" si="198"/>
        <v>279</v>
      </c>
      <c r="N1489">
        <f t="shared" si="198"/>
        <v>291</v>
      </c>
      <c r="O1489">
        <f t="shared" si="198"/>
        <v>316</v>
      </c>
      <c r="P1489">
        <f t="shared" si="198"/>
        <v>334</v>
      </c>
      <c r="Q1489">
        <f t="shared" si="193"/>
        <v>360</v>
      </c>
      <c r="S1489" t="str">
        <f t="shared" si="196"/>
        <v>12.12.2025</v>
      </c>
      <c r="T1489" t="str">
        <f t="shared" si="197"/>
        <v>06:45:00</v>
      </c>
      <c r="U1489" t="str">
        <f t="shared" si="199"/>
        <v>12.12.2025 06:45:00</v>
      </c>
      <c r="V1489" s="9" t="str">
        <f>MID($A1489,C1489+C$2+1,D1489-C1489-C$2-1)</f>
        <v>0</v>
      </c>
      <c r="W1489" s="4">
        <f>VALUE(SUBSTITUTE(MID($A1489,D1489+D$2+1,E1489-D1489-D$2-1),",","."))</f>
        <v>0</v>
      </c>
      <c r="X1489" s="4">
        <f>VALUE(SUBSTITUTE(MID($A1489,E1489+E$2+1,F1489-E1489-E$2-1),",","."))</f>
        <v>0.90957602214449496</v>
      </c>
      <c r="Y1489" s="4">
        <f>VALUE(SUBSTITUTE(MID($A1489,F1489+F$2+1,G1489-F1489-F$2-1),",","."))</f>
        <v>0</v>
      </c>
      <c r="Z1489" s="3">
        <f>VALUE(SUBSTITUTE(MID($A1489,G1489+G$2+1,H1489-G1489-G$2-1),",","."))</f>
        <v>0</v>
      </c>
      <c r="AA1489" s="3">
        <f>VALUE(SUBSTITUTE(MID($A1489,H1489+H$2+1,I1489-H1489-H$2-1),",","."))</f>
        <v>0</v>
      </c>
      <c r="AB1489" s="3">
        <f>VALUE(SUBSTITUTE(MID($A1489,I1489+I$2+1,J1489-I1489-I$2-1),",","."))</f>
        <v>0</v>
      </c>
      <c r="AC1489" s="3">
        <f>VALUE(SUBSTITUTE(MID($A1489,J1489+J$2+1,K1489-J1489-J$2-1),",","."))</f>
        <v>0</v>
      </c>
      <c r="AD1489" s="3">
        <f>VALUE(SUBSTITUTE(MID($A1489,K1489+K$2+1,L1489-K1489-K$2-1),",","."))</f>
        <v>0</v>
      </c>
      <c r="AE1489" s="3">
        <f>VALUE(SUBSTITUTE(MID($A1489,L1489+L$2+1,M1489-L1489-L$2-1),",","."))</f>
        <v>0</v>
      </c>
      <c r="AF1489" s="3">
        <f>VALUE(SUBSTITUTE(MID($A1489,M1489+M$2+1,N1489-M1489-M$2-1),",","."))</f>
        <v>0</v>
      </c>
      <c r="AG1489" s="3">
        <f>VALUE(SUBSTITUTE(MID($A1489,N1489+N$2+1,O1489-N1489-N$2-1),",","."))</f>
        <v>4.2458412983676697</v>
      </c>
      <c r="AH1489" t="str">
        <f>MID($A1489,O1489+O$2+1,P1489-O1489-O$2-1)</f>
        <v/>
      </c>
      <c r="AI1489" s="8" t="str">
        <f>MID($A1489,P1489+P$2+1,Q1489-P1489-P$2-1)</f>
        <v>False</v>
      </c>
      <c r="AK1489" t="b">
        <f t="shared" si="200"/>
        <v>0</v>
      </c>
    </row>
    <row r="1490" spans="1:37" x14ac:dyDescent="0.35">
      <c r="A1490" t="s">
        <v>6037</v>
      </c>
      <c r="B1490">
        <f t="shared" si="198"/>
        <v>10</v>
      </c>
      <c r="C1490">
        <f t="shared" si="198"/>
        <v>43</v>
      </c>
      <c r="D1490">
        <f t="shared" si="198"/>
        <v>54</v>
      </c>
      <c r="E1490">
        <f t="shared" si="198"/>
        <v>80</v>
      </c>
      <c r="F1490">
        <f t="shared" si="198"/>
        <v>124</v>
      </c>
      <c r="G1490">
        <f t="shared" si="198"/>
        <v>145</v>
      </c>
      <c r="H1490">
        <f t="shared" si="198"/>
        <v>177</v>
      </c>
      <c r="I1490">
        <f t="shared" si="198"/>
        <v>199</v>
      </c>
      <c r="J1490">
        <f t="shared" si="198"/>
        <v>232</v>
      </c>
      <c r="K1490">
        <f t="shared" si="198"/>
        <v>249</v>
      </c>
      <c r="L1490">
        <f t="shared" si="198"/>
        <v>264</v>
      </c>
      <c r="M1490">
        <f t="shared" si="198"/>
        <v>279</v>
      </c>
      <c r="N1490">
        <f t="shared" si="198"/>
        <v>291</v>
      </c>
      <c r="O1490">
        <f t="shared" si="198"/>
        <v>316</v>
      </c>
      <c r="P1490">
        <f t="shared" si="198"/>
        <v>334</v>
      </c>
      <c r="Q1490">
        <f t="shared" si="193"/>
        <v>360</v>
      </c>
      <c r="S1490" t="str">
        <f t="shared" si="196"/>
        <v>12.12.2025</v>
      </c>
      <c r="T1490" t="str">
        <f t="shared" si="197"/>
        <v>07:00:00</v>
      </c>
      <c r="U1490" t="str">
        <f t="shared" si="199"/>
        <v>12.12.2025 07:00:00</v>
      </c>
      <c r="V1490" s="9" t="str">
        <f>MID($A1490,C1490+C$2+1,D1490-C1490-C$2-1)</f>
        <v>0</v>
      </c>
      <c r="W1490" s="4">
        <f>VALUE(SUBSTITUTE(MID($A1490,D1490+D$2+1,E1490-D1490-D$2-1),",","."))</f>
        <v>0</v>
      </c>
      <c r="X1490" s="4">
        <f>VALUE(SUBSTITUTE(MID($A1490,E1490+E$2+1,F1490-E1490-E$2-1),",","."))</f>
        <v>0.90957602214449496</v>
      </c>
      <c r="Y1490" s="4">
        <f>VALUE(SUBSTITUTE(MID($A1490,F1490+F$2+1,G1490-F1490-F$2-1),",","."))</f>
        <v>0</v>
      </c>
      <c r="Z1490" s="3">
        <f>VALUE(SUBSTITUTE(MID($A1490,G1490+G$2+1,H1490-G1490-G$2-1),",","."))</f>
        <v>0</v>
      </c>
      <c r="AA1490" s="3">
        <f>VALUE(SUBSTITUTE(MID($A1490,H1490+H$2+1,I1490-H1490-H$2-1),",","."))</f>
        <v>0</v>
      </c>
      <c r="AB1490" s="3">
        <f>VALUE(SUBSTITUTE(MID($A1490,I1490+I$2+1,J1490-I1490-I$2-1),",","."))</f>
        <v>0</v>
      </c>
      <c r="AC1490" s="3">
        <f>VALUE(SUBSTITUTE(MID($A1490,J1490+J$2+1,K1490-J1490-J$2-1),",","."))</f>
        <v>0</v>
      </c>
      <c r="AD1490" s="3">
        <f>VALUE(SUBSTITUTE(MID($A1490,K1490+K$2+1,L1490-K1490-K$2-1),",","."))</f>
        <v>0</v>
      </c>
      <c r="AE1490" s="3">
        <f>VALUE(SUBSTITUTE(MID($A1490,L1490+L$2+1,M1490-L1490-L$2-1),",","."))</f>
        <v>0</v>
      </c>
      <c r="AF1490" s="3">
        <f>VALUE(SUBSTITUTE(MID($A1490,M1490+M$2+1,N1490-M1490-M$2-1),",","."))</f>
        <v>0</v>
      </c>
      <c r="AG1490" s="3">
        <f>VALUE(SUBSTITUTE(MID($A1490,N1490+N$2+1,O1490-N1490-N$2-1),",","."))</f>
        <v>4.2458698182557502</v>
      </c>
      <c r="AH1490" t="str">
        <f>MID($A1490,O1490+O$2+1,P1490-O1490-O$2-1)</f>
        <v/>
      </c>
      <c r="AI1490" s="8" t="str">
        <f>MID($A1490,P1490+P$2+1,Q1490-P1490-P$2-1)</f>
        <v>False</v>
      </c>
      <c r="AK1490" t="b">
        <f t="shared" si="200"/>
        <v>0</v>
      </c>
    </row>
    <row r="1491" spans="1:37" x14ac:dyDescent="0.35">
      <c r="A1491" t="s">
        <v>6038</v>
      </c>
      <c r="B1491">
        <f t="shared" ref="B1491:Q1507" si="201">FIND(B$1,$A1491)</f>
        <v>10</v>
      </c>
      <c r="C1491">
        <f t="shared" si="201"/>
        <v>43</v>
      </c>
      <c r="D1491">
        <f t="shared" si="201"/>
        <v>54</v>
      </c>
      <c r="E1491">
        <f t="shared" si="201"/>
        <v>80</v>
      </c>
      <c r="F1491">
        <f t="shared" si="201"/>
        <v>124</v>
      </c>
      <c r="G1491">
        <f t="shared" si="201"/>
        <v>145</v>
      </c>
      <c r="H1491">
        <f t="shared" si="201"/>
        <v>177</v>
      </c>
      <c r="I1491">
        <f t="shared" si="201"/>
        <v>199</v>
      </c>
      <c r="J1491">
        <f t="shared" si="201"/>
        <v>232</v>
      </c>
      <c r="K1491">
        <f t="shared" si="201"/>
        <v>249</v>
      </c>
      <c r="L1491">
        <f t="shared" si="201"/>
        <v>264</v>
      </c>
      <c r="M1491">
        <f t="shared" si="201"/>
        <v>279</v>
      </c>
      <c r="N1491">
        <f t="shared" si="201"/>
        <v>291</v>
      </c>
      <c r="O1491">
        <f t="shared" si="201"/>
        <v>317</v>
      </c>
      <c r="P1491">
        <f t="shared" si="201"/>
        <v>335</v>
      </c>
      <c r="Q1491">
        <f t="shared" si="193"/>
        <v>361</v>
      </c>
      <c r="S1491" t="str">
        <f t="shared" si="196"/>
        <v>12.12.2025</v>
      </c>
      <c r="T1491" t="str">
        <f t="shared" si="197"/>
        <v>07:15:00</v>
      </c>
      <c r="U1491" t="str">
        <f t="shared" si="199"/>
        <v>12.12.2025 07:15:00</v>
      </c>
      <c r="V1491" s="9" t="str">
        <f>MID($A1491,C1491+C$2+1,D1491-C1491-C$2-1)</f>
        <v>0</v>
      </c>
      <c r="W1491" s="4">
        <f>VALUE(SUBSTITUTE(MID($A1491,D1491+D$2+1,E1491-D1491-D$2-1),",","."))</f>
        <v>0</v>
      </c>
      <c r="X1491" s="4">
        <f>VALUE(SUBSTITUTE(MID($A1491,E1491+E$2+1,F1491-E1491-E$2-1),",","."))</f>
        <v>0.90957602214449496</v>
      </c>
      <c r="Y1491" s="4">
        <f>VALUE(SUBSTITUTE(MID($A1491,F1491+F$2+1,G1491-F1491-F$2-1),",","."))</f>
        <v>0</v>
      </c>
      <c r="Z1491" s="3">
        <f>VALUE(SUBSTITUTE(MID($A1491,G1491+G$2+1,H1491-G1491-G$2-1),",","."))</f>
        <v>0</v>
      </c>
      <c r="AA1491" s="3">
        <f>VALUE(SUBSTITUTE(MID($A1491,H1491+H$2+1,I1491-H1491-H$2-1),",","."))</f>
        <v>0</v>
      </c>
      <c r="AB1491" s="3">
        <f>VALUE(SUBSTITUTE(MID($A1491,I1491+I$2+1,J1491-I1491-I$2-1),",","."))</f>
        <v>0</v>
      </c>
      <c r="AC1491" s="3">
        <f>VALUE(SUBSTITUTE(MID($A1491,J1491+J$2+1,K1491-J1491-J$2-1),",","."))</f>
        <v>0</v>
      </c>
      <c r="AD1491" s="3">
        <f>VALUE(SUBSTITUTE(MID($A1491,K1491+K$2+1,L1491-K1491-K$2-1),",","."))</f>
        <v>0</v>
      </c>
      <c r="AE1491" s="3">
        <f>VALUE(SUBSTITUTE(MID($A1491,L1491+L$2+1,M1491-L1491-L$2-1),",","."))</f>
        <v>0</v>
      </c>
      <c r="AF1491" s="3">
        <f>VALUE(SUBSTITUTE(MID($A1491,M1491+M$2+1,N1491-M1491-M$2-1),",","."))</f>
        <v>0</v>
      </c>
      <c r="AG1491" s="3">
        <f>VALUE(SUBSTITUTE(MID($A1491,N1491+N$2+1,O1491-N1491-N$2-1),",","."))</f>
        <v>4.2458983381438298</v>
      </c>
      <c r="AH1491" t="str">
        <f>MID($A1491,O1491+O$2+1,P1491-O1491-O$2-1)</f>
        <v/>
      </c>
      <c r="AI1491" s="8" t="str">
        <f>MID($A1491,P1491+P$2+1,Q1491-P1491-P$2-1)</f>
        <v>False</v>
      </c>
      <c r="AK1491" t="b">
        <f t="shared" si="200"/>
        <v>0</v>
      </c>
    </row>
    <row r="1492" spans="1:37" x14ac:dyDescent="0.35">
      <c r="A1492" t="s">
        <v>6039</v>
      </c>
      <c r="B1492">
        <f t="shared" si="201"/>
        <v>10</v>
      </c>
      <c r="C1492">
        <f t="shared" si="201"/>
        <v>43</v>
      </c>
      <c r="D1492">
        <f t="shared" si="201"/>
        <v>54</v>
      </c>
      <c r="E1492">
        <f t="shared" si="201"/>
        <v>80</v>
      </c>
      <c r="F1492">
        <f t="shared" si="201"/>
        <v>124</v>
      </c>
      <c r="G1492">
        <f t="shared" si="201"/>
        <v>145</v>
      </c>
      <c r="H1492">
        <f t="shared" si="201"/>
        <v>177</v>
      </c>
      <c r="I1492">
        <f t="shared" si="201"/>
        <v>199</v>
      </c>
      <c r="J1492">
        <f t="shared" si="201"/>
        <v>232</v>
      </c>
      <c r="K1492">
        <f t="shared" si="201"/>
        <v>249</v>
      </c>
      <c r="L1492">
        <f t="shared" si="201"/>
        <v>264</v>
      </c>
      <c r="M1492">
        <f t="shared" si="201"/>
        <v>279</v>
      </c>
      <c r="N1492">
        <f t="shared" si="201"/>
        <v>291</v>
      </c>
      <c r="O1492">
        <f t="shared" si="201"/>
        <v>316</v>
      </c>
      <c r="P1492">
        <f t="shared" si="201"/>
        <v>334</v>
      </c>
      <c r="Q1492">
        <f t="shared" si="193"/>
        <v>360</v>
      </c>
      <c r="S1492" t="str">
        <f t="shared" si="196"/>
        <v>12.12.2025</v>
      </c>
      <c r="T1492" t="str">
        <f t="shared" si="197"/>
        <v>07:30:00</v>
      </c>
      <c r="U1492" t="str">
        <f t="shared" si="199"/>
        <v>12.12.2025 07:30:00</v>
      </c>
      <c r="V1492" s="9" t="str">
        <f>MID($A1492,C1492+C$2+1,D1492-C1492-C$2-1)</f>
        <v>0</v>
      </c>
      <c r="W1492" s="4">
        <f>VALUE(SUBSTITUTE(MID($A1492,D1492+D$2+1,E1492-D1492-D$2-1),",","."))</f>
        <v>0</v>
      </c>
      <c r="X1492" s="4">
        <f>VALUE(SUBSTITUTE(MID($A1492,E1492+E$2+1,F1492-E1492-E$2-1),",","."))</f>
        <v>0.90957602214449496</v>
      </c>
      <c r="Y1492" s="4">
        <f>VALUE(SUBSTITUTE(MID($A1492,F1492+F$2+1,G1492-F1492-F$2-1),",","."))</f>
        <v>0</v>
      </c>
      <c r="Z1492" s="3">
        <f>VALUE(SUBSTITUTE(MID($A1492,G1492+G$2+1,H1492-G1492-G$2-1),",","."))</f>
        <v>0</v>
      </c>
      <c r="AA1492" s="3">
        <f>VALUE(SUBSTITUTE(MID($A1492,H1492+H$2+1,I1492-H1492-H$2-1),",","."))</f>
        <v>0</v>
      </c>
      <c r="AB1492" s="3">
        <f>VALUE(SUBSTITUTE(MID($A1492,I1492+I$2+1,J1492-I1492-I$2-1),",","."))</f>
        <v>0</v>
      </c>
      <c r="AC1492" s="3">
        <f>VALUE(SUBSTITUTE(MID($A1492,J1492+J$2+1,K1492-J1492-J$2-1),",","."))</f>
        <v>0</v>
      </c>
      <c r="AD1492" s="3">
        <f>VALUE(SUBSTITUTE(MID($A1492,K1492+K$2+1,L1492-K1492-K$2-1),",","."))</f>
        <v>0</v>
      </c>
      <c r="AE1492" s="3">
        <f>VALUE(SUBSTITUTE(MID($A1492,L1492+L$2+1,M1492-L1492-L$2-1),",","."))</f>
        <v>0</v>
      </c>
      <c r="AF1492" s="3">
        <f>VALUE(SUBSTITUTE(MID($A1492,M1492+M$2+1,N1492-M1492-M$2-1),",","."))</f>
        <v>0</v>
      </c>
      <c r="AG1492" s="3">
        <f>VALUE(SUBSTITUTE(MID($A1492,N1492+N$2+1,O1492-N1492-N$2-1),",","."))</f>
        <v>4.24592685803192</v>
      </c>
      <c r="AH1492" t="str">
        <f>MID($A1492,O1492+O$2+1,P1492-O1492-O$2-1)</f>
        <v/>
      </c>
      <c r="AI1492" s="8" t="str">
        <f>MID($A1492,P1492+P$2+1,Q1492-P1492-P$2-1)</f>
        <v>False</v>
      </c>
      <c r="AK1492" t="b">
        <f t="shared" si="200"/>
        <v>0</v>
      </c>
    </row>
    <row r="1493" spans="1:37" x14ac:dyDescent="0.35">
      <c r="A1493" t="s">
        <v>6040</v>
      </c>
      <c r="B1493">
        <f t="shared" si="201"/>
        <v>10</v>
      </c>
      <c r="C1493">
        <f t="shared" si="201"/>
        <v>43</v>
      </c>
      <c r="D1493">
        <f t="shared" si="201"/>
        <v>54</v>
      </c>
      <c r="E1493">
        <f t="shared" si="201"/>
        <v>80</v>
      </c>
      <c r="F1493">
        <f t="shared" si="201"/>
        <v>124</v>
      </c>
      <c r="G1493">
        <f t="shared" si="201"/>
        <v>145</v>
      </c>
      <c r="H1493">
        <f t="shared" si="201"/>
        <v>177</v>
      </c>
      <c r="I1493">
        <f t="shared" si="201"/>
        <v>199</v>
      </c>
      <c r="J1493">
        <f t="shared" si="201"/>
        <v>232</v>
      </c>
      <c r="K1493">
        <f t="shared" si="201"/>
        <v>249</v>
      </c>
      <c r="L1493">
        <f t="shared" si="201"/>
        <v>264</v>
      </c>
      <c r="M1493">
        <f t="shared" si="201"/>
        <v>279</v>
      </c>
      <c r="N1493">
        <f t="shared" si="201"/>
        <v>291</v>
      </c>
      <c r="O1493">
        <f t="shared" si="201"/>
        <v>316</v>
      </c>
      <c r="P1493">
        <f t="shared" si="201"/>
        <v>334</v>
      </c>
      <c r="Q1493">
        <f t="shared" si="193"/>
        <v>360</v>
      </c>
      <c r="S1493" t="str">
        <f t="shared" si="196"/>
        <v>12.12.2025</v>
      </c>
      <c r="T1493" t="str">
        <f t="shared" si="197"/>
        <v>07:45:00</v>
      </c>
      <c r="U1493" t="str">
        <f t="shared" si="199"/>
        <v>12.12.2025 07:45:00</v>
      </c>
      <c r="V1493" s="9" t="str">
        <f>MID($A1493,C1493+C$2+1,D1493-C1493-C$2-1)</f>
        <v>0</v>
      </c>
      <c r="W1493" s="4">
        <f>VALUE(SUBSTITUTE(MID($A1493,D1493+D$2+1,E1493-D1493-D$2-1),",","."))</f>
        <v>0</v>
      </c>
      <c r="X1493" s="4">
        <f>VALUE(SUBSTITUTE(MID($A1493,E1493+E$2+1,F1493-E1493-E$2-1),",","."))</f>
        <v>0.90957602214449496</v>
      </c>
      <c r="Y1493" s="4">
        <f>VALUE(SUBSTITUTE(MID($A1493,F1493+F$2+1,G1493-F1493-F$2-1),",","."))</f>
        <v>0</v>
      </c>
      <c r="Z1493" s="3">
        <f>VALUE(SUBSTITUTE(MID($A1493,G1493+G$2+1,H1493-G1493-G$2-1),",","."))</f>
        <v>0</v>
      </c>
      <c r="AA1493" s="3">
        <f>VALUE(SUBSTITUTE(MID($A1493,H1493+H$2+1,I1493-H1493-H$2-1),",","."))</f>
        <v>0</v>
      </c>
      <c r="AB1493" s="3">
        <f>VALUE(SUBSTITUTE(MID($A1493,I1493+I$2+1,J1493-I1493-I$2-1),",","."))</f>
        <v>0</v>
      </c>
      <c r="AC1493" s="3">
        <f>VALUE(SUBSTITUTE(MID($A1493,J1493+J$2+1,K1493-J1493-J$2-1),",","."))</f>
        <v>0</v>
      </c>
      <c r="AD1493" s="3">
        <f>VALUE(SUBSTITUTE(MID($A1493,K1493+K$2+1,L1493-K1493-K$2-1),",","."))</f>
        <v>0</v>
      </c>
      <c r="AE1493" s="3">
        <f>VALUE(SUBSTITUTE(MID($A1493,L1493+L$2+1,M1493-L1493-L$2-1),",","."))</f>
        <v>0</v>
      </c>
      <c r="AF1493" s="3">
        <f>VALUE(SUBSTITUTE(MID($A1493,M1493+M$2+1,N1493-M1493-M$2-1),",","."))</f>
        <v>0</v>
      </c>
      <c r="AG1493" s="3">
        <f>VALUE(SUBSTITUTE(MID($A1493,N1493+N$2+1,O1493-N1493-N$2-1),",","."))</f>
        <v>4.2459553779199997</v>
      </c>
      <c r="AH1493" t="str">
        <f>MID($A1493,O1493+O$2+1,P1493-O1493-O$2-1)</f>
        <v/>
      </c>
      <c r="AI1493" s="8" t="str">
        <f>MID($A1493,P1493+P$2+1,Q1493-P1493-P$2-1)</f>
        <v>False</v>
      </c>
      <c r="AK1493" t="b">
        <f t="shared" si="200"/>
        <v>0</v>
      </c>
    </row>
    <row r="1494" spans="1:37" x14ac:dyDescent="0.35">
      <c r="A1494" t="s">
        <v>6041</v>
      </c>
      <c r="B1494">
        <f t="shared" si="201"/>
        <v>10</v>
      </c>
      <c r="C1494">
        <f t="shared" si="201"/>
        <v>43</v>
      </c>
      <c r="D1494">
        <f t="shared" si="201"/>
        <v>54</v>
      </c>
      <c r="E1494">
        <f t="shared" si="201"/>
        <v>80</v>
      </c>
      <c r="F1494">
        <f t="shared" si="201"/>
        <v>124</v>
      </c>
      <c r="G1494">
        <f t="shared" si="201"/>
        <v>164</v>
      </c>
      <c r="H1494">
        <f t="shared" si="201"/>
        <v>196</v>
      </c>
      <c r="I1494">
        <f t="shared" si="201"/>
        <v>218</v>
      </c>
      <c r="J1494">
        <f t="shared" si="201"/>
        <v>251</v>
      </c>
      <c r="K1494">
        <f t="shared" si="201"/>
        <v>268</v>
      </c>
      <c r="L1494">
        <f t="shared" si="201"/>
        <v>283</v>
      </c>
      <c r="M1494">
        <f t="shared" si="201"/>
        <v>298</v>
      </c>
      <c r="N1494">
        <f t="shared" si="201"/>
        <v>310</v>
      </c>
      <c r="O1494">
        <f t="shared" si="201"/>
        <v>335</v>
      </c>
      <c r="P1494">
        <f t="shared" si="201"/>
        <v>353</v>
      </c>
      <c r="Q1494">
        <f t="shared" si="193"/>
        <v>379</v>
      </c>
      <c r="S1494" t="str">
        <f t="shared" si="196"/>
        <v>12.12.2025</v>
      </c>
      <c r="T1494" t="str">
        <f t="shared" si="197"/>
        <v>08:00:00</v>
      </c>
      <c r="U1494" t="str">
        <f t="shared" si="199"/>
        <v>12.12.2025 08:00:00</v>
      </c>
      <c r="V1494" s="9" t="str">
        <f>MID($A1494,C1494+C$2+1,D1494-C1494-C$2-1)</f>
        <v>0</v>
      </c>
      <c r="W1494" s="4">
        <f>VALUE(SUBSTITUTE(MID($A1494,D1494+D$2+1,E1494-D1494-D$2-1),",","."))</f>
        <v>0</v>
      </c>
      <c r="X1494" s="4">
        <f>VALUE(SUBSTITUTE(MID($A1494,E1494+E$2+1,F1494-E1494-E$2-1),",","."))</f>
        <v>0.90957602214449496</v>
      </c>
      <c r="Y1494" s="4">
        <f>VALUE(SUBSTITUTE(MID($A1494,F1494+F$2+1,G1494-F1494-F$2-1),",","."))</f>
        <v>5.7251544397899498E-3</v>
      </c>
      <c r="Z1494" s="3">
        <f>VALUE(SUBSTITUTE(MID($A1494,G1494+G$2+1,H1494-G1494-G$2-1),",","."))</f>
        <v>0</v>
      </c>
      <c r="AA1494" s="3">
        <f>VALUE(SUBSTITUTE(MID($A1494,H1494+H$2+1,I1494-H1494-H$2-1),",","."))</f>
        <v>0</v>
      </c>
      <c r="AB1494" s="3">
        <f>VALUE(SUBSTITUTE(MID($A1494,I1494+I$2+1,J1494-I1494-I$2-1),",","."))</f>
        <v>0</v>
      </c>
      <c r="AC1494" s="3">
        <f>VALUE(SUBSTITUTE(MID($A1494,J1494+J$2+1,K1494-J1494-J$2-1),",","."))</f>
        <v>0</v>
      </c>
      <c r="AD1494" s="3">
        <f>VALUE(SUBSTITUTE(MID($A1494,K1494+K$2+1,L1494-K1494-K$2-1),",","."))</f>
        <v>0</v>
      </c>
      <c r="AE1494" s="3">
        <f>VALUE(SUBSTITUTE(MID($A1494,L1494+L$2+1,M1494-L1494-L$2-1),",","."))</f>
        <v>0</v>
      </c>
      <c r="AF1494" s="3">
        <f>VALUE(SUBSTITUTE(MID($A1494,M1494+M$2+1,N1494-M1494-M$2-1),",","."))</f>
        <v>0</v>
      </c>
      <c r="AG1494" s="3">
        <f>VALUE(SUBSTITUTE(MID($A1494,N1494+N$2+1,O1494-N1494-N$2-1),",","."))</f>
        <v>4.2459838978080802</v>
      </c>
      <c r="AH1494" t="str">
        <f>MID($A1494,O1494+O$2+1,P1494-O1494-O$2-1)</f>
        <v/>
      </c>
      <c r="AI1494" s="8" t="str">
        <f>MID($A1494,P1494+P$2+1,Q1494-P1494-P$2-1)</f>
        <v>False</v>
      </c>
      <c r="AK1494" t="b">
        <f t="shared" si="200"/>
        <v>0</v>
      </c>
    </row>
    <row r="1495" spans="1:37" x14ac:dyDescent="0.35">
      <c r="A1495" t="s">
        <v>6042</v>
      </c>
      <c r="B1495">
        <f t="shared" si="201"/>
        <v>10</v>
      </c>
      <c r="C1495">
        <f t="shared" si="201"/>
        <v>43</v>
      </c>
      <c r="D1495">
        <f t="shared" si="201"/>
        <v>54</v>
      </c>
      <c r="E1495">
        <f t="shared" si="201"/>
        <v>96</v>
      </c>
      <c r="F1495">
        <f t="shared" si="201"/>
        <v>140</v>
      </c>
      <c r="G1495">
        <f t="shared" si="201"/>
        <v>179</v>
      </c>
      <c r="H1495">
        <f t="shared" si="201"/>
        <v>211</v>
      </c>
      <c r="I1495">
        <f t="shared" si="201"/>
        <v>233</v>
      </c>
      <c r="J1495">
        <f t="shared" si="201"/>
        <v>266</v>
      </c>
      <c r="K1495">
        <f t="shared" si="201"/>
        <v>283</v>
      </c>
      <c r="L1495">
        <f t="shared" si="201"/>
        <v>298</v>
      </c>
      <c r="M1495">
        <f t="shared" si="201"/>
        <v>313</v>
      </c>
      <c r="N1495">
        <f t="shared" si="201"/>
        <v>325</v>
      </c>
      <c r="O1495">
        <f t="shared" si="201"/>
        <v>350</v>
      </c>
      <c r="P1495">
        <f t="shared" si="201"/>
        <v>368</v>
      </c>
      <c r="Q1495">
        <f t="shared" si="193"/>
        <v>394</v>
      </c>
      <c r="S1495" t="str">
        <f t="shared" si="196"/>
        <v>12.12.2025</v>
      </c>
      <c r="T1495" t="str">
        <f t="shared" si="197"/>
        <v>08:15:00</v>
      </c>
      <c r="U1495" t="str">
        <f t="shared" si="199"/>
        <v>12.12.2025 08:15:00</v>
      </c>
      <c r="V1495" s="9" t="str">
        <f>MID($A1495,C1495+C$2+1,D1495-C1495-C$2-1)</f>
        <v>0</v>
      </c>
      <c r="W1495" s="4">
        <f>VALUE(SUBSTITUTE(MID($A1495,D1495+D$2+1,E1495-D1495-D$2-1),",","."))</f>
        <v>0.52361542961218699</v>
      </c>
      <c r="X1495" s="4">
        <f>VALUE(SUBSTITUTE(MID($A1495,E1495+E$2+1,F1495-E1495-E$2-1),",","."))</f>
        <v>0.90957602214449496</v>
      </c>
      <c r="Y1495" s="4">
        <f>VALUE(SUBSTITUTE(MID($A1495,F1495+F$2+1,G1495-F1495-F$2-1),",","."))</f>
        <v>3.7520420290563801E-2</v>
      </c>
      <c r="Z1495" s="3">
        <f>VALUE(SUBSTITUTE(MID($A1495,G1495+G$2+1,H1495-G1495-G$2-1),",","."))</f>
        <v>0</v>
      </c>
      <c r="AA1495" s="3">
        <f>VALUE(SUBSTITUTE(MID($A1495,H1495+H$2+1,I1495-H1495-H$2-1),",","."))</f>
        <v>0</v>
      </c>
      <c r="AB1495" s="3">
        <f>VALUE(SUBSTITUTE(MID($A1495,I1495+I$2+1,J1495-I1495-I$2-1),",","."))</f>
        <v>0</v>
      </c>
      <c r="AC1495" s="3">
        <f>VALUE(SUBSTITUTE(MID($A1495,J1495+J$2+1,K1495-J1495-J$2-1),",","."))</f>
        <v>0</v>
      </c>
      <c r="AD1495" s="3">
        <f>VALUE(SUBSTITUTE(MID($A1495,K1495+K$2+1,L1495-K1495-K$2-1),",","."))</f>
        <v>0</v>
      </c>
      <c r="AE1495" s="3">
        <f>VALUE(SUBSTITUTE(MID($A1495,L1495+L$2+1,M1495-L1495-L$2-1),",","."))</f>
        <v>0</v>
      </c>
      <c r="AF1495" s="3">
        <f>VALUE(SUBSTITUTE(MID($A1495,M1495+M$2+1,N1495-M1495-M$2-1),",","."))</f>
        <v>0</v>
      </c>
      <c r="AG1495" s="3">
        <f>VALUE(SUBSTITUTE(MID($A1495,N1495+N$2+1,O1495-N1495-N$2-1),",","."))</f>
        <v>4.2460124176961598</v>
      </c>
      <c r="AH1495" t="str">
        <f>MID($A1495,O1495+O$2+1,P1495-O1495-O$2-1)</f>
        <v/>
      </c>
      <c r="AI1495" s="8" t="str">
        <f>MID($A1495,P1495+P$2+1,Q1495-P1495-P$2-1)</f>
        <v>False</v>
      </c>
      <c r="AK1495" t="b">
        <f t="shared" si="200"/>
        <v>0</v>
      </c>
    </row>
    <row r="1496" spans="1:37" x14ac:dyDescent="0.35">
      <c r="A1496" t="s">
        <v>6043</v>
      </c>
      <c r="B1496">
        <f t="shared" si="201"/>
        <v>10</v>
      </c>
      <c r="C1496">
        <f t="shared" si="201"/>
        <v>43</v>
      </c>
      <c r="D1496">
        <f t="shared" si="201"/>
        <v>54</v>
      </c>
      <c r="E1496">
        <f t="shared" si="201"/>
        <v>97</v>
      </c>
      <c r="F1496">
        <f t="shared" si="201"/>
        <v>141</v>
      </c>
      <c r="G1496">
        <f t="shared" si="201"/>
        <v>180</v>
      </c>
      <c r="H1496">
        <f t="shared" si="201"/>
        <v>212</v>
      </c>
      <c r="I1496">
        <f t="shared" si="201"/>
        <v>234</v>
      </c>
      <c r="J1496">
        <f t="shared" si="201"/>
        <v>267</v>
      </c>
      <c r="K1496">
        <f t="shared" si="201"/>
        <v>284</v>
      </c>
      <c r="L1496">
        <f t="shared" si="201"/>
        <v>299</v>
      </c>
      <c r="M1496">
        <f t="shared" si="201"/>
        <v>314</v>
      </c>
      <c r="N1496">
        <f t="shared" si="201"/>
        <v>326</v>
      </c>
      <c r="O1496">
        <f t="shared" si="201"/>
        <v>351</v>
      </c>
      <c r="P1496">
        <f t="shared" si="201"/>
        <v>369</v>
      </c>
      <c r="Q1496">
        <f t="shared" si="193"/>
        <v>395</v>
      </c>
      <c r="S1496" t="str">
        <f t="shared" si="196"/>
        <v>12.12.2025</v>
      </c>
      <c r="T1496" t="str">
        <f t="shared" si="197"/>
        <v>08:30:00</v>
      </c>
      <c r="U1496" t="str">
        <f t="shared" si="199"/>
        <v>12.12.2025 08:30:00</v>
      </c>
      <c r="V1496" s="9" t="str">
        <f>MID($A1496,C1496+C$2+1,D1496-C1496-C$2-1)</f>
        <v>0</v>
      </c>
      <c r="W1496" s="4">
        <f>VALUE(SUBSTITUTE(MID($A1496,D1496+D$2+1,E1496-D1496-D$2-1),",","."))</f>
        <v>0.56327335656119804</v>
      </c>
      <c r="X1496" s="4">
        <f>VALUE(SUBSTITUTE(MID($A1496,E1496+E$2+1,F1496-E1496-E$2-1),",","."))</f>
        <v>0.90957602214449496</v>
      </c>
      <c r="Y1496" s="4">
        <f>VALUE(SUBSTITUTE(MID($A1496,F1496+F$2+1,G1496-F1496-F$2-1),",","."))</f>
        <v>7.0076763005706005E-2</v>
      </c>
      <c r="Z1496" s="3">
        <f>VALUE(SUBSTITUTE(MID($A1496,G1496+G$2+1,H1496-G1496-G$2-1),",","."))</f>
        <v>0</v>
      </c>
      <c r="AA1496" s="3">
        <f>VALUE(SUBSTITUTE(MID($A1496,H1496+H$2+1,I1496-H1496-H$2-1),",","."))</f>
        <v>0</v>
      </c>
      <c r="AB1496" s="3">
        <f>VALUE(SUBSTITUTE(MID($A1496,I1496+I$2+1,J1496-I1496-I$2-1),",","."))</f>
        <v>0</v>
      </c>
      <c r="AC1496" s="3">
        <f>VALUE(SUBSTITUTE(MID($A1496,J1496+J$2+1,K1496-J1496-J$2-1),",","."))</f>
        <v>0</v>
      </c>
      <c r="AD1496" s="3">
        <f>VALUE(SUBSTITUTE(MID($A1496,K1496+K$2+1,L1496-K1496-K$2-1),",","."))</f>
        <v>0</v>
      </c>
      <c r="AE1496" s="3">
        <f>VALUE(SUBSTITUTE(MID($A1496,L1496+L$2+1,M1496-L1496-L$2-1),",","."))</f>
        <v>0</v>
      </c>
      <c r="AF1496" s="3">
        <f>VALUE(SUBSTITUTE(MID($A1496,M1496+M$2+1,N1496-M1496-M$2-1),",","."))</f>
        <v>0</v>
      </c>
      <c r="AG1496" s="3">
        <f>VALUE(SUBSTITUTE(MID($A1496,N1496+N$2+1,O1496-N1496-N$2-1),",","."))</f>
        <v>4.2460409375842403</v>
      </c>
      <c r="AH1496" t="str">
        <f>MID($A1496,O1496+O$2+1,P1496-O1496-O$2-1)</f>
        <v/>
      </c>
      <c r="AI1496" s="8" t="str">
        <f>MID($A1496,P1496+P$2+1,Q1496-P1496-P$2-1)</f>
        <v>False</v>
      </c>
      <c r="AK1496" t="b">
        <f t="shared" si="200"/>
        <v>0</v>
      </c>
    </row>
    <row r="1497" spans="1:37" x14ac:dyDescent="0.35">
      <c r="A1497" t="s">
        <v>6044</v>
      </c>
      <c r="B1497">
        <f t="shared" si="201"/>
        <v>10</v>
      </c>
      <c r="C1497">
        <f t="shared" si="201"/>
        <v>43</v>
      </c>
      <c r="D1497">
        <f t="shared" si="201"/>
        <v>54</v>
      </c>
      <c r="E1497">
        <f t="shared" si="201"/>
        <v>97</v>
      </c>
      <c r="F1497">
        <f t="shared" si="201"/>
        <v>141</v>
      </c>
      <c r="G1497">
        <f t="shared" si="201"/>
        <v>179</v>
      </c>
      <c r="H1497">
        <f t="shared" si="201"/>
        <v>211</v>
      </c>
      <c r="I1497">
        <f t="shared" si="201"/>
        <v>233</v>
      </c>
      <c r="J1497">
        <f t="shared" si="201"/>
        <v>266</v>
      </c>
      <c r="K1497">
        <f t="shared" si="201"/>
        <v>283</v>
      </c>
      <c r="L1497">
        <f t="shared" si="201"/>
        <v>298</v>
      </c>
      <c r="M1497">
        <f t="shared" si="201"/>
        <v>313</v>
      </c>
      <c r="N1497">
        <f t="shared" si="201"/>
        <v>325</v>
      </c>
      <c r="O1497">
        <f t="shared" si="201"/>
        <v>350</v>
      </c>
      <c r="P1497">
        <f t="shared" si="201"/>
        <v>368</v>
      </c>
      <c r="Q1497">
        <f t="shared" si="193"/>
        <v>394</v>
      </c>
      <c r="S1497" t="str">
        <f t="shared" si="196"/>
        <v>12.12.2025</v>
      </c>
      <c r="T1497" t="str">
        <f t="shared" si="197"/>
        <v>08:45:00</v>
      </c>
      <c r="U1497" t="str">
        <f t="shared" si="199"/>
        <v>12.12.2025 08:45:00</v>
      </c>
      <c r="V1497" s="9" t="str">
        <f>MID($A1497,C1497+C$2+1,D1497-C1497-C$2-1)</f>
        <v>0</v>
      </c>
      <c r="W1497" s="4">
        <f>VALUE(SUBSTITUTE(MID($A1497,D1497+D$2+1,E1497-D1497-D$2-1),",","."))</f>
        <v>0.60081177830014498</v>
      </c>
      <c r="X1497" s="4">
        <f>VALUE(SUBSTITUTE(MID($A1497,E1497+E$2+1,F1497-E1497-E$2-1),",","."))</f>
        <v>0.90957602214449496</v>
      </c>
      <c r="Y1497" s="4">
        <f>VALUE(SUBSTITUTE(MID($A1497,F1497+F$2+1,G1497-F1497-F$2-1),",","."))</f>
        <v>0.101928684212041</v>
      </c>
      <c r="Z1497" s="3">
        <f>VALUE(SUBSTITUTE(MID($A1497,G1497+G$2+1,H1497-G1497-G$2-1),",","."))</f>
        <v>0</v>
      </c>
      <c r="AA1497" s="3">
        <f>VALUE(SUBSTITUTE(MID($A1497,H1497+H$2+1,I1497-H1497-H$2-1),",","."))</f>
        <v>0</v>
      </c>
      <c r="AB1497" s="3">
        <f>VALUE(SUBSTITUTE(MID($A1497,I1497+I$2+1,J1497-I1497-I$2-1),",","."))</f>
        <v>0</v>
      </c>
      <c r="AC1497" s="3">
        <f>VALUE(SUBSTITUTE(MID($A1497,J1497+J$2+1,K1497-J1497-J$2-1),",","."))</f>
        <v>0</v>
      </c>
      <c r="AD1497" s="3">
        <f>VALUE(SUBSTITUTE(MID($A1497,K1497+K$2+1,L1497-K1497-K$2-1),",","."))</f>
        <v>0</v>
      </c>
      <c r="AE1497" s="3">
        <f>VALUE(SUBSTITUTE(MID($A1497,L1497+L$2+1,M1497-L1497-L$2-1),",","."))</f>
        <v>0</v>
      </c>
      <c r="AF1497" s="3">
        <f>VALUE(SUBSTITUTE(MID($A1497,M1497+M$2+1,N1497-M1497-M$2-1),",","."))</f>
        <v>0</v>
      </c>
      <c r="AG1497" s="3">
        <f>VALUE(SUBSTITUTE(MID($A1497,N1497+N$2+1,O1497-N1497-N$2-1),",","."))</f>
        <v>4.2460694574723199</v>
      </c>
      <c r="AH1497" t="str">
        <f>MID($A1497,O1497+O$2+1,P1497-O1497-O$2-1)</f>
        <v/>
      </c>
      <c r="AI1497" s="8" t="str">
        <f>MID($A1497,P1497+P$2+1,Q1497-P1497-P$2-1)</f>
        <v>False</v>
      </c>
      <c r="AK1497" t="b">
        <f t="shared" si="200"/>
        <v>0</v>
      </c>
    </row>
    <row r="1498" spans="1:37" x14ac:dyDescent="0.35">
      <c r="A1498" t="s">
        <v>6045</v>
      </c>
      <c r="B1498">
        <f t="shared" si="201"/>
        <v>10</v>
      </c>
      <c r="C1498">
        <f t="shared" si="201"/>
        <v>43</v>
      </c>
      <c r="D1498">
        <f t="shared" si="201"/>
        <v>54</v>
      </c>
      <c r="E1498">
        <f t="shared" si="201"/>
        <v>97</v>
      </c>
      <c r="F1498">
        <f t="shared" si="201"/>
        <v>141</v>
      </c>
      <c r="G1498">
        <f t="shared" si="201"/>
        <v>180</v>
      </c>
      <c r="H1498">
        <f t="shared" si="201"/>
        <v>212</v>
      </c>
      <c r="I1498">
        <f t="shared" si="201"/>
        <v>234</v>
      </c>
      <c r="J1498">
        <f t="shared" si="201"/>
        <v>267</v>
      </c>
      <c r="K1498">
        <f t="shared" si="201"/>
        <v>284</v>
      </c>
      <c r="L1498">
        <f t="shared" si="201"/>
        <v>299</v>
      </c>
      <c r="M1498">
        <f t="shared" si="201"/>
        <v>314</v>
      </c>
      <c r="N1498">
        <f t="shared" si="201"/>
        <v>326</v>
      </c>
      <c r="O1498">
        <f t="shared" si="201"/>
        <v>350</v>
      </c>
      <c r="P1498">
        <f t="shared" si="201"/>
        <v>368</v>
      </c>
      <c r="Q1498">
        <f t="shared" si="193"/>
        <v>394</v>
      </c>
      <c r="S1498" t="str">
        <f t="shared" si="196"/>
        <v>12.12.2025</v>
      </c>
      <c r="T1498" t="str">
        <f t="shared" si="197"/>
        <v>09:00:00</v>
      </c>
      <c r="U1498" t="str">
        <f t="shared" si="199"/>
        <v>12.12.2025 09:00:00</v>
      </c>
      <c r="V1498" s="9" t="str">
        <f>MID($A1498,C1498+C$2+1,D1498-C1498-C$2-1)</f>
        <v>0</v>
      </c>
      <c r="W1498" s="4">
        <f>VALUE(SUBSTITUTE(MID($A1498,D1498+D$2+1,E1498-D1498-D$2-1),",","."))</f>
        <v>0.63567930879380496</v>
      </c>
      <c r="X1498" s="4">
        <f>VALUE(SUBSTITUTE(MID($A1498,E1498+E$2+1,F1498-E1498-E$2-1),",","."))</f>
        <v>0.90957602214449496</v>
      </c>
      <c r="Y1498" s="4">
        <f>VALUE(SUBSTITUTE(MID($A1498,F1498+F$2+1,G1498-F1498-F$2-1),",","."))</f>
        <v>0.13247441395760201</v>
      </c>
      <c r="Z1498" s="3">
        <f>VALUE(SUBSTITUTE(MID($A1498,G1498+G$2+1,H1498-G1498-G$2-1),",","."))</f>
        <v>0</v>
      </c>
      <c r="AA1498" s="3">
        <f>VALUE(SUBSTITUTE(MID($A1498,H1498+H$2+1,I1498-H1498-H$2-1),",","."))</f>
        <v>0</v>
      </c>
      <c r="AB1498" s="3">
        <f>VALUE(SUBSTITUTE(MID($A1498,I1498+I$2+1,J1498-I1498-I$2-1),",","."))</f>
        <v>0</v>
      </c>
      <c r="AC1498" s="3">
        <f>VALUE(SUBSTITUTE(MID($A1498,J1498+J$2+1,K1498-J1498-J$2-1),",","."))</f>
        <v>0</v>
      </c>
      <c r="AD1498" s="3">
        <f>VALUE(SUBSTITUTE(MID($A1498,K1498+K$2+1,L1498-K1498-K$2-1),",","."))</f>
        <v>0</v>
      </c>
      <c r="AE1498" s="3">
        <f>VALUE(SUBSTITUTE(MID($A1498,L1498+L$2+1,M1498-L1498-L$2-1),",","."))</f>
        <v>0</v>
      </c>
      <c r="AF1498" s="3">
        <f>VALUE(SUBSTITUTE(MID($A1498,M1498+M$2+1,N1498-M1498-M$2-1),",","."))</f>
        <v>0</v>
      </c>
      <c r="AG1498" s="3">
        <f>VALUE(SUBSTITUTE(MID($A1498,N1498+N$2+1,O1498-N1498-N$2-1),",","."))</f>
        <v>4.2460979773604102</v>
      </c>
      <c r="AH1498" t="str">
        <f>MID($A1498,O1498+O$2+1,P1498-O1498-O$2-1)</f>
        <v/>
      </c>
      <c r="AI1498" s="8" t="str">
        <f>MID($A1498,P1498+P$2+1,Q1498-P1498-P$2-1)</f>
        <v>False</v>
      </c>
      <c r="AK1498" t="b">
        <f t="shared" si="200"/>
        <v>0</v>
      </c>
    </row>
    <row r="1499" spans="1:37" x14ac:dyDescent="0.35">
      <c r="A1499" t="s">
        <v>6046</v>
      </c>
      <c r="B1499">
        <f t="shared" si="201"/>
        <v>10</v>
      </c>
      <c r="C1499">
        <f t="shared" si="201"/>
        <v>43</v>
      </c>
      <c r="D1499">
        <f t="shared" si="201"/>
        <v>54</v>
      </c>
      <c r="E1499">
        <f t="shared" si="201"/>
        <v>97</v>
      </c>
      <c r="F1499">
        <f t="shared" si="201"/>
        <v>141</v>
      </c>
      <c r="G1499">
        <f t="shared" si="201"/>
        <v>180</v>
      </c>
      <c r="H1499">
        <f t="shared" si="201"/>
        <v>212</v>
      </c>
      <c r="I1499">
        <f t="shared" si="201"/>
        <v>234</v>
      </c>
      <c r="J1499">
        <f t="shared" si="201"/>
        <v>267</v>
      </c>
      <c r="K1499">
        <f t="shared" si="201"/>
        <v>284</v>
      </c>
      <c r="L1499">
        <f t="shared" si="201"/>
        <v>299</v>
      </c>
      <c r="M1499">
        <f t="shared" si="201"/>
        <v>314</v>
      </c>
      <c r="N1499">
        <f t="shared" si="201"/>
        <v>326</v>
      </c>
      <c r="O1499">
        <f t="shared" si="201"/>
        <v>352</v>
      </c>
      <c r="P1499">
        <f t="shared" si="201"/>
        <v>370</v>
      </c>
      <c r="Q1499">
        <f t="shared" si="193"/>
        <v>396</v>
      </c>
      <c r="S1499" t="str">
        <f t="shared" si="196"/>
        <v>12.12.2025</v>
      </c>
      <c r="T1499" t="str">
        <f t="shared" si="197"/>
        <v>09:15:00</v>
      </c>
      <c r="U1499" t="str">
        <f t="shared" si="199"/>
        <v>12.12.2025 09:15:00</v>
      </c>
      <c r="V1499" s="9" t="str">
        <f>MID($A1499,C1499+C$2+1,D1499-C1499-C$2-1)</f>
        <v>0</v>
      </c>
      <c r="W1499" s="4">
        <f>VALUE(SUBSTITUTE(MID($A1499,D1499+D$2+1,E1499-D1499-D$2-1),",","."))</f>
        <v>0.66757883853887401</v>
      </c>
      <c r="X1499" s="4">
        <f>VALUE(SUBSTITUTE(MID($A1499,E1499+E$2+1,F1499-E1499-E$2-1),",","."))</f>
        <v>0.90957602214449496</v>
      </c>
      <c r="Y1499" s="4">
        <f>VALUE(SUBSTITUTE(MID($A1499,F1499+F$2+1,G1499-F1499-F$2-1),",","."))</f>
        <v>0.16140640561960101</v>
      </c>
      <c r="Z1499" s="3">
        <f>VALUE(SUBSTITUTE(MID($A1499,G1499+G$2+1,H1499-G1499-G$2-1),",","."))</f>
        <v>0</v>
      </c>
      <c r="AA1499" s="3">
        <f>VALUE(SUBSTITUTE(MID($A1499,H1499+H$2+1,I1499-H1499-H$2-1),",","."))</f>
        <v>0</v>
      </c>
      <c r="AB1499" s="3">
        <f>VALUE(SUBSTITUTE(MID($A1499,I1499+I$2+1,J1499-I1499-I$2-1),",","."))</f>
        <v>0</v>
      </c>
      <c r="AC1499" s="3">
        <f>VALUE(SUBSTITUTE(MID($A1499,J1499+J$2+1,K1499-J1499-J$2-1),",","."))</f>
        <v>0</v>
      </c>
      <c r="AD1499" s="3">
        <f>VALUE(SUBSTITUTE(MID($A1499,K1499+K$2+1,L1499-K1499-K$2-1),",","."))</f>
        <v>0</v>
      </c>
      <c r="AE1499" s="3">
        <f>VALUE(SUBSTITUTE(MID($A1499,L1499+L$2+1,M1499-L1499-L$2-1),",","."))</f>
        <v>0</v>
      </c>
      <c r="AF1499" s="3">
        <f>VALUE(SUBSTITUTE(MID($A1499,M1499+M$2+1,N1499-M1499-M$2-1),",","."))</f>
        <v>0</v>
      </c>
      <c r="AG1499" s="3">
        <f>VALUE(SUBSTITUTE(MID($A1499,N1499+N$2+1,O1499-N1499-N$2-1),",","."))</f>
        <v>4.2461264972484898</v>
      </c>
      <c r="AH1499" t="str">
        <f>MID($A1499,O1499+O$2+1,P1499-O1499-O$2-1)</f>
        <v/>
      </c>
      <c r="AI1499" s="8" t="str">
        <f>MID($A1499,P1499+P$2+1,Q1499-P1499-P$2-1)</f>
        <v>False</v>
      </c>
      <c r="AK1499" t="b">
        <f t="shared" si="200"/>
        <v>0</v>
      </c>
    </row>
    <row r="1500" spans="1:37" x14ac:dyDescent="0.35">
      <c r="A1500" t="s">
        <v>6047</v>
      </c>
      <c r="B1500">
        <f t="shared" si="201"/>
        <v>10</v>
      </c>
      <c r="C1500">
        <f t="shared" si="201"/>
        <v>43</v>
      </c>
      <c r="D1500">
        <f t="shared" si="201"/>
        <v>54</v>
      </c>
      <c r="E1500">
        <f t="shared" si="201"/>
        <v>97</v>
      </c>
      <c r="F1500">
        <f t="shared" si="201"/>
        <v>141</v>
      </c>
      <c r="G1500">
        <f t="shared" si="201"/>
        <v>180</v>
      </c>
      <c r="H1500">
        <f t="shared" si="201"/>
        <v>212</v>
      </c>
      <c r="I1500">
        <f t="shared" si="201"/>
        <v>234</v>
      </c>
      <c r="J1500">
        <f t="shared" si="201"/>
        <v>267</v>
      </c>
      <c r="K1500">
        <f t="shared" si="201"/>
        <v>284</v>
      </c>
      <c r="L1500">
        <f t="shared" si="201"/>
        <v>299</v>
      </c>
      <c r="M1500">
        <f t="shared" si="201"/>
        <v>314</v>
      </c>
      <c r="N1500">
        <f t="shared" si="201"/>
        <v>326</v>
      </c>
      <c r="O1500">
        <f t="shared" si="201"/>
        <v>351</v>
      </c>
      <c r="P1500">
        <f t="shared" si="201"/>
        <v>369</v>
      </c>
      <c r="Q1500">
        <f t="shared" si="193"/>
        <v>395</v>
      </c>
      <c r="S1500" t="str">
        <f t="shared" si="196"/>
        <v>12.12.2025</v>
      </c>
      <c r="T1500" t="str">
        <f t="shared" si="197"/>
        <v>09:30:00</v>
      </c>
      <c r="U1500" t="str">
        <f t="shared" si="199"/>
        <v>12.12.2025 09:30:00</v>
      </c>
      <c r="V1500" s="9" t="str">
        <f>MID($A1500,C1500+C$2+1,D1500-C1500-C$2-1)</f>
        <v>0</v>
      </c>
      <c r="W1500" s="4">
        <f>VALUE(SUBSTITUTE(MID($A1500,D1500+D$2+1,E1500-D1500-D$2-1),",","."))</f>
        <v>0.69630822340376397</v>
      </c>
      <c r="X1500" s="4">
        <f>VALUE(SUBSTITUTE(MID($A1500,E1500+E$2+1,F1500-E1500-E$2-1),",","."))</f>
        <v>0.90957602214449496</v>
      </c>
      <c r="Y1500" s="4">
        <f>VALUE(SUBSTITUTE(MID($A1500,F1500+F$2+1,G1500-F1500-F$2-1),",","."))</f>
        <v>0.18852217135684399</v>
      </c>
      <c r="Z1500" s="3">
        <f>VALUE(SUBSTITUTE(MID($A1500,G1500+G$2+1,H1500-G1500-G$2-1),",","."))</f>
        <v>0</v>
      </c>
      <c r="AA1500" s="3">
        <f>VALUE(SUBSTITUTE(MID($A1500,H1500+H$2+1,I1500-H1500-H$2-1),",","."))</f>
        <v>0</v>
      </c>
      <c r="AB1500" s="3">
        <f>VALUE(SUBSTITUTE(MID($A1500,I1500+I$2+1,J1500-I1500-I$2-1),",","."))</f>
        <v>0</v>
      </c>
      <c r="AC1500" s="3">
        <f>VALUE(SUBSTITUTE(MID($A1500,J1500+J$2+1,K1500-J1500-J$2-1),",","."))</f>
        <v>0</v>
      </c>
      <c r="AD1500" s="3">
        <f>VALUE(SUBSTITUTE(MID($A1500,K1500+K$2+1,L1500-K1500-K$2-1),",","."))</f>
        <v>0</v>
      </c>
      <c r="AE1500" s="3">
        <f>VALUE(SUBSTITUTE(MID($A1500,L1500+L$2+1,M1500-L1500-L$2-1),",","."))</f>
        <v>0</v>
      </c>
      <c r="AF1500" s="3">
        <f>VALUE(SUBSTITUTE(MID($A1500,M1500+M$2+1,N1500-M1500-M$2-1),",","."))</f>
        <v>0</v>
      </c>
      <c r="AG1500" s="3">
        <f>VALUE(SUBSTITUTE(MID($A1500,N1500+N$2+1,O1500-N1500-N$2-1),",","."))</f>
        <v>4.2461550171365703</v>
      </c>
      <c r="AH1500" t="str">
        <f>MID($A1500,O1500+O$2+1,P1500-O1500-O$2-1)</f>
        <v/>
      </c>
      <c r="AI1500" s="8" t="str">
        <f>MID($A1500,P1500+P$2+1,Q1500-P1500-P$2-1)</f>
        <v>False</v>
      </c>
      <c r="AK1500" t="b">
        <f t="shared" si="200"/>
        <v>0</v>
      </c>
    </row>
    <row r="1501" spans="1:37" x14ac:dyDescent="0.35">
      <c r="A1501" t="s">
        <v>6048</v>
      </c>
      <c r="B1501">
        <f t="shared" si="201"/>
        <v>10</v>
      </c>
      <c r="C1501">
        <f t="shared" si="201"/>
        <v>43</v>
      </c>
      <c r="D1501">
        <f t="shared" si="201"/>
        <v>54</v>
      </c>
      <c r="E1501">
        <f t="shared" si="201"/>
        <v>97</v>
      </c>
      <c r="F1501">
        <f t="shared" si="201"/>
        <v>141</v>
      </c>
      <c r="G1501">
        <f t="shared" si="201"/>
        <v>180</v>
      </c>
      <c r="H1501">
        <f t="shared" si="201"/>
        <v>212</v>
      </c>
      <c r="I1501">
        <f t="shared" si="201"/>
        <v>234</v>
      </c>
      <c r="J1501">
        <f t="shared" si="201"/>
        <v>267</v>
      </c>
      <c r="K1501">
        <f t="shared" si="201"/>
        <v>284</v>
      </c>
      <c r="L1501">
        <f t="shared" si="201"/>
        <v>299</v>
      </c>
      <c r="M1501">
        <f t="shared" si="201"/>
        <v>314</v>
      </c>
      <c r="N1501">
        <f t="shared" si="201"/>
        <v>326</v>
      </c>
      <c r="O1501">
        <f t="shared" si="201"/>
        <v>351</v>
      </c>
      <c r="P1501">
        <f t="shared" si="201"/>
        <v>369</v>
      </c>
      <c r="Q1501">
        <f t="shared" si="193"/>
        <v>395</v>
      </c>
      <c r="S1501" t="str">
        <f t="shared" si="196"/>
        <v>12.12.2025</v>
      </c>
      <c r="T1501" t="str">
        <f t="shared" si="197"/>
        <v>09:45:00</v>
      </c>
      <c r="U1501" t="str">
        <f t="shared" si="199"/>
        <v>12.12.2025 09:45:00</v>
      </c>
      <c r="V1501" s="9" t="str">
        <f>MID($A1501,C1501+C$2+1,D1501-C1501-C$2-1)</f>
        <v>0</v>
      </c>
      <c r="W1501" s="4">
        <f>VALUE(SUBSTITUTE(MID($A1501,D1501+D$2+1,E1501-D1501-D$2-1),",","."))</f>
        <v>0.72171149479816199</v>
      </c>
      <c r="X1501" s="4">
        <f>VALUE(SUBSTITUTE(MID($A1501,E1501+E$2+1,F1501-E1501-E$2-1),",","."))</f>
        <v>0.90957602214449496</v>
      </c>
      <c r="Y1501" s="4">
        <f>VALUE(SUBSTITUTE(MID($A1501,F1501+F$2+1,G1501-F1501-F$2-1),",","."))</f>
        <v>0.213665995934367</v>
      </c>
      <c r="Z1501" s="3">
        <f>VALUE(SUBSTITUTE(MID($A1501,G1501+G$2+1,H1501-G1501-G$2-1),",","."))</f>
        <v>0</v>
      </c>
      <c r="AA1501" s="3">
        <f>VALUE(SUBSTITUTE(MID($A1501,H1501+H$2+1,I1501-H1501-H$2-1),",","."))</f>
        <v>0</v>
      </c>
      <c r="AB1501" s="3">
        <f>VALUE(SUBSTITUTE(MID($A1501,I1501+I$2+1,J1501-I1501-I$2-1),",","."))</f>
        <v>0</v>
      </c>
      <c r="AC1501" s="3">
        <f>VALUE(SUBSTITUTE(MID($A1501,J1501+J$2+1,K1501-J1501-J$2-1),",","."))</f>
        <v>0</v>
      </c>
      <c r="AD1501" s="3">
        <f>VALUE(SUBSTITUTE(MID($A1501,K1501+K$2+1,L1501-K1501-K$2-1),",","."))</f>
        <v>0</v>
      </c>
      <c r="AE1501" s="3">
        <f>VALUE(SUBSTITUTE(MID($A1501,L1501+L$2+1,M1501-L1501-L$2-1),",","."))</f>
        <v>0</v>
      </c>
      <c r="AF1501" s="3">
        <f>VALUE(SUBSTITUTE(MID($A1501,M1501+M$2+1,N1501-M1501-M$2-1),",","."))</f>
        <v>0</v>
      </c>
      <c r="AG1501" s="3">
        <f>VALUE(SUBSTITUTE(MID($A1501,N1501+N$2+1,O1501-N1501-N$2-1),",","."))</f>
        <v>4.2461835370246499</v>
      </c>
      <c r="AH1501" t="str">
        <f>MID($A1501,O1501+O$2+1,P1501-O1501-O$2-1)</f>
        <v/>
      </c>
      <c r="AI1501" s="8" t="str">
        <f>MID($A1501,P1501+P$2+1,Q1501-P1501-P$2-1)</f>
        <v>False</v>
      </c>
      <c r="AK1501" t="b">
        <f t="shared" si="200"/>
        <v>0</v>
      </c>
    </row>
    <row r="1502" spans="1:37" x14ac:dyDescent="0.35">
      <c r="A1502" t="s">
        <v>6049</v>
      </c>
      <c r="B1502">
        <f t="shared" si="201"/>
        <v>10</v>
      </c>
      <c r="C1502">
        <f t="shared" si="201"/>
        <v>43</v>
      </c>
      <c r="D1502">
        <f t="shared" si="201"/>
        <v>54</v>
      </c>
      <c r="E1502">
        <f t="shared" si="201"/>
        <v>97</v>
      </c>
      <c r="F1502">
        <f t="shared" si="201"/>
        <v>141</v>
      </c>
      <c r="G1502">
        <f t="shared" si="201"/>
        <v>180</v>
      </c>
      <c r="H1502">
        <f t="shared" si="201"/>
        <v>212</v>
      </c>
      <c r="I1502">
        <f t="shared" si="201"/>
        <v>234</v>
      </c>
      <c r="J1502">
        <f t="shared" si="201"/>
        <v>267</v>
      </c>
      <c r="K1502">
        <f t="shared" si="201"/>
        <v>284</v>
      </c>
      <c r="L1502">
        <f t="shared" si="201"/>
        <v>299</v>
      </c>
      <c r="M1502">
        <f t="shared" si="201"/>
        <v>314</v>
      </c>
      <c r="N1502">
        <f t="shared" si="201"/>
        <v>326</v>
      </c>
      <c r="O1502">
        <f t="shared" si="201"/>
        <v>351</v>
      </c>
      <c r="P1502">
        <f t="shared" si="201"/>
        <v>369</v>
      </c>
      <c r="Q1502">
        <f t="shared" si="193"/>
        <v>395</v>
      </c>
      <c r="S1502" t="str">
        <f t="shared" si="196"/>
        <v>12.12.2025</v>
      </c>
      <c r="T1502" t="str">
        <f t="shared" si="197"/>
        <v>10:00:00</v>
      </c>
      <c r="U1502" t="str">
        <f t="shared" si="199"/>
        <v>12.12.2025 10:00:00</v>
      </c>
      <c r="V1502" s="9" t="str">
        <f>MID($A1502,C1502+C$2+1,D1502-C1502-C$2-1)</f>
        <v>0</v>
      </c>
      <c r="W1502" s="4">
        <f>VALUE(SUBSTITUTE(MID($A1502,D1502+D$2+1,E1502-D1502-D$2-1),",","."))</f>
        <v>0.74366167554150497</v>
      </c>
      <c r="X1502" s="4">
        <f>VALUE(SUBSTITUTE(MID($A1502,E1502+E$2+1,F1502-E1502-E$2-1),",","."))</f>
        <v>0.90957602214449496</v>
      </c>
      <c r="Y1502" s="4">
        <f>VALUE(SUBSTITUTE(MID($A1502,F1502+F$2+1,G1502-F1502-F$2-1),",","."))</f>
        <v>0.236708283640752</v>
      </c>
      <c r="Z1502" s="3">
        <f>VALUE(SUBSTITUTE(MID($A1502,G1502+G$2+1,H1502-G1502-G$2-1),",","."))</f>
        <v>0</v>
      </c>
      <c r="AA1502" s="3">
        <f>VALUE(SUBSTITUTE(MID($A1502,H1502+H$2+1,I1502-H1502-H$2-1),",","."))</f>
        <v>0</v>
      </c>
      <c r="AB1502" s="3">
        <f>VALUE(SUBSTITUTE(MID($A1502,I1502+I$2+1,J1502-I1502-I$2-1),",","."))</f>
        <v>0</v>
      </c>
      <c r="AC1502" s="3">
        <f>VALUE(SUBSTITUTE(MID($A1502,J1502+J$2+1,K1502-J1502-J$2-1),",","."))</f>
        <v>0</v>
      </c>
      <c r="AD1502" s="3">
        <f>VALUE(SUBSTITUTE(MID($A1502,K1502+K$2+1,L1502-K1502-K$2-1),",","."))</f>
        <v>0</v>
      </c>
      <c r="AE1502" s="3">
        <f>VALUE(SUBSTITUTE(MID($A1502,L1502+L$2+1,M1502-L1502-L$2-1),",","."))</f>
        <v>0</v>
      </c>
      <c r="AF1502" s="3">
        <f>VALUE(SUBSTITUTE(MID($A1502,M1502+M$2+1,N1502-M1502-M$2-1),",","."))</f>
        <v>0</v>
      </c>
      <c r="AG1502" s="3">
        <f>VALUE(SUBSTITUTE(MID($A1502,N1502+N$2+1,O1502-N1502-N$2-1),",","."))</f>
        <v>4.2462120569127304</v>
      </c>
      <c r="AH1502" t="str">
        <f>MID($A1502,O1502+O$2+1,P1502-O1502-O$2-1)</f>
        <v/>
      </c>
      <c r="AI1502" s="8" t="str">
        <f>MID($A1502,P1502+P$2+1,Q1502-P1502-P$2-1)</f>
        <v>False</v>
      </c>
      <c r="AK1502" t="b">
        <f t="shared" si="200"/>
        <v>0</v>
      </c>
    </row>
    <row r="1503" spans="1:37" x14ac:dyDescent="0.35">
      <c r="A1503" t="s">
        <v>6050</v>
      </c>
      <c r="B1503">
        <f t="shared" si="201"/>
        <v>10</v>
      </c>
      <c r="C1503">
        <f t="shared" si="201"/>
        <v>43</v>
      </c>
      <c r="D1503">
        <f t="shared" si="201"/>
        <v>54</v>
      </c>
      <c r="E1503">
        <f t="shared" si="201"/>
        <v>97</v>
      </c>
      <c r="F1503">
        <f t="shared" si="201"/>
        <v>141</v>
      </c>
      <c r="G1503">
        <f t="shared" si="201"/>
        <v>180</v>
      </c>
      <c r="H1503">
        <f t="shared" si="201"/>
        <v>212</v>
      </c>
      <c r="I1503">
        <f t="shared" si="201"/>
        <v>234</v>
      </c>
      <c r="J1503">
        <f t="shared" si="201"/>
        <v>267</v>
      </c>
      <c r="K1503">
        <f t="shared" si="201"/>
        <v>284</v>
      </c>
      <c r="L1503">
        <f t="shared" si="201"/>
        <v>299</v>
      </c>
      <c r="M1503">
        <f t="shared" si="201"/>
        <v>314</v>
      </c>
      <c r="N1503">
        <f t="shared" si="201"/>
        <v>326</v>
      </c>
      <c r="O1503">
        <f t="shared" si="201"/>
        <v>351</v>
      </c>
      <c r="P1503">
        <f t="shared" si="201"/>
        <v>369</v>
      </c>
      <c r="Q1503">
        <f t="shared" si="201"/>
        <v>395</v>
      </c>
      <c r="S1503" t="str">
        <f t="shared" si="196"/>
        <v>12.12.2025</v>
      </c>
      <c r="T1503" t="str">
        <f t="shared" si="197"/>
        <v>10:15:00</v>
      </c>
      <c r="U1503" t="str">
        <f t="shared" si="199"/>
        <v>12.12.2025 10:15:00</v>
      </c>
      <c r="V1503" s="9" t="str">
        <f>MID($A1503,C1503+C$2+1,D1503-C1503-C$2-1)</f>
        <v>0</v>
      </c>
      <c r="W1503" s="4">
        <f>VALUE(SUBSTITUTE(MID($A1503,D1503+D$2+1,E1503-D1503-D$2-1),",","."))</f>
        <v>0.76205397611103998</v>
      </c>
      <c r="X1503" s="4">
        <f>VALUE(SUBSTITUTE(MID($A1503,E1503+E$2+1,F1503-E1503-E$2-1),",","."))</f>
        <v>0.90957602214449496</v>
      </c>
      <c r="Y1503" s="4">
        <f>VALUE(SUBSTITUTE(MID($A1503,F1503+F$2+1,G1503-F1503-F$2-1),",","."))</f>
        <v>0.25753732277090102</v>
      </c>
      <c r="Z1503" s="3">
        <f>VALUE(SUBSTITUTE(MID($A1503,G1503+G$2+1,H1503-G1503-G$2-1),",","."))</f>
        <v>0</v>
      </c>
      <c r="AA1503" s="3">
        <f>VALUE(SUBSTITUTE(MID($A1503,H1503+H$2+1,I1503-H1503-H$2-1),",","."))</f>
        <v>0</v>
      </c>
      <c r="AB1503" s="3">
        <f>VALUE(SUBSTITUTE(MID($A1503,I1503+I$2+1,J1503-I1503-I$2-1),",","."))</f>
        <v>0</v>
      </c>
      <c r="AC1503" s="3">
        <f>VALUE(SUBSTITUTE(MID($A1503,J1503+J$2+1,K1503-J1503-J$2-1),",","."))</f>
        <v>0</v>
      </c>
      <c r="AD1503" s="3">
        <f>VALUE(SUBSTITUTE(MID($A1503,K1503+K$2+1,L1503-K1503-K$2-1),",","."))</f>
        <v>0</v>
      </c>
      <c r="AE1503" s="3">
        <f>VALUE(SUBSTITUTE(MID($A1503,L1503+L$2+1,M1503-L1503-L$2-1),",","."))</f>
        <v>0</v>
      </c>
      <c r="AF1503" s="3">
        <f>VALUE(SUBSTITUTE(MID($A1503,M1503+M$2+1,N1503-M1503-M$2-1),",","."))</f>
        <v>0</v>
      </c>
      <c r="AG1503" s="3">
        <f>VALUE(SUBSTITUTE(MID($A1503,N1503+N$2+1,O1503-N1503-N$2-1),",","."))</f>
        <v>4.24624057680081</v>
      </c>
      <c r="AH1503" t="str">
        <f>MID($A1503,O1503+O$2+1,P1503-O1503-O$2-1)</f>
        <v/>
      </c>
      <c r="AI1503" s="8" t="str">
        <f>MID($A1503,P1503+P$2+1,Q1503-P1503-P$2-1)</f>
        <v>False</v>
      </c>
      <c r="AK1503" t="b">
        <f t="shared" si="200"/>
        <v>0</v>
      </c>
    </row>
    <row r="1504" spans="1:37" x14ac:dyDescent="0.35">
      <c r="A1504" t="s">
        <v>6051</v>
      </c>
      <c r="B1504">
        <f t="shared" si="201"/>
        <v>10</v>
      </c>
      <c r="C1504">
        <f t="shared" si="201"/>
        <v>43</v>
      </c>
      <c r="D1504">
        <f t="shared" si="201"/>
        <v>54</v>
      </c>
      <c r="E1504">
        <f t="shared" si="201"/>
        <v>97</v>
      </c>
      <c r="F1504">
        <f t="shared" si="201"/>
        <v>141</v>
      </c>
      <c r="G1504">
        <f t="shared" si="201"/>
        <v>179</v>
      </c>
      <c r="H1504">
        <f t="shared" si="201"/>
        <v>211</v>
      </c>
      <c r="I1504">
        <f t="shared" si="201"/>
        <v>233</v>
      </c>
      <c r="J1504">
        <f t="shared" si="201"/>
        <v>266</v>
      </c>
      <c r="K1504">
        <f t="shared" si="201"/>
        <v>283</v>
      </c>
      <c r="L1504">
        <f t="shared" si="201"/>
        <v>298</v>
      </c>
      <c r="M1504">
        <f t="shared" si="201"/>
        <v>313</v>
      </c>
      <c r="N1504">
        <f t="shared" si="201"/>
        <v>325</v>
      </c>
      <c r="O1504">
        <f t="shared" si="201"/>
        <v>348</v>
      </c>
      <c r="P1504">
        <f t="shared" si="201"/>
        <v>366</v>
      </c>
      <c r="Q1504">
        <f t="shared" si="201"/>
        <v>392</v>
      </c>
      <c r="S1504" t="str">
        <f t="shared" si="196"/>
        <v>12.12.2025</v>
      </c>
      <c r="T1504" t="str">
        <f t="shared" si="197"/>
        <v>10:30:00</v>
      </c>
      <c r="U1504" t="str">
        <f t="shared" si="199"/>
        <v>12.12.2025 10:30:00</v>
      </c>
      <c r="V1504" s="9" t="str">
        <f>MID($A1504,C1504+C$2+1,D1504-C1504-C$2-1)</f>
        <v>0</v>
      </c>
      <c r="W1504" s="4">
        <f>VALUE(SUBSTITUTE(MID($A1504,D1504+D$2+1,E1504-D1504-D$2-1),",","."))</f>
        <v>0.77680287377954005</v>
      </c>
      <c r="X1504" s="4">
        <f>VALUE(SUBSTITUTE(MID($A1504,E1504+E$2+1,F1504-E1504-E$2-1),",","."))</f>
        <v>0.90957602214449496</v>
      </c>
      <c r="Y1504" s="4">
        <f>VALUE(SUBSTITUTE(MID($A1504,F1504+F$2+1,G1504-F1504-F$2-1),",","."))</f>
        <v>0.276055727098098</v>
      </c>
      <c r="Z1504" s="3">
        <f>VALUE(SUBSTITUTE(MID($A1504,G1504+G$2+1,H1504-G1504-G$2-1),",","."))</f>
        <v>0</v>
      </c>
      <c r="AA1504" s="3">
        <f>VALUE(SUBSTITUTE(MID($A1504,H1504+H$2+1,I1504-H1504-H$2-1),",","."))</f>
        <v>0</v>
      </c>
      <c r="AB1504" s="3">
        <f>VALUE(SUBSTITUTE(MID($A1504,I1504+I$2+1,J1504-I1504-I$2-1),",","."))</f>
        <v>0</v>
      </c>
      <c r="AC1504" s="3">
        <f>VALUE(SUBSTITUTE(MID($A1504,J1504+J$2+1,K1504-J1504-J$2-1),",","."))</f>
        <v>0</v>
      </c>
      <c r="AD1504" s="3">
        <f>VALUE(SUBSTITUTE(MID($A1504,K1504+K$2+1,L1504-K1504-K$2-1),",","."))</f>
        <v>0</v>
      </c>
      <c r="AE1504" s="3">
        <f>VALUE(SUBSTITUTE(MID($A1504,L1504+L$2+1,M1504-L1504-L$2-1),",","."))</f>
        <v>0</v>
      </c>
      <c r="AF1504" s="3">
        <f>VALUE(SUBSTITUTE(MID($A1504,M1504+M$2+1,N1504-M1504-M$2-1),",","."))</f>
        <v>0</v>
      </c>
      <c r="AG1504" s="3">
        <f>VALUE(SUBSTITUTE(MID($A1504,N1504+N$2+1,O1504-N1504-N$2-1),",","."))</f>
        <v>4.2462690966889003</v>
      </c>
      <c r="AH1504" t="str">
        <f>MID($A1504,O1504+O$2+1,P1504-O1504-O$2-1)</f>
        <v/>
      </c>
      <c r="AI1504" s="8" t="str">
        <f>MID($A1504,P1504+P$2+1,Q1504-P1504-P$2-1)</f>
        <v>False</v>
      </c>
      <c r="AK1504" t="b">
        <f t="shared" si="200"/>
        <v>0</v>
      </c>
    </row>
    <row r="1505" spans="1:37" x14ac:dyDescent="0.35">
      <c r="A1505" t="s">
        <v>6052</v>
      </c>
      <c r="B1505">
        <f t="shared" si="201"/>
        <v>10</v>
      </c>
      <c r="C1505">
        <f t="shared" si="201"/>
        <v>43</v>
      </c>
      <c r="D1505">
        <f t="shared" si="201"/>
        <v>54</v>
      </c>
      <c r="E1505">
        <f t="shared" si="201"/>
        <v>97</v>
      </c>
      <c r="F1505">
        <f t="shared" si="201"/>
        <v>141</v>
      </c>
      <c r="G1505">
        <f t="shared" si="201"/>
        <v>180</v>
      </c>
      <c r="H1505">
        <f t="shared" si="201"/>
        <v>212</v>
      </c>
      <c r="I1505">
        <f t="shared" si="201"/>
        <v>234</v>
      </c>
      <c r="J1505">
        <f t="shared" si="201"/>
        <v>267</v>
      </c>
      <c r="K1505">
        <f t="shared" si="201"/>
        <v>284</v>
      </c>
      <c r="L1505">
        <f t="shared" si="201"/>
        <v>299</v>
      </c>
      <c r="M1505">
        <f t="shared" si="201"/>
        <v>314</v>
      </c>
      <c r="N1505">
        <f t="shared" si="201"/>
        <v>326</v>
      </c>
      <c r="O1505">
        <f t="shared" si="201"/>
        <v>351</v>
      </c>
      <c r="P1505">
        <f t="shared" si="201"/>
        <v>369</v>
      </c>
      <c r="Q1505">
        <f t="shared" si="201"/>
        <v>395</v>
      </c>
      <c r="S1505" t="str">
        <f t="shared" si="196"/>
        <v>12.12.2025</v>
      </c>
      <c r="T1505" t="str">
        <f t="shared" si="197"/>
        <v>10:45:00</v>
      </c>
      <c r="U1505" t="str">
        <f t="shared" si="199"/>
        <v>12.12.2025 10:45:00</v>
      </c>
      <c r="V1505" s="9" t="str">
        <f>MID($A1505,C1505+C$2+1,D1505-C1505-C$2-1)</f>
        <v>0</v>
      </c>
      <c r="W1505" s="4">
        <f>VALUE(SUBSTITUTE(MID($A1505,D1505+D$2+1,E1505-D1505-D$2-1),",","."))</f>
        <v>0.78784079498535897</v>
      </c>
      <c r="X1505" s="4">
        <f>VALUE(SUBSTITUTE(MID($A1505,E1505+E$2+1,F1505-E1505-E$2-1),",","."))</f>
        <v>0.90957602214449496</v>
      </c>
      <c r="Y1505" s="4">
        <f>VALUE(SUBSTITUTE(MID($A1505,F1505+F$2+1,G1505-F1505-F$2-1),",","."))</f>
        <v>0.29217883330657501</v>
      </c>
      <c r="Z1505" s="3">
        <f>VALUE(SUBSTITUTE(MID($A1505,G1505+G$2+1,H1505-G1505-G$2-1),",","."))</f>
        <v>0</v>
      </c>
      <c r="AA1505" s="3">
        <f>VALUE(SUBSTITUTE(MID($A1505,H1505+H$2+1,I1505-H1505-H$2-1),",","."))</f>
        <v>0</v>
      </c>
      <c r="AB1505" s="3">
        <f>VALUE(SUBSTITUTE(MID($A1505,I1505+I$2+1,J1505-I1505-I$2-1),",","."))</f>
        <v>0</v>
      </c>
      <c r="AC1505" s="3">
        <f>VALUE(SUBSTITUTE(MID($A1505,J1505+J$2+1,K1505-J1505-J$2-1),",","."))</f>
        <v>0</v>
      </c>
      <c r="AD1505" s="3">
        <f>VALUE(SUBSTITUTE(MID($A1505,K1505+K$2+1,L1505-K1505-K$2-1),",","."))</f>
        <v>0</v>
      </c>
      <c r="AE1505" s="3">
        <f>VALUE(SUBSTITUTE(MID($A1505,L1505+L$2+1,M1505-L1505-L$2-1),",","."))</f>
        <v>0</v>
      </c>
      <c r="AF1505" s="3">
        <f>VALUE(SUBSTITUTE(MID($A1505,M1505+M$2+1,N1505-M1505-M$2-1),",","."))</f>
        <v>0</v>
      </c>
      <c r="AG1505" s="3">
        <f>VALUE(SUBSTITUTE(MID($A1505,N1505+N$2+1,O1505-N1505-N$2-1),",","."))</f>
        <v>4.2462976165769799</v>
      </c>
      <c r="AH1505" t="str">
        <f>MID($A1505,O1505+O$2+1,P1505-O1505-O$2-1)</f>
        <v/>
      </c>
      <c r="AI1505" s="8" t="str">
        <f>MID($A1505,P1505+P$2+1,Q1505-P1505-P$2-1)</f>
        <v>False</v>
      </c>
      <c r="AK1505" t="b">
        <f t="shared" si="200"/>
        <v>0</v>
      </c>
    </row>
    <row r="1506" spans="1:37" x14ac:dyDescent="0.35">
      <c r="A1506" t="s">
        <v>6053</v>
      </c>
      <c r="B1506">
        <f t="shared" si="201"/>
        <v>10</v>
      </c>
      <c r="C1506">
        <f t="shared" si="201"/>
        <v>43</v>
      </c>
      <c r="D1506">
        <f t="shared" si="201"/>
        <v>54</v>
      </c>
      <c r="E1506">
        <f t="shared" si="201"/>
        <v>97</v>
      </c>
      <c r="F1506">
        <f t="shared" si="201"/>
        <v>141</v>
      </c>
      <c r="G1506">
        <f t="shared" si="201"/>
        <v>179</v>
      </c>
      <c r="H1506">
        <f t="shared" si="201"/>
        <v>211</v>
      </c>
      <c r="I1506">
        <f t="shared" si="201"/>
        <v>233</v>
      </c>
      <c r="J1506">
        <f t="shared" si="201"/>
        <v>266</v>
      </c>
      <c r="K1506">
        <f t="shared" si="201"/>
        <v>283</v>
      </c>
      <c r="L1506">
        <f t="shared" si="201"/>
        <v>298</v>
      </c>
      <c r="M1506">
        <f t="shared" si="201"/>
        <v>313</v>
      </c>
      <c r="N1506">
        <f t="shared" si="201"/>
        <v>325</v>
      </c>
      <c r="O1506">
        <f t="shared" si="201"/>
        <v>350</v>
      </c>
      <c r="P1506">
        <f t="shared" si="201"/>
        <v>368</v>
      </c>
      <c r="Q1506">
        <f t="shared" si="201"/>
        <v>394</v>
      </c>
      <c r="S1506" t="str">
        <f t="shared" si="196"/>
        <v>12.12.2025</v>
      </c>
      <c r="T1506" t="str">
        <f t="shared" si="197"/>
        <v>11:00:00</v>
      </c>
      <c r="U1506" t="str">
        <f t="shared" si="199"/>
        <v>12.12.2025 11:00:00</v>
      </c>
      <c r="V1506" s="9" t="str">
        <f>MID($A1506,C1506+C$2+1,D1506-C1506-C$2-1)</f>
        <v>0</v>
      </c>
      <c r="W1506" s="4">
        <f>VALUE(SUBSTITUTE(MID($A1506,D1506+D$2+1,E1506-D1506-D$2-1),",","."))</f>
        <v>0.79511750354710697</v>
      </c>
      <c r="X1506" s="4">
        <f>VALUE(SUBSTITUTE(MID($A1506,E1506+E$2+1,F1506-E1506-E$2-1),",","."))</f>
        <v>0.90957602214449496</v>
      </c>
      <c r="Y1506" s="4">
        <f>VALUE(SUBSTITUTE(MID($A1506,F1506+F$2+1,G1506-F1506-F$2-1),",","."))</f>
        <v>0.305833981725051</v>
      </c>
      <c r="Z1506" s="3">
        <f>VALUE(SUBSTITUTE(MID($A1506,G1506+G$2+1,H1506-G1506-G$2-1),",","."))</f>
        <v>0</v>
      </c>
      <c r="AA1506" s="3">
        <f>VALUE(SUBSTITUTE(MID($A1506,H1506+H$2+1,I1506-H1506-H$2-1),",","."))</f>
        <v>0</v>
      </c>
      <c r="AB1506" s="3">
        <f>VALUE(SUBSTITUTE(MID($A1506,I1506+I$2+1,J1506-I1506-I$2-1),",","."))</f>
        <v>0</v>
      </c>
      <c r="AC1506" s="3">
        <f>VALUE(SUBSTITUTE(MID($A1506,J1506+J$2+1,K1506-J1506-J$2-1),",","."))</f>
        <v>0</v>
      </c>
      <c r="AD1506" s="3">
        <f>VALUE(SUBSTITUTE(MID($A1506,K1506+K$2+1,L1506-K1506-K$2-1),",","."))</f>
        <v>0</v>
      </c>
      <c r="AE1506" s="3">
        <f>VALUE(SUBSTITUTE(MID($A1506,L1506+L$2+1,M1506-L1506-L$2-1),",","."))</f>
        <v>0</v>
      </c>
      <c r="AF1506" s="3">
        <f>VALUE(SUBSTITUTE(MID($A1506,M1506+M$2+1,N1506-M1506-M$2-1),",","."))</f>
        <v>0</v>
      </c>
      <c r="AG1506" s="3">
        <f>VALUE(SUBSTITUTE(MID($A1506,N1506+N$2+1,O1506-N1506-N$2-1),",","."))</f>
        <v>4.2463261364650604</v>
      </c>
      <c r="AH1506" t="str">
        <f>MID($A1506,O1506+O$2+1,P1506-O1506-O$2-1)</f>
        <v/>
      </c>
      <c r="AI1506" s="8" t="str">
        <f>MID($A1506,P1506+P$2+1,Q1506-P1506-P$2-1)</f>
        <v>False</v>
      </c>
      <c r="AK1506" t="b">
        <f t="shared" si="200"/>
        <v>0</v>
      </c>
    </row>
    <row r="1507" spans="1:37" x14ac:dyDescent="0.35">
      <c r="A1507" t="s">
        <v>6054</v>
      </c>
      <c r="B1507">
        <f t="shared" si="201"/>
        <v>10</v>
      </c>
      <c r="C1507">
        <f t="shared" si="201"/>
        <v>43</v>
      </c>
      <c r="D1507">
        <f t="shared" si="201"/>
        <v>54</v>
      </c>
      <c r="E1507">
        <f t="shared" si="201"/>
        <v>97</v>
      </c>
      <c r="F1507">
        <f t="shared" si="201"/>
        <v>141</v>
      </c>
      <c r="G1507">
        <f t="shared" si="201"/>
        <v>178</v>
      </c>
      <c r="H1507">
        <f t="shared" si="201"/>
        <v>210</v>
      </c>
      <c r="I1507">
        <f t="shared" si="201"/>
        <v>232</v>
      </c>
      <c r="J1507">
        <f t="shared" si="201"/>
        <v>265</v>
      </c>
      <c r="K1507">
        <f t="shared" si="201"/>
        <v>282</v>
      </c>
      <c r="L1507">
        <f t="shared" si="201"/>
        <v>297</v>
      </c>
      <c r="M1507">
        <f t="shared" ref="M1507:Q1539" si="202">FIND(M$1,$A1507)</f>
        <v>312</v>
      </c>
      <c r="N1507">
        <f t="shared" si="202"/>
        <v>324</v>
      </c>
      <c r="O1507">
        <f t="shared" si="202"/>
        <v>350</v>
      </c>
      <c r="P1507">
        <f t="shared" si="202"/>
        <v>368</v>
      </c>
      <c r="Q1507">
        <f t="shared" si="202"/>
        <v>394</v>
      </c>
      <c r="S1507" t="str">
        <f t="shared" si="196"/>
        <v>12.12.2025</v>
      </c>
      <c r="T1507" t="str">
        <f t="shared" si="197"/>
        <v>11:15:00</v>
      </c>
      <c r="U1507" t="str">
        <f t="shared" si="199"/>
        <v>12.12.2025 11:15:00</v>
      </c>
      <c r="V1507" s="9" t="str">
        <f>MID($A1507,C1507+C$2+1,D1507-C1507-C$2-1)</f>
        <v>0</v>
      </c>
      <c r="W1507" s="4">
        <f>VALUE(SUBSTITUTE(MID($A1507,D1507+D$2+1,E1507-D1507-D$2-1),",","."))</f>
        <v>0.79859980640106099</v>
      </c>
      <c r="X1507" s="4">
        <f>VALUE(SUBSTITUTE(MID($A1507,E1507+E$2+1,F1507-E1507-E$2-1),",","."))</f>
        <v>0.90957602214449496</v>
      </c>
      <c r="Y1507" s="4">
        <f>VALUE(SUBSTITUTE(MID($A1507,F1507+F$2+1,G1507-F1507-F$2-1),",","."))</f>
        <v>0.316960215505809</v>
      </c>
      <c r="Z1507" s="3">
        <f>VALUE(SUBSTITUTE(MID($A1507,G1507+G$2+1,H1507-G1507-G$2-1),",","."))</f>
        <v>0</v>
      </c>
      <c r="AA1507" s="3">
        <f>VALUE(SUBSTITUTE(MID($A1507,H1507+H$2+1,I1507-H1507-H$2-1),",","."))</f>
        <v>0</v>
      </c>
      <c r="AB1507" s="3">
        <f>VALUE(SUBSTITUTE(MID($A1507,I1507+I$2+1,J1507-I1507-I$2-1),",","."))</f>
        <v>0</v>
      </c>
      <c r="AC1507" s="3">
        <f>VALUE(SUBSTITUTE(MID($A1507,J1507+J$2+1,K1507-J1507-J$2-1),",","."))</f>
        <v>0</v>
      </c>
      <c r="AD1507" s="3">
        <f>VALUE(SUBSTITUTE(MID($A1507,K1507+K$2+1,L1507-K1507-K$2-1),",","."))</f>
        <v>0</v>
      </c>
      <c r="AE1507" s="3">
        <f>VALUE(SUBSTITUTE(MID($A1507,L1507+L$2+1,M1507-L1507-L$2-1),",","."))</f>
        <v>0</v>
      </c>
      <c r="AF1507" s="3">
        <f>VALUE(SUBSTITUTE(MID($A1507,M1507+M$2+1,N1507-M1507-M$2-1),",","."))</f>
        <v>0</v>
      </c>
      <c r="AG1507" s="3">
        <f>VALUE(SUBSTITUTE(MID($A1507,N1507+N$2+1,O1507-N1507-N$2-1),",","."))</f>
        <v>4.24635465635314</v>
      </c>
      <c r="AH1507" t="str">
        <f>MID($A1507,O1507+O$2+1,P1507-O1507-O$2-1)</f>
        <v/>
      </c>
      <c r="AI1507" s="8" t="str">
        <f>MID($A1507,P1507+P$2+1,Q1507-P1507-P$2-1)</f>
        <v>False</v>
      </c>
      <c r="AK1507" t="b">
        <f t="shared" si="200"/>
        <v>0</v>
      </c>
    </row>
    <row r="1508" spans="1:37" x14ac:dyDescent="0.35">
      <c r="A1508" t="s">
        <v>6055</v>
      </c>
      <c r="B1508">
        <f t="shared" ref="B1508:L1531" si="203">FIND(B$1,$A1508)</f>
        <v>10</v>
      </c>
      <c r="C1508">
        <f t="shared" si="203"/>
        <v>43</v>
      </c>
      <c r="D1508">
        <f t="shared" si="203"/>
        <v>54</v>
      </c>
      <c r="E1508">
        <f t="shared" si="203"/>
        <v>97</v>
      </c>
      <c r="F1508">
        <f t="shared" si="203"/>
        <v>141</v>
      </c>
      <c r="G1508">
        <f t="shared" si="203"/>
        <v>179</v>
      </c>
      <c r="H1508">
        <f t="shared" si="203"/>
        <v>211</v>
      </c>
      <c r="I1508">
        <f t="shared" si="203"/>
        <v>233</v>
      </c>
      <c r="J1508">
        <f t="shared" si="203"/>
        <v>266</v>
      </c>
      <c r="K1508">
        <f t="shared" si="203"/>
        <v>283</v>
      </c>
      <c r="L1508">
        <f t="shared" si="203"/>
        <v>298</v>
      </c>
      <c r="M1508">
        <f t="shared" si="202"/>
        <v>313</v>
      </c>
      <c r="N1508">
        <f t="shared" si="202"/>
        <v>325</v>
      </c>
      <c r="O1508">
        <f t="shared" si="202"/>
        <v>350</v>
      </c>
      <c r="P1508">
        <f t="shared" si="202"/>
        <v>368</v>
      </c>
      <c r="Q1508">
        <f t="shared" si="202"/>
        <v>394</v>
      </c>
      <c r="S1508" t="str">
        <f t="shared" si="196"/>
        <v>12.12.2025</v>
      </c>
      <c r="T1508" t="str">
        <f t="shared" si="197"/>
        <v>11:30:00</v>
      </c>
      <c r="U1508" t="str">
        <f t="shared" si="199"/>
        <v>12.12.2025 11:30:00</v>
      </c>
      <c r="V1508" s="9" t="str">
        <f>MID($A1508,C1508+C$2+1,D1508-C1508-C$2-1)</f>
        <v>0</v>
      </c>
      <c r="W1508" s="4">
        <f>VALUE(SUBSTITUTE(MID($A1508,D1508+D$2+1,E1508-D1508-D$2-1),",","."))</f>
        <v>0.79827139570745098</v>
      </c>
      <c r="X1508" s="4">
        <f>VALUE(SUBSTITUTE(MID($A1508,E1508+E$2+1,F1508-E1508-E$2-1),",","."))</f>
        <v>0.90957602214449496</v>
      </c>
      <c r="Y1508" s="4">
        <f>VALUE(SUBSTITUTE(MID($A1508,F1508+F$2+1,G1508-F1508-F$2-1),",","."))</f>
        <v>0.32550818095950401</v>
      </c>
      <c r="Z1508" s="3">
        <f>VALUE(SUBSTITUTE(MID($A1508,G1508+G$2+1,H1508-G1508-G$2-1),",","."))</f>
        <v>0</v>
      </c>
      <c r="AA1508" s="3">
        <f>VALUE(SUBSTITUTE(MID($A1508,H1508+H$2+1,I1508-H1508-H$2-1),",","."))</f>
        <v>0</v>
      </c>
      <c r="AB1508" s="3">
        <f>VALUE(SUBSTITUTE(MID($A1508,I1508+I$2+1,J1508-I1508-I$2-1),",","."))</f>
        <v>0</v>
      </c>
      <c r="AC1508" s="3">
        <f>VALUE(SUBSTITUTE(MID($A1508,J1508+J$2+1,K1508-J1508-J$2-1),",","."))</f>
        <v>0</v>
      </c>
      <c r="AD1508" s="3">
        <f>VALUE(SUBSTITUTE(MID($A1508,K1508+K$2+1,L1508-K1508-K$2-1),",","."))</f>
        <v>0</v>
      </c>
      <c r="AE1508" s="3">
        <f>VALUE(SUBSTITUTE(MID($A1508,L1508+L$2+1,M1508-L1508-L$2-1),",","."))</f>
        <v>0</v>
      </c>
      <c r="AF1508" s="3">
        <f>VALUE(SUBSTITUTE(MID($A1508,M1508+M$2+1,N1508-M1508-M$2-1),",","."))</f>
        <v>0</v>
      </c>
      <c r="AG1508" s="3">
        <f>VALUE(SUBSTITUTE(MID($A1508,N1508+N$2+1,O1508-N1508-N$2-1),",","."))</f>
        <v>4.2463831762412196</v>
      </c>
      <c r="AH1508" t="str">
        <f>MID($A1508,O1508+O$2+1,P1508-O1508-O$2-1)</f>
        <v/>
      </c>
      <c r="AI1508" s="8" t="str">
        <f>MID($A1508,P1508+P$2+1,Q1508-P1508-P$2-1)</f>
        <v>False</v>
      </c>
      <c r="AK1508" t="b">
        <f t="shared" si="200"/>
        <v>0</v>
      </c>
    </row>
    <row r="1509" spans="1:37" x14ac:dyDescent="0.35">
      <c r="A1509" t="s">
        <v>6056</v>
      </c>
      <c r="B1509">
        <f t="shared" si="203"/>
        <v>10</v>
      </c>
      <c r="C1509">
        <f t="shared" si="203"/>
        <v>43</v>
      </c>
      <c r="D1509">
        <f t="shared" si="203"/>
        <v>54</v>
      </c>
      <c r="E1509">
        <f t="shared" si="203"/>
        <v>97</v>
      </c>
      <c r="F1509">
        <f t="shared" si="203"/>
        <v>141</v>
      </c>
      <c r="G1509">
        <f t="shared" si="203"/>
        <v>179</v>
      </c>
      <c r="H1509">
        <f t="shared" si="203"/>
        <v>211</v>
      </c>
      <c r="I1509">
        <f t="shared" si="203"/>
        <v>233</v>
      </c>
      <c r="J1509">
        <f t="shared" si="203"/>
        <v>266</v>
      </c>
      <c r="K1509">
        <f t="shared" si="203"/>
        <v>283</v>
      </c>
      <c r="L1509">
        <f t="shared" si="203"/>
        <v>298</v>
      </c>
      <c r="M1509">
        <f t="shared" si="202"/>
        <v>313</v>
      </c>
      <c r="N1509">
        <f t="shared" si="202"/>
        <v>325</v>
      </c>
      <c r="O1509">
        <f t="shared" si="202"/>
        <v>350</v>
      </c>
      <c r="P1509">
        <f t="shared" si="202"/>
        <v>368</v>
      </c>
      <c r="Q1509">
        <f t="shared" si="202"/>
        <v>394</v>
      </c>
      <c r="S1509" t="str">
        <f t="shared" si="196"/>
        <v>12.12.2025</v>
      </c>
      <c r="T1509" t="str">
        <f t="shared" si="197"/>
        <v>11:45:00</v>
      </c>
      <c r="U1509" t="str">
        <f t="shared" si="199"/>
        <v>12.12.2025 11:45:00</v>
      </c>
      <c r="V1509" s="9" t="str">
        <f>MID($A1509,C1509+C$2+1,D1509-C1509-C$2-1)</f>
        <v>0</v>
      </c>
      <c r="W1509" s="4">
        <f>VALUE(SUBSTITUTE(MID($A1509,D1509+D$2+1,E1509-D1509-D$2-1),",","."))</f>
        <v>0.79413273719105204</v>
      </c>
      <c r="X1509" s="4">
        <f>VALUE(SUBSTITUTE(MID($A1509,E1509+E$2+1,F1509-E1509-E$2-1),",","."))</f>
        <v>0.90957602214449496</v>
      </c>
      <c r="Y1509" s="4">
        <f>VALUE(SUBSTITUTE(MID($A1509,F1509+F$2+1,G1509-F1509-F$2-1),",","."))</f>
        <v>0.33144012065812201</v>
      </c>
      <c r="Z1509" s="3">
        <f>VALUE(SUBSTITUTE(MID($A1509,G1509+G$2+1,H1509-G1509-G$2-1),",","."))</f>
        <v>0</v>
      </c>
      <c r="AA1509" s="3">
        <f>VALUE(SUBSTITUTE(MID($A1509,H1509+H$2+1,I1509-H1509-H$2-1),",","."))</f>
        <v>0</v>
      </c>
      <c r="AB1509" s="3">
        <f>VALUE(SUBSTITUTE(MID($A1509,I1509+I$2+1,J1509-I1509-I$2-1),",","."))</f>
        <v>0</v>
      </c>
      <c r="AC1509" s="3">
        <f>VALUE(SUBSTITUTE(MID($A1509,J1509+J$2+1,K1509-J1509-J$2-1),",","."))</f>
        <v>0</v>
      </c>
      <c r="AD1509" s="3">
        <f>VALUE(SUBSTITUTE(MID($A1509,K1509+K$2+1,L1509-K1509-K$2-1),",","."))</f>
        <v>0</v>
      </c>
      <c r="AE1509" s="3">
        <f>VALUE(SUBSTITUTE(MID($A1509,L1509+L$2+1,M1509-L1509-L$2-1),",","."))</f>
        <v>0</v>
      </c>
      <c r="AF1509" s="3">
        <f>VALUE(SUBSTITUTE(MID($A1509,M1509+M$2+1,N1509-M1509-M$2-1),",","."))</f>
        <v>0</v>
      </c>
      <c r="AG1509" s="3">
        <f>VALUE(SUBSTITUTE(MID($A1509,N1509+N$2+1,O1509-N1509-N$2-1),",","."))</f>
        <v>4.2464116961293001</v>
      </c>
      <c r="AH1509" t="str">
        <f>MID($A1509,O1509+O$2+1,P1509-O1509-O$2-1)</f>
        <v/>
      </c>
      <c r="AI1509" s="8" t="str">
        <f>MID($A1509,P1509+P$2+1,Q1509-P1509-P$2-1)</f>
        <v>False</v>
      </c>
      <c r="AK1509" t="b">
        <f t="shared" si="200"/>
        <v>0</v>
      </c>
    </row>
    <row r="1510" spans="1:37" x14ac:dyDescent="0.35">
      <c r="A1510" t="s">
        <v>6057</v>
      </c>
      <c r="B1510">
        <f t="shared" si="203"/>
        <v>10</v>
      </c>
      <c r="C1510">
        <f t="shared" si="203"/>
        <v>43</v>
      </c>
      <c r="D1510">
        <f t="shared" si="203"/>
        <v>54</v>
      </c>
      <c r="E1510">
        <f t="shared" si="203"/>
        <v>96</v>
      </c>
      <c r="F1510">
        <f t="shared" si="203"/>
        <v>140</v>
      </c>
      <c r="G1510">
        <f t="shared" si="203"/>
        <v>178</v>
      </c>
      <c r="H1510">
        <f t="shared" si="203"/>
        <v>210</v>
      </c>
      <c r="I1510">
        <f t="shared" si="203"/>
        <v>232</v>
      </c>
      <c r="J1510">
        <f t="shared" si="203"/>
        <v>265</v>
      </c>
      <c r="K1510">
        <f t="shared" si="203"/>
        <v>282</v>
      </c>
      <c r="L1510">
        <f t="shared" si="203"/>
        <v>297</v>
      </c>
      <c r="M1510">
        <f t="shared" si="202"/>
        <v>312</v>
      </c>
      <c r="N1510">
        <f t="shared" si="202"/>
        <v>324</v>
      </c>
      <c r="O1510">
        <f t="shared" si="202"/>
        <v>350</v>
      </c>
      <c r="P1510">
        <f t="shared" si="202"/>
        <v>368</v>
      </c>
      <c r="Q1510">
        <f t="shared" si="202"/>
        <v>394</v>
      </c>
      <c r="S1510" t="str">
        <f t="shared" si="196"/>
        <v>12.12.2025</v>
      </c>
      <c r="T1510" t="str">
        <f t="shared" si="197"/>
        <v>12:00:00</v>
      </c>
      <c r="U1510" t="str">
        <f t="shared" si="199"/>
        <v>12.12.2025 12:00:00</v>
      </c>
      <c r="V1510" s="9" t="str">
        <f>MID($A1510,C1510+C$2+1,D1510-C1510-C$2-1)</f>
        <v>0</v>
      </c>
      <c r="W1510" s="4">
        <f>VALUE(SUBSTITUTE(MID($A1510,D1510+D$2+1,E1510-D1510-D$2-1),",","."))</f>
        <v>0.78620095780842902</v>
      </c>
      <c r="X1510" s="4">
        <f>VALUE(SUBSTITUTE(MID($A1510,E1510+E$2+1,F1510-E1510-E$2-1),",","."))</f>
        <v>0.90957602214449496</v>
      </c>
      <c r="Y1510" s="4">
        <f>VALUE(SUBSTITUTE(MID($A1510,F1510+F$2+1,G1510-F1510-F$2-1),",","."))</f>
        <v>0.33472990239276701</v>
      </c>
      <c r="Z1510" s="3">
        <f>VALUE(SUBSTITUTE(MID($A1510,G1510+G$2+1,H1510-G1510-G$2-1),",","."))</f>
        <v>0</v>
      </c>
      <c r="AA1510" s="3">
        <f>VALUE(SUBSTITUTE(MID($A1510,H1510+H$2+1,I1510-H1510-H$2-1),",","."))</f>
        <v>0</v>
      </c>
      <c r="AB1510" s="3">
        <f>VALUE(SUBSTITUTE(MID($A1510,I1510+I$2+1,J1510-I1510-I$2-1),",","."))</f>
        <v>0</v>
      </c>
      <c r="AC1510" s="3">
        <f>VALUE(SUBSTITUTE(MID($A1510,J1510+J$2+1,K1510-J1510-J$2-1),",","."))</f>
        <v>0</v>
      </c>
      <c r="AD1510" s="3">
        <f>VALUE(SUBSTITUTE(MID($A1510,K1510+K$2+1,L1510-K1510-K$2-1),",","."))</f>
        <v>0</v>
      </c>
      <c r="AE1510" s="3">
        <f>VALUE(SUBSTITUTE(MID($A1510,L1510+L$2+1,M1510-L1510-L$2-1),",","."))</f>
        <v>0</v>
      </c>
      <c r="AF1510" s="3">
        <f>VALUE(SUBSTITUTE(MID($A1510,M1510+M$2+1,N1510-M1510-M$2-1),",","."))</f>
        <v>0</v>
      </c>
      <c r="AG1510" s="3">
        <f>VALUE(SUBSTITUTE(MID($A1510,N1510+N$2+1,O1510-N1510-N$2-1),",","."))</f>
        <v>4.2464402160173798</v>
      </c>
      <c r="AH1510" t="str">
        <f>MID($A1510,O1510+O$2+1,P1510-O1510-O$2-1)</f>
        <v/>
      </c>
      <c r="AI1510" s="8" t="str">
        <f>MID($A1510,P1510+P$2+1,Q1510-P1510-P$2-1)</f>
        <v>False</v>
      </c>
      <c r="AK1510" t="b">
        <f t="shared" si="200"/>
        <v>0</v>
      </c>
    </row>
    <row r="1511" spans="1:37" x14ac:dyDescent="0.35">
      <c r="A1511" t="s">
        <v>6058</v>
      </c>
      <c r="B1511">
        <f t="shared" si="203"/>
        <v>10</v>
      </c>
      <c r="C1511">
        <f t="shared" si="203"/>
        <v>43</v>
      </c>
      <c r="D1511">
        <f t="shared" si="203"/>
        <v>54</v>
      </c>
      <c r="E1511">
        <f t="shared" si="203"/>
        <v>97</v>
      </c>
      <c r="F1511">
        <f t="shared" si="203"/>
        <v>141</v>
      </c>
      <c r="G1511">
        <f t="shared" si="203"/>
        <v>179</v>
      </c>
      <c r="H1511">
        <f t="shared" si="203"/>
        <v>211</v>
      </c>
      <c r="I1511">
        <f t="shared" si="203"/>
        <v>233</v>
      </c>
      <c r="J1511">
        <f t="shared" si="203"/>
        <v>266</v>
      </c>
      <c r="K1511">
        <f t="shared" si="203"/>
        <v>283</v>
      </c>
      <c r="L1511">
        <f t="shared" si="203"/>
        <v>298</v>
      </c>
      <c r="M1511">
        <f t="shared" si="202"/>
        <v>313</v>
      </c>
      <c r="N1511">
        <f t="shared" si="202"/>
        <v>325</v>
      </c>
      <c r="O1511">
        <f t="shared" si="202"/>
        <v>350</v>
      </c>
      <c r="P1511">
        <f t="shared" si="202"/>
        <v>368</v>
      </c>
      <c r="Q1511">
        <f t="shared" si="202"/>
        <v>394</v>
      </c>
      <c r="S1511" t="str">
        <f t="shared" si="196"/>
        <v>12.12.2025</v>
      </c>
      <c r="T1511" t="str">
        <f t="shared" si="197"/>
        <v>12:15:00</v>
      </c>
      <c r="U1511" t="str">
        <f t="shared" si="199"/>
        <v>12.12.2025 12:15:00</v>
      </c>
      <c r="V1511" s="9" t="str">
        <f>MID($A1511,C1511+C$2+1,D1511-C1511-C$2-1)</f>
        <v>0</v>
      </c>
      <c r="W1511" s="4">
        <f>VALUE(SUBSTITUTE(MID($A1511,D1511+D$2+1,E1511-D1511-D$2-1),",","."))</f>
        <v>0.77450970791152995</v>
      </c>
      <c r="X1511" s="4">
        <f>VALUE(SUBSTITUTE(MID($A1511,E1511+E$2+1,F1511-E1511-E$2-1),",","."))</f>
        <v>0.90957602214449496</v>
      </c>
      <c r="Y1511" s="4">
        <f>VALUE(SUBSTITUTE(MID($A1511,F1511+F$2+1,G1511-F1511-F$2-1),",","."))</f>
        <v>0.33536305349611301</v>
      </c>
      <c r="Z1511" s="3">
        <f>VALUE(SUBSTITUTE(MID($A1511,G1511+G$2+1,H1511-G1511-G$2-1),",","."))</f>
        <v>0</v>
      </c>
      <c r="AA1511" s="3">
        <f>VALUE(SUBSTITUTE(MID($A1511,H1511+H$2+1,I1511-H1511-H$2-1),",","."))</f>
        <v>0</v>
      </c>
      <c r="AB1511" s="3">
        <f>VALUE(SUBSTITUTE(MID($A1511,I1511+I$2+1,J1511-I1511-I$2-1),",","."))</f>
        <v>0</v>
      </c>
      <c r="AC1511" s="3">
        <f>VALUE(SUBSTITUTE(MID($A1511,J1511+J$2+1,K1511-J1511-J$2-1),",","."))</f>
        <v>0</v>
      </c>
      <c r="AD1511" s="3">
        <f>VALUE(SUBSTITUTE(MID($A1511,K1511+K$2+1,L1511-K1511-K$2-1),",","."))</f>
        <v>0</v>
      </c>
      <c r="AE1511" s="3">
        <f>VALUE(SUBSTITUTE(MID($A1511,L1511+L$2+1,M1511-L1511-L$2-1),",","."))</f>
        <v>0</v>
      </c>
      <c r="AF1511" s="3">
        <f>VALUE(SUBSTITUTE(MID($A1511,M1511+M$2+1,N1511-M1511-M$2-1),",","."))</f>
        <v>0</v>
      </c>
      <c r="AG1511" s="3">
        <f>VALUE(SUBSTITUTE(MID($A1511,N1511+N$2+1,O1511-N1511-N$2-1),",","."))</f>
        <v>4.24646873590547</v>
      </c>
      <c r="AH1511" t="str">
        <f>MID($A1511,O1511+O$2+1,P1511-O1511-O$2-1)</f>
        <v/>
      </c>
      <c r="AI1511" s="8" t="str">
        <f>MID($A1511,P1511+P$2+1,Q1511-P1511-P$2-1)</f>
        <v>False</v>
      </c>
      <c r="AK1511" t="b">
        <f t="shared" si="200"/>
        <v>0</v>
      </c>
    </row>
    <row r="1512" spans="1:37" x14ac:dyDescent="0.35">
      <c r="A1512" t="s">
        <v>6059</v>
      </c>
      <c r="B1512">
        <f t="shared" si="203"/>
        <v>10</v>
      </c>
      <c r="C1512">
        <f t="shared" si="203"/>
        <v>43</v>
      </c>
      <c r="D1512">
        <f t="shared" si="203"/>
        <v>54</v>
      </c>
      <c r="E1512">
        <f t="shared" si="203"/>
        <v>96</v>
      </c>
      <c r="F1512">
        <f t="shared" si="203"/>
        <v>140</v>
      </c>
      <c r="G1512">
        <f t="shared" si="203"/>
        <v>179</v>
      </c>
      <c r="H1512">
        <f t="shared" si="203"/>
        <v>211</v>
      </c>
      <c r="I1512">
        <f t="shared" si="203"/>
        <v>233</v>
      </c>
      <c r="J1512">
        <f t="shared" si="203"/>
        <v>266</v>
      </c>
      <c r="K1512">
        <f t="shared" si="203"/>
        <v>283</v>
      </c>
      <c r="L1512">
        <f t="shared" si="203"/>
        <v>298</v>
      </c>
      <c r="M1512">
        <f t="shared" si="202"/>
        <v>313</v>
      </c>
      <c r="N1512">
        <f t="shared" si="202"/>
        <v>325</v>
      </c>
      <c r="O1512">
        <f t="shared" si="202"/>
        <v>350</v>
      </c>
      <c r="P1512">
        <f t="shared" si="202"/>
        <v>368</v>
      </c>
      <c r="Q1512">
        <f t="shared" si="202"/>
        <v>394</v>
      </c>
      <c r="S1512" t="str">
        <f t="shared" si="196"/>
        <v>12.12.2025</v>
      </c>
      <c r="T1512" t="str">
        <f t="shared" si="197"/>
        <v>12:30:00</v>
      </c>
      <c r="U1512" t="str">
        <f t="shared" si="199"/>
        <v>12.12.2025 12:30:00</v>
      </c>
      <c r="V1512" s="9" t="str">
        <f>MID($A1512,C1512+C$2+1,D1512-C1512-C$2-1)</f>
        <v>0</v>
      </c>
      <c r="W1512" s="4">
        <f>VALUE(SUBSTITUTE(MID($A1512,D1512+D$2+1,E1512-D1512-D$2-1),",","."))</f>
        <v>0.75910898492008105</v>
      </c>
      <c r="X1512" s="4">
        <f>VALUE(SUBSTITUTE(MID($A1512,E1512+E$2+1,F1512-E1512-E$2-1),",","."))</f>
        <v>0.90957602214449496</v>
      </c>
      <c r="Y1512" s="4">
        <f>VALUE(SUBSTITUTE(MID($A1512,F1512+F$2+1,G1512-F1512-F$2-1),",","."))</f>
        <v>0.33333678420371898</v>
      </c>
      <c r="Z1512" s="3">
        <f>VALUE(SUBSTITUTE(MID($A1512,G1512+G$2+1,H1512-G1512-G$2-1),",","."))</f>
        <v>0</v>
      </c>
      <c r="AA1512" s="3">
        <f>VALUE(SUBSTITUTE(MID($A1512,H1512+H$2+1,I1512-H1512-H$2-1),",","."))</f>
        <v>0</v>
      </c>
      <c r="AB1512" s="3">
        <f>VALUE(SUBSTITUTE(MID($A1512,I1512+I$2+1,J1512-I1512-I$2-1),",","."))</f>
        <v>0</v>
      </c>
      <c r="AC1512" s="3">
        <f>VALUE(SUBSTITUTE(MID($A1512,J1512+J$2+1,K1512-J1512-J$2-1),",","."))</f>
        <v>0</v>
      </c>
      <c r="AD1512" s="3">
        <f>VALUE(SUBSTITUTE(MID($A1512,K1512+K$2+1,L1512-K1512-K$2-1),",","."))</f>
        <v>0</v>
      </c>
      <c r="AE1512" s="3">
        <f>VALUE(SUBSTITUTE(MID($A1512,L1512+L$2+1,M1512-L1512-L$2-1),",","."))</f>
        <v>0</v>
      </c>
      <c r="AF1512" s="3">
        <f>VALUE(SUBSTITUTE(MID($A1512,M1512+M$2+1,N1512-M1512-M$2-1),",","."))</f>
        <v>0</v>
      </c>
      <c r="AG1512" s="3">
        <f>VALUE(SUBSTITUTE(MID($A1512,N1512+N$2+1,O1512-N1512-N$2-1),",","."))</f>
        <v>4.2464972557935496</v>
      </c>
      <c r="AH1512" t="str">
        <f>MID($A1512,O1512+O$2+1,P1512-O1512-O$2-1)</f>
        <v/>
      </c>
      <c r="AI1512" s="8" t="str">
        <f>MID($A1512,P1512+P$2+1,Q1512-P1512-P$2-1)</f>
        <v>False</v>
      </c>
      <c r="AK1512" t="b">
        <f t="shared" si="200"/>
        <v>0</v>
      </c>
    </row>
    <row r="1513" spans="1:37" x14ac:dyDescent="0.35">
      <c r="A1513" t="s">
        <v>6060</v>
      </c>
      <c r="B1513">
        <f t="shared" si="203"/>
        <v>10</v>
      </c>
      <c r="C1513">
        <f t="shared" si="203"/>
        <v>43</v>
      </c>
      <c r="D1513">
        <f t="shared" si="203"/>
        <v>54</v>
      </c>
      <c r="E1513">
        <f t="shared" si="203"/>
        <v>96</v>
      </c>
      <c r="F1513">
        <f t="shared" si="203"/>
        <v>140</v>
      </c>
      <c r="G1513">
        <f t="shared" si="203"/>
        <v>178</v>
      </c>
      <c r="H1513">
        <f t="shared" si="203"/>
        <v>210</v>
      </c>
      <c r="I1513">
        <f t="shared" si="203"/>
        <v>232</v>
      </c>
      <c r="J1513">
        <f t="shared" si="203"/>
        <v>265</v>
      </c>
      <c r="K1513">
        <f t="shared" si="203"/>
        <v>282</v>
      </c>
      <c r="L1513">
        <f t="shared" si="203"/>
        <v>297</v>
      </c>
      <c r="M1513">
        <f t="shared" si="202"/>
        <v>312</v>
      </c>
      <c r="N1513">
        <f t="shared" si="202"/>
        <v>324</v>
      </c>
      <c r="O1513">
        <f t="shared" si="202"/>
        <v>349</v>
      </c>
      <c r="P1513">
        <f t="shared" si="202"/>
        <v>367</v>
      </c>
      <c r="Q1513">
        <f t="shared" si="202"/>
        <v>393</v>
      </c>
      <c r="S1513" t="str">
        <f t="shared" si="196"/>
        <v>12.12.2025</v>
      </c>
      <c r="T1513" t="str">
        <f t="shared" si="197"/>
        <v>12:45:00</v>
      </c>
      <c r="U1513" t="str">
        <f t="shared" si="199"/>
        <v>12.12.2025 12:45:00</v>
      </c>
      <c r="V1513" s="9" t="str">
        <f>MID($A1513,C1513+C$2+1,D1513-C1513-C$2-1)</f>
        <v>0</v>
      </c>
      <c r="W1513" s="4">
        <f>VALUE(SUBSTITUTE(MID($A1513,D1513+D$2+1,E1513-D1513-D$2-1),",","."))</f>
        <v>0.74006491306730604</v>
      </c>
      <c r="X1513" s="4">
        <f>VALUE(SUBSTITUTE(MID($A1513,E1513+E$2+1,F1513-E1513-E$2-1),",","."))</f>
        <v>0.90957602214449496</v>
      </c>
      <c r="Y1513" s="4">
        <f>VALUE(SUBSTITUTE(MID($A1513,F1513+F$2+1,G1513-F1513-F$2-1),",","."))</f>
        <v>0.32865999238641402</v>
      </c>
      <c r="Z1513" s="3">
        <f>VALUE(SUBSTITUTE(MID($A1513,G1513+G$2+1,H1513-G1513-G$2-1),",","."))</f>
        <v>0</v>
      </c>
      <c r="AA1513" s="3">
        <f>VALUE(SUBSTITUTE(MID($A1513,H1513+H$2+1,I1513-H1513-H$2-1),",","."))</f>
        <v>0</v>
      </c>
      <c r="AB1513" s="3">
        <f>VALUE(SUBSTITUTE(MID($A1513,I1513+I$2+1,J1513-I1513-I$2-1),",","."))</f>
        <v>0</v>
      </c>
      <c r="AC1513" s="3">
        <f>VALUE(SUBSTITUTE(MID($A1513,J1513+J$2+1,K1513-J1513-J$2-1),",","."))</f>
        <v>0</v>
      </c>
      <c r="AD1513" s="3">
        <f>VALUE(SUBSTITUTE(MID($A1513,K1513+K$2+1,L1513-K1513-K$2-1),",","."))</f>
        <v>0</v>
      </c>
      <c r="AE1513" s="3">
        <f>VALUE(SUBSTITUTE(MID($A1513,L1513+L$2+1,M1513-L1513-L$2-1),",","."))</f>
        <v>0</v>
      </c>
      <c r="AF1513" s="3">
        <f>VALUE(SUBSTITUTE(MID($A1513,M1513+M$2+1,N1513-M1513-M$2-1),",","."))</f>
        <v>0</v>
      </c>
      <c r="AG1513" s="3">
        <f>VALUE(SUBSTITUTE(MID($A1513,N1513+N$2+1,O1513-N1513-N$2-1),",","."))</f>
        <v>4.2465257756816301</v>
      </c>
      <c r="AH1513" t="str">
        <f>MID($A1513,O1513+O$2+1,P1513-O1513-O$2-1)</f>
        <v/>
      </c>
      <c r="AI1513" s="8" t="str">
        <f>MID($A1513,P1513+P$2+1,Q1513-P1513-P$2-1)</f>
        <v>False</v>
      </c>
      <c r="AK1513" t="b">
        <f t="shared" si="200"/>
        <v>0</v>
      </c>
    </row>
    <row r="1514" spans="1:37" x14ac:dyDescent="0.35">
      <c r="A1514" t="s">
        <v>6061</v>
      </c>
      <c r="B1514">
        <f t="shared" si="203"/>
        <v>10</v>
      </c>
      <c r="C1514">
        <f t="shared" si="203"/>
        <v>43</v>
      </c>
      <c r="D1514">
        <f t="shared" si="203"/>
        <v>54</v>
      </c>
      <c r="E1514">
        <f t="shared" si="203"/>
        <v>97</v>
      </c>
      <c r="F1514">
        <f t="shared" si="203"/>
        <v>141</v>
      </c>
      <c r="G1514">
        <f t="shared" si="203"/>
        <v>179</v>
      </c>
      <c r="H1514">
        <f t="shared" si="203"/>
        <v>211</v>
      </c>
      <c r="I1514">
        <f t="shared" si="203"/>
        <v>233</v>
      </c>
      <c r="J1514">
        <f t="shared" si="203"/>
        <v>266</v>
      </c>
      <c r="K1514">
        <f t="shared" si="203"/>
        <v>283</v>
      </c>
      <c r="L1514">
        <f t="shared" si="203"/>
        <v>298</v>
      </c>
      <c r="M1514">
        <f t="shared" si="202"/>
        <v>313</v>
      </c>
      <c r="N1514">
        <f t="shared" si="202"/>
        <v>325</v>
      </c>
      <c r="O1514">
        <f t="shared" si="202"/>
        <v>350</v>
      </c>
      <c r="P1514">
        <f t="shared" si="202"/>
        <v>368</v>
      </c>
      <c r="Q1514">
        <f t="shared" si="202"/>
        <v>394</v>
      </c>
      <c r="S1514" t="str">
        <f t="shared" si="196"/>
        <v>12.12.2025</v>
      </c>
      <c r="T1514" t="str">
        <f t="shared" si="197"/>
        <v>13:00:00</v>
      </c>
      <c r="U1514" t="str">
        <f t="shared" si="199"/>
        <v>12.12.2025 13:00:00</v>
      </c>
      <c r="V1514" s="9" t="str">
        <f>MID($A1514,C1514+C$2+1,D1514-C1514-C$2-1)</f>
        <v>0</v>
      </c>
      <c r="W1514" s="4">
        <f>VALUE(SUBSTITUTE(MID($A1514,D1514+D$2+1,E1514-D1514-D$2-1),",","."))</f>
        <v>0.71745947900885498</v>
      </c>
      <c r="X1514" s="4">
        <f>VALUE(SUBSTITUTE(MID($A1514,E1514+E$2+1,F1514-E1514-E$2-1),",","."))</f>
        <v>0.90957602214449496</v>
      </c>
      <c r="Y1514" s="4">
        <f>VALUE(SUBSTITUTE(MID($A1514,F1514+F$2+1,G1514-F1514-F$2-1),",","."))</f>
        <v>0.32135324835324602</v>
      </c>
      <c r="Z1514" s="3">
        <f>VALUE(SUBSTITUTE(MID($A1514,G1514+G$2+1,H1514-G1514-G$2-1),",","."))</f>
        <v>0</v>
      </c>
      <c r="AA1514" s="3">
        <f>VALUE(SUBSTITUTE(MID($A1514,H1514+H$2+1,I1514-H1514-H$2-1),",","."))</f>
        <v>0</v>
      </c>
      <c r="AB1514" s="3">
        <f>VALUE(SUBSTITUTE(MID($A1514,I1514+I$2+1,J1514-I1514-I$2-1),",","."))</f>
        <v>0</v>
      </c>
      <c r="AC1514" s="3">
        <f>VALUE(SUBSTITUTE(MID($A1514,J1514+J$2+1,K1514-J1514-J$2-1),",","."))</f>
        <v>0</v>
      </c>
      <c r="AD1514" s="3">
        <f>VALUE(SUBSTITUTE(MID($A1514,K1514+K$2+1,L1514-K1514-K$2-1),",","."))</f>
        <v>0</v>
      </c>
      <c r="AE1514" s="3">
        <f>VALUE(SUBSTITUTE(MID($A1514,L1514+L$2+1,M1514-L1514-L$2-1),",","."))</f>
        <v>0</v>
      </c>
      <c r="AF1514" s="3">
        <f>VALUE(SUBSTITUTE(MID($A1514,M1514+M$2+1,N1514-M1514-M$2-1),",","."))</f>
        <v>0</v>
      </c>
      <c r="AG1514" s="3">
        <f>VALUE(SUBSTITUTE(MID($A1514,N1514+N$2+1,O1514-N1514-N$2-1),",","."))</f>
        <v>4.2465542955697098</v>
      </c>
      <c r="AH1514" t="str">
        <f>MID($A1514,O1514+O$2+1,P1514-O1514-O$2-1)</f>
        <v/>
      </c>
      <c r="AI1514" s="8" t="str">
        <f>MID($A1514,P1514+P$2+1,Q1514-P1514-P$2-1)</f>
        <v>False</v>
      </c>
      <c r="AK1514" t="b">
        <f t="shared" si="200"/>
        <v>0</v>
      </c>
    </row>
    <row r="1515" spans="1:37" x14ac:dyDescent="0.35">
      <c r="A1515" t="s">
        <v>6062</v>
      </c>
      <c r="B1515">
        <f t="shared" si="203"/>
        <v>10</v>
      </c>
      <c r="C1515">
        <f t="shared" si="203"/>
        <v>43</v>
      </c>
      <c r="D1515">
        <f t="shared" si="203"/>
        <v>54</v>
      </c>
      <c r="E1515">
        <f t="shared" si="203"/>
        <v>97</v>
      </c>
      <c r="F1515">
        <f t="shared" si="203"/>
        <v>141</v>
      </c>
      <c r="G1515">
        <f t="shared" si="203"/>
        <v>180</v>
      </c>
      <c r="H1515">
        <f t="shared" si="203"/>
        <v>212</v>
      </c>
      <c r="I1515">
        <f t="shared" si="203"/>
        <v>234</v>
      </c>
      <c r="J1515">
        <f t="shared" si="203"/>
        <v>267</v>
      </c>
      <c r="K1515">
        <f t="shared" si="203"/>
        <v>284</v>
      </c>
      <c r="L1515">
        <f t="shared" si="203"/>
        <v>299</v>
      </c>
      <c r="M1515">
        <f t="shared" si="202"/>
        <v>314</v>
      </c>
      <c r="N1515">
        <f t="shared" si="202"/>
        <v>326</v>
      </c>
      <c r="O1515">
        <f t="shared" si="202"/>
        <v>351</v>
      </c>
      <c r="P1515">
        <f t="shared" si="202"/>
        <v>369</v>
      </c>
      <c r="Q1515">
        <f t="shared" si="202"/>
        <v>395</v>
      </c>
      <c r="S1515" t="str">
        <f t="shared" si="196"/>
        <v>12.12.2025</v>
      </c>
      <c r="T1515" t="str">
        <f t="shared" si="197"/>
        <v>13:15:00</v>
      </c>
      <c r="U1515" t="str">
        <f t="shared" si="199"/>
        <v>12.12.2025 13:15:00</v>
      </c>
      <c r="V1515" s="9" t="str">
        <f>MID($A1515,C1515+C$2+1,D1515-C1515-C$2-1)</f>
        <v>0</v>
      </c>
      <c r="W1515" s="4">
        <f>VALUE(SUBSTITUTE(MID($A1515,D1515+D$2+1,E1515-D1515-D$2-1),",","."))</f>
        <v>0.69139022785232696</v>
      </c>
      <c r="X1515" s="4">
        <f>VALUE(SUBSTITUTE(MID($A1515,E1515+E$2+1,F1515-E1515-E$2-1),",","."))</f>
        <v>0.90957602214449496</v>
      </c>
      <c r="Y1515" s="4">
        <f>VALUE(SUBSTITUTE(MID($A1515,F1515+F$2+1,G1515-F1515-F$2-1),",","."))</f>
        <v>0.311448764138131</v>
      </c>
      <c r="Z1515" s="3">
        <f>VALUE(SUBSTITUTE(MID($A1515,G1515+G$2+1,H1515-G1515-G$2-1),",","."))</f>
        <v>0</v>
      </c>
      <c r="AA1515" s="3">
        <f>VALUE(SUBSTITUTE(MID($A1515,H1515+H$2+1,I1515-H1515-H$2-1),",","."))</f>
        <v>0</v>
      </c>
      <c r="AB1515" s="3">
        <f>VALUE(SUBSTITUTE(MID($A1515,I1515+I$2+1,J1515-I1515-I$2-1),",","."))</f>
        <v>0</v>
      </c>
      <c r="AC1515" s="3">
        <f>VALUE(SUBSTITUTE(MID($A1515,J1515+J$2+1,K1515-J1515-J$2-1),",","."))</f>
        <v>0</v>
      </c>
      <c r="AD1515" s="3">
        <f>VALUE(SUBSTITUTE(MID($A1515,K1515+K$2+1,L1515-K1515-K$2-1),",","."))</f>
        <v>0</v>
      </c>
      <c r="AE1515" s="3">
        <f>VALUE(SUBSTITUTE(MID($A1515,L1515+L$2+1,M1515-L1515-L$2-1),",","."))</f>
        <v>0</v>
      </c>
      <c r="AF1515" s="3">
        <f>VALUE(SUBSTITUTE(MID($A1515,M1515+M$2+1,N1515-M1515-M$2-1),",","."))</f>
        <v>0</v>
      </c>
      <c r="AG1515" s="3">
        <f>VALUE(SUBSTITUTE(MID($A1515,N1515+N$2+1,O1515-N1515-N$2-1),",","."))</f>
        <v>4.2465828154577903</v>
      </c>
      <c r="AH1515" t="str">
        <f>MID($A1515,O1515+O$2+1,P1515-O1515-O$2-1)</f>
        <v/>
      </c>
      <c r="AI1515" s="8" t="str">
        <f>MID($A1515,P1515+P$2+1,Q1515-P1515-P$2-1)</f>
        <v>False</v>
      </c>
      <c r="AK1515" t="b">
        <f t="shared" si="200"/>
        <v>0</v>
      </c>
    </row>
    <row r="1516" spans="1:37" x14ac:dyDescent="0.35">
      <c r="A1516" t="s">
        <v>6063</v>
      </c>
      <c r="B1516">
        <f t="shared" si="203"/>
        <v>10</v>
      </c>
      <c r="C1516">
        <f t="shared" si="203"/>
        <v>43</v>
      </c>
      <c r="D1516">
        <f t="shared" si="203"/>
        <v>54</v>
      </c>
      <c r="E1516">
        <f t="shared" si="203"/>
        <v>97</v>
      </c>
      <c r="F1516">
        <f t="shared" si="203"/>
        <v>141</v>
      </c>
      <c r="G1516">
        <f t="shared" si="203"/>
        <v>180</v>
      </c>
      <c r="H1516">
        <f t="shared" si="203"/>
        <v>212</v>
      </c>
      <c r="I1516">
        <f t="shared" si="203"/>
        <v>234</v>
      </c>
      <c r="J1516">
        <f t="shared" si="203"/>
        <v>267</v>
      </c>
      <c r="K1516">
        <f t="shared" si="203"/>
        <v>284</v>
      </c>
      <c r="L1516">
        <f t="shared" si="203"/>
        <v>299</v>
      </c>
      <c r="M1516">
        <f t="shared" si="202"/>
        <v>314</v>
      </c>
      <c r="N1516">
        <f t="shared" si="202"/>
        <v>326</v>
      </c>
      <c r="O1516">
        <f t="shared" si="202"/>
        <v>351</v>
      </c>
      <c r="P1516">
        <f t="shared" si="202"/>
        <v>369</v>
      </c>
      <c r="Q1516">
        <f t="shared" si="202"/>
        <v>395</v>
      </c>
      <c r="S1516" t="str">
        <f t="shared" si="196"/>
        <v>12.12.2025</v>
      </c>
      <c r="T1516" t="str">
        <f t="shared" si="197"/>
        <v>13:30:00</v>
      </c>
      <c r="U1516" t="str">
        <f t="shared" si="199"/>
        <v>12.12.2025 13:30:00</v>
      </c>
      <c r="V1516" s="9" t="str">
        <f>MID($A1516,C1516+C$2+1,D1516-C1516-C$2-1)</f>
        <v>0</v>
      </c>
      <c r="W1516" s="4">
        <f>VALUE(SUBSTITUTE(MID($A1516,D1516+D$2+1,E1516-D1516-D$2-1),",","."))</f>
        <v>0.66196993066467602</v>
      </c>
      <c r="X1516" s="4">
        <f>VALUE(SUBSTITUTE(MID($A1516,E1516+E$2+1,F1516-E1516-E$2-1),",","."))</f>
        <v>0.90957602214449496</v>
      </c>
      <c r="Y1516" s="4">
        <f>VALUE(SUBSTITUTE(MID($A1516,F1516+F$2+1,G1516-F1516-F$2-1),",","."))</f>
        <v>0.29899035904700799</v>
      </c>
      <c r="Z1516" s="3">
        <f>VALUE(SUBSTITUTE(MID($A1516,G1516+G$2+1,H1516-G1516-G$2-1),",","."))</f>
        <v>0</v>
      </c>
      <c r="AA1516" s="3">
        <f>VALUE(SUBSTITUTE(MID($A1516,H1516+H$2+1,I1516-H1516-H$2-1),",","."))</f>
        <v>0</v>
      </c>
      <c r="AB1516" s="3">
        <f>VALUE(SUBSTITUTE(MID($A1516,I1516+I$2+1,J1516-I1516-I$2-1),",","."))</f>
        <v>0</v>
      </c>
      <c r="AC1516" s="3">
        <f>VALUE(SUBSTITUTE(MID($A1516,J1516+J$2+1,K1516-J1516-J$2-1),",","."))</f>
        <v>0</v>
      </c>
      <c r="AD1516" s="3">
        <f>VALUE(SUBSTITUTE(MID($A1516,K1516+K$2+1,L1516-K1516-K$2-1),",","."))</f>
        <v>0</v>
      </c>
      <c r="AE1516" s="3">
        <f>VALUE(SUBSTITUTE(MID($A1516,L1516+L$2+1,M1516-L1516-L$2-1),",","."))</f>
        <v>0</v>
      </c>
      <c r="AF1516" s="3">
        <f>VALUE(SUBSTITUTE(MID($A1516,M1516+M$2+1,N1516-M1516-M$2-1),",","."))</f>
        <v>0</v>
      </c>
      <c r="AG1516" s="3">
        <f>VALUE(SUBSTITUTE(MID($A1516,N1516+N$2+1,O1516-N1516-N$2-1),",","."))</f>
        <v>4.2466113353458699</v>
      </c>
      <c r="AH1516" t="str">
        <f>MID($A1516,O1516+O$2+1,P1516-O1516-O$2-1)</f>
        <v/>
      </c>
      <c r="AI1516" s="8" t="str">
        <f>MID($A1516,P1516+P$2+1,Q1516-P1516-P$2-1)</f>
        <v>False</v>
      </c>
      <c r="AK1516" t="b">
        <f t="shared" si="200"/>
        <v>0</v>
      </c>
    </row>
    <row r="1517" spans="1:37" x14ac:dyDescent="0.35">
      <c r="A1517" t="s">
        <v>6064</v>
      </c>
      <c r="B1517">
        <f t="shared" si="203"/>
        <v>10</v>
      </c>
      <c r="C1517">
        <f t="shared" si="203"/>
        <v>43</v>
      </c>
      <c r="D1517">
        <f t="shared" si="203"/>
        <v>54</v>
      </c>
      <c r="E1517">
        <f t="shared" si="203"/>
        <v>97</v>
      </c>
      <c r="F1517">
        <f t="shared" si="203"/>
        <v>141</v>
      </c>
      <c r="G1517">
        <f t="shared" si="203"/>
        <v>179</v>
      </c>
      <c r="H1517">
        <f t="shared" si="203"/>
        <v>211</v>
      </c>
      <c r="I1517">
        <f t="shared" si="203"/>
        <v>233</v>
      </c>
      <c r="J1517">
        <f t="shared" si="203"/>
        <v>266</v>
      </c>
      <c r="K1517">
        <f t="shared" si="203"/>
        <v>283</v>
      </c>
      <c r="L1517">
        <f t="shared" si="203"/>
        <v>298</v>
      </c>
      <c r="M1517">
        <f t="shared" si="202"/>
        <v>313</v>
      </c>
      <c r="N1517">
        <f t="shared" si="202"/>
        <v>325</v>
      </c>
      <c r="O1517">
        <f t="shared" si="202"/>
        <v>349</v>
      </c>
      <c r="P1517">
        <f t="shared" si="202"/>
        <v>367</v>
      </c>
      <c r="Q1517">
        <f t="shared" si="202"/>
        <v>393</v>
      </c>
      <c r="S1517" t="str">
        <f t="shared" si="196"/>
        <v>12.12.2025</v>
      </c>
      <c r="T1517" t="str">
        <f t="shared" si="197"/>
        <v>13:45:00</v>
      </c>
      <c r="U1517" t="str">
        <f t="shared" si="199"/>
        <v>12.12.2025 13:45:00</v>
      </c>
      <c r="V1517" s="9" t="str">
        <f>MID($A1517,C1517+C$2+1,D1517-C1517-C$2-1)</f>
        <v>0</v>
      </c>
      <c r="W1517" s="4">
        <f>VALUE(SUBSTITUTE(MID($A1517,D1517+D$2+1,E1517-D1517-D$2-1),",","."))</f>
        <v>0.62932624345770405</v>
      </c>
      <c r="X1517" s="4">
        <f>VALUE(SUBSTITUTE(MID($A1517,E1517+E$2+1,F1517-E1517-E$2-1),",","."))</f>
        <v>0.90957602214449496</v>
      </c>
      <c r="Y1517" s="4">
        <f>VALUE(SUBSTITUTE(MID($A1517,F1517+F$2+1,G1517-F1517-F$2-1),",","."))</f>
        <v>0.284033444286586</v>
      </c>
      <c r="Z1517" s="3">
        <f>VALUE(SUBSTITUTE(MID($A1517,G1517+G$2+1,H1517-G1517-G$2-1),",","."))</f>
        <v>0</v>
      </c>
      <c r="AA1517" s="3">
        <f>VALUE(SUBSTITUTE(MID($A1517,H1517+H$2+1,I1517-H1517-H$2-1),",","."))</f>
        <v>0</v>
      </c>
      <c r="AB1517" s="3">
        <f>VALUE(SUBSTITUTE(MID($A1517,I1517+I$2+1,J1517-I1517-I$2-1),",","."))</f>
        <v>0</v>
      </c>
      <c r="AC1517" s="3">
        <f>VALUE(SUBSTITUTE(MID($A1517,J1517+J$2+1,K1517-J1517-J$2-1),",","."))</f>
        <v>0</v>
      </c>
      <c r="AD1517" s="3">
        <f>VALUE(SUBSTITUTE(MID($A1517,K1517+K$2+1,L1517-K1517-K$2-1),",","."))</f>
        <v>0</v>
      </c>
      <c r="AE1517" s="3">
        <f>VALUE(SUBSTITUTE(MID($A1517,L1517+L$2+1,M1517-L1517-L$2-1),",","."))</f>
        <v>0</v>
      </c>
      <c r="AF1517" s="3">
        <f>VALUE(SUBSTITUTE(MID($A1517,M1517+M$2+1,N1517-M1517-M$2-1),",","."))</f>
        <v>0</v>
      </c>
      <c r="AG1517" s="3">
        <f>VALUE(SUBSTITUTE(MID($A1517,N1517+N$2+1,O1517-N1517-N$2-1),",","."))</f>
        <v>4.2466398552339601</v>
      </c>
      <c r="AH1517" t="str">
        <f>MID($A1517,O1517+O$2+1,P1517-O1517-O$2-1)</f>
        <v/>
      </c>
      <c r="AI1517" s="8" t="str">
        <f>MID($A1517,P1517+P$2+1,Q1517-P1517-P$2-1)</f>
        <v>False</v>
      </c>
      <c r="AK1517" t="b">
        <f t="shared" si="200"/>
        <v>0</v>
      </c>
    </row>
    <row r="1518" spans="1:37" x14ac:dyDescent="0.35">
      <c r="A1518" t="s">
        <v>6065</v>
      </c>
      <c r="B1518">
        <f t="shared" si="203"/>
        <v>10</v>
      </c>
      <c r="C1518">
        <f t="shared" si="203"/>
        <v>43</v>
      </c>
      <c r="D1518">
        <f t="shared" si="203"/>
        <v>54</v>
      </c>
      <c r="E1518">
        <f t="shared" si="203"/>
        <v>97</v>
      </c>
      <c r="F1518">
        <f t="shared" si="203"/>
        <v>141</v>
      </c>
      <c r="G1518">
        <f t="shared" si="203"/>
        <v>180</v>
      </c>
      <c r="H1518">
        <f t="shared" si="203"/>
        <v>212</v>
      </c>
      <c r="I1518">
        <f t="shared" si="203"/>
        <v>234</v>
      </c>
      <c r="J1518">
        <f t="shared" si="203"/>
        <v>267</v>
      </c>
      <c r="K1518">
        <f t="shared" si="203"/>
        <v>284</v>
      </c>
      <c r="L1518">
        <f t="shared" si="203"/>
        <v>299</v>
      </c>
      <c r="M1518">
        <f t="shared" si="202"/>
        <v>314</v>
      </c>
      <c r="N1518">
        <f t="shared" si="202"/>
        <v>326</v>
      </c>
      <c r="O1518">
        <f t="shared" si="202"/>
        <v>352</v>
      </c>
      <c r="P1518">
        <f t="shared" si="202"/>
        <v>370</v>
      </c>
      <c r="Q1518">
        <f t="shared" si="202"/>
        <v>396</v>
      </c>
      <c r="S1518" t="str">
        <f t="shared" si="196"/>
        <v>12.12.2025</v>
      </c>
      <c r="T1518" t="str">
        <f t="shared" si="197"/>
        <v>14:00:00</v>
      </c>
      <c r="U1518" t="str">
        <f t="shared" si="199"/>
        <v>12.12.2025 14:00:00</v>
      </c>
      <c r="V1518" s="9" t="str">
        <f>MID($A1518,C1518+C$2+1,D1518-C1518-C$2-1)</f>
        <v>0</v>
      </c>
      <c r="W1518" s="4">
        <f>VALUE(SUBSTITUTE(MID($A1518,D1518+D$2+1,E1518-D1518-D$2-1),",","."))</f>
        <v>0.59360139357851205</v>
      </c>
      <c r="X1518" s="4">
        <f>VALUE(SUBSTITUTE(MID($A1518,E1518+E$2+1,F1518-E1518-E$2-1),",","."))</f>
        <v>0.90957602214449496</v>
      </c>
      <c r="Y1518" s="4">
        <f>VALUE(SUBSTITUTE(MID($A1518,F1518+F$2+1,G1518-F1518-F$2-1),",","."))</f>
        <v>0.266645068789017</v>
      </c>
      <c r="Z1518" s="3">
        <f>VALUE(SUBSTITUTE(MID($A1518,G1518+G$2+1,H1518-G1518-G$2-1),",","."))</f>
        <v>0</v>
      </c>
      <c r="AA1518" s="3">
        <f>VALUE(SUBSTITUTE(MID($A1518,H1518+H$2+1,I1518-H1518-H$2-1),",","."))</f>
        <v>0</v>
      </c>
      <c r="AB1518" s="3">
        <f>VALUE(SUBSTITUTE(MID($A1518,I1518+I$2+1,J1518-I1518-I$2-1),",","."))</f>
        <v>0</v>
      </c>
      <c r="AC1518" s="3">
        <f>VALUE(SUBSTITUTE(MID($A1518,J1518+J$2+1,K1518-J1518-J$2-1),",","."))</f>
        <v>0</v>
      </c>
      <c r="AD1518" s="3">
        <f>VALUE(SUBSTITUTE(MID($A1518,K1518+K$2+1,L1518-K1518-K$2-1),",","."))</f>
        <v>0</v>
      </c>
      <c r="AE1518" s="3">
        <f>VALUE(SUBSTITUTE(MID($A1518,L1518+L$2+1,M1518-L1518-L$2-1),",","."))</f>
        <v>0</v>
      </c>
      <c r="AF1518" s="3">
        <f>VALUE(SUBSTITUTE(MID($A1518,M1518+M$2+1,N1518-M1518-M$2-1),",","."))</f>
        <v>0</v>
      </c>
      <c r="AG1518" s="3">
        <f>VALUE(SUBSTITUTE(MID($A1518,N1518+N$2+1,O1518-N1518-N$2-1),",","."))</f>
        <v>4.2466683751220398</v>
      </c>
      <c r="AH1518" t="str">
        <f>MID($A1518,O1518+O$2+1,P1518-O1518-O$2-1)</f>
        <v/>
      </c>
      <c r="AI1518" s="8" t="str">
        <f>MID($A1518,P1518+P$2+1,Q1518-P1518-P$2-1)</f>
        <v>False</v>
      </c>
      <c r="AK1518" t="b">
        <f t="shared" si="200"/>
        <v>0</v>
      </c>
    </row>
    <row r="1519" spans="1:37" x14ac:dyDescent="0.35">
      <c r="A1519" t="s">
        <v>6066</v>
      </c>
      <c r="B1519">
        <f t="shared" si="203"/>
        <v>10</v>
      </c>
      <c r="C1519">
        <f t="shared" si="203"/>
        <v>43</v>
      </c>
      <c r="D1519">
        <f t="shared" si="203"/>
        <v>54</v>
      </c>
      <c r="E1519">
        <f t="shared" si="203"/>
        <v>97</v>
      </c>
      <c r="F1519">
        <f t="shared" si="203"/>
        <v>141</v>
      </c>
      <c r="G1519">
        <f t="shared" si="203"/>
        <v>180</v>
      </c>
      <c r="H1519">
        <f t="shared" si="203"/>
        <v>212</v>
      </c>
      <c r="I1519">
        <f t="shared" si="203"/>
        <v>234</v>
      </c>
      <c r="J1519">
        <f t="shared" si="203"/>
        <v>267</v>
      </c>
      <c r="K1519">
        <f t="shared" si="203"/>
        <v>284</v>
      </c>
      <c r="L1519">
        <f t="shared" si="203"/>
        <v>299</v>
      </c>
      <c r="M1519">
        <f t="shared" si="202"/>
        <v>314</v>
      </c>
      <c r="N1519">
        <f t="shared" si="202"/>
        <v>326</v>
      </c>
      <c r="O1519">
        <f t="shared" si="202"/>
        <v>351</v>
      </c>
      <c r="P1519">
        <f t="shared" si="202"/>
        <v>369</v>
      </c>
      <c r="Q1519">
        <f t="shared" si="202"/>
        <v>395</v>
      </c>
      <c r="S1519" t="str">
        <f t="shared" si="196"/>
        <v>12.12.2025</v>
      </c>
      <c r="T1519" t="str">
        <f t="shared" si="197"/>
        <v>14:15:00</v>
      </c>
      <c r="U1519" t="str">
        <f t="shared" si="199"/>
        <v>12.12.2025 14:15:00</v>
      </c>
      <c r="V1519" s="9" t="str">
        <f>MID($A1519,C1519+C$2+1,D1519-C1519-C$2-1)</f>
        <v>0</v>
      </c>
      <c r="W1519" s="4">
        <f>VALUE(SUBSTITUTE(MID($A1519,D1519+D$2+1,E1519-D1519-D$2-1),",","."))</f>
        <v>0.554951960662178</v>
      </c>
      <c r="X1519" s="4">
        <f>VALUE(SUBSTITUTE(MID($A1519,E1519+E$2+1,F1519-E1519-E$2-1),",","."))</f>
        <v>0.90957602214449496</v>
      </c>
      <c r="Y1519" s="4">
        <f>VALUE(SUBSTITUTE(MID($A1519,F1519+F$2+1,G1519-F1519-F$2-1),",","."))</f>
        <v>0.246904105684601</v>
      </c>
      <c r="Z1519" s="3">
        <f>VALUE(SUBSTITUTE(MID($A1519,G1519+G$2+1,H1519-G1519-G$2-1),",","."))</f>
        <v>0</v>
      </c>
      <c r="AA1519" s="3">
        <f>VALUE(SUBSTITUTE(MID($A1519,H1519+H$2+1,I1519-H1519-H$2-1),",","."))</f>
        <v>0</v>
      </c>
      <c r="AB1519" s="3">
        <f>VALUE(SUBSTITUTE(MID($A1519,I1519+I$2+1,J1519-I1519-I$2-1),",","."))</f>
        <v>0</v>
      </c>
      <c r="AC1519" s="3">
        <f>VALUE(SUBSTITUTE(MID($A1519,J1519+J$2+1,K1519-J1519-J$2-1),",","."))</f>
        <v>0</v>
      </c>
      <c r="AD1519" s="3">
        <f>VALUE(SUBSTITUTE(MID($A1519,K1519+K$2+1,L1519-K1519-K$2-1),",","."))</f>
        <v>0</v>
      </c>
      <c r="AE1519" s="3">
        <f>VALUE(SUBSTITUTE(MID($A1519,L1519+L$2+1,M1519-L1519-L$2-1),",","."))</f>
        <v>0</v>
      </c>
      <c r="AF1519" s="3">
        <f>VALUE(SUBSTITUTE(MID($A1519,M1519+M$2+1,N1519-M1519-M$2-1),",","."))</f>
        <v>0</v>
      </c>
      <c r="AG1519" s="3">
        <f>VALUE(SUBSTITUTE(MID($A1519,N1519+N$2+1,O1519-N1519-N$2-1),",","."))</f>
        <v>4.2466968950101203</v>
      </c>
      <c r="AH1519" t="str">
        <f>MID($A1519,O1519+O$2+1,P1519-O1519-O$2-1)</f>
        <v/>
      </c>
      <c r="AI1519" s="8" t="str">
        <f>MID($A1519,P1519+P$2+1,Q1519-P1519-P$2-1)</f>
        <v>False</v>
      </c>
      <c r="AK1519" t="b">
        <f t="shared" si="200"/>
        <v>0</v>
      </c>
    </row>
    <row r="1520" spans="1:37" x14ac:dyDescent="0.35">
      <c r="A1520" t="s">
        <v>6067</v>
      </c>
      <c r="B1520">
        <f t="shared" si="203"/>
        <v>10</v>
      </c>
      <c r="C1520">
        <f t="shared" si="203"/>
        <v>43</v>
      </c>
      <c r="D1520">
        <f t="shared" si="203"/>
        <v>54</v>
      </c>
      <c r="E1520">
        <f t="shared" si="203"/>
        <v>97</v>
      </c>
      <c r="F1520">
        <f t="shared" si="203"/>
        <v>141</v>
      </c>
      <c r="G1520">
        <f t="shared" si="203"/>
        <v>180</v>
      </c>
      <c r="H1520">
        <f t="shared" si="203"/>
        <v>212</v>
      </c>
      <c r="I1520">
        <f t="shared" si="203"/>
        <v>234</v>
      </c>
      <c r="J1520">
        <f t="shared" si="203"/>
        <v>267</v>
      </c>
      <c r="K1520">
        <f t="shared" si="203"/>
        <v>284</v>
      </c>
      <c r="L1520">
        <f t="shared" si="203"/>
        <v>299</v>
      </c>
      <c r="M1520">
        <f t="shared" si="202"/>
        <v>314</v>
      </c>
      <c r="N1520">
        <f t="shared" si="202"/>
        <v>326</v>
      </c>
      <c r="O1520">
        <f t="shared" si="202"/>
        <v>351</v>
      </c>
      <c r="P1520">
        <f t="shared" si="202"/>
        <v>369</v>
      </c>
      <c r="Q1520">
        <f t="shared" si="202"/>
        <v>395</v>
      </c>
      <c r="S1520" t="str">
        <f t="shared" si="196"/>
        <v>12.12.2025</v>
      </c>
      <c r="T1520" t="str">
        <f t="shared" si="197"/>
        <v>14:30:00</v>
      </c>
      <c r="U1520" t="str">
        <f t="shared" si="199"/>
        <v>12.12.2025 14:30:00</v>
      </c>
      <c r="V1520" s="9" t="str">
        <f>MID($A1520,C1520+C$2+1,D1520-C1520-C$2-1)</f>
        <v>0</v>
      </c>
      <c r="W1520" s="4">
        <f>VALUE(SUBSTITUTE(MID($A1520,D1520+D$2+1,E1520-D1520-D$2-1),",","."))</f>
        <v>0.51354888129111698</v>
      </c>
      <c r="X1520" s="4">
        <f>VALUE(SUBSTITUTE(MID($A1520,E1520+E$2+1,F1520-E1520-E$2-1),",","."))</f>
        <v>0.90957602214449496</v>
      </c>
      <c r="Y1520" s="4">
        <f>VALUE(SUBSTITUTE(MID($A1520,F1520+F$2+1,G1520-F1520-F$2-1),",","."))</f>
        <v>0.224901734447879</v>
      </c>
      <c r="Z1520" s="3">
        <f>VALUE(SUBSTITUTE(MID($A1520,G1520+G$2+1,H1520-G1520-G$2-1),",","."))</f>
        <v>0</v>
      </c>
      <c r="AA1520" s="3">
        <f>VALUE(SUBSTITUTE(MID($A1520,H1520+H$2+1,I1520-H1520-H$2-1),",","."))</f>
        <v>0</v>
      </c>
      <c r="AB1520" s="3">
        <f>VALUE(SUBSTITUTE(MID($A1520,I1520+I$2+1,J1520-I1520-I$2-1),",","."))</f>
        <v>0</v>
      </c>
      <c r="AC1520" s="3">
        <f>VALUE(SUBSTITUTE(MID($A1520,J1520+J$2+1,K1520-J1520-J$2-1),",","."))</f>
        <v>0</v>
      </c>
      <c r="AD1520" s="3">
        <f>VALUE(SUBSTITUTE(MID($A1520,K1520+K$2+1,L1520-K1520-K$2-1),",","."))</f>
        <v>0</v>
      </c>
      <c r="AE1520" s="3">
        <f>VALUE(SUBSTITUTE(MID($A1520,L1520+L$2+1,M1520-L1520-L$2-1),",","."))</f>
        <v>0</v>
      </c>
      <c r="AF1520" s="3">
        <f>VALUE(SUBSTITUTE(MID($A1520,M1520+M$2+1,N1520-M1520-M$2-1),",","."))</f>
        <v>0</v>
      </c>
      <c r="AG1520" s="3">
        <f>VALUE(SUBSTITUTE(MID($A1520,N1520+N$2+1,O1520-N1520-N$2-1),",","."))</f>
        <v>4.2467254148981999</v>
      </c>
      <c r="AH1520" t="str">
        <f>MID($A1520,O1520+O$2+1,P1520-O1520-O$2-1)</f>
        <v/>
      </c>
      <c r="AI1520" s="8" t="str">
        <f>MID($A1520,P1520+P$2+1,Q1520-P1520-P$2-1)</f>
        <v>False</v>
      </c>
      <c r="AK1520" t="b">
        <f t="shared" si="200"/>
        <v>0</v>
      </c>
    </row>
    <row r="1521" spans="1:37" x14ac:dyDescent="0.35">
      <c r="A1521" t="s">
        <v>6068</v>
      </c>
      <c r="B1521">
        <f t="shared" si="203"/>
        <v>10</v>
      </c>
      <c r="C1521">
        <f t="shared" si="203"/>
        <v>43</v>
      </c>
      <c r="D1521">
        <f t="shared" si="203"/>
        <v>54</v>
      </c>
      <c r="E1521">
        <f t="shared" si="203"/>
        <v>98</v>
      </c>
      <c r="F1521">
        <f t="shared" si="203"/>
        <v>142</v>
      </c>
      <c r="G1521">
        <f t="shared" si="203"/>
        <v>181</v>
      </c>
      <c r="H1521">
        <f t="shared" si="203"/>
        <v>213</v>
      </c>
      <c r="I1521">
        <f t="shared" si="203"/>
        <v>235</v>
      </c>
      <c r="J1521">
        <f t="shared" si="203"/>
        <v>268</v>
      </c>
      <c r="K1521">
        <f t="shared" si="203"/>
        <v>285</v>
      </c>
      <c r="L1521">
        <f t="shared" si="203"/>
        <v>300</v>
      </c>
      <c r="M1521">
        <f t="shared" si="202"/>
        <v>315</v>
      </c>
      <c r="N1521">
        <f t="shared" si="202"/>
        <v>327</v>
      </c>
      <c r="O1521">
        <f t="shared" si="202"/>
        <v>352</v>
      </c>
      <c r="P1521">
        <f t="shared" si="202"/>
        <v>370</v>
      </c>
      <c r="Q1521">
        <f t="shared" si="202"/>
        <v>396</v>
      </c>
      <c r="S1521" t="str">
        <f t="shared" si="196"/>
        <v>12.12.2025</v>
      </c>
      <c r="T1521" t="str">
        <f t="shared" si="197"/>
        <v>14:45:00</v>
      </c>
      <c r="U1521" t="str">
        <f t="shared" si="199"/>
        <v>12.12.2025 14:45:00</v>
      </c>
      <c r="V1521" s="9" t="str">
        <f>MID($A1521,C1521+C$2+1,D1521-C1521-C$2-1)</f>
        <v>0</v>
      </c>
      <c r="W1521" s="4">
        <f>VALUE(SUBSTITUTE(MID($A1521,D1521+D$2+1,E1521-D1521-D$2-1),",","."))</f>
        <v>0.46957794308096401</v>
      </c>
      <c r="X1521" s="4">
        <f>VALUE(SUBSTITUTE(MID($A1521,E1521+E$2+1,F1521-E1521-E$2-1),",","."))</f>
        <v>0.90957602214449496</v>
      </c>
      <c r="Y1521" s="4">
        <f>VALUE(SUBSTITUTE(MID($A1521,F1521+F$2+1,G1521-F1521-F$2-1),",","."))</f>
        <v>0.20074253951262899</v>
      </c>
      <c r="Z1521" s="3">
        <f>VALUE(SUBSTITUTE(MID($A1521,G1521+G$2+1,H1521-G1521-G$2-1),",","."))</f>
        <v>0</v>
      </c>
      <c r="AA1521" s="3">
        <f>VALUE(SUBSTITUTE(MID($A1521,H1521+H$2+1,I1521-H1521-H$2-1),",","."))</f>
        <v>0</v>
      </c>
      <c r="AB1521" s="3">
        <f>VALUE(SUBSTITUTE(MID($A1521,I1521+I$2+1,J1521-I1521-I$2-1),",","."))</f>
        <v>0</v>
      </c>
      <c r="AC1521" s="3">
        <f>VALUE(SUBSTITUTE(MID($A1521,J1521+J$2+1,K1521-J1521-J$2-1),",","."))</f>
        <v>0</v>
      </c>
      <c r="AD1521" s="3">
        <f>VALUE(SUBSTITUTE(MID($A1521,K1521+K$2+1,L1521-K1521-K$2-1),",","."))</f>
        <v>0</v>
      </c>
      <c r="AE1521" s="3">
        <f>VALUE(SUBSTITUTE(MID($A1521,L1521+L$2+1,M1521-L1521-L$2-1),",","."))</f>
        <v>0</v>
      </c>
      <c r="AF1521" s="3">
        <f>VALUE(SUBSTITUTE(MID($A1521,M1521+M$2+1,N1521-M1521-M$2-1),",","."))</f>
        <v>0</v>
      </c>
      <c r="AG1521" s="3">
        <f>VALUE(SUBSTITUTE(MID($A1521,N1521+N$2+1,O1521-N1521-N$2-1),",","."))</f>
        <v>4.2467539347862804</v>
      </c>
      <c r="AH1521" t="str">
        <f>MID($A1521,O1521+O$2+1,P1521-O1521-O$2-1)</f>
        <v/>
      </c>
      <c r="AI1521" s="8" t="str">
        <f>MID($A1521,P1521+P$2+1,Q1521-P1521-P$2-1)</f>
        <v>False</v>
      </c>
      <c r="AK1521" t="b">
        <f t="shared" si="200"/>
        <v>0</v>
      </c>
    </row>
    <row r="1522" spans="1:37" x14ac:dyDescent="0.35">
      <c r="A1522" t="s">
        <v>6069</v>
      </c>
      <c r="B1522">
        <f t="shared" si="203"/>
        <v>10</v>
      </c>
      <c r="C1522">
        <f t="shared" si="203"/>
        <v>43</v>
      </c>
      <c r="D1522">
        <f t="shared" si="203"/>
        <v>54</v>
      </c>
      <c r="E1522">
        <f t="shared" si="203"/>
        <v>98</v>
      </c>
      <c r="F1522">
        <f t="shared" si="203"/>
        <v>142</v>
      </c>
      <c r="G1522">
        <f t="shared" si="203"/>
        <v>181</v>
      </c>
      <c r="H1522">
        <f t="shared" si="203"/>
        <v>213</v>
      </c>
      <c r="I1522">
        <f t="shared" si="203"/>
        <v>235</v>
      </c>
      <c r="J1522">
        <f t="shared" si="203"/>
        <v>268</v>
      </c>
      <c r="K1522">
        <f t="shared" si="203"/>
        <v>285</v>
      </c>
      <c r="L1522">
        <f t="shared" si="203"/>
        <v>300</v>
      </c>
      <c r="M1522">
        <f t="shared" si="202"/>
        <v>315</v>
      </c>
      <c r="N1522">
        <f t="shared" si="202"/>
        <v>327</v>
      </c>
      <c r="O1522">
        <f t="shared" si="202"/>
        <v>352</v>
      </c>
      <c r="P1522">
        <f t="shared" si="202"/>
        <v>370</v>
      </c>
      <c r="Q1522">
        <f t="shared" si="202"/>
        <v>396</v>
      </c>
      <c r="S1522" t="str">
        <f t="shared" si="196"/>
        <v>12.12.2025</v>
      </c>
      <c r="T1522" t="str">
        <f t="shared" si="197"/>
        <v>15:00:00</v>
      </c>
      <c r="U1522" t="str">
        <f t="shared" si="199"/>
        <v>12.12.2025 15:00:00</v>
      </c>
      <c r="V1522" s="9" t="str">
        <f>MID($A1522,C1522+C$2+1,D1522-C1522-C$2-1)</f>
        <v>0</v>
      </c>
      <c r="W1522" s="4">
        <f>VALUE(SUBSTITUTE(MID($A1522,D1522+D$2+1,E1522-D1522-D$2-1),",","."))</f>
        <v>0.42324135766823301</v>
      </c>
      <c r="X1522" s="4">
        <f>VALUE(SUBSTITUTE(MID($A1522,E1522+E$2+1,F1522-E1522-E$2-1),",","."))</f>
        <v>0.90957602214449496</v>
      </c>
      <c r="Y1522" s="4">
        <f>VALUE(SUBSTITUTE(MID($A1522,F1522+F$2+1,G1522-F1522-F$2-1),",","."))</f>
        <v>0.17454693850595601</v>
      </c>
      <c r="Z1522" s="3">
        <f>VALUE(SUBSTITUTE(MID($A1522,G1522+G$2+1,H1522-G1522-G$2-1),",","."))</f>
        <v>0</v>
      </c>
      <c r="AA1522" s="3">
        <f>VALUE(SUBSTITUTE(MID($A1522,H1522+H$2+1,I1522-H1522-H$2-1),",","."))</f>
        <v>0</v>
      </c>
      <c r="AB1522" s="3">
        <f>VALUE(SUBSTITUTE(MID($A1522,I1522+I$2+1,J1522-I1522-I$2-1),",","."))</f>
        <v>0</v>
      </c>
      <c r="AC1522" s="3">
        <f>VALUE(SUBSTITUTE(MID($A1522,J1522+J$2+1,K1522-J1522-J$2-1),",","."))</f>
        <v>0</v>
      </c>
      <c r="AD1522" s="3">
        <f>VALUE(SUBSTITUTE(MID($A1522,K1522+K$2+1,L1522-K1522-K$2-1),",","."))</f>
        <v>0</v>
      </c>
      <c r="AE1522" s="3">
        <f>VALUE(SUBSTITUTE(MID($A1522,L1522+L$2+1,M1522-L1522-L$2-1),",","."))</f>
        <v>0</v>
      </c>
      <c r="AF1522" s="3">
        <f>VALUE(SUBSTITUTE(MID($A1522,M1522+M$2+1,N1522-M1522-M$2-1),",","."))</f>
        <v>0</v>
      </c>
      <c r="AG1522" s="3">
        <f>VALUE(SUBSTITUTE(MID($A1522,N1522+N$2+1,O1522-N1522-N$2-1),",","."))</f>
        <v>4.24678245467436</v>
      </c>
      <c r="AH1522" t="str">
        <f>MID($A1522,O1522+O$2+1,P1522-O1522-O$2-1)</f>
        <v/>
      </c>
      <c r="AI1522" s="8" t="str">
        <f>MID($A1522,P1522+P$2+1,Q1522-P1522-P$2-1)</f>
        <v>False</v>
      </c>
      <c r="AK1522" t="b">
        <f t="shared" si="200"/>
        <v>0</v>
      </c>
    </row>
    <row r="1523" spans="1:37" x14ac:dyDescent="0.35">
      <c r="A1523" t="s">
        <v>6070</v>
      </c>
      <c r="B1523">
        <f t="shared" si="203"/>
        <v>10</v>
      </c>
      <c r="C1523">
        <f t="shared" si="203"/>
        <v>43</v>
      </c>
      <c r="D1523">
        <f t="shared" si="203"/>
        <v>54</v>
      </c>
      <c r="E1523">
        <f t="shared" si="203"/>
        <v>98</v>
      </c>
      <c r="F1523">
        <f t="shared" si="203"/>
        <v>142</v>
      </c>
      <c r="G1523">
        <f t="shared" si="203"/>
        <v>180</v>
      </c>
      <c r="H1523">
        <f t="shared" si="203"/>
        <v>212</v>
      </c>
      <c r="I1523">
        <f t="shared" si="203"/>
        <v>234</v>
      </c>
      <c r="J1523">
        <f t="shared" si="203"/>
        <v>267</v>
      </c>
      <c r="K1523">
        <f t="shared" si="203"/>
        <v>284</v>
      </c>
      <c r="L1523">
        <f t="shared" si="203"/>
        <v>299</v>
      </c>
      <c r="M1523">
        <f t="shared" si="202"/>
        <v>314</v>
      </c>
      <c r="N1523">
        <f t="shared" si="202"/>
        <v>326</v>
      </c>
      <c r="O1523">
        <f t="shared" si="202"/>
        <v>350</v>
      </c>
      <c r="P1523">
        <f t="shared" si="202"/>
        <v>368</v>
      </c>
      <c r="Q1523">
        <f t="shared" si="202"/>
        <v>394</v>
      </c>
      <c r="S1523" t="str">
        <f t="shared" si="196"/>
        <v>12.12.2025</v>
      </c>
      <c r="T1523" t="str">
        <f t="shared" si="197"/>
        <v>15:15:00</v>
      </c>
      <c r="U1523" t="str">
        <f t="shared" si="199"/>
        <v>12.12.2025 15:15:00</v>
      </c>
      <c r="V1523" s="9" t="str">
        <f>MID($A1523,C1523+C$2+1,D1523-C1523-C$2-1)</f>
        <v>0</v>
      </c>
      <c r="W1523" s="4">
        <f>VALUE(SUBSTITUTE(MID($A1523,D1523+D$2+1,E1523-D1523-D$2-1),",","."))</f>
        <v>0.37476183567135901</v>
      </c>
      <c r="X1523" s="4">
        <f>VALUE(SUBSTITUTE(MID($A1523,E1523+E$2+1,F1523-E1523-E$2-1),",","."))</f>
        <v>0.90957602214449496</v>
      </c>
      <c r="Y1523" s="4">
        <f>VALUE(SUBSTITUTE(MID($A1523,F1523+F$2+1,G1523-F1523-F$2-1),",","."))</f>
        <v>0.14645666529732099</v>
      </c>
      <c r="Z1523" s="3">
        <f>VALUE(SUBSTITUTE(MID($A1523,G1523+G$2+1,H1523-G1523-G$2-1),",","."))</f>
        <v>0</v>
      </c>
      <c r="AA1523" s="3">
        <f>VALUE(SUBSTITUTE(MID($A1523,H1523+H$2+1,I1523-H1523-H$2-1),",","."))</f>
        <v>0</v>
      </c>
      <c r="AB1523" s="3">
        <f>VALUE(SUBSTITUTE(MID($A1523,I1523+I$2+1,J1523-I1523-I$2-1),",","."))</f>
        <v>0</v>
      </c>
      <c r="AC1523" s="3">
        <f>VALUE(SUBSTITUTE(MID($A1523,J1523+J$2+1,K1523-J1523-J$2-1),",","."))</f>
        <v>0</v>
      </c>
      <c r="AD1523" s="3">
        <f>VALUE(SUBSTITUTE(MID($A1523,K1523+K$2+1,L1523-K1523-K$2-1),",","."))</f>
        <v>0</v>
      </c>
      <c r="AE1523" s="3">
        <f>VALUE(SUBSTITUTE(MID($A1523,L1523+L$2+1,M1523-L1523-L$2-1),",","."))</f>
        <v>0</v>
      </c>
      <c r="AF1523" s="3">
        <f>VALUE(SUBSTITUTE(MID($A1523,M1523+M$2+1,N1523-M1523-M$2-1),",","."))</f>
        <v>0</v>
      </c>
      <c r="AG1523" s="3">
        <f>VALUE(SUBSTITUTE(MID($A1523,N1523+N$2+1,O1523-N1523-N$2-1),",","."))</f>
        <v>4.2468109745624503</v>
      </c>
      <c r="AH1523" t="str">
        <f>MID($A1523,O1523+O$2+1,P1523-O1523-O$2-1)</f>
        <v/>
      </c>
      <c r="AI1523" s="8" t="str">
        <f>MID($A1523,P1523+P$2+1,Q1523-P1523-P$2-1)</f>
        <v>False</v>
      </c>
      <c r="AK1523" t="b">
        <f t="shared" si="200"/>
        <v>0</v>
      </c>
    </row>
    <row r="1524" spans="1:37" x14ac:dyDescent="0.35">
      <c r="A1524" t="s">
        <v>6071</v>
      </c>
      <c r="B1524">
        <f t="shared" si="203"/>
        <v>10</v>
      </c>
      <c r="C1524">
        <f t="shared" si="203"/>
        <v>43</v>
      </c>
      <c r="D1524">
        <f t="shared" si="203"/>
        <v>54</v>
      </c>
      <c r="E1524">
        <f t="shared" si="203"/>
        <v>98</v>
      </c>
      <c r="F1524">
        <f t="shared" si="203"/>
        <v>142</v>
      </c>
      <c r="G1524">
        <f t="shared" si="203"/>
        <v>181</v>
      </c>
      <c r="H1524">
        <f t="shared" si="203"/>
        <v>213</v>
      </c>
      <c r="I1524">
        <f t="shared" si="203"/>
        <v>235</v>
      </c>
      <c r="J1524">
        <f t="shared" si="203"/>
        <v>268</v>
      </c>
      <c r="K1524">
        <f t="shared" si="203"/>
        <v>285</v>
      </c>
      <c r="L1524">
        <f t="shared" si="203"/>
        <v>300</v>
      </c>
      <c r="M1524">
        <f t="shared" si="202"/>
        <v>315</v>
      </c>
      <c r="N1524">
        <f t="shared" si="202"/>
        <v>327</v>
      </c>
      <c r="O1524">
        <f t="shared" si="202"/>
        <v>352</v>
      </c>
      <c r="P1524">
        <f t="shared" si="202"/>
        <v>370</v>
      </c>
      <c r="Q1524">
        <f t="shared" si="202"/>
        <v>396</v>
      </c>
      <c r="S1524" t="str">
        <f t="shared" si="196"/>
        <v>12.12.2025</v>
      </c>
      <c r="T1524" t="str">
        <f t="shared" si="197"/>
        <v>15:30:00</v>
      </c>
      <c r="U1524" t="str">
        <f t="shared" si="199"/>
        <v>12.12.2025 15:30:00</v>
      </c>
      <c r="V1524" s="9" t="str">
        <f>MID($A1524,C1524+C$2+1,D1524-C1524-C$2-1)</f>
        <v>0</v>
      </c>
      <c r="W1524" s="4">
        <f>VALUE(SUBSTITUTE(MID($A1524,D1524+D$2+1,E1524-D1524-D$2-1),",","."))</f>
        <v>0.32439298457187798</v>
      </c>
      <c r="X1524" s="4">
        <f>VALUE(SUBSTITUTE(MID($A1524,E1524+E$2+1,F1524-E1524-E$2-1),",","."))</f>
        <v>0.90957602214449496</v>
      </c>
      <c r="Y1524" s="4">
        <f>VALUE(SUBSTITUTE(MID($A1524,F1524+F$2+1,G1524-F1524-F$2-1),",","."))</f>
        <v>0.116647942245833</v>
      </c>
      <c r="Z1524" s="3">
        <f>VALUE(SUBSTITUTE(MID($A1524,G1524+G$2+1,H1524-G1524-G$2-1),",","."))</f>
        <v>0</v>
      </c>
      <c r="AA1524" s="3">
        <f>VALUE(SUBSTITUTE(MID($A1524,H1524+H$2+1,I1524-H1524-H$2-1),",","."))</f>
        <v>0</v>
      </c>
      <c r="AB1524" s="3">
        <f>VALUE(SUBSTITUTE(MID($A1524,I1524+I$2+1,J1524-I1524-I$2-1),",","."))</f>
        <v>0</v>
      </c>
      <c r="AC1524" s="3">
        <f>VALUE(SUBSTITUTE(MID($A1524,J1524+J$2+1,K1524-J1524-J$2-1),",","."))</f>
        <v>0</v>
      </c>
      <c r="AD1524" s="3">
        <f>VALUE(SUBSTITUTE(MID($A1524,K1524+K$2+1,L1524-K1524-K$2-1),",","."))</f>
        <v>0</v>
      </c>
      <c r="AE1524" s="3">
        <f>VALUE(SUBSTITUTE(MID($A1524,L1524+L$2+1,M1524-L1524-L$2-1),",","."))</f>
        <v>0</v>
      </c>
      <c r="AF1524" s="3">
        <f>VALUE(SUBSTITUTE(MID($A1524,M1524+M$2+1,N1524-M1524-M$2-1),",","."))</f>
        <v>0</v>
      </c>
      <c r="AG1524" s="3">
        <f>VALUE(SUBSTITUTE(MID($A1524,N1524+N$2+1,O1524-N1524-N$2-1),",","."))</f>
        <v>4.2468394944505299</v>
      </c>
      <c r="AH1524" t="str">
        <f>MID($A1524,O1524+O$2+1,P1524-O1524-O$2-1)</f>
        <v/>
      </c>
      <c r="AI1524" s="8" t="str">
        <f>MID($A1524,P1524+P$2+1,Q1524-P1524-P$2-1)</f>
        <v>False</v>
      </c>
      <c r="AK1524" t="b">
        <f t="shared" si="200"/>
        <v>0</v>
      </c>
    </row>
    <row r="1525" spans="1:37" x14ac:dyDescent="0.35">
      <c r="A1525" t="s">
        <v>6072</v>
      </c>
      <c r="B1525">
        <f t="shared" si="203"/>
        <v>10</v>
      </c>
      <c r="C1525">
        <f t="shared" si="203"/>
        <v>43</v>
      </c>
      <c r="D1525">
        <f t="shared" si="203"/>
        <v>54</v>
      </c>
      <c r="E1525">
        <f t="shared" si="203"/>
        <v>80</v>
      </c>
      <c r="F1525">
        <f t="shared" si="203"/>
        <v>124</v>
      </c>
      <c r="G1525">
        <f t="shared" si="203"/>
        <v>163</v>
      </c>
      <c r="H1525">
        <f t="shared" si="203"/>
        <v>195</v>
      </c>
      <c r="I1525">
        <f t="shared" si="203"/>
        <v>217</v>
      </c>
      <c r="J1525">
        <f t="shared" si="203"/>
        <v>250</v>
      </c>
      <c r="K1525">
        <f t="shared" si="203"/>
        <v>267</v>
      </c>
      <c r="L1525">
        <f t="shared" si="203"/>
        <v>282</v>
      </c>
      <c r="M1525">
        <f t="shared" si="202"/>
        <v>297</v>
      </c>
      <c r="N1525">
        <f t="shared" si="202"/>
        <v>309</v>
      </c>
      <c r="O1525">
        <f t="shared" si="202"/>
        <v>334</v>
      </c>
      <c r="P1525">
        <f t="shared" si="202"/>
        <v>352</v>
      </c>
      <c r="Q1525">
        <f t="shared" si="202"/>
        <v>378</v>
      </c>
      <c r="S1525" t="str">
        <f t="shared" si="196"/>
        <v>12.12.2025</v>
      </c>
      <c r="T1525" t="str">
        <f t="shared" si="197"/>
        <v>15:45:00</v>
      </c>
      <c r="U1525" t="str">
        <f t="shared" si="199"/>
        <v>12.12.2025 15:45:00</v>
      </c>
      <c r="V1525" s="9" t="str">
        <f>MID($A1525,C1525+C$2+1,D1525-C1525-C$2-1)</f>
        <v>0</v>
      </c>
      <c r="W1525" s="4">
        <f>VALUE(SUBSTITUTE(MID($A1525,D1525+D$2+1,E1525-D1525-D$2-1),",","."))</f>
        <v>0</v>
      </c>
      <c r="X1525" s="4">
        <f>VALUE(SUBSTITUTE(MID($A1525,E1525+E$2+1,F1525-E1525-E$2-1),",","."))</f>
        <v>0.90957602214449496</v>
      </c>
      <c r="Y1525" s="4">
        <f>VALUE(SUBSTITUTE(MID($A1525,F1525+F$2+1,G1525-F1525-F$2-1),",","."))</f>
        <v>8.5366465526905105E-2</v>
      </c>
      <c r="Z1525" s="3">
        <f>VALUE(SUBSTITUTE(MID($A1525,G1525+G$2+1,H1525-G1525-G$2-1),",","."))</f>
        <v>0</v>
      </c>
      <c r="AA1525" s="3">
        <f>VALUE(SUBSTITUTE(MID($A1525,H1525+H$2+1,I1525-H1525-H$2-1),",","."))</f>
        <v>0</v>
      </c>
      <c r="AB1525" s="3">
        <f>VALUE(SUBSTITUTE(MID($A1525,I1525+I$2+1,J1525-I1525-I$2-1),",","."))</f>
        <v>0</v>
      </c>
      <c r="AC1525" s="3">
        <f>VALUE(SUBSTITUTE(MID($A1525,J1525+J$2+1,K1525-J1525-J$2-1),",","."))</f>
        <v>0</v>
      </c>
      <c r="AD1525" s="3">
        <f>VALUE(SUBSTITUTE(MID($A1525,K1525+K$2+1,L1525-K1525-K$2-1),",","."))</f>
        <v>0</v>
      </c>
      <c r="AE1525" s="3">
        <f>VALUE(SUBSTITUTE(MID($A1525,L1525+L$2+1,M1525-L1525-L$2-1),",","."))</f>
        <v>0</v>
      </c>
      <c r="AF1525" s="3">
        <f>VALUE(SUBSTITUTE(MID($A1525,M1525+M$2+1,N1525-M1525-M$2-1),",","."))</f>
        <v>0</v>
      </c>
      <c r="AG1525" s="3">
        <f>VALUE(SUBSTITUTE(MID($A1525,N1525+N$2+1,O1525-N1525-N$2-1),",","."))</f>
        <v>4.2468680143386104</v>
      </c>
      <c r="AH1525" t="str">
        <f>MID($A1525,O1525+O$2+1,P1525-O1525-O$2-1)</f>
        <v/>
      </c>
      <c r="AI1525" s="8" t="str">
        <f>MID($A1525,P1525+P$2+1,Q1525-P1525-P$2-1)</f>
        <v>False</v>
      </c>
      <c r="AK1525" t="b">
        <f t="shared" si="200"/>
        <v>0</v>
      </c>
    </row>
    <row r="1526" spans="1:37" x14ac:dyDescent="0.35">
      <c r="A1526" t="s">
        <v>6073</v>
      </c>
      <c r="B1526">
        <f t="shared" si="203"/>
        <v>10</v>
      </c>
      <c r="C1526">
        <f t="shared" si="203"/>
        <v>43</v>
      </c>
      <c r="D1526">
        <f t="shared" si="203"/>
        <v>54</v>
      </c>
      <c r="E1526">
        <f t="shared" si="203"/>
        <v>80</v>
      </c>
      <c r="F1526">
        <f t="shared" si="203"/>
        <v>124</v>
      </c>
      <c r="G1526">
        <f t="shared" si="203"/>
        <v>164</v>
      </c>
      <c r="H1526">
        <f t="shared" si="203"/>
        <v>196</v>
      </c>
      <c r="I1526">
        <f t="shared" si="203"/>
        <v>218</v>
      </c>
      <c r="J1526">
        <f t="shared" si="203"/>
        <v>251</v>
      </c>
      <c r="K1526">
        <f t="shared" si="203"/>
        <v>268</v>
      </c>
      <c r="L1526">
        <f t="shared" si="203"/>
        <v>283</v>
      </c>
      <c r="M1526">
        <f t="shared" si="202"/>
        <v>298</v>
      </c>
      <c r="N1526">
        <f t="shared" si="202"/>
        <v>310</v>
      </c>
      <c r="O1526">
        <f t="shared" si="202"/>
        <v>335</v>
      </c>
      <c r="P1526">
        <f t="shared" si="202"/>
        <v>353</v>
      </c>
      <c r="Q1526">
        <f t="shared" si="202"/>
        <v>379</v>
      </c>
      <c r="S1526" t="str">
        <f t="shared" si="196"/>
        <v>12.12.2025</v>
      </c>
      <c r="T1526" t="str">
        <f t="shared" si="197"/>
        <v>16:00:00</v>
      </c>
      <c r="U1526" t="str">
        <f t="shared" si="199"/>
        <v>12.12.2025 16:00:00</v>
      </c>
      <c r="V1526" s="9" t="str">
        <f>MID($A1526,C1526+C$2+1,D1526-C1526-C$2-1)</f>
        <v>0</v>
      </c>
      <c r="W1526" s="4">
        <f>VALUE(SUBSTITUTE(MID($A1526,D1526+D$2+1,E1526-D1526-D$2-1),",","."))</f>
        <v>0</v>
      </c>
      <c r="X1526" s="4">
        <f>VALUE(SUBSTITUTE(MID($A1526,E1526+E$2+1,F1526-E1526-E$2-1),",","."))</f>
        <v>0.90957602214449496</v>
      </c>
      <c r="Y1526" s="4">
        <f>VALUE(SUBSTITUTE(MID($A1526,F1526+F$2+1,G1526-F1526-F$2-1),",","."))</f>
        <v>5.3033728513293701E-2</v>
      </c>
      <c r="Z1526" s="3">
        <f>VALUE(SUBSTITUTE(MID($A1526,G1526+G$2+1,H1526-G1526-G$2-1),",","."))</f>
        <v>0</v>
      </c>
      <c r="AA1526" s="3">
        <f>VALUE(SUBSTITUTE(MID($A1526,H1526+H$2+1,I1526-H1526-H$2-1),",","."))</f>
        <v>0</v>
      </c>
      <c r="AB1526" s="3">
        <f>VALUE(SUBSTITUTE(MID($A1526,I1526+I$2+1,J1526-I1526-I$2-1),",","."))</f>
        <v>0</v>
      </c>
      <c r="AC1526" s="3">
        <f>VALUE(SUBSTITUTE(MID($A1526,J1526+J$2+1,K1526-J1526-J$2-1),",","."))</f>
        <v>0</v>
      </c>
      <c r="AD1526" s="3">
        <f>VALUE(SUBSTITUTE(MID($A1526,K1526+K$2+1,L1526-K1526-K$2-1),",","."))</f>
        <v>0</v>
      </c>
      <c r="AE1526" s="3">
        <f>VALUE(SUBSTITUTE(MID($A1526,L1526+L$2+1,M1526-L1526-L$2-1),",","."))</f>
        <v>0</v>
      </c>
      <c r="AF1526" s="3">
        <f>VALUE(SUBSTITUTE(MID($A1526,M1526+M$2+1,N1526-M1526-M$2-1),",","."))</f>
        <v>0</v>
      </c>
      <c r="AG1526" s="3">
        <f>VALUE(SUBSTITUTE(MID($A1526,N1526+N$2+1,O1526-N1526-N$2-1),",","."))</f>
        <v>4.24689653422669</v>
      </c>
      <c r="AH1526" t="str">
        <f>MID($A1526,O1526+O$2+1,P1526-O1526-O$2-1)</f>
        <v/>
      </c>
      <c r="AI1526" s="8" t="str">
        <f>MID($A1526,P1526+P$2+1,Q1526-P1526-P$2-1)</f>
        <v>False</v>
      </c>
      <c r="AK1526" t="b">
        <f t="shared" si="200"/>
        <v>0</v>
      </c>
    </row>
    <row r="1527" spans="1:37" x14ac:dyDescent="0.35">
      <c r="A1527" t="s">
        <v>6074</v>
      </c>
      <c r="B1527">
        <f t="shared" si="203"/>
        <v>10</v>
      </c>
      <c r="C1527">
        <f t="shared" si="203"/>
        <v>43</v>
      </c>
      <c r="D1527">
        <f t="shared" si="203"/>
        <v>54</v>
      </c>
      <c r="E1527">
        <f t="shared" si="203"/>
        <v>80</v>
      </c>
      <c r="F1527">
        <f t="shared" si="203"/>
        <v>124</v>
      </c>
      <c r="G1527">
        <f t="shared" si="203"/>
        <v>164</v>
      </c>
      <c r="H1527">
        <f t="shared" si="203"/>
        <v>196</v>
      </c>
      <c r="I1527">
        <f t="shared" si="203"/>
        <v>218</v>
      </c>
      <c r="J1527">
        <f t="shared" si="203"/>
        <v>251</v>
      </c>
      <c r="K1527">
        <f t="shared" si="203"/>
        <v>268</v>
      </c>
      <c r="L1527">
        <f t="shared" si="203"/>
        <v>283</v>
      </c>
      <c r="M1527">
        <f t="shared" si="202"/>
        <v>298</v>
      </c>
      <c r="N1527">
        <f t="shared" si="202"/>
        <v>310</v>
      </c>
      <c r="O1527">
        <f t="shared" si="202"/>
        <v>335</v>
      </c>
      <c r="P1527">
        <f t="shared" si="202"/>
        <v>353</v>
      </c>
      <c r="Q1527">
        <f t="shared" si="202"/>
        <v>379</v>
      </c>
      <c r="S1527" t="str">
        <f t="shared" si="196"/>
        <v>12.12.2025</v>
      </c>
      <c r="T1527" t="str">
        <f t="shared" si="197"/>
        <v>16:15:00</v>
      </c>
      <c r="U1527" t="str">
        <f t="shared" si="199"/>
        <v>12.12.2025 16:15:00</v>
      </c>
      <c r="V1527" s="9" t="str">
        <f>MID($A1527,C1527+C$2+1,D1527-C1527-C$2-1)</f>
        <v>0</v>
      </c>
      <c r="W1527" s="4">
        <f>VALUE(SUBSTITUTE(MID($A1527,D1527+D$2+1,E1527-D1527-D$2-1),",","."))</f>
        <v>0</v>
      </c>
      <c r="X1527" s="4">
        <f>VALUE(SUBSTITUTE(MID($A1527,E1527+E$2+1,F1527-E1527-E$2-1),",","."))</f>
        <v>0.90957602214449496</v>
      </c>
      <c r="Y1527" s="4">
        <f>VALUE(SUBSTITUTE(MID($A1527,F1527+F$2+1,G1527-F1527-F$2-1),",","."))</f>
        <v>2.0605794697694399E-2</v>
      </c>
      <c r="Z1527" s="3">
        <f>VALUE(SUBSTITUTE(MID($A1527,G1527+G$2+1,H1527-G1527-G$2-1),",","."))</f>
        <v>0</v>
      </c>
      <c r="AA1527" s="3">
        <f>VALUE(SUBSTITUTE(MID($A1527,H1527+H$2+1,I1527-H1527-H$2-1),",","."))</f>
        <v>0</v>
      </c>
      <c r="AB1527" s="3">
        <f>VALUE(SUBSTITUTE(MID($A1527,I1527+I$2+1,J1527-I1527-I$2-1),",","."))</f>
        <v>0</v>
      </c>
      <c r="AC1527" s="3">
        <f>VALUE(SUBSTITUTE(MID($A1527,J1527+J$2+1,K1527-J1527-J$2-1),",","."))</f>
        <v>0</v>
      </c>
      <c r="AD1527" s="3">
        <f>VALUE(SUBSTITUTE(MID($A1527,K1527+K$2+1,L1527-K1527-K$2-1),",","."))</f>
        <v>0</v>
      </c>
      <c r="AE1527" s="3">
        <f>VALUE(SUBSTITUTE(MID($A1527,L1527+L$2+1,M1527-L1527-L$2-1),",","."))</f>
        <v>0</v>
      </c>
      <c r="AF1527" s="3">
        <f>VALUE(SUBSTITUTE(MID($A1527,M1527+M$2+1,N1527-M1527-M$2-1),",","."))</f>
        <v>0</v>
      </c>
      <c r="AG1527" s="3">
        <f>VALUE(SUBSTITUTE(MID($A1527,N1527+N$2+1,O1527-N1527-N$2-1),",","."))</f>
        <v>4.2469250541147696</v>
      </c>
      <c r="AH1527" t="str">
        <f>MID($A1527,O1527+O$2+1,P1527-O1527-O$2-1)</f>
        <v/>
      </c>
      <c r="AI1527" s="8" t="str">
        <f>MID($A1527,P1527+P$2+1,Q1527-P1527-P$2-1)</f>
        <v>False</v>
      </c>
      <c r="AK1527" t="b">
        <f t="shared" si="200"/>
        <v>0</v>
      </c>
    </row>
    <row r="1528" spans="1:37" x14ac:dyDescent="0.35">
      <c r="A1528" t="s">
        <v>6075</v>
      </c>
      <c r="B1528">
        <f t="shared" si="203"/>
        <v>10</v>
      </c>
      <c r="C1528">
        <f t="shared" si="203"/>
        <v>43</v>
      </c>
      <c r="D1528">
        <f t="shared" si="203"/>
        <v>54</v>
      </c>
      <c r="E1528">
        <f t="shared" si="203"/>
        <v>80</v>
      </c>
      <c r="F1528">
        <f t="shared" si="203"/>
        <v>124</v>
      </c>
      <c r="G1528">
        <f t="shared" si="203"/>
        <v>145</v>
      </c>
      <c r="H1528">
        <f t="shared" si="203"/>
        <v>177</v>
      </c>
      <c r="I1528">
        <f t="shared" si="203"/>
        <v>199</v>
      </c>
      <c r="J1528">
        <f t="shared" si="203"/>
        <v>232</v>
      </c>
      <c r="K1528">
        <f t="shared" si="203"/>
        <v>249</v>
      </c>
      <c r="L1528">
        <f t="shared" si="203"/>
        <v>264</v>
      </c>
      <c r="M1528">
        <f t="shared" si="202"/>
        <v>279</v>
      </c>
      <c r="N1528">
        <f t="shared" si="202"/>
        <v>291</v>
      </c>
      <c r="O1528">
        <f t="shared" si="202"/>
        <v>316</v>
      </c>
      <c r="P1528">
        <f t="shared" si="202"/>
        <v>334</v>
      </c>
      <c r="Q1528">
        <f t="shared" si="202"/>
        <v>360</v>
      </c>
      <c r="S1528" t="str">
        <f t="shared" ref="S1528:S1539" si="204">LEFT(U1528,10)</f>
        <v>12.12.2025</v>
      </c>
      <c r="T1528" t="str">
        <f t="shared" ref="T1528:T1539" si="205">MID(U1528,12,8)</f>
        <v>16:30:00</v>
      </c>
      <c r="U1528" t="str">
        <f t="shared" si="199"/>
        <v>12.12.2025 16:30:00</v>
      </c>
      <c r="V1528" s="9" t="str">
        <f>MID($A1528,C1528+C$2+1,D1528-C1528-C$2-1)</f>
        <v>0</v>
      </c>
      <c r="W1528" s="4">
        <f>VALUE(SUBSTITUTE(MID($A1528,D1528+D$2+1,E1528-D1528-D$2-1),",","."))</f>
        <v>0</v>
      </c>
      <c r="X1528" s="4">
        <f>VALUE(SUBSTITUTE(MID($A1528,E1528+E$2+1,F1528-E1528-E$2-1),",","."))</f>
        <v>0.90957602214449496</v>
      </c>
      <c r="Y1528" s="4">
        <f>VALUE(SUBSTITUTE(MID($A1528,F1528+F$2+1,G1528-F1528-F$2-1),",","."))</f>
        <v>0</v>
      </c>
      <c r="Z1528" s="3">
        <f>VALUE(SUBSTITUTE(MID($A1528,G1528+G$2+1,H1528-G1528-G$2-1),",","."))</f>
        <v>0</v>
      </c>
      <c r="AA1528" s="3">
        <f>VALUE(SUBSTITUTE(MID($A1528,H1528+H$2+1,I1528-H1528-H$2-1),",","."))</f>
        <v>0</v>
      </c>
      <c r="AB1528" s="3">
        <f>VALUE(SUBSTITUTE(MID($A1528,I1528+I$2+1,J1528-I1528-I$2-1),",","."))</f>
        <v>0</v>
      </c>
      <c r="AC1528" s="3">
        <f>VALUE(SUBSTITUTE(MID($A1528,J1528+J$2+1,K1528-J1528-J$2-1),",","."))</f>
        <v>0</v>
      </c>
      <c r="AD1528" s="3">
        <f>VALUE(SUBSTITUTE(MID($A1528,K1528+K$2+1,L1528-K1528-K$2-1),",","."))</f>
        <v>0</v>
      </c>
      <c r="AE1528" s="3">
        <f>VALUE(SUBSTITUTE(MID($A1528,L1528+L$2+1,M1528-L1528-L$2-1),",","."))</f>
        <v>0</v>
      </c>
      <c r="AF1528" s="3">
        <f>VALUE(SUBSTITUTE(MID($A1528,M1528+M$2+1,N1528-M1528-M$2-1),",","."))</f>
        <v>0</v>
      </c>
      <c r="AG1528" s="3">
        <f>VALUE(SUBSTITUTE(MID($A1528,N1528+N$2+1,O1528-N1528-N$2-1),",","."))</f>
        <v>4.2469535740028501</v>
      </c>
      <c r="AH1528" t="str">
        <f>MID($A1528,O1528+O$2+1,P1528-O1528-O$2-1)</f>
        <v/>
      </c>
      <c r="AI1528" s="8" t="str">
        <f>MID($A1528,P1528+P$2+1,Q1528-P1528-P$2-1)</f>
        <v>False</v>
      </c>
      <c r="AK1528" t="b">
        <f t="shared" si="200"/>
        <v>0</v>
      </c>
    </row>
    <row r="1529" spans="1:37" x14ac:dyDescent="0.35">
      <c r="A1529" t="s">
        <v>6076</v>
      </c>
      <c r="B1529">
        <f t="shared" si="203"/>
        <v>10</v>
      </c>
      <c r="C1529">
        <f t="shared" si="203"/>
        <v>43</v>
      </c>
      <c r="D1529">
        <f t="shared" si="203"/>
        <v>54</v>
      </c>
      <c r="E1529">
        <f t="shared" si="203"/>
        <v>80</v>
      </c>
      <c r="F1529">
        <f t="shared" si="203"/>
        <v>124</v>
      </c>
      <c r="G1529">
        <f t="shared" si="203"/>
        <v>145</v>
      </c>
      <c r="H1529">
        <f t="shared" si="203"/>
        <v>177</v>
      </c>
      <c r="I1529">
        <f t="shared" si="203"/>
        <v>199</v>
      </c>
      <c r="J1529">
        <f t="shared" si="203"/>
        <v>232</v>
      </c>
      <c r="K1529">
        <f t="shared" si="203"/>
        <v>249</v>
      </c>
      <c r="L1529">
        <f t="shared" si="203"/>
        <v>264</v>
      </c>
      <c r="M1529">
        <f t="shared" si="202"/>
        <v>279</v>
      </c>
      <c r="N1529">
        <f t="shared" si="202"/>
        <v>291</v>
      </c>
      <c r="O1529">
        <f t="shared" si="202"/>
        <v>317</v>
      </c>
      <c r="P1529">
        <f t="shared" si="202"/>
        <v>335</v>
      </c>
      <c r="Q1529">
        <f t="shared" si="202"/>
        <v>361</v>
      </c>
      <c r="S1529" t="str">
        <f t="shared" si="204"/>
        <v>12.12.2025</v>
      </c>
      <c r="T1529" t="str">
        <f t="shared" si="205"/>
        <v>16:45:00</v>
      </c>
      <c r="U1529" t="str">
        <f t="shared" si="199"/>
        <v>12.12.2025 16:45:00</v>
      </c>
      <c r="V1529" s="9" t="str">
        <f>MID($A1529,C1529+C$2+1,D1529-C1529-C$2-1)</f>
        <v>0</v>
      </c>
      <c r="W1529" s="4">
        <f>VALUE(SUBSTITUTE(MID($A1529,D1529+D$2+1,E1529-D1529-D$2-1),",","."))</f>
        <v>0</v>
      </c>
      <c r="X1529" s="4">
        <f>VALUE(SUBSTITUTE(MID($A1529,E1529+E$2+1,F1529-E1529-E$2-1),",","."))</f>
        <v>0.90957602214449496</v>
      </c>
      <c r="Y1529" s="4">
        <f>VALUE(SUBSTITUTE(MID($A1529,F1529+F$2+1,G1529-F1529-F$2-1),",","."))</f>
        <v>0</v>
      </c>
      <c r="Z1529" s="3">
        <f>VALUE(SUBSTITUTE(MID($A1529,G1529+G$2+1,H1529-G1529-G$2-1),",","."))</f>
        <v>0</v>
      </c>
      <c r="AA1529" s="3">
        <f>VALUE(SUBSTITUTE(MID($A1529,H1529+H$2+1,I1529-H1529-H$2-1),",","."))</f>
        <v>0</v>
      </c>
      <c r="AB1529" s="3">
        <f>VALUE(SUBSTITUTE(MID($A1529,I1529+I$2+1,J1529-I1529-I$2-1),",","."))</f>
        <v>0</v>
      </c>
      <c r="AC1529" s="3">
        <f>VALUE(SUBSTITUTE(MID($A1529,J1529+J$2+1,K1529-J1529-J$2-1),",","."))</f>
        <v>0</v>
      </c>
      <c r="AD1529" s="3">
        <f>VALUE(SUBSTITUTE(MID($A1529,K1529+K$2+1,L1529-K1529-K$2-1),",","."))</f>
        <v>0</v>
      </c>
      <c r="AE1529" s="3">
        <f>VALUE(SUBSTITUTE(MID($A1529,L1529+L$2+1,M1529-L1529-L$2-1),",","."))</f>
        <v>0</v>
      </c>
      <c r="AF1529" s="3">
        <f>VALUE(SUBSTITUTE(MID($A1529,M1529+M$2+1,N1529-M1529-M$2-1),",","."))</f>
        <v>0</v>
      </c>
      <c r="AG1529" s="3">
        <f>VALUE(SUBSTITUTE(MID($A1529,N1529+N$2+1,O1529-N1529-N$2-1),",","."))</f>
        <v>4.2469820938909297</v>
      </c>
      <c r="AH1529" t="str">
        <f>MID($A1529,O1529+O$2+1,P1529-O1529-O$2-1)</f>
        <v/>
      </c>
      <c r="AI1529" s="8" t="str">
        <f>MID($A1529,P1529+P$2+1,Q1529-P1529-P$2-1)</f>
        <v>False</v>
      </c>
      <c r="AK1529" t="b">
        <f t="shared" si="200"/>
        <v>0</v>
      </c>
    </row>
    <row r="1530" spans="1:37" x14ac:dyDescent="0.35">
      <c r="A1530" t="s">
        <v>6077</v>
      </c>
      <c r="B1530">
        <f t="shared" si="203"/>
        <v>10</v>
      </c>
      <c r="C1530">
        <f t="shared" si="203"/>
        <v>43</v>
      </c>
      <c r="D1530">
        <f t="shared" si="203"/>
        <v>54</v>
      </c>
      <c r="E1530">
        <f t="shared" si="203"/>
        <v>80</v>
      </c>
      <c r="F1530">
        <f t="shared" si="203"/>
        <v>124</v>
      </c>
      <c r="G1530">
        <f t="shared" si="203"/>
        <v>145</v>
      </c>
      <c r="H1530">
        <f t="shared" si="203"/>
        <v>177</v>
      </c>
      <c r="I1530">
        <f t="shared" si="203"/>
        <v>199</v>
      </c>
      <c r="J1530">
        <f t="shared" si="203"/>
        <v>232</v>
      </c>
      <c r="K1530">
        <f t="shared" si="203"/>
        <v>249</v>
      </c>
      <c r="L1530">
        <f t="shared" si="203"/>
        <v>264</v>
      </c>
      <c r="M1530">
        <f t="shared" si="202"/>
        <v>279</v>
      </c>
      <c r="N1530">
        <f t="shared" si="202"/>
        <v>291</v>
      </c>
      <c r="O1530">
        <f t="shared" si="202"/>
        <v>316</v>
      </c>
      <c r="P1530">
        <f t="shared" si="202"/>
        <v>334</v>
      </c>
      <c r="Q1530">
        <f t="shared" si="202"/>
        <v>360</v>
      </c>
      <c r="S1530" t="str">
        <f t="shared" si="204"/>
        <v>12.12.2025</v>
      </c>
      <c r="T1530" t="str">
        <f t="shared" si="205"/>
        <v>17:00:00</v>
      </c>
      <c r="U1530" t="str">
        <f t="shared" si="199"/>
        <v>12.12.2025 17:00:00</v>
      </c>
      <c r="V1530" s="9" t="str">
        <f>MID($A1530,C1530+C$2+1,D1530-C1530-C$2-1)</f>
        <v>0</v>
      </c>
      <c r="W1530" s="4">
        <f>VALUE(SUBSTITUTE(MID($A1530,D1530+D$2+1,E1530-D1530-D$2-1),",","."))</f>
        <v>0</v>
      </c>
      <c r="X1530" s="4">
        <f>VALUE(SUBSTITUTE(MID($A1530,E1530+E$2+1,F1530-E1530-E$2-1),",","."))</f>
        <v>0.90957602214449496</v>
      </c>
      <c r="Y1530" s="4">
        <f>VALUE(SUBSTITUTE(MID($A1530,F1530+F$2+1,G1530-F1530-F$2-1),",","."))</f>
        <v>0</v>
      </c>
      <c r="Z1530" s="3">
        <f>VALUE(SUBSTITUTE(MID($A1530,G1530+G$2+1,H1530-G1530-G$2-1),",","."))</f>
        <v>0</v>
      </c>
      <c r="AA1530" s="3">
        <f>VALUE(SUBSTITUTE(MID($A1530,H1530+H$2+1,I1530-H1530-H$2-1),",","."))</f>
        <v>0</v>
      </c>
      <c r="AB1530" s="3">
        <f>VALUE(SUBSTITUTE(MID($A1530,I1530+I$2+1,J1530-I1530-I$2-1),",","."))</f>
        <v>0</v>
      </c>
      <c r="AC1530" s="3">
        <f>VALUE(SUBSTITUTE(MID($A1530,J1530+J$2+1,K1530-J1530-J$2-1),",","."))</f>
        <v>0</v>
      </c>
      <c r="AD1530" s="3">
        <f>VALUE(SUBSTITUTE(MID($A1530,K1530+K$2+1,L1530-K1530-K$2-1),",","."))</f>
        <v>0</v>
      </c>
      <c r="AE1530" s="3">
        <f>VALUE(SUBSTITUTE(MID($A1530,L1530+L$2+1,M1530-L1530-L$2-1),",","."))</f>
        <v>0</v>
      </c>
      <c r="AF1530" s="3">
        <f>VALUE(SUBSTITUTE(MID($A1530,M1530+M$2+1,N1530-M1530-M$2-1),",","."))</f>
        <v>0</v>
      </c>
      <c r="AG1530" s="3">
        <f>VALUE(SUBSTITUTE(MID($A1530,N1530+N$2+1,O1530-N1530-N$2-1),",","."))</f>
        <v>4.24701061377902</v>
      </c>
      <c r="AH1530" t="str">
        <f>MID($A1530,O1530+O$2+1,P1530-O1530-O$2-1)</f>
        <v/>
      </c>
      <c r="AI1530" s="8" t="str">
        <f>MID($A1530,P1530+P$2+1,Q1530-P1530-P$2-1)</f>
        <v>False</v>
      </c>
      <c r="AK1530" t="b">
        <f t="shared" si="200"/>
        <v>0</v>
      </c>
    </row>
    <row r="1531" spans="1:37" x14ac:dyDescent="0.35">
      <c r="A1531" t="s">
        <v>6078</v>
      </c>
      <c r="B1531">
        <f t="shared" si="203"/>
        <v>10</v>
      </c>
      <c r="C1531">
        <f t="shared" si="203"/>
        <v>43</v>
      </c>
      <c r="D1531">
        <f t="shared" ref="C1531:L1539" si="206">FIND(D$1,$A1531)</f>
        <v>54</v>
      </c>
      <c r="E1531">
        <f t="shared" si="206"/>
        <v>80</v>
      </c>
      <c r="F1531">
        <f t="shared" si="206"/>
        <v>124</v>
      </c>
      <c r="G1531">
        <f t="shared" si="206"/>
        <v>145</v>
      </c>
      <c r="H1531">
        <f t="shared" si="206"/>
        <v>177</v>
      </c>
      <c r="I1531">
        <f t="shared" si="206"/>
        <v>199</v>
      </c>
      <c r="J1531">
        <f t="shared" si="206"/>
        <v>232</v>
      </c>
      <c r="K1531">
        <f t="shared" si="206"/>
        <v>249</v>
      </c>
      <c r="L1531">
        <f t="shared" si="206"/>
        <v>264</v>
      </c>
      <c r="M1531">
        <f t="shared" si="202"/>
        <v>279</v>
      </c>
      <c r="N1531">
        <f t="shared" si="202"/>
        <v>291</v>
      </c>
      <c r="O1531">
        <f t="shared" si="202"/>
        <v>316</v>
      </c>
      <c r="P1531">
        <f t="shared" si="202"/>
        <v>334</v>
      </c>
      <c r="Q1531">
        <f t="shared" si="202"/>
        <v>360</v>
      </c>
      <c r="S1531" t="str">
        <f t="shared" si="204"/>
        <v>12.12.2025</v>
      </c>
      <c r="T1531" t="str">
        <f t="shared" si="205"/>
        <v>17:15:00</v>
      </c>
      <c r="U1531" t="str">
        <f t="shared" si="199"/>
        <v>12.12.2025 17:15:00</v>
      </c>
      <c r="V1531" s="9" t="str">
        <f>MID($A1531,C1531+C$2+1,D1531-C1531-C$2-1)</f>
        <v>0</v>
      </c>
      <c r="W1531" s="4">
        <f>VALUE(SUBSTITUTE(MID($A1531,D1531+D$2+1,E1531-D1531-D$2-1),",","."))</f>
        <v>0</v>
      </c>
      <c r="X1531" s="4">
        <f>VALUE(SUBSTITUTE(MID($A1531,E1531+E$2+1,F1531-E1531-E$2-1),",","."))</f>
        <v>0.90957602214449496</v>
      </c>
      <c r="Y1531" s="4">
        <f>VALUE(SUBSTITUTE(MID($A1531,F1531+F$2+1,G1531-F1531-F$2-1),",","."))</f>
        <v>0</v>
      </c>
      <c r="Z1531" s="3">
        <f>VALUE(SUBSTITUTE(MID($A1531,G1531+G$2+1,H1531-G1531-G$2-1),",","."))</f>
        <v>0</v>
      </c>
      <c r="AA1531" s="3">
        <f>VALUE(SUBSTITUTE(MID($A1531,H1531+H$2+1,I1531-H1531-H$2-1),",","."))</f>
        <v>0</v>
      </c>
      <c r="AB1531" s="3">
        <f>VALUE(SUBSTITUTE(MID($A1531,I1531+I$2+1,J1531-I1531-I$2-1),",","."))</f>
        <v>0</v>
      </c>
      <c r="AC1531" s="3">
        <f>VALUE(SUBSTITUTE(MID($A1531,J1531+J$2+1,K1531-J1531-J$2-1),",","."))</f>
        <v>0</v>
      </c>
      <c r="AD1531" s="3">
        <f>VALUE(SUBSTITUTE(MID($A1531,K1531+K$2+1,L1531-K1531-K$2-1),",","."))</f>
        <v>0</v>
      </c>
      <c r="AE1531" s="3">
        <f>VALUE(SUBSTITUTE(MID($A1531,L1531+L$2+1,M1531-L1531-L$2-1),",","."))</f>
        <v>0</v>
      </c>
      <c r="AF1531" s="3">
        <f>VALUE(SUBSTITUTE(MID($A1531,M1531+M$2+1,N1531-M1531-M$2-1),",","."))</f>
        <v>0</v>
      </c>
      <c r="AG1531" s="3">
        <f>VALUE(SUBSTITUTE(MID($A1531,N1531+N$2+1,O1531-N1531-N$2-1),",","."))</f>
        <v>4.2470391336670996</v>
      </c>
      <c r="AH1531" t="str">
        <f>MID($A1531,O1531+O$2+1,P1531-O1531-O$2-1)</f>
        <v/>
      </c>
      <c r="AI1531" s="8" t="str">
        <f>MID($A1531,P1531+P$2+1,Q1531-P1531-P$2-1)</f>
        <v>False</v>
      </c>
      <c r="AK1531" t="b">
        <f t="shared" si="200"/>
        <v>0</v>
      </c>
    </row>
    <row r="1532" spans="1:37" x14ac:dyDescent="0.35">
      <c r="A1532" t="s">
        <v>6079</v>
      </c>
      <c r="B1532">
        <f t="shared" ref="B1532:B1539" si="207">FIND(B$1,$A1532)</f>
        <v>10</v>
      </c>
      <c r="C1532">
        <f t="shared" si="206"/>
        <v>43</v>
      </c>
      <c r="D1532">
        <f t="shared" si="206"/>
        <v>54</v>
      </c>
      <c r="E1532">
        <f t="shared" si="206"/>
        <v>80</v>
      </c>
      <c r="F1532">
        <f t="shared" si="206"/>
        <v>124</v>
      </c>
      <c r="G1532">
        <f t="shared" si="206"/>
        <v>145</v>
      </c>
      <c r="H1532">
        <f t="shared" si="206"/>
        <v>177</v>
      </c>
      <c r="I1532">
        <f t="shared" si="206"/>
        <v>199</v>
      </c>
      <c r="J1532">
        <f t="shared" si="206"/>
        <v>232</v>
      </c>
      <c r="K1532">
        <f t="shared" si="206"/>
        <v>249</v>
      </c>
      <c r="L1532">
        <f t="shared" si="206"/>
        <v>264</v>
      </c>
      <c r="M1532">
        <f t="shared" si="202"/>
        <v>279</v>
      </c>
      <c r="N1532">
        <f t="shared" si="202"/>
        <v>291</v>
      </c>
      <c r="O1532">
        <f t="shared" si="202"/>
        <v>316</v>
      </c>
      <c r="P1532">
        <f t="shared" si="202"/>
        <v>334</v>
      </c>
      <c r="Q1532">
        <f t="shared" si="202"/>
        <v>360</v>
      </c>
      <c r="S1532" t="str">
        <f t="shared" si="204"/>
        <v>12.12.2025</v>
      </c>
      <c r="T1532" t="str">
        <f t="shared" si="205"/>
        <v>17:30:00</v>
      </c>
      <c r="U1532" t="str">
        <f t="shared" si="199"/>
        <v>12.12.2025 17:30:00</v>
      </c>
      <c r="V1532" s="9" t="str">
        <f>MID($A1532,C1532+C$2+1,D1532-C1532-C$2-1)</f>
        <v>0</v>
      </c>
      <c r="W1532" s="4">
        <f>VALUE(SUBSTITUTE(MID($A1532,D1532+D$2+1,E1532-D1532-D$2-1),",","."))</f>
        <v>0</v>
      </c>
      <c r="X1532" s="4">
        <f>VALUE(SUBSTITUTE(MID($A1532,E1532+E$2+1,F1532-E1532-E$2-1),",","."))</f>
        <v>0.90957602214449496</v>
      </c>
      <c r="Y1532" s="4">
        <f>VALUE(SUBSTITUTE(MID($A1532,F1532+F$2+1,G1532-F1532-F$2-1),",","."))</f>
        <v>0</v>
      </c>
      <c r="Z1532" s="3">
        <f>VALUE(SUBSTITUTE(MID($A1532,G1532+G$2+1,H1532-G1532-G$2-1),",","."))</f>
        <v>0</v>
      </c>
      <c r="AA1532" s="3">
        <f>VALUE(SUBSTITUTE(MID($A1532,H1532+H$2+1,I1532-H1532-H$2-1),",","."))</f>
        <v>0</v>
      </c>
      <c r="AB1532" s="3">
        <f>VALUE(SUBSTITUTE(MID($A1532,I1532+I$2+1,J1532-I1532-I$2-1),",","."))</f>
        <v>0</v>
      </c>
      <c r="AC1532" s="3">
        <f>VALUE(SUBSTITUTE(MID($A1532,J1532+J$2+1,K1532-J1532-J$2-1),",","."))</f>
        <v>0</v>
      </c>
      <c r="AD1532" s="3">
        <f>VALUE(SUBSTITUTE(MID($A1532,K1532+K$2+1,L1532-K1532-K$2-1),",","."))</f>
        <v>0</v>
      </c>
      <c r="AE1532" s="3">
        <f>VALUE(SUBSTITUTE(MID($A1532,L1532+L$2+1,M1532-L1532-L$2-1),",","."))</f>
        <v>0</v>
      </c>
      <c r="AF1532" s="3">
        <f>VALUE(SUBSTITUTE(MID($A1532,M1532+M$2+1,N1532-M1532-M$2-1),",","."))</f>
        <v>0</v>
      </c>
      <c r="AG1532" s="3">
        <f>VALUE(SUBSTITUTE(MID($A1532,N1532+N$2+1,O1532-N1532-N$2-1),",","."))</f>
        <v>4.2470676535551801</v>
      </c>
      <c r="AH1532" t="str">
        <f>MID($A1532,O1532+O$2+1,P1532-O1532-O$2-1)</f>
        <v/>
      </c>
      <c r="AI1532" s="8" t="str">
        <f>MID($A1532,P1532+P$2+1,Q1532-P1532-P$2-1)</f>
        <v>False</v>
      </c>
      <c r="AK1532" t="b">
        <f t="shared" si="200"/>
        <v>0</v>
      </c>
    </row>
    <row r="1533" spans="1:37" x14ac:dyDescent="0.35">
      <c r="A1533" t="s">
        <v>6080</v>
      </c>
      <c r="B1533">
        <f t="shared" si="207"/>
        <v>10</v>
      </c>
      <c r="C1533">
        <f t="shared" si="206"/>
        <v>43</v>
      </c>
      <c r="D1533">
        <f t="shared" si="206"/>
        <v>54</v>
      </c>
      <c r="E1533">
        <f t="shared" si="206"/>
        <v>80</v>
      </c>
      <c r="F1533">
        <f t="shared" si="206"/>
        <v>124</v>
      </c>
      <c r="G1533">
        <f t="shared" si="206"/>
        <v>145</v>
      </c>
      <c r="H1533">
        <f t="shared" si="206"/>
        <v>177</v>
      </c>
      <c r="I1533">
        <f t="shared" si="206"/>
        <v>199</v>
      </c>
      <c r="J1533">
        <f t="shared" si="206"/>
        <v>232</v>
      </c>
      <c r="K1533">
        <f t="shared" si="206"/>
        <v>249</v>
      </c>
      <c r="L1533">
        <f t="shared" si="206"/>
        <v>264</v>
      </c>
      <c r="M1533">
        <f t="shared" si="202"/>
        <v>279</v>
      </c>
      <c r="N1533">
        <f t="shared" si="202"/>
        <v>291</v>
      </c>
      <c r="O1533">
        <f t="shared" si="202"/>
        <v>316</v>
      </c>
      <c r="P1533">
        <f t="shared" si="202"/>
        <v>334</v>
      </c>
      <c r="Q1533">
        <f t="shared" si="202"/>
        <v>360</v>
      </c>
      <c r="S1533" t="str">
        <f t="shared" si="204"/>
        <v>12.12.2025</v>
      </c>
      <c r="T1533" t="str">
        <f t="shared" si="205"/>
        <v>17:45:00</v>
      </c>
      <c r="U1533" t="str">
        <f t="shared" si="199"/>
        <v>12.12.2025 17:45:00</v>
      </c>
      <c r="V1533" s="9" t="str">
        <f>MID($A1533,C1533+C$2+1,D1533-C1533-C$2-1)</f>
        <v>0</v>
      </c>
      <c r="W1533" s="4">
        <f>VALUE(SUBSTITUTE(MID($A1533,D1533+D$2+1,E1533-D1533-D$2-1),",","."))</f>
        <v>0</v>
      </c>
      <c r="X1533" s="4">
        <f>VALUE(SUBSTITUTE(MID($A1533,E1533+E$2+1,F1533-E1533-E$2-1),",","."))</f>
        <v>0.90957602214449496</v>
      </c>
      <c r="Y1533" s="4">
        <f>VALUE(SUBSTITUTE(MID($A1533,F1533+F$2+1,G1533-F1533-F$2-1),",","."))</f>
        <v>0</v>
      </c>
      <c r="Z1533" s="3">
        <f>VALUE(SUBSTITUTE(MID($A1533,G1533+G$2+1,H1533-G1533-G$2-1),",","."))</f>
        <v>0</v>
      </c>
      <c r="AA1533" s="3">
        <f>VALUE(SUBSTITUTE(MID($A1533,H1533+H$2+1,I1533-H1533-H$2-1),",","."))</f>
        <v>0</v>
      </c>
      <c r="AB1533" s="3">
        <f>VALUE(SUBSTITUTE(MID($A1533,I1533+I$2+1,J1533-I1533-I$2-1),",","."))</f>
        <v>0</v>
      </c>
      <c r="AC1533" s="3">
        <f>VALUE(SUBSTITUTE(MID($A1533,J1533+J$2+1,K1533-J1533-J$2-1),",","."))</f>
        <v>0</v>
      </c>
      <c r="AD1533" s="3">
        <f>VALUE(SUBSTITUTE(MID($A1533,K1533+K$2+1,L1533-K1533-K$2-1),",","."))</f>
        <v>0</v>
      </c>
      <c r="AE1533" s="3">
        <f>VALUE(SUBSTITUTE(MID($A1533,L1533+L$2+1,M1533-L1533-L$2-1),",","."))</f>
        <v>0</v>
      </c>
      <c r="AF1533" s="3">
        <f>VALUE(SUBSTITUTE(MID($A1533,M1533+M$2+1,N1533-M1533-M$2-1),",","."))</f>
        <v>0</v>
      </c>
      <c r="AG1533" s="3">
        <f>VALUE(SUBSTITUTE(MID($A1533,N1533+N$2+1,O1533-N1533-N$2-1),",","."))</f>
        <v>4.2470961734432597</v>
      </c>
      <c r="AH1533" t="str">
        <f>MID($A1533,O1533+O$2+1,P1533-O1533-O$2-1)</f>
        <v/>
      </c>
      <c r="AI1533" s="8" t="str">
        <f>MID($A1533,P1533+P$2+1,Q1533-P1533-P$2-1)</f>
        <v>False</v>
      </c>
      <c r="AK1533" t="b">
        <f t="shared" si="200"/>
        <v>0</v>
      </c>
    </row>
    <row r="1534" spans="1:37" x14ac:dyDescent="0.35">
      <c r="A1534" t="s">
        <v>6081</v>
      </c>
      <c r="B1534">
        <f t="shared" si="207"/>
        <v>10</v>
      </c>
      <c r="C1534">
        <f t="shared" si="206"/>
        <v>43</v>
      </c>
      <c r="D1534">
        <f t="shared" si="206"/>
        <v>54</v>
      </c>
      <c r="E1534">
        <f t="shared" si="206"/>
        <v>80</v>
      </c>
      <c r="F1534">
        <f t="shared" si="206"/>
        <v>124</v>
      </c>
      <c r="G1534">
        <f t="shared" si="206"/>
        <v>145</v>
      </c>
      <c r="H1534">
        <f t="shared" si="206"/>
        <v>177</v>
      </c>
      <c r="I1534">
        <f t="shared" si="206"/>
        <v>199</v>
      </c>
      <c r="J1534">
        <f t="shared" si="206"/>
        <v>232</v>
      </c>
      <c r="K1534">
        <f t="shared" si="206"/>
        <v>249</v>
      </c>
      <c r="L1534">
        <f t="shared" si="206"/>
        <v>264</v>
      </c>
      <c r="M1534">
        <f t="shared" si="202"/>
        <v>279</v>
      </c>
      <c r="N1534">
        <f t="shared" si="202"/>
        <v>291</v>
      </c>
      <c r="O1534">
        <f t="shared" si="202"/>
        <v>316</v>
      </c>
      <c r="P1534">
        <f t="shared" si="202"/>
        <v>334</v>
      </c>
      <c r="Q1534">
        <f t="shared" si="202"/>
        <v>360</v>
      </c>
      <c r="S1534" t="str">
        <f t="shared" si="204"/>
        <v>12.12.2025</v>
      </c>
      <c r="T1534" t="str">
        <f t="shared" si="205"/>
        <v>18:00:00</v>
      </c>
      <c r="U1534" t="str">
        <f t="shared" si="199"/>
        <v>12.12.2025 18:00:00</v>
      </c>
      <c r="V1534" s="9" t="str">
        <f>MID($A1534,C1534+C$2+1,D1534-C1534-C$2-1)</f>
        <v>0</v>
      </c>
      <c r="W1534" s="4">
        <f>VALUE(SUBSTITUTE(MID($A1534,D1534+D$2+1,E1534-D1534-D$2-1),",","."))</f>
        <v>0</v>
      </c>
      <c r="X1534" s="4">
        <f>VALUE(SUBSTITUTE(MID($A1534,E1534+E$2+1,F1534-E1534-E$2-1),",","."))</f>
        <v>0.90957602214449496</v>
      </c>
      <c r="Y1534" s="4">
        <f>VALUE(SUBSTITUTE(MID($A1534,F1534+F$2+1,G1534-F1534-F$2-1),",","."))</f>
        <v>0</v>
      </c>
      <c r="Z1534" s="3">
        <f>VALUE(SUBSTITUTE(MID($A1534,G1534+G$2+1,H1534-G1534-G$2-1),",","."))</f>
        <v>0</v>
      </c>
      <c r="AA1534" s="3">
        <f>VALUE(SUBSTITUTE(MID($A1534,H1534+H$2+1,I1534-H1534-H$2-1),",","."))</f>
        <v>0</v>
      </c>
      <c r="AB1534" s="3">
        <f>VALUE(SUBSTITUTE(MID($A1534,I1534+I$2+1,J1534-I1534-I$2-1),",","."))</f>
        <v>0</v>
      </c>
      <c r="AC1534" s="3">
        <f>VALUE(SUBSTITUTE(MID($A1534,J1534+J$2+1,K1534-J1534-J$2-1),",","."))</f>
        <v>0</v>
      </c>
      <c r="AD1534" s="3">
        <f>VALUE(SUBSTITUTE(MID($A1534,K1534+K$2+1,L1534-K1534-K$2-1),",","."))</f>
        <v>0</v>
      </c>
      <c r="AE1534" s="3">
        <f>VALUE(SUBSTITUTE(MID($A1534,L1534+L$2+1,M1534-L1534-L$2-1),",","."))</f>
        <v>0</v>
      </c>
      <c r="AF1534" s="3">
        <f>VALUE(SUBSTITUTE(MID($A1534,M1534+M$2+1,N1534-M1534-M$2-1),",","."))</f>
        <v>0</v>
      </c>
      <c r="AG1534" s="3">
        <f>VALUE(SUBSTITUTE(MID($A1534,N1534+N$2+1,O1534-N1534-N$2-1),",","."))</f>
        <v>4.2471246933313402</v>
      </c>
      <c r="AH1534" t="str">
        <f>MID($A1534,O1534+O$2+1,P1534-O1534-O$2-1)</f>
        <v/>
      </c>
      <c r="AI1534" s="8" t="str">
        <f>MID($A1534,P1534+P$2+1,Q1534-P1534-P$2-1)</f>
        <v>False</v>
      </c>
      <c r="AK1534" t="b">
        <f t="shared" si="200"/>
        <v>0</v>
      </c>
    </row>
    <row r="1535" spans="1:37" x14ac:dyDescent="0.35">
      <c r="A1535" t="s">
        <v>6082</v>
      </c>
      <c r="B1535">
        <f t="shared" si="207"/>
        <v>10</v>
      </c>
      <c r="C1535">
        <f t="shared" si="206"/>
        <v>43</v>
      </c>
      <c r="D1535">
        <f t="shared" si="206"/>
        <v>54</v>
      </c>
      <c r="E1535">
        <f t="shared" si="206"/>
        <v>80</v>
      </c>
      <c r="F1535">
        <f t="shared" si="206"/>
        <v>124</v>
      </c>
      <c r="G1535">
        <f t="shared" si="206"/>
        <v>145</v>
      </c>
      <c r="H1535">
        <f t="shared" si="206"/>
        <v>177</v>
      </c>
      <c r="I1535">
        <f t="shared" si="206"/>
        <v>199</v>
      </c>
      <c r="J1535">
        <f t="shared" si="206"/>
        <v>232</v>
      </c>
      <c r="K1535">
        <f t="shared" si="206"/>
        <v>249</v>
      </c>
      <c r="L1535">
        <f t="shared" si="206"/>
        <v>264</v>
      </c>
      <c r="M1535">
        <f t="shared" si="202"/>
        <v>279</v>
      </c>
      <c r="N1535">
        <f t="shared" si="202"/>
        <v>291</v>
      </c>
      <c r="O1535">
        <f t="shared" si="202"/>
        <v>316</v>
      </c>
      <c r="P1535">
        <f t="shared" si="202"/>
        <v>334</v>
      </c>
      <c r="Q1535">
        <f t="shared" si="202"/>
        <v>360</v>
      </c>
      <c r="S1535" t="str">
        <f t="shared" si="204"/>
        <v>12.12.2025</v>
      </c>
      <c r="T1535" t="str">
        <f t="shared" si="205"/>
        <v>18:15:00</v>
      </c>
      <c r="U1535" t="str">
        <f t="shared" si="199"/>
        <v>12.12.2025 18:15:00</v>
      </c>
      <c r="V1535" s="9" t="str">
        <f>MID($A1535,C1535+C$2+1,D1535-C1535-C$2-1)</f>
        <v>0</v>
      </c>
      <c r="W1535" s="4">
        <f>VALUE(SUBSTITUTE(MID($A1535,D1535+D$2+1,E1535-D1535-D$2-1),",","."))</f>
        <v>0</v>
      </c>
      <c r="X1535" s="4">
        <f>VALUE(SUBSTITUTE(MID($A1535,E1535+E$2+1,F1535-E1535-E$2-1),",","."))</f>
        <v>0.90957602214449496</v>
      </c>
      <c r="Y1535" s="4">
        <f>VALUE(SUBSTITUTE(MID($A1535,F1535+F$2+1,G1535-F1535-F$2-1),",","."))</f>
        <v>0</v>
      </c>
      <c r="Z1535" s="3">
        <f>VALUE(SUBSTITUTE(MID($A1535,G1535+G$2+1,H1535-G1535-G$2-1),",","."))</f>
        <v>0</v>
      </c>
      <c r="AA1535" s="3">
        <f>VALUE(SUBSTITUTE(MID($A1535,H1535+H$2+1,I1535-H1535-H$2-1),",","."))</f>
        <v>0</v>
      </c>
      <c r="AB1535" s="3">
        <f>VALUE(SUBSTITUTE(MID($A1535,I1535+I$2+1,J1535-I1535-I$2-1),",","."))</f>
        <v>0</v>
      </c>
      <c r="AC1535" s="3">
        <f>VALUE(SUBSTITUTE(MID($A1535,J1535+J$2+1,K1535-J1535-J$2-1),",","."))</f>
        <v>0</v>
      </c>
      <c r="AD1535" s="3">
        <f>VALUE(SUBSTITUTE(MID($A1535,K1535+K$2+1,L1535-K1535-K$2-1),",","."))</f>
        <v>0</v>
      </c>
      <c r="AE1535" s="3">
        <f>VALUE(SUBSTITUTE(MID($A1535,L1535+L$2+1,M1535-L1535-L$2-1),",","."))</f>
        <v>0</v>
      </c>
      <c r="AF1535" s="3">
        <f>VALUE(SUBSTITUTE(MID($A1535,M1535+M$2+1,N1535-M1535-M$2-1),",","."))</f>
        <v>0</v>
      </c>
      <c r="AG1535" s="3">
        <f>VALUE(SUBSTITUTE(MID($A1535,N1535+N$2+1,O1535-N1535-N$2-1),",","."))</f>
        <v>4.2471532132194199</v>
      </c>
      <c r="AH1535" t="str">
        <f>MID($A1535,O1535+O$2+1,P1535-O1535-O$2-1)</f>
        <v/>
      </c>
      <c r="AI1535" s="8" t="str">
        <f>MID($A1535,P1535+P$2+1,Q1535-P1535-P$2-1)</f>
        <v>False</v>
      </c>
      <c r="AK1535" t="b">
        <f t="shared" si="200"/>
        <v>0</v>
      </c>
    </row>
    <row r="1536" spans="1:37" x14ac:dyDescent="0.35">
      <c r="A1536" t="s">
        <v>6083</v>
      </c>
      <c r="B1536">
        <f t="shared" si="207"/>
        <v>10</v>
      </c>
      <c r="C1536">
        <f t="shared" si="206"/>
        <v>43</v>
      </c>
      <c r="D1536">
        <f t="shared" si="206"/>
        <v>54</v>
      </c>
      <c r="E1536">
        <f t="shared" si="206"/>
        <v>80</v>
      </c>
      <c r="F1536">
        <f t="shared" si="206"/>
        <v>124</v>
      </c>
      <c r="G1536">
        <f t="shared" si="206"/>
        <v>145</v>
      </c>
      <c r="H1536">
        <f t="shared" si="206"/>
        <v>177</v>
      </c>
      <c r="I1536">
        <f t="shared" si="206"/>
        <v>199</v>
      </c>
      <c r="J1536">
        <f t="shared" si="206"/>
        <v>232</v>
      </c>
      <c r="K1536">
        <f t="shared" si="206"/>
        <v>249</v>
      </c>
      <c r="L1536">
        <f t="shared" si="206"/>
        <v>264</v>
      </c>
      <c r="M1536">
        <f t="shared" si="202"/>
        <v>279</v>
      </c>
      <c r="N1536">
        <f t="shared" si="202"/>
        <v>291</v>
      </c>
      <c r="O1536">
        <f t="shared" si="202"/>
        <v>315</v>
      </c>
      <c r="P1536">
        <f t="shared" si="202"/>
        <v>333</v>
      </c>
      <c r="Q1536">
        <f t="shared" si="202"/>
        <v>359</v>
      </c>
      <c r="S1536" t="str">
        <f t="shared" si="204"/>
        <v>12.12.2025</v>
      </c>
      <c r="T1536" t="str">
        <f t="shared" si="205"/>
        <v>18:30:00</v>
      </c>
      <c r="U1536" t="str">
        <f t="shared" si="199"/>
        <v>12.12.2025 18:30:00</v>
      </c>
      <c r="V1536" s="9" t="str">
        <f>MID($A1536,C1536+C$2+1,D1536-C1536-C$2-1)</f>
        <v>0</v>
      </c>
      <c r="W1536" s="4">
        <f>VALUE(SUBSTITUTE(MID($A1536,D1536+D$2+1,E1536-D1536-D$2-1),",","."))</f>
        <v>0</v>
      </c>
      <c r="X1536" s="4">
        <f>VALUE(SUBSTITUTE(MID($A1536,E1536+E$2+1,F1536-E1536-E$2-1),",","."))</f>
        <v>0.90957602214449496</v>
      </c>
      <c r="Y1536" s="4">
        <f>VALUE(SUBSTITUTE(MID($A1536,F1536+F$2+1,G1536-F1536-F$2-1),",","."))</f>
        <v>0</v>
      </c>
      <c r="Z1536" s="3">
        <f>VALUE(SUBSTITUTE(MID($A1536,G1536+G$2+1,H1536-G1536-G$2-1),",","."))</f>
        <v>0</v>
      </c>
      <c r="AA1536" s="3">
        <f>VALUE(SUBSTITUTE(MID($A1536,H1536+H$2+1,I1536-H1536-H$2-1),",","."))</f>
        <v>0</v>
      </c>
      <c r="AB1536" s="3">
        <f>VALUE(SUBSTITUTE(MID($A1536,I1536+I$2+1,J1536-I1536-I$2-1),",","."))</f>
        <v>0</v>
      </c>
      <c r="AC1536" s="3">
        <f>VALUE(SUBSTITUTE(MID($A1536,J1536+J$2+1,K1536-J1536-J$2-1),",","."))</f>
        <v>0</v>
      </c>
      <c r="AD1536" s="3">
        <f>VALUE(SUBSTITUTE(MID($A1536,K1536+K$2+1,L1536-K1536-K$2-1),",","."))</f>
        <v>0</v>
      </c>
      <c r="AE1536" s="3">
        <f>VALUE(SUBSTITUTE(MID($A1536,L1536+L$2+1,M1536-L1536-L$2-1),",","."))</f>
        <v>0</v>
      </c>
      <c r="AF1536" s="3">
        <f>VALUE(SUBSTITUTE(MID($A1536,M1536+M$2+1,N1536-M1536-M$2-1),",","."))</f>
        <v>0</v>
      </c>
      <c r="AG1536" s="3">
        <f>VALUE(SUBSTITUTE(MID($A1536,N1536+N$2+1,O1536-N1536-N$2-1),",","."))</f>
        <v>4.2471817331075101</v>
      </c>
      <c r="AH1536" t="str">
        <f>MID($A1536,O1536+O$2+1,P1536-O1536-O$2-1)</f>
        <v/>
      </c>
      <c r="AI1536" s="8" t="str">
        <f>MID($A1536,P1536+P$2+1,Q1536-P1536-P$2-1)</f>
        <v>False</v>
      </c>
      <c r="AK1536" t="b">
        <f t="shared" si="200"/>
        <v>0</v>
      </c>
    </row>
    <row r="1537" spans="1:37" x14ac:dyDescent="0.35">
      <c r="A1537" t="s">
        <v>6084</v>
      </c>
      <c r="B1537">
        <f t="shared" si="207"/>
        <v>10</v>
      </c>
      <c r="C1537">
        <f t="shared" si="206"/>
        <v>43</v>
      </c>
      <c r="D1537">
        <f t="shared" si="206"/>
        <v>54</v>
      </c>
      <c r="E1537">
        <f t="shared" si="206"/>
        <v>80</v>
      </c>
      <c r="F1537">
        <f t="shared" si="206"/>
        <v>124</v>
      </c>
      <c r="G1537">
        <f t="shared" si="206"/>
        <v>145</v>
      </c>
      <c r="H1537">
        <f t="shared" si="206"/>
        <v>177</v>
      </c>
      <c r="I1537">
        <f t="shared" si="206"/>
        <v>199</v>
      </c>
      <c r="J1537">
        <f t="shared" si="206"/>
        <v>232</v>
      </c>
      <c r="K1537">
        <f t="shared" si="206"/>
        <v>249</v>
      </c>
      <c r="L1537">
        <f t="shared" si="206"/>
        <v>264</v>
      </c>
      <c r="M1537">
        <f t="shared" si="202"/>
        <v>279</v>
      </c>
      <c r="N1537">
        <f t="shared" si="202"/>
        <v>291</v>
      </c>
      <c r="O1537">
        <f t="shared" si="202"/>
        <v>317</v>
      </c>
      <c r="P1537">
        <f t="shared" si="202"/>
        <v>335</v>
      </c>
      <c r="Q1537">
        <f t="shared" si="202"/>
        <v>361</v>
      </c>
      <c r="S1537" t="str">
        <f t="shared" si="204"/>
        <v>12.12.2025</v>
      </c>
      <c r="T1537" t="str">
        <f t="shared" si="205"/>
        <v>18:45:00</v>
      </c>
      <c r="U1537" t="str">
        <f t="shared" si="199"/>
        <v>12.12.2025 18:45:00</v>
      </c>
      <c r="V1537" s="9" t="str">
        <f>MID($A1537,C1537+C$2+1,D1537-C1537-C$2-1)</f>
        <v>0</v>
      </c>
      <c r="W1537" s="4">
        <f>VALUE(SUBSTITUTE(MID($A1537,D1537+D$2+1,E1537-D1537-D$2-1),",","."))</f>
        <v>0</v>
      </c>
      <c r="X1537" s="4">
        <f>VALUE(SUBSTITUTE(MID($A1537,E1537+E$2+1,F1537-E1537-E$2-1),",","."))</f>
        <v>0.90957602214449496</v>
      </c>
      <c r="Y1537" s="4">
        <f>VALUE(SUBSTITUTE(MID($A1537,F1537+F$2+1,G1537-F1537-F$2-1),",","."))</f>
        <v>0</v>
      </c>
      <c r="Z1537" s="3">
        <f>VALUE(SUBSTITUTE(MID($A1537,G1537+G$2+1,H1537-G1537-G$2-1),",","."))</f>
        <v>0</v>
      </c>
      <c r="AA1537" s="3">
        <f>VALUE(SUBSTITUTE(MID($A1537,H1537+H$2+1,I1537-H1537-H$2-1),",","."))</f>
        <v>0</v>
      </c>
      <c r="AB1537" s="3">
        <f>VALUE(SUBSTITUTE(MID($A1537,I1537+I$2+1,J1537-I1537-I$2-1),",","."))</f>
        <v>0</v>
      </c>
      <c r="AC1537" s="3">
        <f>VALUE(SUBSTITUTE(MID($A1537,J1537+J$2+1,K1537-J1537-J$2-1),",","."))</f>
        <v>0</v>
      </c>
      <c r="AD1537" s="3">
        <f>VALUE(SUBSTITUTE(MID($A1537,K1537+K$2+1,L1537-K1537-K$2-1),",","."))</f>
        <v>0</v>
      </c>
      <c r="AE1537" s="3">
        <f>VALUE(SUBSTITUTE(MID($A1537,L1537+L$2+1,M1537-L1537-L$2-1),",","."))</f>
        <v>0</v>
      </c>
      <c r="AF1537" s="3">
        <f>VALUE(SUBSTITUTE(MID($A1537,M1537+M$2+1,N1537-M1537-M$2-1),",","."))</f>
        <v>0</v>
      </c>
      <c r="AG1537" s="3">
        <f>VALUE(SUBSTITUTE(MID($A1537,N1537+N$2+1,O1537-N1537-N$2-1),",","."))</f>
        <v>4.2472102529955897</v>
      </c>
      <c r="AH1537" t="str">
        <f>MID($A1537,O1537+O$2+1,P1537-O1537-O$2-1)</f>
        <v/>
      </c>
      <c r="AI1537" s="8" t="str">
        <f>MID($A1537,P1537+P$2+1,Q1537-P1537-P$2-1)</f>
        <v>False</v>
      </c>
      <c r="AK1537" t="b">
        <f t="shared" si="200"/>
        <v>0</v>
      </c>
    </row>
    <row r="1538" spans="1:37" x14ac:dyDescent="0.35">
      <c r="A1538" t="s">
        <v>6085</v>
      </c>
      <c r="B1538">
        <f t="shared" si="207"/>
        <v>10</v>
      </c>
      <c r="C1538">
        <f t="shared" si="206"/>
        <v>43</v>
      </c>
      <c r="D1538">
        <f t="shared" si="206"/>
        <v>54</v>
      </c>
      <c r="E1538">
        <f t="shared" si="206"/>
        <v>80</v>
      </c>
      <c r="F1538">
        <f t="shared" si="206"/>
        <v>124</v>
      </c>
      <c r="G1538">
        <f t="shared" si="206"/>
        <v>145</v>
      </c>
      <c r="H1538">
        <f t="shared" si="206"/>
        <v>177</v>
      </c>
      <c r="I1538">
        <f t="shared" si="206"/>
        <v>199</v>
      </c>
      <c r="J1538">
        <f t="shared" si="206"/>
        <v>232</v>
      </c>
      <c r="K1538">
        <f t="shared" si="206"/>
        <v>249</v>
      </c>
      <c r="L1538">
        <f t="shared" si="206"/>
        <v>264</v>
      </c>
      <c r="M1538">
        <f t="shared" si="202"/>
        <v>279</v>
      </c>
      <c r="N1538">
        <f t="shared" si="202"/>
        <v>291</v>
      </c>
      <c r="O1538">
        <f t="shared" si="202"/>
        <v>316</v>
      </c>
      <c r="P1538">
        <f t="shared" si="202"/>
        <v>334</v>
      </c>
      <c r="Q1538">
        <f t="shared" si="202"/>
        <v>360</v>
      </c>
      <c r="S1538" t="str">
        <f t="shared" si="204"/>
        <v>12.12.2025</v>
      </c>
      <c r="T1538" t="str">
        <f t="shared" si="205"/>
        <v>19:00:00</v>
      </c>
      <c r="U1538" t="str">
        <f t="shared" si="199"/>
        <v>12.12.2025 19:00:00</v>
      </c>
      <c r="V1538" s="9" t="str">
        <f>MID($A1538,C1538+C$2+1,D1538-C1538-C$2-1)</f>
        <v>0</v>
      </c>
      <c r="W1538" s="4">
        <f>VALUE(SUBSTITUTE(MID($A1538,D1538+D$2+1,E1538-D1538-D$2-1),",","."))</f>
        <v>0</v>
      </c>
      <c r="X1538" s="4">
        <f>VALUE(SUBSTITUTE(MID($A1538,E1538+E$2+1,F1538-E1538-E$2-1),",","."))</f>
        <v>0.90957602214449496</v>
      </c>
      <c r="Y1538" s="4">
        <f>VALUE(SUBSTITUTE(MID($A1538,F1538+F$2+1,G1538-F1538-F$2-1),",","."))</f>
        <v>0</v>
      </c>
      <c r="Z1538" s="3">
        <f>VALUE(SUBSTITUTE(MID($A1538,G1538+G$2+1,H1538-G1538-G$2-1),",","."))</f>
        <v>0</v>
      </c>
      <c r="AA1538" s="3">
        <f>VALUE(SUBSTITUTE(MID($A1538,H1538+H$2+1,I1538-H1538-H$2-1),",","."))</f>
        <v>0</v>
      </c>
      <c r="AB1538" s="3">
        <f>VALUE(SUBSTITUTE(MID($A1538,I1538+I$2+1,J1538-I1538-I$2-1),",","."))</f>
        <v>0</v>
      </c>
      <c r="AC1538" s="3">
        <f>VALUE(SUBSTITUTE(MID($A1538,J1538+J$2+1,K1538-J1538-J$2-1),",","."))</f>
        <v>0</v>
      </c>
      <c r="AD1538" s="3">
        <f>VALUE(SUBSTITUTE(MID($A1538,K1538+K$2+1,L1538-K1538-K$2-1),",","."))</f>
        <v>0</v>
      </c>
      <c r="AE1538" s="3">
        <f>VALUE(SUBSTITUTE(MID($A1538,L1538+L$2+1,M1538-L1538-L$2-1),",","."))</f>
        <v>0</v>
      </c>
      <c r="AF1538" s="3">
        <f>VALUE(SUBSTITUTE(MID($A1538,M1538+M$2+1,N1538-M1538-M$2-1),",","."))</f>
        <v>0</v>
      </c>
      <c r="AG1538" s="3">
        <f>VALUE(SUBSTITUTE(MID($A1538,N1538+N$2+1,O1538-N1538-N$2-1),",","."))</f>
        <v>4.2472387728836702</v>
      </c>
      <c r="AH1538" t="str">
        <f>MID($A1538,O1538+O$2+1,P1538-O1538-O$2-1)</f>
        <v/>
      </c>
      <c r="AI1538" s="8" t="str">
        <f>MID($A1538,P1538+P$2+1,Q1538-P1538-P$2-1)</f>
        <v>False</v>
      </c>
      <c r="AK1538" t="b">
        <f t="shared" si="200"/>
        <v>0</v>
      </c>
    </row>
    <row r="1539" spans="1:37" x14ac:dyDescent="0.35">
      <c r="A1539" t="s">
        <v>6086</v>
      </c>
      <c r="B1539">
        <f t="shared" si="207"/>
        <v>10</v>
      </c>
      <c r="C1539">
        <f t="shared" si="206"/>
        <v>43</v>
      </c>
      <c r="D1539">
        <f t="shared" si="206"/>
        <v>54</v>
      </c>
      <c r="E1539">
        <f t="shared" si="206"/>
        <v>80</v>
      </c>
      <c r="F1539">
        <f t="shared" si="206"/>
        <v>124</v>
      </c>
      <c r="G1539">
        <f t="shared" si="206"/>
        <v>145</v>
      </c>
      <c r="H1539">
        <f t="shared" si="206"/>
        <v>177</v>
      </c>
      <c r="I1539">
        <f t="shared" si="206"/>
        <v>199</v>
      </c>
      <c r="J1539">
        <f t="shared" si="206"/>
        <v>232</v>
      </c>
      <c r="K1539">
        <f t="shared" si="206"/>
        <v>249</v>
      </c>
      <c r="L1539">
        <f t="shared" si="206"/>
        <v>264</v>
      </c>
      <c r="M1539">
        <f t="shared" si="202"/>
        <v>279</v>
      </c>
      <c r="N1539">
        <f t="shared" si="202"/>
        <v>291</v>
      </c>
      <c r="O1539">
        <f t="shared" si="202"/>
        <v>316</v>
      </c>
      <c r="P1539">
        <f t="shared" si="202"/>
        <v>334</v>
      </c>
      <c r="Q1539">
        <f t="shared" si="202"/>
        <v>360</v>
      </c>
      <c r="S1539" t="str">
        <f t="shared" si="204"/>
        <v>12.12.2025</v>
      </c>
      <c r="T1539" t="str">
        <f t="shared" si="205"/>
        <v>19:15:00</v>
      </c>
      <c r="U1539" t="str">
        <f t="shared" si="199"/>
        <v>12.12.2025 19:15:00</v>
      </c>
      <c r="V1539" s="9" t="str">
        <f>MID($A1539,C1539+C$2+1,D1539-C1539-C$2-1)</f>
        <v>0</v>
      </c>
      <c r="W1539" s="4">
        <f>VALUE(SUBSTITUTE(MID($A1539,D1539+D$2+1,E1539-D1539-D$2-1),",","."))</f>
        <v>0</v>
      </c>
      <c r="X1539" s="4">
        <f>VALUE(SUBSTITUTE(MID($A1539,E1539+E$2+1,F1539-E1539-E$2-1),",","."))</f>
        <v>0.90957602214449496</v>
      </c>
      <c r="Y1539" s="4">
        <f>VALUE(SUBSTITUTE(MID($A1539,F1539+F$2+1,G1539-F1539-F$2-1),",","."))</f>
        <v>0</v>
      </c>
      <c r="Z1539" s="3">
        <f>VALUE(SUBSTITUTE(MID($A1539,G1539+G$2+1,H1539-G1539-G$2-1),",","."))</f>
        <v>0</v>
      </c>
      <c r="AA1539" s="3">
        <f>VALUE(SUBSTITUTE(MID($A1539,H1539+H$2+1,I1539-H1539-H$2-1),",","."))</f>
        <v>0</v>
      </c>
      <c r="AB1539" s="3">
        <f>VALUE(SUBSTITUTE(MID($A1539,I1539+I$2+1,J1539-I1539-I$2-1),",","."))</f>
        <v>0</v>
      </c>
      <c r="AC1539" s="3">
        <f>VALUE(SUBSTITUTE(MID($A1539,J1539+J$2+1,K1539-J1539-J$2-1),",","."))</f>
        <v>0</v>
      </c>
      <c r="AD1539" s="3">
        <f>VALUE(SUBSTITUTE(MID($A1539,K1539+K$2+1,L1539-K1539-K$2-1),",","."))</f>
        <v>0</v>
      </c>
      <c r="AE1539" s="3">
        <f>VALUE(SUBSTITUTE(MID($A1539,L1539+L$2+1,M1539-L1539-L$2-1),",","."))</f>
        <v>0</v>
      </c>
      <c r="AF1539" s="3">
        <f>VALUE(SUBSTITUTE(MID($A1539,M1539+M$2+1,N1539-M1539-M$2-1),",","."))</f>
        <v>0</v>
      </c>
      <c r="AG1539" s="3">
        <f>VALUE(SUBSTITUTE(MID($A1539,N1539+N$2+1,O1539-N1539-N$2-1),",","."))</f>
        <v>4.2472672927717499</v>
      </c>
      <c r="AH1539" t="str">
        <f>MID($A1539,O1539+O$2+1,P1539-O1539-O$2-1)</f>
        <v/>
      </c>
      <c r="AI1539" s="8" t="str">
        <f>MID($A1539,P1539+P$2+1,Q1539-P1539-P$2-1)</f>
        <v>False</v>
      </c>
      <c r="AK1539" t="b">
        <f t="shared" si="200"/>
        <v>0</v>
      </c>
    </row>
  </sheetData>
  <autoFilter ref="A1:AZ1539" xr:uid="{50E8F5E8-E4A9-4DE0-AF0F-9A7F4559F7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test_dataRecordsForecast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Bernegger</cp:lastModifiedBy>
  <dcterms:created xsi:type="dcterms:W3CDTF">2025-11-26T23:01:31Z</dcterms:created>
  <dcterms:modified xsi:type="dcterms:W3CDTF">2025-11-26T23:02:04Z</dcterms:modified>
</cp:coreProperties>
</file>