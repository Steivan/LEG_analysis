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LEG_analysis\Data\MeteoData\StationsData\"/>
    </mc:Choice>
  </mc:AlternateContent>
  <xr:revisionPtr revIDLastSave="0" documentId="13_ncr:1_{0282C369-B76C-4DAC-9AF7-B7A8AC94ECFF}" xr6:coauthVersionLast="47" xr6:coauthVersionMax="47" xr10:uidLastSave="{00000000-0000-0000-0000-000000000000}"/>
  <bookViews>
    <workbookView xWindow="-110" yWindow="-110" windowWidth="38620" windowHeight="21100" activeTab="2" xr2:uid="{C519F2D7-B74E-434C-8D02-3466116E1863}"/>
  </bookViews>
  <sheets>
    <sheet name="sample_7day_forecast" sheetId="2" r:id="rId1"/>
    <sheet name="sample_90hour_nowcast" sheetId="3" r:id="rId2"/>
    <sheet name="Sheet1" sheetId="1" r:id="rId3"/>
  </sheets>
  <definedNames>
    <definedName name="ExternalData_1" localSheetId="0" hidden="1">sample_7day_forecast!$A$1:$O$169</definedName>
    <definedName name="ExternalData_1" localSheetId="1" hidden="1">sample_90hour_nowcast!$A$1:$I$361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53" i="1" s="1"/>
  <c r="G8" i="1"/>
  <c r="G43" i="1" s="1"/>
  <c r="H8" i="1"/>
  <c r="H18" i="1" s="1"/>
  <c r="I8" i="1"/>
  <c r="I19" i="1" s="1"/>
  <c r="J8" i="1"/>
  <c r="J28" i="1" s="1"/>
  <c r="K8" i="1"/>
  <c r="K34" i="1" s="1"/>
  <c r="E8" i="1"/>
  <c r="P61" i="1"/>
  <c r="R61" i="1"/>
  <c r="P62" i="1"/>
  <c r="R62" i="1"/>
  <c r="P63" i="1"/>
  <c r="R63" i="1"/>
  <c r="P16" i="1"/>
  <c r="Q16" i="1"/>
  <c r="P17" i="1"/>
  <c r="P18" i="1"/>
  <c r="P19" i="1"/>
  <c r="P20" i="1"/>
  <c r="P21" i="1"/>
  <c r="P22" i="1"/>
  <c r="P23" i="1"/>
  <c r="P24" i="1"/>
  <c r="P25" i="1"/>
  <c r="P26" i="1"/>
  <c r="P27" i="1"/>
  <c r="P28" i="1"/>
  <c r="Q28" i="1"/>
  <c r="P29" i="1"/>
  <c r="P30" i="1"/>
  <c r="P31" i="1"/>
  <c r="P32" i="1"/>
  <c r="Q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Q52" i="1"/>
  <c r="P53" i="1"/>
  <c r="P54" i="1"/>
  <c r="P55" i="1"/>
  <c r="P56" i="1"/>
  <c r="Q56" i="1"/>
  <c r="P57" i="1"/>
  <c r="P58" i="1"/>
  <c r="P59" i="1"/>
  <c r="P60" i="1"/>
  <c r="P12" i="1"/>
  <c r="R12" i="1"/>
  <c r="P13" i="1"/>
  <c r="R13" i="1"/>
  <c r="P14" i="1"/>
  <c r="R14" i="1"/>
  <c r="P15" i="1"/>
  <c r="H16" i="1"/>
  <c r="C63" i="1"/>
  <c r="Q63" i="1" s="1"/>
  <c r="C62" i="1"/>
  <c r="C61" i="1"/>
  <c r="Q61" i="1" s="1"/>
  <c r="C60" i="1"/>
  <c r="C59" i="1"/>
  <c r="C58" i="1"/>
  <c r="C57" i="1"/>
  <c r="C56" i="1"/>
  <c r="C55" i="1"/>
  <c r="Q55" i="1" s="1"/>
  <c r="C54" i="1"/>
  <c r="C53" i="1"/>
  <c r="C52" i="1"/>
  <c r="C51" i="1"/>
  <c r="C50" i="1"/>
  <c r="C49" i="1"/>
  <c r="C48" i="1"/>
  <c r="C47" i="1"/>
  <c r="C46" i="1"/>
  <c r="C45" i="1"/>
  <c r="C44" i="1"/>
  <c r="C43" i="1"/>
  <c r="Q43" i="1" s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H23" i="1" l="1"/>
  <c r="I16" i="1"/>
  <c r="H22" i="1"/>
  <c r="H38" i="1"/>
  <c r="I54" i="1"/>
  <c r="H29" i="1"/>
  <c r="H53" i="1"/>
  <c r="H54" i="1"/>
  <c r="H51" i="1"/>
  <c r="H31" i="1"/>
  <c r="J54" i="1"/>
  <c r="I30" i="1"/>
  <c r="I43" i="1"/>
  <c r="H35" i="1"/>
  <c r="F57" i="1"/>
  <c r="K49" i="1"/>
  <c r="I41" i="1"/>
  <c r="K41" i="1"/>
  <c r="I31" i="1"/>
  <c r="K55" i="1"/>
  <c r="K23" i="1"/>
  <c r="J60" i="1"/>
  <c r="H15" i="1"/>
  <c r="J25" i="1"/>
  <c r="I38" i="1"/>
  <c r="H30" i="1"/>
  <c r="I15" i="1"/>
  <c r="I39" i="1"/>
  <c r="H28" i="1"/>
  <c r="K29" i="1"/>
  <c r="J17" i="1"/>
  <c r="K17" i="1"/>
  <c r="H32" i="1"/>
  <c r="H52" i="1"/>
  <c r="H20" i="1"/>
  <c r="J31" i="1"/>
  <c r="I51" i="1"/>
  <c r="F58" i="1"/>
  <c r="K47" i="1"/>
  <c r="K26" i="1"/>
  <c r="K25" i="1"/>
  <c r="J59" i="1"/>
  <c r="F43" i="1"/>
  <c r="J26" i="1"/>
  <c r="I40" i="1"/>
  <c r="K58" i="1"/>
  <c r="J42" i="1"/>
  <c r="K27" i="1"/>
  <c r="K51" i="1"/>
  <c r="K57" i="1"/>
  <c r="I42" i="1"/>
  <c r="K44" i="1"/>
  <c r="J57" i="1"/>
  <c r="J53" i="1"/>
  <c r="K39" i="1"/>
  <c r="K21" i="1"/>
  <c r="K33" i="1"/>
  <c r="K16" i="1"/>
  <c r="K43" i="1"/>
  <c r="J23" i="1"/>
  <c r="I36" i="1"/>
  <c r="I48" i="1"/>
  <c r="J51" i="1"/>
  <c r="J16" i="1"/>
  <c r="F42" i="1"/>
  <c r="G54" i="1"/>
  <c r="G20" i="1"/>
  <c r="F54" i="1"/>
  <c r="F45" i="1"/>
  <c r="F40" i="1"/>
  <c r="F30" i="1"/>
  <c r="F20" i="1"/>
  <c r="G57" i="1"/>
  <c r="G27" i="1"/>
  <c r="G56" i="1"/>
  <c r="G33" i="1"/>
  <c r="F27" i="1"/>
  <c r="G35" i="1"/>
  <c r="G55" i="1"/>
  <c r="F33" i="1"/>
  <c r="G49" i="1"/>
  <c r="G46" i="1"/>
  <c r="F22" i="1"/>
  <c r="F15" i="1"/>
  <c r="F46" i="1"/>
  <c r="G41" i="1"/>
  <c r="G15" i="1"/>
  <c r="G51" i="1"/>
  <c r="G45" i="1"/>
  <c r="G40" i="1"/>
  <c r="G30" i="1"/>
  <c r="M8" i="1"/>
  <c r="G53" i="1"/>
  <c r="G44" i="1"/>
  <c r="J15" i="1"/>
  <c r="J43" i="1"/>
  <c r="J39" i="1"/>
  <c r="J29" i="1"/>
  <c r="J18" i="1"/>
  <c r="G19" i="1"/>
  <c r="F44" i="1"/>
  <c r="J38" i="1"/>
  <c r="K38" i="1"/>
  <c r="F25" i="1"/>
  <c r="F19" i="1"/>
  <c r="F51" i="1"/>
  <c r="G32" i="1"/>
  <c r="I29" i="1"/>
  <c r="F24" i="1"/>
  <c r="Q15" i="1"/>
  <c r="H56" i="1"/>
  <c r="K53" i="1"/>
  <c r="K50" i="1"/>
  <c r="H44" i="1"/>
  <c r="J41" i="1"/>
  <c r="F32" i="1"/>
  <c r="K28" i="1"/>
  <c r="I18" i="1"/>
  <c r="Q44" i="1"/>
  <c r="H46" i="1"/>
  <c r="G38" i="1"/>
  <c r="I28" i="1"/>
  <c r="G18" i="1"/>
  <c r="K60" i="1"/>
  <c r="K52" i="1"/>
  <c r="F38" i="1"/>
  <c r="I17" i="1"/>
  <c r="I55" i="1"/>
  <c r="J52" i="1"/>
  <c r="H48" i="1"/>
  <c r="K40" i="1"/>
  <c r="J30" i="1"/>
  <c r="G28" i="1"/>
  <c r="G21" i="1"/>
  <c r="H17" i="1"/>
  <c r="Q20" i="1"/>
  <c r="F56" i="1"/>
  <c r="H41" i="1"/>
  <c r="G31" i="1"/>
  <c r="I60" i="1"/>
  <c r="H55" i="1"/>
  <c r="I52" i="1"/>
  <c r="G48" i="1"/>
  <c r="H43" i="1"/>
  <c r="H40" i="1"/>
  <c r="I35" i="1"/>
  <c r="H27" i="1"/>
  <c r="K20" i="1"/>
  <c r="G17" i="1"/>
  <c r="Q40" i="1"/>
  <c r="E32" i="1"/>
  <c r="E57" i="1"/>
  <c r="E25" i="1"/>
  <c r="E47" i="1"/>
  <c r="E20" i="1"/>
  <c r="E54" i="1"/>
  <c r="E37" i="1"/>
  <c r="E46" i="1"/>
  <c r="E43" i="1"/>
  <c r="E56" i="1"/>
  <c r="E51" i="1"/>
  <c r="E35" i="1"/>
  <c r="E23" i="1"/>
  <c r="E19" i="1"/>
  <c r="E59" i="1"/>
  <c r="E40" i="1"/>
  <c r="E53" i="1"/>
  <c r="E45" i="1"/>
  <c r="E22" i="1"/>
  <c r="E29" i="1"/>
  <c r="E58" i="1"/>
  <c r="E33" i="1"/>
  <c r="E30" i="1"/>
  <c r="E27" i="1"/>
  <c r="E34" i="1"/>
  <c r="H21" i="1"/>
  <c r="F23" i="1"/>
  <c r="Q21" i="1"/>
  <c r="J19" i="1"/>
  <c r="K30" i="1"/>
  <c r="G34" i="1"/>
  <c r="E36" i="1"/>
  <c r="Q33" i="1"/>
  <c r="I32" i="1"/>
  <c r="F47" i="1"/>
  <c r="K42" i="1"/>
  <c r="Q45" i="1"/>
  <c r="I44" i="1"/>
  <c r="I56" i="1"/>
  <c r="G58" i="1"/>
  <c r="Q57" i="1"/>
  <c r="E60" i="1"/>
  <c r="J55" i="1"/>
  <c r="E24" i="1"/>
  <c r="K18" i="1"/>
  <c r="G23" i="1"/>
  <c r="K19" i="1"/>
  <c r="I21" i="1"/>
  <c r="Q22" i="1"/>
  <c r="H34" i="1"/>
  <c r="F36" i="1"/>
  <c r="J32" i="1"/>
  <c r="Q34" i="1"/>
  <c r="I45" i="1"/>
  <c r="G47" i="1"/>
  <c r="E49" i="1"/>
  <c r="Q46" i="1"/>
  <c r="J56" i="1"/>
  <c r="F60" i="1"/>
  <c r="H58" i="1"/>
  <c r="Q58" i="1"/>
  <c r="F48" i="1"/>
  <c r="H45" i="1"/>
  <c r="F35" i="1"/>
  <c r="I22" i="1"/>
  <c r="G24" i="1"/>
  <c r="J21" i="1"/>
  <c r="E26" i="1"/>
  <c r="Q23" i="1"/>
  <c r="G36" i="1"/>
  <c r="K32" i="1"/>
  <c r="I34" i="1"/>
  <c r="Q35" i="1"/>
  <c r="H47" i="1"/>
  <c r="J45" i="1"/>
  <c r="F49" i="1"/>
  <c r="Q47" i="1"/>
  <c r="K56" i="1"/>
  <c r="I58" i="1"/>
  <c r="G60" i="1"/>
  <c r="Q59" i="1"/>
  <c r="I57" i="1"/>
  <c r="E48" i="1"/>
  <c r="J20" i="1"/>
  <c r="E15" i="1"/>
  <c r="Q12" i="1"/>
  <c r="F26" i="1"/>
  <c r="J22" i="1"/>
  <c r="H24" i="1"/>
  <c r="G37" i="1"/>
  <c r="E39" i="1"/>
  <c r="H36" i="1"/>
  <c r="J34" i="1"/>
  <c r="F50" i="1"/>
  <c r="K45" i="1"/>
  <c r="I47" i="1"/>
  <c r="J58" i="1"/>
  <c r="H60" i="1"/>
  <c r="H57" i="1"/>
  <c r="E50" i="1"/>
  <c r="E38" i="1"/>
  <c r="K31" i="1"/>
  <c r="I23" i="1"/>
  <c r="I20" i="1"/>
  <c r="Q48" i="1"/>
  <c r="Q24" i="1"/>
  <c r="E16" i="1"/>
  <c r="Q13" i="1"/>
  <c r="K22" i="1"/>
  <c r="I24" i="1"/>
  <c r="Q25" i="1"/>
  <c r="G26" i="1"/>
  <c r="E28" i="1"/>
  <c r="J35" i="1"/>
  <c r="Q37" i="1"/>
  <c r="H37" i="1"/>
  <c r="F39" i="1"/>
  <c r="G50" i="1"/>
  <c r="E52" i="1"/>
  <c r="Q49" i="1"/>
  <c r="I59" i="1"/>
  <c r="K54" i="1"/>
  <c r="J47" i="1"/>
  <c r="F37" i="1"/>
  <c r="F16" i="1"/>
  <c r="Q14" i="1"/>
  <c r="E17" i="1"/>
  <c r="F28" i="1"/>
  <c r="H26" i="1"/>
  <c r="J24" i="1"/>
  <c r="Q26" i="1"/>
  <c r="I37" i="1"/>
  <c r="G39" i="1"/>
  <c r="E41" i="1"/>
  <c r="K35" i="1"/>
  <c r="Q38" i="1"/>
  <c r="J48" i="1"/>
  <c r="H50" i="1"/>
  <c r="F52" i="1"/>
  <c r="Q50" i="1"/>
  <c r="K59" i="1"/>
  <c r="Q62" i="1"/>
  <c r="H59" i="1"/>
  <c r="E18" i="1"/>
  <c r="G16" i="1"/>
  <c r="F17" i="1"/>
  <c r="F29" i="1"/>
  <c r="K24" i="1"/>
  <c r="I26" i="1"/>
  <c r="Q27" i="1"/>
  <c r="H39" i="1"/>
  <c r="J37" i="1"/>
  <c r="F41" i="1"/>
  <c r="Q39" i="1"/>
  <c r="I50" i="1"/>
  <c r="K48" i="1"/>
  <c r="G52" i="1"/>
  <c r="Q51" i="1"/>
  <c r="G59" i="1"/>
  <c r="J49" i="1"/>
  <c r="K46" i="1"/>
  <c r="J44" i="1"/>
  <c r="J33" i="1"/>
  <c r="I25" i="1"/>
  <c r="F59" i="1"/>
  <c r="I49" i="1"/>
  <c r="J46" i="1"/>
  <c r="E42" i="1"/>
  <c r="K36" i="1"/>
  <c r="I33" i="1"/>
  <c r="H25" i="1"/>
  <c r="G22" i="1"/>
  <c r="H49" i="1"/>
  <c r="I46" i="1"/>
  <c r="J36" i="1"/>
  <c r="H33" i="1"/>
  <c r="G25" i="1"/>
  <c r="Q60" i="1"/>
  <c r="Q36" i="1"/>
  <c r="Q31" i="1"/>
  <c r="Q19" i="1"/>
  <c r="Q54" i="1"/>
  <c r="Q42" i="1"/>
  <c r="Q30" i="1"/>
  <c r="Q18" i="1"/>
  <c r="K37" i="1"/>
  <c r="I53" i="1"/>
  <c r="E55" i="1"/>
  <c r="E44" i="1"/>
  <c r="H42" i="1"/>
  <c r="J40" i="1"/>
  <c r="F34" i="1"/>
  <c r="G29" i="1"/>
  <c r="J27" i="1"/>
  <c r="F21" i="1"/>
  <c r="H19" i="1"/>
  <c r="Q53" i="1"/>
  <c r="Q41" i="1"/>
  <c r="Q29" i="1"/>
  <c r="Q17" i="1"/>
  <c r="J50" i="1"/>
  <c r="F31" i="1"/>
  <c r="F18" i="1"/>
  <c r="K15" i="1"/>
  <c r="F55" i="1"/>
  <c r="E31" i="1"/>
  <c r="G42" i="1"/>
  <c r="I27" i="1"/>
  <c r="E21" i="1"/>
  <c r="M43" i="1" l="1"/>
  <c r="R43" i="1" s="1"/>
  <c r="M16" i="1"/>
  <c r="R16" i="1" s="1"/>
  <c r="M48" i="1"/>
  <c r="R48" i="1" s="1"/>
  <c r="M30" i="1"/>
  <c r="R30" i="1" s="1"/>
  <c r="M24" i="1"/>
  <c r="R24" i="1" s="1"/>
  <c r="M46" i="1"/>
  <c r="R46" i="1" s="1"/>
  <c r="M54" i="1"/>
  <c r="R54" i="1" s="1"/>
  <c r="M58" i="1"/>
  <c r="R58" i="1" s="1"/>
  <c r="M35" i="1"/>
  <c r="R35" i="1" s="1"/>
  <c r="M52" i="1"/>
  <c r="R52" i="1" s="1"/>
  <c r="M60" i="1"/>
  <c r="R60" i="1" s="1"/>
  <c r="M51" i="1"/>
  <c r="R51" i="1" s="1"/>
  <c r="M33" i="1"/>
  <c r="R33" i="1" s="1"/>
  <c r="M17" i="1"/>
  <c r="R17" i="1" s="1"/>
  <c r="M37" i="1"/>
  <c r="R37" i="1" s="1"/>
  <c r="M19" i="1"/>
  <c r="R19" i="1" s="1"/>
  <c r="M22" i="1"/>
  <c r="R22" i="1" s="1"/>
  <c r="M38" i="1"/>
  <c r="R38" i="1" s="1"/>
  <c r="M45" i="1"/>
  <c r="R45" i="1" s="1"/>
  <c r="M59" i="1"/>
  <c r="R59" i="1" s="1"/>
  <c r="M53" i="1"/>
  <c r="R53" i="1" s="1"/>
  <c r="M20" i="1"/>
  <c r="R20" i="1" s="1"/>
  <c r="M25" i="1"/>
  <c r="R25" i="1" s="1"/>
  <c r="M56" i="1"/>
  <c r="R56" i="1" s="1"/>
  <c r="M23" i="1"/>
  <c r="R23" i="1" s="1"/>
  <c r="M32" i="1"/>
  <c r="R32" i="1" s="1"/>
  <c r="M27" i="1"/>
  <c r="R27" i="1" s="1"/>
  <c r="M34" i="1"/>
  <c r="R34" i="1" s="1"/>
  <c r="M29" i="1"/>
  <c r="R29" i="1" s="1"/>
  <c r="M40" i="1"/>
  <c r="R40" i="1" s="1"/>
  <c r="M47" i="1"/>
  <c r="R47" i="1" s="1"/>
  <c r="M28" i="1"/>
  <c r="R28" i="1" s="1"/>
  <c r="M26" i="1"/>
  <c r="R26" i="1" s="1"/>
  <c r="M39" i="1"/>
  <c r="R39" i="1" s="1"/>
  <c r="M21" i="1"/>
  <c r="R21" i="1" s="1"/>
  <c r="M49" i="1"/>
  <c r="R49" i="1" s="1"/>
  <c r="M36" i="1"/>
  <c r="R36" i="1" s="1"/>
  <c r="M50" i="1"/>
  <c r="R50" i="1" s="1"/>
  <c r="M57" i="1"/>
  <c r="R57" i="1" s="1"/>
  <c r="M42" i="1"/>
  <c r="R42" i="1" s="1"/>
  <c r="M41" i="1"/>
  <c r="R41" i="1" s="1"/>
  <c r="M44" i="1"/>
  <c r="R44" i="1" s="1"/>
  <c r="M15" i="1"/>
  <c r="R15" i="1" s="1"/>
  <c r="M31" i="1"/>
  <c r="R31" i="1" s="1"/>
  <c r="M55" i="1"/>
  <c r="R55" i="1" s="1"/>
  <c r="M18" i="1"/>
  <c r="R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4EE0E4-073B-41B0-BBD0-90DE00F54D83}" keepAlive="1" name="Query - sample_7day_forecast" description="Connection to the 'sample_7day_forecast' query in the workbook." type="5" refreshedVersion="8" background="1" saveData="1">
    <dbPr connection="Provider=Microsoft.Mashup.OleDb.1;Data Source=$Workbook$;Location=sample_7day_forecast;Extended Properties=&quot;&quot;" command="SELECT * FROM [sample_7day_forecast]"/>
  </connection>
  <connection id="2" xr16:uid="{BCAB0BA1-EEA1-4AB8-BA18-B055A3F9CC57}" keepAlive="1" name="Query - sample_90hour_nowcast" description="Connection to the 'sample_90hour_nowcast' query in the workbook." type="5" refreshedVersion="8" background="1" saveData="1">
    <dbPr connection="Provider=Microsoft.Mashup.OleDb.1;Data Source=$Workbook$;Location=sample_90hour_nowcast;Extended Properties=&quot;&quot;" command="SELECT * FROM [sample_90hour_nowcast]"/>
  </connection>
</connections>
</file>

<file path=xl/sharedStrings.xml><?xml version="1.0" encoding="utf-8"?>
<sst xmlns="http://schemas.openxmlformats.org/spreadsheetml/2006/main" count="1087" uniqueCount="561">
  <si>
    <t>ForecastPeriod</t>
  </si>
  <si>
    <t>ForecastPeriod.EqualityContract</t>
  </si>
  <si>
    <t>ForecastPeriod.Time</t>
  </si>
  <si>
    <t>ForecastPeriod.TemperatureC</t>
  </si>
  <si>
    <t>ForecastPeriod.RelativeHumidity</t>
  </si>
  <si>
    <t>ForecastPeriod.DewPointC</t>
  </si>
  <si>
    <t>ForecastPeriod.PrecipitationMm</t>
  </si>
  <si>
    <t>ForecastPeriod.SnowfallCm</t>
  </si>
  <si>
    <t>ForecastPeriod.WindSpeedKmh</t>
  </si>
  <si>
    <t>ForecastPeriod.WindDirectionDeg</t>
  </si>
  <si>
    <t>ForecastPeriod.WindGustsKmh</t>
  </si>
  <si>
    <t>ForecastPeriod.SolarRadiationWm2</t>
  </si>
  <si>
    <t>ForecastPeriod.EvapotranspirationMm</t>
  </si>
  <si>
    <t>ForecastPeriod.PressureHpa</t>
  </si>
  <si>
    <t>ForecastPeriod.LocalTime</t>
  </si>
  <si>
    <t>ForecastPeriod { Time = 11/23/2025 12:00:00 AM, TemperatureC = -5, RelativeHumidity = 93, DewPointC = -6, PrecipitationMm = 0, SnowfallCm = 0, WindSpeedKmh = 2.2, WindDirectionDeg = 9, WindGustsKmh = 6.8, SolarRadiationWm2 = 0, EvapotranspirationMm = 0, PressureHpa = 1025.4, LocalTime = 11/23/2025 1:00:00 AM }</t>
  </si>
  <si>
    <t>LEG.MeteoSwiss.Client.Forecast.ForecastPeriod</t>
  </si>
  <si>
    <t>ForecastPeriod { Time = 11/23/2025 1:00:00 AM, TemperatureC = -5.6, RelativeHumidity = 95, DewPointC = -6.3, PrecipitationMm = 0, SnowfallCm = 0, WindSpeedKmh = 0.4, WindDirectionDeg = 180, WindGustsKmh = 2.5, SolarRadiationWm2 = 0, EvapotranspirationMm = 0, PressureHpa = 1025.5, LocalTime = 11/23/2025 2:00:00 AM }</t>
  </si>
  <si>
    <t>ForecastPeriod { Time = 11/23/2025 2:00:00 AM, TemperatureC = -5.7, RelativeHumidity = 93, DewPointC = -6.6, PrecipitationMm = 0, SnowfallCm = 0, WindSpeedKmh = 4, WindDirectionDeg = 350, WindGustsKmh = 5.8, SolarRadiationWm2 = 0, EvapotranspirationMm = 0, PressureHpa = 1024.9, LocalTime = 11/23/2025 3:00:00 AM }</t>
  </si>
  <si>
    <t>ForecastPeriod { Time = 11/23/2025 3:00:00 AM, TemperatureC = -5.9, RelativeHumidity = 94, DewPointC = -6.7, PrecipitationMm = 0, SnowfallCm = 0, WindSpeedKmh = 4.2, WindDirectionDeg = 329, WindGustsKmh = 8.3, SolarRadiationWm2 = 0, EvapotranspirationMm = 0, PressureHpa = 1024.7, LocalTime = 11/23/2025 4:00:00 AM }</t>
  </si>
  <si>
    <t>ForecastPeriod { Time = 11/23/2025 4:00:00 AM, TemperatureC = -6.1, RelativeHumidity = 95, DewPointC = -6.8, PrecipitationMm = 0, SnowfallCm = 0, WindSpeedKmh = 1.8, WindDirectionDeg = 53, WindGustsKmh = 8.6, SolarRadiationWm2 = 0, EvapotranspirationMm = 0, PressureHpa = 1024, LocalTime = 11/23/2025 5:00:00 AM }</t>
  </si>
  <si>
    <t>ForecastPeriod { Time = 11/23/2025 5:00:00 AM, TemperatureC = -6.2, RelativeHumidity = 93, DewPointC = -7.1, PrecipitationMm = 0, SnowfallCm = 0, WindSpeedKmh = 2.3, WindDirectionDeg = 342, WindGustsKmh = 2.5, SolarRadiationWm2 = 0, EvapotranspirationMm = 0, PressureHpa = 1023.1, LocalTime = 11/23/2025 6:00:00 AM }</t>
  </si>
  <si>
    <t>ForecastPeriod { Time = 11/23/2025 6:00:00 AM, TemperatureC = -6.6, RelativeHumidity = 91, DewPointC = -7.8, PrecipitationMm = 0, SnowfallCm = 0, WindSpeedKmh = 2.9, WindDirectionDeg = 360, WindGustsKmh = 6.1, SolarRadiationWm2 = 0, EvapotranspirationMm = 0, PressureHpa = 1022.6, LocalTime = 11/23/2025 7:00:00 AM }</t>
  </si>
  <si>
    <t>ForecastPeriod { Time = 11/23/2025 7:00:00 AM, TemperatureC = -6.2, RelativeHumidity = 89, DewPointC = -7.7, PrecipitationMm = 0, SnowfallCm = 0, WindSpeedKmh = 3, WindDirectionDeg = 14, WindGustsKmh = 5, SolarRadiationWm2 = 0, EvapotranspirationMm = 0, PressureHpa = 1022.9, LocalTime = 11/23/2025 8:00:00 AM }</t>
  </si>
  <si>
    <t>ForecastPeriod { Time = 11/23/2025 8:00:00 AM, TemperatureC = -6.3, RelativeHumidity = 93, DewPointC = -7.3, PrecipitationMm = 0, SnowfallCm = 0, WindSpeedKmh = 2.8, WindDirectionDeg = 50, WindGustsKmh = 4.7, SolarRadiationWm2 = 2, EvapotranspirationMm = 0, PressureHpa = 1022.1, LocalTime = 11/23/2025 9:00:00 AM }</t>
  </si>
  <si>
    <t>ForecastPeriod { Time = 11/23/2025 9:00:00 AM, TemperatureC = -5.7, RelativeHumidity = 92, DewPointC = -6.8, PrecipitationMm = 0, SnowfallCm = 0, WindSpeedKmh = 2.3, WindDirectionDeg = 51, WindGustsKmh = 4.3, SolarRadiationWm2 = 66.5, EvapotranspirationMm = 0, PressureHpa = 1021.7, LocalTime = 11/23/2025 10:00:00 AM }</t>
  </si>
  <si>
    <t>ForecastPeriod { Time = 11/23/2025 10:00:00 AM, TemperatureC = -4.7, RelativeHumidity = 95, DewPointC = -5.4, PrecipitationMm = 0, SnowfallCm = 0, WindSpeedKmh = 2.6, WindDirectionDeg = 74, WindGustsKmh = 4.7, SolarRadiationWm2 = 153.8, EvapotranspirationMm = 0, PressureHpa = 1021.7, LocalTime = 11/23/2025 11:00:00 AM }</t>
  </si>
  <si>
    <t>ForecastPeriod { Time = 11/23/2025 11:00:00 AM, TemperatureC = -3.5, RelativeHumidity = 89, DewPointC = -5, PrecipitationMm = 0, SnowfallCm = 0, WindSpeedKmh = 4.8, WindDirectionDeg = 117, WindGustsKmh = 9, SolarRadiationWm2 = 148.2, EvapotranspirationMm = 0, PressureHpa = 1020.2, LocalTime = 11/23/2025 12:00:00 PM }</t>
  </si>
  <si>
    <t>ForecastPeriod { Time = 11/23/2025 12:00:00 PM, TemperatureC = -1.7, RelativeHumidity = 79, DewPointC = -4.9, PrecipitationMm = 0, SnowfallCm = 0, WindSpeedKmh = 3.9, WindDirectionDeg = 124, WindGustsKmh = 11.9, SolarRadiationWm2 = 242.8, EvapotranspirationMm = 0, PressureHpa = 1018.6, LocalTime = 11/23/2025 1:00:00 PM }</t>
  </si>
  <si>
    <t>ForecastPeriod { Time = 11/23/2025 1:00:00 PM, TemperatureC = -0.3, RelativeHumidity = 72, DewPointC = -4.8, PrecipitationMm = 0, SnowfallCm = 0, WindSpeedKmh = 1.5, WindDirectionDeg = 104, WindGustsKmh = 7.9, SolarRadiationWm2 = 281.5, EvapotranspirationMm = 0, PressureHpa = 1017.4, LocalTime = 11/23/2025 2:00:00 PM }</t>
  </si>
  <si>
    <t>ForecastPeriod { Time = 11/23/2025 2:00:00 PM, TemperatureC = 0.6, RelativeHumidity = 65, DewPointC = -5.3, PrecipitationMm = 0, SnowfallCm = 0, WindSpeedKmh = 4.9, WindDirectionDeg = 126, WindGustsKmh = 8.6, SolarRadiationWm2 = 182, EvapotranspirationMm = 0, PressureHpa = 1016.2, LocalTime = 11/23/2025 3:00:00 PM }</t>
  </si>
  <si>
    <t>ForecastPeriod { Time = 11/23/2025 3:00:00 PM, TemperatureC = 1, RelativeHumidity = 63, DewPointC = -5.3, PrecipitationMm = 0, SnowfallCm = 0, WindSpeedKmh = 7.9, WindDirectionDeg = 133, WindGustsKmh = 16.2, SolarRadiationWm2 = 115.8, EvapotranspirationMm = 0, PressureHpa = 1014.5, LocalTime = 11/23/2025 4:00:00 PM }</t>
  </si>
  <si>
    <t>ForecastPeriod { Time = 11/23/2025 4:00:00 PM, TemperatureC = 1.1, RelativeHumidity = 67, DewPointC = -4.4, PrecipitationMm = 0, SnowfallCm = 0, WindSpeedKmh = 3.3, WindDirectionDeg = 103, WindGustsKmh = 10.4, SolarRadiationWm2 = 68, EvapotranspirationMm = 0, PressureHpa = 1014.3, LocalTime = 11/23/2025 5:00:00 PM }</t>
  </si>
  <si>
    <t>ForecastPeriod { Time = 11/23/2025 5:00:00 PM, TemperatureC = 0.9, RelativeHumidity = 70, DewPointC = -4, PrecipitationMm = 0, SnowfallCm = 0, WindSpeedKmh = 4.9, WindDirectionDeg = 126, WindGustsKmh = 9, SolarRadiationWm2 = 7, EvapotranspirationMm = 0, PressureHpa = 1013.4, LocalTime = 11/23/2025 6:00:00 PM }</t>
  </si>
  <si>
    <t>ForecastPeriod { Time = 11/23/2025 6:00:00 PM, TemperatureC = 0.9, RelativeHumidity = 72, DewPointC = -3.6, PrecipitationMm = 0, SnowfallCm = 0, WindSpeedKmh = 3, WindDirectionDeg = 104, WindGustsKmh = 9.7, SolarRadiationWm2 = 0, EvapotranspirationMm = 0, PressureHpa = 1012.5, LocalTime = 11/23/2025 7:00:00 PM }</t>
  </si>
  <si>
    <t>ForecastPeriod { Time = 11/23/2025 7:00:00 PM, TemperatureC = 1, RelativeHumidity = 77, DewPointC = -2.6, PrecipitationMm = 0, SnowfallCm = 0, WindSpeedKmh = 5.1, WindDirectionDeg = 129, WindGustsKmh = 7.9, SolarRadiationWm2 = 0, EvapotranspirationMm = 0, PressureHpa = 1011.8, LocalTime = 11/23/2025 8:00:00 PM }</t>
  </si>
  <si>
    <t>ForecastPeriod { Time = 11/23/2025 8:00:00 PM, TemperatureC = 0.3, RelativeHumidity = 87, DewPointC = -1.6, PrecipitationMm = 0.4, SnowfallCm = 0.07, WindSpeedKmh = 5.4, WindDirectionDeg = 94, WindGustsKmh = 8.3, SolarRadiationWm2 = 0, EvapotranspirationMm = 0, PressureHpa = 1011.5, LocalTime = 11/23/2025 9:00:00 PM }</t>
  </si>
  <si>
    <t>ForecastPeriod { Time = 11/23/2025 9:00:00 PM, TemperatureC = 0.5, RelativeHumidity = 88, DewPointC = -1.2, PrecipitationMm = 2.1, SnowfallCm = 0.07, WindSpeedKmh = 5.4, WindDirectionDeg = 127, WindGustsKmh = 11.9, SolarRadiationWm2 = 0, EvapotranspirationMm = 0, PressureHpa = 1010.3, LocalTime = 11/23/2025 10:00:00 PM }</t>
  </si>
  <si>
    <t>ForecastPeriod { Time = 11/23/2025 10:00:00 PM, TemperatureC = 1, RelativeHumidity = 88, DewPointC = -0.7, PrecipitationMm = 2, SnowfallCm = 0, WindSpeedKmh = 2.5, WindDirectionDeg = 135, WindGustsKmh = 10.4, SolarRadiationWm2 = 0, EvapotranspirationMm = 0, PressureHpa = 1009.1, LocalTime = 11/23/2025 11:00:00 PM }</t>
  </si>
  <si>
    <t>ForecastPeriod { Time = 11/23/2025 11:00:00 PM, TemperatureC = 1.3, RelativeHumidity = 90, DewPointC = -0.2, PrecipitationMm = 1.7, SnowfallCm = 0, WindSpeedKmh = 4.7, WindDirectionDeg = 94, WindGustsKmh = 9, SolarRadiationWm2 = 0, EvapotranspirationMm = 0, PressureHpa = 1007.8, LocalTime = 11/24/2025 12:00:00 AM }</t>
  </si>
  <si>
    <t>ForecastPeriod { Time = 11/24/2025 12:00:00 AM, TemperatureC = 1.4, RelativeHumidity = 92, DewPointC = 0.2, PrecipitationMm = 1.6, SnowfallCm = 0, WindSpeedKmh = 3.7, WindDirectionDeg = 101, WindGustsKmh = 7.2, SolarRadiationWm2 = 0, EvapotranspirationMm = 0, PressureHpa = 1007.1, LocalTime = 11/24/2025 1:00:00 AM }</t>
  </si>
  <si>
    <t>ForecastPeriod { Time = 11/24/2025 1:00:00 AM, TemperatureC = 1.4, RelativeHumidity = 94, DewPointC = 0.6, PrecipitationMm = 1.6, SnowfallCm = 0, WindSpeedKmh = 4, WindDirectionDeg = 90, WindGustsKmh = 6.1, SolarRadiationWm2 = 0, EvapotranspirationMm = 0, PressureHpa = 1006.9, LocalTime = 11/24/2025 2:00:00 AM }</t>
  </si>
  <si>
    <t>ForecastPeriod { Time = 11/24/2025 2:00:00 AM, TemperatureC = 1.6, RelativeHumidity = 94, DewPointC = 0.7, PrecipitationMm = 1.5, SnowfallCm = 0, WindSpeedKmh = 3.7, WindDirectionDeg = 79, WindGustsKmh = 6.1, SolarRadiationWm2 = 0, EvapotranspirationMm = 0, PressureHpa = 1006.8, LocalTime = 11/24/2025 3:00:00 AM }</t>
  </si>
  <si>
    <t>ForecastPeriod { Time = 11/24/2025 3:00:00 AM, TemperatureC = 1.8, RelativeHumidity = 96, DewPointC = 1.2, PrecipitationMm = 2.2, SnowfallCm = 0, WindSpeedKmh = 3.6, WindDirectionDeg = 84, WindGustsKmh = 6.1, SolarRadiationWm2 = 0, EvapotranspirationMm = 0, PressureHpa = 1006.5, LocalTime = 11/24/2025 4:00:00 AM }</t>
  </si>
  <si>
    <t>ForecastPeriod { Time = 11/24/2025 4:00:00 AM, TemperatureC = 1.8, RelativeHumidity = 98, DewPointC = 1.5, PrecipitationMm = 2.4, SnowfallCm = 0, WindSpeedKmh = 4.7, WindDirectionDeg = 113, WindGustsKmh = 7.2, SolarRadiationWm2 = 0, EvapotranspirationMm = 0, PressureHpa = 1005.8, LocalTime = 11/24/2025 5:00:00 AM }</t>
  </si>
  <si>
    <t>ForecastPeriod { Time = 11/24/2025 5:00:00 AM, TemperatureC = 1.9, RelativeHumidity = 98, DewPointC = 1.6, PrecipitationMm = 2.7, SnowfallCm = 0, WindSpeedKmh = 4.5, WindDirectionDeg = 119, WindGustsKmh = 7.9, SolarRadiationWm2 = 0, EvapotranspirationMm = 0, PressureHpa = 1005.4, LocalTime = 11/24/2025 6:00:00 AM }</t>
  </si>
  <si>
    <t>ForecastPeriod { Time = 11/24/2025 6:00:00 AM, TemperatureC = 2.1, RelativeHumidity = 98, DewPointC = 1.8, PrecipitationMm = 2.6, SnowfallCm = 0, WindSpeedKmh = 4.4, WindDirectionDeg = 125, WindGustsKmh = 7.6, SolarRadiationWm2 = 0, EvapotranspirationMm = 0, PressureHpa = 1005, LocalTime = 11/24/2025 7:00:00 AM }</t>
  </si>
  <si>
    <t>ForecastPeriod { Time = 11/24/2025 7:00:00 AM, TemperatureC = 2.2, RelativeHumidity = 98, DewPointC = 1.9, PrecipitationMm = 2.8, SnowfallCm = 0, WindSpeedKmh = 4.6, WindDirectionDeg = 129, WindGustsKmh = 7.2, SolarRadiationWm2 = 0, EvapotranspirationMm = 0, PressureHpa = 1004.7, LocalTime = 11/24/2025 8:00:00 AM }</t>
  </si>
  <si>
    <t>ForecastPeriod { Time = 11/24/2025 8:00:00 AM, TemperatureC = 2.4, RelativeHumidity = 98, DewPointC = 2.1, PrecipitationMm = 2.8, SnowfallCm = 0, WindSpeedKmh = 4.9, WindDirectionDeg = 126, WindGustsKmh = 8.6, SolarRadiationWm2 = 0.2, EvapotranspirationMm = 0, PressureHpa = 1004.4, LocalTime = 11/24/2025 9:00:00 AM }</t>
  </si>
  <si>
    <t>ForecastPeriod { Time = 11/24/2025 9:00:00 AM, TemperatureC = 2.5, RelativeHumidity = 98, DewPointC = 2.2, PrecipitationMm = 3, SnowfallCm = 0, WindSpeedKmh = 3.6, WindDirectionDeg = 84, WindGustsKmh = 7.9, SolarRadiationWm2 = 10, EvapotranspirationMm = 0, PressureHpa = 1004.1, LocalTime = 11/24/2025 10:00:00 AM }</t>
  </si>
  <si>
    <t>ForecastPeriod { Time = 11/24/2025 10:00:00 AM, TemperatureC = 2.7, RelativeHumidity = 98, DewPointC = 2.4, PrecipitationMm = 2.7, SnowfallCm = 0, WindSpeedKmh = 3.7, WindDirectionDeg = 79, WindGustsKmh = 6.5, SolarRadiationWm2 = 25.2, EvapotranspirationMm = 0, PressureHpa = 1003.7, LocalTime = 11/24/2025 11:00:00 AM }</t>
  </si>
  <si>
    <t>ForecastPeriod { Time = 11/24/2025 11:00:00 AM, TemperatureC = 3.1, RelativeHumidity = 98, DewPointC = 2.8, PrecipitationMm = 2.4, SnowfallCm = 0, WindSpeedKmh = 2.5, WindDirectionDeg = 98, WindGustsKmh = 6.5, SolarRadiationWm2 = 36, EvapotranspirationMm = 0, PressureHpa = 1002.9, LocalTime = 11/24/2025 12:00:00 PM }</t>
  </si>
  <si>
    <t>ForecastPeriod { Time = 11/24/2025 12:00:00 PM, TemperatureC = 3.6, RelativeHumidity = 98, DewPointC = 3.3, PrecipitationMm = 2.1, SnowfallCm = 0, WindSpeedKmh = 1.5, WindDirectionDeg = 135, WindGustsKmh = 3.2, SolarRadiationWm2 = 58.5, EvapotranspirationMm = 0, PressureHpa = 1001.5, LocalTime = 11/24/2025 1:00:00 PM }</t>
  </si>
  <si>
    <t>ForecastPeriod { Time = 11/24/2025 1:00:00 PM, TemperatureC = 3.9, RelativeHumidity = 97, DewPointC = 3.5, PrecipitationMm = 1.5, SnowfallCm = 0, WindSpeedKmh = 2.1, WindDirectionDeg = 121, WindGustsKmh = 4.7, SolarRadiationWm2 = 72.5, EvapotranspirationMm = 0, PressureHpa = 1000.3, LocalTime = 11/24/2025 2:00:00 PM }</t>
  </si>
  <si>
    <t>ForecastPeriod { Time = 11/24/2025 2:00:00 PM, TemperatureC = 4.4, RelativeHumidity = 97, DewPointC = 4, PrecipitationMm = 1.2, SnowfallCm = 0, WindSpeedKmh = 2.8, WindDirectionDeg = 130, WindGustsKmh = 5.8, SolarRadiationWm2 = 76.8, EvapotranspirationMm = 0, PressureHpa = 999.2, LocalTime = 11/24/2025 3:00:00 PM }</t>
  </si>
  <si>
    <t>ForecastPeriod { Time = 11/24/2025 3:00:00 PM, TemperatureC = 4.4, RelativeHumidity = 96, DewPointC = 3.8, PrecipitationMm = 1, SnowfallCm = 0, WindSpeedKmh = 2.2, WindDirectionDeg = 81, WindGustsKmh = 3.6, SolarRadiationWm2 = 44, EvapotranspirationMm = 0, PressureHpa = 998.9, LocalTime = 11/24/2025 4:00:00 PM }</t>
  </si>
  <si>
    <t>ForecastPeriod { Time = 11/24/2025 4:00:00 PM, TemperatureC = 4.2, RelativeHumidity = 96, DewPointC = 3.6, PrecipitationMm = 1.7, SnowfallCm = 0, WindSpeedKmh = 1.8, WindDirectionDeg = 101, WindGustsKmh = 3.2, SolarRadiationWm2 = 21.5, EvapotranspirationMm = 0, PressureHpa = 998.7, LocalTime = 11/24/2025 5:00:00 PM }</t>
  </si>
  <si>
    <t>ForecastPeriod { Time = 11/24/2025 5:00:00 PM, TemperatureC = 3.7, RelativeHumidity = 97, DewPointC = 3.3, PrecipitationMm = 2.1, SnowfallCm = 0, WindSpeedKmh = 1.9, WindDirectionDeg = 68, WindGustsKmh = 2.5, SolarRadiationWm2 = 3.2, EvapotranspirationMm = 0, PressureHpa = 998.3, LocalTime = 11/24/2025 6:00:00 PM }</t>
  </si>
  <si>
    <t>ForecastPeriod { Time = 11/24/2025 6:00:00 PM, TemperatureC = 3.2, RelativeHumidity = 97, DewPointC = 2.8, PrecipitationMm = 3.2, SnowfallCm = 0, WindSpeedKmh = 2.3, WindDirectionDeg = 72, WindGustsKmh = 3.2, SolarRadiationWm2 = 0, EvapotranspirationMm = 0, PressureHpa = 998.6, LocalTime = 11/24/2025 7:00:00 PM }</t>
  </si>
  <si>
    <t>ForecastPeriod { Time = 11/24/2025 7:00:00 PM, TemperatureC = 3.5, RelativeHumidity = 98, DewPointC = 3.2, PrecipitationMm = 3.9, SnowfallCm = 0, WindSpeedKmh = 2.2, WindDirectionDeg = 90, WindGustsKmh = 5.4, SolarRadiationWm2 = 0, EvapotranspirationMm = 0, PressureHpa = 999, LocalTime = 11/24/2025 8:00:00 PM }</t>
  </si>
  <si>
    <t>ForecastPeriod { Time = 11/24/2025 8:00:00 PM, TemperatureC = 3.6, RelativeHumidity = 99, DewPointC = 3.4, PrecipitationMm = 4.7, SnowfallCm = 0, WindSpeedKmh = 2.6, WindDirectionDeg = 74, WindGustsKmh = 5.4, SolarRadiationWm2 = 0, EvapotranspirationMm = 0, PressureHpa = 999.6, LocalTime = 11/24/2025 9:00:00 PM }</t>
  </si>
  <si>
    <t>ForecastPeriod { Time = 11/24/2025 9:00:00 PM, TemperatureC = 3.5, RelativeHumidity = 96, DewPointC = 2.9, PrecipitationMm = 3.4, SnowfallCm = 0, WindSpeedKmh = 8.4, WindDirectionDeg = 335, WindGustsKmh = 15.5, SolarRadiationWm2 = 0, EvapotranspirationMm = 0, PressureHpa = 1000.4, LocalTime = 11/24/2025 10:00:00 PM }</t>
  </si>
  <si>
    <t>ForecastPeriod { Time = 11/24/2025 10:00:00 PM, TemperatureC = 3.5, RelativeHumidity = 91, DewPointC = 2.1, PrecipitationMm = 1.1, SnowfallCm = 0, WindSpeedKmh = 1.1, WindDirectionDeg = 72, WindGustsKmh = 13, SolarRadiationWm2 = 0, EvapotranspirationMm = 0, PressureHpa = 1000.9, LocalTime = 11/24/2025 11:00:00 PM }</t>
  </si>
  <si>
    <t>ForecastPeriod { Time = 11/24/2025 11:00:00 PM, TemperatureC = 3.3, RelativeHumidity = 92, DewPointC = 2.1, PrecipitationMm = 0.6, SnowfallCm = 0, WindSpeedKmh = 3.1, WindDirectionDeg = 135, WindGustsKmh = 5.4, SolarRadiationWm2 = 0, EvapotranspirationMm = 0, PressureHpa = 1001.4, LocalTime = 11/25/2025 12:00:00 AM }</t>
  </si>
  <si>
    <t>ForecastPeriod { Time = 11/25/2025 12:00:00 AM, TemperatureC = 2.7, RelativeHumidity = 95, DewPointC = 2, PrecipitationMm = 0.4, SnowfallCm = 0, WindSpeedKmh = 3.5, WindDirectionDeg = 114, WindGustsKmh = 5.8, SolarRadiationWm2 = 0, EvapotranspirationMm = 0, PressureHpa = 1002.1, LocalTime = 11/25/2025 1:00:00 AM }</t>
  </si>
  <si>
    <t>ForecastPeriod { Time = 11/25/2025 1:00:00 AM, TemperatureC = 2.6, RelativeHumidity = 95, DewPointC = 1.9, PrecipitationMm = 0.6, SnowfallCm = 0, WindSpeedKmh = 5.4, WindDirectionDeg = 110, WindGustsKmh = 8.6, SolarRadiationWm2 = 0, EvapotranspirationMm = 0, PressureHpa = 1002.5, LocalTime = 11/25/2025 2:00:00 AM }</t>
  </si>
  <si>
    <t>ForecastPeriod { Time = 11/25/2025 2:00:00 AM, TemperatureC = 2.7, RelativeHumidity = 93, DewPointC = 1.7, PrecipitationMm = 0.1, SnowfallCm = 0, WindSpeedKmh = 5.8, WindDirectionDeg = 120, WindGustsKmh = 10.4, SolarRadiationWm2 = 0, EvapotranspirationMm = 0, PressureHpa = 1002.5, LocalTime = 11/25/2025 3:00:00 AM }</t>
  </si>
  <si>
    <t>ForecastPeriod { Time = 11/25/2025 3:00:00 AM, TemperatureC = 3, RelativeHumidity = 93, DewPointC = 2, PrecipitationMm = 0.2, SnowfallCm = 0, WindSpeedKmh = 5.4, WindDirectionDeg = 110, WindGustsKmh = 9, SolarRadiationWm2 = 0, EvapotranspirationMm = 0, PressureHpa = 1002.1, LocalTime = 11/25/2025 4:00:00 AM }</t>
  </si>
  <si>
    <t>ForecastPeriod { Time = 11/25/2025 4:00:00 AM, TemperatureC = 2.6, RelativeHumidity = 94, DewPointC = 1.7, PrecipitationMm = 0, SnowfallCm = 0, WindSpeedKmh = 5.8, WindDirectionDeg = 112, WindGustsKmh = 9.4, SolarRadiationWm2 = 0, EvapotranspirationMm = 0, PressureHpa = 1001.9, LocalTime = 11/25/2025 5:00:00 AM }</t>
  </si>
  <si>
    <t>ForecastPeriod { Time = 11/25/2025 5:00:00 AM, TemperatureC = 2.4, RelativeHumidity = 95, DewPointC = 1.7, PrecipitationMm = 0, SnowfallCm = 0, WindSpeedKmh = 5.2, WindDirectionDeg = 124, WindGustsKmh = 11.5, SolarRadiationWm2 = 0, EvapotranspirationMm = 0, PressureHpa = 1002.3, LocalTime = 11/25/2025 6:00:00 AM }</t>
  </si>
  <si>
    <t>ForecastPeriod { Time = 11/25/2025 6:00:00 AM, TemperatureC = 1.9, RelativeHumidity = 96, DewPointC = 1.3, PrecipitationMm = 0, SnowfallCm = 0, WindSpeedKmh = 4.2, WindDirectionDeg = 110, WindGustsKmh = 9, SolarRadiationWm2 = 0, EvapotranspirationMm = 0, PressureHpa = 1002.5, LocalTime = 11/25/2025 7:00:00 AM }</t>
  </si>
  <si>
    <t>ForecastPeriod { Time = 11/25/2025 7:00:00 AM, TemperatureC = 2, RelativeHumidity = 94, DewPointC = 1.2, PrecipitationMm = 0.1, SnowfallCm = 0, WindSpeedKmh = 3.8, WindDirectionDeg = 131, WindGustsKmh = 7.9, SolarRadiationWm2 = 0, EvapotranspirationMm = 0, PressureHpa = 1003, LocalTime = 11/25/2025 8:00:00 AM }</t>
  </si>
  <si>
    <t>ForecastPeriod { Time = 11/25/2025 8:00:00 AM, TemperatureC = 2.7, RelativeHumidity = 92, DewPointC = 1.5, PrecipitationMm = 0.3, SnowfallCm = 0, WindSpeedKmh = 4.2, WindDirectionDeg = 121, WindGustsKmh = 6.8, SolarRadiationWm2 = 0.5, EvapotranspirationMm = 0, PressureHpa = 1003.3, LocalTime = 11/25/2025 9:00:00 AM }</t>
  </si>
  <si>
    <t>ForecastPeriod { Time = 11/25/2025 9:00:00 AM, TemperatureC = 3.1, RelativeHumidity = 90, DewPointC = 1.6, PrecipitationMm = 0.4, SnowfallCm = 0, WindSpeedKmh = 3.6, WindDirectionDeg = 143, WindGustsKmh = 6.5, SolarRadiationWm2 = 14.8, EvapotranspirationMm = 0, PressureHpa = 1003.9, LocalTime = 11/25/2025 10:00:00 AM }</t>
  </si>
  <si>
    <t>ForecastPeriod { Time = 11/25/2025 10:00:00 AM, TemperatureC = 3.4, RelativeHumidity = 90, DewPointC = 1.9, PrecipitationMm = 0.5, SnowfallCm = 0, WindSpeedKmh = 5.1, WindDirectionDeg = 129, WindGustsKmh = 9, SolarRadiationWm2 = 46, EvapotranspirationMm = 0, PressureHpa = 1004.5, LocalTime = 11/25/2025 11:00:00 AM }</t>
  </si>
  <si>
    <t>ForecastPeriod { Time = 11/25/2025 11:00:00 AM, TemperatureC = 2.9, RelativeHumidity = 91, DewPointC = 1.5, PrecipitationMm = 0.1, SnowfallCm = 0, WindSpeedKmh = 4, WindDirectionDeg = 190, WindGustsKmh = 8.6, SolarRadiationWm2 = 82, EvapotranspirationMm = 0, PressureHpa = 1004.8, LocalTime = 11/25/2025 12:00:00 PM }</t>
  </si>
  <si>
    <t>ForecastPeriod { Time = 11/25/2025 12:00:00 PM, TemperatureC = 3.3, RelativeHumidity = 87, DewPointC = 1.3, PrecipitationMm = 0.4, SnowfallCm = 0, WindSpeedKmh = 8.7, WindDirectionDeg = 232, WindGustsKmh = 16.6, SolarRadiationWm2 = 99, EvapotranspirationMm = 0, PressureHpa = 1004.8, LocalTime = 11/25/2025 1:00:00 PM }</t>
  </si>
  <si>
    <t>ForecastPeriod { Time = 11/25/2025 1:00:00 PM, TemperatureC = 3.8, RelativeHumidity = 84, DewPointC = 1.4, PrecipitationMm = 0.1, SnowfallCm = 0, WindSpeedKmh = 8.9, WindDirectionDeg = 230, WindGustsKmh = 18.7, SolarRadiationWm2 = 114, EvapotranspirationMm = 0, PressureHpa = 1004.6, LocalTime = 11/25/2025 2:00:00 PM }</t>
  </si>
  <si>
    <t>ForecastPeriod { Time = 11/25/2025 2:00:00 PM, TemperatureC = 3.8, RelativeHumidity = 87, DewPointC = 1.8, PrecipitationMm = 0.3, SnowfallCm = 0, WindSpeedKmh = 12.1, WindDirectionDeg = 240, WindGustsKmh = 22.7, SolarRadiationWm2 = 94, EvapotranspirationMm = 0, PressureHpa = 1004.9, LocalTime = 11/25/2025 3:00:00 PM }</t>
  </si>
  <si>
    <t>ForecastPeriod { Time = 11/25/2025 3:00:00 PM, TemperatureC = 3.5, RelativeHumidity = 87, DewPointC = 1.6, PrecipitationMm = 0.3, SnowfallCm = 0, WindSpeedKmh = 12.8, WindDirectionDeg = 254, WindGustsKmh = 25.9, SolarRadiationWm2 = 68, EvapotranspirationMm = 0, PressureHpa = 1005.6, LocalTime = 11/25/2025 4:00:00 PM }</t>
  </si>
  <si>
    <t>ForecastPeriod { Time = 11/25/2025 4:00:00 PM, TemperatureC = 3.2, RelativeHumidity = 89, DewPointC = 1.5, PrecipitationMm = 0.3, SnowfallCm = 0, WindSpeedKmh = 10.2, WindDirectionDeg = 247, WindGustsKmh = 24.8, SolarRadiationWm2 = 30, EvapotranspirationMm = 0, PressureHpa = 1006.2, LocalTime = 11/25/2025 5:00:00 PM }</t>
  </si>
  <si>
    <t>ForecastPeriod { Time = 11/25/2025 5:00:00 PM, TemperatureC = 2.8, RelativeHumidity = 89, DewPointC = 1.1, PrecipitationMm = 0.2, SnowfallCm = 0, WindSpeedKmh = 6.4, WindDirectionDeg = 218, WindGustsKmh = 19.1, SolarRadiationWm2 = 4, EvapotranspirationMm = 0, PressureHpa = 1006.7, LocalTime = 11/25/2025 6:00:00 PM }</t>
  </si>
  <si>
    <t>ForecastPeriod { Time = 11/25/2025 6:00:00 PM, TemperatureC = 2.3, RelativeHumidity = 91, DewPointC = 1, PrecipitationMm = 0.8, SnowfallCm = 0, WindSpeedKmh = 5.9, WindDirectionDeg = 227, WindGustsKmh = 14.8, SolarRadiationWm2 = 0, EvapotranspirationMm = 0, PressureHpa = 1007.4, LocalTime = 11/25/2025 7:00:00 PM }</t>
  </si>
  <si>
    <t>ForecastPeriod { Time = 11/25/2025 7:00:00 PM, TemperatureC = 2, RelativeHumidity = 92, DewPointC = 0.8, PrecipitationMm = 1, SnowfallCm = 0, WindSpeedKmh = 4.8, WindDirectionDeg = 193, WindGustsKmh = 10.4, SolarRadiationWm2 = 0, EvapotranspirationMm = 0, PressureHpa = 1008.3, LocalTime = 11/25/2025 8:00:00 PM }</t>
  </si>
  <si>
    <t>ForecastPeriod { Time = 11/25/2025 8:00:00 PM, TemperatureC = 1.7, RelativeHumidity = 94, DewPointC = 0.8, PrecipitationMm = 0.7, SnowfallCm = 0, WindSpeedKmh = 4.3, WindDirectionDeg = 175, WindGustsKmh = 7.6, SolarRadiationWm2 = 0, EvapotranspirationMm = 0, PressureHpa = 1009.1, LocalTime = 11/25/2025 9:00:00 PM }</t>
  </si>
  <si>
    <t>ForecastPeriod { Time = 11/25/2025 9:00:00 PM, TemperatureC = 1.6, RelativeHumidity = 95, DewPointC = 0.9, PrecipitationMm = 0.5, SnowfallCm = 0, WindSpeedKmh = 2.9, WindDirectionDeg = 173, WindGustsKmh = 6.8, SolarRadiationWm2 = 0, EvapotranspirationMm = 0, PressureHpa = 1009.7, LocalTime = 11/25/2025 10:00:00 PM }</t>
  </si>
  <si>
    <t>ForecastPeriod { Time = 11/25/2025 10:00:00 PM, TemperatureC = 1.6, RelativeHumidity = 95, DewPointC = 0.9, PrecipitationMm = 0.4, SnowfallCm = 0, WindSpeedKmh = 3.1, WindDirectionDeg = 201, WindGustsKmh = 4, SolarRadiationWm2 = 0, EvapotranspirationMm = 0, PressureHpa = 1010.1, LocalTime = 11/25/2025 11:00:00 PM }</t>
  </si>
  <si>
    <t>ForecastPeriod { Time = 11/25/2025 11:00:00 PM, TemperatureC = 1.5, RelativeHumidity = 95, DewPointC = 0.8, PrecipitationMm = 0.3, SnowfallCm = 0, WindSpeedKmh = 2.7, WindDirectionDeg = 203, WindGustsKmh = 4.3, SolarRadiationWm2 = 0, EvapotranspirationMm = 0, PressureHpa = 1010.5, LocalTime = 11/26/2025 12:00:00 AM }</t>
  </si>
  <si>
    <t>ForecastPeriod { Time = 11/26/2025 12:00:00 AM, TemperatureC = 1.1, RelativeHumidity = 94, DewPointC = 0.3, PrecipitationMm = 0.6, SnowfallCm = 0, WindSpeedKmh = 2.3, WindDirectionDeg = 219, WindGustsKmh = 3.6, SolarRadiationWm2 = 0, EvapotranspirationMm = 0, PressureHpa = 1011.1, LocalTime = 11/26/2025 1:00:00 AM }</t>
  </si>
  <si>
    <t>ForecastPeriod { Time = 11/26/2025 1:00:00 AM, TemperatureC = 0.8, RelativeHumidity = 95, DewPointC = 0.1, PrecipitationMm = 1, SnowfallCm = 0.21, WindSpeedKmh = 2.9, WindDirectionDeg = 277, WindGustsKmh = 6.1, SolarRadiationWm2 = 0, EvapotranspirationMm = 0, PressureHpa = 1011.8, LocalTime = 11/26/2025 2:00:00 AM }</t>
  </si>
  <si>
    <t>ForecastPeriod { Time = 11/26/2025 2:00:00 AM, TemperatureC = 0.9, RelativeHumidity = 95, DewPointC = 0.2, PrecipitationMm = 0.6, SnowfallCm = 0.21, WindSpeedKmh = 2.3, WindDirectionDeg = 252, WindGustsKmh = 7.2, SolarRadiationWm2 = 0, EvapotranspirationMm = 0, PressureHpa = 1012.7, LocalTime = 11/26/2025 3:00:00 AM }</t>
  </si>
  <si>
    <t>ForecastPeriod { Time = 11/26/2025 3:00:00 AM, TemperatureC = 0.8, RelativeHumidity = 97, DewPointC = 0.3, PrecipitationMm = 0.1, SnowfallCm = 0, WindSpeedKmh = 3.4, WindDirectionDeg = 162, WindGustsKmh = 6.1, SolarRadiationWm2 = 0, EvapotranspirationMm = 0, PressureHpa = 1013.4, LocalTime = 11/26/2025 4:00:00 AM }</t>
  </si>
  <si>
    <t>ForecastPeriod { Time = 11/26/2025 4:00:00 AM, TemperatureC = 0.7, RelativeHumidity = 98, DewPointC = 0.4, PrecipitationMm = 0, SnowfallCm = 0, WindSpeedKmh = 3.4, WindDirectionDeg = 148, WindGustsKmh = 5.8, SolarRadiationWm2 = 0, EvapotranspirationMm = 0, PressureHpa = 1014.1, LocalTime = 11/26/2025 5:00:00 AM }</t>
  </si>
  <si>
    <t>ForecastPeriod { Time = 11/26/2025 5:00:00 AM, TemperatureC = 0.6, RelativeHumidity = 97, DewPointC = 0.2, PrecipitationMm = 0.1, SnowfallCm = 0, WindSpeedKmh = 1.8, WindDirectionDeg = 127, WindGustsKmh = 4.7, SolarRadiationWm2 = 0, EvapotranspirationMm = 0, PressureHpa = 1014.8, LocalTime = 11/26/2025 6:00:00 AM }</t>
  </si>
  <si>
    <t>ForecastPeriod { Time = 11/26/2025 6:00:00 AM, TemperatureC = 0.6, RelativeHumidity = 95, DewPointC = -0.1, PrecipitationMm = 0.2, SnowfallCm = 0, WindSpeedKmh = 2.5, WindDirectionDeg = 172, WindGustsKmh = 4, SolarRadiationWm2 = 0, EvapotranspirationMm = 0, PressureHpa = 1015.4, LocalTime = 11/26/2025 7:00:00 AM }</t>
  </si>
  <si>
    <t>ForecastPeriod { Time = 11/26/2025 7:00:00 AM, TemperatureC = 0.7, RelativeHumidity = 96, DewPointC = 0.2, PrecipitationMm = 0.2, SnowfallCm = 0, WindSpeedKmh = 1.9, WindDirectionDeg = 158, WindGustsKmh = 3.2, SolarRadiationWm2 = 0, EvapotranspirationMm = 0, PressureHpa = 1016.3, LocalTime = 11/26/2025 8:00:00 AM }</t>
  </si>
  <si>
    <t>ForecastPeriod { Time = 11/26/2025 8:00:00 AM, TemperatureC = 0.8, RelativeHumidity = 96, DewPointC = 0.2, PrecipitationMm = 0.1, SnowfallCm = 0, WindSpeedKmh = 2.5, WindDirectionDeg = 135, WindGustsKmh = 5, SolarRadiationWm2 = 1, EvapotranspirationMm = 0, PressureHpa = 1017.3, LocalTime = 11/26/2025 9:00:00 AM }</t>
  </si>
  <si>
    <t>ForecastPeriod { Time = 11/26/2025 9:00:00 AM, TemperatureC = 1.1, RelativeHumidity = 96, DewPointC = 0.5, PrecipitationMm = 0, SnowfallCm = 0, WindSpeedKmh = 1.8, WindDirectionDeg = 127, WindGustsKmh = 4.3, SolarRadiationWm2 = 32, EvapotranspirationMm = 0, PressureHpa = 1018.2, LocalTime = 11/26/2025 10:00:00 AM }</t>
  </si>
  <si>
    <t>ForecastPeriod { Time = 11/26/2025 10:00:00 AM, TemperatureC = 1.7, RelativeHumidity = 95, DewPointC = 1, PrecipitationMm = 0, SnowfallCm = 0, WindSpeedKmh = 1.8, WindDirectionDeg = 169, WindGustsKmh = 5.4, SolarRadiationWm2 = 83, EvapotranspirationMm = 0, PressureHpa = 1018.5, LocalTime = 11/26/2025 11:00:00 AM }</t>
  </si>
  <si>
    <t>ForecastPeriod { Time = 11/26/2025 11:00:00 AM, TemperatureC = 2.4, RelativeHumidity = 90, DewPointC = 0.9, PrecipitationMm = 0, SnowfallCm = 0, WindSpeedKmh = 2.8, WindDirectionDeg = 220, WindGustsKmh = 6.8, SolarRadiationWm2 = 135, EvapotranspirationMm = 0, PressureHpa = 1018.9, LocalTime = 11/26/2025 12:00:00 PM }</t>
  </si>
  <si>
    <t>ForecastPeriod { Time = 11/26/2025 12:00:00 PM, TemperatureC = 2.9, RelativeHumidity = 81, DewPointC = -0.1, PrecipitationMm = 0, SnowfallCm = 0, WindSpeedKmh = 5.4, WindDirectionDeg = 250, WindGustsKmh = 10.8, SolarRadiationWm2 = 142, EvapotranspirationMm = 0, PressureHpa = 1018.8, LocalTime = 11/26/2025 1:00:00 PM }</t>
  </si>
  <si>
    <t>ForecastPeriod { Time = 11/26/2025 1:00:00 PM, TemperatureC = 2.6, RelativeHumidity = 82, DewPointC = -0.2, PrecipitationMm = 0.4, SnowfallCm = 0, WindSpeedKmh = 5.2, WindDirectionDeg = 286, WindGustsKmh = 12.6, SolarRadiationWm2 = 106, EvapotranspirationMm = 0, PressureHpa = 1019.1, LocalTime = 11/26/2025 2:00:00 PM }</t>
  </si>
  <si>
    <t>ForecastPeriod { Time = 11/26/2025 2:00:00 PM, TemperatureC = 2.5, RelativeHumidity = 84, DewPointC = 0, PrecipitationMm = 0.5, SnowfallCm = 0, WindSpeedKmh = 4, WindDirectionDeg = 280, WindGustsKmh = 11.2, SolarRadiationWm2 = 92, EvapotranspirationMm = 0, PressureHpa = 1019.5, LocalTime = 11/26/2025 3:00:00 PM }</t>
  </si>
  <si>
    <t>ForecastPeriod { Time = 11/26/2025 3:00:00 PM, TemperatureC = 2.2, RelativeHumidity = 88, DewPointC = 0.4, PrecipitationMm = 0.5, SnowfallCm = 0, WindSpeedKmh = 2.1, WindDirectionDeg = 239, WindGustsKmh = 8.3, SolarRadiationWm2 = 70, EvapotranspirationMm = 0, PressureHpa = 1019.9, LocalTime = 11/26/2025 4:00:00 PM }</t>
  </si>
  <si>
    <t>ForecastPeriod { Time = 11/26/2025 4:00:00 PM, TemperatureC = 1.8, RelativeHumidity = 91, DewPointC = 0.5, PrecipitationMm = 0.5, SnowfallCm = 0, WindSpeedKmh = 2.2, WindDirectionDeg = 189, WindGustsKmh = 5.8, SolarRadiationWm2 = 37, EvapotranspirationMm = 0, PressureHpa = 1020.5, LocalTime = 11/26/2025 5:00:00 PM }</t>
  </si>
  <si>
    <t>ForecastPeriod { Time = 11/26/2025 5:00:00 PM, TemperatureC = 1.4, RelativeHumidity = 93, DewPointC = 0.4, PrecipitationMm = 0.4, SnowfallCm = 0, WindSpeedKmh = 2.2, WindDirectionDeg = 180, WindGustsKmh = 4.3, SolarRadiationWm2 = 7, EvapotranspirationMm = 0, PressureHpa = 1021.2, LocalTime = 11/26/2025 6:00:00 PM }</t>
  </si>
  <si>
    <t>ForecastPeriod { Time = 11/26/2025 6:00:00 PM, TemperatureC = 0.9, RelativeHumidity = 94, DewPointC = 0.1, PrecipitationMm = 0.4, SnowfallCm = 0, WindSpeedKmh = 1.8, WindDirectionDeg = 180, WindGustsKmh = 2.9, SolarRadiationWm2 = 0, EvapotranspirationMm = 0, PressureHpa = 1022, LocalTime = 11/26/2025 7:00:00 PM }</t>
  </si>
  <si>
    <t>ForecastPeriod { Time = 11/26/2025 7:00:00 PM, TemperatureC = 0.6, RelativeHumidity = 95, DewPointC = -0.1, PrecipitationMm = 0.4, SnowfallCm = 0, WindSpeedKmh = 1.4, WindDirectionDeg = 180, WindGustsKmh = 2.5, SolarRadiationWm2 = 0, EvapotranspirationMm = 0, PressureHpa = 1022.7, LocalTime = 11/26/2025 8:00:00 PM }</t>
  </si>
  <si>
    <t>ForecastPeriod { Time = 11/26/2025 8:00:00 PM, TemperatureC = 0.4, RelativeHumidity = 96, DewPointC = -0.1, PrecipitationMm = 0, SnowfallCm = 0, WindSpeedKmh = 1.9, WindDirectionDeg = 158, WindGustsKmh = 3.6, SolarRadiationWm2 = 0, EvapotranspirationMm = 0, PressureHpa = 1023.2, LocalTime = 11/26/2025 9:00:00 PM }</t>
  </si>
  <si>
    <t>ForecastPeriod { Time = 11/26/2025 9:00:00 PM, TemperatureC = 0.4, RelativeHumidity = 97, DewPointC = -0, PrecipitationMm = 0, SnowfallCm = 0, WindSpeedKmh = 2.9, WindDirectionDeg = 150, WindGustsKmh = 5, SolarRadiationWm2 = 0, EvapotranspirationMm = 0, PressureHpa = 1023.7, LocalTime = 11/26/2025 10:00:00 PM }</t>
  </si>
  <si>
    <t>ForecastPeriod { Time = 11/26/2025 10:00:00 PM, TemperatureC = 0.4, RelativeHumidity = 98, DewPointC = 0.1, PrecipitationMm = 0, SnowfallCm = 0, WindSpeedKmh = 3.6, WindDirectionDeg = 143, WindGustsKmh = 6.5, SolarRadiationWm2 = 0, EvapotranspirationMm = 0, PressureHpa = 1024, LocalTime = 11/26/2025 11:00:00 PM }</t>
  </si>
  <si>
    <t>ForecastPeriod { Time = 11/26/2025 11:00:00 PM, TemperatureC = 0.5, RelativeHumidity = 98, DewPointC = 0.2, PrecipitationMm = 0, SnowfallCm = 0, WindSpeedKmh = 3.8, WindDirectionDeg = 139, WindGustsKmh = 6.8, SolarRadiationWm2 = 0, EvapotranspirationMm = 0, PressureHpa = 1024.1, LocalTime = 11/27/2025 12:00:00 AM }</t>
  </si>
  <si>
    <t>ForecastPeriod { Time = 11/27/2025 12:00:00 AM, TemperatureC = 0.6, RelativeHumidity = 97, DewPointC = 0.2, PrecipitationMm = 0, SnowfallCm = 0, WindSpeedKmh = 3.6, WindDirectionDeg = 135, WindGustsKmh = 6.8, SolarRadiationWm2 = 0, EvapotranspirationMm = 0, PressureHpa = 1024.2, LocalTime = 11/27/2025 1:00:00 AM }</t>
  </si>
  <si>
    <t>ForecastPeriod { Time = 11/27/2025 1:00:00 AM, TemperatureC = 0.7, RelativeHumidity = 96, DewPointC = 0.2, PrecipitationMm = 0, SnowfallCm = 0, WindSpeedKmh = 3.3, WindDirectionDeg = 131, WindGustsKmh = 6.8, SolarRadiationWm2 = 0, EvapotranspirationMm = 0, PressureHpa = 1024.2, LocalTime = 11/27/2025 2:00:00 AM }</t>
  </si>
  <si>
    <t>ForecastPeriod { Time = 11/27/2025 2:00:00 AM, TemperatureC = 0.7, RelativeHumidity = 96, DewPointC = 0.2, PrecipitationMm = 0, SnowfallCm = 0, WindSpeedKmh = 3.4, WindDirectionDeg = 122, WindGustsKmh = 6.8, SolarRadiationWm2 = 0, EvapotranspirationMm = 0, PressureHpa = 1024.3, LocalTime = 11/27/2025 3:00:00 AM }</t>
  </si>
  <si>
    <t>ForecastPeriod { Time = 11/27/2025 3:00:00 AM, TemperatureC = 0.6, RelativeHumidity = 95, DewPointC = -0.1, PrecipitationMm = 0, SnowfallCm = 0, WindSpeedKmh = 3.7, WindDirectionDeg = 119, WindGustsKmh = 7.2, SolarRadiationWm2 = 0, EvapotranspirationMm = 0, PressureHpa = 1024.5, LocalTime = 11/27/2025 4:00:00 AM }</t>
  </si>
  <si>
    <t>ForecastPeriod { Time = 11/27/2025 4:00:00 AM, TemperatureC = 0.6, RelativeHumidity = 95, DewPointC = -0.1, PrecipitationMm = 0, SnowfallCm = 0, WindSpeedKmh = 3.9, WindDirectionDeg = 112, WindGustsKmh = 7.2, SolarRadiationWm2 = 0, EvapotranspirationMm = 0, PressureHpa = 1024.6, LocalTime = 11/27/2025 5:00:00 AM }</t>
  </si>
  <si>
    <t>ForecastPeriod { Time = 11/27/2025 5:00:00 AM, TemperatureC = 0.5, RelativeHumidity = 95, DewPointC = -0.2, PrecipitationMm = 0, SnowfallCm = 0, WindSpeedKmh = 3.8, WindDirectionDeg = 107, WindGustsKmh = 6.8, SolarRadiationWm2 = 0, EvapotranspirationMm = 0, PressureHpa = 1024.7, LocalTime = 11/27/2025 6:00:00 AM }</t>
  </si>
  <si>
    <t>ForecastPeriod { Time = 11/27/2025 6:00:00 AM, TemperatureC = 0.4, RelativeHumidity = 94, DewPointC = -0.5, PrecipitationMm = 0, SnowfallCm = 0, WindSpeedKmh = 3.3, WindDirectionDeg = 96, WindGustsKmh = 6.5, SolarRadiationWm2 = 0, EvapotranspirationMm = 0, PressureHpa = 1024.9, LocalTime = 11/27/2025 7:00:00 AM }</t>
  </si>
  <si>
    <t>ForecastPeriod { Time = 11/27/2025 7:00:00 AM, TemperatureC = 0.4, RelativeHumidity = 94, DewPointC = -0.4, PrecipitationMm = 0, SnowfallCm = 0, WindSpeedKmh = 2.9, WindDirectionDeg = 90, WindGustsKmh = 6.1, SolarRadiationWm2 = 0, EvapotranspirationMm = 0, PressureHpa = 1025, LocalTime = 11/27/2025 8:00:00 AM }</t>
  </si>
  <si>
    <t>ForecastPeriod { Time = 11/27/2025 8:00:00 AM, TemperatureC = 0.7, RelativeHumidity = 93, DewPointC = -0.3, PrecipitationMm = 0, SnowfallCm = 0, WindSpeedKmh = 2.5, WindDirectionDeg = 98, WindGustsKmh = 5.8, SolarRadiationWm2 = 2, EvapotranspirationMm = 0, PressureHpa = 1025.2, LocalTime = 11/27/2025 9:00:00 AM }</t>
  </si>
  <si>
    <t>ForecastPeriod { Time = 11/27/2025 9:00:00 AM, TemperatureC = 1.1, RelativeHumidity = 93, DewPointC = 0.1, PrecipitationMm = 0, SnowfallCm = 0, WindSpeedKmh = 2.4, WindDirectionDeg = 117, WindGustsKmh = 5.4, SolarRadiationWm2 = 55, EvapotranspirationMm = 0, PressureHpa = 1025.4, LocalTime = 11/27/2025 10:00:00 AM }</t>
  </si>
  <si>
    <t>ForecastPeriod { Time = 11/27/2025 10:00:00 AM, TemperatureC = 1.5, RelativeHumidity = 91, DewPointC = 0.2, PrecipitationMm = 0, SnowfallCm = 0, WindSpeedKmh = 2.1, WindDirectionDeg = 121, WindGustsKmh = 5.8, SolarRadiationWm2 = 132, EvapotranspirationMm = 0, PressureHpa = 1025.4, LocalTime = 11/27/2025 11:00:00 AM }</t>
  </si>
  <si>
    <t>ForecastPeriod { Time = 11/27/2025 11:00:00 AM, TemperatureC = 2.2, RelativeHumidity = 87, DewPointC = 0.2, PrecipitationMm = 0, SnowfallCm = 0, WindSpeedKmh = 1.9, WindDirectionDeg = 68, WindGustsKmh = 7.2, SolarRadiationWm2 = 204, EvapotranspirationMm = 0, PressureHpa = 1025.1, LocalTime = 11/27/2025 12:00:00 PM }</t>
  </si>
  <si>
    <t>ForecastPeriod { Time = 11/27/2025 12:00:00 PM, TemperatureC = 2.9, RelativeHumidity = 82, DewPointC = 0.1, PrecipitationMm = 0, SnowfallCm = 0, WindSpeedKmh = 3.4, WindDirectionDeg = 32, WindGustsKmh = 9, SolarRadiationWm2 = 265, EvapotranspirationMm = 0, PressureHpa = 1024.6, LocalTime = 11/27/2025 1:00:00 PM }</t>
  </si>
  <si>
    <t>ForecastPeriod { Time = 11/27/2025 1:00:00 PM, TemperatureC = 3.3, RelativeHumidity = 79, DewPointC = 0, PrecipitationMm = 0, SnowfallCm = 0, WindSpeedKmh = 5.2, WindDirectionDeg = 25, WindGustsKmh = 10.4, SolarRadiationWm2 = 287, EvapotranspirationMm = 0, PressureHpa = 1024.2, LocalTime = 11/27/2025 2:00:00 PM }</t>
  </si>
  <si>
    <t>ForecastPeriod { Time = 11/27/2025 2:00:00 PM, TemperatureC = 3.3, RelativeHumidity = 78, DewPointC = -0.2, PrecipitationMm = 0, SnowfallCm = 0, WindSpeedKmh = 5.3, WindDirectionDeg = 28, WindGustsKmh = 11.2, SolarRadiationWm2 = 256, EvapotranspirationMm = 0, PressureHpa = 1024.1, LocalTime = 11/27/2025 3:00:00 PM }</t>
  </si>
  <si>
    <t>ForecastPeriod { Time = 11/27/2025 3:00:00 PM, TemperatureC = 2.9, RelativeHumidity = 79, DewPointC = -0.4, PrecipitationMm = 0, SnowfallCm = 0, WindSpeedKmh = 5.4, WindDirectionDeg = 37, WindGustsKmh = 11.5, SolarRadiationWm2 = 188, EvapotranspirationMm = 0, PressureHpa = 1024.2, LocalTime = 11/27/2025 4:00:00 PM }</t>
  </si>
  <si>
    <t>ForecastPeriod { Time = 11/27/2025 4:00:00 PM, TemperatureC = 2.4, RelativeHumidity = 80, DewPointC = -0.7, PrecipitationMm = 0, SnowfallCm = 0, WindSpeedKmh = 4.8, WindDirectionDeg = 42, WindGustsKmh = 11.2, SolarRadiationWm2 = 97, EvapotranspirationMm = 0, PressureHpa = 1024.4, LocalTime = 11/27/2025 5:00:00 PM }</t>
  </si>
  <si>
    <t>ForecastPeriod { Time = 11/27/2025 5:00:00 PM, TemperatureC = 1.8, RelativeHumidity = 82, DewPointC = -1, PrecipitationMm = 0, SnowfallCm = 0, WindSpeedKmh = 4.1, WindDirectionDeg = 38, WindGustsKmh = 9.7, SolarRadiationWm2 = 19, EvapotranspirationMm = 0, PressureHpa = 1024.6, LocalTime = 11/27/2025 6:00:00 PM }</t>
  </si>
  <si>
    <t>ForecastPeriod { Time = 11/27/2025 6:00:00 PM, TemperatureC = 0.9, RelativeHumidity = 85, DewPointC = -1.3, PrecipitationMm = 0, SnowfallCm = 0, WindSpeedKmh = 3.4, WindDirectionDeg = 32, WindGustsKmh = 7.6, SolarRadiationWm2 = 0, EvapotranspirationMm = 0, PressureHpa = 1024.8, LocalTime = 11/27/2025 7:00:00 PM }</t>
  </si>
  <si>
    <t>ForecastPeriod { Time = 11/27/2025 7:00:00 PM, TemperatureC = 0.2, RelativeHumidity = 88, DewPointC = -1.6, PrecipitationMm = 0, SnowfallCm = 0, WindSpeedKmh = 2.7, WindDirectionDeg = 23, WindGustsKmh = 6.1, SolarRadiationWm2 = 0, EvapotranspirationMm = 0, PressureHpa = 1025.1, LocalTime = 11/27/2025 8:00:00 PM }</t>
  </si>
  <si>
    <t>ForecastPeriod { Time = 11/27/2025 8:00:00 PM, TemperatureC = -0.4, RelativeHumidity = 90, DewPointC = -1.9, PrecipitationMm = 0, SnowfallCm = 0, WindSpeedKmh = 2.3, WindDirectionDeg = 39, WindGustsKmh = 5.4, SolarRadiationWm2 = 0, EvapotranspirationMm = 0, PressureHpa = 1025.4, LocalTime = 11/27/2025 9:00:00 PM }</t>
  </si>
  <si>
    <t>ForecastPeriod { Time = 11/27/2025 9:00:00 PM, TemperatureC = -1, RelativeHumidity = 90, DewPointC = -2.4, PrecipitationMm = 0, SnowfallCm = 0, WindSpeedKmh = 2.3, WindDirectionDeg = 72, WindGustsKmh = 5.4, SolarRadiationWm2 = 0, EvapotranspirationMm = 0, PressureHpa = 1025.8, LocalTime = 11/27/2025 10:00:00 PM }</t>
  </si>
  <si>
    <t>ForecastPeriod { Time = 11/27/2025 10:00:00 PM, TemperatureC = -1.4, RelativeHumidity = 91, DewPointC = -2.7, PrecipitationMm = 0, SnowfallCm = 0, WindSpeedKmh = 2.9, WindDirectionDeg = 83, WindGustsKmh = 5, SolarRadiationWm2 = 0, EvapotranspirationMm = 0, PressureHpa = 1026, LocalTime = 11/27/2025 11:00:00 PM }</t>
  </si>
  <si>
    <t>ForecastPeriod { Time = 11/27/2025 11:00:00 PM, TemperatureC = -1.6, RelativeHumidity = 91, DewPointC = -2.9, PrecipitationMm = 0, SnowfallCm = 0, WindSpeedKmh = 3, WindDirectionDeg = 76, WindGustsKmh = 4.7, SolarRadiationWm2 = 0, EvapotranspirationMm = 0, PressureHpa = 1026, LocalTime = 11/28/2025 12:00:00 AM }</t>
  </si>
  <si>
    <t>ForecastPeriod { Time = 11/28/2025 12:00:00 AM, TemperatureC = -1.8, RelativeHumidity = 90, DewPointC = -3.2, PrecipitationMm = 0, SnowfallCm = 0, WindSpeedKmh = 2.9, WindDirectionDeg = 60, WindGustsKmh = 4.7, SolarRadiationWm2 = 0, EvapotranspirationMm = 0, PressureHpa = 1025.9, LocalTime = 11/28/2025 1:00:00 AM }</t>
  </si>
  <si>
    <t>ForecastPeriod { Time = 11/28/2025 1:00:00 AM, TemperatureC = -1.9, RelativeHumidity = 90, DewPointC = -3.4, PrecipitationMm = 0, SnowfallCm = 0, WindSpeedKmh = 3.1, WindDirectionDeg = 45, WindGustsKmh = 4.3, SolarRadiationWm2 = 0, EvapotranspirationMm = 0, PressureHpa = 1025.8, LocalTime = 11/28/2025 2:00:00 AM }</t>
  </si>
  <si>
    <t>ForecastPeriod { Time = 11/28/2025 2:00:00 AM, TemperatureC = -2.3, RelativeHumidity = 92, DewPointC = -3.4, PrecipitationMm = 0, SnowfallCm = 0, WindSpeedKmh = 3.1, WindDirectionDeg = 45, WindGustsKmh = 4, SolarRadiationWm2 = 0, EvapotranspirationMm = 0, PressureHpa = 1025.7, LocalTime = 11/28/2025 3:00:00 AM }</t>
  </si>
  <si>
    <t>ForecastPeriod { Time = 11/28/2025 3:00:00 AM, TemperatureC = -2.7, RelativeHumidity = 94, DewPointC = -3.5, PrecipitationMm = 0, SnowfallCm = 0, WindSpeedKmh = 3.1, WindDirectionDeg = 54, WindGustsKmh = 3.6, SolarRadiationWm2 = 0, EvapotranspirationMm = 0, PressureHpa = 1025.6, LocalTime = 11/28/2025 4:00:00 AM }</t>
  </si>
  <si>
    <t>ForecastPeriod { Time = 11/28/2025 4:00:00 AM, TemperatureC = -3.1, RelativeHumidity = 96, DewPointC = -3.6, PrecipitationMm = 0, SnowfallCm = 0, WindSpeedKmh = 2.9, WindDirectionDeg = 60, WindGustsKmh = 3.6, SolarRadiationWm2 = 0, EvapotranspirationMm = 0, PressureHpa = 1025.5, LocalTime = 11/28/2025 5:00:00 AM }</t>
  </si>
  <si>
    <t>ForecastPeriod { Time = 11/28/2025 5:00:00 AM, TemperatureC = -3.5, RelativeHumidity = 96, DewPointC = -4.1, PrecipitationMm = 0, SnowfallCm = 0, WindSpeedKmh = 2.9, WindDirectionDeg = 60, WindGustsKmh = 4, SolarRadiationWm2 = 0, EvapotranspirationMm = 0, PressureHpa = 1025.6, LocalTime = 11/28/2025 6:00:00 AM }</t>
  </si>
  <si>
    <t>ForecastPeriod { Time = 11/28/2025 6:00:00 AM, TemperatureC = -3.9, RelativeHumidity = 95, DewPointC = -4.6, PrecipitationMm = 0, SnowfallCm = 0, WindSpeedKmh = 2.9, WindDirectionDeg = 60, WindGustsKmh = 4.7, SolarRadiationWm2 = 0, EvapotranspirationMm = 0, PressureHpa = 1025.7, LocalTime = 11/28/2025 7:00:00 AM }</t>
  </si>
  <si>
    <t>ForecastPeriod { Time = 11/28/2025 7:00:00 AM, TemperatureC = -4.2, RelativeHumidity = 94, DewPointC = -5.1, PrecipitationMm = 0, SnowfallCm = 0, WindSpeedKmh = 2.9, WindDirectionDeg = 60, WindGustsKmh = 5.4, SolarRadiationWm2 = 0, EvapotranspirationMm = 0, PressureHpa = 1025.8, LocalTime = 11/28/2025 8:00:00 AM }</t>
  </si>
  <si>
    <t>ForecastPeriod { Time = 11/28/2025 8:00:00 AM, TemperatureC = -1.4, RelativeHumidity = 90, DewPointC = -2.9, PrecipitationMm = 0, SnowfallCm = 0, WindSpeedKmh = 3.3, WindDirectionDeg = 49, WindGustsKmh = 8.6, SolarRadiationWm2 = 0, EvapotranspirationMm = 0, PressureHpa = 1027, LocalTime = 11/28/2025 9:00:00 AM }</t>
  </si>
  <si>
    <t>ForecastPeriod { Time = 11/28/2025 9:00:00 AM, TemperatureC = -1.6, RelativeHumidity = 90, DewPointC = -3, PrecipitationMm = 0, SnowfallCm = 0, WindSpeedKmh = 3.2, WindDirectionDeg = 63, WindGustsKmh = 9, SolarRadiationWm2 = 32, EvapotranspirationMm = 0, PressureHpa = 1027, LocalTime = 11/28/2025 10:00:00 AM }</t>
  </si>
  <si>
    <t>ForecastPeriod { Time = 11/28/2025 10:00:00 AM, TemperatureC = -1.6, RelativeHumidity = 90, DewPointC = -3, PrecipitationMm = 0, SnowfallCm = 0, WindSpeedKmh = 3.4, WindDirectionDeg = 72, WindGustsKmh = 9.4, SolarRadiationWm2 = 81, EvapotranspirationMm = 0, PressureHpa = 1026.9, LocalTime = 11/28/2025 11:00:00 AM }</t>
  </si>
  <si>
    <t>ForecastPeriod { Time = 11/28/2025 11:00:00 AM, TemperatureC = -1.4, RelativeHumidity = 90, DewPointC = -2.9, PrecipitationMm = 0, SnowfallCm = 0, WindSpeedKmh = 3.5, WindDirectionDeg = 66, WindGustsKmh = 9.7, SolarRadiationWm2 = 130, EvapotranspirationMm = 0, PressureHpa = 1026.4, LocalTime = 11/28/2025 12:00:00 PM }</t>
  </si>
  <si>
    <t>ForecastPeriod { Time = 11/28/2025 12:00:00 PM, TemperatureC = -1.2, RelativeHumidity = 89, DewPointC = -2.8, PrecipitationMm = 0, SnowfallCm = 0, WindSpeedKmh = 3.8, WindDirectionDeg = 49, WindGustsKmh = 10.4, SolarRadiationWm2 = 177, EvapotranspirationMm = 0, PressureHpa = 1025.8, LocalTime = 11/28/2025 1:00:00 PM }</t>
  </si>
  <si>
    <t>ForecastPeriod { Time = 11/28/2025 1:00:00 PM, TemperatureC = -1, RelativeHumidity = 88, DewPointC = -2.7, PrecipitationMm = 0, SnowfallCm = 0, WindSpeedKmh = 3.8, WindDirectionDeg = 41, WindGustsKmh = 10.4, SolarRadiationWm2 = 200, EvapotranspirationMm = 0, PressureHpa = 1025.2, LocalTime = 11/28/2025 2:00:00 PM }</t>
  </si>
  <si>
    <t>ForecastPeriod { Time = 11/28/2025 2:00:00 PM, TemperatureC = -0.8, RelativeHumidity = 86, DewPointC = -2.9, PrecipitationMm = 0, SnowfallCm = 0, WindSpeedKmh = 3.6, WindDirectionDeg = 45, WindGustsKmh = 10.1, SolarRadiationWm2 = 191, EvapotranspirationMm = 0, PressureHpa = 1024.7, LocalTime = 11/28/2025 3:00:00 PM }</t>
  </si>
  <si>
    <t>ForecastPeriod { Time = 11/28/2025 3:00:00 PM, TemperatureC = -0.7, RelativeHumidity = 84, DewPointC = -3.1, PrecipitationMm = 0, SnowfallCm = 0, WindSpeedKmh = 2.8, WindDirectionDeg = 50, WindGustsKmh = 9.4, SolarRadiationWm2 = 151, EvapotranspirationMm = 0, PressureHpa = 1024.3, LocalTime = 11/28/2025 4:00:00 PM }</t>
  </si>
  <si>
    <t>ForecastPeriod { Time = 11/28/2025 4:00:00 PM, TemperatureC = -0.7, RelativeHumidity = 83, DewPointC = -3.3, PrecipitationMm = 0, SnowfallCm = 0, WindSpeedKmh = 2.4, WindDirectionDeg = 63, WindGustsKmh = 8.6, SolarRadiationWm2 = 82, EvapotranspirationMm = 0, PressureHpa = 1024.1, LocalTime = 11/28/2025 5:00:00 PM }</t>
  </si>
  <si>
    <t>ForecastPeriod { Time = 11/28/2025 5:00:00 PM, TemperatureC = -0.9, RelativeHumidity = 82, DewPointC = -3.6, PrecipitationMm = 0, SnowfallCm = 0, WindSpeedKmh = 2.1, WindDirectionDeg = 59, WindGustsKmh = 7.9, SolarRadiationWm2 = 16, EvapotranspirationMm = 0, PressureHpa = 1024.1, LocalTime = 11/28/2025 6:00:00 PM }</t>
  </si>
  <si>
    <t>ForecastPeriod { Time = 11/28/2025 6:00:00 PM, TemperatureC = -1.1, RelativeHumidity = 82, DewPointC = -3.8, PrecipitationMm = 0, SnowfallCm = 0, WindSpeedKmh = 2.3, WindDirectionDeg = 39, WindGustsKmh = 6.8, SolarRadiationWm2 = 0, EvapotranspirationMm = 0, PressureHpa = 1024.3, LocalTime = 11/28/2025 7:00:00 PM }</t>
  </si>
  <si>
    <t>ForecastPeriod { Time = 11/28/2025 7:00:00 PM, TemperatureC = -1.3, RelativeHumidity = 83, DewPointC = -3.8, PrecipitationMm = 0, SnowfallCm = 0, WindSpeedKmh = 2.1, WindDirectionDeg = 31, WindGustsKmh = 6.1, SolarRadiationWm2 = 0, EvapotranspirationMm = 0, PressureHpa = 1024.4, LocalTime = 11/28/2025 8:00:00 PM }</t>
  </si>
  <si>
    <t>ForecastPeriod { Time = 11/28/2025 8:00:00 PM, TemperatureC = -1.5, RelativeHumidity = 84, DewPointC = -3.8, PrecipitationMm = 0, SnowfallCm = 0, WindSpeedKmh = 1.8, WindDirectionDeg = 53, WindGustsKmh = 5.8, SolarRadiationWm2 = 0, EvapotranspirationMm = 0, PressureHpa = 1024.4, LocalTime = 11/28/2025 9:00:00 PM }</t>
  </si>
  <si>
    <t>ForecastPeriod { Time = 11/28/2025 9:00:00 PM, TemperatureC = -1.6, RelativeHumidity = 86, DewPointC = -3.7, PrecipitationMm = 0, SnowfallCm = 0, WindSpeedKmh = 1.8, WindDirectionDeg = 79, WindGustsKmh = 5.8, SolarRadiationWm2 = 0, EvapotranspirationMm = 0, PressureHpa = 1024.3, LocalTime = 11/28/2025 10:00:00 PM }</t>
  </si>
  <si>
    <t>ForecastPeriod { Time = 11/28/2025 10:00:00 PM, TemperatureC = -1.8, RelativeHumidity = 88, DewPointC = -3.5, PrecipitationMm = 0, SnowfallCm = 0, WindSpeedKmh = 2.2, WindDirectionDeg = 90, WindGustsKmh = 5.8, SolarRadiationWm2 = 0, EvapotranspirationMm = 0, PressureHpa = 1024.2, LocalTime = 11/28/2025 11:00:00 PM }</t>
  </si>
  <si>
    <t>ForecastPeriod { Time = 11/28/2025 11:00:00 PM, TemperatureC = -2.2, RelativeHumidity = 91, DewPointC = -3.4, PrecipitationMm = 0, SnowfallCm = 0, WindSpeedKmh = 2.2, WindDirectionDeg = 81, WindGustsKmh = 6.5, SolarRadiationWm2 = 0, EvapotranspirationMm = 0, PressureHpa = 1024, LocalTime = 11/29/2025 12:00:00 AM }</t>
  </si>
  <si>
    <t>ForecastPeriod { Time = 11/29/2025 12:00:00 AM, TemperatureC = -2.5, RelativeHumidity = 94, DewPointC = -3.4, PrecipitationMm = 0, SnowfallCm = 0, WindSpeedKmh = 2.6, WindDirectionDeg = 56, WindGustsKmh = 7.2, SolarRadiationWm2 = 0, EvapotranspirationMm = 0, PressureHpa = 1023.8, LocalTime = 11/29/2025 1:00:00 AM }</t>
  </si>
  <si>
    <t>ForecastPeriod { Time = 11/29/2025 1:00:00 AM, TemperatureC = -2.9, RelativeHumidity = 96, DewPointC = -3.4, PrecipitationMm = 0, SnowfallCm = 0, WindSpeedKmh = 2.8, WindDirectionDeg = 50, WindGustsKmh = 7.6, SolarRadiationWm2 = 0, EvapotranspirationMm = 0, PressureHpa = 1023.6, LocalTime = 11/29/2025 2:00:00 AM }</t>
  </si>
  <si>
    <t>ForecastPeriod { Time = 11/29/2025 2:00:00 AM, TemperatureC = -3.1, RelativeHumidity = 98, DewPointC = -3.4, PrecipitationMm = 0, SnowfallCm = 0, WindSpeedKmh = 2.1, WindDirectionDeg = 59, WindGustsKmh = 7.2, SolarRadiationWm2 = 0, EvapotranspirationMm = 0, PressureHpa = 1023.4, LocalTime = 11/29/2025 3:00:00 AM }</t>
  </si>
  <si>
    <t>ForecastPeriod { Time = 11/29/2025 3:00:00 AM, TemperatureC = -3.3, RelativeHumidity = 100, DewPointC = -3.3, PrecipitationMm = 0, SnowfallCm = 0, WindSpeedKmh = 1.8, WindDirectionDeg = 101, WindGustsKmh = 6.8, SolarRadiationWm2 = 0, EvapotranspirationMm = 0, PressureHpa = 1023.3, LocalTime = 11/29/2025 4:00:00 AM }</t>
  </si>
  <si>
    <t>ForecastPeriod { Time = 11/29/2025 4:00:00 AM, TemperatureC = -3.3, RelativeHumidity = 100, DewPointC = -3.3, PrecipitationMm = 0, SnowfallCm = 0, WindSpeedKmh = 1.8, WindDirectionDeg = 127, WindGustsKmh = 6.5, SolarRadiationWm2 = 0, EvapotranspirationMm = 0, PressureHpa = 1023.1, LocalTime = 11/29/2025 5:00:00 AM }</t>
  </si>
  <si>
    <t>ForecastPeriod { Time = 11/29/2025 5:00:00 AM, TemperatureC = -3.2, RelativeHumidity = 97, DewPointC = -3.6, PrecipitationMm = 0, SnowfallCm = 0, WindSpeedKmh = 1.6, WindDirectionDeg = 117, WindGustsKmh = 6.1, SolarRadiationWm2 = 0, EvapotranspirationMm = 0, PressureHpa = 1022.8, LocalTime = 11/29/2025 6:00:00 AM }</t>
  </si>
  <si>
    <t>ForecastPeriod { Time = 11/29/2025 6:00:00 AM, TemperatureC = -2.9, RelativeHumidity = 92, DewPointC = -4, PrecipitationMm = 0, SnowfallCm = 0, WindSpeedKmh = 1.1, WindDirectionDeg = 72, WindGustsKmh = 6.1, SolarRadiationWm2 = 0, EvapotranspirationMm = 0, PressureHpa = 1022.5, LocalTime = 11/29/2025 7:00:00 AM }</t>
  </si>
  <si>
    <t>ForecastPeriod { Time = 11/29/2025 7:00:00 AM, TemperatureC = -2.6, RelativeHumidity = 88, DewPointC = -4.3, PrecipitationMm = 0, SnowfallCm = 0, WindSpeedKmh = 1.8, WindDirectionDeg = 37, WindGustsKmh = 6.5, SolarRadiationWm2 = 0, EvapotranspirationMm = 0, PressureHpa = 1022.3, LocalTime = 11/29/2025 8:00:00 AM }</t>
  </si>
  <si>
    <t>ForecastPeriod { Time = 11/29/2025 8:00:00 AM, TemperatureC = -2.6, RelativeHumidity = 87, DewPointC = -4.4, PrecipitationMm = 0, SnowfallCm = 0, WindSpeedKmh = 2.4, WindDirectionDeg = 27, WindGustsKmh = 7.9, SolarRadiationWm2 = 0, EvapotranspirationMm = 0, PressureHpa = 1022.3, LocalTime = 11/29/2025 9:00:00 AM }</t>
  </si>
  <si>
    <t>ForecastPeriod { Time = 11/29/2025 9:00:00 AM, TemperatureC = -2.6, RelativeHumidity = 87, DewPointC = -4.4, PrecipitationMm = 0, SnowfallCm = 0, WindSpeedKmh = 3.2, WindDirectionDeg = 27, WindGustsKmh = 9.7, SolarRadiationWm2 = 50, EvapotranspirationMm = 0, PressureHpa = 1022.4, LocalTime = 11/29/2025 10:00:00 AM }</t>
  </si>
  <si>
    <t>ForecastPeriod { Time = 11/29/2025 10:00:00 AM, TemperatureC = -2.4, RelativeHumidity = 86, DewPointC = -4.4, PrecipitationMm = 0, SnowfallCm = 0, WindSpeedKmh = 3.5, WindDirectionDeg = 24, WindGustsKmh = 10.8, SolarRadiationWm2 = 129, EvapotranspirationMm = 0, PressureHpa = 1022.3, LocalTime = 11/29/2025 11:00:00 AM }</t>
  </si>
  <si>
    <t>ForecastPeriod { Time = 11/29/2025 11:00:00 AM, TemperatureC = -1.8, RelativeHumidity = 84, DewPointC = -4.1, PrecipitationMm = 0, SnowfallCm = 0, WindSpeedKmh = 3.4, WindDirectionDeg = 32, WindGustsKmh = 11.2, SolarRadiationWm2 = 199, EvapotranspirationMm = 0, PressureHpa = 1021.7, LocalTime = 11/29/2025 12:00:00 PM }</t>
  </si>
  <si>
    <t>ForecastPeriod { Time = 11/29/2025 12:00:00 PM, TemperatureC = -1, RelativeHumidity = 82, DewPointC = -3.7, PrecipitationMm = 0, SnowfallCm = 0, WindSpeedKmh = 3.1, WindDirectionDeg = 36, WindGustsKmh = 10.8, SolarRadiationWm2 = 257, EvapotranspirationMm = 0, PressureHpa = 1020.9, LocalTime = 11/29/2025 1:00:00 PM }</t>
  </si>
  <si>
    <t>ForecastPeriod { Time = 11/29/2025 1:00:00 PM, TemperatureC = -0.4, RelativeHumidity = 80, DewPointC = -3.4, PrecipitationMm = 0, SnowfallCm = 0, WindSpeedKmh = 2.8, WindDirectionDeg = 50, WindGustsKmh = 10.4, SolarRadiationWm2 = 281, EvapotranspirationMm = 0, PressureHpa = 1020.1, LocalTime = 11/29/2025 2:00:00 PM }</t>
  </si>
  <si>
    <t>ForecastPeriod { Time = 11/29/2025 2:00:00 PM, TemperatureC = -0, RelativeHumidity = 79, DewPointC = -3.2, PrecipitationMm = 0, SnowfallCm = 0, WindSpeedKmh = 2.6, WindDirectionDeg = 56, WindGustsKmh = 9.7, SolarRadiationWm2 = 265, EvapotranspirationMm = 0, PressureHpa = 1019.5, LocalTime = 11/29/2025 3:00:00 PM }</t>
  </si>
  <si>
    <t>ForecastPeriod { Time = 11/29/2025 3:00:00 PM, TemperatureC = 0.2, RelativeHumidity = 79, DewPointC = -3, PrecipitationMm = 0, SnowfallCm = 0, WindSpeedKmh = 2.7, WindDirectionDeg = 67, WindGustsKmh = 9, SolarRadiationWm2 = 208, EvapotranspirationMm = 0, PressureHpa = 1019, LocalTime = 11/29/2025 4:00:00 PM }</t>
  </si>
  <si>
    <t>ForecastPeriod { Time = 11/29/2025 4:00:00 PM, TemperatureC = 0.2, RelativeHumidity = 80, DewPointC = -2.9, PrecipitationMm = 0, SnowfallCm = 0, WindSpeedKmh = 2.7, WindDirectionDeg = 67, WindGustsKmh = 8.6, SolarRadiationWm2 = 112, EvapotranspirationMm = 0, PressureHpa = 1018.6, LocalTime = 11/29/2025 5:00:00 PM }</t>
  </si>
  <si>
    <t>ForecastPeriod { Time = 11/29/2025 5:00:00 PM, TemperatureC = -0.1, RelativeHumidity = 81, DewPointC = -3, PrecipitationMm = 0, SnowfallCm = 0, WindSpeedKmh = 2.9, WindDirectionDeg = 60, WindGustsKmh = 8.6, SolarRadiationWm2 = 20, EvapotranspirationMm = 0, PressureHpa = 1018.2, LocalTime = 11/29/2025 6:00:00 PM }</t>
  </si>
  <si>
    <t>ForecastPeriod { Time = 11/29/2025 6:00:00 PM, TemperatureC = -0.7, RelativeHumidity = 83, DewPointC = -3.2, PrecipitationMm = 0, SnowfallCm = 0, WindSpeedKmh = 2.8, WindDirectionDeg = 50, WindGustsKmh = 8.6, SolarRadiationWm2 = 0, EvapotranspirationMm = 0, PressureHpa = 1017.9, LocalTime = 11/29/2025 7:00:00 PM }</t>
  </si>
  <si>
    <t>ForecastPeriod { Time = 11/29/2025 7:00:00 PM, TemperatureC = -1.2, RelativeHumidity = 85, DewPointC = -3.4, PrecipitationMm = 0, SnowfallCm = 0, WindSpeedKmh = 3.1, WindDirectionDeg = 45, WindGustsKmh = 8.6, SolarRadiationWm2 = 0, EvapotranspirationMm = 0, PressureHpa = 1017.7, LocalTime = 11/29/2025 8:00:00 PM }</t>
  </si>
  <si>
    <t>ForecastPeriod { Time = 11/29/2025 8:00:00 PM, TemperatureC = -1.6, RelativeHumidity = 86, DewPointC = -3.7, PrecipitationMm = 0, SnowfallCm = 0, WindSpeedKmh = 2.8, WindDirectionDeg = 50, WindGustsKmh = 7.9, SolarRadiationWm2 = 0, EvapotranspirationMm = 0, PressureHpa = 1017.6, LocalTime = 11/29/2025 9:00:00 PM }</t>
  </si>
  <si>
    <t>ForecastPeriod { Time = 11/29/2025 9:00:00 PM, TemperatureC = -2, RelativeHumidity = 88, DewPointC = -3.7, PrecipitationMm = 0, SnowfallCm = 0, WindSpeedKmh = 2.6, WindDirectionDeg = 56, WindGustsKmh = 6.8, SolarRadiationWm2 = 0, EvapotranspirationMm = 0, PressureHpa = 1017.5, LocalTime = 11/29/2025 10:00:00 PM }</t>
  </si>
  <si>
    <t>ForecastPeriod { Time = 11/29/2025 10:00:00 PM, TemperatureC = -2.3, RelativeHumidity = 89, DewPointC = -3.8, PrecipitationMm = 0, SnowfallCm = 0, WindSpeedKmh = 2.3, WindDirectionDeg = 72, WindGustsKmh = 5.8, SolarRadiationWm2 = 0, EvapotranspirationMm = 0, PressureHpa = 1017.4, LocalTime = 11/29/2025 11:00:00 PM }</t>
  </si>
  <si>
    <t>ForecastPeriod { Time = 11/29/2025 11:00:00 PM, TemperatureC = -2.4, RelativeHumidity = 91, DewPointC = -3.6, PrecipitationMm = 0, SnowfallCm = 0, WindSpeedKmh = 1.8, WindDirectionDeg = 79, WindGustsKmh = 4.7, SolarRadiationWm2 = 0, EvapotranspirationMm = 0, PressureHpa = 1017.1, LocalTime = 11/30/2025 12:00:00 AM }</t>
  </si>
  <si>
    <t>NowcastPeriod</t>
  </si>
  <si>
    <t>NowcastPeriod.EqualityContract</t>
  </si>
  <si>
    <t>NowcastPeriod.Time</t>
  </si>
  <si>
    <t>NowcastPeriod.TemperatureC</t>
  </si>
  <si>
    <t>NowcastPeriod.PrecipitationMm</t>
  </si>
  <si>
    <t>NowcastPeriod.WindSpeedKmh</t>
  </si>
  <si>
    <t>NowcastPeriod.WindGustsKmh</t>
  </si>
  <si>
    <t>NowcastPeriod.SolarRadiationWm2</t>
  </si>
  <si>
    <t>NowcastPeriod.LocalTime</t>
  </si>
  <si>
    <t>NowcastPeriod { Time = 11/23/2025 11:30:00 AM, TemperatureC = -2.6, PrecipitationMm = 0, WindSpeedKmh = 4.7, WindGustsKmh = 10.8, SolarRadiationWm2 = 254.9, LocalTime = 11/23/2025 12:30:00 PM }</t>
  </si>
  <si>
    <t>LEG.MeteoSwiss.Client.Forecast.NowcastPeriod</t>
  </si>
  <si>
    <t>NowcastPeriod { Time = 11/23/2025 11:45:00 AM, TemperatureC = -2.2, PrecipitationMm = 0, WindSpeedKmh = 4.4, WindGustsKmh = 11.5, SolarRadiationWm2 = 236.8, LocalTime = 11/23/2025 12:45:00 PM }</t>
  </si>
  <si>
    <t>NowcastPeriod { Time = 11/23/2025 12:00:00 PM, TemperatureC = -1.8, PrecipitationMm = 0, WindSpeedKmh = 3.9, WindGustsKmh = 11.9, SolarRadiationWm2 = 276.1, LocalTime = 11/23/2025 1:00:00 PM }</t>
  </si>
  <si>
    <t>NowcastPeriod { Time = 11/23/2025 12:15:00 PM, TemperatureC = -1.4, PrecipitationMm = 0, WindSpeedKmh = 3.4, WindGustsKmh = 11.2, SolarRadiationWm2 = 290.1, LocalTime = 11/23/2025 1:15:00 PM }</t>
  </si>
  <si>
    <t>NowcastPeriod { Time = 11/23/2025 12:30:00 PM, TemperatureC = -0.9, PrecipitationMm = 0, WindSpeedKmh = 2.4, WindGustsKmh = 10.1, SolarRadiationWm2 = 334.9, LocalTime = 11/23/2025 1:30:00 PM }</t>
  </si>
  <si>
    <t>NowcastPeriod { Time = 11/23/2025 12:45:00 PM, TemperatureC = -0.6, PrecipitationMm = 0, WindSpeedKmh = 1.6, WindGustsKmh = 8.6, SolarRadiationWm2 = 271.1, LocalTime = 11/23/2025 1:45:00 PM }</t>
  </si>
  <si>
    <t>NowcastPeriod { Time = 11/23/2025 1:00:00 PM, TemperatureC = -0.3, PrecipitationMm = 0, WindSpeedKmh = 1.5, WindGustsKmh = 7.9, SolarRadiationWm2 = 224.6, LocalTime = 11/23/2025 2:00:00 PM }</t>
  </si>
  <si>
    <t>NowcastPeriod { Time = 11/23/2025 1:15:00 PM, TemperatureC = -0.1, PrecipitationMm = 0, WindSpeedKmh = 1.9, WindGustsKmh = 7.6, SolarRadiationWm2 = 200, LocalTime = 11/23/2025 2:15:00 PM }</t>
  </si>
  <si>
    <t>NowcastPeriod { Time = 11/23/2025 1:30:00 PM, TemperatureC = 0.2, PrecipitationMm = 0, WindSpeedKmh = 2.9, WindGustsKmh = 7.6, SolarRadiationWm2 = 222.7, LocalTime = 11/23/2025 2:30:00 PM }</t>
  </si>
  <si>
    <t>NowcastPeriod { Time = 11/23/2025 1:45:00 PM, TemperatureC = 0.4, PrecipitationMm = 0, WindSpeedKmh = 3.9, WindGustsKmh = 7.9, SolarRadiationWm2 = 148.4, LocalTime = 11/23/2025 2:45:00 PM }</t>
  </si>
  <si>
    <t>NowcastPeriod { Time = 11/23/2025 2:00:00 PM, TemperatureC = 0.6, PrecipitationMm = 0, WindSpeedKmh = 4.9, WindGustsKmh = 8.6, SolarRadiationWm2 = 141.8, LocalTime = 11/23/2025 3:00:00 PM }</t>
  </si>
  <si>
    <t>NowcastPeriod { Time = 11/23/2025 2:15:00 PM, TemperatureC = 0.7, PrecipitationMm = 0, WindSpeedKmh = 5.9, WindGustsKmh = 10.4, SolarRadiationWm2 = 111, LocalTime = 11/23/2025 3:15:00 PM }</t>
  </si>
  <si>
    <t>NowcastPeriod { Time = 11/23/2025 2:30:00 PM, TemperatureC = 0.8, PrecipitationMm = 0, WindSpeedKmh = 6.9, WindGustsKmh = 13, SolarRadiationWm2 = 118.9, LocalTime = 11/23/2025 3:30:00 PM }</t>
  </si>
  <si>
    <t>NowcastPeriod { Time = 11/23/2025 2:45:00 PM, TemperatureC = 0.9, PrecipitationMm = 0, WindSpeedKmh = 7.9, WindGustsKmh = 15.1, SolarRadiationWm2 = 100.8, LocalTime = 11/23/2025 3:45:00 PM }</t>
  </si>
  <si>
    <t>NowcastPeriod { Time = 11/23/2025 3:00:00 PM, TemperatureC = 0.9, PrecipitationMm = 0, WindSpeedKmh = 7.9, WindGustsKmh = 16.2, SolarRadiationWm2 = 111, LocalTime = 11/23/2025 4:00:00 PM }</t>
  </si>
  <si>
    <t>NowcastPeriod { Time = 11/23/2025 3:15:00 PM, TemperatureC = 1, PrecipitationMm = 0, WindSpeedKmh = 7.1, WindGustsKmh = 15.5, SolarRadiationWm2 = 93.6, LocalTime = 11/23/2025 4:15:00 PM }</t>
  </si>
  <si>
    <t>NowcastPeriod { Time = 11/23/2025 3:30:00 PM, TemperatureC = 1, PrecipitationMm = 0, WindSpeedKmh = 5.7, WindGustsKmh = 14, SolarRadiationWm2 = 72.7, LocalTime = 11/23/2025 4:30:00 PM }</t>
  </si>
  <si>
    <t>NowcastPeriod { Time = 11/23/2025 3:45:00 PM, TemperatureC = 1.1, PrecipitationMm = 0, WindSpeedKmh = 3.9, WindGustsKmh = 11.9, SolarRadiationWm2 = 53.8, LocalTime = 11/23/2025 4:45:00 PM }</t>
  </si>
  <si>
    <t>NowcastPeriod { Time = 11/23/2025 4:00:00 PM, TemperatureC = 1, PrecipitationMm = 0, WindSpeedKmh = 3.3, WindGustsKmh = 10.4, SolarRadiationWm2 = 25.1, LocalTime = 11/23/2025 5:00:00 PM }</t>
  </si>
  <si>
    <t>NowcastPeriod { Time = 11/23/2025 4:15:00 PM, TemperatureC = 1, PrecipitationMm = 0, WindSpeedKmh = 3.3, WindGustsKmh = 9.7, SolarRadiationWm2 = 13.4, LocalTime = 11/23/2025 5:15:00 PM }</t>
  </si>
  <si>
    <t>NowcastPeriod { Time = 11/23/2025 4:30:00 PM, TemperatureC = 1, PrecipitationMm = 0, WindSpeedKmh = 4, WindGustsKmh = 9.4, SolarRadiationWm2 = 4.1, LocalTime = 11/23/2025 5:30:00 PM }</t>
  </si>
  <si>
    <t>NowcastPeriod { Time = 11/23/2025 4:45:00 PM, TemperatureC = 0.9, PrecipitationMm = 0, WindSpeedKmh = 4.7, WindGustsKmh = 9, SolarRadiationWm2 = 0, LocalTime = 11/23/2025 5:45:00 PM }</t>
  </si>
  <si>
    <t>NowcastPeriod { Time = 11/23/2025 5:00:00 PM, TemperatureC = 0.9, PrecipitationMm = 0, WindSpeedKmh = 4.9, WindGustsKmh = 9, SolarRadiationWm2 = 0, LocalTime = 11/23/2025 6:00:00 PM }</t>
  </si>
  <si>
    <t>NowcastPeriod { Time = 11/23/2025 5:15:00 PM, TemperatureC = 0.9, PrecipitationMm = 0, WindSpeedKmh = 4.4, WindGustsKmh = 9, SolarRadiationWm2 = 0, LocalTime = 11/23/2025 6:15:00 PM }</t>
  </si>
  <si>
    <t>NowcastPeriod { Time = 11/23/2025 5:30:00 PM, TemperatureC = 0.9, PrecipitationMm = 0, WindSpeedKmh = 3.7, WindGustsKmh = 9.4, SolarRadiationWm2 = 0, LocalTime = 11/23/2025 6:30:00 PM }</t>
  </si>
  <si>
    <t>NowcastPeriod { Time = 11/23/2025 5:45:00 PM, TemperatureC = 0.9, PrecipitationMm = 0, WindSpeedKmh = 3.1, WindGustsKmh = 9.7, SolarRadiationWm2 = 0, LocalTime = 11/23/2025 6:45:00 PM }</t>
  </si>
  <si>
    <t>NowcastPeriod { Time = 11/23/2025 6:00:00 PM, TemperatureC = 0.9, PrecipitationMm = 0, WindSpeedKmh = 3, WindGustsKmh = 9.7, SolarRadiationWm2 = 0, LocalTime = 11/23/2025 7:00:00 PM }</t>
  </si>
  <si>
    <t>NowcastPeriod { Time = 11/23/2025 6:15:00 PM, TemperatureC = 0.9, PrecipitationMm = 0, WindSpeedKmh = 3.1, WindGustsKmh = 9.4, SolarRadiationWm2 = 0, LocalTime = 11/23/2025 7:15:00 PM }</t>
  </si>
  <si>
    <t>NowcastPeriod { Time = 11/23/2025 6:30:00 PM, TemperatureC = 1, PrecipitationMm = 0, WindSpeedKmh = 3.9, WindGustsKmh = 9, SolarRadiationWm2 = 0, LocalTime = 11/23/2025 7:30:00 PM }</t>
  </si>
  <si>
    <t>NowcastPeriod { Time = 11/23/2025 6:45:00 PM, TemperatureC = 1, PrecipitationMm = 0, WindSpeedKmh = 4.6, WindGustsKmh = 8.3, SolarRadiationWm2 = 0, LocalTime = 11/23/2025 7:45:00 PM }</t>
  </si>
  <si>
    <t>NowcastPeriod { Time = 11/23/2025 7:00:00 PM, TemperatureC = 1, PrecipitationMm = 0, WindSpeedKmh = 5.1, WindGustsKmh = 7.9, SolarRadiationWm2 = 0, LocalTime = 11/23/2025 8:00:00 PM }</t>
  </si>
  <si>
    <t>NowcastPeriod { Time = 11/23/2025 7:15:00 PM, TemperatureC = 0.9, PrecipitationMm = 0, WindSpeedKmh = 5.2, WindGustsKmh = 7.9, SolarRadiationWm2 = 0, LocalTime = 11/23/2025 8:15:00 PM }</t>
  </si>
  <si>
    <t>NowcastPeriod { Time = 11/23/2025 7:30:00 PM, TemperatureC = 0.6, PrecipitationMm = 0, WindSpeedKmh = 5, WindGustsKmh = 7.9, SolarRadiationWm2 = 0, LocalTime = 11/23/2025 8:30:00 PM }</t>
  </si>
  <si>
    <t>NowcastPeriod { Time = 11/23/2025 7:45:00 PM, TemperatureC = 0.4, PrecipitationMm = 0, WindSpeedKmh = 5.1, WindGustsKmh = 7.9, SolarRadiationWm2 = 0, LocalTime = 11/23/2025 8:45:00 PM }</t>
  </si>
  <si>
    <t>NowcastPeriod { Time = 11/23/2025 8:00:00 PM, TemperatureC = 0.3, PrecipitationMm = 0.4, WindSpeedKmh = 5.4, WindGustsKmh = 8.3, SolarRadiationWm2 = 0, LocalTime = 11/23/2025 9:00:00 PM }</t>
  </si>
  <si>
    <t>NowcastPeriod { Time = 11/23/2025 8:15:00 PM, TemperatureC = 0.3, PrecipitationMm = 0.6, WindSpeedKmh = 5.4, WindGustsKmh = 9, SolarRadiationWm2 = 0, LocalTime = 11/23/2025 9:15:00 PM }</t>
  </si>
  <si>
    <t>NowcastPeriod { Time = 11/23/2025 8:30:00 PM, TemperatureC = 0.3, PrecipitationMm = 0.4, WindSpeedKmh = 5.4, WindGustsKmh = 10.1, SolarRadiationWm2 = 0, LocalTime = 11/23/2025 9:30:00 PM }</t>
  </si>
  <si>
    <t>NowcastPeriod { Time = 11/23/2025 8:45:00 PM, TemperatureC = 0.4, PrecipitationMm = 0.5, WindSpeedKmh = 5.3, WindGustsKmh = 11.2, SolarRadiationWm2 = 0, LocalTime = 11/23/2025 9:45:00 PM }</t>
  </si>
  <si>
    <t>NowcastPeriod { Time = 11/23/2025 9:00:00 PM, TemperatureC = 0.5, PrecipitationMm = 0.6, WindSpeedKmh = 5.4, WindGustsKmh = 11.9, SolarRadiationWm2 = 0, LocalTime = 11/23/2025 10:00:00 PM }</t>
  </si>
  <si>
    <t>NowcastPeriod { Time = 11/23/2025 9:15:00 PM, TemperatureC = 0.6, PrecipitationMm = 0.7, WindSpeedKmh = 4.8, WindGustsKmh = 11.9, SolarRadiationWm2 = 0, LocalTime = 11/23/2025 10:15:00 PM }</t>
  </si>
  <si>
    <t>NowcastPeriod { Time = 11/23/2025 9:30:00 PM, TemperatureC = 0.8, PrecipitationMm = 0.5, WindSpeedKmh = 4.1, WindGustsKmh = 11.5, SolarRadiationWm2 = 0, LocalTime = 11/23/2025 10:30:00 PM }</t>
  </si>
  <si>
    <t>NowcastPeriod { Time = 11/23/2025 9:45:00 PM, TemperatureC = 0.9, PrecipitationMm = 0.4, WindSpeedKmh = 3.1, WindGustsKmh = 10.8, SolarRadiationWm2 = 0, LocalTime = 11/23/2025 10:45:00 PM }</t>
  </si>
  <si>
    <t>NowcastPeriod { Time = 11/23/2025 10:00:00 PM, TemperatureC = 1, PrecipitationMm = 0.4, WindSpeedKmh = 2.5, WindGustsKmh = 10.4, SolarRadiationWm2 = 0, LocalTime = 11/23/2025 11:00:00 PM }</t>
  </si>
  <si>
    <t>NowcastPeriod { Time = 11/23/2025 10:15:00 PM, TemperatureC = 1.1, PrecipitationMm = 0.5, WindSpeedKmh = 2.6, WindGustsKmh = 10.1, SolarRadiationWm2 = 0, LocalTime = 11/23/2025 11:15:00 PM }</t>
  </si>
  <si>
    <t>NowcastPeriod { Time = 11/23/2025 10:30:00 PM, TemperatureC = 1.1, PrecipitationMm = 0.5, WindSpeedKmh = 3.4, WindGustsKmh = 9.7, SolarRadiationWm2 = 0, LocalTime = 11/23/2025 11:30:00 PM }</t>
  </si>
  <si>
    <t>NowcastPeriod { Time = 11/23/2025 10:45:00 PM, TemperatureC = 1.2, PrecipitationMm = 0.3, WindSpeedKmh = 4, WindGustsKmh = 9.4, SolarRadiationWm2 = 0, LocalTime = 11/23/2025 11:45:00 PM }</t>
  </si>
  <si>
    <t>NowcastPeriod { Time = 11/23/2025 11:00:00 PM, TemperatureC = 1.2, PrecipitationMm = 0.4, WindSpeedKmh = 4.7, WindGustsKmh = 9, SolarRadiationWm2 = 0, LocalTime = 11/24/2025 12:00:00 AM }</t>
  </si>
  <si>
    <t>NowcastPeriod { Time = 11/23/2025 11:15:00 PM, TemperatureC = 1.3, PrecipitationMm = 0.4, WindSpeedKmh = 4.7, WindGustsKmh = 8.6, SolarRadiationWm2 = 0, LocalTime = 11/24/2025 12:15:00 AM }</t>
  </si>
  <si>
    <t>NowcastPeriod { Time = 11/23/2025 11:30:00 PM, TemperatureC = 1.4, PrecipitationMm = 0.4, WindSpeedKmh = 4.3, WindGustsKmh = 7.9, SolarRadiationWm2 = 0, LocalTime = 11/24/2025 12:30:00 AM }</t>
  </si>
  <si>
    <t>NowcastPeriod { Time = 11/23/2025 11:45:00 PM, TemperatureC = 1.4, PrecipitationMm = 0.4, WindSpeedKmh = 4, WindGustsKmh = 7.6, SolarRadiationWm2 = 0, LocalTime = 11/24/2025 12:45:00 AM }</t>
  </si>
  <si>
    <t>NowcastPeriod { Time = 11/24/2025 12:00:00 AM, TemperatureC = 1.4, PrecipitationMm = 0.4, WindSpeedKmh = 3.7, WindGustsKmh = 7.2, SolarRadiationWm2 = 0, LocalTime = 11/24/2025 1:00:00 AM }</t>
  </si>
  <si>
    <t>NowcastPeriod { Time = 11/24/2025 12:15:00 AM, TemperatureC = 1.4, PrecipitationMm = 0.4, WindSpeedKmh = 3.7, WindGustsKmh = 6.8, SolarRadiationWm2 = 0, LocalTime = 11/24/2025 1:15:00 AM }</t>
  </si>
  <si>
    <t>NowcastPeriod { Time = 11/24/2025 12:30:00 AM, TemperatureC = 1.4, PrecipitationMm = 0.4, WindSpeedKmh = 3.6, WindGustsKmh = 6.5, SolarRadiationWm2 = 0, LocalTime = 11/24/2025 1:30:00 AM }</t>
  </si>
  <si>
    <t>NowcastPeriod { Time = 11/24/2025 12:45:00 AM, TemperatureC = 1.4, PrecipitationMm = 0.4, WindSpeedKmh = 4, WindGustsKmh = 6.1, SolarRadiationWm2 = 0, LocalTime = 11/24/2025 1:45:00 AM }</t>
  </si>
  <si>
    <t>NowcastPeriod { Time = 11/24/2025 1:00:00 AM, TemperatureC = 1.4, PrecipitationMm = 0.4, WindSpeedKmh = 4, WindGustsKmh = 6.1, SolarRadiationWm2 = 0, LocalTime = 11/24/2025 2:00:00 AM }</t>
  </si>
  <si>
    <t>NowcastPeriod { Time = 11/24/2025 1:15:00 AM, TemperatureC = 1.5, PrecipitationMm = 0.3, WindSpeedKmh = 4, WindGustsKmh = 6.1, SolarRadiationWm2 = 0, LocalTime = 11/24/2025 2:15:00 AM }</t>
  </si>
  <si>
    <t>NowcastPeriod { Time = 11/24/2025 1:30:00 AM, TemperatureC = 1.5, PrecipitationMm = 0.4, WindSpeedKmh = 4, WindGustsKmh = 6.1, SolarRadiationWm2 = 0, LocalTime = 11/24/2025 2:30:00 AM }</t>
  </si>
  <si>
    <t>NowcastPeriod { Time = 11/24/2025 1:45:00 AM, TemperatureC = 1.5, PrecipitationMm = 0.4, WindSpeedKmh = 3.7, WindGustsKmh = 6.1, SolarRadiationWm2 = 0, LocalTime = 11/24/2025 2:45:00 AM }</t>
  </si>
  <si>
    <t>NowcastPeriod { Time = 11/24/2025 2:00:00 AM, TemperatureC = 1.5, PrecipitationMm = 0.4, WindSpeedKmh = 3.7, WindGustsKmh = 6.1, SolarRadiationWm2 = 0, LocalTime = 11/24/2025 3:00:00 AM }</t>
  </si>
  <si>
    <t>NowcastPeriod { Time = 11/24/2025 2:15:00 AM, TemperatureC = 1.6, PrecipitationMm = 0.5, WindSpeedKmh = 3.7, WindGustsKmh = 6.1, SolarRadiationWm2 = 0, LocalTime = 11/24/2025 3:15:00 AM }</t>
  </si>
  <si>
    <t>NowcastPeriod { Time = 11/24/2025 2:30:00 AM, TemperatureC = 1.7, PrecipitationMm = 0.6, WindSpeedKmh = 3.7, WindGustsKmh = 6.1, SolarRadiationWm2 = 0, LocalTime = 11/24/2025 3:30:00 AM }</t>
  </si>
  <si>
    <t>NowcastPeriod { Time = 11/24/2025 2:45:00 AM, TemperatureC = 1.8, PrecipitationMm = 0.6, WindSpeedKmh = 3.7, WindGustsKmh = 6.1, SolarRadiationWm2 = 0, LocalTime = 11/24/2025 3:45:00 AM }</t>
  </si>
  <si>
    <t>NowcastPeriod { Time = 11/24/2025 3:00:00 AM, TemperatureC = 1.8, PrecipitationMm = 0.5, WindSpeedKmh = 3.6, WindGustsKmh = 6.1, SolarRadiationWm2 = 0, LocalTime = 11/24/2025 4:00:00 AM }</t>
  </si>
  <si>
    <t>NowcastPeriod { Time = 11/24/2025 3:15:00 AM, TemperatureC = 1.8, PrecipitationMm = 0.6, WindSpeedKmh = 3.6, WindGustsKmh = 6.5, SolarRadiationWm2 = 0, LocalTime = 11/24/2025 4:15:00 AM }</t>
  </si>
  <si>
    <t>NowcastPeriod { Time = 11/24/2025 3:30:00 AM, TemperatureC = 1.8, PrecipitationMm = 0.6, WindSpeedKmh = 4, WindGustsKmh = 6.5, SolarRadiationWm2 = 0, LocalTime = 11/24/2025 4:30:00 AM }</t>
  </si>
  <si>
    <t>NowcastPeriod { Time = 11/24/2025 3:45:00 AM, TemperatureC = 1.8, PrecipitationMm = 0.6, WindSpeedKmh = 4.6, WindGustsKmh = 6.8, SolarRadiationWm2 = 0, LocalTime = 11/24/2025 4:45:00 AM }</t>
  </si>
  <si>
    <t>NowcastPeriod { Time = 11/24/2025 4:00:00 AM, TemperatureC = 1.8, PrecipitationMm = 0.6, WindSpeedKmh = 4.7, WindGustsKmh = 7.2, SolarRadiationWm2 = 0, LocalTime = 11/24/2025 5:00:00 AM }</t>
  </si>
  <si>
    <t>NowcastPeriod { Time = 11/24/2025 4:15:00 AM, TemperatureC = 1.9, PrecipitationMm = 0.6, WindSpeedKmh = 4.8, WindGustsKmh = 7.6, SolarRadiationWm2 = 0, LocalTime = 11/24/2025 5:15:00 AM }</t>
  </si>
  <si>
    <t>NowcastPeriod { Time = 11/24/2025 4:30:00 AM, TemperatureC = 1.9, PrecipitationMm = 0.7, WindSpeedKmh = 4.8, WindGustsKmh = 7.6, SolarRadiationWm2 = 0, LocalTime = 11/24/2025 5:30:00 AM }</t>
  </si>
  <si>
    <t>NowcastPeriod { Time = 11/24/2025 4:45:00 AM, TemperatureC = 1.9, PrecipitationMm = 0.7, WindSpeedKmh = 4.5, WindGustsKmh = 7.9, SolarRadiationWm2 = 0, LocalTime = 11/24/2025 5:45:00 AM }</t>
  </si>
  <si>
    <t>NowcastPeriod { Time = 11/24/2025 5:00:00 AM, TemperatureC = 1.9, PrecipitationMm = 0.7, WindSpeedKmh = 4.5, WindGustsKmh = 7.9, SolarRadiationWm2 = 0, LocalTime = 11/24/2025 6:00:00 AM }</t>
  </si>
  <si>
    <t>NowcastPeriod { Time = 11/24/2025 5:15:00 AM, TemperatureC = 2, PrecipitationMm = 0.6, WindSpeedKmh = 4.5, WindGustsKmh = 7.9, SolarRadiationWm2 = 0, LocalTime = 11/24/2025 6:15:00 AM }</t>
  </si>
  <si>
    <t>NowcastPeriod { Time = 11/24/2025 5:30:00 AM, TemperatureC = 2, PrecipitationMm = 0.6, WindSpeedKmh = 4.4, WindGustsKmh = 7.9, SolarRadiationWm2 = 0, LocalTime = 11/24/2025 6:30:00 AM }</t>
  </si>
  <si>
    <t>NowcastPeriod { Time = 11/24/2025 5:45:00 AM, TemperatureC = 2, PrecipitationMm = 0.7, WindSpeedKmh = 4.4, WindGustsKmh = 7.6, SolarRadiationWm2 = 0, LocalTime = 11/24/2025 6:45:00 AM }</t>
  </si>
  <si>
    <t>NowcastPeriod { Time = 11/24/2025 6:00:00 AM, TemperatureC = 2, PrecipitationMm = 0.7, WindSpeedKmh = 4.4, WindGustsKmh = 7.6, SolarRadiationWm2 = 0, LocalTime = 11/24/2025 7:00:00 AM }</t>
  </si>
  <si>
    <t>NowcastPeriod { Time = 11/24/2025 6:15:00 AM, TemperatureC = 2.1, PrecipitationMm = 0.7, WindSpeedKmh = 4.4, WindGustsKmh = 7.6, SolarRadiationWm2 = 0, LocalTime = 11/24/2025 7:15:00 AM }</t>
  </si>
  <si>
    <t>NowcastPeriod { Time = 11/24/2025 6:30:00 AM, TemperatureC = 2.2, PrecipitationMm = 0.7, WindSpeedKmh = 4.6, WindGustsKmh = 7.2, SolarRadiationWm2 = 0, LocalTime = 11/24/2025 7:30:00 AM }</t>
  </si>
  <si>
    <t>NowcastPeriod { Time = 11/24/2025 6:45:00 AM, TemperatureC = 2.2, PrecipitationMm = 0.7, WindSpeedKmh = 4.6, WindGustsKmh = 7.2, SolarRadiationWm2 = 0, LocalTime = 11/24/2025 7:45:00 AM }</t>
  </si>
  <si>
    <t>NowcastPeriod { Time = 11/24/2025 7:00:00 AM, TemperatureC = 2.2, PrecipitationMm = 0.7, WindSpeedKmh = 4.6, WindGustsKmh = 7.2, SolarRadiationWm2 = 0, LocalTime = 11/24/2025 8:00:00 AM }</t>
  </si>
  <si>
    <t>NowcastPeriod { Time = 11/24/2025 7:15:00 AM, TemperatureC = 2.2, PrecipitationMm = 0.7, WindSpeedKmh = 4.6, WindGustsKmh = 7.6, SolarRadiationWm2 = 0, LocalTime = 11/24/2025 8:15:00 AM }</t>
  </si>
  <si>
    <t>NowcastPeriod { Time = 11/24/2025 7:30:00 AM, TemperatureC = 2.3, PrecipitationMm = 0.7, WindSpeedKmh = 5.1, WindGustsKmh = 7.9, SolarRadiationWm2 = 0, LocalTime = 11/24/2025 8:30:00 AM }</t>
  </si>
  <si>
    <t>NowcastPeriod { Time = 11/24/2025 7:45:00 AM, TemperatureC = 2.4, PrecipitationMm = 0.7, WindSpeedKmh = 5.1, WindGustsKmh = 8.3, SolarRadiationWm2 = 0, LocalTime = 11/24/2025 8:45:00 AM }</t>
  </si>
  <si>
    <t>NowcastPeriod { Time = 11/24/2025 8:00:00 AM, TemperatureC = 2.4, PrecipitationMm = 0.7, WindSpeedKmh = 4.9, WindGustsKmh = 8.6, SolarRadiationWm2 = 2.8, LocalTime = 11/24/2025 9:00:00 AM }</t>
  </si>
  <si>
    <t>NowcastPeriod { Time = 11/24/2025 8:15:00 AM, TemperatureC = 2.5, PrecipitationMm = 0.8, WindSpeedKmh = 4.5, WindGustsKmh = 8.6, SolarRadiationWm2 = 5.5, LocalTime = 11/24/2025 9:15:00 AM }</t>
  </si>
  <si>
    <t>NowcastPeriod { Time = 11/24/2025 8:30:00 AM, TemperatureC = 2.5, PrecipitationMm = 0.8, WindSpeedKmh = 4.2, WindGustsKmh = 8.6, SolarRadiationWm2 = 8.5, LocalTime = 11/24/2025 9:30:00 AM }</t>
  </si>
  <si>
    <t>NowcastPeriod { Time = 11/24/2025 8:45:00 AM, TemperatureC = 2.5, PrecipitationMm = 0.7, WindSpeedKmh = 3.6, WindGustsKmh = 8.3, SolarRadiationWm2 = 12.6, LocalTime = 11/24/2025 9:45:00 AM }</t>
  </si>
  <si>
    <t>NowcastPeriod { Time = 11/24/2025 9:00:00 AM, TemperatureC = 2.5, PrecipitationMm = 0.7, WindSpeedKmh = 3.6, WindGustsKmh = 7.9, SolarRadiationWm2 = 19.9, LocalTime = 11/24/2025 10:00:00 AM }</t>
  </si>
  <si>
    <t>NowcastPeriod { Time = 11/24/2025 9:15:00 AM, TemperatureC = 2.5, PrecipitationMm = 0.8, WindSpeedKmh = 3.7, WindGustsKmh = 7.6, SolarRadiationWm2 = 20.6, LocalTime = 11/24/2025 10:15:00 AM }</t>
  </si>
  <si>
    <t>NowcastPeriod { Time = 11/24/2025 9:30:00 AM, TemperatureC = 2.6, PrecipitationMm = 0.6, WindSpeedKmh = 3.7, WindGustsKmh = 7.2, SolarRadiationWm2 = 34.1, LocalTime = 11/24/2025 10:30:00 AM }</t>
  </si>
  <si>
    <t>NowcastPeriod { Time = 11/24/2025 9:45:00 AM, TemperatureC = 2.6, PrecipitationMm = 0.7, WindSpeedKmh = 3.7, WindGustsKmh = 6.8, SolarRadiationWm2 = 22.1, LocalTime = 11/24/2025 10:45:00 AM }</t>
  </si>
  <si>
    <t>NowcastPeriod { Time = 11/24/2025 10:00:00 AM, TemperatureC = 2.7, PrecipitationMm = 0.6, WindSpeedKmh = 3.7, WindGustsKmh = 6.5, SolarRadiationWm2 = 30.3, LocalTime = 11/24/2025 11:00:00 AM }</t>
  </si>
  <si>
    <t>NowcastPeriod { Time = 11/24/2025 10:15:00 AM, TemperatureC = 2.8, PrecipitationMm = 0.6, WindSpeedKmh = 3.3, WindGustsKmh = 6.5, SolarRadiationWm2 = 33.2, LocalTime = 11/24/2025 11:15:00 AM }</t>
  </si>
  <si>
    <t>NowcastPeriod { Time = 11/24/2025 10:30:00 AM, TemperatureC = 2.9, PrecipitationMm = 0.6, WindSpeedKmh = 3.3, WindGustsKmh = 6.5, SolarRadiationWm2 = 36.1, LocalTime = 11/24/2025 11:30:00 AM }</t>
  </si>
  <si>
    <t>NowcastPeriod { Time = 11/24/2025 10:45:00 AM, TemperatureC = 3, PrecipitationMm = 0.6, WindSpeedKmh = 2.9, WindGustsKmh = 6.8, SolarRadiationWm2 = 34.9, LocalTime = 11/24/2025 11:45:00 AM }</t>
  </si>
  <si>
    <t>NowcastPeriod { Time = 11/24/2025 11:00:00 AM, TemperatureC = 3.1, PrecipitationMm = 0.6, WindSpeedKmh = 2.5, WindGustsKmh = 6.5, SolarRadiationWm2 = 43.9, LocalTime = 11/24/2025 12:00:00 PM }</t>
  </si>
  <si>
    <t>NowcastPeriod { Time = 11/24/2025 11:15:00 AM, TemperatureC = 3.2, PrecipitationMm = 0.6, WindSpeedKmh = 2.3, WindGustsKmh = 5.8, SolarRadiationWm2 = 53.8, LocalTime = 11/24/2025 12:15:00 PM }</t>
  </si>
  <si>
    <t>NowcastPeriod { Time = 11/24/2025 11:30:00 AM, TemperatureC = 3.4, PrecipitationMm = 0.5, WindSpeedKmh = 1.9, WindGustsKmh = 4.7, SolarRadiationWm2 = 50.6, LocalTime = 11/24/2025 12:30:00 PM }</t>
  </si>
  <si>
    <t>NowcastPeriod { Time = 11/24/2025 11:45:00 AM, TemperatureC = 3.5, PrecipitationMm = 0.5, WindSpeedKmh = 1.8, WindGustsKmh = 4, SolarRadiationWm2 = 71.6, LocalTime = 11/24/2025 12:45:00 PM }</t>
  </si>
  <si>
    <t>NowcastPeriod { Time = 11/24/2025 12:00:00 PM, TemperatureC = 3.6, PrecipitationMm = 0.5, WindSpeedKmh = 1.5, WindGustsKmh = 3.2, SolarRadiationWm2 = 60.2, LocalTime = 11/24/2025 1:00:00 PM }</t>
  </si>
  <si>
    <t>NowcastPeriod { Time = 11/24/2025 12:15:00 PM, TemperatureC = 3.7, PrecipitationMm = 0.4, WindSpeedKmh = 1.5, WindGustsKmh = 3.2, SolarRadiationWm2 = 66, LocalTime = 11/24/2025 1:15:00 PM }</t>
  </si>
  <si>
    <t>NowcastPeriod { Time = 11/24/2025 12:30:00 PM, TemperatureC = 3.8, PrecipitationMm = 0.4, WindSpeedKmh = 1.8, WindGustsKmh = 3.6, SolarRadiationWm2 = 66.8, LocalTime = 11/24/2025 1:30:00 PM }</t>
  </si>
  <si>
    <t>NowcastPeriod { Time = 11/24/2025 12:45:00 PM, TemperatureC = 3.8, PrecipitationMm = 0.4, WindSpeedKmh = 1.8, WindGustsKmh = 4.3, SolarRadiationWm2 = 83.4, LocalTime = 11/24/2025 1:45:00 PM }</t>
  </si>
  <si>
    <t>NowcastPeriod { Time = 11/24/2025 1:00:00 PM, TemperatureC = 3.9, PrecipitationMm = 0.3, WindSpeedKmh = 2.1, WindGustsKmh = 4.7, SolarRadiationWm2 = 72.2, LocalTime = 11/24/2025 2:00:00 PM }</t>
  </si>
  <si>
    <t>NowcastPeriod { Time = 11/24/2025 1:15:00 PM, TemperatureC = 4.1, PrecipitationMm = 0.3, WindSpeedKmh = 2.3, WindGustsKmh = 5, SolarRadiationWm2 = 89.7, LocalTime = 11/24/2025 2:15:00 PM }</t>
  </si>
  <si>
    <t>NowcastPeriod { Time = 11/24/2025 1:30:00 PM, TemperatureC = 4.2, PrecipitationMm = 0.3, WindSpeedKmh = 2.6, WindGustsKmh = 5.4, SolarRadiationWm2 = 65.7, LocalTime = 11/24/2025 2:30:00 PM }</t>
  </si>
  <si>
    <t>NowcastPeriod { Time = 11/24/2025 1:45:00 PM, TemperatureC = 4.3, PrecipitationMm = 0.3, WindSpeedKmh = 2.8, WindGustsKmh = 5.8, SolarRadiationWm2 = 72.3, LocalTime = 11/24/2025 2:45:00 PM }</t>
  </si>
  <si>
    <t>NowcastPeriod { Time = 11/24/2025 2:00:00 PM, TemperatureC = 4.4, PrecipitationMm = 0.3, WindSpeedKmh = 2.8, WindGustsKmh = 5.8, SolarRadiationWm2 = 72.9, LocalTime = 11/24/2025 3:00:00 PM }</t>
  </si>
  <si>
    <t>NowcastPeriod { Time = 11/24/2025 2:15:00 PM, TemperatureC = 4.4, PrecipitationMm = 0.2, WindSpeedKmh = 2.6, WindGustsKmh = 5.4, SolarRadiationWm2 = 58.9, LocalTime = 11/24/2025 3:15:00 PM }</t>
  </si>
  <si>
    <t>NowcastPeriod { Time = 11/24/2025 2:30:00 PM, TemperatureC = 4.4, PrecipitationMm = 0.3, WindSpeedKmh = 2.3, WindGustsKmh = 4.7, SolarRadiationWm2 = 39.3, LocalTime = 11/24/2025 3:30:00 PM }</t>
  </si>
  <si>
    <t>NowcastPeriod { Time = 11/24/2025 2:45:00 PM, TemperatureC = 4.4, PrecipitationMm = 0.2, WindSpeedKmh = 2.2, WindGustsKmh = 4, SolarRadiationWm2 = 33.3, LocalTime = 11/24/2025 3:45:00 PM }</t>
  </si>
  <si>
    <t>NowcastPeriod { Time = 11/24/2025 3:00:00 PM, TemperatureC = 4.4, PrecipitationMm = 0.3, WindSpeedKmh = 2.2, WindGustsKmh = 3.6, SolarRadiationWm2 = 36.7, LocalTime = 11/24/2025 4:00:00 PM }</t>
  </si>
  <si>
    <t>NowcastPeriod { Time = 11/24/2025 3:15:00 PM, TemperatureC = 4.4, PrecipitationMm = 0.4, WindSpeedKmh = 2.2, WindGustsKmh = 3.2, SolarRadiationWm2 = 26.9, LocalTime = 11/24/2025 4:15:00 PM }</t>
  </si>
  <si>
    <t>NowcastPeriod { Time = 11/24/2025 3:30:00 PM, TemperatureC = 4.3, PrecipitationMm = 0.4, WindSpeedKmh = 2.2, WindGustsKmh = 3.2, SolarRadiationWm2 = 21.8, LocalTime = 11/24/2025 4:30:00 PM }</t>
  </si>
  <si>
    <t>NowcastPeriod { Time = 11/24/2025 3:45:00 PM, TemperatureC = 4.2, PrecipitationMm = 0.4, WindSpeedKmh = 1.8, WindGustsKmh = 3.2, SolarRadiationWm2 = 15, LocalTime = 11/24/2025 4:45:00 PM }</t>
  </si>
  <si>
    <t>NowcastPeriod { Time = 11/24/2025 4:00:00 PM, TemperatureC = 4.2, PrecipitationMm = 0.5, WindSpeedKmh = 1.8, WindGustsKmh = 3.2, SolarRadiationWm2 = 13.3, LocalTime = 11/24/2025 5:00:00 PM }</t>
  </si>
  <si>
    <t>NowcastPeriod { Time = 11/24/2025 4:15:00 PM, TemperatureC = 4.1, PrecipitationMm = 0.5, WindSpeedKmh = 1.8, WindGustsKmh = 2.9, SolarRadiationWm2 = 7.4, LocalTime = 11/24/2025 5:15:00 PM }</t>
  </si>
  <si>
    <t>NowcastPeriod { Time = 11/24/2025 4:30:00 PM, TemperatureC = 4, PrecipitationMm = 0.5, WindSpeedKmh = 1.8, WindGustsKmh = 2.9, SolarRadiationWm2 = 1.3, LocalTime = 11/24/2025 5:30:00 PM }</t>
  </si>
  <si>
    <t>NowcastPeriod { Time = 11/24/2025 4:45:00 PM, TemperatureC = 3.8, PrecipitationMm = 0.5, WindSpeedKmh = 1.8, WindGustsKmh = 2.5, SolarRadiationWm2 = 0, LocalTime = 11/24/2025 5:45:00 PM }</t>
  </si>
  <si>
    <t>NowcastPeriod { Time = 11/24/2025 5:00:00 PM, TemperatureC = 3.7, PrecipitationMm = 0.6, WindSpeedKmh = 1.9, WindGustsKmh = 2.5, SolarRadiationWm2 = 0, LocalTime = 11/24/2025 6:00:00 PM }</t>
  </si>
  <si>
    <t>NowcastPeriod { Time = 11/24/2025 5:15:00 PM, TemperatureC = 3.6, PrecipitationMm = 0.6, WindSpeedKmh = 1.9, WindGustsKmh = 2.5, SolarRadiationWm2 = 0, LocalTime = 11/24/2025 6:15:00 PM }</t>
  </si>
  <si>
    <t>NowcastPeriod { Time = 11/24/2025 5:30:00 PM, TemperatureC = 3.5, PrecipitationMm = 0.8, WindSpeedKmh = 2.3, WindGustsKmh = 2.9, SolarRadiationWm2 = 0, LocalTime = 11/24/2025 6:30:00 PM }</t>
  </si>
  <si>
    <t>NowcastPeriod { Time = 11/24/2025 5:45:00 PM, TemperatureC = 3.3, PrecipitationMm = 0.9, WindSpeedKmh = 2.3, WindGustsKmh = 2.9, SolarRadiationWm2 = 0, LocalTime = 11/24/2025 6:45:00 PM }</t>
  </si>
  <si>
    <t>NowcastPeriod { Time = 11/24/2025 6:00:00 PM, TemperatureC = 3.2, PrecipitationMm = 0.9, WindSpeedKmh = 2.3, WindGustsKmh = 3.2, SolarRadiationWm2 = 0, LocalTime = 11/24/2025 7:00:00 PM }</t>
  </si>
  <si>
    <t>NowcastPeriod { Time = 11/24/2025 6:15:00 PM, TemperatureC = 3.2, PrecipitationMm = 0.9, WindSpeedKmh = 2.3, WindGustsKmh = 3.6, SolarRadiationWm2 = 0, LocalTime = 11/24/2025 7:15:00 PM }</t>
  </si>
  <si>
    <t>NowcastPeriod { Time = 11/24/2025 6:30:00 PM, TemperatureC = 3.3, PrecipitationMm = 1, WindSpeedKmh = 2.2, WindGustsKmh = 4.3, SolarRadiationWm2 = 0, LocalTime = 11/24/2025 7:30:00 PM }</t>
  </si>
  <si>
    <t>NowcastPeriod { Time = 11/24/2025 6:45:00 PM, TemperatureC = 3.5, PrecipitationMm = 1, WindSpeedKmh = 2.2, WindGustsKmh = 5, SolarRadiationWm2 = 0, LocalTime = 11/24/2025 7:45:00 PM }</t>
  </si>
  <si>
    <t>NowcastPeriod { Time = 11/24/2025 7:00:00 PM, TemperatureC = 3.5, PrecipitationMm = 1, WindSpeedKmh = 2.2, WindGustsKmh = 5.4, SolarRadiationWm2 = 0, LocalTime = 11/24/2025 8:00:00 PM }</t>
  </si>
  <si>
    <t>NowcastPeriod { Time = 11/24/2025 7:15:00 PM, TemperatureC = 3.5, PrecipitationMm = 1, WindSpeedKmh = 2.5, WindGustsKmh = 5.4, SolarRadiationWm2 = 0, LocalTime = 11/24/2025 8:15:00 PM }</t>
  </si>
  <si>
    <t>NowcastPeriod { Time = 11/24/2025 7:30:00 PM, TemperatureC = 3.5, PrecipitationMm = 1, WindSpeedKmh = 2.9, WindGustsKmh = 5, SolarRadiationWm2 = 0, LocalTime = 11/24/2025 8:30:00 PM }</t>
  </si>
  <si>
    <t>NowcastPeriod { Time = 11/24/2025 7:45:00 PM, TemperatureC = 3.5, PrecipitationMm = 1.2, WindSpeedKmh = 2.9, WindGustsKmh = 4.7, SolarRadiationWm2 = 0, LocalTime = 11/24/2025 8:45:00 PM }</t>
  </si>
  <si>
    <t>NowcastPeriod { Time = 11/24/2025 8:00:00 PM, TemperatureC = 3.5, PrecipitationMm = 1.5, WindSpeedKmh = 2.6, WindGustsKmh = 5.4, SolarRadiationWm2 = 0, LocalTime = 11/24/2025 9:00:00 PM }</t>
  </si>
  <si>
    <t>NowcastPeriod { Time = 11/24/2025 8:15:00 PM, TemperatureC = 3.5, PrecipitationMm = 1.3, WindSpeedKmh = 2.4, WindGustsKmh = 7.6, SolarRadiationWm2 = 0, LocalTime = 11/24/2025 9:15:00 PM }</t>
  </si>
  <si>
    <t>NowcastPeriod { Time = 11/24/2025 8:30:00 PM, TemperatureC = 3.5, PrecipitationMm = 0.9, WindSpeedKmh = 4.7, WindGustsKmh = 10.4, SolarRadiationWm2 = 0, LocalTime = 11/24/2025 9:30:00 PM }</t>
  </si>
  <si>
    <t>NowcastPeriod { Time = 11/24/2025 8:45:00 PM, TemperatureC = 3.5, PrecipitationMm = 0.7, WindSpeedKmh = 7.3, WindGustsKmh = 13.7, SolarRadiationWm2 = 0, LocalTime = 11/24/2025 9:45:00 PM }</t>
  </si>
  <si>
    <t>NowcastPeriod { Time = 11/24/2025 9:00:00 PM, TemperatureC = 3.5, PrecipitationMm = 0.5, WindSpeedKmh = 8.4, WindGustsKmh = 15.5, SolarRadiationWm2 = 0, LocalTime = 11/24/2025 10:00:00 PM }</t>
  </si>
  <si>
    <t>NowcastPeriod { Time = 11/24/2025 9:15:00 PM, TemperatureC = 3.5, PrecipitationMm = 0.4, WindSpeedKmh = 7.2, WindGustsKmh = 15.8, SolarRadiationWm2 = 0, LocalTime = 11/24/2025 10:15:00 PM }</t>
  </si>
  <si>
    <t>NowcastPeriod { Time = 11/24/2025 9:30:00 PM, TemperatureC = 3.5, PrecipitationMm = 0.3, WindSpeedKmh = 5, WindGustsKmh = 15.5, SolarRadiationWm2 = 0, LocalTime = 11/24/2025 10:30:00 PM }</t>
  </si>
  <si>
    <t>NowcastPeriod { Time = 11/24/2025 9:45:00 PM, TemperatureC = 3.5, PrecipitationMm = 0.2, WindSpeedKmh = 2.2, WindGustsKmh = 14.4, SolarRadiationWm2 = 0, LocalTime = 11/24/2025 10:45:00 PM }</t>
  </si>
  <si>
    <t>NowcastPeriod { Time = 11/24/2025 10:00:00 PM, TemperatureC = 3.5, PrecipitationMm = 0.2, WindSpeedKmh = 1.1, WindGustsKmh = 13, SolarRadiationWm2 = 0, LocalTime = 11/24/2025 11:00:00 PM }</t>
  </si>
  <si>
    <t>NowcastPeriod { Time = 11/24/2025 10:15:00 PM, TemperatureC = 3.5, PrecipitationMm = 0.2, WindSpeedKmh = 1.6, WindGustsKmh = 11.2, SolarRadiationWm2 = 0, LocalTime = 11/24/2025 11:15:00 PM }</t>
  </si>
  <si>
    <t>NowcastPeriod { Time = 11/24/2025 10:30:00 PM, TemperatureC = 3.4, PrecipitationMm = 0.2, WindSpeedKmh = 2.3, WindGustsKmh = 9, SolarRadiationWm2 = 0, LocalTime = 11/24/2025 11:30:00 PM }</t>
  </si>
  <si>
    <t>NowcastPeriod { Time = 11/24/2025 10:45:00 PM, TemperatureC = 3.3, PrecipitationMm = 0.1, WindSpeedKmh = 2.5, WindGustsKmh = 6.8, SolarRadiationWm2 = 0, LocalTime = 11/24/2025 11:45:00 PM }</t>
  </si>
  <si>
    <t>NowcastPeriod { Time = 11/24/2025 11:00:00 PM, TemperatureC = 3.2, PrecipitationMm = 0.1, WindSpeedKmh = 3.1, WindGustsKmh = 5.4, SolarRadiationWm2 = 0, LocalTime = 11/25/2025 12:00:00 AM }</t>
  </si>
  <si>
    <t>NowcastPeriod { Time = 11/24/2025 11:15:00 PM, TemperatureC = 3.2, PrecipitationMm = 0.1, WindSpeedKmh = 3.3, WindGustsKmh = 5, SolarRadiationWm2 = 0, LocalTime = 11/25/2025 12:15:00 AM }</t>
  </si>
  <si>
    <t>NowcastPeriod { Time = 11/24/2025 11:30:00 PM, TemperatureC = 3, PrecipitationMm = 0.1, WindSpeedKmh = 3.1, WindGustsKmh = 5, SolarRadiationWm2 = 0, LocalTime = 11/25/2025 12:30:00 AM }</t>
  </si>
  <si>
    <t>NowcastPeriod { Time = 11/24/2025 11:45:00 PM, TemperatureC = 2.8, PrecipitationMm = 0.1, WindSpeedKmh = 3.4, WindGustsKmh = 5.4, SolarRadiationWm2 = 0, LocalTime = 11/25/2025 12:45:00 AM }</t>
  </si>
  <si>
    <t>NowcastPeriod { Time = 11/25/2025 12:00:00 AM, TemperatureC = 2.7, PrecipitationMm = 0.1, WindSpeedKmh = 3.5, WindGustsKmh = 5.8, SolarRadiationWm2 = 0, LocalTime = 11/25/2025 1:00:00 AM }</t>
  </si>
  <si>
    <t>NowcastPeriod { Time = 11/25/2025 12:15:00 AM, TemperatureC = 2.6, PrecipitationMm = 0.2, WindSpeedKmh = 3.9, WindGustsKmh = 6.5, SolarRadiationWm2 = 0, LocalTime = 11/25/2025 1:15:00 AM }</t>
  </si>
  <si>
    <t>NowcastPeriod { Time = 11/25/2025 12:30:00 AM, TemperatureC = 2.6, PrecipitationMm = 0.2, WindSpeedKmh = 4.6, WindGustsKmh = 7.2, SolarRadiationWm2 = 0, LocalTime = 11/25/2025 1:30:00 AM }</t>
  </si>
  <si>
    <t>NowcastPeriod { Time = 11/25/2025 12:45:00 AM, TemperatureC = 2.6, PrecipitationMm = 0.1, WindSpeedKmh = 5, WindGustsKmh = 7.9, SolarRadiationWm2 = 0, LocalTime = 11/25/2025 1:45:00 AM }</t>
  </si>
  <si>
    <t>NowcastPeriod { Time = 11/25/2025 1:00:00 AM, TemperatureC = 2.6, PrecipitationMm = 0.1, WindSpeedKmh = 5.4, WindGustsKmh = 8.6, SolarRadiationWm2 = 0, LocalTime = 11/25/2025 2:00:00 AM }</t>
  </si>
  <si>
    <t>NowcastPeriod { Time = 11/25/2025 1:15:00 AM, TemperatureC = 2.7, PrecipitationMm = 0, WindSpeedKmh = 5.5, WindGustsKmh = 9.4, SolarRadiationWm2 = 0, LocalTime = 11/25/2025 2:15:00 AM }</t>
  </si>
  <si>
    <t>NowcastPeriod { Time = 11/25/2025 1:30:00 AM, TemperatureC = 2.7, PrecipitationMm = 0, WindSpeedKmh = 5.6, WindGustsKmh = 9.7, SolarRadiationWm2 = 0, LocalTime = 11/25/2025 2:30:00 AM }</t>
  </si>
  <si>
    <t>NowcastPeriod { Time = 11/25/2025 1:45:00 AM, TemperatureC = 2.7, PrecipitationMm = 0.1, WindSpeedKmh = 5.8, WindGustsKmh = 10.1, SolarRadiationWm2 = 0, LocalTime = 11/25/2025 2:45:00 AM }</t>
  </si>
  <si>
    <t>NowcastPeriod { Time = 11/25/2025 2:00:00 AM, TemperatureC = 2.7, PrecipitationMm = 0, WindSpeedKmh = 5.8, WindGustsKmh = 10.4, SolarRadiationWm2 = 0, LocalTime = 11/25/2025 3:00:00 AM }</t>
  </si>
  <si>
    <t>NowcastPeriod { Time = 11/25/2025 2:15:00 AM, TemperatureC = 2.8, PrecipitationMm = 0, WindSpeedKmh = 5.8, WindGustsKmh = 10.4, SolarRadiationWm2 = 0, LocalTime = 11/25/2025 3:15:00 AM }</t>
  </si>
  <si>
    <t>NowcastPeriod { Time = 11/25/2025 2:30:00 AM, TemperatureC = 2.9, PrecipitationMm = 0, WindSpeedKmh = 5.6, WindGustsKmh = 9.7, SolarRadiationWm2 = 0, LocalTime = 11/25/2025 3:30:00 AM }</t>
  </si>
  <si>
    <t>NowcastPeriod { Time = 11/25/2025 2:45:00 AM, TemperatureC = 3, PrecipitationMm = 0.1, WindSpeedKmh = 5.5, WindGustsKmh = 9.4, SolarRadiationWm2 = 0, LocalTime = 11/25/2025 3:45:00 AM }</t>
  </si>
  <si>
    <t>NowcastPeriod { Time = 11/25/2025 3:00:00 AM, TemperatureC = 3, PrecipitationMm = 0.1, WindSpeedKmh = 5.4, WindGustsKmh = 9, SolarRadiationWm2 = 0, LocalTime = 11/25/2025 4:00:00 AM }</t>
  </si>
  <si>
    <t>NowcastPeriod { Time = 11/25/2025 3:15:00 AM, TemperatureC = 3, PrecipitationMm = 0, WindSpeedKmh = 5.4, WindGustsKmh = 9, SolarRadiationWm2 = 0, LocalTime = 11/25/2025 4:15:00 AM }</t>
  </si>
  <si>
    <t>NowcastPeriod { Time = 11/25/2025 3:30:00 AM, TemperatureC = 2.8, PrecipitationMm = 0, WindSpeedKmh = 5.7, WindGustsKmh = 9, SolarRadiationWm2 = 0, LocalTime = 11/25/2025 4:30:00 AM }</t>
  </si>
  <si>
    <t>NowcastPeriod { Time = 11/25/2025 3:45:00 AM, TemperatureC = 2.7, PrecipitationMm = 0, WindSpeedKmh = 5.8, WindGustsKmh = 9, SolarRadiationWm2 = 0, LocalTime = 11/25/2025 4:45:00 AM }</t>
  </si>
  <si>
    <t>NowcastPeriod { Time = 11/25/2025 4:00:00 AM, TemperatureC = 2.5, PrecipitationMm = 0, WindSpeedKmh = 5.8, WindGustsKmh = 9.4, SolarRadiationWm2 = 0, LocalTime = 11/25/2025 5:00:00 AM }</t>
  </si>
  <si>
    <t>NowcastPeriod { Time = 11/25/2025 4:15:00 AM, TemperatureC = 2.5, PrecipitationMm = 0, WindSpeedKmh = 5.6, WindGustsKmh = 9.7, SolarRadiationWm2 = 0, LocalTime = 11/25/2025 5:15:00 AM }</t>
  </si>
  <si>
    <t>NowcastPeriod { Time = 11/25/2025 4:30:00 AM, TemperatureC = 2.5, PrecipitationMm = 0, WindSpeedKmh = 5.6, WindGustsKmh = 10.4, SolarRadiationWm2 = 0, LocalTime = 11/25/2025 5:30:00 AM }</t>
  </si>
  <si>
    <t>NowcastPeriod { Time = 11/25/2025 4:45:00 AM, TemperatureC = 2.5, PrecipitationMm = 0, WindSpeedKmh = 5.5, WindGustsKmh = 11.2, SolarRadiationWm2 = 0, LocalTime = 11/25/2025 5:45:00 AM }</t>
  </si>
  <si>
    <t>NowcastPeriod { Time = 11/25/2025 5:00:00 AM, TemperatureC = 2.4, PrecipitationMm = 0, WindSpeedKmh = 5.2, WindGustsKmh = 11.5, SolarRadiationWm2 = 0, LocalTime = 11/25/2025 6:00:00 AM }</t>
  </si>
  <si>
    <t>NowcastPeriod { Time = 11/25/2025 5:15:00 AM, TemperatureC = 2.3, PrecipitationMm = 0, WindSpeedKmh = 5, WindGustsKmh = 11.2, SolarRadiationWm2 = 0, LocalTime = 11/25/2025 6:15:00 AM }</t>
  </si>
  <si>
    <t>NowcastPeriod { Time = 11/25/2025 5:30:00 AM, TemperatureC = 2.2, PrecipitationMm = 0, WindSpeedKmh = 4.8, WindGustsKmh = 10.4, SolarRadiationWm2 = 0, LocalTime = 11/25/2025 6:30:00 AM }</t>
  </si>
  <si>
    <t>NowcastPeriod { Time = 11/25/2025 5:45:00 AM, TemperatureC = 2, PrecipitationMm = 0, WindSpeedKmh = 4.3, WindGustsKmh = 9.7, SolarRadiationWm2 = 0, LocalTime = 11/25/2025 6:45:00 AM }</t>
  </si>
  <si>
    <t>NowcastPeriod { Time = 11/25/2025 6:00:00 AM, TemperatureC = 1.9, PrecipitationMm = 0, WindSpeedKmh = 4.2, WindGustsKmh = 9, SolarRadiationWm2 = 0, LocalTime = 11/25/2025 7:00:00 AM }</t>
  </si>
  <si>
    <t>NowcastPeriod { Time = 11/25/2025 6:15:00 AM, TemperatureC = 1.9, PrecipitationMm = 0, WindSpeedKmh = 3.9, WindGustsKmh = 8.6, SolarRadiationWm2 = 0, LocalTime = 11/25/2025 7:15:00 AM }</t>
  </si>
  <si>
    <t>NowcastPeriod { Time = 11/25/2025 6:30:00 AM, TemperatureC = 1.9, PrecipitationMm = 0, WindSpeedKmh = 3.7, WindGustsKmh = 8.3, SolarRadiationWm2 = 0, LocalTime = 11/25/2025 7:30:00 AM }</t>
  </si>
  <si>
    <t>NowcastPeriod { Time = 11/25/2025 6:45:00 AM, TemperatureC = 2, PrecipitationMm = 0, WindSpeedKmh = 3.6, WindGustsKmh = 8.3, SolarRadiationWm2 = 0, LocalTime = 11/25/2025 7:45:00 AM }</t>
  </si>
  <si>
    <t>NowcastPeriod { Time = 11/25/2025 7:00:00 AM, TemperatureC = 2, PrecipitationMm = 0.1, WindSpeedKmh = 3.8, WindGustsKmh = 7.9, SolarRadiationWm2 = 0, LocalTime = 11/25/2025 8:00:00 AM }</t>
  </si>
  <si>
    <t>NowcastPeriod { Time = 11/25/2025 7:15:00 AM, TemperatureC = 2.2, PrecipitationMm = 0.1, WindSpeedKmh = 3.8, WindGustsKmh = 7.6, SolarRadiationWm2 = 0, LocalTime = 11/25/2025 8:15:00 AM }</t>
  </si>
  <si>
    <t>NowcastPeriod { Time = 11/25/2025 7:30:00 AM, TemperatureC = 2.3, PrecipitationMm = 0.1, WindSpeedKmh = 4.1, WindGustsKmh = 7.2, SolarRadiationWm2 = 0, LocalTime = 11/25/2025 8:30:00 AM }</t>
  </si>
  <si>
    <t>NowcastPeriod { Time = 11/25/2025 7:45:00 AM, TemperatureC = 2.5, PrecipitationMm = 0, WindSpeedKmh = 4.2, WindGustsKmh = 7.2, SolarRadiationWm2 = 0, LocalTime = 11/25/2025 8:45:00 AM }</t>
  </si>
  <si>
    <t>NowcastPeriod { Time = 11/25/2025 8:00:00 AM, TemperatureC = 2.7, PrecipitationMm = 0.1, WindSpeedKmh = 4.2, WindGustsKmh = 6.8, SolarRadiationWm2 = 7.3, LocalTime = 11/25/2025 9:00:00 AM }</t>
  </si>
  <si>
    <t>NowcastPeriod { Time = 11/25/2025 8:15:00 AM, TemperatureC = 2.8, PrecipitationMm = 0.1, WindSpeedKmh = 3.9, WindGustsKmh = 6.5, SolarRadiationWm2 = 8.5, LocalTime = 11/25/2025 9:15:00 AM }</t>
  </si>
  <si>
    <t>NowcastPeriod { Time = 11/25/2025 8:30:00 AM, TemperatureC = 2.9, PrecipitationMm = 0.1, WindSpeedKmh = 3.8, WindGustsKmh = 6.5, SolarRadiationWm2 = 11, LocalTime = 11/25/2025 9:30:00 AM }</t>
  </si>
  <si>
    <t>NowcastPeriod { Time = 11/25/2025 8:45:00 AM, TemperatureC = 3, PrecipitationMm = 0.1, WindSpeedKmh = 3.8, WindGustsKmh = 6.5, SolarRadiationWm2 = 25.2, LocalTime = 11/25/2025 9:45:00 AM }</t>
  </si>
  <si>
    <t>NowcastPeriod { Time = 11/25/2025 9:00:00 AM, TemperatureC = 3.1, PrecipitationMm = 0.1, WindSpeedKmh = 3.6, WindGustsKmh = 6.5, SolarRadiationWm2 = 24.4, LocalTime = 11/25/2025 10:00:00 AM }</t>
  </si>
  <si>
    <t>NowcastPeriod { Time = 11/25/2025 9:15:00 AM, TemperatureC = 3.2, PrecipitationMm = 0.2, WindSpeedKmh = 3.8, WindGustsKmh = 7.2, SolarRadiationWm2 = 31.4, LocalTime = 11/25/2025 10:15:00 AM }</t>
  </si>
  <si>
    <t>NowcastPeriod { Time = 11/25/2025 9:30:00 AM, TemperatureC = 3.3, PrecipitationMm = 0.1, WindSpeedKmh = 4.6, WindGustsKmh = 7.9, SolarRadiationWm2 = 45.9, LocalTime = 11/25/2025 10:30:00 AM }</t>
  </si>
  <si>
    <t>NowcastPeriod { Time = 11/25/2025 9:45:00 AM, TemperatureC = 3.4, PrecipitationMm = 0.1, WindSpeedKmh = 4.8, WindGustsKmh = 8.6, SolarRadiationWm2 = 63.3, LocalTime = 11/25/2025 10:45:00 AM }</t>
  </si>
  <si>
    <t>NowcastPeriod { Time = 11/25/2025 10:00:00 AM, TemperatureC = 3.4, PrecipitationMm = 0.1, WindSpeedKmh = 5.1, WindGustsKmh = 9, SolarRadiationWm2 = 57.5, LocalTime = 11/25/2025 11:00:00 AM }</t>
  </si>
  <si>
    <t>NowcastPeriod { Time = 11/25/2025 10:15:00 AM, TemperatureC = 3.5, PrecipitationMm = 0, WindSpeedKmh = 5.1, WindGustsKmh = 9, SolarRadiationWm2 = 61.2, LocalTime = 11/25/2025 11:15:00 AM }</t>
  </si>
  <si>
    <t>NowcastPeriod { Time = 11/25/2025 10:30:00 AM, TemperatureC = 3.5, PrecipitationMm = 0, WindSpeedKmh = 5.1, WindGustsKmh = 9, SolarRadiationWm2 = 65, LocalTime = 11/25/2025 11:30:00 AM }</t>
  </si>
  <si>
    <t>NowcastPeriod { Time = 11/25/2025 10:45:00 AM, TemperatureC = 3.5, PrecipitationMm = 0, WindSpeedKmh = 5.1, WindGustsKmh = 9, SolarRadiationWm2 = 88.2, LocalTime = 11/25/2025 11:45:00 AM }</t>
  </si>
  <si>
    <t>NowcastPeriod { Time = 11/25/2025 11:00:00 AM, TemperatureC = 2.8, PrecipitationMm = 0, WindSpeedKmh = 4, WindGustsKmh = 8.6, SolarRadiationWm2 = 92.9, LocalTime = 11/25/2025 12:00:00 PM }</t>
  </si>
  <si>
    <t>NowcastPeriod { Time = 11/25/2025 11:15:00 AM, TemperatureC = 3, PrecipitationMm = 0.1, WindSpeedKmh = 4.8, WindGustsKmh = 10.1, SolarRadiationWm2 = 96.5, LocalTime = 11/25/2025 12:15:00 PM }</t>
  </si>
  <si>
    <t>NowcastPeriod { Time = 11/25/2025 11:30:00 AM, TemperatureC = 3.1, PrecipitationMm = 0.1, WindSpeedKmh = 6.1, WindGustsKmh = 12.6, SolarRadiationWm2 = 98.1, LocalTime = 11/25/2025 12:30:00 PM }</t>
  </si>
  <si>
    <t>NowcastPeriod { Time = 11/25/2025 11:45:00 AM, TemperatureC = 3.2, PrecipitationMm = 0.1, WindSpeedKmh = 7.7, WindGustsKmh = 14.8, SolarRadiationWm2 = 102.8, LocalTime = 11/25/2025 12:45:00 PM }</t>
  </si>
  <si>
    <t>NowcastPeriod { Time = 11/25/2025 12:00:00 PM, TemperatureC = 3.2, PrecipitationMm = 0.1, WindSpeedKmh = 8.7, WindGustsKmh = 16.6, SolarRadiationWm2 = 107.4, LocalTime = 11/25/2025 1:00:00 PM }</t>
  </si>
  <si>
    <t>NowcastPeriod { Time = 11/25/2025 12:15:00 PM, TemperatureC = 3.4, PrecipitationMm = 0, WindSpeedKmh = 9, WindGustsKmh = 17.6, SolarRadiationWm2 = 112.1, LocalTime = 11/25/2025 1:15:00 PM }</t>
  </si>
  <si>
    <t>NowcastPeriod { Time = 11/25/2025 12:30:00 PM, TemperatureC = 3.5, PrecipitationMm = 0, WindSpeedKmh = 8.9, WindGustsKmh = 18, SolarRadiationWm2 = 113.6, LocalTime = 11/25/2025 1:30:00 PM }</t>
  </si>
  <si>
    <t>NowcastPeriod { Time = 11/25/2025 12:45:00 PM, TemperatureC = 3.7, PrecipitationMm = 0, WindSpeedKmh = 8.9, WindGustsKmh = 18.4, SolarRadiationWm2 = 113.2, LocalTime = 11/25/2025 1:45:00 PM }</t>
  </si>
  <si>
    <t>NowcastPeriod { Time = 11/25/2025 1:00:00 PM, TemperatureC = 3.8, PrecipitationMm = 0, WindSpeedKmh = 8.9, WindGustsKmh = 18.7, SolarRadiationWm2 = 108.8, LocalTime = 11/25/2025 2:00:00 PM }</t>
  </si>
  <si>
    <t>NowcastPeriod { Time = 11/25/2025 1:15:00 PM, TemperatureC = 3.8, PrecipitationMm = 0.1, WindSpeedKmh = 9.5, WindGustsKmh = 19.4, SolarRadiationWm2 = 101.5, LocalTime = 11/25/2025 2:15:00 PM }</t>
  </si>
  <si>
    <t>NowcastPeriod { Time = 11/25/2025 1:30:00 PM, TemperatureC = 3.8, PrecipitationMm = 0.1, WindSpeedKmh = 10.6, WindGustsKmh = 20.5, SolarRadiationWm2 = 95.2, LocalTime = 11/25/2025 2:30:00 PM }</t>
  </si>
  <si>
    <t>NowcastPeriod { Time = 11/25/2025 1:45:00 PM, TemperatureC = 3.8, PrecipitationMm = 0.1, WindSpeedKmh = 11.5, WindGustsKmh = 21.6, SolarRadiationWm2 = 88.8, LocalTime = 11/25/2025 2:45:00 PM }</t>
  </si>
  <si>
    <t>NowcastPeriod { Time = 11/25/2025 2:00:00 PM, TemperatureC = 3.8, PrecipitationMm = 0.1, WindSpeedKmh = 12.1, WindGustsKmh = 22.7, SolarRadiationWm2 = 83.5, LocalTime = 11/25/2025 3:00:00 PM }</t>
  </si>
  <si>
    <t>NowcastPeriod { Time = 11/25/2025 2:15:00 PM, TemperatureC = 3.7, PrecipitationMm = 0.1, WindSpeedKmh = 12.6, WindGustsKmh = 23.8, SolarRadiationWm2 = 76.2, LocalTime = 11/25/2025 3:15:00 PM }</t>
  </si>
  <si>
    <t>NowcastPeriod { Time = 11/25/2025 2:30:00 PM, TemperatureC = 3.7, PrecipitationMm = 0.1, WindSpeedKmh = 12.9, WindGustsKmh = 24.5, SolarRadiationWm2 = 69, LocalTime = 11/25/2025 3:30:00 PM }</t>
  </si>
  <si>
    <t>NowcastPeriod { Time = 11/25/2025 2:45:00 PM, TemperatureC = 3.6, PrecipitationMm = 0.1, WindSpeedKmh = 12.9, WindGustsKmh = 25.6, SolarRadiationWm2 = 60.8, LocalTime = 11/25/2025 3:45:00 PM }</t>
  </si>
  <si>
    <t>NowcastPeriod { Time = 11/25/2025 3:00:00 PM, TemperatureC = 3.5, PrecipitationMm = 0.1, WindSpeedKmh = 12.8, WindGustsKmh = 25.9, SolarRadiationWm2 = 50.7, LocalTime = 11/25/2025 4:00:00 PM }</t>
  </si>
  <si>
    <t>NowcastPeriod { Time = 11/25/2025 3:15:00 PM, TemperatureC = 3.5, PrecipitationMm = 0.1, WindSpeedKmh = 12.4, WindGustsKmh = 25.9, SolarRadiationWm2 = 41.6, LocalTime = 11/25/2025 4:15:00 PM }</t>
  </si>
  <si>
    <t>NowcastPeriod { Time = 11/25/2025 3:30:00 PM, TemperatureC = 3.3, PrecipitationMm = 0.1, WindSpeedKmh = 11.7, WindGustsKmh = 25.9, SolarRadiationWm2 = 31.7, LocalTime = 11/25/2025 4:30:00 PM }</t>
  </si>
  <si>
    <t>NowcastPeriod { Time = 11/25/2025 3:45:00 PM, TemperatureC = 3.2, PrecipitationMm = 0.1, WindSpeedKmh = 11, WindGustsKmh = 25.6, SolarRadiationWm2 = 22.8, LocalTime = 11/25/2025 4:45:00 PM }</t>
  </si>
  <si>
    <t>NowcastPeriod { Time = 11/25/2025 4:00:00 PM, TemperatureC = 3.2, PrecipitationMm = 0.1, WindSpeedKmh = 10.2, WindGustsKmh = 24.8, SolarRadiationWm2 = 14.1, LocalTime = 11/25/2025 5:00:00 PM }</t>
  </si>
  <si>
    <t>NowcastPeriod { Time = 11/25/2025 4:15:00 PM, TemperatureC = 3, PrecipitationMm = 0.1, WindSpeedKmh = 9, WindGustsKmh = 23.8, SolarRadiationWm2 = 6.5, LocalTime = 11/25/2025 5:15:00 PM }</t>
  </si>
  <si>
    <t>NowcastPeriod { Time = 11/25/2025 4:30:00 PM, TemperatureC = 3, PrecipitationMm = 0.1, WindSpeedKmh = 8, WindGustsKmh = 22.3, SolarRadiationWm2 = 1.1, LocalTime = 11/25/2025 5:30:00 PM }</t>
  </si>
  <si>
    <t>NowcastPeriod { Time = 11/25/2025 4:45:00 PM, TemperatureC = 2.8, PrecipitationMm = 0.1, WindSpeedKmh = 7.1, WindGustsKmh = 20.5, SolarRadiationWm2 = 0, LocalTime = 11/25/2025 5:45:00 PM }</t>
  </si>
  <si>
    <t>NowcastPeriod { Time = 11/25/2025 5:00:00 PM, TemperatureC = 2.8, PrecipitationMm = 0.1, WindSpeedKmh = 6.4, WindGustsKmh = 19.1, SolarRadiationWm2 = 0, LocalTime = 11/25/2025 6:00:00 PM }</t>
  </si>
  <si>
    <t>NowcastPeriod { Time = 11/25/2025 5:15:00 PM, TemperatureC = 2.7, PrecipitationMm = 0.2, WindSpeedKmh = 6.2, WindGustsKmh = 18, SolarRadiationWm2 = 0, LocalTime = 11/25/2025 6:15:00 PM }</t>
  </si>
  <si>
    <t>NowcastPeriod { Time = 11/25/2025 5:30:00 PM, TemperatureC = 2.5, PrecipitationMm = 0.2, WindSpeedKmh = 6.1, WindGustsKmh = 16.9, SolarRadiationWm2 = 0, LocalTime = 11/25/2025 6:30:00 PM }</t>
  </si>
  <si>
    <t>NowcastPeriod { Time = 11/25/2025 5:45:00 PM, TemperatureC = 2.4, PrecipitationMm = 0.2, WindSpeedKmh = 6.1, WindGustsKmh = 15.8, SolarRadiationWm2 = 0, LocalTime = 11/25/2025 6:45:00 PM }</t>
  </si>
  <si>
    <t>NowcastPeriod { Time = 11/25/2025 6:00:00 PM, TemperatureC = 2.3, PrecipitationMm = 0.2, WindSpeedKmh = 5.9, WindGustsKmh = 14.8, SolarRadiationWm2 = 0, LocalTime = 11/25/2025 7:00:00 PM }</t>
  </si>
  <si>
    <t>NowcastPeriod { Time = 11/25/2025 6:15:00 PM, TemperatureC = 2.2, PrecipitationMm = 0.3, WindSpeedKmh = 5.4, WindGustsKmh = 13.7, SolarRadiationWm2 = 0, LocalTime = 11/25/2025 7:15:00 PM }</t>
  </si>
  <si>
    <t>NowcastPeriod { Time = 11/25/2025 6:30:00 PM, TemperatureC = 2.2, PrecipitationMm = 0.3, WindSpeedKmh = 5.2, WindGustsKmh = 12.6, SolarRadiationWm2 = 0, LocalTime = 11/25/2025 7:30:00 PM }</t>
  </si>
  <si>
    <t>NowcastPeriod { Time = 11/25/2025 6:45:00 PM, TemperatureC = 2, PrecipitationMm = 0.3, WindSpeedKmh = 5, WindGustsKmh = 11.5, SolarRadiationWm2 = 0, LocalTime = 11/25/2025 7:45:00 PM }</t>
  </si>
  <si>
    <t>NowcastPeriod { Time = 11/25/2025 7:00:00 PM, TemperatureC = 2, PrecipitationMm = 0.3, WindSpeedKmh = 4.8, WindGustsKmh = 10.4, SolarRadiationWm2 = 0, LocalTime = 11/25/2025 8:00:00 PM }</t>
  </si>
  <si>
    <t>NowcastPeriod { Time = 11/25/2025 7:15:00 PM, TemperatureC = 1.9, PrecipitationMm = 0.2, WindSpeedKmh = 4.7, WindGustsKmh = 9.7, SolarRadiationWm2 = 0, LocalTime = 11/25/2025 8:15:00 PM }</t>
  </si>
  <si>
    <t>NowcastPeriod { Time = 11/25/2025 7:30:00 PM, TemperatureC = 1.8, PrecipitationMm = 0.2, WindSpeedKmh = 4.7, WindGustsKmh = 8.6, SolarRadiationWm2 = 0, LocalTime = 11/25/2025 8:30:00 PM }</t>
  </si>
  <si>
    <t>NowcastPeriod { Time = 11/25/2025 7:45:00 PM, TemperatureC = 1.8, PrecipitationMm = 0.2, WindSpeedKmh = 4.7, WindGustsKmh = 7.9, SolarRadiationWm2 = 0, LocalTime = 11/25/2025 8:45:00 PM }</t>
  </si>
  <si>
    <t>NowcastPeriod { Time = 11/25/2025 8:00:00 PM, TemperatureC = 1.6, PrecipitationMm = 0.2, WindSpeedKmh = 4.3, WindGustsKmh = 7.6, SolarRadiationWm2 = 0, LocalTime = 11/25/2025 9:00:00 PM }</t>
  </si>
  <si>
    <t>NowcastPeriod { Time = 11/25/2025 8:15:00 PM, TemperatureC = 1.6, PrecipitationMm = 0.1, WindSpeedKmh = 4, WindGustsKmh = 7.2, SolarRadiationWm2 = 0, LocalTime = 11/25/2025 9:15:00 PM }</t>
  </si>
  <si>
    <t>NowcastPeriod { Time = 11/25/2025 8:30:00 PM, TemperatureC = 1.6, PrecipitationMm = 0.1, WindSpeedKmh = 3.7, WindGustsKmh = 7.2, SolarRadiationWm2 = 0, LocalTime = 11/25/2025 9:30:00 PM }</t>
  </si>
  <si>
    <t>NowcastPeriod { Time = 11/25/2025 8:45:00 PM, TemperatureC = 1.6, PrecipitationMm = 0.1, WindSpeedKmh = 3.3, WindGustsKmh = 7.2, SolarRadiationWm2 = 0, LocalTime = 11/25/2025 9:45:00 PM }</t>
  </si>
  <si>
    <t>NowcastPeriod { Time = 11/25/2025 9:00:00 PM, TemperatureC = 1.5, PrecipitationMm = 0.1, WindSpeedKmh = 2.9, WindGustsKmh = 6.8, SolarRadiationWm2 = 0, LocalTime = 11/25/2025 10:00:00 PM }</t>
  </si>
  <si>
    <t>NowcastPeriod { Time = 11/25/2025 9:15:00 PM, TemperatureC = 1.5, PrecipitationMm = 0.1, WindSpeedKmh = 2.9, WindGustsKmh = 6.1, SolarRadiationWm2 = 0, LocalTime = 11/25/2025 10:15:00 PM }</t>
  </si>
  <si>
    <t>NowcastPeriod { Time = 11/25/2025 9:30:00 PM, TemperatureC = 1.5, PrecipitationMm = 0.1, WindSpeedKmh = 2.9, WindGustsKmh = 5.4, SolarRadiationWm2 = 0, LocalTime = 11/25/2025 10:30:00 PM }</t>
  </si>
  <si>
    <t>NowcastPeriod { Time = 11/25/2025 9:45:00 PM, TemperatureC = 1.5, PrecipitationMm = 0.1, WindSpeedKmh = 3, WindGustsKmh = 4.7, SolarRadiationWm2 = 0, LocalTime = 11/25/2025 10:45:00 PM }</t>
  </si>
  <si>
    <t>NowcastPeriod { Time = 11/25/2025 10:00:00 PM, TemperatureC = 1.5, PrecipitationMm = 0.1, WindSpeedKmh = 3.1, WindGustsKmh = 4, SolarRadiationWm2 = 0, LocalTime = 11/25/2025 11:00:00 PM }</t>
  </si>
  <si>
    <t>NowcastPeriod { Time = 11/25/2025 10:15:00 PM, TemperatureC = 1.5, PrecipitationMm = 0.1, WindSpeedKmh = 3.1, WindGustsKmh = 4, SolarRadiationWm2 = 0, LocalTime = 11/25/2025 11:15:00 PM }</t>
  </si>
  <si>
    <t>NowcastPeriod { Time = 11/25/2025 10:30:00 PM, TemperatureC = 1.5, PrecipitationMm = 0.1, WindSpeedKmh = 3.1, WindGustsKmh = 4, SolarRadiationWm2 = 0, LocalTime = 11/25/2025 11:30:00 PM }</t>
  </si>
  <si>
    <t>NowcastPeriod { Time = 11/25/2025 10:45:00 PM, TemperatureC = 1.5, PrecipitationMm = 0.1, WindSpeedKmh = 2.7, WindGustsKmh = 4.3, SolarRadiationWm2 = 0, LocalTime = 11/25/2025 11:45:00 PM }</t>
  </si>
  <si>
    <t>NowcastPeriod { Time = 11/25/2025 11:00:00 PM, TemperatureC = 1.5, PrecipitationMm = 0.1, WindSpeedKmh = 2.7, WindGustsKmh = 4.3, SolarRadiationWm2 = 0, LocalTime = 11/26/2025 12:00:00 AM }</t>
  </si>
  <si>
    <t>NowcastPeriod { Time = 11/25/2025 11:15:00 PM, TemperatureC = 1.4, PrecipitationMm = 0.2, WindSpeedKmh = 2.7, WindGustsKmh = 4.3, SolarRadiationWm2 = 0, LocalTime = 11/26/2025 12:15:00 AM }</t>
  </si>
  <si>
    <t>NowcastPeriod { Time = 11/25/2025 11:30:00 PM, TemperatureC = 1.3, PrecipitationMm = 0.2, WindSpeedKmh = 2.4, WindGustsKmh = 4, SolarRadiationWm2 = 0, LocalTime = 11/26/2025 12:30:00 AM }</t>
  </si>
  <si>
    <t>NowcastPeriod { Time = 11/25/2025 11:45:00 PM, TemperatureC = 1.2, PrecipitationMm = 0.2, WindSpeedKmh = 2.6, WindGustsKmh = 3.6, SolarRadiationWm2 = 0, LocalTime = 11/26/2025 12:45:00 AM }</t>
  </si>
  <si>
    <t>NowcastPeriod { Time = 11/26/2025 12:00:00 AM, TemperatureC = 1.1, PrecipitationMm = 0.2, WindSpeedKmh = 2.3, WindGustsKmh = 3.6, SolarRadiationWm2 = 0, LocalTime = 11/26/2025 1:00:00 AM }</t>
  </si>
  <si>
    <t>NowcastPeriod { Time = 11/26/2025 12:15:00 AM, TemperatureC = 1, PrecipitationMm = 0.3, WindSpeedKmh = 2.3, WindGustsKmh = 4, SolarRadiationWm2 = 0, LocalTime = 11/26/2025 1:15:00 AM }</t>
  </si>
  <si>
    <t>NowcastPeriod { Time = 11/26/2025 12:30:00 AM, TemperatureC = 0.9, PrecipitationMm = 0.3, WindSpeedKmh = 2.3, WindGustsKmh = 4.7, SolarRadiationWm2 = 0, LocalTime = 11/26/2025 1:30:00 AM }</t>
  </si>
  <si>
    <t>NowcastPeriod { Time = 11/26/2025 12:45:00 AM, TemperatureC = 0.9, PrecipitationMm = 0.3, WindSpeedKmh = 2.5, WindGustsKmh = 5.4, SolarRadiationWm2 = 0, LocalTime = 11/26/2025 1:45:00 AM }</t>
  </si>
  <si>
    <t>NowcastPeriod { Time = 11/26/2025 1:00:00 AM, TemperatureC = 0.8, PrecipitationMm = 0.3, WindSpeedKmh = 2.9, WindGustsKmh = 6.1, SolarRadiationWm2 = 0, LocalTime = 11/26/2025 2:00:00 AM }</t>
  </si>
  <si>
    <t>NowcastPeriod { Time = 11/26/2025 1:15:00 AM, TemperatureC = 0.8, PrecipitationMm = 0.2, WindSpeedKmh = 2.9, WindGustsKmh = 6.5, SolarRadiationWm2 = 0, LocalTime = 11/26/2025 2:15:00 AM }</t>
  </si>
  <si>
    <t>NowcastPeriod { Time = 11/26/2025 1:30:00 AM, TemperatureC = 0.9, PrecipitationMm = 0.2, WindSpeedKmh = 2.9, WindGustsKmh = 6.8, SolarRadiationWm2 = 0, LocalTime = 11/26/2025 2:30:00 AM }</t>
  </si>
  <si>
    <t>NowcastPeriod { Time = 11/26/2025 1:45:00 AM, TemperatureC = 0.9, PrecipitationMm = 0.2, WindSpeedKmh = 2.5, WindGustsKmh = 7.2, SolarRadiationWm2 = 0, LocalTime = 11/26/2025 2:45:00 AM }</t>
  </si>
  <si>
    <t>NowcastPeriod { Time = 11/26/2025 2:00:00 AM, TemperatureC = 0.9, PrecipitationMm = 0.2, WindSpeedKmh = 2.3, WindGustsKmh = 7.2, SolarRadiationWm2 = 0, LocalTime = 11/26/2025 3:00:00 AM }</t>
  </si>
  <si>
    <t>NowcastPeriod { Time = 11/26/2025 2:15:00 AM, TemperatureC = 0.9, PrecipitationMm = 0, WindSpeedKmh = 2, WindGustsKmh = 7.2, SolarRadiationWm2 = 0, LocalTime = 11/26/2025 3:15:00 AM }</t>
  </si>
  <si>
    <t>NowcastPeriod { Time = 11/26/2025 2:30:00 AM, TemperatureC = 0.9, PrecipitationMm = 0, WindSpeedKmh = 2.3, WindGustsKmh = 6.8, SolarRadiationWm2 = 0, LocalTime = 11/26/2025 3:30:00 AM }</t>
  </si>
  <si>
    <t>NowcastPeriod { Time = 11/26/2025 2:45:00 AM, TemperatureC = 0.8, PrecipitationMm = 0, WindSpeedKmh = 2.9, WindGustsKmh = 6.5, SolarRadiationWm2 = 0, LocalTime = 11/26/2025 3:45:00 AM }</t>
  </si>
  <si>
    <t>NowcastPeriod { Time = 11/26/2025 3:00:00 AM, TemperatureC = 0.8, PrecipitationMm = 0, WindSpeedKmh = 3.4, WindGustsKmh = 6.1, SolarRadiationWm2 = 0, LocalTime = 11/26/2025 4:00:00 AM }</t>
  </si>
  <si>
    <t>NowcastPeriod { Time = 11/26/2025 3:15:00 AM, TemperatureC = 0.8, PrecipitationMm = 0, WindSpeedKmh = 3.5, WindGustsKmh = 6.1, SolarRadiationWm2 = 0, LocalTime = 11/26/2025 4:15:00 AM }</t>
  </si>
  <si>
    <t>NowcastPeriod { Time = 11/26/2025 3:30:00 AM, TemperatureC = 0.7, PrecipitationMm = 0, WindSpeedKmh = 3.7, WindGustsKmh = 6.1, SolarRadiationWm2 = 0, LocalTime = 11/26/2025 4:30:00 AM }</t>
  </si>
  <si>
    <t>NowcastPeriod { Time = 11/26/2025 3:45:00 AM, TemperatureC = 0.7, PrecipitationMm = 0, WindSpeedKmh = 3.7, WindGustsKmh = 5.8, SolarRadiationWm2 = 0, LocalTime = 11/26/2025 4:45:00 AM }</t>
  </si>
  <si>
    <t>NowcastPeriod { Time = 11/26/2025 4:00:00 AM, TemperatureC = 0.6, PrecipitationMm = 0, WindSpeedKmh = 3.4, WindGustsKmh = 5.8, SolarRadiationWm2 = 0, LocalTime = 11/26/2025 5:00:00 AM }</t>
  </si>
  <si>
    <t>NowcastPeriod { Time = 11/26/2025 4:15:00 AM, TemperatureC = 0.6, PrecipitationMm = 0, WindSpeedKmh = 3.1, WindGustsKmh = 5.4, SolarRadiationWm2 = 0, LocalTime = 11/26/2025 5:15:00 AM }</t>
  </si>
  <si>
    <t>NowcastPeriod { Time = 11/26/2025 4:30:00 AM, TemperatureC = 0.6, PrecipitationMm = 0, WindSpeedKmh = 2.5, WindGustsKmh = 5.4, SolarRadiationWm2 = 0, LocalTime = 11/26/2025 5:30:00 AM }</t>
  </si>
  <si>
    <t>NowcastPeriod { Time = 11/26/2025 4:45:00 AM, TemperatureC = 0.6, PrecipitationMm = 0, WindSpeedKmh = 2, WindGustsKmh = 5, SolarRadiationWm2 = 0, LocalTime = 11/26/2025 5:45:00 AM }</t>
  </si>
  <si>
    <t>NowcastPeriod { Time = 11/26/2025 5:00:00 AM, TemperatureC = 0.6, PrecipitationMm = 0, WindSpeedKmh = 1.8, WindGustsKmh = 4.7, SolarRadiationWm2 = 0, LocalTime = 11/26/2025 6:00:00 AM }</t>
  </si>
  <si>
    <t>NowcastPeriod { Time = 11/26/2025 5:15:00 AM, TemperatureC = 0.6, PrecipitationMm = 0.1, WindSpeedKmh = 1.8, WindGustsKmh = 4.3, SolarRadiationWm2 = 0, LocalTime = 11/26/2025 6:15:00 AM }</t>
  </si>
  <si>
    <t>NowcastPeriod { Time = 11/26/2025 5:30:00 AM, TemperatureC = 0.6, PrecipitationMm = 0.1, WindSpeedKmh = 1.9, WindGustsKmh = 4.3, SolarRadiationWm2 = 0, LocalTime = 11/26/2025 6:30:00 AM }</t>
  </si>
  <si>
    <t>NowcastPeriod { Time = 11/26/2025 5:45:00 AM, TemperatureC = 0.6, PrecipitationMm = 0.1, WindSpeedKmh = 2.3, WindGustsKmh = 4, SolarRadiationWm2 = 0, LocalTime = 11/26/2025 6:45:00 AM }</t>
  </si>
  <si>
    <t>NowcastPeriod { Time = 11/26/2025 6:00:00 AM, TemperatureC = 0.6, PrecipitationMm = 0.1, WindSpeedKmh = 2.5, WindGustsKmh = 4, SolarRadiationWm2 = 0, LocalTime = 11/26/2025 7:00:00 AM }</t>
  </si>
  <si>
    <t>NowcastPeriod { Time = 11/26/2025 6:15:00 AM, TemperatureC = 0.6, PrecipitationMm = 0.1, WindSpeedKmh = 2.5, WindGustsKmh = 3.6, SolarRadiationWm2 = 0, LocalTime = 11/26/2025 7:15:00 AM }</t>
  </si>
  <si>
    <t>NowcastPeriod { Time = 11/26/2025 6:30:00 AM, TemperatureC = 0.6, PrecipitationMm = 0.1, WindSpeedKmh = 2.2, WindGustsKmh = 3.6, SolarRadiationWm2 = 0, LocalTime = 11/26/2025 7:30:00 AM }</t>
  </si>
  <si>
    <t>NowcastPeriod { Time = 11/26/2025 6:45:00 AM, TemperatureC = 0.7, PrecipitationMm = 0.1, WindSpeedKmh = 1.9, WindGustsKmh = 3.2, SolarRadiationWm2 = 0, LocalTime = 11/26/2025 7:45:00 AM }</t>
  </si>
  <si>
    <t>NowcastPeriod { Time = 11/26/2025 7:00:00 AM, TemperatureC = 0.7, PrecipitationMm = 0.1, WindSpeedKmh = 1.9, WindGustsKmh = 3.2, SolarRadiationWm2 = 0, LocalTime = 11/26/2025 8:00:00 AM }</t>
  </si>
  <si>
    <t>NowcastPeriod { Time = 11/26/2025 7:15:00 AM, TemperatureC = 0.8, PrecipitationMm = 0, WindSpeedKmh = 2.1, WindGustsKmh = 3.6, SolarRadiationWm2 = 0, LocalTime = 11/26/2025 8:15:00 AM }</t>
  </si>
  <si>
    <t>NowcastPeriod { Time = 11/26/2025 7:30:00 AM, TemperatureC = 0.8, PrecipitationMm = 0, WindSpeedKmh = 2.3, WindGustsKmh = 4.3, SolarRadiationWm2 = 0, LocalTime = 11/26/2025 8:30:00 AM }</t>
  </si>
  <si>
    <t>NowcastPeriod { Time = 11/26/2025 7:45:00 AM, TemperatureC = 0.8, PrecipitationMm = 0, WindSpeedKmh = 2.3, WindGustsKmh = 4.7, SolarRadiationWm2 = 0, LocalTime = 11/26/2025 8:45:00 AM }</t>
  </si>
  <si>
    <t>NowcastPeriod { Time = 11/26/2025 8:00:00 AM, TemperatureC = 0.8, PrecipitationMm = 0, WindSpeedKmh = 2.5, WindGustsKmh = 5, SolarRadiationWm2 = 5.4, LocalTime = 11/26/2025 9:00:00 AM }</t>
  </si>
  <si>
    <t>NowcastPeriod { Time = 11/26/2025 8:15:00 AM, TemperatureC = 0.8, PrecipitationMm = 0, WindSpeedKmh = 2.5, WindGustsKmh = 5, SolarRadiationWm2 = 17.3, LocalTime = 11/26/2025 9:15:00 AM }</t>
  </si>
  <si>
    <t>NowcastPeriod { Time = 11/26/2025 8:30:00 AM, TemperatureC = 0.9, PrecipitationMm = 0, WindSpeedKmh = 2.3, WindGustsKmh = 4.7, SolarRadiationWm2 = 31.9, LocalTime = 11/26/2025 9:30:00 AM }</t>
  </si>
  <si>
    <t>NowcastPeriod { Time = 11/26/2025 8:45:00 AM, TemperatureC = 0.9, PrecipitationMm = 0, WindSpeedKmh = 1.8, WindGustsKmh = 4.3, SolarRadiationWm2 = 44.8, LocalTime = 11/26/2025 9:45:00 AM }</t>
  </si>
  <si>
    <t>NowcastPeriod { Time = 11/26/2025 9:00:00 AM, TemperatureC = 1, PrecipitationMm = 0, WindSpeedKmh = 1.8, WindGustsKmh = 4.3, SolarRadiationWm2 = 57.7, LocalTime = 11/26/2025 10:00:00 AM }</t>
  </si>
  <si>
    <t>NowcastPeriod { Time = 11/26/2025 9:15:00 AM, TemperatureC = 1.2, PrecipitationMm = 0, WindSpeedKmh = 1.5, WindGustsKmh = 4.3, SolarRadiationWm2 = 70.5, LocalTime = 11/26/2025 10:15:00 AM }</t>
  </si>
  <si>
    <t>NowcastPeriod { Time = 11/26/2025 9:30:00 AM, TemperatureC = 1.4, PrecipitationMm = 0, WindSpeedKmh = 1.8, WindGustsKmh = 4.7, SolarRadiationWm2 = 83.3, LocalTime = 11/26/2025 10:30:00 AM }</t>
  </si>
  <si>
    <t>NowcastPeriod { Time = 11/26/2025 9:45:00 AM, TemperatureC = 1.5, PrecipitationMm = 0, WindSpeedKmh = 1.6, WindGustsKmh = 5, SolarRadiationWm2 = 95, LocalTime = 11/26/2025 10:45:00 AM }</t>
  </si>
  <si>
    <t>NowcastPeriod { Time = 11/26/2025 10:00:00 AM, TemperatureC = 1.7, PrecipitationMm = 0, WindSpeedKmh = 1.8, WindGustsKmh = 5.4, SolarRadiationWm2 = 109.8, LocalTime = 11/26/2025 11:00:00 AM }</t>
  </si>
  <si>
    <t>NowcastPeriod { Time = 11/26/2025 10:15:00 AM, TemperatureC = 1.9, PrecipitationMm = 0, WindSpeedKmh = 1.8, WindGustsKmh = 5.8, SolarRadiationWm2 = 123.5, LocalTime = 11/26/2025 11:15:00 AM }</t>
  </si>
  <si>
    <t>NowcastPeriod { Time = 11/26/2025 10:30:00 AM, TemperatureC = 2, PrecipitationMm = 0, WindSpeedKmh = 2.3, WindGustsKmh = 6.1, SolarRadiationWm2 = 135.1, LocalTime = 11/26/2025 11:30:00 AM }</t>
  </si>
  <si>
    <t>NowcastPeriod { Time = 11/26/2025 10:45:00 AM, TemperatureC = 2.2, PrecipitationMm = 0, WindSpeedKmh = 2.4, WindGustsKmh = 6.1, SolarRadiationWm2 = 143.6, LocalTime = 11/26/2025 11:45:00 AM }</t>
  </si>
  <si>
    <t>NowcastPeriod { Time = 11/26/2025 11:00:00 AM, TemperatureC = 2.3, PrecipitationMm = 0, WindSpeedKmh = 2.8, WindGustsKmh = 6.8, SolarRadiationWm2 = 147, LocalTime = 11/26/2025 12:00:00 PM }</t>
  </si>
  <si>
    <t>NowcastPeriod { Time = 11/26/2025 11:15:00 AM, TemperatureC = 2.5, PrecipitationMm = 0, WindSpeedKmh = 3.3, WindGustsKmh = 7.6, SolarRadiationWm2 = 147.3, LocalTime = 11/26/2025 12:15:00 PM }</t>
  </si>
  <si>
    <t>NowcastPeriod { Time = 11/26/2025 11:30:00 AM, TemperatureC = 2.7, PrecipitationMm = 0, WindSpeedKmh = 4.2, WindGustsKmh = 8.6, SolarRadiationWm2 = 145.7, LocalTime = 11/26/2025 12:30:00 PM }</t>
  </si>
  <si>
    <t>NowcastPeriod { Time = 11/26/2025 11:45:00 AM, TemperatureC = 2.8, PrecipitationMm = 0, WindSpeedKmh = 4.8, WindGustsKmh = 10.1, SolarRadiationWm2 = 141.1, LocalTime = 11/26/2025 12:45:00 PM }</t>
  </si>
  <si>
    <t>NowcastPeriod { Time = 11/26/2025 12:00:00 PM, TemperatureC = 2.8, PrecipitationMm = 0, WindSpeedKmh = 5.4, WindGustsKmh = 10.8, SolarRadiationWm2 = 131.6, LocalTime = 11/26/2025 1:00:00 PM }</t>
  </si>
  <si>
    <t>NowcastPeriod { Time = 11/26/2025 12:15:00 PM, TemperatureC = 2.8, PrecipitationMm = 0.1, WindSpeedKmh = 5.5, WindGustsKmh = 11.5, SolarRadiationWm2 = 121.1, LocalTime = 11/26/2025 1:15:00 PM }</t>
  </si>
  <si>
    <t>NowcastPeriod { Time = 11/26/2025 12:30:00 PM, TemperatureC = 2.8, PrecipitationMm = 0.1, WindSpeedKmh = 5.4, WindGustsKmh = 11.9, SolarRadiationWm2 = 109.7, LocalTime = 11/26/2025 1:30:00 PM }</t>
  </si>
  <si>
    <t>NowcastPeriod { Time = 11/26/2025 12:45:00 PM, TemperatureC = 2.7, PrecipitationMm = 0.1, WindSpeedKmh = 5.1, WindGustsKmh = 12.6, SolarRadiationWm2 = 103.3, LocalTime = 11/26/2025 1:45:00 PM }</t>
  </si>
  <si>
    <t>NowcastPeriod { Time = 11/26/2025 1:00:00 PM, TemperatureC = 2.5, PrecipitationMm = 0.1, WindSpeedKmh = 5.2, WindGustsKmh = 12.6, SolarRadiationWm2 = 98.9, LocalTime = 11/26/2025 2:00:00 PM }</t>
  </si>
  <si>
    <t>NowcastPeriod { Time = 11/26/2025 1:15:00 PM, TemperatureC = 2.5, PrecipitationMm = 0.1, WindSpeedKmh = 5.2, WindGustsKmh = 12.6, SolarRadiationWm2 = 95.6, LocalTime = 11/26/2025 2:15:00 PM }</t>
  </si>
  <si>
    <t>NowcastPeriod { Time = 11/26/2025 1:30:00 PM, TemperatureC = 2.5, PrecipitationMm = 0.1, WindSpeedKmh = 4.9, WindGustsKmh = 12.2, SolarRadiationWm2 = 92.2, LocalTime = 11/26/2025 2:30:00 PM }</t>
  </si>
  <si>
    <t>NowcastPeriod { Time = 11/26/2025 1:45:00 PM, TemperatureC = 2.5, PrecipitationMm = 0.1, WindSpeedKmh = 4.5, WindGustsKmh = 11.5, SolarRadiationWm2 = 87.9, LocalTime = 11/26/2025 2:45:00 PM }</t>
  </si>
  <si>
    <t>NowcastPeriod { Time = 11/26/2025 2:00:00 PM, TemperatureC = 2.5, PrecipitationMm = 0.1, WindSpeedKmh = 4, WindGustsKmh = 11.2, SolarRadiationWm2 = 83.5, LocalTime = 11/26/2025 3:00:00 PM }</t>
  </si>
  <si>
    <t>NowcastPeriod { Time = 11/26/2025 2:15:00 PM, TemperatureC = 2.4, PrecipitationMm = 0.1, WindSpeedKmh = 3.6, WindGustsKmh = 10.4, SolarRadiationWm2 = 77.2, LocalTime = 11/26/2025 3:15:00 PM }</t>
  </si>
  <si>
    <t>NowcastPeriod { Time = 11/26/2025 2:30:00 PM, TemperatureC = 2.3, PrecipitationMm = 0.1, WindSpeedKmh = 2.9, WindGustsKmh = 9.7, SolarRadiationWm2 = 70.9, LocalTime = 11/26/2025 3:30:00 PM }</t>
  </si>
  <si>
    <t>NowcastPeriod { Time = 11/26/2025 2:45:00 PM, TemperatureC = 2.2, PrecipitationMm = 0.1, WindSpeedKmh = 2.3, WindGustsKmh = 9, SolarRadiationWm2 = 63.6, LocalTime = 11/26/2025 3:45:00 PM }</t>
  </si>
  <si>
    <t>NowcastPeriod { Time = 11/26/2025 3:00:00 PM, TemperatureC = 2.2, PrecipitationMm = 0.1, WindSpeedKmh = 2.1, WindGustsKmh = 8.3, SolarRadiationWm2 = 55.4, LocalTime = 11/26/2025 4:00:00 PM }</t>
  </si>
  <si>
    <t>NowcastPeriod { Time = 11/26/2025 3:15:00 PM, TemperatureC = 2.1, PrecipitationMm = 0.1, WindSpeedKmh = 2, WindGustsKmh = 7.6, SolarRadiationWm2 = 47.2, LocalTime = 11/26/2025 4:15:00 PM }</t>
  </si>
  <si>
    <t>NowcastPeriod { Time = 11/26/2025 3:30:00 PM, TemperatureC = 2, PrecipitationMm = 0.1, WindSpeedKmh = 2.1, WindGustsKmh = 6.8, SolarRadiationWm2 = 38, LocalTime = 11/26/2025 4:30:00 PM }</t>
  </si>
  <si>
    <t>NowcastPeriod { Time = 11/26/2025 3:45:00 PM, TemperatureC = 1.9, PrecipitationMm = 0.1, WindSpeedKmh = 2.3, WindGustsKmh = 6.5, SolarRadiationWm2 = 28.9, LocalTime = 11/26/2025 4:45:00 PM }</t>
  </si>
  <si>
    <t>NowcastPeriod { Time = 11/26/2025 4:00:00 PM, TemperatureC = 1.8, PrecipitationMm = 0.1, WindSpeedKmh = 2.2, WindGustsKmh = 5.8, SolarRadiationWm2 = 19, LocalTime = 11/26/2025 5:00:00 PM }</t>
  </si>
  <si>
    <t>NowcastPeriod { Time = 11/26/2025 4:15:00 PM, TemperatureC = 1.7, PrecipitationMm = 0.1, WindSpeedKmh = 2.2, WindGustsKmh = 5.4, SolarRadiationWm2 = 10.1, LocalTime = 11/26/2025 5:15:00 PM }</t>
  </si>
  <si>
    <t>NowcastPeriod { Time = 11/26/2025 4:30:00 PM, TemperatureC = 1.6, PrecipitationMm = 0.1, WindSpeedKmh = 2.2, WindGustsKmh = 5, SolarRadiationWm2 = 1.9, LocalTime = 11/26/2025 5:30:00 PM }</t>
  </si>
  <si>
    <t>NowcastPeriod { Time = 11/26/2025 4:45:00 PM, TemperatureC = 1.5, PrecipitationMm = 0.1, WindSpeedKmh = 2.2, WindGustsKmh = 4.7, SolarRadiationWm2 = 0, LocalTime = 11/26/2025 5:45:00 PM }</t>
  </si>
  <si>
    <t>NowcastPeriod { Time = 11/26/2025 5:00:00 PM, TemperatureC = 1.4, PrecipitationMm = 0.1, WindSpeedKmh = 2.2, WindGustsKmh = 4.3, SolarRadiationWm2 = 0, LocalTime = 11/26/2025 6:00:00 PM }</t>
  </si>
  <si>
    <t>NowcastPeriod { Time = 11/26/2025 5:15:00 PM, TemperatureC = 1.3, PrecipitationMm = 0.1, WindSpeedKmh = 2.2, WindGustsKmh = 4, SolarRadiationWm2 = 0, LocalTime = 11/26/2025 6:15:00 PM }</t>
  </si>
  <si>
    <t>NowcastPeriod { Time = 11/26/2025 5:30:00 PM, TemperatureC = 1.1, PrecipitationMm = 0.1, WindSpeedKmh = 2.2, WindGustsKmh = 3.6, SolarRadiationWm2 = 0, LocalTime = 11/26/2025 6:30:00 PM }</t>
  </si>
  <si>
    <t>NowcastPeriod { Time = 11/26/2025 5:45:00 PM, TemperatureC = 1, PrecipitationMm = 0.1, WindSpeedKmh = 1.8, WindGustsKmh = 3.2, SolarRadiationWm2 = 0, LocalTime = 11/26/2025 6:45:00 PM }</t>
  </si>
  <si>
    <t>NowcastPeriod { Time = 11/26/2025 6:00:00 PM, TemperatureC = 0.9, PrecipitationMm = 0.1, WindSpeedKmh = 1.8, WindGustsKmh = 2.9, SolarRadiationWm2 = 0, LocalTime = 11/26/2025 7:00:00 PM }</t>
  </si>
  <si>
    <t>NowcastPeriod { Time = 11/26/2025 6:15:00 PM, TemperatureC = 0.8, PrecipitationMm = 0.1, WindSpeedKmh = 1.8, WindGustsKmh = 2.5, SolarRadiationWm2 = 0, LocalTime = 11/26/2025 7:15:00 PM }</t>
  </si>
  <si>
    <t>NowcastPeriod { Time = 11/26/2025 6:30:00 PM, TemperatureC = 0.7, PrecipitationMm = 0.1, WindSpeedKmh = 1.4, WindGustsKmh = 2.5, SolarRadiationWm2 = 0, LocalTime = 11/26/2025 7:30:00 PM }</t>
  </si>
  <si>
    <t>NowcastPeriod { Time = 11/26/2025 6:45:00 PM, TemperatureC = 0.6, PrecipitationMm = 0.1, WindSpeedKmh = 1.4, WindGustsKmh = 2.5, SolarRadiationWm2 = 0, LocalTime = 11/26/2025 7:45:00 PM }</t>
  </si>
  <si>
    <t>NowcastPeriod { Time = 11/26/2025 7:00:00 PM, TemperatureC = 0.6, PrecipitationMm = 0.1, WindSpeedKmh = 1.4, WindGustsKmh = 2.5, SolarRadiationWm2 = 0, LocalTime = 11/26/2025 8:00:00 PM }</t>
  </si>
  <si>
    <t>NowcastPeriod { Time = 11/26/2025 7:15:00 PM, TemperatureC = 0.5, PrecipitationMm = 0, WindSpeedKmh = 1.4, WindGustsKmh = 2.5, SolarRadiationWm2 = 0, LocalTime = 11/26/2025 8:15:00 PM }</t>
  </si>
  <si>
    <t>NowcastPeriod { Time = 11/26/2025 7:30:00 PM, TemperatureC = 0.4, PrecipitationMm = 0, WindSpeedKmh = 1.5, WindGustsKmh = 2.9, SolarRadiationWm2 = 0, LocalTime = 11/26/2025 8:30:00 PM }</t>
  </si>
  <si>
    <t>NowcastPeriod { Time = 11/26/2025 7:45:00 PM, TemperatureC = 0.4, PrecipitationMm = 0, WindSpeedKmh = 1.8, WindGustsKmh = 3.2, SolarRadiationWm2 = 0, LocalTime = 11/26/2025 8:45:00 PM }</t>
  </si>
  <si>
    <t>NowcastPeriod { Time = 11/26/2025 8:00:00 PM, TemperatureC = 0.4, PrecipitationMm = 0, WindSpeedKmh = 1.9, WindGustsKmh = 3.6, SolarRadiationWm2 = 0, LocalTime = 11/26/2025 9:00:00 PM }</t>
  </si>
  <si>
    <t>NowcastPeriod { Time = 11/26/2025 8:15:00 PM, TemperatureC = 0.4, PrecipitationMm = 0, WindSpeedKmh = 2.1, WindGustsKmh = 4, SolarRadiationWm2 = 0, LocalTime = 11/26/2025 9:15:00 PM }</t>
  </si>
  <si>
    <t>NowcastPeriod { Time = 11/26/2025 8:30:00 PM, TemperatureC = 0.4, PrecipitationMm = 0, WindSpeedKmh = 2.4, WindGustsKmh = 4.3, SolarRadiationWm2 = 0, LocalTime = 11/26/2025 9:30:00 PM }</t>
  </si>
  <si>
    <t>NowcastPeriod { Time = 11/26/2025 8:45:00 PM, TemperatureC = 0.4, PrecipitationMm = 0, WindSpeedKmh = 2.9, WindGustsKmh = 4.7, SolarRadiationWm2 = 0, LocalTime = 11/26/2025 9:45:00 PM }</t>
  </si>
  <si>
    <t>NowcastPeriod { Time = 11/26/2025 9:00:00 PM, TemperatureC = 0.4, PrecipitationMm = 0, WindSpeedKmh = 2.9, WindGustsKmh = 5, SolarRadiationWm2 = 0, LocalTime = 11/26/2025 10:00:00 PM }</t>
  </si>
  <si>
    <t>NowcastPeriod { Time = 11/26/2025 9:15:00 PM, TemperatureC = 0.4, PrecipitationMm = 0, WindSpeedKmh = 3.1, WindGustsKmh = 5.4, SolarRadiationWm2 = 0, LocalTime = 11/26/2025 10:15:00 PM }</t>
  </si>
  <si>
    <t>NowcastPeriod { Time = 11/26/2025 9:30:00 PM, TemperatureC = 0.4, PrecipitationMm = 0, WindSpeedKmh = 3.4, WindGustsKmh = 5.8, SolarRadiationWm2 = 0, LocalTime = 11/26/2025 10:30:00 PM }</t>
  </si>
  <si>
    <t>NowcastPeriod { Time = 11/26/2025 9:45:00 PM, TemperatureC = 0.4, PrecipitationMm = 0, WindSpeedKmh = 3.6, WindGustsKmh = 6.1, SolarRadiationWm2 = 0, LocalTime = 11/26/2025 10:45:00 PM }</t>
  </si>
  <si>
    <t>NowcastPeriod { Time = 11/26/2025 10:00:00 PM, TemperatureC = 0.4, PrecipitationMm = 0, WindSpeedKmh = 3.6, WindGustsKmh = 6.5, SolarRadiationWm2 = 0, LocalTime = 11/26/2025 11:00:00 PM }</t>
  </si>
  <si>
    <t>NowcastPeriod { Time = 11/26/2025 10:15:00 PM, TemperatureC = 0.4, PrecipitationMm = 0, WindSpeedKmh = 3.6, WindGustsKmh = 6.5, SolarRadiationWm2 = 0, LocalTime = 11/26/2025 11:15:00 PM }</t>
  </si>
  <si>
    <t>NowcastPeriod { Time = 11/26/2025 10:30:00 PM, TemperatureC = 0.4, PrecipitationMm = 0, WindSpeedKmh = 3.8, WindGustsKmh = 6.8, SolarRadiationWm2 = 0, LocalTime = 11/26/2025 11:30:00 PM }</t>
  </si>
  <si>
    <t>NowcastPeriod { Time = 11/26/2025 10:45:00 PM, TemperatureC = 0.5, PrecipitationMm = 0, WindSpeedKmh = 3.8, WindGustsKmh = 6.8, SolarRadiationWm2 = 0, LocalTime = 11/26/2025 11:45:00 PM }</t>
  </si>
  <si>
    <t>NowcastPeriod { Time = 11/26/2025 11:00:00 PM, TemperatureC = 0.5, PrecipitationMm = 0, WindSpeedKmh = 3.8, WindGustsKmh = 6.8, SolarRadiationWm2 = 0, LocalTime = 11/27/2025 12:00:00 AM }</t>
  </si>
  <si>
    <t>NowcastPeriod { Time = 11/26/2025 11:15:00 PM, TemperatureC = 0.6, PrecipitationMm = 0, WindSpeedKmh = 3.8, WindGustsKmh = 6.8, SolarRadiationWm2 = 0, LocalTime = 11/27/2025 12:15:00 AM }</t>
  </si>
  <si>
    <t>NowcastPeriod { Time = 11/26/2025 11:30:00 PM, TemperatureC = 0.6, PrecipitationMm = 0, WindSpeedKmh = 3.8, WindGustsKmh = 6.8, SolarRadiationWm2 = 0, LocalTime = 11/27/2025 12:30:00 AM }</t>
  </si>
  <si>
    <t>NowcastPeriod { Time = 11/26/2025 11:45:00 PM, TemperatureC = 0.6, PrecipitationMm = 0, WindSpeedKmh = 3.6, WindGustsKmh = 6.8, SolarRadiationWm2 = 0, LocalTime = 11/27/2025 12:45:00 AM }</t>
  </si>
  <si>
    <t>NowcastPeriod { Time = 11/27/2025 12:00:00 AM, TemperatureC = 0.6, PrecipitationMm = 0, WindSpeedKmh = 3.6, WindGustsKmh = 6.8, SolarRadiationWm2 = 0, LocalTime = 11/27/2025 1:00:00 AM }</t>
  </si>
  <si>
    <t>NowcastPeriod { Time = 11/27/2025 12:15:00 AM, TemperatureC = 0.6, PrecipitationMm = 0, WindSpeedKmh = 3.6, WindGustsKmh = 6.8, SolarRadiationWm2 = 0, LocalTime = 11/27/2025 1:15:00 AM }</t>
  </si>
  <si>
    <t>NowcastPeriod { Time = 11/27/2025 12:30:00 AM, TemperatureC = 0.6, PrecipitationMm = 0, WindSpeedKmh = 3.6, WindGustsKmh = 6.8, SolarRadiationWm2 = 0, LocalTime = 11/27/2025 1:30:00 AM }</t>
  </si>
  <si>
    <t>NowcastPeriod { Time = 11/27/2025 12:45:00 AM, TemperatureC = 0.7, PrecipitationMm = 0, WindSpeedKmh = 3.3, WindGustsKmh = 6.8, SolarRadiationWm2 = 0, LocalTime = 11/27/2025 1:45:00 AM }</t>
  </si>
  <si>
    <t>NowcastPeriod { Time = 11/27/2025 1:00:00 AM, TemperatureC = 0.7, PrecipitationMm = 0, WindSpeedKmh = 3.3, WindGustsKmh = 6.8, SolarRadiationWm2 = 0, LocalTime = 11/27/2025 2:00:00 AM }</t>
  </si>
  <si>
    <t>NowcastPeriod { Time = 11/27/2025 1:15:00 AM, TemperatureC = 0.8, PrecipitationMm = 0, WindSpeedKmh = 3.3, WindGustsKmh = 6.8, SolarRadiationWm2 = 0, LocalTime = 11/27/2025 2:15:00 AM }</t>
  </si>
  <si>
    <t>NowcastPeriod { Time = 11/27/2025 1:30:00 AM, TemperatureC = 0.8, PrecipitationMm = 0, WindSpeedKmh = 3.1, WindGustsKmh = 6.8, SolarRadiationWm2 = 0, LocalTime = 11/27/2025 2:30:00 AM }</t>
  </si>
  <si>
    <t>NowcastPeriod { Time = 11/27/2025 1:45:00 AM, TemperatureC = 0.8, PrecipitationMm = 0, WindSpeedKmh = 3.4, WindGustsKmh = 6.8, SolarRadiationWm2 = 0, LocalTime = 11/27/2025 2:45:00 AM }</t>
  </si>
  <si>
    <t>NowcastPeriod { Time = 11/27/2025 2:00:00 AM, TemperatureC = 0.7, PrecipitationMm = 0, WindSpeedKmh = 3.4, WindGustsKmh = 6.8, SolarRadiationWm2 = 0, LocalTime = 11/27/2025 3:00:00 AM }</t>
  </si>
  <si>
    <t>NowcastPeriod { Time = 11/27/2025 2:15:00 AM, TemperatureC = 0.7, PrecipitationMm = 0, WindSpeedKmh = 3.4, WindGustsKmh = 6.8, SolarRadiationWm2 = 0, LocalTime = 11/27/2025 3:15:00 AM }</t>
  </si>
  <si>
    <t>NowcastPeriod { Time = 11/27/2025 2:30:00 AM, TemperatureC = 0.6, PrecipitationMm = 0, WindSpeedKmh = 3.7, WindGustsKmh = 7.2, SolarRadiationWm2 = 0, LocalTime = 11/27/2025 3:30:00 AM }</t>
  </si>
  <si>
    <t>NowcastPeriod { Time = 11/27/2025 2:45:00 AM, TemperatureC = 0.6, PrecipitationMm = 0, WindSpeedKmh = 3.7, WindGustsKmh = 7.2, SolarRadiationWm2 = 0, LocalTime = 11/27/2025 3:45:00 AM }</t>
  </si>
  <si>
    <t>NowcastPeriod { Time = 11/27/2025 3:00:00 AM, TemperatureC = 0.6, PrecipitationMm = 0, WindSpeedKmh = 3.7, WindGustsKmh = 7.2, SolarRadiationWm2 = 0, LocalTime = 11/27/2025 4:00:00 AM }</t>
  </si>
  <si>
    <t>NowcastPeriod { Time = 11/27/2025 3:15:00 AM, TemperatureC = 0.6, PrecipitationMm = 0, WindSpeedKmh = 3.7, WindGustsKmh = 7.2, SolarRadiationWm2 = 0, LocalTime = 11/27/2025 4:15:00 AM }</t>
  </si>
  <si>
    <t>NowcastPeriod { Time = 11/27/2025 3:30:00 AM, TemperatureC = 0.6, PrecipitationMm = 0, WindSpeedKmh = 4, WindGustsKmh = 7.2, SolarRadiationWm2 = 0, LocalTime = 11/27/2025 4:30:00 AM }</t>
  </si>
  <si>
    <t>NowcastPeriod { Time = 11/27/2025 3:45:00 AM, TemperatureC = 0.6, PrecipitationMm = 0, WindSpeedKmh = 3.9, WindGustsKmh = 7.2, SolarRadiationWm2 = 0, LocalTime = 11/27/2025 4:45:00 AM }</t>
  </si>
  <si>
    <t>NowcastPeriod { Time = 11/27/2025 4:00:00 AM, TemperatureC = 0.6, PrecipitationMm = 0, WindSpeedKmh = 3.9, WindGustsKmh = 7.2, SolarRadiationWm2 = 0, LocalTime = 11/27/2025 5:00:00 AM }</t>
  </si>
  <si>
    <t>NowcastPeriod { Time = 11/27/2025 4:15:00 AM, TemperatureC = 0.6, PrecipitationMm = 0, WindSpeedKmh = 3.9, WindGustsKmh = 7.2, SolarRadiationWm2 = 0, LocalTime = 11/27/2025 5:15:00 AM }</t>
  </si>
  <si>
    <t>NowcastPeriod { Time = 11/27/2025 4:30:00 AM, TemperatureC = 0.5, PrecipitationMm = 0, WindSpeedKmh = 3.9, WindGustsKmh = 7.2, SolarRadiationWm2 = 0, LocalTime = 11/27/2025 5:30:00 AM }</t>
  </si>
  <si>
    <t>NowcastPeriod { Time = 11/27/2025 4:45:00 AM, TemperatureC = 0.5, PrecipitationMm = 0, WindSpeedKmh = 3.8, WindGustsKmh = 6.8, SolarRadiationWm2 = 0, LocalTime = 11/27/2025 5:45:00 AM }</t>
  </si>
  <si>
    <t>NowcastPeriod { Time = 11/27/2025 5:00:00 AM, TemperatureC = 0.4, PrecipitationMm = 0, WindSpeedKmh = 3.8, WindGustsKmh = 6.8, SolarRadiationWm2 = 0, LocalTime = 11/27/2025 6:00:00 AM }</t>
  </si>
  <si>
    <t>NowcastPeriod { Time = 11/27/2025 5:15:00 AM, TemperatureC = 0.4, PrecipitationMm = 0, WindSpeedKmh = 3.8, WindGustsKmh = 6.8, SolarRadiationWm2 = 0, LocalTime = 11/27/2025 6:15:00 AM }</t>
  </si>
  <si>
    <t>Time</t>
  </si>
  <si>
    <t>value</t>
  </si>
  <si>
    <t>fit</t>
  </si>
  <si>
    <t>Offset</t>
  </si>
  <si>
    <t>Value</t>
  </si>
  <si>
    <t>Index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</si>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</sst>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</cellXfs>
  <cellStyles count="1">
    <cellStyle name="Normal" xfId="0" builtinId="0"/>
  </cellStyles>
  <dxfs count="8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Sheet1!$P$12:$P$63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Sheet1!$Q$12:$Q$63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280</c:v>
                </c:pt>
                <c:pt idx="25">
                  <c:v>280</c:v>
                </c:pt>
                <c:pt idx="26">
                  <c:v>280</c:v>
                </c:pt>
                <c:pt idx="27">
                  <c:v>280</c:v>
                </c:pt>
                <c:pt idx="28">
                  <c:v>270</c:v>
                </c:pt>
                <c:pt idx="29">
                  <c:v>270</c:v>
                </c:pt>
                <c:pt idx="30">
                  <c:v>270</c:v>
                </c:pt>
                <c:pt idx="31">
                  <c:v>270</c:v>
                </c:pt>
                <c:pt idx="32">
                  <c:v>210</c:v>
                </c:pt>
                <c:pt idx="33">
                  <c:v>210</c:v>
                </c:pt>
                <c:pt idx="34">
                  <c:v>210</c:v>
                </c:pt>
                <c:pt idx="35">
                  <c:v>210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C-4FA6-9802-089ED1B5B7C8}"/>
            </c:ext>
          </c:extLst>
        </c:ser>
        <c:ser>
          <c:idx val="1"/>
          <c:order val="1"/>
          <c:tx>
            <c:strRef>
              <c:f>Sheet1!$R$11</c:f>
              <c:strCache>
                <c:ptCount val="1"/>
                <c:pt idx="0">
                  <c:v>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Sheet1!$P$12:$P$63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Sheet1!$R$12:$R$63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10</c:v>
                </c:pt>
                <c:pt idx="8">
                  <c:v>20</c:v>
                </c:pt>
                <c:pt idx="9">
                  <c:v>30</c:v>
                </c:pt>
                <c:pt idx="10">
                  <c:v>42</c:v>
                </c:pt>
                <c:pt idx="11">
                  <c:v>55</c:v>
                </c:pt>
                <c:pt idx="12">
                  <c:v>70</c:v>
                </c:pt>
                <c:pt idx="13">
                  <c:v>85</c:v>
                </c:pt>
                <c:pt idx="14">
                  <c:v>102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179</c:v>
                </c:pt>
                <c:pt idx="19">
                  <c:v>197.5</c:v>
                </c:pt>
                <c:pt idx="20">
                  <c:v>215</c:v>
                </c:pt>
                <c:pt idx="21">
                  <c:v>232.5</c:v>
                </c:pt>
                <c:pt idx="22">
                  <c:v>246</c:v>
                </c:pt>
                <c:pt idx="23">
                  <c:v>257.5</c:v>
                </c:pt>
                <c:pt idx="24">
                  <c:v>265</c:v>
                </c:pt>
                <c:pt idx="25">
                  <c:v>272.5</c:v>
                </c:pt>
                <c:pt idx="26">
                  <c:v>276</c:v>
                </c:pt>
                <c:pt idx="27">
                  <c:v>277.5</c:v>
                </c:pt>
                <c:pt idx="28">
                  <c:v>275</c:v>
                </c:pt>
                <c:pt idx="29">
                  <c:v>272.5</c:v>
                </c:pt>
                <c:pt idx="30">
                  <c:v>265</c:v>
                </c:pt>
                <c:pt idx="31">
                  <c:v>255</c:v>
                </c:pt>
                <c:pt idx="32">
                  <c:v>240</c:v>
                </c:pt>
                <c:pt idx="33">
                  <c:v>225</c:v>
                </c:pt>
                <c:pt idx="34">
                  <c:v>207</c:v>
                </c:pt>
                <c:pt idx="35">
                  <c:v>187.5</c:v>
                </c:pt>
                <c:pt idx="36">
                  <c:v>165</c:v>
                </c:pt>
                <c:pt idx="37">
                  <c:v>142.5</c:v>
                </c:pt>
                <c:pt idx="38">
                  <c:v>119</c:v>
                </c:pt>
                <c:pt idx="39">
                  <c:v>95</c:v>
                </c:pt>
                <c:pt idx="40">
                  <c:v>70</c:v>
                </c:pt>
                <c:pt idx="41">
                  <c:v>45</c:v>
                </c:pt>
                <c:pt idx="42">
                  <c:v>28</c:v>
                </c:pt>
                <c:pt idx="43">
                  <c:v>15</c:v>
                </c:pt>
                <c:pt idx="44">
                  <c:v>10</c:v>
                </c:pt>
                <c:pt idx="45">
                  <c:v>5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3C-4FA6-9802-089ED1B5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971936"/>
        <c:axId val="87939551"/>
      </c:scatterChart>
      <c:valAx>
        <c:axId val="202797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7939551"/>
        <c:crosses val="autoZero"/>
        <c:crossBetween val="midCat"/>
      </c:valAx>
      <c:valAx>
        <c:axId val="8793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27971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88900</xdr:colOff>
      <xdr:row>29</xdr:row>
      <xdr:rowOff>12700</xdr:rowOff>
    </xdr:from>
    <xdr:to>
      <xdr:col>20</xdr:col>
      <xdr:colOff>393700</xdr:colOff>
      <xdr:row>43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CBFF6-B025-DED8-E19F-F3D5BC879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DB829D-A912-42D0-B07E-E16B149328D4}" autoFormatId="16" applyNumberFormats="0" applyBorderFormats="0" applyFontFormats="0" applyPatternFormats="0" applyAlignmentFormats="0" applyWidthHeightFormats="0">
  <queryTableRefresh nextId="16">
    <queryTableFields count="15">
      <queryTableField id="1" name="ForecastPeriod" tableColumnId="1"/>
      <queryTableField id="2" name="ForecastPeriod.EqualityContract" tableColumnId="2"/>
      <queryTableField id="3" name="ForecastPeriod.Time" tableColumnId="3"/>
      <queryTableField id="4" name="ForecastPeriod.TemperatureC" tableColumnId="4"/>
      <queryTableField id="5" name="ForecastPeriod.RelativeHumidity" tableColumnId="5"/>
      <queryTableField id="6" name="ForecastPeriod.DewPointC" tableColumnId="6"/>
      <queryTableField id="7" name="ForecastPeriod.PrecipitationMm" tableColumnId="7"/>
      <queryTableField id="8" name="ForecastPeriod.SnowfallCm" tableColumnId="8"/>
      <queryTableField id="9" name="ForecastPeriod.WindSpeedKmh" tableColumnId="9"/>
      <queryTableField id="10" name="ForecastPeriod.WindDirectionDeg" tableColumnId="10"/>
      <queryTableField id="11" name="ForecastPeriod.WindGustsKmh" tableColumnId="11"/>
      <queryTableField id="12" name="ForecastPeriod.SolarRadiationWm2" tableColumnId="12"/>
      <queryTableField id="13" name="ForecastPeriod.EvapotranspirationMm" tableColumnId="13"/>
      <queryTableField id="14" name="ForecastPeriod.PressureHpa" tableColumnId="14"/>
      <queryTableField id="15" name="ForecastPeriod.LocalTim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6185B7-DADD-42F8-932C-7C8AF6F041FF}" autoFormatId="16" applyNumberFormats="0" applyBorderFormats="0" applyFontFormats="0" applyPatternFormats="0" applyAlignmentFormats="0" applyWidthHeightFormats="0">
  <queryTableRefresh nextId="10">
    <queryTableFields count="9">
      <queryTableField id="1" name="NowcastPeriod" tableColumnId="1"/>
      <queryTableField id="2" name="NowcastPeriod.EqualityContract" tableColumnId="2"/>
      <queryTableField id="3" name="NowcastPeriod.Time" tableColumnId="3"/>
      <queryTableField id="4" name="NowcastPeriod.TemperatureC" tableColumnId="4"/>
      <queryTableField id="5" name="NowcastPeriod.PrecipitationMm" tableColumnId="5"/>
      <queryTableField id="6" name="NowcastPeriod.WindSpeedKmh" tableColumnId="6"/>
      <queryTableField id="7" name="NowcastPeriod.WindGustsKmh" tableColumnId="7"/>
      <queryTableField id="8" name="NowcastPeriod.SolarRadiationWm2" tableColumnId="8"/>
      <queryTableField id="9" name="NowcastPeriod.LocalTi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E84B0-B73C-459F-BCF2-3B5D0A8C24F5}" name="sample_7day_forecast" displayName="sample_7day_forecast" ref="A1:O169" tableType="queryTable" totalsRowShown="0">
  <autoFilter ref="A1:O169" xr:uid="{08FE84B0-B73C-459F-BCF2-3B5D0A8C24F5}"/>
  <tableColumns count="15">
    <tableColumn id="1" xr3:uid="{CFC00C56-A887-4F49-8D1E-4CBB01EF4AFF}" uniqueName="1" name="ForecastPeriod" queryTableFieldId="1" dataDxfId="7"/>
    <tableColumn id="2" xr3:uid="{35FD5D15-31A1-4B91-B323-96B313E89F78}" uniqueName="2" name="ForecastPeriod.EqualityContract" queryTableFieldId="2" dataDxfId="6"/>
    <tableColumn id="3" xr3:uid="{34EE51F7-6CD9-4025-B36A-DD9DE81E8400}" uniqueName="3" name="ForecastPeriod.Time" queryTableFieldId="3" dataDxfId="5"/>
    <tableColumn id="4" xr3:uid="{6719CDBA-2C38-461F-831B-E50CDA4C3D2A}" uniqueName="4" name="ForecastPeriod.TemperatureC" queryTableFieldId="4"/>
    <tableColumn id="5" xr3:uid="{4FA03706-73C5-4C52-8947-AB14AAF1302D}" uniqueName="5" name="ForecastPeriod.RelativeHumidity" queryTableFieldId="5"/>
    <tableColumn id="6" xr3:uid="{910D09C7-8B4C-4F47-AEE2-7EAB4F5ED5D4}" uniqueName="6" name="ForecastPeriod.DewPointC" queryTableFieldId="6"/>
    <tableColumn id="7" xr3:uid="{4C3D6A70-9E32-4217-84CA-BBB818DDA150}" uniqueName="7" name="ForecastPeriod.PrecipitationMm" queryTableFieldId="7"/>
    <tableColumn id="8" xr3:uid="{4DB6A9D5-6280-416C-94F4-173BB2AFE8D5}" uniqueName="8" name="ForecastPeriod.SnowfallCm" queryTableFieldId="8"/>
    <tableColumn id="9" xr3:uid="{6ABDA963-9CE9-4E00-8EAC-4EEEBF65DF30}" uniqueName="9" name="ForecastPeriod.WindSpeedKmh" queryTableFieldId="9"/>
    <tableColumn id="10" xr3:uid="{36B6942A-A698-4EFA-A77B-DA79C5EF8B3D}" uniqueName="10" name="ForecastPeriod.WindDirectionDeg" queryTableFieldId="10"/>
    <tableColumn id="11" xr3:uid="{C6BDDC1E-9BA0-4E33-9D28-F400AF3D08E1}" uniqueName="11" name="ForecastPeriod.WindGustsKmh" queryTableFieldId="11"/>
    <tableColumn id="12" xr3:uid="{153631BF-784D-4236-8C5F-77BEF853A8A6}" uniqueName="12" name="ForecastPeriod.SolarRadiationWm2" queryTableFieldId="12"/>
    <tableColumn id="13" xr3:uid="{DA76075B-CC5B-4EDE-9CE9-8F85641CB321}" uniqueName="13" name="ForecastPeriod.EvapotranspirationMm" queryTableFieldId="13"/>
    <tableColumn id="14" xr3:uid="{9A4861BF-0240-44AE-9F66-75A4AD343E56}" uniqueName="14" name="ForecastPeriod.PressureHpa" queryTableFieldId="14"/>
    <tableColumn id="15" xr3:uid="{282701DD-4917-4E0A-8160-8CD8DA6AFF56}" uniqueName="15" name="ForecastPeriod.LocalTime" queryTableFieldId="1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6EF221-57DC-4366-AB40-C470232DA78B}" name="sample_90hour_nowcast" displayName="sample_90hour_nowcast" ref="A1:I361" tableType="queryTable" totalsRowShown="0">
  <autoFilter ref="A1:I361" xr:uid="{056EF221-57DC-4366-AB40-C470232DA78B}"/>
  <tableColumns count="9">
    <tableColumn id="1" xr3:uid="{499F1214-819D-4B5A-8D5D-0184E6A674AD}" uniqueName="1" name="NowcastPeriod" queryTableFieldId="1" dataDxfId="3"/>
    <tableColumn id="2" xr3:uid="{6C38FEDE-BB38-4F65-BF9B-754EFF446788}" uniqueName="2" name="NowcastPeriod.EqualityContract" queryTableFieldId="2" dataDxfId="2"/>
    <tableColumn id="3" xr3:uid="{567F218C-0DD9-409C-8144-3552C6348EA6}" uniqueName="3" name="NowcastPeriod.Time" queryTableFieldId="3" dataDxfId="1"/>
    <tableColumn id="4" xr3:uid="{6A2C641D-2BC4-453B-A6DC-BBEA203018B8}" uniqueName="4" name="NowcastPeriod.TemperatureC" queryTableFieldId="4"/>
    <tableColumn id="5" xr3:uid="{8947585C-DFDD-4CE9-A8A0-80F381631C86}" uniqueName="5" name="NowcastPeriod.PrecipitationMm" queryTableFieldId="5"/>
    <tableColumn id="6" xr3:uid="{8ED81611-04F9-425C-B8C1-4655C597975C}" uniqueName="6" name="NowcastPeriod.WindSpeedKmh" queryTableFieldId="6"/>
    <tableColumn id="7" xr3:uid="{3BF2833F-B47A-4C49-9DB7-260A89A25202}" uniqueName="7" name="NowcastPeriod.WindGustsKmh" queryTableFieldId="7"/>
    <tableColumn id="8" xr3:uid="{FB2070F3-F490-455F-A9A0-9744D9BDB1AA}" uniqueName="8" name="NowcastPeriod.SolarRadiationWm2" queryTableFieldId="8"/>
    <tableColumn id="9" xr3:uid="{D10FD83C-AA05-4F44-BA73-E1B35AAED9B5}" uniqueName="9" name="NowcastPeriod.LocalTim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7122-E57D-4924-9BF0-323B8B11FEBD}">
  <dimension ref="A1:O169"/>
  <sheetViews>
    <sheetView topLeftCell="F1" workbookViewId="0"/>
  </sheetViews>
  <sheetFormatPr defaultRowHeight="14.5" x14ac:dyDescent="0.35"/>
  <cols>
    <col min="1" max="1" width="80.7265625" bestFit="1" customWidth="1"/>
    <col min="2" max="2" width="40.81640625" bestFit="1" customWidth="1"/>
    <col min="3" max="3" width="20.453125" bestFit="1" customWidth="1"/>
    <col min="4" max="4" width="28.453125" bestFit="1" customWidth="1"/>
    <col min="5" max="5" width="31.08984375" bestFit="1" customWidth="1"/>
    <col min="6" max="6" width="25.7265625" bestFit="1" customWidth="1"/>
    <col min="7" max="7" width="30.453125" bestFit="1" customWidth="1"/>
    <col min="8" max="8" width="26.6328125" bestFit="1" customWidth="1"/>
    <col min="9" max="9" width="30" bestFit="1" customWidth="1"/>
    <col min="10" max="10" width="31.90625" bestFit="1" customWidth="1"/>
    <col min="11" max="11" width="29.54296875" bestFit="1" customWidth="1"/>
    <col min="12" max="12" width="33.26953125" bestFit="1" customWidth="1"/>
    <col min="13" max="13" width="35.6328125" bestFit="1" customWidth="1"/>
    <col min="14" max="14" width="27.08984375" bestFit="1" customWidth="1"/>
    <col min="15" max="15" width="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16</v>
      </c>
      <c r="C2" s="2">
        <v>45984</v>
      </c>
      <c r="D2">
        <v>-5</v>
      </c>
      <c r="E2">
        <v>93</v>
      </c>
      <c r="F2">
        <v>-6</v>
      </c>
      <c r="G2">
        <v>0</v>
      </c>
      <c r="H2">
        <v>0</v>
      </c>
      <c r="I2">
        <v>2.2000000000000002</v>
      </c>
      <c r="J2">
        <v>9</v>
      </c>
      <c r="K2">
        <v>6.8</v>
      </c>
      <c r="L2">
        <v>0</v>
      </c>
      <c r="M2">
        <v>0</v>
      </c>
      <c r="N2">
        <v>1025.4000000000001</v>
      </c>
      <c r="O2" s="2">
        <v>45984.041666666664</v>
      </c>
    </row>
    <row r="3" spans="1:15" x14ac:dyDescent="0.35">
      <c r="A3" s="1" t="s">
        <v>17</v>
      </c>
      <c r="B3" s="1" t="s">
        <v>16</v>
      </c>
      <c r="C3" s="2">
        <v>45984.041666666664</v>
      </c>
      <c r="D3">
        <v>-5.6</v>
      </c>
      <c r="E3">
        <v>95</v>
      </c>
      <c r="F3">
        <v>-6.3</v>
      </c>
      <c r="G3">
        <v>0</v>
      </c>
      <c r="H3">
        <v>0</v>
      </c>
      <c r="I3">
        <v>0.4</v>
      </c>
      <c r="J3">
        <v>180</v>
      </c>
      <c r="K3">
        <v>2.5</v>
      </c>
      <c r="L3">
        <v>0</v>
      </c>
      <c r="M3">
        <v>0</v>
      </c>
      <c r="N3">
        <v>1025.5</v>
      </c>
      <c r="O3" s="2">
        <v>45984.083333333336</v>
      </c>
    </row>
    <row r="4" spans="1:15" x14ac:dyDescent="0.35">
      <c r="A4" s="1" t="s">
        <v>18</v>
      </c>
      <c r="B4" s="1" t="s">
        <v>16</v>
      </c>
      <c r="C4" s="2">
        <v>45984.083333333336</v>
      </c>
      <c r="D4">
        <v>-5.7</v>
      </c>
      <c r="E4">
        <v>93</v>
      </c>
      <c r="F4">
        <v>-6.6</v>
      </c>
      <c r="G4">
        <v>0</v>
      </c>
      <c r="H4">
        <v>0</v>
      </c>
      <c r="I4">
        <v>4</v>
      </c>
      <c r="J4">
        <v>350</v>
      </c>
      <c r="K4">
        <v>5.8</v>
      </c>
      <c r="L4">
        <v>0</v>
      </c>
      <c r="M4">
        <v>0</v>
      </c>
      <c r="N4">
        <v>1024.9000000000001</v>
      </c>
      <c r="O4" s="2">
        <v>45984.125</v>
      </c>
    </row>
    <row r="5" spans="1:15" x14ac:dyDescent="0.35">
      <c r="A5" s="1" t="s">
        <v>19</v>
      </c>
      <c r="B5" s="1" t="s">
        <v>16</v>
      </c>
      <c r="C5" s="2">
        <v>45984.125</v>
      </c>
      <c r="D5">
        <v>-5.9</v>
      </c>
      <c r="E5">
        <v>94</v>
      </c>
      <c r="F5">
        <v>-6.7</v>
      </c>
      <c r="G5">
        <v>0</v>
      </c>
      <c r="H5">
        <v>0</v>
      </c>
      <c r="I5">
        <v>4.2</v>
      </c>
      <c r="J5">
        <v>329</v>
      </c>
      <c r="K5">
        <v>8.3000000000000007</v>
      </c>
      <c r="L5">
        <v>0</v>
      </c>
      <c r="M5">
        <v>0</v>
      </c>
      <c r="N5">
        <v>1024.7</v>
      </c>
      <c r="O5" s="2">
        <v>45984.166666666664</v>
      </c>
    </row>
    <row r="6" spans="1:15" x14ac:dyDescent="0.35">
      <c r="A6" s="1" t="s">
        <v>20</v>
      </c>
      <c r="B6" s="1" t="s">
        <v>16</v>
      </c>
      <c r="C6" s="2">
        <v>45984.166666666664</v>
      </c>
      <c r="D6">
        <v>-6.1</v>
      </c>
      <c r="E6">
        <v>95</v>
      </c>
      <c r="F6">
        <v>-6.8</v>
      </c>
      <c r="G6">
        <v>0</v>
      </c>
      <c r="H6">
        <v>0</v>
      </c>
      <c r="I6">
        <v>1.8</v>
      </c>
      <c r="J6">
        <v>53</v>
      </c>
      <c r="K6">
        <v>8.6</v>
      </c>
      <c r="L6">
        <v>0</v>
      </c>
      <c r="M6">
        <v>0</v>
      </c>
      <c r="N6">
        <v>1024</v>
      </c>
      <c r="O6" s="2">
        <v>45984.208333333336</v>
      </c>
    </row>
    <row r="7" spans="1:15" x14ac:dyDescent="0.35">
      <c r="A7" s="1" t="s">
        <v>21</v>
      </c>
      <c r="B7" s="1" t="s">
        <v>16</v>
      </c>
      <c r="C7" s="2">
        <v>45984.208333333336</v>
      </c>
      <c r="D7">
        <v>-6.2</v>
      </c>
      <c r="E7">
        <v>93</v>
      </c>
      <c r="F7">
        <v>-7.1</v>
      </c>
      <c r="G7">
        <v>0</v>
      </c>
      <c r="H7">
        <v>0</v>
      </c>
      <c r="I7">
        <v>2.2999999999999998</v>
      </c>
      <c r="J7">
        <v>342</v>
      </c>
      <c r="K7">
        <v>2.5</v>
      </c>
      <c r="L7">
        <v>0</v>
      </c>
      <c r="M7">
        <v>0</v>
      </c>
      <c r="N7">
        <v>1023.1</v>
      </c>
      <c r="O7" s="2">
        <v>45984.25</v>
      </c>
    </row>
    <row r="8" spans="1:15" x14ac:dyDescent="0.35">
      <c r="A8" s="1" t="s">
        <v>22</v>
      </c>
      <c r="B8" s="1" t="s">
        <v>16</v>
      </c>
      <c r="C8" s="2">
        <v>45984.25</v>
      </c>
      <c r="D8">
        <v>-6.6</v>
      </c>
      <c r="E8">
        <v>91</v>
      </c>
      <c r="F8">
        <v>-7.8</v>
      </c>
      <c r="G8">
        <v>0</v>
      </c>
      <c r="H8">
        <v>0</v>
      </c>
      <c r="I8">
        <v>2.9</v>
      </c>
      <c r="J8">
        <v>360</v>
      </c>
      <c r="K8">
        <v>6.1</v>
      </c>
      <c r="L8">
        <v>0</v>
      </c>
      <c r="M8">
        <v>0</v>
      </c>
      <c r="N8">
        <v>1022.6</v>
      </c>
      <c r="O8" s="2">
        <v>45984.291666666664</v>
      </c>
    </row>
    <row r="9" spans="1:15" x14ac:dyDescent="0.35">
      <c r="A9" s="1" t="s">
        <v>23</v>
      </c>
      <c r="B9" s="1" t="s">
        <v>16</v>
      </c>
      <c r="C9" s="2">
        <v>45984.291666666664</v>
      </c>
      <c r="D9">
        <v>-6.2</v>
      </c>
      <c r="E9">
        <v>89</v>
      </c>
      <c r="F9">
        <v>-7.7</v>
      </c>
      <c r="G9">
        <v>0</v>
      </c>
      <c r="H9">
        <v>0</v>
      </c>
      <c r="I9">
        <v>3</v>
      </c>
      <c r="J9">
        <v>14</v>
      </c>
      <c r="K9">
        <v>5</v>
      </c>
      <c r="L9">
        <v>0</v>
      </c>
      <c r="M9">
        <v>0</v>
      </c>
      <c r="N9">
        <v>1022.9</v>
      </c>
      <c r="O9" s="2">
        <v>45984.333333333336</v>
      </c>
    </row>
    <row r="10" spans="1:15" x14ac:dyDescent="0.35">
      <c r="A10" s="1" t="s">
        <v>24</v>
      </c>
      <c r="B10" s="1" t="s">
        <v>16</v>
      </c>
      <c r="C10" s="2">
        <v>45984.333333333336</v>
      </c>
      <c r="D10">
        <v>-6.3</v>
      </c>
      <c r="E10">
        <v>93</v>
      </c>
      <c r="F10">
        <v>-7.3</v>
      </c>
      <c r="G10">
        <v>0</v>
      </c>
      <c r="H10">
        <v>0</v>
      </c>
      <c r="I10">
        <v>2.8</v>
      </c>
      <c r="J10">
        <v>50</v>
      </c>
      <c r="K10">
        <v>4.7</v>
      </c>
      <c r="L10">
        <v>2</v>
      </c>
      <c r="M10">
        <v>0</v>
      </c>
      <c r="N10">
        <v>1022.1</v>
      </c>
      <c r="O10" s="2">
        <v>45984.375</v>
      </c>
    </row>
    <row r="11" spans="1:15" x14ac:dyDescent="0.35">
      <c r="A11" s="1" t="s">
        <v>25</v>
      </c>
      <c r="B11" s="1" t="s">
        <v>16</v>
      </c>
      <c r="C11" s="2">
        <v>45984.375</v>
      </c>
      <c r="D11">
        <v>-5.7</v>
      </c>
      <c r="E11">
        <v>92</v>
      </c>
      <c r="F11">
        <v>-6.8</v>
      </c>
      <c r="G11">
        <v>0</v>
      </c>
      <c r="H11">
        <v>0</v>
      </c>
      <c r="I11">
        <v>2.2999999999999998</v>
      </c>
      <c r="J11">
        <v>51</v>
      </c>
      <c r="K11">
        <v>4.3</v>
      </c>
      <c r="L11">
        <v>66.5</v>
      </c>
      <c r="M11">
        <v>0</v>
      </c>
      <c r="N11">
        <v>1021.7</v>
      </c>
      <c r="O11" s="2">
        <v>45984.416666666664</v>
      </c>
    </row>
    <row r="12" spans="1:15" x14ac:dyDescent="0.35">
      <c r="A12" s="1" t="s">
        <v>26</v>
      </c>
      <c r="B12" s="1" t="s">
        <v>16</v>
      </c>
      <c r="C12" s="2">
        <v>45984.416666666664</v>
      </c>
      <c r="D12">
        <v>-4.7</v>
      </c>
      <c r="E12">
        <v>95</v>
      </c>
      <c r="F12">
        <v>-5.4</v>
      </c>
      <c r="G12">
        <v>0</v>
      </c>
      <c r="H12">
        <v>0</v>
      </c>
      <c r="I12">
        <v>2.6</v>
      </c>
      <c r="J12">
        <v>74</v>
      </c>
      <c r="K12">
        <v>4.7</v>
      </c>
      <c r="L12">
        <v>153.80000000000001</v>
      </c>
      <c r="M12">
        <v>0</v>
      </c>
      <c r="N12">
        <v>1021.7</v>
      </c>
      <c r="O12" s="2">
        <v>45984.458333333336</v>
      </c>
    </row>
    <row r="13" spans="1:15" x14ac:dyDescent="0.35">
      <c r="A13" s="1" t="s">
        <v>27</v>
      </c>
      <c r="B13" s="1" t="s">
        <v>16</v>
      </c>
      <c r="C13" s="2">
        <v>45984.458333333336</v>
      </c>
      <c r="D13">
        <v>-3.5</v>
      </c>
      <c r="E13">
        <v>89</v>
      </c>
      <c r="F13">
        <v>-5</v>
      </c>
      <c r="G13">
        <v>0</v>
      </c>
      <c r="H13">
        <v>0</v>
      </c>
      <c r="I13">
        <v>4.8</v>
      </c>
      <c r="J13">
        <v>117</v>
      </c>
      <c r="K13">
        <v>9</v>
      </c>
      <c r="L13">
        <v>148.19999999999999</v>
      </c>
      <c r="M13">
        <v>0</v>
      </c>
      <c r="N13">
        <v>1020.2</v>
      </c>
      <c r="O13" s="2">
        <v>45984.5</v>
      </c>
    </row>
    <row r="14" spans="1:15" x14ac:dyDescent="0.35">
      <c r="A14" s="1" t="s">
        <v>28</v>
      </c>
      <c r="B14" s="1" t="s">
        <v>16</v>
      </c>
      <c r="C14" s="2">
        <v>45984.5</v>
      </c>
      <c r="D14">
        <v>-1.7</v>
      </c>
      <c r="E14">
        <v>79</v>
      </c>
      <c r="F14">
        <v>-4.9000000000000004</v>
      </c>
      <c r="G14">
        <v>0</v>
      </c>
      <c r="H14">
        <v>0</v>
      </c>
      <c r="I14">
        <v>3.9</v>
      </c>
      <c r="J14">
        <v>124</v>
      </c>
      <c r="K14">
        <v>11.9</v>
      </c>
      <c r="L14">
        <v>242.8</v>
      </c>
      <c r="M14">
        <v>0</v>
      </c>
      <c r="N14">
        <v>1018.6</v>
      </c>
      <c r="O14" s="2">
        <v>45984.541666666664</v>
      </c>
    </row>
    <row r="15" spans="1:15" x14ac:dyDescent="0.35">
      <c r="A15" s="1" t="s">
        <v>29</v>
      </c>
      <c r="B15" s="1" t="s">
        <v>16</v>
      </c>
      <c r="C15" s="2">
        <v>45984.541666666664</v>
      </c>
      <c r="D15">
        <v>-0.3</v>
      </c>
      <c r="E15">
        <v>72</v>
      </c>
      <c r="F15">
        <v>-4.8</v>
      </c>
      <c r="G15">
        <v>0</v>
      </c>
      <c r="H15">
        <v>0</v>
      </c>
      <c r="I15">
        <v>1.5</v>
      </c>
      <c r="J15">
        <v>104</v>
      </c>
      <c r="K15">
        <v>7.9</v>
      </c>
      <c r="L15">
        <v>281.5</v>
      </c>
      <c r="M15">
        <v>0</v>
      </c>
      <c r="N15">
        <v>1017.4</v>
      </c>
      <c r="O15" s="2">
        <v>45984.583333333336</v>
      </c>
    </row>
    <row r="16" spans="1:15" x14ac:dyDescent="0.35">
      <c r="A16" s="1" t="s">
        <v>30</v>
      </c>
      <c r="B16" s="1" t="s">
        <v>16</v>
      </c>
      <c r="C16" s="2">
        <v>45984.583333333336</v>
      </c>
      <c r="D16">
        <v>0.6</v>
      </c>
      <c r="E16">
        <v>65</v>
      </c>
      <c r="F16">
        <v>-5.3</v>
      </c>
      <c r="G16">
        <v>0</v>
      </c>
      <c r="H16">
        <v>0</v>
      </c>
      <c r="I16">
        <v>4.9000000000000004</v>
      </c>
      <c r="J16">
        <v>126</v>
      </c>
      <c r="K16">
        <v>8.6</v>
      </c>
      <c r="L16">
        <v>182</v>
      </c>
      <c r="M16">
        <v>0</v>
      </c>
      <c r="N16">
        <v>1016.2</v>
      </c>
      <c r="O16" s="2">
        <v>45984.625</v>
      </c>
    </row>
    <row r="17" spans="1:15" x14ac:dyDescent="0.35">
      <c r="A17" s="1" t="s">
        <v>31</v>
      </c>
      <c r="B17" s="1" t="s">
        <v>16</v>
      </c>
      <c r="C17" s="2">
        <v>45984.625</v>
      </c>
      <c r="D17">
        <v>1</v>
      </c>
      <c r="E17">
        <v>63</v>
      </c>
      <c r="F17">
        <v>-5.3</v>
      </c>
      <c r="G17">
        <v>0</v>
      </c>
      <c r="H17">
        <v>0</v>
      </c>
      <c r="I17">
        <v>7.9</v>
      </c>
      <c r="J17">
        <v>133</v>
      </c>
      <c r="K17">
        <v>16.2</v>
      </c>
      <c r="L17">
        <v>115.8</v>
      </c>
      <c r="M17">
        <v>0</v>
      </c>
      <c r="N17">
        <v>1014.5</v>
      </c>
      <c r="O17" s="2">
        <v>45984.666666666664</v>
      </c>
    </row>
    <row r="18" spans="1:15" x14ac:dyDescent="0.35">
      <c r="A18" s="1" t="s">
        <v>32</v>
      </c>
      <c r="B18" s="1" t="s">
        <v>16</v>
      </c>
      <c r="C18" s="2">
        <v>45984.666666666664</v>
      </c>
      <c r="D18">
        <v>1.1000000000000001</v>
      </c>
      <c r="E18">
        <v>67</v>
      </c>
      <c r="F18">
        <v>-4.4000000000000004</v>
      </c>
      <c r="G18">
        <v>0</v>
      </c>
      <c r="H18">
        <v>0</v>
      </c>
      <c r="I18">
        <v>3.3</v>
      </c>
      <c r="J18">
        <v>103</v>
      </c>
      <c r="K18">
        <v>10.4</v>
      </c>
      <c r="L18">
        <v>68</v>
      </c>
      <c r="M18">
        <v>0</v>
      </c>
      <c r="N18">
        <v>1014.3</v>
      </c>
      <c r="O18" s="2">
        <v>45984.708333333336</v>
      </c>
    </row>
    <row r="19" spans="1:15" x14ac:dyDescent="0.35">
      <c r="A19" s="1" t="s">
        <v>33</v>
      </c>
      <c r="B19" s="1" t="s">
        <v>16</v>
      </c>
      <c r="C19" s="2">
        <v>45984.708333333336</v>
      </c>
      <c r="D19">
        <v>0.9</v>
      </c>
      <c r="E19">
        <v>70</v>
      </c>
      <c r="F19">
        <v>-4</v>
      </c>
      <c r="G19">
        <v>0</v>
      </c>
      <c r="H19">
        <v>0</v>
      </c>
      <c r="I19">
        <v>4.9000000000000004</v>
      </c>
      <c r="J19">
        <v>126</v>
      </c>
      <c r="K19">
        <v>9</v>
      </c>
      <c r="L19">
        <v>7</v>
      </c>
      <c r="M19">
        <v>0</v>
      </c>
      <c r="N19">
        <v>1013.4</v>
      </c>
      <c r="O19" s="2">
        <v>45984.75</v>
      </c>
    </row>
    <row r="20" spans="1:15" x14ac:dyDescent="0.35">
      <c r="A20" s="1" t="s">
        <v>34</v>
      </c>
      <c r="B20" s="1" t="s">
        <v>16</v>
      </c>
      <c r="C20" s="2">
        <v>45984.75</v>
      </c>
      <c r="D20">
        <v>0.9</v>
      </c>
      <c r="E20">
        <v>72</v>
      </c>
      <c r="F20">
        <v>-3.6</v>
      </c>
      <c r="G20">
        <v>0</v>
      </c>
      <c r="H20">
        <v>0</v>
      </c>
      <c r="I20">
        <v>3</v>
      </c>
      <c r="J20">
        <v>104</v>
      </c>
      <c r="K20">
        <v>9.6999999999999993</v>
      </c>
      <c r="L20">
        <v>0</v>
      </c>
      <c r="M20">
        <v>0</v>
      </c>
      <c r="N20">
        <v>1012.5</v>
      </c>
      <c r="O20" s="2">
        <v>45984.791666666664</v>
      </c>
    </row>
    <row r="21" spans="1:15" x14ac:dyDescent="0.35">
      <c r="A21" s="1" t="s">
        <v>35</v>
      </c>
      <c r="B21" s="1" t="s">
        <v>16</v>
      </c>
      <c r="C21" s="2">
        <v>45984.791666666664</v>
      </c>
      <c r="D21">
        <v>1</v>
      </c>
      <c r="E21">
        <v>77</v>
      </c>
      <c r="F21">
        <v>-2.6</v>
      </c>
      <c r="G21">
        <v>0</v>
      </c>
      <c r="H21">
        <v>0</v>
      </c>
      <c r="I21">
        <v>5.0999999999999996</v>
      </c>
      <c r="J21">
        <v>129</v>
      </c>
      <c r="K21">
        <v>7.9</v>
      </c>
      <c r="L21">
        <v>0</v>
      </c>
      <c r="M21">
        <v>0</v>
      </c>
      <c r="N21">
        <v>1011.8</v>
      </c>
      <c r="O21" s="2">
        <v>45984.833333333336</v>
      </c>
    </row>
    <row r="22" spans="1:15" x14ac:dyDescent="0.35">
      <c r="A22" s="1" t="s">
        <v>36</v>
      </c>
      <c r="B22" s="1" t="s">
        <v>16</v>
      </c>
      <c r="C22" s="2">
        <v>45984.833333333336</v>
      </c>
      <c r="D22">
        <v>0.3</v>
      </c>
      <c r="E22">
        <v>87</v>
      </c>
      <c r="F22">
        <v>-1.6</v>
      </c>
      <c r="G22">
        <v>0.4</v>
      </c>
      <c r="H22">
        <v>7.0000000000000007E-2</v>
      </c>
      <c r="I22">
        <v>5.4</v>
      </c>
      <c r="J22">
        <v>94</v>
      </c>
      <c r="K22">
        <v>8.3000000000000007</v>
      </c>
      <c r="L22">
        <v>0</v>
      </c>
      <c r="M22">
        <v>0</v>
      </c>
      <c r="N22">
        <v>1011.5</v>
      </c>
      <c r="O22" s="2">
        <v>45984.875</v>
      </c>
    </row>
    <row r="23" spans="1:15" x14ac:dyDescent="0.35">
      <c r="A23" s="1" t="s">
        <v>37</v>
      </c>
      <c r="B23" s="1" t="s">
        <v>16</v>
      </c>
      <c r="C23" s="2">
        <v>45984.875</v>
      </c>
      <c r="D23">
        <v>0.5</v>
      </c>
      <c r="E23">
        <v>88</v>
      </c>
      <c r="F23">
        <v>-1.2</v>
      </c>
      <c r="G23">
        <v>2.1</v>
      </c>
      <c r="H23">
        <v>7.0000000000000007E-2</v>
      </c>
      <c r="I23">
        <v>5.4</v>
      </c>
      <c r="J23">
        <v>127</v>
      </c>
      <c r="K23">
        <v>11.9</v>
      </c>
      <c r="L23">
        <v>0</v>
      </c>
      <c r="M23">
        <v>0</v>
      </c>
      <c r="N23">
        <v>1010.3</v>
      </c>
      <c r="O23" s="2">
        <v>45984.916666666664</v>
      </c>
    </row>
    <row r="24" spans="1:15" x14ac:dyDescent="0.35">
      <c r="A24" s="1" t="s">
        <v>38</v>
      </c>
      <c r="B24" s="1" t="s">
        <v>16</v>
      </c>
      <c r="C24" s="2">
        <v>45984.916666666664</v>
      </c>
      <c r="D24">
        <v>1</v>
      </c>
      <c r="E24">
        <v>88</v>
      </c>
      <c r="F24">
        <v>-0.7</v>
      </c>
      <c r="G24">
        <v>2</v>
      </c>
      <c r="H24">
        <v>0</v>
      </c>
      <c r="I24">
        <v>2.5</v>
      </c>
      <c r="J24">
        <v>135</v>
      </c>
      <c r="K24">
        <v>10.4</v>
      </c>
      <c r="L24">
        <v>0</v>
      </c>
      <c r="M24">
        <v>0</v>
      </c>
      <c r="N24">
        <v>1009.1</v>
      </c>
      <c r="O24" s="2">
        <v>45984.958333333336</v>
      </c>
    </row>
    <row r="25" spans="1:15" x14ac:dyDescent="0.35">
      <c r="A25" s="1" t="s">
        <v>39</v>
      </c>
      <c r="B25" s="1" t="s">
        <v>16</v>
      </c>
      <c r="C25" s="2">
        <v>45984.958333333336</v>
      </c>
      <c r="D25">
        <v>1.3</v>
      </c>
      <c r="E25">
        <v>90</v>
      </c>
      <c r="F25">
        <v>-0.2</v>
      </c>
      <c r="G25">
        <v>1.7</v>
      </c>
      <c r="H25">
        <v>0</v>
      </c>
      <c r="I25">
        <v>4.7</v>
      </c>
      <c r="J25">
        <v>94</v>
      </c>
      <c r="K25">
        <v>9</v>
      </c>
      <c r="L25">
        <v>0</v>
      </c>
      <c r="M25">
        <v>0</v>
      </c>
      <c r="N25">
        <v>1007.8</v>
      </c>
      <c r="O25" s="2">
        <v>45985</v>
      </c>
    </row>
    <row r="26" spans="1:15" x14ac:dyDescent="0.35">
      <c r="A26" s="1" t="s">
        <v>40</v>
      </c>
      <c r="B26" s="1" t="s">
        <v>16</v>
      </c>
      <c r="C26" s="2">
        <v>45985</v>
      </c>
      <c r="D26">
        <v>1.4</v>
      </c>
      <c r="E26">
        <v>92</v>
      </c>
      <c r="F26">
        <v>0.2</v>
      </c>
      <c r="G26">
        <v>1.6</v>
      </c>
      <c r="H26">
        <v>0</v>
      </c>
      <c r="I26">
        <v>3.7</v>
      </c>
      <c r="J26">
        <v>101</v>
      </c>
      <c r="K26">
        <v>7.2</v>
      </c>
      <c r="L26">
        <v>0</v>
      </c>
      <c r="M26">
        <v>0</v>
      </c>
      <c r="N26">
        <v>1007.1</v>
      </c>
      <c r="O26" s="2">
        <v>45985.041666666664</v>
      </c>
    </row>
    <row r="27" spans="1:15" x14ac:dyDescent="0.35">
      <c r="A27" s="1" t="s">
        <v>41</v>
      </c>
      <c r="B27" s="1" t="s">
        <v>16</v>
      </c>
      <c r="C27" s="2">
        <v>45985.041666666664</v>
      </c>
      <c r="D27">
        <v>1.4</v>
      </c>
      <c r="E27">
        <v>94</v>
      </c>
      <c r="F27">
        <v>0.6</v>
      </c>
      <c r="G27">
        <v>1.6</v>
      </c>
      <c r="H27">
        <v>0</v>
      </c>
      <c r="I27">
        <v>4</v>
      </c>
      <c r="J27">
        <v>90</v>
      </c>
      <c r="K27">
        <v>6.1</v>
      </c>
      <c r="L27">
        <v>0</v>
      </c>
      <c r="M27">
        <v>0</v>
      </c>
      <c r="N27">
        <v>1006.9</v>
      </c>
      <c r="O27" s="2">
        <v>45985.083333333336</v>
      </c>
    </row>
    <row r="28" spans="1:15" x14ac:dyDescent="0.35">
      <c r="A28" s="1" t="s">
        <v>42</v>
      </c>
      <c r="B28" s="1" t="s">
        <v>16</v>
      </c>
      <c r="C28" s="2">
        <v>45985.083333333336</v>
      </c>
      <c r="D28">
        <v>1.6</v>
      </c>
      <c r="E28">
        <v>94</v>
      </c>
      <c r="F28">
        <v>0.7</v>
      </c>
      <c r="G28">
        <v>1.5</v>
      </c>
      <c r="H28">
        <v>0</v>
      </c>
      <c r="I28">
        <v>3.7</v>
      </c>
      <c r="J28">
        <v>79</v>
      </c>
      <c r="K28">
        <v>6.1</v>
      </c>
      <c r="L28">
        <v>0</v>
      </c>
      <c r="M28">
        <v>0</v>
      </c>
      <c r="N28">
        <v>1006.8</v>
      </c>
      <c r="O28" s="2">
        <v>45985.125</v>
      </c>
    </row>
    <row r="29" spans="1:15" x14ac:dyDescent="0.35">
      <c r="A29" s="1" t="s">
        <v>43</v>
      </c>
      <c r="B29" s="1" t="s">
        <v>16</v>
      </c>
      <c r="C29" s="2">
        <v>45985.125</v>
      </c>
      <c r="D29">
        <v>1.8</v>
      </c>
      <c r="E29">
        <v>96</v>
      </c>
      <c r="F29">
        <v>1.2</v>
      </c>
      <c r="G29">
        <v>2.2000000000000002</v>
      </c>
      <c r="H29">
        <v>0</v>
      </c>
      <c r="I29">
        <v>3.6</v>
      </c>
      <c r="J29">
        <v>84</v>
      </c>
      <c r="K29">
        <v>6.1</v>
      </c>
      <c r="L29">
        <v>0</v>
      </c>
      <c r="M29">
        <v>0</v>
      </c>
      <c r="N29">
        <v>1006.5</v>
      </c>
      <c r="O29" s="2">
        <v>45985.166666666664</v>
      </c>
    </row>
    <row r="30" spans="1:15" x14ac:dyDescent="0.35">
      <c r="A30" s="1" t="s">
        <v>44</v>
      </c>
      <c r="B30" s="1" t="s">
        <v>16</v>
      </c>
      <c r="C30" s="2">
        <v>45985.166666666664</v>
      </c>
      <c r="D30">
        <v>1.8</v>
      </c>
      <c r="E30">
        <v>98</v>
      </c>
      <c r="F30">
        <v>1.5</v>
      </c>
      <c r="G30">
        <v>2.4</v>
      </c>
      <c r="H30">
        <v>0</v>
      </c>
      <c r="I30">
        <v>4.7</v>
      </c>
      <c r="J30">
        <v>113</v>
      </c>
      <c r="K30">
        <v>7.2</v>
      </c>
      <c r="L30">
        <v>0</v>
      </c>
      <c r="M30">
        <v>0</v>
      </c>
      <c r="N30">
        <v>1005.8</v>
      </c>
      <c r="O30" s="2">
        <v>45985.208333333336</v>
      </c>
    </row>
    <row r="31" spans="1:15" x14ac:dyDescent="0.35">
      <c r="A31" s="1" t="s">
        <v>45</v>
      </c>
      <c r="B31" s="1" t="s">
        <v>16</v>
      </c>
      <c r="C31" s="2">
        <v>45985.208333333336</v>
      </c>
      <c r="D31">
        <v>1.9</v>
      </c>
      <c r="E31">
        <v>98</v>
      </c>
      <c r="F31">
        <v>1.6</v>
      </c>
      <c r="G31">
        <v>2.7</v>
      </c>
      <c r="H31">
        <v>0</v>
      </c>
      <c r="I31">
        <v>4.5</v>
      </c>
      <c r="J31">
        <v>119</v>
      </c>
      <c r="K31">
        <v>7.9</v>
      </c>
      <c r="L31">
        <v>0</v>
      </c>
      <c r="M31">
        <v>0</v>
      </c>
      <c r="N31">
        <v>1005.4</v>
      </c>
      <c r="O31" s="2">
        <v>45985.25</v>
      </c>
    </row>
    <row r="32" spans="1:15" x14ac:dyDescent="0.35">
      <c r="A32" s="1" t="s">
        <v>46</v>
      </c>
      <c r="B32" s="1" t="s">
        <v>16</v>
      </c>
      <c r="C32" s="2">
        <v>45985.25</v>
      </c>
      <c r="D32">
        <v>2.1</v>
      </c>
      <c r="E32">
        <v>98</v>
      </c>
      <c r="F32">
        <v>1.8</v>
      </c>
      <c r="G32">
        <v>2.6</v>
      </c>
      <c r="H32">
        <v>0</v>
      </c>
      <c r="I32">
        <v>4.4000000000000004</v>
      </c>
      <c r="J32">
        <v>125</v>
      </c>
      <c r="K32">
        <v>7.6</v>
      </c>
      <c r="L32">
        <v>0</v>
      </c>
      <c r="M32">
        <v>0</v>
      </c>
      <c r="N32">
        <v>1005</v>
      </c>
      <c r="O32" s="2">
        <v>45985.291666666664</v>
      </c>
    </row>
    <row r="33" spans="1:15" x14ac:dyDescent="0.35">
      <c r="A33" s="1" t="s">
        <v>47</v>
      </c>
      <c r="B33" s="1" t="s">
        <v>16</v>
      </c>
      <c r="C33" s="2">
        <v>45985.291666666664</v>
      </c>
      <c r="D33">
        <v>2.2000000000000002</v>
      </c>
      <c r="E33">
        <v>98</v>
      </c>
      <c r="F33">
        <v>1.9</v>
      </c>
      <c r="G33">
        <v>2.8</v>
      </c>
      <c r="H33">
        <v>0</v>
      </c>
      <c r="I33">
        <v>4.5999999999999996</v>
      </c>
      <c r="J33">
        <v>129</v>
      </c>
      <c r="K33">
        <v>7.2</v>
      </c>
      <c r="L33">
        <v>0</v>
      </c>
      <c r="M33">
        <v>0</v>
      </c>
      <c r="N33">
        <v>1004.7</v>
      </c>
      <c r="O33" s="2">
        <v>45985.333333333336</v>
      </c>
    </row>
    <row r="34" spans="1:15" x14ac:dyDescent="0.35">
      <c r="A34" s="1" t="s">
        <v>48</v>
      </c>
      <c r="B34" s="1" t="s">
        <v>16</v>
      </c>
      <c r="C34" s="2">
        <v>45985.333333333336</v>
      </c>
      <c r="D34">
        <v>2.4</v>
      </c>
      <c r="E34">
        <v>98</v>
      </c>
      <c r="F34">
        <v>2.1</v>
      </c>
      <c r="G34">
        <v>2.8</v>
      </c>
      <c r="H34">
        <v>0</v>
      </c>
      <c r="I34">
        <v>4.9000000000000004</v>
      </c>
      <c r="J34">
        <v>126</v>
      </c>
      <c r="K34">
        <v>8.6</v>
      </c>
      <c r="L34">
        <v>0.2</v>
      </c>
      <c r="M34">
        <v>0</v>
      </c>
      <c r="N34">
        <v>1004.4</v>
      </c>
      <c r="O34" s="2">
        <v>45985.375</v>
      </c>
    </row>
    <row r="35" spans="1:15" x14ac:dyDescent="0.35">
      <c r="A35" s="1" t="s">
        <v>49</v>
      </c>
      <c r="B35" s="1" t="s">
        <v>16</v>
      </c>
      <c r="C35" s="2">
        <v>45985.375</v>
      </c>
      <c r="D35">
        <v>2.5</v>
      </c>
      <c r="E35">
        <v>98</v>
      </c>
      <c r="F35">
        <v>2.2000000000000002</v>
      </c>
      <c r="G35">
        <v>3</v>
      </c>
      <c r="H35">
        <v>0</v>
      </c>
      <c r="I35">
        <v>3.6</v>
      </c>
      <c r="J35">
        <v>84</v>
      </c>
      <c r="K35">
        <v>7.9</v>
      </c>
      <c r="L35">
        <v>10</v>
      </c>
      <c r="M35">
        <v>0</v>
      </c>
      <c r="N35">
        <v>1004.1</v>
      </c>
      <c r="O35" s="2">
        <v>45985.416666666664</v>
      </c>
    </row>
    <row r="36" spans="1:15" x14ac:dyDescent="0.35">
      <c r="A36" s="1" t="s">
        <v>50</v>
      </c>
      <c r="B36" s="1" t="s">
        <v>16</v>
      </c>
      <c r="C36" s="2">
        <v>45985.416666666664</v>
      </c>
      <c r="D36">
        <v>2.7</v>
      </c>
      <c r="E36">
        <v>98</v>
      </c>
      <c r="F36">
        <v>2.4</v>
      </c>
      <c r="G36">
        <v>2.7</v>
      </c>
      <c r="H36">
        <v>0</v>
      </c>
      <c r="I36">
        <v>3.7</v>
      </c>
      <c r="J36">
        <v>79</v>
      </c>
      <c r="K36">
        <v>6.5</v>
      </c>
      <c r="L36">
        <v>25.2</v>
      </c>
      <c r="M36">
        <v>0</v>
      </c>
      <c r="N36">
        <v>1003.7</v>
      </c>
      <c r="O36" s="2">
        <v>45985.458333333336</v>
      </c>
    </row>
    <row r="37" spans="1:15" x14ac:dyDescent="0.35">
      <c r="A37" s="1" t="s">
        <v>51</v>
      </c>
      <c r="B37" s="1" t="s">
        <v>16</v>
      </c>
      <c r="C37" s="2">
        <v>45985.458333333336</v>
      </c>
      <c r="D37">
        <v>3.1</v>
      </c>
      <c r="E37">
        <v>98</v>
      </c>
      <c r="F37">
        <v>2.8</v>
      </c>
      <c r="G37">
        <v>2.4</v>
      </c>
      <c r="H37">
        <v>0</v>
      </c>
      <c r="I37">
        <v>2.5</v>
      </c>
      <c r="J37">
        <v>98</v>
      </c>
      <c r="K37">
        <v>6.5</v>
      </c>
      <c r="L37">
        <v>36</v>
      </c>
      <c r="M37">
        <v>0</v>
      </c>
      <c r="N37">
        <v>1002.9</v>
      </c>
      <c r="O37" s="2">
        <v>45985.5</v>
      </c>
    </row>
    <row r="38" spans="1:15" x14ac:dyDescent="0.35">
      <c r="A38" s="1" t="s">
        <v>52</v>
      </c>
      <c r="B38" s="1" t="s">
        <v>16</v>
      </c>
      <c r="C38" s="2">
        <v>45985.5</v>
      </c>
      <c r="D38">
        <v>3.6</v>
      </c>
      <c r="E38">
        <v>98</v>
      </c>
      <c r="F38">
        <v>3.3</v>
      </c>
      <c r="G38">
        <v>2.1</v>
      </c>
      <c r="H38">
        <v>0</v>
      </c>
      <c r="I38">
        <v>1.5</v>
      </c>
      <c r="J38">
        <v>135</v>
      </c>
      <c r="K38">
        <v>3.2</v>
      </c>
      <c r="L38">
        <v>58.5</v>
      </c>
      <c r="M38">
        <v>0</v>
      </c>
      <c r="N38">
        <v>1001.5</v>
      </c>
      <c r="O38" s="2">
        <v>45985.541666666664</v>
      </c>
    </row>
    <row r="39" spans="1:15" x14ac:dyDescent="0.35">
      <c r="A39" s="1" t="s">
        <v>53</v>
      </c>
      <c r="B39" s="1" t="s">
        <v>16</v>
      </c>
      <c r="C39" s="2">
        <v>45985.541666666664</v>
      </c>
      <c r="D39">
        <v>3.9</v>
      </c>
      <c r="E39">
        <v>97</v>
      </c>
      <c r="F39">
        <v>3.5</v>
      </c>
      <c r="G39">
        <v>1.5</v>
      </c>
      <c r="H39">
        <v>0</v>
      </c>
      <c r="I39">
        <v>2.1</v>
      </c>
      <c r="J39">
        <v>121</v>
      </c>
      <c r="K39">
        <v>4.7</v>
      </c>
      <c r="L39">
        <v>72.5</v>
      </c>
      <c r="M39">
        <v>0</v>
      </c>
      <c r="N39">
        <v>1000.3</v>
      </c>
      <c r="O39" s="2">
        <v>45985.583333333336</v>
      </c>
    </row>
    <row r="40" spans="1:15" x14ac:dyDescent="0.35">
      <c r="A40" s="1" t="s">
        <v>54</v>
      </c>
      <c r="B40" s="1" t="s">
        <v>16</v>
      </c>
      <c r="C40" s="2">
        <v>45985.583333333336</v>
      </c>
      <c r="D40">
        <v>4.4000000000000004</v>
      </c>
      <c r="E40">
        <v>97</v>
      </c>
      <c r="F40">
        <v>4</v>
      </c>
      <c r="G40">
        <v>1.2</v>
      </c>
      <c r="H40">
        <v>0</v>
      </c>
      <c r="I40">
        <v>2.8</v>
      </c>
      <c r="J40">
        <v>130</v>
      </c>
      <c r="K40">
        <v>5.8</v>
      </c>
      <c r="L40">
        <v>76.8</v>
      </c>
      <c r="M40">
        <v>0</v>
      </c>
      <c r="N40">
        <v>999.2</v>
      </c>
      <c r="O40" s="2">
        <v>45985.625</v>
      </c>
    </row>
    <row r="41" spans="1:15" x14ac:dyDescent="0.35">
      <c r="A41" s="1" t="s">
        <v>55</v>
      </c>
      <c r="B41" s="1" t="s">
        <v>16</v>
      </c>
      <c r="C41" s="2">
        <v>45985.625</v>
      </c>
      <c r="D41">
        <v>4.4000000000000004</v>
      </c>
      <c r="E41">
        <v>96</v>
      </c>
      <c r="F41">
        <v>3.8</v>
      </c>
      <c r="G41">
        <v>1</v>
      </c>
      <c r="H41">
        <v>0</v>
      </c>
      <c r="I41">
        <v>2.2000000000000002</v>
      </c>
      <c r="J41">
        <v>81</v>
      </c>
      <c r="K41">
        <v>3.6</v>
      </c>
      <c r="L41">
        <v>44</v>
      </c>
      <c r="M41">
        <v>0</v>
      </c>
      <c r="N41">
        <v>998.9</v>
      </c>
      <c r="O41" s="2">
        <v>45985.666666666664</v>
      </c>
    </row>
    <row r="42" spans="1:15" x14ac:dyDescent="0.35">
      <c r="A42" s="1" t="s">
        <v>56</v>
      </c>
      <c r="B42" s="1" t="s">
        <v>16</v>
      </c>
      <c r="C42" s="2">
        <v>45985.666666666664</v>
      </c>
      <c r="D42">
        <v>4.2</v>
      </c>
      <c r="E42">
        <v>96</v>
      </c>
      <c r="F42">
        <v>3.6</v>
      </c>
      <c r="G42">
        <v>1.7</v>
      </c>
      <c r="H42">
        <v>0</v>
      </c>
      <c r="I42">
        <v>1.8</v>
      </c>
      <c r="J42">
        <v>101</v>
      </c>
      <c r="K42">
        <v>3.2</v>
      </c>
      <c r="L42">
        <v>21.5</v>
      </c>
      <c r="M42">
        <v>0</v>
      </c>
      <c r="N42">
        <v>998.7</v>
      </c>
      <c r="O42" s="2">
        <v>45985.708333333336</v>
      </c>
    </row>
    <row r="43" spans="1:15" x14ac:dyDescent="0.35">
      <c r="A43" s="1" t="s">
        <v>57</v>
      </c>
      <c r="B43" s="1" t="s">
        <v>16</v>
      </c>
      <c r="C43" s="2">
        <v>45985.708333333336</v>
      </c>
      <c r="D43">
        <v>3.7</v>
      </c>
      <c r="E43">
        <v>97</v>
      </c>
      <c r="F43">
        <v>3.3</v>
      </c>
      <c r="G43">
        <v>2.1</v>
      </c>
      <c r="H43">
        <v>0</v>
      </c>
      <c r="I43">
        <v>1.9</v>
      </c>
      <c r="J43">
        <v>68</v>
      </c>
      <c r="K43">
        <v>2.5</v>
      </c>
      <c r="L43">
        <v>3.2</v>
      </c>
      <c r="M43">
        <v>0</v>
      </c>
      <c r="N43">
        <v>998.3</v>
      </c>
      <c r="O43" s="2">
        <v>45985.75</v>
      </c>
    </row>
    <row r="44" spans="1:15" x14ac:dyDescent="0.35">
      <c r="A44" s="1" t="s">
        <v>58</v>
      </c>
      <c r="B44" s="1" t="s">
        <v>16</v>
      </c>
      <c r="C44" s="2">
        <v>45985.75</v>
      </c>
      <c r="D44">
        <v>3.2</v>
      </c>
      <c r="E44">
        <v>97</v>
      </c>
      <c r="F44">
        <v>2.8</v>
      </c>
      <c r="G44">
        <v>3.2</v>
      </c>
      <c r="H44">
        <v>0</v>
      </c>
      <c r="I44">
        <v>2.2999999999999998</v>
      </c>
      <c r="J44">
        <v>72</v>
      </c>
      <c r="K44">
        <v>3.2</v>
      </c>
      <c r="L44">
        <v>0</v>
      </c>
      <c r="M44">
        <v>0</v>
      </c>
      <c r="N44">
        <v>998.6</v>
      </c>
      <c r="O44" s="2">
        <v>45985.791666666664</v>
      </c>
    </row>
    <row r="45" spans="1:15" x14ac:dyDescent="0.35">
      <c r="A45" s="1" t="s">
        <v>59</v>
      </c>
      <c r="B45" s="1" t="s">
        <v>16</v>
      </c>
      <c r="C45" s="2">
        <v>45985.791666666664</v>
      </c>
      <c r="D45">
        <v>3.5</v>
      </c>
      <c r="E45">
        <v>98</v>
      </c>
      <c r="F45">
        <v>3.2</v>
      </c>
      <c r="G45">
        <v>3.9</v>
      </c>
      <c r="H45">
        <v>0</v>
      </c>
      <c r="I45">
        <v>2.2000000000000002</v>
      </c>
      <c r="J45">
        <v>90</v>
      </c>
      <c r="K45">
        <v>5.4</v>
      </c>
      <c r="L45">
        <v>0</v>
      </c>
      <c r="M45">
        <v>0</v>
      </c>
      <c r="N45">
        <v>999</v>
      </c>
      <c r="O45" s="2">
        <v>45985.833333333336</v>
      </c>
    </row>
    <row r="46" spans="1:15" x14ac:dyDescent="0.35">
      <c r="A46" s="1" t="s">
        <v>60</v>
      </c>
      <c r="B46" s="1" t="s">
        <v>16</v>
      </c>
      <c r="C46" s="2">
        <v>45985.833333333336</v>
      </c>
      <c r="D46">
        <v>3.6</v>
      </c>
      <c r="E46">
        <v>99</v>
      </c>
      <c r="F46">
        <v>3.4</v>
      </c>
      <c r="G46">
        <v>4.7</v>
      </c>
      <c r="H46">
        <v>0</v>
      </c>
      <c r="I46">
        <v>2.6</v>
      </c>
      <c r="J46">
        <v>74</v>
      </c>
      <c r="K46">
        <v>5.4</v>
      </c>
      <c r="L46">
        <v>0</v>
      </c>
      <c r="M46">
        <v>0</v>
      </c>
      <c r="N46">
        <v>999.6</v>
      </c>
      <c r="O46" s="2">
        <v>45985.875</v>
      </c>
    </row>
    <row r="47" spans="1:15" x14ac:dyDescent="0.35">
      <c r="A47" s="1" t="s">
        <v>61</v>
      </c>
      <c r="B47" s="1" t="s">
        <v>16</v>
      </c>
      <c r="C47" s="2">
        <v>45985.875</v>
      </c>
      <c r="D47">
        <v>3.5</v>
      </c>
      <c r="E47">
        <v>96</v>
      </c>
      <c r="F47">
        <v>2.9</v>
      </c>
      <c r="G47">
        <v>3.4</v>
      </c>
      <c r="H47">
        <v>0</v>
      </c>
      <c r="I47">
        <v>8.4</v>
      </c>
      <c r="J47">
        <v>335</v>
      </c>
      <c r="K47">
        <v>15.5</v>
      </c>
      <c r="L47">
        <v>0</v>
      </c>
      <c r="M47">
        <v>0</v>
      </c>
      <c r="N47">
        <v>1000.4</v>
      </c>
      <c r="O47" s="2">
        <v>45985.916666666664</v>
      </c>
    </row>
    <row r="48" spans="1:15" x14ac:dyDescent="0.35">
      <c r="A48" s="1" t="s">
        <v>62</v>
      </c>
      <c r="B48" s="1" t="s">
        <v>16</v>
      </c>
      <c r="C48" s="2">
        <v>45985.916666666664</v>
      </c>
      <c r="D48">
        <v>3.5</v>
      </c>
      <c r="E48">
        <v>91</v>
      </c>
      <c r="F48">
        <v>2.1</v>
      </c>
      <c r="G48">
        <v>1.1000000000000001</v>
      </c>
      <c r="H48">
        <v>0</v>
      </c>
      <c r="I48">
        <v>1.1000000000000001</v>
      </c>
      <c r="J48">
        <v>72</v>
      </c>
      <c r="K48">
        <v>13</v>
      </c>
      <c r="L48">
        <v>0</v>
      </c>
      <c r="M48">
        <v>0</v>
      </c>
      <c r="N48">
        <v>1000.9</v>
      </c>
      <c r="O48" s="2">
        <v>45985.958333333336</v>
      </c>
    </row>
    <row r="49" spans="1:15" x14ac:dyDescent="0.35">
      <c r="A49" s="1" t="s">
        <v>63</v>
      </c>
      <c r="B49" s="1" t="s">
        <v>16</v>
      </c>
      <c r="C49" s="2">
        <v>45985.958333333336</v>
      </c>
      <c r="D49">
        <v>3.3</v>
      </c>
      <c r="E49">
        <v>92</v>
      </c>
      <c r="F49">
        <v>2.1</v>
      </c>
      <c r="G49">
        <v>0.6</v>
      </c>
      <c r="H49">
        <v>0</v>
      </c>
      <c r="I49">
        <v>3.1</v>
      </c>
      <c r="J49">
        <v>135</v>
      </c>
      <c r="K49">
        <v>5.4</v>
      </c>
      <c r="L49">
        <v>0</v>
      </c>
      <c r="M49">
        <v>0</v>
      </c>
      <c r="N49">
        <v>1001.4</v>
      </c>
      <c r="O49" s="2">
        <v>45986</v>
      </c>
    </row>
    <row r="50" spans="1:15" x14ac:dyDescent="0.35">
      <c r="A50" s="1" t="s">
        <v>64</v>
      </c>
      <c r="B50" s="1" t="s">
        <v>16</v>
      </c>
      <c r="C50" s="2">
        <v>45986</v>
      </c>
      <c r="D50">
        <v>2.7</v>
      </c>
      <c r="E50">
        <v>95</v>
      </c>
      <c r="F50">
        <v>2</v>
      </c>
      <c r="G50">
        <v>0.4</v>
      </c>
      <c r="H50">
        <v>0</v>
      </c>
      <c r="I50">
        <v>3.5</v>
      </c>
      <c r="J50">
        <v>114</v>
      </c>
      <c r="K50">
        <v>5.8</v>
      </c>
      <c r="L50">
        <v>0</v>
      </c>
      <c r="M50">
        <v>0</v>
      </c>
      <c r="N50">
        <v>1002.1</v>
      </c>
      <c r="O50" s="2">
        <v>45986.041666666664</v>
      </c>
    </row>
    <row r="51" spans="1:15" x14ac:dyDescent="0.35">
      <c r="A51" s="1" t="s">
        <v>65</v>
      </c>
      <c r="B51" s="1" t="s">
        <v>16</v>
      </c>
      <c r="C51" s="2">
        <v>45986.041666666664</v>
      </c>
      <c r="D51">
        <v>2.6</v>
      </c>
      <c r="E51">
        <v>95</v>
      </c>
      <c r="F51">
        <v>1.9</v>
      </c>
      <c r="G51">
        <v>0.6</v>
      </c>
      <c r="H51">
        <v>0</v>
      </c>
      <c r="I51">
        <v>5.4</v>
      </c>
      <c r="J51">
        <v>110</v>
      </c>
      <c r="K51">
        <v>8.6</v>
      </c>
      <c r="L51">
        <v>0</v>
      </c>
      <c r="M51">
        <v>0</v>
      </c>
      <c r="N51">
        <v>1002.5</v>
      </c>
      <c r="O51" s="2">
        <v>45986.083333333336</v>
      </c>
    </row>
    <row r="52" spans="1:15" x14ac:dyDescent="0.35">
      <c r="A52" s="1" t="s">
        <v>66</v>
      </c>
      <c r="B52" s="1" t="s">
        <v>16</v>
      </c>
      <c r="C52" s="2">
        <v>45986.083333333336</v>
      </c>
      <c r="D52">
        <v>2.7</v>
      </c>
      <c r="E52">
        <v>93</v>
      </c>
      <c r="F52">
        <v>1.7</v>
      </c>
      <c r="G52">
        <v>0.1</v>
      </c>
      <c r="H52">
        <v>0</v>
      </c>
      <c r="I52">
        <v>5.8</v>
      </c>
      <c r="J52">
        <v>120</v>
      </c>
      <c r="K52">
        <v>10.4</v>
      </c>
      <c r="L52">
        <v>0</v>
      </c>
      <c r="M52">
        <v>0</v>
      </c>
      <c r="N52">
        <v>1002.5</v>
      </c>
      <c r="O52" s="2">
        <v>45986.125</v>
      </c>
    </row>
    <row r="53" spans="1:15" x14ac:dyDescent="0.35">
      <c r="A53" s="1" t="s">
        <v>67</v>
      </c>
      <c r="B53" s="1" t="s">
        <v>16</v>
      </c>
      <c r="C53" s="2">
        <v>45986.125</v>
      </c>
      <c r="D53">
        <v>3</v>
      </c>
      <c r="E53">
        <v>93</v>
      </c>
      <c r="F53">
        <v>2</v>
      </c>
      <c r="G53">
        <v>0.2</v>
      </c>
      <c r="H53">
        <v>0</v>
      </c>
      <c r="I53">
        <v>5.4</v>
      </c>
      <c r="J53">
        <v>110</v>
      </c>
      <c r="K53">
        <v>9</v>
      </c>
      <c r="L53">
        <v>0</v>
      </c>
      <c r="M53">
        <v>0</v>
      </c>
      <c r="N53">
        <v>1002.1</v>
      </c>
      <c r="O53" s="2">
        <v>45986.166666666664</v>
      </c>
    </row>
    <row r="54" spans="1:15" x14ac:dyDescent="0.35">
      <c r="A54" s="1" t="s">
        <v>68</v>
      </c>
      <c r="B54" s="1" t="s">
        <v>16</v>
      </c>
      <c r="C54" s="2">
        <v>45986.166666666664</v>
      </c>
      <c r="D54">
        <v>2.6</v>
      </c>
      <c r="E54">
        <v>94</v>
      </c>
      <c r="F54">
        <v>1.7</v>
      </c>
      <c r="G54">
        <v>0</v>
      </c>
      <c r="H54">
        <v>0</v>
      </c>
      <c r="I54">
        <v>5.8</v>
      </c>
      <c r="J54">
        <v>112</v>
      </c>
      <c r="K54">
        <v>9.4</v>
      </c>
      <c r="L54">
        <v>0</v>
      </c>
      <c r="M54">
        <v>0</v>
      </c>
      <c r="N54">
        <v>1001.9</v>
      </c>
      <c r="O54" s="2">
        <v>45986.208333333336</v>
      </c>
    </row>
    <row r="55" spans="1:15" x14ac:dyDescent="0.35">
      <c r="A55" s="1" t="s">
        <v>69</v>
      </c>
      <c r="B55" s="1" t="s">
        <v>16</v>
      </c>
      <c r="C55" s="2">
        <v>45986.208333333336</v>
      </c>
      <c r="D55">
        <v>2.4</v>
      </c>
      <c r="E55">
        <v>95</v>
      </c>
      <c r="F55">
        <v>1.7</v>
      </c>
      <c r="G55">
        <v>0</v>
      </c>
      <c r="H55">
        <v>0</v>
      </c>
      <c r="I55">
        <v>5.2</v>
      </c>
      <c r="J55">
        <v>124</v>
      </c>
      <c r="K55">
        <v>11.5</v>
      </c>
      <c r="L55">
        <v>0</v>
      </c>
      <c r="M55">
        <v>0</v>
      </c>
      <c r="N55">
        <v>1002.3</v>
      </c>
      <c r="O55" s="2">
        <v>45986.25</v>
      </c>
    </row>
    <row r="56" spans="1:15" x14ac:dyDescent="0.35">
      <c r="A56" s="1" t="s">
        <v>70</v>
      </c>
      <c r="B56" s="1" t="s">
        <v>16</v>
      </c>
      <c r="C56" s="2">
        <v>45986.25</v>
      </c>
      <c r="D56">
        <v>1.9</v>
      </c>
      <c r="E56">
        <v>96</v>
      </c>
      <c r="F56">
        <v>1.3</v>
      </c>
      <c r="G56">
        <v>0</v>
      </c>
      <c r="H56">
        <v>0</v>
      </c>
      <c r="I56">
        <v>4.2</v>
      </c>
      <c r="J56">
        <v>110</v>
      </c>
      <c r="K56">
        <v>9</v>
      </c>
      <c r="L56">
        <v>0</v>
      </c>
      <c r="M56">
        <v>0</v>
      </c>
      <c r="N56">
        <v>1002.5</v>
      </c>
      <c r="O56" s="2">
        <v>45986.291666666664</v>
      </c>
    </row>
    <row r="57" spans="1:15" x14ac:dyDescent="0.35">
      <c r="A57" s="1" t="s">
        <v>71</v>
      </c>
      <c r="B57" s="1" t="s">
        <v>16</v>
      </c>
      <c r="C57" s="2">
        <v>45986.291666666664</v>
      </c>
      <c r="D57">
        <v>2</v>
      </c>
      <c r="E57">
        <v>94</v>
      </c>
      <c r="F57">
        <v>1.2</v>
      </c>
      <c r="G57">
        <v>0.1</v>
      </c>
      <c r="H57">
        <v>0</v>
      </c>
      <c r="I57">
        <v>3.8</v>
      </c>
      <c r="J57">
        <v>131</v>
      </c>
      <c r="K57">
        <v>7.9</v>
      </c>
      <c r="L57">
        <v>0</v>
      </c>
      <c r="M57">
        <v>0</v>
      </c>
      <c r="N57">
        <v>1003</v>
      </c>
      <c r="O57" s="2">
        <v>45986.333333333336</v>
      </c>
    </row>
    <row r="58" spans="1:15" x14ac:dyDescent="0.35">
      <c r="A58" s="1" t="s">
        <v>72</v>
      </c>
      <c r="B58" s="1" t="s">
        <v>16</v>
      </c>
      <c r="C58" s="2">
        <v>45986.333333333336</v>
      </c>
      <c r="D58">
        <v>2.7</v>
      </c>
      <c r="E58">
        <v>92</v>
      </c>
      <c r="F58">
        <v>1.5</v>
      </c>
      <c r="G58">
        <v>0.3</v>
      </c>
      <c r="H58">
        <v>0</v>
      </c>
      <c r="I58">
        <v>4.2</v>
      </c>
      <c r="J58">
        <v>121</v>
      </c>
      <c r="K58">
        <v>6.8</v>
      </c>
      <c r="L58">
        <v>0.5</v>
      </c>
      <c r="M58">
        <v>0</v>
      </c>
      <c r="N58">
        <v>1003.3</v>
      </c>
      <c r="O58" s="2">
        <v>45986.375</v>
      </c>
    </row>
    <row r="59" spans="1:15" x14ac:dyDescent="0.35">
      <c r="A59" s="1" t="s">
        <v>73</v>
      </c>
      <c r="B59" s="1" t="s">
        <v>16</v>
      </c>
      <c r="C59" s="2">
        <v>45986.375</v>
      </c>
      <c r="D59">
        <v>3.1</v>
      </c>
      <c r="E59">
        <v>90</v>
      </c>
      <c r="F59">
        <v>1.6</v>
      </c>
      <c r="G59">
        <v>0.4</v>
      </c>
      <c r="H59">
        <v>0</v>
      </c>
      <c r="I59">
        <v>3.6</v>
      </c>
      <c r="J59">
        <v>143</v>
      </c>
      <c r="K59">
        <v>6.5</v>
      </c>
      <c r="L59">
        <v>14.8</v>
      </c>
      <c r="M59">
        <v>0</v>
      </c>
      <c r="N59">
        <v>1003.9</v>
      </c>
      <c r="O59" s="2">
        <v>45986.416666666664</v>
      </c>
    </row>
    <row r="60" spans="1:15" x14ac:dyDescent="0.35">
      <c r="A60" s="1" t="s">
        <v>74</v>
      </c>
      <c r="B60" s="1" t="s">
        <v>16</v>
      </c>
      <c r="C60" s="2">
        <v>45986.416666666664</v>
      </c>
      <c r="D60">
        <v>3.4</v>
      </c>
      <c r="E60">
        <v>90</v>
      </c>
      <c r="F60">
        <v>1.9</v>
      </c>
      <c r="G60">
        <v>0.5</v>
      </c>
      <c r="H60">
        <v>0</v>
      </c>
      <c r="I60">
        <v>5.0999999999999996</v>
      </c>
      <c r="J60">
        <v>129</v>
      </c>
      <c r="K60">
        <v>9</v>
      </c>
      <c r="L60">
        <v>46</v>
      </c>
      <c r="M60">
        <v>0</v>
      </c>
      <c r="N60">
        <v>1004.5</v>
      </c>
      <c r="O60" s="2">
        <v>45986.458333333336</v>
      </c>
    </row>
    <row r="61" spans="1:15" x14ac:dyDescent="0.35">
      <c r="A61" s="1" t="s">
        <v>75</v>
      </c>
      <c r="B61" s="1" t="s">
        <v>16</v>
      </c>
      <c r="C61" s="2">
        <v>45986.458333333336</v>
      </c>
      <c r="D61">
        <v>2.9</v>
      </c>
      <c r="E61">
        <v>91</v>
      </c>
      <c r="F61">
        <v>1.5</v>
      </c>
      <c r="G61">
        <v>0.1</v>
      </c>
      <c r="H61">
        <v>0</v>
      </c>
      <c r="I61">
        <v>4</v>
      </c>
      <c r="J61">
        <v>190</v>
      </c>
      <c r="K61">
        <v>8.6</v>
      </c>
      <c r="L61">
        <v>82</v>
      </c>
      <c r="M61">
        <v>0</v>
      </c>
      <c r="N61">
        <v>1004.8</v>
      </c>
      <c r="O61" s="2">
        <v>45986.5</v>
      </c>
    </row>
    <row r="62" spans="1:15" x14ac:dyDescent="0.35">
      <c r="A62" s="1" t="s">
        <v>76</v>
      </c>
      <c r="B62" s="1" t="s">
        <v>16</v>
      </c>
      <c r="C62" s="2">
        <v>45986.5</v>
      </c>
      <c r="D62">
        <v>3.3</v>
      </c>
      <c r="E62">
        <v>87</v>
      </c>
      <c r="F62">
        <v>1.3</v>
      </c>
      <c r="G62">
        <v>0.4</v>
      </c>
      <c r="H62">
        <v>0</v>
      </c>
      <c r="I62">
        <v>8.6999999999999993</v>
      </c>
      <c r="J62">
        <v>232</v>
      </c>
      <c r="K62">
        <v>16.600000000000001</v>
      </c>
      <c r="L62">
        <v>99</v>
      </c>
      <c r="M62">
        <v>0</v>
      </c>
      <c r="N62">
        <v>1004.8</v>
      </c>
      <c r="O62" s="2">
        <v>45986.541666666664</v>
      </c>
    </row>
    <row r="63" spans="1:15" x14ac:dyDescent="0.35">
      <c r="A63" s="1" t="s">
        <v>77</v>
      </c>
      <c r="B63" s="1" t="s">
        <v>16</v>
      </c>
      <c r="C63" s="2">
        <v>45986.541666666664</v>
      </c>
      <c r="D63">
        <v>3.8</v>
      </c>
      <c r="E63">
        <v>84</v>
      </c>
      <c r="F63">
        <v>1.4</v>
      </c>
      <c r="G63">
        <v>0.1</v>
      </c>
      <c r="H63">
        <v>0</v>
      </c>
      <c r="I63">
        <v>8.9</v>
      </c>
      <c r="J63">
        <v>230</v>
      </c>
      <c r="K63">
        <v>18.7</v>
      </c>
      <c r="L63">
        <v>114</v>
      </c>
      <c r="M63">
        <v>0</v>
      </c>
      <c r="N63">
        <v>1004.6</v>
      </c>
      <c r="O63" s="2">
        <v>45986.583333333336</v>
      </c>
    </row>
    <row r="64" spans="1:15" x14ac:dyDescent="0.35">
      <c r="A64" s="1" t="s">
        <v>78</v>
      </c>
      <c r="B64" s="1" t="s">
        <v>16</v>
      </c>
      <c r="C64" s="2">
        <v>45986.583333333336</v>
      </c>
      <c r="D64">
        <v>3.8</v>
      </c>
      <c r="E64">
        <v>87</v>
      </c>
      <c r="F64">
        <v>1.8</v>
      </c>
      <c r="G64">
        <v>0.3</v>
      </c>
      <c r="H64">
        <v>0</v>
      </c>
      <c r="I64">
        <v>12.1</v>
      </c>
      <c r="J64">
        <v>240</v>
      </c>
      <c r="K64">
        <v>22.7</v>
      </c>
      <c r="L64">
        <v>94</v>
      </c>
      <c r="M64">
        <v>0</v>
      </c>
      <c r="N64">
        <v>1004.9</v>
      </c>
      <c r="O64" s="2">
        <v>45986.625</v>
      </c>
    </row>
    <row r="65" spans="1:15" x14ac:dyDescent="0.35">
      <c r="A65" s="1" t="s">
        <v>79</v>
      </c>
      <c r="B65" s="1" t="s">
        <v>16</v>
      </c>
      <c r="C65" s="2">
        <v>45986.625</v>
      </c>
      <c r="D65">
        <v>3.5</v>
      </c>
      <c r="E65">
        <v>87</v>
      </c>
      <c r="F65">
        <v>1.6</v>
      </c>
      <c r="G65">
        <v>0.3</v>
      </c>
      <c r="H65">
        <v>0</v>
      </c>
      <c r="I65">
        <v>12.8</v>
      </c>
      <c r="J65">
        <v>254</v>
      </c>
      <c r="K65">
        <v>25.9</v>
      </c>
      <c r="L65">
        <v>68</v>
      </c>
      <c r="M65">
        <v>0</v>
      </c>
      <c r="N65">
        <v>1005.6</v>
      </c>
      <c r="O65" s="2">
        <v>45986.666666666664</v>
      </c>
    </row>
    <row r="66" spans="1:15" x14ac:dyDescent="0.35">
      <c r="A66" s="1" t="s">
        <v>80</v>
      </c>
      <c r="B66" s="1" t="s">
        <v>16</v>
      </c>
      <c r="C66" s="2">
        <v>45986.666666666664</v>
      </c>
      <c r="D66">
        <v>3.2</v>
      </c>
      <c r="E66">
        <v>89</v>
      </c>
      <c r="F66">
        <v>1.5</v>
      </c>
      <c r="G66">
        <v>0.3</v>
      </c>
      <c r="H66">
        <v>0</v>
      </c>
      <c r="I66">
        <v>10.199999999999999</v>
      </c>
      <c r="J66">
        <v>247</v>
      </c>
      <c r="K66">
        <v>24.8</v>
      </c>
      <c r="L66">
        <v>30</v>
      </c>
      <c r="M66">
        <v>0</v>
      </c>
      <c r="N66">
        <v>1006.2</v>
      </c>
      <c r="O66" s="2">
        <v>45986.708333333336</v>
      </c>
    </row>
    <row r="67" spans="1:15" x14ac:dyDescent="0.35">
      <c r="A67" s="1" t="s">
        <v>81</v>
      </c>
      <c r="B67" s="1" t="s">
        <v>16</v>
      </c>
      <c r="C67" s="2">
        <v>45986.708333333336</v>
      </c>
      <c r="D67">
        <v>2.8</v>
      </c>
      <c r="E67">
        <v>89</v>
      </c>
      <c r="F67">
        <v>1.1000000000000001</v>
      </c>
      <c r="G67">
        <v>0.2</v>
      </c>
      <c r="H67">
        <v>0</v>
      </c>
      <c r="I67">
        <v>6.4</v>
      </c>
      <c r="J67">
        <v>218</v>
      </c>
      <c r="K67">
        <v>19.100000000000001</v>
      </c>
      <c r="L67">
        <v>4</v>
      </c>
      <c r="M67">
        <v>0</v>
      </c>
      <c r="N67">
        <v>1006.7</v>
      </c>
      <c r="O67" s="2">
        <v>45986.75</v>
      </c>
    </row>
    <row r="68" spans="1:15" x14ac:dyDescent="0.35">
      <c r="A68" s="1" t="s">
        <v>82</v>
      </c>
      <c r="B68" s="1" t="s">
        <v>16</v>
      </c>
      <c r="C68" s="2">
        <v>45986.75</v>
      </c>
      <c r="D68">
        <v>2.2999999999999998</v>
      </c>
      <c r="E68">
        <v>91</v>
      </c>
      <c r="F68">
        <v>1</v>
      </c>
      <c r="G68">
        <v>0.8</v>
      </c>
      <c r="H68">
        <v>0</v>
      </c>
      <c r="I68">
        <v>5.9</v>
      </c>
      <c r="J68">
        <v>227</v>
      </c>
      <c r="K68">
        <v>14.8</v>
      </c>
      <c r="L68">
        <v>0</v>
      </c>
      <c r="M68">
        <v>0</v>
      </c>
      <c r="N68">
        <v>1007.4</v>
      </c>
      <c r="O68" s="2">
        <v>45986.791666666664</v>
      </c>
    </row>
    <row r="69" spans="1:15" x14ac:dyDescent="0.35">
      <c r="A69" s="1" t="s">
        <v>83</v>
      </c>
      <c r="B69" s="1" t="s">
        <v>16</v>
      </c>
      <c r="C69" s="2">
        <v>45986.791666666664</v>
      </c>
      <c r="D69">
        <v>2</v>
      </c>
      <c r="E69">
        <v>92</v>
      </c>
      <c r="F69">
        <v>0.8</v>
      </c>
      <c r="G69">
        <v>1</v>
      </c>
      <c r="H69">
        <v>0</v>
      </c>
      <c r="I69">
        <v>4.8</v>
      </c>
      <c r="J69">
        <v>193</v>
      </c>
      <c r="K69">
        <v>10.4</v>
      </c>
      <c r="L69">
        <v>0</v>
      </c>
      <c r="M69">
        <v>0</v>
      </c>
      <c r="N69">
        <v>1008.3</v>
      </c>
      <c r="O69" s="2">
        <v>45986.833333333336</v>
      </c>
    </row>
    <row r="70" spans="1:15" x14ac:dyDescent="0.35">
      <c r="A70" s="1" t="s">
        <v>84</v>
      </c>
      <c r="B70" s="1" t="s">
        <v>16</v>
      </c>
      <c r="C70" s="2">
        <v>45986.833333333336</v>
      </c>
      <c r="D70">
        <v>1.7</v>
      </c>
      <c r="E70">
        <v>94</v>
      </c>
      <c r="F70">
        <v>0.8</v>
      </c>
      <c r="G70">
        <v>0.7</v>
      </c>
      <c r="H70">
        <v>0</v>
      </c>
      <c r="I70">
        <v>4.3</v>
      </c>
      <c r="J70">
        <v>175</v>
      </c>
      <c r="K70">
        <v>7.6</v>
      </c>
      <c r="L70">
        <v>0</v>
      </c>
      <c r="M70">
        <v>0</v>
      </c>
      <c r="N70">
        <v>1009.1</v>
      </c>
      <c r="O70" s="2">
        <v>45986.875</v>
      </c>
    </row>
    <row r="71" spans="1:15" x14ac:dyDescent="0.35">
      <c r="A71" s="1" t="s">
        <v>85</v>
      </c>
      <c r="B71" s="1" t="s">
        <v>16</v>
      </c>
      <c r="C71" s="2">
        <v>45986.875</v>
      </c>
      <c r="D71">
        <v>1.6</v>
      </c>
      <c r="E71">
        <v>95</v>
      </c>
      <c r="F71">
        <v>0.9</v>
      </c>
      <c r="G71">
        <v>0.5</v>
      </c>
      <c r="H71">
        <v>0</v>
      </c>
      <c r="I71">
        <v>2.9</v>
      </c>
      <c r="J71">
        <v>173</v>
      </c>
      <c r="K71">
        <v>6.8</v>
      </c>
      <c r="L71">
        <v>0</v>
      </c>
      <c r="M71">
        <v>0</v>
      </c>
      <c r="N71">
        <v>1009.7</v>
      </c>
      <c r="O71" s="2">
        <v>45986.916666666664</v>
      </c>
    </row>
    <row r="72" spans="1:15" x14ac:dyDescent="0.35">
      <c r="A72" s="1" t="s">
        <v>86</v>
      </c>
      <c r="B72" s="1" t="s">
        <v>16</v>
      </c>
      <c r="C72" s="2">
        <v>45986.916666666664</v>
      </c>
      <c r="D72">
        <v>1.6</v>
      </c>
      <c r="E72">
        <v>95</v>
      </c>
      <c r="F72">
        <v>0.9</v>
      </c>
      <c r="G72">
        <v>0.4</v>
      </c>
      <c r="H72">
        <v>0</v>
      </c>
      <c r="I72">
        <v>3.1</v>
      </c>
      <c r="J72">
        <v>201</v>
      </c>
      <c r="K72">
        <v>4</v>
      </c>
      <c r="L72">
        <v>0</v>
      </c>
      <c r="M72">
        <v>0</v>
      </c>
      <c r="N72">
        <v>1010.1</v>
      </c>
      <c r="O72" s="2">
        <v>45986.958333333336</v>
      </c>
    </row>
    <row r="73" spans="1:15" x14ac:dyDescent="0.35">
      <c r="A73" s="1" t="s">
        <v>87</v>
      </c>
      <c r="B73" s="1" t="s">
        <v>16</v>
      </c>
      <c r="C73" s="2">
        <v>45986.958333333336</v>
      </c>
      <c r="D73">
        <v>1.5</v>
      </c>
      <c r="E73">
        <v>95</v>
      </c>
      <c r="F73">
        <v>0.8</v>
      </c>
      <c r="G73">
        <v>0.3</v>
      </c>
      <c r="H73">
        <v>0</v>
      </c>
      <c r="I73">
        <v>2.7</v>
      </c>
      <c r="J73">
        <v>203</v>
      </c>
      <c r="K73">
        <v>4.3</v>
      </c>
      <c r="L73">
        <v>0</v>
      </c>
      <c r="M73">
        <v>0</v>
      </c>
      <c r="N73">
        <v>1010.5</v>
      </c>
      <c r="O73" s="2">
        <v>45987</v>
      </c>
    </row>
    <row r="74" spans="1:15" x14ac:dyDescent="0.35">
      <c r="A74" s="1" t="s">
        <v>88</v>
      </c>
      <c r="B74" s="1" t="s">
        <v>16</v>
      </c>
      <c r="C74" s="2">
        <v>45987</v>
      </c>
      <c r="D74">
        <v>1.1000000000000001</v>
      </c>
      <c r="E74">
        <v>94</v>
      </c>
      <c r="F74">
        <v>0.3</v>
      </c>
      <c r="G74">
        <v>0.6</v>
      </c>
      <c r="H74">
        <v>0</v>
      </c>
      <c r="I74">
        <v>2.2999999999999998</v>
      </c>
      <c r="J74">
        <v>219</v>
      </c>
      <c r="K74">
        <v>3.6</v>
      </c>
      <c r="L74">
        <v>0</v>
      </c>
      <c r="M74">
        <v>0</v>
      </c>
      <c r="N74">
        <v>1011.1</v>
      </c>
      <c r="O74" s="2">
        <v>45987.041666666664</v>
      </c>
    </row>
    <row r="75" spans="1:15" x14ac:dyDescent="0.35">
      <c r="A75" s="1" t="s">
        <v>89</v>
      </c>
      <c r="B75" s="1" t="s">
        <v>16</v>
      </c>
      <c r="C75" s="2">
        <v>45987.041666666664</v>
      </c>
      <c r="D75">
        <v>0.8</v>
      </c>
      <c r="E75">
        <v>95</v>
      </c>
      <c r="F75">
        <v>0.1</v>
      </c>
      <c r="G75">
        <v>1</v>
      </c>
      <c r="H75">
        <v>0.21</v>
      </c>
      <c r="I75">
        <v>2.9</v>
      </c>
      <c r="J75">
        <v>277</v>
      </c>
      <c r="K75">
        <v>6.1</v>
      </c>
      <c r="L75">
        <v>0</v>
      </c>
      <c r="M75">
        <v>0</v>
      </c>
      <c r="N75">
        <v>1011.8</v>
      </c>
      <c r="O75" s="2">
        <v>45987.083333333336</v>
      </c>
    </row>
    <row r="76" spans="1:15" x14ac:dyDescent="0.35">
      <c r="A76" s="1" t="s">
        <v>90</v>
      </c>
      <c r="B76" s="1" t="s">
        <v>16</v>
      </c>
      <c r="C76" s="2">
        <v>45987.083333333336</v>
      </c>
      <c r="D76">
        <v>0.9</v>
      </c>
      <c r="E76">
        <v>95</v>
      </c>
      <c r="F76">
        <v>0.2</v>
      </c>
      <c r="G76">
        <v>0.6</v>
      </c>
      <c r="H76">
        <v>0.21</v>
      </c>
      <c r="I76">
        <v>2.2999999999999998</v>
      </c>
      <c r="J76">
        <v>252</v>
      </c>
      <c r="K76">
        <v>7.2</v>
      </c>
      <c r="L76">
        <v>0</v>
      </c>
      <c r="M76">
        <v>0</v>
      </c>
      <c r="N76">
        <v>1012.7</v>
      </c>
      <c r="O76" s="2">
        <v>45987.125</v>
      </c>
    </row>
    <row r="77" spans="1:15" x14ac:dyDescent="0.35">
      <c r="A77" s="1" t="s">
        <v>91</v>
      </c>
      <c r="B77" s="1" t="s">
        <v>16</v>
      </c>
      <c r="C77" s="2">
        <v>45987.125</v>
      </c>
      <c r="D77">
        <v>0.8</v>
      </c>
      <c r="E77">
        <v>97</v>
      </c>
      <c r="F77">
        <v>0.3</v>
      </c>
      <c r="G77">
        <v>0.1</v>
      </c>
      <c r="H77">
        <v>0</v>
      </c>
      <c r="I77">
        <v>3.4</v>
      </c>
      <c r="J77">
        <v>162</v>
      </c>
      <c r="K77">
        <v>6.1</v>
      </c>
      <c r="L77">
        <v>0</v>
      </c>
      <c r="M77">
        <v>0</v>
      </c>
      <c r="N77">
        <v>1013.4</v>
      </c>
      <c r="O77" s="2">
        <v>45987.166666666664</v>
      </c>
    </row>
    <row r="78" spans="1:15" x14ac:dyDescent="0.35">
      <c r="A78" s="1" t="s">
        <v>92</v>
      </c>
      <c r="B78" s="1" t="s">
        <v>16</v>
      </c>
      <c r="C78" s="2">
        <v>45987.166666666664</v>
      </c>
      <c r="D78">
        <v>0.7</v>
      </c>
      <c r="E78">
        <v>98</v>
      </c>
      <c r="F78">
        <v>0.4</v>
      </c>
      <c r="G78">
        <v>0</v>
      </c>
      <c r="H78">
        <v>0</v>
      </c>
      <c r="I78">
        <v>3.4</v>
      </c>
      <c r="J78">
        <v>148</v>
      </c>
      <c r="K78">
        <v>5.8</v>
      </c>
      <c r="L78">
        <v>0</v>
      </c>
      <c r="M78">
        <v>0</v>
      </c>
      <c r="N78">
        <v>1014.1</v>
      </c>
      <c r="O78" s="2">
        <v>45987.208333333336</v>
      </c>
    </row>
    <row r="79" spans="1:15" x14ac:dyDescent="0.35">
      <c r="A79" s="1" t="s">
        <v>93</v>
      </c>
      <c r="B79" s="1" t="s">
        <v>16</v>
      </c>
      <c r="C79" s="2">
        <v>45987.208333333336</v>
      </c>
      <c r="D79">
        <v>0.6</v>
      </c>
      <c r="E79">
        <v>97</v>
      </c>
      <c r="F79">
        <v>0.2</v>
      </c>
      <c r="G79">
        <v>0.1</v>
      </c>
      <c r="H79">
        <v>0</v>
      </c>
      <c r="I79">
        <v>1.8</v>
      </c>
      <c r="J79">
        <v>127</v>
      </c>
      <c r="K79">
        <v>4.7</v>
      </c>
      <c r="L79">
        <v>0</v>
      </c>
      <c r="M79">
        <v>0</v>
      </c>
      <c r="N79">
        <v>1014.8</v>
      </c>
      <c r="O79" s="2">
        <v>45987.25</v>
      </c>
    </row>
    <row r="80" spans="1:15" x14ac:dyDescent="0.35">
      <c r="A80" s="1" t="s">
        <v>94</v>
      </c>
      <c r="B80" s="1" t="s">
        <v>16</v>
      </c>
      <c r="C80" s="2">
        <v>45987.25</v>
      </c>
      <c r="D80">
        <v>0.6</v>
      </c>
      <c r="E80">
        <v>95</v>
      </c>
      <c r="F80">
        <v>-0.1</v>
      </c>
      <c r="G80">
        <v>0.2</v>
      </c>
      <c r="H80">
        <v>0</v>
      </c>
      <c r="I80">
        <v>2.5</v>
      </c>
      <c r="J80">
        <v>172</v>
      </c>
      <c r="K80">
        <v>4</v>
      </c>
      <c r="L80">
        <v>0</v>
      </c>
      <c r="M80">
        <v>0</v>
      </c>
      <c r="N80">
        <v>1015.4</v>
      </c>
      <c r="O80" s="2">
        <v>45987.291666666664</v>
      </c>
    </row>
    <row r="81" spans="1:15" x14ac:dyDescent="0.35">
      <c r="A81" s="1" t="s">
        <v>95</v>
      </c>
      <c r="B81" s="1" t="s">
        <v>16</v>
      </c>
      <c r="C81" s="2">
        <v>45987.291666666664</v>
      </c>
      <c r="D81">
        <v>0.7</v>
      </c>
      <c r="E81">
        <v>96</v>
      </c>
      <c r="F81">
        <v>0.2</v>
      </c>
      <c r="G81">
        <v>0.2</v>
      </c>
      <c r="H81">
        <v>0</v>
      </c>
      <c r="I81">
        <v>1.9</v>
      </c>
      <c r="J81">
        <v>158</v>
      </c>
      <c r="K81">
        <v>3.2</v>
      </c>
      <c r="L81">
        <v>0</v>
      </c>
      <c r="M81">
        <v>0</v>
      </c>
      <c r="N81">
        <v>1016.3</v>
      </c>
      <c r="O81" s="2">
        <v>45987.333333333336</v>
      </c>
    </row>
    <row r="82" spans="1:15" x14ac:dyDescent="0.35">
      <c r="A82" s="1" t="s">
        <v>96</v>
      </c>
      <c r="B82" s="1" t="s">
        <v>16</v>
      </c>
      <c r="C82" s="2">
        <v>45987.333333333336</v>
      </c>
      <c r="D82">
        <v>0.8</v>
      </c>
      <c r="E82">
        <v>96</v>
      </c>
      <c r="F82">
        <v>0.2</v>
      </c>
      <c r="G82">
        <v>0.1</v>
      </c>
      <c r="H82">
        <v>0</v>
      </c>
      <c r="I82">
        <v>2.5</v>
      </c>
      <c r="J82">
        <v>135</v>
      </c>
      <c r="K82">
        <v>5</v>
      </c>
      <c r="L82">
        <v>1</v>
      </c>
      <c r="M82">
        <v>0</v>
      </c>
      <c r="N82">
        <v>1017.3</v>
      </c>
      <c r="O82" s="2">
        <v>45987.375</v>
      </c>
    </row>
    <row r="83" spans="1:15" x14ac:dyDescent="0.35">
      <c r="A83" s="1" t="s">
        <v>97</v>
      </c>
      <c r="B83" s="1" t="s">
        <v>16</v>
      </c>
      <c r="C83" s="2">
        <v>45987.375</v>
      </c>
      <c r="D83">
        <v>1.1000000000000001</v>
      </c>
      <c r="E83">
        <v>96</v>
      </c>
      <c r="F83">
        <v>0.5</v>
      </c>
      <c r="G83">
        <v>0</v>
      </c>
      <c r="H83">
        <v>0</v>
      </c>
      <c r="I83">
        <v>1.8</v>
      </c>
      <c r="J83">
        <v>127</v>
      </c>
      <c r="K83">
        <v>4.3</v>
      </c>
      <c r="L83">
        <v>32</v>
      </c>
      <c r="M83">
        <v>0</v>
      </c>
      <c r="N83">
        <v>1018.2</v>
      </c>
      <c r="O83" s="2">
        <v>45987.416666666664</v>
      </c>
    </row>
    <row r="84" spans="1:15" x14ac:dyDescent="0.35">
      <c r="A84" s="1" t="s">
        <v>98</v>
      </c>
      <c r="B84" s="1" t="s">
        <v>16</v>
      </c>
      <c r="C84" s="2">
        <v>45987.416666666664</v>
      </c>
      <c r="D84">
        <v>1.7</v>
      </c>
      <c r="E84">
        <v>95</v>
      </c>
      <c r="F84">
        <v>1</v>
      </c>
      <c r="G84">
        <v>0</v>
      </c>
      <c r="H84">
        <v>0</v>
      </c>
      <c r="I84">
        <v>1.8</v>
      </c>
      <c r="J84">
        <v>169</v>
      </c>
      <c r="K84">
        <v>5.4</v>
      </c>
      <c r="L84">
        <v>83</v>
      </c>
      <c r="M84">
        <v>0</v>
      </c>
      <c r="N84">
        <v>1018.5</v>
      </c>
      <c r="O84" s="2">
        <v>45987.458333333336</v>
      </c>
    </row>
    <row r="85" spans="1:15" x14ac:dyDescent="0.35">
      <c r="A85" s="1" t="s">
        <v>99</v>
      </c>
      <c r="B85" s="1" t="s">
        <v>16</v>
      </c>
      <c r="C85" s="2">
        <v>45987.458333333336</v>
      </c>
      <c r="D85">
        <v>2.4</v>
      </c>
      <c r="E85">
        <v>90</v>
      </c>
      <c r="F85">
        <v>0.9</v>
      </c>
      <c r="G85">
        <v>0</v>
      </c>
      <c r="H85">
        <v>0</v>
      </c>
      <c r="I85">
        <v>2.8</v>
      </c>
      <c r="J85">
        <v>220</v>
      </c>
      <c r="K85">
        <v>6.8</v>
      </c>
      <c r="L85">
        <v>135</v>
      </c>
      <c r="M85">
        <v>0</v>
      </c>
      <c r="N85">
        <v>1018.9</v>
      </c>
      <c r="O85" s="2">
        <v>45987.5</v>
      </c>
    </row>
    <row r="86" spans="1:15" x14ac:dyDescent="0.35">
      <c r="A86" s="1" t="s">
        <v>100</v>
      </c>
      <c r="B86" s="1" t="s">
        <v>16</v>
      </c>
      <c r="C86" s="2">
        <v>45987.5</v>
      </c>
      <c r="D86">
        <v>2.9</v>
      </c>
      <c r="E86">
        <v>81</v>
      </c>
      <c r="F86">
        <v>-0.1</v>
      </c>
      <c r="G86">
        <v>0</v>
      </c>
      <c r="H86">
        <v>0</v>
      </c>
      <c r="I86">
        <v>5.4</v>
      </c>
      <c r="J86">
        <v>250</v>
      </c>
      <c r="K86">
        <v>10.8</v>
      </c>
      <c r="L86">
        <v>142</v>
      </c>
      <c r="M86">
        <v>0</v>
      </c>
      <c r="N86">
        <v>1018.8</v>
      </c>
      <c r="O86" s="2">
        <v>45987.541666666664</v>
      </c>
    </row>
    <row r="87" spans="1:15" x14ac:dyDescent="0.35">
      <c r="A87" s="1" t="s">
        <v>101</v>
      </c>
      <c r="B87" s="1" t="s">
        <v>16</v>
      </c>
      <c r="C87" s="2">
        <v>45987.541666666664</v>
      </c>
      <c r="D87">
        <v>2.6</v>
      </c>
      <c r="E87">
        <v>82</v>
      </c>
      <c r="F87">
        <v>-0.2</v>
      </c>
      <c r="G87">
        <v>0.4</v>
      </c>
      <c r="H87">
        <v>0</v>
      </c>
      <c r="I87">
        <v>5.2</v>
      </c>
      <c r="J87">
        <v>286</v>
      </c>
      <c r="K87">
        <v>12.6</v>
      </c>
      <c r="L87">
        <v>106</v>
      </c>
      <c r="M87">
        <v>0</v>
      </c>
      <c r="N87">
        <v>1019.1</v>
      </c>
      <c r="O87" s="2">
        <v>45987.583333333336</v>
      </c>
    </row>
    <row r="88" spans="1:15" x14ac:dyDescent="0.35">
      <c r="A88" s="1" t="s">
        <v>102</v>
      </c>
      <c r="B88" s="1" t="s">
        <v>16</v>
      </c>
      <c r="C88" s="2">
        <v>45987.583333333336</v>
      </c>
      <c r="D88">
        <v>2.5</v>
      </c>
      <c r="E88">
        <v>84</v>
      </c>
      <c r="F88">
        <v>0</v>
      </c>
      <c r="G88">
        <v>0.5</v>
      </c>
      <c r="H88">
        <v>0</v>
      </c>
      <c r="I88">
        <v>4</v>
      </c>
      <c r="J88">
        <v>280</v>
      </c>
      <c r="K88">
        <v>11.2</v>
      </c>
      <c r="L88">
        <v>92</v>
      </c>
      <c r="M88">
        <v>0</v>
      </c>
      <c r="N88">
        <v>1019.5</v>
      </c>
      <c r="O88" s="2">
        <v>45987.625</v>
      </c>
    </row>
    <row r="89" spans="1:15" x14ac:dyDescent="0.35">
      <c r="A89" s="1" t="s">
        <v>103</v>
      </c>
      <c r="B89" s="1" t="s">
        <v>16</v>
      </c>
      <c r="C89" s="2">
        <v>45987.625</v>
      </c>
      <c r="D89">
        <v>2.2000000000000002</v>
      </c>
      <c r="E89">
        <v>88</v>
      </c>
      <c r="F89">
        <v>0.4</v>
      </c>
      <c r="G89">
        <v>0.5</v>
      </c>
      <c r="H89">
        <v>0</v>
      </c>
      <c r="I89">
        <v>2.1</v>
      </c>
      <c r="J89">
        <v>239</v>
      </c>
      <c r="K89">
        <v>8.3000000000000007</v>
      </c>
      <c r="L89">
        <v>70</v>
      </c>
      <c r="M89">
        <v>0</v>
      </c>
      <c r="N89">
        <v>1019.9</v>
      </c>
      <c r="O89" s="2">
        <v>45987.666666666664</v>
      </c>
    </row>
    <row r="90" spans="1:15" x14ac:dyDescent="0.35">
      <c r="A90" s="1" t="s">
        <v>104</v>
      </c>
      <c r="B90" s="1" t="s">
        <v>16</v>
      </c>
      <c r="C90" s="2">
        <v>45987.666666666664</v>
      </c>
      <c r="D90">
        <v>1.8</v>
      </c>
      <c r="E90">
        <v>91</v>
      </c>
      <c r="F90">
        <v>0.5</v>
      </c>
      <c r="G90">
        <v>0.5</v>
      </c>
      <c r="H90">
        <v>0</v>
      </c>
      <c r="I90">
        <v>2.2000000000000002</v>
      </c>
      <c r="J90">
        <v>189</v>
      </c>
      <c r="K90">
        <v>5.8</v>
      </c>
      <c r="L90">
        <v>37</v>
      </c>
      <c r="M90">
        <v>0</v>
      </c>
      <c r="N90">
        <v>1020.5</v>
      </c>
      <c r="O90" s="2">
        <v>45987.708333333336</v>
      </c>
    </row>
    <row r="91" spans="1:15" x14ac:dyDescent="0.35">
      <c r="A91" s="1" t="s">
        <v>105</v>
      </c>
      <c r="B91" s="1" t="s">
        <v>16</v>
      </c>
      <c r="C91" s="2">
        <v>45987.708333333336</v>
      </c>
      <c r="D91">
        <v>1.4</v>
      </c>
      <c r="E91">
        <v>93</v>
      </c>
      <c r="F91">
        <v>0.4</v>
      </c>
      <c r="G91">
        <v>0.4</v>
      </c>
      <c r="H91">
        <v>0</v>
      </c>
      <c r="I91">
        <v>2.2000000000000002</v>
      </c>
      <c r="J91">
        <v>180</v>
      </c>
      <c r="K91">
        <v>4.3</v>
      </c>
      <c r="L91">
        <v>7</v>
      </c>
      <c r="M91">
        <v>0</v>
      </c>
      <c r="N91">
        <v>1021.2</v>
      </c>
      <c r="O91" s="2">
        <v>45987.75</v>
      </c>
    </row>
    <row r="92" spans="1:15" x14ac:dyDescent="0.35">
      <c r="A92" s="1" t="s">
        <v>106</v>
      </c>
      <c r="B92" s="1" t="s">
        <v>16</v>
      </c>
      <c r="C92" s="2">
        <v>45987.75</v>
      </c>
      <c r="D92">
        <v>0.9</v>
      </c>
      <c r="E92">
        <v>94</v>
      </c>
      <c r="F92">
        <v>0.1</v>
      </c>
      <c r="G92">
        <v>0.4</v>
      </c>
      <c r="H92">
        <v>0</v>
      </c>
      <c r="I92">
        <v>1.8</v>
      </c>
      <c r="J92">
        <v>180</v>
      </c>
      <c r="K92">
        <v>2.9</v>
      </c>
      <c r="L92">
        <v>0</v>
      </c>
      <c r="M92">
        <v>0</v>
      </c>
      <c r="N92">
        <v>1022</v>
      </c>
      <c r="O92" s="2">
        <v>45987.791666666664</v>
      </c>
    </row>
    <row r="93" spans="1:15" x14ac:dyDescent="0.35">
      <c r="A93" s="1" t="s">
        <v>107</v>
      </c>
      <c r="B93" s="1" t="s">
        <v>16</v>
      </c>
      <c r="C93" s="2">
        <v>45987.791666666664</v>
      </c>
      <c r="D93">
        <v>0.6</v>
      </c>
      <c r="E93">
        <v>95</v>
      </c>
      <c r="F93">
        <v>-0.1</v>
      </c>
      <c r="G93">
        <v>0.4</v>
      </c>
      <c r="H93">
        <v>0</v>
      </c>
      <c r="I93">
        <v>1.4</v>
      </c>
      <c r="J93">
        <v>180</v>
      </c>
      <c r="K93">
        <v>2.5</v>
      </c>
      <c r="L93">
        <v>0</v>
      </c>
      <c r="M93">
        <v>0</v>
      </c>
      <c r="N93">
        <v>1022.7</v>
      </c>
      <c r="O93" s="2">
        <v>45987.833333333336</v>
      </c>
    </row>
    <row r="94" spans="1:15" x14ac:dyDescent="0.35">
      <c r="A94" s="1" t="s">
        <v>108</v>
      </c>
      <c r="B94" s="1" t="s">
        <v>16</v>
      </c>
      <c r="C94" s="2">
        <v>45987.833333333336</v>
      </c>
      <c r="D94">
        <v>0.4</v>
      </c>
      <c r="E94">
        <v>96</v>
      </c>
      <c r="F94">
        <v>-0.1</v>
      </c>
      <c r="G94">
        <v>0</v>
      </c>
      <c r="H94">
        <v>0</v>
      </c>
      <c r="I94">
        <v>1.9</v>
      </c>
      <c r="J94">
        <v>158</v>
      </c>
      <c r="K94">
        <v>3.6</v>
      </c>
      <c r="L94">
        <v>0</v>
      </c>
      <c r="M94">
        <v>0</v>
      </c>
      <c r="N94">
        <v>1023.2</v>
      </c>
      <c r="O94" s="2">
        <v>45987.875</v>
      </c>
    </row>
    <row r="95" spans="1:15" x14ac:dyDescent="0.35">
      <c r="A95" s="1" t="s">
        <v>109</v>
      </c>
      <c r="B95" s="1" t="s">
        <v>16</v>
      </c>
      <c r="C95" s="2">
        <v>45987.875</v>
      </c>
      <c r="D95">
        <v>0.4</v>
      </c>
      <c r="E95">
        <v>97</v>
      </c>
      <c r="F95">
        <v>0</v>
      </c>
      <c r="G95">
        <v>0</v>
      </c>
      <c r="H95">
        <v>0</v>
      </c>
      <c r="I95">
        <v>2.9</v>
      </c>
      <c r="J95">
        <v>150</v>
      </c>
      <c r="K95">
        <v>5</v>
      </c>
      <c r="L95">
        <v>0</v>
      </c>
      <c r="M95">
        <v>0</v>
      </c>
      <c r="N95">
        <v>1023.7</v>
      </c>
      <c r="O95" s="2">
        <v>45987.916666666664</v>
      </c>
    </row>
    <row r="96" spans="1:15" x14ac:dyDescent="0.35">
      <c r="A96" s="1" t="s">
        <v>110</v>
      </c>
      <c r="B96" s="1" t="s">
        <v>16</v>
      </c>
      <c r="C96" s="2">
        <v>45987.916666666664</v>
      </c>
      <c r="D96">
        <v>0.4</v>
      </c>
      <c r="E96">
        <v>98</v>
      </c>
      <c r="F96">
        <v>0.1</v>
      </c>
      <c r="G96">
        <v>0</v>
      </c>
      <c r="H96">
        <v>0</v>
      </c>
      <c r="I96">
        <v>3.6</v>
      </c>
      <c r="J96">
        <v>143</v>
      </c>
      <c r="K96">
        <v>6.5</v>
      </c>
      <c r="L96">
        <v>0</v>
      </c>
      <c r="M96">
        <v>0</v>
      </c>
      <c r="N96">
        <v>1024</v>
      </c>
      <c r="O96" s="2">
        <v>45987.958333333336</v>
      </c>
    </row>
    <row r="97" spans="1:15" x14ac:dyDescent="0.35">
      <c r="A97" s="1" t="s">
        <v>111</v>
      </c>
      <c r="B97" s="1" t="s">
        <v>16</v>
      </c>
      <c r="C97" s="2">
        <v>45987.958333333336</v>
      </c>
      <c r="D97">
        <v>0.5</v>
      </c>
      <c r="E97">
        <v>98</v>
      </c>
      <c r="F97">
        <v>0.2</v>
      </c>
      <c r="G97">
        <v>0</v>
      </c>
      <c r="H97">
        <v>0</v>
      </c>
      <c r="I97">
        <v>3.8</v>
      </c>
      <c r="J97">
        <v>139</v>
      </c>
      <c r="K97">
        <v>6.8</v>
      </c>
      <c r="L97">
        <v>0</v>
      </c>
      <c r="M97">
        <v>0</v>
      </c>
      <c r="N97">
        <v>1024.0999999999999</v>
      </c>
      <c r="O97" s="2">
        <v>45988</v>
      </c>
    </row>
    <row r="98" spans="1:15" x14ac:dyDescent="0.35">
      <c r="A98" s="1" t="s">
        <v>112</v>
      </c>
      <c r="B98" s="1" t="s">
        <v>16</v>
      </c>
      <c r="C98" s="2">
        <v>45988</v>
      </c>
      <c r="D98">
        <v>0.6</v>
      </c>
      <c r="E98">
        <v>97</v>
      </c>
      <c r="F98">
        <v>0.2</v>
      </c>
      <c r="G98">
        <v>0</v>
      </c>
      <c r="H98">
        <v>0</v>
      </c>
      <c r="I98">
        <v>3.6</v>
      </c>
      <c r="J98">
        <v>135</v>
      </c>
      <c r="K98">
        <v>6.8</v>
      </c>
      <c r="L98">
        <v>0</v>
      </c>
      <c r="M98">
        <v>0</v>
      </c>
      <c r="N98">
        <v>1024.2</v>
      </c>
      <c r="O98" s="2">
        <v>45988.041666666664</v>
      </c>
    </row>
    <row r="99" spans="1:15" x14ac:dyDescent="0.35">
      <c r="A99" s="1" t="s">
        <v>113</v>
      </c>
      <c r="B99" s="1" t="s">
        <v>16</v>
      </c>
      <c r="C99" s="2">
        <v>45988.041666666664</v>
      </c>
      <c r="D99">
        <v>0.7</v>
      </c>
      <c r="E99">
        <v>96</v>
      </c>
      <c r="F99">
        <v>0.2</v>
      </c>
      <c r="G99">
        <v>0</v>
      </c>
      <c r="H99">
        <v>0</v>
      </c>
      <c r="I99">
        <v>3.3</v>
      </c>
      <c r="J99">
        <v>131</v>
      </c>
      <c r="K99">
        <v>6.8</v>
      </c>
      <c r="L99">
        <v>0</v>
      </c>
      <c r="M99">
        <v>0</v>
      </c>
      <c r="N99">
        <v>1024.2</v>
      </c>
      <c r="O99" s="2">
        <v>45988.083333333336</v>
      </c>
    </row>
    <row r="100" spans="1:15" x14ac:dyDescent="0.35">
      <c r="A100" s="1" t="s">
        <v>114</v>
      </c>
      <c r="B100" s="1" t="s">
        <v>16</v>
      </c>
      <c r="C100" s="2">
        <v>45988.083333333336</v>
      </c>
      <c r="D100">
        <v>0.7</v>
      </c>
      <c r="E100">
        <v>96</v>
      </c>
      <c r="F100">
        <v>0.2</v>
      </c>
      <c r="G100">
        <v>0</v>
      </c>
      <c r="H100">
        <v>0</v>
      </c>
      <c r="I100">
        <v>3.4</v>
      </c>
      <c r="J100">
        <v>122</v>
      </c>
      <c r="K100">
        <v>6.8</v>
      </c>
      <c r="L100">
        <v>0</v>
      </c>
      <c r="M100">
        <v>0</v>
      </c>
      <c r="N100">
        <v>1024.3</v>
      </c>
      <c r="O100" s="2">
        <v>45988.125</v>
      </c>
    </row>
    <row r="101" spans="1:15" x14ac:dyDescent="0.35">
      <c r="A101" s="1" t="s">
        <v>115</v>
      </c>
      <c r="B101" s="1" t="s">
        <v>16</v>
      </c>
      <c r="C101" s="2">
        <v>45988.125</v>
      </c>
      <c r="D101">
        <v>0.6</v>
      </c>
      <c r="E101">
        <v>95</v>
      </c>
      <c r="F101">
        <v>-0.1</v>
      </c>
      <c r="G101">
        <v>0</v>
      </c>
      <c r="H101">
        <v>0</v>
      </c>
      <c r="I101">
        <v>3.7</v>
      </c>
      <c r="J101">
        <v>119</v>
      </c>
      <c r="K101">
        <v>7.2</v>
      </c>
      <c r="L101">
        <v>0</v>
      </c>
      <c r="M101">
        <v>0</v>
      </c>
      <c r="N101">
        <v>1024.5</v>
      </c>
      <c r="O101" s="2">
        <v>45988.166666666664</v>
      </c>
    </row>
    <row r="102" spans="1:15" x14ac:dyDescent="0.35">
      <c r="A102" s="1" t="s">
        <v>116</v>
      </c>
      <c r="B102" s="1" t="s">
        <v>16</v>
      </c>
      <c r="C102" s="2">
        <v>45988.166666666664</v>
      </c>
      <c r="D102">
        <v>0.6</v>
      </c>
      <c r="E102">
        <v>95</v>
      </c>
      <c r="F102">
        <v>-0.1</v>
      </c>
      <c r="G102">
        <v>0</v>
      </c>
      <c r="H102">
        <v>0</v>
      </c>
      <c r="I102">
        <v>3.9</v>
      </c>
      <c r="J102">
        <v>112</v>
      </c>
      <c r="K102">
        <v>7.2</v>
      </c>
      <c r="L102">
        <v>0</v>
      </c>
      <c r="M102">
        <v>0</v>
      </c>
      <c r="N102">
        <v>1024.5999999999999</v>
      </c>
      <c r="O102" s="2">
        <v>45988.208333333336</v>
      </c>
    </row>
    <row r="103" spans="1:15" x14ac:dyDescent="0.35">
      <c r="A103" s="1" t="s">
        <v>117</v>
      </c>
      <c r="B103" s="1" t="s">
        <v>16</v>
      </c>
      <c r="C103" s="2">
        <v>45988.208333333336</v>
      </c>
      <c r="D103">
        <v>0.5</v>
      </c>
      <c r="E103">
        <v>95</v>
      </c>
      <c r="F103">
        <v>-0.2</v>
      </c>
      <c r="G103">
        <v>0</v>
      </c>
      <c r="H103">
        <v>0</v>
      </c>
      <c r="I103">
        <v>3.8</v>
      </c>
      <c r="J103">
        <v>107</v>
      </c>
      <c r="K103">
        <v>6.8</v>
      </c>
      <c r="L103">
        <v>0</v>
      </c>
      <c r="M103">
        <v>0</v>
      </c>
      <c r="N103">
        <v>1024.7</v>
      </c>
      <c r="O103" s="2">
        <v>45988.25</v>
      </c>
    </row>
    <row r="104" spans="1:15" x14ac:dyDescent="0.35">
      <c r="A104" s="1" t="s">
        <v>118</v>
      </c>
      <c r="B104" s="1" t="s">
        <v>16</v>
      </c>
      <c r="C104" s="2">
        <v>45988.25</v>
      </c>
      <c r="D104">
        <v>0.4</v>
      </c>
      <c r="E104">
        <v>94</v>
      </c>
      <c r="F104">
        <v>-0.5</v>
      </c>
      <c r="G104">
        <v>0</v>
      </c>
      <c r="H104">
        <v>0</v>
      </c>
      <c r="I104">
        <v>3.3</v>
      </c>
      <c r="J104">
        <v>96</v>
      </c>
      <c r="K104">
        <v>6.5</v>
      </c>
      <c r="L104">
        <v>0</v>
      </c>
      <c r="M104">
        <v>0</v>
      </c>
      <c r="N104">
        <v>1024.9000000000001</v>
      </c>
      <c r="O104" s="2">
        <v>45988.291666666664</v>
      </c>
    </row>
    <row r="105" spans="1:15" x14ac:dyDescent="0.35">
      <c r="A105" s="1" t="s">
        <v>119</v>
      </c>
      <c r="B105" s="1" t="s">
        <v>16</v>
      </c>
      <c r="C105" s="2">
        <v>45988.291666666664</v>
      </c>
      <c r="D105">
        <v>0.4</v>
      </c>
      <c r="E105">
        <v>94</v>
      </c>
      <c r="F105">
        <v>-0.4</v>
      </c>
      <c r="G105">
        <v>0</v>
      </c>
      <c r="H105">
        <v>0</v>
      </c>
      <c r="I105">
        <v>2.9</v>
      </c>
      <c r="J105">
        <v>90</v>
      </c>
      <c r="K105">
        <v>6.1</v>
      </c>
      <c r="L105">
        <v>0</v>
      </c>
      <c r="M105">
        <v>0</v>
      </c>
      <c r="N105">
        <v>1025</v>
      </c>
      <c r="O105" s="2">
        <v>45988.333333333336</v>
      </c>
    </row>
    <row r="106" spans="1:15" x14ac:dyDescent="0.35">
      <c r="A106" s="1" t="s">
        <v>120</v>
      </c>
      <c r="B106" s="1" t="s">
        <v>16</v>
      </c>
      <c r="C106" s="2">
        <v>45988.333333333336</v>
      </c>
      <c r="D106">
        <v>0.7</v>
      </c>
      <c r="E106">
        <v>93</v>
      </c>
      <c r="F106">
        <v>-0.3</v>
      </c>
      <c r="G106">
        <v>0</v>
      </c>
      <c r="H106">
        <v>0</v>
      </c>
      <c r="I106">
        <v>2.5</v>
      </c>
      <c r="J106">
        <v>98</v>
      </c>
      <c r="K106">
        <v>5.8</v>
      </c>
      <c r="L106">
        <v>2</v>
      </c>
      <c r="M106">
        <v>0</v>
      </c>
      <c r="N106">
        <v>1025.2</v>
      </c>
      <c r="O106" s="2">
        <v>45988.375</v>
      </c>
    </row>
    <row r="107" spans="1:15" x14ac:dyDescent="0.35">
      <c r="A107" s="1" t="s">
        <v>121</v>
      </c>
      <c r="B107" s="1" t="s">
        <v>16</v>
      </c>
      <c r="C107" s="2">
        <v>45988.375</v>
      </c>
      <c r="D107">
        <v>1.1000000000000001</v>
      </c>
      <c r="E107">
        <v>93</v>
      </c>
      <c r="F107">
        <v>0.1</v>
      </c>
      <c r="G107">
        <v>0</v>
      </c>
      <c r="H107">
        <v>0</v>
      </c>
      <c r="I107">
        <v>2.4</v>
      </c>
      <c r="J107">
        <v>117</v>
      </c>
      <c r="K107">
        <v>5.4</v>
      </c>
      <c r="L107">
        <v>55</v>
      </c>
      <c r="M107">
        <v>0</v>
      </c>
      <c r="N107">
        <v>1025.4000000000001</v>
      </c>
      <c r="O107" s="2">
        <v>45988.416666666664</v>
      </c>
    </row>
    <row r="108" spans="1:15" x14ac:dyDescent="0.35">
      <c r="A108" s="1" t="s">
        <v>122</v>
      </c>
      <c r="B108" s="1" t="s">
        <v>16</v>
      </c>
      <c r="C108" s="2">
        <v>45988.416666666664</v>
      </c>
      <c r="D108">
        <v>1.5</v>
      </c>
      <c r="E108">
        <v>91</v>
      </c>
      <c r="F108">
        <v>0.2</v>
      </c>
      <c r="G108">
        <v>0</v>
      </c>
      <c r="H108">
        <v>0</v>
      </c>
      <c r="I108">
        <v>2.1</v>
      </c>
      <c r="J108">
        <v>121</v>
      </c>
      <c r="K108">
        <v>5.8</v>
      </c>
      <c r="L108">
        <v>132</v>
      </c>
      <c r="M108">
        <v>0</v>
      </c>
      <c r="N108">
        <v>1025.4000000000001</v>
      </c>
      <c r="O108" s="2">
        <v>45988.458333333336</v>
      </c>
    </row>
    <row r="109" spans="1:15" x14ac:dyDescent="0.35">
      <c r="A109" s="1" t="s">
        <v>123</v>
      </c>
      <c r="B109" s="1" t="s">
        <v>16</v>
      </c>
      <c r="C109" s="2">
        <v>45988.458333333336</v>
      </c>
      <c r="D109">
        <v>2.2000000000000002</v>
      </c>
      <c r="E109">
        <v>87</v>
      </c>
      <c r="F109">
        <v>0.2</v>
      </c>
      <c r="G109">
        <v>0</v>
      </c>
      <c r="H109">
        <v>0</v>
      </c>
      <c r="I109">
        <v>1.9</v>
      </c>
      <c r="J109">
        <v>68</v>
      </c>
      <c r="K109">
        <v>7.2</v>
      </c>
      <c r="L109">
        <v>204</v>
      </c>
      <c r="M109">
        <v>0</v>
      </c>
      <c r="N109">
        <v>1025.0999999999999</v>
      </c>
      <c r="O109" s="2">
        <v>45988.5</v>
      </c>
    </row>
    <row r="110" spans="1:15" x14ac:dyDescent="0.35">
      <c r="A110" s="1" t="s">
        <v>124</v>
      </c>
      <c r="B110" s="1" t="s">
        <v>16</v>
      </c>
      <c r="C110" s="2">
        <v>45988.5</v>
      </c>
      <c r="D110">
        <v>2.9</v>
      </c>
      <c r="E110">
        <v>82</v>
      </c>
      <c r="F110">
        <v>0.1</v>
      </c>
      <c r="G110">
        <v>0</v>
      </c>
      <c r="H110">
        <v>0</v>
      </c>
      <c r="I110">
        <v>3.4</v>
      </c>
      <c r="J110">
        <v>32</v>
      </c>
      <c r="K110">
        <v>9</v>
      </c>
      <c r="L110">
        <v>265</v>
      </c>
      <c r="M110">
        <v>0</v>
      </c>
      <c r="N110">
        <v>1024.5999999999999</v>
      </c>
      <c r="O110" s="2">
        <v>45988.541666666664</v>
      </c>
    </row>
    <row r="111" spans="1:15" x14ac:dyDescent="0.35">
      <c r="A111" s="1" t="s">
        <v>125</v>
      </c>
      <c r="B111" s="1" t="s">
        <v>16</v>
      </c>
      <c r="C111" s="2">
        <v>45988.541666666664</v>
      </c>
      <c r="D111">
        <v>3.3</v>
      </c>
      <c r="E111">
        <v>79</v>
      </c>
      <c r="F111">
        <v>0</v>
      </c>
      <c r="G111">
        <v>0</v>
      </c>
      <c r="H111">
        <v>0</v>
      </c>
      <c r="I111">
        <v>5.2</v>
      </c>
      <c r="J111">
        <v>25</v>
      </c>
      <c r="K111">
        <v>10.4</v>
      </c>
      <c r="L111">
        <v>287</v>
      </c>
      <c r="M111">
        <v>0</v>
      </c>
      <c r="N111">
        <v>1024.2</v>
      </c>
      <c r="O111" s="2">
        <v>45988.583333333336</v>
      </c>
    </row>
    <row r="112" spans="1:15" x14ac:dyDescent="0.35">
      <c r="A112" s="1" t="s">
        <v>126</v>
      </c>
      <c r="B112" s="1" t="s">
        <v>16</v>
      </c>
      <c r="C112" s="2">
        <v>45988.583333333336</v>
      </c>
      <c r="D112">
        <v>3.3</v>
      </c>
      <c r="E112">
        <v>78</v>
      </c>
      <c r="F112">
        <v>-0.2</v>
      </c>
      <c r="G112">
        <v>0</v>
      </c>
      <c r="H112">
        <v>0</v>
      </c>
      <c r="I112">
        <v>5.3</v>
      </c>
      <c r="J112">
        <v>28</v>
      </c>
      <c r="K112">
        <v>11.2</v>
      </c>
      <c r="L112">
        <v>256</v>
      </c>
      <c r="M112">
        <v>0</v>
      </c>
      <c r="N112">
        <v>1024.0999999999999</v>
      </c>
      <c r="O112" s="2">
        <v>45988.625</v>
      </c>
    </row>
    <row r="113" spans="1:15" x14ac:dyDescent="0.35">
      <c r="A113" s="1" t="s">
        <v>127</v>
      </c>
      <c r="B113" s="1" t="s">
        <v>16</v>
      </c>
      <c r="C113" s="2">
        <v>45988.625</v>
      </c>
      <c r="D113">
        <v>2.9</v>
      </c>
      <c r="E113">
        <v>79</v>
      </c>
      <c r="F113">
        <v>-0.4</v>
      </c>
      <c r="G113">
        <v>0</v>
      </c>
      <c r="H113">
        <v>0</v>
      </c>
      <c r="I113">
        <v>5.4</v>
      </c>
      <c r="J113">
        <v>37</v>
      </c>
      <c r="K113">
        <v>11.5</v>
      </c>
      <c r="L113">
        <v>188</v>
      </c>
      <c r="M113">
        <v>0</v>
      </c>
      <c r="N113">
        <v>1024.2</v>
      </c>
      <c r="O113" s="2">
        <v>45988.666666666664</v>
      </c>
    </row>
    <row r="114" spans="1:15" x14ac:dyDescent="0.35">
      <c r="A114" s="1" t="s">
        <v>128</v>
      </c>
      <c r="B114" s="1" t="s">
        <v>16</v>
      </c>
      <c r="C114" s="2">
        <v>45988.666666666664</v>
      </c>
      <c r="D114">
        <v>2.4</v>
      </c>
      <c r="E114">
        <v>80</v>
      </c>
      <c r="F114">
        <v>-0.7</v>
      </c>
      <c r="G114">
        <v>0</v>
      </c>
      <c r="H114">
        <v>0</v>
      </c>
      <c r="I114">
        <v>4.8</v>
      </c>
      <c r="J114">
        <v>42</v>
      </c>
      <c r="K114">
        <v>11.2</v>
      </c>
      <c r="L114">
        <v>97</v>
      </c>
      <c r="M114">
        <v>0</v>
      </c>
      <c r="N114">
        <v>1024.4000000000001</v>
      </c>
      <c r="O114" s="2">
        <v>45988.708333333336</v>
      </c>
    </row>
    <row r="115" spans="1:15" x14ac:dyDescent="0.35">
      <c r="A115" s="1" t="s">
        <v>129</v>
      </c>
      <c r="B115" s="1" t="s">
        <v>16</v>
      </c>
      <c r="C115" s="2">
        <v>45988.708333333336</v>
      </c>
      <c r="D115">
        <v>1.8</v>
      </c>
      <c r="E115">
        <v>82</v>
      </c>
      <c r="F115">
        <v>-1</v>
      </c>
      <c r="G115">
        <v>0</v>
      </c>
      <c r="H115">
        <v>0</v>
      </c>
      <c r="I115">
        <v>4.0999999999999996</v>
      </c>
      <c r="J115">
        <v>38</v>
      </c>
      <c r="K115">
        <v>9.6999999999999993</v>
      </c>
      <c r="L115">
        <v>19</v>
      </c>
      <c r="M115">
        <v>0</v>
      </c>
      <c r="N115">
        <v>1024.5999999999999</v>
      </c>
      <c r="O115" s="2">
        <v>45988.75</v>
      </c>
    </row>
    <row r="116" spans="1:15" x14ac:dyDescent="0.35">
      <c r="A116" s="1" t="s">
        <v>130</v>
      </c>
      <c r="B116" s="1" t="s">
        <v>16</v>
      </c>
      <c r="C116" s="2">
        <v>45988.75</v>
      </c>
      <c r="D116">
        <v>0.9</v>
      </c>
      <c r="E116">
        <v>85</v>
      </c>
      <c r="F116">
        <v>-1.3</v>
      </c>
      <c r="G116">
        <v>0</v>
      </c>
      <c r="H116">
        <v>0</v>
      </c>
      <c r="I116">
        <v>3.4</v>
      </c>
      <c r="J116">
        <v>32</v>
      </c>
      <c r="K116">
        <v>7.6</v>
      </c>
      <c r="L116">
        <v>0</v>
      </c>
      <c r="M116">
        <v>0</v>
      </c>
      <c r="N116">
        <v>1024.8</v>
      </c>
      <c r="O116" s="2">
        <v>45988.791666666664</v>
      </c>
    </row>
    <row r="117" spans="1:15" x14ac:dyDescent="0.35">
      <c r="A117" s="1" t="s">
        <v>131</v>
      </c>
      <c r="B117" s="1" t="s">
        <v>16</v>
      </c>
      <c r="C117" s="2">
        <v>45988.791666666664</v>
      </c>
      <c r="D117">
        <v>0.2</v>
      </c>
      <c r="E117">
        <v>88</v>
      </c>
      <c r="F117">
        <v>-1.6</v>
      </c>
      <c r="G117">
        <v>0</v>
      </c>
      <c r="H117">
        <v>0</v>
      </c>
      <c r="I117">
        <v>2.7</v>
      </c>
      <c r="J117">
        <v>23</v>
      </c>
      <c r="K117">
        <v>6.1</v>
      </c>
      <c r="L117">
        <v>0</v>
      </c>
      <c r="M117">
        <v>0</v>
      </c>
      <c r="N117">
        <v>1025.0999999999999</v>
      </c>
      <c r="O117" s="2">
        <v>45988.833333333336</v>
      </c>
    </row>
    <row r="118" spans="1:15" x14ac:dyDescent="0.35">
      <c r="A118" s="1" t="s">
        <v>132</v>
      </c>
      <c r="B118" s="1" t="s">
        <v>16</v>
      </c>
      <c r="C118" s="2">
        <v>45988.833333333336</v>
      </c>
      <c r="D118">
        <v>-0.4</v>
      </c>
      <c r="E118">
        <v>90</v>
      </c>
      <c r="F118">
        <v>-1.9</v>
      </c>
      <c r="G118">
        <v>0</v>
      </c>
      <c r="H118">
        <v>0</v>
      </c>
      <c r="I118">
        <v>2.2999999999999998</v>
      </c>
      <c r="J118">
        <v>39</v>
      </c>
      <c r="K118">
        <v>5.4</v>
      </c>
      <c r="L118">
        <v>0</v>
      </c>
      <c r="M118">
        <v>0</v>
      </c>
      <c r="N118">
        <v>1025.4000000000001</v>
      </c>
      <c r="O118" s="2">
        <v>45988.875</v>
      </c>
    </row>
    <row r="119" spans="1:15" x14ac:dyDescent="0.35">
      <c r="A119" s="1" t="s">
        <v>133</v>
      </c>
      <c r="B119" s="1" t="s">
        <v>16</v>
      </c>
      <c r="C119" s="2">
        <v>45988.875</v>
      </c>
      <c r="D119">
        <v>-1</v>
      </c>
      <c r="E119">
        <v>90</v>
      </c>
      <c r="F119">
        <v>-2.4</v>
      </c>
      <c r="G119">
        <v>0</v>
      </c>
      <c r="H119">
        <v>0</v>
      </c>
      <c r="I119">
        <v>2.2999999999999998</v>
      </c>
      <c r="J119">
        <v>72</v>
      </c>
      <c r="K119">
        <v>5.4</v>
      </c>
      <c r="L119">
        <v>0</v>
      </c>
      <c r="M119">
        <v>0</v>
      </c>
      <c r="N119">
        <v>1025.8</v>
      </c>
      <c r="O119" s="2">
        <v>45988.916666666664</v>
      </c>
    </row>
    <row r="120" spans="1:15" x14ac:dyDescent="0.35">
      <c r="A120" s="1" t="s">
        <v>134</v>
      </c>
      <c r="B120" s="1" t="s">
        <v>16</v>
      </c>
      <c r="C120" s="2">
        <v>45988.916666666664</v>
      </c>
      <c r="D120">
        <v>-1.4</v>
      </c>
      <c r="E120">
        <v>91</v>
      </c>
      <c r="F120">
        <v>-2.7</v>
      </c>
      <c r="G120">
        <v>0</v>
      </c>
      <c r="H120">
        <v>0</v>
      </c>
      <c r="I120">
        <v>2.9</v>
      </c>
      <c r="J120">
        <v>83</v>
      </c>
      <c r="K120">
        <v>5</v>
      </c>
      <c r="L120">
        <v>0</v>
      </c>
      <c r="M120">
        <v>0</v>
      </c>
      <c r="N120">
        <v>1026</v>
      </c>
      <c r="O120" s="2">
        <v>45988.958333333336</v>
      </c>
    </row>
    <row r="121" spans="1:15" x14ac:dyDescent="0.35">
      <c r="A121" s="1" t="s">
        <v>135</v>
      </c>
      <c r="B121" s="1" t="s">
        <v>16</v>
      </c>
      <c r="C121" s="2">
        <v>45988.958333333336</v>
      </c>
      <c r="D121">
        <v>-1.6</v>
      </c>
      <c r="E121">
        <v>91</v>
      </c>
      <c r="F121">
        <v>-2.9</v>
      </c>
      <c r="G121">
        <v>0</v>
      </c>
      <c r="H121">
        <v>0</v>
      </c>
      <c r="I121">
        <v>3</v>
      </c>
      <c r="J121">
        <v>76</v>
      </c>
      <c r="K121">
        <v>4.7</v>
      </c>
      <c r="L121">
        <v>0</v>
      </c>
      <c r="M121">
        <v>0</v>
      </c>
      <c r="N121">
        <v>1026</v>
      </c>
      <c r="O121" s="2">
        <v>45989</v>
      </c>
    </row>
    <row r="122" spans="1:15" x14ac:dyDescent="0.35">
      <c r="A122" s="1" t="s">
        <v>136</v>
      </c>
      <c r="B122" s="1" t="s">
        <v>16</v>
      </c>
      <c r="C122" s="2">
        <v>45989</v>
      </c>
      <c r="D122">
        <v>-1.8</v>
      </c>
      <c r="E122">
        <v>90</v>
      </c>
      <c r="F122">
        <v>-3.2</v>
      </c>
      <c r="G122">
        <v>0</v>
      </c>
      <c r="H122">
        <v>0</v>
      </c>
      <c r="I122">
        <v>2.9</v>
      </c>
      <c r="J122">
        <v>60</v>
      </c>
      <c r="K122">
        <v>4.7</v>
      </c>
      <c r="L122">
        <v>0</v>
      </c>
      <c r="M122">
        <v>0</v>
      </c>
      <c r="N122">
        <v>1025.9000000000001</v>
      </c>
      <c r="O122" s="2">
        <v>45989.041666666664</v>
      </c>
    </row>
    <row r="123" spans="1:15" x14ac:dyDescent="0.35">
      <c r="A123" s="1" t="s">
        <v>137</v>
      </c>
      <c r="B123" s="1" t="s">
        <v>16</v>
      </c>
      <c r="C123" s="2">
        <v>45989.041666666664</v>
      </c>
      <c r="D123">
        <v>-1.9</v>
      </c>
      <c r="E123">
        <v>90</v>
      </c>
      <c r="F123">
        <v>-3.4</v>
      </c>
      <c r="G123">
        <v>0</v>
      </c>
      <c r="H123">
        <v>0</v>
      </c>
      <c r="I123">
        <v>3.1</v>
      </c>
      <c r="J123">
        <v>45</v>
      </c>
      <c r="K123">
        <v>4.3</v>
      </c>
      <c r="L123">
        <v>0</v>
      </c>
      <c r="M123">
        <v>0</v>
      </c>
      <c r="N123">
        <v>1025.8</v>
      </c>
      <c r="O123" s="2">
        <v>45989.083333333336</v>
      </c>
    </row>
    <row r="124" spans="1:15" x14ac:dyDescent="0.35">
      <c r="A124" s="1" t="s">
        <v>138</v>
      </c>
      <c r="B124" s="1" t="s">
        <v>16</v>
      </c>
      <c r="C124" s="2">
        <v>45989.083333333336</v>
      </c>
      <c r="D124">
        <v>-2.2999999999999998</v>
      </c>
      <c r="E124">
        <v>92</v>
      </c>
      <c r="F124">
        <v>-3.4</v>
      </c>
      <c r="G124">
        <v>0</v>
      </c>
      <c r="H124">
        <v>0</v>
      </c>
      <c r="I124">
        <v>3.1</v>
      </c>
      <c r="J124">
        <v>45</v>
      </c>
      <c r="K124">
        <v>4</v>
      </c>
      <c r="L124">
        <v>0</v>
      </c>
      <c r="M124">
        <v>0</v>
      </c>
      <c r="N124">
        <v>1025.7</v>
      </c>
      <c r="O124" s="2">
        <v>45989.125</v>
      </c>
    </row>
    <row r="125" spans="1:15" x14ac:dyDescent="0.35">
      <c r="A125" s="1" t="s">
        <v>139</v>
      </c>
      <c r="B125" s="1" t="s">
        <v>16</v>
      </c>
      <c r="C125" s="2">
        <v>45989.125</v>
      </c>
      <c r="D125">
        <v>-2.7</v>
      </c>
      <c r="E125">
        <v>94</v>
      </c>
      <c r="F125">
        <v>-3.5</v>
      </c>
      <c r="G125">
        <v>0</v>
      </c>
      <c r="H125">
        <v>0</v>
      </c>
      <c r="I125">
        <v>3.1</v>
      </c>
      <c r="J125">
        <v>54</v>
      </c>
      <c r="K125">
        <v>3.6</v>
      </c>
      <c r="L125">
        <v>0</v>
      </c>
      <c r="M125">
        <v>0</v>
      </c>
      <c r="N125">
        <v>1025.5999999999999</v>
      </c>
      <c r="O125" s="2">
        <v>45989.166666666664</v>
      </c>
    </row>
    <row r="126" spans="1:15" x14ac:dyDescent="0.35">
      <c r="A126" s="1" t="s">
        <v>140</v>
      </c>
      <c r="B126" s="1" t="s">
        <v>16</v>
      </c>
      <c r="C126" s="2">
        <v>45989.166666666664</v>
      </c>
      <c r="D126">
        <v>-3.1</v>
      </c>
      <c r="E126">
        <v>96</v>
      </c>
      <c r="F126">
        <v>-3.6</v>
      </c>
      <c r="G126">
        <v>0</v>
      </c>
      <c r="H126">
        <v>0</v>
      </c>
      <c r="I126">
        <v>2.9</v>
      </c>
      <c r="J126">
        <v>60</v>
      </c>
      <c r="K126">
        <v>3.6</v>
      </c>
      <c r="L126">
        <v>0</v>
      </c>
      <c r="M126">
        <v>0</v>
      </c>
      <c r="N126">
        <v>1025.5</v>
      </c>
      <c r="O126" s="2">
        <v>45989.208333333336</v>
      </c>
    </row>
    <row r="127" spans="1:15" x14ac:dyDescent="0.35">
      <c r="A127" s="1" t="s">
        <v>141</v>
      </c>
      <c r="B127" s="1" t="s">
        <v>16</v>
      </c>
      <c r="C127" s="2">
        <v>45989.208333333336</v>
      </c>
      <c r="D127">
        <v>-3.5</v>
      </c>
      <c r="E127">
        <v>96</v>
      </c>
      <c r="F127">
        <v>-4.0999999999999996</v>
      </c>
      <c r="G127">
        <v>0</v>
      </c>
      <c r="H127">
        <v>0</v>
      </c>
      <c r="I127">
        <v>2.9</v>
      </c>
      <c r="J127">
        <v>60</v>
      </c>
      <c r="K127">
        <v>4</v>
      </c>
      <c r="L127">
        <v>0</v>
      </c>
      <c r="M127">
        <v>0</v>
      </c>
      <c r="N127">
        <v>1025.5999999999999</v>
      </c>
      <c r="O127" s="2">
        <v>45989.25</v>
      </c>
    </row>
    <row r="128" spans="1:15" x14ac:dyDescent="0.35">
      <c r="A128" s="1" t="s">
        <v>142</v>
      </c>
      <c r="B128" s="1" t="s">
        <v>16</v>
      </c>
      <c r="C128" s="2">
        <v>45989.25</v>
      </c>
      <c r="D128">
        <v>-3.9</v>
      </c>
      <c r="E128">
        <v>95</v>
      </c>
      <c r="F128">
        <v>-4.5999999999999996</v>
      </c>
      <c r="G128">
        <v>0</v>
      </c>
      <c r="H128">
        <v>0</v>
      </c>
      <c r="I128">
        <v>2.9</v>
      </c>
      <c r="J128">
        <v>60</v>
      </c>
      <c r="K128">
        <v>4.7</v>
      </c>
      <c r="L128">
        <v>0</v>
      </c>
      <c r="M128">
        <v>0</v>
      </c>
      <c r="N128">
        <v>1025.7</v>
      </c>
      <c r="O128" s="2">
        <v>45989.291666666664</v>
      </c>
    </row>
    <row r="129" spans="1:15" x14ac:dyDescent="0.35">
      <c r="A129" s="1" t="s">
        <v>143</v>
      </c>
      <c r="B129" s="1" t="s">
        <v>16</v>
      </c>
      <c r="C129" s="2">
        <v>45989.291666666664</v>
      </c>
      <c r="D129">
        <v>-4.2</v>
      </c>
      <c r="E129">
        <v>94</v>
      </c>
      <c r="F129">
        <v>-5.0999999999999996</v>
      </c>
      <c r="G129">
        <v>0</v>
      </c>
      <c r="H129">
        <v>0</v>
      </c>
      <c r="I129">
        <v>2.9</v>
      </c>
      <c r="J129">
        <v>60</v>
      </c>
      <c r="K129">
        <v>5.4</v>
      </c>
      <c r="L129">
        <v>0</v>
      </c>
      <c r="M129">
        <v>0</v>
      </c>
      <c r="N129">
        <v>1025.8</v>
      </c>
      <c r="O129" s="2">
        <v>45989.333333333336</v>
      </c>
    </row>
    <row r="130" spans="1:15" x14ac:dyDescent="0.35">
      <c r="A130" s="1" t="s">
        <v>144</v>
      </c>
      <c r="B130" s="1" t="s">
        <v>16</v>
      </c>
      <c r="C130" s="2">
        <v>45989.333333333336</v>
      </c>
      <c r="D130">
        <v>-1.4</v>
      </c>
      <c r="E130">
        <v>90</v>
      </c>
      <c r="F130">
        <v>-2.9</v>
      </c>
      <c r="G130">
        <v>0</v>
      </c>
      <c r="H130">
        <v>0</v>
      </c>
      <c r="I130">
        <v>3.3</v>
      </c>
      <c r="J130">
        <v>49</v>
      </c>
      <c r="K130">
        <v>8.6</v>
      </c>
      <c r="L130">
        <v>0</v>
      </c>
      <c r="M130">
        <v>0</v>
      </c>
      <c r="N130">
        <v>1027</v>
      </c>
      <c r="O130" s="2">
        <v>45989.375</v>
      </c>
    </row>
    <row r="131" spans="1:15" x14ac:dyDescent="0.35">
      <c r="A131" s="1" t="s">
        <v>145</v>
      </c>
      <c r="B131" s="1" t="s">
        <v>16</v>
      </c>
      <c r="C131" s="2">
        <v>45989.375</v>
      </c>
      <c r="D131">
        <v>-1.6</v>
      </c>
      <c r="E131">
        <v>90</v>
      </c>
      <c r="F131">
        <v>-3</v>
      </c>
      <c r="G131">
        <v>0</v>
      </c>
      <c r="H131">
        <v>0</v>
      </c>
      <c r="I131">
        <v>3.2</v>
      </c>
      <c r="J131">
        <v>63</v>
      </c>
      <c r="K131">
        <v>9</v>
      </c>
      <c r="L131">
        <v>32</v>
      </c>
      <c r="M131">
        <v>0</v>
      </c>
      <c r="N131">
        <v>1027</v>
      </c>
      <c r="O131" s="2">
        <v>45989.416666666664</v>
      </c>
    </row>
    <row r="132" spans="1:15" x14ac:dyDescent="0.35">
      <c r="A132" s="1" t="s">
        <v>146</v>
      </c>
      <c r="B132" s="1" t="s">
        <v>16</v>
      </c>
      <c r="C132" s="2">
        <v>45989.416666666664</v>
      </c>
      <c r="D132">
        <v>-1.6</v>
      </c>
      <c r="E132">
        <v>90</v>
      </c>
      <c r="F132">
        <v>-3</v>
      </c>
      <c r="G132">
        <v>0</v>
      </c>
      <c r="H132">
        <v>0</v>
      </c>
      <c r="I132">
        <v>3.4</v>
      </c>
      <c r="J132">
        <v>72</v>
      </c>
      <c r="K132">
        <v>9.4</v>
      </c>
      <c r="L132">
        <v>81</v>
      </c>
      <c r="M132">
        <v>0</v>
      </c>
      <c r="N132">
        <v>1026.9000000000001</v>
      </c>
      <c r="O132" s="2">
        <v>45989.458333333336</v>
      </c>
    </row>
    <row r="133" spans="1:15" x14ac:dyDescent="0.35">
      <c r="A133" s="1" t="s">
        <v>147</v>
      </c>
      <c r="B133" s="1" t="s">
        <v>16</v>
      </c>
      <c r="C133" s="2">
        <v>45989.458333333336</v>
      </c>
      <c r="D133">
        <v>-1.4</v>
      </c>
      <c r="E133">
        <v>90</v>
      </c>
      <c r="F133">
        <v>-2.9</v>
      </c>
      <c r="G133">
        <v>0</v>
      </c>
      <c r="H133">
        <v>0</v>
      </c>
      <c r="I133">
        <v>3.5</v>
      </c>
      <c r="J133">
        <v>66</v>
      </c>
      <c r="K133">
        <v>9.6999999999999993</v>
      </c>
      <c r="L133">
        <v>130</v>
      </c>
      <c r="M133">
        <v>0</v>
      </c>
      <c r="N133">
        <v>1026.4000000000001</v>
      </c>
      <c r="O133" s="2">
        <v>45989.5</v>
      </c>
    </row>
    <row r="134" spans="1:15" x14ac:dyDescent="0.35">
      <c r="A134" s="1" t="s">
        <v>148</v>
      </c>
      <c r="B134" s="1" t="s">
        <v>16</v>
      </c>
      <c r="C134" s="2">
        <v>45989.5</v>
      </c>
      <c r="D134">
        <v>-1.2</v>
      </c>
      <c r="E134">
        <v>89</v>
      </c>
      <c r="F134">
        <v>-2.8</v>
      </c>
      <c r="G134">
        <v>0</v>
      </c>
      <c r="H134">
        <v>0</v>
      </c>
      <c r="I134">
        <v>3.8</v>
      </c>
      <c r="J134">
        <v>49</v>
      </c>
      <c r="K134">
        <v>10.4</v>
      </c>
      <c r="L134">
        <v>177</v>
      </c>
      <c r="M134">
        <v>0</v>
      </c>
      <c r="N134">
        <v>1025.8</v>
      </c>
      <c r="O134" s="2">
        <v>45989.541666666664</v>
      </c>
    </row>
    <row r="135" spans="1:15" x14ac:dyDescent="0.35">
      <c r="A135" s="1" t="s">
        <v>149</v>
      </c>
      <c r="B135" s="1" t="s">
        <v>16</v>
      </c>
      <c r="C135" s="2">
        <v>45989.541666666664</v>
      </c>
      <c r="D135">
        <v>-1</v>
      </c>
      <c r="E135">
        <v>88</v>
      </c>
      <c r="F135">
        <v>-2.7</v>
      </c>
      <c r="G135">
        <v>0</v>
      </c>
      <c r="H135">
        <v>0</v>
      </c>
      <c r="I135">
        <v>3.8</v>
      </c>
      <c r="J135">
        <v>41</v>
      </c>
      <c r="K135">
        <v>10.4</v>
      </c>
      <c r="L135">
        <v>200</v>
      </c>
      <c r="M135">
        <v>0</v>
      </c>
      <c r="N135">
        <v>1025.2</v>
      </c>
      <c r="O135" s="2">
        <v>45989.583333333336</v>
      </c>
    </row>
    <row r="136" spans="1:15" x14ac:dyDescent="0.35">
      <c r="A136" s="1" t="s">
        <v>150</v>
      </c>
      <c r="B136" s="1" t="s">
        <v>16</v>
      </c>
      <c r="C136" s="2">
        <v>45989.583333333336</v>
      </c>
      <c r="D136">
        <v>-0.8</v>
      </c>
      <c r="E136">
        <v>86</v>
      </c>
      <c r="F136">
        <v>-2.9</v>
      </c>
      <c r="G136">
        <v>0</v>
      </c>
      <c r="H136">
        <v>0</v>
      </c>
      <c r="I136">
        <v>3.6</v>
      </c>
      <c r="J136">
        <v>45</v>
      </c>
      <c r="K136">
        <v>10.1</v>
      </c>
      <c r="L136">
        <v>191</v>
      </c>
      <c r="M136">
        <v>0</v>
      </c>
      <c r="N136">
        <v>1024.7</v>
      </c>
      <c r="O136" s="2">
        <v>45989.625</v>
      </c>
    </row>
    <row r="137" spans="1:15" x14ac:dyDescent="0.35">
      <c r="A137" s="1" t="s">
        <v>151</v>
      </c>
      <c r="B137" s="1" t="s">
        <v>16</v>
      </c>
      <c r="C137" s="2">
        <v>45989.625</v>
      </c>
      <c r="D137">
        <v>-0.7</v>
      </c>
      <c r="E137">
        <v>84</v>
      </c>
      <c r="F137">
        <v>-3.1</v>
      </c>
      <c r="G137">
        <v>0</v>
      </c>
      <c r="H137">
        <v>0</v>
      </c>
      <c r="I137">
        <v>2.8</v>
      </c>
      <c r="J137">
        <v>50</v>
      </c>
      <c r="K137">
        <v>9.4</v>
      </c>
      <c r="L137">
        <v>151</v>
      </c>
      <c r="M137">
        <v>0</v>
      </c>
      <c r="N137">
        <v>1024.3</v>
      </c>
      <c r="O137" s="2">
        <v>45989.666666666664</v>
      </c>
    </row>
    <row r="138" spans="1:15" x14ac:dyDescent="0.35">
      <c r="A138" s="1" t="s">
        <v>152</v>
      </c>
      <c r="B138" s="1" t="s">
        <v>16</v>
      </c>
      <c r="C138" s="2">
        <v>45989.666666666664</v>
      </c>
      <c r="D138">
        <v>-0.7</v>
      </c>
      <c r="E138">
        <v>83</v>
      </c>
      <c r="F138">
        <v>-3.3</v>
      </c>
      <c r="G138">
        <v>0</v>
      </c>
      <c r="H138">
        <v>0</v>
      </c>
      <c r="I138">
        <v>2.4</v>
      </c>
      <c r="J138">
        <v>63</v>
      </c>
      <c r="K138">
        <v>8.6</v>
      </c>
      <c r="L138">
        <v>82</v>
      </c>
      <c r="M138">
        <v>0</v>
      </c>
      <c r="N138">
        <v>1024.0999999999999</v>
      </c>
      <c r="O138" s="2">
        <v>45989.708333333336</v>
      </c>
    </row>
    <row r="139" spans="1:15" x14ac:dyDescent="0.35">
      <c r="A139" s="1" t="s">
        <v>153</v>
      </c>
      <c r="B139" s="1" t="s">
        <v>16</v>
      </c>
      <c r="C139" s="2">
        <v>45989.708333333336</v>
      </c>
      <c r="D139">
        <v>-0.9</v>
      </c>
      <c r="E139">
        <v>82</v>
      </c>
      <c r="F139">
        <v>-3.6</v>
      </c>
      <c r="G139">
        <v>0</v>
      </c>
      <c r="H139">
        <v>0</v>
      </c>
      <c r="I139">
        <v>2.1</v>
      </c>
      <c r="J139">
        <v>59</v>
      </c>
      <c r="K139">
        <v>7.9</v>
      </c>
      <c r="L139">
        <v>16</v>
      </c>
      <c r="M139">
        <v>0</v>
      </c>
      <c r="N139">
        <v>1024.0999999999999</v>
      </c>
      <c r="O139" s="2">
        <v>45989.75</v>
      </c>
    </row>
    <row r="140" spans="1:15" x14ac:dyDescent="0.35">
      <c r="A140" s="1" t="s">
        <v>154</v>
      </c>
      <c r="B140" s="1" t="s">
        <v>16</v>
      </c>
      <c r="C140" s="2">
        <v>45989.75</v>
      </c>
      <c r="D140">
        <v>-1.1000000000000001</v>
      </c>
      <c r="E140">
        <v>82</v>
      </c>
      <c r="F140">
        <v>-3.8</v>
      </c>
      <c r="G140">
        <v>0</v>
      </c>
      <c r="H140">
        <v>0</v>
      </c>
      <c r="I140">
        <v>2.2999999999999998</v>
      </c>
      <c r="J140">
        <v>39</v>
      </c>
      <c r="K140">
        <v>6.8</v>
      </c>
      <c r="L140">
        <v>0</v>
      </c>
      <c r="M140">
        <v>0</v>
      </c>
      <c r="N140">
        <v>1024.3</v>
      </c>
      <c r="O140" s="2">
        <v>45989.791666666664</v>
      </c>
    </row>
    <row r="141" spans="1:15" x14ac:dyDescent="0.35">
      <c r="A141" s="1" t="s">
        <v>155</v>
      </c>
      <c r="B141" s="1" t="s">
        <v>16</v>
      </c>
      <c r="C141" s="2">
        <v>45989.791666666664</v>
      </c>
      <c r="D141">
        <v>-1.3</v>
      </c>
      <c r="E141">
        <v>83</v>
      </c>
      <c r="F141">
        <v>-3.8</v>
      </c>
      <c r="G141">
        <v>0</v>
      </c>
      <c r="H141">
        <v>0</v>
      </c>
      <c r="I141">
        <v>2.1</v>
      </c>
      <c r="J141">
        <v>31</v>
      </c>
      <c r="K141">
        <v>6.1</v>
      </c>
      <c r="L141">
        <v>0</v>
      </c>
      <c r="M141">
        <v>0</v>
      </c>
      <c r="N141">
        <v>1024.4000000000001</v>
      </c>
      <c r="O141" s="2">
        <v>45989.833333333336</v>
      </c>
    </row>
    <row r="142" spans="1:15" x14ac:dyDescent="0.35">
      <c r="A142" s="1" t="s">
        <v>156</v>
      </c>
      <c r="B142" s="1" t="s">
        <v>16</v>
      </c>
      <c r="C142" s="2">
        <v>45989.833333333336</v>
      </c>
      <c r="D142">
        <v>-1.5</v>
      </c>
      <c r="E142">
        <v>84</v>
      </c>
      <c r="F142">
        <v>-3.8</v>
      </c>
      <c r="G142">
        <v>0</v>
      </c>
      <c r="H142">
        <v>0</v>
      </c>
      <c r="I142">
        <v>1.8</v>
      </c>
      <c r="J142">
        <v>53</v>
      </c>
      <c r="K142">
        <v>5.8</v>
      </c>
      <c r="L142">
        <v>0</v>
      </c>
      <c r="M142">
        <v>0</v>
      </c>
      <c r="N142">
        <v>1024.4000000000001</v>
      </c>
      <c r="O142" s="2">
        <v>45989.875</v>
      </c>
    </row>
    <row r="143" spans="1:15" x14ac:dyDescent="0.35">
      <c r="A143" s="1" t="s">
        <v>157</v>
      </c>
      <c r="B143" s="1" t="s">
        <v>16</v>
      </c>
      <c r="C143" s="2">
        <v>45989.875</v>
      </c>
      <c r="D143">
        <v>-1.6</v>
      </c>
      <c r="E143">
        <v>86</v>
      </c>
      <c r="F143">
        <v>-3.7</v>
      </c>
      <c r="G143">
        <v>0</v>
      </c>
      <c r="H143">
        <v>0</v>
      </c>
      <c r="I143">
        <v>1.8</v>
      </c>
      <c r="J143">
        <v>79</v>
      </c>
      <c r="K143">
        <v>5.8</v>
      </c>
      <c r="L143">
        <v>0</v>
      </c>
      <c r="M143">
        <v>0</v>
      </c>
      <c r="N143">
        <v>1024.3</v>
      </c>
      <c r="O143" s="2">
        <v>45989.916666666664</v>
      </c>
    </row>
    <row r="144" spans="1:15" x14ac:dyDescent="0.35">
      <c r="A144" s="1" t="s">
        <v>158</v>
      </c>
      <c r="B144" s="1" t="s">
        <v>16</v>
      </c>
      <c r="C144" s="2">
        <v>45989.916666666664</v>
      </c>
      <c r="D144">
        <v>-1.8</v>
      </c>
      <c r="E144">
        <v>88</v>
      </c>
      <c r="F144">
        <v>-3.5</v>
      </c>
      <c r="G144">
        <v>0</v>
      </c>
      <c r="H144">
        <v>0</v>
      </c>
      <c r="I144">
        <v>2.2000000000000002</v>
      </c>
      <c r="J144">
        <v>90</v>
      </c>
      <c r="K144">
        <v>5.8</v>
      </c>
      <c r="L144">
        <v>0</v>
      </c>
      <c r="M144">
        <v>0</v>
      </c>
      <c r="N144">
        <v>1024.2</v>
      </c>
      <c r="O144" s="2">
        <v>45989.958333333336</v>
      </c>
    </row>
    <row r="145" spans="1:15" x14ac:dyDescent="0.35">
      <c r="A145" s="1" t="s">
        <v>159</v>
      </c>
      <c r="B145" s="1" t="s">
        <v>16</v>
      </c>
      <c r="C145" s="2">
        <v>45989.958333333336</v>
      </c>
      <c r="D145">
        <v>-2.2000000000000002</v>
      </c>
      <c r="E145">
        <v>91</v>
      </c>
      <c r="F145">
        <v>-3.4</v>
      </c>
      <c r="G145">
        <v>0</v>
      </c>
      <c r="H145">
        <v>0</v>
      </c>
      <c r="I145">
        <v>2.2000000000000002</v>
      </c>
      <c r="J145">
        <v>81</v>
      </c>
      <c r="K145">
        <v>6.5</v>
      </c>
      <c r="L145">
        <v>0</v>
      </c>
      <c r="M145">
        <v>0</v>
      </c>
      <c r="N145">
        <v>1024</v>
      </c>
      <c r="O145" s="2">
        <v>45990</v>
      </c>
    </row>
    <row r="146" spans="1:15" x14ac:dyDescent="0.35">
      <c r="A146" s="1" t="s">
        <v>160</v>
      </c>
      <c r="B146" s="1" t="s">
        <v>16</v>
      </c>
      <c r="C146" s="2">
        <v>45990</v>
      </c>
      <c r="D146">
        <v>-2.5</v>
      </c>
      <c r="E146">
        <v>94</v>
      </c>
      <c r="F146">
        <v>-3.4</v>
      </c>
      <c r="G146">
        <v>0</v>
      </c>
      <c r="H146">
        <v>0</v>
      </c>
      <c r="I146">
        <v>2.6</v>
      </c>
      <c r="J146">
        <v>56</v>
      </c>
      <c r="K146">
        <v>7.2</v>
      </c>
      <c r="L146">
        <v>0</v>
      </c>
      <c r="M146">
        <v>0</v>
      </c>
      <c r="N146">
        <v>1023.8</v>
      </c>
      <c r="O146" s="2">
        <v>45990.041666666664</v>
      </c>
    </row>
    <row r="147" spans="1:15" x14ac:dyDescent="0.35">
      <c r="A147" s="1" t="s">
        <v>161</v>
      </c>
      <c r="B147" s="1" t="s">
        <v>16</v>
      </c>
      <c r="C147" s="2">
        <v>45990.041666666664</v>
      </c>
      <c r="D147">
        <v>-2.9</v>
      </c>
      <c r="E147">
        <v>96</v>
      </c>
      <c r="F147">
        <v>-3.4</v>
      </c>
      <c r="G147">
        <v>0</v>
      </c>
      <c r="H147">
        <v>0</v>
      </c>
      <c r="I147">
        <v>2.8</v>
      </c>
      <c r="J147">
        <v>50</v>
      </c>
      <c r="K147">
        <v>7.6</v>
      </c>
      <c r="L147">
        <v>0</v>
      </c>
      <c r="M147">
        <v>0</v>
      </c>
      <c r="N147">
        <v>1023.6</v>
      </c>
      <c r="O147" s="2">
        <v>45990.083333333336</v>
      </c>
    </row>
    <row r="148" spans="1:15" x14ac:dyDescent="0.35">
      <c r="A148" s="1" t="s">
        <v>162</v>
      </c>
      <c r="B148" s="1" t="s">
        <v>16</v>
      </c>
      <c r="C148" s="2">
        <v>45990.083333333336</v>
      </c>
      <c r="D148">
        <v>-3.1</v>
      </c>
      <c r="E148">
        <v>98</v>
      </c>
      <c r="F148">
        <v>-3.4</v>
      </c>
      <c r="G148">
        <v>0</v>
      </c>
      <c r="H148">
        <v>0</v>
      </c>
      <c r="I148">
        <v>2.1</v>
      </c>
      <c r="J148">
        <v>59</v>
      </c>
      <c r="K148">
        <v>7.2</v>
      </c>
      <c r="L148">
        <v>0</v>
      </c>
      <c r="M148">
        <v>0</v>
      </c>
      <c r="N148">
        <v>1023.4</v>
      </c>
      <c r="O148" s="2">
        <v>45990.125</v>
      </c>
    </row>
    <row r="149" spans="1:15" x14ac:dyDescent="0.35">
      <c r="A149" s="1" t="s">
        <v>163</v>
      </c>
      <c r="B149" s="1" t="s">
        <v>16</v>
      </c>
      <c r="C149" s="2">
        <v>45990.125</v>
      </c>
      <c r="D149">
        <v>-3.3</v>
      </c>
      <c r="E149">
        <v>100</v>
      </c>
      <c r="F149">
        <v>-3.3</v>
      </c>
      <c r="G149">
        <v>0</v>
      </c>
      <c r="H149">
        <v>0</v>
      </c>
      <c r="I149">
        <v>1.8</v>
      </c>
      <c r="J149">
        <v>101</v>
      </c>
      <c r="K149">
        <v>6.8</v>
      </c>
      <c r="L149">
        <v>0</v>
      </c>
      <c r="M149">
        <v>0</v>
      </c>
      <c r="N149">
        <v>1023.3</v>
      </c>
      <c r="O149" s="2">
        <v>45990.166666666664</v>
      </c>
    </row>
    <row r="150" spans="1:15" x14ac:dyDescent="0.35">
      <c r="A150" s="1" t="s">
        <v>164</v>
      </c>
      <c r="B150" s="1" t="s">
        <v>16</v>
      </c>
      <c r="C150" s="2">
        <v>45990.166666666664</v>
      </c>
      <c r="D150">
        <v>-3.3</v>
      </c>
      <c r="E150">
        <v>100</v>
      </c>
      <c r="F150">
        <v>-3.3</v>
      </c>
      <c r="G150">
        <v>0</v>
      </c>
      <c r="H150">
        <v>0</v>
      </c>
      <c r="I150">
        <v>1.8</v>
      </c>
      <c r="J150">
        <v>127</v>
      </c>
      <c r="K150">
        <v>6.5</v>
      </c>
      <c r="L150">
        <v>0</v>
      </c>
      <c r="M150">
        <v>0</v>
      </c>
      <c r="N150">
        <v>1023.1</v>
      </c>
      <c r="O150" s="2">
        <v>45990.208333333336</v>
      </c>
    </row>
    <row r="151" spans="1:15" x14ac:dyDescent="0.35">
      <c r="A151" s="1" t="s">
        <v>165</v>
      </c>
      <c r="B151" s="1" t="s">
        <v>16</v>
      </c>
      <c r="C151" s="2">
        <v>45990.208333333336</v>
      </c>
      <c r="D151">
        <v>-3.2</v>
      </c>
      <c r="E151">
        <v>97</v>
      </c>
      <c r="F151">
        <v>-3.6</v>
      </c>
      <c r="G151">
        <v>0</v>
      </c>
      <c r="H151">
        <v>0</v>
      </c>
      <c r="I151">
        <v>1.6</v>
      </c>
      <c r="J151">
        <v>117</v>
      </c>
      <c r="K151">
        <v>6.1</v>
      </c>
      <c r="L151">
        <v>0</v>
      </c>
      <c r="M151">
        <v>0</v>
      </c>
      <c r="N151">
        <v>1022.8</v>
      </c>
      <c r="O151" s="2">
        <v>45990.25</v>
      </c>
    </row>
    <row r="152" spans="1:15" x14ac:dyDescent="0.35">
      <c r="A152" s="1" t="s">
        <v>166</v>
      </c>
      <c r="B152" s="1" t="s">
        <v>16</v>
      </c>
      <c r="C152" s="2">
        <v>45990.25</v>
      </c>
      <c r="D152">
        <v>-2.9</v>
      </c>
      <c r="E152">
        <v>92</v>
      </c>
      <c r="F152">
        <v>-4</v>
      </c>
      <c r="G152">
        <v>0</v>
      </c>
      <c r="H152">
        <v>0</v>
      </c>
      <c r="I152">
        <v>1.1000000000000001</v>
      </c>
      <c r="J152">
        <v>72</v>
      </c>
      <c r="K152">
        <v>6.1</v>
      </c>
      <c r="L152">
        <v>0</v>
      </c>
      <c r="M152">
        <v>0</v>
      </c>
      <c r="N152">
        <v>1022.5</v>
      </c>
      <c r="O152" s="2">
        <v>45990.291666666664</v>
      </c>
    </row>
    <row r="153" spans="1:15" x14ac:dyDescent="0.35">
      <c r="A153" s="1" t="s">
        <v>167</v>
      </c>
      <c r="B153" s="1" t="s">
        <v>16</v>
      </c>
      <c r="C153" s="2">
        <v>45990.291666666664</v>
      </c>
      <c r="D153">
        <v>-2.6</v>
      </c>
      <c r="E153">
        <v>88</v>
      </c>
      <c r="F153">
        <v>-4.3</v>
      </c>
      <c r="G153">
        <v>0</v>
      </c>
      <c r="H153">
        <v>0</v>
      </c>
      <c r="I153">
        <v>1.8</v>
      </c>
      <c r="J153">
        <v>37</v>
      </c>
      <c r="K153">
        <v>6.5</v>
      </c>
      <c r="L153">
        <v>0</v>
      </c>
      <c r="M153">
        <v>0</v>
      </c>
      <c r="N153">
        <v>1022.3</v>
      </c>
      <c r="O153" s="2">
        <v>45990.333333333336</v>
      </c>
    </row>
    <row r="154" spans="1:15" x14ac:dyDescent="0.35">
      <c r="A154" s="1" t="s">
        <v>168</v>
      </c>
      <c r="B154" s="1" t="s">
        <v>16</v>
      </c>
      <c r="C154" s="2">
        <v>45990.333333333336</v>
      </c>
      <c r="D154">
        <v>-2.6</v>
      </c>
      <c r="E154">
        <v>87</v>
      </c>
      <c r="F154">
        <v>-4.4000000000000004</v>
      </c>
      <c r="G154">
        <v>0</v>
      </c>
      <c r="H154">
        <v>0</v>
      </c>
      <c r="I154">
        <v>2.4</v>
      </c>
      <c r="J154">
        <v>27</v>
      </c>
      <c r="K154">
        <v>7.9</v>
      </c>
      <c r="L154">
        <v>0</v>
      </c>
      <c r="M154">
        <v>0</v>
      </c>
      <c r="N154">
        <v>1022.3</v>
      </c>
      <c r="O154" s="2">
        <v>45990.375</v>
      </c>
    </row>
    <row r="155" spans="1:15" x14ac:dyDescent="0.35">
      <c r="A155" s="1" t="s">
        <v>169</v>
      </c>
      <c r="B155" s="1" t="s">
        <v>16</v>
      </c>
      <c r="C155" s="2">
        <v>45990.375</v>
      </c>
      <c r="D155">
        <v>-2.6</v>
      </c>
      <c r="E155">
        <v>87</v>
      </c>
      <c r="F155">
        <v>-4.4000000000000004</v>
      </c>
      <c r="G155">
        <v>0</v>
      </c>
      <c r="H155">
        <v>0</v>
      </c>
      <c r="I155">
        <v>3.2</v>
      </c>
      <c r="J155">
        <v>27</v>
      </c>
      <c r="K155">
        <v>9.6999999999999993</v>
      </c>
      <c r="L155">
        <v>50</v>
      </c>
      <c r="M155">
        <v>0</v>
      </c>
      <c r="N155">
        <v>1022.4</v>
      </c>
      <c r="O155" s="2">
        <v>45990.416666666664</v>
      </c>
    </row>
    <row r="156" spans="1:15" x14ac:dyDescent="0.35">
      <c r="A156" s="1" t="s">
        <v>170</v>
      </c>
      <c r="B156" s="1" t="s">
        <v>16</v>
      </c>
      <c r="C156" s="2">
        <v>45990.416666666664</v>
      </c>
      <c r="D156">
        <v>-2.4</v>
      </c>
      <c r="E156">
        <v>86</v>
      </c>
      <c r="F156">
        <v>-4.4000000000000004</v>
      </c>
      <c r="G156">
        <v>0</v>
      </c>
      <c r="H156">
        <v>0</v>
      </c>
      <c r="I156">
        <v>3.5</v>
      </c>
      <c r="J156">
        <v>24</v>
      </c>
      <c r="K156">
        <v>10.8</v>
      </c>
      <c r="L156">
        <v>129</v>
      </c>
      <c r="M156">
        <v>0</v>
      </c>
      <c r="N156">
        <v>1022.3</v>
      </c>
      <c r="O156" s="2">
        <v>45990.458333333336</v>
      </c>
    </row>
    <row r="157" spans="1:15" x14ac:dyDescent="0.35">
      <c r="A157" s="1" t="s">
        <v>171</v>
      </c>
      <c r="B157" s="1" t="s">
        <v>16</v>
      </c>
      <c r="C157" s="2">
        <v>45990.458333333336</v>
      </c>
      <c r="D157">
        <v>-1.8</v>
      </c>
      <c r="E157">
        <v>84</v>
      </c>
      <c r="F157">
        <v>-4.0999999999999996</v>
      </c>
      <c r="G157">
        <v>0</v>
      </c>
      <c r="H157">
        <v>0</v>
      </c>
      <c r="I157">
        <v>3.4</v>
      </c>
      <c r="J157">
        <v>32</v>
      </c>
      <c r="K157">
        <v>11.2</v>
      </c>
      <c r="L157">
        <v>199</v>
      </c>
      <c r="M157">
        <v>0</v>
      </c>
      <c r="N157">
        <v>1021.7</v>
      </c>
      <c r="O157" s="2">
        <v>45990.5</v>
      </c>
    </row>
    <row r="158" spans="1:15" x14ac:dyDescent="0.35">
      <c r="A158" s="1" t="s">
        <v>172</v>
      </c>
      <c r="B158" s="1" t="s">
        <v>16</v>
      </c>
      <c r="C158" s="2">
        <v>45990.5</v>
      </c>
      <c r="D158">
        <v>-1</v>
      </c>
      <c r="E158">
        <v>82</v>
      </c>
      <c r="F158">
        <v>-3.7</v>
      </c>
      <c r="G158">
        <v>0</v>
      </c>
      <c r="H158">
        <v>0</v>
      </c>
      <c r="I158">
        <v>3.1</v>
      </c>
      <c r="J158">
        <v>36</v>
      </c>
      <c r="K158">
        <v>10.8</v>
      </c>
      <c r="L158">
        <v>257</v>
      </c>
      <c r="M158">
        <v>0</v>
      </c>
      <c r="N158">
        <v>1020.9</v>
      </c>
      <c r="O158" s="2">
        <v>45990.541666666664</v>
      </c>
    </row>
    <row r="159" spans="1:15" x14ac:dyDescent="0.35">
      <c r="A159" s="1" t="s">
        <v>173</v>
      </c>
      <c r="B159" s="1" t="s">
        <v>16</v>
      </c>
      <c r="C159" s="2">
        <v>45990.541666666664</v>
      </c>
      <c r="D159">
        <v>-0.4</v>
      </c>
      <c r="E159">
        <v>80</v>
      </c>
      <c r="F159">
        <v>-3.4</v>
      </c>
      <c r="G159">
        <v>0</v>
      </c>
      <c r="H159">
        <v>0</v>
      </c>
      <c r="I159">
        <v>2.8</v>
      </c>
      <c r="J159">
        <v>50</v>
      </c>
      <c r="K159">
        <v>10.4</v>
      </c>
      <c r="L159">
        <v>281</v>
      </c>
      <c r="M159">
        <v>0</v>
      </c>
      <c r="N159">
        <v>1020.1</v>
      </c>
      <c r="O159" s="2">
        <v>45990.583333333336</v>
      </c>
    </row>
    <row r="160" spans="1:15" x14ac:dyDescent="0.35">
      <c r="A160" s="1" t="s">
        <v>174</v>
      </c>
      <c r="B160" s="1" t="s">
        <v>16</v>
      </c>
      <c r="C160" s="2">
        <v>45990.583333333336</v>
      </c>
      <c r="D160">
        <v>0</v>
      </c>
      <c r="E160">
        <v>79</v>
      </c>
      <c r="F160">
        <v>-3.2</v>
      </c>
      <c r="G160">
        <v>0</v>
      </c>
      <c r="H160">
        <v>0</v>
      </c>
      <c r="I160">
        <v>2.6</v>
      </c>
      <c r="J160">
        <v>56</v>
      </c>
      <c r="K160">
        <v>9.6999999999999993</v>
      </c>
      <c r="L160">
        <v>265</v>
      </c>
      <c r="M160">
        <v>0</v>
      </c>
      <c r="N160">
        <v>1019.5</v>
      </c>
      <c r="O160" s="2">
        <v>45990.625</v>
      </c>
    </row>
    <row r="161" spans="1:15" x14ac:dyDescent="0.35">
      <c r="A161" s="1" t="s">
        <v>175</v>
      </c>
      <c r="B161" s="1" t="s">
        <v>16</v>
      </c>
      <c r="C161" s="2">
        <v>45990.625</v>
      </c>
      <c r="D161">
        <v>0.2</v>
      </c>
      <c r="E161">
        <v>79</v>
      </c>
      <c r="F161">
        <v>-3</v>
      </c>
      <c r="G161">
        <v>0</v>
      </c>
      <c r="H161">
        <v>0</v>
      </c>
      <c r="I161">
        <v>2.7</v>
      </c>
      <c r="J161">
        <v>67</v>
      </c>
      <c r="K161">
        <v>9</v>
      </c>
      <c r="L161">
        <v>208</v>
      </c>
      <c r="M161">
        <v>0</v>
      </c>
      <c r="N161">
        <v>1019</v>
      </c>
      <c r="O161" s="2">
        <v>45990.666666666664</v>
      </c>
    </row>
    <row r="162" spans="1:15" x14ac:dyDescent="0.35">
      <c r="A162" s="1" t="s">
        <v>176</v>
      </c>
      <c r="B162" s="1" t="s">
        <v>16</v>
      </c>
      <c r="C162" s="2">
        <v>45990.666666666664</v>
      </c>
      <c r="D162">
        <v>0.2</v>
      </c>
      <c r="E162">
        <v>80</v>
      </c>
      <c r="F162">
        <v>-2.9</v>
      </c>
      <c r="G162">
        <v>0</v>
      </c>
      <c r="H162">
        <v>0</v>
      </c>
      <c r="I162">
        <v>2.7</v>
      </c>
      <c r="J162">
        <v>67</v>
      </c>
      <c r="K162">
        <v>8.6</v>
      </c>
      <c r="L162">
        <v>112</v>
      </c>
      <c r="M162">
        <v>0</v>
      </c>
      <c r="N162">
        <v>1018.6</v>
      </c>
      <c r="O162" s="2">
        <v>45990.708333333336</v>
      </c>
    </row>
    <row r="163" spans="1:15" x14ac:dyDescent="0.35">
      <c r="A163" s="1" t="s">
        <v>177</v>
      </c>
      <c r="B163" s="1" t="s">
        <v>16</v>
      </c>
      <c r="C163" s="2">
        <v>45990.708333333336</v>
      </c>
      <c r="D163">
        <v>-0.1</v>
      </c>
      <c r="E163">
        <v>81</v>
      </c>
      <c r="F163">
        <v>-3</v>
      </c>
      <c r="G163">
        <v>0</v>
      </c>
      <c r="H163">
        <v>0</v>
      </c>
      <c r="I163">
        <v>2.9</v>
      </c>
      <c r="J163">
        <v>60</v>
      </c>
      <c r="K163">
        <v>8.6</v>
      </c>
      <c r="L163">
        <v>20</v>
      </c>
      <c r="M163">
        <v>0</v>
      </c>
      <c r="N163">
        <v>1018.2</v>
      </c>
      <c r="O163" s="2">
        <v>45990.75</v>
      </c>
    </row>
    <row r="164" spans="1:15" x14ac:dyDescent="0.35">
      <c r="A164" s="1" t="s">
        <v>178</v>
      </c>
      <c r="B164" s="1" t="s">
        <v>16</v>
      </c>
      <c r="C164" s="2">
        <v>45990.75</v>
      </c>
      <c r="D164">
        <v>-0.7</v>
      </c>
      <c r="E164">
        <v>83</v>
      </c>
      <c r="F164">
        <v>-3.2</v>
      </c>
      <c r="G164">
        <v>0</v>
      </c>
      <c r="H164">
        <v>0</v>
      </c>
      <c r="I164">
        <v>2.8</v>
      </c>
      <c r="J164">
        <v>50</v>
      </c>
      <c r="K164">
        <v>8.6</v>
      </c>
      <c r="L164">
        <v>0</v>
      </c>
      <c r="M164">
        <v>0</v>
      </c>
      <c r="N164">
        <v>1017.9</v>
      </c>
      <c r="O164" s="2">
        <v>45990.791666666664</v>
      </c>
    </row>
    <row r="165" spans="1:15" x14ac:dyDescent="0.35">
      <c r="A165" s="1" t="s">
        <v>179</v>
      </c>
      <c r="B165" s="1" t="s">
        <v>16</v>
      </c>
      <c r="C165" s="2">
        <v>45990.791666666664</v>
      </c>
      <c r="D165">
        <v>-1.2</v>
      </c>
      <c r="E165">
        <v>85</v>
      </c>
      <c r="F165">
        <v>-3.4</v>
      </c>
      <c r="G165">
        <v>0</v>
      </c>
      <c r="H165">
        <v>0</v>
      </c>
      <c r="I165">
        <v>3.1</v>
      </c>
      <c r="J165">
        <v>45</v>
      </c>
      <c r="K165">
        <v>8.6</v>
      </c>
      <c r="L165">
        <v>0</v>
      </c>
      <c r="M165">
        <v>0</v>
      </c>
      <c r="N165">
        <v>1017.7</v>
      </c>
      <c r="O165" s="2">
        <v>45990.833333333336</v>
      </c>
    </row>
    <row r="166" spans="1:15" x14ac:dyDescent="0.35">
      <c r="A166" s="1" t="s">
        <v>180</v>
      </c>
      <c r="B166" s="1" t="s">
        <v>16</v>
      </c>
      <c r="C166" s="2">
        <v>45990.833333333336</v>
      </c>
      <c r="D166">
        <v>-1.6</v>
      </c>
      <c r="E166">
        <v>86</v>
      </c>
      <c r="F166">
        <v>-3.7</v>
      </c>
      <c r="G166">
        <v>0</v>
      </c>
      <c r="H166">
        <v>0</v>
      </c>
      <c r="I166">
        <v>2.8</v>
      </c>
      <c r="J166">
        <v>50</v>
      </c>
      <c r="K166">
        <v>7.9</v>
      </c>
      <c r="L166">
        <v>0</v>
      </c>
      <c r="M166">
        <v>0</v>
      </c>
      <c r="N166">
        <v>1017.6</v>
      </c>
      <c r="O166" s="2">
        <v>45990.875</v>
      </c>
    </row>
    <row r="167" spans="1:15" x14ac:dyDescent="0.35">
      <c r="A167" s="1" t="s">
        <v>181</v>
      </c>
      <c r="B167" s="1" t="s">
        <v>16</v>
      </c>
      <c r="C167" s="2">
        <v>45990.875</v>
      </c>
      <c r="D167">
        <v>-2</v>
      </c>
      <c r="E167">
        <v>88</v>
      </c>
      <c r="F167">
        <v>-3.7</v>
      </c>
      <c r="G167">
        <v>0</v>
      </c>
      <c r="H167">
        <v>0</v>
      </c>
      <c r="I167">
        <v>2.6</v>
      </c>
      <c r="J167">
        <v>56</v>
      </c>
      <c r="K167">
        <v>6.8</v>
      </c>
      <c r="L167">
        <v>0</v>
      </c>
      <c r="M167">
        <v>0</v>
      </c>
      <c r="N167">
        <v>1017.5</v>
      </c>
      <c r="O167" s="2">
        <v>45990.916666666664</v>
      </c>
    </row>
    <row r="168" spans="1:15" x14ac:dyDescent="0.35">
      <c r="A168" s="1" t="s">
        <v>182</v>
      </c>
      <c r="B168" s="1" t="s">
        <v>16</v>
      </c>
      <c r="C168" s="2">
        <v>45990.916666666664</v>
      </c>
      <c r="D168">
        <v>-2.2999999999999998</v>
      </c>
      <c r="E168">
        <v>89</v>
      </c>
      <c r="F168">
        <v>-3.8</v>
      </c>
      <c r="G168">
        <v>0</v>
      </c>
      <c r="H168">
        <v>0</v>
      </c>
      <c r="I168">
        <v>2.2999999999999998</v>
      </c>
      <c r="J168">
        <v>72</v>
      </c>
      <c r="K168">
        <v>5.8</v>
      </c>
      <c r="L168">
        <v>0</v>
      </c>
      <c r="M168">
        <v>0</v>
      </c>
      <c r="N168">
        <v>1017.4</v>
      </c>
      <c r="O168" s="2">
        <v>45990.958333333336</v>
      </c>
    </row>
    <row r="169" spans="1:15" x14ac:dyDescent="0.35">
      <c r="A169" s="1" t="s">
        <v>183</v>
      </c>
      <c r="B169" s="1" t="s">
        <v>16</v>
      </c>
      <c r="C169" s="2">
        <v>45990.958333333336</v>
      </c>
      <c r="D169">
        <v>-2.4</v>
      </c>
      <c r="E169">
        <v>91</v>
      </c>
      <c r="F169">
        <v>-3.6</v>
      </c>
      <c r="G169">
        <v>0</v>
      </c>
      <c r="H169">
        <v>0</v>
      </c>
      <c r="I169">
        <v>1.8</v>
      </c>
      <c r="J169">
        <v>79</v>
      </c>
      <c r="K169">
        <v>4.7</v>
      </c>
      <c r="L169">
        <v>0</v>
      </c>
      <c r="M169">
        <v>0</v>
      </c>
      <c r="N169">
        <v>1017.1</v>
      </c>
      <c r="O169" s="2">
        <v>45991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2A60-9284-492B-994C-7021588A551F}">
  <dimension ref="A1:I361"/>
  <sheetViews>
    <sheetView topLeftCell="B1" workbookViewId="0">
      <selection activeCell="H2" sqref="H2"/>
    </sheetView>
  </sheetViews>
  <sheetFormatPr defaultRowHeight="14.5" x14ac:dyDescent="0.35"/>
  <cols>
    <col min="1" max="1" width="80.7265625" bestFit="1" customWidth="1"/>
    <col min="2" max="2" width="40.7265625" bestFit="1" customWidth="1"/>
    <col min="3" max="3" width="20.453125" bestFit="1" customWidth="1"/>
    <col min="4" max="4" width="28.453125" bestFit="1" customWidth="1"/>
    <col min="5" max="5" width="30.453125" bestFit="1" customWidth="1"/>
    <col min="6" max="6" width="30" bestFit="1" customWidth="1"/>
    <col min="7" max="7" width="29.54296875" bestFit="1" customWidth="1"/>
    <col min="8" max="8" width="33.26953125" bestFit="1" customWidth="1"/>
    <col min="9" max="9" width="25" bestFit="1" customWidth="1"/>
  </cols>
  <sheetData>
    <row r="1" spans="1:9" x14ac:dyDescent="0.3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</row>
    <row r="2" spans="1:9" x14ac:dyDescent="0.35">
      <c r="A2" s="1" t="s">
        <v>193</v>
      </c>
      <c r="B2" s="1" t="s">
        <v>194</v>
      </c>
      <c r="C2" s="2">
        <v>45984.479166666664</v>
      </c>
      <c r="D2">
        <v>-2.6</v>
      </c>
      <c r="E2">
        <v>0</v>
      </c>
      <c r="F2">
        <v>4.7</v>
      </c>
      <c r="G2">
        <v>10.8</v>
      </c>
      <c r="H2">
        <v>254.9</v>
      </c>
      <c r="I2" s="2">
        <v>45984.520833333336</v>
      </c>
    </row>
    <row r="3" spans="1:9" x14ac:dyDescent="0.35">
      <c r="A3" s="1" t="s">
        <v>195</v>
      </c>
      <c r="B3" s="1" t="s">
        <v>194</v>
      </c>
      <c r="C3" s="2">
        <v>45984.489583333336</v>
      </c>
      <c r="D3">
        <v>-2.2000000000000002</v>
      </c>
      <c r="E3">
        <v>0</v>
      </c>
      <c r="F3">
        <v>4.4000000000000004</v>
      </c>
      <c r="G3">
        <v>11.5</v>
      </c>
      <c r="H3">
        <v>236.8</v>
      </c>
      <c r="I3" s="2">
        <v>45984.53125</v>
      </c>
    </row>
    <row r="4" spans="1:9" x14ac:dyDescent="0.35">
      <c r="A4" s="1" t="s">
        <v>196</v>
      </c>
      <c r="B4" s="1" t="s">
        <v>194</v>
      </c>
      <c r="C4" s="2">
        <v>45984.5</v>
      </c>
      <c r="D4">
        <v>-1.8</v>
      </c>
      <c r="E4">
        <v>0</v>
      </c>
      <c r="F4">
        <v>3.9</v>
      </c>
      <c r="G4">
        <v>11.9</v>
      </c>
      <c r="H4">
        <v>276.10000000000002</v>
      </c>
      <c r="I4" s="2">
        <v>45984.541666666664</v>
      </c>
    </row>
    <row r="5" spans="1:9" x14ac:dyDescent="0.35">
      <c r="A5" s="1" t="s">
        <v>197</v>
      </c>
      <c r="B5" s="1" t="s">
        <v>194</v>
      </c>
      <c r="C5" s="2">
        <v>45984.510416666664</v>
      </c>
      <c r="D5">
        <v>-1.4</v>
      </c>
      <c r="E5">
        <v>0</v>
      </c>
      <c r="F5">
        <v>3.4</v>
      </c>
      <c r="G5">
        <v>11.2</v>
      </c>
      <c r="H5">
        <v>290.10000000000002</v>
      </c>
      <c r="I5" s="2">
        <v>45984.552083333336</v>
      </c>
    </row>
    <row r="6" spans="1:9" x14ac:dyDescent="0.35">
      <c r="A6" s="1" t="s">
        <v>198</v>
      </c>
      <c r="B6" s="1" t="s">
        <v>194</v>
      </c>
      <c r="C6" s="2">
        <v>45984.520833333336</v>
      </c>
      <c r="D6">
        <v>-0.9</v>
      </c>
      <c r="E6">
        <v>0</v>
      </c>
      <c r="F6">
        <v>2.4</v>
      </c>
      <c r="G6">
        <v>10.1</v>
      </c>
      <c r="H6">
        <v>334.9</v>
      </c>
      <c r="I6" s="2">
        <v>45984.5625</v>
      </c>
    </row>
    <row r="7" spans="1:9" x14ac:dyDescent="0.35">
      <c r="A7" s="1" t="s">
        <v>199</v>
      </c>
      <c r="B7" s="1" t="s">
        <v>194</v>
      </c>
      <c r="C7" s="2">
        <v>45984.53125</v>
      </c>
      <c r="D7">
        <v>-0.6</v>
      </c>
      <c r="E7">
        <v>0</v>
      </c>
      <c r="F7">
        <v>1.6</v>
      </c>
      <c r="G7">
        <v>8.6</v>
      </c>
      <c r="H7">
        <v>271.10000000000002</v>
      </c>
      <c r="I7" s="2">
        <v>45984.572916666664</v>
      </c>
    </row>
    <row r="8" spans="1:9" x14ac:dyDescent="0.35">
      <c r="A8" s="1" t="s">
        <v>200</v>
      </c>
      <c r="B8" s="1" t="s">
        <v>194</v>
      </c>
      <c r="C8" s="2">
        <v>45984.541666666664</v>
      </c>
      <c r="D8">
        <v>-0.3</v>
      </c>
      <c r="E8">
        <v>0</v>
      </c>
      <c r="F8">
        <v>1.5</v>
      </c>
      <c r="G8">
        <v>7.9</v>
      </c>
      <c r="H8">
        <v>224.6</v>
      </c>
      <c r="I8" s="2">
        <v>45984.583333333336</v>
      </c>
    </row>
    <row r="9" spans="1:9" x14ac:dyDescent="0.35">
      <c r="A9" s="1" t="s">
        <v>201</v>
      </c>
      <c r="B9" s="1" t="s">
        <v>194</v>
      </c>
      <c r="C9" s="2">
        <v>45984.552083333336</v>
      </c>
      <c r="D9">
        <v>-0.1</v>
      </c>
      <c r="E9">
        <v>0</v>
      </c>
      <c r="F9">
        <v>1.9</v>
      </c>
      <c r="G9">
        <v>7.6</v>
      </c>
      <c r="H9">
        <v>200</v>
      </c>
      <c r="I9" s="2">
        <v>45984.59375</v>
      </c>
    </row>
    <row r="10" spans="1:9" x14ac:dyDescent="0.35">
      <c r="A10" s="1" t="s">
        <v>202</v>
      </c>
      <c r="B10" s="1" t="s">
        <v>194</v>
      </c>
      <c r="C10" s="2">
        <v>45984.5625</v>
      </c>
      <c r="D10">
        <v>0.2</v>
      </c>
      <c r="E10">
        <v>0</v>
      </c>
      <c r="F10">
        <v>2.9</v>
      </c>
      <c r="G10">
        <v>7.6</v>
      </c>
      <c r="H10">
        <v>222.7</v>
      </c>
      <c r="I10" s="2">
        <v>45984.604166666664</v>
      </c>
    </row>
    <row r="11" spans="1:9" x14ac:dyDescent="0.35">
      <c r="A11" s="1" t="s">
        <v>203</v>
      </c>
      <c r="B11" s="1" t="s">
        <v>194</v>
      </c>
      <c r="C11" s="2">
        <v>45984.572916666664</v>
      </c>
      <c r="D11">
        <v>0.4</v>
      </c>
      <c r="E11">
        <v>0</v>
      </c>
      <c r="F11">
        <v>3.9</v>
      </c>
      <c r="G11">
        <v>7.9</v>
      </c>
      <c r="H11">
        <v>148.4</v>
      </c>
      <c r="I11" s="2">
        <v>45984.614583333336</v>
      </c>
    </row>
    <row r="12" spans="1:9" x14ac:dyDescent="0.35">
      <c r="A12" s="1" t="s">
        <v>204</v>
      </c>
      <c r="B12" s="1" t="s">
        <v>194</v>
      </c>
      <c r="C12" s="2">
        <v>45984.583333333336</v>
      </c>
      <c r="D12">
        <v>0.6</v>
      </c>
      <c r="E12">
        <v>0</v>
      </c>
      <c r="F12">
        <v>4.9000000000000004</v>
      </c>
      <c r="G12">
        <v>8.6</v>
      </c>
      <c r="H12">
        <v>141.80000000000001</v>
      </c>
      <c r="I12" s="2">
        <v>45984.625</v>
      </c>
    </row>
    <row r="13" spans="1:9" x14ac:dyDescent="0.35">
      <c r="A13" s="1" t="s">
        <v>205</v>
      </c>
      <c r="B13" s="1" t="s">
        <v>194</v>
      </c>
      <c r="C13" s="2">
        <v>45984.59375</v>
      </c>
      <c r="D13">
        <v>0.7</v>
      </c>
      <c r="E13">
        <v>0</v>
      </c>
      <c r="F13">
        <v>5.9</v>
      </c>
      <c r="G13">
        <v>10.4</v>
      </c>
      <c r="H13">
        <v>111</v>
      </c>
      <c r="I13" s="2">
        <v>45984.635416666664</v>
      </c>
    </row>
    <row r="14" spans="1:9" x14ac:dyDescent="0.35">
      <c r="A14" s="1" t="s">
        <v>206</v>
      </c>
      <c r="B14" s="1" t="s">
        <v>194</v>
      </c>
      <c r="C14" s="2">
        <v>45984.604166666664</v>
      </c>
      <c r="D14">
        <v>0.8</v>
      </c>
      <c r="E14">
        <v>0</v>
      </c>
      <c r="F14">
        <v>6.9</v>
      </c>
      <c r="G14">
        <v>13</v>
      </c>
      <c r="H14">
        <v>118.9</v>
      </c>
      <c r="I14" s="2">
        <v>45984.645833333336</v>
      </c>
    </row>
    <row r="15" spans="1:9" x14ac:dyDescent="0.35">
      <c r="A15" s="1" t="s">
        <v>207</v>
      </c>
      <c r="B15" s="1" t="s">
        <v>194</v>
      </c>
      <c r="C15" s="2">
        <v>45984.614583333336</v>
      </c>
      <c r="D15">
        <v>0.9</v>
      </c>
      <c r="E15">
        <v>0</v>
      </c>
      <c r="F15">
        <v>7.9</v>
      </c>
      <c r="G15">
        <v>15.1</v>
      </c>
      <c r="H15">
        <v>100.8</v>
      </c>
      <c r="I15" s="2">
        <v>45984.65625</v>
      </c>
    </row>
    <row r="16" spans="1:9" x14ac:dyDescent="0.35">
      <c r="A16" s="1" t="s">
        <v>208</v>
      </c>
      <c r="B16" s="1" t="s">
        <v>194</v>
      </c>
      <c r="C16" s="2">
        <v>45984.625</v>
      </c>
      <c r="D16">
        <v>0.9</v>
      </c>
      <c r="E16">
        <v>0</v>
      </c>
      <c r="F16">
        <v>7.9</v>
      </c>
      <c r="G16">
        <v>16.2</v>
      </c>
      <c r="H16">
        <v>111</v>
      </c>
      <c r="I16" s="2">
        <v>45984.666666666664</v>
      </c>
    </row>
    <row r="17" spans="1:9" x14ac:dyDescent="0.35">
      <c r="A17" s="1" t="s">
        <v>209</v>
      </c>
      <c r="B17" s="1" t="s">
        <v>194</v>
      </c>
      <c r="C17" s="2">
        <v>45984.635416666664</v>
      </c>
      <c r="D17">
        <v>1</v>
      </c>
      <c r="E17">
        <v>0</v>
      </c>
      <c r="F17">
        <v>7.1</v>
      </c>
      <c r="G17">
        <v>15.5</v>
      </c>
      <c r="H17">
        <v>93.6</v>
      </c>
      <c r="I17" s="2">
        <v>45984.677083333336</v>
      </c>
    </row>
    <row r="18" spans="1:9" x14ac:dyDescent="0.35">
      <c r="A18" s="1" t="s">
        <v>210</v>
      </c>
      <c r="B18" s="1" t="s">
        <v>194</v>
      </c>
      <c r="C18" s="2">
        <v>45984.645833333336</v>
      </c>
      <c r="D18">
        <v>1</v>
      </c>
      <c r="E18">
        <v>0</v>
      </c>
      <c r="F18">
        <v>5.7</v>
      </c>
      <c r="G18">
        <v>14</v>
      </c>
      <c r="H18">
        <v>72.7</v>
      </c>
      <c r="I18" s="2">
        <v>45984.6875</v>
      </c>
    </row>
    <row r="19" spans="1:9" x14ac:dyDescent="0.35">
      <c r="A19" s="1" t="s">
        <v>211</v>
      </c>
      <c r="B19" s="1" t="s">
        <v>194</v>
      </c>
      <c r="C19" s="2">
        <v>45984.65625</v>
      </c>
      <c r="D19">
        <v>1.1000000000000001</v>
      </c>
      <c r="E19">
        <v>0</v>
      </c>
      <c r="F19">
        <v>3.9</v>
      </c>
      <c r="G19">
        <v>11.9</v>
      </c>
      <c r="H19">
        <v>53.8</v>
      </c>
      <c r="I19" s="2">
        <v>45984.697916666664</v>
      </c>
    </row>
    <row r="20" spans="1:9" x14ac:dyDescent="0.35">
      <c r="A20" s="1" t="s">
        <v>212</v>
      </c>
      <c r="B20" s="1" t="s">
        <v>194</v>
      </c>
      <c r="C20" s="2">
        <v>45984.666666666664</v>
      </c>
      <c r="D20">
        <v>1</v>
      </c>
      <c r="E20">
        <v>0</v>
      </c>
      <c r="F20">
        <v>3.3</v>
      </c>
      <c r="G20">
        <v>10.4</v>
      </c>
      <c r="H20">
        <v>25.1</v>
      </c>
      <c r="I20" s="2">
        <v>45984.708333333336</v>
      </c>
    </row>
    <row r="21" spans="1:9" x14ac:dyDescent="0.35">
      <c r="A21" s="1" t="s">
        <v>213</v>
      </c>
      <c r="B21" s="1" t="s">
        <v>194</v>
      </c>
      <c r="C21" s="2">
        <v>45984.677083333336</v>
      </c>
      <c r="D21">
        <v>1</v>
      </c>
      <c r="E21">
        <v>0</v>
      </c>
      <c r="F21">
        <v>3.3</v>
      </c>
      <c r="G21">
        <v>9.6999999999999993</v>
      </c>
      <c r="H21">
        <v>13.4</v>
      </c>
      <c r="I21" s="2">
        <v>45984.71875</v>
      </c>
    </row>
    <row r="22" spans="1:9" x14ac:dyDescent="0.35">
      <c r="A22" s="1" t="s">
        <v>214</v>
      </c>
      <c r="B22" s="1" t="s">
        <v>194</v>
      </c>
      <c r="C22" s="2">
        <v>45984.6875</v>
      </c>
      <c r="D22">
        <v>1</v>
      </c>
      <c r="E22">
        <v>0</v>
      </c>
      <c r="F22">
        <v>4</v>
      </c>
      <c r="G22">
        <v>9.4</v>
      </c>
      <c r="H22">
        <v>4.0999999999999996</v>
      </c>
      <c r="I22" s="2">
        <v>45984.729166666664</v>
      </c>
    </row>
    <row r="23" spans="1:9" x14ac:dyDescent="0.35">
      <c r="A23" s="1" t="s">
        <v>215</v>
      </c>
      <c r="B23" s="1" t="s">
        <v>194</v>
      </c>
      <c r="C23" s="2">
        <v>45984.697916666664</v>
      </c>
      <c r="D23">
        <v>0.9</v>
      </c>
      <c r="E23">
        <v>0</v>
      </c>
      <c r="F23">
        <v>4.7</v>
      </c>
      <c r="G23">
        <v>9</v>
      </c>
      <c r="H23">
        <v>0</v>
      </c>
      <c r="I23" s="2">
        <v>45984.739583333336</v>
      </c>
    </row>
    <row r="24" spans="1:9" x14ac:dyDescent="0.35">
      <c r="A24" s="1" t="s">
        <v>216</v>
      </c>
      <c r="B24" s="1" t="s">
        <v>194</v>
      </c>
      <c r="C24" s="2">
        <v>45984.708333333336</v>
      </c>
      <c r="D24">
        <v>0.9</v>
      </c>
      <c r="E24">
        <v>0</v>
      </c>
      <c r="F24">
        <v>4.9000000000000004</v>
      </c>
      <c r="G24">
        <v>9</v>
      </c>
      <c r="H24">
        <v>0</v>
      </c>
      <c r="I24" s="2">
        <v>45984.75</v>
      </c>
    </row>
    <row r="25" spans="1:9" x14ac:dyDescent="0.35">
      <c r="A25" s="1" t="s">
        <v>217</v>
      </c>
      <c r="B25" s="1" t="s">
        <v>194</v>
      </c>
      <c r="C25" s="2">
        <v>45984.71875</v>
      </c>
      <c r="D25">
        <v>0.9</v>
      </c>
      <c r="E25">
        <v>0</v>
      </c>
      <c r="F25">
        <v>4.4000000000000004</v>
      </c>
      <c r="G25">
        <v>9</v>
      </c>
      <c r="H25">
        <v>0</v>
      </c>
      <c r="I25" s="2">
        <v>45984.760416666664</v>
      </c>
    </row>
    <row r="26" spans="1:9" x14ac:dyDescent="0.35">
      <c r="A26" s="1" t="s">
        <v>218</v>
      </c>
      <c r="B26" s="1" t="s">
        <v>194</v>
      </c>
      <c r="C26" s="2">
        <v>45984.729166666664</v>
      </c>
      <c r="D26">
        <v>0.9</v>
      </c>
      <c r="E26">
        <v>0</v>
      </c>
      <c r="F26">
        <v>3.7</v>
      </c>
      <c r="G26">
        <v>9.4</v>
      </c>
      <c r="H26">
        <v>0</v>
      </c>
      <c r="I26" s="2">
        <v>45984.770833333336</v>
      </c>
    </row>
    <row r="27" spans="1:9" x14ac:dyDescent="0.35">
      <c r="A27" s="1" t="s">
        <v>219</v>
      </c>
      <c r="B27" s="1" t="s">
        <v>194</v>
      </c>
      <c r="C27" s="2">
        <v>45984.739583333336</v>
      </c>
      <c r="D27">
        <v>0.9</v>
      </c>
      <c r="E27">
        <v>0</v>
      </c>
      <c r="F27">
        <v>3.1</v>
      </c>
      <c r="G27">
        <v>9.6999999999999993</v>
      </c>
      <c r="H27">
        <v>0</v>
      </c>
      <c r="I27" s="2">
        <v>45984.78125</v>
      </c>
    </row>
    <row r="28" spans="1:9" x14ac:dyDescent="0.35">
      <c r="A28" s="1" t="s">
        <v>220</v>
      </c>
      <c r="B28" s="1" t="s">
        <v>194</v>
      </c>
      <c r="C28" s="2">
        <v>45984.75</v>
      </c>
      <c r="D28">
        <v>0.9</v>
      </c>
      <c r="E28">
        <v>0</v>
      </c>
      <c r="F28">
        <v>3</v>
      </c>
      <c r="G28">
        <v>9.6999999999999993</v>
      </c>
      <c r="H28">
        <v>0</v>
      </c>
      <c r="I28" s="2">
        <v>45984.791666666664</v>
      </c>
    </row>
    <row r="29" spans="1:9" x14ac:dyDescent="0.35">
      <c r="A29" s="1" t="s">
        <v>221</v>
      </c>
      <c r="B29" s="1" t="s">
        <v>194</v>
      </c>
      <c r="C29" s="2">
        <v>45984.760416666664</v>
      </c>
      <c r="D29">
        <v>0.9</v>
      </c>
      <c r="E29">
        <v>0</v>
      </c>
      <c r="F29">
        <v>3.1</v>
      </c>
      <c r="G29">
        <v>9.4</v>
      </c>
      <c r="H29">
        <v>0</v>
      </c>
      <c r="I29" s="2">
        <v>45984.802083333336</v>
      </c>
    </row>
    <row r="30" spans="1:9" x14ac:dyDescent="0.35">
      <c r="A30" s="1" t="s">
        <v>222</v>
      </c>
      <c r="B30" s="1" t="s">
        <v>194</v>
      </c>
      <c r="C30" s="2">
        <v>45984.770833333336</v>
      </c>
      <c r="D30">
        <v>1</v>
      </c>
      <c r="E30">
        <v>0</v>
      </c>
      <c r="F30">
        <v>3.9</v>
      </c>
      <c r="G30">
        <v>9</v>
      </c>
      <c r="H30">
        <v>0</v>
      </c>
      <c r="I30" s="2">
        <v>45984.8125</v>
      </c>
    </row>
    <row r="31" spans="1:9" x14ac:dyDescent="0.35">
      <c r="A31" s="1" t="s">
        <v>223</v>
      </c>
      <c r="B31" s="1" t="s">
        <v>194</v>
      </c>
      <c r="C31" s="2">
        <v>45984.78125</v>
      </c>
      <c r="D31">
        <v>1</v>
      </c>
      <c r="E31">
        <v>0</v>
      </c>
      <c r="F31">
        <v>4.5999999999999996</v>
      </c>
      <c r="G31">
        <v>8.3000000000000007</v>
      </c>
      <c r="H31">
        <v>0</v>
      </c>
      <c r="I31" s="2">
        <v>45984.822916666664</v>
      </c>
    </row>
    <row r="32" spans="1:9" x14ac:dyDescent="0.35">
      <c r="A32" s="1" t="s">
        <v>224</v>
      </c>
      <c r="B32" s="1" t="s">
        <v>194</v>
      </c>
      <c r="C32" s="2">
        <v>45984.791666666664</v>
      </c>
      <c r="D32">
        <v>1</v>
      </c>
      <c r="E32">
        <v>0</v>
      </c>
      <c r="F32">
        <v>5.0999999999999996</v>
      </c>
      <c r="G32">
        <v>7.9</v>
      </c>
      <c r="H32">
        <v>0</v>
      </c>
      <c r="I32" s="2">
        <v>45984.833333333336</v>
      </c>
    </row>
    <row r="33" spans="1:9" x14ac:dyDescent="0.35">
      <c r="A33" s="1" t="s">
        <v>225</v>
      </c>
      <c r="B33" s="1" t="s">
        <v>194</v>
      </c>
      <c r="C33" s="2">
        <v>45984.802083333336</v>
      </c>
      <c r="D33">
        <v>0.9</v>
      </c>
      <c r="E33">
        <v>0</v>
      </c>
      <c r="F33">
        <v>5.2</v>
      </c>
      <c r="G33">
        <v>7.9</v>
      </c>
      <c r="H33">
        <v>0</v>
      </c>
      <c r="I33" s="2">
        <v>45984.84375</v>
      </c>
    </row>
    <row r="34" spans="1:9" x14ac:dyDescent="0.35">
      <c r="A34" s="1" t="s">
        <v>226</v>
      </c>
      <c r="B34" s="1" t="s">
        <v>194</v>
      </c>
      <c r="C34" s="2">
        <v>45984.8125</v>
      </c>
      <c r="D34">
        <v>0.6</v>
      </c>
      <c r="E34">
        <v>0</v>
      </c>
      <c r="F34">
        <v>5</v>
      </c>
      <c r="G34">
        <v>7.9</v>
      </c>
      <c r="H34">
        <v>0</v>
      </c>
      <c r="I34" s="2">
        <v>45984.854166666664</v>
      </c>
    </row>
    <row r="35" spans="1:9" x14ac:dyDescent="0.35">
      <c r="A35" s="1" t="s">
        <v>227</v>
      </c>
      <c r="B35" s="1" t="s">
        <v>194</v>
      </c>
      <c r="C35" s="2">
        <v>45984.822916666664</v>
      </c>
      <c r="D35">
        <v>0.4</v>
      </c>
      <c r="E35">
        <v>0</v>
      </c>
      <c r="F35">
        <v>5.0999999999999996</v>
      </c>
      <c r="G35">
        <v>7.9</v>
      </c>
      <c r="H35">
        <v>0</v>
      </c>
      <c r="I35" s="2">
        <v>45984.864583333336</v>
      </c>
    </row>
    <row r="36" spans="1:9" x14ac:dyDescent="0.35">
      <c r="A36" s="1" t="s">
        <v>228</v>
      </c>
      <c r="B36" s="1" t="s">
        <v>194</v>
      </c>
      <c r="C36" s="2">
        <v>45984.833333333336</v>
      </c>
      <c r="D36">
        <v>0.3</v>
      </c>
      <c r="E36">
        <v>0.4</v>
      </c>
      <c r="F36">
        <v>5.4</v>
      </c>
      <c r="G36">
        <v>8.3000000000000007</v>
      </c>
      <c r="H36">
        <v>0</v>
      </c>
      <c r="I36" s="2">
        <v>45984.875</v>
      </c>
    </row>
    <row r="37" spans="1:9" x14ac:dyDescent="0.35">
      <c r="A37" s="1" t="s">
        <v>229</v>
      </c>
      <c r="B37" s="1" t="s">
        <v>194</v>
      </c>
      <c r="C37" s="2">
        <v>45984.84375</v>
      </c>
      <c r="D37">
        <v>0.3</v>
      </c>
      <c r="E37">
        <v>0.6</v>
      </c>
      <c r="F37">
        <v>5.4</v>
      </c>
      <c r="G37">
        <v>9</v>
      </c>
      <c r="H37">
        <v>0</v>
      </c>
      <c r="I37" s="2">
        <v>45984.885416666664</v>
      </c>
    </row>
    <row r="38" spans="1:9" x14ac:dyDescent="0.35">
      <c r="A38" s="1" t="s">
        <v>230</v>
      </c>
      <c r="B38" s="1" t="s">
        <v>194</v>
      </c>
      <c r="C38" s="2">
        <v>45984.854166666664</v>
      </c>
      <c r="D38">
        <v>0.3</v>
      </c>
      <c r="E38">
        <v>0.4</v>
      </c>
      <c r="F38">
        <v>5.4</v>
      </c>
      <c r="G38">
        <v>10.1</v>
      </c>
      <c r="H38">
        <v>0</v>
      </c>
      <c r="I38" s="2">
        <v>45984.895833333336</v>
      </c>
    </row>
    <row r="39" spans="1:9" x14ac:dyDescent="0.35">
      <c r="A39" s="1" t="s">
        <v>231</v>
      </c>
      <c r="B39" s="1" t="s">
        <v>194</v>
      </c>
      <c r="C39" s="2">
        <v>45984.864583333336</v>
      </c>
      <c r="D39">
        <v>0.4</v>
      </c>
      <c r="E39">
        <v>0.5</v>
      </c>
      <c r="F39">
        <v>5.3</v>
      </c>
      <c r="G39">
        <v>11.2</v>
      </c>
      <c r="H39">
        <v>0</v>
      </c>
      <c r="I39" s="2">
        <v>45984.90625</v>
      </c>
    </row>
    <row r="40" spans="1:9" x14ac:dyDescent="0.35">
      <c r="A40" s="1" t="s">
        <v>232</v>
      </c>
      <c r="B40" s="1" t="s">
        <v>194</v>
      </c>
      <c r="C40" s="2">
        <v>45984.875</v>
      </c>
      <c r="D40">
        <v>0.5</v>
      </c>
      <c r="E40">
        <v>0.6</v>
      </c>
      <c r="F40">
        <v>5.4</v>
      </c>
      <c r="G40">
        <v>11.9</v>
      </c>
      <c r="H40">
        <v>0</v>
      </c>
      <c r="I40" s="2">
        <v>45984.916666666664</v>
      </c>
    </row>
    <row r="41" spans="1:9" x14ac:dyDescent="0.35">
      <c r="A41" s="1" t="s">
        <v>233</v>
      </c>
      <c r="B41" s="1" t="s">
        <v>194</v>
      </c>
      <c r="C41" s="2">
        <v>45984.885416666664</v>
      </c>
      <c r="D41">
        <v>0.6</v>
      </c>
      <c r="E41">
        <v>0.7</v>
      </c>
      <c r="F41">
        <v>4.8</v>
      </c>
      <c r="G41">
        <v>11.9</v>
      </c>
      <c r="H41">
        <v>0</v>
      </c>
      <c r="I41" s="2">
        <v>45984.927083333336</v>
      </c>
    </row>
    <row r="42" spans="1:9" x14ac:dyDescent="0.35">
      <c r="A42" s="1" t="s">
        <v>234</v>
      </c>
      <c r="B42" s="1" t="s">
        <v>194</v>
      </c>
      <c r="C42" s="2">
        <v>45984.895833333336</v>
      </c>
      <c r="D42">
        <v>0.8</v>
      </c>
      <c r="E42">
        <v>0.5</v>
      </c>
      <c r="F42">
        <v>4.0999999999999996</v>
      </c>
      <c r="G42">
        <v>11.5</v>
      </c>
      <c r="H42">
        <v>0</v>
      </c>
      <c r="I42" s="2">
        <v>45984.9375</v>
      </c>
    </row>
    <row r="43" spans="1:9" x14ac:dyDescent="0.35">
      <c r="A43" s="1" t="s">
        <v>235</v>
      </c>
      <c r="B43" s="1" t="s">
        <v>194</v>
      </c>
      <c r="C43" s="2">
        <v>45984.90625</v>
      </c>
      <c r="D43">
        <v>0.9</v>
      </c>
      <c r="E43">
        <v>0.4</v>
      </c>
      <c r="F43">
        <v>3.1</v>
      </c>
      <c r="G43">
        <v>10.8</v>
      </c>
      <c r="H43">
        <v>0</v>
      </c>
      <c r="I43" s="2">
        <v>45984.947916666664</v>
      </c>
    </row>
    <row r="44" spans="1:9" x14ac:dyDescent="0.35">
      <c r="A44" s="1" t="s">
        <v>236</v>
      </c>
      <c r="B44" s="1" t="s">
        <v>194</v>
      </c>
      <c r="C44" s="2">
        <v>45984.916666666664</v>
      </c>
      <c r="D44">
        <v>1</v>
      </c>
      <c r="E44">
        <v>0.4</v>
      </c>
      <c r="F44">
        <v>2.5</v>
      </c>
      <c r="G44">
        <v>10.4</v>
      </c>
      <c r="H44">
        <v>0</v>
      </c>
      <c r="I44" s="2">
        <v>45984.958333333336</v>
      </c>
    </row>
    <row r="45" spans="1:9" x14ac:dyDescent="0.35">
      <c r="A45" s="1" t="s">
        <v>237</v>
      </c>
      <c r="B45" s="1" t="s">
        <v>194</v>
      </c>
      <c r="C45" s="2">
        <v>45984.927083333336</v>
      </c>
      <c r="D45">
        <v>1.1000000000000001</v>
      </c>
      <c r="E45">
        <v>0.5</v>
      </c>
      <c r="F45">
        <v>2.6</v>
      </c>
      <c r="G45">
        <v>10.1</v>
      </c>
      <c r="H45">
        <v>0</v>
      </c>
      <c r="I45" s="2">
        <v>45984.96875</v>
      </c>
    </row>
    <row r="46" spans="1:9" x14ac:dyDescent="0.35">
      <c r="A46" s="1" t="s">
        <v>238</v>
      </c>
      <c r="B46" s="1" t="s">
        <v>194</v>
      </c>
      <c r="C46" s="2">
        <v>45984.9375</v>
      </c>
      <c r="D46">
        <v>1.1000000000000001</v>
      </c>
      <c r="E46">
        <v>0.5</v>
      </c>
      <c r="F46">
        <v>3.4</v>
      </c>
      <c r="G46">
        <v>9.6999999999999993</v>
      </c>
      <c r="H46">
        <v>0</v>
      </c>
      <c r="I46" s="2">
        <v>45984.979166666664</v>
      </c>
    </row>
    <row r="47" spans="1:9" x14ac:dyDescent="0.35">
      <c r="A47" s="1" t="s">
        <v>239</v>
      </c>
      <c r="B47" s="1" t="s">
        <v>194</v>
      </c>
      <c r="C47" s="2">
        <v>45984.947916666664</v>
      </c>
      <c r="D47">
        <v>1.2</v>
      </c>
      <c r="E47">
        <v>0.3</v>
      </c>
      <c r="F47">
        <v>4</v>
      </c>
      <c r="G47">
        <v>9.4</v>
      </c>
      <c r="H47">
        <v>0</v>
      </c>
      <c r="I47" s="2">
        <v>45984.989583333336</v>
      </c>
    </row>
    <row r="48" spans="1:9" x14ac:dyDescent="0.35">
      <c r="A48" s="1" t="s">
        <v>240</v>
      </c>
      <c r="B48" s="1" t="s">
        <v>194</v>
      </c>
      <c r="C48" s="2">
        <v>45984.958333333336</v>
      </c>
      <c r="D48">
        <v>1.2</v>
      </c>
      <c r="E48">
        <v>0.4</v>
      </c>
      <c r="F48">
        <v>4.7</v>
      </c>
      <c r="G48">
        <v>9</v>
      </c>
      <c r="H48">
        <v>0</v>
      </c>
      <c r="I48" s="2">
        <v>45985</v>
      </c>
    </row>
    <row r="49" spans="1:9" x14ac:dyDescent="0.35">
      <c r="A49" s="1" t="s">
        <v>241</v>
      </c>
      <c r="B49" s="1" t="s">
        <v>194</v>
      </c>
      <c r="C49" s="2">
        <v>45984.96875</v>
      </c>
      <c r="D49">
        <v>1.3</v>
      </c>
      <c r="E49">
        <v>0.4</v>
      </c>
      <c r="F49">
        <v>4.7</v>
      </c>
      <c r="G49">
        <v>8.6</v>
      </c>
      <c r="H49">
        <v>0</v>
      </c>
      <c r="I49" s="2">
        <v>45985.010416666664</v>
      </c>
    </row>
    <row r="50" spans="1:9" x14ac:dyDescent="0.35">
      <c r="A50" s="1" t="s">
        <v>242</v>
      </c>
      <c r="B50" s="1" t="s">
        <v>194</v>
      </c>
      <c r="C50" s="2">
        <v>45984.979166666664</v>
      </c>
      <c r="D50">
        <v>1.4</v>
      </c>
      <c r="E50">
        <v>0.4</v>
      </c>
      <c r="F50">
        <v>4.3</v>
      </c>
      <c r="G50">
        <v>7.9</v>
      </c>
      <c r="H50">
        <v>0</v>
      </c>
      <c r="I50" s="2">
        <v>45985.020833333336</v>
      </c>
    </row>
    <row r="51" spans="1:9" x14ac:dyDescent="0.35">
      <c r="A51" s="1" t="s">
        <v>243</v>
      </c>
      <c r="B51" s="1" t="s">
        <v>194</v>
      </c>
      <c r="C51" s="2">
        <v>45984.989583333336</v>
      </c>
      <c r="D51">
        <v>1.4</v>
      </c>
      <c r="E51">
        <v>0.4</v>
      </c>
      <c r="F51">
        <v>4</v>
      </c>
      <c r="G51">
        <v>7.6</v>
      </c>
      <c r="H51">
        <v>0</v>
      </c>
      <c r="I51" s="2">
        <v>45985.03125</v>
      </c>
    </row>
    <row r="52" spans="1:9" x14ac:dyDescent="0.35">
      <c r="A52" s="1" t="s">
        <v>244</v>
      </c>
      <c r="B52" s="1" t="s">
        <v>194</v>
      </c>
      <c r="C52" s="2">
        <v>45985</v>
      </c>
      <c r="D52">
        <v>1.4</v>
      </c>
      <c r="E52">
        <v>0.4</v>
      </c>
      <c r="F52">
        <v>3.7</v>
      </c>
      <c r="G52">
        <v>7.2</v>
      </c>
      <c r="H52">
        <v>0</v>
      </c>
      <c r="I52" s="2">
        <v>45985.041666666664</v>
      </c>
    </row>
    <row r="53" spans="1:9" x14ac:dyDescent="0.35">
      <c r="A53" s="1" t="s">
        <v>245</v>
      </c>
      <c r="B53" s="1" t="s">
        <v>194</v>
      </c>
      <c r="C53" s="2">
        <v>45985.010416666664</v>
      </c>
      <c r="D53">
        <v>1.4</v>
      </c>
      <c r="E53">
        <v>0.4</v>
      </c>
      <c r="F53">
        <v>3.7</v>
      </c>
      <c r="G53">
        <v>6.8</v>
      </c>
      <c r="H53">
        <v>0</v>
      </c>
      <c r="I53" s="2">
        <v>45985.052083333336</v>
      </c>
    </row>
    <row r="54" spans="1:9" x14ac:dyDescent="0.35">
      <c r="A54" s="1" t="s">
        <v>246</v>
      </c>
      <c r="B54" s="1" t="s">
        <v>194</v>
      </c>
      <c r="C54" s="2">
        <v>45985.020833333336</v>
      </c>
      <c r="D54">
        <v>1.4</v>
      </c>
      <c r="E54">
        <v>0.4</v>
      </c>
      <c r="F54">
        <v>3.6</v>
      </c>
      <c r="G54">
        <v>6.5</v>
      </c>
      <c r="H54">
        <v>0</v>
      </c>
      <c r="I54" s="2">
        <v>45985.0625</v>
      </c>
    </row>
    <row r="55" spans="1:9" x14ac:dyDescent="0.35">
      <c r="A55" s="1" t="s">
        <v>247</v>
      </c>
      <c r="B55" s="1" t="s">
        <v>194</v>
      </c>
      <c r="C55" s="2">
        <v>45985.03125</v>
      </c>
      <c r="D55">
        <v>1.4</v>
      </c>
      <c r="E55">
        <v>0.4</v>
      </c>
      <c r="F55">
        <v>4</v>
      </c>
      <c r="G55">
        <v>6.1</v>
      </c>
      <c r="H55">
        <v>0</v>
      </c>
      <c r="I55" s="2">
        <v>45985.072916666664</v>
      </c>
    </row>
    <row r="56" spans="1:9" x14ac:dyDescent="0.35">
      <c r="A56" s="1" t="s">
        <v>248</v>
      </c>
      <c r="B56" s="1" t="s">
        <v>194</v>
      </c>
      <c r="C56" s="2">
        <v>45985.041666666664</v>
      </c>
      <c r="D56">
        <v>1.4</v>
      </c>
      <c r="E56">
        <v>0.4</v>
      </c>
      <c r="F56">
        <v>4</v>
      </c>
      <c r="G56">
        <v>6.1</v>
      </c>
      <c r="H56">
        <v>0</v>
      </c>
      <c r="I56" s="2">
        <v>45985.083333333336</v>
      </c>
    </row>
    <row r="57" spans="1:9" x14ac:dyDescent="0.35">
      <c r="A57" s="1" t="s">
        <v>249</v>
      </c>
      <c r="B57" s="1" t="s">
        <v>194</v>
      </c>
      <c r="C57" s="2">
        <v>45985.052083333336</v>
      </c>
      <c r="D57">
        <v>1.5</v>
      </c>
      <c r="E57">
        <v>0.3</v>
      </c>
      <c r="F57">
        <v>4</v>
      </c>
      <c r="G57">
        <v>6.1</v>
      </c>
      <c r="H57">
        <v>0</v>
      </c>
      <c r="I57" s="2">
        <v>45985.09375</v>
      </c>
    </row>
    <row r="58" spans="1:9" x14ac:dyDescent="0.35">
      <c r="A58" s="1" t="s">
        <v>250</v>
      </c>
      <c r="B58" s="1" t="s">
        <v>194</v>
      </c>
      <c r="C58" s="2">
        <v>45985.0625</v>
      </c>
      <c r="D58">
        <v>1.5</v>
      </c>
      <c r="E58">
        <v>0.4</v>
      </c>
      <c r="F58">
        <v>4</v>
      </c>
      <c r="G58">
        <v>6.1</v>
      </c>
      <c r="H58">
        <v>0</v>
      </c>
      <c r="I58" s="2">
        <v>45985.104166666664</v>
      </c>
    </row>
    <row r="59" spans="1:9" x14ac:dyDescent="0.35">
      <c r="A59" s="1" t="s">
        <v>251</v>
      </c>
      <c r="B59" s="1" t="s">
        <v>194</v>
      </c>
      <c r="C59" s="2">
        <v>45985.072916666664</v>
      </c>
      <c r="D59">
        <v>1.5</v>
      </c>
      <c r="E59">
        <v>0.4</v>
      </c>
      <c r="F59">
        <v>3.7</v>
      </c>
      <c r="G59">
        <v>6.1</v>
      </c>
      <c r="H59">
        <v>0</v>
      </c>
      <c r="I59" s="2">
        <v>45985.114583333336</v>
      </c>
    </row>
    <row r="60" spans="1:9" x14ac:dyDescent="0.35">
      <c r="A60" s="1" t="s">
        <v>252</v>
      </c>
      <c r="B60" s="1" t="s">
        <v>194</v>
      </c>
      <c r="C60" s="2">
        <v>45985.083333333336</v>
      </c>
      <c r="D60">
        <v>1.5</v>
      </c>
      <c r="E60">
        <v>0.4</v>
      </c>
      <c r="F60">
        <v>3.7</v>
      </c>
      <c r="G60">
        <v>6.1</v>
      </c>
      <c r="H60">
        <v>0</v>
      </c>
      <c r="I60" s="2">
        <v>45985.125</v>
      </c>
    </row>
    <row r="61" spans="1:9" x14ac:dyDescent="0.35">
      <c r="A61" s="1" t="s">
        <v>253</v>
      </c>
      <c r="B61" s="1" t="s">
        <v>194</v>
      </c>
      <c r="C61" s="2">
        <v>45985.09375</v>
      </c>
      <c r="D61">
        <v>1.6</v>
      </c>
      <c r="E61">
        <v>0.5</v>
      </c>
      <c r="F61">
        <v>3.7</v>
      </c>
      <c r="G61">
        <v>6.1</v>
      </c>
      <c r="H61">
        <v>0</v>
      </c>
      <c r="I61" s="2">
        <v>45985.135416666664</v>
      </c>
    </row>
    <row r="62" spans="1:9" x14ac:dyDescent="0.35">
      <c r="A62" s="1" t="s">
        <v>254</v>
      </c>
      <c r="B62" s="1" t="s">
        <v>194</v>
      </c>
      <c r="C62" s="2">
        <v>45985.104166666664</v>
      </c>
      <c r="D62">
        <v>1.7</v>
      </c>
      <c r="E62">
        <v>0.6</v>
      </c>
      <c r="F62">
        <v>3.7</v>
      </c>
      <c r="G62">
        <v>6.1</v>
      </c>
      <c r="H62">
        <v>0</v>
      </c>
      <c r="I62" s="2">
        <v>45985.145833333336</v>
      </c>
    </row>
    <row r="63" spans="1:9" x14ac:dyDescent="0.35">
      <c r="A63" s="1" t="s">
        <v>255</v>
      </c>
      <c r="B63" s="1" t="s">
        <v>194</v>
      </c>
      <c r="C63" s="2">
        <v>45985.114583333336</v>
      </c>
      <c r="D63">
        <v>1.8</v>
      </c>
      <c r="E63">
        <v>0.6</v>
      </c>
      <c r="F63">
        <v>3.7</v>
      </c>
      <c r="G63">
        <v>6.1</v>
      </c>
      <c r="H63">
        <v>0</v>
      </c>
      <c r="I63" s="2">
        <v>45985.15625</v>
      </c>
    </row>
    <row r="64" spans="1:9" x14ac:dyDescent="0.35">
      <c r="A64" s="1" t="s">
        <v>256</v>
      </c>
      <c r="B64" s="1" t="s">
        <v>194</v>
      </c>
      <c r="C64" s="2">
        <v>45985.125</v>
      </c>
      <c r="D64">
        <v>1.8</v>
      </c>
      <c r="E64">
        <v>0.5</v>
      </c>
      <c r="F64">
        <v>3.6</v>
      </c>
      <c r="G64">
        <v>6.1</v>
      </c>
      <c r="H64">
        <v>0</v>
      </c>
      <c r="I64" s="2">
        <v>45985.166666666664</v>
      </c>
    </row>
    <row r="65" spans="1:9" x14ac:dyDescent="0.35">
      <c r="A65" s="1" t="s">
        <v>257</v>
      </c>
      <c r="B65" s="1" t="s">
        <v>194</v>
      </c>
      <c r="C65" s="2">
        <v>45985.135416666664</v>
      </c>
      <c r="D65">
        <v>1.8</v>
      </c>
      <c r="E65">
        <v>0.6</v>
      </c>
      <c r="F65">
        <v>3.6</v>
      </c>
      <c r="G65">
        <v>6.5</v>
      </c>
      <c r="H65">
        <v>0</v>
      </c>
      <c r="I65" s="2">
        <v>45985.177083333336</v>
      </c>
    </row>
    <row r="66" spans="1:9" x14ac:dyDescent="0.35">
      <c r="A66" s="1" t="s">
        <v>258</v>
      </c>
      <c r="B66" s="1" t="s">
        <v>194</v>
      </c>
      <c r="C66" s="2">
        <v>45985.145833333336</v>
      </c>
      <c r="D66">
        <v>1.8</v>
      </c>
      <c r="E66">
        <v>0.6</v>
      </c>
      <c r="F66">
        <v>4</v>
      </c>
      <c r="G66">
        <v>6.5</v>
      </c>
      <c r="H66">
        <v>0</v>
      </c>
      <c r="I66" s="2">
        <v>45985.1875</v>
      </c>
    </row>
    <row r="67" spans="1:9" x14ac:dyDescent="0.35">
      <c r="A67" s="1" t="s">
        <v>259</v>
      </c>
      <c r="B67" s="1" t="s">
        <v>194</v>
      </c>
      <c r="C67" s="2">
        <v>45985.15625</v>
      </c>
      <c r="D67">
        <v>1.8</v>
      </c>
      <c r="E67">
        <v>0.6</v>
      </c>
      <c r="F67">
        <v>4.5999999999999996</v>
      </c>
      <c r="G67">
        <v>6.8</v>
      </c>
      <c r="H67">
        <v>0</v>
      </c>
      <c r="I67" s="2">
        <v>45985.197916666664</v>
      </c>
    </row>
    <row r="68" spans="1:9" x14ac:dyDescent="0.35">
      <c r="A68" s="1" t="s">
        <v>260</v>
      </c>
      <c r="B68" s="1" t="s">
        <v>194</v>
      </c>
      <c r="C68" s="2">
        <v>45985.166666666664</v>
      </c>
      <c r="D68">
        <v>1.8</v>
      </c>
      <c r="E68">
        <v>0.6</v>
      </c>
      <c r="F68">
        <v>4.7</v>
      </c>
      <c r="G68">
        <v>7.2</v>
      </c>
      <c r="H68">
        <v>0</v>
      </c>
      <c r="I68" s="2">
        <v>45985.208333333336</v>
      </c>
    </row>
    <row r="69" spans="1:9" x14ac:dyDescent="0.35">
      <c r="A69" s="1" t="s">
        <v>261</v>
      </c>
      <c r="B69" s="1" t="s">
        <v>194</v>
      </c>
      <c r="C69" s="2">
        <v>45985.177083333336</v>
      </c>
      <c r="D69">
        <v>1.9</v>
      </c>
      <c r="E69">
        <v>0.6</v>
      </c>
      <c r="F69">
        <v>4.8</v>
      </c>
      <c r="G69">
        <v>7.6</v>
      </c>
      <c r="H69">
        <v>0</v>
      </c>
      <c r="I69" s="2">
        <v>45985.21875</v>
      </c>
    </row>
    <row r="70" spans="1:9" x14ac:dyDescent="0.35">
      <c r="A70" s="1" t="s">
        <v>262</v>
      </c>
      <c r="B70" s="1" t="s">
        <v>194</v>
      </c>
      <c r="C70" s="2">
        <v>45985.1875</v>
      </c>
      <c r="D70">
        <v>1.9</v>
      </c>
      <c r="E70">
        <v>0.7</v>
      </c>
      <c r="F70">
        <v>4.8</v>
      </c>
      <c r="G70">
        <v>7.6</v>
      </c>
      <c r="H70">
        <v>0</v>
      </c>
      <c r="I70" s="2">
        <v>45985.229166666664</v>
      </c>
    </row>
    <row r="71" spans="1:9" x14ac:dyDescent="0.35">
      <c r="A71" s="1" t="s">
        <v>263</v>
      </c>
      <c r="B71" s="1" t="s">
        <v>194</v>
      </c>
      <c r="C71" s="2">
        <v>45985.197916666664</v>
      </c>
      <c r="D71">
        <v>1.9</v>
      </c>
      <c r="E71">
        <v>0.7</v>
      </c>
      <c r="F71">
        <v>4.5</v>
      </c>
      <c r="G71">
        <v>7.9</v>
      </c>
      <c r="H71">
        <v>0</v>
      </c>
      <c r="I71" s="2">
        <v>45985.239583333336</v>
      </c>
    </row>
    <row r="72" spans="1:9" x14ac:dyDescent="0.35">
      <c r="A72" s="1" t="s">
        <v>264</v>
      </c>
      <c r="B72" s="1" t="s">
        <v>194</v>
      </c>
      <c r="C72" s="2">
        <v>45985.208333333336</v>
      </c>
      <c r="D72">
        <v>1.9</v>
      </c>
      <c r="E72">
        <v>0.7</v>
      </c>
      <c r="F72">
        <v>4.5</v>
      </c>
      <c r="G72">
        <v>7.9</v>
      </c>
      <c r="H72">
        <v>0</v>
      </c>
      <c r="I72" s="2">
        <v>45985.25</v>
      </c>
    </row>
    <row r="73" spans="1:9" x14ac:dyDescent="0.35">
      <c r="A73" s="1" t="s">
        <v>265</v>
      </c>
      <c r="B73" s="1" t="s">
        <v>194</v>
      </c>
      <c r="C73" s="2">
        <v>45985.21875</v>
      </c>
      <c r="D73">
        <v>2</v>
      </c>
      <c r="E73">
        <v>0.6</v>
      </c>
      <c r="F73">
        <v>4.5</v>
      </c>
      <c r="G73">
        <v>7.9</v>
      </c>
      <c r="H73">
        <v>0</v>
      </c>
      <c r="I73" s="2">
        <v>45985.260416666664</v>
      </c>
    </row>
    <row r="74" spans="1:9" x14ac:dyDescent="0.35">
      <c r="A74" s="1" t="s">
        <v>266</v>
      </c>
      <c r="B74" s="1" t="s">
        <v>194</v>
      </c>
      <c r="C74" s="2">
        <v>45985.229166666664</v>
      </c>
      <c r="D74">
        <v>2</v>
      </c>
      <c r="E74">
        <v>0.6</v>
      </c>
      <c r="F74">
        <v>4.4000000000000004</v>
      </c>
      <c r="G74">
        <v>7.9</v>
      </c>
      <c r="H74">
        <v>0</v>
      </c>
      <c r="I74" s="2">
        <v>45985.270833333336</v>
      </c>
    </row>
    <row r="75" spans="1:9" x14ac:dyDescent="0.35">
      <c r="A75" s="1" t="s">
        <v>267</v>
      </c>
      <c r="B75" s="1" t="s">
        <v>194</v>
      </c>
      <c r="C75" s="2">
        <v>45985.239583333336</v>
      </c>
      <c r="D75">
        <v>2</v>
      </c>
      <c r="E75">
        <v>0.7</v>
      </c>
      <c r="F75">
        <v>4.4000000000000004</v>
      </c>
      <c r="G75">
        <v>7.6</v>
      </c>
      <c r="H75">
        <v>0</v>
      </c>
      <c r="I75" s="2">
        <v>45985.28125</v>
      </c>
    </row>
    <row r="76" spans="1:9" x14ac:dyDescent="0.35">
      <c r="A76" s="1" t="s">
        <v>268</v>
      </c>
      <c r="B76" s="1" t="s">
        <v>194</v>
      </c>
      <c r="C76" s="2">
        <v>45985.25</v>
      </c>
      <c r="D76">
        <v>2</v>
      </c>
      <c r="E76">
        <v>0.7</v>
      </c>
      <c r="F76">
        <v>4.4000000000000004</v>
      </c>
      <c r="G76">
        <v>7.6</v>
      </c>
      <c r="H76">
        <v>0</v>
      </c>
      <c r="I76" s="2">
        <v>45985.291666666664</v>
      </c>
    </row>
    <row r="77" spans="1:9" x14ac:dyDescent="0.35">
      <c r="A77" s="1" t="s">
        <v>269</v>
      </c>
      <c r="B77" s="1" t="s">
        <v>194</v>
      </c>
      <c r="C77" s="2">
        <v>45985.260416666664</v>
      </c>
      <c r="D77">
        <v>2.1</v>
      </c>
      <c r="E77">
        <v>0.7</v>
      </c>
      <c r="F77">
        <v>4.4000000000000004</v>
      </c>
      <c r="G77">
        <v>7.6</v>
      </c>
      <c r="H77">
        <v>0</v>
      </c>
      <c r="I77" s="2">
        <v>45985.302083333336</v>
      </c>
    </row>
    <row r="78" spans="1:9" x14ac:dyDescent="0.35">
      <c r="A78" s="1" t="s">
        <v>270</v>
      </c>
      <c r="B78" s="1" t="s">
        <v>194</v>
      </c>
      <c r="C78" s="2">
        <v>45985.270833333336</v>
      </c>
      <c r="D78">
        <v>2.2000000000000002</v>
      </c>
      <c r="E78">
        <v>0.7</v>
      </c>
      <c r="F78">
        <v>4.5999999999999996</v>
      </c>
      <c r="G78">
        <v>7.2</v>
      </c>
      <c r="H78">
        <v>0</v>
      </c>
      <c r="I78" s="2">
        <v>45985.3125</v>
      </c>
    </row>
    <row r="79" spans="1:9" x14ac:dyDescent="0.35">
      <c r="A79" s="1" t="s">
        <v>271</v>
      </c>
      <c r="B79" s="1" t="s">
        <v>194</v>
      </c>
      <c r="C79" s="2">
        <v>45985.28125</v>
      </c>
      <c r="D79">
        <v>2.2000000000000002</v>
      </c>
      <c r="E79">
        <v>0.7</v>
      </c>
      <c r="F79">
        <v>4.5999999999999996</v>
      </c>
      <c r="G79">
        <v>7.2</v>
      </c>
      <c r="H79">
        <v>0</v>
      </c>
      <c r="I79" s="2">
        <v>45985.322916666664</v>
      </c>
    </row>
    <row r="80" spans="1:9" x14ac:dyDescent="0.35">
      <c r="A80" s="1" t="s">
        <v>272</v>
      </c>
      <c r="B80" s="1" t="s">
        <v>194</v>
      </c>
      <c r="C80" s="2">
        <v>45985.291666666664</v>
      </c>
      <c r="D80">
        <v>2.2000000000000002</v>
      </c>
      <c r="E80">
        <v>0.7</v>
      </c>
      <c r="F80">
        <v>4.5999999999999996</v>
      </c>
      <c r="G80">
        <v>7.2</v>
      </c>
      <c r="H80">
        <v>0</v>
      </c>
      <c r="I80" s="2">
        <v>45985.333333333336</v>
      </c>
    </row>
    <row r="81" spans="1:9" x14ac:dyDescent="0.35">
      <c r="A81" s="1" t="s">
        <v>273</v>
      </c>
      <c r="B81" s="1" t="s">
        <v>194</v>
      </c>
      <c r="C81" s="2">
        <v>45985.302083333336</v>
      </c>
      <c r="D81">
        <v>2.2000000000000002</v>
      </c>
      <c r="E81">
        <v>0.7</v>
      </c>
      <c r="F81">
        <v>4.5999999999999996</v>
      </c>
      <c r="G81">
        <v>7.6</v>
      </c>
      <c r="H81">
        <v>0</v>
      </c>
      <c r="I81" s="2">
        <v>45985.34375</v>
      </c>
    </row>
    <row r="82" spans="1:9" x14ac:dyDescent="0.35">
      <c r="A82" s="1" t="s">
        <v>274</v>
      </c>
      <c r="B82" s="1" t="s">
        <v>194</v>
      </c>
      <c r="C82" s="2">
        <v>45985.3125</v>
      </c>
      <c r="D82">
        <v>2.2999999999999998</v>
      </c>
      <c r="E82">
        <v>0.7</v>
      </c>
      <c r="F82">
        <v>5.0999999999999996</v>
      </c>
      <c r="G82">
        <v>7.9</v>
      </c>
      <c r="H82">
        <v>0</v>
      </c>
      <c r="I82" s="2">
        <v>45985.354166666664</v>
      </c>
    </row>
    <row r="83" spans="1:9" x14ac:dyDescent="0.35">
      <c r="A83" s="1" t="s">
        <v>275</v>
      </c>
      <c r="B83" s="1" t="s">
        <v>194</v>
      </c>
      <c r="C83" s="2">
        <v>45985.322916666664</v>
      </c>
      <c r="D83">
        <v>2.4</v>
      </c>
      <c r="E83">
        <v>0.7</v>
      </c>
      <c r="F83">
        <v>5.0999999999999996</v>
      </c>
      <c r="G83">
        <v>8.3000000000000007</v>
      </c>
      <c r="H83">
        <v>0</v>
      </c>
      <c r="I83" s="2">
        <v>45985.364583333336</v>
      </c>
    </row>
    <row r="84" spans="1:9" x14ac:dyDescent="0.35">
      <c r="A84" s="1" t="s">
        <v>276</v>
      </c>
      <c r="B84" s="1" t="s">
        <v>194</v>
      </c>
      <c r="C84" s="2">
        <v>45985.333333333336</v>
      </c>
      <c r="D84">
        <v>2.4</v>
      </c>
      <c r="E84">
        <v>0.7</v>
      </c>
      <c r="F84">
        <v>4.9000000000000004</v>
      </c>
      <c r="G84">
        <v>8.6</v>
      </c>
      <c r="H84">
        <v>2.8</v>
      </c>
      <c r="I84" s="2">
        <v>45985.375</v>
      </c>
    </row>
    <row r="85" spans="1:9" x14ac:dyDescent="0.35">
      <c r="A85" s="1" t="s">
        <v>277</v>
      </c>
      <c r="B85" s="1" t="s">
        <v>194</v>
      </c>
      <c r="C85" s="2">
        <v>45985.34375</v>
      </c>
      <c r="D85">
        <v>2.5</v>
      </c>
      <c r="E85">
        <v>0.8</v>
      </c>
      <c r="F85">
        <v>4.5</v>
      </c>
      <c r="G85">
        <v>8.6</v>
      </c>
      <c r="H85">
        <v>5.5</v>
      </c>
      <c r="I85" s="2">
        <v>45985.385416666664</v>
      </c>
    </row>
    <row r="86" spans="1:9" x14ac:dyDescent="0.35">
      <c r="A86" s="1" t="s">
        <v>278</v>
      </c>
      <c r="B86" s="1" t="s">
        <v>194</v>
      </c>
      <c r="C86" s="2">
        <v>45985.354166666664</v>
      </c>
      <c r="D86">
        <v>2.5</v>
      </c>
      <c r="E86">
        <v>0.8</v>
      </c>
      <c r="F86">
        <v>4.2</v>
      </c>
      <c r="G86">
        <v>8.6</v>
      </c>
      <c r="H86">
        <v>8.5</v>
      </c>
      <c r="I86" s="2">
        <v>45985.395833333336</v>
      </c>
    </row>
    <row r="87" spans="1:9" x14ac:dyDescent="0.35">
      <c r="A87" s="1" t="s">
        <v>279</v>
      </c>
      <c r="B87" s="1" t="s">
        <v>194</v>
      </c>
      <c r="C87" s="2">
        <v>45985.364583333336</v>
      </c>
      <c r="D87">
        <v>2.5</v>
      </c>
      <c r="E87">
        <v>0.7</v>
      </c>
      <c r="F87">
        <v>3.6</v>
      </c>
      <c r="G87">
        <v>8.3000000000000007</v>
      </c>
      <c r="H87">
        <v>12.6</v>
      </c>
      <c r="I87" s="2">
        <v>45985.40625</v>
      </c>
    </row>
    <row r="88" spans="1:9" x14ac:dyDescent="0.35">
      <c r="A88" s="1" t="s">
        <v>280</v>
      </c>
      <c r="B88" s="1" t="s">
        <v>194</v>
      </c>
      <c r="C88" s="2">
        <v>45985.375</v>
      </c>
      <c r="D88">
        <v>2.5</v>
      </c>
      <c r="E88">
        <v>0.7</v>
      </c>
      <c r="F88">
        <v>3.6</v>
      </c>
      <c r="G88">
        <v>7.9</v>
      </c>
      <c r="H88">
        <v>19.899999999999999</v>
      </c>
      <c r="I88" s="2">
        <v>45985.416666666664</v>
      </c>
    </row>
    <row r="89" spans="1:9" x14ac:dyDescent="0.35">
      <c r="A89" s="1" t="s">
        <v>281</v>
      </c>
      <c r="B89" s="1" t="s">
        <v>194</v>
      </c>
      <c r="C89" s="2">
        <v>45985.385416666664</v>
      </c>
      <c r="D89">
        <v>2.5</v>
      </c>
      <c r="E89">
        <v>0.8</v>
      </c>
      <c r="F89">
        <v>3.7</v>
      </c>
      <c r="G89">
        <v>7.6</v>
      </c>
      <c r="H89">
        <v>20.6</v>
      </c>
      <c r="I89" s="2">
        <v>45985.427083333336</v>
      </c>
    </row>
    <row r="90" spans="1:9" x14ac:dyDescent="0.35">
      <c r="A90" s="1" t="s">
        <v>282</v>
      </c>
      <c r="B90" s="1" t="s">
        <v>194</v>
      </c>
      <c r="C90" s="2">
        <v>45985.395833333336</v>
      </c>
      <c r="D90">
        <v>2.6</v>
      </c>
      <c r="E90">
        <v>0.6</v>
      </c>
      <c r="F90">
        <v>3.7</v>
      </c>
      <c r="G90">
        <v>7.2</v>
      </c>
      <c r="H90">
        <v>34.1</v>
      </c>
      <c r="I90" s="2">
        <v>45985.4375</v>
      </c>
    </row>
    <row r="91" spans="1:9" x14ac:dyDescent="0.35">
      <c r="A91" s="1" t="s">
        <v>283</v>
      </c>
      <c r="B91" s="1" t="s">
        <v>194</v>
      </c>
      <c r="C91" s="2">
        <v>45985.40625</v>
      </c>
      <c r="D91">
        <v>2.6</v>
      </c>
      <c r="E91">
        <v>0.7</v>
      </c>
      <c r="F91">
        <v>3.7</v>
      </c>
      <c r="G91">
        <v>6.8</v>
      </c>
      <c r="H91">
        <v>22.1</v>
      </c>
      <c r="I91" s="2">
        <v>45985.447916666664</v>
      </c>
    </row>
    <row r="92" spans="1:9" x14ac:dyDescent="0.35">
      <c r="A92" s="1" t="s">
        <v>284</v>
      </c>
      <c r="B92" s="1" t="s">
        <v>194</v>
      </c>
      <c r="C92" s="2">
        <v>45985.416666666664</v>
      </c>
      <c r="D92">
        <v>2.7</v>
      </c>
      <c r="E92">
        <v>0.6</v>
      </c>
      <c r="F92">
        <v>3.7</v>
      </c>
      <c r="G92">
        <v>6.5</v>
      </c>
      <c r="H92">
        <v>30.3</v>
      </c>
      <c r="I92" s="2">
        <v>45985.458333333336</v>
      </c>
    </row>
    <row r="93" spans="1:9" x14ac:dyDescent="0.35">
      <c r="A93" s="1" t="s">
        <v>285</v>
      </c>
      <c r="B93" s="1" t="s">
        <v>194</v>
      </c>
      <c r="C93" s="2">
        <v>45985.427083333336</v>
      </c>
      <c r="D93">
        <v>2.8</v>
      </c>
      <c r="E93">
        <v>0.6</v>
      </c>
      <c r="F93">
        <v>3.3</v>
      </c>
      <c r="G93">
        <v>6.5</v>
      </c>
      <c r="H93">
        <v>33.200000000000003</v>
      </c>
      <c r="I93" s="2">
        <v>45985.46875</v>
      </c>
    </row>
    <row r="94" spans="1:9" x14ac:dyDescent="0.35">
      <c r="A94" s="1" t="s">
        <v>286</v>
      </c>
      <c r="B94" s="1" t="s">
        <v>194</v>
      </c>
      <c r="C94" s="2">
        <v>45985.4375</v>
      </c>
      <c r="D94">
        <v>2.9</v>
      </c>
      <c r="E94">
        <v>0.6</v>
      </c>
      <c r="F94">
        <v>3.3</v>
      </c>
      <c r="G94">
        <v>6.5</v>
      </c>
      <c r="H94">
        <v>36.1</v>
      </c>
      <c r="I94" s="2">
        <v>45985.479166666664</v>
      </c>
    </row>
    <row r="95" spans="1:9" x14ac:dyDescent="0.35">
      <c r="A95" s="1" t="s">
        <v>287</v>
      </c>
      <c r="B95" s="1" t="s">
        <v>194</v>
      </c>
      <c r="C95" s="2">
        <v>45985.447916666664</v>
      </c>
      <c r="D95">
        <v>3</v>
      </c>
      <c r="E95">
        <v>0.6</v>
      </c>
      <c r="F95">
        <v>2.9</v>
      </c>
      <c r="G95">
        <v>6.8</v>
      </c>
      <c r="H95">
        <v>34.9</v>
      </c>
      <c r="I95" s="2">
        <v>45985.489583333336</v>
      </c>
    </row>
    <row r="96" spans="1:9" x14ac:dyDescent="0.35">
      <c r="A96" s="1" t="s">
        <v>288</v>
      </c>
      <c r="B96" s="1" t="s">
        <v>194</v>
      </c>
      <c r="C96" s="2">
        <v>45985.458333333336</v>
      </c>
      <c r="D96">
        <v>3.1</v>
      </c>
      <c r="E96">
        <v>0.6</v>
      </c>
      <c r="F96">
        <v>2.5</v>
      </c>
      <c r="G96">
        <v>6.5</v>
      </c>
      <c r="H96">
        <v>43.9</v>
      </c>
      <c r="I96" s="2">
        <v>45985.5</v>
      </c>
    </row>
    <row r="97" spans="1:9" x14ac:dyDescent="0.35">
      <c r="A97" s="1" t="s">
        <v>289</v>
      </c>
      <c r="B97" s="1" t="s">
        <v>194</v>
      </c>
      <c r="C97" s="2">
        <v>45985.46875</v>
      </c>
      <c r="D97">
        <v>3.2</v>
      </c>
      <c r="E97">
        <v>0.6</v>
      </c>
      <c r="F97">
        <v>2.2999999999999998</v>
      </c>
      <c r="G97">
        <v>5.8</v>
      </c>
      <c r="H97">
        <v>53.8</v>
      </c>
      <c r="I97" s="2">
        <v>45985.510416666664</v>
      </c>
    </row>
    <row r="98" spans="1:9" x14ac:dyDescent="0.35">
      <c r="A98" s="1" t="s">
        <v>290</v>
      </c>
      <c r="B98" s="1" t="s">
        <v>194</v>
      </c>
      <c r="C98" s="2">
        <v>45985.479166666664</v>
      </c>
      <c r="D98">
        <v>3.4</v>
      </c>
      <c r="E98">
        <v>0.5</v>
      </c>
      <c r="F98">
        <v>1.9</v>
      </c>
      <c r="G98">
        <v>4.7</v>
      </c>
      <c r="H98">
        <v>50.6</v>
      </c>
      <c r="I98" s="2">
        <v>45985.520833333336</v>
      </c>
    </row>
    <row r="99" spans="1:9" x14ac:dyDescent="0.35">
      <c r="A99" s="1" t="s">
        <v>291</v>
      </c>
      <c r="B99" s="1" t="s">
        <v>194</v>
      </c>
      <c r="C99" s="2">
        <v>45985.489583333336</v>
      </c>
      <c r="D99">
        <v>3.5</v>
      </c>
      <c r="E99">
        <v>0.5</v>
      </c>
      <c r="F99">
        <v>1.8</v>
      </c>
      <c r="G99">
        <v>4</v>
      </c>
      <c r="H99">
        <v>71.599999999999994</v>
      </c>
      <c r="I99" s="2">
        <v>45985.53125</v>
      </c>
    </row>
    <row r="100" spans="1:9" x14ac:dyDescent="0.35">
      <c r="A100" s="1" t="s">
        <v>292</v>
      </c>
      <c r="B100" s="1" t="s">
        <v>194</v>
      </c>
      <c r="C100" s="2">
        <v>45985.5</v>
      </c>
      <c r="D100">
        <v>3.6</v>
      </c>
      <c r="E100">
        <v>0.5</v>
      </c>
      <c r="F100">
        <v>1.5</v>
      </c>
      <c r="G100">
        <v>3.2</v>
      </c>
      <c r="H100">
        <v>60.2</v>
      </c>
      <c r="I100" s="2">
        <v>45985.541666666664</v>
      </c>
    </row>
    <row r="101" spans="1:9" x14ac:dyDescent="0.35">
      <c r="A101" s="1" t="s">
        <v>293</v>
      </c>
      <c r="B101" s="1" t="s">
        <v>194</v>
      </c>
      <c r="C101" s="2">
        <v>45985.510416666664</v>
      </c>
      <c r="D101">
        <v>3.7</v>
      </c>
      <c r="E101">
        <v>0.4</v>
      </c>
      <c r="F101">
        <v>1.5</v>
      </c>
      <c r="G101">
        <v>3.2</v>
      </c>
      <c r="H101">
        <v>66</v>
      </c>
      <c r="I101" s="2">
        <v>45985.552083333336</v>
      </c>
    </row>
    <row r="102" spans="1:9" x14ac:dyDescent="0.35">
      <c r="A102" s="1" t="s">
        <v>294</v>
      </c>
      <c r="B102" s="1" t="s">
        <v>194</v>
      </c>
      <c r="C102" s="2">
        <v>45985.520833333336</v>
      </c>
      <c r="D102">
        <v>3.8</v>
      </c>
      <c r="E102">
        <v>0.4</v>
      </c>
      <c r="F102">
        <v>1.8</v>
      </c>
      <c r="G102">
        <v>3.6</v>
      </c>
      <c r="H102">
        <v>66.8</v>
      </c>
      <c r="I102" s="2">
        <v>45985.5625</v>
      </c>
    </row>
    <row r="103" spans="1:9" x14ac:dyDescent="0.35">
      <c r="A103" s="1" t="s">
        <v>295</v>
      </c>
      <c r="B103" s="1" t="s">
        <v>194</v>
      </c>
      <c r="C103" s="2">
        <v>45985.53125</v>
      </c>
      <c r="D103">
        <v>3.8</v>
      </c>
      <c r="E103">
        <v>0.4</v>
      </c>
      <c r="F103">
        <v>1.8</v>
      </c>
      <c r="G103">
        <v>4.3</v>
      </c>
      <c r="H103">
        <v>83.4</v>
      </c>
      <c r="I103" s="2">
        <v>45985.572916666664</v>
      </c>
    </row>
    <row r="104" spans="1:9" x14ac:dyDescent="0.35">
      <c r="A104" s="1" t="s">
        <v>296</v>
      </c>
      <c r="B104" s="1" t="s">
        <v>194</v>
      </c>
      <c r="C104" s="2">
        <v>45985.541666666664</v>
      </c>
      <c r="D104">
        <v>3.9</v>
      </c>
      <c r="E104">
        <v>0.3</v>
      </c>
      <c r="F104">
        <v>2.1</v>
      </c>
      <c r="G104">
        <v>4.7</v>
      </c>
      <c r="H104">
        <v>72.2</v>
      </c>
      <c r="I104" s="2">
        <v>45985.583333333336</v>
      </c>
    </row>
    <row r="105" spans="1:9" x14ac:dyDescent="0.35">
      <c r="A105" s="1" t="s">
        <v>297</v>
      </c>
      <c r="B105" s="1" t="s">
        <v>194</v>
      </c>
      <c r="C105" s="2">
        <v>45985.552083333336</v>
      </c>
      <c r="D105">
        <v>4.0999999999999996</v>
      </c>
      <c r="E105">
        <v>0.3</v>
      </c>
      <c r="F105">
        <v>2.2999999999999998</v>
      </c>
      <c r="G105">
        <v>5</v>
      </c>
      <c r="H105">
        <v>89.7</v>
      </c>
      <c r="I105" s="2">
        <v>45985.59375</v>
      </c>
    </row>
    <row r="106" spans="1:9" x14ac:dyDescent="0.35">
      <c r="A106" s="1" t="s">
        <v>298</v>
      </c>
      <c r="B106" s="1" t="s">
        <v>194</v>
      </c>
      <c r="C106" s="2">
        <v>45985.5625</v>
      </c>
      <c r="D106">
        <v>4.2</v>
      </c>
      <c r="E106">
        <v>0.3</v>
      </c>
      <c r="F106">
        <v>2.6</v>
      </c>
      <c r="G106">
        <v>5.4</v>
      </c>
      <c r="H106">
        <v>65.7</v>
      </c>
      <c r="I106" s="2">
        <v>45985.604166666664</v>
      </c>
    </row>
    <row r="107" spans="1:9" x14ac:dyDescent="0.35">
      <c r="A107" s="1" t="s">
        <v>299</v>
      </c>
      <c r="B107" s="1" t="s">
        <v>194</v>
      </c>
      <c r="C107" s="2">
        <v>45985.572916666664</v>
      </c>
      <c r="D107">
        <v>4.3</v>
      </c>
      <c r="E107">
        <v>0.3</v>
      </c>
      <c r="F107">
        <v>2.8</v>
      </c>
      <c r="G107">
        <v>5.8</v>
      </c>
      <c r="H107">
        <v>72.3</v>
      </c>
      <c r="I107" s="2">
        <v>45985.614583333336</v>
      </c>
    </row>
    <row r="108" spans="1:9" x14ac:dyDescent="0.35">
      <c r="A108" s="1" t="s">
        <v>300</v>
      </c>
      <c r="B108" s="1" t="s">
        <v>194</v>
      </c>
      <c r="C108" s="2">
        <v>45985.583333333336</v>
      </c>
      <c r="D108">
        <v>4.4000000000000004</v>
      </c>
      <c r="E108">
        <v>0.3</v>
      </c>
      <c r="F108">
        <v>2.8</v>
      </c>
      <c r="G108">
        <v>5.8</v>
      </c>
      <c r="H108">
        <v>72.900000000000006</v>
      </c>
      <c r="I108" s="2">
        <v>45985.625</v>
      </c>
    </row>
    <row r="109" spans="1:9" x14ac:dyDescent="0.35">
      <c r="A109" s="1" t="s">
        <v>301</v>
      </c>
      <c r="B109" s="1" t="s">
        <v>194</v>
      </c>
      <c r="C109" s="2">
        <v>45985.59375</v>
      </c>
      <c r="D109">
        <v>4.4000000000000004</v>
      </c>
      <c r="E109">
        <v>0.2</v>
      </c>
      <c r="F109">
        <v>2.6</v>
      </c>
      <c r="G109">
        <v>5.4</v>
      </c>
      <c r="H109">
        <v>58.9</v>
      </c>
      <c r="I109" s="2">
        <v>45985.635416666664</v>
      </c>
    </row>
    <row r="110" spans="1:9" x14ac:dyDescent="0.35">
      <c r="A110" s="1" t="s">
        <v>302</v>
      </c>
      <c r="B110" s="1" t="s">
        <v>194</v>
      </c>
      <c r="C110" s="2">
        <v>45985.604166666664</v>
      </c>
      <c r="D110">
        <v>4.4000000000000004</v>
      </c>
      <c r="E110">
        <v>0.3</v>
      </c>
      <c r="F110">
        <v>2.2999999999999998</v>
      </c>
      <c r="G110">
        <v>4.7</v>
      </c>
      <c r="H110">
        <v>39.299999999999997</v>
      </c>
      <c r="I110" s="2">
        <v>45985.645833333336</v>
      </c>
    </row>
    <row r="111" spans="1:9" x14ac:dyDescent="0.35">
      <c r="A111" s="1" t="s">
        <v>303</v>
      </c>
      <c r="B111" s="1" t="s">
        <v>194</v>
      </c>
      <c r="C111" s="2">
        <v>45985.614583333336</v>
      </c>
      <c r="D111">
        <v>4.4000000000000004</v>
      </c>
      <c r="E111">
        <v>0.2</v>
      </c>
      <c r="F111">
        <v>2.2000000000000002</v>
      </c>
      <c r="G111">
        <v>4</v>
      </c>
      <c r="H111">
        <v>33.299999999999997</v>
      </c>
      <c r="I111" s="2">
        <v>45985.65625</v>
      </c>
    </row>
    <row r="112" spans="1:9" x14ac:dyDescent="0.35">
      <c r="A112" s="1" t="s">
        <v>304</v>
      </c>
      <c r="B112" s="1" t="s">
        <v>194</v>
      </c>
      <c r="C112" s="2">
        <v>45985.625</v>
      </c>
      <c r="D112">
        <v>4.4000000000000004</v>
      </c>
      <c r="E112">
        <v>0.3</v>
      </c>
      <c r="F112">
        <v>2.2000000000000002</v>
      </c>
      <c r="G112">
        <v>3.6</v>
      </c>
      <c r="H112">
        <v>36.700000000000003</v>
      </c>
      <c r="I112" s="2">
        <v>45985.666666666664</v>
      </c>
    </row>
    <row r="113" spans="1:9" x14ac:dyDescent="0.35">
      <c r="A113" s="1" t="s">
        <v>305</v>
      </c>
      <c r="B113" s="1" t="s">
        <v>194</v>
      </c>
      <c r="C113" s="2">
        <v>45985.635416666664</v>
      </c>
      <c r="D113">
        <v>4.4000000000000004</v>
      </c>
      <c r="E113">
        <v>0.4</v>
      </c>
      <c r="F113">
        <v>2.2000000000000002</v>
      </c>
      <c r="G113">
        <v>3.2</v>
      </c>
      <c r="H113">
        <v>26.9</v>
      </c>
      <c r="I113" s="2">
        <v>45985.677083333336</v>
      </c>
    </row>
    <row r="114" spans="1:9" x14ac:dyDescent="0.35">
      <c r="A114" s="1" t="s">
        <v>306</v>
      </c>
      <c r="B114" s="1" t="s">
        <v>194</v>
      </c>
      <c r="C114" s="2">
        <v>45985.645833333336</v>
      </c>
      <c r="D114">
        <v>4.3</v>
      </c>
      <c r="E114">
        <v>0.4</v>
      </c>
      <c r="F114">
        <v>2.2000000000000002</v>
      </c>
      <c r="G114">
        <v>3.2</v>
      </c>
      <c r="H114">
        <v>21.8</v>
      </c>
      <c r="I114" s="2">
        <v>45985.6875</v>
      </c>
    </row>
    <row r="115" spans="1:9" x14ac:dyDescent="0.35">
      <c r="A115" s="1" t="s">
        <v>307</v>
      </c>
      <c r="B115" s="1" t="s">
        <v>194</v>
      </c>
      <c r="C115" s="2">
        <v>45985.65625</v>
      </c>
      <c r="D115">
        <v>4.2</v>
      </c>
      <c r="E115">
        <v>0.4</v>
      </c>
      <c r="F115">
        <v>1.8</v>
      </c>
      <c r="G115">
        <v>3.2</v>
      </c>
      <c r="H115">
        <v>15</v>
      </c>
      <c r="I115" s="2">
        <v>45985.697916666664</v>
      </c>
    </row>
    <row r="116" spans="1:9" x14ac:dyDescent="0.35">
      <c r="A116" s="1" t="s">
        <v>308</v>
      </c>
      <c r="B116" s="1" t="s">
        <v>194</v>
      </c>
      <c r="C116" s="2">
        <v>45985.666666666664</v>
      </c>
      <c r="D116">
        <v>4.2</v>
      </c>
      <c r="E116">
        <v>0.5</v>
      </c>
      <c r="F116">
        <v>1.8</v>
      </c>
      <c r="G116">
        <v>3.2</v>
      </c>
      <c r="H116">
        <v>13.3</v>
      </c>
      <c r="I116" s="2">
        <v>45985.708333333336</v>
      </c>
    </row>
    <row r="117" spans="1:9" x14ac:dyDescent="0.35">
      <c r="A117" s="1" t="s">
        <v>309</v>
      </c>
      <c r="B117" s="1" t="s">
        <v>194</v>
      </c>
      <c r="C117" s="2">
        <v>45985.677083333336</v>
      </c>
      <c r="D117">
        <v>4.0999999999999996</v>
      </c>
      <c r="E117">
        <v>0.5</v>
      </c>
      <c r="F117">
        <v>1.8</v>
      </c>
      <c r="G117">
        <v>2.9</v>
      </c>
      <c r="H117">
        <v>7.4</v>
      </c>
      <c r="I117" s="2">
        <v>45985.71875</v>
      </c>
    </row>
    <row r="118" spans="1:9" x14ac:dyDescent="0.35">
      <c r="A118" s="1" t="s">
        <v>310</v>
      </c>
      <c r="B118" s="1" t="s">
        <v>194</v>
      </c>
      <c r="C118" s="2">
        <v>45985.6875</v>
      </c>
      <c r="D118">
        <v>4</v>
      </c>
      <c r="E118">
        <v>0.5</v>
      </c>
      <c r="F118">
        <v>1.8</v>
      </c>
      <c r="G118">
        <v>2.9</v>
      </c>
      <c r="H118">
        <v>1.3</v>
      </c>
      <c r="I118" s="2">
        <v>45985.729166666664</v>
      </c>
    </row>
    <row r="119" spans="1:9" x14ac:dyDescent="0.35">
      <c r="A119" s="1" t="s">
        <v>311</v>
      </c>
      <c r="B119" s="1" t="s">
        <v>194</v>
      </c>
      <c r="C119" s="2">
        <v>45985.697916666664</v>
      </c>
      <c r="D119">
        <v>3.8</v>
      </c>
      <c r="E119">
        <v>0.5</v>
      </c>
      <c r="F119">
        <v>1.8</v>
      </c>
      <c r="G119">
        <v>2.5</v>
      </c>
      <c r="H119">
        <v>0</v>
      </c>
      <c r="I119" s="2">
        <v>45985.739583333336</v>
      </c>
    </row>
    <row r="120" spans="1:9" x14ac:dyDescent="0.35">
      <c r="A120" s="1" t="s">
        <v>312</v>
      </c>
      <c r="B120" s="1" t="s">
        <v>194</v>
      </c>
      <c r="C120" s="2">
        <v>45985.708333333336</v>
      </c>
      <c r="D120">
        <v>3.7</v>
      </c>
      <c r="E120">
        <v>0.6</v>
      </c>
      <c r="F120">
        <v>1.9</v>
      </c>
      <c r="G120">
        <v>2.5</v>
      </c>
      <c r="H120">
        <v>0</v>
      </c>
      <c r="I120" s="2">
        <v>45985.75</v>
      </c>
    </row>
    <row r="121" spans="1:9" x14ac:dyDescent="0.35">
      <c r="A121" s="1" t="s">
        <v>313</v>
      </c>
      <c r="B121" s="1" t="s">
        <v>194</v>
      </c>
      <c r="C121" s="2">
        <v>45985.71875</v>
      </c>
      <c r="D121">
        <v>3.6</v>
      </c>
      <c r="E121">
        <v>0.6</v>
      </c>
      <c r="F121">
        <v>1.9</v>
      </c>
      <c r="G121">
        <v>2.5</v>
      </c>
      <c r="H121">
        <v>0</v>
      </c>
      <c r="I121" s="2">
        <v>45985.760416666664</v>
      </c>
    </row>
    <row r="122" spans="1:9" x14ac:dyDescent="0.35">
      <c r="A122" s="1" t="s">
        <v>314</v>
      </c>
      <c r="B122" s="1" t="s">
        <v>194</v>
      </c>
      <c r="C122" s="2">
        <v>45985.729166666664</v>
      </c>
      <c r="D122">
        <v>3.5</v>
      </c>
      <c r="E122">
        <v>0.8</v>
      </c>
      <c r="F122">
        <v>2.2999999999999998</v>
      </c>
      <c r="G122">
        <v>2.9</v>
      </c>
      <c r="H122">
        <v>0</v>
      </c>
      <c r="I122" s="2">
        <v>45985.770833333336</v>
      </c>
    </row>
    <row r="123" spans="1:9" x14ac:dyDescent="0.35">
      <c r="A123" s="1" t="s">
        <v>315</v>
      </c>
      <c r="B123" s="1" t="s">
        <v>194</v>
      </c>
      <c r="C123" s="2">
        <v>45985.739583333336</v>
      </c>
      <c r="D123">
        <v>3.3</v>
      </c>
      <c r="E123">
        <v>0.9</v>
      </c>
      <c r="F123">
        <v>2.2999999999999998</v>
      </c>
      <c r="G123">
        <v>2.9</v>
      </c>
      <c r="H123">
        <v>0</v>
      </c>
      <c r="I123" s="2">
        <v>45985.78125</v>
      </c>
    </row>
    <row r="124" spans="1:9" x14ac:dyDescent="0.35">
      <c r="A124" s="1" t="s">
        <v>316</v>
      </c>
      <c r="B124" s="1" t="s">
        <v>194</v>
      </c>
      <c r="C124" s="2">
        <v>45985.75</v>
      </c>
      <c r="D124">
        <v>3.2</v>
      </c>
      <c r="E124">
        <v>0.9</v>
      </c>
      <c r="F124">
        <v>2.2999999999999998</v>
      </c>
      <c r="G124">
        <v>3.2</v>
      </c>
      <c r="H124">
        <v>0</v>
      </c>
      <c r="I124" s="2">
        <v>45985.791666666664</v>
      </c>
    </row>
    <row r="125" spans="1:9" x14ac:dyDescent="0.35">
      <c r="A125" s="1" t="s">
        <v>317</v>
      </c>
      <c r="B125" s="1" t="s">
        <v>194</v>
      </c>
      <c r="C125" s="2">
        <v>45985.760416666664</v>
      </c>
      <c r="D125">
        <v>3.2</v>
      </c>
      <c r="E125">
        <v>0.9</v>
      </c>
      <c r="F125">
        <v>2.2999999999999998</v>
      </c>
      <c r="G125">
        <v>3.6</v>
      </c>
      <c r="H125">
        <v>0</v>
      </c>
      <c r="I125" s="2">
        <v>45985.802083333336</v>
      </c>
    </row>
    <row r="126" spans="1:9" x14ac:dyDescent="0.35">
      <c r="A126" s="1" t="s">
        <v>318</v>
      </c>
      <c r="B126" s="1" t="s">
        <v>194</v>
      </c>
      <c r="C126" s="2">
        <v>45985.770833333336</v>
      </c>
      <c r="D126">
        <v>3.3</v>
      </c>
      <c r="E126">
        <v>1</v>
      </c>
      <c r="F126">
        <v>2.2000000000000002</v>
      </c>
      <c r="G126">
        <v>4.3</v>
      </c>
      <c r="H126">
        <v>0</v>
      </c>
      <c r="I126" s="2">
        <v>45985.8125</v>
      </c>
    </row>
    <row r="127" spans="1:9" x14ac:dyDescent="0.35">
      <c r="A127" s="1" t="s">
        <v>319</v>
      </c>
      <c r="B127" s="1" t="s">
        <v>194</v>
      </c>
      <c r="C127" s="2">
        <v>45985.78125</v>
      </c>
      <c r="D127">
        <v>3.5</v>
      </c>
      <c r="E127">
        <v>1</v>
      </c>
      <c r="F127">
        <v>2.2000000000000002</v>
      </c>
      <c r="G127">
        <v>5</v>
      </c>
      <c r="H127">
        <v>0</v>
      </c>
      <c r="I127" s="2">
        <v>45985.822916666664</v>
      </c>
    </row>
    <row r="128" spans="1:9" x14ac:dyDescent="0.35">
      <c r="A128" s="1" t="s">
        <v>320</v>
      </c>
      <c r="B128" s="1" t="s">
        <v>194</v>
      </c>
      <c r="C128" s="2">
        <v>45985.791666666664</v>
      </c>
      <c r="D128">
        <v>3.5</v>
      </c>
      <c r="E128">
        <v>1</v>
      </c>
      <c r="F128">
        <v>2.2000000000000002</v>
      </c>
      <c r="G128">
        <v>5.4</v>
      </c>
      <c r="H128">
        <v>0</v>
      </c>
      <c r="I128" s="2">
        <v>45985.833333333336</v>
      </c>
    </row>
    <row r="129" spans="1:9" x14ac:dyDescent="0.35">
      <c r="A129" s="1" t="s">
        <v>321</v>
      </c>
      <c r="B129" s="1" t="s">
        <v>194</v>
      </c>
      <c r="C129" s="2">
        <v>45985.802083333336</v>
      </c>
      <c r="D129">
        <v>3.5</v>
      </c>
      <c r="E129">
        <v>1</v>
      </c>
      <c r="F129">
        <v>2.5</v>
      </c>
      <c r="G129">
        <v>5.4</v>
      </c>
      <c r="H129">
        <v>0</v>
      </c>
      <c r="I129" s="2">
        <v>45985.84375</v>
      </c>
    </row>
    <row r="130" spans="1:9" x14ac:dyDescent="0.35">
      <c r="A130" s="1" t="s">
        <v>322</v>
      </c>
      <c r="B130" s="1" t="s">
        <v>194</v>
      </c>
      <c r="C130" s="2">
        <v>45985.8125</v>
      </c>
      <c r="D130">
        <v>3.5</v>
      </c>
      <c r="E130">
        <v>1</v>
      </c>
      <c r="F130">
        <v>2.9</v>
      </c>
      <c r="G130">
        <v>5</v>
      </c>
      <c r="H130">
        <v>0</v>
      </c>
      <c r="I130" s="2">
        <v>45985.854166666664</v>
      </c>
    </row>
    <row r="131" spans="1:9" x14ac:dyDescent="0.35">
      <c r="A131" s="1" t="s">
        <v>323</v>
      </c>
      <c r="B131" s="1" t="s">
        <v>194</v>
      </c>
      <c r="C131" s="2">
        <v>45985.822916666664</v>
      </c>
      <c r="D131">
        <v>3.5</v>
      </c>
      <c r="E131">
        <v>1.2</v>
      </c>
      <c r="F131">
        <v>2.9</v>
      </c>
      <c r="G131">
        <v>4.7</v>
      </c>
      <c r="H131">
        <v>0</v>
      </c>
      <c r="I131" s="2">
        <v>45985.864583333336</v>
      </c>
    </row>
    <row r="132" spans="1:9" x14ac:dyDescent="0.35">
      <c r="A132" s="1" t="s">
        <v>324</v>
      </c>
      <c r="B132" s="1" t="s">
        <v>194</v>
      </c>
      <c r="C132" s="2">
        <v>45985.833333333336</v>
      </c>
      <c r="D132">
        <v>3.5</v>
      </c>
      <c r="E132">
        <v>1.5</v>
      </c>
      <c r="F132">
        <v>2.6</v>
      </c>
      <c r="G132">
        <v>5.4</v>
      </c>
      <c r="H132">
        <v>0</v>
      </c>
      <c r="I132" s="2">
        <v>45985.875</v>
      </c>
    </row>
    <row r="133" spans="1:9" x14ac:dyDescent="0.35">
      <c r="A133" s="1" t="s">
        <v>325</v>
      </c>
      <c r="B133" s="1" t="s">
        <v>194</v>
      </c>
      <c r="C133" s="2">
        <v>45985.84375</v>
      </c>
      <c r="D133">
        <v>3.5</v>
      </c>
      <c r="E133">
        <v>1.3</v>
      </c>
      <c r="F133">
        <v>2.4</v>
      </c>
      <c r="G133">
        <v>7.6</v>
      </c>
      <c r="H133">
        <v>0</v>
      </c>
      <c r="I133" s="2">
        <v>45985.885416666664</v>
      </c>
    </row>
    <row r="134" spans="1:9" x14ac:dyDescent="0.35">
      <c r="A134" s="1" t="s">
        <v>326</v>
      </c>
      <c r="B134" s="1" t="s">
        <v>194</v>
      </c>
      <c r="C134" s="2">
        <v>45985.854166666664</v>
      </c>
      <c r="D134">
        <v>3.5</v>
      </c>
      <c r="E134">
        <v>0.9</v>
      </c>
      <c r="F134">
        <v>4.7</v>
      </c>
      <c r="G134">
        <v>10.4</v>
      </c>
      <c r="H134">
        <v>0</v>
      </c>
      <c r="I134" s="2">
        <v>45985.895833333336</v>
      </c>
    </row>
    <row r="135" spans="1:9" x14ac:dyDescent="0.35">
      <c r="A135" s="1" t="s">
        <v>327</v>
      </c>
      <c r="B135" s="1" t="s">
        <v>194</v>
      </c>
      <c r="C135" s="2">
        <v>45985.864583333336</v>
      </c>
      <c r="D135">
        <v>3.5</v>
      </c>
      <c r="E135">
        <v>0.7</v>
      </c>
      <c r="F135">
        <v>7.3</v>
      </c>
      <c r="G135">
        <v>13.7</v>
      </c>
      <c r="H135">
        <v>0</v>
      </c>
      <c r="I135" s="2">
        <v>45985.90625</v>
      </c>
    </row>
    <row r="136" spans="1:9" x14ac:dyDescent="0.35">
      <c r="A136" s="1" t="s">
        <v>328</v>
      </c>
      <c r="B136" s="1" t="s">
        <v>194</v>
      </c>
      <c r="C136" s="2">
        <v>45985.875</v>
      </c>
      <c r="D136">
        <v>3.5</v>
      </c>
      <c r="E136">
        <v>0.5</v>
      </c>
      <c r="F136">
        <v>8.4</v>
      </c>
      <c r="G136">
        <v>15.5</v>
      </c>
      <c r="H136">
        <v>0</v>
      </c>
      <c r="I136" s="2">
        <v>45985.916666666664</v>
      </c>
    </row>
    <row r="137" spans="1:9" x14ac:dyDescent="0.35">
      <c r="A137" s="1" t="s">
        <v>329</v>
      </c>
      <c r="B137" s="1" t="s">
        <v>194</v>
      </c>
      <c r="C137" s="2">
        <v>45985.885416666664</v>
      </c>
      <c r="D137">
        <v>3.5</v>
      </c>
      <c r="E137">
        <v>0.4</v>
      </c>
      <c r="F137">
        <v>7.2</v>
      </c>
      <c r="G137">
        <v>15.8</v>
      </c>
      <c r="H137">
        <v>0</v>
      </c>
      <c r="I137" s="2">
        <v>45985.927083333336</v>
      </c>
    </row>
    <row r="138" spans="1:9" x14ac:dyDescent="0.35">
      <c r="A138" s="1" t="s">
        <v>330</v>
      </c>
      <c r="B138" s="1" t="s">
        <v>194</v>
      </c>
      <c r="C138" s="2">
        <v>45985.895833333336</v>
      </c>
      <c r="D138">
        <v>3.5</v>
      </c>
      <c r="E138">
        <v>0.3</v>
      </c>
      <c r="F138">
        <v>5</v>
      </c>
      <c r="G138">
        <v>15.5</v>
      </c>
      <c r="H138">
        <v>0</v>
      </c>
      <c r="I138" s="2">
        <v>45985.9375</v>
      </c>
    </row>
    <row r="139" spans="1:9" x14ac:dyDescent="0.35">
      <c r="A139" s="1" t="s">
        <v>331</v>
      </c>
      <c r="B139" s="1" t="s">
        <v>194</v>
      </c>
      <c r="C139" s="2">
        <v>45985.90625</v>
      </c>
      <c r="D139">
        <v>3.5</v>
      </c>
      <c r="E139">
        <v>0.2</v>
      </c>
      <c r="F139">
        <v>2.2000000000000002</v>
      </c>
      <c r="G139">
        <v>14.4</v>
      </c>
      <c r="H139">
        <v>0</v>
      </c>
      <c r="I139" s="2">
        <v>45985.947916666664</v>
      </c>
    </row>
    <row r="140" spans="1:9" x14ac:dyDescent="0.35">
      <c r="A140" s="1" t="s">
        <v>332</v>
      </c>
      <c r="B140" s="1" t="s">
        <v>194</v>
      </c>
      <c r="C140" s="2">
        <v>45985.916666666664</v>
      </c>
      <c r="D140">
        <v>3.5</v>
      </c>
      <c r="E140">
        <v>0.2</v>
      </c>
      <c r="F140">
        <v>1.1000000000000001</v>
      </c>
      <c r="G140">
        <v>13</v>
      </c>
      <c r="H140">
        <v>0</v>
      </c>
      <c r="I140" s="2">
        <v>45985.958333333336</v>
      </c>
    </row>
    <row r="141" spans="1:9" x14ac:dyDescent="0.35">
      <c r="A141" s="1" t="s">
        <v>333</v>
      </c>
      <c r="B141" s="1" t="s">
        <v>194</v>
      </c>
      <c r="C141" s="2">
        <v>45985.927083333336</v>
      </c>
      <c r="D141">
        <v>3.5</v>
      </c>
      <c r="E141">
        <v>0.2</v>
      </c>
      <c r="F141">
        <v>1.6</v>
      </c>
      <c r="G141">
        <v>11.2</v>
      </c>
      <c r="H141">
        <v>0</v>
      </c>
      <c r="I141" s="2">
        <v>45985.96875</v>
      </c>
    </row>
    <row r="142" spans="1:9" x14ac:dyDescent="0.35">
      <c r="A142" s="1" t="s">
        <v>334</v>
      </c>
      <c r="B142" s="1" t="s">
        <v>194</v>
      </c>
      <c r="C142" s="2">
        <v>45985.9375</v>
      </c>
      <c r="D142">
        <v>3.4</v>
      </c>
      <c r="E142">
        <v>0.2</v>
      </c>
      <c r="F142">
        <v>2.2999999999999998</v>
      </c>
      <c r="G142">
        <v>9</v>
      </c>
      <c r="H142">
        <v>0</v>
      </c>
      <c r="I142" s="2">
        <v>45985.979166666664</v>
      </c>
    </row>
    <row r="143" spans="1:9" x14ac:dyDescent="0.35">
      <c r="A143" s="1" t="s">
        <v>335</v>
      </c>
      <c r="B143" s="1" t="s">
        <v>194</v>
      </c>
      <c r="C143" s="2">
        <v>45985.947916666664</v>
      </c>
      <c r="D143">
        <v>3.3</v>
      </c>
      <c r="E143">
        <v>0.1</v>
      </c>
      <c r="F143">
        <v>2.5</v>
      </c>
      <c r="G143">
        <v>6.8</v>
      </c>
      <c r="H143">
        <v>0</v>
      </c>
      <c r="I143" s="2">
        <v>45985.989583333336</v>
      </c>
    </row>
    <row r="144" spans="1:9" x14ac:dyDescent="0.35">
      <c r="A144" s="1" t="s">
        <v>336</v>
      </c>
      <c r="B144" s="1" t="s">
        <v>194</v>
      </c>
      <c r="C144" s="2">
        <v>45985.958333333336</v>
      </c>
      <c r="D144">
        <v>3.2</v>
      </c>
      <c r="E144">
        <v>0.1</v>
      </c>
      <c r="F144">
        <v>3.1</v>
      </c>
      <c r="G144">
        <v>5.4</v>
      </c>
      <c r="H144">
        <v>0</v>
      </c>
      <c r="I144" s="2">
        <v>45986</v>
      </c>
    </row>
    <row r="145" spans="1:9" x14ac:dyDescent="0.35">
      <c r="A145" s="1" t="s">
        <v>337</v>
      </c>
      <c r="B145" s="1" t="s">
        <v>194</v>
      </c>
      <c r="C145" s="2">
        <v>45985.96875</v>
      </c>
      <c r="D145">
        <v>3.2</v>
      </c>
      <c r="E145">
        <v>0.1</v>
      </c>
      <c r="F145">
        <v>3.3</v>
      </c>
      <c r="G145">
        <v>5</v>
      </c>
      <c r="H145">
        <v>0</v>
      </c>
      <c r="I145" s="2">
        <v>45986.010416666664</v>
      </c>
    </row>
    <row r="146" spans="1:9" x14ac:dyDescent="0.35">
      <c r="A146" s="1" t="s">
        <v>338</v>
      </c>
      <c r="B146" s="1" t="s">
        <v>194</v>
      </c>
      <c r="C146" s="2">
        <v>45985.979166666664</v>
      </c>
      <c r="D146">
        <v>3</v>
      </c>
      <c r="E146">
        <v>0.1</v>
      </c>
      <c r="F146">
        <v>3.1</v>
      </c>
      <c r="G146">
        <v>5</v>
      </c>
      <c r="H146">
        <v>0</v>
      </c>
      <c r="I146" s="2">
        <v>45986.020833333336</v>
      </c>
    </row>
    <row r="147" spans="1:9" x14ac:dyDescent="0.35">
      <c r="A147" s="1" t="s">
        <v>339</v>
      </c>
      <c r="B147" s="1" t="s">
        <v>194</v>
      </c>
      <c r="C147" s="2">
        <v>45985.989583333336</v>
      </c>
      <c r="D147">
        <v>2.8</v>
      </c>
      <c r="E147">
        <v>0.1</v>
      </c>
      <c r="F147">
        <v>3.4</v>
      </c>
      <c r="G147">
        <v>5.4</v>
      </c>
      <c r="H147">
        <v>0</v>
      </c>
      <c r="I147" s="2">
        <v>45986.03125</v>
      </c>
    </row>
    <row r="148" spans="1:9" x14ac:dyDescent="0.35">
      <c r="A148" s="1" t="s">
        <v>340</v>
      </c>
      <c r="B148" s="1" t="s">
        <v>194</v>
      </c>
      <c r="C148" s="2">
        <v>45986</v>
      </c>
      <c r="D148">
        <v>2.7</v>
      </c>
      <c r="E148">
        <v>0.1</v>
      </c>
      <c r="F148">
        <v>3.5</v>
      </c>
      <c r="G148">
        <v>5.8</v>
      </c>
      <c r="H148">
        <v>0</v>
      </c>
      <c r="I148" s="2">
        <v>45986.041666666664</v>
      </c>
    </row>
    <row r="149" spans="1:9" x14ac:dyDescent="0.35">
      <c r="A149" s="1" t="s">
        <v>341</v>
      </c>
      <c r="B149" s="1" t="s">
        <v>194</v>
      </c>
      <c r="C149" s="2">
        <v>45986.010416666664</v>
      </c>
      <c r="D149">
        <v>2.6</v>
      </c>
      <c r="E149">
        <v>0.2</v>
      </c>
      <c r="F149">
        <v>3.9</v>
      </c>
      <c r="G149">
        <v>6.5</v>
      </c>
      <c r="H149">
        <v>0</v>
      </c>
      <c r="I149" s="2">
        <v>45986.052083333336</v>
      </c>
    </row>
    <row r="150" spans="1:9" x14ac:dyDescent="0.35">
      <c r="A150" s="1" t="s">
        <v>342</v>
      </c>
      <c r="B150" s="1" t="s">
        <v>194</v>
      </c>
      <c r="C150" s="2">
        <v>45986.020833333336</v>
      </c>
      <c r="D150">
        <v>2.6</v>
      </c>
      <c r="E150">
        <v>0.2</v>
      </c>
      <c r="F150">
        <v>4.5999999999999996</v>
      </c>
      <c r="G150">
        <v>7.2</v>
      </c>
      <c r="H150">
        <v>0</v>
      </c>
      <c r="I150" s="2">
        <v>45986.0625</v>
      </c>
    </row>
    <row r="151" spans="1:9" x14ac:dyDescent="0.35">
      <c r="A151" s="1" t="s">
        <v>343</v>
      </c>
      <c r="B151" s="1" t="s">
        <v>194</v>
      </c>
      <c r="C151" s="2">
        <v>45986.03125</v>
      </c>
      <c r="D151">
        <v>2.6</v>
      </c>
      <c r="E151">
        <v>0.1</v>
      </c>
      <c r="F151">
        <v>5</v>
      </c>
      <c r="G151">
        <v>7.9</v>
      </c>
      <c r="H151">
        <v>0</v>
      </c>
      <c r="I151" s="2">
        <v>45986.072916666664</v>
      </c>
    </row>
    <row r="152" spans="1:9" x14ac:dyDescent="0.35">
      <c r="A152" s="1" t="s">
        <v>344</v>
      </c>
      <c r="B152" s="1" t="s">
        <v>194</v>
      </c>
      <c r="C152" s="2">
        <v>45986.041666666664</v>
      </c>
      <c r="D152">
        <v>2.6</v>
      </c>
      <c r="E152">
        <v>0.1</v>
      </c>
      <c r="F152">
        <v>5.4</v>
      </c>
      <c r="G152">
        <v>8.6</v>
      </c>
      <c r="H152">
        <v>0</v>
      </c>
      <c r="I152" s="2">
        <v>45986.083333333336</v>
      </c>
    </row>
    <row r="153" spans="1:9" x14ac:dyDescent="0.35">
      <c r="A153" s="1" t="s">
        <v>345</v>
      </c>
      <c r="B153" s="1" t="s">
        <v>194</v>
      </c>
      <c r="C153" s="2">
        <v>45986.052083333336</v>
      </c>
      <c r="D153">
        <v>2.7</v>
      </c>
      <c r="E153">
        <v>0</v>
      </c>
      <c r="F153">
        <v>5.5</v>
      </c>
      <c r="G153">
        <v>9.4</v>
      </c>
      <c r="H153">
        <v>0</v>
      </c>
      <c r="I153" s="2">
        <v>45986.09375</v>
      </c>
    </row>
    <row r="154" spans="1:9" x14ac:dyDescent="0.35">
      <c r="A154" s="1" t="s">
        <v>346</v>
      </c>
      <c r="B154" s="1" t="s">
        <v>194</v>
      </c>
      <c r="C154" s="2">
        <v>45986.0625</v>
      </c>
      <c r="D154">
        <v>2.7</v>
      </c>
      <c r="E154">
        <v>0</v>
      </c>
      <c r="F154">
        <v>5.6</v>
      </c>
      <c r="G154">
        <v>9.6999999999999993</v>
      </c>
      <c r="H154">
        <v>0</v>
      </c>
      <c r="I154" s="2">
        <v>45986.104166666664</v>
      </c>
    </row>
    <row r="155" spans="1:9" x14ac:dyDescent="0.35">
      <c r="A155" s="1" t="s">
        <v>347</v>
      </c>
      <c r="B155" s="1" t="s">
        <v>194</v>
      </c>
      <c r="C155" s="2">
        <v>45986.072916666664</v>
      </c>
      <c r="D155">
        <v>2.7</v>
      </c>
      <c r="E155">
        <v>0.1</v>
      </c>
      <c r="F155">
        <v>5.8</v>
      </c>
      <c r="G155">
        <v>10.1</v>
      </c>
      <c r="H155">
        <v>0</v>
      </c>
      <c r="I155" s="2">
        <v>45986.114583333336</v>
      </c>
    </row>
    <row r="156" spans="1:9" x14ac:dyDescent="0.35">
      <c r="A156" s="1" t="s">
        <v>348</v>
      </c>
      <c r="B156" s="1" t="s">
        <v>194</v>
      </c>
      <c r="C156" s="2">
        <v>45986.083333333336</v>
      </c>
      <c r="D156">
        <v>2.7</v>
      </c>
      <c r="E156">
        <v>0</v>
      </c>
      <c r="F156">
        <v>5.8</v>
      </c>
      <c r="G156">
        <v>10.4</v>
      </c>
      <c r="H156">
        <v>0</v>
      </c>
      <c r="I156" s="2">
        <v>45986.125</v>
      </c>
    </row>
    <row r="157" spans="1:9" x14ac:dyDescent="0.35">
      <c r="A157" s="1" t="s">
        <v>349</v>
      </c>
      <c r="B157" s="1" t="s">
        <v>194</v>
      </c>
      <c r="C157" s="2">
        <v>45986.09375</v>
      </c>
      <c r="D157">
        <v>2.8</v>
      </c>
      <c r="E157">
        <v>0</v>
      </c>
      <c r="F157">
        <v>5.8</v>
      </c>
      <c r="G157">
        <v>10.4</v>
      </c>
      <c r="H157">
        <v>0</v>
      </c>
      <c r="I157" s="2">
        <v>45986.135416666664</v>
      </c>
    </row>
    <row r="158" spans="1:9" x14ac:dyDescent="0.35">
      <c r="A158" s="1" t="s">
        <v>350</v>
      </c>
      <c r="B158" s="1" t="s">
        <v>194</v>
      </c>
      <c r="C158" s="2">
        <v>45986.104166666664</v>
      </c>
      <c r="D158">
        <v>2.9</v>
      </c>
      <c r="E158">
        <v>0</v>
      </c>
      <c r="F158">
        <v>5.6</v>
      </c>
      <c r="G158">
        <v>9.6999999999999993</v>
      </c>
      <c r="H158">
        <v>0</v>
      </c>
      <c r="I158" s="2">
        <v>45986.145833333336</v>
      </c>
    </row>
    <row r="159" spans="1:9" x14ac:dyDescent="0.35">
      <c r="A159" s="1" t="s">
        <v>351</v>
      </c>
      <c r="B159" s="1" t="s">
        <v>194</v>
      </c>
      <c r="C159" s="2">
        <v>45986.114583333336</v>
      </c>
      <c r="D159">
        <v>3</v>
      </c>
      <c r="E159">
        <v>0.1</v>
      </c>
      <c r="F159">
        <v>5.5</v>
      </c>
      <c r="G159">
        <v>9.4</v>
      </c>
      <c r="H159">
        <v>0</v>
      </c>
      <c r="I159" s="2">
        <v>45986.15625</v>
      </c>
    </row>
    <row r="160" spans="1:9" x14ac:dyDescent="0.35">
      <c r="A160" s="1" t="s">
        <v>352</v>
      </c>
      <c r="B160" s="1" t="s">
        <v>194</v>
      </c>
      <c r="C160" s="2">
        <v>45986.125</v>
      </c>
      <c r="D160">
        <v>3</v>
      </c>
      <c r="E160">
        <v>0.1</v>
      </c>
      <c r="F160">
        <v>5.4</v>
      </c>
      <c r="G160">
        <v>9</v>
      </c>
      <c r="H160">
        <v>0</v>
      </c>
      <c r="I160" s="2">
        <v>45986.166666666664</v>
      </c>
    </row>
    <row r="161" spans="1:9" x14ac:dyDescent="0.35">
      <c r="A161" s="1" t="s">
        <v>353</v>
      </c>
      <c r="B161" s="1" t="s">
        <v>194</v>
      </c>
      <c r="C161" s="2">
        <v>45986.135416666664</v>
      </c>
      <c r="D161">
        <v>3</v>
      </c>
      <c r="E161">
        <v>0</v>
      </c>
      <c r="F161">
        <v>5.4</v>
      </c>
      <c r="G161">
        <v>9</v>
      </c>
      <c r="H161">
        <v>0</v>
      </c>
      <c r="I161" s="2">
        <v>45986.177083333336</v>
      </c>
    </row>
    <row r="162" spans="1:9" x14ac:dyDescent="0.35">
      <c r="A162" s="1" t="s">
        <v>354</v>
      </c>
      <c r="B162" s="1" t="s">
        <v>194</v>
      </c>
      <c r="C162" s="2">
        <v>45986.145833333336</v>
      </c>
      <c r="D162">
        <v>2.8</v>
      </c>
      <c r="E162">
        <v>0</v>
      </c>
      <c r="F162">
        <v>5.7</v>
      </c>
      <c r="G162">
        <v>9</v>
      </c>
      <c r="H162">
        <v>0</v>
      </c>
      <c r="I162" s="2">
        <v>45986.1875</v>
      </c>
    </row>
    <row r="163" spans="1:9" x14ac:dyDescent="0.35">
      <c r="A163" s="1" t="s">
        <v>355</v>
      </c>
      <c r="B163" s="1" t="s">
        <v>194</v>
      </c>
      <c r="C163" s="2">
        <v>45986.15625</v>
      </c>
      <c r="D163">
        <v>2.7</v>
      </c>
      <c r="E163">
        <v>0</v>
      </c>
      <c r="F163">
        <v>5.8</v>
      </c>
      <c r="G163">
        <v>9</v>
      </c>
      <c r="H163">
        <v>0</v>
      </c>
      <c r="I163" s="2">
        <v>45986.197916666664</v>
      </c>
    </row>
    <row r="164" spans="1:9" x14ac:dyDescent="0.35">
      <c r="A164" s="1" t="s">
        <v>356</v>
      </c>
      <c r="B164" s="1" t="s">
        <v>194</v>
      </c>
      <c r="C164" s="2">
        <v>45986.166666666664</v>
      </c>
      <c r="D164">
        <v>2.5</v>
      </c>
      <c r="E164">
        <v>0</v>
      </c>
      <c r="F164">
        <v>5.8</v>
      </c>
      <c r="G164">
        <v>9.4</v>
      </c>
      <c r="H164">
        <v>0</v>
      </c>
      <c r="I164" s="2">
        <v>45986.208333333336</v>
      </c>
    </row>
    <row r="165" spans="1:9" x14ac:dyDescent="0.35">
      <c r="A165" s="1" t="s">
        <v>357</v>
      </c>
      <c r="B165" s="1" t="s">
        <v>194</v>
      </c>
      <c r="C165" s="2">
        <v>45986.177083333336</v>
      </c>
      <c r="D165">
        <v>2.5</v>
      </c>
      <c r="E165">
        <v>0</v>
      </c>
      <c r="F165">
        <v>5.6</v>
      </c>
      <c r="G165">
        <v>9.6999999999999993</v>
      </c>
      <c r="H165">
        <v>0</v>
      </c>
      <c r="I165" s="2">
        <v>45986.21875</v>
      </c>
    </row>
    <row r="166" spans="1:9" x14ac:dyDescent="0.35">
      <c r="A166" s="1" t="s">
        <v>358</v>
      </c>
      <c r="B166" s="1" t="s">
        <v>194</v>
      </c>
      <c r="C166" s="2">
        <v>45986.1875</v>
      </c>
      <c r="D166">
        <v>2.5</v>
      </c>
      <c r="E166">
        <v>0</v>
      </c>
      <c r="F166">
        <v>5.6</v>
      </c>
      <c r="G166">
        <v>10.4</v>
      </c>
      <c r="H166">
        <v>0</v>
      </c>
      <c r="I166" s="2">
        <v>45986.229166666664</v>
      </c>
    </row>
    <row r="167" spans="1:9" x14ac:dyDescent="0.35">
      <c r="A167" s="1" t="s">
        <v>359</v>
      </c>
      <c r="B167" s="1" t="s">
        <v>194</v>
      </c>
      <c r="C167" s="2">
        <v>45986.197916666664</v>
      </c>
      <c r="D167">
        <v>2.5</v>
      </c>
      <c r="E167">
        <v>0</v>
      </c>
      <c r="F167">
        <v>5.5</v>
      </c>
      <c r="G167">
        <v>11.2</v>
      </c>
      <c r="H167">
        <v>0</v>
      </c>
      <c r="I167" s="2">
        <v>45986.239583333336</v>
      </c>
    </row>
    <row r="168" spans="1:9" x14ac:dyDescent="0.35">
      <c r="A168" s="1" t="s">
        <v>360</v>
      </c>
      <c r="B168" s="1" t="s">
        <v>194</v>
      </c>
      <c r="C168" s="2">
        <v>45986.208333333336</v>
      </c>
      <c r="D168">
        <v>2.4</v>
      </c>
      <c r="E168">
        <v>0</v>
      </c>
      <c r="F168">
        <v>5.2</v>
      </c>
      <c r="G168">
        <v>11.5</v>
      </c>
      <c r="H168">
        <v>0</v>
      </c>
      <c r="I168" s="2">
        <v>45986.25</v>
      </c>
    </row>
    <row r="169" spans="1:9" x14ac:dyDescent="0.35">
      <c r="A169" s="1" t="s">
        <v>361</v>
      </c>
      <c r="B169" s="1" t="s">
        <v>194</v>
      </c>
      <c r="C169" s="2">
        <v>45986.21875</v>
      </c>
      <c r="D169">
        <v>2.2999999999999998</v>
      </c>
      <c r="E169">
        <v>0</v>
      </c>
      <c r="F169">
        <v>5</v>
      </c>
      <c r="G169">
        <v>11.2</v>
      </c>
      <c r="H169">
        <v>0</v>
      </c>
      <c r="I169" s="2">
        <v>45986.260416666664</v>
      </c>
    </row>
    <row r="170" spans="1:9" x14ac:dyDescent="0.35">
      <c r="A170" s="1" t="s">
        <v>362</v>
      </c>
      <c r="B170" s="1" t="s">
        <v>194</v>
      </c>
      <c r="C170" s="2">
        <v>45986.229166666664</v>
      </c>
      <c r="D170">
        <v>2.2000000000000002</v>
      </c>
      <c r="E170">
        <v>0</v>
      </c>
      <c r="F170">
        <v>4.8</v>
      </c>
      <c r="G170">
        <v>10.4</v>
      </c>
      <c r="H170">
        <v>0</v>
      </c>
      <c r="I170" s="2">
        <v>45986.270833333336</v>
      </c>
    </row>
    <row r="171" spans="1:9" x14ac:dyDescent="0.35">
      <c r="A171" s="1" t="s">
        <v>363</v>
      </c>
      <c r="B171" s="1" t="s">
        <v>194</v>
      </c>
      <c r="C171" s="2">
        <v>45986.239583333336</v>
      </c>
      <c r="D171">
        <v>2</v>
      </c>
      <c r="E171">
        <v>0</v>
      </c>
      <c r="F171">
        <v>4.3</v>
      </c>
      <c r="G171">
        <v>9.6999999999999993</v>
      </c>
      <c r="H171">
        <v>0</v>
      </c>
      <c r="I171" s="2">
        <v>45986.28125</v>
      </c>
    </row>
    <row r="172" spans="1:9" x14ac:dyDescent="0.35">
      <c r="A172" s="1" t="s">
        <v>364</v>
      </c>
      <c r="B172" s="1" t="s">
        <v>194</v>
      </c>
      <c r="C172" s="2">
        <v>45986.25</v>
      </c>
      <c r="D172">
        <v>1.9</v>
      </c>
      <c r="E172">
        <v>0</v>
      </c>
      <c r="F172">
        <v>4.2</v>
      </c>
      <c r="G172">
        <v>9</v>
      </c>
      <c r="H172">
        <v>0</v>
      </c>
      <c r="I172" s="2">
        <v>45986.291666666664</v>
      </c>
    </row>
    <row r="173" spans="1:9" x14ac:dyDescent="0.35">
      <c r="A173" s="1" t="s">
        <v>365</v>
      </c>
      <c r="B173" s="1" t="s">
        <v>194</v>
      </c>
      <c r="C173" s="2">
        <v>45986.260416666664</v>
      </c>
      <c r="D173">
        <v>1.9</v>
      </c>
      <c r="E173">
        <v>0</v>
      </c>
      <c r="F173">
        <v>3.9</v>
      </c>
      <c r="G173">
        <v>8.6</v>
      </c>
      <c r="H173">
        <v>0</v>
      </c>
      <c r="I173" s="2">
        <v>45986.302083333336</v>
      </c>
    </row>
    <row r="174" spans="1:9" x14ac:dyDescent="0.35">
      <c r="A174" s="1" t="s">
        <v>366</v>
      </c>
      <c r="B174" s="1" t="s">
        <v>194</v>
      </c>
      <c r="C174" s="2">
        <v>45986.270833333336</v>
      </c>
      <c r="D174">
        <v>1.9</v>
      </c>
      <c r="E174">
        <v>0</v>
      </c>
      <c r="F174">
        <v>3.7</v>
      </c>
      <c r="G174">
        <v>8.3000000000000007</v>
      </c>
      <c r="H174">
        <v>0</v>
      </c>
      <c r="I174" s="2">
        <v>45986.3125</v>
      </c>
    </row>
    <row r="175" spans="1:9" x14ac:dyDescent="0.35">
      <c r="A175" s="1" t="s">
        <v>367</v>
      </c>
      <c r="B175" s="1" t="s">
        <v>194</v>
      </c>
      <c r="C175" s="2">
        <v>45986.28125</v>
      </c>
      <c r="D175">
        <v>2</v>
      </c>
      <c r="E175">
        <v>0</v>
      </c>
      <c r="F175">
        <v>3.6</v>
      </c>
      <c r="G175">
        <v>8.3000000000000007</v>
      </c>
      <c r="H175">
        <v>0</v>
      </c>
      <c r="I175" s="2">
        <v>45986.322916666664</v>
      </c>
    </row>
    <row r="176" spans="1:9" x14ac:dyDescent="0.35">
      <c r="A176" s="1" t="s">
        <v>368</v>
      </c>
      <c r="B176" s="1" t="s">
        <v>194</v>
      </c>
      <c r="C176" s="2">
        <v>45986.291666666664</v>
      </c>
      <c r="D176">
        <v>2</v>
      </c>
      <c r="E176">
        <v>0.1</v>
      </c>
      <c r="F176">
        <v>3.8</v>
      </c>
      <c r="G176">
        <v>7.9</v>
      </c>
      <c r="H176">
        <v>0</v>
      </c>
      <c r="I176" s="2">
        <v>45986.333333333336</v>
      </c>
    </row>
    <row r="177" spans="1:9" x14ac:dyDescent="0.35">
      <c r="A177" s="1" t="s">
        <v>369</v>
      </c>
      <c r="B177" s="1" t="s">
        <v>194</v>
      </c>
      <c r="C177" s="2">
        <v>45986.302083333336</v>
      </c>
      <c r="D177">
        <v>2.2000000000000002</v>
      </c>
      <c r="E177">
        <v>0.1</v>
      </c>
      <c r="F177">
        <v>3.8</v>
      </c>
      <c r="G177">
        <v>7.6</v>
      </c>
      <c r="H177">
        <v>0</v>
      </c>
      <c r="I177" s="2">
        <v>45986.34375</v>
      </c>
    </row>
    <row r="178" spans="1:9" x14ac:dyDescent="0.35">
      <c r="A178" s="1" t="s">
        <v>370</v>
      </c>
      <c r="B178" s="1" t="s">
        <v>194</v>
      </c>
      <c r="C178" s="2">
        <v>45986.3125</v>
      </c>
      <c r="D178">
        <v>2.2999999999999998</v>
      </c>
      <c r="E178">
        <v>0.1</v>
      </c>
      <c r="F178">
        <v>4.0999999999999996</v>
      </c>
      <c r="G178">
        <v>7.2</v>
      </c>
      <c r="H178">
        <v>0</v>
      </c>
      <c r="I178" s="2">
        <v>45986.354166666664</v>
      </c>
    </row>
    <row r="179" spans="1:9" x14ac:dyDescent="0.35">
      <c r="A179" s="1" t="s">
        <v>371</v>
      </c>
      <c r="B179" s="1" t="s">
        <v>194</v>
      </c>
      <c r="C179" s="2">
        <v>45986.322916666664</v>
      </c>
      <c r="D179">
        <v>2.5</v>
      </c>
      <c r="E179">
        <v>0</v>
      </c>
      <c r="F179">
        <v>4.2</v>
      </c>
      <c r="G179">
        <v>7.2</v>
      </c>
      <c r="H179">
        <v>0</v>
      </c>
      <c r="I179" s="2">
        <v>45986.364583333336</v>
      </c>
    </row>
    <row r="180" spans="1:9" x14ac:dyDescent="0.35">
      <c r="A180" s="1" t="s">
        <v>372</v>
      </c>
      <c r="B180" s="1" t="s">
        <v>194</v>
      </c>
      <c r="C180" s="2">
        <v>45986.333333333336</v>
      </c>
      <c r="D180">
        <v>2.7</v>
      </c>
      <c r="E180">
        <v>0.1</v>
      </c>
      <c r="F180">
        <v>4.2</v>
      </c>
      <c r="G180">
        <v>6.8</v>
      </c>
      <c r="H180">
        <v>7.3</v>
      </c>
      <c r="I180" s="2">
        <v>45986.375</v>
      </c>
    </row>
    <row r="181" spans="1:9" x14ac:dyDescent="0.35">
      <c r="A181" s="1" t="s">
        <v>373</v>
      </c>
      <c r="B181" s="1" t="s">
        <v>194</v>
      </c>
      <c r="C181" s="2">
        <v>45986.34375</v>
      </c>
      <c r="D181">
        <v>2.8</v>
      </c>
      <c r="E181">
        <v>0.1</v>
      </c>
      <c r="F181">
        <v>3.9</v>
      </c>
      <c r="G181">
        <v>6.5</v>
      </c>
      <c r="H181">
        <v>8.5</v>
      </c>
      <c r="I181" s="2">
        <v>45986.385416666664</v>
      </c>
    </row>
    <row r="182" spans="1:9" x14ac:dyDescent="0.35">
      <c r="A182" s="1" t="s">
        <v>374</v>
      </c>
      <c r="B182" s="1" t="s">
        <v>194</v>
      </c>
      <c r="C182" s="2">
        <v>45986.354166666664</v>
      </c>
      <c r="D182">
        <v>2.9</v>
      </c>
      <c r="E182">
        <v>0.1</v>
      </c>
      <c r="F182">
        <v>3.8</v>
      </c>
      <c r="G182">
        <v>6.5</v>
      </c>
      <c r="H182">
        <v>11</v>
      </c>
      <c r="I182" s="2">
        <v>45986.395833333336</v>
      </c>
    </row>
    <row r="183" spans="1:9" x14ac:dyDescent="0.35">
      <c r="A183" s="1" t="s">
        <v>375</v>
      </c>
      <c r="B183" s="1" t="s">
        <v>194</v>
      </c>
      <c r="C183" s="2">
        <v>45986.364583333336</v>
      </c>
      <c r="D183">
        <v>3</v>
      </c>
      <c r="E183">
        <v>0.1</v>
      </c>
      <c r="F183">
        <v>3.8</v>
      </c>
      <c r="G183">
        <v>6.5</v>
      </c>
      <c r="H183">
        <v>25.2</v>
      </c>
      <c r="I183" s="2">
        <v>45986.40625</v>
      </c>
    </row>
    <row r="184" spans="1:9" x14ac:dyDescent="0.35">
      <c r="A184" s="1" t="s">
        <v>376</v>
      </c>
      <c r="B184" s="1" t="s">
        <v>194</v>
      </c>
      <c r="C184" s="2">
        <v>45986.375</v>
      </c>
      <c r="D184">
        <v>3.1</v>
      </c>
      <c r="E184">
        <v>0.1</v>
      </c>
      <c r="F184">
        <v>3.6</v>
      </c>
      <c r="G184">
        <v>6.5</v>
      </c>
      <c r="H184">
        <v>24.4</v>
      </c>
      <c r="I184" s="2">
        <v>45986.416666666664</v>
      </c>
    </row>
    <row r="185" spans="1:9" x14ac:dyDescent="0.35">
      <c r="A185" s="1" t="s">
        <v>377</v>
      </c>
      <c r="B185" s="1" t="s">
        <v>194</v>
      </c>
      <c r="C185" s="2">
        <v>45986.385416666664</v>
      </c>
      <c r="D185">
        <v>3.2</v>
      </c>
      <c r="E185">
        <v>0.2</v>
      </c>
      <c r="F185">
        <v>3.8</v>
      </c>
      <c r="G185">
        <v>7.2</v>
      </c>
      <c r="H185">
        <v>31.4</v>
      </c>
      <c r="I185" s="2">
        <v>45986.427083333336</v>
      </c>
    </row>
    <row r="186" spans="1:9" x14ac:dyDescent="0.35">
      <c r="A186" s="1" t="s">
        <v>378</v>
      </c>
      <c r="B186" s="1" t="s">
        <v>194</v>
      </c>
      <c r="C186" s="2">
        <v>45986.395833333336</v>
      </c>
      <c r="D186">
        <v>3.3</v>
      </c>
      <c r="E186">
        <v>0.1</v>
      </c>
      <c r="F186">
        <v>4.5999999999999996</v>
      </c>
      <c r="G186">
        <v>7.9</v>
      </c>
      <c r="H186">
        <v>45.9</v>
      </c>
      <c r="I186" s="2">
        <v>45986.4375</v>
      </c>
    </row>
    <row r="187" spans="1:9" x14ac:dyDescent="0.35">
      <c r="A187" s="1" t="s">
        <v>379</v>
      </c>
      <c r="B187" s="1" t="s">
        <v>194</v>
      </c>
      <c r="C187" s="2">
        <v>45986.40625</v>
      </c>
      <c r="D187">
        <v>3.4</v>
      </c>
      <c r="E187">
        <v>0.1</v>
      </c>
      <c r="F187">
        <v>4.8</v>
      </c>
      <c r="G187">
        <v>8.6</v>
      </c>
      <c r="H187">
        <v>63.3</v>
      </c>
      <c r="I187" s="2">
        <v>45986.447916666664</v>
      </c>
    </row>
    <row r="188" spans="1:9" x14ac:dyDescent="0.35">
      <c r="A188" s="1" t="s">
        <v>380</v>
      </c>
      <c r="B188" s="1" t="s">
        <v>194</v>
      </c>
      <c r="C188" s="2">
        <v>45986.416666666664</v>
      </c>
      <c r="D188">
        <v>3.4</v>
      </c>
      <c r="E188">
        <v>0.1</v>
      </c>
      <c r="F188">
        <v>5.0999999999999996</v>
      </c>
      <c r="G188">
        <v>9</v>
      </c>
      <c r="H188">
        <v>57.5</v>
      </c>
      <c r="I188" s="2">
        <v>45986.458333333336</v>
      </c>
    </row>
    <row r="189" spans="1:9" x14ac:dyDescent="0.35">
      <c r="A189" s="1" t="s">
        <v>381</v>
      </c>
      <c r="B189" s="1" t="s">
        <v>194</v>
      </c>
      <c r="C189" s="2">
        <v>45986.427083333336</v>
      </c>
      <c r="D189">
        <v>3.5</v>
      </c>
      <c r="E189">
        <v>0</v>
      </c>
      <c r="F189">
        <v>5.0999999999999996</v>
      </c>
      <c r="G189">
        <v>9</v>
      </c>
      <c r="H189">
        <v>61.2</v>
      </c>
      <c r="I189" s="2">
        <v>45986.46875</v>
      </c>
    </row>
    <row r="190" spans="1:9" x14ac:dyDescent="0.35">
      <c r="A190" s="1" t="s">
        <v>382</v>
      </c>
      <c r="B190" s="1" t="s">
        <v>194</v>
      </c>
      <c r="C190" s="2">
        <v>45986.4375</v>
      </c>
      <c r="D190">
        <v>3.5</v>
      </c>
      <c r="E190">
        <v>0</v>
      </c>
      <c r="F190">
        <v>5.0999999999999996</v>
      </c>
      <c r="G190">
        <v>9</v>
      </c>
      <c r="H190">
        <v>65</v>
      </c>
      <c r="I190" s="2">
        <v>45986.479166666664</v>
      </c>
    </row>
    <row r="191" spans="1:9" x14ac:dyDescent="0.35">
      <c r="A191" s="1" t="s">
        <v>383</v>
      </c>
      <c r="B191" s="1" t="s">
        <v>194</v>
      </c>
      <c r="C191" s="2">
        <v>45986.447916666664</v>
      </c>
      <c r="D191">
        <v>3.5</v>
      </c>
      <c r="E191">
        <v>0</v>
      </c>
      <c r="F191">
        <v>5.0999999999999996</v>
      </c>
      <c r="G191">
        <v>9</v>
      </c>
      <c r="H191">
        <v>88.2</v>
      </c>
      <c r="I191" s="2">
        <v>45986.489583333336</v>
      </c>
    </row>
    <row r="192" spans="1:9" x14ac:dyDescent="0.35">
      <c r="A192" s="1" t="s">
        <v>384</v>
      </c>
      <c r="B192" s="1" t="s">
        <v>194</v>
      </c>
      <c r="C192" s="2">
        <v>45986.458333333336</v>
      </c>
      <c r="D192">
        <v>2.8</v>
      </c>
      <c r="E192">
        <v>0</v>
      </c>
      <c r="F192">
        <v>4</v>
      </c>
      <c r="G192">
        <v>8.6</v>
      </c>
      <c r="H192">
        <v>92.9</v>
      </c>
      <c r="I192" s="2">
        <v>45986.5</v>
      </c>
    </row>
    <row r="193" spans="1:9" x14ac:dyDescent="0.35">
      <c r="A193" s="1" t="s">
        <v>385</v>
      </c>
      <c r="B193" s="1" t="s">
        <v>194</v>
      </c>
      <c r="C193" s="2">
        <v>45986.46875</v>
      </c>
      <c r="D193">
        <v>3</v>
      </c>
      <c r="E193">
        <v>0.1</v>
      </c>
      <c r="F193">
        <v>4.8</v>
      </c>
      <c r="G193">
        <v>10.1</v>
      </c>
      <c r="H193">
        <v>96.5</v>
      </c>
      <c r="I193" s="2">
        <v>45986.510416666664</v>
      </c>
    </row>
    <row r="194" spans="1:9" x14ac:dyDescent="0.35">
      <c r="A194" s="1" t="s">
        <v>386</v>
      </c>
      <c r="B194" s="1" t="s">
        <v>194</v>
      </c>
      <c r="C194" s="2">
        <v>45986.479166666664</v>
      </c>
      <c r="D194">
        <v>3.1</v>
      </c>
      <c r="E194">
        <v>0.1</v>
      </c>
      <c r="F194">
        <v>6.1</v>
      </c>
      <c r="G194">
        <v>12.6</v>
      </c>
      <c r="H194">
        <v>98.1</v>
      </c>
      <c r="I194" s="2">
        <v>45986.520833333336</v>
      </c>
    </row>
    <row r="195" spans="1:9" x14ac:dyDescent="0.35">
      <c r="A195" s="1" t="s">
        <v>387</v>
      </c>
      <c r="B195" s="1" t="s">
        <v>194</v>
      </c>
      <c r="C195" s="2">
        <v>45986.489583333336</v>
      </c>
      <c r="D195">
        <v>3.2</v>
      </c>
      <c r="E195">
        <v>0.1</v>
      </c>
      <c r="F195">
        <v>7.7</v>
      </c>
      <c r="G195">
        <v>14.8</v>
      </c>
      <c r="H195">
        <v>102.8</v>
      </c>
      <c r="I195" s="2">
        <v>45986.53125</v>
      </c>
    </row>
    <row r="196" spans="1:9" x14ac:dyDescent="0.35">
      <c r="A196" s="1" t="s">
        <v>388</v>
      </c>
      <c r="B196" s="1" t="s">
        <v>194</v>
      </c>
      <c r="C196" s="2">
        <v>45986.5</v>
      </c>
      <c r="D196">
        <v>3.2</v>
      </c>
      <c r="E196">
        <v>0.1</v>
      </c>
      <c r="F196">
        <v>8.6999999999999993</v>
      </c>
      <c r="G196">
        <v>16.600000000000001</v>
      </c>
      <c r="H196">
        <v>107.4</v>
      </c>
      <c r="I196" s="2">
        <v>45986.541666666664</v>
      </c>
    </row>
    <row r="197" spans="1:9" x14ac:dyDescent="0.35">
      <c r="A197" s="1" t="s">
        <v>389</v>
      </c>
      <c r="B197" s="1" t="s">
        <v>194</v>
      </c>
      <c r="C197" s="2">
        <v>45986.510416666664</v>
      </c>
      <c r="D197">
        <v>3.4</v>
      </c>
      <c r="E197">
        <v>0</v>
      </c>
      <c r="F197">
        <v>9</v>
      </c>
      <c r="G197">
        <v>17.600000000000001</v>
      </c>
      <c r="H197">
        <v>112.1</v>
      </c>
      <c r="I197" s="2">
        <v>45986.552083333336</v>
      </c>
    </row>
    <row r="198" spans="1:9" x14ac:dyDescent="0.35">
      <c r="A198" s="1" t="s">
        <v>390</v>
      </c>
      <c r="B198" s="1" t="s">
        <v>194</v>
      </c>
      <c r="C198" s="2">
        <v>45986.520833333336</v>
      </c>
      <c r="D198">
        <v>3.5</v>
      </c>
      <c r="E198">
        <v>0</v>
      </c>
      <c r="F198">
        <v>8.9</v>
      </c>
      <c r="G198">
        <v>18</v>
      </c>
      <c r="H198">
        <v>113.6</v>
      </c>
      <c r="I198" s="2">
        <v>45986.5625</v>
      </c>
    </row>
    <row r="199" spans="1:9" x14ac:dyDescent="0.35">
      <c r="A199" s="1" t="s">
        <v>391</v>
      </c>
      <c r="B199" s="1" t="s">
        <v>194</v>
      </c>
      <c r="C199" s="2">
        <v>45986.53125</v>
      </c>
      <c r="D199">
        <v>3.7</v>
      </c>
      <c r="E199">
        <v>0</v>
      </c>
      <c r="F199">
        <v>8.9</v>
      </c>
      <c r="G199">
        <v>18.399999999999999</v>
      </c>
      <c r="H199">
        <v>113.2</v>
      </c>
      <c r="I199" s="2">
        <v>45986.572916666664</v>
      </c>
    </row>
    <row r="200" spans="1:9" x14ac:dyDescent="0.35">
      <c r="A200" s="1" t="s">
        <v>392</v>
      </c>
      <c r="B200" s="1" t="s">
        <v>194</v>
      </c>
      <c r="C200" s="2">
        <v>45986.541666666664</v>
      </c>
      <c r="D200">
        <v>3.8</v>
      </c>
      <c r="E200">
        <v>0</v>
      </c>
      <c r="F200">
        <v>8.9</v>
      </c>
      <c r="G200">
        <v>18.7</v>
      </c>
      <c r="H200">
        <v>108.8</v>
      </c>
      <c r="I200" s="2">
        <v>45986.583333333336</v>
      </c>
    </row>
    <row r="201" spans="1:9" x14ac:dyDescent="0.35">
      <c r="A201" s="1" t="s">
        <v>393</v>
      </c>
      <c r="B201" s="1" t="s">
        <v>194</v>
      </c>
      <c r="C201" s="2">
        <v>45986.552083333336</v>
      </c>
      <c r="D201">
        <v>3.8</v>
      </c>
      <c r="E201">
        <v>0.1</v>
      </c>
      <c r="F201">
        <v>9.5</v>
      </c>
      <c r="G201">
        <v>19.399999999999999</v>
      </c>
      <c r="H201">
        <v>101.5</v>
      </c>
      <c r="I201" s="2">
        <v>45986.59375</v>
      </c>
    </row>
    <row r="202" spans="1:9" x14ac:dyDescent="0.35">
      <c r="A202" s="1" t="s">
        <v>394</v>
      </c>
      <c r="B202" s="1" t="s">
        <v>194</v>
      </c>
      <c r="C202" s="2">
        <v>45986.5625</v>
      </c>
      <c r="D202">
        <v>3.8</v>
      </c>
      <c r="E202">
        <v>0.1</v>
      </c>
      <c r="F202">
        <v>10.6</v>
      </c>
      <c r="G202">
        <v>20.5</v>
      </c>
      <c r="H202">
        <v>95.2</v>
      </c>
      <c r="I202" s="2">
        <v>45986.604166666664</v>
      </c>
    </row>
    <row r="203" spans="1:9" x14ac:dyDescent="0.35">
      <c r="A203" s="1" t="s">
        <v>395</v>
      </c>
      <c r="B203" s="1" t="s">
        <v>194</v>
      </c>
      <c r="C203" s="2">
        <v>45986.572916666664</v>
      </c>
      <c r="D203">
        <v>3.8</v>
      </c>
      <c r="E203">
        <v>0.1</v>
      </c>
      <c r="F203">
        <v>11.5</v>
      </c>
      <c r="G203">
        <v>21.6</v>
      </c>
      <c r="H203">
        <v>88.8</v>
      </c>
      <c r="I203" s="2">
        <v>45986.614583333336</v>
      </c>
    </row>
    <row r="204" spans="1:9" x14ac:dyDescent="0.35">
      <c r="A204" s="1" t="s">
        <v>396</v>
      </c>
      <c r="B204" s="1" t="s">
        <v>194</v>
      </c>
      <c r="C204" s="2">
        <v>45986.583333333336</v>
      </c>
      <c r="D204">
        <v>3.8</v>
      </c>
      <c r="E204">
        <v>0.1</v>
      </c>
      <c r="F204">
        <v>12.1</v>
      </c>
      <c r="G204">
        <v>22.7</v>
      </c>
      <c r="H204">
        <v>83.5</v>
      </c>
      <c r="I204" s="2">
        <v>45986.625</v>
      </c>
    </row>
    <row r="205" spans="1:9" x14ac:dyDescent="0.35">
      <c r="A205" s="1" t="s">
        <v>397</v>
      </c>
      <c r="B205" s="1" t="s">
        <v>194</v>
      </c>
      <c r="C205" s="2">
        <v>45986.59375</v>
      </c>
      <c r="D205">
        <v>3.7</v>
      </c>
      <c r="E205">
        <v>0.1</v>
      </c>
      <c r="F205">
        <v>12.6</v>
      </c>
      <c r="G205">
        <v>23.8</v>
      </c>
      <c r="H205">
        <v>76.2</v>
      </c>
      <c r="I205" s="2">
        <v>45986.635416666664</v>
      </c>
    </row>
    <row r="206" spans="1:9" x14ac:dyDescent="0.35">
      <c r="A206" s="1" t="s">
        <v>398</v>
      </c>
      <c r="B206" s="1" t="s">
        <v>194</v>
      </c>
      <c r="C206" s="2">
        <v>45986.604166666664</v>
      </c>
      <c r="D206">
        <v>3.7</v>
      </c>
      <c r="E206">
        <v>0.1</v>
      </c>
      <c r="F206">
        <v>12.9</v>
      </c>
      <c r="G206">
        <v>24.5</v>
      </c>
      <c r="H206">
        <v>69</v>
      </c>
      <c r="I206" s="2">
        <v>45986.645833333336</v>
      </c>
    </row>
    <row r="207" spans="1:9" x14ac:dyDescent="0.35">
      <c r="A207" s="1" t="s">
        <v>399</v>
      </c>
      <c r="B207" s="1" t="s">
        <v>194</v>
      </c>
      <c r="C207" s="2">
        <v>45986.614583333336</v>
      </c>
      <c r="D207">
        <v>3.6</v>
      </c>
      <c r="E207">
        <v>0.1</v>
      </c>
      <c r="F207">
        <v>12.9</v>
      </c>
      <c r="G207">
        <v>25.6</v>
      </c>
      <c r="H207">
        <v>60.8</v>
      </c>
      <c r="I207" s="2">
        <v>45986.65625</v>
      </c>
    </row>
    <row r="208" spans="1:9" x14ac:dyDescent="0.35">
      <c r="A208" s="1" t="s">
        <v>400</v>
      </c>
      <c r="B208" s="1" t="s">
        <v>194</v>
      </c>
      <c r="C208" s="2">
        <v>45986.625</v>
      </c>
      <c r="D208">
        <v>3.5</v>
      </c>
      <c r="E208">
        <v>0.1</v>
      </c>
      <c r="F208">
        <v>12.8</v>
      </c>
      <c r="G208">
        <v>25.9</v>
      </c>
      <c r="H208">
        <v>50.7</v>
      </c>
      <c r="I208" s="2">
        <v>45986.666666666664</v>
      </c>
    </row>
    <row r="209" spans="1:9" x14ac:dyDescent="0.35">
      <c r="A209" s="1" t="s">
        <v>401</v>
      </c>
      <c r="B209" s="1" t="s">
        <v>194</v>
      </c>
      <c r="C209" s="2">
        <v>45986.635416666664</v>
      </c>
      <c r="D209">
        <v>3.5</v>
      </c>
      <c r="E209">
        <v>0.1</v>
      </c>
      <c r="F209">
        <v>12.4</v>
      </c>
      <c r="G209">
        <v>25.9</v>
      </c>
      <c r="H209">
        <v>41.6</v>
      </c>
      <c r="I209" s="2">
        <v>45986.677083333336</v>
      </c>
    </row>
    <row r="210" spans="1:9" x14ac:dyDescent="0.35">
      <c r="A210" s="1" t="s">
        <v>402</v>
      </c>
      <c r="B210" s="1" t="s">
        <v>194</v>
      </c>
      <c r="C210" s="2">
        <v>45986.645833333336</v>
      </c>
      <c r="D210">
        <v>3.3</v>
      </c>
      <c r="E210">
        <v>0.1</v>
      </c>
      <c r="F210">
        <v>11.7</v>
      </c>
      <c r="G210">
        <v>25.9</v>
      </c>
      <c r="H210">
        <v>31.7</v>
      </c>
      <c r="I210" s="2">
        <v>45986.6875</v>
      </c>
    </row>
    <row r="211" spans="1:9" x14ac:dyDescent="0.35">
      <c r="A211" s="1" t="s">
        <v>403</v>
      </c>
      <c r="B211" s="1" t="s">
        <v>194</v>
      </c>
      <c r="C211" s="2">
        <v>45986.65625</v>
      </c>
      <c r="D211">
        <v>3.2</v>
      </c>
      <c r="E211">
        <v>0.1</v>
      </c>
      <c r="F211">
        <v>11</v>
      </c>
      <c r="G211">
        <v>25.6</v>
      </c>
      <c r="H211">
        <v>22.8</v>
      </c>
      <c r="I211" s="2">
        <v>45986.697916666664</v>
      </c>
    </row>
    <row r="212" spans="1:9" x14ac:dyDescent="0.35">
      <c r="A212" s="1" t="s">
        <v>404</v>
      </c>
      <c r="B212" s="1" t="s">
        <v>194</v>
      </c>
      <c r="C212" s="2">
        <v>45986.666666666664</v>
      </c>
      <c r="D212">
        <v>3.2</v>
      </c>
      <c r="E212">
        <v>0.1</v>
      </c>
      <c r="F212">
        <v>10.199999999999999</v>
      </c>
      <c r="G212">
        <v>24.8</v>
      </c>
      <c r="H212">
        <v>14.1</v>
      </c>
      <c r="I212" s="2">
        <v>45986.708333333336</v>
      </c>
    </row>
    <row r="213" spans="1:9" x14ac:dyDescent="0.35">
      <c r="A213" s="1" t="s">
        <v>405</v>
      </c>
      <c r="B213" s="1" t="s">
        <v>194</v>
      </c>
      <c r="C213" s="2">
        <v>45986.677083333336</v>
      </c>
      <c r="D213">
        <v>3</v>
      </c>
      <c r="E213">
        <v>0.1</v>
      </c>
      <c r="F213">
        <v>9</v>
      </c>
      <c r="G213">
        <v>23.8</v>
      </c>
      <c r="H213">
        <v>6.5</v>
      </c>
      <c r="I213" s="2">
        <v>45986.71875</v>
      </c>
    </row>
    <row r="214" spans="1:9" x14ac:dyDescent="0.35">
      <c r="A214" s="1" t="s">
        <v>406</v>
      </c>
      <c r="B214" s="1" t="s">
        <v>194</v>
      </c>
      <c r="C214" s="2">
        <v>45986.6875</v>
      </c>
      <c r="D214">
        <v>3</v>
      </c>
      <c r="E214">
        <v>0.1</v>
      </c>
      <c r="F214">
        <v>8</v>
      </c>
      <c r="G214">
        <v>22.3</v>
      </c>
      <c r="H214">
        <v>1.1000000000000001</v>
      </c>
      <c r="I214" s="2">
        <v>45986.729166666664</v>
      </c>
    </row>
    <row r="215" spans="1:9" x14ac:dyDescent="0.35">
      <c r="A215" s="1" t="s">
        <v>407</v>
      </c>
      <c r="B215" s="1" t="s">
        <v>194</v>
      </c>
      <c r="C215" s="2">
        <v>45986.697916666664</v>
      </c>
      <c r="D215">
        <v>2.8</v>
      </c>
      <c r="E215">
        <v>0.1</v>
      </c>
      <c r="F215">
        <v>7.1</v>
      </c>
      <c r="G215">
        <v>20.5</v>
      </c>
      <c r="H215">
        <v>0</v>
      </c>
      <c r="I215" s="2">
        <v>45986.739583333336</v>
      </c>
    </row>
    <row r="216" spans="1:9" x14ac:dyDescent="0.35">
      <c r="A216" s="1" t="s">
        <v>408</v>
      </c>
      <c r="B216" s="1" t="s">
        <v>194</v>
      </c>
      <c r="C216" s="2">
        <v>45986.708333333336</v>
      </c>
      <c r="D216">
        <v>2.8</v>
      </c>
      <c r="E216">
        <v>0.1</v>
      </c>
      <c r="F216">
        <v>6.4</v>
      </c>
      <c r="G216">
        <v>19.100000000000001</v>
      </c>
      <c r="H216">
        <v>0</v>
      </c>
      <c r="I216" s="2">
        <v>45986.75</v>
      </c>
    </row>
    <row r="217" spans="1:9" x14ac:dyDescent="0.35">
      <c r="A217" s="1" t="s">
        <v>409</v>
      </c>
      <c r="B217" s="1" t="s">
        <v>194</v>
      </c>
      <c r="C217" s="2">
        <v>45986.71875</v>
      </c>
      <c r="D217">
        <v>2.7</v>
      </c>
      <c r="E217">
        <v>0.2</v>
      </c>
      <c r="F217">
        <v>6.2</v>
      </c>
      <c r="G217">
        <v>18</v>
      </c>
      <c r="H217">
        <v>0</v>
      </c>
      <c r="I217" s="2">
        <v>45986.760416666664</v>
      </c>
    </row>
    <row r="218" spans="1:9" x14ac:dyDescent="0.35">
      <c r="A218" s="1" t="s">
        <v>410</v>
      </c>
      <c r="B218" s="1" t="s">
        <v>194</v>
      </c>
      <c r="C218" s="2">
        <v>45986.729166666664</v>
      </c>
      <c r="D218">
        <v>2.5</v>
      </c>
      <c r="E218">
        <v>0.2</v>
      </c>
      <c r="F218">
        <v>6.1</v>
      </c>
      <c r="G218">
        <v>16.899999999999999</v>
      </c>
      <c r="H218">
        <v>0</v>
      </c>
      <c r="I218" s="2">
        <v>45986.770833333336</v>
      </c>
    </row>
    <row r="219" spans="1:9" x14ac:dyDescent="0.35">
      <c r="A219" s="1" t="s">
        <v>411</v>
      </c>
      <c r="B219" s="1" t="s">
        <v>194</v>
      </c>
      <c r="C219" s="2">
        <v>45986.739583333336</v>
      </c>
      <c r="D219">
        <v>2.4</v>
      </c>
      <c r="E219">
        <v>0.2</v>
      </c>
      <c r="F219">
        <v>6.1</v>
      </c>
      <c r="G219">
        <v>15.8</v>
      </c>
      <c r="H219">
        <v>0</v>
      </c>
      <c r="I219" s="2">
        <v>45986.78125</v>
      </c>
    </row>
    <row r="220" spans="1:9" x14ac:dyDescent="0.35">
      <c r="A220" s="1" t="s">
        <v>412</v>
      </c>
      <c r="B220" s="1" t="s">
        <v>194</v>
      </c>
      <c r="C220" s="2">
        <v>45986.75</v>
      </c>
      <c r="D220">
        <v>2.2999999999999998</v>
      </c>
      <c r="E220">
        <v>0.2</v>
      </c>
      <c r="F220">
        <v>5.9</v>
      </c>
      <c r="G220">
        <v>14.8</v>
      </c>
      <c r="H220">
        <v>0</v>
      </c>
      <c r="I220" s="2">
        <v>45986.791666666664</v>
      </c>
    </row>
    <row r="221" spans="1:9" x14ac:dyDescent="0.35">
      <c r="A221" s="1" t="s">
        <v>413</v>
      </c>
      <c r="B221" s="1" t="s">
        <v>194</v>
      </c>
      <c r="C221" s="2">
        <v>45986.760416666664</v>
      </c>
      <c r="D221">
        <v>2.2000000000000002</v>
      </c>
      <c r="E221">
        <v>0.3</v>
      </c>
      <c r="F221">
        <v>5.4</v>
      </c>
      <c r="G221">
        <v>13.7</v>
      </c>
      <c r="H221">
        <v>0</v>
      </c>
      <c r="I221" s="2">
        <v>45986.802083333336</v>
      </c>
    </row>
    <row r="222" spans="1:9" x14ac:dyDescent="0.35">
      <c r="A222" s="1" t="s">
        <v>414</v>
      </c>
      <c r="B222" s="1" t="s">
        <v>194</v>
      </c>
      <c r="C222" s="2">
        <v>45986.770833333336</v>
      </c>
      <c r="D222">
        <v>2.2000000000000002</v>
      </c>
      <c r="E222">
        <v>0.3</v>
      </c>
      <c r="F222">
        <v>5.2</v>
      </c>
      <c r="G222">
        <v>12.6</v>
      </c>
      <c r="H222">
        <v>0</v>
      </c>
      <c r="I222" s="2">
        <v>45986.8125</v>
      </c>
    </row>
    <row r="223" spans="1:9" x14ac:dyDescent="0.35">
      <c r="A223" s="1" t="s">
        <v>415</v>
      </c>
      <c r="B223" s="1" t="s">
        <v>194</v>
      </c>
      <c r="C223" s="2">
        <v>45986.78125</v>
      </c>
      <c r="D223">
        <v>2</v>
      </c>
      <c r="E223">
        <v>0.3</v>
      </c>
      <c r="F223">
        <v>5</v>
      </c>
      <c r="G223">
        <v>11.5</v>
      </c>
      <c r="H223">
        <v>0</v>
      </c>
      <c r="I223" s="2">
        <v>45986.822916666664</v>
      </c>
    </row>
    <row r="224" spans="1:9" x14ac:dyDescent="0.35">
      <c r="A224" s="1" t="s">
        <v>416</v>
      </c>
      <c r="B224" s="1" t="s">
        <v>194</v>
      </c>
      <c r="C224" s="2">
        <v>45986.791666666664</v>
      </c>
      <c r="D224">
        <v>2</v>
      </c>
      <c r="E224">
        <v>0.3</v>
      </c>
      <c r="F224">
        <v>4.8</v>
      </c>
      <c r="G224">
        <v>10.4</v>
      </c>
      <c r="H224">
        <v>0</v>
      </c>
      <c r="I224" s="2">
        <v>45986.833333333336</v>
      </c>
    </row>
    <row r="225" spans="1:9" x14ac:dyDescent="0.35">
      <c r="A225" s="1" t="s">
        <v>417</v>
      </c>
      <c r="B225" s="1" t="s">
        <v>194</v>
      </c>
      <c r="C225" s="2">
        <v>45986.802083333336</v>
      </c>
      <c r="D225">
        <v>1.9</v>
      </c>
      <c r="E225">
        <v>0.2</v>
      </c>
      <c r="F225">
        <v>4.7</v>
      </c>
      <c r="G225">
        <v>9.6999999999999993</v>
      </c>
      <c r="H225">
        <v>0</v>
      </c>
      <c r="I225" s="2">
        <v>45986.84375</v>
      </c>
    </row>
    <row r="226" spans="1:9" x14ac:dyDescent="0.35">
      <c r="A226" s="1" t="s">
        <v>418</v>
      </c>
      <c r="B226" s="1" t="s">
        <v>194</v>
      </c>
      <c r="C226" s="2">
        <v>45986.8125</v>
      </c>
      <c r="D226">
        <v>1.8</v>
      </c>
      <c r="E226">
        <v>0.2</v>
      </c>
      <c r="F226">
        <v>4.7</v>
      </c>
      <c r="G226">
        <v>8.6</v>
      </c>
      <c r="H226">
        <v>0</v>
      </c>
      <c r="I226" s="2">
        <v>45986.854166666664</v>
      </c>
    </row>
    <row r="227" spans="1:9" x14ac:dyDescent="0.35">
      <c r="A227" s="1" t="s">
        <v>419</v>
      </c>
      <c r="B227" s="1" t="s">
        <v>194</v>
      </c>
      <c r="C227" s="2">
        <v>45986.822916666664</v>
      </c>
      <c r="D227">
        <v>1.8</v>
      </c>
      <c r="E227">
        <v>0.2</v>
      </c>
      <c r="F227">
        <v>4.7</v>
      </c>
      <c r="G227">
        <v>7.9</v>
      </c>
      <c r="H227">
        <v>0</v>
      </c>
      <c r="I227" s="2">
        <v>45986.864583333336</v>
      </c>
    </row>
    <row r="228" spans="1:9" x14ac:dyDescent="0.35">
      <c r="A228" s="1" t="s">
        <v>420</v>
      </c>
      <c r="B228" s="1" t="s">
        <v>194</v>
      </c>
      <c r="C228" s="2">
        <v>45986.833333333336</v>
      </c>
      <c r="D228">
        <v>1.6</v>
      </c>
      <c r="E228">
        <v>0.2</v>
      </c>
      <c r="F228">
        <v>4.3</v>
      </c>
      <c r="G228">
        <v>7.6</v>
      </c>
      <c r="H228">
        <v>0</v>
      </c>
      <c r="I228" s="2">
        <v>45986.875</v>
      </c>
    </row>
    <row r="229" spans="1:9" x14ac:dyDescent="0.35">
      <c r="A229" s="1" t="s">
        <v>421</v>
      </c>
      <c r="B229" s="1" t="s">
        <v>194</v>
      </c>
      <c r="C229" s="2">
        <v>45986.84375</v>
      </c>
      <c r="D229">
        <v>1.6</v>
      </c>
      <c r="E229">
        <v>0.1</v>
      </c>
      <c r="F229">
        <v>4</v>
      </c>
      <c r="G229">
        <v>7.2</v>
      </c>
      <c r="H229">
        <v>0</v>
      </c>
      <c r="I229" s="2">
        <v>45986.885416666664</v>
      </c>
    </row>
    <row r="230" spans="1:9" x14ac:dyDescent="0.35">
      <c r="A230" s="1" t="s">
        <v>422</v>
      </c>
      <c r="B230" s="1" t="s">
        <v>194</v>
      </c>
      <c r="C230" s="2">
        <v>45986.854166666664</v>
      </c>
      <c r="D230">
        <v>1.6</v>
      </c>
      <c r="E230">
        <v>0.1</v>
      </c>
      <c r="F230">
        <v>3.7</v>
      </c>
      <c r="G230">
        <v>7.2</v>
      </c>
      <c r="H230">
        <v>0</v>
      </c>
      <c r="I230" s="2">
        <v>45986.895833333336</v>
      </c>
    </row>
    <row r="231" spans="1:9" x14ac:dyDescent="0.35">
      <c r="A231" s="1" t="s">
        <v>423</v>
      </c>
      <c r="B231" s="1" t="s">
        <v>194</v>
      </c>
      <c r="C231" s="2">
        <v>45986.864583333336</v>
      </c>
      <c r="D231">
        <v>1.6</v>
      </c>
      <c r="E231">
        <v>0.1</v>
      </c>
      <c r="F231">
        <v>3.3</v>
      </c>
      <c r="G231">
        <v>7.2</v>
      </c>
      <c r="H231">
        <v>0</v>
      </c>
      <c r="I231" s="2">
        <v>45986.90625</v>
      </c>
    </row>
    <row r="232" spans="1:9" x14ac:dyDescent="0.35">
      <c r="A232" s="1" t="s">
        <v>424</v>
      </c>
      <c r="B232" s="1" t="s">
        <v>194</v>
      </c>
      <c r="C232" s="2">
        <v>45986.875</v>
      </c>
      <c r="D232">
        <v>1.5</v>
      </c>
      <c r="E232">
        <v>0.1</v>
      </c>
      <c r="F232">
        <v>2.9</v>
      </c>
      <c r="G232">
        <v>6.8</v>
      </c>
      <c r="H232">
        <v>0</v>
      </c>
      <c r="I232" s="2">
        <v>45986.916666666664</v>
      </c>
    </row>
    <row r="233" spans="1:9" x14ac:dyDescent="0.35">
      <c r="A233" s="1" t="s">
        <v>425</v>
      </c>
      <c r="B233" s="1" t="s">
        <v>194</v>
      </c>
      <c r="C233" s="2">
        <v>45986.885416666664</v>
      </c>
      <c r="D233">
        <v>1.5</v>
      </c>
      <c r="E233">
        <v>0.1</v>
      </c>
      <c r="F233">
        <v>2.9</v>
      </c>
      <c r="G233">
        <v>6.1</v>
      </c>
      <c r="H233">
        <v>0</v>
      </c>
      <c r="I233" s="2">
        <v>45986.927083333336</v>
      </c>
    </row>
    <row r="234" spans="1:9" x14ac:dyDescent="0.35">
      <c r="A234" s="1" t="s">
        <v>426</v>
      </c>
      <c r="B234" s="1" t="s">
        <v>194</v>
      </c>
      <c r="C234" s="2">
        <v>45986.895833333336</v>
      </c>
      <c r="D234">
        <v>1.5</v>
      </c>
      <c r="E234">
        <v>0.1</v>
      </c>
      <c r="F234">
        <v>2.9</v>
      </c>
      <c r="G234">
        <v>5.4</v>
      </c>
      <c r="H234">
        <v>0</v>
      </c>
      <c r="I234" s="2">
        <v>45986.9375</v>
      </c>
    </row>
    <row r="235" spans="1:9" x14ac:dyDescent="0.35">
      <c r="A235" s="1" t="s">
        <v>427</v>
      </c>
      <c r="B235" s="1" t="s">
        <v>194</v>
      </c>
      <c r="C235" s="2">
        <v>45986.90625</v>
      </c>
      <c r="D235">
        <v>1.5</v>
      </c>
      <c r="E235">
        <v>0.1</v>
      </c>
      <c r="F235">
        <v>3</v>
      </c>
      <c r="G235">
        <v>4.7</v>
      </c>
      <c r="H235">
        <v>0</v>
      </c>
      <c r="I235" s="2">
        <v>45986.947916666664</v>
      </c>
    </row>
    <row r="236" spans="1:9" x14ac:dyDescent="0.35">
      <c r="A236" s="1" t="s">
        <v>428</v>
      </c>
      <c r="B236" s="1" t="s">
        <v>194</v>
      </c>
      <c r="C236" s="2">
        <v>45986.916666666664</v>
      </c>
      <c r="D236">
        <v>1.5</v>
      </c>
      <c r="E236">
        <v>0.1</v>
      </c>
      <c r="F236">
        <v>3.1</v>
      </c>
      <c r="G236">
        <v>4</v>
      </c>
      <c r="H236">
        <v>0</v>
      </c>
      <c r="I236" s="2">
        <v>45986.958333333336</v>
      </c>
    </row>
    <row r="237" spans="1:9" x14ac:dyDescent="0.35">
      <c r="A237" s="1" t="s">
        <v>429</v>
      </c>
      <c r="B237" s="1" t="s">
        <v>194</v>
      </c>
      <c r="C237" s="2">
        <v>45986.927083333336</v>
      </c>
      <c r="D237">
        <v>1.5</v>
      </c>
      <c r="E237">
        <v>0.1</v>
      </c>
      <c r="F237">
        <v>3.1</v>
      </c>
      <c r="G237">
        <v>4</v>
      </c>
      <c r="H237">
        <v>0</v>
      </c>
      <c r="I237" s="2">
        <v>45986.96875</v>
      </c>
    </row>
    <row r="238" spans="1:9" x14ac:dyDescent="0.35">
      <c r="A238" s="1" t="s">
        <v>430</v>
      </c>
      <c r="B238" s="1" t="s">
        <v>194</v>
      </c>
      <c r="C238" s="2">
        <v>45986.9375</v>
      </c>
      <c r="D238">
        <v>1.5</v>
      </c>
      <c r="E238">
        <v>0.1</v>
      </c>
      <c r="F238">
        <v>3.1</v>
      </c>
      <c r="G238">
        <v>4</v>
      </c>
      <c r="H238">
        <v>0</v>
      </c>
      <c r="I238" s="2">
        <v>45986.979166666664</v>
      </c>
    </row>
    <row r="239" spans="1:9" x14ac:dyDescent="0.35">
      <c r="A239" s="1" t="s">
        <v>431</v>
      </c>
      <c r="B239" s="1" t="s">
        <v>194</v>
      </c>
      <c r="C239" s="2">
        <v>45986.947916666664</v>
      </c>
      <c r="D239">
        <v>1.5</v>
      </c>
      <c r="E239">
        <v>0.1</v>
      </c>
      <c r="F239">
        <v>2.7</v>
      </c>
      <c r="G239">
        <v>4.3</v>
      </c>
      <c r="H239">
        <v>0</v>
      </c>
      <c r="I239" s="2">
        <v>45986.989583333336</v>
      </c>
    </row>
    <row r="240" spans="1:9" x14ac:dyDescent="0.35">
      <c r="A240" s="1" t="s">
        <v>432</v>
      </c>
      <c r="B240" s="1" t="s">
        <v>194</v>
      </c>
      <c r="C240" s="2">
        <v>45986.958333333336</v>
      </c>
      <c r="D240">
        <v>1.5</v>
      </c>
      <c r="E240">
        <v>0.1</v>
      </c>
      <c r="F240">
        <v>2.7</v>
      </c>
      <c r="G240">
        <v>4.3</v>
      </c>
      <c r="H240">
        <v>0</v>
      </c>
      <c r="I240" s="2">
        <v>45987</v>
      </c>
    </row>
    <row r="241" spans="1:9" x14ac:dyDescent="0.35">
      <c r="A241" s="1" t="s">
        <v>433</v>
      </c>
      <c r="B241" s="1" t="s">
        <v>194</v>
      </c>
      <c r="C241" s="2">
        <v>45986.96875</v>
      </c>
      <c r="D241">
        <v>1.4</v>
      </c>
      <c r="E241">
        <v>0.2</v>
      </c>
      <c r="F241">
        <v>2.7</v>
      </c>
      <c r="G241">
        <v>4.3</v>
      </c>
      <c r="H241">
        <v>0</v>
      </c>
      <c r="I241" s="2">
        <v>45987.010416666664</v>
      </c>
    </row>
    <row r="242" spans="1:9" x14ac:dyDescent="0.35">
      <c r="A242" s="1" t="s">
        <v>434</v>
      </c>
      <c r="B242" s="1" t="s">
        <v>194</v>
      </c>
      <c r="C242" s="2">
        <v>45986.979166666664</v>
      </c>
      <c r="D242">
        <v>1.3</v>
      </c>
      <c r="E242">
        <v>0.2</v>
      </c>
      <c r="F242">
        <v>2.4</v>
      </c>
      <c r="G242">
        <v>4</v>
      </c>
      <c r="H242">
        <v>0</v>
      </c>
      <c r="I242" s="2">
        <v>45987.020833333336</v>
      </c>
    </row>
    <row r="243" spans="1:9" x14ac:dyDescent="0.35">
      <c r="A243" s="1" t="s">
        <v>435</v>
      </c>
      <c r="B243" s="1" t="s">
        <v>194</v>
      </c>
      <c r="C243" s="2">
        <v>45986.989583333336</v>
      </c>
      <c r="D243">
        <v>1.2</v>
      </c>
      <c r="E243">
        <v>0.2</v>
      </c>
      <c r="F243">
        <v>2.6</v>
      </c>
      <c r="G243">
        <v>3.6</v>
      </c>
      <c r="H243">
        <v>0</v>
      </c>
      <c r="I243" s="2">
        <v>45987.03125</v>
      </c>
    </row>
    <row r="244" spans="1:9" x14ac:dyDescent="0.35">
      <c r="A244" s="1" t="s">
        <v>436</v>
      </c>
      <c r="B244" s="1" t="s">
        <v>194</v>
      </c>
      <c r="C244" s="2">
        <v>45987</v>
      </c>
      <c r="D244">
        <v>1.1000000000000001</v>
      </c>
      <c r="E244">
        <v>0.2</v>
      </c>
      <c r="F244">
        <v>2.2999999999999998</v>
      </c>
      <c r="G244">
        <v>3.6</v>
      </c>
      <c r="H244">
        <v>0</v>
      </c>
      <c r="I244" s="2">
        <v>45987.041666666664</v>
      </c>
    </row>
    <row r="245" spans="1:9" x14ac:dyDescent="0.35">
      <c r="A245" s="1" t="s">
        <v>437</v>
      </c>
      <c r="B245" s="1" t="s">
        <v>194</v>
      </c>
      <c r="C245" s="2">
        <v>45987.010416666664</v>
      </c>
      <c r="D245">
        <v>1</v>
      </c>
      <c r="E245">
        <v>0.3</v>
      </c>
      <c r="F245">
        <v>2.2999999999999998</v>
      </c>
      <c r="G245">
        <v>4</v>
      </c>
      <c r="H245">
        <v>0</v>
      </c>
      <c r="I245" s="2">
        <v>45987.052083333336</v>
      </c>
    </row>
    <row r="246" spans="1:9" x14ac:dyDescent="0.35">
      <c r="A246" s="1" t="s">
        <v>438</v>
      </c>
      <c r="B246" s="1" t="s">
        <v>194</v>
      </c>
      <c r="C246" s="2">
        <v>45987.020833333336</v>
      </c>
      <c r="D246">
        <v>0.9</v>
      </c>
      <c r="E246">
        <v>0.3</v>
      </c>
      <c r="F246">
        <v>2.2999999999999998</v>
      </c>
      <c r="G246">
        <v>4.7</v>
      </c>
      <c r="H246">
        <v>0</v>
      </c>
      <c r="I246" s="2">
        <v>45987.0625</v>
      </c>
    </row>
    <row r="247" spans="1:9" x14ac:dyDescent="0.35">
      <c r="A247" s="1" t="s">
        <v>439</v>
      </c>
      <c r="B247" s="1" t="s">
        <v>194</v>
      </c>
      <c r="C247" s="2">
        <v>45987.03125</v>
      </c>
      <c r="D247">
        <v>0.9</v>
      </c>
      <c r="E247">
        <v>0.3</v>
      </c>
      <c r="F247">
        <v>2.5</v>
      </c>
      <c r="G247">
        <v>5.4</v>
      </c>
      <c r="H247">
        <v>0</v>
      </c>
      <c r="I247" s="2">
        <v>45987.072916666664</v>
      </c>
    </row>
    <row r="248" spans="1:9" x14ac:dyDescent="0.35">
      <c r="A248" s="1" t="s">
        <v>440</v>
      </c>
      <c r="B248" s="1" t="s">
        <v>194</v>
      </c>
      <c r="C248" s="2">
        <v>45987.041666666664</v>
      </c>
      <c r="D248">
        <v>0.8</v>
      </c>
      <c r="E248">
        <v>0.3</v>
      </c>
      <c r="F248">
        <v>2.9</v>
      </c>
      <c r="G248">
        <v>6.1</v>
      </c>
      <c r="H248">
        <v>0</v>
      </c>
      <c r="I248" s="2">
        <v>45987.083333333336</v>
      </c>
    </row>
    <row r="249" spans="1:9" x14ac:dyDescent="0.35">
      <c r="A249" s="1" t="s">
        <v>441</v>
      </c>
      <c r="B249" s="1" t="s">
        <v>194</v>
      </c>
      <c r="C249" s="2">
        <v>45987.052083333336</v>
      </c>
      <c r="D249">
        <v>0.8</v>
      </c>
      <c r="E249">
        <v>0.2</v>
      </c>
      <c r="F249">
        <v>2.9</v>
      </c>
      <c r="G249">
        <v>6.5</v>
      </c>
      <c r="H249">
        <v>0</v>
      </c>
      <c r="I249" s="2">
        <v>45987.09375</v>
      </c>
    </row>
    <row r="250" spans="1:9" x14ac:dyDescent="0.35">
      <c r="A250" s="1" t="s">
        <v>442</v>
      </c>
      <c r="B250" s="1" t="s">
        <v>194</v>
      </c>
      <c r="C250" s="2">
        <v>45987.0625</v>
      </c>
      <c r="D250">
        <v>0.9</v>
      </c>
      <c r="E250">
        <v>0.2</v>
      </c>
      <c r="F250">
        <v>2.9</v>
      </c>
      <c r="G250">
        <v>6.8</v>
      </c>
      <c r="H250">
        <v>0</v>
      </c>
      <c r="I250" s="2">
        <v>45987.104166666664</v>
      </c>
    </row>
    <row r="251" spans="1:9" x14ac:dyDescent="0.35">
      <c r="A251" s="1" t="s">
        <v>443</v>
      </c>
      <c r="B251" s="1" t="s">
        <v>194</v>
      </c>
      <c r="C251" s="2">
        <v>45987.072916666664</v>
      </c>
      <c r="D251">
        <v>0.9</v>
      </c>
      <c r="E251">
        <v>0.2</v>
      </c>
      <c r="F251">
        <v>2.5</v>
      </c>
      <c r="G251">
        <v>7.2</v>
      </c>
      <c r="H251">
        <v>0</v>
      </c>
      <c r="I251" s="2">
        <v>45987.114583333336</v>
      </c>
    </row>
    <row r="252" spans="1:9" x14ac:dyDescent="0.35">
      <c r="A252" s="1" t="s">
        <v>444</v>
      </c>
      <c r="B252" s="1" t="s">
        <v>194</v>
      </c>
      <c r="C252" s="2">
        <v>45987.083333333336</v>
      </c>
      <c r="D252">
        <v>0.9</v>
      </c>
      <c r="E252">
        <v>0.2</v>
      </c>
      <c r="F252">
        <v>2.2999999999999998</v>
      </c>
      <c r="G252">
        <v>7.2</v>
      </c>
      <c r="H252">
        <v>0</v>
      </c>
      <c r="I252" s="2">
        <v>45987.125</v>
      </c>
    </row>
    <row r="253" spans="1:9" x14ac:dyDescent="0.35">
      <c r="A253" s="1" t="s">
        <v>445</v>
      </c>
      <c r="B253" s="1" t="s">
        <v>194</v>
      </c>
      <c r="C253" s="2">
        <v>45987.09375</v>
      </c>
      <c r="D253">
        <v>0.9</v>
      </c>
      <c r="E253">
        <v>0</v>
      </c>
      <c r="F253">
        <v>2</v>
      </c>
      <c r="G253">
        <v>7.2</v>
      </c>
      <c r="H253">
        <v>0</v>
      </c>
      <c r="I253" s="2">
        <v>45987.135416666664</v>
      </c>
    </row>
    <row r="254" spans="1:9" x14ac:dyDescent="0.35">
      <c r="A254" s="1" t="s">
        <v>446</v>
      </c>
      <c r="B254" s="1" t="s">
        <v>194</v>
      </c>
      <c r="C254" s="2">
        <v>45987.104166666664</v>
      </c>
      <c r="D254">
        <v>0.9</v>
      </c>
      <c r="E254">
        <v>0</v>
      </c>
      <c r="F254">
        <v>2.2999999999999998</v>
      </c>
      <c r="G254">
        <v>6.8</v>
      </c>
      <c r="H254">
        <v>0</v>
      </c>
      <c r="I254" s="2">
        <v>45987.145833333336</v>
      </c>
    </row>
    <row r="255" spans="1:9" x14ac:dyDescent="0.35">
      <c r="A255" s="1" t="s">
        <v>447</v>
      </c>
      <c r="B255" s="1" t="s">
        <v>194</v>
      </c>
      <c r="C255" s="2">
        <v>45987.114583333336</v>
      </c>
      <c r="D255">
        <v>0.8</v>
      </c>
      <c r="E255">
        <v>0</v>
      </c>
      <c r="F255">
        <v>2.9</v>
      </c>
      <c r="G255">
        <v>6.5</v>
      </c>
      <c r="H255">
        <v>0</v>
      </c>
      <c r="I255" s="2">
        <v>45987.15625</v>
      </c>
    </row>
    <row r="256" spans="1:9" x14ac:dyDescent="0.35">
      <c r="A256" s="1" t="s">
        <v>448</v>
      </c>
      <c r="B256" s="1" t="s">
        <v>194</v>
      </c>
      <c r="C256" s="2">
        <v>45987.125</v>
      </c>
      <c r="D256">
        <v>0.8</v>
      </c>
      <c r="E256">
        <v>0</v>
      </c>
      <c r="F256">
        <v>3.4</v>
      </c>
      <c r="G256">
        <v>6.1</v>
      </c>
      <c r="H256">
        <v>0</v>
      </c>
      <c r="I256" s="2">
        <v>45987.166666666664</v>
      </c>
    </row>
    <row r="257" spans="1:9" x14ac:dyDescent="0.35">
      <c r="A257" s="1" t="s">
        <v>449</v>
      </c>
      <c r="B257" s="1" t="s">
        <v>194</v>
      </c>
      <c r="C257" s="2">
        <v>45987.135416666664</v>
      </c>
      <c r="D257">
        <v>0.8</v>
      </c>
      <c r="E257">
        <v>0</v>
      </c>
      <c r="F257">
        <v>3.5</v>
      </c>
      <c r="G257">
        <v>6.1</v>
      </c>
      <c r="H257">
        <v>0</v>
      </c>
      <c r="I257" s="2">
        <v>45987.177083333336</v>
      </c>
    </row>
    <row r="258" spans="1:9" x14ac:dyDescent="0.35">
      <c r="A258" s="1" t="s">
        <v>450</v>
      </c>
      <c r="B258" s="1" t="s">
        <v>194</v>
      </c>
      <c r="C258" s="2">
        <v>45987.145833333336</v>
      </c>
      <c r="D258">
        <v>0.7</v>
      </c>
      <c r="E258">
        <v>0</v>
      </c>
      <c r="F258">
        <v>3.7</v>
      </c>
      <c r="G258">
        <v>6.1</v>
      </c>
      <c r="H258">
        <v>0</v>
      </c>
      <c r="I258" s="2">
        <v>45987.1875</v>
      </c>
    </row>
    <row r="259" spans="1:9" x14ac:dyDescent="0.35">
      <c r="A259" s="1" t="s">
        <v>451</v>
      </c>
      <c r="B259" s="1" t="s">
        <v>194</v>
      </c>
      <c r="C259" s="2">
        <v>45987.15625</v>
      </c>
      <c r="D259">
        <v>0.7</v>
      </c>
      <c r="E259">
        <v>0</v>
      </c>
      <c r="F259">
        <v>3.7</v>
      </c>
      <c r="G259">
        <v>5.8</v>
      </c>
      <c r="H259">
        <v>0</v>
      </c>
      <c r="I259" s="2">
        <v>45987.197916666664</v>
      </c>
    </row>
    <row r="260" spans="1:9" x14ac:dyDescent="0.35">
      <c r="A260" s="1" t="s">
        <v>452</v>
      </c>
      <c r="B260" s="1" t="s">
        <v>194</v>
      </c>
      <c r="C260" s="2">
        <v>45987.166666666664</v>
      </c>
      <c r="D260">
        <v>0.6</v>
      </c>
      <c r="E260">
        <v>0</v>
      </c>
      <c r="F260">
        <v>3.4</v>
      </c>
      <c r="G260">
        <v>5.8</v>
      </c>
      <c r="H260">
        <v>0</v>
      </c>
      <c r="I260" s="2">
        <v>45987.208333333336</v>
      </c>
    </row>
    <row r="261" spans="1:9" x14ac:dyDescent="0.35">
      <c r="A261" s="1" t="s">
        <v>453</v>
      </c>
      <c r="B261" s="1" t="s">
        <v>194</v>
      </c>
      <c r="C261" s="2">
        <v>45987.177083333336</v>
      </c>
      <c r="D261">
        <v>0.6</v>
      </c>
      <c r="E261">
        <v>0</v>
      </c>
      <c r="F261">
        <v>3.1</v>
      </c>
      <c r="G261">
        <v>5.4</v>
      </c>
      <c r="H261">
        <v>0</v>
      </c>
      <c r="I261" s="2">
        <v>45987.21875</v>
      </c>
    </row>
    <row r="262" spans="1:9" x14ac:dyDescent="0.35">
      <c r="A262" s="1" t="s">
        <v>454</v>
      </c>
      <c r="B262" s="1" t="s">
        <v>194</v>
      </c>
      <c r="C262" s="2">
        <v>45987.1875</v>
      </c>
      <c r="D262">
        <v>0.6</v>
      </c>
      <c r="E262">
        <v>0</v>
      </c>
      <c r="F262">
        <v>2.5</v>
      </c>
      <c r="G262">
        <v>5.4</v>
      </c>
      <c r="H262">
        <v>0</v>
      </c>
      <c r="I262" s="2">
        <v>45987.229166666664</v>
      </c>
    </row>
    <row r="263" spans="1:9" x14ac:dyDescent="0.35">
      <c r="A263" s="1" t="s">
        <v>455</v>
      </c>
      <c r="B263" s="1" t="s">
        <v>194</v>
      </c>
      <c r="C263" s="2">
        <v>45987.197916666664</v>
      </c>
      <c r="D263">
        <v>0.6</v>
      </c>
      <c r="E263">
        <v>0</v>
      </c>
      <c r="F263">
        <v>2</v>
      </c>
      <c r="G263">
        <v>5</v>
      </c>
      <c r="H263">
        <v>0</v>
      </c>
      <c r="I263" s="2">
        <v>45987.239583333336</v>
      </c>
    </row>
    <row r="264" spans="1:9" x14ac:dyDescent="0.35">
      <c r="A264" s="1" t="s">
        <v>456</v>
      </c>
      <c r="B264" s="1" t="s">
        <v>194</v>
      </c>
      <c r="C264" s="2">
        <v>45987.208333333336</v>
      </c>
      <c r="D264">
        <v>0.6</v>
      </c>
      <c r="E264">
        <v>0</v>
      </c>
      <c r="F264">
        <v>1.8</v>
      </c>
      <c r="G264">
        <v>4.7</v>
      </c>
      <c r="H264">
        <v>0</v>
      </c>
      <c r="I264" s="2">
        <v>45987.25</v>
      </c>
    </row>
    <row r="265" spans="1:9" x14ac:dyDescent="0.35">
      <c r="A265" s="1" t="s">
        <v>457</v>
      </c>
      <c r="B265" s="1" t="s">
        <v>194</v>
      </c>
      <c r="C265" s="2">
        <v>45987.21875</v>
      </c>
      <c r="D265">
        <v>0.6</v>
      </c>
      <c r="E265">
        <v>0.1</v>
      </c>
      <c r="F265">
        <v>1.8</v>
      </c>
      <c r="G265">
        <v>4.3</v>
      </c>
      <c r="H265">
        <v>0</v>
      </c>
      <c r="I265" s="2">
        <v>45987.260416666664</v>
      </c>
    </row>
    <row r="266" spans="1:9" x14ac:dyDescent="0.35">
      <c r="A266" s="1" t="s">
        <v>458</v>
      </c>
      <c r="B266" s="1" t="s">
        <v>194</v>
      </c>
      <c r="C266" s="2">
        <v>45987.229166666664</v>
      </c>
      <c r="D266">
        <v>0.6</v>
      </c>
      <c r="E266">
        <v>0.1</v>
      </c>
      <c r="F266">
        <v>1.9</v>
      </c>
      <c r="G266">
        <v>4.3</v>
      </c>
      <c r="H266">
        <v>0</v>
      </c>
      <c r="I266" s="2">
        <v>45987.270833333336</v>
      </c>
    </row>
    <row r="267" spans="1:9" x14ac:dyDescent="0.35">
      <c r="A267" s="1" t="s">
        <v>459</v>
      </c>
      <c r="B267" s="1" t="s">
        <v>194</v>
      </c>
      <c r="C267" s="2">
        <v>45987.239583333336</v>
      </c>
      <c r="D267">
        <v>0.6</v>
      </c>
      <c r="E267">
        <v>0.1</v>
      </c>
      <c r="F267">
        <v>2.2999999999999998</v>
      </c>
      <c r="G267">
        <v>4</v>
      </c>
      <c r="H267">
        <v>0</v>
      </c>
      <c r="I267" s="2">
        <v>45987.28125</v>
      </c>
    </row>
    <row r="268" spans="1:9" x14ac:dyDescent="0.35">
      <c r="A268" s="1" t="s">
        <v>460</v>
      </c>
      <c r="B268" s="1" t="s">
        <v>194</v>
      </c>
      <c r="C268" s="2">
        <v>45987.25</v>
      </c>
      <c r="D268">
        <v>0.6</v>
      </c>
      <c r="E268">
        <v>0.1</v>
      </c>
      <c r="F268">
        <v>2.5</v>
      </c>
      <c r="G268">
        <v>4</v>
      </c>
      <c r="H268">
        <v>0</v>
      </c>
      <c r="I268" s="2">
        <v>45987.291666666664</v>
      </c>
    </row>
    <row r="269" spans="1:9" x14ac:dyDescent="0.35">
      <c r="A269" s="1" t="s">
        <v>461</v>
      </c>
      <c r="B269" s="1" t="s">
        <v>194</v>
      </c>
      <c r="C269" s="2">
        <v>45987.260416666664</v>
      </c>
      <c r="D269">
        <v>0.6</v>
      </c>
      <c r="E269">
        <v>0.1</v>
      </c>
      <c r="F269">
        <v>2.5</v>
      </c>
      <c r="G269">
        <v>3.6</v>
      </c>
      <c r="H269">
        <v>0</v>
      </c>
      <c r="I269" s="2">
        <v>45987.302083333336</v>
      </c>
    </row>
    <row r="270" spans="1:9" x14ac:dyDescent="0.35">
      <c r="A270" s="1" t="s">
        <v>462</v>
      </c>
      <c r="B270" s="1" t="s">
        <v>194</v>
      </c>
      <c r="C270" s="2">
        <v>45987.270833333336</v>
      </c>
      <c r="D270">
        <v>0.6</v>
      </c>
      <c r="E270">
        <v>0.1</v>
      </c>
      <c r="F270">
        <v>2.2000000000000002</v>
      </c>
      <c r="G270">
        <v>3.6</v>
      </c>
      <c r="H270">
        <v>0</v>
      </c>
      <c r="I270" s="2">
        <v>45987.3125</v>
      </c>
    </row>
    <row r="271" spans="1:9" x14ac:dyDescent="0.35">
      <c r="A271" s="1" t="s">
        <v>463</v>
      </c>
      <c r="B271" s="1" t="s">
        <v>194</v>
      </c>
      <c r="C271" s="2">
        <v>45987.28125</v>
      </c>
      <c r="D271">
        <v>0.7</v>
      </c>
      <c r="E271">
        <v>0.1</v>
      </c>
      <c r="F271">
        <v>1.9</v>
      </c>
      <c r="G271">
        <v>3.2</v>
      </c>
      <c r="H271">
        <v>0</v>
      </c>
      <c r="I271" s="2">
        <v>45987.322916666664</v>
      </c>
    </row>
    <row r="272" spans="1:9" x14ac:dyDescent="0.35">
      <c r="A272" s="1" t="s">
        <v>464</v>
      </c>
      <c r="B272" s="1" t="s">
        <v>194</v>
      </c>
      <c r="C272" s="2">
        <v>45987.291666666664</v>
      </c>
      <c r="D272">
        <v>0.7</v>
      </c>
      <c r="E272">
        <v>0.1</v>
      </c>
      <c r="F272">
        <v>1.9</v>
      </c>
      <c r="G272">
        <v>3.2</v>
      </c>
      <c r="H272">
        <v>0</v>
      </c>
      <c r="I272" s="2">
        <v>45987.333333333336</v>
      </c>
    </row>
    <row r="273" spans="1:9" x14ac:dyDescent="0.35">
      <c r="A273" s="1" t="s">
        <v>465</v>
      </c>
      <c r="B273" s="1" t="s">
        <v>194</v>
      </c>
      <c r="C273" s="2">
        <v>45987.302083333336</v>
      </c>
      <c r="D273">
        <v>0.8</v>
      </c>
      <c r="E273">
        <v>0</v>
      </c>
      <c r="F273">
        <v>2.1</v>
      </c>
      <c r="G273">
        <v>3.6</v>
      </c>
      <c r="H273">
        <v>0</v>
      </c>
      <c r="I273" s="2">
        <v>45987.34375</v>
      </c>
    </row>
    <row r="274" spans="1:9" x14ac:dyDescent="0.35">
      <c r="A274" s="1" t="s">
        <v>466</v>
      </c>
      <c r="B274" s="1" t="s">
        <v>194</v>
      </c>
      <c r="C274" s="2">
        <v>45987.3125</v>
      </c>
      <c r="D274">
        <v>0.8</v>
      </c>
      <c r="E274">
        <v>0</v>
      </c>
      <c r="F274">
        <v>2.2999999999999998</v>
      </c>
      <c r="G274">
        <v>4.3</v>
      </c>
      <c r="H274">
        <v>0</v>
      </c>
      <c r="I274" s="2">
        <v>45987.354166666664</v>
      </c>
    </row>
    <row r="275" spans="1:9" x14ac:dyDescent="0.35">
      <c r="A275" s="1" t="s">
        <v>467</v>
      </c>
      <c r="B275" s="1" t="s">
        <v>194</v>
      </c>
      <c r="C275" s="2">
        <v>45987.322916666664</v>
      </c>
      <c r="D275">
        <v>0.8</v>
      </c>
      <c r="E275">
        <v>0</v>
      </c>
      <c r="F275">
        <v>2.2999999999999998</v>
      </c>
      <c r="G275">
        <v>4.7</v>
      </c>
      <c r="H275">
        <v>0</v>
      </c>
      <c r="I275" s="2">
        <v>45987.364583333336</v>
      </c>
    </row>
    <row r="276" spans="1:9" x14ac:dyDescent="0.35">
      <c r="A276" s="1" t="s">
        <v>468</v>
      </c>
      <c r="B276" s="1" t="s">
        <v>194</v>
      </c>
      <c r="C276" s="2">
        <v>45987.333333333336</v>
      </c>
      <c r="D276">
        <v>0.8</v>
      </c>
      <c r="E276">
        <v>0</v>
      </c>
      <c r="F276">
        <v>2.5</v>
      </c>
      <c r="G276">
        <v>5</v>
      </c>
      <c r="H276">
        <v>5.4</v>
      </c>
      <c r="I276" s="2">
        <v>45987.375</v>
      </c>
    </row>
    <row r="277" spans="1:9" x14ac:dyDescent="0.35">
      <c r="A277" s="1" t="s">
        <v>469</v>
      </c>
      <c r="B277" s="1" t="s">
        <v>194</v>
      </c>
      <c r="C277" s="2">
        <v>45987.34375</v>
      </c>
      <c r="D277">
        <v>0.8</v>
      </c>
      <c r="E277">
        <v>0</v>
      </c>
      <c r="F277">
        <v>2.5</v>
      </c>
      <c r="G277">
        <v>5</v>
      </c>
      <c r="H277">
        <v>17.3</v>
      </c>
      <c r="I277" s="2">
        <v>45987.385416666664</v>
      </c>
    </row>
    <row r="278" spans="1:9" x14ac:dyDescent="0.35">
      <c r="A278" s="1" t="s">
        <v>470</v>
      </c>
      <c r="B278" s="1" t="s">
        <v>194</v>
      </c>
      <c r="C278" s="2">
        <v>45987.354166666664</v>
      </c>
      <c r="D278">
        <v>0.9</v>
      </c>
      <c r="E278">
        <v>0</v>
      </c>
      <c r="F278">
        <v>2.2999999999999998</v>
      </c>
      <c r="G278">
        <v>4.7</v>
      </c>
      <c r="H278">
        <v>31.9</v>
      </c>
      <c r="I278" s="2">
        <v>45987.395833333336</v>
      </c>
    </row>
    <row r="279" spans="1:9" x14ac:dyDescent="0.35">
      <c r="A279" s="1" t="s">
        <v>471</v>
      </c>
      <c r="B279" s="1" t="s">
        <v>194</v>
      </c>
      <c r="C279" s="2">
        <v>45987.364583333336</v>
      </c>
      <c r="D279">
        <v>0.9</v>
      </c>
      <c r="E279">
        <v>0</v>
      </c>
      <c r="F279">
        <v>1.8</v>
      </c>
      <c r="G279">
        <v>4.3</v>
      </c>
      <c r="H279">
        <v>44.8</v>
      </c>
      <c r="I279" s="2">
        <v>45987.40625</v>
      </c>
    </row>
    <row r="280" spans="1:9" x14ac:dyDescent="0.35">
      <c r="A280" s="1" t="s">
        <v>472</v>
      </c>
      <c r="B280" s="1" t="s">
        <v>194</v>
      </c>
      <c r="C280" s="2">
        <v>45987.375</v>
      </c>
      <c r="D280">
        <v>1</v>
      </c>
      <c r="E280">
        <v>0</v>
      </c>
      <c r="F280">
        <v>1.8</v>
      </c>
      <c r="G280">
        <v>4.3</v>
      </c>
      <c r="H280">
        <v>57.7</v>
      </c>
      <c r="I280" s="2">
        <v>45987.416666666664</v>
      </c>
    </row>
    <row r="281" spans="1:9" x14ac:dyDescent="0.35">
      <c r="A281" s="1" t="s">
        <v>473</v>
      </c>
      <c r="B281" s="1" t="s">
        <v>194</v>
      </c>
      <c r="C281" s="2">
        <v>45987.385416666664</v>
      </c>
      <c r="D281">
        <v>1.2</v>
      </c>
      <c r="E281">
        <v>0</v>
      </c>
      <c r="F281">
        <v>1.5</v>
      </c>
      <c r="G281">
        <v>4.3</v>
      </c>
      <c r="H281">
        <v>70.5</v>
      </c>
      <c r="I281" s="2">
        <v>45987.427083333336</v>
      </c>
    </row>
    <row r="282" spans="1:9" x14ac:dyDescent="0.35">
      <c r="A282" s="1" t="s">
        <v>474</v>
      </c>
      <c r="B282" s="1" t="s">
        <v>194</v>
      </c>
      <c r="C282" s="2">
        <v>45987.395833333336</v>
      </c>
      <c r="D282">
        <v>1.4</v>
      </c>
      <c r="E282">
        <v>0</v>
      </c>
      <c r="F282">
        <v>1.8</v>
      </c>
      <c r="G282">
        <v>4.7</v>
      </c>
      <c r="H282">
        <v>83.3</v>
      </c>
      <c r="I282" s="2">
        <v>45987.4375</v>
      </c>
    </row>
    <row r="283" spans="1:9" x14ac:dyDescent="0.35">
      <c r="A283" s="1" t="s">
        <v>475</v>
      </c>
      <c r="B283" s="1" t="s">
        <v>194</v>
      </c>
      <c r="C283" s="2">
        <v>45987.40625</v>
      </c>
      <c r="D283">
        <v>1.5</v>
      </c>
      <c r="E283">
        <v>0</v>
      </c>
      <c r="F283">
        <v>1.6</v>
      </c>
      <c r="G283">
        <v>5</v>
      </c>
      <c r="H283">
        <v>95</v>
      </c>
      <c r="I283" s="2">
        <v>45987.447916666664</v>
      </c>
    </row>
    <row r="284" spans="1:9" x14ac:dyDescent="0.35">
      <c r="A284" s="1" t="s">
        <v>476</v>
      </c>
      <c r="B284" s="1" t="s">
        <v>194</v>
      </c>
      <c r="C284" s="2">
        <v>45987.416666666664</v>
      </c>
      <c r="D284">
        <v>1.7</v>
      </c>
      <c r="E284">
        <v>0</v>
      </c>
      <c r="F284">
        <v>1.8</v>
      </c>
      <c r="G284">
        <v>5.4</v>
      </c>
      <c r="H284">
        <v>109.8</v>
      </c>
      <c r="I284" s="2">
        <v>45987.458333333336</v>
      </c>
    </row>
    <row r="285" spans="1:9" x14ac:dyDescent="0.35">
      <c r="A285" s="1" t="s">
        <v>477</v>
      </c>
      <c r="B285" s="1" t="s">
        <v>194</v>
      </c>
      <c r="C285" s="2">
        <v>45987.427083333336</v>
      </c>
      <c r="D285">
        <v>1.9</v>
      </c>
      <c r="E285">
        <v>0</v>
      </c>
      <c r="F285">
        <v>1.8</v>
      </c>
      <c r="G285">
        <v>5.8</v>
      </c>
      <c r="H285">
        <v>123.5</v>
      </c>
      <c r="I285" s="2">
        <v>45987.46875</v>
      </c>
    </row>
    <row r="286" spans="1:9" x14ac:dyDescent="0.35">
      <c r="A286" s="1" t="s">
        <v>478</v>
      </c>
      <c r="B286" s="1" t="s">
        <v>194</v>
      </c>
      <c r="C286" s="2">
        <v>45987.4375</v>
      </c>
      <c r="D286">
        <v>2</v>
      </c>
      <c r="E286">
        <v>0</v>
      </c>
      <c r="F286">
        <v>2.2999999999999998</v>
      </c>
      <c r="G286">
        <v>6.1</v>
      </c>
      <c r="H286">
        <v>135.1</v>
      </c>
      <c r="I286" s="2">
        <v>45987.479166666664</v>
      </c>
    </row>
    <row r="287" spans="1:9" x14ac:dyDescent="0.35">
      <c r="A287" s="1" t="s">
        <v>479</v>
      </c>
      <c r="B287" s="1" t="s">
        <v>194</v>
      </c>
      <c r="C287" s="2">
        <v>45987.447916666664</v>
      </c>
      <c r="D287">
        <v>2.2000000000000002</v>
      </c>
      <c r="E287">
        <v>0</v>
      </c>
      <c r="F287">
        <v>2.4</v>
      </c>
      <c r="G287">
        <v>6.1</v>
      </c>
      <c r="H287">
        <v>143.6</v>
      </c>
      <c r="I287" s="2">
        <v>45987.489583333336</v>
      </c>
    </row>
    <row r="288" spans="1:9" x14ac:dyDescent="0.35">
      <c r="A288" s="1" t="s">
        <v>480</v>
      </c>
      <c r="B288" s="1" t="s">
        <v>194</v>
      </c>
      <c r="C288" s="2">
        <v>45987.458333333336</v>
      </c>
      <c r="D288">
        <v>2.2999999999999998</v>
      </c>
      <c r="E288">
        <v>0</v>
      </c>
      <c r="F288">
        <v>2.8</v>
      </c>
      <c r="G288">
        <v>6.8</v>
      </c>
      <c r="H288">
        <v>147</v>
      </c>
      <c r="I288" s="2">
        <v>45987.5</v>
      </c>
    </row>
    <row r="289" spans="1:9" x14ac:dyDescent="0.35">
      <c r="A289" s="1" t="s">
        <v>481</v>
      </c>
      <c r="B289" s="1" t="s">
        <v>194</v>
      </c>
      <c r="C289" s="2">
        <v>45987.46875</v>
      </c>
      <c r="D289">
        <v>2.5</v>
      </c>
      <c r="E289">
        <v>0</v>
      </c>
      <c r="F289">
        <v>3.3</v>
      </c>
      <c r="G289">
        <v>7.6</v>
      </c>
      <c r="H289">
        <v>147.30000000000001</v>
      </c>
      <c r="I289" s="2">
        <v>45987.510416666664</v>
      </c>
    </row>
    <row r="290" spans="1:9" x14ac:dyDescent="0.35">
      <c r="A290" s="1" t="s">
        <v>482</v>
      </c>
      <c r="B290" s="1" t="s">
        <v>194</v>
      </c>
      <c r="C290" s="2">
        <v>45987.479166666664</v>
      </c>
      <c r="D290">
        <v>2.7</v>
      </c>
      <c r="E290">
        <v>0</v>
      </c>
      <c r="F290">
        <v>4.2</v>
      </c>
      <c r="G290">
        <v>8.6</v>
      </c>
      <c r="H290">
        <v>145.69999999999999</v>
      </c>
      <c r="I290" s="2">
        <v>45987.520833333336</v>
      </c>
    </row>
    <row r="291" spans="1:9" x14ac:dyDescent="0.35">
      <c r="A291" s="1" t="s">
        <v>483</v>
      </c>
      <c r="B291" s="1" t="s">
        <v>194</v>
      </c>
      <c r="C291" s="2">
        <v>45987.489583333336</v>
      </c>
      <c r="D291">
        <v>2.8</v>
      </c>
      <c r="E291">
        <v>0</v>
      </c>
      <c r="F291">
        <v>4.8</v>
      </c>
      <c r="G291">
        <v>10.1</v>
      </c>
      <c r="H291">
        <v>141.1</v>
      </c>
      <c r="I291" s="2">
        <v>45987.53125</v>
      </c>
    </row>
    <row r="292" spans="1:9" x14ac:dyDescent="0.35">
      <c r="A292" s="1" t="s">
        <v>484</v>
      </c>
      <c r="B292" s="1" t="s">
        <v>194</v>
      </c>
      <c r="C292" s="2">
        <v>45987.5</v>
      </c>
      <c r="D292">
        <v>2.8</v>
      </c>
      <c r="E292">
        <v>0</v>
      </c>
      <c r="F292">
        <v>5.4</v>
      </c>
      <c r="G292">
        <v>10.8</v>
      </c>
      <c r="H292">
        <v>131.6</v>
      </c>
      <c r="I292" s="2">
        <v>45987.541666666664</v>
      </c>
    </row>
    <row r="293" spans="1:9" x14ac:dyDescent="0.35">
      <c r="A293" s="1" t="s">
        <v>485</v>
      </c>
      <c r="B293" s="1" t="s">
        <v>194</v>
      </c>
      <c r="C293" s="2">
        <v>45987.510416666664</v>
      </c>
      <c r="D293">
        <v>2.8</v>
      </c>
      <c r="E293">
        <v>0.1</v>
      </c>
      <c r="F293">
        <v>5.5</v>
      </c>
      <c r="G293">
        <v>11.5</v>
      </c>
      <c r="H293">
        <v>121.1</v>
      </c>
      <c r="I293" s="2">
        <v>45987.552083333336</v>
      </c>
    </row>
    <row r="294" spans="1:9" x14ac:dyDescent="0.35">
      <c r="A294" s="1" t="s">
        <v>486</v>
      </c>
      <c r="B294" s="1" t="s">
        <v>194</v>
      </c>
      <c r="C294" s="2">
        <v>45987.520833333336</v>
      </c>
      <c r="D294">
        <v>2.8</v>
      </c>
      <c r="E294">
        <v>0.1</v>
      </c>
      <c r="F294">
        <v>5.4</v>
      </c>
      <c r="G294">
        <v>11.9</v>
      </c>
      <c r="H294">
        <v>109.7</v>
      </c>
      <c r="I294" s="2">
        <v>45987.5625</v>
      </c>
    </row>
    <row r="295" spans="1:9" x14ac:dyDescent="0.35">
      <c r="A295" s="1" t="s">
        <v>487</v>
      </c>
      <c r="B295" s="1" t="s">
        <v>194</v>
      </c>
      <c r="C295" s="2">
        <v>45987.53125</v>
      </c>
      <c r="D295">
        <v>2.7</v>
      </c>
      <c r="E295">
        <v>0.1</v>
      </c>
      <c r="F295">
        <v>5.0999999999999996</v>
      </c>
      <c r="G295">
        <v>12.6</v>
      </c>
      <c r="H295">
        <v>103.3</v>
      </c>
      <c r="I295" s="2">
        <v>45987.572916666664</v>
      </c>
    </row>
    <row r="296" spans="1:9" x14ac:dyDescent="0.35">
      <c r="A296" s="1" t="s">
        <v>488</v>
      </c>
      <c r="B296" s="1" t="s">
        <v>194</v>
      </c>
      <c r="C296" s="2">
        <v>45987.541666666664</v>
      </c>
      <c r="D296">
        <v>2.5</v>
      </c>
      <c r="E296">
        <v>0.1</v>
      </c>
      <c r="F296">
        <v>5.2</v>
      </c>
      <c r="G296">
        <v>12.6</v>
      </c>
      <c r="H296">
        <v>98.9</v>
      </c>
      <c r="I296" s="2">
        <v>45987.583333333336</v>
      </c>
    </row>
    <row r="297" spans="1:9" x14ac:dyDescent="0.35">
      <c r="A297" s="1" t="s">
        <v>489</v>
      </c>
      <c r="B297" s="1" t="s">
        <v>194</v>
      </c>
      <c r="C297" s="2">
        <v>45987.552083333336</v>
      </c>
      <c r="D297">
        <v>2.5</v>
      </c>
      <c r="E297">
        <v>0.1</v>
      </c>
      <c r="F297">
        <v>5.2</v>
      </c>
      <c r="G297">
        <v>12.6</v>
      </c>
      <c r="H297">
        <v>95.6</v>
      </c>
      <c r="I297" s="2">
        <v>45987.59375</v>
      </c>
    </row>
    <row r="298" spans="1:9" x14ac:dyDescent="0.35">
      <c r="A298" s="1" t="s">
        <v>490</v>
      </c>
      <c r="B298" s="1" t="s">
        <v>194</v>
      </c>
      <c r="C298" s="2">
        <v>45987.5625</v>
      </c>
      <c r="D298">
        <v>2.5</v>
      </c>
      <c r="E298">
        <v>0.1</v>
      </c>
      <c r="F298">
        <v>4.9000000000000004</v>
      </c>
      <c r="G298">
        <v>12.2</v>
      </c>
      <c r="H298">
        <v>92.2</v>
      </c>
      <c r="I298" s="2">
        <v>45987.604166666664</v>
      </c>
    </row>
    <row r="299" spans="1:9" x14ac:dyDescent="0.35">
      <c r="A299" s="1" t="s">
        <v>491</v>
      </c>
      <c r="B299" s="1" t="s">
        <v>194</v>
      </c>
      <c r="C299" s="2">
        <v>45987.572916666664</v>
      </c>
      <c r="D299">
        <v>2.5</v>
      </c>
      <c r="E299">
        <v>0.1</v>
      </c>
      <c r="F299">
        <v>4.5</v>
      </c>
      <c r="G299">
        <v>11.5</v>
      </c>
      <c r="H299">
        <v>87.9</v>
      </c>
      <c r="I299" s="2">
        <v>45987.614583333336</v>
      </c>
    </row>
    <row r="300" spans="1:9" x14ac:dyDescent="0.35">
      <c r="A300" s="1" t="s">
        <v>492</v>
      </c>
      <c r="B300" s="1" t="s">
        <v>194</v>
      </c>
      <c r="C300" s="2">
        <v>45987.583333333336</v>
      </c>
      <c r="D300">
        <v>2.5</v>
      </c>
      <c r="E300">
        <v>0.1</v>
      </c>
      <c r="F300">
        <v>4</v>
      </c>
      <c r="G300">
        <v>11.2</v>
      </c>
      <c r="H300">
        <v>83.5</v>
      </c>
      <c r="I300" s="2">
        <v>45987.625</v>
      </c>
    </row>
    <row r="301" spans="1:9" x14ac:dyDescent="0.35">
      <c r="A301" s="1" t="s">
        <v>493</v>
      </c>
      <c r="B301" s="1" t="s">
        <v>194</v>
      </c>
      <c r="C301" s="2">
        <v>45987.59375</v>
      </c>
      <c r="D301">
        <v>2.4</v>
      </c>
      <c r="E301">
        <v>0.1</v>
      </c>
      <c r="F301">
        <v>3.6</v>
      </c>
      <c r="G301">
        <v>10.4</v>
      </c>
      <c r="H301">
        <v>77.2</v>
      </c>
      <c r="I301" s="2">
        <v>45987.635416666664</v>
      </c>
    </row>
    <row r="302" spans="1:9" x14ac:dyDescent="0.35">
      <c r="A302" s="1" t="s">
        <v>494</v>
      </c>
      <c r="B302" s="1" t="s">
        <v>194</v>
      </c>
      <c r="C302" s="2">
        <v>45987.604166666664</v>
      </c>
      <c r="D302">
        <v>2.2999999999999998</v>
      </c>
      <c r="E302">
        <v>0.1</v>
      </c>
      <c r="F302">
        <v>2.9</v>
      </c>
      <c r="G302">
        <v>9.6999999999999993</v>
      </c>
      <c r="H302">
        <v>70.900000000000006</v>
      </c>
      <c r="I302" s="2">
        <v>45987.645833333336</v>
      </c>
    </row>
    <row r="303" spans="1:9" x14ac:dyDescent="0.35">
      <c r="A303" s="1" t="s">
        <v>495</v>
      </c>
      <c r="B303" s="1" t="s">
        <v>194</v>
      </c>
      <c r="C303" s="2">
        <v>45987.614583333336</v>
      </c>
      <c r="D303">
        <v>2.2000000000000002</v>
      </c>
      <c r="E303">
        <v>0.1</v>
      </c>
      <c r="F303">
        <v>2.2999999999999998</v>
      </c>
      <c r="G303">
        <v>9</v>
      </c>
      <c r="H303">
        <v>63.6</v>
      </c>
      <c r="I303" s="2">
        <v>45987.65625</v>
      </c>
    </row>
    <row r="304" spans="1:9" x14ac:dyDescent="0.35">
      <c r="A304" s="1" t="s">
        <v>496</v>
      </c>
      <c r="B304" s="1" t="s">
        <v>194</v>
      </c>
      <c r="C304" s="2">
        <v>45987.625</v>
      </c>
      <c r="D304">
        <v>2.2000000000000002</v>
      </c>
      <c r="E304">
        <v>0.1</v>
      </c>
      <c r="F304">
        <v>2.1</v>
      </c>
      <c r="G304">
        <v>8.3000000000000007</v>
      </c>
      <c r="H304">
        <v>55.4</v>
      </c>
      <c r="I304" s="2">
        <v>45987.666666666664</v>
      </c>
    </row>
    <row r="305" spans="1:9" x14ac:dyDescent="0.35">
      <c r="A305" s="1" t="s">
        <v>497</v>
      </c>
      <c r="B305" s="1" t="s">
        <v>194</v>
      </c>
      <c r="C305" s="2">
        <v>45987.635416666664</v>
      </c>
      <c r="D305">
        <v>2.1</v>
      </c>
      <c r="E305">
        <v>0.1</v>
      </c>
      <c r="F305">
        <v>2</v>
      </c>
      <c r="G305">
        <v>7.6</v>
      </c>
      <c r="H305">
        <v>47.2</v>
      </c>
      <c r="I305" s="2">
        <v>45987.677083333336</v>
      </c>
    </row>
    <row r="306" spans="1:9" x14ac:dyDescent="0.35">
      <c r="A306" s="1" t="s">
        <v>498</v>
      </c>
      <c r="B306" s="1" t="s">
        <v>194</v>
      </c>
      <c r="C306" s="2">
        <v>45987.645833333336</v>
      </c>
      <c r="D306">
        <v>2</v>
      </c>
      <c r="E306">
        <v>0.1</v>
      </c>
      <c r="F306">
        <v>2.1</v>
      </c>
      <c r="G306">
        <v>6.8</v>
      </c>
      <c r="H306">
        <v>38</v>
      </c>
      <c r="I306" s="2">
        <v>45987.6875</v>
      </c>
    </row>
    <row r="307" spans="1:9" x14ac:dyDescent="0.35">
      <c r="A307" s="1" t="s">
        <v>499</v>
      </c>
      <c r="B307" s="1" t="s">
        <v>194</v>
      </c>
      <c r="C307" s="2">
        <v>45987.65625</v>
      </c>
      <c r="D307">
        <v>1.9</v>
      </c>
      <c r="E307">
        <v>0.1</v>
      </c>
      <c r="F307">
        <v>2.2999999999999998</v>
      </c>
      <c r="G307">
        <v>6.5</v>
      </c>
      <c r="H307">
        <v>28.9</v>
      </c>
      <c r="I307" s="2">
        <v>45987.697916666664</v>
      </c>
    </row>
    <row r="308" spans="1:9" x14ac:dyDescent="0.35">
      <c r="A308" s="1" t="s">
        <v>500</v>
      </c>
      <c r="B308" s="1" t="s">
        <v>194</v>
      </c>
      <c r="C308" s="2">
        <v>45987.666666666664</v>
      </c>
      <c r="D308">
        <v>1.8</v>
      </c>
      <c r="E308">
        <v>0.1</v>
      </c>
      <c r="F308">
        <v>2.2000000000000002</v>
      </c>
      <c r="G308">
        <v>5.8</v>
      </c>
      <c r="H308">
        <v>19</v>
      </c>
      <c r="I308" s="2">
        <v>45987.708333333336</v>
      </c>
    </row>
    <row r="309" spans="1:9" x14ac:dyDescent="0.35">
      <c r="A309" s="1" t="s">
        <v>501</v>
      </c>
      <c r="B309" s="1" t="s">
        <v>194</v>
      </c>
      <c r="C309" s="2">
        <v>45987.677083333336</v>
      </c>
      <c r="D309">
        <v>1.7</v>
      </c>
      <c r="E309">
        <v>0.1</v>
      </c>
      <c r="F309">
        <v>2.2000000000000002</v>
      </c>
      <c r="G309">
        <v>5.4</v>
      </c>
      <c r="H309">
        <v>10.1</v>
      </c>
      <c r="I309" s="2">
        <v>45987.71875</v>
      </c>
    </row>
    <row r="310" spans="1:9" x14ac:dyDescent="0.35">
      <c r="A310" s="1" t="s">
        <v>502</v>
      </c>
      <c r="B310" s="1" t="s">
        <v>194</v>
      </c>
      <c r="C310" s="2">
        <v>45987.6875</v>
      </c>
      <c r="D310">
        <v>1.6</v>
      </c>
      <c r="E310">
        <v>0.1</v>
      </c>
      <c r="F310">
        <v>2.2000000000000002</v>
      </c>
      <c r="G310">
        <v>5</v>
      </c>
      <c r="H310">
        <v>1.9</v>
      </c>
      <c r="I310" s="2">
        <v>45987.729166666664</v>
      </c>
    </row>
    <row r="311" spans="1:9" x14ac:dyDescent="0.35">
      <c r="A311" s="1" t="s">
        <v>503</v>
      </c>
      <c r="B311" s="1" t="s">
        <v>194</v>
      </c>
      <c r="C311" s="2">
        <v>45987.697916666664</v>
      </c>
      <c r="D311">
        <v>1.5</v>
      </c>
      <c r="E311">
        <v>0.1</v>
      </c>
      <c r="F311">
        <v>2.2000000000000002</v>
      </c>
      <c r="G311">
        <v>4.7</v>
      </c>
      <c r="H311">
        <v>0</v>
      </c>
      <c r="I311" s="2">
        <v>45987.739583333336</v>
      </c>
    </row>
    <row r="312" spans="1:9" x14ac:dyDescent="0.35">
      <c r="A312" s="1" t="s">
        <v>504</v>
      </c>
      <c r="B312" s="1" t="s">
        <v>194</v>
      </c>
      <c r="C312" s="2">
        <v>45987.708333333336</v>
      </c>
      <c r="D312">
        <v>1.4</v>
      </c>
      <c r="E312">
        <v>0.1</v>
      </c>
      <c r="F312">
        <v>2.2000000000000002</v>
      </c>
      <c r="G312">
        <v>4.3</v>
      </c>
      <c r="H312">
        <v>0</v>
      </c>
      <c r="I312" s="2">
        <v>45987.75</v>
      </c>
    </row>
    <row r="313" spans="1:9" x14ac:dyDescent="0.35">
      <c r="A313" s="1" t="s">
        <v>505</v>
      </c>
      <c r="B313" s="1" t="s">
        <v>194</v>
      </c>
      <c r="C313" s="2">
        <v>45987.71875</v>
      </c>
      <c r="D313">
        <v>1.3</v>
      </c>
      <c r="E313">
        <v>0.1</v>
      </c>
      <c r="F313">
        <v>2.2000000000000002</v>
      </c>
      <c r="G313">
        <v>4</v>
      </c>
      <c r="H313">
        <v>0</v>
      </c>
      <c r="I313" s="2">
        <v>45987.760416666664</v>
      </c>
    </row>
    <row r="314" spans="1:9" x14ac:dyDescent="0.35">
      <c r="A314" s="1" t="s">
        <v>506</v>
      </c>
      <c r="B314" s="1" t="s">
        <v>194</v>
      </c>
      <c r="C314" s="2">
        <v>45987.729166666664</v>
      </c>
      <c r="D314">
        <v>1.1000000000000001</v>
      </c>
      <c r="E314">
        <v>0.1</v>
      </c>
      <c r="F314">
        <v>2.2000000000000002</v>
      </c>
      <c r="G314">
        <v>3.6</v>
      </c>
      <c r="H314">
        <v>0</v>
      </c>
      <c r="I314" s="2">
        <v>45987.770833333336</v>
      </c>
    </row>
    <row r="315" spans="1:9" x14ac:dyDescent="0.35">
      <c r="A315" s="1" t="s">
        <v>507</v>
      </c>
      <c r="B315" s="1" t="s">
        <v>194</v>
      </c>
      <c r="C315" s="2">
        <v>45987.739583333336</v>
      </c>
      <c r="D315">
        <v>1</v>
      </c>
      <c r="E315">
        <v>0.1</v>
      </c>
      <c r="F315">
        <v>1.8</v>
      </c>
      <c r="G315">
        <v>3.2</v>
      </c>
      <c r="H315">
        <v>0</v>
      </c>
      <c r="I315" s="2">
        <v>45987.78125</v>
      </c>
    </row>
    <row r="316" spans="1:9" x14ac:dyDescent="0.35">
      <c r="A316" s="1" t="s">
        <v>508</v>
      </c>
      <c r="B316" s="1" t="s">
        <v>194</v>
      </c>
      <c r="C316" s="2">
        <v>45987.75</v>
      </c>
      <c r="D316">
        <v>0.9</v>
      </c>
      <c r="E316">
        <v>0.1</v>
      </c>
      <c r="F316">
        <v>1.8</v>
      </c>
      <c r="G316">
        <v>2.9</v>
      </c>
      <c r="H316">
        <v>0</v>
      </c>
      <c r="I316" s="2">
        <v>45987.791666666664</v>
      </c>
    </row>
    <row r="317" spans="1:9" x14ac:dyDescent="0.35">
      <c r="A317" s="1" t="s">
        <v>509</v>
      </c>
      <c r="B317" s="1" t="s">
        <v>194</v>
      </c>
      <c r="C317" s="2">
        <v>45987.760416666664</v>
      </c>
      <c r="D317">
        <v>0.8</v>
      </c>
      <c r="E317">
        <v>0.1</v>
      </c>
      <c r="F317">
        <v>1.8</v>
      </c>
      <c r="G317">
        <v>2.5</v>
      </c>
      <c r="H317">
        <v>0</v>
      </c>
      <c r="I317" s="2">
        <v>45987.802083333336</v>
      </c>
    </row>
    <row r="318" spans="1:9" x14ac:dyDescent="0.35">
      <c r="A318" s="1" t="s">
        <v>510</v>
      </c>
      <c r="B318" s="1" t="s">
        <v>194</v>
      </c>
      <c r="C318" s="2">
        <v>45987.770833333336</v>
      </c>
      <c r="D318">
        <v>0.7</v>
      </c>
      <c r="E318">
        <v>0.1</v>
      </c>
      <c r="F318">
        <v>1.4</v>
      </c>
      <c r="G318">
        <v>2.5</v>
      </c>
      <c r="H318">
        <v>0</v>
      </c>
      <c r="I318" s="2">
        <v>45987.8125</v>
      </c>
    </row>
    <row r="319" spans="1:9" x14ac:dyDescent="0.35">
      <c r="A319" s="1" t="s">
        <v>511</v>
      </c>
      <c r="B319" s="1" t="s">
        <v>194</v>
      </c>
      <c r="C319" s="2">
        <v>45987.78125</v>
      </c>
      <c r="D319">
        <v>0.6</v>
      </c>
      <c r="E319">
        <v>0.1</v>
      </c>
      <c r="F319">
        <v>1.4</v>
      </c>
      <c r="G319">
        <v>2.5</v>
      </c>
      <c r="H319">
        <v>0</v>
      </c>
      <c r="I319" s="2">
        <v>45987.822916666664</v>
      </c>
    </row>
    <row r="320" spans="1:9" x14ac:dyDescent="0.35">
      <c r="A320" s="1" t="s">
        <v>512</v>
      </c>
      <c r="B320" s="1" t="s">
        <v>194</v>
      </c>
      <c r="C320" s="2">
        <v>45987.791666666664</v>
      </c>
      <c r="D320">
        <v>0.6</v>
      </c>
      <c r="E320">
        <v>0.1</v>
      </c>
      <c r="F320">
        <v>1.4</v>
      </c>
      <c r="G320">
        <v>2.5</v>
      </c>
      <c r="H320">
        <v>0</v>
      </c>
      <c r="I320" s="2">
        <v>45987.833333333336</v>
      </c>
    </row>
    <row r="321" spans="1:9" x14ac:dyDescent="0.35">
      <c r="A321" s="1" t="s">
        <v>513</v>
      </c>
      <c r="B321" s="1" t="s">
        <v>194</v>
      </c>
      <c r="C321" s="2">
        <v>45987.802083333336</v>
      </c>
      <c r="D321">
        <v>0.5</v>
      </c>
      <c r="E321">
        <v>0</v>
      </c>
      <c r="F321">
        <v>1.4</v>
      </c>
      <c r="G321">
        <v>2.5</v>
      </c>
      <c r="H321">
        <v>0</v>
      </c>
      <c r="I321" s="2">
        <v>45987.84375</v>
      </c>
    </row>
    <row r="322" spans="1:9" x14ac:dyDescent="0.35">
      <c r="A322" s="1" t="s">
        <v>514</v>
      </c>
      <c r="B322" s="1" t="s">
        <v>194</v>
      </c>
      <c r="C322" s="2">
        <v>45987.8125</v>
      </c>
      <c r="D322">
        <v>0.4</v>
      </c>
      <c r="E322">
        <v>0</v>
      </c>
      <c r="F322">
        <v>1.5</v>
      </c>
      <c r="G322">
        <v>2.9</v>
      </c>
      <c r="H322">
        <v>0</v>
      </c>
      <c r="I322" s="2">
        <v>45987.854166666664</v>
      </c>
    </row>
    <row r="323" spans="1:9" x14ac:dyDescent="0.35">
      <c r="A323" s="1" t="s">
        <v>515</v>
      </c>
      <c r="B323" s="1" t="s">
        <v>194</v>
      </c>
      <c r="C323" s="2">
        <v>45987.822916666664</v>
      </c>
      <c r="D323">
        <v>0.4</v>
      </c>
      <c r="E323">
        <v>0</v>
      </c>
      <c r="F323">
        <v>1.8</v>
      </c>
      <c r="G323">
        <v>3.2</v>
      </c>
      <c r="H323">
        <v>0</v>
      </c>
      <c r="I323" s="2">
        <v>45987.864583333336</v>
      </c>
    </row>
    <row r="324" spans="1:9" x14ac:dyDescent="0.35">
      <c r="A324" s="1" t="s">
        <v>516</v>
      </c>
      <c r="B324" s="1" t="s">
        <v>194</v>
      </c>
      <c r="C324" s="2">
        <v>45987.833333333336</v>
      </c>
      <c r="D324">
        <v>0.4</v>
      </c>
      <c r="E324">
        <v>0</v>
      </c>
      <c r="F324">
        <v>1.9</v>
      </c>
      <c r="G324">
        <v>3.6</v>
      </c>
      <c r="H324">
        <v>0</v>
      </c>
      <c r="I324" s="2">
        <v>45987.875</v>
      </c>
    </row>
    <row r="325" spans="1:9" x14ac:dyDescent="0.35">
      <c r="A325" s="1" t="s">
        <v>517</v>
      </c>
      <c r="B325" s="1" t="s">
        <v>194</v>
      </c>
      <c r="C325" s="2">
        <v>45987.84375</v>
      </c>
      <c r="D325">
        <v>0.4</v>
      </c>
      <c r="E325">
        <v>0</v>
      </c>
      <c r="F325">
        <v>2.1</v>
      </c>
      <c r="G325">
        <v>4</v>
      </c>
      <c r="H325">
        <v>0</v>
      </c>
      <c r="I325" s="2">
        <v>45987.885416666664</v>
      </c>
    </row>
    <row r="326" spans="1:9" x14ac:dyDescent="0.35">
      <c r="A326" s="1" t="s">
        <v>518</v>
      </c>
      <c r="B326" s="1" t="s">
        <v>194</v>
      </c>
      <c r="C326" s="2">
        <v>45987.854166666664</v>
      </c>
      <c r="D326">
        <v>0.4</v>
      </c>
      <c r="E326">
        <v>0</v>
      </c>
      <c r="F326">
        <v>2.4</v>
      </c>
      <c r="G326">
        <v>4.3</v>
      </c>
      <c r="H326">
        <v>0</v>
      </c>
      <c r="I326" s="2">
        <v>45987.895833333336</v>
      </c>
    </row>
    <row r="327" spans="1:9" x14ac:dyDescent="0.35">
      <c r="A327" s="1" t="s">
        <v>519</v>
      </c>
      <c r="B327" s="1" t="s">
        <v>194</v>
      </c>
      <c r="C327" s="2">
        <v>45987.864583333336</v>
      </c>
      <c r="D327">
        <v>0.4</v>
      </c>
      <c r="E327">
        <v>0</v>
      </c>
      <c r="F327">
        <v>2.9</v>
      </c>
      <c r="G327">
        <v>4.7</v>
      </c>
      <c r="H327">
        <v>0</v>
      </c>
      <c r="I327" s="2">
        <v>45987.90625</v>
      </c>
    </row>
    <row r="328" spans="1:9" x14ac:dyDescent="0.35">
      <c r="A328" s="1" t="s">
        <v>520</v>
      </c>
      <c r="B328" s="1" t="s">
        <v>194</v>
      </c>
      <c r="C328" s="2">
        <v>45987.875</v>
      </c>
      <c r="D328">
        <v>0.4</v>
      </c>
      <c r="E328">
        <v>0</v>
      </c>
      <c r="F328">
        <v>2.9</v>
      </c>
      <c r="G328">
        <v>5</v>
      </c>
      <c r="H328">
        <v>0</v>
      </c>
      <c r="I328" s="2">
        <v>45987.916666666664</v>
      </c>
    </row>
    <row r="329" spans="1:9" x14ac:dyDescent="0.35">
      <c r="A329" s="1" t="s">
        <v>521</v>
      </c>
      <c r="B329" s="1" t="s">
        <v>194</v>
      </c>
      <c r="C329" s="2">
        <v>45987.885416666664</v>
      </c>
      <c r="D329">
        <v>0.4</v>
      </c>
      <c r="E329">
        <v>0</v>
      </c>
      <c r="F329">
        <v>3.1</v>
      </c>
      <c r="G329">
        <v>5.4</v>
      </c>
      <c r="H329">
        <v>0</v>
      </c>
      <c r="I329" s="2">
        <v>45987.927083333336</v>
      </c>
    </row>
    <row r="330" spans="1:9" x14ac:dyDescent="0.35">
      <c r="A330" s="1" t="s">
        <v>522</v>
      </c>
      <c r="B330" s="1" t="s">
        <v>194</v>
      </c>
      <c r="C330" s="2">
        <v>45987.895833333336</v>
      </c>
      <c r="D330">
        <v>0.4</v>
      </c>
      <c r="E330">
        <v>0</v>
      </c>
      <c r="F330">
        <v>3.4</v>
      </c>
      <c r="G330">
        <v>5.8</v>
      </c>
      <c r="H330">
        <v>0</v>
      </c>
      <c r="I330" s="2">
        <v>45987.9375</v>
      </c>
    </row>
    <row r="331" spans="1:9" x14ac:dyDescent="0.35">
      <c r="A331" s="1" t="s">
        <v>523</v>
      </c>
      <c r="B331" s="1" t="s">
        <v>194</v>
      </c>
      <c r="C331" s="2">
        <v>45987.90625</v>
      </c>
      <c r="D331">
        <v>0.4</v>
      </c>
      <c r="E331">
        <v>0</v>
      </c>
      <c r="F331">
        <v>3.6</v>
      </c>
      <c r="G331">
        <v>6.1</v>
      </c>
      <c r="H331">
        <v>0</v>
      </c>
      <c r="I331" s="2">
        <v>45987.947916666664</v>
      </c>
    </row>
    <row r="332" spans="1:9" x14ac:dyDescent="0.35">
      <c r="A332" s="1" t="s">
        <v>524</v>
      </c>
      <c r="B332" s="1" t="s">
        <v>194</v>
      </c>
      <c r="C332" s="2">
        <v>45987.916666666664</v>
      </c>
      <c r="D332">
        <v>0.4</v>
      </c>
      <c r="E332">
        <v>0</v>
      </c>
      <c r="F332">
        <v>3.6</v>
      </c>
      <c r="G332">
        <v>6.5</v>
      </c>
      <c r="H332">
        <v>0</v>
      </c>
      <c r="I332" s="2">
        <v>45987.958333333336</v>
      </c>
    </row>
    <row r="333" spans="1:9" x14ac:dyDescent="0.35">
      <c r="A333" s="1" t="s">
        <v>525</v>
      </c>
      <c r="B333" s="1" t="s">
        <v>194</v>
      </c>
      <c r="C333" s="2">
        <v>45987.927083333336</v>
      </c>
      <c r="D333">
        <v>0.4</v>
      </c>
      <c r="E333">
        <v>0</v>
      </c>
      <c r="F333">
        <v>3.6</v>
      </c>
      <c r="G333">
        <v>6.5</v>
      </c>
      <c r="H333">
        <v>0</v>
      </c>
      <c r="I333" s="2">
        <v>45987.96875</v>
      </c>
    </row>
    <row r="334" spans="1:9" x14ac:dyDescent="0.35">
      <c r="A334" s="1" t="s">
        <v>526</v>
      </c>
      <c r="B334" s="1" t="s">
        <v>194</v>
      </c>
      <c r="C334" s="2">
        <v>45987.9375</v>
      </c>
      <c r="D334">
        <v>0.4</v>
      </c>
      <c r="E334">
        <v>0</v>
      </c>
      <c r="F334">
        <v>3.8</v>
      </c>
      <c r="G334">
        <v>6.8</v>
      </c>
      <c r="H334">
        <v>0</v>
      </c>
      <c r="I334" s="2">
        <v>45987.979166666664</v>
      </c>
    </row>
    <row r="335" spans="1:9" x14ac:dyDescent="0.35">
      <c r="A335" s="1" t="s">
        <v>527</v>
      </c>
      <c r="B335" s="1" t="s">
        <v>194</v>
      </c>
      <c r="C335" s="2">
        <v>45987.947916666664</v>
      </c>
      <c r="D335">
        <v>0.5</v>
      </c>
      <c r="E335">
        <v>0</v>
      </c>
      <c r="F335">
        <v>3.8</v>
      </c>
      <c r="G335">
        <v>6.8</v>
      </c>
      <c r="H335">
        <v>0</v>
      </c>
      <c r="I335" s="2">
        <v>45987.989583333336</v>
      </c>
    </row>
    <row r="336" spans="1:9" x14ac:dyDescent="0.35">
      <c r="A336" s="1" t="s">
        <v>528</v>
      </c>
      <c r="B336" s="1" t="s">
        <v>194</v>
      </c>
      <c r="C336" s="2">
        <v>45987.958333333336</v>
      </c>
      <c r="D336">
        <v>0.5</v>
      </c>
      <c r="E336">
        <v>0</v>
      </c>
      <c r="F336">
        <v>3.8</v>
      </c>
      <c r="G336">
        <v>6.8</v>
      </c>
      <c r="H336">
        <v>0</v>
      </c>
      <c r="I336" s="2">
        <v>45988</v>
      </c>
    </row>
    <row r="337" spans="1:9" x14ac:dyDescent="0.35">
      <c r="A337" s="1" t="s">
        <v>529</v>
      </c>
      <c r="B337" s="1" t="s">
        <v>194</v>
      </c>
      <c r="C337" s="2">
        <v>45987.96875</v>
      </c>
      <c r="D337">
        <v>0.6</v>
      </c>
      <c r="E337">
        <v>0</v>
      </c>
      <c r="F337">
        <v>3.8</v>
      </c>
      <c r="G337">
        <v>6.8</v>
      </c>
      <c r="H337">
        <v>0</v>
      </c>
      <c r="I337" s="2">
        <v>45988.010416666664</v>
      </c>
    </row>
    <row r="338" spans="1:9" x14ac:dyDescent="0.35">
      <c r="A338" s="1" t="s">
        <v>530</v>
      </c>
      <c r="B338" s="1" t="s">
        <v>194</v>
      </c>
      <c r="C338" s="2">
        <v>45987.979166666664</v>
      </c>
      <c r="D338">
        <v>0.6</v>
      </c>
      <c r="E338">
        <v>0</v>
      </c>
      <c r="F338">
        <v>3.8</v>
      </c>
      <c r="G338">
        <v>6.8</v>
      </c>
      <c r="H338">
        <v>0</v>
      </c>
      <c r="I338" s="2">
        <v>45988.020833333336</v>
      </c>
    </row>
    <row r="339" spans="1:9" x14ac:dyDescent="0.35">
      <c r="A339" s="1" t="s">
        <v>531</v>
      </c>
      <c r="B339" s="1" t="s">
        <v>194</v>
      </c>
      <c r="C339" s="2">
        <v>45987.989583333336</v>
      </c>
      <c r="D339">
        <v>0.6</v>
      </c>
      <c r="E339">
        <v>0</v>
      </c>
      <c r="F339">
        <v>3.6</v>
      </c>
      <c r="G339">
        <v>6.8</v>
      </c>
      <c r="H339">
        <v>0</v>
      </c>
      <c r="I339" s="2">
        <v>45988.03125</v>
      </c>
    </row>
    <row r="340" spans="1:9" x14ac:dyDescent="0.35">
      <c r="A340" s="1" t="s">
        <v>532</v>
      </c>
      <c r="B340" s="1" t="s">
        <v>194</v>
      </c>
      <c r="C340" s="2">
        <v>45988</v>
      </c>
      <c r="D340">
        <v>0.6</v>
      </c>
      <c r="E340">
        <v>0</v>
      </c>
      <c r="F340">
        <v>3.6</v>
      </c>
      <c r="G340">
        <v>6.8</v>
      </c>
      <c r="H340">
        <v>0</v>
      </c>
      <c r="I340" s="2">
        <v>45988.041666666664</v>
      </c>
    </row>
    <row r="341" spans="1:9" x14ac:dyDescent="0.35">
      <c r="A341" s="1" t="s">
        <v>533</v>
      </c>
      <c r="B341" s="1" t="s">
        <v>194</v>
      </c>
      <c r="C341" s="2">
        <v>45988.010416666664</v>
      </c>
      <c r="D341">
        <v>0.6</v>
      </c>
      <c r="E341">
        <v>0</v>
      </c>
      <c r="F341">
        <v>3.6</v>
      </c>
      <c r="G341">
        <v>6.8</v>
      </c>
      <c r="H341">
        <v>0</v>
      </c>
      <c r="I341" s="2">
        <v>45988.052083333336</v>
      </c>
    </row>
    <row r="342" spans="1:9" x14ac:dyDescent="0.35">
      <c r="A342" s="1" t="s">
        <v>534</v>
      </c>
      <c r="B342" s="1" t="s">
        <v>194</v>
      </c>
      <c r="C342" s="2">
        <v>45988.020833333336</v>
      </c>
      <c r="D342">
        <v>0.6</v>
      </c>
      <c r="E342">
        <v>0</v>
      </c>
      <c r="F342">
        <v>3.6</v>
      </c>
      <c r="G342">
        <v>6.8</v>
      </c>
      <c r="H342">
        <v>0</v>
      </c>
      <c r="I342" s="2">
        <v>45988.0625</v>
      </c>
    </row>
    <row r="343" spans="1:9" x14ac:dyDescent="0.35">
      <c r="A343" s="1" t="s">
        <v>535</v>
      </c>
      <c r="B343" s="1" t="s">
        <v>194</v>
      </c>
      <c r="C343" s="2">
        <v>45988.03125</v>
      </c>
      <c r="D343">
        <v>0.7</v>
      </c>
      <c r="E343">
        <v>0</v>
      </c>
      <c r="F343">
        <v>3.3</v>
      </c>
      <c r="G343">
        <v>6.8</v>
      </c>
      <c r="H343">
        <v>0</v>
      </c>
      <c r="I343" s="2">
        <v>45988.072916666664</v>
      </c>
    </row>
    <row r="344" spans="1:9" x14ac:dyDescent="0.35">
      <c r="A344" s="1" t="s">
        <v>536</v>
      </c>
      <c r="B344" s="1" t="s">
        <v>194</v>
      </c>
      <c r="C344" s="2">
        <v>45988.041666666664</v>
      </c>
      <c r="D344">
        <v>0.7</v>
      </c>
      <c r="E344">
        <v>0</v>
      </c>
      <c r="F344">
        <v>3.3</v>
      </c>
      <c r="G344">
        <v>6.8</v>
      </c>
      <c r="H344">
        <v>0</v>
      </c>
      <c r="I344" s="2">
        <v>45988.083333333336</v>
      </c>
    </row>
    <row r="345" spans="1:9" x14ac:dyDescent="0.35">
      <c r="A345" s="1" t="s">
        <v>537</v>
      </c>
      <c r="B345" s="1" t="s">
        <v>194</v>
      </c>
      <c r="C345" s="2">
        <v>45988.052083333336</v>
      </c>
      <c r="D345">
        <v>0.8</v>
      </c>
      <c r="E345">
        <v>0</v>
      </c>
      <c r="F345">
        <v>3.3</v>
      </c>
      <c r="G345">
        <v>6.8</v>
      </c>
      <c r="H345">
        <v>0</v>
      </c>
      <c r="I345" s="2">
        <v>45988.09375</v>
      </c>
    </row>
    <row r="346" spans="1:9" x14ac:dyDescent="0.35">
      <c r="A346" s="1" t="s">
        <v>538</v>
      </c>
      <c r="B346" s="1" t="s">
        <v>194</v>
      </c>
      <c r="C346" s="2">
        <v>45988.0625</v>
      </c>
      <c r="D346">
        <v>0.8</v>
      </c>
      <c r="E346">
        <v>0</v>
      </c>
      <c r="F346">
        <v>3.1</v>
      </c>
      <c r="G346">
        <v>6.8</v>
      </c>
      <c r="H346">
        <v>0</v>
      </c>
      <c r="I346" s="2">
        <v>45988.104166666664</v>
      </c>
    </row>
    <row r="347" spans="1:9" x14ac:dyDescent="0.35">
      <c r="A347" s="1" t="s">
        <v>539</v>
      </c>
      <c r="B347" s="1" t="s">
        <v>194</v>
      </c>
      <c r="C347" s="2">
        <v>45988.072916666664</v>
      </c>
      <c r="D347">
        <v>0.8</v>
      </c>
      <c r="E347">
        <v>0</v>
      </c>
      <c r="F347">
        <v>3.4</v>
      </c>
      <c r="G347">
        <v>6.8</v>
      </c>
      <c r="H347">
        <v>0</v>
      </c>
      <c r="I347" s="2">
        <v>45988.114583333336</v>
      </c>
    </row>
    <row r="348" spans="1:9" x14ac:dyDescent="0.35">
      <c r="A348" s="1" t="s">
        <v>540</v>
      </c>
      <c r="B348" s="1" t="s">
        <v>194</v>
      </c>
      <c r="C348" s="2">
        <v>45988.083333333336</v>
      </c>
      <c r="D348">
        <v>0.7</v>
      </c>
      <c r="E348">
        <v>0</v>
      </c>
      <c r="F348">
        <v>3.4</v>
      </c>
      <c r="G348">
        <v>6.8</v>
      </c>
      <c r="H348">
        <v>0</v>
      </c>
      <c r="I348" s="2">
        <v>45988.125</v>
      </c>
    </row>
    <row r="349" spans="1:9" x14ac:dyDescent="0.35">
      <c r="A349" s="1" t="s">
        <v>541</v>
      </c>
      <c r="B349" s="1" t="s">
        <v>194</v>
      </c>
      <c r="C349" s="2">
        <v>45988.09375</v>
      </c>
      <c r="D349">
        <v>0.7</v>
      </c>
      <c r="E349">
        <v>0</v>
      </c>
      <c r="F349">
        <v>3.4</v>
      </c>
      <c r="G349">
        <v>6.8</v>
      </c>
      <c r="H349">
        <v>0</v>
      </c>
      <c r="I349" s="2">
        <v>45988.135416666664</v>
      </c>
    </row>
    <row r="350" spans="1:9" x14ac:dyDescent="0.35">
      <c r="A350" s="1" t="s">
        <v>542</v>
      </c>
      <c r="B350" s="1" t="s">
        <v>194</v>
      </c>
      <c r="C350" s="2">
        <v>45988.104166666664</v>
      </c>
      <c r="D350">
        <v>0.6</v>
      </c>
      <c r="E350">
        <v>0</v>
      </c>
      <c r="F350">
        <v>3.7</v>
      </c>
      <c r="G350">
        <v>7.2</v>
      </c>
      <c r="H350">
        <v>0</v>
      </c>
      <c r="I350" s="2">
        <v>45988.145833333336</v>
      </c>
    </row>
    <row r="351" spans="1:9" x14ac:dyDescent="0.35">
      <c r="A351" s="1" t="s">
        <v>543</v>
      </c>
      <c r="B351" s="1" t="s">
        <v>194</v>
      </c>
      <c r="C351" s="2">
        <v>45988.114583333336</v>
      </c>
      <c r="D351">
        <v>0.6</v>
      </c>
      <c r="E351">
        <v>0</v>
      </c>
      <c r="F351">
        <v>3.7</v>
      </c>
      <c r="G351">
        <v>7.2</v>
      </c>
      <c r="H351">
        <v>0</v>
      </c>
      <c r="I351" s="2">
        <v>45988.15625</v>
      </c>
    </row>
    <row r="352" spans="1:9" x14ac:dyDescent="0.35">
      <c r="A352" s="1" t="s">
        <v>544</v>
      </c>
      <c r="B352" s="1" t="s">
        <v>194</v>
      </c>
      <c r="C352" s="2">
        <v>45988.125</v>
      </c>
      <c r="D352">
        <v>0.6</v>
      </c>
      <c r="E352">
        <v>0</v>
      </c>
      <c r="F352">
        <v>3.7</v>
      </c>
      <c r="G352">
        <v>7.2</v>
      </c>
      <c r="H352">
        <v>0</v>
      </c>
      <c r="I352" s="2">
        <v>45988.166666666664</v>
      </c>
    </row>
    <row r="353" spans="1:9" x14ac:dyDescent="0.35">
      <c r="A353" s="1" t="s">
        <v>545</v>
      </c>
      <c r="B353" s="1" t="s">
        <v>194</v>
      </c>
      <c r="C353" s="2">
        <v>45988.135416666664</v>
      </c>
      <c r="D353">
        <v>0.6</v>
      </c>
      <c r="E353">
        <v>0</v>
      </c>
      <c r="F353">
        <v>3.7</v>
      </c>
      <c r="G353">
        <v>7.2</v>
      </c>
      <c r="H353">
        <v>0</v>
      </c>
      <c r="I353" s="2">
        <v>45988.177083333336</v>
      </c>
    </row>
    <row r="354" spans="1:9" x14ac:dyDescent="0.35">
      <c r="A354" s="1" t="s">
        <v>546</v>
      </c>
      <c r="B354" s="1" t="s">
        <v>194</v>
      </c>
      <c r="C354" s="2">
        <v>45988.145833333336</v>
      </c>
      <c r="D354">
        <v>0.6</v>
      </c>
      <c r="E354">
        <v>0</v>
      </c>
      <c r="F354">
        <v>4</v>
      </c>
      <c r="G354">
        <v>7.2</v>
      </c>
      <c r="H354">
        <v>0</v>
      </c>
      <c r="I354" s="2">
        <v>45988.1875</v>
      </c>
    </row>
    <row r="355" spans="1:9" x14ac:dyDescent="0.35">
      <c r="A355" s="1" t="s">
        <v>547</v>
      </c>
      <c r="B355" s="1" t="s">
        <v>194</v>
      </c>
      <c r="C355" s="2">
        <v>45988.15625</v>
      </c>
      <c r="D355">
        <v>0.6</v>
      </c>
      <c r="E355">
        <v>0</v>
      </c>
      <c r="F355">
        <v>3.9</v>
      </c>
      <c r="G355">
        <v>7.2</v>
      </c>
      <c r="H355">
        <v>0</v>
      </c>
      <c r="I355" s="2">
        <v>45988.197916666664</v>
      </c>
    </row>
    <row r="356" spans="1:9" x14ac:dyDescent="0.35">
      <c r="A356" s="1" t="s">
        <v>548</v>
      </c>
      <c r="B356" s="1" t="s">
        <v>194</v>
      </c>
      <c r="C356" s="2">
        <v>45988.166666666664</v>
      </c>
      <c r="D356">
        <v>0.6</v>
      </c>
      <c r="E356">
        <v>0</v>
      </c>
      <c r="F356">
        <v>3.9</v>
      </c>
      <c r="G356">
        <v>7.2</v>
      </c>
      <c r="H356">
        <v>0</v>
      </c>
      <c r="I356" s="2">
        <v>45988.208333333336</v>
      </c>
    </row>
    <row r="357" spans="1:9" x14ac:dyDescent="0.35">
      <c r="A357" s="1" t="s">
        <v>549</v>
      </c>
      <c r="B357" s="1" t="s">
        <v>194</v>
      </c>
      <c r="C357" s="2">
        <v>45988.177083333336</v>
      </c>
      <c r="D357">
        <v>0.6</v>
      </c>
      <c r="E357">
        <v>0</v>
      </c>
      <c r="F357">
        <v>3.9</v>
      </c>
      <c r="G357">
        <v>7.2</v>
      </c>
      <c r="H357">
        <v>0</v>
      </c>
      <c r="I357" s="2">
        <v>45988.21875</v>
      </c>
    </row>
    <row r="358" spans="1:9" x14ac:dyDescent="0.35">
      <c r="A358" s="1" t="s">
        <v>550</v>
      </c>
      <c r="B358" s="1" t="s">
        <v>194</v>
      </c>
      <c r="C358" s="2">
        <v>45988.1875</v>
      </c>
      <c r="D358">
        <v>0.5</v>
      </c>
      <c r="E358">
        <v>0</v>
      </c>
      <c r="F358">
        <v>3.9</v>
      </c>
      <c r="G358">
        <v>7.2</v>
      </c>
      <c r="H358">
        <v>0</v>
      </c>
      <c r="I358" s="2">
        <v>45988.229166666664</v>
      </c>
    </row>
    <row r="359" spans="1:9" x14ac:dyDescent="0.35">
      <c r="A359" s="1" t="s">
        <v>551</v>
      </c>
      <c r="B359" s="1" t="s">
        <v>194</v>
      </c>
      <c r="C359" s="2">
        <v>45988.197916666664</v>
      </c>
      <c r="D359">
        <v>0.5</v>
      </c>
      <c r="E359">
        <v>0</v>
      </c>
      <c r="F359">
        <v>3.8</v>
      </c>
      <c r="G359">
        <v>6.8</v>
      </c>
      <c r="H359">
        <v>0</v>
      </c>
      <c r="I359" s="2">
        <v>45988.239583333336</v>
      </c>
    </row>
    <row r="360" spans="1:9" x14ac:dyDescent="0.35">
      <c r="A360" s="1" t="s">
        <v>552</v>
      </c>
      <c r="B360" s="1" t="s">
        <v>194</v>
      </c>
      <c r="C360" s="2">
        <v>45988.208333333336</v>
      </c>
      <c r="D360">
        <v>0.4</v>
      </c>
      <c r="E360">
        <v>0</v>
      </c>
      <c r="F360">
        <v>3.8</v>
      </c>
      <c r="G360">
        <v>6.8</v>
      </c>
      <c r="H360">
        <v>0</v>
      </c>
      <c r="I360" s="2">
        <v>45988.25</v>
      </c>
    </row>
    <row r="361" spans="1:9" x14ac:dyDescent="0.35">
      <c r="A361" s="1" t="s">
        <v>553</v>
      </c>
      <c r="B361" s="1" t="s">
        <v>194</v>
      </c>
      <c r="C361" s="2">
        <v>45988.21875</v>
      </c>
      <c r="D361">
        <v>0.4</v>
      </c>
      <c r="E361">
        <v>0</v>
      </c>
      <c r="F361">
        <v>3.8</v>
      </c>
      <c r="G361">
        <v>6.8</v>
      </c>
      <c r="H361">
        <v>0</v>
      </c>
      <c r="I361" s="2">
        <v>45988.260416666664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C4DA-CFEA-4236-8A74-0524FEA4FF02}">
  <dimension ref="A1:R63"/>
  <sheetViews>
    <sheetView tabSelected="1" topLeftCell="A4" workbookViewId="0">
      <selection activeCell="E12" sqref="E12"/>
    </sheetView>
  </sheetViews>
  <sheetFormatPr defaultRowHeight="14.5" x14ac:dyDescent="0.35"/>
  <sheetData>
    <row r="1" spans="1:18" x14ac:dyDescent="0.35">
      <c r="C1" s="3" t="s">
        <v>559</v>
      </c>
      <c r="D1" s="11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8">
        <v>8</v>
      </c>
    </row>
    <row r="2" spans="1:18" x14ac:dyDescent="0.35">
      <c r="D2" s="12">
        <v>0</v>
      </c>
      <c r="E2" s="9">
        <v>10</v>
      </c>
      <c r="F2" s="9">
        <v>15</v>
      </c>
      <c r="G2" s="9">
        <v>25</v>
      </c>
      <c r="H2" s="9">
        <v>25</v>
      </c>
      <c r="I2" s="9">
        <v>15</v>
      </c>
      <c r="J2" s="9">
        <v>10</v>
      </c>
      <c r="K2" s="10">
        <v>0</v>
      </c>
    </row>
    <row r="3" spans="1:18" x14ac:dyDescent="0.35">
      <c r="D3" s="12">
        <v>1</v>
      </c>
      <c r="E3" s="9">
        <v>5</v>
      </c>
      <c r="F3" s="9">
        <v>15</v>
      </c>
      <c r="G3" s="9">
        <v>30</v>
      </c>
      <c r="H3" s="9">
        <v>30</v>
      </c>
      <c r="I3" s="9">
        <v>15</v>
      </c>
      <c r="J3" s="9">
        <v>5</v>
      </c>
      <c r="K3" s="10">
        <v>0</v>
      </c>
    </row>
    <row r="4" spans="1:18" x14ac:dyDescent="0.35">
      <c r="D4" s="12">
        <v>2</v>
      </c>
      <c r="E4" s="9">
        <v>2</v>
      </c>
      <c r="F4" s="9">
        <v>8</v>
      </c>
      <c r="G4" s="9">
        <v>40</v>
      </c>
      <c r="H4" s="9">
        <v>40</v>
      </c>
      <c r="I4" s="9">
        <v>8</v>
      </c>
      <c r="J4" s="9">
        <v>2</v>
      </c>
      <c r="K4" s="10">
        <v>0</v>
      </c>
    </row>
    <row r="5" spans="1:18" x14ac:dyDescent="0.35">
      <c r="D5" s="13">
        <v>3</v>
      </c>
      <c r="E5" s="3">
        <v>1</v>
      </c>
      <c r="F5" s="3">
        <v>6</v>
      </c>
      <c r="G5" s="3">
        <v>43</v>
      </c>
      <c r="H5" s="3">
        <v>43</v>
      </c>
      <c r="I5" s="3">
        <v>6</v>
      </c>
      <c r="J5" s="3">
        <v>1</v>
      </c>
      <c r="K5" s="5">
        <v>0</v>
      </c>
    </row>
    <row r="7" spans="1:18" x14ac:dyDescent="0.35">
      <c r="D7" s="6" t="s">
        <v>557</v>
      </c>
      <c r="E7" s="7">
        <v>-3</v>
      </c>
      <c r="F7" s="7">
        <v>-2</v>
      </c>
      <c r="G7" s="7">
        <v>-1</v>
      </c>
      <c r="H7" s="7">
        <v>0</v>
      </c>
      <c r="I7" s="7">
        <v>1</v>
      </c>
      <c r="J7" s="7">
        <v>2</v>
      </c>
      <c r="K7" s="8">
        <v>3</v>
      </c>
    </row>
    <row r="8" spans="1:18" x14ac:dyDescent="0.35">
      <c r="A8" s="11" t="s">
        <v>560</v>
      </c>
      <c r="B8" s="14">
        <v>0</v>
      </c>
      <c r="D8" s="4" t="s">
        <v>558</v>
      </c>
      <c r="E8" s="3">
        <f>VLOOKUP($B$8,$D$2:$K$5,E$1)</f>
        <v>10</v>
      </c>
      <c r="F8" s="3">
        <f t="shared" ref="F8:K8" si="0">VLOOKUP($B$8,$D$2:$K$5,F$1)</f>
        <v>15</v>
      </c>
      <c r="G8" s="3">
        <f t="shared" si="0"/>
        <v>25</v>
      </c>
      <c r="H8" s="3">
        <f t="shared" si="0"/>
        <v>25</v>
      </c>
      <c r="I8" s="3">
        <f t="shared" si="0"/>
        <v>15</v>
      </c>
      <c r="J8" s="3">
        <f t="shared" si="0"/>
        <v>10</v>
      </c>
      <c r="K8" s="5">
        <f t="shared" si="0"/>
        <v>0</v>
      </c>
      <c r="M8">
        <f>SUM(E8:K8)</f>
        <v>100</v>
      </c>
    </row>
    <row r="11" spans="1:18" x14ac:dyDescent="0.35">
      <c r="P11" t="s">
        <v>554</v>
      </c>
      <c r="Q11" t="s">
        <v>555</v>
      </c>
      <c r="R11" t="s">
        <v>556</v>
      </c>
    </row>
    <row r="12" spans="1:18" x14ac:dyDescent="0.35">
      <c r="A12">
        <v>0</v>
      </c>
      <c r="B12">
        <v>1</v>
      </c>
      <c r="C12">
        <f>A12</f>
        <v>0</v>
      </c>
      <c r="P12">
        <f t="shared" ref="P12:P14" si="1">B12</f>
        <v>1</v>
      </c>
      <c r="Q12">
        <f t="shared" ref="Q12:Q14" si="2">C12</f>
        <v>0</v>
      </c>
      <c r="R12">
        <f t="shared" ref="R12:R14" si="3">M12</f>
        <v>0</v>
      </c>
    </row>
    <row r="13" spans="1:18" x14ac:dyDescent="0.35">
      <c r="B13">
        <v>2</v>
      </c>
      <c r="C13">
        <f>A12</f>
        <v>0</v>
      </c>
      <c r="P13">
        <f t="shared" si="1"/>
        <v>2</v>
      </c>
      <c r="Q13">
        <f t="shared" si="2"/>
        <v>0</v>
      </c>
      <c r="R13">
        <f t="shared" si="3"/>
        <v>0</v>
      </c>
    </row>
    <row r="14" spans="1:18" x14ac:dyDescent="0.35">
      <c r="B14">
        <v>3</v>
      </c>
      <c r="C14">
        <f>A12</f>
        <v>0</v>
      </c>
      <c r="P14">
        <f t="shared" si="1"/>
        <v>3</v>
      </c>
      <c r="Q14">
        <f t="shared" si="2"/>
        <v>0</v>
      </c>
      <c r="R14">
        <f t="shared" si="3"/>
        <v>0</v>
      </c>
    </row>
    <row r="15" spans="1:18" x14ac:dyDescent="0.35">
      <c r="B15">
        <v>4</v>
      </c>
      <c r="C15">
        <f>A12</f>
        <v>0</v>
      </c>
      <c r="E15">
        <f>VLOOKUP($B15+E$7,$B$12:$C$63,2,FALSE)*E$8</f>
        <v>0</v>
      </c>
      <c r="F15">
        <f>VLOOKUP($B15+F$7,$B$12:$C$63,2,FALSE)*F$8</f>
        <v>0</v>
      </c>
      <c r="G15">
        <f>VLOOKUP($B15+G$7,$B$12:$C$63,2,FALSE)*G$8</f>
        <v>0</v>
      </c>
      <c r="H15">
        <f>VLOOKUP($B15+H$7,$B$12:$C$63,2,FALSE)*H$8</f>
        <v>0</v>
      </c>
      <c r="I15">
        <f>VLOOKUP($B15+I$7,$B$12:$C$63,2,FALSE)*I$8</f>
        <v>0</v>
      </c>
      <c r="J15">
        <f>VLOOKUP($B15+J$7,$B$12:$C$63,2,FALSE)*J$8</f>
        <v>0</v>
      </c>
      <c r="K15">
        <f>VLOOKUP($B15+K$7,$B$12:$C$63,2,FALSE)*K$8</f>
        <v>0</v>
      </c>
      <c r="M15">
        <f>SUM(E15:K15)/M$8</f>
        <v>0</v>
      </c>
      <c r="P15">
        <f>B15</f>
        <v>4</v>
      </c>
      <c r="Q15">
        <f>C15</f>
        <v>0</v>
      </c>
      <c r="R15">
        <f>M15</f>
        <v>0</v>
      </c>
    </row>
    <row r="16" spans="1:18" x14ac:dyDescent="0.35">
      <c r="A16">
        <v>0</v>
      </c>
      <c r="B16">
        <v>5</v>
      </c>
      <c r="C16">
        <f>A16</f>
        <v>0</v>
      </c>
      <c r="E16">
        <f>VLOOKUP($B16+E$7,$B$12:$C$63,2,FALSE)*E$8</f>
        <v>0</v>
      </c>
      <c r="F16">
        <f>VLOOKUP($B16+F$7,$B$12:$C$63,2,FALSE)*F$8</f>
        <v>0</v>
      </c>
      <c r="G16">
        <f>VLOOKUP($B16+G$7,$B$12:$C$63,2,FALSE)*G$8</f>
        <v>0</v>
      </c>
      <c r="H16">
        <f>VLOOKUP($B16+H$7,$B$12:$C$63,2,FALSE)*H$8</f>
        <v>0</v>
      </c>
      <c r="I16">
        <f>VLOOKUP($B16+I$7,$B$12:$C$63,2,FALSE)*I$8</f>
        <v>0</v>
      </c>
      <c r="J16">
        <f>VLOOKUP($B16+J$7,$B$12:$C$63,2,FALSE)*J$8</f>
        <v>0</v>
      </c>
      <c r="K16">
        <f>VLOOKUP($B16+K$7,$B$12:$C$63,2,FALSE)*K$8</f>
        <v>0</v>
      </c>
      <c r="M16">
        <f>SUM(E16:K16)/M$8</f>
        <v>0</v>
      </c>
      <c r="P16">
        <f t="shared" ref="P16:P60" si="4">B16</f>
        <v>5</v>
      </c>
      <c r="Q16">
        <f t="shared" ref="Q16:Q60" si="5">C16</f>
        <v>0</v>
      </c>
      <c r="R16">
        <f t="shared" ref="R16:R60" si="6">M16</f>
        <v>0</v>
      </c>
    </row>
    <row r="17" spans="1:18" x14ac:dyDescent="0.35">
      <c r="B17">
        <v>6</v>
      </c>
      <c r="C17">
        <f>A16</f>
        <v>0</v>
      </c>
      <c r="E17">
        <f>VLOOKUP($B17+E$7,$B$12:$C$63,2,FALSE)*E$8</f>
        <v>0</v>
      </c>
      <c r="F17">
        <f>VLOOKUP($B17+F$7,$B$12:$C$63,2,FALSE)*F$8</f>
        <v>0</v>
      </c>
      <c r="G17">
        <f>VLOOKUP($B17+G$7,$B$12:$C$63,2,FALSE)*G$8</f>
        <v>0</v>
      </c>
      <c r="H17">
        <f>VLOOKUP($B17+H$7,$B$12:$C$63,2,FALSE)*H$8</f>
        <v>0</v>
      </c>
      <c r="I17">
        <f>VLOOKUP($B17+I$7,$B$12:$C$63,2,FALSE)*I$8</f>
        <v>0</v>
      </c>
      <c r="J17">
        <f>VLOOKUP($B17+J$7,$B$12:$C$63,2,FALSE)*J$8</f>
        <v>0</v>
      </c>
      <c r="K17">
        <f>VLOOKUP($B17+K$7,$B$12:$C$63,2,FALSE)*K$8</f>
        <v>0</v>
      </c>
      <c r="M17">
        <f>SUM(E17:K17)/M$8</f>
        <v>0</v>
      </c>
      <c r="P17">
        <f t="shared" si="4"/>
        <v>6</v>
      </c>
      <c r="Q17">
        <f t="shared" si="5"/>
        <v>0</v>
      </c>
      <c r="R17">
        <f t="shared" si="6"/>
        <v>0</v>
      </c>
    </row>
    <row r="18" spans="1:18" x14ac:dyDescent="0.35">
      <c r="B18">
        <v>7</v>
      </c>
      <c r="C18">
        <f>A16</f>
        <v>0</v>
      </c>
      <c r="E18">
        <f>VLOOKUP($B18+E$7,$B$12:$C$63,2,FALSE)*E$8</f>
        <v>0</v>
      </c>
      <c r="F18">
        <f>VLOOKUP($B18+F$7,$B$12:$C$63,2,FALSE)*F$8</f>
        <v>0</v>
      </c>
      <c r="G18">
        <f>VLOOKUP($B18+G$7,$B$12:$C$63,2,FALSE)*G$8</f>
        <v>0</v>
      </c>
      <c r="H18">
        <f>VLOOKUP($B18+H$7,$B$12:$C$63,2,FALSE)*H$8</f>
        <v>0</v>
      </c>
      <c r="I18">
        <f>VLOOKUP($B18+I$7,$B$12:$C$63,2,FALSE)*I$8</f>
        <v>0</v>
      </c>
      <c r="J18">
        <f>VLOOKUP($B18+J$7,$B$12:$C$63,2,FALSE)*J$8</f>
        <v>400</v>
      </c>
      <c r="K18">
        <f>VLOOKUP($B18+K$7,$B$12:$C$63,2,FALSE)*K$8</f>
        <v>0</v>
      </c>
      <c r="M18">
        <f>SUM(E18:K18)/M$8</f>
        <v>4</v>
      </c>
      <c r="P18">
        <f t="shared" si="4"/>
        <v>7</v>
      </c>
      <c r="Q18">
        <f t="shared" si="5"/>
        <v>0</v>
      </c>
      <c r="R18">
        <f t="shared" si="6"/>
        <v>4</v>
      </c>
    </row>
    <row r="19" spans="1:18" x14ac:dyDescent="0.35">
      <c r="B19">
        <v>8</v>
      </c>
      <c r="C19">
        <f>A16</f>
        <v>0</v>
      </c>
      <c r="E19">
        <f>VLOOKUP($B19+E$7,$B$12:$C$63,2,FALSE)*E$8</f>
        <v>0</v>
      </c>
      <c r="F19">
        <f>VLOOKUP($B19+F$7,$B$12:$C$63,2,FALSE)*F$8</f>
        <v>0</v>
      </c>
      <c r="G19">
        <f>VLOOKUP($B19+G$7,$B$12:$C$63,2,FALSE)*G$8</f>
        <v>0</v>
      </c>
      <c r="H19">
        <f>VLOOKUP($B19+H$7,$B$12:$C$63,2,FALSE)*H$8</f>
        <v>0</v>
      </c>
      <c r="I19">
        <f>VLOOKUP($B19+I$7,$B$12:$C$63,2,FALSE)*I$8</f>
        <v>600</v>
      </c>
      <c r="J19">
        <f>VLOOKUP($B19+J$7,$B$12:$C$63,2,FALSE)*J$8</f>
        <v>400</v>
      </c>
      <c r="K19">
        <f>VLOOKUP($B19+K$7,$B$12:$C$63,2,FALSE)*K$8</f>
        <v>0</v>
      </c>
      <c r="M19">
        <f>SUM(E19:K19)/M$8</f>
        <v>10</v>
      </c>
      <c r="P19">
        <f t="shared" si="4"/>
        <v>8</v>
      </c>
      <c r="Q19">
        <f t="shared" si="5"/>
        <v>0</v>
      </c>
      <c r="R19">
        <f t="shared" si="6"/>
        <v>10</v>
      </c>
    </row>
    <row r="20" spans="1:18" x14ac:dyDescent="0.35">
      <c r="A20">
        <v>40</v>
      </c>
      <c r="B20">
        <v>9</v>
      </c>
      <c r="C20">
        <f>A20</f>
        <v>40</v>
      </c>
      <c r="E20">
        <f>VLOOKUP($B20+E$7,$B$12:$C$63,2,FALSE)*E$8</f>
        <v>0</v>
      </c>
      <c r="F20">
        <f>VLOOKUP($B20+F$7,$B$12:$C$63,2,FALSE)*F$8</f>
        <v>0</v>
      </c>
      <c r="G20">
        <f>VLOOKUP($B20+G$7,$B$12:$C$63,2,FALSE)*G$8</f>
        <v>0</v>
      </c>
      <c r="H20">
        <f>VLOOKUP($B20+H$7,$B$12:$C$63,2,FALSE)*H$8</f>
        <v>1000</v>
      </c>
      <c r="I20">
        <f>VLOOKUP($B20+I$7,$B$12:$C$63,2,FALSE)*I$8</f>
        <v>600</v>
      </c>
      <c r="J20">
        <f>VLOOKUP($B20+J$7,$B$12:$C$63,2,FALSE)*J$8</f>
        <v>400</v>
      </c>
      <c r="K20">
        <f>VLOOKUP($B20+K$7,$B$12:$C$63,2,FALSE)*K$8</f>
        <v>0</v>
      </c>
      <c r="M20">
        <f>SUM(E20:K20)/M$8</f>
        <v>20</v>
      </c>
      <c r="P20">
        <f t="shared" si="4"/>
        <v>9</v>
      </c>
      <c r="Q20">
        <f t="shared" si="5"/>
        <v>40</v>
      </c>
      <c r="R20">
        <f t="shared" si="6"/>
        <v>20</v>
      </c>
    </row>
    <row r="21" spans="1:18" x14ac:dyDescent="0.35">
      <c r="B21">
        <v>10</v>
      </c>
      <c r="C21">
        <f>A20</f>
        <v>40</v>
      </c>
      <c r="E21">
        <f>VLOOKUP($B21+E$7,$B$12:$C$63,2,FALSE)*E$8</f>
        <v>0</v>
      </c>
      <c r="F21">
        <f>VLOOKUP($B21+F$7,$B$12:$C$63,2,FALSE)*F$8</f>
        <v>0</v>
      </c>
      <c r="G21">
        <f>VLOOKUP($B21+G$7,$B$12:$C$63,2,FALSE)*G$8</f>
        <v>1000</v>
      </c>
      <c r="H21">
        <f>VLOOKUP($B21+H$7,$B$12:$C$63,2,FALSE)*H$8</f>
        <v>1000</v>
      </c>
      <c r="I21">
        <f>VLOOKUP($B21+I$7,$B$12:$C$63,2,FALSE)*I$8</f>
        <v>600</v>
      </c>
      <c r="J21">
        <f>VLOOKUP($B21+J$7,$B$12:$C$63,2,FALSE)*J$8</f>
        <v>400</v>
      </c>
      <c r="K21">
        <f>VLOOKUP($B21+K$7,$B$12:$C$63,2,FALSE)*K$8</f>
        <v>0</v>
      </c>
      <c r="M21">
        <f>SUM(E21:K21)/M$8</f>
        <v>30</v>
      </c>
      <c r="P21">
        <f t="shared" si="4"/>
        <v>10</v>
      </c>
      <c r="Q21">
        <f t="shared" si="5"/>
        <v>40</v>
      </c>
      <c r="R21">
        <f t="shared" si="6"/>
        <v>30</v>
      </c>
    </row>
    <row r="22" spans="1:18" x14ac:dyDescent="0.35">
      <c r="B22">
        <v>11</v>
      </c>
      <c r="C22">
        <f>A20</f>
        <v>40</v>
      </c>
      <c r="E22">
        <f>VLOOKUP($B22+E$7,$B$12:$C$63,2,FALSE)*E$8</f>
        <v>0</v>
      </c>
      <c r="F22">
        <f>VLOOKUP($B22+F$7,$B$12:$C$63,2,FALSE)*F$8</f>
        <v>600</v>
      </c>
      <c r="G22">
        <f>VLOOKUP($B22+G$7,$B$12:$C$63,2,FALSE)*G$8</f>
        <v>1000</v>
      </c>
      <c r="H22">
        <f>VLOOKUP($B22+H$7,$B$12:$C$63,2,FALSE)*H$8</f>
        <v>1000</v>
      </c>
      <c r="I22">
        <f>VLOOKUP($B22+I$7,$B$12:$C$63,2,FALSE)*I$8</f>
        <v>600</v>
      </c>
      <c r="J22">
        <f>VLOOKUP($B22+J$7,$B$12:$C$63,2,FALSE)*J$8</f>
        <v>1000</v>
      </c>
      <c r="K22">
        <f>VLOOKUP($B22+K$7,$B$12:$C$63,2,FALSE)*K$8</f>
        <v>0</v>
      </c>
      <c r="M22">
        <f>SUM(E22:K22)/M$8</f>
        <v>42</v>
      </c>
      <c r="P22">
        <f t="shared" si="4"/>
        <v>11</v>
      </c>
      <c r="Q22">
        <f t="shared" si="5"/>
        <v>40</v>
      </c>
      <c r="R22">
        <f t="shared" si="6"/>
        <v>42</v>
      </c>
    </row>
    <row r="23" spans="1:18" x14ac:dyDescent="0.35">
      <c r="B23">
        <v>12</v>
      </c>
      <c r="C23">
        <f>A20</f>
        <v>40</v>
      </c>
      <c r="E23">
        <f>VLOOKUP($B23+E$7,$B$12:$C$63,2,FALSE)*E$8</f>
        <v>400</v>
      </c>
      <c r="F23">
        <f>VLOOKUP($B23+F$7,$B$12:$C$63,2,FALSE)*F$8</f>
        <v>600</v>
      </c>
      <c r="G23">
        <f>VLOOKUP($B23+G$7,$B$12:$C$63,2,FALSE)*G$8</f>
        <v>1000</v>
      </c>
      <c r="H23">
        <f>VLOOKUP($B23+H$7,$B$12:$C$63,2,FALSE)*H$8</f>
        <v>1000</v>
      </c>
      <c r="I23">
        <f>VLOOKUP($B23+I$7,$B$12:$C$63,2,FALSE)*I$8</f>
        <v>1500</v>
      </c>
      <c r="J23">
        <f>VLOOKUP($B23+J$7,$B$12:$C$63,2,FALSE)*J$8</f>
        <v>1000</v>
      </c>
      <c r="K23">
        <f>VLOOKUP($B23+K$7,$B$12:$C$63,2,FALSE)*K$8</f>
        <v>0</v>
      </c>
      <c r="M23">
        <f>SUM(E23:K23)/M$8</f>
        <v>55</v>
      </c>
      <c r="P23">
        <f t="shared" si="4"/>
        <v>12</v>
      </c>
      <c r="Q23">
        <f t="shared" si="5"/>
        <v>40</v>
      </c>
      <c r="R23">
        <f t="shared" si="6"/>
        <v>55</v>
      </c>
    </row>
    <row r="24" spans="1:18" x14ac:dyDescent="0.35">
      <c r="A24">
        <v>100</v>
      </c>
      <c r="B24">
        <v>13</v>
      </c>
      <c r="C24">
        <f>A24</f>
        <v>100</v>
      </c>
      <c r="E24">
        <f>VLOOKUP($B24+E$7,$B$12:$C$63,2,FALSE)*E$8</f>
        <v>400</v>
      </c>
      <c r="F24">
        <f>VLOOKUP($B24+F$7,$B$12:$C$63,2,FALSE)*F$8</f>
        <v>600</v>
      </c>
      <c r="G24">
        <f>VLOOKUP($B24+G$7,$B$12:$C$63,2,FALSE)*G$8</f>
        <v>1000</v>
      </c>
      <c r="H24">
        <f>VLOOKUP($B24+H$7,$B$12:$C$63,2,FALSE)*H$8</f>
        <v>2500</v>
      </c>
      <c r="I24">
        <f>VLOOKUP($B24+I$7,$B$12:$C$63,2,FALSE)*I$8</f>
        <v>1500</v>
      </c>
      <c r="J24">
        <f>VLOOKUP($B24+J$7,$B$12:$C$63,2,FALSE)*J$8</f>
        <v>1000</v>
      </c>
      <c r="K24">
        <f>VLOOKUP($B24+K$7,$B$12:$C$63,2,FALSE)*K$8</f>
        <v>0</v>
      </c>
      <c r="M24">
        <f>SUM(E24:K24)/M$8</f>
        <v>70</v>
      </c>
      <c r="P24">
        <f t="shared" si="4"/>
        <v>13</v>
      </c>
      <c r="Q24">
        <f t="shared" si="5"/>
        <v>100</v>
      </c>
      <c r="R24">
        <f t="shared" si="6"/>
        <v>70</v>
      </c>
    </row>
    <row r="25" spans="1:18" x14ac:dyDescent="0.35">
      <c r="B25">
        <v>14</v>
      </c>
      <c r="C25">
        <f>A24</f>
        <v>100</v>
      </c>
      <c r="E25">
        <f>VLOOKUP($B25+E$7,$B$12:$C$63,2,FALSE)*E$8</f>
        <v>400</v>
      </c>
      <c r="F25">
        <f>VLOOKUP($B25+F$7,$B$12:$C$63,2,FALSE)*F$8</f>
        <v>600</v>
      </c>
      <c r="G25">
        <f>VLOOKUP($B25+G$7,$B$12:$C$63,2,FALSE)*G$8</f>
        <v>2500</v>
      </c>
      <c r="H25">
        <f>VLOOKUP($B25+H$7,$B$12:$C$63,2,FALSE)*H$8</f>
        <v>2500</v>
      </c>
      <c r="I25">
        <f>VLOOKUP($B25+I$7,$B$12:$C$63,2,FALSE)*I$8</f>
        <v>1500</v>
      </c>
      <c r="J25">
        <f>VLOOKUP($B25+J$7,$B$12:$C$63,2,FALSE)*J$8</f>
        <v>1000</v>
      </c>
      <c r="K25">
        <f>VLOOKUP($B25+K$7,$B$12:$C$63,2,FALSE)*K$8</f>
        <v>0</v>
      </c>
      <c r="M25">
        <f>SUM(E25:K25)/M$8</f>
        <v>85</v>
      </c>
      <c r="P25">
        <f t="shared" si="4"/>
        <v>14</v>
      </c>
      <c r="Q25">
        <f t="shared" si="5"/>
        <v>100</v>
      </c>
      <c r="R25">
        <f t="shared" si="6"/>
        <v>85</v>
      </c>
    </row>
    <row r="26" spans="1:18" x14ac:dyDescent="0.35">
      <c r="B26">
        <v>15</v>
      </c>
      <c r="C26">
        <f>A24</f>
        <v>100</v>
      </c>
      <c r="E26">
        <f>VLOOKUP($B26+E$7,$B$12:$C$63,2,FALSE)*E$8</f>
        <v>400</v>
      </c>
      <c r="F26">
        <f>VLOOKUP($B26+F$7,$B$12:$C$63,2,FALSE)*F$8</f>
        <v>1500</v>
      </c>
      <c r="G26">
        <f>VLOOKUP($B26+G$7,$B$12:$C$63,2,FALSE)*G$8</f>
        <v>2500</v>
      </c>
      <c r="H26">
        <f>VLOOKUP($B26+H$7,$B$12:$C$63,2,FALSE)*H$8</f>
        <v>2500</v>
      </c>
      <c r="I26">
        <f>VLOOKUP($B26+I$7,$B$12:$C$63,2,FALSE)*I$8</f>
        <v>1500</v>
      </c>
      <c r="J26">
        <f>VLOOKUP($B26+J$7,$B$12:$C$63,2,FALSE)*J$8</f>
        <v>1800</v>
      </c>
      <c r="K26">
        <f>VLOOKUP($B26+K$7,$B$12:$C$63,2,FALSE)*K$8</f>
        <v>0</v>
      </c>
      <c r="M26">
        <f>SUM(E26:K26)/M$8</f>
        <v>102</v>
      </c>
      <c r="P26">
        <f t="shared" si="4"/>
        <v>15</v>
      </c>
      <c r="Q26">
        <f t="shared" si="5"/>
        <v>100</v>
      </c>
      <c r="R26">
        <f t="shared" si="6"/>
        <v>102</v>
      </c>
    </row>
    <row r="27" spans="1:18" x14ac:dyDescent="0.35">
      <c r="B27">
        <v>16</v>
      </c>
      <c r="C27">
        <f>A24</f>
        <v>100</v>
      </c>
      <c r="E27">
        <f>VLOOKUP($B27+E$7,$B$12:$C$63,2,FALSE)*E$8</f>
        <v>1000</v>
      </c>
      <c r="F27">
        <f>VLOOKUP($B27+F$7,$B$12:$C$63,2,FALSE)*F$8</f>
        <v>1500</v>
      </c>
      <c r="G27">
        <f>VLOOKUP($B27+G$7,$B$12:$C$63,2,FALSE)*G$8</f>
        <v>2500</v>
      </c>
      <c r="H27">
        <f>VLOOKUP($B27+H$7,$B$12:$C$63,2,FALSE)*H$8</f>
        <v>2500</v>
      </c>
      <c r="I27">
        <f>VLOOKUP($B27+I$7,$B$12:$C$63,2,FALSE)*I$8</f>
        <v>2700</v>
      </c>
      <c r="J27">
        <f>VLOOKUP($B27+J$7,$B$12:$C$63,2,FALSE)*J$8</f>
        <v>1800</v>
      </c>
      <c r="K27">
        <f>VLOOKUP($B27+K$7,$B$12:$C$63,2,FALSE)*K$8</f>
        <v>0</v>
      </c>
      <c r="M27">
        <f>SUM(E27:K27)/M$8</f>
        <v>120</v>
      </c>
      <c r="P27">
        <f t="shared" si="4"/>
        <v>16</v>
      </c>
      <c r="Q27">
        <f t="shared" si="5"/>
        <v>100</v>
      </c>
      <c r="R27">
        <f t="shared" si="6"/>
        <v>120</v>
      </c>
    </row>
    <row r="28" spans="1:18" x14ac:dyDescent="0.35">
      <c r="A28">
        <v>180</v>
      </c>
      <c r="B28">
        <v>17</v>
      </c>
      <c r="C28">
        <f>A28</f>
        <v>180</v>
      </c>
      <c r="E28">
        <f>VLOOKUP($B28+E$7,$B$12:$C$63,2,FALSE)*E$8</f>
        <v>1000</v>
      </c>
      <c r="F28">
        <f>VLOOKUP($B28+F$7,$B$12:$C$63,2,FALSE)*F$8</f>
        <v>1500</v>
      </c>
      <c r="G28">
        <f>VLOOKUP($B28+G$7,$B$12:$C$63,2,FALSE)*G$8</f>
        <v>2500</v>
      </c>
      <c r="H28">
        <f>VLOOKUP($B28+H$7,$B$12:$C$63,2,FALSE)*H$8</f>
        <v>4500</v>
      </c>
      <c r="I28">
        <f>VLOOKUP($B28+I$7,$B$12:$C$63,2,FALSE)*I$8</f>
        <v>2700</v>
      </c>
      <c r="J28">
        <f>VLOOKUP($B28+J$7,$B$12:$C$63,2,FALSE)*J$8</f>
        <v>1800</v>
      </c>
      <c r="K28">
        <f>VLOOKUP($B28+K$7,$B$12:$C$63,2,FALSE)*K$8</f>
        <v>0</v>
      </c>
      <c r="M28">
        <f>SUM(E28:K28)/M$8</f>
        <v>140</v>
      </c>
      <c r="P28">
        <f t="shared" si="4"/>
        <v>17</v>
      </c>
      <c r="Q28">
        <f t="shared" si="5"/>
        <v>180</v>
      </c>
      <c r="R28">
        <f t="shared" si="6"/>
        <v>140</v>
      </c>
    </row>
    <row r="29" spans="1:18" x14ac:dyDescent="0.35">
      <c r="B29">
        <v>18</v>
      </c>
      <c r="C29">
        <f>A28</f>
        <v>180</v>
      </c>
      <c r="E29">
        <f>VLOOKUP($B29+E$7,$B$12:$C$63,2,FALSE)*E$8</f>
        <v>1000</v>
      </c>
      <c r="F29">
        <f>VLOOKUP($B29+F$7,$B$12:$C$63,2,FALSE)*F$8</f>
        <v>1500</v>
      </c>
      <c r="G29">
        <f>VLOOKUP($B29+G$7,$B$12:$C$63,2,FALSE)*G$8</f>
        <v>4500</v>
      </c>
      <c r="H29">
        <f>VLOOKUP($B29+H$7,$B$12:$C$63,2,FALSE)*H$8</f>
        <v>4500</v>
      </c>
      <c r="I29">
        <f>VLOOKUP($B29+I$7,$B$12:$C$63,2,FALSE)*I$8</f>
        <v>2700</v>
      </c>
      <c r="J29">
        <f>VLOOKUP($B29+J$7,$B$12:$C$63,2,FALSE)*J$8</f>
        <v>1800</v>
      </c>
      <c r="K29">
        <f>VLOOKUP($B29+K$7,$B$12:$C$63,2,FALSE)*K$8</f>
        <v>0</v>
      </c>
      <c r="M29">
        <f>SUM(E29:K29)/M$8</f>
        <v>160</v>
      </c>
      <c r="P29">
        <f t="shared" si="4"/>
        <v>18</v>
      </c>
      <c r="Q29">
        <f t="shared" si="5"/>
        <v>180</v>
      </c>
      <c r="R29">
        <f t="shared" si="6"/>
        <v>160</v>
      </c>
    </row>
    <row r="30" spans="1:18" x14ac:dyDescent="0.35">
      <c r="B30">
        <v>19</v>
      </c>
      <c r="C30">
        <f>A28</f>
        <v>180</v>
      </c>
      <c r="E30">
        <f>VLOOKUP($B30+E$7,$B$12:$C$63,2,FALSE)*E$8</f>
        <v>1000</v>
      </c>
      <c r="F30">
        <f>VLOOKUP($B30+F$7,$B$12:$C$63,2,FALSE)*F$8</f>
        <v>2700</v>
      </c>
      <c r="G30">
        <f>VLOOKUP($B30+G$7,$B$12:$C$63,2,FALSE)*G$8</f>
        <v>4500</v>
      </c>
      <c r="H30">
        <f>VLOOKUP($B30+H$7,$B$12:$C$63,2,FALSE)*H$8</f>
        <v>4500</v>
      </c>
      <c r="I30">
        <f>VLOOKUP($B30+I$7,$B$12:$C$63,2,FALSE)*I$8</f>
        <v>2700</v>
      </c>
      <c r="J30">
        <f>VLOOKUP($B30+J$7,$B$12:$C$63,2,FALSE)*J$8</f>
        <v>2500</v>
      </c>
      <c r="K30">
        <f>VLOOKUP($B30+K$7,$B$12:$C$63,2,FALSE)*K$8</f>
        <v>0</v>
      </c>
      <c r="M30">
        <f>SUM(E30:K30)/M$8</f>
        <v>179</v>
      </c>
      <c r="P30">
        <f t="shared" si="4"/>
        <v>19</v>
      </c>
      <c r="Q30">
        <f t="shared" si="5"/>
        <v>180</v>
      </c>
      <c r="R30">
        <f t="shared" si="6"/>
        <v>179</v>
      </c>
    </row>
    <row r="31" spans="1:18" x14ac:dyDescent="0.35">
      <c r="B31">
        <v>20</v>
      </c>
      <c r="C31">
        <f>A28</f>
        <v>180</v>
      </c>
      <c r="E31">
        <f>VLOOKUP($B31+E$7,$B$12:$C$63,2,FALSE)*E$8</f>
        <v>1800</v>
      </c>
      <c r="F31">
        <f>VLOOKUP($B31+F$7,$B$12:$C$63,2,FALSE)*F$8</f>
        <v>2700</v>
      </c>
      <c r="G31">
        <f>VLOOKUP($B31+G$7,$B$12:$C$63,2,FALSE)*G$8</f>
        <v>4500</v>
      </c>
      <c r="H31">
        <f>VLOOKUP($B31+H$7,$B$12:$C$63,2,FALSE)*H$8</f>
        <v>4500</v>
      </c>
      <c r="I31">
        <f>VLOOKUP($B31+I$7,$B$12:$C$63,2,FALSE)*I$8</f>
        <v>3750</v>
      </c>
      <c r="J31">
        <f>VLOOKUP($B31+J$7,$B$12:$C$63,2,FALSE)*J$8</f>
        <v>2500</v>
      </c>
      <c r="K31">
        <f>VLOOKUP($B31+K$7,$B$12:$C$63,2,FALSE)*K$8</f>
        <v>0</v>
      </c>
      <c r="M31">
        <f>SUM(E31:K31)/M$8</f>
        <v>197.5</v>
      </c>
      <c r="P31">
        <f t="shared" si="4"/>
        <v>20</v>
      </c>
      <c r="Q31">
        <f t="shared" si="5"/>
        <v>180</v>
      </c>
      <c r="R31">
        <f t="shared" si="6"/>
        <v>197.5</v>
      </c>
    </row>
    <row r="32" spans="1:18" x14ac:dyDescent="0.35">
      <c r="A32">
        <v>250</v>
      </c>
      <c r="B32">
        <v>21</v>
      </c>
      <c r="C32">
        <f>A32</f>
        <v>250</v>
      </c>
      <c r="E32">
        <f>VLOOKUP($B32+E$7,$B$12:$C$63,2,FALSE)*E$8</f>
        <v>1800</v>
      </c>
      <c r="F32">
        <f>VLOOKUP($B32+F$7,$B$12:$C$63,2,FALSE)*F$8</f>
        <v>2700</v>
      </c>
      <c r="G32">
        <f>VLOOKUP($B32+G$7,$B$12:$C$63,2,FALSE)*G$8</f>
        <v>4500</v>
      </c>
      <c r="H32">
        <f>VLOOKUP($B32+H$7,$B$12:$C$63,2,FALSE)*H$8</f>
        <v>6250</v>
      </c>
      <c r="I32">
        <f>VLOOKUP($B32+I$7,$B$12:$C$63,2,FALSE)*I$8</f>
        <v>3750</v>
      </c>
      <c r="J32">
        <f>VLOOKUP($B32+J$7,$B$12:$C$63,2,FALSE)*J$8</f>
        <v>2500</v>
      </c>
      <c r="K32">
        <f>VLOOKUP($B32+K$7,$B$12:$C$63,2,FALSE)*K$8</f>
        <v>0</v>
      </c>
      <c r="M32">
        <f>SUM(E32:K32)/M$8</f>
        <v>215</v>
      </c>
      <c r="P32">
        <f t="shared" si="4"/>
        <v>21</v>
      </c>
      <c r="Q32">
        <f t="shared" si="5"/>
        <v>250</v>
      </c>
      <c r="R32">
        <f t="shared" si="6"/>
        <v>215</v>
      </c>
    </row>
    <row r="33" spans="1:18" x14ac:dyDescent="0.35">
      <c r="B33">
        <v>22</v>
      </c>
      <c r="C33">
        <f>A32</f>
        <v>250</v>
      </c>
      <c r="E33">
        <f>VLOOKUP($B33+E$7,$B$12:$C$63,2,FALSE)*E$8</f>
        <v>1800</v>
      </c>
      <c r="F33">
        <f>VLOOKUP($B33+F$7,$B$12:$C$63,2,FALSE)*F$8</f>
        <v>2700</v>
      </c>
      <c r="G33">
        <f>VLOOKUP($B33+G$7,$B$12:$C$63,2,FALSE)*G$8</f>
        <v>6250</v>
      </c>
      <c r="H33">
        <f>VLOOKUP($B33+H$7,$B$12:$C$63,2,FALSE)*H$8</f>
        <v>6250</v>
      </c>
      <c r="I33">
        <f>VLOOKUP($B33+I$7,$B$12:$C$63,2,FALSE)*I$8</f>
        <v>3750</v>
      </c>
      <c r="J33">
        <f>VLOOKUP($B33+J$7,$B$12:$C$63,2,FALSE)*J$8</f>
        <v>2500</v>
      </c>
      <c r="K33">
        <f>VLOOKUP($B33+K$7,$B$12:$C$63,2,FALSE)*K$8</f>
        <v>0</v>
      </c>
      <c r="M33">
        <f>SUM(E33:K33)/M$8</f>
        <v>232.5</v>
      </c>
      <c r="P33">
        <f t="shared" si="4"/>
        <v>22</v>
      </c>
      <c r="Q33">
        <f t="shared" si="5"/>
        <v>250</v>
      </c>
      <c r="R33">
        <f t="shared" si="6"/>
        <v>232.5</v>
      </c>
    </row>
    <row r="34" spans="1:18" x14ac:dyDescent="0.35">
      <c r="B34">
        <v>23</v>
      </c>
      <c r="C34">
        <f>A32</f>
        <v>250</v>
      </c>
      <c r="E34">
        <f>VLOOKUP($B34+E$7,$B$12:$C$63,2,FALSE)*E$8</f>
        <v>1800</v>
      </c>
      <c r="F34">
        <f>VLOOKUP($B34+F$7,$B$12:$C$63,2,FALSE)*F$8</f>
        <v>3750</v>
      </c>
      <c r="G34">
        <f>VLOOKUP($B34+G$7,$B$12:$C$63,2,FALSE)*G$8</f>
        <v>6250</v>
      </c>
      <c r="H34">
        <f>VLOOKUP($B34+H$7,$B$12:$C$63,2,FALSE)*H$8</f>
        <v>6250</v>
      </c>
      <c r="I34">
        <f>VLOOKUP($B34+I$7,$B$12:$C$63,2,FALSE)*I$8</f>
        <v>3750</v>
      </c>
      <c r="J34">
        <f>VLOOKUP($B34+J$7,$B$12:$C$63,2,FALSE)*J$8</f>
        <v>2800</v>
      </c>
      <c r="K34">
        <f>VLOOKUP($B34+K$7,$B$12:$C$63,2,FALSE)*K$8</f>
        <v>0</v>
      </c>
      <c r="M34">
        <f>SUM(E34:K34)/M$8</f>
        <v>246</v>
      </c>
      <c r="P34">
        <f t="shared" si="4"/>
        <v>23</v>
      </c>
      <c r="Q34">
        <f t="shared" si="5"/>
        <v>250</v>
      </c>
      <c r="R34">
        <f t="shared" si="6"/>
        <v>246</v>
      </c>
    </row>
    <row r="35" spans="1:18" x14ac:dyDescent="0.35">
      <c r="B35">
        <v>24</v>
      </c>
      <c r="C35">
        <f>A32</f>
        <v>250</v>
      </c>
      <c r="E35">
        <f>VLOOKUP($B35+E$7,$B$12:$C$63,2,FALSE)*E$8</f>
        <v>2500</v>
      </c>
      <c r="F35">
        <f>VLOOKUP($B35+F$7,$B$12:$C$63,2,FALSE)*F$8</f>
        <v>3750</v>
      </c>
      <c r="G35">
        <f>VLOOKUP($B35+G$7,$B$12:$C$63,2,FALSE)*G$8</f>
        <v>6250</v>
      </c>
      <c r="H35">
        <f>VLOOKUP($B35+H$7,$B$12:$C$63,2,FALSE)*H$8</f>
        <v>6250</v>
      </c>
      <c r="I35">
        <f>VLOOKUP($B35+I$7,$B$12:$C$63,2,FALSE)*I$8</f>
        <v>4200</v>
      </c>
      <c r="J35">
        <f>VLOOKUP($B35+J$7,$B$12:$C$63,2,FALSE)*J$8</f>
        <v>2800</v>
      </c>
      <c r="K35">
        <f>VLOOKUP($B35+K$7,$B$12:$C$63,2,FALSE)*K$8</f>
        <v>0</v>
      </c>
      <c r="M35">
        <f>SUM(E35:K35)/M$8</f>
        <v>257.5</v>
      </c>
      <c r="P35">
        <f t="shared" si="4"/>
        <v>24</v>
      </c>
      <c r="Q35">
        <f t="shared" si="5"/>
        <v>250</v>
      </c>
      <c r="R35">
        <f t="shared" si="6"/>
        <v>257.5</v>
      </c>
    </row>
    <row r="36" spans="1:18" x14ac:dyDescent="0.35">
      <c r="A36">
        <v>280</v>
      </c>
      <c r="B36">
        <v>25</v>
      </c>
      <c r="C36">
        <f>A36</f>
        <v>280</v>
      </c>
      <c r="E36">
        <f>VLOOKUP($B36+E$7,$B$12:$C$63,2,FALSE)*E$8</f>
        <v>2500</v>
      </c>
      <c r="F36">
        <f>VLOOKUP($B36+F$7,$B$12:$C$63,2,FALSE)*F$8</f>
        <v>3750</v>
      </c>
      <c r="G36">
        <f>VLOOKUP($B36+G$7,$B$12:$C$63,2,FALSE)*G$8</f>
        <v>6250</v>
      </c>
      <c r="H36">
        <f>VLOOKUP($B36+H$7,$B$12:$C$63,2,FALSE)*H$8</f>
        <v>7000</v>
      </c>
      <c r="I36">
        <f>VLOOKUP($B36+I$7,$B$12:$C$63,2,FALSE)*I$8</f>
        <v>4200</v>
      </c>
      <c r="J36">
        <f>VLOOKUP($B36+J$7,$B$12:$C$63,2,FALSE)*J$8</f>
        <v>2800</v>
      </c>
      <c r="K36">
        <f>VLOOKUP($B36+K$7,$B$12:$C$63,2,FALSE)*K$8</f>
        <v>0</v>
      </c>
      <c r="M36">
        <f>SUM(E36:K36)/M$8</f>
        <v>265</v>
      </c>
      <c r="P36">
        <f t="shared" si="4"/>
        <v>25</v>
      </c>
      <c r="Q36">
        <f t="shared" si="5"/>
        <v>280</v>
      </c>
      <c r="R36">
        <f t="shared" si="6"/>
        <v>265</v>
      </c>
    </row>
    <row r="37" spans="1:18" x14ac:dyDescent="0.35">
      <c r="B37">
        <v>26</v>
      </c>
      <c r="C37">
        <f>A36</f>
        <v>280</v>
      </c>
      <c r="E37">
        <f>VLOOKUP($B37+E$7,$B$12:$C$63,2,FALSE)*E$8</f>
        <v>2500</v>
      </c>
      <c r="F37">
        <f>VLOOKUP($B37+F$7,$B$12:$C$63,2,FALSE)*F$8</f>
        <v>3750</v>
      </c>
      <c r="G37">
        <f>VLOOKUP($B37+G$7,$B$12:$C$63,2,FALSE)*G$8</f>
        <v>7000</v>
      </c>
      <c r="H37">
        <f>VLOOKUP($B37+H$7,$B$12:$C$63,2,FALSE)*H$8</f>
        <v>7000</v>
      </c>
      <c r="I37">
        <f>VLOOKUP($B37+I$7,$B$12:$C$63,2,FALSE)*I$8</f>
        <v>4200</v>
      </c>
      <c r="J37">
        <f>VLOOKUP($B37+J$7,$B$12:$C$63,2,FALSE)*J$8</f>
        <v>2800</v>
      </c>
      <c r="K37">
        <f>VLOOKUP($B37+K$7,$B$12:$C$63,2,FALSE)*K$8</f>
        <v>0</v>
      </c>
      <c r="M37">
        <f>SUM(E37:K37)/M$8</f>
        <v>272.5</v>
      </c>
      <c r="P37">
        <f t="shared" si="4"/>
        <v>26</v>
      </c>
      <c r="Q37">
        <f t="shared" si="5"/>
        <v>280</v>
      </c>
      <c r="R37">
        <f t="shared" si="6"/>
        <v>272.5</v>
      </c>
    </row>
    <row r="38" spans="1:18" x14ac:dyDescent="0.35">
      <c r="B38">
        <v>27</v>
      </c>
      <c r="C38">
        <f>A36</f>
        <v>280</v>
      </c>
      <c r="E38">
        <f>VLOOKUP($B38+E$7,$B$12:$C$63,2,FALSE)*E$8</f>
        <v>2500</v>
      </c>
      <c r="F38">
        <f>VLOOKUP($B38+F$7,$B$12:$C$63,2,FALSE)*F$8</f>
        <v>4200</v>
      </c>
      <c r="G38">
        <f>VLOOKUP($B38+G$7,$B$12:$C$63,2,FALSE)*G$8</f>
        <v>7000</v>
      </c>
      <c r="H38">
        <f>VLOOKUP($B38+H$7,$B$12:$C$63,2,FALSE)*H$8</f>
        <v>7000</v>
      </c>
      <c r="I38">
        <f>VLOOKUP($B38+I$7,$B$12:$C$63,2,FALSE)*I$8</f>
        <v>4200</v>
      </c>
      <c r="J38">
        <f>VLOOKUP($B38+J$7,$B$12:$C$63,2,FALSE)*J$8</f>
        <v>2700</v>
      </c>
      <c r="K38">
        <f>VLOOKUP($B38+K$7,$B$12:$C$63,2,FALSE)*K$8</f>
        <v>0</v>
      </c>
      <c r="M38">
        <f>SUM(E38:K38)/M$8</f>
        <v>276</v>
      </c>
      <c r="P38">
        <f t="shared" si="4"/>
        <v>27</v>
      </c>
      <c r="Q38">
        <f t="shared" si="5"/>
        <v>280</v>
      </c>
      <c r="R38">
        <f t="shared" si="6"/>
        <v>276</v>
      </c>
    </row>
    <row r="39" spans="1:18" x14ac:dyDescent="0.35">
      <c r="B39">
        <v>28</v>
      </c>
      <c r="C39">
        <f>A36</f>
        <v>280</v>
      </c>
      <c r="E39">
        <f>VLOOKUP($B39+E$7,$B$12:$C$63,2,FALSE)*E$8</f>
        <v>2800</v>
      </c>
      <c r="F39">
        <f>VLOOKUP($B39+F$7,$B$12:$C$63,2,FALSE)*F$8</f>
        <v>4200</v>
      </c>
      <c r="G39">
        <f>VLOOKUP($B39+G$7,$B$12:$C$63,2,FALSE)*G$8</f>
        <v>7000</v>
      </c>
      <c r="H39">
        <f>VLOOKUP($B39+H$7,$B$12:$C$63,2,FALSE)*H$8</f>
        <v>7000</v>
      </c>
      <c r="I39">
        <f>VLOOKUP($B39+I$7,$B$12:$C$63,2,FALSE)*I$8</f>
        <v>4050</v>
      </c>
      <c r="J39">
        <f>VLOOKUP($B39+J$7,$B$12:$C$63,2,FALSE)*J$8</f>
        <v>2700</v>
      </c>
      <c r="K39">
        <f>VLOOKUP($B39+K$7,$B$12:$C$63,2,FALSE)*K$8</f>
        <v>0</v>
      </c>
      <c r="M39">
        <f>SUM(E39:K39)/M$8</f>
        <v>277.5</v>
      </c>
      <c r="P39">
        <f t="shared" si="4"/>
        <v>28</v>
      </c>
      <c r="Q39">
        <f t="shared" si="5"/>
        <v>280</v>
      </c>
      <c r="R39">
        <f t="shared" si="6"/>
        <v>277.5</v>
      </c>
    </row>
    <row r="40" spans="1:18" x14ac:dyDescent="0.35">
      <c r="A40">
        <v>270</v>
      </c>
      <c r="B40">
        <v>29</v>
      </c>
      <c r="C40">
        <f>A40</f>
        <v>270</v>
      </c>
      <c r="E40">
        <f>VLOOKUP($B40+E$7,$B$12:$C$63,2,FALSE)*E$8</f>
        <v>2800</v>
      </c>
      <c r="F40">
        <f>VLOOKUP($B40+F$7,$B$12:$C$63,2,FALSE)*F$8</f>
        <v>4200</v>
      </c>
      <c r="G40">
        <f>VLOOKUP($B40+G$7,$B$12:$C$63,2,FALSE)*G$8</f>
        <v>7000</v>
      </c>
      <c r="H40">
        <f>VLOOKUP($B40+H$7,$B$12:$C$63,2,FALSE)*H$8</f>
        <v>6750</v>
      </c>
      <c r="I40">
        <f>VLOOKUP($B40+I$7,$B$12:$C$63,2,FALSE)*I$8</f>
        <v>4050</v>
      </c>
      <c r="J40">
        <f>VLOOKUP($B40+J$7,$B$12:$C$63,2,FALSE)*J$8</f>
        <v>2700</v>
      </c>
      <c r="K40">
        <f>VLOOKUP($B40+K$7,$B$12:$C$63,2,FALSE)*K$8</f>
        <v>0</v>
      </c>
      <c r="M40">
        <f>SUM(E40:K40)/M$8</f>
        <v>275</v>
      </c>
      <c r="P40">
        <f t="shared" si="4"/>
        <v>29</v>
      </c>
      <c r="Q40">
        <f t="shared" si="5"/>
        <v>270</v>
      </c>
      <c r="R40">
        <f t="shared" si="6"/>
        <v>275</v>
      </c>
    </row>
    <row r="41" spans="1:18" x14ac:dyDescent="0.35">
      <c r="B41">
        <v>30</v>
      </c>
      <c r="C41">
        <f>A40</f>
        <v>270</v>
      </c>
      <c r="E41">
        <f>VLOOKUP($B41+E$7,$B$12:$C$63,2,FALSE)*E$8</f>
        <v>2800</v>
      </c>
      <c r="F41">
        <f>VLOOKUP($B41+F$7,$B$12:$C$63,2,FALSE)*F$8</f>
        <v>4200</v>
      </c>
      <c r="G41">
        <f>VLOOKUP($B41+G$7,$B$12:$C$63,2,FALSE)*G$8</f>
        <v>6750</v>
      </c>
      <c r="H41">
        <f>VLOOKUP($B41+H$7,$B$12:$C$63,2,FALSE)*H$8</f>
        <v>6750</v>
      </c>
      <c r="I41">
        <f>VLOOKUP($B41+I$7,$B$12:$C$63,2,FALSE)*I$8</f>
        <v>4050</v>
      </c>
      <c r="J41">
        <f>VLOOKUP($B41+J$7,$B$12:$C$63,2,FALSE)*J$8</f>
        <v>2700</v>
      </c>
      <c r="K41">
        <f>VLOOKUP($B41+K$7,$B$12:$C$63,2,FALSE)*K$8</f>
        <v>0</v>
      </c>
      <c r="M41">
        <f>SUM(E41:K41)/M$8</f>
        <v>272.5</v>
      </c>
      <c r="P41">
        <f t="shared" si="4"/>
        <v>30</v>
      </c>
      <c r="Q41">
        <f t="shared" si="5"/>
        <v>270</v>
      </c>
      <c r="R41">
        <f t="shared" si="6"/>
        <v>272.5</v>
      </c>
    </row>
    <row r="42" spans="1:18" x14ac:dyDescent="0.35">
      <c r="B42">
        <v>31</v>
      </c>
      <c r="C42">
        <f>A40</f>
        <v>270</v>
      </c>
      <c r="E42">
        <f>VLOOKUP($B42+E$7,$B$12:$C$63,2,FALSE)*E$8</f>
        <v>2800</v>
      </c>
      <c r="F42">
        <f>VLOOKUP($B42+F$7,$B$12:$C$63,2,FALSE)*F$8</f>
        <v>4050</v>
      </c>
      <c r="G42">
        <f>VLOOKUP($B42+G$7,$B$12:$C$63,2,FALSE)*G$8</f>
        <v>6750</v>
      </c>
      <c r="H42">
        <f>VLOOKUP($B42+H$7,$B$12:$C$63,2,FALSE)*H$8</f>
        <v>6750</v>
      </c>
      <c r="I42">
        <f>VLOOKUP($B42+I$7,$B$12:$C$63,2,FALSE)*I$8</f>
        <v>4050</v>
      </c>
      <c r="J42">
        <f>VLOOKUP($B42+J$7,$B$12:$C$63,2,FALSE)*J$8</f>
        <v>2100</v>
      </c>
      <c r="K42">
        <f>VLOOKUP($B42+K$7,$B$12:$C$63,2,FALSE)*K$8</f>
        <v>0</v>
      </c>
      <c r="M42">
        <f>SUM(E42:K42)/M$8</f>
        <v>265</v>
      </c>
      <c r="P42">
        <f t="shared" si="4"/>
        <v>31</v>
      </c>
      <c r="Q42">
        <f t="shared" si="5"/>
        <v>270</v>
      </c>
      <c r="R42">
        <f t="shared" si="6"/>
        <v>265</v>
      </c>
    </row>
    <row r="43" spans="1:18" x14ac:dyDescent="0.35">
      <c r="B43">
        <v>32</v>
      </c>
      <c r="C43">
        <f>A40</f>
        <v>270</v>
      </c>
      <c r="E43">
        <f>VLOOKUP($B43+E$7,$B$12:$C$63,2,FALSE)*E$8</f>
        <v>2700</v>
      </c>
      <c r="F43">
        <f>VLOOKUP($B43+F$7,$B$12:$C$63,2,FALSE)*F$8</f>
        <v>4050</v>
      </c>
      <c r="G43">
        <f>VLOOKUP($B43+G$7,$B$12:$C$63,2,FALSE)*G$8</f>
        <v>6750</v>
      </c>
      <c r="H43">
        <f>VLOOKUP($B43+H$7,$B$12:$C$63,2,FALSE)*H$8</f>
        <v>6750</v>
      </c>
      <c r="I43">
        <f>VLOOKUP($B43+I$7,$B$12:$C$63,2,FALSE)*I$8</f>
        <v>3150</v>
      </c>
      <c r="J43">
        <f>VLOOKUP($B43+J$7,$B$12:$C$63,2,FALSE)*J$8</f>
        <v>2100</v>
      </c>
      <c r="K43">
        <f>VLOOKUP($B43+K$7,$B$12:$C$63,2,FALSE)*K$8</f>
        <v>0</v>
      </c>
      <c r="M43">
        <f>SUM(E43:K43)/M$8</f>
        <v>255</v>
      </c>
      <c r="P43">
        <f t="shared" si="4"/>
        <v>32</v>
      </c>
      <c r="Q43">
        <f t="shared" si="5"/>
        <v>270</v>
      </c>
      <c r="R43">
        <f t="shared" si="6"/>
        <v>255</v>
      </c>
    </row>
    <row r="44" spans="1:18" x14ac:dyDescent="0.35">
      <c r="A44">
        <v>210</v>
      </c>
      <c r="B44">
        <v>33</v>
      </c>
      <c r="C44">
        <f>A44</f>
        <v>210</v>
      </c>
      <c r="E44">
        <f>VLOOKUP($B44+E$7,$B$12:$C$63,2,FALSE)*E$8</f>
        <v>2700</v>
      </c>
      <c r="F44">
        <f>VLOOKUP($B44+F$7,$B$12:$C$63,2,FALSE)*F$8</f>
        <v>4050</v>
      </c>
      <c r="G44">
        <f>VLOOKUP($B44+G$7,$B$12:$C$63,2,FALSE)*G$8</f>
        <v>6750</v>
      </c>
      <c r="H44">
        <f>VLOOKUP($B44+H$7,$B$12:$C$63,2,FALSE)*H$8</f>
        <v>5250</v>
      </c>
      <c r="I44">
        <f>VLOOKUP($B44+I$7,$B$12:$C$63,2,FALSE)*I$8</f>
        <v>3150</v>
      </c>
      <c r="J44">
        <f>VLOOKUP($B44+J$7,$B$12:$C$63,2,FALSE)*J$8</f>
        <v>2100</v>
      </c>
      <c r="K44">
        <f>VLOOKUP($B44+K$7,$B$12:$C$63,2,FALSE)*K$8</f>
        <v>0</v>
      </c>
      <c r="M44">
        <f>SUM(E44:K44)/M$8</f>
        <v>240</v>
      </c>
      <c r="P44">
        <f t="shared" si="4"/>
        <v>33</v>
      </c>
      <c r="Q44">
        <f t="shared" si="5"/>
        <v>210</v>
      </c>
      <c r="R44">
        <f t="shared" si="6"/>
        <v>240</v>
      </c>
    </row>
    <row r="45" spans="1:18" x14ac:dyDescent="0.35">
      <c r="B45">
        <v>34</v>
      </c>
      <c r="C45">
        <f>A44</f>
        <v>210</v>
      </c>
      <c r="E45">
        <f>VLOOKUP($B45+E$7,$B$12:$C$63,2,FALSE)*E$8</f>
        <v>2700</v>
      </c>
      <c r="F45">
        <f>VLOOKUP($B45+F$7,$B$12:$C$63,2,FALSE)*F$8</f>
        <v>4050</v>
      </c>
      <c r="G45">
        <f>VLOOKUP($B45+G$7,$B$12:$C$63,2,FALSE)*G$8</f>
        <v>5250</v>
      </c>
      <c r="H45">
        <f>VLOOKUP($B45+H$7,$B$12:$C$63,2,FALSE)*H$8</f>
        <v>5250</v>
      </c>
      <c r="I45">
        <f>VLOOKUP($B45+I$7,$B$12:$C$63,2,FALSE)*I$8</f>
        <v>3150</v>
      </c>
      <c r="J45">
        <f>VLOOKUP($B45+J$7,$B$12:$C$63,2,FALSE)*J$8</f>
        <v>2100</v>
      </c>
      <c r="K45">
        <f>VLOOKUP($B45+K$7,$B$12:$C$63,2,FALSE)*K$8</f>
        <v>0</v>
      </c>
      <c r="M45">
        <f>SUM(E45:K45)/M$8</f>
        <v>225</v>
      </c>
      <c r="P45">
        <f t="shared" si="4"/>
        <v>34</v>
      </c>
      <c r="Q45">
        <f t="shared" si="5"/>
        <v>210</v>
      </c>
      <c r="R45">
        <f t="shared" si="6"/>
        <v>225</v>
      </c>
    </row>
    <row r="46" spans="1:18" x14ac:dyDescent="0.35">
      <c r="B46">
        <v>35</v>
      </c>
      <c r="C46">
        <f>A44</f>
        <v>210</v>
      </c>
      <c r="E46">
        <f>VLOOKUP($B46+E$7,$B$12:$C$63,2,FALSE)*E$8</f>
        <v>2700</v>
      </c>
      <c r="F46">
        <f>VLOOKUP($B46+F$7,$B$12:$C$63,2,FALSE)*F$8</f>
        <v>3150</v>
      </c>
      <c r="G46">
        <f>VLOOKUP($B46+G$7,$B$12:$C$63,2,FALSE)*G$8</f>
        <v>5250</v>
      </c>
      <c r="H46">
        <f>VLOOKUP($B46+H$7,$B$12:$C$63,2,FALSE)*H$8</f>
        <v>5250</v>
      </c>
      <c r="I46">
        <f>VLOOKUP($B46+I$7,$B$12:$C$63,2,FALSE)*I$8</f>
        <v>3150</v>
      </c>
      <c r="J46">
        <f>VLOOKUP($B46+J$7,$B$12:$C$63,2,FALSE)*J$8</f>
        <v>1200</v>
      </c>
      <c r="K46">
        <f>VLOOKUP($B46+K$7,$B$12:$C$63,2,FALSE)*K$8</f>
        <v>0</v>
      </c>
      <c r="M46">
        <f>SUM(E46:K46)/M$8</f>
        <v>207</v>
      </c>
      <c r="P46">
        <f t="shared" si="4"/>
        <v>35</v>
      </c>
      <c r="Q46">
        <f t="shared" si="5"/>
        <v>210</v>
      </c>
      <c r="R46">
        <f t="shared" si="6"/>
        <v>207</v>
      </c>
    </row>
    <row r="47" spans="1:18" x14ac:dyDescent="0.35">
      <c r="B47">
        <v>36</v>
      </c>
      <c r="C47">
        <f>A44</f>
        <v>210</v>
      </c>
      <c r="E47">
        <f>VLOOKUP($B47+E$7,$B$12:$C$63,2,FALSE)*E$8</f>
        <v>2100</v>
      </c>
      <c r="F47">
        <f>VLOOKUP($B47+F$7,$B$12:$C$63,2,FALSE)*F$8</f>
        <v>3150</v>
      </c>
      <c r="G47">
        <f>VLOOKUP($B47+G$7,$B$12:$C$63,2,FALSE)*G$8</f>
        <v>5250</v>
      </c>
      <c r="H47">
        <f>VLOOKUP($B47+H$7,$B$12:$C$63,2,FALSE)*H$8</f>
        <v>5250</v>
      </c>
      <c r="I47">
        <f>VLOOKUP($B47+I$7,$B$12:$C$63,2,FALSE)*I$8</f>
        <v>1800</v>
      </c>
      <c r="J47">
        <f>VLOOKUP($B47+J$7,$B$12:$C$63,2,FALSE)*J$8</f>
        <v>1200</v>
      </c>
      <c r="K47">
        <f>VLOOKUP($B47+K$7,$B$12:$C$63,2,FALSE)*K$8</f>
        <v>0</v>
      </c>
      <c r="M47">
        <f>SUM(E47:K47)/M$8</f>
        <v>187.5</v>
      </c>
      <c r="P47">
        <f t="shared" si="4"/>
        <v>36</v>
      </c>
      <c r="Q47">
        <f t="shared" si="5"/>
        <v>210</v>
      </c>
      <c r="R47">
        <f t="shared" si="6"/>
        <v>187.5</v>
      </c>
    </row>
    <row r="48" spans="1:18" x14ac:dyDescent="0.35">
      <c r="A48">
        <v>120</v>
      </c>
      <c r="B48">
        <v>37</v>
      </c>
      <c r="C48">
        <f>A48</f>
        <v>120</v>
      </c>
      <c r="E48">
        <f>VLOOKUP($B48+E$7,$B$12:$C$63,2,FALSE)*E$8</f>
        <v>2100</v>
      </c>
      <c r="F48">
        <f>VLOOKUP($B48+F$7,$B$12:$C$63,2,FALSE)*F$8</f>
        <v>3150</v>
      </c>
      <c r="G48">
        <f>VLOOKUP($B48+G$7,$B$12:$C$63,2,FALSE)*G$8</f>
        <v>5250</v>
      </c>
      <c r="H48">
        <f>VLOOKUP($B48+H$7,$B$12:$C$63,2,FALSE)*H$8</f>
        <v>3000</v>
      </c>
      <c r="I48">
        <f>VLOOKUP($B48+I$7,$B$12:$C$63,2,FALSE)*I$8</f>
        <v>1800</v>
      </c>
      <c r="J48">
        <f>VLOOKUP($B48+J$7,$B$12:$C$63,2,FALSE)*J$8</f>
        <v>1200</v>
      </c>
      <c r="K48">
        <f>VLOOKUP($B48+K$7,$B$12:$C$63,2,FALSE)*K$8</f>
        <v>0</v>
      </c>
      <c r="M48">
        <f>SUM(E48:K48)/M$8</f>
        <v>165</v>
      </c>
      <c r="P48">
        <f t="shared" si="4"/>
        <v>37</v>
      </c>
      <c r="Q48">
        <f t="shared" si="5"/>
        <v>120</v>
      </c>
      <c r="R48">
        <f t="shared" si="6"/>
        <v>165</v>
      </c>
    </row>
    <row r="49" spans="1:18" x14ac:dyDescent="0.35">
      <c r="B49">
        <v>38</v>
      </c>
      <c r="C49">
        <f>A48</f>
        <v>120</v>
      </c>
      <c r="E49">
        <f>VLOOKUP($B49+E$7,$B$12:$C$63,2,FALSE)*E$8</f>
        <v>2100</v>
      </c>
      <c r="F49">
        <f>VLOOKUP($B49+F$7,$B$12:$C$63,2,FALSE)*F$8</f>
        <v>3150</v>
      </c>
      <c r="G49">
        <f>VLOOKUP($B49+G$7,$B$12:$C$63,2,FALSE)*G$8</f>
        <v>3000</v>
      </c>
      <c r="H49">
        <f>VLOOKUP($B49+H$7,$B$12:$C$63,2,FALSE)*H$8</f>
        <v>3000</v>
      </c>
      <c r="I49">
        <f>VLOOKUP($B49+I$7,$B$12:$C$63,2,FALSE)*I$8</f>
        <v>1800</v>
      </c>
      <c r="J49">
        <f>VLOOKUP($B49+J$7,$B$12:$C$63,2,FALSE)*J$8</f>
        <v>1200</v>
      </c>
      <c r="K49">
        <f>VLOOKUP($B49+K$7,$B$12:$C$63,2,FALSE)*K$8</f>
        <v>0</v>
      </c>
      <c r="M49">
        <f>SUM(E49:K49)/M$8</f>
        <v>142.5</v>
      </c>
      <c r="P49">
        <f t="shared" si="4"/>
        <v>38</v>
      </c>
      <c r="Q49">
        <f t="shared" si="5"/>
        <v>120</v>
      </c>
      <c r="R49">
        <f t="shared" si="6"/>
        <v>142.5</v>
      </c>
    </row>
    <row r="50" spans="1:18" x14ac:dyDescent="0.35">
      <c r="B50">
        <v>39</v>
      </c>
      <c r="C50">
        <f>A48</f>
        <v>120</v>
      </c>
      <c r="E50">
        <f>VLOOKUP($B50+E$7,$B$12:$C$63,2,FALSE)*E$8</f>
        <v>2100</v>
      </c>
      <c r="F50">
        <f>VLOOKUP($B50+F$7,$B$12:$C$63,2,FALSE)*F$8</f>
        <v>1800</v>
      </c>
      <c r="G50">
        <f>VLOOKUP($B50+G$7,$B$12:$C$63,2,FALSE)*G$8</f>
        <v>3000</v>
      </c>
      <c r="H50">
        <f>VLOOKUP($B50+H$7,$B$12:$C$63,2,FALSE)*H$8</f>
        <v>3000</v>
      </c>
      <c r="I50">
        <f>VLOOKUP($B50+I$7,$B$12:$C$63,2,FALSE)*I$8</f>
        <v>1800</v>
      </c>
      <c r="J50">
        <f>VLOOKUP($B50+J$7,$B$12:$C$63,2,FALSE)*J$8</f>
        <v>200</v>
      </c>
      <c r="K50">
        <f>VLOOKUP($B50+K$7,$B$12:$C$63,2,FALSE)*K$8</f>
        <v>0</v>
      </c>
      <c r="M50">
        <f>SUM(E50:K50)/M$8</f>
        <v>119</v>
      </c>
      <c r="P50">
        <f t="shared" si="4"/>
        <v>39</v>
      </c>
      <c r="Q50">
        <f t="shared" si="5"/>
        <v>120</v>
      </c>
      <c r="R50">
        <f t="shared" si="6"/>
        <v>119</v>
      </c>
    </row>
    <row r="51" spans="1:18" x14ac:dyDescent="0.35">
      <c r="B51">
        <v>40</v>
      </c>
      <c r="C51">
        <f>A48</f>
        <v>120</v>
      </c>
      <c r="E51">
        <f>VLOOKUP($B51+E$7,$B$12:$C$63,2,FALSE)*E$8</f>
        <v>1200</v>
      </c>
      <c r="F51">
        <f>VLOOKUP($B51+F$7,$B$12:$C$63,2,FALSE)*F$8</f>
        <v>1800</v>
      </c>
      <c r="G51">
        <f>VLOOKUP($B51+G$7,$B$12:$C$63,2,FALSE)*G$8</f>
        <v>3000</v>
      </c>
      <c r="H51">
        <f>VLOOKUP($B51+H$7,$B$12:$C$63,2,FALSE)*H$8</f>
        <v>3000</v>
      </c>
      <c r="I51">
        <f>VLOOKUP($B51+I$7,$B$12:$C$63,2,FALSE)*I$8</f>
        <v>300</v>
      </c>
      <c r="J51">
        <f>VLOOKUP($B51+J$7,$B$12:$C$63,2,FALSE)*J$8</f>
        <v>200</v>
      </c>
      <c r="K51">
        <f>VLOOKUP($B51+K$7,$B$12:$C$63,2,FALSE)*K$8</f>
        <v>0</v>
      </c>
      <c r="M51">
        <f>SUM(E51:K51)/M$8</f>
        <v>95</v>
      </c>
      <c r="P51">
        <f t="shared" si="4"/>
        <v>40</v>
      </c>
      <c r="Q51">
        <f t="shared" si="5"/>
        <v>120</v>
      </c>
      <c r="R51">
        <f t="shared" si="6"/>
        <v>95</v>
      </c>
    </row>
    <row r="52" spans="1:18" x14ac:dyDescent="0.35">
      <c r="A52">
        <v>20</v>
      </c>
      <c r="B52">
        <v>41</v>
      </c>
      <c r="C52">
        <f>A52</f>
        <v>20</v>
      </c>
      <c r="E52">
        <f>VLOOKUP($B52+E$7,$B$12:$C$63,2,FALSE)*E$8</f>
        <v>1200</v>
      </c>
      <c r="F52">
        <f>VLOOKUP($B52+F$7,$B$12:$C$63,2,FALSE)*F$8</f>
        <v>1800</v>
      </c>
      <c r="G52">
        <f>VLOOKUP($B52+G$7,$B$12:$C$63,2,FALSE)*G$8</f>
        <v>3000</v>
      </c>
      <c r="H52">
        <f>VLOOKUP($B52+H$7,$B$12:$C$63,2,FALSE)*H$8</f>
        <v>500</v>
      </c>
      <c r="I52">
        <f>VLOOKUP($B52+I$7,$B$12:$C$63,2,FALSE)*I$8</f>
        <v>300</v>
      </c>
      <c r="J52">
        <f>VLOOKUP($B52+J$7,$B$12:$C$63,2,FALSE)*J$8</f>
        <v>200</v>
      </c>
      <c r="K52">
        <f>VLOOKUP($B52+K$7,$B$12:$C$63,2,FALSE)*K$8</f>
        <v>0</v>
      </c>
      <c r="M52">
        <f>SUM(E52:K52)/M$8</f>
        <v>70</v>
      </c>
      <c r="P52">
        <f t="shared" si="4"/>
        <v>41</v>
      </c>
      <c r="Q52">
        <f t="shared" si="5"/>
        <v>20</v>
      </c>
      <c r="R52">
        <f t="shared" si="6"/>
        <v>70</v>
      </c>
    </row>
    <row r="53" spans="1:18" x14ac:dyDescent="0.35">
      <c r="B53">
        <v>42</v>
      </c>
      <c r="C53">
        <f>A52</f>
        <v>20</v>
      </c>
      <c r="E53">
        <f>VLOOKUP($B53+E$7,$B$12:$C$63,2,FALSE)*E$8</f>
        <v>1200</v>
      </c>
      <c r="F53">
        <f>VLOOKUP($B53+F$7,$B$12:$C$63,2,FALSE)*F$8</f>
        <v>1800</v>
      </c>
      <c r="G53">
        <f>VLOOKUP($B53+G$7,$B$12:$C$63,2,FALSE)*G$8</f>
        <v>500</v>
      </c>
      <c r="H53">
        <f>VLOOKUP($B53+H$7,$B$12:$C$63,2,FALSE)*H$8</f>
        <v>500</v>
      </c>
      <c r="I53">
        <f>VLOOKUP($B53+I$7,$B$12:$C$63,2,FALSE)*I$8</f>
        <v>300</v>
      </c>
      <c r="J53">
        <f>VLOOKUP($B53+J$7,$B$12:$C$63,2,FALSE)*J$8</f>
        <v>200</v>
      </c>
      <c r="K53">
        <f>VLOOKUP($B53+K$7,$B$12:$C$63,2,FALSE)*K$8</f>
        <v>0</v>
      </c>
      <c r="M53">
        <f>SUM(E53:K53)/M$8</f>
        <v>45</v>
      </c>
      <c r="P53">
        <f t="shared" si="4"/>
        <v>42</v>
      </c>
      <c r="Q53">
        <f t="shared" si="5"/>
        <v>20</v>
      </c>
      <c r="R53">
        <f t="shared" si="6"/>
        <v>45</v>
      </c>
    </row>
    <row r="54" spans="1:18" x14ac:dyDescent="0.35">
      <c r="B54">
        <v>43</v>
      </c>
      <c r="C54">
        <f>A52</f>
        <v>20</v>
      </c>
      <c r="E54">
        <f>VLOOKUP($B54+E$7,$B$12:$C$63,2,FALSE)*E$8</f>
        <v>1200</v>
      </c>
      <c r="F54">
        <f>VLOOKUP($B54+F$7,$B$12:$C$63,2,FALSE)*F$8</f>
        <v>300</v>
      </c>
      <c r="G54">
        <f>VLOOKUP($B54+G$7,$B$12:$C$63,2,FALSE)*G$8</f>
        <v>500</v>
      </c>
      <c r="H54">
        <f>VLOOKUP($B54+H$7,$B$12:$C$63,2,FALSE)*H$8</f>
        <v>500</v>
      </c>
      <c r="I54">
        <f>VLOOKUP($B54+I$7,$B$12:$C$63,2,FALSE)*I$8</f>
        <v>300</v>
      </c>
      <c r="J54">
        <f>VLOOKUP($B54+J$7,$B$12:$C$63,2,FALSE)*J$8</f>
        <v>0</v>
      </c>
      <c r="K54">
        <f>VLOOKUP($B54+K$7,$B$12:$C$63,2,FALSE)*K$8</f>
        <v>0</v>
      </c>
      <c r="M54">
        <f>SUM(E54:K54)/M$8</f>
        <v>28</v>
      </c>
      <c r="P54">
        <f t="shared" si="4"/>
        <v>43</v>
      </c>
      <c r="Q54">
        <f t="shared" si="5"/>
        <v>20</v>
      </c>
      <c r="R54">
        <f t="shared" si="6"/>
        <v>28</v>
      </c>
    </row>
    <row r="55" spans="1:18" x14ac:dyDescent="0.35">
      <c r="B55">
        <v>44</v>
      </c>
      <c r="C55">
        <f>A52</f>
        <v>20</v>
      </c>
      <c r="E55">
        <f>VLOOKUP($B55+E$7,$B$12:$C$63,2,FALSE)*E$8</f>
        <v>200</v>
      </c>
      <c r="F55">
        <f>VLOOKUP($B55+F$7,$B$12:$C$63,2,FALSE)*F$8</f>
        <v>300</v>
      </c>
      <c r="G55">
        <f>VLOOKUP($B55+G$7,$B$12:$C$63,2,FALSE)*G$8</f>
        <v>500</v>
      </c>
      <c r="H55">
        <f>VLOOKUP($B55+H$7,$B$12:$C$63,2,FALSE)*H$8</f>
        <v>500</v>
      </c>
      <c r="I55">
        <f>VLOOKUP($B55+I$7,$B$12:$C$63,2,FALSE)*I$8</f>
        <v>0</v>
      </c>
      <c r="J55">
        <f>VLOOKUP($B55+J$7,$B$12:$C$63,2,FALSE)*J$8</f>
        <v>0</v>
      </c>
      <c r="K55">
        <f>VLOOKUP($B55+K$7,$B$12:$C$63,2,FALSE)*K$8</f>
        <v>0</v>
      </c>
      <c r="M55">
        <f>SUM(E55:K55)/M$8</f>
        <v>15</v>
      </c>
      <c r="P55">
        <f t="shared" si="4"/>
        <v>44</v>
      </c>
      <c r="Q55">
        <f t="shared" si="5"/>
        <v>20</v>
      </c>
      <c r="R55">
        <f t="shared" si="6"/>
        <v>15</v>
      </c>
    </row>
    <row r="56" spans="1:18" x14ac:dyDescent="0.35">
      <c r="A56">
        <v>0</v>
      </c>
      <c r="B56">
        <v>45</v>
      </c>
      <c r="C56">
        <f>A56</f>
        <v>0</v>
      </c>
      <c r="E56">
        <f>VLOOKUP($B56+E$7,$B$12:$C$63,2,FALSE)*E$8</f>
        <v>200</v>
      </c>
      <c r="F56">
        <f>VLOOKUP($B56+F$7,$B$12:$C$63,2,FALSE)*F$8</f>
        <v>300</v>
      </c>
      <c r="G56">
        <f>VLOOKUP($B56+G$7,$B$12:$C$63,2,FALSE)*G$8</f>
        <v>500</v>
      </c>
      <c r="H56">
        <f>VLOOKUP($B56+H$7,$B$12:$C$63,2,FALSE)*H$8</f>
        <v>0</v>
      </c>
      <c r="I56">
        <f>VLOOKUP($B56+I$7,$B$12:$C$63,2,FALSE)*I$8</f>
        <v>0</v>
      </c>
      <c r="J56">
        <f>VLOOKUP($B56+J$7,$B$12:$C$63,2,FALSE)*J$8</f>
        <v>0</v>
      </c>
      <c r="K56">
        <f>VLOOKUP($B56+K$7,$B$12:$C$63,2,FALSE)*K$8</f>
        <v>0</v>
      </c>
      <c r="M56">
        <f>SUM(E56:K56)/M$8</f>
        <v>10</v>
      </c>
      <c r="P56">
        <f t="shared" si="4"/>
        <v>45</v>
      </c>
      <c r="Q56">
        <f t="shared" si="5"/>
        <v>0</v>
      </c>
      <c r="R56">
        <f t="shared" si="6"/>
        <v>10</v>
      </c>
    </row>
    <row r="57" spans="1:18" x14ac:dyDescent="0.35">
      <c r="B57">
        <v>46</v>
      </c>
      <c r="C57">
        <f>A56</f>
        <v>0</v>
      </c>
      <c r="E57">
        <f>VLOOKUP($B57+E$7,$B$12:$C$63,2,FALSE)*E$8</f>
        <v>200</v>
      </c>
      <c r="F57">
        <f>VLOOKUP($B57+F$7,$B$12:$C$63,2,FALSE)*F$8</f>
        <v>300</v>
      </c>
      <c r="G57">
        <f>VLOOKUP($B57+G$7,$B$12:$C$63,2,FALSE)*G$8</f>
        <v>0</v>
      </c>
      <c r="H57">
        <f>VLOOKUP($B57+H$7,$B$12:$C$63,2,FALSE)*H$8</f>
        <v>0</v>
      </c>
      <c r="I57">
        <f>VLOOKUP($B57+I$7,$B$12:$C$63,2,FALSE)*I$8</f>
        <v>0</v>
      </c>
      <c r="J57">
        <f>VLOOKUP($B57+J$7,$B$12:$C$63,2,FALSE)*J$8</f>
        <v>0</v>
      </c>
      <c r="K57">
        <f>VLOOKUP($B57+K$7,$B$12:$C$63,2,FALSE)*K$8</f>
        <v>0</v>
      </c>
      <c r="M57">
        <f>SUM(E57:K57)/M$8</f>
        <v>5</v>
      </c>
      <c r="P57">
        <f t="shared" si="4"/>
        <v>46</v>
      </c>
      <c r="Q57">
        <f t="shared" si="5"/>
        <v>0</v>
      </c>
      <c r="R57">
        <f t="shared" si="6"/>
        <v>5</v>
      </c>
    </row>
    <row r="58" spans="1:18" x14ac:dyDescent="0.35">
      <c r="B58">
        <v>47</v>
      </c>
      <c r="C58">
        <f>A56</f>
        <v>0</v>
      </c>
      <c r="E58">
        <f>VLOOKUP($B58+E$7,$B$12:$C$63,2,FALSE)*E$8</f>
        <v>200</v>
      </c>
      <c r="F58">
        <f>VLOOKUP($B58+F$7,$B$12:$C$63,2,FALSE)*F$8</f>
        <v>0</v>
      </c>
      <c r="G58">
        <f>VLOOKUP($B58+G$7,$B$12:$C$63,2,FALSE)*G$8</f>
        <v>0</v>
      </c>
      <c r="H58">
        <f>VLOOKUP($B58+H$7,$B$12:$C$63,2,FALSE)*H$8</f>
        <v>0</v>
      </c>
      <c r="I58">
        <f>VLOOKUP($B58+I$7,$B$12:$C$63,2,FALSE)*I$8</f>
        <v>0</v>
      </c>
      <c r="J58">
        <f>VLOOKUP($B58+J$7,$B$12:$C$63,2,FALSE)*J$8</f>
        <v>0</v>
      </c>
      <c r="K58">
        <f>VLOOKUP($B58+K$7,$B$12:$C$63,2,FALSE)*K$8</f>
        <v>0</v>
      </c>
      <c r="M58">
        <f>SUM(E58:K58)/M$8</f>
        <v>2</v>
      </c>
      <c r="P58">
        <f t="shared" si="4"/>
        <v>47</v>
      </c>
      <c r="Q58">
        <f t="shared" si="5"/>
        <v>0</v>
      </c>
      <c r="R58">
        <f t="shared" si="6"/>
        <v>2</v>
      </c>
    </row>
    <row r="59" spans="1:18" x14ac:dyDescent="0.35">
      <c r="B59">
        <v>48</v>
      </c>
      <c r="C59">
        <f>A56</f>
        <v>0</v>
      </c>
      <c r="E59">
        <f>VLOOKUP($B59+E$7,$B$12:$C$63,2,FALSE)*E$8</f>
        <v>0</v>
      </c>
      <c r="F59">
        <f>VLOOKUP($B59+F$7,$B$12:$C$63,2,FALSE)*F$8</f>
        <v>0</v>
      </c>
      <c r="G59">
        <f>VLOOKUP($B59+G$7,$B$12:$C$63,2,FALSE)*G$8</f>
        <v>0</v>
      </c>
      <c r="H59">
        <f>VLOOKUP($B59+H$7,$B$12:$C$63,2,FALSE)*H$8</f>
        <v>0</v>
      </c>
      <c r="I59">
        <f>VLOOKUP($B59+I$7,$B$12:$C$63,2,FALSE)*I$8</f>
        <v>0</v>
      </c>
      <c r="J59">
        <f>VLOOKUP($B59+J$7,$B$12:$C$63,2,FALSE)*J$8</f>
        <v>0</v>
      </c>
      <c r="K59">
        <f>VLOOKUP($B59+K$7,$B$12:$C$63,2,FALSE)*K$8</f>
        <v>0</v>
      </c>
      <c r="M59">
        <f>SUM(E59:K59)/M$8</f>
        <v>0</v>
      </c>
      <c r="P59">
        <f t="shared" si="4"/>
        <v>48</v>
      </c>
      <c r="Q59">
        <f t="shared" si="5"/>
        <v>0</v>
      </c>
      <c r="R59">
        <f t="shared" si="6"/>
        <v>0</v>
      </c>
    </row>
    <row r="60" spans="1:18" x14ac:dyDescent="0.35">
      <c r="A60">
        <v>0</v>
      </c>
      <c r="B60">
        <v>49</v>
      </c>
      <c r="C60">
        <f>A60</f>
        <v>0</v>
      </c>
      <c r="E60">
        <f>VLOOKUP($B60+E$7,$B$12:$C$63,2,FALSE)*E$8</f>
        <v>0</v>
      </c>
      <c r="F60">
        <f>VLOOKUP($B60+F$7,$B$12:$C$63,2,FALSE)*F$8</f>
        <v>0</v>
      </c>
      <c r="G60">
        <f>VLOOKUP($B60+G$7,$B$12:$C$63,2,FALSE)*G$8</f>
        <v>0</v>
      </c>
      <c r="H60">
        <f>VLOOKUP($B60+H$7,$B$12:$C$63,2,FALSE)*H$8</f>
        <v>0</v>
      </c>
      <c r="I60">
        <f>VLOOKUP($B60+I$7,$B$12:$C$63,2,FALSE)*I$8</f>
        <v>0</v>
      </c>
      <c r="J60">
        <f>VLOOKUP($B60+J$7,$B$12:$C$63,2,FALSE)*J$8</f>
        <v>0</v>
      </c>
      <c r="K60">
        <f>VLOOKUP($B60+K$7,$B$12:$C$63,2,FALSE)*K$8</f>
        <v>0</v>
      </c>
      <c r="M60">
        <f>SUM(E60:K60)/M$8</f>
        <v>0</v>
      </c>
      <c r="P60">
        <f t="shared" si="4"/>
        <v>49</v>
      </c>
      <c r="Q60">
        <f t="shared" si="5"/>
        <v>0</v>
      </c>
      <c r="R60">
        <f t="shared" si="6"/>
        <v>0</v>
      </c>
    </row>
    <row r="61" spans="1:18" x14ac:dyDescent="0.35">
      <c r="B61">
        <v>50</v>
      </c>
      <c r="C61">
        <f>A60</f>
        <v>0</v>
      </c>
      <c r="P61">
        <f t="shared" ref="P61:P63" si="7">B61</f>
        <v>50</v>
      </c>
      <c r="Q61">
        <f t="shared" ref="Q61:Q63" si="8">C61</f>
        <v>0</v>
      </c>
      <c r="R61">
        <f t="shared" ref="R61:R63" si="9">M61</f>
        <v>0</v>
      </c>
    </row>
    <row r="62" spans="1:18" x14ac:dyDescent="0.35">
      <c r="B62">
        <v>51</v>
      </c>
      <c r="C62">
        <f>A60</f>
        <v>0</v>
      </c>
      <c r="P62">
        <f t="shared" si="7"/>
        <v>51</v>
      </c>
      <c r="Q62">
        <f t="shared" si="8"/>
        <v>0</v>
      </c>
      <c r="R62">
        <f t="shared" si="9"/>
        <v>0</v>
      </c>
    </row>
    <row r="63" spans="1:18" x14ac:dyDescent="0.35">
      <c r="B63">
        <v>52</v>
      </c>
      <c r="C63">
        <f>A60</f>
        <v>0</v>
      </c>
      <c r="P63">
        <f t="shared" si="7"/>
        <v>52</v>
      </c>
      <c r="Q63">
        <f t="shared" si="8"/>
        <v>0</v>
      </c>
      <c r="R63">
        <f t="shared" si="9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455EB1-7A4B-4A1D-A75D-5FB73EAB6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sample_7day_forecast</vt:lpstr>
      <vt:lpstr>sample_90hour_nowcast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Bernegger</dc:creator>
  <cp:lastModifiedBy>Stefan Bernegger</cp:lastModifiedBy>
  <dcterms:created xsi:type="dcterms:W3CDTF">2025-11-23T10:47:48Z</dcterms:created>
  <dcterms:modified xsi:type="dcterms:W3CDTF">2025-12-02T17:21:05Z</dcterms:modified>
</cp:coreProperties>
</file>